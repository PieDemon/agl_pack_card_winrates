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otStuff" sheetId="1" r:id="rId5"/>
    <sheet state="visible" name="Megadraft​" sheetId="2" r:id="rId6"/>
    <sheet state="visible" name="Standings" sheetId="3" r:id="rId7"/>
    <sheet state="visible" name="Matches" sheetId="4" r:id="rId8"/>
    <sheet state="visible" name="Quotas" sheetId="5" r:id="rId9"/>
    <sheet state="visible" name="Entropy" sheetId="6" r:id="rId10"/>
    <sheet state="visible" name="Pools" sheetId="7" r:id="rId11"/>
    <sheet state="visible" name="ExtractedPools" sheetId="8" r:id="rId12"/>
    <sheet state="hidden" name="Sheet93" sheetId="9" r:id="rId13"/>
    <sheet state="visible" name="College Rivalries" sheetId="10" r:id="rId14"/>
    <sheet state="visible" name="College Rankings" sheetId="11" r:id="rId15"/>
    <sheet state="hidden" name="Electives" sheetId="12" r:id="rId16"/>
    <sheet state="visible" name="Pool Changes" sheetId="13" r:id="rId17"/>
    <sheet state="hidden" name="Course Sheet" sheetId="14" r:id="rId18"/>
    <sheet state="visible" name="Player Database" sheetId="15" r:id="rId19"/>
    <sheet state="hidden" name="College List" sheetId="16" r:id="rId20"/>
    <sheet state="hidden" name="Players by Week" sheetId="17" r:id="rId21"/>
  </sheets>
  <definedNames/>
  <calcPr/>
</workbook>
</file>

<file path=xl/sharedStrings.xml><?xml version="1.0" encoding="utf-8"?>
<sst xmlns="http://schemas.openxmlformats.org/spreadsheetml/2006/main" count="38409" uniqueCount="8678">
  <si>
    <t>Choice State:</t>
  </si>
  <si>
    <t>{}</t>
  </si>
  <si>
    <t>ARENA GAUNTLET LEAGUE: Secrets of Strixhaven</t>
  </si>
  <si>
    <t>Timestamp</t>
  </si>
  <si>
    <r>
      <rPr>
        <rFont val="Calibri"/>
        <b/>
        <color theme="1"/>
        <sz val="18.0"/>
      </rPr>
      <t xml:space="preserve">ARENA GAUNTLET LEAGUE:  </t>
    </r>
    <r>
      <rPr>
        <rFont val="Calibri"/>
        <b/>
        <i/>
        <color rgb="FFBF9000"/>
        <sz val="18.0"/>
      </rPr>
      <t>SOS MEGADRAFT</t>
    </r>
  </si>
  <si>
    <t>Survey Sent?</t>
  </si>
  <si>
    <t>Your Name</t>
  </si>
  <si>
    <t>Loser Name</t>
  </si>
  <si>
    <t>Result</t>
  </si>
  <si>
    <t>Notes</t>
  </si>
  <si>
    <t>Script Handled</t>
  </si>
  <si>
    <t>Bot Messaged</t>
  </si>
  <si>
    <t xml:space="preserve"> </t>
  </si>
  <si>
    <t>Winning College</t>
  </si>
  <si>
    <t>Losing College</t>
  </si>
  <si>
    <t>Announcement Sent</t>
  </si>
  <si>
    <t>Week:</t>
  </si>
  <si>
    <t>Nick L - Aliphos#10232</t>
  </si>
  <si>
    <t>Justin P - Code Pigeon#84057</t>
  </si>
  <si>
    <t>2-0</t>
  </si>
  <si>
    <t>PLAYER NAME</t>
  </si>
  <si>
    <t>ARENA ID</t>
  </si>
  <si>
    <t>COUNTRY</t>
  </si>
  <si>
    <t>RANK</t>
  </si>
  <si>
    <t>Rk</t>
  </si>
  <si>
    <t>Player 
Name &amp; ID</t>
  </si>
  <si>
    <t>Player</t>
  </si>
  <si>
    <t>Country</t>
  </si>
  <si>
    <t>RECORD</t>
  </si>
  <si>
    <t>Arena ID</t>
  </si>
  <si>
    <t>College</t>
  </si>
  <si>
    <t>Megadraft Record</t>
  </si>
  <si>
    <t>MATCHES PLAYED</t>
  </si>
  <si>
    <t>MATCHES &lt;Min</t>
  </si>
  <si>
    <t>League Pts (Wins)</t>
  </si>
  <si>
    <t>Megadraft
Round 1</t>
  </si>
  <si>
    <t>Megadraft
Round 2</t>
  </si>
  <si>
    <t>MATCHES &lt;Max</t>
  </si>
  <si>
    <t>Megadraft
Round 3</t>
  </si>
  <si>
    <t>OMW%</t>
  </si>
  <si>
    <t>Finals Playoffs</t>
  </si>
  <si>
    <t>MATCHES TO PLAY STATUS</t>
  </si>
  <si>
    <t>Total 
Points</t>
  </si>
  <si>
    <t>THIS WEEK</t>
  </si>
  <si>
    <t>OTHER INFO</t>
  </si>
  <si>
    <t>wins this week</t>
  </si>
  <si>
    <t>losses this week</t>
  </si>
  <si>
    <t>Time min</t>
  </si>
  <si>
    <t>Time max</t>
  </si>
  <si>
    <t>Ryan M</t>
  </si>
  <si>
    <t>USA</t>
  </si>
  <si>
    <t>rrrn22#32842</t>
  </si>
  <si>
    <t>4 - 0</t>
  </si>
  <si>
    <t>Michael B</t>
  </si>
  <si>
    <t>Paul G - TheDragon#61289</t>
  </si>
  <si>
    <t>David M - Murrari#27942</t>
  </si>
  <si>
    <t>Monkeymage#12141</t>
  </si>
  <si>
    <t>2-1</t>
  </si>
  <si>
    <t>3 - 1</t>
  </si>
  <si>
    <t>Emmett F - Sepulchure#51526</t>
  </si>
  <si>
    <t>Greg B - Piloswine#16597</t>
  </si>
  <si>
    <t>Alexis M - Alexsfly#67052</t>
  </si>
  <si>
    <t>Yaron B - Personification#18218</t>
  </si>
  <si>
    <t>Andreas V - vwhite#64530</t>
  </si>
  <si>
    <t>Cody-R MG - boink#65210</t>
  </si>
  <si>
    <t>1</t>
  </si>
  <si>
    <t>Alex H - Merriman#08092</t>
  </si>
  <si>
    <t>Jonathan L - jslesser#56805</t>
  </si>
  <si>
    <t>Nick L</t>
  </si>
  <si>
    <t>Aliphos#10232</t>
  </si>
  <si>
    <t>2 - 1</t>
  </si>
  <si>
    <t>Parker D - Android5000#23254</t>
  </si>
  <si>
    <t>Brian S - &lt;Quinton&gt;#67960</t>
  </si>
  <si>
    <t>N/A</t>
  </si>
  <si>
    <t>Emilia P - Quiza#32870</t>
  </si>
  <si>
    <t>Cory M - 100beep#46371</t>
  </si>
  <si>
    <t>Tim W - zaergaegyr#34014</t>
  </si>
  <si>
    <t>Adam D - Adam#54521</t>
  </si>
  <si>
    <t>Wei C</t>
  </si>
  <si>
    <t>Lotte P - Lotte #93345</t>
  </si>
  <si>
    <t>Canada</t>
  </si>
  <si>
    <t>Dakota C - Coffey#70489</t>
  </si>
  <si>
    <t>Azayaka#83352</t>
  </si>
  <si>
    <t>Dan B - Hmishima#77128</t>
  </si>
  <si>
    <t>Chris P - Joker01#66827</t>
  </si>
  <si>
    <t>Duncan R - Donutboy#12626</t>
  </si>
  <si>
    <t>Lukas M</t>
  </si>
  <si>
    <t>Finley_2k1#30925</t>
  </si>
  <si>
    <t>Nolan F - Mordor#75624</t>
  </si>
  <si>
    <t>Chris K - kaiserroll802#17525</t>
  </si>
  <si>
    <t>Tim O</t>
  </si>
  <si>
    <t>Zeven28#21705</t>
  </si>
  <si>
    <t>Nick A - Nistar#14127</t>
  </si>
  <si>
    <t>Keith L - Uruma#71243</t>
  </si>
  <si>
    <t>Casey A - andrewca#12272</t>
  </si>
  <si>
    <t>Dirk E - BegginBlue#16667</t>
  </si>
  <si>
    <t>Aaron B - Bevelman#18220</t>
  </si>
  <si>
    <t>Cam B</t>
  </si>
  <si>
    <t>PrinceEggbert#12155</t>
  </si>
  <si>
    <t>1 - 2</t>
  </si>
  <si>
    <t>Cody U - Speediurdi#14686</t>
  </si>
  <si>
    <t>Jacky L - Luckbox#52583</t>
  </si>
  <si>
    <t>gg</t>
  </si>
  <si>
    <t>Elias W - Casicu#10613</t>
  </si>
  <si>
    <t>Tzvi L - Daardain#96647</t>
  </si>
  <si>
    <t>Chris O</t>
  </si>
  <si>
    <t>chriso91#46230</t>
  </si>
  <si>
    <t>Georgii C - Yasunori#84481</t>
  </si>
  <si>
    <t>GG!</t>
  </si>
  <si>
    <t>John L - Tiger Burning#89444</t>
  </si>
  <si>
    <t>Michael B - Monkeymage#12141</t>
  </si>
  <si>
    <t>John P</t>
  </si>
  <si>
    <t>GGs</t>
  </si>
  <si>
    <t>gokuorgohome#51511</t>
  </si>
  <si>
    <t>Evan L - Evan#97713</t>
  </si>
  <si>
    <t>Jacob B - nonstopjacob#90440</t>
  </si>
  <si>
    <t>Theia E</t>
  </si>
  <si>
    <t>ggs, good luck in packs!</t>
  </si>
  <si>
    <t>Australia</t>
  </si>
  <si>
    <t>Catarang#49877</t>
  </si>
  <si>
    <t>Geoff E - Snorlaxguy#38043</t>
  </si>
  <si>
    <t>Jacob P - Pie_Demon#80712</t>
  </si>
  <si>
    <t>ggs</t>
  </si>
  <si>
    <t>Denys H - wepen33#27443</t>
  </si>
  <si>
    <t>Chris P</t>
  </si>
  <si>
    <t>Rockford M - Haeso5#61422</t>
  </si>
  <si>
    <t>Joker01#66827</t>
  </si>
  <si>
    <t>ggss buddy, till us giants of CODYs meet again!</t>
  </si>
  <si>
    <t>Michael M - Atombomb11991#07305</t>
  </si>
  <si>
    <t>Emmett F</t>
  </si>
  <si>
    <t>Sepulchure#51526</t>
  </si>
  <si>
    <t>Seaver M - Seaver99#18725</t>
  </si>
  <si>
    <t>Rhydian B - Ridwantgnd#31699</t>
  </si>
  <si>
    <t>George G - 2GG#75037</t>
  </si>
  <si>
    <t>Kevin I - kni1993#29285</t>
  </si>
  <si>
    <t>Tim W</t>
  </si>
  <si>
    <t>Germany</t>
  </si>
  <si>
    <t>Phillip M - Fat_kitty#63794</t>
  </si>
  <si>
    <t>zaergaegyr#34014</t>
  </si>
  <si>
    <t>Zeke W - smarmyplatapus#30066</t>
  </si>
  <si>
    <t>ggs!</t>
  </si>
  <si>
    <t>Elspeth S - Prymalfire#97938</t>
  </si>
  <si>
    <t>Jack S - AjaniGoldmane#67634</t>
  </si>
  <si>
    <t>Matt G - iluvatar777#20638</t>
  </si>
  <si>
    <t>Andrew B</t>
  </si>
  <si>
    <t>azore24#54207</t>
  </si>
  <si>
    <t>Top decking battles was super fun!</t>
  </si>
  <si>
    <t>Mike R</t>
  </si>
  <si>
    <t>powerfulfalcon#27271</t>
  </si>
  <si>
    <t>0 - 3</t>
  </si>
  <si>
    <t>Douglas S - Ivan#83721</t>
  </si>
  <si>
    <t>Jake K - drizzy_jake#02350</t>
  </si>
  <si>
    <t>Tim A - Flavatog#03743</t>
  </si>
  <si>
    <t>Matt G</t>
  </si>
  <si>
    <t>David N - Volt65#59442</t>
  </si>
  <si>
    <t>iluvatar777#20638</t>
  </si>
  <si>
    <t>Melissa M - Tritium#81581</t>
  </si>
  <si>
    <t>Rafael F - Prudent#24319</t>
  </si>
  <si>
    <t>Jacob F - cerbyte#37555</t>
  </si>
  <si>
    <t>Straight hands ma boi!</t>
  </si>
  <si>
    <t>Charles B - CandyDaniel#16348</t>
  </si>
  <si>
    <t>Daniel K - wkufan89#09556</t>
  </si>
  <si>
    <t>Luke M - Gravecrawler#03567</t>
  </si>
  <si>
    <t>Matt P - MattPow#53130</t>
  </si>
  <si>
    <t>Patrick R - zinay#49510</t>
  </si>
  <si>
    <t>Bob P - HIT#08120</t>
  </si>
  <si>
    <t>Sean O - PawnOfHumalog#82404</t>
  </si>
  <si>
    <t>Miguel B - Ethereus#60108</t>
  </si>
  <si>
    <t>Sam M - Starfire#38589</t>
  </si>
  <si>
    <t>Trevor H - zheader#50741</t>
  </si>
  <si>
    <t>MegaDraft 1</t>
  </si>
  <si>
    <t>MegaDraft 2</t>
  </si>
  <si>
    <t>Jonathan M - JonNeverRage#46830</t>
  </si>
  <si>
    <t>Tommy L - NiviCompleo#33268</t>
  </si>
  <si>
    <t>Will M - Argonplatypus#63382</t>
  </si>
  <si>
    <t>Round 1</t>
  </si>
  <si>
    <t>GGs!</t>
  </si>
  <si>
    <t>kissy boy</t>
  </si>
  <si>
    <t>2 - 0</t>
  </si>
  <si>
    <t>Jeb B - Gray_Bob19#67329</t>
  </si>
  <si>
    <t>Chris D - Stereolab#37691</t>
  </si>
  <si>
    <t>Howard T - Kaozu#62298</t>
  </si>
  <si>
    <t>Ethan L - Ethanndow#02818</t>
  </si>
  <si>
    <t>Theia E - Catarang#49877</t>
  </si>
  <si>
    <t>Johnny M - Johnny#69519</t>
  </si>
  <si>
    <t>Jamie W - Jamie#45846</t>
  </si>
  <si>
    <t>Colton M - Mang#55794</t>
  </si>
  <si>
    <t>Curtis W - iCwalzy#05483</t>
  </si>
  <si>
    <t>GGs, gl in next</t>
  </si>
  <si>
    <t>Alex E - MoxMango#59586</t>
  </si>
  <si>
    <t>Chris Pr - Darkdragonzt#58801</t>
  </si>
  <si>
    <t>Brenden N - Eggplantsonfire#75821</t>
  </si>
  <si>
    <t>Jack H - Rakic#98298</t>
  </si>
  <si>
    <t xml:space="preserve">Round 2 </t>
  </si>
  <si>
    <t>Round 2</t>
  </si>
  <si>
    <t>Walter C - tibalt4life#46559</t>
  </si>
  <si>
    <t>Great game</t>
  </si>
  <si>
    <t xml:space="preserve">ggs </t>
  </si>
  <si>
    <t>Michael C - monkaS#90617</t>
  </si>
  <si>
    <t xml:space="preserve">John P </t>
  </si>
  <si>
    <t>Enrique O - Caex#39549</t>
  </si>
  <si>
    <t>ggs^^</t>
  </si>
  <si>
    <t>Brice G - Dany Brillantine#64832</t>
  </si>
  <si>
    <t>Wp!</t>
  </si>
  <si>
    <t>Buster S - Hugester#31975</t>
  </si>
  <si>
    <t>Joeri vdE - Saixzerjg#15429</t>
  </si>
  <si>
    <t>GGs, Paradigm Broken</t>
  </si>
  <si>
    <t>wp!</t>
  </si>
  <si>
    <t>Daniel He - DanimalMTG#77832</t>
  </si>
  <si>
    <t>sick g3, gg wp !</t>
  </si>
  <si>
    <t xml:space="preserve">Round 3 </t>
  </si>
  <si>
    <t>Round 3</t>
  </si>
  <si>
    <t xml:space="preserve">ggwp! </t>
  </si>
  <si>
    <t>Piers E - Tarnal#87103</t>
  </si>
  <si>
    <t>Sam B - winSome#94148</t>
  </si>
  <si>
    <t>Ron B - bombski#01630</t>
  </si>
  <si>
    <t>gg! ty</t>
  </si>
  <si>
    <t>Jose R - Large Rock#29909</t>
  </si>
  <si>
    <t>Tim O - Zeven28#21705</t>
  </si>
  <si>
    <t>Brendan M - Brendan#66986</t>
  </si>
  <si>
    <t>helluva curve out game 1</t>
  </si>
  <si>
    <t xml:space="preserve">Gg! </t>
  </si>
  <si>
    <t xml:space="preserve">GGWP! </t>
  </si>
  <si>
    <t>Close match!</t>
  </si>
  <si>
    <t>Tomás B - EverFightinDuck#44829</t>
  </si>
  <si>
    <t>ggs, good luck in your pack!</t>
  </si>
  <si>
    <t>Mike R - powerfulfalcon#27271</t>
  </si>
  <si>
    <t>Samuel L - SamuelHappyMan#58467</t>
  </si>
  <si>
    <t>Sam C - casetrah47#69087</t>
  </si>
  <si>
    <t>Cam B - PrinceEggbert#12155</t>
  </si>
  <si>
    <t>Round 4</t>
  </si>
  <si>
    <t>Chris O - chriso91#46230</t>
  </si>
  <si>
    <t>ggs, good luck in your packs!</t>
  </si>
  <si>
    <t>Zach M - Merrillium#62012</t>
  </si>
  <si>
    <t>ggs wp</t>
  </si>
  <si>
    <t>Grace B - Frogies44#31372</t>
  </si>
  <si>
    <t>Sorry about the mana screw gl with packs!</t>
  </si>
  <si>
    <t>Derek B - Ignition Spark#44046</t>
  </si>
  <si>
    <t>Adam S - wizma#29010</t>
  </si>
  <si>
    <t>Benjamin S - FireFalcon#44637</t>
  </si>
  <si>
    <t>ggs wp::)</t>
  </si>
  <si>
    <t>GG ty!</t>
  </si>
  <si>
    <t>Maranda F - BlackCanary#59791</t>
  </si>
  <si>
    <t>Graham H - DireAvenger20#26958</t>
  </si>
  <si>
    <t xml:space="preserve">gg, </t>
  </si>
  <si>
    <t>Reed P - bigfingsnake#86869</t>
  </si>
  <si>
    <t>Sarah B - SarahB9#86247</t>
  </si>
  <si>
    <t>Tyler W - modeadly#31675</t>
  </si>
  <si>
    <t>Logan F - RedEagle#92296</t>
  </si>
  <si>
    <t>Varu L - Tamamo#30654</t>
  </si>
  <si>
    <t>Dave T - RestiveNebula#74573</t>
  </si>
  <si>
    <t>rip no black</t>
  </si>
  <si>
    <t>Adrian C - CarrRadio#73846</t>
  </si>
  <si>
    <t>Caleb G - Whynaut#28590</t>
  </si>
  <si>
    <t>Stefan V - Silversword#06621</t>
  </si>
  <si>
    <t>ggwp</t>
  </si>
  <si>
    <t>Phillip J - philjack#50425</t>
  </si>
  <si>
    <t>Vladimir B - vlad2135#56655</t>
  </si>
  <si>
    <t>Matthias H - Rezreh#11308</t>
  </si>
  <si>
    <t>Stratton B - Viper312#10821</t>
  </si>
  <si>
    <t>Wyatt C - hotdolphin#30769</t>
  </si>
  <si>
    <t>Beni P - Beni#78130</t>
  </si>
  <si>
    <t>Gg</t>
  </si>
  <si>
    <t>Kenny W - NivMizzet042#64889</t>
  </si>
  <si>
    <t>Azeem L - RedSunKnight#32648</t>
  </si>
  <si>
    <t>Ggs!</t>
  </si>
  <si>
    <t>Sawyer T - soyboy#35469</t>
  </si>
  <si>
    <t>Hannah B - itsme#75750</t>
  </si>
  <si>
    <t>:)</t>
  </si>
  <si>
    <t>Matt Ko - Myth#18089</t>
  </si>
  <si>
    <t>GG</t>
  </si>
  <si>
    <t>Andrew B - azore24#54207</t>
  </si>
  <si>
    <t>good game!</t>
  </si>
  <si>
    <t>Austin L - letschanator#21795</t>
  </si>
  <si>
    <t>James M - Demonic Tutor#02131</t>
  </si>
  <si>
    <t>Shaun H - Hoidbringer#50183</t>
  </si>
  <si>
    <t>Vaughan C - vcoder#24336</t>
  </si>
  <si>
    <t>Landon H - G4mingP4stor#86671</t>
  </si>
  <si>
    <t>Justin S - PineSol-X#58065</t>
  </si>
  <si>
    <t>Nik S - njsiii#50504</t>
  </si>
  <si>
    <t>Sylvain T - Iquitos#15484</t>
  </si>
  <si>
    <t>Josie B - Visager#25850</t>
  </si>
  <si>
    <t>Wei C - Azayaka#83352</t>
  </si>
  <si>
    <t xml:space="preserve">GGs. Sorry about no lands. GL in next. </t>
  </si>
  <si>
    <t>Adrian P - Kirinji#46126</t>
  </si>
  <si>
    <t xml:space="preserve">Sorry for the late input!! </t>
  </si>
  <si>
    <t>Joseph H - Sexcellence#51112</t>
  </si>
  <si>
    <t>Simon K - gameboy350#56819</t>
  </si>
  <si>
    <t>John P - gokuorgohome#51511</t>
  </si>
  <si>
    <t>Oskar T - ossytubbi#87966</t>
  </si>
  <si>
    <t>Dyson F - thelizardwizard#34009</t>
  </si>
  <si>
    <t>Benj C - bwnage#90847</t>
  </si>
  <si>
    <t>Ron C - cors#52740</t>
  </si>
  <si>
    <t>Kavi G - metavirus#40912</t>
  </si>
  <si>
    <t>Vasco M - motatom#50510</t>
  </si>
  <si>
    <t>what a close g3</t>
  </si>
  <si>
    <t>Alexis A - Padria#65144</t>
  </si>
  <si>
    <t>Beau G - Beaudacious#41986</t>
  </si>
  <si>
    <t>Chris R - Sinkwater#27508</t>
  </si>
  <si>
    <t>Jake C - the_man_mulcahey#74753</t>
  </si>
  <si>
    <t>Shemaryahu D - 0mniscience#87429</t>
  </si>
  <si>
    <t>Kevin L - Ginjja#84067</t>
  </si>
  <si>
    <t>Wesley C - GigaVoltaic#11782</t>
  </si>
  <si>
    <t>Marc D - M013#58004</t>
  </si>
  <si>
    <t>Nathan W - drummaestro#53129</t>
  </si>
  <si>
    <t>super fun ones, thanks for letting me add swamps to my SB mid game 🙏</t>
  </si>
  <si>
    <t>Caleb K - BlackEcho#09078</t>
  </si>
  <si>
    <t>ggs fellow horse!</t>
  </si>
  <si>
    <t>Alex T - iodne#16876</t>
  </si>
  <si>
    <t>Ggs, welcome to the league!</t>
  </si>
  <si>
    <t>quite the vicious rivalry our factions seem to have</t>
  </si>
  <si>
    <t>GGs, nice chatting with you! :)</t>
  </si>
  <si>
    <t>Jahbari W - lollicat3569#47691</t>
  </si>
  <si>
    <t>Troy A - Tadams54#66582</t>
  </si>
  <si>
    <t>Chris Po - Portto#16017</t>
  </si>
  <si>
    <t>Ryan S - BlueRockObama#72249</t>
  </si>
  <si>
    <t>Braden C - Blynx110#83777</t>
  </si>
  <si>
    <t xml:space="preserve">GGs </t>
  </si>
  <si>
    <t>Steven L - limlimrevolution#50308</t>
  </si>
  <si>
    <t>fun match!!</t>
  </si>
  <si>
    <t>Joaquin E - DiabolicMachine#23891</t>
  </si>
  <si>
    <t>gg!</t>
  </si>
  <si>
    <t>Daniel G - FriskyHobbit#43185</t>
  </si>
  <si>
    <t>Darren C - TurfJerky#01817</t>
  </si>
  <si>
    <t>Robert M - LaughItUp#38462</t>
  </si>
  <si>
    <t>fun games!</t>
  </si>
  <si>
    <t>Puck W - Puck#61696</t>
  </si>
  <si>
    <t>ggs, welcome to the league!</t>
  </si>
  <si>
    <t>Matt S - mullethunter324#49693</t>
  </si>
  <si>
    <t>Matt St - bubbasbums#70462</t>
  </si>
  <si>
    <t>Very good game!</t>
  </si>
  <si>
    <t>Richard K - preacher26#59445</t>
  </si>
  <si>
    <t>Jake Z - wacky#54217</t>
  </si>
  <si>
    <t>Evan C - PeasOfCrab#00133</t>
  </si>
  <si>
    <t>Aaron A - Eclipse2470#03650</t>
  </si>
  <si>
    <t>Henry G - The Savant#44410</t>
  </si>
  <si>
    <t>Joseph S - NotSham#89034</t>
  </si>
  <si>
    <t>Stephen H - Crayth#38098</t>
  </si>
  <si>
    <t>Noah ain't got nothing on ya</t>
  </si>
  <si>
    <t>Cowabunga dude!</t>
  </si>
  <si>
    <t>Travis C - RandomJobber#97055</t>
  </si>
  <si>
    <t>Good Games!</t>
  </si>
  <si>
    <t>Lukas M - Finley_2k1#30925</t>
  </si>
  <si>
    <t>Preston B - Vorbis#46420</t>
  </si>
  <si>
    <t>Alex W - ImperialMarch#57138</t>
  </si>
  <si>
    <t>James T - RevisedIsland#19780</t>
  </si>
  <si>
    <t>Robyn L - Powerfulfalcon#66616</t>
  </si>
  <si>
    <t>John D - DailyDraft#87013</t>
  </si>
  <si>
    <t>Parker V - MajorManiac#13144</t>
  </si>
  <si>
    <t>Ryan M - rrrn22#32842</t>
  </si>
  <si>
    <t>Alex O - Poisonedchicken#66453</t>
  </si>
  <si>
    <t>James C - 3scher#17401</t>
  </si>
  <si>
    <t>Reece P - OTRawrior#91614</t>
  </si>
  <si>
    <t>Rough last game, sorry! GGs</t>
  </si>
  <si>
    <t>Quill M - Nocnoc#13791</t>
  </si>
  <si>
    <t>Kirk K - Hearto#70043</t>
  </si>
  <si>
    <t>Casey L - Caseyloreants#09219</t>
  </si>
  <si>
    <t>Great game, thanks for playing!</t>
  </si>
  <si>
    <t>GGs, sweet deck!!</t>
  </si>
  <si>
    <t>Kevin B - Kevthehumanoid#54640</t>
  </si>
  <si>
    <t>welcome to the league!</t>
  </si>
  <si>
    <t>Very close game 2. Best of luck!</t>
  </si>
  <si>
    <t>Sasson B - Heavy Blanket#62046</t>
  </si>
  <si>
    <t>Thanks for the game!!</t>
  </si>
  <si>
    <t>those lands betrayed you</t>
  </si>
  <si>
    <t>ggs!  Unlucky on the lands.</t>
  </si>
  <si>
    <t>Ryan H - Kitchensinks#50434</t>
  </si>
  <si>
    <t>Jaidin M - MnemonicDevice#38774</t>
  </si>
  <si>
    <t>Zack H - HackZolt#31077</t>
  </si>
  <si>
    <t>Andrew M - Robespierre#01976</t>
  </si>
  <si>
    <t>GG, gl further</t>
  </si>
  <si>
    <t>Alex We - TrashMan#57762</t>
  </si>
  <si>
    <t>Atari H - Planeswalker#95389</t>
  </si>
  <si>
    <t>Jordan M - JMTron#46639</t>
  </si>
  <si>
    <t>Steve T - strout#45062</t>
  </si>
  <si>
    <t>GGs!!</t>
  </si>
  <si>
    <t>Mitchel S - SpaghettiMitch#18619</t>
  </si>
  <si>
    <t>ggs, ty</t>
  </si>
  <si>
    <t>Archie B - archiebaker#44712</t>
  </si>
  <si>
    <t>Bruno F - BrunoFPT#54897</t>
  </si>
  <si>
    <t>ggs, sorry for the wait!</t>
  </si>
  <si>
    <t xml:space="preserve">GGs!! Sweet converge brew! </t>
  </si>
  <si>
    <t>that was a fun one! thanks!</t>
  </si>
  <si>
    <t xml:space="preserve">Good games! Sorry about the lands </t>
  </si>
  <si>
    <t>Really fun match!</t>
  </si>
  <si>
    <t>Ismail C - ICRanger#51417</t>
  </si>
  <si>
    <t>Well played</t>
  </si>
  <si>
    <t>Matt F - MadeMyBus#92429</t>
  </si>
  <si>
    <t>Jacob H - Jahbna#39577</t>
  </si>
  <si>
    <t>Daniel M - HPWizard#40332</t>
  </si>
  <si>
    <t>Sam E - samrich23#66539</t>
  </si>
  <si>
    <t>good games!</t>
  </si>
  <si>
    <t>Hopefully your army grows bigger with this pack!</t>
  </si>
  <si>
    <t>Daniel H - Persivin#94328</t>
  </si>
  <si>
    <t>Mia N - MagistraLudi#80586</t>
  </si>
  <si>
    <t>close ones!</t>
  </si>
  <si>
    <t>Brian H - sharp_borg#06728</t>
  </si>
  <si>
    <t>Benjamin M - Benj#73000</t>
  </si>
  <si>
    <t>Good game!</t>
  </si>
  <si>
    <t>Jonathan P - wheat4days#18347</t>
  </si>
  <si>
    <t xml:space="preserve">Boiled lumaret </t>
  </si>
  <si>
    <t>Antoine L - Taupitop#64553</t>
  </si>
  <si>
    <t>Gregory C - BigChase#15341</t>
  </si>
  <si>
    <t>GGs GL with pack</t>
  </si>
  <si>
    <t>Eddie R - Lord Sorin#57773</t>
  </si>
  <si>
    <t>Good game</t>
  </si>
  <si>
    <t>Just C - Vensolin The Unjust#63394</t>
  </si>
  <si>
    <t xml:space="preserve">Ggs! </t>
  </si>
  <si>
    <t>GGs, GL with the pack</t>
  </si>
  <si>
    <t>Aaron R - Arn#51224</t>
  </si>
  <si>
    <t>Ben P - ChuckNoBlocks#32638</t>
  </si>
  <si>
    <t>GGs! Close ones</t>
  </si>
  <si>
    <t>great games!</t>
  </si>
  <si>
    <t>Zachary S - Zcia#67361</t>
  </si>
  <si>
    <t>George O - oggy#35426</t>
  </si>
  <si>
    <t>Hung on by a thread!</t>
  </si>
  <si>
    <t>Boiled lumaret</t>
  </si>
  <si>
    <t>Bill D - Cato Phoenix#70805</t>
  </si>
  <si>
    <t>That Blech got swole</t>
  </si>
  <si>
    <t xml:space="preserve">Let's get some BAMF cards! </t>
  </si>
  <si>
    <t xml:space="preserve">Good luck with your packs ☺️ </t>
  </si>
  <si>
    <t>Jakob F - Jagger#43388</t>
  </si>
  <si>
    <t>Scary deck!</t>
  </si>
  <si>
    <t>Good games, that spellslinger stuff is scary</t>
  </si>
  <si>
    <t>Chris Y - Yorke on Games#66909</t>
  </si>
  <si>
    <t>Inevitability</t>
  </si>
  <si>
    <t>Straight hands ma boi! SEND ME CHRIS YORKE!!!!!!</t>
  </si>
  <si>
    <t>Close games</t>
  </si>
  <si>
    <t>Called me out, caught THE HANDS</t>
  </si>
  <si>
    <t>Some down to the WIRE games, wow!</t>
  </si>
  <si>
    <t>Well played, despite the carffufle at the start</t>
  </si>
  <si>
    <t>Sorry for the short G3. GGs</t>
  </si>
  <si>
    <t>that game 3 was wild!</t>
  </si>
  <si>
    <t>GGs, srry for the emote i was trying to surveil</t>
  </si>
  <si>
    <t>Sorry for the brutal screws</t>
  </si>
  <si>
    <t>Great games</t>
  </si>
  <si>
    <t>GGs!! Applied geometry on additive evolution almost got me 😮‍💨</t>
  </si>
  <si>
    <t>wow, very close! great games!</t>
  </si>
  <si>
    <t xml:space="preserve">GGs!! Sweet match! </t>
  </si>
  <si>
    <t>GGs!! I knew you must have had another removal in hand, phew! Close one!!!</t>
  </si>
  <si>
    <t xml:space="preserve">GGs!! My first mirror this league! That was tough </t>
  </si>
  <si>
    <t>good games</t>
  </si>
  <si>
    <t>close game!</t>
  </si>
  <si>
    <t xml:space="preserve">Sorry that I drew the mega bomb after I mulled to 4, good games! </t>
  </si>
  <si>
    <t>1-1 overall! lets see what happens week 3.</t>
  </si>
  <si>
    <t>ggs buddy! till next time</t>
  </si>
  <si>
    <t xml:space="preserve">GGs and GL in next </t>
  </si>
  <si>
    <t>Good Games</t>
  </si>
  <si>
    <t>Great games!</t>
  </si>
  <si>
    <t>gg, lands weren't on your side that match.</t>
  </si>
  <si>
    <t>GGs (vs Patrick R)</t>
  </si>
  <si>
    <t>gg's</t>
  </si>
  <si>
    <t>gwp</t>
  </si>
  <si>
    <t>GG's</t>
  </si>
  <si>
    <t>gg see you next week lol</t>
  </si>
  <si>
    <t>Ggs! Good luck with your power.</t>
  </si>
  <si>
    <t>Mana flood is the worst =/. GL on your detention pack!</t>
  </si>
  <si>
    <t>Sometimes it isn't about the life you gained, it is about the friends you made along the way!</t>
  </si>
  <si>
    <t>Crazy match. Good games!</t>
  </si>
  <si>
    <t>Ty for games, what a wild mythic!</t>
  </si>
  <si>
    <t>ggs good luck with the rest of your games =)</t>
  </si>
  <si>
    <t>ty4games!</t>
  </si>
  <si>
    <t>close games!</t>
  </si>
  <si>
    <t>Good games! Sorry about the lands!</t>
  </si>
  <si>
    <t>GGs heartbreaking lands</t>
  </si>
  <si>
    <t>GG sorry about lands</t>
  </si>
  <si>
    <t>Thanks for games!</t>
  </si>
  <si>
    <t>ggs!!</t>
  </si>
  <si>
    <t>ggs may the land drops be in both of our favors</t>
  </si>
  <si>
    <t>great game, the antiquities are too loose!!</t>
  </si>
  <si>
    <t>lore, held</t>
  </si>
  <si>
    <t>ggs, great games.</t>
  </si>
  <si>
    <t>Travis L - AhriPotter#95337</t>
  </si>
  <si>
    <t xml:space="preserve">Seminar mirrror! Ggs </t>
  </si>
  <si>
    <t>Sorry about the land problems</t>
  </si>
  <si>
    <t>Scrappy decks scrapping</t>
  </si>
  <si>
    <t>tight match, gl with pack</t>
  </si>
  <si>
    <t>GGs Splatter Technique FTW</t>
  </si>
  <si>
    <t>straight hands</t>
  </si>
  <si>
    <t>GG, Prof Fel is tough!</t>
  </si>
  <si>
    <t>Well played, I guess we will only get to see this once discord is back up.</t>
  </si>
  <si>
    <t>GG friend</t>
  </si>
  <si>
    <t>GG friend!</t>
  </si>
  <si>
    <t>GGs, sorry about mana in game 2</t>
  </si>
  <si>
    <t>well played!</t>
  </si>
  <si>
    <t>ggs, game 2 was wild</t>
  </si>
  <si>
    <t>GGs, risked it first game keeping a one lander. Didn’t work out haha</t>
  </si>
  <si>
    <t>There goes the winstreak &lt;/3</t>
  </si>
  <si>
    <t>GGs!! Very tight games, cool deck 😍!</t>
  </si>
  <si>
    <t>ggs, ty!</t>
  </si>
  <si>
    <t>ggs, some intense games</t>
  </si>
  <si>
    <t>Well played, that discard 5 was brutal</t>
  </si>
  <si>
    <t>GGs and tight plays, I drew me bombs</t>
  </si>
  <si>
    <t>3 cracking matches, well played!</t>
  </si>
  <si>
    <t>Sorry about the lands!  Best of luck in the future.</t>
  </si>
  <si>
    <t>Well played, lets get you a good pack!</t>
  </si>
  <si>
    <t>Well played, that ssecond game was tight!</t>
  </si>
  <si>
    <t>sorry about game 3</t>
  </si>
  <si>
    <t>ggs game one was crazy close</t>
  </si>
  <si>
    <t>GG, paradigm broken</t>
  </si>
  <si>
    <t>intense games!!!</t>
  </si>
  <si>
    <t>Good games scrying is magic!</t>
  </si>
  <si>
    <t>Mana flood is oof but still GG's!</t>
  </si>
  <si>
    <t>EPIC!</t>
  </si>
  <si>
    <t>Good games</t>
  </si>
  <si>
    <t>Good games!</t>
  </si>
  <si>
    <t>Crazy lifegain!</t>
  </si>
  <si>
    <t>crazy g1! gg</t>
  </si>
  <si>
    <t>ggs! crazy last game</t>
  </si>
  <si>
    <t>good back and forth games. Multicolor slop to the maximum</t>
  </si>
  <si>
    <t>GG!!</t>
  </si>
  <si>
    <t>Blue lesson stonks</t>
  </si>
  <si>
    <t>Great match!</t>
  </si>
  <si>
    <t>The Mentor Strikes Back</t>
  </si>
  <si>
    <t>Carried by Arcane Omens twice. Dina was a house!</t>
  </si>
  <si>
    <t>ggs, sorry about the mana troubles g2</t>
  </si>
  <si>
    <t>love the prismari deck!!</t>
  </si>
  <si>
    <t>great games</t>
  </si>
  <si>
    <t>Close games!</t>
  </si>
  <si>
    <t>Thanks for the match!</t>
  </si>
  <si>
    <t>Fantastic games buddy, proud and sad to be your final loss</t>
  </si>
  <si>
    <t>Thanks for the match</t>
  </si>
  <si>
    <t>Graduate Studies to the rescue!</t>
  </si>
  <si>
    <t>Sorry for game 2</t>
  </si>
  <si>
    <t>Great Games!</t>
  </si>
  <si>
    <t>ggs was a good one</t>
  </si>
  <si>
    <t>Ggs</t>
  </si>
  <si>
    <t>gg, sorry about the lands in m3</t>
  </si>
  <si>
    <t>Great deck and pilot!</t>
  </si>
  <si>
    <t>Wild second game!</t>
  </si>
  <si>
    <t>Super close last game!</t>
  </si>
  <si>
    <t xml:space="preserve">ggs! </t>
  </si>
  <si>
    <t>oopsies</t>
  </si>
  <si>
    <t>Very close games!</t>
  </si>
  <si>
    <t>ggs buddy</t>
  </si>
  <si>
    <t>Scary bombs</t>
  </si>
  <si>
    <t>good luck</t>
  </si>
  <si>
    <t>Please please please, allow for this current week. :)</t>
  </si>
  <si>
    <t>GGs. That G3 was wild</t>
  </si>
  <si>
    <t>Way too lucky with the arcane omens</t>
  </si>
  <si>
    <t>close match!</t>
  </si>
  <si>
    <t>GGs!!!</t>
  </si>
  <si>
    <t>GGs. Aggro is stupid</t>
  </si>
  <si>
    <t>ggs, sorry about the shuffler!</t>
  </si>
  <si>
    <t>ggs, sorry about the bug!</t>
  </si>
  <si>
    <t>Well played, those were two very close matches!</t>
  </si>
  <si>
    <t>What an attrition battle!</t>
  </si>
  <si>
    <t>What a mirror match</t>
  </si>
  <si>
    <t xml:space="preserve">Gg, sorry about the lands! </t>
  </si>
  <si>
    <t>ggs, good luck with your pulls</t>
  </si>
  <si>
    <t>ggs, thanks for the games</t>
  </si>
  <si>
    <t>ggs... INSANE game 1</t>
  </si>
  <si>
    <t>rough draws all the way around lol</t>
  </si>
  <si>
    <t>GL aggro twin!</t>
  </si>
  <si>
    <t>GGGS</t>
  </si>
  <si>
    <t>ggs, sorry about the mana screw g3</t>
  </si>
  <si>
    <t>ggs, good luck in your pack!!</t>
  </si>
  <si>
    <t>Ggs. May both our lands be kinder in the future.</t>
  </si>
  <si>
    <t xml:space="preserve">Good games! </t>
  </si>
  <si>
    <t>12 mulligans in 3 games?</t>
  </si>
  <si>
    <t>Great games, very tense</t>
  </si>
  <si>
    <t>ggwp!</t>
  </si>
  <si>
    <t>Fat pests!</t>
  </si>
  <si>
    <t>ggs! Sorry about the screw =(</t>
  </si>
  <si>
    <t>best games this league</t>
  </si>
  <si>
    <t>Unbelievably close -- ggs!</t>
  </si>
  <si>
    <t>Tight games!</t>
  </si>
  <si>
    <t>I SURVIVE</t>
  </si>
  <si>
    <t>Blazingly fast game 1 GGs</t>
  </si>
  <si>
    <t>ggs that was intense</t>
  </si>
  <si>
    <t xml:space="preserve">Re-Report from Error </t>
  </si>
  <si>
    <t>Thanks for the game!</t>
  </si>
  <si>
    <t>epic games!</t>
  </si>
  <si>
    <t>ggs bud</t>
  </si>
  <si>
    <t>Really sorry about that game 3. GGs</t>
  </si>
  <si>
    <t>couldnt have been closer</t>
  </si>
  <si>
    <t>GGs, Paradigm Broken!</t>
  </si>
  <si>
    <t>GGs, crazy last game</t>
  </si>
  <si>
    <t>Thanks for the games. Super close match!</t>
  </si>
  <si>
    <t>"good" and "games" are drastic understatements for what just happened</t>
  </si>
  <si>
    <t>Those lands, though.  gg!</t>
  </si>
  <si>
    <t>ggs thanks for the games!</t>
  </si>
  <si>
    <t>ggs!  That was a crazy close game two!</t>
  </si>
  <si>
    <t>WEEK #</t>
  </si>
  <si>
    <t>Good luck on your pack!</t>
  </si>
  <si>
    <t>Entropy Week</t>
  </si>
  <si>
    <t>(should be at 0 before the league starts)</t>
  </si>
  <si>
    <t>QUOTA:</t>
  </si>
  <si>
    <t>Good grindy games</t>
  </si>
  <si>
    <t>DATES</t>
  </si>
  <si>
    <t>MATCHES RANGE</t>
  </si>
  <si>
    <t>PLANE CODES</t>
  </si>
  <si>
    <t>WEEK</t>
  </si>
  <si>
    <t>FROM</t>
  </si>
  <si>
    <t>TO</t>
  </si>
  <si>
    <t>MIN</t>
  </si>
  <si>
    <t>MAX</t>
  </si>
  <si>
    <t>DOM</t>
  </si>
  <si>
    <t>Registration</t>
  </si>
  <si>
    <t>GGs, transformational SBs</t>
  </si>
  <si>
    <t>M21</t>
  </si>
  <si>
    <t>AFR</t>
  </si>
  <si>
    <t>KLR</t>
  </si>
  <si>
    <t>M19</t>
  </si>
  <si>
    <t>**You must end each week within the specified Min-Max range of matches played. Times in EST.</t>
  </si>
  <si>
    <t>M20</t>
  </si>
  <si>
    <t>SNC</t>
  </si>
  <si>
    <t>BRO</t>
  </si>
  <si>
    <t>XLN</t>
  </si>
  <si>
    <t>STX</t>
  </si>
  <si>
    <t>AKR</t>
  </si>
  <si>
    <t>KHM</t>
  </si>
  <si>
    <t>DMU</t>
  </si>
  <si>
    <t>ELD</t>
  </si>
  <si>
    <t>IKO</t>
  </si>
  <si>
    <t>NEO</t>
  </si>
  <si>
    <t>THB</t>
  </si>
  <si>
    <t>ISD</t>
  </si>
  <si>
    <t>ggs and good luck next season &lt;3</t>
  </si>
  <si>
    <t>what a match, ggs!</t>
  </si>
  <si>
    <t>Great deck!</t>
  </si>
  <si>
    <t>MATCH #</t>
  </si>
  <si>
    <t>PLAYER 1</t>
  </si>
  <si>
    <t>PLAYER 2</t>
  </si>
  <si>
    <t>PLAYER 1 SCORE</t>
  </si>
  <si>
    <t>PLAYER 2 SCORE</t>
  </si>
  <si>
    <t>RESULT</t>
  </si>
  <si>
    <t>Comeback Pack</t>
  </si>
  <si>
    <t>ggs! heart was pounding throughout</t>
  </si>
  <si>
    <t>ENTROPY</t>
  </si>
  <si>
    <t>Jared M - doc_martin#46452</t>
  </si>
  <si>
    <t>Oceane C - Oce#92102</t>
  </si>
  <si>
    <t>GGs sorry about the mana screw</t>
  </si>
  <si>
    <t>Good luck in your future games!</t>
  </si>
  <si>
    <t>Ggs ark of hunger is great</t>
  </si>
  <si>
    <t>Richard S - jessuscrice#89183</t>
  </si>
  <si>
    <t>Salvatore P - Unborne#42237</t>
  </si>
  <si>
    <t>Epic match!!</t>
  </si>
  <si>
    <t>wp</t>
  </si>
  <si>
    <t>Theo T - lycurgus13#15780</t>
  </si>
  <si>
    <t>lands n stuff :(</t>
  </si>
  <si>
    <t>ggs!  Those were some close games.</t>
  </si>
  <si>
    <t>ggs --- sorry about the mana screw</t>
  </si>
  <si>
    <t>that game 1 was nuts!</t>
  </si>
  <si>
    <t xml:space="preserve">GGs! Game 2 was sweet! </t>
  </si>
  <si>
    <t>Great battle of lorehold. Go win the rest of your matches for us!</t>
  </si>
  <si>
    <t>ggs fellow lorehold.</t>
  </si>
  <si>
    <t>Sorry about the lands and burn, see you next league</t>
  </si>
  <si>
    <t xml:space="preserve">GG </t>
  </si>
  <si>
    <t/>
  </si>
  <si>
    <t>Week</t>
  </si>
  <si>
    <t>Player Pools</t>
  </si>
  <si>
    <t>NAME</t>
  </si>
  <si>
    <t>Discord ID</t>
  </si>
  <si>
    <t>Identification</t>
  </si>
  <si>
    <t>WINS</t>
  </si>
  <si>
    <t>LOSSES</t>
  </si>
  <si>
    <t>CURRENT POOL</t>
  </si>
  <si>
    <t>STARTING POOL</t>
  </si>
  <si>
    <t>PACK 1</t>
  </si>
  <si>
    <t>PACK 2</t>
  </si>
  <si>
    <t>PACK 3</t>
  </si>
  <si>
    <t>PACK 4</t>
  </si>
  <si>
    <t>PACK 5</t>
  </si>
  <si>
    <t>PACK 6</t>
  </si>
  <si>
    <t>PACK 7</t>
  </si>
  <si>
    <t>PACK 8</t>
  </si>
  <si>
    <t>PACK 9</t>
  </si>
  <si>
    <t>PACK 10</t>
  </si>
  <si>
    <t>Aaron A</t>
  </si>
  <si>
    <t>Eclipse2470#03650</t>
  </si>
  <si>
    <t>232271734261153802</t>
  </si>
  <si>
    <t>Aaron B</t>
  </si>
  <si>
    <t>Bevelman#18220</t>
  </si>
  <si>
    <t>323831521519861760</t>
  </si>
  <si>
    <t>Aaron R</t>
  </si>
  <si>
    <t>Arn#51224</t>
  </si>
  <si>
    <t>227664758348709890</t>
  </si>
  <si>
    <t>Adam D</t>
  </si>
  <si>
    <t>Adam#54521</t>
  </si>
  <si>
    <t>806683749777145877</t>
  </si>
  <si>
    <t>Adam S</t>
  </si>
  <si>
    <t>wizma#29010</t>
  </si>
  <si>
    <t>628270302102552578</t>
  </si>
  <si>
    <t>Adrian C</t>
  </si>
  <si>
    <t>CarrRadio#73846</t>
  </si>
  <si>
    <t>257582663488110602</t>
  </si>
  <si>
    <t>Adrian P</t>
  </si>
  <si>
    <t>Kirinji#46126</t>
  </si>
  <si>
    <t>623186382914977792</t>
  </si>
  <si>
    <t>Alex E</t>
  </si>
  <si>
    <t>MoxMango#59586</t>
  </si>
  <si>
    <t>1260531534075527199</t>
  </si>
  <si>
    <t>Alex H</t>
  </si>
  <si>
    <t>Merriman#08092</t>
  </si>
  <si>
    <t>815758135741644800</t>
  </si>
  <si>
    <t>Alex O</t>
  </si>
  <si>
    <t>Poisonedchicken#66453</t>
  </si>
  <si>
    <t>185831723378933792</t>
  </si>
  <si>
    <t>Alex T</t>
  </si>
  <si>
    <t>iodne#16876</t>
  </si>
  <si>
    <t>88364293774393344</t>
  </si>
  <si>
    <t>Alex W</t>
  </si>
  <si>
    <t>ImperialMarch#57138</t>
  </si>
  <si>
    <t>544186914610348052</t>
  </si>
  <si>
    <t>Alex We</t>
  </si>
  <si>
    <t>TrashMan#57762</t>
  </si>
  <si>
    <t>351123009546747904</t>
  </si>
  <si>
    <t>Alexis A</t>
  </si>
  <si>
    <t>Padria#65144</t>
  </si>
  <si>
    <t>357612929752891392</t>
  </si>
  <si>
    <t>Alexis M</t>
  </si>
  <si>
    <t>Alexsfly#67052</t>
  </si>
  <si>
    <t>164813101001080833</t>
  </si>
  <si>
    <t>Andreas V</t>
  </si>
  <si>
    <t>vwhite#64530</t>
  </si>
  <si>
    <t>483700492728532994</t>
  </si>
  <si>
    <t>511595504199663640</t>
  </si>
  <si>
    <t>Andrew M</t>
  </si>
  <si>
    <t>Robespierre#01976</t>
  </si>
  <si>
    <t>345605872099262474</t>
  </si>
  <si>
    <t>Antoine L</t>
  </si>
  <si>
    <t>Taupitop#64553</t>
  </si>
  <si>
    <t>243521914981580803</t>
  </si>
  <si>
    <t>Archie B</t>
  </si>
  <si>
    <t>archiebaker#44712</t>
  </si>
  <si>
    <t>216936887120691200</t>
  </si>
  <si>
    <t>Atari H</t>
  </si>
  <si>
    <t>Planeswalker#95389</t>
  </si>
  <si>
    <t>1358339852554342440</t>
  </si>
  <si>
    <t>Austin L</t>
  </si>
  <si>
    <t>letschanator#21795</t>
  </si>
  <si>
    <t>178657985847885824</t>
  </si>
  <si>
    <t>Azeem L</t>
  </si>
  <si>
    <t>RedSunKnight#32648</t>
  </si>
  <si>
    <t>309136707121446913</t>
  </si>
  <si>
    <t>Beau G</t>
  </si>
  <si>
    <t>Beaudacious#41986</t>
  </si>
  <si>
    <t>213100772630593537</t>
  </si>
  <si>
    <t>Ben P</t>
  </si>
  <si>
    <t>ChuckNoBlocks#32638</t>
  </si>
  <si>
    <t>782472606053957643</t>
  </si>
  <si>
    <t>Beni P</t>
  </si>
  <si>
    <t>Beni#78130</t>
  </si>
  <si>
    <t>1411573060456153201</t>
  </si>
  <si>
    <t>Week 5 College Win Rates</t>
  </si>
  <si>
    <t>Rank</t>
  </si>
  <si>
    <t>Adjusted Win Rate</t>
  </si>
  <si>
    <t>Overall College Win Rates</t>
  </si>
  <si>
    <t>Benj C</t>
  </si>
  <si>
    <t>bwnage#90847</t>
  </si>
  <si>
    <t>College Rivalry By Week</t>
  </si>
  <si>
    <t>Week 1</t>
  </si>
  <si>
    <t>Matches</t>
  </si>
  <si>
    <t>Wins</t>
  </si>
  <si>
    <t>Losses</t>
  </si>
  <si>
    <t>Underplay penalty</t>
  </si>
  <si>
    <t>Intraclanplay penalty</t>
  </si>
  <si>
    <t>Win Rate</t>
  </si>
  <si>
    <t>Adj. Win Rate</t>
  </si>
  <si>
    <t>Lorehold</t>
  </si>
  <si>
    <t>Benjamin M</t>
  </si>
  <si>
    <t>Benj#73000</t>
  </si>
  <si>
    <t>675011255924424704</t>
  </si>
  <si>
    <t>Prismari</t>
  </si>
  <si>
    <t>Quandrix</t>
  </si>
  <si>
    <t>Benjamin S</t>
  </si>
  <si>
    <t>FireFalcon#44637</t>
  </si>
  <si>
    <t>267121584962011138</t>
  </si>
  <si>
    <t>Silverquill</t>
  </si>
  <si>
    <t>Witherbloom</t>
  </si>
  <si>
    <t>Bill D</t>
  </si>
  <si>
    <t>Cato Phoenix#70805</t>
  </si>
  <si>
    <t>206262141068640257</t>
  </si>
  <si>
    <t>Week 2</t>
  </si>
  <si>
    <t xml:space="preserve">Matches </t>
  </si>
  <si>
    <t>Win rate</t>
  </si>
  <si>
    <t>Bob P</t>
  </si>
  <si>
    <t>HIT#08120</t>
  </si>
  <si>
    <t>294661175235444737</t>
  </si>
  <si>
    <t>Braden C</t>
  </si>
  <si>
    <t>Blynx110#83777</t>
  </si>
  <si>
    <t>152979586710372353</t>
  </si>
  <si>
    <t>Week 3</t>
  </si>
  <si>
    <t>Brendan M</t>
  </si>
  <si>
    <t>Brendan#66986</t>
  </si>
  <si>
    <t>197158018301952001</t>
  </si>
  <si>
    <t>Brenden N</t>
  </si>
  <si>
    <t>Eggplantsonfire#75821</t>
  </si>
  <si>
    <t>349057124568924164</t>
  </si>
  <si>
    <t>Week 4</t>
  </si>
  <si>
    <t>Brian H</t>
  </si>
  <si>
    <t>sharp_borg#06728</t>
  </si>
  <si>
    <t>688110680544509985</t>
  </si>
  <si>
    <t>Week 5</t>
  </si>
  <si>
    <t>Brian S</t>
  </si>
  <si>
    <t>&lt;Quinton&gt;#67960</t>
  </si>
  <si>
    <t>252198343764213760</t>
  </si>
  <si>
    <t>Brice G</t>
  </si>
  <si>
    <t>Dany Brillantine#64832</t>
  </si>
  <si>
    <t>1293554936528900149</t>
  </si>
  <si>
    <t>Bruno F</t>
  </si>
  <si>
    <t>BrunoFPT#54897</t>
  </si>
  <si>
    <t>299627648626327564</t>
  </si>
  <si>
    <t>Total</t>
  </si>
  <si>
    <t>TOTALS (incl entropy)</t>
  </si>
  <si>
    <t>Buster S</t>
  </si>
  <si>
    <t>Hugester#31975</t>
  </si>
  <si>
    <t>849432617400795177</t>
  </si>
  <si>
    <t>TOTALS (w/o entropy)</t>
  </si>
  <si>
    <t>Number of Players:</t>
  </si>
  <si>
    <t>Number of Active Players:</t>
  </si>
  <si>
    <t>Number of Players Eliminated:</t>
  </si>
  <si>
    <t>Above green line = prizes!</t>
  </si>
  <si>
    <t>Total number of matches</t>
  </si>
  <si>
    <t>Below green line = NO prizes</t>
  </si>
  <si>
    <t>Number of Match Wins</t>
  </si>
  <si>
    <t>Number of Match Losses</t>
  </si>
  <si>
    <t>Caleb G</t>
  </si>
  <si>
    <t>Whynaut#28590</t>
  </si>
  <si>
    <t>264164195472375818</t>
  </si>
  <si>
    <t>All Time Stats</t>
  </si>
  <si>
    <t>Max number of matches left</t>
  </si>
  <si>
    <t xml:space="preserve">ARENA GAUNTLET LEAGUE: </t>
  </si>
  <si>
    <t>Secrets of Strixhaven</t>
  </si>
  <si>
    <t>Caleb K</t>
  </si>
  <si>
    <t>BlackEcho#09078</t>
  </si>
  <si>
    <t>161304999501103104</t>
  </si>
  <si>
    <t>Your Name/Arena ID</t>
  </si>
  <si>
    <t>Entire College Stats</t>
  </si>
  <si>
    <t>Course 1</t>
  </si>
  <si>
    <t>Course 2</t>
  </si>
  <si>
    <t>Course 3</t>
  </si>
  <si>
    <t xml:space="preserve">I confirm I have read the course descriptions, double checked my selections and am satisfied with my choices. </t>
  </si>
  <si>
    <t>ERROR</t>
  </si>
  <si>
    <t>Entire Clan Match Stats w/o Entropy</t>
  </si>
  <si>
    <t>Term</t>
  </si>
  <si>
    <t>Botany</t>
  </si>
  <si>
    <t>Spellcasting Potency</t>
  </si>
  <si>
    <t>Humanities 101</t>
  </si>
  <si>
    <t>Yes</t>
  </si>
  <si>
    <t>Played</t>
  </si>
  <si>
    <t>Won</t>
  </si>
  <si>
    <t>Lost**</t>
  </si>
  <si>
    <t>Win %</t>
  </si>
  <si>
    <t>&lt; Min</t>
  </si>
  <si>
    <t>Live Players</t>
  </si>
  <si>
    <t>Eliminated</t>
  </si>
  <si>
    <t>Entropy</t>
  </si>
  <si>
    <t>Played**</t>
  </si>
  <si>
    <t>x̄ OMW%</t>
  </si>
  <si>
    <t>Record</t>
  </si>
  <si>
    <t>Cartography 101</t>
  </si>
  <si>
    <t>Advanced History of Witherbloom</t>
  </si>
  <si>
    <t>Advanced History of Silverquill</t>
  </si>
  <si>
    <t>Heroes and Heroism in Literature</t>
  </si>
  <si>
    <t>Interpretive Dance</t>
  </si>
  <si>
    <t>Digsite Studies</t>
  </si>
  <si>
    <t>Megafauna 101</t>
  </si>
  <si>
    <t>Advanced Necromancy</t>
  </si>
  <si>
    <t>REPLACED</t>
  </si>
  <si>
    <t>History of Magic</t>
  </si>
  <si>
    <t>Spiritual Studies</t>
  </si>
  <si>
    <t>History of Lorehold</t>
  </si>
  <si>
    <t>Advanced History of Prismari</t>
  </si>
  <si>
    <t>History of Prismari</t>
  </si>
  <si>
    <t>Mystic Martial Arts</t>
  </si>
  <si>
    <t>History of Witherbloom</t>
  </si>
  <si>
    <t>Humanities 201</t>
  </si>
  <si>
    <t>Applied Thermodynamics</t>
  </si>
  <si>
    <t>Applied Biology</t>
  </si>
  <si>
    <t>Combat Studies</t>
  </si>
  <si>
    <t>Life Sciences</t>
  </si>
  <si>
    <t>143203654919389184</t>
  </si>
  <si>
    <t>Culinary Studies</t>
  </si>
  <si>
    <t>Entomology</t>
  </si>
  <si>
    <t>Advanced History of Lorehold</t>
  </si>
  <si>
    <t>Advanced History of Quandrix</t>
  </si>
  <si>
    <t>History of Quandrix</t>
  </si>
  <si>
    <t>Organic Chemistry</t>
  </si>
  <si>
    <t>Introduction to Cantrips</t>
  </si>
  <si>
    <t>Stagecrafting</t>
  </si>
  <si>
    <t>History of Silverquill</t>
  </si>
  <si>
    <t>Art of the Duel</t>
  </si>
  <si>
    <t>Casey A</t>
  </si>
  <si>
    <t>andrewca#12272</t>
  </si>
  <si>
    <t>528695146460610581</t>
  </si>
  <si>
    <t>Relicology</t>
  </si>
  <si>
    <t>Andrew B // azore24#54207</t>
  </si>
  <si>
    <t>Archival Studies</t>
  </si>
  <si>
    <t>Archaeomancy</t>
  </si>
  <si>
    <t>First Aid Basics</t>
  </si>
  <si>
    <t>Casey L</t>
  </si>
  <si>
    <t>Caseyloreants#09219</t>
  </si>
  <si>
    <t>186336510755340288</t>
  </si>
  <si>
    <t>Material Analysis</t>
  </si>
  <si>
    <t>Amplimancy</t>
  </si>
  <si>
    <t>Charles B</t>
  </si>
  <si>
    <t>CandyDaniel#16348</t>
  </si>
  <si>
    <t>123569663195086850</t>
  </si>
  <si>
    <t>Introduction to Necromancy</t>
  </si>
  <si>
    <t>Chris D</t>
  </si>
  <si>
    <t>Stereolab#37691</t>
  </si>
  <si>
    <t>740842963407732768</t>
  </si>
  <si>
    <t>Chris K</t>
  </si>
  <si>
    <t>**Does not include entropy</t>
  </si>
  <si>
    <t>kaiserroll802#17525</t>
  </si>
  <si>
    <t>632280268073598996</t>
  </si>
  <si>
    <t xml:space="preserve">**VS players only, no entropy </t>
  </si>
  <si>
    <t xml:space="preserve">           Losing College</t>
  </si>
  <si>
    <t>Match Win % VS Clan</t>
  </si>
  <si>
    <t>Grand Total</t>
  </si>
  <si>
    <t>Brokers</t>
  </si>
  <si>
    <t>Cabaretti</t>
  </si>
  <si>
    <t>Maestros</t>
  </si>
  <si>
    <t>Obscura</t>
  </si>
  <si>
    <t>Riveteers</t>
  </si>
  <si>
    <t>381456137146597386</t>
  </si>
  <si>
    <t>Howard T // Kaozu#62298</t>
  </si>
  <si>
    <t>317689280631799810</t>
  </si>
  <si>
    <t>Ryan S // BlueRockObama#72249</t>
  </si>
  <si>
    <t>Chris Po</t>
  </si>
  <si>
    <t>Portto#16017</t>
  </si>
  <si>
    <t>472916296430911520</t>
  </si>
  <si>
    <t>Chris Pr</t>
  </si>
  <si>
    <t>Darkdragonzt#58801</t>
  </si>
  <si>
    <t>123934086535315456</t>
  </si>
  <si>
    <t>**Winning clan is horizontal, losing clan is vertical</t>
  </si>
  <si>
    <t xml:space="preserve">                 Losing College</t>
  </si>
  <si>
    <t>Chris R</t>
  </si>
  <si>
    <t>Sinkwater#27508</t>
  </si>
  <si>
    <t>708862744748752898</t>
  </si>
  <si>
    <t>Chris Y</t>
  </si>
  <si>
    <t>Yorke on Games#66909</t>
  </si>
  <si>
    <t>394273400425545738</t>
  </si>
  <si>
    <t>Gregory C // BigChase#15341</t>
  </si>
  <si>
    <t>Cody U</t>
  </si>
  <si>
    <t>Speediurdi#14686</t>
  </si>
  <si>
    <t>121475854936178688</t>
  </si>
  <si>
    <t>Cody-R MG</t>
  </si>
  <si>
    <t>boink#65210</t>
  </si>
  <si>
    <t>532980091609808896</t>
  </si>
  <si>
    <t>Colton M</t>
  </si>
  <si>
    <t>Mang#55794</t>
  </si>
  <si>
    <t>547794841505890314</t>
  </si>
  <si>
    <t>Cory M</t>
  </si>
  <si>
    <t>100beep#46371</t>
  </si>
  <si>
    <t>614078465918107674</t>
  </si>
  <si>
    <t>Curtis W</t>
  </si>
  <si>
    <t>iCwalzy#05483</t>
  </si>
  <si>
    <t>278268877564149760</t>
  </si>
  <si>
    <t>Dakota C</t>
  </si>
  <si>
    <t>Coffey#70489</t>
  </si>
  <si>
    <t>536116648852062208</t>
  </si>
  <si>
    <t>Dan B</t>
  </si>
  <si>
    <t>Hmishima#77128</t>
  </si>
  <si>
    <t>666131875441672193</t>
  </si>
  <si>
    <t>Name</t>
  </si>
  <si>
    <t>Type</t>
  </si>
  <si>
    <t>Value</t>
  </si>
  <si>
    <t>Comment</t>
  </si>
  <si>
    <t>Full Pool</t>
  </si>
  <si>
    <t>2026-04-22T21:11:30.997Z</t>
  </si>
  <si>
    <t>starting pool</t>
  </si>
  <si>
    <t>GDjjzHCx7c</t>
  </si>
  <si>
    <t>SOS starting pool</t>
  </si>
  <si>
    <t>2026-04-22T21:11:54.126Z</t>
  </si>
  <si>
    <t>qjLyYNLnUV</t>
  </si>
  <si>
    <t>2026-04-22T21:12:01.837Z</t>
  </si>
  <si>
    <t>VUa7EJwBT3</t>
  </si>
  <si>
    <t>2026-04-22T21:12:13.101Z</t>
  </si>
  <si>
    <t>29F5zzbogr</t>
  </si>
  <si>
    <t>2026-04-22T21:13:58.659Z</t>
  </si>
  <si>
    <t>gTECuNfPtR</t>
  </si>
  <si>
    <t>2026-04-22T21:14:08.845Z</t>
  </si>
  <si>
    <t>7dUboKXRgQ</t>
  </si>
  <si>
    <t>2026-04-22T21:14:16.729Z</t>
  </si>
  <si>
    <t>nr6u27e5hs</t>
  </si>
  <si>
    <t>2026-04-22T21:14:26.987Z</t>
  </si>
  <si>
    <t>Daniel G</t>
  </si>
  <si>
    <t>FriskyHobbit#43185</t>
  </si>
  <si>
    <t>2sUe7N6VNF</t>
  </si>
  <si>
    <t>540797209579487232</t>
  </si>
  <si>
    <t>2026-04-22T21:14:34.386Z</t>
  </si>
  <si>
    <t>yAKJSdBja6</t>
  </si>
  <si>
    <t>2026-04-22T21:14:43.984Z</t>
  </si>
  <si>
    <t>mPvraFshUy</t>
  </si>
  <si>
    <t>2026-04-22T21:14:51.106Z</t>
  </si>
  <si>
    <t>6qU64KfqZy</t>
  </si>
  <si>
    <t>2026-04-22T21:15:01.006Z</t>
  </si>
  <si>
    <t>y8BN9tCPwQ</t>
  </si>
  <si>
    <t>2026-04-22T21:15:09.460Z</t>
  </si>
  <si>
    <t>NLkEpwYNPM</t>
  </si>
  <si>
    <t>2026-04-22T21:15:21.654Z</t>
  </si>
  <si>
    <t>VQFhQLQA5u</t>
  </si>
  <si>
    <t>2026-04-22T21:15:30.174Z</t>
  </si>
  <si>
    <t>FBAs2urGBV</t>
  </si>
  <si>
    <t>2026-04-22T21:15:39.103Z</t>
  </si>
  <si>
    <t>jwH9gCkcLi</t>
  </si>
  <si>
    <t>2026-04-22T21:15:48.269Z</t>
  </si>
  <si>
    <t>UotygGzYqv</t>
  </si>
  <si>
    <t>2026-04-22T21:15:54.167Z</t>
  </si>
  <si>
    <t>Aok6bs1yym</t>
  </si>
  <si>
    <t>2026-04-22T21:16:06.965Z</t>
  </si>
  <si>
    <t>mAqiCw3aEz</t>
  </si>
  <si>
    <t>2026-04-22T21:16:13.329Z</t>
  </si>
  <si>
    <t>pgoqpw5qdr</t>
  </si>
  <si>
    <t>2026-04-22T21:16:23.680Z</t>
  </si>
  <si>
    <t>a6wiiWcBTj</t>
  </si>
  <si>
    <t>2026-04-22T21:16:31.363Z</t>
  </si>
  <si>
    <t>eV2sBi5bNV</t>
  </si>
  <si>
    <t>2026-04-22T21:16:44.924Z</t>
  </si>
  <si>
    <t>neFgLgtEZb</t>
  </si>
  <si>
    <t>2026-04-22T21:16:53.347Z</t>
  </si>
  <si>
    <t>jBHRBavo1E</t>
  </si>
  <si>
    <t>2026-04-22T21:17:01.033Z</t>
  </si>
  <si>
    <t>YArx1RiTN5</t>
  </si>
  <si>
    <t>2026-04-22T21:17:08.947Z</t>
  </si>
  <si>
    <t>MP9M5XNgJM</t>
  </si>
  <si>
    <t>2026-04-22T21:17:16.912Z</t>
  </si>
  <si>
    <t>qJxUG9bte7</t>
  </si>
  <si>
    <t>2026-04-22T21:17:25.332Z</t>
  </si>
  <si>
    <t>5HHabLrYJZ</t>
  </si>
  <si>
    <t>2026-04-22T21:17:34.402Z</t>
  </si>
  <si>
    <t>m2pbTWM2QP</t>
  </si>
  <si>
    <t>2026-04-22T21:17:44.905Z</t>
  </si>
  <si>
    <t>HVjf7Njbyr</t>
  </si>
  <si>
    <t>2026-04-22T21:17:55.693Z</t>
  </si>
  <si>
    <t>ZQfeKW9Pc7</t>
  </si>
  <si>
    <t>2026-04-22T21:18:04.610Z</t>
  </si>
  <si>
    <t>2Dm6sAmU5R</t>
  </si>
  <si>
    <t>2026-04-22T21:18:12.883Z</t>
  </si>
  <si>
    <t>ccNofBS3Ry</t>
  </si>
  <si>
    <t>2026-04-22T21:18:19.525Z</t>
  </si>
  <si>
    <t>vR3rgKGBVm</t>
  </si>
  <si>
    <t>2026-04-22T21:18:33.610Z</t>
  </si>
  <si>
    <t>VLX6Gm3E8F</t>
  </si>
  <si>
    <t>2026-04-22T21:18:42.998Z</t>
  </si>
  <si>
    <t>Nzy7YZmRs5</t>
  </si>
  <si>
    <t>2026-04-22T21:18:50.436Z</t>
  </si>
  <si>
    <t>A4RvqQAALB</t>
  </si>
  <si>
    <t>2026-04-22T21:18:57.568Z</t>
  </si>
  <si>
    <t>SvDuwMkhat</t>
  </si>
  <si>
    <t>2026-04-22T21:19:03.386Z</t>
  </si>
  <si>
    <t>MAQ1UUHnA7</t>
  </si>
  <si>
    <t>Daniel H</t>
  </si>
  <si>
    <t>Persivin#94328</t>
  </si>
  <si>
    <t>634258953320267776</t>
  </si>
  <si>
    <t>2026-04-22T21:19:13.991Z</t>
  </si>
  <si>
    <t>gp5pqBz1bR</t>
  </si>
  <si>
    <t>2026-04-22T21:19:20.839Z</t>
  </si>
  <si>
    <t>xrsYXQvids</t>
  </si>
  <si>
    <t>2026-04-22T21:19:29.470Z</t>
  </si>
  <si>
    <t>vN2LPwLb8H</t>
  </si>
  <si>
    <t>2026-04-22T21:19:36.533Z</t>
  </si>
  <si>
    <t>fbEhsWSrbp</t>
  </si>
  <si>
    <t>2026-04-22T21:19:44.958Z</t>
  </si>
  <si>
    <t>qdLn7j9PQF</t>
  </si>
  <si>
    <t>2026-04-22T21:19:51.999Z</t>
  </si>
  <si>
    <t>81aiyMvAxn</t>
  </si>
  <si>
    <t>2026-04-22T21:20:00.920Z</t>
  </si>
  <si>
    <t>Kutv66TjeY</t>
  </si>
  <si>
    <t>2026-04-22T21:20:07.155Z</t>
  </si>
  <si>
    <t>td1X8M3T8y</t>
  </si>
  <si>
    <t>2026-04-22T21:21:21.613Z</t>
  </si>
  <si>
    <t>tnFRwCeGTe</t>
  </si>
  <si>
    <t>2026-04-22T21:21:31.381Z</t>
  </si>
  <si>
    <t>vobjGKJUeJ</t>
  </si>
  <si>
    <t>2026-04-22T21:21:37.599Z</t>
  </si>
  <si>
    <t>3DbbgPhPNN</t>
  </si>
  <si>
    <t>2026-04-22T21:22:19.800Z</t>
  </si>
  <si>
    <t>biV7gyrpXK</t>
  </si>
  <si>
    <t>2026-04-22T21:22:40.707Z</t>
  </si>
  <si>
    <t>AnXQq4oetn</t>
  </si>
  <si>
    <t>2026-04-22T21:22:47.909Z</t>
  </si>
  <si>
    <t>7evUeKa7CD</t>
  </si>
  <si>
    <t>2026-04-22T21:22:54.660Z</t>
  </si>
  <si>
    <t>e585oNSe5N</t>
  </si>
  <si>
    <t>2026-04-22T21:23:03.647Z</t>
  </si>
  <si>
    <t>hEZzy2ifHa</t>
  </si>
  <si>
    <t>2026-04-22T21:23:10.521Z</t>
  </si>
  <si>
    <t>XxiyRBp4bT</t>
  </si>
  <si>
    <t>2026-04-22T21:23:19.600Z</t>
  </si>
  <si>
    <t>nd8inqSj71</t>
  </si>
  <si>
    <t>2026-04-22T21:23:26.991Z</t>
  </si>
  <si>
    <t>KXiYnzt7CV</t>
  </si>
  <si>
    <t>2026-04-22T21:23:36.435Z</t>
  </si>
  <si>
    <t>cTF2vd5NCK</t>
  </si>
  <si>
    <t>2026-04-22T21:23:45.552Z</t>
  </si>
  <si>
    <t>nR1AKkZjQg</t>
  </si>
  <si>
    <t>2026-04-22T21:23:52.665Z</t>
  </si>
  <si>
    <t>v5tryPfrnT</t>
  </si>
  <si>
    <t>2026-04-22T21:24:03.860Z</t>
  </si>
  <si>
    <t>6PsDXU33MT</t>
  </si>
  <si>
    <t>2026-04-22T21:24:08.565Z</t>
  </si>
  <si>
    <t>u9HcWJ61ZX</t>
  </si>
  <si>
    <t>2026-04-22T21:24:19.005Z</t>
  </si>
  <si>
    <t>kp7nba2oJp</t>
  </si>
  <si>
    <t>2026-04-22T21:24:27.461Z</t>
  </si>
  <si>
    <t>ztBsuEuvUE</t>
  </si>
  <si>
    <t>2026-04-22T21:24:36.072Z</t>
  </si>
  <si>
    <t>g8BR32G1xq</t>
  </si>
  <si>
    <t>2026-04-22T21:24:42.885Z</t>
  </si>
  <si>
    <t>mrJCauqqQs</t>
  </si>
  <si>
    <t>2026-04-22T21:24:57.267Z</t>
  </si>
  <si>
    <t>CgJE7GdpFz</t>
  </si>
  <si>
    <t>2026-04-22T21:25:04.587Z</t>
  </si>
  <si>
    <t>YPpX6P34TU</t>
  </si>
  <si>
    <t>2026-04-22T21:25:10.873Z</t>
  </si>
  <si>
    <t>LWjBaxR1HE</t>
  </si>
  <si>
    <t>Daniel He</t>
  </si>
  <si>
    <t>DanimalMTG#77832</t>
  </si>
  <si>
    <t>2026-04-22T21:25:17.789Z</t>
  </si>
  <si>
    <t>190665827836624896</t>
  </si>
  <si>
    <t>2y9G21z9SH</t>
  </si>
  <si>
    <t>2026-04-22T21:25:24.002Z</t>
  </si>
  <si>
    <t>BnztxeuUsn</t>
  </si>
  <si>
    <t>2026-04-22T21:25:43.162Z</t>
  </si>
  <si>
    <t>Xq1y7NXZ4Y</t>
  </si>
  <si>
    <t>2026-04-22T21:25:52.690Z</t>
  </si>
  <si>
    <t>TrxLgxD6Hz</t>
  </si>
  <si>
    <t>2026-04-22T21:25:58.411Z</t>
  </si>
  <si>
    <t>4WKP77zmhS</t>
  </si>
  <si>
    <t>2026-04-22T21:26:07.469Z</t>
  </si>
  <si>
    <t>MXDtyqEgj3</t>
  </si>
  <si>
    <t>2026-04-22T21:26:18.314Z</t>
  </si>
  <si>
    <t>UeKPsZ8J1V</t>
  </si>
  <si>
    <t>2026-04-22T21:26:26.068Z</t>
  </si>
  <si>
    <t>Pk13iayBC2</t>
  </si>
  <si>
    <t>2026-04-22T21:26:33.572Z</t>
  </si>
  <si>
    <t>6wG5pK85C7</t>
  </si>
  <si>
    <t>2026-04-22T21:26:38.430Z</t>
  </si>
  <si>
    <t>fBdQZ6u5gk</t>
  </si>
  <si>
    <t>2026-04-22T21:26:48.143Z</t>
  </si>
  <si>
    <t>V2Tp7HcU8K</t>
  </si>
  <si>
    <t>2026-04-22T21:27:34.995Z</t>
  </si>
  <si>
    <t>DQw7ACAhgs</t>
  </si>
  <si>
    <t>2026-04-22T21:27:42.834Z</t>
  </si>
  <si>
    <t>ritwSJSguH</t>
  </si>
  <si>
    <t>2026-04-22T21:27:58.811Z</t>
  </si>
  <si>
    <t>iY4EzxkoVy</t>
  </si>
  <si>
    <t>2026-04-22T21:28:08.414Z</t>
  </si>
  <si>
    <t>q4V9VV9kKv</t>
  </si>
  <si>
    <t>2026-04-22T21:28:15.937Z</t>
  </si>
  <si>
    <t>Tru2k1BAFu</t>
  </si>
  <si>
    <t>2026-04-22T21:28:24.772Z</t>
  </si>
  <si>
    <t>uy5XQ7iZhZ</t>
  </si>
  <si>
    <t>2026-04-22T21:28:31.889Z</t>
  </si>
  <si>
    <t>G1M4eBBQbc</t>
  </si>
  <si>
    <t>2026-04-22T21:28:41.098Z</t>
  </si>
  <si>
    <t>rcaMqCgP3v</t>
  </si>
  <si>
    <t>2026-04-22T21:29:02.586Z</t>
  </si>
  <si>
    <t>ZDzELRDitK</t>
  </si>
  <si>
    <t>2026-04-22T21:29:11.232Z</t>
  </si>
  <si>
    <t>Hy2WtEH6Y5</t>
  </si>
  <si>
    <t>2026-04-22T21:29:21.428Z</t>
  </si>
  <si>
    <t>YPvMuXUtBi</t>
  </si>
  <si>
    <t>2026-04-22T21:29:29.404Z</t>
  </si>
  <si>
    <t>oPoMpdFRDz</t>
  </si>
  <si>
    <t>2026-04-22T21:29:35.152Z</t>
  </si>
  <si>
    <t>Q6YEuTQAXR</t>
  </si>
  <si>
    <t>2026-04-22T21:30:41.546Z</t>
  </si>
  <si>
    <t>HDxSDqgQZu</t>
  </si>
  <si>
    <t>2026-04-22T21:30:49.816Z</t>
  </si>
  <si>
    <t>BA3yvfHpzc</t>
  </si>
  <si>
    <t>2026-04-22T21:31:03.563Z</t>
  </si>
  <si>
    <t>oaTPo754YZ</t>
  </si>
  <si>
    <t>2026-04-22T21:31:15.382Z</t>
  </si>
  <si>
    <t>pSXHjqErMK</t>
  </si>
  <si>
    <t>2026-04-22T21:31:23.003Z</t>
  </si>
  <si>
    <t>JLKwCzzpbV</t>
  </si>
  <si>
    <t>2026-04-22T21:32:58.038Z</t>
  </si>
  <si>
    <t>MHF9mPCfUD</t>
  </si>
  <si>
    <t>2026-04-22T21:33:04.546Z</t>
  </si>
  <si>
    <t>Daniel K</t>
  </si>
  <si>
    <t>wkufan89#09556</t>
  </si>
  <si>
    <t>Covbutu4S5</t>
  </si>
  <si>
    <t>428314400429047809</t>
  </si>
  <si>
    <t>2026-04-22T21:33:10.999Z</t>
  </si>
  <si>
    <t>ov9C9oJcS7</t>
  </si>
  <si>
    <t>2026-04-22T21:33:18.240Z</t>
  </si>
  <si>
    <t>aEF1ufg22P</t>
  </si>
  <si>
    <t>2026-04-22T21:33:30.352Z</t>
  </si>
  <si>
    <t>odrstusqFU</t>
  </si>
  <si>
    <t>2026-04-22T21:33:37.016Z</t>
  </si>
  <si>
    <t>GFiN4X5qyN</t>
  </si>
  <si>
    <t>2026-04-22T21:33:44.269Z</t>
  </si>
  <si>
    <t>wtMcL2fY9k</t>
  </si>
  <si>
    <t>2026-04-22T21:33:53.599Z</t>
  </si>
  <si>
    <t>4X2mppuBYM</t>
  </si>
  <si>
    <t>2026-04-22T21:33:59.427Z</t>
  </si>
  <si>
    <t>LPvQ4NPAC9</t>
  </si>
  <si>
    <t>2026-04-22T21:34:08.729Z</t>
  </si>
  <si>
    <t>TAGT7pJFsV</t>
  </si>
  <si>
    <t>2026-04-22T21:34:29.088Z</t>
  </si>
  <si>
    <t>64KQoR752m</t>
  </si>
  <si>
    <t>2026-04-22T21:34:40.287Z</t>
  </si>
  <si>
    <t>XDb8PL78uE</t>
  </si>
  <si>
    <t>2026-04-22T21:34:50.296Z</t>
  </si>
  <si>
    <t>VHg3Y7Zbgm</t>
  </si>
  <si>
    <t>2026-04-22T21:34:55.654Z</t>
  </si>
  <si>
    <t>KTYH6JRRoF</t>
  </si>
  <si>
    <t>2026-04-22T21:35:02.742Z</t>
  </si>
  <si>
    <t>iCXcPjweBr</t>
  </si>
  <si>
    <t>2026-04-22T21:35:12.024Z</t>
  </si>
  <si>
    <t>2M9byv2qgc</t>
  </si>
  <si>
    <t>2026-04-22T21:35:23.310Z</t>
  </si>
  <si>
    <t>FfB6L6GwV1</t>
  </si>
  <si>
    <t>2026-04-22T21:35:27.485Z</t>
  </si>
  <si>
    <t>B4L1GXJ1tz</t>
  </si>
  <si>
    <t>2026-04-22T21:35:35.058Z</t>
  </si>
  <si>
    <t>8i6uTDjvLm</t>
  </si>
  <si>
    <t>2026-04-22T21:35:43.474Z</t>
  </si>
  <si>
    <t>Nxxgw3Ama7</t>
  </si>
  <si>
    <t>2026-04-22T21:35:49.969Z</t>
  </si>
  <si>
    <t>LhqwPEtt8Y</t>
  </si>
  <si>
    <t>2026-04-22T21:36:01.120Z</t>
  </si>
  <si>
    <t>N1FNmKj6WG</t>
  </si>
  <si>
    <t>2026-04-22T21:36:10.996Z</t>
  </si>
  <si>
    <t>v55t9umVbV</t>
  </si>
  <si>
    <t>2026-04-22T21:36:21.971Z</t>
  </si>
  <si>
    <t>tk38oAdycY</t>
  </si>
  <si>
    <t>2026-04-22T21:36:30.877Z</t>
  </si>
  <si>
    <t>ysv3EF3Afd</t>
  </si>
  <si>
    <t>2026-04-22T21:36:37.197Z</t>
  </si>
  <si>
    <t>s233fv6o5y</t>
  </si>
  <si>
    <t>2026-04-22T21:36:48.808Z</t>
  </si>
  <si>
    <t>jA7iR38VBs</t>
  </si>
  <si>
    <t>2026-04-22T21:36:57.833Z</t>
  </si>
  <si>
    <t>5FESSszjDY</t>
  </si>
  <si>
    <t>2026-04-22T21:37:04.642Z</t>
  </si>
  <si>
    <t>Bj9UtRHPmW</t>
  </si>
  <si>
    <t>2026-04-22T21:37:10.449Z</t>
  </si>
  <si>
    <t>TME8DtKfyQ</t>
  </si>
  <si>
    <t>2026-04-22T21:37:16.137Z</t>
  </si>
  <si>
    <t>VJ8TWSqBsV</t>
  </si>
  <si>
    <t>2026-04-22T21:37:26.908Z</t>
  </si>
  <si>
    <t>H32dA2bWGB</t>
  </si>
  <si>
    <t>2026-04-22T21:37:32.133Z</t>
  </si>
  <si>
    <t>Daniel M</t>
  </si>
  <si>
    <t>Rc5SKTLZ6b</t>
  </si>
  <si>
    <t>HPWizard#40332</t>
  </si>
  <si>
    <t>818085657682640916</t>
  </si>
  <si>
    <t>2026-04-22T21:37:38.069Z</t>
  </si>
  <si>
    <t>dQJfJbQKG1</t>
  </si>
  <si>
    <t>2026-04-22T21:37:48.057Z</t>
  </si>
  <si>
    <t>bfrdH8qqEv</t>
  </si>
  <si>
    <t>2026-04-22T21:37:58.022Z</t>
  </si>
  <si>
    <t>GyPgwKQLR1</t>
  </si>
  <si>
    <t>2026-04-22T21:38:04.392Z</t>
  </si>
  <si>
    <t>VyB2GwESZm</t>
  </si>
  <si>
    <t>2026-04-22T21:38:10.408Z</t>
  </si>
  <si>
    <t>QmmkBf2G8B</t>
  </si>
  <si>
    <t>2026-04-22T21:38:19.090Z</t>
  </si>
  <si>
    <t>NENTPkUBYE</t>
  </si>
  <si>
    <t>2026-04-22T21:38:26.419Z</t>
  </si>
  <si>
    <t>C4iu4pvo2J</t>
  </si>
  <si>
    <t>2026-04-22T21:38:33.349Z</t>
  </si>
  <si>
    <t>EfiLiZ3oj6</t>
  </si>
  <si>
    <t>2026-04-22T21:39:27.051Z</t>
  </si>
  <si>
    <t>HKWtkUtzKJ</t>
  </si>
  <si>
    <t>2026-04-22T21:39:33.586Z</t>
  </si>
  <si>
    <t>4JPykaNq5F</t>
  </si>
  <si>
    <t>2026-04-22T21:39:45.143Z</t>
  </si>
  <si>
    <t>fKnSbECz9t</t>
  </si>
  <si>
    <t>2026-04-22T21:39:50.582Z</t>
  </si>
  <si>
    <t>7933tCNzrQ</t>
  </si>
  <si>
    <t>2026-04-22T21:39:58.065Z</t>
  </si>
  <si>
    <t>fqsS9iTfQM</t>
  </si>
  <si>
    <t>2026-04-22T21:40:09.637Z</t>
  </si>
  <si>
    <t>atWUyWUFWd</t>
  </si>
  <si>
    <t>2026-04-22T21:40:18.190Z</t>
  </si>
  <si>
    <t>Yf8RrNsw15</t>
  </si>
  <si>
    <t>2026-04-22T21:40:31.085Z</t>
  </si>
  <si>
    <t>LYrskHHE5M</t>
  </si>
  <si>
    <t>2026-04-22T21:40:39.594Z</t>
  </si>
  <si>
    <t>CP4y6GGv7Y</t>
  </si>
  <si>
    <t>2026-04-22T21:40:50.194Z</t>
  </si>
  <si>
    <t>kxvAgwc7Xj</t>
  </si>
  <si>
    <t>2026-04-22T21:40:59.114Z</t>
  </si>
  <si>
    <t>hU9bphmgid</t>
  </si>
  <si>
    <t>2026-04-22T21:41:11.856Z</t>
  </si>
  <si>
    <t>AUYBFEBYip</t>
  </si>
  <si>
    <t>2026-04-22T21:41:20.435Z</t>
  </si>
  <si>
    <t>4111onkD93</t>
  </si>
  <si>
    <t>2026-04-22T21:41:30.573Z</t>
  </si>
  <si>
    <t>e1DXpj7HCm</t>
  </si>
  <si>
    <t>2026-04-22T21:41:39.870Z</t>
  </si>
  <si>
    <t>e6ad7tjdic</t>
  </si>
  <si>
    <t>2026-04-22T21:41:47.895Z</t>
  </si>
  <si>
    <t>L6vZzsPZkr</t>
  </si>
  <si>
    <t>2026-04-22T21:41:55.688Z</t>
  </si>
  <si>
    <t>fL6H8Tt46k</t>
  </si>
  <si>
    <t>2026-04-22T21:42:03.970Z</t>
  </si>
  <si>
    <t>EYvGoACMw5</t>
  </si>
  <si>
    <t>2026-04-22T21:42:10.671Z</t>
  </si>
  <si>
    <t>HHX9QVx1ii</t>
  </si>
  <si>
    <t>2026-04-22T21:42:18.482Z</t>
  </si>
  <si>
    <t>XJcjPzFXYe</t>
  </si>
  <si>
    <t>2026-04-22T21:42:24.799Z</t>
  </si>
  <si>
    <t>THAQeBJVd6</t>
  </si>
  <si>
    <t>2026-04-22T21:42:34.228Z</t>
  </si>
  <si>
    <t>wnvfmzsbk7</t>
  </si>
  <si>
    <t>2026-04-22T21:42:41.236Z</t>
  </si>
  <si>
    <t>zjDWds9wMi</t>
  </si>
  <si>
    <t>2026-04-22T21:42:47.399Z</t>
  </si>
  <si>
    <t>Darren C</t>
  </si>
  <si>
    <t>TurfJerky#01817</t>
  </si>
  <si>
    <t>740069327914401850</t>
  </si>
  <si>
    <t>m4qQFKicUd</t>
  </si>
  <si>
    <t>2026-04-22T21:42:54.951Z</t>
  </si>
  <si>
    <t>sXHLYJW8vZ</t>
  </si>
  <si>
    <t>2026-04-22T21:43:01.584Z</t>
  </si>
  <si>
    <t>uL7v2LoSr9</t>
  </si>
  <si>
    <t>2026-04-22T21:43:11.620Z</t>
  </si>
  <si>
    <t>5K17pb9sSG</t>
  </si>
  <si>
    <t>2026-04-22T21:43:22.868Z</t>
  </si>
  <si>
    <t>gkXVAp5nSh</t>
  </si>
  <si>
    <t>2026-04-22T21:43:29.480Z</t>
  </si>
  <si>
    <t>SLyr3Ep3Mc</t>
  </si>
  <si>
    <t>2026-04-22T21:43:39.158Z</t>
  </si>
  <si>
    <t>bJUYTFsSFp</t>
  </si>
  <si>
    <t>2026-04-22T21:43:46.342Z</t>
  </si>
  <si>
    <t>aXd1NvdLQF</t>
  </si>
  <si>
    <t>2026-04-22T21:43:57.173Z</t>
  </si>
  <si>
    <t>RSZwzMzu26</t>
  </si>
  <si>
    <t>2026-04-22T21:44:05.402Z</t>
  </si>
  <si>
    <t>SSv8sZWFh6</t>
  </si>
  <si>
    <t>2026-04-22T21:44:20.365Z</t>
  </si>
  <si>
    <t>rberf1Us17</t>
  </si>
  <si>
    <t>2026-04-22T21:44:30.150Z</t>
  </si>
  <si>
    <t>P9YzUohUec</t>
  </si>
  <si>
    <t>2026-04-22T21:44:38.378Z</t>
  </si>
  <si>
    <t>UEiUVrF1j2</t>
  </si>
  <si>
    <t>2026-04-22T21:44:45.960Z</t>
  </si>
  <si>
    <t>VvdDkQPVG2</t>
  </si>
  <si>
    <t>2026-04-22T21:44:55.436Z</t>
  </si>
  <si>
    <t>R6xFjGPewV</t>
  </si>
  <si>
    <t>2026-04-22T21:45:02.737Z</t>
  </si>
  <si>
    <t>27TxcP4VXr</t>
  </si>
  <si>
    <t>2026-04-22T21:45:09.449Z</t>
  </si>
  <si>
    <t>zRLpUEYwG6</t>
  </si>
  <si>
    <t>2026-04-22T21:45:15.217Z</t>
  </si>
  <si>
    <t>VttWmqkcGc</t>
  </si>
  <si>
    <t>2026-04-22T21:45:22.316Z</t>
  </si>
  <si>
    <t>sitC5cYcyp</t>
  </si>
  <si>
    <t>2026-04-22T21:45:33.029Z</t>
  </si>
  <si>
    <t>7mEA9v9urt</t>
  </si>
  <si>
    <t>2026-04-22T21:45:42.010Z</t>
  </si>
  <si>
    <t>fppCDzFZDc</t>
  </si>
  <si>
    <t>2026-04-22T21:45:49.424Z</t>
  </si>
  <si>
    <t>5ZTJJEnTfx</t>
  </si>
  <si>
    <t>2026-04-22T21:45:58.262Z</t>
  </si>
  <si>
    <t>e3rytqzmrm</t>
  </si>
  <si>
    <t>2026-04-22T21:46:57.686Z</t>
  </si>
  <si>
    <t>HEhZ1bPPf9</t>
  </si>
  <si>
    <t>2026-04-22T21:47:06.183Z</t>
  </si>
  <si>
    <t>pND9WiswrU</t>
  </si>
  <si>
    <t>2026-04-22T21:47:20.211Z</t>
  </si>
  <si>
    <t>58hKSrjbJG</t>
  </si>
  <si>
    <t>2026-04-22T21:47:29.270Z</t>
  </si>
  <si>
    <t>Qv1XLmZKtX</t>
  </si>
  <si>
    <t>2026-04-22T21:47:37.280Z</t>
  </si>
  <si>
    <t>PaJdVPdSjv</t>
  </si>
  <si>
    <t>2026-04-22T21:47:46.396Z</t>
  </si>
  <si>
    <t>NAJcTdqtJB</t>
  </si>
  <si>
    <t>2026-04-22T21:47:55.103Z</t>
  </si>
  <si>
    <t>MbN7CpER9e</t>
  </si>
  <si>
    <t>2026-04-22T21:48:05.930Z</t>
  </si>
  <si>
    <t>Rdx6YDW3Ar</t>
  </si>
  <si>
    <t>2026-04-22T21:48:12.902Z</t>
  </si>
  <si>
    <t>Dave T</t>
  </si>
  <si>
    <t>RestiveNebula#74573</t>
  </si>
  <si>
    <t>707923053937557576</t>
  </si>
  <si>
    <t>LXZPALiCo8</t>
  </si>
  <si>
    <t>2026-04-22T21:48:18.751Z</t>
  </si>
  <si>
    <t>KjJRgibPau</t>
  </si>
  <si>
    <t>2026-04-22T21:48:31.359Z</t>
  </si>
  <si>
    <t>U95UmnhGoR</t>
  </si>
  <si>
    <t>2026-04-22T21:48:42.092Z</t>
  </si>
  <si>
    <t>azETdXZVgv</t>
  </si>
  <si>
    <t>2026-04-22T21:48:46.672Z</t>
  </si>
  <si>
    <t>ejPt6mQwyS</t>
  </si>
  <si>
    <t>2026-04-22T21:48:54.043Z</t>
  </si>
  <si>
    <t>XBBGwfi3rz</t>
  </si>
  <si>
    <t>2026-04-22T21:49:01.122Z</t>
  </si>
  <si>
    <t>dxtJP4YzA2</t>
  </si>
  <si>
    <t>2026-04-22T21:49:05.815Z</t>
  </si>
  <si>
    <t>eGkKA8T9pz</t>
  </si>
  <si>
    <t>2026-04-22T21:49:13.068Z</t>
  </si>
  <si>
    <t>JPAzJTikgq</t>
  </si>
  <si>
    <t>2026-04-22T21:49:28.555Z</t>
  </si>
  <si>
    <t>rJXdwTpT8X</t>
  </si>
  <si>
    <t>2026-04-22T21:49:35.639Z</t>
  </si>
  <si>
    <t>14foNqj35f</t>
  </si>
  <si>
    <t>2026-04-22T21:49:44.619Z</t>
  </si>
  <si>
    <t>GWdLoaFUf1</t>
  </si>
  <si>
    <t>2026-04-22T21:49:56.317Z</t>
  </si>
  <si>
    <t>3qdqN97F8D</t>
  </si>
  <si>
    <t>2026-04-22T21:50:02.303Z</t>
  </si>
  <si>
    <t>F2QWapGoHi</t>
  </si>
  <si>
    <t>2026-04-22T21:50:08.612Z</t>
  </si>
  <si>
    <t>ST7FUWfajN</t>
  </si>
  <si>
    <t>2026-04-22T21:50:16.426Z</t>
  </si>
  <si>
    <t>yz37WQZUH3</t>
  </si>
  <si>
    <t>2026-04-22T21:50:34.349Z</t>
  </si>
  <si>
    <t>wUTtQ6AmfZ</t>
  </si>
  <si>
    <t>2026-04-22T21:50:46.592Z</t>
  </si>
  <si>
    <t>x3BG8fwb7i</t>
  </si>
  <si>
    <t>2026-04-22T21:50:55.275Z</t>
  </si>
  <si>
    <t>3wK3vNa9PV</t>
  </si>
  <si>
    <t>2026-04-22T21:51:03.377Z</t>
  </si>
  <si>
    <t>rVL3u7maaN</t>
  </si>
  <si>
    <t>2026-04-22T21:51:10.837Z</t>
  </si>
  <si>
    <t>yWUYdyqHNT</t>
  </si>
  <si>
    <t>2026-04-22T21:51:21.687Z</t>
  </si>
  <si>
    <t>5cpDWCTrr6</t>
  </si>
  <si>
    <t>2026-04-22T21:51:30.222Z</t>
  </si>
  <si>
    <t>9pBQ1kh9uA</t>
  </si>
  <si>
    <t>2026-04-22T21:51:42.669Z</t>
  </si>
  <si>
    <t>c9qwEktoFo</t>
  </si>
  <si>
    <t>2026-04-22T21:51:50.429Z</t>
  </si>
  <si>
    <t>YpR5TVqaKQ</t>
  </si>
  <si>
    <t>2026-04-22T21:52:05.657Z</t>
  </si>
  <si>
    <t>FyvEtUVeir</t>
  </si>
  <si>
    <t>2026-04-22T21:52:13.777Z</t>
  </si>
  <si>
    <t>7UyzUABH1N</t>
  </si>
  <si>
    <t>2026-04-22T21:52:26.213Z</t>
  </si>
  <si>
    <t>MGnLiRAzoT</t>
  </si>
  <si>
    <t>2026-04-22T21:52:32.615Z</t>
  </si>
  <si>
    <t>ptnRvsiuqn</t>
  </si>
  <si>
    <t>2026-04-22T21:52:39.539Z</t>
  </si>
  <si>
    <t>8er3hg9Asr</t>
  </si>
  <si>
    <t>2026-04-22T21:52:47.029Z</t>
  </si>
  <si>
    <t>oZ9Psqm9Um</t>
  </si>
  <si>
    <t>2026-04-22T21:52:53.900Z</t>
  </si>
  <si>
    <t>FZtXyQXTKy</t>
  </si>
  <si>
    <t>2026-04-22T21:53:03.342Z</t>
  </si>
  <si>
    <t>pG7kVpagEY</t>
  </si>
  <si>
    <t>2026-04-22T21:53:09.814Z</t>
  </si>
  <si>
    <t>David M</t>
  </si>
  <si>
    <t>9t1tmQScFg</t>
  </si>
  <si>
    <t>Murrari#27942</t>
  </si>
  <si>
    <t>844669426426314792</t>
  </si>
  <si>
    <t>2026-04-22T21:53:15.481Z</t>
  </si>
  <si>
    <t>g76CRPXwU9</t>
  </si>
  <si>
    <t>2026-04-22T21:53:24.157Z</t>
  </si>
  <si>
    <t>7ReE7edNcD</t>
  </si>
  <si>
    <t>2026-04-22T21:53:30.683Z</t>
  </si>
  <si>
    <t>C6WtsYGYqg</t>
  </si>
  <si>
    <t>2026-04-22T21:53:55.166Z</t>
  </si>
  <si>
    <t>zCfUm4bDE4</t>
  </si>
  <si>
    <t>2026-04-22T22:15:16.711Z</t>
  </si>
  <si>
    <t>zdJLyVBWQH</t>
  </si>
  <si>
    <t>2026-04-22T22:27:21.593Z</t>
  </si>
  <si>
    <t>DbBNkNZXb8</t>
  </si>
  <si>
    <t>2026-04-23T17:29:48.507Z</t>
  </si>
  <si>
    <t>7Fh2gaTXho</t>
  </si>
  <si>
    <t>2026-04-23T21:55:46.304Z</t>
  </si>
  <si>
    <t>5tDe1uJbeN</t>
  </si>
  <si>
    <t>2026-04-24T00:33:57.895Z</t>
  </si>
  <si>
    <t>zvCT5YEpJP</t>
  </si>
  <si>
    <t>2026-04-24T04:23:00.209Z</t>
  </si>
  <si>
    <t>gGn8pvrPUh</t>
  </si>
  <si>
    <t>2026-04-24T15:27:34.568Z</t>
  </si>
  <si>
    <t>1LvJS7SmPd</t>
  </si>
  <si>
    <t>2026-04-24T22:10:03.326Z</t>
  </si>
  <si>
    <t>add pack</t>
  </si>
  <si>
    <t>BYTJ5aYLB6</t>
  </si>
  <si>
    <t>SOS comeback pack (loss)</t>
  </si>
  <si>
    <t>n5ejfz1HFu</t>
  </si>
  <si>
    <t>2026-04-24T22:10:07.801Z</t>
  </si>
  <si>
    <t>mEREdRCYAf</t>
  </si>
  <si>
    <t>RtSbLYs5ZS</t>
  </si>
  <si>
    <t>2026-04-24T22:10:13.481Z</t>
  </si>
  <si>
    <t>aPqdwTp9zy</t>
  </si>
  <si>
    <t>SFpX2BVghx</t>
  </si>
  <si>
    <t>2026-04-24T22:10:18.171Z</t>
  </si>
  <si>
    <t>o1yJnEf6Sy</t>
  </si>
  <si>
    <t>m3exTu4XDS</t>
  </si>
  <si>
    <t>2026-04-24T22:10:23.387Z</t>
  </si>
  <si>
    <t>FEAJQCt6kw</t>
  </si>
  <si>
    <t>6KguiXHvvS</t>
  </si>
  <si>
    <t>2026-04-24T22:10:28.283Z</t>
  </si>
  <si>
    <t>1AVHYvwLuP</t>
  </si>
  <si>
    <t>WetaLftN6m</t>
  </si>
  <si>
    <t>2026-04-24T22:10:32.046Z</t>
  </si>
  <si>
    <t>6hxkUM2qAk</t>
  </si>
  <si>
    <t>WQRwzdJi5j</t>
  </si>
  <si>
    <t>2026-04-24T22:17:04.904Z</t>
  </si>
  <si>
    <t>FppbYCNoLX</t>
  </si>
  <si>
    <t>XRfBDiKZko</t>
  </si>
  <si>
    <t>2026-04-24T22:17:08.814Z</t>
  </si>
  <si>
    <t>j3wPF1dWBg</t>
  </si>
  <si>
    <t>DfzsyfiLzj</t>
  </si>
  <si>
    <t>2026-04-24T22:17:13.593Z</t>
  </si>
  <si>
    <t>sL9yjQ6JrA</t>
  </si>
  <si>
    <t>ucmSV8owZh</t>
  </si>
  <si>
    <t>2026-04-24T22:17:17.324Z</t>
  </si>
  <si>
    <t>maPChF4s4n</t>
  </si>
  <si>
    <t>hufFqvsshL</t>
  </si>
  <si>
    <t>2026-04-24T22:17:21.344Z</t>
  </si>
  <si>
    <t>dqsDHGrfjK</t>
  </si>
  <si>
    <t>pGn6Tjx4do</t>
  </si>
  <si>
    <t>2026-04-24T22:17:24.475Z</t>
  </si>
  <si>
    <t>v88YBeqeji</t>
  </si>
  <si>
    <t>uHMXYPsCYk</t>
  </si>
  <si>
    <t>2026-04-24T22:17:29.453Z</t>
  </si>
  <si>
    <t>VvEQxVXFDm</t>
  </si>
  <si>
    <t>j6zJMebztB</t>
  </si>
  <si>
    <t>2026-04-24T22:17:34.404Z</t>
  </si>
  <si>
    <t>96JgokFZaC</t>
  </si>
  <si>
    <t>mL1WRoai6H</t>
  </si>
  <si>
    <t>2026-04-24T22:20:44.427Z</t>
  </si>
  <si>
    <t>5rXL94EL17</t>
  </si>
  <si>
    <t>dRqcyHrqCK</t>
  </si>
  <si>
    <t>2026-04-24T22:29:56.482Z</t>
  </si>
  <si>
    <t>q62mFRQa4y</t>
  </si>
  <si>
    <t>SQLS1ZhbQP</t>
  </si>
  <si>
    <t>2026-04-24T22:32:03.281Z</t>
  </si>
  <si>
    <t>ukvxdTxEKK</t>
  </si>
  <si>
    <t>nSLhU71tGg</t>
  </si>
  <si>
    <t>2026-04-24T22:32:06.894Z</t>
  </si>
  <si>
    <t>PrBiMKMfSx</t>
  </si>
  <si>
    <t>P7akdZEBWP</t>
  </si>
  <si>
    <t>2026-04-24T22:38:17.339Z</t>
  </si>
  <si>
    <t>8vFNJdQzFA</t>
  </si>
  <si>
    <t>5ncxwEESbQ</t>
  </si>
  <si>
    <t>2026-04-24T22:41:23.631Z</t>
  </si>
  <si>
    <t>uRc6Ucu11E</t>
  </si>
  <si>
    <t>JtR9bKthC6</t>
  </si>
  <si>
    <t>2026-04-24T22:43:28.189Z</t>
  </si>
  <si>
    <t>Kdy5Z4n9sg</t>
  </si>
  <si>
    <t>czQBiYhCqX</t>
  </si>
  <si>
    <t>2026-04-24T22:45:34.441Z</t>
  </si>
  <si>
    <t>p1YTq6QjSu</t>
  </si>
  <si>
    <t>GvtVTUBEso</t>
  </si>
  <si>
    <t>David N</t>
  </si>
  <si>
    <t>2026-04-24T22:45:38.035Z</t>
  </si>
  <si>
    <t>Volt65#59442</t>
  </si>
  <si>
    <t>483095887111782400</t>
  </si>
  <si>
    <t>syopJ3fc1b</t>
  </si>
  <si>
    <t>5YWKMzs2ve</t>
  </si>
  <si>
    <t>2026-04-24T22:49:44.398Z</t>
  </si>
  <si>
    <t>knq5hhUeS2</t>
  </si>
  <si>
    <t>ya2gYUV3CG</t>
  </si>
  <si>
    <t>2026-04-24T22:51:49.424Z</t>
  </si>
  <si>
    <t>bXbtUmmocE</t>
  </si>
  <si>
    <t>h7HZ4oaEaZ</t>
  </si>
  <si>
    <t>2026-04-24T23:10:09.603Z</t>
  </si>
  <si>
    <t>UCmofxhgYC</t>
  </si>
  <si>
    <t>G1rQzsQxVD</t>
  </si>
  <si>
    <t>2026-04-24T23:13:19.764Z</t>
  </si>
  <si>
    <t>eCP1RVU9Vu</t>
  </si>
  <si>
    <t>F8JFHTGpvf</t>
  </si>
  <si>
    <t>2026-04-24T23:13:23.642Z</t>
  </si>
  <si>
    <t>ayqrYLX4L7</t>
  </si>
  <si>
    <t>axhd6q9Ndp</t>
  </si>
  <si>
    <t>2026-04-24T23:24:36.880Z</t>
  </si>
  <si>
    <t>uboJmpkdPB</t>
  </si>
  <si>
    <t>9aiz4ocHCL</t>
  </si>
  <si>
    <t>2026-04-24T23:24:41.200Z</t>
  </si>
  <si>
    <t>BL5qe4e6bi</t>
  </si>
  <si>
    <t>SYRbbwqfoL</t>
  </si>
  <si>
    <t>2026-04-24T23:28:47.573Z</t>
  </si>
  <si>
    <t>wPMduUqViQ</t>
  </si>
  <si>
    <t>kZmNUagpnZ</t>
  </si>
  <si>
    <t>2026-04-24T23:29:52.602Z</t>
  </si>
  <si>
    <t>f8HvnbbsiP</t>
  </si>
  <si>
    <t>LMrN2JVBww</t>
  </si>
  <si>
    <t>2026-04-24T23:30:57.463Z</t>
  </si>
  <si>
    <t>SvhnmN1Y7t</t>
  </si>
  <si>
    <t>poe6nuGrkV</t>
  </si>
  <si>
    <t>2026-04-24T23:43:12.180Z</t>
  </si>
  <si>
    <t>MNnKQ8zSbS</t>
  </si>
  <si>
    <t>vehRNrLHMt</t>
  </si>
  <si>
    <t>2026-04-24T23:46:18.751Z</t>
  </si>
  <si>
    <t>TKyRqeRUT7</t>
  </si>
  <si>
    <t>4yDZMqyFa7</t>
  </si>
  <si>
    <t>2026-04-24T23:47:23.802Z</t>
  </si>
  <si>
    <t>gK9vgipt3n</t>
  </si>
  <si>
    <t>2FpqotN1pp</t>
  </si>
  <si>
    <t>2026-04-24T23:51:31.369Z</t>
  </si>
  <si>
    <t>Na1sCCbxZL</t>
  </si>
  <si>
    <t>hRmsnF2sAX</t>
  </si>
  <si>
    <t>2026-04-24T23:58:42.170Z</t>
  </si>
  <si>
    <t>Lc1JTZHXiu</t>
  </si>
  <si>
    <t>PiMbYgzQNa</t>
  </si>
  <si>
    <t>2026-04-24T23:59:46.780Z</t>
  </si>
  <si>
    <t>bMVPcoLt1Z</t>
  </si>
  <si>
    <t>NhgsHb4CuH</t>
  </si>
  <si>
    <t>2026-04-25T00:05:55.789Z</t>
  </si>
  <si>
    <t>TJecUNG1Dx</t>
  </si>
  <si>
    <t>ip2V5rExr5</t>
  </si>
  <si>
    <t>2026-04-25T00:13:07.078Z</t>
  </si>
  <si>
    <t>NHcm3x3VL7</t>
  </si>
  <si>
    <t>UDorwpaKdb</t>
  </si>
  <si>
    <t>2026-04-25T00:15:14.588Z</t>
  </si>
  <si>
    <t>H9AoT7bu9z</t>
  </si>
  <si>
    <t>VznDMWEWGM</t>
  </si>
  <si>
    <t>2026-04-25T00:24:25.475Z</t>
  </si>
  <si>
    <t>Sj37dtyxGW</t>
  </si>
  <si>
    <t>z1ovcwwJXk</t>
  </si>
  <si>
    <t>2026-04-25T00:29:33.572Z</t>
  </si>
  <si>
    <t>isxZpTJoaD</t>
  </si>
  <si>
    <t>F8XdyY3ZPw</t>
  </si>
  <si>
    <t>2026-04-25T00:33:41.776Z</t>
  </si>
  <si>
    <t>ZgaSzVMgx6</t>
  </si>
  <si>
    <t>wGB7pXfL4T</t>
  </si>
  <si>
    <t>2026-04-25T00:33:46.175Z</t>
  </si>
  <si>
    <t>1HhjXJrz86</t>
  </si>
  <si>
    <t>ajhu1ckssY</t>
  </si>
  <si>
    <t>2026-04-25T00:34:51.206Z</t>
  </si>
  <si>
    <t>fdvyQRNiFH</t>
  </si>
  <si>
    <t>oGwniMBtc6</t>
  </si>
  <si>
    <t>2026-04-25T00:38:00.787Z</t>
  </si>
  <si>
    <t>kLM6aANy88</t>
  </si>
  <si>
    <t>HnsqWZn7Da</t>
  </si>
  <si>
    <t>2026-04-25T00:39:07.056Z</t>
  </si>
  <si>
    <t>V3uJMn3z5t</t>
  </si>
  <si>
    <t>NfLY2QDS8u</t>
  </si>
  <si>
    <t>2026-04-25T00:56:23.684Z</t>
  </si>
  <si>
    <t>u2XLgALVPZ</t>
  </si>
  <si>
    <t>jFw1hpiJZK</t>
  </si>
  <si>
    <t>2026-04-25T01:02:33.764Z</t>
  </si>
  <si>
    <t>SbXPJQGLRV</t>
  </si>
  <si>
    <t>Z3Qy2h1SDK</t>
  </si>
  <si>
    <t>2026-04-25T01:03:38.217Z</t>
  </si>
  <si>
    <t>yBwoWjcKfe</t>
  </si>
  <si>
    <t>vJicr6WPRg</t>
  </si>
  <si>
    <t>2026-04-25T01:15:53.487Z</t>
  </si>
  <si>
    <t>FkEMo6yD4h</t>
  </si>
  <si>
    <t>9NUaFSk91c</t>
  </si>
  <si>
    <t>2026-04-25T01:15:59.031Z</t>
  </si>
  <si>
    <t>ADVX87BiGi</t>
  </si>
  <si>
    <t>EXo5DJR4Yc</t>
  </si>
  <si>
    <t>2026-04-25T01:24:10.184Z</t>
  </si>
  <si>
    <t>xzXmhVEuu8</t>
  </si>
  <si>
    <t>ZbST5SyAn7</t>
  </si>
  <si>
    <t>2026-04-25T01:27:16.814Z</t>
  </si>
  <si>
    <t>9ZTBNLmKmi</t>
  </si>
  <si>
    <t>wef7Dh6Ltq</t>
  </si>
  <si>
    <t>2026-04-25T01:28:21.424Z</t>
  </si>
  <si>
    <t>H2fKVWqAfR</t>
  </si>
  <si>
    <t>bbQnWBJ9ac</t>
  </si>
  <si>
    <t>2026-04-25T01:29:27.464Z</t>
  </si>
  <si>
    <t>xNKJr1nnwX</t>
  </si>
  <si>
    <t>HJtF82v6Hi</t>
  </si>
  <si>
    <t>2026-04-25T02:13:56.982Z</t>
  </si>
  <si>
    <t>zaWvWXj14k</t>
  </si>
  <si>
    <t>nwYh6BqNUb</t>
  </si>
  <si>
    <t>2026-04-25T02:14:01.784Z</t>
  </si>
  <si>
    <t>v2JbffhVd3</t>
  </si>
  <si>
    <t>xL8Dye8inr</t>
  </si>
  <si>
    <t>2026-04-25T02:14:05.392Z</t>
  </si>
  <si>
    <t>5WM7YysZFc</t>
  </si>
  <si>
    <t>zpcf1NynnS</t>
  </si>
  <si>
    <t>Denys H</t>
  </si>
  <si>
    <t>2026-04-25T02:14:08.592Z</t>
  </si>
  <si>
    <t>wepen33#27443</t>
  </si>
  <si>
    <t>1496610915343270138</t>
  </si>
  <si>
    <t>paMGdVcbb6</t>
  </si>
  <si>
    <t>6i3F7qQRK5</t>
  </si>
  <si>
    <t>2026-04-25T02:14:13.051Z</t>
  </si>
  <si>
    <t>BjqWaxHELX</t>
  </si>
  <si>
    <t>3mDyzA74kn</t>
  </si>
  <si>
    <t>2026-04-25T02:30:30.568Z</t>
  </si>
  <si>
    <t>1z6kzEXmmv</t>
  </si>
  <si>
    <t>9FnZomQdQ3</t>
  </si>
  <si>
    <t>2026-04-25T02:33:36.392Z</t>
  </si>
  <si>
    <t>UsoEm6v4va</t>
  </si>
  <si>
    <t>oHDGuE4iwv</t>
  </si>
  <si>
    <t>2026-04-25T02:41:49.571Z</t>
  </si>
  <si>
    <t>BieCBPJBGG</t>
  </si>
  <si>
    <t>JBiLJQXYeD</t>
  </si>
  <si>
    <t>2026-04-25T02:56:22.277Z</t>
  </si>
  <si>
    <t>hVyxF7BB6y</t>
  </si>
  <si>
    <t>vrd5NfCZV8</t>
  </si>
  <si>
    <t>2026-04-25T02:58:08.117Z</t>
  </si>
  <si>
    <t>6HcDoi37SH</t>
  </si>
  <si>
    <t>QQTqg7r5yM</t>
  </si>
  <si>
    <t>2026-04-25T02:58:13.916Z</t>
  </si>
  <si>
    <t>shQiHFFXYK</t>
  </si>
  <si>
    <t>NUu1aMtoMC</t>
  </si>
  <si>
    <t>2026-04-25T03:00:20.237Z</t>
  </si>
  <si>
    <t>ZGfckLhwWg</t>
  </si>
  <si>
    <t>xaUyXpLbjV</t>
  </si>
  <si>
    <t>2026-04-25T03:01:25.448Z</t>
  </si>
  <si>
    <t>uFgciWZvKy</t>
  </si>
  <si>
    <t>E8P8jLuR3a</t>
  </si>
  <si>
    <t>2026-04-25T03:02:30.541Z</t>
  </si>
  <si>
    <t>P6c5JT58fq</t>
  </si>
  <si>
    <t>xTnpiGtxpZ</t>
  </si>
  <si>
    <t>2026-04-25T03:05:38.134Z</t>
  </si>
  <si>
    <t>rcphqPwitY</t>
  </si>
  <si>
    <t>nfCaCJyHuu</t>
  </si>
  <si>
    <t>2026-04-25T03:09:47.285Z</t>
  </si>
  <si>
    <t>PCJRCjvEHd</t>
  </si>
  <si>
    <t>pN29CduwWq</t>
  </si>
  <si>
    <t>2026-04-25T03:10:52.074Z</t>
  </si>
  <si>
    <t>q38LCKj5WN</t>
  </si>
  <si>
    <t>UGYoTboNpp</t>
  </si>
  <si>
    <t>2026-04-25T03:20:05.572Z</t>
  </si>
  <si>
    <t>CgiTw2dVYi</t>
  </si>
  <si>
    <t>56Xatx6Rb4</t>
  </si>
  <si>
    <t>2026-04-25T03:23:12.357Z</t>
  </si>
  <si>
    <t>3RzEjx8Lew</t>
  </si>
  <si>
    <t>J7wpV7QY43</t>
  </si>
  <si>
    <t>2026-04-25T03:27:19.117Z</t>
  </si>
  <si>
    <t>Yh4S6fz3nz</t>
  </si>
  <si>
    <t>UBUWPRQxNG</t>
  </si>
  <si>
    <t>2026-04-25T03:28:24.407Z</t>
  </si>
  <si>
    <t>4Z4xK21dsd</t>
  </si>
  <si>
    <t>JzLusgUggg</t>
  </si>
  <si>
    <t>2026-04-25T03:38:35.753Z</t>
  </si>
  <si>
    <t>99KheoqNN5</t>
  </si>
  <si>
    <t>5UxuHW7T9m</t>
  </si>
  <si>
    <t>2026-04-25T03:48:14.256Z</t>
  </si>
  <si>
    <t>enM8QZHU9W</t>
  </si>
  <si>
    <t>Miah67ZzPu</t>
  </si>
  <si>
    <t>2026-04-25T03:54:24.700Z</t>
  </si>
  <si>
    <t>NTXD2ktWtz</t>
  </si>
  <si>
    <t>MF91tMfxQb</t>
  </si>
  <si>
    <t>2026-04-25T03:56:30.439Z</t>
  </si>
  <si>
    <t>rM2sdD63dd</t>
  </si>
  <si>
    <t>Q8RUCr6zsx</t>
  </si>
  <si>
    <t>2026-04-25T04:05:41.430Z</t>
  </si>
  <si>
    <t>hhvAL29RBo</t>
  </si>
  <si>
    <t>RPuKMx87fp</t>
  </si>
  <si>
    <t>2026-04-25T04:16:54.809Z</t>
  </si>
  <si>
    <t>SAuuzqVQhf</t>
  </si>
  <si>
    <t>ZVrTiHbWiq</t>
  </si>
  <si>
    <t>2026-04-25T04:25:05.198Z</t>
  </si>
  <si>
    <t>wGRyCXxdSb</t>
  </si>
  <si>
    <t>65RynYF9n9</t>
  </si>
  <si>
    <t>2026-04-25T04:28:12.594Z</t>
  </si>
  <si>
    <t>J9NnJyoFjX</t>
  </si>
  <si>
    <t>8h2edUVZDs</t>
  </si>
  <si>
    <t>2026-04-25T04:36:22.995Z</t>
  </si>
  <si>
    <t>1gURnZzxwH</t>
  </si>
  <si>
    <t>ErQAgA323D</t>
  </si>
  <si>
    <t>2026-04-25T04:36:27.038Z</t>
  </si>
  <si>
    <t>pYfDGbr9hy</t>
  </si>
  <si>
    <t>rBmgb2q5AT</t>
  </si>
  <si>
    <t>2026-04-25T04:41:34.513Z</t>
  </si>
  <si>
    <t>woJDDkNhnu</t>
  </si>
  <si>
    <t>5ae7nRcygs</t>
  </si>
  <si>
    <t>2026-04-25T04:42:38.564Z</t>
  </si>
  <si>
    <t>CX4spjikmp</t>
  </si>
  <si>
    <t>9PyajxW9KY</t>
  </si>
  <si>
    <t>2026-04-25T04:44:44.495Z</t>
  </si>
  <si>
    <t>DBaKLEBLw1</t>
  </si>
  <si>
    <t>q7WGUEwuWs</t>
  </si>
  <si>
    <t>2026-04-25T04:52:54.308Z</t>
  </si>
  <si>
    <t>ze6hv2fnbU</t>
  </si>
  <si>
    <t>YRGmz9k3KN</t>
  </si>
  <si>
    <t>2026-04-25T04:59:04.512Z</t>
  </si>
  <si>
    <t>YHxcrrKT1a</t>
  </si>
  <si>
    <t>7thCiz1uaJ</t>
  </si>
  <si>
    <t>2026-04-25T05:07:16.162Z</t>
  </si>
  <si>
    <t>eee21jV2up</t>
  </si>
  <si>
    <t>LdrXPmKQN2</t>
  </si>
  <si>
    <t>2026-04-25T05:10:22.664Z</t>
  </si>
  <si>
    <t>jyvKdnDFeM</t>
  </si>
  <si>
    <t>zFHjdhYdQD</t>
  </si>
  <si>
    <t>2026-04-25T05:11:29.779Z</t>
  </si>
  <si>
    <t>K1vLVXD7iF</t>
  </si>
  <si>
    <t>6Z7ZH2wjUP</t>
  </si>
  <si>
    <t>2026-04-25T05:16:36.881Z</t>
  </si>
  <si>
    <t>LyRoZUPfWn</t>
  </si>
  <si>
    <t>tF3m7ER5Y5</t>
  </si>
  <si>
    <t>2026-04-25T05:18:42.852Z</t>
  </si>
  <si>
    <t>Wf4twddLbz</t>
  </si>
  <si>
    <t>Cwj685Rn75</t>
  </si>
  <si>
    <t>2026-04-25T05:21:50.353Z</t>
  </si>
  <si>
    <t>Derek B</t>
  </si>
  <si>
    <t>ZDYxLY7Qkq</t>
  </si>
  <si>
    <t>Ignition Spark#44046</t>
  </si>
  <si>
    <t>262337099447926786</t>
  </si>
  <si>
    <t>GMuv8GwFcj</t>
  </si>
  <si>
    <t>2026-04-25T05:23:55.503Z</t>
  </si>
  <si>
    <t>m1ENRTtdbd</t>
  </si>
  <si>
    <t>yDdKmStkUF</t>
  </si>
  <si>
    <t>2026-04-25T05:34:08.969Z</t>
  </si>
  <si>
    <t>rwPAyPNRTC</t>
  </si>
  <si>
    <t>SuEDXH6LfK</t>
  </si>
  <si>
    <t>2026-04-25T05:36:13.649Z</t>
  </si>
  <si>
    <t>6Vr5xrrqud</t>
  </si>
  <si>
    <t>SLsGu8gctg</t>
  </si>
  <si>
    <t>2026-04-25T05:37:18.080Z</t>
  </si>
  <si>
    <t>8XbGxyD9yU</t>
  </si>
  <si>
    <t>soMRPtberW</t>
  </si>
  <si>
    <t>2026-04-25T05:49:30.556Z</t>
  </si>
  <si>
    <t>qLcCt6kNdJ</t>
  </si>
  <si>
    <t>Ua5Zycv3TU</t>
  </si>
  <si>
    <t>2026-04-25T05:49:34.408Z</t>
  </si>
  <si>
    <t>HeAe7bfDuT</t>
  </si>
  <si>
    <t>8W6srmKxCF</t>
  </si>
  <si>
    <t>2026-04-25T05:55:42.819Z</t>
  </si>
  <si>
    <t>Hyrovhz1Zj</t>
  </si>
  <si>
    <t>HiYr8ksRTk</t>
  </si>
  <si>
    <t>2026-04-25T06:07:55.415Z</t>
  </si>
  <si>
    <t>1mKKysJkAe</t>
  </si>
  <si>
    <t>Jg2dtGv6Wg</t>
  </si>
  <si>
    <t>2026-04-25T06:13:03.247Z</t>
  </si>
  <si>
    <t>yEV86FN7dG</t>
  </si>
  <si>
    <t>gwpDRgCS6s</t>
  </si>
  <si>
    <t>2026-04-25T06:23:14.074Z</t>
  </si>
  <si>
    <t>R57s5dn59n</t>
  </si>
  <si>
    <t>MwQ41bVGfM</t>
  </si>
  <si>
    <t>2026-04-25T06:25:19.607Z</t>
  </si>
  <si>
    <t>GVAGse35B4</t>
  </si>
  <si>
    <t>n1wcbfNRqL</t>
  </si>
  <si>
    <t>2026-04-25T06:45:39.263Z</t>
  </si>
  <si>
    <t>sHijmFK7j1</t>
  </si>
  <si>
    <t>Qw3m64DF1Z</t>
  </si>
  <si>
    <t>2026-04-25T08:13:51.503Z</t>
  </si>
  <si>
    <t>HiXDXvUWfs</t>
  </si>
  <si>
    <t>eLu2ZUMTMb</t>
  </si>
  <si>
    <t>2026-04-25T09:41:30.248Z</t>
  </si>
  <si>
    <t>Zz9Z44PXX4</t>
  </si>
  <si>
    <t>XTtg93EsaB</t>
  </si>
  <si>
    <t>2026-04-25T11:13:05.586Z</t>
  </si>
  <si>
    <t>jxaAgp5bPh</t>
  </si>
  <si>
    <t>wXcoAtGeJH</t>
  </si>
  <si>
    <t>2026-04-25T11:39:36.053Z</t>
  </si>
  <si>
    <t>kN8ZsZSziK</t>
  </si>
  <si>
    <t>kG2LAmba4T</t>
  </si>
  <si>
    <t>2026-04-25T11:41:43.787Z</t>
  </si>
  <si>
    <t>dmAQ1t8GLw</t>
  </si>
  <si>
    <t>wqFxRKQZQu</t>
  </si>
  <si>
    <t>2026-04-25T11:50:57.795Z</t>
  </si>
  <si>
    <t>iNPreNe2pm</t>
  </si>
  <si>
    <t>sBYoaw8pUJ</t>
  </si>
  <si>
    <t>2026-04-25T12:11:30.501Z</t>
  </si>
  <si>
    <t>AfK3nGKpCN</t>
  </si>
  <si>
    <t>57XVudnG1U</t>
  </si>
  <si>
    <t>2026-04-25T12:20:44.722Z</t>
  </si>
  <si>
    <t>1bXzMeQZJb</t>
  </si>
  <si>
    <t>yYrnpNhemu</t>
  </si>
  <si>
    <t>2026-04-25T12:29:57.776Z</t>
  </si>
  <si>
    <t>fgSWg1KNKL</t>
  </si>
  <si>
    <t>4Y8LmJKA3e</t>
  </si>
  <si>
    <t>2026-04-25T13:02:34.955Z</t>
  </si>
  <si>
    <t>YKodw1w9XH</t>
  </si>
  <si>
    <t>69MPCSKPQp</t>
  </si>
  <si>
    <t>2026-04-25T13:07:44.363Z</t>
  </si>
  <si>
    <t>HWnbMrZ2B5</t>
  </si>
  <si>
    <t>1aXGBZT1Pi</t>
  </si>
  <si>
    <t>2026-04-25T13:32:10.533Z</t>
  </si>
  <si>
    <t>e41wVBsd5K</t>
  </si>
  <si>
    <t>kShyZSfqwn</t>
  </si>
  <si>
    <t>2026-04-25T13:34:16.575Z</t>
  </si>
  <si>
    <t>B9x8BdHE8n</t>
  </si>
  <si>
    <t>iMwxGQYJCH</t>
  </si>
  <si>
    <t>2026-04-25T13:51:36.060Z</t>
  </si>
  <si>
    <t>LP3UUstdKb</t>
  </si>
  <si>
    <t>bGxYYTp4LE</t>
  </si>
  <si>
    <t>2026-04-25T14:13:01.097Z</t>
  </si>
  <si>
    <t>5tii7cMy2B</t>
  </si>
  <si>
    <t>xXWMmsjHCM</t>
  </si>
  <si>
    <t>2026-04-25T14:16:10.463Z</t>
  </si>
  <si>
    <t>93yF4uJSUz</t>
  </si>
  <si>
    <t>swniAymr2b</t>
  </si>
  <si>
    <t>2026-04-25T14:34:31.240Z</t>
  </si>
  <si>
    <t>8i69n2dEff</t>
  </si>
  <si>
    <t>3qqH3thqc1</t>
  </si>
  <si>
    <t>2026-04-25T14:44:45.180Z</t>
  </si>
  <si>
    <t>2VXkvaTG4Z</t>
  </si>
  <si>
    <t>GPw4U8cdKY</t>
  </si>
  <si>
    <t>2026-04-25T15:11:15.079Z</t>
  </si>
  <si>
    <t>cyvN8Z4CYH</t>
  </si>
  <si>
    <t>257X5aaBmo</t>
  </si>
  <si>
    <t>2026-04-25T15:12:20.243Z</t>
  </si>
  <si>
    <t>BJyN55RvGA</t>
  </si>
  <si>
    <t>joZPwfodnw</t>
  </si>
  <si>
    <t>2026-04-25T15:23:34.355Z</t>
  </si>
  <si>
    <t>EN4BYkLCwk</t>
  </si>
  <si>
    <t>quZVm2Nvdd</t>
  </si>
  <si>
    <t>2026-04-25T15:41:54.951Z</t>
  </si>
  <si>
    <t>dDCUhWRVmG</t>
  </si>
  <si>
    <t>B1RCLP18Vw</t>
  </si>
  <si>
    <t>2026-04-25T15:51:09.607Z</t>
  </si>
  <si>
    <t>EGgAVX5c9y</t>
  </si>
  <si>
    <t>BZuvXYBSTj</t>
  </si>
  <si>
    <t>2026-04-25T15:56:24.298Z</t>
  </si>
  <si>
    <t>HDojYZSXmp</t>
  </si>
  <si>
    <t>1MimYeJ1iS</t>
  </si>
  <si>
    <t>2026-04-25T15:58:29.915Z</t>
  </si>
  <si>
    <t>D5wrkgZW7h</t>
  </si>
  <si>
    <t>LXwH2odGJd</t>
  </si>
  <si>
    <t>2026-04-25T16:00:36.576Z</t>
  </si>
  <si>
    <t>Dirk E</t>
  </si>
  <si>
    <t>BegginBlue#16667</t>
  </si>
  <si>
    <t>aX8dZo3iXF</t>
  </si>
  <si>
    <t>106058722152833024</t>
  </si>
  <si>
    <t>nhJhPz5HVm</t>
  </si>
  <si>
    <t>2026-04-25T16:08:48.966Z</t>
  </si>
  <si>
    <t>VwXqFnCTdG</t>
  </si>
  <si>
    <t>gtpUnmsAtW</t>
  </si>
  <si>
    <t>2026-04-25T16:20:06.654Z</t>
  </si>
  <si>
    <t>w7QfxmEhSF</t>
  </si>
  <si>
    <t>cuZBqQQS1F</t>
  </si>
  <si>
    <t>2026-04-25T16:23:13.494Z</t>
  </si>
  <si>
    <t>rEJj9Ha4Hn</t>
  </si>
  <si>
    <t>FCTSyP61NM</t>
  </si>
  <si>
    <t>2026-04-25T16:32:27.192Z</t>
  </si>
  <si>
    <t>VqL8UTTr5h</t>
  </si>
  <si>
    <t>FMXix3GZ28</t>
  </si>
  <si>
    <t>2026-04-25T16:34:33.722Z</t>
  </si>
  <si>
    <t>kMKmW2zAM2</t>
  </si>
  <si>
    <t>M9kMjqcgcT</t>
  </si>
  <si>
    <t>2026-04-25T16:56:57.790Z</t>
  </si>
  <si>
    <t>EiL69yTVCm</t>
  </si>
  <si>
    <t>mhGTpK4a8u</t>
  </si>
  <si>
    <t>2026-04-25T17:02:07.569Z</t>
  </si>
  <si>
    <t>iYu9TPmZNX</t>
  </si>
  <si>
    <t>cm5YS1xrSR</t>
  </si>
  <si>
    <t>2026-04-25T17:06:15.879Z</t>
  </si>
  <si>
    <t>rWYNfT4iXP</t>
  </si>
  <si>
    <t>RvUtQZZzTd</t>
  </si>
  <si>
    <t>2026-04-25T17:07:21.878Z</t>
  </si>
  <si>
    <t>TQYjW3YMEU</t>
  </si>
  <si>
    <t>vPAsKRGnBv</t>
  </si>
  <si>
    <t>2026-04-25T17:13:32.763Z</t>
  </si>
  <si>
    <t>Z3xjZvJz4t</t>
  </si>
  <si>
    <t>g86qH2YR2q</t>
  </si>
  <si>
    <t>2026-04-25T17:29:53.774Z</t>
  </si>
  <si>
    <t>kpCqdnggTC</t>
  </si>
  <si>
    <t>k3VVBiH93M</t>
  </si>
  <si>
    <t>2026-04-25T17:30:58.983Z</t>
  </si>
  <si>
    <t>Fb2Vm4Dvf2</t>
  </si>
  <si>
    <t>pMyxj2zp8e</t>
  </si>
  <si>
    <t>2026-04-25T17:35:09.225Z</t>
  </si>
  <si>
    <t>nev4D99s1X</t>
  </si>
  <si>
    <t>sz2y6xSsoK</t>
  </si>
  <si>
    <t>2026-04-25T17:38:17.806Z</t>
  </si>
  <si>
    <t>GrQ7tKcQt8</t>
  </si>
  <si>
    <t>jT8714QAXf</t>
  </si>
  <si>
    <t>2026-04-25T18:11:55.600Z</t>
  </si>
  <si>
    <t>ukCvLrmRuv</t>
  </si>
  <si>
    <t>z7dihTP8Ut</t>
  </si>
  <si>
    <t>2026-04-25T18:13:02.518Z</t>
  </si>
  <si>
    <t>PoDkH3ftmH</t>
  </si>
  <si>
    <t>VL1yZrEj4x</t>
  </si>
  <si>
    <t>2026-04-25T18:20:13.931Z</t>
  </si>
  <si>
    <t>86a6ijWHWh</t>
  </si>
  <si>
    <t>xEPwPqPjCe</t>
  </si>
  <si>
    <t>2026-04-25T18:20:19.451Z</t>
  </si>
  <si>
    <t>CQYcgbsCDs</t>
  </si>
  <si>
    <t>MQcvMyEmHA</t>
  </si>
  <si>
    <t>2026-04-25T18:34:40.047Z</t>
  </si>
  <si>
    <t>vY9M5LNGne</t>
  </si>
  <si>
    <t>guDbCniNqy</t>
  </si>
  <si>
    <t>2026-04-25T18:46:57.139Z</t>
  </si>
  <si>
    <t>7AJSV5hmia</t>
  </si>
  <si>
    <t>bpG7LLsPCn</t>
  </si>
  <si>
    <t>2026-04-25T18:52:05.823Z</t>
  </si>
  <si>
    <t>u7gr4KoEUr</t>
  </si>
  <si>
    <t>ZB5XcsJkV5</t>
  </si>
  <si>
    <t>2026-04-25T19:00:24.205Z</t>
  </si>
  <si>
    <t>CvyuW4GnN9</t>
  </si>
  <si>
    <t>mN15U1P9rA</t>
  </si>
  <si>
    <t>2026-04-25T19:01:30.225Z</t>
  </si>
  <si>
    <t>8kkSKLuTGC</t>
  </si>
  <si>
    <t>2jSDo45PxH</t>
  </si>
  <si>
    <t>2026-04-25T19:02:39.195Z</t>
  </si>
  <si>
    <t>NmC46vBYH1</t>
  </si>
  <si>
    <t>avqdBBEfE6</t>
  </si>
  <si>
    <t>2026-04-25T19:03:46.070Z</t>
  </si>
  <si>
    <t>YuqSLmFCHG</t>
  </si>
  <si>
    <t>JDnbJGMPxv</t>
  </si>
  <si>
    <t>2026-04-25T19:05:55.018Z</t>
  </si>
  <si>
    <t>Gec9qAaqxy</t>
  </si>
  <si>
    <t>X8oPUug2Cg</t>
  </si>
  <si>
    <t>2026-04-25T19:07:02.347Z</t>
  </si>
  <si>
    <t>osNVjEfzsf</t>
  </si>
  <si>
    <t>cTqPfDEHnG</t>
  </si>
  <si>
    <t>2026-04-25T19:34:35.052Z</t>
  </si>
  <si>
    <t>kuQNiprKUL</t>
  </si>
  <si>
    <t>MnyE8zB3tn</t>
  </si>
  <si>
    <t>2026-04-25T19:35:41.011Z</t>
  </si>
  <si>
    <t>7YegdSGTVe</t>
  </si>
  <si>
    <t>hmkYJtuhzr</t>
  </si>
  <si>
    <t>2026-04-25T19:41:52.149Z</t>
  </si>
  <si>
    <t>SQCsCoqzyy</t>
  </si>
  <si>
    <t>GghrUjom57</t>
  </si>
  <si>
    <t>2026-04-25T19:42:58.329Z</t>
  </si>
  <si>
    <t>6SRTF6BeaS</t>
  </si>
  <si>
    <t>93YW8wwegn</t>
  </si>
  <si>
    <t>2026-04-25T19:49:08.579Z</t>
  </si>
  <si>
    <t>Wms58Jpkct</t>
  </si>
  <si>
    <t>tNq3WeQnEZ</t>
  </si>
  <si>
    <t>2026-04-25T20:08:33.529Z</t>
  </si>
  <si>
    <t>X1uAtDdCrN</t>
  </si>
  <si>
    <t>cUpQEn5DQ4</t>
  </si>
  <si>
    <t>2026-04-25T20:22:53.738Z</t>
  </si>
  <si>
    <t>xuz1YmN3gS</t>
  </si>
  <si>
    <t>HBKP2NqEG5</t>
  </si>
  <si>
    <t>2026-04-25T20:26:00.436Z</t>
  </si>
  <si>
    <t>dcz6fWujjF</t>
  </si>
  <si>
    <t>womUtzyGsL</t>
  </si>
  <si>
    <t>2026-04-25T20:29:12.376Z</t>
  </si>
  <si>
    <t>7nxmWu4MgU</t>
  </si>
  <si>
    <t>NvdDB6Suh2</t>
  </si>
  <si>
    <t>2026-04-25T20:37:25.670Z</t>
  </si>
  <si>
    <t>CmjpVNfa1c</t>
  </si>
  <si>
    <t>FswULrTJa3</t>
  </si>
  <si>
    <t>2026-04-25T20:43:36.522Z</t>
  </si>
  <si>
    <t>RWpVzdGexK</t>
  </si>
  <si>
    <t>suBomg3TXv</t>
  </si>
  <si>
    <t>2026-04-25T20:53:51.255Z</t>
  </si>
  <si>
    <t>A3Y1NLzw7M</t>
  </si>
  <si>
    <t>ox5nYzH2Sz</t>
  </si>
  <si>
    <t>2026-04-25T20:55:57.874Z</t>
  </si>
  <si>
    <t>Douglas S</t>
  </si>
  <si>
    <t>Ivan#83721</t>
  </si>
  <si>
    <t>VANrC3w6xv</t>
  </si>
  <si>
    <t>529843663828811796</t>
  </si>
  <si>
    <t>454wpVs8nr</t>
  </si>
  <si>
    <t>2026-04-25T21:00:06.536Z</t>
  </si>
  <si>
    <t>hppcRfUatj</t>
  </si>
  <si>
    <t>59DLg7MWkk</t>
  </si>
  <si>
    <t>2026-04-25T21:03:15.226Z</t>
  </si>
  <si>
    <t>FAG4tTB1st</t>
  </si>
  <si>
    <t>PD5WtKVSR3</t>
  </si>
  <si>
    <t>2026-04-25T21:08:25.529Z</t>
  </si>
  <si>
    <t>LcoUzPDbLM</t>
  </si>
  <si>
    <t>ydMXhdjggr</t>
  </si>
  <si>
    <t>2026-04-25T21:16:39.868Z</t>
  </si>
  <si>
    <t>Wuq9Hebpzv</t>
  </si>
  <si>
    <t>a11SMhaGvM</t>
  </si>
  <si>
    <t>2026-04-25T21:37:02.919Z</t>
  </si>
  <si>
    <t>CxJ65sbKfb</t>
  </si>
  <si>
    <t>Pd1dsPAAAn</t>
  </si>
  <si>
    <t>2026-04-25T21:46:15.989Z</t>
  </si>
  <si>
    <t>rUEQZWUKnE</t>
  </si>
  <si>
    <t>gB95jy76Sm</t>
  </si>
  <si>
    <t>2026-04-25T21:47:21.858Z</t>
  </si>
  <si>
    <t>a48AbQyW51</t>
  </si>
  <si>
    <t>5jpreJ6XX8</t>
  </si>
  <si>
    <t>2026-04-25T21:53:31.784Z</t>
  </si>
  <si>
    <t>BaoX46XyR6</t>
  </si>
  <si>
    <t>WNoKPTnx5g</t>
  </si>
  <si>
    <t>2026-04-25T22:08:51.548Z</t>
  </si>
  <si>
    <t>Xb3TKQtUUo</t>
  </si>
  <si>
    <t>w8HxBfTVsj</t>
  </si>
  <si>
    <t>2026-04-25T22:14:02.541Z</t>
  </si>
  <si>
    <t>cXfYXGpdsr</t>
  </si>
  <si>
    <t>xeQR2eRzv6</t>
  </si>
  <si>
    <t>2026-04-25T22:26:17.488Z</t>
  </si>
  <si>
    <t>XVgHLiLqnu</t>
  </si>
  <si>
    <t>9rLuhfRwVH</t>
  </si>
  <si>
    <t>2026-04-25T22:30:27.388Z</t>
  </si>
  <si>
    <t>JLk7W3gmkv</t>
  </si>
  <si>
    <t>bdSXhHYtRc</t>
  </si>
  <si>
    <t>2026-04-25T22:44:44.462Z</t>
  </si>
  <si>
    <t>UZApJTsnWM</t>
  </si>
  <si>
    <t>5U3XK9y5RM</t>
  </si>
  <si>
    <t>2026-04-25T22:46:50.323Z</t>
  </si>
  <si>
    <t>gQCLpqA3b7</t>
  </si>
  <si>
    <t>GNPdcuTfCb</t>
  </si>
  <si>
    <t>2026-04-25T22:56:04.942Z</t>
  </si>
  <si>
    <t>ePfLaCjUA8</t>
  </si>
  <si>
    <t>Q2rfwE1Xya</t>
  </si>
  <si>
    <t>2026-04-25T22:57:10.172Z</t>
  </si>
  <si>
    <t>fzXkmoddx3</t>
  </si>
  <si>
    <t>9i4UftvVNk</t>
  </si>
  <si>
    <t>2026-04-25T23:16:32.277Z</t>
  </si>
  <si>
    <t>JvkMkeR6J3</t>
  </si>
  <si>
    <t>zxYJG44zUe</t>
  </si>
  <si>
    <t>2026-04-25T23:23:45.778Z</t>
  </si>
  <si>
    <t>XrczgBUfpV</t>
  </si>
  <si>
    <t>N5E4HEzmLJ</t>
  </si>
  <si>
    <t>2026-04-25T23:31:58.300Z</t>
  </si>
  <si>
    <t>2TqJCnztPP</t>
  </si>
  <si>
    <t>w3QV4pzJPG</t>
  </si>
  <si>
    <t>2026-04-25T23:46:15.739Z</t>
  </si>
  <si>
    <t>ANhBusmueN</t>
  </si>
  <si>
    <t>hH4JRyTxR9</t>
  </si>
  <si>
    <t>2026-04-26T00:02:36.410Z</t>
  </si>
  <si>
    <t>Ke1FpcD1Bs</t>
  </si>
  <si>
    <t>eiNUjqENyr</t>
  </si>
  <si>
    <t>2026-04-26T00:16:54.172Z</t>
  </si>
  <si>
    <t>SQqVNsGqqV</t>
  </si>
  <si>
    <t>tEHMvtQJYE</t>
  </si>
  <si>
    <t>2026-04-26T00:32:13.570Z</t>
  </si>
  <si>
    <t>SqqQ1kbvNY</t>
  </si>
  <si>
    <t>bHPSiV2ht9</t>
  </si>
  <si>
    <t>2026-04-26T00:34:19.384Z</t>
  </si>
  <si>
    <t>q72kJmaT3k</t>
  </si>
  <si>
    <t>vSRarKJAt8</t>
  </si>
  <si>
    <t>2026-04-26T00:44:32.436Z</t>
  </si>
  <si>
    <t>ZNmhEGkcdj</t>
  </si>
  <si>
    <t>ckabrnfz1j</t>
  </si>
  <si>
    <t>2026-04-26T00:53:46.252Z</t>
  </si>
  <si>
    <t>VfJCTcA4aa</t>
  </si>
  <si>
    <t>oToNyksjV8</t>
  </si>
  <si>
    <t>2026-04-26T01:11:07.881Z</t>
  </si>
  <si>
    <t>cRXUE5LFb9</t>
  </si>
  <si>
    <t>YEh2LoccrR</t>
  </si>
  <si>
    <t>2026-04-26T01:22:23.289Z</t>
  </si>
  <si>
    <t>kUfkejoKRX</t>
  </si>
  <si>
    <t>xnHXHXt4Uf</t>
  </si>
  <si>
    <t>2026-04-26T01:40:45.076Z</t>
  </si>
  <si>
    <t>SmGzfGfQaU</t>
  </si>
  <si>
    <t>Jb9xmZiW9J</t>
  </si>
  <si>
    <t>2026-04-26T01:56:05.249Z</t>
  </si>
  <si>
    <t>xMhVY4KeuM</t>
  </si>
  <si>
    <t>X5R33eXFo4</t>
  </si>
  <si>
    <t>2026-04-26T02:00:13.220Z</t>
  </si>
  <si>
    <t>L3qJj34VN3</t>
  </si>
  <si>
    <t>vghNhFjJsK</t>
  </si>
  <si>
    <t>2026-04-26T02:05:22.405Z</t>
  </si>
  <si>
    <t>k6bp73YVsr</t>
  </si>
  <si>
    <t>BBF2D3tgLW</t>
  </si>
  <si>
    <t>2026-04-26T02:23:43.338Z</t>
  </si>
  <si>
    <t>7AoeySDn1h</t>
  </si>
  <si>
    <t>jNEQMWdmg6</t>
  </si>
  <si>
    <t>2026-04-26T02:24:48.317Z</t>
  </si>
  <si>
    <t>ggNCZ5NtEH</t>
  </si>
  <si>
    <t>ofa6Z49ErZ</t>
  </si>
  <si>
    <t>2026-04-26T02:33:01.915Z</t>
  </si>
  <si>
    <t>WXYTH8EwxT</t>
  </si>
  <si>
    <t>efRYDyAMgc</t>
  </si>
  <si>
    <t>2026-04-26T02:33:05.686Z</t>
  </si>
  <si>
    <t>bbFm4rizEL</t>
  </si>
  <si>
    <t>gN9uYUBp63</t>
  </si>
  <si>
    <t>2026-04-26T02:45:21.578Z</t>
  </si>
  <si>
    <t>4n9CMyvHNG</t>
  </si>
  <si>
    <t>Djx6AQWRpP</t>
  </si>
  <si>
    <t>2026-04-26T03:00:39.435Z</t>
  </si>
  <si>
    <t>qLDkeroaUk</t>
  </si>
  <si>
    <t>SzsHrDcpTa</t>
  </si>
  <si>
    <t>2026-04-26T03:10:54.333Z</t>
  </si>
  <si>
    <t>eLaEWdJVBn</t>
  </si>
  <si>
    <t>zaaFNtXkpY</t>
  </si>
  <si>
    <t>2026-04-26T03:15:20.752Z</t>
  </si>
  <si>
    <t>6VnJHbuidi</t>
  </si>
  <si>
    <t>WzyYXpJy9e</t>
  </si>
  <si>
    <t>2026-04-26T03:22:30.261Z</t>
  </si>
  <si>
    <t>9PdA1gJgph</t>
  </si>
  <si>
    <t>e4GinMFqnS</t>
  </si>
  <si>
    <t>2026-04-26T03:28:40.768Z</t>
  </si>
  <si>
    <t>bfYDaz5SzE</t>
  </si>
  <si>
    <t>Duncan R</t>
  </si>
  <si>
    <t>Zb4nG3oHry</t>
  </si>
  <si>
    <t>Donutboy#12626</t>
  </si>
  <si>
    <t>2026-04-26T03:30:46.789Z</t>
  </si>
  <si>
    <t>446106017449771008</t>
  </si>
  <si>
    <t>TKzQpKJn3n</t>
  </si>
  <si>
    <t>aM25wTcrpM</t>
  </si>
  <si>
    <t>2026-04-26T04:52:46.958Z</t>
  </si>
  <si>
    <t>ynvFseDs1v</t>
  </si>
  <si>
    <t>GWLxEJRapU</t>
  </si>
  <si>
    <t>2026-04-26T04:55:52.911Z</t>
  </si>
  <si>
    <t>tGhp5ZhBuC</t>
  </si>
  <si>
    <t>MPzoLZyNUK</t>
  </si>
  <si>
    <t>2026-04-26T05:02:00.257Z</t>
  </si>
  <si>
    <t>TBWNL8aCU8</t>
  </si>
  <si>
    <t>sgg1tXTrym</t>
  </si>
  <si>
    <t>2026-04-26T06:09:47.520Z</t>
  </si>
  <si>
    <t>Ajz6ieE9oN</t>
  </si>
  <si>
    <t>393r2r5WAx</t>
  </si>
  <si>
    <t>2026-04-26T06:32:05.688Z</t>
  </si>
  <si>
    <t>EE1yfNsETR</t>
  </si>
  <si>
    <t>BsMmvRnv1T</t>
  </si>
  <si>
    <t>2026-04-26T07:01:29.479Z</t>
  </si>
  <si>
    <t>ruZifVPfkJ</t>
  </si>
  <si>
    <t>mirSu5ox5X</t>
  </si>
  <si>
    <t>2026-04-26T08:02:13.456Z</t>
  </si>
  <si>
    <t>UW8HLMVCFA</t>
  </si>
  <si>
    <t>1FTBznbD6N</t>
  </si>
  <si>
    <t>2026-04-26T08:05:18.645Z</t>
  </si>
  <si>
    <t>i6scihJmkz</t>
  </si>
  <si>
    <t>azJ1Pi8E1x</t>
  </si>
  <si>
    <t>2026-04-26T08:21:33.125Z</t>
  </si>
  <si>
    <t>mNjmZ3vfTc</t>
  </si>
  <si>
    <t>eZLFdjxky8</t>
  </si>
  <si>
    <t>2026-04-26T09:20:12.278Z</t>
  </si>
  <si>
    <t>Q9DeRUZi6x</t>
  </si>
  <si>
    <t>bJk5vLuePb</t>
  </si>
  <si>
    <t>2026-04-26T10:09:54.216Z</t>
  </si>
  <si>
    <t>996QnAH2L2</t>
  </si>
  <si>
    <t>9MvC7VDVYX</t>
  </si>
  <si>
    <t>2026-04-26T11:33:54.968Z</t>
  </si>
  <si>
    <t>BjEjjGr4rJ</t>
  </si>
  <si>
    <t>8B6QagGdQo</t>
  </si>
  <si>
    <t>2026-04-26T11:59:16.959Z</t>
  </si>
  <si>
    <t>Bss8tbNrmf</t>
  </si>
  <si>
    <t>CUwt7foYdG</t>
  </si>
  <si>
    <t>2026-04-26T12:04:26.392Z</t>
  </si>
  <si>
    <t>EYueBk8R6M</t>
  </si>
  <si>
    <t>vt2QnqgaES</t>
  </si>
  <si>
    <t>2026-04-26T12:56:04.524Z</t>
  </si>
  <si>
    <t>hYXxEAVP4K</t>
  </si>
  <si>
    <t>uaW4pA1ffX</t>
  </si>
  <si>
    <t>2026-04-26T13:03:13.480Z</t>
  </si>
  <si>
    <t>KPYu48UnzZ</t>
  </si>
  <si>
    <t>teTfoteDzd</t>
  </si>
  <si>
    <t>2026-04-26T13:18:28.818Z</t>
  </si>
  <si>
    <t>QnFjPepFNZ</t>
  </si>
  <si>
    <t>2U289Yf2wV</t>
  </si>
  <si>
    <t>2026-04-26T13:31:42.536Z</t>
  </si>
  <si>
    <t>DfSk9GgdtZ</t>
  </si>
  <si>
    <t>hbSyRTE3E4</t>
  </si>
  <si>
    <t>2026-04-26T13:54:01.792Z</t>
  </si>
  <si>
    <t>X7fTTJxFGQ</t>
  </si>
  <si>
    <t>AytyvZwPNu</t>
  </si>
  <si>
    <t>2026-04-26T14:05:14.780Z</t>
  </si>
  <si>
    <t>hwFT4yzwvv</t>
  </si>
  <si>
    <t>siUYC6X8Pc</t>
  </si>
  <si>
    <t>2026-04-26T14:16:27.916Z</t>
  </si>
  <si>
    <t>aHSyfoJBbT</t>
  </si>
  <si>
    <t>aJpri1CYVA</t>
  </si>
  <si>
    <t>2026-04-26T14:25:37.707Z</t>
  </si>
  <si>
    <t>9hN8G6J47u</t>
  </si>
  <si>
    <t>Sf1jy3cEia</t>
  </si>
  <si>
    <t>2026-04-26T14:49:01.202Z</t>
  </si>
  <si>
    <t>HKmUBJyeTt</t>
  </si>
  <si>
    <t>3prJjUMRAY</t>
  </si>
  <si>
    <t>2026-04-26T14:54:10.141Z</t>
  </si>
  <si>
    <t>WFKv15Qfj8</t>
  </si>
  <si>
    <t>eHTHsX3KA7</t>
  </si>
  <si>
    <t>2026-04-26T14:54:13.079Z</t>
  </si>
  <si>
    <t>4MwY8xRuY2</t>
  </si>
  <si>
    <t>AWf9evTV4z</t>
  </si>
  <si>
    <t>2026-04-26T14:58:19.997Z</t>
  </si>
  <si>
    <t>nWDAMe3N89</t>
  </si>
  <si>
    <t>g1uMgMibxs</t>
  </si>
  <si>
    <t>2026-04-26T15:03:29.315Z</t>
  </si>
  <si>
    <t>TWWDjQYfB6</t>
  </si>
  <si>
    <t>uwWTtQm32F</t>
  </si>
  <si>
    <t>2026-04-26T15:39:59.299Z</t>
  </si>
  <si>
    <t>1iyMXtzwsn</t>
  </si>
  <si>
    <t>uVcoxHnzzN</t>
  </si>
  <si>
    <t>2026-04-26T16:10:27.312Z</t>
  </si>
  <si>
    <t>apFYhuHmo9</t>
  </si>
  <si>
    <t>3K7t1juryb</t>
  </si>
  <si>
    <t>2026-04-26T16:22:39.700Z</t>
  </si>
  <si>
    <t>sqMKN3BcoR</t>
  </si>
  <si>
    <t>iRQfJCWvLk</t>
  </si>
  <si>
    <t>2026-04-26T16:23:44.429Z</t>
  </si>
  <si>
    <t>wtKHTbxad8</t>
  </si>
  <si>
    <t>THiBktAY2o</t>
  </si>
  <si>
    <t>2026-04-26T17:14:23.930Z</t>
  </si>
  <si>
    <t>PDNeJfWyvY</t>
  </si>
  <si>
    <t>B4S9Wvhocy</t>
  </si>
  <si>
    <t>2026-04-26T17:20:36.761Z</t>
  </si>
  <si>
    <t>qMVV2kqSaH</t>
  </si>
  <si>
    <t>essghsktPi</t>
  </si>
  <si>
    <t>2026-04-26T17:34:51.949Z</t>
  </si>
  <si>
    <t>VhfvBZYkVP</t>
  </si>
  <si>
    <t>6L64zdTmTA</t>
  </si>
  <si>
    <t>2026-04-26T17:38:59.510Z</t>
  </si>
  <si>
    <t>3ZgBoSvTBD</t>
  </si>
  <si>
    <t>ABjzzrK7zG</t>
  </si>
  <si>
    <t>2026-04-26T18:16:30.926Z</t>
  </si>
  <si>
    <t>PYqg2AVbH3</t>
  </si>
  <si>
    <t>mY7gLawEYS</t>
  </si>
  <si>
    <t>2026-04-26T18:17:36.533Z</t>
  </si>
  <si>
    <t>PK4aqYw6Ys</t>
  </si>
  <si>
    <t>N43EhuAbi4</t>
  </si>
  <si>
    <t>2026-04-26T18:20:42.274Z</t>
  </si>
  <si>
    <t>BMNJgGi79C</t>
  </si>
  <si>
    <t>ZxmB9v1Xav</t>
  </si>
  <si>
    <t>2026-04-26T18:40:00.532Z</t>
  </si>
  <si>
    <t>bNBcwvJ9SJ</t>
  </si>
  <si>
    <t>hveqQ81phD</t>
  </si>
  <si>
    <t>2026-04-26T18:50:12.194Z</t>
  </si>
  <si>
    <t>mEuMFad2ne</t>
  </si>
  <si>
    <t>pr2NGcHYQA</t>
  </si>
  <si>
    <t>2026-04-26T19:08:30.026Z</t>
  </si>
  <si>
    <t>KspafGGUCu</t>
  </si>
  <si>
    <t>tQ9EwpXaeU</t>
  </si>
  <si>
    <t>2026-04-26T19:11:37.464Z</t>
  </si>
  <si>
    <t>gYzsVdsTtV</t>
  </si>
  <si>
    <t>Dyson F</t>
  </si>
  <si>
    <t>mKdci6aZdS</t>
  </si>
  <si>
    <t>thelizardwizard#34009</t>
  </si>
  <si>
    <t>703847776903233547</t>
  </si>
  <si>
    <t>2026-04-26T19:13:43.094Z</t>
  </si>
  <si>
    <t>uH66bJUs1Z</t>
  </si>
  <si>
    <t>73NTiZct9H</t>
  </si>
  <si>
    <t>2026-04-26T19:29:05.063Z</t>
  </si>
  <si>
    <t>tWLFVCWMd3</t>
  </si>
  <si>
    <t>NmYoaXMdBD</t>
  </si>
  <si>
    <t>2026-04-26T19:38:15.891Z</t>
  </si>
  <si>
    <t>bUuKu8yR3n</t>
  </si>
  <si>
    <t>oanHrMLQTV</t>
  </si>
  <si>
    <t>2026-04-26T19:41:24.686Z</t>
  </si>
  <si>
    <t>MLTpQBpNjZ</t>
  </si>
  <si>
    <t>khqfBXDDPS</t>
  </si>
  <si>
    <t>2026-04-26T19:47:33.021Z</t>
  </si>
  <si>
    <t>8J4y3EVyGz</t>
  </si>
  <si>
    <t>PGnqpqj34M</t>
  </si>
  <si>
    <t>2026-04-26T19:52:42.378Z</t>
  </si>
  <si>
    <t>RJb8FujaDH</t>
  </si>
  <si>
    <t>2DRX3cAsmD</t>
  </si>
  <si>
    <t>2026-04-26T19:58:52.111Z</t>
  </si>
  <si>
    <t>tqRFQQU6Wf</t>
  </si>
  <si>
    <t>a7WbbSpdZf</t>
  </si>
  <si>
    <t>2026-04-26T20:28:21.231Z</t>
  </si>
  <si>
    <t>9hqRBj3nkL</t>
  </si>
  <si>
    <t>CT3HM5VBBr</t>
  </si>
  <si>
    <t>2026-04-26T20:31:29.718Z</t>
  </si>
  <si>
    <t>u6mecn6y4S</t>
  </si>
  <si>
    <t>etyp3QdpFU</t>
  </si>
  <si>
    <t>2026-04-26T20:33:35.200Z</t>
  </si>
  <si>
    <t>DGgmjhWDW2</t>
  </si>
  <si>
    <t>xzjTVjsMYJ</t>
  </si>
  <si>
    <t>2026-04-26T20:56:01.825Z</t>
  </si>
  <si>
    <t>8sBPh7eE3g</t>
  </si>
  <si>
    <t>f9NQscFJp2</t>
  </si>
  <si>
    <t>2026-04-26T21:05:12.464Z</t>
  </si>
  <si>
    <t>p48LP3qtg3</t>
  </si>
  <si>
    <t>2SL4MhNbiQ</t>
  </si>
  <si>
    <t>2026-04-26T21:07:21.782Z</t>
  </si>
  <si>
    <t>C1ZGSturWJ</t>
  </si>
  <si>
    <t>aC86oC9tJa</t>
  </si>
  <si>
    <t>2026-04-26T21:14:30.443Z</t>
  </si>
  <si>
    <t>aKKkb16ZMn</t>
  </si>
  <si>
    <t>AadkMzkfCH</t>
  </si>
  <si>
    <t>2026-04-26T21:14:38.902Z</t>
  </si>
  <si>
    <t>P3toWiFLq4</t>
  </si>
  <si>
    <t>N2BcofA2pz</t>
  </si>
  <si>
    <t>2026-04-26T21:37:01.800Z</t>
  </si>
  <si>
    <t>tFos5BDz7o</t>
  </si>
  <si>
    <t>Ak7N1s831Y</t>
  </si>
  <si>
    <t>2026-04-26T21:43:10.950Z</t>
  </si>
  <si>
    <t>aMq7dq4tZV</t>
  </si>
  <si>
    <t>SrpQxwVkFR</t>
  </si>
  <si>
    <t>2026-04-26T21:44:15.370Z</t>
  </si>
  <si>
    <t>5VL4fyZ7jQ</t>
  </si>
  <si>
    <t>xffiGnG35o</t>
  </si>
  <si>
    <t>2026-04-26T21:44:19.190Z</t>
  </si>
  <si>
    <t>r8ZDSeSufG</t>
  </si>
  <si>
    <t>WaDG4wz2Hj</t>
  </si>
  <si>
    <t>2026-04-26T21:53:29.572Z</t>
  </si>
  <si>
    <t>7mi8B16Zrh</t>
  </si>
  <si>
    <t>nhQAy7YrWY</t>
  </si>
  <si>
    <t>2026-04-26T21:58:37.227Z</t>
  </si>
  <si>
    <t>cyqaHXjiPp</t>
  </si>
  <si>
    <t>4P15w34ibN</t>
  </si>
  <si>
    <t>2026-04-26T22:26:01.544Z</t>
  </si>
  <si>
    <t>HoxRmnDfZR</t>
  </si>
  <si>
    <t>F2fCrs6QKv</t>
  </si>
  <si>
    <t>2026-04-26T22:27:07.919Z</t>
  </si>
  <si>
    <t>brqmcbjziH</t>
  </si>
  <si>
    <t>f53FrV8FCk</t>
  </si>
  <si>
    <t>2026-04-26T22:56:35.294Z</t>
  </si>
  <si>
    <t>wewXHo9seP</t>
  </si>
  <si>
    <t>G1eZJim4oy</t>
  </si>
  <si>
    <t>2026-04-26T23:00:42.272Z</t>
  </si>
  <si>
    <t>5pdVUouRrQ</t>
  </si>
  <si>
    <t>eW19RNao8T</t>
  </si>
  <si>
    <t>2026-04-26T23:12:54.159Z</t>
  </si>
  <si>
    <t>PBFgY1Pefg</t>
  </si>
  <si>
    <t>5X2sC36vCj</t>
  </si>
  <si>
    <t>2026-04-26T23:36:14.509Z</t>
  </si>
  <si>
    <t>QPVU7f4c72</t>
  </si>
  <si>
    <t>pRrPjQhC1y</t>
  </si>
  <si>
    <t>2026-04-27T00:03:40.757Z</t>
  </si>
  <si>
    <t>b52AUKy7SK</t>
  </si>
  <si>
    <t>A9uNWvPjyB</t>
  </si>
  <si>
    <t>2026-04-27T00:07:52.289Z</t>
  </si>
  <si>
    <t>smY5cKtn8j</t>
  </si>
  <si>
    <t>eef8FBGn9d</t>
  </si>
  <si>
    <t>2026-04-27T00:14:00.463Z</t>
  </si>
  <si>
    <t>RZunj1bfY1</t>
  </si>
  <si>
    <t>1cnGdpsdvF</t>
  </si>
  <si>
    <t>2026-04-27T00:18:07.483Z</t>
  </si>
  <si>
    <t>9Yddfwy9mU</t>
  </si>
  <si>
    <t>N5We9BgRCy</t>
  </si>
  <si>
    <t>2026-04-27T00:24:17.875Z</t>
  </si>
  <si>
    <t>QXDG4vgyBm</t>
  </si>
  <si>
    <t>EFgYEsKQvj</t>
  </si>
  <si>
    <t>2026-04-27T00:29:24.778Z</t>
  </si>
  <si>
    <t>6PvSz39MpD</t>
  </si>
  <si>
    <t>VAA21cHBLK</t>
  </si>
  <si>
    <t>2026-04-27T01:00:53.886Z</t>
  </si>
  <si>
    <t>5wibR5jnpZ</t>
  </si>
  <si>
    <t>YxVpYpQyJk</t>
  </si>
  <si>
    <t>2026-04-27T01:01:00.602Z</t>
  </si>
  <si>
    <t>icaBV4PhMU</t>
  </si>
  <si>
    <t>Yy51hizJLx</t>
  </si>
  <si>
    <t>2026-04-27T01:13:14.049Z</t>
  </si>
  <si>
    <t>h9io4XKzTW</t>
  </si>
  <si>
    <t>PmwQi1pWCH</t>
  </si>
  <si>
    <t>2026-04-27T01:32:31.645Z</t>
  </si>
  <si>
    <t>9d6zfrAVsy</t>
  </si>
  <si>
    <t>sgz2e321dZ</t>
  </si>
  <si>
    <t>2026-04-27T01:43:45.673Z</t>
  </si>
  <si>
    <t>snXjfZ6BEc</t>
  </si>
  <si>
    <t>EoFDA46rAS</t>
  </si>
  <si>
    <t>2026-04-27T01:54:02.086Z</t>
  </si>
  <si>
    <t>oL2pxVn1Zq</t>
  </si>
  <si>
    <t>7tjjp8dGqw</t>
  </si>
  <si>
    <t>2026-04-27T02:02:23.668Z</t>
  </si>
  <si>
    <t>n9Cc5YJdVP</t>
  </si>
  <si>
    <t>EyZLmwumk7</t>
  </si>
  <si>
    <t>2026-04-27T02:07:32.171Z</t>
  </si>
  <si>
    <t>pUJCLTF6MD</t>
  </si>
  <si>
    <t>Eddie R</t>
  </si>
  <si>
    <t>cXUWbCQQFC</t>
  </si>
  <si>
    <t>Lord Sorin#57773</t>
  </si>
  <si>
    <t>2026-04-27T02:34:55.093Z</t>
  </si>
  <si>
    <t>387519001481314305</t>
  </si>
  <si>
    <t>v8cRRtfBqK</t>
  </si>
  <si>
    <t>jCbcwJVRNt</t>
  </si>
  <si>
    <t>2026-04-27T02:52:13.272Z</t>
  </si>
  <si>
    <t>82Cj7P1CVa</t>
  </si>
  <si>
    <t>swQduQax5n</t>
  </si>
  <si>
    <t>2026-04-27T02:58:22.641Z</t>
  </si>
  <si>
    <t>2zJ4Wd4Zwi</t>
  </si>
  <si>
    <t>bzyQo6AT5v</t>
  </si>
  <si>
    <t>2026-04-27T03:27:47.107Z</t>
  </si>
  <si>
    <t>p6wB7aX4Jy</t>
  </si>
  <si>
    <t>tVZxfduTtc</t>
  </si>
  <si>
    <t>2026-04-27T03:38:59.523Z</t>
  </si>
  <si>
    <t>uhnJsCVGvz</t>
  </si>
  <si>
    <t>g5mrXntMNu</t>
  </si>
  <si>
    <t>2026-04-27T03:42:05.193Z</t>
  </si>
  <si>
    <t>xYmrXHzvSB</t>
  </si>
  <si>
    <t>nDYrkc7LRM</t>
  </si>
  <si>
    <t>2026-04-27T03:52:14.960Z</t>
  </si>
  <si>
    <t>Spvm2eCnQC</t>
  </si>
  <si>
    <t>EBoyQiAYrd</t>
  </si>
  <si>
    <t>2026-04-27T04:19:36.180Z</t>
  </si>
  <si>
    <t>XT5yUPojps</t>
  </si>
  <si>
    <t>XBPr2rbBJt</t>
  </si>
  <si>
    <t>2026-04-27T04:42:16.026Z</t>
  </si>
  <si>
    <t>2SCrsLL6vs</t>
  </si>
  <si>
    <t>nqpbjLqDvD</t>
  </si>
  <si>
    <t>2026-04-27T04:44:21.153Z</t>
  </si>
  <si>
    <t>CUcmnSBXp9</t>
  </si>
  <si>
    <t>6qdBKT8rZT</t>
  </si>
  <si>
    <t>2026-04-27T04:51:29.512Z</t>
  </si>
  <si>
    <t>oZMb4nReke</t>
  </si>
  <si>
    <t>LE9N7Bj23P</t>
  </si>
  <si>
    <t>2026-04-27T05:36:11.854Z</t>
  </si>
  <si>
    <t>6Ae61GAmSs</t>
  </si>
  <si>
    <t>iwr38bfT6X</t>
  </si>
  <si>
    <t>2026-04-27T05:51:28.912Z</t>
  </si>
  <si>
    <t>8eG5RbP3oo</t>
  </si>
  <si>
    <t>d2whZbRQXY</t>
  </si>
  <si>
    <t>2026-04-27T08:16:37.455Z</t>
  </si>
  <si>
    <t>BgQXJBierD</t>
  </si>
  <si>
    <t>MzA2F5DvU3</t>
  </si>
  <si>
    <t>2026-04-27T11:16:08.625Z</t>
  </si>
  <si>
    <t>Vi89R3qxxW</t>
  </si>
  <si>
    <t>5VWt3nTfrM</t>
  </si>
  <si>
    <t>2026-04-27T14:54:47.944Z</t>
  </si>
  <si>
    <t>eAsdCZs3hB</t>
  </si>
  <si>
    <t>QoAWuKJ5Xd</t>
  </si>
  <si>
    <t>2026-04-27T14:59:54.993Z</t>
  </si>
  <si>
    <t>vJc9udDjYb</t>
  </si>
  <si>
    <t>Mj799N7v4p</t>
  </si>
  <si>
    <t>2026-04-27T16:05:50.286Z</t>
  </si>
  <si>
    <t>2tnfd5L5PF</t>
  </si>
  <si>
    <t>bK3xsd6BpC</t>
  </si>
  <si>
    <t>2026-04-27T16:43:33.202Z</t>
  </si>
  <si>
    <t>qEnoKL5juW</t>
  </si>
  <si>
    <t>1pNN76XEV9</t>
  </si>
  <si>
    <t>2026-04-27T16:45:39.262Z</t>
  </si>
  <si>
    <t>ZEMj6b4zEw</t>
  </si>
  <si>
    <t>7SH27227oT</t>
  </si>
  <si>
    <t>2026-04-27T17:08:56.842Z</t>
  </si>
  <si>
    <t>C3YqQPmXEq</t>
  </si>
  <si>
    <t>HPrxEAPgEd</t>
  </si>
  <si>
    <t>2026-04-27T17:45:20.492Z</t>
  </si>
  <si>
    <t>j2oGkpGobW</t>
  </si>
  <si>
    <t>SB7GyS1urQ</t>
  </si>
  <si>
    <t>2026-04-27T18:13:43.627Z</t>
  </si>
  <si>
    <t>iDr7m5u6Nq</t>
  </si>
  <si>
    <t>CPRj3gHuiC</t>
  </si>
  <si>
    <t>2026-04-27T18:32:02.590Z</t>
  </si>
  <si>
    <t>c1Q8xxmPz1</t>
  </si>
  <si>
    <t>jm6FsvZxMq</t>
  </si>
  <si>
    <t>2026-04-27T19:16:31.633Z</t>
  </si>
  <si>
    <t>2rwSyF26SG</t>
  </si>
  <si>
    <t>hYVQCA4GLi</t>
  </si>
  <si>
    <t>2026-04-27T19:35:50.281Z</t>
  </si>
  <si>
    <t>Ln3hneugcz</t>
  </si>
  <si>
    <t>5FsDBZpzZq</t>
  </si>
  <si>
    <t>2026-04-27T20:00:09.233Z</t>
  </si>
  <si>
    <t>c84V1XvHEa</t>
  </si>
  <si>
    <t>qhYSrMG89p</t>
  </si>
  <si>
    <t>2026-04-27T20:07:16.880Z</t>
  </si>
  <si>
    <t>bgSRYzLm7V</t>
  </si>
  <si>
    <t>9oUTtshaxc</t>
  </si>
  <si>
    <t>2026-04-27T20:08:21.821Z</t>
  </si>
  <si>
    <t>g7qtaDAKGJ</t>
  </si>
  <si>
    <t>nnsCCv3SkM</t>
  </si>
  <si>
    <t>2026-04-27T20:52:52.097Z</t>
  </si>
  <si>
    <t>BrSQuXM7fx</t>
  </si>
  <si>
    <t>y3YrT93Yd5</t>
  </si>
  <si>
    <t>2026-04-27T21:28:21.604Z</t>
  </si>
  <si>
    <t>wX8dfnpdMK</t>
  </si>
  <si>
    <t>7durkSKUcr</t>
  </si>
  <si>
    <t>2026-04-27T21:35:33.089Z</t>
  </si>
  <si>
    <t>y6Qx3vZNhe</t>
  </si>
  <si>
    <t>V4o6yijntj</t>
  </si>
  <si>
    <t>2026-04-27T21:48:47.931Z</t>
  </si>
  <si>
    <t>FEzxM9GkZt</t>
  </si>
  <si>
    <t>a5jT9JRmAa</t>
  </si>
  <si>
    <t>2026-04-27T21:53:58.371Z</t>
  </si>
  <si>
    <t>xumfLXFLQ6</t>
  </si>
  <si>
    <t>MsG74Yrzdu</t>
  </si>
  <si>
    <t>2026-04-27T22:22:23.208Z</t>
  </si>
  <si>
    <t>56RmMMEeBp</t>
  </si>
  <si>
    <t>x9g4ZYe9R2</t>
  </si>
  <si>
    <t>2026-04-27T23:20:05.090Z</t>
  </si>
  <si>
    <t>Uy5bqgATQB</t>
  </si>
  <si>
    <t>YTv2cuR7e7</t>
  </si>
  <si>
    <t>2026-04-27T23:22:10.265Z</t>
  </si>
  <si>
    <t>C2zKZ6Gn8T</t>
  </si>
  <si>
    <t>xuZ2LgqKry</t>
  </si>
  <si>
    <t>2026-04-28T00:19:50.215Z</t>
  </si>
  <si>
    <t>TRCdVCyX1Z</t>
  </si>
  <si>
    <t>yDBuPZSh8i</t>
  </si>
  <si>
    <t>2026-04-28T00:19:53.795Z</t>
  </si>
  <si>
    <t>PADLmzkJ52</t>
  </si>
  <si>
    <t>MphgBRdEcr</t>
  </si>
  <si>
    <t>2026-04-28T00:31:08.394Z</t>
  </si>
  <si>
    <t>DKZhgj7Bao</t>
  </si>
  <si>
    <t>Xi3FRHcj8K</t>
  </si>
  <si>
    <t>2026-04-28T00:40:18.307Z</t>
  </si>
  <si>
    <t>Cxxb4TsF1j</t>
  </si>
  <si>
    <t>yJj9Xd43Xs</t>
  </si>
  <si>
    <t>2026-04-28T00:49:28.038Z</t>
  </si>
  <si>
    <t>eLeeV4Bi6P</t>
  </si>
  <si>
    <t>G8q9QD1nQq</t>
  </si>
  <si>
    <t>2026-04-28T00:55:37.515Z</t>
  </si>
  <si>
    <t>giBYdUFgkB</t>
  </si>
  <si>
    <t>ibGYvuBvxP</t>
  </si>
  <si>
    <t>2026-04-28T01:03:52.291Z</t>
  </si>
  <si>
    <t>H8mbaw1tQf</t>
  </si>
  <si>
    <t>Elias W</t>
  </si>
  <si>
    <t>4xZoJiNaqW</t>
  </si>
  <si>
    <t>Casicu#10613</t>
  </si>
  <si>
    <t>2026-04-28T01:04:57.144Z</t>
  </si>
  <si>
    <t>198000151959306241</t>
  </si>
  <si>
    <t>WoiPknGM2a</t>
  </si>
  <si>
    <t>joa55cZYwU</t>
  </si>
  <si>
    <t>2026-04-28T01:09:06.252Z</t>
  </si>
  <si>
    <t>kQomx8oDbB</t>
  </si>
  <si>
    <t>LPHktZwpkX</t>
  </si>
  <si>
    <t>2026-04-28T01:36:37.065Z</t>
  </si>
  <si>
    <t>UmmzkxrcMz</t>
  </si>
  <si>
    <t>sUmduiFuHE</t>
  </si>
  <si>
    <t>2026-04-28T01:40:52.587Z</t>
  </si>
  <si>
    <t>wBD2BbfSze</t>
  </si>
  <si>
    <t>w82DeRWm5s</t>
  </si>
  <si>
    <t>2026-04-28T01:55:14.929Z</t>
  </si>
  <si>
    <t>Yh8ESGrjd3</t>
  </si>
  <si>
    <t>h8MPtmjk6A</t>
  </si>
  <si>
    <t>2026-04-28T01:59:34.521Z</t>
  </si>
  <si>
    <t>pmmXnSSPBW</t>
  </si>
  <si>
    <t>sQN3fqnSWk</t>
  </si>
  <si>
    <t>2026-04-28T01:59:38.521Z</t>
  </si>
  <si>
    <t>aS1aLmsm6c</t>
  </si>
  <si>
    <t>oLJgUAayQo</t>
  </si>
  <si>
    <t>2026-04-28T02:04:46.877Z</t>
  </si>
  <si>
    <t>ni57s8xJjU</t>
  </si>
  <si>
    <t>cz4rsD8rsk</t>
  </si>
  <si>
    <t>2026-04-28T02:21:08.818Z</t>
  </si>
  <si>
    <t>2Q4ubcwWKT</t>
  </si>
  <si>
    <t>aDGQYbEMpY</t>
  </si>
  <si>
    <t>2026-04-28T02:29:23.662Z</t>
  </si>
  <si>
    <t>UZ9EarfpuX</t>
  </si>
  <si>
    <t>kHE2HQrgpK</t>
  </si>
  <si>
    <t>2026-04-28T02:38:37.278Z</t>
  </si>
  <si>
    <t>LnQCYKVagn</t>
  </si>
  <si>
    <t>JXKw81A8iG</t>
  </si>
  <si>
    <t>2026-04-28T02:44:47.930Z</t>
  </si>
  <si>
    <t>nap3DvAzMo</t>
  </si>
  <si>
    <t>hbTnnHkp4R</t>
  </si>
  <si>
    <t>2026-04-28T02:45:53.742Z</t>
  </si>
  <si>
    <t>nWU7c9i15T</t>
  </si>
  <si>
    <t>o5ZyTnTQYG</t>
  </si>
  <si>
    <t>2026-04-28T03:03:16.200Z</t>
  </si>
  <si>
    <t>SkANuRcGfb</t>
  </si>
  <si>
    <t>dAe4WcAxxH</t>
  </si>
  <si>
    <t>2026-04-28T03:08:24.771Z</t>
  </si>
  <si>
    <t>w9KobLQG3N</t>
  </si>
  <si>
    <t>zkUKi8z3an</t>
  </si>
  <si>
    <t>2026-04-28T03:12:32.160Z</t>
  </si>
  <si>
    <t>G68afCTLvZ</t>
  </si>
  <si>
    <t>wCQEs8hN8U</t>
  </si>
  <si>
    <t>2026-04-28T03:23:45.057Z</t>
  </si>
  <si>
    <t>YnarrR2cJt</t>
  </si>
  <si>
    <t>ZMBkGk9Y1h</t>
  </si>
  <si>
    <t>2026-04-28T03:41:03.229Z</t>
  </si>
  <si>
    <t>3iwfdWSdof</t>
  </si>
  <si>
    <t>cTbLdPXnHQ</t>
  </si>
  <si>
    <t>2026-04-28T03:51:15.207Z</t>
  </si>
  <si>
    <t>ot9ATCGyoc</t>
  </si>
  <si>
    <t>Bqoe1bCe6f</t>
  </si>
  <si>
    <t>2026-04-28T04:07:37.701Z</t>
  </si>
  <si>
    <t>enVoyy5LYQ</t>
  </si>
  <si>
    <t>6zGf2wLgUm</t>
  </si>
  <si>
    <t>2026-04-28T04:30:00.586Z</t>
  </si>
  <si>
    <t>ga4NqRT8g8</t>
  </si>
  <si>
    <t>aVSctfCgN4</t>
  </si>
  <si>
    <t>2026-04-28T04:44:17.920Z</t>
  </si>
  <si>
    <t>mYP3MZLfq3</t>
  </si>
  <si>
    <t>RzWXdjNaHC</t>
  </si>
  <si>
    <t>2026-04-28T04:55:33.040Z</t>
  </si>
  <si>
    <t>s8iJzUh7XV</t>
  </si>
  <si>
    <t>rgDZ4ph2Nd</t>
  </si>
  <si>
    <t>2026-04-28T05:17:54.717Z</t>
  </si>
  <si>
    <t>n7tJr6pW1D</t>
  </si>
  <si>
    <t>7jiW4Qaxig</t>
  </si>
  <si>
    <t>2026-04-28T10:23:40.203Z</t>
  </si>
  <si>
    <t>6CNhnT5eVj</t>
  </si>
  <si>
    <t>jECbpqXPb2</t>
  </si>
  <si>
    <t>2026-04-28T12:18:01.458Z</t>
  </si>
  <si>
    <t>jqroqSnPTV</t>
  </si>
  <si>
    <t>9J51fEsQKY</t>
  </si>
  <si>
    <t>2026-04-28T13:46:11.578Z</t>
  </si>
  <si>
    <t>n1kcZsDW6J</t>
  </si>
  <si>
    <t>FiDd7A1dHF</t>
  </si>
  <si>
    <t>2026-04-28T13:47:16.989Z</t>
  </si>
  <si>
    <t>LJdVY3E7L4</t>
  </si>
  <si>
    <t>jiYBjRFVt8</t>
  </si>
  <si>
    <t>2026-04-28T16:01:12.833Z</t>
  </si>
  <si>
    <t>sWMdRASaSy</t>
  </si>
  <si>
    <t>cEAVFJ1Kq5</t>
  </si>
  <si>
    <t>2026-04-28T16:15:29.332Z</t>
  </si>
  <si>
    <t>CP4NcQHWom</t>
  </si>
  <si>
    <t>aDnocQWr7h</t>
  </si>
  <si>
    <t>2026-04-28T16:55:02.514Z</t>
  </si>
  <si>
    <t>VDFQMns7i2</t>
  </si>
  <si>
    <t>7imQ9gEoQN</t>
  </si>
  <si>
    <t>2026-04-28T17:00:10.045Z</t>
  </si>
  <si>
    <t>8xFEjP8aqB</t>
  </si>
  <si>
    <t>49nnD8EiKV</t>
  </si>
  <si>
    <t>2026-04-28T18:05:03.115Z</t>
  </si>
  <si>
    <t>YD8CtvvUm8</t>
  </si>
  <si>
    <t>Emb9iVa1Ae</t>
  </si>
  <si>
    <t>2026-04-28T18:28:23.814Z</t>
  </si>
  <si>
    <t>49c7otaH3M</t>
  </si>
  <si>
    <t>koqPN3FdK7</t>
  </si>
  <si>
    <t>2026-04-28T18:42:38.571Z</t>
  </si>
  <si>
    <t>WfoYC4oS8T</t>
  </si>
  <si>
    <t>9LbevxSeHz</t>
  </si>
  <si>
    <t>2026-04-28T18:55:54.809Z</t>
  </si>
  <si>
    <t>X6zHnLku6c</t>
  </si>
  <si>
    <t>JTJ2gBv1LU</t>
  </si>
  <si>
    <t>2026-04-28T19:00:07.508Z</t>
  </si>
  <si>
    <t>oxjRUJJQVu</t>
  </si>
  <si>
    <t>fgaqhCSJ8q</t>
  </si>
  <si>
    <t>2026-04-28T19:09:20.077Z</t>
  </si>
  <si>
    <t>6DtEAkpXFV</t>
  </si>
  <si>
    <t>uyvdv7AzrV</t>
  </si>
  <si>
    <t>2026-04-28T19:25:36.598Z</t>
  </si>
  <si>
    <t>URdsPZjpm3</t>
  </si>
  <si>
    <t>CqUX1sLfPh</t>
  </si>
  <si>
    <t>2026-04-28T19:27:42.862Z</t>
  </si>
  <si>
    <t>ozNpWqPixB</t>
  </si>
  <si>
    <t>7MTHm1CXoP</t>
  </si>
  <si>
    <t>2026-04-28T20:16:24.054Z</t>
  </si>
  <si>
    <t>QgjwSF9nHm</t>
  </si>
  <si>
    <t>gQ2nZeFPmZ</t>
  </si>
  <si>
    <t>2026-04-28T20:16:30.074Z</t>
  </si>
  <si>
    <t>qgzCpWqDDu</t>
  </si>
  <si>
    <t>ySvXDizgwX</t>
  </si>
  <si>
    <t>2026-04-28T20:24:41.918Z</t>
  </si>
  <si>
    <t>BR3Nyes2PD</t>
  </si>
  <si>
    <t>s41ShAi1U3</t>
  </si>
  <si>
    <t>Elspeth S</t>
  </si>
  <si>
    <t>2026-04-28T20:40:59.128Z</t>
  </si>
  <si>
    <t>Prymalfire#97938</t>
  </si>
  <si>
    <t>208084895640190977</t>
  </si>
  <si>
    <t>Wve1jGiaSd</t>
  </si>
  <si>
    <t>kXGfPudAht</t>
  </si>
  <si>
    <t>2026-04-28T20:45:06.817Z</t>
  </si>
  <si>
    <t>zpzsfnRPjw</t>
  </si>
  <si>
    <t>4AE6PEsJX8</t>
  </si>
  <si>
    <t>2026-04-28T21:31:44.055Z</t>
  </si>
  <si>
    <t>4P8wkzn4TT</t>
  </si>
  <si>
    <t>4XqraiTF7y</t>
  </si>
  <si>
    <t>2026-04-28T21:49:01.912Z</t>
  </si>
  <si>
    <t>QN8ZQxR5B1</t>
  </si>
  <si>
    <t>61Sb2YcRWU</t>
  </si>
  <si>
    <t>2026-04-28T22:00:13.655Z</t>
  </si>
  <si>
    <t>tDHsN4BvCN</t>
  </si>
  <si>
    <t>32KeeT2B4C</t>
  </si>
  <si>
    <t>2026-04-28T22:56:56.879Z</t>
  </si>
  <si>
    <t>mKFXa4v5t6</t>
  </si>
  <si>
    <t>owXY9Xarj1</t>
  </si>
  <si>
    <t>2026-04-28T23:20:16.576Z</t>
  </si>
  <si>
    <t>McGYAPrLAc</t>
  </si>
  <si>
    <t>QNA6rTGtZm</t>
  </si>
  <si>
    <t>2026-04-28T23:48:39.389Z</t>
  </si>
  <si>
    <t>tTJaLzteMe</t>
  </si>
  <si>
    <t>BvgyLoo6yB</t>
  </si>
  <si>
    <t>2026-04-28T23:48:42.942Z</t>
  </si>
  <si>
    <t>KoysrKhZgF</t>
  </si>
  <si>
    <t>WVpBUUwLcs</t>
  </si>
  <si>
    <t>2026-04-29T00:33:17.744Z</t>
  </si>
  <si>
    <t>2hekbvXoWP</t>
  </si>
  <si>
    <t>JVYqbKRmR1</t>
  </si>
  <si>
    <t>2026-04-29T00:36:24.193Z</t>
  </si>
  <si>
    <t>nub7AwaniW</t>
  </si>
  <si>
    <t>bz5CemE1dA</t>
  </si>
  <si>
    <t>2026-04-29T00:39:32.417Z</t>
  </si>
  <si>
    <t>GtDybrmWfy</t>
  </si>
  <si>
    <t>wUwz6hNDji</t>
  </si>
  <si>
    <t>2026-04-29T01:20:05.545Z</t>
  </si>
  <si>
    <t>pvfKVUBG3P</t>
  </si>
  <si>
    <t>hQwUne7kLL</t>
  </si>
  <si>
    <t>2026-04-29T01:28:17.188Z</t>
  </si>
  <si>
    <t>vVLy83Z3zz</t>
  </si>
  <si>
    <t>x8ttg4aQLk</t>
  </si>
  <si>
    <t>2026-04-29T02:05:48.207Z</t>
  </si>
  <si>
    <t>jnT1S6thYk</t>
  </si>
  <si>
    <t>qhaui9u9vL</t>
  </si>
  <si>
    <t>2026-04-29T02:07:53.268Z</t>
  </si>
  <si>
    <t>M5dytx2jS1</t>
  </si>
  <si>
    <t>f6KwPtC9K4</t>
  </si>
  <si>
    <t>2026-04-29T02:12:00.712Z</t>
  </si>
  <si>
    <t>1G9tz7Bi1v</t>
  </si>
  <si>
    <t>6fhvCfuzXg</t>
  </si>
  <si>
    <t>2026-04-29T02:43:35.528Z</t>
  </si>
  <si>
    <t>MqieAEKEQc</t>
  </si>
  <si>
    <t>GTVYcSTArS</t>
  </si>
  <si>
    <t>2026-04-29T02:44:40.552Z</t>
  </si>
  <si>
    <t>NPY7uw16xN</t>
  </si>
  <si>
    <t>b9Fqjejnxx</t>
  </si>
  <si>
    <t>2026-04-29T03:02:05.524Z</t>
  </si>
  <si>
    <t>LjkZEpLhwD</t>
  </si>
  <si>
    <t>xrgkmXVNbJ</t>
  </si>
  <si>
    <t>2026-04-29T03:04:13.668Z</t>
  </si>
  <si>
    <t>2ztuqkucom</t>
  </si>
  <si>
    <t>hRigQ2sBVX</t>
  </si>
  <si>
    <t>2026-04-29T04:22:27.573Z</t>
  </si>
  <si>
    <t>YmVbhcV4eu</t>
  </si>
  <si>
    <t>UWnev2jgro</t>
  </si>
  <si>
    <t>2026-04-29T04:38:45.851Z</t>
  </si>
  <si>
    <t>XuTsZ3JGze</t>
  </si>
  <si>
    <t>Wwhjp7QAUG</t>
  </si>
  <si>
    <t>2026-04-29T05:05:14.765Z</t>
  </si>
  <si>
    <t>wBJJoayfp2</t>
  </si>
  <si>
    <t>WjDVpmMoEt</t>
  </si>
  <si>
    <t>2026-04-29T05:09:22.647Z</t>
  </si>
  <si>
    <t>LMjfru88Mz</t>
  </si>
  <si>
    <t>uMaaWG5Ny4</t>
  </si>
  <si>
    <t>2026-04-29T05:21:37.732Z</t>
  </si>
  <si>
    <t>UNntqwunuB</t>
  </si>
  <si>
    <t>tP8nSYdHki</t>
  </si>
  <si>
    <t>2026-04-29T10:45:41.899Z</t>
  </si>
  <si>
    <t>h4zg29UXvx</t>
  </si>
  <si>
    <t>c2SigreidV</t>
  </si>
  <si>
    <t>2026-04-29T14:42:09.254Z</t>
  </si>
  <si>
    <t>TqrWxdC3pR</t>
  </si>
  <si>
    <t>VPox1PNPKs</t>
  </si>
  <si>
    <t>2026-04-29T15:24:57.423Z</t>
  </si>
  <si>
    <t>kmSktQtaL6</t>
  </si>
  <si>
    <t>mYQyy1ybbw</t>
  </si>
  <si>
    <t>2026-04-29T15:54:28.878Z</t>
  </si>
  <si>
    <t>ckxjdqpare</t>
  </si>
  <si>
    <t>T8zeSVvN5r</t>
  </si>
  <si>
    <t>2026-04-29T16:07:47.502Z</t>
  </si>
  <si>
    <t>wY9uSwL1mu</t>
  </si>
  <si>
    <t>nXDJrpmeMq</t>
  </si>
  <si>
    <t>2026-04-29T16:09:53.915Z</t>
  </si>
  <si>
    <t>UFHqxZmckM</t>
  </si>
  <si>
    <t>3ehFpHXxMv</t>
  </si>
  <si>
    <t>2026-04-29T16:39:28.826Z</t>
  </si>
  <si>
    <t>4e3Y5PUd8u</t>
  </si>
  <si>
    <t>pJ1WEMFZn7</t>
  </si>
  <si>
    <t>2026-04-29T17:03:57.809Z</t>
  </si>
  <si>
    <t>XF8tyP5LKT</t>
  </si>
  <si>
    <t>buHVzfF27G</t>
  </si>
  <si>
    <t>2026-04-29T17:40:38.361Z</t>
  </si>
  <si>
    <t>ECSQkAPj11</t>
  </si>
  <si>
    <t>BmBZs6LaAa</t>
  </si>
  <si>
    <t>2026-04-29T18:15:19.862Z</t>
  </si>
  <si>
    <t>aRzPbzn38j</t>
  </si>
  <si>
    <t>65BaoRFYKU</t>
  </si>
  <si>
    <t>2026-04-29T19:04:11.163Z</t>
  </si>
  <si>
    <t>Bo4DGyN7qU</t>
  </si>
  <si>
    <t>y43AhvsV4C</t>
  </si>
  <si>
    <t>2026-04-29T19:32:42.809Z</t>
  </si>
  <si>
    <t>xDXe88Akk4</t>
  </si>
  <si>
    <t>tA2RvGJH1o</t>
  </si>
  <si>
    <t>2026-04-29T19:41:55.762Z</t>
  </si>
  <si>
    <t>FuHXfCb13p</t>
  </si>
  <si>
    <t>DLj7GhdPXr</t>
  </si>
  <si>
    <t>Emilia P</t>
  </si>
  <si>
    <t>2026-04-29T19:48:06.388Z</t>
  </si>
  <si>
    <t>Quiza#32870</t>
  </si>
  <si>
    <t>267756539455078402</t>
  </si>
  <si>
    <t>X54uAgakLR</t>
  </si>
  <si>
    <t>uQCQytDmeV</t>
  </si>
  <si>
    <t>2026-04-29T20:41:00.703Z</t>
  </si>
  <si>
    <t>AXAh25Maou</t>
  </si>
  <si>
    <t>YsDCrw23eS</t>
  </si>
  <si>
    <t>2026-04-29T20:42:05.562Z</t>
  </si>
  <si>
    <t>m6BTrPoaSF</t>
  </si>
  <si>
    <t>hXDto26F7J</t>
  </si>
  <si>
    <t>2026-04-29T21:08:34.783Z</t>
  </si>
  <si>
    <t>63AXSEHFFE</t>
  </si>
  <si>
    <t>2nsvcT9wmT</t>
  </si>
  <si>
    <t>2026-04-29T21:16:49.310Z</t>
  </si>
  <si>
    <t>hHDtFDyozK</t>
  </si>
  <si>
    <t>42MV5ruw82</t>
  </si>
  <si>
    <t>2026-04-29T22:56:40.331Z</t>
  </si>
  <si>
    <t>PvaZEwzMNC</t>
  </si>
  <si>
    <t>VwnkD2GveM</t>
  </si>
  <si>
    <t>2026-04-29T23:36:21.881Z</t>
  </si>
  <si>
    <t>22caMoF4Fy</t>
  </si>
  <si>
    <t>uTtGuJLYiR</t>
  </si>
  <si>
    <t>2026-04-29T23:46:36.367Z</t>
  </si>
  <si>
    <t>6bdu9zujre</t>
  </si>
  <si>
    <t>7TN3NvddqM</t>
  </si>
  <si>
    <t>2026-04-29T23:53:49.121Z</t>
  </si>
  <si>
    <t>JaSaoDHwBB</t>
  </si>
  <si>
    <t>ZJ2LGCrNCG</t>
  </si>
  <si>
    <t>2026-04-29T23:56:56.173Z</t>
  </si>
  <si>
    <t>itY6fpdi9B</t>
  </si>
  <si>
    <t>6S9irgqVrQ</t>
  </si>
  <si>
    <t>2026-04-30T00:09:11.939Z</t>
  </si>
  <si>
    <t>SungZHLUK6</t>
  </si>
  <si>
    <t>DL195buTLg</t>
  </si>
  <si>
    <t>2026-04-30T00:18:24.762Z</t>
  </si>
  <si>
    <t>NJRiLanGN2</t>
  </si>
  <si>
    <t>5WpFfdFSLM</t>
  </si>
  <si>
    <t>2026-04-30T00:26:36.561Z</t>
  </si>
  <si>
    <t>AdBRSeSyNJ</t>
  </si>
  <si>
    <t>o13UsjZXpU</t>
  </si>
  <si>
    <t>2026-04-30T00:27:41.806Z</t>
  </si>
  <si>
    <t>NZHVD8ZVEp</t>
  </si>
  <si>
    <t>vJaX794Zze</t>
  </si>
  <si>
    <t>2026-04-30T00:38:55.316Z</t>
  </si>
  <si>
    <t>CR2FAQ1dEb</t>
  </si>
  <si>
    <t>2319Kx2tWA</t>
  </si>
  <si>
    <t>2026-04-30T00:52:16.991Z</t>
  </si>
  <si>
    <t>v8ngQ8WH45</t>
  </si>
  <si>
    <t>QxEFXk2nMe</t>
  </si>
  <si>
    <t>2026-04-30T01:01:31.086Z</t>
  </si>
  <si>
    <t>XLCc8k5MzU</t>
  </si>
  <si>
    <t>4ESUZqn6TG</t>
  </si>
  <si>
    <t>2026-04-30T01:04:38.423Z</t>
  </si>
  <si>
    <t>qaExKiPh14</t>
  </si>
  <si>
    <t>J53rdqtnt1</t>
  </si>
  <si>
    <t>2026-04-30T01:22:59.074Z</t>
  </si>
  <si>
    <t>RzSqNiNfu8</t>
  </si>
  <si>
    <t>AqHRGdWnr7</t>
  </si>
  <si>
    <t>2026-04-30T01:49:31.529Z</t>
  </si>
  <si>
    <t>3hxbx68R9A</t>
  </si>
  <si>
    <t>htrrR34waC</t>
  </si>
  <si>
    <t>2026-04-30T02:12:54.812Z</t>
  </si>
  <si>
    <t>17SM7ZtQh9</t>
  </si>
  <si>
    <t>xYjaP6FVJq</t>
  </si>
  <si>
    <t>2026-04-30T02:18:03.511Z</t>
  </si>
  <si>
    <t>maMCo86VDP</t>
  </si>
  <si>
    <t>zaATgUurcn</t>
  </si>
  <si>
    <t>2026-04-30T02:25:14.065Z</t>
  </si>
  <si>
    <t>2NqFxWtnLn</t>
  </si>
  <si>
    <t>otv5PzofYz</t>
  </si>
  <si>
    <t>2026-04-30T02:26:18.650Z</t>
  </si>
  <si>
    <t>xNestzR3ZR</t>
  </si>
  <si>
    <t>n7u2Q7nEQ1</t>
  </si>
  <si>
    <t>2026-04-30T02:28:24.338Z</t>
  </si>
  <si>
    <t>kr27h4QHfT</t>
  </si>
  <si>
    <t>DwaUhnmUU1</t>
  </si>
  <si>
    <t>2026-04-30T02:47:48.472Z</t>
  </si>
  <si>
    <t>CAZU3g49no</t>
  </si>
  <si>
    <t>4A2sVQQZJr</t>
  </si>
  <si>
    <t>2026-04-30T03:11:15.140Z</t>
  </si>
  <si>
    <t>jakbjCLQ99</t>
  </si>
  <si>
    <t>XP3CbRUBpm</t>
  </si>
  <si>
    <t>2026-04-30T03:31:36.919Z</t>
  </si>
  <si>
    <t>R1Mo21B1MT</t>
  </si>
  <si>
    <t>7buGEU488x</t>
  </si>
  <si>
    <t>2026-04-30T03:38:47.183Z</t>
  </si>
  <si>
    <t>ZbGdBk8617</t>
  </si>
  <si>
    <t>7fUYsPosoP</t>
  </si>
  <si>
    <t>2026-04-30T03:58:15.144Z</t>
  </si>
  <si>
    <t>2EzZg3WiVu</t>
  </si>
  <si>
    <t>WZBRJG6Wpj</t>
  </si>
  <si>
    <t>2026-04-30T04:03:26.005Z</t>
  </si>
  <si>
    <t>kxNC2u1Dik</t>
  </si>
  <si>
    <t>vvE5eAFEdC</t>
  </si>
  <si>
    <t>2026-04-30T04:47:09.314Z</t>
  </si>
  <si>
    <t>HA9fbzKEmZ</t>
  </si>
  <si>
    <t>StdMqT7Eoe</t>
  </si>
  <si>
    <t>2026-04-30T05:11:38.869Z</t>
  </si>
  <si>
    <t>FEUfuMP2xk</t>
  </si>
  <si>
    <t>XJd7PT8Smz</t>
  </si>
  <si>
    <t>2026-04-30T06:17:42.612Z</t>
  </si>
  <si>
    <t>9GtsrN22RM</t>
  </si>
  <si>
    <t>LoR8fccxTt</t>
  </si>
  <si>
    <t>2026-04-30T07:00:26.213Z</t>
  </si>
  <si>
    <t>ah9fqE5TMx</t>
  </si>
  <si>
    <t>333rvxBG1t</t>
  </si>
  <si>
    <t>2026-04-30T07:32:01.770Z</t>
  </si>
  <si>
    <t>chtEabEvgw</t>
  </si>
  <si>
    <t>338799904057065493</t>
  </si>
  <si>
    <t>vzZDYgbuvv</t>
  </si>
  <si>
    <t>2026-04-30T07:46:19.627Z</t>
  </si>
  <si>
    <t>2mSJ4QdqUj</t>
  </si>
  <si>
    <t>FBZ4s5EGBq</t>
  </si>
  <si>
    <t>2026-04-30T08:39:11.138Z</t>
  </si>
  <si>
    <t>QJKF3ZedHW</t>
  </si>
  <si>
    <t>D3mm179LEJ</t>
  </si>
  <si>
    <t>2026-04-30T08:53:28.952Z</t>
  </si>
  <si>
    <t>PLYL5NEYTd</t>
  </si>
  <si>
    <t>axZ4uYjRpR</t>
  </si>
  <si>
    <t>2026-04-30T15:36:56.154Z</t>
  </si>
  <si>
    <t>3f7gXCB8xC</t>
  </si>
  <si>
    <t>LFsD6ThfTw</t>
  </si>
  <si>
    <t>2026-04-30T16:04:25.739Z</t>
  </si>
  <si>
    <t>d5ZcjTED6C</t>
  </si>
  <si>
    <t>844E3NXWq2</t>
  </si>
  <si>
    <t>2026-04-30T16:05:31.530Z</t>
  </si>
  <si>
    <t>tFG1LbtpWP</t>
  </si>
  <si>
    <t>uZvSZhY8ex</t>
  </si>
  <si>
    <t>2026-04-30T16:42:13.797Z</t>
  </si>
  <si>
    <t>sNna6j2Lts</t>
  </si>
  <si>
    <t>DnLnKT8ViU</t>
  </si>
  <si>
    <t>2026-04-30T16:46:23.576Z</t>
  </si>
  <si>
    <t>e7kjgntHXz</t>
  </si>
  <si>
    <t>dRy7thxMPL</t>
  </si>
  <si>
    <t>2026-04-30T17:00:41.995Z</t>
  </si>
  <si>
    <t>C3oC4Jprkv</t>
  </si>
  <si>
    <t>i7oBvCMYEk</t>
  </si>
  <si>
    <t>2026-04-30T18:26:10.090Z</t>
  </si>
  <si>
    <t>qER2w23C2x</t>
  </si>
  <si>
    <t>qZvihiBt6h</t>
  </si>
  <si>
    <t>2026-04-30T18:27:14.550Z</t>
  </si>
  <si>
    <t>He5Gr3DWBZ</t>
  </si>
  <si>
    <t>KwgXDmWzoi</t>
  </si>
  <si>
    <t>2026-04-30T18:45:36.462Z</t>
  </si>
  <si>
    <t>oFUZ9rEN4v</t>
  </si>
  <si>
    <t>hKFhrU1Zcq</t>
  </si>
  <si>
    <t>2026-04-30T19:34:44.556Z</t>
  </si>
  <si>
    <t>XrExpY3NXN</t>
  </si>
  <si>
    <t>sMGfiRPeqM</t>
  </si>
  <si>
    <t>2026-04-30T19:50:04.293Z</t>
  </si>
  <si>
    <t>STPrWfKYEq</t>
  </si>
  <si>
    <t>fKLdxmaQ55</t>
  </si>
  <si>
    <t>2026-04-30T19:53:12.612Z</t>
  </si>
  <si>
    <t>SfZMLBxnaJ</t>
  </si>
  <si>
    <t>23ekaBzgq9</t>
  </si>
  <si>
    <t>2026-04-30T20:12:35.813Z</t>
  </si>
  <si>
    <t>gpJjLhaWjX</t>
  </si>
  <si>
    <t>C3MjdhZP8e</t>
  </si>
  <si>
    <t>2026-04-30T20:15:43.803Z</t>
  </si>
  <si>
    <t>McEnVp9v7h</t>
  </si>
  <si>
    <t>NAKjeBksLt</t>
  </si>
  <si>
    <t>2026-04-30T20:25:57.848Z</t>
  </si>
  <si>
    <t>kMN9BeGXW2</t>
  </si>
  <si>
    <t>1GxZQ9tTdc</t>
  </si>
  <si>
    <t>2026-04-30T20:37:18.318Z</t>
  </si>
  <si>
    <t>VGzUJbF9Eo</t>
  </si>
  <si>
    <t>hJenxGjV77</t>
  </si>
  <si>
    <t>2026-04-30T20:57:42.739Z</t>
  </si>
  <si>
    <t>BqCD9FxsRo</t>
  </si>
  <si>
    <t>yWwCghK7KR</t>
  </si>
  <si>
    <t>2026-04-30T21:22:16.115Z</t>
  </si>
  <si>
    <t>b8FKwQgBqA</t>
  </si>
  <si>
    <t>kFzwf33wh1</t>
  </si>
  <si>
    <t>2026-04-30T21:45:52.154Z</t>
  </si>
  <si>
    <t>9cB2QeU98r</t>
  </si>
  <si>
    <t>d69annaTK5</t>
  </si>
  <si>
    <t>2026-04-30T21:46:58.283Z</t>
  </si>
  <si>
    <t>PaJiPo3jsh</t>
  </si>
  <si>
    <t>VrsVd1bxhb</t>
  </si>
  <si>
    <t>2026-04-30T22:27:40.972Z</t>
  </si>
  <si>
    <t>VhKZzuLN8T</t>
  </si>
  <si>
    <t>nujSce5LK3</t>
  </si>
  <si>
    <t>2026-04-30T22:47:18.906Z</t>
  </si>
  <si>
    <t>KfkM3QC33X</t>
  </si>
  <si>
    <t>PQDU4i9RcY</t>
  </si>
  <si>
    <t>2026-04-30T22:56:36.759Z</t>
  </si>
  <si>
    <t>Q9VTBs8GNm</t>
  </si>
  <si>
    <t>dbcG52e6xa</t>
  </si>
  <si>
    <t>2026-04-30T22:59:45.499Z</t>
  </si>
  <si>
    <t>do7v5vkVhi</t>
  </si>
  <si>
    <t>wyt7KvwNR4</t>
  </si>
  <si>
    <t>2026-04-30T23:50:55.126Z</t>
  </si>
  <si>
    <t>aHd1Xjt91e</t>
  </si>
  <si>
    <t>Xdit7kkVDQ</t>
  </si>
  <si>
    <t>2026-04-30T23:53:03.676Z</t>
  </si>
  <si>
    <t>dfWvV8cdcR</t>
  </si>
  <si>
    <t>1axspSg5eP</t>
  </si>
  <si>
    <t>2026-05-01T00:06:24.893Z</t>
  </si>
  <si>
    <t>pea64ysrxE</t>
  </si>
  <si>
    <t>cyKkXoLR4h</t>
  </si>
  <si>
    <t>2026-05-01T00:52:25.657Z</t>
  </si>
  <si>
    <t>Fax2Xfb5XR</t>
  </si>
  <si>
    <t>szKTwt2epU</t>
  </si>
  <si>
    <t>2026-05-01T00:53:30.798Z</t>
  </si>
  <si>
    <t>ny1wtb34uz</t>
  </si>
  <si>
    <t>rM9be7o5z6</t>
  </si>
  <si>
    <t>2026-05-01T01:16:04.928Z</t>
  </si>
  <si>
    <t>wrz9hTAeho</t>
  </si>
  <si>
    <t>bzbjQ6LaLN</t>
  </si>
  <si>
    <t>2026-05-01T01:32:27.855Z</t>
  </si>
  <si>
    <t>i6NgX2Hp2d</t>
  </si>
  <si>
    <t>m1qV1vxYNa</t>
  </si>
  <si>
    <t>2026-05-01T01:47:51.363Z</t>
  </si>
  <si>
    <t>LEJdPipG1o</t>
  </si>
  <si>
    <t>gT953ZbSSi</t>
  </si>
  <si>
    <t>2026-05-01T02:09:20.535Z</t>
  </si>
  <si>
    <t>ERDuS7bsBZ</t>
  </si>
  <si>
    <t>gY2EPmiLjf</t>
  </si>
  <si>
    <t>2026-05-01T02:13:30.607Z</t>
  </si>
  <si>
    <t>Enrique O</t>
  </si>
  <si>
    <t>Caex#39549</t>
  </si>
  <si>
    <t>Ma7s2RQEGx</t>
  </si>
  <si>
    <t>695762941055729694</t>
  </si>
  <si>
    <t>Y14yQSh5ei</t>
  </si>
  <si>
    <t>2026-05-01T02:29:56.943Z</t>
  </si>
  <si>
    <t>ArTfZ9udWm</t>
  </si>
  <si>
    <t>Knod1WQt7B</t>
  </si>
  <si>
    <t>2026-05-01T02:36:09.016Z</t>
  </si>
  <si>
    <t>6tJv3Jj3Mb</t>
  </si>
  <si>
    <t>BuXLUDFy3Z</t>
  </si>
  <si>
    <t>2026-05-01T02:42:21.901Z</t>
  </si>
  <si>
    <t>2hTabyNGtP</t>
  </si>
  <si>
    <t>P5eRTQSyN2</t>
  </si>
  <si>
    <t>2026-05-01T02:45:29.598Z</t>
  </si>
  <si>
    <t>qsoUAEvapa</t>
  </si>
  <si>
    <t>gTzHyyhJKW</t>
  </si>
  <si>
    <t>2026-05-01T03:12:04.469Z</t>
  </si>
  <si>
    <t>WLPkcWGH4A</t>
  </si>
  <si>
    <t>bzYgfLW79w</t>
  </si>
  <si>
    <t>2026-05-01T03:22:20.778Z</t>
  </si>
  <si>
    <t>h36DJdxphW</t>
  </si>
  <si>
    <t>HqxW1DZXC6</t>
  </si>
  <si>
    <t>2026-05-01T03:54:01.644Z</t>
  </si>
  <si>
    <t>qhqr11hLsw</t>
  </si>
  <si>
    <t>6rpepm11W8</t>
  </si>
  <si>
    <t>2026-05-01T03:55:07.244Z</t>
  </si>
  <si>
    <t>tVtbpC9Wrw</t>
  </si>
  <si>
    <t>EeR31WXisP</t>
  </si>
  <si>
    <t>2026-05-01T04:21:42.132Z</t>
  </si>
  <si>
    <t>rt6rZinjS3</t>
  </si>
  <si>
    <t>3bJ8BUB4t3</t>
  </si>
  <si>
    <t>2026-05-01T04:31:59.178Z</t>
  </si>
  <si>
    <t>nvW7zLSRWK</t>
  </si>
  <si>
    <t>K35fM4o22d</t>
  </si>
  <si>
    <t>2026-05-01T05:00:35.976Z</t>
  </si>
  <si>
    <t>9vgD9kGvkq</t>
  </si>
  <si>
    <t>7r4dhM2DqT</t>
  </si>
  <si>
    <t>2026-05-01T05:06:46.876Z</t>
  </si>
  <si>
    <t>b6Lq4SFTUM</t>
  </si>
  <si>
    <t>ghrLVzh78p</t>
  </si>
  <si>
    <t>2026-05-01T05:24:11.296Z</t>
  </si>
  <si>
    <t>EwnqfgjRiu</t>
  </si>
  <si>
    <t>U88SPivybM</t>
  </si>
  <si>
    <t>2026-05-01T06:49:57.612Z</t>
  </si>
  <si>
    <t>u7a4gaScbY</t>
  </si>
  <si>
    <t>DyjJSKiLjL</t>
  </si>
  <si>
    <t>2026-05-01T07:12:27.401Z</t>
  </si>
  <si>
    <t>dQcApWBbwJ</t>
  </si>
  <si>
    <t>9839hhKoL2</t>
  </si>
  <si>
    <t>2026-05-01T10:26:15.963Z</t>
  </si>
  <si>
    <t>notp1ebSaq</t>
  </si>
  <si>
    <t>5QxVmmEcXP</t>
  </si>
  <si>
    <t>2026-05-01T10:30:25.093Z</t>
  </si>
  <si>
    <t>yZrv4LmTgJ</t>
  </si>
  <si>
    <t>SQxBJmPaGa</t>
  </si>
  <si>
    <t>2026-05-01T11:23:28.814Z</t>
  </si>
  <si>
    <t>WsAYmnutFW</t>
  </si>
  <si>
    <t>ycPosDw2gH</t>
  </si>
  <si>
    <t>2026-05-01T12:03:22.176Z</t>
  </si>
  <si>
    <t>nupr2Prp7C</t>
  </si>
  <si>
    <t>wmh2ieZDRQ</t>
  </si>
  <si>
    <t>2026-05-01T12:27:58.764Z</t>
  </si>
  <si>
    <t>fg4X2ecEdg</t>
  </si>
  <si>
    <t>zUrxiyjfJ9</t>
  </si>
  <si>
    <t>2026-05-01T13:08:56.137Z</t>
  </si>
  <si>
    <t>EnVNtVLvV7</t>
  </si>
  <si>
    <t>ngs9746QpZ</t>
  </si>
  <si>
    <t>2026-05-01T13:35:32.072Z</t>
  </si>
  <si>
    <t>d7VdqRXxp8</t>
  </si>
  <si>
    <t>Yg8gtBJE9C</t>
  </si>
  <si>
    <t>2026-05-01T14:15:32.711Z</t>
  </si>
  <si>
    <t>2Cot8qsdx6</t>
  </si>
  <si>
    <t>yi6RMA9MWG</t>
  </si>
  <si>
    <t>2026-05-01T14:26:52.787Z</t>
  </si>
  <si>
    <t>KeeQ7EyKS4</t>
  </si>
  <si>
    <t>AEtN46ZN6J</t>
  </si>
  <si>
    <t>2026-05-01T14:57:34.423Z</t>
  </si>
  <si>
    <t>Ethan L</t>
  </si>
  <si>
    <t>w1rPUNUHfg</t>
  </si>
  <si>
    <t>Px2jG6fA6q</t>
  </si>
  <si>
    <t>Ethanndow#02818</t>
  </si>
  <si>
    <t>2026-05-01T15:33:29.878Z</t>
  </si>
  <si>
    <t>459737371584364546</t>
  </si>
  <si>
    <t>PVbUSQZkTj</t>
  </si>
  <si>
    <t>KSyyBA1yu3</t>
  </si>
  <si>
    <t>2026-05-01T16:06:17.772Z</t>
  </si>
  <si>
    <t>4cjuHAxwPa</t>
  </si>
  <si>
    <t>WTmmkt1jt3</t>
  </si>
  <si>
    <t>2026-05-01T16:24:47.271Z</t>
  </si>
  <si>
    <t>91ERM79Mgy</t>
  </si>
  <si>
    <t>rZLawue63x</t>
  </si>
  <si>
    <t>2026-05-01T17:00:36.383Z</t>
  </si>
  <si>
    <t>affw4GitVN</t>
  </si>
  <si>
    <t>BooHKpum3T</t>
  </si>
  <si>
    <t>2026-05-01T17:12:59.926Z</t>
  </si>
  <si>
    <t>QpBsHbMEjh</t>
  </si>
  <si>
    <t>XpzfaKUUS2</t>
  </si>
  <si>
    <t>2026-05-01T17:30:26.922Z</t>
  </si>
  <si>
    <t>8zELHQQMeL</t>
  </si>
  <si>
    <t>euf9Hexnkz</t>
  </si>
  <si>
    <t>2026-05-01T17:39:42.225Z</t>
  </si>
  <si>
    <t>EZS4WbXgpv</t>
  </si>
  <si>
    <t>w2gpZuxt6Z</t>
  </si>
  <si>
    <t>2026-05-01T18:11:29.195Z</t>
  </si>
  <si>
    <t>tGcdgrbehX</t>
  </si>
  <si>
    <t>uVVXLhYyxJ</t>
  </si>
  <si>
    <t>2026-05-01T18:33:03.086Z</t>
  </si>
  <si>
    <t>VeY9r8tLd4</t>
  </si>
  <si>
    <t>u4zpjzgeUo</t>
  </si>
  <si>
    <t>2026-05-01T18:39:15.135Z</t>
  </si>
  <si>
    <t>5q22Hhc1Q1</t>
  </si>
  <si>
    <t>FsqWUVgwXz</t>
  </si>
  <si>
    <t>2026-05-01T18:44:26.055Z</t>
  </si>
  <si>
    <t>jf8hvnzU6v</t>
  </si>
  <si>
    <t>EVWWd99fCa</t>
  </si>
  <si>
    <t>2026-05-01T18:46:33.440Z</t>
  </si>
  <si>
    <t>hN7L27wYu5</t>
  </si>
  <si>
    <t>hjFoh3KdMg</t>
  </si>
  <si>
    <t>2026-05-01T19:18:16.383Z</t>
  </si>
  <si>
    <t>TJ5tUpFM6P</t>
  </si>
  <si>
    <t>11XHfgiNos</t>
  </si>
  <si>
    <t>2026-05-01T19:32:37.764Z</t>
  </si>
  <si>
    <t>DVCjiAcdMJ</t>
  </si>
  <si>
    <t>Mf6dfVZXAm</t>
  </si>
  <si>
    <t>2026-05-01T19:57:11.153Z</t>
  </si>
  <si>
    <t>ji6kir4USu</t>
  </si>
  <si>
    <t>DAezttRQ8F</t>
  </si>
  <si>
    <t>2026-05-01T20:36:03.515Z</t>
  </si>
  <si>
    <t>1FQtZE9sgP</t>
  </si>
  <si>
    <t>YxViA3q3Gs</t>
  </si>
  <si>
    <t>2026-05-01T20:42:16.364Z</t>
  </si>
  <si>
    <t>CvEuy4gQKF</t>
  </si>
  <si>
    <t>J9aGpCas1d</t>
  </si>
  <si>
    <t>2026-05-01T21:07:58.076Z</t>
  </si>
  <si>
    <t>bwwSFYyyYp</t>
  </si>
  <si>
    <t>CZGJA2xBrD</t>
  </si>
  <si>
    <t>2026-05-01T21:08:01.956Z</t>
  </si>
  <si>
    <t>1QDb5RvTgU</t>
  </si>
  <si>
    <t>hWzCLYNuRd</t>
  </si>
  <si>
    <t>2026-05-01T21:34:43.523Z</t>
  </si>
  <si>
    <t>EvtUmrVHbd</t>
  </si>
  <si>
    <t>hhmbAVu2WQ</t>
  </si>
  <si>
    <t>2026-05-01T21:42:58.493Z</t>
  </si>
  <si>
    <t>BZmAdwYmeQ</t>
  </si>
  <si>
    <t>tfLP55MKW9</t>
  </si>
  <si>
    <t>2026-05-01T21:43:03.336Z</t>
  </si>
  <si>
    <t>9hvfxxobx8</t>
  </si>
  <si>
    <t>mN8i9Kv8Bm</t>
  </si>
  <si>
    <t>2026-05-01T21:45:10.608Z</t>
  </si>
  <si>
    <t>n1STZX6QY7</t>
  </si>
  <si>
    <t>N6TeDjvvng</t>
  </si>
  <si>
    <t>2026-05-01T21:51:23.709Z</t>
  </si>
  <si>
    <t>9xZ32E4fkV</t>
  </si>
  <si>
    <t>Rqg5j4ypeP</t>
  </si>
  <si>
    <t>2026-05-01T21:54:36.221Z</t>
  </si>
  <si>
    <t>YKfb9UQ3se</t>
  </si>
  <si>
    <t>zMBWxBQFBc</t>
  </si>
  <si>
    <t>2026-05-01T21:56:45.323Z</t>
  </si>
  <si>
    <t>bXT4LMj1XB</t>
  </si>
  <si>
    <t>o5MNEDsDC9</t>
  </si>
  <si>
    <t>2026-05-01T22:06:00.739Z</t>
  </si>
  <si>
    <t>wQSohWMWEi</t>
  </si>
  <si>
    <t>3XiKWz53MZ</t>
  </si>
  <si>
    <t>2026-05-01T22:08:07.040Z</t>
  </si>
  <si>
    <t>r8g6ZfsJ6W</t>
  </si>
  <si>
    <t>4JRXKRkKkm</t>
  </si>
  <si>
    <t>2026-05-01T22:15:20.095Z</t>
  </si>
  <si>
    <t>VHWhzoBxhg</t>
  </si>
  <si>
    <t>qZmQ2PkyNL</t>
  </si>
  <si>
    <t>2026-05-01T22:19:30.586Z</t>
  </si>
  <si>
    <t>qD9V5oEV6h</t>
  </si>
  <si>
    <t>bNFapa9fKk</t>
  </si>
  <si>
    <t>2026-05-01T22:21:37.447Z</t>
  </si>
  <si>
    <t>C7gz9U8u1v</t>
  </si>
  <si>
    <t>L5xdFV2jw3</t>
  </si>
  <si>
    <t>2026-05-01T22:21:40.599Z</t>
  </si>
  <si>
    <t>HgmhRcLpDH</t>
  </si>
  <si>
    <t>K9bQvbuWiS</t>
  </si>
  <si>
    <t>2026-05-01T22:25:49.621Z</t>
  </si>
  <si>
    <t>q4hgpuZpQa</t>
  </si>
  <si>
    <t>Evan C</t>
  </si>
  <si>
    <t>WoNA6h1aPV</t>
  </si>
  <si>
    <t>PeasOfCrab#00133</t>
  </si>
  <si>
    <t>2026-05-01T22:27:57.102Z</t>
  </si>
  <si>
    <t>207330248780414979</t>
  </si>
  <si>
    <t>LVpwRTg5nv</t>
  </si>
  <si>
    <t>nHT8ungVQo</t>
  </si>
  <si>
    <t>2026-05-01T22:39:16.517Z</t>
  </si>
  <si>
    <t>u4hQgowyeU</t>
  </si>
  <si>
    <t>rnUYC2XNkg</t>
  </si>
  <si>
    <t>2026-05-01T22:41:22.587Z</t>
  </si>
  <si>
    <t>ktkCeYQGLU</t>
  </si>
  <si>
    <t>52DC37ZqDQ</t>
  </si>
  <si>
    <t>2026-05-01T22:41:26.341Z</t>
  </si>
  <si>
    <t>8vVJiW6HU4</t>
  </si>
  <si>
    <t>q84XfAx4x8</t>
  </si>
  <si>
    <t>2026-05-01T22:45:34.962Z</t>
  </si>
  <si>
    <t>DBKQqDjNLU</t>
  </si>
  <si>
    <t>Ed9fsfh6ky</t>
  </si>
  <si>
    <t>2026-05-01T22:53:50.983Z</t>
  </si>
  <si>
    <t>WPivPudYN7</t>
  </si>
  <si>
    <t>avgeAFy9VR</t>
  </si>
  <si>
    <t>2026-05-01T22:58:00.384Z</t>
  </si>
  <si>
    <t>BF2QPWjVzv</t>
  </si>
  <si>
    <t>nusRrSEETt</t>
  </si>
  <si>
    <t>2026-05-01T23:08:16.137Z</t>
  </si>
  <si>
    <t>wYQi3pjT8Y</t>
  </si>
  <si>
    <t>SNzVSdkWQv</t>
  </si>
  <si>
    <t>2026-05-01T23:16:30.242Z</t>
  </si>
  <si>
    <t>LvQ6drSf7a</t>
  </si>
  <si>
    <t>1MSLX1xxCU</t>
  </si>
  <si>
    <t>2026-05-01T23:19:38.874Z</t>
  </si>
  <si>
    <t>Th7UXj7fCj</t>
  </si>
  <si>
    <t>pB3BS3S31J</t>
  </si>
  <si>
    <t>2026-05-01T23:20:45.705Z</t>
  </si>
  <si>
    <t>wcS5HodEsE</t>
  </si>
  <si>
    <t>ijdYZ4n1VE</t>
  </si>
  <si>
    <t>2026-05-01T23:21:51.554Z</t>
  </si>
  <si>
    <t>19nrnDnnPu</t>
  </si>
  <si>
    <t>vz3YzNrwVA</t>
  </si>
  <si>
    <t>2026-05-01T23:29:04.323Z</t>
  </si>
  <si>
    <t>iT6jZqb6mY</t>
  </si>
  <si>
    <t>rvErQsyhBp</t>
  </si>
  <si>
    <t>2026-05-01T23:32:12.466Z</t>
  </si>
  <si>
    <t>Bp1g21Nmjg</t>
  </si>
  <si>
    <t>BUvDXFfzXJ</t>
  </si>
  <si>
    <t>2026-05-01T23:43:31.560Z</t>
  </si>
  <si>
    <t>54vGMGtQGB</t>
  </si>
  <si>
    <t>V6pvj9uBF6</t>
  </si>
  <si>
    <t>2026-05-01T23:52:47.684Z</t>
  </si>
  <si>
    <t>VvKXrkN1aJ</t>
  </si>
  <si>
    <t>cKs5ZZdPQn</t>
  </si>
  <si>
    <t>2026-05-01T23:53:53.654Z</t>
  </si>
  <si>
    <t>58YVG4Pjyi</t>
  </si>
  <si>
    <t>xbFNsickdL</t>
  </si>
  <si>
    <t>2026-05-01T23:54:58.366Z</t>
  </si>
  <si>
    <t>gFFNFHfxYk</t>
  </si>
  <si>
    <t>xCwWAahRnt</t>
  </si>
  <si>
    <t>2026-05-02T00:03:12.819Z</t>
  </si>
  <si>
    <t>Dvv5zHfeLR</t>
  </si>
  <si>
    <t>VnbiQgVxbb</t>
  </si>
  <si>
    <t>2026-05-02T00:25:45.386Z</t>
  </si>
  <si>
    <t>Snwhk4Yy77</t>
  </si>
  <si>
    <t>mGBxMo1LJ5</t>
  </si>
  <si>
    <t>2026-05-02T00:27:52.754Z</t>
  </si>
  <si>
    <t>T4oiKiVdwH</t>
  </si>
  <si>
    <t>9ZUiLdzh2K</t>
  </si>
  <si>
    <t>2026-05-02T00:36:07.323Z</t>
  </si>
  <si>
    <t>9A1fvGc1So</t>
  </si>
  <si>
    <t>mqrLbMUXff</t>
  </si>
  <si>
    <t>2026-05-02T01:01:39.190Z</t>
  </si>
  <si>
    <t>MWGxiP9NC6</t>
  </si>
  <si>
    <t>agxJ3k97mt</t>
  </si>
  <si>
    <t>2026-05-02T01:16:00.004Z</t>
  </si>
  <si>
    <t>hwNHcT4P28</t>
  </si>
  <si>
    <t>7a8m4FAnsh</t>
  </si>
  <si>
    <t>2026-05-02T01:22:12.549Z</t>
  </si>
  <si>
    <t>voYEopfPFK</t>
  </si>
  <si>
    <t>CTJrtjoZ8J</t>
  </si>
  <si>
    <t>2026-05-02T01:23:17.468Z</t>
  </si>
  <si>
    <t>L2hLqr4Qkw</t>
  </si>
  <si>
    <t>FPsjt9gNje</t>
  </si>
  <si>
    <t>2026-05-02T01:24:22.114Z</t>
  </si>
  <si>
    <t>XBHWMKmGdD</t>
  </si>
  <si>
    <t>5qe6zKECC8</t>
  </si>
  <si>
    <t>2026-05-02T01:44:49.083Z</t>
  </si>
  <si>
    <t>iPd2GrSM7K</t>
  </si>
  <si>
    <t>GHYFcMotky</t>
  </si>
  <si>
    <t>2026-05-02T02:03:13.932Z</t>
  </si>
  <si>
    <t>PuMquHto1a</t>
  </si>
  <si>
    <t>EKDunkc21N</t>
  </si>
  <si>
    <t>2026-05-02T02:07:23.025Z</t>
  </si>
  <si>
    <t>RTYxKpAGbE</t>
  </si>
  <si>
    <t>PFxhsLdpnt</t>
  </si>
  <si>
    <t>2026-05-02T02:13:34.188Z</t>
  </si>
  <si>
    <t>cSSF2hYqVf</t>
  </si>
  <si>
    <t>z1BK4yQv7p</t>
  </si>
  <si>
    <t>2026-05-02T02:34:00.535Z</t>
  </si>
  <si>
    <t>3KbFgJAzjy</t>
  </si>
  <si>
    <t>BPPJF1FkmY</t>
  </si>
  <si>
    <t>2026-05-02T02:48:22.560Z</t>
  </si>
  <si>
    <t>CaDVk5HNdC</t>
  </si>
  <si>
    <t>3h9yd6BVnN</t>
  </si>
  <si>
    <t>2026-05-02T02:54:35.180Z</t>
  </si>
  <si>
    <t>6zx77izMNh</t>
  </si>
  <si>
    <t>DwKnqDQpoj</t>
  </si>
  <si>
    <t>2026-05-02T02:56:42.360Z</t>
  </si>
  <si>
    <t>3GGq6fja2x</t>
  </si>
  <si>
    <t>3CdKMgcxXc</t>
  </si>
  <si>
    <t>2026-05-02T03:03:56.713Z</t>
  </si>
  <si>
    <t>YXqKa2agJx</t>
  </si>
  <si>
    <t>6oF5QNQFrz</t>
  </si>
  <si>
    <t>2026-05-02T03:18:20.718Z</t>
  </si>
  <si>
    <t>FAYC6nxkhp</t>
  </si>
  <si>
    <t>mgG3nywh9Y</t>
  </si>
  <si>
    <t>2026-05-02T03:21:28.010Z</t>
  </si>
  <si>
    <t>fQG3cPVpLw</t>
  </si>
  <si>
    <t>H5rKLQeqHE</t>
  </si>
  <si>
    <t>2026-05-02T03:33:47.927Z</t>
  </si>
  <si>
    <t>akzzvPt9AL</t>
  </si>
  <si>
    <t>Mbq323wDZ8</t>
  </si>
  <si>
    <t>2026-05-02T03:34:52.358Z</t>
  </si>
  <si>
    <t>6XexnAtB9R</t>
  </si>
  <si>
    <t>m62Nwmz8Ak</t>
  </si>
  <si>
    <t>2026-05-02T03:44:09.525Z</t>
  </si>
  <si>
    <t>zkskhhZPnq</t>
  </si>
  <si>
    <t>Ccya76yT4k</t>
  </si>
  <si>
    <t>Evan L</t>
  </si>
  <si>
    <t>2026-05-02T03:45:15.489Z</t>
  </si>
  <si>
    <t>Evan#97713</t>
  </si>
  <si>
    <t>667122200440078375</t>
  </si>
  <si>
    <t>1GfwDcmdXn</t>
  </si>
  <si>
    <t>sCuXDdk9eF</t>
  </si>
  <si>
    <t>2026-05-02T03:53:29.640Z</t>
  </si>
  <si>
    <t>EiNLZTg3jz</t>
  </si>
  <si>
    <t>9gYNA4MRWf</t>
  </si>
  <si>
    <t>2026-05-02T03:54:33.774Z</t>
  </si>
  <si>
    <t>6wyX6sfrmU</t>
  </si>
  <si>
    <t>fbxi16z3PA</t>
  </si>
  <si>
    <t>2026-05-02T03:56:39.671Z</t>
  </si>
  <si>
    <t>dYWTFtNzfD</t>
  </si>
  <si>
    <t>7tTYQbwyC8</t>
  </si>
  <si>
    <t>2026-05-02T03:57:44.542Z</t>
  </si>
  <si>
    <t>ngRWQsudk2</t>
  </si>
  <si>
    <t>x4Hp4kCNc3</t>
  </si>
  <si>
    <t>2026-05-02T04:14:08.640Z</t>
  </si>
  <si>
    <t>1zujwkTyTP</t>
  </si>
  <si>
    <t>XTZxgtcmcW</t>
  </si>
  <si>
    <t>2026-05-02T04:23:25.096Z</t>
  </si>
  <si>
    <t>p5v2djU9mX</t>
  </si>
  <si>
    <t>fcZnkPWNjE</t>
  </si>
  <si>
    <t>2026-05-02T04:35:45.973Z</t>
  </si>
  <si>
    <t>X5eKpssjKg</t>
  </si>
  <si>
    <t>e7iqUrV2PL</t>
  </si>
  <si>
    <t>2026-05-02T04:39:55.100Z</t>
  </si>
  <si>
    <t>nQi8QuymRm</t>
  </si>
  <si>
    <t>azagYk7Dst</t>
  </si>
  <si>
    <t>2026-05-02T04:45:05.711Z</t>
  </si>
  <si>
    <t>wHinLuyXre</t>
  </si>
  <si>
    <t>mcCxd59gfZ</t>
  </si>
  <si>
    <t>2026-05-02T04:53:19.800Z</t>
  </si>
  <si>
    <t>ahwBZZEda5</t>
  </si>
  <si>
    <t>xkZk7vmwB7</t>
  </si>
  <si>
    <t>2026-05-02T05:04:40.258Z</t>
  </si>
  <si>
    <t>NBuSHrQVCs</t>
  </si>
  <si>
    <t>veCcEitax2</t>
  </si>
  <si>
    <t>2026-05-02T05:12:55.309Z</t>
  </si>
  <si>
    <t>MuKGUJ38XS</t>
  </si>
  <si>
    <t>YT6uBNgJix</t>
  </si>
  <si>
    <t>2026-05-02T05:21:08.224Z</t>
  </si>
  <si>
    <t>BAKBzJTSLZ</t>
  </si>
  <si>
    <t>E9z97Xe4S1</t>
  </si>
  <si>
    <t>2026-05-02T05:23:16.062Z</t>
  </si>
  <si>
    <t>4H1Sncqwxs</t>
  </si>
  <si>
    <t>bQCnMiYike</t>
  </si>
  <si>
    <t>2026-05-02T05:33:32.120Z</t>
  </si>
  <si>
    <t>A2uFyLRgBL</t>
  </si>
  <si>
    <t>FWYUPe147T</t>
  </si>
  <si>
    <t>2026-05-02T05:43:48.564Z</t>
  </si>
  <si>
    <t>n1Hu4Cdh63</t>
  </si>
  <si>
    <t>NXFG2SY3F6</t>
  </si>
  <si>
    <t>2026-05-02T05:47:57.641Z</t>
  </si>
  <si>
    <t>haVu5h9Hwg</t>
  </si>
  <si>
    <t>eMZ8UdA44H</t>
  </si>
  <si>
    <t>2026-05-02T06:08:25.549Z</t>
  </si>
  <si>
    <t>BfcKyA8Cfs</t>
  </si>
  <si>
    <t>spgnMPY6vw</t>
  </si>
  <si>
    <t>2026-05-02T06:38:03.937Z</t>
  </si>
  <si>
    <t>rS2HZKv6cY</t>
  </si>
  <si>
    <t>uQBnHfpYX5</t>
  </si>
  <si>
    <t>2026-05-02T07:05:40.927Z</t>
  </si>
  <si>
    <t>6dkT1MWTw7</t>
  </si>
  <si>
    <t>KdVgFa8X9f</t>
  </si>
  <si>
    <t>2026-05-02T07:40:29.195Z</t>
  </si>
  <si>
    <t>RNnHGgPWq1</t>
  </si>
  <si>
    <t>ZmB8KPjV2z</t>
  </si>
  <si>
    <t>2026-05-02T07:57:54.826Z</t>
  </si>
  <si>
    <t>ZXbfBfqsEU</t>
  </si>
  <si>
    <t>MQwX3EpAeW</t>
  </si>
  <si>
    <t>2026-05-02T08:26:33.764Z</t>
  </si>
  <si>
    <t>1tHQcfFURw</t>
  </si>
  <si>
    <t>ZWu9YVZqo1</t>
  </si>
  <si>
    <t>2026-05-02T08:53:07.345Z</t>
  </si>
  <si>
    <t>YimfzKctDS</t>
  </si>
  <si>
    <t>WyDDraq3RD</t>
  </si>
  <si>
    <t>2026-05-02T10:19:36.295Z</t>
  </si>
  <si>
    <t>3FXXGSZC6j</t>
  </si>
  <si>
    <t>Eyz6X6ej5C</t>
  </si>
  <si>
    <t>2026-05-02T10:43:06.101Z</t>
  </si>
  <si>
    <t>v3Yp1DccSN</t>
  </si>
  <si>
    <t>cRgs3p1TWd</t>
  </si>
  <si>
    <t>2026-05-02T10:46:13.282Z</t>
  </si>
  <si>
    <t>KnzyA7Dr3t</t>
  </si>
  <si>
    <t>RcN2wbKcNz</t>
  </si>
  <si>
    <t>2026-05-02T10:56:27.657Z</t>
  </si>
  <si>
    <t>W28cTwockq</t>
  </si>
  <si>
    <t>3EuWfvZGP8</t>
  </si>
  <si>
    <t>2026-05-02T11:42:20.531Z</t>
  </si>
  <si>
    <t>bFpwXh7iQJ</t>
  </si>
  <si>
    <t>HpF3J9F5zZ</t>
  </si>
  <si>
    <t>2026-05-02T11:58:41.685Z</t>
  </si>
  <si>
    <t>X9UTpk6Rzr</t>
  </si>
  <si>
    <t>appijtcnhK</t>
  </si>
  <si>
    <t>2026-05-02T11:58:44.905Z</t>
  </si>
  <si>
    <t>7KijAeb8xJ</t>
  </si>
  <si>
    <t>G1PPW4jBYU</t>
  </si>
  <si>
    <t>2026-05-02T12:29:21.771Z</t>
  </si>
  <si>
    <t>3Mk2WjWjgw</t>
  </si>
  <si>
    <t>q7YXFvdX8e</t>
  </si>
  <si>
    <t>2026-05-02T12:47:45.249Z</t>
  </si>
  <si>
    <t>1fLgj2rSrx</t>
  </si>
  <si>
    <t>CfLiLF1dFg</t>
  </si>
  <si>
    <t>2026-05-02T13:05:07.100Z</t>
  </si>
  <si>
    <t>QmwZMnuagv</t>
  </si>
  <si>
    <t>jL1egwXumU</t>
  </si>
  <si>
    <t>2026-05-02T13:29:36.482Z</t>
  </si>
  <si>
    <t>KwQipo3pBq</t>
  </si>
  <si>
    <t>7Ri1w7tM98</t>
  </si>
  <si>
    <t>2026-05-02T13:45:58.729Z</t>
  </si>
  <si>
    <t>CHMvsNyU93</t>
  </si>
  <si>
    <t>T1QZCrAHKP</t>
  </si>
  <si>
    <t>2026-05-02T14:19:41.584Z</t>
  </si>
  <si>
    <t>uEoynnuzHn</t>
  </si>
  <si>
    <t>dKPGPJBBg7</t>
  </si>
  <si>
    <t>2026-05-02T14:19:45.433Z</t>
  </si>
  <si>
    <t>b8RWASCx6k</t>
  </si>
  <si>
    <t>Jgot7APtMr</t>
  </si>
  <si>
    <t>2026-05-02T14:38:08.111Z</t>
  </si>
  <si>
    <t>5ufTccHCbQ</t>
  </si>
  <si>
    <t>EH7dWWaC5B</t>
  </si>
  <si>
    <t>2026-05-02T14:52:29.693Z</t>
  </si>
  <si>
    <t>Geoff E</t>
  </si>
  <si>
    <t>Snorlaxguy#38043</t>
  </si>
  <si>
    <t>gDwnhWGeG7</t>
  </si>
  <si>
    <t>180275700790460416</t>
  </si>
  <si>
    <t>Gs3dy46CAG</t>
  </si>
  <si>
    <t>2026-05-02T14:58:40.656Z</t>
  </si>
  <si>
    <t>rT7kqP9nGF</t>
  </si>
  <si>
    <t>ThjFDDwsE6</t>
  </si>
  <si>
    <t>2026-05-02T15:06:53.961Z</t>
  </si>
  <si>
    <t>aN1kopk5yF</t>
  </si>
  <si>
    <t>d72AeNrED1</t>
  </si>
  <si>
    <t>2026-05-02T15:12:05.443Z</t>
  </si>
  <si>
    <t>7aFTMcS1JR</t>
  </si>
  <si>
    <t>tPMCi7Lhbm</t>
  </si>
  <si>
    <t>2026-05-02T15:28:27.404Z</t>
  </si>
  <si>
    <t>Q9UKQj4GLw</t>
  </si>
  <si>
    <t>VMJq9VeAUZ</t>
  </si>
  <si>
    <t>2026-05-02T15:43:48.841Z</t>
  </si>
  <si>
    <t>hKydz4H8zu</t>
  </si>
  <si>
    <t>PHDNMf9TGu</t>
  </si>
  <si>
    <t>2026-05-02T15:44:55.845Z</t>
  </si>
  <si>
    <t>HRhiyMNubL</t>
  </si>
  <si>
    <t>QGsnvJfhnM</t>
  </si>
  <si>
    <t>2026-05-02T15:44:59.551Z</t>
  </si>
  <si>
    <t>ZRgeu7KvCU</t>
  </si>
  <si>
    <t>DuuyJQMBZz</t>
  </si>
  <si>
    <t>2026-05-02T15:57:15.995Z</t>
  </si>
  <si>
    <t>zxoxxjUQVX</t>
  </si>
  <si>
    <t>57Bgkqxu4H</t>
  </si>
  <si>
    <t>2026-05-02T16:07:33.531Z</t>
  </si>
  <si>
    <t>zHwQywzkNs</t>
  </si>
  <si>
    <t>KB6YF6x6J8</t>
  </si>
  <si>
    <t>2026-05-02T16:08:38.972Z</t>
  </si>
  <si>
    <t>6jjDJciB6h</t>
  </si>
  <si>
    <t>rMkArxjNHr</t>
  </si>
  <si>
    <t>2026-05-02T16:12:47.671Z</t>
  </si>
  <si>
    <t>gzhqU5Taxx</t>
  </si>
  <si>
    <t>Euz8qfv8fh</t>
  </si>
  <si>
    <t>2026-05-02T16:27:07.618Z</t>
  </si>
  <si>
    <t>TDeLet2bHm</t>
  </si>
  <si>
    <t>pGFzhSRuZr</t>
  </si>
  <si>
    <t>2026-05-02T16:29:17.336Z</t>
  </si>
  <si>
    <t>Sdhg3b1Yd1</t>
  </si>
  <si>
    <t>To1DrDutT2</t>
  </si>
  <si>
    <t>2026-05-02T16:32:25.009Z</t>
  </si>
  <si>
    <t>3oSGxttSrG</t>
  </si>
  <si>
    <t>iioAzf2kBa</t>
  </si>
  <si>
    <t>2026-05-02T16:40:38.549Z</t>
  </si>
  <si>
    <t>dvwt3qg8BC</t>
  </si>
  <si>
    <t>hWmXrteFnf</t>
  </si>
  <si>
    <t>2026-05-02T16:51:58.237Z</t>
  </si>
  <si>
    <t>xUroMFC64d</t>
  </si>
  <si>
    <t>DigRYuv7CR</t>
  </si>
  <si>
    <t>2026-05-02T16:58:11.928Z</t>
  </si>
  <si>
    <t>n4UZ8Rte4X</t>
  </si>
  <si>
    <t>jJCgQetXHH</t>
  </si>
  <si>
    <t>2026-05-02T17:12:41.823Z</t>
  </si>
  <si>
    <t>DhqkBmwt6Y</t>
  </si>
  <si>
    <t>grswpNXtFR</t>
  </si>
  <si>
    <t>2026-05-02T17:20:58.108Z</t>
  </si>
  <si>
    <t>BPKcWGVGhG</t>
  </si>
  <si>
    <t>L1Z2ifXi65</t>
  </si>
  <si>
    <t>2026-05-02T17:24:06.639Z</t>
  </si>
  <si>
    <t>aPVVtdQpsG</t>
  </si>
  <si>
    <t>pMUDB1gEzV</t>
  </si>
  <si>
    <t>2026-05-02T17:32:19.155Z</t>
  </si>
  <si>
    <t>b6oBfuWEY9</t>
  </si>
  <si>
    <t>ASVpswUm9F</t>
  </si>
  <si>
    <t>#</t>
  </si>
  <si>
    <t>2026-05-02T17:34:26.396Z</t>
  </si>
  <si>
    <t>j1gqYDC6Si</t>
  </si>
  <si>
    <t>Jz7GfnVqKp</t>
  </si>
  <si>
    <t>2026-05-02T17:44:41.125Z</t>
  </si>
  <si>
    <t>Course Name</t>
  </si>
  <si>
    <t>Theme</t>
  </si>
  <si>
    <t>2ZHDDahEgH</t>
  </si>
  <si>
    <t>mfPA5DjT9E</t>
  </si>
  <si>
    <t>Scryfall Link</t>
  </si>
  <si>
    <t>2026-05-02T17:44:45.663Z</t>
  </si>
  <si>
    <t>Graduate Studies Link</t>
  </si>
  <si>
    <t>Feedback</t>
  </si>
  <si>
    <t>CEq5XbTUuf</t>
  </si>
  <si>
    <t>Colleges catered to</t>
  </si>
  <si>
    <t>zKszkCyuzn</t>
  </si>
  <si>
    <t>2026-05-02T17:54:01.667Z</t>
  </si>
  <si>
    <t>huQPQS9J1R</t>
  </si>
  <si>
    <t>VEimnzi1p4</t>
  </si>
  <si>
    <t>2026-05-02T18:23:37.761Z</t>
  </si>
  <si>
    <t>AFQEyeijmd</t>
  </si>
  <si>
    <t>Jsee8TaoXW</t>
  </si>
  <si>
    <t>2026-05-02T18:36:56.701Z</t>
  </si>
  <si>
    <t>epghtSis9s</t>
  </si>
  <si>
    <t>g8ug6CEKKs</t>
  </si>
  <si>
    <t>2026-05-02T18:42:07.279Z</t>
  </si>
  <si>
    <t>MYcQs6XBLc</t>
  </si>
  <si>
    <t>1mHuPoh2df</t>
  </si>
  <si>
    <t>2026-05-02T18:43:12.605Z</t>
  </si>
  <si>
    <t>5yaXgFx2KM</t>
  </si>
  <si>
    <t>QeVAuvDCx2</t>
  </si>
  <si>
    <t>2026-05-02T19:05:46.604Z</t>
  </si>
  <si>
    <t>RW gold cards</t>
  </si>
  <si>
    <t>bgHNeL7mMV</t>
  </si>
  <si>
    <t>EStTvx3eax</t>
  </si>
  <si>
    <t>2026-05-02T19:14:00.718Z</t>
  </si>
  <si>
    <t>BfCxk8cGMT</t>
  </si>
  <si>
    <t>mi2t3HNwYm</t>
  </si>
  <si>
    <t>2026-05-02T19:22:13.135Z</t>
  </si>
  <si>
    <t>Cs4328coKZ</t>
  </si>
  <si>
    <t>7rYRde29fo</t>
  </si>
  <si>
    <t>2026-05-02T20:09:07.249Z</t>
  </si>
  <si>
    <t>4kPiJXh3gy</t>
  </si>
  <si>
    <t>q6WeHoh21k</t>
  </si>
  <si>
    <t>2026-05-02T20:25:29.957Z</t>
  </si>
  <si>
    <t>A1oHc2r3Uk</t>
  </si>
  <si>
    <t>xwYVdu1yRS</t>
  </si>
  <si>
    <t>2026-05-02T20:40:50.535Z</t>
  </si>
  <si>
    <t>BoMQN7onYu</t>
  </si>
  <si>
    <t>Y4XTotFdwe</t>
  </si>
  <si>
    <t>2026-05-02T20:46:01.894Z</t>
  </si>
  <si>
    <t>4sxBFCVwL8</t>
  </si>
  <si>
    <t>CSyBvYtvFd</t>
  </si>
  <si>
    <t>2026-05-02T20:51:11.978Z</t>
  </si>
  <si>
    <t>4SumiujC9T</t>
  </si>
  <si>
    <t>D2wviCSMeE</t>
  </si>
  <si>
    <t>2026-05-02T21:06:32.526Z</t>
  </si>
  <si>
    <t>Au7MMc7Jbu</t>
  </si>
  <si>
    <t>pEmhwG2Zsb</t>
  </si>
  <si>
    <t>2026-05-02T21:14:47.338Z</t>
  </si>
  <si>
    <t>7vBgh32vJz</t>
  </si>
  <si>
    <t>9igPfZY3j1</t>
  </si>
  <si>
    <t>2026-05-02T21:17:56.130Z</t>
  </si>
  <si>
    <t>George G</t>
  </si>
  <si>
    <t>2GG#75037</t>
  </si>
  <si>
    <t>yt9BS23zKw</t>
  </si>
  <si>
    <t>351789220676894720</t>
  </si>
  <si>
    <t>coVGCx7eWN</t>
  </si>
  <si>
    <t>2026-05-02T21:20:02.602Z</t>
  </si>
  <si>
    <t>FssqWVRUoa</t>
  </si>
  <si>
    <t>mT6UH1cdN9</t>
  </si>
  <si>
    <t>2026-05-02T21:34:21.298Z</t>
  </si>
  <si>
    <t>ha4XPweVqS</t>
  </si>
  <si>
    <t>dW4UXT3g4A</t>
  </si>
  <si>
    <t>2026-05-02T21:38:30.111Z</t>
  </si>
  <si>
    <t>UocqLBbdFt</t>
  </si>
  <si>
    <t>oLQU4sa8gA</t>
  </si>
  <si>
    <t>2026-05-02T21:42:38.359Z</t>
  </si>
  <si>
    <t>JMjGi3X4RA</t>
  </si>
  <si>
    <t>EyiciDcWMh</t>
  </si>
  <si>
    <t>2026-05-02T21:44:44.267Z</t>
  </si>
  <si>
    <t>FdDsiqDyoe</t>
  </si>
  <si>
    <t>951gX33bsT</t>
  </si>
  <si>
    <t>2026-05-02T21:52:57.808Z</t>
  </si>
  <si>
    <t>1ctsBUsvLm</t>
  </si>
  <si>
    <t>Looters</t>
  </si>
  <si>
    <t>1X6WtS7e7J</t>
  </si>
  <si>
    <t>2026-05-02T22:20:34.304Z</t>
  </si>
  <si>
    <t>Xkv3RXYckD</t>
  </si>
  <si>
    <t>HXMZPipcHe</t>
  </si>
  <si>
    <t>2026-05-02T22:35:55.829Z</t>
  </si>
  <si>
    <t>Ggs9t7ZVtB</t>
  </si>
  <si>
    <t>mZSCTPTTo3</t>
  </si>
  <si>
    <t>2026-05-02T22:40:03.731Z</t>
  </si>
  <si>
    <t>FjyBTz7Kxr</t>
  </si>
  <si>
    <t>rnS4Jwrq3k</t>
  </si>
  <si>
    <t>2026-05-02T22:42:10.883Z</t>
  </si>
  <si>
    <t>Fs78kkHZkJ</t>
  </si>
  <si>
    <t>qGgMma7Zga</t>
  </si>
  <si>
    <t>2026-05-02T22:48:21.585Z</t>
  </si>
  <si>
    <t>VNauVdhXoB</t>
  </si>
  <si>
    <t>3tyeG4WtfB</t>
  </si>
  <si>
    <t>2026-05-02T23:16:00.272Z</t>
  </si>
  <si>
    <t>C1Xtvez3ce</t>
  </si>
  <si>
    <t>8cwsKBvJXU</t>
  </si>
  <si>
    <t>2026-05-02T23:23:12.347Z</t>
  </si>
  <si>
    <t>7AenQAXRiD</t>
  </si>
  <si>
    <t>esuEPWND9P</t>
  </si>
  <si>
    <t>2026-05-02T23:29:23.600Z</t>
  </si>
  <si>
    <t>GxnZHoUaoy</t>
  </si>
  <si>
    <t>vVcRt783WY</t>
  </si>
  <si>
    <t>2026-05-02T23:58:57.671Z</t>
  </si>
  <si>
    <t>Pm5iC8Ej5A</t>
  </si>
  <si>
    <t>ssFWx6mKEZ</t>
  </si>
  <si>
    <t>2026-05-03T00:40:44.798Z</t>
  </si>
  <si>
    <t>biyHEP79xj</t>
  </si>
  <si>
    <t>ZoHZLqe52d</t>
  </si>
  <si>
    <t>2026-05-03T00:49:58.111Z</t>
  </si>
  <si>
    <t>pJCgAgfTn9</t>
  </si>
  <si>
    <t>DXdstpQJAs</t>
  </si>
  <si>
    <t>2026-05-03T01:00:14.454Z</t>
  </si>
  <si>
    <t>WNgActpqTY</t>
  </si>
  <si>
    <t>XaNNcwBBZu</t>
  </si>
  <si>
    <t>2026-05-03T01:33:55.728Z</t>
  </si>
  <si>
    <t>CMrDAhMi1S</t>
  </si>
  <si>
    <t>RBAg16aszZ</t>
  </si>
  <si>
    <t>2026-05-03T01:35:00.446Z</t>
  </si>
  <si>
    <t>FozqQ88Es3</t>
  </si>
  <si>
    <t>JW8x5eUw7j</t>
  </si>
  <si>
    <t>2026-05-03T01:42:12.138Z</t>
  </si>
  <si>
    <t>6hCjzswM7M</t>
  </si>
  <si>
    <t>m21eTH6Mgb</t>
  </si>
  <si>
    <t>2026-05-03T01:54:28.661Z</t>
  </si>
  <si>
    <t>Y2u4XfqjaR</t>
  </si>
  <si>
    <t>vDCQTc8Rte</t>
  </si>
  <si>
    <t>2026-05-03T02:14:53.950Z</t>
  </si>
  <si>
    <t>Surveil</t>
  </si>
  <si>
    <t>izj8QqrkuM</t>
  </si>
  <si>
    <t>dSLPiBSHc6</t>
  </si>
  <si>
    <t>2026-05-03T02:18:00.765Z</t>
  </si>
  <si>
    <t>p7KazdfBUd</t>
  </si>
  <si>
    <t>3FdM8A7Wpx</t>
  </si>
  <si>
    <t>2026-05-03T02:55:44.251Z</t>
  </si>
  <si>
    <t>m3afcxWJBf</t>
  </si>
  <si>
    <t>Q6p7eVYmqN</t>
  </si>
  <si>
    <t>2026-05-03T03:04:57.339Z</t>
  </si>
  <si>
    <t>m7vQKGeBH5</t>
  </si>
  <si>
    <t>t65XhF4rzz</t>
  </si>
  <si>
    <t>2026-05-03T03:06:04.310Z</t>
  </si>
  <si>
    <t>T1NPSMHRPk</t>
  </si>
  <si>
    <t>BzykEkfKyK</t>
  </si>
  <si>
    <t>2026-05-03T03:19:22.044Z</t>
  </si>
  <si>
    <t>LUb34B9Yjt</t>
  </si>
  <si>
    <t>szBJuGZr6G</t>
  </si>
  <si>
    <t>2026-05-03T03:28:36.260Z</t>
  </si>
  <si>
    <t>pqYfYgr24U</t>
  </si>
  <si>
    <t>WM4ksgLRAz</t>
  </si>
  <si>
    <t>2026-05-03T03:40:53.281Z</t>
  </si>
  <si>
    <t>nnxYfygyxp</t>
  </si>
  <si>
    <t>q7Cp73X8d9</t>
  </si>
  <si>
    <t>2026-05-03T03:44:00.560Z</t>
  </si>
  <si>
    <t>Gs41fJ9n6z</t>
  </si>
  <si>
    <t>HcXfMsrPYS</t>
  </si>
  <si>
    <t>2026-05-03T03:50:14.035Z</t>
  </si>
  <si>
    <t>J1nqNU2z1j</t>
  </si>
  <si>
    <t>WofZsVZHXJ</t>
  </si>
  <si>
    <t>2026-05-03T04:12:40.202Z</t>
  </si>
  <si>
    <t>Jb6ceyQ5bK</t>
  </si>
  <si>
    <t>KoaNFvvRzq</t>
  </si>
  <si>
    <t>2026-05-03T04:13:44.893Z</t>
  </si>
  <si>
    <t>6awJFAXY1f</t>
  </si>
  <si>
    <t>o5WBk3qF1X</t>
  </si>
  <si>
    <t>2026-05-03T04:27:02.998Z</t>
  </si>
  <si>
    <t>p8UebGNqqj</t>
  </si>
  <si>
    <t>NttQiGMyQp</t>
  </si>
  <si>
    <t>2026-05-03T04:30:10.121Z</t>
  </si>
  <si>
    <t>rUgvqS8PF2</t>
  </si>
  <si>
    <t>Nqe7PpxDv5</t>
  </si>
  <si>
    <t>2026-05-03T04:56:43.554Z</t>
  </si>
  <si>
    <t>VWsk6sWbda</t>
  </si>
  <si>
    <t>9NzXN9YPw5</t>
  </si>
  <si>
    <t>2026-05-03T05:05:57.577Z</t>
  </si>
  <si>
    <t>Self-mill</t>
  </si>
  <si>
    <t>6xoARDuvES</t>
  </si>
  <si>
    <t>zQVMTkg8L9</t>
  </si>
  <si>
    <t>2026-05-03T05:25:22.205Z</t>
  </si>
  <si>
    <t>2aZNLz7j9X</t>
  </si>
  <si>
    <t>bXbLeL4ZKA</t>
  </si>
  <si>
    <t>2026-05-03T07:03:02.730Z</t>
  </si>
  <si>
    <t>m6NqS2DA7x</t>
  </si>
  <si>
    <t>George O</t>
  </si>
  <si>
    <t>oggy#35426</t>
  </si>
  <si>
    <t>j1fmQ6frCb</t>
  </si>
  <si>
    <t>341430608981000193</t>
  </si>
  <si>
    <t>2026-05-03T10:47:48.201Z</t>
  </si>
  <si>
    <t>iPNh9dwgLT</t>
  </si>
  <si>
    <t>DxYy1ytc2p</t>
  </si>
  <si>
    <t>2026-05-03T11:25:33.878Z</t>
  </si>
  <si>
    <t>2sXfMvYEik</t>
  </si>
  <si>
    <t>fnG1c1Ra8N</t>
  </si>
  <si>
    <t>2026-05-03T11:26:38.769Z</t>
  </si>
  <si>
    <t>Ynypc9jeYx</t>
  </si>
  <si>
    <t>RPXsBW2Ci1</t>
  </si>
  <si>
    <t>2026-05-03T11:58:14.663Z</t>
  </si>
  <si>
    <t>cWCvb7hxYC</t>
  </si>
  <si>
    <t>DHkeDgA7tv</t>
  </si>
  <si>
    <t>2026-05-03T13:35:59.843Z</t>
  </si>
  <si>
    <t>m4SDzkiDQo</t>
  </si>
  <si>
    <t>X5g8z7t7Z9</t>
  </si>
  <si>
    <t>2026-05-03T14:03:32.696Z</t>
  </si>
  <si>
    <t>zExjcQjWvC</t>
  </si>
  <si>
    <t>JhoeoJ6KzS</t>
  </si>
  <si>
    <t>2026-05-03T14:18:53.535Z</t>
  </si>
  <si>
    <t>mCV2cFLk5g</t>
  </si>
  <si>
    <t>98NfUfuQjr</t>
  </si>
  <si>
    <t>2026-05-03T14:26:07.752Z</t>
  </si>
  <si>
    <t>86Y1Qg2T8j</t>
  </si>
  <si>
    <t>oAQjwUmf4D</t>
  </si>
  <si>
    <t>2026-05-03T14:44:32.277Z</t>
  </si>
  <si>
    <t>Restricted to standard legal</t>
  </si>
  <si>
    <t>UWhzSETBvS</t>
  </si>
  <si>
    <t>x3m4EvKiQB</t>
  </si>
  <si>
    <t>Scryfall Link:  (game:arena -is:alchemy -is:rebalanced -t:token -set:sos -is:universesbeyond -o:learn r&lt;r)</t>
  </si>
  <si>
    <t>2026-05-03T14:53:45.920Z</t>
  </si>
  <si>
    <t>Z3QTRhL6Ey</t>
  </si>
  <si>
    <t>b1Q3Vxa6rZ</t>
  </si>
  <si>
    <t>2026-05-03T14:59:57.432Z</t>
  </si>
  <si>
    <t>JCddG2a8K6</t>
  </si>
  <si>
    <t>VYvHcR7Pe5</t>
  </si>
  <si>
    <t>2026-05-03T15:10:12.224Z</t>
  </si>
  <si>
    <t>1DeXcU15nn</t>
  </si>
  <si>
    <t>STX Lorehold cards</t>
  </si>
  <si>
    <t>V5SxyHEaAf</t>
  </si>
  <si>
    <t>2026-05-03T15:32:39.804Z</t>
  </si>
  <si>
    <t>r36CF8W2bV</t>
  </si>
  <si>
    <t>XWv75wahJN</t>
  </si>
  <si>
    <t>2026-05-03T15:35:46.794Z</t>
  </si>
  <si>
    <t>x9dYpKxvpZ</t>
  </si>
  <si>
    <t>TUkkcUSdiJ</t>
  </si>
  <si>
    <t>2026-05-03T15:49:03.992Z</t>
  </si>
  <si>
    <t>d41P9R13p3</t>
  </si>
  <si>
    <t>pQKCwiNFjF</t>
  </si>
  <si>
    <t>2026-05-03T15:55:14.115Z</t>
  </si>
  <si>
    <t>xQY3rk4kEq</t>
  </si>
  <si>
    <t>BzNwzQJfeF</t>
  </si>
  <si>
    <t>2026-05-03T16:04:27.561Z</t>
  </si>
  <si>
    <t>iQ1aT8rft2</t>
  </si>
  <si>
    <t>RpS814SXRi</t>
  </si>
  <si>
    <t>2026-05-03T16:17:45.229Z</t>
  </si>
  <si>
    <t>BfD1iK1gVM</t>
  </si>
  <si>
    <t>27omAVcNgH</t>
  </si>
  <si>
    <t>2026-05-03T16:23:56.451Z</t>
  </si>
  <si>
    <t>BFQeR9qmHk</t>
  </si>
  <si>
    <t>MGXmpVJoj4</t>
  </si>
  <si>
    <t>2026-05-03T17:00:37.249Z</t>
  </si>
  <si>
    <t>nuLdWwtoJ6</t>
  </si>
  <si>
    <t>o9Vw2RzqHi</t>
  </si>
  <si>
    <t>2026-05-03T17:10:52.757Z</t>
  </si>
  <si>
    <t>a5QYN57PZC</t>
  </si>
  <si>
    <t>ahnp1FCdeQ</t>
  </si>
  <si>
    <t>2026-05-03T17:37:37.767Z</t>
  </si>
  <si>
    <t>33tzqZjRB9</t>
  </si>
  <si>
    <t>99rF3PftCL</t>
  </si>
  <si>
    <t>2026-05-03T17:38:44.477Z</t>
  </si>
  <si>
    <t>tqewtuDDGt</t>
  </si>
  <si>
    <t>HHBmYhFLLt</t>
  </si>
  <si>
    <t>2026-05-03T18:08:25.516Z</t>
  </si>
  <si>
    <t>tym8g5gio4</t>
  </si>
  <si>
    <t>a4UdnfMNsB</t>
  </si>
  <si>
    <t>2026-05-03T18:21:43.181Z</t>
  </si>
  <si>
    <t>T9pjGY124n</t>
  </si>
  <si>
    <t>jZfF221FHR</t>
  </si>
  <si>
    <t>2026-05-03T18:22:49.363Z</t>
  </si>
  <si>
    <t>Flashback, harmonize or escape noncreature spells</t>
  </si>
  <si>
    <t>HzHgToBZUD</t>
  </si>
  <si>
    <t>78EnwvRCoh</t>
  </si>
  <si>
    <t>2026-05-03T18:37:09.039Z</t>
  </si>
  <si>
    <t>yJBH7JFwsi</t>
  </si>
  <si>
    <t>kB9BmjrdBm</t>
  </si>
  <si>
    <t>2026-05-03T18:52:29.362Z</t>
  </si>
  <si>
    <t>fZjFaZEwcx</t>
  </si>
  <si>
    <t>8RYrfquh1S</t>
  </si>
  <si>
    <t>2026-05-03T19:23:05.271Z</t>
  </si>
  <si>
    <t>9QoDk7saCp</t>
  </si>
  <si>
    <t>KsAAzWDemi</t>
  </si>
  <si>
    <t>2026-05-03T19:31:18.558Z</t>
  </si>
  <si>
    <t>FxZAij7N6b</t>
  </si>
  <si>
    <t>tYx9Sv75Cr</t>
  </si>
  <si>
    <t>2026-05-03T19:45:37.016Z</t>
  </si>
  <si>
    <t>eNq1UU14XR</t>
  </si>
  <si>
    <t>K6VBd8RZkq</t>
  </si>
  <si>
    <t>2026-05-03T20:33:32.300Z</t>
  </si>
  <si>
    <t>9XtBfeSfpx</t>
  </si>
  <si>
    <t>XRvW91WMJg</t>
  </si>
  <si>
    <t>2026-05-03T21:16:18.283Z</t>
  </si>
  <si>
    <t>tiVPBDLZ7r</t>
  </si>
  <si>
    <t>UpzQUXZYz8</t>
  </si>
  <si>
    <t>2026-05-03T21:27:32.999Z</t>
  </si>
  <si>
    <t>1AkxeGD7Ng</t>
  </si>
  <si>
    <t>k9BoVcmDgh</t>
  </si>
  <si>
    <t>2026-05-03T22:00:12.858Z</t>
  </si>
  <si>
    <t>W4ZMo8GSJv</t>
  </si>
  <si>
    <t>HYqB6B4gpK</t>
  </si>
  <si>
    <t>2026-05-03T22:04:22.150Z</t>
  </si>
  <si>
    <t>Lorehold, Prismari</t>
  </si>
  <si>
    <t>xWgAvfYupf</t>
  </si>
  <si>
    <t>Georgii C</t>
  </si>
  <si>
    <t>Yasunori#84481</t>
  </si>
  <si>
    <t>1275809694321213532</t>
  </si>
  <si>
    <t>NPx9Lu87W3</t>
  </si>
  <si>
    <t>Treasure producing cards</t>
  </si>
  <si>
    <t>2026-05-03T22:43:04.362Z</t>
  </si>
  <si>
    <t>fodYMGdkEE</t>
  </si>
  <si>
    <t>PrUNfYQygF</t>
  </si>
  <si>
    <t>2026-05-03T22:50:15.464Z</t>
  </si>
  <si>
    <t>hHvfevuVww</t>
  </si>
  <si>
    <t>S1drMYNRfN</t>
  </si>
  <si>
    <t>2026-05-03T22:59:30.276Z</t>
  </si>
  <si>
    <t>Mrp2mo44wo</t>
  </si>
  <si>
    <t>LWDgLn1nKe</t>
  </si>
  <si>
    <t>2026-05-03T23:18:56.039Z</t>
  </si>
  <si>
    <t>pkhLy6gpbr</t>
  </si>
  <si>
    <t>ejsYC2edUZ</t>
  </si>
  <si>
    <t>2026-05-03T23:28:10.446Z</t>
  </si>
  <si>
    <t>baF9qb2AfA</t>
  </si>
  <si>
    <t>SMXoUSzAXK</t>
  </si>
  <si>
    <t>2026-05-03T23:51:39.234Z</t>
  </si>
  <si>
    <t>MZDGJZB1HJ</t>
  </si>
  <si>
    <t>J2xxevh3pv</t>
  </si>
  <si>
    <t>2026-05-04T00:25:19.849Z</t>
  </si>
  <si>
    <t>xe2W8ZKfNS</t>
  </si>
  <si>
    <t>VBvBxA4tDJ</t>
  </si>
  <si>
    <t>2026-05-04T00:41:42.480Z</t>
  </si>
  <si>
    <t>vv23KZvPNk</t>
  </si>
  <si>
    <t>QapTAxG6r9</t>
  </si>
  <si>
    <t>2026-05-04T00:55:01.450Z</t>
  </si>
  <si>
    <t>4rvR84zwah</t>
  </si>
  <si>
    <t>e4aseYsLca</t>
  </si>
  <si>
    <t>2026-05-04T01:01:12.384Z</t>
  </si>
  <si>
    <t>wBtsHKMnWw</t>
  </si>
  <si>
    <t>Cfdn7GQMUp</t>
  </si>
  <si>
    <t>Restricted to standard legal, only five cards in graduate search</t>
  </si>
  <si>
    <t>2026-05-04T01:04:19.594Z</t>
  </si>
  <si>
    <t>UXELXPTUbo</t>
  </si>
  <si>
    <t>G8MmC82RdT</t>
  </si>
  <si>
    <t>2026-05-04T01:15:36.181Z</t>
  </si>
  <si>
    <t>UQYkd1Y7qx</t>
  </si>
  <si>
    <t>gmZJqSXkfj</t>
  </si>
  <si>
    <t>2026-05-04T02:02:34.465Z</t>
  </si>
  <si>
    <t>oY1RDvSDjZ</t>
  </si>
  <si>
    <t>YGTkGNs6ou</t>
  </si>
  <si>
    <t>Spirits</t>
  </si>
  <si>
    <t>2026-05-04T02:14:51.996Z</t>
  </si>
  <si>
    <t>iL3AKiwbgs</t>
  </si>
  <si>
    <t>Mj8x7Pzug9</t>
  </si>
  <si>
    <t>2026-05-04T02:23:05.963Z</t>
  </si>
  <si>
    <t>wJhzpqawLF</t>
  </si>
  <si>
    <t>ZL2KkoXvbr</t>
  </si>
  <si>
    <t>2026-05-04T02:24:11.222Z</t>
  </si>
  <si>
    <t>9rrDr6e4VD</t>
  </si>
  <si>
    <t>EBE6qZVDsy</t>
  </si>
  <si>
    <t>2026-05-04T02:52:47.107Z</t>
  </si>
  <si>
    <t>Ut4TqZLv5D</t>
  </si>
  <si>
    <t>TpL7KpkH9q</t>
  </si>
  <si>
    <t>2026-05-04T03:08:07.811Z</t>
  </si>
  <si>
    <t>wBHpEBzLWV</t>
  </si>
  <si>
    <t>pUn41m51ZN</t>
  </si>
  <si>
    <t>2026-05-04T03:11:15.113Z</t>
  </si>
  <si>
    <t>rLoSrLMpJT</t>
  </si>
  <si>
    <t>RixfbQuWWk</t>
  </si>
  <si>
    <t>2026-05-04T03:17:25.553Z</t>
  </si>
  <si>
    <t>TCRUopSvG2</t>
  </si>
  <si>
    <t>FCaU3Feceq</t>
  </si>
  <si>
    <t>2026-05-04T03:22:35.547Z</t>
  </si>
  <si>
    <t>VguXqSE4nT</t>
  </si>
  <si>
    <t>ELanfoWk1t</t>
  </si>
  <si>
    <t>2026-05-04T03:22:39.487Z</t>
  </si>
  <si>
    <t>bNGPHSScJq</t>
  </si>
  <si>
    <t>qZjFEx8UjC</t>
  </si>
  <si>
    <t>2026-05-04T03:27:48.659Z</t>
  </si>
  <si>
    <t>YaaZhwUyqC</t>
  </si>
  <si>
    <t>He7QDR3hrX</t>
  </si>
  <si>
    <t>2026-05-04T03:29:54.752Z</t>
  </si>
  <si>
    <t>ruVCukYk3K</t>
  </si>
  <si>
    <t>None</t>
  </si>
  <si>
    <t>rMsoht8rqx</t>
  </si>
  <si>
    <t>2026-05-04T03:48:19.220Z</t>
  </si>
  <si>
    <t>mAwDavQRxy</t>
  </si>
  <si>
    <t>vdrJmvpQ83</t>
  </si>
  <si>
    <t>2026-05-04T03:55:32.218Z</t>
  </si>
  <si>
    <t>zPyf6GiCqT</t>
  </si>
  <si>
    <t>v7sEzHrtYQ</t>
  </si>
  <si>
    <t>2026-05-04T04:48:34.555Z</t>
  </si>
  <si>
    <t>7yPTGXD1gW</t>
  </si>
  <si>
    <t>f2ao7jYxuS</t>
  </si>
  <si>
    <t>2026-05-04T09:42:14.701Z</t>
  </si>
  <si>
    <t>P5fYVvNAS4</t>
  </si>
  <si>
    <t>dWYj6Y9MyG</t>
  </si>
  <si>
    <t>2026-05-04T11:15:03.994Z</t>
  </si>
  <si>
    <t>UR gold cards</t>
  </si>
  <si>
    <t>K211np2PXt</t>
  </si>
  <si>
    <t>dpXD9Duw2Z</t>
  </si>
  <si>
    <t>2026-05-04T20:04:57.829Z</t>
  </si>
  <si>
    <t>cbxn4gCg3U</t>
  </si>
  <si>
    <t>pPynGLJTMX</t>
  </si>
  <si>
    <t>2026-05-04T20:20:22.326Z</t>
  </si>
  <si>
    <t>uFHMNMYNYw</t>
  </si>
  <si>
    <t>X65a5Mf7Gf</t>
  </si>
  <si>
    <t>2026-05-04T20:23:31.904Z</t>
  </si>
  <si>
    <t>M3BNCKbsZh</t>
  </si>
  <si>
    <t>sdEPuapqus</t>
  </si>
  <si>
    <t>2026-05-04T20:30:44.468Z</t>
  </si>
  <si>
    <t>nBPsWnDA7P</t>
  </si>
  <si>
    <t>QEJv54T8LS</t>
  </si>
  <si>
    <t>2026-05-04T20:37:59.443Z</t>
  </si>
  <si>
    <t>JBKrQkW7iZ</t>
  </si>
  <si>
    <t>MXd9UMuuFk</t>
  </si>
  <si>
    <t>2026-05-04T20:52:22.675Z</t>
  </si>
  <si>
    <t>QJB9V6dpX8</t>
  </si>
  <si>
    <t>zPhDbo7c3C</t>
  </si>
  <si>
    <t>2026-05-04T21:22:11.441Z</t>
  </si>
  <si>
    <t>vrUEKeeswj</t>
  </si>
  <si>
    <t>LtXD6KnaFa</t>
  </si>
  <si>
    <t>2026-05-04T21:25:20.662Z</t>
  </si>
  <si>
    <t>xEo4QFtbjN</t>
  </si>
  <si>
    <t>1PHDzQ1tt2</t>
  </si>
  <si>
    <t>2026-05-04T21:26:29.633Z</t>
  </si>
  <si>
    <t>MJ328AQ9cX</t>
  </si>
  <si>
    <t>jtoj3BDv3q</t>
  </si>
  <si>
    <t>2026-05-04T21:29:45.439Z</t>
  </si>
  <si>
    <t>z5RKscMCZf</t>
  </si>
  <si>
    <t>o49GRAay1o</t>
  </si>
  <si>
    <t>Grace B</t>
  </si>
  <si>
    <t>Frogies44#31372</t>
  </si>
  <si>
    <t>171393771924226048</t>
  </si>
  <si>
    <t>2026-05-04T23:20:35.480Z</t>
  </si>
  <si>
    <t>geAKqPsZzx</t>
  </si>
  <si>
    <t>MJk9cQCJUm</t>
  </si>
  <si>
    <t>2026-05-04T23:34:57.649Z</t>
  </si>
  <si>
    <t>FmimjcBGw2</t>
  </si>
  <si>
    <t>W92Ri585SL</t>
  </si>
  <si>
    <t>2026-05-04T23:40:05.490Z</t>
  </si>
  <si>
    <t>Spells that can be cast for more than their mana value</t>
  </si>
  <si>
    <t>FAEkBMTWn9</t>
  </si>
  <si>
    <t>kDcPm32Gp6</t>
  </si>
  <si>
    <t>2026-05-04T23:52:22.487Z</t>
  </si>
  <si>
    <t>p9TRfq6spa</t>
  </si>
  <si>
    <t>b2cjon3pMT</t>
  </si>
  <si>
    <t>2026-05-05T00:09:43.046Z</t>
  </si>
  <si>
    <t>fs6Edq1FW5</t>
  </si>
  <si>
    <t>Vj3VmMNgqv</t>
  </si>
  <si>
    <t>2026-05-05T01:01:35.602Z</t>
  </si>
  <si>
    <t>dBiAMJWSAU</t>
  </si>
  <si>
    <t>KPA9iShTSV</t>
  </si>
  <si>
    <t>2026-05-05T01:23:00.782Z</t>
  </si>
  <si>
    <t>ELVTh2ZPrq</t>
  </si>
  <si>
    <t>EsBUkNrrji</t>
  </si>
  <si>
    <t>2026-05-05T01:31:11.185Z</t>
  </si>
  <si>
    <t>vmC8MuoDuT</t>
  </si>
  <si>
    <t>RCJq33BuPF</t>
  </si>
  <si>
    <t>2026-05-05T01:46:28.356Z</t>
  </si>
  <si>
    <t>RKoaHBEJfS</t>
  </si>
  <si>
    <t>7J7apwPaLk</t>
  </si>
  <si>
    <t>2026-05-05T01:53:38.636Z</t>
  </si>
  <si>
    <t>RbJHW8msM6</t>
  </si>
  <si>
    <t>BU2CDCyyS5</t>
  </si>
  <si>
    <t>2026-05-05T02:16:05.843Z</t>
  </si>
  <si>
    <t>WvzCHhtWmE</t>
  </si>
  <si>
    <t>1mJ1zaesUa</t>
  </si>
  <si>
    <t>2026-05-05T02:25:19.200Z</t>
  </si>
  <si>
    <t>P57QWjZbwC</t>
  </si>
  <si>
    <t>LJvYaLscDj</t>
  </si>
  <si>
    <t>2026-05-05T02:31:28.680Z</t>
  </si>
  <si>
    <t>UufnZTDgMq</t>
  </si>
  <si>
    <t>vVo1kD5ASE</t>
  </si>
  <si>
    <t>2026-05-05T02:37:37.431Z</t>
  </si>
  <si>
    <t>hfRMtJC6sD</t>
  </si>
  <si>
    <t>tmPfsz2tfS</t>
  </si>
  <si>
    <t>2026-05-05T02:44:48.112Z</t>
  </si>
  <si>
    <t>fkUjrm9ZgF</t>
  </si>
  <si>
    <t>q9kaK7Bofc</t>
  </si>
  <si>
    <t>2026-05-05T03:00:21.146Z</t>
  </si>
  <si>
    <t>QZ81VLSkrv</t>
  </si>
  <si>
    <t>jEeampdDHe</t>
  </si>
  <si>
    <t>2026-05-05T03:01:27.507Z</t>
  </si>
  <si>
    <t>wGkSw979z9</t>
  </si>
  <si>
    <t>8LuyK5L6gQ</t>
  </si>
  <si>
    <t>2026-05-05T03:03:32.923Z</t>
  </si>
  <si>
    <t>imtUny7QYp</t>
  </si>
  <si>
    <t>wVTF83oi8W</t>
  </si>
  <si>
    <t>2026-05-05T03:23:53.538Z</t>
  </si>
  <si>
    <t>bK7ebV6w7L</t>
  </si>
  <si>
    <t>sy7UKXUKYP</t>
  </si>
  <si>
    <t>2026-05-05T03:27:02.882Z</t>
  </si>
  <si>
    <t>e1VwY2x5M5</t>
  </si>
  <si>
    <t>1ZF5pQUzHf</t>
  </si>
  <si>
    <t>2026-05-05T04:08:42.171Z</t>
  </si>
  <si>
    <t>Elementals</t>
  </si>
  <si>
    <t>LyXord4oce</t>
  </si>
  <si>
    <t>eFJoGoYv2R</t>
  </si>
  <si>
    <t>2026-05-05T04:10:47.620Z</t>
  </si>
  <si>
    <t>G5Y5gxWFw9</t>
  </si>
  <si>
    <t>1ckHHip1ZT</t>
  </si>
  <si>
    <t>2026-05-05T04:22:00.274Z</t>
  </si>
  <si>
    <t>HXRpZp68HX</t>
  </si>
  <si>
    <t>vR8a3wrq8S</t>
  </si>
  <si>
    <t>2026-05-05T04:42:21.023Z</t>
  </si>
  <si>
    <t>YKZ3u7tSYB</t>
  </si>
  <si>
    <t>X8CdMPu7yY</t>
  </si>
  <si>
    <t>2026-05-05T04:49:31.559Z</t>
  </si>
  <si>
    <t>ZDhojLcwhF</t>
  </si>
  <si>
    <t>SEpvH1jiAR</t>
  </si>
  <si>
    <t>2026-05-05T05:29:08.973Z</t>
  </si>
  <si>
    <t>VtVe3kTog4</t>
  </si>
  <si>
    <t>yYT9AqUa9e</t>
  </si>
  <si>
    <t>2026-05-05T05:56:37.142Z</t>
  </si>
  <si>
    <t>HYHFk8B2JQ</t>
  </si>
  <si>
    <t>G3ZvPLKxBy</t>
  </si>
  <si>
    <t>2026-05-05T06:19:01.958Z</t>
  </si>
  <si>
    <t>V8FokthcND</t>
  </si>
  <si>
    <t>J5EtHB9rEH</t>
  </si>
  <si>
    <t>2026-05-05T10:31:46.743Z</t>
  </si>
  <si>
    <t>ZbtrFbqZQ2</t>
  </si>
  <si>
    <t>yXCnEWCqh4</t>
  </si>
  <si>
    <t>2026-05-05T11:45:53.632Z</t>
  </si>
  <si>
    <t>mYf9hmDAcg</t>
  </si>
  <si>
    <t>R1eM7BuS7r</t>
  </si>
  <si>
    <t>2026-05-05T12:03:16.800Z</t>
  </si>
  <si>
    <t>Rb7mJS5TA3</t>
  </si>
  <si>
    <t>nxsiHEbYh1</t>
  </si>
  <si>
    <t>2026-05-05T12:18:35.554Z</t>
  </si>
  <si>
    <t>wrTKGUYdu3</t>
  </si>
  <si>
    <t>aB7tWnguTG</t>
  </si>
  <si>
    <t>2026-05-05T15:14:15.793Z</t>
  </si>
  <si>
    <t>p5SHKkq9SG</t>
  </si>
  <si>
    <t>1vMdbyeTTv</t>
  </si>
  <si>
    <t>2026-05-05T15:40:46.131Z</t>
  </si>
  <si>
    <t>LNZiCU83e3</t>
  </si>
  <si>
    <t>FWoPdmcova</t>
  </si>
  <si>
    <t>2026-05-05T15:41:52.588Z</t>
  </si>
  <si>
    <t>UMiJNuEhxt</t>
  </si>
  <si>
    <t>STX mystical archive</t>
  </si>
  <si>
    <t>yhWAKRokS8</t>
  </si>
  <si>
    <t>2026-05-05T15:42:00.328Z</t>
  </si>
  <si>
    <t>14e6Anx3YC</t>
  </si>
  <si>
    <t>3yba4hzJoF</t>
  </si>
  <si>
    <t>2026-05-05T16:25:44.471Z</t>
  </si>
  <si>
    <t>rJ65aZ437Y</t>
  </si>
  <si>
    <t>pVovh3frJH</t>
  </si>
  <si>
    <t>2026-05-05T16:29:51.053Z</t>
  </si>
  <si>
    <t>J3WqBAuZFo</t>
  </si>
  <si>
    <t>igTz1QqrB1</t>
  </si>
  <si>
    <t>2026-05-05T16:39:04.089Z</t>
  </si>
  <si>
    <t>G3W45QLNtZ</t>
  </si>
  <si>
    <t>K29erAVsJw</t>
  </si>
  <si>
    <t>2026-05-05T16:53:23.006Z</t>
  </si>
  <si>
    <t>bruK278ryy</t>
  </si>
  <si>
    <t>hCkvyKNaSM</t>
  </si>
  <si>
    <t>2026-05-05T17:08:39.590Z</t>
  </si>
  <si>
    <t>zWPFmzpwQs</t>
  </si>
  <si>
    <t>p9iQEmxqaw</t>
  </si>
  <si>
    <t>2026-05-05T17:16:50.478Z</t>
  </si>
  <si>
    <t>EVhZMnSdGF</t>
  </si>
  <si>
    <t>BXdBekNy6z</t>
  </si>
  <si>
    <t>2026-05-05T17:20:58.148Z</t>
  </si>
  <si>
    <t>rFuUw7Rq6d</t>
  </si>
  <si>
    <t>QDaypvegX7</t>
  </si>
  <si>
    <t>2026-05-05T17:32:14.914Z</t>
  </si>
  <si>
    <t>JjsV8PfPzx</t>
  </si>
  <si>
    <t>zi9kgBRtNK</t>
  </si>
  <si>
    <t>2026-05-05T17:47:33.387Z</t>
  </si>
  <si>
    <t>F4mPjuwhDT</t>
  </si>
  <si>
    <t>Why not open this up in terms of rarity? Lots of 'rare' reprints were common or uncommon originally, and some are just niche</t>
  </si>
  <si>
    <t>kz4UmHWL2G</t>
  </si>
  <si>
    <t>2026-05-05T17:56:44.620Z</t>
  </si>
  <si>
    <t>Graham H</t>
  </si>
  <si>
    <t>DireAvenger20#26958</t>
  </si>
  <si>
    <t>ekLmHjRpWj</t>
  </si>
  <si>
    <t>238388166732677120</t>
  </si>
  <si>
    <t>x81uhBbJPE</t>
  </si>
  <si>
    <t>2026-05-05T18:00:52.741Z</t>
  </si>
  <si>
    <t>TKbDp5dzGM</t>
  </si>
  <si>
    <t>iP7YuBzZmH</t>
  </si>
  <si>
    <t>2026-05-05T18:09:05.116Z</t>
  </si>
  <si>
    <t>TQCSxBdAWD</t>
  </si>
  <si>
    <t>GDn73ZxJZC</t>
  </si>
  <si>
    <t>2026-05-05T18:30:32.715Z</t>
  </si>
  <si>
    <t>Mana value 5+ instant and sorcery spells</t>
  </si>
  <si>
    <t>vZEHLUxDuz</t>
  </si>
  <si>
    <t>N1NYDqrTm3</t>
  </si>
  <si>
    <t>2026-05-05T18:38:46.287Z</t>
  </si>
  <si>
    <t>7UhGyUVfxZ</t>
  </si>
  <si>
    <t>a1pSqFUaP5</t>
  </si>
  <si>
    <t>2026-05-05T19:11:32.106Z</t>
  </si>
  <si>
    <t>uHVhcKwi2A</t>
  </si>
  <si>
    <t>UHjeJLvmQH</t>
  </si>
  <si>
    <t>2026-05-05T19:15:40.759Z</t>
  </si>
  <si>
    <t>RwwbxHTLzJ</t>
  </si>
  <si>
    <t>vGVtTsG3cK</t>
  </si>
  <si>
    <t>2026-05-05T19:20:52.070Z</t>
  </si>
  <si>
    <t>1MmhTAPZQH</t>
  </si>
  <si>
    <t>bH6pqjSvpf</t>
  </si>
  <si>
    <t>2026-05-05T19:21:58.240Z</t>
  </si>
  <si>
    <t>Q1Gu2X7B7y</t>
  </si>
  <si>
    <t>K7eRNuiV8F</t>
  </si>
  <si>
    <t>2026-05-05T19:25:05.672Z</t>
  </si>
  <si>
    <t>Sn27rCoHrp</t>
  </si>
  <si>
    <t>RPeU5W5Z5q</t>
  </si>
  <si>
    <t>2026-05-05T19:47:28.587Z</t>
  </si>
  <si>
    <t>LiqUDvghNK</t>
  </si>
  <si>
    <t>5G4TwEfdUP</t>
  </si>
  <si>
    <t>2026-05-05T20:14:56.298Z</t>
  </si>
  <si>
    <t>GU3NXrtKxm</t>
  </si>
  <si>
    <t>bHbMFQxtck</t>
  </si>
  <si>
    <t>2026-05-05T20:26:14.641Z</t>
  </si>
  <si>
    <t>m5k9x3db8A</t>
  </si>
  <si>
    <t>uqiWDdwYSt</t>
  </si>
  <si>
    <t>2026-05-05T20:36:34.269Z</t>
  </si>
  <si>
    <t>JNAaqW6io8</t>
  </si>
  <si>
    <t>DyKhbeLm9M</t>
  </si>
  <si>
    <t>2026-05-05T20:57:09.020Z</t>
  </si>
  <si>
    <t>wbf9PobtKT</t>
  </si>
  <si>
    <t>FqBtWdeM8G</t>
  </si>
  <si>
    <t>2026-05-05T21:14:35.719Z</t>
  </si>
  <si>
    <t>f17y2FvB2P</t>
  </si>
  <si>
    <t>Du3wDzUVa5</t>
  </si>
  <si>
    <t>2026-05-05T21:19:47.653Z</t>
  </si>
  <si>
    <t>Wa7xEaMb5U</t>
  </si>
  <si>
    <t>ktojuNTrsE</t>
  </si>
  <si>
    <t>2026-05-05T21:30:06.438Z</t>
  </si>
  <si>
    <t>mnsMS5LSjT</t>
  </si>
  <si>
    <t>372RFQoT7r</t>
  </si>
  <si>
    <t>2026-05-05T21:51:39.181Z</t>
  </si>
  <si>
    <t>dnMoNjuab6</t>
  </si>
  <si>
    <t>tEjdT6Le3D</t>
  </si>
  <si>
    <t>2026-05-05T21:58:54.947Z</t>
  </si>
  <si>
    <t>Yn1UMDvQPD</t>
  </si>
  <si>
    <t>ySHX2Sy62B</t>
  </si>
  <si>
    <t>2026-05-05T22:19:29.729Z</t>
  </si>
  <si>
    <t>6L5uYMj2ft</t>
  </si>
  <si>
    <t>RDrE49fbip</t>
  </si>
  <si>
    <t>2026-05-05T22:24:40.680Z</t>
  </si>
  <si>
    <t xml:space="preserve">STX Prismari cards </t>
  </si>
  <si>
    <t>mv5xXZFUMK</t>
  </si>
  <si>
    <t>hHXWfc48QU</t>
  </si>
  <si>
    <t>2026-05-05T23:04:39.065Z</t>
  </si>
  <si>
    <t>DEtXJ4apsU</t>
  </si>
  <si>
    <t>afVCoXSHLR</t>
  </si>
  <si>
    <t>2026-05-05T23:39:23.704Z</t>
  </si>
  <si>
    <t>Ps32keEQhb</t>
  </si>
  <si>
    <t>531mAX7Tvo</t>
  </si>
  <si>
    <t>2026-05-05T23:41:31.361Z</t>
  </si>
  <si>
    <t>Lf336XUSez</t>
  </si>
  <si>
    <t>X1abvLuG6c</t>
  </si>
  <si>
    <t>2026-05-06T00:13:13.003Z</t>
  </si>
  <si>
    <t>1wyPuVapga</t>
  </si>
  <si>
    <t>GuaDB9yhUz</t>
  </si>
  <si>
    <t>2026-05-06T00:35:43.290Z</t>
  </si>
  <si>
    <t>xircsB9uDy</t>
  </si>
  <si>
    <t>pSt3ESNYhM</t>
  </si>
  <si>
    <t>2026-05-06T00:35:47.220Z</t>
  </si>
  <si>
    <t>d19n2VwuEJ</t>
  </si>
  <si>
    <t>vAEMyggffa</t>
  </si>
  <si>
    <t>2026-05-06T00:39:57.362Z</t>
  </si>
  <si>
    <t>TBGjzQzumF</t>
  </si>
  <si>
    <t>7uZE664w86</t>
  </si>
  <si>
    <t>2026-05-06T00:55:21.078Z</t>
  </si>
  <si>
    <t>XATTuyLDPi</t>
  </si>
  <si>
    <t>GjfLpjuWVh</t>
  </si>
  <si>
    <t>2026-05-06T01:10:45.445Z</t>
  </si>
  <si>
    <t>UKXgufS3He</t>
  </si>
  <si>
    <t>AUo99w2uWR</t>
  </si>
  <si>
    <t>2026-05-06T01:10:50.045Z</t>
  </si>
  <si>
    <t>te4yYbdsqn</t>
  </si>
  <si>
    <t>hushXgtY1S</t>
  </si>
  <si>
    <t>2026-05-06T01:24:12.232Z</t>
  </si>
  <si>
    <t>ehMydimtVX</t>
  </si>
  <si>
    <t>eFXwNfJfBd</t>
  </si>
  <si>
    <t>2026-05-06T01:30:26.317Z</t>
  </si>
  <si>
    <t>uXhJpWZrpn</t>
  </si>
  <si>
    <t>LaKdeW1F6s</t>
  </si>
  <si>
    <t>2026-05-06T01:30:33.093Z</t>
  </si>
  <si>
    <t>wB3R7fCppn</t>
  </si>
  <si>
    <t>6hWJ1Eb1J4</t>
  </si>
  <si>
    <t>2026-05-06T01:31:38.557Z</t>
  </si>
  <si>
    <t>rX4P4LUZmQ</t>
  </si>
  <si>
    <t>Xu9YM9RLcZ</t>
  </si>
  <si>
    <t>2026-05-06T02:02:25.928Z</t>
  </si>
  <si>
    <t>Prowess / magecraft</t>
  </si>
  <si>
    <t>djn5FZU7Pn</t>
  </si>
  <si>
    <t>4QirSFbiry</t>
  </si>
  <si>
    <t>2026-05-06T02:02:30.211Z</t>
  </si>
  <si>
    <t>GK9QX8no4k</t>
  </si>
  <si>
    <t>CBieNUFD1g</t>
  </si>
  <si>
    <t>2026-05-06T02:10:46.448Z</t>
  </si>
  <si>
    <t>46Lp1E9Knc</t>
  </si>
  <si>
    <t>8f7MoWE1BA</t>
  </si>
  <si>
    <t>2026-05-06T02:11:52.055Z</t>
  </si>
  <si>
    <t>YjFTcK6rF3</t>
  </si>
  <si>
    <t>i9pdVWWGLE</t>
  </si>
  <si>
    <t>2026-05-06T02:17:03.143Z</t>
  </si>
  <si>
    <t>H2FXdtJh5E</t>
  </si>
  <si>
    <t>Mkrsj9qAgE</t>
  </si>
  <si>
    <t>2026-05-06T02:30:25.764Z</t>
  </si>
  <si>
    <t>hKeWunUoUV</t>
  </si>
  <si>
    <t>SCkZmiaMe9</t>
  </si>
  <si>
    <t>2026-05-06T02:35:37.102Z</t>
  </si>
  <si>
    <t>Pmuiyz2Mmh</t>
  </si>
  <si>
    <t>kicLynuypJ</t>
  </si>
  <si>
    <t>2026-05-06T02:44:52.087Z</t>
  </si>
  <si>
    <t>59AyU26FzB</t>
  </si>
  <si>
    <t>3qX1BmiMX3</t>
  </si>
  <si>
    <t>2026-05-06T02:56:12.471Z</t>
  </si>
  <si>
    <t>ScQqS1d9uu</t>
  </si>
  <si>
    <t>joQDCbaJez</t>
  </si>
  <si>
    <t>2026-05-06T03:01:27.145Z</t>
  </si>
  <si>
    <t>EQKmrKNMn4</t>
  </si>
  <si>
    <t>zUf1oMnwfu</t>
  </si>
  <si>
    <t>2026-05-06T03:28:07.376Z</t>
  </si>
  <si>
    <t>5PtfeiZ6kG</t>
  </si>
  <si>
    <t>1TmquNpHLA</t>
  </si>
  <si>
    <t>2026-05-06T03:36:26.071Z</t>
  </si>
  <si>
    <t>Greg B</t>
  </si>
  <si>
    <t>n4c8M8Zief</t>
  </si>
  <si>
    <t>Piloswine#16597</t>
  </si>
  <si>
    <t>205841364959625217</t>
  </si>
  <si>
    <t>xKSPro9jpf</t>
  </si>
  <si>
    <t>2026-05-06T03:51:56.446Z</t>
  </si>
  <si>
    <t>VarwAUkPbP</t>
  </si>
  <si>
    <t>FEPhg5P9vz</t>
  </si>
  <si>
    <t>2026-05-06T03:53:01.127Z</t>
  </si>
  <si>
    <t>6vz1wfMVCE</t>
  </si>
  <si>
    <t>SKFJiQ1KYk</t>
  </si>
  <si>
    <t>2026-05-06T04:16:42.418Z</t>
  </si>
  <si>
    <t>khC6L4TVbr</t>
  </si>
  <si>
    <t>Sv2ZQXbDNF</t>
  </si>
  <si>
    <t>2026-05-06T04:31:03.715Z</t>
  </si>
  <si>
    <t xml:space="preserve">Damage spells </t>
  </si>
  <si>
    <t>UHcwXaPUYf</t>
  </si>
  <si>
    <t>ALNbup3Tw4</t>
  </si>
  <si>
    <t>2026-05-06T04:44:23.754Z</t>
  </si>
  <si>
    <t>9KmzVo2zaM</t>
  </si>
  <si>
    <t>82hJmMoF24</t>
  </si>
  <si>
    <t>2026-05-06T04:46:30.555Z</t>
  </si>
  <si>
    <t>wxW3jGLfR5</t>
  </si>
  <si>
    <t>pFcbuHAqNu</t>
  </si>
  <si>
    <t>2026-05-06T11:38:08.429Z</t>
  </si>
  <si>
    <t>EZKHsiGqna</t>
  </si>
  <si>
    <t>cSAz5hc5yh</t>
  </si>
  <si>
    <t>2026-05-06T12:01:42.917Z</t>
  </si>
  <si>
    <t>aryRn1b7sg</t>
  </si>
  <si>
    <t>FzgLpD6neX</t>
  </si>
  <si>
    <t>2026-05-06T14:40:31.609Z</t>
  </si>
  <si>
    <t>uiZee1idDk</t>
  </si>
  <si>
    <t>XS7UgqYg6t</t>
  </si>
  <si>
    <t>2026-05-06T15:02:24.754Z</t>
  </si>
  <si>
    <t>HNGNgvvDoK</t>
  </si>
  <si>
    <t>Z8aNUkftkh</t>
  </si>
  <si>
    <t>2026-05-06T15:22:54.493Z</t>
  </si>
  <si>
    <t>cQw3qdFCVM</t>
  </si>
  <si>
    <t>GGyryKTxh3</t>
  </si>
  <si>
    <t>2026-05-06T15:23:59.886Z</t>
  </si>
  <si>
    <t>QGNiMeJPbZ</t>
  </si>
  <si>
    <t>7rVqehhziJ</t>
  </si>
  <si>
    <t>2026-05-06T15:36:21.968Z</t>
  </si>
  <si>
    <t>kgrgz8oqTy</t>
  </si>
  <si>
    <t>BsYLN2cG64</t>
  </si>
  <si>
    <t>2026-05-06T15:51:45.540Z</t>
  </si>
  <si>
    <t>65znr5PHex</t>
  </si>
  <si>
    <t>nbFQwqwbd6</t>
  </si>
  <si>
    <t>2026-05-06T16:26:33.508Z</t>
  </si>
  <si>
    <t>s5BRbykr4E</t>
  </si>
  <si>
    <t>kCQpU4cUyx</t>
  </si>
  <si>
    <t>2026-05-06T16:49:09.204Z</t>
  </si>
  <si>
    <t>LoEX2F518f</t>
  </si>
  <si>
    <t>atUb4jkFpz</t>
  </si>
  <si>
    <t>2026-05-06T16:56:23.370Z</t>
  </si>
  <si>
    <t>yAn94y1tgP</t>
  </si>
  <si>
    <t>BE4oXBR2XK</t>
  </si>
  <si>
    <t>2026-05-06T17:00:36.988Z</t>
  </si>
  <si>
    <t>fUxCTMDrNE</t>
  </si>
  <si>
    <t>kchSKtsoun</t>
  </si>
  <si>
    <t>2026-05-06T17:13:03.442Z</t>
  </si>
  <si>
    <t>irz9ht9tD1</t>
  </si>
  <si>
    <t>UWC8j8zp8k</t>
  </si>
  <si>
    <t>2026-05-06T17:31:34.703Z</t>
  </si>
  <si>
    <t>xXANw9NVpk</t>
  </si>
  <si>
    <t>QM1dmHHkHY</t>
  </si>
  <si>
    <t>2026-05-06T17:49:30.499Z</t>
  </si>
  <si>
    <t>pGi3EKcy3p</t>
  </si>
  <si>
    <t>UG gold cards</t>
  </si>
  <si>
    <t>M177UeFbY3</t>
  </si>
  <si>
    <t>2026-05-06T18:05:24.238Z</t>
  </si>
  <si>
    <t>QeMZVxSebX</t>
  </si>
  <si>
    <t>MT8PN6uQkG</t>
  </si>
  <si>
    <t>2026-05-06T18:28:07.810Z</t>
  </si>
  <si>
    <t>ZHEtmrCRNS</t>
  </si>
  <si>
    <t>WZsNhBVqwy</t>
  </si>
  <si>
    <t>2026-05-06T19:21:00.229Z</t>
  </si>
  <si>
    <t>F9UL4sj7mQ</t>
  </si>
  <si>
    <t>z8t3kkt79D</t>
  </si>
  <si>
    <t>2026-05-06T19:31:19.516Z</t>
  </si>
  <si>
    <t>kTPXSMFQim</t>
  </si>
  <si>
    <t>ret5DAouzC</t>
  </si>
  <si>
    <t>2026-05-06T19:45:57.503Z</t>
  </si>
  <si>
    <t>aMotDPYjVr</t>
  </si>
  <si>
    <t>SQJZ6fKewu</t>
  </si>
  <si>
    <t>2026-05-06T19:54:34.660Z</t>
  </si>
  <si>
    <t>tje8jfTGFR</t>
  </si>
  <si>
    <t>b6fw5iMZAD</t>
  </si>
  <si>
    <t>2026-05-06T20:15:05.920Z</t>
  </si>
  <si>
    <t>Xj4f8u47z4</t>
  </si>
  <si>
    <t>fqotnmErP9</t>
  </si>
  <si>
    <t>2026-05-06T20:22:21.843Z</t>
  </si>
  <si>
    <t>SZnqcczCxm</t>
  </si>
  <si>
    <t>R324RiEu7d</t>
  </si>
  <si>
    <t>2026-05-06T20:35:44.558Z</t>
  </si>
  <si>
    <t>fGygv9GPNg</t>
  </si>
  <si>
    <t>RhYBbK6f91</t>
  </si>
  <si>
    <t>2026-05-06T20:43:59.223Z</t>
  </si>
  <si>
    <t>TvHqNqhE7x</t>
  </si>
  <si>
    <t>cRtD19qj8u</t>
  </si>
  <si>
    <t>2026-05-06T21:02:31.055Z</t>
  </si>
  <si>
    <t>6BRM3dzEeD</t>
  </si>
  <si>
    <t>kh3NFiossx</t>
  </si>
  <si>
    <t>2026-05-06T21:14:52.054Z</t>
  </si>
  <si>
    <t>DRmSwDcdvt</t>
  </si>
  <si>
    <t>PN9C5qcGy6</t>
  </si>
  <si>
    <t>2026-05-06T21:22:05.619Z</t>
  </si>
  <si>
    <t>NYqfLV862s</t>
  </si>
  <si>
    <t>iWtTTdEsUt</t>
  </si>
  <si>
    <t>2026-05-06T21:31:21.167Z</t>
  </si>
  <si>
    <t>M9Hn5Gv7z9</t>
  </si>
  <si>
    <t>H86BT3GVn2</t>
  </si>
  <si>
    <t>X spells</t>
  </si>
  <si>
    <t>2026-05-06T21:36:34.789Z</t>
  </si>
  <si>
    <t>QicLvCFZUm</t>
  </si>
  <si>
    <t>f2cuDHnBrv</t>
  </si>
  <si>
    <t>2026-05-06T22:10:22.760Z</t>
  </si>
  <si>
    <t>Mj7WvWbAB2</t>
  </si>
  <si>
    <t>3TYTpeat8f</t>
  </si>
  <si>
    <t>2026-05-06T22:33:36.029Z</t>
  </si>
  <si>
    <t>P9Ky7TaPaV</t>
  </si>
  <si>
    <t>jtv5xy1Sqq</t>
  </si>
  <si>
    <t>2026-05-06T22:41:50.972Z</t>
  </si>
  <si>
    <t>jBZ9wVwgzm</t>
  </si>
  <si>
    <t>rJcMj4Unxz</t>
  </si>
  <si>
    <t>2026-05-06T22:54:10.500Z</t>
  </si>
  <si>
    <t>HpG8tSD7Eg</t>
  </si>
  <si>
    <t>oa4qBkJ8qY</t>
  </si>
  <si>
    <t>2026-05-06T23:08:38.194Z</t>
  </si>
  <si>
    <t>uCTmGZTWgC</t>
  </si>
  <si>
    <t>7XBqJNQRcz</t>
  </si>
  <si>
    <t>2026-05-06T23:29:08.351Z</t>
  </si>
  <si>
    <t>uMqxcyqRww</t>
  </si>
  <si>
    <t>a7YsS6c68S</t>
  </si>
  <si>
    <t>2026-05-06T23:48:35.469Z</t>
  </si>
  <si>
    <t>zRzUfVcbT3</t>
  </si>
  <si>
    <t>oEgEECfYdu</t>
  </si>
  <si>
    <t>2026-05-06T23:54:47.072Z</t>
  </si>
  <si>
    <t>uoUvxDmWKc</t>
  </si>
  <si>
    <t>Gregory C</t>
  </si>
  <si>
    <t>EUk1x5cMNk</t>
  </si>
  <si>
    <t>BigChase#15341</t>
  </si>
  <si>
    <t>2026-05-06T23:55:53.983Z</t>
  </si>
  <si>
    <t>214966642680135683</t>
  </si>
  <si>
    <t>sm2kWV9Hg2</t>
  </si>
  <si>
    <t>LY1Ypq9GQD</t>
  </si>
  <si>
    <t>2026-05-07T00:00:05.055Z</t>
  </si>
  <si>
    <t>se91LTrgJT</t>
  </si>
  <si>
    <t>tFFsYNnysj</t>
  </si>
  <si>
    <t>2026-05-07T00:20:36.347Z</t>
  </si>
  <si>
    <t>w5Sh4tbYUJ</t>
  </si>
  <si>
    <t>AuUG86fasM</t>
  </si>
  <si>
    <t>2026-05-07T00:36:05.402Z</t>
  </si>
  <si>
    <t>USgEPxsYpf</t>
  </si>
  <si>
    <t>bRpoYJKBZ1</t>
  </si>
  <si>
    <t>2026-05-07T00:44:19.161Z</t>
  </si>
  <si>
    <t>nLUzDHWCcN</t>
  </si>
  <si>
    <t>VJYoFsbnUQ</t>
  </si>
  <si>
    <t>2026-05-07T00:45:24.629Z</t>
  </si>
  <si>
    <t>yyCpdwtzLZ</t>
  </si>
  <si>
    <t>+1/+1 Counter matters</t>
  </si>
  <si>
    <t>bQrt5MMwv7</t>
  </si>
  <si>
    <t>2026-05-07T00:55:42.744Z</t>
  </si>
  <si>
    <t>6k6H59XXAY</t>
  </si>
  <si>
    <t>v3oaQ373mD</t>
  </si>
  <si>
    <t>2026-05-07T01:01:59.006Z</t>
  </si>
  <si>
    <t>kcJPWG3JgF</t>
  </si>
  <si>
    <t>6gcx1pfi4F</t>
  </si>
  <si>
    <t>2026-05-07T01:07:10.377Z</t>
  </si>
  <si>
    <t>PMR89JrFxh</t>
  </si>
  <si>
    <t>CokNcXDVdQ</t>
  </si>
  <si>
    <t>2026-05-07T01:29:43.320Z</t>
  </si>
  <si>
    <t>82m6uASi5Z</t>
  </si>
  <si>
    <t>iBFx4eBCBV</t>
  </si>
  <si>
    <t>2026-05-07T01:32:52.718Z</t>
  </si>
  <si>
    <t>EzxGpiki4L</t>
  </si>
  <si>
    <t>6GJSRMR3eC</t>
  </si>
  <si>
    <t>2026-05-07T01:38:03.997Z</t>
  </si>
  <si>
    <t>M8vRdcQtBH</t>
  </si>
  <si>
    <t>PBmt6HHcpD</t>
  </si>
  <si>
    <t>2026-05-07T01:42:12.777Z</t>
  </si>
  <si>
    <t>9mY7MViyX2</t>
  </si>
  <si>
    <t>bEhBTV22WE</t>
  </si>
  <si>
    <t>2026-05-07T01:54:35.063Z</t>
  </si>
  <si>
    <t>DX5s2BeK6j</t>
  </si>
  <si>
    <t>pExsL1XVwC</t>
  </si>
  <si>
    <t>2026-05-07T02:01:48.999Z</t>
  </si>
  <si>
    <t>x8rfMP1faa</t>
  </si>
  <si>
    <t>bm1c187TAQ</t>
  </si>
  <si>
    <t>2026-05-07T02:04:57.749Z</t>
  </si>
  <si>
    <t>E94mbHSWnH</t>
  </si>
  <si>
    <t>JF9jTe3ggp</t>
  </si>
  <si>
    <t>2026-05-07T02:08:11.186Z</t>
  </si>
  <si>
    <t>XYKFRUrxay</t>
  </si>
  <si>
    <t>YeM1YecZYR</t>
  </si>
  <si>
    <t>2026-05-07T02:11:22.408Z</t>
  </si>
  <si>
    <t>mUX1PBQGzY</t>
  </si>
  <si>
    <t>RHf5PNanVL</t>
  </si>
  <si>
    <t>2026-05-07T02:20:38.564Z</t>
  </si>
  <si>
    <t>xAiTPBkma4</t>
  </si>
  <si>
    <t>gpMTzr1CG3</t>
  </si>
  <si>
    <t>Quandrix (ish)</t>
  </si>
  <si>
    <t>2026-05-07T02:27:52.004Z</t>
  </si>
  <si>
    <t>GL6pcr5DnJ</t>
  </si>
  <si>
    <t>gqf47qtV2d</t>
  </si>
  <si>
    <t>2026-05-07T02:27:56.733Z</t>
  </si>
  <si>
    <t>MVyf4d4hKu</t>
  </si>
  <si>
    <t>pbCEPtjYbC</t>
  </si>
  <si>
    <t>2026-05-07T02:41:18.444Z</t>
  </si>
  <si>
    <t>FRBzn2eSMG</t>
  </si>
  <si>
    <t>vus2XSdJiZ</t>
  </si>
  <si>
    <t>2026-05-07T02:48:35.543Z</t>
  </si>
  <si>
    <t>Mana dorks</t>
  </si>
  <si>
    <t>kmZYWom1z1</t>
  </si>
  <si>
    <t>RocMchNaLJ</t>
  </si>
  <si>
    <t>2026-05-07T02:55:49.314Z</t>
  </si>
  <si>
    <t>B9xqet5nJN</t>
  </si>
  <si>
    <t>QPUjwKY5f1</t>
  </si>
  <si>
    <t>2026-05-07T03:06:09.658Z</t>
  </si>
  <si>
    <t>KyJh6q2WWL</t>
  </si>
  <si>
    <t>dUZfNy3Xqc</t>
  </si>
  <si>
    <t>2026-05-07T03:11:22.752Z</t>
  </si>
  <si>
    <t>vzkG45Scj1</t>
  </si>
  <si>
    <t>6G8u2644W5</t>
  </si>
  <si>
    <t>2026-05-07T03:21:40.042Z</t>
  </si>
  <si>
    <t>Vi5pv2ae7k</t>
  </si>
  <si>
    <t>iKXYzhPnJQ</t>
  </si>
  <si>
    <t>2026-05-07T03:35:03.384Z</t>
  </si>
  <si>
    <t>mtsqSpPeAW</t>
  </si>
  <si>
    <t>QV2fFWrqXV</t>
  </si>
  <si>
    <t>2026-05-07T04:08:57.757Z</t>
  </si>
  <si>
    <t>sBYLT7xZDY</t>
  </si>
  <si>
    <t>DFerJSZVkp</t>
  </si>
  <si>
    <t>2026-05-07T04:23:19.753Z</t>
  </si>
  <si>
    <t>x1WsMiX912</t>
  </si>
  <si>
    <t>nE5VajDc4Y</t>
  </si>
  <si>
    <t>2026-05-07T04:35:41.719Z</t>
  </si>
  <si>
    <t>FfbT6T4xY4</t>
  </si>
  <si>
    <t>SZ9K2TdgyV</t>
  </si>
  <si>
    <t>2026-05-07T04:46:02.429Z</t>
  </si>
  <si>
    <t>7Ap9Cvh1sV</t>
  </si>
  <si>
    <t>2C8f8WcdEG</t>
  </si>
  <si>
    <t>2026-05-07T05:02:29.315Z</t>
  </si>
  <si>
    <t>zVPQpUoB8p</t>
  </si>
  <si>
    <t>koMzz42ei8</t>
  </si>
  <si>
    <t>2026-05-07T05:11:49.457Z</t>
  </si>
  <si>
    <t>KcTcGpQ4xV</t>
  </si>
  <si>
    <t>decent number of non-green options</t>
  </si>
  <si>
    <t>PagH2A1NfE</t>
  </si>
  <si>
    <t>2026-05-07T05:24:10.192Z</t>
  </si>
  <si>
    <t>gjJ7QPah5A</t>
  </si>
  <si>
    <t>smTRfexqTY</t>
  </si>
  <si>
    <t>2026-05-07T10:33:53.956Z</t>
  </si>
  <si>
    <t>du7jQpxzkA</t>
  </si>
  <si>
    <t>sitRjwNPgH</t>
  </si>
  <si>
    <t>2026-05-07T12:46:10.980Z</t>
  </si>
  <si>
    <t>6W3FPV5BqR</t>
  </si>
  <si>
    <t>TP9PzuQqSn</t>
  </si>
  <si>
    <t>2026-05-07T12:55:43.591Z</t>
  </si>
  <si>
    <t>Dual lands</t>
  </si>
  <si>
    <t>zJLmiUdvms</t>
  </si>
  <si>
    <t>JwnhQS3kG7</t>
  </si>
  <si>
    <t>2026-05-07T15:44:57.112Z</t>
  </si>
  <si>
    <t>uzy7Ddn2h4</t>
  </si>
  <si>
    <t>AwD32DVnpZ</t>
  </si>
  <si>
    <t>2026-05-07T16:16:46.351Z</t>
  </si>
  <si>
    <t>bU5nDypaPg</t>
  </si>
  <si>
    <t>sdZzqjAuXL</t>
  </si>
  <si>
    <t>2026-05-07T16:40:27.147Z</t>
  </si>
  <si>
    <t>YHpD4GUbZR</t>
  </si>
  <si>
    <t>a1smdWh4rg</t>
  </si>
  <si>
    <t>2026-05-07T17:06:13.107Z</t>
  </si>
  <si>
    <t>vDaXAtfaRF</t>
  </si>
  <si>
    <t>FEZ9PW5Z1z</t>
  </si>
  <si>
    <t>2026-05-07T17:13:26.870Z</t>
  </si>
  <si>
    <t>rcBXfQkJHd</t>
  </si>
  <si>
    <t>g862UqTQUC</t>
  </si>
  <si>
    <t>2026-05-07T17:18:38.044Z</t>
  </si>
  <si>
    <t>ZjawDJwqiz</t>
  </si>
  <si>
    <t>h4sJcpmxnF</t>
  </si>
  <si>
    <t>Hannah B</t>
  </si>
  <si>
    <t>2026-05-07T18:03:30.547Z</t>
  </si>
  <si>
    <t>itsme#75750</t>
  </si>
  <si>
    <t>800777507825385522</t>
  </si>
  <si>
    <t>3pGZJyUU5z</t>
  </si>
  <si>
    <t>WXHy6XbFFi</t>
  </si>
  <si>
    <t>2026-05-07T18:19:51.604Z</t>
  </si>
  <si>
    <t>ELL2iNb3GG</t>
  </si>
  <si>
    <t>6xJyYRWL6n</t>
  </si>
  <si>
    <t>2026-05-07T18:31:07.398Z</t>
  </si>
  <si>
    <t>VRhwZFWWLC</t>
  </si>
  <si>
    <t>RsFikPUydb</t>
  </si>
  <si>
    <t>2026-05-07T18:41:23.071Z</t>
  </si>
  <si>
    <t>Pb7qY1LE1U</t>
  </si>
  <si>
    <t>2Yftvve3No</t>
  </si>
  <si>
    <t>2026-05-07T18:48:37.665Z</t>
  </si>
  <si>
    <t>cFLAThZF8D</t>
  </si>
  <si>
    <t>updated to remove MDFCs</t>
  </si>
  <si>
    <t>CEitVPYJco</t>
  </si>
  <si>
    <t>None (5c)</t>
  </si>
  <si>
    <t>2026-05-07T19:02:57.801Z</t>
  </si>
  <si>
    <t>YfdRg2FqS8</t>
  </si>
  <si>
    <t>6CWWd4nnYi</t>
  </si>
  <si>
    <t>2026-05-07T19:17:16.013Z</t>
  </si>
  <si>
    <t>jK6oLaCiUG</t>
  </si>
  <si>
    <t>tbfWhmQdGH</t>
  </si>
  <si>
    <t>2026-05-07T19:55:59.292Z</t>
  </si>
  <si>
    <t>MfSw4jWVP8</t>
  </si>
  <si>
    <t>uNec1txkcf</t>
  </si>
  <si>
    <t>2026-05-07T20:27:35.577Z</t>
  </si>
  <si>
    <t>zqPtX7Da3d</t>
  </si>
  <si>
    <t>xYgyNpA6Yj</t>
  </si>
  <si>
    <t xml:space="preserve">STX Quandrix cards </t>
  </si>
  <si>
    <t>2026-05-07T20:27:40.858Z</t>
  </si>
  <si>
    <t>yj82JZe4yy</t>
  </si>
  <si>
    <t>FFbz38drni</t>
  </si>
  <si>
    <t>2026-05-07T21:01:22.657Z</t>
  </si>
  <si>
    <t>H1BhRUCtgt</t>
  </si>
  <si>
    <t>otTcvV6AMZ</t>
  </si>
  <si>
    <t>2026-05-07T21:23:57.570Z</t>
  </si>
  <si>
    <t>hnwQzxu1h9</t>
  </si>
  <si>
    <t>TG4U2HcgVA</t>
  </si>
  <si>
    <t>2026-05-07T21:44:24.760Z</t>
  </si>
  <si>
    <t>aJg8Zc3omk</t>
  </si>
  <si>
    <t>rnF5dGL7CD</t>
  </si>
  <si>
    <t>2026-05-07T22:09:57.772Z</t>
  </si>
  <si>
    <t>SPeeAyGbg8</t>
  </si>
  <si>
    <t>QkprW2DweU</t>
  </si>
  <si>
    <t>2026-05-07T22:10:03.053Z</t>
  </si>
  <si>
    <t>1hx9EaRap8</t>
  </si>
  <si>
    <t>DMDbqDgUH8</t>
  </si>
  <si>
    <t>2026-05-07T22:34:39.519Z</t>
  </si>
  <si>
    <t>ZLoe4GuWHY</t>
  </si>
  <si>
    <t>CnG61ADNzV</t>
  </si>
  <si>
    <t>2026-05-07T22:45:07.159Z</t>
  </si>
  <si>
    <t>WU3VYrnMA7</t>
  </si>
  <si>
    <t>9gYjxiwHmB</t>
  </si>
  <si>
    <t>2026-05-07T22:59:26.307Z</t>
  </si>
  <si>
    <t>Mr41Jmm8ix</t>
  </si>
  <si>
    <t>KvrQbCGaJU</t>
  </si>
  <si>
    <t>2026-05-07T23:06:39.219Z</t>
  </si>
  <si>
    <t>YkRYThcUrm</t>
  </si>
  <si>
    <t>5Mk4G9wrdZ</t>
  </si>
  <si>
    <t>2026-05-07T23:10:47.662Z</t>
  </si>
  <si>
    <t>jTYr4jp9xK</t>
  </si>
  <si>
    <t>RJFRW9RZyi</t>
  </si>
  <si>
    <t>2026-05-07T23:13:56.436Z</t>
  </si>
  <si>
    <t>pdb9tWqLci</t>
  </si>
  <si>
    <t>AzGNqXDLzN</t>
  </si>
  <si>
    <t>2026-05-07T23:13:59.985Z</t>
  </si>
  <si>
    <t>9vwJ1KVNya</t>
  </si>
  <si>
    <t>mXt9LPVXMm</t>
  </si>
  <si>
    <t>2026-05-07T23:41:52.959Z</t>
  </si>
  <si>
    <t>WVMGYkaDR7</t>
  </si>
  <si>
    <t>89WYHi6fDM</t>
  </si>
  <si>
    <t>2026-05-07T23:50:19.453Z</t>
  </si>
  <si>
    <t>rdPVUNkpbD</t>
  </si>
  <si>
    <t>FmScoWGcnu</t>
  </si>
  <si>
    <t>Mana value 1-2 instant and sorcery spells that draw a card</t>
  </si>
  <si>
    <t>2026-05-08T00:25:08.471Z</t>
  </si>
  <si>
    <t>hyXiLfiD3D</t>
  </si>
  <si>
    <t>yBHjHJFLDL</t>
  </si>
  <si>
    <t>2026-05-08T00:33:27.142Z</t>
  </si>
  <si>
    <t>pgiMym2Tus</t>
  </si>
  <si>
    <t>eSzXVExEuA</t>
  </si>
  <si>
    <t>2026-05-08T00:36:35.761Z</t>
  </si>
  <si>
    <t>ThFRMpBH9d</t>
  </si>
  <si>
    <t>TcxswGE5ab</t>
  </si>
  <si>
    <t>2026-05-08T00:41:46.985Z</t>
  </si>
  <si>
    <t>XLnyFEfDg4</t>
  </si>
  <si>
    <t>kHtLNR6LTG</t>
  </si>
  <si>
    <t>2026-05-08T01:01:21.299Z</t>
  </si>
  <si>
    <t>fCnv8DW133</t>
  </si>
  <si>
    <t>1YtyDdKF4V</t>
  </si>
  <si>
    <t>2026-05-08T01:06:31.886Z</t>
  </si>
  <si>
    <t>TJRMpDxBjf</t>
  </si>
  <si>
    <t>g8tUUYM1pp</t>
  </si>
  <si>
    <t>2026-05-08T01:22:56.347Z</t>
  </si>
  <si>
    <t>3J5At1JdGB</t>
  </si>
  <si>
    <t>hKkxADEUtK</t>
  </si>
  <si>
    <t>2026-05-08T01:25:04.959Z</t>
  </si>
  <si>
    <t>coun9QJXr8</t>
  </si>
  <si>
    <t>gCpWZLc3oG</t>
  </si>
  <si>
    <t>2026-05-08T01:26:10.664Z</t>
  </si>
  <si>
    <t>53qfqFQXtK</t>
  </si>
  <si>
    <t>frsCJas5ZX</t>
  </si>
  <si>
    <t>2026-05-08T01:48:43.286Z</t>
  </si>
  <si>
    <t>V9kWwpaSUt</t>
  </si>
  <si>
    <t>fg6tYsDfKy</t>
  </si>
  <si>
    <t>2026-05-08T01:58:00.621Z</t>
  </si>
  <si>
    <t>vAvmAb8u5j</t>
  </si>
  <si>
    <t>VkW5D7gK5o</t>
  </si>
  <si>
    <t>2026-05-08T01:59:06.301Z</t>
  </si>
  <si>
    <t>MZ7RZFb5Nk</t>
  </si>
  <si>
    <t>7hvYe11wAR</t>
  </si>
  <si>
    <t>2026-05-08T01:59:10.751Z</t>
  </si>
  <si>
    <t>AiGL9N5gzG</t>
  </si>
  <si>
    <t>5K7meJXYWp</t>
  </si>
  <si>
    <t>2026-05-08T02:16:40.774Z</t>
  </si>
  <si>
    <t>8Vq19nkzNL</t>
  </si>
  <si>
    <t>n7JXLwYJKz</t>
  </si>
  <si>
    <t>2026-05-08T02:20:54.270Z</t>
  </si>
  <si>
    <t>pg9JUaBTkg</t>
  </si>
  <si>
    <t>GgzKhFSJ6n</t>
  </si>
  <si>
    <t>2026-05-08T02:35:18.706Z</t>
  </si>
  <si>
    <t>aM6yNWSWmt</t>
  </si>
  <si>
    <t>DBpWm1WSgR</t>
  </si>
  <si>
    <t>2026-05-08T02:43:34.806Z</t>
  </si>
  <si>
    <t>ShTf2A8cXH</t>
  </si>
  <si>
    <t xml:space="preserve">Mana value 6+ creatures </t>
  </si>
  <si>
    <t>3w7s8Fper6</t>
  </si>
  <si>
    <t>2026-05-08T02:47:45.484Z</t>
  </si>
  <si>
    <t>2waazoryhm</t>
  </si>
  <si>
    <t>t7kP1ZEmrR</t>
  </si>
  <si>
    <t>2026-05-08T02:47:49.193Z</t>
  </si>
  <si>
    <t>4wiGJKsJQy</t>
  </si>
  <si>
    <t>1usV4Xxgs6</t>
  </si>
  <si>
    <t>2026-05-08T03:02:12.924Z</t>
  </si>
  <si>
    <t>SRqbDjzToC</t>
  </si>
  <si>
    <t>Henry G</t>
  </si>
  <si>
    <t>6QTn57gA6o</t>
  </si>
  <si>
    <t>The Savant#44410</t>
  </si>
  <si>
    <t>2026-05-08T03:11:07.498Z</t>
  </si>
  <si>
    <t>182673115325661184</t>
  </si>
  <si>
    <t>sEJyJCzM3z</t>
  </si>
  <si>
    <t>vECC7JkPcP</t>
  </si>
  <si>
    <t>2026-05-08T03:12:32.669Z</t>
  </si>
  <si>
    <t>K3rxRM67zr</t>
  </si>
  <si>
    <t>jC3QFCYvSS</t>
  </si>
  <si>
    <t>2026-05-08T03:13:38.129Z</t>
  </si>
  <si>
    <t>uMC66Ae3ep</t>
  </si>
  <si>
    <t>CWQv742VYr</t>
  </si>
  <si>
    <t>2026-05-08T03:17:05.129Z</t>
  </si>
  <si>
    <t>3wyRXCHBh5</t>
  </si>
  <si>
    <t>6jkB7m5zHR</t>
  </si>
  <si>
    <t>2026-05-08T03:33:30.428Z</t>
  </si>
  <si>
    <t>BhDURNtRmW</t>
  </si>
  <si>
    <t>HQiTbCUU71</t>
  </si>
  <si>
    <t>2026-05-08T03:37:41.041Z</t>
  </si>
  <si>
    <t>K3oxk1rK3S</t>
  </si>
  <si>
    <t>GPVYZxxRv5</t>
  </si>
  <si>
    <t>2026-05-08T03:42:50.617Z</t>
  </si>
  <si>
    <t>7QUrw5fEEd</t>
  </si>
  <si>
    <t>gfHmvshTRD</t>
  </si>
  <si>
    <t>2026-05-08T03:58:14.590Z</t>
  </si>
  <si>
    <t>3XtSWNzTXT</t>
  </si>
  <si>
    <t>7fBfcPcWmX</t>
  </si>
  <si>
    <t>2026-05-08T04:03:24.349Z</t>
  </si>
  <si>
    <t>c2FUSUntLR</t>
  </si>
  <si>
    <t>nvtCt7yjCb</t>
  </si>
  <si>
    <t>2026-05-08T04:05:32.188Z</t>
  </si>
  <si>
    <t>9iYMKvDqim</t>
  </si>
  <si>
    <t>hPVcecVU16</t>
  </si>
  <si>
    <t>2026-05-08T04:06:36.698Z</t>
  </si>
  <si>
    <t>8JCRL6PQcw</t>
  </si>
  <si>
    <t>rxfzADzsRZ</t>
  </si>
  <si>
    <t>2026-05-08T04:17:50.078Z</t>
  </si>
  <si>
    <t>iesPD5HRKo</t>
  </si>
  <si>
    <t>3E1MuncgVh</t>
  </si>
  <si>
    <t>2026-05-08T04:33:35.317Z</t>
  </si>
  <si>
    <t>BW gold cards</t>
  </si>
  <si>
    <t>kERN1pemhE</t>
  </si>
  <si>
    <t>18LEEeMrBU</t>
  </si>
  <si>
    <t>2026-05-08T04:35:46.089Z</t>
  </si>
  <si>
    <t>L6fjrJ11hJ</t>
  </si>
  <si>
    <t>d2jRTtP8KA</t>
  </si>
  <si>
    <t>2026-05-08T04:36:54.979Z</t>
  </si>
  <si>
    <t>ZsSgNSRBdS</t>
  </si>
  <si>
    <t>XjAFqt9iRz</t>
  </si>
  <si>
    <t>2026-05-08T04:56:33.123Z</t>
  </si>
  <si>
    <t>ovzbj1xTya</t>
  </si>
  <si>
    <t>8Cpw4kygZF</t>
  </si>
  <si>
    <t>2026-05-08T05:20:23.902Z</t>
  </si>
  <si>
    <t>5qcqbKD2BY</t>
  </si>
  <si>
    <t>p8QwuJkShY</t>
  </si>
  <si>
    <t>2026-05-08T05:20:28.924Z</t>
  </si>
  <si>
    <t>cSjAhczj5Y</t>
  </si>
  <si>
    <t>2cEEp2NhwW</t>
  </si>
  <si>
    <t>2026-05-08T05:23:38.787Z</t>
  </si>
  <si>
    <t>ukf4EvqAak</t>
  </si>
  <si>
    <t>cY24HYb1oT</t>
  </si>
  <si>
    <t>2026-05-08T05:36:07.542Z</t>
  </si>
  <si>
    <t>CrzHdEcJJ5</t>
  </si>
  <si>
    <t>ZETvbKBrrM</t>
  </si>
  <si>
    <t>2026-05-08T06:04:59.059Z</t>
  </si>
  <si>
    <t>r3bPPvyhV3</t>
  </si>
  <si>
    <t>9f4XscHGp3</t>
  </si>
  <si>
    <t>2026-05-08T06:20:29.394Z</t>
  </si>
  <si>
    <t>MfFfsV6VfM</t>
  </si>
  <si>
    <t>J1aY8t3Zk3</t>
  </si>
  <si>
    <t>2026-05-08T11:04:48.456Z</t>
  </si>
  <si>
    <t>tVUisA5mpJ</t>
  </si>
  <si>
    <t>8prm6zWyQg</t>
  </si>
  <si>
    <t>2026-05-08T11:13:05.094Z</t>
  </si>
  <si>
    <t>bXhKTP49k8</t>
  </si>
  <si>
    <t>w8qVZds78c</t>
  </si>
  <si>
    <t>2026-05-08T11:32:39.148Z</t>
  </si>
  <si>
    <t>VqvECCpfum</t>
  </si>
  <si>
    <t>A7M1qV45bA</t>
  </si>
  <si>
    <t>2026-05-08T11:38:52.961Z</t>
  </si>
  <si>
    <t>MhkSyjoQWH</t>
  </si>
  <si>
    <t>BJsn8dudp1</t>
  </si>
  <si>
    <t>2026-05-08T12:11:45.890Z</t>
  </si>
  <si>
    <t>QCBsTUyDyd</t>
  </si>
  <si>
    <t>w4y2ACMP33</t>
  </si>
  <si>
    <t>Pump spells</t>
  </si>
  <si>
    <t>2026-05-08T12:32:21.110Z</t>
  </si>
  <si>
    <t>QppXAJ6A43</t>
  </si>
  <si>
    <t>aDXvwTambj</t>
  </si>
  <si>
    <t>2026-05-08T12:48:50.559Z</t>
  </si>
  <si>
    <t>ztBPtKzYrn</t>
  </si>
  <si>
    <t>ma3gDv3S4T</t>
  </si>
  <si>
    <t>2026-05-08T13:38:10.701Z</t>
  </si>
  <si>
    <t>UAid2FVRXa</t>
  </si>
  <si>
    <t>1UH1pXSgPo</t>
  </si>
  <si>
    <t>2026-05-08T13:43:22.452Z</t>
  </si>
  <si>
    <t>eYpr5NmfB3</t>
  </si>
  <si>
    <t>iJhPvqF2wT</t>
  </si>
  <si>
    <t>2026-05-08T14:03:55.243Z</t>
  </si>
  <si>
    <t>M4xj4oCevx</t>
  </si>
  <si>
    <t>vfXZAtLzbU</t>
  </si>
  <si>
    <t>2026-05-08T14:08:07.510Z</t>
  </si>
  <si>
    <t>s4konTJCrb</t>
  </si>
  <si>
    <t>cjqq8fekj6</t>
  </si>
  <si>
    <t>2026-05-08T14:23:35.226Z</t>
  </si>
  <si>
    <t>hvsr3gZi3N</t>
  </si>
  <si>
    <t>ooCkMkJi3B</t>
  </si>
  <si>
    <t>2026-05-08T14:24:41.220Z</t>
  </si>
  <si>
    <t>jDLJhPJsLL</t>
  </si>
  <si>
    <t>DwdjtkFoz5</t>
  </si>
  <si>
    <t>2026-05-08T14:40:06.811Z</t>
  </si>
  <si>
    <t>qrwLEkDGqr</t>
  </si>
  <si>
    <t>9hNR4LDk4H</t>
  </si>
  <si>
    <t>2026-05-08T14:44:17.823Z</t>
  </si>
  <si>
    <t>FxENawWFpu</t>
  </si>
  <si>
    <t>f45krLp1U4</t>
  </si>
  <si>
    <t>2026-05-08T14:50:31.767Z</t>
  </si>
  <si>
    <t>tJDNfNz1XH</t>
  </si>
  <si>
    <t>6eWW9KwTPp</t>
  </si>
  <si>
    <t>2026-05-08T15:12:09.907Z</t>
  </si>
  <si>
    <t>2U7rvw7eqP</t>
  </si>
  <si>
    <t>vcAewD1vSE</t>
  </si>
  <si>
    <t>2026-05-08T15:13:15.781Z</t>
  </si>
  <si>
    <t>29h79uudRS</t>
  </si>
  <si>
    <t>XyNVQzkhXo</t>
  </si>
  <si>
    <t>2026-05-08T15:14:21.840Z</t>
  </si>
  <si>
    <t>qySqPox24X</t>
  </si>
  <si>
    <t>59hY8iwPmP</t>
  </si>
  <si>
    <t>2026-05-08T15:24:42.511Z</t>
  </si>
  <si>
    <t>EJsTwFzJd8</t>
  </si>
  <si>
    <t>pL2VMBbdCu</t>
  </si>
  <si>
    <t>2026-05-08T15:37:04.974Z</t>
  </si>
  <si>
    <t>Bj3FFU4myT</t>
  </si>
  <si>
    <t>sodWazuiHQ</t>
  </si>
  <si>
    <t>Howard T</t>
  </si>
  <si>
    <t>2026-05-08T16:12:59.215Z</t>
  </si>
  <si>
    <t>Non-pump combat tricks</t>
  </si>
  <si>
    <t>Kaozu#62298</t>
  </si>
  <si>
    <t>234533486206255115</t>
  </si>
  <si>
    <t>MYEpqHd8zj</t>
  </si>
  <si>
    <t>cc3Mw2mEit</t>
  </si>
  <si>
    <t>2026-05-08T16:29:27.430Z</t>
  </si>
  <si>
    <t>z9gNJJuSgv</t>
  </si>
  <si>
    <t>S47XWxjwC1</t>
  </si>
  <si>
    <t>2026-05-08T16:45:56.691Z</t>
  </si>
  <si>
    <t>WgcdJwiKZj</t>
  </si>
  <si>
    <t>vhLu6VnZLt</t>
  </si>
  <si>
    <t>2026-05-08T16:59:23.010Z</t>
  </si>
  <si>
    <t>L6Yrg6Q694</t>
  </si>
  <si>
    <t>JPdKUNsZRa</t>
  </si>
  <si>
    <t>2026-05-08T17:00:29.058Z</t>
  </si>
  <si>
    <t>34BgiqUfQh</t>
  </si>
  <si>
    <t>yTaQcJqvwT</t>
  </si>
  <si>
    <t>2026-05-08T17:09:46.934Z</t>
  </si>
  <si>
    <t>y4dvkmdju5</t>
  </si>
  <si>
    <t>Zc2pqUzeX2</t>
  </si>
  <si>
    <t>2026-05-08T17:10:52.963Z</t>
  </si>
  <si>
    <t>JKMxSNFPri</t>
  </si>
  <si>
    <t>fzXVNDPWsk</t>
  </si>
  <si>
    <t>2026-05-08T17:22:15.463Z</t>
  </si>
  <si>
    <t>fJXnDVmGkQ</t>
  </si>
  <si>
    <t>xySCVMydtP</t>
  </si>
  <si>
    <t>2026-05-08T17:46:55.244Z</t>
  </si>
  <si>
    <t>PsEeJNZ3ud</t>
  </si>
  <si>
    <t>7kioTktyUU</t>
  </si>
  <si>
    <t>2026-05-08T17:50:04.553Z</t>
  </si>
  <si>
    <t>RGbSa8HUWD</t>
  </si>
  <si>
    <t>kefbJuBqxH</t>
  </si>
  <si>
    <t>2026-05-08T17:52:11.723Z</t>
  </si>
  <si>
    <t>YrTQsaKxKX</t>
  </si>
  <si>
    <t>X1ukF4rzBi</t>
  </si>
  <si>
    <t>2026-05-08T17:53:18.242Z</t>
  </si>
  <si>
    <t>mZaMcuWeUk</t>
  </si>
  <si>
    <t>B3DTV9einr</t>
  </si>
  <si>
    <t>2026-05-08T18:21:02.825Z</t>
  </si>
  <si>
    <t>BeTPaApgZp</t>
  </si>
  <si>
    <t>Now that this is not just BW spells, this is all the combat tricks that aren't in the pump spell category</t>
  </si>
  <si>
    <t>eCCqnwpVqv</t>
  </si>
  <si>
    <t>2026-05-08T18:35:27.067Z</t>
  </si>
  <si>
    <t>x4rTcjUtz3</t>
  </si>
  <si>
    <t>4A9b1oHTDc</t>
  </si>
  <si>
    <t>2026-05-08T18:40:40.090Z</t>
  </si>
  <si>
    <t>XQe9uzz3QS</t>
  </si>
  <si>
    <t>zNLNdoRQGc</t>
  </si>
  <si>
    <t>2026-05-08T18:52:03.588Z</t>
  </si>
  <si>
    <t>3uZURpN6QA</t>
  </si>
  <si>
    <t>rqRX4vCMAa</t>
  </si>
  <si>
    <t>2026-05-08T19:03:24.746Z</t>
  </si>
  <si>
    <t>Heroic/valiant</t>
  </si>
  <si>
    <t>EHhmTTyh7m</t>
  </si>
  <si>
    <t>yHcHXR9Ros</t>
  </si>
  <si>
    <t>2026-05-08T19:06:33.687Z</t>
  </si>
  <si>
    <t>etudit7CHP</t>
  </si>
  <si>
    <t>oVNW2hvZMb</t>
  </si>
  <si>
    <t>2026-05-08T19:13:52.178Z</t>
  </si>
  <si>
    <t>9D1ZAUjXJ8</t>
  </si>
  <si>
    <t>qPSuH4uc42</t>
  </si>
  <si>
    <t>2026-05-08T19:15:57.340Z</t>
  </si>
  <si>
    <t>PedRN25KH5</t>
  </si>
  <si>
    <t>uTvwQbx8Cz</t>
  </si>
  <si>
    <t>2026-05-08T19:19:07.400Z</t>
  </si>
  <si>
    <t>36CAKXFLCS</t>
  </si>
  <si>
    <t>qiCwMyhchZ</t>
  </si>
  <si>
    <t>2026-05-08T19:37:10.948Z</t>
  </si>
  <si>
    <t>s149aiz53Q</t>
  </si>
  <si>
    <t>ao1hAWhWC4</t>
  </si>
  <si>
    <t>2026-05-08T19:41:22.060Z</t>
  </si>
  <si>
    <t>wBLevPHQd9</t>
  </si>
  <si>
    <t>KHQKEvPcBp</t>
  </si>
  <si>
    <t>2026-05-08T20:56:44.461Z</t>
  </si>
  <si>
    <t>yBCo8kvaq1</t>
  </si>
  <si>
    <t>qf2eoKh4jt</t>
  </si>
  <si>
    <t>2026-05-08T21:05:53.740Z</t>
  </si>
  <si>
    <t>Scryfall LInk</t>
  </si>
  <si>
    <t>ntMCZW2daf</t>
  </si>
  <si>
    <t>NP3q5wUqoK</t>
  </si>
  <si>
    <t>2026-05-08T21:08:38.311Z</t>
  </si>
  <si>
    <t>1iw3i2kqx6</t>
  </si>
  <si>
    <t>1HVZMnrZZZ</t>
  </si>
  <si>
    <t>2026-05-08T21:18:14.842Z</t>
  </si>
  <si>
    <t>A2Df922t6z</t>
  </si>
  <si>
    <t>DmCRg56AGD</t>
  </si>
  <si>
    <t>2026-05-08T21:21:28.639Z</t>
  </si>
  <si>
    <t>Ghc556wgXm</t>
  </si>
  <si>
    <t>CTzZoVDv4p</t>
  </si>
  <si>
    <t>2026-05-08T21:23:43.259Z</t>
  </si>
  <si>
    <t>T1oBrjEyfX</t>
  </si>
  <si>
    <t>w7CuMbxa5K</t>
  </si>
  <si>
    <t>2026-05-08T21:30:06.137Z</t>
  </si>
  <si>
    <t>CUBz8V6CwR</t>
  </si>
  <si>
    <t>e7etVgczLq</t>
  </si>
  <si>
    <t>2026-05-08T21:31:12.990Z</t>
  </si>
  <si>
    <t>qBc7irMv3i</t>
  </si>
  <si>
    <t>nKgqrAHLQC</t>
  </si>
  <si>
    <t>2026-05-08T21:34:21.900Z</t>
  </si>
  <si>
    <t>Only three cards in graduate search</t>
  </si>
  <si>
    <t>VBkLMTTDa4</t>
  </si>
  <si>
    <t>5rDXZT4GDb</t>
  </si>
  <si>
    <t>2026-05-08T21:35:29.450Z</t>
  </si>
  <si>
    <t>FkPU77EGCx</t>
  </si>
  <si>
    <t>qoH6XPzY1M</t>
  </si>
  <si>
    <t>2026-05-08T21:37:37.441Z</t>
  </si>
  <si>
    <t>TtCuPqyKU2</t>
  </si>
  <si>
    <t>Bfg39q9z8k</t>
  </si>
  <si>
    <t>2026-05-08T21:40:45.869Z</t>
  </si>
  <si>
    <t>9yWMagFQiS</t>
  </si>
  <si>
    <t xml:space="preserve">STX Silverquill cards </t>
  </si>
  <si>
    <t>rtryVwfDxN</t>
  </si>
  <si>
    <t>2026-05-08T21:53:06.978Z</t>
  </si>
  <si>
    <t>6WuqpenPGL</t>
  </si>
  <si>
    <t>xKVGGJssaV</t>
  </si>
  <si>
    <t>2026-05-08T21:59:24.409Z</t>
  </si>
  <si>
    <t>cEju45K5AT</t>
  </si>
  <si>
    <t>THZe7zjBjY</t>
  </si>
  <si>
    <t>2026-05-08T22:04:35.577Z</t>
  </si>
  <si>
    <t>5sJVTqbyrs</t>
  </si>
  <si>
    <t>L2aHdvhnFE</t>
  </si>
  <si>
    <t>2026-05-08T22:06:43.928Z</t>
  </si>
  <si>
    <t>HH8tV7rABj</t>
  </si>
  <si>
    <t>uLKof1czig</t>
  </si>
  <si>
    <t>2026-05-08T22:07:52.348Z</t>
  </si>
  <si>
    <t>QrepXHjVqp</t>
  </si>
  <si>
    <t>L1uskL8jht</t>
  </si>
  <si>
    <t>2026-05-08T22:15:08.935Z</t>
  </si>
  <si>
    <t>QwgHj3oFDe</t>
  </si>
  <si>
    <t>KWNQjiMsuK</t>
  </si>
  <si>
    <t>2026-05-08T22:17:18.655Z</t>
  </si>
  <si>
    <t>VB5H3zKtnw</t>
  </si>
  <si>
    <t>g4pkrLCiLh</t>
  </si>
  <si>
    <t>2026-05-08T22:22:30.188Z</t>
  </si>
  <si>
    <t>Ismail C</t>
  </si>
  <si>
    <t>ICRanger#51417</t>
  </si>
  <si>
    <t>YovAbbJGce</t>
  </si>
  <si>
    <t>363034060701827075</t>
  </si>
  <si>
    <t>sncZXWV1ZR</t>
  </si>
  <si>
    <t>2026-05-08T22:27:41.999Z</t>
  </si>
  <si>
    <t>Yi5f6bmoVn</t>
  </si>
  <si>
    <t>kWWP7Pdj8h</t>
  </si>
  <si>
    <t>2026-05-08T22:30:51.640Z</t>
  </si>
  <si>
    <t>5jL2fgmKAn</t>
  </si>
  <si>
    <t>rtwWFCzQfE</t>
  </si>
  <si>
    <t>2026-05-08T22:38:10.433Z</t>
  </si>
  <si>
    <t>LKKbYoRy9G</t>
  </si>
  <si>
    <t>89z4a7JCJf</t>
  </si>
  <si>
    <t>2026-05-08T22:45:25.636Z</t>
  </si>
  <si>
    <t>P69oAFCkCm</t>
  </si>
  <si>
    <t>kTS6WQLSKK</t>
  </si>
  <si>
    <t>2026-05-08T22:48:36.119Z</t>
  </si>
  <si>
    <t>oVomotWrxx</t>
  </si>
  <si>
    <t>4TjWzNTDUX</t>
  </si>
  <si>
    <t>2026-05-08T22:54:52.472Z</t>
  </si>
  <si>
    <t>WBGWZ3SEuu</t>
  </si>
  <si>
    <t>1-drop creatures</t>
  </si>
  <si>
    <t>32zYwKeVdG</t>
  </si>
  <si>
    <t>2026-05-08T22:58:05.306Z</t>
  </si>
  <si>
    <t>wYmCtbSysT</t>
  </si>
  <si>
    <t>PeBoARvpFq</t>
  </si>
  <si>
    <t>2026-05-08T23:01:13.643Z</t>
  </si>
  <si>
    <t>UsCumJH26f</t>
  </si>
  <si>
    <t>DAoAEVdkeX</t>
  </si>
  <si>
    <t>2026-05-08T23:12:33.953Z</t>
  </si>
  <si>
    <t>d4vZAv8uqy</t>
  </si>
  <si>
    <t>ePu1cztxeT</t>
  </si>
  <si>
    <t>2026-05-08T23:12:39.964Z</t>
  </si>
  <si>
    <t>U8EY4mXiKN</t>
  </si>
  <si>
    <t>wDq4VmXKPW</t>
  </si>
  <si>
    <t>2026-05-08T23:13:45.922Z</t>
  </si>
  <si>
    <t>x4VX4sbPWx</t>
  </si>
  <si>
    <t>F7d1PKZimg</t>
  </si>
  <si>
    <t>2026-05-08T23:18:57.540Z</t>
  </si>
  <si>
    <t>5f1MBp8Uwt</t>
  </si>
  <si>
    <t>LY7KkF3G1B</t>
  </si>
  <si>
    <t>2026-05-08T23:25:10.637Z</t>
  </si>
  <si>
    <t>Pjuyxa821M</t>
  </si>
  <si>
    <t>WUbd58HjPn</t>
  </si>
  <si>
    <t>2026-05-08T23:32:24.425Z</t>
  </si>
  <si>
    <t>QjxUXAP8Jk</t>
  </si>
  <si>
    <t>hYvyQ1ThoT</t>
  </si>
  <si>
    <t>2026-05-08T23:52:58.593Z</t>
  </si>
  <si>
    <t>1sRWAzN9jF</t>
  </si>
  <si>
    <t>zMhk5bjeg3</t>
  </si>
  <si>
    <t>2026-05-08T23:53:08.323Z</t>
  </si>
  <si>
    <t>hvT7hGgbU2</t>
  </si>
  <si>
    <t>aXHUEw7Rfw</t>
  </si>
  <si>
    <t>2026-05-09T00:00:22.337Z</t>
  </si>
  <si>
    <t>wGb81zbSAo</t>
  </si>
  <si>
    <t>NYuFy8tt2i</t>
  </si>
  <si>
    <t>2026-05-09T00:09:40.140Z</t>
  </si>
  <si>
    <t>wCsNpV7GCu</t>
  </si>
  <si>
    <t>pntPxw9K6h</t>
  </si>
  <si>
    <t>2026-05-09T00:13:50.799Z</t>
  </si>
  <si>
    <t>a7R1J9vRC8</t>
  </si>
  <si>
    <t>Ma2PSYCmu9</t>
  </si>
  <si>
    <t>2026-05-09T00:36:25.898Z</t>
  </si>
  <si>
    <t>6Dbee2pVxf</t>
  </si>
  <si>
    <t>8vns47Evyq</t>
  </si>
  <si>
    <t>2026-05-09T00:56:56.327Z</t>
  </si>
  <si>
    <t>Xq8K25BTiz</t>
  </si>
  <si>
    <t>RQ3FEie3Fp</t>
  </si>
  <si>
    <t>2026-05-09T01:12:22.675Z</t>
  </si>
  <si>
    <t>5Kgs67f2Hr</t>
  </si>
  <si>
    <t>xabrUXW6iG</t>
  </si>
  <si>
    <t>2026-05-09T01:13:28.920Z</t>
  </si>
  <si>
    <t>ERig6hhQRY</t>
  </si>
  <si>
    <t>wATNBMgwZF</t>
  </si>
  <si>
    <t>2026-05-09T01:34:01.015Z</t>
  </si>
  <si>
    <t>2-drop creatures</t>
  </si>
  <si>
    <t>ABEXS2Go7F</t>
  </si>
  <si>
    <t>DEWgFAjtwA</t>
  </si>
  <si>
    <t>2026-05-09T01:34:06.126Z</t>
  </si>
  <si>
    <t>95aUKF8Vsa</t>
  </si>
  <si>
    <t>gyxshwUVyp</t>
  </si>
  <si>
    <t>2026-05-09T01:34:10.525Z</t>
  </si>
  <si>
    <t>mVkz2CFBXw</t>
  </si>
  <si>
    <t>CCqNDhwZ1b</t>
  </si>
  <si>
    <t>2026-05-09T01:35:18.214Z</t>
  </si>
  <si>
    <t>DZnpxacfio</t>
  </si>
  <si>
    <t>hcg82dRnkQ</t>
  </si>
  <si>
    <t>2026-05-09T01:35:22.155Z</t>
  </si>
  <si>
    <t>Fp9GbaFLUR</t>
  </si>
  <si>
    <t>a7YkmSwyYc</t>
  </si>
  <si>
    <t>2026-05-09T01:35:26.454Z</t>
  </si>
  <si>
    <t>bE42zwbnAn</t>
  </si>
  <si>
    <t>TJhRZkihwR</t>
  </si>
  <si>
    <t>2026-05-09T01:35:30.314Z</t>
  </si>
  <si>
    <t>JNphfMVBvJ</t>
  </si>
  <si>
    <t>qP53A5LiDx</t>
  </si>
  <si>
    <t>2026-05-09T01:35:37.328Z</t>
  </si>
  <si>
    <t>snoYsdpLUd</t>
  </si>
  <si>
    <t>cVei9Kyx38</t>
  </si>
  <si>
    <t>2026-05-09T01:46:57.553Z</t>
  </si>
  <si>
    <t>QLQJxYD3SV</t>
  </si>
  <si>
    <t>reSs37HUoq</t>
  </si>
  <si>
    <t>2026-05-09T02:20:46.311Z</t>
  </si>
  <si>
    <t>cnuDvs5gAB</t>
  </si>
  <si>
    <t>V1VSGXifZt</t>
  </si>
  <si>
    <t>2026-05-09T02:37:14.382Z</t>
  </si>
  <si>
    <t>GJmWb6FQf9</t>
  </si>
  <si>
    <t>sMFCa1SDfn</t>
  </si>
  <si>
    <t>Blink</t>
  </si>
  <si>
    <t>2026-05-09T02:41:24.474Z</t>
  </si>
  <si>
    <t>ZYDWG43tgo</t>
  </si>
  <si>
    <t>FQeoBNWUE8</t>
  </si>
  <si>
    <t>2026-05-09T02:55:52.168Z</t>
  </si>
  <si>
    <t>giso6Dwxrh</t>
  </si>
  <si>
    <t>TXopZJCuiL</t>
  </si>
  <si>
    <t>2026-05-09T02:55:56.158Z</t>
  </si>
  <si>
    <t>EjXsgUjjNZ</t>
  </si>
  <si>
    <t>ARTb87oU2g</t>
  </si>
  <si>
    <t>2026-05-09T03:13:23.345Z</t>
  </si>
  <si>
    <t>6zqhJs5Zkk</t>
  </si>
  <si>
    <t>QsWeEENAit</t>
  </si>
  <si>
    <t>2026-05-09T03:13:29.235Z</t>
  </si>
  <si>
    <t>d9asGxo9Mb</t>
  </si>
  <si>
    <t>Y92b2CFTob</t>
  </si>
  <si>
    <t>2026-05-09T03:15:36.277Z</t>
  </si>
  <si>
    <t>Jack H</t>
  </si>
  <si>
    <t>71ba9wCUN6</t>
  </si>
  <si>
    <t>Rakic#98298</t>
  </si>
  <si>
    <t>534123165593370664</t>
  </si>
  <si>
    <t>AjxtrKRNuk</t>
  </si>
  <si>
    <t>2026-05-09T03:17:44.062Z</t>
  </si>
  <si>
    <t>Dsua5NBY2r</t>
  </si>
  <si>
    <t>mV7v2NNz46</t>
  </si>
  <si>
    <t>2026-05-09T03:19:51.357Z</t>
  </si>
  <si>
    <t>ZPzizsk3vX</t>
  </si>
  <si>
    <t>PepAeQ6A2z</t>
  </si>
  <si>
    <t>2026-05-09T03:44:27.472Z</t>
  </si>
  <si>
    <t>d43eiFLSmy</t>
  </si>
  <si>
    <t>88aStqajvw</t>
  </si>
  <si>
    <t>2026-05-09T04:19:18.656Z</t>
  </si>
  <si>
    <t>EzAhJH3oSD</t>
  </si>
  <si>
    <t>yiQGTGfTK1</t>
  </si>
  <si>
    <t>2026-05-09T04:22:26.974Z</t>
  </si>
  <si>
    <t>This is probably too strong</t>
  </si>
  <si>
    <t>c5QS6LtBVi</t>
  </si>
  <si>
    <t>None (prepared)</t>
  </si>
  <si>
    <t>5FRvNLqpEF</t>
  </si>
  <si>
    <t>2026-05-09T04:24:35.438Z</t>
  </si>
  <si>
    <t>yu4xmF8deU</t>
  </si>
  <si>
    <t>ERJeKRVUKY</t>
  </si>
  <si>
    <t>2026-05-09T05:01:25.656Z</t>
  </si>
  <si>
    <t>jW87bkD3Z9</t>
  </si>
  <si>
    <t>Ms1bhhMa5E</t>
  </si>
  <si>
    <t>2026-05-09T05:23:01.176Z</t>
  </si>
  <si>
    <t>geqRxBbPvV</t>
  </si>
  <si>
    <t>2b1WDRAnRj</t>
  </si>
  <si>
    <t>2026-05-09T05:30:14.991Z</t>
  </si>
  <si>
    <t>BG gold cards</t>
  </si>
  <si>
    <t>cVPtHtJ82d</t>
  </si>
  <si>
    <t>qEmKMstDum</t>
  </si>
  <si>
    <t>2026-05-09T06:24:30.697Z</t>
  </si>
  <si>
    <t>Kyny7icecg</t>
  </si>
  <si>
    <t>EkrR99oErB</t>
  </si>
  <si>
    <t>2026-05-09T06:26:37.926Z</t>
  </si>
  <si>
    <t>PrqDsadYci</t>
  </si>
  <si>
    <t>zNGcCt65yZ</t>
  </si>
  <si>
    <t>2026-05-09T07:43:23.114Z</t>
  </si>
  <si>
    <t>Kbwbxb1hVc</t>
  </si>
  <si>
    <t>1uVE3H1VZj</t>
  </si>
  <si>
    <t>2026-05-09T08:27:23.909Z</t>
  </si>
  <si>
    <t>LkJkbRnDaa</t>
  </si>
  <si>
    <t>w4j4kiFCPR</t>
  </si>
  <si>
    <t>2026-05-09T11:02:44.473Z</t>
  </si>
  <si>
    <t>fJowLoU4zx</t>
  </si>
  <si>
    <t>KisjynzApw</t>
  </si>
  <si>
    <t>2026-05-09T11:12:00.280Z</t>
  </si>
  <si>
    <t>fcAwfHT2dV</t>
  </si>
  <si>
    <t>WV8zkzLqXv</t>
  </si>
  <si>
    <t>2026-05-09T12:22:39.837Z</t>
  </si>
  <si>
    <t>dKGnsd2Bwu</t>
  </si>
  <si>
    <t>9B6Nu3v4Fd</t>
  </si>
  <si>
    <t>2026-05-09T12:36:02.096Z</t>
  </si>
  <si>
    <t>NAwUGuzB83</t>
  </si>
  <si>
    <t>rSYoShjYr3</t>
  </si>
  <si>
    <t>2026-05-09T13:03:42.899Z</t>
  </si>
  <si>
    <t>vFaUyiwrjM</t>
  </si>
  <si>
    <t>XzPunfZETz</t>
  </si>
  <si>
    <t>2026-05-09T13:07:52.144Z</t>
  </si>
  <si>
    <t>8fjFJaaEKX</t>
  </si>
  <si>
    <t>VCnx6SCVYn</t>
  </si>
  <si>
    <t>2026-05-09T13:23:16.369Z</t>
  </si>
  <si>
    <t>cjrZ1Uj4bs</t>
  </si>
  <si>
    <t>F9BhUgwFuD</t>
  </si>
  <si>
    <t>2026-05-09T13:24:22.542Z</t>
  </si>
  <si>
    <t>BvFy3sL9tA</t>
  </si>
  <si>
    <t>Reanimate spells</t>
  </si>
  <si>
    <t>GBaEtDDfVM</t>
  </si>
  <si>
    <t>2026-05-09T13:35:41.383Z</t>
  </si>
  <si>
    <t>XynyRzymWq</t>
  </si>
  <si>
    <t>6UPvRFRPBV</t>
  </si>
  <si>
    <t>2026-05-09T13:49:05.562Z</t>
  </si>
  <si>
    <t>KE1ZSsVTna</t>
  </si>
  <si>
    <t>b9PkSTeXWa</t>
  </si>
  <si>
    <t>2026-05-09T14:00:26.281Z</t>
  </si>
  <si>
    <t>wDURmg2JZL</t>
  </si>
  <si>
    <t>MLML3xjifs</t>
  </si>
  <si>
    <t>2026-05-09T14:04:40.300Z</t>
  </si>
  <si>
    <t>RtXQcYXLp2</t>
  </si>
  <si>
    <t>HEpGm7byHY</t>
  </si>
  <si>
    <t>2026-05-09T14:23:09.374Z</t>
  </si>
  <si>
    <t>NoNr4cvWfZ</t>
  </si>
  <si>
    <t>7bkaLF4jCB</t>
  </si>
  <si>
    <t>2026-05-09T14:25:16.262Z</t>
  </si>
  <si>
    <t>6CxwihJJCK</t>
  </si>
  <si>
    <t>FsAqkrtGN8</t>
  </si>
  <si>
    <t>2026-05-09T14:31:29.325Z</t>
  </si>
  <si>
    <t>JRgCkkuSuH</t>
  </si>
  <si>
    <t>eaqEzFm1eW</t>
  </si>
  <si>
    <t>2026-05-09T14:38:42.727Z</t>
  </si>
  <si>
    <t>mMkKZFu5xi</t>
  </si>
  <si>
    <t>J5tPxSmzpJ</t>
  </si>
  <si>
    <t>2026-05-09T14:58:13.515Z</t>
  </si>
  <si>
    <t>34whHagH6D</t>
  </si>
  <si>
    <t>e6m3pVBBdi</t>
  </si>
  <si>
    <t>2026-05-09T15:00:20.567Z</t>
  </si>
  <si>
    <t>A6qtgcEbgC</t>
  </si>
  <si>
    <t>abMWnskT9F</t>
  </si>
  <si>
    <t>2026-05-09T15:10:40.732Z</t>
  </si>
  <si>
    <t>BkRtsHreFY</t>
  </si>
  <si>
    <t>Food producing cards</t>
  </si>
  <si>
    <t>zZ2KVbeGPV</t>
  </si>
  <si>
    <t>2026-05-09T15:25:06.152Z</t>
  </si>
  <si>
    <t>GdsKW1jfKR</t>
  </si>
  <si>
    <t>27Zjh5A5xS</t>
  </si>
  <si>
    <t>2026-05-09T15:54:51.286Z</t>
  </si>
  <si>
    <t>jt2a1YSXZL</t>
  </si>
  <si>
    <t>wEufKrzLLu</t>
  </si>
  <si>
    <t>2026-05-09T15:54:58.308Z</t>
  </si>
  <si>
    <t>JuJgubdXjc</t>
  </si>
  <si>
    <t>Ew5hqh2NsX</t>
  </si>
  <si>
    <t>2026-05-09T16:03:16.719Z</t>
  </si>
  <si>
    <t>zkakpi3bfZ</t>
  </si>
  <si>
    <t>KFfxiYGgS3</t>
  </si>
  <si>
    <t>2026-05-09T16:34:01.146Z</t>
  </si>
  <si>
    <t>Jack S</t>
  </si>
  <si>
    <t>LRR2eLjnJt</t>
  </si>
  <si>
    <t>AjaniGoldmane#67634</t>
  </si>
  <si>
    <t>94bCzoLhGz</t>
  </si>
  <si>
    <t>1384329843470110781</t>
  </si>
  <si>
    <t>2026-05-09T16:42:16.393Z</t>
  </si>
  <si>
    <t>rxE3ciZNVN</t>
  </si>
  <si>
    <t>zpwNj2x4yH</t>
  </si>
  <si>
    <t>2026-05-09T16:54:36.496Z</t>
  </si>
  <si>
    <t>Q1dzuaseKK</t>
  </si>
  <si>
    <t>tuLkoQAJEq</t>
  </si>
  <si>
    <t>2026-05-09T17:03:53.311Z</t>
  </si>
  <si>
    <t>2uRQvgGt38</t>
  </si>
  <si>
    <t>da4UAUfRQh</t>
  </si>
  <si>
    <t>Updated to food producing cards and not just food</t>
  </si>
  <si>
    <t>2026-05-09T17:15:12.773Z</t>
  </si>
  <si>
    <t>y9VwnXgoTT</t>
  </si>
  <si>
    <t>sL5Bt86GKj</t>
  </si>
  <si>
    <t>2026-05-09T17:22:30.552Z</t>
  </si>
  <si>
    <t>8gJ6YbZb9S</t>
  </si>
  <si>
    <t>4EJaUDeSfk</t>
  </si>
  <si>
    <t>2026-05-09T17:28:43.301Z</t>
  </si>
  <si>
    <t>bTNa9wWE7r</t>
  </si>
  <si>
    <t>Insects</t>
  </si>
  <si>
    <t>aFRCk8yaF1</t>
  </si>
  <si>
    <t>2026-05-09T17:30:52.120Z</t>
  </si>
  <si>
    <t>Qmf92kJ4Dx</t>
  </si>
  <si>
    <t>4BjoENkSN1</t>
  </si>
  <si>
    <t>2026-05-09T17:30:58.894Z</t>
  </si>
  <si>
    <t>ivcXTrp1Sh</t>
  </si>
  <si>
    <t>v1Rbm4WRQy</t>
  </si>
  <si>
    <t>2026-05-09T17:42:19.731Z</t>
  </si>
  <si>
    <t>vZm6XZvY3F</t>
  </si>
  <si>
    <t>wkEg8TX4Nz</t>
  </si>
  <si>
    <t>2026-05-09T17:47:30.905Z</t>
  </si>
  <si>
    <t>rd357jMsRv</t>
  </si>
  <si>
    <t>K8QS8qNVQb</t>
  </si>
  <si>
    <t>2026-05-09T17:51:39.801Z</t>
  </si>
  <si>
    <t>Vbi48QRwby</t>
  </si>
  <si>
    <t>ksoH6oKAEa</t>
  </si>
  <si>
    <t>2026-05-09T18:13:12.957Z</t>
  </si>
  <si>
    <t>tuvk7KKps3</t>
  </si>
  <si>
    <t>VG7P5Ea3y5</t>
  </si>
  <si>
    <t>2026-05-09T18:15:20.268Z</t>
  </si>
  <si>
    <t>xP5KWYsqCF</t>
  </si>
  <si>
    <t>7wP9jBb1bG</t>
  </si>
  <si>
    <t>2026-05-09T18:22:33.970Z</t>
  </si>
  <si>
    <t>2ree7UyQkA</t>
  </si>
  <si>
    <t>Dhvxj1hkuV</t>
  </si>
  <si>
    <t>2026-05-09T18:46:09.575Z</t>
  </si>
  <si>
    <t>SfgYQugxVx</t>
  </si>
  <si>
    <t>YHdU24M7yZ</t>
  </si>
  <si>
    <t>2026-05-09T18:51:22.698Z</t>
  </si>
  <si>
    <t>kumRWA26SY</t>
  </si>
  <si>
    <t>Ki296ChnVm</t>
  </si>
  <si>
    <t>2026-05-09T18:58:37.793Z</t>
  </si>
  <si>
    <t>kAa6DpL1Qd</t>
  </si>
  <si>
    <t>Instant and sorcery spells that gain life</t>
  </si>
  <si>
    <t>vcm8tDVAWJ</t>
  </si>
  <si>
    <t>2026-05-09T19:12:01.878Z</t>
  </si>
  <si>
    <t>HkSpG5NUbf</t>
  </si>
  <si>
    <t>ZszwrKjtkW</t>
  </si>
  <si>
    <t>2026-05-09T19:15:13.440Z</t>
  </si>
  <si>
    <t>1v4fEus82i</t>
  </si>
  <si>
    <t>v1ejZoXvsb</t>
  </si>
  <si>
    <t>2026-05-09T19:18:24.641Z</t>
  </si>
  <si>
    <t>bV7daFbW3x</t>
  </si>
  <si>
    <t>BnTDs9jwBs</t>
  </si>
  <si>
    <t>2026-05-09T19:31:46.864Z</t>
  </si>
  <si>
    <t>WwHaEJwFmE</t>
  </si>
  <si>
    <t>RT8d4prkfb</t>
  </si>
  <si>
    <t>2026-05-09T19:39:01.849Z</t>
  </si>
  <si>
    <t>mc6NYrCE36</t>
  </si>
  <si>
    <t>DeTHn1sXnD</t>
  </si>
  <si>
    <t>2026-05-09T19:41:10.951Z</t>
  </si>
  <si>
    <t>cZKJ2XSi3F</t>
  </si>
  <si>
    <t>KPwxJ7pARZ</t>
  </si>
  <si>
    <t>2026-05-09T19:44:19.639Z</t>
  </si>
  <si>
    <t>c4dVCzCkjg</t>
  </si>
  <si>
    <t>Go6PbyYzZs</t>
  </si>
  <si>
    <t>2026-05-09T19:48:30.312Z</t>
  </si>
  <si>
    <t>hgDFZmJocS</t>
  </si>
  <si>
    <t>cT218eV6xZ</t>
  </si>
  <si>
    <t>2026-05-09T19:49:37.475Z</t>
  </si>
  <si>
    <t>oM3fvnQ5n4</t>
  </si>
  <si>
    <t>8ojfgneN7i</t>
  </si>
  <si>
    <t>2026-05-09T19:50:43.712Z</t>
  </si>
  <si>
    <t>LZeg491WNf</t>
  </si>
  <si>
    <t>3HfBGzmhKN</t>
  </si>
  <si>
    <t>2026-05-09T20:01:02.211Z</t>
  </si>
  <si>
    <t>xBzvpDNNqx</t>
  </si>
  <si>
    <t>ZqghTYwmNT</t>
  </si>
  <si>
    <t>2026-05-09T20:13:26.529Z</t>
  </si>
  <si>
    <t xml:space="preserve">STX Witherbloom spells </t>
  </si>
  <si>
    <t>vbR51K5xwY</t>
  </si>
  <si>
    <t>zcjtQE5Qmi</t>
  </si>
  <si>
    <t>2026-05-09T20:14:35.698Z</t>
  </si>
  <si>
    <t>sepz2MPwue</t>
  </si>
  <si>
    <t>r2tQ7QYW2S</t>
  </si>
  <si>
    <t>2026-05-09T20:15:40.719Z</t>
  </si>
  <si>
    <t>q5WXdyUVmq</t>
  </si>
  <si>
    <t>9HEw1XHyXz</t>
  </si>
  <si>
    <t>2026-05-09T20:22:54.930Z</t>
  </si>
  <si>
    <t>xntLRndP95</t>
  </si>
  <si>
    <t>3rWpdYKHAE</t>
  </si>
  <si>
    <t>2026-05-09T20:24:01.612Z</t>
  </si>
  <si>
    <t>mjDNFYve65</t>
  </si>
  <si>
    <t>WM5reac72i</t>
  </si>
  <si>
    <t>2026-05-09T20:31:15.940Z</t>
  </si>
  <si>
    <t>PaKtXeoWYh</t>
  </si>
  <si>
    <t>CgBohKW3nG</t>
  </si>
  <si>
    <t>2026-05-09T20:32:29.485Z</t>
  </si>
  <si>
    <t>RfbSkbCfua</t>
  </si>
  <si>
    <t>XmHXTFUBXV</t>
  </si>
  <si>
    <t>2026-05-09T20:33:34.975Z</t>
  </si>
  <si>
    <t>ktiExnrY6u</t>
  </si>
  <si>
    <t>wuZSfWecBA</t>
  </si>
  <si>
    <t>2026-05-09T20:43:54.774Z</t>
  </si>
  <si>
    <t>pPMSV9UJeh</t>
  </si>
  <si>
    <t>7a5UNfb8ps</t>
  </si>
  <si>
    <t>Jacky L</t>
  </si>
  <si>
    <t>2026-05-09T20:45:01.378Z</t>
  </si>
  <si>
    <t>Luckbox#52583</t>
  </si>
  <si>
    <t>746043622709002381</t>
  </si>
  <si>
    <t>GM4WfkXyBd</t>
  </si>
  <si>
    <t>C4dXxs16i5</t>
  </si>
  <si>
    <t>2026-05-09T21:28:12.016Z</t>
  </si>
  <si>
    <t>cJUW5f4qcg</t>
  </si>
  <si>
    <t>ef2iFgKepk</t>
  </si>
  <si>
    <t>Cards that return themselves from the graveyard to the battlefield</t>
  </si>
  <si>
    <t>2026-05-09T21:28:15.367Z</t>
  </si>
  <si>
    <t>7bEtyd3BeR</t>
  </si>
  <si>
    <t>x3r6hK93MV</t>
  </si>
  <si>
    <t>2026-05-09T21:28:20.856Z</t>
  </si>
  <si>
    <t>9FLVZh4S8o</t>
  </si>
  <si>
    <t>GNKN7aEuvP</t>
  </si>
  <si>
    <t>2026-05-09T21:29:27.038Z</t>
  </si>
  <si>
    <t>8guEx2HN68</t>
  </si>
  <si>
    <t>AHLYvDwiUr</t>
  </si>
  <si>
    <t>2026-05-09T21:33:38.931Z</t>
  </si>
  <si>
    <t>QLUG4rtdcV</t>
  </si>
  <si>
    <t>oYrzDomMQD</t>
  </si>
  <si>
    <t>2026-05-09T21:34:44.591Z</t>
  </si>
  <si>
    <t>ubS7bV1ync</t>
  </si>
  <si>
    <t>6jfJeLVppA</t>
  </si>
  <si>
    <t>2026-05-09T21:34:48.150Z</t>
  </si>
  <si>
    <t>e3VWPrb6Kk</t>
  </si>
  <si>
    <t>QfprcHHTPp</t>
  </si>
  <si>
    <t>2026-05-09T21:45:06.512Z</t>
  </si>
  <si>
    <t>CK6Sh8B5Gm</t>
  </si>
  <si>
    <t>pBZ8qEK5ME</t>
  </si>
  <si>
    <t>2026-05-09T22:08:42.802Z</t>
  </si>
  <si>
    <t>kcbSbsvnWa</t>
  </si>
  <si>
    <t>KbvRBbNi2q</t>
  </si>
  <si>
    <t>2026-05-09T22:11:53.923Z</t>
  </si>
  <si>
    <t>uhq6qVki2c</t>
  </si>
  <si>
    <t>5usWtJuozo</t>
  </si>
  <si>
    <t>2026-05-09T22:17:04.704Z</t>
  </si>
  <si>
    <t>NvQn1nbP5K</t>
  </si>
  <si>
    <t>uSj7JeUwzu</t>
  </si>
  <si>
    <t>2026-05-09T22:43:45.188Z</t>
  </si>
  <si>
    <t>suko23dmPc</t>
  </si>
  <si>
    <t>FNGxoY7jma</t>
  </si>
  <si>
    <t>2026-05-09T22:45:52.271Z</t>
  </si>
  <si>
    <t>Creatures that gain life</t>
  </si>
  <si>
    <t>E5a887KZGf</t>
  </si>
  <si>
    <t>273Ug2jT9H</t>
  </si>
  <si>
    <t>2026-05-09T22:51:05.002Z</t>
  </si>
  <si>
    <t>HYSZodGwTK</t>
  </si>
  <si>
    <t>mJUMZ9YFAQ</t>
  </si>
  <si>
    <t>2026-05-09T23:00:21.630Z</t>
  </si>
  <si>
    <t>qn4kq4yNN6</t>
  </si>
  <si>
    <t>GhdcaYBWmR</t>
  </si>
  <si>
    <t>2026-05-09T23:04:31.099Z</t>
  </si>
  <si>
    <t>6YuwNruvWe</t>
  </si>
  <si>
    <t>K9X83Qxteu</t>
  </si>
  <si>
    <t>2026-05-09T23:58:49.975Z</t>
  </si>
  <si>
    <t>RjuqtnafRZ</t>
  </si>
  <si>
    <t>w1t5wns1qV</t>
  </si>
  <si>
    <t>2026-05-10T00:23:27.760Z</t>
  </si>
  <si>
    <t>p8nWZxXM5E</t>
  </si>
  <si>
    <t>ZQT1KytC6E</t>
  </si>
  <si>
    <t>2026-05-10T00:43:01.482Z</t>
  </si>
  <si>
    <t>KJehb2C111</t>
  </si>
  <si>
    <t>nBdBPN6tyR</t>
  </si>
  <si>
    <t>2026-05-10T01:00:41.438Z</t>
  </si>
  <si>
    <t>XmwxAtMPgU</t>
  </si>
  <si>
    <t>McVoBRvthp</t>
  </si>
  <si>
    <t>2026-05-10T01:27:25.183Z</t>
  </si>
  <si>
    <t>5VPxhNWrhq</t>
  </si>
  <si>
    <t>vX6oU2qYy2</t>
  </si>
  <si>
    <t>2026-05-10T01:36:43.529Z</t>
  </si>
  <si>
    <t>zX7Y4eQsmv</t>
  </si>
  <si>
    <t>br3wKUexSD</t>
  </si>
  <si>
    <t>2026-05-10T01:48:04.490Z</t>
  </si>
  <si>
    <t>QiFtG9MQLf</t>
  </si>
  <si>
    <t>L19C37oQ7H</t>
  </si>
  <si>
    <t>2026-05-10T02:14:46.176Z</t>
  </si>
  <si>
    <t>CFg9m4w8we</t>
  </si>
  <si>
    <t>dfVctwyFgq</t>
  </si>
  <si>
    <t>2026-05-10T02:25:04.843Z</t>
  </si>
  <si>
    <t>Lz2pJ1xGKg</t>
  </si>
  <si>
    <t>2UMvkz3Rkx</t>
  </si>
  <si>
    <t>2026-05-10T02:25:09.893Z</t>
  </si>
  <si>
    <t>CswdPyrqSn</t>
  </si>
  <si>
    <t>3MMFAwPfgr</t>
  </si>
  <si>
    <t>2026-05-10T02:47:44.826Z</t>
  </si>
  <si>
    <t>Q3gPPNKjEi</t>
  </si>
  <si>
    <t>QzFz2QyPRd</t>
  </si>
  <si>
    <t>2026-05-10T02:47:49.594Z</t>
  </si>
  <si>
    <t>EDwtKzNE2B</t>
  </si>
  <si>
    <t>v8mBgJjncT</t>
  </si>
  <si>
    <t>2026-05-10T03:06:20.202Z</t>
  </si>
  <si>
    <t>H6ZWTpUyLM</t>
  </si>
  <si>
    <t>Qr5XyPNRrK</t>
  </si>
  <si>
    <t>2026-05-10T03:12:35.677Z</t>
  </si>
  <si>
    <t>NogWj32a35</t>
  </si>
  <si>
    <t>uXWzPgMcBn</t>
  </si>
  <si>
    <t>2026-05-10T03:38:17.333Z</t>
  </si>
  <si>
    <t>bHrMHsrXFh</t>
  </si>
  <si>
    <t>PU3Yj311q5</t>
  </si>
  <si>
    <t>2026-05-10T03:39:23.807Z</t>
  </si>
  <si>
    <t>nv5Bsrp2ZB</t>
  </si>
  <si>
    <t>iaBRqiyH5p</t>
  </si>
  <si>
    <t>2026-05-10T03:54:48.302Z</t>
  </si>
  <si>
    <t>qyC24DEzgv</t>
  </si>
  <si>
    <t>EREj1ytXJr</t>
  </si>
  <si>
    <t>2026-05-10T03:57:56.481Z</t>
  </si>
  <si>
    <t>Rd4J6jYW8g</t>
  </si>
  <si>
    <t>5EcwLbPgcG</t>
  </si>
  <si>
    <t>2026-05-10T04:36:51.594Z</t>
  </si>
  <si>
    <t>qzv31Q7YfR</t>
  </si>
  <si>
    <t>Nj1KB3Mo57</t>
  </si>
  <si>
    <t>2026-05-10T05:00:28.154Z</t>
  </si>
  <si>
    <t>gE9ysk2WHx</t>
  </si>
  <si>
    <t>UgEA3uuQtS</t>
  </si>
  <si>
    <t>2026-05-10T05:24:04.312Z</t>
  </si>
  <si>
    <t>5XZ3U41Xy8</t>
  </si>
  <si>
    <t>YpsLJyn5NV</t>
  </si>
  <si>
    <t>2026-05-10T05:45:37.223Z</t>
  </si>
  <si>
    <t>UPviJxufzM</t>
  </si>
  <si>
    <t>CTRnX6jLYH</t>
  </si>
  <si>
    <t>2026-05-10T06:15:23.594Z</t>
  </si>
  <si>
    <t>oQwcejh2H6</t>
  </si>
  <si>
    <t>DmjKUbao8m</t>
  </si>
  <si>
    <t>2026-05-10T08:43:40.713Z</t>
  </si>
  <si>
    <t>zSWGiJJCcU</t>
  </si>
  <si>
    <t>GKGn7eBcSW</t>
  </si>
  <si>
    <t>2026-05-10T10:21:03.888Z</t>
  </si>
  <si>
    <t>DohEwBYZe8</t>
  </si>
  <si>
    <t>ZzptCxqwkz</t>
  </si>
  <si>
    <t>2026-05-10T10:45:42.784Z</t>
  </si>
  <si>
    <t>4DjGjU7ChK</t>
  </si>
  <si>
    <t>ezFnJJcQoo</t>
  </si>
  <si>
    <t>2026-05-10T11:20:35.825Z</t>
  </si>
  <si>
    <t>NMDA2X94iE</t>
  </si>
  <si>
    <t>G1PbgnZ2Eq</t>
  </si>
  <si>
    <t>2026-05-10T13:00:52.747Z</t>
  </si>
  <si>
    <t>ZomhVUXus2</t>
  </si>
  <si>
    <t>ToSV59of3Z</t>
  </si>
  <si>
    <t>2026-05-10T13:29:34.437Z</t>
  </si>
  <si>
    <t>r2vcTqGG2M</t>
  </si>
  <si>
    <t>4Vm4oMwp8E</t>
  </si>
  <si>
    <t>2026-05-10T13:53:11.066Z</t>
  </si>
  <si>
    <t>3jQU8UXfJL</t>
  </si>
  <si>
    <t>ZBh39xhYzy</t>
  </si>
  <si>
    <t>2026-05-10T14:06:35.624Z</t>
  </si>
  <si>
    <t>xj66s7HkEz</t>
  </si>
  <si>
    <t>txyrETb8vB</t>
  </si>
  <si>
    <t>2026-05-10T14:30:12.412Z</t>
  </si>
  <si>
    <t>8GExafXWuU</t>
  </si>
  <si>
    <t>jBEdBYJ3aZ</t>
  </si>
  <si>
    <t>2026-05-10T14:37:27.106Z</t>
  </si>
  <si>
    <t>Jacob B</t>
  </si>
  <si>
    <t>tR9YUrLrQ7</t>
  </si>
  <si>
    <t>nonstopjacob#90440</t>
  </si>
  <si>
    <t>eZdpPgKGVk</t>
  </si>
  <si>
    <t>2026-05-10T14:47:45.811Z</t>
  </si>
  <si>
    <t>332697261752582145</t>
  </si>
  <si>
    <t>YFPHNYeJ25</t>
  </si>
  <si>
    <t>FGdgyMxPHB</t>
  </si>
  <si>
    <t>2026-05-10T15:07:14.108Z</t>
  </si>
  <si>
    <t>HpVSkN7RTm</t>
  </si>
  <si>
    <t>Wgn291d15R</t>
  </si>
  <si>
    <t>2026-05-10T15:18:33.107Z</t>
  </si>
  <si>
    <t>j558Cw33f3</t>
  </si>
  <si>
    <t>mewbQHiBWh</t>
  </si>
  <si>
    <t>2026-05-10T15:29:56.623Z</t>
  </si>
  <si>
    <t>JLGwCgM5vf</t>
  </si>
  <si>
    <t>fbtMAYSTtw</t>
  </si>
  <si>
    <t>2026-05-10T15:30:02.332Z</t>
  </si>
  <si>
    <t>AGUvYZeu2j</t>
  </si>
  <si>
    <t>5WQevLVHk8</t>
  </si>
  <si>
    <t>2026-05-10T15:58:46.044Z</t>
  </si>
  <si>
    <t>2qMuWygeUW</t>
  </si>
  <si>
    <t>hteds63zNd</t>
  </si>
  <si>
    <t>2026-05-10T16:03:57.987Z</t>
  </si>
  <si>
    <t>Vk2Jn2vaED</t>
  </si>
  <si>
    <t>fiAAuedURT</t>
  </si>
  <si>
    <t>2026-05-10T16:13:23.744Z</t>
  </si>
  <si>
    <t>QVENipBDzd</t>
  </si>
  <si>
    <t>pmrTeVvhJc</t>
  </si>
  <si>
    <t>2026-05-10T16:44:11.600Z</t>
  </si>
  <si>
    <t>Y34bRzDHuZ</t>
  </si>
  <si>
    <t>NNCrUj8Wku</t>
  </si>
  <si>
    <t>2026-05-10T16:45:17.200Z</t>
  </si>
  <si>
    <t>qtFGY2af2X</t>
  </si>
  <si>
    <t>fnrdbuKmvZ</t>
  </si>
  <si>
    <t>2026-05-10T16:49:26.711Z</t>
  </si>
  <si>
    <t>6dTdKFvdmm</t>
  </si>
  <si>
    <t>e4STYDG37W</t>
  </si>
  <si>
    <t>2026-05-10T16:59:46.440Z</t>
  </si>
  <si>
    <t>tLqLsaSmjM</t>
  </si>
  <si>
    <t>BBMReFQzJH</t>
  </si>
  <si>
    <t>2026-05-10T17:00:52.375Z</t>
  </si>
  <si>
    <t>b4a94hFKQk</t>
  </si>
  <si>
    <t>Jr5BXtRwK2</t>
  </si>
  <si>
    <t>2026-05-10T17:32:38.914Z</t>
  </si>
  <si>
    <t>AkfgeSmoYa</t>
  </si>
  <si>
    <t>DDv1i3ssWF</t>
  </si>
  <si>
    <t>2026-05-10T17:47:04.672Z</t>
  </si>
  <si>
    <t>ixtiMNGPcQ</t>
  </si>
  <si>
    <t>d6RkLyAacR</t>
  </si>
  <si>
    <t>2026-05-10T18:08:40.803Z</t>
  </si>
  <si>
    <t>FhFecJx4U6</t>
  </si>
  <si>
    <t>JbTGCoCbhM</t>
  </si>
  <si>
    <t>2026-05-10T19:10:07.286Z</t>
  </si>
  <si>
    <t>GaLr7iYsQ7</t>
  </si>
  <si>
    <t>B48t83HCqi</t>
  </si>
  <si>
    <t>2026-05-10T19:23:29.462Z</t>
  </si>
  <si>
    <t>xMMdStwydF</t>
  </si>
  <si>
    <t>RvSzugDdtP</t>
  </si>
  <si>
    <t>2026-05-10T19:51:12.497Z</t>
  </si>
  <si>
    <t>SmgDN6HDPB</t>
  </si>
  <si>
    <t>6PUGLkHEzH</t>
  </si>
  <si>
    <t>2026-05-10T19:56:25.147Z</t>
  </si>
  <si>
    <t>vD6iiakJcG</t>
  </si>
  <si>
    <t>FhskL1jj1K</t>
  </si>
  <si>
    <t>2026-05-10T20:54:44.635Z</t>
  </si>
  <si>
    <t>QqN5wrzYCn</t>
  </si>
  <si>
    <t>KXKKQiNXFL</t>
  </si>
  <si>
    <t>2026-05-10T21:26:33.982Z</t>
  </si>
  <si>
    <t>LGy8ZabDAm</t>
  </si>
  <si>
    <t>ar7ex9XDSA</t>
  </si>
  <si>
    <t>2026-05-10T22:03:31.775Z</t>
  </si>
  <si>
    <t>xohyYrMfwE</t>
  </si>
  <si>
    <t>w6juFvHns4</t>
  </si>
  <si>
    <t>2026-05-10T22:29:12.767Z</t>
  </si>
  <si>
    <t>bzXdc3WX16</t>
  </si>
  <si>
    <t>j5zFy6LLnw</t>
  </si>
  <si>
    <t>2026-05-10T23:14:17.022Z</t>
  </si>
  <si>
    <t>6EHsdWtck9</t>
  </si>
  <si>
    <t>XiyfF4tDZC</t>
  </si>
  <si>
    <t>2026-05-10T23:30:45.608Z</t>
  </si>
  <si>
    <t>FrVJ8wvC3D</t>
  </si>
  <si>
    <t>wfNukBLA83</t>
  </si>
  <si>
    <t>2026-05-10T23:41:06.734Z</t>
  </si>
  <si>
    <t>jLTuECWznB</t>
  </si>
  <si>
    <t>8RBXA2Cydj</t>
  </si>
  <si>
    <t>2026-05-11T01:01:00.670Z</t>
  </si>
  <si>
    <t>so4X9RriZk</t>
  </si>
  <si>
    <t>nHDPBcyg9s</t>
  </si>
  <si>
    <t>2026-05-11T01:03:07.921Z</t>
  </si>
  <si>
    <t>NWi8KtPrZ3</t>
  </si>
  <si>
    <t>9kPk7TF5GR</t>
  </si>
  <si>
    <t>2026-05-11T01:32:52.086Z</t>
  </si>
  <si>
    <t>FUTMrnsai5</t>
  </si>
  <si>
    <t>e2Sfgkbp6B</t>
  </si>
  <si>
    <t>2026-05-11T01:45:15.493Z</t>
  </si>
  <si>
    <t>XmLXFWcWSx</t>
  </si>
  <si>
    <t>YwusZxRn9Q</t>
  </si>
  <si>
    <t>2026-05-11T02:10:57.895Z</t>
  </si>
  <si>
    <t>TccV2m8VgZ</t>
  </si>
  <si>
    <t>PkNeNxSWyq</t>
  </si>
  <si>
    <t>2026-05-11T02:13:06.806Z</t>
  </si>
  <si>
    <t>V1jzYNWZ4n</t>
  </si>
  <si>
    <t>gEKm4ifNKN</t>
  </si>
  <si>
    <t>2026-05-11T02:33:38.484Z</t>
  </si>
  <si>
    <t>Vw529fJfdD</t>
  </si>
  <si>
    <t>qhumfc1WbJ</t>
  </si>
  <si>
    <t>2026-05-11T02:34:43.984Z</t>
  </si>
  <si>
    <t>XJAR9ZsQHK</t>
  </si>
  <si>
    <t>LhoJ9ZS5Bz</t>
  </si>
  <si>
    <t>2026-05-11T03:12:44.506Z</t>
  </si>
  <si>
    <t>vCyHnsvMcd</t>
  </si>
  <si>
    <t>tenPBtheSt</t>
  </si>
  <si>
    <t>2026-05-11T03:21:00.833Z</t>
  </si>
  <si>
    <t>wzHgYWgeyU</t>
  </si>
  <si>
    <t>WQV7N3amrU</t>
  </si>
  <si>
    <t>2026-05-11T03:31:21.343Z</t>
  </si>
  <si>
    <t>hKkc414otq</t>
  </si>
  <si>
    <t>67oRo9Jekc</t>
  </si>
  <si>
    <t>2026-05-11T03:58:00.318Z</t>
  </si>
  <si>
    <t>8mVVfU5kkW</t>
  </si>
  <si>
    <t>5a41ReyrpS</t>
  </si>
  <si>
    <t>2026-05-11T04:00:09.778Z</t>
  </si>
  <si>
    <t>6fy9o39Y71</t>
  </si>
  <si>
    <t>HNbs8vBQZm</t>
  </si>
  <si>
    <t>2026-05-11T04:09:28.082Z</t>
  </si>
  <si>
    <t>wMXhhc73Qr</t>
  </si>
  <si>
    <t>LLBJ3T2MTy</t>
  </si>
  <si>
    <t>2026-05-11T04:10:36.449Z</t>
  </si>
  <si>
    <t>7obZ2m6H79</t>
  </si>
  <si>
    <t>tg11eveHs9</t>
  </si>
  <si>
    <t>2026-05-11T04:34:15.297Z</t>
  </si>
  <si>
    <t>YHmoUQyXdb</t>
  </si>
  <si>
    <t>YSQ6pQvNuX</t>
  </si>
  <si>
    <t>2026-05-11T05:25:31.618Z</t>
  </si>
  <si>
    <t>9XZbUt2C2C</t>
  </si>
  <si>
    <t>FXJLQkBEwn</t>
  </si>
  <si>
    <t>2026-05-11T05:41:02.705Z</t>
  </si>
  <si>
    <t>1H8d4AeLbB</t>
  </si>
  <si>
    <t>FSc1gMAmA4</t>
  </si>
  <si>
    <t>2026-05-11T06:39:28.593Z</t>
  </si>
  <si>
    <t>cQqCGiBY36</t>
  </si>
  <si>
    <t>qsDW59N7Hj</t>
  </si>
  <si>
    <t>2026-05-11T11:21:13.474Z</t>
  </si>
  <si>
    <t>7CmrVrBizk</t>
  </si>
  <si>
    <t>yPJ6faYhHm</t>
  </si>
  <si>
    <t>2026-05-11T13:02:43.718Z</t>
  </si>
  <si>
    <t>Jacob F</t>
  </si>
  <si>
    <t>1WY4PmPW9g</t>
  </si>
  <si>
    <t>cerbyte#37555</t>
  </si>
  <si>
    <t>EYUKUsLtzp</t>
  </si>
  <si>
    <t>143513716820934658</t>
  </si>
  <si>
    <t>2026-05-11T13:05:54.800Z</t>
  </si>
  <si>
    <t>oz7zM9NPFa</t>
  </si>
  <si>
    <t>tmSgTACohv</t>
  </si>
  <si>
    <t>2026-05-11T13:40:46.825Z</t>
  </si>
  <si>
    <t>aHrNoT6p9S</t>
  </si>
  <si>
    <t>StqbbPjyN6</t>
  </si>
  <si>
    <t>2026-05-11T14:00:25.265Z</t>
  </si>
  <si>
    <t>EvGji17tQ7</t>
  </si>
  <si>
    <t>KZihJGVAUi</t>
  </si>
  <si>
    <t>2026-05-11T14:23:18.223Z</t>
  </si>
  <si>
    <t>FyPdyuX7Jq</t>
  </si>
  <si>
    <t>fX3xsp1WRJ</t>
  </si>
  <si>
    <t>2026-05-11T14:36:17.200Z</t>
  </si>
  <si>
    <t>E7tPg7BTQr</t>
  </si>
  <si>
    <t>thnqjS1mf4</t>
  </si>
  <si>
    <t>2026-05-11T14:49:02.155Z</t>
  </si>
  <si>
    <t>hP2S2o4uuV</t>
  </si>
  <si>
    <t>sFP5MNuNdb</t>
  </si>
  <si>
    <t>2026-05-11T15:11:45.378Z</t>
  </si>
  <si>
    <t>Et8ZWEzEJ3</t>
  </si>
  <si>
    <t>Yp16Rpeewx</t>
  </si>
  <si>
    <t>2026-05-11T15:20:04.231Z</t>
  </si>
  <si>
    <t>vMVAWJMGDf</t>
  </si>
  <si>
    <t>8kggKZ9GBu</t>
  </si>
  <si>
    <t>2026-05-11T15:34:29.248Z</t>
  </si>
  <si>
    <t>FV7yvJu698</t>
  </si>
  <si>
    <t>nnxkUK7aLC</t>
  </si>
  <si>
    <t>2026-05-11T15:56:01.347Z</t>
  </si>
  <si>
    <t>VZaftGqcps</t>
  </si>
  <si>
    <t>1bkw2Auhmg</t>
  </si>
  <si>
    <t>2026-05-11T16:04:16.046Z</t>
  </si>
  <si>
    <t>TcHHhRjL3M</t>
  </si>
  <si>
    <t>2QQcwYoSBn</t>
  </si>
  <si>
    <t>2026-05-11T16:16:36.783Z</t>
  </si>
  <si>
    <t>KvNNb2Sfzy</t>
  </si>
  <si>
    <t>8HiDhroXGE</t>
  </si>
  <si>
    <t>2026-05-11T16:42:17.623Z</t>
  </si>
  <si>
    <t>DkijmHKeDo</t>
  </si>
  <si>
    <t>wJz2HvTEAe</t>
  </si>
  <si>
    <t>2026-05-11T16:53:36.338Z</t>
  </si>
  <si>
    <t>QkQPrqXDuF</t>
  </si>
  <si>
    <t>ihverZwXxM</t>
  </si>
  <si>
    <t>2026-05-11T17:00:57.932Z</t>
  </si>
  <si>
    <t>Hf1VttMwpb</t>
  </si>
  <si>
    <t>JmM6rbQwr6</t>
  </si>
  <si>
    <t>2026-05-11T17:01:05.475Z</t>
  </si>
  <si>
    <t>x1dnAMmdzS</t>
  </si>
  <si>
    <t>T7XGEMQp6o</t>
  </si>
  <si>
    <t>2026-05-11T17:13:35.542Z</t>
  </si>
  <si>
    <t>7b3QrH9AL2</t>
  </si>
  <si>
    <t>g6YELuzxFs</t>
  </si>
  <si>
    <t>2026-05-11T17:16:43.068Z</t>
  </si>
  <si>
    <t>DH8bV3uJfR</t>
  </si>
  <si>
    <t>nzeucCjKQ8</t>
  </si>
  <si>
    <t>2026-05-11T17:16:46.200Z</t>
  </si>
  <si>
    <t>uWADekW1BU</t>
  </si>
  <si>
    <t>uyzAQ45hex</t>
  </si>
  <si>
    <t>2026-05-11T17:38:15.105Z</t>
  </si>
  <si>
    <t>wyxSChn3UZ</t>
  </si>
  <si>
    <t>AfoBbGQsvF</t>
  </si>
  <si>
    <t>2026-05-11T17:41:22.957Z</t>
  </si>
  <si>
    <t>qAK7iico9n</t>
  </si>
  <si>
    <t>LpTB3p5mYc</t>
  </si>
  <si>
    <t>2026-05-11T17:42:28.327Z</t>
  </si>
  <si>
    <t>52L84A2Wpi</t>
  </si>
  <si>
    <t>cyWtKDzgwL</t>
  </si>
  <si>
    <t>2026-05-11T18:02:57.888Z</t>
  </si>
  <si>
    <t>wWjbtzzsri</t>
  </si>
  <si>
    <t>osSWLaeMRe</t>
  </si>
  <si>
    <t>2026-05-11T18:06:07.790Z</t>
  </si>
  <si>
    <t>hi1nxZrUbE</t>
  </si>
  <si>
    <t>wKgcZNNMhD</t>
  </si>
  <si>
    <t>2026-05-11T18:08:15.161Z</t>
  </si>
  <si>
    <t>9HFPowjCCS</t>
  </si>
  <si>
    <t>gK1xkyFrFc</t>
  </si>
  <si>
    <t>2026-05-11T18:47:19.930Z</t>
  </si>
  <si>
    <t>4ULYx9tGvm</t>
  </si>
  <si>
    <t>h1EBqcAatf</t>
  </si>
  <si>
    <t>2026-05-11T19:16:27.304Z</t>
  </si>
  <si>
    <t>aXKCpV5Ajo</t>
  </si>
  <si>
    <t>5XpWvQpHuD</t>
  </si>
  <si>
    <t>2026-05-11T19:25:48.841Z</t>
  </si>
  <si>
    <t>VHjT4gAVUK</t>
  </si>
  <si>
    <t>YLdf6YMh8J</t>
  </si>
  <si>
    <t>2026-05-11T19:32:02.666Z</t>
  </si>
  <si>
    <t>8XzkAsvXCy</t>
  </si>
  <si>
    <t>Wrm2MVYS3N</t>
  </si>
  <si>
    <t>2026-05-11T19:50:29.132Z</t>
  </si>
  <si>
    <t>ejEptLgcrr</t>
  </si>
  <si>
    <t>kGLHA8opEG</t>
  </si>
  <si>
    <t>2026-05-11T20:01:45.271Z</t>
  </si>
  <si>
    <t>BWo7upsQ6M</t>
  </si>
  <si>
    <t>D2CLHYwxqs</t>
  </si>
  <si>
    <t>2026-05-11T20:22:13.111Z</t>
  </si>
  <si>
    <t>EaGy5fPFAm</t>
  </si>
  <si>
    <t>3AUENWSQnN</t>
  </si>
  <si>
    <t>2026-05-11T20:34:31.948Z</t>
  </si>
  <si>
    <t>zmKHBDxYSV</t>
  </si>
  <si>
    <t>x6bqb7TcTh</t>
  </si>
  <si>
    <t>2026-05-11T21:36:21.981Z</t>
  </si>
  <si>
    <t>kERTFSdSKg</t>
  </si>
  <si>
    <t>1Z64UeVhsA</t>
  </si>
  <si>
    <t>2026-05-11T21:36:27.451Z</t>
  </si>
  <si>
    <t>oXFSYTjNg6</t>
  </si>
  <si>
    <t>z5ctdKECiK</t>
  </si>
  <si>
    <t>2026-05-11T21:36:31.260Z</t>
  </si>
  <si>
    <t>nVBMYmtWjJ</t>
  </si>
  <si>
    <t>DJm43kRpbS</t>
  </si>
  <si>
    <t>2026-05-11T21:36:37.958Z</t>
  </si>
  <si>
    <t>xB7sqDDJQf</t>
  </si>
  <si>
    <t>wgaohMH2h9</t>
  </si>
  <si>
    <t>2026-05-11T21:50:59.792Z</t>
  </si>
  <si>
    <t>ka8dcVEycr</t>
  </si>
  <si>
    <t>r6xbVQSvbj</t>
  </si>
  <si>
    <t>2026-05-11T21:51:04.307Z</t>
  </si>
  <si>
    <t>GeMpZY9aKF</t>
  </si>
  <si>
    <t>Jacob H</t>
  </si>
  <si>
    <t>KvyzgZ5t7E</t>
  </si>
  <si>
    <t>Jahbna#39577</t>
  </si>
  <si>
    <t>2026-05-11T21:51:18.325Z</t>
  </si>
  <si>
    <t>682208946655723521</t>
  </si>
  <si>
    <t>ZEHZAmtBLC</t>
  </si>
  <si>
    <t>chyfT29C2W</t>
  </si>
  <si>
    <t>2026-05-11T21:54:26.401Z</t>
  </si>
  <si>
    <t>1FbBYjFvSy</t>
  </si>
  <si>
    <t>mrZSx1hcx8</t>
  </si>
  <si>
    <t>2026-05-11T22:30:46.987Z</t>
  </si>
  <si>
    <t>uUtWrWCnt9</t>
  </si>
  <si>
    <t>c345s7mK3K</t>
  </si>
  <si>
    <t>2026-05-11T22:43:15.277Z</t>
  </si>
  <si>
    <t>HaPEdjmk8c</t>
  </si>
  <si>
    <t>VijefXtRWg</t>
  </si>
  <si>
    <t>2026-05-11T23:02:38.862Z</t>
  </si>
  <si>
    <t>dwcq58m6WQ</t>
  </si>
  <si>
    <t>kP1T3T4XAY</t>
  </si>
  <si>
    <t>2026-05-11T23:41:22.146Z</t>
  </si>
  <si>
    <t>99nWUyoSYY</t>
  </si>
  <si>
    <t>VrmDgzDsKS</t>
  </si>
  <si>
    <t>2026-05-11T23:49:34.104Z</t>
  </si>
  <si>
    <t>MmiK5qjnH2</t>
  </si>
  <si>
    <t>8n4vsYmdRg</t>
  </si>
  <si>
    <t>2026-05-12T00:00:50.362Z</t>
  </si>
  <si>
    <t>zSe9Pp7Arm</t>
  </si>
  <si>
    <t>TysEUa1jX9</t>
  </si>
  <si>
    <t>2026-05-12T00:09:04.048Z</t>
  </si>
  <si>
    <t>2Q6UXXg3vM</t>
  </si>
  <si>
    <t>Q3fK1Rj9zK</t>
  </si>
  <si>
    <t>2026-05-12T00:10:09.498Z</t>
  </si>
  <si>
    <t>3QztNTV8PL</t>
  </si>
  <si>
    <t>6d891pS7F3</t>
  </si>
  <si>
    <t>2026-05-12T00:58:06.993Z</t>
  </si>
  <si>
    <t>Dt5Ry31Nt4</t>
  </si>
  <si>
    <t>rJ8f2oFbP2</t>
  </si>
  <si>
    <t>2026-05-12T00:59:14.474Z</t>
  </si>
  <si>
    <t>sMVcmaoaub</t>
  </si>
  <si>
    <t>SiZDhP1JG8</t>
  </si>
  <si>
    <t>2026-05-12T01:24:47.689Z</t>
  </si>
  <si>
    <t>YgmMRBCkug</t>
  </si>
  <si>
    <t>1gy2DD7gyW</t>
  </si>
  <si>
    <t>2026-05-12T01:35:06.769Z</t>
  </si>
  <si>
    <t>8QyimZLfQ8</t>
  </si>
  <si>
    <t>GRuvYKMA5A</t>
  </si>
  <si>
    <t>2026-05-12T01:40:17.569Z</t>
  </si>
  <si>
    <t>74fDUrD6gq</t>
  </si>
  <si>
    <t>odqw9zqNs9</t>
  </si>
  <si>
    <t>2026-05-12T02:29:40.508Z</t>
  </si>
  <si>
    <t>pwbCtT3CUi</t>
  </si>
  <si>
    <t>pdKzMkA9Vy</t>
  </si>
  <si>
    <t>2026-05-12T02:29:45.576Z</t>
  </si>
  <si>
    <t>7hAEVpjL2t</t>
  </si>
  <si>
    <t>fSRMKpj5Rd</t>
  </si>
  <si>
    <t>2026-05-12T02:41:02.448Z</t>
  </si>
  <si>
    <t>f8xA8hh5pL</t>
  </si>
  <si>
    <t>5aWjTpeF8p</t>
  </si>
  <si>
    <t>2026-05-12T03:07:31.245Z</t>
  </si>
  <si>
    <t>3yZdGzsgnb</t>
  </si>
  <si>
    <t>aMg1rd86dg</t>
  </si>
  <si>
    <t>2026-05-12T03:14:43.704Z</t>
  </si>
  <si>
    <t>J3VARcdmPB</t>
  </si>
  <si>
    <t>shdDWCSte7</t>
  </si>
  <si>
    <t>2026-05-12T03:19:52.794Z</t>
  </si>
  <si>
    <t>cqTh99ra1n</t>
  </si>
  <si>
    <t>r71WRH3AMZ</t>
  </si>
  <si>
    <t>2026-05-12T03:26:05.135Z</t>
  </si>
  <si>
    <t>8WQBJ5azxv</t>
  </si>
  <si>
    <t>A96NgDHozT</t>
  </si>
  <si>
    <t>2026-05-12T03:28:10.773Z</t>
  </si>
  <si>
    <t>WVERfkXUAc</t>
  </si>
  <si>
    <t>CE3ht9C4C6</t>
  </si>
  <si>
    <t>2026-05-12T03:46:33.083Z</t>
  </si>
  <si>
    <t>CW5MnLVkE3</t>
  </si>
  <si>
    <t>M5ekWMdMeJ</t>
  </si>
  <si>
    <t>2026-05-12T03:58:49.810Z</t>
  </si>
  <si>
    <t>AQRnKNF9Ym</t>
  </si>
  <si>
    <t>L9jT4dRhFF</t>
  </si>
  <si>
    <t>2026-05-12T04:09:04.477Z</t>
  </si>
  <si>
    <t>XqM8foRAw7</t>
  </si>
  <si>
    <t>v9N9oT5w9i</t>
  </si>
  <si>
    <t>2026-05-12T04:14:13.956Z</t>
  </si>
  <si>
    <t>9Bc8BSme7V</t>
  </si>
  <si>
    <t>hZhbXNJxJx</t>
  </si>
  <si>
    <t>2026-05-12T04:30:32.713Z</t>
  </si>
  <si>
    <t>mLVsERmo3w</t>
  </si>
  <si>
    <t>qmorVJKZdv</t>
  </si>
  <si>
    <t>2026-05-12T04:44:04.762Z</t>
  </si>
  <si>
    <t>qejUzqSD17</t>
  </si>
  <si>
    <t>ptNzaekGn8</t>
  </si>
  <si>
    <t>2026-05-12T05:03:35.085Z</t>
  </si>
  <si>
    <t>1WBcvcfbuP</t>
  </si>
  <si>
    <t>ofrZCR6hp5</t>
  </si>
  <si>
    <t>2026-05-12T05:09:45.677Z</t>
  </si>
  <si>
    <t>gWufes5KEe</t>
  </si>
  <si>
    <t>un61MYNz8Q</t>
  </si>
  <si>
    <t>2026-05-12T05:10:52.146Z</t>
  </si>
  <si>
    <t>L3ahQoS911</t>
  </si>
  <si>
    <t>Ep5vkGyv6R</t>
  </si>
  <si>
    <t>2026-05-12T05:32:19.645Z</t>
  </si>
  <si>
    <t>gYoBSfmYcN</t>
  </si>
  <si>
    <t>EcSHPxGwsM</t>
  </si>
  <si>
    <t>2026-05-12T05:44:34.507Z</t>
  </si>
  <si>
    <t>1UgP741Eu7</t>
  </si>
  <si>
    <t>pwsaMJoDiR</t>
  </si>
  <si>
    <t>2026-05-12T06:25:32.934Z</t>
  </si>
  <si>
    <t>wQ45krM6uW</t>
  </si>
  <si>
    <t>kPwj9Zn8Da</t>
  </si>
  <si>
    <t>2026-05-12T12:30:53.770Z</t>
  </si>
  <si>
    <t>irZEdrJg64</t>
  </si>
  <si>
    <t>35qmHBUnxU</t>
  </si>
  <si>
    <t>2026-05-12T13:23:59.386Z</t>
  </si>
  <si>
    <t>WbVrnfUBNx</t>
  </si>
  <si>
    <t>egdW5XR5be</t>
  </si>
  <si>
    <t>2026-05-12T14:04:56.541Z</t>
  </si>
  <si>
    <t>6P9Qw5M2Rd</t>
  </si>
  <si>
    <t>81yo7UezMU</t>
  </si>
  <si>
    <t>2026-05-12T14:41:51.144Z</t>
  </si>
  <si>
    <t>CEwmc6kTBc</t>
  </si>
  <si>
    <t>A425yVsMfB</t>
  </si>
  <si>
    <t>2026-05-12T15:21:46.349Z</t>
  </si>
  <si>
    <t>tXyd83NZpL</t>
  </si>
  <si>
    <t>FjNCMQ6kaW</t>
  </si>
  <si>
    <t>2026-05-12T16:06:58.122Z</t>
  </si>
  <si>
    <t>TWj9KLXdAi</t>
  </si>
  <si>
    <t>BnaXxNo621</t>
  </si>
  <si>
    <t>2026-05-12T17:00:18.072Z</t>
  </si>
  <si>
    <t>LwEGZT3ENF</t>
  </si>
  <si>
    <t>iJKBdbJ8T1</t>
  </si>
  <si>
    <t>2026-05-12T17:02:27.711Z</t>
  </si>
  <si>
    <t>nyj4w8qtBH</t>
  </si>
  <si>
    <t>fybCZWLC4U</t>
  </si>
  <si>
    <t>2026-05-12T17:18:55.579Z</t>
  </si>
  <si>
    <t>Jacob P</t>
  </si>
  <si>
    <t>Pie_Demon#80712</t>
  </si>
  <si>
    <t>8y5uQ5cS8n</t>
  </si>
  <si>
    <t>88152763040555008</t>
  </si>
  <si>
    <t>tva6TqCe6e</t>
  </si>
  <si>
    <t>2026-05-12T18:11:11.977Z</t>
  </si>
  <si>
    <t>RJc9VugfSB</t>
  </si>
  <si>
    <t>LuALi8QByV</t>
  </si>
  <si>
    <t>2026-05-12T18:50:12.707Z</t>
  </si>
  <si>
    <t>AKxxC9JPYW</t>
  </si>
  <si>
    <t>vKHPWiKkuu</t>
  </si>
  <si>
    <t>2026-05-12T18:52:21.559Z</t>
  </si>
  <si>
    <t>fdw4X7qNHi</t>
  </si>
  <si>
    <t>638MYiLbKu</t>
  </si>
  <si>
    <t>2026-05-12T19:24:08.184Z</t>
  </si>
  <si>
    <t>HuLuP248oJ</t>
  </si>
  <si>
    <t>LW1ASobRwd</t>
  </si>
  <si>
    <t>2026-05-12T19:53:00.273Z</t>
  </si>
  <si>
    <t>h1fFAyenFJ</t>
  </si>
  <si>
    <t>bZLahuDVST</t>
  </si>
  <si>
    <t>2026-05-12T20:01:20.123Z</t>
  </si>
  <si>
    <t>hekgqVexEe</t>
  </si>
  <si>
    <t>vHe3fRdNuw</t>
  </si>
  <si>
    <t>2026-05-12T20:17:48.575Z</t>
  </si>
  <si>
    <t>TRjJ9bfP7b</t>
  </si>
  <si>
    <t>G9rqAUPzSk</t>
  </si>
  <si>
    <t>2026-05-12T20:30:11.053Z</t>
  </si>
  <si>
    <t>uNo3EBHzR9</t>
  </si>
  <si>
    <t>KbnaeYPBw8</t>
  </si>
  <si>
    <t>2026-05-12T20:37:26.460Z</t>
  </si>
  <si>
    <t>6M9K4FzRg7</t>
  </si>
  <si>
    <t>yDjKGRUS4z</t>
  </si>
  <si>
    <t>2026-05-12T20:55:55.080Z</t>
  </si>
  <si>
    <t>DX1fYeY5Te</t>
  </si>
  <si>
    <t>xh4FutQNcY</t>
  </si>
  <si>
    <t>2026-05-12T21:14:25.833Z</t>
  </si>
  <si>
    <t>uUULBuTPjf</t>
  </si>
  <si>
    <t>PRc6UzFZGf</t>
  </si>
  <si>
    <t>2026-05-12T21:57:28.957Z</t>
  </si>
  <si>
    <t>PJ4fR6MMcN</t>
  </si>
  <si>
    <t>LY8LFjFCcL</t>
  </si>
  <si>
    <t>2026-05-12T22:00:37.085Z</t>
  </si>
  <si>
    <t>NbraMPA2Hw</t>
  </si>
  <si>
    <t>C5KuariMMD</t>
  </si>
  <si>
    <t>2026-05-12T22:43:41.231Z</t>
  </si>
  <si>
    <t>yMkhDzRpYt</t>
  </si>
  <si>
    <t>4GS5aRUu4P</t>
  </si>
  <si>
    <t>2026-05-12T22:45:50.119Z</t>
  </si>
  <si>
    <t>oKSF9XbsWv</t>
  </si>
  <si>
    <t>QJaKNfGxYd</t>
  </si>
  <si>
    <t>2026-05-12T22:50:02.736Z</t>
  </si>
  <si>
    <t>4dcJNy9ahs</t>
  </si>
  <si>
    <t>XGLq3ihjBy</t>
  </si>
  <si>
    <t>2026-05-12T22:54:13.995Z</t>
  </si>
  <si>
    <t>PhWXRKZ19g</t>
  </si>
  <si>
    <t>MfL4oMB9rD</t>
  </si>
  <si>
    <t>2026-05-12T23:20:01.392Z</t>
  </si>
  <si>
    <t>FSEJnfF81x</t>
  </si>
  <si>
    <t>7eC6oSuYBZ</t>
  </si>
  <si>
    <t>2026-05-12T23:20:12.753Z</t>
  </si>
  <si>
    <t>bJoU2HWxTG</t>
  </si>
  <si>
    <t>MyEqSZTaC6</t>
  </si>
  <si>
    <t>2026-05-12T23:53:57.384Z</t>
  </si>
  <si>
    <t>foCxbLU6Am</t>
  </si>
  <si>
    <t>WGwGoM5ug3</t>
  </si>
  <si>
    <t>2026-05-13T00:17:30.989Z</t>
  </si>
  <si>
    <t>186R3jR4SX</t>
  </si>
  <si>
    <t>7d9jKnZgoG</t>
  </si>
  <si>
    <t>2026-05-13T00:27:47.884Z</t>
  </si>
  <si>
    <t>qT8nooAB8G</t>
  </si>
  <si>
    <t>YyqWiQ9jwv</t>
  </si>
  <si>
    <t>2026-05-13T00:57:29.138Z</t>
  </si>
  <si>
    <t>pk4BgVgRi9</t>
  </si>
  <si>
    <t>LZzVUALu3S</t>
  </si>
  <si>
    <t>2026-05-13T01:23:28.568Z</t>
  </si>
  <si>
    <t>p36BMNJwnD</t>
  </si>
  <si>
    <t>5zR6jUE4fh</t>
  </si>
  <si>
    <t>2026-05-13T01:41:57.872Z</t>
  </si>
  <si>
    <t>rqdHG5TBNe</t>
  </si>
  <si>
    <t>VvewqdkR7a</t>
  </si>
  <si>
    <t>2026-05-13T01:58:23.751Z</t>
  </si>
  <si>
    <t>THLicTdfNY</t>
  </si>
  <si>
    <t>ginCiXFYwq</t>
  </si>
  <si>
    <t>2026-05-13T02:10:45.754Z</t>
  </si>
  <si>
    <t>afZWrYNSf3</t>
  </si>
  <si>
    <t>L9NWzmpcc1</t>
  </si>
  <si>
    <t>2026-05-13T02:21:05.921Z</t>
  </si>
  <si>
    <t>zpquSd4xvp</t>
  </si>
  <si>
    <t>kXEpfe6Wz4</t>
  </si>
  <si>
    <t>2026-05-13T02:56:56.484Z</t>
  </si>
  <si>
    <t>5DaNpSm16j</t>
  </si>
  <si>
    <t>RYjUQK6akf</t>
  </si>
  <si>
    <t>2026-05-13T03:50:05.653Z</t>
  </si>
  <si>
    <t>iXxLCzW3KU</t>
  </si>
  <si>
    <t>hDxsJKTPZd</t>
  </si>
  <si>
    <t>2026-05-13T03:59:22.197Z</t>
  </si>
  <si>
    <t>btKhEuQJNr</t>
  </si>
  <si>
    <t>MtiSADmHqd</t>
  </si>
  <si>
    <t>2026-05-13T04:06:35.311Z</t>
  </si>
  <si>
    <t>2v8ZgyV6Du</t>
  </si>
  <si>
    <t>u5bRNqHKvz</t>
  </si>
  <si>
    <t>2026-05-13T04:12:49.172Z</t>
  </si>
  <si>
    <t>3Xsgd93w8F</t>
  </si>
  <si>
    <t>q63quH2gKk</t>
  </si>
  <si>
    <t>2026-05-13T04:41:26.605Z</t>
  </si>
  <si>
    <t>rzXYzraQuu</t>
  </si>
  <si>
    <t>eASNKhk8ob</t>
  </si>
  <si>
    <t>2026-05-13T05:19:29.108Z</t>
  </si>
  <si>
    <t>WcKo3onfw6</t>
  </si>
  <si>
    <t>WiU9CVL5k1</t>
  </si>
  <si>
    <t>2026-05-13T10:59:00.038Z</t>
  </si>
  <si>
    <t>PdKmMgW7kk</t>
  </si>
  <si>
    <t>DfEefwx9bF</t>
  </si>
  <si>
    <t>2026-05-13T14:12:43.240Z</t>
  </si>
  <si>
    <t>cb6dZ3BAxJ</t>
  </si>
  <si>
    <t>W4eNEXzX59</t>
  </si>
  <si>
    <t>2026-05-13T14:29:06.013Z</t>
  </si>
  <si>
    <t>sKPuML5VJD</t>
  </si>
  <si>
    <t>smzy5DJGx9</t>
  </si>
  <si>
    <t>2026-05-13T14:54:39.504Z</t>
  </si>
  <si>
    <t>ZBUUXRRuUw</t>
  </si>
  <si>
    <t>xF2s2tKqp7</t>
  </si>
  <si>
    <t>2026-05-13T15:27:19.740Z</t>
  </si>
  <si>
    <t>Wcq7V2YW14</t>
  </si>
  <si>
    <t>wrBTbfVvUN</t>
  </si>
  <si>
    <t>2026-05-13T15:28:26.639Z</t>
  </si>
  <si>
    <t>puWN9mCQk6</t>
  </si>
  <si>
    <t>QipaKcXpfx</t>
  </si>
  <si>
    <t>2026-05-13T16:57:07.084Z</t>
  </si>
  <si>
    <t>gExyKuCM8U</t>
  </si>
  <si>
    <t>aNTWMx79Sp</t>
  </si>
  <si>
    <t>2026-05-13T16:58:12.056Z</t>
  </si>
  <si>
    <t>Jahbari W</t>
  </si>
  <si>
    <t>lollicat3569#47691</t>
  </si>
  <si>
    <t>5TZ7gWAt46</t>
  </si>
  <si>
    <t>191267037845127169</t>
  </si>
  <si>
    <t>xGv2ntDcYw</t>
  </si>
  <si>
    <t>2026-05-13T17:19:39.878Z</t>
  </si>
  <si>
    <t>U4PcYsW4iU</t>
  </si>
  <si>
    <t>NkLyh5RxLx</t>
  </si>
  <si>
    <t>2026-05-13T17:39:05.509Z</t>
  </si>
  <si>
    <t>E3J9E4JQYJ</t>
  </si>
  <si>
    <t>rbSkSBQJJG</t>
  </si>
  <si>
    <t>2026-05-13T18:27:01.819Z</t>
  </si>
  <si>
    <t>EGUREV37M9</t>
  </si>
  <si>
    <t>AbamPVNd57</t>
  </si>
  <si>
    <t>2026-05-13T18:49:33.754Z</t>
  </si>
  <si>
    <t>y4GJkPpdFx</t>
  </si>
  <si>
    <t>PQvNitbDZ4</t>
  </si>
  <si>
    <t>2026-05-13T19:50:45.002Z</t>
  </si>
  <si>
    <t>kpN9dMJ2vc</t>
  </si>
  <si>
    <t>USxE93QWpW</t>
  </si>
  <si>
    <t>2026-05-13T20:58:05.354Z</t>
  </si>
  <si>
    <t>6L2DaE2mn3</t>
  </si>
  <si>
    <t>9UmMnnaGp5</t>
  </si>
  <si>
    <t>2026-05-13T20:59:10.723Z</t>
  </si>
  <si>
    <t>Vwv3wRP3To</t>
  </si>
  <si>
    <t>tdaQM6odGT</t>
  </si>
  <si>
    <t>2026-05-13T21:24:43.874Z</t>
  </si>
  <si>
    <t>f9ubikwVeT</t>
  </si>
  <si>
    <t>w649YpxJoF</t>
  </si>
  <si>
    <t>2026-05-13T21:27:51.324Z</t>
  </si>
  <si>
    <t>HihDy6LPp8</t>
  </si>
  <si>
    <t>oncrBZXWCk</t>
  </si>
  <si>
    <t>2026-05-13T21:33:01.707Z</t>
  </si>
  <si>
    <t>PHh33CwnKZ</t>
  </si>
  <si>
    <t>aCQCpzSTSs</t>
  </si>
  <si>
    <t>2026-05-13T21:46:24.484Z</t>
  </si>
  <si>
    <t>rQq2c82mzw</t>
  </si>
  <si>
    <t>UtVK3UAAj5</t>
  </si>
  <si>
    <t>2026-05-13T22:04:49.228Z</t>
  </si>
  <si>
    <t>4NbbW4Jwvr</t>
  </si>
  <si>
    <t>wsP1u44vUq</t>
  </si>
  <si>
    <t>2026-05-13T22:07:57.549Z</t>
  </si>
  <si>
    <t>8B8QctxeWQ</t>
  </si>
  <si>
    <t>B1LFLP7c6k</t>
  </si>
  <si>
    <t>2026-05-13T22:20:14.572Z</t>
  </si>
  <si>
    <t>nfUB7W8PBr</t>
  </si>
  <si>
    <t>j8twBQdUdP</t>
  </si>
  <si>
    <t>2026-05-13T22:24:24.224Z</t>
  </si>
  <si>
    <t>kdTm6Rq22t</t>
  </si>
  <si>
    <t>JWRJnqJPay</t>
  </si>
  <si>
    <t>2026-05-13T22:33:38.334Z</t>
  </si>
  <si>
    <t>8vi34gryhh</t>
  </si>
  <si>
    <t>2MPAxgWnK2</t>
  </si>
  <si>
    <t>2026-05-13T22:49:00.998Z</t>
  </si>
  <si>
    <t>D57y1VsRB8</t>
  </si>
  <si>
    <t>iUUxnYuyw9</t>
  </si>
  <si>
    <t>2026-05-13T23:04:22.540Z</t>
  </si>
  <si>
    <t>HWYDtLH7JM</t>
  </si>
  <si>
    <t>Qva7oWHWv2</t>
  </si>
  <si>
    <t>2026-05-13T23:54:19.598Z</t>
  </si>
  <si>
    <t>HV6MzR7nTM</t>
  </si>
  <si>
    <t>S5FZ62Gn4Y</t>
  </si>
  <si>
    <t>2026-05-14T00:44:19.304Z</t>
  </si>
  <si>
    <t>ir9bwXZUxp</t>
  </si>
  <si>
    <t>HntQRYtxfJ</t>
  </si>
  <si>
    <t>2026-05-14T00:47:28.010Z</t>
  </si>
  <si>
    <t>G8DD2MFRWB</t>
  </si>
  <si>
    <t>HJYfQcYBd9</t>
  </si>
  <si>
    <t>2026-05-14T01:02:53.364Z</t>
  </si>
  <si>
    <t>Xn8wF1Wa6w</t>
  </si>
  <si>
    <t>mMxVrmRACb</t>
  </si>
  <si>
    <t>2026-05-14T01:11:07.673Z</t>
  </si>
  <si>
    <t>U4VZ15ibcX</t>
  </si>
  <si>
    <t>A3VirigNaG</t>
  </si>
  <si>
    <t>2026-05-14T01:20:27.473Z</t>
  </si>
  <si>
    <t>VPxqpMiyb6</t>
  </si>
  <si>
    <t>mJ2LaLN5xR</t>
  </si>
  <si>
    <t>2026-05-14T01:31:45.194Z</t>
  </si>
  <si>
    <t>G7Kijje5hE</t>
  </si>
  <si>
    <t>3ui1TpKyhn</t>
  </si>
  <si>
    <t>2026-05-14T01:37:56.048Z</t>
  </si>
  <si>
    <t>Jaidin M</t>
  </si>
  <si>
    <t>7aXh4RCWc3</t>
  </si>
  <si>
    <t>MnemonicDevice#38774</t>
  </si>
  <si>
    <t>SJrBPEPyuP</t>
  </si>
  <si>
    <t>155784925142843392</t>
  </si>
  <si>
    <t>2026-05-14T01:39:07.458Z</t>
  </si>
  <si>
    <t>QbxYkfSkei</t>
  </si>
  <si>
    <t>MBznUa11c7</t>
  </si>
  <si>
    <t>2026-05-14T01:53:28.141Z</t>
  </si>
  <si>
    <t>UwDUAnuzxg</t>
  </si>
  <si>
    <t>4r3ePgSqRQ</t>
  </si>
  <si>
    <t>2026-05-14T01:54:33.229Z</t>
  </si>
  <si>
    <t>xBBQ4aGZPi</t>
  </si>
  <si>
    <t>ptWDatbGQg</t>
  </si>
  <si>
    <t>2026-05-14T01:57:41.839Z</t>
  </si>
  <si>
    <t>eaLd8ZP4Wy</t>
  </si>
  <si>
    <t>Ztv23kA514</t>
  </si>
  <si>
    <t>2026-05-14T02:11:02.856Z</t>
  </si>
  <si>
    <t>fmCrKXC6WC</t>
  </si>
  <si>
    <t>uwUuqwsmL4</t>
  </si>
  <si>
    <t>2026-05-14T02:13:08.987Z</t>
  </si>
  <si>
    <t>SgGzhcVpkw</t>
  </si>
  <si>
    <t>SG4XDtMtUw</t>
  </si>
  <si>
    <t>2026-05-14T02:36:38.188Z</t>
  </si>
  <si>
    <t>SwZkEcGtWg</t>
  </si>
  <si>
    <t>RXdRTnhNNQ</t>
  </si>
  <si>
    <t>2026-05-14T02:42:49.281Z</t>
  </si>
  <si>
    <t>ymdCxDxTGq</t>
  </si>
  <si>
    <t>hurSYt6tHk</t>
  </si>
  <si>
    <t>2026-05-14T02:49:00.595Z</t>
  </si>
  <si>
    <t>Mu2ftz5Nr3</t>
  </si>
  <si>
    <t>pe2HSJ5NSy</t>
  </si>
  <si>
    <t>2026-05-14T03:00:17.628Z</t>
  </si>
  <si>
    <t>HxS8bPwYxZ</t>
  </si>
  <si>
    <t>TTSF9aM8rs</t>
  </si>
  <si>
    <t>2026-05-14T03:14:39.025Z</t>
  </si>
  <si>
    <t>Eq8Rrdny4j</t>
  </si>
  <si>
    <t>5SxWAJi3Bf</t>
  </si>
  <si>
    <t>2026-05-14T03:25:55.344Z</t>
  </si>
  <si>
    <t>XoBX6za2Po</t>
  </si>
  <si>
    <t>Hkgubvntbr</t>
  </si>
  <si>
    <t>2026-05-14T03:29:02.445Z</t>
  </si>
  <si>
    <t>RefaKEMtJ4</t>
  </si>
  <si>
    <t>D8jReprt6M</t>
  </si>
  <si>
    <t>2026-05-14T03:31:08.878Z</t>
  </si>
  <si>
    <t>8ASsK4mapg</t>
  </si>
  <si>
    <t>YcPaC1X6AX</t>
  </si>
  <si>
    <t>2026-05-14T03:50:33.834Z</t>
  </si>
  <si>
    <t>bsD4fA459U</t>
  </si>
  <si>
    <t>jtpdrgLUMC</t>
  </si>
  <si>
    <t>2026-05-14T03:53:40.331Z</t>
  </si>
  <si>
    <t>xWW1fqRNxn</t>
  </si>
  <si>
    <t>XHux7Y6jcX</t>
  </si>
  <si>
    <t>2026-05-14T04:04:56.922Z</t>
  </si>
  <si>
    <t>S6uDLKwjBS</t>
  </si>
  <si>
    <t>puLurfdjis</t>
  </si>
  <si>
    <t>2026-05-14T04:19:17.470Z</t>
  </si>
  <si>
    <t>nRbiRjbvSg</t>
  </si>
  <si>
    <t>JBgoZWfHWx</t>
  </si>
  <si>
    <t>2026-05-14T04:38:40.925Z</t>
  </si>
  <si>
    <t>aKjZzv9yvT</t>
  </si>
  <si>
    <t>SZww2YcPJL</t>
  </si>
  <si>
    <t>2026-05-14T04:48:57.255Z</t>
  </si>
  <si>
    <t>wLj7HYMsYM</t>
  </si>
  <si>
    <t>Xd6Ltpw3zN</t>
  </si>
  <si>
    <t>2026-05-14T05:44:58.728Z</t>
  </si>
  <si>
    <t>p5WcVt7LJ6</t>
  </si>
  <si>
    <t>UmgUHYXYrD</t>
  </si>
  <si>
    <t>2026-05-14T08:34:40.992Z</t>
  </si>
  <si>
    <t>b9dK7MnRBL</t>
  </si>
  <si>
    <t>vmg8m12Sf6</t>
  </si>
  <si>
    <t>2026-05-14T08:57:10.087Z</t>
  </si>
  <si>
    <t>hicNdq7dnQ</t>
  </si>
  <si>
    <t>MKwyRg8AEF</t>
  </si>
  <si>
    <t>2026-05-14T12:19:53.982Z</t>
  </si>
  <si>
    <t>MgJtCD14fJ</t>
  </si>
  <si>
    <t>V6h9hSRiWh</t>
  </si>
  <si>
    <t>2026-05-14T12:20:59.970Z</t>
  </si>
  <si>
    <t>MjcuCHZDmd</t>
  </si>
  <si>
    <t>Q5Poo9DeLm</t>
  </si>
  <si>
    <t>2026-05-14T12:49:35.667Z</t>
  </si>
  <si>
    <t>aN54FmttfD</t>
  </si>
  <si>
    <t>XUJVnXuY6U</t>
  </si>
  <si>
    <t>2026-05-14T13:22:14.629Z</t>
  </si>
  <si>
    <t>RVRGtFAh5m</t>
  </si>
  <si>
    <t>ndnaoM5mot</t>
  </si>
  <si>
    <t>2026-05-14T14:03:05.670Z</t>
  </si>
  <si>
    <t>qojXizJKeJ</t>
  </si>
  <si>
    <t>Jake C</t>
  </si>
  <si>
    <t>the_man_mulcahey#74753</t>
  </si>
  <si>
    <t>vo6H2UGjiN</t>
  </si>
  <si>
    <t>444304094421712896</t>
  </si>
  <si>
    <t>2026-05-14T14:09:18.625Z</t>
  </si>
  <si>
    <t>y3VbH6PvSS</t>
  </si>
  <si>
    <t>7KksBLfYBU</t>
  </si>
  <si>
    <t>2026-05-14T14:30:45.004Z</t>
  </si>
  <si>
    <t>9st9kXfDmP</t>
  </si>
  <si>
    <t>c8AJ3XDaQ3</t>
  </si>
  <si>
    <t>2026-05-14T15:03:27.731Z</t>
  </si>
  <si>
    <t>bqwAkCRawU</t>
  </si>
  <si>
    <t>qwDj4vbWET</t>
  </si>
  <si>
    <t>2026-05-14T15:06:35.632Z</t>
  </si>
  <si>
    <t>umkrfKLTHJ</t>
  </si>
  <si>
    <t>GbJtDknZNB</t>
  </si>
  <si>
    <t>2026-05-14T15:50:30.838Z</t>
  </si>
  <si>
    <t>YsDYQLACEj</t>
  </si>
  <si>
    <t>dJpfaD3bWF</t>
  </si>
  <si>
    <t>2026-05-14T15:55:42.585Z</t>
  </si>
  <si>
    <t>7TZWM7T3J5</t>
  </si>
  <si>
    <t>4j5ivfpSkD</t>
  </si>
  <si>
    <t>2026-05-14T16:22:15.286Z</t>
  </si>
  <si>
    <t>ZZtJ7userJ</t>
  </si>
  <si>
    <t>TQGbRV3Jh4</t>
  </si>
  <si>
    <t>2026-05-14T16:47:47.053Z</t>
  </si>
  <si>
    <t>CRCc9j6HAy</t>
  </si>
  <si>
    <t>btQgoXdH1A</t>
  </si>
  <si>
    <t>2026-05-14T17:13:19.399Z</t>
  </si>
  <si>
    <t>8ZTKev8xZH</t>
  </si>
  <si>
    <t>UbaPyFkYzh</t>
  </si>
  <si>
    <t>2026-05-14T17:44:57.915Z</t>
  </si>
  <si>
    <t>uuvBZYkZEd</t>
  </si>
  <si>
    <t>C5dxP9AB7p</t>
  </si>
  <si>
    <t>2026-05-14T17:52:11.777Z</t>
  </si>
  <si>
    <t>f64ttyEuuT</t>
  </si>
  <si>
    <t>jdqcFFFvwa</t>
  </si>
  <si>
    <t>2026-05-14T17:53:17.844Z</t>
  </si>
  <si>
    <t>RaVjKV75ez</t>
  </si>
  <si>
    <t>WaoJKh3YDb</t>
  </si>
  <si>
    <t>2026-05-14T18:03:36.871Z</t>
  </si>
  <si>
    <t>sHnoHoQFYg</t>
  </si>
  <si>
    <t>2ArXxVFcQJ</t>
  </si>
  <si>
    <t>2026-05-14T18:14:53.745Z</t>
  </si>
  <si>
    <t>HjmYKXMinL</t>
  </si>
  <si>
    <t>JNCoACRvi3</t>
  </si>
  <si>
    <t>2026-05-14T18:28:14.473Z</t>
  </si>
  <si>
    <t>CDCCEKrZk4</t>
  </si>
  <si>
    <t>iGxN3BNm4A</t>
  </si>
  <si>
    <t>2026-05-14T19:02:57.324Z</t>
  </si>
  <si>
    <t>t1As7p4TUW</t>
  </si>
  <si>
    <t>KWTdr2vbwX</t>
  </si>
  <si>
    <t>2026-05-14T19:43:46.029Z</t>
  </si>
  <si>
    <t>3CodndugRS</t>
  </si>
  <si>
    <t>ekmdj35Qew</t>
  </si>
  <si>
    <t>2026-05-14T19:45:53.221Z</t>
  </si>
  <si>
    <t>xwvEQwjEwE</t>
  </si>
  <si>
    <t>F83wkCYLTY</t>
  </si>
  <si>
    <t>2026-05-14T20:18:48.432Z</t>
  </si>
  <si>
    <t>v9WgZjK7ak</t>
  </si>
  <si>
    <t>hUV71CHJ2p</t>
  </si>
  <si>
    <t>2026-05-14T20:25:02.977Z</t>
  </si>
  <si>
    <t>zFDpRawo61</t>
  </si>
  <si>
    <t>My4GYb2zpe</t>
  </si>
  <si>
    <t>2026-05-14T20:26:10.081Z</t>
  </si>
  <si>
    <t>jNzWadf2rB</t>
  </si>
  <si>
    <t>hY8YKUKqvd</t>
  </si>
  <si>
    <t>2026-05-14T20:37:26.283Z</t>
  </si>
  <si>
    <t>PL1Vdn9ntd</t>
  </si>
  <si>
    <t>AphmWDhrrQ</t>
  </si>
  <si>
    <t>2026-05-14T20:47:43.697Z</t>
  </si>
  <si>
    <t>SUQFRTN323</t>
  </si>
  <si>
    <t>xxeHKH4qQ8</t>
  </si>
  <si>
    <t>2026-05-14T21:23:28.619Z</t>
  </si>
  <si>
    <t>EPFkwBmCAv</t>
  </si>
  <si>
    <t>K3KRdVapEs</t>
  </si>
  <si>
    <t>2026-05-14T21:29:43.023Z</t>
  </si>
  <si>
    <t>bnimdrdKjs</t>
  </si>
  <si>
    <t>sV5NFGJXTc</t>
  </si>
  <si>
    <t>2026-05-14T21:56:20.956Z</t>
  </si>
  <si>
    <t>ayCG4EVgL8</t>
  </si>
  <si>
    <t>fqCRyGHwCX</t>
  </si>
  <si>
    <t>2026-05-14T22:02:33.087Z</t>
  </si>
  <si>
    <t>RKWSUpNsLJ</t>
  </si>
  <si>
    <t>sXi5WSUHLw</t>
  </si>
  <si>
    <t>2026-05-14T22:21:59.306Z</t>
  </si>
  <si>
    <t>qfpXcDGN1C</t>
  </si>
  <si>
    <t>DZSB1wyd1r</t>
  </si>
  <si>
    <t>2026-05-14T22:56:49.487Z</t>
  </si>
  <si>
    <t>PXhQWVeoqs</t>
  </si>
  <si>
    <t>n9hrmuoYtx</t>
  </si>
  <si>
    <t>2026-05-14T23:16:14.432Z</t>
  </si>
  <si>
    <t>Hoe8b9ox1W</t>
  </si>
  <si>
    <t>GaJiN1Joam</t>
  </si>
  <si>
    <t>2026-05-14T23:57:13.792Z</t>
  </si>
  <si>
    <t>FYSNcHPw7K</t>
  </si>
  <si>
    <t>BexeVt5kYK</t>
  </si>
  <si>
    <t>2026-05-15T00:41:04.841Z</t>
  </si>
  <si>
    <t>vyMHeD9fkh</t>
  </si>
  <si>
    <t>PrcJn4sNJo</t>
  </si>
  <si>
    <t>2026-05-15T00:49:18.657Z</t>
  </si>
  <si>
    <t>QaBtNx3Qe9</t>
  </si>
  <si>
    <t>h6CFkjXxhB</t>
  </si>
  <si>
    <t>2026-05-15T01:03:38.333Z</t>
  </si>
  <si>
    <t>tEeD3HRqVy</t>
  </si>
  <si>
    <t>oqMU7axBVJ</t>
  </si>
  <si>
    <t>2026-05-15T01:03:42.403Z</t>
  </si>
  <si>
    <t>esHLegbWsP</t>
  </si>
  <si>
    <t>naQTib5x72</t>
  </si>
  <si>
    <t>2026-05-15T01:28:13.610Z</t>
  </si>
  <si>
    <t>kHYGRQfXXD</t>
  </si>
  <si>
    <t>bNsXRBZwjz</t>
  </si>
  <si>
    <t>2026-05-15T01:40:31.830Z</t>
  </si>
  <si>
    <t>Nem94uiSMe</t>
  </si>
  <si>
    <t>CFN4W1c2Pj</t>
  </si>
  <si>
    <t>2026-05-15T01:40:35.459Z</t>
  </si>
  <si>
    <t>uphbzhUDCH</t>
  </si>
  <si>
    <t>C2Z8st3ZfF</t>
  </si>
  <si>
    <t>2026-05-15T01:40:39.238Z</t>
  </si>
  <si>
    <t>LFXwekK5rD</t>
  </si>
  <si>
    <t>Q73tyAA4t1</t>
  </si>
  <si>
    <t>2026-05-15T01:46:50.010Z</t>
  </si>
  <si>
    <t>dkoX6a3UVS</t>
  </si>
  <si>
    <t>36yzz9mKHY</t>
  </si>
  <si>
    <t>2026-05-15T01:51:59.289Z</t>
  </si>
  <si>
    <t>oKz8AEMJLf</t>
  </si>
  <si>
    <t>FniT2o9N59</t>
  </si>
  <si>
    <t>2026-05-15T02:12:26.350Z</t>
  </si>
  <si>
    <t>8N28RSHUTy</t>
  </si>
  <si>
    <t>Cx6kYirPGb</t>
  </si>
  <si>
    <t>2026-05-15T02:14:33.895Z</t>
  </si>
  <si>
    <t>XBHNvcmEeX</t>
  </si>
  <si>
    <t>3yv8DkywQ1</t>
  </si>
  <si>
    <t>2026-05-15T02:18:21.054Z</t>
  </si>
  <si>
    <t>QU5FHipHBY</t>
  </si>
  <si>
    <t>9VMYiQL1UM</t>
  </si>
  <si>
    <t>2026-05-15T02:25:34.451Z</t>
  </si>
  <si>
    <t>o6cJdBsdEu</t>
  </si>
  <si>
    <t>zgzALaP5jW</t>
  </si>
  <si>
    <t>2026-05-15T02:30:45.619Z</t>
  </si>
  <si>
    <t>u36Zx47ra2</t>
  </si>
  <si>
    <t>XCPU1qbNoG</t>
  </si>
  <si>
    <t>2026-05-15T02:48:11.070Z</t>
  </si>
  <si>
    <t>fStHPfR1w7</t>
  </si>
  <si>
    <t>HAA1xrvC1c</t>
  </si>
  <si>
    <t>2026-05-15T02:53:21.691Z</t>
  </si>
  <si>
    <t>Vo1SwECMn5</t>
  </si>
  <si>
    <t>61Kv9u2PTd</t>
  </si>
  <si>
    <t>2026-05-15T02:57:29.985Z</t>
  </si>
  <si>
    <t>aJ1QoHnaS2</t>
  </si>
  <si>
    <t>79GiqzY1hN</t>
  </si>
  <si>
    <t>2026-05-15T02:57:34.434Z</t>
  </si>
  <si>
    <t>rrGNnVpmVy</t>
  </si>
  <si>
    <t>HADy1o6Vp9</t>
  </si>
  <si>
    <t>2026-05-15T02:59:40.587Z</t>
  </si>
  <si>
    <t>8tE31Jk5o6</t>
  </si>
  <si>
    <t>eHAXqDbzkj</t>
  </si>
  <si>
    <t>2026-05-15T03:07:54.352Z</t>
  </si>
  <si>
    <t>htdcTLhngQ</t>
  </si>
  <si>
    <t>appeN67L8S</t>
  </si>
  <si>
    <t>Jake K</t>
  </si>
  <si>
    <t>2026-05-15T03:20:13.065Z</t>
  </si>
  <si>
    <t>drizzy_jake#02350</t>
  </si>
  <si>
    <t>3pmvZ6GtBn</t>
  </si>
  <si>
    <t>713935234629894175</t>
  </si>
  <si>
    <t>zxiYqFmUL7</t>
  </si>
  <si>
    <t>2026-05-15T03:20:17.145Z</t>
  </si>
  <si>
    <t>ajzY3SPKrk</t>
  </si>
  <si>
    <t>Esnzw4vchd</t>
  </si>
  <si>
    <t>2026-05-15T03:26:27.790Z</t>
  </si>
  <si>
    <t>gwWB2E6Yzd</t>
  </si>
  <si>
    <t>KCqSaE8vig</t>
  </si>
  <si>
    <t>2026-05-15T03:31:40.134Z</t>
  </si>
  <si>
    <t>amT2hq6eJC</t>
  </si>
  <si>
    <t>ejxLrzrTkg</t>
  </si>
  <si>
    <t>2026-05-15T03:45:02.144Z</t>
  </si>
  <si>
    <t>MT3J2hAWmU</t>
  </si>
  <si>
    <t>dmF5gdznuN</t>
  </si>
  <si>
    <t>2026-05-15T04:00:24.548Z</t>
  </si>
  <si>
    <t>rfA9wJiWUQ</t>
  </si>
  <si>
    <t>pUsQASwT6Y</t>
  </si>
  <si>
    <t>2026-05-15T04:00:30.200Z</t>
  </si>
  <si>
    <t>Z8RKd8LLJR</t>
  </si>
  <si>
    <t>3jXJZ1juNF</t>
  </si>
  <si>
    <t>2026-05-15T04:10:45.718Z</t>
  </si>
  <si>
    <t>KF9143MWFu</t>
  </si>
  <si>
    <t>UFwgWDpMft</t>
  </si>
  <si>
    <t>2026-05-15T04:21:02.567Z</t>
  </si>
  <si>
    <t>ZZq8Q71uqD</t>
  </si>
  <si>
    <t>43kPsV6g3q</t>
  </si>
  <si>
    <t>2026-05-15T04:40:28.007Z</t>
  </si>
  <si>
    <t>nR9sHwhiVZ</t>
  </si>
  <si>
    <t>2uFh5JeeiH</t>
  </si>
  <si>
    <t>2026-05-15T04:48:41.565Z</t>
  </si>
  <si>
    <t>sbGw79C5TB</t>
  </si>
  <si>
    <t>NV5JqREm2T</t>
  </si>
  <si>
    <t>2026-05-15T04:48:45.612Z</t>
  </si>
  <si>
    <t>b8MG1e67eM</t>
  </si>
  <si>
    <t>LvbAtfiRNX</t>
  </si>
  <si>
    <t>2026-05-15T05:10:14.697Z</t>
  </si>
  <si>
    <t>aaGrwuvkxe</t>
  </si>
  <si>
    <t>5wGSUFmEMv</t>
  </si>
  <si>
    <t>2026-05-15T05:10:18.317Z</t>
  </si>
  <si>
    <t>7W57Gex3HY</t>
  </si>
  <si>
    <t>e4aiT9wrrc</t>
  </si>
  <si>
    <t>2026-05-15T05:10:21.866Z</t>
  </si>
  <si>
    <t>WuxWspPx9D</t>
  </si>
  <si>
    <t>8ByfNQjygA</t>
  </si>
  <si>
    <t>2026-05-15T05:38:59.748Z</t>
  </si>
  <si>
    <t>Vfr2v4qRej</t>
  </si>
  <si>
    <t>7QggQSDZ6Y</t>
  </si>
  <si>
    <t>2026-05-15T05:40:04.956Z</t>
  </si>
  <si>
    <t>VHLWe8Yyrh</t>
  </si>
  <si>
    <t>iCPHwRwFrT</t>
  </si>
  <si>
    <t>2026-05-15T05:57:29.834Z</t>
  </si>
  <si>
    <t>YELPqYAjNQ</t>
  </si>
  <si>
    <t>TK3jk6MU4b</t>
  </si>
  <si>
    <t>2026-05-15T06:15:54.532Z</t>
  </si>
  <si>
    <t>DcrJGe6ccV</t>
  </si>
  <si>
    <t>m7pDJQdTXC</t>
  </si>
  <si>
    <t>2026-05-15T06:24:07.809Z</t>
  </si>
  <si>
    <t>uWfRkTNdSS</t>
  </si>
  <si>
    <t>Xg6xeSa9SJ</t>
  </si>
  <si>
    <t>2026-05-15T10:19:21.103Z</t>
  </si>
  <si>
    <t>TPEzDJGTxS</t>
  </si>
  <si>
    <t>8CPv8bHwmh</t>
  </si>
  <si>
    <t>2026-05-15T11:13:22.119Z</t>
  </si>
  <si>
    <t>xDgTRqBatZ</t>
  </si>
  <si>
    <t>JZbFk9wpao</t>
  </si>
  <si>
    <t>2026-05-15T11:37:55.644Z</t>
  </si>
  <si>
    <t>9TPHSDy36e</t>
  </si>
  <si>
    <t>jiYdNTrA53</t>
  </si>
  <si>
    <t>2026-05-15T13:47:18.989Z</t>
  </si>
  <si>
    <t>1UnFE1qT7h</t>
  </si>
  <si>
    <t>dEN7gyTH1a</t>
  </si>
  <si>
    <t>2026-05-15T14:31:15.256Z</t>
  </si>
  <si>
    <t>9gyGCRCRLN</t>
  </si>
  <si>
    <t>Q6MawDFuhu</t>
  </si>
  <si>
    <t>2026-05-15T14:33:23.737Z</t>
  </si>
  <si>
    <t>R6W4DKC3Z9</t>
  </si>
  <si>
    <t>zgo45tiE7H</t>
  </si>
  <si>
    <t>2026-05-15T14:44:40.622Z</t>
  </si>
  <si>
    <t>sxoTGfCxJW</t>
  </si>
  <si>
    <t>XJUsGHBzKQ</t>
  </si>
  <si>
    <t>2026-05-15T14:50:02.418Z</t>
  </si>
  <si>
    <t>SocdNoBKeT</t>
  </si>
  <si>
    <t>c8YLPGxgpG</t>
  </si>
  <si>
    <t>2026-05-15T15:11:31.538Z</t>
  </si>
  <si>
    <t>aF5vorQVsx</t>
  </si>
  <si>
    <t>vrkwyZSDKg</t>
  </si>
  <si>
    <t>2026-05-15T15:13:38.802Z</t>
  </si>
  <si>
    <t>GDLs3tvvfm</t>
  </si>
  <si>
    <t>SoZs7PZQBj</t>
  </si>
  <si>
    <t>2026-05-15T15:26:58.454Z</t>
  </si>
  <si>
    <t>L4QmQkzvJM</t>
  </si>
  <si>
    <t>zMTRJwwpmQ</t>
  </si>
  <si>
    <t>2026-05-15T16:01:42.869Z</t>
  </si>
  <si>
    <t>BHxu6crJiT</t>
  </si>
  <si>
    <t>bYg8wg6BAu</t>
  </si>
  <si>
    <t>2026-05-15T16:08:57.254Z</t>
  </si>
  <si>
    <t>2SdRZnVEEQ</t>
  </si>
  <si>
    <t>Dt7DMWu2Tk</t>
  </si>
  <si>
    <t>2026-05-15T16:22:47.174Z</t>
  </si>
  <si>
    <t>XysUdcjcFT</t>
  </si>
  <si>
    <t>tJ5uNcnU1R</t>
  </si>
  <si>
    <t>2026-05-15T16:27:15.656Z</t>
  </si>
  <si>
    <t>manyuUey1G</t>
  </si>
  <si>
    <t>qW3zdHcHq5</t>
  </si>
  <si>
    <t>2026-05-15T16:40:51.602Z</t>
  </si>
  <si>
    <t>Z56gmM4yd2</t>
  </si>
  <si>
    <t>ZnA2jKcCTC</t>
  </si>
  <si>
    <t>2026-05-15T17:05:21.811Z</t>
  </si>
  <si>
    <t>qD79eBNFVR</t>
  </si>
  <si>
    <t>18LAVDXoZh</t>
  </si>
  <si>
    <t>2026-05-15T17:32:56.010Z</t>
  </si>
  <si>
    <t>KTC8yTdDio</t>
  </si>
  <si>
    <t>3XivfgbPbn</t>
  </si>
  <si>
    <t>2026-05-15T17:37:06.999Z</t>
  </si>
  <si>
    <t>VRmrPYjrih</t>
  </si>
  <si>
    <t>akDffuAnWn</t>
  </si>
  <si>
    <t>2026-05-15T18:00:39.325Z</t>
  </si>
  <si>
    <t>YJs1pCwbN3</t>
  </si>
  <si>
    <t>PuURod5U1a</t>
  </si>
  <si>
    <t>2026-05-15T18:14:23.914Z</t>
  </si>
  <si>
    <t>aJBHn9T2f3</t>
  </si>
  <si>
    <t>T1EEMBocco</t>
  </si>
  <si>
    <t>2026-05-15T18:14:33.428Z</t>
  </si>
  <si>
    <t>CkWxQ5XMas</t>
  </si>
  <si>
    <t>Ypm41BgYuS</t>
  </si>
  <si>
    <t>2026-05-15T18:14:38.450Z</t>
  </si>
  <si>
    <t>FnsGTVWaoY</t>
  </si>
  <si>
    <t>CndJ6Xccdz</t>
  </si>
  <si>
    <t>2026-05-15T18:16:12.029Z</t>
  </si>
  <si>
    <t>uWJ89aUryq</t>
  </si>
  <si>
    <t>xhunGeKhxX</t>
  </si>
  <si>
    <t>2026-05-15T18:28:36.209Z</t>
  </si>
  <si>
    <t>KGAkkRVJCj</t>
  </si>
  <si>
    <t>jvip82A4Pv</t>
  </si>
  <si>
    <t>2026-05-15T18:33:46.660Z</t>
  </si>
  <si>
    <t>xzXF8TqkdQ</t>
  </si>
  <si>
    <t>hGndH46BBY</t>
  </si>
  <si>
    <t>2026-05-15T18:45:06.776Z</t>
  </si>
  <si>
    <t>WH5z2WD94c</t>
  </si>
  <si>
    <t>VarwCVVpfB</t>
  </si>
  <si>
    <t>2026-05-15T18:45:12.296Z</t>
  </si>
  <si>
    <t>Sk12BNzxUt</t>
  </si>
  <si>
    <t>jUEX35GQYp</t>
  </si>
  <si>
    <t>2026-05-15T18:49:23.507Z</t>
  </si>
  <si>
    <t>Jake Z</t>
  </si>
  <si>
    <t>wacky#54217</t>
  </si>
  <si>
    <t>bt3j6fhBVX</t>
  </si>
  <si>
    <t>218256223508627456</t>
  </si>
  <si>
    <t>aAci8tCySx</t>
  </si>
  <si>
    <t>2026-05-15T19:07:48.276Z</t>
  </si>
  <si>
    <t>u3fWsWirpU</t>
  </si>
  <si>
    <t>bdn5SWrWjd</t>
  </si>
  <si>
    <t>2026-05-15T19:12:59.212Z</t>
  </si>
  <si>
    <t>162Eg8VrFS</t>
  </si>
  <si>
    <t>Qk54VJigt5</t>
  </si>
  <si>
    <t>2026-05-15T19:25:20.095Z</t>
  </si>
  <si>
    <t>12FEnVogJ9</t>
  </si>
  <si>
    <t>kEToMC3cZZ</t>
  </si>
  <si>
    <t>2026-05-15T19:27:28.575Z</t>
  </si>
  <si>
    <t>659CoCwpyV</t>
  </si>
  <si>
    <t>vQxf7gHNJ8</t>
  </si>
  <si>
    <t>2026-05-15T19:43:51.095Z</t>
  </si>
  <si>
    <t>8sw494w1XY</t>
  </si>
  <si>
    <t>o3ukx73pU8</t>
  </si>
  <si>
    <t>2026-05-15T19:46:58.176Z</t>
  </si>
  <si>
    <t>wzkv93yHwP</t>
  </si>
  <si>
    <t>LoeExNQMtx</t>
  </si>
  <si>
    <t>2026-05-15T19:53:13.681Z</t>
  </si>
  <si>
    <t>dDjgSYGZJ7</t>
  </si>
  <si>
    <t>1gp5BL3SPQ</t>
  </si>
  <si>
    <t>2026-05-15T19:56:36.879Z</t>
  </si>
  <si>
    <t>wJbJ37CcTY</t>
  </si>
  <si>
    <t>BuS8h7EmiJ</t>
  </si>
  <si>
    <t>2026-05-15T20:19:20.592Z</t>
  </si>
  <si>
    <t>5uk58sF4NN</t>
  </si>
  <si>
    <t>V34y3whCnu</t>
  </si>
  <si>
    <t>2026-05-15T20:25:34.122Z</t>
  </si>
  <si>
    <t>J14iStRX99</t>
  </si>
  <si>
    <t>TcNiKr7QbQ</t>
  </si>
  <si>
    <t>2026-05-15T20:30:45.115Z</t>
  </si>
  <si>
    <t>pDWokJhWZv</t>
  </si>
  <si>
    <t>XrKrCAtDcd</t>
  </si>
  <si>
    <t>2026-05-15T20:38:58.478Z</t>
  </si>
  <si>
    <t>fxSaYmY5yC</t>
  </si>
  <si>
    <t>1a6JaDkRhu</t>
  </si>
  <si>
    <t>2026-05-15T20:45:18.334Z</t>
  </si>
  <si>
    <t>76R16BQuo4</t>
  </si>
  <si>
    <t>vRJiB7G67Q</t>
  </si>
  <si>
    <t>2026-05-15T21:03:54.457Z</t>
  </si>
  <si>
    <t>7Tw1K9GcdB</t>
  </si>
  <si>
    <t>9A2QBa6zLr</t>
  </si>
  <si>
    <t>2026-05-15T21:04:14.416Z</t>
  </si>
  <si>
    <t>MNexhB34Vy</t>
  </si>
  <si>
    <t>LNz1qtXhB6</t>
  </si>
  <si>
    <t>2026-05-15T21:04:47.627Z</t>
  </si>
  <si>
    <t>9LS6nmZnEk</t>
  </si>
  <si>
    <t>LLfVfjn18a</t>
  </si>
  <si>
    <t>2026-05-15T21:06:16.667Z</t>
  </si>
  <si>
    <t>mFmBnZeHwC</t>
  </si>
  <si>
    <t>5TLt3cRHsA</t>
  </si>
  <si>
    <t>2026-05-15T21:06:24.678Z</t>
  </si>
  <si>
    <t>DiTEp34yV5</t>
  </si>
  <si>
    <t>AaVm6RAVKY</t>
  </si>
  <si>
    <t>2026-05-15T21:06:35.206Z</t>
  </si>
  <si>
    <t>8AmpV7MxR5</t>
  </si>
  <si>
    <t>JjiHGQ4yoT</t>
  </si>
  <si>
    <t>2026-05-15T21:06:51.567Z</t>
  </si>
  <si>
    <t>c6dSjXycnf</t>
  </si>
  <si>
    <t>hKeQaqAqoA</t>
  </si>
  <si>
    <t>2026-05-15T21:07:00.908Z</t>
  </si>
  <si>
    <t>uiCxzxpnAQ</t>
  </si>
  <si>
    <t>dCVbdom6MQ</t>
  </si>
  <si>
    <t>2026-05-15T21:07:08.498Z</t>
  </si>
  <si>
    <t>As2LwLFsaJ</t>
  </si>
  <si>
    <t>ToucC3FMMb</t>
  </si>
  <si>
    <t>2026-05-15T21:08:18.588Z</t>
  </si>
  <si>
    <t>gcRXBbtGV3</t>
  </si>
  <si>
    <t>NjSD7CVxGL</t>
  </si>
  <si>
    <t>2026-05-15T21:08:24.096Z</t>
  </si>
  <si>
    <t>QcWhyDEAos</t>
  </si>
  <si>
    <t>WtBvCnBE5A</t>
  </si>
  <si>
    <t>2026-05-15T21:08:30.417Z</t>
  </si>
  <si>
    <t>eHe7NZDfRU</t>
  </si>
  <si>
    <t>1uSsYqRN5y</t>
  </si>
  <si>
    <t>2026-05-15T21:09:36.937Z</t>
  </si>
  <si>
    <t>97i9VcuV6P</t>
  </si>
  <si>
    <t>yCM2T7UwRH</t>
  </si>
  <si>
    <t>2026-05-15T21:09:40.937Z</t>
  </si>
  <si>
    <t>x2A6K2MjDE</t>
  </si>
  <si>
    <t>gKBXjfdz2T</t>
  </si>
  <si>
    <t>2026-05-15T21:18:54.475Z</t>
  </si>
  <si>
    <t>qibEp9Ytz7</t>
  </si>
  <si>
    <t>554raRrvAS</t>
  </si>
  <si>
    <t>2026-05-15T21:23:05.617Z</t>
  </si>
  <si>
    <t>BuqBQt5nJx</t>
  </si>
  <si>
    <t>MhpzZojMM9</t>
  </si>
  <si>
    <t>2026-05-15T21:30:18.820Z</t>
  </si>
  <si>
    <t>rmzSMGbznf</t>
  </si>
  <si>
    <t>cfDSugppxi</t>
  </si>
  <si>
    <t>2026-05-15T21:40:37.558Z</t>
  </si>
  <si>
    <t>injhCFeuno</t>
  </si>
  <si>
    <t>Svir2WPi7u</t>
  </si>
  <si>
    <t>2026-05-15T21:42:44.767Z</t>
  </si>
  <si>
    <t>kYVjgiAQQe</t>
  </si>
  <si>
    <t>V1bMwQGm8B</t>
  </si>
  <si>
    <t>2026-05-15T21:43:50.007Z</t>
  </si>
  <si>
    <t>zr3AH3nFS9</t>
  </si>
  <si>
    <t>UptJ3oU9j8</t>
  </si>
  <si>
    <t>2026-05-15T21:56:10.152Z</t>
  </si>
  <si>
    <t>f1CfUnVv21</t>
  </si>
  <si>
    <t>YeCZrSAxi7</t>
  </si>
  <si>
    <t>2026-05-15T22:02:21.389Z</t>
  </si>
  <si>
    <t>yCJsr5NxDu</t>
  </si>
  <si>
    <t>qv88oWxnwu</t>
  </si>
  <si>
    <t>2026-05-15T22:05:29.851Z</t>
  </si>
  <si>
    <t>47HuSRkcoh</t>
  </si>
  <si>
    <t>9P5QUpKjvL</t>
  </si>
  <si>
    <t>2026-05-15T22:08:42.005Z</t>
  </si>
  <si>
    <t>UuzmjTjEH2</t>
  </si>
  <si>
    <t>C1MAsGpCrC</t>
  </si>
  <si>
    <t>2026-05-15T22:16:59.567Z</t>
  </si>
  <si>
    <t>8vUcPFcRLq</t>
  </si>
  <si>
    <t>5T5epzZQKe</t>
  </si>
  <si>
    <t>2026-05-15T22:27:17.958Z</t>
  </si>
  <si>
    <t>dY5eFtHhsf</t>
  </si>
  <si>
    <t>iCnBbkaPyj</t>
  </si>
  <si>
    <t>2026-05-15T22:32:32.276Z</t>
  </si>
  <si>
    <t>EPmJhLgnEb</t>
  </si>
  <si>
    <t>B6e86hbnxy</t>
  </si>
  <si>
    <t>2026-05-15T22:35:40.135Z</t>
  </si>
  <si>
    <t>N5ZbgzvHMg</t>
  </si>
  <si>
    <t>axjhVeiuoY</t>
  </si>
  <si>
    <t>2026-05-15T22:37:46.165Z</t>
  </si>
  <si>
    <t>jTH1eXrYU1</t>
  </si>
  <si>
    <t>oDE9RiWEfC</t>
  </si>
  <si>
    <t>2026-05-15T22:39:52.536Z</t>
  </si>
  <si>
    <t>sPGmTsXDTL</t>
  </si>
  <si>
    <t>pqDzvL3TEB</t>
  </si>
  <si>
    <t>Jakob F</t>
  </si>
  <si>
    <t>2026-05-15T22:40:59.704Z</t>
  </si>
  <si>
    <t>Jagger#43388</t>
  </si>
  <si>
    <t>323801620489961483</t>
  </si>
  <si>
    <t>QmtHTMPXsB</t>
  </si>
  <si>
    <t>EBNYEb2FVz</t>
  </si>
  <si>
    <t>2026-05-15T22:56:20.803Z</t>
  </si>
  <si>
    <t>qXLnXNYUGS</t>
  </si>
  <si>
    <t>3hCMnAnJoV</t>
  </si>
  <si>
    <t>2026-05-15T22:56:26.475Z</t>
  </si>
  <si>
    <t>42bH8NgVVJ</t>
  </si>
  <si>
    <t>GjReFpCtia</t>
  </si>
  <si>
    <t>2026-05-15T22:58:34.294Z</t>
  </si>
  <si>
    <t>aVWZxidXup</t>
  </si>
  <si>
    <t>YiMZLRG9HG</t>
  </si>
  <si>
    <t>2026-05-15T23:03:44.891Z</t>
  </si>
  <si>
    <t>Lh7AVx37Lb</t>
  </si>
  <si>
    <t>tAHLBbNfbz</t>
  </si>
  <si>
    <t>2026-05-15T23:07:53.420Z</t>
  </si>
  <si>
    <t>3UeWpg2xrE</t>
  </si>
  <si>
    <t>LBy9zcv7Eb</t>
  </si>
  <si>
    <t>2026-05-15T23:07:57.832Z</t>
  </si>
  <si>
    <t>ik5g6KE6D5</t>
  </si>
  <si>
    <t>KPo7uy1jVK</t>
  </si>
  <si>
    <t>2026-05-15T23:10:03.552Z</t>
  </si>
  <si>
    <t>KM1h7Ru4dq</t>
  </si>
  <si>
    <t>KUbUcK9BaV</t>
  </si>
  <si>
    <t>2026-05-15T23:17:17.360Z</t>
  </si>
  <si>
    <t>SJcQrQBdEL</t>
  </si>
  <si>
    <t>2tp6oV2wJU</t>
  </si>
  <si>
    <t>2026-05-15T23:31:36.276Z</t>
  </si>
  <si>
    <t>NZndKh3oDe</t>
  </si>
  <si>
    <t>1hWDvYqm3z</t>
  </si>
  <si>
    <t>2026-05-15T23:36:45.818Z</t>
  </si>
  <si>
    <t>VySd7VfK4H</t>
  </si>
  <si>
    <t>z1hAD1ad5u</t>
  </si>
  <si>
    <t>2026-05-15T23:46:00.219Z</t>
  </si>
  <si>
    <t>b5QC5wB5QE</t>
  </si>
  <si>
    <t>tY3wFhSFGN</t>
  </si>
  <si>
    <t>2026-05-15T23:47:05.747Z</t>
  </si>
  <si>
    <t>yAYTEYD2SR</t>
  </si>
  <si>
    <t>iPiB1z1zPU</t>
  </si>
  <si>
    <t>2026-05-16T00:12:37.827Z</t>
  </si>
  <si>
    <t>ay4tXS9Nki</t>
  </si>
  <si>
    <t>KBVoSheZ4w</t>
  </si>
  <si>
    <t>2026-05-16T00:13:43.928Z</t>
  </si>
  <si>
    <t>uSeF6s9x3A</t>
  </si>
  <si>
    <t>KaJLTNeERq</t>
  </si>
  <si>
    <t>2026-05-16T00:14:48.678Z</t>
  </si>
  <si>
    <t>hUhLWzmq5G</t>
  </si>
  <si>
    <t>PoWZMr2tM7</t>
  </si>
  <si>
    <t>2026-05-16T00:16:54.409Z</t>
  </si>
  <si>
    <t>tKnp2jZR2s</t>
  </si>
  <si>
    <t>exjZxMEUfF</t>
  </si>
  <si>
    <t>2026-05-16T00:20:01.199Z</t>
  </si>
  <si>
    <t>ndioLc3FPt</t>
  </si>
  <si>
    <t>7VXTntJgmc</t>
  </si>
  <si>
    <t>2026-05-16T00:57:46.685Z</t>
  </si>
  <si>
    <t>uFYuY85pQh</t>
  </si>
  <si>
    <t>27Kgy8KxDZ</t>
  </si>
  <si>
    <t>2026-05-16T01:49:49.413Z</t>
  </si>
  <si>
    <t>HoFomtrt4c</t>
  </si>
  <si>
    <t>YaN6DSTmGB</t>
  </si>
  <si>
    <t>2026-05-16T02:09:16.080Z</t>
  </si>
  <si>
    <t>JK6Dkz7P1f</t>
  </si>
  <si>
    <t>dj5gRikxWr</t>
  </si>
  <si>
    <t>2026-05-16T02:18:30.727Z</t>
  </si>
  <si>
    <t>AzViGGGsnj</t>
  </si>
  <si>
    <t>W6tmYGjXjQ</t>
  </si>
  <si>
    <t>2026-05-16T02:19:36.489Z</t>
  </si>
  <si>
    <t>eEE6bnKq4F</t>
  </si>
  <si>
    <t>eQfjmrqqAn</t>
  </si>
  <si>
    <t>2026-05-16T02:32:55.784Z</t>
  </si>
  <si>
    <t>7eNvo7LSa5</t>
  </si>
  <si>
    <t>xrTFRYVMVQ</t>
  </si>
  <si>
    <t>2026-05-16T02:52:21.110Z</t>
  </si>
  <si>
    <t>zyDbePNZKw</t>
  </si>
  <si>
    <t>vXqDT8LAwM</t>
  </si>
  <si>
    <t>2026-05-16T03:09:44.129Z</t>
  </si>
  <si>
    <t>S3LkWKiJCp</t>
  </si>
  <si>
    <t>ndqJCAStqn</t>
  </si>
  <si>
    <t>2026-05-16T03:16:59.005Z</t>
  </si>
  <si>
    <t>cHymv5Pc9Z</t>
  </si>
  <si>
    <t>Y5jFV8Qboi</t>
  </si>
  <si>
    <t>2026-05-16T03:25:14.312Z</t>
  </si>
  <si>
    <t>RZf43j7z41</t>
  </si>
  <si>
    <t>xo9v9mSaho</t>
  </si>
  <si>
    <t>2026-05-16T03:31:33.335Z</t>
  </si>
  <si>
    <t>DHAJyEebPy</t>
  </si>
  <si>
    <t>zXHeYNYmEr</t>
  </si>
  <si>
    <t>2026-05-16T03:40:48.474Z</t>
  </si>
  <si>
    <t>VqJR4nooKP</t>
  </si>
  <si>
    <t>79VjMMo8oU</t>
  </si>
  <si>
    <t>2026-05-16T03:43:57.171Z</t>
  </si>
  <si>
    <t>1BQbCFPizC</t>
  </si>
  <si>
    <t>eMNuLPGKEe</t>
  </si>
  <si>
    <t>2026-05-16T03:59:22.855Z</t>
  </si>
  <si>
    <t>GtCxTJUjLj</t>
  </si>
  <si>
    <t>zN8NEy3411</t>
  </si>
  <si>
    <t>2026-05-16T04:05:34.265Z</t>
  </si>
  <si>
    <t>TpRejRfsPC</t>
  </si>
  <si>
    <t>Xdcw9K3tBp</t>
  </si>
  <si>
    <t>2026-05-16T04:08:41.394Z</t>
  </si>
  <si>
    <t>pkLvs7TULn</t>
  </si>
  <si>
    <t>bfWsVNEPWQ</t>
  </si>
  <si>
    <t>2026-05-16T04:44:23.431Z</t>
  </si>
  <si>
    <t>eQ5o8AgXfQ</t>
  </si>
  <si>
    <t>z5LAg3zF5n</t>
  </si>
  <si>
    <t>2026-05-16T05:00:48.296Z</t>
  </si>
  <si>
    <t>WSf9VNnb2C</t>
  </si>
  <si>
    <t>mReqoYTbwv</t>
  </si>
  <si>
    <t>2026-05-16T05:13:05.953Z</t>
  </si>
  <si>
    <t>yQTTcnovWP</t>
  </si>
  <si>
    <t>H7YmbuGt8M</t>
  </si>
  <si>
    <t>2026-05-16T10:32:06.011Z</t>
  </si>
  <si>
    <t>BgYtbzL5no</t>
  </si>
  <si>
    <t>we2Xcqb6dZ</t>
  </si>
  <si>
    <t>2026-05-16T10:44:23.540Z</t>
  </si>
  <si>
    <t>aAZW883dUb</t>
  </si>
  <si>
    <t>V1YxRGrgGM</t>
  </si>
  <si>
    <t>2026-05-16T11:13:07.009Z</t>
  </si>
  <si>
    <t>6AAZYmXrCD</t>
  </si>
  <si>
    <t>JU3LRSbSGR</t>
  </si>
  <si>
    <t>2026-05-16T11:19:17.218Z</t>
  </si>
  <si>
    <t>fbDRAp6SZF</t>
  </si>
  <si>
    <t>NC8zWChmDM</t>
  </si>
  <si>
    <t>2026-05-16T11:42:54.963Z</t>
  </si>
  <si>
    <t>Y1AxfqRGtP</t>
  </si>
  <si>
    <t>YH68g98d1g</t>
  </si>
  <si>
    <t>2026-05-16T12:03:24.187Z</t>
  </si>
  <si>
    <t>Nt1Xn11vng</t>
  </si>
  <si>
    <t>YsnEC14by1</t>
  </si>
  <si>
    <t>2026-05-16T14:48:30.815Z</t>
  </si>
  <si>
    <t>James C</t>
  </si>
  <si>
    <t>3scher#17401</t>
  </si>
  <si>
    <t>jBHioBGpBf</t>
  </si>
  <si>
    <t>277235746278998016</t>
  </si>
  <si>
    <t>439KhMpwC4</t>
  </si>
  <si>
    <t>2026-05-16T15:20:18.918Z</t>
  </si>
  <si>
    <t>CzMYaNfEL3</t>
  </si>
  <si>
    <t>WZDyW27nhX</t>
  </si>
  <si>
    <t>2026-05-16T15:55:04.577Z</t>
  </si>
  <si>
    <t>ajStkYNU7p</t>
  </si>
  <si>
    <t>3ewS9JPDnL</t>
  </si>
  <si>
    <t>2026-05-16T16:11:32.894Z</t>
  </si>
  <si>
    <t>cpQdE1uy3g</t>
  </si>
  <si>
    <t>Bqccmp265V</t>
  </si>
  <si>
    <t>2026-05-16T16:42:19.902Z</t>
  </si>
  <si>
    <t>5bfxph5RGt</t>
  </si>
  <si>
    <t>yj3M5LFWkg</t>
  </si>
  <si>
    <t>2026-05-16T16:56:46.291Z</t>
  </si>
  <si>
    <t>sZkxVmnFbY</t>
  </si>
  <si>
    <t>6TW4yUtkSA</t>
  </si>
  <si>
    <t>2026-05-16T17:06:03.427Z</t>
  </si>
  <si>
    <t>R7s8Luez2V</t>
  </si>
  <si>
    <t>kcKk9mhnFE</t>
  </si>
  <si>
    <t>2026-05-16T17:16:23.339Z</t>
  </si>
  <si>
    <t>4G5KmK8reN</t>
  </si>
  <si>
    <t>rPDSK7QdYu</t>
  </si>
  <si>
    <t>2026-05-16T17:46:05.366Z</t>
  </si>
  <si>
    <t>8jY9xCFv7G</t>
  </si>
  <si>
    <t>chzfDFSnUk</t>
  </si>
  <si>
    <t>2026-05-16T17:48:15.965Z</t>
  </si>
  <si>
    <t>ienMLZ2D8s</t>
  </si>
  <si>
    <t>CEoKzN8UYz</t>
  </si>
  <si>
    <t>2026-05-16T17:53:30.299Z</t>
  </si>
  <si>
    <t>vo57n8yrb9</t>
  </si>
  <si>
    <t>1WoJQmY4iY</t>
  </si>
  <si>
    <t>2026-05-16T18:03:47.793Z</t>
  </si>
  <si>
    <t>98ZVrncqdy</t>
  </si>
  <si>
    <t>6xPDWLfTLU</t>
  </si>
  <si>
    <t>2026-05-16T18:12:09.498Z</t>
  </si>
  <si>
    <t>UYJorVcGyL</t>
  </si>
  <si>
    <t>vkihhDYyc1</t>
  </si>
  <si>
    <t>2026-05-16T18:19:23.890Z</t>
  </si>
  <si>
    <t>tratnxXHMP</t>
  </si>
  <si>
    <t>VJoA3sX5CJ</t>
  </si>
  <si>
    <t>2026-05-16T18:23:33.172Z</t>
  </si>
  <si>
    <t>NVkGzg5iUk</t>
  </si>
  <si>
    <t>8D4u41PR9i</t>
  </si>
  <si>
    <t>2026-05-16T18:24:37.972Z</t>
  </si>
  <si>
    <t>E3ZF8Fst8c</t>
  </si>
  <si>
    <t>yAwL1B9Z2y</t>
  </si>
  <si>
    <t>2026-05-16T18:55:20.785Z</t>
  </si>
  <si>
    <t>F5VG4mKkmn</t>
  </si>
  <si>
    <t>5WjmejosLy</t>
  </si>
  <si>
    <t>2026-05-16T18:59:31.240Z</t>
  </si>
  <si>
    <t>ewTtiKMfvL</t>
  </si>
  <si>
    <t>mRWqXwAjWH</t>
  </si>
  <si>
    <t>2026-05-16T19:10:50.844Z</t>
  </si>
  <si>
    <t>L1Wabbkd2T</t>
  </si>
  <si>
    <t>VeHQ9wrs6S</t>
  </si>
  <si>
    <t>2026-05-16T19:19:09.052Z</t>
  </si>
  <si>
    <t>4T6NEByHA2</t>
  </si>
  <si>
    <t>J34qUaNBr9</t>
  </si>
  <si>
    <t>2026-05-16T19:25:20.722Z</t>
  </si>
  <si>
    <t>hrAaaUJngD</t>
  </si>
  <si>
    <t>gj6hoGwdBm</t>
  </si>
  <si>
    <t>2026-05-16T19:37:41.560Z</t>
  </si>
  <si>
    <t>zyihUzLSBP</t>
  </si>
  <si>
    <t>CuCoTgbjKH</t>
  </si>
  <si>
    <t>2026-05-16T19:40:48.742Z</t>
  </si>
  <si>
    <t>3Mn23xuRNQ</t>
  </si>
  <si>
    <t>cUmSvK64Nq</t>
  </si>
  <si>
    <t>2026-05-16T19:48:03.247Z</t>
  </si>
  <si>
    <t>Lcqw8HfTBJ</t>
  </si>
  <si>
    <t>gWj7h5nvDs</t>
  </si>
  <si>
    <t>2026-05-16T19:54:15.640Z</t>
  </si>
  <si>
    <t>AdV8AAhW17</t>
  </si>
  <si>
    <t>YiGuq3qRoB</t>
  </si>
  <si>
    <t>2026-05-16T20:00:28.098Z</t>
  </si>
  <si>
    <t>raawozgS9w</t>
  </si>
  <si>
    <t>RoKidsF6De</t>
  </si>
  <si>
    <t>2026-05-16T20:07:40.368Z</t>
  </si>
  <si>
    <t>ChqBkpP4CZ</t>
  </si>
  <si>
    <t>WYLHTeg19S</t>
  </si>
  <si>
    <t>2026-05-16T20:25:05.088Z</t>
  </si>
  <si>
    <t>vnRWtJBfVH</t>
  </si>
  <si>
    <t>Pwn88jcy3r</t>
  </si>
  <si>
    <t>2026-05-16T20:26:10.888Z</t>
  </si>
  <si>
    <t>wvomfMYYKh</t>
  </si>
  <si>
    <t>3FhsankSLN</t>
  </si>
  <si>
    <t>2026-05-16T21:12:09.354Z</t>
  </si>
  <si>
    <t>cXE1qhfsSq</t>
  </si>
  <si>
    <t>yipMWkYpru</t>
  </si>
  <si>
    <t>2026-05-16T21:15:17.803Z</t>
  </si>
  <si>
    <t>X5bWz8nuWo</t>
  </si>
  <si>
    <t>qUhp9r6cUP</t>
  </si>
  <si>
    <t>2026-05-16T21:24:33.059Z</t>
  </si>
  <si>
    <t>K5aWPfVdAP</t>
  </si>
  <si>
    <t>J46RDrtcHW</t>
  </si>
  <si>
    <t>2026-05-16T22:13:35.093Z</t>
  </si>
  <si>
    <t>ZJs6TfEYj3</t>
  </si>
  <si>
    <t>eRokXpkp26</t>
  </si>
  <si>
    <t>2026-05-16T22:41:11.678Z</t>
  </si>
  <si>
    <t>YZHseGg2iv</t>
  </si>
  <si>
    <t>8fYiBaZsaL</t>
  </si>
  <si>
    <t>2026-05-16T23:08:50.574Z</t>
  </si>
  <si>
    <t>n7DCCeEbgv</t>
  </si>
  <si>
    <t>NnRdEAtHdb</t>
  </si>
  <si>
    <t>2026-05-16T23:14:00.654Z</t>
  </si>
  <si>
    <t>RPDpTUEENo</t>
  </si>
  <si>
    <t>ZRiV4wi2mD</t>
  </si>
  <si>
    <t>2026-05-17T00:43:47.775Z</t>
  </si>
  <si>
    <t>James M</t>
  </si>
  <si>
    <t>Demonic Tutor#02131</t>
  </si>
  <si>
    <t>cvez1Fcegs</t>
  </si>
  <si>
    <t>gWxMgYkrfp</t>
  </si>
  <si>
    <t>444713303793598474</t>
  </si>
  <si>
    <t>2026-05-17T00:43:52.846Z</t>
  </si>
  <si>
    <t>FskDEd9S28</t>
  </si>
  <si>
    <t>daAdg4tWqo</t>
  </si>
  <si>
    <t>2026-05-17T01:01:17.957Z</t>
  </si>
  <si>
    <t>TGrJkS3Hs3</t>
  </si>
  <si>
    <t>AkMAVaJV4m</t>
  </si>
  <si>
    <t>2026-05-17T03:25:14.225Z</t>
  </si>
  <si>
    <t>io5XiKUMT9</t>
  </si>
  <si>
    <t>2AKWXVAMzc</t>
  </si>
  <si>
    <t>2026-05-17T03:33:29.920Z</t>
  </si>
  <si>
    <t>W51Hen4iWa</t>
  </si>
  <si>
    <t>EvdAP1zZEi</t>
  </si>
  <si>
    <t>2026-05-17T03:58:04.221Z</t>
  </si>
  <si>
    <t>h8GAL8KKVp</t>
  </si>
  <si>
    <t>AerTYmgCWh</t>
  </si>
  <si>
    <t>2026-05-17T04:10:22.820Z</t>
  </si>
  <si>
    <t>4YUgCDVS2U</t>
  </si>
  <si>
    <t>UnissufxWC</t>
  </si>
  <si>
    <t>2026-05-17T05:00:21.863Z</t>
  </si>
  <si>
    <t>b2TUMKphTX</t>
  </si>
  <si>
    <t>6mCjEYGJMd</t>
  </si>
  <si>
    <t>2026-05-17T05:30:05.085Z</t>
  </si>
  <si>
    <t>2eCKLEhwbd</t>
  </si>
  <si>
    <t>Z53D5LZ3o2</t>
  </si>
  <si>
    <t>2026-05-17T07:28:21.044Z</t>
  </si>
  <si>
    <t>GiFVqtAXjo</t>
  </si>
  <si>
    <t>T8wPv3T8mb</t>
  </si>
  <si>
    <t>2026-05-17T11:05:15.118Z</t>
  </si>
  <si>
    <t>fV6zqgC29c</t>
  </si>
  <si>
    <t>zMoZmXpQNG</t>
  </si>
  <si>
    <t>2026-05-17T14:10:52.723Z</t>
  </si>
  <si>
    <t>rHWg3vrQaP</t>
  </si>
  <si>
    <t>5v42WKQ53b</t>
  </si>
  <si>
    <t>2026-05-17T14:51:58.307Z</t>
  </si>
  <si>
    <t>GQByKSsvF2</t>
  </si>
  <si>
    <t>jntjefECSK</t>
  </si>
  <si>
    <t>2026-05-17T15:22:45.008Z</t>
  </si>
  <si>
    <t>CCjzWz5Lgv</t>
  </si>
  <si>
    <t>7dFWzNpsfX</t>
  </si>
  <si>
    <t>2026-05-17T15:24:53.370Z</t>
  </si>
  <si>
    <t>Ue79fCtG5Q</t>
  </si>
  <si>
    <t>1DSSBX4D7G</t>
  </si>
  <si>
    <t>2026-05-17T15:30:04.379Z</t>
  </si>
  <si>
    <t>d8chopYm8W</t>
  </si>
  <si>
    <t>9UPQUKCX72</t>
  </si>
  <si>
    <t>2026-05-17T15:42:24.173Z</t>
  </si>
  <si>
    <t>A7j96i5Kj4</t>
  </si>
  <si>
    <t>HuUZ5wmSv1</t>
  </si>
  <si>
    <t>2026-05-17T15:51:39.801Z</t>
  </si>
  <si>
    <t>sZJDvxX2j8</t>
  </si>
  <si>
    <t>MEXXXSGvnw</t>
  </si>
  <si>
    <t>2026-05-17T16:38:34.947Z</t>
  </si>
  <si>
    <t>4Pero7Vt5j</t>
  </si>
  <si>
    <t>A6QXRMcftB</t>
  </si>
  <si>
    <t>2026-05-17T16:41:44.538Z</t>
  </si>
  <si>
    <t>3oB7rcPPNP</t>
  </si>
  <si>
    <t>fUAjQx1VsC</t>
  </si>
  <si>
    <t>2026-05-17T16:56:05.629Z</t>
  </si>
  <si>
    <t>UteiVR6WLX</t>
  </si>
  <si>
    <t>RKYrSpbRqP</t>
  </si>
  <si>
    <t>2026-05-17T17:09:25.426Z</t>
  </si>
  <si>
    <t>GjCpVXJDZL</t>
  </si>
  <si>
    <t>sJf72W9U25</t>
  </si>
  <si>
    <t>2026-05-17T17:12:34.137Z</t>
  </si>
  <si>
    <t>g6W8hseKEA</t>
  </si>
  <si>
    <t>VY5TSqVyET</t>
  </si>
  <si>
    <t>2026-05-17T17:23:51.947Z</t>
  </si>
  <si>
    <t>HLimtbsCp7</t>
  </si>
  <si>
    <t>VU1HNLQrby</t>
  </si>
  <si>
    <t>2026-05-17T17:36:14.144Z</t>
  </si>
  <si>
    <t>5tjVa2G6Hy</t>
  </si>
  <si>
    <t>v2aXhyL3GL</t>
  </si>
  <si>
    <t>2026-05-17T17:54:42.404Z</t>
  </si>
  <si>
    <t>5CUKfVGSai</t>
  </si>
  <si>
    <t>G78dGxxi47</t>
  </si>
  <si>
    <t>2026-05-17T17:56:49.246Z</t>
  </si>
  <si>
    <t>D8mnMtdBy7</t>
  </si>
  <si>
    <t>spZKXMpi3t</t>
  </si>
  <si>
    <t>2026-05-17T18:00:00.556Z</t>
  </si>
  <si>
    <t>cVZcgs7vx1</t>
  </si>
  <si>
    <t>cgM9vVsVDH</t>
  </si>
  <si>
    <t>2026-05-17T18:06:13.480Z</t>
  </si>
  <si>
    <t>dAyueLmUoK</t>
  </si>
  <si>
    <t>WDQ9PFgExC</t>
  </si>
  <si>
    <t>2026-05-17T19:15:41.024Z</t>
  </si>
  <si>
    <t>hXMetAgE9R</t>
  </si>
  <si>
    <t>7BJqNG841y</t>
  </si>
  <si>
    <t>2026-05-17T19:58:36.195Z</t>
  </si>
  <si>
    <t>Y54hhMP2qs</t>
  </si>
  <si>
    <t>DjtK5AxkHj</t>
  </si>
  <si>
    <t>2026-05-17T20:18:04.141Z</t>
  </si>
  <si>
    <t>HUuaCQ2fFg</t>
  </si>
  <si>
    <t>ZTuzjzEbmb</t>
  </si>
  <si>
    <t>2026-05-17T20:25:17.735Z</t>
  </si>
  <si>
    <t>R7hZ2uyrzd</t>
  </si>
  <si>
    <t>e1tBCTeXcv</t>
  </si>
  <si>
    <t>2026-05-17T20:27:26.097Z</t>
  </si>
  <si>
    <t>c5LifG4svW</t>
  </si>
  <si>
    <t>uc2Bv9kVgP</t>
  </si>
  <si>
    <t>2026-05-17T20:47:50.979Z</t>
  </si>
  <si>
    <t>dL1KuDs7HQ</t>
  </si>
  <si>
    <t>y8EkNkTReg</t>
  </si>
  <si>
    <t>2026-05-17T21:05:21.562Z</t>
  </si>
  <si>
    <t>hoq7ciuiW3</t>
  </si>
  <si>
    <t>bpnc7phmwo</t>
  </si>
  <si>
    <t>2026-05-17T21:15:50.540Z</t>
  </si>
  <si>
    <t>ntdDKsBUeD</t>
  </si>
  <si>
    <t>6iUuSPSHSc</t>
  </si>
  <si>
    <t>2026-05-17T21:38:24.513Z</t>
  </si>
  <si>
    <t>x2zzsxXScz</t>
  </si>
  <si>
    <t>in7WLEi8fS</t>
  </si>
  <si>
    <t>2026-05-17T21:41:33.619Z</t>
  </si>
  <si>
    <t>RmiKK439Cp</t>
  </si>
  <si>
    <t>wpk1KUH3KL</t>
  </si>
  <si>
    <t>2026-05-17T21:55:00.135Z</t>
  </si>
  <si>
    <t>pAZDUGjc3K</t>
  </si>
  <si>
    <t>5FoDkizpzm</t>
  </si>
  <si>
    <t>2026-05-17T22:13:32.012Z</t>
  </si>
  <si>
    <t>szM7fiGA6j</t>
  </si>
  <si>
    <t>hY2xosYzTQ</t>
  </si>
  <si>
    <t>2026-05-17T22:16:44.415Z</t>
  </si>
  <si>
    <t>kz5whnEPJh</t>
  </si>
  <si>
    <t>Jzv318HKyg</t>
  </si>
  <si>
    <t>2026-05-17T22:30:04.312Z</t>
  </si>
  <si>
    <t>S4qZsppog2</t>
  </si>
  <si>
    <t>4xUBEd77Ch</t>
  </si>
  <si>
    <t>2026-05-17T22:43:23.679Z</t>
  </si>
  <si>
    <t>9hzVgZkpmr</t>
  </si>
  <si>
    <t>4c6NP9GW7r</t>
  </si>
  <si>
    <t>2026-05-17T23:16:08.734Z</t>
  </si>
  <si>
    <t>1C7ugzNxrP</t>
  </si>
  <si>
    <t>UXaj4ZMQ4z</t>
  </si>
  <si>
    <t>James T</t>
  </si>
  <si>
    <t>2026-05-17T23:30:32.398Z</t>
  </si>
  <si>
    <t>RevisedIsland#19780</t>
  </si>
  <si>
    <t>638177680197419029</t>
  </si>
  <si>
    <t>upFjWoSMGv</t>
  </si>
  <si>
    <t>XR6zWwCV9M</t>
  </si>
  <si>
    <t>2026-05-17T23:39:49.112Z</t>
  </si>
  <si>
    <t>3nSZK8kWfg</t>
  </si>
  <si>
    <t>FgcZgpNSEp</t>
  </si>
  <si>
    <t>2026-05-17T23:50:09.743Z</t>
  </si>
  <si>
    <t>ShMnANT3gw</t>
  </si>
  <si>
    <t>xiLp2UX2o4</t>
  </si>
  <si>
    <t>2026-05-18T00:56:54.729Z</t>
  </si>
  <si>
    <t>4aMgnhxYL6</t>
  </si>
  <si>
    <t>Ry11AsZaSV</t>
  </si>
  <si>
    <t>2026-05-18T01:22:33.068Z</t>
  </si>
  <si>
    <t>eCQHY5grC6</t>
  </si>
  <si>
    <t>X2kGizXk6y</t>
  </si>
  <si>
    <t>2026-05-18T01:59:22.292Z</t>
  </si>
  <si>
    <t>BFrcydxeYA</t>
  </si>
  <si>
    <t>zcSyvAZvcQ</t>
  </si>
  <si>
    <t>2026-05-18T02:27:12.677Z</t>
  </si>
  <si>
    <t>GqPzmQBR1k</t>
  </si>
  <si>
    <t>tuczZ9iD3h</t>
  </si>
  <si>
    <t>2026-05-18T02:28:18.408Z</t>
  </si>
  <si>
    <t>MC1scCyXsb</t>
  </si>
  <si>
    <t>hLoVvHztKN</t>
  </si>
  <si>
    <t>2026-05-18T03:15:36.268Z</t>
  </si>
  <si>
    <t>kWPZW9oRu9</t>
  </si>
  <si>
    <t>2TESL2ujNy</t>
  </si>
  <si>
    <t>2026-05-18T03:59:48.084Z</t>
  </si>
  <si>
    <t>XegXhLc8hA</t>
  </si>
  <si>
    <t>NiU9aDshXM</t>
  </si>
  <si>
    <t>2026-05-18T04:12:12.295Z</t>
  </si>
  <si>
    <t>cM7YPf5dWv</t>
  </si>
  <si>
    <t>SUJREaW2n2</t>
  </si>
  <si>
    <t>2026-05-18T04:41:58.332Z</t>
  </si>
  <si>
    <t>EQ9GfRthVK</t>
  </si>
  <si>
    <t>ytFhKNibPi</t>
  </si>
  <si>
    <t>2026-05-18T04:59:28.542Z</t>
  </si>
  <si>
    <t>V8B1sqVskv</t>
  </si>
  <si>
    <t>Np8Aa58s3E</t>
  </si>
  <si>
    <t>2026-05-18T04:59:32.869Z</t>
  </si>
  <si>
    <t>ydzaWxzMpd</t>
  </si>
  <si>
    <t>yozGcfcV8H</t>
  </si>
  <si>
    <t>2026-05-18T11:15:26.621Z</t>
  </si>
  <si>
    <t>v39fisAamH</t>
  </si>
  <si>
    <t>vmkkPJHdAz</t>
  </si>
  <si>
    <t>2026-05-18T11:32:55.408Z</t>
  </si>
  <si>
    <t>kp7Qurj3zC</t>
  </si>
  <si>
    <t>PfGW7VwMCz</t>
  </si>
  <si>
    <t>2026-05-18T12:07:40.207Z</t>
  </si>
  <si>
    <t>JehC2BPtSX</t>
  </si>
  <si>
    <t>CVVoEiFszq</t>
  </si>
  <si>
    <t>2026-05-18T12:50:31.791Z</t>
  </si>
  <si>
    <t>pMBa3aawwp</t>
  </si>
  <si>
    <t>wDyVxoubh7</t>
  </si>
  <si>
    <t>2026-05-18T14:16:29.611Z</t>
  </si>
  <si>
    <t>LcjAYa7uBt</t>
  </si>
  <si>
    <t>9LDJtNhr4B</t>
  </si>
  <si>
    <t>2026-05-18T14:54:36.337Z</t>
  </si>
  <si>
    <t>e5U1dVUKPd</t>
  </si>
  <si>
    <t>rFPXhNNAKm</t>
  </si>
  <si>
    <t>2026-05-18T15:26:33.132Z</t>
  </si>
  <si>
    <t>mkY6pSeRMQ</t>
  </si>
  <si>
    <t>JfkyVktioj</t>
  </si>
  <si>
    <t>2026-05-18T15:26:37.537Z</t>
  </si>
  <si>
    <t>6YbHogKeBe</t>
  </si>
  <si>
    <t>oyoyV3vaUw</t>
  </si>
  <si>
    <t>2026-05-18T16:54:51.262Z</t>
  </si>
  <si>
    <t>CaxYmeEBUM</t>
  </si>
  <si>
    <t>G1vjWhSKLX</t>
  </si>
  <si>
    <t>2026-05-18T16:56:01.363Z</t>
  </si>
  <si>
    <t>H963LgfkDf</t>
  </si>
  <si>
    <t>V3v2LTgSZP</t>
  </si>
  <si>
    <t>2026-05-18T17:47:37.274Z</t>
  </si>
  <si>
    <t>44xnTNUiUA</t>
  </si>
  <si>
    <t>GnboFPuRBG</t>
  </si>
  <si>
    <t>2026-05-18T19:21:57.369Z</t>
  </si>
  <si>
    <t>yLM3Ncz9kK</t>
  </si>
  <si>
    <t>KukcSvkkLn</t>
  </si>
  <si>
    <t>2026-05-18T19:37:34.668Z</t>
  </si>
  <si>
    <t>jhrJRKtf6S</t>
  </si>
  <si>
    <t>mErhEygZYi</t>
  </si>
  <si>
    <t>2026-05-18T19:56:02.750Z</t>
  </si>
  <si>
    <t>rPddnY7Vrx</t>
  </si>
  <si>
    <t>h3LjsaPgDi</t>
  </si>
  <si>
    <t>2026-05-18T20:20:41.128Z</t>
  </si>
  <si>
    <t>Tc6Kw7zR1e</t>
  </si>
  <si>
    <t>6kEyRBUvvF</t>
  </si>
  <si>
    <t>2026-05-18T20:30:03.266Z</t>
  </si>
  <si>
    <t>sXZ2QPYi1M</t>
  </si>
  <si>
    <t>uJpuPaJQsV</t>
  </si>
  <si>
    <t>2026-05-18T21:32:51.531Z</t>
  </si>
  <si>
    <t>HMdk7uXCmH</t>
  </si>
  <si>
    <t>C5G1eZkCUu</t>
  </si>
  <si>
    <t>2026-05-18T22:22:19.119Z</t>
  </si>
  <si>
    <t>VNRuQMCaHn</t>
  </si>
  <si>
    <t>eetjBAxGAA</t>
  </si>
  <si>
    <t>2026-05-18T22:22:30.830Z</t>
  </si>
  <si>
    <t>BYrnb7gjra</t>
  </si>
  <si>
    <t>b5QzxfWa2z</t>
  </si>
  <si>
    <t>2026-05-19T00:07:05.641Z</t>
  </si>
  <si>
    <t>V8KR7UtjJb</t>
  </si>
  <si>
    <t>tZZMP74uBK</t>
  </si>
  <si>
    <t>2026-05-19T01:14:52.708Z</t>
  </si>
  <si>
    <t>LpPDYKVTLw</t>
  </si>
  <si>
    <t>Bf8AWC4hQw</t>
  </si>
  <si>
    <t>2026-05-19T01:15:59.238Z</t>
  </si>
  <si>
    <t>PBCnbAUquy</t>
  </si>
  <si>
    <t>MZbJ4xuAuW</t>
  </si>
  <si>
    <t>2026-05-19T01:18:09.518Z</t>
  </si>
  <si>
    <t>G7BFHmiXZ9</t>
  </si>
  <si>
    <t>LJ3Jj6L16W</t>
  </si>
  <si>
    <t>2026-05-19T01:19:18.137Z</t>
  </si>
  <si>
    <t>pd1Bk5THC6</t>
  </si>
  <si>
    <t>cQFLMTeUw2</t>
  </si>
  <si>
    <t>2026-05-19T01:19:22.314Z</t>
  </si>
  <si>
    <t>BkAKt5JUjw</t>
  </si>
  <si>
    <t>94KTxwYA9n</t>
  </si>
  <si>
    <t>2026-05-19T01:20:28.599Z</t>
  </si>
  <si>
    <t>u9ftrhEAsW</t>
  </si>
  <si>
    <t>7GeYRH6q94</t>
  </si>
  <si>
    <t>2026-05-19T01:20:32.748Z</t>
  </si>
  <si>
    <t>7LJ45xrkCQ</t>
  </si>
  <si>
    <t>BEZ9z1N8HG</t>
  </si>
  <si>
    <t>2026-05-19T01:34:55.866Z</t>
  </si>
  <si>
    <t>fuuXjXN1xS</t>
  </si>
  <si>
    <t>A57Um5mgtn</t>
  </si>
  <si>
    <t>2026-05-19T01:41:09.643Z</t>
  </si>
  <si>
    <t>9x98cq5RjF</t>
  </si>
  <si>
    <t>EeMkmBUAW5</t>
  </si>
  <si>
    <t>2026-05-19T02:22:16.733Z</t>
  </si>
  <si>
    <t>pVBFRsiwBP</t>
  </si>
  <si>
    <t>tXUuKWg4xt</t>
  </si>
  <si>
    <t>2026-05-19T02:25:24.139Z</t>
  </si>
  <si>
    <t>6nLDXttuRQ</t>
  </si>
  <si>
    <t>5XMz9e9RTQ</t>
  </si>
  <si>
    <t>2026-05-19T02:27:32.206Z</t>
  </si>
  <si>
    <t>eec4nqBGzF</t>
  </si>
  <si>
    <t>31EXHAd4NH</t>
  </si>
  <si>
    <t>2026-05-19T02:42:08.927Z</t>
  </si>
  <si>
    <t>6duAbZLBpo</t>
  </si>
  <si>
    <t>WTUswkbrWT</t>
  </si>
  <si>
    <t>2026-05-19T03:31:30.144Z</t>
  </si>
  <si>
    <t>e89gFf5AAu</t>
  </si>
  <si>
    <t>5whnFP9Qak</t>
  </si>
  <si>
    <t>2026-05-19T03:34:38.325Z</t>
  </si>
  <si>
    <t>JhERw6ba5d</t>
  </si>
  <si>
    <t>rzs3s4CD2L</t>
  </si>
  <si>
    <t>2026-05-19T03:34:42.515Z</t>
  </si>
  <si>
    <t>3hxmaHjaqG</t>
  </si>
  <si>
    <t>tykBMRQfGJ</t>
  </si>
  <si>
    <t>2026-05-19T03:52:05.027Z</t>
  </si>
  <si>
    <t>Jamie W</t>
  </si>
  <si>
    <t>zRtwPD7yve</t>
  </si>
  <si>
    <t>Jamie#45846</t>
  </si>
  <si>
    <t>4Bx7mKDDmQ</t>
  </si>
  <si>
    <t>2026-05-19T03:59:18.763Z</t>
  </si>
  <si>
    <t>421405771939708938</t>
  </si>
  <si>
    <t>YHPfx6sVMW</t>
  </si>
  <si>
    <t>Vn32rEsoRK</t>
  </si>
  <si>
    <t>2026-05-19T04:07:42.613Z</t>
  </si>
  <si>
    <t>PjtKETNDQU</t>
  </si>
  <si>
    <t>HWAKsfmBap</t>
  </si>
  <si>
    <t>2026-05-19T04:12:57.538Z</t>
  </si>
  <si>
    <t>vJs37VQC4e</t>
  </si>
  <si>
    <t>8ZFSLu6fsR</t>
  </si>
  <si>
    <t>2026-05-19T04:22:17.900Z</t>
  </si>
  <si>
    <t>kp6VNoHNxw</t>
  </si>
  <si>
    <t>rmrBLyjo11</t>
  </si>
  <si>
    <t>2026-05-19T04:27:28.140Z</t>
  </si>
  <si>
    <t>AjERuXvBKy</t>
  </si>
  <si>
    <t>JR32TJTtUr</t>
  </si>
  <si>
    <t>2026-05-19T04:39:51.468Z</t>
  </si>
  <si>
    <t>baS3pSaGuM</t>
  </si>
  <si>
    <t>46u9m1Q6vR</t>
  </si>
  <si>
    <t>2026-05-19T05:04:40.502Z</t>
  </si>
  <si>
    <t>KebEuZUaKA</t>
  </si>
  <si>
    <t>2yrBPDWQzE</t>
  </si>
  <si>
    <t>2026-05-19T05:39:38.505Z</t>
  </si>
  <si>
    <t>xd5SSpq1ES</t>
  </si>
  <si>
    <t>Y3XDP8tHfh</t>
  </si>
  <si>
    <t>2026-05-19T07:34:08.628Z</t>
  </si>
  <si>
    <t>t9rP8DXQcY</t>
  </si>
  <si>
    <t>sVqybAcpDt</t>
  </si>
  <si>
    <t>2026-05-19T11:20:52.258Z</t>
  </si>
  <si>
    <t>JCUTd9vx9D</t>
  </si>
  <si>
    <t>RGCV9vXtGP</t>
  </si>
  <si>
    <t>2026-05-19T15:54:44.890Z</t>
  </si>
  <si>
    <t>Z1xwfNjsbc</t>
  </si>
  <si>
    <t>7e2MHJaFf7</t>
  </si>
  <si>
    <t>2026-05-19T16:19:22.959Z</t>
  </si>
  <si>
    <t>axHqaxGuZB</t>
  </si>
  <si>
    <t>pM31Faxhgw</t>
  </si>
  <si>
    <t>2026-05-19T17:05:36.450Z</t>
  </si>
  <si>
    <t>GX93KkLmyE</t>
  </si>
  <si>
    <t>sSfzydhdut</t>
  </si>
  <si>
    <t>2026-05-19T17:09:45.583Z</t>
  </si>
  <si>
    <t>UU1kuVpGVB</t>
  </si>
  <si>
    <t>g1NU3RqVGZ</t>
  </si>
  <si>
    <t>2026-05-19T17:40:33.831Z</t>
  </si>
  <si>
    <t>zDuD5wf6n5</t>
  </si>
  <si>
    <t>paHPTYdCKM</t>
  </si>
  <si>
    <t>2026-05-19T17:54:01.648Z</t>
  </si>
  <si>
    <t>y6WUjxLsHo</t>
  </si>
  <si>
    <t>QHHmJAcKAp</t>
  </si>
  <si>
    <t>2026-05-19T18:11:26.831Z</t>
  </si>
  <si>
    <t>ZMdrcN2787</t>
  </si>
  <si>
    <t>nVzeGPDziF</t>
  </si>
  <si>
    <t>2026-05-19T19:09:44.693Z</t>
  </si>
  <si>
    <t>5LVPdStKV4</t>
  </si>
  <si>
    <t>5goEh9mgQF</t>
  </si>
  <si>
    <t>2026-05-19T19:14:58.663Z</t>
  </si>
  <si>
    <t>pphZ9p6Wxy</t>
  </si>
  <si>
    <t>DR3MX8HM7b</t>
  </si>
  <si>
    <t>2026-05-19T19:44:46.820Z</t>
  </si>
  <si>
    <t>aGMPzdKfCw</t>
  </si>
  <si>
    <t>zrSeC6pbtP</t>
  </si>
  <si>
    <t>2026-05-19T19:51:00.850Z</t>
  </si>
  <si>
    <t>PuP8DwJiwk</t>
  </si>
  <si>
    <t>WaYzus5paz</t>
  </si>
  <si>
    <t>2026-05-19T20:19:45.700Z</t>
  </si>
  <si>
    <t>yoTzSxPh28</t>
  </si>
  <si>
    <t>Yf1w9y5xKh</t>
  </si>
  <si>
    <t>2026-05-19T20:26:06.393Z</t>
  </si>
  <si>
    <t>u7RQ14ozE7</t>
  </si>
  <si>
    <t>DgxL9JaNpD</t>
  </si>
  <si>
    <t>2026-05-19T20:35:46.645Z</t>
  </si>
  <si>
    <t>pDc7VjtWb6</t>
  </si>
  <si>
    <t>xWsNFr7Vpc</t>
  </si>
  <si>
    <t>2026-05-19T20:49:05.296Z</t>
  </si>
  <si>
    <t>oweY1WdRmh</t>
  </si>
  <si>
    <t>BnA7Ge9nSj</t>
  </si>
  <si>
    <t>2026-05-19T21:14:45.473Z</t>
  </si>
  <si>
    <t>N6e9GfJWtS</t>
  </si>
  <si>
    <t>joFm8SzzZW</t>
  </si>
  <si>
    <t>2026-05-19T21:19:56.382Z</t>
  </si>
  <si>
    <t>3T4uyPNs3M</t>
  </si>
  <si>
    <t>QDLDCdgWht</t>
  </si>
  <si>
    <t>2026-05-19T21:31:14.939Z</t>
  </si>
  <si>
    <t>UoyVyDfvdb</t>
  </si>
  <si>
    <t>aatcggxpse</t>
  </si>
  <si>
    <t>2026-05-19T21:31:19.302Z</t>
  </si>
  <si>
    <t>LMfX65qysB</t>
  </si>
  <si>
    <t>ohQBy4gc1Z</t>
  </si>
  <si>
    <t>2026-05-19T21:34:28.319Z</t>
  </si>
  <si>
    <t>4G1SS6ZSbE</t>
  </si>
  <si>
    <t>GkHbztgqcw</t>
  </si>
  <si>
    <t>2026-05-19T22:13:28.008Z</t>
  </si>
  <si>
    <t>Fqnyef3Nzn</t>
  </si>
  <si>
    <t>6tnvxaTKWz</t>
  </si>
  <si>
    <t>2026-05-19T22:49:24.718Z</t>
  </si>
  <si>
    <t>3T5mxWQ4bW</t>
  </si>
  <si>
    <t>FGkkBPw2JX</t>
  </si>
  <si>
    <t>2026-05-19T23:36:34.862Z</t>
  </si>
  <si>
    <t>mku5NR4s6M</t>
  </si>
  <si>
    <t>LP4n3kJp1U</t>
  </si>
  <si>
    <t>2026-05-20T00:24:43.602Z</t>
  </si>
  <si>
    <t>VuMfPQnETM</t>
  </si>
  <si>
    <t>MWJEefj3Ak</t>
  </si>
  <si>
    <t>2026-05-20T00:44:08.822Z</t>
  </si>
  <si>
    <t>uLfqfbrvUv</t>
  </si>
  <si>
    <t>73HJRAy9QY</t>
  </si>
  <si>
    <t>2026-05-20T00:52:22.248Z</t>
  </si>
  <si>
    <t>USwGW2nfbC</t>
  </si>
  <si>
    <t>iCVrJWgFng</t>
  </si>
  <si>
    <t>2026-05-20T01:06:49.015Z</t>
  </si>
  <si>
    <t>cuwe2DTVUy</t>
  </si>
  <si>
    <t>cUk2FLiN51</t>
  </si>
  <si>
    <t>2026-05-20T01:16:06.926Z</t>
  </si>
  <si>
    <t>DubEHyFVSM</t>
  </si>
  <si>
    <t>XgP5X676AN</t>
  </si>
  <si>
    <t>2026-05-20T01:29:25.302Z</t>
  </si>
  <si>
    <t>PZZciq5yGX</t>
  </si>
  <si>
    <t>k1zZpTU7Xz</t>
  </si>
  <si>
    <t>2026-05-20T01:53:02.990Z</t>
  </si>
  <si>
    <t>LxvbhxpGrb</t>
  </si>
  <si>
    <t>ut3SygxtYW</t>
  </si>
  <si>
    <t>2026-05-20T01:54:08.702Z</t>
  </si>
  <si>
    <t>JgiYQRBLtk</t>
  </si>
  <si>
    <t>vSWxcT4QLG</t>
  </si>
  <si>
    <t>2026-05-20T01:56:15.553Z</t>
  </si>
  <si>
    <t>w7w9rosvzT</t>
  </si>
  <si>
    <t>hLauzr3386</t>
  </si>
  <si>
    <t>2026-05-20T02:33:06.616Z</t>
  </si>
  <si>
    <t>yzTbNB4xCj</t>
  </si>
  <si>
    <t>tBYrWA1mpr</t>
  </si>
  <si>
    <t>Jared M</t>
  </si>
  <si>
    <t>2026-05-20T02:41:24.852Z</t>
  </si>
  <si>
    <t>doc_martin#46452</t>
  </si>
  <si>
    <t>1173294352760574025</t>
  </si>
  <si>
    <t>3GSh3HXoxA</t>
  </si>
  <si>
    <t>fhcB1gt4Sz</t>
  </si>
  <si>
    <t>2026-05-20T03:25:34.765Z</t>
  </si>
  <si>
    <t>8h2JmiKCS8</t>
  </si>
  <si>
    <t>DH681wBpKe</t>
  </si>
  <si>
    <t>2026-05-20T03:58:24.337Z</t>
  </si>
  <si>
    <t>CYG3iXtiJB</t>
  </si>
  <si>
    <t>rAnNNfewPN</t>
  </si>
  <si>
    <t>2026-05-20T04:40:29.645Z</t>
  </si>
  <si>
    <t>T2URuaMSmV</t>
  </si>
  <si>
    <t>TqGwY98J9Z</t>
  </si>
  <si>
    <t>2026-05-20T05:09:10.778Z</t>
  </si>
  <si>
    <t>P9tJkrEUMZ</t>
  </si>
  <si>
    <t>pdzrdUQ8yq</t>
  </si>
  <si>
    <t>2026-05-20T15:59:16.879Z</t>
  </si>
  <si>
    <t>XJinvru4ks</t>
  </si>
  <si>
    <t>L4BgsEowLs</t>
  </si>
  <si>
    <t>2026-05-20T16:42:09.403Z</t>
  </si>
  <si>
    <t>yJY7AJcGEf</t>
  </si>
  <si>
    <t>UCUG7uNVvF</t>
  </si>
  <si>
    <t>2026-05-20T17:04:45.445Z</t>
  </si>
  <si>
    <t>ExXiZee3er</t>
  </si>
  <si>
    <t>fQY8NFRm1M</t>
  </si>
  <si>
    <t>2026-05-20T17:20:10.354Z</t>
  </si>
  <si>
    <t>Vv35oqmUQw</t>
  </si>
  <si>
    <t>dG23U3gumX</t>
  </si>
  <si>
    <t>2026-05-20T17:30:30.263Z</t>
  </si>
  <si>
    <t>anc4wt7mCV</t>
  </si>
  <si>
    <t>XGMDjnVMc1</t>
  </si>
  <si>
    <t>2026-05-20T17:52:04.820Z</t>
  </si>
  <si>
    <t>hbwfY3cykw</t>
  </si>
  <si>
    <t>qqjsg1rBUg</t>
  </si>
  <si>
    <t>2026-05-20T17:56:16.199Z</t>
  </si>
  <si>
    <t>gaL68ioXG4</t>
  </si>
  <si>
    <t>QdfbGX9cyR</t>
  </si>
  <si>
    <t>Jeb B</t>
  </si>
  <si>
    <t>2026-05-20T19:39:36.209Z</t>
  </si>
  <si>
    <t>Gray_Bob19#67329</t>
  </si>
  <si>
    <t>535290286495236106</t>
  </si>
  <si>
    <t>GKzmf8gqxm</t>
  </si>
  <si>
    <t>jhFeq5VbQh</t>
  </si>
  <si>
    <t>2026-05-20T20:16:31.419Z</t>
  </si>
  <si>
    <t>LWwGo6qVov</t>
  </si>
  <si>
    <t>kEcsYQe52S</t>
  </si>
  <si>
    <t>2026-05-20T20:21:43.214Z</t>
  </si>
  <si>
    <t>dyVrNwLCmh</t>
  </si>
  <si>
    <t>D5scLeh4K7</t>
  </si>
  <si>
    <t>2026-05-20T20:23:51.824Z</t>
  </si>
  <si>
    <t>ULXFDre3tq</t>
  </si>
  <si>
    <t>Wo63rBrH62</t>
  </si>
  <si>
    <t>2026-05-20T22:09:19.234Z</t>
  </si>
  <si>
    <t>iGoX5Sa8ky</t>
  </si>
  <si>
    <t>hh6iA6PrUJ</t>
  </si>
  <si>
    <t>2026-05-20T22:27:53.175Z</t>
  </si>
  <si>
    <t>oD1jga7ZJU</t>
  </si>
  <si>
    <t>3VDQyBSyow</t>
  </si>
  <si>
    <t>2026-05-20T22:35:11.737Z</t>
  </si>
  <si>
    <t>3YQF8q9QAC</t>
  </si>
  <si>
    <t>NT56nMNY2i</t>
  </si>
  <si>
    <t>2026-05-20T23:04:56.198Z</t>
  </si>
  <si>
    <t>1gJtPkUBeG</t>
  </si>
  <si>
    <t>m9yrUsscrS</t>
  </si>
  <si>
    <t>2026-05-20T23:09:08.869Z</t>
  </si>
  <si>
    <t>WWrYXg8j5E</t>
  </si>
  <si>
    <t>qgMJLjdLAW</t>
  </si>
  <si>
    <t>2026-05-20T23:19:28.696Z</t>
  </si>
  <si>
    <t>YJ4p6c91gZ</t>
  </si>
  <si>
    <t>GztiqYvtDG</t>
  </si>
  <si>
    <t>2026-05-20T23:49:12.512Z</t>
  </si>
  <si>
    <t>zN254QuL7z</t>
  </si>
  <si>
    <t>wxxtTXsCNs</t>
  </si>
  <si>
    <t>2026-05-21T00:03:36.972Z</t>
  </si>
  <si>
    <t>n2yjpfwtE7</t>
  </si>
  <si>
    <t>RwLhJjck8c</t>
  </si>
  <si>
    <t>2026-05-21T00:15:01.856Z</t>
  </si>
  <si>
    <t>RGhMMDmuEi</t>
  </si>
  <si>
    <t>go1gpHHin8</t>
  </si>
  <si>
    <t>2026-05-21T00:17:11.659Z</t>
  </si>
  <si>
    <t>5LweGnhxmT</t>
  </si>
  <si>
    <t>gve7vm6p31</t>
  </si>
  <si>
    <t>2026-05-21T00:38:45.099Z</t>
  </si>
  <si>
    <t>WWv9ZPxVk5</t>
  </si>
  <si>
    <t>R2kqx7xx6V</t>
  </si>
  <si>
    <t>2026-05-21T00:42:59.279Z</t>
  </si>
  <si>
    <t>SV68Ckb7vr</t>
  </si>
  <si>
    <t>CzLAeRKxDq</t>
  </si>
  <si>
    <t>2026-05-21T00:50:15.336Z</t>
  </si>
  <si>
    <t>qtr2ByUUgS</t>
  </si>
  <si>
    <t>fFiQFY7GJY</t>
  </si>
  <si>
    <t>2026-05-21T01:09:49.788Z</t>
  </si>
  <si>
    <t>uXcPNrMjpu</t>
  </si>
  <si>
    <t>LHLYFbMg4x</t>
  </si>
  <si>
    <t>2026-05-21T01:20:07.409Z</t>
  </si>
  <si>
    <t>UQigRkZf5j</t>
  </si>
  <si>
    <t>SX8P5UAKyC</t>
  </si>
  <si>
    <t>2026-05-21T01:44:41.517Z</t>
  </si>
  <si>
    <t>izqLHvzYv1</t>
  </si>
  <si>
    <t>canwLkaMSd</t>
  </si>
  <si>
    <t>2026-05-21T01:52:59.324Z</t>
  </si>
  <si>
    <t>EeP4ESc5ip</t>
  </si>
  <si>
    <t>oi4CXG453m</t>
  </si>
  <si>
    <t>2026-05-21T01:53:05.994Z</t>
  </si>
  <si>
    <t>VjAWfLQWAY</t>
  </si>
  <si>
    <t>RMzDJPL8F2</t>
  </si>
  <si>
    <t>2026-05-21T02:01:21.713Z</t>
  </si>
  <si>
    <t>LtNbDPwLj1</t>
  </si>
  <si>
    <t>6EU6B5csoN</t>
  </si>
  <si>
    <t>2026-05-21T02:14:45.848Z</t>
  </si>
  <si>
    <t>3jqCfPAgDw</t>
  </si>
  <si>
    <t>ABJZBCdJqc</t>
  </si>
  <si>
    <t>2026-05-21T02:27:07.101Z</t>
  </si>
  <si>
    <t>Rsh64CNKYa</t>
  </si>
  <si>
    <t>CDszNH3g27</t>
  </si>
  <si>
    <t>2026-05-21T02:28:14.304Z</t>
  </si>
  <si>
    <t>7DJEd27rLu</t>
  </si>
  <si>
    <t>NJQSr49wmQ</t>
  </si>
  <si>
    <t>2026-05-21T02:31:25.356Z</t>
  </si>
  <si>
    <t>88CDaqNYgQ</t>
  </si>
  <si>
    <t>R2YAUcmsbR</t>
  </si>
  <si>
    <t>2026-05-21T02:31:30.538Z</t>
  </si>
  <si>
    <t>cSUqgF95EW</t>
  </si>
  <si>
    <t>oYDSs4tEE1</t>
  </si>
  <si>
    <t>2026-05-21T02:42:50.493Z</t>
  </si>
  <si>
    <t>YgdFLLNnMx</t>
  </si>
  <si>
    <t>y2WbpgaaGG</t>
  </si>
  <si>
    <t>2026-05-21T02:48:03.965Z</t>
  </si>
  <si>
    <t>iopzonFHiu</t>
  </si>
  <si>
    <t>EzQiADMN7A</t>
  </si>
  <si>
    <t>2026-05-21T02:49:11.144Z</t>
  </si>
  <si>
    <t>A6wYLu8Qbe</t>
  </si>
  <si>
    <t>4cQBkL8og3</t>
  </si>
  <si>
    <t>2026-05-21T02:52:19.899Z</t>
  </si>
  <si>
    <t>Joaquin E</t>
  </si>
  <si>
    <t>KXRm2sdS2u</t>
  </si>
  <si>
    <t>DiabolicMachine#23891</t>
  </si>
  <si>
    <t>v9ThGD5Jx9</t>
  </si>
  <si>
    <t>731384239865724999</t>
  </si>
  <si>
    <t>2026-05-21T02:56:31.109Z</t>
  </si>
  <si>
    <t>iFP46eJMtc</t>
  </si>
  <si>
    <t>r4iQSuPHBK</t>
  </si>
  <si>
    <t>2026-05-21T03:03:52.113Z</t>
  </si>
  <si>
    <t>TdPGnTYCGU</t>
  </si>
  <si>
    <t>LHUebXCxDE</t>
  </si>
  <si>
    <t>2026-05-21T03:12:08.128Z</t>
  </si>
  <si>
    <t>HS53anv1ei</t>
  </si>
  <si>
    <t>VTwWSbYwEE</t>
  </si>
  <si>
    <t>2026-05-21T03:15:18.780Z</t>
  </si>
  <si>
    <t>h582icRfBB</t>
  </si>
  <si>
    <t>rrPVtrQCg2</t>
  </si>
  <si>
    <t>2026-05-21T03:20:28.963Z</t>
  </si>
  <si>
    <t>ZDhPZwydKn</t>
  </si>
  <si>
    <t>5pd53U3saj</t>
  </si>
  <si>
    <t>2026-05-21T03:28:44.537Z</t>
  </si>
  <si>
    <t>DTfmGVJTmP</t>
  </si>
  <si>
    <t>B7G8L1wG17</t>
  </si>
  <si>
    <t>2026-05-21T03:35:59.695Z</t>
  </si>
  <si>
    <t>t5VTU37vd2</t>
  </si>
  <si>
    <t>vCSYvCGfr5</t>
  </si>
  <si>
    <t>2026-05-21T04:19:59.822Z</t>
  </si>
  <si>
    <t>CfjQzEnLUT</t>
  </si>
  <si>
    <t>VytThFZvfw</t>
  </si>
  <si>
    <t>2026-05-21T05:12:17.618Z</t>
  </si>
  <si>
    <t>nztbCjJHyS</t>
  </si>
  <si>
    <t>awuGrdhmH5</t>
  </si>
  <si>
    <t>2026-05-21T05:29:48.248Z</t>
  </si>
  <si>
    <t>B4xMUs5zK7</t>
  </si>
  <si>
    <t>a1dg8uRuci</t>
  </si>
  <si>
    <t>2026-05-21T05:34:59.556Z</t>
  </si>
  <si>
    <t>2yoDX5EQZM</t>
  </si>
  <si>
    <t>L5C1Czwe7u</t>
  </si>
  <si>
    <t>2026-05-21T06:02:39.043Z</t>
  </si>
  <si>
    <t>hhKECKbDHX</t>
  </si>
  <si>
    <t>WBGiod2Vt3</t>
  </si>
  <si>
    <t>2026-05-21T12:59:01.999Z</t>
  </si>
  <si>
    <t>XGvBaWjBdU</t>
  </si>
  <si>
    <t>qqdqTJNdQZ</t>
  </si>
  <si>
    <t>2026-05-21T13:20:42.315Z</t>
  </si>
  <si>
    <t>YqgoUQ1oEX</t>
  </si>
  <si>
    <t>5ASKNRd89P</t>
  </si>
  <si>
    <t>2026-05-21T13:56:54.896Z</t>
  </si>
  <si>
    <t>3BMRX1WuiW</t>
  </si>
  <si>
    <t>QVpLJteDBm</t>
  </si>
  <si>
    <t>2026-05-21T14:54:47.264Z</t>
  </si>
  <si>
    <t>bhVMyWQhu7</t>
  </si>
  <si>
    <t>cM66BPyyNe</t>
  </si>
  <si>
    <t>2026-05-21T14:59:02.081Z</t>
  </si>
  <si>
    <t>76FcmuMDC4</t>
  </si>
  <si>
    <t>WKvaZKEneb</t>
  </si>
  <si>
    <t>2026-05-21T15:38:17.957Z</t>
  </si>
  <si>
    <t>AN5q7dEPZh</t>
  </si>
  <si>
    <t>2KwrYncKQ4</t>
  </si>
  <si>
    <t>2026-05-21T15:39:26.026Z</t>
  </si>
  <si>
    <t>P7DPoNLMJB</t>
  </si>
  <si>
    <t>3Mah1Ch6SQ</t>
  </si>
  <si>
    <t>2026-05-21T16:45:31.810Z</t>
  </si>
  <si>
    <t>mjcYjueeVE</t>
  </si>
  <si>
    <t>7M6dgTYkkE</t>
  </si>
  <si>
    <t>2026-05-21T17:24:14.891Z</t>
  </si>
  <si>
    <t>SxNBm6dRZP</t>
  </si>
  <si>
    <t>vhf3FDTyfG</t>
  </si>
  <si>
    <t>2026-05-21T17:48:00.964Z</t>
  </si>
  <si>
    <t>qP4yMEVG3Z</t>
  </si>
  <si>
    <t>B8qS3Gtfev</t>
  </si>
  <si>
    <t>2026-05-21T19:10:14.980Z</t>
  </si>
  <si>
    <t>GLnNzVg5Kn</t>
  </si>
  <si>
    <t>8ZoCEr2BcJ</t>
  </si>
  <si>
    <t>2026-05-21T20:52:53.338Z</t>
  </si>
  <si>
    <t>5ZyfHEBSR8</t>
  </si>
  <si>
    <t>LbwfuoZQ35</t>
  </si>
  <si>
    <t>2026-05-21T21:30:46.123Z</t>
  </si>
  <si>
    <t>d8HjfRsH7W</t>
  </si>
  <si>
    <t>h5KBtR4TMc</t>
  </si>
  <si>
    <t>2026-05-21T21:37:06.787Z</t>
  </si>
  <si>
    <t>vgGPLhV3Xm</t>
  </si>
  <si>
    <t>7jx3e3Jq51</t>
  </si>
  <si>
    <t>2026-05-21T22:30:05.275Z</t>
  </si>
  <si>
    <t>RjDvqe6tXg</t>
  </si>
  <si>
    <t>wCHD534L5G</t>
  </si>
  <si>
    <t>2026-05-21T22:54:29.536Z</t>
  </si>
  <si>
    <t>kHd7JNoAwx</t>
  </si>
  <si>
    <t>WHPGkWbw7L</t>
  </si>
  <si>
    <t>2026-05-21T23:13:00.967Z</t>
  </si>
  <si>
    <t>vtDsSoQH8Y</t>
  </si>
  <si>
    <t>YoP7etJdQq</t>
  </si>
  <si>
    <t>2026-05-21T23:31:31.780Z</t>
  </si>
  <si>
    <t>AUU7B8XZqN</t>
  </si>
  <si>
    <t>C3cL9MpQEd</t>
  </si>
  <si>
    <t>2026-05-21T23:35:42.541Z</t>
  </si>
  <si>
    <t>t4PdTACnMu</t>
  </si>
  <si>
    <t>JmAfq88Hye</t>
  </si>
  <si>
    <t>2026-05-21T23:39:53.687Z</t>
  </si>
  <si>
    <t>D3Umcyu6oP</t>
  </si>
  <si>
    <t>S3YTssoznD</t>
  </si>
  <si>
    <t>2026-05-22T00:20:53.660Z</t>
  </si>
  <si>
    <t>p47ZfAgdDq</t>
  </si>
  <si>
    <t>G15QJZ5TGz</t>
  </si>
  <si>
    <t>2026-05-22T00:30:12.495Z</t>
  </si>
  <si>
    <t>W3oH1f2eAB</t>
  </si>
  <si>
    <t>M9CWrJWKF8</t>
  </si>
  <si>
    <t>2026-05-22T00:43:37.314Z</t>
  </si>
  <si>
    <t>TFQKdDoAtL</t>
  </si>
  <si>
    <t>hrncgjnssw</t>
  </si>
  <si>
    <t>2026-05-22T01:02:10.482Z</t>
  </si>
  <si>
    <t>JL5ZKxUPcg</t>
  </si>
  <si>
    <t>sQx6dr4LGa</t>
  </si>
  <si>
    <t>2026-05-22T01:22:42.373Z</t>
  </si>
  <si>
    <t>Joeri vdE</t>
  </si>
  <si>
    <t>Saixzerjg#15429</t>
  </si>
  <si>
    <t>1LvQk3QLrd</t>
  </si>
  <si>
    <t>231464780555091968</t>
  </si>
  <si>
    <t>RkZMgCkTCr</t>
  </si>
  <si>
    <t>2026-05-22T01:39:09.089Z</t>
  </si>
  <si>
    <t>8LV3t2Si7B</t>
  </si>
  <si>
    <t>Nqj3btNK1w</t>
  </si>
  <si>
    <t>2026-05-22T02:02:49.652Z</t>
  </si>
  <si>
    <t>GKLn5B25xm</t>
  </si>
  <si>
    <t>rWPhhM5aUs</t>
  </si>
  <si>
    <t>2026-05-22T02:45:48.858Z</t>
  </si>
  <si>
    <t>vyoqUKM8cz</t>
  </si>
  <si>
    <t>H5BJRjWLVy</t>
  </si>
  <si>
    <t>2026-05-22T03:03:21.856Z</t>
  </si>
  <si>
    <t>6UwU7TBXcQ</t>
  </si>
  <si>
    <t>p1Hb91VoFz</t>
  </si>
  <si>
    <t>2026-05-22T03:11:39.078Z</t>
  </si>
  <si>
    <t>TvKiTKfVHt</t>
  </si>
  <si>
    <t>duqj1EgCjS</t>
  </si>
  <si>
    <t>2026-05-22T03:14:49.056Z</t>
  </si>
  <si>
    <t>642yWNrJ6e</t>
  </si>
  <si>
    <t>TVFjbd4376</t>
  </si>
  <si>
    <t>2026-05-22T03:34:22.215Z</t>
  </si>
  <si>
    <t>LFbCe83tMC</t>
  </si>
  <si>
    <t>63btcqYy82</t>
  </si>
  <si>
    <t>2026-05-22T03:43:41.132Z</t>
  </si>
  <si>
    <t>UGbzw5QmFr</t>
  </si>
  <si>
    <t>aHFphkiN9A</t>
  </si>
  <si>
    <t>2026-05-22T04:13:35.061Z</t>
  </si>
  <si>
    <t>hNnk9u8Gsu</t>
  </si>
  <si>
    <t>szCvSywCD9</t>
  </si>
  <si>
    <t>2026-05-22T04:17:45.673Z</t>
  </si>
  <si>
    <t>JNQLg16zgk</t>
  </si>
  <si>
    <t>W2iDdR26QW</t>
  </si>
  <si>
    <t>2026-05-22T04:19:53.022Z</t>
  </si>
  <si>
    <t>jdQdgkjoqj</t>
  </si>
  <si>
    <t>7UmZrLWwho</t>
  </si>
  <si>
    <t>2026-05-22T04:55:46.118Z</t>
  </si>
  <si>
    <t>2k5o676Eqx</t>
  </si>
  <si>
    <t>vNRKQ4aP44</t>
  </si>
  <si>
    <t>2026-05-22T05:08:09.140Z</t>
  </si>
  <si>
    <t>TcGmKgH4Cn</t>
  </si>
  <si>
    <t>Wppqafj221</t>
  </si>
  <si>
    <t>2026-05-22T05:25:42.700Z</t>
  </si>
  <si>
    <t>oXXWwye9MK</t>
  </si>
  <si>
    <t>NNtDXL7fg6</t>
  </si>
  <si>
    <t>2026-05-22T06:12:58.284Z</t>
  </si>
  <si>
    <t>GjRnvN5LWP</t>
  </si>
  <si>
    <t>1q3FKC6Hvn</t>
  </si>
  <si>
    <t>2026-05-22T09:09:39.180Z</t>
  </si>
  <si>
    <t>PqXHCoM1Jn</t>
  </si>
  <si>
    <t>mQ77WQkoc9</t>
  </si>
  <si>
    <t>2026-05-22T12:47:24.965Z</t>
  </si>
  <si>
    <t>ACNrgZB1Lf</t>
  </si>
  <si>
    <t>zKGEAKBLV6</t>
  </si>
  <si>
    <t>2026-05-22T13:29:12.989Z</t>
  </si>
  <si>
    <t>Me7sf1NigY</t>
  </si>
  <si>
    <t>w42SUFqDxy</t>
  </si>
  <si>
    <t>2026-05-22T13:37:25.791Z</t>
  </si>
  <si>
    <t>THqJ2aPVSo</t>
  </si>
  <si>
    <t>ACX8viM4tq</t>
  </si>
  <si>
    <t>2026-05-22T13:47:41.073Z</t>
  </si>
  <si>
    <t>dESUbKJNp8</t>
  </si>
  <si>
    <t>ALWFgwXTN2</t>
  </si>
  <si>
    <t>2026-05-22T14:46:48.641Z</t>
  </si>
  <si>
    <t>AK51pfodZD</t>
  </si>
  <si>
    <t>avdhaPHojv</t>
  </si>
  <si>
    <t>2026-05-22T14:54:01.869Z</t>
  </si>
  <si>
    <t>cR6phsVYYQ</t>
  </si>
  <si>
    <t>eyFcCJkSzW</t>
  </si>
  <si>
    <t>2026-05-22T15:01:16.453Z</t>
  </si>
  <si>
    <t>rFqtxbK3NX</t>
  </si>
  <si>
    <t>Cwy9DBJdNH</t>
  </si>
  <si>
    <t>2026-05-22T15:09:30.705Z</t>
  </si>
  <si>
    <t>YGTvU5FAJB</t>
  </si>
  <si>
    <t>WAxfeeUkfr</t>
  </si>
  <si>
    <t>2026-05-22T15:54:20.602Z</t>
  </si>
  <si>
    <t>FmBmKSySAE</t>
  </si>
  <si>
    <t>3i5cR8YG6q</t>
  </si>
  <si>
    <t>2026-05-22T15:57:28.814Z</t>
  </si>
  <si>
    <t>NQXCtZR771</t>
  </si>
  <si>
    <t>Ec9r3DtpvS</t>
  </si>
  <si>
    <t>2026-05-22T16:00:45.214Z</t>
  </si>
  <si>
    <t>DhqKBToSZ5</t>
  </si>
  <si>
    <t>LT2i79jbcR</t>
  </si>
  <si>
    <t>2026-05-22T16:00:54.082Z</t>
  </si>
  <si>
    <t>AREaw2ctMQ</t>
  </si>
  <si>
    <t>M9iqH418cX</t>
  </si>
  <si>
    <t>2026-05-22T16:04:17.231Z</t>
  </si>
  <si>
    <t>6uCX7SH3hn</t>
  </si>
  <si>
    <t>2goPwViLKR</t>
  </si>
  <si>
    <t>2026-05-22T16:15:11.174Z</t>
  </si>
  <si>
    <t>puxDXRTu9F</t>
  </si>
  <si>
    <t>aUhdQHJ8Hd</t>
  </si>
  <si>
    <t>2026-05-22T16:28:40.207Z</t>
  </si>
  <si>
    <t>PyA6cEm8gT</t>
  </si>
  <si>
    <t>rax8AEGNV3</t>
  </si>
  <si>
    <t>2026-05-22T16:44:02.972Z</t>
  </si>
  <si>
    <t>pCFgs7rdkL</t>
  </si>
  <si>
    <t>YHrcJCyAnK</t>
  </si>
  <si>
    <t>2026-05-22T16:51:17.443Z</t>
  </si>
  <si>
    <t>N5u6AYdET9</t>
  </si>
  <si>
    <t>8f9jfani1r</t>
  </si>
  <si>
    <t>2026-05-22T17:01:50.757Z</t>
  </si>
  <si>
    <t>MqiMXfB1vY</t>
  </si>
  <si>
    <t>freicP1EnP</t>
  </si>
  <si>
    <t>2026-05-22T17:20:34.784Z</t>
  </si>
  <si>
    <t>wLZXhXuosq</t>
  </si>
  <si>
    <t>GGP7K9aMkP</t>
  </si>
  <si>
    <t>2026-05-22T17:29:48.657Z</t>
  </si>
  <si>
    <t>RVnbZchxAV</t>
  </si>
  <si>
    <t>uLfAAYqaoW</t>
  </si>
  <si>
    <t>2026-05-22T17:38:04.389Z</t>
  </si>
  <si>
    <t>dAPQU6G6YL</t>
  </si>
  <si>
    <t>S4aShCGgZ4</t>
  </si>
  <si>
    <t>2026-05-22T17:47:19.571Z</t>
  </si>
  <si>
    <t>EuiruPtPDE</t>
  </si>
  <si>
    <t>K7VeXaSbsP</t>
  </si>
  <si>
    <t>2026-05-22T17:47:23.021Z</t>
  </si>
  <si>
    <t>xfqmhRCnV1</t>
  </si>
  <si>
    <t>rDiL25WV32</t>
  </si>
  <si>
    <t>2026-05-22T18:01:44.998Z</t>
  </si>
  <si>
    <t>9KQV876qaT</t>
  </si>
  <si>
    <t>LZVj5YecCF</t>
  </si>
  <si>
    <t>2026-05-22T18:12:00.441Z</t>
  </si>
  <si>
    <t>GEviMfxv1x</t>
  </si>
  <si>
    <t>RYyxLn3ZB9</t>
  </si>
  <si>
    <t>2026-05-22T18:50:01.363Z</t>
  </si>
  <si>
    <t>UzrJiKkS3Q</t>
  </si>
  <si>
    <t>kjTJwMvddm</t>
  </si>
  <si>
    <t>John D</t>
  </si>
  <si>
    <t>2026-05-22T19:12:34.170Z</t>
  </si>
  <si>
    <t>DailyDraft#87013</t>
  </si>
  <si>
    <t>975170619006128128</t>
  </si>
  <si>
    <t>wwC22ZqAGf</t>
  </si>
  <si>
    <t>w3vcdkPcHX</t>
  </si>
  <si>
    <t>2026-05-22T19:37:07.133Z</t>
  </si>
  <si>
    <t>NuZWpGi5AB</t>
  </si>
  <si>
    <t>kqGv5aCnpt</t>
  </si>
  <si>
    <t>2026-05-22T19:50:25.346Z</t>
  </si>
  <si>
    <t>puKdaEyybF</t>
  </si>
  <si>
    <t>XgshQssa6Z</t>
  </si>
  <si>
    <t>2026-05-22T21:04:17.498Z</t>
  </si>
  <si>
    <t>5szkfZQjzf</t>
  </si>
  <si>
    <t>LThB3fxNRQ</t>
  </si>
  <si>
    <t>2026-05-22T21:04:46.687Z</t>
  </si>
  <si>
    <t>bsn7NHKCMJ</t>
  </si>
  <si>
    <t>pweWx3audd</t>
  </si>
  <si>
    <t>2026-05-22T21:06:35.295Z</t>
  </si>
  <si>
    <t>ULpSSHVkF3</t>
  </si>
  <si>
    <t>FTSDYFK6Pa</t>
  </si>
  <si>
    <t>2026-05-22T21:07:16.325Z</t>
  </si>
  <si>
    <t>1qU7bx8BDV</t>
  </si>
  <si>
    <t>5KSy7aYQrk</t>
  </si>
  <si>
    <t>2026-05-22T21:19:44.501Z</t>
  </si>
  <si>
    <t>pEobYYb26g</t>
  </si>
  <si>
    <t>6Xx7vcQ2jj</t>
  </si>
  <si>
    <t>2026-05-22T21:28:00.084Z</t>
  </si>
  <si>
    <t>oH4Z9K2ZLJ</t>
  </si>
  <si>
    <t>1nsKqHrEXQ</t>
  </si>
  <si>
    <t>2026-05-22T21:57:33.708Z</t>
  </si>
  <si>
    <t>yiJiapYDHF</t>
  </si>
  <si>
    <t>sRKEJW4LZ9</t>
  </si>
  <si>
    <t>2026-05-22T22:17:59.150Z</t>
  </si>
  <si>
    <t>pzzByHy53e</t>
  </si>
  <si>
    <t>pNWYdpgZKW</t>
  </si>
  <si>
    <t>2026-05-22T22:34:19.282Z</t>
  </si>
  <si>
    <t>TcfJvDYtxU</t>
  </si>
  <si>
    <t>VpKuqUqJHi</t>
  </si>
  <si>
    <t>2026-05-22T22:44:38.903Z</t>
  </si>
  <si>
    <t>cECM5a8knd</t>
  </si>
  <si>
    <t>vgrULY2XSz</t>
  </si>
  <si>
    <t>2026-05-22T23:01:04.537Z</t>
  </si>
  <si>
    <t>wf7zVYKx3J</t>
  </si>
  <si>
    <t>uDV4QNYzEj</t>
  </si>
  <si>
    <t>2026-05-22T23:02:11.696Z</t>
  </si>
  <si>
    <t>onzZiPSNhB</t>
  </si>
  <si>
    <t>yrZVWSA7vy</t>
  </si>
  <si>
    <t>2026-05-22T23:23:38.255Z</t>
  </si>
  <si>
    <t>ta9wLj6nsE</t>
  </si>
  <si>
    <t>TfSMxp12m7</t>
  </si>
  <si>
    <t>2026-05-22T23:23:44.816Z</t>
  </si>
  <si>
    <t>k6rSEUh5qW</t>
  </si>
  <si>
    <t>qvH4ZqWTD4</t>
  </si>
  <si>
    <t>2026-05-22T23:29:56.028Z</t>
  </si>
  <si>
    <t>mLUnMB9wDR</t>
  </si>
  <si>
    <t>UVdz5fkqDq</t>
  </si>
  <si>
    <t>2026-05-22T23:36:08.570Z</t>
  </si>
  <si>
    <t>A3zurbAHBL</t>
  </si>
  <si>
    <t>YXKKWfQ6yj</t>
  </si>
  <si>
    <t>2026-05-22T23:55:34.442Z</t>
  </si>
  <si>
    <t>UxUMf68cht</t>
  </si>
  <si>
    <t>NDqWhHDLQF</t>
  </si>
  <si>
    <t>2026-05-23T00:02:51.885Z</t>
  </si>
  <si>
    <t>eQWeLvQYXu</t>
  </si>
  <si>
    <t>xnNmhFw2ep</t>
  </si>
  <si>
    <t>2026-05-23T00:21:17.906Z</t>
  </si>
  <si>
    <t>csZHdu5ybj</t>
  </si>
  <si>
    <t>3YY5geAnza</t>
  </si>
  <si>
    <t>2026-05-23T00:27:28.429Z</t>
  </si>
  <si>
    <t>w1xcW7rv7C</t>
  </si>
  <si>
    <t>tGgP9zDdYw</t>
  </si>
  <si>
    <t>2026-05-23T00:27:35.579Z</t>
  </si>
  <si>
    <t>DHpw2Wamtr</t>
  </si>
  <si>
    <t>qphe8Lda9e</t>
  </si>
  <si>
    <t>2026-05-23T00:42:57.536Z</t>
  </si>
  <si>
    <t>Mbeouoi5d2</t>
  </si>
  <si>
    <t>r6M1dj9xv4</t>
  </si>
  <si>
    <t>2026-05-23T00:52:11.830Z</t>
  </si>
  <si>
    <t>ixr8sigNKA</t>
  </si>
  <si>
    <t>PEcE1Ed1uP</t>
  </si>
  <si>
    <t>2026-05-23T01:22:45.722Z</t>
  </si>
  <si>
    <t>jQyaEX8UrZ</t>
  </si>
  <si>
    <t>dcd9KQXZ4j</t>
  </si>
  <si>
    <t>2026-05-23T01:41:09.746Z</t>
  </si>
  <si>
    <t>LCnURsj1Ut</t>
  </si>
  <si>
    <t>NvU1GzyNHU</t>
  </si>
  <si>
    <t>2026-05-23T01:43:16.546Z</t>
  </si>
  <si>
    <t>tFUZUzbsFo</t>
  </si>
  <si>
    <t>JN8MHjAND3</t>
  </si>
  <si>
    <t>2026-05-23T01:43:20.207Z</t>
  </si>
  <si>
    <t>WQvvoP4gyS</t>
  </si>
  <si>
    <t>gKHhnTj2qv</t>
  </si>
  <si>
    <t>2026-05-23T02:12:52.633Z</t>
  </si>
  <si>
    <t>x9L69SqqX3</t>
  </si>
  <si>
    <t>YmSF9qLosV</t>
  </si>
  <si>
    <t>John L</t>
  </si>
  <si>
    <t>2026-05-23T02:35:19.386Z</t>
  </si>
  <si>
    <t>Tiger Burning#89444</t>
  </si>
  <si>
    <t>275086655411716096</t>
  </si>
  <si>
    <t>bU9ajoS7zg</t>
  </si>
  <si>
    <t>AC35ihMkky</t>
  </si>
  <si>
    <t>2026-05-23T02:49:39.095Z</t>
  </si>
  <si>
    <t>2E5p7hARtG</t>
  </si>
  <si>
    <t>DsrMQP25LV</t>
  </si>
  <si>
    <t>2026-05-23T03:03:58.646Z</t>
  </si>
  <si>
    <t>KSj2Lxgkcb</t>
  </si>
  <si>
    <t>We8tGkk7vg</t>
  </si>
  <si>
    <t>2026-05-23T03:07:06.389Z</t>
  </si>
  <si>
    <t>rjtGWyte54</t>
  </si>
  <si>
    <t>XseJJWcEbv</t>
  </si>
  <si>
    <t>2026-05-23T03:14:19.754Z</t>
  </si>
  <si>
    <t>QPNwU41wkA</t>
  </si>
  <si>
    <t>XNTJo7h6Dm</t>
  </si>
  <si>
    <t>2026-05-23T03:46:59.603Z</t>
  </si>
  <si>
    <t>V93cEUELoL</t>
  </si>
  <si>
    <t>aA9eF36eZv</t>
  </si>
  <si>
    <t>2026-05-23T04:16:35.178Z</t>
  </si>
  <si>
    <t>d1J4qSoJU3</t>
  </si>
  <si>
    <t>gwFPDagPt4</t>
  </si>
  <si>
    <t>2026-05-23T04:21:47.710Z</t>
  </si>
  <si>
    <t>6A1eiC4Nfq</t>
  </si>
  <si>
    <t>Azioyx59K9</t>
  </si>
  <si>
    <t>2026-05-23T04:53:25.276Z</t>
  </si>
  <si>
    <t>bP4ZVVntvS</t>
  </si>
  <si>
    <t>AfjSVbnV3u</t>
  </si>
  <si>
    <t>2026-05-23T05:18:55.636Z</t>
  </si>
  <si>
    <t>GMuqjwZ4fY</t>
  </si>
  <si>
    <t>Cxh4krjxc8</t>
  </si>
  <si>
    <t>2026-05-23T05:19:00.835Z</t>
  </si>
  <si>
    <t>rFqYXrhhaA</t>
  </si>
  <si>
    <t>Z8V6m73cti</t>
  </si>
  <si>
    <t>2026-05-23T06:00:46.433Z</t>
  </si>
  <si>
    <t>QN4KMsbJfh</t>
  </si>
  <si>
    <t>wTvfM9zczp</t>
  </si>
  <si>
    <t>2026-05-23T08:17:07.282Z</t>
  </si>
  <si>
    <t>Lk8uuKFRRh</t>
  </si>
  <si>
    <t>AyBWFE3YdQ</t>
  </si>
  <si>
    <t>2026-05-23T12:03:51.082Z</t>
  </si>
  <si>
    <t>EwoJnapndc</t>
  </si>
  <si>
    <t>zDCqCTeePV</t>
  </si>
  <si>
    <t>2026-05-23T12:41:30.887Z</t>
  </si>
  <si>
    <t>48or5Ackrm</t>
  </si>
  <si>
    <t>TuhZ3UeEnB</t>
  </si>
  <si>
    <t>2026-05-23T13:35:28.629Z</t>
  </si>
  <si>
    <t>hNMMbVccFv</t>
  </si>
  <si>
    <t>9uuKiga3Ja</t>
  </si>
  <si>
    <t>2026-05-23T14:10:09.071Z</t>
  </si>
  <si>
    <t>uk5AWciJ83</t>
  </si>
  <si>
    <t>4gAuxqZ7CJ</t>
  </si>
  <si>
    <t>2026-05-23T15:02:02.585Z</t>
  </si>
  <si>
    <t>gYTAd1ZqYu</t>
  </si>
  <si>
    <t>fcLeF1SZGX</t>
  </si>
  <si>
    <t>2026-05-23T16:38:40.358Z</t>
  </si>
  <si>
    <t>2KqUbuDUDD</t>
  </si>
  <si>
    <t>iELYQWoaf8</t>
  </si>
  <si>
    <t>2026-05-23T16:50:56.511Z</t>
  </si>
  <si>
    <t>Uc6YT69GuB</t>
  </si>
  <si>
    <t>w5JVcNxS3j</t>
  </si>
  <si>
    <t>2026-05-23T18:38:37.229Z</t>
  </si>
  <si>
    <t>WqJvVz9NFs</t>
  </si>
  <si>
    <t>7qmteFw1xg</t>
  </si>
  <si>
    <t>2026-05-23T18:40:53.480Z</t>
  </si>
  <si>
    <t>XkTpvJjCAg</t>
  </si>
  <si>
    <t>8q43G73gQp</t>
  </si>
  <si>
    <t>2026-05-23T18:53:22.436Z</t>
  </si>
  <si>
    <t>4YvKvEXxtL</t>
  </si>
  <si>
    <t>SEkTzdMBSN</t>
  </si>
  <si>
    <t>2026-05-23T19:42:38.424Z</t>
  </si>
  <si>
    <t>ARWfLLKdcC</t>
  </si>
  <si>
    <t>hJBp44cBdy</t>
  </si>
  <si>
    <t>2026-05-23T19:53:01.066Z</t>
  </si>
  <si>
    <t>rqhRoUXiGP</t>
  </si>
  <si>
    <t>QTfkAhujpj</t>
  </si>
  <si>
    <t>2026-05-23T19:58:17.229Z</t>
  </si>
  <si>
    <t>jhuiWZd3J3</t>
  </si>
  <si>
    <t>sQEp9uZcYN</t>
  </si>
  <si>
    <t>2026-05-23T20:31:08.549Z</t>
  </si>
  <si>
    <t>GdQ6M7aNte</t>
  </si>
  <si>
    <t>RmHSTCx1Ff</t>
  </si>
  <si>
    <t>2026-05-23T20:50:44.239Z</t>
  </si>
  <si>
    <t>DwbyvLVk3S</t>
  </si>
  <si>
    <t>kUop3DQXY7</t>
  </si>
  <si>
    <t>2026-05-23T22:28:10.662Z</t>
  </si>
  <si>
    <t>476507220293582851</t>
  </si>
  <si>
    <t>wgPZvFsJ4o</t>
  </si>
  <si>
    <t>nysaXtqMCk</t>
  </si>
  <si>
    <t>2026-05-23T22:33:32.121Z</t>
  </si>
  <si>
    <t>oVwkLymyc6</t>
  </si>
  <si>
    <t>M6kSKYjHKf</t>
  </si>
  <si>
    <t>2026-05-24T00:46:36.735Z</t>
  </si>
  <si>
    <t>FXLdhNRoQU</t>
  </si>
  <si>
    <t>w5LKgHcFSo</t>
  </si>
  <si>
    <t>2026-05-24T01:25:35.753Z</t>
  </si>
  <si>
    <t>CgevJz73Kw</t>
  </si>
  <si>
    <t>4PrYyCSykN</t>
  </si>
  <si>
    <t>2026-05-24T02:22:57.804Z</t>
  </si>
  <si>
    <t>mB7gTo7p6q</t>
  </si>
  <si>
    <t>JNbuVRCV9j</t>
  </si>
  <si>
    <t>2026-05-24T02:36:21.519Z</t>
  </si>
  <si>
    <t>pyL1YSjNBy</t>
  </si>
  <si>
    <t>n7hLabfk3S</t>
  </si>
  <si>
    <t>2026-05-24T03:01:02.530Z</t>
  </si>
  <si>
    <t>LzUSGcC119</t>
  </si>
  <si>
    <t>W7nXiXtuFb</t>
  </si>
  <si>
    <t>2026-05-24T04:36:19.378Z</t>
  </si>
  <si>
    <t>2nbunkw2xe</t>
  </si>
  <si>
    <t>kyoX1agB5V</t>
  </si>
  <si>
    <t>2026-05-24T05:41:52.090Z</t>
  </si>
  <si>
    <t>8b5JRcEAiS</t>
  </si>
  <si>
    <t>W76AtMQvZj</t>
  </si>
  <si>
    <t>2026-05-24T10:51:50.218Z</t>
  </si>
  <si>
    <t>Lp4BZQKP31</t>
  </si>
  <si>
    <t>AviEncCdb9</t>
  </si>
  <si>
    <t>2026-05-24T11:45:07.966Z</t>
  </si>
  <si>
    <t>DpRG7KZHKc</t>
  </si>
  <si>
    <t>m1ScUdtAG9</t>
  </si>
  <si>
    <t>2026-05-24T13:26:34.703Z</t>
  </si>
  <si>
    <t>2g564PjPES</t>
  </si>
  <si>
    <t>yPUj98aG3M</t>
  </si>
  <si>
    <t>2026-05-24T14:17:51.936Z</t>
  </si>
  <si>
    <t>bJLgpmzgik</t>
  </si>
  <si>
    <t>JXvmoz49vs</t>
  </si>
  <si>
    <t>2026-05-24T15:57:14.697Z</t>
  </si>
  <si>
    <t>qmssTFujF8</t>
  </si>
  <si>
    <t>TttZar7FGb</t>
  </si>
  <si>
    <t>2026-05-24T16:42:19.218Z</t>
  </si>
  <si>
    <t>rujRJk2bFJ</t>
  </si>
  <si>
    <t>Y1Ut8i1zEU</t>
  </si>
  <si>
    <t>2026-05-24T18:36:13.109Z</t>
  </si>
  <si>
    <t>KYx8P1TQ3C</t>
  </si>
  <si>
    <t>8qawEn2ZFS</t>
  </si>
  <si>
    <t>2026-05-24T18:52:37.407Z</t>
  </si>
  <si>
    <t>xV72h9e3uc</t>
  </si>
  <si>
    <t>Bb71L7gmyj</t>
  </si>
  <si>
    <t>2026-05-24T19:24:15.459Z</t>
  </si>
  <si>
    <t>s1zjtB8xCA</t>
  </si>
  <si>
    <t>wNLC6J8LhM</t>
  </si>
  <si>
    <t>2026-05-24T19:27:29.502Z</t>
  </si>
  <si>
    <t>yEg66yS78f</t>
  </si>
  <si>
    <t>dBk16LyVQ1</t>
  </si>
  <si>
    <t>2026-05-25T00:15:39.327Z</t>
  </si>
  <si>
    <t>yMqtGsX1aR</t>
  </si>
  <si>
    <t>Akbx7w1faC</t>
  </si>
  <si>
    <t>2026-05-25T01:15:17.468Z</t>
  </si>
  <si>
    <t>9r4cRQdWuG</t>
  </si>
  <si>
    <t>xaX1nykUeZ</t>
  </si>
  <si>
    <t>2026-05-25T01:44:07.367Z</t>
  </si>
  <si>
    <t>bZaAmKQivF</t>
  </si>
  <si>
    <t>J5xnddUeqb</t>
  </si>
  <si>
    <t>2026-05-25T02:02:42.732Z</t>
  </si>
  <si>
    <t>xXiW9LZrS8</t>
  </si>
  <si>
    <t>ue96H5WDJ6</t>
  </si>
  <si>
    <t>2026-05-25T02:47:51.849Z</t>
  </si>
  <si>
    <t>bB16Gzv9Sy</t>
  </si>
  <si>
    <t>68d1by7oEi</t>
  </si>
  <si>
    <t>2026-05-25T03:03:19.504Z</t>
  </si>
  <si>
    <t>bNJe7sfxo3</t>
  </si>
  <si>
    <t>gNrD6pRLwQ</t>
  </si>
  <si>
    <t>2026-05-25T03:08:32.747Z</t>
  </si>
  <si>
    <t>YPyJsXkWtC</t>
  </si>
  <si>
    <t>ByAez3LLrw</t>
  </si>
  <si>
    <t>2026-05-25T05:17:54.346Z</t>
  </si>
  <si>
    <t>S9SgJYgc7k</t>
  </si>
  <si>
    <t>NXsdpQ8VY4</t>
  </si>
  <si>
    <t>2026-05-25T13:20:06.037Z</t>
  </si>
  <si>
    <t>3N7C8SHba6</t>
  </si>
  <si>
    <t>5Jty982VEm</t>
  </si>
  <si>
    <t>2026-05-25T14:01:12.338Z</t>
  </si>
  <si>
    <t>RqF356nJyX</t>
  </si>
  <si>
    <t>uM7t34ZqFD</t>
  </si>
  <si>
    <t>2026-05-25T16:18:58.821Z</t>
  </si>
  <si>
    <t>CWDmALVsLz</t>
  </si>
  <si>
    <t>R6w49qWCGs</t>
  </si>
  <si>
    <t>2026-05-25T16:20:29.836Z</t>
  </si>
  <si>
    <t>bbgchyBEBo</t>
  </si>
  <si>
    <t>t7uc5pCbye</t>
  </si>
  <si>
    <t>2026-05-25T16:43:22.316Z</t>
  </si>
  <si>
    <t>JsqU7Ho2Hx</t>
  </si>
  <si>
    <t>XKq92MhyqT</t>
  </si>
  <si>
    <t>2026-05-25T18:31:31.866Z</t>
  </si>
  <si>
    <t>Eq3JTHZS8N</t>
  </si>
  <si>
    <t>rCK5pWFKE4</t>
  </si>
  <si>
    <t>2026-05-25T19:28:09.289Z</t>
  </si>
  <si>
    <t>onGVBPZniG</t>
  </si>
  <si>
    <t>4PjGRQAgYE</t>
  </si>
  <si>
    <t>2026-05-25T20:23:27.390Z</t>
  </si>
  <si>
    <t>F2dDjfQuL6</t>
  </si>
  <si>
    <t>iobTiiy3yS</t>
  </si>
  <si>
    <t>2026-05-25T21:15:49.834Z</t>
  </si>
  <si>
    <t>Z9puV7A4so</t>
  </si>
  <si>
    <t>Johnny M</t>
  </si>
  <si>
    <t>GJH9PBG4rQ</t>
  </si>
  <si>
    <t>Johnny#69519</t>
  </si>
  <si>
    <t>2026-05-25T21:42:32.375Z</t>
  </si>
  <si>
    <t>538455617493401612</t>
  </si>
  <si>
    <t>qL7S9WC4jC</t>
  </si>
  <si>
    <t>xuhMpsFhJN</t>
  </si>
  <si>
    <t>2026-05-25T21:53:55.443Z</t>
  </si>
  <si>
    <t>vtSwZ6t97m</t>
  </si>
  <si>
    <t>jrByLQfWZ8</t>
  </si>
  <si>
    <t>2026-05-25T22:01:11.119Z</t>
  </si>
  <si>
    <t>JPMdA38WZK</t>
  </si>
  <si>
    <t>EiKymFCXv1</t>
  </si>
  <si>
    <t>2026-05-25T22:15:37.291Z</t>
  </si>
  <si>
    <t>tsrJdsN7tm</t>
  </si>
  <si>
    <t>q7QStum1Jr</t>
  </si>
  <si>
    <t>2026-05-25T22:32:06.010Z</t>
  </si>
  <si>
    <t>Fhr52KedKf</t>
  </si>
  <si>
    <t>tvKhD6nA3x</t>
  </si>
  <si>
    <t>2026-05-25T23:18:38.330Z</t>
  </si>
  <si>
    <t>R1owhZJGfG</t>
  </si>
  <si>
    <t>mJLSSwDtk3</t>
  </si>
  <si>
    <t>2026-05-26T00:04:48.729Z</t>
  </si>
  <si>
    <t>qYBy45phGu</t>
  </si>
  <si>
    <t>uf2XyW4EtR</t>
  </si>
  <si>
    <t>2026-05-26T00:25:24.267Z</t>
  </si>
  <si>
    <t>JYTPrapt2u</t>
  </si>
  <si>
    <t>kDTwwzNi4C</t>
  </si>
  <si>
    <t>2026-05-26T01:29:02.710Z</t>
  </si>
  <si>
    <t>xGHrnFn7fP</t>
  </si>
  <si>
    <t>h7QCZqMiSX</t>
  </si>
  <si>
    <t>2026-05-26T02:00:01.519Z</t>
  </si>
  <si>
    <t>gggmHVwFVa</t>
  </si>
  <si>
    <t>Hrd2Mf2SkN</t>
  </si>
  <si>
    <t>2026-05-26T02:54:32.647Z</t>
  </si>
  <si>
    <t>1UcYD8rnX6</t>
  </si>
  <si>
    <t>Cc3UXnpaFZ</t>
  </si>
  <si>
    <t>2026-05-26T02:56:41.134Z</t>
  </si>
  <si>
    <t>KcWGmvbs9D</t>
  </si>
  <si>
    <t>CkhfFFD7d8</t>
  </si>
  <si>
    <t>2026-05-26T03:37:51.639Z</t>
  </si>
  <si>
    <t>5qhqH6iWmk</t>
  </si>
  <si>
    <t>umK5hxqJqP</t>
  </si>
  <si>
    <t>2026-05-26T03:57:25.971Z</t>
  </si>
  <si>
    <t>YHWqMqvLVL</t>
  </si>
  <si>
    <t>i5L4p9nxYz</t>
  </si>
  <si>
    <t>2026-05-26T04:01:38.303Z</t>
  </si>
  <si>
    <t>Zg977VWMBs</t>
  </si>
  <si>
    <t>SbM2QQzQCL</t>
  </si>
  <si>
    <t>2026-05-26T04:29:26.991Z</t>
  </si>
  <si>
    <t>KABMLPNGjF</t>
  </si>
  <si>
    <t>EoCNWNkwr5</t>
  </si>
  <si>
    <t>2026-05-26T12:02:27.874Z</t>
  </si>
  <si>
    <t>TqbVemPQy5</t>
  </si>
  <si>
    <t>6kiD6Mp6KG</t>
  </si>
  <si>
    <t>2026-05-26T15:11:32.605Z</t>
  </si>
  <si>
    <t>wvmoaiLYyY</t>
  </si>
  <si>
    <t>wbYhUFE87v</t>
  </si>
  <si>
    <t>2026-05-26T16:53:14.204Z</t>
  </si>
  <si>
    <t>tPiQUL7feu</t>
  </si>
  <si>
    <t>xwhtYsuuo9</t>
  </si>
  <si>
    <t>2026-05-26T17:07:41.841Z</t>
  </si>
  <si>
    <t>xseL2PxFLM</t>
  </si>
  <si>
    <t>oUpRBzv8Bg</t>
  </si>
  <si>
    <t>2026-05-26T18:42:17.293Z</t>
  </si>
  <si>
    <t>rT69WnrXwB</t>
  </si>
  <si>
    <t>G9F2knZzRj</t>
  </si>
  <si>
    <t>2026-05-26T19:27:28.627Z</t>
  </si>
  <si>
    <t>m8PoBGgso9</t>
  </si>
  <si>
    <t>1EqKJbfsLv</t>
  </si>
  <si>
    <t>2026-05-26T19:59:26.231Z</t>
  </si>
  <si>
    <t>MsSMY81MHK</t>
  </si>
  <si>
    <t>6iqNoA3MHy</t>
  </si>
  <si>
    <t>2026-05-26T20:56:54.078Z</t>
  </si>
  <si>
    <t>VcFbkZPVcx</t>
  </si>
  <si>
    <t>TFAxoj21VB</t>
  </si>
  <si>
    <t>2026-05-26T21:53:18.822Z</t>
  </si>
  <si>
    <t>asxiC5vYeg</t>
  </si>
  <si>
    <t>zfLZjLe4SQ</t>
  </si>
  <si>
    <t>2026-05-27T01:42:01.937Z</t>
  </si>
  <si>
    <t>YTEJMzv19Y</t>
  </si>
  <si>
    <t>2cGMCcQTAD</t>
  </si>
  <si>
    <t>2026-05-27T02:14:53.975Z</t>
  </si>
  <si>
    <t>xRb3mBKpQm</t>
  </si>
  <si>
    <t>mTUhGRi3gx</t>
  </si>
  <si>
    <t>2026-05-27T03:03:15.283Z</t>
  </si>
  <si>
    <t>5ZhaqiVef2</t>
  </si>
  <si>
    <t>VCqcMF8e3a</t>
  </si>
  <si>
    <t>2026-05-27T03:31:04.564Z</t>
  </si>
  <si>
    <t>5oFbSqXpjr</t>
  </si>
  <si>
    <t>FhVDKMatmE</t>
  </si>
  <si>
    <t>2026-05-27T03:44:29.184Z</t>
  </si>
  <si>
    <t>XCmfhqUGEd</t>
  </si>
  <si>
    <t>aFi3Fkh1HT</t>
  </si>
  <si>
    <t>2026-05-27T04:04:01.155Z</t>
  </si>
  <si>
    <t>2h5GAFzKh1</t>
  </si>
  <si>
    <t>Hw5PhPRjUq</t>
  </si>
  <si>
    <t>2026-05-27T04:33:47.961Z</t>
  </si>
  <si>
    <t>Tsv8YhVVYS</t>
  </si>
  <si>
    <t>ZWCAQvp9h8</t>
  </si>
  <si>
    <t>2026-05-27T06:14:15.033Z</t>
  </si>
  <si>
    <t>fpLhn2wDbQ</t>
  </si>
  <si>
    <t>ZyJd3fVXiu</t>
  </si>
  <si>
    <t>2026-05-27T14:11:01.837Z</t>
  </si>
  <si>
    <t>2p7Q2JeNbc</t>
  </si>
  <si>
    <t>Zyqb3JJ2nh</t>
  </si>
  <si>
    <t>2026-05-27T14:39:02.127Z</t>
  </si>
  <si>
    <t>eBubGBS8rB</t>
  </si>
  <si>
    <t>6M11bPTSSL</t>
  </si>
  <si>
    <t>2026-05-27T19:33:49.895Z</t>
  </si>
  <si>
    <t>SFf3wqnkgT</t>
  </si>
  <si>
    <t>4725qdWKy4</t>
  </si>
  <si>
    <t>2026-05-27T21:03:06.636Z</t>
  </si>
  <si>
    <t>6t5MLGzSzv</t>
  </si>
  <si>
    <t>Mkbpyiqixn</t>
  </si>
  <si>
    <t>2026-05-27T22:52:37.787Z</t>
  </si>
  <si>
    <t>m4S2dAaUma</t>
  </si>
  <si>
    <t>citwTgq27w</t>
  </si>
  <si>
    <t>2026-05-27T23:28:34.585Z</t>
  </si>
  <si>
    <t>Dy75QwNaqQ</t>
  </si>
  <si>
    <t>8kt84BN9e5</t>
  </si>
  <si>
    <t>2026-05-27T23:28:39.720Z</t>
  </si>
  <si>
    <t>zEtwm4jk1W</t>
  </si>
  <si>
    <t>9P4JasYsxK</t>
  </si>
  <si>
    <t>2026-05-28T02:05:07.682Z</t>
  </si>
  <si>
    <t>TmbiVANi16</t>
  </si>
  <si>
    <t>jbuvH1gUX4</t>
  </si>
  <si>
    <t>2026-05-28T03:56:36.810Z</t>
  </si>
  <si>
    <t>ZLifSHTAAN</t>
  </si>
  <si>
    <t>ciDJcKQPvx</t>
  </si>
  <si>
    <t>2026-05-28T04:02:48.939Z</t>
  </si>
  <si>
    <t>1tRiuTnj3y</t>
  </si>
  <si>
    <t>FpYvKYrbAc</t>
  </si>
  <si>
    <t>2026-05-28T04:27:24.225Z</t>
  </si>
  <si>
    <t>Jonathan L</t>
  </si>
  <si>
    <t>jslesser#56805</t>
  </si>
  <si>
    <t>4kC6LYZWmC</t>
  </si>
  <si>
    <t>534167054534574120</t>
  </si>
  <si>
    <t>qRCCa9XU7f</t>
  </si>
  <si>
    <t>2026-05-28T04:27:28.286Z</t>
  </si>
  <si>
    <t>yrU2bSEdvD</t>
  </si>
  <si>
    <t>zmxPanb4KW</t>
  </si>
  <si>
    <t>2026-05-28T04:54:05.065Z</t>
  </si>
  <si>
    <t>rkRbMMmyDe</t>
  </si>
  <si>
    <t>xrxeVjT38j</t>
  </si>
  <si>
    <t>2026-05-28T05:51:19.571Z</t>
  </si>
  <si>
    <t>XQGR9yvUgN</t>
  </si>
  <si>
    <t>vXjSM8dxX4</t>
  </si>
  <si>
    <t>2026-05-28T13:35:29.647Z</t>
  </si>
  <si>
    <t>MJafPS1gfF</t>
  </si>
  <si>
    <t>iDTcPXQ1M7</t>
  </si>
  <si>
    <t>2026-05-28T15:29:45.014Z</t>
  </si>
  <si>
    <t>MHEh6NrD6u</t>
  </si>
  <si>
    <t>j4Tv9b95mE</t>
  </si>
  <si>
    <t>2026-05-28T16:10:53.858Z</t>
  </si>
  <si>
    <t>n5gd4oujN2</t>
  </si>
  <si>
    <t>CisckGt7Mr</t>
  </si>
  <si>
    <t>2026-05-28T19:30:47.928Z</t>
  </si>
  <si>
    <t>1fcgMo7CiT</t>
  </si>
  <si>
    <t>qfFtF2ERJC</t>
  </si>
  <si>
    <t>2026-05-28T19:47:19.489Z</t>
  </si>
  <si>
    <t>M4gCSDPuFM</t>
  </si>
  <si>
    <t>iU82j6BCtk</t>
  </si>
  <si>
    <t>2026-05-29T02:23:39.014Z</t>
  </si>
  <si>
    <t>4eoFUKtvUA</t>
  </si>
  <si>
    <t>dwrpnKdkUz</t>
  </si>
  <si>
    <t>2026-05-29T03:10:47.763Z</t>
  </si>
  <si>
    <t>fJmsVLSUfC</t>
  </si>
  <si>
    <t>GQGhgkBExU</t>
  </si>
  <si>
    <t>2026-05-29T03:23:09.973Z</t>
  </si>
  <si>
    <t>bQgwS7Hu4M</t>
  </si>
  <si>
    <t>i54gkXBCVu</t>
  </si>
  <si>
    <t>2026-05-29T03:51:55.480Z</t>
  </si>
  <si>
    <t>BdYqRuZjji</t>
  </si>
  <si>
    <t>wK53napmG5</t>
  </si>
  <si>
    <t>2026-05-29T04:40:04.827Z</t>
  </si>
  <si>
    <t>92s8Y9agyq</t>
  </si>
  <si>
    <t>uvswtttvQn</t>
  </si>
  <si>
    <t>2026-05-29T04:57:46.890Z</t>
  </si>
  <si>
    <t>Hh9heNpM5u</t>
  </si>
  <si>
    <t>PVTcwDZs7R</t>
  </si>
  <si>
    <t>2026-05-29T05:11:19.590Z</t>
  </si>
  <si>
    <t>SctNP1p3Yb</t>
  </si>
  <si>
    <t>PqpED2Kxa5</t>
  </si>
  <si>
    <t>2026-05-29T05:49:56.962Z</t>
  </si>
  <si>
    <t>yCu2TZ6fYR</t>
  </si>
  <si>
    <t>F2cyBt1KBJ</t>
  </si>
  <si>
    <t>2026-05-29T12:21:32.141Z</t>
  </si>
  <si>
    <t>XLFiG1yMnu</t>
  </si>
  <si>
    <t>Ev3dXezZVN</t>
  </si>
  <si>
    <t>2026-05-29T12:43:56.163Z</t>
  </si>
  <si>
    <t>71EGpWzwkQ</t>
  </si>
  <si>
    <t>gRoTZF5Ncn</t>
  </si>
  <si>
    <t>2026-05-29T13:41:46.079Z</t>
  </si>
  <si>
    <t>gZqh2oWJYw</t>
  </si>
  <si>
    <t>qm1BrYTcTU</t>
  </si>
  <si>
    <t>2026-05-29T15:48:51.318Z</t>
  </si>
  <si>
    <t>enRwuNeLfV</t>
  </si>
  <si>
    <t>tiTz5GhgCW</t>
  </si>
  <si>
    <t>2026-05-29T16:05:12.060Z</t>
  </si>
  <si>
    <t>QuvLhhQqwe</t>
  </si>
  <si>
    <t>NhxMHFAqzh</t>
  </si>
  <si>
    <t>2026-05-29T16:15:26.823Z</t>
  </si>
  <si>
    <t>SzkDCHH6YZ</t>
  </si>
  <si>
    <t>QCBB7b9CEf</t>
  </si>
  <si>
    <t>2026-05-29T18:23:28.953Z</t>
  </si>
  <si>
    <t>VHTSe7qjs8</t>
  </si>
  <si>
    <t>HCsuXruyqz</t>
  </si>
  <si>
    <t>2026-05-29T20:01:46.921Z</t>
  </si>
  <si>
    <t>vWCXryU8yX</t>
  </si>
  <si>
    <t>q7YRoHo9a3</t>
  </si>
  <si>
    <t>2026-05-29T20:17:04.150Z</t>
  </si>
  <si>
    <t>UTxksowgSp</t>
  </si>
  <si>
    <t>4CqJ4e35Vq</t>
  </si>
  <si>
    <t>2026-05-29T21:39:19.537Z</t>
  </si>
  <si>
    <t>9XoqeHqaHc</t>
  </si>
  <si>
    <t>NnyJ7ugWRM</t>
  </si>
  <si>
    <t>2026-05-29T21:44:29.559Z</t>
  </si>
  <si>
    <t>EHs19jxh8K</t>
  </si>
  <si>
    <t>928ZP6fB3K</t>
  </si>
  <si>
    <t>2026-05-29T21:51:43.078Z</t>
  </si>
  <si>
    <t>WJxUTbqXs3</t>
  </si>
  <si>
    <t>S5tW6eVme2</t>
  </si>
  <si>
    <t>2026-05-29T22:49:41.837Z</t>
  </si>
  <si>
    <t>1oEzBmuBse</t>
  </si>
  <si>
    <t>ejVFDNRN2m</t>
  </si>
  <si>
    <t>2026-05-29T22:50:47.681Z</t>
  </si>
  <si>
    <t>iJJ4xwpA2T</t>
  </si>
  <si>
    <t>Pu6udE3yBd</t>
  </si>
  <si>
    <t>2026-05-30T00:07:00.244Z</t>
  </si>
  <si>
    <t>z3kzP6z5BV</t>
  </si>
  <si>
    <t>jPekWDZoRJ</t>
  </si>
  <si>
    <t>2026-05-30T01:54:34.224Z</t>
  </si>
  <si>
    <t>yinjw27ZCp</t>
  </si>
  <si>
    <t>xqMr6Jrd8J</t>
  </si>
  <si>
    <t>2026-05-30T02:33:10.530Z</t>
  </si>
  <si>
    <t>RDUPKVwRg3</t>
  </si>
  <si>
    <t>88fuuiFbcw</t>
  </si>
  <si>
    <t>2026-05-30T02:35:17.694Z</t>
  </si>
  <si>
    <t>hi1SrQqdcC</t>
  </si>
  <si>
    <t>Lger33S8ZL</t>
  </si>
  <si>
    <t>2026-05-30T03:13:53.954Z</t>
  </si>
  <si>
    <t>AeBvYG98yY</t>
  </si>
  <si>
    <t>Cq4kg5MsXz</t>
  </si>
  <si>
    <t>2026-05-30T03:16:02.368Z</t>
  </si>
  <si>
    <t>TH5LhZq6HV</t>
  </si>
  <si>
    <t>jvZkYmyEe3</t>
  </si>
  <si>
    <t>2026-05-30T03:21:34.085Z</t>
  </si>
  <si>
    <t>3d3Y2147Eo</t>
  </si>
  <si>
    <t>SzXMPeTZmE</t>
  </si>
  <si>
    <t>2026-05-30T03:31:49.276Z</t>
  </si>
  <si>
    <t>HBW6jFYPyh</t>
  </si>
  <si>
    <t>QRMobiMMBn</t>
  </si>
  <si>
    <t>2026-05-30T03:54:12.887Z</t>
  </si>
  <si>
    <t>ywP4MG3cxm</t>
  </si>
  <si>
    <t>KEr2NJcRo7</t>
  </si>
  <si>
    <t>2026-05-30T04:00:22.980Z</t>
  </si>
  <si>
    <t>TcwTdcQVWQ</t>
  </si>
  <si>
    <t>FFxiewA1EZ</t>
  </si>
  <si>
    <t>2026-05-30T05:16:30.140Z</t>
  </si>
  <si>
    <t>5sBEeZqgC5</t>
  </si>
  <si>
    <t>YfvykXXEyk</t>
  </si>
  <si>
    <t>2026-05-30T06:26:44.833Z</t>
  </si>
  <si>
    <t>eTWTToiw4F</t>
  </si>
  <si>
    <t>9q4cS49Brf</t>
  </si>
  <si>
    <t>2026-05-30T07:56:00.495Z</t>
  </si>
  <si>
    <t>Jonathan M</t>
  </si>
  <si>
    <t>QedGNP7sT8</t>
  </si>
  <si>
    <t>JonNeverRage#46830</t>
  </si>
  <si>
    <t>bbT3csm1QD</t>
  </si>
  <si>
    <t>455918330134528001</t>
  </si>
  <si>
    <t>2026-05-30T11:39:15.164Z</t>
  </si>
  <si>
    <t>XUjrufZn9i</t>
  </si>
  <si>
    <t>G6KmtUSZ6R</t>
  </si>
  <si>
    <t>2026-05-30T12:28:59.727Z</t>
  </si>
  <si>
    <t>g5LK7MFzxD</t>
  </si>
  <si>
    <t>hgwBCt9Bu5</t>
  </si>
  <si>
    <t>2026-05-30T16:46:37.956Z</t>
  </si>
  <si>
    <t>yrnjppaBaV</t>
  </si>
  <si>
    <t>wc33XRF2DH</t>
  </si>
  <si>
    <t>2026-05-30T16:48:45.193Z</t>
  </si>
  <si>
    <t>gPfDGLLUg3</t>
  </si>
  <si>
    <t>PfH1Xp8wYz</t>
  </si>
  <si>
    <t>2026-05-30T18:22:02.626Z</t>
  </si>
  <si>
    <t>qK8VZxksgf</t>
  </si>
  <si>
    <t>jdotWmcFMg</t>
  </si>
  <si>
    <t>2026-05-30T19:14:50.650Z</t>
  </si>
  <si>
    <t>8SrtyhK8GC</t>
  </si>
  <si>
    <t>kUdGW4wr8V</t>
  </si>
  <si>
    <t>2026-05-30T20:00:34.941Z</t>
  </si>
  <si>
    <t>gSWkC1EzA9</t>
  </si>
  <si>
    <t>PuCr9N13H8</t>
  </si>
  <si>
    <t>2026-05-30T21:03:40.053Z</t>
  </si>
  <si>
    <t>xfcJ4CtFRh</t>
  </si>
  <si>
    <t>i6WhfTdBFd</t>
  </si>
  <si>
    <t>2026-05-30T22:34:05.707Z</t>
  </si>
  <si>
    <t>DkkixgTaTd</t>
  </si>
  <si>
    <t>ZMyRVRbW31</t>
  </si>
  <si>
    <t>2026-05-31T02:33:31.251Z</t>
  </si>
  <si>
    <t>zBWyaxEQ7t</t>
  </si>
  <si>
    <t>ssJ2Cdznog</t>
  </si>
  <si>
    <t>2026-05-31T02:45:47.183Z</t>
  </si>
  <si>
    <t>1QAs2Q5k8S</t>
  </si>
  <si>
    <t>HZmbYSF2rK</t>
  </si>
  <si>
    <t>2026-05-31T03:51:48.368Z</t>
  </si>
  <si>
    <t>a81JisrCmG</t>
  </si>
  <si>
    <t>MCYAEiuS4u</t>
  </si>
  <si>
    <t>2026-05-31T11:41:12.161Z</t>
  </si>
  <si>
    <t>idsZEMLvzP</t>
  </si>
  <si>
    <t>zEuDZcU64B</t>
  </si>
  <si>
    <t>2026-05-31T13:23:28.925Z</t>
  </si>
  <si>
    <t>MB7C7nAqkh</t>
  </si>
  <si>
    <t>VZo3jUFaQk</t>
  </si>
  <si>
    <t>2026-05-31T14:00:20.511Z</t>
  </si>
  <si>
    <t>LT1p21KGHE</t>
  </si>
  <si>
    <t>zMePEY4frd</t>
  </si>
  <si>
    <t>2026-05-31T15:12:57.831Z</t>
  </si>
  <si>
    <t>AfTgKMUJvw</t>
  </si>
  <si>
    <t>TYu5sBvseH</t>
  </si>
  <si>
    <t>2026-05-31T15:44:44.085Z</t>
  </si>
  <si>
    <t>CtwDjBaWWi</t>
  </si>
  <si>
    <t>w1BZQWe6Zo</t>
  </si>
  <si>
    <t>2026-05-31T16:45:03.532Z</t>
  </si>
  <si>
    <t>Mw5oDpCPya</t>
  </si>
  <si>
    <t>k4oSYuzuXC</t>
  </si>
  <si>
    <t>2026-05-31T17:45:29.815Z</t>
  </si>
  <si>
    <t>Ja2Hx3aSpw</t>
  </si>
  <si>
    <t>aLaEHPdu4x</t>
  </si>
  <si>
    <t>2026-05-31T18:45:51.046Z</t>
  </si>
  <si>
    <t>ZAgGKee75f</t>
  </si>
  <si>
    <t>pnzQXmB6As</t>
  </si>
  <si>
    <t>2026-05-31T19:32:54.457Z</t>
  </si>
  <si>
    <t>FuLtYiL8Ws</t>
  </si>
  <si>
    <t>3TwBD17Asj</t>
  </si>
  <si>
    <t>2026-05-31T20:35:15.346Z</t>
  </si>
  <si>
    <t>F2k5dG549M</t>
  </si>
  <si>
    <t>h5TkVrbbUB</t>
  </si>
  <si>
    <t>2026-05-31T20:51:31.762Z</t>
  </si>
  <si>
    <t>Ueg6NKjtbj</t>
  </si>
  <si>
    <t>imP1kBiYqC</t>
  </si>
  <si>
    <t>2026-05-31T21:04:53.132Z</t>
  </si>
  <si>
    <t>H1haQDBurn</t>
  </si>
  <si>
    <t>J1mVf2kiVs</t>
  </si>
  <si>
    <t>2026-06-01T01:21:31.831Z</t>
  </si>
  <si>
    <t>b2tHsa3VcZ</t>
  </si>
  <si>
    <t>ofXgTrh8r2</t>
  </si>
  <si>
    <t>2026-06-01T02:27:39.211Z</t>
  </si>
  <si>
    <t>7tnJTiRJa4</t>
  </si>
  <si>
    <t>jnQGkyzf9j</t>
  </si>
  <si>
    <t>2026-06-01T18:41:39.593Z</t>
  </si>
  <si>
    <t>iSz6zezfHC</t>
  </si>
  <si>
    <t>GDzta9wm2h</t>
  </si>
  <si>
    <t>2026-06-01T19:54:28.513Z</t>
  </si>
  <si>
    <t>GzUNBZzUgt</t>
  </si>
  <si>
    <t>RxABtwJFZp</t>
  </si>
  <si>
    <t>2026-06-02T00:51:48.877Z</t>
  </si>
  <si>
    <t>beMEDWzdA7</t>
  </si>
  <si>
    <t>owhjQNi2hw</t>
  </si>
  <si>
    <t>2026-06-02T01:27:46.952Z</t>
  </si>
  <si>
    <t>73U8HALX5M</t>
  </si>
  <si>
    <t>xbjYrY7Qta</t>
  </si>
  <si>
    <t>2026-06-02T01:28:53.916Z</t>
  </si>
  <si>
    <t>z6HMLkKVdB</t>
  </si>
  <si>
    <t>co7JcBJLK3</t>
  </si>
  <si>
    <t>2026-06-02T02:10:22.513Z</t>
  </si>
  <si>
    <t>embnjT4YLR</t>
  </si>
  <si>
    <t>GrTkobjFLF</t>
  </si>
  <si>
    <t>2026-06-02T05:04:43.879Z</t>
  </si>
  <si>
    <t>TotXf6XWUP</t>
  </si>
  <si>
    <t>r7CfiCsdro</t>
  </si>
  <si>
    <t>2026-06-02T18:06:54.641Z</t>
  </si>
  <si>
    <t>63ysZwtSrY</t>
  </si>
  <si>
    <t>H9jmyjFZVG</t>
  </si>
  <si>
    <t>2026-06-02T19:05:58.264Z</t>
  </si>
  <si>
    <t>GtC8cvtBfM</t>
  </si>
  <si>
    <t>KNP4rQZh5Z</t>
  </si>
  <si>
    <t>2026-06-02T23:18:46.223Z</t>
  </si>
  <si>
    <t>SRE8AR5xpr</t>
  </si>
  <si>
    <t>wo4kCmXShe</t>
  </si>
  <si>
    <t>2026-06-03T01:50:46.509Z</t>
  </si>
  <si>
    <t>4Pjz7VvU2Z</t>
  </si>
  <si>
    <t>AX8YL7JTtk</t>
  </si>
  <si>
    <t>2026-06-03T02:07:26.485Z</t>
  </si>
  <si>
    <t>EiGfkkqArT</t>
  </si>
  <si>
    <t>gGV4EeSdNA</t>
  </si>
  <si>
    <t>2026-06-03T21:32:40.239Z</t>
  </si>
  <si>
    <t>42uDtSopme</t>
  </si>
  <si>
    <t>KTTL2ivUyZ</t>
  </si>
  <si>
    <t>2026-06-04T00:18:28.266Z</t>
  </si>
  <si>
    <t>BV4VETnJbg</t>
  </si>
  <si>
    <t>M3gPioRAd8</t>
  </si>
  <si>
    <t>2026-06-04T18:19:09.791Z</t>
  </si>
  <si>
    <t>Jonathan P</t>
  </si>
  <si>
    <t>wheat4days#18347</t>
  </si>
  <si>
    <t>376153881081675776</t>
  </si>
  <si>
    <t>mPp5DmGbKg</t>
  </si>
  <si>
    <t>3VuBeb4UdC</t>
  </si>
  <si>
    <t>2026-06-05T00:20:10.994Z</t>
  </si>
  <si>
    <t>UbdRs9GrXt</t>
  </si>
  <si>
    <t>zbRs5dw7Nk</t>
  </si>
  <si>
    <t>Country of Residence</t>
  </si>
  <si>
    <t>City</t>
  </si>
  <si>
    <t>Matches played</t>
  </si>
  <si>
    <t>Win % (rank 2)</t>
  </si>
  <si>
    <t>Jordan M</t>
  </si>
  <si>
    <t>Win % no entropy</t>
  </si>
  <si>
    <t>JMTron#46639</t>
  </si>
  <si>
    <t>592771862140813317</t>
  </si>
  <si>
    <t>Max losses left in league</t>
  </si>
  <si>
    <t>Identification again (for OMW calc)</t>
  </si>
  <si>
    <t>Propped up win%</t>
  </si>
  <si>
    <t>Opponents played</t>
  </si>
  <si>
    <t>TOURNAMENT STATUS</t>
  </si>
  <si>
    <t>Last Loss Time</t>
  </si>
  <si>
    <t>Last Loss Week</t>
  </si>
  <si>
    <t>Survey Sent</t>
  </si>
  <si>
    <t>Streak</t>
  </si>
  <si>
    <t>Wins This Week</t>
  </si>
  <si>
    <t>Reminder at Loss</t>
  </si>
  <si>
    <t>Jose R</t>
  </si>
  <si>
    <t>Large Rock#29909</t>
  </si>
  <si>
    <t>173853625137758209</t>
  </si>
  <si>
    <t>Joseph H</t>
  </si>
  <si>
    <t>Sexcellence#51112</t>
  </si>
  <si>
    <t>551494609935532035</t>
  </si>
  <si>
    <t>Joseph S</t>
  </si>
  <si>
    <t>NotSham#89034</t>
  </si>
  <si>
    <t>143870402328788994</t>
  </si>
  <si>
    <t>Josie B</t>
  </si>
  <si>
    <t>Visager#25850</t>
  </si>
  <si>
    <t>187764226515795969</t>
  </si>
  <si>
    <t>Just C</t>
  </si>
  <si>
    <t>Vensolin The Unjust#63394</t>
  </si>
  <si>
    <t>235206985367158786</t>
  </si>
  <si>
    <t>Justin P</t>
  </si>
  <si>
    <t>Code Pigeon#84057</t>
  </si>
  <si>
    <t>133773643837734912</t>
  </si>
  <si>
    <t>Justin S</t>
  </si>
  <si>
    <t>PineSol-X#58065</t>
  </si>
  <si>
    <t>111664385440669696</t>
  </si>
  <si>
    <t>Kavi G</t>
  </si>
  <si>
    <t>metavirus#40912</t>
  </si>
  <si>
    <t>390355335283605506</t>
  </si>
  <si>
    <t>Keith L</t>
  </si>
  <si>
    <t>Uruma#71243</t>
  </si>
  <si>
    <t>360303090760679425</t>
  </si>
  <si>
    <t>Kenny W</t>
  </si>
  <si>
    <t>NivMizzet042#64889</t>
  </si>
  <si>
    <t>547651956391280642</t>
  </si>
  <si>
    <t>Kevin B</t>
  </si>
  <si>
    <t>Kevthehumanoid#54640</t>
  </si>
  <si>
    <t>330489329908449283</t>
  </si>
  <si>
    <t>Kevin I</t>
  </si>
  <si>
    <t>kni1993#29285</t>
  </si>
  <si>
    <t>423943967126585345</t>
  </si>
  <si>
    <t>Kevin L</t>
  </si>
  <si>
    <t>Ginjja#84067</t>
  </si>
  <si>
    <t>348034962068471809</t>
  </si>
  <si>
    <t>Kirk K</t>
  </si>
  <si>
    <t>Hearto#70043</t>
  </si>
  <si>
    <t>353406082867265536</t>
  </si>
  <si>
    <t>Landon H</t>
  </si>
  <si>
    <t>G4mingP4stor#86671</t>
  </si>
  <si>
    <t>269592110427013130</t>
  </si>
  <si>
    <t>Logan F</t>
  </si>
  <si>
    <t>RedEagle#92296</t>
  </si>
  <si>
    <t>609380517405523969</t>
  </si>
  <si>
    <t>Lotte P</t>
  </si>
  <si>
    <t>Lotte #93345</t>
  </si>
  <si>
    <t>559500200943550486</t>
  </si>
  <si>
    <t>Week Start</t>
  </si>
  <si>
    <t>Week End</t>
  </si>
  <si>
    <t>Played This Week</t>
  </si>
  <si>
    <t>Wins total</t>
  </si>
  <si>
    <t>Losses total</t>
  </si>
  <si>
    <t>Entropy before week</t>
  </si>
  <si>
    <t>Played total</t>
  </si>
  <si>
    <t>Underplay</t>
  </si>
  <si>
    <t>689315236905222163</t>
  </si>
  <si>
    <t>Luke M</t>
  </si>
  <si>
    <t>Gravecrawler#03567</t>
  </si>
  <si>
    <t>596360355719020573</t>
  </si>
  <si>
    <t>Maranda F</t>
  </si>
  <si>
    <t>BlackCanary#59791</t>
  </si>
  <si>
    <t>340275596892438528</t>
  </si>
  <si>
    <t>Marc D</t>
  </si>
  <si>
    <t>M013#58004</t>
  </si>
  <si>
    <t>125710739150340096</t>
  </si>
  <si>
    <t>Matt F</t>
  </si>
  <si>
    <t>MadeMyBus#92429</t>
  </si>
  <si>
    <t>491412755576782890</t>
  </si>
  <si>
    <t>124198108690251778</t>
  </si>
  <si>
    <t>Matt Ko</t>
  </si>
  <si>
    <t>Myth#18089</t>
  </si>
  <si>
    <t>401533057925906442</t>
  </si>
  <si>
    <t>Matt P</t>
  </si>
  <si>
    <t>MattPow#53130</t>
  </si>
  <si>
    <t>1094380362416795768</t>
  </si>
  <si>
    <t>Matt S</t>
  </si>
  <si>
    <t>mullethunter324#49693</t>
  </si>
  <si>
    <t>565236392444297216</t>
  </si>
  <si>
    <t>Matt St</t>
  </si>
  <si>
    <t>bubbasbums#70462</t>
  </si>
  <si>
    <t>291723457069187074</t>
  </si>
  <si>
    <t>Matthias H</t>
  </si>
  <si>
    <t>Rezreh#11308</t>
  </si>
  <si>
    <t>367389692754395146</t>
  </si>
  <si>
    <t>Melissa M</t>
  </si>
  <si>
    <t>Tritium#81581</t>
  </si>
  <si>
    <t>455509485205585921</t>
  </si>
  <si>
    <t>Mia N</t>
  </si>
  <si>
    <t>MagistraLudi#80586</t>
  </si>
  <si>
    <t>252857431791501314</t>
  </si>
  <si>
    <t>692593349101748264</t>
  </si>
  <si>
    <t>Michael C</t>
  </si>
  <si>
    <t>monkaS#90617</t>
  </si>
  <si>
    <t>205908317770481664</t>
  </si>
  <si>
    <t>Michael M</t>
  </si>
  <si>
    <t>Atombomb11991#07305</t>
  </si>
  <si>
    <t>413138645050982401</t>
  </si>
  <si>
    <t>Miguel B</t>
  </si>
  <si>
    <t>Ethereus#60108</t>
  </si>
  <si>
    <t>181479937310457856</t>
  </si>
  <si>
    <t>1403817349588451390</t>
  </si>
  <si>
    <t>Mitchel S</t>
  </si>
  <si>
    <t>SpaghettiMitch#18619</t>
  </si>
  <si>
    <t>146895902412374016</t>
  </si>
  <si>
    <t>Nathan W</t>
  </si>
  <si>
    <t>drummaestro#53129</t>
  </si>
  <si>
    <t>326493270618275840</t>
  </si>
  <si>
    <t>Nick A</t>
  </si>
  <si>
    <t>Nistar#14127</t>
  </si>
  <si>
    <t>316928438210658305</t>
  </si>
  <si>
    <t>218114266551549953</t>
  </si>
  <si>
    <t>Nik S</t>
  </si>
  <si>
    <t>njsiii#50504</t>
  </si>
  <si>
    <t>529360437607923722</t>
  </si>
  <si>
    <t>Nolan F</t>
  </si>
  <si>
    <t>Mordor#75624</t>
  </si>
  <si>
    <t>231397753559711744</t>
  </si>
  <si>
    <t>Oceane C</t>
  </si>
  <si>
    <t>Oce#92102</t>
  </si>
  <si>
    <t>310200185454198784</t>
  </si>
  <si>
    <t>Oskar T</t>
  </si>
  <si>
    <t>ossytubbi#87966</t>
  </si>
  <si>
    <t>282269507538386944</t>
  </si>
  <si>
    <t>Parker D</t>
  </si>
  <si>
    <t>Android5000#23254</t>
  </si>
  <si>
    <t>484819752263614464</t>
  </si>
  <si>
    <t>Parker V</t>
  </si>
  <si>
    <t>MajorManiac#13144</t>
  </si>
  <si>
    <t>285890333114630144</t>
  </si>
  <si>
    <t>Patrick R</t>
  </si>
  <si>
    <t>zinay#49510</t>
  </si>
  <si>
    <t>171321235014287361</t>
  </si>
  <si>
    <t>Paul G</t>
  </si>
  <si>
    <t>TheDragon#61289</t>
  </si>
  <si>
    <t>545255967001018368</t>
  </si>
  <si>
    <t>Phillip J</t>
  </si>
  <si>
    <t>philjack#50425</t>
  </si>
  <si>
    <t>112054597987643392</t>
  </si>
  <si>
    <t>Phillip M</t>
  </si>
  <si>
    <t>Fat_kitty#63794</t>
  </si>
  <si>
    <t>204138772026228736</t>
  </si>
  <si>
    <t>Piers E</t>
  </si>
  <si>
    <t>Tarnal#87103</t>
  </si>
  <si>
    <t>158655768592252928</t>
  </si>
  <si>
    <t>Preston B</t>
  </si>
  <si>
    <t>Vorbis#46420</t>
  </si>
  <si>
    <t>790027868419784704</t>
  </si>
  <si>
    <t>Puck W</t>
  </si>
  <si>
    <t>Puck#61696</t>
  </si>
  <si>
    <t>204767331702931456</t>
  </si>
  <si>
    <t>Quill M</t>
  </si>
  <si>
    <t>Nocnoc#13791</t>
  </si>
  <si>
    <t>236880756109082624</t>
  </si>
  <si>
    <t>Rafael F</t>
  </si>
  <si>
    <t>Prudent#24319</t>
  </si>
  <si>
    <t>658857181688496131</t>
  </si>
  <si>
    <t>Reece P</t>
  </si>
  <si>
    <t>OTRawrior#91614</t>
  </si>
  <si>
    <t>186807344129114119</t>
  </si>
  <si>
    <t>Reed P</t>
  </si>
  <si>
    <t>bigfingsnake#86869</t>
  </si>
  <si>
    <t>175782788518117376</t>
  </si>
  <si>
    <t>Rhydian B</t>
  </si>
  <si>
    <t>Ridwantgnd#31699</t>
  </si>
  <si>
    <t>374670740684931085</t>
  </si>
  <si>
    <t>Richard K</t>
  </si>
  <si>
    <t>preacher26#59445</t>
  </si>
  <si>
    <t>537365121974927371</t>
  </si>
  <si>
    <t>Richard S</t>
  </si>
  <si>
    <t>jessuscrice#89183</t>
  </si>
  <si>
    <t>900056717700780133</t>
  </si>
  <si>
    <t>Robert M</t>
  </si>
  <si>
    <t>LaughItUp#38462</t>
  </si>
  <si>
    <t>353282276156768257</t>
  </si>
  <si>
    <t>Robyn L</t>
  </si>
  <si>
    <t>Powerfulfalcon#66616</t>
  </si>
  <si>
    <t>693982251880546404</t>
  </si>
  <si>
    <t>Rockford M</t>
  </si>
  <si>
    <t>Haeso5#61422</t>
  </si>
  <si>
    <t>318952159020318741</t>
  </si>
  <si>
    <t>Ron B</t>
  </si>
  <si>
    <t>bombski#01630</t>
  </si>
  <si>
    <t>1456126014634856573</t>
  </si>
  <si>
    <t>Ron C</t>
  </si>
  <si>
    <t>cors#52740</t>
  </si>
  <si>
    <t>203018416913776640</t>
  </si>
  <si>
    <t>Ryan H</t>
  </si>
  <si>
    <t>Kitchensinks#50434</t>
  </si>
  <si>
    <t>196028132652875776</t>
  </si>
  <si>
    <t>943326797972537395</t>
  </si>
  <si>
    <t>Ryan S</t>
  </si>
  <si>
    <t>BlueRockObama#72249</t>
  </si>
  <si>
    <t>234062048525287434</t>
  </si>
  <si>
    <t>Salvatore P</t>
  </si>
  <si>
    <t>Unborne#42237</t>
  </si>
  <si>
    <t>709937304126357555</t>
  </si>
  <si>
    <t>Sam B</t>
  </si>
  <si>
    <t>winSome#94148</t>
  </si>
  <si>
    <t>137648744328855553</t>
  </si>
  <si>
    <t>Sam C</t>
  </si>
  <si>
    <t>casetrah47#69087</t>
  </si>
  <si>
    <t>498936512369393677</t>
  </si>
  <si>
    <t>Sam E</t>
  </si>
  <si>
    <t>samrich23#66539</t>
  </si>
  <si>
    <t>996494249388417125</t>
  </si>
  <si>
    <t>Sam M</t>
  </si>
  <si>
    <t>Starfire#38589</t>
  </si>
  <si>
    <t>147208031426314240</t>
  </si>
  <si>
    <t>Samuel L</t>
  </si>
  <si>
    <t>SamuelHappyMan#58467</t>
  </si>
  <si>
    <t>602300218003816458</t>
  </si>
  <si>
    <t>Sarah B</t>
  </si>
  <si>
    <t>SarahB9#86247</t>
  </si>
  <si>
    <t>784611101862133840</t>
  </si>
  <si>
    <t>Sasson B</t>
  </si>
  <si>
    <t>Heavy Blanket#62046</t>
  </si>
  <si>
    <t>119507236249665537</t>
  </si>
  <si>
    <t>Sawyer T</t>
  </si>
  <si>
    <t>soyboy#35469</t>
  </si>
  <si>
    <t>346124470940991488</t>
  </si>
  <si>
    <t>Sean O</t>
  </si>
  <si>
    <t>PawnOfHumalog#82404</t>
  </si>
  <si>
    <t>210019070181900288</t>
  </si>
  <si>
    <t>Seaver M</t>
  </si>
  <si>
    <t>Seaver99#18725</t>
  </si>
  <si>
    <t>514364615883358208</t>
  </si>
  <si>
    <t>Shaun H</t>
  </si>
  <si>
    <t>Hoidbringer#50183</t>
  </si>
  <si>
    <t>371171003864186890</t>
  </si>
  <si>
    <t>Shemaryahu D</t>
  </si>
  <si>
    <t>0mniscience#87429</t>
  </si>
  <si>
    <t>271793455615836165</t>
  </si>
  <si>
    <t>Simon K</t>
  </si>
  <si>
    <t>gameboy350#56819</t>
  </si>
  <si>
    <t>133113906741641216</t>
  </si>
  <si>
    <t>Stefan V</t>
  </si>
  <si>
    <t>Silversword#06621</t>
  </si>
  <si>
    <t>294923182211596288</t>
  </si>
  <si>
    <t>Stephen H</t>
  </si>
  <si>
    <t>Crayth#38098</t>
  </si>
  <si>
    <t>Steve T</t>
  </si>
  <si>
    <t>strout#45062</t>
  </si>
  <si>
    <t>218773207337926656</t>
  </si>
  <si>
    <t>Steven L</t>
  </si>
  <si>
    <t>limlimrevolution#50308</t>
  </si>
  <si>
    <t>768820103261061121</t>
  </si>
  <si>
    <t>Stratton B</t>
  </si>
  <si>
    <t>Viper312#10821</t>
  </si>
  <si>
    <t>356857462034399232</t>
  </si>
  <si>
    <t>Sylvain T</t>
  </si>
  <si>
    <t>Iquitos#15484</t>
  </si>
  <si>
    <t>713585341725933588</t>
  </si>
  <si>
    <t>440014325097299968</t>
  </si>
  <si>
    <t>Theo T</t>
  </si>
  <si>
    <t>lycurgus13#15780</t>
  </si>
  <si>
    <t>549000425123217411</t>
  </si>
  <si>
    <t>Tim A</t>
  </si>
  <si>
    <t>Flavatog#03743</t>
  </si>
  <si>
    <t>226698146082717696</t>
  </si>
  <si>
    <t>WARNING - ILLEGAL CARDS IN DECK</t>
  </si>
  <si>
    <t>155716765039591425</t>
  </si>
  <si>
    <t>413787592170143754</t>
  </si>
  <si>
    <t>Tommy L</t>
  </si>
  <si>
    <t>NiviCompleo#33268</t>
  </si>
  <si>
    <t>861401772778061835</t>
  </si>
  <si>
    <t>Tomás B</t>
  </si>
  <si>
    <t>EverFightinDuck#44829</t>
  </si>
  <si>
    <t>165160505487523840</t>
  </si>
  <si>
    <t>Travis C</t>
  </si>
  <si>
    <t>RandomJobber#97055</t>
  </si>
  <si>
    <t>1034496478409920524</t>
  </si>
  <si>
    <t>Travis L</t>
  </si>
  <si>
    <t>AhriPotter#95337</t>
  </si>
  <si>
    <t>171373593375014912</t>
  </si>
  <si>
    <t>Overplay</t>
  </si>
  <si>
    <t>Trevor H</t>
  </si>
  <si>
    <t>zheader#50741</t>
  </si>
  <si>
    <t>528273338380845069</t>
  </si>
  <si>
    <t>Troy A</t>
  </si>
  <si>
    <t>Tadams54#66582</t>
  </si>
  <si>
    <t>638346454473113601</t>
  </si>
  <si>
    <t>Tyler W</t>
  </si>
  <si>
    <t>modeadly#31675</t>
  </si>
  <si>
    <t>241762507566350347</t>
  </si>
  <si>
    <t>Tzvi L</t>
  </si>
  <si>
    <t>Daardain#96647</t>
  </si>
  <si>
    <t>166570026487382018</t>
  </si>
  <si>
    <t>Varu L</t>
  </si>
  <si>
    <t>Tamamo#30654</t>
  </si>
  <si>
    <t>160641568825409536</t>
  </si>
  <si>
    <t>Vasco M</t>
  </si>
  <si>
    <t>motatom#50510</t>
  </si>
  <si>
    <t>162173331037093888</t>
  </si>
  <si>
    <t>Vaughan C</t>
  </si>
  <si>
    <t>vcoder#24336</t>
  </si>
  <si>
    <t>312364660210925578</t>
  </si>
  <si>
    <t>Vladimir B</t>
  </si>
  <si>
    <t>vlad2135#56655</t>
  </si>
  <si>
    <t>270225763905699841</t>
  </si>
  <si>
    <t>Walter C</t>
  </si>
  <si>
    <t>tibalt4life#46559</t>
  </si>
  <si>
    <t>230188257457995776</t>
  </si>
  <si>
    <t>314995615811633152</t>
  </si>
  <si>
    <t>Wesley C</t>
  </si>
  <si>
    <t>GigaVoltaic#11782</t>
  </si>
  <si>
    <t>142482631412547584</t>
  </si>
  <si>
    <t>Will M</t>
  </si>
  <si>
    <t>Argonplatypus#63382</t>
  </si>
  <si>
    <t>213489289147842560</t>
  </si>
  <si>
    <t>Wyatt C</t>
  </si>
  <si>
    <t>hotdolphin#30769</t>
  </si>
  <si>
    <t>122213336891785216</t>
  </si>
  <si>
    <t>Yaron B</t>
  </si>
  <si>
    <t>Personification#18218</t>
  </si>
  <si>
    <t>357676141294780417</t>
  </si>
  <si>
    <t>Zach M</t>
  </si>
  <si>
    <t>Merrillium#62012</t>
  </si>
  <si>
    <t>522098995804372992</t>
  </si>
  <si>
    <t>Zachary S</t>
  </si>
  <si>
    <t>Zcia#67361</t>
  </si>
  <si>
    <t>319324880602398722</t>
  </si>
  <si>
    <t>Zack H</t>
  </si>
  <si>
    <t>HackZolt#31077</t>
  </si>
  <si>
    <t>544650955962974239</t>
  </si>
  <si>
    <t>Zeke W</t>
  </si>
  <si>
    <t>smarmyplatapus#30066</t>
  </si>
  <si>
    <t>257433049137020928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</si>
</sst>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mmm&quot;-&quot;dd&quot; &quot;h&quot;:&quot;mm"/>
    <numFmt numFmtId="166" formatCode="0.0%"/>
    <numFmt numFmtId="167" formatCode="M/d/yyyy H:mm:ss"/>
  </numFmts>
  <fonts count="56">
    <font>
      <sz val="10.0"/>
      <color rgb="FF000000"/>
      <name val="Arial"/>
      <scheme val="minor"/>
    </font>
    <font>
      <color theme="1"/>
      <name val="Arial"/>
    </font>
    <font>
      <b/>
      <sz val="19.0"/>
      <color rgb="FF000000"/>
      <name val="Georgia"/>
    </font>
    <font>
      <b/>
      <sz val="11.0"/>
      <color rgb="FFFFFFFF"/>
      <name val="Calibri"/>
    </font>
    <font>
      <sz val="11.0"/>
      <color theme="1"/>
      <name val="Calibri"/>
    </font>
    <font>
      <b/>
      <sz val="18.0"/>
      <color theme="1"/>
      <name val="Calibri"/>
    </font>
    <font>
      <sz val="11.0"/>
      <color rgb="FFFFFFFF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color rgb="FFFFFFFF"/>
      <name val="Calibri"/>
    </font>
    <font>
      <b/>
      <color theme="1"/>
      <name val="Arial"/>
    </font>
    <font>
      <b/>
      <sz val="11.0"/>
      <color rgb="FF1155CC"/>
      <name val="Calibri"/>
    </font>
    <font>
      <sz val="11.0"/>
      <color rgb="FF000000"/>
      <name val="Calibri"/>
    </font>
    <font>
      <b/>
      <color theme="1"/>
      <name val="Arial"/>
      <scheme val="minor"/>
    </font>
    <font>
      <b/>
      <sz val="10.0"/>
      <color theme="1"/>
      <name val="Arial"/>
    </font>
    <font/>
    <font>
      <sz val="18.0"/>
      <color rgb="FF000000"/>
      <name val="Calibri"/>
    </font>
    <font>
      <i/>
      <sz val="11.0"/>
      <color theme="1"/>
      <name val="Calibri"/>
    </font>
    <font>
      <b/>
      <sz val="18.0"/>
      <color rgb="FF000000"/>
      <name val="Calibri"/>
    </font>
    <font>
      <sz val="11.0"/>
      <color rgb="FF0070C0"/>
      <name val="Calibri"/>
    </font>
    <font>
      <sz val="9.0"/>
      <color theme="1"/>
      <name val="Arial"/>
      <scheme val="minor"/>
    </font>
    <font>
      <sz val="9.0"/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b/>
      <sz val="25.0"/>
      <color rgb="FFFFFFFF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color rgb="FFFFFFFF"/>
      <name val="Arial"/>
    </font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  <font>
      <b/>
      <sz val="12.0"/>
      <color rgb="FF000000"/>
      <name val="Calibri"/>
    </font>
    <font>
      <b/>
      <u/>
      <sz val="12.0"/>
      <color rgb="FF000000"/>
      <name val="Calibri"/>
    </font>
    <font>
      <b/>
      <sz val="18.0"/>
      <color rgb="FF000000"/>
      <name val="Georgia"/>
    </font>
    <font>
      <b/>
      <sz val="25.0"/>
      <color theme="1"/>
      <name val="Arial"/>
    </font>
    <font>
      <b/>
      <sz val="20.0"/>
      <color rgb="FFFFFFFF"/>
      <name val="Calibri"/>
    </font>
    <font>
      <color theme="1"/>
      <name val="Calibri"/>
    </font>
    <font>
      <b/>
      <sz val="12.0"/>
      <color rgb="FFFFFFFF"/>
      <name val="Calibri"/>
    </font>
    <font>
      <sz val="12.0"/>
      <color theme="1"/>
      <name val="Calibri"/>
    </font>
    <font>
      <u/>
      <color theme="1"/>
      <name val="Arial"/>
      <scheme val="minor"/>
    </font>
    <font>
      <b/>
      <i/>
      <sz val="11.0"/>
      <color rgb="FFFFFFFF"/>
      <name val="Calibri"/>
    </font>
    <font>
      <color rgb="FFFFFFFF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6B26B"/>
        <bgColor rgb="FFF6B26B"/>
      </patternFill>
    </fill>
    <fill>
      <patternFill patternType="solid">
        <fgColor rgb="FF1155CC"/>
        <bgColor rgb="FF1155CC"/>
      </patternFill>
    </fill>
    <fill>
      <patternFill patternType="solid">
        <fgColor rgb="FF434343"/>
        <bgColor rgb="FF434343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B6D7A8"/>
        <bgColor rgb="FFB6D7A8"/>
      </patternFill>
    </fill>
    <fill>
      <patternFill patternType="solid">
        <fgColor rgb="FFFFFAEB"/>
        <bgColor rgb="FFFFFAEB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8E7CC3"/>
        <bgColor rgb="FF8E7CC3"/>
      </patternFill>
    </fill>
    <fill>
      <patternFill patternType="solid">
        <fgColor rgb="FF56D9D5"/>
        <bgColor rgb="FF56D9D5"/>
      </patternFill>
    </fill>
    <fill>
      <patternFill patternType="solid">
        <fgColor rgb="FFD9D9D9"/>
        <bgColor rgb="FFD9D9D9"/>
      </patternFill>
    </fill>
    <fill>
      <patternFill patternType="solid">
        <fgColor rgb="FFC55A11"/>
        <bgColor rgb="FFC55A11"/>
      </patternFill>
    </fill>
    <fill>
      <patternFill patternType="solid">
        <fgColor rgb="FFA12929"/>
        <bgColor rgb="FFA12929"/>
      </patternFill>
    </fill>
    <fill>
      <patternFill patternType="solid">
        <fgColor rgb="FFE69138"/>
        <bgColor rgb="FFE69138"/>
      </patternFill>
    </fill>
    <fill>
      <patternFill patternType="solid">
        <fgColor rgb="FF351C75"/>
        <bgColor rgb="FF351C75"/>
      </patternFill>
    </fill>
    <fill>
      <patternFill patternType="solid">
        <fgColor rgb="FF3C78D8"/>
        <bgColor rgb="FF3C78D8"/>
      </patternFill>
    </fill>
    <fill>
      <patternFill patternType="solid">
        <fgColor rgb="FF45818E"/>
        <bgColor rgb="FF45818E"/>
      </patternFill>
    </fill>
    <fill>
      <patternFill patternType="solid">
        <fgColor rgb="FFA61C00"/>
        <bgColor rgb="FFA61C00"/>
      </patternFill>
    </fill>
    <fill>
      <patternFill patternType="solid">
        <fgColor rgb="FF000000"/>
        <bgColor rgb="FF000000"/>
      </patternFill>
    </fill>
    <fill>
      <patternFill patternType="solid">
        <fgColor rgb="FF674EA7"/>
        <bgColor rgb="FF674EA7"/>
      </patternFill>
    </fill>
    <fill>
      <patternFill patternType="solid">
        <fgColor rgb="FF299A47"/>
        <bgColor rgb="FF299A47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40">
    <border/>
    <border>
      <right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right/>
      <bottom/>
    </border>
    <border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right style="thin">
        <color rgb="FF000000"/>
      </right>
      <top style="thin">
        <color rgb="FF0070C0"/>
      </top>
      <bottom style="thin">
        <color rgb="FF000000"/>
      </bottom>
    </border>
    <border>
      <top style="thin">
        <color rgb="FF0070C0"/>
      </top>
      <bottom style="thin">
        <color rgb="FF000000"/>
      </bottom>
    </border>
    <border>
      <left style="thin">
        <color rgb="FF000000"/>
      </left>
      <right style="thin">
        <color rgb="FF0070C0"/>
      </right>
      <top style="thin">
        <color rgb="FF0070C0"/>
      </top>
      <bottom style="thin">
        <color rgb="FF000000"/>
      </bottom>
    </border>
    <border>
      <left style="thin">
        <color rgb="FF0070C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70C0"/>
      </top>
      <bottom style="thin">
        <color rgb="FF0070C0"/>
      </bottom>
    </border>
    <border>
      <left style="thin">
        <color rgb="FF000000"/>
      </left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right style="thin">
        <color rgb="FF0070C0"/>
      </right>
      <top style="thin">
        <color rgb="FF0070C0"/>
      </top>
    </border>
    <border>
      <left style="thin">
        <color rgb="FF0070C0"/>
      </left>
      <right style="thin">
        <color rgb="FF000000"/>
      </right>
      <top style="thin">
        <color rgb="FF000000"/>
      </top>
      <bottom style="thin">
        <color rgb="FF0070C0"/>
      </bottom>
    </border>
    <border>
      <top style="thin">
        <color rgb="FF000000"/>
      </top>
      <bottom style="thin">
        <color rgb="FF0070C0"/>
      </bottom>
    </border>
    <border>
      <left style="thin">
        <color rgb="FF000000"/>
      </left>
      <right style="thin">
        <color rgb="FF0070C0"/>
      </right>
      <top style="thin">
        <color rgb="FF000000"/>
      </top>
      <bottom style="thin">
        <color rgb="FF0070C0"/>
      </bottom>
    </border>
    <border>
      <bottom style="thick">
        <color rgb="FF6AA84F"/>
      </bottom>
    </border>
    <border>
      <top style="thick">
        <color rgb="FF6AA84F"/>
      </top>
    </border>
    <border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readingOrder="0" vertical="bottom"/>
    </xf>
    <xf borderId="0" fillId="3" fontId="6" numFmtId="0" xfId="0" applyAlignment="1" applyFont="1">
      <alignment horizontal="center" readingOrder="0"/>
    </xf>
    <xf borderId="0" fillId="3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2" fillId="0" fontId="7" numFmtId="0" xfId="0" applyBorder="1" applyFont="1"/>
    <xf borderId="0" fillId="0" fontId="7" numFmtId="164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9" numFmtId="0" xfId="0" applyAlignment="1" applyFont="1">
      <alignment horizontal="center" readingOrder="0" vertical="top"/>
    </xf>
    <xf borderId="3" fillId="0" fontId="1" numFmtId="0" xfId="0" applyAlignment="1" applyBorder="1" applyFont="1">
      <alignment vertical="bottom"/>
    </xf>
    <xf borderId="4" fillId="3" fontId="3" numFmtId="0" xfId="0" applyAlignment="1" applyBorder="1" applyFont="1">
      <alignment shrinkToFit="0" wrapText="1"/>
    </xf>
    <xf borderId="5" fillId="0" fontId="1" numFmtId="0" xfId="0" applyAlignment="1" applyBorder="1" applyFont="1">
      <alignment vertical="bottom"/>
    </xf>
    <xf borderId="4" fillId="3" fontId="3" numFmtId="0" xfId="0" applyAlignment="1" applyBorder="1" applyFont="1">
      <alignment horizontal="center" readingOrder="0" shrinkToFit="0" wrapText="1"/>
    </xf>
    <xf borderId="6" fillId="3" fontId="3" numFmtId="0" xfId="0" applyAlignment="1" applyBorder="1" applyFont="1">
      <alignment shrinkToFit="0" vertical="bottom" wrapText="1"/>
    </xf>
    <xf borderId="4" fillId="3" fontId="10" numFmtId="0" xfId="0" applyAlignment="1" applyBorder="1" applyFont="1">
      <alignment horizontal="center"/>
    </xf>
    <xf borderId="6" fillId="3" fontId="10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shrinkToFit="0" vertical="bottom" wrapText="1"/>
    </xf>
    <xf borderId="4" fillId="3" fontId="3" numFmtId="0" xfId="0" applyAlignment="1" applyBorder="1" applyFont="1">
      <alignment horizontal="center" shrinkToFit="0" wrapText="1"/>
    </xf>
    <xf borderId="6" fillId="3" fontId="3" numFmtId="0" xfId="0" applyAlignment="1" applyBorder="1" applyFont="1">
      <alignment horizontal="center" readingOrder="0" shrinkToFit="0" vertical="bottom" wrapText="1"/>
    </xf>
    <xf borderId="4" fillId="3" fontId="3" numFmtId="0" xfId="0" applyAlignment="1" applyBorder="1" applyFont="1">
      <alignment horizontal="center" readingOrder="0" shrinkToFit="0" vertical="bottom" wrapText="1"/>
    </xf>
    <xf borderId="7" fillId="3" fontId="3" numFmtId="0" xfId="0" applyAlignment="1" applyBorder="1" applyFont="1">
      <alignment horizontal="center" readingOrder="0" shrinkToFit="0" vertical="bottom" wrapText="1"/>
    </xf>
    <xf borderId="7" fillId="3" fontId="3" numFmtId="0" xfId="0" applyAlignment="1" applyBorder="1" applyFont="1">
      <alignment horizontal="center" shrinkToFit="0" vertical="bottom" wrapText="1"/>
    </xf>
    <xf borderId="6" fillId="0" fontId="1" numFmtId="0" xfId="0" applyAlignment="1" applyBorder="1" applyFont="1">
      <alignment horizontal="right" vertical="bottom"/>
    </xf>
    <xf borderId="0" fillId="0" fontId="7" numFmtId="0" xfId="0" applyFont="1"/>
    <xf borderId="6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horizontal="center" readingOrder="0" vertical="bottom"/>
    </xf>
    <xf borderId="8" fillId="4" fontId="4" numFmtId="0" xfId="0" applyAlignment="1" applyBorder="1" applyFill="1" applyFont="1">
      <alignment readingOrder="0" vertical="bottom"/>
    </xf>
    <xf borderId="6" fillId="0" fontId="11" numFmtId="0" xfId="0" applyAlignment="1" applyBorder="1" applyFont="1">
      <alignment horizontal="center" vertical="bottom"/>
    </xf>
    <xf borderId="0" fillId="0" fontId="7" numFmtId="3" xfId="0" applyFont="1" applyNumberFormat="1"/>
    <xf quotePrefix="1" borderId="0" fillId="0" fontId="7" numFmtId="0" xfId="0" applyAlignment="1" applyFont="1">
      <alignment readingOrder="0"/>
    </xf>
    <xf borderId="7" fillId="0" fontId="1" numFmtId="0" xfId="0" applyAlignment="1" applyBorder="1" applyFont="1">
      <alignment readingOrder="0" vertical="bottom"/>
    </xf>
    <xf borderId="8" fillId="5" fontId="12" numFmtId="0" xfId="0" applyAlignment="1" applyBorder="1" applyFill="1" applyFont="1">
      <alignment horizontal="center" vertical="bottom"/>
    </xf>
    <xf borderId="8" fillId="0" fontId="1" numFmtId="0" xfId="0" applyAlignment="1" applyBorder="1" applyFont="1">
      <alignment horizontal="center" readingOrder="0" vertical="bottom"/>
    </xf>
    <xf borderId="0" fillId="6" fontId="4" numFmtId="0" xfId="0" applyAlignment="1" applyFill="1" applyFont="1">
      <alignment readingOrder="0" shrinkToFit="0" vertical="bottom" wrapText="0"/>
    </xf>
    <xf borderId="8" fillId="2" fontId="13" numFmtId="0" xfId="0" applyAlignment="1" applyBorder="1" applyFont="1">
      <alignment horizontal="center" readingOrder="0" shrinkToFit="0" wrapText="1"/>
    </xf>
    <xf borderId="8" fillId="0" fontId="13" numFmtId="0" xfId="0" applyAlignment="1" applyBorder="1" applyFont="1">
      <alignment horizontal="center" readingOrder="0" shrinkToFit="0" wrapText="1"/>
    </xf>
    <xf borderId="8" fillId="2" fontId="13" numFmtId="10" xfId="0" applyAlignment="1" applyBorder="1" applyFont="1" applyNumberFormat="1">
      <alignment horizontal="center" vertical="bottom"/>
    </xf>
    <xf borderId="9" fillId="0" fontId="7" numFmtId="0" xfId="0" applyAlignment="1" applyBorder="1" applyFont="1">
      <alignment readingOrder="0"/>
    </xf>
    <xf borderId="8" fillId="0" fontId="4" numFmtId="0" xfId="0" applyAlignment="1" applyBorder="1" applyFont="1">
      <alignment readingOrder="0" vertical="bottom"/>
    </xf>
    <xf borderId="8" fillId="2" fontId="4" numFmtId="0" xfId="0" applyAlignment="1" applyBorder="1" applyFont="1">
      <alignment horizontal="center" shrinkToFit="0" wrapText="1"/>
    </xf>
    <xf borderId="4" fillId="2" fontId="13" numFmtId="0" xfId="0" applyAlignment="1" applyBorder="1" applyFont="1">
      <alignment horizontal="center" vertical="bottom"/>
    </xf>
    <xf borderId="8" fillId="0" fontId="1" numFmtId="0" xfId="0" applyAlignment="1" applyBorder="1" applyFont="1">
      <alignment readingOrder="0" vertical="bottom"/>
    </xf>
    <xf borderId="8" fillId="2" fontId="13" numFmtId="0" xfId="0" applyAlignment="1" applyBorder="1" applyFont="1">
      <alignment horizontal="left" readingOrder="0" shrinkToFit="0" wrapText="0"/>
    </xf>
    <xf borderId="6" fillId="0" fontId="4" numFmtId="0" xfId="0" applyAlignment="1" applyBorder="1" applyFont="1">
      <alignment horizontal="center" shrinkToFit="0" vertical="bottom" wrapText="1"/>
    </xf>
    <xf borderId="6" fillId="0" fontId="4" numFmtId="165" xfId="0" applyAlignment="1" applyBorder="1" applyFont="1" applyNumberFormat="1">
      <alignment horizontal="center" shrinkToFit="0" vertical="bottom" wrapText="1"/>
    </xf>
    <xf borderId="7" fillId="0" fontId="1" numFmtId="0" xfId="0" applyAlignment="1" applyBorder="1" applyFont="1">
      <alignment horizontal="center" readingOrder="0" vertical="bottom"/>
    </xf>
    <xf borderId="0" fillId="0" fontId="7" numFmtId="0" xfId="0" applyAlignment="1" applyFont="1">
      <alignment readingOrder="0" shrinkToFit="0" wrapText="0"/>
    </xf>
    <xf borderId="8" fillId="0" fontId="1" numFmtId="0" xfId="0" applyAlignment="1" applyBorder="1" applyFont="1">
      <alignment horizontal="right" readingOrder="0" vertical="bottom"/>
    </xf>
    <xf borderId="8" fillId="0" fontId="7" numFmtId="0" xfId="0" applyAlignment="1" applyBorder="1" applyFont="1">
      <alignment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 vertical="bottom"/>
    </xf>
    <xf borderId="0" fillId="3" fontId="3" numFmtId="0" xfId="0" applyAlignment="1" applyFont="1">
      <alignment shrinkToFit="0" vertical="bottom" wrapText="1"/>
    </xf>
    <xf borderId="0" fillId="3" fontId="1" numFmtId="0" xfId="0" applyAlignment="1" applyFont="1">
      <alignment vertical="bottom"/>
    </xf>
    <xf borderId="0" fillId="0" fontId="7" numFmtId="0" xfId="0" applyFont="1"/>
    <xf borderId="10" fillId="0" fontId="1" numFmtId="0" xfId="0" applyAlignment="1" applyBorder="1" applyFont="1">
      <alignment readingOrder="0" vertical="bottom"/>
    </xf>
    <xf borderId="7" fillId="0" fontId="16" numFmtId="0" xfId="0" applyBorder="1" applyFont="1"/>
    <xf borderId="0" fillId="3" fontId="3" numFmtId="0" xfId="0" applyAlignment="1" applyFont="1">
      <alignment readingOrder="0" shrinkToFit="0" vertical="bottom" wrapText="1"/>
    </xf>
    <xf borderId="0" fillId="2" fontId="1" numFmtId="0" xfId="0" applyAlignment="1" applyFont="1">
      <alignment vertical="bottom"/>
    </xf>
    <xf borderId="11" fillId="0" fontId="7" numFmtId="0" xfId="0" applyBorder="1" applyFont="1"/>
    <xf borderId="12" fillId="0" fontId="14" numFmtId="0" xfId="0" applyAlignment="1" applyBorder="1" applyFont="1">
      <alignment horizontal="center" readingOrder="0"/>
    </xf>
    <xf borderId="13" fillId="0" fontId="16" numFmtId="0" xfId="0" applyBorder="1" applyFont="1"/>
    <xf borderId="14" fillId="0" fontId="16" numFmtId="0" xfId="0" applyBorder="1" applyFont="1"/>
    <xf borderId="15" fillId="0" fontId="7" numFmtId="0" xfId="0" applyBorder="1" applyFont="1"/>
    <xf borderId="16" fillId="0" fontId="7" numFmtId="0" xfId="0" applyBorder="1" applyFont="1"/>
    <xf borderId="10" fillId="3" fontId="3" numFmtId="0" xfId="0" applyAlignment="1" applyBorder="1" applyFont="1">
      <alignment readingOrder="0"/>
    </xf>
    <xf borderId="17" fillId="0" fontId="16" numFmtId="0" xfId="0" applyBorder="1" applyFont="1"/>
    <xf borderId="18" fillId="0" fontId="7" numFmtId="0" xfId="0" applyBorder="1" applyFont="1"/>
    <xf borderId="4" fillId="0" fontId="1" numFmtId="0" xfId="0" applyAlignment="1" applyBorder="1" applyFont="1">
      <alignment readingOrder="0"/>
    </xf>
    <xf borderId="4" fillId="0" fontId="7" numFmtId="0" xfId="0" applyAlignment="1" applyBorder="1" applyFont="1">
      <alignment horizontal="center" readingOrder="0"/>
    </xf>
    <xf borderId="19" fillId="0" fontId="1" numFmtId="0" xfId="0" applyAlignment="1" applyBorder="1" applyFont="1">
      <alignment readingOrder="0"/>
    </xf>
    <xf borderId="6" fillId="0" fontId="16" numFmtId="0" xfId="0" applyBorder="1" applyFont="1"/>
    <xf borderId="0" fillId="0" fontId="1" numFmtId="0" xfId="0" applyAlignment="1" applyFont="1">
      <alignment horizontal="right" vertical="bottom"/>
    </xf>
    <xf borderId="8" fillId="2" fontId="4" numFmtId="0" xfId="0" applyAlignment="1" applyBorder="1" applyFont="1">
      <alignment readingOrder="0" vertical="bottom"/>
    </xf>
    <xf borderId="8" fillId="2" fontId="12" numFmtId="0" xfId="0" applyAlignment="1" applyBorder="1" applyFont="1">
      <alignment horizontal="center" vertical="bottom"/>
    </xf>
    <xf borderId="8" fillId="2" fontId="13" numFmtId="0" xfId="0" applyAlignment="1" applyBorder="1" applyFont="1">
      <alignment readingOrder="0" vertical="bottom"/>
    </xf>
    <xf borderId="1" fillId="0" fontId="17" numFmtId="0" xfId="0" applyAlignment="1" applyBorder="1" applyFont="1">
      <alignment readingOrder="0" shrinkToFit="0" vertical="bottom" wrapText="0"/>
    </xf>
    <xf borderId="20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20" fillId="7" fontId="9" numFmtId="0" xfId="0" applyAlignment="1" applyBorder="1" applyFill="1" applyFont="1">
      <alignment horizontal="center" vertical="top"/>
    </xf>
    <xf borderId="0" fillId="0" fontId="9" numFmtId="0" xfId="0" applyAlignment="1" applyFont="1">
      <alignment horizontal="right" vertical="bottom"/>
    </xf>
    <xf borderId="0" fillId="8" fontId="4" numFmtId="0" xfId="0" applyAlignment="1" applyFill="1" applyFont="1">
      <alignment horizontal="right" readingOrder="0" vertical="bottom"/>
    </xf>
    <xf borderId="0" fillId="0" fontId="18" numFmtId="0" xfId="0" applyAlignment="1" applyFont="1">
      <alignment vertical="bottom"/>
    </xf>
    <xf borderId="21" fillId="0" fontId="1" numFmtId="16" xfId="0" applyAlignment="1" applyBorder="1" applyFont="1" applyNumberFormat="1">
      <alignment vertical="bottom"/>
    </xf>
    <xf borderId="20" fillId="9" fontId="9" numFmtId="16" xfId="0" applyAlignment="1" applyBorder="1" applyFill="1" applyFont="1" applyNumberFormat="1">
      <alignment horizontal="center" vertical="top"/>
    </xf>
    <xf borderId="0" fillId="0" fontId="1" numFmtId="0" xfId="0" applyAlignment="1" applyFont="1">
      <alignment vertical="bottom"/>
    </xf>
    <xf borderId="0" fillId="10" fontId="9" numFmtId="0" xfId="0" applyAlignment="1" applyFill="1" applyFont="1">
      <alignment horizontal="center" vertical="bottom"/>
    </xf>
    <xf borderId="0" fillId="10" fontId="9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3" fontId="3" numFmtId="0" xfId="0" applyAlignment="1" applyFont="1">
      <alignment horizontal="center" shrinkToFit="0" vertical="bottom" wrapText="1"/>
    </xf>
    <xf borderId="0" fillId="3" fontId="3" numFmtId="0" xfId="0" applyAlignment="1" applyFont="1">
      <alignment horizontal="center" shrinkToFit="0" vertical="bottom" wrapText="1"/>
    </xf>
    <xf borderId="0" fillId="3" fontId="3" numFmtId="165" xfId="0" applyAlignment="1" applyFont="1" applyNumberForma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1" fillId="0" fontId="19" numFmtId="0" xfId="0" applyAlignment="1" applyBorder="1" applyFont="1">
      <alignment readingOrder="0" shrinkToFit="0" vertical="bottom" wrapText="0"/>
    </xf>
    <xf borderId="20" fillId="7" fontId="9" numFmtId="0" xfId="0" applyAlignment="1" applyBorder="1" applyFont="1">
      <alignment horizontal="center" readingOrder="0" vertical="top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center" vertical="bottom"/>
    </xf>
    <xf borderId="8" fillId="3" fontId="3" numFmtId="0" xfId="0" applyAlignment="1" applyBorder="1" applyFont="1">
      <alignment horizontal="center" shrinkToFit="0" wrapText="1"/>
    </xf>
    <xf borderId="8" fillId="3" fontId="3" numFmtId="0" xfId="0" applyAlignment="1" applyBorder="1" applyFont="1">
      <alignment horizontal="center" readingOrder="0" shrinkToFit="0" wrapText="1"/>
    </xf>
    <xf borderId="0" fillId="3" fontId="3" numFmtId="0" xfId="0" applyAlignment="1" applyFont="1">
      <alignment horizontal="center" readingOrder="0" shrinkToFit="0" wrapText="1"/>
    </xf>
    <xf borderId="8" fillId="0" fontId="4" numFmtId="0" xfId="0" applyAlignment="1" applyBorder="1" applyFont="1">
      <alignment horizontal="center" readingOrder="0" vertical="bottom"/>
    </xf>
    <xf borderId="8" fillId="0" fontId="20" numFmtId="0" xfId="0" applyAlignment="1" applyBorder="1" applyFont="1">
      <alignment horizontal="center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7" numFmtId="164" xfId="0" applyFont="1" applyNumberFormat="1"/>
    <xf borderId="0" fillId="0" fontId="1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4" fillId="3" fontId="3" numFmtId="0" xfId="0" applyAlignment="1" applyBorder="1" applyFont="1">
      <alignment shrinkToFit="0" vertical="bottom" wrapText="1"/>
    </xf>
    <xf borderId="8" fillId="3" fontId="3" numFmtId="0" xfId="0" applyAlignment="1" applyBorder="1" applyFont="1">
      <alignment shrinkToFit="0" vertical="bottom" wrapText="1"/>
    </xf>
    <xf borderId="8" fillId="3" fontId="3" numFmtId="0" xfId="0" applyAlignment="1" applyBorder="1" applyFont="1">
      <alignment readingOrder="0" shrinkToFit="0" vertical="bottom" wrapText="1"/>
    </xf>
    <xf borderId="0" fillId="0" fontId="21" numFmtId="0" xfId="0" applyFont="1"/>
    <xf borderId="10" fillId="2" fontId="4" numFmtId="0" xfId="0" applyAlignment="1" applyBorder="1" applyFont="1">
      <alignment horizontal="center" vertical="bottom"/>
    </xf>
    <xf borderId="8" fillId="0" fontId="7" numFmtId="0" xfId="0" applyAlignment="1" applyBorder="1" applyFont="1">
      <alignment readingOrder="0" shrinkToFit="0" wrapText="0"/>
    </xf>
    <xf borderId="8" fillId="0" fontId="7" numFmtId="0" xfId="0" applyAlignment="1" applyBorder="1" applyFont="1">
      <alignment shrinkToFit="0" wrapText="0"/>
    </xf>
    <xf borderId="8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8" fillId="0" fontId="7" numFmtId="0" xfId="0" applyBorder="1" applyFont="1"/>
    <xf borderId="0" fillId="0" fontId="1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vertical="bottom"/>
    </xf>
    <xf borderId="10" fillId="2" fontId="4" numFmtId="0" xfId="0" applyAlignment="1" applyBorder="1" applyFont="1">
      <alignment horizontal="center" readingOrder="0" vertical="bottom"/>
    </xf>
    <xf borderId="8" fillId="0" fontId="23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vertical="bottom"/>
    </xf>
    <xf borderId="0" fillId="0" fontId="24" numFmtId="0" xfId="0" applyFont="1"/>
    <xf borderId="8" fillId="0" fontId="25" numFmtId="0" xfId="0" applyAlignment="1" applyBorder="1" applyFont="1">
      <alignment vertical="bottom"/>
    </xf>
    <xf borderId="0" fillId="2" fontId="4" numFmtId="0" xfId="0" applyAlignment="1" applyFont="1">
      <alignment readingOrder="0" vertical="bottom"/>
    </xf>
    <xf borderId="0" fillId="2" fontId="13" numFmtId="0" xfId="0" applyAlignment="1" applyFont="1">
      <alignment readingOrder="0" vertical="bottom"/>
    </xf>
    <xf borderId="22" fillId="3" fontId="26" numFmtId="0" xfId="0" applyAlignment="1" applyBorder="1" applyFont="1">
      <alignment horizontal="center" readingOrder="0"/>
    </xf>
    <xf borderId="23" fillId="0" fontId="16" numFmtId="0" xfId="0" applyBorder="1" applyFont="1"/>
    <xf borderId="23" fillId="3" fontId="26" numFmtId="0" xfId="0" applyAlignment="1" applyBorder="1" applyFont="1">
      <alignment horizontal="center" readingOrder="0"/>
    </xf>
    <xf borderId="8" fillId="0" fontId="27" numFmtId="0" xfId="0" applyAlignment="1" applyBorder="1" applyFont="1">
      <alignment horizontal="center" vertical="bottom"/>
    </xf>
    <xf borderId="10" fillId="0" fontId="27" numFmtId="0" xfId="0" applyAlignment="1" applyBorder="1" applyFont="1">
      <alignment horizontal="center" readingOrder="0" vertical="bottom"/>
    </xf>
    <xf borderId="0" fillId="0" fontId="28" numFmtId="0" xfId="0" applyAlignment="1" applyFont="1">
      <alignment horizontal="center" readingOrder="0" shrinkToFit="0" wrapText="1"/>
    </xf>
    <xf borderId="24" fillId="0" fontId="28" numFmtId="0" xfId="0" applyAlignment="1" applyBorder="1" applyFont="1">
      <alignment horizontal="center" readingOrder="0" shrinkToFit="0" vertical="bottom" wrapText="1"/>
    </xf>
    <xf borderId="0" fillId="0" fontId="28" numFmtId="0" xfId="0" applyAlignment="1" applyFont="1">
      <alignment horizontal="center" readingOrder="0" shrinkToFit="0" vertical="bottom" wrapText="1"/>
    </xf>
    <xf borderId="8" fillId="0" fontId="28" numFmtId="0" xfId="0" applyAlignment="1" applyBorder="1" applyFont="1">
      <alignment horizontal="center"/>
    </xf>
    <xf borderId="10" fillId="11" fontId="29" numFmtId="0" xfId="0" applyAlignment="1" applyBorder="1" applyFill="1" applyFont="1">
      <alignment horizontal="center"/>
    </xf>
    <xf borderId="8" fillId="0" fontId="30" numFmtId="10" xfId="0" applyAlignment="1" applyBorder="1" applyFont="1" applyNumberFormat="1">
      <alignment horizontal="center"/>
    </xf>
    <xf borderId="10" fillId="12" fontId="29" numFmtId="0" xfId="0" applyAlignment="1" applyBorder="1" applyFill="1" applyFont="1">
      <alignment horizontal="center"/>
    </xf>
    <xf borderId="10" fillId="13" fontId="29" numFmtId="0" xfId="0" applyAlignment="1" applyBorder="1" applyFill="1" applyFont="1">
      <alignment horizontal="center"/>
    </xf>
    <xf borderId="10" fillId="10" fontId="29" numFmtId="0" xfId="0" applyAlignment="1" applyBorder="1" applyFont="1">
      <alignment horizontal="center"/>
    </xf>
    <xf borderId="10" fillId="14" fontId="29" numFmtId="0" xfId="0" applyAlignment="1" applyBorder="1" applyFill="1" applyFont="1">
      <alignment horizontal="center"/>
    </xf>
    <xf borderId="0" fillId="0" fontId="1" numFmtId="0" xfId="0" applyFont="1"/>
    <xf borderId="24" fillId="0" fontId="1" numFmtId="0" xfId="0" applyBorder="1" applyFont="1"/>
    <xf borderId="25" fillId="0" fontId="16" numFmtId="0" xfId="0" applyBorder="1" applyFont="1"/>
    <xf borderId="19" fillId="0" fontId="16" numFmtId="0" xfId="0" applyBorder="1" applyFont="1"/>
    <xf borderId="3" fillId="0" fontId="16" numFmtId="0" xfId="0" applyBorder="1" applyFont="1"/>
    <xf borderId="8" fillId="3" fontId="31" numFmtId="0" xfId="0" applyAlignment="1" applyBorder="1" applyFont="1">
      <alignment horizontal="center"/>
    </xf>
    <xf borderId="4" fillId="15" fontId="4" numFmtId="0" xfId="0" applyAlignment="1" applyBorder="1" applyFill="1" applyFont="1">
      <alignment horizontal="center" readingOrder="0" vertical="bottom"/>
    </xf>
    <xf borderId="8" fillId="2" fontId="32" numFmtId="0" xfId="0" applyAlignment="1" applyBorder="1" applyFont="1">
      <alignment horizontal="center"/>
    </xf>
    <xf borderId="8" fillId="0" fontId="32" numFmtId="0" xfId="0" applyAlignment="1" applyBorder="1" applyFont="1">
      <alignment horizontal="center"/>
    </xf>
    <xf borderId="9" fillId="0" fontId="32" numFmtId="0" xfId="0" applyAlignment="1" applyBorder="1" applyFont="1">
      <alignment horizontal="center"/>
    </xf>
    <xf borderId="8" fillId="0" fontId="32" numFmtId="166" xfId="0" applyAlignment="1" applyBorder="1" applyFont="1" applyNumberFormat="1">
      <alignment horizontal="center"/>
    </xf>
    <xf borderId="6" fillId="16" fontId="4" numFmtId="0" xfId="0" applyAlignment="1" applyBorder="1" applyFill="1" applyFont="1">
      <alignment horizontal="center" readingOrder="0" vertical="bottom"/>
    </xf>
    <xf borderId="6" fillId="17" fontId="4" numFmtId="0" xfId="0" applyAlignment="1" applyBorder="1" applyFill="1" applyFont="1">
      <alignment horizontal="center" readingOrder="0" vertical="bottom"/>
    </xf>
    <xf borderId="6" fillId="18" fontId="4" numFmtId="0" xfId="0" applyAlignment="1" applyBorder="1" applyFill="1" applyFont="1">
      <alignment horizontal="center" readingOrder="0" vertical="bottom"/>
    </xf>
    <xf borderId="6" fillId="11" fontId="4" numFmtId="0" xfId="0" applyAlignment="1" applyBorder="1" applyFont="1">
      <alignment horizontal="center" readingOrder="0" vertical="bottom"/>
    </xf>
    <xf borderId="0" fillId="2" fontId="12" numFmtId="0" xfId="0" applyAlignment="1" applyFont="1">
      <alignment horizontal="center" vertical="bottom"/>
    </xf>
    <xf borderId="8" fillId="3" fontId="31" numFmtId="0" xfId="0" applyAlignment="1" applyBorder="1" applyFont="1">
      <alignment horizontal="center" readingOrder="0"/>
    </xf>
    <xf borderId="26" fillId="3" fontId="3" numFmtId="0" xfId="0" applyAlignment="1" applyBorder="1" applyFont="1">
      <alignment readingOrder="0" shrinkToFit="0" vertical="bottom" wrapText="1"/>
    </xf>
    <xf borderId="26" fillId="3" fontId="1" numFmtId="0" xfId="0" applyAlignment="1" applyBorder="1" applyFont="1">
      <alignment vertical="bottom"/>
    </xf>
    <xf borderId="27" fillId="10" fontId="8" numFmtId="0" xfId="0" applyAlignment="1" applyBorder="1" applyFont="1">
      <alignment horizontal="center" shrinkToFit="0" vertical="bottom" wrapText="1"/>
    </xf>
    <xf borderId="28" fillId="10" fontId="8" numFmtId="0" xfId="0" applyAlignment="1" applyBorder="1" applyFont="1">
      <alignment horizontal="center" shrinkToFit="0" vertical="bottom" wrapText="1"/>
    </xf>
    <xf borderId="29" fillId="10" fontId="13" numFmtId="0" xfId="0" applyAlignment="1" applyBorder="1" applyFont="1">
      <alignment horizontal="center" shrinkToFit="0" vertical="bottom" wrapText="1"/>
    </xf>
    <xf borderId="26" fillId="3" fontId="33" numFmtId="0" xfId="0" applyAlignment="1" applyBorder="1" applyFont="1">
      <alignment vertical="bottom"/>
    </xf>
    <xf borderId="7" fillId="19" fontId="4" numFmtId="0" xfId="0" applyAlignment="1" applyBorder="1" applyFill="1" applyFont="1">
      <alignment horizontal="center" shrinkToFit="0" vertical="bottom" wrapText="1"/>
    </xf>
    <xf borderId="26" fillId="3" fontId="6" numFmtId="0" xfId="0" applyAlignment="1" applyBorder="1" applyFont="1">
      <alignment readingOrder="0" shrinkToFit="0" vertical="bottom" wrapText="0"/>
    </xf>
    <xf borderId="30" fillId="10" fontId="13" numFmtId="0" xfId="0" applyAlignment="1" applyBorder="1" applyFont="1">
      <alignment horizontal="center" vertical="bottom"/>
    </xf>
    <xf borderId="7" fillId="10" fontId="13" numFmtId="0" xfId="0" applyAlignment="1" applyBorder="1" applyFont="1">
      <alignment horizontal="center" vertical="bottom"/>
    </xf>
    <xf borderId="8" fillId="10" fontId="13" numFmtId="0" xfId="0" applyAlignment="1" applyBorder="1" applyFont="1">
      <alignment horizontal="center" vertical="bottom"/>
    </xf>
    <xf borderId="31" fillId="10" fontId="13" numFmtId="0" xfId="0" applyAlignment="1" applyBorder="1" applyFont="1">
      <alignment horizontal="center" vertical="bottom"/>
    </xf>
    <xf borderId="32" fillId="10" fontId="13" numFmtId="0" xfId="0" applyAlignment="1" applyBorder="1" applyFont="1">
      <alignment horizontal="center" vertical="bottom"/>
    </xf>
    <xf borderId="26" fillId="3" fontId="6" numFmtId="0" xfId="0" applyAlignment="1" applyBorder="1" applyFont="1">
      <alignment horizontal="center" vertical="bottom"/>
    </xf>
    <xf borderId="6" fillId="3" fontId="1" numFmtId="0" xfId="0" applyAlignment="1" applyBorder="1" applyFont="1">
      <alignment vertical="bottom"/>
    </xf>
    <xf borderId="33" fillId="3" fontId="1" numFmtId="0" xfId="0" applyAlignment="1" applyBorder="1" applyFont="1">
      <alignment vertical="bottom"/>
    </xf>
    <xf borderId="34" fillId="10" fontId="13" numFmtId="0" xfId="0" applyAlignment="1" applyBorder="1" applyFont="1">
      <alignment horizontal="center" vertical="bottom"/>
    </xf>
    <xf borderId="35" fillId="10" fontId="13" numFmtId="0" xfId="0" applyAlignment="1" applyBorder="1" applyFont="1">
      <alignment horizontal="center" vertical="bottom"/>
    </xf>
    <xf borderId="36" fillId="10" fontId="13" numFmtId="0" xfId="0" applyAlignment="1" applyBorder="1" applyFont="1">
      <alignment horizontal="center" vertical="bottom"/>
    </xf>
    <xf borderId="26" fillId="10" fontId="13" numFmtId="0" xfId="0" applyAlignment="1" applyBorder="1" applyFont="1">
      <alignment horizontal="center" vertical="bottom"/>
    </xf>
    <xf borderId="6" fillId="10" fontId="13" numFmtId="0" xfId="0" applyAlignment="1" applyBorder="1" applyFont="1">
      <alignment horizontal="center" vertical="bottom"/>
    </xf>
    <xf borderId="10" fillId="3" fontId="6" numFmtId="0" xfId="0" applyAlignment="1" applyBorder="1" applyFont="1">
      <alignment readingOrder="0" shrinkToFit="0" vertical="bottom" wrapText="0"/>
    </xf>
    <xf borderId="7" fillId="3" fontId="6" numFmtId="0" xfId="0" applyAlignment="1" applyBorder="1" applyFont="1">
      <alignment shrinkToFit="0" vertical="bottom" wrapText="0"/>
    </xf>
    <xf borderId="8" fillId="2" fontId="34" numFmtId="0" xfId="0" applyAlignment="1" applyBorder="1" applyFont="1">
      <alignment horizontal="center" vertical="bottom"/>
    </xf>
    <xf borderId="0" fillId="2" fontId="33" numFmtId="0" xfId="0" applyAlignment="1" applyFont="1">
      <alignment vertical="bottom"/>
    </xf>
    <xf borderId="10" fillId="3" fontId="6" numFmtId="0" xfId="0" applyAlignment="1" applyBorder="1" applyFont="1">
      <alignment shrinkToFit="0" vertical="bottom" wrapText="0"/>
    </xf>
    <xf borderId="6" fillId="2" fontId="8" numFmtId="0" xfId="0" applyAlignment="1" applyBorder="1" applyFont="1">
      <alignment horizontal="center" vertical="bottom"/>
    </xf>
    <xf borderId="0" fillId="2" fontId="35" numFmtId="0" xfId="0" applyAlignment="1" applyFont="1">
      <alignment vertical="bottom"/>
    </xf>
    <xf borderId="37" fillId="2" fontId="35" numFmtId="0" xfId="0" applyAlignment="1" applyBorder="1" applyFont="1">
      <alignment vertical="bottom"/>
    </xf>
    <xf borderId="37" fillId="2" fontId="36" numFmtId="0" xfId="0" applyBorder="1" applyFont="1"/>
    <xf borderId="0" fillId="2" fontId="37" numFmtId="0" xfId="0" applyAlignment="1" applyFont="1">
      <alignment readingOrder="0" shrinkToFit="0" vertical="bottom" wrapText="0"/>
    </xf>
    <xf borderId="7" fillId="2" fontId="8" numFmtId="0" xfId="0" applyAlignment="1" applyBorder="1" applyFont="1">
      <alignment horizontal="center" vertical="bottom"/>
    </xf>
    <xf borderId="38" fillId="2" fontId="35" numFmtId="0" xfId="0" applyAlignment="1" applyBorder="1" applyFont="1">
      <alignment vertical="bottom"/>
    </xf>
    <xf borderId="38" fillId="2" fontId="36" numFmtId="0" xfId="0" applyBorder="1" applyFont="1"/>
    <xf borderId="0" fillId="2" fontId="36" numFmtId="0" xfId="0" applyFont="1"/>
    <xf borderId="0" fillId="2" fontId="13" numFmtId="0" xfId="0" applyAlignment="1" applyFont="1">
      <alignment vertical="bottom"/>
    </xf>
    <xf borderId="0" fillId="2" fontId="35" numFmtId="0" xfId="0" applyAlignment="1" applyFont="1">
      <alignment shrinkToFit="0" vertical="bottom" wrapText="0"/>
    </xf>
    <xf borderId="0" fillId="2" fontId="13" numFmtId="0" xfId="0" applyAlignment="1" applyFont="1">
      <alignment shrinkToFit="0" vertical="bottom" wrapText="0"/>
    </xf>
    <xf borderId="0" fillId="2" fontId="6" numFmtId="0" xfId="0" applyAlignment="1" applyFont="1">
      <alignment vertical="bottom"/>
    </xf>
    <xf borderId="0" fillId="2" fontId="38" numFmtId="0" xfId="0" applyAlignment="1" applyFont="1">
      <alignment readingOrder="0" vertical="bottom"/>
    </xf>
    <xf borderId="7" fillId="3" fontId="6" numFmtId="0" xfId="0" applyAlignment="1" applyBorder="1" applyFont="1">
      <alignment readingOrder="0" shrinkToFit="0" vertical="bottom" wrapText="0"/>
    </xf>
    <xf borderId="0" fillId="2" fontId="36" numFmtId="0" xfId="0" applyFont="1"/>
    <xf borderId="0" fillId="2" fontId="39" numFmtId="0" xfId="0" applyAlignment="1" applyFont="1">
      <alignment readingOrder="0" shrinkToFit="0" vertical="bottom" wrapText="0"/>
    </xf>
    <xf borderId="0" fillId="2" fontId="40" numFmtId="0" xfId="0" applyAlignment="1" applyFont="1">
      <alignment readingOrder="0" vertical="bottom"/>
    </xf>
    <xf borderId="24" fillId="20" fontId="41" numFmtId="0" xfId="0" applyAlignment="1" applyBorder="1" applyFill="1" applyFont="1">
      <alignment horizontal="center" readingOrder="0" vertical="center"/>
    </xf>
    <xf borderId="5" fillId="0" fontId="16" numFmtId="0" xfId="0" applyBorder="1" applyFont="1"/>
    <xf borderId="0" fillId="21" fontId="42" numFmtId="0" xfId="0" applyAlignment="1" applyFill="1" applyFont="1">
      <alignment vertical="bottom"/>
    </xf>
    <xf borderId="0" fillId="0" fontId="42" numFmtId="0" xfId="0" applyAlignment="1" applyFont="1">
      <alignment vertical="bottom"/>
    </xf>
    <xf borderId="0" fillId="22" fontId="41" numFmtId="0" xfId="0" applyAlignment="1" applyFill="1" applyFont="1">
      <alignment horizontal="center" readingOrder="0" vertical="center"/>
    </xf>
    <xf borderId="0" fillId="23" fontId="42" numFmtId="0" xfId="0" applyAlignment="1" applyFill="1" applyFont="1">
      <alignment vertical="bottom"/>
    </xf>
    <xf borderId="0" fillId="24" fontId="41" numFmtId="0" xfId="0" applyAlignment="1" applyFill="1" applyFont="1">
      <alignment horizontal="center" readingOrder="0" vertical="center"/>
    </xf>
    <xf borderId="0" fillId="25" fontId="42" numFmtId="0" xfId="0" applyAlignment="1" applyFill="1" applyFont="1">
      <alignment vertical="bottom"/>
    </xf>
    <xf borderId="0" fillId="26" fontId="41" numFmtId="0" xfId="0" applyAlignment="1" applyFill="1" applyFont="1">
      <alignment horizontal="center" readingOrder="0" vertical="center"/>
    </xf>
    <xf borderId="0" fillId="27" fontId="42" numFmtId="0" xfId="0" applyAlignment="1" applyFill="1" applyFont="1">
      <alignment vertical="bottom"/>
    </xf>
    <xf borderId="0" fillId="28" fontId="41" numFmtId="0" xfId="0" applyAlignment="1" applyFill="1" applyFont="1">
      <alignment horizontal="center" readingOrder="0" vertical="center"/>
    </xf>
    <xf borderId="8" fillId="3" fontId="3" numFmtId="49" xfId="0" applyAlignment="1" applyBorder="1" applyFont="1" applyNumberFormat="1">
      <alignment horizontal="center" readingOrder="0" vertical="bottom"/>
    </xf>
    <xf borderId="0" fillId="29" fontId="1" numFmtId="0" xfId="0" applyAlignment="1" applyFill="1" applyFont="1">
      <alignment vertical="bottom"/>
    </xf>
    <xf borderId="8" fillId="3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 vertical="bottom"/>
    </xf>
    <xf borderId="8" fillId="3" fontId="3" numFmtId="0" xfId="0" applyAlignment="1" applyBorder="1" applyFont="1">
      <alignment horizontal="center" readingOrder="0" vertical="bottom"/>
    </xf>
    <xf borderId="3" fillId="3" fontId="43" numFmtId="0" xfId="0" applyAlignment="1" applyBorder="1" applyFont="1">
      <alignment horizontal="center" readingOrder="0" vertical="bottom"/>
    </xf>
    <xf borderId="5" fillId="0" fontId="42" numFmtId="0" xfId="0" applyAlignment="1" applyBorder="1" applyFont="1">
      <alignment vertical="bottom"/>
    </xf>
    <xf borderId="8" fillId="3" fontId="3" numFmtId="0" xfId="0" applyAlignment="1" applyBorder="1" applyFont="1">
      <alignment horizontal="center" vertical="bottom"/>
    </xf>
    <xf borderId="6" fillId="3" fontId="43" numFmtId="0" xfId="0" applyAlignment="1" applyBorder="1" applyFont="1">
      <alignment horizontal="center" vertical="bottom"/>
    </xf>
    <xf borderId="4" fillId="15" fontId="9" numFmtId="0" xfId="0" applyAlignment="1" applyBorder="1" applyFont="1">
      <alignment readingOrder="0" vertical="bottom"/>
    </xf>
    <xf borderId="6" fillId="15" fontId="9" numFmtId="0" xfId="0" applyAlignment="1" applyBorder="1" applyFont="1">
      <alignment readingOrder="0" vertical="bottom"/>
    </xf>
    <xf borderId="0" fillId="15" fontId="42" numFmtId="0" xfId="0" applyAlignment="1" applyFont="1">
      <alignment vertical="bottom"/>
    </xf>
    <xf borderId="6" fillId="16" fontId="9" numFmtId="0" xfId="0" applyAlignment="1" applyBorder="1" applyFont="1">
      <alignment readingOrder="0" vertical="bottom"/>
    </xf>
    <xf borderId="0" fillId="30" fontId="42" numFmtId="0" xfId="0" applyAlignment="1" applyFill="1" applyFont="1">
      <alignment vertical="bottom"/>
    </xf>
    <xf borderId="6" fillId="17" fontId="9" numFmtId="0" xfId="0" applyAlignment="1" applyBorder="1" applyFont="1">
      <alignment readingOrder="0" vertical="bottom"/>
    </xf>
    <xf borderId="0" fillId="31" fontId="42" numFmtId="0" xfId="0" applyAlignment="1" applyFill="1" applyFont="1">
      <alignment vertical="bottom"/>
    </xf>
    <xf borderId="6" fillId="18" fontId="9" numFmtId="0" xfId="0" applyAlignment="1" applyBorder="1" applyFont="1">
      <alignment readingOrder="0" vertical="bottom"/>
    </xf>
    <xf borderId="0" fillId="13" fontId="42" numFmtId="0" xfId="0" applyAlignment="1" applyFont="1">
      <alignment vertical="bottom"/>
    </xf>
    <xf borderId="6" fillId="11" fontId="9" numFmtId="0" xfId="0" applyAlignment="1" applyBorder="1" applyFont="1">
      <alignment readingOrder="0" vertical="bottom"/>
    </xf>
    <xf borderId="0" fillId="11" fontId="1" numFmtId="0" xfId="0" applyAlignment="1" applyFont="1">
      <alignment vertical="bottom"/>
    </xf>
    <xf borderId="8" fillId="15" fontId="8" numFmtId="0" xfId="0" applyAlignment="1" applyBorder="1" applyFont="1">
      <alignment horizontal="center" readingOrder="0" vertical="bottom"/>
    </xf>
    <xf borderId="8" fillId="15" fontId="4" numFmtId="0" xfId="0" applyAlignment="1" applyBorder="1" applyFont="1">
      <alignment horizontal="center" vertical="bottom"/>
    </xf>
    <xf borderId="8" fillId="15" fontId="4" numFmtId="166" xfId="0" applyAlignment="1" applyBorder="1" applyFont="1" applyNumberFormat="1">
      <alignment horizontal="center" vertical="bottom"/>
    </xf>
    <xf borderId="6" fillId="15" fontId="44" numFmtId="0" xfId="0" applyAlignment="1" applyBorder="1" applyFont="1">
      <alignment horizontal="center" vertical="bottom"/>
    </xf>
    <xf borderId="4" fillId="15" fontId="4" numFmtId="0" xfId="0" applyAlignment="1" applyBorder="1" applyFont="1">
      <alignment horizontal="right" vertical="bottom"/>
    </xf>
    <xf borderId="6" fillId="15" fontId="4" numFmtId="0" xfId="0" applyAlignment="1" applyBorder="1" applyFont="1">
      <alignment vertical="bottom"/>
    </xf>
    <xf borderId="6" fillId="15" fontId="4" numFmtId="0" xfId="0" applyAlignment="1" applyBorder="1" applyFont="1">
      <alignment horizontal="right" vertical="bottom"/>
    </xf>
    <xf borderId="0" fillId="15" fontId="4" numFmtId="0" xfId="0" applyAlignment="1" applyFont="1">
      <alignment horizontal="right" vertical="bottom"/>
    </xf>
    <xf borderId="5" fillId="0" fontId="4" numFmtId="0" xfId="0" applyAlignment="1" applyBorder="1" applyFont="1">
      <alignment vertical="bottom"/>
    </xf>
    <xf borderId="6" fillId="16" fontId="4" numFmtId="0" xfId="0" applyAlignment="1" applyBorder="1" applyFont="1">
      <alignment horizontal="right" vertical="bottom"/>
    </xf>
    <xf borderId="6" fillId="16" fontId="4" numFmtId="0" xfId="0" applyAlignment="1" applyBorder="1" applyFont="1">
      <alignment vertical="bottom"/>
    </xf>
    <xf borderId="0" fillId="30" fontId="4" numFmtId="0" xfId="0" applyAlignment="1" applyFont="1">
      <alignment horizontal="right" vertical="bottom"/>
    </xf>
    <xf borderId="6" fillId="17" fontId="4" numFmtId="0" xfId="0" applyAlignment="1" applyBorder="1" applyFont="1">
      <alignment horizontal="right" vertical="bottom"/>
    </xf>
    <xf borderId="6" fillId="17" fontId="4" numFmtId="0" xfId="0" applyAlignment="1" applyBorder="1" applyFont="1">
      <alignment vertical="bottom"/>
    </xf>
    <xf borderId="0" fillId="31" fontId="4" numFmtId="0" xfId="0" applyAlignment="1" applyFont="1">
      <alignment horizontal="right" vertical="bottom"/>
    </xf>
    <xf borderId="6" fillId="18" fontId="4" numFmtId="0" xfId="0" applyAlignment="1" applyBorder="1" applyFont="1">
      <alignment horizontal="right" vertical="bottom"/>
    </xf>
    <xf borderId="6" fillId="18" fontId="4" numFmtId="0" xfId="0" applyAlignment="1" applyBorder="1" applyFont="1">
      <alignment vertical="bottom"/>
    </xf>
    <xf borderId="0" fillId="13" fontId="4" numFmtId="0" xfId="0" applyAlignment="1" applyFont="1">
      <alignment horizontal="right" vertical="bottom"/>
    </xf>
    <xf borderId="6" fillId="11" fontId="4" numFmtId="0" xfId="0" applyAlignment="1" applyBorder="1" applyFont="1">
      <alignment horizontal="right" vertical="bottom"/>
    </xf>
    <xf borderId="0" fillId="0" fontId="45" numFmtId="0" xfId="0" applyFont="1"/>
    <xf borderId="6" fillId="11" fontId="4" numFmtId="0" xfId="0" applyAlignment="1" applyBorder="1" applyFont="1">
      <alignment vertical="bottom"/>
    </xf>
    <xf borderId="0" fillId="11" fontId="4" numFmtId="0" xfId="0" applyAlignment="1" applyFont="1">
      <alignment horizontal="right" vertical="bottom"/>
    </xf>
    <xf borderId="8" fillId="16" fontId="8" numFmtId="0" xfId="0" applyAlignment="1" applyBorder="1" applyFont="1">
      <alignment horizontal="center" readingOrder="0" vertical="bottom"/>
    </xf>
    <xf borderId="8" fillId="16" fontId="4" numFmtId="0" xfId="0" applyAlignment="1" applyBorder="1" applyFont="1">
      <alignment horizontal="center" vertical="bottom"/>
    </xf>
    <xf borderId="8" fillId="16" fontId="4" numFmtId="166" xfId="0" applyAlignment="1" applyBorder="1" applyFont="1" applyNumberFormat="1">
      <alignment horizontal="center" vertical="bottom"/>
    </xf>
    <xf borderId="6" fillId="30" fontId="44" numFmtId="0" xfId="0" applyAlignment="1" applyBorder="1" applyFont="1">
      <alignment horizontal="center" vertical="bottom"/>
    </xf>
    <xf borderId="8" fillId="17" fontId="8" numFmtId="0" xfId="0" applyAlignment="1" applyBorder="1" applyFont="1">
      <alignment horizontal="center" readingOrder="0" vertical="bottom"/>
    </xf>
    <xf borderId="8" fillId="17" fontId="4" numFmtId="0" xfId="0" applyAlignment="1" applyBorder="1" applyFont="1">
      <alignment horizontal="center" vertical="bottom"/>
    </xf>
    <xf borderId="8" fillId="17" fontId="4" numFmtId="166" xfId="0" applyAlignment="1" applyBorder="1" applyFont="1" applyNumberFormat="1">
      <alignment horizontal="center" vertical="bottom"/>
    </xf>
    <xf borderId="6" fillId="31" fontId="44" numFmtId="0" xfId="0" applyAlignment="1" applyBorder="1" applyFont="1">
      <alignment horizontal="center" vertical="bottom"/>
    </xf>
    <xf borderId="8" fillId="18" fontId="8" numFmtId="0" xfId="0" applyAlignment="1" applyBorder="1" applyFont="1">
      <alignment horizontal="center" readingOrder="0" vertical="bottom"/>
    </xf>
    <xf borderId="8" fillId="18" fontId="4" numFmtId="0" xfId="0" applyAlignment="1" applyBorder="1" applyFont="1">
      <alignment horizontal="center" vertical="bottom"/>
    </xf>
    <xf borderId="8" fillId="18" fontId="4" numFmtId="166" xfId="0" applyAlignment="1" applyBorder="1" applyFont="1" applyNumberFormat="1">
      <alignment horizontal="center" vertical="bottom"/>
    </xf>
    <xf borderId="6" fillId="13" fontId="44" numFmtId="0" xfId="0" applyAlignment="1" applyBorder="1" applyFont="1">
      <alignment horizontal="center" vertical="bottom"/>
    </xf>
    <xf borderId="8" fillId="11" fontId="8" numFmtId="0" xfId="0" applyAlignment="1" applyBorder="1" applyFont="1">
      <alignment horizontal="center" readingOrder="0" vertical="bottom"/>
    </xf>
    <xf borderId="8" fillId="11" fontId="4" numFmtId="0" xfId="0" applyAlignment="1" applyBorder="1" applyFont="1">
      <alignment horizontal="center" vertical="bottom"/>
    </xf>
    <xf borderId="8" fillId="11" fontId="4" numFmtId="166" xfId="0" applyAlignment="1" applyBorder="1" applyFont="1" applyNumberFormat="1">
      <alignment horizontal="center" vertical="bottom"/>
    </xf>
    <xf borderId="6" fillId="11" fontId="44" numFmtId="0" xfId="0" applyAlignment="1" applyBorder="1" applyFont="1">
      <alignment horizontal="center" vertical="bottom"/>
    </xf>
    <xf borderId="0" fillId="0" fontId="4" numFmtId="0" xfId="0" applyAlignment="1" applyFont="1">
      <alignment readingOrder="0" shrinkToFit="0" vertical="bottom" wrapText="0"/>
    </xf>
    <xf borderId="23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3" fillId="3" fontId="46" numFmtId="0" xfId="0" applyAlignment="1" applyBorder="1" applyFont="1">
      <alignment horizontal="center" readingOrder="0" vertical="bottom"/>
    </xf>
    <xf borderId="0" fillId="0" fontId="4" numFmtId="0" xfId="0" applyFont="1"/>
    <xf borderId="6" fillId="3" fontId="46" numFmtId="0" xfId="0" applyAlignment="1" applyBorder="1" applyFont="1">
      <alignment horizontal="center" readingOrder="0" vertical="bottom"/>
    </xf>
    <xf borderId="6" fillId="3" fontId="3" numFmtId="0" xfId="0" applyAlignment="1" applyBorder="1" applyFont="1">
      <alignment horizontal="center" readingOrder="0" vertical="bottom"/>
    </xf>
    <xf borderId="8" fillId="3" fontId="3" numFmtId="0" xfId="0" applyAlignment="1" applyBorder="1" applyFont="1">
      <alignment vertical="bottom"/>
    </xf>
    <xf borderId="6" fillId="3" fontId="43" numFmtId="0" xfId="0" applyAlignment="1" applyBorder="1" applyFont="1">
      <alignment vertical="bottom"/>
    </xf>
    <xf borderId="39" fillId="3" fontId="3" numFmtId="0" xfId="0" applyAlignment="1" applyBorder="1" applyFont="1">
      <alignment horizontal="center" vertical="bottom"/>
    </xf>
    <xf borderId="0" fillId="2" fontId="6" numFmtId="0" xfId="0" applyFont="1"/>
    <xf borderId="0" fillId="2" fontId="47" numFmtId="0" xfId="0" applyFont="1"/>
    <xf borderId="8" fillId="15" fontId="4" numFmtId="0" xfId="0" applyAlignment="1" applyBorder="1" applyFont="1">
      <alignment horizontal="right" vertical="bottom"/>
    </xf>
    <xf borderId="8" fillId="15" fontId="4" numFmtId="0" xfId="0" applyAlignment="1" applyBorder="1" applyFont="1">
      <alignment vertical="bottom"/>
    </xf>
    <xf borderId="8" fillId="16" fontId="4" numFmtId="0" xfId="0" applyAlignment="1" applyBorder="1" applyFont="1">
      <alignment horizontal="right" vertical="bottom"/>
    </xf>
    <xf borderId="8" fillId="16" fontId="4" numFmtId="0" xfId="0" applyAlignment="1" applyBorder="1" applyFont="1">
      <alignment vertical="bottom"/>
    </xf>
    <xf borderId="8" fillId="17" fontId="4" numFmtId="0" xfId="0" applyAlignment="1" applyBorder="1" applyFont="1">
      <alignment horizontal="right" vertical="bottom"/>
    </xf>
    <xf borderId="8" fillId="17" fontId="4" numFmtId="0" xfId="0" applyAlignment="1" applyBorder="1" applyFont="1">
      <alignment vertical="bottom"/>
    </xf>
    <xf borderId="8" fillId="18" fontId="4" numFmtId="0" xfId="0" applyAlignment="1" applyBorder="1" applyFont="1">
      <alignment horizontal="right" vertical="bottom"/>
    </xf>
    <xf borderId="8" fillId="18" fontId="4" numFmtId="0" xfId="0" applyAlignment="1" applyBorder="1" applyFont="1">
      <alignment vertical="bottom"/>
    </xf>
    <xf borderId="8" fillId="11" fontId="4" numFmtId="0" xfId="0" applyAlignment="1" applyBorder="1" applyFont="1">
      <alignment horizontal="right" vertical="bottom"/>
    </xf>
    <xf borderId="8" fillId="11" fontId="4" numFmtId="0" xfId="0" applyAlignment="1" applyBorder="1" applyFont="1">
      <alignment vertical="bottom"/>
    </xf>
    <xf borderId="8" fillId="17" fontId="4" numFmtId="0" xfId="0" applyAlignment="1" applyBorder="1" applyFont="1">
      <alignment horizontal="right"/>
    </xf>
    <xf borderId="8" fillId="15" fontId="4" numFmtId="0" xfId="0" applyAlignment="1" applyBorder="1" applyFont="1">
      <alignment horizontal="right"/>
    </xf>
    <xf borderId="8" fillId="16" fontId="4" numFmtId="0" xfId="0" applyAlignment="1" applyBorder="1" applyFont="1">
      <alignment horizontal="right"/>
    </xf>
    <xf borderId="8" fillId="18" fontId="4" numFmtId="0" xfId="0" applyAlignment="1" applyBorder="1" applyFont="1">
      <alignment horizontal="right"/>
    </xf>
    <xf borderId="8" fillId="11" fontId="4" numFmtId="0" xfId="0" applyAlignment="1" applyBorder="1" applyFont="1">
      <alignment horizontal="right"/>
    </xf>
    <xf borderId="8" fillId="15" fontId="4" numFmtId="0" xfId="0" applyAlignment="1" applyBorder="1" applyFont="1">
      <alignment horizontal="right"/>
    </xf>
    <xf borderId="0" fillId="32" fontId="4" numFmtId="0" xfId="0" applyAlignment="1" applyFill="1" applyFont="1">
      <alignment vertical="bottom"/>
    </xf>
    <xf borderId="0" fillId="2" fontId="4" numFmtId="0" xfId="0" applyAlignment="1" applyFont="1">
      <alignment horizontal="center" vertical="bottom"/>
    </xf>
    <xf borderId="0" fillId="0" fontId="4" numFmtId="0" xfId="0" applyAlignment="1" applyFont="1">
      <alignment horizontal="left" readingOrder="0" shrinkToFit="0" wrapText="0"/>
    </xf>
    <xf borderId="0" fillId="32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33" fontId="1" numFmtId="0" xfId="0" applyAlignment="1" applyFill="1" applyFont="1">
      <alignment shrinkToFit="0" vertical="bottom" wrapText="1"/>
    </xf>
    <xf borderId="0" fillId="0" fontId="48" numFmtId="0" xfId="0" applyAlignment="1" applyFont="1">
      <alignment readingOrder="0" shrinkToFit="0" vertical="bottom" wrapText="1"/>
    </xf>
    <xf borderId="0" fillId="2" fontId="49" numFmtId="0" xfId="0" applyAlignment="1" applyFont="1">
      <alignment shrinkToFit="0" vertical="bottom" wrapText="1"/>
    </xf>
    <xf borderId="0" fillId="0" fontId="50" numFmtId="0" xfId="0" applyAlignment="1" applyFont="1">
      <alignment vertical="bottom"/>
    </xf>
    <xf borderId="0" fillId="2" fontId="51" numFmtId="0" xfId="0" applyAlignment="1" applyFont="1">
      <alignment readingOrder="0" shrinkToFit="0" vertical="bottom" wrapText="1"/>
    </xf>
    <xf borderId="0" fillId="0" fontId="52" numFmtId="0" xfId="0" applyAlignment="1" applyFont="1">
      <alignment shrinkToFit="0" vertical="bottom" wrapText="1"/>
    </xf>
    <xf borderId="0" fillId="34" fontId="1" numFmtId="0" xfId="0" applyAlignment="1" applyFill="1" applyFont="1">
      <alignment shrinkToFit="0" vertical="bottom" wrapText="1"/>
    </xf>
    <xf borderId="0" fillId="34" fontId="1" numFmtId="0" xfId="0" applyAlignment="1" applyFont="1">
      <alignment vertical="bottom"/>
    </xf>
    <xf borderId="0" fillId="2" fontId="53" numFmtId="0" xfId="0" applyAlignment="1" applyFont="1">
      <alignment vertical="bottom"/>
    </xf>
    <xf borderId="0" fillId="11" fontId="1" numFmtId="0" xfId="0" applyAlignment="1" applyFont="1">
      <alignment shrinkToFit="0" vertical="bottom" wrapText="1"/>
    </xf>
    <xf quotePrefix="1" borderId="0" fillId="11" fontId="1" numFmtId="0" xfId="0" applyAlignment="1" applyFont="1">
      <alignment shrinkToFit="0" vertical="bottom" wrapText="1"/>
    </xf>
    <xf quotePrefix="1" borderId="0" fillId="0" fontId="54" numFmtId="0" xfId="0" applyAlignment="1" applyFont="1">
      <alignment shrinkToFit="0" vertical="bottom" wrapText="1"/>
    </xf>
    <xf borderId="0" fillId="18" fontId="1" numFmtId="0" xfId="0" applyAlignment="1" applyFont="1">
      <alignment shrinkToFit="0" vertical="bottom" wrapText="1"/>
    </xf>
    <xf borderId="0" fillId="29" fontId="1" numFmtId="0" xfId="0" applyAlignment="1" applyFont="1">
      <alignment shrinkToFit="0" vertical="bottom" wrapText="1"/>
    </xf>
    <xf borderId="0" fillId="2" fontId="55" numFmtId="0" xfId="0" applyAlignment="1" applyFont="1">
      <alignment readingOrder="0" vertical="bottom"/>
    </xf>
    <xf borderId="0" fillId="0" fontId="14" numFmtId="10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22" numFmtId="0" xfId="0" applyAlignment="1" applyFont="1">
      <alignment horizontal="right" vertical="bottom"/>
    </xf>
    <xf borderId="8" fillId="0" fontId="4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2" numFmtId="10" xfId="0" applyAlignment="1" applyFont="1" applyNumberFormat="1">
      <alignment vertical="bottom"/>
    </xf>
    <xf borderId="0" fillId="0" fontId="21" numFmtId="0" xfId="0" applyFont="1"/>
    <xf borderId="0" fillId="0" fontId="22" numFmtId="0" xfId="0" applyAlignment="1" applyFont="1">
      <alignment vertical="bottom"/>
    </xf>
    <xf borderId="8" fillId="0" fontId="4" numFmtId="167" xfId="0" applyAlignment="1" applyBorder="1" applyFont="1" applyNumberFormat="1">
      <alignment horizontal="center" vertical="bottom"/>
    </xf>
    <xf borderId="0" fillId="0" fontId="1" numFmtId="167" xfId="0" applyAlignment="1" applyFont="1" applyNumberFormat="1">
      <alignment horizontal="right" vertical="bottom"/>
    </xf>
    <xf borderId="0" fillId="2" fontId="32" numFmtId="0" xfId="0" applyAlignment="1" applyFont="1">
      <alignment vertical="bottom"/>
    </xf>
    <xf borderId="22" fillId="0" fontId="1" numFmtId="0" xfId="0" applyAlignment="1" applyBorder="1" applyFont="1">
      <alignment vertical="bottom"/>
    </xf>
    <xf borderId="24" fillId="0" fontId="1" numFmtId="0" xfId="0" applyAlignment="1" applyBorder="1" applyFont="1">
      <alignment vertical="bottom"/>
    </xf>
    <xf borderId="24" fillId="0" fontId="1" numFmtId="0" xfId="0" applyAlignment="1" applyBorder="1" applyFont="1">
      <alignment readingOrder="0" vertical="bottom"/>
    </xf>
    <xf borderId="0" fillId="0" fontId="1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horizontal="center" shrinkToFit="0" vertical="bottom" wrapText="1"/>
    </xf>
    <xf borderId="0" fillId="0" fontId="4" numFmtId="167" xfId="0" applyAlignment="1" applyFont="1" applyNumberFormat="1">
      <alignment horizontal="center" vertical="bottom"/>
    </xf>
  </cellXfs>
  <cellStyles count="1">
    <cellStyle xfId="0" name="Normal" builtinId="0"/>
  </cellStyles>
  <dxfs count="2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56D9D5"/>
          <bgColor rgb="FF56D9D5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color rgb="FF000000"/>
      </font>
      <fill>
        <patternFill patternType="solid">
          <fgColor rgb="FFFFD966"/>
          <bgColor rgb="FFFFD966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FEF2CB"/>
          <bgColor rgb="FFFEF2CB"/>
        </patternFill>
      </fill>
      <border/>
    </dxf>
    <dxf>
      <font>
        <color rgb="FF000000"/>
      </font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AEB"/>
          <bgColor rgb="FFFFFAE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A12929"/>
      </font>
      <fill>
        <patternFill patternType="solid">
          <fgColor rgb="FFF9CB9C"/>
          <bgColor rgb="FFF9CB9C"/>
        </patternFill>
      </fill>
      <border/>
    </dxf>
    <dxf>
      <font>
        <b/>
        <color rgb="FF990000"/>
      </font>
      <fill>
        <patternFill patternType="solid">
          <fgColor rgb="FFB4A7D6"/>
          <bgColor rgb="FFB4A7D6"/>
        </patternFill>
      </fill>
      <border/>
    </dxf>
    <dxf>
      <font>
        <b/>
        <color rgb="FF352A60"/>
      </font>
      <fill>
        <patternFill patternType="solid">
          <fgColor rgb="FF56D9D5"/>
          <bgColor rgb="FF56D9D5"/>
        </patternFill>
      </fill>
      <border/>
    </dxf>
    <dxf>
      <font>
        <b/>
        <color rgb="FF0C343D"/>
      </font>
      <fill>
        <patternFill patternType="solid">
          <fgColor rgb="FFB6D7A8"/>
          <bgColor rgb="FFB6D7A8"/>
        </patternFill>
      </fill>
      <border/>
    </dxf>
    <dxf>
      <font>
        <b/>
        <color rgb="FF000000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DZ1y71E3DwwmgV43534n1GEgck-GMDnV7im2mbaHCWE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392" Type="http://schemas.openxmlformats.org/officeDocument/2006/relationships/hyperlink" Target="https://sealeddeck.tech/Bp1g21Nmjg" TargetMode="External"/><Relationship Id="rId391" Type="http://schemas.openxmlformats.org/officeDocument/2006/relationships/hyperlink" Target="https://sealeddeck.tech/8AmpV7MxR5" TargetMode="External"/><Relationship Id="rId390" Type="http://schemas.openxmlformats.org/officeDocument/2006/relationships/hyperlink" Target="https://sealeddeck.tech/qtFGY2af2X" TargetMode="External"/><Relationship Id="rId1" Type="http://schemas.openxmlformats.org/officeDocument/2006/relationships/hyperlink" Target="https://sealeddeck.tech/QpBsHbMEjh" TargetMode="External"/><Relationship Id="rId2" Type="http://schemas.openxmlformats.org/officeDocument/2006/relationships/hyperlink" Target="https://sealeddeck.tech/YkRYThcUrm" TargetMode="External"/><Relationship Id="rId3" Type="http://schemas.openxmlformats.org/officeDocument/2006/relationships/hyperlink" Target="https://sealeddeck.tech/rdPVUNkpbD" TargetMode="External"/><Relationship Id="rId4" Type="http://schemas.openxmlformats.org/officeDocument/2006/relationships/hyperlink" Target="https://sealeddeck.tech/pgiMym2Tus" TargetMode="External"/><Relationship Id="rId9" Type="http://schemas.openxmlformats.org/officeDocument/2006/relationships/hyperlink" Target="https://sealeddeck.tech/Pm5iC8Ej5A" TargetMode="External"/><Relationship Id="rId385" Type="http://schemas.openxmlformats.org/officeDocument/2006/relationships/hyperlink" Target="https://sealeddeck.tech/bqwAkCRawU" TargetMode="External"/><Relationship Id="rId384" Type="http://schemas.openxmlformats.org/officeDocument/2006/relationships/hyperlink" Target="https://sealeddeck.tech/8B8QctxeWQ" TargetMode="External"/><Relationship Id="rId383" Type="http://schemas.openxmlformats.org/officeDocument/2006/relationships/hyperlink" Target="https://sealeddeck.tech/kgrgz8oqTy" TargetMode="External"/><Relationship Id="rId382" Type="http://schemas.openxmlformats.org/officeDocument/2006/relationships/hyperlink" Target="https://sealeddeck.tech/HNGNgvvDoK" TargetMode="External"/><Relationship Id="rId5" Type="http://schemas.openxmlformats.org/officeDocument/2006/relationships/hyperlink" Target="https://sealeddeck.tech/Xq8K25BTiz" TargetMode="External"/><Relationship Id="rId389" Type="http://schemas.openxmlformats.org/officeDocument/2006/relationships/hyperlink" Target="https://sealeddeck.tech/gE9ysk2WHx" TargetMode="External"/><Relationship Id="rId6" Type="http://schemas.openxmlformats.org/officeDocument/2006/relationships/hyperlink" Target="https://sealeddeck.tech/yEV86FN7dG" TargetMode="External"/><Relationship Id="rId388" Type="http://schemas.openxmlformats.org/officeDocument/2006/relationships/hyperlink" Target="https://sealeddeck.tech/iPd2GrSM7K" TargetMode="External"/><Relationship Id="rId7" Type="http://schemas.openxmlformats.org/officeDocument/2006/relationships/hyperlink" Target="https://sealeddeck.tech/9A1fvGc1So" TargetMode="External"/><Relationship Id="rId387" Type="http://schemas.openxmlformats.org/officeDocument/2006/relationships/hyperlink" Target="https://sealeddeck.tech/17SM7ZtQh9" TargetMode="External"/><Relationship Id="rId8" Type="http://schemas.openxmlformats.org/officeDocument/2006/relationships/hyperlink" Target="https://sealeddeck.tech/PuMquHto1a" TargetMode="External"/><Relationship Id="rId386" Type="http://schemas.openxmlformats.org/officeDocument/2006/relationships/hyperlink" Target="https://sealeddeck.tech/rmzSMGbznf" TargetMode="External"/><Relationship Id="rId381" Type="http://schemas.openxmlformats.org/officeDocument/2006/relationships/hyperlink" Target="https://sealeddeck.tech/EZKHsiGqna" TargetMode="External"/><Relationship Id="rId380" Type="http://schemas.openxmlformats.org/officeDocument/2006/relationships/hyperlink" Target="https://sealeddeck.tech/JBKrQkW7iZ" TargetMode="External"/><Relationship Id="rId379" Type="http://schemas.openxmlformats.org/officeDocument/2006/relationships/hyperlink" Target="https://sealeddeck.tech/iYu9TPmZNX" TargetMode="External"/><Relationship Id="rId374" Type="http://schemas.openxmlformats.org/officeDocument/2006/relationships/hyperlink" Target="https://sealeddeck.tech/PuP8DwJiwk" TargetMode="External"/><Relationship Id="rId373" Type="http://schemas.openxmlformats.org/officeDocument/2006/relationships/hyperlink" Target="https://sealeddeck.tech/rfA9wJiWUQ" TargetMode="External"/><Relationship Id="rId372" Type="http://schemas.openxmlformats.org/officeDocument/2006/relationships/hyperlink" Target="https://sealeddeck.tech/HV6MzR7nTM" TargetMode="External"/><Relationship Id="rId371" Type="http://schemas.openxmlformats.org/officeDocument/2006/relationships/hyperlink" Target="https://sealeddeck.tech/HWYDtLH7JM" TargetMode="External"/><Relationship Id="rId378" Type="http://schemas.openxmlformats.org/officeDocument/2006/relationships/hyperlink" Target="https://sealeddeck.tech/AfK3nGKpCN" TargetMode="External"/><Relationship Id="rId377" Type="http://schemas.openxmlformats.org/officeDocument/2006/relationships/hyperlink" Target="https://sealeddeck.tech/XLFiG1yMnu" TargetMode="External"/><Relationship Id="rId376" Type="http://schemas.openxmlformats.org/officeDocument/2006/relationships/hyperlink" Target="https://sealeddeck.tech/Rsh64CNKYa" TargetMode="External"/><Relationship Id="rId375" Type="http://schemas.openxmlformats.org/officeDocument/2006/relationships/hyperlink" Target="https://sealeddeck.tech/EeP4ESc5ip" TargetMode="External"/><Relationship Id="rId396" Type="http://schemas.openxmlformats.org/officeDocument/2006/relationships/hyperlink" Target="https://sealeddeck.tech/tLqLsaSmjM" TargetMode="External"/><Relationship Id="rId395" Type="http://schemas.openxmlformats.org/officeDocument/2006/relationships/hyperlink" Target="https://sealeddeck.tech/tR9YUrLrQ7" TargetMode="External"/><Relationship Id="rId394" Type="http://schemas.openxmlformats.org/officeDocument/2006/relationships/hyperlink" Target="https://sealeddeck.tech/yyCpdwtzLZ" TargetMode="External"/><Relationship Id="rId393" Type="http://schemas.openxmlformats.org/officeDocument/2006/relationships/hyperlink" Target="https://sealeddeck.tech/yt9BS23zKw" TargetMode="External"/><Relationship Id="rId399" Type="http://schemas.openxmlformats.org/officeDocument/2006/relationships/hyperlink" Target="https://sealeddeck.tech/cuwe2DTVUy" TargetMode="External"/><Relationship Id="rId398" Type="http://schemas.openxmlformats.org/officeDocument/2006/relationships/hyperlink" Target="https://sealeddeck.tech/MC1scCyXsb" TargetMode="External"/><Relationship Id="rId397" Type="http://schemas.openxmlformats.org/officeDocument/2006/relationships/hyperlink" Target="https://sealeddeck.tech/4aMgnhxYL6" TargetMode="External"/><Relationship Id="rId1730" Type="http://schemas.openxmlformats.org/officeDocument/2006/relationships/hyperlink" Target="https://sealeddeck.tech/2k5o676Eqx" TargetMode="External"/><Relationship Id="rId1731" Type="http://schemas.openxmlformats.org/officeDocument/2006/relationships/hyperlink" Target="https://sealeddeck.tech/bgSRYzLm7V" TargetMode="External"/><Relationship Id="rId1732" Type="http://schemas.openxmlformats.org/officeDocument/2006/relationships/hyperlink" Target="https://sealeddeck.tech/UZ9EarfpuX" TargetMode="External"/><Relationship Id="rId1733" Type="http://schemas.openxmlformats.org/officeDocument/2006/relationships/hyperlink" Target="https://sealeddeck.tech/p7KazdfBUd" TargetMode="External"/><Relationship Id="rId1734" Type="http://schemas.openxmlformats.org/officeDocument/2006/relationships/hyperlink" Target="https://sealeddeck.tech/wJhzpqawLF" TargetMode="External"/><Relationship Id="rId1735" Type="http://schemas.openxmlformats.org/officeDocument/2006/relationships/hyperlink" Target="https://sealeddeck.tech/RbJHW8msM6" TargetMode="External"/><Relationship Id="rId1736" Type="http://schemas.openxmlformats.org/officeDocument/2006/relationships/hyperlink" Target="https://sealeddeck.tech/hKeWunUoUV" TargetMode="External"/><Relationship Id="rId1737" Type="http://schemas.openxmlformats.org/officeDocument/2006/relationships/hyperlink" Target="https://sealeddeck.tech/V1jzYNWZ4n" TargetMode="External"/><Relationship Id="rId1738" Type="http://schemas.openxmlformats.org/officeDocument/2006/relationships/hyperlink" Target="https://sealeddeck.tech/cb6dZ3BAxJ" TargetMode="External"/><Relationship Id="rId1739" Type="http://schemas.openxmlformats.org/officeDocument/2006/relationships/hyperlink" Target="https://sealeddeck.tech/GqPzmQBR1k" TargetMode="External"/><Relationship Id="rId1720" Type="http://schemas.openxmlformats.org/officeDocument/2006/relationships/hyperlink" Target="https://sealeddeck.tech/WcKo3onfw6" TargetMode="External"/><Relationship Id="rId1721" Type="http://schemas.openxmlformats.org/officeDocument/2006/relationships/hyperlink" Target="https://sealeddeck.tech/AN5q7dEPZh" TargetMode="External"/><Relationship Id="rId1722" Type="http://schemas.openxmlformats.org/officeDocument/2006/relationships/hyperlink" Target="https://sealeddeck.tech/nvW7zLSRWK" TargetMode="External"/><Relationship Id="rId1723" Type="http://schemas.openxmlformats.org/officeDocument/2006/relationships/hyperlink" Target="https://sealeddeck.tech/8JCRL6PQcw" TargetMode="External"/><Relationship Id="rId1724" Type="http://schemas.openxmlformats.org/officeDocument/2006/relationships/hyperlink" Target="https://sealeddeck.tech/ovzbj1xTya" TargetMode="External"/><Relationship Id="rId1725" Type="http://schemas.openxmlformats.org/officeDocument/2006/relationships/hyperlink" Target="https://sealeddeck.tech/PedRN25KH5" TargetMode="External"/><Relationship Id="rId1726" Type="http://schemas.openxmlformats.org/officeDocument/2006/relationships/hyperlink" Target="https://sealeddeck.tech/Vfr2v4qRej" TargetMode="External"/><Relationship Id="rId1727" Type="http://schemas.openxmlformats.org/officeDocument/2006/relationships/hyperlink" Target="https://sealeddeck.tech/KTC8yTdDio" TargetMode="External"/><Relationship Id="rId1728" Type="http://schemas.openxmlformats.org/officeDocument/2006/relationships/hyperlink" Target="https://sealeddeck.tech/ik5g6KE6D5" TargetMode="External"/><Relationship Id="rId1729" Type="http://schemas.openxmlformats.org/officeDocument/2006/relationships/hyperlink" Target="https://sealeddeck.tech/TvKiTKfVHt" TargetMode="External"/><Relationship Id="rId1752" Type="http://schemas.openxmlformats.org/officeDocument/2006/relationships/hyperlink" Target="https://sealeddeck.tech/Ut4TqZLv5D" TargetMode="External"/><Relationship Id="rId1753" Type="http://schemas.openxmlformats.org/officeDocument/2006/relationships/hyperlink" Target="https://sealeddeck.tech/jDLJhPJsLL" TargetMode="External"/><Relationship Id="rId1754" Type="http://schemas.openxmlformats.org/officeDocument/2006/relationships/hyperlink" Target="https://sealeddeck.tech/sbGw79C5TB" TargetMode="External"/><Relationship Id="rId1755" Type="http://schemas.openxmlformats.org/officeDocument/2006/relationships/hyperlink" Target="https://sealeddeck.tech/b8MG1e67eM" TargetMode="External"/><Relationship Id="rId1756" Type="http://schemas.openxmlformats.org/officeDocument/2006/relationships/hyperlink" Target="https://sealeddeck.tech/BHxu6crJiT" TargetMode="External"/><Relationship Id="rId1757" Type="http://schemas.openxmlformats.org/officeDocument/2006/relationships/hyperlink" Target="https://sealeddeck.tech/A6wYLu8Qbe" TargetMode="External"/><Relationship Id="rId1758" Type="http://schemas.openxmlformats.org/officeDocument/2006/relationships/hyperlink" Target="https://sealeddeck.tech/8XbGxyD9yU" TargetMode="External"/><Relationship Id="rId1759" Type="http://schemas.openxmlformats.org/officeDocument/2006/relationships/hyperlink" Target="https://sealeddeck.tech/geAKqPsZzx" TargetMode="External"/><Relationship Id="rId808" Type="http://schemas.openxmlformats.org/officeDocument/2006/relationships/hyperlink" Target="https://sealeddeck.tech/iopzonFHiu" TargetMode="External"/><Relationship Id="rId807" Type="http://schemas.openxmlformats.org/officeDocument/2006/relationships/hyperlink" Target="https://sealeddeck.tech/3T5mxWQ4bW" TargetMode="External"/><Relationship Id="rId806" Type="http://schemas.openxmlformats.org/officeDocument/2006/relationships/hyperlink" Target="https://sealeddeck.tech/Fqnyef3Nzn" TargetMode="External"/><Relationship Id="rId805" Type="http://schemas.openxmlformats.org/officeDocument/2006/relationships/hyperlink" Target="https://sealeddeck.tech/pDc7VjtWb6" TargetMode="External"/><Relationship Id="rId809" Type="http://schemas.openxmlformats.org/officeDocument/2006/relationships/hyperlink" Target="https://sealeddeck.tech/8LV3t2Si7B" TargetMode="External"/><Relationship Id="rId800" Type="http://schemas.openxmlformats.org/officeDocument/2006/relationships/hyperlink" Target="https://sealeddeck.tech/As2LwLFsaJ" TargetMode="External"/><Relationship Id="rId804" Type="http://schemas.openxmlformats.org/officeDocument/2006/relationships/hyperlink" Target="https://sealeddeck.tech/ERig6hhQRY" TargetMode="External"/><Relationship Id="rId803" Type="http://schemas.openxmlformats.org/officeDocument/2006/relationships/hyperlink" Target="https://sealeddeck.tech/1iw3i2kqx6" TargetMode="External"/><Relationship Id="rId802" Type="http://schemas.openxmlformats.org/officeDocument/2006/relationships/hyperlink" Target="https://sealeddeck.tech/DRmSwDcdvt" TargetMode="External"/><Relationship Id="rId801" Type="http://schemas.openxmlformats.org/officeDocument/2006/relationships/hyperlink" Target="https://sealeddeck.tech/BrSQuXM7fx" TargetMode="External"/><Relationship Id="rId1750" Type="http://schemas.openxmlformats.org/officeDocument/2006/relationships/hyperlink" Target="https://sealeddeck.tech/akzzvPt9AL" TargetMode="External"/><Relationship Id="rId1751" Type="http://schemas.openxmlformats.org/officeDocument/2006/relationships/hyperlink" Target="https://sealeddeck.tech/ngRWQsudk2" TargetMode="External"/><Relationship Id="rId1741" Type="http://schemas.openxmlformats.org/officeDocument/2006/relationships/hyperlink" Target="https://sealeddeck.tech/DBKQqDjNLU" TargetMode="External"/><Relationship Id="rId1742" Type="http://schemas.openxmlformats.org/officeDocument/2006/relationships/hyperlink" Target="https://sealeddeck.tech/YjFTcK6rF3" TargetMode="External"/><Relationship Id="rId1743" Type="http://schemas.openxmlformats.org/officeDocument/2006/relationships/hyperlink" Target="https://sealeddeck.tech/8gJ6YbZb9S" TargetMode="External"/><Relationship Id="rId1744" Type="http://schemas.openxmlformats.org/officeDocument/2006/relationships/hyperlink" Target="https://sealeddeck.tech/AkfgeSmoYa" TargetMode="External"/><Relationship Id="rId1745" Type="http://schemas.openxmlformats.org/officeDocument/2006/relationships/hyperlink" Target="https://sealeddeck.tech/ir9bwXZUxp" TargetMode="External"/><Relationship Id="rId1746" Type="http://schemas.openxmlformats.org/officeDocument/2006/relationships/hyperlink" Target="https://sealeddeck.tech/G7BFHmiXZ9" TargetMode="External"/><Relationship Id="rId1747" Type="http://schemas.openxmlformats.org/officeDocument/2006/relationships/hyperlink" Target="https://sealeddeck.tech/6duAbZLBpo" TargetMode="External"/><Relationship Id="rId1748" Type="http://schemas.openxmlformats.org/officeDocument/2006/relationships/hyperlink" Target="https://sealeddeck.tech/oVwkLymyc6" TargetMode="External"/><Relationship Id="rId1749" Type="http://schemas.openxmlformats.org/officeDocument/2006/relationships/hyperlink" Target="https://sealeddeck.tech/oZMb4nReke" TargetMode="External"/><Relationship Id="rId1740" Type="http://schemas.openxmlformats.org/officeDocument/2006/relationships/hyperlink" Target="https://sealeddeck.tech/PADLmzkJ52" TargetMode="External"/><Relationship Id="rId1710" Type="http://schemas.openxmlformats.org/officeDocument/2006/relationships/hyperlink" Target="https://sealeddeck.tech/P7DPoNLMJB" TargetMode="External"/><Relationship Id="rId1711" Type="http://schemas.openxmlformats.org/officeDocument/2006/relationships/hyperlink" Target="https://sealeddeck.tech/cR6phsVYYQ" TargetMode="External"/><Relationship Id="rId1712" Type="http://schemas.openxmlformats.org/officeDocument/2006/relationships/hyperlink" Target="https://sealeddeck.tech/xseL2PxFLM" TargetMode="External"/><Relationship Id="rId1713" Type="http://schemas.openxmlformats.org/officeDocument/2006/relationships/hyperlink" Target="https://sealeddeck.tech/McGYAPrLAc" TargetMode="External"/><Relationship Id="rId1714" Type="http://schemas.openxmlformats.org/officeDocument/2006/relationships/hyperlink" Target="https://sealeddeck.tech/FuHXfCb13p" TargetMode="External"/><Relationship Id="rId1715" Type="http://schemas.openxmlformats.org/officeDocument/2006/relationships/hyperlink" Target="https://sealeddeck.tech/BqCD9FxsRo" TargetMode="External"/><Relationship Id="rId1716" Type="http://schemas.openxmlformats.org/officeDocument/2006/relationships/hyperlink" Target="https://sealeddeck.tech/ktkCeYQGLU" TargetMode="External"/><Relationship Id="rId1717" Type="http://schemas.openxmlformats.org/officeDocument/2006/relationships/hyperlink" Target="https://sealeddeck.tech/mnsMS5LSjT" TargetMode="External"/><Relationship Id="rId1718" Type="http://schemas.openxmlformats.org/officeDocument/2006/relationships/hyperlink" Target="https://sealeddeck.tech/wYmCtbSysT" TargetMode="External"/><Relationship Id="rId1719" Type="http://schemas.openxmlformats.org/officeDocument/2006/relationships/hyperlink" Target="https://sealeddeck.tech/74fDUrD6gq" TargetMode="External"/><Relationship Id="rId1700" Type="http://schemas.openxmlformats.org/officeDocument/2006/relationships/hyperlink" Target="https://sealeddeck.tech/aAZW883dUb" TargetMode="External"/><Relationship Id="rId1701" Type="http://schemas.openxmlformats.org/officeDocument/2006/relationships/hyperlink" Target="https://sealeddeck.tech/A7j96i5Kj4" TargetMode="External"/><Relationship Id="rId1702" Type="http://schemas.openxmlformats.org/officeDocument/2006/relationships/hyperlink" Target="https://sealeddeck.tech/ACNrgZB1Lf" TargetMode="External"/><Relationship Id="rId1703" Type="http://schemas.openxmlformats.org/officeDocument/2006/relationships/hyperlink" Target="https://sealeddeck.tech/TqbVemPQy5" TargetMode="External"/><Relationship Id="rId1704" Type="http://schemas.openxmlformats.org/officeDocument/2006/relationships/hyperlink" Target="https://sealeddeck.tech/LiqUDvghNK" TargetMode="External"/><Relationship Id="rId1705" Type="http://schemas.openxmlformats.org/officeDocument/2006/relationships/hyperlink" Target="https://sealeddeck.tech/j558Cw33f3" TargetMode="External"/><Relationship Id="rId1706" Type="http://schemas.openxmlformats.org/officeDocument/2006/relationships/hyperlink" Target="https://sealeddeck.tech/nVBMYmtWjJ" TargetMode="External"/><Relationship Id="rId1707" Type="http://schemas.openxmlformats.org/officeDocument/2006/relationships/hyperlink" Target="https://sealeddeck.tech/PJ4fR6MMcN" TargetMode="External"/><Relationship Id="rId1708" Type="http://schemas.openxmlformats.org/officeDocument/2006/relationships/hyperlink" Target="https://sealeddeck.tech/v39fisAamH" TargetMode="External"/><Relationship Id="rId1709" Type="http://schemas.openxmlformats.org/officeDocument/2006/relationships/hyperlink" Target="https://sealeddeck.tech/JehC2BPtSX" TargetMode="External"/><Relationship Id="rId40" Type="http://schemas.openxmlformats.org/officeDocument/2006/relationships/hyperlink" Target="https://sealeddeck.tech/SkANuRcGfb" TargetMode="External"/><Relationship Id="rId1334" Type="http://schemas.openxmlformats.org/officeDocument/2006/relationships/hyperlink" Target="https://sealeddeck.tech/WNgActpqTY" TargetMode="External"/><Relationship Id="rId1335" Type="http://schemas.openxmlformats.org/officeDocument/2006/relationships/hyperlink" Target="https://sealeddeck.tech/6hCjzswM7M" TargetMode="External"/><Relationship Id="rId42" Type="http://schemas.openxmlformats.org/officeDocument/2006/relationships/hyperlink" Target="https://sealeddeck.tech/V9kWwpaSUt" TargetMode="External"/><Relationship Id="rId1336" Type="http://schemas.openxmlformats.org/officeDocument/2006/relationships/hyperlink" Target="https://sealeddeck.tech/ZYDWG43tgo" TargetMode="External"/><Relationship Id="rId41" Type="http://schemas.openxmlformats.org/officeDocument/2006/relationships/hyperlink" Target="https://sealeddeck.tech/mYP3MZLfq3" TargetMode="External"/><Relationship Id="rId1337" Type="http://schemas.openxmlformats.org/officeDocument/2006/relationships/hyperlink" Target="https://sealeddeck.tech/GtCxTJUjLj" TargetMode="External"/><Relationship Id="rId44" Type="http://schemas.openxmlformats.org/officeDocument/2006/relationships/hyperlink" Target="https://sealeddeck.tech/9LS6nmZnEk" TargetMode="External"/><Relationship Id="rId1338" Type="http://schemas.openxmlformats.org/officeDocument/2006/relationships/hyperlink" Target="https://sealeddeck.tech/2yoDX5EQZM" TargetMode="External"/><Relationship Id="rId43" Type="http://schemas.openxmlformats.org/officeDocument/2006/relationships/hyperlink" Target="https://sealeddeck.tech/2v8ZgyV6Du" TargetMode="External"/><Relationship Id="rId1339" Type="http://schemas.openxmlformats.org/officeDocument/2006/relationships/hyperlink" Target="https://sealeddeck.tech/JPMdA38WZK" TargetMode="External"/><Relationship Id="rId46" Type="http://schemas.openxmlformats.org/officeDocument/2006/relationships/hyperlink" Target="https://sealeddeck.tech/5szkfZQjzf" TargetMode="External"/><Relationship Id="rId45" Type="http://schemas.openxmlformats.org/officeDocument/2006/relationships/hyperlink" Target="https://sealeddeck.tech/qXLnXNYUGS" TargetMode="External"/><Relationship Id="rId745" Type="http://schemas.openxmlformats.org/officeDocument/2006/relationships/hyperlink" Target="https://sealeddeck.tech/8guEx2HN68" TargetMode="External"/><Relationship Id="rId744" Type="http://schemas.openxmlformats.org/officeDocument/2006/relationships/hyperlink" Target="https://sealeddeck.tech/5f1MBp8Uwt" TargetMode="External"/><Relationship Id="rId743" Type="http://schemas.openxmlformats.org/officeDocument/2006/relationships/hyperlink" Target="https://sealeddeck.tech/A2uFyLRgBL" TargetMode="External"/><Relationship Id="rId742" Type="http://schemas.openxmlformats.org/officeDocument/2006/relationships/hyperlink" Target="https://sealeddeck.tech/NBuSHrQVCs" TargetMode="External"/><Relationship Id="rId749" Type="http://schemas.openxmlformats.org/officeDocument/2006/relationships/hyperlink" Target="https://sealeddeck.tech/VZaftGqcps" TargetMode="External"/><Relationship Id="rId748" Type="http://schemas.openxmlformats.org/officeDocument/2006/relationships/hyperlink" Target="https://sealeddeck.tech/oM3fvnQ5n4" TargetMode="External"/><Relationship Id="rId747" Type="http://schemas.openxmlformats.org/officeDocument/2006/relationships/hyperlink" Target="https://sealeddeck.tech/VqvECCpfum" TargetMode="External"/><Relationship Id="rId746" Type="http://schemas.openxmlformats.org/officeDocument/2006/relationships/hyperlink" Target="https://sealeddeck.tech/NvQn1nbP5K" TargetMode="External"/><Relationship Id="rId48" Type="http://schemas.openxmlformats.org/officeDocument/2006/relationships/hyperlink" Target="https://sealeddeck.tech/92s8Y9agyq" TargetMode="External"/><Relationship Id="rId47" Type="http://schemas.openxmlformats.org/officeDocument/2006/relationships/hyperlink" Target="https://sealeddeck.tech/Mbeouoi5d2" TargetMode="External"/><Relationship Id="rId49" Type="http://schemas.openxmlformats.org/officeDocument/2006/relationships/hyperlink" Target="https://sealeddeck.tech/X9UTpk6Rzr" TargetMode="External"/><Relationship Id="rId741" Type="http://schemas.openxmlformats.org/officeDocument/2006/relationships/hyperlink" Target="https://sealeddeck.tech/wcS5HodEsE" TargetMode="External"/><Relationship Id="rId1330" Type="http://schemas.openxmlformats.org/officeDocument/2006/relationships/hyperlink" Target="https://sealeddeck.tech/YPyJsXkWtC" TargetMode="External"/><Relationship Id="rId740" Type="http://schemas.openxmlformats.org/officeDocument/2006/relationships/hyperlink" Target="https://sealeddeck.tech/8vVJiW6HU4" TargetMode="External"/><Relationship Id="rId1331" Type="http://schemas.openxmlformats.org/officeDocument/2006/relationships/hyperlink" Target="https://sealeddeck.tech/FkEMo6yD4h" TargetMode="External"/><Relationship Id="rId1332" Type="http://schemas.openxmlformats.org/officeDocument/2006/relationships/hyperlink" Target="https://sealeddeck.tech/R57s5dn59n" TargetMode="External"/><Relationship Id="rId1333" Type="http://schemas.openxmlformats.org/officeDocument/2006/relationships/hyperlink" Target="https://sealeddeck.tech/VNauVdhXoB" TargetMode="External"/><Relationship Id="rId1323" Type="http://schemas.openxmlformats.org/officeDocument/2006/relationships/hyperlink" Target="https://sealeddeck.tech/7UhGyUVfxZ" TargetMode="External"/><Relationship Id="rId1324" Type="http://schemas.openxmlformats.org/officeDocument/2006/relationships/hyperlink" Target="https://sealeddeck.tech/Kyny7icecg" TargetMode="External"/><Relationship Id="rId31" Type="http://schemas.openxmlformats.org/officeDocument/2006/relationships/hyperlink" Target="https://sealeddeck.tech/wQSohWMWEi" TargetMode="External"/><Relationship Id="rId1325" Type="http://schemas.openxmlformats.org/officeDocument/2006/relationships/hyperlink" Target="https://sealeddeck.tech/9XZbUt2C2C" TargetMode="External"/><Relationship Id="rId30" Type="http://schemas.openxmlformats.org/officeDocument/2006/relationships/hyperlink" Target="https://sealeddeck.tech/MNexhB34Vy" TargetMode="External"/><Relationship Id="rId1326" Type="http://schemas.openxmlformats.org/officeDocument/2006/relationships/hyperlink" Target="https://sealeddeck.tech/x1dnAMmdzS" TargetMode="External"/><Relationship Id="rId33" Type="http://schemas.openxmlformats.org/officeDocument/2006/relationships/hyperlink" Target="https://sealeddeck.tech/FyPdyuX7Jq" TargetMode="External"/><Relationship Id="rId1327" Type="http://schemas.openxmlformats.org/officeDocument/2006/relationships/hyperlink" Target="https://sealeddeck.tech/Dt5Ry31Nt4" TargetMode="External"/><Relationship Id="rId32" Type="http://schemas.openxmlformats.org/officeDocument/2006/relationships/hyperlink" Target="https://sealeddeck.tech/JCddG2a8K6" TargetMode="External"/><Relationship Id="rId1328" Type="http://schemas.openxmlformats.org/officeDocument/2006/relationships/hyperlink" Target="https://sealeddeck.tech/BkAKt5JUjw" TargetMode="External"/><Relationship Id="rId35" Type="http://schemas.openxmlformats.org/officeDocument/2006/relationships/hyperlink" Target="https://sealeddeck.tech/UGbzw5QmFr" TargetMode="External"/><Relationship Id="rId1329" Type="http://schemas.openxmlformats.org/officeDocument/2006/relationships/hyperlink" Target="https://sealeddeck.tech/vJs37VQC4e" TargetMode="External"/><Relationship Id="rId34" Type="http://schemas.openxmlformats.org/officeDocument/2006/relationships/hyperlink" Target="https://sealeddeck.tech/t1As7p4TUW" TargetMode="External"/><Relationship Id="rId739" Type="http://schemas.openxmlformats.org/officeDocument/2006/relationships/hyperlink" Target="https://sealeddeck.tech/hhvAL29RBo" TargetMode="External"/><Relationship Id="rId734" Type="http://schemas.openxmlformats.org/officeDocument/2006/relationships/hyperlink" Target="https://sealeddeck.tech/BuqBQt5nJx" TargetMode="External"/><Relationship Id="rId733" Type="http://schemas.openxmlformats.org/officeDocument/2006/relationships/hyperlink" Target="https://sealeddeck.tech/71ba9wCUN6" TargetMode="External"/><Relationship Id="rId732" Type="http://schemas.openxmlformats.org/officeDocument/2006/relationships/hyperlink" Target="https://sealeddeck.tech/DZnpxacfio" TargetMode="External"/><Relationship Id="rId731" Type="http://schemas.openxmlformats.org/officeDocument/2006/relationships/hyperlink" Target="https://sealeddeck.tech/qBc7irMv3i" TargetMode="External"/><Relationship Id="rId738" Type="http://schemas.openxmlformats.org/officeDocument/2006/relationships/hyperlink" Target="https://sealeddeck.tech/5WM7YysZFc" TargetMode="External"/><Relationship Id="rId737" Type="http://schemas.openxmlformats.org/officeDocument/2006/relationships/hyperlink" Target="https://sealeddeck.tech/NZndKh3oDe" TargetMode="External"/><Relationship Id="rId736" Type="http://schemas.openxmlformats.org/officeDocument/2006/relationships/hyperlink" Target="https://sealeddeck.tech/42bH8NgVVJ" TargetMode="External"/><Relationship Id="rId735" Type="http://schemas.openxmlformats.org/officeDocument/2006/relationships/hyperlink" Target="https://sealeddeck.tech/jTH1eXrYU1" TargetMode="External"/><Relationship Id="rId37" Type="http://schemas.openxmlformats.org/officeDocument/2006/relationships/hyperlink" Target="https://sealeddeck.tech/1oEzBmuBse" TargetMode="External"/><Relationship Id="rId36" Type="http://schemas.openxmlformats.org/officeDocument/2006/relationships/hyperlink" Target="https://sealeddeck.tech/bQgwS7Hu4M" TargetMode="External"/><Relationship Id="rId39" Type="http://schemas.openxmlformats.org/officeDocument/2006/relationships/hyperlink" Target="https://sealeddeck.tech/4Pjz7VvU2Z" TargetMode="External"/><Relationship Id="rId38" Type="http://schemas.openxmlformats.org/officeDocument/2006/relationships/hyperlink" Target="https://sealeddeck.tech/AeBvYG98yY" TargetMode="External"/><Relationship Id="rId730" Type="http://schemas.openxmlformats.org/officeDocument/2006/relationships/hyperlink" Target="https://sealeddeck.tech/6XexnAtB9R" TargetMode="External"/><Relationship Id="rId1320" Type="http://schemas.openxmlformats.org/officeDocument/2006/relationships/hyperlink" Target="https://sealeddeck.tech/ZLifSHTAAN" TargetMode="External"/><Relationship Id="rId1321" Type="http://schemas.openxmlformats.org/officeDocument/2006/relationships/hyperlink" Target="https://sealeddeck.tech/5sBEeZqgC5" TargetMode="External"/><Relationship Id="rId1322" Type="http://schemas.openxmlformats.org/officeDocument/2006/relationships/hyperlink" Target="https://sealeddeck.tech/zWPFmzpwQs" TargetMode="External"/><Relationship Id="rId1356" Type="http://schemas.openxmlformats.org/officeDocument/2006/relationships/hyperlink" Target="https://sealeddeck.tech/GzUNBZzUgt" TargetMode="External"/><Relationship Id="rId1357" Type="http://schemas.openxmlformats.org/officeDocument/2006/relationships/hyperlink" Target="https://sealeddeck.tech/GtC8cvtBfM" TargetMode="External"/><Relationship Id="rId20" Type="http://schemas.openxmlformats.org/officeDocument/2006/relationships/hyperlink" Target="https://sealeddeck.tech/ixtiMNGPcQ" TargetMode="External"/><Relationship Id="rId1358" Type="http://schemas.openxmlformats.org/officeDocument/2006/relationships/hyperlink" Target="https://sealeddeck.tech/R1Mo21B1MT" TargetMode="External"/><Relationship Id="rId1359" Type="http://schemas.openxmlformats.org/officeDocument/2006/relationships/hyperlink" Target="https://sealeddeck.tech/M3BNCKbsZh" TargetMode="External"/><Relationship Id="rId22" Type="http://schemas.openxmlformats.org/officeDocument/2006/relationships/hyperlink" Target="https://sealeddeck.tech/FUTMrnsai5" TargetMode="External"/><Relationship Id="rId21" Type="http://schemas.openxmlformats.org/officeDocument/2006/relationships/hyperlink" Target="https://sealeddeck.tech/jLTuECWznB" TargetMode="External"/><Relationship Id="rId24" Type="http://schemas.openxmlformats.org/officeDocument/2006/relationships/hyperlink" Target="https://sealeddeck.tech/ga4NqRT8g8" TargetMode="External"/><Relationship Id="rId23" Type="http://schemas.openxmlformats.org/officeDocument/2006/relationships/hyperlink" Target="https://sealeddeck.tech/hNnk9u8Gsu" TargetMode="External"/><Relationship Id="rId767" Type="http://schemas.openxmlformats.org/officeDocument/2006/relationships/hyperlink" Target="https://sealeddeck.tech/Wms58Jpkct" TargetMode="External"/><Relationship Id="rId766" Type="http://schemas.openxmlformats.org/officeDocument/2006/relationships/hyperlink" Target="https://sealeddeck.tech/CvyuW4GnN9" TargetMode="External"/><Relationship Id="rId765" Type="http://schemas.openxmlformats.org/officeDocument/2006/relationships/hyperlink" Target="https://sealeddeck.tech/vY9M5LNGne" TargetMode="External"/><Relationship Id="rId764" Type="http://schemas.openxmlformats.org/officeDocument/2006/relationships/hyperlink" Target="https://sealeddeck.tech/1gJtPkUBeG" TargetMode="External"/><Relationship Id="rId769" Type="http://schemas.openxmlformats.org/officeDocument/2006/relationships/hyperlink" Target="https://sealeddeck.tech/DEtXJ4apsU" TargetMode="External"/><Relationship Id="rId768" Type="http://schemas.openxmlformats.org/officeDocument/2006/relationships/hyperlink" Target="https://sealeddeck.tech/wbf9PobtKT" TargetMode="External"/><Relationship Id="rId26" Type="http://schemas.openxmlformats.org/officeDocument/2006/relationships/hyperlink" Target="https://sealeddeck.tech/p8UebGNqqj" TargetMode="External"/><Relationship Id="rId25" Type="http://schemas.openxmlformats.org/officeDocument/2006/relationships/hyperlink" Target="https://sealeddeck.tech/J1nqNU2z1j" TargetMode="External"/><Relationship Id="rId28" Type="http://schemas.openxmlformats.org/officeDocument/2006/relationships/hyperlink" Target="https://sealeddeck.tech/3wyRXCHBh5" TargetMode="External"/><Relationship Id="rId1350" Type="http://schemas.openxmlformats.org/officeDocument/2006/relationships/hyperlink" Target="https://sealeddeck.tech/UKXgufS3He" TargetMode="External"/><Relationship Id="rId27" Type="http://schemas.openxmlformats.org/officeDocument/2006/relationships/hyperlink" Target="https://sealeddeck.tech/4wiGJKsJQy" TargetMode="External"/><Relationship Id="rId1351" Type="http://schemas.openxmlformats.org/officeDocument/2006/relationships/hyperlink" Target="https://sealeddeck.tech/cpQdE1uy3g" TargetMode="External"/><Relationship Id="rId763" Type="http://schemas.openxmlformats.org/officeDocument/2006/relationships/hyperlink" Target="https://sealeddeck.tech/6nLDXttuRQ" TargetMode="External"/><Relationship Id="rId1352" Type="http://schemas.openxmlformats.org/officeDocument/2006/relationships/hyperlink" Target="https://sealeddeck.tech/4G1SS6ZSbE" TargetMode="External"/><Relationship Id="rId29" Type="http://schemas.openxmlformats.org/officeDocument/2006/relationships/hyperlink" Target="https://sealeddeck.tech/giso6Dwxrh" TargetMode="External"/><Relationship Id="rId762" Type="http://schemas.openxmlformats.org/officeDocument/2006/relationships/hyperlink" Target="https://sealeddeck.tech/V8KR7UtjJb" TargetMode="External"/><Relationship Id="rId1353" Type="http://schemas.openxmlformats.org/officeDocument/2006/relationships/hyperlink" Target="https://sealeddeck.tech/LCnURsj1Ut" TargetMode="External"/><Relationship Id="rId761" Type="http://schemas.openxmlformats.org/officeDocument/2006/relationships/hyperlink" Target="https://sealeddeck.tech/99nWUyoSYY" TargetMode="External"/><Relationship Id="rId1354" Type="http://schemas.openxmlformats.org/officeDocument/2006/relationships/hyperlink" Target="https://sealeddeck.tech/DkkixgTaTd" TargetMode="External"/><Relationship Id="rId760" Type="http://schemas.openxmlformats.org/officeDocument/2006/relationships/hyperlink" Target="https://sealeddeck.tech/DohEwBYZe8" TargetMode="External"/><Relationship Id="rId1355" Type="http://schemas.openxmlformats.org/officeDocument/2006/relationships/hyperlink" Target="https://sealeddeck.tech/F2k5dG549M" TargetMode="External"/><Relationship Id="rId1345" Type="http://schemas.openxmlformats.org/officeDocument/2006/relationships/hyperlink" Target="https://sealeddeck.tech/Rb7mJS5TA3" TargetMode="External"/><Relationship Id="rId1346" Type="http://schemas.openxmlformats.org/officeDocument/2006/relationships/hyperlink" Target="https://sealeddeck.tech/FrVJ8wvC3D" TargetMode="External"/><Relationship Id="rId1347" Type="http://schemas.openxmlformats.org/officeDocument/2006/relationships/hyperlink" Target="https://sealeddeck.tech/GiFVqtAXjo" TargetMode="External"/><Relationship Id="rId1348" Type="http://schemas.openxmlformats.org/officeDocument/2006/relationships/hyperlink" Target="https://sealeddeck.tech/UoyVyDfvdb" TargetMode="External"/><Relationship Id="rId11" Type="http://schemas.openxmlformats.org/officeDocument/2006/relationships/hyperlink" Target="https://sealeddeck.tech/UuzmjTjEH2" TargetMode="External"/><Relationship Id="rId1349" Type="http://schemas.openxmlformats.org/officeDocument/2006/relationships/hyperlink" Target="https://sealeddeck.tech/9XtBfeSfpx" TargetMode="External"/><Relationship Id="rId10" Type="http://schemas.openxmlformats.org/officeDocument/2006/relationships/hyperlink" Target="https://sealeddeck.tech/2ree7UyQkA" TargetMode="External"/><Relationship Id="rId13" Type="http://schemas.openxmlformats.org/officeDocument/2006/relationships/hyperlink" Target="https://sealeddeck.tech/ta9wLj6nsE" TargetMode="External"/><Relationship Id="rId12" Type="http://schemas.openxmlformats.org/officeDocument/2006/relationships/hyperlink" Target="https://sealeddeck.tech/uSeF6s9x3A" TargetMode="External"/><Relationship Id="rId756" Type="http://schemas.openxmlformats.org/officeDocument/2006/relationships/hyperlink" Target="https://sealeddeck.tech/HoxRmnDfZR" TargetMode="External"/><Relationship Id="rId755" Type="http://schemas.openxmlformats.org/officeDocument/2006/relationships/hyperlink" Target="https://sealeddeck.tech/XQGR9yvUgN" TargetMode="External"/><Relationship Id="rId754" Type="http://schemas.openxmlformats.org/officeDocument/2006/relationships/hyperlink" Target="https://sealeddeck.tech/4kC6LYZWmC" TargetMode="External"/><Relationship Id="rId753" Type="http://schemas.openxmlformats.org/officeDocument/2006/relationships/hyperlink" Target="https://sealeddeck.tech/RmiKK439Cp" TargetMode="External"/><Relationship Id="rId759" Type="http://schemas.openxmlformats.org/officeDocument/2006/relationships/hyperlink" Target="https://sealeddeck.tech/BvFy3sL9tA" TargetMode="External"/><Relationship Id="rId758" Type="http://schemas.openxmlformats.org/officeDocument/2006/relationships/hyperlink" Target="https://sealeddeck.tech/nBPsWnDA7P" TargetMode="External"/><Relationship Id="rId757" Type="http://schemas.openxmlformats.org/officeDocument/2006/relationships/hyperlink" Target="https://sealeddeck.tech/n1Hu4Cdh63" TargetMode="External"/><Relationship Id="rId15" Type="http://schemas.openxmlformats.org/officeDocument/2006/relationships/hyperlink" Target="https://sealeddeck.tech/ERDuS7bsBZ" TargetMode="External"/><Relationship Id="rId14" Type="http://schemas.openxmlformats.org/officeDocument/2006/relationships/hyperlink" Target="https://sealeddeck.tech/WQvvoP4gyS" TargetMode="External"/><Relationship Id="rId17" Type="http://schemas.openxmlformats.org/officeDocument/2006/relationships/hyperlink" Target="https://sealeddeck.tech/ha4XPweVqS" TargetMode="External"/><Relationship Id="rId16" Type="http://schemas.openxmlformats.org/officeDocument/2006/relationships/hyperlink" Target="https://sealeddeck.tech/MYcQs6XBLc" TargetMode="External"/><Relationship Id="rId1340" Type="http://schemas.openxmlformats.org/officeDocument/2006/relationships/hyperlink" Target="https://sealeddeck.tech/kMN9BeGXW2" TargetMode="External"/><Relationship Id="rId19" Type="http://schemas.openxmlformats.org/officeDocument/2006/relationships/hyperlink" Target="https://sealeddeck.tech/zX7Y4eQsmv" TargetMode="External"/><Relationship Id="rId752" Type="http://schemas.openxmlformats.org/officeDocument/2006/relationships/hyperlink" Target="https://sealeddeck.tech/b9dK7MnRBL" TargetMode="External"/><Relationship Id="rId1341" Type="http://schemas.openxmlformats.org/officeDocument/2006/relationships/hyperlink" Target="https://sealeddeck.tech/Mrp2mo44wo" TargetMode="External"/><Relationship Id="rId18" Type="http://schemas.openxmlformats.org/officeDocument/2006/relationships/hyperlink" Target="https://sealeddeck.tech/1wyPuVapga" TargetMode="External"/><Relationship Id="rId751" Type="http://schemas.openxmlformats.org/officeDocument/2006/relationships/hyperlink" Target="https://sealeddeck.tech/hi1nxZrUbE" TargetMode="External"/><Relationship Id="rId1342" Type="http://schemas.openxmlformats.org/officeDocument/2006/relationships/hyperlink" Target="https://sealeddeck.tech/baF9qb2AfA" TargetMode="External"/><Relationship Id="rId750" Type="http://schemas.openxmlformats.org/officeDocument/2006/relationships/hyperlink" Target="https://sealeddeck.tech/7b3QrH9AL2" TargetMode="External"/><Relationship Id="rId1343" Type="http://schemas.openxmlformats.org/officeDocument/2006/relationships/hyperlink" Target="https://sealeddeck.tech/xe2W8ZKfNS" TargetMode="External"/><Relationship Id="rId1344" Type="http://schemas.openxmlformats.org/officeDocument/2006/relationships/hyperlink" Target="https://sealeddeck.tech/wBtsHKMnWw" TargetMode="External"/><Relationship Id="rId84" Type="http://schemas.openxmlformats.org/officeDocument/2006/relationships/hyperlink" Target="https://sealeddeck.tech/idsZEMLvzP" TargetMode="External"/><Relationship Id="rId1774" Type="http://schemas.openxmlformats.org/officeDocument/2006/relationships/hyperlink" Target="https://sealeddeck.tech/Sn27rCoHrp" TargetMode="External"/><Relationship Id="rId83" Type="http://schemas.openxmlformats.org/officeDocument/2006/relationships/hyperlink" Target="https://sealeddeck.tech/XUjrufZn9i" TargetMode="External"/><Relationship Id="rId1775" Type="http://schemas.openxmlformats.org/officeDocument/2006/relationships/hyperlink" Target="https://sealeddeck.tech/GU3NXrtKxm" TargetMode="External"/><Relationship Id="rId86" Type="http://schemas.openxmlformats.org/officeDocument/2006/relationships/hyperlink" Target="https://sealeddeck.tech/E94mbHSWnH" TargetMode="External"/><Relationship Id="rId1776" Type="http://schemas.openxmlformats.org/officeDocument/2006/relationships/hyperlink" Target="https://sealeddeck.tech/5jL2fgmKAn" TargetMode="External"/><Relationship Id="rId85" Type="http://schemas.openxmlformats.org/officeDocument/2006/relationships/hyperlink" Target="https://sealeddeck.tech/9d6zfrAVsy" TargetMode="External"/><Relationship Id="rId1777" Type="http://schemas.openxmlformats.org/officeDocument/2006/relationships/hyperlink" Target="https://sealeddeck.tech/uk5AWciJ83" TargetMode="External"/><Relationship Id="rId88" Type="http://schemas.openxmlformats.org/officeDocument/2006/relationships/hyperlink" Target="https://sealeddeck.tech/kERN1pemhE" TargetMode="External"/><Relationship Id="rId1778" Type="http://schemas.openxmlformats.org/officeDocument/2006/relationships/hyperlink" Target="https://sealeddeck.tech/CgevJz73Kw" TargetMode="External"/><Relationship Id="rId87" Type="http://schemas.openxmlformats.org/officeDocument/2006/relationships/hyperlink" Target="https://sealeddeck.tech/pg9JUaBTkg" TargetMode="External"/><Relationship Id="rId1779" Type="http://schemas.openxmlformats.org/officeDocument/2006/relationships/hyperlink" Target="https://sealeddeck.tech/eBubGBS8rB" TargetMode="External"/><Relationship Id="rId89" Type="http://schemas.openxmlformats.org/officeDocument/2006/relationships/hyperlink" Target="https://sealeddeck.tech/sepz2MPwue" TargetMode="External"/><Relationship Id="rId709" Type="http://schemas.openxmlformats.org/officeDocument/2006/relationships/hyperlink" Target="https://sealeddeck.tech/ZEHZAmtBLC" TargetMode="External"/><Relationship Id="rId708" Type="http://schemas.openxmlformats.org/officeDocument/2006/relationships/hyperlink" Target="https://sealeddeck.tech/GeMpZY9aKF" TargetMode="External"/><Relationship Id="rId707" Type="http://schemas.openxmlformats.org/officeDocument/2006/relationships/hyperlink" Target="https://sealeddeck.tech/ka8dcVEycr" TargetMode="External"/><Relationship Id="rId706" Type="http://schemas.openxmlformats.org/officeDocument/2006/relationships/hyperlink" Target="https://sealeddeck.tech/bNGPHSScJq" TargetMode="External"/><Relationship Id="rId80" Type="http://schemas.openxmlformats.org/officeDocument/2006/relationships/hyperlink" Target="https://sealeddeck.tech/xV72h9e3uc" TargetMode="External"/><Relationship Id="rId82" Type="http://schemas.openxmlformats.org/officeDocument/2006/relationships/hyperlink" Target="https://sealeddeck.tech/EHs19jxh8K" TargetMode="External"/><Relationship Id="rId81" Type="http://schemas.openxmlformats.org/officeDocument/2006/relationships/hyperlink" Target="https://sealeddeck.tech/yEg66yS78f" TargetMode="External"/><Relationship Id="rId701" Type="http://schemas.openxmlformats.org/officeDocument/2006/relationships/hyperlink" Target="https://sealeddeck.tech/MJafPS1gfF" TargetMode="External"/><Relationship Id="rId700" Type="http://schemas.openxmlformats.org/officeDocument/2006/relationships/hyperlink" Target="https://sealeddeck.tech/rkRbMMmyDe" TargetMode="External"/><Relationship Id="rId705" Type="http://schemas.openxmlformats.org/officeDocument/2006/relationships/hyperlink" Target="https://sealeddeck.tech/VguXqSE4nT" TargetMode="External"/><Relationship Id="rId704" Type="http://schemas.openxmlformats.org/officeDocument/2006/relationships/hyperlink" Target="https://sealeddeck.tech/YHxcrrKT1a" TargetMode="External"/><Relationship Id="rId703" Type="http://schemas.openxmlformats.org/officeDocument/2006/relationships/hyperlink" Target="https://sealeddeck.tech/1QAs2Q5k8S" TargetMode="External"/><Relationship Id="rId702" Type="http://schemas.openxmlformats.org/officeDocument/2006/relationships/hyperlink" Target="https://sealeddeck.tech/VHTSe7qjs8" TargetMode="External"/><Relationship Id="rId1770" Type="http://schemas.openxmlformats.org/officeDocument/2006/relationships/hyperlink" Target="https://sealeddeck.tech/1fLgj2rSrx" TargetMode="External"/><Relationship Id="rId1771" Type="http://schemas.openxmlformats.org/officeDocument/2006/relationships/hyperlink" Target="https://sealeddeck.tech/2uRQvgGt38" TargetMode="External"/><Relationship Id="rId1772" Type="http://schemas.openxmlformats.org/officeDocument/2006/relationships/hyperlink" Target="https://sealeddeck.tech/3jQU8UXfJL" TargetMode="External"/><Relationship Id="rId1773" Type="http://schemas.openxmlformats.org/officeDocument/2006/relationships/hyperlink" Target="https://sealeddeck.tech/AdV8AAhW17" TargetMode="External"/><Relationship Id="rId73" Type="http://schemas.openxmlformats.org/officeDocument/2006/relationships/hyperlink" Target="https://sealeddeck.tech/Rd4J6jYW8g" TargetMode="External"/><Relationship Id="rId1763" Type="http://schemas.openxmlformats.org/officeDocument/2006/relationships/hyperlink" Target="https://sealeddeck.tech/uFYuY85pQh" TargetMode="External"/><Relationship Id="rId72" Type="http://schemas.openxmlformats.org/officeDocument/2006/relationships/hyperlink" Target="https://sealeddeck.tech/qn4kq4yNN6" TargetMode="External"/><Relationship Id="rId1764" Type="http://schemas.openxmlformats.org/officeDocument/2006/relationships/hyperlink" Target="https://sealeddeck.tech/Tsv8YhVVYS" TargetMode="External"/><Relationship Id="rId75" Type="http://schemas.openxmlformats.org/officeDocument/2006/relationships/hyperlink" Target="https://sealeddeck.tech/qibEp9Ytz7" TargetMode="External"/><Relationship Id="rId1765" Type="http://schemas.openxmlformats.org/officeDocument/2006/relationships/hyperlink" Target="https://sealeddeck.tech/SQqVNsGqqV" TargetMode="External"/><Relationship Id="rId74" Type="http://schemas.openxmlformats.org/officeDocument/2006/relationships/hyperlink" Target="https://sealeddeck.tech/9HFPowjCCS" TargetMode="External"/><Relationship Id="rId1766" Type="http://schemas.openxmlformats.org/officeDocument/2006/relationships/hyperlink" Target="https://sealeddeck.tech/SmGzfGfQaU" TargetMode="External"/><Relationship Id="rId77" Type="http://schemas.openxmlformats.org/officeDocument/2006/relationships/hyperlink" Target="https://sealeddeck.tech/dnMoNjuab6" TargetMode="External"/><Relationship Id="rId1767" Type="http://schemas.openxmlformats.org/officeDocument/2006/relationships/hyperlink" Target="https://sealeddeck.tech/TKzQpKJn3n" TargetMode="External"/><Relationship Id="rId76" Type="http://schemas.openxmlformats.org/officeDocument/2006/relationships/hyperlink" Target="https://sealeddeck.tech/wrTKGUYdu3" TargetMode="External"/><Relationship Id="rId1768" Type="http://schemas.openxmlformats.org/officeDocument/2006/relationships/hyperlink" Target="https://sealeddeck.tech/u4hQgowyeU" TargetMode="External"/><Relationship Id="rId79" Type="http://schemas.openxmlformats.org/officeDocument/2006/relationships/hyperlink" Target="https://sealeddeck.tech/3UeWpg2xrE" TargetMode="External"/><Relationship Id="rId1769" Type="http://schemas.openxmlformats.org/officeDocument/2006/relationships/hyperlink" Target="https://sealeddeck.tech/KnzyA7Dr3t" TargetMode="External"/><Relationship Id="rId78" Type="http://schemas.openxmlformats.org/officeDocument/2006/relationships/hyperlink" Target="https://sealeddeck.tech/injhCFeuno" TargetMode="External"/><Relationship Id="rId71" Type="http://schemas.openxmlformats.org/officeDocument/2006/relationships/hyperlink" Target="https://sealeddeck.tech/jW87bkD3Z9" TargetMode="External"/><Relationship Id="rId70" Type="http://schemas.openxmlformats.org/officeDocument/2006/relationships/hyperlink" Target="https://sealeddeck.tech/XBHWMKmGdD" TargetMode="External"/><Relationship Id="rId1760" Type="http://schemas.openxmlformats.org/officeDocument/2006/relationships/hyperlink" Target="https://sealeddeck.tech/d4vZAv8uqy" TargetMode="External"/><Relationship Id="rId1761" Type="http://schemas.openxmlformats.org/officeDocument/2006/relationships/hyperlink" Target="https://sealeddeck.tech/wGb81zbSAo" TargetMode="External"/><Relationship Id="rId1762" Type="http://schemas.openxmlformats.org/officeDocument/2006/relationships/hyperlink" Target="https://sealeddeck.tech/CFg9m4w8we" TargetMode="External"/><Relationship Id="rId62" Type="http://schemas.openxmlformats.org/officeDocument/2006/relationships/hyperlink" Target="https://sealeddeck.tech/fJowLoU4zx" TargetMode="External"/><Relationship Id="rId1312" Type="http://schemas.openxmlformats.org/officeDocument/2006/relationships/hyperlink" Target="https://sealeddeck.tech/eaLd8ZP4Wy" TargetMode="External"/><Relationship Id="rId1796" Type="http://schemas.openxmlformats.org/officeDocument/2006/relationships/hyperlink" Target="https://sealeddeck.tech/RaVjKV75ez" TargetMode="External"/><Relationship Id="rId61" Type="http://schemas.openxmlformats.org/officeDocument/2006/relationships/hyperlink" Target="https://sealeddeck.tech/LkJkbRnDaa" TargetMode="External"/><Relationship Id="rId1313" Type="http://schemas.openxmlformats.org/officeDocument/2006/relationships/hyperlink" Target="https://sealeddeck.tech/Eq8Rrdny4j" TargetMode="External"/><Relationship Id="rId1797" Type="http://schemas.openxmlformats.org/officeDocument/2006/relationships/hyperlink" Target="https://sealeddeck.tech/659CoCwpyV" TargetMode="External"/><Relationship Id="rId64" Type="http://schemas.openxmlformats.org/officeDocument/2006/relationships/hyperlink" Target="https://sealeddeck.tech/2eCKLEhwbd" TargetMode="External"/><Relationship Id="rId1314" Type="http://schemas.openxmlformats.org/officeDocument/2006/relationships/hyperlink" Target="https://sealeddeck.tech/esHLegbWsP" TargetMode="External"/><Relationship Id="rId1798" Type="http://schemas.openxmlformats.org/officeDocument/2006/relationships/hyperlink" Target="https://sealeddeck.tech/u9ftrhEAsW" TargetMode="External"/><Relationship Id="rId63" Type="http://schemas.openxmlformats.org/officeDocument/2006/relationships/hyperlink" Target="https://sealeddeck.tech/NVkGzg5iUk" TargetMode="External"/><Relationship Id="rId1315" Type="http://schemas.openxmlformats.org/officeDocument/2006/relationships/hyperlink" Target="https://sealeddeck.tech/MuKGUJ38XS" TargetMode="External"/><Relationship Id="rId1799" Type="http://schemas.openxmlformats.org/officeDocument/2006/relationships/hyperlink" Target="https://sealeddeck.tech/kMKmW2zAM2" TargetMode="External"/><Relationship Id="rId66" Type="http://schemas.openxmlformats.org/officeDocument/2006/relationships/hyperlink" Target="https://sealeddeck.tech/ExXiZee3er" TargetMode="External"/><Relationship Id="rId1316" Type="http://schemas.openxmlformats.org/officeDocument/2006/relationships/hyperlink" Target="https://sealeddeck.tech/QjxUXAP8Jk" TargetMode="External"/><Relationship Id="rId65" Type="http://schemas.openxmlformats.org/officeDocument/2006/relationships/hyperlink" Target="https://sealeddeck.tech/4Pero7Vt5j" TargetMode="External"/><Relationship Id="rId1317" Type="http://schemas.openxmlformats.org/officeDocument/2006/relationships/hyperlink" Target="https://sealeddeck.tech/pVBFRsiwBP" TargetMode="External"/><Relationship Id="rId68" Type="http://schemas.openxmlformats.org/officeDocument/2006/relationships/hyperlink" Target="https://sealeddeck.tech/ZDYxLY7Qkq" TargetMode="External"/><Relationship Id="rId1318" Type="http://schemas.openxmlformats.org/officeDocument/2006/relationships/hyperlink" Target="https://sealeddeck.tech/5oFbSqXpjr" TargetMode="External"/><Relationship Id="rId67" Type="http://schemas.openxmlformats.org/officeDocument/2006/relationships/hyperlink" Target="https://sealeddeck.tech/9ZTBNLmKmi" TargetMode="External"/><Relationship Id="rId1319" Type="http://schemas.openxmlformats.org/officeDocument/2006/relationships/hyperlink" Target="https://sealeddeck.tech/fpLhn2wDbQ" TargetMode="External"/><Relationship Id="rId729" Type="http://schemas.openxmlformats.org/officeDocument/2006/relationships/hyperlink" Target="https://sealeddeck.tech/T4oiKiVdwH" TargetMode="External"/><Relationship Id="rId728" Type="http://schemas.openxmlformats.org/officeDocument/2006/relationships/hyperlink" Target="https://sealeddeck.tech/fV6zqgC29c" TargetMode="External"/><Relationship Id="rId60" Type="http://schemas.openxmlformats.org/officeDocument/2006/relationships/hyperlink" Target="https://sealeddeck.tech/PrqDsadYci" TargetMode="External"/><Relationship Id="rId723" Type="http://schemas.openxmlformats.org/officeDocument/2006/relationships/hyperlink" Target="https://sealeddeck.tech/USgEPxsYpf" TargetMode="External"/><Relationship Id="rId722" Type="http://schemas.openxmlformats.org/officeDocument/2006/relationships/hyperlink" Target="https://sealeddeck.tech/JjsV8PfPzx" TargetMode="External"/><Relationship Id="rId721" Type="http://schemas.openxmlformats.org/officeDocument/2006/relationships/hyperlink" Target="https://sealeddeck.tech/D5wrkgZW7h" TargetMode="External"/><Relationship Id="rId720" Type="http://schemas.openxmlformats.org/officeDocument/2006/relationships/hyperlink" Target="https://sealeddeck.tech/2VXkvaTG4Z" TargetMode="External"/><Relationship Id="rId727" Type="http://schemas.openxmlformats.org/officeDocument/2006/relationships/hyperlink" Target="https://sealeddeck.tech/ZJs6TfEYj3" TargetMode="External"/><Relationship Id="rId726" Type="http://schemas.openxmlformats.org/officeDocument/2006/relationships/hyperlink" Target="https://sealeddeck.tech/zyihUzLSBP" TargetMode="External"/><Relationship Id="rId725" Type="http://schemas.openxmlformats.org/officeDocument/2006/relationships/hyperlink" Target="https://sealeddeck.tech/E5a887KZGf" TargetMode="External"/><Relationship Id="rId724" Type="http://schemas.openxmlformats.org/officeDocument/2006/relationships/hyperlink" Target="https://sealeddeck.tech/c4dVCzCkjg" TargetMode="External"/><Relationship Id="rId69" Type="http://schemas.openxmlformats.org/officeDocument/2006/relationships/hyperlink" Target="https://sealeddeck.tech/qLcCt6kNdJ" TargetMode="External"/><Relationship Id="rId1790" Type="http://schemas.openxmlformats.org/officeDocument/2006/relationships/hyperlink" Target="https://sealeddeck.tech/RJb8FujaDH" TargetMode="External"/><Relationship Id="rId1791" Type="http://schemas.openxmlformats.org/officeDocument/2006/relationships/hyperlink" Target="https://sealeddeck.tech/LnQCYKVagn" TargetMode="External"/><Relationship Id="rId1792" Type="http://schemas.openxmlformats.org/officeDocument/2006/relationships/hyperlink" Target="https://sealeddeck.tech/CAZU3g49no" TargetMode="External"/><Relationship Id="rId1793" Type="http://schemas.openxmlformats.org/officeDocument/2006/relationships/hyperlink" Target="https://sealeddeck.tech/MfSw4jWVP8" TargetMode="External"/><Relationship Id="rId1310" Type="http://schemas.openxmlformats.org/officeDocument/2006/relationships/hyperlink" Target="https://sealeddeck.tech/wB3R7fCppn" TargetMode="External"/><Relationship Id="rId1794" Type="http://schemas.openxmlformats.org/officeDocument/2006/relationships/hyperlink" Target="https://sealeddeck.tech/d9asGxo9Mb" TargetMode="External"/><Relationship Id="rId1311" Type="http://schemas.openxmlformats.org/officeDocument/2006/relationships/hyperlink" Target="https://sealeddeck.tech/2waazoryhm" TargetMode="External"/><Relationship Id="rId1795" Type="http://schemas.openxmlformats.org/officeDocument/2006/relationships/hyperlink" Target="https://sealeddeck.tech/D57y1VsRB8" TargetMode="External"/><Relationship Id="rId51" Type="http://schemas.openxmlformats.org/officeDocument/2006/relationships/hyperlink" Target="https://sealeddeck.tech/kAa6DpL1Qd" TargetMode="External"/><Relationship Id="rId1301" Type="http://schemas.openxmlformats.org/officeDocument/2006/relationships/hyperlink" Target="https://sealeddeck.tech/SxNBm6dRZP" TargetMode="External"/><Relationship Id="rId1785" Type="http://schemas.openxmlformats.org/officeDocument/2006/relationships/hyperlink" Target="https://sealeddeck.tech/4G5KmK8reN" TargetMode="External"/><Relationship Id="rId50" Type="http://schemas.openxmlformats.org/officeDocument/2006/relationships/hyperlink" Target="https://sealeddeck.tech/rd357jMsRv" TargetMode="External"/><Relationship Id="rId1302" Type="http://schemas.openxmlformats.org/officeDocument/2006/relationships/hyperlink" Target="https://sealeddeck.tech/rT69WnrXwB" TargetMode="External"/><Relationship Id="rId1786" Type="http://schemas.openxmlformats.org/officeDocument/2006/relationships/hyperlink" Target="https://sealeddeck.tech/UxUMf68cht" TargetMode="External"/><Relationship Id="rId53" Type="http://schemas.openxmlformats.org/officeDocument/2006/relationships/hyperlink" Target="https://sealeddeck.tech/cM7YPf5dWv" TargetMode="External"/><Relationship Id="rId1303" Type="http://schemas.openxmlformats.org/officeDocument/2006/relationships/hyperlink" Target="https://sealeddeck.tech/HiXDXvUWfs" TargetMode="External"/><Relationship Id="rId1787" Type="http://schemas.openxmlformats.org/officeDocument/2006/relationships/hyperlink" Target="https://sealeddeck.tech/tFUZUzbsFo" TargetMode="External"/><Relationship Id="rId52" Type="http://schemas.openxmlformats.org/officeDocument/2006/relationships/hyperlink" Target="https://sealeddeck.tech/GM4WfkXyBd" TargetMode="External"/><Relationship Id="rId1304" Type="http://schemas.openxmlformats.org/officeDocument/2006/relationships/hyperlink" Target="https://sealeddeck.tech/jxaAgp5bPh" TargetMode="External"/><Relationship Id="rId1788" Type="http://schemas.openxmlformats.org/officeDocument/2006/relationships/hyperlink" Target="https://sealeddeck.tech/9XoqeHqaHc" TargetMode="External"/><Relationship Id="rId55" Type="http://schemas.openxmlformats.org/officeDocument/2006/relationships/hyperlink" Target="https://sealeddeck.tech/d1J4qSoJU3" TargetMode="External"/><Relationship Id="rId1305" Type="http://schemas.openxmlformats.org/officeDocument/2006/relationships/hyperlink" Target="https://sealeddeck.tech/HWnbMrZ2B5" TargetMode="External"/><Relationship Id="rId1789" Type="http://schemas.openxmlformats.org/officeDocument/2006/relationships/hyperlink" Target="https://sealeddeck.tech/iJJ4xwpA2T" TargetMode="External"/><Relationship Id="rId54" Type="http://schemas.openxmlformats.org/officeDocument/2006/relationships/hyperlink" Target="https://sealeddeck.tech/baS3pSaGuM" TargetMode="External"/><Relationship Id="rId1306" Type="http://schemas.openxmlformats.org/officeDocument/2006/relationships/hyperlink" Target="https://sealeddeck.tech/jqroqSnPTV" TargetMode="External"/><Relationship Id="rId57" Type="http://schemas.openxmlformats.org/officeDocument/2006/relationships/hyperlink" Target="https://sealeddeck.tech/H1haQDBurn" TargetMode="External"/><Relationship Id="rId1307" Type="http://schemas.openxmlformats.org/officeDocument/2006/relationships/hyperlink" Target="https://sealeddeck.tech/mVkz2CFBXw" TargetMode="External"/><Relationship Id="rId56" Type="http://schemas.openxmlformats.org/officeDocument/2006/relationships/hyperlink" Target="https://sealeddeck.tech/1tRiuTnj3y" TargetMode="External"/><Relationship Id="rId1308" Type="http://schemas.openxmlformats.org/officeDocument/2006/relationships/hyperlink" Target="https://sealeddeck.tech/FEUfuMP2xk" TargetMode="External"/><Relationship Id="rId1309" Type="http://schemas.openxmlformats.org/officeDocument/2006/relationships/hyperlink" Target="https://sealeddeck.tech/TBGjzQzumF" TargetMode="External"/><Relationship Id="rId719" Type="http://schemas.openxmlformats.org/officeDocument/2006/relationships/hyperlink" Target="https://sealeddeck.tech/embnjT4YLR" TargetMode="External"/><Relationship Id="rId718" Type="http://schemas.openxmlformats.org/officeDocument/2006/relationships/hyperlink" Target="https://sealeddeck.tech/73U8HALX5M" TargetMode="External"/><Relationship Id="rId717" Type="http://schemas.openxmlformats.org/officeDocument/2006/relationships/hyperlink" Target="https://sealeddeck.tech/AfTgKMUJvw" TargetMode="External"/><Relationship Id="rId712" Type="http://schemas.openxmlformats.org/officeDocument/2006/relationships/hyperlink" Target="https://sealeddeck.tech/xWgAvfYupf" TargetMode="External"/><Relationship Id="rId711" Type="http://schemas.openxmlformats.org/officeDocument/2006/relationships/hyperlink" Target="https://sealeddeck.tech/eNq1UU14XR" TargetMode="External"/><Relationship Id="rId710" Type="http://schemas.openxmlformats.org/officeDocument/2006/relationships/hyperlink" Target="https://sealeddeck.tech/TRjJ9bfP7b" TargetMode="External"/><Relationship Id="rId716" Type="http://schemas.openxmlformats.org/officeDocument/2006/relationships/hyperlink" Target="https://sealeddeck.tech/yrU2bSEdvD" TargetMode="External"/><Relationship Id="rId715" Type="http://schemas.openxmlformats.org/officeDocument/2006/relationships/hyperlink" Target="https://sealeddeck.tech/Vw529fJfdD" TargetMode="External"/><Relationship Id="rId714" Type="http://schemas.openxmlformats.org/officeDocument/2006/relationships/hyperlink" Target="https://sealeddeck.tech/6EHsdWtck9" TargetMode="External"/><Relationship Id="rId713" Type="http://schemas.openxmlformats.org/officeDocument/2006/relationships/hyperlink" Target="https://sealeddeck.tech/FmimjcBGw2" TargetMode="External"/><Relationship Id="rId59" Type="http://schemas.openxmlformats.org/officeDocument/2006/relationships/hyperlink" Target="https://sealeddeck.tech/7aFTMcS1JR" TargetMode="External"/><Relationship Id="rId58" Type="http://schemas.openxmlformats.org/officeDocument/2006/relationships/hyperlink" Target="https://sealeddeck.tech/CHMvsNyU93" TargetMode="External"/><Relationship Id="rId1780" Type="http://schemas.openxmlformats.org/officeDocument/2006/relationships/hyperlink" Target="https://sealeddeck.tech/qK8VZxksgf" TargetMode="External"/><Relationship Id="rId1781" Type="http://schemas.openxmlformats.org/officeDocument/2006/relationships/hyperlink" Target="https://sealeddeck.tech/xfcJ4CtFRh" TargetMode="External"/><Relationship Id="rId1782" Type="http://schemas.openxmlformats.org/officeDocument/2006/relationships/hyperlink" Target="https://sealeddeck.tech/TJecUNG1Dx" TargetMode="External"/><Relationship Id="rId1783" Type="http://schemas.openxmlformats.org/officeDocument/2006/relationships/hyperlink" Target="https://sealeddeck.tech/86Y1Qg2T8j" TargetMode="External"/><Relationship Id="rId1300" Type="http://schemas.openxmlformats.org/officeDocument/2006/relationships/hyperlink" Target="https://sealeddeck.tech/3T4uyPNs3M" TargetMode="External"/><Relationship Id="rId1784" Type="http://schemas.openxmlformats.org/officeDocument/2006/relationships/hyperlink" Target="https://sealeddeck.tech/CzMYaNfEL3" TargetMode="External"/><Relationship Id="rId349" Type="http://schemas.openxmlformats.org/officeDocument/2006/relationships/hyperlink" Target="https://sealeddeck.tech/8mVVfU5kkW" TargetMode="External"/><Relationship Id="rId348" Type="http://schemas.openxmlformats.org/officeDocument/2006/relationships/hyperlink" Target="https://sealeddeck.tech/xircsB9uDy" TargetMode="External"/><Relationship Id="rId347" Type="http://schemas.openxmlformats.org/officeDocument/2006/relationships/hyperlink" Target="https://sealeddeck.tech/2Q4ubcwWKT" TargetMode="External"/><Relationship Id="rId346" Type="http://schemas.openxmlformats.org/officeDocument/2006/relationships/hyperlink" Target="https://sealeddeck.tech/XT5yUPojps" TargetMode="External"/><Relationship Id="rId341" Type="http://schemas.openxmlformats.org/officeDocument/2006/relationships/hyperlink" Target="https://sealeddeck.tech/suko23dmPc" TargetMode="External"/><Relationship Id="rId340" Type="http://schemas.openxmlformats.org/officeDocument/2006/relationships/hyperlink" Target="https://sealeddeck.tech/kcbSbsvnWa" TargetMode="External"/><Relationship Id="rId345" Type="http://schemas.openxmlformats.org/officeDocument/2006/relationships/hyperlink" Target="https://sealeddeck.tech/rFqYXrhhaA" TargetMode="External"/><Relationship Id="rId344" Type="http://schemas.openxmlformats.org/officeDocument/2006/relationships/hyperlink" Target="https://sealeddeck.tech/mLUnMB9wDR" TargetMode="External"/><Relationship Id="rId343" Type="http://schemas.openxmlformats.org/officeDocument/2006/relationships/hyperlink" Target="https://sealeddeck.tech/CCjzWz5Lgv" TargetMode="External"/><Relationship Id="rId342" Type="http://schemas.openxmlformats.org/officeDocument/2006/relationships/hyperlink" Target="https://sealeddeck.tech/h8GAL8KKVp" TargetMode="External"/><Relationship Id="rId338" Type="http://schemas.openxmlformats.org/officeDocument/2006/relationships/hyperlink" Target="https://sealeddeck.tech/4sxBFCVwL8" TargetMode="External"/><Relationship Id="rId337" Type="http://schemas.openxmlformats.org/officeDocument/2006/relationships/hyperlink" Target="https://sealeddeck.tech/gQCLpqA3b7" TargetMode="External"/><Relationship Id="rId336" Type="http://schemas.openxmlformats.org/officeDocument/2006/relationships/hyperlink" Target="https://sealeddeck.tech/DpRG7KZHKc" TargetMode="External"/><Relationship Id="rId335" Type="http://schemas.openxmlformats.org/officeDocument/2006/relationships/hyperlink" Target="https://sealeddeck.tech/Lp4BZQKP31" TargetMode="External"/><Relationship Id="rId339" Type="http://schemas.openxmlformats.org/officeDocument/2006/relationships/hyperlink" Target="https://sealeddeck.tech/RfbSkbCfua" TargetMode="External"/><Relationship Id="rId330" Type="http://schemas.openxmlformats.org/officeDocument/2006/relationships/hyperlink" Target="https://sealeddeck.tech/6AAZYmXrCD" TargetMode="External"/><Relationship Id="rId334" Type="http://schemas.openxmlformats.org/officeDocument/2006/relationships/hyperlink" Target="https://sealeddeck.tech/EwoJnapndc" TargetMode="External"/><Relationship Id="rId333" Type="http://schemas.openxmlformats.org/officeDocument/2006/relationships/hyperlink" Target="https://sealeddeck.tech/A3zurbAHBL" TargetMode="External"/><Relationship Id="rId332" Type="http://schemas.openxmlformats.org/officeDocument/2006/relationships/hyperlink" Target="https://sealeddeck.tech/kp7Qurj3zC" TargetMode="External"/><Relationship Id="rId331" Type="http://schemas.openxmlformats.org/officeDocument/2006/relationships/hyperlink" Target="https://sealeddeck.tech/Nt1Xn11vng" TargetMode="External"/><Relationship Id="rId370" Type="http://schemas.openxmlformats.org/officeDocument/2006/relationships/hyperlink" Target="https://sealeddeck.tech/gYoBSfmYcN" TargetMode="External"/><Relationship Id="rId369" Type="http://schemas.openxmlformats.org/officeDocument/2006/relationships/hyperlink" Target="https://sealeddeck.tech/ELL2iNb3GG" TargetMode="External"/><Relationship Id="rId368" Type="http://schemas.openxmlformats.org/officeDocument/2006/relationships/hyperlink" Target="https://sealeddeck.tech/sPGmTsXDTL" TargetMode="External"/><Relationship Id="rId363" Type="http://schemas.openxmlformats.org/officeDocument/2006/relationships/hyperlink" Target="https://sealeddeck.tech/fzXkmoddx3" TargetMode="External"/><Relationship Id="rId362" Type="http://schemas.openxmlformats.org/officeDocument/2006/relationships/hyperlink" Target="https://sealeddeck.tech/X1uAtDdCrN" TargetMode="External"/><Relationship Id="rId361" Type="http://schemas.openxmlformats.org/officeDocument/2006/relationships/hyperlink" Target="https://sealeddeck.tech/HDojYZSXmp" TargetMode="External"/><Relationship Id="rId360" Type="http://schemas.openxmlformats.org/officeDocument/2006/relationships/hyperlink" Target="https://sealeddeck.tech/B9x8BdHE8n" TargetMode="External"/><Relationship Id="rId367" Type="http://schemas.openxmlformats.org/officeDocument/2006/relationships/hyperlink" Target="https://sealeddeck.tech/ZomhVUXus2" TargetMode="External"/><Relationship Id="rId366" Type="http://schemas.openxmlformats.org/officeDocument/2006/relationships/hyperlink" Target="https://sealeddeck.tech/KE1ZSsVTna" TargetMode="External"/><Relationship Id="rId365" Type="http://schemas.openxmlformats.org/officeDocument/2006/relationships/hyperlink" Target="https://sealeddeck.tech/Yn1UMDvQPD" TargetMode="External"/><Relationship Id="rId364" Type="http://schemas.openxmlformats.org/officeDocument/2006/relationships/hyperlink" Target="https://sealeddeck.tech/p9TRfq6spa" TargetMode="External"/><Relationship Id="rId95" Type="http://schemas.openxmlformats.org/officeDocument/2006/relationships/hyperlink" Target="https://sealeddeck.tech/wY9uSwL1mu" TargetMode="External"/><Relationship Id="rId94" Type="http://schemas.openxmlformats.org/officeDocument/2006/relationships/hyperlink" Target="https://sealeddeck.tech/TqrWxdC3pR" TargetMode="External"/><Relationship Id="rId97" Type="http://schemas.openxmlformats.org/officeDocument/2006/relationships/hyperlink" Target="https://sealeddeck.tech/bgHNeL7mMV" TargetMode="External"/><Relationship Id="rId96" Type="http://schemas.openxmlformats.org/officeDocument/2006/relationships/hyperlink" Target="https://sealeddeck.tech/6dkT1MWTw7" TargetMode="External"/><Relationship Id="rId99" Type="http://schemas.openxmlformats.org/officeDocument/2006/relationships/hyperlink" Target="https://sealeddeck.tech/KJehb2C111" TargetMode="External"/><Relationship Id="rId98" Type="http://schemas.openxmlformats.org/officeDocument/2006/relationships/hyperlink" Target="https://sealeddeck.tech/mc6NYrCE36" TargetMode="External"/><Relationship Id="rId91" Type="http://schemas.openxmlformats.org/officeDocument/2006/relationships/hyperlink" Target="https://sealeddeck.tech/b4a94hFKQk" TargetMode="External"/><Relationship Id="rId90" Type="http://schemas.openxmlformats.org/officeDocument/2006/relationships/hyperlink" Target="https://sealeddeck.tech/5XZ3U41Xy8" TargetMode="External"/><Relationship Id="rId93" Type="http://schemas.openxmlformats.org/officeDocument/2006/relationships/hyperlink" Target="https://sealeddeck.tech/x2zzsxXScz" TargetMode="External"/><Relationship Id="rId92" Type="http://schemas.openxmlformats.org/officeDocument/2006/relationships/hyperlink" Target="https://sealeddeck.tech/hoq7ciuiW3" TargetMode="External"/><Relationship Id="rId359" Type="http://schemas.openxmlformats.org/officeDocument/2006/relationships/hyperlink" Target="https://sealeddeck.tech/cVZcgs7vx1" TargetMode="External"/><Relationship Id="rId358" Type="http://schemas.openxmlformats.org/officeDocument/2006/relationships/hyperlink" Target="https://sealeddeck.tech/dvwt3qg8BC" TargetMode="External"/><Relationship Id="rId357" Type="http://schemas.openxmlformats.org/officeDocument/2006/relationships/hyperlink" Target="https://sealeddeck.tech/ozNpWqPixB" TargetMode="External"/><Relationship Id="rId352" Type="http://schemas.openxmlformats.org/officeDocument/2006/relationships/hyperlink" Target="https://sealeddeck.tech/h582icRfBB" TargetMode="External"/><Relationship Id="rId351" Type="http://schemas.openxmlformats.org/officeDocument/2006/relationships/hyperlink" Target="https://sealeddeck.tech/kp6VNoHNxw" TargetMode="External"/><Relationship Id="rId350" Type="http://schemas.openxmlformats.org/officeDocument/2006/relationships/hyperlink" Target="https://sealeddeck.tech/aKjZzv9yvT" TargetMode="External"/><Relationship Id="rId356" Type="http://schemas.openxmlformats.org/officeDocument/2006/relationships/hyperlink" Target="https://sealeddeck.tech/2tnfd5L5PF" TargetMode="External"/><Relationship Id="rId355" Type="http://schemas.openxmlformats.org/officeDocument/2006/relationships/hyperlink" Target="https://sealeddeck.tech/CxJ65sbKfb" TargetMode="External"/><Relationship Id="rId354" Type="http://schemas.openxmlformats.org/officeDocument/2006/relationships/hyperlink" Target="https://sealeddeck.tech/KABMLPNGjF" TargetMode="External"/><Relationship Id="rId353" Type="http://schemas.openxmlformats.org/officeDocument/2006/relationships/hyperlink" Target="https://sealeddeck.tech/Zg977VWMBs" TargetMode="External"/><Relationship Id="rId1378" Type="http://schemas.openxmlformats.org/officeDocument/2006/relationships/hyperlink" Target="https://sealeddeck.tech/fbDRAp6SZF" TargetMode="External"/><Relationship Id="rId1379" Type="http://schemas.openxmlformats.org/officeDocument/2006/relationships/hyperlink" Target="https://sealeddeck.tech/LMfX65qysB" TargetMode="External"/><Relationship Id="rId305" Type="http://schemas.openxmlformats.org/officeDocument/2006/relationships/hyperlink" Target="https://sealeddeck.tech/VvEQxVXFDm" TargetMode="External"/><Relationship Id="rId789" Type="http://schemas.openxmlformats.org/officeDocument/2006/relationships/hyperlink" Target="https://sealeddeck.tech/E7tPg7BTQr" TargetMode="External"/><Relationship Id="rId304" Type="http://schemas.openxmlformats.org/officeDocument/2006/relationships/hyperlink" Target="https://sealeddeck.tech/7Tw1K9GcdB" TargetMode="External"/><Relationship Id="rId788" Type="http://schemas.openxmlformats.org/officeDocument/2006/relationships/hyperlink" Target="https://sealeddeck.tech/HRhiyMNubL" TargetMode="External"/><Relationship Id="rId303" Type="http://schemas.openxmlformats.org/officeDocument/2006/relationships/hyperlink" Target="https://sealeddeck.tech/J14iStRX99" TargetMode="External"/><Relationship Id="rId787" Type="http://schemas.openxmlformats.org/officeDocument/2006/relationships/hyperlink" Target="https://sealeddeck.tech/EiNLZTg3jz" TargetMode="External"/><Relationship Id="rId302" Type="http://schemas.openxmlformats.org/officeDocument/2006/relationships/hyperlink" Target="https://sealeddeck.tech/uWfRkTNdSS" TargetMode="External"/><Relationship Id="rId786" Type="http://schemas.openxmlformats.org/officeDocument/2006/relationships/hyperlink" Target="https://sealeddeck.tech/Th7UXj7fCj" TargetMode="External"/><Relationship Id="rId309" Type="http://schemas.openxmlformats.org/officeDocument/2006/relationships/hyperlink" Target="https://sealeddeck.tech/HgmhRcLpDH" TargetMode="External"/><Relationship Id="rId308" Type="http://schemas.openxmlformats.org/officeDocument/2006/relationships/hyperlink" Target="https://sealeddeck.tech/9hvfxxobx8" TargetMode="External"/><Relationship Id="rId307" Type="http://schemas.openxmlformats.org/officeDocument/2006/relationships/hyperlink" Target="https://sealeddeck.tech/c84V1XvHEa" TargetMode="External"/><Relationship Id="rId306" Type="http://schemas.openxmlformats.org/officeDocument/2006/relationships/hyperlink" Target="https://sealeddeck.tech/paMGdVcbb6" TargetMode="External"/><Relationship Id="rId781" Type="http://schemas.openxmlformats.org/officeDocument/2006/relationships/hyperlink" Target="https://sealeddeck.tech/QbxYkfSkei" TargetMode="External"/><Relationship Id="rId1370" Type="http://schemas.openxmlformats.org/officeDocument/2006/relationships/hyperlink" Target="https://sealeddeck.tech/EHhmTTyh7m" TargetMode="External"/><Relationship Id="rId780" Type="http://schemas.openxmlformats.org/officeDocument/2006/relationships/hyperlink" Target="https://sealeddeck.tech/aM6yNWSWmt" TargetMode="External"/><Relationship Id="rId1371" Type="http://schemas.openxmlformats.org/officeDocument/2006/relationships/hyperlink" Target="https://sealeddeck.tech/VuMfPQnETM" TargetMode="External"/><Relationship Id="rId1372" Type="http://schemas.openxmlformats.org/officeDocument/2006/relationships/hyperlink" Target="https://sealeddeck.tech/wYQi3pjT8Y" TargetMode="External"/><Relationship Id="rId1373" Type="http://schemas.openxmlformats.org/officeDocument/2006/relationships/hyperlink" Target="https://sealeddeck.tech/n4UZ8Rte4X" TargetMode="External"/><Relationship Id="rId301" Type="http://schemas.openxmlformats.org/officeDocument/2006/relationships/hyperlink" Target="https://sealeddeck.tech/YELPqYAjNQ" TargetMode="External"/><Relationship Id="rId785" Type="http://schemas.openxmlformats.org/officeDocument/2006/relationships/hyperlink" Target="https://sealeddeck.tech/SAuuzqVQhf" TargetMode="External"/><Relationship Id="rId1374" Type="http://schemas.openxmlformats.org/officeDocument/2006/relationships/hyperlink" Target="https://sealeddeck.tech/d41P9R13p3" TargetMode="External"/><Relationship Id="rId300" Type="http://schemas.openxmlformats.org/officeDocument/2006/relationships/hyperlink" Target="https://sealeddeck.tech/oXFSYTjNg6" TargetMode="External"/><Relationship Id="rId784" Type="http://schemas.openxmlformats.org/officeDocument/2006/relationships/hyperlink" Target="https://sealeddeck.tech/enM8QZHU9W" TargetMode="External"/><Relationship Id="rId1375" Type="http://schemas.openxmlformats.org/officeDocument/2006/relationships/hyperlink" Target="https://sealeddeck.tech/9QoDk7saCp" TargetMode="External"/><Relationship Id="rId783" Type="http://schemas.openxmlformats.org/officeDocument/2006/relationships/hyperlink" Target="https://sealeddeck.tech/CgiTw2dVYi" TargetMode="External"/><Relationship Id="rId1376" Type="http://schemas.openxmlformats.org/officeDocument/2006/relationships/hyperlink" Target="https://sealeddeck.tech/GaLr7iYsQ7" TargetMode="External"/><Relationship Id="rId782" Type="http://schemas.openxmlformats.org/officeDocument/2006/relationships/hyperlink" Target="https://sealeddeck.tech/SgGzhcVpkw" TargetMode="External"/><Relationship Id="rId1377" Type="http://schemas.openxmlformats.org/officeDocument/2006/relationships/hyperlink" Target="https://sealeddeck.tech/BgYtbzL5no" TargetMode="External"/><Relationship Id="rId1367" Type="http://schemas.openxmlformats.org/officeDocument/2006/relationships/hyperlink" Target="https://sealeddeck.tech/affw4GitVN" TargetMode="External"/><Relationship Id="rId1368" Type="http://schemas.openxmlformats.org/officeDocument/2006/relationships/hyperlink" Target="https://sealeddeck.tech/4rvR84zwah" TargetMode="External"/><Relationship Id="rId1369" Type="http://schemas.openxmlformats.org/officeDocument/2006/relationships/hyperlink" Target="https://sealeddeck.tech/BhDURNtRmW" TargetMode="External"/><Relationship Id="rId778" Type="http://schemas.openxmlformats.org/officeDocument/2006/relationships/hyperlink" Target="https://sealeddeck.tech/zRzUfVcbT3" TargetMode="External"/><Relationship Id="rId777" Type="http://schemas.openxmlformats.org/officeDocument/2006/relationships/hyperlink" Target="https://sealeddeck.tech/uMqxcyqRww" TargetMode="External"/><Relationship Id="rId776" Type="http://schemas.openxmlformats.org/officeDocument/2006/relationships/hyperlink" Target="https://sealeddeck.tech/v8ngQ8WH45" TargetMode="External"/><Relationship Id="rId775" Type="http://schemas.openxmlformats.org/officeDocument/2006/relationships/hyperlink" Target="https://sealeddeck.tech/NZHVD8ZVEp" TargetMode="External"/><Relationship Id="rId779" Type="http://schemas.openxmlformats.org/officeDocument/2006/relationships/hyperlink" Target="https://sealeddeck.tech/nLUzDHWCcN" TargetMode="External"/><Relationship Id="rId770" Type="http://schemas.openxmlformats.org/officeDocument/2006/relationships/hyperlink" Target="https://sealeddeck.tech/ScQqS1d9uu" TargetMode="External"/><Relationship Id="rId1360" Type="http://schemas.openxmlformats.org/officeDocument/2006/relationships/hyperlink" Target="https://sealeddeck.tech/H2FXdtJh5E" TargetMode="External"/><Relationship Id="rId1361" Type="http://schemas.openxmlformats.org/officeDocument/2006/relationships/hyperlink" Target="https://sealeddeck.tech/3J5At1JdGB" TargetMode="External"/><Relationship Id="rId1362" Type="http://schemas.openxmlformats.org/officeDocument/2006/relationships/hyperlink" Target="https://sealeddeck.tech/cqTh99ra1n" TargetMode="External"/><Relationship Id="rId774" Type="http://schemas.openxmlformats.org/officeDocument/2006/relationships/hyperlink" Target="https://sealeddeck.tech/kuQNiprKUL" TargetMode="External"/><Relationship Id="rId1363" Type="http://schemas.openxmlformats.org/officeDocument/2006/relationships/hyperlink" Target="https://sealeddeck.tech/jNzWadf2rB" TargetMode="External"/><Relationship Id="rId773" Type="http://schemas.openxmlformats.org/officeDocument/2006/relationships/hyperlink" Target="https://sealeddeck.tech/p8nWZxXM5E" TargetMode="External"/><Relationship Id="rId1364" Type="http://schemas.openxmlformats.org/officeDocument/2006/relationships/hyperlink" Target="https://sealeddeck.tech/XegXhLc8hA" TargetMode="External"/><Relationship Id="rId772" Type="http://schemas.openxmlformats.org/officeDocument/2006/relationships/hyperlink" Target="https://sealeddeck.tech/HYSZodGwTK" TargetMode="External"/><Relationship Id="rId1365" Type="http://schemas.openxmlformats.org/officeDocument/2006/relationships/hyperlink" Target="https://sealeddeck.tech/iFP46eJMtc" TargetMode="External"/><Relationship Id="rId771" Type="http://schemas.openxmlformats.org/officeDocument/2006/relationships/hyperlink" Target="https://sealeddeck.tech/H1BhRUCtgt" TargetMode="External"/><Relationship Id="rId1366" Type="http://schemas.openxmlformats.org/officeDocument/2006/relationships/hyperlink" Target="https://sealeddeck.tech/76FcmuMDC4" TargetMode="External"/><Relationship Id="rId327" Type="http://schemas.openxmlformats.org/officeDocument/2006/relationships/hyperlink" Target="https://sealeddeck.tech/vgGPLhV3Xm" TargetMode="External"/><Relationship Id="rId326" Type="http://schemas.openxmlformats.org/officeDocument/2006/relationships/hyperlink" Target="https://sealeddeck.tech/7TZWM7T3J5" TargetMode="External"/><Relationship Id="rId325" Type="http://schemas.openxmlformats.org/officeDocument/2006/relationships/hyperlink" Target="https://sealeddeck.tech/qojXizJKeJ" TargetMode="External"/><Relationship Id="rId324" Type="http://schemas.openxmlformats.org/officeDocument/2006/relationships/hyperlink" Target="https://sealeddeck.tech/CMrDAhMi1S" TargetMode="External"/><Relationship Id="rId329" Type="http://schemas.openxmlformats.org/officeDocument/2006/relationships/hyperlink" Target="https://sealeddeck.tech/fcAwfHT2dV" TargetMode="External"/><Relationship Id="rId1390" Type="http://schemas.openxmlformats.org/officeDocument/2006/relationships/hyperlink" Target="https://sealeddeck.tech/Z3QTRhL6Ey" TargetMode="External"/><Relationship Id="rId328" Type="http://schemas.openxmlformats.org/officeDocument/2006/relationships/hyperlink" Target="https://sealeddeck.tech/nWDAMe3N89" TargetMode="External"/><Relationship Id="rId1391" Type="http://schemas.openxmlformats.org/officeDocument/2006/relationships/hyperlink" Target="https://sealeddeck.tech/x9dYpKxvpZ" TargetMode="External"/><Relationship Id="rId1392" Type="http://schemas.openxmlformats.org/officeDocument/2006/relationships/hyperlink" Target="https://sealeddeck.tech/wzHgYWgeyU" TargetMode="External"/><Relationship Id="rId1393" Type="http://schemas.openxmlformats.org/officeDocument/2006/relationships/hyperlink" Target="https://sealeddeck.tech/HihDy6LPp8" TargetMode="External"/><Relationship Id="rId1394" Type="http://schemas.openxmlformats.org/officeDocument/2006/relationships/hyperlink" Target="https://sealeddeck.tech/uXcPNrMjpu" TargetMode="External"/><Relationship Id="rId1395" Type="http://schemas.openxmlformats.org/officeDocument/2006/relationships/hyperlink" Target="https://sealeddeck.tech/t5VTU37vd2" TargetMode="External"/><Relationship Id="rId323" Type="http://schemas.openxmlformats.org/officeDocument/2006/relationships/hyperlink" Target="https://sealeddeck.tech/pJCgAgfTn9" TargetMode="External"/><Relationship Id="rId1396" Type="http://schemas.openxmlformats.org/officeDocument/2006/relationships/hyperlink" Target="https://sealeddeck.tech/LyRoZUPfWn" TargetMode="External"/><Relationship Id="rId322" Type="http://schemas.openxmlformats.org/officeDocument/2006/relationships/hyperlink" Target="https://sealeddeck.tech/Au7MMc7Jbu" TargetMode="External"/><Relationship Id="rId1397" Type="http://schemas.openxmlformats.org/officeDocument/2006/relationships/hyperlink" Target="https://sealeddeck.tech/6Vr5xrrqud" TargetMode="External"/><Relationship Id="rId321" Type="http://schemas.openxmlformats.org/officeDocument/2006/relationships/hyperlink" Target="https://sealeddeck.tech/AXAh25Maou" TargetMode="External"/><Relationship Id="rId1398" Type="http://schemas.openxmlformats.org/officeDocument/2006/relationships/hyperlink" Target="https://sealeddeck.tech/xUroMFC64d" TargetMode="External"/><Relationship Id="rId320" Type="http://schemas.openxmlformats.org/officeDocument/2006/relationships/hyperlink" Target="https://sealeddeck.tech/4e3Y5PUd8u" TargetMode="External"/><Relationship Id="rId1399" Type="http://schemas.openxmlformats.org/officeDocument/2006/relationships/hyperlink" Target="https://sealeddeck.tech/T1oBrjEyfX" TargetMode="External"/><Relationship Id="rId1389" Type="http://schemas.openxmlformats.org/officeDocument/2006/relationships/hyperlink" Target="https://sealeddeck.tech/zExjcQjWvC" TargetMode="External"/><Relationship Id="rId316" Type="http://schemas.openxmlformats.org/officeDocument/2006/relationships/hyperlink" Target="https://sealeddeck.tech/XGvBaWjBdU" TargetMode="External"/><Relationship Id="rId315" Type="http://schemas.openxmlformats.org/officeDocument/2006/relationships/hyperlink" Target="https://sealeddeck.tech/pDWokJhWZv" TargetMode="External"/><Relationship Id="rId799" Type="http://schemas.openxmlformats.org/officeDocument/2006/relationships/hyperlink" Target="https://sealeddeck.tech/uiCxzxpnAQ" TargetMode="External"/><Relationship Id="rId314" Type="http://schemas.openxmlformats.org/officeDocument/2006/relationships/hyperlink" Target="https://sealeddeck.tech/MjcuCHZDmd" TargetMode="External"/><Relationship Id="rId798" Type="http://schemas.openxmlformats.org/officeDocument/2006/relationships/hyperlink" Target="https://sealeddeck.tech/fxSaYmY5yC" TargetMode="External"/><Relationship Id="rId313" Type="http://schemas.openxmlformats.org/officeDocument/2006/relationships/hyperlink" Target="https://sealeddeck.tech/P5fYVvNAS4" TargetMode="External"/><Relationship Id="rId797" Type="http://schemas.openxmlformats.org/officeDocument/2006/relationships/hyperlink" Target="https://sealeddeck.tech/aJ1QoHnaS2" TargetMode="External"/><Relationship Id="rId319" Type="http://schemas.openxmlformats.org/officeDocument/2006/relationships/hyperlink" Target="https://sealeddeck.tech/ckxjdqpare" TargetMode="External"/><Relationship Id="rId318" Type="http://schemas.openxmlformats.org/officeDocument/2006/relationships/hyperlink" Target="https://sealeddeck.tech/3BMRX1WuiW" TargetMode="External"/><Relationship Id="rId317" Type="http://schemas.openxmlformats.org/officeDocument/2006/relationships/hyperlink" Target="https://sealeddeck.tech/YqgoUQ1oEX" TargetMode="External"/><Relationship Id="rId1380" Type="http://schemas.openxmlformats.org/officeDocument/2006/relationships/hyperlink" Target="https://sealeddeck.tech/TcfJvDYtxU" TargetMode="External"/><Relationship Id="rId792" Type="http://schemas.openxmlformats.org/officeDocument/2006/relationships/hyperlink" Target="https://sealeddeck.tech/u7a4gaScbY" TargetMode="External"/><Relationship Id="rId1381" Type="http://schemas.openxmlformats.org/officeDocument/2006/relationships/hyperlink" Target="https://sealeddeck.tech/FAYC6nxkhp" TargetMode="External"/><Relationship Id="rId791" Type="http://schemas.openxmlformats.org/officeDocument/2006/relationships/hyperlink" Target="https://sealeddeck.tech/QmtHTMPXsB" TargetMode="External"/><Relationship Id="rId1382" Type="http://schemas.openxmlformats.org/officeDocument/2006/relationships/hyperlink" Target="https://sealeddeck.tech/EzAhJH3oSD" TargetMode="External"/><Relationship Id="rId790" Type="http://schemas.openxmlformats.org/officeDocument/2006/relationships/hyperlink" Target="https://sealeddeck.tech/kYVjgiAQQe" TargetMode="External"/><Relationship Id="rId1383" Type="http://schemas.openxmlformats.org/officeDocument/2006/relationships/hyperlink" Target="https://sealeddeck.tech/eEE6bnKq4F" TargetMode="External"/><Relationship Id="rId1384" Type="http://schemas.openxmlformats.org/officeDocument/2006/relationships/hyperlink" Target="https://sealeddeck.tech/z3kzP6z5BV" TargetMode="External"/><Relationship Id="rId312" Type="http://schemas.openxmlformats.org/officeDocument/2006/relationships/hyperlink" Target="https://sealeddeck.tech/iQ1aT8rft2" TargetMode="External"/><Relationship Id="rId796" Type="http://schemas.openxmlformats.org/officeDocument/2006/relationships/hyperlink" Target="https://sealeddeck.tech/LFXwekK5rD" TargetMode="External"/><Relationship Id="rId1385" Type="http://schemas.openxmlformats.org/officeDocument/2006/relationships/hyperlink" Target="https://sealeddeck.tech/TH5LhZq6HV" TargetMode="External"/><Relationship Id="rId311" Type="http://schemas.openxmlformats.org/officeDocument/2006/relationships/hyperlink" Target="https://sealeddeck.tech/LP3UUstdKb" TargetMode="External"/><Relationship Id="rId795" Type="http://schemas.openxmlformats.org/officeDocument/2006/relationships/hyperlink" Target="https://sealeddeck.tech/Nem94uiSMe" TargetMode="External"/><Relationship Id="rId1386" Type="http://schemas.openxmlformats.org/officeDocument/2006/relationships/hyperlink" Target="https://sealeddeck.tech/TcwTdcQVWQ" TargetMode="External"/><Relationship Id="rId310" Type="http://schemas.openxmlformats.org/officeDocument/2006/relationships/hyperlink" Target="https://sealeddeck.tech/jTYr4jp9xK" TargetMode="External"/><Relationship Id="rId794" Type="http://schemas.openxmlformats.org/officeDocument/2006/relationships/hyperlink" Target="https://sealeddeck.tech/wBLevPHQd9" TargetMode="External"/><Relationship Id="rId1387" Type="http://schemas.openxmlformats.org/officeDocument/2006/relationships/hyperlink" Target="https://sealeddeck.tech/sqMKN3BcoR" TargetMode="External"/><Relationship Id="rId793" Type="http://schemas.openxmlformats.org/officeDocument/2006/relationships/hyperlink" Target="https://sealeddeck.tech/3uZURpN6QA" TargetMode="External"/><Relationship Id="rId1388" Type="http://schemas.openxmlformats.org/officeDocument/2006/relationships/hyperlink" Target="https://sealeddeck.tech/T1NPSMHRPk" TargetMode="External"/><Relationship Id="rId297" Type="http://schemas.openxmlformats.org/officeDocument/2006/relationships/hyperlink" Target="https://sealeddeck.tech/ntMCZW2daf" TargetMode="External"/><Relationship Id="rId296" Type="http://schemas.openxmlformats.org/officeDocument/2006/relationships/hyperlink" Target="https://sealeddeck.tech/STPrWfKYEq" TargetMode="External"/><Relationship Id="rId295" Type="http://schemas.openxmlformats.org/officeDocument/2006/relationships/hyperlink" Target="https://sealeddeck.tech/5tjVa2G6Hy" TargetMode="External"/><Relationship Id="rId294" Type="http://schemas.openxmlformats.org/officeDocument/2006/relationships/hyperlink" Target="https://sealeddeck.tech/aJBHn9T2f3" TargetMode="External"/><Relationship Id="rId299" Type="http://schemas.openxmlformats.org/officeDocument/2006/relationships/hyperlink" Target="https://sealeddeck.tech/d43eiFLSmy" TargetMode="External"/><Relationship Id="rId298" Type="http://schemas.openxmlformats.org/officeDocument/2006/relationships/hyperlink" Target="https://sealeddeck.tech/VBkLMTTDa4" TargetMode="External"/><Relationship Id="rId271" Type="http://schemas.openxmlformats.org/officeDocument/2006/relationships/hyperlink" Target="https://sealeddeck.tech/uCTmGZTWgC" TargetMode="External"/><Relationship Id="rId270" Type="http://schemas.openxmlformats.org/officeDocument/2006/relationships/hyperlink" Target="https://sealeddeck.tech/XLCc8k5MzU" TargetMode="External"/><Relationship Id="rId269" Type="http://schemas.openxmlformats.org/officeDocument/2006/relationships/hyperlink" Target="https://sealeddeck.tech/JaSaoDHwBB" TargetMode="External"/><Relationship Id="rId264" Type="http://schemas.openxmlformats.org/officeDocument/2006/relationships/hyperlink" Target="https://sealeddeck.tech/VHjT4gAVUK" TargetMode="External"/><Relationship Id="rId263" Type="http://schemas.openxmlformats.org/officeDocument/2006/relationships/hyperlink" Target="https://sealeddeck.tech/Et8ZWEzEJ3" TargetMode="External"/><Relationship Id="rId262" Type="http://schemas.openxmlformats.org/officeDocument/2006/relationships/hyperlink" Target="https://sealeddeck.tech/cnuDvs5gAB" TargetMode="External"/><Relationship Id="rId261" Type="http://schemas.openxmlformats.org/officeDocument/2006/relationships/hyperlink" Target="https://sealeddeck.tech/fQG3cPVpLw" TargetMode="External"/><Relationship Id="rId268" Type="http://schemas.openxmlformats.org/officeDocument/2006/relationships/hyperlink" Target="https://sealeddeck.tech/LzUSGcC119" TargetMode="External"/><Relationship Id="rId267" Type="http://schemas.openxmlformats.org/officeDocument/2006/relationships/hyperlink" Target="https://sealeddeck.tech/pyL1YSjNBy" TargetMode="External"/><Relationship Id="rId266" Type="http://schemas.openxmlformats.org/officeDocument/2006/relationships/hyperlink" Target="https://sealeddeck.tech/KSj2Lxgkcb" TargetMode="External"/><Relationship Id="rId265" Type="http://schemas.openxmlformats.org/officeDocument/2006/relationships/hyperlink" Target="https://sealeddeck.tech/98ZVrncqdy" TargetMode="External"/><Relationship Id="rId260" Type="http://schemas.openxmlformats.org/officeDocument/2006/relationships/hyperlink" Target="https://sealeddeck.tech/bbFm4rizEL" TargetMode="External"/><Relationship Id="rId259" Type="http://schemas.openxmlformats.org/officeDocument/2006/relationships/hyperlink" Target="https://sealeddeck.tech/wwC22ZqAGf" TargetMode="External"/><Relationship Id="rId258" Type="http://schemas.openxmlformats.org/officeDocument/2006/relationships/hyperlink" Target="https://sealeddeck.tech/xfqmhRCnV1" TargetMode="External"/><Relationship Id="rId253" Type="http://schemas.openxmlformats.org/officeDocument/2006/relationships/hyperlink" Target="https://sealeddeck.tech/95aUKF8Vsa" TargetMode="External"/><Relationship Id="rId252" Type="http://schemas.openxmlformats.org/officeDocument/2006/relationships/hyperlink" Target="https://sealeddeck.tech/ABEXS2Go7F" TargetMode="External"/><Relationship Id="rId251" Type="http://schemas.openxmlformats.org/officeDocument/2006/relationships/hyperlink" Target="https://sealeddeck.tech/KeeQ7EyKS4" TargetMode="External"/><Relationship Id="rId250" Type="http://schemas.openxmlformats.org/officeDocument/2006/relationships/hyperlink" Target="https://sealeddeck.tech/jt2a1YSXZL" TargetMode="External"/><Relationship Id="rId257" Type="http://schemas.openxmlformats.org/officeDocument/2006/relationships/hyperlink" Target="https://sealeddeck.tech/XysUdcjcFT" TargetMode="External"/><Relationship Id="rId256" Type="http://schemas.openxmlformats.org/officeDocument/2006/relationships/hyperlink" Target="https://sealeddeck.tech/9gyGCRCRLN" TargetMode="External"/><Relationship Id="rId255" Type="http://schemas.openxmlformats.org/officeDocument/2006/relationships/hyperlink" Target="https://sealeddeck.tech/1UnFE1qT7h" TargetMode="External"/><Relationship Id="rId254" Type="http://schemas.openxmlformats.org/officeDocument/2006/relationships/hyperlink" Target="https://sealeddeck.tech/WwHaEJwFmE" TargetMode="External"/><Relationship Id="rId293" Type="http://schemas.openxmlformats.org/officeDocument/2006/relationships/hyperlink" Target="https://sealeddeck.tech/zFDpRawo61" TargetMode="External"/><Relationship Id="rId292" Type="http://schemas.openxmlformats.org/officeDocument/2006/relationships/hyperlink" Target="https://sealeddeck.tech/Jb6ceyQ5bK" TargetMode="External"/><Relationship Id="rId291" Type="http://schemas.openxmlformats.org/officeDocument/2006/relationships/hyperlink" Target="https://sealeddeck.tech/Gs41fJ9n6z" TargetMode="External"/><Relationship Id="rId290" Type="http://schemas.openxmlformats.org/officeDocument/2006/relationships/hyperlink" Target="https://sealeddeck.tech/hKydz4H8zu" TargetMode="External"/><Relationship Id="rId286" Type="http://schemas.openxmlformats.org/officeDocument/2006/relationships/hyperlink" Target="https://sealeddeck.tech/ChqBkpP4CZ" TargetMode="External"/><Relationship Id="rId285" Type="http://schemas.openxmlformats.org/officeDocument/2006/relationships/hyperlink" Target="https://sealeddeck.tech/JK6Dkz7P1f" TargetMode="External"/><Relationship Id="rId284" Type="http://schemas.openxmlformats.org/officeDocument/2006/relationships/hyperlink" Target="https://sealeddeck.tech/N5ZbgzvHMg" TargetMode="External"/><Relationship Id="rId283" Type="http://schemas.openxmlformats.org/officeDocument/2006/relationships/hyperlink" Target="https://sealeddeck.tech/CEwmc6kTBc" TargetMode="External"/><Relationship Id="rId289" Type="http://schemas.openxmlformats.org/officeDocument/2006/relationships/hyperlink" Target="https://sealeddeck.tech/oxjRUJJQVu" TargetMode="External"/><Relationship Id="rId288" Type="http://schemas.openxmlformats.org/officeDocument/2006/relationships/hyperlink" Target="https://sealeddeck.tech/49c7otaH3M" TargetMode="External"/><Relationship Id="rId287" Type="http://schemas.openxmlformats.org/officeDocument/2006/relationships/hyperlink" Target="https://sealeddeck.tech/Hyrovhz1Zj" TargetMode="External"/><Relationship Id="rId282" Type="http://schemas.openxmlformats.org/officeDocument/2006/relationships/hyperlink" Target="https://sealeddeck.tech/Hf1VttMwpb" TargetMode="External"/><Relationship Id="rId281" Type="http://schemas.openxmlformats.org/officeDocument/2006/relationships/hyperlink" Target="https://sealeddeck.tech/XmwxAtMPgU" TargetMode="External"/><Relationship Id="rId280" Type="http://schemas.openxmlformats.org/officeDocument/2006/relationships/hyperlink" Target="https://sealeddeck.tech/Fs78kkHZkJ" TargetMode="External"/><Relationship Id="rId275" Type="http://schemas.openxmlformats.org/officeDocument/2006/relationships/hyperlink" Target="https://sealeddeck.tech/RefaKEMtJ4" TargetMode="External"/><Relationship Id="rId274" Type="http://schemas.openxmlformats.org/officeDocument/2006/relationships/hyperlink" Target="https://sealeddeck.tech/fmCrKXC6WC" TargetMode="External"/><Relationship Id="rId273" Type="http://schemas.openxmlformats.org/officeDocument/2006/relationships/hyperlink" Target="https://sealeddeck.tech/SRqbDjzToC" TargetMode="External"/><Relationship Id="rId272" Type="http://schemas.openxmlformats.org/officeDocument/2006/relationships/hyperlink" Target="https://sealeddeck.tech/se91LTrgJT" TargetMode="External"/><Relationship Id="rId279" Type="http://schemas.openxmlformats.org/officeDocument/2006/relationships/hyperlink" Target="https://sealeddeck.tech/BF2QPWjVzv" TargetMode="External"/><Relationship Id="rId278" Type="http://schemas.openxmlformats.org/officeDocument/2006/relationships/hyperlink" Target="https://sealeddeck.tech/VHWhzoBxhg" TargetMode="External"/><Relationship Id="rId277" Type="http://schemas.openxmlformats.org/officeDocument/2006/relationships/hyperlink" Target="https://sealeddeck.tech/ZDhPZwydKn" TargetMode="External"/><Relationship Id="rId276" Type="http://schemas.openxmlformats.org/officeDocument/2006/relationships/hyperlink" Target="https://sealeddeck.tech/S6uDLKwjBS" TargetMode="External"/><Relationship Id="rId1851" Type="http://schemas.openxmlformats.org/officeDocument/2006/relationships/hyperlink" Target="https://sealeddeck.tech/AUU7B8XZqN" TargetMode="External"/><Relationship Id="rId1852" Type="http://schemas.openxmlformats.org/officeDocument/2006/relationships/hyperlink" Target="https://sealeddeck.tech/tTJaLzteMe" TargetMode="External"/><Relationship Id="rId1853" Type="http://schemas.openxmlformats.org/officeDocument/2006/relationships/hyperlink" Target="https://sealeddeck.tech/nub7AwaniW" TargetMode="External"/><Relationship Id="rId1854" Type="http://schemas.openxmlformats.org/officeDocument/2006/relationships/hyperlink" Target="https://sealeddeck.tech/q4hgpuZpQa" TargetMode="External"/><Relationship Id="rId1855" Type="http://schemas.openxmlformats.org/officeDocument/2006/relationships/hyperlink" Target="https://sealeddeck.tech/5sJVTqbyrs" TargetMode="External"/><Relationship Id="rId1856" Type="http://schemas.openxmlformats.org/officeDocument/2006/relationships/hyperlink" Target="https://sealeddeck.tech/6YuwNruvWe" TargetMode="External"/><Relationship Id="rId1857" Type="http://schemas.openxmlformats.org/officeDocument/2006/relationships/hyperlink" Target="https://sealeddeck.tech/UPviJxufzM" TargetMode="External"/><Relationship Id="rId1858" Type="http://schemas.openxmlformats.org/officeDocument/2006/relationships/hyperlink" Target="https://sealeddeck.tech/xMMdStwydF" TargetMode="External"/><Relationship Id="rId1859" Type="http://schemas.openxmlformats.org/officeDocument/2006/relationships/hyperlink" Target="https://sealeddeck.tech/ewTtiKMfvL" TargetMode="External"/><Relationship Id="rId1850" Type="http://schemas.openxmlformats.org/officeDocument/2006/relationships/hyperlink" Target="https://sealeddeck.tech/RjDvqe6tXg" TargetMode="External"/><Relationship Id="rId1840" Type="http://schemas.openxmlformats.org/officeDocument/2006/relationships/hyperlink" Target="https://sealeddeck.tech/R7hZ2uyrzd" TargetMode="External"/><Relationship Id="rId1841" Type="http://schemas.openxmlformats.org/officeDocument/2006/relationships/hyperlink" Target="https://sealeddeck.tech/ntdDKsBUeD" TargetMode="External"/><Relationship Id="rId1842" Type="http://schemas.openxmlformats.org/officeDocument/2006/relationships/hyperlink" Target="https://sealeddeck.tech/1qU7bx8BDV" TargetMode="External"/><Relationship Id="rId1843" Type="http://schemas.openxmlformats.org/officeDocument/2006/relationships/hyperlink" Target="https://sealeddeck.tech/MNnKQ8zSbS" TargetMode="External"/><Relationship Id="rId1844" Type="http://schemas.openxmlformats.org/officeDocument/2006/relationships/hyperlink" Target="https://sealeddeck.tech/m6NqS2DA7x" TargetMode="External"/><Relationship Id="rId1845" Type="http://schemas.openxmlformats.org/officeDocument/2006/relationships/hyperlink" Target="https://sealeddeck.tech/YfdRg2FqS8" TargetMode="External"/><Relationship Id="rId1846" Type="http://schemas.openxmlformats.org/officeDocument/2006/relationships/hyperlink" Target="https://sealeddeck.tech/zSWGiJJCcU" TargetMode="External"/><Relationship Id="rId1847" Type="http://schemas.openxmlformats.org/officeDocument/2006/relationships/hyperlink" Target="https://sealeddeck.tech/uUULBuTPjf" TargetMode="External"/><Relationship Id="rId1848" Type="http://schemas.openxmlformats.org/officeDocument/2006/relationships/hyperlink" Target="https://sealeddeck.tech/BYrnb7gjra" TargetMode="External"/><Relationship Id="rId1849" Type="http://schemas.openxmlformats.org/officeDocument/2006/relationships/hyperlink" Target="https://sealeddeck.tech/d8HjfRsH7W" TargetMode="External"/><Relationship Id="rId1873" Type="http://schemas.openxmlformats.org/officeDocument/2006/relationships/hyperlink" Target="https://sealeddeck.tech/3yZdGzsgnb" TargetMode="External"/><Relationship Id="rId1874" Type="http://schemas.openxmlformats.org/officeDocument/2006/relationships/hyperlink" Target="https://sealeddeck.tech/manyuUey1G" TargetMode="External"/><Relationship Id="rId1875" Type="http://schemas.openxmlformats.org/officeDocument/2006/relationships/hyperlink" Target="https://sealeddeck.tech/hUhLWzmq5G" TargetMode="External"/><Relationship Id="rId1876" Type="http://schemas.openxmlformats.org/officeDocument/2006/relationships/hyperlink" Target="https://sealeddeck.tech/p47ZfAgdDq" TargetMode="External"/><Relationship Id="rId1877" Type="http://schemas.openxmlformats.org/officeDocument/2006/relationships/hyperlink" Target="https://sealeddeck.tech/DHpw2Wamtr" TargetMode="External"/><Relationship Id="rId1878" Type="http://schemas.openxmlformats.org/officeDocument/2006/relationships/hyperlink" Target="https://sealeddeck.tech/x9L69SqqX3" TargetMode="External"/><Relationship Id="rId1879" Type="http://schemas.openxmlformats.org/officeDocument/2006/relationships/hyperlink" Target="https://sealeddeck.tech/JLk7W3gmkv" TargetMode="External"/><Relationship Id="rId1870" Type="http://schemas.openxmlformats.org/officeDocument/2006/relationships/hyperlink" Target="https://sealeddeck.tech/ZRgeu7KvCU" TargetMode="External"/><Relationship Id="rId1871" Type="http://schemas.openxmlformats.org/officeDocument/2006/relationships/hyperlink" Target="https://sealeddeck.tech/WvzCHhtWmE" TargetMode="External"/><Relationship Id="rId1872" Type="http://schemas.openxmlformats.org/officeDocument/2006/relationships/hyperlink" Target="https://sealeddeck.tech/2Q6UXXg3vM" TargetMode="External"/><Relationship Id="rId1862" Type="http://schemas.openxmlformats.org/officeDocument/2006/relationships/hyperlink" Target="https://sealeddeck.tech/5VL4fyZ7jQ" TargetMode="External"/><Relationship Id="rId1863" Type="http://schemas.openxmlformats.org/officeDocument/2006/relationships/hyperlink" Target="https://sealeddeck.tech/1MmhTAPZQH" TargetMode="External"/><Relationship Id="rId1864" Type="http://schemas.openxmlformats.org/officeDocument/2006/relationships/hyperlink" Target="https://sealeddeck.tech/Wa7xEaMb5U" TargetMode="External"/><Relationship Id="rId1865" Type="http://schemas.openxmlformats.org/officeDocument/2006/relationships/hyperlink" Target="https://sealeddeck.tech/Mj7WvWbAB2" TargetMode="External"/><Relationship Id="rId1866" Type="http://schemas.openxmlformats.org/officeDocument/2006/relationships/hyperlink" Target="https://sealeddeck.tech/uhq6qVki2c" TargetMode="External"/><Relationship Id="rId1867" Type="http://schemas.openxmlformats.org/officeDocument/2006/relationships/hyperlink" Target="https://sealeddeck.tech/PhWXRKZ19g" TargetMode="External"/><Relationship Id="rId1868" Type="http://schemas.openxmlformats.org/officeDocument/2006/relationships/hyperlink" Target="https://sealeddeck.tech/PHh33CwnKZ" TargetMode="External"/><Relationship Id="rId1869" Type="http://schemas.openxmlformats.org/officeDocument/2006/relationships/hyperlink" Target="https://sealeddeck.tech/nfUB7W8PBr" TargetMode="External"/><Relationship Id="rId1860" Type="http://schemas.openxmlformats.org/officeDocument/2006/relationships/hyperlink" Target="https://sealeddeck.tech/D8mnMtdBy7" TargetMode="External"/><Relationship Id="rId1861" Type="http://schemas.openxmlformats.org/officeDocument/2006/relationships/hyperlink" Target="https://sealeddeck.tech/gYzsVdsTtV" TargetMode="External"/><Relationship Id="rId1810" Type="http://schemas.openxmlformats.org/officeDocument/2006/relationships/hyperlink" Target="https://sealeddeck.tech/P69oAFCkCm" TargetMode="External"/><Relationship Id="rId1811" Type="http://schemas.openxmlformats.org/officeDocument/2006/relationships/hyperlink" Target="https://sealeddeck.tech/hKkc414otq" TargetMode="External"/><Relationship Id="rId1812" Type="http://schemas.openxmlformats.org/officeDocument/2006/relationships/hyperlink" Target="https://sealeddeck.tech/9Bc8BSme7V" TargetMode="External"/><Relationship Id="rId1813" Type="http://schemas.openxmlformats.org/officeDocument/2006/relationships/hyperlink" Target="https://sealeddeck.tech/1hx9EaRap8" TargetMode="External"/><Relationship Id="rId1814" Type="http://schemas.openxmlformats.org/officeDocument/2006/relationships/hyperlink" Target="https://sealeddeck.tech/pdb9tWqLci" TargetMode="External"/><Relationship Id="rId1815" Type="http://schemas.openxmlformats.org/officeDocument/2006/relationships/hyperlink" Target="https://sealeddeck.tech/9vwJ1KVNya" TargetMode="External"/><Relationship Id="rId1816" Type="http://schemas.openxmlformats.org/officeDocument/2006/relationships/hyperlink" Target="https://sealeddeck.tech/1sRWAzN9jF" TargetMode="External"/><Relationship Id="rId1817" Type="http://schemas.openxmlformats.org/officeDocument/2006/relationships/hyperlink" Target="https://sealeddeck.tech/hvT7hGgbU2" TargetMode="External"/><Relationship Id="rId1818" Type="http://schemas.openxmlformats.org/officeDocument/2006/relationships/hyperlink" Target="https://sealeddeck.tech/99KheoqNN5" TargetMode="External"/><Relationship Id="rId1819" Type="http://schemas.openxmlformats.org/officeDocument/2006/relationships/hyperlink" Target="https://sealeddeck.tech/bfYDaz5SzE" TargetMode="External"/><Relationship Id="rId1800" Type="http://schemas.openxmlformats.org/officeDocument/2006/relationships/hyperlink" Target="https://sealeddeck.tech/wewXHo9seP" TargetMode="External"/><Relationship Id="rId1801" Type="http://schemas.openxmlformats.org/officeDocument/2006/relationships/hyperlink" Target="https://sealeddeck.tech/zpzsfnRPjw" TargetMode="External"/><Relationship Id="rId1802" Type="http://schemas.openxmlformats.org/officeDocument/2006/relationships/hyperlink" Target="https://sealeddeck.tech/tiVPBDLZ7r" TargetMode="External"/><Relationship Id="rId1803" Type="http://schemas.openxmlformats.org/officeDocument/2006/relationships/hyperlink" Target="https://sealeddeck.tech/vrUEKeeswj" TargetMode="External"/><Relationship Id="rId1804" Type="http://schemas.openxmlformats.org/officeDocument/2006/relationships/hyperlink" Target="https://sealeddeck.tech/NYqfLV862s" TargetMode="External"/><Relationship Id="rId1805" Type="http://schemas.openxmlformats.org/officeDocument/2006/relationships/hyperlink" Target="https://sealeddeck.tech/HaPEdjmk8c" TargetMode="External"/><Relationship Id="rId1806" Type="http://schemas.openxmlformats.org/officeDocument/2006/relationships/hyperlink" Target="https://sealeddeck.tech/oKSF9XbsWv" TargetMode="External"/><Relationship Id="rId1807" Type="http://schemas.openxmlformats.org/officeDocument/2006/relationships/hyperlink" Target="https://sealeddeck.tech/Vwv3wRP3To" TargetMode="External"/><Relationship Id="rId1808" Type="http://schemas.openxmlformats.org/officeDocument/2006/relationships/hyperlink" Target="https://sealeddeck.tech/Yh8ESGrjd3" TargetMode="External"/><Relationship Id="rId1809" Type="http://schemas.openxmlformats.org/officeDocument/2006/relationships/hyperlink" Target="https://sealeddeck.tech/FkPU77EGCx" TargetMode="External"/><Relationship Id="rId1830" Type="http://schemas.openxmlformats.org/officeDocument/2006/relationships/hyperlink" Target="https://sealeddeck.tech/fUxCTMDrNE" TargetMode="External"/><Relationship Id="rId1831" Type="http://schemas.openxmlformats.org/officeDocument/2006/relationships/hyperlink" Target="https://sealeddeck.tech/kTPXSMFQim" TargetMode="External"/><Relationship Id="rId1832" Type="http://schemas.openxmlformats.org/officeDocument/2006/relationships/hyperlink" Target="https://sealeddeck.tech/y4dvkmdju5" TargetMode="External"/><Relationship Id="rId1833" Type="http://schemas.openxmlformats.org/officeDocument/2006/relationships/hyperlink" Target="https://sealeddeck.tech/mZaMcuWeUk" TargetMode="External"/><Relationship Id="rId1834" Type="http://schemas.openxmlformats.org/officeDocument/2006/relationships/hyperlink" Target="https://sealeddeck.tech/WH5z2WD94c" TargetMode="External"/><Relationship Id="rId1835" Type="http://schemas.openxmlformats.org/officeDocument/2006/relationships/hyperlink" Target="https://sealeddeck.tech/Sk12BNzxUt" TargetMode="External"/><Relationship Id="rId1836" Type="http://schemas.openxmlformats.org/officeDocument/2006/relationships/hyperlink" Target="https://sealeddeck.tech/PDNeJfWyvY" TargetMode="External"/><Relationship Id="rId1837" Type="http://schemas.openxmlformats.org/officeDocument/2006/relationships/hyperlink" Target="https://sealeddeck.tech/bNBcwvJ9SJ" TargetMode="External"/><Relationship Id="rId1838" Type="http://schemas.openxmlformats.org/officeDocument/2006/relationships/hyperlink" Target="https://sealeddeck.tech/huQPQS9J1R" TargetMode="External"/><Relationship Id="rId1839" Type="http://schemas.openxmlformats.org/officeDocument/2006/relationships/hyperlink" Target="https://sealeddeck.tech/tuvk7KKps3" TargetMode="External"/><Relationship Id="rId1820" Type="http://schemas.openxmlformats.org/officeDocument/2006/relationships/hyperlink" Target="https://sealeddeck.tech/TBWNL8aCU8" TargetMode="External"/><Relationship Id="rId1821" Type="http://schemas.openxmlformats.org/officeDocument/2006/relationships/hyperlink" Target="https://sealeddeck.tech/p5v2djU9mX" TargetMode="External"/><Relationship Id="rId1822" Type="http://schemas.openxmlformats.org/officeDocument/2006/relationships/hyperlink" Target="https://sealeddeck.tech/imtUny7QYp" TargetMode="External"/><Relationship Id="rId1823" Type="http://schemas.openxmlformats.org/officeDocument/2006/relationships/hyperlink" Target="https://sealeddeck.tech/8WQBJ5azxv" TargetMode="External"/><Relationship Id="rId1824" Type="http://schemas.openxmlformats.org/officeDocument/2006/relationships/hyperlink" Target="https://sealeddeck.tech/3Xsgd93w8F" TargetMode="External"/><Relationship Id="rId1825" Type="http://schemas.openxmlformats.org/officeDocument/2006/relationships/hyperlink" Target="https://sealeddeck.tech/DTfmGVJTmP" TargetMode="External"/><Relationship Id="rId1826" Type="http://schemas.openxmlformats.org/officeDocument/2006/relationships/hyperlink" Target="https://sealeddeck.tech/CfjQzEnLUT" TargetMode="External"/><Relationship Id="rId1827" Type="http://schemas.openxmlformats.org/officeDocument/2006/relationships/hyperlink" Target="https://sealeddeck.tech/qEnoKL5juW" TargetMode="External"/><Relationship Id="rId1828" Type="http://schemas.openxmlformats.org/officeDocument/2006/relationships/hyperlink" Target="https://sealeddeck.tech/qgzCpWqDDu" TargetMode="External"/><Relationship Id="rId1829" Type="http://schemas.openxmlformats.org/officeDocument/2006/relationships/hyperlink" Target="https://sealeddeck.tech/EnVNtVLvV7" TargetMode="External"/><Relationship Id="rId1455" Type="http://schemas.openxmlformats.org/officeDocument/2006/relationships/hyperlink" Target="https://sealeddeck.tech/tEeD3HRqVy" TargetMode="External"/><Relationship Id="rId1456" Type="http://schemas.openxmlformats.org/officeDocument/2006/relationships/hyperlink" Target="https://sealeddeck.tech/8N28RSHUTy" TargetMode="External"/><Relationship Id="rId1457" Type="http://schemas.openxmlformats.org/officeDocument/2006/relationships/hyperlink" Target="https://sealeddeck.tech/pAZDUGjc3K" TargetMode="External"/><Relationship Id="rId1458" Type="http://schemas.openxmlformats.org/officeDocument/2006/relationships/hyperlink" Target="https://sealeddeck.tech/S4qZsppog2" TargetMode="External"/><Relationship Id="rId1459" Type="http://schemas.openxmlformats.org/officeDocument/2006/relationships/hyperlink" Target="https://sealeddeck.tech/1C7ugzNxrP" TargetMode="External"/><Relationship Id="rId629" Type="http://schemas.openxmlformats.org/officeDocument/2006/relationships/hyperlink" Target="https://sealeddeck.tech/QaBtNx3Qe9" TargetMode="External"/><Relationship Id="rId624" Type="http://schemas.openxmlformats.org/officeDocument/2006/relationships/hyperlink" Target="https://sealeddeck.tech/MB7C7nAqkh" TargetMode="External"/><Relationship Id="rId623" Type="http://schemas.openxmlformats.org/officeDocument/2006/relationships/hyperlink" Target="https://sealeddeck.tech/Z9puV7A4so" TargetMode="External"/><Relationship Id="rId622" Type="http://schemas.openxmlformats.org/officeDocument/2006/relationships/hyperlink" Target="https://sealeddeck.tech/1LvQk3QLrd" TargetMode="External"/><Relationship Id="rId621" Type="http://schemas.openxmlformats.org/officeDocument/2006/relationships/hyperlink" Target="https://sealeddeck.tech/hbwfY3cykw" TargetMode="External"/><Relationship Id="rId628" Type="http://schemas.openxmlformats.org/officeDocument/2006/relationships/hyperlink" Target="https://sealeddeck.tech/Bj3FFU4myT" TargetMode="External"/><Relationship Id="rId627" Type="http://schemas.openxmlformats.org/officeDocument/2006/relationships/hyperlink" Target="https://sealeddeck.tech/pqYfYgr24U" TargetMode="External"/><Relationship Id="rId626" Type="http://schemas.openxmlformats.org/officeDocument/2006/relationships/hyperlink" Target="https://sealeddeck.tech/2hTabyNGtP" TargetMode="External"/><Relationship Id="rId625" Type="http://schemas.openxmlformats.org/officeDocument/2006/relationships/hyperlink" Target="https://sealeddeck.tech/cRXUE5LFb9" TargetMode="External"/><Relationship Id="rId1450" Type="http://schemas.openxmlformats.org/officeDocument/2006/relationships/hyperlink" Target="https://sealeddeck.tech/uNo3EBHzR9" TargetMode="External"/><Relationship Id="rId620" Type="http://schemas.openxmlformats.org/officeDocument/2006/relationships/hyperlink" Target="https://sealeddeck.tech/ZZtJ7userJ" TargetMode="External"/><Relationship Id="rId1451" Type="http://schemas.openxmlformats.org/officeDocument/2006/relationships/hyperlink" Target="https://sealeddeck.tech/8b5JRcEAiS" TargetMode="External"/><Relationship Id="rId1452" Type="http://schemas.openxmlformats.org/officeDocument/2006/relationships/hyperlink" Target="https://sealeddeck.tech/3hxbx68R9A" TargetMode="External"/><Relationship Id="rId1453" Type="http://schemas.openxmlformats.org/officeDocument/2006/relationships/hyperlink" Target="https://sealeddeck.tech/djn5FZU7Pn" TargetMode="External"/><Relationship Id="rId1454" Type="http://schemas.openxmlformats.org/officeDocument/2006/relationships/hyperlink" Target="https://sealeddeck.tech/59AyU26FzB" TargetMode="External"/><Relationship Id="rId1444" Type="http://schemas.openxmlformats.org/officeDocument/2006/relationships/hyperlink" Target="https://sealeddeck.tech/QJB9V6dpX8" TargetMode="External"/><Relationship Id="rId1445" Type="http://schemas.openxmlformats.org/officeDocument/2006/relationships/hyperlink" Target="https://sealeddeck.tech/TKbDp5dzGM" TargetMode="External"/><Relationship Id="rId1446" Type="http://schemas.openxmlformats.org/officeDocument/2006/relationships/hyperlink" Target="https://sealeddeck.tech/LGy8ZabDAm" TargetMode="External"/><Relationship Id="rId1447" Type="http://schemas.openxmlformats.org/officeDocument/2006/relationships/hyperlink" Target="https://sealeddeck.tech/xohyYrMfwE" TargetMode="External"/><Relationship Id="rId1448" Type="http://schemas.openxmlformats.org/officeDocument/2006/relationships/hyperlink" Target="https://sealeddeck.tech/HuLuP248oJ" TargetMode="External"/><Relationship Id="rId1449" Type="http://schemas.openxmlformats.org/officeDocument/2006/relationships/hyperlink" Target="https://sealeddeck.tech/hekgqVexEe" TargetMode="External"/><Relationship Id="rId619" Type="http://schemas.openxmlformats.org/officeDocument/2006/relationships/hyperlink" Target="https://sealeddeck.tech/9yWMagFQiS" TargetMode="External"/><Relationship Id="rId618" Type="http://schemas.openxmlformats.org/officeDocument/2006/relationships/hyperlink" Target="https://sealeddeck.tech/tqewtuDDGt" TargetMode="External"/><Relationship Id="rId613" Type="http://schemas.openxmlformats.org/officeDocument/2006/relationships/hyperlink" Target="https://sealeddeck.tech/LcjAYa7uBt" TargetMode="External"/><Relationship Id="rId612" Type="http://schemas.openxmlformats.org/officeDocument/2006/relationships/hyperlink" Target="https://sealeddeck.tech/K5aWPfVdAP" TargetMode="External"/><Relationship Id="rId611" Type="http://schemas.openxmlformats.org/officeDocument/2006/relationships/hyperlink" Target="https://sealeddeck.tech/gwWB2E6Yzd" TargetMode="External"/><Relationship Id="rId610" Type="http://schemas.openxmlformats.org/officeDocument/2006/relationships/hyperlink" Target="https://sealeddeck.tech/dKGnsd2Bwu" TargetMode="External"/><Relationship Id="rId617" Type="http://schemas.openxmlformats.org/officeDocument/2006/relationships/hyperlink" Target="https://sealeddeck.tech/ji6kir4USu" TargetMode="External"/><Relationship Id="rId616" Type="http://schemas.openxmlformats.org/officeDocument/2006/relationships/hyperlink" Target="https://sealeddeck.tech/91ERM79Mgy" TargetMode="External"/><Relationship Id="rId615" Type="http://schemas.openxmlformats.org/officeDocument/2006/relationships/hyperlink" Target="https://sealeddeck.tech/6YbHogKeBe" TargetMode="External"/><Relationship Id="rId614" Type="http://schemas.openxmlformats.org/officeDocument/2006/relationships/hyperlink" Target="https://sealeddeck.tech/e5U1dVUKPd" TargetMode="External"/><Relationship Id="rId1440" Type="http://schemas.openxmlformats.org/officeDocument/2006/relationships/hyperlink" Target="https://sealeddeck.tech/yLM3Ncz9kK" TargetMode="External"/><Relationship Id="rId1441" Type="http://schemas.openxmlformats.org/officeDocument/2006/relationships/hyperlink" Target="https://sealeddeck.tech/hNMMbVccFv" TargetMode="External"/><Relationship Id="rId1442" Type="http://schemas.openxmlformats.org/officeDocument/2006/relationships/hyperlink" Target="https://sealeddeck.tech/S9SgJYgc7k" TargetMode="External"/><Relationship Id="rId1443" Type="http://schemas.openxmlformats.org/officeDocument/2006/relationships/hyperlink" Target="https://sealeddeck.tech/do7v5vkVhi" TargetMode="External"/><Relationship Id="rId1477" Type="http://schemas.openxmlformats.org/officeDocument/2006/relationships/hyperlink" Target="https://sealeddeck.tech/642yWNrJ6e" TargetMode="External"/><Relationship Id="rId1478" Type="http://schemas.openxmlformats.org/officeDocument/2006/relationships/hyperlink" Target="https://sealeddeck.tech/YHWqMqvLVL" TargetMode="External"/><Relationship Id="rId1479" Type="http://schemas.openxmlformats.org/officeDocument/2006/relationships/hyperlink" Target="https://sealeddeck.tech/XF8tyP5LKT" TargetMode="External"/><Relationship Id="rId646" Type="http://schemas.openxmlformats.org/officeDocument/2006/relationships/hyperlink" Target="https://sealeddeck.tech/jdQdgkjoqj" TargetMode="External"/><Relationship Id="rId645" Type="http://schemas.openxmlformats.org/officeDocument/2006/relationships/hyperlink" Target="https://sealeddeck.tech/oQwcejh2H6" TargetMode="External"/><Relationship Id="rId644" Type="http://schemas.openxmlformats.org/officeDocument/2006/relationships/hyperlink" Target="https://sealeddeck.tech/khC6L4TVbr" TargetMode="External"/><Relationship Id="rId643" Type="http://schemas.openxmlformats.org/officeDocument/2006/relationships/hyperlink" Target="https://sealeddeck.tech/33tzqZjRB9" TargetMode="External"/><Relationship Id="rId649" Type="http://schemas.openxmlformats.org/officeDocument/2006/relationships/hyperlink" Target="https://sealeddeck.tech/CtwDjBaWWi" TargetMode="External"/><Relationship Id="rId648" Type="http://schemas.openxmlformats.org/officeDocument/2006/relationships/hyperlink" Target="https://sealeddeck.tech/8SrtyhK8GC" TargetMode="External"/><Relationship Id="rId647" Type="http://schemas.openxmlformats.org/officeDocument/2006/relationships/hyperlink" Target="https://sealeddeck.tech/BdYqRuZjji" TargetMode="External"/><Relationship Id="rId1470" Type="http://schemas.openxmlformats.org/officeDocument/2006/relationships/hyperlink" Target="https://sealeddeck.tech/T9pjGY124n" TargetMode="External"/><Relationship Id="rId1471" Type="http://schemas.openxmlformats.org/officeDocument/2006/relationships/hyperlink" Target="https://sealeddeck.tech/KcTcGpQ4xV" TargetMode="External"/><Relationship Id="rId1472" Type="http://schemas.openxmlformats.org/officeDocument/2006/relationships/hyperlink" Target="https://sealeddeck.tech/CrzHdEcJJ5" TargetMode="External"/><Relationship Id="rId642" Type="http://schemas.openxmlformats.org/officeDocument/2006/relationships/hyperlink" Target="https://sealeddeck.tech/bsn7NHKCMJ" TargetMode="External"/><Relationship Id="rId1473" Type="http://schemas.openxmlformats.org/officeDocument/2006/relationships/hyperlink" Target="https://sealeddeck.tech/rzXYzraQuu" TargetMode="External"/><Relationship Id="rId641" Type="http://schemas.openxmlformats.org/officeDocument/2006/relationships/hyperlink" Target="https://sealeddeck.tech/PBCnbAUquy" TargetMode="External"/><Relationship Id="rId1474" Type="http://schemas.openxmlformats.org/officeDocument/2006/relationships/hyperlink" Target="https://sealeddeck.tech/bsD4fA459U" TargetMode="External"/><Relationship Id="rId640" Type="http://schemas.openxmlformats.org/officeDocument/2006/relationships/hyperlink" Target="https://sealeddeck.tech/4YUgCDVS2U" TargetMode="External"/><Relationship Id="rId1475" Type="http://schemas.openxmlformats.org/officeDocument/2006/relationships/hyperlink" Target="https://sealeddeck.tech/AjERuXvBKy" TargetMode="External"/><Relationship Id="rId1476" Type="http://schemas.openxmlformats.org/officeDocument/2006/relationships/hyperlink" Target="https://sealeddeck.tech/vyoqUKM8cz" TargetMode="External"/><Relationship Id="rId1466" Type="http://schemas.openxmlformats.org/officeDocument/2006/relationships/hyperlink" Target="https://sealeddeck.tech/4YvKvEXxtL" TargetMode="External"/><Relationship Id="rId1467" Type="http://schemas.openxmlformats.org/officeDocument/2006/relationships/hyperlink" Target="https://sealeddeck.tech/2p7Q2JeNbc" TargetMode="External"/><Relationship Id="rId1468" Type="http://schemas.openxmlformats.org/officeDocument/2006/relationships/hyperlink" Target="https://sealeddeck.tech/M4gCSDPuFM" TargetMode="External"/><Relationship Id="rId1469" Type="http://schemas.openxmlformats.org/officeDocument/2006/relationships/hyperlink" Target="https://sealeddeck.tech/gZqh2oWJYw" TargetMode="External"/><Relationship Id="rId635" Type="http://schemas.openxmlformats.org/officeDocument/2006/relationships/hyperlink" Target="https://sealeddeck.tech/yAn94y1tgP" TargetMode="External"/><Relationship Id="rId634" Type="http://schemas.openxmlformats.org/officeDocument/2006/relationships/hyperlink" Target="https://sealeddeck.tech/PaJiPo3jsh" TargetMode="External"/><Relationship Id="rId633" Type="http://schemas.openxmlformats.org/officeDocument/2006/relationships/hyperlink" Target="https://sealeddeck.tech/3nSZK8kWfg" TargetMode="External"/><Relationship Id="rId632" Type="http://schemas.openxmlformats.org/officeDocument/2006/relationships/hyperlink" Target="https://sealeddeck.tech/Lh7AVx37Lb" TargetMode="External"/><Relationship Id="rId639" Type="http://schemas.openxmlformats.org/officeDocument/2006/relationships/hyperlink" Target="https://sealeddeck.tech/G8DD2MFRWB" TargetMode="External"/><Relationship Id="rId638" Type="http://schemas.openxmlformats.org/officeDocument/2006/relationships/hyperlink" Target="https://sealeddeck.tech/vD6iiakJcG" TargetMode="External"/><Relationship Id="rId637" Type="http://schemas.openxmlformats.org/officeDocument/2006/relationships/hyperlink" Target="https://sealeddeck.tech/F9UL4sj7mQ" TargetMode="External"/><Relationship Id="rId636" Type="http://schemas.openxmlformats.org/officeDocument/2006/relationships/hyperlink" Target="https://sealeddeck.tech/pGi3EKcy3p" TargetMode="External"/><Relationship Id="rId1460" Type="http://schemas.openxmlformats.org/officeDocument/2006/relationships/hyperlink" Target="https://sealeddeck.tech/W3oH1f2eAB" TargetMode="External"/><Relationship Id="rId1461" Type="http://schemas.openxmlformats.org/officeDocument/2006/relationships/hyperlink" Target="https://sealeddeck.tech/Gec9qAaqxy" TargetMode="External"/><Relationship Id="rId631" Type="http://schemas.openxmlformats.org/officeDocument/2006/relationships/hyperlink" Target="https://sealeddeck.tech/amT2hq6eJC" TargetMode="External"/><Relationship Id="rId1462" Type="http://schemas.openxmlformats.org/officeDocument/2006/relationships/hyperlink" Target="https://sealeddeck.tech/bTNa9wWE7r" TargetMode="External"/><Relationship Id="rId630" Type="http://schemas.openxmlformats.org/officeDocument/2006/relationships/hyperlink" Target="https://sealeddeck.tech/fStHPfR1w7" TargetMode="External"/><Relationship Id="rId1463" Type="http://schemas.openxmlformats.org/officeDocument/2006/relationships/hyperlink" Target="https://sealeddeck.tech/xj66s7HkEz" TargetMode="External"/><Relationship Id="rId1464" Type="http://schemas.openxmlformats.org/officeDocument/2006/relationships/hyperlink" Target="https://sealeddeck.tech/8XzkAsvXCy" TargetMode="External"/><Relationship Id="rId1465" Type="http://schemas.openxmlformats.org/officeDocument/2006/relationships/hyperlink" Target="https://sealeddeck.tech/4T6NEByHA2" TargetMode="External"/><Relationship Id="rId1411" Type="http://schemas.openxmlformats.org/officeDocument/2006/relationships/hyperlink" Target="https://sealeddeck.tech/Yi5f6bmoVn" TargetMode="External"/><Relationship Id="rId1895" Type="http://schemas.openxmlformats.org/officeDocument/2006/relationships/hyperlink" Target="https://sealeddeck.tech/V8B1sqVskv" TargetMode="External"/><Relationship Id="rId1412" Type="http://schemas.openxmlformats.org/officeDocument/2006/relationships/hyperlink" Target="https://sealeddeck.tech/EPmJhLgnEb" TargetMode="External"/><Relationship Id="rId1896" Type="http://schemas.openxmlformats.org/officeDocument/2006/relationships/hyperlink" Target="https://sealeddeck.tech/bP4ZVVntvS" TargetMode="External"/><Relationship Id="rId1413" Type="http://schemas.openxmlformats.org/officeDocument/2006/relationships/hyperlink" Target="https://sealeddeck.tech/uLfqfbrvUv" TargetMode="External"/><Relationship Id="rId1897" Type="http://schemas.openxmlformats.org/officeDocument/2006/relationships/hyperlink" Target="https://sealeddeck.tech/Q9DeRUZi6x" TargetMode="External"/><Relationship Id="rId1414" Type="http://schemas.openxmlformats.org/officeDocument/2006/relationships/hyperlink" Target="https://sealeddeck.tech/yiJiapYDHF" TargetMode="External"/><Relationship Id="rId1898" Type="http://schemas.openxmlformats.org/officeDocument/2006/relationships/hyperlink" Target="https://sealeddeck.tech/DX5s2BeK6j" TargetMode="External"/><Relationship Id="rId1415" Type="http://schemas.openxmlformats.org/officeDocument/2006/relationships/hyperlink" Target="https://sealeddeck.tech/TmbiVANi16" TargetMode="External"/><Relationship Id="rId1899" Type="http://schemas.openxmlformats.org/officeDocument/2006/relationships/hyperlink" Target="https://sealeddeck.tech/SfgYQugxVx" TargetMode="External"/><Relationship Id="rId1416" Type="http://schemas.openxmlformats.org/officeDocument/2006/relationships/hyperlink" Target="https://sealeddeck.tech/vVLy83Z3zz" TargetMode="External"/><Relationship Id="rId1417" Type="http://schemas.openxmlformats.org/officeDocument/2006/relationships/hyperlink" Target="https://sealeddeck.tech/kxNC2u1Dik" TargetMode="External"/><Relationship Id="rId1418" Type="http://schemas.openxmlformats.org/officeDocument/2006/relationships/hyperlink" Target="https://sealeddeck.tech/2Cot8qsdx6" TargetMode="External"/><Relationship Id="rId1419" Type="http://schemas.openxmlformats.org/officeDocument/2006/relationships/hyperlink" Target="https://sealeddeck.tech/tym8g5gio4" TargetMode="External"/><Relationship Id="rId1890" Type="http://schemas.openxmlformats.org/officeDocument/2006/relationships/hyperlink" Target="https://sealeddeck.tech/9D1ZAUjXJ8" TargetMode="External"/><Relationship Id="rId1891" Type="http://schemas.openxmlformats.org/officeDocument/2006/relationships/hyperlink" Target="https://sealeddeck.tech/bV7daFbW3x" TargetMode="External"/><Relationship Id="rId1892" Type="http://schemas.openxmlformats.org/officeDocument/2006/relationships/hyperlink" Target="https://sealeddeck.tech/pPMSV9UJeh" TargetMode="External"/><Relationship Id="rId1893" Type="http://schemas.openxmlformats.org/officeDocument/2006/relationships/hyperlink" Target="https://sealeddeck.tech/9FLVZh4S8o" TargetMode="External"/><Relationship Id="rId1410" Type="http://schemas.openxmlformats.org/officeDocument/2006/relationships/hyperlink" Target="https://sealeddeck.tech/6WuqpenPGL" TargetMode="External"/><Relationship Id="rId1894" Type="http://schemas.openxmlformats.org/officeDocument/2006/relationships/hyperlink" Target="https://sealeddeck.tech/9hzVgZkpmr" TargetMode="External"/><Relationship Id="rId1400" Type="http://schemas.openxmlformats.org/officeDocument/2006/relationships/hyperlink" Target="https://sealeddeck.tech/LKKbYoRy9G" TargetMode="External"/><Relationship Id="rId1884" Type="http://schemas.openxmlformats.org/officeDocument/2006/relationships/hyperlink" Target="https://sealeddeck.tech/Pmuiyz2Mmh" TargetMode="External"/><Relationship Id="rId1401" Type="http://schemas.openxmlformats.org/officeDocument/2006/relationships/hyperlink" Target="https://sealeddeck.tech/cVPtHtJ82d" TargetMode="External"/><Relationship Id="rId1885" Type="http://schemas.openxmlformats.org/officeDocument/2006/relationships/hyperlink" Target="https://sealeddeck.tech/6vz1wfMVCE" TargetMode="External"/><Relationship Id="rId1402" Type="http://schemas.openxmlformats.org/officeDocument/2006/relationships/hyperlink" Target="https://sealeddeck.tech/sZJDvxX2j8" TargetMode="External"/><Relationship Id="rId1886" Type="http://schemas.openxmlformats.org/officeDocument/2006/relationships/hyperlink" Target="https://sealeddeck.tech/xWW1fqRNxn" TargetMode="External"/><Relationship Id="rId1403" Type="http://schemas.openxmlformats.org/officeDocument/2006/relationships/hyperlink" Target="https://sealeddeck.tech/bU9ajoS7zg" TargetMode="External"/><Relationship Id="rId1887" Type="http://schemas.openxmlformats.org/officeDocument/2006/relationships/hyperlink" Target="https://sealeddeck.tech/E3ZF8Fst8c" TargetMode="External"/><Relationship Id="rId1404" Type="http://schemas.openxmlformats.org/officeDocument/2006/relationships/hyperlink" Target="https://sealeddeck.tech/yrnjppaBaV" TargetMode="External"/><Relationship Id="rId1888" Type="http://schemas.openxmlformats.org/officeDocument/2006/relationships/hyperlink" Target="https://sealeddeck.tech/EE1yfNsETR" TargetMode="External"/><Relationship Id="rId1405" Type="http://schemas.openxmlformats.org/officeDocument/2006/relationships/hyperlink" Target="https://sealeddeck.tech/14e6Anx3YC" TargetMode="External"/><Relationship Id="rId1889" Type="http://schemas.openxmlformats.org/officeDocument/2006/relationships/hyperlink" Target="https://sealeddeck.tech/z9gNJJuSgv" TargetMode="External"/><Relationship Id="rId1406" Type="http://schemas.openxmlformats.org/officeDocument/2006/relationships/hyperlink" Target="https://sealeddeck.tech/h4zg29UXvx" TargetMode="External"/><Relationship Id="rId1407" Type="http://schemas.openxmlformats.org/officeDocument/2006/relationships/hyperlink" Target="https://sealeddeck.tech/9xZ32E4fkV" TargetMode="External"/><Relationship Id="rId1408" Type="http://schemas.openxmlformats.org/officeDocument/2006/relationships/hyperlink" Target="https://sealeddeck.tech/BAKBzJTSLZ" TargetMode="External"/><Relationship Id="rId1409" Type="http://schemas.openxmlformats.org/officeDocument/2006/relationships/hyperlink" Target="https://sealeddeck.tech/6jjDJciB6h" TargetMode="External"/><Relationship Id="rId1880" Type="http://schemas.openxmlformats.org/officeDocument/2006/relationships/hyperlink" Target="https://sealeddeck.tech/b52AUKy7SK" TargetMode="External"/><Relationship Id="rId1881" Type="http://schemas.openxmlformats.org/officeDocument/2006/relationships/hyperlink" Target="https://sealeddeck.tech/82Cj7P1CVa" TargetMode="External"/><Relationship Id="rId1882" Type="http://schemas.openxmlformats.org/officeDocument/2006/relationships/hyperlink" Target="https://sealeddeck.tech/m3afcxWJBf" TargetMode="External"/><Relationship Id="rId1883" Type="http://schemas.openxmlformats.org/officeDocument/2006/relationships/hyperlink" Target="https://sealeddeck.tech/rX4P4LUZmQ" TargetMode="External"/><Relationship Id="rId1433" Type="http://schemas.openxmlformats.org/officeDocument/2006/relationships/hyperlink" Target="https://sealeddeck.tech/Vv35oqmUQw" TargetMode="External"/><Relationship Id="rId1434" Type="http://schemas.openxmlformats.org/officeDocument/2006/relationships/hyperlink" Target="https://sealeddeck.tech/BfcKyA8Cfs" TargetMode="External"/><Relationship Id="rId1435" Type="http://schemas.openxmlformats.org/officeDocument/2006/relationships/hyperlink" Target="https://sealeddeck.tech/gzhqU5Taxx" TargetMode="External"/><Relationship Id="rId1436" Type="http://schemas.openxmlformats.org/officeDocument/2006/relationships/hyperlink" Target="https://sealeddeck.tech/Q1dzuaseKK" TargetMode="External"/><Relationship Id="rId1437" Type="http://schemas.openxmlformats.org/officeDocument/2006/relationships/hyperlink" Target="https://sealeddeck.tech/wWjbtzzsri" TargetMode="External"/><Relationship Id="rId1438" Type="http://schemas.openxmlformats.org/officeDocument/2006/relationships/hyperlink" Target="https://sealeddeck.tech/g6W8hseKEA" TargetMode="External"/><Relationship Id="rId1439" Type="http://schemas.openxmlformats.org/officeDocument/2006/relationships/hyperlink" Target="https://sealeddeck.tech/HUuaCQ2fFg" TargetMode="External"/><Relationship Id="rId609" Type="http://schemas.openxmlformats.org/officeDocument/2006/relationships/hyperlink" Target="https://sealeddeck.tech/QicLvCFZUm" TargetMode="External"/><Relationship Id="rId608" Type="http://schemas.openxmlformats.org/officeDocument/2006/relationships/hyperlink" Target="https://sealeddeck.tech/6BRM3dzEeD" TargetMode="External"/><Relationship Id="rId607" Type="http://schemas.openxmlformats.org/officeDocument/2006/relationships/hyperlink" Target="https://sealeddeck.tech/irz9ht9tD1" TargetMode="External"/><Relationship Id="rId602" Type="http://schemas.openxmlformats.org/officeDocument/2006/relationships/hyperlink" Target="https://sealeddeck.tech/epghtSis9s" TargetMode="External"/><Relationship Id="rId601" Type="http://schemas.openxmlformats.org/officeDocument/2006/relationships/hyperlink" Target="https://sealeddeck.tech/CEq5XbTUuf" TargetMode="External"/><Relationship Id="rId600" Type="http://schemas.openxmlformats.org/officeDocument/2006/relationships/hyperlink" Target="https://sealeddeck.tech/1GfwDcmdXn" TargetMode="External"/><Relationship Id="rId606" Type="http://schemas.openxmlformats.org/officeDocument/2006/relationships/hyperlink" Target="https://sealeddeck.tech/ienMLZ2D8s" TargetMode="External"/><Relationship Id="rId605" Type="http://schemas.openxmlformats.org/officeDocument/2006/relationships/hyperlink" Target="https://sealeddeck.tech/5bfxph5RGt" TargetMode="External"/><Relationship Id="rId604" Type="http://schemas.openxmlformats.org/officeDocument/2006/relationships/hyperlink" Target="https://sealeddeck.tech/ivcXTrp1Sh" TargetMode="External"/><Relationship Id="rId603" Type="http://schemas.openxmlformats.org/officeDocument/2006/relationships/hyperlink" Target="https://sealeddeck.tech/BFQeR9qmHk" TargetMode="External"/><Relationship Id="rId1430" Type="http://schemas.openxmlformats.org/officeDocument/2006/relationships/hyperlink" Target="https://sealeddeck.tech/CRCc9j6HAy" TargetMode="External"/><Relationship Id="rId1431" Type="http://schemas.openxmlformats.org/officeDocument/2006/relationships/hyperlink" Target="https://sealeddeck.tech/8ZTKev8xZH" TargetMode="External"/><Relationship Id="rId1432" Type="http://schemas.openxmlformats.org/officeDocument/2006/relationships/hyperlink" Target="https://sealeddeck.tech/yoTzSxPh28" TargetMode="External"/><Relationship Id="rId1422" Type="http://schemas.openxmlformats.org/officeDocument/2006/relationships/hyperlink" Target="https://sealeddeck.tech/HjmYKXMinL" TargetMode="External"/><Relationship Id="rId1423" Type="http://schemas.openxmlformats.org/officeDocument/2006/relationships/hyperlink" Target="https://sealeddeck.tech/aaGrwuvkxe" TargetMode="External"/><Relationship Id="rId1424" Type="http://schemas.openxmlformats.org/officeDocument/2006/relationships/hyperlink" Target="https://sealeddeck.tech/uWJ89aUryq" TargetMode="External"/><Relationship Id="rId1425" Type="http://schemas.openxmlformats.org/officeDocument/2006/relationships/hyperlink" Target="https://sealeddeck.tech/YnarrR2cJt" TargetMode="External"/><Relationship Id="rId1426" Type="http://schemas.openxmlformats.org/officeDocument/2006/relationships/hyperlink" Target="https://sealeddeck.tech/RKoaHBEJfS" TargetMode="External"/><Relationship Id="rId1427" Type="http://schemas.openxmlformats.org/officeDocument/2006/relationships/hyperlink" Target="https://sealeddeck.tech/fkUjrm9ZgF" TargetMode="External"/><Relationship Id="rId1428" Type="http://schemas.openxmlformats.org/officeDocument/2006/relationships/hyperlink" Target="https://sealeddeck.tech/TvHqNqhE7x" TargetMode="External"/><Relationship Id="rId1429" Type="http://schemas.openxmlformats.org/officeDocument/2006/relationships/hyperlink" Target="https://sealeddeck.tech/E3J9E4JQYJ" TargetMode="External"/><Relationship Id="rId1420" Type="http://schemas.openxmlformats.org/officeDocument/2006/relationships/hyperlink" Target="https://sealeddeck.tech/2U7rvw7eqP" TargetMode="External"/><Relationship Id="rId1421" Type="http://schemas.openxmlformats.org/officeDocument/2006/relationships/hyperlink" Target="https://sealeddeck.tech/iXxLCzW3KU" TargetMode="External"/><Relationship Id="rId1059" Type="http://schemas.openxmlformats.org/officeDocument/2006/relationships/hyperlink" Target="https://sealeddeck.tech/4dcJNy9ahs" TargetMode="External"/><Relationship Id="rId228" Type="http://schemas.openxmlformats.org/officeDocument/2006/relationships/hyperlink" Target="https://sealeddeck.tech/dQcApWBbwJ" TargetMode="External"/><Relationship Id="rId227" Type="http://schemas.openxmlformats.org/officeDocument/2006/relationships/hyperlink" Target="https://sealeddeck.tech/QJKF3ZedHW" TargetMode="External"/><Relationship Id="rId226" Type="http://schemas.openxmlformats.org/officeDocument/2006/relationships/hyperlink" Target="https://sealeddeck.tech/chtEabEvgw" TargetMode="External"/><Relationship Id="rId225" Type="http://schemas.openxmlformats.org/officeDocument/2006/relationships/hyperlink" Target="https://sealeddeck.tech/PK4aqYw6Ys" TargetMode="External"/><Relationship Id="rId229" Type="http://schemas.openxmlformats.org/officeDocument/2006/relationships/hyperlink" Target="https://sealeddeck.tech/haVu5h9Hwg" TargetMode="External"/><Relationship Id="rId1050" Type="http://schemas.openxmlformats.org/officeDocument/2006/relationships/hyperlink" Target="https://sealeddeck.tech/fCnv8DW133" TargetMode="External"/><Relationship Id="rId220" Type="http://schemas.openxmlformats.org/officeDocument/2006/relationships/hyperlink" Target="https://sealeddeck.tech/wDURmg2JZL" TargetMode="External"/><Relationship Id="rId1051" Type="http://schemas.openxmlformats.org/officeDocument/2006/relationships/hyperlink" Target="https://sealeddeck.tech/QCBsTUyDyd" TargetMode="External"/><Relationship Id="rId1052" Type="http://schemas.openxmlformats.org/officeDocument/2006/relationships/hyperlink" Target="https://sealeddeck.tech/x4rTcjUtz3" TargetMode="External"/><Relationship Id="rId1053" Type="http://schemas.openxmlformats.org/officeDocument/2006/relationships/hyperlink" Target="https://sealeddeck.tech/wyxSChn3UZ" TargetMode="External"/><Relationship Id="rId1054" Type="http://schemas.openxmlformats.org/officeDocument/2006/relationships/hyperlink" Target="https://sealeddeck.tech/6P9Qw5M2Rd" TargetMode="External"/><Relationship Id="rId224" Type="http://schemas.openxmlformats.org/officeDocument/2006/relationships/hyperlink" Target="https://sealeddeck.tech/GKzmf8gqxm" TargetMode="External"/><Relationship Id="rId1055" Type="http://schemas.openxmlformats.org/officeDocument/2006/relationships/hyperlink" Target="https://sealeddeck.tech/SfZMLBxnaJ" TargetMode="External"/><Relationship Id="rId223" Type="http://schemas.openxmlformats.org/officeDocument/2006/relationships/hyperlink" Target="https://sealeddeck.tech/N6e9GfJWtS" TargetMode="External"/><Relationship Id="rId1056" Type="http://schemas.openxmlformats.org/officeDocument/2006/relationships/hyperlink" Target="https://sealeddeck.tech/nupr2Prp7C" TargetMode="External"/><Relationship Id="rId222" Type="http://schemas.openxmlformats.org/officeDocument/2006/relationships/hyperlink" Target="https://sealeddeck.tech/LRR2eLjnJt" TargetMode="External"/><Relationship Id="rId1057" Type="http://schemas.openxmlformats.org/officeDocument/2006/relationships/hyperlink" Target="https://sealeddeck.tech/YmVbhcV4eu" TargetMode="External"/><Relationship Id="rId221" Type="http://schemas.openxmlformats.org/officeDocument/2006/relationships/hyperlink" Target="https://sealeddeck.tech/34whHagH6D" TargetMode="External"/><Relationship Id="rId1058" Type="http://schemas.openxmlformats.org/officeDocument/2006/relationships/hyperlink" Target="https://sealeddeck.tech/NbraMPA2Hw" TargetMode="External"/><Relationship Id="rId1048" Type="http://schemas.openxmlformats.org/officeDocument/2006/relationships/hyperlink" Target="https://sealeddeck.tech/dfWvV8cdcR" TargetMode="External"/><Relationship Id="rId1049" Type="http://schemas.openxmlformats.org/officeDocument/2006/relationships/hyperlink" Target="https://sealeddeck.tech/XLnyFEfDg4" TargetMode="External"/><Relationship Id="rId217" Type="http://schemas.openxmlformats.org/officeDocument/2006/relationships/hyperlink" Target="https://sealeddeck.tech/6VnJHbuidi" TargetMode="External"/><Relationship Id="rId216" Type="http://schemas.openxmlformats.org/officeDocument/2006/relationships/hyperlink" Target="https://sealeddeck.tech/XVgHLiLqnu" TargetMode="External"/><Relationship Id="rId215" Type="http://schemas.openxmlformats.org/officeDocument/2006/relationships/hyperlink" Target="https://sealeddeck.tech/6dTdKFvdmm" TargetMode="External"/><Relationship Id="rId699" Type="http://schemas.openxmlformats.org/officeDocument/2006/relationships/hyperlink" Target="https://sealeddeck.tech/MqiMXfB1vY" TargetMode="External"/><Relationship Id="rId214" Type="http://schemas.openxmlformats.org/officeDocument/2006/relationships/hyperlink" Target="https://sealeddeck.tech/2qMuWygeUW" TargetMode="External"/><Relationship Id="rId698" Type="http://schemas.openxmlformats.org/officeDocument/2006/relationships/hyperlink" Target="https://sealeddeck.tech/hhKECKbDHX" TargetMode="External"/><Relationship Id="rId219" Type="http://schemas.openxmlformats.org/officeDocument/2006/relationships/hyperlink" Target="https://sealeddeck.tech/x4VX4sbPWx" TargetMode="External"/><Relationship Id="rId218" Type="http://schemas.openxmlformats.org/officeDocument/2006/relationships/hyperlink" Target="https://sealeddeck.tech/HKmUBJyeTt" TargetMode="External"/><Relationship Id="rId693" Type="http://schemas.openxmlformats.org/officeDocument/2006/relationships/hyperlink" Target="https://sealeddeck.tech/JsqU7Ho2Hx" TargetMode="External"/><Relationship Id="rId1040" Type="http://schemas.openxmlformats.org/officeDocument/2006/relationships/hyperlink" Target="https://sealeddeck.tech/EwnqfgjRiu" TargetMode="External"/><Relationship Id="rId692" Type="http://schemas.openxmlformats.org/officeDocument/2006/relationships/hyperlink" Target="https://sealeddeck.tech/rujRJk2bFJ" TargetMode="External"/><Relationship Id="rId1041" Type="http://schemas.openxmlformats.org/officeDocument/2006/relationships/hyperlink" Target="https://sealeddeck.tech/W4ZMo8GSJv" TargetMode="External"/><Relationship Id="rId691" Type="http://schemas.openxmlformats.org/officeDocument/2006/relationships/hyperlink" Target="https://sealeddeck.tech/pEobYYb26g" TargetMode="External"/><Relationship Id="rId1042" Type="http://schemas.openxmlformats.org/officeDocument/2006/relationships/hyperlink" Target="https://sealeddeck.tech/fodYMGdkEE" TargetMode="External"/><Relationship Id="rId690" Type="http://schemas.openxmlformats.org/officeDocument/2006/relationships/hyperlink" Target="https://sealeddeck.tech/DHAJyEebPy" TargetMode="External"/><Relationship Id="rId1043" Type="http://schemas.openxmlformats.org/officeDocument/2006/relationships/hyperlink" Target="https://sealeddeck.tech/7Ap9Cvh1sV" TargetMode="External"/><Relationship Id="rId213" Type="http://schemas.openxmlformats.org/officeDocument/2006/relationships/hyperlink" Target="https://sealeddeck.tech/e3VWPrb6Kk" TargetMode="External"/><Relationship Id="rId697" Type="http://schemas.openxmlformats.org/officeDocument/2006/relationships/hyperlink" Target="https://sealeddeck.tech/Vo1SwECMn5" TargetMode="External"/><Relationship Id="rId1044" Type="http://schemas.openxmlformats.org/officeDocument/2006/relationships/hyperlink" Target="https://sealeddeck.tech/WVERfkXUAc" TargetMode="External"/><Relationship Id="rId212" Type="http://schemas.openxmlformats.org/officeDocument/2006/relationships/hyperlink" Target="https://sealeddeck.tech/ubS7bV1ync" TargetMode="External"/><Relationship Id="rId696" Type="http://schemas.openxmlformats.org/officeDocument/2006/relationships/hyperlink" Target="https://sealeddeck.tech/XoBX6za2Po" TargetMode="External"/><Relationship Id="rId1045" Type="http://schemas.openxmlformats.org/officeDocument/2006/relationships/hyperlink" Target="https://sealeddeck.tech/gWufes5KEe" TargetMode="External"/><Relationship Id="rId211" Type="http://schemas.openxmlformats.org/officeDocument/2006/relationships/hyperlink" Target="https://sealeddeck.tech/7bEtyd3BeR" TargetMode="External"/><Relationship Id="rId695" Type="http://schemas.openxmlformats.org/officeDocument/2006/relationships/hyperlink" Target="https://sealeddeck.tech/cFLAThZF8D" TargetMode="External"/><Relationship Id="rId1046" Type="http://schemas.openxmlformats.org/officeDocument/2006/relationships/hyperlink" Target="https://sealeddeck.tech/LcoUzPDbLM" TargetMode="External"/><Relationship Id="rId210" Type="http://schemas.openxmlformats.org/officeDocument/2006/relationships/hyperlink" Target="https://sealeddeck.tech/cJUW5f4qcg" TargetMode="External"/><Relationship Id="rId694" Type="http://schemas.openxmlformats.org/officeDocument/2006/relationships/hyperlink" Target="https://sealeddeck.tech/5ZhaqiVef2" TargetMode="External"/><Relationship Id="rId1047" Type="http://schemas.openxmlformats.org/officeDocument/2006/relationships/hyperlink" Target="https://sealeddeck.tech/iDr7m5u6Nq" TargetMode="External"/><Relationship Id="rId249" Type="http://schemas.openxmlformats.org/officeDocument/2006/relationships/hyperlink" Target="https://sealeddeck.tech/mMkKZFu5xi" TargetMode="External"/><Relationship Id="rId248" Type="http://schemas.openxmlformats.org/officeDocument/2006/relationships/hyperlink" Target="https://sealeddeck.tech/5Kgs67f2Hr" TargetMode="External"/><Relationship Id="rId247" Type="http://schemas.openxmlformats.org/officeDocument/2006/relationships/hyperlink" Target="https://sealeddeck.tech/m5k9x3db8A" TargetMode="External"/><Relationship Id="rId1070" Type="http://schemas.openxmlformats.org/officeDocument/2006/relationships/hyperlink" Target="https://sealeddeck.tech/aVWZxidXup" TargetMode="External"/><Relationship Id="rId1071" Type="http://schemas.openxmlformats.org/officeDocument/2006/relationships/hyperlink" Target="https://sealeddeck.tech/RPDpTUEENo" TargetMode="External"/><Relationship Id="rId1072" Type="http://schemas.openxmlformats.org/officeDocument/2006/relationships/hyperlink" Target="https://sealeddeck.tech/qL7S9WC4jC" TargetMode="External"/><Relationship Id="rId242" Type="http://schemas.openxmlformats.org/officeDocument/2006/relationships/hyperlink" Target="https://sealeddeck.tech/enRwuNeLfV" TargetMode="External"/><Relationship Id="rId1073" Type="http://schemas.openxmlformats.org/officeDocument/2006/relationships/hyperlink" Target="https://sealeddeck.tech/qYBy45phGu" TargetMode="External"/><Relationship Id="rId241" Type="http://schemas.openxmlformats.org/officeDocument/2006/relationships/hyperlink" Target="https://sealeddeck.tech/yCu2TZ6fYR" TargetMode="External"/><Relationship Id="rId1074" Type="http://schemas.openxmlformats.org/officeDocument/2006/relationships/hyperlink" Target="https://sealeddeck.tech/asxiC5vYeg" TargetMode="External"/><Relationship Id="rId240" Type="http://schemas.openxmlformats.org/officeDocument/2006/relationships/hyperlink" Target="https://sealeddeck.tech/Hh9heNpM5u" TargetMode="External"/><Relationship Id="rId1075" Type="http://schemas.openxmlformats.org/officeDocument/2006/relationships/hyperlink" Target="https://sealeddeck.tech/Bss8tbNrmf" TargetMode="External"/><Relationship Id="rId1076" Type="http://schemas.openxmlformats.org/officeDocument/2006/relationships/hyperlink" Target="https://sealeddeck.tech/X6zHnLku6c" TargetMode="External"/><Relationship Id="rId246" Type="http://schemas.openxmlformats.org/officeDocument/2006/relationships/hyperlink" Target="https://sealeddeck.tech/j1gqYDC6Si" TargetMode="External"/><Relationship Id="rId1077" Type="http://schemas.openxmlformats.org/officeDocument/2006/relationships/hyperlink" Target="https://sealeddeck.tech/URdsPZjpm3" TargetMode="External"/><Relationship Id="rId245" Type="http://schemas.openxmlformats.org/officeDocument/2006/relationships/hyperlink" Target="https://sealeddeck.tech/gFFNFHfxYk" TargetMode="External"/><Relationship Id="rId1078" Type="http://schemas.openxmlformats.org/officeDocument/2006/relationships/hyperlink" Target="https://sealeddeck.tech/8Vq19nkzNL" TargetMode="External"/><Relationship Id="rId244" Type="http://schemas.openxmlformats.org/officeDocument/2006/relationships/hyperlink" Target="https://sealeddeck.tech/BZmAdwYmeQ" TargetMode="External"/><Relationship Id="rId1079" Type="http://schemas.openxmlformats.org/officeDocument/2006/relationships/hyperlink" Target="https://sealeddeck.tech/3XtSWNzTXT" TargetMode="External"/><Relationship Id="rId243" Type="http://schemas.openxmlformats.org/officeDocument/2006/relationships/hyperlink" Target="https://sealeddeck.tech/ZNmhEGkcdj" TargetMode="External"/><Relationship Id="rId239" Type="http://schemas.openxmlformats.org/officeDocument/2006/relationships/hyperlink" Target="https://sealeddeck.tech/NQXCtZR771" TargetMode="External"/><Relationship Id="rId238" Type="http://schemas.openxmlformats.org/officeDocument/2006/relationships/hyperlink" Target="https://sealeddeck.tech/PqXHCoM1Jn" TargetMode="External"/><Relationship Id="rId237" Type="http://schemas.openxmlformats.org/officeDocument/2006/relationships/hyperlink" Target="https://sealeddeck.tech/u36Zx47ra2" TargetMode="External"/><Relationship Id="rId236" Type="http://schemas.openxmlformats.org/officeDocument/2006/relationships/hyperlink" Target="https://sealeddeck.tech/9st9kXfDmP" TargetMode="External"/><Relationship Id="rId1060" Type="http://schemas.openxmlformats.org/officeDocument/2006/relationships/hyperlink" Target="https://sealeddeck.tech/8ASsK4mapg" TargetMode="External"/><Relationship Id="rId1061" Type="http://schemas.openxmlformats.org/officeDocument/2006/relationships/hyperlink" Target="https://sealeddeck.tech/LWwGo6qVov" TargetMode="External"/><Relationship Id="rId231" Type="http://schemas.openxmlformats.org/officeDocument/2006/relationships/hyperlink" Target="https://sealeddeck.tech/3oSGxttSrG" TargetMode="External"/><Relationship Id="rId1062" Type="http://schemas.openxmlformats.org/officeDocument/2006/relationships/hyperlink" Target="https://sealeddeck.tech/B4xMUs5zK7" TargetMode="External"/><Relationship Id="rId230" Type="http://schemas.openxmlformats.org/officeDocument/2006/relationships/hyperlink" Target="https://sealeddeck.tech/ZXbfBfqsEU" TargetMode="External"/><Relationship Id="rId1063" Type="http://schemas.openxmlformats.org/officeDocument/2006/relationships/hyperlink" Target="https://sealeddeck.tech/UzrJiKkS3Q" TargetMode="External"/><Relationship Id="rId1064" Type="http://schemas.openxmlformats.org/officeDocument/2006/relationships/hyperlink" Target="https://sealeddeck.tech/NuZWpGi5AB" TargetMode="External"/><Relationship Id="rId1065" Type="http://schemas.openxmlformats.org/officeDocument/2006/relationships/hyperlink" Target="https://sealeddeck.tech/EiGfkkqArT" TargetMode="External"/><Relationship Id="rId235" Type="http://schemas.openxmlformats.org/officeDocument/2006/relationships/hyperlink" Target="https://sealeddeck.tech/EQKmrKNMn4" TargetMode="External"/><Relationship Id="rId1066" Type="http://schemas.openxmlformats.org/officeDocument/2006/relationships/hyperlink" Target="https://sealeddeck.tech/nQi8QuymRm" TargetMode="External"/><Relationship Id="rId234" Type="http://schemas.openxmlformats.org/officeDocument/2006/relationships/hyperlink" Target="https://sealeddeck.tech/2mSJ4QdqUj" TargetMode="External"/><Relationship Id="rId1067" Type="http://schemas.openxmlformats.org/officeDocument/2006/relationships/hyperlink" Target="https://sealeddeck.tech/NAwUGuzB83" TargetMode="External"/><Relationship Id="rId233" Type="http://schemas.openxmlformats.org/officeDocument/2006/relationships/hyperlink" Target="https://sealeddeck.tech/7CmrVrBizk" TargetMode="External"/><Relationship Id="rId1068" Type="http://schemas.openxmlformats.org/officeDocument/2006/relationships/hyperlink" Target="https://sealeddeck.tech/vFaUyiwrjM" TargetMode="External"/><Relationship Id="rId232" Type="http://schemas.openxmlformats.org/officeDocument/2006/relationships/hyperlink" Target="https://sealeddeck.tech/2ZHDDahEgH" TargetMode="External"/><Relationship Id="rId1069" Type="http://schemas.openxmlformats.org/officeDocument/2006/relationships/hyperlink" Target="https://sealeddeck.tech/47HuSRkcoh" TargetMode="External"/><Relationship Id="rId1015" Type="http://schemas.openxmlformats.org/officeDocument/2006/relationships/hyperlink" Target="https://sealeddeck.tech/6CxwihJJCK" TargetMode="External"/><Relationship Id="rId1499" Type="http://schemas.openxmlformats.org/officeDocument/2006/relationships/hyperlink" Target="https://sealeddeck.tech/Ynypc9jeYx" TargetMode="External"/><Relationship Id="rId1016" Type="http://schemas.openxmlformats.org/officeDocument/2006/relationships/hyperlink" Target="https://sealeddeck.tech/A6qtgcEbgC" TargetMode="External"/><Relationship Id="rId1017" Type="http://schemas.openxmlformats.org/officeDocument/2006/relationships/hyperlink" Target="https://sealeddeck.tech/JuJgubdXjc" TargetMode="External"/><Relationship Id="rId1018" Type="http://schemas.openxmlformats.org/officeDocument/2006/relationships/hyperlink" Target="https://sealeddeck.tech/kHd7JNoAwx" TargetMode="External"/><Relationship Id="rId1019" Type="http://schemas.openxmlformats.org/officeDocument/2006/relationships/hyperlink" Target="https://sealeddeck.tech/KspafGGUCu" TargetMode="External"/><Relationship Id="rId668" Type="http://schemas.openxmlformats.org/officeDocument/2006/relationships/hyperlink" Target="https://sealeddeck.tech/UQigRkZf5j" TargetMode="External"/><Relationship Id="rId667" Type="http://schemas.openxmlformats.org/officeDocument/2006/relationships/hyperlink" Target="https://sealeddeck.tech/SV68Ckb7vr" TargetMode="External"/><Relationship Id="rId666" Type="http://schemas.openxmlformats.org/officeDocument/2006/relationships/hyperlink" Target="https://sealeddeck.tech/RGhMMDmuEi" TargetMode="External"/><Relationship Id="rId665" Type="http://schemas.openxmlformats.org/officeDocument/2006/relationships/hyperlink" Target="https://sealeddeck.tech/6Dbee2pVxf" TargetMode="External"/><Relationship Id="rId669" Type="http://schemas.openxmlformats.org/officeDocument/2006/relationships/hyperlink" Target="https://sealeddeck.tech/VjAWfLQWAY" TargetMode="External"/><Relationship Id="rId1490" Type="http://schemas.openxmlformats.org/officeDocument/2006/relationships/hyperlink" Target="https://sealeddeck.tech/EVhZMnSdGF" TargetMode="External"/><Relationship Id="rId660" Type="http://schemas.openxmlformats.org/officeDocument/2006/relationships/hyperlink" Target="https://sealeddeck.tech/rqdHG5TBNe" TargetMode="External"/><Relationship Id="rId1491" Type="http://schemas.openxmlformats.org/officeDocument/2006/relationships/hyperlink" Target="https://sealeddeck.tech/rcBXfQkJHd" TargetMode="External"/><Relationship Id="rId1492" Type="http://schemas.openxmlformats.org/officeDocument/2006/relationships/hyperlink" Target="https://sealeddeck.tech/36CAKXFLCS" TargetMode="External"/><Relationship Id="rId1493" Type="http://schemas.openxmlformats.org/officeDocument/2006/relationships/hyperlink" Target="https://sealeddeck.tech/JLGwCgM5vf" TargetMode="External"/><Relationship Id="rId1010" Type="http://schemas.openxmlformats.org/officeDocument/2006/relationships/hyperlink" Target="https://sealeddeck.tech/PBFgY1Pefg" TargetMode="External"/><Relationship Id="rId1494" Type="http://schemas.openxmlformats.org/officeDocument/2006/relationships/hyperlink" Target="https://sealeddeck.tech/so4X9RriZk" TargetMode="External"/><Relationship Id="rId664" Type="http://schemas.openxmlformats.org/officeDocument/2006/relationships/hyperlink" Target="https://sealeddeck.tech/wCsNpV7GCu" TargetMode="External"/><Relationship Id="rId1011" Type="http://schemas.openxmlformats.org/officeDocument/2006/relationships/hyperlink" Target="https://sealeddeck.tech/mKFXa4v5t6" TargetMode="External"/><Relationship Id="rId1495" Type="http://schemas.openxmlformats.org/officeDocument/2006/relationships/hyperlink" Target="https://sealeddeck.tech/qejUzqSD17" TargetMode="External"/><Relationship Id="rId663" Type="http://schemas.openxmlformats.org/officeDocument/2006/relationships/hyperlink" Target="https://sealeddeck.tech/QrepXHjVqp" TargetMode="External"/><Relationship Id="rId1012" Type="http://schemas.openxmlformats.org/officeDocument/2006/relationships/hyperlink" Target="https://sealeddeck.tech/3Mk2WjWjgw" TargetMode="External"/><Relationship Id="rId1496" Type="http://schemas.openxmlformats.org/officeDocument/2006/relationships/hyperlink" Target="https://sealeddeck.tech/6uCX7SH3hn" TargetMode="External"/><Relationship Id="rId662" Type="http://schemas.openxmlformats.org/officeDocument/2006/relationships/hyperlink" Target="https://sealeddeck.tech/29h79uudRS" TargetMode="External"/><Relationship Id="rId1013" Type="http://schemas.openxmlformats.org/officeDocument/2006/relationships/hyperlink" Target="https://sealeddeck.tech/aJg8Zc3omk" TargetMode="External"/><Relationship Id="rId1497" Type="http://schemas.openxmlformats.org/officeDocument/2006/relationships/hyperlink" Target="https://sealeddeck.tech/WfoYC4oS8T" TargetMode="External"/><Relationship Id="rId661" Type="http://schemas.openxmlformats.org/officeDocument/2006/relationships/hyperlink" Target="https://sealeddeck.tech/qD9V5oEV6h" TargetMode="External"/><Relationship Id="rId1014" Type="http://schemas.openxmlformats.org/officeDocument/2006/relationships/hyperlink" Target="https://sealeddeck.tech/WU3VYrnMA7" TargetMode="External"/><Relationship Id="rId1498" Type="http://schemas.openxmlformats.org/officeDocument/2006/relationships/hyperlink" Target="https://sealeddeck.tech/DVCjiAcdMJ" TargetMode="External"/><Relationship Id="rId1004" Type="http://schemas.openxmlformats.org/officeDocument/2006/relationships/hyperlink" Target="https://sealeddeck.tech/hfRMtJC6sD" TargetMode="External"/><Relationship Id="rId1488" Type="http://schemas.openxmlformats.org/officeDocument/2006/relationships/hyperlink" Target="https://sealeddeck.tech/4cjuHAxwPa" TargetMode="External"/><Relationship Id="rId1005" Type="http://schemas.openxmlformats.org/officeDocument/2006/relationships/hyperlink" Target="https://sealeddeck.tech/cEju45K5AT" TargetMode="External"/><Relationship Id="rId1489" Type="http://schemas.openxmlformats.org/officeDocument/2006/relationships/hyperlink" Target="https://sealeddeck.tech/v3Yp1DccSN" TargetMode="External"/><Relationship Id="rId1006" Type="http://schemas.openxmlformats.org/officeDocument/2006/relationships/hyperlink" Target="https://sealeddeck.tech/RjuqtnafRZ" TargetMode="External"/><Relationship Id="rId1007" Type="http://schemas.openxmlformats.org/officeDocument/2006/relationships/hyperlink" Target="https://sealeddeck.tech/S3LkWKiJCp" TargetMode="External"/><Relationship Id="rId1008" Type="http://schemas.openxmlformats.org/officeDocument/2006/relationships/hyperlink" Target="https://sealeddeck.tech/1BQbCFPizC" TargetMode="External"/><Relationship Id="rId1009" Type="http://schemas.openxmlformats.org/officeDocument/2006/relationships/hyperlink" Target="https://sealeddeck.tech/yQTTcnovWP" TargetMode="External"/><Relationship Id="rId657" Type="http://schemas.openxmlformats.org/officeDocument/2006/relationships/hyperlink" Target="https://sealeddeck.tech/53qfqFQXtK" TargetMode="External"/><Relationship Id="rId656" Type="http://schemas.openxmlformats.org/officeDocument/2006/relationships/hyperlink" Target="https://sealeddeck.tech/hyXiLfiD3D" TargetMode="External"/><Relationship Id="rId655" Type="http://schemas.openxmlformats.org/officeDocument/2006/relationships/hyperlink" Target="https://sealeddeck.tech/WVMGYkaDR7" TargetMode="External"/><Relationship Id="rId654" Type="http://schemas.openxmlformats.org/officeDocument/2006/relationships/hyperlink" Target="https://sealeddeck.tech/x8rfMP1faa" TargetMode="External"/><Relationship Id="rId659" Type="http://schemas.openxmlformats.org/officeDocument/2006/relationships/hyperlink" Target="https://sealeddeck.tech/pk4BgVgRi9" TargetMode="External"/><Relationship Id="rId658" Type="http://schemas.openxmlformats.org/officeDocument/2006/relationships/hyperlink" Target="https://sealeddeck.tech/186R3jR4SX" TargetMode="External"/><Relationship Id="rId1480" Type="http://schemas.openxmlformats.org/officeDocument/2006/relationships/hyperlink" Target="https://sealeddeck.tech/aRzPbzn38j" TargetMode="External"/><Relationship Id="rId1481" Type="http://schemas.openxmlformats.org/officeDocument/2006/relationships/hyperlink" Target="https://sealeddeck.tech/Bo4DGyN7qU" TargetMode="External"/><Relationship Id="rId1482" Type="http://schemas.openxmlformats.org/officeDocument/2006/relationships/hyperlink" Target="https://sealeddeck.tech/JNAaqW6io8" TargetMode="External"/><Relationship Id="rId1483" Type="http://schemas.openxmlformats.org/officeDocument/2006/relationships/hyperlink" Target="https://sealeddeck.tech/5PtfeiZ6kG" TargetMode="External"/><Relationship Id="rId653" Type="http://schemas.openxmlformats.org/officeDocument/2006/relationships/hyperlink" Target="https://sealeddeck.tech/qhqr11hLsw" TargetMode="External"/><Relationship Id="rId1000" Type="http://schemas.openxmlformats.org/officeDocument/2006/relationships/hyperlink" Target="https://sealeddeck.tech/Lcqw8HfTBJ" TargetMode="External"/><Relationship Id="rId1484" Type="http://schemas.openxmlformats.org/officeDocument/2006/relationships/hyperlink" Target="https://sealeddeck.tech/sBYLT7xZDY" TargetMode="External"/><Relationship Id="rId652" Type="http://schemas.openxmlformats.org/officeDocument/2006/relationships/hyperlink" Target="https://sealeddeck.tech/VhKZzuLN8T" TargetMode="External"/><Relationship Id="rId1001" Type="http://schemas.openxmlformats.org/officeDocument/2006/relationships/hyperlink" Target="https://sealeddeck.tech/cXE1qhfsSq" TargetMode="External"/><Relationship Id="rId1485" Type="http://schemas.openxmlformats.org/officeDocument/2006/relationships/hyperlink" Target="https://sealeddeck.tech/162Eg8VrFS" TargetMode="External"/><Relationship Id="rId651" Type="http://schemas.openxmlformats.org/officeDocument/2006/relationships/hyperlink" Target="https://sealeddeck.tech/Ja2Hx3aSpw" TargetMode="External"/><Relationship Id="rId1002" Type="http://schemas.openxmlformats.org/officeDocument/2006/relationships/hyperlink" Target="https://sealeddeck.tech/WPivPudYN7" TargetMode="External"/><Relationship Id="rId1486" Type="http://schemas.openxmlformats.org/officeDocument/2006/relationships/hyperlink" Target="https://sealeddeck.tech/wzkv93yHwP" TargetMode="External"/><Relationship Id="rId650" Type="http://schemas.openxmlformats.org/officeDocument/2006/relationships/hyperlink" Target="https://sealeddeck.tech/Mw5oDpCPya" TargetMode="External"/><Relationship Id="rId1003" Type="http://schemas.openxmlformats.org/officeDocument/2006/relationships/hyperlink" Target="https://sealeddeck.tech/6wyX6sfrmU" TargetMode="External"/><Relationship Id="rId1487" Type="http://schemas.openxmlformats.org/officeDocument/2006/relationships/hyperlink" Target="https://sealeddeck.tech/5uk58sF4NN" TargetMode="External"/><Relationship Id="rId1037" Type="http://schemas.openxmlformats.org/officeDocument/2006/relationships/hyperlink" Target="https://sealeddeck.tech/bMVPcoLt1Z" TargetMode="External"/><Relationship Id="rId1038" Type="http://schemas.openxmlformats.org/officeDocument/2006/relationships/hyperlink" Target="https://sealeddeck.tech/wBD2BbfSze" TargetMode="External"/><Relationship Id="rId1039" Type="http://schemas.openxmlformats.org/officeDocument/2006/relationships/hyperlink" Target="https://sealeddeck.tech/s8iJzUh7XV" TargetMode="External"/><Relationship Id="rId206" Type="http://schemas.openxmlformats.org/officeDocument/2006/relationships/hyperlink" Target="https://sealeddeck.tech/LtNbDPwLj1" TargetMode="External"/><Relationship Id="rId205" Type="http://schemas.openxmlformats.org/officeDocument/2006/relationships/hyperlink" Target="https://sealeddeck.tech/5LweGnhxmT" TargetMode="External"/><Relationship Id="rId689" Type="http://schemas.openxmlformats.org/officeDocument/2006/relationships/hyperlink" Target="https://sealeddeck.tech/ay4tXS9Nki" TargetMode="External"/><Relationship Id="rId204" Type="http://schemas.openxmlformats.org/officeDocument/2006/relationships/hyperlink" Target="https://sealeddeck.tech/YJ4p6c91gZ" TargetMode="External"/><Relationship Id="rId688" Type="http://schemas.openxmlformats.org/officeDocument/2006/relationships/hyperlink" Target="https://sealeddeck.tech/geqRxBbPvV" TargetMode="External"/><Relationship Id="rId203" Type="http://schemas.openxmlformats.org/officeDocument/2006/relationships/hyperlink" Target="https://sealeddeck.tech/qT8nooAB8G" TargetMode="External"/><Relationship Id="rId687" Type="http://schemas.openxmlformats.org/officeDocument/2006/relationships/hyperlink" Target="https://sealeddeck.tech/7QUrw5fEEd" TargetMode="External"/><Relationship Id="rId209" Type="http://schemas.openxmlformats.org/officeDocument/2006/relationships/hyperlink" Target="https://sealeddeck.tech/TJ5tUpFM6P" TargetMode="External"/><Relationship Id="rId208" Type="http://schemas.openxmlformats.org/officeDocument/2006/relationships/hyperlink" Target="https://sealeddeck.tech/b6Lq4SFTUM" TargetMode="External"/><Relationship Id="rId207" Type="http://schemas.openxmlformats.org/officeDocument/2006/relationships/hyperlink" Target="https://sealeddeck.tech/WLPkcWGH4A" TargetMode="External"/><Relationship Id="rId682" Type="http://schemas.openxmlformats.org/officeDocument/2006/relationships/hyperlink" Target="https://sealeddeck.tech/K3oxk1rK3S" TargetMode="External"/><Relationship Id="rId681" Type="http://schemas.openxmlformats.org/officeDocument/2006/relationships/hyperlink" Target="https://sealeddeck.tech/ZLoe4GuWHY" TargetMode="External"/><Relationship Id="rId1030" Type="http://schemas.openxmlformats.org/officeDocument/2006/relationships/hyperlink" Target="https://sealeddeck.tech/FxZAij7N6b" TargetMode="External"/><Relationship Id="rId680" Type="http://schemas.openxmlformats.org/officeDocument/2006/relationships/hyperlink" Target="https://sealeddeck.tech/Pb7qY1LE1U" TargetMode="External"/><Relationship Id="rId1031" Type="http://schemas.openxmlformats.org/officeDocument/2006/relationships/hyperlink" Target="https://sealeddeck.tech/uMC66Ae3ep" TargetMode="External"/><Relationship Id="rId1032" Type="http://schemas.openxmlformats.org/officeDocument/2006/relationships/hyperlink" Target="https://sealeddeck.tech/U4VZ15ibcX" TargetMode="External"/><Relationship Id="rId202" Type="http://schemas.openxmlformats.org/officeDocument/2006/relationships/hyperlink" Target="https://sealeddeck.tech/bJoU2HWxTG" TargetMode="External"/><Relationship Id="rId686" Type="http://schemas.openxmlformats.org/officeDocument/2006/relationships/hyperlink" Target="https://sealeddeck.tech/szM7fiGA6j" TargetMode="External"/><Relationship Id="rId1033" Type="http://schemas.openxmlformats.org/officeDocument/2006/relationships/hyperlink" Target="https://sealeddeck.tech/YgdFLLNnMx" TargetMode="External"/><Relationship Id="rId201" Type="http://schemas.openxmlformats.org/officeDocument/2006/relationships/hyperlink" Target="https://sealeddeck.tech/pkhLy6gpbr" TargetMode="External"/><Relationship Id="rId685" Type="http://schemas.openxmlformats.org/officeDocument/2006/relationships/hyperlink" Target="https://sealeddeck.tech/8vUcPFcRLq" TargetMode="External"/><Relationship Id="rId1034" Type="http://schemas.openxmlformats.org/officeDocument/2006/relationships/hyperlink" Target="https://sealeddeck.tech/oXXWwye9MK" TargetMode="External"/><Relationship Id="rId200" Type="http://schemas.openxmlformats.org/officeDocument/2006/relationships/hyperlink" Target="https://sealeddeck.tech/hHvfevuVww" TargetMode="External"/><Relationship Id="rId684" Type="http://schemas.openxmlformats.org/officeDocument/2006/relationships/hyperlink" Target="https://sealeddeck.tech/VRmrPYjrih" TargetMode="External"/><Relationship Id="rId1035" Type="http://schemas.openxmlformats.org/officeDocument/2006/relationships/hyperlink" Target="https://sealeddeck.tech/ARWfLLKdcC" TargetMode="External"/><Relationship Id="rId683" Type="http://schemas.openxmlformats.org/officeDocument/2006/relationships/hyperlink" Target="https://sealeddeck.tech/ayCG4EVgL8" TargetMode="External"/><Relationship Id="rId1036" Type="http://schemas.openxmlformats.org/officeDocument/2006/relationships/hyperlink" Target="https://sealeddeck.tech/DwbyvLVk3S" TargetMode="External"/><Relationship Id="rId1026" Type="http://schemas.openxmlformats.org/officeDocument/2006/relationships/hyperlink" Target="https://sealeddeck.tech/qmssTFujF8" TargetMode="External"/><Relationship Id="rId1027" Type="http://schemas.openxmlformats.org/officeDocument/2006/relationships/hyperlink" Target="https://sealeddeck.tech/LT1p21KGHE" TargetMode="External"/><Relationship Id="rId1028" Type="http://schemas.openxmlformats.org/officeDocument/2006/relationships/hyperlink" Target="https://sealeddeck.tech/Wf4twddLbz" TargetMode="External"/><Relationship Id="rId1029" Type="http://schemas.openxmlformats.org/officeDocument/2006/relationships/hyperlink" Target="https://sealeddeck.tech/dYWTFtNzfD" TargetMode="External"/><Relationship Id="rId679" Type="http://schemas.openxmlformats.org/officeDocument/2006/relationships/hyperlink" Target="https://sealeddeck.tech/s5BRbykr4E" TargetMode="External"/><Relationship Id="rId678" Type="http://schemas.openxmlformats.org/officeDocument/2006/relationships/hyperlink" Target="https://sealeddeck.tech/xuz1YmN3gS" TargetMode="External"/><Relationship Id="rId677" Type="http://schemas.openxmlformats.org/officeDocument/2006/relationships/hyperlink" Target="https://sealeddeck.tech/JCUTd9vx9D" TargetMode="External"/><Relationship Id="rId676" Type="http://schemas.openxmlformats.org/officeDocument/2006/relationships/hyperlink" Target="https://sealeddeck.tech/FskDEd9S28" TargetMode="External"/><Relationship Id="rId671" Type="http://schemas.openxmlformats.org/officeDocument/2006/relationships/hyperlink" Target="https://sealeddeck.tech/6bdu9zujre" TargetMode="External"/><Relationship Id="rId670" Type="http://schemas.openxmlformats.org/officeDocument/2006/relationships/hyperlink" Target="https://sealeddeck.tech/jyvKdnDFeM" TargetMode="External"/><Relationship Id="rId1020" Type="http://schemas.openxmlformats.org/officeDocument/2006/relationships/hyperlink" Target="https://sealeddeck.tech/bUuKu8yR3n" TargetMode="External"/><Relationship Id="rId1021" Type="http://schemas.openxmlformats.org/officeDocument/2006/relationships/hyperlink" Target="https://sealeddeck.tech/Ps32keEQhb" TargetMode="External"/><Relationship Id="rId675" Type="http://schemas.openxmlformats.org/officeDocument/2006/relationships/hyperlink" Target="https://sealeddeck.tech/cvez1Fcegs" TargetMode="External"/><Relationship Id="rId1022" Type="http://schemas.openxmlformats.org/officeDocument/2006/relationships/hyperlink" Target="https://sealeddeck.tech/YFPHNYeJ25" TargetMode="External"/><Relationship Id="rId674" Type="http://schemas.openxmlformats.org/officeDocument/2006/relationships/hyperlink" Target="https://sealeddeck.tech/xDgTRqBatZ" TargetMode="External"/><Relationship Id="rId1023" Type="http://schemas.openxmlformats.org/officeDocument/2006/relationships/hyperlink" Target="https://sealeddeck.tech/44xnTNUiUA" TargetMode="External"/><Relationship Id="rId673" Type="http://schemas.openxmlformats.org/officeDocument/2006/relationships/hyperlink" Target="https://sealeddeck.tech/TPEzDJGTxS" TargetMode="External"/><Relationship Id="rId1024" Type="http://schemas.openxmlformats.org/officeDocument/2006/relationships/hyperlink" Target="https://sealeddeck.tech/HMdk7uXCmH" TargetMode="External"/><Relationship Id="rId672" Type="http://schemas.openxmlformats.org/officeDocument/2006/relationships/hyperlink" Target="https://sealeddeck.tech/du7jQpxzkA" TargetMode="External"/><Relationship Id="rId1025" Type="http://schemas.openxmlformats.org/officeDocument/2006/relationships/hyperlink" Target="https://sealeddeck.tech/bJLgpmzgik" TargetMode="External"/><Relationship Id="rId190" Type="http://schemas.openxmlformats.org/officeDocument/2006/relationships/hyperlink" Target="https://sealeddeck.tech/C7gz9U8u1v" TargetMode="External"/><Relationship Id="rId194" Type="http://schemas.openxmlformats.org/officeDocument/2006/relationships/hyperlink" Target="https://sealeddeck.tech/GX93KkLmyE" TargetMode="External"/><Relationship Id="rId193" Type="http://schemas.openxmlformats.org/officeDocument/2006/relationships/hyperlink" Target="https://sealeddeck.tech/t9rP8DXQcY" TargetMode="External"/><Relationship Id="rId192" Type="http://schemas.openxmlformats.org/officeDocument/2006/relationships/hyperlink" Target="https://sealeddeck.tech/KebEuZUaKA" TargetMode="External"/><Relationship Id="rId191" Type="http://schemas.openxmlformats.org/officeDocument/2006/relationships/hyperlink" Target="https://sealeddeck.tech/5VPxhNWrhq" TargetMode="External"/><Relationship Id="rId187" Type="http://schemas.openxmlformats.org/officeDocument/2006/relationships/hyperlink" Target="https://sealeddeck.tech/2KqUbuDUDD" TargetMode="External"/><Relationship Id="rId186" Type="http://schemas.openxmlformats.org/officeDocument/2006/relationships/hyperlink" Target="https://sealeddeck.tech/gYTAd1ZqYu" TargetMode="External"/><Relationship Id="rId185" Type="http://schemas.openxmlformats.org/officeDocument/2006/relationships/hyperlink" Target="https://sealeddeck.tech/sZkxVmnFbY" TargetMode="External"/><Relationship Id="rId184" Type="http://schemas.openxmlformats.org/officeDocument/2006/relationships/hyperlink" Target="https://sealeddeck.tech/ajStkYNU7p" TargetMode="External"/><Relationship Id="rId189" Type="http://schemas.openxmlformats.org/officeDocument/2006/relationships/hyperlink" Target="https://sealeddeck.tech/Ke1FpcD1Bs" TargetMode="External"/><Relationship Id="rId188" Type="http://schemas.openxmlformats.org/officeDocument/2006/relationships/hyperlink" Target="https://sealeddeck.tech/m4S2dAaUma" TargetMode="External"/><Relationship Id="rId183" Type="http://schemas.openxmlformats.org/officeDocument/2006/relationships/hyperlink" Target="https://sealeddeck.tech/BkRtsHreFY" TargetMode="External"/><Relationship Id="rId182" Type="http://schemas.openxmlformats.org/officeDocument/2006/relationships/hyperlink" Target="https://sealeddeck.tech/cjrZ1Uj4bs" TargetMode="External"/><Relationship Id="rId181" Type="http://schemas.openxmlformats.org/officeDocument/2006/relationships/hyperlink" Target="https://sealeddeck.tech/BPKcWGVGhG" TargetMode="External"/><Relationship Id="rId180" Type="http://schemas.openxmlformats.org/officeDocument/2006/relationships/hyperlink" Target="https://sealeddeck.tech/QnFjPepFNZ" TargetMode="External"/><Relationship Id="rId176" Type="http://schemas.openxmlformats.org/officeDocument/2006/relationships/hyperlink" Target="https://sealeddeck.tech/DH8bV3uJfR" TargetMode="External"/><Relationship Id="rId175" Type="http://schemas.openxmlformats.org/officeDocument/2006/relationships/hyperlink" Target="https://sealeddeck.tech/MhkSyjoQWH" TargetMode="External"/><Relationship Id="rId174" Type="http://schemas.openxmlformats.org/officeDocument/2006/relationships/hyperlink" Target="https://sealeddeck.tech/MfFfsV6VfM" TargetMode="External"/><Relationship Id="rId173" Type="http://schemas.openxmlformats.org/officeDocument/2006/relationships/hyperlink" Target="https://sealeddeck.tech/sNna6j2Lts" TargetMode="External"/><Relationship Id="rId179" Type="http://schemas.openxmlformats.org/officeDocument/2006/relationships/hyperlink" Target="https://sealeddeck.tech/aF5vorQVsx" TargetMode="External"/><Relationship Id="rId178" Type="http://schemas.openxmlformats.org/officeDocument/2006/relationships/hyperlink" Target="https://sealeddeck.tech/irZEdrJg64" TargetMode="External"/><Relationship Id="rId177" Type="http://schemas.openxmlformats.org/officeDocument/2006/relationships/hyperlink" Target="https://sealeddeck.tech/uWADekW1BU" TargetMode="External"/><Relationship Id="rId1910" Type="http://schemas.openxmlformats.org/officeDocument/2006/relationships/hyperlink" Target="https://sealeddeck.tech/GDLs3tvvfm" TargetMode="External"/><Relationship Id="rId1911" Type="http://schemas.openxmlformats.org/officeDocument/2006/relationships/hyperlink" Target="https://sealeddeck.tech/c5LifG4svW" TargetMode="External"/><Relationship Id="rId1912" Type="http://schemas.openxmlformats.org/officeDocument/2006/relationships/hyperlink" Target="https://sealeddeck.tech/bhVMyWQhu7" TargetMode="External"/><Relationship Id="rId1913" Type="http://schemas.openxmlformats.org/officeDocument/2006/relationships/hyperlink" Target="https://sealeddeck.tech/8i69n2dEff" TargetMode="External"/><Relationship Id="rId1914" Type="http://schemas.openxmlformats.org/officeDocument/2006/relationships/hyperlink" Target="https://sealeddeck.tech/BoMQN7onYu" TargetMode="External"/><Relationship Id="rId1915" Type="http://schemas.openxmlformats.org/officeDocument/2006/relationships/hyperlink" Target="https://sealeddeck.tech/FssqWVRUoa" TargetMode="External"/><Relationship Id="rId1916" Type="http://schemas.openxmlformats.org/officeDocument/2006/relationships/hyperlink" Target="https://sealeddeck.tech/e1VwY2x5M5" TargetMode="External"/><Relationship Id="rId1917" Type="http://schemas.openxmlformats.org/officeDocument/2006/relationships/hyperlink" Target="https://sealeddeck.tech/p5SHKkq9SG" TargetMode="External"/><Relationship Id="rId1918" Type="http://schemas.openxmlformats.org/officeDocument/2006/relationships/hyperlink" Target="https://sealeddeck.tech/HkSpG5NUbf" TargetMode="External"/><Relationship Id="rId1919" Type="http://schemas.openxmlformats.org/officeDocument/2006/relationships/hyperlink" Target="https://sealeddeck.tech/hgDFZmJocS" TargetMode="External"/><Relationship Id="rId1900" Type="http://schemas.openxmlformats.org/officeDocument/2006/relationships/hyperlink" Target="https://sealeddeck.tech/w1xcW7rv7C" TargetMode="External"/><Relationship Id="rId1901" Type="http://schemas.openxmlformats.org/officeDocument/2006/relationships/hyperlink" Target="https://sealeddeck.tech/2E5p7hARtG" TargetMode="External"/><Relationship Id="rId1902" Type="http://schemas.openxmlformats.org/officeDocument/2006/relationships/hyperlink" Target="https://sealeddeck.tech/2nbunkw2xe" TargetMode="External"/><Relationship Id="rId1903" Type="http://schemas.openxmlformats.org/officeDocument/2006/relationships/hyperlink" Target="https://sealeddeck.tech/63ysZwtSrY" TargetMode="External"/><Relationship Id="rId1904" Type="http://schemas.openxmlformats.org/officeDocument/2006/relationships/hyperlink" Target="https://sealeddeck.tech/PVbUSQZkTj" TargetMode="External"/><Relationship Id="rId1905" Type="http://schemas.openxmlformats.org/officeDocument/2006/relationships/hyperlink" Target="https://sealeddeck.tech/3FXXGSZC6j" TargetMode="External"/><Relationship Id="rId1906" Type="http://schemas.openxmlformats.org/officeDocument/2006/relationships/hyperlink" Target="https://sealeddeck.tech/FjyBTz7Kxr" TargetMode="External"/><Relationship Id="rId1907" Type="http://schemas.openxmlformats.org/officeDocument/2006/relationships/hyperlink" Target="https://sealeddeck.tech/GxnZHoUaoy" TargetMode="External"/><Relationship Id="rId1908" Type="http://schemas.openxmlformats.org/officeDocument/2006/relationships/hyperlink" Target="https://sealeddeck.tech/Pjuyxa821M" TargetMode="External"/><Relationship Id="rId1909" Type="http://schemas.openxmlformats.org/officeDocument/2006/relationships/hyperlink" Target="https://sealeddeck.tech/hicNdq7dnQ" TargetMode="External"/><Relationship Id="rId198" Type="http://schemas.openxmlformats.org/officeDocument/2006/relationships/hyperlink" Target="https://sealeddeck.tech/C3YqQPmXEq" TargetMode="External"/><Relationship Id="rId197" Type="http://schemas.openxmlformats.org/officeDocument/2006/relationships/hyperlink" Target="https://sealeddeck.tech/jQyaEX8UrZ" TargetMode="External"/><Relationship Id="rId196" Type="http://schemas.openxmlformats.org/officeDocument/2006/relationships/hyperlink" Target="https://sealeddeck.tech/csZHdu5ybj" TargetMode="External"/><Relationship Id="rId195" Type="http://schemas.openxmlformats.org/officeDocument/2006/relationships/hyperlink" Target="https://sealeddeck.tech/pzzByHy53e" TargetMode="External"/><Relationship Id="rId199" Type="http://schemas.openxmlformats.org/officeDocument/2006/relationships/hyperlink" Target="https://sealeddeck.tech/Cs4328coKZ" TargetMode="External"/><Relationship Id="rId150" Type="http://schemas.openxmlformats.org/officeDocument/2006/relationships/hyperlink" Target="https://sealeddeck.tech/AiGL9N5gzG" TargetMode="External"/><Relationship Id="rId149" Type="http://schemas.openxmlformats.org/officeDocument/2006/relationships/hyperlink" Target="https://sealeddeck.tech/MZ7RZFb5Nk" TargetMode="External"/><Relationship Id="rId148" Type="http://schemas.openxmlformats.org/officeDocument/2006/relationships/hyperlink" Target="https://sealeddeck.tech/pea64ysrxE" TargetMode="External"/><Relationship Id="rId1090" Type="http://schemas.openxmlformats.org/officeDocument/2006/relationships/hyperlink" Target="https://sealeddeck.tech/HLimtbsCp7" TargetMode="External"/><Relationship Id="rId1091" Type="http://schemas.openxmlformats.org/officeDocument/2006/relationships/hyperlink" Target="https://sealeddeck.tech/Tc6Kw7zR1e" TargetMode="External"/><Relationship Id="rId1092" Type="http://schemas.openxmlformats.org/officeDocument/2006/relationships/hyperlink" Target="https://sealeddeck.tech/dyVrNwLCmh" TargetMode="External"/><Relationship Id="rId1093" Type="http://schemas.openxmlformats.org/officeDocument/2006/relationships/hyperlink" Target="https://sealeddeck.tech/snXjfZ6BEc" TargetMode="External"/><Relationship Id="rId1094" Type="http://schemas.openxmlformats.org/officeDocument/2006/relationships/hyperlink" Target="https://sealeddeck.tech/AFQEyeijmd" TargetMode="External"/><Relationship Id="rId143" Type="http://schemas.openxmlformats.org/officeDocument/2006/relationships/hyperlink" Target="https://sealeddeck.tech/WWv9ZPxVk5" TargetMode="External"/><Relationship Id="rId1095" Type="http://schemas.openxmlformats.org/officeDocument/2006/relationships/hyperlink" Target="https://sealeddeck.tech/6xoARDuvES" TargetMode="External"/><Relationship Id="rId142" Type="http://schemas.openxmlformats.org/officeDocument/2006/relationships/hyperlink" Target="https://sealeddeck.tech/LxvbhxpGrb" TargetMode="External"/><Relationship Id="rId1096" Type="http://schemas.openxmlformats.org/officeDocument/2006/relationships/hyperlink" Target="https://sealeddeck.tech/wQ45krM6uW" TargetMode="External"/><Relationship Id="rId141" Type="http://schemas.openxmlformats.org/officeDocument/2006/relationships/hyperlink" Target="https://sealeddeck.tech/snoYsdpLUd" TargetMode="External"/><Relationship Id="rId1097" Type="http://schemas.openxmlformats.org/officeDocument/2006/relationships/hyperlink" Target="https://sealeddeck.tech/io5XiKUMT9" TargetMode="External"/><Relationship Id="rId140" Type="http://schemas.openxmlformats.org/officeDocument/2006/relationships/hyperlink" Target="https://sealeddeck.tech/82m6uASi5Z" TargetMode="External"/><Relationship Id="rId1098" Type="http://schemas.openxmlformats.org/officeDocument/2006/relationships/hyperlink" Target="https://sealeddeck.tech/hXMetAgE9R" TargetMode="External"/><Relationship Id="rId147" Type="http://schemas.openxmlformats.org/officeDocument/2006/relationships/hyperlink" Target="https://sealeddeck.tech/beMEDWzdA7" TargetMode="External"/><Relationship Id="rId1099" Type="http://schemas.openxmlformats.org/officeDocument/2006/relationships/hyperlink" Target="https://sealeddeck.tech/dL1KuDs7HQ" TargetMode="External"/><Relationship Id="rId146" Type="http://schemas.openxmlformats.org/officeDocument/2006/relationships/hyperlink" Target="https://sealeddeck.tech/gPfDGLLUg3" TargetMode="External"/><Relationship Id="rId145" Type="http://schemas.openxmlformats.org/officeDocument/2006/relationships/hyperlink" Target="https://sealeddeck.tech/F2dDjfQuL6" TargetMode="External"/><Relationship Id="rId144" Type="http://schemas.openxmlformats.org/officeDocument/2006/relationships/hyperlink" Target="https://sealeddeck.tech/onGVBPZniG" TargetMode="External"/><Relationship Id="rId139" Type="http://schemas.openxmlformats.org/officeDocument/2006/relationships/hyperlink" Target="https://sealeddeck.tech/biyHEP79xj" TargetMode="External"/><Relationship Id="rId138" Type="http://schemas.openxmlformats.org/officeDocument/2006/relationships/hyperlink" Target="https://sealeddeck.tech/rHWg3vrQaP" TargetMode="External"/><Relationship Id="rId137" Type="http://schemas.openxmlformats.org/officeDocument/2006/relationships/hyperlink" Target="https://sealeddeck.tech/Y1AxfqRGtP" TargetMode="External"/><Relationship Id="rId1080" Type="http://schemas.openxmlformats.org/officeDocument/2006/relationships/hyperlink" Target="https://sealeddeck.tech/TGrJkS3Hs3" TargetMode="External"/><Relationship Id="rId1081" Type="http://schemas.openxmlformats.org/officeDocument/2006/relationships/hyperlink" Target="https://sealeddeck.tech/kz5whnEPJh" TargetMode="External"/><Relationship Id="rId1082" Type="http://schemas.openxmlformats.org/officeDocument/2006/relationships/hyperlink" Target="https://sealeddeck.tech/PjtKETNDQU" TargetMode="External"/><Relationship Id="rId1083" Type="http://schemas.openxmlformats.org/officeDocument/2006/relationships/hyperlink" Target="https://sealeddeck.tech/cECM5a8knd" TargetMode="External"/><Relationship Id="rId132" Type="http://schemas.openxmlformats.org/officeDocument/2006/relationships/hyperlink" Target="https://sealeddeck.tech/gDwnhWGeG7" TargetMode="External"/><Relationship Id="rId1084" Type="http://schemas.openxmlformats.org/officeDocument/2006/relationships/hyperlink" Target="https://sealeddeck.tech/KoysrKhZgF" TargetMode="External"/><Relationship Id="rId131" Type="http://schemas.openxmlformats.org/officeDocument/2006/relationships/hyperlink" Target="https://sealeddeck.tech/QmwZMnuagv" TargetMode="External"/><Relationship Id="rId1085" Type="http://schemas.openxmlformats.org/officeDocument/2006/relationships/hyperlink" Target="https://sealeddeck.tech/m4SDzkiDQo" TargetMode="External"/><Relationship Id="rId130" Type="http://schemas.openxmlformats.org/officeDocument/2006/relationships/hyperlink" Target="https://sealeddeck.tech/7AJSV5hmia" TargetMode="External"/><Relationship Id="rId1086" Type="http://schemas.openxmlformats.org/officeDocument/2006/relationships/hyperlink" Target="https://sealeddeck.tech/UXELXPTUbo" TargetMode="External"/><Relationship Id="rId1087" Type="http://schemas.openxmlformats.org/officeDocument/2006/relationships/hyperlink" Target="https://sealeddeck.tech/dBiAMJWSAU" TargetMode="External"/><Relationship Id="rId136" Type="http://schemas.openxmlformats.org/officeDocument/2006/relationships/hyperlink" Target="https://sealeddeck.tech/xP5KWYsqCF" TargetMode="External"/><Relationship Id="rId1088" Type="http://schemas.openxmlformats.org/officeDocument/2006/relationships/hyperlink" Target="https://sealeddeck.tech/FhFecJx4U6" TargetMode="External"/><Relationship Id="rId135" Type="http://schemas.openxmlformats.org/officeDocument/2006/relationships/hyperlink" Target="https://sealeddeck.tech/JRgCkkuSuH" TargetMode="External"/><Relationship Id="rId1089" Type="http://schemas.openxmlformats.org/officeDocument/2006/relationships/hyperlink" Target="https://sealeddeck.tech/htdcTLhngQ" TargetMode="External"/><Relationship Id="rId134" Type="http://schemas.openxmlformats.org/officeDocument/2006/relationships/hyperlink" Target="https://sealeddeck.tech/8fjFJaaEKX" TargetMode="External"/><Relationship Id="rId133" Type="http://schemas.openxmlformats.org/officeDocument/2006/relationships/hyperlink" Target="https://sealeddeck.tech/TDeLet2bHm" TargetMode="External"/><Relationship Id="rId172" Type="http://schemas.openxmlformats.org/officeDocument/2006/relationships/hyperlink" Target="https://sealeddeck.tech/SungZHLUK6" TargetMode="External"/><Relationship Id="rId171" Type="http://schemas.openxmlformats.org/officeDocument/2006/relationships/hyperlink" Target="https://sealeddeck.tech/hHDtFDyozK" TargetMode="External"/><Relationship Id="rId170" Type="http://schemas.openxmlformats.org/officeDocument/2006/relationships/hyperlink" Target="https://sealeddeck.tech/DiTEp34yV5" TargetMode="External"/><Relationship Id="rId165" Type="http://schemas.openxmlformats.org/officeDocument/2006/relationships/hyperlink" Target="https://sealeddeck.tech/GLnNzVg5Kn" TargetMode="External"/><Relationship Id="rId164" Type="http://schemas.openxmlformats.org/officeDocument/2006/relationships/hyperlink" Target="https://sealeddeck.tech/9TPHSDy36e" TargetMode="External"/><Relationship Id="rId163" Type="http://schemas.openxmlformats.org/officeDocument/2006/relationships/hyperlink" Target="https://sealeddeck.tech/oKz8AEMJLf" TargetMode="External"/><Relationship Id="rId162" Type="http://schemas.openxmlformats.org/officeDocument/2006/relationships/hyperlink" Target="https://sealeddeck.tech/f64ttyEuuT" TargetMode="External"/><Relationship Id="rId169" Type="http://schemas.openxmlformats.org/officeDocument/2006/relationships/hyperlink" Target="https://sealeddeck.tech/vDaXAtfaRF" TargetMode="External"/><Relationship Id="rId168" Type="http://schemas.openxmlformats.org/officeDocument/2006/relationships/hyperlink" Target="https://sealeddeck.tech/4SumiujC9T" TargetMode="External"/><Relationship Id="rId167" Type="http://schemas.openxmlformats.org/officeDocument/2006/relationships/hyperlink" Target="https://sealeddeck.tech/e7kjgntHXz" TargetMode="External"/><Relationship Id="rId166" Type="http://schemas.openxmlformats.org/officeDocument/2006/relationships/hyperlink" Target="https://sealeddeck.tech/3f7gXCB8xC" TargetMode="External"/><Relationship Id="rId161" Type="http://schemas.openxmlformats.org/officeDocument/2006/relationships/hyperlink" Target="https://sealeddeck.tech/qySqPox24X" TargetMode="External"/><Relationship Id="rId160" Type="http://schemas.openxmlformats.org/officeDocument/2006/relationships/hyperlink" Target="https://sealeddeck.tech/3pGZJyUU5z" TargetMode="External"/><Relationship Id="rId159" Type="http://schemas.openxmlformats.org/officeDocument/2006/relationships/hyperlink" Target="https://sealeddeck.tech/Q1Gu2X7B7y" TargetMode="External"/><Relationship Id="rId154" Type="http://schemas.openxmlformats.org/officeDocument/2006/relationships/hyperlink" Target="https://sealeddeck.tech/UwDUAnuzxg" TargetMode="External"/><Relationship Id="rId153" Type="http://schemas.openxmlformats.org/officeDocument/2006/relationships/hyperlink" Target="https://sealeddeck.tech/G7Kijje5hE" TargetMode="External"/><Relationship Id="rId152" Type="http://schemas.openxmlformats.org/officeDocument/2006/relationships/hyperlink" Target="https://sealeddeck.tech/L6fjrJ11hJ" TargetMode="External"/><Relationship Id="rId151" Type="http://schemas.openxmlformats.org/officeDocument/2006/relationships/hyperlink" Target="https://sealeddeck.tech/9iYMKvDqim" TargetMode="External"/><Relationship Id="rId158" Type="http://schemas.openxmlformats.org/officeDocument/2006/relationships/hyperlink" Target="https://sealeddeck.tech/fg4X2ecEdg" TargetMode="External"/><Relationship Id="rId157" Type="http://schemas.openxmlformats.org/officeDocument/2006/relationships/hyperlink" Target="https://sealeddeck.tech/yZrv4LmTgJ" TargetMode="External"/><Relationship Id="rId156" Type="http://schemas.openxmlformats.org/officeDocument/2006/relationships/hyperlink" Target="https://sealeddeck.tech/3hxmaHjaqG" TargetMode="External"/><Relationship Id="rId155" Type="http://schemas.openxmlformats.org/officeDocument/2006/relationships/hyperlink" Target="https://sealeddeck.tech/JhERw6ba5d" TargetMode="External"/><Relationship Id="rId1972" Type="http://schemas.openxmlformats.org/officeDocument/2006/relationships/hyperlink" Target="https://sealeddeck.tech/KGAkkRVJCj" TargetMode="External"/><Relationship Id="rId1973" Type="http://schemas.openxmlformats.org/officeDocument/2006/relationships/hyperlink" Target="https://sealeddeck.tech/8h2JmiKCS8" TargetMode="External"/><Relationship Id="rId1974" Type="http://schemas.openxmlformats.org/officeDocument/2006/relationships/hyperlink" Target="https://sealeddeck.tech/qP4yMEVG3Z" TargetMode="External"/><Relationship Id="rId1975" Type="http://schemas.openxmlformats.org/officeDocument/2006/relationships/hyperlink" Target="https://sealeddeck.tech/vtDsSoQH8Y" TargetMode="External"/><Relationship Id="rId1976" Type="http://schemas.openxmlformats.org/officeDocument/2006/relationships/drawing" Target="../drawings/drawing8.xml"/><Relationship Id="rId1970" Type="http://schemas.openxmlformats.org/officeDocument/2006/relationships/hyperlink" Target="https://sealeddeck.tech/fdw4X7qNHi" TargetMode="External"/><Relationship Id="rId1971" Type="http://schemas.openxmlformats.org/officeDocument/2006/relationships/hyperlink" Target="https://sealeddeck.tech/umkrfKLTHJ" TargetMode="External"/><Relationship Id="rId1961" Type="http://schemas.openxmlformats.org/officeDocument/2006/relationships/hyperlink" Target="https://sealeddeck.tech/QLQJxYD3SV" TargetMode="External"/><Relationship Id="rId1962" Type="http://schemas.openxmlformats.org/officeDocument/2006/relationships/hyperlink" Target="https://sealeddeck.tech/u3fWsWirpU" TargetMode="External"/><Relationship Id="rId1963" Type="http://schemas.openxmlformats.org/officeDocument/2006/relationships/hyperlink" Target="https://sealeddeck.tech/GQByKSsvF2" TargetMode="External"/><Relationship Id="rId1964" Type="http://schemas.openxmlformats.org/officeDocument/2006/relationships/hyperlink" Target="https://sealeddeck.tech/5ZyfHEBSR8" TargetMode="External"/><Relationship Id="rId1965" Type="http://schemas.openxmlformats.org/officeDocument/2006/relationships/hyperlink" Target="https://sealeddeck.tech/JL5ZKxUPcg" TargetMode="External"/><Relationship Id="rId1966" Type="http://schemas.openxmlformats.org/officeDocument/2006/relationships/hyperlink" Target="https://sealeddeck.tech/KcWGmvbs9D" TargetMode="External"/><Relationship Id="rId1967" Type="http://schemas.openxmlformats.org/officeDocument/2006/relationships/hyperlink" Target="https://sealeddeck.tech/Cxxb4TsF1j" TargetMode="External"/><Relationship Id="rId1968" Type="http://schemas.openxmlformats.org/officeDocument/2006/relationships/hyperlink" Target="https://sealeddeck.tech/uzy7Ddn2h4" TargetMode="External"/><Relationship Id="rId1969" Type="http://schemas.openxmlformats.org/officeDocument/2006/relationships/hyperlink" Target="https://sealeddeck.tech/bU5nDypaPg" TargetMode="External"/><Relationship Id="rId1960" Type="http://schemas.openxmlformats.org/officeDocument/2006/relationships/hyperlink" Target="https://sealeddeck.tech/d19n2VwuEJ" TargetMode="External"/><Relationship Id="rId1510" Type="http://schemas.openxmlformats.org/officeDocument/2006/relationships/hyperlink" Target="https://sealeddeck.tech/xB7sqDDJQf" TargetMode="External"/><Relationship Id="rId1511" Type="http://schemas.openxmlformats.org/officeDocument/2006/relationships/hyperlink" Target="https://sealeddeck.tech/sKPuML5VJD" TargetMode="External"/><Relationship Id="rId1512" Type="http://schemas.openxmlformats.org/officeDocument/2006/relationships/hyperlink" Target="https://sealeddeck.tech/Wcq7V2YW14" TargetMode="External"/><Relationship Id="rId1513" Type="http://schemas.openxmlformats.org/officeDocument/2006/relationships/hyperlink" Target="https://sealeddeck.tech/WoiPknGM2a" TargetMode="External"/><Relationship Id="rId1514" Type="http://schemas.openxmlformats.org/officeDocument/2006/relationships/hyperlink" Target="https://sealeddeck.tech/G5Y5gxWFw9" TargetMode="External"/><Relationship Id="rId1515" Type="http://schemas.openxmlformats.org/officeDocument/2006/relationships/hyperlink" Target="https://sealeddeck.tech/YKZ3u7tSYB" TargetMode="External"/><Relationship Id="rId1516" Type="http://schemas.openxmlformats.org/officeDocument/2006/relationships/hyperlink" Target="https://sealeddeck.tech/G3W45QLNtZ" TargetMode="External"/><Relationship Id="rId1517" Type="http://schemas.openxmlformats.org/officeDocument/2006/relationships/hyperlink" Target="https://sealeddeck.tech/F4mPjuwhDT" TargetMode="External"/><Relationship Id="rId1518" Type="http://schemas.openxmlformats.org/officeDocument/2006/relationships/hyperlink" Target="https://sealeddeck.tech/GjCpVXJDZL" TargetMode="External"/><Relationship Id="rId1519" Type="http://schemas.openxmlformats.org/officeDocument/2006/relationships/hyperlink" Target="https://sealeddeck.tech/5CUKfVGSai" TargetMode="External"/><Relationship Id="rId1500" Type="http://schemas.openxmlformats.org/officeDocument/2006/relationships/hyperlink" Target="https://sealeddeck.tech/L6Yrg6Q694" TargetMode="External"/><Relationship Id="rId1501" Type="http://schemas.openxmlformats.org/officeDocument/2006/relationships/hyperlink" Target="https://sealeddeck.tech/THLicTdfNY" TargetMode="External"/><Relationship Id="rId1502" Type="http://schemas.openxmlformats.org/officeDocument/2006/relationships/hyperlink" Target="https://sealeddeck.tech/YJs1pCwbN3" TargetMode="External"/><Relationship Id="rId1503" Type="http://schemas.openxmlformats.org/officeDocument/2006/relationships/hyperlink" Target="https://sealeddeck.tech/dDjgSYGZJ7" TargetMode="External"/><Relationship Id="rId1504" Type="http://schemas.openxmlformats.org/officeDocument/2006/relationships/hyperlink" Target="https://sealeddeck.tech/hN7L27wYu5" TargetMode="External"/><Relationship Id="rId1505" Type="http://schemas.openxmlformats.org/officeDocument/2006/relationships/hyperlink" Target="https://sealeddeck.tech/W28cTwockq" TargetMode="External"/><Relationship Id="rId1506" Type="http://schemas.openxmlformats.org/officeDocument/2006/relationships/hyperlink" Target="https://sealeddeck.tech/bFpwXh7iQJ" TargetMode="External"/><Relationship Id="rId1507" Type="http://schemas.openxmlformats.org/officeDocument/2006/relationships/hyperlink" Target="https://sealeddeck.tech/KwQipo3pBq" TargetMode="External"/><Relationship Id="rId1508" Type="http://schemas.openxmlformats.org/officeDocument/2006/relationships/hyperlink" Target="https://sealeddeck.tech/QqN5wrzYCn" TargetMode="External"/><Relationship Id="rId1509" Type="http://schemas.openxmlformats.org/officeDocument/2006/relationships/hyperlink" Target="https://sealeddeck.tech/EaGy5fPFAm" TargetMode="External"/><Relationship Id="rId1930" Type="http://schemas.openxmlformats.org/officeDocument/2006/relationships/hyperlink" Target="https://sealeddeck.tech/puWN9mCQk6" TargetMode="External"/><Relationship Id="rId1931" Type="http://schemas.openxmlformats.org/officeDocument/2006/relationships/hyperlink" Target="https://sealeddeck.tech/p1YTq6QjSu" TargetMode="External"/><Relationship Id="rId1932" Type="http://schemas.openxmlformats.org/officeDocument/2006/relationships/hyperlink" Target="https://sealeddeck.tech/2rwSyF26SG" TargetMode="External"/><Relationship Id="rId1933" Type="http://schemas.openxmlformats.org/officeDocument/2006/relationships/hyperlink" Target="https://sealeddeck.tech/g7qtaDAKGJ" TargetMode="External"/><Relationship Id="rId1934" Type="http://schemas.openxmlformats.org/officeDocument/2006/relationships/hyperlink" Target="https://sealeddeck.tech/A2Df922t6z" TargetMode="External"/><Relationship Id="rId1935" Type="http://schemas.openxmlformats.org/officeDocument/2006/relationships/hyperlink" Target="https://sealeddeck.tech/wJbJ37CcTY" TargetMode="External"/><Relationship Id="rId1936" Type="http://schemas.openxmlformats.org/officeDocument/2006/relationships/hyperlink" Target="https://sealeddeck.tech/76R16BQuo4" TargetMode="External"/><Relationship Id="rId1937" Type="http://schemas.openxmlformats.org/officeDocument/2006/relationships/hyperlink" Target="https://sealeddeck.tech/9r4cRQdWuG" TargetMode="External"/><Relationship Id="rId1938" Type="http://schemas.openxmlformats.org/officeDocument/2006/relationships/hyperlink" Target="https://sealeddeck.tech/xXiW9LZrS8" TargetMode="External"/><Relationship Id="rId1939" Type="http://schemas.openxmlformats.org/officeDocument/2006/relationships/hyperlink" Target="https://sealeddeck.tech/bB16Gzv9Sy" TargetMode="External"/><Relationship Id="rId1920" Type="http://schemas.openxmlformats.org/officeDocument/2006/relationships/hyperlink" Target="https://sealeddeck.tech/f1CfUnVv21" TargetMode="External"/><Relationship Id="rId1921" Type="http://schemas.openxmlformats.org/officeDocument/2006/relationships/hyperlink" Target="https://sealeddeck.tech/jhuiWZd3J3" TargetMode="External"/><Relationship Id="rId1922" Type="http://schemas.openxmlformats.org/officeDocument/2006/relationships/hyperlink" Target="https://sealeddeck.tech/UZApJTsnWM" TargetMode="External"/><Relationship Id="rId1923" Type="http://schemas.openxmlformats.org/officeDocument/2006/relationships/hyperlink" Target="https://sealeddeck.tech/eAsdCZs3hB" TargetMode="External"/><Relationship Id="rId1924" Type="http://schemas.openxmlformats.org/officeDocument/2006/relationships/hyperlink" Target="https://sealeddeck.tech/bXT4LMj1XB" TargetMode="External"/><Relationship Id="rId1925" Type="http://schemas.openxmlformats.org/officeDocument/2006/relationships/hyperlink" Target="https://sealeddeck.tech/54vGMGtQGB" TargetMode="External"/><Relationship Id="rId1926" Type="http://schemas.openxmlformats.org/officeDocument/2006/relationships/hyperlink" Target="https://sealeddeck.tech/Snwhk4Yy77" TargetMode="External"/><Relationship Id="rId1927" Type="http://schemas.openxmlformats.org/officeDocument/2006/relationships/hyperlink" Target="https://sealeddeck.tech/aN1kopk5yF" TargetMode="External"/><Relationship Id="rId1928" Type="http://schemas.openxmlformats.org/officeDocument/2006/relationships/hyperlink" Target="https://sealeddeck.tech/CK6Sh8B5Gm" TargetMode="External"/><Relationship Id="rId1929" Type="http://schemas.openxmlformats.org/officeDocument/2006/relationships/hyperlink" Target="https://sealeddeck.tech/tXyd83NZpL" TargetMode="External"/><Relationship Id="rId1950" Type="http://schemas.openxmlformats.org/officeDocument/2006/relationships/hyperlink" Target="https://sealeddeck.tech/9vgD9kGvkq" TargetMode="External"/><Relationship Id="rId1951" Type="http://schemas.openxmlformats.org/officeDocument/2006/relationships/hyperlink" Target="https://sealeddeck.tech/sEJyJCzM3z" TargetMode="External"/><Relationship Id="rId1952" Type="http://schemas.openxmlformats.org/officeDocument/2006/relationships/hyperlink" Target="https://sealeddeck.tech/c2FUSUntLR" TargetMode="External"/><Relationship Id="rId1953" Type="http://schemas.openxmlformats.org/officeDocument/2006/relationships/hyperlink" Target="https://sealeddeck.tech/ZsSgNSRBdS" TargetMode="External"/><Relationship Id="rId1954" Type="http://schemas.openxmlformats.org/officeDocument/2006/relationships/hyperlink" Target="https://sealeddeck.tech/5qcqbKD2BY" TargetMode="External"/><Relationship Id="rId1955" Type="http://schemas.openxmlformats.org/officeDocument/2006/relationships/hyperlink" Target="https://sealeddeck.tech/nR9sHwhiVZ" TargetMode="External"/><Relationship Id="rId1956" Type="http://schemas.openxmlformats.org/officeDocument/2006/relationships/hyperlink" Target="https://sealeddeck.tech/WuxWspPx9D" TargetMode="External"/><Relationship Id="rId1957" Type="http://schemas.openxmlformats.org/officeDocument/2006/relationships/hyperlink" Target="https://sealeddeck.tech/DcrJGe6ccV" TargetMode="External"/><Relationship Id="rId1958" Type="http://schemas.openxmlformats.org/officeDocument/2006/relationships/hyperlink" Target="https://sealeddeck.tech/vmC8MuoDuT" TargetMode="External"/><Relationship Id="rId1959" Type="http://schemas.openxmlformats.org/officeDocument/2006/relationships/hyperlink" Target="https://sealeddeck.tech/mYf9hmDAcg" TargetMode="External"/><Relationship Id="rId1940" Type="http://schemas.openxmlformats.org/officeDocument/2006/relationships/hyperlink" Target="https://sealeddeck.tech/JvkMkeR6J3" TargetMode="External"/><Relationship Id="rId1941" Type="http://schemas.openxmlformats.org/officeDocument/2006/relationships/hyperlink" Target="https://sealeddeck.tech/UHcwXaPUYf" TargetMode="External"/><Relationship Id="rId1942" Type="http://schemas.openxmlformats.org/officeDocument/2006/relationships/hyperlink" Target="https://sealeddeck.tech/zVPQpUoB8p" TargetMode="External"/><Relationship Id="rId1943" Type="http://schemas.openxmlformats.org/officeDocument/2006/relationships/hyperlink" Target="https://sealeddeck.tech/y9VwnXgoTT" TargetMode="External"/><Relationship Id="rId1944" Type="http://schemas.openxmlformats.org/officeDocument/2006/relationships/hyperlink" Target="https://sealeddeck.tech/QiFtG9MQLf" TargetMode="External"/><Relationship Id="rId1945" Type="http://schemas.openxmlformats.org/officeDocument/2006/relationships/hyperlink" Target="https://sealeddeck.tech/H6ZWTpUyLM" TargetMode="External"/><Relationship Id="rId1946" Type="http://schemas.openxmlformats.org/officeDocument/2006/relationships/hyperlink" Target="https://sealeddeck.tech/Vk2Jn2vaED" TargetMode="External"/><Relationship Id="rId1947" Type="http://schemas.openxmlformats.org/officeDocument/2006/relationships/hyperlink" Target="https://sealeddeck.tech/CYG3iXtiJB" TargetMode="External"/><Relationship Id="rId1948" Type="http://schemas.openxmlformats.org/officeDocument/2006/relationships/hyperlink" Target="https://sealeddeck.tech/puxDXRTu9F" TargetMode="External"/><Relationship Id="rId1949" Type="http://schemas.openxmlformats.org/officeDocument/2006/relationships/hyperlink" Target="https://sealeddeck.tech/tVtbpC9Wrw" TargetMode="External"/><Relationship Id="rId1576" Type="http://schemas.openxmlformats.org/officeDocument/2006/relationships/hyperlink" Target="https://sealeddeck.tech/RzSqNiNfu8" TargetMode="External"/><Relationship Id="rId1577" Type="http://schemas.openxmlformats.org/officeDocument/2006/relationships/hyperlink" Target="https://sealeddeck.tech/P57QWjZbwC" TargetMode="External"/><Relationship Id="rId1578" Type="http://schemas.openxmlformats.org/officeDocument/2006/relationships/hyperlink" Target="https://sealeddeck.tech/uHVhcKwi2A" TargetMode="External"/><Relationship Id="rId1579" Type="http://schemas.openxmlformats.org/officeDocument/2006/relationships/hyperlink" Target="https://sealeddeck.tech/sMVcmaoaub" TargetMode="External"/><Relationship Id="rId509" Type="http://schemas.openxmlformats.org/officeDocument/2006/relationships/hyperlink" Target="https://sealeddeck.tech/cyqaHXjiPp" TargetMode="External"/><Relationship Id="rId508" Type="http://schemas.openxmlformats.org/officeDocument/2006/relationships/hyperlink" Target="https://sealeddeck.tech/P3toWiFLq4" TargetMode="External"/><Relationship Id="rId503" Type="http://schemas.openxmlformats.org/officeDocument/2006/relationships/hyperlink" Target="https://sealeddeck.tech/65znr5PHex" TargetMode="External"/><Relationship Id="rId987" Type="http://schemas.openxmlformats.org/officeDocument/2006/relationships/hyperlink" Target="https://sealeddeck.tech/cQw3qdFCVM" TargetMode="External"/><Relationship Id="rId502" Type="http://schemas.openxmlformats.org/officeDocument/2006/relationships/hyperlink" Target="https://sealeddeck.tech/Yh4S6fz3nz" TargetMode="External"/><Relationship Id="rId986" Type="http://schemas.openxmlformats.org/officeDocument/2006/relationships/hyperlink" Target="https://sealeddeck.tech/wGkSw979z9" TargetMode="External"/><Relationship Id="rId501" Type="http://schemas.openxmlformats.org/officeDocument/2006/relationships/hyperlink" Target="https://sealeddeck.tech/1HhjXJrz86" TargetMode="External"/><Relationship Id="rId985" Type="http://schemas.openxmlformats.org/officeDocument/2006/relationships/hyperlink" Target="https://sealeddeck.tech/wBHpEBzLWV" TargetMode="External"/><Relationship Id="rId500" Type="http://schemas.openxmlformats.org/officeDocument/2006/relationships/hyperlink" Target="https://sealeddeck.tech/ZgaSzVMgx6" TargetMode="External"/><Relationship Id="rId984" Type="http://schemas.openxmlformats.org/officeDocument/2006/relationships/hyperlink" Target="https://sealeddeck.tech/8xFEjP8aqB" TargetMode="External"/><Relationship Id="rId507" Type="http://schemas.openxmlformats.org/officeDocument/2006/relationships/hyperlink" Target="https://sealeddeck.tech/Z8RKd8LLJR" TargetMode="External"/><Relationship Id="rId506" Type="http://schemas.openxmlformats.org/officeDocument/2006/relationships/hyperlink" Target="https://sealeddeck.tech/kERTFSdSKg" TargetMode="External"/><Relationship Id="rId505" Type="http://schemas.openxmlformats.org/officeDocument/2006/relationships/hyperlink" Target="https://sealeddeck.tech/BWo7upsQ6M" TargetMode="External"/><Relationship Id="rId989" Type="http://schemas.openxmlformats.org/officeDocument/2006/relationships/hyperlink" Target="https://sealeddeck.tech/BFrcydxeYA" TargetMode="External"/><Relationship Id="rId504" Type="http://schemas.openxmlformats.org/officeDocument/2006/relationships/hyperlink" Target="https://sealeddeck.tech/ZHEtmrCRNS" TargetMode="External"/><Relationship Id="rId988" Type="http://schemas.openxmlformats.org/officeDocument/2006/relationships/hyperlink" Target="https://sealeddeck.tech/52L84A2Wpi" TargetMode="External"/><Relationship Id="rId1570" Type="http://schemas.openxmlformats.org/officeDocument/2006/relationships/hyperlink" Target="https://sealeddeck.tech/Fp9GbaFLUR" TargetMode="External"/><Relationship Id="rId1571" Type="http://schemas.openxmlformats.org/officeDocument/2006/relationships/hyperlink" Target="https://sealeddeck.tech/PdKmMgW7kk" TargetMode="External"/><Relationship Id="rId983" Type="http://schemas.openxmlformats.org/officeDocument/2006/relationships/hyperlink" Target="https://sealeddeck.tech/xAiTPBkma4" TargetMode="External"/><Relationship Id="rId1572" Type="http://schemas.openxmlformats.org/officeDocument/2006/relationships/hyperlink" Target="https://sealeddeck.tech/aN54FmttfD" TargetMode="External"/><Relationship Id="rId982" Type="http://schemas.openxmlformats.org/officeDocument/2006/relationships/hyperlink" Target="https://sealeddeck.tech/ruVCukYk3K" TargetMode="External"/><Relationship Id="rId1573" Type="http://schemas.openxmlformats.org/officeDocument/2006/relationships/hyperlink" Target="https://sealeddeck.tech/PYqg2AVbH3" TargetMode="External"/><Relationship Id="rId981" Type="http://schemas.openxmlformats.org/officeDocument/2006/relationships/hyperlink" Target="https://sealeddeck.tech/rLoSrLMpJT" TargetMode="External"/><Relationship Id="rId1574" Type="http://schemas.openxmlformats.org/officeDocument/2006/relationships/hyperlink" Target="https://sealeddeck.tech/ZbGdBk8617" TargetMode="External"/><Relationship Id="rId980" Type="http://schemas.openxmlformats.org/officeDocument/2006/relationships/hyperlink" Target="https://sealeddeck.tech/EiL69yTVCm" TargetMode="External"/><Relationship Id="rId1575" Type="http://schemas.openxmlformats.org/officeDocument/2006/relationships/hyperlink" Target="https://sealeddeck.tech/CR2FAQ1dEb" TargetMode="External"/><Relationship Id="rId1565" Type="http://schemas.openxmlformats.org/officeDocument/2006/relationships/hyperlink" Target="https://sealeddeck.tech/pCFgs7rdkL" TargetMode="External"/><Relationship Id="rId1566" Type="http://schemas.openxmlformats.org/officeDocument/2006/relationships/hyperlink" Target="https://sealeddeck.tech/1tHQcfFURw" TargetMode="External"/><Relationship Id="rId1567" Type="http://schemas.openxmlformats.org/officeDocument/2006/relationships/hyperlink" Target="https://sealeddeck.tech/zxoxxjUQVX" TargetMode="External"/><Relationship Id="rId1568" Type="http://schemas.openxmlformats.org/officeDocument/2006/relationships/hyperlink" Target="https://sealeddeck.tech/K211np2PXt" TargetMode="External"/><Relationship Id="rId1569" Type="http://schemas.openxmlformats.org/officeDocument/2006/relationships/hyperlink" Target="https://sealeddeck.tech/aryRn1b7sg" TargetMode="External"/><Relationship Id="rId976" Type="http://schemas.openxmlformats.org/officeDocument/2006/relationships/hyperlink" Target="https://sealeddeck.tech/MsSMY81MHK" TargetMode="External"/><Relationship Id="rId975" Type="http://schemas.openxmlformats.org/officeDocument/2006/relationships/hyperlink" Target="https://sealeddeck.tech/m8PoBGgso9" TargetMode="External"/><Relationship Id="rId974" Type="http://schemas.openxmlformats.org/officeDocument/2006/relationships/hyperlink" Target="https://sealeddeck.tech/b2TUMKphTX" TargetMode="External"/><Relationship Id="rId973" Type="http://schemas.openxmlformats.org/officeDocument/2006/relationships/hyperlink" Target="https://sealeddeck.tech/hrAaaUJngD" TargetMode="External"/><Relationship Id="rId979" Type="http://schemas.openxmlformats.org/officeDocument/2006/relationships/hyperlink" Target="https://sealeddeck.tech/EGgAVX5c9y" TargetMode="External"/><Relationship Id="rId978" Type="http://schemas.openxmlformats.org/officeDocument/2006/relationships/hyperlink" Target="https://sealeddeck.tech/pYfDGbr9hy" TargetMode="External"/><Relationship Id="rId977" Type="http://schemas.openxmlformats.org/officeDocument/2006/relationships/hyperlink" Target="https://sealeddeck.tech/1fcgMo7CiT" TargetMode="External"/><Relationship Id="rId1560" Type="http://schemas.openxmlformats.org/officeDocument/2006/relationships/hyperlink" Target="https://sealeddeck.tech/TtCuPqyKU2" TargetMode="External"/><Relationship Id="rId972" Type="http://schemas.openxmlformats.org/officeDocument/2006/relationships/hyperlink" Target="https://sealeddeck.tech/eQ5o8AgXfQ" TargetMode="External"/><Relationship Id="rId1561" Type="http://schemas.openxmlformats.org/officeDocument/2006/relationships/hyperlink" Target="https://sealeddeck.tech/YHmoUQyXdb" TargetMode="External"/><Relationship Id="rId971" Type="http://schemas.openxmlformats.org/officeDocument/2006/relationships/hyperlink" Target="https://sealeddeck.tech/1WBcvcfbuP" TargetMode="External"/><Relationship Id="rId1562" Type="http://schemas.openxmlformats.org/officeDocument/2006/relationships/hyperlink" Target="https://sealeddeck.tech/DhqKBToSZ5" TargetMode="External"/><Relationship Id="rId970" Type="http://schemas.openxmlformats.org/officeDocument/2006/relationships/hyperlink" Target="https://sealeddeck.tech/LZeg491WNf" TargetMode="External"/><Relationship Id="rId1563" Type="http://schemas.openxmlformats.org/officeDocument/2006/relationships/hyperlink" Target="https://sealeddeck.tech/AREaw2ctMQ" TargetMode="External"/><Relationship Id="rId1564" Type="http://schemas.openxmlformats.org/officeDocument/2006/relationships/hyperlink" Target="https://sealeddeck.tech/PyA6cEm8gT" TargetMode="External"/><Relationship Id="rId1114" Type="http://schemas.openxmlformats.org/officeDocument/2006/relationships/hyperlink" Target="https://sealeddeck.tech/pd1Bk5THC6" TargetMode="External"/><Relationship Id="rId1598" Type="http://schemas.openxmlformats.org/officeDocument/2006/relationships/hyperlink" Target="https://sealeddeck.tech/w7w9rosvzT" TargetMode="External"/><Relationship Id="rId1115" Type="http://schemas.openxmlformats.org/officeDocument/2006/relationships/hyperlink" Target="https://sealeddeck.tech/QPNwU41wkA" TargetMode="External"/><Relationship Id="rId1599" Type="http://schemas.openxmlformats.org/officeDocument/2006/relationships/hyperlink" Target="https://sealeddeck.tech/yzTbNB4xCj" TargetMode="External"/><Relationship Id="rId1116" Type="http://schemas.openxmlformats.org/officeDocument/2006/relationships/hyperlink" Target="https://sealeddeck.tech/3d3Y2147Eo" TargetMode="External"/><Relationship Id="rId1117" Type="http://schemas.openxmlformats.org/officeDocument/2006/relationships/hyperlink" Target="https://sealeddeck.tech/ywP4MG3cxm" TargetMode="External"/><Relationship Id="rId1118" Type="http://schemas.openxmlformats.org/officeDocument/2006/relationships/hyperlink" Target="https://sealeddeck.tech/p48LP3qtg3" TargetMode="External"/><Relationship Id="rId1119" Type="http://schemas.openxmlformats.org/officeDocument/2006/relationships/hyperlink" Target="https://sealeddeck.tech/7mi8B16Zrh" TargetMode="External"/><Relationship Id="rId525" Type="http://schemas.openxmlformats.org/officeDocument/2006/relationships/hyperlink" Target="https://sealeddeck.tech/6A1eiC4Nfq" TargetMode="External"/><Relationship Id="rId524" Type="http://schemas.openxmlformats.org/officeDocument/2006/relationships/hyperlink" Target="https://sealeddeck.tech/pphZ9p6Wxy" TargetMode="External"/><Relationship Id="rId523" Type="http://schemas.openxmlformats.org/officeDocument/2006/relationships/hyperlink" Target="https://sealeddeck.tech/ShMnANT3gw" TargetMode="External"/><Relationship Id="rId522" Type="http://schemas.openxmlformats.org/officeDocument/2006/relationships/hyperlink" Target="https://sealeddeck.tech/upFjWoSMGv" TargetMode="External"/><Relationship Id="rId529" Type="http://schemas.openxmlformats.org/officeDocument/2006/relationships/hyperlink" Target="https://sealeddeck.tech/Xkv3RXYckD" TargetMode="External"/><Relationship Id="rId528" Type="http://schemas.openxmlformats.org/officeDocument/2006/relationships/hyperlink" Target="https://sealeddeck.tech/FdDsiqDyoe" TargetMode="External"/><Relationship Id="rId527" Type="http://schemas.openxmlformats.org/officeDocument/2006/relationships/hyperlink" Target="https://sealeddeck.tech/7vBgh32vJz" TargetMode="External"/><Relationship Id="rId526" Type="http://schemas.openxmlformats.org/officeDocument/2006/relationships/hyperlink" Target="https://sealeddeck.tech/LEJdPipG1o" TargetMode="External"/><Relationship Id="rId1590" Type="http://schemas.openxmlformats.org/officeDocument/2006/relationships/hyperlink" Target="https://sealeddeck.tech/RDUPKVwRg3" TargetMode="External"/><Relationship Id="rId1591" Type="http://schemas.openxmlformats.org/officeDocument/2006/relationships/hyperlink" Target="https://sealeddeck.tech/pmmXnSSPBW" TargetMode="External"/><Relationship Id="rId1592" Type="http://schemas.openxmlformats.org/officeDocument/2006/relationships/hyperlink" Target="https://sealeddeck.tech/nap3DvAzMo" TargetMode="External"/><Relationship Id="rId1593" Type="http://schemas.openxmlformats.org/officeDocument/2006/relationships/hyperlink" Target="https://sealeddeck.tech/FRBzn2eSMG" TargetMode="External"/><Relationship Id="rId521" Type="http://schemas.openxmlformats.org/officeDocument/2006/relationships/hyperlink" Target="https://sealeddeck.tech/b5QC5wB5QE" TargetMode="External"/><Relationship Id="rId1110" Type="http://schemas.openxmlformats.org/officeDocument/2006/relationships/hyperlink" Target="https://sealeddeck.tech/fs6Edq1FW5" TargetMode="External"/><Relationship Id="rId1594" Type="http://schemas.openxmlformats.org/officeDocument/2006/relationships/hyperlink" Target="https://sealeddeck.tech/afZWrYNSf3" TargetMode="External"/><Relationship Id="rId520" Type="http://schemas.openxmlformats.org/officeDocument/2006/relationships/hyperlink" Target="https://sealeddeck.tech/MmiK5qjnH2" TargetMode="External"/><Relationship Id="rId1111" Type="http://schemas.openxmlformats.org/officeDocument/2006/relationships/hyperlink" Target="https://sealeddeck.tech/bK7ebV6w7L" TargetMode="External"/><Relationship Id="rId1595" Type="http://schemas.openxmlformats.org/officeDocument/2006/relationships/hyperlink" Target="https://sealeddeck.tech/5DaNpSm16j" TargetMode="External"/><Relationship Id="rId1112" Type="http://schemas.openxmlformats.org/officeDocument/2006/relationships/hyperlink" Target="https://sealeddeck.tech/CW5MnLVkE3" TargetMode="External"/><Relationship Id="rId1596" Type="http://schemas.openxmlformats.org/officeDocument/2006/relationships/hyperlink" Target="https://sealeddeck.tech/y6WUjxLsHo" TargetMode="External"/><Relationship Id="rId1113" Type="http://schemas.openxmlformats.org/officeDocument/2006/relationships/hyperlink" Target="https://sealeddeck.tech/mLVsERmo3w" TargetMode="External"/><Relationship Id="rId1597" Type="http://schemas.openxmlformats.org/officeDocument/2006/relationships/hyperlink" Target="https://sealeddeck.tech/PZZciq5yGX" TargetMode="External"/><Relationship Id="rId1103" Type="http://schemas.openxmlformats.org/officeDocument/2006/relationships/hyperlink" Target="https://sealeddeck.tech/notp1ebSaq" TargetMode="External"/><Relationship Id="rId1587" Type="http://schemas.openxmlformats.org/officeDocument/2006/relationships/hyperlink" Target="https://sealeddeck.tech/e89gFf5AAu" TargetMode="External"/><Relationship Id="rId1104" Type="http://schemas.openxmlformats.org/officeDocument/2006/relationships/hyperlink" Target="https://sealeddeck.tech/WsAYmnutFW" TargetMode="External"/><Relationship Id="rId1588" Type="http://schemas.openxmlformats.org/officeDocument/2006/relationships/hyperlink" Target="https://sealeddeck.tech/ixr8sigNKA" TargetMode="External"/><Relationship Id="rId1105" Type="http://schemas.openxmlformats.org/officeDocument/2006/relationships/hyperlink" Target="https://sealeddeck.tech/uEoynnuzHn" TargetMode="External"/><Relationship Id="rId1589" Type="http://schemas.openxmlformats.org/officeDocument/2006/relationships/hyperlink" Target="https://sealeddeck.tech/5qhqH6iWmk" TargetMode="External"/><Relationship Id="rId1106" Type="http://schemas.openxmlformats.org/officeDocument/2006/relationships/hyperlink" Target="https://sealeddeck.tech/TJRMpDxBjf" TargetMode="External"/><Relationship Id="rId1107" Type="http://schemas.openxmlformats.org/officeDocument/2006/relationships/hyperlink" Target="https://sealeddeck.tech/bXhKTP49k8" TargetMode="External"/><Relationship Id="rId1108" Type="http://schemas.openxmlformats.org/officeDocument/2006/relationships/hyperlink" Target="https://sealeddeck.tech/NoNr4cvWfZ" TargetMode="External"/><Relationship Id="rId1109" Type="http://schemas.openxmlformats.org/officeDocument/2006/relationships/hyperlink" Target="https://sealeddeck.tech/isxZpTJoaD" TargetMode="External"/><Relationship Id="rId519" Type="http://schemas.openxmlformats.org/officeDocument/2006/relationships/hyperlink" Target="https://sealeddeck.tech/wxW3jGLfR5" TargetMode="External"/><Relationship Id="rId514" Type="http://schemas.openxmlformats.org/officeDocument/2006/relationships/hyperlink" Target="https://sealeddeck.tech/foCxbLU6Am" TargetMode="External"/><Relationship Id="rId998" Type="http://schemas.openxmlformats.org/officeDocument/2006/relationships/hyperlink" Target="https://sealeddeck.tech/QVENipBDzd" TargetMode="External"/><Relationship Id="rId513" Type="http://schemas.openxmlformats.org/officeDocument/2006/relationships/hyperlink" Target="https://sealeddeck.tech/UQYkd1Y7qx" TargetMode="External"/><Relationship Id="rId997" Type="http://schemas.openxmlformats.org/officeDocument/2006/relationships/hyperlink" Target="https://sealeddeck.tech/xBzvpDNNqx" TargetMode="External"/><Relationship Id="rId512" Type="http://schemas.openxmlformats.org/officeDocument/2006/relationships/hyperlink" Target="https://sealeddeck.tech/vv23KZvPNk" TargetMode="External"/><Relationship Id="rId996" Type="http://schemas.openxmlformats.org/officeDocument/2006/relationships/hyperlink" Target="https://sealeddeck.tech/vZEHLUxDuz" TargetMode="External"/><Relationship Id="rId511" Type="http://schemas.openxmlformats.org/officeDocument/2006/relationships/hyperlink" Target="https://sealeddeck.tech/MZDGJZB1HJ" TargetMode="External"/><Relationship Id="rId995" Type="http://schemas.openxmlformats.org/officeDocument/2006/relationships/hyperlink" Target="https://sealeddeck.tech/cbxn4gCg3U" TargetMode="External"/><Relationship Id="rId518" Type="http://schemas.openxmlformats.org/officeDocument/2006/relationships/hyperlink" Target="https://sealeddeck.tech/itY6fpdi9B" TargetMode="External"/><Relationship Id="rId517" Type="http://schemas.openxmlformats.org/officeDocument/2006/relationships/hyperlink" Target="https://sealeddeck.tech/c1Q8xxmPz1" TargetMode="External"/><Relationship Id="rId516" Type="http://schemas.openxmlformats.org/officeDocument/2006/relationships/hyperlink" Target="https://sealeddeck.tech/t4PdTACnMu" TargetMode="External"/><Relationship Id="rId515" Type="http://schemas.openxmlformats.org/officeDocument/2006/relationships/hyperlink" Target="https://sealeddeck.tech/EPFkwBmCAv" TargetMode="External"/><Relationship Id="rId999" Type="http://schemas.openxmlformats.org/officeDocument/2006/relationships/hyperlink" Target="https://sealeddeck.tech/Y34bRzDHuZ" TargetMode="External"/><Relationship Id="rId990" Type="http://schemas.openxmlformats.org/officeDocument/2006/relationships/hyperlink" Target="https://sealeddeck.tech/kWPZW9oRu9" TargetMode="External"/><Relationship Id="rId1580" Type="http://schemas.openxmlformats.org/officeDocument/2006/relationships/hyperlink" Target="https://sealeddeck.tech/VPxqpMiyb6" TargetMode="External"/><Relationship Id="rId1581" Type="http://schemas.openxmlformats.org/officeDocument/2006/relationships/hyperlink" Target="https://sealeddeck.tech/SwZkEcGtWg" TargetMode="External"/><Relationship Id="rId1582" Type="http://schemas.openxmlformats.org/officeDocument/2006/relationships/hyperlink" Target="https://sealeddeck.tech/tratnxXHMP" TargetMode="External"/><Relationship Id="rId510" Type="http://schemas.openxmlformats.org/officeDocument/2006/relationships/hyperlink" Target="https://sealeddeck.tech/QPVU7f4c72" TargetMode="External"/><Relationship Id="rId994" Type="http://schemas.openxmlformats.org/officeDocument/2006/relationships/hyperlink" Target="https://sealeddeck.tech/Ln3hneugcz" TargetMode="External"/><Relationship Id="rId1583" Type="http://schemas.openxmlformats.org/officeDocument/2006/relationships/hyperlink" Target="https://sealeddeck.tech/wvomfMYYKh" TargetMode="External"/><Relationship Id="rId993" Type="http://schemas.openxmlformats.org/officeDocument/2006/relationships/hyperlink" Target="https://sealeddeck.tech/fgSWg1KNKL" TargetMode="External"/><Relationship Id="rId1100" Type="http://schemas.openxmlformats.org/officeDocument/2006/relationships/hyperlink" Target="https://sealeddeck.tech/xRb3mBKpQm" TargetMode="External"/><Relationship Id="rId1584" Type="http://schemas.openxmlformats.org/officeDocument/2006/relationships/hyperlink" Target="https://sealeddeck.tech/te4yYbdsqn" TargetMode="External"/><Relationship Id="rId992" Type="http://schemas.openxmlformats.org/officeDocument/2006/relationships/hyperlink" Target="https://sealeddeck.tech/vtSwZ6t97m" TargetMode="External"/><Relationship Id="rId1101" Type="http://schemas.openxmlformats.org/officeDocument/2006/relationships/hyperlink" Target="https://sealeddeck.tech/FuLtYiL8Ws" TargetMode="External"/><Relationship Id="rId1585" Type="http://schemas.openxmlformats.org/officeDocument/2006/relationships/hyperlink" Target="https://sealeddeck.tech/XJAR9ZsQHK" TargetMode="External"/><Relationship Id="rId991" Type="http://schemas.openxmlformats.org/officeDocument/2006/relationships/hyperlink" Target="https://sealeddeck.tech/gaL68ioXG4" TargetMode="External"/><Relationship Id="rId1102" Type="http://schemas.openxmlformats.org/officeDocument/2006/relationships/hyperlink" Target="https://sealeddeck.tech/aHd1Xjt91e" TargetMode="External"/><Relationship Id="rId1586" Type="http://schemas.openxmlformats.org/officeDocument/2006/relationships/hyperlink" Target="https://sealeddeck.tech/ajzY3SPKrk" TargetMode="External"/><Relationship Id="rId1532" Type="http://schemas.openxmlformats.org/officeDocument/2006/relationships/hyperlink" Target="https://sealeddeck.tech/jK6oLaCiUG" TargetMode="External"/><Relationship Id="rId1533" Type="http://schemas.openxmlformats.org/officeDocument/2006/relationships/hyperlink" Target="https://sealeddeck.tech/zmKHBDxYSV" TargetMode="External"/><Relationship Id="rId1534" Type="http://schemas.openxmlformats.org/officeDocument/2006/relationships/hyperlink" Target="https://sealeddeck.tech/xwvEQwjEwE" TargetMode="External"/><Relationship Id="rId1535" Type="http://schemas.openxmlformats.org/officeDocument/2006/relationships/hyperlink" Target="https://sealeddeck.tech/mkY6pSeRMQ" TargetMode="External"/><Relationship Id="rId1536" Type="http://schemas.openxmlformats.org/officeDocument/2006/relationships/hyperlink" Target="https://sealeddeck.tech/rPddnY7Vrx" TargetMode="External"/><Relationship Id="rId1537" Type="http://schemas.openxmlformats.org/officeDocument/2006/relationships/hyperlink" Target="https://sealeddeck.tech/aGMPzdKfCw" TargetMode="External"/><Relationship Id="rId1538" Type="http://schemas.openxmlformats.org/officeDocument/2006/relationships/hyperlink" Target="https://sealeddeck.tech/D3Umcyu6oP" TargetMode="External"/><Relationship Id="rId1539" Type="http://schemas.openxmlformats.org/officeDocument/2006/relationships/hyperlink" Target="https://sealeddeck.tech/dAPQU6G6YL" TargetMode="External"/><Relationship Id="rId949" Type="http://schemas.openxmlformats.org/officeDocument/2006/relationships/hyperlink" Target="https://sealeddeck.tech/EvGji17tQ7" TargetMode="External"/><Relationship Id="rId948" Type="http://schemas.openxmlformats.org/officeDocument/2006/relationships/hyperlink" Target="https://sealeddeck.tech/1WY4PmPW9g" TargetMode="External"/><Relationship Id="rId943" Type="http://schemas.openxmlformats.org/officeDocument/2006/relationships/hyperlink" Target="https://sealeddeck.tech/YGTvU5FAJB" TargetMode="External"/><Relationship Id="rId942" Type="http://schemas.openxmlformats.org/officeDocument/2006/relationships/hyperlink" Target="https://sealeddeck.tech/AK51pfodZD" TargetMode="External"/><Relationship Id="rId941" Type="http://schemas.openxmlformats.org/officeDocument/2006/relationships/hyperlink" Target="https://sealeddeck.tech/dESUbKJNp8" TargetMode="External"/><Relationship Id="rId940" Type="http://schemas.openxmlformats.org/officeDocument/2006/relationships/hyperlink" Target="https://sealeddeck.tech/n2yjpfwtE7" TargetMode="External"/><Relationship Id="rId947" Type="http://schemas.openxmlformats.org/officeDocument/2006/relationships/hyperlink" Target="https://sealeddeck.tech/hvsr3gZi3N" TargetMode="External"/><Relationship Id="rId946" Type="http://schemas.openxmlformats.org/officeDocument/2006/relationships/hyperlink" Target="https://sealeddeck.tech/UAid2FVRXa" TargetMode="External"/><Relationship Id="rId945" Type="http://schemas.openxmlformats.org/officeDocument/2006/relationships/hyperlink" Target="https://sealeddeck.tech/ztBPtKzYrn" TargetMode="External"/><Relationship Id="rId944" Type="http://schemas.openxmlformats.org/officeDocument/2006/relationships/hyperlink" Target="https://sealeddeck.tech/gpJjLhaWjX" TargetMode="External"/><Relationship Id="rId1530" Type="http://schemas.openxmlformats.org/officeDocument/2006/relationships/hyperlink" Target="https://sealeddeck.tech/ULpSSHVkF3" TargetMode="External"/><Relationship Id="rId1531" Type="http://schemas.openxmlformats.org/officeDocument/2006/relationships/hyperlink" Target="https://sealeddeck.tech/a5QYN57PZC" TargetMode="External"/><Relationship Id="rId1521" Type="http://schemas.openxmlformats.org/officeDocument/2006/relationships/hyperlink" Target="https://sealeddeck.tech/RqF356nJyX" TargetMode="External"/><Relationship Id="rId1522" Type="http://schemas.openxmlformats.org/officeDocument/2006/relationships/hyperlink" Target="https://sealeddeck.tech/BfCxk8cGMT" TargetMode="External"/><Relationship Id="rId1523" Type="http://schemas.openxmlformats.org/officeDocument/2006/relationships/hyperlink" Target="https://sealeddeck.tech/7AenQAXRiD" TargetMode="External"/><Relationship Id="rId1524" Type="http://schemas.openxmlformats.org/officeDocument/2006/relationships/hyperlink" Target="https://sealeddeck.tech/RtXQcYXLp2" TargetMode="External"/><Relationship Id="rId1525" Type="http://schemas.openxmlformats.org/officeDocument/2006/relationships/hyperlink" Target="https://sealeddeck.tech/uUtWrWCnt9" TargetMode="External"/><Relationship Id="rId1526" Type="http://schemas.openxmlformats.org/officeDocument/2006/relationships/hyperlink" Target="https://sealeddeck.tech/CkWxQ5XMas" TargetMode="External"/><Relationship Id="rId1527" Type="http://schemas.openxmlformats.org/officeDocument/2006/relationships/hyperlink" Target="https://sealeddeck.tech/RVnbZchxAV" TargetMode="External"/><Relationship Id="rId1528" Type="http://schemas.openxmlformats.org/officeDocument/2006/relationships/hyperlink" Target="https://sealeddeck.tech/EuiruPtPDE" TargetMode="External"/><Relationship Id="rId1529" Type="http://schemas.openxmlformats.org/officeDocument/2006/relationships/hyperlink" Target="https://sealeddeck.tech/9KQV876qaT" TargetMode="External"/><Relationship Id="rId939" Type="http://schemas.openxmlformats.org/officeDocument/2006/relationships/hyperlink" Target="https://sealeddeck.tech/R6W4DKC3Z9" TargetMode="External"/><Relationship Id="rId938" Type="http://schemas.openxmlformats.org/officeDocument/2006/relationships/hyperlink" Target="https://sealeddeck.tech/dkoX6a3UVS" TargetMode="External"/><Relationship Id="rId937" Type="http://schemas.openxmlformats.org/officeDocument/2006/relationships/hyperlink" Target="https://sealeddeck.tech/EJsTwFzJd8" TargetMode="External"/><Relationship Id="rId932" Type="http://schemas.openxmlformats.org/officeDocument/2006/relationships/hyperlink" Target="https://sealeddeck.tech/zDuD5wf6n5" TargetMode="External"/><Relationship Id="rId931" Type="http://schemas.openxmlformats.org/officeDocument/2006/relationships/hyperlink" Target="https://sealeddeck.tech/zRtwPD7yve" TargetMode="External"/><Relationship Id="rId930" Type="http://schemas.openxmlformats.org/officeDocument/2006/relationships/hyperlink" Target="https://sealeddeck.tech/RKWSUpNsLJ" TargetMode="External"/><Relationship Id="rId936" Type="http://schemas.openxmlformats.org/officeDocument/2006/relationships/hyperlink" Target="https://sealeddeck.tech/qrwLEkDGqr" TargetMode="External"/><Relationship Id="rId935" Type="http://schemas.openxmlformats.org/officeDocument/2006/relationships/hyperlink" Target="https://sealeddeck.tech/M4xj4oCevx" TargetMode="External"/><Relationship Id="rId934" Type="http://schemas.openxmlformats.org/officeDocument/2006/relationships/hyperlink" Target="https://sealeddeck.tech/VcFbkZPVcx" TargetMode="External"/><Relationship Id="rId933" Type="http://schemas.openxmlformats.org/officeDocument/2006/relationships/hyperlink" Target="https://sealeddeck.tech/tsrJdsN7tm" TargetMode="External"/><Relationship Id="rId1520" Type="http://schemas.openxmlformats.org/officeDocument/2006/relationships/hyperlink" Target="https://sealeddeck.tech/GdQ6M7aNte" TargetMode="External"/><Relationship Id="rId1554" Type="http://schemas.openxmlformats.org/officeDocument/2006/relationships/hyperlink" Target="https://sealeddeck.tech/GKLn5B25xm" TargetMode="External"/><Relationship Id="rId1555" Type="http://schemas.openxmlformats.org/officeDocument/2006/relationships/hyperlink" Target="https://sealeddeck.tech/XCmfhqUGEd" TargetMode="External"/><Relationship Id="rId1556" Type="http://schemas.openxmlformats.org/officeDocument/2006/relationships/hyperlink" Target="https://sealeddeck.tech/zBWyaxEQ7t" TargetMode="External"/><Relationship Id="rId1557" Type="http://schemas.openxmlformats.org/officeDocument/2006/relationships/hyperlink" Target="https://sealeddeck.tech/8eG5RbP3oo" TargetMode="External"/><Relationship Id="rId1558" Type="http://schemas.openxmlformats.org/officeDocument/2006/relationships/hyperlink" Target="https://sealeddeck.tech/giBYdUFgkB" TargetMode="External"/><Relationship Id="rId1559" Type="http://schemas.openxmlformats.org/officeDocument/2006/relationships/hyperlink" Target="https://sealeddeck.tech/s149aiz53Q" TargetMode="External"/><Relationship Id="rId965" Type="http://schemas.openxmlformats.org/officeDocument/2006/relationships/hyperlink" Target="https://sealeddeck.tech/fuuXjXN1xS" TargetMode="External"/><Relationship Id="rId964" Type="http://schemas.openxmlformats.org/officeDocument/2006/relationships/hyperlink" Target="https://sealeddeck.tech/c5QS6LtBVi" TargetMode="External"/><Relationship Id="rId963" Type="http://schemas.openxmlformats.org/officeDocument/2006/relationships/hyperlink" Target="https://sealeddeck.tech/Dsua5NBY2r" TargetMode="External"/><Relationship Id="rId962" Type="http://schemas.openxmlformats.org/officeDocument/2006/relationships/hyperlink" Target="https://sealeddeck.tech/GJmWb6FQf9" TargetMode="External"/><Relationship Id="rId969" Type="http://schemas.openxmlformats.org/officeDocument/2006/relationships/hyperlink" Target="https://sealeddeck.tech/MLTpQBpNjZ" TargetMode="External"/><Relationship Id="rId968" Type="http://schemas.openxmlformats.org/officeDocument/2006/relationships/hyperlink" Target="https://sealeddeck.tech/yinjw27ZCp" TargetMode="External"/><Relationship Id="rId967" Type="http://schemas.openxmlformats.org/officeDocument/2006/relationships/hyperlink" Target="https://sealeddeck.tech/bZaAmKQivF" TargetMode="External"/><Relationship Id="rId966" Type="http://schemas.openxmlformats.org/officeDocument/2006/relationships/hyperlink" Target="https://sealeddeck.tech/izqLHvzYv1" TargetMode="External"/><Relationship Id="rId961" Type="http://schemas.openxmlformats.org/officeDocument/2006/relationships/hyperlink" Target="https://sealeddeck.tech/m7vQKGeBH5" TargetMode="External"/><Relationship Id="rId1550" Type="http://schemas.openxmlformats.org/officeDocument/2006/relationships/hyperlink" Target="https://sealeddeck.tech/B9xqet5nJN" TargetMode="External"/><Relationship Id="rId960" Type="http://schemas.openxmlformats.org/officeDocument/2006/relationships/hyperlink" Target="https://sealeddeck.tech/cSSF2hYqVf" TargetMode="External"/><Relationship Id="rId1551" Type="http://schemas.openxmlformats.org/officeDocument/2006/relationships/hyperlink" Target="https://sealeddeck.tech/7aXh4RCWc3" TargetMode="External"/><Relationship Id="rId1552" Type="http://schemas.openxmlformats.org/officeDocument/2006/relationships/hyperlink" Target="https://sealeddeck.tech/KF9143MWFu" TargetMode="External"/><Relationship Id="rId1553" Type="http://schemas.openxmlformats.org/officeDocument/2006/relationships/hyperlink" Target="https://sealeddeck.tech/7DJEd27rLu" TargetMode="External"/><Relationship Id="rId1543" Type="http://schemas.openxmlformats.org/officeDocument/2006/relationships/hyperlink" Target="https://sealeddeck.tech/wMXhhc73Qr" TargetMode="External"/><Relationship Id="rId1544" Type="http://schemas.openxmlformats.org/officeDocument/2006/relationships/hyperlink" Target="https://sealeddeck.tech/CDCCEKrZk4" TargetMode="External"/><Relationship Id="rId1545" Type="http://schemas.openxmlformats.org/officeDocument/2006/relationships/hyperlink" Target="https://sealeddeck.tech/L1Wabbkd2T" TargetMode="External"/><Relationship Id="rId1546" Type="http://schemas.openxmlformats.org/officeDocument/2006/relationships/hyperlink" Target="https://sealeddeck.tech/TcGmKgH4Cn" TargetMode="External"/><Relationship Id="rId1547" Type="http://schemas.openxmlformats.org/officeDocument/2006/relationships/hyperlink" Target="https://sealeddeck.tech/Lk8uuKFRRh" TargetMode="External"/><Relationship Id="rId1548" Type="http://schemas.openxmlformats.org/officeDocument/2006/relationships/hyperlink" Target="https://sealeddeck.tech/ArTfZ9udWm" TargetMode="External"/><Relationship Id="rId1549" Type="http://schemas.openxmlformats.org/officeDocument/2006/relationships/hyperlink" Target="https://sealeddeck.tech/GL6pcr5DnJ" TargetMode="External"/><Relationship Id="rId959" Type="http://schemas.openxmlformats.org/officeDocument/2006/relationships/hyperlink" Target="https://sealeddeck.tech/X5bWz8nuWo" TargetMode="External"/><Relationship Id="rId954" Type="http://schemas.openxmlformats.org/officeDocument/2006/relationships/hyperlink" Target="https://sealeddeck.tech/UocqLBbdFt" TargetMode="External"/><Relationship Id="rId953" Type="http://schemas.openxmlformats.org/officeDocument/2006/relationships/hyperlink" Target="https://sealeddeck.tech/6DtEAkpXFV" TargetMode="External"/><Relationship Id="rId952" Type="http://schemas.openxmlformats.org/officeDocument/2006/relationships/hyperlink" Target="https://sealeddeck.tech/WFKv15Qfj8" TargetMode="External"/><Relationship Id="rId951" Type="http://schemas.openxmlformats.org/officeDocument/2006/relationships/hyperlink" Target="https://sealeddeck.tech/9PdA1gJgph" TargetMode="External"/><Relationship Id="rId958" Type="http://schemas.openxmlformats.org/officeDocument/2006/relationships/hyperlink" Target="https://sealeddeck.tech/R7s8Luez2V" TargetMode="External"/><Relationship Id="rId957" Type="http://schemas.openxmlformats.org/officeDocument/2006/relationships/hyperlink" Target="https://sealeddeck.tech/r2vcTqGG2M" TargetMode="External"/><Relationship Id="rId956" Type="http://schemas.openxmlformats.org/officeDocument/2006/relationships/hyperlink" Target="https://sealeddeck.tech/6zqhJs5Zkk" TargetMode="External"/><Relationship Id="rId955" Type="http://schemas.openxmlformats.org/officeDocument/2006/relationships/hyperlink" Target="https://sealeddeck.tech/UWhzSETBvS" TargetMode="External"/><Relationship Id="rId950" Type="http://schemas.openxmlformats.org/officeDocument/2006/relationships/hyperlink" Target="https://sealeddeck.tech/WbVrnfUBNx" TargetMode="External"/><Relationship Id="rId1540" Type="http://schemas.openxmlformats.org/officeDocument/2006/relationships/hyperlink" Target="https://sealeddeck.tech/rS2HZKv6cY" TargetMode="External"/><Relationship Id="rId1541" Type="http://schemas.openxmlformats.org/officeDocument/2006/relationships/hyperlink" Target="https://sealeddeck.tech/WgcdJwiKZj" TargetMode="External"/><Relationship Id="rId1542" Type="http://schemas.openxmlformats.org/officeDocument/2006/relationships/hyperlink" Target="https://sealeddeck.tech/RGbSa8HUWD" TargetMode="External"/><Relationship Id="rId590" Type="http://schemas.openxmlformats.org/officeDocument/2006/relationships/hyperlink" Target="https://sealeddeck.tech/WXYTH8EwxT" TargetMode="External"/><Relationship Id="rId107" Type="http://schemas.openxmlformats.org/officeDocument/2006/relationships/hyperlink" Target="https://sealeddeck.tech/rrGNnVpmVy" TargetMode="External"/><Relationship Id="rId106" Type="http://schemas.openxmlformats.org/officeDocument/2006/relationships/hyperlink" Target="https://sealeddeck.tech/PsEeJNZ3ud" TargetMode="External"/><Relationship Id="rId105" Type="http://schemas.openxmlformats.org/officeDocument/2006/relationships/hyperlink" Target="https://sealeddeck.tech/K3rxRM67zr" TargetMode="External"/><Relationship Id="rId589" Type="http://schemas.openxmlformats.org/officeDocument/2006/relationships/hyperlink" Target="https://sealeddeck.tech/hVyxF7BB6y" TargetMode="External"/><Relationship Id="rId104" Type="http://schemas.openxmlformats.org/officeDocument/2006/relationships/hyperlink" Target="https://sealeddeck.tech/KyJh6q2WWL" TargetMode="External"/><Relationship Id="rId588" Type="http://schemas.openxmlformats.org/officeDocument/2006/relationships/hyperlink" Target="https://sealeddeck.tech/pMBa3aawwp" TargetMode="External"/><Relationship Id="rId109" Type="http://schemas.openxmlformats.org/officeDocument/2006/relationships/hyperlink" Target="https://sealeddeck.tech/6UwU7TBXcQ" TargetMode="External"/><Relationship Id="rId1170" Type="http://schemas.openxmlformats.org/officeDocument/2006/relationships/hyperlink" Target="https://sealeddeck.tech/oY1RDvSDjZ" TargetMode="External"/><Relationship Id="rId108" Type="http://schemas.openxmlformats.org/officeDocument/2006/relationships/hyperlink" Target="https://sealeddeck.tech/3pmvZ6GtBn" TargetMode="External"/><Relationship Id="rId1171" Type="http://schemas.openxmlformats.org/officeDocument/2006/relationships/hyperlink" Target="https://sealeddeck.tech/mUX1PBQGzY" TargetMode="External"/><Relationship Id="rId583" Type="http://schemas.openxmlformats.org/officeDocument/2006/relationships/hyperlink" Target="https://sealeddeck.tech/2sXfMvYEik" TargetMode="External"/><Relationship Id="rId1172" Type="http://schemas.openxmlformats.org/officeDocument/2006/relationships/hyperlink" Target="https://sealeddeck.tech/ymdCxDxTGq" TargetMode="External"/><Relationship Id="rId582" Type="http://schemas.openxmlformats.org/officeDocument/2006/relationships/hyperlink" Target="https://sealeddeck.tech/93yF4uJSUz" TargetMode="External"/><Relationship Id="rId1173" Type="http://schemas.openxmlformats.org/officeDocument/2006/relationships/hyperlink" Target="https://sealeddeck.tech/nRbiRjbvSg" TargetMode="External"/><Relationship Id="rId581" Type="http://schemas.openxmlformats.org/officeDocument/2006/relationships/hyperlink" Target="https://sealeddeck.tech/fdvyQRNiFH" TargetMode="External"/><Relationship Id="rId1174" Type="http://schemas.openxmlformats.org/officeDocument/2006/relationships/hyperlink" Target="https://sealeddeck.tech/3GSh3HXoxA" TargetMode="External"/><Relationship Id="rId580" Type="http://schemas.openxmlformats.org/officeDocument/2006/relationships/hyperlink" Target="https://sealeddeck.tech/f8HvnbbsiP" TargetMode="External"/><Relationship Id="rId1175" Type="http://schemas.openxmlformats.org/officeDocument/2006/relationships/hyperlink" Target="https://sealeddeck.tech/XuTsZ3JGze" TargetMode="External"/><Relationship Id="rId103" Type="http://schemas.openxmlformats.org/officeDocument/2006/relationships/hyperlink" Target="https://sealeddeck.tech/ny1wtb34uz" TargetMode="External"/><Relationship Id="rId587" Type="http://schemas.openxmlformats.org/officeDocument/2006/relationships/hyperlink" Target="https://sealeddeck.tech/uuvBZYkZEd" TargetMode="External"/><Relationship Id="rId1176" Type="http://schemas.openxmlformats.org/officeDocument/2006/relationships/hyperlink" Target="https://sealeddeck.tech/xDXe88Akk4" TargetMode="External"/><Relationship Id="rId102" Type="http://schemas.openxmlformats.org/officeDocument/2006/relationships/hyperlink" Target="https://sealeddeck.tech/SRE8AR5xpr" TargetMode="External"/><Relationship Id="rId586" Type="http://schemas.openxmlformats.org/officeDocument/2006/relationships/hyperlink" Target="https://sealeddeck.tech/bzXdc3WX16" TargetMode="External"/><Relationship Id="rId1177" Type="http://schemas.openxmlformats.org/officeDocument/2006/relationships/hyperlink" Target="https://sealeddeck.tech/KfkM3QC33X" TargetMode="External"/><Relationship Id="rId101" Type="http://schemas.openxmlformats.org/officeDocument/2006/relationships/hyperlink" Target="https://sealeddeck.tech/eTWTToiw4F" TargetMode="External"/><Relationship Id="rId585" Type="http://schemas.openxmlformats.org/officeDocument/2006/relationships/hyperlink" Target="https://sealeddeck.tech/xXANw9NVpk" TargetMode="External"/><Relationship Id="rId1178" Type="http://schemas.openxmlformats.org/officeDocument/2006/relationships/hyperlink" Target="https://sealeddeck.tech/V8FokthcND" TargetMode="External"/><Relationship Id="rId100" Type="http://schemas.openxmlformats.org/officeDocument/2006/relationships/hyperlink" Target="https://sealeddeck.tech/VySd7VfK4H" TargetMode="External"/><Relationship Id="rId584" Type="http://schemas.openxmlformats.org/officeDocument/2006/relationships/hyperlink" Target="https://sealeddeck.tech/6L5uYMj2ft" TargetMode="External"/><Relationship Id="rId1179" Type="http://schemas.openxmlformats.org/officeDocument/2006/relationships/hyperlink" Target="https://sealeddeck.tech/HpG8tSD7Eg" TargetMode="External"/><Relationship Id="rId1169" Type="http://schemas.openxmlformats.org/officeDocument/2006/relationships/hyperlink" Target="https://sealeddeck.tech/wHinLuyXre" TargetMode="External"/><Relationship Id="rId579" Type="http://schemas.openxmlformats.org/officeDocument/2006/relationships/hyperlink" Target="https://sealeddeck.tech/n7DCCeEbgv" TargetMode="External"/><Relationship Id="rId578" Type="http://schemas.openxmlformats.org/officeDocument/2006/relationships/hyperlink" Target="https://sealeddeck.tech/YZHseGg2iv" TargetMode="External"/><Relationship Id="rId577" Type="http://schemas.openxmlformats.org/officeDocument/2006/relationships/hyperlink" Target="https://sealeddeck.tech/c6dSjXycnf" TargetMode="External"/><Relationship Id="rId1160" Type="http://schemas.openxmlformats.org/officeDocument/2006/relationships/hyperlink" Target="https://sealeddeck.tech/RTYxKpAGbE" TargetMode="External"/><Relationship Id="rId572" Type="http://schemas.openxmlformats.org/officeDocument/2006/relationships/hyperlink" Target="https://sealeddeck.tech/A1oHc2r3Uk" TargetMode="External"/><Relationship Id="rId1161" Type="http://schemas.openxmlformats.org/officeDocument/2006/relationships/hyperlink" Target="https://sealeddeck.tech/4kPiJXh3gy" TargetMode="External"/><Relationship Id="rId571" Type="http://schemas.openxmlformats.org/officeDocument/2006/relationships/hyperlink" Target="https://sealeddeck.tech/Xb3TKQtUUo" TargetMode="External"/><Relationship Id="rId1162" Type="http://schemas.openxmlformats.org/officeDocument/2006/relationships/hyperlink" Target="https://sealeddeck.tech/C1Xtvez3ce" TargetMode="External"/><Relationship Id="rId570" Type="http://schemas.openxmlformats.org/officeDocument/2006/relationships/hyperlink" Target="https://sealeddeck.tech/xd5SSpq1ES" TargetMode="External"/><Relationship Id="rId1163" Type="http://schemas.openxmlformats.org/officeDocument/2006/relationships/hyperlink" Target="https://sealeddeck.tech/XynyRzymWq" TargetMode="External"/><Relationship Id="rId1164" Type="http://schemas.openxmlformats.org/officeDocument/2006/relationships/hyperlink" Target="https://sealeddeck.tech/4DjGjU7ChK" TargetMode="External"/><Relationship Id="rId576" Type="http://schemas.openxmlformats.org/officeDocument/2006/relationships/hyperlink" Target="https://sealeddeck.tech/EGUREV37M9" TargetMode="External"/><Relationship Id="rId1165" Type="http://schemas.openxmlformats.org/officeDocument/2006/relationships/hyperlink" Target="https://sealeddeck.tech/NWi8KtPrZ3" TargetMode="External"/><Relationship Id="rId575" Type="http://schemas.openxmlformats.org/officeDocument/2006/relationships/hyperlink" Target="https://sealeddeck.tech/U4PcYsW4iU" TargetMode="External"/><Relationship Id="rId1166" Type="http://schemas.openxmlformats.org/officeDocument/2006/relationships/hyperlink" Target="https://sealeddeck.tech/smY5cKtn8j" TargetMode="External"/><Relationship Id="rId574" Type="http://schemas.openxmlformats.org/officeDocument/2006/relationships/hyperlink" Target="https://sealeddeck.tech/r36CF8W2bV" TargetMode="External"/><Relationship Id="rId1167" Type="http://schemas.openxmlformats.org/officeDocument/2006/relationships/hyperlink" Target="https://sealeddeck.tech/h9io4XKzTW" TargetMode="External"/><Relationship Id="rId573" Type="http://schemas.openxmlformats.org/officeDocument/2006/relationships/hyperlink" Target="https://sealeddeck.tech/JMjGi3X4RA" TargetMode="External"/><Relationship Id="rId1168" Type="http://schemas.openxmlformats.org/officeDocument/2006/relationships/hyperlink" Target="https://sealeddeck.tech/HA9fbzKEmZ" TargetMode="External"/><Relationship Id="rId129" Type="http://schemas.openxmlformats.org/officeDocument/2006/relationships/hyperlink" Target="https://sealeddeck.tech/wf7zVYKx3J" TargetMode="External"/><Relationship Id="rId128" Type="http://schemas.openxmlformats.org/officeDocument/2006/relationships/hyperlink" Target="https://sealeddeck.tech/d8chopYm8W" TargetMode="External"/><Relationship Id="rId127" Type="http://schemas.openxmlformats.org/officeDocument/2006/relationships/hyperlink" Target="https://sealeddeck.tech/W51Hen4iWa" TargetMode="External"/><Relationship Id="rId126" Type="http://schemas.openxmlformats.org/officeDocument/2006/relationships/hyperlink" Target="https://sealeddeck.tech/vo57n8yrb9" TargetMode="External"/><Relationship Id="rId1190" Type="http://schemas.openxmlformats.org/officeDocument/2006/relationships/hyperlink" Target="https://sealeddeck.tech/axHqaxGuZB" TargetMode="External"/><Relationship Id="rId1191" Type="http://schemas.openxmlformats.org/officeDocument/2006/relationships/hyperlink" Target="https://sealeddeck.tech/s1zjtB8xCA" TargetMode="External"/><Relationship Id="rId1192" Type="http://schemas.openxmlformats.org/officeDocument/2006/relationships/hyperlink" Target="https://sealeddeck.tech/wvmoaiLYyY" TargetMode="External"/><Relationship Id="rId1193" Type="http://schemas.openxmlformats.org/officeDocument/2006/relationships/hyperlink" Target="https://sealeddeck.tech/eLeeV4Bi6P" TargetMode="External"/><Relationship Id="rId121" Type="http://schemas.openxmlformats.org/officeDocument/2006/relationships/hyperlink" Target="https://sealeddeck.tech/TKyRqeRUT7" TargetMode="External"/><Relationship Id="rId1194" Type="http://schemas.openxmlformats.org/officeDocument/2006/relationships/hyperlink" Target="https://sealeddeck.tech/4P8wkzn4TT" TargetMode="External"/><Relationship Id="rId120" Type="http://schemas.openxmlformats.org/officeDocument/2006/relationships/hyperlink" Target="https://sealeddeck.tech/Ueg6NKjtbj" TargetMode="External"/><Relationship Id="rId1195" Type="http://schemas.openxmlformats.org/officeDocument/2006/relationships/hyperlink" Target="https://sealeddeck.tech/b8FKwQgBqA" TargetMode="External"/><Relationship Id="rId1196" Type="http://schemas.openxmlformats.org/officeDocument/2006/relationships/hyperlink" Target="https://sealeddeck.tech/Ggs9t7ZVtB" TargetMode="External"/><Relationship Id="rId1197" Type="http://schemas.openxmlformats.org/officeDocument/2006/relationships/hyperlink" Target="https://sealeddeck.tech/34BgiqUfQh" TargetMode="External"/><Relationship Id="rId125" Type="http://schemas.openxmlformats.org/officeDocument/2006/relationships/hyperlink" Target="https://sealeddeck.tech/DhqkBmwt6Y" TargetMode="External"/><Relationship Id="rId1198" Type="http://schemas.openxmlformats.org/officeDocument/2006/relationships/hyperlink" Target="https://sealeddeck.tech/Ghc556wgXm" TargetMode="External"/><Relationship Id="rId124" Type="http://schemas.openxmlformats.org/officeDocument/2006/relationships/hyperlink" Target="https://sealeddeck.tech/6zx77izMNh" TargetMode="External"/><Relationship Id="rId1199" Type="http://schemas.openxmlformats.org/officeDocument/2006/relationships/hyperlink" Target="https://sealeddeck.tech/QwgHj3oFDe" TargetMode="External"/><Relationship Id="rId123" Type="http://schemas.openxmlformats.org/officeDocument/2006/relationships/hyperlink" Target="https://sealeddeck.tech/KPYu48UnzZ" TargetMode="External"/><Relationship Id="rId122" Type="http://schemas.openxmlformats.org/officeDocument/2006/relationships/hyperlink" Target="https://sealeddeck.tech/EYueBk8R6M" TargetMode="External"/><Relationship Id="rId118" Type="http://schemas.openxmlformats.org/officeDocument/2006/relationships/hyperlink" Target="https://sealeddeck.tech/YTEJMzv19Y" TargetMode="External"/><Relationship Id="rId117" Type="http://schemas.openxmlformats.org/officeDocument/2006/relationships/hyperlink" Target="https://sealeddeck.tech/xGHrnFn7fP" TargetMode="External"/><Relationship Id="rId116" Type="http://schemas.openxmlformats.org/officeDocument/2006/relationships/hyperlink" Target="https://sealeddeck.tech/JYTPrapt2u" TargetMode="External"/><Relationship Id="rId115" Type="http://schemas.openxmlformats.org/officeDocument/2006/relationships/hyperlink" Target="https://sealeddeck.tech/R1owhZJGfG" TargetMode="External"/><Relationship Id="rId599" Type="http://schemas.openxmlformats.org/officeDocument/2006/relationships/hyperlink" Target="https://sealeddeck.tech/3GGq6fja2x" TargetMode="External"/><Relationship Id="rId1180" Type="http://schemas.openxmlformats.org/officeDocument/2006/relationships/hyperlink" Target="https://sealeddeck.tech/RJc9VugfSB" TargetMode="External"/><Relationship Id="rId1181" Type="http://schemas.openxmlformats.org/officeDocument/2006/relationships/hyperlink" Target="https://sealeddeck.tech/gExyKuCM8U" TargetMode="External"/><Relationship Id="rId119" Type="http://schemas.openxmlformats.org/officeDocument/2006/relationships/hyperlink" Target="https://sealeddeck.tech/2h5GAFzKh1" TargetMode="External"/><Relationship Id="rId1182" Type="http://schemas.openxmlformats.org/officeDocument/2006/relationships/hyperlink" Target="https://sealeddeck.tech/wLj7HYMsYM" TargetMode="External"/><Relationship Id="rId110" Type="http://schemas.openxmlformats.org/officeDocument/2006/relationships/hyperlink" Target="https://sealeddeck.tech/FmBmKSySAE" TargetMode="External"/><Relationship Id="rId594" Type="http://schemas.openxmlformats.org/officeDocument/2006/relationships/hyperlink" Target="https://sealeddeck.tech/p36BMNJwnD" TargetMode="External"/><Relationship Id="rId1183" Type="http://schemas.openxmlformats.org/officeDocument/2006/relationships/hyperlink" Target="https://sealeddeck.tech/EQ9GfRthVK" TargetMode="External"/><Relationship Id="rId593" Type="http://schemas.openxmlformats.org/officeDocument/2006/relationships/hyperlink" Target="https://sealeddeck.tech/Y2u4XfqjaR" TargetMode="External"/><Relationship Id="rId1184" Type="http://schemas.openxmlformats.org/officeDocument/2006/relationships/hyperlink" Target="https://sealeddeck.tech/aHSyfoJBbT" TargetMode="External"/><Relationship Id="rId592" Type="http://schemas.openxmlformats.org/officeDocument/2006/relationships/hyperlink" Target="https://sealeddeck.tech/b6oBfuWEY9" TargetMode="External"/><Relationship Id="rId1185" Type="http://schemas.openxmlformats.org/officeDocument/2006/relationships/hyperlink" Target="https://sealeddeck.tech/TWWDjQYfB6" TargetMode="External"/><Relationship Id="rId591" Type="http://schemas.openxmlformats.org/officeDocument/2006/relationships/hyperlink" Target="https://sealeddeck.tech/MWGxiP9NC6" TargetMode="External"/><Relationship Id="rId1186" Type="http://schemas.openxmlformats.org/officeDocument/2006/relationships/hyperlink" Target="https://sealeddeck.tech/1iyMXtzwsn" TargetMode="External"/><Relationship Id="rId114" Type="http://schemas.openxmlformats.org/officeDocument/2006/relationships/hyperlink" Target="https://sealeddeck.tech/YHPfx6sVMW" TargetMode="External"/><Relationship Id="rId598" Type="http://schemas.openxmlformats.org/officeDocument/2006/relationships/hyperlink" Target="https://sealeddeck.tech/SbXPJQGLRV" TargetMode="External"/><Relationship Id="rId1187" Type="http://schemas.openxmlformats.org/officeDocument/2006/relationships/hyperlink" Target="https://sealeddeck.tech/mAwDavQRxy" TargetMode="External"/><Relationship Id="rId113" Type="http://schemas.openxmlformats.org/officeDocument/2006/relationships/hyperlink" Target="https://sealeddeck.tech/8vi34gryhh" TargetMode="External"/><Relationship Id="rId597" Type="http://schemas.openxmlformats.org/officeDocument/2006/relationships/hyperlink" Target="https://sealeddeck.tech/RZf43j7z41" TargetMode="External"/><Relationship Id="rId1188" Type="http://schemas.openxmlformats.org/officeDocument/2006/relationships/hyperlink" Target="https://sealeddeck.tech/uiZee1idDk" TargetMode="External"/><Relationship Id="rId112" Type="http://schemas.openxmlformats.org/officeDocument/2006/relationships/hyperlink" Target="https://sealeddeck.tech/dwcq58m6WQ" TargetMode="External"/><Relationship Id="rId596" Type="http://schemas.openxmlformats.org/officeDocument/2006/relationships/hyperlink" Target="https://sealeddeck.tech/7eNvo7LSa5" TargetMode="External"/><Relationship Id="rId1189" Type="http://schemas.openxmlformats.org/officeDocument/2006/relationships/hyperlink" Target="https://sealeddeck.tech/Lz2pJ1xGKg" TargetMode="External"/><Relationship Id="rId111" Type="http://schemas.openxmlformats.org/officeDocument/2006/relationships/hyperlink" Target="https://sealeddeck.tech/N5u6AYdET9" TargetMode="External"/><Relationship Id="rId595" Type="http://schemas.openxmlformats.org/officeDocument/2006/relationships/hyperlink" Target="https://sealeddeck.tech/kHYGRQfXXD" TargetMode="External"/><Relationship Id="rId1136" Type="http://schemas.openxmlformats.org/officeDocument/2006/relationships/hyperlink" Target="https://sealeddeck.tech/bt3j6fhBVX" TargetMode="External"/><Relationship Id="rId1137" Type="http://schemas.openxmlformats.org/officeDocument/2006/relationships/hyperlink" Target="https://sealeddeck.tech/97i9VcuV6P" TargetMode="External"/><Relationship Id="rId1138" Type="http://schemas.openxmlformats.org/officeDocument/2006/relationships/hyperlink" Target="https://sealeddeck.tech/x2A6K2MjDE" TargetMode="External"/><Relationship Id="rId1139" Type="http://schemas.openxmlformats.org/officeDocument/2006/relationships/hyperlink" Target="https://sealeddeck.tech/J3VARcdmPB" TargetMode="External"/><Relationship Id="rId547" Type="http://schemas.openxmlformats.org/officeDocument/2006/relationships/hyperlink" Target="https://sealeddeck.tech/6k6H59XXAY" TargetMode="External"/><Relationship Id="rId546" Type="http://schemas.openxmlformats.org/officeDocument/2006/relationships/hyperlink" Target="https://sealeddeck.tech/mv5xXZFUMK" TargetMode="External"/><Relationship Id="rId545" Type="http://schemas.openxmlformats.org/officeDocument/2006/relationships/hyperlink" Target="https://sealeddeck.tech/LjkZEpLhwD" TargetMode="External"/><Relationship Id="rId544" Type="http://schemas.openxmlformats.org/officeDocument/2006/relationships/hyperlink" Target="https://sealeddeck.tech/DfSk9GgdtZ" TargetMode="External"/><Relationship Id="rId549" Type="http://schemas.openxmlformats.org/officeDocument/2006/relationships/hyperlink" Target="https://sealeddeck.tech/FSEJnfF81x" TargetMode="External"/><Relationship Id="rId548" Type="http://schemas.openxmlformats.org/officeDocument/2006/relationships/hyperlink" Target="https://sealeddeck.tech/EzxGpiki4L" TargetMode="External"/><Relationship Id="rId1130" Type="http://schemas.openxmlformats.org/officeDocument/2006/relationships/hyperlink" Target="https://sealeddeck.tech/sHijmFK7j1" TargetMode="External"/><Relationship Id="rId1131" Type="http://schemas.openxmlformats.org/officeDocument/2006/relationships/hyperlink" Target="https://sealeddeck.tech/PLYL5NEYTd" TargetMode="External"/><Relationship Id="rId543" Type="http://schemas.openxmlformats.org/officeDocument/2006/relationships/hyperlink" Target="https://sealeddeck.tech/5LVPdStKV4" TargetMode="External"/><Relationship Id="rId1132" Type="http://schemas.openxmlformats.org/officeDocument/2006/relationships/hyperlink" Target="https://sealeddeck.tech/MJ328AQ9cX" TargetMode="External"/><Relationship Id="rId542" Type="http://schemas.openxmlformats.org/officeDocument/2006/relationships/hyperlink" Target="https://sealeddeck.tech/DkijmHKeDo" TargetMode="External"/><Relationship Id="rId1133" Type="http://schemas.openxmlformats.org/officeDocument/2006/relationships/hyperlink" Target="https://sealeddeck.tech/kcJPWG3JgF" TargetMode="External"/><Relationship Id="rId541" Type="http://schemas.openxmlformats.org/officeDocument/2006/relationships/hyperlink" Target="https://sealeddeck.tech/KvNNb2Sfzy" TargetMode="External"/><Relationship Id="rId1134" Type="http://schemas.openxmlformats.org/officeDocument/2006/relationships/hyperlink" Target="https://sealeddeck.tech/PL1Vdn9ntd" TargetMode="External"/><Relationship Id="rId540" Type="http://schemas.openxmlformats.org/officeDocument/2006/relationships/hyperlink" Target="https://sealeddeck.tech/vMVAWJMGDf" TargetMode="External"/><Relationship Id="rId1135" Type="http://schemas.openxmlformats.org/officeDocument/2006/relationships/hyperlink" Target="https://sealeddeck.tech/2SdRZnVEEQ" TargetMode="External"/><Relationship Id="rId1125" Type="http://schemas.openxmlformats.org/officeDocument/2006/relationships/hyperlink" Target="https://sealeddeck.tech/QU5FHipHBY" TargetMode="External"/><Relationship Id="rId1126" Type="http://schemas.openxmlformats.org/officeDocument/2006/relationships/hyperlink" Target="https://sealeddeck.tech/LFbCe83tMC" TargetMode="External"/><Relationship Id="rId1127" Type="http://schemas.openxmlformats.org/officeDocument/2006/relationships/hyperlink" Target="https://sealeddeck.tech/wX8dfnpdMK" TargetMode="External"/><Relationship Id="rId1128" Type="http://schemas.openxmlformats.org/officeDocument/2006/relationships/hyperlink" Target="https://sealeddeck.tech/H8mbaw1tQf" TargetMode="External"/><Relationship Id="rId1129" Type="http://schemas.openxmlformats.org/officeDocument/2006/relationships/hyperlink" Target="https://sealeddeck.tech/VRhwZFWWLC" TargetMode="External"/><Relationship Id="rId536" Type="http://schemas.openxmlformats.org/officeDocument/2006/relationships/hyperlink" Target="https://sealeddeck.tech/5yaXgFx2KM" TargetMode="External"/><Relationship Id="rId535" Type="http://schemas.openxmlformats.org/officeDocument/2006/relationships/hyperlink" Target="https://sealeddeck.tech/8J4y3EVyGz" TargetMode="External"/><Relationship Id="rId534" Type="http://schemas.openxmlformats.org/officeDocument/2006/relationships/hyperlink" Target="https://sealeddeck.tech/JNQLg16zgk" TargetMode="External"/><Relationship Id="rId533" Type="http://schemas.openxmlformats.org/officeDocument/2006/relationships/hyperlink" Target="https://sealeddeck.tech/nztbCjJHyS" TargetMode="External"/><Relationship Id="rId539" Type="http://schemas.openxmlformats.org/officeDocument/2006/relationships/hyperlink" Target="https://sealeddeck.tech/hP2S2o4uuV" TargetMode="External"/><Relationship Id="rId538" Type="http://schemas.openxmlformats.org/officeDocument/2006/relationships/hyperlink" Target="https://sealeddeck.tech/1DeXcU15nn" TargetMode="External"/><Relationship Id="rId537" Type="http://schemas.openxmlformats.org/officeDocument/2006/relationships/hyperlink" Target="https://sealeddeck.tech/mCV2cFLk5g" TargetMode="External"/><Relationship Id="rId1120" Type="http://schemas.openxmlformats.org/officeDocument/2006/relationships/hyperlink" Target="https://sealeddeck.tech/Ma7s2RQEGx" TargetMode="External"/><Relationship Id="rId532" Type="http://schemas.openxmlformats.org/officeDocument/2006/relationships/hyperlink" Target="https://sealeddeck.tech/3jqCfPAgDw" TargetMode="External"/><Relationship Id="rId1121" Type="http://schemas.openxmlformats.org/officeDocument/2006/relationships/hyperlink" Target="https://sealeddeck.tech/6tJv3Jj3Mb" TargetMode="External"/><Relationship Id="rId531" Type="http://schemas.openxmlformats.org/officeDocument/2006/relationships/hyperlink" Target="https://sealeddeck.tech/T2URuaMSmV" TargetMode="External"/><Relationship Id="rId1122" Type="http://schemas.openxmlformats.org/officeDocument/2006/relationships/hyperlink" Target="https://sealeddeck.tech/TCRUopSvG2" TargetMode="External"/><Relationship Id="rId530" Type="http://schemas.openxmlformats.org/officeDocument/2006/relationships/hyperlink" Target="https://sealeddeck.tech/HxS8bPwYxZ" TargetMode="External"/><Relationship Id="rId1123" Type="http://schemas.openxmlformats.org/officeDocument/2006/relationships/hyperlink" Target="https://sealeddeck.tech/kmZYWom1z1" TargetMode="External"/><Relationship Id="rId1124" Type="http://schemas.openxmlformats.org/officeDocument/2006/relationships/hyperlink" Target="https://sealeddeck.tech/vzkG45Scj1" TargetMode="External"/><Relationship Id="rId1158" Type="http://schemas.openxmlformats.org/officeDocument/2006/relationships/hyperlink" Target="https://sealeddeck.tech/VvKXrkN1aJ" TargetMode="External"/><Relationship Id="rId1159" Type="http://schemas.openxmlformats.org/officeDocument/2006/relationships/hyperlink" Target="https://sealeddeck.tech/L2hLqr4Qkw" TargetMode="External"/><Relationship Id="rId569" Type="http://schemas.openxmlformats.org/officeDocument/2006/relationships/hyperlink" Target="https://sealeddeck.tech/VHLWe8Yyrh" TargetMode="External"/><Relationship Id="rId568" Type="http://schemas.openxmlformats.org/officeDocument/2006/relationships/hyperlink" Target="https://sealeddeck.tech/L3ahQoS911" TargetMode="External"/><Relationship Id="rId567" Type="http://schemas.openxmlformats.org/officeDocument/2006/relationships/hyperlink" Target="https://sealeddeck.tech/r3bPPvyhV3" TargetMode="External"/><Relationship Id="rId566" Type="http://schemas.openxmlformats.org/officeDocument/2006/relationships/hyperlink" Target="https://sealeddeck.tech/x1WsMiX912" TargetMode="External"/><Relationship Id="rId561" Type="http://schemas.openxmlformats.org/officeDocument/2006/relationships/hyperlink" Target="https://sealeddeck.tech/UbdRs9GrXt" TargetMode="External"/><Relationship Id="rId1150" Type="http://schemas.openxmlformats.org/officeDocument/2006/relationships/hyperlink" Target="https://sealeddeck.tech/LUb34B9Yjt" TargetMode="External"/><Relationship Id="rId560" Type="http://schemas.openxmlformats.org/officeDocument/2006/relationships/hyperlink" Target="https://sealeddeck.tech/z6HMLkKVdB" TargetMode="External"/><Relationship Id="rId1151" Type="http://schemas.openxmlformats.org/officeDocument/2006/relationships/hyperlink" Target="https://sealeddeck.tech/6awJFAXY1f" TargetMode="External"/><Relationship Id="rId1152" Type="http://schemas.openxmlformats.org/officeDocument/2006/relationships/hyperlink" Target="https://sealeddeck.tech/bruK278ryy" TargetMode="External"/><Relationship Id="rId1153" Type="http://schemas.openxmlformats.org/officeDocument/2006/relationships/hyperlink" Target="https://sealeddeck.tech/ShTf2A8cXH" TargetMode="External"/><Relationship Id="rId565" Type="http://schemas.openxmlformats.org/officeDocument/2006/relationships/hyperlink" Target="https://sealeddeck.tech/VtVe3kTog4" TargetMode="External"/><Relationship Id="rId1154" Type="http://schemas.openxmlformats.org/officeDocument/2006/relationships/hyperlink" Target="https://sealeddeck.tech/f8xA8hh5pL" TargetMode="External"/><Relationship Id="rId564" Type="http://schemas.openxmlformats.org/officeDocument/2006/relationships/hyperlink" Target="https://sealeddeck.tech/HXRpZp68HX" TargetMode="External"/><Relationship Id="rId1155" Type="http://schemas.openxmlformats.org/officeDocument/2006/relationships/hyperlink" Target="https://sealeddeck.tech/TWj9KLXdAi" TargetMode="External"/><Relationship Id="rId563" Type="http://schemas.openxmlformats.org/officeDocument/2006/relationships/hyperlink" Target="https://sealeddeck.tech/wBJJoayfp2" TargetMode="External"/><Relationship Id="rId1156" Type="http://schemas.openxmlformats.org/officeDocument/2006/relationships/hyperlink" Target="https://sealeddeck.tech/v9WgZjK7ak" TargetMode="External"/><Relationship Id="rId562" Type="http://schemas.openxmlformats.org/officeDocument/2006/relationships/hyperlink" Target="https://sealeddeck.tech/n7tJr6pW1D" TargetMode="External"/><Relationship Id="rId1157" Type="http://schemas.openxmlformats.org/officeDocument/2006/relationships/hyperlink" Target="https://sealeddeck.tech/SqqQ1kbvNY" TargetMode="External"/><Relationship Id="rId1147" Type="http://schemas.openxmlformats.org/officeDocument/2006/relationships/hyperlink" Target="https://sealeddeck.tech/7tnJTiRJa4" TargetMode="External"/><Relationship Id="rId1148" Type="http://schemas.openxmlformats.org/officeDocument/2006/relationships/hyperlink" Target="https://sealeddeck.tech/X54uAgakLR" TargetMode="External"/><Relationship Id="rId1149" Type="http://schemas.openxmlformats.org/officeDocument/2006/relationships/hyperlink" Target="https://sealeddeck.tech/VGzUJbF9Eo" TargetMode="External"/><Relationship Id="rId558" Type="http://schemas.openxmlformats.org/officeDocument/2006/relationships/hyperlink" Target="https://sealeddeck.tech/SzkDCHH6YZ" TargetMode="External"/><Relationship Id="rId557" Type="http://schemas.openxmlformats.org/officeDocument/2006/relationships/hyperlink" Target="https://sealeddeck.tech/KXRm2sdS2u" TargetMode="External"/><Relationship Id="rId556" Type="http://schemas.openxmlformats.org/officeDocument/2006/relationships/hyperlink" Target="https://sealeddeck.tech/qtr2ByUUgS" TargetMode="External"/><Relationship Id="rId555" Type="http://schemas.openxmlformats.org/officeDocument/2006/relationships/hyperlink" Target="https://sealeddeck.tech/ZZq8Q71uqD" TargetMode="External"/><Relationship Id="rId559" Type="http://schemas.openxmlformats.org/officeDocument/2006/relationships/hyperlink" Target="https://sealeddeck.tech/vWCXryU8yX" TargetMode="External"/><Relationship Id="rId550" Type="http://schemas.openxmlformats.org/officeDocument/2006/relationships/hyperlink" Target="https://sealeddeck.tech/Xn8wF1Wa6w" TargetMode="External"/><Relationship Id="rId1140" Type="http://schemas.openxmlformats.org/officeDocument/2006/relationships/hyperlink" Target="https://sealeddeck.tech/kpN9dMJ2vc" TargetMode="External"/><Relationship Id="rId1141" Type="http://schemas.openxmlformats.org/officeDocument/2006/relationships/hyperlink" Target="https://sealeddeck.tech/9x98cq5RjF" TargetMode="External"/><Relationship Id="rId1142" Type="http://schemas.openxmlformats.org/officeDocument/2006/relationships/hyperlink" Target="https://sealeddeck.tech/u7RQ14ozE7" TargetMode="External"/><Relationship Id="rId554" Type="http://schemas.openxmlformats.org/officeDocument/2006/relationships/hyperlink" Target="https://sealeddeck.tech/o6cJdBsdEu" TargetMode="External"/><Relationship Id="rId1143" Type="http://schemas.openxmlformats.org/officeDocument/2006/relationships/hyperlink" Target="https://sealeddeck.tech/bNJe7sfxo3" TargetMode="External"/><Relationship Id="rId553" Type="http://schemas.openxmlformats.org/officeDocument/2006/relationships/hyperlink" Target="https://sealeddeck.tech/VarwAUkPbP" TargetMode="External"/><Relationship Id="rId1144" Type="http://schemas.openxmlformats.org/officeDocument/2006/relationships/hyperlink" Target="https://sealeddeck.tech/tPiQUL7feu" TargetMode="External"/><Relationship Id="rId552" Type="http://schemas.openxmlformats.org/officeDocument/2006/relationships/hyperlink" Target="https://sealeddeck.tech/zN254QuL7z" TargetMode="External"/><Relationship Id="rId1145" Type="http://schemas.openxmlformats.org/officeDocument/2006/relationships/hyperlink" Target="https://sealeddeck.tech/6t5MLGzSzv" TargetMode="External"/><Relationship Id="rId551" Type="http://schemas.openxmlformats.org/officeDocument/2006/relationships/hyperlink" Target="https://sealeddeck.tech/MgJtCD14fJ" TargetMode="External"/><Relationship Id="rId1146" Type="http://schemas.openxmlformats.org/officeDocument/2006/relationships/hyperlink" Target="https://sealeddeck.tech/b2tHsa3VcZ" TargetMode="External"/><Relationship Id="rId495" Type="http://schemas.openxmlformats.org/officeDocument/2006/relationships/hyperlink" Target="https://sealeddeck.tech/KM1h7Ru4dq" TargetMode="External"/><Relationship Id="rId494" Type="http://schemas.openxmlformats.org/officeDocument/2006/relationships/hyperlink" Target="https://sealeddeck.tech/zr3AH3nFS9" TargetMode="External"/><Relationship Id="rId493" Type="http://schemas.openxmlformats.org/officeDocument/2006/relationships/hyperlink" Target="https://sealeddeck.tech/1v4fEus82i" TargetMode="External"/><Relationship Id="rId492" Type="http://schemas.openxmlformats.org/officeDocument/2006/relationships/hyperlink" Target="https://sealeddeck.tech/Vbi48QRwby" TargetMode="External"/><Relationship Id="rId499" Type="http://schemas.openxmlformats.org/officeDocument/2006/relationships/hyperlink" Target="https://sealeddeck.tech/5rXL94EL17" TargetMode="External"/><Relationship Id="rId498" Type="http://schemas.openxmlformats.org/officeDocument/2006/relationships/hyperlink" Target="https://sealeddeck.tech/XkTpvJjCAg" TargetMode="External"/><Relationship Id="rId497" Type="http://schemas.openxmlformats.org/officeDocument/2006/relationships/hyperlink" Target="https://sealeddeck.tech/3Mn23xuRNQ" TargetMode="External"/><Relationship Id="rId496" Type="http://schemas.openxmlformats.org/officeDocument/2006/relationships/hyperlink" Target="https://sealeddeck.tech/yAYTEYD2SR" TargetMode="External"/><Relationship Id="rId1610" Type="http://schemas.openxmlformats.org/officeDocument/2006/relationships/hyperlink" Target="https://sealeddeck.tech/VqJR4nooKP" TargetMode="External"/><Relationship Id="rId1611" Type="http://schemas.openxmlformats.org/officeDocument/2006/relationships/hyperlink" Target="https://sealeddeck.tech/TpRejRfsPC" TargetMode="External"/><Relationship Id="rId1612" Type="http://schemas.openxmlformats.org/officeDocument/2006/relationships/hyperlink" Target="https://sealeddeck.tech/cZKJ2XSi3F" TargetMode="External"/><Relationship Id="rId1613" Type="http://schemas.openxmlformats.org/officeDocument/2006/relationships/hyperlink" Target="https://sealeddeck.tech/xntLRndP95" TargetMode="External"/><Relationship Id="rId1614" Type="http://schemas.openxmlformats.org/officeDocument/2006/relationships/hyperlink" Target="https://sealeddeck.tech/ktiExnrY6u" TargetMode="External"/><Relationship Id="rId1615" Type="http://schemas.openxmlformats.org/officeDocument/2006/relationships/hyperlink" Target="https://sealeddeck.tech/dY5eFtHhsf" TargetMode="External"/><Relationship Id="rId1616" Type="http://schemas.openxmlformats.org/officeDocument/2006/relationships/hyperlink" Target="https://sealeddeck.tech/ndioLc3FPt" TargetMode="External"/><Relationship Id="rId907" Type="http://schemas.openxmlformats.org/officeDocument/2006/relationships/hyperlink" Target="https://sealeddeck.tech/Z56gmM4yd2" TargetMode="External"/><Relationship Id="rId1617" Type="http://schemas.openxmlformats.org/officeDocument/2006/relationships/hyperlink" Target="https://sealeddeck.tech/7LJ45xrkCQ" TargetMode="External"/><Relationship Id="rId906" Type="http://schemas.openxmlformats.org/officeDocument/2006/relationships/hyperlink" Target="https://sealeddeck.tech/VB5H3zKtnw" TargetMode="External"/><Relationship Id="rId1618" Type="http://schemas.openxmlformats.org/officeDocument/2006/relationships/hyperlink" Target="https://sealeddeck.tech/oH4Z9K2ZLJ" TargetMode="External"/><Relationship Id="rId905" Type="http://schemas.openxmlformats.org/officeDocument/2006/relationships/hyperlink" Target="https://sealeddeck.tech/yBCo8kvaq1" TargetMode="External"/><Relationship Id="rId1619" Type="http://schemas.openxmlformats.org/officeDocument/2006/relationships/hyperlink" Target="https://sealeddeck.tech/onzZiPSNhB" TargetMode="External"/><Relationship Id="rId904" Type="http://schemas.openxmlformats.org/officeDocument/2006/relationships/hyperlink" Target="https://sealeddeck.tech/MYEpqHd8zj" TargetMode="External"/><Relationship Id="rId909" Type="http://schemas.openxmlformats.org/officeDocument/2006/relationships/hyperlink" Target="https://sealeddeck.tech/ThFRMpBH9d" TargetMode="External"/><Relationship Id="rId908" Type="http://schemas.openxmlformats.org/officeDocument/2006/relationships/hyperlink" Target="https://sealeddeck.tech/gjJ7QPah5A" TargetMode="External"/><Relationship Id="rId903" Type="http://schemas.openxmlformats.org/officeDocument/2006/relationships/hyperlink" Target="https://sealeddeck.tech/m6BTrPoaSF" TargetMode="External"/><Relationship Id="rId902" Type="http://schemas.openxmlformats.org/officeDocument/2006/relationships/hyperlink" Target="https://sealeddeck.tech/xzXF8TqkdQ" TargetMode="External"/><Relationship Id="rId901" Type="http://schemas.openxmlformats.org/officeDocument/2006/relationships/hyperlink" Target="https://sealeddeck.tech/sxoTGfCxJW" TargetMode="External"/><Relationship Id="rId900" Type="http://schemas.openxmlformats.org/officeDocument/2006/relationships/hyperlink" Target="https://sealeddeck.tech/pvfKVUBG3P" TargetMode="External"/><Relationship Id="rId1600" Type="http://schemas.openxmlformats.org/officeDocument/2006/relationships/hyperlink" Target="https://sealeddeck.tech/1QDb5RvTgU" TargetMode="External"/><Relationship Id="rId1601" Type="http://schemas.openxmlformats.org/officeDocument/2006/relationships/hyperlink" Target="https://sealeddeck.tech/rUgvqS8PF2" TargetMode="External"/><Relationship Id="rId1602" Type="http://schemas.openxmlformats.org/officeDocument/2006/relationships/hyperlink" Target="https://sealeddeck.tech/bE42zwbnAn" TargetMode="External"/><Relationship Id="rId1603" Type="http://schemas.openxmlformats.org/officeDocument/2006/relationships/hyperlink" Target="https://sealeddeck.tech/YuqSLmFCHG" TargetMode="External"/><Relationship Id="rId1604" Type="http://schemas.openxmlformats.org/officeDocument/2006/relationships/hyperlink" Target="https://sealeddeck.tech/RWpVzdGexK" TargetMode="External"/><Relationship Id="rId1605" Type="http://schemas.openxmlformats.org/officeDocument/2006/relationships/hyperlink" Target="https://sealeddeck.tech/Lf336XUSez" TargetMode="External"/><Relationship Id="rId1606" Type="http://schemas.openxmlformats.org/officeDocument/2006/relationships/hyperlink" Target="https://sealeddeck.tech/XATTuyLDPi" TargetMode="External"/><Relationship Id="rId1607" Type="http://schemas.openxmlformats.org/officeDocument/2006/relationships/hyperlink" Target="https://sealeddeck.tech/aMotDPYjVr" TargetMode="External"/><Relationship Id="rId1608" Type="http://schemas.openxmlformats.org/officeDocument/2006/relationships/hyperlink" Target="https://sealeddeck.tech/CswdPyrqSn" TargetMode="External"/><Relationship Id="rId1609" Type="http://schemas.openxmlformats.org/officeDocument/2006/relationships/hyperlink" Target="https://sealeddeck.tech/qyC24DEzgv" TargetMode="External"/><Relationship Id="rId1631" Type="http://schemas.openxmlformats.org/officeDocument/2006/relationships/hyperlink" Target="https://sealeddeck.tech/SocdNoBKeT" TargetMode="External"/><Relationship Id="rId1632" Type="http://schemas.openxmlformats.org/officeDocument/2006/relationships/hyperlink" Target="https://sealeddeck.tech/L4QmQkzvJM" TargetMode="External"/><Relationship Id="rId1633" Type="http://schemas.openxmlformats.org/officeDocument/2006/relationships/hyperlink" Target="https://sealeddeck.tech/kpCqdnggTC" TargetMode="External"/><Relationship Id="rId1634" Type="http://schemas.openxmlformats.org/officeDocument/2006/relationships/hyperlink" Target="https://sealeddeck.tech/NJRiLanGN2" TargetMode="External"/><Relationship Id="rId1635" Type="http://schemas.openxmlformats.org/officeDocument/2006/relationships/hyperlink" Target="https://sealeddeck.tech/46Lp1E9Knc" TargetMode="External"/><Relationship Id="rId1636" Type="http://schemas.openxmlformats.org/officeDocument/2006/relationships/hyperlink" Target="https://sealeddeck.tech/mtsqSpPeAW" TargetMode="External"/><Relationship Id="rId1637" Type="http://schemas.openxmlformats.org/officeDocument/2006/relationships/hyperlink" Target="https://sealeddeck.tech/sHnoHoQFYg" TargetMode="External"/><Relationship Id="rId1638" Type="http://schemas.openxmlformats.org/officeDocument/2006/relationships/hyperlink" Target="https://sealeddeck.tech/3CodndugRS" TargetMode="External"/><Relationship Id="rId929" Type="http://schemas.openxmlformats.org/officeDocument/2006/relationships/hyperlink" Target="https://sealeddeck.tech/6L2DaE2mn3" TargetMode="External"/><Relationship Id="rId1639" Type="http://schemas.openxmlformats.org/officeDocument/2006/relationships/hyperlink" Target="https://sealeddeck.tech/qfpXcDGN1C" TargetMode="External"/><Relationship Id="rId928" Type="http://schemas.openxmlformats.org/officeDocument/2006/relationships/hyperlink" Target="https://sealeddeck.tech/1FbBYjFvSy" TargetMode="External"/><Relationship Id="rId927" Type="http://schemas.openxmlformats.org/officeDocument/2006/relationships/hyperlink" Target="https://sealeddeck.tech/RwwbxHTLzJ" TargetMode="External"/><Relationship Id="rId926" Type="http://schemas.openxmlformats.org/officeDocument/2006/relationships/hyperlink" Target="https://sealeddeck.tech/ZDhojLcwhF" TargetMode="External"/><Relationship Id="rId921" Type="http://schemas.openxmlformats.org/officeDocument/2006/relationships/hyperlink" Target="https://sealeddeck.tech/mjDNFYve65" TargetMode="External"/><Relationship Id="rId920" Type="http://schemas.openxmlformats.org/officeDocument/2006/relationships/hyperlink" Target="https://sealeddeck.tech/kumRWA26SY" TargetMode="External"/><Relationship Id="rId925" Type="http://schemas.openxmlformats.org/officeDocument/2006/relationships/hyperlink" Target="https://sealeddeck.tech/vnRWtJBfVH" TargetMode="External"/><Relationship Id="rId924" Type="http://schemas.openxmlformats.org/officeDocument/2006/relationships/hyperlink" Target="https://sealeddeck.tech/raawozgS9w" TargetMode="External"/><Relationship Id="rId923" Type="http://schemas.openxmlformats.org/officeDocument/2006/relationships/hyperlink" Target="https://sealeddeck.tech/F5VG4mKkmn" TargetMode="External"/><Relationship Id="rId922" Type="http://schemas.openxmlformats.org/officeDocument/2006/relationships/hyperlink" Target="https://sealeddeck.tech/UYJorVcGyL" TargetMode="External"/><Relationship Id="rId1630" Type="http://schemas.openxmlformats.org/officeDocument/2006/relationships/hyperlink" Target="https://sealeddeck.tech/aHrNoT6p9S" TargetMode="External"/><Relationship Id="rId1620" Type="http://schemas.openxmlformats.org/officeDocument/2006/relationships/hyperlink" Target="https://sealeddeck.tech/k6rSEUh5qW" TargetMode="External"/><Relationship Id="rId1621" Type="http://schemas.openxmlformats.org/officeDocument/2006/relationships/hyperlink" Target="https://sealeddeck.tech/9rrDr6e4VD" TargetMode="External"/><Relationship Id="rId1622" Type="http://schemas.openxmlformats.org/officeDocument/2006/relationships/hyperlink" Target="https://sealeddeck.tech/6W3FPV5BqR" TargetMode="External"/><Relationship Id="rId1623" Type="http://schemas.openxmlformats.org/officeDocument/2006/relationships/hyperlink" Target="https://sealeddeck.tech/JNphfMVBvJ" TargetMode="External"/><Relationship Id="rId1624" Type="http://schemas.openxmlformats.org/officeDocument/2006/relationships/hyperlink" Target="https://sealeddeck.tech/BJyN55RvGA" TargetMode="External"/><Relationship Id="rId1625" Type="http://schemas.openxmlformats.org/officeDocument/2006/relationships/hyperlink" Target="https://sealeddeck.tech/CaDVk5HNdC" TargetMode="External"/><Relationship Id="rId1626" Type="http://schemas.openxmlformats.org/officeDocument/2006/relationships/hyperlink" Target="https://sealeddeck.tech/7KijAeb8xJ" TargetMode="External"/><Relationship Id="rId1627" Type="http://schemas.openxmlformats.org/officeDocument/2006/relationships/hyperlink" Target="https://sealeddeck.tech/yJBH7JFwsi" TargetMode="External"/><Relationship Id="rId918" Type="http://schemas.openxmlformats.org/officeDocument/2006/relationships/hyperlink" Target="https://sealeddeck.tech/rxE3ciZNVN" TargetMode="External"/><Relationship Id="rId1628" Type="http://schemas.openxmlformats.org/officeDocument/2006/relationships/hyperlink" Target="https://sealeddeck.tech/xEo4QFtbjN" TargetMode="External"/><Relationship Id="rId917" Type="http://schemas.openxmlformats.org/officeDocument/2006/relationships/hyperlink" Target="https://sealeddeck.tech/58YVG4Pjyi" TargetMode="External"/><Relationship Id="rId1629" Type="http://schemas.openxmlformats.org/officeDocument/2006/relationships/hyperlink" Target="https://sealeddeck.tech/XmLXFWcWSx" TargetMode="External"/><Relationship Id="rId916" Type="http://schemas.openxmlformats.org/officeDocument/2006/relationships/hyperlink" Target="https://sealeddeck.tech/yMqtGsX1aR" TargetMode="External"/><Relationship Id="rId915" Type="http://schemas.openxmlformats.org/officeDocument/2006/relationships/hyperlink" Target="https://sealeddeck.tech/WqJvVz9NFs" TargetMode="External"/><Relationship Id="rId919" Type="http://schemas.openxmlformats.org/officeDocument/2006/relationships/hyperlink" Target="https://sealeddeck.tech/vZm6XZvY3F" TargetMode="External"/><Relationship Id="rId910" Type="http://schemas.openxmlformats.org/officeDocument/2006/relationships/hyperlink" Target="https://sealeddeck.tech/1H8d4AeLbB" TargetMode="External"/><Relationship Id="rId914" Type="http://schemas.openxmlformats.org/officeDocument/2006/relationships/hyperlink" Target="https://sealeddeck.tech/Uc6YT69GuB" TargetMode="External"/><Relationship Id="rId913" Type="http://schemas.openxmlformats.org/officeDocument/2006/relationships/hyperlink" Target="https://sealeddeck.tech/GjRnvN5LWP" TargetMode="External"/><Relationship Id="rId912" Type="http://schemas.openxmlformats.org/officeDocument/2006/relationships/hyperlink" Target="https://sealeddeck.tech/btKhEuQJNr" TargetMode="External"/><Relationship Id="rId911" Type="http://schemas.openxmlformats.org/officeDocument/2006/relationships/hyperlink" Target="https://sealeddeck.tech/cQqCGiBY36" TargetMode="External"/><Relationship Id="rId1213" Type="http://schemas.openxmlformats.org/officeDocument/2006/relationships/hyperlink" Target="https://sealeddeck.tech/xBBQ4aGZPi" TargetMode="External"/><Relationship Id="rId1697" Type="http://schemas.openxmlformats.org/officeDocument/2006/relationships/hyperlink" Target="https://sealeddeck.tech/QppXAJ6A43" TargetMode="External"/><Relationship Id="rId1214" Type="http://schemas.openxmlformats.org/officeDocument/2006/relationships/hyperlink" Target="https://sealeddeck.tech/jBHioBGpBf" TargetMode="External"/><Relationship Id="rId1698" Type="http://schemas.openxmlformats.org/officeDocument/2006/relationships/hyperlink" Target="https://sealeddeck.tech/8GExafXWuU" TargetMode="External"/><Relationship Id="rId1215" Type="http://schemas.openxmlformats.org/officeDocument/2006/relationships/hyperlink" Target="https://sealeddeck.tech/eec4nqBGzF" TargetMode="External"/><Relationship Id="rId1699" Type="http://schemas.openxmlformats.org/officeDocument/2006/relationships/hyperlink" Target="https://sealeddeck.tech/oz7zM9NPFa" TargetMode="External"/><Relationship Id="rId1216" Type="http://schemas.openxmlformats.org/officeDocument/2006/relationships/hyperlink" Target="https://sealeddeck.tech/4eoFUKtvUA" TargetMode="External"/><Relationship Id="rId1217" Type="http://schemas.openxmlformats.org/officeDocument/2006/relationships/hyperlink" Target="https://sealeddeck.tech/a81JisrCmG" TargetMode="External"/><Relationship Id="rId1218" Type="http://schemas.openxmlformats.org/officeDocument/2006/relationships/hyperlink" Target="https://sealeddeck.tech/TotXf6XWUP" TargetMode="External"/><Relationship Id="rId1219" Type="http://schemas.openxmlformats.org/officeDocument/2006/relationships/hyperlink" Target="https://sealeddeck.tech/X5eKpssjKg" TargetMode="External"/><Relationship Id="rId866" Type="http://schemas.openxmlformats.org/officeDocument/2006/relationships/hyperlink" Target="https://sealeddeck.tech/HH8tV7rABj" TargetMode="External"/><Relationship Id="rId865" Type="http://schemas.openxmlformats.org/officeDocument/2006/relationships/hyperlink" Target="https://sealeddeck.tech/LvQ6drSf7a" TargetMode="External"/><Relationship Id="rId864" Type="http://schemas.openxmlformats.org/officeDocument/2006/relationships/hyperlink" Target="https://sealeddeck.tech/w7QfxmEhSF" TargetMode="External"/><Relationship Id="rId863" Type="http://schemas.openxmlformats.org/officeDocument/2006/relationships/hyperlink" Target="https://sealeddeck.tech/eQWeLvQYXu" TargetMode="External"/><Relationship Id="rId869" Type="http://schemas.openxmlformats.org/officeDocument/2006/relationships/hyperlink" Target="https://sealeddeck.tech/jhrJRKtf6S" TargetMode="External"/><Relationship Id="rId868" Type="http://schemas.openxmlformats.org/officeDocument/2006/relationships/hyperlink" Target="https://sealeddeck.tech/h1fFAyenFJ" TargetMode="External"/><Relationship Id="rId867" Type="http://schemas.openxmlformats.org/officeDocument/2006/relationships/hyperlink" Target="https://sealeddeck.tech/AKxxC9JPYW" TargetMode="External"/><Relationship Id="rId1690" Type="http://schemas.openxmlformats.org/officeDocument/2006/relationships/hyperlink" Target="https://sealeddeck.tech/YHpD4GUbZR" TargetMode="External"/><Relationship Id="rId1691" Type="http://schemas.openxmlformats.org/officeDocument/2006/relationships/hyperlink" Target="https://sealeddeck.tech/s4konTJCrb" TargetMode="External"/><Relationship Id="rId1692" Type="http://schemas.openxmlformats.org/officeDocument/2006/relationships/hyperlink" Target="https://sealeddeck.tech/zpquSd4xvp" TargetMode="External"/><Relationship Id="rId862" Type="http://schemas.openxmlformats.org/officeDocument/2006/relationships/hyperlink" Target="https://sealeddeck.tech/eCQHY5grC6" TargetMode="External"/><Relationship Id="rId1693" Type="http://schemas.openxmlformats.org/officeDocument/2006/relationships/hyperlink" Target="https://sealeddeck.tech/Mu2ftz5Nr3" TargetMode="External"/><Relationship Id="rId861" Type="http://schemas.openxmlformats.org/officeDocument/2006/relationships/hyperlink" Target="https://sealeddeck.tech/zyDbePNZKw" TargetMode="External"/><Relationship Id="rId1210" Type="http://schemas.openxmlformats.org/officeDocument/2006/relationships/hyperlink" Target="https://sealeddeck.tech/g5LK7MFzxD" TargetMode="External"/><Relationship Id="rId1694" Type="http://schemas.openxmlformats.org/officeDocument/2006/relationships/hyperlink" Target="https://sealeddeck.tech/USwGW2nfbC" TargetMode="External"/><Relationship Id="rId860" Type="http://schemas.openxmlformats.org/officeDocument/2006/relationships/hyperlink" Target="https://sealeddeck.tech/1UgP741Eu7" TargetMode="External"/><Relationship Id="rId1211" Type="http://schemas.openxmlformats.org/officeDocument/2006/relationships/hyperlink" Target="https://sealeddeck.tech/jakbjCLQ99" TargetMode="External"/><Relationship Id="rId1695" Type="http://schemas.openxmlformats.org/officeDocument/2006/relationships/hyperlink" Target="https://sealeddeck.tech/rT7kqP9nGF" TargetMode="External"/><Relationship Id="rId1212" Type="http://schemas.openxmlformats.org/officeDocument/2006/relationships/hyperlink" Target="https://sealeddeck.tech/EjXsgUjjNZ" TargetMode="External"/><Relationship Id="rId1696" Type="http://schemas.openxmlformats.org/officeDocument/2006/relationships/hyperlink" Target="https://sealeddeck.tech/ZbtrFbqZQ2" TargetMode="External"/><Relationship Id="rId1202" Type="http://schemas.openxmlformats.org/officeDocument/2006/relationships/hyperlink" Target="https://sealeddeck.tech/yj82JZe4yy" TargetMode="External"/><Relationship Id="rId1686" Type="http://schemas.openxmlformats.org/officeDocument/2006/relationships/hyperlink" Target="https://sealeddeck.tech/kr27h4QHfT" TargetMode="External"/><Relationship Id="rId1203" Type="http://schemas.openxmlformats.org/officeDocument/2006/relationships/hyperlink" Target="https://sealeddeck.tech/GdsKW1jfKR" TargetMode="External"/><Relationship Id="rId1687" Type="http://schemas.openxmlformats.org/officeDocument/2006/relationships/hyperlink" Target="https://sealeddeck.tech/d5ZcjTED6C" TargetMode="External"/><Relationship Id="rId1204" Type="http://schemas.openxmlformats.org/officeDocument/2006/relationships/hyperlink" Target="https://sealeddeck.tech/8sw494w1XY" TargetMode="External"/><Relationship Id="rId1688" Type="http://schemas.openxmlformats.org/officeDocument/2006/relationships/hyperlink" Target="https://sealeddeck.tech/ehMydimtVX" TargetMode="External"/><Relationship Id="rId1205" Type="http://schemas.openxmlformats.org/officeDocument/2006/relationships/hyperlink" Target="https://sealeddeck.tech/Me7sf1NigY" TargetMode="External"/><Relationship Id="rId1689" Type="http://schemas.openxmlformats.org/officeDocument/2006/relationships/hyperlink" Target="https://sealeddeck.tech/MVyf4d4hKu" TargetMode="External"/><Relationship Id="rId1206" Type="http://schemas.openxmlformats.org/officeDocument/2006/relationships/hyperlink" Target="https://sealeddeck.tech/48or5Ackrm" TargetMode="External"/><Relationship Id="rId1207" Type="http://schemas.openxmlformats.org/officeDocument/2006/relationships/hyperlink" Target="https://sealeddeck.tech/CWDmALVsLz" TargetMode="External"/><Relationship Id="rId1208" Type="http://schemas.openxmlformats.org/officeDocument/2006/relationships/hyperlink" Target="https://sealeddeck.tech/71EGpWzwkQ" TargetMode="External"/><Relationship Id="rId1209" Type="http://schemas.openxmlformats.org/officeDocument/2006/relationships/hyperlink" Target="https://sealeddeck.tech/WJxUTbqXs3" TargetMode="External"/><Relationship Id="rId855" Type="http://schemas.openxmlformats.org/officeDocument/2006/relationships/hyperlink" Target="https://sealeddeck.tech/aKKkb16ZMn" TargetMode="External"/><Relationship Id="rId854" Type="http://schemas.openxmlformats.org/officeDocument/2006/relationships/hyperlink" Target="https://sealeddeck.tech/SJcQrQBdEL" TargetMode="External"/><Relationship Id="rId853" Type="http://schemas.openxmlformats.org/officeDocument/2006/relationships/hyperlink" Target="https://sealeddeck.tech/QLUG4rtdcV" TargetMode="External"/><Relationship Id="rId852" Type="http://schemas.openxmlformats.org/officeDocument/2006/relationships/hyperlink" Target="https://sealeddeck.tech/sm2kWV9Hg2" TargetMode="External"/><Relationship Id="rId859" Type="http://schemas.openxmlformats.org/officeDocument/2006/relationships/hyperlink" Target="https://sealeddeck.tech/XqM8foRAw7" TargetMode="External"/><Relationship Id="rId858" Type="http://schemas.openxmlformats.org/officeDocument/2006/relationships/hyperlink" Target="https://sealeddeck.tech/Q9UKQj4GLw" TargetMode="External"/><Relationship Id="rId857" Type="http://schemas.openxmlformats.org/officeDocument/2006/relationships/hyperlink" Target="https://sealeddeck.tech/5ufTccHCbQ" TargetMode="External"/><Relationship Id="rId856" Type="http://schemas.openxmlformats.org/officeDocument/2006/relationships/hyperlink" Target="https://sealeddeck.tech/voYEopfPFK" TargetMode="External"/><Relationship Id="rId1680" Type="http://schemas.openxmlformats.org/officeDocument/2006/relationships/hyperlink" Target="https://sealeddeck.tech/TFQKdDoAtL" TargetMode="External"/><Relationship Id="rId1681" Type="http://schemas.openxmlformats.org/officeDocument/2006/relationships/hyperlink" Target="https://sealeddeck.tech/7AoeySDn1h" TargetMode="External"/><Relationship Id="rId851" Type="http://schemas.openxmlformats.org/officeDocument/2006/relationships/hyperlink" Target="https://sealeddeck.tech/Dvv5zHfeLR" TargetMode="External"/><Relationship Id="rId1682" Type="http://schemas.openxmlformats.org/officeDocument/2006/relationships/hyperlink" Target="https://sealeddeck.tech/9mY7MViyX2" TargetMode="External"/><Relationship Id="rId850" Type="http://schemas.openxmlformats.org/officeDocument/2006/relationships/hyperlink" Target="https://sealeddeck.tech/19nrnDnnPu" TargetMode="External"/><Relationship Id="rId1683" Type="http://schemas.openxmlformats.org/officeDocument/2006/relationships/hyperlink" Target="https://sealeddeck.tech/coun9QJXr8" TargetMode="External"/><Relationship Id="rId1200" Type="http://schemas.openxmlformats.org/officeDocument/2006/relationships/hyperlink" Target="https://sealeddeck.tech/UsCumJH26f" TargetMode="External"/><Relationship Id="rId1684" Type="http://schemas.openxmlformats.org/officeDocument/2006/relationships/hyperlink" Target="https://sealeddeck.tech/vAvmAb8u5j" TargetMode="External"/><Relationship Id="rId1201" Type="http://schemas.openxmlformats.org/officeDocument/2006/relationships/hyperlink" Target="https://sealeddeck.tech/f9ubikwVeT" TargetMode="External"/><Relationship Id="rId1685" Type="http://schemas.openxmlformats.org/officeDocument/2006/relationships/hyperlink" Target="https://sealeddeck.tech/eHe7NZDfRU" TargetMode="External"/><Relationship Id="rId1235" Type="http://schemas.openxmlformats.org/officeDocument/2006/relationships/hyperlink" Target="https://sealeddeck.tech/Mr41Jmm8ix" TargetMode="External"/><Relationship Id="rId1236" Type="http://schemas.openxmlformats.org/officeDocument/2006/relationships/hyperlink" Target="https://sealeddeck.tech/iesPD5HRKo" TargetMode="External"/><Relationship Id="rId1237" Type="http://schemas.openxmlformats.org/officeDocument/2006/relationships/hyperlink" Target="https://sealeddeck.tech/zSe9Pp7Arm" TargetMode="External"/><Relationship Id="rId1238" Type="http://schemas.openxmlformats.org/officeDocument/2006/relationships/hyperlink" Target="https://sealeddeck.tech/pwbCtT3CUi" TargetMode="External"/><Relationship Id="rId1239" Type="http://schemas.openxmlformats.org/officeDocument/2006/relationships/hyperlink" Target="https://sealeddeck.tech/WSf9VNnb2C" TargetMode="External"/><Relationship Id="rId409" Type="http://schemas.openxmlformats.org/officeDocument/2006/relationships/hyperlink" Target="https://sealeddeck.tech/mPp5DmGbKg" TargetMode="External"/><Relationship Id="rId404" Type="http://schemas.openxmlformats.org/officeDocument/2006/relationships/hyperlink" Target="https://sealeddeck.tech/HzHgToBZUD" TargetMode="External"/><Relationship Id="rId888" Type="http://schemas.openxmlformats.org/officeDocument/2006/relationships/hyperlink" Target="https://sealeddeck.tech/zEtwm4jk1W" TargetMode="External"/><Relationship Id="rId403" Type="http://schemas.openxmlformats.org/officeDocument/2006/relationships/hyperlink" Target="https://sealeddeck.tech/nuLdWwtoJ6" TargetMode="External"/><Relationship Id="rId887" Type="http://schemas.openxmlformats.org/officeDocument/2006/relationships/hyperlink" Target="https://sealeddeck.tech/Dy75QwNaqQ" TargetMode="External"/><Relationship Id="rId402" Type="http://schemas.openxmlformats.org/officeDocument/2006/relationships/hyperlink" Target="https://sealeddeck.tech/aPVVtdQpsG" TargetMode="External"/><Relationship Id="rId886" Type="http://schemas.openxmlformats.org/officeDocument/2006/relationships/hyperlink" Target="https://sealeddeck.tech/WWrYXg8j5E" TargetMode="External"/><Relationship Id="rId401" Type="http://schemas.openxmlformats.org/officeDocument/2006/relationships/hyperlink" Target="https://sealeddeck.tech/M5dytx2jS1" TargetMode="External"/><Relationship Id="rId885" Type="http://schemas.openxmlformats.org/officeDocument/2006/relationships/hyperlink" Target="https://sealeddeck.tech/3YQF8q9QAC" TargetMode="External"/><Relationship Id="rId408" Type="http://schemas.openxmlformats.org/officeDocument/2006/relationships/hyperlink" Target="https://sealeddeck.tech/THqJ2aPVSo" TargetMode="External"/><Relationship Id="rId407" Type="http://schemas.openxmlformats.org/officeDocument/2006/relationships/hyperlink" Target="https://sealeddeck.tech/LpPDYKVTLw" TargetMode="External"/><Relationship Id="rId406" Type="http://schemas.openxmlformats.org/officeDocument/2006/relationships/hyperlink" Target="https://sealeddeck.tech/YsDYQLACEj" TargetMode="External"/><Relationship Id="rId405" Type="http://schemas.openxmlformats.org/officeDocument/2006/relationships/hyperlink" Target="https://sealeddeck.tech/iL3AKiwbgs" TargetMode="External"/><Relationship Id="rId889" Type="http://schemas.openxmlformats.org/officeDocument/2006/relationships/hyperlink" Target="https://sealeddeck.tech/fJmsVLSUfC" TargetMode="External"/><Relationship Id="rId880" Type="http://schemas.openxmlformats.org/officeDocument/2006/relationships/hyperlink" Target="https://sealeddeck.tech/12FEnVogJ9" TargetMode="External"/><Relationship Id="rId1230" Type="http://schemas.openxmlformats.org/officeDocument/2006/relationships/hyperlink" Target="https://sealeddeck.tech/jBZ9wVwgzm" TargetMode="External"/><Relationship Id="rId400" Type="http://schemas.openxmlformats.org/officeDocument/2006/relationships/hyperlink" Target="https://sealeddeck.tech/bbgchyBEBo" TargetMode="External"/><Relationship Id="rId884" Type="http://schemas.openxmlformats.org/officeDocument/2006/relationships/hyperlink" Target="https://sealeddeck.tech/PMR89JrFxh" TargetMode="External"/><Relationship Id="rId1231" Type="http://schemas.openxmlformats.org/officeDocument/2006/relationships/hyperlink" Target="https://sealeddeck.tech/vJc9udDjYb" TargetMode="External"/><Relationship Id="rId883" Type="http://schemas.openxmlformats.org/officeDocument/2006/relationships/hyperlink" Target="https://sealeddeck.tech/w5Sh4tbYUJ" TargetMode="External"/><Relationship Id="rId1232" Type="http://schemas.openxmlformats.org/officeDocument/2006/relationships/hyperlink" Target="https://sealeddeck.tech/ot9ATCGyoc" TargetMode="External"/><Relationship Id="rId882" Type="http://schemas.openxmlformats.org/officeDocument/2006/relationships/hyperlink" Target="https://sealeddeck.tech/uoUvxDmWKc" TargetMode="External"/><Relationship Id="rId1233" Type="http://schemas.openxmlformats.org/officeDocument/2006/relationships/hyperlink" Target="https://sealeddeck.tech/7yPTGXD1gW" TargetMode="External"/><Relationship Id="rId881" Type="http://schemas.openxmlformats.org/officeDocument/2006/relationships/hyperlink" Target="https://sealeddeck.tech/Ue79fCtG5Q" TargetMode="External"/><Relationship Id="rId1234" Type="http://schemas.openxmlformats.org/officeDocument/2006/relationships/hyperlink" Target="https://sealeddeck.tech/J3WqBAuZFo" TargetMode="External"/><Relationship Id="rId1224" Type="http://schemas.openxmlformats.org/officeDocument/2006/relationships/hyperlink" Target="https://sealeddeck.tech/V93cEUELoL" TargetMode="External"/><Relationship Id="rId1225" Type="http://schemas.openxmlformats.org/officeDocument/2006/relationships/hyperlink" Target="https://sealeddeck.tech/rqhRoUXiGP" TargetMode="External"/><Relationship Id="rId1226" Type="http://schemas.openxmlformats.org/officeDocument/2006/relationships/hyperlink" Target="https://sealeddeck.tech/hi1SrQqdcC" TargetMode="External"/><Relationship Id="rId1227" Type="http://schemas.openxmlformats.org/officeDocument/2006/relationships/hyperlink" Target="https://sealeddeck.tech/HBW6jFYPyh" TargetMode="External"/><Relationship Id="rId1228" Type="http://schemas.openxmlformats.org/officeDocument/2006/relationships/hyperlink" Target="https://sealeddeck.tech/dcz6fWujjF" TargetMode="External"/><Relationship Id="rId1229" Type="http://schemas.openxmlformats.org/officeDocument/2006/relationships/hyperlink" Target="https://sealeddeck.tech/fGygv9GPNg" TargetMode="External"/><Relationship Id="rId877" Type="http://schemas.openxmlformats.org/officeDocument/2006/relationships/hyperlink" Target="https://sealeddeck.tech/CUBz8V6CwR" TargetMode="External"/><Relationship Id="rId876" Type="http://schemas.openxmlformats.org/officeDocument/2006/relationships/hyperlink" Target="https://sealeddeck.tech/JKMxSNFPri" TargetMode="External"/><Relationship Id="rId875" Type="http://schemas.openxmlformats.org/officeDocument/2006/relationships/hyperlink" Target="https://sealeddeck.tech/GK9QX8no4k" TargetMode="External"/><Relationship Id="rId874" Type="http://schemas.openxmlformats.org/officeDocument/2006/relationships/hyperlink" Target="https://sealeddeck.tech/EZS4WbXgpv" TargetMode="External"/><Relationship Id="rId879" Type="http://schemas.openxmlformats.org/officeDocument/2006/relationships/hyperlink" Target="https://sealeddeck.tech/FnsGTVWaoY" TargetMode="External"/><Relationship Id="rId878" Type="http://schemas.openxmlformats.org/officeDocument/2006/relationships/hyperlink" Target="https://sealeddeck.tech/qD79eBNFVR" TargetMode="External"/><Relationship Id="rId873" Type="http://schemas.openxmlformats.org/officeDocument/2006/relationships/hyperlink" Target="https://sealeddeck.tech/aX8dZo3iXF" TargetMode="External"/><Relationship Id="rId1220" Type="http://schemas.openxmlformats.org/officeDocument/2006/relationships/hyperlink" Target="https://sealeddeck.tech/yu4xmF8deU" TargetMode="External"/><Relationship Id="rId872" Type="http://schemas.openxmlformats.org/officeDocument/2006/relationships/hyperlink" Target="https://sealeddeck.tech/MHEh6NrD6u" TargetMode="External"/><Relationship Id="rId1221" Type="http://schemas.openxmlformats.org/officeDocument/2006/relationships/hyperlink" Target="https://sealeddeck.tech/vbR51K5xwY" TargetMode="External"/><Relationship Id="rId871" Type="http://schemas.openxmlformats.org/officeDocument/2006/relationships/hyperlink" Target="https://sealeddeck.tech/iGoX5Sa8ky" TargetMode="External"/><Relationship Id="rId1222" Type="http://schemas.openxmlformats.org/officeDocument/2006/relationships/hyperlink" Target="https://sealeddeck.tech/AzViGGGsnj" TargetMode="External"/><Relationship Id="rId870" Type="http://schemas.openxmlformats.org/officeDocument/2006/relationships/hyperlink" Target="https://sealeddeck.tech/sXZ2QPYi1M" TargetMode="External"/><Relationship Id="rId1223" Type="http://schemas.openxmlformats.org/officeDocument/2006/relationships/hyperlink" Target="https://sealeddeck.tech/rjtGWyte54" TargetMode="External"/><Relationship Id="rId1653" Type="http://schemas.openxmlformats.org/officeDocument/2006/relationships/hyperlink" Target="https://sealeddeck.tech/YrTQsaKxKX" TargetMode="External"/><Relationship Id="rId1654" Type="http://schemas.openxmlformats.org/officeDocument/2006/relationships/hyperlink" Target="https://sealeddeck.tech/u6mecn6y4S" TargetMode="External"/><Relationship Id="rId1655" Type="http://schemas.openxmlformats.org/officeDocument/2006/relationships/hyperlink" Target="https://sealeddeck.tech/RNnHGgPWq1" TargetMode="External"/><Relationship Id="rId1656" Type="http://schemas.openxmlformats.org/officeDocument/2006/relationships/hyperlink" Target="https://sealeddeck.tech/HYHFk8B2JQ" TargetMode="External"/><Relationship Id="rId1657" Type="http://schemas.openxmlformats.org/officeDocument/2006/relationships/hyperlink" Target="https://sealeddeck.tech/PaKtXeoWYh" TargetMode="External"/><Relationship Id="rId1658" Type="http://schemas.openxmlformats.org/officeDocument/2006/relationships/hyperlink" Target="https://sealeddeck.tech/p5WcVt7LJ6" TargetMode="External"/><Relationship Id="rId1659" Type="http://schemas.openxmlformats.org/officeDocument/2006/relationships/hyperlink" Target="https://sealeddeck.tech/7W57Gex3HY" TargetMode="External"/><Relationship Id="rId829" Type="http://schemas.openxmlformats.org/officeDocument/2006/relationships/hyperlink" Target="https://sealeddeck.tech/CvEuy4gQKF" TargetMode="External"/><Relationship Id="rId828" Type="http://schemas.openxmlformats.org/officeDocument/2006/relationships/hyperlink" Target="https://sealeddeck.tech/C3oC4Jprkv" TargetMode="External"/><Relationship Id="rId827" Type="http://schemas.openxmlformats.org/officeDocument/2006/relationships/hyperlink" Target="https://sealeddeck.tech/8tE31Jk5o6" TargetMode="External"/><Relationship Id="rId822" Type="http://schemas.openxmlformats.org/officeDocument/2006/relationships/hyperlink" Target="https://sealeddeck.tech/FozqQ88Es3" TargetMode="External"/><Relationship Id="rId821" Type="http://schemas.openxmlformats.org/officeDocument/2006/relationships/hyperlink" Target="https://sealeddeck.tech/UFHqxZmckM" TargetMode="External"/><Relationship Id="rId820" Type="http://schemas.openxmlformats.org/officeDocument/2006/relationships/hyperlink" Target="https://sealeddeck.tech/5wibR5jnpZ" TargetMode="External"/><Relationship Id="rId826" Type="http://schemas.openxmlformats.org/officeDocument/2006/relationships/hyperlink" Target="https://sealeddeck.tech/XBHNvcmEeX" TargetMode="External"/><Relationship Id="rId825" Type="http://schemas.openxmlformats.org/officeDocument/2006/relationships/hyperlink" Target="https://sealeddeck.tech/EDwtKzNE2B" TargetMode="External"/><Relationship Id="rId824" Type="http://schemas.openxmlformats.org/officeDocument/2006/relationships/hyperlink" Target="https://sealeddeck.tech/Q3gPPNKjEi" TargetMode="External"/><Relationship Id="rId823" Type="http://schemas.openxmlformats.org/officeDocument/2006/relationships/hyperlink" Target="https://sealeddeck.tech/izj8QqrkuM" TargetMode="External"/><Relationship Id="rId1650" Type="http://schemas.openxmlformats.org/officeDocument/2006/relationships/hyperlink" Target="https://sealeddeck.tech/gcRXBbtGV3" TargetMode="External"/><Relationship Id="rId1651" Type="http://schemas.openxmlformats.org/officeDocument/2006/relationships/hyperlink" Target="https://sealeddeck.tech/AdBRSeSyNJ" TargetMode="External"/><Relationship Id="rId1652" Type="http://schemas.openxmlformats.org/officeDocument/2006/relationships/hyperlink" Target="https://sealeddeck.tech/fJXnDVmGkQ" TargetMode="External"/><Relationship Id="rId1642" Type="http://schemas.openxmlformats.org/officeDocument/2006/relationships/hyperlink" Target="https://sealeddeck.tech/A3Y1NLzw7M" TargetMode="External"/><Relationship Id="rId1643" Type="http://schemas.openxmlformats.org/officeDocument/2006/relationships/hyperlink" Target="https://sealeddeck.tech/BaoX46XyR6" TargetMode="External"/><Relationship Id="rId1644" Type="http://schemas.openxmlformats.org/officeDocument/2006/relationships/hyperlink" Target="https://sealeddeck.tech/ePfLaCjUA8" TargetMode="External"/><Relationship Id="rId1645" Type="http://schemas.openxmlformats.org/officeDocument/2006/relationships/hyperlink" Target="https://sealeddeck.tech/BeTPaApgZp" TargetMode="External"/><Relationship Id="rId1646" Type="http://schemas.openxmlformats.org/officeDocument/2006/relationships/hyperlink" Target="https://sealeddeck.tech/etudit7CHP" TargetMode="External"/><Relationship Id="rId1647" Type="http://schemas.openxmlformats.org/officeDocument/2006/relationships/hyperlink" Target="https://sealeddeck.tech/SUQFRTN323" TargetMode="External"/><Relationship Id="rId1648" Type="http://schemas.openxmlformats.org/officeDocument/2006/relationships/hyperlink" Target="https://sealeddeck.tech/bnimdrdKjs" TargetMode="External"/><Relationship Id="rId1649" Type="http://schemas.openxmlformats.org/officeDocument/2006/relationships/hyperlink" Target="https://sealeddeck.tech/PXhQWVeoqs" TargetMode="External"/><Relationship Id="rId819" Type="http://schemas.openxmlformats.org/officeDocument/2006/relationships/hyperlink" Target="https://sealeddeck.tech/tWLFVCWMd3" TargetMode="External"/><Relationship Id="rId818" Type="http://schemas.openxmlformats.org/officeDocument/2006/relationships/hyperlink" Target="https://sealeddeck.tech/Hoe8b9ox1W" TargetMode="External"/><Relationship Id="rId817" Type="http://schemas.openxmlformats.org/officeDocument/2006/relationships/hyperlink" Target="https://sealeddeck.tech/yMkhDzRpYt" TargetMode="External"/><Relationship Id="rId816" Type="http://schemas.openxmlformats.org/officeDocument/2006/relationships/hyperlink" Target="https://sealeddeck.tech/aXKCpV5Ajo" TargetMode="External"/><Relationship Id="rId811" Type="http://schemas.openxmlformats.org/officeDocument/2006/relationships/hyperlink" Target="https://sealeddeck.tech/jf8hvnzU6v" TargetMode="External"/><Relationship Id="rId810" Type="http://schemas.openxmlformats.org/officeDocument/2006/relationships/hyperlink" Target="https://sealeddeck.tech/22caMoF4Fy" TargetMode="External"/><Relationship Id="rId815" Type="http://schemas.openxmlformats.org/officeDocument/2006/relationships/hyperlink" Target="https://sealeddeck.tech/XYKFRUrxay" TargetMode="External"/><Relationship Id="rId814" Type="http://schemas.openxmlformats.org/officeDocument/2006/relationships/hyperlink" Target="https://sealeddeck.tech/M8vRdcQtBH" TargetMode="External"/><Relationship Id="rId813" Type="http://schemas.openxmlformats.org/officeDocument/2006/relationships/hyperlink" Target="https://sealeddeck.tech/LyXord4oce" TargetMode="External"/><Relationship Id="rId812" Type="http://schemas.openxmlformats.org/officeDocument/2006/relationships/hyperlink" Target="https://sealeddeck.tech/2aZNLz7j9X" TargetMode="External"/><Relationship Id="rId1640" Type="http://schemas.openxmlformats.org/officeDocument/2006/relationships/hyperlink" Target="https://sealeddeck.tech/Eq3JTHZS8N" TargetMode="External"/><Relationship Id="rId1641" Type="http://schemas.openxmlformats.org/officeDocument/2006/relationships/hyperlink" Target="https://sealeddeck.tech/Fhr52KedKf" TargetMode="External"/><Relationship Id="rId1675" Type="http://schemas.openxmlformats.org/officeDocument/2006/relationships/hyperlink" Target="https://sealeddeck.tech/tJDNfNz1XH" TargetMode="External"/><Relationship Id="rId1676" Type="http://schemas.openxmlformats.org/officeDocument/2006/relationships/hyperlink" Target="https://sealeddeck.tech/QcWhyDEAos" TargetMode="External"/><Relationship Id="rId1677" Type="http://schemas.openxmlformats.org/officeDocument/2006/relationships/hyperlink" Target="https://sealeddeck.tech/88CDaqNYgQ" TargetMode="External"/><Relationship Id="rId1678" Type="http://schemas.openxmlformats.org/officeDocument/2006/relationships/hyperlink" Target="https://sealeddeck.tech/cSUqgF95EW" TargetMode="External"/><Relationship Id="rId1679" Type="http://schemas.openxmlformats.org/officeDocument/2006/relationships/hyperlink" Target="https://sealeddeck.tech/TdPGnTYCGU" TargetMode="External"/><Relationship Id="rId849" Type="http://schemas.openxmlformats.org/officeDocument/2006/relationships/hyperlink" Target="https://sealeddeck.tech/qsoUAEvapa" TargetMode="External"/><Relationship Id="rId844" Type="http://schemas.openxmlformats.org/officeDocument/2006/relationships/hyperlink" Target="https://sealeddeck.tech/1UcYD8rnX6" TargetMode="External"/><Relationship Id="rId843" Type="http://schemas.openxmlformats.org/officeDocument/2006/relationships/hyperlink" Target="https://sealeddeck.tech/QN4KMsbJfh" TargetMode="External"/><Relationship Id="rId842" Type="http://schemas.openxmlformats.org/officeDocument/2006/relationships/hyperlink" Target="https://sealeddeck.tech/GMuqjwZ4fY" TargetMode="External"/><Relationship Id="rId841" Type="http://schemas.openxmlformats.org/officeDocument/2006/relationships/hyperlink" Target="https://sealeddeck.tech/ydzaWxzMpd" TargetMode="External"/><Relationship Id="rId848" Type="http://schemas.openxmlformats.org/officeDocument/2006/relationships/hyperlink" Target="https://sealeddeck.tech/FAG4tTB1st" TargetMode="External"/><Relationship Id="rId847" Type="http://schemas.openxmlformats.org/officeDocument/2006/relationships/hyperlink" Target="https://sealeddeck.tech/7nxmWu4MgU" TargetMode="External"/><Relationship Id="rId846" Type="http://schemas.openxmlformats.org/officeDocument/2006/relationships/hyperlink" Target="https://sealeddeck.tech/osNVjEfzsf" TargetMode="External"/><Relationship Id="rId845" Type="http://schemas.openxmlformats.org/officeDocument/2006/relationships/hyperlink" Target="https://sealeddeck.tech/QedGNP7sT8" TargetMode="External"/><Relationship Id="rId1670" Type="http://schemas.openxmlformats.org/officeDocument/2006/relationships/hyperlink" Target="https://sealeddeck.tech/UU1kuVpGVB" TargetMode="External"/><Relationship Id="rId840" Type="http://schemas.openxmlformats.org/officeDocument/2006/relationships/hyperlink" Target="https://sealeddeck.tech/8QyimZLfQ8" TargetMode="External"/><Relationship Id="rId1671" Type="http://schemas.openxmlformats.org/officeDocument/2006/relationships/hyperlink" Target="https://sealeddeck.tech/2g564PjPES" TargetMode="External"/><Relationship Id="rId1672" Type="http://schemas.openxmlformats.org/officeDocument/2006/relationships/hyperlink" Target="https://sealeddeck.tech/v2JbffhVd3" TargetMode="External"/><Relationship Id="rId1673" Type="http://schemas.openxmlformats.org/officeDocument/2006/relationships/hyperlink" Target="https://sealeddeck.tech/1gURnZzxwH" TargetMode="External"/><Relationship Id="rId1674" Type="http://schemas.openxmlformats.org/officeDocument/2006/relationships/hyperlink" Target="https://sealeddeck.tech/cSjAhczj5Y" TargetMode="External"/><Relationship Id="rId1664" Type="http://schemas.openxmlformats.org/officeDocument/2006/relationships/hyperlink" Target="https://sealeddeck.tech/nnxYfygyxp" TargetMode="External"/><Relationship Id="rId1665" Type="http://schemas.openxmlformats.org/officeDocument/2006/relationships/hyperlink" Target="https://sealeddeck.tech/TQCSxBdAWD" TargetMode="External"/><Relationship Id="rId1666" Type="http://schemas.openxmlformats.org/officeDocument/2006/relationships/hyperlink" Target="https://sealeddeck.tech/bHrMHsrXFh" TargetMode="External"/><Relationship Id="rId1667" Type="http://schemas.openxmlformats.org/officeDocument/2006/relationships/hyperlink" Target="https://sealeddeck.tech/kdTm6Rq22t" TargetMode="External"/><Relationship Id="rId1668" Type="http://schemas.openxmlformats.org/officeDocument/2006/relationships/hyperlink" Target="https://sealeddeck.tech/UteiVR6WLX" TargetMode="External"/><Relationship Id="rId1669" Type="http://schemas.openxmlformats.org/officeDocument/2006/relationships/hyperlink" Target="https://sealeddeck.tech/H963LgfkDf" TargetMode="External"/><Relationship Id="rId839" Type="http://schemas.openxmlformats.org/officeDocument/2006/relationships/hyperlink" Target="https://sealeddeck.tech/4ULYx9tGvm" TargetMode="External"/><Relationship Id="rId838" Type="http://schemas.openxmlformats.org/officeDocument/2006/relationships/hyperlink" Target="https://sealeddeck.tech/qAK7iico9n" TargetMode="External"/><Relationship Id="rId833" Type="http://schemas.openxmlformats.org/officeDocument/2006/relationships/hyperlink" Target="https://sealeddeck.tech/3oB7rcPPNP" TargetMode="External"/><Relationship Id="rId832" Type="http://schemas.openxmlformats.org/officeDocument/2006/relationships/hyperlink" Target="https://sealeddeck.tech/HpVSkN7RTm" TargetMode="External"/><Relationship Id="rId831" Type="http://schemas.openxmlformats.org/officeDocument/2006/relationships/hyperlink" Target="https://sealeddeck.tech/zqPtX7Da3d" TargetMode="External"/><Relationship Id="rId830" Type="http://schemas.openxmlformats.org/officeDocument/2006/relationships/hyperlink" Target="https://sealeddeck.tech/1AkxeGD7Ng" TargetMode="External"/><Relationship Id="rId837" Type="http://schemas.openxmlformats.org/officeDocument/2006/relationships/hyperlink" Target="https://sealeddeck.tech/Sdhg3b1Yd1" TargetMode="External"/><Relationship Id="rId836" Type="http://schemas.openxmlformats.org/officeDocument/2006/relationships/hyperlink" Target="https://sealeddeck.tech/3N7C8SHba6" TargetMode="External"/><Relationship Id="rId835" Type="http://schemas.openxmlformats.org/officeDocument/2006/relationships/hyperlink" Target="https://sealeddeck.tech/Y54hhMP2qs" TargetMode="External"/><Relationship Id="rId834" Type="http://schemas.openxmlformats.org/officeDocument/2006/relationships/hyperlink" Target="https://sealeddeck.tech/dAyueLmUoK" TargetMode="External"/><Relationship Id="rId1660" Type="http://schemas.openxmlformats.org/officeDocument/2006/relationships/hyperlink" Target="https://sealeddeck.tech/8jY9xCFv7G" TargetMode="External"/><Relationship Id="rId1661" Type="http://schemas.openxmlformats.org/officeDocument/2006/relationships/hyperlink" Target="https://sealeddeck.tech/mku5NR4s6M" TargetMode="External"/><Relationship Id="rId1662" Type="http://schemas.openxmlformats.org/officeDocument/2006/relationships/hyperlink" Target="https://sealeddeck.tech/JgiYQRBLtk" TargetMode="External"/><Relationship Id="rId1663" Type="http://schemas.openxmlformats.org/officeDocument/2006/relationships/hyperlink" Target="https://sealeddeck.tech/NTXD2ktWtz" TargetMode="External"/><Relationship Id="rId469" Type="http://schemas.openxmlformats.org/officeDocument/2006/relationships/hyperlink" Target="https://sealeddeck.tech/puKdaEyybF" TargetMode="External"/><Relationship Id="rId468" Type="http://schemas.openxmlformats.org/officeDocument/2006/relationships/hyperlink" Target="https://sealeddeck.tech/GEviMfxv1x" TargetMode="External"/><Relationship Id="rId467" Type="http://schemas.openxmlformats.org/officeDocument/2006/relationships/hyperlink" Target="https://sealeddeck.tech/mjcYjueeVE" TargetMode="External"/><Relationship Id="rId1290" Type="http://schemas.openxmlformats.org/officeDocument/2006/relationships/hyperlink" Target="https://sealeddeck.tech/6fy9o39Y71" TargetMode="External"/><Relationship Id="rId1291" Type="http://schemas.openxmlformats.org/officeDocument/2006/relationships/hyperlink" Target="https://sealeddeck.tech/ZBUUXRRuUw" TargetMode="External"/><Relationship Id="rId1292" Type="http://schemas.openxmlformats.org/officeDocument/2006/relationships/hyperlink" Target="https://sealeddeck.tech/y4GJkPpdFx" TargetMode="External"/><Relationship Id="rId462" Type="http://schemas.openxmlformats.org/officeDocument/2006/relationships/hyperlink" Target="https://sealeddeck.tech/AQRnKNF9Ym" TargetMode="External"/><Relationship Id="rId1293" Type="http://schemas.openxmlformats.org/officeDocument/2006/relationships/hyperlink" Target="https://sealeddeck.tech/HoFomtrt4c" TargetMode="External"/><Relationship Id="rId461" Type="http://schemas.openxmlformats.org/officeDocument/2006/relationships/hyperlink" Target="https://sealeddeck.tech/Kbwbxb1hVc" TargetMode="External"/><Relationship Id="rId1294" Type="http://schemas.openxmlformats.org/officeDocument/2006/relationships/hyperlink" Target="https://sealeddeck.tech/BfD1iK1gVM" TargetMode="External"/><Relationship Id="rId460" Type="http://schemas.openxmlformats.org/officeDocument/2006/relationships/hyperlink" Target="https://sealeddeck.tech/FxENawWFpu" TargetMode="External"/><Relationship Id="rId1295" Type="http://schemas.openxmlformats.org/officeDocument/2006/relationships/hyperlink" Target="https://sealeddeck.tech/fZjFaZEwcx" TargetMode="External"/><Relationship Id="rId1296" Type="http://schemas.openxmlformats.org/officeDocument/2006/relationships/hyperlink" Target="https://sealeddeck.tech/uFHMNMYNYw" TargetMode="External"/><Relationship Id="rId466" Type="http://schemas.openxmlformats.org/officeDocument/2006/relationships/hyperlink" Target="https://sealeddeck.tech/3QztNTV8PL" TargetMode="External"/><Relationship Id="rId1297" Type="http://schemas.openxmlformats.org/officeDocument/2006/relationships/hyperlink" Target="https://sealeddeck.tech/hnwQzxu1h9" TargetMode="External"/><Relationship Id="rId465" Type="http://schemas.openxmlformats.org/officeDocument/2006/relationships/hyperlink" Target="https://sealeddeck.tech/rFuUw7Rq6d" TargetMode="External"/><Relationship Id="rId1298" Type="http://schemas.openxmlformats.org/officeDocument/2006/relationships/hyperlink" Target="https://sealeddeck.tech/RVRGtFAh5m" TargetMode="External"/><Relationship Id="rId464" Type="http://schemas.openxmlformats.org/officeDocument/2006/relationships/hyperlink" Target="https://sealeddeck.tech/1ctsBUsvLm" TargetMode="External"/><Relationship Id="rId1299" Type="http://schemas.openxmlformats.org/officeDocument/2006/relationships/hyperlink" Target="https://sealeddeck.tech/VNRuQMCaHn" TargetMode="External"/><Relationship Id="rId463" Type="http://schemas.openxmlformats.org/officeDocument/2006/relationships/hyperlink" Target="https://sealeddeck.tech/H2fKVWqAfR" TargetMode="External"/><Relationship Id="rId459" Type="http://schemas.openxmlformats.org/officeDocument/2006/relationships/hyperlink" Target="https://sealeddeck.tech/tje8jfTGFR" TargetMode="External"/><Relationship Id="rId458" Type="http://schemas.openxmlformats.org/officeDocument/2006/relationships/hyperlink" Target="https://sealeddeck.tech/r8g6ZfsJ6W" TargetMode="External"/><Relationship Id="rId457" Type="http://schemas.openxmlformats.org/officeDocument/2006/relationships/hyperlink" Target="https://sealeddeck.tech/EvtUmrVHbd" TargetMode="External"/><Relationship Id="rId456" Type="http://schemas.openxmlformats.org/officeDocument/2006/relationships/hyperlink" Target="https://sealeddeck.tech/9hN8G6J47u" TargetMode="External"/><Relationship Id="rId1280" Type="http://schemas.openxmlformats.org/officeDocument/2006/relationships/hyperlink" Target="https://sealeddeck.tech/QkQPrqXDuF" TargetMode="External"/><Relationship Id="rId1281" Type="http://schemas.openxmlformats.org/officeDocument/2006/relationships/hyperlink" Target="https://sealeddeck.tech/nyj4w8qtBH" TargetMode="External"/><Relationship Id="rId451" Type="http://schemas.openxmlformats.org/officeDocument/2006/relationships/hyperlink" Target="https://sealeddeck.tech/DX1fYeY5Te" TargetMode="External"/><Relationship Id="rId1282" Type="http://schemas.openxmlformats.org/officeDocument/2006/relationships/hyperlink" Target="https://sealeddeck.tech/8y5uQ5cS8n" TargetMode="External"/><Relationship Id="rId450" Type="http://schemas.openxmlformats.org/officeDocument/2006/relationships/hyperlink" Target="https://sealeddeck.tech/6M9K4FzRg7" TargetMode="External"/><Relationship Id="rId1283" Type="http://schemas.openxmlformats.org/officeDocument/2006/relationships/hyperlink" Target="https://sealeddeck.tech/5TZ7gWAt46" TargetMode="External"/><Relationship Id="rId1284" Type="http://schemas.openxmlformats.org/officeDocument/2006/relationships/hyperlink" Target="https://sealeddeck.tech/CaxYmeEBUM" TargetMode="External"/><Relationship Id="rId1285" Type="http://schemas.openxmlformats.org/officeDocument/2006/relationships/hyperlink" Target="https://sealeddeck.tech/TRCdVCyX1Z" TargetMode="External"/><Relationship Id="rId455" Type="http://schemas.openxmlformats.org/officeDocument/2006/relationships/hyperlink" Target="https://sealeddeck.tech/CmjpVNfa1c" TargetMode="External"/><Relationship Id="rId1286" Type="http://schemas.openxmlformats.org/officeDocument/2006/relationships/hyperlink" Target="https://sealeddeck.tech/nWU7c9i15T" TargetMode="External"/><Relationship Id="rId454" Type="http://schemas.openxmlformats.org/officeDocument/2006/relationships/hyperlink" Target="https://sealeddeck.tech/BjqWaxHELX" TargetMode="External"/><Relationship Id="rId1287" Type="http://schemas.openxmlformats.org/officeDocument/2006/relationships/hyperlink" Target="https://sealeddeck.tech/hwNHcT4P28" TargetMode="External"/><Relationship Id="rId453" Type="http://schemas.openxmlformats.org/officeDocument/2006/relationships/hyperlink" Target="https://sealeddeck.tech/yCJsr5NxDu" TargetMode="External"/><Relationship Id="rId1288" Type="http://schemas.openxmlformats.org/officeDocument/2006/relationships/hyperlink" Target="https://sealeddeck.tech/YXqKa2agJx" TargetMode="External"/><Relationship Id="rId452" Type="http://schemas.openxmlformats.org/officeDocument/2006/relationships/hyperlink" Target="https://sealeddeck.tech/4NbbW4Jwvr" TargetMode="External"/><Relationship Id="rId1289" Type="http://schemas.openxmlformats.org/officeDocument/2006/relationships/hyperlink" Target="https://sealeddeck.tech/1zujwkTyTP" TargetMode="External"/><Relationship Id="rId491" Type="http://schemas.openxmlformats.org/officeDocument/2006/relationships/hyperlink" Target="https://sealeddeck.tech/WBGWZ3SEuu" TargetMode="External"/><Relationship Id="rId490" Type="http://schemas.openxmlformats.org/officeDocument/2006/relationships/hyperlink" Target="https://sealeddeck.tech/mEuMFad2ne" TargetMode="External"/><Relationship Id="rId489" Type="http://schemas.openxmlformats.org/officeDocument/2006/relationships/hyperlink" Target="https://sealeddeck.tech/NMDA2X94iE" TargetMode="External"/><Relationship Id="rId484" Type="http://schemas.openxmlformats.org/officeDocument/2006/relationships/hyperlink" Target="https://sealeddeck.tech/VWsk6sWbda" TargetMode="External"/><Relationship Id="rId483" Type="http://schemas.openxmlformats.org/officeDocument/2006/relationships/hyperlink" Target="https://sealeddeck.tech/3RzEjx8Lew" TargetMode="External"/><Relationship Id="rId482" Type="http://schemas.openxmlformats.org/officeDocument/2006/relationships/hyperlink" Target="https://sealeddeck.tech/yBwoWjcKfe" TargetMode="External"/><Relationship Id="rId481" Type="http://schemas.openxmlformats.org/officeDocument/2006/relationships/hyperlink" Target="https://sealeddeck.tech/NHcm3x3VL7" TargetMode="External"/><Relationship Id="rId488" Type="http://schemas.openxmlformats.org/officeDocument/2006/relationships/hyperlink" Target="https://sealeddeck.tech/zPyf6GiCqT" TargetMode="External"/><Relationship Id="rId487" Type="http://schemas.openxmlformats.org/officeDocument/2006/relationships/hyperlink" Target="https://sealeddeck.tech/YaaZhwUyqC" TargetMode="External"/><Relationship Id="rId486" Type="http://schemas.openxmlformats.org/officeDocument/2006/relationships/hyperlink" Target="https://sealeddeck.tech/cWCvb7hxYC" TargetMode="External"/><Relationship Id="rId485" Type="http://schemas.openxmlformats.org/officeDocument/2006/relationships/hyperlink" Target="https://sealeddeck.tech/iPNh9dwgLT" TargetMode="External"/><Relationship Id="rId480" Type="http://schemas.openxmlformats.org/officeDocument/2006/relationships/hyperlink" Target="https://sealeddeck.tech/ZMdrcN2787" TargetMode="External"/><Relationship Id="rId479" Type="http://schemas.openxmlformats.org/officeDocument/2006/relationships/hyperlink" Target="https://sealeddeck.tech/ejEptLgcrr" TargetMode="External"/><Relationship Id="rId478" Type="http://schemas.openxmlformats.org/officeDocument/2006/relationships/hyperlink" Target="https://sealeddeck.tech/TcHHhRjL3M" TargetMode="External"/><Relationship Id="rId473" Type="http://schemas.openxmlformats.org/officeDocument/2006/relationships/hyperlink" Target="https://sealeddeck.tech/kUfkejoKRX" TargetMode="External"/><Relationship Id="rId472" Type="http://schemas.openxmlformats.org/officeDocument/2006/relationships/hyperlink" Target="https://sealeddeck.tech/1mKKysJkAe" TargetMode="External"/><Relationship Id="rId471" Type="http://schemas.openxmlformats.org/officeDocument/2006/relationships/hyperlink" Target="https://sealeddeck.tech/UTxksowgSp" TargetMode="External"/><Relationship Id="rId470" Type="http://schemas.openxmlformats.org/officeDocument/2006/relationships/hyperlink" Target="https://sealeddeck.tech/SctNP1p3Yb" TargetMode="External"/><Relationship Id="rId477" Type="http://schemas.openxmlformats.org/officeDocument/2006/relationships/hyperlink" Target="https://sealeddeck.tech/TccV2m8VgZ" TargetMode="External"/><Relationship Id="rId476" Type="http://schemas.openxmlformats.org/officeDocument/2006/relationships/hyperlink" Target="https://sealeddeck.tech/QGNiMeJPbZ" TargetMode="External"/><Relationship Id="rId475" Type="http://schemas.openxmlformats.org/officeDocument/2006/relationships/hyperlink" Target="https://sealeddeck.tech/UufnZTDgMq" TargetMode="External"/><Relationship Id="rId474" Type="http://schemas.openxmlformats.org/officeDocument/2006/relationships/hyperlink" Target="https://sealeddeck.tech/k6bp73YVsr" TargetMode="External"/><Relationship Id="rId1257" Type="http://schemas.openxmlformats.org/officeDocument/2006/relationships/hyperlink" Target="https://sealeddeck.tech/ZAgGKee75f" TargetMode="External"/><Relationship Id="rId1258" Type="http://schemas.openxmlformats.org/officeDocument/2006/relationships/hyperlink" Target="https://sealeddeck.tech/ELVTh2ZPrq" TargetMode="External"/><Relationship Id="rId1259" Type="http://schemas.openxmlformats.org/officeDocument/2006/relationships/hyperlink" Target="https://sealeddeck.tech/n4c8M8Zief" TargetMode="External"/><Relationship Id="rId426" Type="http://schemas.openxmlformats.org/officeDocument/2006/relationships/hyperlink" Target="https://sealeddeck.tech/wLZXhXuosq" TargetMode="External"/><Relationship Id="rId425" Type="http://schemas.openxmlformats.org/officeDocument/2006/relationships/hyperlink" Target="https://sealeddeck.tech/mFmBnZeHwC" TargetMode="External"/><Relationship Id="rId424" Type="http://schemas.openxmlformats.org/officeDocument/2006/relationships/hyperlink" Target="https://sealeddeck.tech/7obZ2m6H79" TargetMode="External"/><Relationship Id="rId423" Type="http://schemas.openxmlformats.org/officeDocument/2006/relationships/hyperlink" Target="https://sealeddeck.tech/vCyHnsvMcd" TargetMode="External"/><Relationship Id="rId429" Type="http://schemas.openxmlformats.org/officeDocument/2006/relationships/hyperlink" Target="https://sealeddeck.tech/QeMZVxSebX" TargetMode="External"/><Relationship Id="rId428" Type="http://schemas.openxmlformats.org/officeDocument/2006/relationships/hyperlink" Target="https://sealeddeck.tech/DGgmjhWDW2" TargetMode="External"/><Relationship Id="rId427" Type="http://schemas.openxmlformats.org/officeDocument/2006/relationships/hyperlink" Target="https://sealeddeck.tech/HeAe7bfDuT" TargetMode="External"/><Relationship Id="rId1250" Type="http://schemas.openxmlformats.org/officeDocument/2006/relationships/hyperlink" Target="https://sealeddeck.tech/uXhJpWZrpn" TargetMode="External"/><Relationship Id="rId1251" Type="http://schemas.openxmlformats.org/officeDocument/2006/relationships/hyperlink" Target="https://sealeddeck.tech/ZPzizsk3vX" TargetMode="External"/><Relationship Id="rId1252" Type="http://schemas.openxmlformats.org/officeDocument/2006/relationships/hyperlink" Target="https://sealeddeck.tech/uphbzhUDCH" TargetMode="External"/><Relationship Id="rId422" Type="http://schemas.openxmlformats.org/officeDocument/2006/relationships/hyperlink" Target="https://sealeddeck.tech/P9Ky7TaPaV" TargetMode="External"/><Relationship Id="rId1253" Type="http://schemas.openxmlformats.org/officeDocument/2006/relationships/hyperlink" Target="https://sealeddeck.tech/cHymv5Pc9Z" TargetMode="External"/><Relationship Id="rId421" Type="http://schemas.openxmlformats.org/officeDocument/2006/relationships/hyperlink" Target="https://sealeddeck.tech/M9Hn5Gv7z9" TargetMode="External"/><Relationship Id="rId1254" Type="http://schemas.openxmlformats.org/officeDocument/2006/relationships/hyperlink" Target="https://sealeddeck.tech/DubEHyFVSM" TargetMode="External"/><Relationship Id="rId420" Type="http://schemas.openxmlformats.org/officeDocument/2006/relationships/hyperlink" Target="https://sealeddeck.tech/9KmzVo2zaM" TargetMode="External"/><Relationship Id="rId1255" Type="http://schemas.openxmlformats.org/officeDocument/2006/relationships/hyperlink" Target="https://sealeddeck.tech/FXLdhNRoQU" TargetMode="External"/><Relationship Id="rId1256" Type="http://schemas.openxmlformats.org/officeDocument/2006/relationships/hyperlink" Target="https://sealeddeck.tech/gSWkC1EzA9" TargetMode="External"/><Relationship Id="rId1246" Type="http://schemas.openxmlformats.org/officeDocument/2006/relationships/hyperlink" Target="https://sealeddeck.tech/anc4wt7mCV" TargetMode="External"/><Relationship Id="rId1247" Type="http://schemas.openxmlformats.org/officeDocument/2006/relationships/hyperlink" Target="https://sealeddeck.tech/rFqtxbK3NX" TargetMode="External"/><Relationship Id="rId1248" Type="http://schemas.openxmlformats.org/officeDocument/2006/relationships/hyperlink" Target="https://sealeddeck.tech/n5gd4oujN2" TargetMode="External"/><Relationship Id="rId1249" Type="http://schemas.openxmlformats.org/officeDocument/2006/relationships/hyperlink" Target="https://sealeddeck.tech/QZ81VLSkrv" TargetMode="External"/><Relationship Id="rId415" Type="http://schemas.openxmlformats.org/officeDocument/2006/relationships/hyperlink" Target="https://sealeddeck.tech/QuvLhhQqwe" TargetMode="External"/><Relationship Id="rId899" Type="http://schemas.openxmlformats.org/officeDocument/2006/relationships/hyperlink" Target="https://sealeddeck.tech/mB7gTo7p6q" TargetMode="External"/><Relationship Id="rId414" Type="http://schemas.openxmlformats.org/officeDocument/2006/relationships/hyperlink" Target="https://sealeddeck.tech/SFf3wqnkgT" TargetMode="External"/><Relationship Id="rId898" Type="http://schemas.openxmlformats.org/officeDocument/2006/relationships/hyperlink" Target="https://sealeddeck.tech/wgPZvFsJ4o" TargetMode="External"/><Relationship Id="rId413" Type="http://schemas.openxmlformats.org/officeDocument/2006/relationships/hyperlink" Target="https://sealeddeck.tech/LwEGZT3ENF" TargetMode="External"/><Relationship Id="rId897" Type="http://schemas.openxmlformats.org/officeDocument/2006/relationships/hyperlink" Target="https://sealeddeck.tech/pkLvs7TULn" TargetMode="External"/><Relationship Id="rId412" Type="http://schemas.openxmlformats.org/officeDocument/2006/relationships/hyperlink" Target="https://sealeddeck.tech/f17y2FvB2P" TargetMode="External"/><Relationship Id="rId896" Type="http://schemas.openxmlformats.org/officeDocument/2006/relationships/hyperlink" Target="https://sealeddeck.tech/tKnp2jZR2s" TargetMode="External"/><Relationship Id="rId419" Type="http://schemas.openxmlformats.org/officeDocument/2006/relationships/hyperlink" Target="https://sealeddeck.tech/tGcdgrbehX" TargetMode="External"/><Relationship Id="rId418" Type="http://schemas.openxmlformats.org/officeDocument/2006/relationships/hyperlink" Target="https://sealeddeck.tech/uhnJsCVGvz" TargetMode="External"/><Relationship Id="rId417" Type="http://schemas.openxmlformats.org/officeDocument/2006/relationships/hyperlink" Target="https://sealeddeck.tech/42uDtSopme" TargetMode="External"/><Relationship Id="rId416" Type="http://schemas.openxmlformats.org/officeDocument/2006/relationships/hyperlink" Target="https://sealeddeck.tech/iSz6zezfHC" TargetMode="External"/><Relationship Id="rId891" Type="http://schemas.openxmlformats.org/officeDocument/2006/relationships/hyperlink" Target="https://sealeddeck.tech/4H1Sncqwxs" TargetMode="External"/><Relationship Id="rId890" Type="http://schemas.openxmlformats.org/officeDocument/2006/relationships/hyperlink" Target="https://sealeddeck.tech/BV4VETnJbg" TargetMode="External"/><Relationship Id="rId1240" Type="http://schemas.openxmlformats.org/officeDocument/2006/relationships/hyperlink" Target="https://sealeddeck.tech/w1rPUNUHfg" TargetMode="External"/><Relationship Id="rId1241" Type="http://schemas.openxmlformats.org/officeDocument/2006/relationships/hyperlink" Target="https://sealeddeck.tech/LoEX2F518f" TargetMode="External"/><Relationship Id="rId411" Type="http://schemas.openxmlformats.org/officeDocument/2006/relationships/hyperlink" Target="https://sealeddeck.tech/rJ65aZ437Y" TargetMode="External"/><Relationship Id="rId895" Type="http://schemas.openxmlformats.org/officeDocument/2006/relationships/hyperlink" Target="https://sealeddeck.tech/7hAEVpjL2t" TargetMode="External"/><Relationship Id="rId1242" Type="http://schemas.openxmlformats.org/officeDocument/2006/relationships/hyperlink" Target="https://sealeddeck.tech/SZnqcczCxm" TargetMode="External"/><Relationship Id="rId410" Type="http://schemas.openxmlformats.org/officeDocument/2006/relationships/hyperlink" Target="https://sealeddeck.tech/LVpwRTg5nv" TargetMode="External"/><Relationship Id="rId894" Type="http://schemas.openxmlformats.org/officeDocument/2006/relationships/hyperlink" Target="https://sealeddeck.tech/Qmf92kJ4Dx" TargetMode="External"/><Relationship Id="rId1243" Type="http://schemas.openxmlformats.org/officeDocument/2006/relationships/hyperlink" Target="https://sealeddeck.tech/XQe9uzz3QS" TargetMode="External"/><Relationship Id="rId893" Type="http://schemas.openxmlformats.org/officeDocument/2006/relationships/hyperlink" Target="https://sealeddeck.tech/zkakpi3bfZ" TargetMode="External"/><Relationship Id="rId1244" Type="http://schemas.openxmlformats.org/officeDocument/2006/relationships/hyperlink" Target="https://sealeddeck.tech/y3VbH6PvSS" TargetMode="External"/><Relationship Id="rId892" Type="http://schemas.openxmlformats.org/officeDocument/2006/relationships/hyperlink" Target="https://sealeddeck.tech/zHwQywzkNs" TargetMode="External"/><Relationship Id="rId1245" Type="http://schemas.openxmlformats.org/officeDocument/2006/relationships/hyperlink" Target="https://sealeddeck.tech/yJY7AJcGEf" TargetMode="External"/><Relationship Id="rId1279" Type="http://schemas.openxmlformats.org/officeDocument/2006/relationships/hyperlink" Target="https://sealeddeck.tech/FV7yvJu698" TargetMode="External"/><Relationship Id="rId448" Type="http://schemas.openxmlformats.org/officeDocument/2006/relationships/hyperlink" Target="https://sealeddeck.tech/U8EY4mXiKN" TargetMode="External"/><Relationship Id="rId447" Type="http://schemas.openxmlformats.org/officeDocument/2006/relationships/hyperlink" Target="https://sealeddeck.tech/ukf4EvqAak" TargetMode="External"/><Relationship Id="rId446" Type="http://schemas.openxmlformats.org/officeDocument/2006/relationships/hyperlink" Target="https://sealeddeck.tech/1FQtZE9sgP" TargetMode="External"/><Relationship Id="rId445" Type="http://schemas.openxmlformats.org/officeDocument/2006/relationships/hyperlink" Target="https://sealeddeck.tech/VeY9r8tLd4" TargetMode="External"/><Relationship Id="rId449" Type="http://schemas.openxmlformats.org/officeDocument/2006/relationships/hyperlink" Target="https://sealeddeck.tech/q5WXdyUVmq" TargetMode="External"/><Relationship Id="rId1270" Type="http://schemas.openxmlformats.org/officeDocument/2006/relationships/hyperlink" Target="https://sealeddeck.tech/YovAbbJGce" TargetMode="External"/><Relationship Id="rId440" Type="http://schemas.openxmlformats.org/officeDocument/2006/relationships/hyperlink" Target="https://sealeddeck.tech/FYSNcHPw7K" TargetMode="External"/><Relationship Id="rId1271" Type="http://schemas.openxmlformats.org/officeDocument/2006/relationships/hyperlink" Target="https://sealeddeck.tech/oVomotWrxx" TargetMode="External"/><Relationship Id="rId1272" Type="http://schemas.openxmlformats.org/officeDocument/2006/relationships/hyperlink" Target="https://sealeddeck.tech/a7R1J9vRC8" TargetMode="External"/><Relationship Id="rId1273" Type="http://schemas.openxmlformats.org/officeDocument/2006/relationships/hyperlink" Target="https://sealeddeck.tech/YgmMRBCkug" TargetMode="External"/><Relationship Id="rId1274" Type="http://schemas.openxmlformats.org/officeDocument/2006/relationships/hyperlink" Target="https://sealeddeck.tech/Z1xwfNjsbc" TargetMode="External"/><Relationship Id="rId444" Type="http://schemas.openxmlformats.org/officeDocument/2006/relationships/hyperlink" Target="https://sealeddeck.tech/gggmHVwFVa" TargetMode="External"/><Relationship Id="rId1275" Type="http://schemas.openxmlformats.org/officeDocument/2006/relationships/hyperlink" Target="https://sealeddeck.tech/oweY1WdRmh" TargetMode="External"/><Relationship Id="rId443" Type="http://schemas.openxmlformats.org/officeDocument/2006/relationships/hyperlink" Target="https://sealeddeck.tech/HS53anv1ei" TargetMode="External"/><Relationship Id="rId1276" Type="http://schemas.openxmlformats.org/officeDocument/2006/relationships/hyperlink" Target="https://sealeddeck.tech/63AXSEHFFE" TargetMode="External"/><Relationship Id="rId442" Type="http://schemas.openxmlformats.org/officeDocument/2006/relationships/hyperlink" Target="https://sealeddeck.tech/oD1jga7ZJU" TargetMode="External"/><Relationship Id="rId1277" Type="http://schemas.openxmlformats.org/officeDocument/2006/relationships/hyperlink" Target="https://sealeddeck.tech/z5RKscMCZf" TargetMode="External"/><Relationship Id="rId441" Type="http://schemas.openxmlformats.org/officeDocument/2006/relationships/hyperlink" Target="https://sealeddeck.tech/vyMHeD9fkh" TargetMode="External"/><Relationship Id="rId1278" Type="http://schemas.openxmlformats.org/officeDocument/2006/relationships/hyperlink" Target="https://sealeddeck.tech/LNZiCU83e3" TargetMode="External"/><Relationship Id="rId1268" Type="http://schemas.openxmlformats.org/officeDocument/2006/relationships/hyperlink" Target="https://sealeddeck.tech/n1STZX6QY7" TargetMode="External"/><Relationship Id="rId1269" Type="http://schemas.openxmlformats.org/officeDocument/2006/relationships/hyperlink" Target="https://sealeddeck.tech/FAEkBMTWn9" TargetMode="External"/><Relationship Id="rId437" Type="http://schemas.openxmlformats.org/officeDocument/2006/relationships/hyperlink" Target="https://sealeddeck.tech/pUJCLTF6MD" TargetMode="External"/><Relationship Id="rId436" Type="http://schemas.openxmlformats.org/officeDocument/2006/relationships/hyperlink" Target="https://sealeddeck.tech/aMq7dq4tZV" TargetMode="External"/><Relationship Id="rId435" Type="http://schemas.openxmlformats.org/officeDocument/2006/relationships/hyperlink" Target="https://sealeddeck.tech/KYx8P1TQ3C" TargetMode="External"/><Relationship Id="rId434" Type="http://schemas.openxmlformats.org/officeDocument/2006/relationships/hyperlink" Target="https://sealeddeck.tech/XJinvru4ks" TargetMode="External"/><Relationship Id="rId439" Type="http://schemas.openxmlformats.org/officeDocument/2006/relationships/hyperlink" Target="https://sealeddeck.tech/zJLmiUdvms" TargetMode="External"/><Relationship Id="rId438" Type="http://schemas.openxmlformats.org/officeDocument/2006/relationships/hyperlink" Target="https://sealeddeck.tech/56RmMMEeBp" TargetMode="External"/><Relationship Id="rId1260" Type="http://schemas.openxmlformats.org/officeDocument/2006/relationships/hyperlink" Target="https://sealeddeck.tech/Vi5pv2ae7k" TargetMode="External"/><Relationship Id="rId1261" Type="http://schemas.openxmlformats.org/officeDocument/2006/relationships/hyperlink" Target="https://sealeddeck.tech/AGUvYZeu2j" TargetMode="External"/><Relationship Id="rId1262" Type="http://schemas.openxmlformats.org/officeDocument/2006/relationships/hyperlink" Target="https://sealeddeck.tech/SmgDN6HDPB" TargetMode="External"/><Relationship Id="rId1263" Type="http://schemas.openxmlformats.org/officeDocument/2006/relationships/hyperlink" Target="https://sealeddeck.tech/rQq2c82mzw" TargetMode="External"/><Relationship Id="rId433" Type="http://schemas.openxmlformats.org/officeDocument/2006/relationships/hyperlink" Target="https://sealeddeck.tech/qzv31Q7YfR" TargetMode="External"/><Relationship Id="rId1264" Type="http://schemas.openxmlformats.org/officeDocument/2006/relationships/hyperlink" Target="https://sealeddeck.tech/MT3J2hAWmU" TargetMode="External"/><Relationship Id="rId432" Type="http://schemas.openxmlformats.org/officeDocument/2006/relationships/hyperlink" Target="https://sealeddeck.tech/nv5Bsrp2ZB" TargetMode="External"/><Relationship Id="rId1265" Type="http://schemas.openxmlformats.org/officeDocument/2006/relationships/hyperlink" Target="https://sealeddeck.tech/P9tJkrEUMZ" TargetMode="External"/><Relationship Id="rId431" Type="http://schemas.openxmlformats.org/officeDocument/2006/relationships/hyperlink" Target="https://sealeddeck.tech/NogWj32a35" TargetMode="External"/><Relationship Id="rId1266" Type="http://schemas.openxmlformats.org/officeDocument/2006/relationships/hyperlink" Target="https://sealeddeck.tech/ULXFDre3tq" TargetMode="External"/><Relationship Id="rId430" Type="http://schemas.openxmlformats.org/officeDocument/2006/relationships/hyperlink" Target="https://sealeddeck.tech/ZjawDJwqiz" TargetMode="External"/><Relationship Id="rId1267" Type="http://schemas.openxmlformats.org/officeDocument/2006/relationships/hyperlink" Target="https://sealeddeck.tech/EN4BYkLCw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scryfall.com/search?q=id%3Arw+id%3A2+-%28set%3Aj21+AND+cn%3C32%29+%28game%3Aarena+-is%3Aalchemy+-is%3Arebalanced+-t%3Atoken+-set%3Asos+-is%3Auniversesbeyond+-o%3Alearn+r%3Cr%29&amp;unique=cards&amp;as=grid&amp;order=name" TargetMode="External"/><Relationship Id="rId2" Type="http://schemas.openxmlformats.org/officeDocument/2006/relationships/hyperlink" Target="https://scryfall.com/search?q=id%3Arw+id%3A2+%28game%3Aarena+-is%3Aalchemy+-is%3Arebalanced+-t%3Atoken+-set%3Asos+-is%3Auniversesbeyond+-o%3Alearn+r%3Eu%29&amp;unique=cards&amp;as=grid&amp;order=name" TargetMode="External"/><Relationship Id="rId3" Type="http://schemas.openxmlformats.org/officeDocument/2006/relationships/hyperlink" Target="https://scryfall.com/search?q=-%28set%3Aj21+AND+cn%3C32%29+%28game%3Aarena+-is%3Aalchemy+-is%3Arebalanced+-t%3Atoken+-set%3Asos+-is%3Auniversesbeyond+-o%3Alearn+r%3Cr%29+otag%3Arummage+t%3Acreature&amp;unique=cards&amp;as=grid&amp;order=name" TargetMode="External"/><Relationship Id="rId4" Type="http://schemas.openxmlformats.org/officeDocument/2006/relationships/hyperlink" Target="https://scryfall.com/search?q=%28game%3Aarena+-is%3Aalchemy+-is%3Arebalanced+-t%3Atoken+-set%3Asos+-is%3Auniversesbeyond+-o%3Alearn+r%3Eu%29+otag%3Arummage+t%3Acreature&amp;unique=cards&amp;as=grid&amp;order=name" TargetMode="External"/><Relationship Id="rId9" Type="http://schemas.openxmlformats.org/officeDocument/2006/relationships/hyperlink" Target="https://scryfall.com/search?q=id%3Arw+-t%3Abasic+-id%3A0+in%3Aarena+-is%3Adigital+-set%3Asos+-is%3Auniversesbeyond+r%3Cr+set%3Astx+-o%3Alearn+-t%3Alesson&amp;unique=cards&amp;as=grid&amp;order=name" TargetMode="External"/><Relationship Id="rId5" Type="http://schemas.openxmlformats.org/officeDocument/2006/relationships/hyperlink" Target="https://scryfall.com/search?q=-%28set%3Aj21+AND+cn%3C32%29+o%3Asurveil%28game%3Aarena+-is%3Aalchemy+-is%3Arebalanced+-t%3Atoken+-set%3Asos+-is%3Auniversesbeyond+-o%3Alearn+r%3Cr%29&amp;unique=cards&amp;as=grid&amp;order=name" TargetMode="External"/><Relationship Id="rId6" Type="http://schemas.openxmlformats.org/officeDocument/2006/relationships/hyperlink" Target="https://scryfall.com/search?q=-%28set%3Aj21+AND+cn%3C32%29+-set%3AMSH+-set%3AHOB+-set%3AFRA+o%3Asurveil%28game%3Aarena+-is%3Aalchemy+-is%3Arebalanced+-t%3Atoken+-set%3Asos+-is%3Auniversesbeyond+-o%3Alearn+r%3Eu%29&amp;unique=cards&amp;as=grid&amp;order=name" TargetMode="External"/><Relationship Id="rId7" Type="http://schemas.openxmlformats.org/officeDocument/2006/relationships/hyperlink" Target="https://scryfall.com/search?q=otag%3Aself-mill+legal%3Astandard+-o%3Asurveil+%28game%3Aarena+-is%3Aalchemy+-is%3Arebalanced+-t%3Atoken+-set%3Asos+-is%3Auniversesbeyond+-o%3Alearn+r%3Cr%29&amp;unique=cards&amp;as=grid&amp;order=name" TargetMode="External"/><Relationship Id="rId8" Type="http://schemas.openxmlformats.org/officeDocument/2006/relationships/hyperlink" Target="https://scryfall.com/search?q=otag%3Aself-mill+legal%3Astandard+-o%3Asurveil+%28game%3Aarena+-is%3Aalchemy+-is%3Arebalanced+-t%3Atoken+-set%3Asos+-is%3Auniversesbeyond+-o%3Alearn+r%3Eu%29&amp;unique=cards&amp;as=grid&amp;order=name" TargetMode="External"/><Relationship Id="rId40" Type="http://schemas.openxmlformats.org/officeDocument/2006/relationships/hyperlink" Target="https://scryfall.com/search?q=oracletag%3Amana-dork+-%22llanowar+elves%22+%28game%3Aarena+-is%3Aalchemy+-is%3Arebalanced+-t%3Atoken+-set%3Asos+-is%3Auniversesbeyond+-o%3Alearn+r%3Eu%29&amp;unique=cards&amp;as=grid&amp;order=name" TargetMode="External"/><Relationship Id="rId42" Type="http://schemas.openxmlformats.org/officeDocument/2006/relationships/hyperlink" Target="https://scryfall.com/search?q=%28game%3Aarena+-is%3Aalchemy+-is%3Arebalanced+-t%3Atoken+-set%3Asos+-is%3Auniversesbeyond+-o%3Alearn+r%3Eu%29+oracletag%3Adual-land&amp;unique=cards&amp;as=grid&amp;order=name" TargetMode="External"/><Relationship Id="rId41" Type="http://schemas.openxmlformats.org/officeDocument/2006/relationships/hyperlink" Target="https://scryfall.com/search?q=%28game%3Aarena+-is%3Aalchemy+-is%3Arebalanced+-t%3Atoken+-set%3Asos+-is%3Auniversesbeyond+-o%3Alearn+r%3Cr%29+oracletag%3Adual-land+-set%3Amh3&amp;unique=cards&amp;as=grid&amp;order=name" TargetMode="External"/><Relationship Id="rId44" Type="http://schemas.openxmlformats.org/officeDocument/2006/relationships/hyperlink" Target="https://scryfall.com/search?q=-t%3Abasic+-id%3A0+id%3Agu+in%3Aarena+-is%3Adigital+-set%3Asos+-is%3Auniversesbeyond+r%3Eu+set%3Astx+-o%3Alearn+-t%3Alesson&amp;unique=cards&amp;as=grid&amp;order=name" TargetMode="External"/><Relationship Id="rId43" Type="http://schemas.openxmlformats.org/officeDocument/2006/relationships/hyperlink" Target="https://scryfall.com/search?q=-t%3Abasic+id%3Agu+-id%3A0+in%3Aarena+-is%3Adigital+-set%3Asos+-is%3Auniversesbeyond+r%3Cr+set%3Astx+-o%3Alearn+-t%3Alesson&amp;unique=cards&amp;as=grid&amp;order=name" TargetMode="External"/><Relationship Id="rId46" Type="http://schemas.openxmlformats.org/officeDocument/2006/relationships/hyperlink" Target="https://scryfall.com/search?q=oracletag%3Acantrip+-%22think+twice%22+%28game%3Aarena+-is%3Aalchemy+-is%3Arebalanced+-t%3Atoken+-set%3Asos+-is%3Auniversesbeyond+-o%3Alearn+r%3Eu%29+-is%3Apermanent+cmc%3C3&amp;unique=cards&amp;as=grid&amp;order=name" TargetMode="External"/><Relationship Id="rId45" Type="http://schemas.openxmlformats.org/officeDocument/2006/relationships/hyperlink" Target="https://scryfall.com/search?q=oracletag%3Acantrip++%28game%3Aarena+-is%3Aalchemy+-is%3Arebalanced+-t%3Atoken+-set%3Asos+-is%3Auniversesbeyond+-o%3Alearn+r%3Cr%29+-is%3Apermanent+cmc%3C3&amp;unique=cards&amp;as=grid&amp;order=name" TargetMode="External"/><Relationship Id="rId48" Type="http://schemas.openxmlformats.org/officeDocument/2006/relationships/hyperlink" Target="https://scryfall.com/search?q=legal%3Astandard+t%3Acreature+cmc%3E5+%28game%3Aarena+-is%3Aalchemy+-is%3Arebalanced+-t%3Atoken+-set%3Asos+-is%3Auniversesbeyond+-o%3Alearn+r%3Eu%29&amp;unique=cards&amp;as=grid&amp;order=name" TargetMode="External"/><Relationship Id="rId47" Type="http://schemas.openxmlformats.org/officeDocument/2006/relationships/hyperlink" Target="https://scryfall.com/search?q=legal%3Astandard+t%3Acreature+cmc%3E5+%28game%3Aarena+-is%3Aalchemy+-is%3Arebalanced+-t%3Atoken+-set%3Asos+-is%3Auniversesbeyond+-o%3Alearn+r%3Cr%29&amp;unique=cards&amp;as=grid&amp;order=name" TargetMode="External"/><Relationship Id="rId49" Type="http://schemas.openxmlformats.org/officeDocument/2006/relationships/hyperlink" Target="https://scryfall.com/search?q=id%3Abw+id%3A2+%28game%3Aarena+-is%3Aalchemy+-is%3Arebalanced+-t%3Atoken+-set%3Asos+-is%3Auniversesbeyond+-o%3Alearn+r%3Cr%29&amp;unique=cards&amp;as=grid&amp;order=name" TargetMode="External"/><Relationship Id="rId31" Type="http://schemas.openxmlformats.org/officeDocument/2006/relationships/hyperlink" Target="https://scryfall.com/search?q=-%28set%3Aj21+AND+cn%3C32%29+-set%3AMSH+-set%3AHOB+-set%3AFRA+otag%3Aremoval+o%3Adamage+-is%3Apermanent+-otag%3Abite+%28game%3Aarena+-is%3Aalchemy+-is%3Arebalanced+-t%3Atoken+-set%3Asos+-is%3Auniversesbeyond+-o%3Alearn+r%3Cr%29&amp;unique=cards&amp;as=grid&amp;order=name" TargetMode="External"/><Relationship Id="rId30" Type="http://schemas.openxmlformats.org/officeDocument/2006/relationships/hyperlink" Target="https://scryfall.com/search?q=%28o%3Aprowess+OR+o%3Amagecraft%29+%28game%3Aarena+-is%3Aalchemy+-is%3Arebalanced+-t%3Atoken+-set%3Asos+-is%3Auniversesbeyond+-o%3Alearn+r%3Eu%29&amp;unique=cards&amp;as=grid&amp;order=name" TargetMode="External"/><Relationship Id="rId33" Type="http://schemas.openxmlformats.org/officeDocument/2006/relationships/hyperlink" Target="https://scryfall.com/search?q=id%3Aug+id%3A2+%28game%3Aarena+-is%3Aalchemy+-is%3Arebalanced+-t%3Atoken+-set%3Asos+-is%3Auniversesbeyond+-o%3Alearn+r%3Cr%29&amp;unique=cards&amp;as=grid&amp;order=name" TargetMode="External"/><Relationship Id="rId32" Type="http://schemas.openxmlformats.org/officeDocument/2006/relationships/hyperlink" Target="https://scryfall.com/search?q=otag%3Aremoval+o%3Adamage+-%22comeuppance%22+-%22berserk%22+-is%3Apermanent+-otag%3Abite+%28game%3Aarena+-is%3Aalchemy+-is%3Arebalanced+-t%3Atoken+-set%3Asos+-is%3Auniversesbeyond+-o%3Alearn+r%3Eu%29&amp;unique=cards&amp;as=grid&amp;order=name" TargetMode="External"/><Relationship Id="rId35" Type="http://schemas.openxmlformats.org/officeDocument/2006/relationships/hyperlink" Target="https://scryfall.com/search?q=%28m%3A%22%7BX%7D%22%29+%28game%3Aarena+-is%3Aalchemy+-is%3Arebalanced+-t%3Atoken+-set%3Asos+-is%3Auniversesbeyond+-o%3Alearn+r%3Cr%29&amp;unique=cards&amp;as=grid&amp;order=edhrec" TargetMode="External"/><Relationship Id="rId34" Type="http://schemas.openxmlformats.org/officeDocument/2006/relationships/hyperlink" Target="https://scryfall.com/search?q=id%3Aug+id%3A2+%28game%3Aarena+-is%3Aalchemy+-is%3Arebalanced+-t%3Atoken+-set%3Asos+-is%3Auniversesbeyond+-o%3Alearn+r%3Eu%29&amp;unique=cards&amp;as=grid&amp;order=name" TargetMode="External"/><Relationship Id="rId37" Type="http://schemas.openxmlformats.org/officeDocument/2006/relationships/hyperlink" Target="https://scryfall.com/search?q=otag%3Acounters-matter+o%3A%2B1%2F%2B1+%28game%3Aarena+-is%3Aalchemy+-is%3Arebalanced+-t%3Atoken+-set%3Asos+-is%3Auniversesbeyond+-o%3Alearn+r%3Cr%29&amp;unique=cards&amp;as=grid&amp;order=name" TargetMode="External"/><Relationship Id="rId36" Type="http://schemas.openxmlformats.org/officeDocument/2006/relationships/hyperlink" Target="https://scryfall.com/search?q=%28m%3A%22%7BX%7D%22%29+%28game%3Aarena+-is%3Aalchemy+-is%3Arebalanced+-t%3Atoken+-set%3Asos+-is%3Auniversesbeyond+-o%3Alearn+r%3Eu%29&amp;unique=cards&amp;as=grid&amp;order=edhrec" TargetMode="External"/><Relationship Id="rId39" Type="http://schemas.openxmlformats.org/officeDocument/2006/relationships/hyperlink" Target="https://scryfall.com/search?q=oracletag%3Amana-dork+%28game%3Aarena+-is%3Aalchemy+-is%3Arebalanced+-t%3Atoken+-set%3Asos+-is%3Auniversesbeyond+-o%3Alearn+r%3Cr%29&amp;unique=cards&amp;as=grid&amp;order=name" TargetMode="External"/><Relationship Id="rId38" Type="http://schemas.openxmlformats.org/officeDocument/2006/relationships/hyperlink" Target="https://scryfall.com/search?q=otag%3Acounters-matter+o%3A%2B1%2F%2B1+%28game%3Aarena+-is%3Aalchemy+-is%3Arebalanced+-t%3Atoken+-set%3Asos+-is%3Auniversesbeyond+-o%3Alearn+r%3Eu%29&amp;unique=cards&amp;as=grid&amp;order=name" TargetMode="External"/><Relationship Id="rId20" Type="http://schemas.openxmlformats.org/officeDocument/2006/relationships/hyperlink" Target="https://scryfall.com/search?q=otag%3A%22more+expensive+than+mv%22+%28game%3Aarena+-is%3Aalchemy+-is%3Arebalanced+-t%3Atoken+-set%3Asos+-is%3Auniversesbeyond+-o%3Alearn+r%3Eu%29+-is%3Apermanent+-o%3Aflashback+-o%3Aescape+-o%3Aharmonize+-o%3Achannel+-o%3Acycling+-o%3Aplot&amp;unique=cards&amp;as=grid&amp;order=name" TargetMode="External"/><Relationship Id="rId22" Type="http://schemas.openxmlformats.org/officeDocument/2006/relationships/hyperlink" Target="https://scryfall.com/search?as=grid&amp;order=name&amp;page=2&amp;q=t%3Aelemental+%28game%3Aarena+-is%3Aalchemy+-is%3Arebalanced+-t%3Atoken+-set%3Asos+-is%3Auniversesbeyond+-o%3Alearn+r%3Eu%29&amp;unique=cards" TargetMode="External"/><Relationship Id="rId21" Type="http://schemas.openxmlformats.org/officeDocument/2006/relationships/hyperlink" Target="https://scryfall.com/search?q=t%3Aelemental+%28game%3Aarena+-is%3Aalchemy+-is%3Arebalanced+-t%3Atoken+-set%3Asos+-is%3Auniversesbeyond+-o%3Alearn+r%3Cr%29&amp;unique=cards&amp;as=grid&amp;order=name" TargetMode="External"/><Relationship Id="rId24" Type="http://schemas.openxmlformats.org/officeDocument/2006/relationships/hyperlink" Target="https://scryfall.com/search?q=set%3Asta+in%3Aarena+-is%3Adigital+-set%3Asos+-is%3Auniversesbeyond+-o%3Alearn+r%3Eu&amp;unique=cards&amp;as=grid&amp;order=name" TargetMode="External"/><Relationship Id="rId23" Type="http://schemas.openxmlformats.org/officeDocument/2006/relationships/hyperlink" Target="https://scryfall.com/search?q=set%3Asta+r%3Au+in%3Aarena+-is%3Adigital+-set%3Asos+-is%3Auniversesbeyond+-o%3Alearn+r%3Cr&amp;unique=cards&amp;as=grid&amp;order=name" TargetMode="External"/><Relationship Id="rId26" Type="http://schemas.openxmlformats.org/officeDocument/2006/relationships/hyperlink" Target="https://scryfall.com/search?q=legal%3Astandard+%28game%3Aarena+-is%3Aalchemy+-is%3Arebalanced+-t%3Atoken+-set%3Asos+-is%3Auniversesbeyond+-o%3Alearn+r%3Eu%29+%28t%3Ainstant+OR+t%3Asorcery%29+-t%3Acreature+mv%3E4&amp;unique=cards&amp;as=grid&amp;order=name" TargetMode="External"/><Relationship Id="rId25" Type="http://schemas.openxmlformats.org/officeDocument/2006/relationships/hyperlink" Target="https://scryfall.com/search?q=legal%3Astandard+%28game%3Aarena+-is%3Aalchemy+-is%3Arebalanced+-t%3Atoken+-set%3Asos+-is%3Auniversesbeyond+-o%3Alearn+r%3Cr%29+%28t%3Ainstant+OR+t%3Asorcery%29+-t%3Acreature+mv%3E4&amp;unique=cards&amp;as=grid&amp;order=name" TargetMode="External"/><Relationship Id="rId28" Type="http://schemas.openxmlformats.org/officeDocument/2006/relationships/hyperlink" Target="https://scryfall.com/search?q=id%3Aru+in%3Aarena+-id%3A0+-t%3Abasic+-is%3Adigital+-set%3Asos+-is%3Auniversesbeyond+r%3Eu+set%3Astx+-o%3Alearn+-t%3Alesson&amp;unique=cards&amp;as=grid&amp;order=name" TargetMode="External"/><Relationship Id="rId27" Type="http://schemas.openxmlformats.org/officeDocument/2006/relationships/hyperlink" Target="https://scryfall.com/search?q=id%3Aru+in%3Aarena+-id%3A0+-t%3Abasic+-is%3Adigital+-set%3Asos+-is%3Auniversesbeyond+r%3Cr+set%3Astx+-o%3Alearn+-t%3Alesson&amp;unique=cards&amp;as=grid&amp;order=name" TargetMode="External"/><Relationship Id="rId29" Type="http://schemas.openxmlformats.org/officeDocument/2006/relationships/hyperlink" Target="https://scryfall.com/search?q=%28o%3Aprowess+OR+o%3Amagecraft%29+%28game%3Aarena+-is%3Aalchemy+-is%3Arebalanced+-t%3Atoken+-set%3Asos+-is%3Auniversesbeyond+-o%3Alearn+r%3Cr%29&amp;unique=cards&amp;as=grid&amp;order=name" TargetMode="External"/><Relationship Id="rId11" Type="http://schemas.openxmlformats.org/officeDocument/2006/relationships/hyperlink" Target="https://scryfall.com/search?q=game%3Aarena+-is%3Aalchemy+-is%3Arebalanced+-t%3Atoken+-set%3Asos+-is%3Auniversesbeyond+-o%3Alearn+r%3Cr+%28o%3Aflashback+or+o%3Aescape+or+o%3Aharmonize%29+-t%3Acreature&amp;unique=cards&amp;as=grid&amp;order=name" TargetMode="External"/><Relationship Id="rId10" Type="http://schemas.openxmlformats.org/officeDocument/2006/relationships/hyperlink" Target="https://scryfall.com/search?q=id%3Arw+in%3Aarena+-id%3A0+-is%3Adigital+-set%3Asos+-is%3Auniversesbeyond+r%3Eu+set%3Astx+-o%3Alearn+-t%3Alesson&amp;unique=cards&amp;as=grid&amp;order=name" TargetMode="External"/><Relationship Id="rId13" Type="http://schemas.openxmlformats.org/officeDocument/2006/relationships/hyperlink" Target="https://scryfall.com/search?q=o%3Atreasure+o%3Acreate+%28game%3Aarena+-is%3Aalchemy+-is%3Arebalanced+-t%3Atoken+-set%3Asos+-is%3Auniversesbeyond+-o%3Alearn+r%3Cr%29+-o%3A%22mana+from+a+treasure%22&amp;unique=cards&amp;as=grid&amp;order=name" TargetMode="External"/><Relationship Id="rId12" Type="http://schemas.openxmlformats.org/officeDocument/2006/relationships/hyperlink" Target="https://scryfall.com/search?q=game%3Aarena+-is%3Aalchemy+-is%3Arebalanced+-t%3Atoken+-set%3Asos+-is%3Auniversesbeyond+-o%3Alearn+r%3Eu+%28o%3Aflashback+or+o%3Aescape+or+o%3Aharmonize%29+-t%3Acreature+-%22think+twice%22&amp;unique=cards&amp;as=grid&amp;order=name" TargetMode="External"/><Relationship Id="rId15" Type="http://schemas.openxmlformats.org/officeDocument/2006/relationships/hyperlink" Target="https://scryfall.com/search?q=t%3Aspirit+%28game%3Aarena+-is%3Aalchemy+-is%3Arebalanced+-t%3Atoken+-set%3Asos+-is%3Auniversesbeyond+-o%3Alearn+r%3Cr%29&amp;unique=cards&amp;as=grid&amp;order=name" TargetMode="External"/><Relationship Id="rId14" Type="http://schemas.openxmlformats.org/officeDocument/2006/relationships/hyperlink" Target="https://scryfall.com/search?q=o%3Atreasure+o%3Acreate+%28game%3Aarena+-is%3Aalchemy+-is%3Arebalanced+-t%3Atoken+-set%3Asos+-is%3Auniversesbeyond+-o%3Alearn+r%3Eu%29+-o%3A%22mana+from+a+treasure%22&amp;unique=cards&amp;as=grid&amp;order=name" TargetMode="External"/><Relationship Id="rId17" Type="http://schemas.openxmlformats.org/officeDocument/2006/relationships/hyperlink" Target="https://scryfall.com/search?q=id%3Aur+id%3A2+%28game%3Aarena+-is%3Aalchemy+-is%3Arebalanced+-t%3Atoken+-set%3Asos+-is%3Auniversesbeyond+-o%3Alearn+r%3Cr%29&amp;unique=cards&amp;as=grid&amp;order=name" TargetMode="External"/><Relationship Id="rId16" Type="http://schemas.openxmlformats.org/officeDocument/2006/relationships/hyperlink" Target="https://scryfall.com/search?q=t%3Aspirit+%28game%3Aarena+-is%3Aalchemy+-is%3Arebalanced+-t%3Atoken+-set%3Asos+-is%3Auniversesbeyond+-o%3Alearn+r%3Eu%29&amp;unique=cards&amp;as=grid&amp;order=name" TargetMode="External"/><Relationship Id="rId19" Type="http://schemas.openxmlformats.org/officeDocument/2006/relationships/hyperlink" Target="https://scryfall.com/search?q=otag%3A%22more+expensive+than+mv%22+%28game%3Aarena+-is%3Aalchemy+-is%3Arebalanced+-t%3Atoken+-set%3Asos+-is%3Auniversesbeyond+-o%3Alearn+r%3Cr%29+-is%3Apermanent+-o%3Aflashback+-o%3Aescape+-o%3Aharmonize+-o%3Achannel+-o%3Acycling+-o%3Aplot&amp;unique=cards&amp;as=grid&amp;order=name" TargetMode="External"/><Relationship Id="rId18" Type="http://schemas.openxmlformats.org/officeDocument/2006/relationships/hyperlink" Target="https://scryfall.com/search?q=id%3Aur+id%3A2+%28game%3Aarena+-is%3Aalchemy+-is%3Arebalanced+-t%3Atoken+-set%3Asos+-is%3Auniversesbeyond+-o%3Alearn+r%3Eu%29&amp;unique=cards&amp;as=grid&amp;order=name" TargetMode="External"/><Relationship Id="rId80" Type="http://schemas.openxmlformats.org/officeDocument/2006/relationships/hyperlink" Target="https://scryfall.com/search?q=t%3Acreature+-o%3Afood+legal%3Astandard+oracletag%3Alifegain+%28game%3Aarena+-is%3Aalchemy+-is%3Arebalanced+-t%3Atoken+-set%3Asos+-is%3Auniversesbeyond+-o%3Alearn+r%3Eu%29&amp;unique=cards&amp;as=grid&amp;order=name" TargetMode="External"/><Relationship Id="rId81" Type="http://schemas.openxmlformats.org/officeDocument/2006/relationships/drawing" Target="../drawings/drawing14.xml"/><Relationship Id="rId73" Type="http://schemas.openxmlformats.org/officeDocument/2006/relationships/hyperlink" Target="https://scryfall.com/search?q=-is%3Apermanent+otag%3Alife-gain+-o%3Afood+legal%3Astandard+%28game%3Aarena+-is%3Aalchemy+-is%3Arebalanced+-t%3Atoken+-set%3Asos+-is%3Auniversesbeyond+-o%3Alearn+r%3Cr%29&amp;unique=cards&amp;as=grid&amp;order=name" TargetMode="External"/><Relationship Id="rId72" Type="http://schemas.openxmlformats.org/officeDocument/2006/relationships/hyperlink" Target="https://scryfall.com/search?q=t%3Ainsect+%28game%3Aarena+-is%3Aalchemy+-is%3Arebalanced+-t%3Atoken+-set%3Asos+-is%3Auniversesbeyond+-o%3Alearn+r%3Eu%29&amp;unique=cards&amp;as=grid&amp;order=name" TargetMode="External"/><Relationship Id="rId75" Type="http://schemas.openxmlformats.org/officeDocument/2006/relationships/hyperlink" Target="https://scryfall.com/search?q=-t%3Abasic+-id%3A0+id%3Agb+in%3Aarena+-is%3Adigital+-set%3Asos+-is%3Auniversesbeyond+r%3Cr+set%3Astx+-o%3Alearn+-t%3Alesson&amp;unique=cards&amp;as=grid&amp;order=name" TargetMode="External"/><Relationship Id="rId74" Type="http://schemas.openxmlformats.org/officeDocument/2006/relationships/hyperlink" Target="https://scryfall.com/search?q=-is%3Apermanent+otag%3Alife-gain+-o%3Afood+%28game%3Aarena+-is%3Aalchemy+-is%3Arebalanced+-t%3Atoken+-set%3Asos+-is%3Auniversesbeyond+-o%3Alearn+r%3Eu%29&amp;unique=cards&amp;as=grid&amp;order=name" TargetMode="External"/><Relationship Id="rId77" Type="http://schemas.openxmlformats.org/officeDocument/2006/relationships/hyperlink" Target="https://scryfall.com/search?q=oracletag%3Aself-reanimate+%28game%3Aarena+-o%3Aconjure+-is%3Aalchemy+-is%3Arebalanced+-t%3Atoken+-set%3Asos+-is%3Auniversesbeyond+-o%3Alearn+r%3Cr%29&amp;unique=cards&amp;as=grid&amp;order=name" TargetMode="External"/><Relationship Id="rId76" Type="http://schemas.openxmlformats.org/officeDocument/2006/relationships/hyperlink" Target="https://scryfall.com/search?q=-t%3Abasic+-id%3A0+id%3Agb+in%3Aarena+-is%3Adigital+-set%3Asos+-is%3Auniversesbeyond+r%3Eu+set%3Astx+-o%3Alearn+-t%3Alesson&amp;unique=cards&amp;as=grid&amp;order=name" TargetMode="External"/><Relationship Id="rId79" Type="http://schemas.openxmlformats.org/officeDocument/2006/relationships/hyperlink" Target="https://scryfall.com/search?q=t%3Acreature+-o%3Afood+legal%3Astandard+oracletag%3Alifegain+%28game%3Aarena+-is%3Aalchemy+-is%3Arebalanced+-t%3Atoken+-set%3Asos+-is%3Auniversesbeyond+-o%3Alearn+r%3Cr%29&amp;unique=cards&amp;as=grid&amp;order=name" TargetMode="External"/><Relationship Id="rId78" Type="http://schemas.openxmlformats.org/officeDocument/2006/relationships/hyperlink" Target="https://scryfall.com/search?q=-%28set%3Aj21+AND+cn%3C32%29+-set%3AMSH+-set%3AHOB+-set%3AFRA+oracletag%3Aself-reanimate+%28game%3Aarena+-is%3Aalchemy+-is%3Arebalanced+-t%3Atoken+-set%3Asos+-is%3Auniversesbeyond+-o%3Alearn+r%3Eu%29&amp;unique=cards&amp;as=grid&amp;order=name" TargetMode="External"/><Relationship Id="rId71" Type="http://schemas.openxmlformats.org/officeDocument/2006/relationships/hyperlink" Target="https://scryfall.com/search?q=t%3Ainsect+%28game%3Aarena+-is%3Aalchemy+-is%3Arebalanced+-t%3Atoken+-set%3Asos+-is%3Auniversesbeyond+-o%3Alearn+r%3Cr%29&amp;unique=cards&amp;as=grid&amp;order=name" TargetMode="External"/><Relationship Id="rId70" Type="http://schemas.openxmlformats.org/officeDocument/2006/relationships/hyperlink" Target="https://scryfall.com/search?q=%28game%3Aarena+-is%3Aalchemy+-is%3Arebalanced+-t%3Atoken+-set%3Asos+-is%3Auniversesbeyond+-o%3Alearn+r%3Eu%29+o%3Afood+o%3Acreate&amp;unique=cards&amp;as=grid&amp;order=name" TargetMode="External"/><Relationship Id="rId62" Type="http://schemas.openxmlformats.org/officeDocument/2006/relationships/hyperlink" Target="https://scryfall.com/search?q=legal%3Astandard+cmc%3A2+t%3Acreature+%28game%3Aarena+-is%3Aalchemy+-is%3Arebalanced+-t%3Atoken+-set%3Asos+-is%3Auniversesbeyond+-o%3Alearn+r%3Eu%29&amp;unique=cards&amp;as=grid&amp;order=name" TargetMode="External"/><Relationship Id="rId61" Type="http://schemas.openxmlformats.org/officeDocument/2006/relationships/hyperlink" Target="https://scryfall.com/search?q=legal%3Astandard+cmc%3A2+t%3Acreature+%28game%3Aarena+-is%3Aalchemy+-is%3Arebalanced+-t%3Atoken+-set%3Asos+-is%3Auniversesbeyond+-o%3Alearn+r%3Cr%29&amp;unique=cards&amp;as=grid&amp;order=name" TargetMode="External"/><Relationship Id="rId64" Type="http://schemas.openxmlformats.org/officeDocument/2006/relationships/hyperlink" Target="https://scryfall.com/search?q=otag%3Ablink+%28game%3Aarena+-is%3Aalchemy+-is%3Arebalanced+-t%3Atoken+-set%3Asos+-is%3Auniversesbeyond+-o%3Alearn+r%3Eu%29&amp;unique=cards&amp;as=grid&amp;order=name" TargetMode="External"/><Relationship Id="rId63" Type="http://schemas.openxmlformats.org/officeDocument/2006/relationships/hyperlink" Target="https://scryfall.com/search?q=otag%3Ablink+%28game%3Aarena+-is%3Aalchemy+-is%3Arebalanced+-t%3Atoken+-set%3Asos+-is%3Auniversesbeyond+-o%3Alearn+r%3Cr%29&amp;unique=cards&amp;as=grid&amp;order=name" TargetMode="External"/><Relationship Id="rId66" Type="http://schemas.openxmlformats.org/officeDocument/2006/relationships/hyperlink" Target="https://scryfall.com/search?q=id%3Abg+id%3A2+%28game%3Aarena+-is%3Aalchemy+-is%3Arebalanced+-t%3Atoken+-set%3Asos+-is%3Auniversesbeyond+-o%3Alearn+r%3Eu%29&amp;unique=cards&amp;as=grid&amp;order=name" TargetMode="External"/><Relationship Id="rId65" Type="http://schemas.openxmlformats.org/officeDocument/2006/relationships/hyperlink" Target="https://scryfall.com/search?q=id%3Abg+id%3A2+%28game%3Aarena+-is%3Aalchemy+-is%3Arebalanced+-t%3Atoken+-set%3Asos+-is%3Auniversesbeyond+-o%3Alearn+r%3Cr%29&amp;unique=cards&amp;as=grid&amp;order=name" TargetMode="External"/><Relationship Id="rId68" Type="http://schemas.openxmlformats.org/officeDocument/2006/relationships/hyperlink" Target="https://scryfall.com/search?q=-%28set%3Aj21+AND+cn%3C32%29+-set%3AMSH+-set%3AHOB+-set%3AFRA+oracletag%3Areanimate-creature+%28game%3Aarena+-is%3Aalchemy+-is%3Arebalanced+-t%3Atoken+-set%3Asos+-is%3Auniversesbeyond+-o%3Alearn+r%3Eu%29&amp;unique=cards&amp;as=grid&amp;order=name" TargetMode="External"/><Relationship Id="rId67" Type="http://schemas.openxmlformats.org/officeDocument/2006/relationships/hyperlink" Target="https://scryfall.com/search?q=oracletag%3Areanimate-creature+%28game%3Aarena+-is%3Aalchemy+-is%3Arebalanced+-t%3Atoken+-set%3Asos+-is%3Auniversesbeyond+-o%3Alearn+r%3Cr%29&amp;unique=cards&amp;as=grid&amp;order=name" TargetMode="External"/><Relationship Id="rId60" Type="http://schemas.openxmlformats.org/officeDocument/2006/relationships/hyperlink" Target="https://scryfall.com/search?q=legal%3Astandard+cmc%3A1+t%3Acreature+%28game%3Aarena+-is%3Aalchemy+-is%3Arebalanced+-t%3Atoken+-set%3Asos+-is%3Auniversesbeyond+-o%3Alearn+r%3Eu%29&amp;unique=cards&amp;as=grid&amp;order=name" TargetMode="External"/><Relationship Id="rId69" Type="http://schemas.openxmlformats.org/officeDocument/2006/relationships/hyperlink" Target="https://scryfall.com/search?q=%28game%3Aarena+-is%3Aalchemy+-is%3Arebalanced+-t%3Atoken+-set%3Asos+-is%3Auniversesbeyond+-o%3Alearn+r%3Cr%29+o%3Afood+o%3Acreate&amp;unique=cards&amp;as=grid&amp;order=name" TargetMode="External"/><Relationship Id="rId51" Type="http://schemas.openxmlformats.org/officeDocument/2006/relationships/hyperlink" Target="https://scryfall.com/search?q=legal%3Astandard+game%3Aarena+-is%3Aalchemy+-is%3Arebalanced+-t%3Atoken+-set%3Asos+-is%3Auniversesbeyond+-o%3Alearn+r%3Cr+oracletag%3Acombat-trick+o%3A%2B+-t%3Acreature&amp;unique=cards&amp;as=grid&amp;order=name" TargetMode="External"/><Relationship Id="rId50" Type="http://schemas.openxmlformats.org/officeDocument/2006/relationships/hyperlink" Target="https://scryfall.com/search?q=id%3Abw+id%3A2+%28game%3Aarena+-is%3Aalchemy+-is%3Arebalanced+-t%3Atoken+-set%3Asos+-is%3Auniversesbeyond+-o%3Alearn+r%3Eu%29&amp;unique=cards&amp;as=grid&amp;order=name" TargetMode="External"/><Relationship Id="rId53" Type="http://schemas.openxmlformats.org/officeDocument/2006/relationships/hyperlink" Target="https://scryfall.com/search?q=-%28oracletag%3Acombat-trick+o%3A%2B+-t%3Acreature%29+oracletag%3Acombat-trick+%28game%3Aarena+-is%3Aalchemy+-is%3Arebalanced+-t%3Atoken+-set%3Asos+-is%3Auniversesbeyond+-o%3Alearn+r%3Cr%29+-t%3Acreature&amp;unique=cards&amp;as=grid&amp;order=name" TargetMode="External"/><Relationship Id="rId52" Type="http://schemas.openxmlformats.org/officeDocument/2006/relationships/hyperlink" Target="https://scryfall.com/search?q=game%3Aarena+-is%3Aalchemy+-is%3Arebalanced+-t%3Atoken+-set%3Asos+-is%3Auniversesbeyond+-o%3Alearn+r%3Eu+oracletag%3Acombat-trick+o%3A%2B+-t%3Acreature+-%22smuggler%27s+surprise%22+-%22final+showdown%22&amp;unique=cards&amp;as=grid&amp;order=name" TargetMode="External"/><Relationship Id="rId55" Type="http://schemas.openxmlformats.org/officeDocument/2006/relationships/hyperlink" Target="https://scryfall.com/search?q=%28o%3Aheroic+OR+o%3Avaliant+OR+%28set%3Athb+AND+o%3A%22cast+a+spell+that+targets%22%29+OR+stormchaser+drake%29+game%3Aarena+-is%3Aalchemy+-is%3Arebalanced+-t%3Atoken+-set%3Asos+-is%3Auniversesbeyond+-o%3Alearn+r%3Cr&amp;unique=cards&amp;as=grid&amp;order=name" TargetMode="External"/><Relationship Id="rId54" Type="http://schemas.openxmlformats.org/officeDocument/2006/relationships/hyperlink" Target="https://scryfall.com/search?q=-%28oracletag%3Acombat-trick+o%3A%2B+-t%3Acreature%29+oracletag%3Acombat-trick+%28game%3Aarena+-is%3Aalchemy+-is%3Arebalanced+-t%3Atoken+-set%3Asos+-is%3Auniversesbeyond+-o%3Alearn+r%3Eu%29+-t%3Acreature&amp;unique=cards&amp;as=grid&amp;order=name" TargetMode="External"/><Relationship Id="rId57" Type="http://schemas.openxmlformats.org/officeDocument/2006/relationships/hyperlink" Target="https://scryfall.com/search?q=id%3Abw+-id%3A0+-t%3Abasic+in%3Aarena+-is%3Adigital+-set%3Asos+-is%3Auniversesbeyond+r%3Cr+set%3Astx+-o%3Alearn+-t%3Alesson&amp;unique=cards&amp;as=grid&amp;order=name" TargetMode="External"/><Relationship Id="rId56" Type="http://schemas.openxmlformats.org/officeDocument/2006/relationships/hyperlink" Target="https://scryfall.com/search?q=%28o%3Aheroic+OR+o%3Avaliant+OR+gargos+OR+Goldspan+Dragon+OR+Myriad+Construct+OR+Nadu%2C+Winged+Wisdom+OR+venerated+rotpriest%29+-o%3A%22an+opponent+controls%22+game%3Aarena+-is%3Aalchemy+-is%3Arebalanced+-t%3Atoken+-set%3Asos+-is%3Auniversesbeyond+-o%3Alearn+r%3Eu&amp;unique=cards&amp;as=grid&amp;order=name" TargetMode="External"/><Relationship Id="rId59" Type="http://schemas.openxmlformats.org/officeDocument/2006/relationships/hyperlink" Target="https://scryfall.com/search?q=legal%3Astandard+cmc%3A1+t%3Acreature+%28game%3Aarena+-is%3Aalchemy+-is%3Arebalanced+-t%3Atoken+-set%3Asos+-is%3Auniversesbeyond+-o%3Alearn+r%3Cr%29&amp;unique=cards&amp;as=grid&amp;order=name" TargetMode="External"/><Relationship Id="rId58" Type="http://schemas.openxmlformats.org/officeDocument/2006/relationships/hyperlink" Target="https://scryfall.com/search?q=id%3Abw+-id%3A0+-t%3Abasic+in%3Aarena+-is%3Adigital+-set%3Asos+-is%3Auniversesbeyond+r%3Eu+set%3Astx+-o%3Alearn+-t%3Alesson&amp;unique=cards&amp;as=grid&amp;order=name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5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7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5.0"/>
    <col customWidth="1" min="3" max="3" width="17.38"/>
    <col customWidth="1" min="4" max="4" width="11.13"/>
    <col customWidth="1" min="5" max="5" width="22.25"/>
    <col customWidth="1" min="6" max="12" width="11.38"/>
  </cols>
  <sheetData>
    <row r="1">
      <c r="A1" s="5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"/>
      <c r="B2" s="17"/>
      <c r="C2" s="17"/>
      <c r="D2" s="17"/>
      <c r="E2" s="17"/>
      <c r="F2" s="17"/>
      <c r="G2" s="17"/>
      <c r="H2" s="17"/>
      <c r="I2" s="17"/>
      <c r="J2" s="17"/>
      <c r="K2" s="1"/>
      <c r="L2" s="1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9"/>
      <c r="B3" s="21" t="s">
        <v>24</v>
      </c>
      <c r="C3" s="21" t="s">
        <v>26</v>
      </c>
      <c r="D3" s="21" t="s">
        <v>27</v>
      </c>
      <c r="E3" s="23" t="s">
        <v>29</v>
      </c>
      <c r="F3" s="24" t="s">
        <v>31</v>
      </c>
      <c r="G3" s="24" t="s">
        <v>34</v>
      </c>
      <c r="H3" s="24" t="s">
        <v>35</v>
      </c>
      <c r="I3" s="24" t="s">
        <v>36</v>
      </c>
      <c r="J3" s="24" t="s">
        <v>38</v>
      </c>
      <c r="K3" s="26" t="s">
        <v>40</v>
      </c>
      <c r="L3" s="24" t="s">
        <v>42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9"/>
      <c r="B4" s="30">
        <v>1.0</v>
      </c>
      <c r="C4" s="32" t="s">
        <v>49</v>
      </c>
      <c r="D4" s="32" t="s">
        <v>50</v>
      </c>
      <c r="E4" s="32" t="s">
        <v>51</v>
      </c>
      <c r="F4" s="33" t="s">
        <v>52</v>
      </c>
      <c r="G4" s="33">
        <v>22.0</v>
      </c>
      <c r="H4" s="33">
        <v>3.0</v>
      </c>
      <c r="I4" s="33">
        <v>3.0</v>
      </c>
      <c r="J4" s="33">
        <v>3.0</v>
      </c>
      <c r="K4" s="33">
        <v>3.0</v>
      </c>
      <c r="L4" s="35">
        <f t="shared" ref="L4:L19" si="1">SUM(G4:K4)</f>
        <v>34</v>
      </c>
      <c r="M4" s="36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9"/>
      <c r="B5" s="30">
        <v>2.0</v>
      </c>
      <c r="C5" s="32" t="s">
        <v>53</v>
      </c>
      <c r="D5" s="32" t="s">
        <v>50</v>
      </c>
      <c r="E5" s="38" t="s">
        <v>56</v>
      </c>
      <c r="F5" s="33" t="s">
        <v>58</v>
      </c>
      <c r="G5" s="40">
        <v>22.0</v>
      </c>
      <c r="H5" s="33">
        <v>3.0</v>
      </c>
      <c r="I5" s="33">
        <v>3.0</v>
      </c>
      <c r="J5" s="33">
        <v>3.0</v>
      </c>
      <c r="K5" s="33">
        <v>0.0</v>
      </c>
      <c r="L5" s="35">
        <f t="shared" si="1"/>
        <v>31</v>
      </c>
      <c r="M5" s="36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9"/>
      <c r="B6" s="30">
        <v>3.0</v>
      </c>
      <c r="C6" s="32" t="s">
        <v>68</v>
      </c>
      <c r="D6" s="32" t="s">
        <v>50</v>
      </c>
      <c r="E6" s="32" t="s">
        <v>69</v>
      </c>
      <c r="F6" s="33" t="s">
        <v>70</v>
      </c>
      <c r="G6" s="40">
        <v>23.0</v>
      </c>
      <c r="H6" s="33">
        <v>3.0</v>
      </c>
      <c r="I6" s="33">
        <v>3.0</v>
      </c>
      <c r="J6" s="33">
        <v>0.0</v>
      </c>
      <c r="K6" s="33" t="s">
        <v>73</v>
      </c>
      <c r="L6" s="35">
        <f t="shared" si="1"/>
        <v>29</v>
      </c>
      <c r="M6" s="36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9"/>
      <c r="B7" s="30">
        <v>4.0</v>
      </c>
      <c r="C7" s="32" t="s">
        <v>78</v>
      </c>
      <c r="D7" s="32" t="s">
        <v>80</v>
      </c>
      <c r="E7" s="32" t="s">
        <v>82</v>
      </c>
      <c r="F7" s="33" t="s">
        <v>70</v>
      </c>
      <c r="G7" s="40">
        <v>21.0</v>
      </c>
      <c r="H7" s="33">
        <v>3.0</v>
      </c>
      <c r="I7" s="33">
        <v>3.0</v>
      </c>
      <c r="J7" s="33">
        <v>0.0</v>
      </c>
      <c r="K7" s="33" t="s">
        <v>73</v>
      </c>
      <c r="L7" s="35">
        <f t="shared" si="1"/>
        <v>27</v>
      </c>
      <c r="M7" s="36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9"/>
      <c r="B8" s="30">
        <v>5.0</v>
      </c>
      <c r="C8" s="45" t="s">
        <v>86</v>
      </c>
      <c r="D8" s="32" t="s">
        <v>50</v>
      </c>
      <c r="E8" s="46" t="s">
        <v>87</v>
      </c>
      <c r="F8" s="33" t="s">
        <v>70</v>
      </c>
      <c r="G8" s="40">
        <v>21.0</v>
      </c>
      <c r="H8" s="33">
        <v>3.0</v>
      </c>
      <c r="I8" s="33">
        <v>0.0</v>
      </c>
      <c r="J8" s="33">
        <v>3.0</v>
      </c>
      <c r="K8" s="33" t="s">
        <v>73</v>
      </c>
      <c r="L8" s="35">
        <f t="shared" si="1"/>
        <v>27</v>
      </c>
      <c r="M8" s="36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9"/>
      <c r="B9" s="30">
        <v>6.0</v>
      </c>
      <c r="C9" s="49" t="s">
        <v>90</v>
      </c>
      <c r="D9" s="32" t="s">
        <v>50</v>
      </c>
      <c r="E9" s="46" t="s">
        <v>91</v>
      </c>
      <c r="F9" s="33" t="s">
        <v>70</v>
      </c>
      <c r="G9" s="40">
        <v>21.0</v>
      </c>
      <c r="H9" s="33">
        <v>0.0</v>
      </c>
      <c r="I9" s="33">
        <v>3.0</v>
      </c>
      <c r="J9" s="33">
        <v>3.0</v>
      </c>
      <c r="K9" s="33" t="s">
        <v>73</v>
      </c>
      <c r="L9" s="35">
        <f t="shared" si="1"/>
        <v>27</v>
      </c>
      <c r="M9" s="36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9"/>
      <c r="B10" s="30">
        <v>7.0</v>
      </c>
      <c r="C10" s="32" t="s">
        <v>97</v>
      </c>
      <c r="D10" s="32" t="s">
        <v>50</v>
      </c>
      <c r="E10" s="38" t="s">
        <v>98</v>
      </c>
      <c r="F10" s="33" t="s">
        <v>99</v>
      </c>
      <c r="G10" s="40">
        <v>23.0</v>
      </c>
      <c r="H10" s="53">
        <v>0.0</v>
      </c>
      <c r="I10" s="53">
        <v>3.0</v>
      </c>
      <c r="J10" s="53">
        <v>0.0</v>
      </c>
      <c r="K10" s="33" t="s">
        <v>73</v>
      </c>
      <c r="L10" s="35">
        <f t="shared" si="1"/>
        <v>26</v>
      </c>
      <c r="M10" s="36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9"/>
      <c r="B11" s="30">
        <v>8.0</v>
      </c>
      <c r="C11" s="49" t="s">
        <v>105</v>
      </c>
      <c r="D11" s="32" t="s">
        <v>50</v>
      </c>
      <c r="E11" s="32" t="s">
        <v>106</v>
      </c>
      <c r="F11" s="33" t="s">
        <v>70</v>
      </c>
      <c r="G11" s="40">
        <v>20.0</v>
      </c>
      <c r="H11" s="33">
        <v>3.0</v>
      </c>
      <c r="I11" s="33">
        <v>0.0</v>
      </c>
      <c r="J11" s="33">
        <v>3.0</v>
      </c>
      <c r="K11" s="33" t="s">
        <v>73</v>
      </c>
      <c r="L11" s="35">
        <f t="shared" si="1"/>
        <v>26</v>
      </c>
      <c r="M11" s="36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"/>
      <c r="B12" s="55">
        <v>9.0</v>
      </c>
      <c r="C12" s="32" t="s">
        <v>111</v>
      </c>
      <c r="D12" s="32" t="s">
        <v>50</v>
      </c>
      <c r="E12" s="32" t="s">
        <v>113</v>
      </c>
      <c r="F12" s="33" t="s">
        <v>70</v>
      </c>
      <c r="G12" s="33">
        <v>20.0</v>
      </c>
      <c r="H12" s="33">
        <v>0.0</v>
      </c>
      <c r="I12" s="33">
        <v>3.0</v>
      </c>
      <c r="J12" s="33">
        <v>3.0</v>
      </c>
      <c r="K12" s="33" t="s">
        <v>73</v>
      </c>
      <c r="L12" s="35">
        <f t="shared" si="1"/>
        <v>26</v>
      </c>
      <c r="M12" s="36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"/>
      <c r="B13" s="55">
        <v>10.0</v>
      </c>
      <c r="C13" s="32" t="s">
        <v>116</v>
      </c>
      <c r="D13" s="32" t="s">
        <v>118</v>
      </c>
      <c r="E13" s="32" t="s">
        <v>119</v>
      </c>
      <c r="F13" s="33" t="s">
        <v>99</v>
      </c>
      <c r="G13" s="40">
        <v>22.0</v>
      </c>
      <c r="H13" s="33">
        <v>3.0</v>
      </c>
      <c r="I13" s="33">
        <v>0.0</v>
      </c>
      <c r="J13" s="33">
        <v>0.0</v>
      </c>
      <c r="K13" s="33" t="s">
        <v>73</v>
      </c>
      <c r="L13" s="35">
        <f t="shared" si="1"/>
        <v>25</v>
      </c>
      <c r="M13" s="36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"/>
      <c r="B14" s="55">
        <v>11.0</v>
      </c>
      <c r="C14" s="32" t="s">
        <v>124</v>
      </c>
      <c r="D14" s="32" t="s">
        <v>50</v>
      </c>
      <c r="E14" s="32" t="s">
        <v>126</v>
      </c>
      <c r="F14" s="33" t="s">
        <v>99</v>
      </c>
      <c r="G14" s="40">
        <v>21.0</v>
      </c>
      <c r="H14" s="33">
        <v>0.0</v>
      </c>
      <c r="I14" s="33">
        <v>3.0</v>
      </c>
      <c r="J14" s="33">
        <v>0.0</v>
      </c>
      <c r="K14" s="33" t="s">
        <v>73</v>
      </c>
      <c r="L14" s="35">
        <f t="shared" si="1"/>
        <v>24</v>
      </c>
      <c r="M14" s="36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"/>
      <c r="B15" s="55">
        <v>12.0</v>
      </c>
      <c r="C15" s="56" t="s">
        <v>129</v>
      </c>
      <c r="D15" s="32" t="s">
        <v>50</v>
      </c>
      <c r="E15" s="32" t="s">
        <v>130</v>
      </c>
      <c r="F15" s="33" t="s">
        <v>99</v>
      </c>
      <c r="G15" s="40">
        <v>21.0</v>
      </c>
      <c r="H15" s="33">
        <v>0.0</v>
      </c>
      <c r="I15" s="33">
        <v>0.0</v>
      </c>
      <c r="J15" s="33">
        <v>3.0</v>
      </c>
      <c r="K15" s="33" t="s">
        <v>73</v>
      </c>
      <c r="L15" s="35">
        <f t="shared" si="1"/>
        <v>24</v>
      </c>
      <c r="M15" s="36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"/>
      <c r="B16" s="55">
        <v>13.0</v>
      </c>
      <c r="C16" s="49" t="s">
        <v>135</v>
      </c>
      <c r="D16" s="32" t="s">
        <v>136</v>
      </c>
      <c r="E16" s="46" t="s">
        <v>138</v>
      </c>
      <c r="F16" s="33" t="s">
        <v>99</v>
      </c>
      <c r="G16" s="40">
        <v>21.0</v>
      </c>
      <c r="H16" s="33">
        <v>0.0</v>
      </c>
      <c r="I16" s="33">
        <v>0.0</v>
      </c>
      <c r="J16" s="33">
        <v>3.0</v>
      </c>
      <c r="K16" s="33" t="s">
        <v>73</v>
      </c>
      <c r="L16" s="35">
        <f t="shared" si="1"/>
        <v>24</v>
      </c>
      <c r="M16" s="36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"/>
      <c r="B17" s="55">
        <v>14.0</v>
      </c>
      <c r="C17" s="32" t="s">
        <v>144</v>
      </c>
      <c r="D17" s="32" t="s">
        <v>50</v>
      </c>
      <c r="E17" s="32" t="s">
        <v>145</v>
      </c>
      <c r="F17" s="33" t="s">
        <v>99</v>
      </c>
      <c r="G17" s="40">
        <v>20.0</v>
      </c>
      <c r="H17" s="33">
        <v>3.0</v>
      </c>
      <c r="I17" s="33">
        <v>0.0</v>
      </c>
      <c r="J17" s="33">
        <v>0.0</v>
      </c>
      <c r="K17" s="33" t="s">
        <v>73</v>
      </c>
      <c r="L17" s="35">
        <f t="shared" si="1"/>
        <v>23</v>
      </c>
      <c r="M17" s="3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"/>
      <c r="B18" s="55">
        <v>15.0</v>
      </c>
      <c r="C18" s="49" t="s">
        <v>147</v>
      </c>
      <c r="D18" s="38" t="s">
        <v>80</v>
      </c>
      <c r="E18" s="38" t="s">
        <v>148</v>
      </c>
      <c r="F18" s="53" t="s">
        <v>149</v>
      </c>
      <c r="G18" s="40">
        <v>20.0</v>
      </c>
      <c r="H18" s="53">
        <v>0.0</v>
      </c>
      <c r="I18" s="53">
        <v>0.0</v>
      </c>
      <c r="J18" s="53">
        <v>0.0</v>
      </c>
      <c r="K18" s="33" t="s">
        <v>73</v>
      </c>
      <c r="L18" s="35">
        <f t="shared" si="1"/>
        <v>20</v>
      </c>
      <c r="M18" s="3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"/>
      <c r="B19" s="55">
        <v>16.0</v>
      </c>
      <c r="C19" s="32" t="s">
        <v>153</v>
      </c>
      <c r="D19" s="32" t="s">
        <v>50</v>
      </c>
      <c r="E19" s="46" t="s">
        <v>155</v>
      </c>
      <c r="F19" s="53" t="s">
        <v>149</v>
      </c>
      <c r="G19" s="40">
        <v>20.0</v>
      </c>
      <c r="H19" s="33">
        <v>0.0</v>
      </c>
      <c r="I19" s="33">
        <v>0.0</v>
      </c>
      <c r="J19" s="33">
        <v>0.0</v>
      </c>
      <c r="K19" s="33" t="s">
        <v>73</v>
      </c>
      <c r="L19" s="35">
        <f t="shared" si="1"/>
        <v>20</v>
      </c>
      <c r="M19" s="36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"/>
      <c r="B21" s="1"/>
      <c r="C21" s="57" t="s">
        <v>170</v>
      </c>
      <c r="G21" s="58" t="s">
        <v>171</v>
      </c>
      <c r="L21" s="1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"/>
      <c r="B22" s="1"/>
      <c r="C22" s="59" t="s">
        <v>175</v>
      </c>
      <c r="D22" s="60"/>
      <c r="E22" s="60"/>
      <c r="G22" s="59" t="s">
        <v>175</v>
      </c>
      <c r="L22" s="1"/>
      <c r="M22" s="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"/>
      <c r="B23" s="1"/>
      <c r="C23" s="49" t="s">
        <v>105</v>
      </c>
      <c r="D23" s="40" t="s">
        <v>70</v>
      </c>
      <c r="E23" s="49" t="s">
        <v>90</v>
      </c>
      <c r="F23" s="61"/>
      <c r="G23" s="62" t="s">
        <v>86</v>
      </c>
      <c r="H23" s="63"/>
      <c r="I23" s="40" t="s">
        <v>178</v>
      </c>
      <c r="J23" s="62" t="s">
        <v>111</v>
      </c>
      <c r="K23" s="63"/>
      <c r="L23" s="1"/>
      <c r="M23" s="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"/>
      <c r="B24" s="1"/>
      <c r="C24" s="49" t="s">
        <v>68</v>
      </c>
      <c r="D24" s="40" t="s">
        <v>178</v>
      </c>
      <c r="E24" s="49" t="s">
        <v>135</v>
      </c>
      <c r="F24" s="61"/>
      <c r="G24" s="62" t="s">
        <v>49</v>
      </c>
      <c r="H24" s="63"/>
      <c r="I24" s="40" t="s">
        <v>70</v>
      </c>
      <c r="J24" s="62" t="s">
        <v>124</v>
      </c>
      <c r="K24" s="63"/>
      <c r="L24" s="1"/>
      <c r="M24" s="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"/>
      <c r="B25" s="1"/>
      <c r="C25" s="49" t="s">
        <v>53</v>
      </c>
      <c r="D25" s="40" t="s">
        <v>178</v>
      </c>
      <c r="E25" s="49" t="s">
        <v>147</v>
      </c>
      <c r="F25" s="61"/>
      <c r="G25" s="62" t="s">
        <v>78</v>
      </c>
      <c r="H25" s="63"/>
      <c r="I25" s="40" t="s">
        <v>70</v>
      </c>
      <c r="J25" s="62" t="s">
        <v>129</v>
      </c>
      <c r="K25" s="63"/>
      <c r="L25" s="1"/>
      <c r="M25" s="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"/>
      <c r="B26" s="1"/>
      <c r="C26" s="49" t="s">
        <v>144</v>
      </c>
      <c r="D26" s="40" t="s">
        <v>178</v>
      </c>
      <c r="E26" s="49" t="s">
        <v>97</v>
      </c>
      <c r="F26" s="61"/>
      <c r="G26" s="62" t="s">
        <v>116</v>
      </c>
      <c r="H26" s="63"/>
      <c r="I26" s="40" t="s">
        <v>70</v>
      </c>
      <c r="J26" s="62" t="s">
        <v>153</v>
      </c>
      <c r="K26" s="63"/>
      <c r="L26" s="1"/>
      <c r="M26" s="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"/>
      <c r="B27" s="1"/>
      <c r="C27" s="1"/>
      <c r="D27" s="1"/>
      <c r="E27" s="1"/>
      <c r="G27" s="1"/>
      <c r="H27" s="1"/>
      <c r="I27" s="1"/>
      <c r="J27" s="1"/>
      <c r="K27" s="1"/>
      <c r="L27" s="1"/>
      <c r="M27" s="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"/>
      <c r="B28" s="1"/>
      <c r="C28" s="59" t="s">
        <v>193</v>
      </c>
      <c r="D28" s="60"/>
      <c r="E28" s="60"/>
      <c r="F28" s="61"/>
      <c r="G28" s="64" t="s">
        <v>194</v>
      </c>
      <c r="L28" s="1"/>
      <c r="M28" s="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"/>
      <c r="B29" s="1"/>
      <c r="C29" s="49" t="s">
        <v>53</v>
      </c>
      <c r="D29" s="40" t="s">
        <v>70</v>
      </c>
      <c r="E29" s="49" t="s">
        <v>105</v>
      </c>
      <c r="F29" s="61"/>
      <c r="G29" s="62" t="s">
        <v>78</v>
      </c>
      <c r="H29" s="63"/>
      <c r="I29" s="40" t="s">
        <v>70</v>
      </c>
      <c r="J29" s="62" t="s">
        <v>86</v>
      </c>
      <c r="K29" s="63"/>
      <c r="L29" s="1"/>
      <c r="M29" s="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"/>
      <c r="B30" s="1"/>
      <c r="C30" s="49" t="s">
        <v>68</v>
      </c>
      <c r="D30" s="40" t="s">
        <v>178</v>
      </c>
      <c r="E30" s="49" t="s">
        <v>144</v>
      </c>
      <c r="F30" s="61"/>
      <c r="G30" s="62" t="s">
        <v>49</v>
      </c>
      <c r="H30" s="63"/>
      <c r="I30" s="40" t="s">
        <v>70</v>
      </c>
      <c r="J30" s="62" t="s">
        <v>116</v>
      </c>
      <c r="K30" s="63"/>
      <c r="L30" s="1"/>
      <c r="M30" s="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"/>
      <c r="B31" s="1"/>
      <c r="C31" s="49" t="s">
        <v>90</v>
      </c>
      <c r="D31" s="40" t="s">
        <v>70</v>
      </c>
      <c r="E31" s="49" t="s">
        <v>147</v>
      </c>
      <c r="F31" s="61"/>
      <c r="G31" s="62" t="s">
        <v>199</v>
      </c>
      <c r="H31" s="63"/>
      <c r="I31" s="40" t="s">
        <v>70</v>
      </c>
      <c r="J31" s="62" t="s">
        <v>129</v>
      </c>
      <c r="K31" s="63"/>
      <c r="L31" s="1"/>
      <c r="M31" s="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"/>
      <c r="B32" s="1"/>
      <c r="C32" s="49" t="s">
        <v>97</v>
      </c>
      <c r="D32" s="40" t="s">
        <v>70</v>
      </c>
      <c r="E32" s="49" t="s">
        <v>135</v>
      </c>
      <c r="F32" s="61"/>
      <c r="G32" s="62" t="s">
        <v>124</v>
      </c>
      <c r="H32" s="63"/>
      <c r="I32" s="40" t="s">
        <v>70</v>
      </c>
      <c r="J32" s="62" t="s">
        <v>153</v>
      </c>
      <c r="K32" s="63"/>
      <c r="L32" s="1"/>
      <c r="M32" s="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"/>
      <c r="B33" s="1"/>
      <c r="C33" s="65"/>
      <c r="D33" s="65"/>
      <c r="E33" s="65"/>
      <c r="G33" s="65"/>
      <c r="H33" s="65"/>
      <c r="I33" s="65"/>
      <c r="J33" s="1"/>
      <c r="K33" s="1"/>
      <c r="L33" s="1"/>
      <c r="M33" s="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"/>
      <c r="B34" s="1"/>
      <c r="C34" s="59" t="s">
        <v>210</v>
      </c>
      <c r="D34" s="60"/>
      <c r="E34" s="60"/>
      <c r="F34" s="61"/>
      <c r="G34" s="64" t="s">
        <v>211</v>
      </c>
      <c r="L34" s="1"/>
      <c r="M34" s="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"/>
      <c r="B35" s="1"/>
      <c r="C35" s="49" t="s">
        <v>53</v>
      </c>
      <c r="D35" s="40" t="s">
        <v>178</v>
      </c>
      <c r="E35" s="49" t="s">
        <v>68</v>
      </c>
      <c r="F35" s="61"/>
      <c r="G35" s="62" t="s">
        <v>49</v>
      </c>
      <c r="H35" s="63"/>
      <c r="I35" s="40" t="s">
        <v>178</v>
      </c>
      <c r="J35" s="62" t="s">
        <v>78</v>
      </c>
      <c r="K35" s="63"/>
      <c r="L35" s="1"/>
      <c r="M35" s="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"/>
      <c r="B36" s="1"/>
      <c r="C36" s="49" t="s">
        <v>105</v>
      </c>
      <c r="D36" s="40" t="s">
        <v>70</v>
      </c>
      <c r="E36" s="49" t="s">
        <v>144</v>
      </c>
      <c r="F36" s="61"/>
      <c r="G36" s="62" t="s">
        <v>86</v>
      </c>
      <c r="H36" s="63"/>
      <c r="I36" s="40" t="s">
        <v>70</v>
      </c>
      <c r="J36" s="62" t="s">
        <v>116</v>
      </c>
      <c r="K36" s="63"/>
      <c r="L36" s="1"/>
      <c r="M36" s="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"/>
      <c r="B37" s="1"/>
      <c r="C37" s="49" t="s">
        <v>90</v>
      </c>
      <c r="D37" s="40" t="s">
        <v>70</v>
      </c>
      <c r="E37" s="49" t="s">
        <v>97</v>
      </c>
      <c r="F37" s="61"/>
      <c r="G37" s="62" t="s">
        <v>111</v>
      </c>
      <c r="H37" s="63"/>
      <c r="I37" s="40" t="s">
        <v>70</v>
      </c>
      <c r="J37" s="62" t="s">
        <v>124</v>
      </c>
      <c r="K37" s="63"/>
      <c r="L37" s="1"/>
      <c r="M37" s="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"/>
      <c r="B38" s="1"/>
      <c r="C38" s="49" t="s">
        <v>135</v>
      </c>
      <c r="D38" s="40" t="s">
        <v>178</v>
      </c>
      <c r="E38" s="49" t="s">
        <v>147</v>
      </c>
      <c r="F38" s="61"/>
      <c r="G38" s="62" t="s">
        <v>129</v>
      </c>
      <c r="H38" s="63"/>
      <c r="I38" s="40" t="s">
        <v>70</v>
      </c>
      <c r="J38" s="62" t="s">
        <v>153</v>
      </c>
      <c r="K38" s="63"/>
      <c r="L38" s="1"/>
      <c r="M38" s="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66"/>
      <c r="G39" s="66"/>
      <c r="H39" s="10"/>
      <c r="I39" s="66"/>
      <c r="J39" s="66"/>
      <c r="K39" s="66"/>
      <c r="L39" s="66"/>
      <c r="M39" s="10"/>
      <c r="N39" s="66"/>
      <c r="O39" s="66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67" t="s">
        <v>40</v>
      </c>
      <c r="F41" s="68"/>
      <c r="G41" s="69"/>
      <c r="H41" s="7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71"/>
      <c r="E42" s="72" t="s">
        <v>230</v>
      </c>
      <c r="F42" s="73"/>
      <c r="G42" s="73"/>
      <c r="H42" s="63"/>
      <c r="I42" s="74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71"/>
      <c r="E43" s="75" t="s">
        <v>49</v>
      </c>
      <c r="F43" s="76" t="s">
        <v>58</v>
      </c>
      <c r="G43" s="77" t="s">
        <v>53</v>
      </c>
      <c r="H43" s="78"/>
      <c r="I43" s="74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66"/>
      <c r="F44" s="66"/>
      <c r="G44" s="66"/>
      <c r="H44" s="66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</row>
  </sheetData>
  <mergeCells count="32">
    <mergeCell ref="J24:K24"/>
    <mergeCell ref="J25:K25"/>
    <mergeCell ref="C21:E21"/>
    <mergeCell ref="G21:K21"/>
    <mergeCell ref="G22:K22"/>
    <mergeCell ref="G23:H23"/>
    <mergeCell ref="J23:K23"/>
    <mergeCell ref="G24:H24"/>
    <mergeCell ref="G25:H25"/>
    <mergeCell ref="J30:K30"/>
    <mergeCell ref="J31:K31"/>
    <mergeCell ref="G26:H26"/>
    <mergeCell ref="J26:K26"/>
    <mergeCell ref="G28:K28"/>
    <mergeCell ref="G29:H29"/>
    <mergeCell ref="J29:K29"/>
    <mergeCell ref="G30:H30"/>
    <mergeCell ref="G31:H31"/>
    <mergeCell ref="J36:K36"/>
    <mergeCell ref="J37:K37"/>
    <mergeCell ref="G38:H38"/>
    <mergeCell ref="J38:K38"/>
    <mergeCell ref="E41:G41"/>
    <mergeCell ref="E42:H42"/>
    <mergeCell ref="G43:H43"/>
    <mergeCell ref="G32:H32"/>
    <mergeCell ref="J32:K32"/>
    <mergeCell ref="G34:K34"/>
    <mergeCell ref="G35:H35"/>
    <mergeCell ref="J35:K35"/>
    <mergeCell ref="G36:H36"/>
    <mergeCell ref="G37:H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75"/>
    <col customWidth="1" min="2" max="2" width="22.75"/>
    <col customWidth="1" min="3" max="3" width="12.13"/>
    <col customWidth="1" min="4" max="4" width="5.88"/>
    <col customWidth="1" hidden="1" min="5" max="5" width="22.75"/>
    <col customWidth="1" min="6" max="6" width="9.5"/>
    <col customWidth="1" min="7" max="7" width="11.63"/>
    <col customWidth="1" min="8" max="11" width="9.5"/>
    <col customWidth="1" min="12" max="12" width="10.75"/>
    <col customWidth="1" min="13" max="13" width="7.5"/>
    <col customWidth="1" min="14" max="14" width="20.5"/>
    <col customWidth="1" hidden="1" min="15" max="15" width="10.88"/>
    <col hidden="1" min="16" max="18" width="12.63"/>
  </cols>
  <sheetData>
    <row r="1">
      <c r="A1" s="2" t="s">
        <v>2</v>
      </c>
      <c r="B1" s="4"/>
      <c r="D1" s="4"/>
      <c r="E1" s="4"/>
      <c r="F1" s="4"/>
      <c r="G1" s="4"/>
      <c r="H1" s="4"/>
      <c r="I1" s="4"/>
      <c r="J1" s="4"/>
      <c r="K1" s="4"/>
      <c r="L1" s="8" t="s">
        <v>12</v>
      </c>
      <c r="M1" s="4"/>
      <c r="N1" s="4"/>
      <c r="O1" s="4"/>
      <c r="P1" s="4"/>
      <c r="Q1" s="4"/>
      <c r="R1" s="4"/>
    </row>
    <row r="2" ht="15.75" customHeight="1">
      <c r="A2" s="12" t="s">
        <v>16</v>
      </c>
      <c r="B2" s="13"/>
      <c r="C2" s="16">
        <f>Quotas!B2</f>
        <v>6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4"/>
      <c r="P2" s="4"/>
      <c r="Q2" s="4"/>
      <c r="R2" s="4"/>
    </row>
    <row r="3">
      <c r="A3" s="18" t="s">
        <v>20</v>
      </c>
      <c r="B3" s="18" t="s">
        <v>21</v>
      </c>
      <c r="C3" s="18" t="s">
        <v>22</v>
      </c>
      <c r="D3" s="20" t="s">
        <v>23</v>
      </c>
      <c r="E3" s="22" t="s">
        <v>25</v>
      </c>
      <c r="F3" s="20" t="s">
        <v>28</v>
      </c>
      <c r="G3" s="20" t="s">
        <v>30</v>
      </c>
      <c r="H3" s="20" t="s">
        <v>32</v>
      </c>
      <c r="I3" s="25" t="s">
        <v>33</v>
      </c>
      <c r="J3" s="25" t="s">
        <v>37</v>
      </c>
      <c r="K3" s="20" t="s">
        <v>39</v>
      </c>
      <c r="L3" s="25" t="s">
        <v>41</v>
      </c>
      <c r="M3" s="27" t="s">
        <v>43</v>
      </c>
      <c r="N3" s="20" t="s">
        <v>44</v>
      </c>
      <c r="O3" s="28" t="s">
        <v>45</v>
      </c>
      <c r="P3" s="28" t="s">
        <v>46</v>
      </c>
      <c r="Q3" s="29" t="s">
        <v>47</v>
      </c>
      <c r="R3" s="29" t="s">
        <v>48</v>
      </c>
    </row>
    <row r="4">
      <c r="A4" s="34" t="str">
        <f t="array" ref="A4">XLOOKUP($E4,'Player Database'!$B$2:$B252,'Player Database'!$C$2:$C252)</f>
        <v>#N/A</v>
      </c>
      <c r="B4" s="34" t="str">
        <f t="array" ref="B4">XLOOKUP($E4,'Player Database'!$B$2:$B252,'Player Database'!$E$2:$E252)</f>
        <v>#N/A</v>
      </c>
      <c r="C4" s="34" t="str">
        <f t="array" ref="C4">XLOOKUP($E4,'Player Database'!$B$2:$B252,'Player Database'!$F$2:$F252)</f>
        <v>#N/A</v>
      </c>
      <c r="D4" s="39">
        <f>IFERROR(__xludf.DUMMYFUNCTION("QUERY('Player Database'!A2:B240,""SELECT A,B WHERE B != '  - ' ORDER BY A"")"),1.0)</f>
        <v>1</v>
      </c>
      <c r="E4" s="41" t="str">
        <f>IFERROR(__xludf.DUMMYFUNCTION("""COMPUTED_VALUE"""),"#REF!")</f>
        <v>#REF!</v>
      </c>
      <c r="F4" s="42" t="str">
        <f t="array" ref="F4">XLOOKUP($E4,'Player Database'!$B$2:$B252,'Player Database'!$K$2:$K252)</f>
        <v>#N/A</v>
      </c>
      <c r="G4" s="42" t="str">
        <f t="array" ref="G4">XLOOKUP($E4,'Player Database'!$B$2:$B252,'Player Database'!$AE$2:$AE252)</f>
        <v>#N/A</v>
      </c>
      <c r="H4" s="42" t="str">
        <f t="array" ref="H4">XLOOKUP($E4,'Player Database'!$B$2:$B252,'Player Database'!$H$2:$H252)</f>
        <v>#N/A</v>
      </c>
      <c r="I4" s="43" t="str">
        <f t="array" ref="I4">XLOOKUP($E4,'Player Database'!$B$2:$B252,'Player Database'!$O$2:$O252)</f>
        <v>#N/A</v>
      </c>
      <c r="J4" s="42" t="str">
        <f t="array" ref="J4">XLOOKUP($E4,'Player Database'!$B$2:$B252,'Player Database'!$P$2:$P252)</f>
        <v>#N/A</v>
      </c>
      <c r="K4" s="44" t="str">
        <f t="array" ref="K4">XLOOKUP($E4,'Player Database'!$B$2:$B252,'Player Database'!$U$2:$U252)</f>
        <v>#N/A</v>
      </c>
      <c r="L4" s="47" t="str">
        <f t="array" ref="L4">XLOOKUP($E4,'Player Database'!$B$2:$B252,'Player Database'!$W$2:$W252)</f>
        <v>#N/A</v>
      </c>
      <c r="M4" s="48" t="str">
        <f t="shared" ref="M4:M242" si="1">CONCATENATE(O4," - ",P4)</f>
        <v>0 - 0</v>
      </c>
      <c r="N4" s="50" t="str">
        <f t="array" ref="N4">IF(XLOOKUP($E4,'Player Database'!$B$2:$B252,'Player Database'!$AA$2:$AA252)="",XLOOKUP($E4,'Player Database'!$B$2:$B252,'Player Database'!$G$2:$G252),XLOOKUP($E4,'Player Database'!$B$2:$B252,'Player Database'!$AA$2:$AA252))</f>
        <v>#N/A</v>
      </c>
      <c r="O4" s="51">
        <f>COUNTIFs(Matches!$B:$B,E4,Matches!$A:$A,"&gt;"&amp;Q4,Matches!$A:$A,"&lt;"&amp;R4)</f>
        <v>0</v>
      </c>
      <c r="P4" s="51">
        <f>COUNTIFs(Matches!$C:$C,E4,Matches!$A:$A,"&gt;"&amp;Q4,Matches!$A:$A,"&lt;"&amp;R4)</f>
        <v>0</v>
      </c>
      <c r="Q4" s="52">
        <f>VLOOKUP($C$2,Quotas!$A$7:$E$14,2,FALSE)</f>
        <v>46171.70833</v>
      </c>
      <c r="R4" s="52">
        <f>VLOOKUP($C$2,Quotas!$A$7:$E$14,3,FALSE)</f>
        <v>46178.70833</v>
      </c>
    </row>
    <row r="5">
      <c r="A5" s="34" t="str">
        <f t="array" ref="A5">XLOOKUP($E5,'Player Database'!$B$2:$B252,'Player Database'!$C$2:$C252)</f>
        <v>#N/A</v>
      </c>
      <c r="B5" s="34" t="str">
        <f t="array" ref="B5">XLOOKUP($E5,'Player Database'!$B$2:$B252,'Player Database'!$E$2:$E252)</f>
        <v>#N/A</v>
      </c>
      <c r="C5" s="34" t="str">
        <f t="array" ref="C5">XLOOKUP($E5,'Player Database'!$B$2:$B252,'Player Database'!$F$2:$F252)</f>
        <v>#N/A</v>
      </c>
      <c r="D5" s="39">
        <f>IFERROR(__xludf.DUMMYFUNCTION("""COMPUTED_VALUE"""),1.0)</f>
        <v>1</v>
      </c>
      <c r="E5" s="41"/>
      <c r="F5" s="42" t="str">
        <f t="array" ref="F5">XLOOKUP($E5,'Player Database'!$B$2:$B252,'Player Database'!$K$2:$K252)</f>
        <v>#N/A</v>
      </c>
      <c r="G5" s="42" t="str">
        <f t="array" ref="G5">XLOOKUP($E5,'Player Database'!$B$2:$B252,'Player Database'!$AE$2:$AE252)</f>
        <v>#N/A</v>
      </c>
      <c r="H5" s="42" t="str">
        <f t="array" ref="H5">XLOOKUP($E5,'Player Database'!$B$2:$B252,'Player Database'!$H$2:$H252)</f>
        <v>#N/A</v>
      </c>
      <c r="I5" s="42" t="str">
        <f t="array" ref="I5">XLOOKUP($E5,'Player Database'!$B$2:$B252,'Player Database'!$O$2:$O252)</f>
        <v>#N/A</v>
      </c>
      <c r="J5" s="42" t="str">
        <f t="array" ref="J5">XLOOKUP($E5,'Player Database'!$B$2:$B252,'Player Database'!$P$2:$P252)</f>
        <v>#N/A</v>
      </c>
      <c r="K5" s="44" t="str">
        <f t="array" ref="K5">XLOOKUP($E5,'Player Database'!$B$2:$B252,'Player Database'!$U$2:$U252)</f>
        <v>#N/A</v>
      </c>
      <c r="L5" s="47" t="str">
        <f t="array" ref="L5">XLOOKUP($E5,'Player Database'!$B$2:$B252,'Player Database'!$W$2:$W252)</f>
        <v>#N/A</v>
      </c>
      <c r="M5" s="48" t="str">
        <f t="shared" si="1"/>
        <v>0 - 0</v>
      </c>
      <c r="N5" s="50" t="str">
        <f t="array" ref="N5">IF(XLOOKUP($E5,'Player Database'!$B$2:$B252,'Player Database'!$AA$2:$AA252)="",XLOOKUP($E5,'Player Database'!$B$2:$B252,'Player Database'!$G$2:$G252),XLOOKUP($E5,'Player Database'!$B$2:$B252,'Player Database'!$AA$2:$AA252))</f>
        <v>#N/A</v>
      </c>
      <c r="O5" s="51">
        <f>COUNTIFs(Matches!$B:$B,E5,Matches!$A:$A,"&gt;"&amp;Q5,Matches!$A:$A,"&lt;"&amp;R5)</f>
        <v>0</v>
      </c>
      <c r="P5" s="51">
        <f>COUNTIFs(Matches!$C:$C,E5,Matches!$A:$A,"&gt;"&amp;Q5,Matches!$A:$A,"&lt;"&amp;R5)</f>
        <v>0</v>
      </c>
      <c r="Q5" s="52">
        <f>VLOOKUP($C$2,Quotas!$A$7:$E$14,2,FALSE)</f>
        <v>46171.70833</v>
      </c>
      <c r="R5" s="52">
        <f>VLOOKUP($C$2,Quotas!$A$7:$E$14,3,FALSE)</f>
        <v>46178.70833</v>
      </c>
    </row>
    <row r="6">
      <c r="A6" s="34" t="str">
        <f t="array" ref="A6">XLOOKUP($E6,'Player Database'!$B$2:$B252,'Player Database'!$C$2:$C252)</f>
        <v>#N/A</v>
      </c>
      <c r="B6" s="34" t="str">
        <f t="array" ref="B6">XLOOKUP($E6,'Player Database'!$B$2:$B252,'Player Database'!$E$2:$E252)</f>
        <v>#N/A</v>
      </c>
      <c r="C6" s="34" t="str">
        <f t="array" ref="C6">XLOOKUP($E6,'Player Database'!$B$2:$B252,'Player Database'!$F$2:$F252)</f>
        <v>#N/A</v>
      </c>
      <c r="D6" s="39">
        <f>IFERROR(__xludf.DUMMYFUNCTION("""COMPUTED_VALUE"""),1.0)</f>
        <v>1</v>
      </c>
      <c r="E6" s="41"/>
      <c r="F6" s="42" t="str">
        <f t="array" ref="F6">XLOOKUP($E6,'Player Database'!$B$2:$B252,'Player Database'!$K$2:$K252)</f>
        <v>#N/A</v>
      </c>
      <c r="G6" s="42" t="str">
        <f t="array" ref="G6">XLOOKUP($E6,'Player Database'!$B$2:$B252,'Player Database'!$AE$2:$AE252)</f>
        <v>#N/A</v>
      </c>
      <c r="H6" s="42" t="str">
        <f t="array" ref="H6">XLOOKUP($E6,'Player Database'!$B$2:$B252,'Player Database'!$H$2:$H252)</f>
        <v>#N/A</v>
      </c>
      <c r="I6" s="42" t="str">
        <f t="array" ref="I6">XLOOKUP($E6,'Player Database'!$B$2:$B252,'Player Database'!$O$2:$O252)</f>
        <v>#N/A</v>
      </c>
      <c r="J6" s="42" t="str">
        <f t="array" ref="J6">XLOOKUP($E6,'Player Database'!$B$2:$B252,'Player Database'!$P$2:$P252)</f>
        <v>#N/A</v>
      </c>
      <c r="K6" s="44" t="str">
        <f t="array" ref="K6">XLOOKUP($E6,'Player Database'!$B$2:$B252,'Player Database'!$U$2:$U252)</f>
        <v>#N/A</v>
      </c>
      <c r="L6" s="47" t="str">
        <f t="array" ref="L6">XLOOKUP($E6,'Player Database'!$B$2:$B252,'Player Database'!$W$2:$W252)</f>
        <v>#N/A</v>
      </c>
      <c r="M6" s="48" t="str">
        <f t="shared" si="1"/>
        <v>0 - 0</v>
      </c>
      <c r="N6" s="50" t="str">
        <f t="array" ref="N6">IF(XLOOKUP($E6,'Player Database'!$B$2:$B252,'Player Database'!$AA$2:$AA252)="",XLOOKUP($E6,'Player Database'!$B$2:$B252,'Player Database'!$G$2:$G252),XLOOKUP($E6,'Player Database'!$B$2:$B252,'Player Database'!$AA$2:$AA252))</f>
        <v>#N/A</v>
      </c>
      <c r="O6" s="51">
        <f>COUNTIFs(Matches!$B:$B,E6,Matches!$A:$A,"&gt;"&amp;Q6,Matches!$A:$A,"&lt;"&amp;R6)</f>
        <v>0</v>
      </c>
      <c r="P6" s="51">
        <f>COUNTIFs(Matches!$C:$C,E6,Matches!$A:$A,"&gt;"&amp;Q6,Matches!$A:$A,"&lt;"&amp;R6)</f>
        <v>0</v>
      </c>
      <c r="Q6" s="52">
        <f>VLOOKUP($C$2,Quotas!$A$7:$E$14,2,FALSE)</f>
        <v>46171.70833</v>
      </c>
      <c r="R6" s="52">
        <f>VLOOKUP($C$2,Quotas!$A$7:$E$14,3,FALSE)</f>
        <v>46178.70833</v>
      </c>
    </row>
    <row r="7">
      <c r="A7" s="34" t="str">
        <f t="array" ref="A7">XLOOKUP($E7,'Player Database'!$B$2:$B252,'Player Database'!$C$2:$C252)</f>
        <v>#N/A</v>
      </c>
      <c r="B7" s="34" t="str">
        <f t="array" ref="B7">XLOOKUP($E7,'Player Database'!$B$2:$B252,'Player Database'!$E$2:$E252)</f>
        <v>#N/A</v>
      </c>
      <c r="C7" s="34" t="str">
        <f t="array" ref="C7">XLOOKUP($E7,'Player Database'!$B$2:$B252,'Player Database'!$F$2:$F252)</f>
        <v>#N/A</v>
      </c>
      <c r="D7" s="39">
        <f>IFERROR(__xludf.DUMMYFUNCTION("""COMPUTED_VALUE"""),1.0)</f>
        <v>1</v>
      </c>
      <c r="E7" s="41"/>
      <c r="F7" s="42" t="str">
        <f t="array" ref="F7">XLOOKUP($E7,'Player Database'!$B$2:$B252,'Player Database'!$K$2:$K252)</f>
        <v>#N/A</v>
      </c>
      <c r="G7" s="42" t="str">
        <f t="array" ref="G7">XLOOKUP($E7,'Player Database'!$B$2:$B252,'Player Database'!$AE$2:$AE252)</f>
        <v>#N/A</v>
      </c>
      <c r="H7" s="42" t="str">
        <f t="array" ref="H7">XLOOKUP($E7,'Player Database'!$B$2:$B252,'Player Database'!$H$2:$H252)</f>
        <v>#N/A</v>
      </c>
      <c r="I7" s="42" t="str">
        <f t="array" ref="I7">XLOOKUP($E7,'Player Database'!$B$2:$B252,'Player Database'!$O$2:$O252)</f>
        <v>#N/A</v>
      </c>
      <c r="J7" s="42" t="str">
        <f t="array" ref="J7">XLOOKUP($E7,'Player Database'!$B$2:$B252,'Player Database'!$P$2:$P252)</f>
        <v>#N/A</v>
      </c>
      <c r="K7" s="44" t="str">
        <f t="array" ref="K7">XLOOKUP($E7,'Player Database'!$B$2:$B252,'Player Database'!$U$2:$U252)</f>
        <v>#N/A</v>
      </c>
      <c r="L7" s="47" t="str">
        <f t="array" ref="L7">XLOOKUP($E7,'Player Database'!$B$2:$B252,'Player Database'!$W$2:$W252)</f>
        <v>#N/A</v>
      </c>
      <c r="M7" s="48" t="str">
        <f t="shared" si="1"/>
        <v>0 - 0</v>
      </c>
      <c r="N7" s="50" t="str">
        <f t="array" ref="N7">IF(XLOOKUP($E7,'Player Database'!$B$2:$B252,'Player Database'!$AA$2:$AA252)="",XLOOKUP($E7,'Player Database'!$B$2:$B252,'Player Database'!$G$2:$G252),XLOOKUP($E7,'Player Database'!$B$2:$B252,'Player Database'!$AA$2:$AA252))</f>
        <v>#N/A</v>
      </c>
      <c r="O7" s="51">
        <f>COUNTIFs(Matches!$B:$B,E7,Matches!$A:$A,"&gt;"&amp;Q7,Matches!$A:$A,"&lt;"&amp;R7)</f>
        <v>0</v>
      </c>
      <c r="P7" s="51">
        <f>COUNTIFs(Matches!$C:$C,E7,Matches!$A:$A,"&gt;"&amp;Q7,Matches!$A:$A,"&lt;"&amp;R7)</f>
        <v>0</v>
      </c>
      <c r="Q7" s="52">
        <f>VLOOKUP($C$2,Quotas!$A$7:$E$14,2,FALSE)</f>
        <v>46171.70833</v>
      </c>
      <c r="R7" s="52">
        <f>VLOOKUP($C$2,Quotas!$A$7:$E$14,3,FALSE)</f>
        <v>46178.70833</v>
      </c>
    </row>
    <row r="8">
      <c r="A8" s="34" t="str">
        <f t="array" ref="A8">XLOOKUP($E8,'Player Database'!$B$2:$B252,'Player Database'!$C$2:$C252)</f>
        <v>#N/A</v>
      </c>
      <c r="B8" s="34" t="str">
        <f t="array" ref="B8">XLOOKUP($E8,'Player Database'!$B$2:$B252,'Player Database'!$E$2:$E252)</f>
        <v>#N/A</v>
      </c>
      <c r="C8" s="34" t="str">
        <f t="array" ref="C8">XLOOKUP($E8,'Player Database'!$B$2:$B252,'Player Database'!$F$2:$F252)</f>
        <v>#N/A</v>
      </c>
      <c r="D8" s="39">
        <f>IFERROR(__xludf.DUMMYFUNCTION("""COMPUTED_VALUE"""),1.0)</f>
        <v>1</v>
      </c>
      <c r="E8" s="41"/>
      <c r="F8" s="42" t="str">
        <f t="array" ref="F8">XLOOKUP($E8,'Player Database'!$B$2:$B252,'Player Database'!$K$2:$K252)</f>
        <v>#N/A</v>
      </c>
      <c r="G8" s="42" t="str">
        <f t="array" ref="G8">XLOOKUP($E8,'Player Database'!$B$2:$B252,'Player Database'!$AE$2:$AE252)</f>
        <v>#N/A</v>
      </c>
      <c r="H8" s="42" t="str">
        <f t="array" ref="H8">XLOOKUP($E8,'Player Database'!$B$2:$B252,'Player Database'!$H$2:$H252)</f>
        <v>#N/A</v>
      </c>
      <c r="I8" s="42" t="str">
        <f t="array" ref="I8">XLOOKUP($E8,'Player Database'!$B$2:$B252,'Player Database'!$O$2:$O252)</f>
        <v>#N/A</v>
      </c>
      <c r="J8" s="42" t="str">
        <f t="array" ref="J8">XLOOKUP($E8,'Player Database'!$B$2:$B252,'Player Database'!$P$2:$P252)</f>
        <v>#N/A</v>
      </c>
      <c r="K8" s="44" t="str">
        <f t="array" ref="K8">XLOOKUP($E8,'Player Database'!$B$2:$B252,'Player Database'!$U$2:$U252)</f>
        <v>#N/A</v>
      </c>
      <c r="L8" s="47" t="str">
        <f t="array" ref="L8">XLOOKUP($E8,'Player Database'!$B$2:$B252,'Player Database'!$W$2:$W252)</f>
        <v>#N/A</v>
      </c>
      <c r="M8" s="48" t="str">
        <f t="shared" si="1"/>
        <v>0 - 0</v>
      </c>
      <c r="N8" s="50" t="str">
        <f t="array" ref="N8">IF(XLOOKUP($E8,'Player Database'!$B$2:$B252,'Player Database'!$AA$2:$AA252)="",XLOOKUP($E8,'Player Database'!$B$2:$B252,'Player Database'!$G$2:$G252),XLOOKUP($E8,'Player Database'!$B$2:$B252,'Player Database'!$AA$2:$AA252))</f>
        <v>#N/A</v>
      </c>
      <c r="O8" s="51">
        <f>COUNTIFs(Matches!$B:$B,E8,Matches!$A:$A,"&gt;"&amp;Q8,Matches!$A:$A,"&lt;"&amp;R8)</f>
        <v>0</v>
      </c>
      <c r="P8" s="51">
        <f>COUNTIFs(Matches!$C:$C,E8,Matches!$A:$A,"&gt;"&amp;Q8,Matches!$A:$A,"&lt;"&amp;R8)</f>
        <v>0</v>
      </c>
      <c r="Q8" s="52">
        <f>VLOOKUP($C$2,Quotas!$A$7:$E$14,2,FALSE)</f>
        <v>46171.70833</v>
      </c>
      <c r="R8" s="52">
        <f>VLOOKUP($C$2,Quotas!$A$7:$E$14,3,FALSE)</f>
        <v>46178.70833</v>
      </c>
    </row>
    <row r="9">
      <c r="A9" s="34" t="str">
        <f t="array" ref="A9">XLOOKUP($E9,'Player Database'!$B$2:$B252,'Player Database'!$C$2:$C252)</f>
        <v>#N/A</v>
      </c>
      <c r="B9" s="34" t="str">
        <f t="array" ref="B9">XLOOKUP($E9,'Player Database'!$B$2:$B252,'Player Database'!$E$2:$E252)</f>
        <v>#N/A</v>
      </c>
      <c r="C9" s="34" t="str">
        <f t="array" ref="C9">XLOOKUP($E9,'Player Database'!$B$2:$B252,'Player Database'!$F$2:$F252)</f>
        <v>#N/A</v>
      </c>
      <c r="D9" s="39">
        <f>IFERROR(__xludf.DUMMYFUNCTION("""COMPUTED_VALUE"""),1.0)</f>
        <v>1</v>
      </c>
      <c r="E9" s="41"/>
      <c r="F9" s="42" t="str">
        <f t="array" ref="F9">XLOOKUP($E9,'Player Database'!$B$2:$B252,'Player Database'!$K$2:$K252)</f>
        <v>#N/A</v>
      </c>
      <c r="G9" s="42" t="str">
        <f t="array" ref="G9">XLOOKUP($E9,'Player Database'!$B$2:$B252,'Player Database'!$AE$2:$AE252)</f>
        <v>#N/A</v>
      </c>
      <c r="H9" s="42" t="str">
        <f t="array" ref="H9">XLOOKUP($E9,'Player Database'!$B$2:$B252,'Player Database'!$H$2:$H252)</f>
        <v>#N/A</v>
      </c>
      <c r="I9" s="42" t="str">
        <f t="array" ref="I9">XLOOKUP($E9,'Player Database'!$B$2:$B252,'Player Database'!$O$2:$O252)</f>
        <v>#N/A</v>
      </c>
      <c r="J9" s="42" t="str">
        <f t="array" ref="J9">XLOOKUP($E9,'Player Database'!$B$2:$B252,'Player Database'!$P$2:$P252)</f>
        <v>#N/A</v>
      </c>
      <c r="K9" s="44" t="str">
        <f t="array" ref="K9">XLOOKUP($E9,'Player Database'!$B$2:$B252,'Player Database'!$U$2:$U252)</f>
        <v>#N/A</v>
      </c>
      <c r="L9" s="47" t="str">
        <f t="array" ref="L9">XLOOKUP($E9,'Player Database'!$B$2:$B252,'Player Database'!$W$2:$W252)</f>
        <v>#N/A</v>
      </c>
      <c r="M9" s="48" t="str">
        <f t="shared" si="1"/>
        <v>0 - 0</v>
      </c>
      <c r="N9" s="50" t="str">
        <f t="array" ref="N9">IF(XLOOKUP($E9,'Player Database'!$B$2:$B252,'Player Database'!$AA$2:$AA252)="",XLOOKUP($E9,'Player Database'!$B$2:$B252,'Player Database'!$G$2:$G252),XLOOKUP($E9,'Player Database'!$B$2:$B252,'Player Database'!$AA$2:$AA252))</f>
        <v>#N/A</v>
      </c>
      <c r="O9" s="51">
        <f>COUNTIFs(Matches!$B:$B,E9,Matches!$A:$A,"&gt;"&amp;Q9,Matches!$A:$A,"&lt;"&amp;R9)</f>
        <v>0</v>
      </c>
      <c r="P9" s="51">
        <f>COUNTIFs(Matches!$C:$C,E9,Matches!$A:$A,"&gt;"&amp;Q9,Matches!$A:$A,"&lt;"&amp;R9)</f>
        <v>0</v>
      </c>
      <c r="Q9" s="52">
        <f>VLOOKUP($C$2,Quotas!$A$7:$E$14,2,FALSE)</f>
        <v>46171.70833</v>
      </c>
      <c r="R9" s="52">
        <f>VLOOKUP($C$2,Quotas!$A$7:$E$14,3,FALSE)</f>
        <v>46178.70833</v>
      </c>
    </row>
    <row r="10">
      <c r="A10" s="34" t="str">
        <f t="array" ref="A10">XLOOKUP($E10,'Player Database'!$B$2:$B252,'Player Database'!$C$2:$C252)</f>
        <v>#N/A</v>
      </c>
      <c r="B10" s="34" t="str">
        <f t="array" ref="B10">XLOOKUP($E10,'Player Database'!$B$2:$B252,'Player Database'!$E$2:$E252)</f>
        <v>#N/A</v>
      </c>
      <c r="C10" s="34" t="str">
        <f t="array" ref="C10">XLOOKUP($E10,'Player Database'!$B$2:$B252,'Player Database'!$F$2:$F252)</f>
        <v>#N/A</v>
      </c>
      <c r="D10" s="39">
        <f>IFERROR(__xludf.DUMMYFUNCTION("""COMPUTED_VALUE"""),1.0)</f>
        <v>1</v>
      </c>
      <c r="E10" s="41"/>
      <c r="F10" s="42" t="str">
        <f t="array" ref="F10">XLOOKUP($E10,'Player Database'!$B$2:$B252,'Player Database'!$K$2:$K252)</f>
        <v>#N/A</v>
      </c>
      <c r="G10" s="42" t="str">
        <f t="array" ref="G10">XLOOKUP($E10,'Player Database'!$B$2:$B252,'Player Database'!$AE$2:$AE252)</f>
        <v>#N/A</v>
      </c>
      <c r="H10" s="42" t="str">
        <f t="array" ref="H10">XLOOKUP($E10,'Player Database'!$B$2:$B252,'Player Database'!$H$2:$H252)</f>
        <v>#N/A</v>
      </c>
      <c r="I10" s="42" t="str">
        <f t="array" ref="I10">XLOOKUP($E10,'Player Database'!$B$2:$B252,'Player Database'!$O$2:$O252)</f>
        <v>#N/A</v>
      </c>
      <c r="J10" s="42" t="str">
        <f t="array" ref="J10">XLOOKUP($E10,'Player Database'!$B$2:$B252,'Player Database'!$P$2:$P252)</f>
        <v>#N/A</v>
      </c>
      <c r="K10" s="44" t="str">
        <f t="array" ref="K10">XLOOKUP($E10,'Player Database'!$B$2:$B252,'Player Database'!$U$2:$U252)</f>
        <v>#N/A</v>
      </c>
      <c r="L10" s="47" t="str">
        <f t="array" ref="L10">XLOOKUP($E10,'Player Database'!$B$2:$B252,'Player Database'!$W$2:$W252)</f>
        <v>#N/A</v>
      </c>
      <c r="M10" s="48" t="str">
        <f t="shared" si="1"/>
        <v>0 - 0</v>
      </c>
      <c r="N10" s="50" t="str">
        <f t="array" ref="N10">IF(XLOOKUP($E10,'Player Database'!$B$2:$B252,'Player Database'!$AA$2:$AA252)="",XLOOKUP($E10,'Player Database'!$B$2:$B252,'Player Database'!$G$2:$G252),XLOOKUP($E10,'Player Database'!$B$2:$B252,'Player Database'!$AA$2:$AA252))</f>
        <v>#N/A</v>
      </c>
      <c r="O10" s="51">
        <f>COUNTIFs(Matches!$B:$B,E10,Matches!$A:$A,"&gt;"&amp;Q10,Matches!$A:$A,"&lt;"&amp;R10)</f>
        <v>0</v>
      </c>
      <c r="P10" s="51">
        <f>COUNTIFs(Matches!$C:$C,E10,Matches!$A:$A,"&gt;"&amp;Q10,Matches!$A:$A,"&lt;"&amp;R10)</f>
        <v>0</v>
      </c>
      <c r="Q10" s="52">
        <f>VLOOKUP($C$2,Quotas!$A$7:$E$14,2,FALSE)</f>
        <v>46171.70833</v>
      </c>
      <c r="R10" s="52">
        <f>VLOOKUP($C$2,Quotas!$A$7:$E$14,3,FALSE)</f>
        <v>46178.70833</v>
      </c>
    </row>
    <row r="11">
      <c r="A11" s="34" t="str">
        <f t="array" ref="A11">XLOOKUP($E11,'Player Database'!$B$2:$B252,'Player Database'!$C$2:$C252)</f>
        <v>#N/A</v>
      </c>
      <c r="B11" s="34" t="str">
        <f t="array" ref="B11">XLOOKUP($E11,'Player Database'!$B$2:$B252,'Player Database'!$E$2:$E252)</f>
        <v>#N/A</v>
      </c>
      <c r="C11" s="34" t="str">
        <f t="array" ref="C11">XLOOKUP($E11,'Player Database'!$B$2:$B252,'Player Database'!$F$2:$F252)</f>
        <v>#N/A</v>
      </c>
      <c r="D11" s="39">
        <f>IFERROR(__xludf.DUMMYFUNCTION("""COMPUTED_VALUE"""),1.0)</f>
        <v>1</v>
      </c>
      <c r="E11" s="41"/>
      <c r="F11" s="42" t="str">
        <f t="array" ref="F11">XLOOKUP($E11,'Player Database'!$B$2:$B252,'Player Database'!$K$2:$K252)</f>
        <v>#N/A</v>
      </c>
      <c r="G11" s="42" t="str">
        <f t="array" ref="G11">XLOOKUP($E11,'Player Database'!$B$2:$B252,'Player Database'!$AE$2:$AE252)</f>
        <v>#N/A</v>
      </c>
      <c r="H11" s="42" t="str">
        <f t="array" ref="H11">XLOOKUP($E11,'Player Database'!$B$2:$B252,'Player Database'!$H$2:$H252)</f>
        <v>#N/A</v>
      </c>
      <c r="I11" s="42" t="str">
        <f t="array" ref="I11">XLOOKUP($E11,'Player Database'!$B$2:$B252,'Player Database'!$O$2:$O252)</f>
        <v>#N/A</v>
      </c>
      <c r="J11" s="42" t="str">
        <f t="array" ref="J11">XLOOKUP($E11,'Player Database'!$B$2:$B252,'Player Database'!$P$2:$P252)</f>
        <v>#N/A</v>
      </c>
      <c r="K11" s="44" t="str">
        <f t="array" ref="K11">XLOOKUP($E11,'Player Database'!$B$2:$B252,'Player Database'!$U$2:$U252)</f>
        <v>#N/A</v>
      </c>
      <c r="L11" s="47" t="str">
        <f t="array" ref="L11">XLOOKUP($E11,'Player Database'!$B$2:$B252,'Player Database'!$W$2:$W252)</f>
        <v>#N/A</v>
      </c>
      <c r="M11" s="48" t="str">
        <f t="shared" si="1"/>
        <v>0 - 0</v>
      </c>
      <c r="N11" s="50" t="str">
        <f t="array" ref="N11">IF(XLOOKUP($E11,'Player Database'!$B$2:$B252,'Player Database'!$AA$2:$AA252)="",XLOOKUP($E11,'Player Database'!$B$2:$B252,'Player Database'!$G$2:$G252),XLOOKUP($E11,'Player Database'!$B$2:$B252,'Player Database'!$AA$2:$AA252))</f>
        <v>#N/A</v>
      </c>
      <c r="O11" s="51">
        <f>COUNTIFs(Matches!$B:$B,E11,Matches!$A:$A,"&gt;"&amp;Q11,Matches!$A:$A,"&lt;"&amp;R11)</f>
        <v>0</v>
      </c>
      <c r="P11" s="51">
        <f>COUNTIFs(Matches!$C:$C,E11,Matches!$A:$A,"&gt;"&amp;Q11,Matches!$A:$A,"&lt;"&amp;R11)</f>
        <v>0</v>
      </c>
      <c r="Q11" s="52">
        <f>VLOOKUP($C$2,Quotas!$A$7:$E$14,2,FALSE)</f>
        <v>46171.70833</v>
      </c>
      <c r="R11" s="52">
        <f>VLOOKUP($C$2,Quotas!$A$7:$E$14,3,FALSE)</f>
        <v>46178.70833</v>
      </c>
    </row>
    <row r="12">
      <c r="A12" s="34" t="str">
        <f t="array" ref="A12">XLOOKUP($E12,'Player Database'!$B$2:$B252,'Player Database'!$C$2:$C252)</f>
        <v>#N/A</v>
      </c>
      <c r="B12" s="34" t="str">
        <f t="array" ref="B12">XLOOKUP($E12,'Player Database'!$B$2:$B252,'Player Database'!$E$2:$E252)</f>
        <v>#N/A</v>
      </c>
      <c r="C12" s="34" t="str">
        <f t="array" ref="C12">XLOOKUP($E12,'Player Database'!$B$2:$B252,'Player Database'!$F$2:$F252)</f>
        <v>#N/A</v>
      </c>
      <c r="D12" s="39">
        <f>IFERROR(__xludf.DUMMYFUNCTION("""COMPUTED_VALUE"""),1.0)</f>
        <v>1</v>
      </c>
      <c r="E12" s="41"/>
      <c r="F12" s="42" t="str">
        <f t="array" ref="F12">XLOOKUP($E12,'Player Database'!$B$2:$B252,'Player Database'!$K$2:$K252)</f>
        <v>#N/A</v>
      </c>
      <c r="G12" s="42" t="str">
        <f t="array" ref="G12">XLOOKUP($E12,'Player Database'!$B$2:$B252,'Player Database'!$AE$2:$AE252)</f>
        <v>#N/A</v>
      </c>
      <c r="H12" s="42" t="str">
        <f t="array" ref="H12">XLOOKUP($E12,'Player Database'!$B$2:$B252,'Player Database'!$H$2:$H252)</f>
        <v>#N/A</v>
      </c>
      <c r="I12" s="42" t="str">
        <f t="array" ref="I12">XLOOKUP($E12,'Player Database'!$B$2:$B252,'Player Database'!$O$2:$O252)</f>
        <v>#N/A</v>
      </c>
      <c r="J12" s="42" t="str">
        <f t="array" ref="J12">XLOOKUP($E12,'Player Database'!$B$2:$B252,'Player Database'!$P$2:$P252)</f>
        <v>#N/A</v>
      </c>
      <c r="K12" s="44" t="str">
        <f t="array" ref="K12">XLOOKUP($E12,'Player Database'!$B$2:$B252,'Player Database'!$U$2:$U252)</f>
        <v>#N/A</v>
      </c>
      <c r="L12" s="47" t="str">
        <f t="array" ref="L12">XLOOKUP($E12,'Player Database'!$B$2:$B252,'Player Database'!$W$2:$W252)</f>
        <v>#N/A</v>
      </c>
      <c r="M12" s="48" t="str">
        <f t="shared" si="1"/>
        <v>0 - 0</v>
      </c>
      <c r="N12" s="50" t="str">
        <f t="array" ref="N12">IF(XLOOKUP($E12,'Player Database'!$B$2:$B252,'Player Database'!$AA$2:$AA252)="",XLOOKUP($E12,'Player Database'!$B$2:$B252,'Player Database'!$G$2:$G252),XLOOKUP($E12,'Player Database'!$B$2:$B252,'Player Database'!$AA$2:$AA252))</f>
        <v>#N/A</v>
      </c>
      <c r="O12" s="51">
        <f>COUNTIFs(Matches!$B:$B,E12,Matches!$A:$A,"&gt;"&amp;Q12,Matches!$A:$A,"&lt;"&amp;R12)</f>
        <v>0</v>
      </c>
      <c r="P12" s="51">
        <f>COUNTIFs(Matches!$C:$C,E12,Matches!$A:$A,"&gt;"&amp;Q12,Matches!$A:$A,"&lt;"&amp;R12)</f>
        <v>0</v>
      </c>
      <c r="Q12" s="52">
        <f>VLOOKUP($C$2,Quotas!$A$7:$E$14,2,FALSE)</f>
        <v>46171.70833</v>
      </c>
      <c r="R12" s="52">
        <f>VLOOKUP($C$2,Quotas!$A$7:$E$14,3,FALSE)</f>
        <v>46178.70833</v>
      </c>
    </row>
    <row r="13">
      <c r="A13" s="34" t="str">
        <f t="array" ref="A13">XLOOKUP($E13,'Player Database'!$B$2:$B252,'Player Database'!$C$2:$C252)</f>
        <v>#N/A</v>
      </c>
      <c r="B13" s="34" t="str">
        <f t="array" ref="B13">XLOOKUP($E13,'Player Database'!$B$2:$B252,'Player Database'!$E$2:$E252)</f>
        <v>#N/A</v>
      </c>
      <c r="C13" s="34" t="str">
        <f t="array" ref="C13">XLOOKUP($E13,'Player Database'!$B$2:$B252,'Player Database'!$F$2:$F252)</f>
        <v>#N/A</v>
      </c>
      <c r="D13" s="39">
        <f>IFERROR(__xludf.DUMMYFUNCTION("""COMPUTED_VALUE"""),1.0)</f>
        <v>1</v>
      </c>
      <c r="E13" s="41"/>
      <c r="F13" s="42" t="str">
        <f t="array" ref="F13">XLOOKUP($E13,'Player Database'!$B$2:$B252,'Player Database'!$K$2:$K252)</f>
        <v>#N/A</v>
      </c>
      <c r="G13" s="42" t="str">
        <f t="array" ref="G13">XLOOKUP($E13,'Player Database'!$B$2:$B252,'Player Database'!$AE$2:$AE252)</f>
        <v>#N/A</v>
      </c>
      <c r="H13" s="42" t="str">
        <f t="array" ref="H13">XLOOKUP($E13,'Player Database'!$B$2:$B252,'Player Database'!$H$2:$H252)</f>
        <v>#N/A</v>
      </c>
      <c r="I13" s="42" t="str">
        <f t="array" ref="I13">XLOOKUP($E13,'Player Database'!$B$2:$B252,'Player Database'!$O$2:$O252)</f>
        <v>#N/A</v>
      </c>
      <c r="J13" s="42" t="str">
        <f t="array" ref="J13">XLOOKUP($E13,'Player Database'!$B$2:$B252,'Player Database'!$P$2:$P252)</f>
        <v>#N/A</v>
      </c>
      <c r="K13" s="44" t="str">
        <f t="array" ref="K13">XLOOKUP($E13,'Player Database'!$B$2:$B252,'Player Database'!$U$2:$U252)</f>
        <v>#N/A</v>
      </c>
      <c r="L13" s="47" t="str">
        <f t="array" ref="L13">XLOOKUP($E13,'Player Database'!$B$2:$B252,'Player Database'!$W$2:$W252)</f>
        <v>#N/A</v>
      </c>
      <c r="M13" s="48" t="str">
        <f t="shared" si="1"/>
        <v>0 - 0</v>
      </c>
      <c r="N13" s="50" t="str">
        <f t="array" ref="N13">IF(XLOOKUP($E13,'Player Database'!$B$2:$B252,'Player Database'!$AA$2:$AA252)="",XLOOKUP($E13,'Player Database'!$B$2:$B252,'Player Database'!$G$2:$G252),XLOOKUP($E13,'Player Database'!$B$2:$B252,'Player Database'!$AA$2:$AA252))</f>
        <v>#N/A</v>
      </c>
      <c r="O13" s="51">
        <f>COUNTIFs(Matches!$B:$B,E13,Matches!$A:$A,"&gt;"&amp;Q13,Matches!$A:$A,"&lt;"&amp;R13)</f>
        <v>0</v>
      </c>
      <c r="P13" s="51">
        <f>COUNTIFs(Matches!$C:$C,E13,Matches!$A:$A,"&gt;"&amp;Q13,Matches!$A:$A,"&lt;"&amp;R13)</f>
        <v>0</v>
      </c>
      <c r="Q13" s="52">
        <f>VLOOKUP($C$2,Quotas!$A$7:$E$14,2,FALSE)</f>
        <v>46171.70833</v>
      </c>
      <c r="R13" s="52">
        <f>VLOOKUP($C$2,Quotas!$A$7:$E$14,3,FALSE)</f>
        <v>46178.70833</v>
      </c>
    </row>
    <row r="14">
      <c r="A14" s="34" t="str">
        <f t="array" ref="A14">XLOOKUP($E14,'Player Database'!$B$2:$B252,'Player Database'!$C$2:$C252)</f>
        <v>#N/A</v>
      </c>
      <c r="B14" s="34" t="str">
        <f t="array" ref="B14">XLOOKUP($E14,'Player Database'!$B$2:$B252,'Player Database'!$E$2:$E252)</f>
        <v>#N/A</v>
      </c>
      <c r="C14" s="34" t="str">
        <f t="array" ref="C14">XLOOKUP($E14,'Player Database'!$B$2:$B252,'Player Database'!$F$2:$F252)</f>
        <v>#N/A</v>
      </c>
      <c r="D14" s="39">
        <f>IFERROR(__xludf.DUMMYFUNCTION("""COMPUTED_VALUE"""),1.0)</f>
        <v>1</v>
      </c>
      <c r="E14" s="41"/>
      <c r="F14" s="42" t="str">
        <f t="array" ref="F14">XLOOKUP($E14,'Player Database'!$B$2:$B252,'Player Database'!$K$2:$K252)</f>
        <v>#N/A</v>
      </c>
      <c r="G14" s="42" t="str">
        <f t="array" ref="G14">XLOOKUP($E14,'Player Database'!$B$2:$B252,'Player Database'!$AE$2:$AE252)</f>
        <v>#N/A</v>
      </c>
      <c r="H14" s="42" t="str">
        <f t="array" ref="H14">XLOOKUP($E14,'Player Database'!$B$2:$B252,'Player Database'!$H$2:$H252)</f>
        <v>#N/A</v>
      </c>
      <c r="I14" s="42" t="str">
        <f t="array" ref="I14">XLOOKUP($E14,'Player Database'!$B$2:$B252,'Player Database'!$O$2:$O252)</f>
        <v>#N/A</v>
      </c>
      <c r="J14" s="42" t="str">
        <f t="array" ref="J14">XLOOKUP($E14,'Player Database'!$B$2:$B252,'Player Database'!$P$2:$P252)</f>
        <v>#N/A</v>
      </c>
      <c r="K14" s="44" t="str">
        <f t="array" ref="K14">XLOOKUP($E14,'Player Database'!$B$2:$B252,'Player Database'!$U$2:$U252)</f>
        <v>#N/A</v>
      </c>
      <c r="L14" s="47" t="str">
        <f t="array" ref="L14">XLOOKUP($E14,'Player Database'!$B$2:$B252,'Player Database'!$W$2:$W252)</f>
        <v>#N/A</v>
      </c>
      <c r="M14" s="48" t="str">
        <f t="shared" si="1"/>
        <v>0 - 0</v>
      </c>
      <c r="N14" s="50" t="str">
        <f t="array" ref="N14">IF(XLOOKUP($E14,'Player Database'!$B$2:$B252,'Player Database'!$AA$2:$AA252)="",XLOOKUP($E14,'Player Database'!$B$2:$B252,'Player Database'!$G$2:$G252),XLOOKUP($E14,'Player Database'!$B$2:$B252,'Player Database'!$AA$2:$AA252))</f>
        <v>#N/A</v>
      </c>
      <c r="O14" s="51">
        <f>COUNTIFs(Matches!$B:$B,E14,Matches!$A:$A,"&gt;"&amp;Q14,Matches!$A:$A,"&lt;"&amp;R14)</f>
        <v>0</v>
      </c>
      <c r="P14" s="51">
        <f>COUNTIFs(Matches!$C:$C,E14,Matches!$A:$A,"&gt;"&amp;Q14,Matches!$A:$A,"&lt;"&amp;R14)</f>
        <v>0</v>
      </c>
      <c r="Q14" s="52">
        <f>VLOOKUP($C$2,Quotas!$A$7:$E$14,2,FALSE)</f>
        <v>46171.70833</v>
      </c>
      <c r="R14" s="52">
        <f>VLOOKUP($C$2,Quotas!$A$7:$E$14,3,FALSE)</f>
        <v>46178.70833</v>
      </c>
    </row>
    <row r="15">
      <c r="A15" s="34" t="str">
        <f t="array" ref="A15">XLOOKUP($E15,'Player Database'!$B$2:$B252,'Player Database'!$C$2:$C252)</f>
        <v>#N/A</v>
      </c>
      <c r="B15" s="34" t="str">
        <f t="array" ref="B15">XLOOKUP($E15,'Player Database'!$B$2:$B252,'Player Database'!$E$2:$E252)</f>
        <v>#N/A</v>
      </c>
      <c r="C15" s="34" t="str">
        <f t="array" ref="C15">XLOOKUP($E15,'Player Database'!$B$2:$B252,'Player Database'!$F$2:$F252)</f>
        <v>#N/A</v>
      </c>
      <c r="D15" s="39">
        <f>IFERROR(__xludf.DUMMYFUNCTION("""COMPUTED_VALUE"""),1.0)</f>
        <v>1</v>
      </c>
      <c r="E15" s="41"/>
      <c r="F15" s="42" t="str">
        <f t="array" ref="F15">XLOOKUP($E15,'Player Database'!$B$2:$B252,'Player Database'!$K$2:$K252)</f>
        <v>#N/A</v>
      </c>
      <c r="G15" s="42" t="str">
        <f t="array" ref="G15">XLOOKUP($E15,'Player Database'!$B$2:$B252,'Player Database'!$AE$2:$AE252)</f>
        <v>#N/A</v>
      </c>
      <c r="H15" s="42" t="str">
        <f t="array" ref="H15">XLOOKUP($E15,'Player Database'!$B$2:$B252,'Player Database'!$H$2:$H252)</f>
        <v>#N/A</v>
      </c>
      <c r="I15" s="42" t="str">
        <f t="array" ref="I15">XLOOKUP($E15,'Player Database'!$B$2:$B252,'Player Database'!$O$2:$O252)</f>
        <v>#N/A</v>
      </c>
      <c r="J15" s="42" t="str">
        <f t="array" ref="J15">XLOOKUP($E15,'Player Database'!$B$2:$B252,'Player Database'!$P$2:$P252)</f>
        <v>#N/A</v>
      </c>
      <c r="K15" s="44" t="str">
        <f t="array" ref="K15">XLOOKUP($E15,'Player Database'!$B$2:$B252,'Player Database'!$U$2:$U252)</f>
        <v>#N/A</v>
      </c>
      <c r="L15" s="47" t="str">
        <f t="array" ref="L15">XLOOKUP($E15,'Player Database'!$B$2:$B252,'Player Database'!$W$2:$W252)</f>
        <v>#N/A</v>
      </c>
      <c r="M15" s="48" t="str">
        <f t="shared" si="1"/>
        <v>0 - 0</v>
      </c>
      <c r="N15" s="50" t="str">
        <f t="array" ref="N15">IF(XLOOKUP($E15,'Player Database'!$B$2:$B252,'Player Database'!$AA$2:$AA252)="",XLOOKUP($E15,'Player Database'!$B$2:$B252,'Player Database'!$G$2:$G252),XLOOKUP($E15,'Player Database'!$B$2:$B252,'Player Database'!$AA$2:$AA252))</f>
        <v>#N/A</v>
      </c>
      <c r="O15" s="51">
        <f>COUNTIFs(Matches!$B:$B,E15,Matches!$A:$A,"&gt;"&amp;Q15,Matches!$A:$A,"&lt;"&amp;R15)</f>
        <v>0</v>
      </c>
      <c r="P15" s="51">
        <f>COUNTIFs(Matches!$C:$C,E15,Matches!$A:$A,"&gt;"&amp;Q15,Matches!$A:$A,"&lt;"&amp;R15)</f>
        <v>0</v>
      </c>
      <c r="Q15" s="52">
        <f>VLOOKUP($C$2,Quotas!$A$7:$E$14,2,FALSE)</f>
        <v>46171.70833</v>
      </c>
      <c r="R15" s="52">
        <f>VLOOKUP($C$2,Quotas!$A$7:$E$14,3,FALSE)</f>
        <v>46178.70833</v>
      </c>
    </row>
    <row r="16">
      <c r="A16" s="34" t="str">
        <f t="array" ref="A16">XLOOKUP($E16,'Player Database'!$B$2:$B252,'Player Database'!$C$2:$C252)</f>
        <v>#N/A</v>
      </c>
      <c r="B16" s="34" t="str">
        <f t="array" ref="B16">XLOOKUP($E16,'Player Database'!$B$2:$B252,'Player Database'!$E$2:$E252)</f>
        <v>#N/A</v>
      </c>
      <c r="C16" s="34" t="str">
        <f t="array" ref="C16">XLOOKUP($E16,'Player Database'!$B$2:$B252,'Player Database'!$F$2:$F252)</f>
        <v>#N/A</v>
      </c>
      <c r="D16" s="39">
        <f>IFERROR(__xludf.DUMMYFUNCTION("""COMPUTED_VALUE"""),1.0)</f>
        <v>1</v>
      </c>
      <c r="E16" s="41"/>
      <c r="F16" s="42" t="str">
        <f t="array" ref="F16">XLOOKUP($E16,'Player Database'!$B$2:$B252,'Player Database'!$K$2:$K252)</f>
        <v>#N/A</v>
      </c>
      <c r="G16" s="42" t="str">
        <f t="array" ref="G16">XLOOKUP($E16,'Player Database'!$B$2:$B252,'Player Database'!$AE$2:$AE252)</f>
        <v>#N/A</v>
      </c>
      <c r="H16" s="42" t="str">
        <f t="array" ref="H16">XLOOKUP($E16,'Player Database'!$B$2:$B252,'Player Database'!$H$2:$H252)</f>
        <v>#N/A</v>
      </c>
      <c r="I16" s="42" t="str">
        <f t="array" ref="I16">XLOOKUP($E16,'Player Database'!$B$2:$B252,'Player Database'!$O$2:$O252)</f>
        <v>#N/A</v>
      </c>
      <c r="J16" s="42" t="str">
        <f t="array" ref="J16">XLOOKUP($E16,'Player Database'!$B$2:$B252,'Player Database'!$P$2:$P252)</f>
        <v>#N/A</v>
      </c>
      <c r="K16" s="44" t="str">
        <f t="array" ref="K16">XLOOKUP($E16,'Player Database'!$B$2:$B252,'Player Database'!$U$2:$U252)</f>
        <v>#N/A</v>
      </c>
      <c r="L16" s="47" t="str">
        <f t="array" ref="L16">XLOOKUP($E16,'Player Database'!$B$2:$B252,'Player Database'!$W$2:$W252)</f>
        <v>#N/A</v>
      </c>
      <c r="M16" s="48" t="str">
        <f t="shared" si="1"/>
        <v>0 - 0</v>
      </c>
      <c r="N16" s="50" t="str">
        <f t="array" ref="N16">IF(XLOOKUP($E16,'Player Database'!$B$2:$B252,'Player Database'!$AA$2:$AA252)="",XLOOKUP($E16,'Player Database'!$B$2:$B252,'Player Database'!$G$2:$G252),XLOOKUP($E16,'Player Database'!$B$2:$B252,'Player Database'!$AA$2:$AA252))</f>
        <v>#N/A</v>
      </c>
      <c r="O16" s="51">
        <f>COUNTIFs(Matches!$B:$B,E16,Matches!$A:$A,"&gt;"&amp;Q16,Matches!$A:$A,"&lt;"&amp;R16)</f>
        <v>0</v>
      </c>
      <c r="P16" s="51">
        <f>COUNTIFs(Matches!$C:$C,E16,Matches!$A:$A,"&gt;"&amp;Q16,Matches!$A:$A,"&lt;"&amp;R16)</f>
        <v>0</v>
      </c>
      <c r="Q16" s="52">
        <f>VLOOKUP($C$2,Quotas!$A$7:$E$14,2,FALSE)</f>
        <v>46171.70833</v>
      </c>
      <c r="R16" s="52">
        <f>VLOOKUP($C$2,Quotas!$A$7:$E$14,3,FALSE)</f>
        <v>46178.70833</v>
      </c>
    </row>
    <row r="17">
      <c r="A17" s="34" t="str">
        <f t="array" ref="A17">XLOOKUP($E17,'Player Database'!$B$2:$B252,'Player Database'!$C$2:$C252)</f>
        <v>#N/A</v>
      </c>
      <c r="B17" s="34" t="str">
        <f t="array" ref="B17">XLOOKUP($E17,'Player Database'!$B$2:$B252,'Player Database'!$E$2:$E252)</f>
        <v>#N/A</v>
      </c>
      <c r="C17" s="34" t="str">
        <f t="array" ref="C17">XLOOKUP($E17,'Player Database'!$B$2:$B252,'Player Database'!$F$2:$F252)</f>
        <v>#N/A</v>
      </c>
      <c r="D17" s="39">
        <f>IFERROR(__xludf.DUMMYFUNCTION("""COMPUTED_VALUE"""),1.0)</f>
        <v>1</v>
      </c>
      <c r="E17" s="41"/>
      <c r="F17" s="42" t="str">
        <f t="array" ref="F17">XLOOKUP($E17,'Player Database'!$B$2:$B252,'Player Database'!$K$2:$K252)</f>
        <v>#N/A</v>
      </c>
      <c r="G17" s="42" t="str">
        <f t="array" ref="G17">XLOOKUP($E17,'Player Database'!$B$2:$B252,'Player Database'!$AE$2:$AE252)</f>
        <v>#N/A</v>
      </c>
      <c r="H17" s="42" t="str">
        <f t="array" ref="H17">XLOOKUP($E17,'Player Database'!$B$2:$B252,'Player Database'!$H$2:$H252)</f>
        <v>#N/A</v>
      </c>
      <c r="I17" s="42" t="str">
        <f t="array" ref="I17">XLOOKUP($E17,'Player Database'!$B$2:$B252,'Player Database'!$O$2:$O252)</f>
        <v>#N/A</v>
      </c>
      <c r="J17" s="42" t="str">
        <f t="array" ref="J17">XLOOKUP($E17,'Player Database'!$B$2:$B252,'Player Database'!$P$2:$P252)</f>
        <v>#N/A</v>
      </c>
      <c r="K17" s="44" t="str">
        <f t="array" ref="K17">XLOOKUP($E17,'Player Database'!$B$2:$B252,'Player Database'!$U$2:$U252)</f>
        <v>#N/A</v>
      </c>
      <c r="L17" s="47" t="str">
        <f t="array" ref="L17">XLOOKUP($E17,'Player Database'!$B$2:$B252,'Player Database'!$W$2:$W252)</f>
        <v>#N/A</v>
      </c>
      <c r="M17" s="48" t="str">
        <f t="shared" si="1"/>
        <v>0 - 0</v>
      </c>
      <c r="N17" s="50" t="str">
        <f t="array" ref="N17">IF(XLOOKUP($E17,'Player Database'!$B$2:$B252,'Player Database'!$AA$2:$AA252)="",XLOOKUP($E17,'Player Database'!$B$2:$B252,'Player Database'!$G$2:$G252),XLOOKUP($E17,'Player Database'!$B$2:$B252,'Player Database'!$AA$2:$AA252))</f>
        <v>#N/A</v>
      </c>
      <c r="O17" s="51">
        <f>COUNTIFs(Matches!$B:$B,E17,Matches!$A:$A,"&gt;"&amp;Q17,Matches!$A:$A,"&lt;"&amp;R17)</f>
        <v>0</v>
      </c>
      <c r="P17" s="51">
        <f>COUNTIFs(Matches!$C:$C,E17,Matches!$A:$A,"&gt;"&amp;Q17,Matches!$A:$A,"&lt;"&amp;R17)</f>
        <v>0</v>
      </c>
      <c r="Q17" s="52">
        <f>VLOOKUP($C$2,Quotas!$A$7:$E$14,2,FALSE)</f>
        <v>46171.70833</v>
      </c>
      <c r="R17" s="52">
        <f>VLOOKUP($C$2,Quotas!$A$7:$E$14,3,FALSE)</f>
        <v>46178.70833</v>
      </c>
    </row>
    <row r="18">
      <c r="A18" s="34" t="str">
        <f t="array" ref="A18">XLOOKUP($E18,'Player Database'!$B$2:$B252,'Player Database'!$C$2:$C252)</f>
        <v>#N/A</v>
      </c>
      <c r="B18" s="34" t="str">
        <f t="array" ref="B18">XLOOKUP($E18,'Player Database'!$B$2:$B252,'Player Database'!$E$2:$E252)</f>
        <v>#N/A</v>
      </c>
      <c r="C18" s="34" t="str">
        <f t="array" ref="C18">XLOOKUP($E18,'Player Database'!$B$2:$B252,'Player Database'!$F$2:$F252)</f>
        <v>#N/A</v>
      </c>
      <c r="D18" s="39">
        <f>IFERROR(__xludf.DUMMYFUNCTION("""COMPUTED_VALUE"""),1.0)</f>
        <v>1</v>
      </c>
      <c r="E18" s="41"/>
      <c r="F18" s="42" t="str">
        <f t="array" ref="F18">XLOOKUP($E18,'Player Database'!$B$2:$B252,'Player Database'!$K$2:$K252)</f>
        <v>#N/A</v>
      </c>
      <c r="G18" s="42" t="str">
        <f t="array" ref="G18">XLOOKUP($E18,'Player Database'!$B$2:$B252,'Player Database'!$AE$2:$AE252)</f>
        <v>#N/A</v>
      </c>
      <c r="H18" s="42" t="str">
        <f t="array" ref="H18">XLOOKUP($E18,'Player Database'!$B$2:$B252,'Player Database'!$H$2:$H252)</f>
        <v>#N/A</v>
      </c>
      <c r="I18" s="42" t="str">
        <f t="array" ref="I18">XLOOKUP($E18,'Player Database'!$B$2:$B252,'Player Database'!$O$2:$O252)</f>
        <v>#N/A</v>
      </c>
      <c r="J18" s="42" t="str">
        <f t="array" ref="J18">XLOOKUP($E18,'Player Database'!$B$2:$B252,'Player Database'!$P$2:$P252)</f>
        <v>#N/A</v>
      </c>
      <c r="K18" s="44" t="str">
        <f t="array" ref="K18">XLOOKUP($E18,'Player Database'!$B$2:$B252,'Player Database'!$U$2:$U252)</f>
        <v>#N/A</v>
      </c>
      <c r="L18" s="47" t="str">
        <f t="array" ref="L18">XLOOKUP($E18,'Player Database'!$B$2:$B252,'Player Database'!$W$2:$W252)</f>
        <v>#N/A</v>
      </c>
      <c r="M18" s="48" t="str">
        <f t="shared" si="1"/>
        <v>0 - 0</v>
      </c>
      <c r="N18" s="50" t="str">
        <f t="array" ref="N18">IF(XLOOKUP($E18,'Player Database'!$B$2:$B252,'Player Database'!$AA$2:$AA252)="",XLOOKUP($E18,'Player Database'!$B$2:$B252,'Player Database'!$G$2:$G252),XLOOKUP($E18,'Player Database'!$B$2:$B252,'Player Database'!$AA$2:$AA252))</f>
        <v>#N/A</v>
      </c>
      <c r="O18" s="51">
        <f>COUNTIFs(Matches!$B:$B,E18,Matches!$A:$A,"&gt;"&amp;Q18,Matches!$A:$A,"&lt;"&amp;R18)</f>
        <v>0</v>
      </c>
      <c r="P18" s="51">
        <f>COUNTIFs(Matches!$C:$C,E18,Matches!$A:$A,"&gt;"&amp;Q18,Matches!$A:$A,"&lt;"&amp;R18)</f>
        <v>0</v>
      </c>
      <c r="Q18" s="52">
        <f>VLOOKUP($C$2,Quotas!$A$7:$E$14,2,FALSE)</f>
        <v>46171.70833</v>
      </c>
      <c r="R18" s="52">
        <f>VLOOKUP($C$2,Quotas!$A$7:$E$14,3,FALSE)</f>
        <v>46178.70833</v>
      </c>
    </row>
    <row r="19">
      <c r="A19" s="34" t="str">
        <f t="array" ref="A19">XLOOKUP($E19,'Player Database'!$B$2:$B252,'Player Database'!$C$2:$C252)</f>
        <v>#N/A</v>
      </c>
      <c r="B19" s="34" t="str">
        <f t="array" ref="B19">XLOOKUP($E19,'Player Database'!$B$2:$B252,'Player Database'!$E$2:$E252)</f>
        <v>#N/A</v>
      </c>
      <c r="C19" s="34" t="str">
        <f t="array" ref="C19">XLOOKUP($E19,'Player Database'!$B$2:$B252,'Player Database'!$F$2:$F252)</f>
        <v>#N/A</v>
      </c>
      <c r="D19" s="39">
        <f>IFERROR(__xludf.DUMMYFUNCTION("""COMPUTED_VALUE"""),1.0)</f>
        <v>1</v>
      </c>
      <c r="E19" s="41"/>
      <c r="F19" s="42" t="str">
        <f t="array" ref="F19">XLOOKUP($E19,'Player Database'!$B$2:$B252,'Player Database'!$K$2:$K252)</f>
        <v>#N/A</v>
      </c>
      <c r="G19" s="42" t="str">
        <f t="array" ref="G19">XLOOKUP($E19,'Player Database'!$B$2:$B252,'Player Database'!$AE$2:$AE252)</f>
        <v>#N/A</v>
      </c>
      <c r="H19" s="42" t="str">
        <f t="array" ref="H19">XLOOKUP($E19,'Player Database'!$B$2:$B252,'Player Database'!$H$2:$H252)</f>
        <v>#N/A</v>
      </c>
      <c r="I19" s="42" t="str">
        <f t="array" ref="I19">XLOOKUP($E19,'Player Database'!$B$2:$B252,'Player Database'!$O$2:$O252)</f>
        <v>#N/A</v>
      </c>
      <c r="J19" s="42" t="str">
        <f t="array" ref="J19">XLOOKUP($E19,'Player Database'!$B$2:$B252,'Player Database'!$P$2:$P252)</f>
        <v>#N/A</v>
      </c>
      <c r="K19" s="44" t="str">
        <f t="array" ref="K19">XLOOKUP($E19,'Player Database'!$B$2:$B252,'Player Database'!$U$2:$U252)</f>
        <v>#N/A</v>
      </c>
      <c r="L19" s="47" t="str">
        <f t="array" ref="L19">XLOOKUP($E19,'Player Database'!$B$2:$B252,'Player Database'!$W$2:$W252)</f>
        <v>#N/A</v>
      </c>
      <c r="M19" s="48" t="str">
        <f t="shared" si="1"/>
        <v>0 - 0</v>
      </c>
      <c r="N19" s="50" t="str">
        <f t="array" ref="N19">IF(XLOOKUP($E19,'Player Database'!$B$2:$B252,'Player Database'!$AA$2:$AA252)="",XLOOKUP($E19,'Player Database'!$B$2:$B252,'Player Database'!$G$2:$G252),XLOOKUP($E19,'Player Database'!$B$2:$B252,'Player Database'!$AA$2:$AA252))</f>
        <v>#N/A</v>
      </c>
      <c r="O19" s="51">
        <f>COUNTIFs(Matches!$B:$B,E19,Matches!$A:$A,"&gt;"&amp;Q19,Matches!$A:$A,"&lt;"&amp;R19)</f>
        <v>0</v>
      </c>
      <c r="P19" s="51">
        <f>COUNTIFs(Matches!$C:$C,E19,Matches!$A:$A,"&gt;"&amp;Q19,Matches!$A:$A,"&lt;"&amp;R19)</f>
        <v>0</v>
      </c>
      <c r="Q19" s="52">
        <f>VLOOKUP($C$2,Quotas!$A$7:$E$14,2,FALSE)</f>
        <v>46171.70833</v>
      </c>
      <c r="R19" s="52">
        <f>VLOOKUP($C$2,Quotas!$A$7:$E$14,3,FALSE)</f>
        <v>46178.70833</v>
      </c>
    </row>
    <row r="20">
      <c r="A20" s="34" t="str">
        <f t="array" ref="A20">XLOOKUP($E20,'Player Database'!$B$2:$B252,'Player Database'!$C$2:$C252)</f>
        <v>#N/A</v>
      </c>
      <c r="B20" s="34" t="str">
        <f t="array" ref="B20">XLOOKUP($E20,'Player Database'!$B$2:$B252,'Player Database'!$E$2:$E252)</f>
        <v>#N/A</v>
      </c>
      <c r="C20" s="34" t="str">
        <f t="array" ref="C20">XLOOKUP($E20,'Player Database'!$B$2:$B252,'Player Database'!$F$2:$F252)</f>
        <v>#N/A</v>
      </c>
      <c r="D20" s="39">
        <f>IFERROR(__xludf.DUMMYFUNCTION("""COMPUTED_VALUE"""),1.0)</f>
        <v>1</v>
      </c>
      <c r="E20" s="41"/>
      <c r="F20" s="42" t="str">
        <f t="array" ref="F20">XLOOKUP($E20,'Player Database'!$B$2:$B252,'Player Database'!$K$2:$K252)</f>
        <v>#N/A</v>
      </c>
      <c r="G20" s="42" t="str">
        <f t="array" ref="G20">XLOOKUP($E20,'Player Database'!$B$2:$B252,'Player Database'!$AE$2:$AE252)</f>
        <v>#N/A</v>
      </c>
      <c r="H20" s="42" t="str">
        <f t="array" ref="H20">XLOOKUP($E20,'Player Database'!$B$2:$B252,'Player Database'!$H$2:$H252)</f>
        <v>#N/A</v>
      </c>
      <c r="I20" s="42" t="str">
        <f t="array" ref="I20">XLOOKUP($E20,'Player Database'!$B$2:$B252,'Player Database'!$O$2:$O252)</f>
        <v>#N/A</v>
      </c>
      <c r="J20" s="42" t="str">
        <f t="array" ref="J20">XLOOKUP($E20,'Player Database'!$B$2:$B252,'Player Database'!$P$2:$P252)</f>
        <v>#N/A</v>
      </c>
      <c r="K20" s="44" t="str">
        <f t="array" ref="K20">XLOOKUP($E20,'Player Database'!$B$2:$B252,'Player Database'!$U$2:$U252)</f>
        <v>#N/A</v>
      </c>
      <c r="L20" s="47" t="str">
        <f t="array" ref="L20">XLOOKUP($E20,'Player Database'!$B$2:$B252,'Player Database'!$W$2:$W252)</f>
        <v>#N/A</v>
      </c>
      <c r="M20" s="48" t="str">
        <f t="shared" si="1"/>
        <v>0 - 0</v>
      </c>
      <c r="N20" s="50" t="str">
        <f t="array" ref="N20">IF(XLOOKUP($E20,'Player Database'!$B$2:$B252,'Player Database'!$AA$2:$AA252)="",XLOOKUP($E20,'Player Database'!$B$2:$B252,'Player Database'!$G$2:$G252),XLOOKUP($E20,'Player Database'!$B$2:$B252,'Player Database'!$AA$2:$AA252))</f>
        <v>#N/A</v>
      </c>
      <c r="O20" s="51">
        <f>COUNTIFs(Matches!$B:$B,E20,Matches!$A:$A,"&gt;"&amp;Q20,Matches!$A:$A,"&lt;"&amp;R20)</f>
        <v>0</v>
      </c>
      <c r="P20" s="51">
        <f>COUNTIFs(Matches!$C:$C,E20,Matches!$A:$A,"&gt;"&amp;Q20,Matches!$A:$A,"&lt;"&amp;R20)</f>
        <v>0</v>
      </c>
      <c r="Q20" s="52">
        <f>VLOOKUP($C$2,Quotas!$A$7:$E$14,2,FALSE)</f>
        <v>46171.70833</v>
      </c>
      <c r="R20" s="52">
        <f>VLOOKUP($C$2,Quotas!$A$7:$E$14,3,FALSE)</f>
        <v>46178.70833</v>
      </c>
    </row>
    <row r="21">
      <c r="A21" s="34" t="str">
        <f t="array" ref="A21">XLOOKUP($E21,'Player Database'!$B$2:$B252,'Player Database'!$C$2:$C252)</f>
        <v>#N/A</v>
      </c>
      <c r="B21" s="34" t="str">
        <f t="array" ref="B21">XLOOKUP($E21,'Player Database'!$B$2:$B252,'Player Database'!$E$2:$E252)</f>
        <v>#N/A</v>
      </c>
      <c r="C21" s="34" t="str">
        <f t="array" ref="C21">XLOOKUP($E21,'Player Database'!$B$2:$B252,'Player Database'!$F$2:$F252)</f>
        <v>#N/A</v>
      </c>
      <c r="D21" s="39">
        <f>IFERROR(__xludf.DUMMYFUNCTION("""COMPUTED_VALUE"""),1.0)</f>
        <v>1</v>
      </c>
      <c r="E21" s="41"/>
      <c r="F21" s="42" t="str">
        <f t="array" ref="F21">XLOOKUP($E21,'Player Database'!$B$2:$B252,'Player Database'!$K$2:$K252)</f>
        <v>#N/A</v>
      </c>
      <c r="G21" s="42" t="str">
        <f t="array" ref="G21">XLOOKUP($E21,'Player Database'!$B$2:$B252,'Player Database'!$AE$2:$AE252)</f>
        <v>#N/A</v>
      </c>
      <c r="H21" s="42" t="str">
        <f t="array" ref="H21">XLOOKUP($E21,'Player Database'!$B$2:$B252,'Player Database'!$H$2:$H252)</f>
        <v>#N/A</v>
      </c>
      <c r="I21" s="42" t="str">
        <f t="array" ref="I21">XLOOKUP($E21,'Player Database'!$B$2:$B252,'Player Database'!$O$2:$O252)</f>
        <v>#N/A</v>
      </c>
      <c r="J21" s="42" t="str">
        <f t="array" ref="J21">XLOOKUP($E21,'Player Database'!$B$2:$B252,'Player Database'!$P$2:$P252)</f>
        <v>#N/A</v>
      </c>
      <c r="K21" s="44" t="str">
        <f t="array" ref="K21">XLOOKUP($E21,'Player Database'!$B$2:$B252,'Player Database'!$U$2:$U252)</f>
        <v>#N/A</v>
      </c>
      <c r="L21" s="47" t="str">
        <f t="array" ref="L21">XLOOKUP($E21,'Player Database'!$B$2:$B252,'Player Database'!$W$2:$W252)</f>
        <v>#N/A</v>
      </c>
      <c r="M21" s="48" t="str">
        <f t="shared" si="1"/>
        <v>0 - 0</v>
      </c>
      <c r="N21" s="50" t="str">
        <f t="array" ref="N21">IF(XLOOKUP($E21,'Player Database'!$B$2:$B252,'Player Database'!$AA$2:$AA252)="",XLOOKUP($E21,'Player Database'!$B$2:$B252,'Player Database'!$G$2:$G252),XLOOKUP($E21,'Player Database'!$B$2:$B252,'Player Database'!$AA$2:$AA252))</f>
        <v>#N/A</v>
      </c>
      <c r="O21" s="51">
        <f>COUNTIFs(Matches!$B:$B,E21,Matches!$A:$A,"&gt;"&amp;Q21,Matches!$A:$A,"&lt;"&amp;R21)</f>
        <v>0</v>
      </c>
      <c r="P21" s="51">
        <f>COUNTIFs(Matches!$C:$C,E21,Matches!$A:$A,"&gt;"&amp;Q21,Matches!$A:$A,"&lt;"&amp;R21)</f>
        <v>0</v>
      </c>
      <c r="Q21" s="52">
        <f>VLOOKUP($C$2,Quotas!$A$7:$E$14,2,FALSE)</f>
        <v>46171.70833</v>
      </c>
      <c r="R21" s="52">
        <f>VLOOKUP($C$2,Quotas!$A$7:$E$14,3,FALSE)</f>
        <v>46178.70833</v>
      </c>
    </row>
    <row r="22">
      <c r="A22" s="34" t="str">
        <f t="array" ref="A22">XLOOKUP($E22,'Player Database'!$B$2:$B252,'Player Database'!$C$2:$C252)</f>
        <v>#N/A</v>
      </c>
      <c r="B22" s="34" t="str">
        <f t="array" ref="B22">XLOOKUP($E22,'Player Database'!$B$2:$B252,'Player Database'!$E$2:$E252)</f>
        <v>#N/A</v>
      </c>
      <c r="C22" s="34" t="str">
        <f t="array" ref="C22">XLOOKUP($E22,'Player Database'!$B$2:$B252,'Player Database'!$F$2:$F252)</f>
        <v>#N/A</v>
      </c>
      <c r="D22" s="39">
        <f>IFERROR(__xludf.DUMMYFUNCTION("""COMPUTED_VALUE"""),1.0)</f>
        <v>1</v>
      </c>
      <c r="E22" s="41"/>
      <c r="F22" s="42" t="str">
        <f t="array" ref="F22">XLOOKUP($E22,'Player Database'!$B$2:$B252,'Player Database'!$K$2:$K252)</f>
        <v>#N/A</v>
      </c>
      <c r="G22" s="42" t="str">
        <f t="array" ref="G22">XLOOKUP($E22,'Player Database'!$B$2:$B252,'Player Database'!$AE$2:$AE252)</f>
        <v>#N/A</v>
      </c>
      <c r="H22" s="42" t="str">
        <f t="array" ref="H22">XLOOKUP($E22,'Player Database'!$B$2:$B252,'Player Database'!$H$2:$H252)</f>
        <v>#N/A</v>
      </c>
      <c r="I22" s="42" t="str">
        <f t="array" ref="I22">XLOOKUP($E22,'Player Database'!$B$2:$B252,'Player Database'!$O$2:$O252)</f>
        <v>#N/A</v>
      </c>
      <c r="J22" s="42" t="str">
        <f t="array" ref="J22">XLOOKUP($E22,'Player Database'!$B$2:$B252,'Player Database'!$P$2:$P252)</f>
        <v>#N/A</v>
      </c>
      <c r="K22" s="44" t="str">
        <f t="array" ref="K22">XLOOKUP($E22,'Player Database'!$B$2:$B252,'Player Database'!$U$2:$U252)</f>
        <v>#N/A</v>
      </c>
      <c r="L22" s="47" t="str">
        <f t="array" ref="L22">XLOOKUP($E22,'Player Database'!$B$2:$B252,'Player Database'!$W$2:$W252)</f>
        <v>#N/A</v>
      </c>
      <c r="M22" s="48" t="str">
        <f t="shared" si="1"/>
        <v>0 - 0</v>
      </c>
      <c r="N22" s="50" t="str">
        <f t="array" ref="N22">IF(XLOOKUP($E22,'Player Database'!$B$2:$B252,'Player Database'!$AA$2:$AA252)="",XLOOKUP($E22,'Player Database'!$B$2:$B252,'Player Database'!$G$2:$G252),XLOOKUP($E22,'Player Database'!$B$2:$B252,'Player Database'!$AA$2:$AA252))</f>
        <v>#N/A</v>
      </c>
      <c r="O22" s="51">
        <f>COUNTIFs(Matches!$B:$B,E22,Matches!$A:$A,"&gt;"&amp;Q22,Matches!$A:$A,"&lt;"&amp;R22)</f>
        <v>0</v>
      </c>
      <c r="P22" s="51">
        <f>COUNTIFs(Matches!$C:$C,E22,Matches!$A:$A,"&gt;"&amp;Q22,Matches!$A:$A,"&lt;"&amp;R22)</f>
        <v>0</v>
      </c>
      <c r="Q22" s="52">
        <f>VLOOKUP($C$2,Quotas!$A$7:$E$14,2,FALSE)</f>
        <v>46171.70833</v>
      </c>
      <c r="R22" s="52">
        <f>VLOOKUP($C$2,Quotas!$A$7:$E$14,3,FALSE)</f>
        <v>46178.70833</v>
      </c>
    </row>
    <row r="23">
      <c r="A23" s="34" t="str">
        <f t="array" ref="A23">XLOOKUP($E23,'Player Database'!$B$2:$B252,'Player Database'!$C$2:$C252)</f>
        <v>#N/A</v>
      </c>
      <c r="B23" s="34" t="str">
        <f t="array" ref="B23">XLOOKUP($E23,'Player Database'!$B$2:$B252,'Player Database'!$E$2:$E252)</f>
        <v>#N/A</v>
      </c>
      <c r="C23" s="34" t="str">
        <f t="array" ref="C23">XLOOKUP($E23,'Player Database'!$B$2:$B252,'Player Database'!$F$2:$F252)</f>
        <v>#N/A</v>
      </c>
      <c r="D23" s="39">
        <f>IFERROR(__xludf.DUMMYFUNCTION("""COMPUTED_VALUE"""),1.0)</f>
        <v>1</v>
      </c>
      <c r="E23" s="41"/>
      <c r="F23" s="42" t="str">
        <f t="array" ref="F23">XLOOKUP($E23,'Player Database'!$B$2:$B252,'Player Database'!$K$2:$K252)</f>
        <v>#N/A</v>
      </c>
      <c r="G23" s="42" t="str">
        <f t="array" ref="G23">XLOOKUP($E23,'Player Database'!$B$2:$B252,'Player Database'!$AE$2:$AE252)</f>
        <v>#N/A</v>
      </c>
      <c r="H23" s="42" t="str">
        <f t="array" ref="H23">XLOOKUP($E23,'Player Database'!$B$2:$B252,'Player Database'!$H$2:$H252)</f>
        <v>#N/A</v>
      </c>
      <c r="I23" s="42" t="str">
        <f t="array" ref="I23">XLOOKUP($E23,'Player Database'!$B$2:$B252,'Player Database'!$O$2:$O252)</f>
        <v>#N/A</v>
      </c>
      <c r="J23" s="42" t="str">
        <f t="array" ref="J23">XLOOKUP($E23,'Player Database'!$B$2:$B252,'Player Database'!$P$2:$P252)</f>
        <v>#N/A</v>
      </c>
      <c r="K23" s="44" t="str">
        <f t="array" ref="K23">XLOOKUP($E23,'Player Database'!$B$2:$B252,'Player Database'!$U$2:$U252)</f>
        <v>#N/A</v>
      </c>
      <c r="L23" s="47" t="str">
        <f t="array" ref="L23">XLOOKUP($E23,'Player Database'!$B$2:$B252,'Player Database'!$W$2:$W252)</f>
        <v>#N/A</v>
      </c>
      <c r="M23" s="48" t="str">
        <f t="shared" si="1"/>
        <v>0 - 0</v>
      </c>
      <c r="N23" s="50" t="str">
        <f t="array" ref="N23">IF(XLOOKUP($E23,'Player Database'!$B$2:$B252,'Player Database'!$AA$2:$AA252)="",XLOOKUP($E23,'Player Database'!$B$2:$B252,'Player Database'!$G$2:$G252),XLOOKUP($E23,'Player Database'!$B$2:$B252,'Player Database'!$AA$2:$AA252))</f>
        <v>#N/A</v>
      </c>
      <c r="O23" s="51">
        <f>COUNTIFs(Matches!$B:$B,E23,Matches!$A:$A,"&gt;"&amp;Q23,Matches!$A:$A,"&lt;"&amp;R23)</f>
        <v>0</v>
      </c>
      <c r="P23" s="51">
        <f>COUNTIFs(Matches!$C:$C,E23,Matches!$A:$A,"&gt;"&amp;Q23,Matches!$A:$A,"&lt;"&amp;R23)</f>
        <v>0</v>
      </c>
      <c r="Q23" s="52">
        <f>VLOOKUP($C$2,Quotas!$A$7:$E$14,2,FALSE)</f>
        <v>46171.70833</v>
      </c>
      <c r="R23" s="52">
        <f>VLOOKUP($C$2,Quotas!$A$7:$E$14,3,FALSE)</f>
        <v>46178.70833</v>
      </c>
    </row>
    <row r="24">
      <c r="A24" s="34" t="str">
        <f t="array" ref="A24">XLOOKUP($E24,'Player Database'!$B$2:$B252,'Player Database'!$C$2:$C252)</f>
        <v>#N/A</v>
      </c>
      <c r="B24" s="34" t="str">
        <f t="array" ref="B24">XLOOKUP($E24,'Player Database'!$B$2:$B252,'Player Database'!$E$2:$E252)</f>
        <v>#N/A</v>
      </c>
      <c r="C24" s="34" t="str">
        <f t="array" ref="C24">XLOOKUP($E24,'Player Database'!$B$2:$B252,'Player Database'!$F$2:$F252)</f>
        <v>#N/A</v>
      </c>
      <c r="D24" s="39">
        <f>IFERROR(__xludf.DUMMYFUNCTION("""COMPUTED_VALUE"""),1.0)</f>
        <v>1</v>
      </c>
      <c r="E24" s="41"/>
      <c r="F24" s="42" t="str">
        <f t="array" ref="F24">XLOOKUP($E24,'Player Database'!$B$2:$B252,'Player Database'!$K$2:$K252)</f>
        <v>#N/A</v>
      </c>
      <c r="G24" s="42" t="str">
        <f t="array" ref="G24">XLOOKUP($E24,'Player Database'!$B$2:$B252,'Player Database'!$AE$2:$AE252)</f>
        <v>#N/A</v>
      </c>
      <c r="H24" s="42" t="str">
        <f t="array" ref="H24">XLOOKUP($E24,'Player Database'!$B$2:$B252,'Player Database'!$H$2:$H252)</f>
        <v>#N/A</v>
      </c>
      <c r="I24" s="42" t="str">
        <f t="array" ref="I24">XLOOKUP($E24,'Player Database'!$B$2:$B252,'Player Database'!$O$2:$O252)</f>
        <v>#N/A</v>
      </c>
      <c r="J24" s="42" t="str">
        <f t="array" ref="J24">XLOOKUP($E24,'Player Database'!$B$2:$B252,'Player Database'!$P$2:$P252)</f>
        <v>#N/A</v>
      </c>
      <c r="K24" s="44" t="str">
        <f t="array" ref="K24">XLOOKUP($E24,'Player Database'!$B$2:$B252,'Player Database'!$U$2:$U252)</f>
        <v>#N/A</v>
      </c>
      <c r="L24" s="47" t="str">
        <f t="array" ref="L24">XLOOKUP($E24,'Player Database'!$B$2:$B252,'Player Database'!$W$2:$W252)</f>
        <v>#N/A</v>
      </c>
      <c r="M24" s="48" t="str">
        <f t="shared" si="1"/>
        <v>0 - 0</v>
      </c>
      <c r="N24" s="50" t="str">
        <f t="array" ref="N24">IF(XLOOKUP($E24,'Player Database'!$B$2:$B252,'Player Database'!$AA$2:$AA252)="",XLOOKUP($E24,'Player Database'!$B$2:$B252,'Player Database'!$G$2:$G252),XLOOKUP($E24,'Player Database'!$B$2:$B252,'Player Database'!$AA$2:$AA252))</f>
        <v>#N/A</v>
      </c>
      <c r="O24" s="51">
        <f>COUNTIFs(Matches!$B:$B,E24,Matches!$A:$A,"&gt;"&amp;Q24,Matches!$A:$A,"&lt;"&amp;R24)</f>
        <v>0</v>
      </c>
      <c r="P24" s="51">
        <f>COUNTIFs(Matches!$C:$C,E24,Matches!$A:$A,"&gt;"&amp;Q24,Matches!$A:$A,"&lt;"&amp;R24)</f>
        <v>0</v>
      </c>
      <c r="Q24" s="52">
        <f>VLOOKUP($C$2,Quotas!$A$7:$E$14,2,FALSE)</f>
        <v>46171.70833</v>
      </c>
      <c r="R24" s="52">
        <f>VLOOKUP($C$2,Quotas!$A$7:$E$14,3,FALSE)</f>
        <v>46178.70833</v>
      </c>
    </row>
    <row r="25">
      <c r="A25" s="34" t="str">
        <f t="array" ref="A25">XLOOKUP($E25,'Player Database'!$B$2:$B252,'Player Database'!$C$2:$C252)</f>
        <v>#N/A</v>
      </c>
      <c r="B25" s="34" t="str">
        <f t="array" ref="B25">XLOOKUP($E25,'Player Database'!$B$2:$B252,'Player Database'!$E$2:$E252)</f>
        <v>#N/A</v>
      </c>
      <c r="C25" s="34" t="str">
        <f t="array" ref="C25">XLOOKUP($E25,'Player Database'!$B$2:$B252,'Player Database'!$F$2:$F252)</f>
        <v>#N/A</v>
      </c>
      <c r="D25" s="39">
        <f>IFERROR(__xludf.DUMMYFUNCTION("""COMPUTED_VALUE"""),1.0)</f>
        <v>1</v>
      </c>
      <c r="E25" s="41"/>
      <c r="F25" s="42" t="str">
        <f t="array" ref="F25">XLOOKUP($E25,'Player Database'!$B$2:$B252,'Player Database'!$K$2:$K252)</f>
        <v>#N/A</v>
      </c>
      <c r="G25" s="42" t="str">
        <f t="array" ref="G25">XLOOKUP($E25,'Player Database'!$B$2:$B252,'Player Database'!$AE$2:$AE252)</f>
        <v>#N/A</v>
      </c>
      <c r="H25" s="42" t="str">
        <f t="array" ref="H25">XLOOKUP($E25,'Player Database'!$B$2:$B252,'Player Database'!$H$2:$H252)</f>
        <v>#N/A</v>
      </c>
      <c r="I25" s="42" t="str">
        <f t="array" ref="I25">XLOOKUP($E25,'Player Database'!$B$2:$B252,'Player Database'!$O$2:$O252)</f>
        <v>#N/A</v>
      </c>
      <c r="J25" s="42" t="str">
        <f t="array" ref="J25">XLOOKUP($E25,'Player Database'!$B$2:$B252,'Player Database'!$P$2:$P252)</f>
        <v>#N/A</v>
      </c>
      <c r="K25" s="44" t="str">
        <f t="array" ref="K25">XLOOKUP($E25,'Player Database'!$B$2:$B252,'Player Database'!$U$2:$U252)</f>
        <v>#N/A</v>
      </c>
      <c r="L25" s="47" t="str">
        <f t="array" ref="L25">XLOOKUP($E25,'Player Database'!$B$2:$B252,'Player Database'!$W$2:$W252)</f>
        <v>#N/A</v>
      </c>
      <c r="M25" s="48" t="str">
        <f t="shared" si="1"/>
        <v>0 - 0</v>
      </c>
      <c r="N25" s="50" t="str">
        <f t="array" ref="N25">IF(XLOOKUP($E25,'Player Database'!$B$2:$B252,'Player Database'!$AA$2:$AA252)="",XLOOKUP($E25,'Player Database'!$B$2:$B252,'Player Database'!$G$2:$G252),XLOOKUP($E25,'Player Database'!$B$2:$B252,'Player Database'!$AA$2:$AA252))</f>
        <v>#N/A</v>
      </c>
      <c r="O25" s="51">
        <f>COUNTIFs(Matches!$B:$B,E25,Matches!$A:$A,"&gt;"&amp;Q25,Matches!$A:$A,"&lt;"&amp;R25)</f>
        <v>0</v>
      </c>
      <c r="P25" s="51">
        <f>COUNTIFs(Matches!$C:$C,E25,Matches!$A:$A,"&gt;"&amp;Q25,Matches!$A:$A,"&lt;"&amp;R25)</f>
        <v>0</v>
      </c>
      <c r="Q25" s="52">
        <f>VLOOKUP($C$2,Quotas!$A$7:$E$14,2,FALSE)</f>
        <v>46171.70833</v>
      </c>
      <c r="R25" s="52">
        <f>VLOOKUP($C$2,Quotas!$A$7:$E$14,3,FALSE)</f>
        <v>46178.70833</v>
      </c>
    </row>
    <row r="26">
      <c r="A26" s="34" t="str">
        <f t="array" ref="A26">XLOOKUP($E26,'Player Database'!$B$2:$B252,'Player Database'!$C$2:$C252)</f>
        <v>#N/A</v>
      </c>
      <c r="B26" s="34" t="str">
        <f t="array" ref="B26">XLOOKUP($E26,'Player Database'!$B$2:$B252,'Player Database'!$E$2:$E252)</f>
        <v>#N/A</v>
      </c>
      <c r="C26" s="34" t="str">
        <f t="array" ref="C26">XLOOKUP($E26,'Player Database'!$B$2:$B252,'Player Database'!$F$2:$F252)</f>
        <v>#N/A</v>
      </c>
      <c r="D26" s="39">
        <f>IFERROR(__xludf.DUMMYFUNCTION("""COMPUTED_VALUE"""),1.0)</f>
        <v>1</v>
      </c>
      <c r="E26" s="41"/>
      <c r="F26" s="42" t="str">
        <f t="array" ref="F26">XLOOKUP($E26,'Player Database'!$B$2:$B252,'Player Database'!$K$2:$K252)</f>
        <v>#N/A</v>
      </c>
      <c r="G26" s="42" t="str">
        <f t="array" ref="G26">XLOOKUP($E26,'Player Database'!$B$2:$B252,'Player Database'!$AE$2:$AE252)</f>
        <v>#N/A</v>
      </c>
      <c r="H26" s="42" t="str">
        <f t="array" ref="H26">XLOOKUP($E26,'Player Database'!$B$2:$B252,'Player Database'!$H$2:$H252)</f>
        <v>#N/A</v>
      </c>
      <c r="I26" s="42" t="str">
        <f t="array" ref="I26">XLOOKUP($E26,'Player Database'!$B$2:$B252,'Player Database'!$O$2:$O252)</f>
        <v>#N/A</v>
      </c>
      <c r="J26" s="42" t="str">
        <f t="array" ref="J26">XLOOKUP($E26,'Player Database'!$B$2:$B252,'Player Database'!$P$2:$P252)</f>
        <v>#N/A</v>
      </c>
      <c r="K26" s="44" t="str">
        <f t="array" ref="K26">XLOOKUP($E26,'Player Database'!$B$2:$B252,'Player Database'!$U$2:$U252)</f>
        <v>#N/A</v>
      </c>
      <c r="L26" s="47" t="str">
        <f t="array" ref="L26">XLOOKUP($E26,'Player Database'!$B$2:$B252,'Player Database'!$W$2:$W252)</f>
        <v>#N/A</v>
      </c>
      <c r="M26" s="48" t="str">
        <f t="shared" si="1"/>
        <v>0 - 0</v>
      </c>
      <c r="N26" s="50" t="str">
        <f t="array" ref="N26">IF(XLOOKUP($E26,'Player Database'!$B$2:$B252,'Player Database'!$AA$2:$AA252)="",XLOOKUP($E26,'Player Database'!$B$2:$B252,'Player Database'!$G$2:$G252),XLOOKUP($E26,'Player Database'!$B$2:$B252,'Player Database'!$AA$2:$AA252))</f>
        <v>#N/A</v>
      </c>
      <c r="O26" s="51">
        <f>COUNTIFs(Matches!$B:$B,E26,Matches!$A:$A,"&gt;"&amp;Q26,Matches!$A:$A,"&lt;"&amp;R26)</f>
        <v>0</v>
      </c>
      <c r="P26" s="51">
        <f>COUNTIFs(Matches!$C:$C,E26,Matches!$A:$A,"&gt;"&amp;Q26,Matches!$A:$A,"&lt;"&amp;R26)</f>
        <v>0</v>
      </c>
      <c r="Q26" s="52">
        <f>VLOOKUP($C$2,Quotas!$A$7:$E$14,2,FALSE)</f>
        <v>46171.70833</v>
      </c>
      <c r="R26" s="52">
        <f>VLOOKUP($C$2,Quotas!$A$7:$E$14,3,FALSE)</f>
        <v>46178.70833</v>
      </c>
    </row>
    <row r="27">
      <c r="A27" s="34" t="str">
        <f t="array" ref="A27">XLOOKUP($E27,'Player Database'!$B$2:$B252,'Player Database'!$C$2:$C252)</f>
        <v>#N/A</v>
      </c>
      <c r="B27" s="34" t="str">
        <f t="array" ref="B27">XLOOKUP($E27,'Player Database'!$B$2:$B252,'Player Database'!$E$2:$E252)</f>
        <v>#N/A</v>
      </c>
      <c r="C27" s="34" t="str">
        <f t="array" ref="C27">XLOOKUP($E27,'Player Database'!$B$2:$B252,'Player Database'!$F$2:$F252)</f>
        <v>#N/A</v>
      </c>
      <c r="D27" s="39">
        <f>IFERROR(__xludf.DUMMYFUNCTION("""COMPUTED_VALUE"""),1.0)</f>
        <v>1</v>
      </c>
      <c r="E27" s="41"/>
      <c r="F27" s="42" t="str">
        <f t="array" ref="F27">XLOOKUP($E27,'Player Database'!$B$2:$B252,'Player Database'!$K$2:$K252)</f>
        <v>#N/A</v>
      </c>
      <c r="G27" s="42" t="str">
        <f t="array" ref="G27">XLOOKUP($E27,'Player Database'!$B$2:$B252,'Player Database'!$AE$2:$AE252)</f>
        <v>#N/A</v>
      </c>
      <c r="H27" s="42" t="str">
        <f t="array" ref="H27">XLOOKUP($E27,'Player Database'!$B$2:$B252,'Player Database'!$H$2:$H252)</f>
        <v>#N/A</v>
      </c>
      <c r="I27" s="42" t="str">
        <f t="array" ref="I27">XLOOKUP($E27,'Player Database'!$B$2:$B252,'Player Database'!$O$2:$O252)</f>
        <v>#N/A</v>
      </c>
      <c r="J27" s="42" t="str">
        <f t="array" ref="J27">XLOOKUP($E27,'Player Database'!$B$2:$B252,'Player Database'!$P$2:$P252)</f>
        <v>#N/A</v>
      </c>
      <c r="K27" s="44" t="str">
        <f t="array" ref="K27">XLOOKUP($E27,'Player Database'!$B$2:$B252,'Player Database'!$U$2:$U252)</f>
        <v>#N/A</v>
      </c>
      <c r="L27" s="47" t="str">
        <f t="array" ref="L27">XLOOKUP($E27,'Player Database'!$B$2:$B252,'Player Database'!$W$2:$W252)</f>
        <v>#N/A</v>
      </c>
      <c r="M27" s="48" t="str">
        <f t="shared" si="1"/>
        <v>0 - 0</v>
      </c>
      <c r="N27" s="50" t="str">
        <f t="array" ref="N27">IF(XLOOKUP($E27,'Player Database'!$B$2:$B252,'Player Database'!$AA$2:$AA252)="",XLOOKUP($E27,'Player Database'!$B$2:$B252,'Player Database'!$G$2:$G252),XLOOKUP($E27,'Player Database'!$B$2:$B252,'Player Database'!$AA$2:$AA252))</f>
        <v>#N/A</v>
      </c>
      <c r="O27" s="51">
        <f>COUNTIFs(Matches!$B:$B,E27,Matches!$A:$A,"&gt;"&amp;Q27,Matches!$A:$A,"&lt;"&amp;R27)</f>
        <v>0</v>
      </c>
      <c r="P27" s="51">
        <f>COUNTIFs(Matches!$C:$C,E27,Matches!$A:$A,"&gt;"&amp;Q27,Matches!$A:$A,"&lt;"&amp;R27)</f>
        <v>0</v>
      </c>
      <c r="Q27" s="52">
        <f>VLOOKUP($C$2,Quotas!$A$7:$E$14,2,FALSE)</f>
        <v>46171.70833</v>
      </c>
      <c r="R27" s="52">
        <f>VLOOKUP($C$2,Quotas!$A$7:$E$14,3,FALSE)</f>
        <v>46178.70833</v>
      </c>
    </row>
    <row r="28">
      <c r="A28" s="34" t="str">
        <f t="array" ref="A28">XLOOKUP($E28,'Player Database'!$B$2:$B252,'Player Database'!$C$2:$C252)</f>
        <v>#N/A</v>
      </c>
      <c r="B28" s="34" t="str">
        <f t="array" ref="B28">XLOOKUP($E28,'Player Database'!$B$2:$B252,'Player Database'!$E$2:$E252)</f>
        <v>#N/A</v>
      </c>
      <c r="C28" s="34" t="str">
        <f t="array" ref="C28">XLOOKUP($E28,'Player Database'!$B$2:$B252,'Player Database'!$F$2:$F252)</f>
        <v>#N/A</v>
      </c>
      <c r="D28" s="39">
        <f>IFERROR(__xludf.DUMMYFUNCTION("""COMPUTED_VALUE"""),1.0)</f>
        <v>1</v>
      </c>
      <c r="E28" s="41"/>
      <c r="F28" s="42" t="str">
        <f t="array" ref="F28">XLOOKUP($E28,'Player Database'!$B$2:$B252,'Player Database'!$K$2:$K252)</f>
        <v>#N/A</v>
      </c>
      <c r="G28" s="42" t="str">
        <f t="array" ref="G28">XLOOKUP($E28,'Player Database'!$B$2:$B252,'Player Database'!$AE$2:$AE252)</f>
        <v>#N/A</v>
      </c>
      <c r="H28" s="42" t="str">
        <f t="array" ref="H28">XLOOKUP($E28,'Player Database'!$B$2:$B252,'Player Database'!$H$2:$H252)</f>
        <v>#N/A</v>
      </c>
      <c r="I28" s="42" t="str">
        <f t="array" ref="I28">XLOOKUP($E28,'Player Database'!$B$2:$B252,'Player Database'!$O$2:$O252)</f>
        <v>#N/A</v>
      </c>
      <c r="J28" s="42" t="str">
        <f t="array" ref="J28">XLOOKUP($E28,'Player Database'!$B$2:$B252,'Player Database'!$P$2:$P252)</f>
        <v>#N/A</v>
      </c>
      <c r="K28" s="44" t="str">
        <f t="array" ref="K28">XLOOKUP($E28,'Player Database'!$B$2:$B252,'Player Database'!$U$2:$U252)</f>
        <v>#N/A</v>
      </c>
      <c r="L28" s="47" t="str">
        <f t="array" ref="L28">XLOOKUP($E28,'Player Database'!$B$2:$B252,'Player Database'!$W$2:$W252)</f>
        <v>#N/A</v>
      </c>
      <c r="M28" s="48" t="str">
        <f t="shared" si="1"/>
        <v>0 - 0</v>
      </c>
      <c r="N28" s="50" t="str">
        <f t="array" ref="N28">IF(XLOOKUP($E28,'Player Database'!$B$2:$B252,'Player Database'!$AA$2:$AA252)="",XLOOKUP($E28,'Player Database'!$B$2:$B252,'Player Database'!$G$2:$G252),XLOOKUP($E28,'Player Database'!$B$2:$B252,'Player Database'!$AA$2:$AA252))</f>
        <v>#N/A</v>
      </c>
      <c r="O28" s="51">
        <f>COUNTIFs(Matches!$B:$B,E28,Matches!$A:$A,"&gt;"&amp;Q28,Matches!$A:$A,"&lt;"&amp;R28)</f>
        <v>0</v>
      </c>
      <c r="P28" s="51">
        <f>COUNTIFs(Matches!$C:$C,E28,Matches!$A:$A,"&gt;"&amp;Q28,Matches!$A:$A,"&lt;"&amp;R28)</f>
        <v>0</v>
      </c>
      <c r="Q28" s="52">
        <f>VLOOKUP($C$2,Quotas!$A$7:$E$14,2,FALSE)</f>
        <v>46171.70833</v>
      </c>
      <c r="R28" s="52">
        <f>VLOOKUP($C$2,Quotas!$A$7:$E$14,3,FALSE)</f>
        <v>46178.70833</v>
      </c>
    </row>
    <row r="29">
      <c r="A29" s="34" t="str">
        <f t="array" ref="A29">XLOOKUP($E29,'Player Database'!$B$2:$B252,'Player Database'!$C$2:$C252)</f>
        <v>#N/A</v>
      </c>
      <c r="B29" s="34" t="str">
        <f t="array" ref="B29">XLOOKUP($E29,'Player Database'!$B$2:$B252,'Player Database'!$E$2:$E252)</f>
        <v>#N/A</v>
      </c>
      <c r="C29" s="34" t="str">
        <f t="array" ref="C29">XLOOKUP($E29,'Player Database'!$B$2:$B252,'Player Database'!$F$2:$F252)</f>
        <v>#N/A</v>
      </c>
      <c r="D29" s="39">
        <f>IFERROR(__xludf.DUMMYFUNCTION("""COMPUTED_VALUE"""),1.0)</f>
        <v>1</v>
      </c>
      <c r="E29" s="41"/>
      <c r="F29" s="42" t="str">
        <f t="array" ref="F29">XLOOKUP($E29,'Player Database'!$B$2:$B252,'Player Database'!$K$2:$K252)</f>
        <v>#N/A</v>
      </c>
      <c r="G29" s="42" t="str">
        <f t="array" ref="G29">XLOOKUP($E29,'Player Database'!$B$2:$B252,'Player Database'!$AE$2:$AE252)</f>
        <v>#N/A</v>
      </c>
      <c r="H29" s="42" t="str">
        <f t="array" ref="H29">XLOOKUP($E29,'Player Database'!$B$2:$B252,'Player Database'!$H$2:$H252)</f>
        <v>#N/A</v>
      </c>
      <c r="I29" s="42" t="str">
        <f t="array" ref="I29">XLOOKUP($E29,'Player Database'!$B$2:$B252,'Player Database'!$O$2:$O252)</f>
        <v>#N/A</v>
      </c>
      <c r="J29" s="42" t="str">
        <f t="array" ref="J29">XLOOKUP($E29,'Player Database'!$B$2:$B252,'Player Database'!$P$2:$P252)</f>
        <v>#N/A</v>
      </c>
      <c r="K29" s="44" t="str">
        <f t="array" ref="K29">XLOOKUP($E29,'Player Database'!$B$2:$B252,'Player Database'!$U$2:$U252)</f>
        <v>#N/A</v>
      </c>
      <c r="L29" s="47" t="str">
        <f t="array" ref="L29">XLOOKUP($E29,'Player Database'!$B$2:$B252,'Player Database'!$W$2:$W252)</f>
        <v>#N/A</v>
      </c>
      <c r="M29" s="48" t="str">
        <f t="shared" si="1"/>
        <v>0 - 0</v>
      </c>
      <c r="N29" s="50" t="str">
        <f t="array" ref="N29">IF(XLOOKUP($E29,'Player Database'!$B$2:$B252,'Player Database'!$AA$2:$AA252)="",XLOOKUP($E29,'Player Database'!$B$2:$B252,'Player Database'!$G$2:$G252),XLOOKUP($E29,'Player Database'!$B$2:$B252,'Player Database'!$AA$2:$AA252))</f>
        <v>#N/A</v>
      </c>
      <c r="O29" s="51">
        <f>COUNTIFs(Matches!$B:$B,E29,Matches!$A:$A,"&gt;"&amp;Q29,Matches!$A:$A,"&lt;"&amp;R29)</f>
        <v>0</v>
      </c>
      <c r="P29" s="51">
        <f>COUNTIFs(Matches!$C:$C,E29,Matches!$A:$A,"&gt;"&amp;Q29,Matches!$A:$A,"&lt;"&amp;R29)</f>
        <v>0</v>
      </c>
      <c r="Q29" s="52">
        <f>VLOOKUP($C$2,Quotas!$A$7:$E$14,2,FALSE)</f>
        <v>46171.70833</v>
      </c>
      <c r="R29" s="52">
        <f>VLOOKUP($C$2,Quotas!$A$7:$E$14,3,FALSE)</f>
        <v>46178.70833</v>
      </c>
    </row>
    <row r="30">
      <c r="A30" s="34" t="str">
        <f t="array" ref="A30">XLOOKUP($E30,'Player Database'!$B$2:$B252,'Player Database'!$C$2:$C252)</f>
        <v>#N/A</v>
      </c>
      <c r="B30" s="34" t="str">
        <f t="array" ref="B30">XLOOKUP($E30,'Player Database'!$B$2:$B252,'Player Database'!$E$2:$E252)</f>
        <v>#N/A</v>
      </c>
      <c r="C30" s="34" t="str">
        <f t="array" ref="C30">XLOOKUP($E30,'Player Database'!$B$2:$B252,'Player Database'!$F$2:$F252)</f>
        <v>#N/A</v>
      </c>
      <c r="D30" s="39">
        <f>IFERROR(__xludf.DUMMYFUNCTION("""COMPUTED_VALUE"""),1.0)</f>
        <v>1</v>
      </c>
      <c r="E30" s="41"/>
      <c r="F30" s="42" t="str">
        <f t="array" ref="F30">XLOOKUP($E30,'Player Database'!$B$2:$B252,'Player Database'!$K$2:$K252)</f>
        <v>#N/A</v>
      </c>
      <c r="G30" s="42" t="str">
        <f t="array" ref="G30">XLOOKUP($E30,'Player Database'!$B$2:$B252,'Player Database'!$AE$2:$AE252)</f>
        <v>#N/A</v>
      </c>
      <c r="H30" s="42" t="str">
        <f t="array" ref="H30">XLOOKUP($E30,'Player Database'!$B$2:$B252,'Player Database'!$H$2:$H252)</f>
        <v>#N/A</v>
      </c>
      <c r="I30" s="42" t="str">
        <f t="array" ref="I30">XLOOKUP($E30,'Player Database'!$B$2:$B252,'Player Database'!$O$2:$O252)</f>
        <v>#N/A</v>
      </c>
      <c r="J30" s="42" t="str">
        <f t="array" ref="J30">XLOOKUP($E30,'Player Database'!$B$2:$B252,'Player Database'!$P$2:$P252)</f>
        <v>#N/A</v>
      </c>
      <c r="K30" s="44" t="str">
        <f t="array" ref="K30">XLOOKUP($E30,'Player Database'!$B$2:$B252,'Player Database'!$U$2:$U252)</f>
        <v>#N/A</v>
      </c>
      <c r="L30" s="47" t="str">
        <f t="array" ref="L30">XLOOKUP($E30,'Player Database'!$B$2:$B252,'Player Database'!$W$2:$W252)</f>
        <v>#N/A</v>
      </c>
      <c r="M30" s="48" t="str">
        <f t="shared" si="1"/>
        <v>0 - 0</v>
      </c>
      <c r="N30" s="50" t="str">
        <f t="array" ref="N30">IF(XLOOKUP($E30,'Player Database'!$B$2:$B252,'Player Database'!$AA$2:$AA252)="",XLOOKUP($E30,'Player Database'!$B$2:$B252,'Player Database'!$G$2:$G252),XLOOKUP($E30,'Player Database'!$B$2:$B252,'Player Database'!$AA$2:$AA252))</f>
        <v>#N/A</v>
      </c>
      <c r="O30" s="51">
        <f>COUNTIFs(Matches!$B:$B,E30,Matches!$A:$A,"&gt;"&amp;Q30,Matches!$A:$A,"&lt;"&amp;R30)</f>
        <v>0</v>
      </c>
      <c r="P30" s="51">
        <f>COUNTIFs(Matches!$C:$C,E30,Matches!$A:$A,"&gt;"&amp;Q30,Matches!$A:$A,"&lt;"&amp;R30)</f>
        <v>0</v>
      </c>
      <c r="Q30" s="52">
        <f>VLOOKUP($C$2,Quotas!$A$7:$E$14,2,FALSE)</f>
        <v>46171.70833</v>
      </c>
      <c r="R30" s="52">
        <f>VLOOKUP($C$2,Quotas!$A$7:$E$14,3,FALSE)</f>
        <v>46178.70833</v>
      </c>
    </row>
    <row r="31">
      <c r="A31" s="34" t="str">
        <f t="array" ref="A31">XLOOKUP($E31,'Player Database'!$B$2:$B252,'Player Database'!$C$2:$C252)</f>
        <v>#N/A</v>
      </c>
      <c r="B31" s="34" t="str">
        <f t="array" ref="B31">XLOOKUP($E31,'Player Database'!$B$2:$B252,'Player Database'!$E$2:$E252)</f>
        <v>#N/A</v>
      </c>
      <c r="C31" s="34" t="str">
        <f t="array" ref="C31">XLOOKUP($E31,'Player Database'!$B$2:$B252,'Player Database'!$F$2:$F252)</f>
        <v>#N/A</v>
      </c>
      <c r="D31" s="39">
        <f>IFERROR(__xludf.DUMMYFUNCTION("""COMPUTED_VALUE"""),1.0)</f>
        <v>1</v>
      </c>
      <c r="E31" s="41"/>
      <c r="F31" s="42" t="str">
        <f t="array" ref="F31">XLOOKUP($E31,'Player Database'!$B$2:$B252,'Player Database'!$K$2:$K252)</f>
        <v>#N/A</v>
      </c>
      <c r="G31" s="42" t="str">
        <f t="array" ref="G31">XLOOKUP($E31,'Player Database'!$B$2:$B252,'Player Database'!$AE$2:$AE252)</f>
        <v>#N/A</v>
      </c>
      <c r="H31" s="42" t="str">
        <f t="array" ref="H31">XLOOKUP($E31,'Player Database'!$B$2:$B252,'Player Database'!$H$2:$H252)</f>
        <v>#N/A</v>
      </c>
      <c r="I31" s="42" t="str">
        <f t="array" ref="I31">XLOOKUP($E31,'Player Database'!$B$2:$B252,'Player Database'!$O$2:$O252)</f>
        <v>#N/A</v>
      </c>
      <c r="J31" s="42" t="str">
        <f t="array" ref="J31">XLOOKUP($E31,'Player Database'!$B$2:$B252,'Player Database'!$P$2:$P252)</f>
        <v>#N/A</v>
      </c>
      <c r="K31" s="44" t="str">
        <f t="array" ref="K31">XLOOKUP($E31,'Player Database'!$B$2:$B252,'Player Database'!$U$2:$U252)</f>
        <v>#N/A</v>
      </c>
      <c r="L31" s="47" t="str">
        <f t="array" ref="L31">XLOOKUP($E31,'Player Database'!$B$2:$B252,'Player Database'!$W$2:$W252)</f>
        <v>#N/A</v>
      </c>
      <c r="M31" s="48" t="str">
        <f t="shared" si="1"/>
        <v>0 - 0</v>
      </c>
      <c r="N31" s="50" t="str">
        <f t="array" ref="N31">IF(XLOOKUP($E31,'Player Database'!$B$2:$B252,'Player Database'!$AA$2:$AA252)="",XLOOKUP($E31,'Player Database'!$B$2:$B252,'Player Database'!$G$2:$G252),XLOOKUP($E31,'Player Database'!$B$2:$B252,'Player Database'!$AA$2:$AA252))</f>
        <v>#N/A</v>
      </c>
      <c r="O31" s="51">
        <f>COUNTIFs(Matches!$B:$B,E31,Matches!$A:$A,"&gt;"&amp;Q31,Matches!$A:$A,"&lt;"&amp;R31)</f>
        <v>0</v>
      </c>
      <c r="P31" s="51">
        <f>COUNTIFs(Matches!$C:$C,E31,Matches!$A:$A,"&gt;"&amp;Q31,Matches!$A:$A,"&lt;"&amp;R31)</f>
        <v>0</v>
      </c>
      <c r="Q31" s="52">
        <f>VLOOKUP($C$2,Quotas!$A$7:$E$14,2,FALSE)</f>
        <v>46171.70833</v>
      </c>
      <c r="R31" s="52">
        <f>VLOOKUP($C$2,Quotas!$A$7:$E$14,3,FALSE)</f>
        <v>46178.70833</v>
      </c>
    </row>
    <row r="32">
      <c r="A32" s="34" t="str">
        <f t="array" ref="A32">XLOOKUP($E32,'Player Database'!$B$2:$B252,'Player Database'!$C$2:$C252)</f>
        <v>#N/A</v>
      </c>
      <c r="B32" s="34" t="str">
        <f t="array" ref="B32">XLOOKUP($E32,'Player Database'!$B$2:$B252,'Player Database'!$E$2:$E252)</f>
        <v>#N/A</v>
      </c>
      <c r="C32" s="34" t="str">
        <f t="array" ref="C32">XLOOKUP($E32,'Player Database'!$B$2:$B252,'Player Database'!$F$2:$F252)</f>
        <v>#N/A</v>
      </c>
      <c r="D32" s="39">
        <f>IFERROR(__xludf.DUMMYFUNCTION("""COMPUTED_VALUE"""),1.0)</f>
        <v>1</v>
      </c>
      <c r="E32" s="41"/>
      <c r="F32" s="42" t="str">
        <f t="array" ref="F32">XLOOKUP($E32,'Player Database'!$B$2:$B252,'Player Database'!$K$2:$K252)</f>
        <v>#N/A</v>
      </c>
      <c r="G32" s="42" t="str">
        <f t="array" ref="G32">XLOOKUP($E32,'Player Database'!$B$2:$B252,'Player Database'!$AE$2:$AE252)</f>
        <v>#N/A</v>
      </c>
      <c r="H32" s="42" t="str">
        <f t="array" ref="H32">XLOOKUP($E32,'Player Database'!$B$2:$B252,'Player Database'!$H$2:$H252)</f>
        <v>#N/A</v>
      </c>
      <c r="I32" s="42" t="str">
        <f t="array" ref="I32">XLOOKUP($E32,'Player Database'!$B$2:$B252,'Player Database'!$O$2:$O252)</f>
        <v>#N/A</v>
      </c>
      <c r="J32" s="42" t="str">
        <f t="array" ref="J32">XLOOKUP($E32,'Player Database'!$B$2:$B252,'Player Database'!$P$2:$P252)</f>
        <v>#N/A</v>
      </c>
      <c r="K32" s="44" t="str">
        <f t="array" ref="K32">XLOOKUP($E32,'Player Database'!$B$2:$B252,'Player Database'!$U$2:$U252)</f>
        <v>#N/A</v>
      </c>
      <c r="L32" s="47" t="str">
        <f t="array" ref="L32">XLOOKUP($E32,'Player Database'!$B$2:$B252,'Player Database'!$W$2:$W252)</f>
        <v>#N/A</v>
      </c>
      <c r="M32" s="48" t="str">
        <f t="shared" si="1"/>
        <v>0 - 0</v>
      </c>
      <c r="N32" s="50" t="str">
        <f t="array" ref="N32">IF(XLOOKUP($E32,'Player Database'!$B$2:$B252,'Player Database'!$AA$2:$AA252)="",XLOOKUP($E32,'Player Database'!$B$2:$B252,'Player Database'!$G$2:$G252),XLOOKUP($E32,'Player Database'!$B$2:$B252,'Player Database'!$AA$2:$AA252))</f>
        <v>#N/A</v>
      </c>
      <c r="O32" s="51">
        <f>COUNTIFs(Matches!$B:$B,E32,Matches!$A:$A,"&gt;"&amp;Q32,Matches!$A:$A,"&lt;"&amp;R32)</f>
        <v>0</v>
      </c>
      <c r="P32" s="51">
        <f>COUNTIFs(Matches!$C:$C,E32,Matches!$A:$A,"&gt;"&amp;Q32,Matches!$A:$A,"&lt;"&amp;R32)</f>
        <v>0</v>
      </c>
      <c r="Q32" s="52">
        <f>VLOOKUP($C$2,Quotas!$A$7:$E$14,2,FALSE)</f>
        <v>46171.70833</v>
      </c>
      <c r="R32" s="52">
        <f>VLOOKUP($C$2,Quotas!$A$7:$E$14,3,FALSE)</f>
        <v>46178.70833</v>
      </c>
    </row>
    <row r="33">
      <c r="A33" s="34" t="str">
        <f t="array" ref="A33">XLOOKUP($E33,'Player Database'!$B$2:$B252,'Player Database'!$C$2:$C252)</f>
        <v>#N/A</v>
      </c>
      <c r="B33" s="34" t="str">
        <f t="array" ref="B33">XLOOKUP($E33,'Player Database'!$B$2:$B252,'Player Database'!$E$2:$E252)</f>
        <v>#N/A</v>
      </c>
      <c r="C33" s="34" t="str">
        <f t="array" ref="C33">XLOOKUP($E33,'Player Database'!$B$2:$B252,'Player Database'!$F$2:$F252)</f>
        <v>#N/A</v>
      </c>
      <c r="D33" s="39">
        <f>IFERROR(__xludf.DUMMYFUNCTION("""COMPUTED_VALUE"""),1.0)</f>
        <v>1</v>
      </c>
      <c r="E33" s="41"/>
      <c r="F33" s="42" t="str">
        <f t="array" ref="F33">XLOOKUP($E33,'Player Database'!$B$2:$B252,'Player Database'!$K$2:$K252)</f>
        <v>#N/A</v>
      </c>
      <c r="G33" s="42" t="str">
        <f t="array" ref="G33">XLOOKUP($E33,'Player Database'!$B$2:$B252,'Player Database'!$AE$2:$AE252)</f>
        <v>#N/A</v>
      </c>
      <c r="H33" s="42" t="str">
        <f t="array" ref="H33">XLOOKUP($E33,'Player Database'!$B$2:$B252,'Player Database'!$H$2:$H252)</f>
        <v>#N/A</v>
      </c>
      <c r="I33" s="42" t="str">
        <f t="array" ref="I33">XLOOKUP($E33,'Player Database'!$B$2:$B252,'Player Database'!$O$2:$O252)</f>
        <v>#N/A</v>
      </c>
      <c r="J33" s="42" t="str">
        <f t="array" ref="J33">XLOOKUP($E33,'Player Database'!$B$2:$B252,'Player Database'!$P$2:$P252)</f>
        <v>#N/A</v>
      </c>
      <c r="K33" s="44" t="str">
        <f t="array" ref="K33">XLOOKUP($E33,'Player Database'!$B$2:$B252,'Player Database'!$U$2:$U252)</f>
        <v>#N/A</v>
      </c>
      <c r="L33" s="47" t="str">
        <f t="array" ref="L33">XLOOKUP($E33,'Player Database'!$B$2:$B252,'Player Database'!$W$2:$W252)</f>
        <v>#N/A</v>
      </c>
      <c r="M33" s="48" t="str">
        <f t="shared" si="1"/>
        <v>0 - 0</v>
      </c>
      <c r="N33" s="50" t="str">
        <f t="array" ref="N33">IF(XLOOKUP($E33,'Player Database'!$B$2:$B252,'Player Database'!$AA$2:$AA252)="",XLOOKUP($E33,'Player Database'!$B$2:$B252,'Player Database'!$G$2:$G252),XLOOKUP($E33,'Player Database'!$B$2:$B252,'Player Database'!$AA$2:$AA252))</f>
        <v>#N/A</v>
      </c>
      <c r="O33" s="51">
        <f>COUNTIFs(Matches!$B:$B,E33,Matches!$A:$A,"&gt;"&amp;Q33,Matches!$A:$A,"&lt;"&amp;R33)</f>
        <v>0</v>
      </c>
      <c r="P33" s="51">
        <f>COUNTIFs(Matches!$C:$C,E33,Matches!$A:$A,"&gt;"&amp;Q33,Matches!$A:$A,"&lt;"&amp;R33)</f>
        <v>0</v>
      </c>
      <c r="Q33" s="52">
        <f>VLOOKUP($C$2,Quotas!$A$7:$E$14,2,FALSE)</f>
        <v>46171.70833</v>
      </c>
      <c r="R33" s="52">
        <f>VLOOKUP($C$2,Quotas!$A$7:$E$14,3,FALSE)</f>
        <v>46178.70833</v>
      </c>
    </row>
    <row r="34">
      <c r="A34" s="34" t="str">
        <f t="array" ref="A34">XLOOKUP($E34,'Player Database'!$B$2:$B252,'Player Database'!$C$2:$C252)</f>
        <v>#N/A</v>
      </c>
      <c r="B34" s="34" t="str">
        <f t="array" ref="B34">XLOOKUP($E34,'Player Database'!$B$2:$B252,'Player Database'!$E$2:$E252)</f>
        <v>#N/A</v>
      </c>
      <c r="C34" s="34" t="str">
        <f t="array" ref="C34">XLOOKUP($E34,'Player Database'!$B$2:$B252,'Player Database'!$F$2:$F252)</f>
        <v>#N/A</v>
      </c>
      <c r="D34" s="39">
        <f>IFERROR(__xludf.DUMMYFUNCTION("""COMPUTED_VALUE"""),1.0)</f>
        <v>1</v>
      </c>
      <c r="E34" s="41"/>
      <c r="F34" s="42" t="str">
        <f t="array" ref="F34">XLOOKUP($E34,'Player Database'!$B$2:$B252,'Player Database'!$K$2:$K252)</f>
        <v>#N/A</v>
      </c>
      <c r="G34" s="42" t="str">
        <f t="array" ref="G34">XLOOKUP($E34,'Player Database'!$B$2:$B252,'Player Database'!$AE$2:$AE252)</f>
        <v>#N/A</v>
      </c>
      <c r="H34" s="42" t="str">
        <f t="array" ref="H34">XLOOKUP($E34,'Player Database'!$B$2:$B252,'Player Database'!$H$2:$H252)</f>
        <v>#N/A</v>
      </c>
      <c r="I34" s="42" t="str">
        <f t="array" ref="I34">XLOOKUP($E34,'Player Database'!$B$2:$B252,'Player Database'!$O$2:$O252)</f>
        <v>#N/A</v>
      </c>
      <c r="J34" s="42" t="str">
        <f t="array" ref="J34">XLOOKUP($E34,'Player Database'!$B$2:$B252,'Player Database'!$P$2:$P252)</f>
        <v>#N/A</v>
      </c>
      <c r="K34" s="44" t="str">
        <f t="array" ref="K34">XLOOKUP($E34,'Player Database'!$B$2:$B252,'Player Database'!$U$2:$U252)</f>
        <v>#N/A</v>
      </c>
      <c r="L34" s="47" t="str">
        <f t="array" ref="L34">XLOOKUP($E34,'Player Database'!$B$2:$B252,'Player Database'!$W$2:$W252)</f>
        <v>#N/A</v>
      </c>
      <c r="M34" s="48" t="str">
        <f t="shared" si="1"/>
        <v>0 - 0</v>
      </c>
      <c r="N34" s="50" t="str">
        <f t="array" ref="N34">IF(XLOOKUP($E34,'Player Database'!$B$2:$B252,'Player Database'!$AA$2:$AA252)="",XLOOKUP($E34,'Player Database'!$B$2:$B252,'Player Database'!$G$2:$G252),XLOOKUP($E34,'Player Database'!$B$2:$B252,'Player Database'!$AA$2:$AA252))</f>
        <v>#N/A</v>
      </c>
      <c r="O34" s="51">
        <f>COUNTIFs(Matches!$B:$B,E34,Matches!$A:$A,"&gt;"&amp;Q34,Matches!$A:$A,"&lt;"&amp;R34)</f>
        <v>0</v>
      </c>
      <c r="P34" s="51">
        <f>COUNTIFs(Matches!$C:$C,E34,Matches!$A:$A,"&gt;"&amp;Q34,Matches!$A:$A,"&lt;"&amp;R34)</f>
        <v>0</v>
      </c>
      <c r="Q34" s="52">
        <f>VLOOKUP($C$2,Quotas!$A$7:$E$14,2,FALSE)</f>
        <v>46171.70833</v>
      </c>
      <c r="R34" s="52">
        <f>VLOOKUP($C$2,Quotas!$A$7:$E$14,3,FALSE)</f>
        <v>46178.70833</v>
      </c>
    </row>
    <row r="35">
      <c r="A35" s="34" t="str">
        <f t="array" ref="A35">XLOOKUP($E35,'Player Database'!$B$2:$B252,'Player Database'!$C$2:$C252)</f>
        <v>#N/A</v>
      </c>
      <c r="B35" s="34" t="str">
        <f t="array" ref="B35">XLOOKUP($E35,'Player Database'!$B$2:$B252,'Player Database'!$E$2:$E252)</f>
        <v>#N/A</v>
      </c>
      <c r="C35" s="34" t="str">
        <f t="array" ref="C35">XLOOKUP($E35,'Player Database'!$B$2:$B252,'Player Database'!$F$2:$F252)</f>
        <v>#N/A</v>
      </c>
      <c r="D35" s="39">
        <f>IFERROR(__xludf.DUMMYFUNCTION("""COMPUTED_VALUE"""),1.0)</f>
        <v>1</v>
      </c>
      <c r="E35" s="41"/>
      <c r="F35" s="42" t="str">
        <f t="array" ref="F35">XLOOKUP($E35,'Player Database'!$B$2:$B252,'Player Database'!$K$2:$K252)</f>
        <v>#N/A</v>
      </c>
      <c r="G35" s="42" t="str">
        <f t="array" ref="G35">XLOOKUP($E35,'Player Database'!$B$2:$B252,'Player Database'!$AE$2:$AE252)</f>
        <v>#N/A</v>
      </c>
      <c r="H35" s="42" t="str">
        <f t="array" ref="H35">XLOOKUP($E35,'Player Database'!$B$2:$B252,'Player Database'!$H$2:$H252)</f>
        <v>#N/A</v>
      </c>
      <c r="I35" s="42" t="str">
        <f t="array" ref="I35">XLOOKUP($E35,'Player Database'!$B$2:$B252,'Player Database'!$O$2:$O252)</f>
        <v>#N/A</v>
      </c>
      <c r="J35" s="42" t="str">
        <f t="array" ref="J35">XLOOKUP($E35,'Player Database'!$B$2:$B252,'Player Database'!$P$2:$P252)</f>
        <v>#N/A</v>
      </c>
      <c r="K35" s="44" t="str">
        <f t="array" ref="K35">XLOOKUP($E35,'Player Database'!$B$2:$B252,'Player Database'!$U$2:$U252)</f>
        <v>#N/A</v>
      </c>
      <c r="L35" s="47" t="str">
        <f t="array" ref="L35">XLOOKUP($E35,'Player Database'!$B$2:$B252,'Player Database'!$W$2:$W252)</f>
        <v>#N/A</v>
      </c>
      <c r="M35" s="48" t="str">
        <f t="shared" si="1"/>
        <v>0 - 0</v>
      </c>
      <c r="N35" s="50" t="str">
        <f t="array" ref="N35">IF(XLOOKUP($E35,'Player Database'!$B$2:$B252,'Player Database'!$AA$2:$AA252)="",XLOOKUP($E35,'Player Database'!$B$2:$B252,'Player Database'!$G$2:$G252),XLOOKUP($E35,'Player Database'!$B$2:$B252,'Player Database'!$AA$2:$AA252))</f>
        <v>#N/A</v>
      </c>
      <c r="O35" s="51">
        <f>COUNTIFs(Matches!$B:$B,E35,Matches!$A:$A,"&gt;"&amp;Q35,Matches!$A:$A,"&lt;"&amp;R35)</f>
        <v>0</v>
      </c>
      <c r="P35" s="51">
        <f>COUNTIFs(Matches!$C:$C,E35,Matches!$A:$A,"&gt;"&amp;Q35,Matches!$A:$A,"&lt;"&amp;R35)</f>
        <v>0</v>
      </c>
      <c r="Q35" s="52">
        <f>VLOOKUP($C$2,Quotas!$A$7:$E$14,2,FALSE)</f>
        <v>46171.70833</v>
      </c>
      <c r="R35" s="52">
        <f>VLOOKUP($C$2,Quotas!$A$7:$E$14,3,FALSE)</f>
        <v>46178.70833</v>
      </c>
    </row>
    <row r="36">
      <c r="A36" s="80" t="str">
        <f t="array" ref="A36">XLOOKUP($E36,'Player Database'!$B$2:$B252,'Player Database'!$C$2:$C252)</f>
        <v>#N/A</v>
      </c>
      <c r="B36" s="80" t="str">
        <f t="array" ref="B36">XLOOKUP($E36,'Player Database'!$B$2:$B252,'Player Database'!$E$2:$E252)</f>
        <v>#N/A</v>
      </c>
      <c r="C36" s="80" t="str">
        <f t="array" ref="C36">XLOOKUP($E36,'Player Database'!$B$2:$B252,'Player Database'!$F$2:$F252)</f>
        <v>#N/A</v>
      </c>
      <c r="D36" s="81">
        <f>IFERROR(__xludf.DUMMYFUNCTION("""COMPUTED_VALUE"""),1.0)</f>
        <v>1</v>
      </c>
      <c r="E36" s="41"/>
      <c r="F36" s="42" t="str">
        <f t="array" ref="F36">XLOOKUP($E36,'Player Database'!$B$2:$B252,'Player Database'!$K$2:$K252)</f>
        <v>#N/A</v>
      </c>
      <c r="G36" s="42" t="str">
        <f t="array" ref="G36">XLOOKUP($E36,'Player Database'!$B$2:$B252,'Player Database'!$AE$2:$AE252)</f>
        <v>#N/A</v>
      </c>
      <c r="H36" s="42" t="str">
        <f t="array" ref="H36">XLOOKUP($E36,'Player Database'!$B$2:$B252,'Player Database'!$H$2:$H252)</f>
        <v>#N/A</v>
      </c>
      <c r="I36" s="42" t="str">
        <f t="array" ref="I36">XLOOKUP($E36,'Player Database'!$B$2:$B252,'Player Database'!$O$2:$O252)</f>
        <v>#N/A</v>
      </c>
      <c r="J36" s="42" t="str">
        <f t="array" ref="J36">XLOOKUP($E36,'Player Database'!$B$2:$B252,'Player Database'!$P$2:$P252)</f>
        <v>#N/A</v>
      </c>
      <c r="K36" s="44" t="str">
        <f t="array" ref="K36">XLOOKUP($E36,'Player Database'!$B$2:$B252,'Player Database'!$U$2:$U252)</f>
        <v>#N/A</v>
      </c>
      <c r="L36" s="47" t="str">
        <f t="array" ref="L36">XLOOKUP($E36,'Player Database'!$B$2:$B252,'Player Database'!$W$2:$W252)</f>
        <v>#N/A</v>
      </c>
      <c r="M36" s="48" t="str">
        <f t="shared" si="1"/>
        <v>0 - 0</v>
      </c>
      <c r="N36" s="50" t="str">
        <f t="array" ref="N36">IF(XLOOKUP($E36,'Player Database'!$B$2:$B252,'Player Database'!$AA$2:$AA252)="",XLOOKUP($E36,'Player Database'!$B$2:$B252,'Player Database'!$G$2:$G252),XLOOKUP($E36,'Player Database'!$B$2:$B252,'Player Database'!$AA$2:$AA252))</f>
        <v>#N/A</v>
      </c>
      <c r="O36" s="51">
        <f>COUNTIFs(Matches!$B:$B,E36,Matches!$A:$A,"&gt;"&amp;Q36,Matches!$A:$A,"&lt;"&amp;R36)</f>
        <v>0</v>
      </c>
      <c r="P36" s="51">
        <f>COUNTIFs(Matches!$C:$C,E36,Matches!$A:$A,"&gt;"&amp;Q36,Matches!$A:$A,"&lt;"&amp;R36)</f>
        <v>0</v>
      </c>
      <c r="Q36" s="52">
        <f>VLOOKUP($C$2,Quotas!$A$7:$E$14,2,FALSE)</f>
        <v>46171.70833</v>
      </c>
      <c r="R36" s="52">
        <f>VLOOKUP($C$2,Quotas!$A$7:$E$14,3,FALSE)</f>
        <v>46178.70833</v>
      </c>
    </row>
    <row r="37">
      <c r="A37" s="80" t="str">
        <f t="array" ref="A37">XLOOKUP($E37,'Player Database'!$B$2:$B252,'Player Database'!$C$2:$C252)</f>
        <v>#N/A</v>
      </c>
      <c r="B37" s="80" t="str">
        <f t="array" ref="B37">XLOOKUP($E37,'Player Database'!$B$2:$B252,'Player Database'!$E$2:$E252)</f>
        <v>#N/A</v>
      </c>
      <c r="C37" s="80" t="str">
        <f t="array" ref="C37">XLOOKUP($E37,'Player Database'!$B$2:$B252,'Player Database'!$F$2:$F252)</f>
        <v>#N/A</v>
      </c>
      <c r="D37" s="81">
        <f>IFERROR(__xludf.DUMMYFUNCTION("""COMPUTED_VALUE"""),1.0)</f>
        <v>1</v>
      </c>
      <c r="E37" s="41"/>
      <c r="F37" s="42" t="str">
        <f t="array" ref="F37">XLOOKUP($E37,'Player Database'!$B$2:$B252,'Player Database'!$K$2:$K252)</f>
        <v>#N/A</v>
      </c>
      <c r="G37" s="42" t="str">
        <f t="array" ref="G37">XLOOKUP($E37,'Player Database'!$B$2:$B252,'Player Database'!$AE$2:$AE252)</f>
        <v>#N/A</v>
      </c>
      <c r="H37" s="42" t="str">
        <f t="array" ref="H37">XLOOKUP($E37,'Player Database'!$B$2:$B252,'Player Database'!$H$2:$H252)</f>
        <v>#N/A</v>
      </c>
      <c r="I37" s="42" t="str">
        <f t="array" ref="I37">XLOOKUP($E37,'Player Database'!$B$2:$B252,'Player Database'!$O$2:$O252)</f>
        <v>#N/A</v>
      </c>
      <c r="J37" s="42" t="str">
        <f t="array" ref="J37">XLOOKUP($E37,'Player Database'!$B$2:$B252,'Player Database'!$P$2:$P252)</f>
        <v>#N/A</v>
      </c>
      <c r="K37" s="44" t="str">
        <f t="array" ref="K37">XLOOKUP($E37,'Player Database'!$B$2:$B252,'Player Database'!$U$2:$U252)</f>
        <v>#N/A</v>
      </c>
      <c r="L37" s="47" t="str">
        <f t="array" ref="L37">XLOOKUP($E37,'Player Database'!$B$2:$B252,'Player Database'!$W$2:$W252)</f>
        <v>#N/A</v>
      </c>
      <c r="M37" s="48" t="str">
        <f t="shared" si="1"/>
        <v>0 - 0</v>
      </c>
      <c r="N37" s="50" t="str">
        <f t="array" ref="N37">IF(XLOOKUP($E37,'Player Database'!$B$2:$B252,'Player Database'!$AA$2:$AA252)="",XLOOKUP($E37,'Player Database'!$B$2:$B252,'Player Database'!$G$2:$G252),XLOOKUP($E37,'Player Database'!$B$2:$B252,'Player Database'!$AA$2:$AA252))</f>
        <v>#N/A</v>
      </c>
      <c r="O37" s="51">
        <f>COUNTIFs(Matches!$B:$B,E37,Matches!$A:$A,"&gt;"&amp;Q37,Matches!$A:$A,"&lt;"&amp;R37)</f>
        <v>0</v>
      </c>
      <c r="P37" s="51">
        <f>COUNTIFs(Matches!$C:$C,E37,Matches!$A:$A,"&gt;"&amp;Q37,Matches!$A:$A,"&lt;"&amp;R37)</f>
        <v>0</v>
      </c>
      <c r="Q37" s="52">
        <f>VLOOKUP($C$2,Quotas!$A$7:$E$14,2,FALSE)</f>
        <v>46171.70833</v>
      </c>
      <c r="R37" s="52">
        <f>VLOOKUP($C$2,Quotas!$A$7:$E$14,3,FALSE)</f>
        <v>46178.70833</v>
      </c>
    </row>
    <row r="38">
      <c r="A38" s="80" t="str">
        <f t="array" ref="A38">XLOOKUP($E38,'Player Database'!$B$2:$B252,'Player Database'!$C$2:$C252)</f>
        <v>#N/A</v>
      </c>
      <c r="B38" s="80" t="str">
        <f t="array" ref="B38">XLOOKUP($E38,'Player Database'!$B$2:$B252,'Player Database'!$E$2:$E252)</f>
        <v>#N/A</v>
      </c>
      <c r="C38" s="80" t="str">
        <f t="array" ref="C38">XLOOKUP($E38,'Player Database'!$B$2:$B252,'Player Database'!$F$2:$F252)</f>
        <v>#N/A</v>
      </c>
      <c r="D38" s="81">
        <f>IFERROR(__xludf.DUMMYFUNCTION("""COMPUTED_VALUE"""),1.0)</f>
        <v>1</v>
      </c>
      <c r="E38" s="41"/>
      <c r="F38" s="42" t="str">
        <f t="array" ref="F38">XLOOKUP($E38,'Player Database'!$B$2:$B252,'Player Database'!$K$2:$K252)</f>
        <v>#N/A</v>
      </c>
      <c r="G38" s="42" t="str">
        <f t="array" ref="G38">XLOOKUP($E38,'Player Database'!$B$2:$B252,'Player Database'!$AE$2:$AE252)</f>
        <v>#N/A</v>
      </c>
      <c r="H38" s="42" t="str">
        <f t="array" ref="H38">XLOOKUP($E38,'Player Database'!$B$2:$B252,'Player Database'!$H$2:$H252)</f>
        <v>#N/A</v>
      </c>
      <c r="I38" s="42" t="str">
        <f t="array" ref="I38">XLOOKUP($E38,'Player Database'!$B$2:$B252,'Player Database'!$O$2:$O252)</f>
        <v>#N/A</v>
      </c>
      <c r="J38" s="42" t="str">
        <f t="array" ref="J38">XLOOKUP($E38,'Player Database'!$B$2:$B252,'Player Database'!$P$2:$P252)</f>
        <v>#N/A</v>
      </c>
      <c r="K38" s="44" t="str">
        <f t="array" ref="K38">XLOOKUP($E38,'Player Database'!$B$2:$B252,'Player Database'!$U$2:$U252)</f>
        <v>#N/A</v>
      </c>
      <c r="L38" s="47" t="str">
        <f t="array" ref="L38">XLOOKUP($E38,'Player Database'!$B$2:$B252,'Player Database'!$W$2:$W252)</f>
        <v>#N/A</v>
      </c>
      <c r="M38" s="48" t="str">
        <f t="shared" si="1"/>
        <v>0 - 0</v>
      </c>
      <c r="N38" s="50" t="str">
        <f t="array" ref="N38">IF(XLOOKUP($E38,'Player Database'!$B$2:$B252,'Player Database'!$AA$2:$AA252)="",XLOOKUP($E38,'Player Database'!$B$2:$B252,'Player Database'!$G$2:$G252),XLOOKUP($E38,'Player Database'!$B$2:$B252,'Player Database'!$AA$2:$AA252))</f>
        <v>#N/A</v>
      </c>
      <c r="O38" s="51">
        <f>COUNTIFs(Matches!$B:$B,E38,Matches!$A:$A,"&gt;"&amp;Q38,Matches!$A:$A,"&lt;"&amp;R38)</f>
        <v>0</v>
      </c>
      <c r="P38" s="51">
        <f>COUNTIFs(Matches!$C:$C,E38,Matches!$A:$A,"&gt;"&amp;Q38,Matches!$A:$A,"&lt;"&amp;R38)</f>
        <v>0</v>
      </c>
      <c r="Q38" s="52">
        <f>VLOOKUP($C$2,Quotas!$A$7:$E$14,2,FALSE)</f>
        <v>46171.70833</v>
      </c>
      <c r="R38" s="52">
        <f>VLOOKUP($C$2,Quotas!$A$7:$E$14,3,FALSE)</f>
        <v>46178.70833</v>
      </c>
    </row>
    <row r="39">
      <c r="A39" s="80" t="str">
        <f t="array" ref="A39">XLOOKUP($E39,'Player Database'!$B$2:$B252,'Player Database'!$C$2:$C252)</f>
        <v>#N/A</v>
      </c>
      <c r="B39" s="80" t="str">
        <f t="array" ref="B39">XLOOKUP($E39,'Player Database'!$B$2:$B252,'Player Database'!$E$2:$E252)</f>
        <v>#N/A</v>
      </c>
      <c r="C39" s="80" t="str">
        <f t="array" ref="C39">XLOOKUP($E39,'Player Database'!$B$2:$B252,'Player Database'!$F$2:$F252)</f>
        <v>#N/A</v>
      </c>
      <c r="D39" s="81">
        <f>IFERROR(__xludf.DUMMYFUNCTION("""COMPUTED_VALUE"""),1.0)</f>
        <v>1</v>
      </c>
      <c r="E39" s="41"/>
      <c r="F39" s="42" t="str">
        <f t="array" ref="F39">XLOOKUP($E39,'Player Database'!$B$2:$B252,'Player Database'!$K$2:$K252)</f>
        <v>#N/A</v>
      </c>
      <c r="G39" s="42" t="str">
        <f t="array" ref="G39">XLOOKUP($E39,'Player Database'!$B$2:$B252,'Player Database'!$AE$2:$AE252)</f>
        <v>#N/A</v>
      </c>
      <c r="H39" s="42" t="str">
        <f t="array" ref="H39">XLOOKUP($E39,'Player Database'!$B$2:$B252,'Player Database'!$H$2:$H252)</f>
        <v>#N/A</v>
      </c>
      <c r="I39" s="42" t="str">
        <f t="array" ref="I39">XLOOKUP($E39,'Player Database'!$B$2:$B252,'Player Database'!$O$2:$O252)</f>
        <v>#N/A</v>
      </c>
      <c r="J39" s="42" t="str">
        <f t="array" ref="J39">XLOOKUP($E39,'Player Database'!$B$2:$B252,'Player Database'!$P$2:$P252)</f>
        <v>#N/A</v>
      </c>
      <c r="K39" s="44" t="str">
        <f t="array" ref="K39">XLOOKUP($E39,'Player Database'!$B$2:$B252,'Player Database'!$U$2:$U252)</f>
        <v>#N/A</v>
      </c>
      <c r="L39" s="47" t="str">
        <f t="array" ref="L39">XLOOKUP($E39,'Player Database'!$B$2:$B252,'Player Database'!$W$2:$W252)</f>
        <v>#N/A</v>
      </c>
      <c r="M39" s="48" t="str">
        <f t="shared" si="1"/>
        <v>0 - 0</v>
      </c>
      <c r="N39" s="50" t="str">
        <f t="array" ref="N39">IF(XLOOKUP($E39,'Player Database'!$B$2:$B252,'Player Database'!$AA$2:$AA252)="",XLOOKUP($E39,'Player Database'!$B$2:$B252,'Player Database'!$G$2:$G252),XLOOKUP($E39,'Player Database'!$B$2:$B252,'Player Database'!$AA$2:$AA252))</f>
        <v>#N/A</v>
      </c>
      <c r="O39" s="51">
        <f>COUNTIFs(Matches!$B:$B,E39,Matches!$A:$A,"&gt;"&amp;Q39,Matches!$A:$A,"&lt;"&amp;R39)</f>
        <v>0</v>
      </c>
      <c r="P39" s="51">
        <f>COUNTIFs(Matches!$C:$C,E39,Matches!$A:$A,"&gt;"&amp;Q39,Matches!$A:$A,"&lt;"&amp;R39)</f>
        <v>0</v>
      </c>
      <c r="Q39" s="52">
        <f>VLOOKUP($C$2,Quotas!$A$7:$E$14,2,FALSE)</f>
        <v>46171.70833</v>
      </c>
      <c r="R39" s="52">
        <f>VLOOKUP($C$2,Quotas!$A$7:$E$14,3,FALSE)</f>
        <v>46178.70833</v>
      </c>
    </row>
    <row r="40">
      <c r="A40" s="80" t="str">
        <f t="array" ref="A40">XLOOKUP($E40,'Player Database'!$B$2:$B252,'Player Database'!$C$2:$C252)</f>
        <v>#N/A</v>
      </c>
      <c r="B40" s="80" t="str">
        <f t="array" ref="B40">XLOOKUP($E40,'Player Database'!$B$2:$B252,'Player Database'!$E$2:$E252)</f>
        <v>#N/A</v>
      </c>
      <c r="C40" s="80" t="str">
        <f t="array" ref="C40">XLOOKUP($E40,'Player Database'!$B$2:$B252,'Player Database'!$F$2:$F252)</f>
        <v>#N/A</v>
      </c>
      <c r="D40" s="81">
        <f>IFERROR(__xludf.DUMMYFUNCTION("""COMPUTED_VALUE"""),1.0)</f>
        <v>1</v>
      </c>
      <c r="E40" s="41"/>
      <c r="F40" s="42" t="str">
        <f t="array" ref="F40">XLOOKUP($E40,'Player Database'!$B$2:$B252,'Player Database'!$K$2:$K252)</f>
        <v>#N/A</v>
      </c>
      <c r="G40" s="42" t="str">
        <f t="array" ref="G40">XLOOKUP($E40,'Player Database'!$B$2:$B252,'Player Database'!$AE$2:$AE252)</f>
        <v>#N/A</v>
      </c>
      <c r="H40" s="42" t="str">
        <f t="array" ref="H40">XLOOKUP($E40,'Player Database'!$B$2:$B252,'Player Database'!$H$2:$H252)</f>
        <v>#N/A</v>
      </c>
      <c r="I40" s="42" t="str">
        <f t="array" ref="I40">XLOOKUP($E40,'Player Database'!$B$2:$B252,'Player Database'!$O$2:$O252)</f>
        <v>#N/A</v>
      </c>
      <c r="J40" s="42" t="str">
        <f t="array" ref="J40">XLOOKUP($E40,'Player Database'!$B$2:$B252,'Player Database'!$P$2:$P252)</f>
        <v>#N/A</v>
      </c>
      <c r="K40" s="44" t="str">
        <f t="array" ref="K40">XLOOKUP($E40,'Player Database'!$B$2:$B252,'Player Database'!$U$2:$U252)</f>
        <v>#N/A</v>
      </c>
      <c r="L40" s="47" t="str">
        <f t="array" ref="L40">XLOOKUP($E40,'Player Database'!$B$2:$B252,'Player Database'!$W$2:$W252)</f>
        <v>#N/A</v>
      </c>
      <c r="M40" s="48" t="str">
        <f t="shared" si="1"/>
        <v>0 - 0</v>
      </c>
      <c r="N40" s="50" t="str">
        <f t="array" ref="N40">IF(XLOOKUP($E40,'Player Database'!$B$2:$B252,'Player Database'!$AA$2:$AA252)="",XLOOKUP($E40,'Player Database'!$B$2:$B252,'Player Database'!$G$2:$G252),XLOOKUP($E40,'Player Database'!$B$2:$B252,'Player Database'!$AA$2:$AA252))</f>
        <v>#N/A</v>
      </c>
      <c r="O40" s="51">
        <f>COUNTIFs(Matches!$B:$B,E40,Matches!$A:$A,"&gt;"&amp;Q40,Matches!$A:$A,"&lt;"&amp;R40)</f>
        <v>0</v>
      </c>
      <c r="P40" s="51">
        <f>COUNTIFs(Matches!$C:$C,E40,Matches!$A:$A,"&gt;"&amp;Q40,Matches!$A:$A,"&lt;"&amp;R40)</f>
        <v>0</v>
      </c>
      <c r="Q40" s="52">
        <f>VLOOKUP($C$2,Quotas!$A$7:$E$14,2,FALSE)</f>
        <v>46171.70833</v>
      </c>
      <c r="R40" s="52">
        <f>VLOOKUP($C$2,Quotas!$A$7:$E$14,3,FALSE)</f>
        <v>46178.70833</v>
      </c>
    </row>
    <row r="41">
      <c r="A41" s="80" t="str">
        <f t="array" ref="A41">XLOOKUP($E41,'Player Database'!$B$2:$B252,'Player Database'!$C$2:$C252)</f>
        <v>#N/A</v>
      </c>
      <c r="B41" s="80" t="str">
        <f t="array" ref="B41">XLOOKUP($E41,'Player Database'!$B$2:$B252,'Player Database'!$E$2:$E252)</f>
        <v>#N/A</v>
      </c>
      <c r="C41" s="80" t="str">
        <f t="array" ref="C41">XLOOKUP($E41,'Player Database'!$B$2:$B252,'Player Database'!$F$2:$F252)</f>
        <v>#N/A</v>
      </c>
      <c r="D41" s="81">
        <f>IFERROR(__xludf.DUMMYFUNCTION("""COMPUTED_VALUE"""),1.0)</f>
        <v>1</v>
      </c>
      <c r="E41" s="41"/>
      <c r="F41" s="42" t="str">
        <f t="array" ref="F41">XLOOKUP($E41,'Player Database'!$B$2:$B252,'Player Database'!$K$2:$K252)</f>
        <v>#N/A</v>
      </c>
      <c r="G41" s="42" t="str">
        <f t="array" ref="G41">XLOOKUP($E41,'Player Database'!$B$2:$B252,'Player Database'!$AE$2:$AE252)</f>
        <v>#N/A</v>
      </c>
      <c r="H41" s="42" t="str">
        <f t="array" ref="H41">XLOOKUP($E41,'Player Database'!$B$2:$B252,'Player Database'!$H$2:$H252)</f>
        <v>#N/A</v>
      </c>
      <c r="I41" s="42" t="str">
        <f t="array" ref="I41">XLOOKUP($E41,'Player Database'!$B$2:$B252,'Player Database'!$O$2:$O252)</f>
        <v>#N/A</v>
      </c>
      <c r="J41" s="42" t="str">
        <f t="array" ref="J41">XLOOKUP($E41,'Player Database'!$B$2:$B252,'Player Database'!$P$2:$P252)</f>
        <v>#N/A</v>
      </c>
      <c r="K41" s="44" t="str">
        <f t="array" ref="K41">XLOOKUP($E41,'Player Database'!$B$2:$B252,'Player Database'!$U$2:$U252)</f>
        <v>#N/A</v>
      </c>
      <c r="L41" s="47" t="str">
        <f t="array" ref="L41">XLOOKUP($E41,'Player Database'!$B$2:$B252,'Player Database'!$W$2:$W252)</f>
        <v>#N/A</v>
      </c>
      <c r="M41" s="48" t="str">
        <f t="shared" si="1"/>
        <v>0 - 0</v>
      </c>
      <c r="N41" s="50" t="str">
        <f t="array" ref="N41">IF(XLOOKUP($E41,'Player Database'!$B$2:$B252,'Player Database'!$AA$2:$AA252)="",XLOOKUP($E41,'Player Database'!$B$2:$B252,'Player Database'!$G$2:$G252),XLOOKUP($E41,'Player Database'!$B$2:$B252,'Player Database'!$AA$2:$AA252))</f>
        <v>#N/A</v>
      </c>
      <c r="O41" s="51">
        <f>COUNTIFs(Matches!$B:$B,E41,Matches!$A:$A,"&gt;"&amp;Q41,Matches!$A:$A,"&lt;"&amp;R41)</f>
        <v>0</v>
      </c>
      <c r="P41" s="51">
        <f>COUNTIFs(Matches!$C:$C,E41,Matches!$A:$A,"&gt;"&amp;Q41,Matches!$A:$A,"&lt;"&amp;R41)</f>
        <v>0</v>
      </c>
      <c r="Q41" s="52">
        <f>VLOOKUP($C$2,Quotas!$A$7:$E$14,2,FALSE)</f>
        <v>46171.70833</v>
      </c>
      <c r="R41" s="52">
        <f>VLOOKUP($C$2,Quotas!$A$7:$E$14,3,FALSE)</f>
        <v>46178.70833</v>
      </c>
    </row>
    <row r="42">
      <c r="A42" s="80" t="str">
        <f t="array" ref="A42">XLOOKUP($E42,'Player Database'!$B$2:$B252,'Player Database'!$C$2:$C252)</f>
        <v>#N/A</v>
      </c>
      <c r="B42" s="80" t="str">
        <f t="array" ref="B42">XLOOKUP($E42,'Player Database'!$B$2:$B252,'Player Database'!$E$2:$E252)</f>
        <v>#N/A</v>
      </c>
      <c r="C42" s="80" t="str">
        <f t="array" ref="C42">XLOOKUP($E42,'Player Database'!$B$2:$B252,'Player Database'!$F$2:$F252)</f>
        <v>#N/A</v>
      </c>
      <c r="D42" s="81">
        <f>IFERROR(__xludf.DUMMYFUNCTION("""COMPUTED_VALUE"""),1.0)</f>
        <v>1</v>
      </c>
      <c r="E42" s="41"/>
      <c r="F42" s="42" t="str">
        <f t="array" ref="F42">XLOOKUP($E42,'Player Database'!$B$2:$B252,'Player Database'!$K$2:$K252)</f>
        <v>#N/A</v>
      </c>
      <c r="G42" s="42" t="str">
        <f t="array" ref="G42">XLOOKUP($E42,'Player Database'!$B$2:$B252,'Player Database'!$AE$2:$AE252)</f>
        <v>#N/A</v>
      </c>
      <c r="H42" s="42" t="str">
        <f t="array" ref="H42">XLOOKUP($E42,'Player Database'!$B$2:$B252,'Player Database'!$H$2:$H252)</f>
        <v>#N/A</v>
      </c>
      <c r="I42" s="42" t="str">
        <f t="array" ref="I42">XLOOKUP($E42,'Player Database'!$B$2:$B252,'Player Database'!$O$2:$O252)</f>
        <v>#N/A</v>
      </c>
      <c r="J42" s="42" t="str">
        <f t="array" ref="J42">XLOOKUP($E42,'Player Database'!$B$2:$B252,'Player Database'!$P$2:$P252)</f>
        <v>#N/A</v>
      </c>
      <c r="K42" s="44" t="str">
        <f t="array" ref="K42">XLOOKUP($E42,'Player Database'!$B$2:$B252,'Player Database'!$U$2:$U252)</f>
        <v>#N/A</v>
      </c>
      <c r="L42" s="47" t="str">
        <f t="array" ref="L42">XLOOKUP($E42,'Player Database'!$B$2:$B252,'Player Database'!$W$2:$W252)</f>
        <v>#N/A</v>
      </c>
      <c r="M42" s="48" t="str">
        <f t="shared" si="1"/>
        <v>0 - 0</v>
      </c>
      <c r="N42" s="50" t="str">
        <f t="array" ref="N42">IF(XLOOKUP($E42,'Player Database'!$B$2:$B252,'Player Database'!$AA$2:$AA252)="",XLOOKUP($E42,'Player Database'!$B$2:$B252,'Player Database'!$G$2:$G252),XLOOKUP($E42,'Player Database'!$B$2:$B252,'Player Database'!$AA$2:$AA252))</f>
        <v>#N/A</v>
      </c>
      <c r="O42" s="51">
        <f>COUNTIFs(Matches!$B:$B,E42,Matches!$A:$A,"&gt;"&amp;Q42,Matches!$A:$A,"&lt;"&amp;R42)</f>
        <v>0</v>
      </c>
      <c r="P42" s="51">
        <f>COUNTIFs(Matches!$C:$C,E42,Matches!$A:$A,"&gt;"&amp;Q42,Matches!$A:$A,"&lt;"&amp;R42)</f>
        <v>0</v>
      </c>
      <c r="Q42" s="52">
        <f>VLOOKUP($C$2,Quotas!$A$7:$E$14,2,FALSE)</f>
        <v>46171.70833</v>
      </c>
      <c r="R42" s="52">
        <f>VLOOKUP($C$2,Quotas!$A$7:$E$14,3,FALSE)</f>
        <v>46178.70833</v>
      </c>
    </row>
    <row r="43">
      <c r="A43" s="80" t="str">
        <f t="array" ref="A43">XLOOKUP($E43,'Player Database'!$B$2:$B252,'Player Database'!$C$2:$C252)</f>
        <v>#N/A</v>
      </c>
      <c r="B43" s="80" t="str">
        <f t="array" ref="B43">XLOOKUP($E43,'Player Database'!$B$2:$B252,'Player Database'!$E$2:$E252)</f>
        <v>#N/A</v>
      </c>
      <c r="C43" s="80" t="str">
        <f t="array" ref="C43">XLOOKUP($E43,'Player Database'!$B$2:$B252,'Player Database'!$F$2:$F252)</f>
        <v>#N/A</v>
      </c>
      <c r="D43" s="81">
        <f>IFERROR(__xludf.DUMMYFUNCTION("""COMPUTED_VALUE"""),1.0)</f>
        <v>1</v>
      </c>
      <c r="E43" s="41"/>
      <c r="F43" s="42" t="str">
        <f t="array" ref="F43">XLOOKUP($E43,'Player Database'!$B$2:$B252,'Player Database'!$K$2:$K252)</f>
        <v>#N/A</v>
      </c>
      <c r="G43" s="42" t="str">
        <f t="array" ref="G43">XLOOKUP($E43,'Player Database'!$B$2:$B252,'Player Database'!$AE$2:$AE252)</f>
        <v>#N/A</v>
      </c>
      <c r="H43" s="42" t="str">
        <f t="array" ref="H43">XLOOKUP($E43,'Player Database'!$B$2:$B252,'Player Database'!$H$2:$H252)</f>
        <v>#N/A</v>
      </c>
      <c r="I43" s="42" t="str">
        <f t="array" ref="I43">XLOOKUP($E43,'Player Database'!$B$2:$B252,'Player Database'!$O$2:$O252)</f>
        <v>#N/A</v>
      </c>
      <c r="J43" s="42" t="str">
        <f t="array" ref="J43">XLOOKUP($E43,'Player Database'!$B$2:$B252,'Player Database'!$P$2:$P252)</f>
        <v>#N/A</v>
      </c>
      <c r="K43" s="44" t="str">
        <f t="array" ref="K43">XLOOKUP($E43,'Player Database'!$B$2:$B252,'Player Database'!$U$2:$U252)</f>
        <v>#N/A</v>
      </c>
      <c r="L43" s="47" t="str">
        <f t="array" ref="L43">XLOOKUP($E43,'Player Database'!$B$2:$B252,'Player Database'!$W$2:$W252)</f>
        <v>#N/A</v>
      </c>
      <c r="M43" s="48" t="str">
        <f t="shared" si="1"/>
        <v>0 - 0</v>
      </c>
      <c r="N43" s="50" t="str">
        <f t="array" ref="N43">IF(XLOOKUP($E43,'Player Database'!$B$2:$B252,'Player Database'!$AA$2:$AA252)="",XLOOKUP($E43,'Player Database'!$B$2:$B252,'Player Database'!$G$2:$G252),XLOOKUP($E43,'Player Database'!$B$2:$B252,'Player Database'!$AA$2:$AA252))</f>
        <v>#N/A</v>
      </c>
      <c r="O43" s="51">
        <f>COUNTIFs(Matches!$B:$B,E43,Matches!$A:$A,"&gt;"&amp;Q43,Matches!$A:$A,"&lt;"&amp;R43)</f>
        <v>0</v>
      </c>
      <c r="P43" s="51">
        <f>COUNTIFs(Matches!$C:$C,E43,Matches!$A:$A,"&gt;"&amp;Q43,Matches!$A:$A,"&lt;"&amp;R43)</f>
        <v>0</v>
      </c>
      <c r="Q43" s="52">
        <f>VLOOKUP($C$2,Quotas!$A$7:$E$14,2,FALSE)</f>
        <v>46171.70833</v>
      </c>
      <c r="R43" s="52">
        <f>VLOOKUP($C$2,Quotas!$A$7:$E$14,3,FALSE)</f>
        <v>46178.70833</v>
      </c>
    </row>
    <row r="44">
      <c r="A44" s="80" t="str">
        <f t="array" ref="A44">XLOOKUP($E44,'Player Database'!$B$2:$B252,'Player Database'!$C$2:$C252)</f>
        <v>#N/A</v>
      </c>
      <c r="B44" s="80" t="str">
        <f t="array" ref="B44">XLOOKUP($E44,'Player Database'!$B$2:$B252,'Player Database'!$E$2:$E252)</f>
        <v>#N/A</v>
      </c>
      <c r="C44" s="80" t="str">
        <f t="array" ref="C44">XLOOKUP($E44,'Player Database'!$B$2:$B252,'Player Database'!$F$2:$F252)</f>
        <v>#N/A</v>
      </c>
      <c r="D44" s="81">
        <f>IFERROR(__xludf.DUMMYFUNCTION("""COMPUTED_VALUE"""),1.0)</f>
        <v>1</v>
      </c>
      <c r="E44" s="41"/>
      <c r="F44" s="42" t="str">
        <f t="array" ref="F44">XLOOKUP($E44,'Player Database'!$B$2:$B252,'Player Database'!$K$2:$K252)</f>
        <v>#N/A</v>
      </c>
      <c r="G44" s="42" t="str">
        <f t="array" ref="G44">XLOOKUP($E44,'Player Database'!$B$2:$B252,'Player Database'!$AE$2:$AE252)</f>
        <v>#N/A</v>
      </c>
      <c r="H44" s="42" t="str">
        <f t="array" ref="H44">XLOOKUP($E44,'Player Database'!$B$2:$B252,'Player Database'!$H$2:$H252)</f>
        <v>#N/A</v>
      </c>
      <c r="I44" s="42" t="str">
        <f t="array" ref="I44">XLOOKUP($E44,'Player Database'!$B$2:$B252,'Player Database'!$O$2:$O252)</f>
        <v>#N/A</v>
      </c>
      <c r="J44" s="42" t="str">
        <f t="array" ref="J44">XLOOKUP($E44,'Player Database'!$B$2:$B252,'Player Database'!$P$2:$P252)</f>
        <v>#N/A</v>
      </c>
      <c r="K44" s="44" t="str">
        <f t="array" ref="K44">XLOOKUP($E44,'Player Database'!$B$2:$B252,'Player Database'!$U$2:$U252)</f>
        <v>#N/A</v>
      </c>
      <c r="L44" s="47" t="str">
        <f t="array" ref="L44">XLOOKUP($E44,'Player Database'!$B$2:$B252,'Player Database'!$W$2:$W252)</f>
        <v>#N/A</v>
      </c>
      <c r="M44" s="48" t="str">
        <f t="shared" si="1"/>
        <v>0 - 0</v>
      </c>
      <c r="N44" s="50" t="str">
        <f t="array" ref="N44">IF(XLOOKUP($E44,'Player Database'!$B$2:$B252,'Player Database'!$AA$2:$AA252)="",XLOOKUP($E44,'Player Database'!$B$2:$B252,'Player Database'!$G$2:$G252),XLOOKUP($E44,'Player Database'!$B$2:$B252,'Player Database'!$AA$2:$AA252))</f>
        <v>#N/A</v>
      </c>
      <c r="O44" s="51">
        <f>COUNTIFs(Matches!$B:$B,E44,Matches!$A:$A,"&gt;"&amp;Q44,Matches!$A:$A,"&lt;"&amp;R44)</f>
        <v>0</v>
      </c>
      <c r="P44" s="51">
        <f>COUNTIFs(Matches!$C:$C,E44,Matches!$A:$A,"&gt;"&amp;Q44,Matches!$A:$A,"&lt;"&amp;R44)</f>
        <v>0</v>
      </c>
      <c r="Q44" s="52">
        <f>VLOOKUP($C$2,Quotas!$A$7:$E$14,2,FALSE)</f>
        <v>46171.70833</v>
      </c>
      <c r="R44" s="52">
        <f>VLOOKUP($C$2,Quotas!$A$7:$E$14,3,FALSE)</f>
        <v>46178.70833</v>
      </c>
    </row>
    <row r="45">
      <c r="A45" s="80" t="str">
        <f t="array" ref="A45">XLOOKUP($E45,'Player Database'!$B$2:$B252,'Player Database'!$C$2:$C252)</f>
        <v>#N/A</v>
      </c>
      <c r="B45" s="80" t="str">
        <f t="array" ref="B45">XLOOKUP($E45,'Player Database'!$B$2:$B252,'Player Database'!$E$2:$E252)</f>
        <v>#N/A</v>
      </c>
      <c r="C45" s="80" t="str">
        <f t="array" ref="C45">XLOOKUP($E45,'Player Database'!$B$2:$B252,'Player Database'!$F$2:$F252)</f>
        <v>#N/A</v>
      </c>
      <c r="D45" s="81">
        <f>IFERROR(__xludf.DUMMYFUNCTION("""COMPUTED_VALUE"""),1.0)</f>
        <v>1</v>
      </c>
      <c r="E45" s="41"/>
      <c r="F45" s="42" t="str">
        <f t="array" ref="F45">XLOOKUP($E45,'Player Database'!$B$2:$B252,'Player Database'!$K$2:$K252)</f>
        <v>#N/A</v>
      </c>
      <c r="G45" s="42" t="str">
        <f t="array" ref="G45">XLOOKUP($E45,'Player Database'!$B$2:$B252,'Player Database'!$AE$2:$AE252)</f>
        <v>#N/A</v>
      </c>
      <c r="H45" s="42" t="str">
        <f t="array" ref="H45">XLOOKUP($E45,'Player Database'!$B$2:$B252,'Player Database'!$H$2:$H252)</f>
        <v>#N/A</v>
      </c>
      <c r="I45" s="42" t="str">
        <f t="array" ref="I45">XLOOKUP($E45,'Player Database'!$B$2:$B252,'Player Database'!$O$2:$O252)</f>
        <v>#N/A</v>
      </c>
      <c r="J45" s="42" t="str">
        <f t="array" ref="J45">XLOOKUP($E45,'Player Database'!$B$2:$B252,'Player Database'!$P$2:$P252)</f>
        <v>#N/A</v>
      </c>
      <c r="K45" s="44" t="str">
        <f t="array" ref="K45">XLOOKUP($E45,'Player Database'!$B$2:$B252,'Player Database'!$U$2:$U252)</f>
        <v>#N/A</v>
      </c>
      <c r="L45" s="47" t="str">
        <f t="array" ref="L45">XLOOKUP($E45,'Player Database'!$B$2:$B252,'Player Database'!$W$2:$W252)</f>
        <v>#N/A</v>
      </c>
      <c r="M45" s="48" t="str">
        <f t="shared" si="1"/>
        <v>0 - 0</v>
      </c>
      <c r="N45" s="50" t="str">
        <f t="array" ref="N45">IF(XLOOKUP($E45,'Player Database'!$B$2:$B252,'Player Database'!$AA$2:$AA252)="",XLOOKUP($E45,'Player Database'!$B$2:$B252,'Player Database'!$G$2:$G252),XLOOKUP($E45,'Player Database'!$B$2:$B252,'Player Database'!$AA$2:$AA252))</f>
        <v>#N/A</v>
      </c>
      <c r="O45" s="51">
        <f>COUNTIFs(Matches!$B:$B,E45,Matches!$A:$A,"&gt;"&amp;Q45,Matches!$A:$A,"&lt;"&amp;R45)</f>
        <v>0</v>
      </c>
      <c r="P45" s="51">
        <f>COUNTIFs(Matches!$C:$C,E45,Matches!$A:$A,"&gt;"&amp;Q45,Matches!$A:$A,"&lt;"&amp;R45)</f>
        <v>0</v>
      </c>
      <c r="Q45" s="52">
        <f>VLOOKUP($C$2,Quotas!$A$7:$E$14,2,FALSE)</f>
        <v>46171.70833</v>
      </c>
      <c r="R45" s="52">
        <f>VLOOKUP($C$2,Quotas!$A$7:$E$14,3,FALSE)</f>
        <v>46178.70833</v>
      </c>
    </row>
    <row r="46">
      <c r="A46" s="80" t="str">
        <f t="array" ref="A46">XLOOKUP($E46,'Player Database'!$B$2:$B252,'Player Database'!$C$2:$C252)</f>
        <v>#N/A</v>
      </c>
      <c r="B46" s="80" t="str">
        <f t="array" ref="B46">XLOOKUP($E46,'Player Database'!$B$2:$B252,'Player Database'!$E$2:$E252)</f>
        <v>#N/A</v>
      </c>
      <c r="C46" s="80" t="str">
        <f t="array" ref="C46">XLOOKUP($E46,'Player Database'!$B$2:$B252,'Player Database'!$F$2:$F252)</f>
        <v>#N/A</v>
      </c>
      <c r="D46" s="81">
        <f>IFERROR(__xludf.DUMMYFUNCTION("""COMPUTED_VALUE"""),1.0)</f>
        <v>1</v>
      </c>
      <c r="E46" s="41"/>
      <c r="F46" s="42" t="str">
        <f t="array" ref="F46">XLOOKUP($E46,'Player Database'!$B$2:$B252,'Player Database'!$K$2:$K252)</f>
        <v>#N/A</v>
      </c>
      <c r="G46" s="42" t="str">
        <f t="array" ref="G46">XLOOKUP($E46,'Player Database'!$B$2:$B252,'Player Database'!$AE$2:$AE252)</f>
        <v>#N/A</v>
      </c>
      <c r="H46" s="42" t="str">
        <f t="array" ref="H46">XLOOKUP($E46,'Player Database'!$B$2:$B252,'Player Database'!$H$2:$H252)</f>
        <v>#N/A</v>
      </c>
      <c r="I46" s="42" t="str">
        <f t="array" ref="I46">XLOOKUP($E46,'Player Database'!$B$2:$B252,'Player Database'!$O$2:$O252)</f>
        <v>#N/A</v>
      </c>
      <c r="J46" s="42" t="str">
        <f t="array" ref="J46">XLOOKUP($E46,'Player Database'!$B$2:$B252,'Player Database'!$P$2:$P252)</f>
        <v>#N/A</v>
      </c>
      <c r="K46" s="44" t="str">
        <f t="array" ref="K46">XLOOKUP($E46,'Player Database'!$B$2:$B252,'Player Database'!$U$2:$U252)</f>
        <v>#N/A</v>
      </c>
      <c r="L46" s="47" t="str">
        <f t="array" ref="L46">XLOOKUP($E46,'Player Database'!$B$2:$B252,'Player Database'!$W$2:$W252)</f>
        <v>#N/A</v>
      </c>
      <c r="M46" s="48" t="str">
        <f t="shared" si="1"/>
        <v>0 - 0</v>
      </c>
      <c r="N46" s="50" t="str">
        <f t="array" ref="N46">IF(XLOOKUP($E46,'Player Database'!$B$2:$B252,'Player Database'!$AA$2:$AA252)="",XLOOKUP($E46,'Player Database'!$B$2:$B252,'Player Database'!$G$2:$G252),XLOOKUP($E46,'Player Database'!$B$2:$B252,'Player Database'!$AA$2:$AA252))</f>
        <v>#N/A</v>
      </c>
      <c r="O46" s="51">
        <f>COUNTIFs(Matches!$B:$B,E46,Matches!$A:$A,"&gt;"&amp;Q46,Matches!$A:$A,"&lt;"&amp;R46)</f>
        <v>0</v>
      </c>
      <c r="P46" s="51">
        <f>COUNTIFs(Matches!$C:$C,E46,Matches!$A:$A,"&gt;"&amp;Q46,Matches!$A:$A,"&lt;"&amp;R46)</f>
        <v>0</v>
      </c>
      <c r="Q46" s="52">
        <f>VLOOKUP($C$2,Quotas!$A$7:$E$14,2,FALSE)</f>
        <v>46171.70833</v>
      </c>
      <c r="R46" s="52">
        <f>VLOOKUP($C$2,Quotas!$A$7:$E$14,3,FALSE)</f>
        <v>46178.70833</v>
      </c>
    </row>
    <row r="47">
      <c r="A47" s="80" t="str">
        <f t="array" ref="A47">XLOOKUP($E47,'Player Database'!$B$2:$B252,'Player Database'!$C$2:$C252)</f>
        <v>#N/A</v>
      </c>
      <c r="B47" s="80" t="str">
        <f t="array" ref="B47">XLOOKUP($E47,'Player Database'!$B$2:$B252,'Player Database'!$E$2:$E252)</f>
        <v>#N/A</v>
      </c>
      <c r="C47" s="80" t="str">
        <f t="array" ref="C47">XLOOKUP($E47,'Player Database'!$B$2:$B252,'Player Database'!$F$2:$F252)</f>
        <v>#N/A</v>
      </c>
      <c r="D47" s="81">
        <f>IFERROR(__xludf.DUMMYFUNCTION("""COMPUTED_VALUE"""),1.0)</f>
        <v>1</v>
      </c>
      <c r="E47" s="41"/>
      <c r="F47" s="42" t="str">
        <f t="array" ref="F47">XLOOKUP($E47,'Player Database'!$B$2:$B252,'Player Database'!$K$2:$K252)</f>
        <v>#N/A</v>
      </c>
      <c r="G47" s="42" t="str">
        <f t="array" ref="G47">XLOOKUP($E47,'Player Database'!$B$2:$B252,'Player Database'!$AE$2:$AE252)</f>
        <v>#N/A</v>
      </c>
      <c r="H47" s="42" t="str">
        <f t="array" ref="H47">XLOOKUP($E47,'Player Database'!$B$2:$B252,'Player Database'!$H$2:$H252)</f>
        <v>#N/A</v>
      </c>
      <c r="I47" s="42" t="str">
        <f t="array" ref="I47">XLOOKUP($E47,'Player Database'!$B$2:$B252,'Player Database'!$O$2:$O252)</f>
        <v>#N/A</v>
      </c>
      <c r="J47" s="42" t="str">
        <f t="array" ref="J47">XLOOKUP($E47,'Player Database'!$B$2:$B252,'Player Database'!$P$2:$P252)</f>
        <v>#N/A</v>
      </c>
      <c r="K47" s="44" t="str">
        <f t="array" ref="K47">XLOOKUP($E47,'Player Database'!$B$2:$B252,'Player Database'!$U$2:$U252)</f>
        <v>#N/A</v>
      </c>
      <c r="L47" s="47" t="str">
        <f t="array" ref="L47">XLOOKUP($E47,'Player Database'!$B$2:$B252,'Player Database'!$W$2:$W252)</f>
        <v>#N/A</v>
      </c>
      <c r="M47" s="48" t="str">
        <f t="shared" si="1"/>
        <v>0 - 0</v>
      </c>
      <c r="N47" s="50" t="str">
        <f t="array" ref="N47">IF(XLOOKUP($E47,'Player Database'!$B$2:$B252,'Player Database'!$AA$2:$AA252)="",XLOOKUP($E47,'Player Database'!$B$2:$B252,'Player Database'!$G$2:$G252),XLOOKUP($E47,'Player Database'!$B$2:$B252,'Player Database'!$AA$2:$AA252))</f>
        <v>#N/A</v>
      </c>
      <c r="O47" s="51">
        <f>COUNTIFs(Matches!$B:$B,E47,Matches!$A:$A,"&gt;"&amp;Q47,Matches!$A:$A,"&lt;"&amp;R47)</f>
        <v>0</v>
      </c>
      <c r="P47" s="51">
        <f>COUNTIFs(Matches!$C:$C,E47,Matches!$A:$A,"&gt;"&amp;Q47,Matches!$A:$A,"&lt;"&amp;R47)</f>
        <v>0</v>
      </c>
      <c r="Q47" s="52">
        <f>VLOOKUP($C$2,Quotas!$A$7:$E$14,2,FALSE)</f>
        <v>46171.70833</v>
      </c>
      <c r="R47" s="52">
        <f>VLOOKUP($C$2,Quotas!$A$7:$E$14,3,FALSE)</f>
        <v>46178.70833</v>
      </c>
    </row>
    <row r="48">
      <c r="A48" s="80" t="str">
        <f t="array" ref="A48">XLOOKUP($E48,'Player Database'!$B$2:$B252,'Player Database'!$C$2:$C252)</f>
        <v>#N/A</v>
      </c>
      <c r="B48" s="80" t="str">
        <f t="array" ref="B48">XLOOKUP($E48,'Player Database'!$B$2:$B252,'Player Database'!$E$2:$E252)</f>
        <v>#N/A</v>
      </c>
      <c r="C48" s="80" t="str">
        <f t="array" ref="C48">XLOOKUP($E48,'Player Database'!$B$2:$B252,'Player Database'!$F$2:$F252)</f>
        <v>#N/A</v>
      </c>
      <c r="D48" s="81">
        <f>IFERROR(__xludf.DUMMYFUNCTION("""COMPUTED_VALUE"""),1.0)</f>
        <v>1</v>
      </c>
      <c r="E48" s="41"/>
      <c r="F48" s="42" t="str">
        <f t="array" ref="F48">XLOOKUP($E48,'Player Database'!$B$2:$B252,'Player Database'!$K$2:$K252)</f>
        <v>#N/A</v>
      </c>
      <c r="G48" s="42" t="str">
        <f t="array" ref="G48">XLOOKUP($E48,'Player Database'!$B$2:$B252,'Player Database'!$AE$2:$AE252)</f>
        <v>#N/A</v>
      </c>
      <c r="H48" s="42" t="str">
        <f t="array" ref="H48">XLOOKUP($E48,'Player Database'!$B$2:$B252,'Player Database'!$H$2:$H252)</f>
        <v>#N/A</v>
      </c>
      <c r="I48" s="42" t="str">
        <f t="array" ref="I48">XLOOKUP($E48,'Player Database'!$B$2:$B252,'Player Database'!$O$2:$O252)</f>
        <v>#N/A</v>
      </c>
      <c r="J48" s="42" t="str">
        <f t="array" ref="J48">XLOOKUP($E48,'Player Database'!$B$2:$B252,'Player Database'!$P$2:$P252)</f>
        <v>#N/A</v>
      </c>
      <c r="K48" s="44" t="str">
        <f t="array" ref="K48">XLOOKUP($E48,'Player Database'!$B$2:$B252,'Player Database'!$U$2:$U252)</f>
        <v>#N/A</v>
      </c>
      <c r="L48" s="47" t="str">
        <f t="array" ref="L48">XLOOKUP($E48,'Player Database'!$B$2:$B252,'Player Database'!$W$2:$W252)</f>
        <v>#N/A</v>
      </c>
      <c r="M48" s="48" t="str">
        <f t="shared" si="1"/>
        <v>0 - 0</v>
      </c>
      <c r="N48" s="50" t="str">
        <f t="array" ref="N48">IF(XLOOKUP($E48,'Player Database'!$B$2:$B252,'Player Database'!$AA$2:$AA252)="",XLOOKUP($E48,'Player Database'!$B$2:$B252,'Player Database'!$G$2:$G252),XLOOKUP($E48,'Player Database'!$B$2:$B252,'Player Database'!$AA$2:$AA252))</f>
        <v>#N/A</v>
      </c>
      <c r="O48" s="51">
        <f>COUNTIFs(Matches!$B:$B,E48,Matches!$A:$A,"&gt;"&amp;Q48,Matches!$A:$A,"&lt;"&amp;R48)</f>
        <v>0</v>
      </c>
      <c r="P48" s="51">
        <f>COUNTIFs(Matches!$C:$C,E48,Matches!$A:$A,"&gt;"&amp;Q48,Matches!$A:$A,"&lt;"&amp;R48)</f>
        <v>0</v>
      </c>
      <c r="Q48" s="52">
        <f>VLOOKUP($C$2,Quotas!$A$7:$E$14,2,FALSE)</f>
        <v>46171.70833</v>
      </c>
      <c r="R48" s="52">
        <f>VLOOKUP($C$2,Quotas!$A$7:$E$14,3,FALSE)</f>
        <v>46178.70833</v>
      </c>
    </row>
    <row r="49">
      <c r="A49" s="80" t="str">
        <f t="array" ref="A49">XLOOKUP($E49,'Player Database'!$B$2:$B252,'Player Database'!$C$2:$C252)</f>
        <v>#N/A</v>
      </c>
      <c r="B49" s="80" t="str">
        <f t="array" ref="B49">XLOOKUP($E49,'Player Database'!$B$2:$B252,'Player Database'!$E$2:$E252)</f>
        <v>#N/A</v>
      </c>
      <c r="C49" s="80" t="str">
        <f t="array" ref="C49">XLOOKUP($E49,'Player Database'!$B$2:$B252,'Player Database'!$F$2:$F252)</f>
        <v>#N/A</v>
      </c>
      <c r="D49" s="81">
        <f>IFERROR(__xludf.DUMMYFUNCTION("""COMPUTED_VALUE"""),1.0)</f>
        <v>1</v>
      </c>
      <c r="E49" s="41"/>
      <c r="F49" s="42" t="str">
        <f t="array" ref="F49">XLOOKUP($E49,'Player Database'!$B$2:$B252,'Player Database'!$K$2:$K252)</f>
        <v>#N/A</v>
      </c>
      <c r="G49" s="42" t="str">
        <f t="array" ref="G49">XLOOKUP($E49,'Player Database'!$B$2:$B252,'Player Database'!$AE$2:$AE252)</f>
        <v>#N/A</v>
      </c>
      <c r="H49" s="42" t="str">
        <f t="array" ref="H49">XLOOKUP($E49,'Player Database'!$B$2:$B252,'Player Database'!$H$2:$H252)</f>
        <v>#N/A</v>
      </c>
      <c r="I49" s="42" t="str">
        <f t="array" ref="I49">XLOOKUP($E49,'Player Database'!$B$2:$B252,'Player Database'!$O$2:$O252)</f>
        <v>#N/A</v>
      </c>
      <c r="J49" s="42" t="str">
        <f t="array" ref="J49">XLOOKUP($E49,'Player Database'!$B$2:$B252,'Player Database'!$P$2:$P252)</f>
        <v>#N/A</v>
      </c>
      <c r="K49" s="44" t="str">
        <f t="array" ref="K49">XLOOKUP($E49,'Player Database'!$B$2:$B252,'Player Database'!$U$2:$U252)</f>
        <v>#N/A</v>
      </c>
      <c r="L49" s="47" t="str">
        <f t="array" ref="L49">XLOOKUP($E49,'Player Database'!$B$2:$B252,'Player Database'!$W$2:$W252)</f>
        <v>#N/A</v>
      </c>
      <c r="M49" s="48" t="str">
        <f t="shared" si="1"/>
        <v>0 - 0</v>
      </c>
      <c r="N49" s="50" t="str">
        <f t="array" ref="N49">IF(XLOOKUP($E49,'Player Database'!$B$2:$B252,'Player Database'!$AA$2:$AA252)="",XLOOKUP($E49,'Player Database'!$B$2:$B252,'Player Database'!$G$2:$G252),XLOOKUP($E49,'Player Database'!$B$2:$B252,'Player Database'!$AA$2:$AA252))</f>
        <v>#N/A</v>
      </c>
      <c r="O49" s="51">
        <f>COUNTIFs(Matches!$B:$B,E49,Matches!$A:$A,"&gt;"&amp;Q49,Matches!$A:$A,"&lt;"&amp;R49)</f>
        <v>0</v>
      </c>
      <c r="P49" s="51">
        <f>COUNTIFs(Matches!$C:$C,E49,Matches!$A:$A,"&gt;"&amp;Q49,Matches!$A:$A,"&lt;"&amp;R49)</f>
        <v>0</v>
      </c>
      <c r="Q49" s="52">
        <f>VLOOKUP($C$2,Quotas!$A$7:$E$14,2,FALSE)</f>
        <v>46171.70833</v>
      </c>
      <c r="R49" s="52">
        <f>VLOOKUP($C$2,Quotas!$A$7:$E$14,3,FALSE)</f>
        <v>46178.70833</v>
      </c>
    </row>
    <row r="50">
      <c r="A50" s="80" t="str">
        <f t="array" ref="A50">XLOOKUP($E50,'Player Database'!$B$2:$B252,'Player Database'!$C$2:$C252)</f>
        <v>#N/A</v>
      </c>
      <c r="B50" s="80" t="str">
        <f t="array" ref="B50">XLOOKUP($E50,'Player Database'!$B$2:$B252,'Player Database'!$E$2:$E252)</f>
        <v>#N/A</v>
      </c>
      <c r="C50" s="80" t="str">
        <f t="array" ref="C50">XLOOKUP($E50,'Player Database'!$B$2:$B252,'Player Database'!$F$2:$F252)</f>
        <v>#N/A</v>
      </c>
      <c r="D50" s="81">
        <f>IFERROR(__xludf.DUMMYFUNCTION("""COMPUTED_VALUE"""),1.0)</f>
        <v>1</v>
      </c>
      <c r="E50" s="41"/>
      <c r="F50" s="42" t="str">
        <f t="array" ref="F50">XLOOKUP($E50,'Player Database'!$B$2:$B252,'Player Database'!$K$2:$K252)</f>
        <v>#N/A</v>
      </c>
      <c r="G50" s="42" t="str">
        <f t="array" ref="G50">XLOOKUP($E50,'Player Database'!$B$2:$B252,'Player Database'!$AE$2:$AE252)</f>
        <v>#N/A</v>
      </c>
      <c r="H50" s="42" t="str">
        <f t="array" ref="H50">XLOOKUP($E50,'Player Database'!$B$2:$B252,'Player Database'!$H$2:$H252)</f>
        <v>#N/A</v>
      </c>
      <c r="I50" s="42" t="str">
        <f t="array" ref="I50">XLOOKUP($E50,'Player Database'!$B$2:$B252,'Player Database'!$O$2:$O252)</f>
        <v>#N/A</v>
      </c>
      <c r="J50" s="42" t="str">
        <f t="array" ref="J50">XLOOKUP($E50,'Player Database'!$B$2:$B252,'Player Database'!$P$2:$P252)</f>
        <v>#N/A</v>
      </c>
      <c r="K50" s="44" t="str">
        <f t="array" ref="K50">XLOOKUP($E50,'Player Database'!$B$2:$B252,'Player Database'!$U$2:$U252)</f>
        <v>#N/A</v>
      </c>
      <c r="L50" s="47" t="str">
        <f t="array" ref="L50">XLOOKUP($E50,'Player Database'!$B$2:$B252,'Player Database'!$W$2:$W252)</f>
        <v>#N/A</v>
      </c>
      <c r="M50" s="48" t="str">
        <f t="shared" si="1"/>
        <v>0 - 0</v>
      </c>
      <c r="N50" s="50" t="str">
        <f t="array" ref="N50">IF(XLOOKUP($E50,'Player Database'!$B$2:$B252,'Player Database'!$AA$2:$AA252)="",XLOOKUP($E50,'Player Database'!$B$2:$B252,'Player Database'!$G$2:$G252),XLOOKUP($E50,'Player Database'!$B$2:$B252,'Player Database'!$AA$2:$AA252))</f>
        <v>#N/A</v>
      </c>
      <c r="O50" s="51">
        <f>COUNTIFs(Matches!$B:$B,E50,Matches!$A:$A,"&gt;"&amp;Q50,Matches!$A:$A,"&lt;"&amp;R50)</f>
        <v>0</v>
      </c>
      <c r="P50" s="51">
        <f>COUNTIFs(Matches!$C:$C,E50,Matches!$A:$A,"&gt;"&amp;Q50,Matches!$A:$A,"&lt;"&amp;R50)</f>
        <v>0</v>
      </c>
      <c r="Q50" s="52">
        <f>VLOOKUP($C$2,Quotas!$A$7:$E$14,2,FALSE)</f>
        <v>46171.70833</v>
      </c>
      <c r="R50" s="52">
        <f>VLOOKUP($C$2,Quotas!$A$7:$E$14,3,FALSE)</f>
        <v>46178.70833</v>
      </c>
    </row>
    <row r="51">
      <c r="A51" s="80" t="str">
        <f t="array" ref="A51">XLOOKUP($E51,'Player Database'!$B$2:$B252,'Player Database'!$C$2:$C252)</f>
        <v>#N/A</v>
      </c>
      <c r="B51" s="80" t="str">
        <f t="array" ref="B51">XLOOKUP($E51,'Player Database'!$B$2:$B252,'Player Database'!$E$2:$E252)</f>
        <v>#N/A</v>
      </c>
      <c r="C51" s="80" t="str">
        <f t="array" ref="C51">XLOOKUP($E51,'Player Database'!$B$2:$B252,'Player Database'!$F$2:$F252)</f>
        <v>#N/A</v>
      </c>
      <c r="D51" s="81">
        <f>IFERROR(__xludf.DUMMYFUNCTION("""COMPUTED_VALUE"""),1.0)</f>
        <v>1</v>
      </c>
      <c r="E51" s="41"/>
      <c r="F51" s="42" t="str">
        <f t="array" ref="F51">XLOOKUP($E51,'Player Database'!$B$2:$B252,'Player Database'!$K$2:$K252)</f>
        <v>#N/A</v>
      </c>
      <c r="G51" s="42" t="str">
        <f t="array" ref="G51">XLOOKUP($E51,'Player Database'!$B$2:$B252,'Player Database'!$AE$2:$AE252)</f>
        <v>#N/A</v>
      </c>
      <c r="H51" s="42" t="str">
        <f t="array" ref="H51">XLOOKUP($E51,'Player Database'!$B$2:$B252,'Player Database'!$H$2:$H252)</f>
        <v>#N/A</v>
      </c>
      <c r="I51" s="42" t="str">
        <f t="array" ref="I51">XLOOKUP($E51,'Player Database'!$B$2:$B252,'Player Database'!$O$2:$O252)</f>
        <v>#N/A</v>
      </c>
      <c r="J51" s="42" t="str">
        <f t="array" ref="J51">XLOOKUP($E51,'Player Database'!$B$2:$B252,'Player Database'!$P$2:$P252)</f>
        <v>#N/A</v>
      </c>
      <c r="K51" s="44" t="str">
        <f t="array" ref="K51">XLOOKUP($E51,'Player Database'!$B$2:$B252,'Player Database'!$U$2:$U252)</f>
        <v>#N/A</v>
      </c>
      <c r="L51" s="47" t="str">
        <f t="array" ref="L51">XLOOKUP($E51,'Player Database'!$B$2:$B252,'Player Database'!$W$2:$W252)</f>
        <v>#N/A</v>
      </c>
      <c r="M51" s="48" t="str">
        <f t="shared" si="1"/>
        <v>0 - 0</v>
      </c>
      <c r="N51" s="50" t="str">
        <f t="array" ref="N51">IF(XLOOKUP($E51,'Player Database'!$B$2:$B252,'Player Database'!$AA$2:$AA252)="",XLOOKUP($E51,'Player Database'!$B$2:$B252,'Player Database'!$G$2:$G252),XLOOKUP($E51,'Player Database'!$B$2:$B252,'Player Database'!$AA$2:$AA252))</f>
        <v>#N/A</v>
      </c>
      <c r="O51" s="51">
        <f>COUNTIFs(Matches!$B:$B,E51,Matches!$A:$A,"&gt;"&amp;Q51,Matches!$A:$A,"&lt;"&amp;R51)</f>
        <v>0</v>
      </c>
      <c r="P51" s="51">
        <f>COUNTIFs(Matches!$C:$C,E51,Matches!$A:$A,"&gt;"&amp;Q51,Matches!$A:$A,"&lt;"&amp;R51)</f>
        <v>0</v>
      </c>
      <c r="Q51" s="52">
        <f>VLOOKUP($C$2,Quotas!$A$7:$E$14,2,FALSE)</f>
        <v>46171.70833</v>
      </c>
      <c r="R51" s="52">
        <f>VLOOKUP($C$2,Quotas!$A$7:$E$14,3,FALSE)</f>
        <v>46178.70833</v>
      </c>
    </row>
    <row r="52">
      <c r="A52" s="80" t="str">
        <f t="array" ref="A52">XLOOKUP($E52,'Player Database'!$B$2:$B252,'Player Database'!$C$2:$C252)</f>
        <v>#N/A</v>
      </c>
      <c r="B52" s="80" t="str">
        <f t="array" ref="B52">XLOOKUP($E52,'Player Database'!$B$2:$B252,'Player Database'!$E$2:$E252)</f>
        <v>#N/A</v>
      </c>
      <c r="C52" s="80" t="str">
        <f t="array" ref="C52">XLOOKUP($E52,'Player Database'!$B$2:$B252,'Player Database'!$F$2:$F252)</f>
        <v>#N/A</v>
      </c>
      <c r="D52" s="81">
        <f>IFERROR(__xludf.DUMMYFUNCTION("""COMPUTED_VALUE"""),1.0)</f>
        <v>1</v>
      </c>
      <c r="E52" s="41"/>
      <c r="F52" s="42" t="str">
        <f t="array" ref="F52">XLOOKUP($E52,'Player Database'!$B$2:$B252,'Player Database'!$K$2:$K252)</f>
        <v>#N/A</v>
      </c>
      <c r="G52" s="42" t="str">
        <f t="array" ref="G52">XLOOKUP($E52,'Player Database'!$B$2:$B252,'Player Database'!$AE$2:$AE252)</f>
        <v>#N/A</v>
      </c>
      <c r="H52" s="42" t="str">
        <f t="array" ref="H52">XLOOKUP($E52,'Player Database'!$B$2:$B252,'Player Database'!$H$2:$H252)</f>
        <v>#N/A</v>
      </c>
      <c r="I52" s="42" t="str">
        <f t="array" ref="I52">XLOOKUP($E52,'Player Database'!$B$2:$B252,'Player Database'!$O$2:$O252)</f>
        <v>#N/A</v>
      </c>
      <c r="J52" s="42" t="str">
        <f t="array" ref="J52">XLOOKUP($E52,'Player Database'!$B$2:$B252,'Player Database'!$P$2:$P252)</f>
        <v>#N/A</v>
      </c>
      <c r="K52" s="44" t="str">
        <f t="array" ref="K52">XLOOKUP($E52,'Player Database'!$B$2:$B252,'Player Database'!$U$2:$U252)</f>
        <v>#N/A</v>
      </c>
      <c r="L52" s="47" t="str">
        <f t="array" ref="L52">XLOOKUP($E52,'Player Database'!$B$2:$B252,'Player Database'!$W$2:$W252)</f>
        <v>#N/A</v>
      </c>
      <c r="M52" s="48" t="str">
        <f t="shared" si="1"/>
        <v>0 - 0</v>
      </c>
      <c r="N52" s="50" t="str">
        <f t="array" ref="N52">IF(XLOOKUP($E52,'Player Database'!$B$2:$B252,'Player Database'!$AA$2:$AA252)="",XLOOKUP($E52,'Player Database'!$B$2:$B252,'Player Database'!$G$2:$G252),XLOOKUP($E52,'Player Database'!$B$2:$B252,'Player Database'!$AA$2:$AA252))</f>
        <v>#N/A</v>
      </c>
      <c r="O52" s="51">
        <f>COUNTIFs(Matches!$B:$B,E52,Matches!$A:$A,"&gt;"&amp;Q52,Matches!$A:$A,"&lt;"&amp;R52)</f>
        <v>0</v>
      </c>
      <c r="P52" s="51">
        <f>COUNTIFs(Matches!$C:$C,E52,Matches!$A:$A,"&gt;"&amp;Q52,Matches!$A:$A,"&lt;"&amp;R52)</f>
        <v>0</v>
      </c>
      <c r="Q52" s="52">
        <f>VLOOKUP($C$2,Quotas!$A$7:$E$14,2,FALSE)</f>
        <v>46171.70833</v>
      </c>
      <c r="R52" s="52">
        <f>VLOOKUP($C$2,Quotas!$A$7:$E$14,3,FALSE)</f>
        <v>46178.70833</v>
      </c>
    </row>
    <row r="53">
      <c r="A53" s="80" t="str">
        <f t="array" ref="A53">XLOOKUP($E53,'Player Database'!$B$2:$B252,'Player Database'!$C$2:$C252)</f>
        <v>#N/A</v>
      </c>
      <c r="B53" s="80" t="str">
        <f t="array" ref="B53">XLOOKUP($E53,'Player Database'!$B$2:$B252,'Player Database'!$E$2:$E252)</f>
        <v>#N/A</v>
      </c>
      <c r="C53" s="80" t="str">
        <f t="array" ref="C53">XLOOKUP($E53,'Player Database'!$B$2:$B252,'Player Database'!$F$2:$F252)</f>
        <v>#N/A</v>
      </c>
      <c r="D53" s="81">
        <f>IFERROR(__xludf.DUMMYFUNCTION("""COMPUTED_VALUE"""),1.0)</f>
        <v>1</v>
      </c>
      <c r="E53" s="41"/>
      <c r="F53" s="42" t="str">
        <f t="array" ref="F53">XLOOKUP($E53,'Player Database'!$B$2:$B252,'Player Database'!$K$2:$K252)</f>
        <v>#N/A</v>
      </c>
      <c r="G53" s="42" t="str">
        <f t="array" ref="G53">XLOOKUP($E53,'Player Database'!$B$2:$B252,'Player Database'!$AE$2:$AE252)</f>
        <v>#N/A</v>
      </c>
      <c r="H53" s="42" t="str">
        <f t="array" ref="H53">XLOOKUP($E53,'Player Database'!$B$2:$B252,'Player Database'!$H$2:$H252)</f>
        <v>#N/A</v>
      </c>
      <c r="I53" s="42" t="str">
        <f t="array" ref="I53">XLOOKUP($E53,'Player Database'!$B$2:$B252,'Player Database'!$O$2:$O252)</f>
        <v>#N/A</v>
      </c>
      <c r="J53" s="42" t="str">
        <f t="array" ref="J53">XLOOKUP($E53,'Player Database'!$B$2:$B252,'Player Database'!$P$2:$P252)</f>
        <v>#N/A</v>
      </c>
      <c r="K53" s="44" t="str">
        <f t="array" ref="K53">XLOOKUP($E53,'Player Database'!$B$2:$B252,'Player Database'!$U$2:$U252)</f>
        <v>#N/A</v>
      </c>
      <c r="L53" s="47" t="str">
        <f t="array" ref="L53">XLOOKUP($E53,'Player Database'!$B$2:$B252,'Player Database'!$W$2:$W252)</f>
        <v>#N/A</v>
      </c>
      <c r="M53" s="48" t="str">
        <f t="shared" si="1"/>
        <v>0 - 0</v>
      </c>
      <c r="N53" s="50" t="str">
        <f t="array" ref="N53">IF(XLOOKUP($E53,'Player Database'!$B$2:$B252,'Player Database'!$AA$2:$AA252)="",XLOOKUP($E53,'Player Database'!$B$2:$B252,'Player Database'!$G$2:$G252),XLOOKUP($E53,'Player Database'!$B$2:$B252,'Player Database'!$AA$2:$AA252))</f>
        <v>#N/A</v>
      </c>
      <c r="O53" s="51">
        <f>COUNTIFs(Matches!$B:$B,E53,Matches!$A:$A,"&gt;"&amp;Q53,Matches!$A:$A,"&lt;"&amp;R53)</f>
        <v>0</v>
      </c>
      <c r="P53" s="51">
        <f>COUNTIFs(Matches!$C:$C,E53,Matches!$A:$A,"&gt;"&amp;Q53,Matches!$A:$A,"&lt;"&amp;R53)</f>
        <v>0</v>
      </c>
      <c r="Q53" s="52">
        <f>VLOOKUP($C$2,Quotas!$A$7:$E$14,2,FALSE)</f>
        <v>46171.70833</v>
      </c>
      <c r="R53" s="52">
        <f>VLOOKUP($C$2,Quotas!$A$7:$E$14,3,FALSE)</f>
        <v>46178.70833</v>
      </c>
    </row>
    <row r="54">
      <c r="A54" s="80" t="str">
        <f t="array" ref="A54">XLOOKUP($E54,'Player Database'!$B$2:$B252,'Player Database'!$C$2:$C252)</f>
        <v>#N/A</v>
      </c>
      <c r="B54" s="80" t="str">
        <f t="array" ref="B54">XLOOKUP($E54,'Player Database'!$B$2:$B252,'Player Database'!$E$2:$E252)</f>
        <v>#N/A</v>
      </c>
      <c r="C54" s="80" t="str">
        <f t="array" ref="C54">XLOOKUP($E54,'Player Database'!$B$2:$B252,'Player Database'!$F$2:$F252)</f>
        <v>#N/A</v>
      </c>
      <c r="D54" s="81">
        <f>IFERROR(__xludf.DUMMYFUNCTION("""COMPUTED_VALUE"""),1.0)</f>
        <v>1</v>
      </c>
      <c r="E54" s="41"/>
      <c r="F54" s="42" t="str">
        <f t="array" ref="F54">XLOOKUP($E54,'Player Database'!$B$2:$B252,'Player Database'!$K$2:$K252)</f>
        <v>#N/A</v>
      </c>
      <c r="G54" s="42" t="str">
        <f t="array" ref="G54">XLOOKUP($E54,'Player Database'!$B$2:$B252,'Player Database'!$AE$2:$AE252)</f>
        <v>#N/A</v>
      </c>
      <c r="H54" s="42" t="str">
        <f t="array" ref="H54">XLOOKUP($E54,'Player Database'!$B$2:$B252,'Player Database'!$H$2:$H252)</f>
        <v>#N/A</v>
      </c>
      <c r="I54" s="42" t="str">
        <f t="array" ref="I54">XLOOKUP($E54,'Player Database'!$B$2:$B252,'Player Database'!$O$2:$O252)</f>
        <v>#N/A</v>
      </c>
      <c r="J54" s="42" t="str">
        <f t="array" ref="J54">XLOOKUP($E54,'Player Database'!$B$2:$B252,'Player Database'!$P$2:$P252)</f>
        <v>#N/A</v>
      </c>
      <c r="K54" s="44" t="str">
        <f t="array" ref="K54">XLOOKUP($E54,'Player Database'!$B$2:$B252,'Player Database'!$U$2:$U252)</f>
        <v>#N/A</v>
      </c>
      <c r="L54" s="47" t="str">
        <f t="array" ref="L54">XLOOKUP($E54,'Player Database'!$B$2:$B252,'Player Database'!$W$2:$W252)</f>
        <v>#N/A</v>
      </c>
      <c r="M54" s="48" t="str">
        <f t="shared" si="1"/>
        <v>0 - 0</v>
      </c>
      <c r="N54" s="50" t="str">
        <f t="array" ref="N54">IF(XLOOKUP($E54,'Player Database'!$B$2:$B252,'Player Database'!$AA$2:$AA252)="",XLOOKUP($E54,'Player Database'!$B$2:$B252,'Player Database'!$G$2:$G252),XLOOKUP($E54,'Player Database'!$B$2:$B252,'Player Database'!$AA$2:$AA252))</f>
        <v>#N/A</v>
      </c>
      <c r="O54" s="51">
        <f>COUNTIFs(Matches!$B:$B,E54,Matches!$A:$A,"&gt;"&amp;Q54,Matches!$A:$A,"&lt;"&amp;R54)</f>
        <v>0</v>
      </c>
      <c r="P54" s="51">
        <f>COUNTIFs(Matches!$C:$C,E54,Matches!$A:$A,"&gt;"&amp;Q54,Matches!$A:$A,"&lt;"&amp;R54)</f>
        <v>0</v>
      </c>
      <c r="Q54" s="52">
        <f>VLOOKUP($C$2,Quotas!$A$7:$E$14,2,FALSE)</f>
        <v>46171.70833</v>
      </c>
      <c r="R54" s="52">
        <f>VLOOKUP($C$2,Quotas!$A$7:$E$14,3,FALSE)</f>
        <v>46178.70833</v>
      </c>
    </row>
    <row r="55">
      <c r="A55" s="80" t="str">
        <f t="array" ref="A55">XLOOKUP($E55,'Player Database'!$B$2:$B252,'Player Database'!$C$2:$C252)</f>
        <v>#N/A</v>
      </c>
      <c r="B55" s="80" t="str">
        <f t="array" ref="B55">XLOOKUP($E55,'Player Database'!$B$2:$B252,'Player Database'!$E$2:$E252)</f>
        <v>#N/A</v>
      </c>
      <c r="C55" s="80" t="str">
        <f t="array" ref="C55">XLOOKUP($E55,'Player Database'!$B$2:$B252,'Player Database'!$F$2:$F252)</f>
        <v>#N/A</v>
      </c>
      <c r="D55" s="81">
        <f>IFERROR(__xludf.DUMMYFUNCTION("""COMPUTED_VALUE"""),1.0)</f>
        <v>1</v>
      </c>
      <c r="E55" s="41"/>
      <c r="F55" s="42" t="str">
        <f t="array" ref="F55">XLOOKUP($E55,'Player Database'!$B$2:$B252,'Player Database'!$K$2:$K252)</f>
        <v>#N/A</v>
      </c>
      <c r="G55" s="42" t="str">
        <f t="array" ref="G55">XLOOKUP($E55,'Player Database'!$B$2:$B252,'Player Database'!$AE$2:$AE252)</f>
        <v>#N/A</v>
      </c>
      <c r="H55" s="42" t="str">
        <f t="array" ref="H55">XLOOKUP($E55,'Player Database'!$B$2:$B252,'Player Database'!$H$2:$H252)</f>
        <v>#N/A</v>
      </c>
      <c r="I55" s="42" t="str">
        <f t="array" ref="I55">XLOOKUP($E55,'Player Database'!$B$2:$B252,'Player Database'!$O$2:$O252)</f>
        <v>#N/A</v>
      </c>
      <c r="J55" s="42" t="str">
        <f t="array" ref="J55">XLOOKUP($E55,'Player Database'!$B$2:$B252,'Player Database'!$P$2:$P252)</f>
        <v>#N/A</v>
      </c>
      <c r="K55" s="44" t="str">
        <f t="array" ref="K55">XLOOKUP($E55,'Player Database'!$B$2:$B252,'Player Database'!$U$2:$U252)</f>
        <v>#N/A</v>
      </c>
      <c r="L55" s="47" t="str">
        <f t="array" ref="L55">XLOOKUP($E55,'Player Database'!$B$2:$B252,'Player Database'!$W$2:$W252)</f>
        <v>#N/A</v>
      </c>
      <c r="M55" s="48" t="str">
        <f t="shared" si="1"/>
        <v>0 - 0</v>
      </c>
      <c r="N55" s="50" t="str">
        <f t="array" ref="N55">IF(XLOOKUP($E55,'Player Database'!$B$2:$B252,'Player Database'!$AA$2:$AA252)="",XLOOKUP($E55,'Player Database'!$B$2:$B252,'Player Database'!$G$2:$G252),XLOOKUP($E55,'Player Database'!$B$2:$B252,'Player Database'!$AA$2:$AA252))</f>
        <v>#N/A</v>
      </c>
      <c r="O55" s="51">
        <f>COUNTIFs(Matches!$B:$B,E55,Matches!$A:$A,"&gt;"&amp;Q55,Matches!$A:$A,"&lt;"&amp;R55)</f>
        <v>0</v>
      </c>
      <c r="P55" s="51">
        <f>COUNTIFs(Matches!$C:$C,E55,Matches!$A:$A,"&gt;"&amp;Q55,Matches!$A:$A,"&lt;"&amp;R55)</f>
        <v>0</v>
      </c>
      <c r="Q55" s="52">
        <f>VLOOKUP($C$2,Quotas!$A$7:$E$14,2,FALSE)</f>
        <v>46171.70833</v>
      </c>
      <c r="R55" s="52">
        <f>VLOOKUP($C$2,Quotas!$A$7:$E$14,3,FALSE)</f>
        <v>46178.70833</v>
      </c>
    </row>
    <row r="56">
      <c r="A56" s="80" t="str">
        <f t="array" ref="A56">XLOOKUP($E56,'Player Database'!$B$2:$B252,'Player Database'!$C$2:$C252)</f>
        <v>#N/A</v>
      </c>
      <c r="B56" s="80" t="str">
        <f t="array" ref="B56">XLOOKUP($E56,'Player Database'!$B$2:$B252,'Player Database'!$E$2:$E252)</f>
        <v>#N/A</v>
      </c>
      <c r="C56" s="80" t="str">
        <f t="array" ref="C56">XLOOKUP($E56,'Player Database'!$B$2:$B252,'Player Database'!$F$2:$F252)</f>
        <v>#N/A</v>
      </c>
      <c r="D56" s="81">
        <f>IFERROR(__xludf.DUMMYFUNCTION("""COMPUTED_VALUE"""),1.0)</f>
        <v>1</v>
      </c>
      <c r="E56" s="41"/>
      <c r="F56" s="42" t="str">
        <f t="array" ref="F56">XLOOKUP($E56,'Player Database'!$B$2:$B252,'Player Database'!$K$2:$K252)</f>
        <v>#N/A</v>
      </c>
      <c r="G56" s="42" t="str">
        <f t="array" ref="G56">XLOOKUP($E56,'Player Database'!$B$2:$B252,'Player Database'!$AE$2:$AE252)</f>
        <v>#N/A</v>
      </c>
      <c r="H56" s="42" t="str">
        <f t="array" ref="H56">XLOOKUP($E56,'Player Database'!$B$2:$B252,'Player Database'!$H$2:$H252)</f>
        <v>#N/A</v>
      </c>
      <c r="I56" s="42" t="str">
        <f t="array" ref="I56">XLOOKUP($E56,'Player Database'!$B$2:$B252,'Player Database'!$O$2:$O252)</f>
        <v>#N/A</v>
      </c>
      <c r="J56" s="42" t="str">
        <f t="array" ref="J56">XLOOKUP($E56,'Player Database'!$B$2:$B252,'Player Database'!$P$2:$P252)</f>
        <v>#N/A</v>
      </c>
      <c r="K56" s="44" t="str">
        <f t="array" ref="K56">XLOOKUP($E56,'Player Database'!$B$2:$B252,'Player Database'!$U$2:$U252)</f>
        <v>#N/A</v>
      </c>
      <c r="L56" s="47" t="str">
        <f t="array" ref="L56">XLOOKUP($E56,'Player Database'!$B$2:$B252,'Player Database'!$W$2:$W252)</f>
        <v>#N/A</v>
      </c>
      <c r="M56" s="48" t="str">
        <f t="shared" si="1"/>
        <v>0 - 0</v>
      </c>
      <c r="N56" s="50" t="str">
        <f t="array" ref="N56">IF(XLOOKUP($E56,'Player Database'!$B$2:$B252,'Player Database'!$AA$2:$AA252)="",XLOOKUP($E56,'Player Database'!$B$2:$B252,'Player Database'!$G$2:$G252),XLOOKUP($E56,'Player Database'!$B$2:$B252,'Player Database'!$AA$2:$AA252))</f>
        <v>#N/A</v>
      </c>
      <c r="O56" s="51">
        <f>COUNTIFs(Matches!$B:$B,E56,Matches!$A:$A,"&gt;"&amp;Q56,Matches!$A:$A,"&lt;"&amp;R56)</f>
        <v>0</v>
      </c>
      <c r="P56" s="51">
        <f>COUNTIFs(Matches!$C:$C,E56,Matches!$A:$A,"&gt;"&amp;Q56,Matches!$A:$A,"&lt;"&amp;R56)</f>
        <v>0</v>
      </c>
      <c r="Q56" s="52">
        <f>VLOOKUP($C$2,Quotas!$A$7:$E$14,2,FALSE)</f>
        <v>46171.70833</v>
      </c>
      <c r="R56" s="52">
        <f>VLOOKUP($C$2,Quotas!$A$7:$E$14,3,FALSE)</f>
        <v>46178.70833</v>
      </c>
    </row>
    <row r="57">
      <c r="A57" s="80" t="str">
        <f t="array" ref="A57">XLOOKUP($E57,'Player Database'!$B$2:$B252,'Player Database'!$C$2:$C252)</f>
        <v>#N/A</v>
      </c>
      <c r="B57" s="80" t="str">
        <f t="array" ref="B57">XLOOKUP($E57,'Player Database'!$B$2:$B252,'Player Database'!$E$2:$E252)</f>
        <v>#N/A</v>
      </c>
      <c r="C57" s="80" t="str">
        <f t="array" ref="C57">XLOOKUP($E57,'Player Database'!$B$2:$B252,'Player Database'!$F$2:$F252)</f>
        <v>#N/A</v>
      </c>
      <c r="D57" s="81">
        <f>IFERROR(__xludf.DUMMYFUNCTION("""COMPUTED_VALUE"""),1.0)</f>
        <v>1</v>
      </c>
      <c r="E57" s="41"/>
      <c r="F57" s="42" t="str">
        <f t="array" ref="F57">XLOOKUP($E57,'Player Database'!$B$2:$B252,'Player Database'!$K$2:$K252)</f>
        <v>#N/A</v>
      </c>
      <c r="G57" s="42" t="str">
        <f t="array" ref="G57">XLOOKUP($E57,'Player Database'!$B$2:$B252,'Player Database'!$AE$2:$AE252)</f>
        <v>#N/A</v>
      </c>
      <c r="H57" s="42" t="str">
        <f t="array" ref="H57">XLOOKUP($E57,'Player Database'!$B$2:$B252,'Player Database'!$H$2:$H252)</f>
        <v>#N/A</v>
      </c>
      <c r="I57" s="42" t="str">
        <f t="array" ref="I57">XLOOKUP($E57,'Player Database'!$B$2:$B252,'Player Database'!$O$2:$O252)</f>
        <v>#N/A</v>
      </c>
      <c r="J57" s="42" t="str">
        <f t="array" ref="J57">XLOOKUP($E57,'Player Database'!$B$2:$B252,'Player Database'!$P$2:$P252)</f>
        <v>#N/A</v>
      </c>
      <c r="K57" s="44" t="str">
        <f t="array" ref="K57">XLOOKUP($E57,'Player Database'!$B$2:$B252,'Player Database'!$U$2:$U252)</f>
        <v>#N/A</v>
      </c>
      <c r="L57" s="47" t="str">
        <f t="array" ref="L57">XLOOKUP($E57,'Player Database'!$B$2:$B252,'Player Database'!$W$2:$W252)</f>
        <v>#N/A</v>
      </c>
      <c r="M57" s="48" t="str">
        <f t="shared" si="1"/>
        <v>0 - 0</v>
      </c>
      <c r="N57" s="50" t="str">
        <f t="array" ref="N57">IF(XLOOKUP($E57,'Player Database'!$B$2:$B252,'Player Database'!$AA$2:$AA252)="",XLOOKUP($E57,'Player Database'!$B$2:$B252,'Player Database'!$G$2:$G252),XLOOKUP($E57,'Player Database'!$B$2:$B252,'Player Database'!$AA$2:$AA252))</f>
        <v>#N/A</v>
      </c>
      <c r="O57" s="51">
        <f>COUNTIFs(Matches!$B:$B,E57,Matches!$A:$A,"&gt;"&amp;Q57,Matches!$A:$A,"&lt;"&amp;R57)</f>
        <v>0</v>
      </c>
      <c r="P57" s="51">
        <f>COUNTIFs(Matches!$C:$C,E57,Matches!$A:$A,"&gt;"&amp;Q57,Matches!$A:$A,"&lt;"&amp;R57)</f>
        <v>0</v>
      </c>
      <c r="Q57" s="52">
        <f>VLOOKUP($C$2,Quotas!$A$7:$E$14,2,FALSE)</f>
        <v>46171.70833</v>
      </c>
      <c r="R57" s="52">
        <f>VLOOKUP($C$2,Quotas!$A$7:$E$14,3,FALSE)</f>
        <v>46178.70833</v>
      </c>
    </row>
    <row r="58">
      <c r="A58" s="80" t="str">
        <f t="array" ref="A58">XLOOKUP($E58,'Player Database'!$B$2:$B252,'Player Database'!$C$2:$C252)</f>
        <v>#N/A</v>
      </c>
      <c r="B58" s="80" t="str">
        <f t="array" ref="B58">XLOOKUP($E58,'Player Database'!$B$2:$B252,'Player Database'!$E$2:$E252)</f>
        <v>#N/A</v>
      </c>
      <c r="C58" s="80" t="str">
        <f t="array" ref="C58">XLOOKUP($E58,'Player Database'!$B$2:$B252,'Player Database'!$F$2:$F252)</f>
        <v>#N/A</v>
      </c>
      <c r="D58" s="81">
        <f>IFERROR(__xludf.DUMMYFUNCTION("""COMPUTED_VALUE"""),1.0)</f>
        <v>1</v>
      </c>
      <c r="E58" s="41"/>
      <c r="F58" s="42" t="str">
        <f t="array" ref="F58">XLOOKUP($E58,'Player Database'!$B$2:$B252,'Player Database'!$K$2:$K252)</f>
        <v>#N/A</v>
      </c>
      <c r="G58" s="42" t="str">
        <f t="array" ref="G58">XLOOKUP($E58,'Player Database'!$B$2:$B252,'Player Database'!$AE$2:$AE252)</f>
        <v>#N/A</v>
      </c>
      <c r="H58" s="42" t="str">
        <f t="array" ref="H58">XLOOKUP($E58,'Player Database'!$B$2:$B252,'Player Database'!$H$2:$H252)</f>
        <v>#N/A</v>
      </c>
      <c r="I58" s="42" t="str">
        <f t="array" ref="I58">XLOOKUP($E58,'Player Database'!$B$2:$B252,'Player Database'!$O$2:$O252)</f>
        <v>#N/A</v>
      </c>
      <c r="J58" s="42" t="str">
        <f t="array" ref="J58">XLOOKUP($E58,'Player Database'!$B$2:$B252,'Player Database'!$P$2:$P252)</f>
        <v>#N/A</v>
      </c>
      <c r="K58" s="44" t="str">
        <f t="array" ref="K58">XLOOKUP($E58,'Player Database'!$B$2:$B252,'Player Database'!$U$2:$U252)</f>
        <v>#N/A</v>
      </c>
      <c r="L58" s="47" t="str">
        <f t="array" ref="L58">XLOOKUP($E58,'Player Database'!$B$2:$B252,'Player Database'!$W$2:$W252)</f>
        <v>#N/A</v>
      </c>
      <c r="M58" s="48" t="str">
        <f t="shared" si="1"/>
        <v>0 - 0</v>
      </c>
      <c r="N58" s="50" t="str">
        <f t="array" ref="N58">IF(XLOOKUP($E58,'Player Database'!$B$2:$B252,'Player Database'!$AA$2:$AA252)="",XLOOKUP($E58,'Player Database'!$B$2:$B252,'Player Database'!$G$2:$G252),XLOOKUP($E58,'Player Database'!$B$2:$B252,'Player Database'!$AA$2:$AA252))</f>
        <v>#N/A</v>
      </c>
      <c r="O58" s="51">
        <f>COUNTIFs(Matches!$B:$B,E58,Matches!$A:$A,"&gt;"&amp;Q58,Matches!$A:$A,"&lt;"&amp;R58)</f>
        <v>0</v>
      </c>
      <c r="P58" s="51">
        <f>COUNTIFs(Matches!$C:$C,E58,Matches!$A:$A,"&gt;"&amp;Q58,Matches!$A:$A,"&lt;"&amp;R58)</f>
        <v>0</v>
      </c>
      <c r="Q58" s="52">
        <f>VLOOKUP($C$2,Quotas!$A$7:$E$14,2,FALSE)</f>
        <v>46171.70833</v>
      </c>
      <c r="R58" s="52">
        <f>VLOOKUP($C$2,Quotas!$A$7:$E$14,3,FALSE)</f>
        <v>46178.70833</v>
      </c>
    </row>
    <row r="59">
      <c r="A59" s="80" t="str">
        <f t="array" ref="A59">XLOOKUP($E59,'Player Database'!$B$2:$B252,'Player Database'!$C$2:$C252)</f>
        <v>#N/A</v>
      </c>
      <c r="B59" s="80" t="str">
        <f t="array" ref="B59">XLOOKUP($E59,'Player Database'!$B$2:$B252,'Player Database'!$E$2:$E252)</f>
        <v>#N/A</v>
      </c>
      <c r="C59" s="80" t="str">
        <f t="array" ref="C59">XLOOKUP($E59,'Player Database'!$B$2:$B252,'Player Database'!$F$2:$F252)</f>
        <v>#N/A</v>
      </c>
      <c r="D59" s="81">
        <f>IFERROR(__xludf.DUMMYFUNCTION("""COMPUTED_VALUE"""),1.0)</f>
        <v>1</v>
      </c>
      <c r="E59" s="41"/>
      <c r="F59" s="42" t="str">
        <f t="array" ref="F59">XLOOKUP($E59,'Player Database'!$B$2:$B252,'Player Database'!$K$2:$K252)</f>
        <v>#N/A</v>
      </c>
      <c r="G59" s="42" t="str">
        <f t="array" ref="G59">XLOOKUP($E59,'Player Database'!$B$2:$B252,'Player Database'!$AE$2:$AE252)</f>
        <v>#N/A</v>
      </c>
      <c r="H59" s="42" t="str">
        <f t="array" ref="H59">XLOOKUP($E59,'Player Database'!$B$2:$B252,'Player Database'!$H$2:$H252)</f>
        <v>#N/A</v>
      </c>
      <c r="I59" s="42" t="str">
        <f t="array" ref="I59">XLOOKUP($E59,'Player Database'!$B$2:$B252,'Player Database'!$O$2:$O252)</f>
        <v>#N/A</v>
      </c>
      <c r="J59" s="42" t="str">
        <f t="array" ref="J59">XLOOKUP($E59,'Player Database'!$B$2:$B252,'Player Database'!$P$2:$P252)</f>
        <v>#N/A</v>
      </c>
      <c r="K59" s="44" t="str">
        <f t="array" ref="K59">XLOOKUP($E59,'Player Database'!$B$2:$B252,'Player Database'!$U$2:$U252)</f>
        <v>#N/A</v>
      </c>
      <c r="L59" s="47" t="str">
        <f t="array" ref="L59">XLOOKUP($E59,'Player Database'!$B$2:$B252,'Player Database'!$W$2:$W252)</f>
        <v>#N/A</v>
      </c>
      <c r="M59" s="48" t="str">
        <f t="shared" si="1"/>
        <v>0 - 0</v>
      </c>
      <c r="N59" s="50" t="str">
        <f t="array" ref="N59">IF(XLOOKUP($E59,'Player Database'!$B$2:$B252,'Player Database'!$AA$2:$AA252)="",XLOOKUP($E59,'Player Database'!$B$2:$B252,'Player Database'!$G$2:$G252),XLOOKUP($E59,'Player Database'!$B$2:$B252,'Player Database'!$AA$2:$AA252))</f>
        <v>#N/A</v>
      </c>
      <c r="O59" s="51">
        <f>COUNTIFs(Matches!$B:$B,E59,Matches!$A:$A,"&gt;"&amp;Q59,Matches!$A:$A,"&lt;"&amp;R59)</f>
        <v>0</v>
      </c>
      <c r="P59" s="51">
        <f>COUNTIFs(Matches!$C:$C,E59,Matches!$A:$A,"&gt;"&amp;Q59,Matches!$A:$A,"&lt;"&amp;R59)</f>
        <v>0</v>
      </c>
      <c r="Q59" s="52">
        <f>VLOOKUP($C$2,Quotas!$A$7:$E$14,2,FALSE)</f>
        <v>46171.70833</v>
      </c>
      <c r="R59" s="52">
        <f>VLOOKUP($C$2,Quotas!$A$7:$E$14,3,FALSE)</f>
        <v>46178.70833</v>
      </c>
    </row>
    <row r="60">
      <c r="A60" s="80" t="str">
        <f t="array" ref="A60">XLOOKUP($E60,'Player Database'!$B$2:$B252,'Player Database'!$C$2:$C252)</f>
        <v>#N/A</v>
      </c>
      <c r="B60" s="80" t="str">
        <f t="array" ref="B60">XLOOKUP($E60,'Player Database'!$B$2:$B252,'Player Database'!$E$2:$E252)</f>
        <v>#N/A</v>
      </c>
      <c r="C60" s="80" t="str">
        <f t="array" ref="C60">XLOOKUP($E60,'Player Database'!$B$2:$B252,'Player Database'!$F$2:$F252)</f>
        <v>#N/A</v>
      </c>
      <c r="D60" s="81">
        <f>IFERROR(__xludf.DUMMYFUNCTION("""COMPUTED_VALUE"""),1.0)</f>
        <v>1</v>
      </c>
      <c r="E60" s="41"/>
      <c r="F60" s="42" t="str">
        <f t="array" ref="F60">XLOOKUP($E60,'Player Database'!$B$2:$B252,'Player Database'!$K$2:$K252)</f>
        <v>#N/A</v>
      </c>
      <c r="G60" s="42" t="str">
        <f t="array" ref="G60">XLOOKUP($E60,'Player Database'!$B$2:$B252,'Player Database'!$AE$2:$AE252)</f>
        <v>#N/A</v>
      </c>
      <c r="H60" s="42" t="str">
        <f t="array" ref="H60">XLOOKUP($E60,'Player Database'!$B$2:$B252,'Player Database'!$H$2:$H252)</f>
        <v>#N/A</v>
      </c>
      <c r="I60" s="42" t="str">
        <f t="array" ref="I60">XLOOKUP($E60,'Player Database'!$B$2:$B252,'Player Database'!$O$2:$O252)</f>
        <v>#N/A</v>
      </c>
      <c r="J60" s="42" t="str">
        <f t="array" ref="J60">XLOOKUP($E60,'Player Database'!$B$2:$B252,'Player Database'!$P$2:$P252)</f>
        <v>#N/A</v>
      </c>
      <c r="K60" s="44" t="str">
        <f t="array" ref="K60">XLOOKUP($E60,'Player Database'!$B$2:$B252,'Player Database'!$U$2:$U252)</f>
        <v>#N/A</v>
      </c>
      <c r="L60" s="47" t="str">
        <f t="array" ref="L60">XLOOKUP($E60,'Player Database'!$B$2:$B252,'Player Database'!$W$2:$W252)</f>
        <v>#N/A</v>
      </c>
      <c r="M60" s="48" t="str">
        <f t="shared" si="1"/>
        <v>0 - 0</v>
      </c>
      <c r="N60" s="50" t="str">
        <f t="array" ref="N60">IF(XLOOKUP($E60,'Player Database'!$B$2:$B252,'Player Database'!$AA$2:$AA252)="",XLOOKUP($E60,'Player Database'!$B$2:$B252,'Player Database'!$G$2:$G252),XLOOKUP($E60,'Player Database'!$B$2:$B252,'Player Database'!$AA$2:$AA252))</f>
        <v>#N/A</v>
      </c>
      <c r="O60" s="51">
        <f>COUNTIFs(Matches!$B:$B,E60,Matches!$A:$A,"&gt;"&amp;Q60,Matches!$A:$A,"&lt;"&amp;R60)</f>
        <v>0</v>
      </c>
      <c r="P60" s="51">
        <f>COUNTIFs(Matches!$C:$C,E60,Matches!$A:$A,"&gt;"&amp;Q60,Matches!$A:$A,"&lt;"&amp;R60)</f>
        <v>0</v>
      </c>
      <c r="Q60" s="52">
        <f>VLOOKUP($C$2,Quotas!$A$7:$E$14,2,FALSE)</f>
        <v>46171.70833</v>
      </c>
      <c r="R60" s="52">
        <f>VLOOKUP($C$2,Quotas!$A$7:$E$14,3,FALSE)</f>
        <v>46178.70833</v>
      </c>
    </row>
    <row r="61">
      <c r="A61" s="80" t="str">
        <f t="array" ref="A61">XLOOKUP($E61,'Player Database'!$B$2:$B252,'Player Database'!$C$2:$C252)</f>
        <v>#N/A</v>
      </c>
      <c r="B61" s="80" t="str">
        <f t="array" ref="B61">XLOOKUP($E61,'Player Database'!$B$2:$B252,'Player Database'!$E$2:$E252)</f>
        <v>#N/A</v>
      </c>
      <c r="C61" s="80" t="str">
        <f t="array" ref="C61">XLOOKUP($E61,'Player Database'!$B$2:$B252,'Player Database'!$F$2:$F252)</f>
        <v>#N/A</v>
      </c>
      <c r="D61" s="81">
        <f>IFERROR(__xludf.DUMMYFUNCTION("""COMPUTED_VALUE"""),1.0)</f>
        <v>1</v>
      </c>
      <c r="E61" s="41"/>
      <c r="F61" s="42" t="str">
        <f t="array" ref="F61">XLOOKUP($E61,'Player Database'!$B$2:$B252,'Player Database'!$K$2:$K252)</f>
        <v>#N/A</v>
      </c>
      <c r="G61" s="42" t="str">
        <f t="array" ref="G61">XLOOKUP($E61,'Player Database'!$B$2:$B252,'Player Database'!$AE$2:$AE252)</f>
        <v>#N/A</v>
      </c>
      <c r="H61" s="42" t="str">
        <f t="array" ref="H61">XLOOKUP($E61,'Player Database'!$B$2:$B252,'Player Database'!$H$2:$H252)</f>
        <v>#N/A</v>
      </c>
      <c r="I61" s="42" t="str">
        <f t="array" ref="I61">XLOOKUP($E61,'Player Database'!$B$2:$B252,'Player Database'!$O$2:$O252)</f>
        <v>#N/A</v>
      </c>
      <c r="J61" s="42" t="str">
        <f t="array" ref="J61">XLOOKUP($E61,'Player Database'!$B$2:$B252,'Player Database'!$P$2:$P252)</f>
        <v>#N/A</v>
      </c>
      <c r="K61" s="44" t="str">
        <f t="array" ref="K61">XLOOKUP($E61,'Player Database'!$B$2:$B252,'Player Database'!$U$2:$U252)</f>
        <v>#N/A</v>
      </c>
      <c r="L61" s="47" t="str">
        <f t="array" ref="L61">XLOOKUP($E61,'Player Database'!$B$2:$B252,'Player Database'!$W$2:$W252)</f>
        <v>#N/A</v>
      </c>
      <c r="M61" s="48" t="str">
        <f t="shared" si="1"/>
        <v>0 - 0</v>
      </c>
      <c r="N61" s="50" t="str">
        <f t="array" ref="N61">IF(XLOOKUP($E61,'Player Database'!$B$2:$B252,'Player Database'!$AA$2:$AA252)="",XLOOKUP($E61,'Player Database'!$B$2:$B252,'Player Database'!$G$2:$G252),XLOOKUP($E61,'Player Database'!$B$2:$B252,'Player Database'!$AA$2:$AA252))</f>
        <v>#N/A</v>
      </c>
      <c r="O61" s="51">
        <f>COUNTIFs(Matches!$B:$B,E61,Matches!$A:$A,"&gt;"&amp;Q61,Matches!$A:$A,"&lt;"&amp;R61)</f>
        <v>0</v>
      </c>
      <c r="P61" s="51">
        <f>COUNTIFs(Matches!$C:$C,E61,Matches!$A:$A,"&gt;"&amp;Q61,Matches!$A:$A,"&lt;"&amp;R61)</f>
        <v>0</v>
      </c>
      <c r="Q61" s="52">
        <f>VLOOKUP($C$2,Quotas!$A$7:$E$14,2,FALSE)</f>
        <v>46171.70833</v>
      </c>
      <c r="R61" s="52">
        <f>VLOOKUP($C$2,Quotas!$A$7:$E$14,3,FALSE)</f>
        <v>46178.70833</v>
      </c>
    </row>
    <row r="62">
      <c r="A62" s="80" t="str">
        <f t="array" ref="A62">XLOOKUP($E62,'Player Database'!$B$2:$B252,'Player Database'!$C$2:$C252)</f>
        <v>#N/A</v>
      </c>
      <c r="B62" s="80" t="str">
        <f t="array" ref="B62">XLOOKUP($E62,'Player Database'!$B$2:$B252,'Player Database'!$E$2:$E252)</f>
        <v>#N/A</v>
      </c>
      <c r="C62" s="80" t="str">
        <f t="array" ref="C62">XLOOKUP($E62,'Player Database'!$B$2:$B252,'Player Database'!$F$2:$F252)</f>
        <v>#N/A</v>
      </c>
      <c r="D62" s="81">
        <f>IFERROR(__xludf.DUMMYFUNCTION("""COMPUTED_VALUE"""),1.0)</f>
        <v>1</v>
      </c>
      <c r="E62" s="41"/>
      <c r="F62" s="42" t="str">
        <f t="array" ref="F62">XLOOKUP($E62,'Player Database'!$B$2:$B252,'Player Database'!$K$2:$K252)</f>
        <v>#N/A</v>
      </c>
      <c r="G62" s="42" t="str">
        <f t="array" ref="G62">XLOOKUP($E62,'Player Database'!$B$2:$B252,'Player Database'!$AE$2:$AE252)</f>
        <v>#N/A</v>
      </c>
      <c r="H62" s="42" t="str">
        <f t="array" ref="H62">XLOOKUP($E62,'Player Database'!$B$2:$B252,'Player Database'!$H$2:$H252)</f>
        <v>#N/A</v>
      </c>
      <c r="I62" s="42" t="str">
        <f t="array" ref="I62">XLOOKUP($E62,'Player Database'!$B$2:$B252,'Player Database'!$O$2:$O252)</f>
        <v>#N/A</v>
      </c>
      <c r="J62" s="42" t="str">
        <f t="array" ref="J62">XLOOKUP($E62,'Player Database'!$B$2:$B252,'Player Database'!$P$2:$P252)</f>
        <v>#N/A</v>
      </c>
      <c r="K62" s="44" t="str">
        <f t="array" ref="K62">XLOOKUP($E62,'Player Database'!$B$2:$B252,'Player Database'!$U$2:$U252)</f>
        <v>#N/A</v>
      </c>
      <c r="L62" s="47" t="str">
        <f t="array" ref="L62">XLOOKUP($E62,'Player Database'!$B$2:$B252,'Player Database'!$W$2:$W252)</f>
        <v>#N/A</v>
      </c>
      <c r="M62" s="48" t="str">
        <f t="shared" si="1"/>
        <v>0 - 0</v>
      </c>
      <c r="N62" s="50" t="str">
        <f t="array" ref="N62">IF(XLOOKUP($E62,'Player Database'!$B$2:$B252,'Player Database'!$AA$2:$AA252)="",XLOOKUP($E62,'Player Database'!$B$2:$B252,'Player Database'!$G$2:$G252),XLOOKUP($E62,'Player Database'!$B$2:$B252,'Player Database'!$AA$2:$AA252))</f>
        <v>#N/A</v>
      </c>
      <c r="O62" s="51">
        <f>COUNTIFs(Matches!$B:$B,E62,Matches!$A:$A,"&gt;"&amp;Q62,Matches!$A:$A,"&lt;"&amp;R62)</f>
        <v>0</v>
      </c>
      <c r="P62" s="51">
        <f>COUNTIFs(Matches!$C:$C,E62,Matches!$A:$A,"&gt;"&amp;Q62,Matches!$A:$A,"&lt;"&amp;R62)</f>
        <v>0</v>
      </c>
      <c r="Q62" s="52">
        <f>VLOOKUP($C$2,Quotas!$A$7:$E$14,2,FALSE)</f>
        <v>46171.70833</v>
      </c>
      <c r="R62" s="52">
        <f>VLOOKUP($C$2,Quotas!$A$7:$E$14,3,FALSE)</f>
        <v>46178.70833</v>
      </c>
    </row>
    <row r="63">
      <c r="A63" s="80" t="str">
        <f t="array" ref="A63">XLOOKUP($E63,'Player Database'!$B$2:$B252,'Player Database'!$C$2:$C252)</f>
        <v>#N/A</v>
      </c>
      <c r="B63" s="80" t="str">
        <f t="array" ref="B63">XLOOKUP($E63,'Player Database'!$B$2:$B252,'Player Database'!$E$2:$E252)</f>
        <v>#N/A</v>
      </c>
      <c r="C63" s="80" t="str">
        <f t="array" ref="C63">XLOOKUP($E63,'Player Database'!$B$2:$B252,'Player Database'!$F$2:$F252)</f>
        <v>#N/A</v>
      </c>
      <c r="D63" s="81">
        <f>IFERROR(__xludf.DUMMYFUNCTION("""COMPUTED_VALUE"""),1.0)</f>
        <v>1</v>
      </c>
      <c r="E63" s="41"/>
      <c r="F63" s="42" t="str">
        <f t="array" ref="F63">XLOOKUP($E63,'Player Database'!$B$2:$B252,'Player Database'!$K$2:$K252)</f>
        <v>#N/A</v>
      </c>
      <c r="G63" s="42" t="str">
        <f t="array" ref="G63">XLOOKUP($E63,'Player Database'!$B$2:$B252,'Player Database'!$AE$2:$AE252)</f>
        <v>#N/A</v>
      </c>
      <c r="H63" s="42" t="str">
        <f t="array" ref="H63">XLOOKUP($E63,'Player Database'!$B$2:$B252,'Player Database'!$H$2:$H252)</f>
        <v>#N/A</v>
      </c>
      <c r="I63" s="42" t="str">
        <f t="array" ref="I63">XLOOKUP($E63,'Player Database'!$B$2:$B252,'Player Database'!$O$2:$O252)</f>
        <v>#N/A</v>
      </c>
      <c r="J63" s="42" t="str">
        <f t="array" ref="J63">XLOOKUP($E63,'Player Database'!$B$2:$B252,'Player Database'!$P$2:$P252)</f>
        <v>#N/A</v>
      </c>
      <c r="K63" s="44" t="str">
        <f t="array" ref="K63">XLOOKUP($E63,'Player Database'!$B$2:$B252,'Player Database'!$U$2:$U252)</f>
        <v>#N/A</v>
      </c>
      <c r="L63" s="47" t="str">
        <f t="array" ref="L63">XLOOKUP($E63,'Player Database'!$B$2:$B252,'Player Database'!$W$2:$W252)</f>
        <v>#N/A</v>
      </c>
      <c r="M63" s="48" t="str">
        <f t="shared" si="1"/>
        <v>0 - 0</v>
      </c>
      <c r="N63" s="50" t="str">
        <f t="array" ref="N63">IF(XLOOKUP($E63,'Player Database'!$B$2:$B252,'Player Database'!$AA$2:$AA252)="",XLOOKUP($E63,'Player Database'!$B$2:$B252,'Player Database'!$G$2:$G252),XLOOKUP($E63,'Player Database'!$B$2:$B252,'Player Database'!$AA$2:$AA252))</f>
        <v>#N/A</v>
      </c>
      <c r="O63" s="51">
        <f>COUNTIFs(Matches!$B:$B,E63,Matches!$A:$A,"&gt;"&amp;Q63,Matches!$A:$A,"&lt;"&amp;R63)</f>
        <v>0</v>
      </c>
      <c r="P63" s="51">
        <f>COUNTIFs(Matches!$C:$C,E63,Matches!$A:$A,"&gt;"&amp;Q63,Matches!$A:$A,"&lt;"&amp;R63)</f>
        <v>0</v>
      </c>
      <c r="Q63" s="52">
        <f>VLOOKUP($C$2,Quotas!$A$7:$E$14,2,FALSE)</f>
        <v>46171.70833</v>
      </c>
      <c r="R63" s="52">
        <f>VLOOKUP($C$2,Quotas!$A$7:$E$14,3,FALSE)</f>
        <v>46178.70833</v>
      </c>
    </row>
    <row r="64">
      <c r="A64" s="80" t="str">
        <f t="array" ref="A64">XLOOKUP($E64,'Player Database'!$B$2:$B252,'Player Database'!$C$2:$C252)</f>
        <v>#N/A</v>
      </c>
      <c r="B64" s="80" t="str">
        <f t="array" ref="B64">XLOOKUP($E64,'Player Database'!$B$2:$B252,'Player Database'!$E$2:$E252)</f>
        <v>#N/A</v>
      </c>
      <c r="C64" s="80" t="str">
        <f t="array" ref="C64">XLOOKUP($E64,'Player Database'!$B$2:$B252,'Player Database'!$F$2:$F252)</f>
        <v>#N/A</v>
      </c>
      <c r="D64" s="81">
        <f>IFERROR(__xludf.DUMMYFUNCTION("""COMPUTED_VALUE"""),1.0)</f>
        <v>1</v>
      </c>
      <c r="E64" s="41"/>
      <c r="F64" s="42" t="str">
        <f t="array" ref="F64">XLOOKUP($E64,'Player Database'!$B$2:$B252,'Player Database'!$K$2:$K252)</f>
        <v>#N/A</v>
      </c>
      <c r="G64" s="42" t="str">
        <f t="array" ref="G64">XLOOKUP($E64,'Player Database'!$B$2:$B252,'Player Database'!$AE$2:$AE252)</f>
        <v>#N/A</v>
      </c>
      <c r="H64" s="42" t="str">
        <f t="array" ref="H64">XLOOKUP($E64,'Player Database'!$B$2:$B252,'Player Database'!$H$2:$H252)</f>
        <v>#N/A</v>
      </c>
      <c r="I64" s="42" t="str">
        <f t="array" ref="I64">XLOOKUP($E64,'Player Database'!$B$2:$B252,'Player Database'!$O$2:$O252)</f>
        <v>#N/A</v>
      </c>
      <c r="J64" s="42" t="str">
        <f t="array" ref="J64">XLOOKUP($E64,'Player Database'!$B$2:$B252,'Player Database'!$P$2:$P252)</f>
        <v>#N/A</v>
      </c>
      <c r="K64" s="44" t="str">
        <f t="array" ref="K64">XLOOKUP($E64,'Player Database'!$B$2:$B252,'Player Database'!$U$2:$U252)</f>
        <v>#N/A</v>
      </c>
      <c r="L64" s="47" t="str">
        <f t="array" ref="L64">XLOOKUP($E64,'Player Database'!$B$2:$B252,'Player Database'!$W$2:$W252)</f>
        <v>#N/A</v>
      </c>
      <c r="M64" s="48" t="str">
        <f t="shared" si="1"/>
        <v>0 - 0</v>
      </c>
      <c r="N64" s="50" t="str">
        <f t="array" ref="N64">IF(XLOOKUP($E64,'Player Database'!$B$2:$B252,'Player Database'!$AA$2:$AA252)="",XLOOKUP($E64,'Player Database'!$B$2:$B252,'Player Database'!$G$2:$G252),XLOOKUP($E64,'Player Database'!$B$2:$B252,'Player Database'!$AA$2:$AA252))</f>
        <v>#N/A</v>
      </c>
      <c r="O64" s="51">
        <f>COUNTIFs(Matches!$B:$B,E64,Matches!$A:$A,"&gt;"&amp;Q64,Matches!$A:$A,"&lt;"&amp;R64)</f>
        <v>0</v>
      </c>
      <c r="P64" s="51">
        <f>COUNTIFs(Matches!$C:$C,E64,Matches!$A:$A,"&gt;"&amp;Q64,Matches!$A:$A,"&lt;"&amp;R64)</f>
        <v>0</v>
      </c>
      <c r="Q64" s="52">
        <f>VLOOKUP($C$2,Quotas!$A$7:$E$14,2,FALSE)</f>
        <v>46171.70833</v>
      </c>
      <c r="R64" s="52">
        <f>VLOOKUP($C$2,Quotas!$A$7:$E$14,3,FALSE)</f>
        <v>46178.70833</v>
      </c>
    </row>
    <row r="65">
      <c r="A65" s="80" t="str">
        <f t="array" ref="A65">XLOOKUP($E65,'Player Database'!$B$2:$B252,'Player Database'!$C$2:$C252)</f>
        <v>#N/A</v>
      </c>
      <c r="B65" s="80" t="str">
        <f t="array" ref="B65">XLOOKUP($E65,'Player Database'!$B$2:$B252,'Player Database'!$E$2:$E252)</f>
        <v>#N/A</v>
      </c>
      <c r="C65" s="80" t="str">
        <f t="array" ref="C65">XLOOKUP($E65,'Player Database'!$B$2:$B252,'Player Database'!$F$2:$F252)</f>
        <v>#N/A</v>
      </c>
      <c r="D65" s="81">
        <f>IFERROR(__xludf.DUMMYFUNCTION("""COMPUTED_VALUE"""),1.0)</f>
        <v>1</v>
      </c>
      <c r="E65" s="41"/>
      <c r="F65" s="42" t="str">
        <f t="array" ref="F65">XLOOKUP($E65,'Player Database'!$B$2:$B252,'Player Database'!$K$2:$K252)</f>
        <v>#N/A</v>
      </c>
      <c r="G65" s="42" t="str">
        <f t="array" ref="G65">XLOOKUP($E65,'Player Database'!$B$2:$B252,'Player Database'!$AE$2:$AE252)</f>
        <v>#N/A</v>
      </c>
      <c r="H65" s="42" t="str">
        <f t="array" ref="H65">XLOOKUP($E65,'Player Database'!$B$2:$B252,'Player Database'!$H$2:$H252)</f>
        <v>#N/A</v>
      </c>
      <c r="I65" s="42" t="str">
        <f t="array" ref="I65">XLOOKUP($E65,'Player Database'!$B$2:$B252,'Player Database'!$O$2:$O252)</f>
        <v>#N/A</v>
      </c>
      <c r="J65" s="42" t="str">
        <f t="array" ref="J65">XLOOKUP($E65,'Player Database'!$B$2:$B252,'Player Database'!$P$2:$P252)</f>
        <v>#N/A</v>
      </c>
      <c r="K65" s="44" t="str">
        <f t="array" ref="K65">XLOOKUP($E65,'Player Database'!$B$2:$B252,'Player Database'!$U$2:$U252)</f>
        <v>#N/A</v>
      </c>
      <c r="L65" s="47" t="str">
        <f t="array" ref="L65">XLOOKUP($E65,'Player Database'!$B$2:$B252,'Player Database'!$W$2:$W252)</f>
        <v>#N/A</v>
      </c>
      <c r="M65" s="48" t="str">
        <f t="shared" si="1"/>
        <v>0 - 0</v>
      </c>
      <c r="N65" s="50" t="str">
        <f t="array" ref="N65">IF(XLOOKUP($E65,'Player Database'!$B$2:$B252,'Player Database'!$AA$2:$AA252)="",XLOOKUP($E65,'Player Database'!$B$2:$B252,'Player Database'!$G$2:$G252),XLOOKUP($E65,'Player Database'!$B$2:$B252,'Player Database'!$AA$2:$AA252))</f>
        <v>#N/A</v>
      </c>
      <c r="O65" s="51">
        <f>COUNTIFs(Matches!$B:$B,E65,Matches!$A:$A,"&gt;"&amp;Q65,Matches!$A:$A,"&lt;"&amp;R65)</f>
        <v>0</v>
      </c>
      <c r="P65" s="51">
        <f>COUNTIFs(Matches!$C:$C,E65,Matches!$A:$A,"&gt;"&amp;Q65,Matches!$A:$A,"&lt;"&amp;R65)</f>
        <v>0</v>
      </c>
      <c r="Q65" s="52">
        <f>VLOOKUP($C$2,Quotas!$A$7:$E$14,2,FALSE)</f>
        <v>46171.70833</v>
      </c>
      <c r="R65" s="52">
        <f>VLOOKUP($C$2,Quotas!$A$7:$E$14,3,FALSE)</f>
        <v>46178.70833</v>
      </c>
    </row>
    <row r="66">
      <c r="A66" s="80" t="str">
        <f t="array" ref="A66">XLOOKUP($E66,'Player Database'!$B$2:$B252,'Player Database'!$C$2:$C252)</f>
        <v>#N/A</v>
      </c>
      <c r="B66" s="80" t="str">
        <f t="array" ref="B66">XLOOKUP($E66,'Player Database'!$B$2:$B252,'Player Database'!$E$2:$E252)</f>
        <v>#N/A</v>
      </c>
      <c r="C66" s="80" t="str">
        <f t="array" ref="C66">XLOOKUP($E66,'Player Database'!$B$2:$B252,'Player Database'!$F$2:$F252)</f>
        <v>#N/A</v>
      </c>
      <c r="D66" s="81">
        <f>IFERROR(__xludf.DUMMYFUNCTION("""COMPUTED_VALUE"""),1.0)</f>
        <v>1</v>
      </c>
      <c r="E66" s="41"/>
      <c r="F66" s="42" t="str">
        <f t="array" ref="F66">XLOOKUP($E66,'Player Database'!$B$2:$B252,'Player Database'!$K$2:$K252)</f>
        <v>#N/A</v>
      </c>
      <c r="G66" s="42" t="str">
        <f t="array" ref="G66">XLOOKUP($E66,'Player Database'!$B$2:$B252,'Player Database'!$AE$2:$AE252)</f>
        <v>#N/A</v>
      </c>
      <c r="H66" s="42" t="str">
        <f t="array" ref="H66">XLOOKUP($E66,'Player Database'!$B$2:$B252,'Player Database'!$H$2:$H252)</f>
        <v>#N/A</v>
      </c>
      <c r="I66" s="42" t="str">
        <f t="array" ref="I66">XLOOKUP($E66,'Player Database'!$B$2:$B252,'Player Database'!$O$2:$O252)</f>
        <v>#N/A</v>
      </c>
      <c r="J66" s="42" t="str">
        <f t="array" ref="J66">XLOOKUP($E66,'Player Database'!$B$2:$B252,'Player Database'!$P$2:$P252)</f>
        <v>#N/A</v>
      </c>
      <c r="K66" s="44" t="str">
        <f t="array" ref="K66">XLOOKUP($E66,'Player Database'!$B$2:$B252,'Player Database'!$U$2:$U252)</f>
        <v>#N/A</v>
      </c>
      <c r="L66" s="47" t="str">
        <f t="array" ref="L66">XLOOKUP($E66,'Player Database'!$B$2:$B252,'Player Database'!$W$2:$W252)</f>
        <v>#N/A</v>
      </c>
      <c r="M66" s="48" t="str">
        <f t="shared" si="1"/>
        <v>0 - 0</v>
      </c>
      <c r="N66" s="50" t="str">
        <f t="array" ref="N66">IF(XLOOKUP($E66,'Player Database'!$B$2:$B252,'Player Database'!$AA$2:$AA252)="",XLOOKUP($E66,'Player Database'!$B$2:$B252,'Player Database'!$G$2:$G252),XLOOKUP($E66,'Player Database'!$B$2:$B252,'Player Database'!$AA$2:$AA252))</f>
        <v>#N/A</v>
      </c>
      <c r="O66" s="51">
        <f>COUNTIFs(Matches!$B:$B,E66,Matches!$A:$A,"&gt;"&amp;Q66,Matches!$A:$A,"&lt;"&amp;R66)</f>
        <v>0</v>
      </c>
      <c r="P66" s="51">
        <f>COUNTIFs(Matches!$C:$C,E66,Matches!$A:$A,"&gt;"&amp;Q66,Matches!$A:$A,"&lt;"&amp;R66)</f>
        <v>0</v>
      </c>
      <c r="Q66" s="52">
        <f>VLOOKUP($C$2,Quotas!$A$7:$E$14,2,FALSE)</f>
        <v>46171.70833</v>
      </c>
      <c r="R66" s="52">
        <f>VLOOKUP($C$2,Quotas!$A$7:$E$14,3,FALSE)</f>
        <v>46178.70833</v>
      </c>
    </row>
    <row r="67">
      <c r="A67" s="80" t="str">
        <f t="array" ref="A67">XLOOKUP($E67,'Player Database'!$B$2:$B252,'Player Database'!$C$2:$C252)</f>
        <v>#N/A</v>
      </c>
      <c r="B67" s="80" t="str">
        <f t="array" ref="B67">XLOOKUP($E67,'Player Database'!$B$2:$B252,'Player Database'!$E$2:$E252)</f>
        <v>#N/A</v>
      </c>
      <c r="C67" s="80" t="str">
        <f t="array" ref="C67">XLOOKUP($E67,'Player Database'!$B$2:$B252,'Player Database'!$F$2:$F252)</f>
        <v>#N/A</v>
      </c>
      <c r="D67" s="81">
        <f>IFERROR(__xludf.DUMMYFUNCTION("""COMPUTED_VALUE"""),1.0)</f>
        <v>1</v>
      </c>
      <c r="E67" s="41"/>
      <c r="F67" s="42" t="str">
        <f t="array" ref="F67">XLOOKUP($E67,'Player Database'!$B$2:$B252,'Player Database'!$K$2:$K252)</f>
        <v>#N/A</v>
      </c>
      <c r="G67" s="42" t="str">
        <f t="array" ref="G67">XLOOKUP($E67,'Player Database'!$B$2:$B252,'Player Database'!$AE$2:$AE252)</f>
        <v>#N/A</v>
      </c>
      <c r="H67" s="42" t="str">
        <f t="array" ref="H67">XLOOKUP($E67,'Player Database'!$B$2:$B252,'Player Database'!$H$2:$H252)</f>
        <v>#N/A</v>
      </c>
      <c r="I67" s="42" t="str">
        <f t="array" ref="I67">XLOOKUP($E67,'Player Database'!$B$2:$B252,'Player Database'!$O$2:$O252)</f>
        <v>#N/A</v>
      </c>
      <c r="J67" s="42" t="str">
        <f t="array" ref="J67">XLOOKUP($E67,'Player Database'!$B$2:$B252,'Player Database'!$P$2:$P252)</f>
        <v>#N/A</v>
      </c>
      <c r="K67" s="44" t="str">
        <f t="array" ref="K67">XLOOKUP($E67,'Player Database'!$B$2:$B252,'Player Database'!$U$2:$U252)</f>
        <v>#N/A</v>
      </c>
      <c r="L67" s="47" t="str">
        <f t="array" ref="L67">XLOOKUP($E67,'Player Database'!$B$2:$B252,'Player Database'!$W$2:$W252)</f>
        <v>#N/A</v>
      </c>
      <c r="M67" s="48" t="str">
        <f t="shared" si="1"/>
        <v>0 - 0</v>
      </c>
      <c r="N67" s="50" t="str">
        <f t="array" ref="N67">IF(XLOOKUP($E67,'Player Database'!$B$2:$B252,'Player Database'!$AA$2:$AA252)="",XLOOKUP($E67,'Player Database'!$B$2:$B252,'Player Database'!$G$2:$G252),XLOOKUP($E67,'Player Database'!$B$2:$B252,'Player Database'!$AA$2:$AA252))</f>
        <v>#N/A</v>
      </c>
      <c r="O67" s="51">
        <f>COUNTIFs(Matches!$B:$B,E67,Matches!$A:$A,"&gt;"&amp;Q67,Matches!$A:$A,"&lt;"&amp;R67)</f>
        <v>0</v>
      </c>
      <c r="P67" s="51">
        <f>COUNTIFs(Matches!$C:$C,E67,Matches!$A:$A,"&gt;"&amp;Q67,Matches!$A:$A,"&lt;"&amp;R67)</f>
        <v>0</v>
      </c>
      <c r="Q67" s="52">
        <f>VLOOKUP($C$2,Quotas!$A$7:$E$14,2,FALSE)</f>
        <v>46171.70833</v>
      </c>
      <c r="R67" s="52">
        <f>VLOOKUP($C$2,Quotas!$A$7:$E$14,3,FALSE)</f>
        <v>46178.70833</v>
      </c>
    </row>
    <row r="68">
      <c r="A68" s="82" t="str">
        <f t="array" ref="A68">XLOOKUP($E68,'Player Database'!$B$2:$B252,'Player Database'!$C$2:$C252)</f>
        <v>#N/A</v>
      </c>
      <c r="B68" s="82" t="str">
        <f t="array" ref="B68">XLOOKUP($E68,'Player Database'!$B$2:$B252,'Player Database'!$E$2:$E252)</f>
        <v>#N/A</v>
      </c>
      <c r="C68" s="82" t="str">
        <f t="array" ref="C68">XLOOKUP($E68,'Player Database'!$B$2:$B252,'Player Database'!$F$2:$F252)</f>
        <v>#N/A</v>
      </c>
      <c r="D68" s="81">
        <f>IFERROR(__xludf.DUMMYFUNCTION("""COMPUTED_VALUE"""),1.0)</f>
        <v>1</v>
      </c>
      <c r="E68" s="41"/>
      <c r="F68" s="42" t="str">
        <f t="array" ref="F68">XLOOKUP($E68,'Player Database'!$B$2:$B252,'Player Database'!$K$2:$K252)</f>
        <v>#N/A</v>
      </c>
      <c r="G68" s="42" t="str">
        <f t="array" ref="G68">XLOOKUP($E68,'Player Database'!$B$2:$B252,'Player Database'!$AE$2:$AE252)</f>
        <v>#N/A</v>
      </c>
      <c r="H68" s="42" t="str">
        <f t="array" ref="H68">XLOOKUP($E68,'Player Database'!$B$2:$B252,'Player Database'!$H$2:$H252)</f>
        <v>#N/A</v>
      </c>
      <c r="I68" s="42" t="str">
        <f t="array" ref="I68">XLOOKUP($E68,'Player Database'!$B$2:$B252,'Player Database'!$O$2:$O252)</f>
        <v>#N/A</v>
      </c>
      <c r="J68" s="42" t="str">
        <f t="array" ref="J68">XLOOKUP($E68,'Player Database'!$B$2:$B252,'Player Database'!$P$2:$P252)</f>
        <v>#N/A</v>
      </c>
      <c r="K68" s="44" t="str">
        <f t="array" ref="K68">XLOOKUP($E68,'Player Database'!$B$2:$B252,'Player Database'!$U$2:$U252)</f>
        <v>#N/A</v>
      </c>
      <c r="L68" s="47" t="str">
        <f t="array" ref="L68">XLOOKUP($E68,'Player Database'!$B$2:$B252,'Player Database'!$W$2:$W252)</f>
        <v>#N/A</v>
      </c>
      <c r="M68" s="48" t="str">
        <f t="shared" si="1"/>
        <v>0 - 0</v>
      </c>
      <c r="N68" s="50" t="str">
        <f t="array" ref="N68">IF(XLOOKUP($E68,'Player Database'!$B$2:$B252,'Player Database'!$AA$2:$AA252)="",XLOOKUP($E68,'Player Database'!$B$2:$B252,'Player Database'!$G$2:$G252),XLOOKUP($E68,'Player Database'!$B$2:$B252,'Player Database'!$AA$2:$AA252))</f>
        <v>#N/A</v>
      </c>
      <c r="O68" s="51">
        <f>COUNTIFs(Matches!$B:$B,E68,Matches!$A:$A,"&gt;"&amp;Q68,Matches!$A:$A,"&lt;"&amp;R68)</f>
        <v>0</v>
      </c>
      <c r="P68" s="51">
        <f>COUNTIFs(Matches!$C:$C,E68,Matches!$A:$A,"&gt;"&amp;Q68,Matches!$A:$A,"&lt;"&amp;R68)</f>
        <v>0</v>
      </c>
      <c r="Q68" s="52">
        <f>VLOOKUP($C$2,Quotas!$A$7:$E$14,2,FALSE)</f>
        <v>46171.70833</v>
      </c>
      <c r="R68" s="52">
        <f>VLOOKUP($C$2,Quotas!$A$7:$E$14,3,FALSE)</f>
        <v>46178.70833</v>
      </c>
    </row>
    <row r="69">
      <c r="A69" s="82" t="str">
        <f t="array" ref="A69">XLOOKUP($E69,'Player Database'!$B$2:$B252,'Player Database'!$C$2:$C252)</f>
        <v>#N/A</v>
      </c>
      <c r="B69" s="82" t="str">
        <f t="array" ref="B69">XLOOKUP($E69,'Player Database'!$B$2:$B252,'Player Database'!$E$2:$E252)</f>
        <v>#N/A</v>
      </c>
      <c r="C69" s="82" t="str">
        <f t="array" ref="C69">XLOOKUP($E69,'Player Database'!$B$2:$B252,'Player Database'!$F$2:$F252)</f>
        <v>#N/A</v>
      </c>
      <c r="D69" s="81">
        <f>IFERROR(__xludf.DUMMYFUNCTION("""COMPUTED_VALUE"""),1.0)</f>
        <v>1</v>
      </c>
      <c r="E69" s="41"/>
      <c r="F69" s="42" t="str">
        <f t="array" ref="F69">XLOOKUP($E69,'Player Database'!$B$2:$B252,'Player Database'!$K$2:$K252)</f>
        <v>#N/A</v>
      </c>
      <c r="G69" s="42" t="str">
        <f t="array" ref="G69">XLOOKUP($E69,'Player Database'!$B$2:$B252,'Player Database'!$AE$2:$AE252)</f>
        <v>#N/A</v>
      </c>
      <c r="H69" s="42" t="str">
        <f t="array" ref="H69">XLOOKUP($E69,'Player Database'!$B$2:$B252,'Player Database'!$H$2:$H252)</f>
        <v>#N/A</v>
      </c>
      <c r="I69" s="42" t="str">
        <f t="array" ref="I69">XLOOKUP($E69,'Player Database'!$B$2:$B252,'Player Database'!$O$2:$O252)</f>
        <v>#N/A</v>
      </c>
      <c r="J69" s="42" t="str">
        <f t="array" ref="J69">XLOOKUP($E69,'Player Database'!$B$2:$B252,'Player Database'!$P$2:$P252)</f>
        <v>#N/A</v>
      </c>
      <c r="K69" s="44" t="str">
        <f t="array" ref="K69">XLOOKUP($E69,'Player Database'!$B$2:$B252,'Player Database'!$U$2:$U252)</f>
        <v>#N/A</v>
      </c>
      <c r="L69" s="47" t="str">
        <f t="array" ref="L69">XLOOKUP($E69,'Player Database'!$B$2:$B252,'Player Database'!$W$2:$W252)</f>
        <v>#N/A</v>
      </c>
      <c r="M69" s="48" t="str">
        <f t="shared" si="1"/>
        <v>0 - 0</v>
      </c>
      <c r="N69" s="50" t="str">
        <f t="array" ref="N69">IF(XLOOKUP($E69,'Player Database'!$B$2:$B252,'Player Database'!$AA$2:$AA252)="",XLOOKUP($E69,'Player Database'!$B$2:$B252,'Player Database'!$G$2:$G252),XLOOKUP($E69,'Player Database'!$B$2:$B252,'Player Database'!$AA$2:$AA252))</f>
        <v>#N/A</v>
      </c>
      <c r="O69" s="51">
        <f>COUNTIFs(Matches!$B:$B,E69,Matches!$A:$A,"&gt;"&amp;Q69,Matches!$A:$A,"&lt;"&amp;R69)</f>
        <v>0</v>
      </c>
      <c r="P69" s="51">
        <f>COUNTIFs(Matches!$C:$C,E69,Matches!$A:$A,"&gt;"&amp;Q69,Matches!$A:$A,"&lt;"&amp;R69)</f>
        <v>0</v>
      </c>
      <c r="Q69" s="52">
        <f>VLOOKUP($C$2,Quotas!$A$7:$E$14,2,FALSE)</f>
        <v>46171.70833</v>
      </c>
      <c r="R69" s="52">
        <f>VLOOKUP($C$2,Quotas!$A$7:$E$14,3,FALSE)</f>
        <v>46178.70833</v>
      </c>
    </row>
    <row r="70">
      <c r="A70" s="82" t="str">
        <f t="array" ref="A70">XLOOKUP($E70,'Player Database'!$B$2:$B252,'Player Database'!$C$2:$C252)</f>
        <v>#N/A</v>
      </c>
      <c r="B70" s="82" t="str">
        <f t="array" ref="B70">XLOOKUP($E70,'Player Database'!$B$2:$B252,'Player Database'!$E$2:$E252)</f>
        <v>#N/A</v>
      </c>
      <c r="C70" s="82" t="str">
        <f t="array" ref="C70">XLOOKUP($E70,'Player Database'!$B$2:$B252,'Player Database'!$F$2:$F252)</f>
        <v>#N/A</v>
      </c>
      <c r="D70" s="81">
        <f>IFERROR(__xludf.DUMMYFUNCTION("""COMPUTED_VALUE"""),1.0)</f>
        <v>1</v>
      </c>
      <c r="E70" s="41"/>
      <c r="F70" s="42" t="str">
        <f t="array" ref="F70">XLOOKUP($E70,'Player Database'!$B$2:$B252,'Player Database'!$K$2:$K252)</f>
        <v>#N/A</v>
      </c>
      <c r="G70" s="42" t="str">
        <f t="array" ref="G70">XLOOKUP($E70,'Player Database'!$B$2:$B252,'Player Database'!$AE$2:$AE252)</f>
        <v>#N/A</v>
      </c>
      <c r="H70" s="42" t="str">
        <f t="array" ref="H70">XLOOKUP($E70,'Player Database'!$B$2:$B252,'Player Database'!$H$2:$H252)</f>
        <v>#N/A</v>
      </c>
      <c r="I70" s="42" t="str">
        <f t="array" ref="I70">XLOOKUP($E70,'Player Database'!$B$2:$B252,'Player Database'!$O$2:$O252)</f>
        <v>#N/A</v>
      </c>
      <c r="J70" s="42" t="str">
        <f t="array" ref="J70">XLOOKUP($E70,'Player Database'!$B$2:$B252,'Player Database'!$P$2:$P252)</f>
        <v>#N/A</v>
      </c>
      <c r="K70" s="44" t="str">
        <f t="array" ref="K70">XLOOKUP($E70,'Player Database'!$B$2:$B252,'Player Database'!$U$2:$U252)</f>
        <v>#N/A</v>
      </c>
      <c r="L70" s="47" t="str">
        <f t="array" ref="L70">XLOOKUP($E70,'Player Database'!$B$2:$B252,'Player Database'!$W$2:$W252)</f>
        <v>#N/A</v>
      </c>
      <c r="M70" s="48" t="str">
        <f t="shared" si="1"/>
        <v>0 - 0</v>
      </c>
      <c r="N70" s="50" t="str">
        <f t="array" ref="N70">IF(XLOOKUP($E70,'Player Database'!$B$2:$B252,'Player Database'!$AA$2:$AA252)="",XLOOKUP($E70,'Player Database'!$B$2:$B252,'Player Database'!$G$2:$G252),XLOOKUP($E70,'Player Database'!$B$2:$B252,'Player Database'!$AA$2:$AA252))</f>
        <v>#N/A</v>
      </c>
      <c r="O70" s="51">
        <f>COUNTIFs(Matches!$B:$B,E70,Matches!$A:$A,"&gt;"&amp;Q70,Matches!$A:$A,"&lt;"&amp;R70)</f>
        <v>0</v>
      </c>
      <c r="P70" s="51">
        <f>COUNTIFs(Matches!$C:$C,E70,Matches!$A:$A,"&gt;"&amp;Q70,Matches!$A:$A,"&lt;"&amp;R70)</f>
        <v>0</v>
      </c>
      <c r="Q70" s="52">
        <f>VLOOKUP($C$2,Quotas!$A$7:$E$14,2,FALSE)</f>
        <v>46171.70833</v>
      </c>
      <c r="R70" s="52">
        <f>VLOOKUP($C$2,Quotas!$A$7:$E$14,3,FALSE)</f>
        <v>46178.70833</v>
      </c>
    </row>
    <row r="71">
      <c r="A71" s="82" t="str">
        <f t="array" ref="A71">XLOOKUP($E71,'Player Database'!$B$2:$B252,'Player Database'!$C$2:$C252)</f>
        <v>#N/A</v>
      </c>
      <c r="B71" s="82" t="str">
        <f t="array" ref="B71">XLOOKUP($E71,'Player Database'!$B$2:$B252,'Player Database'!$E$2:$E252)</f>
        <v>#N/A</v>
      </c>
      <c r="C71" s="82" t="str">
        <f t="array" ref="C71">XLOOKUP($E71,'Player Database'!$B$2:$B252,'Player Database'!$F$2:$F252)</f>
        <v>#N/A</v>
      </c>
      <c r="D71" s="81">
        <f>IFERROR(__xludf.DUMMYFUNCTION("""COMPUTED_VALUE"""),1.0)</f>
        <v>1</v>
      </c>
      <c r="E71" s="41"/>
      <c r="F71" s="42" t="str">
        <f t="array" ref="F71">XLOOKUP($E71,'Player Database'!$B$2:$B252,'Player Database'!$K$2:$K252)</f>
        <v>#N/A</v>
      </c>
      <c r="G71" s="42" t="str">
        <f t="array" ref="G71">XLOOKUP($E71,'Player Database'!$B$2:$B252,'Player Database'!$AE$2:$AE252)</f>
        <v>#N/A</v>
      </c>
      <c r="H71" s="42" t="str">
        <f t="array" ref="H71">XLOOKUP($E71,'Player Database'!$B$2:$B252,'Player Database'!$H$2:$H252)</f>
        <v>#N/A</v>
      </c>
      <c r="I71" s="42" t="str">
        <f t="array" ref="I71">XLOOKUP($E71,'Player Database'!$B$2:$B252,'Player Database'!$O$2:$O252)</f>
        <v>#N/A</v>
      </c>
      <c r="J71" s="42" t="str">
        <f t="array" ref="J71">XLOOKUP($E71,'Player Database'!$B$2:$B252,'Player Database'!$P$2:$P252)</f>
        <v>#N/A</v>
      </c>
      <c r="K71" s="44" t="str">
        <f t="array" ref="K71">XLOOKUP($E71,'Player Database'!$B$2:$B252,'Player Database'!$U$2:$U252)</f>
        <v>#N/A</v>
      </c>
      <c r="L71" s="47" t="str">
        <f t="array" ref="L71">XLOOKUP($E71,'Player Database'!$B$2:$B252,'Player Database'!$W$2:$W252)</f>
        <v>#N/A</v>
      </c>
      <c r="M71" s="48" t="str">
        <f t="shared" si="1"/>
        <v>0 - 0</v>
      </c>
      <c r="N71" s="50" t="str">
        <f t="array" ref="N71">IF(XLOOKUP($E71,'Player Database'!$B$2:$B252,'Player Database'!$AA$2:$AA252)="",XLOOKUP($E71,'Player Database'!$B$2:$B252,'Player Database'!$G$2:$G252),XLOOKUP($E71,'Player Database'!$B$2:$B252,'Player Database'!$AA$2:$AA252))</f>
        <v>#N/A</v>
      </c>
      <c r="O71" s="51">
        <f>COUNTIFs(Matches!$B:$B,E71,Matches!$A:$A,"&gt;"&amp;Q71,Matches!$A:$A,"&lt;"&amp;R71)</f>
        <v>0</v>
      </c>
      <c r="P71" s="51">
        <f>COUNTIFs(Matches!$C:$C,E71,Matches!$A:$A,"&gt;"&amp;Q71,Matches!$A:$A,"&lt;"&amp;R71)</f>
        <v>0</v>
      </c>
      <c r="Q71" s="52">
        <f>VLOOKUP($C$2,Quotas!$A$7:$E$14,2,FALSE)</f>
        <v>46171.70833</v>
      </c>
      <c r="R71" s="52">
        <f>VLOOKUP($C$2,Quotas!$A$7:$E$14,3,FALSE)</f>
        <v>46178.70833</v>
      </c>
    </row>
    <row r="72">
      <c r="A72" s="82" t="str">
        <f t="array" ref="A72">XLOOKUP($E72,'Player Database'!$B$2:$B252,'Player Database'!$C$2:$C252)</f>
        <v>#N/A</v>
      </c>
      <c r="B72" s="82" t="str">
        <f t="array" ref="B72">XLOOKUP($E72,'Player Database'!$B$2:$B252,'Player Database'!$E$2:$E252)</f>
        <v>#N/A</v>
      </c>
      <c r="C72" s="82" t="str">
        <f t="array" ref="C72">XLOOKUP($E72,'Player Database'!$B$2:$B252,'Player Database'!$F$2:$F252)</f>
        <v>#N/A</v>
      </c>
      <c r="D72" s="81">
        <f>IFERROR(__xludf.DUMMYFUNCTION("""COMPUTED_VALUE"""),1.0)</f>
        <v>1</v>
      </c>
      <c r="E72" s="41"/>
      <c r="F72" s="42" t="str">
        <f t="array" ref="F72">XLOOKUP($E72,'Player Database'!$B$2:$B252,'Player Database'!$K$2:$K252)</f>
        <v>#N/A</v>
      </c>
      <c r="G72" s="42" t="str">
        <f t="array" ref="G72">XLOOKUP($E72,'Player Database'!$B$2:$B252,'Player Database'!$AE$2:$AE252)</f>
        <v>#N/A</v>
      </c>
      <c r="H72" s="42" t="str">
        <f t="array" ref="H72">XLOOKUP($E72,'Player Database'!$B$2:$B252,'Player Database'!$H$2:$H252)</f>
        <v>#N/A</v>
      </c>
      <c r="I72" s="42" t="str">
        <f t="array" ref="I72">XLOOKUP($E72,'Player Database'!$B$2:$B252,'Player Database'!$O$2:$O252)</f>
        <v>#N/A</v>
      </c>
      <c r="J72" s="42" t="str">
        <f t="array" ref="J72">XLOOKUP($E72,'Player Database'!$B$2:$B252,'Player Database'!$P$2:$P252)</f>
        <v>#N/A</v>
      </c>
      <c r="K72" s="44" t="str">
        <f t="array" ref="K72">XLOOKUP($E72,'Player Database'!$B$2:$B252,'Player Database'!$U$2:$U252)</f>
        <v>#N/A</v>
      </c>
      <c r="L72" s="47" t="str">
        <f t="array" ref="L72">XLOOKUP($E72,'Player Database'!$B$2:$B252,'Player Database'!$W$2:$W252)</f>
        <v>#N/A</v>
      </c>
      <c r="M72" s="48" t="str">
        <f t="shared" si="1"/>
        <v>0 - 0</v>
      </c>
      <c r="N72" s="50" t="str">
        <f t="array" ref="N72">IF(XLOOKUP($E72,'Player Database'!$B$2:$B252,'Player Database'!$AA$2:$AA252)="",XLOOKUP($E72,'Player Database'!$B$2:$B252,'Player Database'!$G$2:$G252),XLOOKUP($E72,'Player Database'!$B$2:$B252,'Player Database'!$AA$2:$AA252))</f>
        <v>#N/A</v>
      </c>
      <c r="O72" s="51">
        <f>COUNTIFs(Matches!$B:$B,E72,Matches!$A:$A,"&gt;"&amp;Q72,Matches!$A:$A,"&lt;"&amp;R72)</f>
        <v>0</v>
      </c>
      <c r="P72" s="51">
        <f>COUNTIFs(Matches!$C:$C,E72,Matches!$A:$A,"&gt;"&amp;Q72,Matches!$A:$A,"&lt;"&amp;R72)</f>
        <v>0</v>
      </c>
      <c r="Q72" s="52">
        <f>VLOOKUP($C$2,Quotas!$A$7:$E$14,2,FALSE)</f>
        <v>46171.70833</v>
      </c>
      <c r="R72" s="52">
        <f>VLOOKUP($C$2,Quotas!$A$7:$E$14,3,FALSE)</f>
        <v>46178.70833</v>
      </c>
    </row>
    <row r="73">
      <c r="A73" s="82" t="str">
        <f t="array" ref="A73">XLOOKUP($E73,'Player Database'!$B$2:$B252,'Player Database'!$C$2:$C252)</f>
        <v>#N/A</v>
      </c>
      <c r="B73" s="82" t="str">
        <f t="array" ref="B73">XLOOKUP($E73,'Player Database'!$B$2:$B252,'Player Database'!$E$2:$E252)</f>
        <v>#N/A</v>
      </c>
      <c r="C73" s="82" t="str">
        <f t="array" ref="C73">XLOOKUP($E73,'Player Database'!$B$2:$B252,'Player Database'!$F$2:$F252)</f>
        <v>#N/A</v>
      </c>
      <c r="D73" s="81">
        <f>IFERROR(__xludf.DUMMYFUNCTION("""COMPUTED_VALUE"""),1.0)</f>
        <v>1</v>
      </c>
      <c r="E73" s="41"/>
      <c r="F73" s="42" t="str">
        <f t="array" ref="F73">XLOOKUP($E73,'Player Database'!$B$2:$B252,'Player Database'!$K$2:$K252)</f>
        <v>#N/A</v>
      </c>
      <c r="G73" s="42" t="str">
        <f t="array" ref="G73">XLOOKUP($E73,'Player Database'!$B$2:$B252,'Player Database'!$AE$2:$AE252)</f>
        <v>#N/A</v>
      </c>
      <c r="H73" s="42" t="str">
        <f t="array" ref="H73">XLOOKUP($E73,'Player Database'!$B$2:$B252,'Player Database'!$H$2:$H252)</f>
        <v>#N/A</v>
      </c>
      <c r="I73" s="42" t="str">
        <f t="array" ref="I73">XLOOKUP($E73,'Player Database'!$B$2:$B252,'Player Database'!$O$2:$O252)</f>
        <v>#N/A</v>
      </c>
      <c r="J73" s="42" t="str">
        <f t="array" ref="J73">XLOOKUP($E73,'Player Database'!$B$2:$B252,'Player Database'!$P$2:$P252)</f>
        <v>#N/A</v>
      </c>
      <c r="K73" s="44" t="str">
        <f t="array" ref="K73">XLOOKUP($E73,'Player Database'!$B$2:$B252,'Player Database'!$U$2:$U252)</f>
        <v>#N/A</v>
      </c>
      <c r="L73" s="47" t="str">
        <f t="array" ref="L73">XLOOKUP($E73,'Player Database'!$B$2:$B252,'Player Database'!$W$2:$W252)</f>
        <v>#N/A</v>
      </c>
      <c r="M73" s="48" t="str">
        <f t="shared" si="1"/>
        <v>0 - 0</v>
      </c>
      <c r="N73" s="50" t="str">
        <f t="array" ref="N73">IF(XLOOKUP($E73,'Player Database'!$B$2:$B252,'Player Database'!$AA$2:$AA252)="",XLOOKUP($E73,'Player Database'!$B$2:$B252,'Player Database'!$G$2:$G252),XLOOKUP($E73,'Player Database'!$B$2:$B252,'Player Database'!$AA$2:$AA252))</f>
        <v>#N/A</v>
      </c>
      <c r="O73" s="51">
        <f>COUNTIFs(Matches!$B:$B,E73,Matches!$A:$A,"&gt;"&amp;Q73,Matches!$A:$A,"&lt;"&amp;R73)</f>
        <v>0</v>
      </c>
      <c r="P73" s="51">
        <f>COUNTIFs(Matches!$C:$C,E73,Matches!$A:$A,"&gt;"&amp;Q73,Matches!$A:$A,"&lt;"&amp;R73)</f>
        <v>0</v>
      </c>
      <c r="Q73" s="52">
        <f>VLOOKUP($C$2,Quotas!$A$7:$E$14,2,FALSE)</f>
        <v>46171.70833</v>
      </c>
      <c r="R73" s="52">
        <f>VLOOKUP($C$2,Quotas!$A$7:$E$14,3,FALSE)</f>
        <v>46178.70833</v>
      </c>
    </row>
    <row r="74">
      <c r="A74" s="82" t="str">
        <f t="array" ref="A74">XLOOKUP($E74,'Player Database'!$B$2:$B252,'Player Database'!$C$2:$C252)</f>
        <v>#N/A</v>
      </c>
      <c r="B74" s="82" t="str">
        <f t="array" ref="B74">XLOOKUP($E74,'Player Database'!$B$2:$B252,'Player Database'!$E$2:$E252)</f>
        <v>#N/A</v>
      </c>
      <c r="C74" s="82" t="str">
        <f t="array" ref="C74">XLOOKUP($E74,'Player Database'!$B$2:$B252,'Player Database'!$F$2:$F252)</f>
        <v>#N/A</v>
      </c>
      <c r="D74" s="81">
        <f>IFERROR(__xludf.DUMMYFUNCTION("""COMPUTED_VALUE"""),1.0)</f>
        <v>1</v>
      </c>
      <c r="E74" s="41"/>
      <c r="F74" s="42" t="str">
        <f t="array" ref="F74">XLOOKUP($E74,'Player Database'!$B$2:$B252,'Player Database'!$K$2:$K252)</f>
        <v>#N/A</v>
      </c>
      <c r="G74" s="42" t="str">
        <f t="array" ref="G74">XLOOKUP($E74,'Player Database'!$B$2:$B252,'Player Database'!$AE$2:$AE252)</f>
        <v>#N/A</v>
      </c>
      <c r="H74" s="42" t="str">
        <f t="array" ref="H74">XLOOKUP($E74,'Player Database'!$B$2:$B252,'Player Database'!$H$2:$H252)</f>
        <v>#N/A</v>
      </c>
      <c r="I74" s="42" t="str">
        <f t="array" ref="I74">XLOOKUP($E74,'Player Database'!$B$2:$B252,'Player Database'!$O$2:$O252)</f>
        <v>#N/A</v>
      </c>
      <c r="J74" s="42" t="str">
        <f t="array" ref="J74">XLOOKUP($E74,'Player Database'!$B$2:$B252,'Player Database'!$P$2:$P252)</f>
        <v>#N/A</v>
      </c>
      <c r="K74" s="44" t="str">
        <f t="array" ref="K74">XLOOKUP($E74,'Player Database'!$B$2:$B252,'Player Database'!$U$2:$U252)</f>
        <v>#N/A</v>
      </c>
      <c r="L74" s="47" t="str">
        <f t="array" ref="L74">XLOOKUP($E74,'Player Database'!$B$2:$B252,'Player Database'!$W$2:$W252)</f>
        <v>#N/A</v>
      </c>
      <c r="M74" s="48" t="str">
        <f t="shared" si="1"/>
        <v>0 - 0</v>
      </c>
      <c r="N74" s="50" t="str">
        <f t="array" ref="N74">IF(XLOOKUP($E74,'Player Database'!$B$2:$B252,'Player Database'!$AA$2:$AA252)="",XLOOKUP($E74,'Player Database'!$B$2:$B252,'Player Database'!$G$2:$G252),XLOOKUP($E74,'Player Database'!$B$2:$B252,'Player Database'!$AA$2:$AA252))</f>
        <v>#N/A</v>
      </c>
      <c r="O74" s="51">
        <f>COUNTIFs(Matches!$B:$B,E74,Matches!$A:$A,"&gt;"&amp;Q74,Matches!$A:$A,"&lt;"&amp;R74)</f>
        <v>0</v>
      </c>
      <c r="P74" s="51">
        <f>COUNTIFs(Matches!$C:$C,E74,Matches!$A:$A,"&gt;"&amp;Q74,Matches!$A:$A,"&lt;"&amp;R74)</f>
        <v>0</v>
      </c>
      <c r="Q74" s="52">
        <f>VLOOKUP($C$2,Quotas!$A$7:$E$14,2,FALSE)</f>
        <v>46171.70833</v>
      </c>
      <c r="R74" s="52">
        <f>VLOOKUP($C$2,Quotas!$A$7:$E$14,3,FALSE)</f>
        <v>46178.70833</v>
      </c>
    </row>
    <row r="75">
      <c r="A75" s="82" t="str">
        <f t="array" ref="A75">XLOOKUP($E75,'Player Database'!$B$2:$B252,'Player Database'!$C$2:$C252)</f>
        <v>#N/A</v>
      </c>
      <c r="B75" s="82" t="str">
        <f t="array" ref="B75">XLOOKUP($E75,'Player Database'!$B$2:$B252,'Player Database'!$E$2:$E252)</f>
        <v>#N/A</v>
      </c>
      <c r="C75" s="82" t="str">
        <f t="array" ref="C75">XLOOKUP($E75,'Player Database'!$B$2:$B252,'Player Database'!$F$2:$F252)</f>
        <v>#N/A</v>
      </c>
      <c r="D75" s="81">
        <f>IFERROR(__xludf.DUMMYFUNCTION("""COMPUTED_VALUE"""),1.0)</f>
        <v>1</v>
      </c>
      <c r="E75" s="41"/>
      <c r="F75" s="42" t="str">
        <f t="array" ref="F75">XLOOKUP($E75,'Player Database'!$B$2:$B252,'Player Database'!$K$2:$K252)</f>
        <v>#N/A</v>
      </c>
      <c r="G75" s="42" t="str">
        <f t="array" ref="G75">XLOOKUP($E75,'Player Database'!$B$2:$B252,'Player Database'!$AE$2:$AE252)</f>
        <v>#N/A</v>
      </c>
      <c r="H75" s="42" t="str">
        <f t="array" ref="H75">XLOOKUP($E75,'Player Database'!$B$2:$B252,'Player Database'!$H$2:$H252)</f>
        <v>#N/A</v>
      </c>
      <c r="I75" s="42" t="str">
        <f t="array" ref="I75">XLOOKUP($E75,'Player Database'!$B$2:$B252,'Player Database'!$O$2:$O252)</f>
        <v>#N/A</v>
      </c>
      <c r="J75" s="42" t="str">
        <f t="array" ref="J75">XLOOKUP($E75,'Player Database'!$B$2:$B252,'Player Database'!$P$2:$P252)</f>
        <v>#N/A</v>
      </c>
      <c r="K75" s="44" t="str">
        <f t="array" ref="K75">XLOOKUP($E75,'Player Database'!$B$2:$B252,'Player Database'!$U$2:$U252)</f>
        <v>#N/A</v>
      </c>
      <c r="L75" s="47" t="str">
        <f t="array" ref="L75">XLOOKUP($E75,'Player Database'!$B$2:$B252,'Player Database'!$W$2:$W252)</f>
        <v>#N/A</v>
      </c>
      <c r="M75" s="48" t="str">
        <f t="shared" si="1"/>
        <v>0 - 0</v>
      </c>
      <c r="N75" s="50" t="str">
        <f t="array" ref="N75">IF(XLOOKUP($E75,'Player Database'!$B$2:$B252,'Player Database'!$AA$2:$AA252)="",XLOOKUP($E75,'Player Database'!$B$2:$B252,'Player Database'!$G$2:$G252),XLOOKUP($E75,'Player Database'!$B$2:$B252,'Player Database'!$AA$2:$AA252))</f>
        <v>#N/A</v>
      </c>
      <c r="O75" s="51">
        <f>COUNTIFs(Matches!$B:$B,E75,Matches!$A:$A,"&gt;"&amp;Q75,Matches!$A:$A,"&lt;"&amp;R75)</f>
        <v>0</v>
      </c>
      <c r="P75" s="51">
        <f>COUNTIFs(Matches!$C:$C,E75,Matches!$A:$A,"&gt;"&amp;Q75,Matches!$A:$A,"&lt;"&amp;R75)</f>
        <v>0</v>
      </c>
      <c r="Q75" s="52">
        <f>VLOOKUP($C$2,Quotas!$A$7:$E$14,2,FALSE)</f>
        <v>46171.70833</v>
      </c>
      <c r="R75" s="52">
        <f>VLOOKUP($C$2,Quotas!$A$7:$E$14,3,FALSE)</f>
        <v>46178.70833</v>
      </c>
    </row>
    <row r="76">
      <c r="A76" s="82" t="str">
        <f t="array" ref="A76">XLOOKUP($E76,'Player Database'!$B$2:$B252,'Player Database'!$C$2:$C252)</f>
        <v>#N/A</v>
      </c>
      <c r="B76" s="82" t="str">
        <f t="array" ref="B76">XLOOKUP($E76,'Player Database'!$B$2:$B252,'Player Database'!$E$2:$E252)</f>
        <v>#N/A</v>
      </c>
      <c r="C76" s="82" t="str">
        <f t="array" ref="C76">XLOOKUP($E76,'Player Database'!$B$2:$B252,'Player Database'!$F$2:$F252)</f>
        <v>#N/A</v>
      </c>
      <c r="D76" s="81">
        <f>IFERROR(__xludf.DUMMYFUNCTION("""COMPUTED_VALUE"""),1.0)</f>
        <v>1</v>
      </c>
      <c r="E76" s="41"/>
      <c r="F76" s="42" t="str">
        <f t="array" ref="F76">XLOOKUP($E76,'Player Database'!$B$2:$B252,'Player Database'!$K$2:$K252)</f>
        <v>#N/A</v>
      </c>
      <c r="G76" s="42" t="str">
        <f t="array" ref="G76">XLOOKUP($E76,'Player Database'!$B$2:$B252,'Player Database'!$AE$2:$AE252)</f>
        <v>#N/A</v>
      </c>
      <c r="H76" s="42" t="str">
        <f t="array" ref="H76">XLOOKUP($E76,'Player Database'!$B$2:$B252,'Player Database'!$H$2:$H252)</f>
        <v>#N/A</v>
      </c>
      <c r="I76" s="42" t="str">
        <f t="array" ref="I76">XLOOKUP($E76,'Player Database'!$B$2:$B252,'Player Database'!$O$2:$O252)</f>
        <v>#N/A</v>
      </c>
      <c r="J76" s="42" t="str">
        <f t="array" ref="J76">XLOOKUP($E76,'Player Database'!$B$2:$B252,'Player Database'!$P$2:$P252)</f>
        <v>#N/A</v>
      </c>
      <c r="K76" s="44" t="str">
        <f t="array" ref="K76">XLOOKUP($E76,'Player Database'!$B$2:$B252,'Player Database'!$U$2:$U252)</f>
        <v>#N/A</v>
      </c>
      <c r="L76" s="47" t="str">
        <f t="array" ref="L76">XLOOKUP($E76,'Player Database'!$B$2:$B252,'Player Database'!$W$2:$W252)</f>
        <v>#N/A</v>
      </c>
      <c r="M76" s="48" t="str">
        <f t="shared" si="1"/>
        <v>0 - 0</v>
      </c>
      <c r="N76" s="50" t="str">
        <f t="array" ref="N76">IF(XLOOKUP($E76,'Player Database'!$B$2:$B252,'Player Database'!$AA$2:$AA252)="",XLOOKUP($E76,'Player Database'!$B$2:$B252,'Player Database'!$G$2:$G252),XLOOKUP($E76,'Player Database'!$B$2:$B252,'Player Database'!$AA$2:$AA252))</f>
        <v>#N/A</v>
      </c>
      <c r="O76" s="51">
        <f>COUNTIFs(Matches!$B:$B,E76,Matches!$A:$A,"&gt;"&amp;Q76,Matches!$A:$A,"&lt;"&amp;R76)</f>
        <v>0</v>
      </c>
      <c r="P76" s="51">
        <f>COUNTIFs(Matches!$C:$C,E76,Matches!$A:$A,"&gt;"&amp;Q76,Matches!$A:$A,"&lt;"&amp;R76)</f>
        <v>0</v>
      </c>
      <c r="Q76" s="52">
        <f>VLOOKUP($C$2,Quotas!$A$7:$E$14,2,FALSE)</f>
        <v>46171.70833</v>
      </c>
      <c r="R76" s="52">
        <f>VLOOKUP($C$2,Quotas!$A$7:$E$14,3,FALSE)</f>
        <v>46178.70833</v>
      </c>
    </row>
    <row r="77">
      <c r="A77" s="82" t="str">
        <f t="array" ref="A77">XLOOKUP($E77,'Player Database'!$B$2:$B252,'Player Database'!$C$2:$C252)</f>
        <v>#N/A</v>
      </c>
      <c r="B77" s="82" t="str">
        <f t="array" ref="B77">XLOOKUP($E77,'Player Database'!$B$2:$B252,'Player Database'!$E$2:$E252)</f>
        <v>#N/A</v>
      </c>
      <c r="C77" s="82" t="str">
        <f t="array" ref="C77">XLOOKUP($E77,'Player Database'!$B$2:$B252,'Player Database'!$F$2:$F252)</f>
        <v>#N/A</v>
      </c>
      <c r="D77" s="81">
        <f>IFERROR(__xludf.DUMMYFUNCTION("""COMPUTED_VALUE"""),1.0)</f>
        <v>1</v>
      </c>
      <c r="E77" s="41"/>
      <c r="F77" s="42" t="str">
        <f t="array" ref="F77">XLOOKUP($E77,'Player Database'!$B$2:$B252,'Player Database'!$K$2:$K252)</f>
        <v>#N/A</v>
      </c>
      <c r="G77" s="42" t="str">
        <f t="array" ref="G77">XLOOKUP($E77,'Player Database'!$B$2:$B252,'Player Database'!$AE$2:$AE252)</f>
        <v>#N/A</v>
      </c>
      <c r="H77" s="42" t="str">
        <f t="array" ref="H77">XLOOKUP($E77,'Player Database'!$B$2:$B252,'Player Database'!$H$2:$H252)</f>
        <v>#N/A</v>
      </c>
      <c r="I77" s="42" t="str">
        <f t="array" ref="I77">XLOOKUP($E77,'Player Database'!$B$2:$B252,'Player Database'!$O$2:$O252)</f>
        <v>#N/A</v>
      </c>
      <c r="J77" s="42" t="str">
        <f t="array" ref="J77">XLOOKUP($E77,'Player Database'!$B$2:$B252,'Player Database'!$P$2:$P252)</f>
        <v>#N/A</v>
      </c>
      <c r="K77" s="44" t="str">
        <f t="array" ref="K77">XLOOKUP($E77,'Player Database'!$B$2:$B252,'Player Database'!$U$2:$U252)</f>
        <v>#N/A</v>
      </c>
      <c r="L77" s="47" t="str">
        <f t="array" ref="L77">XLOOKUP($E77,'Player Database'!$B$2:$B252,'Player Database'!$W$2:$W252)</f>
        <v>#N/A</v>
      </c>
      <c r="M77" s="48" t="str">
        <f t="shared" si="1"/>
        <v>0 - 0</v>
      </c>
      <c r="N77" s="50" t="str">
        <f t="array" ref="N77">IF(XLOOKUP($E77,'Player Database'!$B$2:$B252,'Player Database'!$AA$2:$AA252)="",XLOOKUP($E77,'Player Database'!$B$2:$B252,'Player Database'!$G$2:$G252),XLOOKUP($E77,'Player Database'!$B$2:$B252,'Player Database'!$AA$2:$AA252))</f>
        <v>#N/A</v>
      </c>
      <c r="O77" s="51">
        <f>COUNTIFs(Matches!$B:$B,E77,Matches!$A:$A,"&gt;"&amp;Q77,Matches!$A:$A,"&lt;"&amp;R77)</f>
        <v>0</v>
      </c>
      <c r="P77" s="51">
        <f>COUNTIFs(Matches!$C:$C,E77,Matches!$A:$A,"&gt;"&amp;Q77,Matches!$A:$A,"&lt;"&amp;R77)</f>
        <v>0</v>
      </c>
      <c r="Q77" s="52">
        <f>VLOOKUP($C$2,Quotas!$A$7:$E$14,2,FALSE)</f>
        <v>46171.70833</v>
      </c>
      <c r="R77" s="52">
        <f>VLOOKUP($C$2,Quotas!$A$7:$E$14,3,FALSE)</f>
        <v>46178.70833</v>
      </c>
    </row>
    <row r="78">
      <c r="A78" s="82" t="str">
        <f t="array" ref="A78">XLOOKUP($E78,'Player Database'!$B$2:$B252,'Player Database'!$C$2:$C252)</f>
        <v>#N/A</v>
      </c>
      <c r="B78" s="82" t="str">
        <f t="array" ref="B78">XLOOKUP($E78,'Player Database'!$B$2:$B252,'Player Database'!$E$2:$E252)</f>
        <v>#N/A</v>
      </c>
      <c r="C78" s="82" t="str">
        <f t="array" ref="C78">XLOOKUP($E78,'Player Database'!$B$2:$B252,'Player Database'!$F$2:$F252)</f>
        <v>#N/A</v>
      </c>
      <c r="D78" s="81">
        <f>IFERROR(__xludf.DUMMYFUNCTION("""COMPUTED_VALUE"""),1.0)</f>
        <v>1</v>
      </c>
      <c r="E78" s="41"/>
      <c r="F78" s="42" t="str">
        <f t="array" ref="F78">XLOOKUP($E78,'Player Database'!$B$2:$B252,'Player Database'!$K$2:$K252)</f>
        <v>#N/A</v>
      </c>
      <c r="G78" s="42" t="str">
        <f t="array" ref="G78">XLOOKUP($E78,'Player Database'!$B$2:$B252,'Player Database'!$AE$2:$AE252)</f>
        <v>#N/A</v>
      </c>
      <c r="H78" s="42" t="str">
        <f t="array" ref="H78">XLOOKUP($E78,'Player Database'!$B$2:$B252,'Player Database'!$H$2:$H252)</f>
        <v>#N/A</v>
      </c>
      <c r="I78" s="42" t="str">
        <f t="array" ref="I78">XLOOKUP($E78,'Player Database'!$B$2:$B252,'Player Database'!$O$2:$O252)</f>
        <v>#N/A</v>
      </c>
      <c r="J78" s="42" t="str">
        <f t="array" ref="J78">XLOOKUP($E78,'Player Database'!$B$2:$B252,'Player Database'!$P$2:$P252)</f>
        <v>#N/A</v>
      </c>
      <c r="K78" s="44" t="str">
        <f t="array" ref="K78">XLOOKUP($E78,'Player Database'!$B$2:$B252,'Player Database'!$U$2:$U252)</f>
        <v>#N/A</v>
      </c>
      <c r="L78" s="47" t="str">
        <f t="array" ref="L78">XLOOKUP($E78,'Player Database'!$B$2:$B252,'Player Database'!$W$2:$W252)</f>
        <v>#N/A</v>
      </c>
      <c r="M78" s="48" t="str">
        <f t="shared" si="1"/>
        <v>0 - 0</v>
      </c>
      <c r="N78" s="50" t="str">
        <f t="array" ref="N78">IF(XLOOKUP($E78,'Player Database'!$B$2:$B252,'Player Database'!$AA$2:$AA252)="",XLOOKUP($E78,'Player Database'!$B$2:$B252,'Player Database'!$G$2:$G252),XLOOKUP($E78,'Player Database'!$B$2:$B252,'Player Database'!$AA$2:$AA252))</f>
        <v>#N/A</v>
      </c>
      <c r="O78" s="51">
        <f>COUNTIFs(Matches!$B:$B,E78,Matches!$A:$A,"&gt;"&amp;Q78,Matches!$A:$A,"&lt;"&amp;R78)</f>
        <v>0</v>
      </c>
      <c r="P78" s="51">
        <f>COUNTIFs(Matches!$C:$C,E78,Matches!$A:$A,"&gt;"&amp;Q78,Matches!$A:$A,"&lt;"&amp;R78)</f>
        <v>0</v>
      </c>
      <c r="Q78" s="52">
        <f>VLOOKUP($C$2,Quotas!$A$7:$E$14,2,FALSE)</f>
        <v>46171.70833</v>
      </c>
      <c r="R78" s="52">
        <f>VLOOKUP($C$2,Quotas!$A$7:$E$14,3,FALSE)</f>
        <v>46178.70833</v>
      </c>
    </row>
    <row r="79">
      <c r="A79" s="82" t="str">
        <f t="array" ref="A79">XLOOKUP($E79,'Player Database'!$B$2:$B252,'Player Database'!$C$2:$C252)</f>
        <v>#N/A</v>
      </c>
      <c r="B79" s="82" t="str">
        <f t="array" ref="B79">XLOOKUP($E79,'Player Database'!$B$2:$B252,'Player Database'!$E$2:$E252)</f>
        <v>#N/A</v>
      </c>
      <c r="C79" s="82" t="str">
        <f t="array" ref="C79">XLOOKUP($E79,'Player Database'!$B$2:$B252,'Player Database'!$F$2:$F252)</f>
        <v>#N/A</v>
      </c>
      <c r="D79" s="81">
        <f>IFERROR(__xludf.DUMMYFUNCTION("""COMPUTED_VALUE"""),1.0)</f>
        <v>1</v>
      </c>
      <c r="E79" s="41"/>
      <c r="F79" s="42" t="str">
        <f t="array" ref="F79">XLOOKUP($E79,'Player Database'!$B$2:$B252,'Player Database'!$K$2:$K252)</f>
        <v>#N/A</v>
      </c>
      <c r="G79" s="42" t="str">
        <f t="array" ref="G79">XLOOKUP($E79,'Player Database'!$B$2:$B252,'Player Database'!$AE$2:$AE252)</f>
        <v>#N/A</v>
      </c>
      <c r="H79" s="42" t="str">
        <f t="array" ref="H79">XLOOKUP($E79,'Player Database'!$B$2:$B252,'Player Database'!$H$2:$H252)</f>
        <v>#N/A</v>
      </c>
      <c r="I79" s="42" t="str">
        <f t="array" ref="I79">XLOOKUP($E79,'Player Database'!$B$2:$B252,'Player Database'!$O$2:$O252)</f>
        <v>#N/A</v>
      </c>
      <c r="J79" s="42" t="str">
        <f t="array" ref="J79">XLOOKUP($E79,'Player Database'!$B$2:$B252,'Player Database'!$P$2:$P252)</f>
        <v>#N/A</v>
      </c>
      <c r="K79" s="44" t="str">
        <f t="array" ref="K79">XLOOKUP($E79,'Player Database'!$B$2:$B252,'Player Database'!$U$2:$U252)</f>
        <v>#N/A</v>
      </c>
      <c r="L79" s="47" t="str">
        <f t="array" ref="L79">XLOOKUP($E79,'Player Database'!$B$2:$B252,'Player Database'!$W$2:$W252)</f>
        <v>#N/A</v>
      </c>
      <c r="M79" s="48" t="str">
        <f t="shared" si="1"/>
        <v>0 - 0</v>
      </c>
      <c r="N79" s="50" t="str">
        <f t="array" ref="N79">IF(XLOOKUP($E79,'Player Database'!$B$2:$B252,'Player Database'!$AA$2:$AA252)="",XLOOKUP($E79,'Player Database'!$B$2:$B252,'Player Database'!$G$2:$G252),XLOOKUP($E79,'Player Database'!$B$2:$B252,'Player Database'!$AA$2:$AA252))</f>
        <v>#N/A</v>
      </c>
      <c r="O79" s="51">
        <f>COUNTIFs(Matches!$B:$B,E79,Matches!$A:$A,"&gt;"&amp;Q79,Matches!$A:$A,"&lt;"&amp;R79)</f>
        <v>0</v>
      </c>
      <c r="P79" s="51">
        <f>COUNTIFs(Matches!$C:$C,E79,Matches!$A:$A,"&gt;"&amp;Q79,Matches!$A:$A,"&lt;"&amp;R79)</f>
        <v>0</v>
      </c>
      <c r="Q79" s="52">
        <f>VLOOKUP($C$2,Quotas!$A$7:$E$14,2,FALSE)</f>
        <v>46171.70833</v>
      </c>
      <c r="R79" s="52">
        <f>VLOOKUP($C$2,Quotas!$A$7:$E$14,3,FALSE)</f>
        <v>46178.70833</v>
      </c>
    </row>
    <row r="80">
      <c r="A80" s="82" t="str">
        <f t="array" ref="A80">XLOOKUP($E80,'Player Database'!$B$2:$B252,'Player Database'!$C$2:$C252)</f>
        <v>#N/A</v>
      </c>
      <c r="B80" s="82" t="str">
        <f t="array" ref="B80">XLOOKUP($E80,'Player Database'!$B$2:$B252,'Player Database'!$E$2:$E252)</f>
        <v>#N/A</v>
      </c>
      <c r="C80" s="82" t="str">
        <f t="array" ref="C80">XLOOKUP($E80,'Player Database'!$B$2:$B252,'Player Database'!$F$2:$F252)</f>
        <v>#N/A</v>
      </c>
      <c r="D80" s="81">
        <f>IFERROR(__xludf.DUMMYFUNCTION("""COMPUTED_VALUE"""),1.0)</f>
        <v>1</v>
      </c>
      <c r="E80" s="41"/>
      <c r="F80" s="42" t="str">
        <f t="array" ref="F80">XLOOKUP($E80,'Player Database'!$B$2:$B252,'Player Database'!$K$2:$K252)</f>
        <v>#N/A</v>
      </c>
      <c r="G80" s="42" t="str">
        <f t="array" ref="G80">XLOOKUP($E80,'Player Database'!$B$2:$B252,'Player Database'!$AE$2:$AE252)</f>
        <v>#N/A</v>
      </c>
      <c r="H80" s="42" t="str">
        <f t="array" ref="H80">XLOOKUP($E80,'Player Database'!$B$2:$B252,'Player Database'!$H$2:$H252)</f>
        <v>#N/A</v>
      </c>
      <c r="I80" s="42" t="str">
        <f t="array" ref="I80">XLOOKUP($E80,'Player Database'!$B$2:$B252,'Player Database'!$O$2:$O252)</f>
        <v>#N/A</v>
      </c>
      <c r="J80" s="42" t="str">
        <f t="array" ref="J80">XLOOKUP($E80,'Player Database'!$B$2:$B252,'Player Database'!$P$2:$P252)</f>
        <v>#N/A</v>
      </c>
      <c r="K80" s="44" t="str">
        <f t="array" ref="K80">XLOOKUP($E80,'Player Database'!$B$2:$B252,'Player Database'!$U$2:$U252)</f>
        <v>#N/A</v>
      </c>
      <c r="L80" s="47" t="str">
        <f t="array" ref="L80">XLOOKUP($E80,'Player Database'!$B$2:$B252,'Player Database'!$W$2:$W252)</f>
        <v>#N/A</v>
      </c>
      <c r="M80" s="48" t="str">
        <f t="shared" si="1"/>
        <v>0 - 0</v>
      </c>
      <c r="N80" s="50" t="str">
        <f t="array" ref="N80">IF(XLOOKUP($E80,'Player Database'!$B$2:$B252,'Player Database'!$AA$2:$AA252)="",XLOOKUP($E80,'Player Database'!$B$2:$B252,'Player Database'!$G$2:$G252),XLOOKUP($E80,'Player Database'!$B$2:$B252,'Player Database'!$AA$2:$AA252))</f>
        <v>#N/A</v>
      </c>
      <c r="O80" s="51">
        <f>COUNTIFs(Matches!$B:$B,E80,Matches!$A:$A,"&gt;"&amp;Q80,Matches!$A:$A,"&lt;"&amp;R80)</f>
        <v>0</v>
      </c>
      <c r="P80" s="51">
        <f>COUNTIFs(Matches!$C:$C,E80,Matches!$A:$A,"&gt;"&amp;Q80,Matches!$A:$A,"&lt;"&amp;R80)</f>
        <v>0</v>
      </c>
      <c r="Q80" s="52">
        <f>VLOOKUP($C$2,Quotas!$A$7:$E$14,2,FALSE)</f>
        <v>46171.70833</v>
      </c>
      <c r="R80" s="52">
        <f>VLOOKUP($C$2,Quotas!$A$7:$E$14,3,FALSE)</f>
        <v>46178.70833</v>
      </c>
    </row>
    <row r="81">
      <c r="A81" s="82" t="str">
        <f t="array" ref="A81">XLOOKUP($E81,'Player Database'!$B$2:$B252,'Player Database'!$C$2:$C252)</f>
        <v>#N/A</v>
      </c>
      <c r="B81" s="82" t="str">
        <f t="array" ref="B81">XLOOKUP($E81,'Player Database'!$B$2:$B252,'Player Database'!$E$2:$E252)</f>
        <v>#N/A</v>
      </c>
      <c r="C81" s="82" t="str">
        <f t="array" ref="C81">XLOOKUP($E81,'Player Database'!$B$2:$B252,'Player Database'!$F$2:$F252)</f>
        <v>#N/A</v>
      </c>
      <c r="D81" s="81">
        <f>IFERROR(__xludf.DUMMYFUNCTION("""COMPUTED_VALUE"""),1.0)</f>
        <v>1</v>
      </c>
      <c r="E81" s="41"/>
      <c r="F81" s="42" t="str">
        <f t="array" ref="F81">XLOOKUP($E81,'Player Database'!$B$2:$B252,'Player Database'!$K$2:$K252)</f>
        <v>#N/A</v>
      </c>
      <c r="G81" s="42" t="str">
        <f t="array" ref="G81">XLOOKUP($E81,'Player Database'!$B$2:$B252,'Player Database'!$AE$2:$AE252)</f>
        <v>#N/A</v>
      </c>
      <c r="H81" s="42" t="str">
        <f t="array" ref="H81">XLOOKUP($E81,'Player Database'!$B$2:$B252,'Player Database'!$H$2:$H252)</f>
        <v>#N/A</v>
      </c>
      <c r="I81" s="42" t="str">
        <f t="array" ref="I81">XLOOKUP($E81,'Player Database'!$B$2:$B252,'Player Database'!$O$2:$O252)</f>
        <v>#N/A</v>
      </c>
      <c r="J81" s="42" t="str">
        <f t="array" ref="J81">XLOOKUP($E81,'Player Database'!$B$2:$B252,'Player Database'!$P$2:$P252)</f>
        <v>#N/A</v>
      </c>
      <c r="K81" s="44" t="str">
        <f t="array" ref="K81">XLOOKUP($E81,'Player Database'!$B$2:$B252,'Player Database'!$U$2:$U252)</f>
        <v>#N/A</v>
      </c>
      <c r="L81" s="47" t="str">
        <f t="array" ref="L81">XLOOKUP($E81,'Player Database'!$B$2:$B252,'Player Database'!$W$2:$W252)</f>
        <v>#N/A</v>
      </c>
      <c r="M81" s="48" t="str">
        <f t="shared" si="1"/>
        <v>0 - 0</v>
      </c>
      <c r="N81" s="50" t="str">
        <f t="array" ref="N81">IF(XLOOKUP($E81,'Player Database'!$B$2:$B252,'Player Database'!$AA$2:$AA252)="",XLOOKUP($E81,'Player Database'!$B$2:$B252,'Player Database'!$G$2:$G252),XLOOKUP($E81,'Player Database'!$B$2:$B252,'Player Database'!$AA$2:$AA252))</f>
        <v>#N/A</v>
      </c>
      <c r="O81" s="51">
        <f>COUNTIFs(Matches!$B:$B,E81,Matches!$A:$A,"&gt;"&amp;Q81,Matches!$A:$A,"&lt;"&amp;R81)</f>
        <v>0</v>
      </c>
      <c r="P81" s="51">
        <f>COUNTIFs(Matches!$C:$C,E81,Matches!$A:$A,"&gt;"&amp;Q81,Matches!$A:$A,"&lt;"&amp;R81)</f>
        <v>0</v>
      </c>
      <c r="Q81" s="52">
        <f>VLOOKUP($C$2,Quotas!$A$7:$E$14,2,FALSE)</f>
        <v>46171.70833</v>
      </c>
      <c r="R81" s="52">
        <f>VLOOKUP($C$2,Quotas!$A$7:$E$14,3,FALSE)</f>
        <v>46178.70833</v>
      </c>
    </row>
    <row r="82">
      <c r="A82" s="82" t="str">
        <f t="array" ref="A82">XLOOKUP($E82,'Player Database'!$B$2:$B252,'Player Database'!$C$2:$C252)</f>
        <v>#N/A</v>
      </c>
      <c r="B82" s="82" t="str">
        <f t="array" ref="B82">XLOOKUP($E82,'Player Database'!$B$2:$B252,'Player Database'!$E$2:$E252)</f>
        <v>#N/A</v>
      </c>
      <c r="C82" s="82" t="str">
        <f t="array" ref="C82">XLOOKUP($E82,'Player Database'!$B$2:$B252,'Player Database'!$F$2:$F252)</f>
        <v>#N/A</v>
      </c>
      <c r="D82" s="81">
        <f>IFERROR(__xludf.DUMMYFUNCTION("""COMPUTED_VALUE"""),1.0)</f>
        <v>1</v>
      </c>
      <c r="E82" s="41"/>
      <c r="F82" s="42" t="str">
        <f t="array" ref="F82">XLOOKUP($E82,'Player Database'!$B$2:$B252,'Player Database'!$K$2:$K252)</f>
        <v>#N/A</v>
      </c>
      <c r="G82" s="42" t="str">
        <f t="array" ref="G82">XLOOKUP($E82,'Player Database'!$B$2:$B252,'Player Database'!$AE$2:$AE252)</f>
        <v>#N/A</v>
      </c>
      <c r="H82" s="42" t="str">
        <f t="array" ref="H82">XLOOKUP($E82,'Player Database'!$B$2:$B252,'Player Database'!$H$2:$H252)</f>
        <v>#N/A</v>
      </c>
      <c r="I82" s="42" t="str">
        <f t="array" ref="I82">XLOOKUP($E82,'Player Database'!$B$2:$B252,'Player Database'!$O$2:$O252)</f>
        <v>#N/A</v>
      </c>
      <c r="J82" s="42" t="str">
        <f t="array" ref="J82">XLOOKUP($E82,'Player Database'!$B$2:$B252,'Player Database'!$P$2:$P252)</f>
        <v>#N/A</v>
      </c>
      <c r="K82" s="44" t="str">
        <f t="array" ref="K82">XLOOKUP($E82,'Player Database'!$B$2:$B252,'Player Database'!$U$2:$U252)</f>
        <v>#N/A</v>
      </c>
      <c r="L82" s="47" t="str">
        <f t="array" ref="L82">XLOOKUP($E82,'Player Database'!$B$2:$B252,'Player Database'!$W$2:$W252)</f>
        <v>#N/A</v>
      </c>
      <c r="M82" s="48" t="str">
        <f t="shared" si="1"/>
        <v>0 - 0</v>
      </c>
      <c r="N82" s="50" t="str">
        <f t="array" ref="N82">IF(XLOOKUP($E82,'Player Database'!$B$2:$B252,'Player Database'!$AA$2:$AA252)="",XLOOKUP($E82,'Player Database'!$B$2:$B252,'Player Database'!$G$2:$G252),XLOOKUP($E82,'Player Database'!$B$2:$B252,'Player Database'!$AA$2:$AA252))</f>
        <v>#N/A</v>
      </c>
      <c r="O82" s="51">
        <f>COUNTIFs(Matches!$B:$B,E82,Matches!$A:$A,"&gt;"&amp;Q82,Matches!$A:$A,"&lt;"&amp;R82)</f>
        <v>0</v>
      </c>
      <c r="P82" s="51">
        <f>COUNTIFs(Matches!$C:$C,E82,Matches!$A:$A,"&gt;"&amp;Q82,Matches!$A:$A,"&lt;"&amp;R82)</f>
        <v>0</v>
      </c>
      <c r="Q82" s="52">
        <f>VLOOKUP($C$2,Quotas!$A$7:$E$14,2,FALSE)</f>
        <v>46171.70833</v>
      </c>
      <c r="R82" s="52">
        <f>VLOOKUP($C$2,Quotas!$A$7:$E$14,3,FALSE)</f>
        <v>46178.70833</v>
      </c>
    </row>
    <row r="83">
      <c r="A83" s="82" t="str">
        <f t="array" ref="A83">XLOOKUP($E83,'Player Database'!$B$2:$B252,'Player Database'!$C$2:$C252)</f>
        <v>#N/A</v>
      </c>
      <c r="B83" s="82" t="str">
        <f t="array" ref="B83">XLOOKUP($E83,'Player Database'!$B$2:$B252,'Player Database'!$E$2:$E252)</f>
        <v>#N/A</v>
      </c>
      <c r="C83" s="82" t="str">
        <f t="array" ref="C83">XLOOKUP($E83,'Player Database'!$B$2:$B252,'Player Database'!$F$2:$F252)</f>
        <v>#N/A</v>
      </c>
      <c r="D83" s="81">
        <f>IFERROR(__xludf.DUMMYFUNCTION("""COMPUTED_VALUE"""),1.0)</f>
        <v>1</v>
      </c>
      <c r="E83" s="41"/>
      <c r="F83" s="42" t="str">
        <f t="array" ref="F83">XLOOKUP($E83,'Player Database'!$B$2:$B252,'Player Database'!$K$2:$K252)</f>
        <v>#N/A</v>
      </c>
      <c r="G83" s="42" t="str">
        <f t="array" ref="G83">XLOOKUP($E83,'Player Database'!$B$2:$B252,'Player Database'!$AE$2:$AE252)</f>
        <v>#N/A</v>
      </c>
      <c r="H83" s="42" t="str">
        <f t="array" ref="H83">XLOOKUP($E83,'Player Database'!$B$2:$B252,'Player Database'!$H$2:$H252)</f>
        <v>#N/A</v>
      </c>
      <c r="I83" s="42" t="str">
        <f t="array" ref="I83">XLOOKUP($E83,'Player Database'!$B$2:$B252,'Player Database'!$O$2:$O252)</f>
        <v>#N/A</v>
      </c>
      <c r="J83" s="42" t="str">
        <f t="array" ref="J83">XLOOKUP($E83,'Player Database'!$B$2:$B252,'Player Database'!$P$2:$P252)</f>
        <v>#N/A</v>
      </c>
      <c r="K83" s="44" t="str">
        <f t="array" ref="K83">XLOOKUP($E83,'Player Database'!$B$2:$B252,'Player Database'!$U$2:$U252)</f>
        <v>#N/A</v>
      </c>
      <c r="L83" s="47" t="str">
        <f t="array" ref="L83">XLOOKUP($E83,'Player Database'!$B$2:$B252,'Player Database'!$W$2:$W252)</f>
        <v>#N/A</v>
      </c>
      <c r="M83" s="48" t="str">
        <f t="shared" si="1"/>
        <v>0 - 0</v>
      </c>
      <c r="N83" s="50" t="str">
        <f t="array" ref="N83">IF(XLOOKUP($E83,'Player Database'!$B$2:$B252,'Player Database'!$AA$2:$AA252)="",XLOOKUP($E83,'Player Database'!$B$2:$B252,'Player Database'!$G$2:$G252),XLOOKUP($E83,'Player Database'!$B$2:$B252,'Player Database'!$AA$2:$AA252))</f>
        <v>#N/A</v>
      </c>
      <c r="O83" s="51">
        <f>COUNTIFs(Matches!$B:$B,E83,Matches!$A:$A,"&gt;"&amp;Q83,Matches!$A:$A,"&lt;"&amp;R83)</f>
        <v>0</v>
      </c>
      <c r="P83" s="51">
        <f>COUNTIFs(Matches!$C:$C,E83,Matches!$A:$A,"&gt;"&amp;Q83,Matches!$A:$A,"&lt;"&amp;R83)</f>
        <v>0</v>
      </c>
      <c r="Q83" s="52">
        <f>VLOOKUP($C$2,Quotas!$A$7:$E$14,2,FALSE)</f>
        <v>46171.70833</v>
      </c>
      <c r="R83" s="52">
        <f>VLOOKUP($C$2,Quotas!$A$7:$E$14,3,FALSE)</f>
        <v>46178.70833</v>
      </c>
    </row>
    <row r="84">
      <c r="A84" s="82" t="str">
        <f t="array" ref="A84">XLOOKUP($E84,'Player Database'!$B$2:$B252,'Player Database'!$C$2:$C252)</f>
        <v>#N/A</v>
      </c>
      <c r="B84" s="82" t="str">
        <f t="array" ref="B84">XLOOKUP($E84,'Player Database'!$B$2:$B252,'Player Database'!$E$2:$E252)</f>
        <v>#N/A</v>
      </c>
      <c r="C84" s="82" t="str">
        <f t="array" ref="C84">XLOOKUP($E84,'Player Database'!$B$2:$B252,'Player Database'!$F$2:$F252)</f>
        <v>#N/A</v>
      </c>
      <c r="D84" s="81">
        <f>IFERROR(__xludf.DUMMYFUNCTION("""COMPUTED_VALUE"""),1.0)</f>
        <v>1</v>
      </c>
      <c r="E84" s="41"/>
      <c r="F84" s="42" t="str">
        <f t="array" ref="F84">XLOOKUP($E84,'Player Database'!$B$2:$B252,'Player Database'!$K$2:$K252)</f>
        <v>#N/A</v>
      </c>
      <c r="G84" s="42" t="str">
        <f t="array" ref="G84">XLOOKUP($E84,'Player Database'!$B$2:$B252,'Player Database'!$AE$2:$AE252)</f>
        <v>#N/A</v>
      </c>
      <c r="H84" s="42" t="str">
        <f t="array" ref="H84">XLOOKUP($E84,'Player Database'!$B$2:$B252,'Player Database'!$H$2:$H252)</f>
        <v>#N/A</v>
      </c>
      <c r="I84" s="42" t="str">
        <f t="array" ref="I84">XLOOKUP($E84,'Player Database'!$B$2:$B252,'Player Database'!$O$2:$O252)</f>
        <v>#N/A</v>
      </c>
      <c r="J84" s="42" t="str">
        <f t="array" ref="J84">XLOOKUP($E84,'Player Database'!$B$2:$B252,'Player Database'!$P$2:$P252)</f>
        <v>#N/A</v>
      </c>
      <c r="K84" s="44" t="str">
        <f t="array" ref="K84">XLOOKUP($E84,'Player Database'!$B$2:$B252,'Player Database'!$U$2:$U252)</f>
        <v>#N/A</v>
      </c>
      <c r="L84" s="47" t="str">
        <f t="array" ref="L84">XLOOKUP($E84,'Player Database'!$B$2:$B252,'Player Database'!$W$2:$W252)</f>
        <v>#N/A</v>
      </c>
      <c r="M84" s="48" t="str">
        <f t="shared" si="1"/>
        <v>0 - 0</v>
      </c>
      <c r="N84" s="50" t="str">
        <f t="array" ref="N84">IF(XLOOKUP($E84,'Player Database'!$B$2:$B252,'Player Database'!$AA$2:$AA252)="",XLOOKUP($E84,'Player Database'!$B$2:$B252,'Player Database'!$G$2:$G252),XLOOKUP($E84,'Player Database'!$B$2:$B252,'Player Database'!$AA$2:$AA252))</f>
        <v>#N/A</v>
      </c>
      <c r="O84" s="51">
        <f>COUNTIFs(Matches!$B:$B,E84,Matches!$A:$A,"&gt;"&amp;Q84,Matches!$A:$A,"&lt;"&amp;R84)</f>
        <v>0</v>
      </c>
      <c r="P84" s="51">
        <f>COUNTIFs(Matches!$C:$C,E84,Matches!$A:$A,"&gt;"&amp;Q84,Matches!$A:$A,"&lt;"&amp;R84)</f>
        <v>0</v>
      </c>
      <c r="Q84" s="52">
        <f>VLOOKUP($C$2,Quotas!$A$7:$E$14,2,FALSE)</f>
        <v>46171.70833</v>
      </c>
      <c r="R84" s="52">
        <f>VLOOKUP($C$2,Quotas!$A$7:$E$14,3,FALSE)</f>
        <v>46178.70833</v>
      </c>
    </row>
    <row r="85">
      <c r="A85" s="82" t="str">
        <f t="array" ref="A85">XLOOKUP($E85,'Player Database'!$B$2:$B252,'Player Database'!$C$2:$C252)</f>
        <v>#N/A</v>
      </c>
      <c r="B85" s="82" t="str">
        <f t="array" ref="B85">XLOOKUP($E85,'Player Database'!$B$2:$B252,'Player Database'!$E$2:$E252)</f>
        <v>#N/A</v>
      </c>
      <c r="C85" s="82" t="str">
        <f t="array" ref="C85">XLOOKUP($E85,'Player Database'!$B$2:$B252,'Player Database'!$F$2:$F252)</f>
        <v>#N/A</v>
      </c>
      <c r="D85" s="81">
        <f>IFERROR(__xludf.DUMMYFUNCTION("""COMPUTED_VALUE"""),1.0)</f>
        <v>1</v>
      </c>
      <c r="E85" s="41"/>
      <c r="F85" s="42" t="str">
        <f t="array" ref="F85">XLOOKUP($E85,'Player Database'!$B$2:$B252,'Player Database'!$K$2:$K252)</f>
        <v>#N/A</v>
      </c>
      <c r="G85" s="42" t="str">
        <f t="array" ref="G85">XLOOKUP($E85,'Player Database'!$B$2:$B252,'Player Database'!$AE$2:$AE252)</f>
        <v>#N/A</v>
      </c>
      <c r="H85" s="42" t="str">
        <f t="array" ref="H85">XLOOKUP($E85,'Player Database'!$B$2:$B252,'Player Database'!$H$2:$H252)</f>
        <v>#N/A</v>
      </c>
      <c r="I85" s="42" t="str">
        <f t="array" ref="I85">XLOOKUP($E85,'Player Database'!$B$2:$B252,'Player Database'!$O$2:$O252)</f>
        <v>#N/A</v>
      </c>
      <c r="J85" s="42" t="str">
        <f t="array" ref="J85">XLOOKUP($E85,'Player Database'!$B$2:$B252,'Player Database'!$P$2:$P252)</f>
        <v>#N/A</v>
      </c>
      <c r="K85" s="44" t="str">
        <f t="array" ref="K85">XLOOKUP($E85,'Player Database'!$B$2:$B252,'Player Database'!$U$2:$U252)</f>
        <v>#N/A</v>
      </c>
      <c r="L85" s="47" t="str">
        <f t="array" ref="L85">XLOOKUP($E85,'Player Database'!$B$2:$B252,'Player Database'!$W$2:$W252)</f>
        <v>#N/A</v>
      </c>
      <c r="M85" s="48" t="str">
        <f t="shared" si="1"/>
        <v>0 - 0</v>
      </c>
      <c r="N85" s="50" t="str">
        <f t="array" ref="N85">IF(XLOOKUP($E85,'Player Database'!$B$2:$B252,'Player Database'!$AA$2:$AA252)="",XLOOKUP($E85,'Player Database'!$B$2:$B252,'Player Database'!$G$2:$G252),XLOOKUP($E85,'Player Database'!$B$2:$B252,'Player Database'!$AA$2:$AA252))</f>
        <v>#N/A</v>
      </c>
      <c r="O85" s="51">
        <f>COUNTIFs(Matches!$B:$B,E85,Matches!$A:$A,"&gt;"&amp;Q85,Matches!$A:$A,"&lt;"&amp;R85)</f>
        <v>0</v>
      </c>
      <c r="P85" s="51">
        <f>COUNTIFs(Matches!$C:$C,E85,Matches!$A:$A,"&gt;"&amp;Q85,Matches!$A:$A,"&lt;"&amp;R85)</f>
        <v>0</v>
      </c>
      <c r="Q85" s="52">
        <f>VLOOKUP($C$2,Quotas!$A$7:$E$14,2,FALSE)</f>
        <v>46171.70833</v>
      </c>
      <c r="R85" s="52">
        <f>VLOOKUP($C$2,Quotas!$A$7:$E$14,3,FALSE)</f>
        <v>46178.70833</v>
      </c>
    </row>
    <row r="86">
      <c r="A86" s="82" t="str">
        <f t="array" ref="A86">XLOOKUP($E86,'Player Database'!$B$2:$B252,'Player Database'!$C$2:$C252)</f>
        <v>#N/A</v>
      </c>
      <c r="B86" s="82" t="str">
        <f t="array" ref="B86">XLOOKUP($E86,'Player Database'!$B$2:$B252,'Player Database'!$E$2:$E252)</f>
        <v>#N/A</v>
      </c>
      <c r="C86" s="82" t="str">
        <f t="array" ref="C86">XLOOKUP($E86,'Player Database'!$B$2:$B252,'Player Database'!$F$2:$F252)</f>
        <v>#N/A</v>
      </c>
      <c r="D86" s="81">
        <f>IFERROR(__xludf.DUMMYFUNCTION("""COMPUTED_VALUE"""),1.0)</f>
        <v>1</v>
      </c>
      <c r="E86" s="41"/>
      <c r="F86" s="42" t="str">
        <f t="array" ref="F86">XLOOKUP($E86,'Player Database'!$B$2:$B252,'Player Database'!$K$2:$K252)</f>
        <v>#N/A</v>
      </c>
      <c r="G86" s="42" t="str">
        <f t="array" ref="G86">XLOOKUP($E86,'Player Database'!$B$2:$B252,'Player Database'!$AE$2:$AE252)</f>
        <v>#N/A</v>
      </c>
      <c r="H86" s="42" t="str">
        <f t="array" ref="H86">XLOOKUP($E86,'Player Database'!$B$2:$B252,'Player Database'!$H$2:$H252)</f>
        <v>#N/A</v>
      </c>
      <c r="I86" s="42" t="str">
        <f t="array" ref="I86">XLOOKUP($E86,'Player Database'!$B$2:$B252,'Player Database'!$O$2:$O252)</f>
        <v>#N/A</v>
      </c>
      <c r="J86" s="42" t="str">
        <f t="array" ref="J86">XLOOKUP($E86,'Player Database'!$B$2:$B252,'Player Database'!$P$2:$P252)</f>
        <v>#N/A</v>
      </c>
      <c r="K86" s="44" t="str">
        <f t="array" ref="K86">XLOOKUP($E86,'Player Database'!$B$2:$B252,'Player Database'!$U$2:$U252)</f>
        <v>#N/A</v>
      </c>
      <c r="L86" s="47" t="str">
        <f t="array" ref="L86">XLOOKUP($E86,'Player Database'!$B$2:$B252,'Player Database'!$W$2:$W252)</f>
        <v>#N/A</v>
      </c>
      <c r="M86" s="48" t="str">
        <f t="shared" si="1"/>
        <v>0 - 0</v>
      </c>
      <c r="N86" s="50" t="str">
        <f t="array" ref="N86">IF(XLOOKUP($E86,'Player Database'!$B$2:$B252,'Player Database'!$AA$2:$AA252)="",XLOOKUP($E86,'Player Database'!$B$2:$B252,'Player Database'!$G$2:$G252),XLOOKUP($E86,'Player Database'!$B$2:$B252,'Player Database'!$AA$2:$AA252))</f>
        <v>#N/A</v>
      </c>
      <c r="O86" s="51">
        <f>COUNTIFs(Matches!$B:$B,E86,Matches!$A:$A,"&gt;"&amp;Q86,Matches!$A:$A,"&lt;"&amp;R86)</f>
        <v>0</v>
      </c>
      <c r="P86" s="51">
        <f>COUNTIFs(Matches!$C:$C,E86,Matches!$A:$A,"&gt;"&amp;Q86,Matches!$A:$A,"&lt;"&amp;R86)</f>
        <v>0</v>
      </c>
      <c r="Q86" s="52">
        <f>VLOOKUP($C$2,Quotas!$A$7:$E$14,2,FALSE)</f>
        <v>46171.70833</v>
      </c>
      <c r="R86" s="52">
        <f>VLOOKUP($C$2,Quotas!$A$7:$E$14,3,FALSE)</f>
        <v>46178.70833</v>
      </c>
    </row>
    <row r="87">
      <c r="A87" s="82" t="str">
        <f t="array" ref="A87">XLOOKUP($E87,'Player Database'!$B$2:$B252,'Player Database'!$C$2:$C252)</f>
        <v>#N/A</v>
      </c>
      <c r="B87" s="82" t="str">
        <f t="array" ref="B87">XLOOKUP($E87,'Player Database'!$B$2:$B252,'Player Database'!$E$2:$E252)</f>
        <v>#N/A</v>
      </c>
      <c r="C87" s="82" t="str">
        <f t="array" ref="C87">XLOOKUP($E87,'Player Database'!$B$2:$B252,'Player Database'!$F$2:$F252)</f>
        <v>#N/A</v>
      </c>
      <c r="D87" s="81">
        <f>IFERROR(__xludf.DUMMYFUNCTION("""COMPUTED_VALUE"""),1.0)</f>
        <v>1</v>
      </c>
      <c r="E87" s="41"/>
      <c r="F87" s="42" t="str">
        <f t="array" ref="F87">XLOOKUP($E87,'Player Database'!$B$2:$B252,'Player Database'!$K$2:$K252)</f>
        <v>#N/A</v>
      </c>
      <c r="G87" s="42" t="str">
        <f t="array" ref="G87">XLOOKUP($E87,'Player Database'!$B$2:$B252,'Player Database'!$AE$2:$AE252)</f>
        <v>#N/A</v>
      </c>
      <c r="H87" s="42" t="str">
        <f t="array" ref="H87">XLOOKUP($E87,'Player Database'!$B$2:$B252,'Player Database'!$H$2:$H252)</f>
        <v>#N/A</v>
      </c>
      <c r="I87" s="42" t="str">
        <f t="array" ref="I87">XLOOKUP($E87,'Player Database'!$B$2:$B252,'Player Database'!$O$2:$O252)</f>
        <v>#N/A</v>
      </c>
      <c r="J87" s="42" t="str">
        <f t="array" ref="J87">XLOOKUP($E87,'Player Database'!$B$2:$B252,'Player Database'!$P$2:$P252)</f>
        <v>#N/A</v>
      </c>
      <c r="K87" s="44" t="str">
        <f t="array" ref="K87">XLOOKUP($E87,'Player Database'!$B$2:$B252,'Player Database'!$U$2:$U252)</f>
        <v>#N/A</v>
      </c>
      <c r="L87" s="47" t="str">
        <f t="array" ref="L87">XLOOKUP($E87,'Player Database'!$B$2:$B252,'Player Database'!$W$2:$W252)</f>
        <v>#N/A</v>
      </c>
      <c r="M87" s="48" t="str">
        <f t="shared" si="1"/>
        <v>0 - 0</v>
      </c>
      <c r="N87" s="50" t="str">
        <f t="array" ref="N87">IF(XLOOKUP($E87,'Player Database'!$B$2:$B252,'Player Database'!$AA$2:$AA252)="",XLOOKUP($E87,'Player Database'!$B$2:$B252,'Player Database'!$G$2:$G252),XLOOKUP($E87,'Player Database'!$B$2:$B252,'Player Database'!$AA$2:$AA252))</f>
        <v>#N/A</v>
      </c>
      <c r="O87" s="51">
        <f>COUNTIFs(Matches!$B:$B,E87,Matches!$A:$A,"&gt;"&amp;Q87,Matches!$A:$A,"&lt;"&amp;R87)</f>
        <v>0</v>
      </c>
      <c r="P87" s="51">
        <f>COUNTIFs(Matches!$C:$C,E87,Matches!$A:$A,"&gt;"&amp;Q87,Matches!$A:$A,"&lt;"&amp;R87)</f>
        <v>0</v>
      </c>
      <c r="Q87" s="52">
        <f>VLOOKUP($C$2,Quotas!$A$7:$E$14,2,FALSE)</f>
        <v>46171.70833</v>
      </c>
      <c r="R87" s="52">
        <f>VLOOKUP($C$2,Quotas!$A$7:$E$14,3,FALSE)</f>
        <v>46178.70833</v>
      </c>
    </row>
    <row r="88">
      <c r="A88" s="82" t="str">
        <f t="array" ref="A88">XLOOKUP($E88,'Player Database'!$B$2:$B252,'Player Database'!$C$2:$C252)</f>
        <v>#N/A</v>
      </c>
      <c r="B88" s="82" t="str">
        <f t="array" ref="B88">XLOOKUP($E88,'Player Database'!$B$2:$B252,'Player Database'!$E$2:$E252)</f>
        <v>#N/A</v>
      </c>
      <c r="C88" s="82" t="str">
        <f t="array" ref="C88">XLOOKUP($E88,'Player Database'!$B$2:$B252,'Player Database'!$F$2:$F252)</f>
        <v>#N/A</v>
      </c>
      <c r="D88" s="81">
        <f>IFERROR(__xludf.DUMMYFUNCTION("""COMPUTED_VALUE"""),1.0)</f>
        <v>1</v>
      </c>
      <c r="E88" s="41"/>
      <c r="F88" s="42" t="str">
        <f t="array" ref="F88">XLOOKUP($E88,'Player Database'!$B$2:$B252,'Player Database'!$K$2:$K252)</f>
        <v>#N/A</v>
      </c>
      <c r="G88" s="42" t="str">
        <f t="array" ref="G88">XLOOKUP($E88,'Player Database'!$B$2:$B252,'Player Database'!$AE$2:$AE252)</f>
        <v>#N/A</v>
      </c>
      <c r="H88" s="42" t="str">
        <f t="array" ref="H88">XLOOKUP($E88,'Player Database'!$B$2:$B252,'Player Database'!$H$2:$H252)</f>
        <v>#N/A</v>
      </c>
      <c r="I88" s="42" t="str">
        <f t="array" ref="I88">XLOOKUP($E88,'Player Database'!$B$2:$B252,'Player Database'!$O$2:$O252)</f>
        <v>#N/A</v>
      </c>
      <c r="J88" s="42" t="str">
        <f t="array" ref="J88">XLOOKUP($E88,'Player Database'!$B$2:$B252,'Player Database'!$P$2:$P252)</f>
        <v>#N/A</v>
      </c>
      <c r="K88" s="44" t="str">
        <f t="array" ref="K88">XLOOKUP($E88,'Player Database'!$B$2:$B252,'Player Database'!$U$2:$U252)</f>
        <v>#N/A</v>
      </c>
      <c r="L88" s="47" t="str">
        <f t="array" ref="L88">XLOOKUP($E88,'Player Database'!$B$2:$B252,'Player Database'!$W$2:$W252)</f>
        <v>#N/A</v>
      </c>
      <c r="M88" s="48" t="str">
        <f t="shared" si="1"/>
        <v>0 - 0</v>
      </c>
      <c r="N88" s="50" t="str">
        <f t="array" ref="N88">IF(XLOOKUP($E88,'Player Database'!$B$2:$B252,'Player Database'!$AA$2:$AA252)="",XLOOKUP($E88,'Player Database'!$B$2:$B252,'Player Database'!$G$2:$G252),XLOOKUP($E88,'Player Database'!$B$2:$B252,'Player Database'!$AA$2:$AA252))</f>
        <v>#N/A</v>
      </c>
      <c r="O88" s="51">
        <f>COUNTIFs(Matches!$B:$B,E88,Matches!$A:$A,"&gt;"&amp;Q88,Matches!$A:$A,"&lt;"&amp;R88)</f>
        <v>0</v>
      </c>
      <c r="P88" s="51">
        <f>COUNTIFs(Matches!$C:$C,E88,Matches!$A:$A,"&gt;"&amp;Q88,Matches!$A:$A,"&lt;"&amp;R88)</f>
        <v>0</v>
      </c>
      <c r="Q88" s="52">
        <f>VLOOKUP($C$2,Quotas!$A$7:$E$14,2,FALSE)</f>
        <v>46171.70833</v>
      </c>
      <c r="R88" s="52">
        <f>VLOOKUP($C$2,Quotas!$A$7:$E$14,3,FALSE)</f>
        <v>46178.70833</v>
      </c>
    </row>
    <row r="89">
      <c r="A89" s="82" t="str">
        <f t="array" ref="A89">XLOOKUP($E89,'Player Database'!$B$2:$B252,'Player Database'!$C$2:$C252)</f>
        <v>#N/A</v>
      </c>
      <c r="B89" s="82" t="str">
        <f t="array" ref="B89">XLOOKUP($E89,'Player Database'!$B$2:$B252,'Player Database'!$E$2:$E252)</f>
        <v>#N/A</v>
      </c>
      <c r="C89" s="82" t="str">
        <f t="array" ref="C89">XLOOKUP($E89,'Player Database'!$B$2:$B252,'Player Database'!$F$2:$F252)</f>
        <v>#N/A</v>
      </c>
      <c r="D89" s="81">
        <f>IFERROR(__xludf.DUMMYFUNCTION("""COMPUTED_VALUE"""),1.0)</f>
        <v>1</v>
      </c>
      <c r="E89" s="41"/>
      <c r="F89" s="42" t="str">
        <f t="array" ref="F89">XLOOKUP($E89,'Player Database'!$B$2:$B252,'Player Database'!$K$2:$K252)</f>
        <v>#N/A</v>
      </c>
      <c r="G89" s="42" t="str">
        <f t="array" ref="G89">XLOOKUP($E89,'Player Database'!$B$2:$B252,'Player Database'!$AE$2:$AE252)</f>
        <v>#N/A</v>
      </c>
      <c r="H89" s="42" t="str">
        <f t="array" ref="H89">XLOOKUP($E89,'Player Database'!$B$2:$B252,'Player Database'!$H$2:$H252)</f>
        <v>#N/A</v>
      </c>
      <c r="I89" s="42" t="str">
        <f t="array" ref="I89">XLOOKUP($E89,'Player Database'!$B$2:$B252,'Player Database'!$O$2:$O252)</f>
        <v>#N/A</v>
      </c>
      <c r="J89" s="42" t="str">
        <f t="array" ref="J89">XLOOKUP($E89,'Player Database'!$B$2:$B252,'Player Database'!$P$2:$P252)</f>
        <v>#N/A</v>
      </c>
      <c r="K89" s="44" t="str">
        <f t="array" ref="K89">XLOOKUP($E89,'Player Database'!$B$2:$B252,'Player Database'!$U$2:$U252)</f>
        <v>#N/A</v>
      </c>
      <c r="L89" s="47" t="str">
        <f t="array" ref="L89">XLOOKUP($E89,'Player Database'!$B$2:$B252,'Player Database'!$W$2:$W252)</f>
        <v>#N/A</v>
      </c>
      <c r="M89" s="48" t="str">
        <f t="shared" si="1"/>
        <v>0 - 0</v>
      </c>
      <c r="N89" s="50" t="str">
        <f t="array" ref="N89">IF(XLOOKUP($E89,'Player Database'!$B$2:$B252,'Player Database'!$AA$2:$AA252)="",XLOOKUP($E89,'Player Database'!$B$2:$B252,'Player Database'!$G$2:$G252),XLOOKUP($E89,'Player Database'!$B$2:$B252,'Player Database'!$AA$2:$AA252))</f>
        <v>#N/A</v>
      </c>
      <c r="O89" s="51">
        <f>COUNTIFs(Matches!$B:$B,E89,Matches!$A:$A,"&gt;"&amp;Q89,Matches!$A:$A,"&lt;"&amp;R89)</f>
        <v>0</v>
      </c>
      <c r="P89" s="51">
        <f>COUNTIFs(Matches!$C:$C,E89,Matches!$A:$A,"&gt;"&amp;Q89,Matches!$A:$A,"&lt;"&amp;R89)</f>
        <v>0</v>
      </c>
      <c r="Q89" s="52">
        <f>VLOOKUP($C$2,Quotas!$A$7:$E$14,2,FALSE)</f>
        <v>46171.70833</v>
      </c>
      <c r="R89" s="52">
        <f>VLOOKUP($C$2,Quotas!$A$7:$E$14,3,FALSE)</f>
        <v>46178.70833</v>
      </c>
    </row>
    <row r="90">
      <c r="A90" s="82" t="str">
        <f t="array" ref="A90">XLOOKUP($E90,'Player Database'!$B$2:$B252,'Player Database'!$C$2:$C252)</f>
        <v>#N/A</v>
      </c>
      <c r="B90" s="82" t="str">
        <f t="array" ref="B90">XLOOKUP($E90,'Player Database'!$B$2:$B252,'Player Database'!$E$2:$E252)</f>
        <v>#N/A</v>
      </c>
      <c r="C90" s="82" t="str">
        <f t="array" ref="C90">XLOOKUP($E90,'Player Database'!$B$2:$B252,'Player Database'!$F$2:$F252)</f>
        <v>#N/A</v>
      </c>
      <c r="D90" s="81">
        <f>IFERROR(__xludf.DUMMYFUNCTION("""COMPUTED_VALUE"""),1.0)</f>
        <v>1</v>
      </c>
      <c r="E90" s="41"/>
      <c r="F90" s="42" t="str">
        <f t="array" ref="F90">XLOOKUP($E90,'Player Database'!$B$2:$B252,'Player Database'!$K$2:$K252)</f>
        <v>#N/A</v>
      </c>
      <c r="G90" s="42" t="str">
        <f t="array" ref="G90">XLOOKUP($E90,'Player Database'!$B$2:$B252,'Player Database'!$AE$2:$AE252)</f>
        <v>#N/A</v>
      </c>
      <c r="H90" s="42" t="str">
        <f t="array" ref="H90">XLOOKUP($E90,'Player Database'!$B$2:$B252,'Player Database'!$H$2:$H252)</f>
        <v>#N/A</v>
      </c>
      <c r="I90" s="42" t="str">
        <f t="array" ref="I90">XLOOKUP($E90,'Player Database'!$B$2:$B252,'Player Database'!$O$2:$O252)</f>
        <v>#N/A</v>
      </c>
      <c r="J90" s="42" t="str">
        <f t="array" ref="J90">XLOOKUP($E90,'Player Database'!$B$2:$B252,'Player Database'!$P$2:$P252)</f>
        <v>#N/A</v>
      </c>
      <c r="K90" s="44" t="str">
        <f t="array" ref="K90">XLOOKUP($E90,'Player Database'!$B$2:$B252,'Player Database'!$U$2:$U252)</f>
        <v>#N/A</v>
      </c>
      <c r="L90" s="47" t="str">
        <f t="array" ref="L90">XLOOKUP($E90,'Player Database'!$B$2:$B252,'Player Database'!$W$2:$W252)</f>
        <v>#N/A</v>
      </c>
      <c r="M90" s="48" t="str">
        <f t="shared" si="1"/>
        <v>0 - 0</v>
      </c>
      <c r="N90" s="50" t="str">
        <f t="array" ref="N90">IF(XLOOKUP($E90,'Player Database'!$B$2:$B252,'Player Database'!$AA$2:$AA252)="",XLOOKUP($E90,'Player Database'!$B$2:$B252,'Player Database'!$G$2:$G252),XLOOKUP($E90,'Player Database'!$B$2:$B252,'Player Database'!$AA$2:$AA252))</f>
        <v>#N/A</v>
      </c>
      <c r="O90" s="51">
        <f>COUNTIFs(Matches!$B:$B,E90,Matches!$A:$A,"&gt;"&amp;Q90,Matches!$A:$A,"&lt;"&amp;R90)</f>
        <v>0</v>
      </c>
      <c r="P90" s="51">
        <f>COUNTIFs(Matches!$C:$C,E90,Matches!$A:$A,"&gt;"&amp;Q90,Matches!$A:$A,"&lt;"&amp;R90)</f>
        <v>0</v>
      </c>
      <c r="Q90" s="52">
        <f>VLOOKUP($C$2,Quotas!$A$7:$E$14,2,FALSE)</f>
        <v>46171.70833</v>
      </c>
      <c r="R90" s="52">
        <f>VLOOKUP($C$2,Quotas!$A$7:$E$14,3,FALSE)</f>
        <v>46178.70833</v>
      </c>
    </row>
    <row r="91">
      <c r="A91" s="82" t="str">
        <f t="array" ref="A91">XLOOKUP($E91,'Player Database'!$B$2:$B252,'Player Database'!$C$2:$C252)</f>
        <v>#N/A</v>
      </c>
      <c r="B91" s="82" t="str">
        <f t="array" ref="B91">XLOOKUP($E91,'Player Database'!$B$2:$B252,'Player Database'!$E$2:$E252)</f>
        <v>#N/A</v>
      </c>
      <c r="C91" s="82" t="str">
        <f t="array" ref="C91">XLOOKUP($E91,'Player Database'!$B$2:$B252,'Player Database'!$F$2:$F252)</f>
        <v>#N/A</v>
      </c>
      <c r="D91" s="81">
        <f>IFERROR(__xludf.DUMMYFUNCTION("""COMPUTED_VALUE"""),1.0)</f>
        <v>1</v>
      </c>
      <c r="E91" s="41"/>
      <c r="F91" s="42" t="str">
        <f t="array" ref="F91">XLOOKUP($E91,'Player Database'!$B$2:$B252,'Player Database'!$K$2:$K252)</f>
        <v>#N/A</v>
      </c>
      <c r="G91" s="42" t="str">
        <f t="array" ref="G91">XLOOKUP($E91,'Player Database'!$B$2:$B252,'Player Database'!$AE$2:$AE252)</f>
        <v>#N/A</v>
      </c>
      <c r="H91" s="42" t="str">
        <f t="array" ref="H91">XLOOKUP($E91,'Player Database'!$B$2:$B252,'Player Database'!$H$2:$H252)</f>
        <v>#N/A</v>
      </c>
      <c r="I91" s="42" t="str">
        <f t="array" ref="I91">XLOOKUP($E91,'Player Database'!$B$2:$B252,'Player Database'!$O$2:$O252)</f>
        <v>#N/A</v>
      </c>
      <c r="J91" s="42" t="str">
        <f t="array" ref="J91">XLOOKUP($E91,'Player Database'!$B$2:$B252,'Player Database'!$P$2:$P252)</f>
        <v>#N/A</v>
      </c>
      <c r="K91" s="44" t="str">
        <f t="array" ref="K91">XLOOKUP($E91,'Player Database'!$B$2:$B252,'Player Database'!$U$2:$U252)</f>
        <v>#N/A</v>
      </c>
      <c r="L91" s="47" t="str">
        <f t="array" ref="L91">XLOOKUP($E91,'Player Database'!$B$2:$B252,'Player Database'!$W$2:$W252)</f>
        <v>#N/A</v>
      </c>
      <c r="M91" s="48" t="str">
        <f t="shared" si="1"/>
        <v>0 - 0</v>
      </c>
      <c r="N91" s="50" t="str">
        <f t="array" ref="N91">IF(XLOOKUP($E91,'Player Database'!$B$2:$B252,'Player Database'!$AA$2:$AA252)="",XLOOKUP($E91,'Player Database'!$B$2:$B252,'Player Database'!$G$2:$G252),XLOOKUP($E91,'Player Database'!$B$2:$B252,'Player Database'!$AA$2:$AA252))</f>
        <v>#N/A</v>
      </c>
      <c r="O91" s="51">
        <f>COUNTIFs(Matches!$B:$B,E91,Matches!$A:$A,"&gt;"&amp;Q91,Matches!$A:$A,"&lt;"&amp;R91)</f>
        <v>0</v>
      </c>
      <c r="P91" s="51">
        <f>COUNTIFs(Matches!$C:$C,E91,Matches!$A:$A,"&gt;"&amp;Q91,Matches!$A:$A,"&lt;"&amp;R91)</f>
        <v>0</v>
      </c>
      <c r="Q91" s="52">
        <f>VLOOKUP($C$2,Quotas!$A$7:$E$14,2,FALSE)</f>
        <v>46171.70833</v>
      </c>
      <c r="R91" s="52">
        <f>VLOOKUP($C$2,Quotas!$A$7:$E$14,3,FALSE)</f>
        <v>46178.70833</v>
      </c>
    </row>
    <row r="92">
      <c r="A92" s="82" t="str">
        <f t="array" ref="A92">XLOOKUP($E92,'Player Database'!$B$2:$B252,'Player Database'!$C$2:$C252)</f>
        <v>#N/A</v>
      </c>
      <c r="B92" s="82" t="str">
        <f t="array" ref="B92">XLOOKUP($E92,'Player Database'!$B$2:$B252,'Player Database'!$E$2:$E252)</f>
        <v>#N/A</v>
      </c>
      <c r="C92" s="82" t="str">
        <f t="array" ref="C92">XLOOKUP($E92,'Player Database'!$B$2:$B252,'Player Database'!$F$2:$F252)</f>
        <v>#N/A</v>
      </c>
      <c r="D92" s="81">
        <f>IFERROR(__xludf.DUMMYFUNCTION("""COMPUTED_VALUE"""),1.0)</f>
        <v>1</v>
      </c>
      <c r="E92" s="41"/>
      <c r="F92" s="42" t="str">
        <f t="array" ref="F92">XLOOKUP($E92,'Player Database'!$B$2:$B252,'Player Database'!$K$2:$K252)</f>
        <v>#N/A</v>
      </c>
      <c r="G92" s="42" t="str">
        <f t="array" ref="G92">XLOOKUP($E92,'Player Database'!$B$2:$B252,'Player Database'!$AE$2:$AE252)</f>
        <v>#N/A</v>
      </c>
      <c r="H92" s="42" t="str">
        <f t="array" ref="H92">XLOOKUP($E92,'Player Database'!$B$2:$B252,'Player Database'!$H$2:$H252)</f>
        <v>#N/A</v>
      </c>
      <c r="I92" s="42" t="str">
        <f t="array" ref="I92">XLOOKUP($E92,'Player Database'!$B$2:$B252,'Player Database'!$O$2:$O252)</f>
        <v>#N/A</v>
      </c>
      <c r="J92" s="42" t="str">
        <f t="array" ref="J92">XLOOKUP($E92,'Player Database'!$B$2:$B252,'Player Database'!$P$2:$P252)</f>
        <v>#N/A</v>
      </c>
      <c r="K92" s="44" t="str">
        <f t="array" ref="K92">XLOOKUP($E92,'Player Database'!$B$2:$B252,'Player Database'!$U$2:$U252)</f>
        <v>#N/A</v>
      </c>
      <c r="L92" s="47" t="str">
        <f t="array" ref="L92">XLOOKUP($E92,'Player Database'!$B$2:$B252,'Player Database'!$W$2:$W252)</f>
        <v>#N/A</v>
      </c>
      <c r="M92" s="48" t="str">
        <f t="shared" si="1"/>
        <v>0 - 0</v>
      </c>
      <c r="N92" s="50" t="str">
        <f t="array" ref="N92">IF(XLOOKUP($E92,'Player Database'!$B$2:$B252,'Player Database'!$AA$2:$AA252)="",XLOOKUP($E92,'Player Database'!$B$2:$B252,'Player Database'!$G$2:$G252),XLOOKUP($E92,'Player Database'!$B$2:$B252,'Player Database'!$AA$2:$AA252))</f>
        <v>#N/A</v>
      </c>
      <c r="O92" s="51">
        <f>COUNTIFs(Matches!$B:$B,E92,Matches!$A:$A,"&gt;"&amp;Q92,Matches!$A:$A,"&lt;"&amp;R92)</f>
        <v>0</v>
      </c>
      <c r="P92" s="51">
        <f>COUNTIFs(Matches!$C:$C,E92,Matches!$A:$A,"&gt;"&amp;Q92,Matches!$A:$A,"&lt;"&amp;R92)</f>
        <v>0</v>
      </c>
      <c r="Q92" s="52">
        <f>VLOOKUP($C$2,Quotas!$A$7:$E$14,2,FALSE)</f>
        <v>46171.70833</v>
      </c>
      <c r="R92" s="52">
        <f>VLOOKUP($C$2,Quotas!$A$7:$E$14,3,FALSE)</f>
        <v>46178.70833</v>
      </c>
    </row>
    <row r="93">
      <c r="A93" s="82" t="str">
        <f t="array" ref="A93">XLOOKUP($E93,'Player Database'!$B$2:$B252,'Player Database'!$C$2:$C252)</f>
        <v>#N/A</v>
      </c>
      <c r="B93" s="82" t="str">
        <f t="array" ref="B93">XLOOKUP($E93,'Player Database'!$B$2:$B252,'Player Database'!$E$2:$E252)</f>
        <v>#N/A</v>
      </c>
      <c r="C93" s="82" t="str">
        <f t="array" ref="C93">XLOOKUP($E93,'Player Database'!$B$2:$B252,'Player Database'!$F$2:$F252)</f>
        <v>#N/A</v>
      </c>
      <c r="D93" s="81">
        <f>IFERROR(__xludf.DUMMYFUNCTION("""COMPUTED_VALUE"""),1.0)</f>
        <v>1</v>
      </c>
      <c r="E93" s="41"/>
      <c r="F93" s="42" t="str">
        <f t="array" ref="F93">XLOOKUP($E93,'Player Database'!$B$2:$B252,'Player Database'!$K$2:$K252)</f>
        <v>#N/A</v>
      </c>
      <c r="G93" s="42" t="str">
        <f t="array" ref="G93">XLOOKUP($E93,'Player Database'!$B$2:$B252,'Player Database'!$AE$2:$AE252)</f>
        <v>#N/A</v>
      </c>
      <c r="H93" s="42" t="str">
        <f t="array" ref="H93">XLOOKUP($E93,'Player Database'!$B$2:$B252,'Player Database'!$H$2:$H252)</f>
        <v>#N/A</v>
      </c>
      <c r="I93" s="42" t="str">
        <f t="array" ref="I93">XLOOKUP($E93,'Player Database'!$B$2:$B252,'Player Database'!$O$2:$O252)</f>
        <v>#N/A</v>
      </c>
      <c r="J93" s="42" t="str">
        <f t="array" ref="J93">XLOOKUP($E93,'Player Database'!$B$2:$B252,'Player Database'!$P$2:$P252)</f>
        <v>#N/A</v>
      </c>
      <c r="K93" s="44" t="str">
        <f t="array" ref="K93">XLOOKUP($E93,'Player Database'!$B$2:$B252,'Player Database'!$U$2:$U252)</f>
        <v>#N/A</v>
      </c>
      <c r="L93" s="47" t="str">
        <f t="array" ref="L93">XLOOKUP($E93,'Player Database'!$B$2:$B252,'Player Database'!$W$2:$W252)</f>
        <v>#N/A</v>
      </c>
      <c r="M93" s="48" t="str">
        <f t="shared" si="1"/>
        <v>0 - 0</v>
      </c>
      <c r="N93" s="50" t="str">
        <f t="array" ref="N93">IF(XLOOKUP($E93,'Player Database'!$B$2:$B252,'Player Database'!$AA$2:$AA252)="",XLOOKUP($E93,'Player Database'!$B$2:$B252,'Player Database'!$G$2:$G252),XLOOKUP($E93,'Player Database'!$B$2:$B252,'Player Database'!$AA$2:$AA252))</f>
        <v>#N/A</v>
      </c>
      <c r="O93" s="51">
        <f>COUNTIFs(Matches!$B:$B,E93,Matches!$A:$A,"&gt;"&amp;Q93,Matches!$A:$A,"&lt;"&amp;R93)</f>
        <v>0</v>
      </c>
      <c r="P93" s="51">
        <f>COUNTIFs(Matches!$C:$C,E93,Matches!$A:$A,"&gt;"&amp;Q93,Matches!$A:$A,"&lt;"&amp;R93)</f>
        <v>0</v>
      </c>
      <c r="Q93" s="52">
        <f>VLOOKUP($C$2,Quotas!$A$7:$E$14,2,FALSE)</f>
        <v>46171.70833</v>
      </c>
      <c r="R93" s="52">
        <f>VLOOKUP($C$2,Quotas!$A$7:$E$14,3,FALSE)</f>
        <v>46178.70833</v>
      </c>
    </row>
    <row r="94">
      <c r="A94" s="82" t="str">
        <f t="array" ref="A94">XLOOKUP($E94,'Player Database'!$B$2:$B252,'Player Database'!$C$2:$C252)</f>
        <v>#N/A</v>
      </c>
      <c r="B94" s="82" t="str">
        <f t="array" ref="B94">XLOOKUP($E94,'Player Database'!$B$2:$B252,'Player Database'!$E$2:$E252)</f>
        <v>#N/A</v>
      </c>
      <c r="C94" s="82" t="str">
        <f t="array" ref="C94">XLOOKUP($E94,'Player Database'!$B$2:$B252,'Player Database'!$F$2:$F252)</f>
        <v>#N/A</v>
      </c>
      <c r="D94" s="81">
        <f>IFERROR(__xludf.DUMMYFUNCTION("""COMPUTED_VALUE"""),1.0)</f>
        <v>1</v>
      </c>
      <c r="E94" s="41"/>
      <c r="F94" s="42" t="str">
        <f t="array" ref="F94">XLOOKUP($E94,'Player Database'!$B$2:$B252,'Player Database'!$K$2:$K252)</f>
        <v>#N/A</v>
      </c>
      <c r="G94" s="42" t="str">
        <f t="array" ref="G94">XLOOKUP($E94,'Player Database'!$B$2:$B252,'Player Database'!$AE$2:$AE252)</f>
        <v>#N/A</v>
      </c>
      <c r="H94" s="42" t="str">
        <f t="array" ref="H94">XLOOKUP($E94,'Player Database'!$B$2:$B252,'Player Database'!$H$2:$H252)</f>
        <v>#N/A</v>
      </c>
      <c r="I94" s="42" t="str">
        <f t="array" ref="I94">XLOOKUP($E94,'Player Database'!$B$2:$B252,'Player Database'!$O$2:$O252)</f>
        <v>#N/A</v>
      </c>
      <c r="J94" s="42" t="str">
        <f t="array" ref="J94">XLOOKUP($E94,'Player Database'!$B$2:$B252,'Player Database'!$P$2:$P252)</f>
        <v>#N/A</v>
      </c>
      <c r="K94" s="44" t="str">
        <f t="array" ref="K94">XLOOKUP($E94,'Player Database'!$B$2:$B252,'Player Database'!$U$2:$U252)</f>
        <v>#N/A</v>
      </c>
      <c r="L94" s="47" t="str">
        <f t="array" ref="L94">XLOOKUP($E94,'Player Database'!$B$2:$B252,'Player Database'!$W$2:$W252)</f>
        <v>#N/A</v>
      </c>
      <c r="M94" s="48" t="str">
        <f t="shared" si="1"/>
        <v>0 - 0</v>
      </c>
      <c r="N94" s="50" t="str">
        <f t="array" ref="N94">IF(XLOOKUP($E94,'Player Database'!$B$2:$B252,'Player Database'!$AA$2:$AA252)="",XLOOKUP($E94,'Player Database'!$B$2:$B252,'Player Database'!$G$2:$G252),XLOOKUP($E94,'Player Database'!$B$2:$B252,'Player Database'!$AA$2:$AA252))</f>
        <v>#N/A</v>
      </c>
      <c r="O94" s="51">
        <f>COUNTIFs(Matches!$B:$B,E94,Matches!$A:$A,"&gt;"&amp;Q94,Matches!$A:$A,"&lt;"&amp;R94)</f>
        <v>0</v>
      </c>
      <c r="P94" s="51">
        <f>COUNTIFs(Matches!$C:$C,E94,Matches!$A:$A,"&gt;"&amp;Q94,Matches!$A:$A,"&lt;"&amp;R94)</f>
        <v>0</v>
      </c>
      <c r="Q94" s="52">
        <f>VLOOKUP($C$2,Quotas!$A$7:$E$14,2,FALSE)</f>
        <v>46171.70833</v>
      </c>
      <c r="R94" s="52">
        <f>VLOOKUP($C$2,Quotas!$A$7:$E$14,3,FALSE)</f>
        <v>46178.70833</v>
      </c>
    </row>
    <row r="95">
      <c r="A95" s="82" t="str">
        <f t="array" ref="A95">XLOOKUP($E95,'Player Database'!$B$2:$B252,'Player Database'!$C$2:$C252)</f>
        <v>#N/A</v>
      </c>
      <c r="B95" s="82" t="str">
        <f t="array" ref="B95">XLOOKUP($E95,'Player Database'!$B$2:$B252,'Player Database'!$E$2:$E252)</f>
        <v>#N/A</v>
      </c>
      <c r="C95" s="82" t="str">
        <f t="array" ref="C95">XLOOKUP($E95,'Player Database'!$B$2:$B252,'Player Database'!$F$2:$F252)</f>
        <v>#N/A</v>
      </c>
      <c r="D95" s="81">
        <f>IFERROR(__xludf.DUMMYFUNCTION("""COMPUTED_VALUE"""),1.0)</f>
        <v>1</v>
      </c>
      <c r="E95" s="41"/>
      <c r="F95" s="42" t="str">
        <f t="array" ref="F95">XLOOKUP($E95,'Player Database'!$B$2:$B252,'Player Database'!$K$2:$K252)</f>
        <v>#N/A</v>
      </c>
      <c r="G95" s="42" t="str">
        <f t="array" ref="G95">XLOOKUP($E95,'Player Database'!$B$2:$B252,'Player Database'!$AE$2:$AE252)</f>
        <v>#N/A</v>
      </c>
      <c r="H95" s="42" t="str">
        <f t="array" ref="H95">XLOOKUP($E95,'Player Database'!$B$2:$B252,'Player Database'!$H$2:$H252)</f>
        <v>#N/A</v>
      </c>
      <c r="I95" s="42" t="str">
        <f t="array" ref="I95">XLOOKUP($E95,'Player Database'!$B$2:$B252,'Player Database'!$O$2:$O252)</f>
        <v>#N/A</v>
      </c>
      <c r="J95" s="42" t="str">
        <f t="array" ref="J95">XLOOKUP($E95,'Player Database'!$B$2:$B252,'Player Database'!$P$2:$P252)</f>
        <v>#N/A</v>
      </c>
      <c r="K95" s="44" t="str">
        <f t="array" ref="K95">XLOOKUP($E95,'Player Database'!$B$2:$B252,'Player Database'!$U$2:$U252)</f>
        <v>#N/A</v>
      </c>
      <c r="L95" s="47" t="str">
        <f t="array" ref="L95">XLOOKUP($E95,'Player Database'!$B$2:$B252,'Player Database'!$W$2:$W252)</f>
        <v>#N/A</v>
      </c>
      <c r="M95" s="48" t="str">
        <f t="shared" si="1"/>
        <v>0 - 0</v>
      </c>
      <c r="N95" s="50" t="str">
        <f t="array" ref="N95">IF(XLOOKUP($E95,'Player Database'!$B$2:$B252,'Player Database'!$AA$2:$AA252)="",XLOOKUP($E95,'Player Database'!$B$2:$B252,'Player Database'!$G$2:$G252),XLOOKUP($E95,'Player Database'!$B$2:$B252,'Player Database'!$AA$2:$AA252))</f>
        <v>#N/A</v>
      </c>
      <c r="O95" s="51">
        <f>COUNTIFs(Matches!$B:$B,E95,Matches!$A:$A,"&gt;"&amp;Q95,Matches!$A:$A,"&lt;"&amp;R95)</f>
        <v>0</v>
      </c>
      <c r="P95" s="51">
        <f>COUNTIFs(Matches!$C:$C,E95,Matches!$A:$A,"&gt;"&amp;Q95,Matches!$A:$A,"&lt;"&amp;R95)</f>
        <v>0</v>
      </c>
      <c r="Q95" s="52">
        <f>VLOOKUP($C$2,Quotas!$A$7:$E$14,2,FALSE)</f>
        <v>46171.70833</v>
      </c>
      <c r="R95" s="52">
        <f>VLOOKUP($C$2,Quotas!$A$7:$E$14,3,FALSE)</f>
        <v>46178.70833</v>
      </c>
    </row>
    <row r="96">
      <c r="A96" s="82" t="str">
        <f t="array" ref="A96">XLOOKUP($E96,'Player Database'!$B$2:$B252,'Player Database'!$C$2:$C252)</f>
        <v>#N/A</v>
      </c>
      <c r="B96" s="82" t="str">
        <f t="array" ref="B96">XLOOKUP($E96,'Player Database'!$B$2:$B252,'Player Database'!$E$2:$E252)</f>
        <v>#N/A</v>
      </c>
      <c r="C96" s="82" t="str">
        <f t="array" ref="C96">XLOOKUP($E96,'Player Database'!$B$2:$B252,'Player Database'!$F$2:$F252)</f>
        <v>#N/A</v>
      </c>
      <c r="D96" s="81">
        <f>IFERROR(__xludf.DUMMYFUNCTION("""COMPUTED_VALUE"""),1.0)</f>
        <v>1</v>
      </c>
      <c r="E96" s="41"/>
      <c r="F96" s="42" t="str">
        <f t="array" ref="F96">XLOOKUP($E96,'Player Database'!$B$2:$B252,'Player Database'!$K$2:$K252)</f>
        <v>#N/A</v>
      </c>
      <c r="G96" s="42" t="str">
        <f t="array" ref="G96">XLOOKUP($E96,'Player Database'!$B$2:$B252,'Player Database'!$AE$2:$AE252)</f>
        <v>#N/A</v>
      </c>
      <c r="H96" s="42" t="str">
        <f t="array" ref="H96">XLOOKUP($E96,'Player Database'!$B$2:$B252,'Player Database'!$H$2:$H252)</f>
        <v>#N/A</v>
      </c>
      <c r="I96" s="42" t="str">
        <f t="array" ref="I96">XLOOKUP($E96,'Player Database'!$B$2:$B252,'Player Database'!$O$2:$O252)</f>
        <v>#N/A</v>
      </c>
      <c r="J96" s="42" t="str">
        <f t="array" ref="J96">XLOOKUP($E96,'Player Database'!$B$2:$B252,'Player Database'!$P$2:$P252)</f>
        <v>#N/A</v>
      </c>
      <c r="K96" s="44" t="str">
        <f t="array" ref="K96">XLOOKUP($E96,'Player Database'!$B$2:$B252,'Player Database'!$U$2:$U252)</f>
        <v>#N/A</v>
      </c>
      <c r="L96" s="47" t="str">
        <f t="array" ref="L96">XLOOKUP($E96,'Player Database'!$B$2:$B252,'Player Database'!$W$2:$W252)</f>
        <v>#N/A</v>
      </c>
      <c r="M96" s="48" t="str">
        <f t="shared" si="1"/>
        <v>0 - 0</v>
      </c>
      <c r="N96" s="50" t="str">
        <f t="array" ref="N96">IF(XLOOKUP($E96,'Player Database'!$B$2:$B252,'Player Database'!$AA$2:$AA252)="",XLOOKUP($E96,'Player Database'!$B$2:$B252,'Player Database'!$G$2:$G252),XLOOKUP($E96,'Player Database'!$B$2:$B252,'Player Database'!$AA$2:$AA252))</f>
        <v>#N/A</v>
      </c>
      <c r="O96" s="51">
        <f>COUNTIFs(Matches!$B:$B,E96,Matches!$A:$A,"&gt;"&amp;Q96,Matches!$A:$A,"&lt;"&amp;R96)</f>
        <v>0</v>
      </c>
      <c r="P96" s="51">
        <f>COUNTIFs(Matches!$C:$C,E96,Matches!$A:$A,"&gt;"&amp;Q96,Matches!$A:$A,"&lt;"&amp;R96)</f>
        <v>0</v>
      </c>
      <c r="Q96" s="52">
        <f>VLOOKUP($C$2,Quotas!$A$7:$E$14,2,FALSE)</f>
        <v>46171.70833</v>
      </c>
      <c r="R96" s="52">
        <f>VLOOKUP($C$2,Quotas!$A$7:$E$14,3,FALSE)</f>
        <v>46178.70833</v>
      </c>
    </row>
    <row r="97">
      <c r="A97" s="82" t="str">
        <f t="array" ref="A97">XLOOKUP($E97,'Player Database'!$B$2:$B252,'Player Database'!$C$2:$C252)</f>
        <v>#N/A</v>
      </c>
      <c r="B97" s="82" t="str">
        <f t="array" ref="B97">XLOOKUP($E97,'Player Database'!$B$2:$B252,'Player Database'!$E$2:$E252)</f>
        <v>#N/A</v>
      </c>
      <c r="C97" s="82" t="str">
        <f t="array" ref="C97">XLOOKUP($E97,'Player Database'!$B$2:$B252,'Player Database'!$F$2:$F252)</f>
        <v>#N/A</v>
      </c>
      <c r="D97" s="81">
        <f>IFERROR(__xludf.DUMMYFUNCTION("""COMPUTED_VALUE"""),1.0)</f>
        <v>1</v>
      </c>
      <c r="E97" s="41"/>
      <c r="F97" s="42" t="str">
        <f t="array" ref="F97">XLOOKUP($E97,'Player Database'!$B$2:$B252,'Player Database'!$K$2:$K252)</f>
        <v>#N/A</v>
      </c>
      <c r="G97" s="42" t="str">
        <f t="array" ref="G97">XLOOKUP($E97,'Player Database'!$B$2:$B252,'Player Database'!$AE$2:$AE252)</f>
        <v>#N/A</v>
      </c>
      <c r="H97" s="42" t="str">
        <f t="array" ref="H97">XLOOKUP($E97,'Player Database'!$B$2:$B252,'Player Database'!$H$2:$H252)</f>
        <v>#N/A</v>
      </c>
      <c r="I97" s="42" t="str">
        <f t="array" ref="I97">XLOOKUP($E97,'Player Database'!$B$2:$B252,'Player Database'!$O$2:$O252)</f>
        <v>#N/A</v>
      </c>
      <c r="J97" s="42" t="str">
        <f t="array" ref="J97">XLOOKUP($E97,'Player Database'!$B$2:$B252,'Player Database'!$P$2:$P252)</f>
        <v>#N/A</v>
      </c>
      <c r="K97" s="44" t="str">
        <f t="array" ref="K97">XLOOKUP($E97,'Player Database'!$B$2:$B252,'Player Database'!$U$2:$U252)</f>
        <v>#N/A</v>
      </c>
      <c r="L97" s="47" t="str">
        <f t="array" ref="L97">XLOOKUP($E97,'Player Database'!$B$2:$B252,'Player Database'!$W$2:$W252)</f>
        <v>#N/A</v>
      </c>
      <c r="M97" s="48" t="str">
        <f t="shared" si="1"/>
        <v>0 - 0</v>
      </c>
      <c r="N97" s="50" t="str">
        <f t="array" ref="N97">IF(XLOOKUP($E97,'Player Database'!$B$2:$B252,'Player Database'!$AA$2:$AA252)="",XLOOKUP($E97,'Player Database'!$B$2:$B252,'Player Database'!$G$2:$G252),XLOOKUP($E97,'Player Database'!$B$2:$B252,'Player Database'!$AA$2:$AA252))</f>
        <v>#N/A</v>
      </c>
      <c r="O97" s="51">
        <f>COUNTIFs(Matches!$B:$B,E97,Matches!$A:$A,"&gt;"&amp;Q97,Matches!$A:$A,"&lt;"&amp;R97)</f>
        <v>0</v>
      </c>
      <c r="P97" s="51">
        <f>COUNTIFs(Matches!$C:$C,E97,Matches!$A:$A,"&gt;"&amp;Q97,Matches!$A:$A,"&lt;"&amp;R97)</f>
        <v>0</v>
      </c>
      <c r="Q97" s="52">
        <f>VLOOKUP($C$2,Quotas!$A$7:$E$14,2,FALSE)</f>
        <v>46171.70833</v>
      </c>
      <c r="R97" s="52">
        <f>VLOOKUP($C$2,Quotas!$A$7:$E$14,3,FALSE)</f>
        <v>46178.70833</v>
      </c>
    </row>
    <row r="98">
      <c r="A98" s="82" t="str">
        <f t="array" ref="A98">XLOOKUP($E98,'Player Database'!$B$2:$B252,'Player Database'!$C$2:$C252)</f>
        <v>#N/A</v>
      </c>
      <c r="B98" s="82" t="str">
        <f t="array" ref="B98">XLOOKUP($E98,'Player Database'!$B$2:$B252,'Player Database'!$E$2:$E252)</f>
        <v>#N/A</v>
      </c>
      <c r="C98" s="82" t="str">
        <f t="array" ref="C98">XLOOKUP($E98,'Player Database'!$B$2:$B252,'Player Database'!$F$2:$F252)</f>
        <v>#N/A</v>
      </c>
      <c r="D98" s="81">
        <f>IFERROR(__xludf.DUMMYFUNCTION("""COMPUTED_VALUE"""),1.0)</f>
        <v>1</v>
      </c>
      <c r="E98" s="41"/>
      <c r="F98" s="42" t="str">
        <f t="array" ref="F98">XLOOKUP($E98,'Player Database'!$B$2:$B252,'Player Database'!$K$2:$K252)</f>
        <v>#N/A</v>
      </c>
      <c r="G98" s="42" t="str">
        <f t="array" ref="G98">XLOOKUP($E98,'Player Database'!$B$2:$B252,'Player Database'!$AE$2:$AE252)</f>
        <v>#N/A</v>
      </c>
      <c r="H98" s="42" t="str">
        <f t="array" ref="H98">XLOOKUP($E98,'Player Database'!$B$2:$B252,'Player Database'!$H$2:$H252)</f>
        <v>#N/A</v>
      </c>
      <c r="I98" s="42" t="str">
        <f t="array" ref="I98">XLOOKUP($E98,'Player Database'!$B$2:$B252,'Player Database'!$O$2:$O252)</f>
        <v>#N/A</v>
      </c>
      <c r="J98" s="42" t="str">
        <f t="array" ref="J98">XLOOKUP($E98,'Player Database'!$B$2:$B252,'Player Database'!$P$2:$P252)</f>
        <v>#N/A</v>
      </c>
      <c r="K98" s="44" t="str">
        <f t="array" ref="K98">XLOOKUP($E98,'Player Database'!$B$2:$B252,'Player Database'!$U$2:$U252)</f>
        <v>#N/A</v>
      </c>
      <c r="L98" s="47" t="str">
        <f t="array" ref="L98">XLOOKUP($E98,'Player Database'!$B$2:$B252,'Player Database'!$W$2:$W252)</f>
        <v>#N/A</v>
      </c>
      <c r="M98" s="48" t="str">
        <f t="shared" si="1"/>
        <v>0 - 0</v>
      </c>
      <c r="N98" s="50" t="str">
        <f t="array" ref="N98">IF(XLOOKUP($E98,'Player Database'!$B$2:$B252,'Player Database'!$AA$2:$AA252)="",XLOOKUP($E98,'Player Database'!$B$2:$B252,'Player Database'!$G$2:$G252),XLOOKUP($E98,'Player Database'!$B$2:$B252,'Player Database'!$AA$2:$AA252))</f>
        <v>#N/A</v>
      </c>
      <c r="O98" s="51">
        <f>COUNTIFs(Matches!$B:$B,E98,Matches!$A:$A,"&gt;"&amp;Q98,Matches!$A:$A,"&lt;"&amp;R98)</f>
        <v>0</v>
      </c>
      <c r="P98" s="51">
        <f>COUNTIFs(Matches!$C:$C,E98,Matches!$A:$A,"&gt;"&amp;Q98,Matches!$A:$A,"&lt;"&amp;R98)</f>
        <v>0</v>
      </c>
      <c r="Q98" s="52">
        <f>VLOOKUP($C$2,Quotas!$A$7:$E$14,2,FALSE)</f>
        <v>46171.70833</v>
      </c>
      <c r="R98" s="52">
        <f>VLOOKUP($C$2,Quotas!$A$7:$E$14,3,FALSE)</f>
        <v>46178.70833</v>
      </c>
    </row>
    <row r="99">
      <c r="A99" s="82" t="str">
        <f t="array" ref="A99">XLOOKUP($E99,'Player Database'!$B$2:$B252,'Player Database'!$C$2:$C252)</f>
        <v>#N/A</v>
      </c>
      <c r="B99" s="82" t="str">
        <f t="array" ref="B99">XLOOKUP($E99,'Player Database'!$B$2:$B252,'Player Database'!$E$2:$E252)</f>
        <v>#N/A</v>
      </c>
      <c r="C99" s="82" t="str">
        <f t="array" ref="C99">XLOOKUP($E99,'Player Database'!$B$2:$B252,'Player Database'!$F$2:$F252)</f>
        <v>#N/A</v>
      </c>
      <c r="D99" s="81">
        <f>IFERROR(__xludf.DUMMYFUNCTION("""COMPUTED_VALUE"""),1.0)</f>
        <v>1</v>
      </c>
      <c r="E99" s="41"/>
      <c r="F99" s="42" t="str">
        <f t="array" ref="F99">XLOOKUP($E99,'Player Database'!$B$2:$B252,'Player Database'!$K$2:$K252)</f>
        <v>#N/A</v>
      </c>
      <c r="G99" s="42" t="str">
        <f t="array" ref="G99">XLOOKUP($E99,'Player Database'!$B$2:$B252,'Player Database'!$AE$2:$AE252)</f>
        <v>#N/A</v>
      </c>
      <c r="H99" s="42" t="str">
        <f t="array" ref="H99">XLOOKUP($E99,'Player Database'!$B$2:$B252,'Player Database'!$H$2:$H252)</f>
        <v>#N/A</v>
      </c>
      <c r="I99" s="42" t="str">
        <f t="array" ref="I99">XLOOKUP($E99,'Player Database'!$B$2:$B252,'Player Database'!$O$2:$O252)</f>
        <v>#N/A</v>
      </c>
      <c r="J99" s="42" t="str">
        <f t="array" ref="J99">XLOOKUP($E99,'Player Database'!$B$2:$B252,'Player Database'!$P$2:$P252)</f>
        <v>#N/A</v>
      </c>
      <c r="K99" s="44" t="str">
        <f t="array" ref="K99">XLOOKUP($E99,'Player Database'!$B$2:$B252,'Player Database'!$U$2:$U252)</f>
        <v>#N/A</v>
      </c>
      <c r="L99" s="47" t="str">
        <f t="array" ref="L99">XLOOKUP($E99,'Player Database'!$B$2:$B252,'Player Database'!$W$2:$W252)</f>
        <v>#N/A</v>
      </c>
      <c r="M99" s="48" t="str">
        <f t="shared" si="1"/>
        <v>0 - 0</v>
      </c>
      <c r="N99" s="50" t="str">
        <f t="array" ref="N99">IF(XLOOKUP($E99,'Player Database'!$B$2:$B252,'Player Database'!$AA$2:$AA252)="",XLOOKUP($E99,'Player Database'!$B$2:$B252,'Player Database'!$G$2:$G252),XLOOKUP($E99,'Player Database'!$B$2:$B252,'Player Database'!$AA$2:$AA252))</f>
        <v>#N/A</v>
      </c>
      <c r="O99" s="51">
        <f>COUNTIFs(Matches!$B:$B,E99,Matches!$A:$A,"&gt;"&amp;Q99,Matches!$A:$A,"&lt;"&amp;R99)</f>
        <v>0</v>
      </c>
      <c r="P99" s="51">
        <f>COUNTIFs(Matches!$C:$C,E99,Matches!$A:$A,"&gt;"&amp;Q99,Matches!$A:$A,"&lt;"&amp;R99)</f>
        <v>0</v>
      </c>
      <c r="Q99" s="52">
        <f>VLOOKUP($C$2,Quotas!$A$7:$E$14,2,FALSE)</f>
        <v>46171.70833</v>
      </c>
      <c r="R99" s="52">
        <f>VLOOKUP($C$2,Quotas!$A$7:$E$14,3,FALSE)</f>
        <v>46178.70833</v>
      </c>
    </row>
    <row r="100">
      <c r="A100" s="82" t="str">
        <f t="array" ref="A100">XLOOKUP($E100,'Player Database'!$B$2:$B252,'Player Database'!$C$2:$C252)</f>
        <v>#N/A</v>
      </c>
      <c r="B100" s="82" t="str">
        <f t="array" ref="B100">XLOOKUP($E100,'Player Database'!$B$2:$B252,'Player Database'!$E$2:$E252)</f>
        <v>#N/A</v>
      </c>
      <c r="C100" s="82" t="str">
        <f t="array" ref="C100">XLOOKUP($E100,'Player Database'!$B$2:$B252,'Player Database'!$F$2:$F252)</f>
        <v>#N/A</v>
      </c>
      <c r="D100" s="81">
        <f>IFERROR(__xludf.DUMMYFUNCTION("""COMPUTED_VALUE"""),1.0)</f>
        <v>1</v>
      </c>
      <c r="E100" s="41"/>
      <c r="F100" s="42" t="str">
        <f t="array" ref="F100">XLOOKUP($E100,'Player Database'!$B$2:$B252,'Player Database'!$K$2:$K252)</f>
        <v>#N/A</v>
      </c>
      <c r="G100" s="42" t="str">
        <f t="array" ref="G100">XLOOKUP($E100,'Player Database'!$B$2:$B252,'Player Database'!$AE$2:$AE252)</f>
        <v>#N/A</v>
      </c>
      <c r="H100" s="42" t="str">
        <f t="array" ref="H100">XLOOKUP($E100,'Player Database'!$B$2:$B252,'Player Database'!$H$2:$H252)</f>
        <v>#N/A</v>
      </c>
      <c r="I100" s="42" t="str">
        <f t="array" ref="I100">XLOOKUP($E100,'Player Database'!$B$2:$B252,'Player Database'!$O$2:$O252)</f>
        <v>#N/A</v>
      </c>
      <c r="J100" s="42" t="str">
        <f t="array" ref="J100">XLOOKUP($E100,'Player Database'!$B$2:$B252,'Player Database'!$P$2:$P252)</f>
        <v>#N/A</v>
      </c>
      <c r="K100" s="44" t="str">
        <f t="array" ref="K100">XLOOKUP($E100,'Player Database'!$B$2:$B252,'Player Database'!$U$2:$U252)</f>
        <v>#N/A</v>
      </c>
      <c r="L100" s="47" t="str">
        <f t="array" ref="L100">XLOOKUP($E100,'Player Database'!$B$2:$B252,'Player Database'!$W$2:$W252)</f>
        <v>#N/A</v>
      </c>
      <c r="M100" s="48" t="str">
        <f t="shared" si="1"/>
        <v>0 - 0</v>
      </c>
      <c r="N100" s="50" t="str">
        <f t="array" ref="N100">IF(XLOOKUP($E100,'Player Database'!$B$2:$B252,'Player Database'!$AA$2:$AA252)="",XLOOKUP($E100,'Player Database'!$B$2:$B252,'Player Database'!$G$2:$G252),XLOOKUP($E100,'Player Database'!$B$2:$B252,'Player Database'!$AA$2:$AA252))</f>
        <v>#N/A</v>
      </c>
      <c r="O100" s="51">
        <f>COUNTIFs(Matches!$B:$B,E100,Matches!$A:$A,"&gt;"&amp;Q100,Matches!$A:$A,"&lt;"&amp;R100)</f>
        <v>0</v>
      </c>
      <c r="P100" s="51">
        <f>COUNTIFs(Matches!$C:$C,E100,Matches!$A:$A,"&gt;"&amp;Q100,Matches!$A:$A,"&lt;"&amp;R100)</f>
        <v>0</v>
      </c>
      <c r="Q100" s="52">
        <f>VLOOKUP($C$2,Quotas!$A$7:$E$14,2,FALSE)</f>
        <v>46171.70833</v>
      </c>
      <c r="R100" s="52">
        <f>VLOOKUP($C$2,Quotas!$A$7:$E$14,3,FALSE)</f>
        <v>46178.70833</v>
      </c>
    </row>
    <row r="101">
      <c r="A101" s="82" t="str">
        <f t="array" ref="A101">XLOOKUP($E101,'Player Database'!$B$2:$B252,'Player Database'!$C$2:$C252)</f>
        <v>#N/A</v>
      </c>
      <c r="B101" s="82" t="str">
        <f t="array" ref="B101">XLOOKUP($E101,'Player Database'!$B$2:$B252,'Player Database'!$E$2:$E252)</f>
        <v>#N/A</v>
      </c>
      <c r="C101" s="82" t="str">
        <f t="array" ref="C101">XLOOKUP($E101,'Player Database'!$B$2:$B252,'Player Database'!$F$2:$F252)</f>
        <v>#N/A</v>
      </c>
      <c r="D101" s="81">
        <f>IFERROR(__xludf.DUMMYFUNCTION("""COMPUTED_VALUE"""),1.0)</f>
        <v>1</v>
      </c>
      <c r="E101" s="41"/>
      <c r="F101" s="42" t="str">
        <f t="array" ref="F101">XLOOKUP($E101,'Player Database'!$B$2:$B252,'Player Database'!$K$2:$K252)</f>
        <v>#N/A</v>
      </c>
      <c r="G101" s="42" t="str">
        <f t="array" ref="G101">XLOOKUP($E101,'Player Database'!$B$2:$B252,'Player Database'!$AE$2:$AE252)</f>
        <v>#N/A</v>
      </c>
      <c r="H101" s="42" t="str">
        <f t="array" ref="H101">XLOOKUP($E101,'Player Database'!$B$2:$B252,'Player Database'!$H$2:$H252)</f>
        <v>#N/A</v>
      </c>
      <c r="I101" s="42" t="str">
        <f t="array" ref="I101">XLOOKUP($E101,'Player Database'!$B$2:$B252,'Player Database'!$O$2:$O252)</f>
        <v>#N/A</v>
      </c>
      <c r="J101" s="42" t="str">
        <f t="array" ref="J101">XLOOKUP($E101,'Player Database'!$B$2:$B252,'Player Database'!$P$2:$P252)</f>
        <v>#N/A</v>
      </c>
      <c r="K101" s="44" t="str">
        <f t="array" ref="K101">XLOOKUP($E101,'Player Database'!$B$2:$B252,'Player Database'!$U$2:$U252)</f>
        <v>#N/A</v>
      </c>
      <c r="L101" s="47" t="str">
        <f t="array" ref="L101">XLOOKUP($E101,'Player Database'!$B$2:$B252,'Player Database'!$W$2:$W252)</f>
        <v>#N/A</v>
      </c>
      <c r="M101" s="48" t="str">
        <f t="shared" si="1"/>
        <v>0 - 0</v>
      </c>
      <c r="N101" s="50" t="str">
        <f t="array" ref="N101">IF(XLOOKUP($E101,'Player Database'!$B$2:$B252,'Player Database'!$AA$2:$AA252)="",XLOOKUP($E101,'Player Database'!$B$2:$B252,'Player Database'!$G$2:$G252),XLOOKUP($E101,'Player Database'!$B$2:$B252,'Player Database'!$AA$2:$AA252))</f>
        <v>#N/A</v>
      </c>
      <c r="O101" s="51">
        <f>COUNTIFs(Matches!$B:$B,E101,Matches!$A:$A,"&gt;"&amp;Q101,Matches!$A:$A,"&lt;"&amp;R101)</f>
        <v>0</v>
      </c>
      <c r="P101" s="51">
        <f>COUNTIFs(Matches!$C:$C,E101,Matches!$A:$A,"&gt;"&amp;Q101,Matches!$A:$A,"&lt;"&amp;R101)</f>
        <v>0</v>
      </c>
      <c r="Q101" s="52">
        <f>VLOOKUP($C$2,Quotas!$A$7:$E$14,2,FALSE)</f>
        <v>46171.70833</v>
      </c>
      <c r="R101" s="52">
        <f>VLOOKUP($C$2,Quotas!$A$7:$E$14,3,FALSE)</f>
        <v>46178.70833</v>
      </c>
    </row>
    <row r="102">
      <c r="A102" s="82" t="str">
        <f t="array" ref="A102">XLOOKUP($E102,'Player Database'!$B$2:$B252,'Player Database'!$C$2:$C252)</f>
        <v>#N/A</v>
      </c>
      <c r="B102" s="82" t="str">
        <f t="array" ref="B102">XLOOKUP($E102,'Player Database'!$B$2:$B252,'Player Database'!$E$2:$E252)</f>
        <v>#N/A</v>
      </c>
      <c r="C102" s="82" t="str">
        <f t="array" ref="C102">XLOOKUP($E102,'Player Database'!$B$2:$B252,'Player Database'!$F$2:$F252)</f>
        <v>#N/A</v>
      </c>
      <c r="D102" s="81">
        <f>IFERROR(__xludf.DUMMYFUNCTION("""COMPUTED_VALUE"""),1.0)</f>
        <v>1</v>
      </c>
      <c r="E102" s="41"/>
      <c r="F102" s="42" t="str">
        <f t="array" ref="F102">XLOOKUP($E102,'Player Database'!$B$2:$B252,'Player Database'!$K$2:$K252)</f>
        <v>#N/A</v>
      </c>
      <c r="G102" s="42" t="str">
        <f t="array" ref="G102">XLOOKUP($E102,'Player Database'!$B$2:$B252,'Player Database'!$AE$2:$AE252)</f>
        <v>#N/A</v>
      </c>
      <c r="H102" s="42" t="str">
        <f t="array" ref="H102">XLOOKUP($E102,'Player Database'!$B$2:$B252,'Player Database'!$H$2:$H252)</f>
        <v>#N/A</v>
      </c>
      <c r="I102" s="42" t="str">
        <f t="array" ref="I102">XLOOKUP($E102,'Player Database'!$B$2:$B252,'Player Database'!$O$2:$O252)</f>
        <v>#N/A</v>
      </c>
      <c r="J102" s="42" t="str">
        <f t="array" ref="J102">XLOOKUP($E102,'Player Database'!$B$2:$B252,'Player Database'!$P$2:$P252)</f>
        <v>#N/A</v>
      </c>
      <c r="K102" s="44" t="str">
        <f t="array" ref="K102">XLOOKUP($E102,'Player Database'!$B$2:$B252,'Player Database'!$U$2:$U252)</f>
        <v>#N/A</v>
      </c>
      <c r="L102" s="47" t="str">
        <f t="array" ref="L102">XLOOKUP($E102,'Player Database'!$B$2:$B252,'Player Database'!$W$2:$W252)</f>
        <v>#N/A</v>
      </c>
      <c r="M102" s="48" t="str">
        <f t="shared" si="1"/>
        <v>0 - 0</v>
      </c>
      <c r="N102" s="50" t="str">
        <f t="array" ref="N102">IF(XLOOKUP($E102,'Player Database'!$B$2:$B252,'Player Database'!$AA$2:$AA252)="",XLOOKUP($E102,'Player Database'!$B$2:$B252,'Player Database'!$G$2:$G252),XLOOKUP($E102,'Player Database'!$B$2:$B252,'Player Database'!$AA$2:$AA252))</f>
        <v>#N/A</v>
      </c>
      <c r="O102" s="51">
        <f>COUNTIFs(Matches!$B:$B,E102,Matches!$A:$A,"&gt;"&amp;Q102,Matches!$A:$A,"&lt;"&amp;R102)</f>
        <v>0</v>
      </c>
      <c r="P102" s="51">
        <f>COUNTIFs(Matches!$C:$C,E102,Matches!$A:$A,"&gt;"&amp;Q102,Matches!$A:$A,"&lt;"&amp;R102)</f>
        <v>0</v>
      </c>
      <c r="Q102" s="52">
        <f>VLOOKUP($C$2,Quotas!$A$7:$E$14,2,FALSE)</f>
        <v>46171.70833</v>
      </c>
      <c r="R102" s="52">
        <f>VLOOKUP($C$2,Quotas!$A$7:$E$14,3,FALSE)</f>
        <v>46178.70833</v>
      </c>
    </row>
    <row r="103">
      <c r="A103" s="82" t="str">
        <f t="array" ref="A103">XLOOKUP($E103,'Player Database'!$B$2:$B252,'Player Database'!$C$2:$C252)</f>
        <v>#N/A</v>
      </c>
      <c r="B103" s="82" t="str">
        <f t="array" ref="B103">XLOOKUP($E103,'Player Database'!$B$2:$B252,'Player Database'!$E$2:$E252)</f>
        <v>#N/A</v>
      </c>
      <c r="C103" s="82" t="str">
        <f t="array" ref="C103">XLOOKUP($E103,'Player Database'!$B$2:$B252,'Player Database'!$F$2:$F252)</f>
        <v>#N/A</v>
      </c>
      <c r="D103" s="81">
        <f>IFERROR(__xludf.DUMMYFUNCTION("""COMPUTED_VALUE"""),1.0)</f>
        <v>1</v>
      </c>
      <c r="E103" s="41"/>
      <c r="F103" s="42" t="str">
        <f t="array" ref="F103">XLOOKUP($E103,'Player Database'!$B$2:$B252,'Player Database'!$K$2:$K252)</f>
        <v>#N/A</v>
      </c>
      <c r="G103" s="42" t="str">
        <f t="array" ref="G103">XLOOKUP($E103,'Player Database'!$B$2:$B252,'Player Database'!$AE$2:$AE252)</f>
        <v>#N/A</v>
      </c>
      <c r="H103" s="42" t="str">
        <f t="array" ref="H103">XLOOKUP($E103,'Player Database'!$B$2:$B252,'Player Database'!$H$2:$H252)</f>
        <v>#N/A</v>
      </c>
      <c r="I103" s="42" t="str">
        <f t="array" ref="I103">XLOOKUP($E103,'Player Database'!$B$2:$B252,'Player Database'!$O$2:$O252)</f>
        <v>#N/A</v>
      </c>
      <c r="J103" s="42" t="str">
        <f t="array" ref="J103">XLOOKUP($E103,'Player Database'!$B$2:$B252,'Player Database'!$P$2:$P252)</f>
        <v>#N/A</v>
      </c>
      <c r="K103" s="44" t="str">
        <f t="array" ref="K103">XLOOKUP($E103,'Player Database'!$B$2:$B252,'Player Database'!$U$2:$U252)</f>
        <v>#N/A</v>
      </c>
      <c r="L103" s="47" t="str">
        <f t="array" ref="L103">XLOOKUP($E103,'Player Database'!$B$2:$B252,'Player Database'!$W$2:$W252)</f>
        <v>#N/A</v>
      </c>
      <c r="M103" s="48" t="str">
        <f t="shared" si="1"/>
        <v>0 - 0</v>
      </c>
      <c r="N103" s="50" t="str">
        <f t="array" ref="N103">IF(XLOOKUP($E103,'Player Database'!$B$2:$B252,'Player Database'!$AA$2:$AA252)="",XLOOKUP($E103,'Player Database'!$B$2:$B252,'Player Database'!$G$2:$G252),XLOOKUP($E103,'Player Database'!$B$2:$B252,'Player Database'!$AA$2:$AA252))</f>
        <v>#N/A</v>
      </c>
      <c r="O103" s="51">
        <f>COUNTIFs(Matches!$B:$B,E103,Matches!$A:$A,"&gt;"&amp;Q103,Matches!$A:$A,"&lt;"&amp;R103)</f>
        <v>0</v>
      </c>
      <c r="P103" s="51">
        <f>COUNTIFs(Matches!$C:$C,E103,Matches!$A:$A,"&gt;"&amp;Q103,Matches!$A:$A,"&lt;"&amp;R103)</f>
        <v>0</v>
      </c>
      <c r="Q103" s="52">
        <f>VLOOKUP($C$2,Quotas!$A$7:$E$14,2,FALSE)</f>
        <v>46171.70833</v>
      </c>
      <c r="R103" s="52">
        <f>VLOOKUP($C$2,Quotas!$A$7:$E$14,3,FALSE)</f>
        <v>46178.70833</v>
      </c>
    </row>
    <row r="104">
      <c r="A104" s="82" t="str">
        <f t="array" ref="A104">XLOOKUP($E104,'Player Database'!$B$2:$B252,'Player Database'!$C$2:$C252)</f>
        <v>#N/A</v>
      </c>
      <c r="B104" s="82" t="str">
        <f t="array" ref="B104">XLOOKUP($E104,'Player Database'!$B$2:$B252,'Player Database'!$E$2:$E252)</f>
        <v>#N/A</v>
      </c>
      <c r="C104" s="82" t="str">
        <f t="array" ref="C104">XLOOKUP($E104,'Player Database'!$B$2:$B252,'Player Database'!$F$2:$F252)</f>
        <v>#N/A</v>
      </c>
      <c r="D104" s="81">
        <f>IFERROR(__xludf.DUMMYFUNCTION("""COMPUTED_VALUE"""),1.0)</f>
        <v>1</v>
      </c>
      <c r="E104" s="41"/>
      <c r="F104" s="42" t="str">
        <f t="array" ref="F104">XLOOKUP($E104,'Player Database'!$B$2:$B252,'Player Database'!$K$2:$K252)</f>
        <v>#N/A</v>
      </c>
      <c r="G104" s="42" t="str">
        <f t="array" ref="G104">XLOOKUP($E104,'Player Database'!$B$2:$B252,'Player Database'!$AE$2:$AE252)</f>
        <v>#N/A</v>
      </c>
      <c r="H104" s="42" t="str">
        <f t="array" ref="H104">XLOOKUP($E104,'Player Database'!$B$2:$B252,'Player Database'!$H$2:$H252)</f>
        <v>#N/A</v>
      </c>
      <c r="I104" s="42" t="str">
        <f t="array" ref="I104">XLOOKUP($E104,'Player Database'!$B$2:$B252,'Player Database'!$O$2:$O252)</f>
        <v>#N/A</v>
      </c>
      <c r="J104" s="42" t="str">
        <f t="array" ref="J104">XLOOKUP($E104,'Player Database'!$B$2:$B252,'Player Database'!$P$2:$P252)</f>
        <v>#N/A</v>
      </c>
      <c r="K104" s="44" t="str">
        <f t="array" ref="K104">XLOOKUP($E104,'Player Database'!$B$2:$B252,'Player Database'!$U$2:$U252)</f>
        <v>#N/A</v>
      </c>
      <c r="L104" s="47" t="str">
        <f t="array" ref="L104">XLOOKUP($E104,'Player Database'!$B$2:$B252,'Player Database'!$W$2:$W252)</f>
        <v>#N/A</v>
      </c>
      <c r="M104" s="48" t="str">
        <f t="shared" si="1"/>
        <v>0 - 0</v>
      </c>
      <c r="N104" s="50" t="str">
        <f t="array" ref="N104">IF(XLOOKUP($E104,'Player Database'!$B$2:$B252,'Player Database'!$AA$2:$AA252)="",XLOOKUP($E104,'Player Database'!$B$2:$B252,'Player Database'!$G$2:$G252),XLOOKUP($E104,'Player Database'!$B$2:$B252,'Player Database'!$AA$2:$AA252))</f>
        <v>#N/A</v>
      </c>
      <c r="O104" s="51">
        <f>COUNTIFs(Matches!$B:$B,E104,Matches!$A:$A,"&gt;"&amp;Q104,Matches!$A:$A,"&lt;"&amp;R104)</f>
        <v>0</v>
      </c>
      <c r="P104" s="51">
        <f>COUNTIFs(Matches!$C:$C,E104,Matches!$A:$A,"&gt;"&amp;Q104,Matches!$A:$A,"&lt;"&amp;R104)</f>
        <v>0</v>
      </c>
      <c r="Q104" s="52">
        <f>VLOOKUP($C$2,Quotas!$A$7:$E$14,2,FALSE)</f>
        <v>46171.70833</v>
      </c>
      <c r="R104" s="52">
        <f>VLOOKUP($C$2,Quotas!$A$7:$E$14,3,FALSE)</f>
        <v>46178.70833</v>
      </c>
    </row>
    <row r="105">
      <c r="A105" s="82" t="str">
        <f t="array" ref="A105">XLOOKUP($E105,'Player Database'!$B$2:$B252,'Player Database'!$C$2:$C252)</f>
        <v>#N/A</v>
      </c>
      <c r="B105" s="82" t="str">
        <f t="array" ref="B105">XLOOKUP($E105,'Player Database'!$B$2:$B252,'Player Database'!$E$2:$E252)</f>
        <v>#N/A</v>
      </c>
      <c r="C105" s="82" t="str">
        <f t="array" ref="C105">XLOOKUP($E105,'Player Database'!$B$2:$B252,'Player Database'!$F$2:$F252)</f>
        <v>#N/A</v>
      </c>
      <c r="D105" s="81">
        <f>IFERROR(__xludf.DUMMYFUNCTION("""COMPUTED_VALUE"""),1.0)</f>
        <v>1</v>
      </c>
      <c r="E105" s="41"/>
      <c r="F105" s="42" t="str">
        <f t="array" ref="F105">XLOOKUP($E105,'Player Database'!$B$2:$B252,'Player Database'!$K$2:$K252)</f>
        <v>#N/A</v>
      </c>
      <c r="G105" s="42" t="str">
        <f t="array" ref="G105">XLOOKUP($E105,'Player Database'!$B$2:$B252,'Player Database'!$AE$2:$AE252)</f>
        <v>#N/A</v>
      </c>
      <c r="H105" s="42" t="str">
        <f t="array" ref="H105">XLOOKUP($E105,'Player Database'!$B$2:$B252,'Player Database'!$H$2:$H252)</f>
        <v>#N/A</v>
      </c>
      <c r="I105" s="42" t="str">
        <f t="array" ref="I105">XLOOKUP($E105,'Player Database'!$B$2:$B252,'Player Database'!$O$2:$O252)</f>
        <v>#N/A</v>
      </c>
      <c r="J105" s="42" t="str">
        <f t="array" ref="J105">XLOOKUP($E105,'Player Database'!$B$2:$B252,'Player Database'!$P$2:$P252)</f>
        <v>#N/A</v>
      </c>
      <c r="K105" s="44" t="str">
        <f t="array" ref="K105">XLOOKUP($E105,'Player Database'!$B$2:$B252,'Player Database'!$U$2:$U252)</f>
        <v>#N/A</v>
      </c>
      <c r="L105" s="47" t="str">
        <f t="array" ref="L105">XLOOKUP($E105,'Player Database'!$B$2:$B252,'Player Database'!$W$2:$W252)</f>
        <v>#N/A</v>
      </c>
      <c r="M105" s="48" t="str">
        <f t="shared" si="1"/>
        <v>0 - 0</v>
      </c>
      <c r="N105" s="50" t="str">
        <f t="array" ref="N105">IF(XLOOKUP($E105,'Player Database'!$B$2:$B252,'Player Database'!$AA$2:$AA252)="",XLOOKUP($E105,'Player Database'!$B$2:$B252,'Player Database'!$G$2:$G252),XLOOKUP($E105,'Player Database'!$B$2:$B252,'Player Database'!$AA$2:$AA252))</f>
        <v>#N/A</v>
      </c>
      <c r="O105" s="51">
        <f>COUNTIFs(Matches!$B:$B,E105,Matches!$A:$A,"&gt;"&amp;Q105,Matches!$A:$A,"&lt;"&amp;R105)</f>
        <v>0</v>
      </c>
      <c r="P105" s="51">
        <f>COUNTIFs(Matches!$C:$C,E105,Matches!$A:$A,"&gt;"&amp;Q105,Matches!$A:$A,"&lt;"&amp;R105)</f>
        <v>0</v>
      </c>
      <c r="Q105" s="52">
        <f>VLOOKUP($C$2,Quotas!$A$7:$E$14,2,FALSE)</f>
        <v>46171.70833</v>
      </c>
      <c r="R105" s="52">
        <f>VLOOKUP($C$2,Quotas!$A$7:$E$14,3,FALSE)</f>
        <v>46178.70833</v>
      </c>
    </row>
    <row r="106">
      <c r="A106" s="82" t="str">
        <f t="array" ref="A106">XLOOKUP($E106,'Player Database'!$B$2:$B252,'Player Database'!$C$2:$C252)</f>
        <v>#N/A</v>
      </c>
      <c r="B106" s="82" t="str">
        <f t="array" ref="B106">XLOOKUP($E106,'Player Database'!$B$2:$B252,'Player Database'!$E$2:$E252)</f>
        <v>#N/A</v>
      </c>
      <c r="C106" s="82" t="str">
        <f t="array" ref="C106">XLOOKUP($E106,'Player Database'!$B$2:$B252,'Player Database'!$F$2:$F252)</f>
        <v>#N/A</v>
      </c>
      <c r="D106" s="81">
        <f>IFERROR(__xludf.DUMMYFUNCTION("""COMPUTED_VALUE"""),1.0)</f>
        <v>1</v>
      </c>
      <c r="E106" s="41"/>
      <c r="F106" s="42" t="str">
        <f t="array" ref="F106">XLOOKUP($E106,'Player Database'!$B$2:$B252,'Player Database'!$K$2:$K252)</f>
        <v>#N/A</v>
      </c>
      <c r="G106" s="42" t="str">
        <f t="array" ref="G106">XLOOKUP($E106,'Player Database'!$B$2:$B252,'Player Database'!$AE$2:$AE252)</f>
        <v>#N/A</v>
      </c>
      <c r="H106" s="42" t="str">
        <f t="array" ref="H106">XLOOKUP($E106,'Player Database'!$B$2:$B252,'Player Database'!$H$2:$H252)</f>
        <v>#N/A</v>
      </c>
      <c r="I106" s="42" t="str">
        <f t="array" ref="I106">XLOOKUP($E106,'Player Database'!$B$2:$B252,'Player Database'!$O$2:$O252)</f>
        <v>#N/A</v>
      </c>
      <c r="J106" s="42" t="str">
        <f t="array" ref="J106">XLOOKUP($E106,'Player Database'!$B$2:$B252,'Player Database'!$P$2:$P252)</f>
        <v>#N/A</v>
      </c>
      <c r="K106" s="44" t="str">
        <f t="array" ref="K106">XLOOKUP($E106,'Player Database'!$B$2:$B252,'Player Database'!$U$2:$U252)</f>
        <v>#N/A</v>
      </c>
      <c r="L106" s="47" t="str">
        <f t="array" ref="L106">XLOOKUP($E106,'Player Database'!$B$2:$B252,'Player Database'!$W$2:$W252)</f>
        <v>#N/A</v>
      </c>
      <c r="M106" s="48" t="str">
        <f t="shared" si="1"/>
        <v>0 - 0</v>
      </c>
      <c r="N106" s="50" t="str">
        <f t="array" ref="N106">IF(XLOOKUP($E106,'Player Database'!$B$2:$B252,'Player Database'!$AA$2:$AA252)="",XLOOKUP($E106,'Player Database'!$B$2:$B252,'Player Database'!$G$2:$G252),XLOOKUP($E106,'Player Database'!$B$2:$B252,'Player Database'!$AA$2:$AA252))</f>
        <v>#N/A</v>
      </c>
      <c r="O106" s="51">
        <f>COUNTIFs(Matches!$B:$B,E106,Matches!$A:$A,"&gt;"&amp;Q106,Matches!$A:$A,"&lt;"&amp;R106)</f>
        <v>0</v>
      </c>
      <c r="P106" s="51">
        <f>COUNTIFs(Matches!$C:$C,E106,Matches!$A:$A,"&gt;"&amp;Q106,Matches!$A:$A,"&lt;"&amp;R106)</f>
        <v>0</v>
      </c>
      <c r="Q106" s="52">
        <f>VLOOKUP($C$2,Quotas!$A$7:$E$14,2,FALSE)</f>
        <v>46171.70833</v>
      </c>
      <c r="R106" s="52">
        <f>VLOOKUP($C$2,Quotas!$A$7:$E$14,3,FALSE)</f>
        <v>46178.70833</v>
      </c>
    </row>
    <row r="107">
      <c r="A107" s="82" t="str">
        <f t="array" ref="A107">XLOOKUP($E107,'Player Database'!$B$2:$B252,'Player Database'!$C$2:$C252)</f>
        <v>#N/A</v>
      </c>
      <c r="B107" s="82" t="str">
        <f t="array" ref="B107">XLOOKUP($E107,'Player Database'!$B$2:$B252,'Player Database'!$E$2:$E252)</f>
        <v>#N/A</v>
      </c>
      <c r="C107" s="82" t="str">
        <f t="array" ref="C107">XLOOKUP($E107,'Player Database'!$B$2:$B252,'Player Database'!$F$2:$F252)</f>
        <v>#N/A</v>
      </c>
      <c r="D107" s="81">
        <f>IFERROR(__xludf.DUMMYFUNCTION("""COMPUTED_VALUE"""),1.0)</f>
        <v>1</v>
      </c>
      <c r="E107" s="41"/>
      <c r="F107" s="42" t="str">
        <f t="array" ref="F107">XLOOKUP($E107,'Player Database'!$B$2:$B252,'Player Database'!$K$2:$K252)</f>
        <v>#N/A</v>
      </c>
      <c r="G107" s="42" t="str">
        <f t="array" ref="G107">XLOOKUP($E107,'Player Database'!$B$2:$B252,'Player Database'!$AE$2:$AE252)</f>
        <v>#N/A</v>
      </c>
      <c r="H107" s="42" t="str">
        <f t="array" ref="H107">XLOOKUP($E107,'Player Database'!$B$2:$B252,'Player Database'!$H$2:$H252)</f>
        <v>#N/A</v>
      </c>
      <c r="I107" s="42" t="str">
        <f t="array" ref="I107">XLOOKUP($E107,'Player Database'!$B$2:$B252,'Player Database'!$O$2:$O252)</f>
        <v>#N/A</v>
      </c>
      <c r="J107" s="42" t="str">
        <f t="array" ref="J107">XLOOKUP($E107,'Player Database'!$B$2:$B252,'Player Database'!$P$2:$P252)</f>
        <v>#N/A</v>
      </c>
      <c r="K107" s="44" t="str">
        <f t="array" ref="K107">XLOOKUP($E107,'Player Database'!$B$2:$B252,'Player Database'!$U$2:$U252)</f>
        <v>#N/A</v>
      </c>
      <c r="L107" s="47" t="str">
        <f t="array" ref="L107">XLOOKUP($E107,'Player Database'!$B$2:$B252,'Player Database'!$W$2:$W252)</f>
        <v>#N/A</v>
      </c>
      <c r="M107" s="48" t="str">
        <f t="shared" si="1"/>
        <v>0 - 0</v>
      </c>
      <c r="N107" s="50" t="str">
        <f t="array" ref="N107">IF(XLOOKUP($E107,'Player Database'!$B$2:$B252,'Player Database'!$AA$2:$AA252)="",XLOOKUP($E107,'Player Database'!$B$2:$B252,'Player Database'!$G$2:$G252),XLOOKUP($E107,'Player Database'!$B$2:$B252,'Player Database'!$AA$2:$AA252))</f>
        <v>#N/A</v>
      </c>
      <c r="O107" s="51">
        <f>COUNTIFs(Matches!$B:$B,E107,Matches!$A:$A,"&gt;"&amp;Q107,Matches!$A:$A,"&lt;"&amp;R107)</f>
        <v>0</v>
      </c>
      <c r="P107" s="51">
        <f>COUNTIFs(Matches!$C:$C,E107,Matches!$A:$A,"&gt;"&amp;Q107,Matches!$A:$A,"&lt;"&amp;R107)</f>
        <v>0</v>
      </c>
      <c r="Q107" s="52">
        <f>VLOOKUP($C$2,Quotas!$A$7:$E$14,2,FALSE)</f>
        <v>46171.70833</v>
      </c>
      <c r="R107" s="52">
        <f>VLOOKUP($C$2,Quotas!$A$7:$E$14,3,FALSE)</f>
        <v>46178.70833</v>
      </c>
    </row>
    <row r="108">
      <c r="A108" s="82" t="str">
        <f t="array" ref="A108">XLOOKUP($E108,'Player Database'!$B$2:$B252,'Player Database'!$C$2:$C252)</f>
        <v>#N/A</v>
      </c>
      <c r="B108" s="82" t="str">
        <f t="array" ref="B108">XLOOKUP($E108,'Player Database'!$B$2:$B252,'Player Database'!$E$2:$E252)</f>
        <v>#N/A</v>
      </c>
      <c r="C108" s="82" t="str">
        <f t="array" ref="C108">XLOOKUP($E108,'Player Database'!$B$2:$B252,'Player Database'!$F$2:$F252)</f>
        <v>#N/A</v>
      </c>
      <c r="D108" s="81">
        <f>IFERROR(__xludf.DUMMYFUNCTION("""COMPUTED_VALUE"""),1.0)</f>
        <v>1</v>
      </c>
      <c r="E108" s="41"/>
      <c r="F108" s="42" t="str">
        <f t="array" ref="F108">XLOOKUP($E108,'Player Database'!$B$2:$B252,'Player Database'!$K$2:$K252)</f>
        <v>#N/A</v>
      </c>
      <c r="G108" s="42" t="str">
        <f t="array" ref="G108">XLOOKUP($E108,'Player Database'!$B$2:$B252,'Player Database'!$AE$2:$AE252)</f>
        <v>#N/A</v>
      </c>
      <c r="H108" s="42" t="str">
        <f t="array" ref="H108">XLOOKUP($E108,'Player Database'!$B$2:$B252,'Player Database'!$H$2:$H252)</f>
        <v>#N/A</v>
      </c>
      <c r="I108" s="42" t="str">
        <f t="array" ref="I108">XLOOKUP($E108,'Player Database'!$B$2:$B252,'Player Database'!$O$2:$O252)</f>
        <v>#N/A</v>
      </c>
      <c r="J108" s="42" t="str">
        <f t="array" ref="J108">XLOOKUP($E108,'Player Database'!$B$2:$B252,'Player Database'!$P$2:$P252)</f>
        <v>#N/A</v>
      </c>
      <c r="K108" s="44" t="str">
        <f t="array" ref="K108">XLOOKUP($E108,'Player Database'!$B$2:$B252,'Player Database'!$U$2:$U252)</f>
        <v>#N/A</v>
      </c>
      <c r="L108" s="47" t="str">
        <f t="array" ref="L108">XLOOKUP($E108,'Player Database'!$B$2:$B252,'Player Database'!$W$2:$W252)</f>
        <v>#N/A</v>
      </c>
      <c r="M108" s="48" t="str">
        <f t="shared" si="1"/>
        <v>0 - 0</v>
      </c>
      <c r="N108" s="50" t="str">
        <f t="array" ref="N108">IF(XLOOKUP($E108,'Player Database'!$B$2:$B252,'Player Database'!$AA$2:$AA252)="",XLOOKUP($E108,'Player Database'!$B$2:$B252,'Player Database'!$G$2:$G252),XLOOKUP($E108,'Player Database'!$B$2:$B252,'Player Database'!$AA$2:$AA252))</f>
        <v>#N/A</v>
      </c>
      <c r="O108" s="51">
        <f>COUNTIFs(Matches!$B:$B,E108,Matches!$A:$A,"&gt;"&amp;Q108,Matches!$A:$A,"&lt;"&amp;R108)</f>
        <v>0</v>
      </c>
      <c r="P108" s="51">
        <f>COUNTIFs(Matches!$C:$C,E108,Matches!$A:$A,"&gt;"&amp;Q108,Matches!$A:$A,"&lt;"&amp;R108)</f>
        <v>0</v>
      </c>
      <c r="Q108" s="52">
        <f>VLOOKUP($C$2,Quotas!$A$7:$E$14,2,FALSE)</f>
        <v>46171.70833</v>
      </c>
      <c r="R108" s="52">
        <f>VLOOKUP($C$2,Quotas!$A$7:$E$14,3,FALSE)</f>
        <v>46178.70833</v>
      </c>
    </row>
    <row r="109">
      <c r="A109" s="82" t="str">
        <f t="array" ref="A109">XLOOKUP($E109,'Player Database'!$B$2:$B252,'Player Database'!$C$2:$C252)</f>
        <v>#N/A</v>
      </c>
      <c r="B109" s="82" t="str">
        <f t="array" ref="B109">XLOOKUP($E109,'Player Database'!$B$2:$B252,'Player Database'!$E$2:$E252)</f>
        <v>#N/A</v>
      </c>
      <c r="C109" s="82" t="str">
        <f t="array" ref="C109">XLOOKUP($E109,'Player Database'!$B$2:$B252,'Player Database'!$F$2:$F252)</f>
        <v>#N/A</v>
      </c>
      <c r="D109" s="81">
        <f>IFERROR(__xludf.DUMMYFUNCTION("""COMPUTED_VALUE"""),1.0)</f>
        <v>1</v>
      </c>
      <c r="E109" s="41"/>
      <c r="F109" s="42" t="str">
        <f t="array" ref="F109">XLOOKUP($E109,'Player Database'!$B$2:$B252,'Player Database'!$K$2:$K252)</f>
        <v>#N/A</v>
      </c>
      <c r="G109" s="42" t="str">
        <f t="array" ref="G109">XLOOKUP($E109,'Player Database'!$B$2:$B252,'Player Database'!$AE$2:$AE252)</f>
        <v>#N/A</v>
      </c>
      <c r="H109" s="42" t="str">
        <f t="array" ref="H109">XLOOKUP($E109,'Player Database'!$B$2:$B252,'Player Database'!$H$2:$H252)</f>
        <v>#N/A</v>
      </c>
      <c r="I109" s="42" t="str">
        <f t="array" ref="I109">XLOOKUP($E109,'Player Database'!$B$2:$B252,'Player Database'!$O$2:$O252)</f>
        <v>#N/A</v>
      </c>
      <c r="J109" s="42" t="str">
        <f t="array" ref="J109">XLOOKUP($E109,'Player Database'!$B$2:$B252,'Player Database'!$P$2:$P252)</f>
        <v>#N/A</v>
      </c>
      <c r="K109" s="44" t="str">
        <f t="array" ref="K109">XLOOKUP($E109,'Player Database'!$B$2:$B252,'Player Database'!$U$2:$U252)</f>
        <v>#N/A</v>
      </c>
      <c r="L109" s="47" t="str">
        <f t="array" ref="L109">XLOOKUP($E109,'Player Database'!$B$2:$B252,'Player Database'!$W$2:$W252)</f>
        <v>#N/A</v>
      </c>
      <c r="M109" s="48" t="str">
        <f t="shared" si="1"/>
        <v>0 - 0</v>
      </c>
      <c r="N109" s="50" t="str">
        <f t="array" ref="N109">IF(XLOOKUP($E109,'Player Database'!$B$2:$B252,'Player Database'!$AA$2:$AA252)="",XLOOKUP($E109,'Player Database'!$B$2:$B252,'Player Database'!$G$2:$G252),XLOOKUP($E109,'Player Database'!$B$2:$B252,'Player Database'!$AA$2:$AA252))</f>
        <v>#N/A</v>
      </c>
      <c r="O109" s="51">
        <f>COUNTIFs(Matches!$B:$B,E109,Matches!$A:$A,"&gt;"&amp;Q109,Matches!$A:$A,"&lt;"&amp;R109)</f>
        <v>0</v>
      </c>
      <c r="P109" s="51">
        <f>COUNTIFs(Matches!$C:$C,E109,Matches!$A:$A,"&gt;"&amp;Q109,Matches!$A:$A,"&lt;"&amp;R109)</f>
        <v>0</v>
      </c>
      <c r="Q109" s="52">
        <f>VLOOKUP($C$2,Quotas!$A$7:$E$14,2,FALSE)</f>
        <v>46171.70833</v>
      </c>
      <c r="R109" s="52">
        <f>VLOOKUP($C$2,Quotas!$A$7:$E$14,3,FALSE)</f>
        <v>46178.70833</v>
      </c>
    </row>
    <row r="110">
      <c r="A110" s="82" t="str">
        <f t="array" ref="A110">XLOOKUP($E110,'Player Database'!$B$2:$B252,'Player Database'!$C$2:$C252)</f>
        <v>#N/A</v>
      </c>
      <c r="B110" s="82" t="str">
        <f t="array" ref="B110">XLOOKUP($E110,'Player Database'!$B$2:$B252,'Player Database'!$E$2:$E252)</f>
        <v>#N/A</v>
      </c>
      <c r="C110" s="82" t="str">
        <f t="array" ref="C110">XLOOKUP($E110,'Player Database'!$B$2:$B252,'Player Database'!$F$2:$F252)</f>
        <v>#N/A</v>
      </c>
      <c r="D110" s="81">
        <f>IFERROR(__xludf.DUMMYFUNCTION("""COMPUTED_VALUE"""),1.0)</f>
        <v>1</v>
      </c>
      <c r="E110" s="41"/>
      <c r="F110" s="42" t="str">
        <f t="array" ref="F110">XLOOKUP($E110,'Player Database'!$B$2:$B252,'Player Database'!$K$2:$K252)</f>
        <v>#N/A</v>
      </c>
      <c r="G110" s="42" t="str">
        <f t="array" ref="G110">XLOOKUP($E110,'Player Database'!$B$2:$B252,'Player Database'!$AE$2:$AE252)</f>
        <v>#N/A</v>
      </c>
      <c r="H110" s="42" t="str">
        <f t="array" ref="H110">XLOOKUP($E110,'Player Database'!$B$2:$B252,'Player Database'!$H$2:$H252)</f>
        <v>#N/A</v>
      </c>
      <c r="I110" s="42" t="str">
        <f t="array" ref="I110">XLOOKUP($E110,'Player Database'!$B$2:$B252,'Player Database'!$O$2:$O252)</f>
        <v>#N/A</v>
      </c>
      <c r="J110" s="42" t="str">
        <f t="array" ref="J110">XLOOKUP($E110,'Player Database'!$B$2:$B252,'Player Database'!$P$2:$P252)</f>
        <v>#N/A</v>
      </c>
      <c r="K110" s="44" t="str">
        <f t="array" ref="K110">XLOOKUP($E110,'Player Database'!$B$2:$B252,'Player Database'!$U$2:$U252)</f>
        <v>#N/A</v>
      </c>
      <c r="L110" s="47" t="str">
        <f t="array" ref="L110">XLOOKUP($E110,'Player Database'!$B$2:$B252,'Player Database'!$W$2:$W252)</f>
        <v>#N/A</v>
      </c>
      <c r="M110" s="48" t="str">
        <f t="shared" si="1"/>
        <v>0 - 0</v>
      </c>
      <c r="N110" s="50" t="str">
        <f t="array" ref="N110">IF(XLOOKUP($E110,'Player Database'!$B$2:$B252,'Player Database'!$AA$2:$AA252)="",XLOOKUP($E110,'Player Database'!$B$2:$B252,'Player Database'!$G$2:$G252),XLOOKUP($E110,'Player Database'!$B$2:$B252,'Player Database'!$AA$2:$AA252))</f>
        <v>#N/A</v>
      </c>
      <c r="O110" s="51">
        <f>COUNTIFs(Matches!$B:$B,E110,Matches!$A:$A,"&gt;"&amp;Q110,Matches!$A:$A,"&lt;"&amp;R110)</f>
        <v>0</v>
      </c>
      <c r="P110" s="51">
        <f>COUNTIFs(Matches!$C:$C,E110,Matches!$A:$A,"&gt;"&amp;Q110,Matches!$A:$A,"&lt;"&amp;R110)</f>
        <v>0</v>
      </c>
      <c r="Q110" s="52">
        <f>VLOOKUP($C$2,Quotas!$A$7:$E$14,2,FALSE)</f>
        <v>46171.70833</v>
      </c>
      <c r="R110" s="52">
        <f>VLOOKUP($C$2,Quotas!$A$7:$E$14,3,FALSE)</f>
        <v>46178.70833</v>
      </c>
    </row>
    <row r="111">
      <c r="A111" s="82" t="str">
        <f t="array" ref="A111">XLOOKUP($E111,'Player Database'!$B$2:$B252,'Player Database'!$C$2:$C252)</f>
        <v>#N/A</v>
      </c>
      <c r="B111" s="82" t="str">
        <f t="array" ref="B111">XLOOKUP($E111,'Player Database'!$B$2:$B252,'Player Database'!$E$2:$E252)</f>
        <v>#N/A</v>
      </c>
      <c r="C111" s="82" t="str">
        <f t="array" ref="C111">XLOOKUP($E111,'Player Database'!$B$2:$B252,'Player Database'!$F$2:$F252)</f>
        <v>#N/A</v>
      </c>
      <c r="D111" s="81">
        <f>IFERROR(__xludf.DUMMYFUNCTION("""COMPUTED_VALUE"""),1.0)</f>
        <v>1</v>
      </c>
      <c r="E111" s="41"/>
      <c r="F111" s="42" t="str">
        <f t="array" ref="F111">XLOOKUP($E111,'Player Database'!$B$2:$B252,'Player Database'!$K$2:$K252)</f>
        <v>#N/A</v>
      </c>
      <c r="G111" s="42" t="str">
        <f t="array" ref="G111">XLOOKUP($E111,'Player Database'!$B$2:$B252,'Player Database'!$AE$2:$AE252)</f>
        <v>#N/A</v>
      </c>
      <c r="H111" s="42" t="str">
        <f t="array" ref="H111">XLOOKUP($E111,'Player Database'!$B$2:$B252,'Player Database'!$H$2:$H252)</f>
        <v>#N/A</v>
      </c>
      <c r="I111" s="42" t="str">
        <f t="array" ref="I111">XLOOKUP($E111,'Player Database'!$B$2:$B252,'Player Database'!$O$2:$O252)</f>
        <v>#N/A</v>
      </c>
      <c r="J111" s="42" t="str">
        <f t="array" ref="J111">XLOOKUP($E111,'Player Database'!$B$2:$B252,'Player Database'!$P$2:$P252)</f>
        <v>#N/A</v>
      </c>
      <c r="K111" s="44" t="str">
        <f t="array" ref="K111">XLOOKUP($E111,'Player Database'!$B$2:$B252,'Player Database'!$U$2:$U252)</f>
        <v>#N/A</v>
      </c>
      <c r="L111" s="47" t="str">
        <f t="array" ref="L111">XLOOKUP($E111,'Player Database'!$B$2:$B252,'Player Database'!$W$2:$W252)</f>
        <v>#N/A</v>
      </c>
      <c r="M111" s="48" t="str">
        <f t="shared" si="1"/>
        <v>0 - 0</v>
      </c>
      <c r="N111" s="50" t="str">
        <f t="array" ref="N111">IF(XLOOKUP($E111,'Player Database'!$B$2:$B252,'Player Database'!$AA$2:$AA252)="",XLOOKUP($E111,'Player Database'!$B$2:$B252,'Player Database'!$G$2:$G252),XLOOKUP($E111,'Player Database'!$B$2:$B252,'Player Database'!$AA$2:$AA252))</f>
        <v>#N/A</v>
      </c>
      <c r="O111" s="51">
        <f>COUNTIFs(Matches!$B:$B,E111,Matches!$A:$A,"&gt;"&amp;Q111,Matches!$A:$A,"&lt;"&amp;R111)</f>
        <v>0</v>
      </c>
      <c r="P111" s="51">
        <f>COUNTIFs(Matches!$C:$C,E111,Matches!$A:$A,"&gt;"&amp;Q111,Matches!$A:$A,"&lt;"&amp;R111)</f>
        <v>0</v>
      </c>
      <c r="Q111" s="52">
        <f>VLOOKUP($C$2,Quotas!$A$7:$E$14,2,FALSE)</f>
        <v>46171.70833</v>
      </c>
      <c r="R111" s="52">
        <f>VLOOKUP($C$2,Quotas!$A$7:$E$14,3,FALSE)</f>
        <v>46178.70833</v>
      </c>
    </row>
    <row r="112">
      <c r="A112" s="82" t="str">
        <f t="array" ref="A112">XLOOKUP($E112,'Player Database'!$B$2:$B252,'Player Database'!$C$2:$C252)</f>
        <v>#N/A</v>
      </c>
      <c r="B112" s="82" t="str">
        <f t="array" ref="B112">XLOOKUP($E112,'Player Database'!$B$2:$B252,'Player Database'!$E$2:$E252)</f>
        <v>#N/A</v>
      </c>
      <c r="C112" s="82" t="str">
        <f t="array" ref="C112">XLOOKUP($E112,'Player Database'!$B$2:$B252,'Player Database'!$F$2:$F252)</f>
        <v>#N/A</v>
      </c>
      <c r="D112" s="81">
        <f>IFERROR(__xludf.DUMMYFUNCTION("""COMPUTED_VALUE"""),1.0)</f>
        <v>1</v>
      </c>
      <c r="E112" s="41"/>
      <c r="F112" s="42" t="str">
        <f t="array" ref="F112">XLOOKUP($E112,'Player Database'!$B$2:$B252,'Player Database'!$K$2:$K252)</f>
        <v>#N/A</v>
      </c>
      <c r="G112" s="42" t="str">
        <f t="array" ref="G112">XLOOKUP($E112,'Player Database'!$B$2:$B252,'Player Database'!$AE$2:$AE252)</f>
        <v>#N/A</v>
      </c>
      <c r="H112" s="42" t="str">
        <f t="array" ref="H112">XLOOKUP($E112,'Player Database'!$B$2:$B252,'Player Database'!$H$2:$H252)</f>
        <v>#N/A</v>
      </c>
      <c r="I112" s="42" t="str">
        <f t="array" ref="I112">XLOOKUP($E112,'Player Database'!$B$2:$B252,'Player Database'!$O$2:$O252)</f>
        <v>#N/A</v>
      </c>
      <c r="J112" s="42" t="str">
        <f t="array" ref="J112">XLOOKUP($E112,'Player Database'!$B$2:$B252,'Player Database'!$P$2:$P252)</f>
        <v>#N/A</v>
      </c>
      <c r="K112" s="44" t="str">
        <f t="array" ref="K112">XLOOKUP($E112,'Player Database'!$B$2:$B252,'Player Database'!$U$2:$U252)</f>
        <v>#N/A</v>
      </c>
      <c r="L112" s="47" t="str">
        <f t="array" ref="L112">XLOOKUP($E112,'Player Database'!$B$2:$B252,'Player Database'!$W$2:$W252)</f>
        <v>#N/A</v>
      </c>
      <c r="M112" s="48" t="str">
        <f t="shared" si="1"/>
        <v>0 - 0</v>
      </c>
      <c r="N112" s="50" t="str">
        <f t="array" ref="N112">IF(XLOOKUP($E112,'Player Database'!$B$2:$B252,'Player Database'!$AA$2:$AA252)="",XLOOKUP($E112,'Player Database'!$B$2:$B252,'Player Database'!$G$2:$G252),XLOOKUP($E112,'Player Database'!$B$2:$B252,'Player Database'!$AA$2:$AA252))</f>
        <v>#N/A</v>
      </c>
      <c r="O112" s="51">
        <f>COUNTIFs(Matches!$B:$B,E112,Matches!$A:$A,"&gt;"&amp;Q112,Matches!$A:$A,"&lt;"&amp;R112)</f>
        <v>0</v>
      </c>
      <c r="P112" s="51">
        <f>COUNTIFs(Matches!$C:$C,E112,Matches!$A:$A,"&gt;"&amp;Q112,Matches!$A:$A,"&lt;"&amp;R112)</f>
        <v>0</v>
      </c>
      <c r="Q112" s="52">
        <f>VLOOKUP($C$2,Quotas!$A$7:$E$14,2,FALSE)</f>
        <v>46171.70833</v>
      </c>
      <c r="R112" s="52">
        <f>VLOOKUP($C$2,Quotas!$A$7:$E$14,3,FALSE)</f>
        <v>46178.70833</v>
      </c>
    </row>
    <row r="113">
      <c r="A113" s="82" t="str">
        <f t="array" ref="A113">XLOOKUP($E113,'Player Database'!$B$2:$B252,'Player Database'!$C$2:$C252)</f>
        <v>#N/A</v>
      </c>
      <c r="B113" s="82" t="str">
        <f t="array" ref="B113">XLOOKUP($E113,'Player Database'!$B$2:$B252,'Player Database'!$E$2:$E252)</f>
        <v>#N/A</v>
      </c>
      <c r="C113" s="82" t="str">
        <f t="array" ref="C113">XLOOKUP($E113,'Player Database'!$B$2:$B252,'Player Database'!$F$2:$F252)</f>
        <v>#N/A</v>
      </c>
      <c r="D113" s="81">
        <f>IFERROR(__xludf.DUMMYFUNCTION("""COMPUTED_VALUE"""),1.0)</f>
        <v>1</v>
      </c>
      <c r="E113" s="41"/>
      <c r="F113" s="42" t="str">
        <f t="array" ref="F113">XLOOKUP($E113,'Player Database'!$B$2:$B252,'Player Database'!$K$2:$K252)</f>
        <v>#N/A</v>
      </c>
      <c r="G113" s="42" t="str">
        <f t="array" ref="G113">XLOOKUP($E113,'Player Database'!$B$2:$B252,'Player Database'!$AE$2:$AE252)</f>
        <v>#N/A</v>
      </c>
      <c r="H113" s="42" t="str">
        <f t="array" ref="H113">XLOOKUP($E113,'Player Database'!$B$2:$B252,'Player Database'!$H$2:$H252)</f>
        <v>#N/A</v>
      </c>
      <c r="I113" s="42" t="str">
        <f t="array" ref="I113">XLOOKUP($E113,'Player Database'!$B$2:$B252,'Player Database'!$O$2:$O252)</f>
        <v>#N/A</v>
      </c>
      <c r="J113" s="42" t="str">
        <f t="array" ref="J113">XLOOKUP($E113,'Player Database'!$B$2:$B252,'Player Database'!$P$2:$P252)</f>
        <v>#N/A</v>
      </c>
      <c r="K113" s="44" t="str">
        <f t="array" ref="K113">XLOOKUP($E113,'Player Database'!$B$2:$B252,'Player Database'!$U$2:$U252)</f>
        <v>#N/A</v>
      </c>
      <c r="L113" s="47" t="str">
        <f t="array" ref="L113">XLOOKUP($E113,'Player Database'!$B$2:$B252,'Player Database'!$W$2:$W252)</f>
        <v>#N/A</v>
      </c>
      <c r="M113" s="48" t="str">
        <f t="shared" si="1"/>
        <v>0 - 0</v>
      </c>
      <c r="N113" s="50" t="str">
        <f t="array" ref="N113">IF(XLOOKUP($E113,'Player Database'!$B$2:$B252,'Player Database'!$AA$2:$AA252)="",XLOOKUP($E113,'Player Database'!$B$2:$B252,'Player Database'!$G$2:$G252),XLOOKUP($E113,'Player Database'!$B$2:$B252,'Player Database'!$AA$2:$AA252))</f>
        <v>#N/A</v>
      </c>
      <c r="O113" s="51">
        <f>COUNTIFs(Matches!$B:$B,E113,Matches!$A:$A,"&gt;"&amp;Q113,Matches!$A:$A,"&lt;"&amp;R113)</f>
        <v>0</v>
      </c>
      <c r="P113" s="51">
        <f>COUNTIFs(Matches!$C:$C,E113,Matches!$A:$A,"&gt;"&amp;Q113,Matches!$A:$A,"&lt;"&amp;R113)</f>
        <v>0</v>
      </c>
      <c r="Q113" s="52">
        <f>VLOOKUP($C$2,Quotas!$A$7:$E$14,2,FALSE)</f>
        <v>46171.70833</v>
      </c>
      <c r="R113" s="52">
        <f>VLOOKUP($C$2,Quotas!$A$7:$E$14,3,FALSE)</f>
        <v>46178.70833</v>
      </c>
    </row>
    <row r="114">
      <c r="A114" s="82" t="str">
        <f t="array" ref="A114">XLOOKUP($E114,'Player Database'!$B$2:$B252,'Player Database'!$C$2:$C252)</f>
        <v>#N/A</v>
      </c>
      <c r="B114" s="82" t="str">
        <f t="array" ref="B114">XLOOKUP($E114,'Player Database'!$B$2:$B252,'Player Database'!$E$2:$E252)</f>
        <v>#N/A</v>
      </c>
      <c r="C114" s="82" t="str">
        <f t="array" ref="C114">XLOOKUP($E114,'Player Database'!$B$2:$B252,'Player Database'!$F$2:$F252)</f>
        <v>#N/A</v>
      </c>
      <c r="D114" s="81">
        <f>IFERROR(__xludf.DUMMYFUNCTION("""COMPUTED_VALUE"""),1.0)</f>
        <v>1</v>
      </c>
      <c r="E114" s="41"/>
      <c r="F114" s="42" t="str">
        <f t="array" ref="F114">XLOOKUP($E114,'Player Database'!$B$2:$B252,'Player Database'!$K$2:$K252)</f>
        <v>#N/A</v>
      </c>
      <c r="G114" s="42" t="str">
        <f t="array" ref="G114">XLOOKUP($E114,'Player Database'!$B$2:$B252,'Player Database'!$AE$2:$AE252)</f>
        <v>#N/A</v>
      </c>
      <c r="H114" s="42" t="str">
        <f t="array" ref="H114">XLOOKUP($E114,'Player Database'!$B$2:$B252,'Player Database'!$H$2:$H252)</f>
        <v>#N/A</v>
      </c>
      <c r="I114" s="42" t="str">
        <f t="array" ref="I114">XLOOKUP($E114,'Player Database'!$B$2:$B252,'Player Database'!$O$2:$O252)</f>
        <v>#N/A</v>
      </c>
      <c r="J114" s="42" t="str">
        <f t="array" ref="J114">XLOOKUP($E114,'Player Database'!$B$2:$B252,'Player Database'!$P$2:$P252)</f>
        <v>#N/A</v>
      </c>
      <c r="K114" s="44" t="str">
        <f t="array" ref="K114">XLOOKUP($E114,'Player Database'!$B$2:$B252,'Player Database'!$U$2:$U252)</f>
        <v>#N/A</v>
      </c>
      <c r="L114" s="47" t="str">
        <f t="array" ref="L114">XLOOKUP($E114,'Player Database'!$B$2:$B252,'Player Database'!$W$2:$W252)</f>
        <v>#N/A</v>
      </c>
      <c r="M114" s="48" t="str">
        <f t="shared" si="1"/>
        <v>0 - 0</v>
      </c>
      <c r="N114" s="50" t="str">
        <f t="array" ref="N114">IF(XLOOKUP($E114,'Player Database'!$B$2:$B252,'Player Database'!$AA$2:$AA252)="",XLOOKUP($E114,'Player Database'!$B$2:$B252,'Player Database'!$G$2:$G252),XLOOKUP($E114,'Player Database'!$B$2:$B252,'Player Database'!$AA$2:$AA252))</f>
        <v>#N/A</v>
      </c>
      <c r="O114" s="51">
        <f>COUNTIFs(Matches!$B:$B,E114,Matches!$A:$A,"&gt;"&amp;Q114,Matches!$A:$A,"&lt;"&amp;R114)</f>
        <v>0</v>
      </c>
      <c r="P114" s="51">
        <f>COUNTIFs(Matches!$C:$C,E114,Matches!$A:$A,"&gt;"&amp;Q114,Matches!$A:$A,"&lt;"&amp;R114)</f>
        <v>0</v>
      </c>
      <c r="Q114" s="52">
        <f>VLOOKUP($C$2,Quotas!$A$7:$E$14,2,FALSE)</f>
        <v>46171.70833</v>
      </c>
      <c r="R114" s="52">
        <f>VLOOKUP($C$2,Quotas!$A$7:$E$14,3,FALSE)</f>
        <v>46178.70833</v>
      </c>
    </row>
    <row r="115">
      <c r="A115" s="82" t="str">
        <f t="array" ref="A115">XLOOKUP($E115,'Player Database'!$B$2:$B252,'Player Database'!$C$2:$C252)</f>
        <v>#N/A</v>
      </c>
      <c r="B115" s="82" t="str">
        <f t="array" ref="B115">XLOOKUP($E115,'Player Database'!$B$2:$B252,'Player Database'!$E$2:$E252)</f>
        <v>#N/A</v>
      </c>
      <c r="C115" s="82" t="str">
        <f t="array" ref="C115">XLOOKUP($E115,'Player Database'!$B$2:$B252,'Player Database'!$F$2:$F252)</f>
        <v>#N/A</v>
      </c>
      <c r="D115" s="81">
        <f>IFERROR(__xludf.DUMMYFUNCTION("""COMPUTED_VALUE"""),1.0)</f>
        <v>1</v>
      </c>
      <c r="E115" s="41"/>
      <c r="F115" s="42" t="str">
        <f t="array" ref="F115">XLOOKUP($E115,'Player Database'!$B$2:$B252,'Player Database'!$K$2:$K252)</f>
        <v>#N/A</v>
      </c>
      <c r="G115" s="42" t="str">
        <f t="array" ref="G115">XLOOKUP($E115,'Player Database'!$B$2:$B252,'Player Database'!$AE$2:$AE252)</f>
        <v>#N/A</v>
      </c>
      <c r="H115" s="42" t="str">
        <f t="array" ref="H115">XLOOKUP($E115,'Player Database'!$B$2:$B252,'Player Database'!$H$2:$H252)</f>
        <v>#N/A</v>
      </c>
      <c r="I115" s="42" t="str">
        <f t="array" ref="I115">XLOOKUP($E115,'Player Database'!$B$2:$B252,'Player Database'!$O$2:$O252)</f>
        <v>#N/A</v>
      </c>
      <c r="J115" s="42" t="str">
        <f t="array" ref="J115">XLOOKUP($E115,'Player Database'!$B$2:$B252,'Player Database'!$P$2:$P252)</f>
        <v>#N/A</v>
      </c>
      <c r="K115" s="44" t="str">
        <f t="array" ref="K115">XLOOKUP($E115,'Player Database'!$B$2:$B252,'Player Database'!$U$2:$U252)</f>
        <v>#N/A</v>
      </c>
      <c r="L115" s="47" t="str">
        <f t="array" ref="L115">XLOOKUP($E115,'Player Database'!$B$2:$B252,'Player Database'!$W$2:$W252)</f>
        <v>#N/A</v>
      </c>
      <c r="M115" s="48" t="str">
        <f t="shared" si="1"/>
        <v>0 - 0</v>
      </c>
      <c r="N115" s="50" t="str">
        <f t="array" ref="N115">IF(XLOOKUP($E115,'Player Database'!$B$2:$B252,'Player Database'!$AA$2:$AA252)="",XLOOKUP($E115,'Player Database'!$B$2:$B252,'Player Database'!$G$2:$G252),XLOOKUP($E115,'Player Database'!$B$2:$B252,'Player Database'!$AA$2:$AA252))</f>
        <v>#N/A</v>
      </c>
      <c r="O115" s="51">
        <f>COUNTIFs(Matches!$B:$B,E115,Matches!$A:$A,"&gt;"&amp;Q115,Matches!$A:$A,"&lt;"&amp;R115)</f>
        <v>0</v>
      </c>
      <c r="P115" s="51">
        <f>COUNTIFs(Matches!$C:$C,E115,Matches!$A:$A,"&gt;"&amp;Q115,Matches!$A:$A,"&lt;"&amp;R115)</f>
        <v>0</v>
      </c>
      <c r="Q115" s="52">
        <f>VLOOKUP($C$2,Quotas!$A$7:$E$14,2,FALSE)</f>
        <v>46171.70833</v>
      </c>
      <c r="R115" s="52">
        <f>VLOOKUP($C$2,Quotas!$A$7:$E$14,3,FALSE)</f>
        <v>46178.70833</v>
      </c>
    </row>
    <row r="116">
      <c r="A116" s="82" t="str">
        <f t="array" ref="A116">XLOOKUP($E116,'Player Database'!$B$2:$B252,'Player Database'!$C$2:$C252)</f>
        <v>#N/A</v>
      </c>
      <c r="B116" s="82" t="str">
        <f t="array" ref="B116">XLOOKUP($E116,'Player Database'!$B$2:$B252,'Player Database'!$E$2:$E252)</f>
        <v>#N/A</v>
      </c>
      <c r="C116" s="82" t="str">
        <f t="array" ref="C116">XLOOKUP($E116,'Player Database'!$B$2:$B252,'Player Database'!$F$2:$F252)</f>
        <v>#N/A</v>
      </c>
      <c r="D116" s="81">
        <f>IFERROR(__xludf.DUMMYFUNCTION("""COMPUTED_VALUE"""),1.0)</f>
        <v>1</v>
      </c>
      <c r="E116" s="41"/>
      <c r="F116" s="42" t="str">
        <f t="array" ref="F116">XLOOKUP($E116,'Player Database'!$B$2:$B252,'Player Database'!$K$2:$K252)</f>
        <v>#N/A</v>
      </c>
      <c r="G116" s="42" t="str">
        <f t="array" ref="G116">XLOOKUP($E116,'Player Database'!$B$2:$B252,'Player Database'!$AE$2:$AE252)</f>
        <v>#N/A</v>
      </c>
      <c r="H116" s="42" t="str">
        <f t="array" ref="H116">XLOOKUP($E116,'Player Database'!$B$2:$B252,'Player Database'!$H$2:$H252)</f>
        <v>#N/A</v>
      </c>
      <c r="I116" s="42" t="str">
        <f t="array" ref="I116">XLOOKUP($E116,'Player Database'!$B$2:$B252,'Player Database'!$O$2:$O252)</f>
        <v>#N/A</v>
      </c>
      <c r="J116" s="42" t="str">
        <f t="array" ref="J116">XLOOKUP($E116,'Player Database'!$B$2:$B252,'Player Database'!$P$2:$P252)</f>
        <v>#N/A</v>
      </c>
      <c r="K116" s="44" t="str">
        <f t="array" ref="K116">XLOOKUP($E116,'Player Database'!$B$2:$B252,'Player Database'!$U$2:$U252)</f>
        <v>#N/A</v>
      </c>
      <c r="L116" s="47" t="str">
        <f t="array" ref="L116">XLOOKUP($E116,'Player Database'!$B$2:$B252,'Player Database'!$W$2:$W252)</f>
        <v>#N/A</v>
      </c>
      <c r="M116" s="48" t="str">
        <f t="shared" si="1"/>
        <v>0 - 0</v>
      </c>
      <c r="N116" s="50" t="str">
        <f t="array" ref="N116">IF(XLOOKUP($E116,'Player Database'!$B$2:$B252,'Player Database'!$AA$2:$AA252)="",XLOOKUP($E116,'Player Database'!$B$2:$B252,'Player Database'!$G$2:$G252),XLOOKUP($E116,'Player Database'!$B$2:$B252,'Player Database'!$AA$2:$AA252))</f>
        <v>#N/A</v>
      </c>
      <c r="O116" s="51">
        <f>COUNTIFs(Matches!$B:$B,E116,Matches!$A:$A,"&gt;"&amp;Q116,Matches!$A:$A,"&lt;"&amp;R116)</f>
        <v>0</v>
      </c>
      <c r="P116" s="51">
        <f>COUNTIFs(Matches!$C:$C,E116,Matches!$A:$A,"&gt;"&amp;Q116,Matches!$A:$A,"&lt;"&amp;R116)</f>
        <v>0</v>
      </c>
      <c r="Q116" s="52">
        <f>VLOOKUP($C$2,Quotas!$A$7:$E$14,2,FALSE)</f>
        <v>46171.70833</v>
      </c>
      <c r="R116" s="52">
        <f>VLOOKUP($C$2,Quotas!$A$7:$E$14,3,FALSE)</f>
        <v>46178.70833</v>
      </c>
    </row>
    <row r="117">
      <c r="A117" s="82" t="str">
        <f t="array" ref="A117">XLOOKUP($E117,'Player Database'!$B$2:$B252,'Player Database'!$C$2:$C252)</f>
        <v>#N/A</v>
      </c>
      <c r="B117" s="82" t="str">
        <f t="array" ref="B117">XLOOKUP($E117,'Player Database'!$B$2:$B252,'Player Database'!$E$2:$E252)</f>
        <v>#N/A</v>
      </c>
      <c r="C117" s="82" t="str">
        <f t="array" ref="C117">XLOOKUP($E117,'Player Database'!$B$2:$B252,'Player Database'!$F$2:$F252)</f>
        <v>#N/A</v>
      </c>
      <c r="D117" s="81">
        <f>IFERROR(__xludf.DUMMYFUNCTION("""COMPUTED_VALUE"""),1.0)</f>
        <v>1</v>
      </c>
      <c r="E117" s="41"/>
      <c r="F117" s="42" t="str">
        <f t="array" ref="F117">XLOOKUP($E117,'Player Database'!$B$2:$B252,'Player Database'!$K$2:$K252)</f>
        <v>#N/A</v>
      </c>
      <c r="G117" s="42" t="str">
        <f t="array" ref="G117">XLOOKUP($E117,'Player Database'!$B$2:$B252,'Player Database'!$AE$2:$AE252)</f>
        <v>#N/A</v>
      </c>
      <c r="H117" s="42" t="str">
        <f t="array" ref="H117">XLOOKUP($E117,'Player Database'!$B$2:$B252,'Player Database'!$H$2:$H252)</f>
        <v>#N/A</v>
      </c>
      <c r="I117" s="42" t="str">
        <f t="array" ref="I117">XLOOKUP($E117,'Player Database'!$B$2:$B252,'Player Database'!$O$2:$O252)</f>
        <v>#N/A</v>
      </c>
      <c r="J117" s="42" t="str">
        <f t="array" ref="J117">XLOOKUP($E117,'Player Database'!$B$2:$B252,'Player Database'!$P$2:$P252)</f>
        <v>#N/A</v>
      </c>
      <c r="K117" s="44" t="str">
        <f t="array" ref="K117">XLOOKUP($E117,'Player Database'!$B$2:$B252,'Player Database'!$U$2:$U252)</f>
        <v>#N/A</v>
      </c>
      <c r="L117" s="47" t="str">
        <f t="array" ref="L117">XLOOKUP($E117,'Player Database'!$B$2:$B252,'Player Database'!$W$2:$W252)</f>
        <v>#N/A</v>
      </c>
      <c r="M117" s="48" t="str">
        <f t="shared" si="1"/>
        <v>0 - 0</v>
      </c>
      <c r="N117" s="50" t="str">
        <f t="array" ref="N117">IF(XLOOKUP($E117,'Player Database'!$B$2:$B252,'Player Database'!$AA$2:$AA252)="",XLOOKUP($E117,'Player Database'!$B$2:$B252,'Player Database'!$G$2:$G252),XLOOKUP($E117,'Player Database'!$B$2:$B252,'Player Database'!$AA$2:$AA252))</f>
        <v>#N/A</v>
      </c>
      <c r="O117" s="51">
        <f>COUNTIFs(Matches!$B:$B,E117,Matches!$A:$A,"&gt;"&amp;Q117,Matches!$A:$A,"&lt;"&amp;R117)</f>
        <v>0</v>
      </c>
      <c r="P117" s="51">
        <f>COUNTIFs(Matches!$C:$C,E117,Matches!$A:$A,"&gt;"&amp;Q117,Matches!$A:$A,"&lt;"&amp;R117)</f>
        <v>0</v>
      </c>
      <c r="Q117" s="52">
        <f>VLOOKUP($C$2,Quotas!$A$7:$E$14,2,FALSE)</f>
        <v>46171.70833</v>
      </c>
      <c r="R117" s="52">
        <f>VLOOKUP($C$2,Quotas!$A$7:$E$14,3,FALSE)</f>
        <v>46178.70833</v>
      </c>
    </row>
    <row r="118">
      <c r="A118" s="82" t="str">
        <f t="array" ref="A118">XLOOKUP($E118,'Player Database'!$B$2:$B252,'Player Database'!$C$2:$C252)</f>
        <v>#N/A</v>
      </c>
      <c r="B118" s="82" t="str">
        <f t="array" ref="B118">XLOOKUP($E118,'Player Database'!$B$2:$B252,'Player Database'!$E$2:$E252)</f>
        <v>#N/A</v>
      </c>
      <c r="C118" s="82" t="str">
        <f t="array" ref="C118">XLOOKUP($E118,'Player Database'!$B$2:$B252,'Player Database'!$F$2:$F252)</f>
        <v>#N/A</v>
      </c>
      <c r="D118" s="81">
        <f>IFERROR(__xludf.DUMMYFUNCTION("""COMPUTED_VALUE"""),1.0)</f>
        <v>1</v>
      </c>
      <c r="E118" s="41"/>
      <c r="F118" s="42" t="str">
        <f t="array" ref="F118">XLOOKUP($E118,'Player Database'!$B$2:$B252,'Player Database'!$K$2:$K252)</f>
        <v>#N/A</v>
      </c>
      <c r="G118" s="42" t="str">
        <f t="array" ref="G118">XLOOKUP($E118,'Player Database'!$B$2:$B252,'Player Database'!$AE$2:$AE252)</f>
        <v>#N/A</v>
      </c>
      <c r="H118" s="42" t="str">
        <f t="array" ref="H118">XLOOKUP($E118,'Player Database'!$B$2:$B252,'Player Database'!$H$2:$H252)</f>
        <v>#N/A</v>
      </c>
      <c r="I118" s="42" t="str">
        <f t="array" ref="I118">XLOOKUP($E118,'Player Database'!$B$2:$B252,'Player Database'!$O$2:$O252)</f>
        <v>#N/A</v>
      </c>
      <c r="J118" s="42" t="str">
        <f t="array" ref="J118">XLOOKUP($E118,'Player Database'!$B$2:$B252,'Player Database'!$P$2:$P252)</f>
        <v>#N/A</v>
      </c>
      <c r="K118" s="44" t="str">
        <f t="array" ref="K118">XLOOKUP($E118,'Player Database'!$B$2:$B252,'Player Database'!$U$2:$U252)</f>
        <v>#N/A</v>
      </c>
      <c r="L118" s="47" t="str">
        <f t="array" ref="L118">XLOOKUP($E118,'Player Database'!$B$2:$B252,'Player Database'!$W$2:$W252)</f>
        <v>#N/A</v>
      </c>
      <c r="M118" s="48" t="str">
        <f t="shared" si="1"/>
        <v>0 - 0</v>
      </c>
      <c r="N118" s="50" t="str">
        <f t="array" ref="N118">IF(XLOOKUP($E118,'Player Database'!$B$2:$B252,'Player Database'!$AA$2:$AA252)="",XLOOKUP($E118,'Player Database'!$B$2:$B252,'Player Database'!$G$2:$G252),XLOOKUP($E118,'Player Database'!$B$2:$B252,'Player Database'!$AA$2:$AA252))</f>
        <v>#N/A</v>
      </c>
      <c r="O118" s="51">
        <f>COUNTIFs(Matches!$B:$B,E118,Matches!$A:$A,"&gt;"&amp;Q118,Matches!$A:$A,"&lt;"&amp;R118)</f>
        <v>0</v>
      </c>
      <c r="P118" s="51">
        <f>COUNTIFs(Matches!$C:$C,E118,Matches!$A:$A,"&gt;"&amp;Q118,Matches!$A:$A,"&lt;"&amp;R118)</f>
        <v>0</v>
      </c>
      <c r="Q118" s="52">
        <f>VLOOKUP($C$2,Quotas!$A$7:$E$14,2,FALSE)</f>
        <v>46171.70833</v>
      </c>
      <c r="R118" s="52">
        <f>VLOOKUP($C$2,Quotas!$A$7:$E$14,3,FALSE)</f>
        <v>46178.70833</v>
      </c>
    </row>
    <row r="119">
      <c r="A119" s="82" t="str">
        <f t="array" ref="A119">XLOOKUP($E119,'Player Database'!$B$2:$B252,'Player Database'!$C$2:$C252)</f>
        <v>#N/A</v>
      </c>
      <c r="B119" s="82" t="str">
        <f t="array" ref="B119">XLOOKUP($E119,'Player Database'!$B$2:$B252,'Player Database'!$E$2:$E252)</f>
        <v>#N/A</v>
      </c>
      <c r="C119" s="82" t="str">
        <f t="array" ref="C119">XLOOKUP($E119,'Player Database'!$B$2:$B252,'Player Database'!$F$2:$F252)</f>
        <v>#N/A</v>
      </c>
      <c r="D119" s="81">
        <f>IFERROR(__xludf.DUMMYFUNCTION("""COMPUTED_VALUE"""),1.0)</f>
        <v>1</v>
      </c>
      <c r="E119" s="41"/>
      <c r="F119" s="42" t="str">
        <f t="array" ref="F119">XLOOKUP($E119,'Player Database'!$B$2:$B252,'Player Database'!$K$2:$K252)</f>
        <v>#N/A</v>
      </c>
      <c r="G119" s="42" t="str">
        <f t="array" ref="G119">XLOOKUP($E119,'Player Database'!$B$2:$B252,'Player Database'!$AE$2:$AE252)</f>
        <v>#N/A</v>
      </c>
      <c r="H119" s="42" t="str">
        <f t="array" ref="H119">XLOOKUP($E119,'Player Database'!$B$2:$B252,'Player Database'!$H$2:$H252)</f>
        <v>#N/A</v>
      </c>
      <c r="I119" s="42" t="str">
        <f t="array" ref="I119">XLOOKUP($E119,'Player Database'!$B$2:$B252,'Player Database'!$O$2:$O252)</f>
        <v>#N/A</v>
      </c>
      <c r="J119" s="42" t="str">
        <f t="array" ref="J119">XLOOKUP($E119,'Player Database'!$B$2:$B252,'Player Database'!$P$2:$P252)</f>
        <v>#N/A</v>
      </c>
      <c r="K119" s="44" t="str">
        <f t="array" ref="K119">XLOOKUP($E119,'Player Database'!$B$2:$B252,'Player Database'!$U$2:$U252)</f>
        <v>#N/A</v>
      </c>
      <c r="L119" s="47" t="str">
        <f t="array" ref="L119">XLOOKUP($E119,'Player Database'!$B$2:$B252,'Player Database'!$W$2:$W252)</f>
        <v>#N/A</v>
      </c>
      <c r="M119" s="48" t="str">
        <f t="shared" si="1"/>
        <v>0 - 0</v>
      </c>
      <c r="N119" s="50" t="str">
        <f t="array" ref="N119">IF(XLOOKUP($E119,'Player Database'!$B$2:$B252,'Player Database'!$AA$2:$AA252)="",XLOOKUP($E119,'Player Database'!$B$2:$B252,'Player Database'!$G$2:$G252),XLOOKUP($E119,'Player Database'!$B$2:$B252,'Player Database'!$AA$2:$AA252))</f>
        <v>#N/A</v>
      </c>
      <c r="O119" s="51">
        <f>COUNTIFs(Matches!$B:$B,E119,Matches!$A:$A,"&gt;"&amp;Q119,Matches!$A:$A,"&lt;"&amp;R119)</f>
        <v>0</v>
      </c>
      <c r="P119" s="51">
        <f>COUNTIFs(Matches!$C:$C,E119,Matches!$A:$A,"&gt;"&amp;Q119,Matches!$A:$A,"&lt;"&amp;R119)</f>
        <v>0</v>
      </c>
      <c r="Q119" s="52">
        <f>VLOOKUP($C$2,Quotas!$A$7:$E$14,2,FALSE)</f>
        <v>46171.70833</v>
      </c>
      <c r="R119" s="52">
        <f>VLOOKUP($C$2,Quotas!$A$7:$E$14,3,FALSE)</f>
        <v>46178.70833</v>
      </c>
    </row>
    <row r="120">
      <c r="A120" s="82" t="str">
        <f t="array" ref="A120">XLOOKUP($E120,'Player Database'!$B$2:$B252,'Player Database'!$C$2:$C252)</f>
        <v>#N/A</v>
      </c>
      <c r="B120" s="82" t="str">
        <f t="array" ref="B120">XLOOKUP($E120,'Player Database'!$B$2:$B252,'Player Database'!$E$2:$E252)</f>
        <v>#N/A</v>
      </c>
      <c r="C120" s="82" t="str">
        <f t="array" ref="C120">XLOOKUP($E120,'Player Database'!$B$2:$B252,'Player Database'!$F$2:$F252)</f>
        <v>#N/A</v>
      </c>
      <c r="D120" s="81">
        <f>IFERROR(__xludf.DUMMYFUNCTION("""COMPUTED_VALUE"""),1.0)</f>
        <v>1</v>
      </c>
      <c r="E120" s="41"/>
      <c r="F120" s="42" t="str">
        <f t="array" ref="F120">XLOOKUP($E120,'Player Database'!$B$2:$B252,'Player Database'!$K$2:$K252)</f>
        <v>#N/A</v>
      </c>
      <c r="G120" s="42" t="str">
        <f t="array" ref="G120">XLOOKUP($E120,'Player Database'!$B$2:$B252,'Player Database'!$AE$2:$AE252)</f>
        <v>#N/A</v>
      </c>
      <c r="H120" s="42" t="str">
        <f t="array" ref="H120">XLOOKUP($E120,'Player Database'!$B$2:$B252,'Player Database'!$H$2:$H252)</f>
        <v>#N/A</v>
      </c>
      <c r="I120" s="42" t="str">
        <f t="array" ref="I120">XLOOKUP($E120,'Player Database'!$B$2:$B252,'Player Database'!$O$2:$O252)</f>
        <v>#N/A</v>
      </c>
      <c r="J120" s="42" t="str">
        <f t="array" ref="J120">XLOOKUP($E120,'Player Database'!$B$2:$B252,'Player Database'!$P$2:$P252)</f>
        <v>#N/A</v>
      </c>
      <c r="K120" s="44" t="str">
        <f t="array" ref="K120">XLOOKUP($E120,'Player Database'!$B$2:$B252,'Player Database'!$U$2:$U252)</f>
        <v>#N/A</v>
      </c>
      <c r="L120" s="47" t="str">
        <f t="array" ref="L120">XLOOKUP($E120,'Player Database'!$B$2:$B252,'Player Database'!$W$2:$W252)</f>
        <v>#N/A</v>
      </c>
      <c r="M120" s="48" t="str">
        <f t="shared" si="1"/>
        <v>0 - 0</v>
      </c>
      <c r="N120" s="50" t="str">
        <f t="array" ref="N120">IF(XLOOKUP($E120,'Player Database'!$B$2:$B252,'Player Database'!$AA$2:$AA252)="",XLOOKUP($E120,'Player Database'!$B$2:$B252,'Player Database'!$G$2:$G252),XLOOKUP($E120,'Player Database'!$B$2:$B252,'Player Database'!$AA$2:$AA252))</f>
        <v>#N/A</v>
      </c>
      <c r="O120" s="51">
        <f>COUNTIFs(Matches!$B:$B,E120,Matches!$A:$A,"&gt;"&amp;Q120,Matches!$A:$A,"&lt;"&amp;R120)</f>
        <v>0</v>
      </c>
      <c r="P120" s="51">
        <f>COUNTIFs(Matches!$C:$C,E120,Matches!$A:$A,"&gt;"&amp;Q120,Matches!$A:$A,"&lt;"&amp;R120)</f>
        <v>0</v>
      </c>
      <c r="Q120" s="52">
        <f>VLOOKUP($C$2,Quotas!$A$7:$E$14,2,FALSE)</f>
        <v>46171.70833</v>
      </c>
      <c r="R120" s="52">
        <f>VLOOKUP($C$2,Quotas!$A$7:$E$14,3,FALSE)</f>
        <v>46178.70833</v>
      </c>
    </row>
    <row r="121">
      <c r="A121" s="82" t="str">
        <f t="array" ref="A121">XLOOKUP($E121,'Player Database'!$B$2:$B252,'Player Database'!$C$2:$C252)</f>
        <v>#N/A</v>
      </c>
      <c r="B121" s="82" t="str">
        <f t="array" ref="B121">XLOOKUP($E121,'Player Database'!$B$2:$B252,'Player Database'!$E$2:$E252)</f>
        <v>#N/A</v>
      </c>
      <c r="C121" s="82" t="str">
        <f t="array" ref="C121">XLOOKUP($E121,'Player Database'!$B$2:$B252,'Player Database'!$F$2:$F252)</f>
        <v>#N/A</v>
      </c>
      <c r="D121" s="81">
        <f>IFERROR(__xludf.DUMMYFUNCTION("""COMPUTED_VALUE"""),1.0)</f>
        <v>1</v>
      </c>
      <c r="E121" s="41"/>
      <c r="F121" s="42" t="str">
        <f t="array" ref="F121">XLOOKUP($E121,'Player Database'!$B$2:$B252,'Player Database'!$K$2:$K252)</f>
        <v>#N/A</v>
      </c>
      <c r="G121" s="42" t="str">
        <f t="array" ref="G121">XLOOKUP($E121,'Player Database'!$B$2:$B252,'Player Database'!$AE$2:$AE252)</f>
        <v>#N/A</v>
      </c>
      <c r="H121" s="42" t="str">
        <f t="array" ref="H121">XLOOKUP($E121,'Player Database'!$B$2:$B252,'Player Database'!$H$2:$H252)</f>
        <v>#N/A</v>
      </c>
      <c r="I121" s="42" t="str">
        <f t="array" ref="I121">XLOOKUP($E121,'Player Database'!$B$2:$B252,'Player Database'!$O$2:$O252)</f>
        <v>#N/A</v>
      </c>
      <c r="J121" s="42" t="str">
        <f t="array" ref="J121">XLOOKUP($E121,'Player Database'!$B$2:$B252,'Player Database'!$P$2:$P252)</f>
        <v>#N/A</v>
      </c>
      <c r="K121" s="44" t="str">
        <f t="array" ref="K121">XLOOKUP($E121,'Player Database'!$B$2:$B252,'Player Database'!$U$2:$U252)</f>
        <v>#N/A</v>
      </c>
      <c r="L121" s="47" t="str">
        <f t="array" ref="L121">XLOOKUP($E121,'Player Database'!$B$2:$B252,'Player Database'!$W$2:$W252)</f>
        <v>#N/A</v>
      </c>
      <c r="M121" s="48" t="str">
        <f t="shared" si="1"/>
        <v>0 - 0</v>
      </c>
      <c r="N121" s="50" t="str">
        <f t="array" ref="N121">IF(XLOOKUP($E121,'Player Database'!$B$2:$B252,'Player Database'!$AA$2:$AA252)="",XLOOKUP($E121,'Player Database'!$B$2:$B252,'Player Database'!$G$2:$G252),XLOOKUP($E121,'Player Database'!$B$2:$B252,'Player Database'!$AA$2:$AA252))</f>
        <v>#N/A</v>
      </c>
      <c r="O121" s="51">
        <f>COUNTIFs(Matches!$B:$B,E121,Matches!$A:$A,"&gt;"&amp;Q121,Matches!$A:$A,"&lt;"&amp;R121)</f>
        <v>0</v>
      </c>
      <c r="P121" s="51">
        <f>COUNTIFs(Matches!$C:$C,E121,Matches!$A:$A,"&gt;"&amp;Q121,Matches!$A:$A,"&lt;"&amp;R121)</f>
        <v>0</v>
      </c>
      <c r="Q121" s="52">
        <f>VLOOKUP($C$2,Quotas!$A$7:$E$14,2,FALSE)</f>
        <v>46171.70833</v>
      </c>
      <c r="R121" s="52">
        <f>VLOOKUP($C$2,Quotas!$A$7:$E$14,3,FALSE)</f>
        <v>46178.70833</v>
      </c>
    </row>
    <row r="122">
      <c r="A122" s="82" t="str">
        <f t="array" ref="A122">XLOOKUP($E122,'Player Database'!$B$2:$B252,'Player Database'!$C$2:$C252)</f>
        <v>#N/A</v>
      </c>
      <c r="B122" s="82" t="str">
        <f t="array" ref="B122">XLOOKUP($E122,'Player Database'!$B$2:$B252,'Player Database'!$E$2:$E252)</f>
        <v>#N/A</v>
      </c>
      <c r="C122" s="82" t="str">
        <f t="array" ref="C122">XLOOKUP($E122,'Player Database'!$B$2:$B252,'Player Database'!$F$2:$F252)</f>
        <v>#N/A</v>
      </c>
      <c r="D122" s="81">
        <f>IFERROR(__xludf.DUMMYFUNCTION("""COMPUTED_VALUE"""),1.0)</f>
        <v>1</v>
      </c>
      <c r="E122" s="41"/>
      <c r="F122" s="42" t="str">
        <f t="array" ref="F122">XLOOKUP($E122,'Player Database'!$B$2:$B252,'Player Database'!$K$2:$K252)</f>
        <v>#N/A</v>
      </c>
      <c r="G122" s="42" t="str">
        <f t="array" ref="G122">XLOOKUP($E122,'Player Database'!$B$2:$B252,'Player Database'!$AE$2:$AE252)</f>
        <v>#N/A</v>
      </c>
      <c r="H122" s="42" t="str">
        <f t="array" ref="H122">XLOOKUP($E122,'Player Database'!$B$2:$B252,'Player Database'!$H$2:$H252)</f>
        <v>#N/A</v>
      </c>
      <c r="I122" s="42" t="str">
        <f t="array" ref="I122">XLOOKUP($E122,'Player Database'!$B$2:$B252,'Player Database'!$O$2:$O252)</f>
        <v>#N/A</v>
      </c>
      <c r="J122" s="42" t="str">
        <f t="array" ref="J122">XLOOKUP($E122,'Player Database'!$B$2:$B252,'Player Database'!$P$2:$P252)</f>
        <v>#N/A</v>
      </c>
      <c r="K122" s="44" t="str">
        <f t="array" ref="K122">XLOOKUP($E122,'Player Database'!$B$2:$B252,'Player Database'!$U$2:$U252)</f>
        <v>#N/A</v>
      </c>
      <c r="L122" s="47" t="str">
        <f t="array" ref="L122">XLOOKUP($E122,'Player Database'!$B$2:$B252,'Player Database'!$W$2:$W252)</f>
        <v>#N/A</v>
      </c>
      <c r="M122" s="48" t="str">
        <f t="shared" si="1"/>
        <v>0 - 0</v>
      </c>
      <c r="N122" s="50" t="str">
        <f t="array" ref="N122">IF(XLOOKUP($E122,'Player Database'!$B$2:$B252,'Player Database'!$AA$2:$AA252)="",XLOOKUP($E122,'Player Database'!$B$2:$B252,'Player Database'!$G$2:$G252),XLOOKUP($E122,'Player Database'!$B$2:$B252,'Player Database'!$AA$2:$AA252))</f>
        <v>#N/A</v>
      </c>
      <c r="O122" s="51">
        <f>COUNTIFs(Matches!$B:$B,E122,Matches!$A:$A,"&gt;"&amp;Q122,Matches!$A:$A,"&lt;"&amp;R122)</f>
        <v>0</v>
      </c>
      <c r="P122" s="51">
        <f>COUNTIFs(Matches!$C:$C,E122,Matches!$A:$A,"&gt;"&amp;Q122,Matches!$A:$A,"&lt;"&amp;R122)</f>
        <v>0</v>
      </c>
      <c r="Q122" s="52">
        <f>VLOOKUP($C$2,Quotas!$A$7:$E$14,2,FALSE)</f>
        <v>46171.70833</v>
      </c>
      <c r="R122" s="52">
        <f>VLOOKUP($C$2,Quotas!$A$7:$E$14,3,FALSE)</f>
        <v>46178.70833</v>
      </c>
    </row>
    <row r="123">
      <c r="A123" s="82" t="str">
        <f t="array" ref="A123">XLOOKUP($E123,'Player Database'!$B$2:$B252,'Player Database'!$C$2:$C252)</f>
        <v>#N/A</v>
      </c>
      <c r="B123" s="82" t="str">
        <f t="array" ref="B123">XLOOKUP($E123,'Player Database'!$B$2:$B252,'Player Database'!$E$2:$E252)</f>
        <v>#N/A</v>
      </c>
      <c r="C123" s="82" t="str">
        <f t="array" ref="C123">XLOOKUP($E123,'Player Database'!$B$2:$B252,'Player Database'!$F$2:$F252)</f>
        <v>#N/A</v>
      </c>
      <c r="D123" s="81">
        <f>IFERROR(__xludf.DUMMYFUNCTION("""COMPUTED_VALUE"""),1.0)</f>
        <v>1</v>
      </c>
      <c r="E123" s="41"/>
      <c r="F123" s="42" t="str">
        <f t="array" ref="F123">XLOOKUP($E123,'Player Database'!$B$2:$B252,'Player Database'!$K$2:$K252)</f>
        <v>#N/A</v>
      </c>
      <c r="G123" s="42" t="str">
        <f t="array" ref="G123">XLOOKUP($E123,'Player Database'!$B$2:$B252,'Player Database'!$AE$2:$AE252)</f>
        <v>#N/A</v>
      </c>
      <c r="H123" s="42" t="str">
        <f t="array" ref="H123">XLOOKUP($E123,'Player Database'!$B$2:$B252,'Player Database'!$H$2:$H252)</f>
        <v>#N/A</v>
      </c>
      <c r="I123" s="42" t="str">
        <f t="array" ref="I123">XLOOKUP($E123,'Player Database'!$B$2:$B252,'Player Database'!$O$2:$O252)</f>
        <v>#N/A</v>
      </c>
      <c r="J123" s="42" t="str">
        <f t="array" ref="J123">XLOOKUP($E123,'Player Database'!$B$2:$B252,'Player Database'!$P$2:$P252)</f>
        <v>#N/A</v>
      </c>
      <c r="K123" s="44" t="str">
        <f t="array" ref="K123">XLOOKUP($E123,'Player Database'!$B$2:$B252,'Player Database'!$U$2:$U252)</f>
        <v>#N/A</v>
      </c>
      <c r="L123" s="47" t="str">
        <f t="array" ref="L123">XLOOKUP($E123,'Player Database'!$B$2:$B252,'Player Database'!$W$2:$W252)</f>
        <v>#N/A</v>
      </c>
      <c r="M123" s="48" t="str">
        <f t="shared" si="1"/>
        <v>0 - 0</v>
      </c>
      <c r="N123" s="50" t="str">
        <f t="array" ref="N123">IF(XLOOKUP($E123,'Player Database'!$B$2:$B252,'Player Database'!$AA$2:$AA252)="",XLOOKUP($E123,'Player Database'!$B$2:$B252,'Player Database'!$G$2:$G252),XLOOKUP($E123,'Player Database'!$B$2:$B252,'Player Database'!$AA$2:$AA252))</f>
        <v>#N/A</v>
      </c>
      <c r="O123" s="51">
        <f>COUNTIFs(Matches!$B:$B,E123,Matches!$A:$A,"&gt;"&amp;Q123,Matches!$A:$A,"&lt;"&amp;R123)</f>
        <v>0</v>
      </c>
      <c r="P123" s="51">
        <f>COUNTIFs(Matches!$C:$C,E123,Matches!$A:$A,"&gt;"&amp;Q123,Matches!$A:$A,"&lt;"&amp;R123)</f>
        <v>0</v>
      </c>
      <c r="Q123" s="52">
        <f>VLOOKUP($C$2,Quotas!$A$7:$E$14,2,FALSE)</f>
        <v>46171.70833</v>
      </c>
      <c r="R123" s="52">
        <f>VLOOKUP($C$2,Quotas!$A$7:$E$14,3,FALSE)</f>
        <v>46178.70833</v>
      </c>
    </row>
    <row r="124">
      <c r="A124" s="82" t="str">
        <f t="array" ref="A124">XLOOKUP($E124,'Player Database'!$B$2:$B252,'Player Database'!$C$2:$C252)</f>
        <v>#N/A</v>
      </c>
      <c r="B124" s="82" t="str">
        <f t="array" ref="B124">XLOOKUP($E124,'Player Database'!$B$2:$B252,'Player Database'!$E$2:$E252)</f>
        <v>#N/A</v>
      </c>
      <c r="C124" s="82" t="str">
        <f t="array" ref="C124">XLOOKUP($E124,'Player Database'!$B$2:$B252,'Player Database'!$F$2:$F252)</f>
        <v>#N/A</v>
      </c>
      <c r="D124" s="81">
        <f>IFERROR(__xludf.DUMMYFUNCTION("""COMPUTED_VALUE"""),1.0)</f>
        <v>1</v>
      </c>
      <c r="E124" s="41"/>
      <c r="F124" s="42" t="str">
        <f t="array" ref="F124">XLOOKUP($E124,'Player Database'!$B$2:$B252,'Player Database'!$K$2:$K252)</f>
        <v>#N/A</v>
      </c>
      <c r="G124" s="42" t="str">
        <f t="array" ref="G124">XLOOKUP($E124,'Player Database'!$B$2:$B252,'Player Database'!$AE$2:$AE252)</f>
        <v>#N/A</v>
      </c>
      <c r="H124" s="42" t="str">
        <f t="array" ref="H124">XLOOKUP($E124,'Player Database'!$B$2:$B252,'Player Database'!$H$2:$H252)</f>
        <v>#N/A</v>
      </c>
      <c r="I124" s="42" t="str">
        <f t="array" ref="I124">XLOOKUP($E124,'Player Database'!$B$2:$B252,'Player Database'!$O$2:$O252)</f>
        <v>#N/A</v>
      </c>
      <c r="J124" s="42" t="str">
        <f t="array" ref="J124">XLOOKUP($E124,'Player Database'!$B$2:$B252,'Player Database'!$P$2:$P252)</f>
        <v>#N/A</v>
      </c>
      <c r="K124" s="44" t="str">
        <f t="array" ref="K124">XLOOKUP($E124,'Player Database'!$B$2:$B252,'Player Database'!$U$2:$U252)</f>
        <v>#N/A</v>
      </c>
      <c r="L124" s="47" t="str">
        <f t="array" ref="L124">XLOOKUP($E124,'Player Database'!$B$2:$B252,'Player Database'!$W$2:$W252)</f>
        <v>#N/A</v>
      </c>
      <c r="M124" s="48" t="str">
        <f t="shared" si="1"/>
        <v>0 - 0</v>
      </c>
      <c r="N124" s="50" t="str">
        <f t="array" ref="N124">IF(XLOOKUP($E124,'Player Database'!$B$2:$B252,'Player Database'!$AA$2:$AA252)="",XLOOKUP($E124,'Player Database'!$B$2:$B252,'Player Database'!$G$2:$G252),XLOOKUP($E124,'Player Database'!$B$2:$B252,'Player Database'!$AA$2:$AA252))</f>
        <v>#N/A</v>
      </c>
      <c r="O124" s="51">
        <f>COUNTIFs(Matches!$B:$B,E124,Matches!$A:$A,"&gt;"&amp;Q124,Matches!$A:$A,"&lt;"&amp;R124)</f>
        <v>0</v>
      </c>
      <c r="P124" s="51">
        <f>COUNTIFs(Matches!$C:$C,E124,Matches!$A:$A,"&gt;"&amp;Q124,Matches!$A:$A,"&lt;"&amp;R124)</f>
        <v>0</v>
      </c>
      <c r="Q124" s="52">
        <f>VLOOKUP($C$2,Quotas!$A$7:$E$14,2,FALSE)</f>
        <v>46171.70833</v>
      </c>
      <c r="R124" s="52">
        <f>VLOOKUP($C$2,Quotas!$A$7:$E$14,3,FALSE)</f>
        <v>46178.70833</v>
      </c>
    </row>
    <row r="125">
      <c r="A125" s="82" t="str">
        <f t="array" ref="A125">XLOOKUP($E125,'Player Database'!$B$2:$B252,'Player Database'!$C$2:$C252)</f>
        <v>#N/A</v>
      </c>
      <c r="B125" s="82" t="str">
        <f t="array" ref="B125">XLOOKUP($E125,'Player Database'!$B$2:$B252,'Player Database'!$E$2:$E252)</f>
        <v>#N/A</v>
      </c>
      <c r="C125" s="82" t="str">
        <f t="array" ref="C125">XLOOKUP($E125,'Player Database'!$B$2:$B252,'Player Database'!$F$2:$F252)</f>
        <v>#N/A</v>
      </c>
      <c r="D125" s="81">
        <f>IFERROR(__xludf.DUMMYFUNCTION("""COMPUTED_VALUE"""),1.0)</f>
        <v>1</v>
      </c>
      <c r="E125" s="41"/>
      <c r="F125" s="42" t="str">
        <f t="array" ref="F125">XLOOKUP($E125,'Player Database'!$B$2:$B252,'Player Database'!$K$2:$K252)</f>
        <v>#N/A</v>
      </c>
      <c r="G125" s="42" t="str">
        <f t="array" ref="G125">XLOOKUP($E125,'Player Database'!$B$2:$B252,'Player Database'!$AE$2:$AE252)</f>
        <v>#N/A</v>
      </c>
      <c r="H125" s="42" t="str">
        <f t="array" ref="H125">XLOOKUP($E125,'Player Database'!$B$2:$B252,'Player Database'!$H$2:$H252)</f>
        <v>#N/A</v>
      </c>
      <c r="I125" s="42" t="str">
        <f t="array" ref="I125">XLOOKUP($E125,'Player Database'!$B$2:$B252,'Player Database'!$O$2:$O252)</f>
        <v>#N/A</v>
      </c>
      <c r="J125" s="42" t="str">
        <f t="array" ref="J125">XLOOKUP($E125,'Player Database'!$B$2:$B252,'Player Database'!$P$2:$P252)</f>
        <v>#N/A</v>
      </c>
      <c r="K125" s="44" t="str">
        <f t="array" ref="K125">XLOOKUP($E125,'Player Database'!$B$2:$B252,'Player Database'!$U$2:$U252)</f>
        <v>#N/A</v>
      </c>
      <c r="L125" s="47" t="str">
        <f t="array" ref="L125">XLOOKUP($E125,'Player Database'!$B$2:$B252,'Player Database'!$W$2:$W252)</f>
        <v>#N/A</v>
      </c>
      <c r="M125" s="48" t="str">
        <f t="shared" si="1"/>
        <v>0 - 0</v>
      </c>
      <c r="N125" s="50" t="str">
        <f t="array" ref="N125">IF(XLOOKUP($E125,'Player Database'!$B$2:$B252,'Player Database'!$AA$2:$AA252)="",XLOOKUP($E125,'Player Database'!$B$2:$B252,'Player Database'!$G$2:$G252),XLOOKUP($E125,'Player Database'!$B$2:$B252,'Player Database'!$AA$2:$AA252))</f>
        <v>#N/A</v>
      </c>
      <c r="O125" s="51">
        <f>COUNTIFs(Matches!$B:$B,E125,Matches!$A:$A,"&gt;"&amp;Q125,Matches!$A:$A,"&lt;"&amp;R125)</f>
        <v>0</v>
      </c>
      <c r="P125" s="51">
        <f>COUNTIFs(Matches!$C:$C,E125,Matches!$A:$A,"&gt;"&amp;Q125,Matches!$A:$A,"&lt;"&amp;R125)</f>
        <v>0</v>
      </c>
      <c r="Q125" s="52">
        <f>VLOOKUP($C$2,Quotas!$A$7:$E$14,2,FALSE)</f>
        <v>46171.70833</v>
      </c>
      <c r="R125" s="52">
        <f>VLOOKUP($C$2,Quotas!$A$7:$E$14,3,FALSE)</f>
        <v>46178.70833</v>
      </c>
    </row>
    <row r="126">
      <c r="A126" s="82" t="str">
        <f t="array" ref="A126">XLOOKUP($E126,'Player Database'!$B$2:$B252,'Player Database'!$C$2:$C252)</f>
        <v>#N/A</v>
      </c>
      <c r="B126" s="82" t="str">
        <f t="array" ref="B126">XLOOKUP($E126,'Player Database'!$B$2:$B252,'Player Database'!$E$2:$E252)</f>
        <v>#N/A</v>
      </c>
      <c r="C126" s="82" t="str">
        <f t="array" ref="C126">XLOOKUP($E126,'Player Database'!$B$2:$B252,'Player Database'!$F$2:$F252)</f>
        <v>#N/A</v>
      </c>
      <c r="D126" s="81">
        <f>IFERROR(__xludf.DUMMYFUNCTION("""COMPUTED_VALUE"""),1.0)</f>
        <v>1</v>
      </c>
      <c r="E126" s="41"/>
      <c r="F126" s="42" t="str">
        <f t="array" ref="F126">XLOOKUP($E126,'Player Database'!$B$2:$B252,'Player Database'!$K$2:$K252)</f>
        <v>#N/A</v>
      </c>
      <c r="G126" s="42" t="str">
        <f t="array" ref="G126">XLOOKUP($E126,'Player Database'!$B$2:$B252,'Player Database'!$AE$2:$AE252)</f>
        <v>#N/A</v>
      </c>
      <c r="H126" s="42" t="str">
        <f t="array" ref="H126">XLOOKUP($E126,'Player Database'!$B$2:$B252,'Player Database'!$H$2:$H252)</f>
        <v>#N/A</v>
      </c>
      <c r="I126" s="42" t="str">
        <f t="array" ref="I126">XLOOKUP($E126,'Player Database'!$B$2:$B252,'Player Database'!$O$2:$O252)</f>
        <v>#N/A</v>
      </c>
      <c r="J126" s="42" t="str">
        <f t="array" ref="J126">XLOOKUP($E126,'Player Database'!$B$2:$B252,'Player Database'!$P$2:$P252)</f>
        <v>#N/A</v>
      </c>
      <c r="K126" s="44" t="str">
        <f t="array" ref="K126">XLOOKUP($E126,'Player Database'!$B$2:$B252,'Player Database'!$U$2:$U252)</f>
        <v>#N/A</v>
      </c>
      <c r="L126" s="47" t="str">
        <f t="array" ref="L126">XLOOKUP($E126,'Player Database'!$B$2:$B252,'Player Database'!$W$2:$W252)</f>
        <v>#N/A</v>
      </c>
      <c r="M126" s="48" t="str">
        <f t="shared" si="1"/>
        <v>0 - 0</v>
      </c>
      <c r="N126" s="50" t="str">
        <f t="array" ref="N126">IF(XLOOKUP($E126,'Player Database'!$B$2:$B252,'Player Database'!$AA$2:$AA252)="",XLOOKUP($E126,'Player Database'!$B$2:$B252,'Player Database'!$G$2:$G252),XLOOKUP($E126,'Player Database'!$B$2:$B252,'Player Database'!$AA$2:$AA252))</f>
        <v>#N/A</v>
      </c>
      <c r="O126" s="51">
        <f>COUNTIFs(Matches!$B:$B,E126,Matches!$A:$A,"&gt;"&amp;Q126,Matches!$A:$A,"&lt;"&amp;R126)</f>
        <v>0</v>
      </c>
      <c r="P126" s="51">
        <f>COUNTIFs(Matches!$C:$C,E126,Matches!$A:$A,"&gt;"&amp;Q126,Matches!$A:$A,"&lt;"&amp;R126)</f>
        <v>0</v>
      </c>
      <c r="Q126" s="52">
        <f>VLOOKUP($C$2,Quotas!$A$7:$E$14,2,FALSE)</f>
        <v>46171.70833</v>
      </c>
      <c r="R126" s="52">
        <f>VLOOKUP($C$2,Quotas!$A$7:$E$14,3,FALSE)</f>
        <v>46178.70833</v>
      </c>
    </row>
    <row r="127">
      <c r="A127" s="82" t="str">
        <f t="array" ref="A127">XLOOKUP($E127,'Player Database'!$B$2:$B252,'Player Database'!$C$2:$C252)</f>
        <v>#N/A</v>
      </c>
      <c r="B127" s="82" t="str">
        <f t="array" ref="B127">XLOOKUP($E127,'Player Database'!$B$2:$B252,'Player Database'!$E$2:$E252)</f>
        <v>#N/A</v>
      </c>
      <c r="C127" s="82" t="str">
        <f t="array" ref="C127">XLOOKUP($E127,'Player Database'!$B$2:$B252,'Player Database'!$F$2:$F252)</f>
        <v>#N/A</v>
      </c>
      <c r="D127" s="81">
        <f>IFERROR(__xludf.DUMMYFUNCTION("""COMPUTED_VALUE"""),1.0)</f>
        <v>1</v>
      </c>
      <c r="E127" s="41"/>
      <c r="F127" s="42" t="str">
        <f t="array" ref="F127">XLOOKUP($E127,'Player Database'!$B$2:$B252,'Player Database'!$K$2:$K252)</f>
        <v>#N/A</v>
      </c>
      <c r="G127" s="42" t="str">
        <f t="array" ref="G127">XLOOKUP($E127,'Player Database'!$B$2:$B252,'Player Database'!$AE$2:$AE252)</f>
        <v>#N/A</v>
      </c>
      <c r="H127" s="42" t="str">
        <f t="array" ref="H127">XLOOKUP($E127,'Player Database'!$B$2:$B252,'Player Database'!$H$2:$H252)</f>
        <v>#N/A</v>
      </c>
      <c r="I127" s="42" t="str">
        <f t="array" ref="I127">XLOOKUP($E127,'Player Database'!$B$2:$B252,'Player Database'!$O$2:$O252)</f>
        <v>#N/A</v>
      </c>
      <c r="J127" s="42" t="str">
        <f t="array" ref="J127">XLOOKUP($E127,'Player Database'!$B$2:$B252,'Player Database'!$P$2:$P252)</f>
        <v>#N/A</v>
      </c>
      <c r="K127" s="44" t="str">
        <f t="array" ref="K127">XLOOKUP($E127,'Player Database'!$B$2:$B252,'Player Database'!$U$2:$U252)</f>
        <v>#N/A</v>
      </c>
      <c r="L127" s="47" t="str">
        <f t="array" ref="L127">XLOOKUP($E127,'Player Database'!$B$2:$B252,'Player Database'!$W$2:$W252)</f>
        <v>#N/A</v>
      </c>
      <c r="M127" s="48" t="str">
        <f t="shared" si="1"/>
        <v>0 - 0</v>
      </c>
      <c r="N127" s="50" t="str">
        <f t="array" ref="N127">IF(XLOOKUP($E127,'Player Database'!$B$2:$B252,'Player Database'!$AA$2:$AA252)="",XLOOKUP($E127,'Player Database'!$B$2:$B252,'Player Database'!$G$2:$G252),XLOOKUP($E127,'Player Database'!$B$2:$B252,'Player Database'!$AA$2:$AA252))</f>
        <v>#N/A</v>
      </c>
      <c r="O127" s="51">
        <f>COUNTIFs(Matches!$B:$B,E127,Matches!$A:$A,"&gt;"&amp;Q127,Matches!$A:$A,"&lt;"&amp;R127)</f>
        <v>0</v>
      </c>
      <c r="P127" s="51">
        <f>COUNTIFs(Matches!$C:$C,E127,Matches!$A:$A,"&gt;"&amp;Q127,Matches!$A:$A,"&lt;"&amp;R127)</f>
        <v>0</v>
      </c>
      <c r="Q127" s="52">
        <f>VLOOKUP($C$2,Quotas!$A$7:$E$14,2,FALSE)</f>
        <v>46171.70833</v>
      </c>
      <c r="R127" s="52">
        <f>VLOOKUP($C$2,Quotas!$A$7:$E$14,3,FALSE)</f>
        <v>46178.70833</v>
      </c>
    </row>
    <row r="128">
      <c r="A128" s="82" t="str">
        <f t="array" ref="A128">XLOOKUP($E128,'Player Database'!$B$2:$B252,'Player Database'!$C$2:$C252)</f>
        <v>#N/A</v>
      </c>
      <c r="B128" s="82" t="str">
        <f t="array" ref="B128">XLOOKUP($E128,'Player Database'!$B$2:$B252,'Player Database'!$E$2:$E252)</f>
        <v>#N/A</v>
      </c>
      <c r="C128" s="82" t="str">
        <f t="array" ref="C128">XLOOKUP($E128,'Player Database'!$B$2:$B252,'Player Database'!$F$2:$F252)</f>
        <v>#N/A</v>
      </c>
      <c r="D128" s="81">
        <f>IFERROR(__xludf.DUMMYFUNCTION("""COMPUTED_VALUE"""),1.0)</f>
        <v>1</v>
      </c>
      <c r="E128" s="41"/>
      <c r="F128" s="42" t="str">
        <f t="array" ref="F128">XLOOKUP($E128,'Player Database'!$B$2:$B252,'Player Database'!$K$2:$K252)</f>
        <v>#N/A</v>
      </c>
      <c r="G128" s="42" t="str">
        <f t="array" ref="G128">XLOOKUP($E128,'Player Database'!$B$2:$B252,'Player Database'!$AE$2:$AE252)</f>
        <v>#N/A</v>
      </c>
      <c r="H128" s="42" t="str">
        <f t="array" ref="H128">XLOOKUP($E128,'Player Database'!$B$2:$B252,'Player Database'!$H$2:$H252)</f>
        <v>#N/A</v>
      </c>
      <c r="I128" s="42" t="str">
        <f t="array" ref="I128">XLOOKUP($E128,'Player Database'!$B$2:$B252,'Player Database'!$O$2:$O252)</f>
        <v>#N/A</v>
      </c>
      <c r="J128" s="42" t="str">
        <f t="array" ref="J128">XLOOKUP($E128,'Player Database'!$B$2:$B252,'Player Database'!$P$2:$P252)</f>
        <v>#N/A</v>
      </c>
      <c r="K128" s="44" t="str">
        <f t="array" ref="K128">XLOOKUP($E128,'Player Database'!$B$2:$B252,'Player Database'!$U$2:$U252)</f>
        <v>#N/A</v>
      </c>
      <c r="L128" s="47" t="str">
        <f t="array" ref="L128">XLOOKUP($E128,'Player Database'!$B$2:$B252,'Player Database'!$W$2:$W252)</f>
        <v>#N/A</v>
      </c>
      <c r="M128" s="48" t="str">
        <f t="shared" si="1"/>
        <v>0 - 0</v>
      </c>
      <c r="N128" s="50" t="str">
        <f t="array" ref="N128">IF(XLOOKUP($E128,'Player Database'!$B$2:$B252,'Player Database'!$AA$2:$AA252)="",XLOOKUP($E128,'Player Database'!$B$2:$B252,'Player Database'!$G$2:$G252),XLOOKUP($E128,'Player Database'!$B$2:$B252,'Player Database'!$AA$2:$AA252))</f>
        <v>#N/A</v>
      </c>
      <c r="O128" s="51">
        <f>COUNTIFs(Matches!$B:$B,E128,Matches!$A:$A,"&gt;"&amp;Q128,Matches!$A:$A,"&lt;"&amp;R128)</f>
        <v>0</v>
      </c>
      <c r="P128" s="51">
        <f>COUNTIFs(Matches!$C:$C,E128,Matches!$A:$A,"&gt;"&amp;Q128,Matches!$A:$A,"&lt;"&amp;R128)</f>
        <v>0</v>
      </c>
      <c r="Q128" s="52">
        <f>VLOOKUP($C$2,Quotas!$A$7:$E$14,2,FALSE)</f>
        <v>46171.70833</v>
      </c>
      <c r="R128" s="52">
        <f>VLOOKUP($C$2,Quotas!$A$7:$E$14,3,FALSE)</f>
        <v>46178.70833</v>
      </c>
    </row>
    <row r="129">
      <c r="A129" s="82" t="str">
        <f t="array" ref="A129">XLOOKUP($E129,'Player Database'!$B$2:$B252,'Player Database'!$C$2:$C252)</f>
        <v>#N/A</v>
      </c>
      <c r="B129" s="82" t="str">
        <f t="array" ref="B129">XLOOKUP($E129,'Player Database'!$B$2:$B252,'Player Database'!$E$2:$E252)</f>
        <v>#N/A</v>
      </c>
      <c r="C129" s="82" t="str">
        <f t="array" ref="C129">XLOOKUP($E129,'Player Database'!$B$2:$B252,'Player Database'!$F$2:$F252)</f>
        <v>#N/A</v>
      </c>
      <c r="D129" s="81">
        <f>IFERROR(__xludf.DUMMYFUNCTION("""COMPUTED_VALUE"""),1.0)</f>
        <v>1</v>
      </c>
      <c r="E129" s="41"/>
      <c r="F129" s="42" t="str">
        <f t="array" ref="F129">XLOOKUP($E129,'Player Database'!$B$2:$B252,'Player Database'!$K$2:$K252)</f>
        <v>#N/A</v>
      </c>
      <c r="G129" s="42" t="str">
        <f t="array" ref="G129">XLOOKUP($E129,'Player Database'!$B$2:$B252,'Player Database'!$AE$2:$AE252)</f>
        <v>#N/A</v>
      </c>
      <c r="H129" s="42" t="str">
        <f t="array" ref="H129">XLOOKUP($E129,'Player Database'!$B$2:$B252,'Player Database'!$H$2:$H252)</f>
        <v>#N/A</v>
      </c>
      <c r="I129" s="42" t="str">
        <f t="array" ref="I129">XLOOKUP($E129,'Player Database'!$B$2:$B252,'Player Database'!$O$2:$O252)</f>
        <v>#N/A</v>
      </c>
      <c r="J129" s="42" t="str">
        <f t="array" ref="J129">XLOOKUP($E129,'Player Database'!$B$2:$B252,'Player Database'!$P$2:$P252)</f>
        <v>#N/A</v>
      </c>
      <c r="K129" s="44" t="str">
        <f t="array" ref="K129">XLOOKUP($E129,'Player Database'!$B$2:$B252,'Player Database'!$U$2:$U252)</f>
        <v>#N/A</v>
      </c>
      <c r="L129" s="47" t="str">
        <f t="array" ref="L129">XLOOKUP($E129,'Player Database'!$B$2:$B252,'Player Database'!$W$2:$W252)</f>
        <v>#N/A</v>
      </c>
      <c r="M129" s="48" t="str">
        <f t="shared" si="1"/>
        <v>0 - 0</v>
      </c>
      <c r="N129" s="50" t="str">
        <f t="array" ref="N129">IF(XLOOKUP($E129,'Player Database'!$B$2:$B252,'Player Database'!$AA$2:$AA252)="",XLOOKUP($E129,'Player Database'!$B$2:$B252,'Player Database'!$G$2:$G252),XLOOKUP($E129,'Player Database'!$B$2:$B252,'Player Database'!$AA$2:$AA252))</f>
        <v>#N/A</v>
      </c>
      <c r="O129" s="51">
        <f>COUNTIFs(Matches!$B:$B,E129,Matches!$A:$A,"&gt;"&amp;Q129,Matches!$A:$A,"&lt;"&amp;R129)</f>
        <v>0</v>
      </c>
      <c r="P129" s="51">
        <f>COUNTIFs(Matches!$C:$C,E129,Matches!$A:$A,"&gt;"&amp;Q129,Matches!$A:$A,"&lt;"&amp;R129)</f>
        <v>0</v>
      </c>
      <c r="Q129" s="52">
        <f>VLOOKUP($C$2,Quotas!$A$7:$E$14,2,FALSE)</f>
        <v>46171.70833</v>
      </c>
      <c r="R129" s="52">
        <f>VLOOKUP($C$2,Quotas!$A$7:$E$14,3,FALSE)</f>
        <v>46178.70833</v>
      </c>
    </row>
    <row r="130">
      <c r="A130" s="82" t="str">
        <f t="array" ref="A130">XLOOKUP($E130,'Player Database'!$B$2:$B252,'Player Database'!$C$2:$C252)</f>
        <v>#N/A</v>
      </c>
      <c r="B130" s="82" t="str">
        <f t="array" ref="B130">XLOOKUP($E130,'Player Database'!$B$2:$B252,'Player Database'!$E$2:$E252)</f>
        <v>#N/A</v>
      </c>
      <c r="C130" s="82" t="str">
        <f t="array" ref="C130">XLOOKUP($E130,'Player Database'!$B$2:$B252,'Player Database'!$F$2:$F252)</f>
        <v>#N/A</v>
      </c>
      <c r="D130" s="81">
        <f>IFERROR(__xludf.DUMMYFUNCTION("""COMPUTED_VALUE"""),1.0)</f>
        <v>1</v>
      </c>
      <c r="E130" s="41"/>
      <c r="F130" s="42" t="str">
        <f t="array" ref="F130">XLOOKUP($E130,'Player Database'!$B$2:$B252,'Player Database'!$K$2:$K252)</f>
        <v>#N/A</v>
      </c>
      <c r="G130" s="42" t="str">
        <f t="array" ref="G130">XLOOKUP($E130,'Player Database'!$B$2:$B252,'Player Database'!$AE$2:$AE252)</f>
        <v>#N/A</v>
      </c>
      <c r="H130" s="42" t="str">
        <f t="array" ref="H130">XLOOKUP($E130,'Player Database'!$B$2:$B252,'Player Database'!$H$2:$H252)</f>
        <v>#N/A</v>
      </c>
      <c r="I130" s="42" t="str">
        <f t="array" ref="I130">XLOOKUP($E130,'Player Database'!$B$2:$B252,'Player Database'!$O$2:$O252)</f>
        <v>#N/A</v>
      </c>
      <c r="J130" s="42" t="str">
        <f t="array" ref="J130">XLOOKUP($E130,'Player Database'!$B$2:$B252,'Player Database'!$P$2:$P252)</f>
        <v>#N/A</v>
      </c>
      <c r="K130" s="44" t="str">
        <f t="array" ref="K130">XLOOKUP($E130,'Player Database'!$B$2:$B252,'Player Database'!$U$2:$U252)</f>
        <v>#N/A</v>
      </c>
      <c r="L130" s="47" t="str">
        <f t="array" ref="L130">XLOOKUP($E130,'Player Database'!$B$2:$B252,'Player Database'!$W$2:$W252)</f>
        <v>#N/A</v>
      </c>
      <c r="M130" s="48" t="str">
        <f t="shared" si="1"/>
        <v>0 - 0</v>
      </c>
      <c r="N130" s="50" t="str">
        <f t="array" ref="N130">IF(XLOOKUP($E130,'Player Database'!$B$2:$B252,'Player Database'!$AA$2:$AA252)="",XLOOKUP($E130,'Player Database'!$B$2:$B252,'Player Database'!$G$2:$G252),XLOOKUP($E130,'Player Database'!$B$2:$B252,'Player Database'!$AA$2:$AA252))</f>
        <v>#N/A</v>
      </c>
      <c r="O130" s="51">
        <f>COUNTIFs(Matches!$B:$B,E130,Matches!$A:$A,"&gt;"&amp;Q130,Matches!$A:$A,"&lt;"&amp;R130)</f>
        <v>0</v>
      </c>
      <c r="P130" s="51">
        <f>COUNTIFs(Matches!$C:$C,E130,Matches!$A:$A,"&gt;"&amp;Q130,Matches!$A:$A,"&lt;"&amp;R130)</f>
        <v>0</v>
      </c>
      <c r="Q130" s="52">
        <f>VLOOKUP($C$2,Quotas!$A$7:$E$14,2,FALSE)</f>
        <v>46171.70833</v>
      </c>
      <c r="R130" s="52">
        <f>VLOOKUP($C$2,Quotas!$A$7:$E$14,3,FALSE)</f>
        <v>46178.70833</v>
      </c>
    </row>
    <row r="131">
      <c r="A131" s="82" t="str">
        <f t="array" ref="A131">XLOOKUP($E131,'Player Database'!$B$2:$B252,'Player Database'!$C$2:$C252)</f>
        <v>#N/A</v>
      </c>
      <c r="B131" s="82" t="str">
        <f t="array" ref="B131">XLOOKUP($E131,'Player Database'!$B$2:$B252,'Player Database'!$E$2:$E252)</f>
        <v>#N/A</v>
      </c>
      <c r="C131" s="82" t="str">
        <f t="array" ref="C131">XLOOKUP($E131,'Player Database'!$B$2:$B252,'Player Database'!$F$2:$F252)</f>
        <v>#N/A</v>
      </c>
      <c r="D131" s="81">
        <f>IFERROR(__xludf.DUMMYFUNCTION("""COMPUTED_VALUE"""),1.0)</f>
        <v>1</v>
      </c>
      <c r="E131" s="41"/>
      <c r="F131" s="42" t="str">
        <f t="array" ref="F131">XLOOKUP($E131,'Player Database'!$B$2:$B252,'Player Database'!$K$2:$K252)</f>
        <v>#N/A</v>
      </c>
      <c r="G131" s="42" t="str">
        <f t="array" ref="G131">XLOOKUP($E131,'Player Database'!$B$2:$B252,'Player Database'!$AE$2:$AE252)</f>
        <v>#N/A</v>
      </c>
      <c r="H131" s="42" t="str">
        <f t="array" ref="H131">XLOOKUP($E131,'Player Database'!$B$2:$B252,'Player Database'!$H$2:$H252)</f>
        <v>#N/A</v>
      </c>
      <c r="I131" s="42" t="str">
        <f t="array" ref="I131">XLOOKUP($E131,'Player Database'!$B$2:$B252,'Player Database'!$O$2:$O252)</f>
        <v>#N/A</v>
      </c>
      <c r="J131" s="42" t="str">
        <f t="array" ref="J131">XLOOKUP($E131,'Player Database'!$B$2:$B252,'Player Database'!$P$2:$P252)</f>
        <v>#N/A</v>
      </c>
      <c r="K131" s="44" t="str">
        <f t="array" ref="K131">XLOOKUP($E131,'Player Database'!$B$2:$B252,'Player Database'!$U$2:$U252)</f>
        <v>#N/A</v>
      </c>
      <c r="L131" s="47" t="str">
        <f t="array" ref="L131">XLOOKUP($E131,'Player Database'!$B$2:$B252,'Player Database'!$W$2:$W252)</f>
        <v>#N/A</v>
      </c>
      <c r="M131" s="48" t="str">
        <f t="shared" si="1"/>
        <v>0 - 0</v>
      </c>
      <c r="N131" s="50" t="str">
        <f t="array" ref="N131">IF(XLOOKUP($E131,'Player Database'!$B$2:$B252,'Player Database'!$AA$2:$AA252)="",XLOOKUP($E131,'Player Database'!$B$2:$B252,'Player Database'!$G$2:$G252),XLOOKUP($E131,'Player Database'!$B$2:$B252,'Player Database'!$AA$2:$AA252))</f>
        <v>#N/A</v>
      </c>
      <c r="O131" s="51">
        <f>COUNTIFs(Matches!$B:$B,E131,Matches!$A:$A,"&gt;"&amp;Q131,Matches!$A:$A,"&lt;"&amp;R131)</f>
        <v>0</v>
      </c>
      <c r="P131" s="51">
        <f>COUNTIFs(Matches!$C:$C,E131,Matches!$A:$A,"&gt;"&amp;Q131,Matches!$A:$A,"&lt;"&amp;R131)</f>
        <v>0</v>
      </c>
      <c r="Q131" s="52">
        <f>VLOOKUP($C$2,Quotas!$A$7:$E$14,2,FALSE)</f>
        <v>46171.70833</v>
      </c>
      <c r="R131" s="52">
        <f>VLOOKUP($C$2,Quotas!$A$7:$E$14,3,FALSE)</f>
        <v>46178.70833</v>
      </c>
    </row>
    <row r="132">
      <c r="A132" s="82" t="str">
        <f t="array" ref="A132">XLOOKUP($E132,'Player Database'!$B$2:$B252,'Player Database'!$C$2:$C252)</f>
        <v>#N/A</v>
      </c>
      <c r="B132" s="82" t="str">
        <f t="array" ref="B132">XLOOKUP($E132,'Player Database'!$B$2:$B252,'Player Database'!$E$2:$E252)</f>
        <v>#N/A</v>
      </c>
      <c r="C132" s="82" t="str">
        <f t="array" ref="C132">XLOOKUP($E132,'Player Database'!$B$2:$B252,'Player Database'!$F$2:$F252)</f>
        <v>#N/A</v>
      </c>
      <c r="D132" s="81">
        <f>IFERROR(__xludf.DUMMYFUNCTION("""COMPUTED_VALUE"""),1.0)</f>
        <v>1</v>
      </c>
      <c r="E132" s="41"/>
      <c r="F132" s="42" t="str">
        <f t="array" ref="F132">XLOOKUP($E132,'Player Database'!$B$2:$B252,'Player Database'!$K$2:$K252)</f>
        <v>#N/A</v>
      </c>
      <c r="G132" s="42" t="str">
        <f t="array" ref="G132">XLOOKUP($E132,'Player Database'!$B$2:$B252,'Player Database'!$AE$2:$AE252)</f>
        <v>#N/A</v>
      </c>
      <c r="H132" s="42" t="str">
        <f t="array" ref="H132">XLOOKUP($E132,'Player Database'!$B$2:$B252,'Player Database'!$H$2:$H252)</f>
        <v>#N/A</v>
      </c>
      <c r="I132" s="42" t="str">
        <f t="array" ref="I132">XLOOKUP($E132,'Player Database'!$B$2:$B252,'Player Database'!$O$2:$O252)</f>
        <v>#N/A</v>
      </c>
      <c r="J132" s="42" t="str">
        <f t="array" ref="J132">XLOOKUP($E132,'Player Database'!$B$2:$B252,'Player Database'!$P$2:$P252)</f>
        <v>#N/A</v>
      </c>
      <c r="K132" s="44" t="str">
        <f t="array" ref="K132">XLOOKUP($E132,'Player Database'!$B$2:$B252,'Player Database'!$U$2:$U252)</f>
        <v>#N/A</v>
      </c>
      <c r="L132" s="47" t="str">
        <f t="array" ref="L132">XLOOKUP($E132,'Player Database'!$B$2:$B252,'Player Database'!$W$2:$W252)</f>
        <v>#N/A</v>
      </c>
      <c r="M132" s="48" t="str">
        <f t="shared" si="1"/>
        <v>0 - 0</v>
      </c>
      <c r="N132" s="50" t="str">
        <f t="array" ref="N132">IF(XLOOKUP($E132,'Player Database'!$B$2:$B252,'Player Database'!$AA$2:$AA252)="",XLOOKUP($E132,'Player Database'!$B$2:$B252,'Player Database'!$G$2:$G252),XLOOKUP($E132,'Player Database'!$B$2:$B252,'Player Database'!$AA$2:$AA252))</f>
        <v>#N/A</v>
      </c>
      <c r="O132" s="51">
        <f>COUNTIFs(Matches!$B:$B,E132,Matches!$A:$A,"&gt;"&amp;Q132,Matches!$A:$A,"&lt;"&amp;R132)</f>
        <v>0</v>
      </c>
      <c r="P132" s="51">
        <f>COUNTIFs(Matches!$C:$C,E132,Matches!$A:$A,"&gt;"&amp;Q132,Matches!$A:$A,"&lt;"&amp;R132)</f>
        <v>0</v>
      </c>
      <c r="Q132" s="52">
        <f>VLOOKUP($C$2,Quotas!$A$7:$E$14,2,FALSE)</f>
        <v>46171.70833</v>
      </c>
      <c r="R132" s="52">
        <f>VLOOKUP($C$2,Quotas!$A$7:$E$14,3,FALSE)</f>
        <v>46178.70833</v>
      </c>
    </row>
    <row r="133">
      <c r="A133" s="82" t="str">
        <f t="array" ref="A133">XLOOKUP($E133,'Player Database'!$B$2:$B252,'Player Database'!$C$2:$C252)</f>
        <v>#N/A</v>
      </c>
      <c r="B133" s="82" t="str">
        <f t="array" ref="B133">XLOOKUP($E133,'Player Database'!$B$2:$B252,'Player Database'!$E$2:$E252)</f>
        <v>#N/A</v>
      </c>
      <c r="C133" s="82" t="str">
        <f t="array" ref="C133">XLOOKUP($E133,'Player Database'!$B$2:$B252,'Player Database'!$F$2:$F252)</f>
        <v>#N/A</v>
      </c>
      <c r="D133" s="81">
        <f>IFERROR(__xludf.DUMMYFUNCTION("""COMPUTED_VALUE"""),1.0)</f>
        <v>1</v>
      </c>
      <c r="E133" s="41"/>
      <c r="F133" s="42" t="str">
        <f t="array" ref="F133">XLOOKUP($E133,'Player Database'!$B$2:$B252,'Player Database'!$K$2:$K252)</f>
        <v>#N/A</v>
      </c>
      <c r="G133" s="42" t="str">
        <f t="array" ref="G133">XLOOKUP($E133,'Player Database'!$B$2:$B252,'Player Database'!$AE$2:$AE252)</f>
        <v>#N/A</v>
      </c>
      <c r="H133" s="42" t="str">
        <f t="array" ref="H133">XLOOKUP($E133,'Player Database'!$B$2:$B252,'Player Database'!$H$2:$H252)</f>
        <v>#N/A</v>
      </c>
      <c r="I133" s="42" t="str">
        <f t="array" ref="I133">XLOOKUP($E133,'Player Database'!$B$2:$B252,'Player Database'!$O$2:$O252)</f>
        <v>#N/A</v>
      </c>
      <c r="J133" s="42" t="str">
        <f t="array" ref="J133">XLOOKUP($E133,'Player Database'!$B$2:$B252,'Player Database'!$P$2:$P252)</f>
        <v>#N/A</v>
      </c>
      <c r="K133" s="44" t="str">
        <f t="array" ref="K133">XLOOKUP($E133,'Player Database'!$B$2:$B252,'Player Database'!$U$2:$U252)</f>
        <v>#N/A</v>
      </c>
      <c r="L133" s="47" t="str">
        <f t="array" ref="L133">XLOOKUP($E133,'Player Database'!$B$2:$B252,'Player Database'!$W$2:$W252)</f>
        <v>#N/A</v>
      </c>
      <c r="M133" s="48" t="str">
        <f t="shared" si="1"/>
        <v>0 - 0</v>
      </c>
      <c r="N133" s="50" t="str">
        <f t="array" ref="N133">IF(XLOOKUP($E133,'Player Database'!$B$2:$B252,'Player Database'!$AA$2:$AA252)="",XLOOKUP($E133,'Player Database'!$B$2:$B252,'Player Database'!$G$2:$G252),XLOOKUP($E133,'Player Database'!$B$2:$B252,'Player Database'!$AA$2:$AA252))</f>
        <v>#N/A</v>
      </c>
      <c r="O133" s="51">
        <f>COUNTIFs(Matches!$B:$B,E133,Matches!$A:$A,"&gt;"&amp;Q133,Matches!$A:$A,"&lt;"&amp;R133)</f>
        <v>0</v>
      </c>
      <c r="P133" s="51">
        <f>COUNTIFs(Matches!$C:$C,E133,Matches!$A:$A,"&gt;"&amp;Q133,Matches!$A:$A,"&lt;"&amp;R133)</f>
        <v>0</v>
      </c>
      <c r="Q133" s="52">
        <f>VLOOKUP($C$2,Quotas!$A$7:$E$14,2,FALSE)</f>
        <v>46171.70833</v>
      </c>
      <c r="R133" s="52">
        <f>VLOOKUP($C$2,Quotas!$A$7:$E$14,3,FALSE)</f>
        <v>46178.70833</v>
      </c>
    </row>
    <row r="134">
      <c r="A134" s="82" t="str">
        <f t="array" ref="A134">XLOOKUP($E134,'Player Database'!$B$2:$B252,'Player Database'!$C$2:$C252)</f>
        <v>#N/A</v>
      </c>
      <c r="B134" s="82" t="str">
        <f t="array" ref="B134">XLOOKUP($E134,'Player Database'!$B$2:$B252,'Player Database'!$E$2:$E252)</f>
        <v>#N/A</v>
      </c>
      <c r="C134" s="82" t="str">
        <f t="array" ref="C134">XLOOKUP($E134,'Player Database'!$B$2:$B252,'Player Database'!$F$2:$F252)</f>
        <v>#N/A</v>
      </c>
      <c r="D134" s="81">
        <f>IFERROR(__xludf.DUMMYFUNCTION("""COMPUTED_VALUE"""),1.0)</f>
        <v>1</v>
      </c>
      <c r="E134" s="41"/>
      <c r="F134" s="42" t="str">
        <f t="array" ref="F134">XLOOKUP($E134,'Player Database'!$B$2:$B252,'Player Database'!$K$2:$K252)</f>
        <v>#N/A</v>
      </c>
      <c r="G134" s="42" t="str">
        <f t="array" ref="G134">XLOOKUP($E134,'Player Database'!$B$2:$B252,'Player Database'!$AE$2:$AE252)</f>
        <v>#N/A</v>
      </c>
      <c r="H134" s="42" t="str">
        <f t="array" ref="H134">XLOOKUP($E134,'Player Database'!$B$2:$B252,'Player Database'!$H$2:$H252)</f>
        <v>#N/A</v>
      </c>
      <c r="I134" s="42" t="str">
        <f t="array" ref="I134">XLOOKUP($E134,'Player Database'!$B$2:$B252,'Player Database'!$O$2:$O252)</f>
        <v>#N/A</v>
      </c>
      <c r="J134" s="42" t="str">
        <f t="array" ref="J134">XLOOKUP($E134,'Player Database'!$B$2:$B252,'Player Database'!$P$2:$P252)</f>
        <v>#N/A</v>
      </c>
      <c r="K134" s="44" t="str">
        <f t="array" ref="K134">XLOOKUP($E134,'Player Database'!$B$2:$B252,'Player Database'!$U$2:$U252)</f>
        <v>#N/A</v>
      </c>
      <c r="L134" s="47" t="str">
        <f t="array" ref="L134">XLOOKUP($E134,'Player Database'!$B$2:$B252,'Player Database'!$W$2:$W252)</f>
        <v>#N/A</v>
      </c>
      <c r="M134" s="48" t="str">
        <f t="shared" si="1"/>
        <v>0 - 0</v>
      </c>
      <c r="N134" s="50" t="str">
        <f t="array" ref="N134">IF(XLOOKUP($E134,'Player Database'!$B$2:$B252,'Player Database'!$AA$2:$AA252)="",XLOOKUP($E134,'Player Database'!$B$2:$B252,'Player Database'!$G$2:$G252),XLOOKUP($E134,'Player Database'!$B$2:$B252,'Player Database'!$AA$2:$AA252))</f>
        <v>#N/A</v>
      </c>
      <c r="O134" s="51">
        <f>COUNTIFs(Matches!$B:$B,E134,Matches!$A:$A,"&gt;"&amp;Q134,Matches!$A:$A,"&lt;"&amp;R134)</f>
        <v>0</v>
      </c>
      <c r="P134" s="51">
        <f>COUNTIFs(Matches!$C:$C,E134,Matches!$A:$A,"&gt;"&amp;Q134,Matches!$A:$A,"&lt;"&amp;R134)</f>
        <v>0</v>
      </c>
      <c r="Q134" s="52">
        <f>VLOOKUP($C$2,Quotas!$A$7:$E$14,2,FALSE)</f>
        <v>46171.70833</v>
      </c>
      <c r="R134" s="52">
        <f>VLOOKUP($C$2,Quotas!$A$7:$E$14,3,FALSE)</f>
        <v>46178.70833</v>
      </c>
    </row>
    <row r="135">
      <c r="A135" s="82" t="str">
        <f t="array" ref="A135">XLOOKUP($E135,'Player Database'!$B$2:$B252,'Player Database'!$C$2:$C252)</f>
        <v>#N/A</v>
      </c>
      <c r="B135" s="82" t="str">
        <f t="array" ref="B135">XLOOKUP($E135,'Player Database'!$B$2:$B252,'Player Database'!$E$2:$E252)</f>
        <v>#N/A</v>
      </c>
      <c r="C135" s="82" t="str">
        <f t="array" ref="C135">XLOOKUP($E135,'Player Database'!$B$2:$B252,'Player Database'!$F$2:$F252)</f>
        <v>#N/A</v>
      </c>
      <c r="D135" s="81">
        <f>IFERROR(__xludf.DUMMYFUNCTION("""COMPUTED_VALUE"""),1.0)</f>
        <v>1</v>
      </c>
      <c r="E135" s="41"/>
      <c r="F135" s="42" t="str">
        <f t="array" ref="F135">XLOOKUP($E135,'Player Database'!$B$2:$B252,'Player Database'!$K$2:$K252)</f>
        <v>#N/A</v>
      </c>
      <c r="G135" s="42" t="str">
        <f t="array" ref="G135">XLOOKUP($E135,'Player Database'!$B$2:$B252,'Player Database'!$AE$2:$AE252)</f>
        <v>#N/A</v>
      </c>
      <c r="H135" s="42" t="str">
        <f t="array" ref="H135">XLOOKUP($E135,'Player Database'!$B$2:$B252,'Player Database'!$H$2:$H252)</f>
        <v>#N/A</v>
      </c>
      <c r="I135" s="42" t="str">
        <f t="array" ref="I135">XLOOKUP($E135,'Player Database'!$B$2:$B252,'Player Database'!$O$2:$O252)</f>
        <v>#N/A</v>
      </c>
      <c r="J135" s="42" t="str">
        <f t="array" ref="J135">XLOOKUP($E135,'Player Database'!$B$2:$B252,'Player Database'!$P$2:$P252)</f>
        <v>#N/A</v>
      </c>
      <c r="K135" s="44" t="str">
        <f t="array" ref="K135">XLOOKUP($E135,'Player Database'!$B$2:$B252,'Player Database'!$U$2:$U252)</f>
        <v>#N/A</v>
      </c>
      <c r="L135" s="47" t="str">
        <f t="array" ref="L135">XLOOKUP($E135,'Player Database'!$B$2:$B252,'Player Database'!$W$2:$W252)</f>
        <v>#N/A</v>
      </c>
      <c r="M135" s="48" t="str">
        <f t="shared" si="1"/>
        <v>0 - 0</v>
      </c>
      <c r="N135" s="50" t="str">
        <f t="array" ref="N135">IF(XLOOKUP($E135,'Player Database'!$B$2:$B252,'Player Database'!$AA$2:$AA252)="",XLOOKUP($E135,'Player Database'!$B$2:$B252,'Player Database'!$G$2:$G252),XLOOKUP($E135,'Player Database'!$B$2:$B252,'Player Database'!$AA$2:$AA252))</f>
        <v>#N/A</v>
      </c>
      <c r="O135" s="51">
        <f>COUNTIFs(Matches!$B:$B,E135,Matches!$A:$A,"&gt;"&amp;Q135,Matches!$A:$A,"&lt;"&amp;R135)</f>
        <v>0</v>
      </c>
      <c r="P135" s="51">
        <f>COUNTIFs(Matches!$C:$C,E135,Matches!$A:$A,"&gt;"&amp;Q135,Matches!$A:$A,"&lt;"&amp;R135)</f>
        <v>0</v>
      </c>
      <c r="Q135" s="52">
        <f>VLOOKUP($C$2,Quotas!$A$7:$E$14,2,FALSE)</f>
        <v>46171.70833</v>
      </c>
      <c r="R135" s="52">
        <f>VLOOKUP($C$2,Quotas!$A$7:$E$14,3,FALSE)</f>
        <v>46178.70833</v>
      </c>
    </row>
    <row r="136">
      <c r="A136" s="82" t="str">
        <f t="array" ref="A136">XLOOKUP($E136,'Player Database'!$B$2:$B252,'Player Database'!$C$2:$C252)</f>
        <v>#N/A</v>
      </c>
      <c r="B136" s="82" t="str">
        <f t="array" ref="B136">XLOOKUP($E136,'Player Database'!$B$2:$B252,'Player Database'!$E$2:$E252)</f>
        <v>#N/A</v>
      </c>
      <c r="C136" s="82" t="str">
        <f t="array" ref="C136">XLOOKUP($E136,'Player Database'!$B$2:$B252,'Player Database'!$F$2:$F252)</f>
        <v>#N/A</v>
      </c>
      <c r="D136" s="81">
        <f>IFERROR(__xludf.DUMMYFUNCTION("""COMPUTED_VALUE"""),1.0)</f>
        <v>1</v>
      </c>
      <c r="E136" s="41"/>
      <c r="F136" s="42" t="str">
        <f t="array" ref="F136">XLOOKUP($E136,'Player Database'!$B$2:$B252,'Player Database'!$K$2:$K252)</f>
        <v>#N/A</v>
      </c>
      <c r="G136" s="42" t="str">
        <f t="array" ref="G136">XLOOKUP($E136,'Player Database'!$B$2:$B252,'Player Database'!$AE$2:$AE252)</f>
        <v>#N/A</v>
      </c>
      <c r="H136" s="42" t="str">
        <f t="array" ref="H136">XLOOKUP($E136,'Player Database'!$B$2:$B252,'Player Database'!$H$2:$H252)</f>
        <v>#N/A</v>
      </c>
      <c r="I136" s="42" t="str">
        <f t="array" ref="I136">XLOOKUP($E136,'Player Database'!$B$2:$B252,'Player Database'!$O$2:$O252)</f>
        <v>#N/A</v>
      </c>
      <c r="J136" s="42" t="str">
        <f t="array" ref="J136">XLOOKUP($E136,'Player Database'!$B$2:$B252,'Player Database'!$P$2:$P252)</f>
        <v>#N/A</v>
      </c>
      <c r="K136" s="44" t="str">
        <f t="array" ref="K136">XLOOKUP($E136,'Player Database'!$B$2:$B252,'Player Database'!$U$2:$U252)</f>
        <v>#N/A</v>
      </c>
      <c r="L136" s="47" t="str">
        <f t="array" ref="L136">XLOOKUP($E136,'Player Database'!$B$2:$B252,'Player Database'!$W$2:$W252)</f>
        <v>#N/A</v>
      </c>
      <c r="M136" s="48" t="str">
        <f t="shared" si="1"/>
        <v>0 - 0</v>
      </c>
      <c r="N136" s="50" t="str">
        <f t="array" ref="N136">IF(XLOOKUP($E136,'Player Database'!$B$2:$B252,'Player Database'!$AA$2:$AA252)="",XLOOKUP($E136,'Player Database'!$B$2:$B252,'Player Database'!$G$2:$G252),XLOOKUP($E136,'Player Database'!$B$2:$B252,'Player Database'!$AA$2:$AA252))</f>
        <v>#N/A</v>
      </c>
      <c r="O136" s="51">
        <f>COUNTIFs(Matches!$B:$B,E136,Matches!$A:$A,"&gt;"&amp;Q136,Matches!$A:$A,"&lt;"&amp;R136)</f>
        <v>0</v>
      </c>
      <c r="P136" s="51">
        <f>COUNTIFs(Matches!$C:$C,E136,Matches!$A:$A,"&gt;"&amp;Q136,Matches!$A:$A,"&lt;"&amp;R136)</f>
        <v>0</v>
      </c>
      <c r="Q136" s="52">
        <f>VLOOKUP($C$2,Quotas!$A$7:$E$14,2,FALSE)</f>
        <v>46171.70833</v>
      </c>
      <c r="R136" s="52">
        <f>VLOOKUP($C$2,Quotas!$A$7:$E$14,3,FALSE)</f>
        <v>46178.70833</v>
      </c>
    </row>
    <row r="137">
      <c r="A137" s="82" t="str">
        <f t="array" ref="A137">XLOOKUP($E137,'Player Database'!$B$2:$B252,'Player Database'!$C$2:$C252)</f>
        <v>#N/A</v>
      </c>
      <c r="B137" s="82" t="str">
        <f t="array" ref="B137">XLOOKUP($E137,'Player Database'!$B$2:$B252,'Player Database'!$E$2:$E252)</f>
        <v>#N/A</v>
      </c>
      <c r="C137" s="82" t="str">
        <f t="array" ref="C137">XLOOKUP($E137,'Player Database'!$B$2:$B252,'Player Database'!$F$2:$F252)</f>
        <v>#N/A</v>
      </c>
      <c r="D137" s="81">
        <f>IFERROR(__xludf.DUMMYFUNCTION("""COMPUTED_VALUE"""),1.0)</f>
        <v>1</v>
      </c>
      <c r="E137" s="41"/>
      <c r="F137" s="42" t="str">
        <f t="array" ref="F137">XLOOKUP($E137,'Player Database'!$B$2:$B252,'Player Database'!$K$2:$K252)</f>
        <v>#N/A</v>
      </c>
      <c r="G137" s="42" t="str">
        <f t="array" ref="G137">XLOOKUP($E137,'Player Database'!$B$2:$B252,'Player Database'!$AE$2:$AE252)</f>
        <v>#N/A</v>
      </c>
      <c r="H137" s="42" t="str">
        <f t="array" ref="H137">XLOOKUP($E137,'Player Database'!$B$2:$B252,'Player Database'!$H$2:$H252)</f>
        <v>#N/A</v>
      </c>
      <c r="I137" s="42" t="str">
        <f t="array" ref="I137">XLOOKUP($E137,'Player Database'!$B$2:$B252,'Player Database'!$O$2:$O252)</f>
        <v>#N/A</v>
      </c>
      <c r="J137" s="42" t="str">
        <f t="array" ref="J137">XLOOKUP($E137,'Player Database'!$B$2:$B252,'Player Database'!$P$2:$P252)</f>
        <v>#N/A</v>
      </c>
      <c r="K137" s="44" t="str">
        <f t="array" ref="K137">XLOOKUP($E137,'Player Database'!$B$2:$B252,'Player Database'!$U$2:$U252)</f>
        <v>#N/A</v>
      </c>
      <c r="L137" s="47" t="str">
        <f t="array" ref="L137">XLOOKUP($E137,'Player Database'!$B$2:$B252,'Player Database'!$W$2:$W252)</f>
        <v>#N/A</v>
      </c>
      <c r="M137" s="48" t="str">
        <f t="shared" si="1"/>
        <v>0 - 0</v>
      </c>
      <c r="N137" s="50" t="str">
        <f t="array" ref="N137">IF(XLOOKUP($E137,'Player Database'!$B$2:$B252,'Player Database'!$AA$2:$AA252)="",XLOOKUP($E137,'Player Database'!$B$2:$B252,'Player Database'!$G$2:$G252),XLOOKUP($E137,'Player Database'!$B$2:$B252,'Player Database'!$AA$2:$AA252))</f>
        <v>#N/A</v>
      </c>
      <c r="O137" s="51">
        <f>COUNTIFs(Matches!$B:$B,E137,Matches!$A:$A,"&gt;"&amp;Q137,Matches!$A:$A,"&lt;"&amp;R137)</f>
        <v>0</v>
      </c>
      <c r="P137" s="51">
        <f>COUNTIFs(Matches!$C:$C,E137,Matches!$A:$A,"&gt;"&amp;Q137,Matches!$A:$A,"&lt;"&amp;R137)</f>
        <v>0</v>
      </c>
      <c r="Q137" s="52">
        <f>VLOOKUP($C$2,Quotas!$A$7:$E$14,2,FALSE)</f>
        <v>46171.70833</v>
      </c>
      <c r="R137" s="52">
        <f>VLOOKUP($C$2,Quotas!$A$7:$E$14,3,FALSE)</f>
        <v>46178.70833</v>
      </c>
    </row>
    <row r="138">
      <c r="A138" s="82" t="str">
        <f t="array" ref="A138">XLOOKUP($E138,'Player Database'!$B$2:$B252,'Player Database'!$C$2:$C252)</f>
        <v>#N/A</v>
      </c>
      <c r="B138" s="82" t="str">
        <f t="array" ref="B138">XLOOKUP($E138,'Player Database'!$B$2:$B252,'Player Database'!$E$2:$E252)</f>
        <v>#N/A</v>
      </c>
      <c r="C138" s="82" t="str">
        <f t="array" ref="C138">XLOOKUP($E138,'Player Database'!$B$2:$B252,'Player Database'!$F$2:$F252)</f>
        <v>#N/A</v>
      </c>
      <c r="D138" s="81">
        <f>IFERROR(__xludf.DUMMYFUNCTION("""COMPUTED_VALUE"""),1.0)</f>
        <v>1</v>
      </c>
      <c r="E138" s="41"/>
      <c r="F138" s="42" t="str">
        <f t="array" ref="F138">XLOOKUP($E138,'Player Database'!$B$2:$B252,'Player Database'!$K$2:$K252)</f>
        <v>#N/A</v>
      </c>
      <c r="G138" s="42" t="str">
        <f t="array" ref="G138">XLOOKUP($E138,'Player Database'!$B$2:$B252,'Player Database'!$AE$2:$AE252)</f>
        <v>#N/A</v>
      </c>
      <c r="H138" s="42" t="str">
        <f t="array" ref="H138">XLOOKUP($E138,'Player Database'!$B$2:$B252,'Player Database'!$H$2:$H252)</f>
        <v>#N/A</v>
      </c>
      <c r="I138" s="42" t="str">
        <f t="array" ref="I138">XLOOKUP($E138,'Player Database'!$B$2:$B252,'Player Database'!$O$2:$O252)</f>
        <v>#N/A</v>
      </c>
      <c r="J138" s="42" t="str">
        <f t="array" ref="J138">XLOOKUP($E138,'Player Database'!$B$2:$B252,'Player Database'!$P$2:$P252)</f>
        <v>#N/A</v>
      </c>
      <c r="K138" s="44" t="str">
        <f t="array" ref="K138">XLOOKUP($E138,'Player Database'!$B$2:$B252,'Player Database'!$U$2:$U252)</f>
        <v>#N/A</v>
      </c>
      <c r="L138" s="47" t="str">
        <f t="array" ref="L138">XLOOKUP($E138,'Player Database'!$B$2:$B252,'Player Database'!$W$2:$W252)</f>
        <v>#N/A</v>
      </c>
      <c r="M138" s="48" t="str">
        <f t="shared" si="1"/>
        <v>0 - 0</v>
      </c>
      <c r="N138" s="50" t="str">
        <f t="array" ref="N138">IF(XLOOKUP($E138,'Player Database'!$B$2:$B252,'Player Database'!$AA$2:$AA252)="",XLOOKUP($E138,'Player Database'!$B$2:$B252,'Player Database'!$G$2:$G252),XLOOKUP($E138,'Player Database'!$B$2:$B252,'Player Database'!$AA$2:$AA252))</f>
        <v>#N/A</v>
      </c>
      <c r="O138" s="51">
        <f>COUNTIFs(Matches!$B:$B,E138,Matches!$A:$A,"&gt;"&amp;Q138,Matches!$A:$A,"&lt;"&amp;R138)</f>
        <v>0</v>
      </c>
      <c r="P138" s="51">
        <f>COUNTIFs(Matches!$C:$C,E138,Matches!$A:$A,"&gt;"&amp;Q138,Matches!$A:$A,"&lt;"&amp;R138)</f>
        <v>0</v>
      </c>
      <c r="Q138" s="52">
        <f>VLOOKUP($C$2,Quotas!$A$7:$E$14,2,FALSE)</f>
        <v>46171.70833</v>
      </c>
      <c r="R138" s="52">
        <f>VLOOKUP($C$2,Quotas!$A$7:$E$14,3,FALSE)</f>
        <v>46178.70833</v>
      </c>
    </row>
    <row r="139">
      <c r="A139" s="82" t="str">
        <f t="array" ref="A139">XLOOKUP($E139,'Player Database'!$B$2:$B252,'Player Database'!$C$2:$C252)</f>
        <v>#N/A</v>
      </c>
      <c r="B139" s="82" t="str">
        <f t="array" ref="B139">XLOOKUP($E139,'Player Database'!$B$2:$B252,'Player Database'!$E$2:$E252)</f>
        <v>#N/A</v>
      </c>
      <c r="C139" s="82" t="str">
        <f t="array" ref="C139">XLOOKUP($E139,'Player Database'!$B$2:$B252,'Player Database'!$F$2:$F252)</f>
        <v>#N/A</v>
      </c>
      <c r="D139" s="81">
        <f>IFERROR(__xludf.DUMMYFUNCTION("""COMPUTED_VALUE"""),1.0)</f>
        <v>1</v>
      </c>
      <c r="E139" s="41"/>
      <c r="F139" s="42" t="str">
        <f t="array" ref="F139">XLOOKUP($E139,'Player Database'!$B$2:$B252,'Player Database'!$K$2:$K252)</f>
        <v>#N/A</v>
      </c>
      <c r="G139" s="42" t="str">
        <f t="array" ref="G139">XLOOKUP($E139,'Player Database'!$B$2:$B252,'Player Database'!$AE$2:$AE252)</f>
        <v>#N/A</v>
      </c>
      <c r="H139" s="42" t="str">
        <f t="array" ref="H139">XLOOKUP($E139,'Player Database'!$B$2:$B252,'Player Database'!$H$2:$H252)</f>
        <v>#N/A</v>
      </c>
      <c r="I139" s="42" t="str">
        <f t="array" ref="I139">XLOOKUP($E139,'Player Database'!$B$2:$B252,'Player Database'!$O$2:$O252)</f>
        <v>#N/A</v>
      </c>
      <c r="J139" s="42" t="str">
        <f t="array" ref="J139">XLOOKUP($E139,'Player Database'!$B$2:$B252,'Player Database'!$P$2:$P252)</f>
        <v>#N/A</v>
      </c>
      <c r="K139" s="44" t="str">
        <f t="array" ref="K139">XLOOKUP($E139,'Player Database'!$B$2:$B252,'Player Database'!$U$2:$U252)</f>
        <v>#N/A</v>
      </c>
      <c r="L139" s="47" t="str">
        <f t="array" ref="L139">XLOOKUP($E139,'Player Database'!$B$2:$B252,'Player Database'!$W$2:$W252)</f>
        <v>#N/A</v>
      </c>
      <c r="M139" s="48" t="str">
        <f t="shared" si="1"/>
        <v>0 - 0</v>
      </c>
      <c r="N139" s="50" t="str">
        <f t="array" ref="N139">IF(XLOOKUP($E139,'Player Database'!$B$2:$B252,'Player Database'!$AA$2:$AA252)="",XLOOKUP($E139,'Player Database'!$B$2:$B252,'Player Database'!$G$2:$G252),XLOOKUP($E139,'Player Database'!$B$2:$B252,'Player Database'!$AA$2:$AA252))</f>
        <v>#N/A</v>
      </c>
      <c r="O139" s="51">
        <f>COUNTIFs(Matches!$B:$B,E139,Matches!$A:$A,"&gt;"&amp;Q139,Matches!$A:$A,"&lt;"&amp;R139)</f>
        <v>0</v>
      </c>
      <c r="P139" s="51">
        <f>COUNTIFs(Matches!$C:$C,E139,Matches!$A:$A,"&gt;"&amp;Q139,Matches!$A:$A,"&lt;"&amp;R139)</f>
        <v>0</v>
      </c>
      <c r="Q139" s="52">
        <f>VLOOKUP($C$2,Quotas!$A$7:$E$14,2,FALSE)</f>
        <v>46171.70833</v>
      </c>
      <c r="R139" s="52">
        <f>VLOOKUP($C$2,Quotas!$A$7:$E$14,3,FALSE)</f>
        <v>46178.70833</v>
      </c>
    </row>
    <row r="140">
      <c r="A140" s="82" t="str">
        <f t="array" ref="A140">XLOOKUP($E140,'Player Database'!$B$2:$B252,'Player Database'!$C$2:$C252)</f>
        <v>#N/A</v>
      </c>
      <c r="B140" s="82" t="str">
        <f t="array" ref="B140">XLOOKUP($E140,'Player Database'!$B$2:$B252,'Player Database'!$E$2:$E252)</f>
        <v>#N/A</v>
      </c>
      <c r="C140" s="82" t="str">
        <f t="array" ref="C140">XLOOKUP($E140,'Player Database'!$B$2:$B252,'Player Database'!$F$2:$F252)</f>
        <v>#N/A</v>
      </c>
      <c r="D140" s="81">
        <f>IFERROR(__xludf.DUMMYFUNCTION("""COMPUTED_VALUE"""),1.0)</f>
        <v>1</v>
      </c>
      <c r="E140" s="41"/>
      <c r="F140" s="42" t="str">
        <f t="array" ref="F140">XLOOKUP($E140,'Player Database'!$B$2:$B252,'Player Database'!$K$2:$K252)</f>
        <v>#N/A</v>
      </c>
      <c r="G140" s="42" t="str">
        <f t="array" ref="G140">XLOOKUP($E140,'Player Database'!$B$2:$B252,'Player Database'!$AE$2:$AE252)</f>
        <v>#N/A</v>
      </c>
      <c r="H140" s="42" t="str">
        <f t="array" ref="H140">XLOOKUP($E140,'Player Database'!$B$2:$B252,'Player Database'!$H$2:$H252)</f>
        <v>#N/A</v>
      </c>
      <c r="I140" s="42" t="str">
        <f t="array" ref="I140">XLOOKUP($E140,'Player Database'!$B$2:$B252,'Player Database'!$O$2:$O252)</f>
        <v>#N/A</v>
      </c>
      <c r="J140" s="42" t="str">
        <f t="array" ref="J140">XLOOKUP($E140,'Player Database'!$B$2:$B252,'Player Database'!$P$2:$P252)</f>
        <v>#N/A</v>
      </c>
      <c r="K140" s="44" t="str">
        <f t="array" ref="K140">XLOOKUP($E140,'Player Database'!$B$2:$B252,'Player Database'!$U$2:$U252)</f>
        <v>#N/A</v>
      </c>
      <c r="L140" s="47" t="str">
        <f t="array" ref="L140">XLOOKUP($E140,'Player Database'!$B$2:$B252,'Player Database'!$W$2:$W252)</f>
        <v>#N/A</v>
      </c>
      <c r="M140" s="48" t="str">
        <f t="shared" si="1"/>
        <v>0 - 0</v>
      </c>
      <c r="N140" s="50" t="str">
        <f t="array" ref="N140">IF(XLOOKUP($E140,'Player Database'!$B$2:$B252,'Player Database'!$AA$2:$AA252)="",XLOOKUP($E140,'Player Database'!$B$2:$B252,'Player Database'!$G$2:$G252),XLOOKUP($E140,'Player Database'!$B$2:$B252,'Player Database'!$AA$2:$AA252))</f>
        <v>#N/A</v>
      </c>
      <c r="O140" s="51">
        <f>COUNTIFs(Matches!$B:$B,E140,Matches!$A:$A,"&gt;"&amp;Q140,Matches!$A:$A,"&lt;"&amp;R140)</f>
        <v>0</v>
      </c>
      <c r="P140" s="51">
        <f>COUNTIFs(Matches!$C:$C,E140,Matches!$A:$A,"&gt;"&amp;Q140,Matches!$A:$A,"&lt;"&amp;R140)</f>
        <v>0</v>
      </c>
      <c r="Q140" s="52">
        <f>VLOOKUP($C$2,Quotas!$A$7:$E$14,2,FALSE)</f>
        <v>46171.70833</v>
      </c>
      <c r="R140" s="52">
        <f>VLOOKUP($C$2,Quotas!$A$7:$E$14,3,FALSE)</f>
        <v>46178.70833</v>
      </c>
    </row>
    <row r="141">
      <c r="A141" s="82" t="str">
        <f t="array" ref="A141">XLOOKUP($E141,'Player Database'!$B$2:$B252,'Player Database'!$C$2:$C252)</f>
        <v>#N/A</v>
      </c>
      <c r="B141" s="82" t="str">
        <f t="array" ref="B141">XLOOKUP($E141,'Player Database'!$B$2:$B252,'Player Database'!$E$2:$E252)</f>
        <v>#N/A</v>
      </c>
      <c r="C141" s="82" t="str">
        <f t="array" ref="C141">XLOOKUP($E141,'Player Database'!$B$2:$B252,'Player Database'!$F$2:$F252)</f>
        <v>#N/A</v>
      </c>
      <c r="D141" s="81">
        <f>IFERROR(__xludf.DUMMYFUNCTION("""COMPUTED_VALUE"""),1.0)</f>
        <v>1</v>
      </c>
      <c r="E141" s="41"/>
      <c r="F141" s="42" t="str">
        <f t="array" ref="F141">XLOOKUP($E141,'Player Database'!$B$2:$B252,'Player Database'!$K$2:$K252)</f>
        <v>#N/A</v>
      </c>
      <c r="G141" s="42" t="str">
        <f t="array" ref="G141">XLOOKUP($E141,'Player Database'!$B$2:$B252,'Player Database'!$AE$2:$AE252)</f>
        <v>#N/A</v>
      </c>
      <c r="H141" s="42" t="str">
        <f t="array" ref="H141">XLOOKUP($E141,'Player Database'!$B$2:$B252,'Player Database'!$H$2:$H252)</f>
        <v>#N/A</v>
      </c>
      <c r="I141" s="42" t="str">
        <f t="array" ref="I141">XLOOKUP($E141,'Player Database'!$B$2:$B252,'Player Database'!$O$2:$O252)</f>
        <v>#N/A</v>
      </c>
      <c r="J141" s="42" t="str">
        <f t="array" ref="J141">XLOOKUP($E141,'Player Database'!$B$2:$B252,'Player Database'!$P$2:$P252)</f>
        <v>#N/A</v>
      </c>
      <c r="K141" s="44" t="str">
        <f t="array" ref="K141">XLOOKUP($E141,'Player Database'!$B$2:$B252,'Player Database'!$U$2:$U252)</f>
        <v>#N/A</v>
      </c>
      <c r="L141" s="47" t="str">
        <f t="array" ref="L141">XLOOKUP($E141,'Player Database'!$B$2:$B252,'Player Database'!$W$2:$W252)</f>
        <v>#N/A</v>
      </c>
      <c r="M141" s="48" t="str">
        <f t="shared" si="1"/>
        <v>0 - 0</v>
      </c>
      <c r="N141" s="50" t="str">
        <f t="array" ref="N141">IF(XLOOKUP($E141,'Player Database'!$B$2:$B252,'Player Database'!$AA$2:$AA252)="",XLOOKUP($E141,'Player Database'!$B$2:$B252,'Player Database'!$G$2:$G252),XLOOKUP($E141,'Player Database'!$B$2:$B252,'Player Database'!$AA$2:$AA252))</f>
        <v>#N/A</v>
      </c>
      <c r="O141" s="51">
        <f>COUNTIFs(Matches!$B:$B,E141,Matches!$A:$A,"&gt;"&amp;Q141,Matches!$A:$A,"&lt;"&amp;R141)</f>
        <v>0</v>
      </c>
      <c r="P141" s="51">
        <f>COUNTIFs(Matches!$C:$C,E141,Matches!$A:$A,"&gt;"&amp;Q141,Matches!$A:$A,"&lt;"&amp;R141)</f>
        <v>0</v>
      </c>
      <c r="Q141" s="52">
        <f>VLOOKUP($C$2,Quotas!$A$7:$E$14,2,FALSE)</f>
        <v>46171.70833</v>
      </c>
      <c r="R141" s="52">
        <f>VLOOKUP($C$2,Quotas!$A$7:$E$14,3,FALSE)</f>
        <v>46178.70833</v>
      </c>
    </row>
    <row r="142">
      <c r="A142" s="82" t="str">
        <f t="array" ref="A142">XLOOKUP($E142,'Player Database'!$B$2:$B252,'Player Database'!$C$2:$C252)</f>
        <v>#N/A</v>
      </c>
      <c r="B142" s="82" t="str">
        <f t="array" ref="B142">XLOOKUP($E142,'Player Database'!$B$2:$B252,'Player Database'!$E$2:$E252)</f>
        <v>#N/A</v>
      </c>
      <c r="C142" s="82" t="str">
        <f t="array" ref="C142">XLOOKUP($E142,'Player Database'!$B$2:$B252,'Player Database'!$F$2:$F252)</f>
        <v>#N/A</v>
      </c>
      <c r="D142" s="81">
        <f>IFERROR(__xludf.DUMMYFUNCTION("""COMPUTED_VALUE"""),1.0)</f>
        <v>1</v>
      </c>
      <c r="E142" s="41"/>
      <c r="F142" s="42" t="str">
        <f t="array" ref="F142">XLOOKUP($E142,'Player Database'!$B$2:$B252,'Player Database'!$K$2:$K252)</f>
        <v>#N/A</v>
      </c>
      <c r="G142" s="42" t="str">
        <f t="array" ref="G142">XLOOKUP($E142,'Player Database'!$B$2:$B252,'Player Database'!$AE$2:$AE252)</f>
        <v>#N/A</v>
      </c>
      <c r="H142" s="42" t="str">
        <f t="array" ref="H142">XLOOKUP($E142,'Player Database'!$B$2:$B252,'Player Database'!$H$2:$H252)</f>
        <v>#N/A</v>
      </c>
      <c r="I142" s="42" t="str">
        <f t="array" ref="I142">XLOOKUP($E142,'Player Database'!$B$2:$B252,'Player Database'!$O$2:$O252)</f>
        <v>#N/A</v>
      </c>
      <c r="J142" s="42" t="str">
        <f t="array" ref="J142">XLOOKUP($E142,'Player Database'!$B$2:$B252,'Player Database'!$P$2:$P252)</f>
        <v>#N/A</v>
      </c>
      <c r="K142" s="44" t="str">
        <f t="array" ref="K142">XLOOKUP($E142,'Player Database'!$B$2:$B252,'Player Database'!$U$2:$U252)</f>
        <v>#N/A</v>
      </c>
      <c r="L142" s="47" t="str">
        <f t="array" ref="L142">XLOOKUP($E142,'Player Database'!$B$2:$B252,'Player Database'!$W$2:$W252)</f>
        <v>#N/A</v>
      </c>
      <c r="M142" s="48" t="str">
        <f t="shared" si="1"/>
        <v>0 - 0</v>
      </c>
      <c r="N142" s="50" t="str">
        <f t="array" ref="N142">IF(XLOOKUP($E142,'Player Database'!$B$2:$B252,'Player Database'!$AA$2:$AA252)="",XLOOKUP($E142,'Player Database'!$B$2:$B252,'Player Database'!$G$2:$G252),XLOOKUP($E142,'Player Database'!$B$2:$B252,'Player Database'!$AA$2:$AA252))</f>
        <v>#N/A</v>
      </c>
      <c r="O142" s="51">
        <f>COUNTIFs(Matches!$B:$B,E142,Matches!$A:$A,"&gt;"&amp;Q142,Matches!$A:$A,"&lt;"&amp;R142)</f>
        <v>0</v>
      </c>
      <c r="P142" s="51">
        <f>COUNTIFs(Matches!$C:$C,E142,Matches!$A:$A,"&gt;"&amp;Q142,Matches!$A:$A,"&lt;"&amp;R142)</f>
        <v>0</v>
      </c>
      <c r="Q142" s="52">
        <f>VLOOKUP($C$2,Quotas!$A$7:$E$14,2,FALSE)</f>
        <v>46171.70833</v>
      </c>
      <c r="R142" s="52">
        <f>VLOOKUP($C$2,Quotas!$A$7:$E$14,3,FALSE)</f>
        <v>46178.70833</v>
      </c>
    </row>
    <row r="143">
      <c r="A143" s="82" t="str">
        <f t="array" ref="A143">XLOOKUP($E143,'Player Database'!$B$2:$B252,'Player Database'!$C$2:$C252)</f>
        <v>#N/A</v>
      </c>
      <c r="B143" s="82" t="str">
        <f t="array" ref="B143">XLOOKUP($E143,'Player Database'!$B$2:$B252,'Player Database'!$E$2:$E252)</f>
        <v>#N/A</v>
      </c>
      <c r="C143" s="82" t="str">
        <f t="array" ref="C143">XLOOKUP($E143,'Player Database'!$B$2:$B252,'Player Database'!$F$2:$F252)</f>
        <v>#N/A</v>
      </c>
      <c r="D143" s="81">
        <f>IFERROR(__xludf.DUMMYFUNCTION("""COMPUTED_VALUE"""),1.0)</f>
        <v>1</v>
      </c>
      <c r="E143" s="41"/>
      <c r="F143" s="42" t="str">
        <f t="array" ref="F143">XLOOKUP($E143,'Player Database'!$B$2:$B252,'Player Database'!$K$2:$K252)</f>
        <v>#N/A</v>
      </c>
      <c r="G143" s="42" t="str">
        <f t="array" ref="G143">XLOOKUP($E143,'Player Database'!$B$2:$B252,'Player Database'!$AE$2:$AE252)</f>
        <v>#N/A</v>
      </c>
      <c r="H143" s="42" t="str">
        <f t="array" ref="H143">XLOOKUP($E143,'Player Database'!$B$2:$B252,'Player Database'!$H$2:$H252)</f>
        <v>#N/A</v>
      </c>
      <c r="I143" s="42" t="str">
        <f t="array" ref="I143">XLOOKUP($E143,'Player Database'!$B$2:$B252,'Player Database'!$O$2:$O252)</f>
        <v>#N/A</v>
      </c>
      <c r="J143" s="42" t="str">
        <f t="array" ref="J143">XLOOKUP($E143,'Player Database'!$B$2:$B252,'Player Database'!$P$2:$P252)</f>
        <v>#N/A</v>
      </c>
      <c r="K143" s="44" t="str">
        <f t="array" ref="K143">XLOOKUP($E143,'Player Database'!$B$2:$B252,'Player Database'!$U$2:$U252)</f>
        <v>#N/A</v>
      </c>
      <c r="L143" s="47" t="str">
        <f t="array" ref="L143">XLOOKUP($E143,'Player Database'!$B$2:$B252,'Player Database'!$W$2:$W252)</f>
        <v>#N/A</v>
      </c>
      <c r="M143" s="48" t="str">
        <f t="shared" si="1"/>
        <v>0 - 0</v>
      </c>
      <c r="N143" s="50" t="str">
        <f t="array" ref="N143">IF(XLOOKUP($E143,'Player Database'!$B$2:$B252,'Player Database'!$AA$2:$AA252)="",XLOOKUP($E143,'Player Database'!$B$2:$B252,'Player Database'!$G$2:$G252),XLOOKUP($E143,'Player Database'!$B$2:$B252,'Player Database'!$AA$2:$AA252))</f>
        <v>#N/A</v>
      </c>
      <c r="O143" s="51">
        <f>COUNTIFs(Matches!$B:$B,E143,Matches!$A:$A,"&gt;"&amp;Q143,Matches!$A:$A,"&lt;"&amp;R143)</f>
        <v>0</v>
      </c>
      <c r="P143" s="51">
        <f>COUNTIFs(Matches!$C:$C,E143,Matches!$A:$A,"&gt;"&amp;Q143,Matches!$A:$A,"&lt;"&amp;R143)</f>
        <v>0</v>
      </c>
      <c r="Q143" s="52">
        <f>VLOOKUP($C$2,Quotas!$A$7:$E$14,2,FALSE)</f>
        <v>46171.70833</v>
      </c>
      <c r="R143" s="52">
        <f>VLOOKUP($C$2,Quotas!$A$7:$E$14,3,FALSE)</f>
        <v>46178.70833</v>
      </c>
    </row>
    <row r="144">
      <c r="A144" s="82" t="str">
        <f t="array" ref="A144">XLOOKUP($E144,'Player Database'!$B$2:$B252,'Player Database'!$C$2:$C252)</f>
        <v>#N/A</v>
      </c>
      <c r="B144" s="82" t="str">
        <f t="array" ref="B144">XLOOKUP($E144,'Player Database'!$B$2:$B252,'Player Database'!$E$2:$E252)</f>
        <v>#N/A</v>
      </c>
      <c r="C144" s="82" t="str">
        <f t="array" ref="C144">XLOOKUP($E144,'Player Database'!$B$2:$B252,'Player Database'!$F$2:$F252)</f>
        <v>#N/A</v>
      </c>
      <c r="D144" s="81">
        <f>IFERROR(__xludf.DUMMYFUNCTION("""COMPUTED_VALUE"""),1.0)</f>
        <v>1</v>
      </c>
      <c r="E144" s="41"/>
      <c r="F144" s="42" t="str">
        <f t="array" ref="F144">XLOOKUP($E144,'Player Database'!$B$2:$B252,'Player Database'!$K$2:$K252)</f>
        <v>#N/A</v>
      </c>
      <c r="G144" s="42" t="str">
        <f t="array" ref="G144">XLOOKUP($E144,'Player Database'!$B$2:$B252,'Player Database'!$AE$2:$AE252)</f>
        <v>#N/A</v>
      </c>
      <c r="H144" s="42" t="str">
        <f t="array" ref="H144">XLOOKUP($E144,'Player Database'!$B$2:$B252,'Player Database'!$H$2:$H252)</f>
        <v>#N/A</v>
      </c>
      <c r="I144" s="42" t="str">
        <f t="array" ref="I144">XLOOKUP($E144,'Player Database'!$B$2:$B252,'Player Database'!$O$2:$O252)</f>
        <v>#N/A</v>
      </c>
      <c r="J144" s="42" t="str">
        <f t="array" ref="J144">XLOOKUP($E144,'Player Database'!$B$2:$B252,'Player Database'!$P$2:$P252)</f>
        <v>#N/A</v>
      </c>
      <c r="K144" s="44" t="str">
        <f t="array" ref="K144">XLOOKUP($E144,'Player Database'!$B$2:$B252,'Player Database'!$U$2:$U252)</f>
        <v>#N/A</v>
      </c>
      <c r="L144" s="47" t="str">
        <f t="array" ref="L144">XLOOKUP($E144,'Player Database'!$B$2:$B252,'Player Database'!$W$2:$W252)</f>
        <v>#N/A</v>
      </c>
      <c r="M144" s="48" t="str">
        <f t="shared" si="1"/>
        <v>0 - 0</v>
      </c>
      <c r="N144" s="50" t="str">
        <f t="array" ref="N144">IF(XLOOKUP($E144,'Player Database'!$B$2:$B252,'Player Database'!$AA$2:$AA252)="",XLOOKUP($E144,'Player Database'!$B$2:$B252,'Player Database'!$G$2:$G252),XLOOKUP($E144,'Player Database'!$B$2:$B252,'Player Database'!$AA$2:$AA252))</f>
        <v>#N/A</v>
      </c>
      <c r="O144" s="51">
        <f>COUNTIFs(Matches!$B:$B,E144,Matches!$A:$A,"&gt;"&amp;Q144,Matches!$A:$A,"&lt;"&amp;R144)</f>
        <v>0</v>
      </c>
      <c r="P144" s="51">
        <f>COUNTIFs(Matches!$C:$C,E144,Matches!$A:$A,"&gt;"&amp;Q144,Matches!$A:$A,"&lt;"&amp;R144)</f>
        <v>0</v>
      </c>
      <c r="Q144" s="52">
        <f>VLOOKUP($C$2,Quotas!$A$7:$E$14,2,FALSE)</f>
        <v>46171.70833</v>
      </c>
      <c r="R144" s="52">
        <f>VLOOKUP($C$2,Quotas!$A$7:$E$14,3,FALSE)</f>
        <v>46178.70833</v>
      </c>
    </row>
    <row r="145" ht="18.75" customHeight="1">
      <c r="A145" s="82" t="str">
        <f t="array" ref="A145">XLOOKUP($E145,'Player Database'!$B$2:$B252,'Player Database'!$C$2:$C252)</f>
        <v>#N/A</v>
      </c>
      <c r="B145" s="82" t="str">
        <f t="array" ref="B145">XLOOKUP($E145,'Player Database'!$B$2:$B252,'Player Database'!$E$2:$E252)</f>
        <v>#N/A</v>
      </c>
      <c r="C145" s="82" t="str">
        <f t="array" ref="C145">XLOOKUP($E145,'Player Database'!$B$2:$B252,'Player Database'!$F$2:$F252)</f>
        <v>#N/A</v>
      </c>
      <c r="D145" s="81">
        <f>IFERROR(__xludf.DUMMYFUNCTION("""COMPUTED_VALUE"""),1.0)</f>
        <v>1</v>
      </c>
      <c r="E145" s="41"/>
      <c r="F145" s="42" t="str">
        <f t="array" ref="F145">XLOOKUP($E145,'Player Database'!$B$2:$B252,'Player Database'!$K$2:$K252)</f>
        <v>#N/A</v>
      </c>
      <c r="G145" s="42" t="str">
        <f t="array" ref="G145">XLOOKUP($E145,'Player Database'!$B$2:$B252,'Player Database'!$AE$2:$AE252)</f>
        <v>#N/A</v>
      </c>
      <c r="H145" s="42" t="str">
        <f t="array" ref="H145">XLOOKUP($E145,'Player Database'!$B$2:$B252,'Player Database'!$H$2:$H252)</f>
        <v>#N/A</v>
      </c>
      <c r="I145" s="42" t="str">
        <f t="array" ref="I145">XLOOKUP($E145,'Player Database'!$B$2:$B252,'Player Database'!$O$2:$O252)</f>
        <v>#N/A</v>
      </c>
      <c r="J145" s="42" t="str">
        <f t="array" ref="J145">XLOOKUP($E145,'Player Database'!$B$2:$B252,'Player Database'!$P$2:$P252)</f>
        <v>#N/A</v>
      </c>
      <c r="K145" s="44" t="str">
        <f t="array" ref="K145">XLOOKUP($E145,'Player Database'!$B$2:$B252,'Player Database'!$U$2:$U252)</f>
        <v>#N/A</v>
      </c>
      <c r="L145" s="47" t="str">
        <f t="array" ref="L145">XLOOKUP($E145,'Player Database'!$B$2:$B252,'Player Database'!$W$2:$W252)</f>
        <v>#N/A</v>
      </c>
      <c r="M145" s="48" t="str">
        <f t="shared" si="1"/>
        <v>0 - 0</v>
      </c>
      <c r="N145" s="50" t="str">
        <f t="array" ref="N145">IF(XLOOKUP($E145,'Player Database'!$B$2:$B252,'Player Database'!$AA$2:$AA252)="",XLOOKUP($E145,'Player Database'!$B$2:$B252,'Player Database'!$G$2:$G252),XLOOKUP($E145,'Player Database'!$B$2:$B252,'Player Database'!$AA$2:$AA252))</f>
        <v>#N/A</v>
      </c>
      <c r="O145" s="51">
        <f>COUNTIFs(Matches!$B:$B,E145,Matches!$A:$A,"&gt;"&amp;Q145,Matches!$A:$A,"&lt;"&amp;R145)</f>
        <v>0</v>
      </c>
      <c r="P145" s="51">
        <f>COUNTIFs(Matches!$C:$C,E145,Matches!$A:$A,"&gt;"&amp;Q145,Matches!$A:$A,"&lt;"&amp;R145)</f>
        <v>0</v>
      </c>
      <c r="Q145" s="52">
        <f>VLOOKUP($C$2,Quotas!$A$7:$E$14,2,FALSE)</f>
        <v>46171.70833</v>
      </c>
      <c r="R145" s="52">
        <f>VLOOKUP($C$2,Quotas!$A$7:$E$14,3,FALSE)</f>
        <v>46178.70833</v>
      </c>
    </row>
    <row r="146">
      <c r="A146" s="82" t="str">
        <f t="array" ref="A146">XLOOKUP($E146,'Player Database'!$B$2:$B252,'Player Database'!$C$2:$C252)</f>
        <v>#N/A</v>
      </c>
      <c r="B146" s="82" t="str">
        <f t="array" ref="B146">XLOOKUP($E146,'Player Database'!$B$2:$B252,'Player Database'!$E$2:$E252)</f>
        <v>#N/A</v>
      </c>
      <c r="C146" s="82" t="str">
        <f t="array" ref="C146">XLOOKUP($E146,'Player Database'!$B$2:$B252,'Player Database'!$F$2:$F252)</f>
        <v>#N/A</v>
      </c>
      <c r="D146" s="81">
        <f>IFERROR(__xludf.DUMMYFUNCTION("""COMPUTED_VALUE"""),1.0)</f>
        <v>1</v>
      </c>
      <c r="E146" s="41"/>
      <c r="F146" s="42" t="str">
        <f t="array" ref="F146">XLOOKUP($E146,'Player Database'!$B$2:$B252,'Player Database'!$K$2:$K252)</f>
        <v>#N/A</v>
      </c>
      <c r="G146" s="42" t="str">
        <f t="array" ref="G146">XLOOKUP($E146,'Player Database'!$B$2:$B252,'Player Database'!$AE$2:$AE252)</f>
        <v>#N/A</v>
      </c>
      <c r="H146" s="42" t="str">
        <f t="array" ref="H146">XLOOKUP($E146,'Player Database'!$B$2:$B252,'Player Database'!$H$2:$H252)</f>
        <v>#N/A</v>
      </c>
      <c r="I146" s="42" t="str">
        <f t="array" ref="I146">XLOOKUP($E146,'Player Database'!$B$2:$B252,'Player Database'!$O$2:$O252)</f>
        <v>#N/A</v>
      </c>
      <c r="J146" s="42" t="str">
        <f t="array" ref="J146">XLOOKUP($E146,'Player Database'!$B$2:$B252,'Player Database'!$P$2:$P252)</f>
        <v>#N/A</v>
      </c>
      <c r="K146" s="44" t="str">
        <f t="array" ref="K146">XLOOKUP($E146,'Player Database'!$B$2:$B252,'Player Database'!$U$2:$U252)</f>
        <v>#N/A</v>
      </c>
      <c r="L146" s="47" t="str">
        <f t="array" ref="L146">XLOOKUP($E146,'Player Database'!$B$2:$B252,'Player Database'!$W$2:$W252)</f>
        <v>#N/A</v>
      </c>
      <c r="M146" s="48" t="str">
        <f t="shared" si="1"/>
        <v>0 - 0</v>
      </c>
      <c r="N146" s="50" t="str">
        <f t="array" ref="N146">IF(XLOOKUP($E146,'Player Database'!$B$2:$B252,'Player Database'!$AA$2:$AA252)="",XLOOKUP($E146,'Player Database'!$B$2:$B252,'Player Database'!$G$2:$G252),XLOOKUP($E146,'Player Database'!$B$2:$B252,'Player Database'!$AA$2:$AA252))</f>
        <v>#N/A</v>
      </c>
      <c r="O146" s="51">
        <f>COUNTIFs(Matches!$B:$B,E146,Matches!$A:$A,"&gt;"&amp;Q146,Matches!$A:$A,"&lt;"&amp;R146)</f>
        <v>0</v>
      </c>
      <c r="P146" s="51">
        <f>COUNTIFs(Matches!$C:$C,E146,Matches!$A:$A,"&gt;"&amp;Q146,Matches!$A:$A,"&lt;"&amp;R146)</f>
        <v>0</v>
      </c>
      <c r="Q146" s="52">
        <f>VLOOKUP($C$2,Quotas!$A$7:$E$14,2,FALSE)</f>
        <v>46171.70833</v>
      </c>
      <c r="R146" s="52">
        <f>VLOOKUP($C$2,Quotas!$A$7:$E$14,3,FALSE)</f>
        <v>46178.70833</v>
      </c>
    </row>
    <row r="147">
      <c r="A147" s="82" t="str">
        <f t="array" ref="A147">XLOOKUP($E147,'Player Database'!$B$2:$B252,'Player Database'!$C$2:$C252)</f>
        <v>#N/A</v>
      </c>
      <c r="B147" s="82" t="str">
        <f t="array" ref="B147">XLOOKUP($E147,'Player Database'!$B$2:$B252,'Player Database'!$E$2:$E252)</f>
        <v>#N/A</v>
      </c>
      <c r="C147" s="82" t="str">
        <f t="array" ref="C147">XLOOKUP($E147,'Player Database'!$B$2:$B252,'Player Database'!$F$2:$F252)</f>
        <v>#N/A</v>
      </c>
      <c r="D147" s="81">
        <f>IFERROR(__xludf.DUMMYFUNCTION("""COMPUTED_VALUE"""),1.0)</f>
        <v>1</v>
      </c>
      <c r="E147" s="41"/>
      <c r="F147" s="42" t="str">
        <f t="array" ref="F147">XLOOKUP($E147,'Player Database'!$B$2:$B252,'Player Database'!$K$2:$K252)</f>
        <v>#N/A</v>
      </c>
      <c r="G147" s="42" t="str">
        <f t="array" ref="G147">XLOOKUP($E147,'Player Database'!$B$2:$B252,'Player Database'!$AE$2:$AE252)</f>
        <v>#N/A</v>
      </c>
      <c r="H147" s="42" t="str">
        <f t="array" ref="H147">XLOOKUP($E147,'Player Database'!$B$2:$B252,'Player Database'!$H$2:$H252)</f>
        <v>#N/A</v>
      </c>
      <c r="I147" s="42" t="str">
        <f t="array" ref="I147">XLOOKUP($E147,'Player Database'!$B$2:$B252,'Player Database'!$O$2:$O252)</f>
        <v>#N/A</v>
      </c>
      <c r="J147" s="42" t="str">
        <f t="array" ref="J147">XLOOKUP($E147,'Player Database'!$B$2:$B252,'Player Database'!$P$2:$P252)</f>
        <v>#N/A</v>
      </c>
      <c r="K147" s="44" t="str">
        <f t="array" ref="K147">XLOOKUP($E147,'Player Database'!$B$2:$B252,'Player Database'!$U$2:$U252)</f>
        <v>#N/A</v>
      </c>
      <c r="L147" s="47" t="str">
        <f t="array" ref="L147">XLOOKUP($E147,'Player Database'!$B$2:$B252,'Player Database'!$W$2:$W252)</f>
        <v>#N/A</v>
      </c>
      <c r="M147" s="48" t="str">
        <f t="shared" si="1"/>
        <v>0 - 0</v>
      </c>
      <c r="N147" s="50" t="str">
        <f t="array" ref="N147">IF(XLOOKUP($E147,'Player Database'!$B$2:$B252,'Player Database'!$AA$2:$AA252)="",XLOOKUP($E147,'Player Database'!$B$2:$B252,'Player Database'!$G$2:$G252),XLOOKUP($E147,'Player Database'!$B$2:$B252,'Player Database'!$AA$2:$AA252))</f>
        <v>#N/A</v>
      </c>
      <c r="O147" s="51">
        <f>COUNTIFs(Matches!$B:$B,E147,Matches!$A:$A,"&gt;"&amp;Q147,Matches!$A:$A,"&lt;"&amp;R147)</f>
        <v>0</v>
      </c>
      <c r="P147" s="51">
        <f>COUNTIFs(Matches!$C:$C,E147,Matches!$A:$A,"&gt;"&amp;Q147,Matches!$A:$A,"&lt;"&amp;R147)</f>
        <v>0</v>
      </c>
      <c r="Q147" s="52">
        <f>VLOOKUP($C$2,Quotas!$A$7:$E$14,2,FALSE)</f>
        <v>46171.70833</v>
      </c>
      <c r="R147" s="52">
        <f>VLOOKUP($C$2,Quotas!$A$7:$E$14,3,FALSE)</f>
        <v>46178.70833</v>
      </c>
    </row>
    <row r="148">
      <c r="A148" s="82" t="str">
        <f t="array" ref="A148">XLOOKUP($E148,'Player Database'!$B$2:$B252,'Player Database'!$C$2:$C252)</f>
        <v>#N/A</v>
      </c>
      <c r="B148" s="82" t="str">
        <f t="array" ref="B148">XLOOKUP($E148,'Player Database'!$B$2:$B252,'Player Database'!$E$2:$E252)</f>
        <v>#N/A</v>
      </c>
      <c r="C148" s="82" t="str">
        <f t="array" ref="C148">XLOOKUP($E148,'Player Database'!$B$2:$B252,'Player Database'!$F$2:$F252)</f>
        <v>#N/A</v>
      </c>
      <c r="D148" s="81">
        <f>IFERROR(__xludf.DUMMYFUNCTION("""COMPUTED_VALUE"""),1.0)</f>
        <v>1</v>
      </c>
      <c r="E148" s="41"/>
      <c r="F148" s="42" t="str">
        <f t="array" ref="F148">XLOOKUP($E148,'Player Database'!$B$2:$B252,'Player Database'!$K$2:$K252)</f>
        <v>#N/A</v>
      </c>
      <c r="G148" s="42" t="str">
        <f t="array" ref="G148">XLOOKUP($E148,'Player Database'!$B$2:$B252,'Player Database'!$AE$2:$AE252)</f>
        <v>#N/A</v>
      </c>
      <c r="H148" s="42" t="str">
        <f t="array" ref="H148">XLOOKUP($E148,'Player Database'!$B$2:$B252,'Player Database'!$H$2:$H252)</f>
        <v>#N/A</v>
      </c>
      <c r="I148" s="42" t="str">
        <f t="array" ref="I148">XLOOKUP($E148,'Player Database'!$B$2:$B252,'Player Database'!$O$2:$O252)</f>
        <v>#N/A</v>
      </c>
      <c r="J148" s="42" t="str">
        <f t="array" ref="J148">XLOOKUP($E148,'Player Database'!$B$2:$B252,'Player Database'!$P$2:$P252)</f>
        <v>#N/A</v>
      </c>
      <c r="K148" s="44" t="str">
        <f t="array" ref="K148">XLOOKUP($E148,'Player Database'!$B$2:$B252,'Player Database'!$U$2:$U252)</f>
        <v>#N/A</v>
      </c>
      <c r="L148" s="47" t="str">
        <f t="array" ref="L148">XLOOKUP($E148,'Player Database'!$B$2:$B252,'Player Database'!$W$2:$W252)</f>
        <v>#N/A</v>
      </c>
      <c r="M148" s="48" t="str">
        <f t="shared" si="1"/>
        <v>0 - 0</v>
      </c>
      <c r="N148" s="50" t="str">
        <f t="array" ref="N148">IF(XLOOKUP($E148,'Player Database'!$B$2:$B252,'Player Database'!$AA$2:$AA252)="",XLOOKUP($E148,'Player Database'!$B$2:$B252,'Player Database'!$G$2:$G252),XLOOKUP($E148,'Player Database'!$B$2:$B252,'Player Database'!$AA$2:$AA252))</f>
        <v>#N/A</v>
      </c>
      <c r="O148" s="51">
        <f>COUNTIFs(Matches!$B:$B,E148,Matches!$A:$A,"&gt;"&amp;Q148,Matches!$A:$A,"&lt;"&amp;R148)</f>
        <v>0</v>
      </c>
      <c r="P148" s="51">
        <f>COUNTIFs(Matches!$C:$C,E148,Matches!$A:$A,"&gt;"&amp;Q148,Matches!$A:$A,"&lt;"&amp;R148)</f>
        <v>0</v>
      </c>
      <c r="Q148" s="52">
        <f>VLOOKUP($C$2,Quotas!$A$7:$E$14,2,FALSE)</f>
        <v>46171.70833</v>
      </c>
      <c r="R148" s="52">
        <f>VLOOKUP($C$2,Quotas!$A$7:$E$14,3,FALSE)</f>
        <v>46178.70833</v>
      </c>
    </row>
    <row r="149">
      <c r="A149" s="82" t="str">
        <f t="array" ref="A149">XLOOKUP($E149,'Player Database'!$B$2:$B252,'Player Database'!$C$2:$C252)</f>
        <v>#N/A</v>
      </c>
      <c r="B149" s="82" t="str">
        <f t="array" ref="B149">XLOOKUP($E149,'Player Database'!$B$2:$B252,'Player Database'!$E$2:$E252)</f>
        <v>#N/A</v>
      </c>
      <c r="C149" s="82" t="str">
        <f t="array" ref="C149">XLOOKUP($E149,'Player Database'!$B$2:$B252,'Player Database'!$F$2:$F252)</f>
        <v>#N/A</v>
      </c>
      <c r="D149" s="81">
        <f>IFERROR(__xludf.DUMMYFUNCTION("""COMPUTED_VALUE"""),1.0)</f>
        <v>1</v>
      </c>
      <c r="E149" s="41"/>
      <c r="F149" s="42" t="str">
        <f t="array" ref="F149">XLOOKUP($E149,'Player Database'!$B$2:$B252,'Player Database'!$K$2:$K252)</f>
        <v>#N/A</v>
      </c>
      <c r="G149" s="42" t="str">
        <f t="array" ref="G149">XLOOKUP($E149,'Player Database'!$B$2:$B252,'Player Database'!$AE$2:$AE252)</f>
        <v>#N/A</v>
      </c>
      <c r="H149" s="42" t="str">
        <f t="array" ref="H149">XLOOKUP($E149,'Player Database'!$B$2:$B252,'Player Database'!$H$2:$H252)</f>
        <v>#N/A</v>
      </c>
      <c r="I149" s="42" t="str">
        <f t="array" ref="I149">XLOOKUP($E149,'Player Database'!$B$2:$B252,'Player Database'!$O$2:$O252)</f>
        <v>#N/A</v>
      </c>
      <c r="J149" s="42" t="str">
        <f t="array" ref="J149">XLOOKUP($E149,'Player Database'!$B$2:$B252,'Player Database'!$P$2:$P252)</f>
        <v>#N/A</v>
      </c>
      <c r="K149" s="44" t="str">
        <f t="array" ref="K149">XLOOKUP($E149,'Player Database'!$B$2:$B252,'Player Database'!$U$2:$U252)</f>
        <v>#N/A</v>
      </c>
      <c r="L149" s="47" t="str">
        <f t="array" ref="L149">XLOOKUP($E149,'Player Database'!$B$2:$B252,'Player Database'!$W$2:$W252)</f>
        <v>#N/A</v>
      </c>
      <c r="M149" s="48" t="str">
        <f t="shared" si="1"/>
        <v>0 - 0</v>
      </c>
      <c r="N149" s="50" t="str">
        <f t="array" ref="N149">IF(XLOOKUP($E149,'Player Database'!$B$2:$B252,'Player Database'!$AA$2:$AA252)="",XLOOKUP($E149,'Player Database'!$B$2:$B252,'Player Database'!$G$2:$G252),XLOOKUP($E149,'Player Database'!$B$2:$B252,'Player Database'!$AA$2:$AA252))</f>
        <v>#N/A</v>
      </c>
      <c r="O149" s="51">
        <f>COUNTIFs(Matches!$B:$B,E149,Matches!$A:$A,"&gt;"&amp;Q149,Matches!$A:$A,"&lt;"&amp;R149)</f>
        <v>0</v>
      </c>
      <c r="P149" s="51">
        <f>COUNTIFs(Matches!$C:$C,E149,Matches!$A:$A,"&gt;"&amp;Q149,Matches!$A:$A,"&lt;"&amp;R149)</f>
        <v>0</v>
      </c>
      <c r="Q149" s="52">
        <f>VLOOKUP($C$2,Quotas!$A$7:$E$14,2,FALSE)</f>
        <v>46171.70833</v>
      </c>
      <c r="R149" s="52">
        <f>VLOOKUP($C$2,Quotas!$A$7:$E$14,3,FALSE)</f>
        <v>46178.70833</v>
      </c>
    </row>
    <row r="150">
      <c r="A150" s="82" t="str">
        <f t="array" ref="A150">XLOOKUP($E150,'Player Database'!$B$2:$B252,'Player Database'!$C$2:$C252)</f>
        <v>#N/A</v>
      </c>
      <c r="B150" s="82" t="str">
        <f t="array" ref="B150">XLOOKUP($E150,'Player Database'!$B$2:$B252,'Player Database'!$E$2:$E252)</f>
        <v>#N/A</v>
      </c>
      <c r="C150" s="82" t="str">
        <f t="array" ref="C150">XLOOKUP($E150,'Player Database'!$B$2:$B252,'Player Database'!$F$2:$F252)</f>
        <v>#N/A</v>
      </c>
      <c r="D150" s="81">
        <f>IFERROR(__xludf.DUMMYFUNCTION("""COMPUTED_VALUE"""),1.0)</f>
        <v>1</v>
      </c>
      <c r="E150" s="41"/>
      <c r="F150" s="42" t="str">
        <f t="array" ref="F150">XLOOKUP($E150,'Player Database'!$B$2:$B252,'Player Database'!$K$2:$K252)</f>
        <v>#N/A</v>
      </c>
      <c r="G150" s="42" t="str">
        <f t="array" ref="G150">XLOOKUP($E150,'Player Database'!$B$2:$B252,'Player Database'!$AE$2:$AE252)</f>
        <v>#N/A</v>
      </c>
      <c r="H150" s="42" t="str">
        <f t="array" ref="H150">XLOOKUP($E150,'Player Database'!$B$2:$B252,'Player Database'!$H$2:$H252)</f>
        <v>#N/A</v>
      </c>
      <c r="I150" s="42" t="str">
        <f t="array" ref="I150">XLOOKUP($E150,'Player Database'!$B$2:$B252,'Player Database'!$O$2:$O252)</f>
        <v>#N/A</v>
      </c>
      <c r="J150" s="42" t="str">
        <f t="array" ref="J150">XLOOKUP($E150,'Player Database'!$B$2:$B252,'Player Database'!$P$2:$P252)</f>
        <v>#N/A</v>
      </c>
      <c r="K150" s="44" t="str">
        <f t="array" ref="K150">XLOOKUP($E150,'Player Database'!$B$2:$B252,'Player Database'!$U$2:$U252)</f>
        <v>#N/A</v>
      </c>
      <c r="L150" s="47" t="str">
        <f t="array" ref="L150">XLOOKUP($E150,'Player Database'!$B$2:$B252,'Player Database'!$W$2:$W252)</f>
        <v>#N/A</v>
      </c>
      <c r="M150" s="48" t="str">
        <f t="shared" si="1"/>
        <v>0 - 0</v>
      </c>
      <c r="N150" s="50" t="str">
        <f t="array" ref="N150">IF(XLOOKUP($E150,'Player Database'!$B$2:$B252,'Player Database'!$AA$2:$AA252)="",XLOOKUP($E150,'Player Database'!$B$2:$B252,'Player Database'!$G$2:$G252),XLOOKUP($E150,'Player Database'!$B$2:$B252,'Player Database'!$AA$2:$AA252))</f>
        <v>#N/A</v>
      </c>
      <c r="O150" s="51">
        <f>COUNTIFs(Matches!$B:$B,E150,Matches!$A:$A,"&gt;"&amp;Q150,Matches!$A:$A,"&lt;"&amp;R150)</f>
        <v>0</v>
      </c>
      <c r="P150" s="51">
        <f>COUNTIFs(Matches!$C:$C,E150,Matches!$A:$A,"&gt;"&amp;Q150,Matches!$A:$A,"&lt;"&amp;R150)</f>
        <v>0</v>
      </c>
      <c r="Q150" s="52">
        <f>VLOOKUP($C$2,Quotas!$A$7:$E$14,2,FALSE)</f>
        <v>46171.70833</v>
      </c>
      <c r="R150" s="52">
        <f>VLOOKUP($C$2,Quotas!$A$7:$E$14,3,FALSE)</f>
        <v>46178.70833</v>
      </c>
    </row>
    <row r="151">
      <c r="A151" s="82" t="str">
        <f t="array" ref="A151">XLOOKUP($E151,'Player Database'!$B$2:$B252,'Player Database'!$C$2:$C252)</f>
        <v>#N/A</v>
      </c>
      <c r="B151" s="82" t="str">
        <f t="array" ref="B151">XLOOKUP($E151,'Player Database'!$B$2:$B252,'Player Database'!$E$2:$E252)</f>
        <v>#N/A</v>
      </c>
      <c r="C151" s="82" t="str">
        <f t="array" ref="C151">XLOOKUP($E151,'Player Database'!$B$2:$B252,'Player Database'!$F$2:$F252)</f>
        <v>#N/A</v>
      </c>
      <c r="D151" s="81">
        <f>IFERROR(__xludf.DUMMYFUNCTION("""COMPUTED_VALUE"""),1.0)</f>
        <v>1</v>
      </c>
      <c r="E151" s="41"/>
      <c r="F151" s="42" t="str">
        <f t="array" ref="F151">XLOOKUP($E151,'Player Database'!$B$2:$B252,'Player Database'!$K$2:$K252)</f>
        <v>#N/A</v>
      </c>
      <c r="G151" s="42" t="str">
        <f t="array" ref="G151">XLOOKUP($E151,'Player Database'!$B$2:$B252,'Player Database'!$AE$2:$AE252)</f>
        <v>#N/A</v>
      </c>
      <c r="H151" s="42" t="str">
        <f t="array" ref="H151">XLOOKUP($E151,'Player Database'!$B$2:$B252,'Player Database'!$H$2:$H252)</f>
        <v>#N/A</v>
      </c>
      <c r="I151" s="42" t="str">
        <f t="array" ref="I151">XLOOKUP($E151,'Player Database'!$B$2:$B252,'Player Database'!$O$2:$O252)</f>
        <v>#N/A</v>
      </c>
      <c r="J151" s="42" t="str">
        <f t="array" ref="J151">XLOOKUP($E151,'Player Database'!$B$2:$B252,'Player Database'!$P$2:$P252)</f>
        <v>#N/A</v>
      </c>
      <c r="K151" s="44" t="str">
        <f t="array" ref="K151">XLOOKUP($E151,'Player Database'!$B$2:$B252,'Player Database'!$U$2:$U252)</f>
        <v>#N/A</v>
      </c>
      <c r="L151" s="47" t="str">
        <f t="array" ref="L151">XLOOKUP($E151,'Player Database'!$B$2:$B252,'Player Database'!$W$2:$W252)</f>
        <v>#N/A</v>
      </c>
      <c r="M151" s="48" t="str">
        <f t="shared" si="1"/>
        <v>0 - 0</v>
      </c>
      <c r="N151" s="50" t="str">
        <f t="array" ref="N151">IF(XLOOKUP($E151,'Player Database'!$B$2:$B252,'Player Database'!$AA$2:$AA252)="",XLOOKUP($E151,'Player Database'!$B$2:$B252,'Player Database'!$G$2:$G252),XLOOKUP($E151,'Player Database'!$B$2:$B252,'Player Database'!$AA$2:$AA252))</f>
        <v>#N/A</v>
      </c>
      <c r="O151" s="51">
        <f>COUNTIFs(Matches!$B:$B,E151,Matches!$A:$A,"&gt;"&amp;Q151,Matches!$A:$A,"&lt;"&amp;R151)</f>
        <v>0</v>
      </c>
      <c r="P151" s="51">
        <f>COUNTIFs(Matches!$C:$C,E151,Matches!$A:$A,"&gt;"&amp;Q151,Matches!$A:$A,"&lt;"&amp;R151)</f>
        <v>0</v>
      </c>
      <c r="Q151" s="52">
        <f>VLOOKUP($C$2,Quotas!$A$7:$E$14,2,FALSE)</f>
        <v>46171.70833</v>
      </c>
      <c r="R151" s="52">
        <f>VLOOKUP($C$2,Quotas!$A$7:$E$14,3,FALSE)</f>
        <v>46178.70833</v>
      </c>
    </row>
    <row r="152">
      <c r="A152" s="82" t="str">
        <f t="array" ref="A152">XLOOKUP($E152,'Player Database'!$B$2:$B252,'Player Database'!$C$2:$C252)</f>
        <v>#N/A</v>
      </c>
      <c r="B152" s="82" t="str">
        <f t="array" ref="B152">XLOOKUP($E152,'Player Database'!$B$2:$B252,'Player Database'!$E$2:$E252)</f>
        <v>#N/A</v>
      </c>
      <c r="C152" s="82" t="str">
        <f t="array" ref="C152">XLOOKUP($E152,'Player Database'!$B$2:$B252,'Player Database'!$F$2:$F252)</f>
        <v>#N/A</v>
      </c>
      <c r="D152" s="81">
        <f>IFERROR(__xludf.DUMMYFUNCTION("""COMPUTED_VALUE"""),1.0)</f>
        <v>1</v>
      </c>
      <c r="E152" s="41"/>
      <c r="F152" s="42" t="str">
        <f t="array" ref="F152">XLOOKUP($E152,'Player Database'!$B$2:$B252,'Player Database'!$K$2:$K252)</f>
        <v>#N/A</v>
      </c>
      <c r="G152" s="42" t="str">
        <f t="array" ref="G152">XLOOKUP($E152,'Player Database'!$B$2:$B252,'Player Database'!$AE$2:$AE252)</f>
        <v>#N/A</v>
      </c>
      <c r="H152" s="42" t="str">
        <f t="array" ref="H152">XLOOKUP($E152,'Player Database'!$B$2:$B252,'Player Database'!$H$2:$H252)</f>
        <v>#N/A</v>
      </c>
      <c r="I152" s="42" t="str">
        <f t="array" ref="I152">XLOOKUP($E152,'Player Database'!$B$2:$B252,'Player Database'!$O$2:$O252)</f>
        <v>#N/A</v>
      </c>
      <c r="J152" s="42" t="str">
        <f t="array" ref="J152">XLOOKUP($E152,'Player Database'!$B$2:$B252,'Player Database'!$P$2:$P252)</f>
        <v>#N/A</v>
      </c>
      <c r="K152" s="44" t="str">
        <f t="array" ref="K152">XLOOKUP($E152,'Player Database'!$B$2:$B252,'Player Database'!$U$2:$U252)</f>
        <v>#N/A</v>
      </c>
      <c r="L152" s="47" t="str">
        <f t="array" ref="L152">XLOOKUP($E152,'Player Database'!$B$2:$B252,'Player Database'!$W$2:$W252)</f>
        <v>#N/A</v>
      </c>
      <c r="M152" s="48" t="str">
        <f t="shared" si="1"/>
        <v>0 - 0</v>
      </c>
      <c r="N152" s="50" t="str">
        <f t="array" ref="N152">IF(XLOOKUP($E152,'Player Database'!$B$2:$B252,'Player Database'!$AA$2:$AA252)="",XLOOKUP($E152,'Player Database'!$B$2:$B252,'Player Database'!$G$2:$G252),XLOOKUP($E152,'Player Database'!$B$2:$B252,'Player Database'!$AA$2:$AA252))</f>
        <v>#N/A</v>
      </c>
      <c r="O152" s="51">
        <f>COUNTIFs(Matches!$B:$B,E152,Matches!$A:$A,"&gt;"&amp;Q152,Matches!$A:$A,"&lt;"&amp;R152)</f>
        <v>0</v>
      </c>
      <c r="P152" s="51">
        <f>COUNTIFs(Matches!$C:$C,E152,Matches!$A:$A,"&gt;"&amp;Q152,Matches!$A:$A,"&lt;"&amp;R152)</f>
        <v>0</v>
      </c>
      <c r="Q152" s="52">
        <f>VLOOKUP($C$2,Quotas!$A$7:$E$14,2,FALSE)</f>
        <v>46171.70833</v>
      </c>
      <c r="R152" s="52">
        <f>VLOOKUP($C$2,Quotas!$A$7:$E$14,3,FALSE)</f>
        <v>46178.70833</v>
      </c>
    </row>
    <row r="153">
      <c r="A153" s="82" t="str">
        <f t="array" ref="A153">XLOOKUP($E153,'Player Database'!$B$2:$B252,'Player Database'!$C$2:$C252)</f>
        <v>#N/A</v>
      </c>
      <c r="B153" s="82" t="str">
        <f t="array" ref="B153">XLOOKUP($E153,'Player Database'!$B$2:$B252,'Player Database'!$E$2:$E252)</f>
        <v>#N/A</v>
      </c>
      <c r="C153" s="82" t="str">
        <f t="array" ref="C153">XLOOKUP($E153,'Player Database'!$B$2:$B252,'Player Database'!$F$2:$F252)</f>
        <v>#N/A</v>
      </c>
      <c r="D153" s="81">
        <f>IFERROR(__xludf.DUMMYFUNCTION("""COMPUTED_VALUE"""),1.0)</f>
        <v>1</v>
      </c>
      <c r="E153" s="41"/>
      <c r="F153" s="42" t="str">
        <f t="array" ref="F153">XLOOKUP($E153,'Player Database'!$B$2:$B252,'Player Database'!$K$2:$K252)</f>
        <v>#N/A</v>
      </c>
      <c r="G153" s="42" t="str">
        <f t="array" ref="G153">XLOOKUP($E153,'Player Database'!$B$2:$B252,'Player Database'!$AE$2:$AE252)</f>
        <v>#N/A</v>
      </c>
      <c r="H153" s="42" t="str">
        <f t="array" ref="H153">XLOOKUP($E153,'Player Database'!$B$2:$B252,'Player Database'!$H$2:$H252)</f>
        <v>#N/A</v>
      </c>
      <c r="I153" s="42" t="str">
        <f t="array" ref="I153">XLOOKUP($E153,'Player Database'!$B$2:$B252,'Player Database'!$O$2:$O252)</f>
        <v>#N/A</v>
      </c>
      <c r="J153" s="42" t="str">
        <f t="array" ref="J153">XLOOKUP($E153,'Player Database'!$B$2:$B252,'Player Database'!$P$2:$P252)</f>
        <v>#N/A</v>
      </c>
      <c r="K153" s="44" t="str">
        <f t="array" ref="K153">XLOOKUP($E153,'Player Database'!$B$2:$B252,'Player Database'!$U$2:$U252)</f>
        <v>#N/A</v>
      </c>
      <c r="L153" s="47" t="str">
        <f t="array" ref="L153">XLOOKUP($E153,'Player Database'!$B$2:$B252,'Player Database'!$W$2:$W252)</f>
        <v>#N/A</v>
      </c>
      <c r="M153" s="48" t="str">
        <f t="shared" si="1"/>
        <v>0 - 0</v>
      </c>
      <c r="N153" s="50" t="str">
        <f t="array" ref="N153">IF(XLOOKUP($E153,'Player Database'!$B$2:$B252,'Player Database'!$AA$2:$AA252)="",XLOOKUP($E153,'Player Database'!$B$2:$B252,'Player Database'!$G$2:$G252),XLOOKUP($E153,'Player Database'!$B$2:$B252,'Player Database'!$AA$2:$AA252))</f>
        <v>#N/A</v>
      </c>
      <c r="O153" s="51">
        <f>COUNTIFs(Matches!$B:$B,E153,Matches!$A:$A,"&gt;"&amp;Q153,Matches!$A:$A,"&lt;"&amp;R153)</f>
        <v>0</v>
      </c>
      <c r="P153" s="51">
        <f>COUNTIFs(Matches!$C:$C,E153,Matches!$A:$A,"&gt;"&amp;Q153,Matches!$A:$A,"&lt;"&amp;R153)</f>
        <v>0</v>
      </c>
      <c r="Q153" s="52">
        <f>VLOOKUP($C$2,Quotas!$A$7:$E$14,2,FALSE)</f>
        <v>46171.70833</v>
      </c>
      <c r="R153" s="52">
        <f>VLOOKUP($C$2,Quotas!$A$7:$E$14,3,FALSE)</f>
        <v>46178.70833</v>
      </c>
    </row>
    <row r="154">
      <c r="A154" s="82" t="str">
        <f t="array" ref="A154">XLOOKUP($E154,'Player Database'!$B$2:$B252,'Player Database'!$C$2:$C252)</f>
        <v>#N/A</v>
      </c>
      <c r="B154" s="82" t="str">
        <f t="array" ref="B154">XLOOKUP($E154,'Player Database'!$B$2:$B252,'Player Database'!$E$2:$E252)</f>
        <v>#N/A</v>
      </c>
      <c r="C154" s="82" t="str">
        <f t="array" ref="C154">XLOOKUP($E154,'Player Database'!$B$2:$B252,'Player Database'!$F$2:$F252)</f>
        <v>#N/A</v>
      </c>
      <c r="D154" s="81">
        <f>IFERROR(__xludf.DUMMYFUNCTION("""COMPUTED_VALUE"""),1.0)</f>
        <v>1</v>
      </c>
      <c r="E154" s="41"/>
      <c r="F154" s="42" t="str">
        <f t="array" ref="F154">XLOOKUP($E154,'Player Database'!$B$2:$B252,'Player Database'!$K$2:$K252)</f>
        <v>#N/A</v>
      </c>
      <c r="G154" s="42" t="str">
        <f t="array" ref="G154">XLOOKUP($E154,'Player Database'!$B$2:$B252,'Player Database'!$AE$2:$AE252)</f>
        <v>#N/A</v>
      </c>
      <c r="H154" s="42" t="str">
        <f t="array" ref="H154">XLOOKUP($E154,'Player Database'!$B$2:$B252,'Player Database'!$H$2:$H252)</f>
        <v>#N/A</v>
      </c>
      <c r="I154" s="42" t="str">
        <f t="array" ref="I154">XLOOKUP($E154,'Player Database'!$B$2:$B252,'Player Database'!$O$2:$O252)</f>
        <v>#N/A</v>
      </c>
      <c r="J154" s="42" t="str">
        <f t="array" ref="J154">XLOOKUP($E154,'Player Database'!$B$2:$B252,'Player Database'!$P$2:$P252)</f>
        <v>#N/A</v>
      </c>
      <c r="K154" s="44" t="str">
        <f t="array" ref="K154">XLOOKUP($E154,'Player Database'!$B$2:$B252,'Player Database'!$U$2:$U252)</f>
        <v>#N/A</v>
      </c>
      <c r="L154" s="47" t="str">
        <f t="array" ref="L154">XLOOKUP($E154,'Player Database'!$B$2:$B252,'Player Database'!$W$2:$W252)</f>
        <v>#N/A</v>
      </c>
      <c r="M154" s="48" t="str">
        <f t="shared" si="1"/>
        <v>0 - 0</v>
      </c>
      <c r="N154" s="50" t="str">
        <f t="array" ref="N154">IF(XLOOKUP($E154,'Player Database'!$B$2:$B252,'Player Database'!$AA$2:$AA252)="",XLOOKUP($E154,'Player Database'!$B$2:$B252,'Player Database'!$G$2:$G252),XLOOKUP($E154,'Player Database'!$B$2:$B252,'Player Database'!$AA$2:$AA252))</f>
        <v>#N/A</v>
      </c>
      <c r="O154" s="51">
        <f>COUNTIFs(Matches!$B:$B,E154,Matches!$A:$A,"&gt;"&amp;Q154,Matches!$A:$A,"&lt;"&amp;R154)</f>
        <v>0</v>
      </c>
      <c r="P154" s="51">
        <f>COUNTIFs(Matches!$C:$C,E154,Matches!$A:$A,"&gt;"&amp;Q154,Matches!$A:$A,"&lt;"&amp;R154)</f>
        <v>0</v>
      </c>
      <c r="Q154" s="52">
        <f>VLOOKUP($C$2,Quotas!$A$7:$E$14,2,FALSE)</f>
        <v>46171.70833</v>
      </c>
      <c r="R154" s="52">
        <f>VLOOKUP($C$2,Quotas!$A$7:$E$14,3,FALSE)</f>
        <v>46178.70833</v>
      </c>
    </row>
    <row r="155">
      <c r="A155" s="82" t="str">
        <f t="array" ref="A155">XLOOKUP($E155,'Player Database'!$B$2:$B252,'Player Database'!$C$2:$C252)</f>
        <v>#N/A</v>
      </c>
      <c r="B155" s="82" t="str">
        <f t="array" ref="B155">XLOOKUP($E155,'Player Database'!$B$2:$B252,'Player Database'!$E$2:$E252)</f>
        <v>#N/A</v>
      </c>
      <c r="C155" s="82" t="str">
        <f t="array" ref="C155">XLOOKUP($E155,'Player Database'!$B$2:$B252,'Player Database'!$F$2:$F252)</f>
        <v>#N/A</v>
      </c>
      <c r="D155" s="81">
        <f>IFERROR(__xludf.DUMMYFUNCTION("""COMPUTED_VALUE"""),1.0)</f>
        <v>1</v>
      </c>
      <c r="E155" s="41"/>
      <c r="F155" s="42" t="str">
        <f t="array" ref="F155">XLOOKUP($E155,'Player Database'!$B$2:$B252,'Player Database'!$K$2:$K252)</f>
        <v>#N/A</v>
      </c>
      <c r="G155" s="42" t="str">
        <f t="array" ref="G155">XLOOKUP($E155,'Player Database'!$B$2:$B252,'Player Database'!$AE$2:$AE252)</f>
        <v>#N/A</v>
      </c>
      <c r="H155" s="42" t="str">
        <f t="array" ref="H155">XLOOKUP($E155,'Player Database'!$B$2:$B252,'Player Database'!$H$2:$H252)</f>
        <v>#N/A</v>
      </c>
      <c r="I155" s="42" t="str">
        <f t="array" ref="I155">XLOOKUP($E155,'Player Database'!$B$2:$B252,'Player Database'!$O$2:$O252)</f>
        <v>#N/A</v>
      </c>
      <c r="J155" s="42" t="str">
        <f t="array" ref="J155">XLOOKUP($E155,'Player Database'!$B$2:$B252,'Player Database'!$P$2:$P252)</f>
        <v>#N/A</v>
      </c>
      <c r="K155" s="44" t="str">
        <f t="array" ref="K155">XLOOKUP($E155,'Player Database'!$B$2:$B252,'Player Database'!$U$2:$U252)</f>
        <v>#N/A</v>
      </c>
      <c r="L155" s="47" t="str">
        <f t="array" ref="L155">XLOOKUP($E155,'Player Database'!$B$2:$B252,'Player Database'!$W$2:$W252)</f>
        <v>#N/A</v>
      </c>
      <c r="M155" s="48" t="str">
        <f t="shared" si="1"/>
        <v>0 - 0</v>
      </c>
      <c r="N155" s="50" t="str">
        <f t="array" ref="N155">IF(XLOOKUP($E155,'Player Database'!$B$2:$B252,'Player Database'!$AA$2:$AA252)="",XLOOKUP($E155,'Player Database'!$B$2:$B252,'Player Database'!$G$2:$G252),XLOOKUP($E155,'Player Database'!$B$2:$B252,'Player Database'!$AA$2:$AA252))</f>
        <v>#N/A</v>
      </c>
      <c r="O155" s="51">
        <f>COUNTIFs(Matches!$B:$B,E155,Matches!$A:$A,"&gt;"&amp;Q155,Matches!$A:$A,"&lt;"&amp;R155)</f>
        <v>0</v>
      </c>
      <c r="P155" s="51">
        <f>COUNTIFs(Matches!$C:$C,E155,Matches!$A:$A,"&gt;"&amp;Q155,Matches!$A:$A,"&lt;"&amp;R155)</f>
        <v>0</v>
      </c>
      <c r="Q155" s="52">
        <f>VLOOKUP($C$2,Quotas!$A$7:$E$14,2,FALSE)</f>
        <v>46171.70833</v>
      </c>
      <c r="R155" s="52">
        <f>VLOOKUP($C$2,Quotas!$A$7:$E$14,3,FALSE)</f>
        <v>46178.70833</v>
      </c>
    </row>
    <row r="156">
      <c r="A156" s="82" t="str">
        <f t="array" ref="A156">XLOOKUP($E156,'Player Database'!$B$2:$B252,'Player Database'!$C$2:$C252)</f>
        <v>#N/A</v>
      </c>
      <c r="B156" s="82" t="str">
        <f t="array" ref="B156">XLOOKUP($E156,'Player Database'!$B$2:$B252,'Player Database'!$E$2:$E252)</f>
        <v>#N/A</v>
      </c>
      <c r="C156" s="82" t="str">
        <f t="array" ref="C156">XLOOKUP($E156,'Player Database'!$B$2:$B252,'Player Database'!$F$2:$F252)</f>
        <v>#N/A</v>
      </c>
      <c r="D156" s="81">
        <f>IFERROR(__xludf.DUMMYFUNCTION("""COMPUTED_VALUE"""),1.0)</f>
        <v>1</v>
      </c>
      <c r="E156" s="41"/>
      <c r="F156" s="42" t="str">
        <f t="array" ref="F156">XLOOKUP($E156,'Player Database'!$B$2:$B252,'Player Database'!$K$2:$K252)</f>
        <v>#N/A</v>
      </c>
      <c r="G156" s="42" t="str">
        <f t="array" ref="G156">XLOOKUP($E156,'Player Database'!$B$2:$B252,'Player Database'!$AE$2:$AE252)</f>
        <v>#N/A</v>
      </c>
      <c r="H156" s="42" t="str">
        <f t="array" ref="H156">XLOOKUP($E156,'Player Database'!$B$2:$B252,'Player Database'!$H$2:$H252)</f>
        <v>#N/A</v>
      </c>
      <c r="I156" s="42" t="str">
        <f t="array" ref="I156">XLOOKUP($E156,'Player Database'!$B$2:$B252,'Player Database'!$O$2:$O252)</f>
        <v>#N/A</v>
      </c>
      <c r="J156" s="42" t="str">
        <f t="array" ref="J156">XLOOKUP($E156,'Player Database'!$B$2:$B252,'Player Database'!$P$2:$P252)</f>
        <v>#N/A</v>
      </c>
      <c r="K156" s="44" t="str">
        <f t="array" ref="K156">XLOOKUP($E156,'Player Database'!$B$2:$B252,'Player Database'!$U$2:$U252)</f>
        <v>#N/A</v>
      </c>
      <c r="L156" s="47" t="str">
        <f t="array" ref="L156">XLOOKUP($E156,'Player Database'!$B$2:$B252,'Player Database'!$W$2:$W252)</f>
        <v>#N/A</v>
      </c>
      <c r="M156" s="48" t="str">
        <f t="shared" si="1"/>
        <v>0 - 0</v>
      </c>
      <c r="N156" s="50" t="str">
        <f t="array" ref="N156">IF(XLOOKUP($E156,'Player Database'!$B$2:$B252,'Player Database'!$AA$2:$AA252)="",XLOOKUP($E156,'Player Database'!$B$2:$B252,'Player Database'!$G$2:$G252),XLOOKUP($E156,'Player Database'!$B$2:$B252,'Player Database'!$AA$2:$AA252))</f>
        <v>#N/A</v>
      </c>
      <c r="O156" s="51">
        <f>COUNTIFs(Matches!$B:$B,E156,Matches!$A:$A,"&gt;"&amp;Q156,Matches!$A:$A,"&lt;"&amp;R156)</f>
        <v>0</v>
      </c>
      <c r="P156" s="51">
        <f>COUNTIFs(Matches!$C:$C,E156,Matches!$A:$A,"&gt;"&amp;Q156,Matches!$A:$A,"&lt;"&amp;R156)</f>
        <v>0</v>
      </c>
      <c r="Q156" s="52">
        <f>VLOOKUP($C$2,Quotas!$A$7:$E$14,2,FALSE)</f>
        <v>46171.70833</v>
      </c>
      <c r="R156" s="52">
        <f>VLOOKUP($C$2,Quotas!$A$7:$E$14,3,FALSE)</f>
        <v>46178.70833</v>
      </c>
    </row>
    <row r="157">
      <c r="A157" s="82" t="str">
        <f t="array" ref="A157">XLOOKUP($E157,'Player Database'!$B$2:$B252,'Player Database'!$C$2:$C252)</f>
        <v>#N/A</v>
      </c>
      <c r="B157" s="82" t="str">
        <f t="array" ref="B157">XLOOKUP($E157,'Player Database'!$B$2:$B252,'Player Database'!$E$2:$E252)</f>
        <v>#N/A</v>
      </c>
      <c r="C157" s="82" t="str">
        <f t="array" ref="C157">XLOOKUP($E157,'Player Database'!$B$2:$B252,'Player Database'!$F$2:$F252)</f>
        <v>#N/A</v>
      </c>
      <c r="D157" s="81">
        <f>IFERROR(__xludf.DUMMYFUNCTION("""COMPUTED_VALUE"""),1.0)</f>
        <v>1</v>
      </c>
      <c r="E157" s="41"/>
      <c r="F157" s="42" t="str">
        <f t="array" ref="F157">XLOOKUP($E157,'Player Database'!$B$2:$B252,'Player Database'!$K$2:$K252)</f>
        <v>#N/A</v>
      </c>
      <c r="G157" s="42" t="str">
        <f t="array" ref="G157">XLOOKUP($E157,'Player Database'!$B$2:$B252,'Player Database'!$AE$2:$AE252)</f>
        <v>#N/A</v>
      </c>
      <c r="H157" s="42" t="str">
        <f t="array" ref="H157">XLOOKUP($E157,'Player Database'!$B$2:$B252,'Player Database'!$H$2:$H252)</f>
        <v>#N/A</v>
      </c>
      <c r="I157" s="42" t="str">
        <f t="array" ref="I157">XLOOKUP($E157,'Player Database'!$B$2:$B252,'Player Database'!$O$2:$O252)</f>
        <v>#N/A</v>
      </c>
      <c r="J157" s="42" t="str">
        <f t="array" ref="J157">XLOOKUP($E157,'Player Database'!$B$2:$B252,'Player Database'!$P$2:$P252)</f>
        <v>#N/A</v>
      </c>
      <c r="K157" s="44" t="str">
        <f t="array" ref="K157">XLOOKUP($E157,'Player Database'!$B$2:$B252,'Player Database'!$U$2:$U252)</f>
        <v>#N/A</v>
      </c>
      <c r="L157" s="47" t="str">
        <f t="array" ref="L157">XLOOKUP($E157,'Player Database'!$B$2:$B252,'Player Database'!$W$2:$W252)</f>
        <v>#N/A</v>
      </c>
      <c r="M157" s="48" t="str">
        <f t="shared" si="1"/>
        <v>0 - 0</v>
      </c>
      <c r="N157" s="50" t="str">
        <f t="array" ref="N157">IF(XLOOKUP($E157,'Player Database'!$B$2:$B252,'Player Database'!$AA$2:$AA252)="",XLOOKUP($E157,'Player Database'!$B$2:$B252,'Player Database'!$G$2:$G252),XLOOKUP($E157,'Player Database'!$B$2:$B252,'Player Database'!$AA$2:$AA252))</f>
        <v>#N/A</v>
      </c>
      <c r="O157" s="51">
        <f>COUNTIFs(Matches!$B:$B,E157,Matches!$A:$A,"&gt;"&amp;Q157,Matches!$A:$A,"&lt;"&amp;R157)</f>
        <v>0</v>
      </c>
      <c r="P157" s="51">
        <f>COUNTIFs(Matches!$C:$C,E157,Matches!$A:$A,"&gt;"&amp;Q157,Matches!$A:$A,"&lt;"&amp;R157)</f>
        <v>0</v>
      </c>
      <c r="Q157" s="52">
        <f>VLOOKUP($C$2,Quotas!$A$7:$E$14,2,FALSE)</f>
        <v>46171.70833</v>
      </c>
      <c r="R157" s="52">
        <f>VLOOKUP($C$2,Quotas!$A$7:$E$14,3,FALSE)</f>
        <v>46178.70833</v>
      </c>
    </row>
    <row r="158">
      <c r="A158" s="82" t="str">
        <f t="array" ref="A158">XLOOKUP($E158,'Player Database'!$B$2:$B252,'Player Database'!$C$2:$C252)</f>
        <v>#N/A</v>
      </c>
      <c r="B158" s="82" t="str">
        <f t="array" ref="B158">XLOOKUP($E158,'Player Database'!$B$2:$B252,'Player Database'!$E$2:$E252)</f>
        <v>#N/A</v>
      </c>
      <c r="C158" s="82" t="str">
        <f t="array" ref="C158">XLOOKUP($E158,'Player Database'!$B$2:$B252,'Player Database'!$F$2:$F252)</f>
        <v>#N/A</v>
      </c>
      <c r="D158" s="81">
        <f>IFERROR(__xludf.DUMMYFUNCTION("""COMPUTED_VALUE"""),1.0)</f>
        <v>1</v>
      </c>
      <c r="E158" s="41"/>
      <c r="F158" s="42" t="str">
        <f t="array" ref="F158">XLOOKUP($E158,'Player Database'!$B$2:$B252,'Player Database'!$K$2:$K252)</f>
        <v>#N/A</v>
      </c>
      <c r="G158" s="42" t="str">
        <f t="array" ref="G158">XLOOKUP($E158,'Player Database'!$B$2:$B252,'Player Database'!$AE$2:$AE252)</f>
        <v>#N/A</v>
      </c>
      <c r="H158" s="42" t="str">
        <f t="array" ref="H158">XLOOKUP($E158,'Player Database'!$B$2:$B252,'Player Database'!$H$2:$H252)</f>
        <v>#N/A</v>
      </c>
      <c r="I158" s="42" t="str">
        <f t="array" ref="I158">XLOOKUP($E158,'Player Database'!$B$2:$B252,'Player Database'!$O$2:$O252)</f>
        <v>#N/A</v>
      </c>
      <c r="J158" s="42" t="str">
        <f t="array" ref="J158">XLOOKUP($E158,'Player Database'!$B$2:$B252,'Player Database'!$P$2:$P252)</f>
        <v>#N/A</v>
      </c>
      <c r="K158" s="44" t="str">
        <f t="array" ref="K158">XLOOKUP($E158,'Player Database'!$B$2:$B252,'Player Database'!$U$2:$U252)</f>
        <v>#N/A</v>
      </c>
      <c r="L158" s="47" t="str">
        <f t="array" ref="L158">XLOOKUP($E158,'Player Database'!$B$2:$B252,'Player Database'!$W$2:$W252)</f>
        <v>#N/A</v>
      </c>
      <c r="M158" s="48" t="str">
        <f t="shared" si="1"/>
        <v>0 - 0</v>
      </c>
      <c r="N158" s="50" t="str">
        <f t="array" ref="N158">IF(XLOOKUP($E158,'Player Database'!$B$2:$B252,'Player Database'!$AA$2:$AA252)="",XLOOKUP($E158,'Player Database'!$B$2:$B252,'Player Database'!$G$2:$G252),XLOOKUP($E158,'Player Database'!$B$2:$B252,'Player Database'!$AA$2:$AA252))</f>
        <v>#N/A</v>
      </c>
      <c r="O158" s="51">
        <f>COUNTIFs(Matches!$B:$B,E158,Matches!$A:$A,"&gt;"&amp;Q158,Matches!$A:$A,"&lt;"&amp;R158)</f>
        <v>0</v>
      </c>
      <c r="P158" s="51">
        <f>COUNTIFs(Matches!$C:$C,E158,Matches!$A:$A,"&gt;"&amp;Q158,Matches!$A:$A,"&lt;"&amp;R158)</f>
        <v>0</v>
      </c>
      <c r="Q158" s="52">
        <f>VLOOKUP($C$2,Quotas!$A$7:$E$14,2,FALSE)</f>
        <v>46171.70833</v>
      </c>
      <c r="R158" s="52">
        <f>VLOOKUP($C$2,Quotas!$A$7:$E$14,3,FALSE)</f>
        <v>46178.70833</v>
      </c>
    </row>
    <row r="159">
      <c r="A159" s="82" t="str">
        <f t="array" ref="A159">XLOOKUP($E159,'Player Database'!$B$2:$B252,'Player Database'!$C$2:$C252)</f>
        <v>#N/A</v>
      </c>
      <c r="B159" s="82" t="str">
        <f t="array" ref="B159">XLOOKUP($E159,'Player Database'!$B$2:$B252,'Player Database'!$E$2:$E252)</f>
        <v>#N/A</v>
      </c>
      <c r="C159" s="82" t="str">
        <f t="array" ref="C159">XLOOKUP($E159,'Player Database'!$B$2:$B252,'Player Database'!$F$2:$F252)</f>
        <v>#N/A</v>
      </c>
      <c r="D159" s="81">
        <f>IFERROR(__xludf.DUMMYFUNCTION("""COMPUTED_VALUE"""),1.0)</f>
        <v>1</v>
      </c>
      <c r="E159" s="41"/>
      <c r="F159" s="42" t="str">
        <f t="array" ref="F159">XLOOKUP($E159,'Player Database'!$B$2:$B252,'Player Database'!$K$2:$K252)</f>
        <v>#N/A</v>
      </c>
      <c r="G159" s="42" t="str">
        <f t="array" ref="G159">XLOOKUP($E159,'Player Database'!$B$2:$B252,'Player Database'!$AE$2:$AE252)</f>
        <v>#N/A</v>
      </c>
      <c r="H159" s="42" t="str">
        <f t="array" ref="H159">XLOOKUP($E159,'Player Database'!$B$2:$B252,'Player Database'!$H$2:$H252)</f>
        <v>#N/A</v>
      </c>
      <c r="I159" s="42" t="str">
        <f t="array" ref="I159">XLOOKUP($E159,'Player Database'!$B$2:$B252,'Player Database'!$O$2:$O252)</f>
        <v>#N/A</v>
      </c>
      <c r="J159" s="42" t="str">
        <f t="array" ref="J159">XLOOKUP($E159,'Player Database'!$B$2:$B252,'Player Database'!$P$2:$P252)</f>
        <v>#N/A</v>
      </c>
      <c r="K159" s="44" t="str">
        <f t="array" ref="K159">XLOOKUP($E159,'Player Database'!$B$2:$B252,'Player Database'!$U$2:$U252)</f>
        <v>#N/A</v>
      </c>
      <c r="L159" s="47" t="str">
        <f t="array" ref="L159">XLOOKUP($E159,'Player Database'!$B$2:$B252,'Player Database'!$W$2:$W252)</f>
        <v>#N/A</v>
      </c>
      <c r="M159" s="48" t="str">
        <f t="shared" si="1"/>
        <v>0 - 0</v>
      </c>
      <c r="N159" s="50" t="str">
        <f t="array" ref="N159">IF(XLOOKUP($E159,'Player Database'!$B$2:$B252,'Player Database'!$AA$2:$AA252)="",XLOOKUP($E159,'Player Database'!$B$2:$B252,'Player Database'!$G$2:$G252),XLOOKUP($E159,'Player Database'!$B$2:$B252,'Player Database'!$AA$2:$AA252))</f>
        <v>#N/A</v>
      </c>
      <c r="O159" s="51">
        <f>COUNTIFs(Matches!$B:$B,E159,Matches!$A:$A,"&gt;"&amp;Q159,Matches!$A:$A,"&lt;"&amp;R159)</f>
        <v>0</v>
      </c>
      <c r="P159" s="51">
        <f>COUNTIFs(Matches!$C:$C,E159,Matches!$A:$A,"&gt;"&amp;Q159,Matches!$A:$A,"&lt;"&amp;R159)</f>
        <v>0</v>
      </c>
      <c r="Q159" s="52">
        <f>VLOOKUP($C$2,Quotas!$A$7:$E$14,2,FALSE)</f>
        <v>46171.70833</v>
      </c>
      <c r="R159" s="52">
        <f>VLOOKUP($C$2,Quotas!$A$7:$E$14,3,FALSE)</f>
        <v>46178.70833</v>
      </c>
    </row>
    <row r="160">
      <c r="A160" s="82" t="str">
        <f t="array" ref="A160">XLOOKUP($E160,'Player Database'!$B$2:$B252,'Player Database'!$C$2:$C252)</f>
        <v>#N/A</v>
      </c>
      <c r="B160" s="82" t="str">
        <f t="array" ref="B160">XLOOKUP($E160,'Player Database'!$B$2:$B252,'Player Database'!$E$2:$E252)</f>
        <v>#N/A</v>
      </c>
      <c r="C160" s="82" t="str">
        <f t="array" ref="C160">XLOOKUP($E160,'Player Database'!$B$2:$B252,'Player Database'!$F$2:$F252)</f>
        <v>#N/A</v>
      </c>
      <c r="D160" s="81">
        <f>IFERROR(__xludf.DUMMYFUNCTION("""COMPUTED_VALUE"""),1.0)</f>
        <v>1</v>
      </c>
      <c r="E160" s="41"/>
      <c r="F160" s="42" t="str">
        <f t="array" ref="F160">XLOOKUP($E160,'Player Database'!$B$2:$B252,'Player Database'!$K$2:$K252)</f>
        <v>#N/A</v>
      </c>
      <c r="G160" s="42" t="str">
        <f t="array" ref="G160">XLOOKUP($E160,'Player Database'!$B$2:$B252,'Player Database'!$AE$2:$AE252)</f>
        <v>#N/A</v>
      </c>
      <c r="H160" s="42" t="str">
        <f t="array" ref="H160">XLOOKUP($E160,'Player Database'!$B$2:$B252,'Player Database'!$H$2:$H252)</f>
        <v>#N/A</v>
      </c>
      <c r="I160" s="42" t="str">
        <f t="array" ref="I160">XLOOKUP($E160,'Player Database'!$B$2:$B252,'Player Database'!$O$2:$O252)</f>
        <v>#N/A</v>
      </c>
      <c r="J160" s="42" t="str">
        <f t="array" ref="J160">XLOOKUP($E160,'Player Database'!$B$2:$B252,'Player Database'!$P$2:$P252)</f>
        <v>#N/A</v>
      </c>
      <c r="K160" s="44" t="str">
        <f t="array" ref="K160">XLOOKUP($E160,'Player Database'!$B$2:$B252,'Player Database'!$U$2:$U252)</f>
        <v>#N/A</v>
      </c>
      <c r="L160" s="47" t="str">
        <f t="array" ref="L160">XLOOKUP($E160,'Player Database'!$B$2:$B252,'Player Database'!$W$2:$W252)</f>
        <v>#N/A</v>
      </c>
      <c r="M160" s="48" t="str">
        <f t="shared" si="1"/>
        <v>0 - 0</v>
      </c>
      <c r="N160" s="50" t="str">
        <f t="array" ref="N160">IF(XLOOKUP($E160,'Player Database'!$B$2:$B252,'Player Database'!$AA$2:$AA252)="",XLOOKUP($E160,'Player Database'!$B$2:$B252,'Player Database'!$G$2:$G252),XLOOKUP($E160,'Player Database'!$B$2:$B252,'Player Database'!$AA$2:$AA252))</f>
        <v>#N/A</v>
      </c>
      <c r="O160" s="51">
        <f>COUNTIFs(Matches!$B:$B,E160,Matches!$A:$A,"&gt;"&amp;Q160,Matches!$A:$A,"&lt;"&amp;R160)</f>
        <v>0</v>
      </c>
      <c r="P160" s="51">
        <f>COUNTIFs(Matches!$C:$C,E160,Matches!$A:$A,"&gt;"&amp;Q160,Matches!$A:$A,"&lt;"&amp;R160)</f>
        <v>0</v>
      </c>
      <c r="Q160" s="52">
        <f>VLOOKUP($C$2,Quotas!$A$7:$E$14,2,FALSE)</f>
        <v>46171.70833</v>
      </c>
      <c r="R160" s="52">
        <f>VLOOKUP($C$2,Quotas!$A$7:$E$14,3,FALSE)</f>
        <v>46178.70833</v>
      </c>
    </row>
    <row r="161">
      <c r="A161" s="82" t="str">
        <f t="array" ref="A161">XLOOKUP($E161,'Player Database'!$B$2:$B252,'Player Database'!$C$2:$C252)</f>
        <v>#N/A</v>
      </c>
      <c r="B161" s="82" t="str">
        <f t="array" ref="B161">XLOOKUP($E161,'Player Database'!$B$2:$B252,'Player Database'!$E$2:$E252)</f>
        <v>#N/A</v>
      </c>
      <c r="C161" s="82" t="str">
        <f t="array" ref="C161">XLOOKUP($E161,'Player Database'!$B$2:$B252,'Player Database'!$F$2:$F252)</f>
        <v>#N/A</v>
      </c>
      <c r="D161" s="81">
        <f>IFERROR(__xludf.DUMMYFUNCTION("""COMPUTED_VALUE"""),1.0)</f>
        <v>1</v>
      </c>
      <c r="E161" s="41"/>
      <c r="F161" s="42" t="str">
        <f t="array" ref="F161">XLOOKUP($E161,'Player Database'!$B$2:$B252,'Player Database'!$K$2:$K252)</f>
        <v>#N/A</v>
      </c>
      <c r="G161" s="42" t="str">
        <f t="array" ref="G161">XLOOKUP($E161,'Player Database'!$B$2:$B252,'Player Database'!$AE$2:$AE252)</f>
        <v>#N/A</v>
      </c>
      <c r="H161" s="42" t="str">
        <f t="array" ref="H161">XLOOKUP($E161,'Player Database'!$B$2:$B252,'Player Database'!$H$2:$H252)</f>
        <v>#N/A</v>
      </c>
      <c r="I161" s="42" t="str">
        <f t="array" ref="I161">XLOOKUP($E161,'Player Database'!$B$2:$B252,'Player Database'!$O$2:$O252)</f>
        <v>#N/A</v>
      </c>
      <c r="J161" s="42" t="str">
        <f t="array" ref="J161">XLOOKUP($E161,'Player Database'!$B$2:$B252,'Player Database'!$P$2:$P252)</f>
        <v>#N/A</v>
      </c>
      <c r="K161" s="44" t="str">
        <f t="array" ref="K161">XLOOKUP($E161,'Player Database'!$B$2:$B252,'Player Database'!$U$2:$U252)</f>
        <v>#N/A</v>
      </c>
      <c r="L161" s="47" t="str">
        <f t="array" ref="L161">XLOOKUP($E161,'Player Database'!$B$2:$B252,'Player Database'!$W$2:$W252)</f>
        <v>#N/A</v>
      </c>
      <c r="M161" s="48" t="str">
        <f t="shared" si="1"/>
        <v>0 - 0</v>
      </c>
      <c r="N161" s="50" t="str">
        <f t="array" ref="N161">IF(XLOOKUP($E161,'Player Database'!$B$2:$B252,'Player Database'!$AA$2:$AA252)="",XLOOKUP($E161,'Player Database'!$B$2:$B252,'Player Database'!$G$2:$G252),XLOOKUP($E161,'Player Database'!$B$2:$B252,'Player Database'!$AA$2:$AA252))</f>
        <v>#N/A</v>
      </c>
      <c r="O161" s="51">
        <f>COUNTIFs(Matches!$B:$B,E161,Matches!$A:$A,"&gt;"&amp;Q161,Matches!$A:$A,"&lt;"&amp;R161)</f>
        <v>0</v>
      </c>
      <c r="P161" s="51">
        <f>COUNTIFs(Matches!$C:$C,E161,Matches!$A:$A,"&gt;"&amp;Q161,Matches!$A:$A,"&lt;"&amp;R161)</f>
        <v>0</v>
      </c>
      <c r="Q161" s="52">
        <f>VLOOKUP($C$2,Quotas!$A$7:$E$14,2,FALSE)</f>
        <v>46171.70833</v>
      </c>
      <c r="R161" s="52">
        <f>VLOOKUP($C$2,Quotas!$A$7:$E$14,3,FALSE)</f>
        <v>46178.70833</v>
      </c>
    </row>
    <row r="162">
      <c r="A162" s="82" t="str">
        <f t="array" ref="A162">XLOOKUP($E162,'Player Database'!$B$2:$B252,'Player Database'!$C$2:$C252)</f>
        <v>#N/A</v>
      </c>
      <c r="B162" s="82" t="str">
        <f t="array" ref="B162">XLOOKUP($E162,'Player Database'!$B$2:$B252,'Player Database'!$E$2:$E252)</f>
        <v>#N/A</v>
      </c>
      <c r="C162" s="82" t="str">
        <f t="array" ref="C162">XLOOKUP($E162,'Player Database'!$B$2:$B252,'Player Database'!$F$2:$F252)</f>
        <v>#N/A</v>
      </c>
      <c r="D162" s="81">
        <f>IFERROR(__xludf.DUMMYFUNCTION("""COMPUTED_VALUE"""),1.0)</f>
        <v>1</v>
      </c>
      <c r="E162" s="41"/>
      <c r="F162" s="42" t="str">
        <f t="array" ref="F162">XLOOKUP($E162,'Player Database'!$B$2:$B252,'Player Database'!$K$2:$K252)</f>
        <v>#N/A</v>
      </c>
      <c r="G162" s="42" t="str">
        <f t="array" ref="G162">XLOOKUP($E162,'Player Database'!$B$2:$B252,'Player Database'!$AE$2:$AE252)</f>
        <v>#N/A</v>
      </c>
      <c r="H162" s="42" t="str">
        <f t="array" ref="H162">XLOOKUP($E162,'Player Database'!$B$2:$B252,'Player Database'!$H$2:$H252)</f>
        <v>#N/A</v>
      </c>
      <c r="I162" s="42" t="str">
        <f t="array" ref="I162">XLOOKUP($E162,'Player Database'!$B$2:$B252,'Player Database'!$O$2:$O252)</f>
        <v>#N/A</v>
      </c>
      <c r="J162" s="42" t="str">
        <f t="array" ref="J162">XLOOKUP($E162,'Player Database'!$B$2:$B252,'Player Database'!$P$2:$P252)</f>
        <v>#N/A</v>
      </c>
      <c r="K162" s="44" t="str">
        <f t="array" ref="K162">XLOOKUP($E162,'Player Database'!$B$2:$B252,'Player Database'!$U$2:$U252)</f>
        <v>#N/A</v>
      </c>
      <c r="L162" s="47" t="str">
        <f t="array" ref="L162">XLOOKUP($E162,'Player Database'!$B$2:$B252,'Player Database'!$W$2:$W252)</f>
        <v>#N/A</v>
      </c>
      <c r="M162" s="48" t="str">
        <f t="shared" si="1"/>
        <v>0 - 0</v>
      </c>
      <c r="N162" s="50" t="str">
        <f t="array" ref="N162">IF(XLOOKUP($E162,'Player Database'!$B$2:$B252,'Player Database'!$AA$2:$AA252)="",XLOOKUP($E162,'Player Database'!$B$2:$B252,'Player Database'!$G$2:$G252),XLOOKUP($E162,'Player Database'!$B$2:$B252,'Player Database'!$AA$2:$AA252))</f>
        <v>#N/A</v>
      </c>
      <c r="O162" s="51">
        <f>COUNTIFs(Matches!$B:$B,E162,Matches!$A:$A,"&gt;"&amp;Q162,Matches!$A:$A,"&lt;"&amp;R162)</f>
        <v>0</v>
      </c>
      <c r="P162" s="51">
        <f>COUNTIFs(Matches!$C:$C,E162,Matches!$A:$A,"&gt;"&amp;Q162,Matches!$A:$A,"&lt;"&amp;R162)</f>
        <v>0</v>
      </c>
      <c r="Q162" s="52">
        <f>VLOOKUP($C$2,Quotas!$A$7:$E$14,2,FALSE)</f>
        <v>46171.70833</v>
      </c>
      <c r="R162" s="52">
        <f>VLOOKUP($C$2,Quotas!$A$7:$E$14,3,FALSE)</f>
        <v>46178.70833</v>
      </c>
    </row>
    <row r="163">
      <c r="A163" s="82" t="str">
        <f t="array" ref="A163">XLOOKUP($E163,'Player Database'!$B$2:$B252,'Player Database'!$C$2:$C252)</f>
        <v>#N/A</v>
      </c>
      <c r="B163" s="82" t="str">
        <f t="array" ref="B163">XLOOKUP($E163,'Player Database'!$B$2:$B252,'Player Database'!$E$2:$E252)</f>
        <v>#N/A</v>
      </c>
      <c r="C163" s="82" t="str">
        <f t="array" ref="C163">XLOOKUP($E163,'Player Database'!$B$2:$B252,'Player Database'!$F$2:$F252)</f>
        <v>#N/A</v>
      </c>
      <c r="D163" s="81">
        <f>IFERROR(__xludf.DUMMYFUNCTION("""COMPUTED_VALUE"""),1.0)</f>
        <v>1</v>
      </c>
      <c r="E163" s="41"/>
      <c r="F163" s="42" t="str">
        <f t="array" ref="F163">XLOOKUP($E163,'Player Database'!$B$2:$B252,'Player Database'!$K$2:$K252)</f>
        <v>#N/A</v>
      </c>
      <c r="G163" s="42" t="str">
        <f t="array" ref="G163">XLOOKUP($E163,'Player Database'!$B$2:$B252,'Player Database'!$AE$2:$AE252)</f>
        <v>#N/A</v>
      </c>
      <c r="H163" s="42" t="str">
        <f t="array" ref="H163">XLOOKUP($E163,'Player Database'!$B$2:$B252,'Player Database'!$H$2:$H252)</f>
        <v>#N/A</v>
      </c>
      <c r="I163" s="42" t="str">
        <f t="array" ref="I163">XLOOKUP($E163,'Player Database'!$B$2:$B252,'Player Database'!$O$2:$O252)</f>
        <v>#N/A</v>
      </c>
      <c r="J163" s="42" t="str">
        <f t="array" ref="J163">XLOOKUP($E163,'Player Database'!$B$2:$B252,'Player Database'!$P$2:$P252)</f>
        <v>#N/A</v>
      </c>
      <c r="K163" s="44" t="str">
        <f t="array" ref="K163">XLOOKUP($E163,'Player Database'!$B$2:$B252,'Player Database'!$U$2:$U252)</f>
        <v>#N/A</v>
      </c>
      <c r="L163" s="47" t="str">
        <f t="array" ref="L163">XLOOKUP($E163,'Player Database'!$B$2:$B252,'Player Database'!$W$2:$W252)</f>
        <v>#N/A</v>
      </c>
      <c r="M163" s="48" t="str">
        <f t="shared" si="1"/>
        <v>0 - 0</v>
      </c>
      <c r="N163" s="50" t="str">
        <f t="array" ref="N163">IF(XLOOKUP($E163,'Player Database'!$B$2:$B252,'Player Database'!$AA$2:$AA252)="",XLOOKUP($E163,'Player Database'!$B$2:$B252,'Player Database'!$G$2:$G252),XLOOKUP($E163,'Player Database'!$B$2:$B252,'Player Database'!$AA$2:$AA252))</f>
        <v>#N/A</v>
      </c>
      <c r="O163" s="51">
        <f>COUNTIFs(Matches!$B:$B,E163,Matches!$A:$A,"&gt;"&amp;Q163,Matches!$A:$A,"&lt;"&amp;R163)</f>
        <v>0</v>
      </c>
      <c r="P163" s="51">
        <f>COUNTIFs(Matches!$C:$C,E163,Matches!$A:$A,"&gt;"&amp;Q163,Matches!$A:$A,"&lt;"&amp;R163)</f>
        <v>0</v>
      </c>
      <c r="Q163" s="52">
        <f>VLOOKUP($C$2,Quotas!$A$7:$E$14,2,FALSE)</f>
        <v>46171.70833</v>
      </c>
      <c r="R163" s="52">
        <f>VLOOKUP($C$2,Quotas!$A$7:$E$14,3,FALSE)</f>
        <v>46178.70833</v>
      </c>
    </row>
    <row r="164">
      <c r="A164" s="82" t="str">
        <f t="array" ref="A164">XLOOKUP($E164,'Player Database'!$B$2:$B252,'Player Database'!$C$2:$C252)</f>
        <v>#N/A</v>
      </c>
      <c r="B164" s="82" t="str">
        <f t="array" ref="B164">XLOOKUP($E164,'Player Database'!$B$2:$B252,'Player Database'!$E$2:$E252)</f>
        <v>#N/A</v>
      </c>
      <c r="C164" s="82" t="str">
        <f t="array" ref="C164">XLOOKUP($E164,'Player Database'!$B$2:$B252,'Player Database'!$F$2:$F252)</f>
        <v>#N/A</v>
      </c>
      <c r="D164" s="81">
        <f>IFERROR(__xludf.DUMMYFUNCTION("""COMPUTED_VALUE"""),1.0)</f>
        <v>1</v>
      </c>
      <c r="E164" s="41"/>
      <c r="F164" s="42" t="str">
        <f t="array" ref="F164">XLOOKUP($E164,'Player Database'!$B$2:$B252,'Player Database'!$K$2:$K252)</f>
        <v>#N/A</v>
      </c>
      <c r="G164" s="42" t="str">
        <f t="array" ref="G164">XLOOKUP($E164,'Player Database'!$B$2:$B252,'Player Database'!$AE$2:$AE252)</f>
        <v>#N/A</v>
      </c>
      <c r="H164" s="42" t="str">
        <f t="array" ref="H164">XLOOKUP($E164,'Player Database'!$B$2:$B252,'Player Database'!$H$2:$H252)</f>
        <v>#N/A</v>
      </c>
      <c r="I164" s="42" t="str">
        <f t="array" ref="I164">XLOOKUP($E164,'Player Database'!$B$2:$B252,'Player Database'!$O$2:$O252)</f>
        <v>#N/A</v>
      </c>
      <c r="J164" s="42" t="str">
        <f t="array" ref="J164">XLOOKUP($E164,'Player Database'!$B$2:$B252,'Player Database'!$P$2:$P252)</f>
        <v>#N/A</v>
      </c>
      <c r="K164" s="44" t="str">
        <f t="array" ref="K164">XLOOKUP($E164,'Player Database'!$B$2:$B252,'Player Database'!$U$2:$U252)</f>
        <v>#N/A</v>
      </c>
      <c r="L164" s="47" t="str">
        <f t="array" ref="L164">XLOOKUP($E164,'Player Database'!$B$2:$B252,'Player Database'!$W$2:$W252)</f>
        <v>#N/A</v>
      </c>
      <c r="M164" s="48" t="str">
        <f t="shared" si="1"/>
        <v>0 - 0</v>
      </c>
      <c r="N164" s="50" t="str">
        <f t="array" ref="N164">IF(XLOOKUP($E164,'Player Database'!$B$2:$B252,'Player Database'!$AA$2:$AA252)="",XLOOKUP($E164,'Player Database'!$B$2:$B252,'Player Database'!$G$2:$G252),XLOOKUP($E164,'Player Database'!$B$2:$B252,'Player Database'!$AA$2:$AA252))</f>
        <v>#N/A</v>
      </c>
      <c r="O164" s="51">
        <f>COUNTIFs(Matches!$B:$B,E164,Matches!$A:$A,"&gt;"&amp;Q164,Matches!$A:$A,"&lt;"&amp;R164)</f>
        <v>0</v>
      </c>
      <c r="P164" s="51">
        <f>COUNTIFs(Matches!$C:$C,E164,Matches!$A:$A,"&gt;"&amp;Q164,Matches!$A:$A,"&lt;"&amp;R164)</f>
        <v>0</v>
      </c>
      <c r="Q164" s="52">
        <f>VLOOKUP($C$2,Quotas!$A$7:$E$14,2,FALSE)</f>
        <v>46171.70833</v>
      </c>
      <c r="R164" s="52">
        <f>VLOOKUP($C$2,Quotas!$A$7:$E$14,3,FALSE)</f>
        <v>46178.70833</v>
      </c>
    </row>
    <row r="165">
      <c r="A165" s="82" t="str">
        <f t="array" ref="A165">XLOOKUP($E165,'Player Database'!$B$2:$B252,'Player Database'!$C$2:$C252)</f>
        <v>#N/A</v>
      </c>
      <c r="B165" s="82" t="str">
        <f t="array" ref="B165">XLOOKUP($E165,'Player Database'!$B$2:$B252,'Player Database'!$E$2:$E252)</f>
        <v>#N/A</v>
      </c>
      <c r="C165" s="82" t="str">
        <f t="array" ref="C165">XLOOKUP($E165,'Player Database'!$B$2:$B252,'Player Database'!$F$2:$F252)</f>
        <v>#N/A</v>
      </c>
      <c r="D165" s="81">
        <f>IFERROR(__xludf.DUMMYFUNCTION("""COMPUTED_VALUE"""),1.0)</f>
        <v>1</v>
      </c>
      <c r="E165" s="41"/>
      <c r="F165" s="42" t="str">
        <f t="array" ref="F165">XLOOKUP($E165,'Player Database'!$B$2:$B252,'Player Database'!$K$2:$K252)</f>
        <v>#N/A</v>
      </c>
      <c r="G165" s="42" t="str">
        <f t="array" ref="G165">XLOOKUP($E165,'Player Database'!$B$2:$B252,'Player Database'!$AE$2:$AE252)</f>
        <v>#N/A</v>
      </c>
      <c r="H165" s="42" t="str">
        <f t="array" ref="H165">XLOOKUP($E165,'Player Database'!$B$2:$B252,'Player Database'!$H$2:$H252)</f>
        <v>#N/A</v>
      </c>
      <c r="I165" s="42" t="str">
        <f t="array" ref="I165">XLOOKUP($E165,'Player Database'!$B$2:$B252,'Player Database'!$O$2:$O252)</f>
        <v>#N/A</v>
      </c>
      <c r="J165" s="42" t="str">
        <f t="array" ref="J165">XLOOKUP($E165,'Player Database'!$B$2:$B252,'Player Database'!$P$2:$P252)</f>
        <v>#N/A</v>
      </c>
      <c r="K165" s="44" t="str">
        <f t="array" ref="K165">XLOOKUP($E165,'Player Database'!$B$2:$B252,'Player Database'!$U$2:$U252)</f>
        <v>#N/A</v>
      </c>
      <c r="L165" s="47" t="str">
        <f t="array" ref="L165">XLOOKUP($E165,'Player Database'!$B$2:$B252,'Player Database'!$W$2:$W252)</f>
        <v>#N/A</v>
      </c>
      <c r="M165" s="48" t="str">
        <f t="shared" si="1"/>
        <v>0 - 0</v>
      </c>
      <c r="N165" s="50" t="str">
        <f t="array" ref="N165">IF(XLOOKUP($E165,'Player Database'!$B$2:$B252,'Player Database'!$AA$2:$AA252)="",XLOOKUP($E165,'Player Database'!$B$2:$B252,'Player Database'!$G$2:$G252),XLOOKUP($E165,'Player Database'!$B$2:$B252,'Player Database'!$AA$2:$AA252))</f>
        <v>#N/A</v>
      </c>
      <c r="O165" s="51">
        <f>COUNTIFs(Matches!$B:$B,E165,Matches!$A:$A,"&gt;"&amp;Q165,Matches!$A:$A,"&lt;"&amp;R165)</f>
        <v>0</v>
      </c>
      <c r="P165" s="51">
        <f>COUNTIFs(Matches!$C:$C,E165,Matches!$A:$A,"&gt;"&amp;Q165,Matches!$A:$A,"&lt;"&amp;R165)</f>
        <v>0</v>
      </c>
      <c r="Q165" s="52">
        <f>VLOOKUP($C$2,Quotas!$A$7:$E$14,2,FALSE)</f>
        <v>46171.70833</v>
      </c>
      <c r="R165" s="52">
        <f>VLOOKUP($C$2,Quotas!$A$7:$E$14,3,FALSE)</f>
        <v>46178.70833</v>
      </c>
    </row>
    <row r="166">
      <c r="A166" s="82" t="str">
        <f t="array" ref="A166">XLOOKUP($E166,'Player Database'!$B$2:$B252,'Player Database'!$C$2:$C252)</f>
        <v>#N/A</v>
      </c>
      <c r="B166" s="82" t="str">
        <f t="array" ref="B166">XLOOKUP($E166,'Player Database'!$B$2:$B252,'Player Database'!$E$2:$E252)</f>
        <v>#N/A</v>
      </c>
      <c r="C166" s="82" t="str">
        <f t="array" ref="C166">XLOOKUP($E166,'Player Database'!$B$2:$B252,'Player Database'!$F$2:$F252)</f>
        <v>#N/A</v>
      </c>
      <c r="D166" s="81">
        <f>IFERROR(__xludf.DUMMYFUNCTION("""COMPUTED_VALUE"""),1.0)</f>
        <v>1</v>
      </c>
      <c r="E166" s="41"/>
      <c r="F166" s="42" t="str">
        <f t="array" ref="F166">XLOOKUP($E166,'Player Database'!$B$2:$B252,'Player Database'!$K$2:$K252)</f>
        <v>#N/A</v>
      </c>
      <c r="G166" s="42" t="str">
        <f t="array" ref="G166">XLOOKUP($E166,'Player Database'!$B$2:$B252,'Player Database'!$AE$2:$AE252)</f>
        <v>#N/A</v>
      </c>
      <c r="H166" s="42" t="str">
        <f t="array" ref="H166">XLOOKUP($E166,'Player Database'!$B$2:$B252,'Player Database'!$H$2:$H252)</f>
        <v>#N/A</v>
      </c>
      <c r="I166" s="42" t="str">
        <f t="array" ref="I166">XLOOKUP($E166,'Player Database'!$B$2:$B252,'Player Database'!$O$2:$O252)</f>
        <v>#N/A</v>
      </c>
      <c r="J166" s="42" t="str">
        <f t="array" ref="J166">XLOOKUP($E166,'Player Database'!$B$2:$B252,'Player Database'!$P$2:$P252)</f>
        <v>#N/A</v>
      </c>
      <c r="K166" s="44" t="str">
        <f t="array" ref="K166">XLOOKUP($E166,'Player Database'!$B$2:$B252,'Player Database'!$U$2:$U252)</f>
        <v>#N/A</v>
      </c>
      <c r="L166" s="47" t="str">
        <f t="array" ref="L166">XLOOKUP($E166,'Player Database'!$B$2:$B252,'Player Database'!$W$2:$W252)</f>
        <v>#N/A</v>
      </c>
      <c r="M166" s="48" t="str">
        <f t="shared" si="1"/>
        <v>0 - 0</v>
      </c>
      <c r="N166" s="50" t="str">
        <f t="array" ref="N166">IF(XLOOKUP($E166,'Player Database'!$B$2:$B252,'Player Database'!$AA$2:$AA252)="",XLOOKUP($E166,'Player Database'!$B$2:$B252,'Player Database'!$G$2:$G252),XLOOKUP($E166,'Player Database'!$B$2:$B252,'Player Database'!$AA$2:$AA252))</f>
        <v>#N/A</v>
      </c>
      <c r="O166" s="51">
        <f>COUNTIFs(Matches!$B:$B,E166,Matches!$A:$A,"&gt;"&amp;Q166,Matches!$A:$A,"&lt;"&amp;R166)</f>
        <v>0</v>
      </c>
      <c r="P166" s="51">
        <f>COUNTIFs(Matches!$C:$C,E166,Matches!$A:$A,"&gt;"&amp;Q166,Matches!$A:$A,"&lt;"&amp;R166)</f>
        <v>0</v>
      </c>
      <c r="Q166" s="52">
        <f>VLOOKUP($C$2,Quotas!$A$7:$E$14,2,FALSE)</f>
        <v>46171.70833</v>
      </c>
      <c r="R166" s="52">
        <f>VLOOKUP($C$2,Quotas!$A$7:$E$14,3,FALSE)</f>
        <v>46178.70833</v>
      </c>
    </row>
    <row r="167">
      <c r="A167" s="82" t="str">
        <f t="array" ref="A167">XLOOKUP($E167,'Player Database'!$B$2:$B252,'Player Database'!$C$2:$C252)</f>
        <v>#N/A</v>
      </c>
      <c r="B167" s="82" t="str">
        <f t="array" ref="B167">XLOOKUP($E167,'Player Database'!$B$2:$B252,'Player Database'!$E$2:$E252)</f>
        <v>#N/A</v>
      </c>
      <c r="C167" s="82" t="str">
        <f t="array" ref="C167">XLOOKUP($E167,'Player Database'!$B$2:$B252,'Player Database'!$F$2:$F252)</f>
        <v>#N/A</v>
      </c>
      <c r="D167" s="81">
        <f>IFERROR(__xludf.DUMMYFUNCTION("""COMPUTED_VALUE"""),1.0)</f>
        <v>1</v>
      </c>
      <c r="E167" s="41"/>
      <c r="F167" s="42" t="str">
        <f t="array" ref="F167">XLOOKUP($E167,'Player Database'!$B$2:$B252,'Player Database'!$K$2:$K252)</f>
        <v>#N/A</v>
      </c>
      <c r="G167" s="42" t="str">
        <f t="array" ref="G167">XLOOKUP($E167,'Player Database'!$B$2:$B252,'Player Database'!$AE$2:$AE252)</f>
        <v>#N/A</v>
      </c>
      <c r="H167" s="42" t="str">
        <f t="array" ref="H167">XLOOKUP($E167,'Player Database'!$B$2:$B252,'Player Database'!$H$2:$H252)</f>
        <v>#N/A</v>
      </c>
      <c r="I167" s="42" t="str">
        <f t="array" ref="I167">XLOOKUP($E167,'Player Database'!$B$2:$B252,'Player Database'!$O$2:$O252)</f>
        <v>#N/A</v>
      </c>
      <c r="J167" s="42" t="str">
        <f t="array" ref="J167">XLOOKUP($E167,'Player Database'!$B$2:$B252,'Player Database'!$P$2:$P252)</f>
        <v>#N/A</v>
      </c>
      <c r="K167" s="44" t="str">
        <f t="array" ref="K167">XLOOKUP($E167,'Player Database'!$B$2:$B252,'Player Database'!$U$2:$U252)</f>
        <v>#N/A</v>
      </c>
      <c r="L167" s="47" t="str">
        <f t="array" ref="L167">XLOOKUP($E167,'Player Database'!$B$2:$B252,'Player Database'!$W$2:$W252)</f>
        <v>#N/A</v>
      </c>
      <c r="M167" s="48" t="str">
        <f t="shared" si="1"/>
        <v>0 - 0</v>
      </c>
      <c r="N167" s="50" t="str">
        <f t="array" ref="N167">IF(XLOOKUP($E167,'Player Database'!$B$2:$B252,'Player Database'!$AA$2:$AA252)="",XLOOKUP($E167,'Player Database'!$B$2:$B252,'Player Database'!$G$2:$G252),XLOOKUP($E167,'Player Database'!$B$2:$B252,'Player Database'!$AA$2:$AA252))</f>
        <v>#N/A</v>
      </c>
      <c r="O167" s="51">
        <f>COUNTIFs(Matches!$B:$B,E167,Matches!$A:$A,"&gt;"&amp;Q167,Matches!$A:$A,"&lt;"&amp;R167)</f>
        <v>0</v>
      </c>
      <c r="P167" s="51">
        <f>COUNTIFs(Matches!$C:$C,E167,Matches!$A:$A,"&gt;"&amp;Q167,Matches!$A:$A,"&lt;"&amp;R167)</f>
        <v>0</v>
      </c>
      <c r="Q167" s="52">
        <f>VLOOKUP($C$2,Quotas!$A$7:$E$14,2,FALSE)</f>
        <v>46171.70833</v>
      </c>
      <c r="R167" s="52">
        <f>VLOOKUP($C$2,Quotas!$A$7:$E$14,3,FALSE)</f>
        <v>46178.70833</v>
      </c>
    </row>
    <row r="168">
      <c r="A168" s="82" t="str">
        <f t="array" ref="A168">XLOOKUP($E168,'Player Database'!$B$2:$B252,'Player Database'!$C$2:$C252)</f>
        <v>#N/A</v>
      </c>
      <c r="B168" s="82" t="str">
        <f t="array" ref="B168">XLOOKUP($E168,'Player Database'!$B$2:$B252,'Player Database'!$E$2:$E252)</f>
        <v>#N/A</v>
      </c>
      <c r="C168" s="82" t="str">
        <f t="array" ref="C168">XLOOKUP($E168,'Player Database'!$B$2:$B252,'Player Database'!$F$2:$F252)</f>
        <v>#N/A</v>
      </c>
      <c r="D168" s="81">
        <f>IFERROR(__xludf.DUMMYFUNCTION("""COMPUTED_VALUE"""),1.0)</f>
        <v>1</v>
      </c>
      <c r="E168" s="41"/>
      <c r="F168" s="42" t="str">
        <f t="array" ref="F168">XLOOKUP($E168,'Player Database'!$B$2:$B252,'Player Database'!$K$2:$K252)</f>
        <v>#N/A</v>
      </c>
      <c r="G168" s="42" t="str">
        <f t="array" ref="G168">XLOOKUP($E168,'Player Database'!$B$2:$B252,'Player Database'!$AE$2:$AE252)</f>
        <v>#N/A</v>
      </c>
      <c r="H168" s="42" t="str">
        <f t="array" ref="H168">XLOOKUP($E168,'Player Database'!$B$2:$B252,'Player Database'!$H$2:$H252)</f>
        <v>#N/A</v>
      </c>
      <c r="I168" s="42" t="str">
        <f t="array" ref="I168">XLOOKUP($E168,'Player Database'!$B$2:$B252,'Player Database'!$O$2:$O252)</f>
        <v>#N/A</v>
      </c>
      <c r="J168" s="42" t="str">
        <f t="array" ref="J168">XLOOKUP($E168,'Player Database'!$B$2:$B252,'Player Database'!$P$2:$P252)</f>
        <v>#N/A</v>
      </c>
      <c r="K168" s="44" t="str">
        <f t="array" ref="K168">XLOOKUP($E168,'Player Database'!$B$2:$B252,'Player Database'!$U$2:$U252)</f>
        <v>#N/A</v>
      </c>
      <c r="L168" s="47" t="str">
        <f t="array" ref="L168">XLOOKUP($E168,'Player Database'!$B$2:$B252,'Player Database'!$W$2:$W252)</f>
        <v>#N/A</v>
      </c>
      <c r="M168" s="48" t="str">
        <f t="shared" si="1"/>
        <v>0 - 0</v>
      </c>
      <c r="N168" s="50" t="str">
        <f t="array" ref="N168">IF(XLOOKUP($E168,'Player Database'!$B$2:$B252,'Player Database'!$AA$2:$AA252)="",XLOOKUP($E168,'Player Database'!$B$2:$B252,'Player Database'!$G$2:$G252),XLOOKUP($E168,'Player Database'!$B$2:$B252,'Player Database'!$AA$2:$AA252))</f>
        <v>#N/A</v>
      </c>
      <c r="O168" s="51">
        <f>COUNTIFs(Matches!$B:$B,E168,Matches!$A:$A,"&gt;"&amp;Q168,Matches!$A:$A,"&lt;"&amp;R168)</f>
        <v>0</v>
      </c>
      <c r="P168" s="51">
        <f>COUNTIFs(Matches!$C:$C,E168,Matches!$A:$A,"&gt;"&amp;Q168,Matches!$A:$A,"&lt;"&amp;R168)</f>
        <v>0</v>
      </c>
      <c r="Q168" s="52">
        <f>VLOOKUP($C$2,Quotas!$A$7:$E$14,2,FALSE)</f>
        <v>46171.70833</v>
      </c>
      <c r="R168" s="52">
        <f>VLOOKUP($C$2,Quotas!$A$7:$E$14,3,FALSE)</f>
        <v>46178.70833</v>
      </c>
    </row>
    <row r="169">
      <c r="A169" s="82" t="str">
        <f t="array" ref="A169">XLOOKUP($E169,'Player Database'!$B$2:$B252,'Player Database'!$C$2:$C252)</f>
        <v>#N/A</v>
      </c>
      <c r="B169" s="82" t="str">
        <f t="array" ref="B169">XLOOKUP($E169,'Player Database'!$B$2:$B252,'Player Database'!$E$2:$E252)</f>
        <v>#N/A</v>
      </c>
      <c r="C169" s="82" t="str">
        <f t="array" ref="C169">XLOOKUP($E169,'Player Database'!$B$2:$B252,'Player Database'!$F$2:$F252)</f>
        <v>#N/A</v>
      </c>
      <c r="D169" s="81">
        <f>IFERROR(__xludf.DUMMYFUNCTION("""COMPUTED_VALUE"""),1.0)</f>
        <v>1</v>
      </c>
      <c r="E169" s="41"/>
      <c r="F169" s="42" t="str">
        <f t="array" ref="F169">XLOOKUP($E169,'Player Database'!$B$2:$B252,'Player Database'!$K$2:$K252)</f>
        <v>#N/A</v>
      </c>
      <c r="G169" s="42" t="str">
        <f t="array" ref="G169">XLOOKUP($E169,'Player Database'!$B$2:$B252,'Player Database'!$AE$2:$AE252)</f>
        <v>#N/A</v>
      </c>
      <c r="H169" s="42" t="str">
        <f t="array" ref="H169">XLOOKUP($E169,'Player Database'!$B$2:$B252,'Player Database'!$H$2:$H252)</f>
        <v>#N/A</v>
      </c>
      <c r="I169" s="42" t="str">
        <f t="array" ref="I169">XLOOKUP($E169,'Player Database'!$B$2:$B252,'Player Database'!$O$2:$O252)</f>
        <v>#N/A</v>
      </c>
      <c r="J169" s="42" t="str">
        <f t="array" ref="J169">XLOOKUP($E169,'Player Database'!$B$2:$B252,'Player Database'!$P$2:$P252)</f>
        <v>#N/A</v>
      </c>
      <c r="K169" s="44" t="str">
        <f t="array" ref="K169">XLOOKUP($E169,'Player Database'!$B$2:$B252,'Player Database'!$U$2:$U252)</f>
        <v>#N/A</v>
      </c>
      <c r="L169" s="47" t="str">
        <f t="array" ref="L169">XLOOKUP($E169,'Player Database'!$B$2:$B252,'Player Database'!$W$2:$W252)</f>
        <v>#N/A</v>
      </c>
      <c r="M169" s="48" t="str">
        <f t="shared" si="1"/>
        <v>0 - 0</v>
      </c>
      <c r="N169" s="50" t="str">
        <f t="array" ref="N169">IF(XLOOKUP($E169,'Player Database'!$B$2:$B252,'Player Database'!$AA$2:$AA252)="",XLOOKUP($E169,'Player Database'!$B$2:$B252,'Player Database'!$G$2:$G252),XLOOKUP($E169,'Player Database'!$B$2:$B252,'Player Database'!$AA$2:$AA252))</f>
        <v>#N/A</v>
      </c>
      <c r="O169" s="51">
        <f>COUNTIFs(Matches!$B:$B,E169,Matches!$A:$A,"&gt;"&amp;Q169,Matches!$A:$A,"&lt;"&amp;R169)</f>
        <v>0</v>
      </c>
      <c r="P169" s="51">
        <f>COUNTIFs(Matches!$C:$C,E169,Matches!$A:$A,"&gt;"&amp;Q169,Matches!$A:$A,"&lt;"&amp;R169)</f>
        <v>0</v>
      </c>
      <c r="Q169" s="52">
        <f>VLOOKUP($C$2,Quotas!$A$7:$E$14,2,FALSE)</f>
        <v>46171.70833</v>
      </c>
      <c r="R169" s="52">
        <f>VLOOKUP($C$2,Quotas!$A$7:$E$14,3,FALSE)</f>
        <v>46178.70833</v>
      </c>
    </row>
    <row r="170">
      <c r="A170" s="82" t="str">
        <f t="array" ref="A170">XLOOKUP($E170,'Player Database'!$B$2:$B252,'Player Database'!$C$2:$C252)</f>
        <v>#N/A</v>
      </c>
      <c r="B170" s="82" t="str">
        <f t="array" ref="B170">XLOOKUP($E170,'Player Database'!$B$2:$B252,'Player Database'!$E$2:$E252)</f>
        <v>#N/A</v>
      </c>
      <c r="C170" s="82" t="str">
        <f t="array" ref="C170">XLOOKUP($E170,'Player Database'!$B$2:$B252,'Player Database'!$F$2:$F252)</f>
        <v>#N/A</v>
      </c>
      <c r="D170" s="81">
        <f>IFERROR(__xludf.DUMMYFUNCTION("""COMPUTED_VALUE"""),1.0)</f>
        <v>1</v>
      </c>
      <c r="E170" s="41"/>
      <c r="F170" s="42" t="str">
        <f t="array" ref="F170">XLOOKUP($E170,'Player Database'!$B$2:$B252,'Player Database'!$K$2:$K252)</f>
        <v>#N/A</v>
      </c>
      <c r="G170" s="42" t="str">
        <f t="array" ref="G170">XLOOKUP($E170,'Player Database'!$B$2:$B252,'Player Database'!$AE$2:$AE252)</f>
        <v>#N/A</v>
      </c>
      <c r="H170" s="42" t="str">
        <f t="array" ref="H170">XLOOKUP($E170,'Player Database'!$B$2:$B252,'Player Database'!$H$2:$H252)</f>
        <v>#N/A</v>
      </c>
      <c r="I170" s="42" t="str">
        <f t="array" ref="I170">XLOOKUP($E170,'Player Database'!$B$2:$B252,'Player Database'!$O$2:$O252)</f>
        <v>#N/A</v>
      </c>
      <c r="J170" s="42" t="str">
        <f t="array" ref="J170">XLOOKUP($E170,'Player Database'!$B$2:$B252,'Player Database'!$P$2:$P252)</f>
        <v>#N/A</v>
      </c>
      <c r="K170" s="44" t="str">
        <f t="array" ref="K170">XLOOKUP($E170,'Player Database'!$B$2:$B252,'Player Database'!$U$2:$U252)</f>
        <v>#N/A</v>
      </c>
      <c r="L170" s="47" t="str">
        <f t="array" ref="L170">XLOOKUP($E170,'Player Database'!$B$2:$B252,'Player Database'!$W$2:$W252)</f>
        <v>#N/A</v>
      </c>
      <c r="M170" s="48" t="str">
        <f t="shared" si="1"/>
        <v>0 - 0</v>
      </c>
      <c r="N170" s="50" t="str">
        <f t="array" ref="N170">IF(XLOOKUP($E170,'Player Database'!$B$2:$B252,'Player Database'!$AA$2:$AA252)="",XLOOKUP($E170,'Player Database'!$B$2:$B252,'Player Database'!$G$2:$G252),XLOOKUP($E170,'Player Database'!$B$2:$B252,'Player Database'!$AA$2:$AA252))</f>
        <v>#N/A</v>
      </c>
      <c r="O170" s="51">
        <f>COUNTIFs(Matches!$B:$B,E170,Matches!$A:$A,"&gt;"&amp;Q170,Matches!$A:$A,"&lt;"&amp;R170)</f>
        <v>0</v>
      </c>
      <c r="P170" s="51">
        <f>COUNTIFs(Matches!$C:$C,E170,Matches!$A:$A,"&gt;"&amp;Q170,Matches!$A:$A,"&lt;"&amp;R170)</f>
        <v>0</v>
      </c>
      <c r="Q170" s="52">
        <f>VLOOKUP($C$2,Quotas!$A$7:$E$14,2,FALSE)</f>
        <v>46171.70833</v>
      </c>
      <c r="R170" s="52">
        <f>VLOOKUP($C$2,Quotas!$A$7:$E$14,3,FALSE)</f>
        <v>46178.70833</v>
      </c>
    </row>
    <row r="171">
      <c r="A171" s="82" t="str">
        <f t="array" ref="A171">XLOOKUP($E171,'Player Database'!$B$2:$B252,'Player Database'!$C$2:$C252)</f>
        <v>#N/A</v>
      </c>
      <c r="B171" s="82" t="str">
        <f t="array" ref="B171">XLOOKUP($E171,'Player Database'!$B$2:$B252,'Player Database'!$E$2:$E252)</f>
        <v>#N/A</v>
      </c>
      <c r="C171" s="82" t="str">
        <f t="array" ref="C171">XLOOKUP($E171,'Player Database'!$B$2:$B252,'Player Database'!$F$2:$F252)</f>
        <v>#N/A</v>
      </c>
      <c r="D171" s="81">
        <f>IFERROR(__xludf.DUMMYFUNCTION("""COMPUTED_VALUE"""),1.0)</f>
        <v>1</v>
      </c>
      <c r="E171" s="41"/>
      <c r="F171" s="42" t="str">
        <f t="array" ref="F171">XLOOKUP($E171,'Player Database'!$B$2:$B252,'Player Database'!$K$2:$K252)</f>
        <v>#N/A</v>
      </c>
      <c r="G171" s="42" t="str">
        <f t="array" ref="G171">XLOOKUP($E171,'Player Database'!$B$2:$B252,'Player Database'!$AE$2:$AE252)</f>
        <v>#N/A</v>
      </c>
      <c r="H171" s="42" t="str">
        <f t="array" ref="H171">XLOOKUP($E171,'Player Database'!$B$2:$B252,'Player Database'!$H$2:$H252)</f>
        <v>#N/A</v>
      </c>
      <c r="I171" s="42" t="str">
        <f t="array" ref="I171">XLOOKUP($E171,'Player Database'!$B$2:$B252,'Player Database'!$O$2:$O252)</f>
        <v>#N/A</v>
      </c>
      <c r="J171" s="42" t="str">
        <f t="array" ref="J171">XLOOKUP($E171,'Player Database'!$B$2:$B252,'Player Database'!$P$2:$P252)</f>
        <v>#N/A</v>
      </c>
      <c r="K171" s="44" t="str">
        <f t="array" ref="K171">XLOOKUP($E171,'Player Database'!$B$2:$B252,'Player Database'!$U$2:$U252)</f>
        <v>#N/A</v>
      </c>
      <c r="L171" s="47" t="str">
        <f t="array" ref="L171">XLOOKUP($E171,'Player Database'!$B$2:$B252,'Player Database'!$W$2:$W252)</f>
        <v>#N/A</v>
      </c>
      <c r="M171" s="48" t="str">
        <f t="shared" si="1"/>
        <v>0 - 0</v>
      </c>
      <c r="N171" s="50" t="str">
        <f t="array" ref="N171">IF(XLOOKUP($E171,'Player Database'!$B$2:$B252,'Player Database'!$AA$2:$AA252)="",XLOOKUP($E171,'Player Database'!$B$2:$B252,'Player Database'!$G$2:$G252),XLOOKUP($E171,'Player Database'!$B$2:$B252,'Player Database'!$AA$2:$AA252))</f>
        <v>#N/A</v>
      </c>
      <c r="O171" s="51">
        <f>COUNTIFs(Matches!$B:$B,E171,Matches!$A:$A,"&gt;"&amp;Q171,Matches!$A:$A,"&lt;"&amp;R171)</f>
        <v>0</v>
      </c>
      <c r="P171" s="51">
        <f>COUNTIFs(Matches!$C:$C,E171,Matches!$A:$A,"&gt;"&amp;Q171,Matches!$A:$A,"&lt;"&amp;R171)</f>
        <v>0</v>
      </c>
      <c r="Q171" s="52">
        <f>VLOOKUP($C$2,Quotas!$A$7:$E$14,2,FALSE)</f>
        <v>46171.70833</v>
      </c>
      <c r="R171" s="52">
        <f>VLOOKUP($C$2,Quotas!$A$7:$E$14,3,FALSE)</f>
        <v>46178.70833</v>
      </c>
    </row>
    <row r="172">
      <c r="A172" s="82" t="str">
        <f t="array" ref="A172">XLOOKUP($E172,'Player Database'!$B$2:$B252,'Player Database'!$C$2:$C252)</f>
        <v>#N/A</v>
      </c>
      <c r="B172" s="82" t="str">
        <f t="array" ref="B172">XLOOKUP($E172,'Player Database'!$B$2:$B252,'Player Database'!$E$2:$E252)</f>
        <v>#N/A</v>
      </c>
      <c r="C172" s="82" t="str">
        <f t="array" ref="C172">XLOOKUP($E172,'Player Database'!$B$2:$B252,'Player Database'!$F$2:$F252)</f>
        <v>#N/A</v>
      </c>
      <c r="D172" s="81">
        <f>IFERROR(__xludf.DUMMYFUNCTION("""COMPUTED_VALUE"""),1.0)</f>
        <v>1</v>
      </c>
      <c r="E172" s="41"/>
      <c r="F172" s="42" t="str">
        <f t="array" ref="F172">XLOOKUP($E172,'Player Database'!$B$2:$B252,'Player Database'!$K$2:$K252)</f>
        <v>#N/A</v>
      </c>
      <c r="G172" s="42" t="str">
        <f t="array" ref="G172">XLOOKUP($E172,'Player Database'!$B$2:$B252,'Player Database'!$AE$2:$AE252)</f>
        <v>#N/A</v>
      </c>
      <c r="H172" s="42" t="str">
        <f t="array" ref="H172">XLOOKUP($E172,'Player Database'!$B$2:$B252,'Player Database'!$H$2:$H252)</f>
        <v>#N/A</v>
      </c>
      <c r="I172" s="42" t="str">
        <f t="array" ref="I172">XLOOKUP($E172,'Player Database'!$B$2:$B252,'Player Database'!$O$2:$O252)</f>
        <v>#N/A</v>
      </c>
      <c r="J172" s="42" t="str">
        <f t="array" ref="J172">XLOOKUP($E172,'Player Database'!$B$2:$B252,'Player Database'!$P$2:$P252)</f>
        <v>#N/A</v>
      </c>
      <c r="K172" s="44" t="str">
        <f t="array" ref="K172">XLOOKUP($E172,'Player Database'!$B$2:$B252,'Player Database'!$U$2:$U252)</f>
        <v>#N/A</v>
      </c>
      <c r="L172" s="47" t="str">
        <f t="array" ref="L172">XLOOKUP($E172,'Player Database'!$B$2:$B252,'Player Database'!$W$2:$W252)</f>
        <v>#N/A</v>
      </c>
      <c r="M172" s="48" t="str">
        <f t="shared" si="1"/>
        <v>0 - 0</v>
      </c>
      <c r="N172" s="50" t="str">
        <f t="array" ref="N172">IF(XLOOKUP($E172,'Player Database'!$B$2:$B252,'Player Database'!$AA$2:$AA252)="",XLOOKUP($E172,'Player Database'!$B$2:$B252,'Player Database'!$G$2:$G252),XLOOKUP($E172,'Player Database'!$B$2:$B252,'Player Database'!$AA$2:$AA252))</f>
        <v>#N/A</v>
      </c>
      <c r="O172" s="51">
        <f>COUNTIFs(Matches!$B:$B,E172,Matches!$A:$A,"&gt;"&amp;Q172,Matches!$A:$A,"&lt;"&amp;R172)</f>
        <v>0</v>
      </c>
      <c r="P172" s="51">
        <f>COUNTIFs(Matches!$C:$C,E172,Matches!$A:$A,"&gt;"&amp;Q172,Matches!$A:$A,"&lt;"&amp;R172)</f>
        <v>0</v>
      </c>
      <c r="Q172" s="52">
        <f>VLOOKUP($C$2,Quotas!$A$7:$E$14,2,FALSE)</f>
        <v>46171.70833</v>
      </c>
      <c r="R172" s="52">
        <f>VLOOKUP($C$2,Quotas!$A$7:$E$14,3,FALSE)</f>
        <v>46178.70833</v>
      </c>
    </row>
    <row r="173">
      <c r="A173" s="82" t="str">
        <f t="array" ref="A173">XLOOKUP($E173,'Player Database'!$B$2:$B252,'Player Database'!$C$2:$C252)</f>
        <v>#N/A</v>
      </c>
      <c r="B173" s="82" t="str">
        <f t="array" ref="B173">XLOOKUP($E173,'Player Database'!$B$2:$B252,'Player Database'!$E$2:$E252)</f>
        <v>#N/A</v>
      </c>
      <c r="C173" s="82" t="str">
        <f t="array" ref="C173">XLOOKUP($E173,'Player Database'!$B$2:$B252,'Player Database'!$F$2:$F252)</f>
        <v>#N/A</v>
      </c>
      <c r="D173" s="81">
        <f>IFERROR(__xludf.DUMMYFUNCTION("""COMPUTED_VALUE"""),1.0)</f>
        <v>1</v>
      </c>
      <c r="E173" s="41"/>
      <c r="F173" s="42" t="str">
        <f t="array" ref="F173">XLOOKUP($E173,'Player Database'!$B$2:$B252,'Player Database'!$K$2:$K252)</f>
        <v>#N/A</v>
      </c>
      <c r="G173" s="42" t="str">
        <f t="array" ref="G173">XLOOKUP($E173,'Player Database'!$B$2:$B252,'Player Database'!$AE$2:$AE252)</f>
        <v>#N/A</v>
      </c>
      <c r="H173" s="42" t="str">
        <f t="array" ref="H173">XLOOKUP($E173,'Player Database'!$B$2:$B252,'Player Database'!$H$2:$H252)</f>
        <v>#N/A</v>
      </c>
      <c r="I173" s="42" t="str">
        <f t="array" ref="I173">XLOOKUP($E173,'Player Database'!$B$2:$B252,'Player Database'!$O$2:$O252)</f>
        <v>#N/A</v>
      </c>
      <c r="J173" s="42" t="str">
        <f t="array" ref="J173">XLOOKUP($E173,'Player Database'!$B$2:$B252,'Player Database'!$P$2:$P252)</f>
        <v>#N/A</v>
      </c>
      <c r="K173" s="44" t="str">
        <f t="array" ref="K173">XLOOKUP($E173,'Player Database'!$B$2:$B252,'Player Database'!$U$2:$U252)</f>
        <v>#N/A</v>
      </c>
      <c r="L173" s="47" t="str">
        <f t="array" ref="L173">XLOOKUP($E173,'Player Database'!$B$2:$B252,'Player Database'!$W$2:$W252)</f>
        <v>#N/A</v>
      </c>
      <c r="M173" s="48" t="str">
        <f t="shared" si="1"/>
        <v>0 - 0</v>
      </c>
      <c r="N173" s="50" t="str">
        <f t="array" ref="N173">IF(XLOOKUP($E173,'Player Database'!$B$2:$B252,'Player Database'!$AA$2:$AA252)="",XLOOKUP($E173,'Player Database'!$B$2:$B252,'Player Database'!$G$2:$G252),XLOOKUP($E173,'Player Database'!$B$2:$B252,'Player Database'!$AA$2:$AA252))</f>
        <v>#N/A</v>
      </c>
      <c r="O173" s="51">
        <f>COUNTIFs(Matches!$B:$B,E173,Matches!$A:$A,"&gt;"&amp;Q173,Matches!$A:$A,"&lt;"&amp;R173)</f>
        <v>0</v>
      </c>
      <c r="P173" s="51">
        <f>COUNTIFs(Matches!$C:$C,E173,Matches!$A:$A,"&gt;"&amp;Q173,Matches!$A:$A,"&lt;"&amp;R173)</f>
        <v>0</v>
      </c>
      <c r="Q173" s="52">
        <f>VLOOKUP($C$2,Quotas!$A$7:$E$14,2,FALSE)</f>
        <v>46171.70833</v>
      </c>
      <c r="R173" s="52">
        <f>VLOOKUP($C$2,Quotas!$A$7:$E$14,3,FALSE)</f>
        <v>46178.70833</v>
      </c>
    </row>
    <row r="174">
      <c r="A174" s="82" t="str">
        <f t="array" ref="A174">XLOOKUP($E174,'Player Database'!$B$2:$B252,'Player Database'!$C$2:$C252)</f>
        <v>#N/A</v>
      </c>
      <c r="B174" s="82" t="str">
        <f t="array" ref="B174">XLOOKUP($E174,'Player Database'!$B$2:$B252,'Player Database'!$E$2:$E252)</f>
        <v>#N/A</v>
      </c>
      <c r="C174" s="82" t="str">
        <f t="array" ref="C174">XLOOKUP($E174,'Player Database'!$B$2:$B252,'Player Database'!$F$2:$F252)</f>
        <v>#N/A</v>
      </c>
      <c r="D174" s="81">
        <f>IFERROR(__xludf.DUMMYFUNCTION("""COMPUTED_VALUE"""),1.0)</f>
        <v>1</v>
      </c>
      <c r="E174" s="41"/>
      <c r="F174" s="42" t="str">
        <f t="array" ref="F174">XLOOKUP($E174,'Player Database'!$B$2:$B252,'Player Database'!$K$2:$K252)</f>
        <v>#N/A</v>
      </c>
      <c r="G174" s="42" t="str">
        <f t="array" ref="G174">XLOOKUP($E174,'Player Database'!$B$2:$B252,'Player Database'!$AE$2:$AE252)</f>
        <v>#N/A</v>
      </c>
      <c r="H174" s="42" t="str">
        <f t="array" ref="H174">XLOOKUP($E174,'Player Database'!$B$2:$B252,'Player Database'!$H$2:$H252)</f>
        <v>#N/A</v>
      </c>
      <c r="I174" s="42" t="str">
        <f t="array" ref="I174">XLOOKUP($E174,'Player Database'!$B$2:$B252,'Player Database'!$O$2:$O252)</f>
        <v>#N/A</v>
      </c>
      <c r="J174" s="42" t="str">
        <f t="array" ref="J174">XLOOKUP($E174,'Player Database'!$B$2:$B252,'Player Database'!$P$2:$P252)</f>
        <v>#N/A</v>
      </c>
      <c r="K174" s="44" t="str">
        <f t="array" ref="K174">XLOOKUP($E174,'Player Database'!$B$2:$B252,'Player Database'!$U$2:$U252)</f>
        <v>#N/A</v>
      </c>
      <c r="L174" s="47" t="str">
        <f t="array" ref="L174">XLOOKUP($E174,'Player Database'!$B$2:$B252,'Player Database'!$W$2:$W252)</f>
        <v>#N/A</v>
      </c>
      <c r="M174" s="48" t="str">
        <f t="shared" si="1"/>
        <v>0 - 0</v>
      </c>
      <c r="N174" s="50" t="str">
        <f t="array" ref="N174">IF(XLOOKUP($E174,'Player Database'!$B$2:$B252,'Player Database'!$AA$2:$AA252)="",XLOOKUP($E174,'Player Database'!$B$2:$B252,'Player Database'!$G$2:$G252),XLOOKUP($E174,'Player Database'!$B$2:$B252,'Player Database'!$AA$2:$AA252))</f>
        <v>#N/A</v>
      </c>
      <c r="O174" s="51">
        <f>COUNTIFs(Matches!$B:$B,E174,Matches!$A:$A,"&gt;"&amp;Q174,Matches!$A:$A,"&lt;"&amp;R174)</f>
        <v>0</v>
      </c>
      <c r="P174" s="51">
        <f>COUNTIFs(Matches!$C:$C,E174,Matches!$A:$A,"&gt;"&amp;Q174,Matches!$A:$A,"&lt;"&amp;R174)</f>
        <v>0</v>
      </c>
      <c r="Q174" s="52">
        <f>VLOOKUP($C$2,Quotas!$A$7:$E$14,2,FALSE)</f>
        <v>46171.70833</v>
      </c>
      <c r="R174" s="52">
        <f>VLOOKUP($C$2,Quotas!$A$7:$E$14,3,FALSE)</f>
        <v>46178.70833</v>
      </c>
    </row>
    <row r="175">
      <c r="A175" s="82" t="str">
        <f t="array" ref="A175">XLOOKUP($E175,'Player Database'!$B$2:$B252,'Player Database'!$C$2:$C252)</f>
        <v>#N/A</v>
      </c>
      <c r="B175" s="82" t="str">
        <f t="array" ref="B175">XLOOKUP($E175,'Player Database'!$B$2:$B252,'Player Database'!$E$2:$E252)</f>
        <v>#N/A</v>
      </c>
      <c r="C175" s="82" t="str">
        <f t="array" ref="C175">XLOOKUP($E175,'Player Database'!$B$2:$B252,'Player Database'!$F$2:$F252)</f>
        <v>#N/A</v>
      </c>
      <c r="D175" s="81">
        <f>IFERROR(__xludf.DUMMYFUNCTION("""COMPUTED_VALUE"""),1.0)</f>
        <v>1</v>
      </c>
      <c r="E175" s="41"/>
      <c r="F175" s="42" t="str">
        <f t="array" ref="F175">XLOOKUP($E175,'Player Database'!$B$2:$B252,'Player Database'!$K$2:$K252)</f>
        <v>#N/A</v>
      </c>
      <c r="G175" s="42" t="str">
        <f t="array" ref="G175">XLOOKUP($E175,'Player Database'!$B$2:$B252,'Player Database'!$AE$2:$AE252)</f>
        <v>#N/A</v>
      </c>
      <c r="H175" s="42" t="str">
        <f t="array" ref="H175">XLOOKUP($E175,'Player Database'!$B$2:$B252,'Player Database'!$H$2:$H252)</f>
        <v>#N/A</v>
      </c>
      <c r="I175" s="42" t="str">
        <f t="array" ref="I175">XLOOKUP($E175,'Player Database'!$B$2:$B252,'Player Database'!$O$2:$O252)</f>
        <v>#N/A</v>
      </c>
      <c r="J175" s="42" t="str">
        <f t="array" ref="J175">XLOOKUP($E175,'Player Database'!$B$2:$B252,'Player Database'!$P$2:$P252)</f>
        <v>#N/A</v>
      </c>
      <c r="K175" s="44" t="str">
        <f t="array" ref="K175">XLOOKUP($E175,'Player Database'!$B$2:$B252,'Player Database'!$U$2:$U252)</f>
        <v>#N/A</v>
      </c>
      <c r="L175" s="47" t="str">
        <f t="array" ref="L175">XLOOKUP($E175,'Player Database'!$B$2:$B252,'Player Database'!$W$2:$W252)</f>
        <v>#N/A</v>
      </c>
      <c r="M175" s="48" t="str">
        <f t="shared" si="1"/>
        <v>0 - 0</v>
      </c>
      <c r="N175" s="50" t="str">
        <f t="array" ref="N175">IF(XLOOKUP($E175,'Player Database'!$B$2:$B252,'Player Database'!$AA$2:$AA252)="",XLOOKUP($E175,'Player Database'!$B$2:$B252,'Player Database'!$G$2:$G252),XLOOKUP($E175,'Player Database'!$B$2:$B252,'Player Database'!$AA$2:$AA252))</f>
        <v>#N/A</v>
      </c>
      <c r="O175" s="51">
        <f>COUNTIFs(Matches!$B:$B,E175,Matches!$A:$A,"&gt;"&amp;Q175,Matches!$A:$A,"&lt;"&amp;R175)</f>
        <v>0</v>
      </c>
      <c r="P175" s="51">
        <f>COUNTIFs(Matches!$C:$C,E175,Matches!$A:$A,"&gt;"&amp;Q175,Matches!$A:$A,"&lt;"&amp;R175)</f>
        <v>0</v>
      </c>
      <c r="Q175" s="52">
        <f>VLOOKUP($C$2,Quotas!$A$7:$E$14,2,FALSE)</f>
        <v>46171.70833</v>
      </c>
      <c r="R175" s="52">
        <f>VLOOKUP($C$2,Quotas!$A$7:$E$14,3,FALSE)</f>
        <v>46178.70833</v>
      </c>
    </row>
    <row r="176">
      <c r="A176" s="82" t="str">
        <f t="array" ref="A176">XLOOKUP($E176,'Player Database'!$B$2:$B252,'Player Database'!$C$2:$C252)</f>
        <v>#N/A</v>
      </c>
      <c r="B176" s="82" t="str">
        <f t="array" ref="B176">XLOOKUP($E176,'Player Database'!$B$2:$B252,'Player Database'!$E$2:$E252)</f>
        <v>#N/A</v>
      </c>
      <c r="C176" s="82" t="str">
        <f t="array" ref="C176">XLOOKUP($E176,'Player Database'!$B$2:$B252,'Player Database'!$F$2:$F252)</f>
        <v>#N/A</v>
      </c>
      <c r="D176" s="81">
        <f>IFERROR(__xludf.DUMMYFUNCTION("""COMPUTED_VALUE"""),1.0)</f>
        <v>1</v>
      </c>
      <c r="E176" s="41"/>
      <c r="F176" s="42" t="str">
        <f t="array" ref="F176">XLOOKUP($E176,'Player Database'!$B$2:$B252,'Player Database'!$K$2:$K252)</f>
        <v>#N/A</v>
      </c>
      <c r="G176" s="42" t="str">
        <f t="array" ref="G176">XLOOKUP($E176,'Player Database'!$B$2:$B252,'Player Database'!$AE$2:$AE252)</f>
        <v>#N/A</v>
      </c>
      <c r="H176" s="42" t="str">
        <f t="array" ref="H176">XLOOKUP($E176,'Player Database'!$B$2:$B252,'Player Database'!$H$2:$H252)</f>
        <v>#N/A</v>
      </c>
      <c r="I176" s="42" t="str">
        <f t="array" ref="I176">XLOOKUP($E176,'Player Database'!$B$2:$B252,'Player Database'!$O$2:$O252)</f>
        <v>#N/A</v>
      </c>
      <c r="J176" s="42" t="str">
        <f t="array" ref="J176">XLOOKUP($E176,'Player Database'!$B$2:$B252,'Player Database'!$P$2:$P252)</f>
        <v>#N/A</v>
      </c>
      <c r="K176" s="44" t="str">
        <f t="array" ref="K176">XLOOKUP($E176,'Player Database'!$B$2:$B252,'Player Database'!$U$2:$U252)</f>
        <v>#N/A</v>
      </c>
      <c r="L176" s="47" t="str">
        <f t="array" ref="L176">XLOOKUP($E176,'Player Database'!$B$2:$B252,'Player Database'!$W$2:$W252)</f>
        <v>#N/A</v>
      </c>
      <c r="M176" s="48" t="str">
        <f t="shared" si="1"/>
        <v>0 - 0</v>
      </c>
      <c r="N176" s="50" t="str">
        <f t="array" ref="N176">IF(XLOOKUP($E176,'Player Database'!$B$2:$B252,'Player Database'!$AA$2:$AA252)="",XLOOKUP($E176,'Player Database'!$B$2:$B252,'Player Database'!$G$2:$G252),XLOOKUP($E176,'Player Database'!$B$2:$B252,'Player Database'!$AA$2:$AA252))</f>
        <v>#N/A</v>
      </c>
      <c r="O176" s="51">
        <f>COUNTIFs(Matches!$B:$B,E176,Matches!$A:$A,"&gt;"&amp;Q176,Matches!$A:$A,"&lt;"&amp;R176)</f>
        <v>0</v>
      </c>
      <c r="P176" s="51">
        <f>COUNTIFs(Matches!$C:$C,E176,Matches!$A:$A,"&gt;"&amp;Q176,Matches!$A:$A,"&lt;"&amp;R176)</f>
        <v>0</v>
      </c>
      <c r="Q176" s="52">
        <f>VLOOKUP($C$2,Quotas!$A$7:$E$14,2,FALSE)</f>
        <v>46171.70833</v>
      </c>
      <c r="R176" s="52">
        <f>VLOOKUP($C$2,Quotas!$A$7:$E$14,3,FALSE)</f>
        <v>46178.70833</v>
      </c>
    </row>
    <row r="177">
      <c r="A177" s="82" t="str">
        <f t="array" ref="A177">XLOOKUP($E177,'Player Database'!$B$2:$B252,'Player Database'!$C$2:$C252)</f>
        <v>#N/A</v>
      </c>
      <c r="B177" s="82" t="str">
        <f t="array" ref="B177">XLOOKUP($E177,'Player Database'!$B$2:$B252,'Player Database'!$E$2:$E252)</f>
        <v>#N/A</v>
      </c>
      <c r="C177" s="82" t="str">
        <f t="array" ref="C177">XLOOKUP($E177,'Player Database'!$B$2:$B252,'Player Database'!$F$2:$F252)</f>
        <v>#N/A</v>
      </c>
      <c r="D177" s="81">
        <f>IFERROR(__xludf.DUMMYFUNCTION("""COMPUTED_VALUE"""),1.0)</f>
        <v>1</v>
      </c>
      <c r="E177" s="41"/>
      <c r="F177" s="42" t="str">
        <f t="array" ref="F177">XLOOKUP($E177,'Player Database'!$B$2:$B252,'Player Database'!$K$2:$K252)</f>
        <v>#N/A</v>
      </c>
      <c r="G177" s="42" t="str">
        <f t="array" ref="G177">XLOOKUP($E177,'Player Database'!$B$2:$B252,'Player Database'!$AE$2:$AE252)</f>
        <v>#N/A</v>
      </c>
      <c r="H177" s="42" t="str">
        <f t="array" ref="H177">XLOOKUP($E177,'Player Database'!$B$2:$B252,'Player Database'!$H$2:$H252)</f>
        <v>#N/A</v>
      </c>
      <c r="I177" s="42" t="str">
        <f t="array" ref="I177">XLOOKUP($E177,'Player Database'!$B$2:$B252,'Player Database'!$O$2:$O252)</f>
        <v>#N/A</v>
      </c>
      <c r="J177" s="42" t="str">
        <f t="array" ref="J177">XLOOKUP($E177,'Player Database'!$B$2:$B252,'Player Database'!$P$2:$P252)</f>
        <v>#N/A</v>
      </c>
      <c r="K177" s="44" t="str">
        <f t="array" ref="K177">XLOOKUP($E177,'Player Database'!$B$2:$B252,'Player Database'!$U$2:$U252)</f>
        <v>#N/A</v>
      </c>
      <c r="L177" s="47" t="str">
        <f t="array" ref="L177">XLOOKUP($E177,'Player Database'!$B$2:$B252,'Player Database'!$W$2:$W252)</f>
        <v>#N/A</v>
      </c>
      <c r="M177" s="48" t="str">
        <f t="shared" si="1"/>
        <v>0 - 0</v>
      </c>
      <c r="N177" s="50" t="str">
        <f t="array" ref="N177">IF(XLOOKUP($E177,'Player Database'!$B$2:$B252,'Player Database'!$AA$2:$AA252)="",XLOOKUP($E177,'Player Database'!$B$2:$B252,'Player Database'!$G$2:$G252),XLOOKUP($E177,'Player Database'!$B$2:$B252,'Player Database'!$AA$2:$AA252))</f>
        <v>#N/A</v>
      </c>
      <c r="O177" s="51">
        <f>COUNTIFs(Matches!$B:$B,E177,Matches!$A:$A,"&gt;"&amp;Q177,Matches!$A:$A,"&lt;"&amp;R177)</f>
        <v>0</v>
      </c>
      <c r="P177" s="51">
        <f>COUNTIFs(Matches!$C:$C,E177,Matches!$A:$A,"&gt;"&amp;Q177,Matches!$A:$A,"&lt;"&amp;R177)</f>
        <v>0</v>
      </c>
      <c r="Q177" s="52">
        <f>VLOOKUP($C$2,Quotas!$A$7:$E$14,2,FALSE)</f>
        <v>46171.70833</v>
      </c>
      <c r="R177" s="52">
        <f>VLOOKUP($C$2,Quotas!$A$7:$E$14,3,FALSE)</f>
        <v>46178.70833</v>
      </c>
    </row>
    <row r="178">
      <c r="A178" s="82" t="str">
        <f t="array" ref="A178">XLOOKUP($E178,'Player Database'!$B$2:$B252,'Player Database'!$C$2:$C252)</f>
        <v>#N/A</v>
      </c>
      <c r="B178" s="82" t="str">
        <f t="array" ref="B178">XLOOKUP($E178,'Player Database'!$B$2:$B252,'Player Database'!$E$2:$E252)</f>
        <v>#N/A</v>
      </c>
      <c r="C178" s="82" t="str">
        <f t="array" ref="C178">XLOOKUP($E178,'Player Database'!$B$2:$B252,'Player Database'!$F$2:$F252)</f>
        <v>#N/A</v>
      </c>
      <c r="D178" s="81">
        <f>IFERROR(__xludf.DUMMYFUNCTION("""COMPUTED_VALUE"""),1.0)</f>
        <v>1</v>
      </c>
      <c r="E178" s="41"/>
      <c r="F178" s="42" t="str">
        <f t="array" ref="F178">XLOOKUP($E178,'Player Database'!$B$2:$B252,'Player Database'!$K$2:$K252)</f>
        <v>#N/A</v>
      </c>
      <c r="G178" s="42" t="str">
        <f t="array" ref="G178">XLOOKUP($E178,'Player Database'!$B$2:$B252,'Player Database'!$AE$2:$AE252)</f>
        <v>#N/A</v>
      </c>
      <c r="H178" s="42" t="str">
        <f t="array" ref="H178">XLOOKUP($E178,'Player Database'!$B$2:$B252,'Player Database'!$H$2:$H252)</f>
        <v>#N/A</v>
      </c>
      <c r="I178" s="42" t="str">
        <f t="array" ref="I178">XLOOKUP($E178,'Player Database'!$B$2:$B252,'Player Database'!$O$2:$O252)</f>
        <v>#N/A</v>
      </c>
      <c r="J178" s="42" t="str">
        <f t="array" ref="J178">XLOOKUP($E178,'Player Database'!$B$2:$B252,'Player Database'!$P$2:$P252)</f>
        <v>#N/A</v>
      </c>
      <c r="K178" s="44" t="str">
        <f t="array" ref="K178">XLOOKUP($E178,'Player Database'!$B$2:$B252,'Player Database'!$U$2:$U252)</f>
        <v>#N/A</v>
      </c>
      <c r="L178" s="47" t="str">
        <f t="array" ref="L178">XLOOKUP($E178,'Player Database'!$B$2:$B252,'Player Database'!$W$2:$W252)</f>
        <v>#N/A</v>
      </c>
      <c r="M178" s="48" t="str">
        <f t="shared" si="1"/>
        <v>0 - 0</v>
      </c>
      <c r="N178" s="50" t="str">
        <f t="array" ref="N178">IF(XLOOKUP($E178,'Player Database'!$B$2:$B252,'Player Database'!$AA$2:$AA252)="",XLOOKUP($E178,'Player Database'!$B$2:$B252,'Player Database'!$G$2:$G252),XLOOKUP($E178,'Player Database'!$B$2:$B252,'Player Database'!$AA$2:$AA252))</f>
        <v>#N/A</v>
      </c>
      <c r="O178" s="51">
        <f>COUNTIFs(Matches!$B:$B,E178,Matches!$A:$A,"&gt;"&amp;Q178,Matches!$A:$A,"&lt;"&amp;R178)</f>
        <v>0</v>
      </c>
      <c r="P178" s="51">
        <f>COUNTIFs(Matches!$C:$C,E178,Matches!$A:$A,"&gt;"&amp;Q178,Matches!$A:$A,"&lt;"&amp;R178)</f>
        <v>0</v>
      </c>
      <c r="Q178" s="52">
        <f>VLOOKUP($C$2,Quotas!$A$7:$E$14,2,FALSE)</f>
        <v>46171.70833</v>
      </c>
      <c r="R178" s="52">
        <f>VLOOKUP($C$2,Quotas!$A$7:$E$14,3,FALSE)</f>
        <v>46178.70833</v>
      </c>
    </row>
    <row r="179">
      <c r="A179" s="82" t="str">
        <f t="array" ref="A179">XLOOKUP($E179,'Player Database'!$B$2:$B252,'Player Database'!$C$2:$C252)</f>
        <v>#N/A</v>
      </c>
      <c r="B179" s="82" t="str">
        <f t="array" ref="B179">XLOOKUP($E179,'Player Database'!$B$2:$B252,'Player Database'!$E$2:$E252)</f>
        <v>#N/A</v>
      </c>
      <c r="C179" s="82" t="str">
        <f t="array" ref="C179">XLOOKUP($E179,'Player Database'!$B$2:$B252,'Player Database'!$F$2:$F252)</f>
        <v>#N/A</v>
      </c>
      <c r="D179" s="81">
        <f>IFERROR(__xludf.DUMMYFUNCTION("""COMPUTED_VALUE"""),1.0)</f>
        <v>1</v>
      </c>
      <c r="E179" s="41"/>
      <c r="F179" s="42" t="str">
        <f t="array" ref="F179">XLOOKUP($E179,'Player Database'!$B$2:$B252,'Player Database'!$K$2:$K252)</f>
        <v>#N/A</v>
      </c>
      <c r="G179" s="42" t="str">
        <f t="array" ref="G179">XLOOKUP($E179,'Player Database'!$B$2:$B252,'Player Database'!$AE$2:$AE252)</f>
        <v>#N/A</v>
      </c>
      <c r="H179" s="42" t="str">
        <f t="array" ref="H179">XLOOKUP($E179,'Player Database'!$B$2:$B252,'Player Database'!$H$2:$H252)</f>
        <v>#N/A</v>
      </c>
      <c r="I179" s="42" t="str">
        <f t="array" ref="I179">XLOOKUP($E179,'Player Database'!$B$2:$B252,'Player Database'!$O$2:$O252)</f>
        <v>#N/A</v>
      </c>
      <c r="J179" s="42" t="str">
        <f t="array" ref="J179">XLOOKUP($E179,'Player Database'!$B$2:$B252,'Player Database'!$P$2:$P252)</f>
        <v>#N/A</v>
      </c>
      <c r="K179" s="44" t="str">
        <f t="array" ref="K179">XLOOKUP($E179,'Player Database'!$B$2:$B252,'Player Database'!$U$2:$U252)</f>
        <v>#N/A</v>
      </c>
      <c r="L179" s="47" t="str">
        <f t="array" ref="L179">XLOOKUP($E179,'Player Database'!$B$2:$B252,'Player Database'!$W$2:$W252)</f>
        <v>#N/A</v>
      </c>
      <c r="M179" s="48" t="str">
        <f t="shared" si="1"/>
        <v>0 - 0</v>
      </c>
      <c r="N179" s="50" t="str">
        <f t="array" ref="N179">IF(XLOOKUP($E179,'Player Database'!$B$2:$B252,'Player Database'!$AA$2:$AA252)="",XLOOKUP($E179,'Player Database'!$B$2:$B252,'Player Database'!$G$2:$G252),XLOOKUP($E179,'Player Database'!$B$2:$B252,'Player Database'!$AA$2:$AA252))</f>
        <v>#N/A</v>
      </c>
      <c r="O179" s="51">
        <f>COUNTIFs(Matches!$B:$B,E179,Matches!$A:$A,"&gt;"&amp;Q179,Matches!$A:$A,"&lt;"&amp;R179)</f>
        <v>0</v>
      </c>
      <c r="P179" s="51">
        <f>COUNTIFs(Matches!$C:$C,E179,Matches!$A:$A,"&gt;"&amp;Q179,Matches!$A:$A,"&lt;"&amp;R179)</f>
        <v>0</v>
      </c>
      <c r="Q179" s="52">
        <f>VLOOKUP($C$2,Quotas!$A$7:$E$14,2,FALSE)</f>
        <v>46171.70833</v>
      </c>
      <c r="R179" s="52">
        <f>VLOOKUP($C$2,Quotas!$A$7:$E$14,3,FALSE)</f>
        <v>46178.70833</v>
      </c>
    </row>
    <row r="180">
      <c r="A180" s="82" t="str">
        <f t="array" ref="A180">XLOOKUP($E180,'Player Database'!$B$2:$B252,'Player Database'!$C$2:$C252)</f>
        <v>#N/A</v>
      </c>
      <c r="B180" s="82" t="str">
        <f t="array" ref="B180">XLOOKUP($E180,'Player Database'!$B$2:$B252,'Player Database'!$E$2:$E252)</f>
        <v>#N/A</v>
      </c>
      <c r="C180" s="82" t="str">
        <f t="array" ref="C180">XLOOKUP($E180,'Player Database'!$B$2:$B252,'Player Database'!$F$2:$F252)</f>
        <v>#N/A</v>
      </c>
      <c r="D180" s="81">
        <f>IFERROR(__xludf.DUMMYFUNCTION("""COMPUTED_VALUE"""),1.0)</f>
        <v>1</v>
      </c>
      <c r="E180" s="41"/>
      <c r="F180" s="42" t="str">
        <f t="array" ref="F180">XLOOKUP($E180,'Player Database'!$B$2:$B252,'Player Database'!$K$2:$K252)</f>
        <v>#N/A</v>
      </c>
      <c r="G180" s="42" t="str">
        <f t="array" ref="G180">XLOOKUP($E180,'Player Database'!$B$2:$B252,'Player Database'!$AE$2:$AE252)</f>
        <v>#N/A</v>
      </c>
      <c r="H180" s="42" t="str">
        <f t="array" ref="H180">XLOOKUP($E180,'Player Database'!$B$2:$B252,'Player Database'!$H$2:$H252)</f>
        <v>#N/A</v>
      </c>
      <c r="I180" s="42" t="str">
        <f t="array" ref="I180">XLOOKUP($E180,'Player Database'!$B$2:$B252,'Player Database'!$O$2:$O252)</f>
        <v>#N/A</v>
      </c>
      <c r="J180" s="42" t="str">
        <f t="array" ref="J180">XLOOKUP($E180,'Player Database'!$B$2:$B252,'Player Database'!$P$2:$P252)</f>
        <v>#N/A</v>
      </c>
      <c r="K180" s="44" t="str">
        <f t="array" ref="K180">XLOOKUP($E180,'Player Database'!$B$2:$B252,'Player Database'!$U$2:$U252)</f>
        <v>#N/A</v>
      </c>
      <c r="L180" s="47" t="str">
        <f t="array" ref="L180">XLOOKUP($E180,'Player Database'!$B$2:$B252,'Player Database'!$W$2:$W252)</f>
        <v>#N/A</v>
      </c>
      <c r="M180" s="48" t="str">
        <f t="shared" si="1"/>
        <v>0 - 0</v>
      </c>
      <c r="N180" s="50" t="str">
        <f t="array" ref="N180">IF(XLOOKUP($E180,'Player Database'!$B$2:$B252,'Player Database'!$AA$2:$AA252)="",XLOOKUP($E180,'Player Database'!$B$2:$B252,'Player Database'!$G$2:$G252),XLOOKUP($E180,'Player Database'!$B$2:$B252,'Player Database'!$AA$2:$AA252))</f>
        <v>#N/A</v>
      </c>
      <c r="O180" s="51">
        <f>COUNTIFs(Matches!$B:$B,E180,Matches!$A:$A,"&gt;"&amp;Q180,Matches!$A:$A,"&lt;"&amp;R180)</f>
        <v>0</v>
      </c>
      <c r="P180" s="51">
        <f>COUNTIFs(Matches!$C:$C,E180,Matches!$A:$A,"&gt;"&amp;Q180,Matches!$A:$A,"&lt;"&amp;R180)</f>
        <v>0</v>
      </c>
      <c r="Q180" s="52">
        <f>VLOOKUP($C$2,Quotas!$A$7:$E$14,2,FALSE)</f>
        <v>46171.70833</v>
      </c>
      <c r="R180" s="52">
        <f>VLOOKUP($C$2,Quotas!$A$7:$E$14,3,FALSE)</f>
        <v>46178.70833</v>
      </c>
    </row>
    <row r="181">
      <c r="A181" s="82" t="str">
        <f t="array" ref="A181">XLOOKUP($E181,'Player Database'!$B$2:$B252,'Player Database'!$C$2:$C252)</f>
        <v>#N/A</v>
      </c>
      <c r="B181" s="82" t="str">
        <f t="array" ref="B181">XLOOKUP($E181,'Player Database'!$B$2:$B252,'Player Database'!$E$2:$E252)</f>
        <v>#N/A</v>
      </c>
      <c r="C181" s="82" t="str">
        <f t="array" ref="C181">XLOOKUP($E181,'Player Database'!$B$2:$B252,'Player Database'!$F$2:$F252)</f>
        <v>#N/A</v>
      </c>
      <c r="D181" s="81">
        <f>IFERROR(__xludf.DUMMYFUNCTION("""COMPUTED_VALUE"""),1.0)</f>
        <v>1</v>
      </c>
      <c r="E181" s="41"/>
      <c r="F181" s="42" t="str">
        <f t="array" ref="F181">XLOOKUP($E181,'Player Database'!$B$2:$B252,'Player Database'!$K$2:$K252)</f>
        <v>#N/A</v>
      </c>
      <c r="G181" s="42" t="str">
        <f t="array" ref="G181">XLOOKUP($E181,'Player Database'!$B$2:$B252,'Player Database'!$AE$2:$AE252)</f>
        <v>#N/A</v>
      </c>
      <c r="H181" s="42" t="str">
        <f t="array" ref="H181">XLOOKUP($E181,'Player Database'!$B$2:$B252,'Player Database'!$H$2:$H252)</f>
        <v>#N/A</v>
      </c>
      <c r="I181" s="42" t="str">
        <f t="array" ref="I181">XLOOKUP($E181,'Player Database'!$B$2:$B252,'Player Database'!$O$2:$O252)</f>
        <v>#N/A</v>
      </c>
      <c r="J181" s="42" t="str">
        <f t="array" ref="J181">XLOOKUP($E181,'Player Database'!$B$2:$B252,'Player Database'!$P$2:$P252)</f>
        <v>#N/A</v>
      </c>
      <c r="K181" s="44" t="str">
        <f t="array" ref="K181">XLOOKUP($E181,'Player Database'!$B$2:$B252,'Player Database'!$U$2:$U252)</f>
        <v>#N/A</v>
      </c>
      <c r="L181" s="47" t="str">
        <f t="array" ref="L181">XLOOKUP($E181,'Player Database'!$B$2:$B252,'Player Database'!$W$2:$W252)</f>
        <v>#N/A</v>
      </c>
      <c r="M181" s="48" t="str">
        <f t="shared" si="1"/>
        <v>0 - 0</v>
      </c>
      <c r="N181" s="50" t="str">
        <f t="array" ref="N181">IF(XLOOKUP($E181,'Player Database'!$B$2:$B252,'Player Database'!$AA$2:$AA252)="",XLOOKUP($E181,'Player Database'!$B$2:$B252,'Player Database'!$G$2:$G252),XLOOKUP($E181,'Player Database'!$B$2:$B252,'Player Database'!$AA$2:$AA252))</f>
        <v>#N/A</v>
      </c>
      <c r="O181" s="51">
        <f>COUNTIFs(Matches!$B:$B,E181,Matches!$A:$A,"&gt;"&amp;Q181,Matches!$A:$A,"&lt;"&amp;R181)</f>
        <v>0</v>
      </c>
      <c r="P181" s="51">
        <f>COUNTIFs(Matches!$C:$C,E181,Matches!$A:$A,"&gt;"&amp;Q181,Matches!$A:$A,"&lt;"&amp;R181)</f>
        <v>0</v>
      </c>
      <c r="Q181" s="52">
        <f>VLOOKUP($C$2,Quotas!$A$7:$E$14,2,FALSE)</f>
        <v>46171.70833</v>
      </c>
      <c r="R181" s="52">
        <f>VLOOKUP($C$2,Quotas!$A$7:$E$14,3,FALSE)</f>
        <v>46178.70833</v>
      </c>
    </row>
    <row r="182">
      <c r="A182" s="82" t="str">
        <f t="array" ref="A182">XLOOKUP($E182,'Player Database'!$B$2:$B252,'Player Database'!$C$2:$C252)</f>
        <v>#N/A</v>
      </c>
      <c r="B182" s="82" t="str">
        <f t="array" ref="B182">XLOOKUP($E182,'Player Database'!$B$2:$B252,'Player Database'!$E$2:$E252)</f>
        <v>#N/A</v>
      </c>
      <c r="C182" s="82" t="str">
        <f t="array" ref="C182">XLOOKUP($E182,'Player Database'!$B$2:$B252,'Player Database'!$F$2:$F252)</f>
        <v>#N/A</v>
      </c>
      <c r="D182" s="81">
        <f>IFERROR(__xludf.DUMMYFUNCTION("""COMPUTED_VALUE"""),1.0)</f>
        <v>1</v>
      </c>
      <c r="E182" s="41"/>
      <c r="F182" s="42" t="str">
        <f t="array" ref="F182">XLOOKUP($E182,'Player Database'!$B$2:$B252,'Player Database'!$K$2:$K252)</f>
        <v>#N/A</v>
      </c>
      <c r="G182" s="42" t="str">
        <f t="array" ref="G182">XLOOKUP($E182,'Player Database'!$B$2:$B252,'Player Database'!$AE$2:$AE252)</f>
        <v>#N/A</v>
      </c>
      <c r="H182" s="42" t="str">
        <f t="array" ref="H182">XLOOKUP($E182,'Player Database'!$B$2:$B252,'Player Database'!$H$2:$H252)</f>
        <v>#N/A</v>
      </c>
      <c r="I182" s="42" t="str">
        <f t="array" ref="I182">XLOOKUP($E182,'Player Database'!$B$2:$B252,'Player Database'!$O$2:$O252)</f>
        <v>#N/A</v>
      </c>
      <c r="J182" s="42" t="str">
        <f t="array" ref="J182">XLOOKUP($E182,'Player Database'!$B$2:$B252,'Player Database'!$P$2:$P252)</f>
        <v>#N/A</v>
      </c>
      <c r="K182" s="44" t="str">
        <f t="array" ref="K182">XLOOKUP($E182,'Player Database'!$B$2:$B252,'Player Database'!$U$2:$U252)</f>
        <v>#N/A</v>
      </c>
      <c r="L182" s="47" t="str">
        <f t="array" ref="L182">XLOOKUP($E182,'Player Database'!$B$2:$B252,'Player Database'!$W$2:$W252)</f>
        <v>#N/A</v>
      </c>
      <c r="M182" s="48" t="str">
        <f t="shared" si="1"/>
        <v>0 - 0</v>
      </c>
      <c r="N182" s="50" t="str">
        <f t="array" ref="N182">IF(XLOOKUP($E182,'Player Database'!$B$2:$B252,'Player Database'!$AA$2:$AA252)="",XLOOKUP($E182,'Player Database'!$B$2:$B252,'Player Database'!$G$2:$G252),XLOOKUP($E182,'Player Database'!$B$2:$B252,'Player Database'!$AA$2:$AA252))</f>
        <v>#N/A</v>
      </c>
      <c r="O182" s="51">
        <f>COUNTIFs(Matches!$B:$B,E182,Matches!$A:$A,"&gt;"&amp;Q182,Matches!$A:$A,"&lt;"&amp;R182)</f>
        <v>0</v>
      </c>
      <c r="P182" s="51">
        <f>COUNTIFs(Matches!$C:$C,E182,Matches!$A:$A,"&gt;"&amp;Q182,Matches!$A:$A,"&lt;"&amp;R182)</f>
        <v>0</v>
      </c>
      <c r="Q182" s="52">
        <f>VLOOKUP($C$2,Quotas!$A$7:$E$14,2,FALSE)</f>
        <v>46171.70833</v>
      </c>
      <c r="R182" s="52">
        <f>VLOOKUP($C$2,Quotas!$A$7:$E$14,3,FALSE)</f>
        <v>46178.70833</v>
      </c>
    </row>
    <row r="183">
      <c r="A183" s="82" t="str">
        <f t="array" ref="A183">XLOOKUP($E183,'Player Database'!$B$2:$B252,'Player Database'!$C$2:$C252)</f>
        <v>#N/A</v>
      </c>
      <c r="B183" s="82" t="str">
        <f t="array" ref="B183">XLOOKUP($E183,'Player Database'!$B$2:$B252,'Player Database'!$E$2:$E252)</f>
        <v>#N/A</v>
      </c>
      <c r="C183" s="82" t="str">
        <f t="array" ref="C183">XLOOKUP($E183,'Player Database'!$B$2:$B252,'Player Database'!$F$2:$F252)</f>
        <v>#N/A</v>
      </c>
      <c r="D183" s="81">
        <f>IFERROR(__xludf.DUMMYFUNCTION("""COMPUTED_VALUE"""),1.0)</f>
        <v>1</v>
      </c>
      <c r="E183" s="41"/>
      <c r="F183" s="42" t="str">
        <f t="array" ref="F183">XLOOKUP($E183,'Player Database'!$B$2:$B252,'Player Database'!$K$2:$K252)</f>
        <v>#N/A</v>
      </c>
      <c r="G183" s="42" t="str">
        <f t="array" ref="G183">XLOOKUP($E183,'Player Database'!$B$2:$B252,'Player Database'!$AE$2:$AE252)</f>
        <v>#N/A</v>
      </c>
      <c r="H183" s="42" t="str">
        <f t="array" ref="H183">XLOOKUP($E183,'Player Database'!$B$2:$B252,'Player Database'!$H$2:$H252)</f>
        <v>#N/A</v>
      </c>
      <c r="I183" s="42" t="str">
        <f t="array" ref="I183">XLOOKUP($E183,'Player Database'!$B$2:$B252,'Player Database'!$O$2:$O252)</f>
        <v>#N/A</v>
      </c>
      <c r="J183" s="42" t="str">
        <f t="array" ref="J183">XLOOKUP($E183,'Player Database'!$B$2:$B252,'Player Database'!$P$2:$P252)</f>
        <v>#N/A</v>
      </c>
      <c r="K183" s="44" t="str">
        <f t="array" ref="K183">XLOOKUP($E183,'Player Database'!$B$2:$B252,'Player Database'!$U$2:$U252)</f>
        <v>#N/A</v>
      </c>
      <c r="L183" s="47" t="str">
        <f t="array" ref="L183">XLOOKUP($E183,'Player Database'!$B$2:$B252,'Player Database'!$W$2:$W252)</f>
        <v>#N/A</v>
      </c>
      <c r="M183" s="48" t="str">
        <f t="shared" si="1"/>
        <v>0 - 0</v>
      </c>
      <c r="N183" s="50" t="str">
        <f t="array" ref="N183">IF(XLOOKUP($E183,'Player Database'!$B$2:$B252,'Player Database'!$AA$2:$AA252)="",XLOOKUP($E183,'Player Database'!$B$2:$B252,'Player Database'!$G$2:$G252),XLOOKUP($E183,'Player Database'!$B$2:$B252,'Player Database'!$AA$2:$AA252))</f>
        <v>#N/A</v>
      </c>
      <c r="O183" s="51">
        <f>COUNTIFs(Matches!$B:$B,E183,Matches!$A:$A,"&gt;"&amp;Q183,Matches!$A:$A,"&lt;"&amp;R183)</f>
        <v>0</v>
      </c>
      <c r="P183" s="51">
        <f>COUNTIFs(Matches!$C:$C,E183,Matches!$A:$A,"&gt;"&amp;Q183,Matches!$A:$A,"&lt;"&amp;R183)</f>
        <v>0</v>
      </c>
      <c r="Q183" s="52">
        <f>VLOOKUP($C$2,Quotas!$A$7:$E$14,2,FALSE)</f>
        <v>46171.70833</v>
      </c>
      <c r="R183" s="52">
        <f>VLOOKUP($C$2,Quotas!$A$7:$E$14,3,FALSE)</f>
        <v>46178.70833</v>
      </c>
    </row>
    <row r="184">
      <c r="A184" s="82" t="str">
        <f t="array" ref="A184">XLOOKUP($E184,'Player Database'!$B$2:$B252,'Player Database'!$C$2:$C252)</f>
        <v>#N/A</v>
      </c>
      <c r="B184" s="82" t="str">
        <f t="array" ref="B184">XLOOKUP($E184,'Player Database'!$B$2:$B252,'Player Database'!$E$2:$E252)</f>
        <v>#N/A</v>
      </c>
      <c r="C184" s="82" t="str">
        <f t="array" ref="C184">XLOOKUP($E184,'Player Database'!$B$2:$B252,'Player Database'!$F$2:$F252)</f>
        <v>#N/A</v>
      </c>
      <c r="D184" s="81">
        <f>IFERROR(__xludf.DUMMYFUNCTION("""COMPUTED_VALUE"""),1.0)</f>
        <v>1</v>
      </c>
      <c r="E184" s="41"/>
      <c r="F184" s="42" t="str">
        <f t="array" ref="F184">XLOOKUP($E184,'Player Database'!$B$2:$B252,'Player Database'!$K$2:$K252)</f>
        <v>#N/A</v>
      </c>
      <c r="G184" s="42" t="str">
        <f t="array" ref="G184">XLOOKUP($E184,'Player Database'!$B$2:$B252,'Player Database'!$AE$2:$AE252)</f>
        <v>#N/A</v>
      </c>
      <c r="H184" s="42" t="str">
        <f t="array" ref="H184">XLOOKUP($E184,'Player Database'!$B$2:$B252,'Player Database'!$H$2:$H252)</f>
        <v>#N/A</v>
      </c>
      <c r="I184" s="42" t="str">
        <f t="array" ref="I184">XLOOKUP($E184,'Player Database'!$B$2:$B252,'Player Database'!$O$2:$O252)</f>
        <v>#N/A</v>
      </c>
      <c r="J184" s="42" t="str">
        <f t="array" ref="J184">XLOOKUP($E184,'Player Database'!$B$2:$B252,'Player Database'!$P$2:$P252)</f>
        <v>#N/A</v>
      </c>
      <c r="K184" s="44" t="str">
        <f t="array" ref="K184">XLOOKUP($E184,'Player Database'!$B$2:$B252,'Player Database'!$U$2:$U252)</f>
        <v>#N/A</v>
      </c>
      <c r="L184" s="47" t="str">
        <f t="array" ref="L184">XLOOKUP($E184,'Player Database'!$B$2:$B252,'Player Database'!$W$2:$W252)</f>
        <v>#N/A</v>
      </c>
      <c r="M184" s="48" t="str">
        <f t="shared" si="1"/>
        <v>0 - 0</v>
      </c>
      <c r="N184" s="50" t="str">
        <f t="array" ref="N184">IF(XLOOKUP($E184,'Player Database'!$B$2:$B252,'Player Database'!$AA$2:$AA252)="",XLOOKUP($E184,'Player Database'!$B$2:$B252,'Player Database'!$G$2:$G252),XLOOKUP($E184,'Player Database'!$B$2:$B252,'Player Database'!$AA$2:$AA252))</f>
        <v>#N/A</v>
      </c>
      <c r="O184" s="51">
        <f>COUNTIFs(Matches!$B:$B,E184,Matches!$A:$A,"&gt;"&amp;Q184,Matches!$A:$A,"&lt;"&amp;R184)</f>
        <v>0</v>
      </c>
      <c r="P184" s="51">
        <f>COUNTIFs(Matches!$C:$C,E184,Matches!$A:$A,"&gt;"&amp;Q184,Matches!$A:$A,"&lt;"&amp;R184)</f>
        <v>0</v>
      </c>
      <c r="Q184" s="52">
        <f>VLOOKUP($C$2,Quotas!$A$7:$E$14,2,FALSE)</f>
        <v>46171.70833</v>
      </c>
      <c r="R184" s="52">
        <f>VLOOKUP($C$2,Quotas!$A$7:$E$14,3,FALSE)</f>
        <v>46178.70833</v>
      </c>
    </row>
    <row r="185">
      <c r="A185" s="82" t="str">
        <f t="array" ref="A185">XLOOKUP($E185,'Player Database'!$B$2:$B252,'Player Database'!$C$2:$C252)</f>
        <v>#N/A</v>
      </c>
      <c r="B185" s="82" t="str">
        <f t="array" ref="B185">XLOOKUP($E185,'Player Database'!$B$2:$B252,'Player Database'!$E$2:$E252)</f>
        <v>#N/A</v>
      </c>
      <c r="C185" s="82" t="str">
        <f t="array" ref="C185">XLOOKUP($E185,'Player Database'!$B$2:$B252,'Player Database'!$F$2:$F252)</f>
        <v>#N/A</v>
      </c>
      <c r="D185" s="81">
        <f>IFERROR(__xludf.DUMMYFUNCTION("""COMPUTED_VALUE"""),1.0)</f>
        <v>1</v>
      </c>
      <c r="E185" s="41"/>
      <c r="F185" s="42" t="str">
        <f t="array" ref="F185">XLOOKUP($E185,'Player Database'!$B$2:$B252,'Player Database'!$K$2:$K252)</f>
        <v>#N/A</v>
      </c>
      <c r="G185" s="42" t="str">
        <f t="array" ref="G185">XLOOKUP($E185,'Player Database'!$B$2:$B252,'Player Database'!$AE$2:$AE252)</f>
        <v>#N/A</v>
      </c>
      <c r="H185" s="42" t="str">
        <f t="array" ref="H185">XLOOKUP($E185,'Player Database'!$B$2:$B252,'Player Database'!$H$2:$H252)</f>
        <v>#N/A</v>
      </c>
      <c r="I185" s="42" t="str">
        <f t="array" ref="I185">XLOOKUP($E185,'Player Database'!$B$2:$B252,'Player Database'!$O$2:$O252)</f>
        <v>#N/A</v>
      </c>
      <c r="J185" s="42" t="str">
        <f t="array" ref="J185">XLOOKUP($E185,'Player Database'!$B$2:$B252,'Player Database'!$P$2:$P252)</f>
        <v>#N/A</v>
      </c>
      <c r="K185" s="44" t="str">
        <f t="array" ref="K185">XLOOKUP($E185,'Player Database'!$B$2:$B252,'Player Database'!$U$2:$U252)</f>
        <v>#N/A</v>
      </c>
      <c r="L185" s="47" t="str">
        <f t="array" ref="L185">XLOOKUP($E185,'Player Database'!$B$2:$B252,'Player Database'!$W$2:$W252)</f>
        <v>#N/A</v>
      </c>
      <c r="M185" s="48" t="str">
        <f t="shared" si="1"/>
        <v>0 - 0</v>
      </c>
      <c r="N185" s="50" t="str">
        <f t="array" ref="N185">IF(XLOOKUP($E185,'Player Database'!$B$2:$B252,'Player Database'!$AA$2:$AA252)="",XLOOKUP($E185,'Player Database'!$B$2:$B252,'Player Database'!$G$2:$G252),XLOOKUP($E185,'Player Database'!$B$2:$B252,'Player Database'!$AA$2:$AA252))</f>
        <v>#N/A</v>
      </c>
      <c r="O185" s="51">
        <f>COUNTIFs(Matches!$B:$B,E185,Matches!$A:$A,"&gt;"&amp;Q185,Matches!$A:$A,"&lt;"&amp;R185)</f>
        <v>0</v>
      </c>
      <c r="P185" s="51">
        <f>COUNTIFs(Matches!$C:$C,E185,Matches!$A:$A,"&gt;"&amp;Q185,Matches!$A:$A,"&lt;"&amp;R185)</f>
        <v>0</v>
      </c>
      <c r="Q185" s="52">
        <f>VLOOKUP($C$2,Quotas!$A$7:$E$14,2,FALSE)</f>
        <v>46171.70833</v>
      </c>
      <c r="R185" s="52">
        <f>VLOOKUP($C$2,Quotas!$A$7:$E$14,3,FALSE)</f>
        <v>46178.70833</v>
      </c>
    </row>
    <row r="186">
      <c r="A186" s="82" t="str">
        <f t="array" ref="A186">XLOOKUP($E186,'Player Database'!$B$2:$B252,'Player Database'!$C$2:$C252)</f>
        <v>#N/A</v>
      </c>
      <c r="B186" s="82" t="str">
        <f t="array" ref="B186">XLOOKUP($E186,'Player Database'!$B$2:$B252,'Player Database'!$E$2:$E252)</f>
        <v>#N/A</v>
      </c>
      <c r="C186" s="82" t="str">
        <f t="array" ref="C186">XLOOKUP($E186,'Player Database'!$B$2:$B252,'Player Database'!$F$2:$F252)</f>
        <v>#N/A</v>
      </c>
      <c r="D186" s="81">
        <f>IFERROR(__xludf.DUMMYFUNCTION("""COMPUTED_VALUE"""),1.0)</f>
        <v>1</v>
      </c>
      <c r="E186" s="41"/>
      <c r="F186" s="42" t="str">
        <f t="array" ref="F186">XLOOKUP($E186,'Player Database'!$B$2:$B252,'Player Database'!$K$2:$K252)</f>
        <v>#N/A</v>
      </c>
      <c r="G186" s="42" t="str">
        <f t="array" ref="G186">XLOOKUP($E186,'Player Database'!$B$2:$B252,'Player Database'!$AE$2:$AE252)</f>
        <v>#N/A</v>
      </c>
      <c r="H186" s="42" t="str">
        <f t="array" ref="H186">XLOOKUP($E186,'Player Database'!$B$2:$B252,'Player Database'!$H$2:$H252)</f>
        <v>#N/A</v>
      </c>
      <c r="I186" s="42" t="str">
        <f t="array" ref="I186">XLOOKUP($E186,'Player Database'!$B$2:$B252,'Player Database'!$O$2:$O252)</f>
        <v>#N/A</v>
      </c>
      <c r="J186" s="42" t="str">
        <f t="array" ref="J186">XLOOKUP($E186,'Player Database'!$B$2:$B252,'Player Database'!$P$2:$P252)</f>
        <v>#N/A</v>
      </c>
      <c r="K186" s="44" t="str">
        <f t="array" ref="K186">XLOOKUP($E186,'Player Database'!$B$2:$B252,'Player Database'!$U$2:$U252)</f>
        <v>#N/A</v>
      </c>
      <c r="L186" s="47" t="str">
        <f t="array" ref="L186">XLOOKUP($E186,'Player Database'!$B$2:$B252,'Player Database'!$W$2:$W252)</f>
        <v>#N/A</v>
      </c>
      <c r="M186" s="48" t="str">
        <f t="shared" si="1"/>
        <v>0 - 0</v>
      </c>
      <c r="N186" s="50" t="str">
        <f t="array" ref="N186">IF(XLOOKUP($E186,'Player Database'!$B$2:$B252,'Player Database'!$AA$2:$AA252)="",XLOOKUP($E186,'Player Database'!$B$2:$B252,'Player Database'!$G$2:$G252),XLOOKUP($E186,'Player Database'!$B$2:$B252,'Player Database'!$AA$2:$AA252))</f>
        <v>#N/A</v>
      </c>
      <c r="O186" s="51">
        <f>COUNTIFs(Matches!$B:$B,E186,Matches!$A:$A,"&gt;"&amp;Q186,Matches!$A:$A,"&lt;"&amp;R186)</f>
        <v>0</v>
      </c>
      <c r="P186" s="51">
        <f>COUNTIFs(Matches!$C:$C,E186,Matches!$A:$A,"&gt;"&amp;Q186,Matches!$A:$A,"&lt;"&amp;R186)</f>
        <v>0</v>
      </c>
      <c r="Q186" s="52">
        <f>VLOOKUP($C$2,Quotas!$A$7:$E$14,2,FALSE)</f>
        <v>46171.70833</v>
      </c>
      <c r="R186" s="52">
        <f>VLOOKUP($C$2,Quotas!$A$7:$E$14,3,FALSE)</f>
        <v>46178.70833</v>
      </c>
    </row>
    <row r="187">
      <c r="A187" s="82" t="str">
        <f t="array" ref="A187">XLOOKUP($E187,'Player Database'!$B$2:$B252,'Player Database'!$C$2:$C252)</f>
        <v>#N/A</v>
      </c>
      <c r="B187" s="82" t="str">
        <f t="array" ref="B187">XLOOKUP($E187,'Player Database'!$B$2:$B252,'Player Database'!$E$2:$E252)</f>
        <v>#N/A</v>
      </c>
      <c r="C187" s="82" t="str">
        <f t="array" ref="C187">XLOOKUP($E187,'Player Database'!$B$2:$B252,'Player Database'!$F$2:$F252)</f>
        <v>#N/A</v>
      </c>
      <c r="D187" s="81">
        <f>IFERROR(__xludf.DUMMYFUNCTION("""COMPUTED_VALUE"""),1.0)</f>
        <v>1</v>
      </c>
      <c r="E187" s="41"/>
      <c r="F187" s="42" t="str">
        <f t="array" ref="F187">XLOOKUP($E187,'Player Database'!$B$2:$B252,'Player Database'!$K$2:$K252)</f>
        <v>#N/A</v>
      </c>
      <c r="G187" s="42" t="str">
        <f t="array" ref="G187">XLOOKUP($E187,'Player Database'!$B$2:$B252,'Player Database'!$AE$2:$AE252)</f>
        <v>#N/A</v>
      </c>
      <c r="H187" s="42" t="str">
        <f t="array" ref="H187">XLOOKUP($E187,'Player Database'!$B$2:$B252,'Player Database'!$H$2:$H252)</f>
        <v>#N/A</v>
      </c>
      <c r="I187" s="42" t="str">
        <f t="array" ref="I187">XLOOKUP($E187,'Player Database'!$B$2:$B252,'Player Database'!$O$2:$O252)</f>
        <v>#N/A</v>
      </c>
      <c r="J187" s="42" t="str">
        <f t="array" ref="J187">XLOOKUP($E187,'Player Database'!$B$2:$B252,'Player Database'!$P$2:$P252)</f>
        <v>#N/A</v>
      </c>
      <c r="K187" s="44" t="str">
        <f t="array" ref="K187">XLOOKUP($E187,'Player Database'!$B$2:$B252,'Player Database'!$U$2:$U252)</f>
        <v>#N/A</v>
      </c>
      <c r="L187" s="47" t="str">
        <f t="array" ref="L187">XLOOKUP($E187,'Player Database'!$B$2:$B252,'Player Database'!$W$2:$W252)</f>
        <v>#N/A</v>
      </c>
      <c r="M187" s="48" t="str">
        <f t="shared" si="1"/>
        <v>0 - 0</v>
      </c>
      <c r="N187" s="50" t="str">
        <f t="array" ref="N187">IF(XLOOKUP($E187,'Player Database'!$B$2:$B252,'Player Database'!$AA$2:$AA252)="",XLOOKUP($E187,'Player Database'!$B$2:$B252,'Player Database'!$G$2:$G252),XLOOKUP($E187,'Player Database'!$B$2:$B252,'Player Database'!$AA$2:$AA252))</f>
        <v>#N/A</v>
      </c>
      <c r="O187" s="51">
        <f>COUNTIFs(Matches!$B:$B,E187,Matches!$A:$A,"&gt;"&amp;Q187,Matches!$A:$A,"&lt;"&amp;R187)</f>
        <v>0</v>
      </c>
      <c r="P187" s="51">
        <f>COUNTIFs(Matches!$C:$C,E187,Matches!$A:$A,"&gt;"&amp;Q187,Matches!$A:$A,"&lt;"&amp;R187)</f>
        <v>0</v>
      </c>
      <c r="Q187" s="52">
        <f>VLOOKUP($C$2,Quotas!$A$7:$E$14,2,FALSE)</f>
        <v>46171.70833</v>
      </c>
      <c r="R187" s="52">
        <f>VLOOKUP($C$2,Quotas!$A$7:$E$14,3,FALSE)</f>
        <v>46178.70833</v>
      </c>
    </row>
    <row r="188">
      <c r="A188" s="82" t="str">
        <f t="array" ref="A188">XLOOKUP($E188,'Player Database'!$B$2:$B252,'Player Database'!$C$2:$C252)</f>
        <v>#N/A</v>
      </c>
      <c r="B188" s="82" t="str">
        <f t="array" ref="B188">XLOOKUP($E188,'Player Database'!$B$2:$B252,'Player Database'!$E$2:$E252)</f>
        <v>#N/A</v>
      </c>
      <c r="C188" s="82" t="str">
        <f t="array" ref="C188">XLOOKUP($E188,'Player Database'!$B$2:$B252,'Player Database'!$F$2:$F252)</f>
        <v>#N/A</v>
      </c>
      <c r="D188" s="81">
        <f>IFERROR(__xludf.DUMMYFUNCTION("""COMPUTED_VALUE"""),1.0)</f>
        <v>1</v>
      </c>
      <c r="E188" s="41"/>
      <c r="F188" s="42" t="str">
        <f t="array" ref="F188">XLOOKUP($E188,'Player Database'!$B$2:$B252,'Player Database'!$K$2:$K252)</f>
        <v>#N/A</v>
      </c>
      <c r="G188" s="42" t="str">
        <f t="array" ref="G188">XLOOKUP($E188,'Player Database'!$B$2:$B252,'Player Database'!$AE$2:$AE252)</f>
        <v>#N/A</v>
      </c>
      <c r="H188" s="42" t="str">
        <f t="array" ref="H188">XLOOKUP($E188,'Player Database'!$B$2:$B252,'Player Database'!$H$2:$H252)</f>
        <v>#N/A</v>
      </c>
      <c r="I188" s="42" t="str">
        <f t="array" ref="I188">XLOOKUP($E188,'Player Database'!$B$2:$B252,'Player Database'!$O$2:$O252)</f>
        <v>#N/A</v>
      </c>
      <c r="J188" s="42" t="str">
        <f t="array" ref="J188">XLOOKUP($E188,'Player Database'!$B$2:$B252,'Player Database'!$P$2:$P252)</f>
        <v>#N/A</v>
      </c>
      <c r="K188" s="44" t="str">
        <f t="array" ref="K188">XLOOKUP($E188,'Player Database'!$B$2:$B252,'Player Database'!$U$2:$U252)</f>
        <v>#N/A</v>
      </c>
      <c r="L188" s="47" t="str">
        <f t="array" ref="L188">XLOOKUP($E188,'Player Database'!$B$2:$B252,'Player Database'!$W$2:$W252)</f>
        <v>#N/A</v>
      </c>
      <c r="M188" s="48" t="str">
        <f t="shared" si="1"/>
        <v>0 - 0</v>
      </c>
      <c r="N188" s="50" t="str">
        <f t="array" ref="N188">IF(XLOOKUP($E188,'Player Database'!$B$2:$B252,'Player Database'!$AA$2:$AA252)="",XLOOKUP($E188,'Player Database'!$B$2:$B252,'Player Database'!$G$2:$G252),XLOOKUP($E188,'Player Database'!$B$2:$B252,'Player Database'!$AA$2:$AA252))</f>
        <v>#N/A</v>
      </c>
      <c r="O188" s="51">
        <f>COUNTIFs(Matches!$B:$B,E188,Matches!$A:$A,"&gt;"&amp;Q188,Matches!$A:$A,"&lt;"&amp;R188)</f>
        <v>0</v>
      </c>
      <c r="P188" s="51">
        <f>COUNTIFs(Matches!$C:$C,E188,Matches!$A:$A,"&gt;"&amp;Q188,Matches!$A:$A,"&lt;"&amp;R188)</f>
        <v>0</v>
      </c>
      <c r="Q188" s="52">
        <f>VLOOKUP($C$2,Quotas!$A$7:$E$14,2,FALSE)</f>
        <v>46171.70833</v>
      </c>
      <c r="R188" s="52">
        <f>VLOOKUP($C$2,Quotas!$A$7:$E$14,3,FALSE)</f>
        <v>46178.70833</v>
      </c>
    </row>
    <row r="189">
      <c r="A189" s="82" t="str">
        <f t="array" ref="A189">XLOOKUP($E189,'Player Database'!$B$2:$B252,'Player Database'!$C$2:$C252)</f>
        <v>#N/A</v>
      </c>
      <c r="B189" s="82" t="str">
        <f t="array" ref="B189">XLOOKUP($E189,'Player Database'!$B$2:$B252,'Player Database'!$E$2:$E252)</f>
        <v>#N/A</v>
      </c>
      <c r="C189" s="82" t="str">
        <f t="array" ref="C189">XLOOKUP($E189,'Player Database'!$B$2:$B252,'Player Database'!$F$2:$F252)</f>
        <v>#N/A</v>
      </c>
      <c r="D189" s="81">
        <f>IFERROR(__xludf.DUMMYFUNCTION("""COMPUTED_VALUE"""),1.0)</f>
        <v>1</v>
      </c>
      <c r="E189" s="41"/>
      <c r="F189" s="42" t="str">
        <f t="array" ref="F189">XLOOKUP($E189,'Player Database'!$B$2:$B252,'Player Database'!$K$2:$K252)</f>
        <v>#N/A</v>
      </c>
      <c r="G189" s="42" t="str">
        <f t="array" ref="G189">XLOOKUP($E189,'Player Database'!$B$2:$B252,'Player Database'!$AE$2:$AE252)</f>
        <v>#N/A</v>
      </c>
      <c r="H189" s="42" t="str">
        <f t="array" ref="H189">XLOOKUP($E189,'Player Database'!$B$2:$B252,'Player Database'!$H$2:$H252)</f>
        <v>#N/A</v>
      </c>
      <c r="I189" s="42" t="str">
        <f t="array" ref="I189">XLOOKUP($E189,'Player Database'!$B$2:$B252,'Player Database'!$O$2:$O252)</f>
        <v>#N/A</v>
      </c>
      <c r="J189" s="42" t="str">
        <f t="array" ref="J189">XLOOKUP($E189,'Player Database'!$B$2:$B252,'Player Database'!$P$2:$P252)</f>
        <v>#N/A</v>
      </c>
      <c r="K189" s="44" t="str">
        <f t="array" ref="K189">XLOOKUP($E189,'Player Database'!$B$2:$B252,'Player Database'!$U$2:$U252)</f>
        <v>#N/A</v>
      </c>
      <c r="L189" s="47" t="str">
        <f t="array" ref="L189">XLOOKUP($E189,'Player Database'!$B$2:$B252,'Player Database'!$W$2:$W252)</f>
        <v>#N/A</v>
      </c>
      <c r="M189" s="48" t="str">
        <f t="shared" si="1"/>
        <v>0 - 0</v>
      </c>
      <c r="N189" s="50" t="str">
        <f t="array" ref="N189">IF(XLOOKUP($E189,'Player Database'!$B$2:$B252,'Player Database'!$AA$2:$AA252)="",XLOOKUP($E189,'Player Database'!$B$2:$B252,'Player Database'!$G$2:$G252),XLOOKUP($E189,'Player Database'!$B$2:$B252,'Player Database'!$AA$2:$AA252))</f>
        <v>#N/A</v>
      </c>
      <c r="O189" s="51">
        <f>COUNTIFs(Matches!$B:$B,E189,Matches!$A:$A,"&gt;"&amp;Q189,Matches!$A:$A,"&lt;"&amp;R189)</f>
        <v>0</v>
      </c>
      <c r="P189" s="51">
        <f>COUNTIFs(Matches!$C:$C,E189,Matches!$A:$A,"&gt;"&amp;Q189,Matches!$A:$A,"&lt;"&amp;R189)</f>
        <v>0</v>
      </c>
      <c r="Q189" s="52">
        <f>VLOOKUP($C$2,Quotas!$A$7:$E$14,2,FALSE)</f>
        <v>46171.70833</v>
      </c>
      <c r="R189" s="52">
        <f>VLOOKUP($C$2,Quotas!$A$7:$E$14,3,FALSE)</f>
        <v>46178.70833</v>
      </c>
    </row>
    <row r="190">
      <c r="A190" s="82" t="str">
        <f t="array" ref="A190">XLOOKUP($E190,'Player Database'!$B$2:$B252,'Player Database'!$C$2:$C252)</f>
        <v>#N/A</v>
      </c>
      <c r="B190" s="82" t="str">
        <f t="array" ref="B190">XLOOKUP($E190,'Player Database'!$B$2:$B252,'Player Database'!$E$2:$E252)</f>
        <v>#N/A</v>
      </c>
      <c r="C190" s="82" t="str">
        <f t="array" ref="C190">XLOOKUP($E190,'Player Database'!$B$2:$B252,'Player Database'!$F$2:$F252)</f>
        <v>#N/A</v>
      </c>
      <c r="D190" s="81">
        <f>IFERROR(__xludf.DUMMYFUNCTION("""COMPUTED_VALUE"""),1.0)</f>
        <v>1</v>
      </c>
      <c r="E190" s="41"/>
      <c r="F190" s="42" t="str">
        <f t="array" ref="F190">XLOOKUP($E190,'Player Database'!$B$2:$B252,'Player Database'!$K$2:$K252)</f>
        <v>#N/A</v>
      </c>
      <c r="G190" s="42" t="str">
        <f t="array" ref="G190">XLOOKUP($E190,'Player Database'!$B$2:$B252,'Player Database'!$AE$2:$AE252)</f>
        <v>#N/A</v>
      </c>
      <c r="H190" s="42" t="str">
        <f t="array" ref="H190">XLOOKUP($E190,'Player Database'!$B$2:$B252,'Player Database'!$H$2:$H252)</f>
        <v>#N/A</v>
      </c>
      <c r="I190" s="42" t="str">
        <f t="array" ref="I190">XLOOKUP($E190,'Player Database'!$B$2:$B252,'Player Database'!$O$2:$O252)</f>
        <v>#N/A</v>
      </c>
      <c r="J190" s="42" t="str">
        <f t="array" ref="J190">XLOOKUP($E190,'Player Database'!$B$2:$B252,'Player Database'!$P$2:$P252)</f>
        <v>#N/A</v>
      </c>
      <c r="K190" s="44" t="str">
        <f t="array" ref="K190">XLOOKUP($E190,'Player Database'!$B$2:$B252,'Player Database'!$U$2:$U252)</f>
        <v>#N/A</v>
      </c>
      <c r="L190" s="47" t="str">
        <f t="array" ref="L190">XLOOKUP($E190,'Player Database'!$B$2:$B252,'Player Database'!$W$2:$W252)</f>
        <v>#N/A</v>
      </c>
      <c r="M190" s="48" t="str">
        <f t="shared" si="1"/>
        <v>0 - 0</v>
      </c>
      <c r="N190" s="50" t="str">
        <f t="array" ref="N190">IF(XLOOKUP($E190,'Player Database'!$B$2:$B252,'Player Database'!$AA$2:$AA252)="",XLOOKUP($E190,'Player Database'!$B$2:$B252,'Player Database'!$G$2:$G252),XLOOKUP($E190,'Player Database'!$B$2:$B252,'Player Database'!$AA$2:$AA252))</f>
        <v>#N/A</v>
      </c>
      <c r="O190" s="51">
        <f>COUNTIFs(Matches!$B:$B,E190,Matches!$A:$A,"&gt;"&amp;Q190,Matches!$A:$A,"&lt;"&amp;R190)</f>
        <v>0</v>
      </c>
      <c r="P190" s="51">
        <f>COUNTIFs(Matches!$C:$C,E190,Matches!$A:$A,"&gt;"&amp;Q190,Matches!$A:$A,"&lt;"&amp;R190)</f>
        <v>0</v>
      </c>
      <c r="Q190" s="52">
        <f>VLOOKUP($C$2,Quotas!$A$7:$E$14,2,FALSE)</f>
        <v>46171.70833</v>
      </c>
      <c r="R190" s="52">
        <f>VLOOKUP($C$2,Quotas!$A$7:$E$14,3,FALSE)</f>
        <v>46178.70833</v>
      </c>
    </row>
    <row r="191">
      <c r="A191" s="82" t="str">
        <f t="array" ref="A191">XLOOKUP($E191,'Player Database'!$B$2:$B252,'Player Database'!$C$2:$C252)</f>
        <v>#N/A</v>
      </c>
      <c r="B191" s="82" t="str">
        <f t="array" ref="B191">XLOOKUP($E191,'Player Database'!$B$2:$B252,'Player Database'!$E$2:$E252)</f>
        <v>#N/A</v>
      </c>
      <c r="C191" s="82" t="str">
        <f t="array" ref="C191">XLOOKUP($E191,'Player Database'!$B$2:$B252,'Player Database'!$F$2:$F252)</f>
        <v>#N/A</v>
      </c>
      <c r="D191" s="81">
        <f>IFERROR(__xludf.DUMMYFUNCTION("""COMPUTED_VALUE"""),1.0)</f>
        <v>1</v>
      </c>
      <c r="E191" s="41"/>
      <c r="F191" s="42" t="str">
        <f t="array" ref="F191">XLOOKUP($E191,'Player Database'!$B$2:$B252,'Player Database'!$K$2:$K252)</f>
        <v>#N/A</v>
      </c>
      <c r="G191" s="42" t="str">
        <f t="array" ref="G191">XLOOKUP($E191,'Player Database'!$B$2:$B252,'Player Database'!$AE$2:$AE252)</f>
        <v>#N/A</v>
      </c>
      <c r="H191" s="42" t="str">
        <f t="array" ref="H191">XLOOKUP($E191,'Player Database'!$B$2:$B252,'Player Database'!$H$2:$H252)</f>
        <v>#N/A</v>
      </c>
      <c r="I191" s="42" t="str">
        <f t="array" ref="I191">XLOOKUP($E191,'Player Database'!$B$2:$B252,'Player Database'!$O$2:$O252)</f>
        <v>#N/A</v>
      </c>
      <c r="J191" s="42" t="str">
        <f t="array" ref="J191">XLOOKUP($E191,'Player Database'!$B$2:$B252,'Player Database'!$P$2:$P252)</f>
        <v>#N/A</v>
      </c>
      <c r="K191" s="44" t="str">
        <f t="array" ref="K191">XLOOKUP($E191,'Player Database'!$B$2:$B252,'Player Database'!$U$2:$U252)</f>
        <v>#N/A</v>
      </c>
      <c r="L191" s="47" t="str">
        <f t="array" ref="L191">XLOOKUP($E191,'Player Database'!$B$2:$B252,'Player Database'!$W$2:$W252)</f>
        <v>#N/A</v>
      </c>
      <c r="M191" s="48" t="str">
        <f t="shared" si="1"/>
        <v>0 - 0</v>
      </c>
      <c r="N191" s="50" t="str">
        <f t="array" ref="N191">IF(XLOOKUP($E191,'Player Database'!$B$2:$B252,'Player Database'!$AA$2:$AA252)="",XLOOKUP($E191,'Player Database'!$B$2:$B252,'Player Database'!$G$2:$G252),XLOOKUP($E191,'Player Database'!$B$2:$B252,'Player Database'!$AA$2:$AA252))</f>
        <v>#N/A</v>
      </c>
      <c r="O191" s="51">
        <f>COUNTIFs(Matches!$B:$B,E191,Matches!$A:$A,"&gt;"&amp;Q191,Matches!$A:$A,"&lt;"&amp;R191)</f>
        <v>0</v>
      </c>
      <c r="P191" s="51">
        <f>COUNTIFs(Matches!$C:$C,E191,Matches!$A:$A,"&gt;"&amp;Q191,Matches!$A:$A,"&lt;"&amp;R191)</f>
        <v>0</v>
      </c>
      <c r="Q191" s="52">
        <f>VLOOKUP($C$2,Quotas!$A$7:$E$14,2,FALSE)</f>
        <v>46171.70833</v>
      </c>
      <c r="R191" s="52">
        <f>VLOOKUP($C$2,Quotas!$A$7:$E$14,3,FALSE)</f>
        <v>46178.70833</v>
      </c>
    </row>
    <row r="192">
      <c r="A192" s="82" t="str">
        <f t="array" ref="A192">XLOOKUP($E192,'Player Database'!$B$2:$B252,'Player Database'!$C$2:$C252)</f>
        <v>#N/A</v>
      </c>
      <c r="B192" s="82" t="str">
        <f t="array" ref="B192">XLOOKUP($E192,'Player Database'!$B$2:$B252,'Player Database'!$E$2:$E252)</f>
        <v>#N/A</v>
      </c>
      <c r="C192" s="82" t="str">
        <f t="array" ref="C192">XLOOKUP($E192,'Player Database'!$B$2:$B252,'Player Database'!$F$2:$F252)</f>
        <v>#N/A</v>
      </c>
      <c r="D192" s="81">
        <f>IFERROR(__xludf.DUMMYFUNCTION("""COMPUTED_VALUE"""),1.0)</f>
        <v>1</v>
      </c>
      <c r="E192" s="41"/>
      <c r="F192" s="42" t="str">
        <f t="array" ref="F192">XLOOKUP($E192,'Player Database'!$B$2:$B252,'Player Database'!$K$2:$K252)</f>
        <v>#N/A</v>
      </c>
      <c r="G192" s="42" t="str">
        <f t="array" ref="G192">XLOOKUP($E192,'Player Database'!$B$2:$B252,'Player Database'!$AE$2:$AE252)</f>
        <v>#N/A</v>
      </c>
      <c r="H192" s="42" t="str">
        <f t="array" ref="H192">XLOOKUP($E192,'Player Database'!$B$2:$B252,'Player Database'!$H$2:$H252)</f>
        <v>#N/A</v>
      </c>
      <c r="I192" s="42" t="str">
        <f t="array" ref="I192">XLOOKUP($E192,'Player Database'!$B$2:$B252,'Player Database'!$O$2:$O252)</f>
        <v>#N/A</v>
      </c>
      <c r="J192" s="42" t="str">
        <f t="array" ref="J192">XLOOKUP($E192,'Player Database'!$B$2:$B252,'Player Database'!$P$2:$P252)</f>
        <v>#N/A</v>
      </c>
      <c r="K192" s="44" t="str">
        <f t="array" ref="K192">XLOOKUP($E192,'Player Database'!$B$2:$B252,'Player Database'!$U$2:$U252)</f>
        <v>#N/A</v>
      </c>
      <c r="L192" s="47" t="str">
        <f t="array" ref="L192">XLOOKUP($E192,'Player Database'!$B$2:$B252,'Player Database'!$W$2:$W252)</f>
        <v>#N/A</v>
      </c>
      <c r="M192" s="48" t="str">
        <f t="shared" si="1"/>
        <v>0 - 0</v>
      </c>
      <c r="N192" s="50" t="str">
        <f t="array" ref="N192">IF(XLOOKUP($E192,'Player Database'!$B$2:$B252,'Player Database'!$AA$2:$AA252)="",XLOOKUP($E192,'Player Database'!$B$2:$B252,'Player Database'!$G$2:$G252),XLOOKUP($E192,'Player Database'!$B$2:$B252,'Player Database'!$AA$2:$AA252))</f>
        <v>#N/A</v>
      </c>
      <c r="O192" s="51">
        <f>COUNTIFs(Matches!$B:$B,E192,Matches!$A:$A,"&gt;"&amp;Q192,Matches!$A:$A,"&lt;"&amp;R192)</f>
        <v>0</v>
      </c>
      <c r="P192" s="51">
        <f>COUNTIFs(Matches!$C:$C,E192,Matches!$A:$A,"&gt;"&amp;Q192,Matches!$A:$A,"&lt;"&amp;R192)</f>
        <v>0</v>
      </c>
      <c r="Q192" s="52">
        <f>VLOOKUP($C$2,Quotas!$A$7:$E$14,2,FALSE)</f>
        <v>46171.70833</v>
      </c>
      <c r="R192" s="52">
        <f>VLOOKUP($C$2,Quotas!$A$7:$E$14,3,FALSE)</f>
        <v>46178.70833</v>
      </c>
    </row>
    <row r="193">
      <c r="A193" s="82" t="str">
        <f t="array" ref="A193">XLOOKUP($E193,'Player Database'!$B$2:$B252,'Player Database'!$C$2:$C252)</f>
        <v>#N/A</v>
      </c>
      <c r="B193" s="82" t="str">
        <f t="array" ref="B193">XLOOKUP($E193,'Player Database'!$B$2:$B252,'Player Database'!$E$2:$E252)</f>
        <v>#N/A</v>
      </c>
      <c r="C193" s="82" t="str">
        <f t="array" ref="C193">XLOOKUP($E193,'Player Database'!$B$2:$B252,'Player Database'!$F$2:$F252)</f>
        <v>#N/A</v>
      </c>
      <c r="D193" s="81">
        <f>IFERROR(__xludf.DUMMYFUNCTION("""COMPUTED_VALUE"""),1.0)</f>
        <v>1</v>
      </c>
      <c r="E193" s="41"/>
      <c r="F193" s="42" t="str">
        <f t="array" ref="F193">XLOOKUP($E193,'Player Database'!$B$2:$B252,'Player Database'!$K$2:$K252)</f>
        <v>#N/A</v>
      </c>
      <c r="G193" s="42" t="str">
        <f t="array" ref="G193">XLOOKUP($E193,'Player Database'!$B$2:$B252,'Player Database'!$AE$2:$AE252)</f>
        <v>#N/A</v>
      </c>
      <c r="H193" s="42" t="str">
        <f t="array" ref="H193">XLOOKUP($E193,'Player Database'!$B$2:$B252,'Player Database'!$H$2:$H252)</f>
        <v>#N/A</v>
      </c>
      <c r="I193" s="42" t="str">
        <f t="array" ref="I193">XLOOKUP($E193,'Player Database'!$B$2:$B252,'Player Database'!$O$2:$O252)</f>
        <v>#N/A</v>
      </c>
      <c r="J193" s="42" t="str">
        <f t="array" ref="J193">XLOOKUP($E193,'Player Database'!$B$2:$B252,'Player Database'!$P$2:$P252)</f>
        <v>#N/A</v>
      </c>
      <c r="K193" s="44" t="str">
        <f t="array" ref="K193">XLOOKUP($E193,'Player Database'!$B$2:$B252,'Player Database'!$U$2:$U252)</f>
        <v>#N/A</v>
      </c>
      <c r="L193" s="47" t="str">
        <f t="array" ref="L193">XLOOKUP($E193,'Player Database'!$B$2:$B252,'Player Database'!$W$2:$W252)</f>
        <v>#N/A</v>
      </c>
      <c r="M193" s="48" t="str">
        <f t="shared" si="1"/>
        <v>0 - 0</v>
      </c>
      <c r="N193" s="50" t="str">
        <f t="array" ref="N193">IF(XLOOKUP($E193,'Player Database'!$B$2:$B252,'Player Database'!$AA$2:$AA252)="",XLOOKUP($E193,'Player Database'!$B$2:$B252,'Player Database'!$G$2:$G252),XLOOKUP($E193,'Player Database'!$B$2:$B252,'Player Database'!$AA$2:$AA252))</f>
        <v>#N/A</v>
      </c>
      <c r="O193" s="51">
        <f>COUNTIFs(Matches!$B:$B,E193,Matches!$A:$A,"&gt;"&amp;Q193,Matches!$A:$A,"&lt;"&amp;R193)</f>
        <v>0</v>
      </c>
      <c r="P193" s="51">
        <f>COUNTIFs(Matches!$C:$C,E193,Matches!$A:$A,"&gt;"&amp;Q193,Matches!$A:$A,"&lt;"&amp;R193)</f>
        <v>0</v>
      </c>
      <c r="Q193" s="52">
        <f>VLOOKUP($C$2,Quotas!$A$7:$E$14,2,FALSE)</f>
        <v>46171.70833</v>
      </c>
      <c r="R193" s="52">
        <f>VLOOKUP($C$2,Quotas!$A$7:$E$14,3,FALSE)</f>
        <v>46178.70833</v>
      </c>
    </row>
    <row r="194">
      <c r="A194" s="82" t="str">
        <f t="array" ref="A194">XLOOKUP($E194,'Player Database'!$B$2:$B252,'Player Database'!$C$2:$C252)</f>
        <v>#N/A</v>
      </c>
      <c r="B194" s="82" t="str">
        <f t="array" ref="B194">XLOOKUP($E194,'Player Database'!$B$2:$B252,'Player Database'!$E$2:$E252)</f>
        <v>#N/A</v>
      </c>
      <c r="C194" s="82" t="str">
        <f t="array" ref="C194">XLOOKUP($E194,'Player Database'!$B$2:$B252,'Player Database'!$F$2:$F252)</f>
        <v>#N/A</v>
      </c>
      <c r="D194" s="81">
        <f>IFERROR(__xludf.DUMMYFUNCTION("""COMPUTED_VALUE"""),1.0)</f>
        <v>1</v>
      </c>
      <c r="E194" s="41"/>
      <c r="F194" s="42" t="str">
        <f t="array" ref="F194">XLOOKUP($E194,'Player Database'!$B$2:$B252,'Player Database'!$K$2:$K252)</f>
        <v>#N/A</v>
      </c>
      <c r="G194" s="42" t="str">
        <f t="array" ref="G194">XLOOKUP($E194,'Player Database'!$B$2:$B252,'Player Database'!$AE$2:$AE252)</f>
        <v>#N/A</v>
      </c>
      <c r="H194" s="42" t="str">
        <f t="array" ref="H194">XLOOKUP($E194,'Player Database'!$B$2:$B252,'Player Database'!$H$2:$H252)</f>
        <v>#N/A</v>
      </c>
      <c r="I194" s="42" t="str">
        <f t="array" ref="I194">XLOOKUP($E194,'Player Database'!$B$2:$B252,'Player Database'!$O$2:$O252)</f>
        <v>#N/A</v>
      </c>
      <c r="J194" s="42" t="str">
        <f t="array" ref="J194">XLOOKUP($E194,'Player Database'!$B$2:$B252,'Player Database'!$P$2:$P252)</f>
        <v>#N/A</v>
      </c>
      <c r="K194" s="44" t="str">
        <f t="array" ref="K194">XLOOKUP($E194,'Player Database'!$B$2:$B252,'Player Database'!$U$2:$U252)</f>
        <v>#N/A</v>
      </c>
      <c r="L194" s="47" t="str">
        <f t="array" ref="L194">XLOOKUP($E194,'Player Database'!$B$2:$B252,'Player Database'!$W$2:$W252)</f>
        <v>#N/A</v>
      </c>
      <c r="M194" s="48" t="str">
        <f t="shared" si="1"/>
        <v>0 - 0</v>
      </c>
      <c r="N194" s="50" t="str">
        <f t="array" ref="N194">IF(XLOOKUP($E194,'Player Database'!$B$2:$B252,'Player Database'!$AA$2:$AA252)="",XLOOKUP($E194,'Player Database'!$B$2:$B252,'Player Database'!$G$2:$G252),XLOOKUP($E194,'Player Database'!$B$2:$B252,'Player Database'!$AA$2:$AA252))</f>
        <v>#N/A</v>
      </c>
      <c r="O194" s="51">
        <f>COUNTIFs(Matches!$B:$B,E194,Matches!$A:$A,"&gt;"&amp;Q194,Matches!$A:$A,"&lt;"&amp;R194)</f>
        <v>0</v>
      </c>
      <c r="P194" s="51">
        <f>COUNTIFs(Matches!$C:$C,E194,Matches!$A:$A,"&gt;"&amp;Q194,Matches!$A:$A,"&lt;"&amp;R194)</f>
        <v>0</v>
      </c>
      <c r="Q194" s="52">
        <f>VLOOKUP($C$2,Quotas!$A$7:$E$14,2,FALSE)</f>
        <v>46171.70833</v>
      </c>
      <c r="R194" s="52">
        <f>VLOOKUP($C$2,Quotas!$A$7:$E$14,3,FALSE)</f>
        <v>46178.70833</v>
      </c>
    </row>
    <row r="195">
      <c r="A195" s="82" t="str">
        <f t="array" ref="A195">XLOOKUP($E195,'Player Database'!$B$2:$B252,'Player Database'!$C$2:$C252)</f>
        <v>#N/A</v>
      </c>
      <c r="B195" s="82" t="str">
        <f t="array" ref="B195">XLOOKUP($E195,'Player Database'!$B$2:$B252,'Player Database'!$E$2:$E252)</f>
        <v>#N/A</v>
      </c>
      <c r="C195" s="82" t="str">
        <f t="array" ref="C195">XLOOKUP($E195,'Player Database'!$B$2:$B252,'Player Database'!$F$2:$F252)</f>
        <v>#N/A</v>
      </c>
      <c r="D195" s="81">
        <f>IFERROR(__xludf.DUMMYFUNCTION("""COMPUTED_VALUE"""),1.0)</f>
        <v>1</v>
      </c>
      <c r="E195" s="41"/>
      <c r="F195" s="42" t="str">
        <f t="array" ref="F195">XLOOKUP($E195,'Player Database'!$B$2:$B252,'Player Database'!$K$2:$K252)</f>
        <v>#N/A</v>
      </c>
      <c r="G195" s="42" t="str">
        <f t="array" ref="G195">XLOOKUP($E195,'Player Database'!$B$2:$B252,'Player Database'!$AE$2:$AE252)</f>
        <v>#N/A</v>
      </c>
      <c r="H195" s="42" t="str">
        <f t="array" ref="H195">XLOOKUP($E195,'Player Database'!$B$2:$B252,'Player Database'!$H$2:$H252)</f>
        <v>#N/A</v>
      </c>
      <c r="I195" s="42" t="str">
        <f t="array" ref="I195">XLOOKUP($E195,'Player Database'!$B$2:$B252,'Player Database'!$O$2:$O252)</f>
        <v>#N/A</v>
      </c>
      <c r="J195" s="42" t="str">
        <f t="array" ref="J195">XLOOKUP($E195,'Player Database'!$B$2:$B252,'Player Database'!$P$2:$P252)</f>
        <v>#N/A</v>
      </c>
      <c r="K195" s="44" t="str">
        <f t="array" ref="K195">XLOOKUP($E195,'Player Database'!$B$2:$B252,'Player Database'!$U$2:$U252)</f>
        <v>#N/A</v>
      </c>
      <c r="L195" s="47" t="str">
        <f t="array" ref="L195">XLOOKUP($E195,'Player Database'!$B$2:$B252,'Player Database'!$W$2:$W252)</f>
        <v>#N/A</v>
      </c>
      <c r="M195" s="48" t="str">
        <f t="shared" si="1"/>
        <v>0 - 0</v>
      </c>
      <c r="N195" s="50" t="str">
        <f t="array" ref="N195">IF(XLOOKUP($E195,'Player Database'!$B$2:$B252,'Player Database'!$AA$2:$AA252)="",XLOOKUP($E195,'Player Database'!$B$2:$B252,'Player Database'!$G$2:$G252),XLOOKUP($E195,'Player Database'!$B$2:$B252,'Player Database'!$AA$2:$AA252))</f>
        <v>#N/A</v>
      </c>
      <c r="O195" s="51">
        <f>COUNTIFs(Matches!$B:$B,E195,Matches!$A:$A,"&gt;"&amp;Q195,Matches!$A:$A,"&lt;"&amp;R195)</f>
        <v>0</v>
      </c>
      <c r="P195" s="51">
        <f>COUNTIFs(Matches!$C:$C,E195,Matches!$A:$A,"&gt;"&amp;Q195,Matches!$A:$A,"&lt;"&amp;R195)</f>
        <v>0</v>
      </c>
      <c r="Q195" s="52">
        <f>VLOOKUP($C$2,Quotas!$A$7:$E$14,2,FALSE)</f>
        <v>46171.70833</v>
      </c>
      <c r="R195" s="52">
        <f>VLOOKUP($C$2,Quotas!$A$7:$E$14,3,FALSE)</f>
        <v>46178.70833</v>
      </c>
    </row>
    <row r="196">
      <c r="A196" s="82" t="str">
        <f t="array" ref="A196">XLOOKUP($E196,'Player Database'!$B$2:$B252,'Player Database'!$C$2:$C252)</f>
        <v>#N/A</v>
      </c>
      <c r="B196" s="82" t="str">
        <f t="array" ref="B196">XLOOKUP($E196,'Player Database'!$B$2:$B252,'Player Database'!$E$2:$E252)</f>
        <v>#N/A</v>
      </c>
      <c r="C196" s="82" t="str">
        <f t="array" ref="C196">XLOOKUP($E196,'Player Database'!$B$2:$B252,'Player Database'!$F$2:$F252)</f>
        <v>#N/A</v>
      </c>
      <c r="D196" s="81">
        <f>IFERROR(__xludf.DUMMYFUNCTION("""COMPUTED_VALUE"""),1.0)</f>
        <v>1</v>
      </c>
      <c r="E196" s="41"/>
      <c r="F196" s="42" t="str">
        <f t="array" ref="F196">XLOOKUP($E196,'Player Database'!$B$2:$B252,'Player Database'!$K$2:$K252)</f>
        <v>#N/A</v>
      </c>
      <c r="G196" s="42" t="str">
        <f t="array" ref="G196">XLOOKUP($E196,'Player Database'!$B$2:$B252,'Player Database'!$AE$2:$AE252)</f>
        <v>#N/A</v>
      </c>
      <c r="H196" s="42" t="str">
        <f t="array" ref="H196">XLOOKUP($E196,'Player Database'!$B$2:$B252,'Player Database'!$H$2:$H252)</f>
        <v>#N/A</v>
      </c>
      <c r="I196" s="42" t="str">
        <f t="array" ref="I196">XLOOKUP($E196,'Player Database'!$B$2:$B252,'Player Database'!$O$2:$O252)</f>
        <v>#N/A</v>
      </c>
      <c r="J196" s="42" t="str">
        <f t="array" ref="J196">XLOOKUP($E196,'Player Database'!$B$2:$B252,'Player Database'!$P$2:$P252)</f>
        <v>#N/A</v>
      </c>
      <c r="K196" s="44" t="str">
        <f t="array" ref="K196">XLOOKUP($E196,'Player Database'!$B$2:$B252,'Player Database'!$U$2:$U252)</f>
        <v>#N/A</v>
      </c>
      <c r="L196" s="47" t="str">
        <f t="array" ref="L196">XLOOKUP($E196,'Player Database'!$B$2:$B252,'Player Database'!$W$2:$W252)</f>
        <v>#N/A</v>
      </c>
      <c r="M196" s="48" t="str">
        <f t="shared" si="1"/>
        <v>0 - 0</v>
      </c>
      <c r="N196" s="50" t="str">
        <f t="array" ref="N196">IF(XLOOKUP($E196,'Player Database'!$B$2:$B252,'Player Database'!$AA$2:$AA252)="",XLOOKUP($E196,'Player Database'!$B$2:$B252,'Player Database'!$G$2:$G252),XLOOKUP($E196,'Player Database'!$B$2:$B252,'Player Database'!$AA$2:$AA252))</f>
        <v>#N/A</v>
      </c>
      <c r="O196" s="51">
        <f>COUNTIFs(Matches!$B:$B,E196,Matches!$A:$A,"&gt;"&amp;Q196,Matches!$A:$A,"&lt;"&amp;R196)</f>
        <v>0</v>
      </c>
      <c r="P196" s="51">
        <f>COUNTIFs(Matches!$C:$C,E196,Matches!$A:$A,"&gt;"&amp;Q196,Matches!$A:$A,"&lt;"&amp;R196)</f>
        <v>0</v>
      </c>
      <c r="Q196" s="52">
        <f>VLOOKUP($C$2,Quotas!$A$7:$E$14,2,FALSE)</f>
        <v>46171.70833</v>
      </c>
      <c r="R196" s="52">
        <f>VLOOKUP($C$2,Quotas!$A$7:$E$14,3,FALSE)</f>
        <v>46178.70833</v>
      </c>
    </row>
    <row r="197">
      <c r="A197" s="82" t="str">
        <f t="array" ref="A197">XLOOKUP($E197,'Player Database'!$B$2:$B252,'Player Database'!$C$2:$C252)</f>
        <v>#N/A</v>
      </c>
      <c r="B197" s="82" t="str">
        <f t="array" ref="B197">XLOOKUP($E197,'Player Database'!$B$2:$B252,'Player Database'!$E$2:$E252)</f>
        <v>#N/A</v>
      </c>
      <c r="C197" s="82" t="str">
        <f t="array" ref="C197">XLOOKUP($E197,'Player Database'!$B$2:$B252,'Player Database'!$F$2:$F252)</f>
        <v>#N/A</v>
      </c>
      <c r="D197" s="81">
        <f>IFERROR(__xludf.DUMMYFUNCTION("""COMPUTED_VALUE"""),1.0)</f>
        <v>1</v>
      </c>
      <c r="E197" s="41"/>
      <c r="F197" s="42" t="str">
        <f t="array" ref="F197">XLOOKUP($E197,'Player Database'!$B$2:$B252,'Player Database'!$K$2:$K252)</f>
        <v>#N/A</v>
      </c>
      <c r="G197" s="42" t="str">
        <f t="array" ref="G197">XLOOKUP($E197,'Player Database'!$B$2:$B252,'Player Database'!$AE$2:$AE252)</f>
        <v>#N/A</v>
      </c>
      <c r="H197" s="42" t="str">
        <f t="array" ref="H197">XLOOKUP($E197,'Player Database'!$B$2:$B252,'Player Database'!$H$2:$H252)</f>
        <v>#N/A</v>
      </c>
      <c r="I197" s="42" t="str">
        <f t="array" ref="I197">XLOOKUP($E197,'Player Database'!$B$2:$B252,'Player Database'!$O$2:$O252)</f>
        <v>#N/A</v>
      </c>
      <c r="J197" s="42" t="str">
        <f t="array" ref="J197">XLOOKUP($E197,'Player Database'!$B$2:$B252,'Player Database'!$P$2:$P252)</f>
        <v>#N/A</v>
      </c>
      <c r="K197" s="44" t="str">
        <f t="array" ref="K197">XLOOKUP($E197,'Player Database'!$B$2:$B252,'Player Database'!$U$2:$U252)</f>
        <v>#N/A</v>
      </c>
      <c r="L197" s="47" t="str">
        <f t="array" ref="L197">XLOOKUP($E197,'Player Database'!$B$2:$B252,'Player Database'!$W$2:$W252)</f>
        <v>#N/A</v>
      </c>
      <c r="M197" s="48" t="str">
        <f t="shared" si="1"/>
        <v>0 - 0</v>
      </c>
      <c r="N197" s="50" t="str">
        <f t="array" ref="N197">IF(XLOOKUP($E197,'Player Database'!$B$2:$B252,'Player Database'!$AA$2:$AA252)="",XLOOKUP($E197,'Player Database'!$B$2:$B252,'Player Database'!$G$2:$G252),XLOOKUP($E197,'Player Database'!$B$2:$B252,'Player Database'!$AA$2:$AA252))</f>
        <v>#N/A</v>
      </c>
      <c r="O197" s="51">
        <f>COUNTIFs(Matches!$B:$B,E197,Matches!$A:$A,"&gt;"&amp;Q197,Matches!$A:$A,"&lt;"&amp;R197)</f>
        <v>0</v>
      </c>
      <c r="P197" s="51">
        <f>COUNTIFs(Matches!$C:$C,E197,Matches!$A:$A,"&gt;"&amp;Q197,Matches!$A:$A,"&lt;"&amp;R197)</f>
        <v>0</v>
      </c>
      <c r="Q197" s="52">
        <f>VLOOKUP($C$2,Quotas!$A$7:$E$14,2,FALSE)</f>
        <v>46171.70833</v>
      </c>
      <c r="R197" s="52">
        <f>VLOOKUP($C$2,Quotas!$A$7:$E$14,3,FALSE)</f>
        <v>46178.70833</v>
      </c>
    </row>
    <row r="198">
      <c r="A198" s="82" t="str">
        <f t="array" ref="A198">XLOOKUP($E198,'Player Database'!$B$2:$B252,'Player Database'!$C$2:$C252)</f>
        <v>#N/A</v>
      </c>
      <c r="B198" s="82" t="str">
        <f t="array" ref="B198">XLOOKUP($E198,'Player Database'!$B$2:$B252,'Player Database'!$E$2:$E252)</f>
        <v>#N/A</v>
      </c>
      <c r="C198" s="82" t="str">
        <f t="array" ref="C198">XLOOKUP($E198,'Player Database'!$B$2:$B252,'Player Database'!$F$2:$F252)</f>
        <v>#N/A</v>
      </c>
      <c r="D198" s="81">
        <f>IFERROR(__xludf.DUMMYFUNCTION("""COMPUTED_VALUE"""),1.0)</f>
        <v>1</v>
      </c>
      <c r="E198" s="41"/>
      <c r="F198" s="42" t="str">
        <f t="array" ref="F198">XLOOKUP($E198,'Player Database'!$B$2:$B252,'Player Database'!$K$2:$K252)</f>
        <v>#N/A</v>
      </c>
      <c r="G198" s="42" t="str">
        <f t="array" ref="G198">XLOOKUP($E198,'Player Database'!$B$2:$B252,'Player Database'!$AE$2:$AE252)</f>
        <v>#N/A</v>
      </c>
      <c r="H198" s="42" t="str">
        <f t="array" ref="H198">XLOOKUP($E198,'Player Database'!$B$2:$B252,'Player Database'!$H$2:$H252)</f>
        <v>#N/A</v>
      </c>
      <c r="I198" s="42" t="str">
        <f t="array" ref="I198">XLOOKUP($E198,'Player Database'!$B$2:$B252,'Player Database'!$O$2:$O252)</f>
        <v>#N/A</v>
      </c>
      <c r="J198" s="42" t="str">
        <f t="array" ref="J198">XLOOKUP($E198,'Player Database'!$B$2:$B252,'Player Database'!$P$2:$P252)</f>
        <v>#N/A</v>
      </c>
      <c r="K198" s="44" t="str">
        <f t="array" ref="K198">XLOOKUP($E198,'Player Database'!$B$2:$B252,'Player Database'!$U$2:$U252)</f>
        <v>#N/A</v>
      </c>
      <c r="L198" s="47" t="str">
        <f t="array" ref="L198">XLOOKUP($E198,'Player Database'!$B$2:$B252,'Player Database'!$W$2:$W252)</f>
        <v>#N/A</v>
      </c>
      <c r="M198" s="48" t="str">
        <f t="shared" si="1"/>
        <v>0 - 0</v>
      </c>
      <c r="N198" s="50" t="str">
        <f t="array" ref="N198">IF(XLOOKUP($E198,'Player Database'!$B$2:$B252,'Player Database'!$AA$2:$AA252)="",XLOOKUP($E198,'Player Database'!$B$2:$B252,'Player Database'!$G$2:$G252),XLOOKUP($E198,'Player Database'!$B$2:$B252,'Player Database'!$AA$2:$AA252))</f>
        <v>#N/A</v>
      </c>
      <c r="O198" s="51">
        <f>COUNTIFs(Matches!$B:$B,E198,Matches!$A:$A,"&gt;"&amp;Q198,Matches!$A:$A,"&lt;"&amp;R198)</f>
        <v>0</v>
      </c>
      <c r="P198" s="51">
        <f>COUNTIFs(Matches!$C:$C,E198,Matches!$A:$A,"&gt;"&amp;Q198,Matches!$A:$A,"&lt;"&amp;R198)</f>
        <v>0</v>
      </c>
      <c r="Q198" s="52">
        <f>VLOOKUP($C$2,Quotas!$A$7:$E$14,2,FALSE)</f>
        <v>46171.70833</v>
      </c>
      <c r="R198" s="52">
        <f>VLOOKUP($C$2,Quotas!$A$7:$E$14,3,FALSE)</f>
        <v>46178.70833</v>
      </c>
    </row>
    <row r="199">
      <c r="A199" s="82" t="str">
        <f t="array" ref="A199">XLOOKUP($E199,'Player Database'!$B$2:$B252,'Player Database'!$C$2:$C252)</f>
        <v>#N/A</v>
      </c>
      <c r="B199" s="82" t="str">
        <f t="array" ref="B199">XLOOKUP($E199,'Player Database'!$B$2:$B252,'Player Database'!$E$2:$E252)</f>
        <v>#N/A</v>
      </c>
      <c r="C199" s="82" t="str">
        <f t="array" ref="C199">XLOOKUP($E199,'Player Database'!$B$2:$B252,'Player Database'!$F$2:$F252)</f>
        <v>#N/A</v>
      </c>
      <c r="D199" s="81">
        <f>IFERROR(__xludf.DUMMYFUNCTION("""COMPUTED_VALUE"""),1.0)</f>
        <v>1</v>
      </c>
      <c r="E199" s="41"/>
      <c r="F199" s="42" t="str">
        <f t="array" ref="F199">XLOOKUP($E199,'Player Database'!$B$2:$B252,'Player Database'!$K$2:$K252)</f>
        <v>#N/A</v>
      </c>
      <c r="G199" s="42" t="str">
        <f t="array" ref="G199">XLOOKUP($E199,'Player Database'!$B$2:$B252,'Player Database'!$AE$2:$AE252)</f>
        <v>#N/A</v>
      </c>
      <c r="H199" s="42" t="str">
        <f t="array" ref="H199">XLOOKUP($E199,'Player Database'!$B$2:$B252,'Player Database'!$H$2:$H252)</f>
        <v>#N/A</v>
      </c>
      <c r="I199" s="42" t="str">
        <f t="array" ref="I199">XLOOKUP($E199,'Player Database'!$B$2:$B252,'Player Database'!$O$2:$O252)</f>
        <v>#N/A</v>
      </c>
      <c r="J199" s="42" t="str">
        <f t="array" ref="J199">XLOOKUP($E199,'Player Database'!$B$2:$B252,'Player Database'!$P$2:$P252)</f>
        <v>#N/A</v>
      </c>
      <c r="K199" s="44" t="str">
        <f t="array" ref="K199">XLOOKUP($E199,'Player Database'!$B$2:$B252,'Player Database'!$U$2:$U252)</f>
        <v>#N/A</v>
      </c>
      <c r="L199" s="47" t="str">
        <f t="array" ref="L199">XLOOKUP($E199,'Player Database'!$B$2:$B252,'Player Database'!$W$2:$W252)</f>
        <v>#N/A</v>
      </c>
      <c r="M199" s="48" t="str">
        <f t="shared" si="1"/>
        <v>0 - 0</v>
      </c>
      <c r="N199" s="50" t="str">
        <f t="array" ref="N199">IF(XLOOKUP($E199,'Player Database'!$B$2:$B252,'Player Database'!$AA$2:$AA252)="",XLOOKUP($E199,'Player Database'!$B$2:$B252,'Player Database'!$G$2:$G252),XLOOKUP($E199,'Player Database'!$B$2:$B252,'Player Database'!$AA$2:$AA252))</f>
        <v>#N/A</v>
      </c>
      <c r="O199" s="51">
        <f>COUNTIFs(Matches!$B:$B,E199,Matches!$A:$A,"&gt;"&amp;Q199,Matches!$A:$A,"&lt;"&amp;R199)</f>
        <v>0</v>
      </c>
      <c r="P199" s="51">
        <f>COUNTIFs(Matches!$C:$C,E199,Matches!$A:$A,"&gt;"&amp;Q199,Matches!$A:$A,"&lt;"&amp;R199)</f>
        <v>0</v>
      </c>
      <c r="Q199" s="52">
        <f>VLOOKUP($C$2,Quotas!$A$7:$E$14,2,FALSE)</f>
        <v>46171.70833</v>
      </c>
      <c r="R199" s="52">
        <f>VLOOKUP($C$2,Quotas!$A$7:$E$14,3,FALSE)</f>
        <v>46178.70833</v>
      </c>
    </row>
    <row r="200">
      <c r="A200" s="82" t="str">
        <f t="array" ref="A200">XLOOKUP($E200,'Player Database'!$B$2:$B252,'Player Database'!$C$2:$C252)</f>
        <v>#N/A</v>
      </c>
      <c r="B200" s="82" t="str">
        <f t="array" ref="B200">XLOOKUP($E200,'Player Database'!$B$2:$B252,'Player Database'!$E$2:$E252)</f>
        <v>#N/A</v>
      </c>
      <c r="C200" s="82" t="str">
        <f t="array" ref="C200">XLOOKUP($E200,'Player Database'!$B$2:$B252,'Player Database'!$F$2:$F252)</f>
        <v>#N/A</v>
      </c>
      <c r="D200" s="81">
        <f>IFERROR(__xludf.DUMMYFUNCTION("""COMPUTED_VALUE"""),1.0)</f>
        <v>1</v>
      </c>
      <c r="E200" s="41"/>
      <c r="F200" s="42" t="str">
        <f t="array" ref="F200">XLOOKUP($E200,'Player Database'!$B$2:$B252,'Player Database'!$K$2:$K252)</f>
        <v>#N/A</v>
      </c>
      <c r="G200" s="42" t="str">
        <f t="array" ref="G200">XLOOKUP($E200,'Player Database'!$B$2:$B252,'Player Database'!$AE$2:$AE252)</f>
        <v>#N/A</v>
      </c>
      <c r="H200" s="42" t="str">
        <f t="array" ref="H200">XLOOKUP($E200,'Player Database'!$B$2:$B252,'Player Database'!$H$2:$H252)</f>
        <v>#N/A</v>
      </c>
      <c r="I200" s="42" t="str">
        <f t="array" ref="I200">XLOOKUP($E200,'Player Database'!$B$2:$B252,'Player Database'!$O$2:$O252)</f>
        <v>#N/A</v>
      </c>
      <c r="J200" s="42" t="str">
        <f t="array" ref="J200">XLOOKUP($E200,'Player Database'!$B$2:$B252,'Player Database'!$P$2:$P252)</f>
        <v>#N/A</v>
      </c>
      <c r="K200" s="44" t="str">
        <f t="array" ref="K200">XLOOKUP($E200,'Player Database'!$B$2:$B252,'Player Database'!$U$2:$U252)</f>
        <v>#N/A</v>
      </c>
      <c r="L200" s="47" t="str">
        <f t="array" ref="L200">XLOOKUP($E200,'Player Database'!$B$2:$B252,'Player Database'!$W$2:$W252)</f>
        <v>#N/A</v>
      </c>
      <c r="M200" s="48" t="str">
        <f t="shared" si="1"/>
        <v>0 - 0</v>
      </c>
      <c r="N200" s="50" t="str">
        <f t="array" ref="N200">IF(XLOOKUP($E200,'Player Database'!$B$2:$B252,'Player Database'!$AA$2:$AA252)="",XLOOKUP($E200,'Player Database'!$B$2:$B252,'Player Database'!$G$2:$G252),XLOOKUP($E200,'Player Database'!$B$2:$B252,'Player Database'!$AA$2:$AA252))</f>
        <v>#N/A</v>
      </c>
      <c r="O200" s="51">
        <f>COUNTIFs(Matches!$B:$B,E200,Matches!$A:$A,"&gt;"&amp;Q200,Matches!$A:$A,"&lt;"&amp;R200)</f>
        <v>0</v>
      </c>
      <c r="P200" s="51">
        <f>COUNTIFs(Matches!$C:$C,E200,Matches!$A:$A,"&gt;"&amp;Q200,Matches!$A:$A,"&lt;"&amp;R200)</f>
        <v>0</v>
      </c>
      <c r="Q200" s="52">
        <f>VLOOKUP($C$2,Quotas!$A$7:$E$14,2,FALSE)</f>
        <v>46171.70833</v>
      </c>
      <c r="R200" s="52">
        <f>VLOOKUP($C$2,Quotas!$A$7:$E$14,3,FALSE)</f>
        <v>46178.70833</v>
      </c>
    </row>
    <row r="201">
      <c r="A201" s="82" t="str">
        <f t="array" ref="A201">XLOOKUP($E201,'Player Database'!$B$2:$B252,'Player Database'!$C$2:$C252)</f>
        <v>#N/A</v>
      </c>
      <c r="B201" s="82" t="str">
        <f t="array" ref="B201">XLOOKUP($E201,'Player Database'!$B$2:$B252,'Player Database'!$E$2:$E252)</f>
        <v>#N/A</v>
      </c>
      <c r="C201" s="82" t="str">
        <f t="array" ref="C201">XLOOKUP($E201,'Player Database'!$B$2:$B252,'Player Database'!$F$2:$F252)</f>
        <v>#N/A</v>
      </c>
      <c r="D201" s="81">
        <f>IFERROR(__xludf.DUMMYFUNCTION("""COMPUTED_VALUE"""),1.0)</f>
        <v>1</v>
      </c>
      <c r="E201" s="41"/>
      <c r="F201" s="42" t="str">
        <f t="array" ref="F201">XLOOKUP($E201,'Player Database'!$B$2:$B252,'Player Database'!$K$2:$K252)</f>
        <v>#N/A</v>
      </c>
      <c r="G201" s="42" t="str">
        <f t="array" ref="G201">XLOOKUP($E201,'Player Database'!$B$2:$B252,'Player Database'!$AE$2:$AE252)</f>
        <v>#N/A</v>
      </c>
      <c r="H201" s="42" t="str">
        <f t="array" ref="H201">XLOOKUP($E201,'Player Database'!$B$2:$B252,'Player Database'!$H$2:$H252)</f>
        <v>#N/A</v>
      </c>
      <c r="I201" s="42" t="str">
        <f t="array" ref="I201">XLOOKUP($E201,'Player Database'!$B$2:$B252,'Player Database'!$O$2:$O252)</f>
        <v>#N/A</v>
      </c>
      <c r="J201" s="42" t="str">
        <f t="array" ref="J201">XLOOKUP($E201,'Player Database'!$B$2:$B252,'Player Database'!$P$2:$P252)</f>
        <v>#N/A</v>
      </c>
      <c r="K201" s="44" t="str">
        <f t="array" ref="K201">XLOOKUP($E201,'Player Database'!$B$2:$B252,'Player Database'!$U$2:$U252)</f>
        <v>#N/A</v>
      </c>
      <c r="L201" s="47" t="str">
        <f t="array" ref="L201">XLOOKUP($E201,'Player Database'!$B$2:$B252,'Player Database'!$W$2:$W252)</f>
        <v>#N/A</v>
      </c>
      <c r="M201" s="48" t="str">
        <f t="shared" si="1"/>
        <v>0 - 0</v>
      </c>
      <c r="N201" s="50" t="str">
        <f t="array" ref="N201">IF(XLOOKUP($E201,'Player Database'!$B$2:$B252,'Player Database'!$AA$2:$AA252)="",XLOOKUP($E201,'Player Database'!$B$2:$B252,'Player Database'!$G$2:$G252),XLOOKUP($E201,'Player Database'!$B$2:$B252,'Player Database'!$AA$2:$AA252))</f>
        <v>#N/A</v>
      </c>
      <c r="O201" s="51">
        <f>COUNTIFs(Matches!$B:$B,E201,Matches!$A:$A,"&gt;"&amp;Q201,Matches!$A:$A,"&lt;"&amp;R201)</f>
        <v>0</v>
      </c>
      <c r="P201" s="51">
        <f>COUNTIFs(Matches!$C:$C,E201,Matches!$A:$A,"&gt;"&amp;Q201,Matches!$A:$A,"&lt;"&amp;R201)</f>
        <v>0</v>
      </c>
      <c r="Q201" s="52">
        <f>VLOOKUP($C$2,Quotas!$A$7:$E$14,2,FALSE)</f>
        <v>46171.70833</v>
      </c>
      <c r="R201" s="52">
        <f>VLOOKUP($C$2,Quotas!$A$7:$E$14,3,FALSE)</f>
        <v>46178.70833</v>
      </c>
    </row>
    <row r="202">
      <c r="A202" s="82" t="str">
        <f t="array" ref="A202">XLOOKUP($E202,'Player Database'!$B$2:$B252,'Player Database'!$C$2:$C252)</f>
        <v>#N/A</v>
      </c>
      <c r="B202" s="82" t="str">
        <f t="array" ref="B202">XLOOKUP($E202,'Player Database'!$B$2:$B252,'Player Database'!$E$2:$E252)</f>
        <v>#N/A</v>
      </c>
      <c r="C202" s="82" t="str">
        <f t="array" ref="C202">XLOOKUP($E202,'Player Database'!$B$2:$B252,'Player Database'!$F$2:$F252)</f>
        <v>#N/A</v>
      </c>
      <c r="D202" s="81">
        <f>IFERROR(__xludf.DUMMYFUNCTION("""COMPUTED_VALUE"""),1.0)</f>
        <v>1</v>
      </c>
      <c r="E202" s="41"/>
      <c r="F202" s="42" t="str">
        <f t="array" ref="F202">XLOOKUP($E202,'Player Database'!$B$2:$B252,'Player Database'!$K$2:$K252)</f>
        <v>#N/A</v>
      </c>
      <c r="G202" s="42" t="str">
        <f t="array" ref="G202">XLOOKUP($E202,'Player Database'!$B$2:$B252,'Player Database'!$AE$2:$AE252)</f>
        <v>#N/A</v>
      </c>
      <c r="H202" s="42" t="str">
        <f t="array" ref="H202">XLOOKUP($E202,'Player Database'!$B$2:$B252,'Player Database'!$H$2:$H252)</f>
        <v>#N/A</v>
      </c>
      <c r="I202" s="42" t="str">
        <f t="array" ref="I202">XLOOKUP($E202,'Player Database'!$B$2:$B252,'Player Database'!$O$2:$O252)</f>
        <v>#N/A</v>
      </c>
      <c r="J202" s="42" t="str">
        <f t="array" ref="J202">XLOOKUP($E202,'Player Database'!$B$2:$B252,'Player Database'!$P$2:$P252)</f>
        <v>#N/A</v>
      </c>
      <c r="K202" s="44" t="str">
        <f t="array" ref="K202">XLOOKUP($E202,'Player Database'!$B$2:$B252,'Player Database'!$U$2:$U252)</f>
        <v>#N/A</v>
      </c>
      <c r="L202" s="47" t="str">
        <f t="array" ref="L202">XLOOKUP($E202,'Player Database'!$B$2:$B252,'Player Database'!$W$2:$W252)</f>
        <v>#N/A</v>
      </c>
      <c r="M202" s="48" t="str">
        <f t="shared" si="1"/>
        <v>0 - 0</v>
      </c>
      <c r="N202" s="50" t="str">
        <f t="array" ref="N202">IF(XLOOKUP($E202,'Player Database'!$B$2:$B252,'Player Database'!$AA$2:$AA252)="",XLOOKUP($E202,'Player Database'!$B$2:$B252,'Player Database'!$G$2:$G252),XLOOKUP($E202,'Player Database'!$B$2:$B252,'Player Database'!$AA$2:$AA252))</f>
        <v>#N/A</v>
      </c>
      <c r="O202" s="51">
        <f>COUNTIFs(Matches!$B:$B,E202,Matches!$A:$A,"&gt;"&amp;Q202,Matches!$A:$A,"&lt;"&amp;R202)</f>
        <v>0</v>
      </c>
      <c r="P202" s="51">
        <f>COUNTIFs(Matches!$C:$C,E202,Matches!$A:$A,"&gt;"&amp;Q202,Matches!$A:$A,"&lt;"&amp;R202)</f>
        <v>0</v>
      </c>
      <c r="Q202" s="52">
        <f>VLOOKUP($C$2,Quotas!$A$7:$E$14,2,FALSE)</f>
        <v>46171.70833</v>
      </c>
      <c r="R202" s="52">
        <f>VLOOKUP($C$2,Quotas!$A$7:$E$14,3,FALSE)</f>
        <v>46178.70833</v>
      </c>
    </row>
    <row r="203">
      <c r="A203" s="82" t="str">
        <f t="array" ref="A203">XLOOKUP($E203,'Player Database'!$B$2:$B252,'Player Database'!$C$2:$C252)</f>
        <v>#N/A</v>
      </c>
      <c r="B203" s="82" t="str">
        <f t="array" ref="B203">XLOOKUP($E203,'Player Database'!$B$2:$B252,'Player Database'!$E$2:$E252)</f>
        <v>#N/A</v>
      </c>
      <c r="C203" s="82" t="str">
        <f t="array" ref="C203">XLOOKUP($E203,'Player Database'!$B$2:$B252,'Player Database'!$F$2:$F252)</f>
        <v>#N/A</v>
      </c>
      <c r="D203" s="81">
        <f>IFERROR(__xludf.DUMMYFUNCTION("""COMPUTED_VALUE"""),1.0)</f>
        <v>1</v>
      </c>
      <c r="E203" s="41"/>
      <c r="F203" s="42" t="str">
        <f t="array" ref="F203">XLOOKUP($E203,'Player Database'!$B$2:$B252,'Player Database'!$K$2:$K252)</f>
        <v>#N/A</v>
      </c>
      <c r="G203" s="42" t="str">
        <f t="array" ref="G203">XLOOKUP($E203,'Player Database'!$B$2:$B252,'Player Database'!$AE$2:$AE252)</f>
        <v>#N/A</v>
      </c>
      <c r="H203" s="42" t="str">
        <f t="array" ref="H203">XLOOKUP($E203,'Player Database'!$B$2:$B252,'Player Database'!$H$2:$H252)</f>
        <v>#N/A</v>
      </c>
      <c r="I203" s="42" t="str">
        <f t="array" ref="I203">XLOOKUP($E203,'Player Database'!$B$2:$B252,'Player Database'!$O$2:$O252)</f>
        <v>#N/A</v>
      </c>
      <c r="J203" s="42" t="str">
        <f t="array" ref="J203">XLOOKUP($E203,'Player Database'!$B$2:$B252,'Player Database'!$P$2:$P252)</f>
        <v>#N/A</v>
      </c>
      <c r="K203" s="44" t="str">
        <f t="array" ref="K203">XLOOKUP($E203,'Player Database'!$B$2:$B252,'Player Database'!$U$2:$U252)</f>
        <v>#N/A</v>
      </c>
      <c r="L203" s="47" t="str">
        <f t="array" ref="L203">XLOOKUP($E203,'Player Database'!$B$2:$B252,'Player Database'!$W$2:$W252)</f>
        <v>#N/A</v>
      </c>
      <c r="M203" s="48" t="str">
        <f t="shared" si="1"/>
        <v>0 - 0</v>
      </c>
      <c r="N203" s="50" t="str">
        <f t="array" ref="N203">IF(XLOOKUP($E203,'Player Database'!$B$2:$B252,'Player Database'!$AA$2:$AA252)="",XLOOKUP($E203,'Player Database'!$B$2:$B252,'Player Database'!$G$2:$G252),XLOOKUP($E203,'Player Database'!$B$2:$B252,'Player Database'!$AA$2:$AA252))</f>
        <v>#N/A</v>
      </c>
      <c r="O203" s="51">
        <f>COUNTIFs(Matches!$B:$B,E203,Matches!$A:$A,"&gt;"&amp;Q203,Matches!$A:$A,"&lt;"&amp;R203)</f>
        <v>0</v>
      </c>
      <c r="P203" s="51">
        <f>COUNTIFs(Matches!$C:$C,E203,Matches!$A:$A,"&gt;"&amp;Q203,Matches!$A:$A,"&lt;"&amp;R203)</f>
        <v>0</v>
      </c>
      <c r="Q203" s="52">
        <f>VLOOKUP($C$2,Quotas!$A$7:$E$14,2,FALSE)</f>
        <v>46171.70833</v>
      </c>
      <c r="R203" s="52">
        <f>VLOOKUP($C$2,Quotas!$A$7:$E$14,3,FALSE)</f>
        <v>46178.70833</v>
      </c>
    </row>
    <row r="204">
      <c r="A204" s="82" t="str">
        <f t="array" ref="A204">XLOOKUP($E204,'Player Database'!$B$2:$B252,'Player Database'!$C$2:$C252)</f>
        <v>#N/A</v>
      </c>
      <c r="B204" s="82" t="str">
        <f t="array" ref="B204">XLOOKUP($E204,'Player Database'!$B$2:$B252,'Player Database'!$E$2:$E252)</f>
        <v>#N/A</v>
      </c>
      <c r="C204" s="82" t="str">
        <f t="array" ref="C204">XLOOKUP($E204,'Player Database'!$B$2:$B252,'Player Database'!$F$2:$F252)</f>
        <v>#N/A</v>
      </c>
      <c r="D204" s="81">
        <f>IFERROR(__xludf.DUMMYFUNCTION("""COMPUTED_VALUE"""),1.0)</f>
        <v>1</v>
      </c>
      <c r="E204" s="41"/>
      <c r="F204" s="42" t="str">
        <f t="array" ref="F204">XLOOKUP($E204,'Player Database'!$B$2:$B252,'Player Database'!$K$2:$K252)</f>
        <v>#N/A</v>
      </c>
      <c r="G204" s="42" t="str">
        <f t="array" ref="G204">XLOOKUP($E204,'Player Database'!$B$2:$B252,'Player Database'!$AE$2:$AE252)</f>
        <v>#N/A</v>
      </c>
      <c r="H204" s="42" t="str">
        <f t="array" ref="H204">XLOOKUP($E204,'Player Database'!$B$2:$B252,'Player Database'!$H$2:$H252)</f>
        <v>#N/A</v>
      </c>
      <c r="I204" s="42" t="str">
        <f t="array" ref="I204">XLOOKUP($E204,'Player Database'!$B$2:$B252,'Player Database'!$O$2:$O252)</f>
        <v>#N/A</v>
      </c>
      <c r="J204" s="42" t="str">
        <f t="array" ref="J204">XLOOKUP($E204,'Player Database'!$B$2:$B252,'Player Database'!$P$2:$P252)</f>
        <v>#N/A</v>
      </c>
      <c r="K204" s="44" t="str">
        <f t="array" ref="K204">XLOOKUP($E204,'Player Database'!$B$2:$B252,'Player Database'!$U$2:$U252)</f>
        <v>#N/A</v>
      </c>
      <c r="L204" s="47" t="str">
        <f t="array" ref="L204">XLOOKUP($E204,'Player Database'!$B$2:$B252,'Player Database'!$W$2:$W252)</f>
        <v>#N/A</v>
      </c>
      <c r="M204" s="48" t="str">
        <f t="shared" si="1"/>
        <v>0 - 0</v>
      </c>
      <c r="N204" s="50" t="str">
        <f t="array" ref="N204">IF(XLOOKUP($E204,'Player Database'!$B$2:$B252,'Player Database'!$AA$2:$AA252)="",XLOOKUP($E204,'Player Database'!$B$2:$B252,'Player Database'!$G$2:$G252),XLOOKUP($E204,'Player Database'!$B$2:$B252,'Player Database'!$AA$2:$AA252))</f>
        <v>#N/A</v>
      </c>
      <c r="O204" s="51">
        <f>COUNTIFs(Matches!$B:$B,E204,Matches!$A:$A,"&gt;"&amp;Q204,Matches!$A:$A,"&lt;"&amp;R204)</f>
        <v>0</v>
      </c>
      <c r="P204" s="51">
        <f>COUNTIFs(Matches!$C:$C,E204,Matches!$A:$A,"&gt;"&amp;Q204,Matches!$A:$A,"&lt;"&amp;R204)</f>
        <v>0</v>
      </c>
      <c r="Q204" s="52">
        <f>VLOOKUP($C$2,Quotas!$A$7:$E$14,2,FALSE)</f>
        <v>46171.70833</v>
      </c>
      <c r="R204" s="52">
        <f>VLOOKUP($C$2,Quotas!$A$7:$E$14,3,FALSE)</f>
        <v>46178.70833</v>
      </c>
    </row>
    <row r="205">
      <c r="A205" s="82" t="str">
        <f t="array" ref="A205">XLOOKUP($E205,'Player Database'!$B$2:$B252,'Player Database'!$C$2:$C252)</f>
        <v>#N/A</v>
      </c>
      <c r="B205" s="82" t="str">
        <f t="array" ref="B205">XLOOKUP($E205,'Player Database'!$B$2:$B252,'Player Database'!$E$2:$E252)</f>
        <v>#N/A</v>
      </c>
      <c r="C205" s="82" t="str">
        <f t="array" ref="C205">XLOOKUP($E205,'Player Database'!$B$2:$B252,'Player Database'!$F$2:$F252)</f>
        <v>#N/A</v>
      </c>
      <c r="D205" s="81">
        <f>IFERROR(__xludf.DUMMYFUNCTION("""COMPUTED_VALUE"""),1.0)</f>
        <v>1</v>
      </c>
      <c r="E205" s="41"/>
      <c r="F205" s="42" t="str">
        <f t="array" ref="F205">XLOOKUP($E205,'Player Database'!$B$2:$B252,'Player Database'!$K$2:$K252)</f>
        <v>#N/A</v>
      </c>
      <c r="G205" s="42" t="str">
        <f t="array" ref="G205">XLOOKUP($E205,'Player Database'!$B$2:$B252,'Player Database'!$AE$2:$AE252)</f>
        <v>#N/A</v>
      </c>
      <c r="H205" s="42" t="str">
        <f t="array" ref="H205">XLOOKUP($E205,'Player Database'!$B$2:$B252,'Player Database'!$H$2:$H252)</f>
        <v>#N/A</v>
      </c>
      <c r="I205" s="42" t="str">
        <f t="array" ref="I205">XLOOKUP($E205,'Player Database'!$B$2:$B252,'Player Database'!$O$2:$O252)</f>
        <v>#N/A</v>
      </c>
      <c r="J205" s="42" t="str">
        <f t="array" ref="J205">XLOOKUP($E205,'Player Database'!$B$2:$B252,'Player Database'!$P$2:$P252)</f>
        <v>#N/A</v>
      </c>
      <c r="K205" s="44" t="str">
        <f t="array" ref="K205">XLOOKUP($E205,'Player Database'!$B$2:$B252,'Player Database'!$U$2:$U252)</f>
        <v>#N/A</v>
      </c>
      <c r="L205" s="47" t="str">
        <f t="array" ref="L205">XLOOKUP($E205,'Player Database'!$B$2:$B252,'Player Database'!$W$2:$W252)</f>
        <v>#N/A</v>
      </c>
      <c r="M205" s="48" t="str">
        <f t="shared" si="1"/>
        <v>0 - 0</v>
      </c>
      <c r="N205" s="50" t="str">
        <f t="array" ref="N205">IF(XLOOKUP($E205,'Player Database'!$B$2:$B252,'Player Database'!$AA$2:$AA252)="",XLOOKUP($E205,'Player Database'!$B$2:$B252,'Player Database'!$G$2:$G252),XLOOKUP($E205,'Player Database'!$B$2:$B252,'Player Database'!$AA$2:$AA252))</f>
        <v>#N/A</v>
      </c>
      <c r="O205" s="51">
        <f>COUNTIFs(Matches!$B:$B,E205,Matches!$A:$A,"&gt;"&amp;Q205,Matches!$A:$A,"&lt;"&amp;R205)</f>
        <v>0</v>
      </c>
      <c r="P205" s="51">
        <f>COUNTIFs(Matches!$C:$C,E205,Matches!$A:$A,"&gt;"&amp;Q205,Matches!$A:$A,"&lt;"&amp;R205)</f>
        <v>0</v>
      </c>
      <c r="Q205" s="52">
        <f>VLOOKUP($C$2,Quotas!$A$7:$E$14,2,FALSE)</f>
        <v>46171.70833</v>
      </c>
      <c r="R205" s="52">
        <f>VLOOKUP($C$2,Quotas!$A$7:$E$14,3,FALSE)</f>
        <v>46178.70833</v>
      </c>
    </row>
    <row r="206">
      <c r="A206" s="82" t="str">
        <f t="array" ref="A206">XLOOKUP($E206,'Player Database'!$B$2:$B252,'Player Database'!$C$2:$C252)</f>
        <v>#N/A</v>
      </c>
      <c r="B206" s="82" t="str">
        <f t="array" ref="B206">XLOOKUP($E206,'Player Database'!$B$2:$B252,'Player Database'!$E$2:$E252)</f>
        <v>#N/A</v>
      </c>
      <c r="C206" s="82" t="str">
        <f t="array" ref="C206">XLOOKUP($E206,'Player Database'!$B$2:$B252,'Player Database'!$F$2:$F252)</f>
        <v>#N/A</v>
      </c>
      <c r="D206" s="81">
        <f>IFERROR(__xludf.DUMMYFUNCTION("""COMPUTED_VALUE"""),1.0)</f>
        <v>1</v>
      </c>
      <c r="E206" s="41"/>
      <c r="F206" s="42" t="str">
        <f t="array" ref="F206">XLOOKUP($E206,'Player Database'!$B$2:$B252,'Player Database'!$K$2:$K252)</f>
        <v>#N/A</v>
      </c>
      <c r="G206" s="42" t="str">
        <f t="array" ref="G206">XLOOKUP($E206,'Player Database'!$B$2:$B252,'Player Database'!$AE$2:$AE252)</f>
        <v>#N/A</v>
      </c>
      <c r="H206" s="42" t="str">
        <f t="array" ref="H206">XLOOKUP($E206,'Player Database'!$B$2:$B252,'Player Database'!$H$2:$H252)</f>
        <v>#N/A</v>
      </c>
      <c r="I206" s="42" t="str">
        <f t="array" ref="I206">XLOOKUP($E206,'Player Database'!$B$2:$B252,'Player Database'!$O$2:$O252)</f>
        <v>#N/A</v>
      </c>
      <c r="J206" s="42" t="str">
        <f t="array" ref="J206">XLOOKUP($E206,'Player Database'!$B$2:$B252,'Player Database'!$P$2:$P252)</f>
        <v>#N/A</v>
      </c>
      <c r="K206" s="44" t="str">
        <f t="array" ref="K206">XLOOKUP($E206,'Player Database'!$B$2:$B252,'Player Database'!$U$2:$U252)</f>
        <v>#N/A</v>
      </c>
      <c r="L206" s="47" t="str">
        <f t="array" ref="L206">XLOOKUP($E206,'Player Database'!$B$2:$B252,'Player Database'!$W$2:$W252)</f>
        <v>#N/A</v>
      </c>
      <c r="M206" s="48" t="str">
        <f t="shared" si="1"/>
        <v>0 - 0</v>
      </c>
      <c r="N206" s="50" t="str">
        <f t="array" ref="N206">IF(XLOOKUP($E206,'Player Database'!$B$2:$B252,'Player Database'!$AA$2:$AA252)="",XLOOKUP($E206,'Player Database'!$B$2:$B252,'Player Database'!$G$2:$G252),XLOOKUP($E206,'Player Database'!$B$2:$B252,'Player Database'!$AA$2:$AA252))</f>
        <v>#N/A</v>
      </c>
      <c r="O206" s="51">
        <f>COUNTIFs(Matches!$B:$B,E206,Matches!$A:$A,"&gt;"&amp;Q206,Matches!$A:$A,"&lt;"&amp;R206)</f>
        <v>0</v>
      </c>
      <c r="P206" s="51">
        <f>COUNTIFs(Matches!$C:$C,E206,Matches!$A:$A,"&gt;"&amp;Q206,Matches!$A:$A,"&lt;"&amp;R206)</f>
        <v>0</v>
      </c>
      <c r="Q206" s="52">
        <f>VLOOKUP($C$2,Quotas!$A$7:$E$14,2,FALSE)</f>
        <v>46171.70833</v>
      </c>
      <c r="R206" s="52">
        <f>VLOOKUP($C$2,Quotas!$A$7:$E$14,3,FALSE)</f>
        <v>46178.70833</v>
      </c>
    </row>
    <row r="207">
      <c r="A207" s="82" t="str">
        <f t="array" ref="A207">XLOOKUP($E207,'Player Database'!$B$2:$B252,'Player Database'!$C$2:$C252)</f>
        <v>#N/A</v>
      </c>
      <c r="B207" s="82" t="str">
        <f t="array" ref="B207">XLOOKUP($E207,'Player Database'!$B$2:$B252,'Player Database'!$E$2:$E252)</f>
        <v>#N/A</v>
      </c>
      <c r="C207" s="82" t="str">
        <f t="array" ref="C207">XLOOKUP($E207,'Player Database'!$B$2:$B252,'Player Database'!$F$2:$F252)</f>
        <v>#N/A</v>
      </c>
      <c r="D207" s="81">
        <f>IFERROR(__xludf.DUMMYFUNCTION("""COMPUTED_VALUE"""),1.0)</f>
        <v>1</v>
      </c>
      <c r="E207" s="41"/>
      <c r="F207" s="42" t="str">
        <f t="array" ref="F207">XLOOKUP($E207,'Player Database'!$B$2:$B252,'Player Database'!$K$2:$K252)</f>
        <v>#N/A</v>
      </c>
      <c r="G207" s="42" t="str">
        <f t="array" ref="G207">XLOOKUP($E207,'Player Database'!$B$2:$B252,'Player Database'!$AE$2:$AE252)</f>
        <v>#N/A</v>
      </c>
      <c r="H207" s="42" t="str">
        <f t="array" ref="H207">XLOOKUP($E207,'Player Database'!$B$2:$B252,'Player Database'!$H$2:$H252)</f>
        <v>#N/A</v>
      </c>
      <c r="I207" s="42" t="str">
        <f t="array" ref="I207">XLOOKUP($E207,'Player Database'!$B$2:$B252,'Player Database'!$O$2:$O252)</f>
        <v>#N/A</v>
      </c>
      <c r="J207" s="42" t="str">
        <f t="array" ref="J207">XLOOKUP($E207,'Player Database'!$B$2:$B252,'Player Database'!$P$2:$P252)</f>
        <v>#N/A</v>
      </c>
      <c r="K207" s="44" t="str">
        <f t="array" ref="K207">XLOOKUP($E207,'Player Database'!$B$2:$B252,'Player Database'!$U$2:$U252)</f>
        <v>#N/A</v>
      </c>
      <c r="L207" s="47" t="str">
        <f t="array" ref="L207">XLOOKUP($E207,'Player Database'!$B$2:$B252,'Player Database'!$W$2:$W252)</f>
        <v>#N/A</v>
      </c>
      <c r="M207" s="48" t="str">
        <f t="shared" si="1"/>
        <v>0 - 0</v>
      </c>
      <c r="N207" s="50" t="str">
        <f t="array" ref="N207">IF(XLOOKUP($E207,'Player Database'!$B$2:$B252,'Player Database'!$AA$2:$AA252)="",XLOOKUP($E207,'Player Database'!$B$2:$B252,'Player Database'!$G$2:$G252),XLOOKUP($E207,'Player Database'!$B$2:$B252,'Player Database'!$AA$2:$AA252))</f>
        <v>#N/A</v>
      </c>
      <c r="O207" s="51">
        <f>COUNTIFs(Matches!$B:$B,E207,Matches!$A:$A,"&gt;"&amp;Q207,Matches!$A:$A,"&lt;"&amp;R207)</f>
        <v>0</v>
      </c>
      <c r="P207" s="51">
        <f>COUNTIFs(Matches!$C:$C,E207,Matches!$A:$A,"&gt;"&amp;Q207,Matches!$A:$A,"&lt;"&amp;R207)</f>
        <v>0</v>
      </c>
      <c r="Q207" s="52">
        <f>VLOOKUP($C$2,Quotas!$A$7:$E$14,2,FALSE)</f>
        <v>46171.70833</v>
      </c>
      <c r="R207" s="52">
        <f>VLOOKUP($C$2,Quotas!$A$7:$E$14,3,FALSE)</f>
        <v>46178.70833</v>
      </c>
    </row>
    <row r="208">
      <c r="A208" s="82" t="str">
        <f t="array" ref="A208">XLOOKUP($E208,'Player Database'!$B$2:$B252,'Player Database'!$C$2:$C252)</f>
        <v>#N/A</v>
      </c>
      <c r="B208" s="82" t="str">
        <f t="array" ref="B208">XLOOKUP($E208,'Player Database'!$B$2:$B252,'Player Database'!$E$2:$E252)</f>
        <v>#N/A</v>
      </c>
      <c r="C208" s="82" t="str">
        <f t="array" ref="C208">XLOOKUP($E208,'Player Database'!$B$2:$B252,'Player Database'!$F$2:$F252)</f>
        <v>#N/A</v>
      </c>
      <c r="D208" s="81">
        <f>IFERROR(__xludf.DUMMYFUNCTION("""COMPUTED_VALUE"""),1.0)</f>
        <v>1</v>
      </c>
      <c r="E208" s="41"/>
      <c r="F208" s="42" t="str">
        <f t="array" ref="F208">XLOOKUP($E208,'Player Database'!$B$2:$B252,'Player Database'!$K$2:$K252)</f>
        <v>#N/A</v>
      </c>
      <c r="G208" s="42" t="str">
        <f t="array" ref="G208">XLOOKUP($E208,'Player Database'!$B$2:$B252,'Player Database'!$AE$2:$AE252)</f>
        <v>#N/A</v>
      </c>
      <c r="H208" s="42" t="str">
        <f t="array" ref="H208">XLOOKUP($E208,'Player Database'!$B$2:$B252,'Player Database'!$H$2:$H252)</f>
        <v>#N/A</v>
      </c>
      <c r="I208" s="42" t="str">
        <f t="array" ref="I208">XLOOKUP($E208,'Player Database'!$B$2:$B252,'Player Database'!$O$2:$O252)</f>
        <v>#N/A</v>
      </c>
      <c r="J208" s="42" t="str">
        <f t="array" ref="J208">XLOOKUP($E208,'Player Database'!$B$2:$B252,'Player Database'!$P$2:$P252)</f>
        <v>#N/A</v>
      </c>
      <c r="K208" s="44" t="str">
        <f t="array" ref="K208">XLOOKUP($E208,'Player Database'!$B$2:$B252,'Player Database'!$U$2:$U252)</f>
        <v>#N/A</v>
      </c>
      <c r="L208" s="47" t="str">
        <f t="array" ref="L208">XLOOKUP($E208,'Player Database'!$B$2:$B252,'Player Database'!$W$2:$W252)</f>
        <v>#N/A</v>
      </c>
      <c r="M208" s="48" t="str">
        <f t="shared" si="1"/>
        <v>0 - 0</v>
      </c>
      <c r="N208" s="50" t="str">
        <f t="array" ref="N208">IF(XLOOKUP($E208,'Player Database'!$B$2:$B252,'Player Database'!$AA$2:$AA252)="",XLOOKUP($E208,'Player Database'!$B$2:$B252,'Player Database'!$G$2:$G252),XLOOKUP($E208,'Player Database'!$B$2:$B252,'Player Database'!$AA$2:$AA252))</f>
        <v>#N/A</v>
      </c>
      <c r="O208" s="51">
        <f>COUNTIFs(Matches!$B:$B,E208,Matches!$A:$A,"&gt;"&amp;Q208,Matches!$A:$A,"&lt;"&amp;R208)</f>
        <v>0</v>
      </c>
      <c r="P208" s="51">
        <f>COUNTIFs(Matches!$C:$C,E208,Matches!$A:$A,"&gt;"&amp;Q208,Matches!$A:$A,"&lt;"&amp;R208)</f>
        <v>0</v>
      </c>
      <c r="Q208" s="52">
        <f>VLOOKUP($C$2,Quotas!$A$7:$E$14,2,FALSE)</f>
        <v>46171.70833</v>
      </c>
      <c r="R208" s="52">
        <f>VLOOKUP($C$2,Quotas!$A$7:$E$14,3,FALSE)</f>
        <v>46178.70833</v>
      </c>
    </row>
    <row r="209">
      <c r="A209" s="82" t="str">
        <f t="array" ref="A209">XLOOKUP($E209,'Player Database'!$B$2:$B252,'Player Database'!$C$2:$C252)</f>
        <v>#N/A</v>
      </c>
      <c r="B209" s="82" t="str">
        <f t="array" ref="B209">XLOOKUP($E209,'Player Database'!$B$2:$B252,'Player Database'!$E$2:$E252)</f>
        <v>#N/A</v>
      </c>
      <c r="C209" s="82" t="str">
        <f t="array" ref="C209">XLOOKUP($E209,'Player Database'!$B$2:$B252,'Player Database'!$F$2:$F252)</f>
        <v>#N/A</v>
      </c>
      <c r="D209" s="81">
        <f>IFERROR(__xludf.DUMMYFUNCTION("""COMPUTED_VALUE"""),1.0)</f>
        <v>1</v>
      </c>
      <c r="E209" s="41"/>
      <c r="F209" s="42" t="str">
        <f t="array" ref="F209">XLOOKUP($E209,'Player Database'!$B$2:$B252,'Player Database'!$K$2:$K252)</f>
        <v>#N/A</v>
      </c>
      <c r="G209" s="42" t="str">
        <f t="array" ref="G209">XLOOKUP($E209,'Player Database'!$B$2:$B252,'Player Database'!$AE$2:$AE252)</f>
        <v>#N/A</v>
      </c>
      <c r="H209" s="42" t="str">
        <f t="array" ref="H209">XLOOKUP($E209,'Player Database'!$B$2:$B252,'Player Database'!$H$2:$H252)</f>
        <v>#N/A</v>
      </c>
      <c r="I209" s="42" t="str">
        <f t="array" ref="I209">XLOOKUP($E209,'Player Database'!$B$2:$B252,'Player Database'!$O$2:$O252)</f>
        <v>#N/A</v>
      </c>
      <c r="J209" s="42" t="str">
        <f t="array" ref="J209">XLOOKUP($E209,'Player Database'!$B$2:$B252,'Player Database'!$P$2:$P252)</f>
        <v>#N/A</v>
      </c>
      <c r="K209" s="44" t="str">
        <f t="array" ref="K209">XLOOKUP($E209,'Player Database'!$B$2:$B252,'Player Database'!$U$2:$U252)</f>
        <v>#N/A</v>
      </c>
      <c r="L209" s="47" t="str">
        <f t="array" ref="L209">XLOOKUP($E209,'Player Database'!$B$2:$B252,'Player Database'!$W$2:$W252)</f>
        <v>#N/A</v>
      </c>
      <c r="M209" s="48" t="str">
        <f t="shared" si="1"/>
        <v>0 - 0</v>
      </c>
      <c r="N209" s="50" t="str">
        <f t="array" ref="N209">IF(XLOOKUP($E209,'Player Database'!$B$2:$B252,'Player Database'!$AA$2:$AA252)="",XLOOKUP($E209,'Player Database'!$B$2:$B252,'Player Database'!$G$2:$G252),XLOOKUP($E209,'Player Database'!$B$2:$B252,'Player Database'!$AA$2:$AA252))</f>
        <v>#N/A</v>
      </c>
      <c r="O209" s="51">
        <f>COUNTIFs(Matches!$B:$B,E209,Matches!$A:$A,"&gt;"&amp;Q209,Matches!$A:$A,"&lt;"&amp;R209)</f>
        <v>0</v>
      </c>
      <c r="P209" s="51">
        <f>COUNTIFs(Matches!$C:$C,E209,Matches!$A:$A,"&gt;"&amp;Q209,Matches!$A:$A,"&lt;"&amp;R209)</f>
        <v>0</v>
      </c>
      <c r="Q209" s="52">
        <f>VLOOKUP($C$2,Quotas!$A$7:$E$14,2,FALSE)</f>
        <v>46171.70833</v>
      </c>
      <c r="R209" s="52">
        <f>VLOOKUP($C$2,Quotas!$A$7:$E$14,3,FALSE)</f>
        <v>46178.70833</v>
      </c>
    </row>
    <row r="210">
      <c r="A210" s="82" t="str">
        <f t="array" ref="A210">XLOOKUP($E210,'Player Database'!$B$2:$B252,'Player Database'!$C$2:$C252)</f>
        <v>#N/A</v>
      </c>
      <c r="B210" s="82" t="str">
        <f t="array" ref="B210">XLOOKUP($E210,'Player Database'!$B$2:$B252,'Player Database'!$E$2:$E252)</f>
        <v>#N/A</v>
      </c>
      <c r="C210" s="82" t="str">
        <f t="array" ref="C210">XLOOKUP($E210,'Player Database'!$B$2:$B252,'Player Database'!$F$2:$F252)</f>
        <v>#N/A</v>
      </c>
      <c r="D210" s="81">
        <f>IFERROR(__xludf.DUMMYFUNCTION("""COMPUTED_VALUE"""),1.0)</f>
        <v>1</v>
      </c>
      <c r="E210" s="41"/>
      <c r="F210" s="42" t="str">
        <f t="array" ref="F210">XLOOKUP($E210,'Player Database'!$B$2:$B252,'Player Database'!$K$2:$K252)</f>
        <v>#N/A</v>
      </c>
      <c r="G210" s="42" t="str">
        <f t="array" ref="G210">XLOOKUP($E210,'Player Database'!$B$2:$B252,'Player Database'!$AE$2:$AE252)</f>
        <v>#N/A</v>
      </c>
      <c r="H210" s="42" t="str">
        <f t="array" ref="H210">XLOOKUP($E210,'Player Database'!$B$2:$B252,'Player Database'!$H$2:$H252)</f>
        <v>#N/A</v>
      </c>
      <c r="I210" s="42" t="str">
        <f t="array" ref="I210">XLOOKUP($E210,'Player Database'!$B$2:$B252,'Player Database'!$O$2:$O252)</f>
        <v>#N/A</v>
      </c>
      <c r="J210" s="42" t="str">
        <f t="array" ref="J210">XLOOKUP($E210,'Player Database'!$B$2:$B252,'Player Database'!$P$2:$P252)</f>
        <v>#N/A</v>
      </c>
      <c r="K210" s="44" t="str">
        <f t="array" ref="K210">XLOOKUP($E210,'Player Database'!$B$2:$B252,'Player Database'!$U$2:$U252)</f>
        <v>#N/A</v>
      </c>
      <c r="L210" s="47" t="str">
        <f t="array" ref="L210">XLOOKUP($E210,'Player Database'!$B$2:$B252,'Player Database'!$W$2:$W252)</f>
        <v>#N/A</v>
      </c>
      <c r="M210" s="48" t="str">
        <f t="shared" si="1"/>
        <v>0 - 0</v>
      </c>
      <c r="N210" s="50" t="str">
        <f t="array" ref="N210">IF(XLOOKUP($E210,'Player Database'!$B$2:$B252,'Player Database'!$AA$2:$AA252)="",XLOOKUP($E210,'Player Database'!$B$2:$B252,'Player Database'!$G$2:$G252),XLOOKUP($E210,'Player Database'!$B$2:$B252,'Player Database'!$AA$2:$AA252))</f>
        <v>#N/A</v>
      </c>
      <c r="O210" s="51">
        <f>COUNTIFs(Matches!$B:$B,E210,Matches!$A:$A,"&gt;"&amp;Q210,Matches!$A:$A,"&lt;"&amp;R210)</f>
        <v>0</v>
      </c>
      <c r="P210" s="51">
        <f>COUNTIFs(Matches!$C:$C,E210,Matches!$A:$A,"&gt;"&amp;Q210,Matches!$A:$A,"&lt;"&amp;R210)</f>
        <v>0</v>
      </c>
      <c r="Q210" s="52">
        <f>VLOOKUP($C$2,Quotas!$A$7:$E$14,2,FALSE)</f>
        <v>46171.70833</v>
      </c>
      <c r="R210" s="52">
        <f>VLOOKUP($C$2,Quotas!$A$7:$E$14,3,FALSE)</f>
        <v>46178.70833</v>
      </c>
    </row>
    <row r="211">
      <c r="A211" s="82" t="str">
        <f t="array" ref="A211">XLOOKUP($E211,'Player Database'!$B$2:$B252,'Player Database'!$C$2:$C252)</f>
        <v>#N/A</v>
      </c>
      <c r="B211" s="82" t="str">
        <f t="array" ref="B211">XLOOKUP($E211,'Player Database'!$B$2:$B252,'Player Database'!$E$2:$E252)</f>
        <v>#N/A</v>
      </c>
      <c r="C211" s="82" t="str">
        <f t="array" ref="C211">XLOOKUP($E211,'Player Database'!$B$2:$B252,'Player Database'!$F$2:$F252)</f>
        <v>#N/A</v>
      </c>
      <c r="D211" s="81">
        <f>IFERROR(__xludf.DUMMYFUNCTION("""COMPUTED_VALUE"""),1.0)</f>
        <v>1</v>
      </c>
      <c r="E211" s="41"/>
      <c r="F211" s="42" t="str">
        <f t="array" ref="F211">XLOOKUP($E211,'Player Database'!$B$2:$B252,'Player Database'!$K$2:$K252)</f>
        <v>#N/A</v>
      </c>
      <c r="G211" s="42" t="str">
        <f t="array" ref="G211">XLOOKUP($E211,'Player Database'!$B$2:$B252,'Player Database'!$AE$2:$AE252)</f>
        <v>#N/A</v>
      </c>
      <c r="H211" s="42" t="str">
        <f t="array" ref="H211">XLOOKUP($E211,'Player Database'!$B$2:$B252,'Player Database'!$H$2:$H252)</f>
        <v>#N/A</v>
      </c>
      <c r="I211" s="42" t="str">
        <f t="array" ref="I211">XLOOKUP($E211,'Player Database'!$B$2:$B252,'Player Database'!$O$2:$O252)</f>
        <v>#N/A</v>
      </c>
      <c r="J211" s="42" t="str">
        <f t="array" ref="J211">XLOOKUP($E211,'Player Database'!$B$2:$B252,'Player Database'!$P$2:$P252)</f>
        <v>#N/A</v>
      </c>
      <c r="K211" s="44" t="str">
        <f t="array" ref="K211">XLOOKUP($E211,'Player Database'!$B$2:$B252,'Player Database'!$U$2:$U252)</f>
        <v>#N/A</v>
      </c>
      <c r="L211" s="47" t="str">
        <f t="array" ref="L211">XLOOKUP($E211,'Player Database'!$B$2:$B252,'Player Database'!$W$2:$W252)</f>
        <v>#N/A</v>
      </c>
      <c r="M211" s="48" t="str">
        <f t="shared" si="1"/>
        <v>0 - 0</v>
      </c>
      <c r="N211" s="50" t="str">
        <f t="array" ref="N211">IF(XLOOKUP($E211,'Player Database'!$B$2:$B252,'Player Database'!$AA$2:$AA252)="",XLOOKUP($E211,'Player Database'!$B$2:$B252,'Player Database'!$G$2:$G252),XLOOKUP($E211,'Player Database'!$B$2:$B252,'Player Database'!$AA$2:$AA252))</f>
        <v>#N/A</v>
      </c>
      <c r="O211" s="51">
        <f>COUNTIFs(Matches!$B:$B,E211,Matches!$A:$A,"&gt;"&amp;Q211,Matches!$A:$A,"&lt;"&amp;R211)</f>
        <v>0</v>
      </c>
      <c r="P211" s="51">
        <f>COUNTIFs(Matches!$C:$C,E211,Matches!$A:$A,"&gt;"&amp;Q211,Matches!$A:$A,"&lt;"&amp;R211)</f>
        <v>0</v>
      </c>
      <c r="Q211" s="52">
        <f>VLOOKUP($C$2,Quotas!$A$7:$E$14,2,FALSE)</f>
        <v>46171.70833</v>
      </c>
      <c r="R211" s="52">
        <f>VLOOKUP($C$2,Quotas!$A$7:$E$14,3,FALSE)</f>
        <v>46178.70833</v>
      </c>
    </row>
    <row r="212">
      <c r="A212" s="82" t="str">
        <f t="array" ref="A212">XLOOKUP($E212,'Player Database'!$B$2:$B252,'Player Database'!$C$2:$C252)</f>
        <v>#N/A</v>
      </c>
      <c r="B212" s="82" t="str">
        <f t="array" ref="B212">XLOOKUP($E212,'Player Database'!$B$2:$B252,'Player Database'!$E$2:$E252)</f>
        <v>#N/A</v>
      </c>
      <c r="C212" s="82" t="str">
        <f t="array" ref="C212">XLOOKUP($E212,'Player Database'!$B$2:$B252,'Player Database'!$F$2:$F252)</f>
        <v>#N/A</v>
      </c>
      <c r="D212" s="81">
        <f>IFERROR(__xludf.DUMMYFUNCTION("""COMPUTED_VALUE"""),1.0)</f>
        <v>1</v>
      </c>
      <c r="E212" s="41"/>
      <c r="F212" s="42" t="str">
        <f t="array" ref="F212">XLOOKUP($E212,'Player Database'!$B$2:$B252,'Player Database'!$K$2:$K252)</f>
        <v>#N/A</v>
      </c>
      <c r="G212" s="42" t="str">
        <f t="array" ref="G212">XLOOKUP($E212,'Player Database'!$B$2:$B252,'Player Database'!$AE$2:$AE252)</f>
        <v>#N/A</v>
      </c>
      <c r="H212" s="42" t="str">
        <f t="array" ref="H212">XLOOKUP($E212,'Player Database'!$B$2:$B252,'Player Database'!$H$2:$H252)</f>
        <v>#N/A</v>
      </c>
      <c r="I212" s="42" t="str">
        <f t="array" ref="I212">XLOOKUP($E212,'Player Database'!$B$2:$B252,'Player Database'!$O$2:$O252)</f>
        <v>#N/A</v>
      </c>
      <c r="J212" s="42" t="str">
        <f t="array" ref="J212">XLOOKUP($E212,'Player Database'!$B$2:$B252,'Player Database'!$P$2:$P252)</f>
        <v>#N/A</v>
      </c>
      <c r="K212" s="44" t="str">
        <f t="array" ref="K212">XLOOKUP($E212,'Player Database'!$B$2:$B252,'Player Database'!$U$2:$U252)</f>
        <v>#N/A</v>
      </c>
      <c r="L212" s="47" t="str">
        <f t="array" ref="L212">XLOOKUP($E212,'Player Database'!$B$2:$B252,'Player Database'!$W$2:$W252)</f>
        <v>#N/A</v>
      </c>
      <c r="M212" s="48" t="str">
        <f t="shared" si="1"/>
        <v>0 - 0</v>
      </c>
      <c r="N212" s="50" t="str">
        <f t="array" ref="N212">IF(XLOOKUP($E212,'Player Database'!$B$2:$B252,'Player Database'!$AA$2:$AA252)="",XLOOKUP($E212,'Player Database'!$B$2:$B252,'Player Database'!$G$2:$G252),XLOOKUP($E212,'Player Database'!$B$2:$B252,'Player Database'!$AA$2:$AA252))</f>
        <v>#N/A</v>
      </c>
      <c r="O212" s="51">
        <f>COUNTIFs(Matches!$B:$B,E212,Matches!$A:$A,"&gt;"&amp;Q212,Matches!$A:$A,"&lt;"&amp;R212)</f>
        <v>0</v>
      </c>
      <c r="P212" s="51">
        <f>COUNTIFs(Matches!$C:$C,E212,Matches!$A:$A,"&gt;"&amp;Q212,Matches!$A:$A,"&lt;"&amp;R212)</f>
        <v>0</v>
      </c>
      <c r="Q212" s="52">
        <f>VLOOKUP($C$2,Quotas!$A$7:$E$14,2,FALSE)</f>
        <v>46171.70833</v>
      </c>
      <c r="R212" s="52">
        <f>VLOOKUP($C$2,Quotas!$A$7:$E$14,3,FALSE)</f>
        <v>46178.70833</v>
      </c>
    </row>
    <row r="213">
      <c r="A213" s="82" t="str">
        <f t="array" ref="A213">XLOOKUP($E213,'Player Database'!$B$2:$B252,'Player Database'!$C$2:$C252)</f>
        <v>#N/A</v>
      </c>
      <c r="B213" s="82" t="str">
        <f t="array" ref="B213">XLOOKUP($E213,'Player Database'!$B$2:$B252,'Player Database'!$E$2:$E252)</f>
        <v>#N/A</v>
      </c>
      <c r="C213" s="82" t="str">
        <f t="array" ref="C213">XLOOKUP($E213,'Player Database'!$B$2:$B252,'Player Database'!$F$2:$F252)</f>
        <v>#N/A</v>
      </c>
      <c r="D213" s="81">
        <f>IFERROR(__xludf.DUMMYFUNCTION("""COMPUTED_VALUE"""),1.0)</f>
        <v>1</v>
      </c>
      <c r="E213" s="41"/>
      <c r="F213" s="42" t="str">
        <f t="array" ref="F213">XLOOKUP($E213,'Player Database'!$B$2:$B252,'Player Database'!$K$2:$K252)</f>
        <v>#N/A</v>
      </c>
      <c r="G213" s="42" t="str">
        <f t="array" ref="G213">XLOOKUP($E213,'Player Database'!$B$2:$B252,'Player Database'!$AE$2:$AE252)</f>
        <v>#N/A</v>
      </c>
      <c r="H213" s="42" t="str">
        <f t="array" ref="H213">XLOOKUP($E213,'Player Database'!$B$2:$B252,'Player Database'!$H$2:$H252)</f>
        <v>#N/A</v>
      </c>
      <c r="I213" s="42" t="str">
        <f t="array" ref="I213">XLOOKUP($E213,'Player Database'!$B$2:$B252,'Player Database'!$O$2:$O252)</f>
        <v>#N/A</v>
      </c>
      <c r="J213" s="42" t="str">
        <f t="array" ref="J213">XLOOKUP($E213,'Player Database'!$B$2:$B252,'Player Database'!$P$2:$P252)</f>
        <v>#N/A</v>
      </c>
      <c r="K213" s="44" t="str">
        <f t="array" ref="K213">XLOOKUP($E213,'Player Database'!$B$2:$B252,'Player Database'!$U$2:$U252)</f>
        <v>#N/A</v>
      </c>
      <c r="L213" s="47" t="str">
        <f t="array" ref="L213">XLOOKUP($E213,'Player Database'!$B$2:$B252,'Player Database'!$W$2:$W252)</f>
        <v>#N/A</v>
      </c>
      <c r="M213" s="48" t="str">
        <f t="shared" si="1"/>
        <v>0 - 0</v>
      </c>
      <c r="N213" s="50" t="str">
        <f t="array" ref="N213">IF(XLOOKUP($E213,'Player Database'!$B$2:$B252,'Player Database'!$AA$2:$AA252)="",XLOOKUP($E213,'Player Database'!$B$2:$B252,'Player Database'!$G$2:$G252),XLOOKUP($E213,'Player Database'!$B$2:$B252,'Player Database'!$AA$2:$AA252))</f>
        <v>#N/A</v>
      </c>
      <c r="O213" s="51">
        <f>COUNTIFs(Matches!$B:$B,E213,Matches!$A:$A,"&gt;"&amp;Q213,Matches!$A:$A,"&lt;"&amp;R213)</f>
        <v>0</v>
      </c>
      <c r="P213" s="51">
        <f>COUNTIFs(Matches!$C:$C,E213,Matches!$A:$A,"&gt;"&amp;Q213,Matches!$A:$A,"&lt;"&amp;R213)</f>
        <v>0</v>
      </c>
      <c r="Q213" s="52">
        <f>VLOOKUP($C$2,Quotas!$A$7:$E$14,2,FALSE)</f>
        <v>46171.70833</v>
      </c>
      <c r="R213" s="52">
        <f>VLOOKUP($C$2,Quotas!$A$7:$E$14,3,FALSE)</f>
        <v>46178.70833</v>
      </c>
    </row>
    <row r="214">
      <c r="A214" s="82" t="str">
        <f t="array" ref="A214">XLOOKUP($E214,'Player Database'!$B$2:$B252,'Player Database'!$C$2:$C252)</f>
        <v>#N/A</v>
      </c>
      <c r="B214" s="82" t="str">
        <f t="array" ref="B214">XLOOKUP($E214,'Player Database'!$B$2:$B252,'Player Database'!$E$2:$E252)</f>
        <v>#N/A</v>
      </c>
      <c r="C214" s="82" t="str">
        <f t="array" ref="C214">XLOOKUP($E214,'Player Database'!$B$2:$B252,'Player Database'!$F$2:$F252)</f>
        <v>#N/A</v>
      </c>
      <c r="D214" s="81">
        <f>IFERROR(__xludf.DUMMYFUNCTION("""COMPUTED_VALUE"""),1.0)</f>
        <v>1</v>
      </c>
      <c r="E214" s="41"/>
      <c r="F214" s="42" t="str">
        <f t="array" ref="F214">XLOOKUP($E214,'Player Database'!$B$2:$B252,'Player Database'!$K$2:$K252)</f>
        <v>#N/A</v>
      </c>
      <c r="G214" s="42" t="str">
        <f t="array" ref="G214">XLOOKUP($E214,'Player Database'!$B$2:$B252,'Player Database'!$AE$2:$AE252)</f>
        <v>#N/A</v>
      </c>
      <c r="H214" s="42" t="str">
        <f t="array" ref="H214">XLOOKUP($E214,'Player Database'!$B$2:$B252,'Player Database'!$H$2:$H252)</f>
        <v>#N/A</v>
      </c>
      <c r="I214" s="42" t="str">
        <f t="array" ref="I214">XLOOKUP($E214,'Player Database'!$B$2:$B252,'Player Database'!$O$2:$O252)</f>
        <v>#N/A</v>
      </c>
      <c r="J214" s="42" t="str">
        <f t="array" ref="J214">XLOOKUP($E214,'Player Database'!$B$2:$B252,'Player Database'!$P$2:$P252)</f>
        <v>#N/A</v>
      </c>
      <c r="K214" s="44" t="str">
        <f t="array" ref="K214">XLOOKUP($E214,'Player Database'!$B$2:$B252,'Player Database'!$U$2:$U252)</f>
        <v>#N/A</v>
      </c>
      <c r="L214" s="47" t="str">
        <f t="array" ref="L214">XLOOKUP($E214,'Player Database'!$B$2:$B252,'Player Database'!$W$2:$W252)</f>
        <v>#N/A</v>
      </c>
      <c r="M214" s="48" t="str">
        <f t="shared" si="1"/>
        <v>0 - 0</v>
      </c>
      <c r="N214" s="50" t="str">
        <f t="array" ref="N214">IF(XLOOKUP($E214,'Player Database'!$B$2:$B252,'Player Database'!$AA$2:$AA252)="",XLOOKUP($E214,'Player Database'!$B$2:$B252,'Player Database'!$G$2:$G252),XLOOKUP($E214,'Player Database'!$B$2:$B252,'Player Database'!$AA$2:$AA252))</f>
        <v>#N/A</v>
      </c>
      <c r="O214" s="51">
        <f>COUNTIFs(Matches!$B:$B,E214,Matches!$A:$A,"&gt;"&amp;Q214,Matches!$A:$A,"&lt;"&amp;R214)</f>
        <v>0</v>
      </c>
      <c r="P214" s="51">
        <f>COUNTIFs(Matches!$C:$C,E214,Matches!$A:$A,"&gt;"&amp;Q214,Matches!$A:$A,"&lt;"&amp;R214)</f>
        <v>0</v>
      </c>
      <c r="Q214" s="52">
        <f>VLOOKUP($C$2,Quotas!$A$7:$E$14,2,FALSE)</f>
        <v>46171.70833</v>
      </c>
      <c r="R214" s="52">
        <f>VLOOKUP($C$2,Quotas!$A$7:$E$14,3,FALSE)</f>
        <v>46178.70833</v>
      </c>
    </row>
    <row r="215">
      <c r="A215" s="82" t="str">
        <f t="array" ref="A215">XLOOKUP($E215,'Player Database'!$B$2:$B252,'Player Database'!$C$2:$C252)</f>
        <v>#N/A</v>
      </c>
      <c r="B215" s="82" t="str">
        <f t="array" ref="B215">XLOOKUP($E215,'Player Database'!$B$2:$B252,'Player Database'!$E$2:$E252)</f>
        <v>#N/A</v>
      </c>
      <c r="C215" s="82" t="str">
        <f t="array" ref="C215">XLOOKUP($E215,'Player Database'!$B$2:$B252,'Player Database'!$F$2:$F252)</f>
        <v>#N/A</v>
      </c>
      <c r="D215" s="81">
        <f>IFERROR(__xludf.DUMMYFUNCTION("""COMPUTED_VALUE"""),1.0)</f>
        <v>1</v>
      </c>
      <c r="E215" s="41"/>
      <c r="F215" s="42" t="str">
        <f t="array" ref="F215">XLOOKUP($E215,'Player Database'!$B$2:$B252,'Player Database'!$K$2:$K252)</f>
        <v>#N/A</v>
      </c>
      <c r="G215" s="42" t="str">
        <f t="array" ref="G215">XLOOKUP($E215,'Player Database'!$B$2:$B252,'Player Database'!$AE$2:$AE252)</f>
        <v>#N/A</v>
      </c>
      <c r="H215" s="42" t="str">
        <f t="array" ref="H215">XLOOKUP($E215,'Player Database'!$B$2:$B252,'Player Database'!$H$2:$H252)</f>
        <v>#N/A</v>
      </c>
      <c r="I215" s="42" t="str">
        <f t="array" ref="I215">XLOOKUP($E215,'Player Database'!$B$2:$B252,'Player Database'!$O$2:$O252)</f>
        <v>#N/A</v>
      </c>
      <c r="J215" s="42" t="str">
        <f t="array" ref="J215">XLOOKUP($E215,'Player Database'!$B$2:$B252,'Player Database'!$P$2:$P252)</f>
        <v>#N/A</v>
      </c>
      <c r="K215" s="44" t="str">
        <f t="array" ref="K215">XLOOKUP($E215,'Player Database'!$B$2:$B252,'Player Database'!$U$2:$U252)</f>
        <v>#N/A</v>
      </c>
      <c r="L215" s="47" t="str">
        <f t="array" ref="L215">XLOOKUP($E215,'Player Database'!$B$2:$B252,'Player Database'!$W$2:$W252)</f>
        <v>#N/A</v>
      </c>
      <c r="M215" s="48" t="str">
        <f t="shared" si="1"/>
        <v>0 - 0</v>
      </c>
      <c r="N215" s="50" t="str">
        <f t="array" ref="N215">IF(XLOOKUP($E215,'Player Database'!$B$2:$B252,'Player Database'!$AA$2:$AA252)="",XLOOKUP($E215,'Player Database'!$B$2:$B252,'Player Database'!$G$2:$G252),XLOOKUP($E215,'Player Database'!$B$2:$B252,'Player Database'!$AA$2:$AA252))</f>
        <v>#N/A</v>
      </c>
      <c r="O215" s="51">
        <f>COUNTIFs(Matches!$B:$B,E215,Matches!$A:$A,"&gt;"&amp;Q215,Matches!$A:$A,"&lt;"&amp;R215)</f>
        <v>0</v>
      </c>
      <c r="P215" s="51">
        <f>COUNTIFs(Matches!$C:$C,E215,Matches!$A:$A,"&gt;"&amp;Q215,Matches!$A:$A,"&lt;"&amp;R215)</f>
        <v>0</v>
      </c>
      <c r="Q215" s="52">
        <f>VLOOKUP($C$2,Quotas!$A$7:$E$14,2,FALSE)</f>
        <v>46171.70833</v>
      </c>
      <c r="R215" s="52">
        <f>VLOOKUP($C$2,Quotas!$A$7:$E$14,3,FALSE)</f>
        <v>46178.70833</v>
      </c>
    </row>
    <row r="216">
      <c r="A216" s="82" t="str">
        <f t="array" ref="A216">XLOOKUP($E216,'Player Database'!$B$2:$B252,'Player Database'!$C$2:$C252)</f>
        <v>#N/A</v>
      </c>
      <c r="B216" s="82" t="str">
        <f t="array" ref="B216">XLOOKUP($E216,'Player Database'!$B$2:$B252,'Player Database'!$E$2:$E252)</f>
        <v>#N/A</v>
      </c>
      <c r="C216" s="82" t="str">
        <f t="array" ref="C216">XLOOKUP($E216,'Player Database'!$B$2:$B252,'Player Database'!$F$2:$F252)</f>
        <v>#N/A</v>
      </c>
      <c r="D216" s="81">
        <f>IFERROR(__xludf.DUMMYFUNCTION("""COMPUTED_VALUE"""),1.0)</f>
        <v>1</v>
      </c>
      <c r="E216" s="41"/>
      <c r="F216" s="42" t="str">
        <f t="array" ref="F216">XLOOKUP($E216,'Player Database'!$B$2:$B252,'Player Database'!$K$2:$K252)</f>
        <v>#N/A</v>
      </c>
      <c r="G216" s="42" t="str">
        <f t="array" ref="G216">XLOOKUP($E216,'Player Database'!$B$2:$B252,'Player Database'!$AE$2:$AE252)</f>
        <v>#N/A</v>
      </c>
      <c r="H216" s="42" t="str">
        <f t="array" ref="H216">XLOOKUP($E216,'Player Database'!$B$2:$B252,'Player Database'!$H$2:$H252)</f>
        <v>#N/A</v>
      </c>
      <c r="I216" s="42" t="str">
        <f t="array" ref="I216">XLOOKUP($E216,'Player Database'!$B$2:$B252,'Player Database'!$O$2:$O252)</f>
        <v>#N/A</v>
      </c>
      <c r="J216" s="42" t="str">
        <f t="array" ref="J216">XLOOKUP($E216,'Player Database'!$B$2:$B252,'Player Database'!$P$2:$P252)</f>
        <v>#N/A</v>
      </c>
      <c r="K216" s="44" t="str">
        <f t="array" ref="K216">XLOOKUP($E216,'Player Database'!$B$2:$B252,'Player Database'!$U$2:$U252)</f>
        <v>#N/A</v>
      </c>
      <c r="L216" s="47" t="str">
        <f t="array" ref="L216">XLOOKUP($E216,'Player Database'!$B$2:$B252,'Player Database'!$W$2:$W252)</f>
        <v>#N/A</v>
      </c>
      <c r="M216" s="48" t="str">
        <f t="shared" si="1"/>
        <v>0 - 0</v>
      </c>
      <c r="N216" s="50" t="str">
        <f t="array" ref="N216">IF(XLOOKUP($E216,'Player Database'!$B$2:$B252,'Player Database'!$AA$2:$AA252)="",XLOOKUP($E216,'Player Database'!$B$2:$B252,'Player Database'!$G$2:$G252),XLOOKUP($E216,'Player Database'!$B$2:$B252,'Player Database'!$AA$2:$AA252))</f>
        <v>#N/A</v>
      </c>
      <c r="O216" s="51">
        <f>COUNTIFs(Matches!$B:$B,E216,Matches!$A:$A,"&gt;"&amp;Q216,Matches!$A:$A,"&lt;"&amp;R216)</f>
        <v>0</v>
      </c>
      <c r="P216" s="51">
        <f>COUNTIFs(Matches!$C:$C,E216,Matches!$A:$A,"&gt;"&amp;Q216,Matches!$A:$A,"&lt;"&amp;R216)</f>
        <v>0</v>
      </c>
      <c r="Q216" s="52">
        <f>VLOOKUP($C$2,Quotas!$A$7:$E$14,2,FALSE)</f>
        <v>46171.70833</v>
      </c>
      <c r="R216" s="52">
        <f>VLOOKUP($C$2,Quotas!$A$7:$E$14,3,FALSE)</f>
        <v>46178.70833</v>
      </c>
    </row>
    <row r="217">
      <c r="A217" s="82" t="str">
        <f t="array" ref="A217">XLOOKUP($E217,'Player Database'!$B$2:$B252,'Player Database'!$C$2:$C252)</f>
        <v>#N/A</v>
      </c>
      <c r="B217" s="82" t="str">
        <f t="array" ref="B217">XLOOKUP($E217,'Player Database'!$B$2:$B252,'Player Database'!$E$2:$E252)</f>
        <v>#N/A</v>
      </c>
      <c r="C217" s="82" t="str">
        <f t="array" ref="C217">XLOOKUP($E217,'Player Database'!$B$2:$B252,'Player Database'!$F$2:$F252)</f>
        <v>#N/A</v>
      </c>
      <c r="D217" s="81">
        <f>IFERROR(__xludf.DUMMYFUNCTION("""COMPUTED_VALUE"""),1.0)</f>
        <v>1</v>
      </c>
      <c r="E217" s="41"/>
      <c r="F217" s="42" t="str">
        <f t="array" ref="F217">XLOOKUP($E217,'Player Database'!$B$2:$B252,'Player Database'!$K$2:$K252)</f>
        <v>#N/A</v>
      </c>
      <c r="G217" s="42" t="str">
        <f t="array" ref="G217">XLOOKUP($E217,'Player Database'!$B$2:$B252,'Player Database'!$AE$2:$AE252)</f>
        <v>#N/A</v>
      </c>
      <c r="H217" s="42" t="str">
        <f t="array" ref="H217">XLOOKUP($E217,'Player Database'!$B$2:$B252,'Player Database'!$H$2:$H252)</f>
        <v>#N/A</v>
      </c>
      <c r="I217" s="42" t="str">
        <f t="array" ref="I217">XLOOKUP($E217,'Player Database'!$B$2:$B252,'Player Database'!$O$2:$O252)</f>
        <v>#N/A</v>
      </c>
      <c r="J217" s="42" t="str">
        <f t="array" ref="J217">XLOOKUP($E217,'Player Database'!$B$2:$B252,'Player Database'!$P$2:$P252)</f>
        <v>#N/A</v>
      </c>
      <c r="K217" s="44" t="str">
        <f t="array" ref="K217">XLOOKUP($E217,'Player Database'!$B$2:$B252,'Player Database'!$U$2:$U252)</f>
        <v>#N/A</v>
      </c>
      <c r="L217" s="47" t="str">
        <f t="array" ref="L217">XLOOKUP($E217,'Player Database'!$B$2:$B252,'Player Database'!$W$2:$W252)</f>
        <v>#N/A</v>
      </c>
      <c r="M217" s="48" t="str">
        <f t="shared" si="1"/>
        <v>0 - 0</v>
      </c>
      <c r="N217" s="50" t="str">
        <f t="array" ref="N217">IF(XLOOKUP($E217,'Player Database'!$B$2:$B252,'Player Database'!$AA$2:$AA252)="",XLOOKUP($E217,'Player Database'!$B$2:$B252,'Player Database'!$G$2:$G252),XLOOKUP($E217,'Player Database'!$B$2:$B252,'Player Database'!$AA$2:$AA252))</f>
        <v>#N/A</v>
      </c>
      <c r="O217" s="51">
        <f>COUNTIFs(Matches!$B:$B,E217,Matches!$A:$A,"&gt;"&amp;Q217,Matches!$A:$A,"&lt;"&amp;R217)</f>
        <v>0</v>
      </c>
      <c r="P217" s="51">
        <f>COUNTIFs(Matches!$C:$C,E217,Matches!$A:$A,"&gt;"&amp;Q217,Matches!$A:$A,"&lt;"&amp;R217)</f>
        <v>0</v>
      </c>
      <c r="Q217" s="52">
        <f>VLOOKUP($C$2,Quotas!$A$7:$E$14,2,FALSE)</f>
        <v>46171.70833</v>
      </c>
      <c r="R217" s="52">
        <f>VLOOKUP($C$2,Quotas!$A$7:$E$14,3,FALSE)</f>
        <v>46178.70833</v>
      </c>
    </row>
    <row r="218">
      <c r="A218" s="82" t="str">
        <f t="array" ref="A218">XLOOKUP($E218,'Player Database'!$B$2:$B252,'Player Database'!$C$2:$C252)</f>
        <v>#N/A</v>
      </c>
      <c r="B218" s="82" t="str">
        <f t="array" ref="B218">XLOOKUP($E218,'Player Database'!$B$2:$B252,'Player Database'!$E$2:$E252)</f>
        <v>#N/A</v>
      </c>
      <c r="C218" s="82" t="str">
        <f t="array" ref="C218">XLOOKUP($E218,'Player Database'!$B$2:$B252,'Player Database'!$F$2:$F252)</f>
        <v>#N/A</v>
      </c>
      <c r="D218" s="81">
        <f>IFERROR(__xludf.DUMMYFUNCTION("""COMPUTED_VALUE"""),1.0)</f>
        <v>1</v>
      </c>
      <c r="E218" s="41"/>
      <c r="F218" s="42" t="str">
        <f t="array" ref="F218">XLOOKUP($E218,'Player Database'!$B$2:$B252,'Player Database'!$K$2:$K252)</f>
        <v>#N/A</v>
      </c>
      <c r="G218" s="42" t="str">
        <f t="array" ref="G218">XLOOKUP($E218,'Player Database'!$B$2:$B252,'Player Database'!$AE$2:$AE252)</f>
        <v>#N/A</v>
      </c>
      <c r="H218" s="42" t="str">
        <f t="array" ref="H218">XLOOKUP($E218,'Player Database'!$B$2:$B252,'Player Database'!$H$2:$H252)</f>
        <v>#N/A</v>
      </c>
      <c r="I218" s="42" t="str">
        <f t="array" ref="I218">XLOOKUP($E218,'Player Database'!$B$2:$B252,'Player Database'!$O$2:$O252)</f>
        <v>#N/A</v>
      </c>
      <c r="J218" s="42" t="str">
        <f t="array" ref="J218">XLOOKUP($E218,'Player Database'!$B$2:$B252,'Player Database'!$P$2:$P252)</f>
        <v>#N/A</v>
      </c>
      <c r="K218" s="44" t="str">
        <f t="array" ref="K218">XLOOKUP($E218,'Player Database'!$B$2:$B252,'Player Database'!$U$2:$U252)</f>
        <v>#N/A</v>
      </c>
      <c r="L218" s="47" t="str">
        <f t="array" ref="L218">XLOOKUP($E218,'Player Database'!$B$2:$B252,'Player Database'!$W$2:$W252)</f>
        <v>#N/A</v>
      </c>
      <c r="M218" s="48" t="str">
        <f t="shared" si="1"/>
        <v>0 - 0</v>
      </c>
      <c r="N218" s="50" t="str">
        <f t="array" ref="N218">IF(XLOOKUP($E218,'Player Database'!$B$2:$B252,'Player Database'!$AA$2:$AA252)="",XLOOKUP($E218,'Player Database'!$B$2:$B252,'Player Database'!$G$2:$G252),XLOOKUP($E218,'Player Database'!$B$2:$B252,'Player Database'!$AA$2:$AA252))</f>
        <v>#N/A</v>
      </c>
      <c r="O218" s="51">
        <f>COUNTIFs(Matches!$B:$B,E218,Matches!$A:$A,"&gt;"&amp;Q218,Matches!$A:$A,"&lt;"&amp;R218)</f>
        <v>0</v>
      </c>
      <c r="P218" s="51">
        <f>COUNTIFs(Matches!$C:$C,E218,Matches!$A:$A,"&gt;"&amp;Q218,Matches!$A:$A,"&lt;"&amp;R218)</f>
        <v>0</v>
      </c>
      <c r="Q218" s="52">
        <f>VLOOKUP($C$2,Quotas!$A$7:$E$14,2,FALSE)</f>
        <v>46171.70833</v>
      </c>
      <c r="R218" s="52">
        <f>VLOOKUP($C$2,Quotas!$A$7:$E$14,3,FALSE)</f>
        <v>46178.70833</v>
      </c>
    </row>
    <row r="219">
      <c r="A219" s="82" t="str">
        <f t="array" ref="A219">XLOOKUP($E219,'Player Database'!$B$2:$B252,'Player Database'!$C$2:$C252)</f>
        <v>#N/A</v>
      </c>
      <c r="B219" s="82" t="str">
        <f t="array" ref="B219">XLOOKUP($E219,'Player Database'!$B$2:$B252,'Player Database'!$E$2:$E252)</f>
        <v>#N/A</v>
      </c>
      <c r="C219" s="82" t="str">
        <f t="array" ref="C219">XLOOKUP($E219,'Player Database'!$B$2:$B252,'Player Database'!$F$2:$F252)</f>
        <v>#N/A</v>
      </c>
      <c r="D219" s="81">
        <f>IFERROR(__xludf.DUMMYFUNCTION("""COMPUTED_VALUE"""),1.0)</f>
        <v>1</v>
      </c>
      <c r="E219" s="41"/>
      <c r="F219" s="42" t="str">
        <f t="array" ref="F219">XLOOKUP($E219,'Player Database'!$B$2:$B252,'Player Database'!$K$2:$K252)</f>
        <v>#N/A</v>
      </c>
      <c r="G219" s="42" t="str">
        <f t="array" ref="G219">XLOOKUP($E219,'Player Database'!$B$2:$B252,'Player Database'!$AE$2:$AE252)</f>
        <v>#N/A</v>
      </c>
      <c r="H219" s="42" t="str">
        <f t="array" ref="H219">XLOOKUP($E219,'Player Database'!$B$2:$B252,'Player Database'!$H$2:$H252)</f>
        <v>#N/A</v>
      </c>
      <c r="I219" s="42" t="str">
        <f t="array" ref="I219">XLOOKUP($E219,'Player Database'!$B$2:$B252,'Player Database'!$O$2:$O252)</f>
        <v>#N/A</v>
      </c>
      <c r="J219" s="42" t="str">
        <f t="array" ref="J219">XLOOKUP($E219,'Player Database'!$B$2:$B252,'Player Database'!$P$2:$P252)</f>
        <v>#N/A</v>
      </c>
      <c r="K219" s="44" t="str">
        <f t="array" ref="K219">XLOOKUP($E219,'Player Database'!$B$2:$B252,'Player Database'!$U$2:$U252)</f>
        <v>#N/A</v>
      </c>
      <c r="L219" s="47" t="str">
        <f t="array" ref="L219">XLOOKUP($E219,'Player Database'!$B$2:$B252,'Player Database'!$W$2:$W252)</f>
        <v>#N/A</v>
      </c>
      <c r="M219" s="48" t="str">
        <f t="shared" si="1"/>
        <v>0 - 0</v>
      </c>
      <c r="N219" s="50" t="str">
        <f t="array" ref="N219">IF(XLOOKUP($E219,'Player Database'!$B$2:$B252,'Player Database'!$AA$2:$AA252)="",XLOOKUP($E219,'Player Database'!$B$2:$B252,'Player Database'!$G$2:$G252),XLOOKUP($E219,'Player Database'!$B$2:$B252,'Player Database'!$AA$2:$AA252))</f>
        <v>#N/A</v>
      </c>
      <c r="O219" s="51">
        <f>COUNTIFs(Matches!$B:$B,E219,Matches!$A:$A,"&gt;"&amp;Q219,Matches!$A:$A,"&lt;"&amp;R219)</f>
        <v>0</v>
      </c>
      <c r="P219" s="51">
        <f>COUNTIFs(Matches!$C:$C,E219,Matches!$A:$A,"&gt;"&amp;Q219,Matches!$A:$A,"&lt;"&amp;R219)</f>
        <v>0</v>
      </c>
      <c r="Q219" s="52">
        <f>VLOOKUP($C$2,Quotas!$A$7:$E$14,2,FALSE)</f>
        <v>46171.70833</v>
      </c>
      <c r="R219" s="52">
        <f>VLOOKUP($C$2,Quotas!$A$7:$E$14,3,FALSE)</f>
        <v>46178.70833</v>
      </c>
    </row>
    <row r="220">
      <c r="A220" s="82" t="str">
        <f t="array" ref="A220">XLOOKUP($E220,'Player Database'!$B$2:$B252,'Player Database'!$C$2:$C252)</f>
        <v>#N/A</v>
      </c>
      <c r="B220" s="82" t="str">
        <f t="array" ref="B220">XLOOKUP($E220,'Player Database'!$B$2:$B252,'Player Database'!$E$2:$E252)</f>
        <v>#N/A</v>
      </c>
      <c r="C220" s="82" t="str">
        <f t="array" ref="C220">XLOOKUP($E220,'Player Database'!$B$2:$B252,'Player Database'!$F$2:$F252)</f>
        <v>#N/A</v>
      </c>
      <c r="D220" s="81">
        <f>IFERROR(__xludf.DUMMYFUNCTION("""COMPUTED_VALUE"""),1.0)</f>
        <v>1</v>
      </c>
      <c r="E220" s="41"/>
      <c r="F220" s="42" t="str">
        <f t="array" ref="F220">XLOOKUP($E220,'Player Database'!$B$2:$B252,'Player Database'!$K$2:$K252)</f>
        <v>#N/A</v>
      </c>
      <c r="G220" s="42" t="str">
        <f t="array" ref="G220">XLOOKUP($E220,'Player Database'!$B$2:$B252,'Player Database'!$AE$2:$AE252)</f>
        <v>#N/A</v>
      </c>
      <c r="H220" s="42" t="str">
        <f t="array" ref="H220">XLOOKUP($E220,'Player Database'!$B$2:$B252,'Player Database'!$H$2:$H252)</f>
        <v>#N/A</v>
      </c>
      <c r="I220" s="42" t="str">
        <f t="array" ref="I220">XLOOKUP($E220,'Player Database'!$B$2:$B252,'Player Database'!$O$2:$O252)</f>
        <v>#N/A</v>
      </c>
      <c r="J220" s="42" t="str">
        <f t="array" ref="J220">XLOOKUP($E220,'Player Database'!$B$2:$B252,'Player Database'!$P$2:$P252)</f>
        <v>#N/A</v>
      </c>
      <c r="K220" s="44" t="str">
        <f t="array" ref="K220">XLOOKUP($E220,'Player Database'!$B$2:$B252,'Player Database'!$U$2:$U252)</f>
        <v>#N/A</v>
      </c>
      <c r="L220" s="47" t="str">
        <f t="array" ref="L220">XLOOKUP($E220,'Player Database'!$B$2:$B252,'Player Database'!$W$2:$W252)</f>
        <v>#N/A</v>
      </c>
      <c r="M220" s="48" t="str">
        <f t="shared" si="1"/>
        <v>0 - 0</v>
      </c>
      <c r="N220" s="50" t="str">
        <f t="array" ref="N220">IF(XLOOKUP($E220,'Player Database'!$B$2:$B252,'Player Database'!$AA$2:$AA252)="",XLOOKUP($E220,'Player Database'!$B$2:$B252,'Player Database'!$G$2:$G252),XLOOKUP($E220,'Player Database'!$B$2:$B252,'Player Database'!$AA$2:$AA252))</f>
        <v>#N/A</v>
      </c>
      <c r="O220" s="51">
        <f>COUNTIFs(Matches!$B:$B,E220,Matches!$A:$A,"&gt;"&amp;Q220,Matches!$A:$A,"&lt;"&amp;R220)</f>
        <v>0</v>
      </c>
      <c r="P220" s="51">
        <f>COUNTIFs(Matches!$C:$C,E220,Matches!$A:$A,"&gt;"&amp;Q220,Matches!$A:$A,"&lt;"&amp;R220)</f>
        <v>0</v>
      </c>
      <c r="Q220" s="52">
        <f>VLOOKUP($C$2,Quotas!$A$7:$E$14,2,FALSE)</f>
        <v>46171.70833</v>
      </c>
      <c r="R220" s="52">
        <f>VLOOKUP($C$2,Quotas!$A$7:$E$14,3,FALSE)</f>
        <v>46178.70833</v>
      </c>
    </row>
    <row r="221">
      <c r="A221" s="82" t="str">
        <f t="array" ref="A221">XLOOKUP($E221,'Player Database'!$B$2:$B252,'Player Database'!$C$2:$C252)</f>
        <v>#N/A</v>
      </c>
      <c r="B221" s="82" t="str">
        <f t="array" ref="B221">XLOOKUP($E221,'Player Database'!$B$2:$B252,'Player Database'!$E$2:$E252)</f>
        <v>#N/A</v>
      </c>
      <c r="C221" s="82" t="str">
        <f t="array" ref="C221">XLOOKUP($E221,'Player Database'!$B$2:$B252,'Player Database'!$F$2:$F252)</f>
        <v>#N/A</v>
      </c>
      <c r="D221" s="81">
        <f>IFERROR(__xludf.DUMMYFUNCTION("""COMPUTED_VALUE"""),1.0)</f>
        <v>1</v>
      </c>
      <c r="E221" s="41"/>
      <c r="F221" s="42" t="str">
        <f t="array" ref="F221">XLOOKUP($E221,'Player Database'!$B$2:$B252,'Player Database'!$K$2:$K252)</f>
        <v>#N/A</v>
      </c>
      <c r="G221" s="42" t="str">
        <f t="array" ref="G221">XLOOKUP($E221,'Player Database'!$B$2:$B252,'Player Database'!$AE$2:$AE252)</f>
        <v>#N/A</v>
      </c>
      <c r="H221" s="42" t="str">
        <f t="array" ref="H221">XLOOKUP($E221,'Player Database'!$B$2:$B252,'Player Database'!$H$2:$H252)</f>
        <v>#N/A</v>
      </c>
      <c r="I221" s="42" t="str">
        <f t="array" ref="I221">XLOOKUP($E221,'Player Database'!$B$2:$B252,'Player Database'!$O$2:$O252)</f>
        <v>#N/A</v>
      </c>
      <c r="J221" s="42" t="str">
        <f t="array" ref="J221">XLOOKUP($E221,'Player Database'!$B$2:$B252,'Player Database'!$P$2:$P252)</f>
        <v>#N/A</v>
      </c>
      <c r="K221" s="44" t="str">
        <f t="array" ref="K221">XLOOKUP($E221,'Player Database'!$B$2:$B252,'Player Database'!$U$2:$U252)</f>
        <v>#N/A</v>
      </c>
      <c r="L221" s="47" t="str">
        <f t="array" ref="L221">XLOOKUP($E221,'Player Database'!$B$2:$B252,'Player Database'!$W$2:$W252)</f>
        <v>#N/A</v>
      </c>
      <c r="M221" s="48" t="str">
        <f t="shared" si="1"/>
        <v>0 - 0</v>
      </c>
      <c r="N221" s="50" t="str">
        <f t="array" ref="N221">IF(XLOOKUP($E221,'Player Database'!$B$2:$B252,'Player Database'!$AA$2:$AA252)="",XLOOKUP($E221,'Player Database'!$B$2:$B252,'Player Database'!$G$2:$G252),XLOOKUP($E221,'Player Database'!$B$2:$B252,'Player Database'!$AA$2:$AA252))</f>
        <v>#N/A</v>
      </c>
      <c r="O221" s="51">
        <f>COUNTIFs(Matches!$B:$B,E221,Matches!$A:$A,"&gt;"&amp;Q221,Matches!$A:$A,"&lt;"&amp;R221)</f>
        <v>0</v>
      </c>
      <c r="P221" s="51">
        <f>COUNTIFs(Matches!$C:$C,E221,Matches!$A:$A,"&gt;"&amp;Q221,Matches!$A:$A,"&lt;"&amp;R221)</f>
        <v>0</v>
      </c>
      <c r="Q221" s="52">
        <f>VLOOKUP($C$2,Quotas!$A$7:$E$14,2,FALSE)</f>
        <v>46171.70833</v>
      </c>
      <c r="R221" s="52">
        <f>VLOOKUP($C$2,Quotas!$A$7:$E$14,3,FALSE)</f>
        <v>46178.70833</v>
      </c>
    </row>
    <row r="222">
      <c r="A222" s="82" t="str">
        <f t="array" ref="A222">XLOOKUP($E222,'Player Database'!$B$2:$B252,'Player Database'!$C$2:$C252)</f>
        <v>#N/A</v>
      </c>
      <c r="B222" s="82" t="str">
        <f t="array" ref="B222">XLOOKUP($E222,'Player Database'!$B$2:$B252,'Player Database'!$E$2:$E252)</f>
        <v>#N/A</v>
      </c>
      <c r="C222" s="82" t="str">
        <f t="array" ref="C222">XLOOKUP($E222,'Player Database'!$B$2:$B252,'Player Database'!$F$2:$F252)</f>
        <v>#N/A</v>
      </c>
      <c r="D222" s="81">
        <f>IFERROR(__xludf.DUMMYFUNCTION("""COMPUTED_VALUE"""),1.0)</f>
        <v>1</v>
      </c>
      <c r="E222" s="41"/>
      <c r="F222" s="42" t="str">
        <f t="array" ref="F222">XLOOKUP($E222,'Player Database'!$B$2:$B252,'Player Database'!$K$2:$K252)</f>
        <v>#N/A</v>
      </c>
      <c r="G222" s="42" t="str">
        <f t="array" ref="G222">XLOOKUP($E222,'Player Database'!$B$2:$B252,'Player Database'!$AE$2:$AE252)</f>
        <v>#N/A</v>
      </c>
      <c r="H222" s="42" t="str">
        <f t="array" ref="H222">XLOOKUP($E222,'Player Database'!$B$2:$B252,'Player Database'!$H$2:$H252)</f>
        <v>#N/A</v>
      </c>
      <c r="I222" s="42" t="str">
        <f t="array" ref="I222">XLOOKUP($E222,'Player Database'!$B$2:$B252,'Player Database'!$O$2:$O252)</f>
        <v>#N/A</v>
      </c>
      <c r="J222" s="42" t="str">
        <f t="array" ref="J222">XLOOKUP($E222,'Player Database'!$B$2:$B252,'Player Database'!$P$2:$P252)</f>
        <v>#N/A</v>
      </c>
      <c r="K222" s="44" t="str">
        <f t="array" ref="K222">XLOOKUP($E222,'Player Database'!$B$2:$B252,'Player Database'!$U$2:$U252)</f>
        <v>#N/A</v>
      </c>
      <c r="L222" s="47" t="str">
        <f t="array" ref="L222">XLOOKUP($E222,'Player Database'!$B$2:$B252,'Player Database'!$W$2:$W252)</f>
        <v>#N/A</v>
      </c>
      <c r="M222" s="48" t="str">
        <f t="shared" si="1"/>
        <v>0 - 0</v>
      </c>
      <c r="N222" s="50" t="str">
        <f t="array" ref="N222">IF(XLOOKUP($E222,'Player Database'!$B$2:$B252,'Player Database'!$AA$2:$AA252)="",XLOOKUP($E222,'Player Database'!$B$2:$B252,'Player Database'!$G$2:$G252),XLOOKUP($E222,'Player Database'!$B$2:$B252,'Player Database'!$AA$2:$AA252))</f>
        <v>#N/A</v>
      </c>
      <c r="O222" s="51">
        <f>COUNTIFs(Matches!$B:$B,E222,Matches!$A:$A,"&gt;"&amp;Q222,Matches!$A:$A,"&lt;"&amp;R222)</f>
        <v>0</v>
      </c>
      <c r="P222" s="51">
        <f>COUNTIFs(Matches!$C:$C,E222,Matches!$A:$A,"&gt;"&amp;Q222,Matches!$A:$A,"&lt;"&amp;R222)</f>
        <v>0</v>
      </c>
      <c r="Q222" s="52">
        <f>VLOOKUP($C$2,Quotas!$A$7:$E$14,2,FALSE)</f>
        <v>46171.70833</v>
      </c>
      <c r="R222" s="52">
        <f>VLOOKUP($C$2,Quotas!$A$7:$E$14,3,FALSE)</f>
        <v>46178.70833</v>
      </c>
    </row>
    <row r="223">
      <c r="A223" s="82" t="str">
        <f t="array" ref="A223">XLOOKUP($E223,'Player Database'!$B$2:$B252,'Player Database'!$C$2:$C252)</f>
        <v>#N/A</v>
      </c>
      <c r="B223" s="82" t="str">
        <f t="array" ref="B223">XLOOKUP($E223,'Player Database'!$B$2:$B252,'Player Database'!$E$2:$E252)</f>
        <v>#N/A</v>
      </c>
      <c r="C223" s="82" t="str">
        <f t="array" ref="C223">XLOOKUP($E223,'Player Database'!$B$2:$B252,'Player Database'!$F$2:$F252)</f>
        <v>#N/A</v>
      </c>
      <c r="D223" s="81">
        <f>IFERROR(__xludf.DUMMYFUNCTION("""COMPUTED_VALUE"""),1.0)</f>
        <v>1</v>
      </c>
      <c r="E223" s="41"/>
      <c r="F223" s="42" t="str">
        <f t="array" ref="F223">XLOOKUP($E223,'Player Database'!$B$2:$B252,'Player Database'!$K$2:$K252)</f>
        <v>#N/A</v>
      </c>
      <c r="G223" s="42" t="str">
        <f t="array" ref="G223">XLOOKUP($E223,'Player Database'!$B$2:$B252,'Player Database'!$AE$2:$AE252)</f>
        <v>#N/A</v>
      </c>
      <c r="H223" s="42" t="str">
        <f t="array" ref="H223">XLOOKUP($E223,'Player Database'!$B$2:$B252,'Player Database'!$H$2:$H252)</f>
        <v>#N/A</v>
      </c>
      <c r="I223" s="42" t="str">
        <f t="array" ref="I223">XLOOKUP($E223,'Player Database'!$B$2:$B252,'Player Database'!$O$2:$O252)</f>
        <v>#N/A</v>
      </c>
      <c r="J223" s="42" t="str">
        <f t="array" ref="J223">XLOOKUP($E223,'Player Database'!$B$2:$B252,'Player Database'!$P$2:$P252)</f>
        <v>#N/A</v>
      </c>
      <c r="K223" s="44" t="str">
        <f t="array" ref="K223">XLOOKUP($E223,'Player Database'!$B$2:$B252,'Player Database'!$U$2:$U252)</f>
        <v>#N/A</v>
      </c>
      <c r="L223" s="47" t="str">
        <f t="array" ref="L223">XLOOKUP($E223,'Player Database'!$B$2:$B252,'Player Database'!$W$2:$W252)</f>
        <v>#N/A</v>
      </c>
      <c r="M223" s="48" t="str">
        <f t="shared" si="1"/>
        <v>0 - 0</v>
      </c>
      <c r="N223" s="50" t="str">
        <f t="array" ref="N223">IF(XLOOKUP($E223,'Player Database'!$B$2:$B252,'Player Database'!$AA$2:$AA252)="",XLOOKUP($E223,'Player Database'!$B$2:$B252,'Player Database'!$G$2:$G252),XLOOKUP($E223,'Player Database'!$B$2:$B252,'Player Database'!$AA$2:$AA252))</f>
        <v>#N/A</v>
      </c>
      <c r="O223" s="51">
        <f>COUNTIFs(Matches!$B:$B,E223,Matches!$A:$A,"&gt;"&amp;Q223,Matches!$A:$A,"&lt;"&amp;R223)</f>
        <v>0</v>
      </c>
      <c r="P223" s="51">
        <f>COUNTIFs(Matches!$C:$C,E223,Matches!$A:$A,"&gt;"&amp;Q223,Matches!$A:$A,"&lt;"&amp;R223)</f>
        <v>0</v>
      </c>
      <c r="Q223" s="52">
        <f>VLOOKUP($C$2,Quotas!$A$7:$E$14,2,FALSE)</f>
        <v>46171.70833</v>
      </c>
      <c r="R223" s="52">
        <f>VLOOKUP($C$2,Quotas!$A$7:$E$14,3,FALSE)</f>
        <v>46178.70833</v>
      </c>
    </row>
    <row r="224">
      <c r="A224" s="82" t="str">
        <f t="array" ref="A224">XLOOKUP($E224,'Player Database'!$B$2:$B252,'Player Database'!$C$2:$C252)</f>
        <v>#N/A</v>
      </c>
      <c r="B224" s="82" t="str">
        <f t="array" ref="B224">XLOOKUP($E224,'Player Database'!$B$2:$B252,'Player Database'!$E$2:$E252)</f>
        <v>#N/A</v>
      </c>
      <c r="C224" s="82" t="str">
        <f t="array" ref="C224">XLOOKUP($E224,'Player Database'!$B$2:$B252,'Player Database'!$F$2:$F252)</f>
        <v>#N/A</v>
      </c>
      <c r="D224" s="81">
        <f>IFERROR(__xludf.DUMMYFUNCTION("""COMPUTED_VALUE"""),1.0)</f>
        <v>1</v>
      </c>
      <c r="E224" s="41"/>
      <c r="F224" s="42" t="str">
        <f t="array" ref="F224">XLOOKUP($E224,'Player Database'!$B$2:$B252,'Player Database'!$K$2:$K252)</f>
        <v>#N/A</v>
      </c>
      <c r="G224" s="42" t="str">
        <f t="array" ref="G224">XLOOKUP($E224,'Player Database'!$B$2:$B252,'Player Database'!$AE$2:$AE252)</f>
        <v>#N/A</v>
      </c>
      <c r="H224" s="42" t="str">
        <f t="array" ref="H224">XLOOKUP($E224,'Player Database'!$B$2:$B252,'Player Database'!$H$2:$H252)</f>
        <v>#N/A</v>
      </c>
      <c r="I224" s="42" t="str">
        <f t="array" ref="I224">XLOOKUP($E224,'Player Database'!$B$2:$B252,'Player Database'!$O$2:$O252)</f>
        <v>#N/A</v>
      </c>
      <c r="J224" s="42" t="str">
        <f t="array" ref="J224">XLOOKUP($E224,'Player Database'!$B$2:$B252,'Player Database'!$P$2:$P252)</f>
        <v>#N/A</v>
      </c>
      <c r="K224" s="44" t="str">
        <f t="array" ref="K224">XLOOKUP($E224,'Player Database'!$B$2:$B252,'Player Database'!$U$2:$U252)</f>
        <v>#N/A</v>
      </c>
      <c r="L224" s="47" t="str">
        <f t="array" ref="L224">XLOOKUP($E224,'Player Database'!$B$2:$B252,'Player Database'!$W$2:$W252)</f>
        <v>#N/A</v>
      </c>
      <c r="M224" s="48" t="str">
        <f t="shared" si="1"/>
        <v>0 - 0</v>
      </c>
      <c r="N224" s="50" t="str">
        <f t="array" ref="N224">IF(XLOOKUP($E224,'Player Database'!$B$2:$B252,'Player Database'!$AA$2:$AA252)="",XLOOKUP($E224,'Player Database'!$B$2:$B252,'Player Database'!$G$2:$G252),XLOOKUP($E224,'Player Database'!$B$2:$B252,'Player Database'!$AA$2:$AA252))</f>
        <v>#N/A</v>
      </c>
      <c r="O224" s="51">
        <f>COUNTIFs(Matches!$B:$B,E224,Matches!$A:$A,"&gt;"&amp;Q224,Matches!$A:$A,"&lt;"&amp;R224)</f>
        <v>0</v>
      </c>
      <c r="P224" s="51">
        <f>COUNTIFs(Matches!$C:$C,E224,Matches!$A:$A,"&gt;"&amp;Q224,Matches!$A:$A,"&lt;"&amp;R224)</f>
        <v>0</v>
      </c>
      <c r="Q224" s="52">
        <f>VLOOKUP($C$2,Quotas!$A$7:$E$14,2,FALSE)</f>
        <v>46171.70833</v>
      </c>
      <c r="R224" s="52">
        <f>VLOOKUP($C$2,Quotas!$A$7:$E$14,3,FALSE)</f>
        <v>46178.70833</v>
      </c>
    </row>
    <row r="225">
      <c r="A225" s="82" t="str">
        <f t="array" ref="A225">XLOOKUP($E225,'Player Database'!$B$2:$B252,'Player Database'!$C$2:$C252)</f>
        <v>#N/A</v>
      </c>
      <c r="B225" s="82" t="str">
        <f t="array" ref="B225">XLOOKUP($E225,'Player Database'!$B$2:$B252,'Player Database'!$E$2:$E252)</f>
        <v>#N/A</v>
      </c>
      <c r="C225" s="82" t="str">
        <f t="array" ref="C225">XLOOKUP($E225,'Player Database'!$B$2:$B252,'Player Database'!$F$2:$F252)</f>
        <v>#N/A</v>
      </c>
      <c r="D225" s="81">
        <f>IFERROR(__xludf.DUMMYFUNCTION("""COMPUTED_VALUE"""),1.0)</f>
        <v>1</v>
      </c>
      <c r="E225" s="41"/>
      <c r="F225" s="42" t="str">
        <f t="array" ref="F225">XLOOKUP($E225,'Player Database'!$B$2:$B252,'Player Database'!$K$2:$K252)</f>
        <v>#N/A</v>
      </c>
      <c r="G225" s="42" t="str">
        <f t="array" ref="G225">XLOOKUP($E225,'Player Database'!$B$2:$B252,'Player Database'!$AE$2:$AE252)</f>
        <v>#N/A</v>
      </c>
      <c r="H225" s="42" t="str">
        <f t="array" ref="H225">XLOOKUP($E225,'Player Database'!$B$2:$B252,'Player Database'!$H$2:$H252)</f>
        <v>#N/A</v>
      </c>
      <c r="I225" s="42" t="str">
        <f t="array" ref="I225">XLOOKUP($E225,'Player Database'!$B$2:$B252,'Player Database'!$O$2:$O252)</f>
        <v>#N/A</v>
      </c>
      <c r="J225" s="42" t="str">
        <f t="array" ref="J225">XLOOKUP($E225,'Player Database'!$B$2:$B252,'Player Database'!$P$2:$P252)</f>
        <v>#N/A</v>
      </c>
      <c r="K225" s="44" t="str">
        <f t="array" ref="K225">XLOOKUP($E225,'Player Database'!$B$2:$B252,'Player Database'!$U$2:$U252)</f>
        <v>#N/A</v>
      </c>
      <c r="L225" s="47" t="str">
        <f t="array" ref="L225">XLOOKUP($E225,'Player Database'!$B$2:$B252,'Player Database'!$W$2:$W252)</f>
        <v>#N/A</v>
      </c>
      <c r="M225" s="48" t="str">
        <f t="shared" si="1"/>
        <v>0 - 0</v>
      </c>
      <c r="N225" s="50" t="str">
        <f t="array" ref="N225">IF(XLOOKUP($E225,'Player Database'!$B$2:$B252,'Player Database'!$AA$2:$AA252)="",XLOOKUP($E225,'Player Database'!$B$2:$B252,'Player Database'!$G$2:$G252),XLOOKUP($E225,'Player Database'!$B$2:$B252,'Player Database'!$AA$2:$AA252))</f>
        <v>#N/A</v>
      </c>
      <c r="O225" s="51">
        <f>COUNTIFs(Matches!$B:$B,E225,Matches!$A:$A,"&gt;"&amp;Q225,Matches!$A:$A,"&lt;"&amp;R225)</f>
        <v>0</v>
      </c>
      <c r="P225" s="51">
        <f>COUNTIFs(Matches!$C:$C,E225,Matches!$A:$A,"&gt;"&amp;Q225,Matches!$A:$A,"&lt;"&amp;R225)</f>
        <v>0</v>
      </c>
      <c r="Q225" s="52">
        <f>VLOOKUP($C$2,Quotas!$A$7:$E$14,2,FALSE)</f>
        <v>46171.70833</v>
      </c>
      <c r="R225" s="52">
        <f>VLOOKUP($C$2,Quotas!$A$7:$E$14,3,FALSE)</f>
        <v>46178.70833</v>
      </c>
    </row>
    <row r="226">
      <c r="A226" s="82" t="str">
        <f t="array" ref="A226">XLOOKUP($E226,'Player Database'!$B$2:$B252,'Player Database'!$C$2:$C252)</f>
        <v>#N/A</v>
      </c>
      <c r="B226" s="82" t="str">
        <f t="array" ref="B226">XLOOKUP($E226,'Player Database'!$B$2:$B252,'Player Database'!$E$2:$E252)</f>
        <v>#N/A</v>
      </c>
      <c r="C226" s="82" t="str">
        <f t="array" ref="C226">XLOOKUP($E226,'Player Database'!$B$2:$B252,'Player Database'!$F$2:$F252)</f>
        <v>#N/A</v>
      </c>
      <c r="D226" s="81">
        <f>IFERROR(__xludf.DUMMYFUNCTION("""COMPUTED_VALUE"""),1.0)</f>
        <v>1</v>
      </c>
      <c r="E226" s="41"/>
      <c r="F226" s="42" t="str">
        <f t="array" ref="F226">XLOOKUP($E226,'Player Database'!$B$2:$B252,'Player Database'!$K$2:$K252)</f>
        <v>#N/A</v>
      </c>
      <c r="G226" s="42" t="str">
        <f t="array" ref="G226">XLOOKUP($E226,'Player Database'!$B$2:$B252,'Player Database'!$AE$2:$AE252)</f>
        <v>#N/A</v>
      </c>
      <c r="H226" s="42" t="str">
        <f t="array" ref="H226">XLOOKUP($E226,'Player Database'!$B$2:$B252,'Player Database'!$H$2:$H252)</f>
        <v>#N/A</v>
      </c>
      <c r="I226" s="42" t="str">
        <f t="array" ref="I226">XLOOKUP($E226,'Player Database'!$B$2:$B252,'Player Database'!$O$2:$O252)</f>
        <v>#N/A</v>
      </c>
      <c r="J226" s="42" t="str">
        <f t="array" ref="J226">XLOOKUP($E226,'Player Database'!$B$2:$B252,'Player Database'!$P$2:$P252)</f>
        <v>#N/A</v>
      </c>
      <c r="K226" s="44" t="str">
        <f t="array" ref="K226">XLOOKUP($E226,'Player Database'!$B$2:$B252,'Player Database'!$U$2:$U252)</f>
        <v>#N/A</v>
      </c>
      <c r="L226" s="47" t="str">
        <f t="array" ref="L226">XLOOKUP($E226,'Player Database'!$B$2:$B252,'Player Database'!$W$2:$W252)</f>
        <v>#N/A</v>
      </c>
      <c r="M226" s="48" t="str">
        <f t="shared" si="1"/>
        <v>0 - 0</v>
      </c>
      <c r="N226" s="50" t="str">
        <f t="array" ref="N226">IF(XLOOKUP($E226,'Player Database'!$B$2:$B252,'Player Database'!$AA$2:$AA252)="",XLOOKUP($E226,'Player Database'!$B$2:$B252,'Player Database'!$G$2:$G252),XLOOKUP($E226,'Player Database'!$B$2:$B252,'Player Database'!$AA$2:$AA252))</f>
        <v>#N/A</v>
      </c>
      <c r="O226" s="51">
        <f>COUNTIFs(Matches!$B:$B,E226,Matches!$A:$A,"&gt;"&amp;Q226,Matches!$A:$A,"&lt;"&amp;R226)</f>
        <v>0</v>
      </c>
      <c r="P226" s="51">
        <f>COUNTIFs(Matches!$C:$C,E226,Matches!$A:$A,"&gt;"&amp;Q226,Matches!$A:$A,"&lt;"&amp;R226)</f>
        <v>0</v>
      </c>
      <c r="Q226" s="52">
        <f>VLOOKUP($C$2,Quotas!$A$7:$E$14,2,FALSE)</f>
        <v>46171.70833</v>
      </c>
      <c r="R226" s="52">
        <f>VLOOKUP($C$2,Quotas!$A$7:$E$14,3,FALSE)</f>
        <v>46178.70833</v>
      </c>
    </row>
    <row r="227">
      <c r="A227" s="82" t="str">
        <f t="array" ref="A227">XLOOKUP($E227,'Player Database'!$B$2:$B252,'Player Database'!$C$2:$C252)</f>
        <v>#N/A</v>
      </c>
      <c r="B227" s="82" t="str">
        <f t="array" ref="B227">XLOOKUP($E227,'Player Database'!$B$2:$B252,'Player Database'!$E$2:$E252)</f>
        <v>#N/A</v>
      </c>
      <c r="C227" s="82" t="str">
        <f t="array" ref="C227">XLOOKUP($E227,'Player Database'!$B$2:$B252,'Player Database'!$F$2:$F252)</f>
        <v>#N/A</v>
      </c>
      <c r="D227" s="81">
        <f>IFERROR(__xludf.DUMMYFUNCTION("""COMPUTED_VALUE"""),1.0)</f>
        <v>1</v>
      </c>
      <c r="E227" s="41"/>
      <c r="F227" s="42" t="str">
        <f t="array" ref="F227">XLOOKUP($E227,'Player Database'!$B$2:$B252,'Player Database'!$K$2:$K252)</f>
        <v>#N/A</v>
      </c>
      <c r="G227" s="42" t="str">
        <f t="array" ref="G227">XLOOKUP($E227,'Player Database'!$B$2:$B252,'Player Database'!$AE$2:$AE252)</f>
        <v>#N/A</v>
      </c>
      <c r="H227" s="42" t="str">
        <f t="array" ref="H227">XLOOKUP($E227,'Player Database'!$B$2:$B252,'Player Database'!$H$2:$H252)</f>
        <v>#N/A</v>
      </c>
      <c r="I227" s="42" t="str">
        <f t="array" ref="I227">XLOOKUP($E227,'Player Database'!$B$2:$B252,'Player Database'!$O$2:$O252)</f>
        <v>#N/A</v>
      </c>
      <c r="J227" s="42" t="str">
        <f t="array" ref="J227">XLOOKUP($E227,'Player Database'!$B$2:$B252,'Player Database'!$P$2:$P252)</f>
        <v>#N/A</v>
      </c>
      <c r="K227" s="44" t="str">
        <f t="array" ref="K227">XLOOKUP($E227,'Player Database'!$B$2:$B252,'Player Database'!$U$2:$U252)</f>
        <v>#N/A</v>
      </c>
      <c r="L227" s="47" t="str">
        <f t="array" ref="L227">XLOOKUP($E227,'Player Database'!$B$2:$B252,'Player Database'!$W$2:$W252)</f>
        <v>#N/A</v>
      </c>
      <c r="M227" s="48" t="str">
        <f t="shared" si="1"/>
        <v>0 - 0</v>
      </c>
      <c r="N227" s="50" t="str">
        <f t="array" ref="N227">IF(XLOOKUP($E227,'Player Database'!$B$2:$B252,'Player Database'!$AA$2:$AA252)="",XLOOKUP($E227,'Player Database'!$B$2:$B252,'Player Database'!$G$2:$G252),XLOOKUP($E227,'Player Database'!$B$2:$B252,'Player Database'!$AA$2:$AA252))</f>
        <v>#N/A</v>
      </c>
      <c r="O227" s="51">
        <f>COUNTIFs(Matches!$B:$B,E227,Matches!$A:$A,"&gt;"&amp;Q227,Matches!$A:$A,"&lt;"&amp;R227)</f>
        <v>0</v>
      </c>
      <c r="P227" s="51">
        <f>COUNTIFs(Matches!$C:$C,E227,Matches!$A:$A,"&gt;"&amp;Q227,Matches!$A:$A,"&lt;"&amp;R227)</f>
        <v>0</v>
      </c>
      <c r="Q227" s="52">
        <f>VLOOKUP($C$2,Quotas!$A$7:$E$14,2,FALSE)</f>
        <v>46171.70833</v>
      </c>
      <c r="R227" s="52">
        <f>VLOOKUP($C$2,Quotas!$A$7:$E$14,3,FALSE)</f>
        <v>46178.70833</v>
      </c>
    </row>
    <row r="228">
      <c r="A228" s="82" t="str">
        <f t="array" ref="A228">XLOOKUP($E228,'Player Database'!$B$2:$B252,'Player Database'!$C$2:$C252)</f>
        <v>#N/A</v>
      </c>
      <c r="B228" s="82" t="str">
        <f t="array" ref="B228">XLOOKUP($E228,'Player Database'!$B$2:$B252,'Player Database'!$E$2:$E252)</f>
        <v>#N/A</v>
      </c>
      <c r="C228" s="82" t="str">
        <f t="array" ref="C228">XLOOKUP($E228,'Player Database'!$B$2:$B252,'Player Database'!$F$2:$F252)</f>
        <v>#N/A</v>
      </c>
      <c r="D228" s="81">
        <f>IFERROR(__xludf.DUMMYFUNCTION("""COMPUTED_VALUE"""),1.0)</f>
        <v>1</v>
      </c>
      <c r="E228" s="41"/>
      <c r="F228" s="42" t="str">
        <f t="array" ref="F228">XLOOKUP($E228,'Player Database'!$B$2:$B252,'Player Database'!$K$2:$K252)</f>
        <v>#N/A</v>
      </c>
      <c r="G228" s="42" t="str">
        <f t="array" ref="G228">XLOOKUP($E228,'Player Database'!$B$2:$B252,'Player Database'!$AE$2:$AE252)</f>
        <v>#N/A</v>
      </c>
      <c r="H228" s="42" t="str">
        <f t="array" ref="H228">XLOOKUP($E228,'Player Database'!$B$2:$B252,'Player Database'!$H$2:$H252)</f>
        <v>#N/A</v>
      </c>
      <c r="I228" s="42" t="str">
        <f t="array" ref="I228">XLOOKUP($E228,'Player Database'!$B$2:$B252,'Player Database'!$O$2:$O252)</f>
        <v>#N/A</v>
      </c>
      <c r="J228" s="42" t="str">
        <f t="array" ref="J228">XLOOKUP($E228,'Player Database'!$B$2:$B252,'Player Database'!$P$2:$P252)</f>
        <v>#N/A</v>
      </c>
      <c r="K228" s="44" t="str">
        <f t="array" ref="K228">XLOOKUP($E228,'Player Database'!$B$2:$B252,'Player Database'!$U$2:$U252)</f>
        <v>#N/A</v>
      </c>
      <c r="L228" s="47" t="str">
        <f t="array" ref="L228">XLOOKUP($E228,'Player Database'!$B$2:$B252,'Player Database'!$W$2:$W252)</f>
        <v>#N/A</v>
      </c>
      <c r="M228" s="48" t="str">
        <f t="shared" si="1"/>
        <v>0 - 0</v>
      </c>
      <c r="N228" s="50" t="str">
        <f t="array" ref="N228">IF(XLOOKUP($E228,'Player Database'!$B$2:$B252,'Player Database'!$AA$2:$AA252)="",XLOOKUP($E228,'Player Database'!$B$2:$B252,'Player Database'!$G$2:$G252),XLOOKUP($E228,'Player Database'!$B$2:$B252,'Player Database'!$AA$2:$AA252))</f>
        <v>#N/A</v>
      </c>
      <c r="O228" s="51">
        <f>COUNTIFs(Matches!$B:$B,E228,Matches!$A:$A,"&gt;"&amp;Q228,Matches!$A:$A,"&lt;"&amp;R228)</f>
        <v>0</v>
      </c>
      <c r="P228" s="51">
        <f>COUNTIFs(Matches!$C:$C,E228,Matches!$A:$A,"&gt;"&amp;Q228,Matches!$A:$A,"&lt;"&amp;R228)</f>
        <v>0</v>
      </c>
      <c r="Q228" s="52">
        <f>VLOOKUP($C$2,Quotas!$A$7:$E$14,2,FALSE)</f>
        <v>46171.70833</v>
      </c>
      <c r="R228" s="52">
        <f>VLOOKUP($C$2,Quotas!$A$7:$E$14,3,FALSE)</f>
        <v>46178.70833</v>
      </c>
    </row>
    <row r="229">
      <c r="A229" s="82" t="str">
        <f t="array" ref="A229">XLOOKUP($E229,'Player Database'!$B$2:$B252,'Player Database'!$C$2:$C252)</f>
        <v>#N/A</v>
      </c>
      <c r="B229" s="82" t="str">
        <f t="array" ref="B229">XLOOKUP($E229,'Player Database'!$B$2:$B252,'Player Database'!$E$2:$E252)</f>
        <v>#N/A</v>
      </c>
      <c r="C229" s="82" t="str">
        <f t="array" ref="C229">XLOOKUP($E229,'Player Database'!$B$2:$B252,'Player Database'!$F$2:$F252)</f>
        <v>#N/A</v>
      </c>
      <c r="D229" s="81">
        <f>IFERROR(__xludf.DUMMYFUNCTION("""COMPUTED_VALUE"""),1.0)</f>
        <v>1</v>
      </c>
      <c r="E229" s="41"/>
      <c r="F229" s="42" t="str">
        <f t="array" ref="F229">XLOOKUP($E229,'Player Database'!$B$2:$B252,'Player Database'!$K$2:$K252)</f>
        <v>#N/A</v>
      </c>
      <c r="G229" s="42" t="str">
        <f t="array" ref="G229">XLOOKUP($E229,'Player Database'!$B$2:$B252,'Player Database'!$AE$2:$AE252)</f>
        <v>#N/A</v>
      </c>
      <c r="H229" s="42" t="str">
        <f t="array" ref="H229">XLOOKUP($E229,'Player Database'!$B$2:$B252,'Player Database'!$H$2:$H252)</f>
        <v>#N/A</v>
      </c>
      <c r="I229" s="42" t="str">
        <f t="array" ref="I229">XLOOKUP($E229,'Player Database'!$B$2:$B252,'Player Database'!$O$2:$O252)</f>
        <v>#N/A</v>
      </c>
      <c r="J229" s="42" t="str">
        <f t="array" ref="J229">XLOOKUP($E229,'Player Database'!$B$2:$B252,'Player Database'!$P$2:$P252)</f>
        <v>#N/A</v>
      </c>
      <c r="K229" s="44" t="str">
        <f t="array" ref="K229">XLOOKUP($E229,'Player Database'!$B$2:$B252,'Player Database'!$U$2:$U252)</f>
        <v>#N/A</v>
      </c>
      <c r="L229" s="47" t="str">
        <f t="array" ref="L229">XLOOKUP($E229,'Player Database'!$B$2:$B252,'Player Database'!$W$2:$W252)</f>
        <v>#N/A</v>
      </c>
      <c r="M229" s="48" t="str">
        <f t="shared" si="1"/>
        <v>0 - 0</v>
      </c>
      <c r="N229" s="50" t="str">
        <f t="array" ref="N229">IF(XLOOKUP($E229,'Player Database'!$B$2:$B252,'Player Database'!$AA$2:$AA252)="",XLOOKUP($E229,'Player Database'!$B$2:$B252,'Player Database'!$G$2:$G252),XLOOKUP($E229,'Player Database'!$B$2:$B252,'Player Database'!$AA$2:$AA252))</f>
        <v>#N/A</v>
      </c>
      <c r="O229" s="51">
        <f>COUNTIFs(Matches!$B:$B,E229,Matches!$A:$A,"&gt;"&amp;Q229,Matches!$A:$A,"&lt;"&amp;R229)</f>
        <v>0</v>
      </c>
      <c r="P229" s="51">
        <f>COUNTIFs(Matches!$C:$C,E229,Matches!$A:$A,"&gt;"&amp;Q229,Matches!$A:$A,"&lt;"&amp;R229)</f>
        <v>0</v>
      </c>
      <c r="Q229" s="52">
        <f>VLOOKUP($C$2,Quotas!$A$7:$E$14,2,FALSE)</f>
        <v>46171.70833</v>
      </c>
      <c r="R229" s="52">
        <f>VLOOKUP($C$2,Quotas!$A$7:$E$14,3,FALSE)</f>
        <v>46178.70833</v>
      </c>
    </row>
    <row r="230">
      <c r="A230" s="82" t="str">
        <f t="array" ref="A230">XLOOKUP($E230,'Player Database'!$B$2:$B252,'Player Database'!$C$2:$C252)</f>
        <v>#N/A</v>
      </c>
      <c r="B230" s="82" t="str">
        <f t="array" ref="B230">XLOOKUP($E230,'Player Database'!$B$2:$B252,'Player Database'!$E$2:$E252)</f>
        <v>#N/A</v>
      </c>
      <c r="C230" s="82" t="str">
        <f t="array" ref="C230">XLOOKUP($E230,'Player Database'!$B$2:$B252,'Player Database'!$F$2:$F252)</f>
        <v>#N/A</v>
      </c>
      <c r="D230" s="81">
        <f>IFERROR(__xludf.DUMMYFUNCTION("""COMPUTED_VALUE"""),1.0)</f>
        <v>1</v>
      </c>
      <c r="E230" s="41"/>
      <c r="F230" s="42" t="str">
        <f t="array" ref="F230">XLOOKUP($E230,'Player Database'!$B$2:$B252,'Player Database'!$K$2:$K252)</f>
        <v>#N/A</v>
      </c>
      <c r="G230" s="42" t="str">
        <f t="array" ref="G230">XLOOKUP($E230,'Player Database'!$B$2:$B252,'Player Database'!$AE$2:$AE252)</f>
        <v>#N/A</v>
      </c>
      <c r="H230" s="42" t="str">
        <f t="array" ref="H230">XLOOKUP($E230,'Player Database'!$B$2:$B252,'Player Database'!$H$2:$H252)</f>
        <v>#N/A</v>
      </c>
      <c r="I230" s="42" t="str">
        <f t="array" ref="I230">XLOOKUP($E230,'Player Database'!$B$2:$B252,'Player Database'!$O$2:$O252)</f>
        <v>#N/A</v>
      </c>
      <c r="J230" s="42" t="str">
        <f t="array" ref="J230">XLOOKUP($E230,'Player Database'!$B$2:$B252,'Player Database'!$P$2:$P252)</f>
        <v>#N/A</v>
      </c>
      <c r="K230" s="44" t="str">
        <f t="array" ref="K230">XLOOKUP($E230,'Player Database'!$B$2:$B252,'Player Database'!$U$2:$U252)</f>
        <v>#N/A</v>
      </c>
      <c r="L230" s="47" t="str">
        <f t="array" ref="L230">XLOOKUP($E230,'Player Database'!$B$2:$B252,'Player Database'!$W$2:$W252)</f>
        <v>#N/A</v>
      </c>
      <c r="M230" s="48" t="str">
        <f t="shared" si="1"/>
        <v>0 - 0</v>
      </c>
      <c r="N230" s="50" t="str">
        <f t="array" ref="N230">IF(XLOOKUP($E230,'Player Database'!$B$2:$B252,'Player Database'!$AA$2:$AA252)="",XLOOKUP($E230,'Player Database'!$B$2:$B252,'Player Database'!$G$2:$G252),XLOOKUP($E230,'Player Database'!$B$2:$B252,'Player Database'!$AA$2:$AA252))</f>
        <v>#N/A</v>
      </c>
      <c r="O230" s="51">
        <f>COUNTIFs(Matches!$B:$B,E230,Matches!$A:$A,"&gt;"&amp;Q230,Matches!$A:$A,"&lt;"&amp;R230)</f>
        <v>0</v>
      </c>
      <c r="P230" s="51">
        <f>COUNTIFs(Matches!$C:$C,E230,Matches!$A:$A,"&gt;"&amp;Q230,Matches!$A:$A,"&lt;"&amp;R230)</f>
        <v>0</v>
      </c>
      <c r="Q230" s="52">
        <f>VLOOKUP($C$2,Quotas!$A$7:$E$14,2,FALSE)</f>
        <v>46171.70833</v>
      </c>
      <c r="R230" s="52">
        <f>VLOOKUP($C$2,Quotas!$A$7:$E$14,3,FALSE)</f>
        <v>46178.70833</v>
      </c>
    </row>
    <row r="231">
      <c r="A231" s="82" t="str">
        <f t="array" ref="A231">XLOOKUP($E231,'Player Database'!$B$2:$B252,'Player Database'!$C$2:$C252)</f>
        <v>#N/A</v>
      </c>
      <c r="B231" s="82" t="str">
        <f t="array" ref="B231">XLOOKUP($E231,'Player Database'!$B$2:$B252,'Player Database'!$E$2:$E252)</f>
        <v>#N/A</v>
      </c>
      <c r="C231" s="82" t="str">
        <f t="array" ref="C231">XLOOKUP($E231,'Player Database'!$B$2:$B252,'Player Database'!$F$2:$F252)</f>
        <v>#N/A</v>
      </c>
      <c r="D231" s="81">
        <f>IFERROR(__xludf.DUMMYFUNCTION("""COMPUTED_VALUE"""),1.0)</f>
        <v>1</v>
      </c>
      <c r="E231" s="41"/>
      <c r="F231" s="42" t="str">
        <f t="array" ref="F231">XLOOKUP($E231,'Player Database'!$B$2:$B252,'Player Database'!$K$2:$K252)</f>
        <v>#N/A</v>
      </c>
      <c r="G231" s="42" t="str">
        <f t="array" ref="G231">XLOOKUP($E231,'Player Database'!$B$2:$B252,'Player Database'!$AE$2:$AE252)</f>
        <v>#N/A</v>
      </c>
      <c r="H231" s="42" t="str">
        <f t="array" ref="H231">XLOOKUP($E231,'Player Database'!$B$2:$B252,'Player Database'!$H$2:$H252)</f>
        <v>#N/A</v>
      </c>
      <c r="I231" s="42" t="str">
        <f t="array" ref="I231">XLOOKUP($E231,'Player Database'!$B$2:$B252,'Player Database'!$O$2:$O252)</f>
        <v>#N/A</v>
      </c>
      <c r="J231" s="42" t="str">
        <f t="array" ref="J231">XLOOKUP($E231,'Player Database'!$B$2:$B252,'Player Database'!$P$2:$P252)</f>
        <v>#N/A</v>
      </c>
      <c r="K231" s="44" t="str">
        <f t="array" ref="K231">XLOOKUP($E231,'Player Database'!$B$2:$B252,'Player Database'!$U$2:$U252)</f>
        <v>#N/A</v>
      </c>
      <c r="L231" s="47" t="str">
        <f t="array" ref="L231">XLOOKUP($E231,'Player Database'!$B$2:$B252,'Player Database'!$W$2:$W252)</f>
        <v>#N/A</v>
      </c>
      <c r="M231" s="48" t="str">
        <f t="shared" si="1"/>
        <v>0 - 0</v>
      </c>
      <c r="N231" s="50" t="str">
        <f t="array" ref="N231">IF(XLOOKUP($E231,'Player Database'!$B$2:$B252,'Player Database'!$AA$2:$AA252)="",XLOOKUP($E231,'Player Database'!$B$2:$B252,'Player Database'!$G$2:$G252),XLOOKUP($E231,'Player Database'!$B$2:$B252,'Player Database'!$AA$2:$AA252))</f>
        <v>#N/A</v>
      </c>
      <c r="O231" s="51">
        <f>COUNTIFs(Matches!$B:$B,E231,Matches!$A:$A,"&gt;"&amp;Q231,Matches!$A:$A,"&lt;"&amp;R231)</f>
        <v>0</v>
      </c>
      <c r="P231" s="51">
        <f>COUNTIFs(Matches!$C:$C,E231,Matches!$A:$A,"&gt;"&amp;Q231,Matches!$A:$A,"&lt;"&amp;R231)</f>
        <v>0</v>
      </c>
      <c r="Q231" s="52">
        <f>VLOOKUP($C$2,Quotas!$A$7:$E$14,2,FALSE)</f>
        <v>46171.70833</v>
      </c>
      <c r="R231" s="52">
        <f>VLOOKUP($C$2,Quotas!$A$7:$E$14,3,FALSE)</f>
        <v>46178.70833</v>
      </c>
    </row>
    <row r="232">
      <c r="A232" s="82" t="str">
        <f t="array" ref="A232">XLOOKUP($E232,'Player Database'!$B$2:$B252,'Player Database'!$C$2:$C252)</f>
        <v>#N/A</v>
      </c>
      <c r="B232" s="82" t="str">
        <f t="array" ref="B232">XLOOKUP($E232,'Player Database'!$B$2:$B252,'Player Database'!$E$2:$E252)</f>
        <v>#N/A</v>
      </c>
      <c r="C232" s="82" t="str">
        <f t="array" ref="C232">XLOOKUP($E232,'Player Database'!$B$2:$B252,'Player Database'!$F$2:$F252)</f>
        <v>#N/A</v>
      </c>
      <c r="D232" s="81">
        <f>IFERROR(__xludf.DUMMYFUNCTION("""COMPUTED_VALUE"""),1.0)</f>
        <v>1</v>
      </c>
      <c r="E232" s="41"/>
      <c r="F232" s="42" t="str">
        <f t="array" ref="F232">XLOOKUP($E232,'Player Database'!$B$2:$B252,'Player Database'!$K$2:$K252)</f>
        <v>#N/A</v>
      </c>
      <c r="G232" s="42" t="str">
        <f t="array" ref="G232">XLOOKUP($E232,'Player Database'!$B$2:$B252,'Player Database'!$AE$2:$AE252)</f>
        <v>#N/A</v>
      </c>
      <c r="H232" s="42" t="str">
        <f t="array" ref="H232">XLOOKUP($E232,'Player Database'!$B$2:$B252,'Player Database'!$H$2:$H252)</f>
        <v>#N/A</v>
      </c>
      <c r="I232" s="42" t="str">
        <f t="array" ref="I232">XLOOKUP($E232,'Player Database'!$B$2:$B252,'Player Database'!$O$2:$O252)</f>
        <v>#N/A</v>
      </c>
      <c r="J232" s="42" t="str">
        <f t="array" ref="J232">XLOOKUP($E232,'Player Database'!$B$2:$B252,'Player Database'!$P$2:$P252)</f>
        <v>#N/A</v>
      </c>
      <c r="K232" s="44" t="str">
        <f t="array" ref="K232">XLOOKUP($E232,'Player Database'!$B$2:$B252,'Player Database'!$U$2:$U252)</f>
        <v>#N/A</v>
      </c>
      <c r="L232" s="47" t="str">
        <f t="array" ref="L232">XLOOKUP($E232,'Player Database'!$B$2:$B252,'Player Database'!$W$2:$W252)</f>
        <v>#N/A</v>
      </c>
      <c r="M232" s="48" t="str">
        <f t="shared" si="1"/>
        <v>0 - 0</v>
      </c>
      <c r="N232" s="50" t="str">
        <f t="array" ref="N232">IF(XLOOKUP($E232,'Player Database'!$B$2:$B252,'Player Database'!$AA$2:$AA252)="",XLOOKUP($E232,'Player Database'!$B$2:$B252,'Player Database'!$G$2:$G252),XLOOKUP($E232,'Player Database'!$B$2:$B252,'Player Database'!$AA$2:$AA252))</f>
        <v>#N/A</v>
      </c>
      <c r="O232" s="51">
        <f>COUNTIFs(Matches!$B:$B,E232,Matches!$A:$A,"&gt;"&amp;Q232,Matches!$A:$A,"&lt;"&amp;R232)</f>
        <v>0</v>
      </c>
      <c r="P232" s="51">
        <f>COUNTIFs(Matches!$C:$C,E232,Matches!$A:$A,"&gt;"&amp;Q232,Matches!$A:$A,"&lt;"&amp;R232)</f>
        <v>0</v>
      </c>
      <c r="Q232" s="52">
        <f>VLOOKUP($C$2,Quotas!$A$7:$E$14,2,FALSE)</f>
        <v>46171.70833</v>
      </c>
      <c r="R232" s="52">
        <f>VLOOKUP($C$2,Quotas!$A$7:$E$14,3,FALSE)</f>
        <v>46178.70833</v>
      </c>
    </row>
    <row r="233">
      <c r="A233" s="82" t="str">
        <f t="array" ref="A233">XLOOKUP($E233,'Player Database'!$B$2:$B252,'Player Database'!$C$2:$C252)</f>
        <v>#N/A</v>
      </c>
      <c r="B233" s="82" t="str">
        <f t="array" ref="B233">XLOOKUP($E233,'Player Database'!$B$2:$B252,'Player Database'!$E$2:$E252)</f>
        <v>#N/A</v>
      </c>
      <c r="C233" s="82" t="str">
        <f t="array" ref="C233">XLOOKUP($E233,'Player Database'!$B$2:$B252,'Player Database'!$F$2:$F252)</f>
        <v>#N/A</v>
      </c>
      <c r="D233" s="81">
        <f>IFERROR(__xludf.DUMMYFUNCTION("""COMPUTED_VALUE"""),1.0)</f>
        <v>1</v>
      </c>
      <c r="E233" s="41"/>
      <c r="F233" s="42" t="str">
        <f t="array" ref="F233">XLOOKUP($E233,'Player Database'!$B$2:$B252,'Player Database'!$K$2:$K252)</f>
        <v>#N/A</v>
      </c>
      <c r="G233" s="42" t="str">
        <f t="array" ref="G233">XLOOKUP($E233,'Player Database'!$B$2:$B252,'Player Database'!$AE$2:$AE252)</f>
        <v>#N/A</v>
      </c>
      <c r="H233" s="42" t="str">
        <f t="array" ref="H233">XLOOKUP($E233,'Player Database'!$B$2:$B252,'Player Database'!$H$2:$H252)</f>
        <v>#N/A</v>
      </c>
      <c r="I233" s="42" t="str">
        <f t="array" ref="I233">XLOOKUP($E233,'Player Database'!$B$2:$B252,'Player Database'!$O$2:$O252)</f>
        <v>#N/A</v>
      </c>
      <c r="J233" s="42" t="str">
        <f t="array" ref="J233">XLOOKUP($E233,'Player Database'!$B$2:$B252,'Player Database'!$P$2:$P252)</f>
        <v>#N/A</v>
      </c>
      <c r="K233" s="44" t="str">
        <f t="array" ref="K233">XLOOKUP($E233,'Player Database'!$B$2:$B252,'Player Database'!$U$2:$U252)</f>
        <v>#N/A</v>
      </c>
      <c r="L233" s="47" t="str">
        <f t="array" ref="L233">XLOOKUP($E233,'Player Database'!$B$2:$B252,'Player Database'!$W$2:$W252)</f>
        <v>#N/A</v>
      </c>
      <c r="M233" s="48" t="str">
        <f t="shared" si="1"/>
        <v>0 - 0</v>
      </c>
      <c r="N233" s="50" t="str">
        <f t="array" ref="N233">IF(XLOOKUP($E233,'Player Database'!$B$2:$B252,'Player Database'!$AA$2:$AA252)="",XLOOKUP($E233,'Player Database'!$B$2:$B252,'Player Database'!$G$2:$G252),XLOOKUP($E233,'Player Database'!$B$2:$B252,'Player Database'!$AA$2:$AA252))</f>
        <v>#N/A</v>
      </c>
      <c r="O233" s="51">
        <f>COUNTIFs(Matches!$B:$B,E233,Matches!$A:$A,"&gt;"&amp;Q233,Matches!$A:$A,"&lt;"&amp;R233)</f>
        <v>0</v>
      </c>
      <c r="P233" s="51">
        <f>COUNTIFs(Matches!$C:$C,E233,Matches!$A:$A,"&gt;"&amp;Q233,Matches!$A:$A,"&lt;"&amp;R233)</f>
        <v>0</v>
      </c>
      <c r="Q233" s="52">
        <f>VLOOKUP($C$2,Quotas!$A$7:$E$14,2,FALSE)</f>
        <v>46171.70833</v>
      </c>
      <c r="R233" s="52">
        <f>VLOOKUP($C$2,Quotas!$A$7:$E$14,3,FALSE)</f>
        <v>46178.70833</v>
      </c>
    </row>
    <row r="234">
      <c r="A234" s="82" t="str">
        <f t="array" ref="A234">XLOOKUP($E234,'Player Database'!$B$2:$B252,'Player Database'!$C$2:$C252)</f>
        <v>#N/A</v>
      </c>
      <c r="B234" s="82" t="str">
        <f t="array" ref="B234">XLOOKUP($E234,'Player Database'!$B$2:$B252,'Player Database'!$E$2:$E252)</f>
        <v>#N/A</v>
      </c>
      <c r="C234" s="82" t="str">
        <f t="array" ref="C234">XLOOKUP($E234,'Player Database'!$B$2:$B252,'Player Database'!$F$2:$F252)</f>
        <v>#N/A</v>
      </c>
      <c r="D234" s="81">
        <f>IFERROR(__xludf.DUMMYFUNCTION("""COMPUTED_VALUE"""),1.0)</f>
        <v>1</v>
      </c>
      <c r="E234" s="41"/>
      <c r="F234" s="42" t="str">
        <f t="array" ref="F234">XLOOKUP($E234,'Player Database'!$B$2:$B252,'Player Database'!$K$2:$K252)</f>
        <v>#N/A</v>
      </c>
      <c r="G234" s="42" t="str">
        <f t="array" ref="G234">XLOOKUP($E234,'Player Database'!$B$2:$B252,'Player Database'!$AE$2:$AE252)</f>
        <v>#N/A</v>
      </c>
      <c r="H234" s="42" t="str">
        <f t="array" ref="H234">XLOOKUP($E234,'Player Database'!$B$2:$B252,'Player Database'!$H$2:$H252)</f>
        <v>#N/A</v>
      </c>
      <c r="I234" s="42" t="str">
        <f t="array" ref="I234">XLOOKUP($E234,'Player Database'!$B$2:$B252,'Player Database'!$O$2:$O252)</f>
        <v>#N/A</v>
      </c>
      <c r="J234" s="42" t="str">
        <f t="array" ref="J234">XLOOKUP($E234,'Player Database'!$B$2:$B252,'Player Database'!$P$2:$P252)</f>
        <v>#N/A</v>
      </c>
      <c r="K234" s="44" t="str">
        <f t="array" ref="K234">XLOOKUP($E234,'Player Database'!$B$2:$B252,'Player Database'!$U$2:$U252)</f>
        <v>#N/A</v>
      </c>
      <c r="L234" s="47" t="str">
        <f t="array" ref="L234">XLOOKUP($E234,'Player Database'!$B$2:$B252,'Player Database'!$W$2:$W252)</f>
        <v>#N/A</v>
      </c>
      <c r="M234" s="48" t="str">
        <f t="shared" si="1"/>
        <v>0 - 0</v>
      </c>
      <c r="N234" s="50" t="str">
        <f t="array" ref="N234">IF(XLOOKUP($E234,'Player Database'!$B$2:$B252,'Player Database'!$AA$2:$AA252)="",XLOOKUP($E234,'Player Database'!$B$2:$B252,'Player Database'!$G$2:$G252),XLOOKUP($E234,'Player Database'!$B$2:$B252,'Player Database'!$AA$2:$AA252))</f>
        <v>#N/A</v>
      </c>
      <c r="O234" s="51">
        <f>COUNTIFs(Matches!$B:$B,E234,Matches!$A:$A,"&gt;"&amp;Q234,Matches!$A:$A,"&lt;"&amp;R234)</f>
        <v>0</v>
      </c>
      <c r="P234" s="51">
        <f>COUNTIFs(Matches!$C:$C,E234,Matches!$A:$A,"&gt;"&amp;Q234,Matches!$A:$A,"&lt;"&amp;R234)</f>
        <v>0</v>
      </c>
      <c r="Q234" s="52">
        <f>VLOOKUP($C$2,Quotas!$A$7:$E$14,2,FALSE)</f>
        <v>46171.70833</v>
      </c>
      <c r="R234" s="52">
        <f>VLOOKUP($C$2,Quotas!$A$7:$E$14,3,FALSE)</f>
        <v>46178.70833</v>
      </c>
    </row>
    <row r="235">
      <c r="A235" s="82" t="str">
        <f t="array" ref="A235">XLOOKUP($E235,'Player Database'!$B$2:$B252,'Player Database'!$C$2:$C252)</f>
        <v>#N/A</v>
      </c>
      <c r="B235" s="82" t="str">
        <f t="array" ref="B235">XLOOKUP($E235,'Player Database'!$B$2:$B252,'Player Database'!$E$2:$E252)</f>
        <v>#N/A</v>
      </c>
      <c r="C235" s="82" t="str">
        <f t="array" ref="C235">XLOOKUP($E235,'Player Database'!$B$2:$B252,'Player Database'!$F$2:$F252)</f>
        <v>#N/A</v>
      </c>
      <c r="D235" s="81">
        <f>IFERROR(__xludf.DUMMYFUNCTION("""COMPUTED_VALUE"""),1.0)</f>
        <v>1</v>
      </c>
      <c r="E235" s="41"/>
      <c r="F235" s="42" t="str">
        <f t="array" ref="F235">XLOOKUP($E235,'Player Database'!$B$2:$B252,'Player Database'!$K$2:$K252)</f>
        <v>#N/A</v>
      </c>
      <c r="G235" s="42" t="str">
        <f t="array" ref="G235">XLOOKUP($E235,'Player Database'!$B$2:$B252,'Player Database'!$AE$2:$AE252)</f>
        <v>#N/A</v>
      </c>
      <c r="H235" s="42" t="str">
        <f t="array" ref="H235">XLOOKUP($E235,'Player Database'!$B$2:$B252,'Player Database'!$H$2:$H252)</f>
        <v>#N/A</v>
      </c>
      <c r="I235" s="42" t="str">
        <f t="array" ref="I235">XLOOKUP($E235,'Player Database'!$B$2:$B252,'Player Database'!$O$2:$O252)</f>
        <v>#N/A</v>
      </c>
      <c r="J235" s="42" t="str">
        <f t="array" ref="J235">XLOOKUP($E235,'Player Database'!$B$2:$B252,'Player Database'!$P$2:$P252)</f>
        <v>#N/A</v>
      </c>
      <c r="K235" s="44" t="str">
        <f t="array" ref="K235">XLOOKUP($E235,'Player Database'!$B$2:$B252,'Player Database'!$U$2:$U252)</f>
        <v>#N/A</v>
      </c>
      <c r="L235" s="47" t="str">
        <f t="array" ref="L235">XLOOKUP($E235,'Player Database'!$B$2:$B252,'Player Database'!$W$2:$W252)</f>
        <v>#N/A</v>
      </c>
      <c r="M235" s="48" t="str">
        <f t="shared" si="1"/>
        <v>0 - 0</v>
      </c>
      <c r="N235" s="50" t="str">
        <f t="array" ref="N235">IF(XLOOKUP($E235,'Player Database'!$B$2:$B252,'Player Database'!$AA$2:$AA252)="",XLOOKUP($E235,'Player Database'!$B$2:$B252,'Player Database'!$G$2:$G252),XLOOKUP($E235,'Player Database'!$B$2:$B252,'Player Database'!$AA$2:$AA252))</f>
        <v>#N/A</v>
      </c>
      <c r="O235" s="51">
        <f>COUNTIFs(Matches!$B:$B,E235,Matches!$A:$A,"&gt;"&amp;Q235,Matches!$A:$A,"&lt;"&amp;R235)</f>
        <v>0</v>
      </c>
      <c r="P235" s="51">
        <f>COUNTIFs(Matches!$C:$C,E235,Matches!$A:$A,"&gt;"&amp;Q235,Matches!$A:$A,"&lt;"&amp;R235)</f>
        <v>0</v>
      </c>
      <c r="Q235" s="52">
        <f>VLOOKUP($C$2,Quotas!$A$7:$E$14,2,FALSE)</f>
        <v>46171.70833</v>
      </c>
      <c r="R235" s="52">
        <f>VLOOKUP($C$2,Quotas!$A$7:$E$14,3,FALSE)</f>
        <v>46178.70833</v>
      </c>
    </row>
    <row r="236">
      <c r="A236" s="82" t="str">
        <f t="array" ref="A236">XLOOKUP($E236,'Player Database'!$B$2:$B252,'Player Database'!$C$2:$C252)</f>
        <v>#N/A</v>
      </c>
      <c r="B236" s="82" t="str">
        <f t="array" ref="B236">XLOOKUP($E236,'Player Database'!$B$2:$B252,'Player Database'!$E$2:$E252)</f>
        <v>#N/A</v>
      </c>
      <c r="C236" s="82" t="str">
        <f t="array" ref="C236">XLOOKUP($E236,'Player Database'!$B$2:$B252,'Player Database'!$F$2:$F252)</f>
        <v>#N/A</v>
      </c>
      <c r="D236" s="81">
        <f>IFERROR(__xludf.DUMMYFUNCTION("""COMPUTED_VALUE"""),1.0)</f>
        <v>1</v>
      </c>
      <c r="E236" s="41"/>
      <c r="F236" s="42" t="str">
        <f t="array" ref="F236">XLOOKUP($E236,'Player Database'!$B$2:$B252,'Player Database'!$K$2:$K252)</f>
        <v>#N/A</v>
      </c>
      <c r="G236" s="42" t="str">
        <f t="array" ref="G236">XLOOKUP($E236,'Player Database'!$B$2:$B252,'Player Database'!$AE$2:$AE252)</f>
        <v>#N/A</v>
      </c>
      <c r="H236" s="42" t="str">
        <f t="array" ref="H236">XLOOKUP($E236,'Player Database'!$B$2:$B252,'Player Database'!$H$2:$H252)</f>
        <v>#N/A</v>
      </c>
      <c r="I236" s="42" t="str">
        <f t="array" ref="I236">XLOOKUP($E236,'Player Database'!$B$2:$B252,'Player Database'!$O$2:$O252)</f>
        <v>#N/A</v>
      </c>
      <c r="J236" s="42" t="str">
        <f t="array" ref="J236">XLOOKUP($E236,'Player Database'!$B$2:$B252,'Player Database'!$P$2:$P252)</f>
        <v>#N/A</v>
      </c>
      <c r="K236" s="44" t="str">
        <f t="array" ref="K236">XLOOKUP($E236,'Player Database'!$B$2:$B252,'Player Database'!$U$2:$U252)</f>
        <v>#N/A</v>
      </c>
      <c r="L236" s="47" t="str">
        <f t="array" ref="L236">XLOOKUP($E236,'Player Database'!$B$2:$B252,'Player Database'!$W$2:$W252)</f>
        <v>#N/A</v>
      </c>
      <c r="M236" s="48" t="str">
        <f t="shared" si="1"/>
        <v>0 - 0</v>
      </c>
      <c r="N236" s="50" t="str">
        <f t="array" ref="N236">IF(XLOOKUP($E236,'Player Database'!$B$2:$B252,'Player Database'!$AA$2:$AA252)="",XLOOKUP($E236,'Player Database'!$B$2:$B252,'Player Database'!$G$2:$G252),XLOOKUP($E236,'Player Database'!$B$2:$B252,'Player Database'!$AA$2:$AA252))</f>
        <v>#N/A</v>
      </c>
      <c r="O236" s="51">
        <f>COUNTIFs(Matches!$B:$B,E236,Matches!$A:$A,"&gt;"&amp;Q236,Matches!$A:$A,"&lt;"&amp;R236)</f>
        <v>0</v>
      </c>
      <c r="P236" s="51">
        <f>COUNTIFs(Matches!$C:$C,E236,Matches!$A:$A,"&gt;"&amp;Q236,Matches!$A:$A,"&lt;"&amp;R236)</f>
        <v>0</v>
      </c>
      <c r="Q236" s="52">
        <f>VLOOKUP($C$2,Quotas!$A$7:$E$14,2,FALSE)</f>
        <v>46171.70833</v>
      </c>
      <c r="R236" s="52">
        <f>VLOOKUP($C$2,Quotas!$A$7:$E$14,3,FALSE)</f>
        <v>46178.70833</v>
      </c>
    </row>
    <row r="237">
      <c r="A237" s="82" t="str">
        <f t="array" ref="A237">XLOOKUP($E237,'Player Database'!$B$2:$B252,'Player Database'!$C$2:$C252)</f>
        <v>#N/A</v>
      </c>
      <c r="B237" s="82" t="str">
        <f t="array" ref="B237">XLOOKUP($E237,'Player Database'!$B$2:$B252,'Player Database'!$E$2:$E252)</f>
        <v>#N/A</v>
      </c>
      <c r="C237" s="82" t="str">
        <f t="array" ref="C237">XLOOKUP($E237,'Player Database'!$B$2:$B252,'Player Database'!$F$2:$F252)</f>
        <v>#N/A</v>
      </c>
      <c r="D237" s="81">
        <f>IFERROR(__xludf.DUMMYFUNCTION("""COMPUTED_VALUE"""),1.0)</f>
        <v>1</v>
      </c>
      <c r="E237" s="41"/>
      <c r="F237" s="42" t="str">
        <f t="array" ref="F237">XLOOKUP($E237,'Player Database'!$B$2:$B252,'Player Database'!$K$2:$K252)</f>
        <v>#N/A</v>
      </c>
      <c r="G237" s="42" t="str">
        <f t="array" ref="G237">XLOOKUP($E237,'Player Database'!$B$2:$B252,'Player Database'!$AE$2:$AE252)</f>
        <v>#N/A</v>
      </c>
      <c r="H237" s="42" t="str">
        <f t="array" ref="H237">XLOOKUP($E237,'Player Database'!$B$2:$B252,'Player Database'!$H$2:$H252)</f>
        <v>#N/A</v>
      </c>
      <c r="I237" s="42" t="str">
        <f t="array" ref="I237">XLOOKUP($E237,'Player Database'!$B$2:$B252,'Player Database'!$O$2:$O252)</f>
        <v>#N/A</v>
      </c>
      <c r="J237" s="42" t="str">
        <f t="array" ref="J237">XLOOKUP($E237,'Player Database'!$B$2:$B252,'Player Database'!$P$2:$P252)</f>
        <v>#N/A</v>
      </c>
      <c r="K237" s="44" t="str">
        <f t="array" ref="K237">XLOOKUP($E237,'Player Database'!$B$2:$B252,'Player Database'!$U$2:$U252)</f>
        <v>#N/A</v>
      </c>
      <c r="L237" s="47" t="str">
        <f t="array" ref="L237">XLOOKUP($E237,'Player Database'!$B$2:$B252,'Player Database'!$W$2:$W252)</f>
        <v>#N/A</v>
      </c>
      <c r="M237" s="48" t="str">
        <f t="shared" si="1"/>
        <v>0 - 0</v>
      </c>
      <c r="N237" s="50" t="str">
        <f t="array" ref="N237">IF(XLOOKUP($E237,'Player Database'!$B$2:$B252,'Player Database'!$AA$2:$AA252)="",XLOOKUP($E237,'Player Database'!$B$2:$B252,'Player Database'!$G$2:$G252),XLOOKUP($E237,'Player Database'!$B$2:$B252,'Player Database'!$AA$2:$AA252))</f>
        <v>#N/A</v>
      </c>
      <c r="O237" s="51">
        <f>COUNTIFs(Matches!$B:$B,E237,Matches!$A:$A,"&gt;"&amp;Q237,Matches!$A:$A,"&lt;"&amp;R237)</f>
        <v>0</v>
      </c>
      <c r="P237" s="51">
        <f>COUNTIFs(Matches!$C:$C,E237,Matches!$A:$A,"&gt;"&amp;Q237,Matches!$A:$A,"&lt;"&amp;R237)</f>
        <v>0</v>
      </c>
      <c r="Q237" s="52">
        <f>VLOOKUP($C$2,Quotas!$A$7:$E$14,2,FALSE)</f>
        <v>46171.70833</v>
      </c>
      <c r="R237" s="52">
        <f>VLOOKUP($C$2,Quotas!$A$7:$E$14,3,FALSE)</f>
        <v>46178.70833</v>
      </c>
    </row>
    <row r="238">
      <c r="A238" s="82" t="str">
        <f t="array" ref="A238">XLOOKUP($E238,'Player Database'!$B$2:$B252,'Player Database'!$C$2:$C252)</f>
        <v>#N/A</v>
      </c>
      <c r="B238" s="82" t="str">
        <f t="array" ref="B238">XLOOKUP($E238,'Player Database'!$B$2:$B252,'Player Database'!$E$2:$E252)</f>
        <v>#N/A</v>
      </c>
      <c r="C238" s="82" t="str">
        <f t="array" ref="C238">XLOOKUP($E238,'Player Database'!$B$2:$B252,'Player Database'!$F$2:$F252)</f>
        <v>#N/A</v>
      </c>
      <c r="D238" s="81">
        <f>IFERROR(__xludf.DUMMYFUNCTION("""COMPUTED_VALUE"""),1.0)</f>
        <v>1</v>
      </c>
      <c r="E238" s="41"/>
      <c r="F238" s="42" t="str">
        <f t="array" ref="F238">XLOOKUP($E238,'Player Database'!$B$2:$B252,'Player Database'!$K$2:$K252)</f>
        <v>#N/A</v>
      </c>
      <c r="G238" s="42" t="str">
        <f t="array" ref="G238">XLOOKUP($E238,'Player Database'!$B$2:$B252,'Player Database'!$AE$2:$AE252)</f>
        <v>#N/A</v>
      </c>
      <c r="H238" s="42" t="str">
        <f t="array" ref="H238">XLOOKUP($E238,'Player Database'!$B$2:$B252,'Player Database'!$H$2:$H252)</f>
        <v>#N/A</v>
      </c>
      <c r="I238" s="42" t="str">
        <f t="array" ref="I238">XLOOKUP($E238,'Player Database'!$B$2:$B252,'Player Database'!$O$2:$O252)</f>
        <v>#N/A</v>
      </c>
      <c r="J238" s="42" t="str">
        <f t="array" ref="J238">XLOOKUP($E238,'Player Database'!$B$2:$B252,'Player Database'!$P$2:$P252)</f>
        <v>#N/A</v>
      </c>
      <c r="K238" s="44" t="str">
        <f t="array" ref="K238">XLOOKUP($E238,'Player Database'!$B$2:$B252,'Player Database'!$U$2:$U252)</f>
        <v>#N/A</v>
      </c>
      <c r="L238" s="47" t="str">
        <f t="array" ref="L238">XLOOKUP($E238,'Player Database'!$B$2:$B252,'Player Database'!$W$2:$W252)</f>
        <v>#N/A</v>
      </c>
      <c r="M238" s="48" t="str">
        <f t="shared" si="1"/>
        <v>0 - 0</v>
      </c>
      <c r="N238" s="50" t="str">
        <f t="array" ref="N238">IF(XLOOKUP($E238,'Player Database'!$B$2:$B252,'Player Database'!$AA$2:$AA252)="",XLOOKUP($E238,'Player Database'!$B$2:$B252,'Player Database'!$G$2:$G252),XLOOKUP($E238,'Player Database'!$B$2:$B252,'Player Database'!$AA$2:$AA252))</f>
        <v>#N/A</v>
      </c>
      <c r="O238" s="51">
        <f>COUNTIFs(Matches!$B:$B,E238,Matches!$A:$A,"&gt;"&amp;Q238,Matches!$A:$A,"&lt;"&amp;R238)</f>
        <v>0</v>
      </c>
      <c r="P238" s="51">
        <f>COUNTIFs(Matches!$C:$C,E238,Matches!$A:$A,"&gt;"&amp;Q238,Matches!$A:$A,"&lt;"&amp;R238)</f>
        <v>0</v>
      </c>
      <c r="Q238" s="52">
        <f>VLOOKUP($C$2,Quotas!$A$7:$E$14,2,FALSE)</f>
        <v>46171.70833</v>
      </c>
      <c r="R238" s="52">
        <f>VLOOKUP($C$2,Quotas!$A$7:$E$14,3,FALSE)</f>
        <v>46178.70833</v>
      </c>
    </row>
    <row r="239">
      <c r="A239" s="82" t="str">
        <f t="array" ref="A239">XLOOKUP($E239,'Player Database'!$B$2:$B252,'Player Database'!$C$2:$C252)</f>
        <v>#N/A</v>
      </c>
      <c r="B239" s="82" t="str">
        <f t="array" ref="B239">XLOOKUP($E239,'Player Database'!$B$2:$B252,'Player Database'!$E$2:$E252)</f>
        <v>#N/A</v>
      </c>
      <c r="C239" s="82" t="str">
        <f t="array" ref="C239">XLOOKUP($E239,'Player Database'!$B$2:$B252,'Player Database'!$F$2:$F252)</f>
        <v>#N/A</v>
      </c>
      <c r="D239" s="81">
        <f>IFERROR(__xludf.DUMMYFUNCTION("""COMPUTED_VALUE"""),1.0)</f>
        <v>1</v>
      </c>
      <c r="E239" s="41"/>
      <c r="F239" s="42" t="str">
        <f t="array" ref="F239">XLOOKUP($E239,'Player Database'!$B$2:$B252,'Player Database'!$K$2:$K252)</f>
        <v>#N/A</v>
      </c>
      <c r="G239" s="42" t="str">
        <f t="array" ref="G239">XLOOKUP($E239,'Player Database'!$B$2:$B252,'Player Database'!$AE$2:$AE252)</f>
        <v>#N/A</v>
      </c>
      <c r="H239" s="42" t="str">
        <f t="array" ref="H239">XLOOKUP($E239,'Player Database'!$B$2:$B252,'Player Database'!$H$2:$H252)</f>
        <v>#N/A</v>
      </c>
      <c r="I239" s="42" t="str">
        <f t="array" ref="I239">XLOOKUP($E239,'Player Database'!$B$2:$B252,'Player Database'!$O$2:$O252)</f>
        <v>#N/A</v>
      </c>
      <c r="J239" s="42" t="str">
        <f t="array" ref="J239">XLOOKUP($E239,'Player Database'!$B$2:$B252,'Player Database'!$P$2:$P252)</f>
        <v>#N/A</v>
      </c>
      <c r="K239" s="44" t="str">
        <f t="array" ref="K239">XLOOKUP($E239,'Player Database'!$B$2:$B252,'Player Database'!$U$2:$U252)</f>
        <v>#N/A</v>
      </c>
      <c r="L239" s="47" t="str">
        <f t="array" ref="L239">XLOOKUP($E239,'Player Database'!$B$2:$B252,'Player Database'!$W$2:$W252)</f>
        <v>#N/A</v>
      </c>
      <c r="M239" s="48" t="str">
        <f t="shared" si="1"/>
        <v>0 - 0</v>
      </c>
      <c r="N239" s="50" t="str">
        <f t="array" ref="N239">IF(XLOOKUP($E239,'Player Database'!$B$2:$B252,'Player Database'!$AA$2:$AA252)="",XLOOKUP($E239,'Player Database'!$B$2:$B252,'Player Database'!$G$2:$G252),XLOOKUP($E239,'Player Database'!$B$2:$B252,'Player Database'!$AA$2:$AA252))</f>
        <v>#N/A</v>
      </c>
      <c r="O239" s="51">
        <f>COUNTIFs(Matches!$B:$B,E239,Matches!$A:$A,"&gt;"&amp;Q239,Matches!$A:$A,"&lt;"&amp;R239)</f>
        <v>0</v>
      </c>
      <c r="P239" s="51">
        <f>COUNTIFs(Matches!$C:$C,E239,Matches!$A:$A,"&gt;"&amp;Q239,Matches!$A:$A,"&lt;"&amp;R239)</f>
        <v>0</v>
      </c>
      <c r="Q239" s="52">
        <f>VLOOKUP($C$2,Quotas!$A$7:$E$14,2,FALSE)</f>
        <v>46171.70833</v>
      </c>
      <c r="R239" s="52">
        <f>VLOOKUP($C$2,Quotas!$A$7:$E$14,3,FALSE)</f>
        <v>46178.70833</v>
      </c>
    </row>
    <row r="240">
      <c r="A240" s="82" t="str">
        <f t="array" ref="A240">XLOOKUP($E240,'Player Database'!$B$2:$B252,'Player Database'!$C$2:$C252)</f>
        <v>#N/A</v>
      </c>
      <c r="B240" s="82" t="str">
        <f t="array" ref="B240">XLOOKUP($E240,'Player Database'!$B$2:$B252,'Player Database'!$E$2:$E252)</f>
        <v>#N/A</v>
      </c>
      <c r="C240" s="82" t="str">
        <f t="array" ref="C240">XLOOKUP($E240,'Player Database'!$B$2:$B252,'Player Database'!$F$2:$F252)</f>
        <v>#N/A</v>
      </c>
      <c r="D240" s="175">
        <f>IFERROR(__xludf.DUMMYFUNCTION("""COMPUTED_VALUE"""),1.0)</f>
        <v>1</v>
      </c>
      <c r="E240" s="41"/>
      <c r="F240" s="42" t="str">
        <f t="array" ref="F240">XLOOKUP($E240,'Player Database'!$B$2:$B252,'Player Database'!$K$2:$K252)</f>
        <v>#N/A</v>
      </c>
      <c r="G240" s="42" t="str">
        <f t="array" ref="G240">XLOOKUP($E240,'Player Database'!$B$2:$B252,'Player Database'!$AE$2:$AE252)</f>
        <v>#N/A</v>
      </c>
      <c r="H240" s="42" t="str">
        <f t="array" ref="H240">XLOOKUP($E240,'Player Database'!$B$2:$B252,'Player Database'!$H$2:$H252)</f>
        <v>#N/A</v>
      </c>
      <c r="I240" s="42" t="str">
        <f t="array" ref="I240">XLOOKUP($E240,'Player Database'!$B$2:$B252,'Player Database'!$O$2:$O252)</f>
        <v>#N/A</v>
      </c>
      <c r="J240" s="42" t="str">
        <f t="array" ref="J240">XLOOKUP($E240,'Player Database'!$B$2:$B252,'Player Database'!$P$2:$P252)</f>
        <v>#N/A</v>
      </c>
      <c r="K240" s="44" t="str">
        <f t="array" ref="K240">XLOOKUP($E240,'Player Database'!$B$2:$B252,'Player Database'!$U$2:$U252)</f>
        <v>#N/A</v>
      </c>
      <c r="L240" s="47" t="str">
        <f t="array" ref="L240">XLOOKUP($E240,'Player Database'!$B$2:$B252,'Player Database'!$W$2:$W252)</f>
        <v>#N/A</v>
      </c>
      <c r="M240" s="48" t="str">
        <f t="shared" si="1"/>
        <v>0 - 0</v>
      </c>
      <c r="N240" s="50" t="str">
        <f t="array" ref="N240">IF(XLOOKUP($E240,'Player Database'!$B$2:$B252,'Player Database'!$AA$2:$AA252)="",XLOOKUP($E240,'Player Database'!$B$2:$B252,'Player Database'!$G$2:$G252),XLOOKUP($E240,'Player Database'!$B$2:$B252,'Player Database'!$AA$2:$AA252))</f>
        <v>#N/A</v>
      </c>
      <c r="O240" s="51">
        <f>COUNTIFs(Matches!$B:$B,E240,Matches!$A:$A,"&gt;"&amp;Q240,Matches!$A:$A,"&lt;"&amp;R240)</f>
        <v>0</v>
      </c>
      <c r="P240" s="51">
        <f>COUNTIFs(Matches!$C:$C,E240,Matches!$A:$A,"&gt;"&amp;Q240,Matches!$A:$A,"&lt;"&amp;R240)</f>
        <v>0</v>
      </c>
      <c r="Q240" s="52">
        <f>VLOOKUP($C$2,Quotas!$A$7:$E$14,2,FALSE)</f>
        <v>46171.70833</v>
      </c>
      <c r="R240" s="52">
        <f>VLOOKUP($C$2,Quotas!$A$7:$E$14,3,FALSE)</f>
        <v>46178.70833</v>
      </c>
    </row>
    <row r="241">
      <c r="A241" s="82" t="str">
        <f t="array" ref="A241">XLOOKUP($E241,'Player Database'!$B$2:$B252,'Player Database'!$C$2:$C252)</f>
        <v>#N/A</v>
      </c>
      <c r="B241" s="82" t="str">
        <f t="array" ref="B241">XLOOKUP($E241,'Player Database'!$B$2:$B252,'Player Database'!$E$2:$E252)</f>
        <v>#N/A</v>
      </c>
      <c r="C241" s="82" t="str">
        <f t="array" ref="C241">XLOOKUP($E241,'Player Database'!$B$2:$B252,'Player Database'!$F$2:$F252)</f>
        <v>#N/A</v>
      </c>
      <c r="D241" s="175">
        <f>IFERROR(__xludf.DUMMYFUNCTION("""COMPUTED_VALUE"""),1.0)</f>
        <v>1</v>
      </c>
      <c r="E241" s="41"/>
      <c r="F241" s="42" t="str">
        <f t="array" ref="F241">XLOOKUP($E241,'Player Database'!$B$2:$B252,'Player Database'!$K$2:$K252)</f>
        <v>#N/A</v>
      </c>
      <c r="G241" s="42" t="str">
        <f t="array" ref="G241">XLOOKUP($E241,'Player Database'!$B$2:$B252,'Player Database'!$AE$2:$AE252)</f>
        <v>#N/A</v>
      </c>
      <c r="H241" s="42" t="str">
        <f t="array" ref="H241">XLOOKUP($E241,'Player Database'!$B$2:$B252,'Player Database'!$H$2:$H252)</f>
        <v>#N/A</v>
      </c>
      <c r="I241" s="42" t="str">
        <f t="array" ref="I241">XLOOKUP($E241,'Player Database'!$B$2:$B252,'Player Database'!$O$2:$O252)</f>
        <v>#N/A</v>
      </c>
      <c r="J241" s="42" t="str">
        <f t="array" ref="J241">XLOOKUP($E241,'Player Database'!$B$2:$B252,'Player Database'!$P$2:$P252)</f>
        <v>#N/A</v>
      </c>
      <c r="K241" s="44" t="str">
        <f t="array" ref="K241">XLOOKUP($E241,'Player Database'!$B$2:$B252,'Player Database'!$U$2:$U252)</f>
        <v>#N/A</v>
      </c>
      <c r="L241" s="47" t="str">
        <f t="array" ref="L241">XLOOKUP($E241,'Player Database'!$B$2:$B252,'Player Database'!$W$2:$W252)</f>
        <v>#N/A</v>
      </c>
      <c r="M241" s="48" t="str">
        <f t="shared" si="1"/>
        <v>0 - 0</v>
      </c>
      <c r="N241" s="50" t="str">
        <f t="array" ref="N241">IF(XLOOKUP($E241,'Player Database'!$B$2:$B252,'Player Database'!$AA$2:$AA252)="",XLOOKUP($E241,'Player Database'!$B$2:$B252,'Player Database'!$G$2:$G252),XLOOKUP($E241,'Player Database'!$B$2:$B252,'Player Database'!$AA$2:$AA252))</f>
        <v>#N/A</v>
      </c>
      <c r="O241" s="51">
        <f>COUNTIFs(Matches!$B:$B,E241,Matches!$A:$A,"&gt;"&amp;Q241,Matches!$A:$A,"&lt;"&amp;R241)</f>
        <v>0</v>
      </c>
      <c r="P241" s="51">
        <f>COUNTIFs(Matches!$C:$C,E241,Matches!$A:$A,"&gt;"&amp;Q241,Matches!$A:$A,"&lt;"&amp;R241)</f>
        <v>0</v>
      </c>
      <c r="Q241" s="52">
        <f>VLOOKUP($C$2,Quotas!$A$7:$E$14,2,FALSE)</f>
        <v>46171.70833</v>
      </c>
      <c r="R241" s="52">
        <f>VLOOKUP($C$2,Quotas!$A$7:$E$14,3,FALSE)</f>
        <v>46178.70833</v>
      </c>
    </row>
    <row r="242">
      <c r="A242" s="82" t="str">
        <f t="array" ref="A242">XLOOKUP($E242,'Player Database'!$B$2:$B252,'Player Database'!$C$2:$C252)</f>
        <v>#N/A</v>
      </c>
      <c r="B242" s="82" t="str">
        <f t="array" ref="B242">XLOOKUP($E242,'Player Database'!$B$2:$B252,'Player Database'!$E$2:$E252)</f>
        <v>#N/A</v>
      </c>
      <c r="C242" s="82" t="str">
        <f t="array" ref="C242">XLOOKUP($E242,'Player Database'!$B$2:$B252,'Player Database'!$F$2:$F252)</f>
        <v>#N/A</v>
      </c>
      <c r="D242" s="175">
        <f>IFERROR(__xludf.DUMMYFUNCTION("""COMPUTED_VALUE"""),1.0)</f>
        <v>1</v>
      </c>
      <c r="E242" s="41"/>
      <c r="F242" s="42" t="str">
        <f t="array" ref="F242">XLOOKUP($E242,'Player Database'!$B$2:$B252,'Player Database'!$K$2:$K252)</f>
        <v>#N/A</v>
      </c>
      <c r="G242" s="42" t="str">
        <f t="array" ref="G242">XLOOKUP($E242,'Player Database'!$B$2:$B252,'Player Database'!$AE$2:$AE252)</f>
        <v>#N/A</v>
      </c>
      <c r="H242" s="42" t="str">
        <f t="array" ref="H242">XLOOKUP($E242,'Player Database'!$B$2:$B252,'Player Database'!$H$2:$H252)</f>
        <v>#N/A</v>
      </c>
      <c r="I242" s="42" t="str">
        <f t="array" ref="I242">XLOOKUP($E242,'Player Database'!$B$2:$B252,'Player Database'!$O$2:$O252)</f>
        <v>#N/A</v>
      </c>
      <c r="J242" s="42" t="str">
        <f t="array" ref="J242">XLOOKUP($E242,'Player Database'!$B$2:$B252,'Player Database'!$P$2:$P252)</f>
        <v>#N/A</v>
      </c>
      <c r="K242" s="44" t="str">
        <f t="array" ref="K242">XLOOKUP($E242,'Player Database'!$B$2:$B252,'Player Database'!$U$2:$U252)</f>
        <v>#N/A</v>
      </c>
      <c r="L242" s="47" t="str">
        <f t="array" ref="L242">XLOOKUP($E242,'Player Database'!$B$2:$B252,'Player Database'!$W$2:$W252)</f>
        <v>#N/A</v>
      </c>
      <c r="M242" s="48" t="str">
        <f t="shared" si="1"/>
        <v>0 - 0</v>
      </c>
      <c r="N242" s="50" t="str">
        <f t="array" ref="N242">IF(XLOOKUP($E242,'Player Database'!$B$2:$B252,'Player Database'!$AA$2:$AA252)="",XLOOKUP($E242,'Player Database'!$B$2:$B252,'Player Database'!$G$2:$G252),XLOOKUP($E242,'Player Database'!$B$2:$B252,'Player Database'!$AA$2:$AA252))</f>
        <v>#N/A</v>
      </c>
      <c r="O242" s="51">
        <f>COUNTIFs(Matches!$B:$B,E242,Matches!$A:$A,"&gt;"&amp;Q242,Matches!$A:$A,"&lt;"&amp;R242)</f>
        <v>0</v>
      </c>
      <c r="P242" s="51">
        <f>COUNTIFs(Matches!$C:$C,E242,Matches!$A:$A,"&gt;"&amp;Q242,Matches!$A:$A,"&lt;"&amp;R242)</f>
        <v>0</v>
      </c>
      <c r="Q242" s="52">
        <f>VLOOKUP($C$2,Quotas!$A$7:$E$14,2,FALSE)</f>
        <v>46171.70833</v>
      </c>
      <c r="R242" s="52">
        <f>VLOOKUP($C$2,Quotas!$A$7:$E$14,3,FALSE)</f>
        <v>46178.70833</v>
      </c>
    </row>
    <row r="243">
      <c r="A243" s="177" t="s">
        <v>629</v>
      </c>
      <c r="B243" s="178"/>
      <c r="C243" s="178"/>
      <c r="D243" s="178"/>
      <c r="E243" s="178"/>
      <c r="F243" s="179" t="str">
        <f>IFERROR(__xludf.DUMMYFUNCTION("CONCATENATE(TO_TEXT(SUM('Player Database'!$K:$K)),"" - 0"")"),"0 - 0")</f>
        <v>0 - 0</v>
      </c>
      <c r="G243" s="180"/>
      <c r="H243" s="181">
        <f>COUNTIF(Entropy!$C:$C,A243)</f>
        <v>254</v>
      </c>
      <c r="I243" s="182"/>
      <c r="J243" s="182"/>
      <c r="K243" s="182"/>
      <c r="L243" s="182"/>
      <c r="M243" s="182"/>
      <c r="N243" s="182"/>
      <c r="O243" s="183">
        <f t="shared" ref="O243:P243" si="2">sum(O4:O242)</f>
        <v>0</v>
      </c>
      <c r="P243" s="183">
        <f t="shared" si="2"/>
        <v>0</v>
      </c>
      <c r="Q243" s="183"/>
      <c r="R243" s="183"/>
    </row>
    <row r="244">
      <c r="A244" s="184" t="s">
        <v>805</v>
      </c>
      <c r="B244" s="178"/>
      <c r="C244" s="178"/>
      <c r="D244" s="178"/>
      <c r="E244" s="178"/>
      <c r="F244" s="185" t="str">
        <f>IFERROR(__xludf.DUMMYFUNCTION("CONCATENATE(TO_TEXT(SUM('Player Database'!$I$2:$I252)),"" - "",TO_TEXT(SUM('Player Database'!$J$2:$J252)))"),"0 - 0")</f>
        <v>0 - 0</v>
      </c>
      <c r="G244" s="186"/>
      <c r="H244" s="187" t="str">
        <f>SUM(H4:H243)</f>
        <v>#N/A</v>
      </c>
      <c r="I244" s="188">
        <f t="shared" ref="I244:J244" si="3">SUMif(I4:I242,"&gt;0")</f>
        <v>0</v>
      </c>
      <c r="J244" s="189">
        <f t="shared" si="3"/>
        <v>0</v>
      </c>
      <c r="K244" s="182"/>
      <c r="L244" s="182"/>
      <c r="M244" s="190"/>
      <c r="N244" s="182"/>
      <c r="O244" s="191"/>
      <c r="P244" s="191"/>
      <c r="Q244" s="191"/>
      <c r="R244" s="191"/>
    </row>
    <row r="245">
      <c r="A245" s="184" t="s">
        <v>809</v>
      </c>
      <c r="B245" s="178"/>
      <c r="C245" s="192"/>
      <c r="D245" s="178"/>
      <c r="E245" s="178"/>
      <c r="F245" s="193" t="str">
        <f>IFERROR(__xludf.DUMMYFUNCTION("CONCATENATE(TO_TEXT(SUM('Player Database'!$I$2:$I252)),"" - "",TO_TEXT(SUM('Player Database'!$J$2:$J252)-SUM('Player Database'!$L$2:$L252)))"),"0 - 0")</f>
        <v>0 - 0</v>
      </c>
      <c r="G245" s="194"/>
      <c r="H245" s="195" t="str">
        <f>H244-COUNTIF(Entropy!J:J,"TRUE")</f>
        <v>#N/A</v>
      </c>
      <c r="I245" s="182"/>
      <c r="J245" s="182"/>
      <c r="K245" s="182"/>
      <c r="L245" s="182"/>
      <c r="M245" s="196" t="str">
        <f>CONCATENATE(O243," - ",P243)</f>
        <v>0 - 0</v>
      </c>
      <c r="N245" s="182"/>
      <c r="O245" s="197"/>
      <c r="P245" s="197"/>
      <c r="Q245" s="197"/>
      <c r="R245" s="197"/>
    </row>
    <row r="246">
      <c r="A246" s="198" t="s">
        <v>810</v>
      </c>
      <c r="B246" s="199"/>
      <c r="C246" s="200">
        <f>CountA(A4:A242)</f>
        <v>239</v>
      </c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1"/>
      <c r="P246" s="1"/>
      <c r="Q246" s="1"/>
      <c r="R246" s="1"/>
    </row>
    <row r="247">
      <c r="A247" s="202" t="s">
        <v>811</v>
      </c>
      <c r="B247" s="199"/>
      <c r="C247" s="203">
        <f>COUNTA($A4:$A242)-$C248-COUNTIFS($H4:$H236,30,$L4:$L236,"Maxed out")</f>
        <v>239</v>
      </c>
      <c r="D247" s="204"/>
      <c r="E247" s="204"/>
      <c r="F247" s="204"/>
      <c r="G247" s="204"/>
      <c r="H247" s="204"/>
      <c r="I247" s="204"/>
      <c r="J247" s="204"/>
      <c r="K247" s="204"/>
      <c r="L247" s="204"/>
      <c r="M247" s="201"/>
      <c r="N247" s="201"/>
      <c r="O247" s="1"/>
      <c r="P247" s="1"/>
      <c r="Q247" s="1"/>
      <c r="R247" s="1"/>
    </row>
    <row r="248">
      <c r="A248" s="202" t="s">
        <v>812</v>
      </c>
      <c r="B248" s="199"/>
      <c r="C248" s="203">
        <f>COUNTIF($L4:$L243,"Eliminated")</f>
        <v>0</v>
      </c>
      <c r="D248" s="204"/>
      <c r="E248" s="204"/>
      <c r="F248" s="205" t="s">
        <v>813</v>
      </c>
      <c r="G248" s="205"/>
      <c r="H248" s="206"/>
      <c r="I248" s="204"/>
      <c r="J248" s="207"/>
      <c r="K248" s="207"/>
      <c r="L248" s="207"/>
      <c r="M248" s="201"/>
      <c r="N248" s="201"/>
      <c r="O248" s="1"/>
      <c r="P248" s="1"/>
      <c r="Q248" s="1"/>
      <c r="R248" s="1"/>
    </row>
    <row r="249">
      <c r="A249" s="202" t="s">
        <v>814</v>
      </c>
      <c r="B249" s="199"/>
      <c r="C249" s="208" t="str">
        <f>$H245/2</f>
        <v>#N/A</v>
      </c>
      <c r="D249" s="204"/>
      <c r="E249" s="204"/>
      <c r="F249" s="209" t="s">
        <v>815</v>
      </c>
      <c r="G249" s="209"/>
      <c r="H249" s="210"/>
      <c r="I249" s="204"/>
      <c r="J249" s="211"/>
      <c r="K249" s="211"/>
      <c r="L249" s="211"/>
      <c r="M249" s="201"/>
      <c r="N249" s="201"/>
      <c r="O249" s="1"/>
      <c r="P249" s="1"/>
      <c r="Q249" s="1"/>
      <c r="R249" s="1"/>
    </row>
    <row r="250">
      <c r="A250" s="202" t="s">
        <v>816</v>
      </c>
      <c r="B250" s="199"/>
      <c r="C250" s="208">
        <f>SUM('Player Database'!$I$2:$I252)</f>
        <v>0</v>
      </c>
      <c r="D250" s="211"/>
      <c r="E250" s="212"/>
      <c r="F250" s="211"/>
      <c r="G250" s="211"/>
      <c r="H250" s="211"/>
      <c r="I250" s="211"/>
      <c r="J250" s="213"/>
      <c r="K250" s="214"/>
      <c r="L250" s="214"/>
      <c r="M250" s="215"/>
      <c r="N250" s="215"/>
      <c r="O250" s="4"/>
      <c r="P250" s="4"/>
      <c r="Q250" s="4"/>
      <c r="R250" s="4"/>
    </row>
    <row r="251">
      <c r="A251" s="202" t="s">
        <v>817</v>
      </c>
      <c r="B251" s="199"/>
      <c r="C251" s="208">
        <f>SUM('Player Database'!$I$2:$I252)-SUM('Player Database'!$K$2:$K252)</f>
        <v>0</v>
      </c>
      <c r="D251" s="211"/>
      <c r="E251" s="212"/>
      <c r="F251" s="211"/>
      <c r="G251" s="211"/>
      <c r="H251" s="211"/>
      <c r="I251" s="211"/>
      <c r="J251" s="216" t="s">
        <v>821</v>
      </c>
      <c r="M251" s="215"/>
      <c r="N251" s="215"/>
      <c r="O251" s="4"/>
      <c r="P251" s="4"/>
      <c r="Q251" s="4"/>
      <c r="R251" s="4"/>
    </row>
    <row r="252">
      <c r="A252" s="198" t="s">
        <v>822</v>
      </c>
      <c r="B252" s="217"/>
      <c r="C252" s="208">
        <f>SUMIF('Player Database'!$H2:H252,"&gt;0",'Player Database'!$P2:$P252)</f>
        <v>0</v>
      </c>
      <c r="D252" s="211"/>
      <c r="E252" s="212"/>
      <c r="F252" s="211"/>
      <c r="G252" s="211"/>
      <c r="H252" s="211"/>
      <c r="I252" s="211"/>
      <c r="J252" s="218"/>
      <c r="K252" s="218"/>
      <c r="L252" s="218"/>
      <c r="M252" s="215"/>
      <c r="N252" s="215"/>
      <c r="O252" s="4"/>
      <c r="P252" s="4"/>
      <c r="Q252" s="4"/>
      <c r="R252" s="4"/>
    </row>
  </sheetData>
  <mergeCells count="1">
    <mergeCell ref="J251:L251"/>
  </mergeCells>
  <conditionalFormatting sqref="A4:N242">
    <cfRule type="expression" dxfId="6" priority="1">
      <formula>$L4="Eliminated"</formula>
    </cfRule>
  </conditionalFormatting>
  <conditionalFormatting sqref="A4:D242">
    <cfRule type="expression" dxfId="7" priority="2">
      <formula>$D4&lt;9</formula>
    </cfRule>
  </conditionalFormatting>
  <conditionalFormatting sqref="A4:E242">
    <cfRule type="expression" dxfId="8" priority="3">
      <formula>$D4&lt;17</formula>
    </cfRule>
  </conditionalFormatting>
  <conditionalFormatting sqref="I4:J242 I246:J246">
    <cfRule type="cellIs" dxfId="9" priority="4" operator="greaterThan">
      <formula>0</formula>
    </cfRule>
  </conditionalFormatting>
  <conditionalFormatting sqref="L4:L242">
    <cfRule type="cellIs" dxfId="10" priority="5" operator="equal">
      <formula>"Underplay"</formula>
    </cfRule>
  </conditionalFormatting>
  <conditionalFormatting sqref="L4:L242">
    <cfRule type="cellIs" dxfId="11" priority="6" operator="equal">
      <formula>"Can Play"</formula>
    </cfRule>
  </conditionalFormatting>
  <conditionalFormatting sqref="L4:L242">
    <cfRule type="cellIs" dxfId="9" priority="7" operator="equal">
      <formula>"Overplay"</formula>
    </cfRule>
  </conditionalFormatting>
  <conditionalFormatting sqref="L4:L242">
    <cfRule type="cellIs" dxfId="12" priority="8" operator="equal">
      <formula>"Maxed Out"</formula>
    </cfRule>
  </conditionalFormatting>
  <conditionalFormatting sqref="M4:M242">
    <cfRule type="cellIs" dxfId="13" priority="9" operator="equal">
      <formula>"5 - 0"</formula>
    </cfRule>
  </conditionalFormatting>
  <conditionalFormatting sqref="M4:M242">
    <cfRule type="cellIs" dxfId="13" priority="10" operator="equal">
      <formula>"6 - 0"</formula>
    </cfRule>
  </conditionalFormatting>
  <conditionalFormatting sqref="M4:M242">
    <cfRule type="cellIs" dxfId="13" priority="11" operator="equal">
      <formula>"7 - 0"</formula>
    </cfRule>
  </conditionalFormatting>
  <conditionalFormatting sqref="A4:E242">
    <cfRule type="expression" dxfId="14" priority="12">
      <formula>$D4&lt;33</formula>
    </cfRule>
  </conditionalFormatting>
  <conditionalFormatting sqref="K252:L252">
    <cfRule type="notContainsBlanks" dxfId="15" priority="13">
      <formula>LEN(TRIM(K252))&gt;0</formula>
    </cfRule>
  </conditionalFormatting>
  <conditionalFormatting sqref="G4:G242">
    <cfRule type="cellIs" dxfId="16" priority="14" operator="equal">
      <formula>"Lorehold"</formula>
    </cfRule>
  </conditionalFormatting>
  <conditionalFormatting sqref="G4:G242">
    <cfRule type="cellIs" dxfId="17" priority="15" operator="equal">
      <formula>"Prismari"</formula>
    </cfRule>
  </conditionalFormatting>
  <conditionalFormatting sqref="G4:G242">
    <cfRule type="cellIs" dxfId="18" priority="16" operator="equal">
      <formula>"Quandrix"</formula>
    </cfRule>
  </conditionalFormatting>
  <conditionalFormatting sqref="G4:G242">
    <cfRule type="cellIs" dxfId="19" priority="17" operator="equal">
      <formula>"Witherbloom"</formula>
    </cfRule>
  </conditionalFormatting>
  <conditionalFormatting sqref="G4:G242">
    <cfRule type="cellIs" dxfId="20" priority="18" operator="equal">
      <formula>"Silverquill"</formula>
    </cfRule>
  </conditionalFormatting>
  <hyperlinks>
    <hyperlink r:id="rId1" ref="J25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0.25"/>
    <col customWidth="1" min="3" max="3" width="29.25"/>
    <col customWidth="1" min="4" max="4" width="11.88"/>
    <col customWidth="1" min="5" max="5" width="14.88"/>
    <col customWidth="1" min="6" max="6" width="15.63"/>
    <col customWidth="1" min="7" max="13" width="18.88"/>
  </cols>
  <sheetData>
    <row r="1" ht="16.5" customHeight="1">
      <c r="A1" s="3" t="s">
        <v>3</v>
      </c>
      <c r="B1" s="3" t="s">
        <v>6</v>
      </c>
      <c r="C1" s="6" t="s">
        <v>7</v>
      </c>
      <c r="D1" s="3" t="s">
        <v>8</v>
      </c>
      <c r="E1" s="7" t="s">
        <v>9</v>
      </c>
      <c r="F1" s="3" t="s">
        <v>10</v>
      </c>
      <c r="G1" s="3" t="s">
        <v>11</v>
      </c>
      <c r="H1" s="9" t="s">
        <v>13</v>
      </c>
      <c r="I1" s="9" t="s">
        <v>14</v>
      </c>
      <c r="J1" s="9" t="s">
        <v>15</v>
      </c>
    </row>
    <row r="2">
      <c r="A2" s="11">
        <v>46136.72205358796</v>
      </c>
      <c r="B2" s="9" t="s">
        <v>17</v>
      </c>
      <c r="C2" s="9" t="s">
        <v>18</v>
      </c>
      <c r="D2" s="9" t="s">
        <v>19</v>
      </c>
      <c r="E2" s="14"/>
      <c r="F2" s="15">
        <v>1.0</v>
      </c>
      <c r="G2" s="9" t="b">
        <v>1</v>
      </c>
      <c r="H2" s="31" t="str">
        <f t="array" ref="H2:H3434">IF(B2:B3434&lt;&gt;"",XLOOKUP(B2:B3434, 'Player Database'!$B$2:$B3434, 'Player Database'!$AE$2:$AE3434),"")</f>
        <v>#N/A</v>
      </c>
      <c r="I2" s="31" t="str">
        <f t="array" ref="I2:I3434">IF(C2:C3434&lt;&gt;"",XLOOKUP(C2:C3434, 'Player Database'!$B$2:$B3434, 'Player Database'!$AE$2:$AE3434),"")</f>
        <v>#N/A</v>
      </c>
      <c r="J2" s="15">
        <v>1.0</v>
      </c>
    </row>
    <row r="3">
      <c r="A3" s="11">
        <v>46136.72465991898</v>
      </c>
      <c r="B3" s="9" t="s">
        <v>54</v>
      </c>
      <c r="C3" s="9" t="s">
        <v>55</v>
      </c>
      <c r="D3" s="37" t="s">
        <v>57</v>
      </c>
      <c r="E3" s="14"/>
      <c r="F3" s="15">
        <v>1.0</v>
      </c>
      <c r="G3" s="9" t="b">
        <v>1</v>
      </c>
      <c r="H3" s="31" t="e">
        <v>#N/A</v>
      </c>
      <c r="I3" s="31" t="e">
        <v>#N/A</v>
      </c>
      <c r="J3" s="15">
        <v>1.0</v>
      </c>
    </row>
    <row r="4">
      <c r="A4" s="11">
        <v>46136.72487179398</v>
      </c>
      <c r="B4" s="9" t="s">
        <v>59</v>
      </c>
      <c r="C4" s="9" t="s">
        <v>60</v>
      </c>
      <c r="D4" s="9" t="s">
        <v>19</v>
      </c>
      <c r="E4" s="14"/>
      <c r="F4" s="15">
        <v>1.0</v>
      </c>
      <c r="G4" s="9" t="b">
        <v>1</v>
      </c>
      <c r="H4" s="31" t="e">
        <v>#N/A</v>
      </c>
      <c r="I4" s="31" t="e">
        <v>#N/A</v>
      </c>
      <c r="J4" s="15">
        <v>1.0</v>
      </c>
    </row>
    <row r="5">
      <c r="A5" s="11">
        <v>46136.73148616898</v>
      </c>
      <c r="B5" s="9" t="s">
        <v>61</v>
      </c>
      <c r="C5" s="9" t="s">
        <v>62</v>
      </c>
      <c r="D5" s="9" t="s">
        <v>19</v>
      </c>
      <c r="E5" s="14"/>
      <c r="F5" s="15">
        <v>1.0</v>
      </c>
      <c r="G5" s="9" t="b">
        <v>1</v>
      </c>
      <c r="H5" s="31" t="e">
        <v>#N/A</v>
      </c>
      <c r="I5" s="31" t="e">
        <v>#N/A</v>
      </c>
      <c r="J5" s="15">
        <v>1.0</v>
      </c>
    </row>
    <row r="6">
      <c r="A6" s="11">
        <v>46136.732887245365</v>
      </c>
      <c r="B6" s="9" t="s">
        <v>63</v>
      </c>
      <c r="C6" s="9" t="s">
        <v>64</v>
      </c>
      <c r="D6" s="9" t="s">
        <v>19</v>
      </c>
      <c r="E6" s="14"/>
      <c r="F6" s="15">
        <v>1.0</v>
      </c>
      <c r="G6" s="37" t="s">
        <v>65</v>
      </c>
      <c r="H6" s="31" t="e">
        <v>#N/A</v>
      </c>
      <c r="I6" s="31" t="e">
        <v>#N/A</v>
      </c>
      <c r="J6" s="15">
        <v>1.0</v>
      </c>
    </row>
    <row r="7">
      <c r="A7" s="11">
        <v>46136.73314630787</v>
      </c>
      <c r="B7" s="9" t="s">
        <v>66</v>
      </c>
      <c r="C7" s="9" t="s">
        <v>67</v>
      </c>
      <c r="D7" s="9" t="s">
        <v>19</v>
      </c>
      <c r="E7" s="14"/>
      <c r="F7" s="15">
        <v>1.0</v>
      </c>
      <c r="G7" s="9" t="b">
        <v>1</v>
      </c>
      <c r="H7" s="31" t="e">
        <v>#N/A</v>
      </c>
      <c r="I7" s="31" t="e">
        <v>#N/A</v>
      </c>
      <c r="J7" s="15">
        <v>1.0</v>
      </c>
    </row>
    <row r="8">
      <c r="A8" s="11">
        <v>46136.73430418981</v>
      </c>
      <c r="B8" s="9" t="s">
        <v>71</v>
      </c>
      <c r="C8" s="9" t="s">
        <v>72</v>
      </c>
      <c r="D8" s="37" t="s">
        <v>57</v>
      </c>
      <c r="E8" s="14"/>
      <c r="F8" s="15">
        <v>1.0</v>
      </c>
      <c r="G8" s="9" t="b">
        <v>1</v>
      </c>
      <c r="H8" s="31" t="e">
        <v>#N/A</v>
      </c>
      <c r="I8" s="31" t="e">
        <v>#N/A</v>
      </c>
      <c r="J8" s="15">
        <v>1.0</v>
      </c>
    </row>
    <row r="9">
      <c r="A9" s="11">
        <v>46136.7343296412</v>
      </c>
      <c r="B9" s="9" t="s">
        <v>74</v>
      </c>
      <c r="C9" s="9" t="s">
        <v>75</v>
      </c>
      <c r="D9" s="37" t="s">
        <v>57</v>
      </c>
      <c r="E9" s="14"/>
      <c r="F9" s="15">
        <v>1.0</v>
      </c>
      <c r="G9" s="37" t="s">
        <v>65</v>
      </c>
      <c r="H9" s="31" t="e">
        <v>#N/A</v>
      </c>
      <c r="I9" s="31" t="e">
        <v>#N/A</v>
      </c>
      <c r="J9" s="15">
        <v>1.0</v>
      </c>
    </row>
    <row r="10">
      <c r="A10" s="11">
        <v>46136.73441355324</v>
      </c>
      <c r="B10" s="9" t="s">
        <v>76</v>
      </c>
      <c r="C10" s="9" t="s">
        <v>77</v>
      </c>
      <c r="D10" s="9" t="s">
        <v>19</v>
      </c>
      <c r="E10" s="14"/>
      <c r="F10" s="15">
        <v>1.0</v>
      </c>
      <c r="G10" s="37" t="s">
        <v>65</v>
      </c>
      <c r="H10" s="31" t="e">
        <v>#N/A</v>
      </c>
      <c r="I10" s="31" t="e">
        <v>#N/A</v>
      </c>
      <c r="J10" s="15">
        <v>1.0</v>
      </c>
    </row>
    <row r="11">
      <c r="A11" s="11">
        <v>46136.735148645836</v>
      </c>
      <c r="B11" s="9" t="s">
        <v>79</v>
      </c>
      <c r="C11" s="9" t="s">
        <v>81</v>
      </c>
      <c r="D11" s="37" t="s">
        <v>57</v>
      </c>
      <c r="E11" s="14"/>
      <c r="F11" s="15">
        <v>1.0</v>
      </c>
      <c r="G11" s="37" t="s">
        <v>65</v>
      </c>
      <c r="H11" s="31" t="e">
        <v>#N/A</v>
      </c>
      <c r="I11" s="31" t="e">
        <v>#N/A</v>
      </c>
      <c r="J11" s="15">
        <v>1.0</v>
      </c>
    </row>
    <row r="12">
      <c r="A12" s="11">
        <v>46136.7392478125</v>
      </c>
      <c r="B12" s="9" t="s">
        <v>59</v>
      </c>
      <c r="C12" s="9" t="s">
        <v>83</v>
      </c>
      <c r="D12" s="9" t="s">
        <v>19</v>
      </c>
      <c r="E12" s="14"/>
      <c r="F12" s="15">
        <v>1.0</v>
      </c>
      <c r="G12" s="37" t="s">
        <v>65</v>
      </c>
      <c r="H12" s="31" t="e">
        <v>#N/A</v>
      </c>
      <c r="I12" s="31" t="e">
        <v>#N/A</v>
      </c>
      <c r="J12" s="15">
        <v>1.0</v>
      </c>
    </row>
    <row r="13">
      <c r="A13" s="11">
        <v>46136.7444196412</v>
      </c>
      <c r="B13" s="9" t="s">
        <v>84</v>
      </c>
      <c r="C13" s="9" t="s">
        <v>85</v>
      </c>
      <c r="D13" s="9" t="s">
        <v>19</v>
      </c>
      <c r="E13" s="14"/>
      <c r="F13" s="15">
        <v>1.0</v>
      </c>
      <c r="G13" s="37" t="s">
        <v>65</v>
      </c>
      <c r="H13" s="31" t="e">
        <v>#N/A</v>
      </c>
      <c r="I13" s="31" t="e">
        <v>#N/A</v>
      </c>
      <c r="J13" s="15">
        <v>1.0</v>
      </c>
    </row>
    <row r="14">
      <c r="A14" s="11">
        <v>46136.74867645833</v>
      </c>
      <c r="B14" s="9" t="s">
        <v>54</v>
      </c>
      <c r="C14" s="9" t="s">
        <v>17</v>
      </c>
      <c r="D14" s="9" t="s">
        <v>19</v>
      </c>
      <c r="E14" s="14"/>
      <c r="F14" s="15">
        <v>1.0</v>
      </c>
      <c r="G14" s="37" t="s">
        <v>65</v>
      </c>
      <c r="H14" s="31" t="e">
        <v>#N/A</v>
      </c>
      <c r="I14" s="31" t="e">
        <v>#N/A</v>
      </c>
      <c r="J14" s="15">
        <v>1.0</v>
      </c>
    </row>
    <row r="15">
      <c r="A15" s="11">
        <v>46136.74916306713</v>
      </c>
      <c r="B15" s="9" t="s">
        <v>88</v>
      </c>
      <c r="C15" s="9" t="s">
        <v>74</v>
      </c>
      <c r="D15" s="9" t="s">
        <v>19</v>
      </c>
      <c r="E15" s="14"/>
      <c r="F15" s="15">
        <v>1.0</v>
      </c>
      <c r="G15" s="37" t="s">
        <v>65</v>
      </c>
      <c r="H15" s="31" t="e">
        <v>#N/A</v>
      </c>
      <c r="I15" s="31" t="e">
        <v>#N/A</v>
      </c>
      <c r="J15" s="15">
        <v>1.0</v>
      </c>
    </row>
    <row r="16">
      <c r="A16" s="11">
        <v>46136.749233553244</v>
      </c>
      <c r="B16" s="9" t="s">
        <v>89</v>
      </c>
      <c r="C16" s="9" t="s">
        <v>72</v>
      </c>
      <c r="D16" s="9" t="s">
        <v>19</v>
      </c>
      <c r="E16" s="14"/>
      <c r="F16" s="15">
        <v>1.0</v>
      </c>
      <c r="G16" s="37" t="s">
        <v>65</v>
      </c>
      <c r="H16" s="31" t="e">
        <v>#N/A</v>
      </c>
      <c r="I16" s="31" t="e">
        <v>#N/A</v>
      </c>
      <c r="J16" s="15">
        <v>1.0</v>
      </c>
    </row>
    <row r="17">
      <c r="A17" s="11">
        <v>46136.75588693287</v>
      </c>
      <c r="B17" s="9" t="s">
        <v>63</v>
      </c>
      <c r="C17" s="9" t="s">
        <v>71</v>
      </c>
      <c r="D17" s="9" t="s">
        <v>19</v>
      </c>
      <c r="E17" s="14"/>
      <c r="F17" s="15">
        <v>1.0</v>
      </c>
      <c r="G17" s="37" t="s">
        <v>65</v>
      </c>
      <c r="H17" s="31" t="e">
        <v>#N/A</v>
      </c>
      <c r="I17" s="31" t="e">
        <v>#N/A</v>
      </c>
      <c r="J17" s="15">
        <v>1.0</v>
      </c>
    </row>
    <row r="18">
      <c r="A18" s="11">
        <v>46136.75760082176</v>
      </c>
      <c r="B18" s="9" t="s">
        <v>76</v>
      </c>
      <c r="C18" s="9" t="s">
        <v>61</v>
      </c>
      <c r="D18" s="9" t="s">
        <v>19</v>
      </c>
      <c r="E18" s="14"/>
      <c r="F18" s="15">
        <v>1.0</v>
      </c>
      <c r="G18" s="37" t="s">
        <v>65</v>
      </c>
      <c r="H18" s="31" t="e">
        <v>#N/A</v>
      </c>
      <c r="I18" s="31" t="e">
        <v>#N/A</v>
      </c>
      <c r="J18" s="15">
        <v>1.0</v>
      </c>
    </row>
    <row r="19">
      <c r="A19" s="11">
        <v>46136.76407395833</v>
      </c>
      <c r="B19" s="9" t="s">
        <v>59</v>
      </c>
      <c r="C19" s="9" t="s">
        <v>81</v>
      </c>
      <c r="D19" s="37" t="s">
        <v>57</v>
      </c>
      <c r="E19" s="14"/>
      <c r="F19" s="15">
        <v>1.0</v>
      </c>
      <c r="G19" s="37" t="s">
        <v>65</v>
      </c>
      <c r="H19" s="31" t="e">
        <v>#N/A</v>
      </c>
      <c r="I19" s="31" t="e">
        <v>#N/A</v>
      </c>
      <c r="J19" s="15">
        <v>1.0</v>
      </c>
    </row>
    <row r="20">
      <c r="A20" s="11">
        <v>46136.770050844905</v>
      </c>
      <c r="B20" s="9" t="s">
        <v>92</v>
      </c>
      <c r="C20" s="9" t="s">
        <v>93</v>
      </c>
      <c r="D20" s="9" t="s">
        <v>19</v>
      </c>
      <c r="E20" s="14"/>
      <c r="F20" s="15">
        <v>1.0</v>
      </c>
      <c r="G20" s="37" t="s">
        <v>65</v>
      </c>
      <c r="H20" s="31" t="e">
        <v>#N/A</v>
      </c>
      <c r="I20" s="31" t="e">
        <v>#N/A</v>
      </c>
      <c r="J20" s="15">
        <v>1.0</v>
      </c>
    </row>
    <row r="21">
      <c r="A21" s="11">
        <v>46136.77154217593</v>
      </c>
      <c r="B21" s="9" t="s">
        <v>88</v>
      </c>
      <c r="C21" s="9" t="s">
        <v>84</v>
      </c>
      <c r="D21" s="37" t="s">
        <v>57</v>
      </c>
      <c r="E21" s="14"/>
      <c r="F21" s="15">
        <v>1.0</v>
      </c>
      <c r="G21" s="37" t="s">
        <v>65</v>
      </c>
      <c r="H21" s="31" t="e">
        <v>#N/A</v>
      </c>
      <c r="I21" s="31" t="e">
        <v>#N/A</v>
      </c>
      <c r="J21" s="15">
        <v>1.0</v>
      </c>
    </row>
    <row r="22">
      <c r="A22" s="11">
        <v>46136.771708506945</v>
      </c>
      <c r="B22" s="9" t="s">
        <v>54</v>
      </c>
      <c r="C22" s="9" t="s">
        <v>94</v>
      </c>
      <c r="D22" s="9" t="s">
        <v>19</v>
      </c>
      <c r="E22" s="14"/>
      <c r="F22" s="15">
        <v>1.0</v>
      </c>
      <c r="G22" s="37" t="s">
        <v>65</v>
      </c>
      <c r="H22" s="31" t="e">
        <v>#N/A</v>
      </c>
      <c r="I22" s="31" t="e">
        <v>#N/A</v>
      </c>
      <c r="J22" s="15">
        <v>1.0</v>
      </c>
    </row>
    <row r="23">
      <c r="A23" s="11">
        <v>46136.77646284722</v>
      </c>
      <c r="B23" s="9" t="s">
        <v>95</v>
      </c>
      <c r="C23" s="9" t="s">
        <v>89</v>
      </c>
      <c r="D23" s="37" t="s">
        <v>57</v>
      </c>
      <c r="E23" s="14"/>
      <c r="F23" s="15">
        <v>1.0</v>
      </c>
      <c r="G23" s="37" t="s">
        <v>65</v>
      </c>
      <c r="H23" s="31" t="e">
        <v>#N/A</v>
      </c>
      <c r="I23" s="31" t="e">
        <v>#N/A</v>
      </c>
      <c r="J23" s="15">
        <v>1.0</v>
      </c>
    </row>
    <row r="24">
      <c r="A24" s="11">
        <v>46136.779313067134</v>
      </c>
      <c r="B24" s="9" t="s">
        <v>96</v>
      </c>
      <c r="C24" s="9" t="s">
        <v>66</v>
      </c>
      <c r="D24" s="37" t="s">
        <v>57</v>
      </c>
      <c r="E24" s="14"/>
      <c r="F24" s="15">
        <v>1.0</v>
      </c>
      <c r="G24" s="37" t="s">
        <v>65</v>
      </c>
      <c r="H24" s="31" t="e">
        <v>#N/A</v>
      </c>
      <c r="I24" s="31" t="e">
        <v>#N/A</v>
      </c>
      <c r="J24" s="15">
        <v>1.0</v>
      </c>
    </row>
    <row r="25">
      <c r="A25" s="11">
        <v>46136.78118199074</v>
      </c>
      <c r="B25" s="9" t="s">
        <v>18</v>
      </c>
      <c r="C25" s="9" t="s">
        <v>62</v>
      </c>
      <c r="D25" s="37" t="s">
        <v>57</v>
      </c>
      <c r="E25" s="14"/>
      <c r="F25" s="15">
        <v>1.0</v>
      </c>
      <c r="G25" s="37" t="s">
        <v>65</v>
      </c>
      <c r="H25" s="31" t="e">
        <v>#N/A</v>
      </c>
      <c r="I25" s="31" t="e">
        <v>#N/A</v>
      </c>
      <c r="J25" s="15">
        <v>1.0</v>
      </c>
    </row>
    <row r="26">
      <c r="A26" s="11">
        <v>46136.78126369213</v>
      </c>
      <c r="B26" s="9" t="s">
        <v>55</v>
      </c>
      <c r="C26" s="9" t="s">
        <v>63</v>
      </c>
      <c r="D26" s="9" t="s">
        <v>19</v>
      </c>
      <c r="E26" s="14"/>
      <c r="F26" s="15">
        <v>1.0</v>
      </c>
      <c r="G26" s="37" t="s">
        <v>65</v>
      </c>
      <c r="H26" s="31" t="e">
        <v>#N/A</v>
      </c>
      <c r="I26" s="31" t="e">
        <v>#N/A</v>
      </c>
      <c r="J26" s="15">
        <v>1.0</v>
      </c>
    </row>
    <row r="27">
      <c r="A27" s="11">
        <v>46136.78425369213</v>
      </c>
      <c r="B27" s="9" t="s">
        <v>100</v>
      </c>
      <c r="C27" s="9" t="s">
        <v>101</v>
      </c>
      <c r="D27" s="9" t="s">
        <v>19</v>
      </c>
      <c r="E27" s="54" t="s">
        <v>102</v>
      </c>
      <c r="F27" s="15">
        <v>1.0</v>
      </c>
      <c r="G27" s="37" t="s">
        <v>65</v>
      </c>
      <c r="H27" s="31" t="e">
        <v>#N/A</v>
      </c>
      <c r="I27" s="31" t="e">
        <v>#N/A</v>
      </c>
      <c r="J27" s="15">
        <v>1.0</v>
      </c>
    </row>
    <row r="28">
      <c r="A28" s="11">
        <v>46136.78544391204</v>
      </c>
      <c r="B28" s="9" t="s">
        <v>103</v>
      </c>
      <c r="C28" s="9" t="s">
        <v>104</v>
      </c>
      <c r="D28" s="9" t="s">
        <v>19</v>
      </c>
      <c r="E28" s="14"/>
      <c r="F28" s="15">
        <v>1.0</v>
      </c>
      <c r="G28" s="37" t="s">
        <v>65</v>
      </c>
      <c r="H28" s="31" t="e">
        <v>#N/A</v>
      </c>
      <c r="I28" s="31" t="e">
        <v>#N/A</v>
      </c>
      <c r="J28" s="15">
        <v>1.0</v>
      </c>
    </row>
    <row r="29">
      <c r="A29" s="11">
        <v>46136.787969780096</v>
      </c>
      <c r="B29" s="9" t="s">
        <v>92</v>
      </c>
      <c r="C29" s="9" t="s">
        <v>59</v>
      </c>
      <c r="D29" s="37" t="s">
        <v>57</v>
      </c>
      <c r="E29" s="14"/>
      <c r="F29" s="15">
        <v>1.0</v>
      </c>
      <c r="G29" s="37" t="s">
        <v>65</v>
      </c>
      <c r="H29" s="31" t="e">
        <v>#N/A</v>
      </c>
      <c r="I29" s="31" t="e">
        <v>#N/A</v>
      </c>
      <c r="J29" s="15">
        <v>1.0</v>
      </c>
    </row>
    <row r="30">
      <c r="A30" s="11">
        <v>46136.79840826389</v>
      </c>
      <c r="B30" s="9" t="s">
        <v>18</v>
      </c>
      <c r="C30" s="9" t="s">
        <v>96</v>
      </c>
      <c r="D30" s="9" t="s">
        <v>19</v>
      </c>
      <c r="E30" s="14"/>
      <c r="F30" s="15">
        <v>1.0</v>
      </c>
      <c r="G30" s="37" t="s">
        <v>65</v>
      </c>
      <c r="H30" s="31" t="e">
        <v>#N/A</v>
      </c>
      <c r="I30" s="31" t="e">
        <v>#N/A</v>
      </c>
      <c r="J30" s="15">
        <v>1.0</v>
      </c>
    </row>
    <row r="31">
      <c r="A31" s="11">
        <v>46136.800390115735</v>
      </c>
      <c r="B31" s="9" t="s">
        <v>93</v>
      </c>
      <c r="C31" s="9" t="s">
        <v>107</v>
      </c>
      <c r="D31" s="37" t="s">
        <v>57</v>
      </c>
      <c r="E31" s="54" t="s">
        <v>108</v>
      </c>
      <c r="F31" s="15">
        <v>1.0</v>
      </c>
      <c r="G31" s="37" t="s">
        <v>65</v>
      </c>
      <c r="H31" s="31" t="e">
        <v>#N/A</v>
      </c>
      <c r="I31" s="31" t="e">
        <v>#N/A</v>
      </c>
      <c r="J31" s="15">
        <v>1.0</v>
      </c>
    </row>
    <row r="32">
      <c r="A32" s="11">
        <v>46136.80278511574</v>
      </c>
      <c r="B32" s="9" t="s">
        <v>77</v>
      </c>
      <c r="C32" s="9" t="s">
        <v>81</v>
      </c>
      <c r="D32" s="9" t="s">
        <v>19</v>
      </c>
      <c r="E32" s="14"/>
      <c r="F32" s="15">
        <v>1.0</v>
      </c>
      <c r="G32" s="37" t="s">
        <v>65</v>
      </c>
      <c r="H32" s="31" t="e">
        <v>#N/A</v>
      </c>
      <c r="I32" s="31" t="e">
        <v>#N/A</v>
      </c>
      <c r="J32" s="15">
        <v>1.0</v>
      </c>
    </row>
    <row r="33">
      <c r="A33" s="11">
        <v>46136.808691666665</v>
      </c>
      <c r="B33" s="9" t="s">
        <v>109</v>
      </c>
      <c r="C33" s="9" t="s">
        <v>110</v>
      </c>
      <c r="D33" s="37" t="s">
        <v>57</v>
      </c>
      <c r="E33" s="14"/>
      <c r="F33" s="15">
        <v>1.0</v>
      </c>
      <c r="G33" s="37" t="s">
        <v>65</v>
      </c>
      <c r="H33" s="31" t="e">
        <v>#N/A</v>
      </c>
      <c r="I33" s="31" t="e">
        <v>#N/A</v>
      </c>
      <c r="J33" s="15">
        <v>1.0</v>
      </c>
    </row>
    <row r="34">
      <c r="A34" s="11">
        <v>46136.81058528935</v>
      </c>
      <c r="B34" s="9" t="s">
        <v>62</v>
      </c>
      <c r="C34" s="9" t="s">
        <v>92</v>
      </c>
      <c r="D34" s="37" t="s">
        <v>57</v>
      </c>
      <c r="E34" s="54" t="s">
        <v>112</v>
      </c>
      <c r="F34" s="15">
        <v>1.0</v>
      </c>
      <c r="G34" s="37" t="s">
        <v>65</v>
      </c>
      <c r="H34" s="31" t="e">
        <v>#N/A</v>
      </c>
      <c r="I34" s="31" t="e">
        <v>#N/A</v>
      </c>
      <c r="J34" s="15">
        <v>1.0</v>
      </c>
    </row>
    <row r="35">
      <c r="A35" s="11">
        <v>46136.81164262732</v>
      </c>
      <c r="B35" s="9" t="s">
        <v>103</v>
      </c>
      <c r="C35" s="9" t="s">
        <v>55</v>
      </c>
      <c r="D35" s="37" t="s">
        <v>57</v>
      </c>
      <c r="E35" s="14"/>
      <c r="F35" s="15">
        <v>1.0</v>
      </c>
      <c r="G35" s="37" t="s">
        <v>65</v>
      </c>
      <c r="H35" s="31" t="e">
        <v>#N/A</v>
      </c>
      <c r="I35" s="31" t="e">
        <v>#N/A</v>
      </c>
      <c r="J35" s="15">
        <v>1.0</v>
      </c>
    </row>
    <row r="36">
      <c r="A36" s="11">
        <v>46136.8127669213</v>
      </c>
      <c r="B36" s="9" t="s">
        <v>114</v>
      </c>
      <c r="C36" s="9" t="s">
        <v>76</v>
      </c>
      <c r="D36" s="9" t="s">
        <v>19</v>
      </c>
      <c r="E36" s="14"/>
      <c r="F36" s="15">
        <v>1.0</v>
      </c>
      <c r="G36" s="37" t="s">
        <v>65</v>
      </c>
      <c r="H36" s="31" t="e">
        <v>#N/A</v>
      </c>
      <c r="I36" s="31" t="e">
        <v>#N/A</v>
      </c>
      <c r="J36" s="15">
        <v>1.0</v>
      </c>
    </row>
    <row r="37">
      <c r="A37" s="11">
        <v>46136.821382442125</v>
      </c>
      <c r="B37" s="9" t="s">
        <v>75</v>
      </c>
      <c r="C37" s="9" t="s">
        <v>104</v>
      </c>
      <c r="D37" s="37" t="s">
        <v>57</v>
      </c>
      <c r="E37" s="14"/>
      <c r="F37" s="15">
        <v>1.0</v>
      </c>
      <c r="G37" s="37" t="s">
        <v>65</v>
      </c>
      <c r="H37" s="31" t="e">
        <v>#N/A</v>
      </c>
      <c r="I37" s="31" t="e">
        <v>#N/A</v>
      </c>
      <c r="J37" s="15">
        <v>1.0</v>
      </c>
    </row>
    <row r="38">
      <c r="A38" s="11">
        <v>46136.8231394676</v>
      </c>
      <c r="B38" s="9" t="s">
        <v>115</v>
      </c>
      <c r="C38" s="9" t="s">
        <v>61</v>
      </c>
      <c r="D38" s="37" t="s">
        <v>57</v>
      </c>
      <c r="E38" s="54" t="s">
        <v>117</v>
      </c>
      <c r="F38" s="15">
        <v>1.0</v>
      </c>
      <c r="G38" s="37" t="s">
        <v>65</v>
      </c>
      <c r="H38" s="31" t="e">
        <v>#N/A</v>
      </c>
      <c r="I38" s="31" t="e">
        <v>#N/A</v>
      </c>
      <c r="J38" s="15">
        <v>1.0</v>
      </c>
    </row>
    <row r="39">
      <c r="A39" s="11">
        <v>46136.82448164352</v>
      </c>
      <c r="B39" s="9" t="s">
        <v>120</v>
      </c>
      <c r="C39" s="9" t="s">
        <v>121</v>
      </c>
      <c r="D39" s="9" t="s">
        <v>19</v>
      </c>
      <c r="E39" s="14"/>
      <c r="F39" s="15">
        <v>1.0</v>
      </c>
      <c r="G39" s="37" t="s">
        <v>65</v>
      </c>
      <c r="H39" s="31" t="e">
        <v>#N/A</v>
      </c>
      <c r="I39" s="31" t="e">
        <v>#N/A</v>
      </c>
      <c r="J39" s="15">
        <v>1.0</v>
      </c>
    </row>
    <row r="40">
      <c r="A40" s="11">
        <v>46136.82570518518</v>
      </c>
      <c r="B40" s="9" t="s">
        <v>89</v>
      </c>
      <c r="C40" s="9" t="s">
        <v>81</v>
      </c>
      <c r="D40" s="9" t="s">
        <v>19</v>
      </c>
      <c r="E40" s="54" t="s">
        <v>122</v>
      </c>
      <c r="F40" s="15">
        <v>1.0</v>
      </c>
      <c r="G40" s="37" t="s">
        <v>65</v>
      </c>
      <c r="H40" s="31" t="e">
        <v>#N/A</v>
      </c>
      <c r="I40" s="31" t="e">
        <v>#N/A</v>
      </c>
      <c r="J40" s="15">
        <v>1.0</v>
      </c>
    </row>
    <row r="41">
      <c r="A41" s="11">
        <v>46136.82668131945</v>
      </c>
      <c r="B41" s="9" t="s">
        <v>103</v>
      </c>
      <c r="C41" s="9" t="s">
        <v>114</v>
      </c>
      <c r="D41" s="37" t="s">
        <v>57</v>
      </c>
      <c r="E41" s="14"/>
      <c r="F41" s="15">
        <v>1.0</v>
      </c>
      <c r="G41" s="37" t="s">
        <v>65</v>
      </c>
      <c r="H41" s="31" t="e">
        <v>#N/A</v>
      </c>
      <c r="I41" s="31" t="e">
        <v>#N/A</v>
      </c>
      <c r="J41" s="15">
        <v>1.0</v>
      </c>
    </row>
    <row r="42">
      <c r="A42" s="11">
        <v>46136.83176768519</v>
      </c>
      <c r="B42" s="9" t="s">
        <v>92</v>
      </c>
      <c r="C42" s="9" t="s">
        <v>123</v>
      </c>
      <c r="D42" s="37" t="s">
        <v>57</v>
      </c>
      <c r="E42" s="14"/>
      <c r="F42" s="15">
        <v>1.0</v>
      </c>
      <c r="G42" s="37" t="s">
        <v>65</v>
      </c>
      <c r="H42" s="31" t="e">
        <v>#N/A</v>
      </c>
      <c r="I42" s="31" t="e">
        <v>#N/A</v>
      </c>
      <c r="J42" s="15">
        <v>1.0</v>
      </c>
    </row>
    <row r="43">
      <c r="A43" s="11">
        <v>46136.83237891203</v>
      </c>
      <c r="B43" s="9" t="s">
        <v>125</v>
      </c>
      <c r="C43" s="9" t="s">
        <v>67</v>
      </c>
      <c r="D43" s="37" t="s">
        <v>57</v>
      </c>
      <c r="E43" s="14"/>
      <c r="F43" s="15">
        <v>1.0</v>
      </c>
      <c r="G43" s="37" t="s">
        <v>65</v>
      </c>
      <c r="H43" s="31" t="e">
        <v>#N/A</v>
      </c>
      <c r="I43" s="31" t="e">
        <v>#N/A</v>
      </c>
      <c r="J43" s="15">
        <v>1.0</v>
      </c>
    </row>
    <row r="44">
      <c r="A44" s="11">
        <v>46136.83696097222</v>
      </c>
      <c r="B44" s="9" t="s">
        <v>18</v>
      </c>
      <c r="C44" s="9" t="s">
        <v>76</v>
      </c>
      <c r="D44" s="9" t="s">
        <v>19</v>
      </c>
      <c r="E44" s="14"/>
      <c r="F44" s="15">
        <v>1.0</v>
      </c>
      <c r="G44" s="37" t="s">
        <v>65</v>
      </c>
      <c r="H44" s="31" t="e">
        <v>#N/A</v>
      </c>
      <c r="I44" s="31" t="e">
        <v>#N/A</v>
      </c>
      <c r="J44" s="15">
        <v>1.0</v>
      </c>
    </row>
    <row r="45">
      <c r="A45" s="11">
        <v>46136.837830625</v>
      </c>
      <c r="B45" s="9" t="s">
        <v>103</v>
      </c>
      <c r="C45" s="9" t="s">
        <v>81</v>
      </c>
      <c r="D45" s="9" t="s">
        <v>19</v>
      </c>
      <c r="E45" s="14"/>
      <c r="F45" s="15">
        <v>1.0</v>
      </c>
      <c r="G45" s="37" t="s">
        <v>65</v>
      </c>
      <c r="H45" s="31" t="e">
        <v>#N/A</v>
      </c>
      <c r="I45" s="31" t="e">
        <v>#N/A</v>
      </c>
      <c r="J45" s="15">
        <v>1.0</v>
      </c>
    </row>
    <row r="46">
      <c r="A46" s="11">
        <v>46136.84167137732</v>
      </c>
      <c r="B46" s="9" t="s">
        <v>64</v>
      </c>
      <c r="C46" s="9" t="s">
        <v>100</v>
      </c>
      <c r="D46" s="9" t="s">
        <v>19</v>
      </c>
      <c r="E46" s="54" t="s">
        <v>127</v>
      </c>
      <c r="F46" s="15">
        <v>1.0</v>
      </c>
      <c r="G46" s="37" t="s">
        <v>65</v>
      </c>
      <c r="H46" s="31" t="e">
        <v>#N/A</v>
      </c>
      <c r="I46" s="31" t="e">
        <v>#N/A</v>
      </c>
      <c r="J46" s="15">
        <v>1.0</v>
      </c>
    </row>
    <row r="47">
      <c r="A47" s="11">
        <v>46136.841873391204</v>
      </c>
      <c r="B47" s="9" t="s">
        <v>128</v>
      </c>
      <c r="C47" s="9" t="s">
        <v>75</v>
      </c>
      <c r="D47" s="37" t="s">
        <v>57</v>
      </c>
      <c r="E47" s="14"/>
      <c r="F47" s="15">
        <v>1.0</v>
      </c>
      <c r="G47" s="37" t="s">
        <v>65</v>
      </c>
      <c r="H47" s="31" t="e">
        <v>#N/A</v>
      </c>
      <c r="I47" s="31" t="e">
        <v>#N/A</v>
      </c>
      <c r="J47" s="15">
        <v>1.0</v>
      </c>
    </row>
    <row r="48">
      <c r="A48" s="11">
        <v>46136.84369778935</v>
      </c>
      <c r="B48" s="9" t="s">
        <v>120</v>
      </c>
      <c r="C48" s="9" t="s">
        <v>115</v>
      </c>
      <c r="D48" s="9" t="s">
        <v>19</v>
      </c>
      <c r="E48" s="14"/>
      <c r="F48" s="15">
        <v>1.0</v>
      </c>
      <c r="G48" s="37" t="s">
        <v>65</v>
      </c>
      <c r="H48" s="31" t="e">
        <v>#N/A</v>
      </c>
      <c r="I48" s="31" t="e">
        <v>#N/A</v>
      </c>
      <c r="J48" s="15">
        <v>1.0</v>
      </c>
    </row>
    <row r="49">
      <c r="A49" s="11">
        <v>46136.84915702546</v>
      </c>
      <c r="B49" s="9" t="s">
        <v>103</v>
      </c>
      <c r="C49" s="9" t="s">
        <v>131</v>
      </c>
      <c r="D49" s="37" t="s">
        <v>57</v>
      </c>
      <c r="E49" s="14"/>
      <c r="F49" s="15">
        <v>1.0</v>
      </c>
      <c r="G49" s="37" t="s">
        <v>65</v>
      </c>
      <c r="H49" s="31" t="e">
        <v>#N/A</v>
      </c>
      <c r="I49" s="31" t="e">
        <v>#N/A</v>
      </c>
      <c r="J49" s="15">
        <v>1.0</v>
      </c>
    </row>
    <row r="50">
      <c r="A50" s="11">
        <v>46136.85008143519</v>
      </c>
      <c r="B50" s="9" t="s">
        <v>132</v>
      </c>
      <c r="C50" s="9" t="s">
        <v>133</v>
      </c>
      <c r="D50" s="9" t="s">
        <v>19</v>
      </c>
      <c r="E50" s="14"/>
      <c r="F50" s="15">
        <v>1.0</v>
      </c>
      <c r="G50" s="37" t="s">
        <v>65</v>
      </c>
      <c r="H50" s="31" t="e">
        <v>#N/A</v>
      </c>
      <c r="I50" s="31" t="e">
        <v>#N/A</v>
      </c>
      <c r="J50" s="15">
        <v>1.0</v>
      </c>
    </row>
    <row r="51">
      <c r="A51" s="11">
        <v>46136.85365260417</v>
      </c>
      <c r="B51" s="9" t="s">
        <v>134</v>
      </c>
      <c r="C51" s="9" t="s">
        <v>18</v>
      </c>
      <c r="D51" s="37" t="s">
        <v>57</v>
      </c>
      <c r="E51" s="14"/>
      <c r="F51" s="15">
        <v>1.0</v>
      </c>
      <c r="G51" s="37" t="s">
        <v>65</v>
      </c>
      <c r="H51" s="31" t="e">
        <v>#N/A</v>
      </c>
      <c r="I51" s="31" t="e">
        <v>#N/A</v>
      </c>
      <c r="J51" s="15">
        <v>1.0</v>
      </c>
    </row>
    <row r="52">
      <c r="A52" s="11">
        <v>46136.856991030094</v>
      </c>
      <c r="B52" s="9" t="s">
        <v>114</v>
      </c>
      <c r="C52" s="9" t="s">
        <v>55</v>
      </c>
      <c r="D52" s="37" t="s">
        <v>57</v>
      </c>
      <c r="E52" s="14"/>
      <c r="F52" s="15">
        <v>1.0</v>
      </c>
      <c r="G52" s="37" t="s">
        <v>65</v>
      </c>
      <c r="H52" s="31" t="e">
        <v>#N/A</v>
      </c>
      <c r="I52" s="31" t="e">
        <v>#N/A</v>
      </c>
      <c r="J52" s="15">
        <v>1.0</v>
      </c>
    </row>
    <row r="53">
      <c r="A53" s="11">
        <v>46136.85911603009</v>
      </c>
      <c r="B53" s="9" t="s">
        <v>123</v>
      </c>
      <c r="C53" s="9" t="s">
        <v>137</v>
      </c>
      <c r="D53" s="9" t="s">
        <v>19</v>
      </c>
      <c r="E53" s="14"/>
      <c r="F53" s="15">
        <v>1.0</v>
      </c>
      <c r="G53" s="37" t="s">
        <v>65</v>
      </c>
      <c r="H53" s="31" t="e">
        <v>#N/A</v>
      </c>
      <c r="I53" s="31" t="e">
        <v>#N/A</v>
      </c>
      <c r="J53" s="15">
        <v>1.0</v>
      </c>
    </row>
    <row r="54">
      <c r="A54" s="11">
        <v>46136.859703229165</v>
      </c>
      <c r="B54" s="9" t="s">
        <v>139</v>
      </c>
      <c r="C54" s="9" t="s">
        <v>128</v>
      </c>
      <c r="D54" s="37" t="s">
        <v>57</v>
      </c>
      <c r="E54" s="54" t="s">
        <v>140</v>
      </c>
      <c r="F54" s="15">
        <v>1.0</v>
      </c>
      <c r="G54" s="37" t="s">
        <v>65</v>
      </c>
      <c r="H54" s="31" t="e">
        <v>#N/A</v>
      </c>
      <c r="I54" s="31" t="e">
        <v>#N/A</v>
      </c>
      <c r="J54" s="15">
        <v>1.0</v>
      </c>
    </row>
    <row r="55">
      <c r="A55" s="11">
        <v>46136.86513928241</v>
      </c>
      <c r="B55" s="9" t="s">
        <v>141</v>
      </c>
      <c r="C55" s="9" t="s">
        <v>142</v>
      </c>
      <c r="D55" s="9" t="s">
        <v>19</v>
      </c>
      <c r="E55" s="14"/>
      <c r="F55" s="15">
        <v>1.0</v>
      </c>
      <c r="G55" s="37" t="s">
        <v>65</v>
      </c>
      <c r="H55" s="31" t="e">
        <v>#N/A</v>
      </c>
      <c r="I55" s="31" t="e">
        <v>#N/A</v>
      </c>
      <c r="J55" s="15">
        <v>1.0</v>
      </c>
    </row>
    <row r="56">
      <c r="A56" s="11">
        <v>46136.87641689814</v>
      </c>
      <c r="B56" s="9" t="s">
        <v>107</v>
      </c>
      <c r="C56" s="9" t="s">
        <v>123</v>
      </c>
      <c r="D56" s="37" t="s">
        <v>57</v>
      </c>
      <c r="E56" s="14"/>
      <c r="F56" s="15">
        <v>1.0</v>
      </c>
      <c r="G56" s="37" t="s">
        <v>65</v>
      </c>
      <c r="H56" s="31" t="e">
        <v>#N/A</v>
      </c>
      <c r="I56" s="31" t="e">
        <v>#N/A</v>
      </c>
      <c r="J56" s="15">
        <v>1.0</v>
      </c>
    </row>
    <row r="57">
      <c r="A57" s="11">
        <v>46136.87719857639</v>
      </c>
      <c r="B57" s="9" t="s">
        <v>134</v>
      </c>
      <c r="C57" s="9" t="s">
        <v>75</v>
      </c>
      <c r="D57" s="37" t="s">
        <v>57</v>
      </c>
      <c r="E57" s="14"/>
      <c r="F57" s="15">
        <v>1.0</v>
      </c>
      <c r="G57" s="37" t="s">
        <v>65</v>
      </c>
      <c r="H57" s="31" t="e">
        <v>#N/A</v>
      </c>
      <c r="I57" s="31" t="e">
        <v>#N/A</v>
      </c>
      <c r="J57" s="15">
        <v>1.0</v>
      </c>
    </row>
    <row r="58">
      <c r="A58" s="11">
        <v>46136.885371550925</v>
      </c>
      <c r="B58" s="9" t="s">
        <v>133</v>
      </c>
      <c r="C58" s="9" t="s">
        <v>128</v>
      </c>
      <c r="D58" s="37" t="s">
        <v>57</v>
      </c>
      <c r="E58" s="14"/>
      <c r="F58" s="15">
        <v>1.0</v>
      </c>
      <c r="G58" s="37" t="s">
        <v>65</v>
      </c>
      <c r="H58" s="31" t="e">
        <v>#N/A</v>
      </c>
      <c r="I58" s="31" t="e">
        <v>#N/A</v>
      </c>
      <c r="J58" s="15">
        <v>1.0</v>
      </c>
    </row>
    <row r="59">
      <c r="A59" s="11">
        <v>46136.885670358795</v>
      </c>
      <c r="B59" s="9" t="s">
        <v>76</v>
      </c>
      <c r="C59" s="9" t="s">
        <v>143</v>
      </c>
      <c r="D59" s="37" t="s">
        <v>57</v>
      </c>
      <c r="E59" s="14"/>
      <c r="F59" s="15">
        <v>1.0</v>
      </c>
      <c r="G59" s="37" t="s">
        <v>65</v>
      </c>
      <c r="H59" s="31" t="e">
        <v>#N/A</v>
      </c>
      <c r="I59" s="31" t="e">
        <v>#N/A</v>
      </c>
      <c r="J59" s="15">
        <v>1.0</v>
      </c>
    </row>
    <row r="60">
      <c r="A60" s="11">
        <v>46136.89334059028</v>
      </c>
      <c r="B60" s="9" t="s">
        <v>17</v>
      </c>
      <c r="C60" s="9" t="s">
        <v>66</v>
      </c>
      <c r="D60" s="9" t="s">
        <v>19</v>
      </c>
      <c r="E60" s="14"/>
      <c r="F60" s="15">
        <v>1.0</v>
      </c>
      <c r="G60" s="37" t="s">
        <v>65</v>
      </c>
      <c r="H60" s="31" t="e">
        <v>#N/A</v>
      </c>
      <c r="I60" s="31" t="e">
        <v>#N/A</v>
      </c>
      <c r="J60" s="15">
        <v>1.0</v>
      </c>
    </row>
    <row r="61">
      <c r="A61" s="11">
        <v>46136.89364094907</v>
      </c>
      <c r="B61" s="9" t="s">
        <v>120</v>
      </c>
      <c r="C61" s="9" t="s">
        <v>131</v>
      </c>
      <c r="D61" s="9" t="s">
        <v>19</v>
      </c>
      <c r="E61" s="14"/>
      <c r="F61" s="15">
        <v>1.0</v>
      </c>
      <c r="G61" s="37" t="s">
        <v>65</v>
      </c>
      <c r="H61" s="31" t="e">
        <v>#N/A</v>
      </c>
      <c r="I61" s="31" t="e">
        <v>#N/A</v>
      </c>
      <c r="J61" s="15">
        <v>1.0</v>
      </c>
    </row>
    <row r="62">
      <c r="A62" s="11">
        <v>46136.89448708334</v>
      </c>
      <c r="B62" s="9" t="s">
        <v>137</v>
      </c>
      <c r="C62" s="9" t="s">
        <v>64</v>
      </c>
      <c r="D62" s="37" t="s">
        <v>57</v>
      </c>
      <c r="E62" s="54" t="s">
        <v>146</v>
      </c>
      <c r="F62" s="15">
        <v>1.0</v>
      </c>
      <c r="G62" s="37" t="s">
        <v>65</v>
      </c>
      <c r="H62" s="31" t="e">
        <v>#N/A</v>
      </c>
      <c r="I62" s="31" t="e">
        <v>#N/A</v>
      </c>
      <c r="J62" s="15">
        <v>1.0</v>
      </c>
    </row>
    <row r="63">
      <c r="A63" s="11">
        <v>46136.89465815973</v>
      </c>
      <c r="B63" s="9" t="s">
        <v>139</v>
      </c>
      <c r="C63" s="9" t="s">
        <v>150</v>
      </c>
      <c r="D63" s="9" t="s">
        <v>19</v>
      </c>
      <c r="E63" s="54" t="s">
        <v>140</v>
      </c>
      <c r="F63" s="15">
        <v>1.0</v>
      </c>
      <c r="G63" s="37" t="s">
        <v>65</v>
      </c>
      <c r="H63" s="31" t="e">
        <v>#N/A</v>
      </c>
      <c r="I63" s="31" t="e">
        <v>#N/A</v>
      </c>
      <c r="J63" s="15">
        <v>1.0</v>
      </c>
    </row>
    <row r="64">
      <c r="A64" s="11">
        <v>46136.909039351856</v>
      </c>
      <c r="B64" s="9" t="s">
        <v>151</v>
      </c>
      <c r="C64" s="9" t="s">
        <v>133</v>
      </c>
      <c r="D64" s="37" t="s">
        <v>57</v>
      </c>
      <c r="E64" s="14"/>
      <c r="F64" s="15">
        <v>1.0</v>
      </c>
      <c r="G64" s="37" t="s">
        <v>65</v>
      </c>
      <c r="H64" s="31" t="e">
        <v>#N/A</v>
      </c>
      <c r="I64" s="31" t="e">
        <v>#N/A</v>
      </c>
      <c r="J64" s="15">
        <v>1.0</v>
      </c>
    </row>
    <row r="65">
      <c r="A65" s="11">
        <v>46136.91421346065</v>
      </c>
      <c r="B65" s="9" t="s">
        <v>152</v>
      </c>
      <c r="C65" s="9" t="s">
        <v>72</v>
      </c>
      <c r="D65" s="37" t="s">
        <v>57</v>
      </c>
      <c r="E65" s="14"/>
      <c r="F65" s="15">
        <v>1.0</v>
      </c>
      <c r="G65" s="37" t="s">
        <v>65</v>
      </c>
      <c r="H65" s="31" t="e">
        <v>#N/A</v>
      </c>
      <c r="I65" s="31" t="e">
        <v>#N/A</v>
      </c>
      <c r="J65" s="15">
        <v>1.0</v>
      </c>
    </row>
    <row r="66">
      <c r="A66" s="11">
        <v>46136.91711510417</v>
      </c>
      <c r="B66" s="9" t="s">
        <v>17</v>
      </c>
      <c r="C66" s="9" t="s">
        <v>100</v>
      </c>
      <c r="D66" s="9" t="s">
        <v>19</v>
      </c>
      <c r="E66" s="14"/>
      <c r="F66" s="15">
        <v>1.0</v>
      </c>
      <c r="G66" s="37" t="s">
        <v>65</v>
      </c>
      <c r="H66" s="31" t="e">
        <v>#N/A</v>
      </c>
      <c r="I66" s="31" t="e">
        <v>#N/A</v>
      </c>
      <c r="J66" s="15">
        <v>1.0</v>
      </c>
    </row>
    <row r="67">
      <c r="A67" s="11">
        <v>46136.93453844907</v>
      </c>
      <c r="B67" s="9" t="s">
        <v>139</v>
      </c>
      <c r="C67" s="9" t="s">
        <v>154</v>
      </c>
      <c r="D67" s="37" t="s">
        <v>57</v>
      </c>
      <c r="E67" s="54" t="s">
        <v>140</v>
      </c>
      <c r="F67" s="15">
        <v>1.0</v>
      </c>
      <c r="G67" s="37" t="s">
        <v>65</v>
      </c>
      <c r="H67" s="31" t="e">
        <v>#N/A</v>
      </c>
      <c r="I67" s="31" t="e">
        <v>#N/A</v>
      </c>
      <c r="J67" s="15">
        <v>1.0</v>
      </c>
    </row>
    <row r="68">
      <c r="A68" s="11">
        <v>46136.93741650463</v>
      </c>
      <c r="B68" s="9" t="s">
        <v>151</v>
      </c>
      <c r="C68" s="9" t="s">
        <v>156</v>
      </c>
      <c r="D68" s="37" t="s">
        <v>57</v>
      </c>
      <c r="E68" s="14"/>
      <c r="F68" s="15">
        <v>1.0</v>
      </c>
      <c r="G68" s="37" t="s">
        <v>65</v>
      </c>
      <c r="H68" s="31" t="e">
        <v>#N/A</v>
      </c>
      <c r="I68" s="31" t="e">
        <v>#N/A</v>
      </c>
      <c r="J68" s="15">
        <v>1.0</v>
      </c>
    </row>
    <row r="69">
      <c r="A69" s="11">
        <v>46136.94496623843</v>
      </c>
      <c r="B69" s="9" t="s">
        <v>157</v>
      </c>
      <c r="C69" s="9" t="s">
        <v>158</v>
      </c>
      <c r="D69" s="9" t="s">
        <v>19</v>
      </c>
      <c r="E69" s="54" t="s">
        <v>159</v>
      </c>
      <c r="F69" s="15">
        <v>1.0</v>
      </c>
      <c r="G69" s="37" t="s">
        <v>65</v>
      </c>
      <c r="H69" s="31" t="e">
        <v>#N/A</v>
      </c>
      <c r="I69" s="31" t="e">
        <v>#N/A</v>
      </c>
      <c r="J69" s="15">
        <v>1.0</v>
      </c>
    </row>
    <row r="70">
      <c r="A70" s="11">
        <v>46136.953333287034</v>
      </c>
      <c r="B70" s="9" t="s">
        <v>160</v>
      </c>
      <c r="C70" s="9" t="s">
        <v>161</v>
      </c>
      <c r="D70" s="37" t="s">
        <v>57</v>
      </c>
      <c r="E70" s="14"/>
      <c r="F70" s="15">
        <v>1.0</v>
      </c>
      <c r="G70" s="37" t="s">
        <v>65</v>
      </c>
      <c r="H70" s="31" t="e">
        <v>#N/A</v>
      </c>
      <c r="I70" s="31" t="e">
        <v>#N/A</v>
      </c>
      <c r="J70" s="15">
        <v>1.0</v>
      </c>
    </row>
    <row r="71">
      <c r="A71" s="11">
        <v>46136.95432106481</v>
      </c>
      <c r="B71" s="9" t="s">
        <v>162</v>
      </c>
      <c r="C71" s="9" t="s">
        <v>139</v>
      </c>
      <c r="D71" s="9" t="s">
        <v>19</v>
      </c>
      <c r="E71" s="14"/>
      <c r="F71" s="15">
        <v>1.0</v>
      </c>
      <c r="G71" s="37" t="s">
        <v>65</v>
      </c>
      <c r="H71" s="31" t="e">
        <v>#N/A</v>
      </c>
      <c r="I71" s="31" t="e">
        <v>#N/A</v>
      </c>
      <c r="J71" s="15">
        <v>1.0</v>
      </c>
    </row>
    <row r="72">
      <c r="A72" s="11">
        <v>46136.95555935185</v>
      </c>
      <c r="B72" s="9" t="s">
        <v>163</v>
      </c>
      <c r="C72" s="9" t="s">
        <v>154</v>
      </c>
      <c r="D72" s="9" t="s">
        <v>19</v>
      </c>
      <c r="E72" s="14"/>
      <c r="F72" s="15">
        <v>1.0</v>
      </c>
      <c r="G72" s="37" t="s">
        <v>65</v>
      </c>
      <c r="H72" s="31" t="e">
        <v>#N/A</v>
      </c>
      <c r="I72" s="31" t="e">
        <v>#N/A</v>
      </c>
      <c r="J72" s="15">
        <v>1.0</v>
      </c>
    </row>
    <row r="73">
      <c r="A73" s="11">
        <v>46136.95631172454</v>
      </c>
      <c r="B73" s="9" t="s">
        <v>164</v>
      </c>
      <c r="C73" s="9" t="s">
        <v>165</v>
      </c>
      <c r="D73" s="37" t="s">
        <v>57</v>
      </c>
      <c r="E73" s="14"/>
      <c r="F73" s="15">
        <v>1.0</v>
      </c>
      <c r="G73" s="37" t="s">
        <v>65</v>
      </c>
      <c r="H73" s="31" t="e">
        <v>#N/A</v>
      </c>
      <c r="I73" s="31" t="e">
        <v>#N/A</v>
      </c>
      <c r="J73" s="15">
        <v>1.0</v>
      </c>
    </row>
    <row r="74">
      <c r="A74" s="11">
        <v>46136.95634451389</v>
      </c>
      <c r="B74" s="9" t="s">
        <v>60</v>
      </c>
      <c r="C74" s="9" t="s">
        <v>166</v>
      </c>
      <c r="D74" s="9" t="s">
        <v>19</v>
      </c>
      <c r="E74" s="14"/>
      <c r="F74" s="15">
        <v>1.0</v>
      </c>
      <c r="G74" s="37" t="s">
        <v>65</v>
      </c>
      <c r="H74" s="31" t="e">
        <v>#N/A</v>
      </c>
      <c r="I74" s="31" t="e">
        <v>#N/A</v>
      </c>
      <c r="J74" s="15">
        <v>1.0</v>
      </c>
    </row>
    <row r="75">
      <c r="A75" s="11">
        <v>46136.95712899306</v>
      </c>
      <c r="B75" s="9" t="s">
        <v>167</v>
      </c>
      <c r="C75" s="9" t="s">
        <v>168</v>
      </c>
      <c r="D75" s="37" t="s">
        <v>57</v>
      </c>
      <c r="E75" s="54" t="s">
        <v>102</v>
      </c>
      <c r="F75" s="15">
        <v>1.0</v>
      </c>
      <c r="G75" s="37" t="s">
        <v>65</v>
      </c>
      <c r="H75" s="31" t="e">
        <v>#N/A</v>
      </c>
      <c r="I75" s="31" t="e">
        <v>#N/A</v>
      </c>
      <c r="J75" s="15">
        <v>1.0</v>
      </c>
    </row>
    <row r="76">
      <c r="A76" s="11">
        <v>46136.96189549769</v>
      </c>
      <c r="B76" s="9" t="s">
        <v>59</v>
      </c>
      <c r="C76" s="9" t="s">
        <v>169</v>
      </c>
      <c r="D76" s="9" t="s">
        <v>19</v>
      </c>
      <c r="E76" s="14"/>
      <c r="F76" s="15">
        <v>1.0</v>
      </c>
      <c r="G76" s="37" t="s">
        <v>65</v>
      </c>
      <c r="H76" s="31" t="e">
        <v>#N/A</v>
      </c>
      <c r="I76" s="31" t="e">
        <v>#N/A</v>
      </c>
      <c r="J76" s="15">
        <v>1.0</v>
      </c>
    </row>
    <row r="77">
      <c r="A77" s="11">
        <v>46136.96441862269</v>
      </c>
      <c r="B77" s="9" t="s">
        <v>172</v>
      </c>
      <c r="C77" s="9" t="s">
        <v>173</v>
      </c>
      <c r="D77" s="37" t="s">
        <v>57</v>
      </c>
      <c r="E77" s="14"/>
      <c r="F77" s="15">
        <v>1.0</v>
      </c>
      <c r="G77" s="37" t="s">
        <v>65</v>
      </c>
      <c r="H77" s="31" t="e">
        <v>#N/A</v>
      </c>
      <c r="I77" s="31" t="e">
        <v>#N/A</v>
      </c>
      <c r="J77" s="15">
        <v>1.0</v>
      </c>
    </row>
    <row r="78">
      <c r="A78" s="11">
        <v>46136.96542487269</v>
      </c>
      <c r="B78" s="9" t="s">
        <v>160</v>
      </c>
      <c r="C78" s="9" t="s">
        <v>174</v>
      </c>
      <c r="D78" s="37" t="s">
        <v>57</v>
      </c>
      <c r="E78" s="14"/>
      <c r="F78" s="15">
        <v>1.0</v>
      </c>
      <c r="G78" s="37" t="s">
        <v>65</v>
      </c>
      <c r="H78" s="31" t="e">
        <v>#N/A</v>
      </c>
      <c r="I78" s="31" t="e">
        <v>#N/A</v>
      </c>
      <c r="J78" s="15">
        <v>1.0</v>
      </c>
    </row>
    <row r="79">
      <c r="A79" s="11">
        <v>46136.96753851852</v>
      </c>
      <c r="B79" s="9" t="s">
        <v>150</v>
      </c>
      <c r="C79" s="9" t="s">
        <v>133</v>
      </c>
      <c r="D79" s="37" t="s">
        <v>57</v>
      </c>
      <c r="E79" s="54" t="s">
        <v>176</v>
      </c>
      <c r="F79" s="15">
        <v>1.0</v>
      </c>
      <c r="G79" s="37" t="s">
        <v>65</v>
      </c>
      <c r="H79" s="31" t="e">
        <v>#N/A</v>
      </c>
      <c r="I79" s="31" t="e">
        <v>#N/A</v>
      </c>
      <c r="J79" s="15">
        <v>1.0</v>
      </c>
    </row>
    <row r="80">
      <c r="A80" s="11">
        <v>46136.97196840278</v>
      </c>
      <c r="B80" s="9" t="s">
        <v>163</v>
      </c>
      <c r="C80" s="9" t="s">
        <v>60</v>
      </c>
      <c r="D80" s="37" t="s">
        <v>57</v>
      </c>
      <c r="E80" s="14"/>
      <c r="F80" s="15">
        <v>1.0</v>
      </c>
      <c r="G80" s="37" t="s">
        <v>65</v>
      </c>
      <c r="H80" s="31" t="e">
        <v>#N/A</v>
      </c>
      <c r="I80" s="31" t="e">
        <v>#N/A</v>
      </c>
      <c r="J80" s="15">
        <v>1.0</v>
      </c>
    </row>
    <row r="81">
      <c r="A81" s="11">
        <v>46136.97432432871</v>
      </c>
      <c r="B81" s="9" t="s">
        <v>162</v>
      </c>
      <c r="C81" s="9" t="s">
        <v>75</v>
      </c>
      <c r="D81" s="9" t="s">
        <v>19</v>
      </c>
      <c r="E81" s="14"/>
      <c r="F81" s="15">
        <v>1.0</v>
      </c>
      <c r="G81" s="37" t="s">
        <v>65</v>
      </c>
      <c r="H81" s="31" t="e">
        <v>#N/A</v>
      </c>
      <c r="I81" s="31" t="e">
        <v>#N/A</v>
      </c>
      <c r="J81" s="15">
        <v>1.0</v>
      </c>
    </row>
    <row r="82">
      <c r="A82" s="11">
        <v>46136.97753290509</v>
      </c>
      <c r="B82" s="9" t="s">
        <v>167</v>
      </c>
      <c r="C82" s="9" t="s">
        <v>164</v>
      </c>
      <c r="D82" s="37" t="s">
        <v>57</v>
      </c>
      <c r="E82" s="54" t="s">
        <v>102</v>
      </c>
      <c r="F82" s="15">
        <v>1.0</v>
      </c>
      <c r="G82" s="37" t="s">
        <v>65</v>
      </c>
      <c r="H82" s="31" t="e">
        <v>#N/A</v>
      </c>
      <c r="I82" s="31" t="e">
        <v>#N/A</v>
      </c>
      <c r="J82" s="15">
        <v>1.0</v>
      </c>
    </row>
    <row r="83">
      <c r="A83" s="11">
        <v>46136.98479336806</v>
      </c>
      <c r="B83" s="9" t="s">
        <v>120</v>
      </c>
      <c r="C83" s="9" t="s">
        <v>169</v>
      </c>
      <c r="D83" s="37" t="s">
        <v>57</v>
      </c>
      <c r="E83" s="54" t="s">
        <v>177</v>
      </c>
      <c r="F83" s="15">
        <v>1.0</v>
      </c>
      <c r="G83" s="37" t="s">
        <v>65</v>
      </c>
      <c r="H83" s="31" t="e">
        <v>#N/A</v>
      </c>
      <c r="I83" s="31" t="e">
        <v>#N/A</v>
      </c>
      <c r="J83" s="15">
        <v>1.0</v>
      </c>
    </row>
    <row r="84">
      <c r="A84" s="11">
        <v>46136.98861112268</v>
      </c>
      <c r="B84" s="9" t="s">
        <v>131</v>
      </c>
      <c r="C84" s="9" t="s">
        <v>60</v>
      </c>
      <c r="D84" s="9" t="s">
        <v>19</v>
      </c>
      <c r="E84" s="14"/>
      <c r="F84" s="15">
        <v>1.0</v>
      </c>
      <c r="G84" s="37" t="s">
        <v>65</v>
      </c>
      <c r="H84" s="31" t="e">
        <v>#N/A</v>
      </c>
      <c r="I84" s="31" t="e">
        <v>#N/A</v>
      </c>
      <c r="J84" s="15">
        <v>1.0</v>
      </c>
    </row>
    <row r="85">
      <c r="A85" s="11">
        <v>46136.995301863426</v>
      </c>
      <c r="B85" s="9" t="s">
        <v>162</v>
      </c>
      <c r="C85" s="9" t="s">
        <v>179</v>
      </c>
      <c r="D85" s="9" t="s">
        <v>19</v>
      </c>
      <c r="E85" s="14"/>
      <c r="F85" s="15">
        <v>1.0</v>
      </c>
      <c r="G85" s="37" t="s">
        <v>65</v>
      </c>
      <c r="H85" s="31" t="e">
        <v>#N/A</v>
      </c>
      <c r="I85" s="31" t="e">
        <v>#N/A</v>
      </c>
      <c r="J85" s="15">
        <v>1.0</v>
      </c>
    </row>
    <row r="86">
      <c r="A86" s="11">
        <v>46136.995351805555</v>
      </c>
      <c r="B86" s="9" t="s">
        <v>180</v>
      </c>
      <c r="C86" s="9" t="s">
        <v>166</v>
      </c>
      <c r="D86" s="37" t="s">
        <v>57</v>
      </c>
      <c r="E86" s="14"/>
      <c r="F86" s="15">
        <v>1.0</v>
      </c>
      <c r="G86" s="37" t="s">
        <v>65</v>
      </c>
      <c r="H86" s="31" t="e">
        <v>#N/A</v>
      </c>
      <c r="I86" s="31" t="e">
        <v>#N/A</v>
      </c>
      <c r="J86" s="15">
        <v>1.0</v>
      </c>
    </row>
    <row r="87">
      <c r="A87" s="11">
        <v>46137.00315773148</v>
      </c>
      <c r="B87" s="9" t="s">
        <v>181</v>
      </c>
      <c r="C87" s="9" t="s">
        <v>131</v>
      </c>
      <c r="D87" s="9" t="s">
        <v>19</v>
      </c>
      <c r="E87" s="14"/>
      <c r="F87" s="15">
        <v>1.0</v>
      </c>
      <c r="G87" s="37" t="s">
        <v>65</v>
      </c>
      <c r="H87" s="31" t="e">
        <v>#N/A</v>
      </c>
      <c r="I87" s="31" t="e">
        <v>#N/A</v>
      </c>
      <c r="J87" s="15">
        <v>1.0</v>
      </c>
    </row>
    <row r="88">
      <c r="A88" s="11">
        <v>46137.01167364583</v>
      </c>
      <c r="B88" s="9" t="s">
        <v>71</v>
      </c>
      <c r="C88" s="9" t="s">
        <v>60</v>
      </c>
      <c r="D88" s="37" t="s">
        <v>57</v>
      </c>
      <c r="E88" s="14"/>
      <c r="F88" s="15">
        <v>1.0</v>
      </c>
      <c r="G88" s="37" t="s">
        <v>65</v>
      </c>
      <c r="H88" s="31" t="e">
        <v>#N/A</v>
      </c>
      <c r="I88" s="31" t="e">
        <v>#N/A</v>
      </c>
      <c r="J88" s="15">
        <v>1.0</v>
      </c>
    </row>
    <row r="89">
      <c r="A89" s="11">
        <v>46137.01666042824</v>
      </c>
      <c r="B89" s="9" t="s">
        <v>162</v>
      </c>
      <c r="C89" s="9" t="s">
        <v>182</v>
      </c>
      <c r="D89" s="37" t="s">
        <v>57</v>
      </c>
      <c r="E89" s="14"/>
      <c r="F89" s="15">
        <v>1.0</v>
      </c>
      <c r="G89" s="37" t="s">
        <v>65</v>
      </c>
      <c r="H89" s="31" t="e">
        <v>#N/A</v>
      </c>
      <c r="I89" s="31" t="e">
        <v>#N/A</v>
      </c>
      <c r="J89" s="15">
        <v>1.0</v>
      </c>
    </row>
    <row r="90">
      <c r="A90" s="11">
        <v>46137.01946837963</v>
      </c>
      <c r="B90" s="9" t="s">
        <v>154</v>
      </c>
      <c r="C90" s="9" t="s">
        <v>141</v>
      </c>
      <c r="D90" s="9" t="s">
        <v>19</v>
      </c>
      <c r="E90" s="14"/>
      <c r="F90" s="15">
        <v>1.0</v>
      </c>
      <c r="G90" s="37" t="s">
        <v>65</v>
      </c>
      <c r="H90" s="31" t="e">
        <v>#N/A</v>
      </c>
      <c r="I90" s="31" t="e">
        <v>#N/A</v>
      </c>
      <c r="J90" s="15">
        <v>1.0</v>
      </c>
    </row>
    <row r="91">
      <c r="A91" s="11">
        <v>46137.01973825232</v>
      </c>
      <c r="B91" s="9" t="s">
        <v>71</v>
      </c>
      <c r="C91" s="9" t="s">
        <v>183</v>
      </c>
      <c r="D91" s="9" t="s">
        <v>19</v>
      </c>
      <c r="E91" s="14"/>
      <c r="F91" s="15">
        <v>1.0</v>
      </c>
      <c r="G91" s="37" t="s">
        <v>65</v>
      </c>
      <c r="H91" s="31" t="e">
        <v>#N/A</v>
      </c>
      <c r="I91" s="31" t="e">
        <v>#N/A</v>
      </c>
      <c r="J91" s="15">
        <v>1.0</v>
      </c>
    </row>
    <row r="92">
      <c r="A92" s="11">
        <v>46137.025171898145</v>
      </c>
      <c r="B92" s="9" t="s">
        <v>17</v>
      </c>
      <c r="C92" s="9" t="s">
        <v>179</v>
      </c>
      <c r="D92" s="37" t="s">
        <v>57</v>
      </c>
      <c r="E92" s="14"/>
      <c r="F92" s="15">
        <v>1.0</v>
      </c>
      <c r="G92" s="37" t="s">
        <v>65</v>
      </c>
      <c r="H92" s="31" t="e">
        <v>#N/A</v>
      </c>
      <c r="I92" s="31" t="e">
        <v>#N/A</v>
      </c>
      <c r="J92" s="15">
        <v>1.0</v>
      </c>
    </row>
    <row r="93">
      <c r="A93" s="11">
        <v>46137.02910914352</v>
      </c>
      <c r="B93" s="9" t="s">
        <v>180</v>
      </c>
      <c r="C93" s="9" t="s">
        <v>184</v>
      </c>
      <c r="D93" s="37" t="s">
        <v>57</v>
      </c>
      <c r="E93" s="14"/>
      <c r="F93" s="15">
        <v>1.0</v>
      </c>
      <c r="G93" s="37" t="s">
        <v>65</v>
      </c>
      <c r="H93" s="31" t="e">
        <v>#N/A</v>
      </c>
      <c r="I93" s="31" t="e">
        <v>#N/A</v>
      </c>
      <c r="J93" s="15">
        <v>1.0</v>
      </c>
    </row>
    <row r="94">
      <c r="A94" s="11">
        <v>46137.03097554398</v>
      </c>
      <c r="B94" s="9" t="s">
        <v>185</v>
      </c>
      <c r="C94" s="9" t="s">
        <v>186</v>
      </c>
      <c r="D94" s="37" t="s">
        <v>57</v>
      </c>
      <c r="E94" s="14"/>
      <c r="F94" s="15">
        <v>1.0</v>
      </c>
      <c r="G94" s="37" t="s">
        <v>65</v>
      </c>
      <c r="H94" s="31" t="e">
        <v>#N/A</v>
      </c>
      <c r="I94" s="31" t="e">
        <v>#N/A</v>
      </c>
      <c r="J94" s="15">
        <v>1.0</v>
      </c>
    </row>
    <row r="95">
      <c r="A95" s="11">
        <v>46137.0362859375</v>
      </c>
      <c r="B95" s="9" t="s">
        <v>162</v>
      </c>
      <c r="C95" s="9" t="s">
        <v>88</v>
      </c>
      <c r="D95" s="9" t="s">
        <v>19</v>
      </c>
      <c r="E95" s="14"/>
      <c r="F95" s="15">
        <v>1.0</v>
      </c>
      <c r="G95" s="37" t="s">
        <v>65</v>
      </c>
      <c r="H95" s="31" t="e">
        <v>#N/A</v>
      </c>
      <c r="I95" s="31" t="e">
        <v>#N/A</v>
      </c>
      <c r="J95" s="15">
        <v>1.0</v>
      </c>
    </row>
    <row r="96">
      <c r="A96" s="11">
        <v>46137.04045583333</v>
      </c>
      <c r="B96" s="9" t="s">
        <v>187</v>
      </c>
      <c r="C96" s="9" t="s">
        <v>182</v>
      </c>
      <c r="D96" s="37" t="s">
        <v>57</v>
      </c>
      <c r="E96" s="54" t="s">
        <v>188</v>
      </c>
      <c r="F96" s="15">
        <v>1.0</v>
      </c>
      <c r="G96" s="37" t="s">
        <v>65</v>
      </c>
      <c r="H96" s="31" t="e">
        <v>#N/A</v>
      </c>
      <c r="I96" s="31" t="e">
        <v>#N/A</v>
      </c>
      <c r="J96" s="15">
        <v>1.0</v>
      </c>
    </row>
    <row r="97">
      <c r="A97" s="11">
        <v>46137.041501921296</v>
      </c>
      <c r="B97" s="9" t="s">
        <v>189</v>
      </c>
      <c r="C97" s="9" t="s">
        <v>190</v>
      </c>
      <c r="D97" s="37" t="s">
        <v>57</v>
      </c>
      <c r="E97" s="54" t="s">
        <v>122</v>
      </c>
      <c r="F97" s="15">
        <v>1.0</v>
      </c>
      <c r="G97" s="37" t="s">
        <v>65</v>
      </c>
      <c r="H97" s="31" t="e">
        <v>#N/A</v>
      </c>
      <c r="I97" s="31" t="e">
        <v>#N/A</v>
      </c>
      <c r="J97" s="15">
        <v>1.0</v>
      </c>
    </row>
    <row r="98">
      <c r="A98" s="11">
        <v>46137.048467824075</v>
      </c>
      <c r="B98" s="9" t="s">
        <v>71</v>
      </c>
      <c r="C98" s="9" t="s">
        <v>141</v>
      </c>
      <c r="D98" s="37" t="s">
        <v>57</v>
      </c>
      <c r="E98" s="14"/>
      <c r="F98" s="15">
        <v>1.0</v>
      </c>
      <c r="G98" s="37" t="s">
        <v>65</v>
      </c>
      <c r="H98" s="31" t="e">
        <v>#N/A</v>
      </c>
      <c r="I98" s="31" t="e">
        <v>#N/A</v>
      </c>
      <c r="J98" s="15">
        <v>1.0</v>
      </c>
    </row>
    <row r="99">
      <c r="A99" s="11">
        <v>46137.0488958912</v>
      </c>
      <c r="B99" s="9" t="s">
        <v>191</v>
      </c>
      <c r="C99" s="9" t="s">
        <v>125</v>
      </c>
      <c r="D99" s="9" t="s">
        <v>19</v>
      </c>
      <c r="E99" s="14"/>
      <c r="F99" s="15">
        <v>1.0</v>
      </c>
      <c r="G99" s="37" t="s">
        <v>65</v>
      </c>
      <c r="H99" s="31" t="e">
        <v>#N/A</v>
      </c>
      <c r="I99" s="31" t="e">
        <v>#N/A</v>
      </c>
      <c r="J99" s="15">
        <v>1.0</v>
      </c>
    </row>
    <row r="100">
      <c r="A100" s="11">
        <v>46137.05300425926</v>
      </c>
      <c r="B100" s="9" t="s">
        <v>192</v>
      </c>
      <c r="C100" s="9" t="s">
        <v>88</v>
      </c>
      <c r="D100" s="37" t="s">
        <v>57</v>
      </c>
      <c r="E100" s="14"/>
      <c r="F100" s="15">
        <v>1.0</v>
      </c>
      <c r="G100" s="37" t="s">
        <v>65</v>
      </c>
      <c r="H100" s="31" t="e">
        <v>#N/A</v>
      </c>
      <c r="I100" s="31" t="e">
        <v>#N/A</v>
      </c>
      <c r="J100" s="15">
        <v>1.0</v>
      </c>
    </row>
    <row r="101">
      <c r="A101" s="11">
        <v>46137.05393649306</v>
      </c>
      <c r="B101" s="9" t="s">
        <v>96</v>
      </c>
      <c r="C101" s="9" t="s">
        <v>184</v>
      </c>
      <c r="D101" s="37" t="s">
        <v>57</v>
      </c>
      <c r="E101" s="14"/>
      <c r="F101" s="15">
        <v>1.0</v>
      </c>
      <c r="G101" s="37" t="s">
        <v>65</v>
      </c>
      <c r="H101" s="31" t="e">
        <v>#N/A</v>
      </c>
      <c r="I101" s="31" t="e">
        <v>#N/A</v>
      </c>
      <c r="J101" s="15">
        <v>1.0</v>
      </c>
    </row>
    <row r="102">
      <c r="A102" s="11">
        <v>46137.0562105787</v>
      </c>
      <c r="B102" s="9" t="s">
        <v>189</v>
      </c>
      <c r="C102" s="9" t="s">
        <v>191</v>
      </c>
      <c r="D102" s="9" t="s">
        <v>19</v>
      </c>
      <c r="E102" s="54" t="s">
        <v>122</v>
      </c>
      <c r="F102" s="15">
        <v>1.0</v>
      </c>
      <c r="G102" s="37" t="s">
        <v>65</v>
      </c>
      <c r="H102" s="31" t="e">
        <v>#N/A</v>
      </c>
      <c r="I102" s="31" t="e">
        <v>#N/A</v>
      </c>
      <c r="J102" s="15">
        <v>1.0</v>
      </c>
    </row>
    <row r="103">
      <c r="A103" s="11">
        <v>46137.05669413194</v>
      </c>
      <c r="B103" s="9" t="s">
        <v>186</v>
      </c>
      <c r="C103" s="9" t="s">
        <v>66</v>
      </c>
      <c r="D103" s="9" t="s">
        <v>19</v>
      </c>
      <c r="E103" s="14"/>
      <c r="F103" s="15">
        <v>1.0</v>
      </c>
      <c r="G103" s="37" t="s">
        <v>65</v>
      </c>
      <c r="H103" s="31" t="e">
        <v>#N/A</v>
      </c>
      <c r="I103" s="31" t="e">
        <v>#N/A</v>
      </c>
      <c r="J103" s="15">
        <v>1.0</v>
      </c>
    </row>
    <row r="104">
      <c r="A104" s="11">
        <v>46137.06268375</v>
      </c>
      <c r="B104" s="9" t="s">
        <v>195</v>
      </c>
      <c r="C104" s="9" t="s">
        <v>182</v>
      </c>
      <c r="D104" s="9" t="s">
        <v>19</v>
      </c>
      <c r="E104" s="14"/>
      <c r="F104" s="15">
        <v>1.0</v>
      </c>
      <c r="G104" s="37" t="s">
        <v>65</v>
      </c>
      <c r="H104" s="31" t="e">
        <v>#N/A</v>
      </c>
      <c r="I104" s="31" t="e">
        <v>#N/A</v>
      </c>
      <c r="J104" s="15">
        <v>1.0</v>
      </c>
    </row>
    <row r="105">
      <c r="A105" s="11">
        <v>46137.06394032408</v>
      </c>
      <c r="B105" s="9" t="s">
        <v>96</v>
      </c>
      <c r="C105" s="9" t="s">
        <v>192</v>
      </c>
      <c r="D105" s="9" t="s">
        <v>19</v>
      </c>
      <c r="E105" s="14"/>
      <c r="F105" s="15">
        <v>1.0</v>
      </c>
      <c r="G105" s="37" t="s">
        <v>65</v>
      </c>
      <c r="H105" s="31" t="e">
        <v>#N/A</v>
      </c>
      <c r="I105" s="31" t="e">
        <v>#N/A</v>
      </c>
      <c r="J105" s="15">
        <v>1.0</v>
      </c>
    </row>
    <row r="106">
      <c r="A106" s="11">
        <v>46137.06424284722</v>
      </c>
      <c r="B106" s="9" t="s">
        <v>189</v>
      </c>
      <c r="C106" s="9" t="s">
        <v>88</v>
      </c>
      <c r="D106" s="9" t="s">
        <v>19</v>
      </c>
      <c r="E106" s="54" t="s">
        <v>122</v>
      </c>
      <c r="F106" s="15">
        <v>1.0</v>
      </c>
      <c r="G106" s="37" t="s">
        <v>65</v>
      </c>
      <c r="H106" s="31" t="e">
        <v>#N/A</v>
      </c>
      <c r="I106" s="31" t="e">
        <v>#N/A</v>
      </c>
      <c r="J106" s="15">
        <v>1.0</v>
      </c>
    </row>
    <row r="107">
      <c r="A107" s="11">
        <v>46137.06734105324</v>
      </c>
      <c r="B107" s="9" t="s">
        <v>121</v>
      </c>
      <c r="C107" s="9" t="s">
        <v>183</v>
      </c>
      <c r="D107" s="9" t="s">
        <v>19</v>
      </c>
      <c r="E107" s="14"/>
      <c r="F107" s="15">
        <v>1.0</v>
      </c>
      <c r="G107" s="37" t="s">
        <v>65</v>
      </c>
      <c r="H107" s="31" t="e">
        <v>#N/A</v>
      </c>
      <c r="I107" s="31" t="e">
        <v>#N/A</v>
      </c>
      <c r="J107" s="15">
        <v>1.0</v>
      </c>
    </row>
    <row r="108">
      <c r="A108" s="11">
        <v>46137.075485821755</v>
      </c>
      <c r="B108" s="9" t="s">
        <v>167</v>
      </c>
      <c r="C108" s="9" t="s">
        <v>66</v>
      </c>
      <c r="D108" s="37" t="s">
        <v>57</v>
      </c>
      <c r="E108" s="54" t="s">
        <v>102</v>
      </c>
      <c r="F108" s="15">
        <v>1.0</v>
      </c>
      <c r="G108" s="37" t="s">
        <v>65</v>
      </c>
      <c r="H108" s="31" t="e">
        <v>#N/A</v>
      </c>
      <c r="I108" s="31" t="e">
        <v>#N/A</v>
      </c>
      <c r="J108" s="15">
        <v>1.0</v>
      </c>
    </row>
    <row r="109">
      <c r="A109" s="11">
        <v>46137.075738009255</v>
      </c>
      <c r="B109" s="9" t="s">
        <v>54</v>
      </c>
      <c r="C109" s="9" t="s">
        <v>190</v>
      </c>
      <c r="D109" s="9" t="s">
        <v>19</v>
      </c>
      <c r="E109" s="14"/>
      <c r="F109" s="15">
        <v>1.0</v>
      </c>
      <c r="G109" s="37" t="s">
        <v>65</v>
      </c>
      <c r="H109" s="31" t="e">
        <v>#N/A</v>
      </c>
      <c r="I109" s="31" t="e">
        <v>#N/A</v>
      </c>
      <c r="J109" s="15">
        <v>1.0</v>
      </c>
    </row>
    <row r="110">
      <c r="A110" s="11">
        <v>46137.07962443287</v>
      </c>
      <c r="B110" s="9" t="s">
        <v>195</v>
      </c>
      <c r="C110" s="9" t="s">
        <v>191</v>
      </c>
      <c r="D110" s="9" t="s">
        <v>19</v>
      </c>
      <c r="E110" s="14"/>
      <c r="F110" s="15">
        <v>1.0</v>
      </c>
      <c r="G110" s="37" t="s">
        <v>65</v>
      </c>
      <c r="H110" s="31" t="e">
        <v>#N/A</v>
      </c>
      <c r="I110" s="31" t="e">
        <v>#N/A</v>
      </c>
      <c r="J110" s="15">
        <v>1.0</v>
      </c>
    </row>
    <row r="111">
      <c r="A111" s="11">
        <v>46137.08830451389</v>
      </c>
      <c r="B111" s="9" t="s">
        <v>93</v>
      </c>
      <c r="C111" s="9" t="s">
        <v>186</v>
      </c>
      <c r="D111" s="37" t="s">
        <v>57</v>
      </c>
      <c r="E111" s="54" t="s">
        <v>196</v>
      </c>
      <c r="F111" s="15">
        <v>1.0</v>
      </c>
      <c r="G111" s="37" t="s">
        <v>65</v>
      </c>
      <c r="H111" s="31" t="e">
        <v>#N/A</v>
      </c>
      <c r="I111" s="31" t="e">
        <v>#N/A</v>
      </c>
      <c r="J111" s="15">
        <v>1.0</v>
      </c>
    </row>
    <row r="112">
      <c r="A112" s="11">
        <v>46137.09181760417</v>
      </c>
      <c r="B112" s="9" t="s">
        <v>121</v>
      </c>
      <c r="C112" s="9" t="s">
        <v>96</v>
      </c>
      <c r="D112" s="9" t="s">
        <v>19</v>
      </c>
      <c r="E112" s="14"/>
      <c r="F112" s="15">
        <v>1.0</v>
      </c>
      <c r="G112" s="37" t="s">
        <v>65</v>
      </c>
      <c r="H112" s="31" t="e">
        <v>#N/A</v>
      </c>
      <c r="I112" s="31" t="e">
        <v>#N/A</v>
      </c>
      <c r="J112" s="15">
        <v>1.0</v>
      </c>
    </row>
    <row r="113">
      <c r="A113" s="11">
        <v>46137.09936771991</v>
      </c>
      <c r="B113" s="9" t="s">
        <v>189</v>
      </c>
      <c r="C113" s="9" t="s">
        <v>128</v>
      </c>
      <c r="D113" s="37" t="s">
        <v>57</v>
      </c>
      <c r="E113" s="54" t="s">
        <v>197</v>
      </c>
      <c r="F113" s="15">
        <v>1.0</v>
      </c>
      <c r="G113" s="37" t="s">
        <v>65</v>
      </c>
      <c r="H113" s="31" t="e">
        <v>#N/A</v>
      </c>
      <c r="I113" s="31" t="e">
        <v>#N/A</v>
      </c>
      <c r="J113" s="15">
        <v>1.0</v>
      </c>
    </row>
    <row r="114">
      <c r="A114" s="11">
        <v>46137.10029574074</v>
      </c>
      <c r="B114" s="9" t="s">
        <v>54</v>
      </c>
      <c r="C114" s="9" t="s">
        <v>195</v>
      </c>
      <c r="D114" s="9" t="s">
        <v>19</v>
      </c>
      <c r="E114" s="14"/>
      <c r="F114" s="15">
        <v>1.0</v>
      </c>
      <c r="G114" s="37" t="s">
        <v>65</v>
      </c>
      <c r="H114" s="31" t="e">
        <v>#N/A</v>
      </c>
      <c r="I114" s="31" t="e">
        <v>#N/A</v>
      </c>
      <c r="J114" s="15">
        <v>1.0</v>
      </c>
    </row>
    <row r="115">
      <c r="A115" s="11">
        <v>46137.11437105324</v>
      </c>
      <c r="B115" s="9" t="s">
        <v>198</v>
      </c>
      <c r="C115" s="9" t="s">
        <v>93</v>
      </c>
      <c r="D115" s="37" t="s">
        <v>57</v>
      </c>
      <c r="E115" s="14"/>
      <c r="F115" s="15">
        <v>1.0</v>
      </c>
      <c r="G115" s="37" t="s">
        <v>65</v>
      </c>
      <c r="H115" s="31" t="e">
        <v>#N/A</v>
      </c>
      <c r="I115" s="31" t="e">
        <v>#N/A</v>
      </c>
      <c r="J115" s="15">
        <v>1.0</v>
      </c>
    </row>
    <row r="116">
      <c r="A116" s="11">
        <v>46137.17568396991</v>
      </c>
      <c r="B116" s="9" t="s">
        <v>110</v>
      </c>
      <c r="C116" s="9" t="s">
        <v>156</v>
      </c>
      <c r="D116" s="9" t="s">
        <v>19</v>
      </c>
      <c r="E116" s="14"/>
      <c r="F116" s="15">
        <v>1.0</v>
      </c>
      <c r="G116" s="37" t="s">
        <v>65</v>
      </c>
      <c r="H116" s="31" t="e">
        <v>#N/A</v>
      </c>
      <c r="I116" s="31" t="e">
        <v>#N/A</v>
      </c>
      <c r="J116" s="15">
        <v>1.0</v>
      </c>
    </row>
    <row r="117">
      <c r="A117" s="11">
        <v>46137.23637423611</v>
      </c>
      <c r="B117" s="9" t="s">
        <v>189</v>
      </c>
      <c r="C117" s="9" t="s">
        <v>200</v>
      </c>
      <c r="D117" s="9" t="s">
        <v>19</v>
      </c>
      <c r="E117" s="54" t="s">
        <v>201</v>
      </c>
      <c r="F117" s="15">
        <v>1.0</v>
      </c>
      <c r="G117" s="37" t="s">
        <v>65</v>
      </c>
      <c r="H117" s="31" t="e">
        <v>#N/A</v>
      </c>
      <c r="I117" s="31" t="e">
        <v>#N/A</v>
      </c>
      <c r="J117" s="15">
        <v>1.0</v>
      </c>
    </row>
    <row r="118">
      <c r="A118" s="11">
        <v>46137.300259930555</v>
      </c>
      <c r="B118" s="9" t="s">
        <v>202</v>
      </c>
      <c r="C118" s="9" t="s">
        <v>156</v>
      </c>
      <c r="D118" s="37" t="s">
        <v>57</v>
      </c>
      <c r="E118" s="54" t="s">
        <v>203</v>
      </c>
      <c r="F118" s="15">
        <v>1.0</v>
      </c>
      <c r="G118" s="37" t="s">
        <v>65</v>
      </c>
      <c r="H118" s="31" t="e">
        <v>#N/A</v>
      </c>
      <c r="I118" s="31" t="e">
        <v>#N/A</v>
      </c>
      <c r="J118" s="15">
        <v>1.0</v>
      </c>
    </row>
    <row r="119">
      <c r="A119" s="11">
        <v>46137.3041925463</v>
      </c>
      <c r="B119" s="9" t="s">
        <v>204</v>
      </c>
      <c r="C119" s="9" t="s">
        <v>205</v>
      </c>
      <c r="D119" s="9" t="s">
        <v>19</v>
      </c>
      <c r="E119" s="54" t="s">
        <v>206</v>
      </c>
      <c r="F119" s="15">
        <v>1.0</v>
      </c>
      <c r="G119" s="37" t="s">
        <v>65</v>
      </c>
      <c r="H119" s="31" t="e">
        <v>#N/A</v>
      </c>
      <c r="I119" s="31" t="e">
        <v>#N/A</v>
      </c>
      <c r="J119" s="15">
        <v>1.0</v>
      </c>
    </row>
    <row r="120">
      <c r="A120" s="11">
        <v>46137.319885335644</v>
      </c>
      <c r="B120" s="9" t="s">
        <v>202</v>
      </c>
      <c r="C120" s="9" t="s">
        <v>160</v>
      </c>
      <c r="D120" s="9" t="s">
        <v>19</v>
      </c>
      <c r="E120" s="54" t="s">
        <v>207</v>
      </c>
      <c r="F120" s="15">
        <v>1.0</v>
      </c>
      <c r="G120" s="37" t="s">
        <v>65</v>
      </c>
      <c r="H120" s="31" t="e">
        <v>#N/A</v>
      </c>
      <c r="I120" s="31" t="e">
        <v>#N/A</v>
      </c>
      <c r="J120" s="15">
        <v>1.0</v>
      </c>
    </row>
    <row r="121">
      <c r="A121" s="11">
        <v>46137.32634436342</v>
      </c>
      <c r="B121" s="9" t="s">
        <v>110</v>
      </c>
      <c r="C121" s="9" t="s">
        <v>208</v>
      </c>
      <c r="D121" s="9" t="s">
        <v>19</v>
      </c>
      <c r="E121" s="14"/>
      <c r="F121" s="15">
        <v>1.0</v>
      </c>
      <c r="G121" s="37" t="s">
        <v>65</v>
      </c>
      <c r="H121" s="31" t="e">
        <v>#N/A</v>
      </c>
      <c r="I121" s="31" t="e">
        <v>#N/A</v>
      </c>
      <c r="J121" s="15">
        <v>1.0</v>
      </c>
    </row>
    <row r="122">
      <c r="A122" s="11">
        <v>46137.3412095949</v>
      </c>
      <c r="B122" s="9" t="s">
        <v>208</v>
      </c>
      <c r="C122" s="9" t="s">
        <v>160</v>
      </c>
      <c r="D122" s="9" t="s">
        <v>19</v>
      </c>
      <c r="E122" s="14"/>
      <c r="F122" s="15">
        <v>1.0</v>
      </c>
      <c r="G122" s="37" t="s">
        <v>65</v>
      </c>
      <c r="H122" s="31" t="e">
        <v>#N/A</v>
      </c>
      <c r="I122" s="31" t="e">
        <v>#N/A</v>
      </c>
      <c r="J122" s="15">
        <v>1.0</v>
      </c>
    </row>
    <row r="123">
      <c r="A123" s="11">
        <v>46137.34736946759</v>
      </c>
      <c r="B123" s="9" t="s">
        <v>110</v>
      </c>
      <c r="C123" s="9" t="s">
        <v>152</v>
      </c>
      <c r="D123" s="37" t="s">
        <v>57</v>
      </c>
      <c r="E123" s="14"/>
      <c r="F123" s="15">
        <v>1.0</v>
      </c>
      <c r="G123" s="37" t="s">
        <v>65</v>
      </c>
      <c r="H123" s="31" t="e">
        <v>#N/A</v>
      </c>
      <c r="I123" s="31" t="e">
        <v>#N/A</v>
      </c>
      <c r="J123" s="15">
        <v>1.0</v>
      </c>
    </row>
    <row r="124">
      <c r="A124" s="11">
        <v>46137.35370422454</v>
      </c>
      <c r="B124" s="9" t="s">
        <v>202</v>
      </c>
      <c r="C124" s="9" t="s">
        <v>205</v>
      </c>
      <c r="D124" s="37" t="s">
        <v>57</v>
      </c>
      <c r="E124" s="54" t="s">
        <v>209</v>
      </c>
      <c r="F124" s="15">
        <v>1.0</v>
      </c>
      <c r="G124" s="37" t="s">
        <v>65</v>
      </c>
      <c r="H124" s="31" t="e">
        <v>#N/A</v>
      </c>
      <c r="I124" s="31" t="e">
        <v>#N/A</v>
      </c>
      <c r="J124" s="15">
        <v>1.0</v>
      </c>
    </row>
    <row r="125">
      <c r="A125" s="11">
        <v>46137.37668693287</v>
      </c>
      <c r="B125" s="9" t="s">
        <v>168</v>
      </c>
      <c r="C125" s="9" t="s">
        <v>202</v>
      </c>
      <c r="D125" s="37" t="s">
        <v>57</v>
      </c>
      <c r="E125" s="54" t="s">
        <v>212</v>
      </c>
      <c r="F125" s="15">
        <v>1.0</v>
      </c>
      <c r="G125" s="37" t="s">
        <v>65</v>
      </c>
      <c r="H125" s="31" t="e">
        <v>#N/A</v>
      </c>
      <c r="I125" s="31" t="e">
        <v>#N/A</v>
      </c>
      <c r="J125" s="15">
        <v>1.0</v>
      </c>
    </row>
    <row r="126">
      <c r="A126" s="11">
        <v>46137.37973929398</v>
      </c>
      <c r="B126" s="9" t="s">
        <v>174</v>
      </c>
      <c r="C126" s="9" t="s">
        <v>156</v>
      </c>
      <c r="D126" s="37" t="s">
        <v>57</v>
      </c>
      <c r="E126" s="54" t="s">
        <v>122</v>
      </c>
      <c r="F126" s="15">
        <v>1.0</v>
      </c>
      <c r="G126" s="37" t="s">
        <v>65</v>
      </c>
      <c r="H126" s="31" t="e">
        <v>#N/A</v>
      </c>
      <c r="I126" s="31" t="e">
        <v>#N/A</v>
      </c>
      <c r="J126" s="15">
        <v>1.0</v>
      </c>
    </row>
    <row r="127">
      <c r="A127" s="11">
        <v>46137.396553321756</v>
      </c>
      <c r="B127" s="9" t="s">
        <v>174</v>
      </c>
      <c r="C127" s="9" t="s">
        <v>79</v>
      </c>
      <c r="D127" s="37" t="s">
        <v>57</v>
      </c>
      <c r="E127" s="54" t="s">
        <v>122</v>
      </c>
      <c r="F127" s="15">
        <v>1.0</v>
      </c>
      <c r="G127" s="37" t="s">
        <v>65</v>
      </c>
      <c r="H127" s="31" t="e">
        <v>#N/A</v>
      </c>
      <c r="I127" s="31" t="e">
        <v>#N/A</v>
      </c>
      <c r="J127" s="15">
        <v>1.0</v>
      </c>
    </row>
    <row r="128">
      <c r="A128" s="11">
        <v>46137.396677847224</v>
      </c>
      <c r="B128" s="9" t="s">
        <v>213</v>
      </c>
      <c r="C128" s="9" t="s">
        <v>163</v>
      </c>
      <c r="D128" s="9" t="s">
        <v>19</v>
      </c>
      <c r="E128" s="14"/>
      <c r="F128" s="15">
        <v>1.0</v>
      </c>
      <c r="G128" s="37" t="s">
        <v>65</v>
      </c>
      <c r="H128" s="31" t="e">
        <v>#N/A</v>
      </c>
      <c r="I128" s="31" t="e">
        <v>#N/A</v>
      </c>
      <c r="J128" s="15">
        <v>1.0</v>
      </c>
    </row>
    <row r="129">
      <c r="A129" s="11">
        <v>46137.39831247686</v>
      </c>
      <c r="B129" s="9" t="s">
        <v>214</v>
      </c>
      <c r="C129" s="9" t="s">
        <v>94</v>
      </c>
      <c r="D129" s="9" t="s">
        <v>19</v>
      </c>
      <c r="E129" s="14"/>
      <c r="F129" s="15">
        <v>1.0</v>
      </c>
      <c r="G129" s="37" t="s">
        <v>65</v>
      </c>
      <c r="H129" s="31" t="e">
        <v>#N/A</v>
      </c>
      <c r="I129" s="31" t="e">
        <v>#N/A</v>
      </c>
      <c r="J129" s="15">
        <v>1.0</v>
      </c>
    </row>
    <row r="130">
      <c r="A130" s="11">
        <v>46137.41075409722</v>
      </c>
      <c r="B130" s="9" t="s">
        <v>215</v>
      </c>
      <c r="C130" s="9" t="s">
        <v>202</v>
      </c>
      <c r="D130" s="37" t="s">
        <v>57</v>
      </c>
      <c r="E130" s="54" t="s">
        <v>216</v>
      </c>
      <c r="F130" s="15">
        <v>1.0</v>
      </c>
      <c r="G130" s="37" t="s">
        <v>65</v>
      </c>
      <c r="H130" s="31" t="e">
        <v>#N/A</v>
      </c>
      <c r="I130" s="31" t="e">
        <v>#N/A</v>
      </c>
      <c r="J130" s="15">
        <v>1.0</v>
      </c>
    </row>
    <row r="131">
      <c r="A131" s="11">
        <v>46137.42547310185</v>
      </c>
      <c r="B131" s="9" t="s">
        <v>214</v>
      </c>
      <c r="C131" s="9" t="s">
        <v>151</v>
      </c>
      <c r="D131" s="9" t="s">
        <v>19</v>
      </c>
      <c r="E131" s="14"/>
      <c r="F131" s="15">
        <v>1.0</v>
      </c>
      <c r="G131" s="37" t="s">
        <v>65</v>
      </c>
      <c r="H131" s="31" t="e">
        <v>#N/A</v>
      </c>
      <c r="I131" s="31" t="e">
        <v>#N/A</v>
      </c>
      <c r="J131" s="15">
        <v>1.0</v>
      </c>
    </row>
    <row r="132">
      <c r="A132" s="11">
        <v>46137.42780042824</v>
      </c>
      <c r="B132" s="9" t="s">
        <v>217</v>
      </c>
      <c r="C132" s="9" t="s">
        <v>55</v>
      </c>
      <c r="D132" s="37" t="s">
        <v>57</v>
      </c>
      <c r="E132" s="14"/>
      <c r="F132" s="15">
        <v>1.0</v>
      </c>
      <c r="G132" s="37" t="s">
        <v>65</v>
      </c>
      <c r="H132" s="31" t="e">
        <v>#N/A</v>
      </c>
      <c r="I132" s="31" t="e">
        <v>#N/A</v>
      </c>
      <c r="J132" s="15">
        <v>1.0</v>
      </c>
    </row>
    <row r="133">
      <c r="A133" s="11">
        <v>46137.43995892361</v>
      </c>
      <c r="B133" s="9" t="s">
        <v>217</v>
      </c>
      <c r="C133" s="9" t="s">
        <v>174</v>
      </c>
      <c r="D133" s="9" t="s">
        <v>19</v>
      </c>
      <c r="E133" s="14"/>
      <c r="F133" s="15">
        <v>1.0</v>
      </c>
      <c r="G133" s="37" t="s">
        <v>65</v>
      </c>
      <c r="H133" s="31" t="e">
        <v>#N/A</v>
      </c>
      <c r="I133" s="31" t="e">
        <v>#N/A</v>
      </c>
      <c r="J133" s="15">
        <v>1.0</v>
      </c>
    </row>
    <row r="134">
      <c r="A134" s="11">
        <v>46137.44710133102</v>
      </c>
      <c r="B134" s="9" t="s">
        <v>163</v>
      </c>
      <c r="C134" s="9" t="s">
        <v>114</v>
      </c>
      <c r="D134" s="37" t="s">
        <v>57</v>
      </c>
      <c r="E134" s="54" t="s">
        <v>140</v>
      </c>
      <c r="F134" s="15">
        <v>1.0</v>
      </c>
      <c r="G134" s="37" t="s">
        <v>65</v>
      </c>
      <c r="H134" s="31" t="e">
        <v>#N/A</v>
      </c>
      <c r="I134" s="31" t="e">
        <v>#N/A</v>
      </c>
      <c r="J134" s="15">
        <v>1.0</v>
      </c>
    </row>
    <row r="135">
      <c r="A135" s="11">
        <v>46137.46393327546</v>
      </c>
      <c r="B135" s="9" t="s">
        <v>218</v>
      </c>
      <c r="C135" s="9" t="s">
        <v>181</v>
      </c>
      <c r="D135" s="9" t="s">
        <v>19</v>
      </c>
      <c r="E135" s="14"/>
      <c r="F135" s="15">
        <v>1.0</v>
      </c>
      <c r="G135" s="37" t="s">
        <v>65</v>
      </c>
      <c r="H135" s="31" t="e">
        <v>#N/A</v>
      </c>
      <c r="I135" s="31" t="e">
        <v>#N/A</v>
      </c>
      <c r="J135" s="15">
        <v>1.0</v>
      </c>
    </row>
    <row r="136">
      <c r="A136" s="11">
        <v>46137.46540912037</v>
      </c>
      <c r="B136" s="9" t="s">
        <v>151</v>
      </c>
      <c r="C136" s="9" t="s">
        <v>217</v>
      </c>
      <c r="D136" s="37" t="s">
        <v>57</v>
      </c>
      <c r="E136" s="14"/>
      <c r="F136" s="15">
        <v>1.0</v>
      </c>
      <c r="G136" s="37" t="s">
        <v>65</v>
      </c>
      <c r="H136" s="31" t="e">
        <v>#N/A</v>
      </c>
      <c r="I136" s="31" t="e">
        <v>#N/A</v>
      </c>
      <c r="J136" s="15">
        <v>1.0</v>
      </c>
    </row>
    <row r="137">
      <c r="A137" s="11">
        <v>46137.46641952546</v>
      </c>
      <c r="B137" s="9" t="s">
        <v>174</v>
      </c>
      <c r="C137" s="9" t="s">
        <v>168</v>
      </c>
      <c r="D137" s="9" t="s">
        <v>19</v>
      </c>
      <c r="E137" s="54" t="s">
        <v>122</v>
      </c>
      <c r="F137" s="15">
        <v>1.0</v>
      </c>
      <c r="G137" s="37" t="s">
        <v>65</v>
      </c>
      <c r="H137" s="31" t="e">
        <v>#N/A</v>
      </c>
      <c r="I137" s="31" t="e">
        <v>#N/A</v>
      </c>
      <c r="J137" s="15">
        <v>1.0</v>
      </c>
    </row>
    <row r="138">
      <c r="A138" s="11">
        <v>46137.47439456018</v>
      </c>
      <c r="B138" s="9" t="s">
        <v>219</v>
      </c>
      <c r="C138" s="9" t="s">
        <v>163</v>
      </c>
      <c r="D138" s="9" t="s">
        <v>19</v>
      </c>
      <c r="E138" s="54" t="s">
        <v>220</v>
      </c>
      <c r="F138" s="15">
        <v>1.0</v>
      </c>
      <c r="G138" s="37" t="s">
        <v>65</v>
      </c>
      <c r="H138" s="31" t="e">
        <v>#N/A</v>
      </c>
      <c r="I138" s="31" t="e">
        <v>#N/A</v>
      </c>
      <c r="J138" s="15">
        <v>1.0</v>
      </c>
    </row>
    <row r="139">
      <c r="A139" s="11">
        <v>46137.486815798606</v>
      </c>
      <c r="B139" s="9" t="s">
        <v>101</v>
      </c>
      <c r="C139" s="9" t="s">
        <v>204</v>
      </c>
      <c r="D139" s="37" t="s">
        <v>57</v>
      </c>
      <c r="E139" s="54" t="s">
        <v>221</v>
      </c>
      <c r="F139" s="15">
        <v>1.0</v>
      </c>
      <c r="G139" s="37" t="s">
        <v>65</v>
      </c>
      <c r="H139" s="31" t="e">
        <v>#N/A</v>
      </c>
      <c r="I139" s="31" t="e">
        <v>#N/A</v>
      </c>
      <c r="J139" s="15">
        <v>1.0</v>
      </c>
    </row>
    <row r="140">
      <c r="A140" s="11">
        <v>46137.49068523148</v>
      </c>
      <c r="B140" s="9" t="s">
        <v>213</v>
      </c>
      <c r="C140" s="9" t="s">
        <v>94</v>
      </c>
      <c r="D140" s="9" t="s">
        <v>19</v>
      </c>
      <c r="E140" s="14"/>
      <c r="F140" s="15">
        <v>1.0</v>
      </c>
      <c r="G140" s="37" t="s">
        <v>65</v>
      </c>
      <c r="H140" s="31" t="e">
        <v>#N/A</v>
      </c>
      <c r="I140" s="31" t="e">
        <v>#N/A</v>
      </c>
      <c r="J140" s="15">
        <v>1.0</v>
      </c>
    </row>
    <row r="141">
      <c r="A141" s="11">
        <v>46137.49113239584</v>
      </c>
      <c r="B141" s="9" t="s">
        <v>151</v>
      </c>
      <c r="C141" s="9" t="s">
        <v>179</v>
      </c>
      <c r="D141" s="9" t="s">
        <v>19</v>
      </c>
      <c r="E141" s="14"/>
      <c r="F141" s="15">
        <v>1.0</v>
      </c>
      <c r="G141" s="37" t="s">
        <v>65</v>
      </c>
      <c r="H141" s="31" t="e">
        <v>#N/A</v>
      </c>
      <c r="I141" s="31" t="e">
        <v>#N/A</v>
      </c>
      <c r="J141" s="15">
        <v>1.0</v>
      </c>
    </row>
    <row r="142">
      <c r="A142" s="11">
        <v>46137.49527025463</v>
      </c>
      <c r="B142" s="9" t="s">
        <v>168</v>
      </c>
      <c r="C142" s="9" t="s">
        <v>114</v>
      </c>
      <c r="D142" s="37" t="s">
        <v>57</v>
      </c>
      <c r="E142" s="54" t="s">
        <v>222</v>
      </c>
      <c r="F142" s="15">
        <v>1.0</v>
      </c>
      <c r="G142" s="37" t="s">
        <v>65</v>
      </c>
      <c r="H142" s="31" t="e">
        <v>#N/A</v>
      </c>
      <c r="I142" s="31" t="e">
        <v>#N/A</v>
      </c>
      <c r="J142" s="15">
        <v>1.0</v>
      </c>
    </row>
    <row r="143">
      <c r="A143" s="11">
        <v>46137.49997967592</v>
      </c>
      <c r="B143" s="9" t="s">
        <v>219</v>
      </c>
      <c r="C143" s="9" t="s">
        <v>158</v>
      </c>
      <c r="D143" s="37" t="s">
        <v>57</v>
      </c>
      <c r="E143" s="54" t="s">
        <v>223</v>
      </c>
      <c r="F143" s="15">
        <v>1.0</v>
      </c>
      <c r="G143" s="37" t="s">
        <v>65</v>
      </c>
      <c r="H143" s="31" t="e">
        <v>#N/A</v>
      </c>
      <c r="I143" s="31" t="e">
        <v>#N/A</v>
      </c>
      <c r="J143" s="15">
        <v>1.0</v>
      </c>
    </row>
    <row r="144">
      <c r="A144" s="11">
        <v>46137.50592953704</v>
      </c>
      <c r="B144" s="9" t="s">
        <v>115</v>
      </c>
      <c r="C144" s="9" t="s">
        <v>224</v>
      </c>
      <c r="D144" s="9" t="s">
        <v>19</v>
      </c>
      <c r="E144" s="54" t="s">
        <v>225</v>
      </c>
      <c r="F144" s="15">
        <v>1.0</v>
      </c>
      <c r="G144" s="37" t="s">
        <v>65</v>
      </c>
      <c r="H144" s="31" t="e">
        <v>#N/A</v>
      </c>
      <c r="I144" s="31" t="e">
        <v>#N/A</v>
      </c>
      <c r="J144" s="15">
        <v>1.0</v>
      </c>
    </row>
    <row r="145">
      <c r="A145" s="11">
        <v>46137.5131796875</v>
      </c>
      <c r="B145" s="9" t="s">
        <v>226</v>
      </c>
      <c r="C145" s="9" t="s">
        <v>227</v>
      </c>
      <c r="D145" s="37" t="s">
        <v>57</v>
      </c>
      <c r="E145" s="54" t="s">
        <v>112</v>
      </c>
      <c r="F145" s="15">
        <v>1.0</v>
      </c>
      <c r="G145" s="37" t="s">
        <v>65</v>
      </c>
      <c r="H145" s="31" t="e">
        <v>#N/A</v>
      </c>
      <c r="I145" s="31" t="e">
        <v>#N/A</v>
      </c>
      <c r="J145" s="15">
        <v>1.0</v>
      </c>
    </row>
    <row r="146">
      <c r="A146" s="11">
        <v>46137.513531122684</v>
      </c>
      <c r="B146" s="9" t="s">
        <v>179</v>
      </c>
      <c r="C146" s="9" t="s">
        <v>115</v>
      </c>
      <c r="D146" s="9" t="s">
        <v>19</v>
      </c>
      <c r="E146" s="14"/>
      <c r="F146" s="15">
        <v>1.0</v>
      </c>
      <c r="G146" s="37" t="s">
        <v>65</v>
      </c>
      <c r="H146" s="31" t="e">
        <v>#N/A</v>
      </c>
      <c r="I146" s="31" t="e">
        <v>#N/A</v>
      </c>
      <c r="J146" s="15">
        <v>1.0</v>
      </c>
    </row>
    <row r="147">
      <c r="A147" s="11">
        <v>46137.52207893519</v>
      </c>
      <c r="B147" s="9" t="s">
        <v>74</v>
      </c>
      <c r="C147" s="9" t="s">
        <v>213</v>
      </c>
      <c r="D147" s="37" t="s">
        <v>57</v>
      </c>
      <c r="E147" s="14"/>
      <c r="F147" s="15">
        <v>1.0</v>
      </c>
      <c r="G147" s="37" t="s">
        <v>65</v>
      </c>
      <c r="H147" s="31" t="e">
        <v>#N/A</v>
      </c>
      <c r="I147" s="31" t="e">
        <v>#N/A</v>
      </c>
      <c r="J147" s="15">
        <v>1.0</v>
      </c>
    </row>
    <row r="148">
      <c r="A148" s="11">
        <v>46137.523224930555</v>
      </c>
      <c r="B148" s="9" t="s">
        <v>228</v>
      </c>
      <c r="C148" s="9" t="s">
        <v>224</v>
      </c>
      <c r="D148" s="9" t="s">
        <v>19</v>
      </c>
      <c r="E148" s="14"/>
      <c r="F148" s="15">
        <v>1.0</v>
      </c>
      <c r="G148" s="37" t="s">
        <v>65</v>
      </c>
      <c r="H148" s="31" t="e">
        <v>#N/A</v>
      </c>
      <c r="I148" s="31" t="e">
        <v>#N/A</v>
      </c>
      <c r="J148" s="15">
        <v>1.0</v>
      </c>
    </row>
    <row r="149">
      <c r="A149" s="11">
        <v>46137.53917015046</v>
      </c>
      <c r="B149" s="9" t="s">
        <v>121</v>
      </c>
      <c r="C149" s="9" t="s">
        <v>179</v>
      </c>
      <c r="D149" s="37" t="s">
        <v>57</v>
      </c>
      <c r="E149" s="14"/>
      <c r="F149" s="15">
        <v>1.0</v>
      </c>
      <c r="G149" s="37" t="s">
        <v>65</v>
      </c>
      <c r="H149" s="31" t="e">
        <v>#N/A</v>
      </c>
      <c r="I149" s="31" t="e">
        <v>#N/A</v>
      </c>
      <c r="J149" s="15">
        <v>1.0</v>
      </c>
    </row>
    <row r="150">
      <c r="A150" s="11">
        <v>46137.54294210648</v>
      </c>
      <c r="B150" s="9" t="s">
        <v>229</v>
      </c>
      <c r="C150" s="9" t="s">
        <v>160</v>
      </c>
      <c r="D150" s="9" t="s">
        <v>19</v>
      </c>
      <c r="E150" s="14"/>
      <c r="F150" s="15">
        <v>1.0</v>
      </c>
      <c r="G150" s="37" t="s">
        <v>65</v>
      </c>
      <c r="H150" s="31" t="e">
        <v>#N/A</v>
      </c>
      <c r="I150" s="31" t="e">
        <v>#N/A</v>
      </c>
      <c r="J150" s="15">
        <v>1.0</v>
      </c>
    </row>
    <row r="151">
      <c r="A151" s="11">
        <v>46137.54537275463</v>
      </c>
      <c r="B151" s="9" t="s">
        <v>115</v>
      </c>
      <c r="C151" s="9" t="s">
        <v>231</v>
      </c>
      <c r="D151" s="9" t="s">
        <v>19</v>
      </c>
      <c r="E151" s="54" t="s">
        <v>232</v>
      </c>
      <c r="F151" s="15">
        <v>1.0</v>
      </c>
      <c r="G151" s="37" t="s">
        <v>65</v>
      </c>
      <c r="H151" s="31" t="e">
        <v>#N/A</v>
      </c>
      <c r="I151" s="31" t="e">
        <v>#N/A</v>
      </c>
      <c r="J151" s="15">
        <v>1.0</v>
      </c>
    </row>
    <row r="152">
      <c r="A152" s="11">
        <v>46137.54594362268</v>
      </c>
      <c r="B152" s="9" t="s">
        <v>227</v>
      </c>
      <c r="C152" s="9" t="s">
        <v>120</v>
      </c>
      <c r="D152" s="9" t="s">
        <v>19</v>
      </c>
      <c r="E152" s="14"/>
      <c r="F152" s="15">
        <v>1.0</v>
      </c>
      <c r="G152" s="37" t="s">
        <v>65</v>
      </c>
      <c r="H152" s="31" t="e">
        <v>#N/A</v>
      </c>
      <c r="I152" s="31" t="e">
        <v>#N/A</v>
      </c>
      <c r="J152" s="15">
        <v>1.0</v>
      </c>
    </row>
    <row r="153">
      <c r="A153" s="11">
        <v>46137.550858877315</v>
      </c>
      <c r="B153" s="9" t="s">
        <v>121</v>
      </c>
      <c r="C153" s="9" t="s">
        <v>233</v>
      </c>
      <c r="D153" s="9" t="s">
        <v>19</v>
      </c>
      <c r="E153" s="14"/>
      <c r="F153" s="15">
        <v>1.0</v>
      </c>
      <c r="G153" s="37" t="s">
        <v>65</v>
      </c>
      <c r="H153" s="31" t="e">
        <v>#N/A</v>
      </c>
      <c r="I153" s="31" t="e">
        <v>#N/A</v>
      </c>
      <c r="J153" s="15">
        <v>1.0</v>
      </c>
    </row>
    <row r="154">
      <c r="A154" s="11">
        <v>46137.55412782407</v>
      </c>
      <c r="B154" s="9" t="s">
        <v>217</v>
      </c>
      <c r="C154" s="9" t="s">
        <v>229</v>
      </c>
      <c r="D154" s="9" t="s">
        <v>19</v>
      </c>
      <c r="E154" s="14"/>
      <c r="F154" s="15">
        <v>1.0</v>
      </c>
      <c r="G154" s="37" t="s">
        <v>65</v>
      </c>
      <c r="H154" s="31" t="e">
        <v>#N/A</v>
      </c>
      <c r="I154" s="31" t="e">
        <v>#N/A</v>
      </c>
      <c r="J154" s="15">
        <v>1.0</v>
      </c>
    </row>
    <row r="155">
      <c r="A155" s="11">
        <v>46137.56215087963</v>
      </c>
      <c r="B155" s="9" t="s">
        <v>64</v>
      </c>
      <c r="C155" s="9" t="s">
        <v>227</v>
      </c>
      <c r="D155" s="9" t="s">
        <v>19</v>
      </c>
      <c r="E155" s="54" t="s">
        <v>234</v>
      </c>
      <c r="F155" s="15">
        <v>1.0</v>
      </c>
      <c r="G155" s="37" t="s">
        <v>65</v>
      </c>
      <c r="H155" s="31" t="e">
        <v>#N/A</v>
      </c>
      <c r="I155" s="31" t="e">
        <v>#N/A</v>
      </c>
      <c r="J155" s="15">
        <v>1.0</v>
      </c>
    </row>
    <row r="156">
      <c r="A156" s="11">
        <v>46137.562569050926</v>
      </c>
      <c r="B156" s="9" t="s">
        <v>217</v>
      </c>
      <c r="C156" s="9" t="s">
        <v>235</v>
      </c>
      <c r="D156" s="9" t="s">
        <v>19</v>
      </c>
      <c r="E156" s="54" t="s">
        <v>236</v>
      </c>
      <c r="F156" s="15">
        <v>1.0</v>
      </c>
      <c r="G156" s="37" t="s">
        <v>65</v>
      </c>
      <c r="H156" s="31" t="e">
        <v>#N/A</v>
      </c>
      <c r="I156" s="31" t="e">
        <v>#N/A</v>
      </c>
      <c r="J156" s="15">
        <v>1.0</v>
      </c>
    </row>
    <row r="157">
      <c r="A157" s="11">
        <v>46137.56768792824</v>
      </c>
      <c r="B157" s="9" t="s">
        <v>231</v>
      </c>
      <c r="C157" s="9" t="s">
        <v>228</v>
      </c>
      <c r="D157" s="9" t="s">
        <v>19</v>
      </c>
      <c r="E157" s="14"/>
      <c r="F157" s="15">
        <v>1.0</v>
      </c>
      <c r="G157" s="37" t="s">
        <v>65</v>
      </c>
      <c r="H157" s="31" t="e">
        <v>#N/A</v>
      </c>
      <c r="I157" s="31" t="e">
        <v>#N/A</v>
      </c>
      <c r="J157" s="15">
        <v>1.0</v>
      </c>
    </row>
    <row r="158">
      <c r="A158" s="11">
        <v>46137.56954924768</v>
      </c>
      <c r="B158" s="9" t="s">
        <v>237</v>
      </c>
      <c r="C158" s="9" t="s">
        <v>100</v>
      </c>
      <c r="D158" s="37" t="s">
        <v>57</v>
      </c>
      <c r="E158" s="14"/>
      <c r="F158" s="15">
        <v>1.0</v>
      </c>
      <c r="G158" s="37" t="s">
        <v>65</v>
      </c>
      <c r="H158" s="31" t="e">
        <v>#N/A</v>
      </c>
      <c r="I158" s="31" t="e">
        <v>#N/A</v>
      </c>
      <c r="J158" s="15">
        <v>1.0</v>
      </c>
    </row>
    <row r="159">
      <c r="A159" s="11">
        <v>46137.586169594906</v>
      </c>
      <c r="B159" s="9" t="s">
        <v>165</v>
      </c>
      <c r="C159" s="9" t="s">
        <v>219</v>
      </c>
      <c r="D159" s="37" t="s">
        <v>57</v>
      </c>
      <c r="E159" s="14"/>
      <c r="F159" s="15">
        <v>1.0</v>
      </c>
      <c r="G159" s="37" t="s">
        <v>65</v>
      </c>
      <c r="H159" s="31" t="e">
        <v>#N/A</v>
      </c>
      <c r="I159" s="31" t="e">
        <v>#N/A</v>
      </c>
      <c r="J159" s="15">
        <v>1.0</v>
      </c>
    </row>
    <row r="160">
      <c r="A160" s="11">
        <v>46137.59012105324</v>
      </c>
      <c r="B160" s="9" t="s">
        <v>208</v>
      </c>
      <c r="C160" s="9" t="s">
        <v>238</v>
      </c>
      <c r="D160" s="9" t="s">
        <v>19</v>
      </c>
      <c r="E160" s="14"/>
      <c r="F160" s="15">
        <v>1.0</v>
      </c>
      <c r="G160" s="37" t="s">
        <v>65</v>
      </c>
      <c r="H160" s="31" t="e">
        <v>#N/A</v>
      </c>
      <c r="I160" s="31" t="e">
        <v>#N/A</v>
      </c>
      <c r="J160" s="15">
        <v>1.0</v>
      </c>
    </row>
    <row r="161">
      <c r="A161" s="11">
        <v>46137.59113644676</v>
      </c>
      <c r="B161" s="9" t="s">
        <v>227</v>
      </c>
      <c r="C161" s="9" t="s">
        <v>214</v>
      </c>
      <c r="D161" s="37" t="s">
        <v>57</v>
      </c>
      <c r="E161" s="14"/>
      <c r="F161" s="15">
        <v>1.0</v>
      </c>
      <c r="G161" s="37" t="s">
        <v>65</v>
      </c>
      <c r="H161" s="31" t="e">
        <v>#N/A</v>
      </c>
      <c r="I161" s="31" t="e">
        <v>#N/A</v>
      </c>
      <c r="J161" s="15">
        <v>1.0</v>
      </c>
    </row>
    <row r="162">
      <c r="A162" s="11">
        <v>46137.59701550926</v>
      </c>
      <c r="B162" s="9" t="s">
        <v>63</v>
      </c>
      <c r="C162" s="9" t="s">
        <v>239</v>
      </c>
      <c r="D162" s="37" t="s">
        <v>57</v>
      </c>
      <c r="E162" s="14"/>
      <c r="F162" s="15">
        <v>1.0</v>
      </c>
      <c r="G162" s="37" t="s">
        <v>65</v>
      </c>
      <c r="H162" s="31" t="e">
        <v>#N/A</v>
      </c>
      <c r="I162" s="31" t="e">
        <v>#N/A</v>
      </c>
      <c r="J162" s="15">
        <v>1.0</v>
      </c>
    </row>
    <row r="163">
      <c r="A163" s="11">
        <v>46137.597096875004</v>
      </c>
      <c r="B163" s="9" t="s">
        <v>64</v>
      </c>
      <c r="C163" s="9" t="s">
        <v>132</v>
      </c>
      <c r="D163" s="37" t="s">
        <v>57</v>
      </c>
      <c r="E163" s="54" t="s">
        <v>240</v>
      </c>
      <c r="F163" s="15">
        <v>1.0</v>
      </c>
      <c r="G163" s="37" t="s">
        <v>65</v>
      </c>
      <c r="H163" s="31" t="e">
        <v>#N/A</v>
      </c>
      <c r="I163" s="31" t="e">
        <v>#N/A</v>
      </c>
      <c r="J163" s="15">
        <v>1.0</v>
      </c>
    </row>
    <row r="164">
      <c r="A164" s="11">
        <v>46137.60109972222</v>
      </c>
      <c r="B164" s="9" t="s">
        <v>205</v>
      </c>
      <c r="C164" s="9" t="s">
        <v>172</v>
      </c>
      <c r="D164" s="9" t="s">
        <v>19</v>
      </c>
      <c r="E164" s="54" t="s">
        <v>241</v>
      </c>
      <c r="F164" s="15">
        <v>1.0</v>
      </c>
      <c r="G164" s="37" t="s">
        <v>65</v>
      </c>
      <c r="H164" s="31" t="e">
        <v>#N/A</v>
      </c>
      <c r="I164" s="31" t="e">
        <v>#N/A</v>
      </c>
      <c r="J164" s="15">
        <v>1.0</v>
      </c>
    </row>
    <row r="165">
      <c r="A165" s="11">
        <v>46137.60680971065</v>
      </c>
      <c r="B165" s="9" t="s">
        <v>133</v>
      </c>
      <c r="C165" s="9" t="s">
        <v>235</v>
      </c>
      <c r="D165" s="37" t="s">
        <v>57</v>
      </c>
      <c r="E165" s="14"/>
      <c r="F165" s="15">
        <v>1.0</v>
      </c>
      <c r="G165" s="37" t="s">
        <v>65</v>
      </c>
      <c r="H165" s="31" t="e">
        <v>#N/A</v>
      </c>
      <c r="I165" s="31" t="e">
        <v>#N/A</v>
      </c>
      <c r="J165" s="15">
        <v>1.0</v>
      </c>
    </row>
    <row r="166">
      <c r="A166" s="11">
        <v>46137.61561273148</v>
      </c>
      <c r="B166" s="9" t="s">
        <v>242</v>
      </c>
      <c r="C166" s="9" t="s">
        <v>63</v>
      </c>
      <c r="D166" s="9" t="s">
        <v>19</v>
      </c>
      <c r="E166" s="14"/>
      <c r="F166" s="15">
        <v>1.0</v>
      </c>
      <c r="G166" s="37" t="s">
        <v>65</v>
      </c>
      <c r="H166" s="31" t="e">
        <v>#N/A</v>
      </c>
      <c r="I166" s="31" t="e">
        <v>#N/A</v>
      </c>
      <c r="J166" s="15">
        <v>1.0</v>
      </c>
    </row>
    <row r="167">
      <c r="A167" s="11">
        <v>46137.62096503472</v>
      </c>
      <c r="B167" s="9" t="s">
        <v>161</v>
      </c>
      <c r="C167" s="9" t="s">
        <v>235</v>
      </c>
      <c r="D167" s="9" t="s">
        <v>19</v>
      </c>
      <c r="E167" s="14"/>
      <c r="F167" s="15">
        <v>1.0</v>
      </c>
      <c r="G167" s="37" t="s">
        <v>65</v>
      </c>
      <c r="H167" s="31" t="e">
        <v>#N/A</v>
      </c>
      <c r="I167" s="31" t="e">
        <v>#N/A</v>
      </c>
      <c r="J167" s="15">
        <v>1.0</v>
      </c>
    </row>
    <row r="168">
      <c r="A168" s="11">
        <v>46137.6266722338</v>
      </c>
      <c r="B168" s="9" t="s">
        <v>182</v>
      </c>
      <c r="C168" s="9" t="s">
        <v>243</v>
      </c>
      <c r="D168" s="9" t="s">
        <v>19</v>
      </c>
      <c r="E168" s="14"/>
      <c r="F168" s="15">
        <v>1.0</v>
      </c>
      <c r="G168" s="37" t="s">
        <v>65</v>
      </c>
      <c r="H168" s="31" t="e">
        <v>#N/A</v>
      </c>
      <c r="I168" s="31" t="e">
        <v>#N/A</v>
      </c>
      <c r="J168" s="15">
        <v>1.0</v>
      </c>
    </row>
    <row r="169">
      <c r="A169" s="11">
        <v>46137.62687211805</v>
      </c>
      <c r="B169" s="9" t="s">
        <v>205</v>
      </c>
      <c r="C169" s="9" t="s">
        <v>214</v>
      </c>
      <c r="D169" s="9" t="s">
        <v>19</v>
      </c>
      <c r="E169" s="54" t="s">
        <v>244</v>
      </c>
      <c r="F169" s="15">
        <v>1.0</v>
      </c>
      <c r="G169" s="37" t="s">
        <v>65</v>
      </c>
      <c r="H169" s="31" t="e">
        <v>#N/A</v>
      </c>
      <c r="I169" s="31" t="e">
        <v>#N/A</v>
      </c>
      <c r="J169" s="15">
        <v>1.0</v>
      </c>
    </row>
    <row r="170">
      <c r="A170" s="11">
        <v>46137.62881252315</v>
      </c>
      <c r="B170" s="9" t="s">
        <v>173</v>
      </c>
      <c r="C170" s="9" t="s">
        <v>213</v>
      </c>
      <c r="D170" s="9" t="s">
        <v>19</v>
      </c>
      <c r="E170" s="14"/>
      <c r="F170" s="15">
        <v>1.0</v>
      </c>
      <c r="G170" s="37" t="s">
        <v>65</v>
      </c>
      <c r="H170" s="31" t="e">
        <v>#N/A</v>
      </c>
      <c r="I170" s="31" t="e">
        <v>#N/A</v>
      </c>
      <c r="J170" s="15">
        <v>1.0</v>
      </c>
    </row>
    <row r="171">
      <c r="A171" s="11">
        <v>46137.62904460648</v>
      </c>
      <c r="B171" s="9" t="s">
        <v>123</v>
      </c>
      <c r="C171" s="9" t="s">
        <v>142</v>
      </c>
      <c r="D171" s="9" t="s">
        <v>19</v>
      </c>
      <c r="E171" s="14"/>
      <c r="F171" s="15">
        <v>1.0</v>
      </c>
      <c r="G171" s="37" t="s">
        <v>65</v>
      </c>
      <c r="H171" s="31" t="e">
        <v>#N/A</v>
      </c>
      <c r="I171" s="31" t="e">
        <v>#N/A</v>
      </c>
      <c r="J171" s="15">
        <v>1.0</v>
      </c>
    </row>
    <row r="172">
      <c r="A172" s="11">
        <v>46137.641009756946</v>
      </c>
      <c r="B172" s="9" t="s">
        <v>245</v>
      </c>
      <c r="C172" s="9" t="s">
        <v>205</v>
      </c>
      <c r="D172" s="9" t="s">
        <v>19</v>
      </c>
      <c r="E172" s="54" t="s">
        <v>122</v>
      </c>
      <c r="F172" s="15">
        <v>1.0</v>
      </c>
      <c r="G172" s="37" t="s">
        <v>65</v>
      </c>
      <c r="H172" s="31" t="e">
        <v>#N/A</v>
      </c>
      <c r="I172" s="31" t="e">
        <v>#N/A</v>
      </c>
      <c r="J172" s="15">
        <v>1.0</v>
      </c>
    </row>
    <row r="173">
      <c r="A173" s="11">
        <v>46137.64717087963</v>
      </c>
      <c r="B173" s="9" t="s">
        <v>143</v>
      </c>
      <c r="C173" s="9" t="s">
        <v>242</v>
      </c>
      <c r="D173" s="37" t="s">
        <v>57</v>
      </c>
      <c r="E173" s="54" t="s">
        <v>140</v>
      </c>
      <c r="F173" s="15">
        <v>1.0</v>
      </c>
      <c r="G173" s="37" t="s">
        <v>65</v>
      </c>
      <c r="H173" s="31" t="e">
        <v>#N/A</v>
      </c>
      <c r="I173" s="31" t="e">
        <v>#N/A</v>
      </c>
      <c r="J173" s="15">
        <v>1.0</v>
      </c>
    </row>
    <row r="174">
      <c r="A174" s="11">
        <v>46137.64852400463</v>
      </c>
      <c r="B174" s="9" t="s">
        <v>213</v>
      </c>
      <c r="C174" s="9" t="s">
        <v>243</v>
      </c>
      <c r="D174" s="37" t="s">
        <v>57</v>
      </c>
      <c r="E174" s="14"/>
      <c r="F174" s="15">
        <v>1.0</v>
      </c>
      <c r="G174" s="37" t="s">
        <v>65</v>
      </c>
      <c r="H174" s="31" t="e">
        <v>#N/A</v>
      </c>
      <c r="I174" s="31" t="e">
        <v>#N/A</v>
      </c>
      <c r="J174" s="15">
        <v>1.0</v>
      </c>
    </row>
    <row r="175">
      <c r="A175" s="11">
        <v>46137.65384809028</v>
      </c>
      <c r="B175" s="9" t="s">
        <v>182</v>
      </c>
      <c r="C175" s="9" t="s">
        <v>246</v>
      </c>
      <c r="D175" s="9" t="s">
        <v>19</v>
      </c>
      <c r="E175" s="14"/>
      <c r="F175" s="15">
        <v>1.0</v>
      </c>
      <c r="G175" s="37" t="s">
        <v>65</v>
      </c>
      <c r="H175" s="31" t="e">
        <v>#N/A</v>
      </c>
      <c r="I175" s="31" t="e">
        <v>#N/A</v>
      </c>
      <c r="J175" s="15">
        <v>1.0</v>
      </c>
    </row>
    <row r="176">
      <c r="A176" s="11">
        <v>46137.6539006713</v>
      </c>
      <c r="B176" s="9" t="s">
        <v>247</v>
      </c>
      <c r="C176" s="9" t="s">
        <v>248</v>
      </c>
      <c r="D176" s="37" t="s">
        <v>57</v>
      </c>
      <c r="E176" s="54" t="s">
        <v>140</v>
      </c>
      <c r="F176" s="15">
        <v>1.0</v>
      </c>
      <c r="G176" s="37" t="s">
        <v>65</v>
      </c>
      <c r="H176" s="31" t="e">
        <v>#N/A</v>
      </c>
      <c r="I176" s="31" t="e">
        <v>#N/A</v>
      </c>
      <c r="J176" s="15">
        <v>1.0</v>
      </c>
    </row>
    <row r="177">
      <c r="A177" s="11">
        <v>46137.65889976852</v>
      </c>
      <c r="B177" s="9" t="s">
        <v>74</v>
      </c>
      <c r="C177" s="9" t="s">
        <v>235</v>
      </c>
      <c r="D177" s="37" t="s">
        <v>57</v>
      </c>
      <c r="E177" s="14"/>
      <c r="F177" s="15">
        <v>1.0</v>
      </c>
      <c r="G177" s="37" t="s">
        <v>65</v>
      </c>
      <c r="H177" s="31" t="e">
        <v>#N/A</v>
      </c>
      <c r="I177" s="31" t="e">
        <v>#N/A</v>
      </c>
      <c r="J177" s="15">
        <v>1.0</v>
      </c>
    </row>
    <row r="178">
      <c r="A178" s="11">
        <v>46137.67183574074</v>
      </c>
      <c r="B178" s="9" t="s">
        <v>249</v>
      </c>
      <c r="C178" s="9" t="s">
        <v>94</v>
      </c>
      <c r="D178" s="9" t="s">
        <v>19</v>
      </c>
      <c r="E178" s="14"/>
      <c r="F178" s="15">
        <v>1.0</v>
      </c>
      <c r="G178" s="37" t="s">
        <v>65</v>
      </c>
      <c r="H178" s="31" t="e">
        <v>#N/A</v>
      </c>
      <c r="I178" s="31" t="e">
        <v>#N/A</v>
      </c>
      <c r="J178" s="15">
        <v>1.0</v>
      </c>
    </row>
    <row r="179">
      <c r="A179" s="11">
        <v>46137.68067299768</v>
      </c>
      <c r="B179" s="9" t="s">
        <v>250</v>
      </c>
      <c r="C179" s="9" t="s">
        <v>142</v>
      </c>
      <c r="D179" s="37" t="s">
        <v>57</v>
      </c>
      <c r="E179" s="14"/>
      <c r="F179" s="15">
        <v>1.0</v>
      </c>
      <c r="G179" s="37" t="s">
        <v>65</v>
      </c>
      <c r="H179" s="31" t="e">
        <v>#N/A</v>
      </c>
      <c r="I179" s="31" t="e">
        <v>#N/A</v>
      </c>
      <c r="J179" s="15">
        <v>1.0</v>
      </c>
    </row>
    <row r="180">
      <c r="A180" s="11">
        <v>46137.682268958335</v>
      </c>
      <c r="B180" s="9" t="s">
        <v>246</v>
      </c>
      <c r="C180" s="9" t="s">
        <v>74</v>
      </c>
      <c r="D180" s="9" t="s">
        <v>19</v>
      </c>
      <c r="E180" s="14"/>
      <c r="F180" s="15">
        <v>1.0</v>
      </c>
      <c r="G180" s="37" t="s">
        <v>65</v>
      </c>
      <c r="H180" s="31" t="e">
        <v>#N/A</v>
      </c>
      <c r="I180" s="31" t="e">
        <v>#N/A</v>
      </c>
      <c r="J180" s="15">
        <v>1.0</v>
      </c>
    </row>
    <row r="181">
      <c r="A181" s="11">
        <v>46137.68404172454</v>
      </c>
      <c r="B181" s="9" t="s">
        <v>235</v>
      </c>
      <c r="C181" s="9" t="s">
        <v>242</v>
      </c>
      <c r="D181" s="9" t="s">
        <v>19</v>
      </c>
      <c r="E181" s="54" t="s">
        <v>251</v>
      </c>
      <c r="F181" s="15">
        <v>1.0</v>
      </c>
      <c r="G181" s="37" t="s">
        <v>65</v>
      </c>
      <c r="H181" s="31" t="e">
        <v>#N/A</v>
      </c>
      <c r="I181" s="31" t="e">
        <v>#N/A</v>
      </c>
      <c r="J181" s="15">
        <v>1.0</v>
      </c>
    </row>
    <row r="182">
      <c r="A182" s="11">
        <v>46137.69551987269</v>
      </c>
      <c r="B182" s="9" t="s">
        <v>92</v>
      </c>
      <c r="C182" s="9" t="s">
        <v>252</v>
      </c>
      <c r="D182" s="37" t="s">
        <v>57</v>
      </c>
      <c r="E182" s="14"/>
      <c r="F182" s="15">
        <v>1.0</v>
      </c>
      <c r="G182" s="37" t="s">
        <v>65</v>
      </c>
      <c r="H182" s="31" t="e">
        <v>#N/A</v>
      </c>
      <c r="I182" s="31" t="e">
        <v>#N/A</v>
      </c>
      <c r="J182" s="15">
        <v>1.0</v>
      </c>
    </row>
    <row r="183">
      <c r="A183" s="11">
        <v>46137.69683987269</v>
      </c>
      <c r="B183" s="9" t="s">
        <v>253</v>
      </c>
      <c r="C183" s="9" t="s">
        <v>214</v>
      </c>
      <c r="D183" s="9" t="s">
        <v>19</v>
      </c>
      <c r="E183" s="14"/>
      <c r="F183" s="15">
        <v>1.0</v>
      </c>
      <c r="G183" s="37" t="s">
        <v>65</v>
      </c>
      <c r="H183" s="31" t="e">
        <v>#N/A</v>
      </c>
      <c r="I183" s="31" t="e">
        <v>#N/A</v>
      </c>
      <c r="J183" s="15">
        <v>1.0</v>
      </c>
    </row>
    <row r="184">
      <c r="A184" s="11">
        <v>46137.703804097226</v>
      </c>
      <c r="B184" s="9" t="s">
        <v>254</v>
      </c>
      <c r="C184" s="9" t="s">
        <v>246</v>
      </c>
      <c r="D184" s="9" t="s">
        <v>19</v>
      </c>
      <c r="E184" s="54" t="s">
        <v>255</v>
      </c>
      <c r="F184" s="15">
        <v>1.0</v>
      </c>
      <c r="G184" s="37" t="s">
        <v>65</v>
      </c>
      <c r="H184" s="31" t="e">
        <v>#N/A</v>
      </c>
      <c r="I184" s="31" t="e">
        <v>#N/A</v>
      </c>
      <c r="J184" s="15">
        <v>1.0</v>
      </c>
    </row>
    <row r="185">
      <c r="A185" s="11">
        <v>46137.70485401621</v>
      </c>
      <c r="B185" s="9" t="s">
        <v>256</v>
      </c>
      <c r="C185" s="9" t="s">
        <v>250</v>
      </c>
      <c r="D185" s="9" t="s">
        <v>19</v>
      </c>
      <c r="E185" s="54" t="s">
        <v>122</v>
      </c>
      <c r="F185" s="15">
        <v>1.0</v>
      </c>
      <c r="G185" s="37" t="s">
        <v>65</v>
      </c>
      <c r="H185" s="31" t="e">
        <v>#N/A</v>
      </c>
      <c r="I185" s="31" t="e">
        <v>#N/A</v>
      </c>
      <c r="J185" s="15">
        <v>1.0</v>
      </c>
    </row>
    <row r="186">
      <c r="A186" s="11">
        <v>46137.70768136574</v>
      </c>
      <c r="B186" s="9" t="s">
        <v>72</v>
      </c>
      <c r="C186" s="9" t="s">
        <v>257</v>
      </c>
      <c r="D186" s="37" t="s">
        <v>57</v>
      </c>
      <c r="E186" s="14"/>
      <c r="F186" s="15">
        <v>1.0</v>
      </c>
      <c r="G186" s="37" t="s">
        <v>65</v>
      </c>
      <c r="H186" s="31" t="e">
        <v>#N/A</v>
      </c>
      <c r="I186" s="31" t="e">
        <v>#N/A</v>
      </c>
      <c r="J186" s="15">
        <v>1.0</v>
      </c>
    </row>
    <row r="187">
      <c r="A187" s="11">
        <v>46137.71010311342</v>
      </c>
      <c r="B187" s="9" t="s">
        <v>253</v>
      </c>
      <c r="C187" s="9" t="s">
        <v>142</v>
      </c>
      <c r="D187" s="9" t="s">
        <v>19</v>
      </c>
      <c r="E187" s="14"/>
      <c r="F187" s="15">
        <v>1.0</v>
      </c>
      <c r="G187" s="37" t="s">
        <v>65</v>
      </c>
      <c r="H187" s="31" t="e">
        <v>#N/A</v>
      </c>
      <c r="I187" s="31" t="e">
        <v>#N/A</v>
      </c>
      <c r="J187" s="15">
        <v>1.0</v>
      </c>
    </row>
    <row r="188">
      <c r="A188" s="11">
        <v>46137.713734363424</v>
      </c>
      <c r="B188" s="9" t="s">
        <v>258</v>
      </c>
      <c r="C188" s="9" t="s">
        <v>172</v>
      </c>
      <c r="D188" s="9" t="s">
        <v>19</v>
      </c>
      <c r="E188" s="14"/>
      <c r="F188" s="15">
        <v>1.0</v>
      </c>
      <c r="G188" s="37" t="s">
        <v>65</v>
      </c>
      <c r="H188" s="31" t="e">
        <v>#N/A</v>
      </c>
      <c r="I188" s="31" t="e">
        <v>#N/A</v>
      </c>
      <c r="J188" s="15">
        <v>1.0</v>
      </c>
    </row>
    <row r="189">
      <c r="A189" s="11">
        <v>46137.71762214121</v>
      </c>
      <c r="B189" s="9" t="s">
        <v>254</v>
      </c>
      <c r="C189" s="9" t="s">
        <v>245</v>
      </c>
      <c r="D189" s="9" t="s">
        <v>19</v>
      </c>
      <c r="E189" s="14"/>
      <c r="F189" s="15">
        <v>1.0</v>
      </c>
      <c r="G189" s="37" t="s">
        <v>65</v>
      </c>
      <c r="H189" s="31" t="e">
        <v>#N/A</v>
      </c>
      <c r="I189" s="31" t="e">
        <v>#N/A</v>
      </c>
      <c r="J189" s="15">
        <v>1.0</v>
      </c>
    </row>
    <row r="190">
      <c r="A190" s="11">
        <v>46137.71802755787</v>
      </c>
      <c r="B190" s="9" t="s">
        <v>259</v>
      </c>
      <c r="C190" s="9" t="s">
        <v>191</v>
      </c>
      <c r="D190" s="37" t="s">
        <v>57</v>
      </c>
      <c r="E190" s="54" t="s">
        <v>122</v>
      </c>
      <c r="F190" s="15">
        <v>1.0</v>
      </c>
      <c r="G190" s="37" t="s">
        <v>65</v>
      </c>
      <c r="H190" s="31" t="e">
        <v>#N/A</v>
      </c>
      <c r="I190" s="31" t="e">
        <v>#N/A</v>
      </c>
      <c r="J190" s="15">
        <v>1.0</v>
      </c>
    </row>
    <row r="191">
      <c r="A191" s="11">
        <v>46137.73351831018</v>
      </c>
      <c r="B191" s="9" t="s">
        <v>254</v>
      </c>
      <c r="C191" s="9" t="s">
        <v>229</v>
      </c>
      <c r="D191" s="9" t="s">
        <v>19</v>
      </c>
      <c r="E191" s="14"/>
      <c r="F191" s="15">
        <v>1.0</v>
      </c>
      <c r="G191" s="37" t="s">
        <v>65</v>
      </c>
      <c r="H191" s="31" t="e">
        <v>#N/A</v>
      </c>
      <c r="I191" s="31" t="e">
        <v>#N/A</v>
      </c>
      <c r="J191" s="15">
        <v>1.0</v>
      </c>
    </row>
    <row r="192">
      <c r="A192" s="11">
        <v>46137.737706631946</v>
      </c>
      <c r="B192" s="9" t="s">
        <v>198</v>
      </c>
      <c r="C192" s="9" t="s">
        <v>260</v>
      </c>
      <c r="D192" s="9" t="s">
        <v>19</v>
      </c>
      <c r="E192" s="14"/>
      <c r="F192" s="15">
        <v>1.0</v>
      </c>
      <c r="G192" s="37" t="s">
        <v>65</v>
      </c>
      <c r="H192" s="31" t="e">
        <v>#N/A</v>
      </c>
      <c r="I192" s="31" t="e">
        <v>#N/A</v>
      </c>
      <c r="J192" s="15">
        <v>1.0</v>
      </c>
    </row>
    <row r="193">
      <c r="A193" s="11">
        <v>46137.74111004629</v>
      </c>
      <c r="B193" s="9" t="s">
        <v>259</v>
      </c>
      <c r="C193" s="9" t="s">
        <v>261</v>
      </c>
      <c r="D193" s="37" t="s">
        <v>57</v>
      </c>
      <c r="E193" s="14"/>
      <c r="F193" s="15">
        <v>1.0</v>
      </c>
      <c r="G193" s="37" t="s">
        <v>65</v>
      </c>
      <c r="H193" s="31" t="e">
        <v>#N/A</v>
      </c>
      <c r="I193" s="31" t="e">
        <v>#N/A</v>
      </c>
      <c r="J193" s="15">
        <v>1.0</v>
      </c>
    </row>
    <row r="194">
      <c r="A194" s="11">
        <v>46137.74528379629</v>
      </c>
      <c r="B194" s="9" t="s">
        <v>218</v>
      </c>
      <c r="C194" s="9" t="s">
        <v>246</v>
      </c>
      <c r="D194" s="37" t="s">
        <v>57</v>
      </c>
      <c r="E194" s="14"/>
      <c r="F194" s="15">
        <v>1.0</v>
      </c>
      <c r="G194" s="37" t="s">
        <v>65</v>
      </c>
      <c r="H194" s="31" t="e">
        <v>#N/A</v>
      </c>
      <c r="I194" s="31" t="e">
        <v>#N/A</v>
      </c>
      <c r="J194" s="15">
        <v>1.0</v>
      </c>
    </row>
    <row r="195">
      <c r="A195" s="11">
        <v>46137.75581519676</v>
      </c>
      <c r="B195" s="9" t="s">
        <v>218</v>
      </c>
      <c r="C195" s="9" t="s">
        <v>250</v>
      </c>
      <c r="D195" s="9" t="s">
        <v>19</v>
      </c>
      <c r="E195" s="14"/>
      <c r="F195" s="15">
        <v>1.0</v>
      </c>
      <c r="G195" s="37" t="s">
        <v>65</v>
      </c>
      <c r="H195" s="31" t="e">
        <v>#N/A</v>
      </c>
      <c r="I195" s="31" t="e">
        <v>#N/A</v>
      </c>
      <c r="J195" s="15">
        <v>1.0</v>
      </c>
    </row>
    <row r="196">
      <c r="A196" s="11">
        <v>46137.75960993055</v>
      </c>
      <c r="B196" s="9" t="s">
        <v>233</v>
      </c>
      <c r="C196" s="9" t="s">
        <v>253</v>
      </c>
      <c r="D196" s="37" t="s">
        <v>57</v>
      </c>
      <c r="E196" s="14"/>
      <c r="F196" s="15">
        <v>1.0</v>
      </c>
      <c r="G196" s="37" t="s">
        <v>65</v>
      </c>
      <c r="H196" s="31" t="e">
        <v>#N/A</v>
      </c>
      <c r="I196" s="31" t="e">
        <v>#N/A</v>
      </c>
      <c r="J196" s="15">
        <v>1.0</v>
      </c>
    </row>
    <row r="197">
      <c r="A197" s="11">
        <v>46137.76815039352</v>
      </c>
      <c r="B197" s="9" t="s">
        <v>101</v>
      </c>
      <c r="C197" s="9" t="s">
        <v>261</v>
      </c>
      <c r="D197" s="9" t="s">
        <v>19</v>
      </c>
      <c r="E197" s="54" t="s">
        <v>262</v>
      </c>
      <c r="F197" s="15">
        <v>1.0</v>
      </c>
      <c r="G197" s="37" t="s">
        <v>65</v>
      </c>
      <c r="H197" s="31" t="e">
        <v>#N/A</v>
      </c>
      <c r="I197" s="31" t="e">
        <v>#N/A</v>
      </c>
      <c r="J197" s="15">
        <v>1.0</v>
      </c>
    </row>
    <row r="198">
      <c r="A198" s="11">
        <v>46137.77074633102</v>
      </c>
      <c r="B198" s="9" t="s">
        <v>259</v>
      </c>
      <c r="C198" s="9" t="s">
        <v>257</v>
      </c>
      <c r="D198" s="9" t="s">
        <v>19</v>
      </c>
      <c r="E198" s="54" t="s">
        <v>255</v>
      </c>
      <c r="F198" s="15">
        <v>1.0</v>
      </c>
      <c r="G198" s="37" t="s">
        <v>65</v>
      </c>
      <c r="H198" s="31" t="e">
        <v>#N/A</v>
      </c>
      <c r="I198" s="31" t="e">
        <v>#N/A</v>
      </c>
      <c r="J198" s="15">
        <v>1.0</v>
      </c>
    </row>
    <row r="199">
      <c r="A199" s="11">
        <v>46137.78039421296</v>
      </c>
      <c r="B199" s="9" t="s">
        <v>233</v>
      </c>
      <c r="C199" s="9" t="s">
        <v>260</v>
      </c>
      <c r="D199" s="37" t="s">
        <v>57</v>
      </c>
      <c r="E199" s="14"/>
      <c r="F199" s="15">
        <v>1.0</v>
      </c>
      <c r="G199" s="37" t="s">
        <v>65</v>
      </c>
      <c r="H199" s="31" t="e">
        <v>#N/A</v>
      </c>
      <c r="I199" s="31" t="e">
        <v>#N/A</v>
      </c>
      <c r="J199" s="15">
        <v>1.0</v>
      </c>
    </row>
    <row r="200">
      <c r="A200" s="11">
        <v>46137.782429432875</v>
      </c>
      <c r="B200" s="9" t="s">
        <v>101</v>
      </c>
      <c r="C200" s="9" t="s">
        <v>253</v>
      </c>
      <c r="D200" s="37" t="s">
        <v>57</v>
      </c>
      <c r="E200" s="54" t="s">
        <v>262</v>
      </c>
      <c r="F200" s="15">
        <v>1.0</v>
      </c>
      <c r="G200" s="37" t="s">
        <v>65</v>
      </c>
      <c r="H200" s="31" t="e">
        <v>#N/A</v>
      </c>
      <c r="I200" s="31" t="e">
        <v>#N/A</v>
      </c>
      <c r="J200" s="15">
        <v>1.0</v>
      </c>
    </row>
    <row r="201">
      <c r="A201" s="11">
        <v>46137.78788646991</v>
      </c>
      <c r="B201" s="9" t="s">
        <v>110</v>
      </c>
      <c r="C201" s="9" t="s">
        <v>94</v>
      </c>
      <c r="D201" s="9" t="s">
        <v>19</v>
      </c>
      <c r="E201" s="14"/>
      <c r="F201" s="15">
        <v>1.0</v>
      </c>
      <c r="G201" s="37" t="s">
        <v>65</v>
      </c>
      <c r="H201" s="31" t="e">
        <v>#N/A</v>
      </c>
      <c r="I201" s="31" t="e">
        <v>#N/A</v>
      </c>
      <c r="J201" s="15">
        <v>1.0</v>
      </c>
    </row>
    <row r="202">
      <c r="A202" s="11">
        <v>46137.78881809028</v>
      </c>
      <c r="B202" s="9" t="s">
        <v>89</v>
      </c>
      <c r="C202" s="9" t="s">
        <v>246</v>
      </c>
      <c r="D202" s="37" t="s">
        <v>57</v>
      </c>
      <c r="E202" s="54" t="s">
        <v>122</v>
      </c>
      <c r="F202" s="15">
        <v>1.0</v>
      </c>
      <c r="G202" s="37" t="s">
        <v>65</v>
      </c>
      <c r="H202" s="31" t="e">
        <v>#N/A</v>
      </c>
      <c r="I202" s="31" t="e">
        <v>#N/A</v>
      </c>
      <c r="J202" s="15">
        <v>1.0</v>
      </c>
    </row>
    <row r="203">
      <c r="A203" s="11">
        <v>46137.802896875</v>
      </c>
      <c r="B203" s="9" t="s">
        <v>89</v>
      </c>
      <c r="C203" s="9" t="s">
        <v>233</v>
      </c>
      <c r="D203" s="9" t="s">
        <v>19</v>
      </c>
      <c r="E203" s="54" t="s">
        <v>122</v>
      </c>
      <c r="F203" s="15">
        <v>1.0</v>
      </c>
      <c r="G203" s="37" t="s">
        <v>65</v>
      </c>
      <c r="H203" s="31" t="e">
        <v>#N/A</v>
      </c>
      <c r="I203" s="31" t="e">
        <v>#N/A</v>
      </c>
      <c r="J203" s="15">
        <v>1.0</v>
      </c>
    </row>
    <row r="204">
      <c r="A204" s="11">
        <v>46137.806529803245</v>
      </c>
      <c r="B204" s="9" t="s">
        <v>263</v>
      </c>
      <c r="C204" s="9" t="s">
        <v>264</v>
      </c>
      <c r="D204" s="9" t="s">
        <v>19</v>
      </c>
      <c r="E204" s="54" t="s">
        <v>265</v>
      </c>
      <c r="F204" s="15">
        <v>1.0</v>
      </c>
      <c r="G204" s="37" t="s">
        <v>65</v>
      </c>
      <c r="H204" s="31" t="e">
        <v>#N/A</v>
      </c>
      <c r="I204" s="31" t="e">
        <v>#N/A</v>
      </c>
      <c r="J204" s="15">
        <v>1.0</v>
      </c>
    </row>
    <row r="205">
      <c r="A205" s="11">
        <v>46137.81345878472</v>
      </c>
      <c r="B205" s="9" t="s">
        <v>187</v>
      </c>
      <c r="C205" s="9" t="s">
        <v>134</v>
      </c>
      <c r="D205" s="9" t="s">
        <v>19</v>
      </c>
      <c r="E205" s="14"/>
      <c r="F205" s="15">
        <v>1.0</v>
      </c>
      <c r="G205" s="37" t="s">
        <v>65</v>
      </c>
      <c r="H205" s="31" t="e">
        <v>#N/A</v>
      </c>
      <c r="I205" s="31" t="e">
        <v>#N/A</v>
      </c>
      <c r="J205" s="15">
        <v>1.0</v>
      </c>
    </row>
    <row r="206">
      <c r="A206" s="11">
        <v>46137.820538472224</v>
      </c>
      <c r="B206" s="9" t="s">
        <v>266</v>
      </c>
      <c r="C206" s="9" t="s">
        <v>267</v>
      </c>
      <c r="D206" s="9" t="s">
        <v>19</v>
      </c>
      <c r="E206" s="14"/>
      <c r="F206" s="15">
        <v>1.0</v>
      </c>
      <c r="G206" s="37" t="s">
        <v>65</v>
      </c>
      <c r="H206" s="31" t="e">
        <v>#N/A</v>
      </c>
      <c r="I206" s="31" t="e">
        <v>#N/A</v>
      </c>
      <c r="J206" s="15">
        <v>1.0</v>
      </c>
    </row>
    <row r="207">
      <c r="A207" s="11">
        <v>46137.834401562504</v>
      </c>
      <c r="B207" s="9" t="s">
        <v>253</v>
      </c>
      <c r="C207" s="9" t="s">
        <v>264</v>
      </c>
      <c r="D207" s="9" t="s">
        <v>19</v>
      </c>
      <c r="E207" s="14"/>
      <c r="F207" s="15">
        <v>1.0</v>
      </c>
      <c r="G207" s="37" t="s">
        <v>65</v>
      </c>
      <c r="H207" s="31" t="e">
        <v>#N/A</v>
      </c>
      <c r="I207" s="31" t="e">
        <v>#N/A</v>
      </c>
      <c r="J207" s="15">
        <v>1.0</v>
      </c>
    </row>
    <row r="208">
      <c r="A208" s="11">
        <v>46137.844567569446</v>
      </c>
      <c r="B208" s="9" t="s">
        <v>134</v>
      </c>
      <c r="C208" s="9" t="s">
        <v>152</v>
      </c>
      <c r="D208" s="37" t="s">
        <v>57</v>
      </c>
      <c r="E208" s="14"/>
      <c r="F208" s="15">
        <v>1.0</v>
      </c>
      <c r="G208" s="37" t="s">
        <v>65</v>
      </c>
      <c r="H208" s="31" t="e">
        <v>#N/A</v>
      </c>
      <c r="I208" s="31" t="e">
        <v>#N/A</v>
      </c>
      <c r="J208" s="15">
        <v>1.0</v>
      </c>
    </row>
    <row r="209">
      <c r="A209" s="11">
        <v>46137.85556969907</v>
      </c>
      <c r="B209" s="9" t="s">
        <v>104</v>
      </c>
      <c r="C209" s="9" t="s">
        <v>134</v>
      </c>
      <c r="D209" s="9" t="s">
        <v>19</v>
      </c>
      <c r="E209" s="54" t="s">
        <v>268</v>
      </c>
      <c r="F209" s="15">
        <v>1.0</v>
      </c>
      <c r="G209" s="37" t="s">
        <v>65</v>
      </c>
      <c r="H209" s="31" t="e">
        <v>#N/A</v>
      </c>
      <c r="I209" s="31" t="e">
        <v>#N/A</v>
      </c>
      <c r="J209" s="15">
        <v>1.0</v>
      </c>
    </row>
    <row r="210">
      <c r="A210" s="11">
        <v>46137.85648023148</v>
      </c>
      <c r="B210" s="9" t="s">
        <v>267</v>
      </c>
      <c r="C210" s="9" t="s">
        <v>269</v>
      </c>
      <c r="D210" s="37" t="s">
        <v>57</v>
      </c>
      <c r="E210" s="54" t="s">
        <v>122</v>
      </c>
      <c r="F210" s="15">
        <v>1.0</v>
      </c>
      <c r="G210" s="37" t="s">
        <v>65</v>
      </c>
      <c r="H210" s="31" t="e">
        <v>#N/A</v>
      </c>
      <c r="I210" s="31" t="e">
        <v>#N/A</v>
      </c>
      <c r="J210" s="15">
        <v>1.0</v>
      </c>
    </row>
    <row r="211">
      <c r="A211" s="11">
        <v>46137.863985856486</v>
      </c>
      <c r="B211" s="9" t="s">
        <v>104</v>
      </c>
      <c r="C211" s="9" t="s">
        <v>239</v>
      </c>
      <c r="D211" s="9" t="s">
        <v>19</v>
      </c>
      <c r="E211" s="14"/>
      <c r="F211" s="15">
        <v>1.0</v>
      </c>
      <c r="G211" s="37" t="s">
        <v>65</v>
      </c>
      <c r="H211" s="31" t="e">
        <v>#N/A</v>
      </c>
      <c r="I211" s="31" t="e">
        <v>#N/A</v>
      </c>
      <c r="J211" s="15">
        <v>1.0</v>
      </c>
    </row>
    <row r="212">
      <c r="A212" s="11">
        <v>46137.8699146875</v>
      </c>
      <c r="B212" s="9" t="s">
        <v>264</v>
      </c>
      <c r="C212" s="9" t="s">
        <v>167</v>
      </c>
      <c r="D212" s="37" t="s">
        <v>57</v>
      </c>
      <c r="E212" s="54" t="s">
        <v>270</v>
      </c>
      <c r="F212" s="15">
        <v>1.0</v>
      </c>
      <c r="G212" s="37" t="s">
        <v>65</v>
      </c>
      <c r="H212" s="31" t="e">
        <v>#N/A</v>
      </c>
      <c r="I212" s="31" t="e">
        <v>#N/A</v>
      </c>
      <c r="J212" s="15">
        <v>1.0</v>
      </c>
    </row>
    <row r="213">
      <c r="A213" s="11">
        <v>46137.88210357639</v>
      </c>
      <c r="B213" s="9" t="s">
        <v>231</v>
      </c>
      <c r="C213" s="9" t="s">
        <v>150</v>
      </c>
      <c r="D213" s="9" t="s">
        <v>19</v>
      </c>
      <c r="E213" s="14"/>
      <c r="F213" s="15">
        <v>1.0</v>
      </c>
      <c r="G213" s="37" t="s">
        <v>65</v>
      </c>
      <c r="H213" s="31" t="e">
        <v>#N/A</v>
      </c>
      <c r="I213" s="31" t="e">
        <v>#N/A</v>
      </c>
      <c r="J213" s="15">
        <v>1.0</v>
      </c>
    </row>
    <row r="214">
      <c r="A214" s="11">
        <v>46137.89029079861</v>
      </c>
      <c r="B214" s="9" t="s">
        <v>271</v>
      </c>
      <c r="C214" s="9" t="s">
        <v>186</v>
      </c>
      <c r="D214" s="37" t="s">
        <v>57</v>
      </c>
      <c r="E214" s="54" t="s">
        <v>272</v>
      </c>
      <c r="F214" s="15">
        <v>1.0</v>
      </c>
      <c r="G214" s="37" t="s">
        <v>65</v>
      </c>
      <c r="H214" s="31" t="e">
        <v>#N/A</v>
      </c>
      <c r="I214" s="31" t="e">
        <v>#N/A</v>
      </c>
      <c r="J214" s="15">
        <v>1.0</v>
      </c>
    </row>
    <row r="215">
      <c r="A215" s="11">
        <v>46137.89747292824</v>
      </c>
      <c r="B215" s="9" t="s">
        <v>264</v>
      </c>
      <c r="C215" s="9" t="s">
        <v>152</v>
      </c>
      <c r="D215" s="9" t="s">
        <v>19</v>
      </c>
      <c r="E215" s="54" t="s">
        <v>270</v>
      </c>
      <c r="F215" s="15">
        <v>1.0</v>
      </c>
      <c r="G215" s="37" t="s">
        <v>65</v>
      </c>
      <c r="H215" s="31" t="e">
        <v>#N/A</v>
      </c>
      <c r="I215" s="31" t="e">
        <v>#N/A</v>
      </c>
      <c r="J215" s="15">
        <v>1.0</v>
      </c>
    </row>
    <row r="216">
      <c r="A216" s="11">
        <v>46137.90296570602</v>
      </c>
      <c r="B216" s="9" t="s">
        <v>273</v>
      </c>
      <c r="C216" s="9" t="s">
        <v>274</v>
      </c>
      <c r="D216" s="37" t="s">
        <v>57</v>
      </c>
      <c r="E216" s="14"/>
      <c r="F216" s="15">
        <v>1.0</v>
      </c>
      <c r="G216" s="37" t="s">
        <v>65</v>
      </c>
      <c r="H216" s="31" t="e">
        <v>#N/A</v>
      </c>
      <c r="I216" s="31" t="e">
        <v>#N/A</v>
      </c>
      <c r="J216" s="15">
        <v>1.0</v>
      </c>
    </row>
    <row r="217">
      <c r="A217" s="11">
        <v>46137.90701674769</v>
      </c>
      <c r="B217" s="9" t="s">
        <v>143</v>
      </c>
      <c r="C217" s="9" t="s">
        <v>275</v>
      </c>
      <c r="D217" s="9" t="s">
        <v>19</v>
      </c>
      <c r="E217" s="54" t="s">
        <v>140</v>
      </c>
      <c r="F217" s="15">
        <v>1.0</v>
      </c>
      <c r="G217" s="37" t="s">
        <v>65</v>
      </c>
      <c r="H217" s="31" t="e">
        <v>#N/A</v>
      </c>
      <c r="I217" s="31" t="e">
        <v>#N/A</v>
      </c>
      <c r="J217" s="15">
        <v>1.0</v>
      </c>
    </row>
    <row r="218">
      <c r="A218" s="11">
        <v>46137.916334988426</v>
      </c>
      <c r="B218" s="9" t="s">
        <v>273</v>
      </c>
      <c r="C218" s="9" t="s">
        <v>271</v>
      </c>
      <c r="D218" s="9" t="s">
        <v>19</v>
      </c>
      <c r="E218" s="14"/>
      <c r="F218" s="15">
        <v>1.0</v>
      </c>
      <c r="G218" s="37" t="s">
        <v>65</v>
      </c>
      <c r="H218" s="31" t="e">
        <v>#N/A</v>
      </c>
      <c r="I218" s="31" t="e">
        <v>#N/A</v>
      </c>
      <c r="J218" s="15">
        <v>1.0</v>
      </c>
    </row>
    <row r="219">
      <c r="A219" s="11">
        <v>46137.92000111111</v>
      </c>
      <c r="B219" s="9" t="s">
        <v>104</v>
      </c>
      <c r="C219" s="9" t="s">
        <v>186</v>
      </c>
      <c r="D219" s="9" t="s">
        <v>19</v>
      </c>
      <c r="E219" s="14"/>
      <c r="F219" s="15">
        <v>1.0</v>
      </c>
      <c r="G219" s="37" t="s">
        <v>65</v>
      </c>
      <c r="H219" s="31" t="e">
        <v>#N/A</v>
      </c>
      <c r="I219" s="31" t="e">
        <v>#N/A</v>
      </c>
      <c r="J219" s="15">
        <v>1.0</v>
      </c>
    </row>
    <row r="220">
      <c r="A220" s="11">
        <v>46137.93268288195</v>
      </c>
      <c r="B220" s="9" t="s">
        <v>276</v>
      </c>
      <c r="C220" s="9" t="s">
        <v>275</v>
      </c>
      <c r="D220" s="9" t="s">
        <v>19</v>
      </c>
      <c r="E220" s="14"/>
      <c r="F220" s="15">
        <v>1.0</v>
      </c>
      <c r="G220" s="37" t="s">
        <v>65</v>
      </c>
      <c r="H220" s="31" t="e">
        <v>#N/A</v>
      </c>
      <c r="I220" s="31" t="e">
        <v>#N/A</v>
      </c>
      <c r="J220" s="15">
        <v>1.0</v>
      </c>
    </row>
    <row r="221">
      <c r="A221" s="11">
        <v>46137.93625530093</v>
      </c>
      <c r="B221" s="9" t="s">
        <v>273</v>
      </c>
      <c r="C221" s="9" t="s">
        <v>154</v>
      </c>
      <c r="D221" s="9" t="s">
        <v>19</v>
      </c>
      <c r="E221" s="14"/>
      <c r="F221" s="15">
        <v>1.0</v>
      </c>
      <c r="G221" s="37" t="s">
        <v>65</v>
      </c>
      <c r="H221" s="31" t="e">
        <v>#N/A</v>
      </c>
      <c r="I221" s="31" t="e">
        <v>#N/A</v>
      </c>
      <c r="J221" s="15">
        <v>1.0</v>
      </c>
    </row>
    <row r="222">
      <c r="A222" s="11">
        <v>46137.93922209491</v>
      </c>
      <c r="B222" s="9" t="s">
        <v>264</v>
      </c>
      <c r="C222" s="9" t="s">
        <v>165</v>
      </c>
      <c r="D222" s="9" t="s">
        <v>19</v>
      </c>
      <c r="E222" s="54" t="s">
        <v>270</v>
      </c>
      <c r="F222" s="15">
        <v>1.0</v>
      </c>
      <c r="G222" s="37" t="s">
        <v>65</v>
      </c>
      <c r="H222" s="31" t="e">
        <v>#N/A</v>
      </c>
      <c r="I222" s="31" t="e">
        <v>#N/A</v>
      </c>
      <c r="J222" s="15">
        <v>1.0</v>
      </c>
    </row>
    <row r="223">
      <c r="A223" s="11">
        <v>46137.9456899537</v>
      </c>
      <c r="B223" s="9" t="s">
        <v>218</v>
      </c>
      <c r="C223" s="9" t="s">
        <v>277</v>
      </c>
      <c r="D223" s="9" t="s">
        <v>19</v>
      </c>
      <c r="E223" s="14"/>
      <c r="F223" s="15">
        <v>1.0</v>
      </c>
      <c r="G223" s="37" t="s">
        <v>65</v>
      </c>
      <c r="H223" s="31" t="e">
        <v>#N/A</v>
      </c>
      <c r="I223" s="31" t="e">
        <v>#N/A</v>
      </c>
      <c r="J223" s="15">
        <v>1.0</v>
      </c>
    </row>
    <row r="224">
      <c r="A224" s="11">
        <v>46137.949011296296</v>
      </c>
      <c r="B224" s="9" t="s">
        <v>226</v>
      </c>
      <c r="C224" s="9" t="s">
        <v>276</v>
      </c>
      <c r="D224" s="9" t="s">
        <v>19</v>
      </c>
      <c r="E224" s="54" t="s">
        <v>176</v>
      </c>
      <c r="F224" s="15">
        <v>1.0</v>
      </c>
      <c r="G224" s="37" t="s">
        <v>65</v>
      </c>
      <c r="H224" s="31" t="e">
        <v>#N/A</v>
      </c>
      <c r="I224" s="31" t="e">
        <v>#N/A</v>
      </c>
      <c r="J224" s="15">
        <v>1.0</v>
      </c>
    </row>
    <row r="225">
      <c r="A225" s="11">
        <v>46137.9605065625</v>
      </c>
      <c r="B225" s="9" t="s">
        <v>169</v>
      </c>
      <c r="C225" s="9" t="s">
        <v>273</v>
      </c>
      <c r="D225" s="37" t="s">
        <v>57</v>
      </c>
      <c r="E225" s="14"/>
      <c r="F225" s="15">
        <v>1.0</v>
      </c>
      <c r="G225" s="37" t="s">
        <v>65</v>
      </c>
      <c r="H225" s="31" t="e">
        <v>#N/A</v>
      </c>
      <c r="I225" s="31" t="e">
        <v>#N/A</v>
      </c>
      <c r="J225" s="15">
        <v>1.0</v>
      </c>
    </row>
    <row r="226">
      <c r="A226" s="11">
        <v>46137.96844534722</v>
      </c>
      <c r="B226" s="9" t="s">
        <v>123</v>
      </c>
      <c r="C226" s="9" t="s">
        <v>261</v>
      </c>
      <c r="D226" s="37" t="s">
        <v>57</v>
      </c>
      <c r="E226" s="14"/>
      <c r="F226" s="15">
        <v>1.0</v>
      </c>
      <c r="G226" s="37" t="s">
        <v>65</v>
      </c>
      <c r="H226" s="31" t="e">
        <v>#N/A</v>
      </c>
      <c r="I226" s="31" t="e">
        <v>#N/A</v>
      </c>
      <c r="J226" s="15">
        <v>1.0</v>
      </c>
    </row>
    <row r="227">
      <c r="A227" s="11">
        <v>46137.97379939815</v>
      </c>
      <c r="B227" s="9" t="s">
        <v>218</v>
      </c>
      <c r="C227" s="9" t="s">
        <v>274</v>
      </c>
      <c r="D227" s="37" t="s">
        <v>57</v>
      </c>
      <c r="E227" s="14"/>
      <c r="F227" s="15">
        <v>1.0</v>
      </c>
      <c r="G227" s="37" t="s">
        <v>65</v>
      </c>
      <c r="H227" s="31" t="e">
        <v>#N/A</v>
      </c>
      <c r="I227" s="31" t="e">
        <v>#N/A</v>
      </c>
      <c r="J227" s="15">
        <v>1.0</v>
      </c>
    </row>
    <row r="228">
      <c r="A228" s="11">
        <v>46137.97767020833</v>
      </c>
      <c r="B228" s="9" t="s">
        <v>276</v>
      </c>
      <c r="C228" s="9" t="s">
        <v>169</v>
      </c>
      <c r="D228" s="9" t="s">
        <v>19</v>
      </c>
      <c r="E228" s="14"/>
      <c r="F228" s="15">
        <v>1.0</v>
      </c>
      <c r="G228" s="37" t="s">
        <v>65</v>
      </c>
      <c r="H228" s="31" t="e">
        <v>#N/A</v>
      </c>
      <c r="I228" s="31" t="e">
        <v>#N/A</v>
      </c>
      <c r="J228" s="15">
        <v>1.0</v>
      </c>
    </row>
    <row r="229">
      <c r="A229" s="11">
        <v>46137.97912496528</v>
      </c>
      <c r="B229" s="9" t="s">
        <v>154</v>
      </c>
      <c r="C229" s="9" t="s">
        <v>152</v>
      </c>
      <c r="D229" s="37" t="s">
        <v>57</v>
      </c>
      <c r="E229" s="14"/>
      <c r="F229" s="15">
        <v>1.0</v>
      </c>
      <c r="G229" s="37" t="s">
        <v>65</v>
      </c>
      <c r="H229" s="31" t="e">
        <v>#N/A</v>
      </c>
      <c r="I229" s="31" t="e">
        <v>#N/A</v>
      </c>
      <c r="J229" s="15">
        <v>1.0</v>
      </c>
    </row>
    <row r="230">
      <c r="A230" s="11">
        <v>46138.010630324075</v>
      </c>
      <c r="B230" s="9" t="s">
        <v>266</v>
      </c>
      <c r="C230" s="9" t="s">
        <v>227</v>
      </c>
      <c r="D230" s="9" t="s">
        <v>19</v>
      </c>
      <c r="E230" s="14"/>
      <c r="F230" s="15">
        <v>1.0</v>
      </c>
      <c r="G230" s="37" t="s">
        <v>65</v>
      </c>
      <c r="H230" s="31" t="e">
        <v>#N/A</v>
      </c>
      <c r="I230" s="31" t="e">
        <v>#N/A</v>
      </c>
      <c r="J230" s="15">
        <v>1.0</v>
      </c>
    </row>
    <row r="231">
      <c r="A231" s="11">
        <v>46138.036057986115</v>
      </c>
      <c r="B231" s="9" t="s">
        <v>190</v>
      </c>
      <c r="C231" s="9" t="s">
        <v>278</v>
      </c>
      <c r="D231" s="9" t="s">
        <v>19</v>
      </c>
      <c r="E231" s="54" t="s">
        <v>102</v>
      </c>
      <c r="F231" s="15">
        <v>1.0</v>
      </c>
      <c r="G231" s="37" t="s">
        <v>65</v>
      </c>
      <c r="H231" s="31" t="e">
        <v>#N/A</v>
      </c>
      <c r="I231" s="31" t="e">
        <v>#N/A</v>
      </c>
      <c r="J231" s="15">
        <v>1.0</v>
      </c>
    </row>
    <row r="232">
      <c r="A232" s="11">
        <v>46138.03862341435</v>
      </c>
      <c r="B232" s="9" t="s">
        <v>279</v>
      </c>
      <c r="C232" s="9" t="s">
        <v>280</v>
      </c>
      <c r="D232" s="9" t="s">
        <v>19</v>
      </c>
      <c r="E232" s="14"/>
      <c r="F232" s="15">
        <v>1.0</v>
      </c>
      <c r="G232" s="37" t="s">
        <v>65</v>
      </c>
      <c r="H232" s="31" t="e">
        <v>#N/A</v>
      </c>
      <c r="I232" s="31" t="e">
        <v>#N/A</v>
      </c>
      <c r="J232" s="15">
        <v>1.0</v>
      </c>
    </row>
    <row r="233">
      <c r="A233" s="11">
        <v>46138.04242525463</v>
      </c>
      <c r="B233" s="9" t="s">
        <v>266</v>
      </c>
      <c r="C233" s="9" t="s">
        <v>169</v>
      </c>
      <c r="D233" s="37" t="s">
        <v>57</v>
      </c>
      <c r="E233" s="14"/>
      <c r="F233" s="15">
        <v>1.0</v>
      </c>
      <c r="G233" s="37" t="s">
        <v>65</v>
      </c>
      <c r="H233" s="31" t="e">
        <v>#N/A</v>
      </c>
      <c r="I233" s="31" t="e">
        <v>#N/A</v>
      </c>
      <c r="J233" s="15">
        <v>1.0</v>
      </c>
    </row>
    <row r="234">
      <c r="A234" s="11">
        <v>46138.07552751157</v>
      </c>
      <c r="B234" s="9" t="s">
        <v>195</v>
      </c>
      <c r="C234" s="9" t="s">
        <v>95</v>
      </c>
      <c r="D234" s="9" t="s">
        <v>19</v>
      </c>
      <c r="E234" s="14"/>
      <c r="F234" s="15">
        <v>1.0</v>
      </c>
      <c r="G234" s="37" t="s">
        <v>65</v>
      </c>
      <c r="H234" s="31" t="e">
        <v>#N/A</v>
      </c>
      <c r="I234" s="31" t="e">
        <v>#N/A</v>
      </c>
      <c r="J234" s="15">
        <v>1.0</v>
      </c>
    </row>
    <row r="235">
      <c r="A235" s="11">
        <v>46138.10535244213</v>
      </c>
      <c r="B235" s="9" t="s">
        <v>281</v>
      </c>
      <c r="C235" s="9" t="s">
        <v>195</v>
      </c>
      <c r="D235" s="9" t="s">
        <v>19</v>
      </c>
      <c r="E235" s="14"/>
      <c r="F235" s="15">
        <v>1.0</v>
      </c>
      <c r="G235" s="37" t="s">
        <v>65</v>
      </c>
      <c r="H235" s="31" t="e">
        <v>#N/A</v>
      </c>
      <c r="I235" s="31" t="e">
        <v>#N/A</v>
      </c>
      <c r="J235" s="15">
        <v>1.0</v>
      </c>
    </row>
    <row r="236">
      <c r="A236" s="11">
        <v>46138.125866180555</v>
      </c>
      <c r="B236" s="9" t="s">
        <v>281</v>
      </c>
      <c r="C236" s="9" t="s">
        <v>187</v>
      </c>
      <c r="D236" s="9" t="s">
        <v>19</v>
      </c>
      <c r="E236" s="14"/>
      <c r="F236" s="15">
        <v>1.0</v>
      </c>
      <c r="G236" s="37" t="s">
        <v>65</v>
      </c>
      <c r="H236" s="31" t="e">
        <v>#N/A</v>
      </c>
      <c r="I236" s="31" t="e">
        <v>#N/A</v>
      </c>
      <c r="J236" s="15">
        <v>1.0</v>
      </c>
    </row>
    <row r="237">
      <c r="A237" s="11">
        <v>46138.15728027778</v>
      </c>
      <c r="B237" s="9" t="s">
        <v>187</v>
      </c>
      <c r="C237" s="9" t="s">
        <v>282</v>
      </c>
      <c r="D237" s="9" t="s">
        <v>19</v>
      </c>
      <c r="E237" s="54" t="s">
        <v>283</v>
      </c>
      <c r="F237" s="15">
        <v>1.0</v>
      </c>
      <c r="G237" s="37" t="s">
        <v>65</v>
      </c>
      <c r="H237" s="31" t="e">
        <v>#N/A</v>
      </c>
      <c r="I237" s="31" t="e">
        <v>#N/A</v>
      </c>
      <c r="J237" s="15">
        <v>1.0</v>
      </c>
    </row>
    <row r="238">
      <c r="A238" s="11">
        <v>46138.16798658565</v>
      </c>
      <c r="B238" s="9" t="s">
        <v>284</v>
      </c>
      <c r="C238" s="9" t="s">
        <v>185</v>
      </c>
      <c r="D238" s="37" t="s">
        <v>57</v>
      </c>
      <c r="E238" s="54" t="s">
        <v>285</v>
      </c>
      <c r="F238" s="15">
        <v>1.0</v>
      </c>
      <c r="G238" s="37" t="s">
        <v>65</v>
      </c>
      <c r="H238" s="31" t="e">
        <v>#N/A</v>
      </c>
      <c r="I238" s="31" t="e">
        <v>#N/A</v>
      </c>
      <c r="J238" s="15">
        <v>1.0</v>
      </c>
    </row>
    <row r="239">
      <c r="A239" s="11">
        <v>46138.22167532408</v>
      </c>
      <c r="B239" s="9" t="s">
        <v>79</v>
      </c>
      <c r="C239" s="9" t="s">
        <v>282</v>
      </c>
      <c r="D239" s="9" t="s">
        <v>19</v>
      </c>
      <c r="E239" s="14"/>
      <c r="F239" s="15">
        <v>1.0</v>
      </c>
      <c r="G239" s="37" t="s">
        <v>65</v>
      </c>
      <c r="H239" s="31" t="e">
        <v>#N/A</v>
      </c>
      <c r="I239" s="31" t="e">
        <v>#N/A</v>
      </c>
      <c r="J239" s="15">
        <v>1.0</v>
      </c>
    </row>
    <row r="240">
      <c r="A240" s="11">
        <v>46138.25317979167</v>
      </c>
      <c r="B240" s="9" t="s">
        <v>79</v>
      </c>
      <c r="C240" s="9" t="s">
        <v>284</v>
      </c>
      <c r="D240" s="9" t="s">
        <v>19</v>
      </c>
      <c r="E240" s="14"/>
      <c r="F240" s="15">
        <v>1.0</v>
      </c>
      <c r="G240" s="37" t="s">
        <v>65</v>
      </c>
      <c r="H240" s="31" t="e">
        <v>#N/A</v>
      </c>
      <c r="I240" s="31" t="e">
        <v>#N/A</v>
      </c>
      <c r="J240" s="15">
        <v>1.0</v>
      </c>
    </row>
    <row r="241">
      <c r="A241" s="11">
        <v>46138.31481241898</v>
      </c>
      <c r="B241" s="9" t="s">
        <v>79</v>
      </c>
      <c r="C241" s="9" t="s">
        <v>286</v>
      </c>
      <c r="D241" s="9" t="s">
        <v>19</v>
      </c>
      <c r="E241" s="14"/>
      <c r="F241" s="15">
        <v>1.0</v>
      </c>
      <c r="G241" s="37" t="s">
        <v>65</v>
      </c>
      <c r="H241" s="31" t="e">
        <v>#N/A</v>
      </c>
      <c r="I241" s="31" t="e">
        <v>#N/A</v>
      </c>
      <c r="J241" s="15">
        <v>1.0</v>
      </c>
    </row>
    <row r="242">
      <c r="A242" s="11">
        <v>46138.33166555555</v>
      </c>
      <c r="B242" s="9" t="s">
        <v>282</v>
      </c>
      <c r="C242" s="9" t="s">
        <v>61</v>
      </c>
      <c r="D242" s="9" t="s">
        <v>19</v>
      </c>
      <c r="E242" s="14"/>
      <c r="F242" s="15">
        <v>1.0</v>
      </c>
      <c r="G242" s="37" t="s">
        <v>65</v>
      </c>
      <c r="H242" s="31" t="e">
        <v>#N/A</v>
      </c>
      <c r="I242" s="31" t="e">
        <v>#N/A</v>
      </c>
      <c r="J242" s="15">
        <v>1.0</v>
      </c>
    </row>
    <row r="243">
      <c r="A243" s="11">
        <v>46138.3323059838</v>
      </c>
      <c r="B243" s="9" t="s">
        <v>254</v>
      </c>
      <c r="C243" s="9" t="s">
        <v>286</v>
      </c>
      <c r="D243" s="9" t="s">
        <v>19</v>
      </c>
      <c r="E243" s="14"/>
      <c r="F243" s="15">
        <v>1.0</v>
      </c>
      <c r="G243" s="37" t="s">
        <v>65</v>
      </c>
      <c r="H243" s="31" t="e">
        <v>#N/A</v>
      </c>
      <c r="I243" s="31" t="e">
        <v>#N/A</v>
      </c>
      <c r="J243" s="15">
        <v>1.0</v>
      </c>
    </row>
    <row r="244">
      <c r="A244" s="11">
        <v>46138.37169356481</v>
      </c>
      <c r="B244" s="9" t="s">
        <v>287</v>
      </c>
      <c r="C244" s="9" t="s">
        <v>237</v>
      </c>
      <c r="D244" s="37" t="s">
        <v>57</v>
      </c>
      <c r="E244" s="54" t="s">
        <v>140</v>
      </c>
      <c r="F244" s="15">
        <v>1.0</v>
      </c>
      <c r="G244" s="37" t="s">
        <v>65</v>
      </c>
      <c r="H244" s="31" t="e">
        <v>#N/A</v>
      </c>
      <c r="I244" s="31" t="e">
        <v>#N/A</v>
      </c>
      <c r="J244" s="15">
        <v>1.0</v>
      </c>
    </row>
    <row r="245">
      <c r="A245" s="11">
        <v>46138.37714777778</v>
      </c>
      <c r="B245" s="9" t="s">
        <v>254</v>
      </c>
      <c r="C245" s="9" t="s">
        <v>61</v>
      </c>
      <c r="D245" s="37" t="s">
        <v>57</v>
      </c>
      <c r="E245" s="14"/>
      <c r="F245" s="15">
        <v>1.0</v>
      </c>
      <c r="G245" s="37" t="s">
        <v>65</v>
      </c>
      <c r="H245" s="31" t="e">
        <v>#N/A</v>
      </c>
      <c r="I245" s="31" t="e">
        <v>#N/A</v>
      </c>
      <c r="J245" s="15">
        <v>1.0</v>
      </c>
    </row>
    <row r="246">
      <c r="A246" s="11">
        <v>46138.38734347222</v>
      </c>
      <c r="B246" s="9" t="s">
        <v>288</v>
      </c>
      <c r="C246" s="9" t="s">
        <v>273</v>
      </c>
      <c r="D246" s="37" t="s">
        <v>57</v>
      </c>
      <c r="E246" s="14"/>
      <c r="F246" s="15">
        <v>1.0</v>
      </c>
      <c r="G246" s="37" t="s">
        <v>65</v>
      </c>
      <c r="H246" s="31" t="e">
        <v>#N/A</v>
      </c>
      <c r="I246" s="31" t="e">
        <v>#N/A</v>
      </c>
      <c r="J246" s="15">
        <v>1.0</v>
      </c>
    </row>
    <row r="247">
      <c r="A247" s="11">
        <v>46138.39683844907</v>
      </c>
      <c r="B247" s="9" t="s">
        <v>279</v>
      </c>
      <c r="C247" s="9" t="s">
        <v>161</v>
      </c>
      <c r="D247" s="9" t="s">
        <v>19</v>
      </c>
      <c r="E247" s="14"/>
      <c r="F247" s="15">
        <v>1.0</v>
      </c>
      <c r="G247" s="37" t="s">
        <v>65</v>
      </c>
      <c r="H247" s="31" t="e">
        <v>#N/A</v>
      </c>
      <c r="I247" s="31" t="e">
        <v>#N/A</v>
      </c>
      <c r="J247" s="15">
        <v>1.0</v>
      </c>
    </row>
    <row r="248">
      <c r="A248" s="11">
        <v>46138.41143637731</v>
      </c>
      <c r="B248" s="9" t="s">
        <v>287</v>
      </c>
      <c r="C248" s="9" t="s">
        <v>288</v>
      </c>
      <c r="D248" s="37" t="s">
        <v>57</v>
      </c>
      <c r="E248" s="54" t="s">
        <v>140</v>
      </c>
      <c r="F248" s="15">
        <v>1.0</v>
      </c>
      <c r="G248" s="37" t="s">
        <v>65</v>
      </c>
      <c r="H248" s="31" t="e">
        <v>#N/A</v>
      </c>
      <c r="I248" s="31" t="e">
        <v>#N/A</v>
      </c>
      <c r="J248" s="15">
        <v>1.0</v>
      </c>
    </row>
    <row r="249">
      <c r="A249" s="11">
        <v>46138.41768728009</v>
      </c>
      <c r="B249" s="9" t="s">
        <v>282</v>
      </c>
      <c r="C249" s="9" t="s">
        <v>279</v>
      </c>
      <c r="D249" s="9" t="s">
        <v>19</v>
      </c>
      <c r="E249" s="14"/>
      <c r="F249" s="15">
        <v>1.0</v>
      </c>
      <c r="G249" s="37" t="s">
        <v>65</v>
      </c>
      <c r="H249" s="31" t="e">
        <v>#N/A</v>
      </c>
      <c r="I249" s="31" t="e">
        <v>#N/A</v>
      </c>
      <c r="J249" s="15">
        <v>1.0</v>
      </c>
    </row>
    <row r="250">
      <c r="A250" s="11">
        <v>46138.41973019676</v>
      </c>
      <c r="B250" s="9" t="s">
        <v>261</v>
      </c>
      <c r="C250" s="9" t="s">
        <v>274</v>
      </c>
      <c r="D250" s="9" t="s">
        <v>19</v>
      </c>
      <c r="E250" s="14"/>
      <c r="F250" s="15">
        <v>1.0</v>
      </c>
      <c r="G250" s="37" t="s">
        <v>65</v>
      </c>
      <c r="H250" s="31" t="e">
        <v>#N/A</v>
      </c>
      <c r="I250" s="31" t="e">
        <v>#N/A</v>
      </c>
      <c r="J250" s="15">
        <v>1.0</v>
      </c>
    </row>
    <row r="251">
      <c r="A251" s="11">
        <v>46138.42736256945</v>
      </c>
      <c r="B251" s="9" t="s">
        <v>287</v>
      </c>
      <c r="C251" s="9" t="s">
        <v>277</v>
      </c>
      <c r="D251" s="37" t="s">
        <v>57</v>
      </c>
      <c r="E251" s="54" t="s">
        <v>140</v>
      </c>
      <c r="F251" s="15">
        <v>1.0</v>
      </c>
      <c r="G251" s="37" t="s">
        <v>65</v>
      </c>
      <c r="H251" s="31" t="e">
        <v>#N/A</v>
      </c>
      <c r="I251" s="31" t="e">
        <v>#N/A</v>
      </c>
      <c r="J251" s="15">
        <v>1.0</v>
      </c>
    </row>
    <row r="252">
      <c r="A252" s="11">
        <v>46138.434309965276</v>
      </c>
      <c r="B252" s="9" t="s">
        <v>289</v>
      </c>
      <c r="C252" s="9" t="s">
        <v>100</v>
      </c>
      <c r="D252" s="9" t="s">
        <v>19</v>
      </c>
      <c r="E252" s="14"/>
      <c r="F252" s="15">
        <v>1.0</v>
      </c>
      <c r="G252" s="37" t="s">
        <v>65</v>
      </c>
      <c r="H252" s="31" t="e">
        <v>#N/A</v>
      </c>
      <c r="I252" s="31" t="e">
        <v>#N/A</v>
      </c>
      <c r="J252" s="15">
        <v>1.0</v>
      </c>
    </row>
    <row r="253">
      <c r="A253" s="11">
        <v>46138.44996745371</v>
      </c>
      <c r="B253" s="9" t="s">
        <v>287</v>
      </c>
      <c r="C253" s="9" t="s">
        <v>261</v>
      </c>
      <c r="D253" s="9" t="s">
        <v>19</v>
      </c>
      <c r="E253" s="54" t="s">
        <v>140</v>
      </c>
      <c r="F253" s="15">
        <v>1.0</v>
      </c>
      <c r="G253" s="37" t="s">
        <v>65</v>
      </c>
      <c r="H253" s="31" t="e">
        <v>#N/A</v>
      </c>
      <c r="I253" s="31" t="e">
        <v>#N/A</v>
      </c>
      <c r="J253" s="15">
        <v>1.0</v>
      </c>
    </row>
    <row r="254">
      <c r="A254" s="11">
        <v>46138.4540215625</v>
      </c>
      <c r="B254" s="9" t="s">
        <v>83</v>
      </c>
      <c r="C254" s="9" t="s">
        <v>289</v>
      </c>
      <c r="D254" s="37" t="s">
        <v>57</v>
      </c>
      <c r="E254" s="54" t="s">
        <v>122</v>
      </c>
      <c r="F254" s="15">
        <v>1.0</v>
      </c>
      <c r="G254" s="37" t="s">
        <v>65</v>
      </c>
      <c r="H254" s="31" t="e">
        <v>#N/A</v>
      </c>
      <c r="I254" s="31" t="e">
        <v>#N/A</v>
      </c>
      <c r="J254" s="15">
        <v>1.0</v>
      </c>
    </row>
    <row r="255">
      <c r="A255" s="11">
        <v>46138.456588078705</v>
      </c>
      <c r="B255" s="9" t="s">
        <v>282</v>
      </c>
      <c r="C255" s="9" t="s">
        <v>204</v>
      </c>
      <c r="D255" s="37" t="s">
        <v>57</v>
      </c>
      <c r="E255" s="14"/>
      <c r="F255" s="15">
        <v>1.0</v>
      </c>
      <c r="G255" s="37" t="s">
        <v>65</v>
      </c>
      <c r="H255" s="31" t="e">
        <v>#N/A</v>
      </c>
      <c r="I255" s="31" t="e">
        <v>#N/A</v>
      </c>
      <c r="J255" s="15">
        <v>1.0</v>
      </c>
    </row>
    <row r="256">
      <c r="A256" s="11">
        <v>46138.46018292824</v>
      </c>
      <c r="B256" s="9" t="s">
        <v>168</v>
      </c>
      <c r="C256" s="9" t="s">
        <v>277</v>
      </c>
      <c r="D256" s="9" t="s">
        <v>19</v>
      </c>
      <c r="E256" s="54" t="s">
        <v>222</v>
      </c>
      <c r="F256" s="15">
        <v>1.0</v>
      </c>
      <c r="G256" s="37" t="s">
        <v>65</v>
      </c>
      <c r="H256" s="31" t="e">
        <v>#N/A</v>
      </c>
      <c r="I256" s="31" t="e">
        <v>#N/A</v>
      </c>
      <c r="J256" s="15">
        <v>1.0</v>
      </c>
    </row>
    <row r="257">
      <c r="A257" s="11">
        <v>46138.48596181713</v>
      </c>
      <c r="B257" s="9" t="s">
        <v>204</v>
      </c>
      <c r="C257" s="9" t="s">
        <v>277</v>
      </c>
      <c r="D257" s="37" t="s">
        <v>57</v>
      </c>
      <c r="E257" s="54" t="s">
        <v>206</v>
      </c>
      <c r="F257" s="15">
        <v>1.0</v>
      </c>
      <c r="G257" s="37" t="s">
        <v>65</v>
      </c>
      <c r="H257" s="31" t="e">
        <v>#N/A</v>
      </c>
      <c r="I257" s="31" t="e">
        <v>#N/A</v>
      </c>
      <c r="J257" s="15">
        <v>1.0</v>
      </c>
    </row>
    <row r="258">
      <c r="A258" s="11">
        <v>46138.51504059028</v>
      </c>
      <c r="B258" s="9" t="s">
        <v>158</v>
      </c>
      <c r="C258" s="9" t="s">
        <v>279</v>
      </c>
      <c r="D258" s="9" t="s">
        <v>19</v>
      </c>
      <c r="E258" s="14"/>
      <c r="F258" s="15">
        <v>1.0</v>
      </c>
      <c r="G258" s="37" t="s">
        <v>65</v>
      </c>
      <c r="H258" s="31" t="e">
        <v>#N/A</v>
      </c>
      <c r="I258" s="31" t="e">
        <v>#N/A</v>
      </c>
      <c r="J258" s="15">
        <v>1.0</v>
      </c>
    </row>
    <row r="259">
      <c r="A259" s="11">
        <v>46138.51612071759</v>
      </c>
      <c r="B259" s="9" t="s">
        <v>290</v>
      </c>
      <c r="C259" s="9" t="s">
        <v>247</v>
      </c>
      <c r="D259" s="9" t="s">
        <v>19</v>
      </c>
      <c r="E259" s="54" t="s">
        <v>140</v>
      </c>
      <c r="F259" s="15">
        <v>1.0</v>
      </c>
      <c r="G259" s="37" t="s">
        <v>65</v>
      </c>
      <c r="H259" s="31" t="e">
        <v>#N/A</v>
      </c>
      <c r="I259" s="31" t="e">
        <v>#N/A</v>
      </c>
      <c r="J259" s="15">
        <v>1.0</v>
      </c>
    </row>
    <row r="260">
      <c r="A260" s="11">
        <v>46138.55137638889</v>
      </c>
      <c r="B260" s="9" t="s">
        <v>166</v>
      </c>
      <c r="C260" s="9" t="s">
        <v>247</v>
      </c>
      <c r="D260" s="37" t="s">
        <v>57</v>
      </c>
      <c r="E260" s="54" t="s">
        <v>122</v>
      </c>
      <c r="F260" s="15">
        <v>1.0</v>
      </c>
      <c r="G260" s="37" t="s">
        <v>65</v>
      </c>
      <c r="H260" s="31" t="e">
        <v>#N/A</v>
      </c>
      <c r="I260" s="31" t="e">
        <v>#N/A</v>
      </c>
      <c r="J260" s="15">
        <v>1.0</v>
      </c>
    </row>
    <row r="261">
      <c r="A261" s="11">
        <v>46138.55218296296</v>
      </c>
      <c r="B261" s="9" t="s">
        <v>290</v>
      </c>
      <c r="C261" s="9" t="s">
        <v>291</v>
      </c>
      <c r="D261" s="9" t="s">
        <v>19</v>
      </c>
      <c r="E261" s="54" t="s">
        <v>140</v>
      </c>
      <c r="F261" s="15">
        <v>1.0</v>
      </c>
      <c r="G261" s="37" t="s">
        <v>65</v>
      </c>
      <c r="H261" s="31" t="e">
        <v>#N/A</v>
      </c>
      <c r="I261" s="31" t="e">
        <v>#N/A</v>
      </c>
      <c r="J261" s="15">
        <v>1.0</v>
      </c>
    </row>
    <row r="262">
      <c r="A262" s="11">
        <v>46138.56555027778</v>
      </c>
      <c r="B262" s="9" t="s">
        <v>208</v>
      </c>
      <c r="C262" s="9" t="s">
        <v>109</v>
      </c>
      <c r="D262" s="37" t="s">
        <v>57</v>
      </c>
      <c r="E262" s="14"/>
      <c r="F262" s="15">
        <v>1.0</v>
      </c>
      <c r="G262" s="37" t="s">
        <v>65</v>
      </c>
      <c r="H262" s="31" t="e">
        <v>#N/A</v>
      </c>
      <c r="I262" s="31" t="e">
        <v>#N/A</v>
      </c>
      <c r="J262" s="15">
        <v>1.0</v>
      </c>
    </row>
    <row r="263">
      <c r="A263" s="11">
        <v>46138.56853636574</v>
      </c>
      <c r="B263" s="9" t="s">
        <v>247</v>
      </c>
      <c r="C263" s="9" t="s">
        <v>292</v>
      </c>
      <c r="D263" s="9" t="s">
        <v>19</v>
      </c>
      <c r="E263" s="54" t="s">
        <v>140</v>
      </c>
      <c r="F263" s="15">
        <v>1.0</v>
      </c>
      <c r="G263" s="37" t="s">
        <v>65</v>
      </c>
      <c r="H263" s="31" t="e">
        <v>#N/A</v>
      </c>
      <c r="I263" s="31" t="e">
        <v>#N/A</v>
      </c>
      <c r="J263" s="15">
        <v>1.0</v>
      </c>
    </row>
    <row r="264">
      <c r="A264" s="11">
        <v>46138.59453800926</v>
      </c>
      <c r="B264" s="9" t="s">
        <v>166</v>
      </c>
      <c r="C264" s="9" t="s">
        <v>292</v>
      </c>
      <c r="D264" s="9" t="s">
        <v>19</v>
      </c>
      <c r="E264" s="54" t="s">
        <v>122</v>
      </c>
      <c r="F264" s="15">
        <v>1.0</v>
      </c>
      <c r="G264" s="37" t="s">
        <v>65</v>
      </c>
      <c r="H264" s="31" t="e">
        <v>#N/A</v>
      </c>
      <c r="I264" s="31" t="e">
        <v>#N/A</v>
      </c>
      <c r="J264" s="15">
        <v>1.0</v>
      </c>
    </row>
    <row r="265">
      <c r="A265" s="11">
        <v>46138.59529936343</v>
      </c>
      <c r="B265" s="9" t="s">
        <v>293</v>
      </c>
      <c r="C265" s="9" t="s">
        <v>291</v>
      </c>
      <c r="D265" s="37" t="s">
        <v>57</v>
      </c>
      <c r="E265" s="14"/>
      <c r="F265" s="15">
        <v>1.0</v>
      </c>
      <c r="G265" s="37" t="s">
        <v>65</v>
      </c>
      <c r="H265" s="31" t="e">
        <v>#N/A</v>
      </c>
      <c r="I265" s="31" t="e">
        <v>#N/A</v>
      </c>
      <c r="J265" s="15">
        <v>1.0</v>
      </c>
    </row>
    <row r="266">
      <c r="A266" s="11">
        <v>46138.59698633102</v>
      </c>
      <c r="B266" s="9" t="s">
        <v>256</v>
      </c>
      <c r="C266" s="9" t="s">
        <v>294</v>
      </c>
      <c r="D266" s="37" t="s">
        <v>57</v>
      </c>
      <c r="E266" s="54" t="s">
        <v>295</v>
      </c>
      <c r="F266" s="15">
        <v>1.0</v>
      </c>
      <c r="G266" s="37" t="s">
        <v>65</v>
      </c>
      <c r="H266" s="31" t="e">
        <v>#N/A</v>
      </c>
      <c r="I266" s="31" t="e">
        <v>#N/A</v>
      </c>
      <c r="J266" s="15">
        <v>1.0</v>
      </c>
    </row>
    <row r="267">
      <c r="A267" s="11">
        <v>46138.6048291551</v>
      </c>
      <c r="B267" s="9" t="s">
        <v>165</v>
      </c>
      <c r="C267" s="9" t="s">
        <v>247</v>
      </c>
      <c r="D267" s="37" t="s">
        <v>57</v>
      </c>
      <c r="E267" s="14"/>
      <c r="F267" s="15">
        <v>1.0</v>
      </c>
      <c r="G267" s="37" t="s">
        <v>65</v>
      </c>
      <c r="H267" s="31" t="e">
        <v>#N/A</v>
      </c>
      <c r="I267" s="31" t="e">
        <v>#N/A</v>
      </c>
      <c r="J267" s="15">
        <v>1.0</v>
      </c>
    </row>
    <row r="268">
      <c r="A268" s="11">
        <v>46138.617495046296</v>
      </c>
      <c r="B268" s="9" t="s">
        <v>288</v>
      </c>
      <c r="C268" s="9" t="s">
        <v>187</v>
      </c>
      <c r="D268" s="37" t="s">
        <v>57</v>
      </c>
      <c r="E268" s="14"/>
      <c r="F268" s="15">
        <v>1.0</v>
      </c>
      <c r="G268" s="37" t="s">
        <v>65</v>
      </c>
      <c r="H268" s="31" t="e">
        <v>#N/A</v>
      </c>
      <c r="I268" s="31" t="e">
        <v>#N/A</v>
      </c>
      <c r="J268" s="15">
        <v>1.0</v>
      </c>
    </row>
    <row r="269">
      <c r="A269" s="11">
        <v>46138.63079729167</v>
      </c>
      <c r="B269" s="9" t="s">
        <v>132</v>
      </c>
      <c r="C269" s="9" t="s">
        <v>288</v>
      </c>
      <c r="D269" s="9" t="s">
        <v>19</v>
      </c>
      <c r="E269" s="14"/>
      <c r="F269" s="15">
        <v>1.0</v>
      </c>
      <c r="G269" s="37" t="s">
        <v>65</v>
      </c>
      <c r="H269" s="31" t="e">
        <v>#N/A</v>
      </c>
      <c r="I269" s="31" t="e">
        <v>#N/A</v>
      </c>
      <c r="J269" s="15">
        <v>1.0</v>
      </c>
    </row>
    <row r="270">
      <c r="A270" s="11">
        <v>46138.63261475695</v>
      </c>
      <c r="B270" s="9" t="s">
        <v>131</v>
      </c>
      <c r="C270" s="9" t="s">
        <v>294</v>
      </c>
      <c r="D270" s="37" t="s">
        <v>57</v>
      </c>
      <c r="E270" s="14"/>
      <c r="F270" s="15">
        <v>1.0</v>
      </c>
      <c r="G270" s="37" t="s">
        <v>65</v>
      </c>
      <c r="H270" s="31" t="e">
        <v>#N/A</v>
      </c>
      <c r="I270" s="31" t="e">
        <v>#N/A</v>
      </c>
      <c r="J270" s="15">
        <v>1.0</v>
      </c>
    </row>
    <row r="271">
      <c r="A271" s="11">
        <v>46138.63384375</v>
      </c>
      <c r="B271" s="9" t="s">
        <v>165</v>
      </c>
      <c r="C271" s="9" t="s">
        <v>256</v>
      </c>
      <c r="D271" s="9" t="s">
        <v>19</v>
      </c>
      <c r="E271" s="14"/>
      <c r="F271" s="15">
        <v>1.0</v>
      </c>
      <c r="G271" s="37" t="s">
        <v>65</v>
      </c>
      <c r="H271" s="31" t="e">
        <v>#N/A</v>
      </c>
      <c r="I271" s="31" t="e">
        <v>#N/A</v>
      </c>
      <c r="J271" s="15">
        <v>1.0</v>
      </c>
    </row>
    <row r="272">
      <c r="A272" s="11">
        <v>46138.64425725694</v>
      </c>
      <c r="B272" s="9" t="s">
        <v>296</v>
      </c>
      <c r="C272" s="9" t="s">
        <v>288</v>
      </c>
      <c r="D272" s="9" t="s">
        <v>19</v>
      </c>
      <c r="E272" s="14"/>
      <c r="F272" s="15">
        <v>1.0</v>
      </c>
      <c r="G272" s="37" t="s">
        <v>65</v>
      </c>
      <c r="H272" s="31" t="e">
        <v>#N/A</v>
      </c>
      <c r="I272" s="31" t="e">
        <v>#N/A</v>
      </c>
      <c r="J272" s="15">
        <v>1.0</v>
      </c>
    </row>
    <row r="273">
      <c r="A273" s="11">
        <v>46138.64483118056</v>
      </c>
      <c r="B273" s="9" t="s">
        <v>219</v>
      </c>
      <c r="C273" s="9" t="s">
        <v>181</v>
      </c>
      <c r="D273" s="9" t="s">
        <v>19</v>
      </c>
      <c r="E273" s="14"/>
      <c r="F273" s="15">
        <v>1.0</v>
      </c>
      <c r="G273" s="37" t="s">
        <v>65</v>
      </c>
      <c r="H273" s="31" t="e">
        <v>#N/A</v>
      </c>
      <c r="I273" s="31" t="e">
        <v>#N/A</v>
      </c>
      <c r="J273" s="15">
        <v>1.0</v>
      </c>
    </row>
    <row r="274">
      <c r="A274" s="11">
        <v>46138.65346840278</v>
      </c>
      <c r="B274" s="9" t="s">
        <v>143</v>
      </c>
      <c r="C274" s="9" t="s">
        <v>185</v>
      </c>
      <c r="D274" s="9" t="s">
        <v>19</v>
      </c>
      <c r="E274" s="54" t="s">
        <v>122</v>
      </c>
      <c r="F274" s="15">
        <v>1.0</v>
      </c>
      <c r="G274" s="37" t="s">
        <v>65</v>
      </c>
      <c r="H274" s="31" t="e">
        <v>#N/A</v>
      </c>
      <c r="I274" s="31" t="e">
        <v>#N/A</v>
      </c>
      <c r="J274" s="15">
        <v>1.0</v>
      </c>
    </row>
    <row r="275">
      <c r="A275" s="11">
        <v>46138.65759300926</v>
      </c>
      <c r="B275" s="9" t="s">
        <v>239</v>
      </c>
      <c r="C275" s="9" t="s">
        <v>208</v>
      </c>
      <c r="D275" s="37" t="s">
        <v>57</v>
      </c>
      <c r="E275" s="14"/>
      <c r="F275" s="15">
        <v>1.0</v>
      </c>
      <c r="G275" s="37" t="s">
        <v>65</v>
      </c>
      <c r="H275" s="31" t="e">
        <v>#N/A</v>
      </c>
      <c r="I275" s="31" t="e">
        <v>#N/A</v>
      </c>
      <c r="J275" s="15">
        <v>1.0</v>
      </c>
    </row>
    <row r="276">
      <c r="A276" s="11">
        <v>46138.66086659722</v>
      </c>
      <c r="B276" s="9" t="s">
        <v>219</v>
      </c>
      <c r="C276" s="9" t="s">
        <v>173</v>
      </c>
      <c r="D276" s="37" t="s">
        <v>57</v>
      </c>
      <c r="E276" s="14"/>
      <c r="F276" s="15">
        <v>1.0</v>
      </c>
      <c r="G276" s="37" t="s">
        <v>65</v>
      </c>
      <c r="H276" s="31" t="e">
        <v>#N/A</v>
      </c>
      <c r="I276" s="31" t="e">
        <v>#N/A</v>
      </c>
      <c r="J276" s="15">
        <v>1.0</v>
      </c>
    </row>
    <row r="277">
      <c r="A277" s="11">
        <v>46138.66537912037</v>
      </c>
      <c r="B277" s="9" t="s">
        <v>297</v>
      </c>
      <c r="C277" s="9" t="s">
        <v>266</v>
      </c>
      <c r="D277" s="9" t="s">
        <v>19</v>
      </c>
      <c r="E277" s="14"/>
      <c r="F277" s="15">
        <v>1.0</v>
      </c>
      <c r="G277" s="37" t="s">
        <v>65</v>
      </c>
      <c r="H277" s="31" t="e">
        <v>#N/A</v>
      </c>
      <c r="I277" s="31" t="e">
        <v>#N/A</v>
      </c>
      <c r="J277" s="15">
        <v>1.0</v>
      </c>
    </row>
    <row r="278">
      <c r="A278" s="11">
        <v>46138.68510065972</v>
      </c>
      <c r="B278" s="9" t="s">
        <v>294</v>
      </c>
      <c r="C278" s="9" t="s">
        <v>190</v>
      </c>
      <c r="D278" s="37" t="s">
        <v>57</v>
      </c>
      <c r="E278" s="14"/>
      <c r="F278" s="15">
        <v>1.0</v>
      </c>
      <c r="G278" s="37" t="s">
        <v>65</v>
      </c>
      <c r="H278" s="31" t="e">
        <v>#N/A</v>
      </c>
      <c r="I278" s="31" t="e">
        <v>#N/A</v>
      </c>
      <c r="J278" s="15">
        <v>1.0</v>
      </c>
    </row>
    <row r="279">
      <c r="A279" s="11">
        <v>46138.68611083333</v>
      </c>
      <c r="B279" s="9" t="s">
        <v>250</v>
      </c>
      <c r="C279" s="9" t="s">
        <v>297</v>
      </c>
      <c r="D279" s="9" t="s">
        <v>19</v>
      </c>
      <c r="E279" s="14"/>
      <c r="F279" s="15">
        <v>1.0</v>
      </c>
      <c r="G279" s="37" t="s">
        <v>65</v>
      </c>
      <c r="H279" s="31" t="e">
        <v>#N/A</v>
      </c>
      <c r="I279" s="31" t="e">
        <v>#N/A</v>
      </c>
      <c r="J279" s="15">
        <v>1.0</v>
      </c>
    </row>
    <row r="280">
      <c r="A280" s="11">
        <v>46138.68793472223</v>
      </c>
      <c r="B280" s="9" t="s">
        <v>239</v>
      </c>
      <c r="C280" s="9" t="s">
        <v>266</v>
      </c>
      <c r="D280" s="37" t="s">
        <v>57</v>
      </c>
      <c r="E280" s="14"/>
      <c r="F280" s="15">
        <v>1.0</v>
      </c>
      <c r="G280" s="37" t="s">
        <v>65</v>
      </c>
      <c r="H280" s="31" t="e">
        <v>#N/A</v>
      </c>
      <c r="I280" s="31" t="e">
        <v>#N/A</v>
      </c>
      <c r="J280" s="15">
        <v>1.0</v>
      </c>
    </row>
    <row r="281">
      <c r="A281" s="11">
        <v>46138.6911802199</v>
      </c>
      <c r="B281" s="9" t="s">
        <v>228</v>
      </c>
      <c r="C281" s="9" t="s">
        <v>181</v>
      </c>
      <c r="D281" s="37" t="s">
        <v>57</v>
      </c>
      <c r="E281" s="14"/>
      <c r="F281" s="15">
        <v>1.0</v>
      </c>
      <c r="G281" s="37" t="s">
        <v>65</v>
      </c>
      <c r="H281" s="31" t="e">
        <v>#N/A</v>
      </c>
      <c r="I281" s="31" t="e">
        <v>#N/A</v>
      </c>
      <c r="J281" s="15">
        <v>1.0</v>
      </c>
    </row>
    <row r="282">
      <c r="A282" s="11">
        <v>46138.70346072917</v>
      </c>
      <c r="B282" s="9" t="s">
        <v>190</v>
      </c>
      <c r="C282" s="9" t="s">
        <v>298</v>
      </c>
      <c r="D282" s="9" t="s">
        <v>19</v>
      </c>
      <c r="E282" s="14"/>
      <c r="F282" s="15">
        <v>1.0</v>
      </c>
      <c r="G282" s="37" t="s">
        <v>65</v>
      </c>
      <c r="H282" s="31" t="e">
        <v>#N/A</v>
      </c>
      <c r="I282" s="31" t="e">
        <v>#N/A</v>
      </c>
      <c r="J282" s="15">
        <v>1.0</v>
      </c>
    </row>
    <row r="283">
      <c r="A283" s="11">
        <v>46138.70528603009</v>
      </c>
      <c r="B283" s="9" t="s">
        <v>297</v>
      </c>
      <c r="C283" s="9" t="s">
        <v>259</v>
      </c>
      <c r="D283" s="9" t="s">
        <v>19</v>
      </c>
      <c r="E283" s="14"/>
      <c r="F283" s="15">
        <v>1.0</v>
      </c>
      <c r="G283" s="37" t="s">
        <v>65</v>
      </c>
      <c r="H283" s="31" t="e">
        <v>#N/A</v>
      </c>
      <c r="I283" s="31" t="e">
        <v>#N/A</v>
      </c>
      <c r="J283" s="15">
        <v>1.0</v>
      </c>
    </row>
    <row r="284">
      <c r="A284" s="11">
        <v>46138.71163081018</v>
      </c>
      <c r="B284" s="9" t="s">
        <v>239</v>
      </c>
      <c r="C284" s="9" t="s">
        <v>278</v>
      </c>
      <c r="D284" s="9" t="s">
        <v>19</v>
      </c>
      <c r="E284" s="14"/>
      <c r="F284" s="15">
        <v>1.0</v>
      </c>
      <c r="G284" s="37" t="s">
        <v>65</v>
      </c>
      <c r="H284" s="31" t="e">
        <v>#N/A</v>
      </c>
      <c r="I284" s="31" t="e">
        <v>#N/A</v>
      </c>
      <c r="J284" s="15">
        <v>1.0</v>
      </c>
    </row>
    <row r="285">
      <c r="A285" s="11">
        <v>46138.71788005787</v>
      </c>
      <c r="B285" s="9" t="s">
        <v>296</v>
      </c>
      <c r="C285" s="9" t="s">
        <v>101</v>
      </c>
      <c r="D285" s="37" t="s">
        <v>57</v>
      </c>
      <c r="E285" s="14"/>
      <c r="F285" s="15">
        <v>1.0</v>
      </c>
      <c r="G285" s="37" t="s">
        <v>65</v>
      </c>
      <c r="H285" s="31" t="e">
        <v>#N/A</v>
      </c>
      <c r="I285" s="31" t="e">
        <v>#N/A</v>
      </c>
      <c r="J285" s="15">
        <v>1.0</v>
      </c>
    </row>
    <row r="286">
      <c r="A286" s="11">
        <v>46138.71791695602</v>
      </c>
      <c r="B286" s="9" t="s">
        <v>269</v>
      </c>
      <c r="C286" s="9" t="s">
        <v>83</v>
      </c>
      <c r="D286" s="9" t="s">
        <v>19</v>
      </c>
      <c r="E286" s="14"/>
      <c r="F286" s="15">
        <v>1.0</v>
      </c>
      <c r="G286" s="37" t="s">
        <v>65</v>
      </c>
      <c r="H286" s="31" t="e">
        <v>#N/A</v>
      </c>
      <c r="I286" s="31" t="e">
        <v>#N/A</v>
      </c>
      <c r="J286" s="15">
        <v>1.0</v>
      </c>
    </row>
    <row r="287">
      <c r="A287" s="11">
        <v>46138.733430821754</v>
      </c>
      <c r="B287" s="9" t="s">
        <v>228</v>
      </c>
      <c r="C287" s="9" t="s">
        <v>293</v>
      </c>
      <c r="D287" s="9" t="s">
        <v>19</v>
      </c>
      <c r="E287" s="14"/>
      <c r="F287" s="15">
        <v>1.0</v>
      </c>
      <c r="G287" s="37" t="s">
        <v>65</v>
      </c>
      <c r="H287" s="31" t="e">
        <v>#N/A</v>
      </c>
      <c r="I287" s="31" t="e">
        <v>#N/A</v>
      </c>
      <c r="J287" s="15">
        <v>1.0</v>
      </c>
    </row>
    <row r="288">
      <c r="A288" s="11">
        <v>46138.7357753588</v>
      </c>
      <c r="B288" s="9" t="s">
        <v>107</v>
      </c>
      <c r="C288" s="9" t="s">
        <v>294</v>
      </c>
      <c r="D288" s="37" t="s">
        <v>57</v>
      </c>
      <c r="E288" s="54" t="s">
        <v>112</v>
      </c>
      <c r="F288" s="15">
        <v>1.0</v>
      </c>
      <c r="G288" s="37" t="s">
        <v>65</v>
      </c>
      <c r="H288" s="31" t="e">
        <v>#N/A</v>
      </c>
      <c r="I288" s="31" t="e">
        <v>#N/A</v>
      </c>
      <c r="J288" s="15">
        <v>1.0</v>
      </c>
    </row>
    <row r="289">
      <c r="A289" s="11">
        <v>46138.73761011574</v>
      </c>
      <c r="B289" s="9" t="s">
        <v>269</v>
      </c>
      <c r="C289" s="9" t="s">
        <v>298</v>
      </c>
      <c r="D289" s="9" t="s">
        <v>19</v>
      </c>
      <c r="E289" s="14"/>
      <c r="F289" s="15">
        <v>1.0</v>
      </c>
      <c r="G289" s="37" t="s">
        <v>65</v>
      </c>
      <c r="H289" s="31" t="e">
        <v>#N/A</v>
      </c>
      <c r="I289" s="31" t="e">
        <v>#N/A</v>
      </c>
      <c r="J289" s="15">
        <v>1.0</v>
      </c>
    </row>
    <row r="290">
      <c r="A290" s="11">
        <v>46138.73855768518</v>
      </c>
      <c r="B290" s="9" t="s">
        <v>299</v>
      </c>
      <c r="C290" s="9" t="s">
        <v>300</v>
      </c>
      <c r="D290" s="37" t="s">
        <v>57</v>
      </c>
      <c r="E290" s="14"/>
      <c r="F290" s="15">
        <v>1.0</v>
      </c>
      <c r="G290" s="37" t="s">
        <v>65</v>
      </c>
      <c r="H290" s="31" t="e">
        <v>#N/A</v>
      </c>
      <c r="I290" s="31" t="e">
        <v>#N/A</v>
      </c>
      <c r="J290" s="15">
        <v>1.0</v>
      </c>
    </row>
    <row r="291">
      <c r="A291" s="11">
        <v>46138.744752743056</v>
      </c>
      <c r="B291" s="9" t="s">
        <v>296</v>
      </c>
      <c r="C291" s="9" t="s">
        <v>278</v>
      </c>
      <c r="D291" s="37" t="s">
        <v>57</v>
      </c>
      <c r="E291" s="14"/>
      <c r="F291" s="15">
        <v>1.0</v>
      </c>
      <c r="G291" s="37" t="s">
        <v>65</v>
      </c>
      <c r="H291" s="31" t="e">
        <v>#N/A</v>
      </c>
      <c r="I291" s="31" t="e">
        <v>#N/A</v>
      </c>
      <c r="J291" s="15">
        <v>1.0</v>
      </c>
    </row>
    <row r="292">
      <c r="A292" s="11">
        <v>46138.748853530094</v>
      </c>
      <c r="B292" s="9" t="s">
        <v>107</v>
      </c>
      <c r="C292" s="9" t="s">
        <v>83</v>
      </c>
      <c r="D292" s="9" t="s">
        <v>19</v>
      </c>
      <c r="E292" s="14"/>
      <c r="F292" s="15">
        <v>1.0</v>
      </c>
      <c r="G292" s="37" t="s">
        <v>65</v>
      </c>
      <c r="H292" s="31" t="e">
        <v>#N/A</v>
      </c>
      <c r="I292" s="31" t="e">
        <v>#N/A</v>
      </c>
      <c r="J292" s="15">
        <v>1.0</v>
      </c>
    </row>
    <row r="293">
      <c r="A293" s="11">
        <v>46138.76782165509</v>
      </c>
      <c r="B293" s="9" t="s">
        <v>300</v>
      </c>
      <c r="C293" s="9" t="s">
        <v>107</v>
      </c>
      <c r="D293" s="37" t="s">
        <v>57</v>
      </c>
      <c r="E293" s="54" t="s">
        <v>122</v>
      </c>
      <c r="F293" s="15">
        <v>1.0</v>
      </c>
      <c r="G293" s="37" t="s">
        <v>65</v>
      </c>
      <c r="H293" s="31" t="e">
        <v>#N/A</v>
      </c>
      <c r="I293" s="31" t="e">
        <v>#N/A</v>
      </c>
      <c r="J293" s="15">
        <v>1.0</v>
      </c>
    </row>
    <row r="294">
      <c r="A294" s="11">
        <v>46138.76849181713</v>
      </c>
      <c r="B294" s="9" t="s">
        <v>294</v>
      </c>
      <c r="C294" s="9" t="s">
        <v>301</v>
      </c>
      <c r="D294" s="37" t="s">
        <v>57</v>
      </c>
      <c r="E294" s="14"/>
      <c r="F294" s="15">
        <v>1.0</v>
      </c>
      <c r="G294" s="37" t="s">
        <v>65</v>
      </c>
      <c r="H294" s="31" t="e">
        <v>#N/A</v>
      </c>
      <c r="I294" s="31" t="e">
        <v>#N/A</v>
      </c>
      <c r="J294" s="15">
        <v>1.0</v>
      </c>
    </row>
    <row r="295">
      <c r="A295" s="11">
        <v>46138.783886192134</v>
      </c>
      <c r="B295" s="9" t="s">
        <v>263</v>
      </c>
      <c r="C295" s="9" t="s">
        <v>224</v>
      </c>
      <c r="D295" s="9" t="s">
        <v>19</v>
      </c>
      <c r="E295" s="54" t="s">
        <v>265</v>
      </c>
      <c r="F295" s="15">
        <v>1.0</v>
      </c>
      <c r="G295" s="37" t="s">
        <v>65</v>
      </c>
      <c r="H295" s="31" t="e">
        <v>#N/A</v>
      </c>
      <c r="I295" s="31" t="e">
        <v>#N/A</v>
      </c>
      <c r="J295" s="15">
        <v>1.0</v>
      </c>
    </row>
    <row r="296">
      <c r="A296" s="11">
        <v>46138.791777997685</v>
      </c>
      <c r="B296" s="9" t="s">
        <v>299</v>
      </c>
      <c r="C296" s="9" t="s">
        <v>302</v>
      </c>
      <c r="D296" s="9" t="s">
        <v>19</v>
      </c>
      <c r="E296" s="14"/>
      <c r="F296" s="15">
        <v>1.0</v>
      </c>
      <c r="G296" s="37" t="s">
        <v>65</v>
      </c>
      <c r="H296" s="31" t="e">
        <v>#N/A</v>
      </c>
      <c r="I296" s="31" t="e">
        <v>#N/A</v>
      </c>
      <c r="J296" s="15">
        <v>1.0</v>
      </c>
    </row>
    <row r="297">
      <c r="A297" s="11">
        <v>46138.80051078704</v>
      </c>
      <c r="B297" s="9" t="s">
        <v>293</v>
      </c>
      <c r="C297" s="9" t="s">
        <v>109</v>
      </c>
      <c r="D297" s="9" t="s">
        <v>19</v>
      </c>
      <c r="E297" s="14"/>
      <c r="F297" s="15">
        <v>1.0</v>
      </c>
      <c r="G297" s="37" t="s">
        <v>65</v>
      </c>
      <c r="H297" s="31" t="e">
        <v>#N/A</v>
      </c>
      <c r="I297" s="31" t="e">
        <v>#N/A</v>
      </c>
      <c r="J297" s="15">
        <v>1.0</v>
      </c>
    </row>
    <row r="298">
      <c r="A298" s="11">
        <v>46138.81627780093</v>
      </c>
      <c r="B298" s="9" t="s">
        <v>302</v>
      </c>
      <c r="C298" s="9" t="s">
        <v>83</v>
      </c>
      <c r="D298" s="9" t="s">
        <v>19</v>
      </c>
      <c r="E298" s="14"/>
      <c r="F298" s="15">
        <v>1.0</v>
      </c>
      <c r="G298" s="37" t="s">
        <v>65</v>
      </c>
      <c r="H298" s="31" t="e">
        <v>#N/A</v>
      </c>
      <c r="I298" s="31" t="e">
        <v>#N/A</v>
      </c>
      <c r="J298" s="15">
        <v>1.0</v>
      </c>
    </row>
    <row r="299">
      <c r="A299" s="11">
        <v>46138.83559821759</v>
      </c>
      <c r="B299" s="9" t="s">
        <v>271</v>
      </c>
      <c r="C299" s="9" t="s">
        <v>257</v>
      </c>
      <c r="D299" s="9" t="s">
        <v>19</v>
      </c>
      <c r="E299" s="54" t="s">
        <v>122</v>
      </c>
      <c r="F299" s="15">
        <v>1.0</v>
      </c>
      <c r="G299" s="37" t="s">
        <v>65</v>
      </c>
      <c r="H299" s="31" t="e">
        <v>#N/A</v>
      </c>
      <c r="I299" s="31" t="e">
        <v>#N/A</v>
      </c>
      <c r="J299" s="15">
        <v>1.0</v>
      </c>
    </row>
    <row r="300">
      <c r="A300" s="11">
        <v>46138.83804780093</v>
      </c>
      <c r="B300" s="9" t="s">
        <v>303</v>
      </c>
      <c r="C300" s="9" t="s">
        <v>301</v>
      </c>
      <c r="D300" s="9" t="s">
        <v>19</v>
      </c>
      <c r="E300" s="14"/>
      <c r="F300" s="15">
        <v>1.0</v>
      </c>
      <c r="G300" s="37" t="s">
        <v>65</v>
      </c>
      <c r="H300" s="31" t="e">
        <v>#N/A</v>
      </c>
      <c r="I300" s="31" t="e">
        <v>#N/A</v>
      </c>
      <c r="J300" s="15">
        <v>1.0</v>
      </c>
    </row>
    <row r="301">
      <c r="A301" s="11">
        <v>46138.84265622685</v>
      </c>
      <c r="B301" s="9" t="s">
        <v>192</v>
      </c>
      <c r="C301" s="9" t="s">
        <v>304</v>
      </c>
      <c r="D301" s="37" t="s">
        <v>57</v>
      </c>
      <c r="E301" s="54" t="s">
        <v>305</v>
      </c>
      <c r="F301" s="15">
        <v>1.0</v>
      </c>
      <c r="G301" s="37" t="s">
        <v>65</v>
      </c>
      <c r="H301" s="31" t="e">
        <v>#N/A</v>
      </c>
      <c r="I301" s="31" t="e">
        <v>#N/A</v>
      </c>
      <c r="J301" s="15">
        <v>1.0</v>
      </c>
    </row>
    <row r="302">
      <c r="A302" s="11">
        <v>46138.84517418982</v>
      </c>
      <c r="B302" s="9" t="s">
        <v>306</v>
      </c>
      <c r="C302" s="9" t="s">
        <v>198</v>
      </c>
      <c r="D302" s="37" t="s">
        <v>57</v>
      </c>
      <c r="E302" s="14"/>
      <c r="F302" s="15">
        <v>1.0</v>
      </c>
      <c r="G302" s="37" t="s">
        <v>65</v>
      </c>
      <c r="H302" s="31" t="e">
        <v>#N/A</v>
      </c>
      <c r="I302" s="31" t="e">
        <v>#N/A</v>
      </c>
      <c r="J302" s="15">
        <v>1.0</v>
      </c>
    </row>
    <row r="303">
      <c r="A303" s="11">
        <v>46138.849538090275</v>
      </c>
      <c r="B303" s="9" t="s">
        <v>263</v>
      </c>
      <c r="C303" s="9" t="s">
        <v>281</v>
      </c>
      <c r="D303" s="9" t="s">
        <v>19</v>
      </c>
      <c r="E303" s="54" t="s">
        <v>307</v>
      </c>
      <c r="F303" s="15">
        <v>1.0</v>
      </c>
      <c r="G303" s="37" t="s">
        <v>65</v>
      </c>
      <c r="H303" s="31" t="e">
        <v>#N/A</v>
      </c>
      <c r="I303" s="31" t="e">
        <v>#N/A</v>
      </c>
      <c r="J303" s="15">
        <v>1.0</v>
      </c>
    </row>
    <row r="304">
      <c r="A304" s="11">
        <v>46138.85304266204</v>
      </c>
      <c r="B304" s="9" t="s">
        <v>228</v>
      </c>
      <c r="C304" s="9" t="s">
        <v>226</v>
      </c>
      <c r="D304" s="9" t="s">
        <v>19</v>
      </c>
      <c r="E304" s="14"/>
      <c r="F304" s="15">
        <v>1.0</v>
      </c>
      <c r="G304" s="37" t="s">
        <v>65</v>
      </c>
      <c r="H304" s="31" t="e">
        <v>#N/A</v>
      </c>
      <c r="I304" s="31" t="e">
        <v>#N/A</v>
      </c>
      <c r="J304" s="15">
        <v>1.0</v>
      </c>
    </row>
    <row r="305">
      <c r="A305" s="11">
        <v>46138.875269780096</v>
      </c>
      <c r="B305" s="9" t="s">
        <v>238</v>
      </c>
      <c r="C305" s="9" t="s">
        <v>308</v>
      </c>
      <c r="D305" s="9" t="s">
        <v>19</v>
      </c>
      <c r="E305" s="54" t="s">
        <v>309</v>
      </c>
      <c r="F305" s="15">
        <v>1.0</v>
      </c>
      <c r="G305" s="37" t="s">
        <v>65</v>
      </c>
      <c r="H305" s="31" t="e">
        <v>#N/A</v>
      </c>
      <c r="I305" s="31" t="e">
        <v>#N/A</v>
      </c>
      <c r="J305" s="15">
        <v>1.0</v>
      </c>
    </row>
    <row r="306">
      <c r="A306" s="11">
        <v>46138.881454120376</v>
      </c>
      <c r="B306" s="9" t="s">
        <v>192</v>
      </c>
      <c r="C306" s="9" t="s">
        <v>301</v>
      </c>
      <c r="D306" s="37" t="s">
        <v>57</v>
      </c>
      <c r="E306" s="54" t="s">
        <v>310</v>
      </c>
      <c r="F306" s="15">
        <v>1.0</v>
      </c>
      <c r="G306" s="37" t="s">
        <v>65</v>
      </c>
      <c r="H306" s="31" t="e">
        <v>#N/A</v>
      </c>
      <c r="I306" s="31" t="e">
        <v>#N/A</v>
      </c>
      <c r="J306" s="15">
        <v>1.0</v>
      </c>
    </row>
    <row r="307">
      <c r="A307" s="11">
        <v>46138.89685761574</v>
      </c>
      <c r="B307" s="9" t="s">
        <v>269</v>
      </c>
      <c r="C307" s="9" t="s">
        <v>308</v>
      </c>
      <c r="D307" s="37" t="s">
        <v>57</v>
      </c>
      <c r="E307" s="14"/>
      <c r="F307" s="15">
        <v>1.0</v>
      </c>
      <c r="G307" s="37" t="s">
        <v>65</v>
      </c>
      <c r="H307" s="31" t="e">
        <v>#N/A</v>
      </c>
      <c r="I307" s="31" t="e">
        <v>#N/A</v>
      </c>
      <c r="J307" s="15">
        <v>1.0</v>
      </c>
    </row>
    <row r="308">
      <c r="A308" s="11">
        <v>46138.89979984953</v>
      </c>
      <c r="B308" s="9" t="s">
        <v>298</v>
      </c>
      <c r="C308" s="9" t="s">
        <v>286</v>
      </c>
      <c r="D308" s="37" t="s">
        <v>57</v>
      </c>
      <c r="E308" s="14"/>
      <c r="F308" s="15">
        <v>1.0</v>
      </c>
      <c r="G308" s="37" t="s">
        <v>65</v>
      </c>
      <c r="H308" s="31" t="e">
        <v>#N/A</v>
      </c>
      <c r="I308" s="31" t="e">
        <v>#N/A</v>
      </c>
      <c r="J308" s="15">
        <v>1.0</v>
      </c>
    </row>
    <row r="309">
      <c r="A309" s="11">
        <v>46138.90495256944</v>
      </c>
      <c r="B309" s="9" t="s">
        <v>226</v>
      </c>
      <c r="C309" s="9" t="s">
        <v>281</v>
      </c>
      <c r="D309" s="37" t="s">
        <v>57</v>
      </c>
      <c r="E309" s="54" t="s">
        <v>311</v>
      </c>
      <c r="F309" s="15">
        <v>1.0</v>
      </c>
      <c r="G309" s="37" t="s">
        <v>65</v>
      </c>
      <c r="H309" s="31" t="e">
        <v>#N/A</v>
      </c>
      <c r="I309" s="31" t="e">
        <v>#N/A</v>
      </c>
      <c r="J309" s="15">
        <v>1.0</v>
      </c>
    </row>
    <row r="310">
      <c r="A310" s="11">
        <v>46138.91238045139</v>
      </c>
      <c r="B310" s="9" t="s">
        <v>143</v>
      </c>
      <c r="C310" s="9" t="s">
        <v>312</v>
      </c>
      <c r="D310" s="9" t="s">
        <v>19</v>
      </c>
      <c r="E310" s="54" t="s">
        <v>122</v>
      </c>
      <c r="F310" s="15">
        <v>1.0</v>
      </c>
      <c r="G310" s="37" t="s">
        <v>65</v>
      </c>
      <c r="H310" s="31" t="e">
        <v>#N/A</v>
      </c>
      <c r="I310" s="31" t="e">
        <v>#N/A</v>
      </c>
      <c r="J310" s="15">
        <v>1.0</v>
      </c>
    </row>
    <row r="311">
      <c r="A311" s="11">
        <v>46138.91454761574</v>
      </c>
      <c r="B311" s="9" t="s">
        <v>257</v>
      </c>
      <c r="C311" s="9" t="s">
        <v>313</v>
      </c>
      <c r="D311" s="37" t="s">
        <v>57</v>
      </c>
      <c r="E311" s="14"/>
      <c r="F311" s="15">
        <v>1.0</v>
      </c>
      <c r="G311" s="37" t="s">
        <v>65</v>
      </c>
      <c r="H311" s="31" t="e">
        <v>#N/A</v>
      </c>
      <c r="I311" s="31" t="e">
        <v>#N/A</v>
      </c>
      <c r="J311" s="15">
        <v>1.0</v>
      </c>
    </row>
    <row r="312">
      <c r="A312" s="11">
        <v>46138.918099201386</v>
      </c>
      <c r="B312" s="9" t="s">
        <v>276</v>
      </c>
      <c r="C312" s="9" t="s">
        <v>314</v>
      </c>
      <c r="D312" s="9" t="s">
        <v>19</v>
      </c>
      <c r="E312" s="14"/>
      <c r="F312" s="15">
        <v>1.0</v>
      </c>
      <c r="G312" s="37" t="s">
        <v>65</v>
      </c>
      <c r="H312" s="31" t="e">
        <v>#N/A</v>
      </c>
      <c r="I312" s="31" t="e">
        <v>#N/A</v>
      </c>
      <c r="J312" s="15">
        <v>1.0</v>
      </c>
    </row>
    <row r="313">
      <c r="A313" s="11">
        <v>46138.91969606481</v>
      </c>
      <c r="B313" s="9" t="s">
        <v>315</v>
      </c>
      <c r="C313" s="9" t="s">
        <v>298</v>
      </c>
      <c r="D313" s="9" t="s">
        <v>19</v>
      </c>
      <c r="E313" s="14"/>
      <c r="F313" s="15">
        <v>1.0</v>
      </c>
      <c r="G313" s="37" t="s">
        <v>65</v>
      </c>
      <c r="H313" s="31" t="e">
        <v>#N/A</v>
      </c>
      <c r="I313" s="31" t="e">
        <v>#N/A</v>
      </c>
      <c r="J313" s="15">
        <v>1.0</v>
      </c>
    </row>
    <row r="314">
      <c r="A314" s="11">
        <v>46138.94033881945</v>
      </c>
      <c r="B314" s="9" t="s">
        <v>303</v>
      </c>
      <c r="C314" s="9" t="s">
        <v>316</v>
      </c>
      <c r="D314" s="37" t="s">
        <v>57</v>
      </c>
      <c r="E314" s="14"/>
      <c r="F314" s="15">
        <v>1.0</v>
      </c>
      <c r="G314" s="37" t="s">
        <v>65</v>
      </c>
      <c r="H314" s="31" t="e">
        <v>#N/A</v>
      </c>
      <c r="I314" s="31" t="e">
        <v>#N/A</v>
      </c>
      <c r="J314" s="15">
        <v>1.0</v>
      </c>
    </row>
    <row r="315">
      <c r="A315" s="11">
        <v>46138.95149810185</v>
      </c>
      <c r="B315" s="9" t="s">
        <v>315</v>
      </c>
      <c r="C315" s="9" t="s">
        <v>172</v>
      </c>
      <c r="D315" s="37" t="s">
        <v>57</v>
      </c>
      <c r="E315" s="14"/>
      <c r="F315" s="15">
        <v>1.0</v>
      </c>
      <c r="G315" s="37" t="s">
        <v>65</v>
      </c>
      <c r="H315" s="31" t="e">
        <v>#N/A</v>
      </c>
      <c r="I315" s="31" t="e">
        <v>#N/A</v>
      </c>
      <c r="J315" s="15">
        <v>1.0</v>
      </c>
    </row>
    <row r="316">
      <c r="A316" s="11">
        <v>46138.95245909722</v>
      </c>
      <c r="B316" s="9" t="s">
        <v>314</v>
      </c>
      <c r="C316" s="9" t="s">
        <v>257</v>
      </c>
      <c r="D316" s="37" t="s">
        <v>57</v>
      </c>
      <c r="E316" s="54" t="s">
        <v>317</v>
      </c>
      <c r="F316" s="15">
        <v>1.0</v>
      </c>
      <c r="G316" s="37" t="s">
        <v>65</v>
      </c>
      <c r="H316" s="31" t="e">
        <v>#N/A</v>
      </c>
      <c r="I316" s="31" t="e">
        <v>#N/A</v>
      </c>
      <c r="J316" s="15">
        <v>1.0</v>
      </c>
    </row>
    <row r="317">
      <c r="A317" s="11">
        <v>46138.95695716435</v>
      </c>
      <c r="B317" s="9" t="s">
        <v>281</v>
      </c>
      <c r="C317" s="9" t="s">
        <v>318</v>
      </c>
      <c r="D317" s="37" t="s">
        <v>57</v>
      </c>
      <c r="E317" s="54" t="s">
        <v>319</v>
      </c>
      <c r="F317" s="15">
        <v>1.0</v>
      </c>
      <c r="G317" s="37" t="s">
        <v>65</v>
      </c>
      <c r="H317" s="31" t="e">
        <v>#N/A</v>
      </c>
      <c r="I317" s="31" t="e">
        <v>#N/A</v>
      </c>
      <c r="J317" s="15">
        <v>1.0</v>
      </c>
    </row>
    <row r="318">
      <c r="A318" s="11">
        <v>46138.97492898148</v>
      </c>
      <c r="B318" s="9" t="s">
        <v>290</v>
      </c>
      <c r="C318" s="9" t="s">
        <v>320</v>
      </c>
      <c r="D318" s="9" t="s">
        <v>19</v>
      </c>
      <c r="E318" s="54" t="s">
        <v>140</v>
      </c>
      <c r="F318" s="15">
        <v>1.0</v>
      </c>
      <c r="G318" s="37" t="s">
        <v>65</v>
      </c>
      <c r="H318" s="31" t="e">
        <v>#N/A</v>
      </c>
      <c r="I318" s="31" t="e">
        <v>#N/A</v>
      </c>
      <c r="J318" s="15">
        <v>1.0</v>
      </c>
    </row>
    <row r="319">
      <c r="A319" s="11">
        <v>46138.97697377315</v>
      </c>
      <c r="B319" s="9" t="s">
        <v>192</v>
      </c>
      <c r="C319" s="9" t="s">
        <v>303</v>
      </c>
      <c r="D319" s="37" t="s">
        <v>57</v>
      </c>
      <c r="E319" s="14"/>
      <c r="F319" s="15">
        <v>1.0</v>
      </c>
      <c r="G319" s="37" t="s">
        <v>65</v>
      </c>
      <c r="H319" s="31" t="e">
        <v>#N/A</v>
      </c>
      <c r="I319" s="31" t="e">
        <v>#N/A</v>
      </c>
      <c r="J319" s="15">
        <v>1.0</v>
      </c>
    </row>
    <row r="320">
      <c r="A320" s="11">
        <v>46138.98496072917</v>
      </c>
      <c r="B320" s="9" t="s">
        <v>237</v>
      </c>
      <c r="C320" s="9" t="s">
        <v>314</v>
      </c>
      <c r="D320" s="37" t="s">
        <v>57</v>
      </c>
      <c r="E320" s="54" t="s">
        <v>122</v>
      </c>
      <c r="F320" s="15">
        <v>1.0</v>
      </c>
      <c r="G320" s="37" t="s">
        <v>65</v>
      </c>
      <c r="H320" s="31" t="e">
        <v>#N/A</v>
      </c>
      <c r="I320" s="31" t="e">
        <v>#N/A</v>
      </c>
      <c r="J320" s="15">
        <v>1.0</v>
      </c>
    </row>
    <row r="321">
      <c r="A321" s="11">
        <v>46138.98701351852</v>
      </c>
      <c r="B321" s="9" t="s">
        <v>245</v>
      </c>
      <c r="C321" s="9" t="s">
        <v>306</v>
      </c>
      <c r="D321" s="37" t="s">
        <v>57</v>
      </c>
      <c r="E321" s="54" t="s">
        <v>122</v>
      </c>
      <c r="F321" s="15">
        <v>1.0</v>
      </c>
      <c r="G321" s="37" t="s">
        <v>65</v>
      </c>
      <c r="H321" s="31" t="e">
        <v>#N/A</v>
      </c>
      <c r="I321" s="31" t="e">
        <v>#N/A</v>
      </c>
      <c r="J321" s="15">
        <v>1.0</v>
      </c>
    </row>
    <row r="322">
      <c r="A322" s="11">
        <v>46139.012907881945</v>
      </c>
      <c r="B322" s="9" t="s">
        <v>314</v>
      </c>
      <c r="C322" s="9" t="s">
        <v>306</v>
      </c>
      <c r="D322" s="37" t="s">
        <v>57</v>
      </c>
      <c r="E322" s="54" t="s">
        <v>317</v>
      </c>
      <c r="F322" s="15">
        <v>1.0</v>
      </c>
      <c r="G322" s="37" t="s">
        <v>65</v>
      </c>
      <c r="H322" s="31" t="e">
        <v>#N/A</v>
      </c>
      <c r="I322" s="31" t="e">
        <v>#N/A</v>
      </c>
      <c r="J322" s="15">
        <v>1.0</v>
      </c>
    </row>
    <row r="323">
      <c r="A323" s="11">
        <v>46139.013084907405</v>
      </c>
      <c r="B323" s="9" t="s">
        <v>290</v>
      </c>
      <c r="C323" s="9" t="s">
        <v>215</v>
      </c>
      <c r="D323" s="37" t="s">
        <v>57</v>
      </c>
      <c r="E323" s="54" t="s">
        <v>321</v>
      </c>
      <c r="F323" s="15">
        <v>1.0</v>
      </c>
      <c r="G323" s="37" t="s">
        <v>65</v>
      </c>
      <c r="H323" s="31" t="e">
        <v>#N/A</v>
      </c>
      <c r="I323" s="31" t="e">
        <v>#N/A</v>
      </c>
      <c r="J323" s="15">
        <v>1.0</v>
      </c>
    </row>
    <row r="324">
      <c r="A324" s="11">
        <v>46139.020004074075</v>
      </c>
      <c r="B324" s="9" t="s">
        <v>132</v>
      </c>
      <c r="C324" s="9" t="s">
        <v>322</v>
      </c>
      <c r="D324" s="37" t="s">
        <v>57</v>
      </c>
      <c r="E324" s="14"/>
      <c r="F324" s="15">
        <v>1.0</v>
      </c>
      <c r="G324" s="37" t="s">
        <v>65</v>
      </c>
      <c r="H324" s="31" t="e">
        <v>#N/A</v>
      </c>
      <c r="I324" s="31" t="e">
        <v>#N/A</v>
      </c>
      <c r="J324" s="15">
        <v>1.0</v>
      </c>
    </row>
    <row r="325">
      <c r="A325" s="11">
        <v>46139.03012668982</v>
      </c>
      <c r="B325" s="9" t="s">
        <v>323</v>
      </c>
      <c r="C325" s="9" t="s">
        <v>324</v>
      </c>
      <c r="D325" s="9" t="s">
        <v>19</v>
      </c>
      <c r="E325" s="14"/>
      <c r="F325" s="15">
        <v>1.0</v>
      </c>
      <c r="G325" s="37" t="s">
        <v>65</v>
      </c>
      <c r="H325" s="31" t="e">
        <v>#N/A</v>
      </c>
      <c r="I325" s="31" t="e">
        <v>#N/A</v>
      </c>
      <c r="J325" s="15">
        <v>1.0</v>
      </c>
    </row>
    <row r="326">
      <c r="A326" s="11">
        <v>46139.03567179399</v>
      </c>
      <c r="B326" s="9" t="s">
        <v>132</v>
      </c>
      <c r="C326" s="9" t="s">
        <v>280</v>
      </c>
      <c r="D326" s="9" t="s">
        <v>19</v>
      </c>
      <c r="E326" s="14"/>
      <c r="F326" s="15">
        <v>1.0</v>
      </c>
      <c r="G326" s="37" t="s">
        <v>65</v>
      </c>
      <c r="H326" s="31" t="e">
        <v>#N/A</v>
      </c>
      <c r="I326" s="31" t="e">
        <v>#N/A</v>
      </c>
      <c r="J326" s="15">
        <v>1.0</v>
      </c>
    </row>
    <row r="327">
      <c r="A327" s="11">
        <v>46139.054903067125</v>
      </c>
      <c r="B327" s="9" t="s">
        <v>299</v>
      </c>
      <c r="C327" s="9" t="s">
        <v>323</v>
      </c>
      <c r="D327" s="37" t="s">
        <v>57</v>
      </c>
      <c r="E327" s="54" t="s">
        <v>325</v>
      </c>
      <c r="F327" s="15">
        <v>1.0</v>
      </c>
      <c r="G327" s="37" t="s">
        <v>65</v>
      </c>
      <c r="H327" s="31" t="e">
        <v>#N/A</v>
      </c>
      <c r="I327" s="31" t="e">
        <v>#N/A</v>
      </c>
      <c r="J327" s="15">
        <v>1.0</v>
      </c>
    </row>
    <row r="328">
      <c r="A328" s="11">
        <v>46139.077039675925</v>
      </c>
      <c r="B328" s="9" t="s">
        <v>324</v>
      </c>
      <c r="C328" s="9" t="s">
        <v>125</v>
      </c>
      <c r="D328" s="37" t="s">
        <v>57</v>
      </c>
      <c r="E328" s="14"/>
      <c r="F328" s="15">
        <v>1.0</v>
      </c>
      <c r="G328" s="37" t="s">
        <v>65</v>
      </c>
      <c r="H328" s="31" t="e">
        <v>#N/A</v>
      </c>
      <c r="I328" s="31" t="e">
        <v>#N/A</v>
      </c>
      <c r="J328" s="15">
        <v>1.0</v>
      </c>
    </row>
    <row r="329">
      <c r="A329" s="11">
        <v>46139.45186119213</v>
      </c>
      <c r="B329" s="9" t="s">
        <v>292</v>
      </c>
      <c r="C329" s="9" t="s">
        <v>260</v>
      </c>
      <c r="D329" s="9" t="s">
        <v>19</v>
      </c>
      <c r="E329" s="14"/>
      <c r="F329" s="15">
        <v>1.0</v>
      </c>
      <c r="G329" s="37" t="s">
        <v>65</v>
      </c>
      <c r="H329" s="31" t="e">
        <v>#N/A</v>
      </c>
      <c r="I329" s="31" t="e">
        <v>#N/A</v>
      </c>
      <c r="J329" s="15">
        <v>1.0</v>
      </c>
    </row>
    <row r="330">
      <c r="A330" s="11">
        <v>46139.45813236111</v>
      </c>
      <c r="B330" s="9" t="s">
        <v>258</v>
      </c>
      <c r="C330" s="9" t="s">
        <v>303</v>
      </c>
      <c r="D330" s="9" t="s">
        <v>19</v>
      </c>
      <c r="E330" s="14"/>
      <c r="F330" s="15">
        <v>1.0</v>
      </c>
      <c r="G330" s="37" t="s">
        <v>65</v>
      </c>
      <c r="H330" s="31" t="e">
        <v>#N/A</v>
      </c>
      <c r="I330" s="31" t="e">
        <v>#N/A</v>
      </c>
      <c r="J330" s="15">
        <v>1.0</v>
      </c>
    </row>
    <row r="331">
      <c r="A331" s="11">
        <v>46139.50078127315</v>
      </c>
      <c r="B331" s="9" t="s">
        <v>204</v>
      </c>
      <c r="C331" s="9" t="s">
        <v>229</v>
      </c>
      <c r="D331" s="9" t="s">
        <v>19</v>
      </c>
      <c r="E331" s="54" t="s">
        <v>206</v>
      </c>
      <c r="F331" s="15">
        <v>1.0</v>
      </c>
      <c r="G331" s="37" t="s">
        <v>65</v>
      </c>
      <c r="H331" s="31" t="e">
        <v>#N/A</v>
      </c>
      <c r="I331" s="31" t="e">
        <v>#N/A</v>
      </c>
      <c r="J331" s="15">
        <v>1.0</v>
      </c>
    </row>
    <row r="332">
      <c r="A332" s="11">
        <v>46139.52972261574</v>
      </c>
      <c r="B332" s="9" t="s">
        <v>302</v>
      </c>
      <c r="C332" s="9" t="s">
        <v>313</v>
      </c>
      <c r="D332" s="9" t="s">
        <v>19</v>
      </c>
      <c r="E332" s="54" t="s">
        <v>122</v>
      </c>
      <c r="F332" s="15">
        <v>1.0</v>
      </c>
      <c r="G332" s="37" t="s">
        <v>65</v>
      </c>
      <c r="H332" s="31" t="e">
        <v>#N/A</v>
      </c>
      <c r="I332" s="31" t="e">
        <v>#N/A</v>
      </c>
      <c r="J332" s="15">
        <v>1.0</v>
      </c>
    </row>
    <row r="333">
      <c r="A333" s="11">
        <v>46139.53121052083</v>
      </c>
      <c r="B333" s="9" t="s">
        <v>166</v>
      </c>
      <c r="C333" s="9" t="s">
        <v>326</v>
      </c>
      <c r="D333" s="37" t="s">
        <v>57</v>
      </c>
      <c r="E333" s="54" t="s">
        <v>327</v>
      </c>
      <c r="F333" s="15">
        <v>1.0</v>
      </c>
      <c r="G333" s="37" t="s">
        <v>65</v>
      </c>
      <c r="H333" s="31" t="e">
        <v>#N/A</v>
      </c>
      <c r="I333" s="31" t="e">
        <v>#N/A</v>
      </c>
      <c r="J333" s="15">
        <v>1.0</v>
      </c>
    </row>
    <row r="334">
      <c r="A334" s="11">
        <v>46139.54730471065</v>
      </c>
      <c r="B334" s="9" t="s">
        <v>328</v>
      </c>
      <c r="C334" s="9" t="s">
        <v>297</v>
      </c>
      <c r="D334" s="37" t="s">
        <v>57</v>
      </c>
      <c r="E334" s="14"/>
      <c r="F334" s="15">
        <v>1.0</v>
      </c>
      <c r="G334" s="37" t="s">
        <v>65</v>
      </c>
      <c r="H334" s="31" t="e">
        <v>#N/A</v>
      </c>
      <c r="I334" s="31" t="e">
        <v>#N/A</v>
      </c>
      <c r="J334" s="15">
        <v>1.0</v>
      </c>
    </row>
    <row r="335">
      <c r="A335" s="11">
        <v>46139.572393229166</v>
      </c>
      <c r="B335" s="9" t="s">
        <v>328</v>
      </c>
      <c r="C335" s="9" t="s">
        <v>329</v>
      </c>
      <c r="D335" s="9" t="s">
        <v>19</v>
      </c>
      <c r="E335" s="14"/>
      <c r="F335" s="15">
        <v>1.0</v>
      </c>
      <c r="G335" s="37" t="s">
        <v>65</v>
      </c>
      <c r="H335" s="31" t="e">
        <v>#N/A</v>
      </c>
      <c r="I335" s="31" t="e">
        <v>#N/A</v>
      </c>
      <c r="J335" s="15">
        <v>1.0</v>
      </c>
    </row>
    <row r="336">
      <c r="A336" s="11">
        <v>46139.605341250004</v>
      </c>
      <c r="B336" s="9" t="s">
        <v>77</v>
      </c>
      <c r="C336" s="9" t="s">
        <v>322</v>
      </c>
      <c r="D336" s="37" t="s">
        <v>57</v>
      </c>
      <c r="E336" s="14"/>
      <c r="F336" s="15">
        <v>1.0</v>
      </c>
      <c r="G336" s="37" t="s">
        <v>65</v>
      </c>
      <c r="H336" s="31" t="e">
        <v>#N/A</v>
      </c>
      <c r="I336" s="31" t="e">
        <v>#N/A</v>
      </c>
      <c r="J336" s="15">
        <v>1.0</v>
      </c>
    </row>
    <row r="337">
      <c r="A337" s="11">
        <v>46139.63599790509</v>
      </c>
      <c r="B337" s="9" t="s">
        <v>237</v>
      </c>
      <c r="C337" s="9" t="s">
        <v>62</v>
      </c>
      <c r="D337" s="37" t="s">
        <v>57</v>
      </c>
      <c r="E337" s="54" t="s">
        <v>330</v>
      </c>
      <c r="F337" s="15">
        <v>1.0</v>
      </c>
      <c r="G337" s="37" t="s">
        <v>65</v>
      </c>
      <c r="H337" s="31" t="e">
        <v>#N/A</v>
      </c>
      <c r="I337" s="31" t="e">
        <v>#N/A</v>
      </c>
      <c r="J337" s="15">
        <v>1.0</v>
      </c>
    </row>
    <row r="338">
      <c r="A338" s="11">
        <v>46139.66654711806</v>
      </c>
      <c r="B338" s="9" t="s">
        <v>299</v>
      </c>
      <c r="C338" s="9" t="s">
        <v>72</v>
      </c>
      <c r="D338" s="37" t="s">
        <v>57</v>
      </c>
      <c r="E338" s="14"/>
      <c r="F338" s="15">
        <v>1.0</v>
      </c>
      <c r="G338" s="37" t="s">
        <v>65</v>
      </c>
      <c r="H338" s="31" t="e">
        <v>#N/A</v>
      </c>
      <c r="I338" s="31" t="e">
        <v>#N/A</v>
      </c>
      <c r="J338" s="15">
        <v>1.0</v>
      </c>
    </row>
    <row r="339">
      <c r="A339" s="11">
        <v>46139.67103707176</v>
      </c>
      <c r="B339" s="9" t="s">
        <v>331</v>
      </c>
      <c r="C339" s="9" t="s">
        <v>318</v>
      </c>
      <c r="D339" s="9" t="s">
        <v>19</v>
      </c>
      <c r="E339" s="14"/>
      <c r="F339" s="15">
        <v>1.0</v>
      </c>
      <c r="G339" s="37" t="s">
        <v>65</v>
      </c>
      <c r="H339" s="31" t="e">
        <v>#N/A</v>
      </c>
      <c r="I339" s="31" t="e">
        <v>#N/A</v>
      </c>
      <c r="J339" s="15">
        <v>1.0</v>
      </c>
    </row>
    <row r="340">
      <c r="A340" s="11">
        <v>46139.67205552083</v>
      </c>
      <c r="B340" s="9" t="s">
        <v>332</v>
      </c>
      <c r="C340" s="9" t="s">
        <v>62</v>
      </c>
      <c r="D340" s="9" t="s">
        <v>19</v>
      </c>
      <c r="E340" s="14"/>
      <c r="F340" s="15">
        <v>1.0</v>
      </c>
      <c r="G340" s="37" t="s">
        <v>65</v>
      </c>
      <c r="H340" s="31" t="e">
        <v>#N/A</v>
      </c>
      <c r="I340" s="31" t="e">
        <v>#N/A</v>
      </c>
      <c r="J340" s="15">
        <v>1.0</v>
      </c>
    </row>
    <row r="341">
      <c r="A341" s="11">
        <v>46139.70294527778</v>
      </c>
      <c r="B341" s="9" t="s">
        <v>332</v>
      </c>
      <c r="C341" s="9" t="s">
        <v>267</v>
      </c>
      <c r="D341" s="9" t="s">
        <v>19</v>
      </c>
      <c r="E341" s="14"/>
      <c r="F341" s="15">
        <v>1.0</v>
      </c>
      <c r="G341" s="37" t="s">
        <v>65</v>
      </c>
      <c r="H341" s="31" t="e">
        <v>#N/A</v>
      </c>
      <c r="I341" s="31" t="e">
        <v>#N/A</v>
      </c>
      <c r="J341" s="15">
        <v>1.0</v>
      </c>
    </row>
    <row r="342">
      <c r="A342" s="11">
        <v>46139.72173719907</v>
      </c>
      <c r="B342" s="9" t="s">
        <v>333</v>
      </c>
      <c r="C342" s="9" t="s">
        <v>334</v>
      </c>
      <c r="D342" s="9" t="s">
        <v>19</v>
      </c>
      <c r="E342" s="14"/>
      <c r="F342" s="15">
        <v>1.0</v>
      </c>
      <c r="G342" s="37" t="s">
        <v>65</v>
      </c>
      <c r="H342" s="31" t="e">
        <v>#N/A</v>
      </c>
      <c r="I342" s="31" t="e">
        <v>#N/A</v>
      </c>
      <c r="J342" s="15">
        <v>1.0</v>
      </c>
    </row>
    <row r="343">
      <c r="A343" s="11">
        <v>46139.72740071759</v>
      </c>
      <c r="B343" s="9" t="s">
        <v>84</v>
      </c>
      <c r="C343" s="9" t="s">
        <v>293</v>
      </c>
      <c r="D343" s="37" t="s">
        <v>57</v>
      </c>
      <c r="E343" s="14"/>
      <c r="F343" s="15">
        <v>1.0</v>
      </c>
      <c r="G343" s="37" t="s">
        <v>65</v>
      </c>
      <c r="H343" s="31" t="e">
        <v>#N/A</v>
      </c>
      <c r="I343" s="31" t="e">
        <v>#N/A</v>
      </c>
      <c r="J343" s="15">
        <v>1.0</v>
      </c>
    </row>
    <row r="344">
      <c r="A344" s="11">
        <v>46139.73895597222</v>
      </c>
      <c r="B344" s="9" t="s">
        <v>109</v>
      </c>
      <c r="C344" s="9" t="s">
        <v>258</v>
      </c>
      <c r="D344" s="37" t="s">
        <v>57</v>
      </c>
      <c r="E344" s="14"/>
      <c r="F344" s="15">
        <v>1.0</v>
      </c>
      <c r="G344" s="37" t="s">
        <v>65</v>
      </c>
      <c r="H344" s="31" t="e">
        <v>#N/A</v>
      </c>
      <c r="I344" s="31" t="e">
        <v>#N/A</v>
      </c>
      <c r="J344" s="15">
        <v>1.0</v>
      </c>
    </row>
    <row r="345">
      <c r="A345" s="11">
        <v>46139.74521912037</v>
      </c>
      <c r="B345" s="9" t="s">
        <v>263</v>
      </c>
      <c r="C345" s="9" t="s">
        <v>331</v>
      </c>
      <c r="D345" s="37" t="s">
        <v>57</v>
      </c>
      <c r="E345" s="54" t="s">
        <v>265</v>
      </c>
      <c r="F345" s="15">
        <v>1.0</v>
      </c>
      <c r="G345" s="37" t="s">
        <v>65</v>
      </c>
      <c r="H345" s="31" t="e">
        <v>#N/A</v>
      </c>
      <c r="I345" s="31" t="e">
        <v>#N/A</v>
      </c>
      <c r="J345" s="15">
        <v>1.0</v>
      </c>
    </row>
    <row r="346">
      <c r="A346" s="11">
        <v>46139.764813842594</v>
      </c>
      <c r="B346" s="9" t="s">
        <v>258</v>
      </c>
      <c r="C346" s="9" t="s">
        <v>298</v>
      </c>
      <c r="D346" s="9" t="s">
        <v>19</v>
      </c>
      <c r="E346" s="14"/>
      <c r="F346" s="15">
        <v>1.0</v>
      </c>
      <c r="G346" s="37" t="s">
        <v>65</v>
      </c>
      <c r="H346" s="31" t="e">
        <v>#N/A</v>
      </c>
      <c r="I346" s="31" t="e">
        <v>#N/A</v>
      </c>
      <c r="J346" s="15">
        <v>1.0</v>
      </c>
    </row>
    <row r="347">
      <c r="A347" s="11">
        <v>46139.80504387731</v>
      </c>
      <c r="B347" s="9" t="s">
        <v>279</v>
      </c>
      <c r="C347" s="9" t="s">
        <v>335</v>
      </c>
      <c r="D347" s="9" t="s">
        <v>19</v>
      </c>
      <c r="E347" s="14"/>
      <c r="F347" s="15">
        <v>1.0</v>
      </c>
      <c r="G347" s="37" t="s">
        <v>65</v>
      </c>
      <c r="H347" s="31" t="e">
        <v>#N/A</v>
      </c>
      <c r="I347" s="31" t="e">
        <v>#N/A</v>
      </c>
      <c r="J347" s="15">
        <v>1.0</v>
      </c>
    </row>
    <row r="348">
      <c r="A348" s="11">
        <v>46139.806634293986</v>
      </c>
      <c r="B348" s="9" t="s">
        <v>336</v>
      </c>
      <c r="C348" s="9" t="s">
        <v>337</v>
      </c>
      <c r="D348" s="9" t="s">
        <v>19</v>
      </c>
      <c r="E348" s="54" t="s">
        <v>338</v>
      </c>
      <c r="F348" s="15">
        <v>1.0</v>
      </c>
      <c r="G348" s="37" t="s">
        <v>65</v>
      </c>
      <c r="H348" s="31" t="e">
        <v>#N/A</v>
      </c>
      <c r="I348" s="31" t="e">
        <v>#N/A</v>
      </c>
      <c r="J348" s="15">
        <v>1.0</v>
      </c>
    </row>
    <row r="349">
      <c r="A349" s="11">
        <v>46139.84644934028</v>
      </c>
      <c r="B349" s="9" t="s">
        <v>198</v>
      </c>
      <c r="C349" s="9" t="s">
        <v>329</v>
      </c>
      <c r="D349" s="37" t="s">
        <v>57</v>
      </c>
      <c r="E349" s="14"/>
      <c r="F349" s="15">
        <v>1.0</v>
      </c>
      <c r="G349" s="37" t="s">
        <v>65</v>
      </c>
      <c r="H349" s="31" t="e">
        <v>#N/A</v>
      </c>
      <c r="I349" s="31" t="e">
        <v>#N/A</v>
      </c>
      <c r="J349" s="15">
        <v>1.0</v>
      </c>
    </row>
    <row r="350">
      <c r="A350" s="11">
        <v>46139.84662091435</v>
      </c>
      <c r="B350" s="9" t="s">
        <v>184</v>
      </c>
      <c r="C350" s="9" t="s">
        <v>259</v>
      </c>
      <c r="D350" s="37" t="s">
        <v>57</v>
      </c>
      <c r="E350" s="54" t="s">
        <v>339</v>
      </c>
      <c r="F350" s="15">
        <v>1.0</v>
      </c>
      <c r="G350" s="37" t="s">
        <v>65</v>
      </c>
      <c r="H350" s="31" t="e">
        <v>#N/A</v>
      </c>
      <c r="I350" s="31" t="e">
        <v>#N/A</v>
      </c>
      <c r="J350" s="15">
        <v>1.0</v>
      </c>
    </row>
    <row r="351">
      <c r="A351" s="11">
        <v>46139.86106015046</v>
      </c>
      <c r="B351" s="9" t="s">
        <v>184</v>
      </c>
      <c r="C351" s="9" t="s">
        <v>139</v>
      </c>
      <c r="D351" s="37" t="s">
        <v>57</v>
      </c>
      <c r="E351" s="14"/>
      <c r="F351" s="15">
        <v>1.0</v>
      </c>
      <c r="G351" s="37" t="s">
        <v>65</v>
      </c>
      <c r="H351" s="31" t="e">
        <v>#N/A</v>
      </c>
      <c r="I351" s="31" t="e">
        <v>#N/A</v>
      </c>
      <c r="J351" s="15">
        <v>1.0</v>
      </c>
    </row>
    <row r="352">
      <c r="A352" s="11">
        <v>46139.86737395833</v>
      </c>
      <c r="B352" s="9" t="s">
        <v>198</v>
      </c>
      <c r="C352" s="9" t="s">
        <v>248</v>
      </c>
      <c r="D352" s="9" t="s">
        <v>19</v>
      </c>
      <c r="E352" s="14"/>
      <c r="F352" s="15">
        <v>1.0</v>
      </c>
      <c r="G352" s="37" t="s">
        <v>65</v>
      </c>
      <c r="H352" s="31" t="e">
        <v>#N/A</v>
      </c>
      <c r="I352" s="31" t="e">
        <v>#N/A</v>
      </c>
      <c r="J352" s="15">
        <v>1.0</v>
      </c>
    </row>
    <row r="353">
      <c r="A353" s="11">
        <v>46139.868368634256</v>
      </c>
      <c r="B353" s="9" t="s">
        <v>271</v>
      </c>
      <c r="C353" s="9" t="s">
        <v>125</v>
      </c>
      <c r="D353" s="9" t="s">
        <v>19</v>
      </c>
      <c r="E353" s="54" t="s">
        <v>122</v>
      </c>
      <c r="F353" s="15">
        <v>1.0</v>
      </c>
      <c r="G353" s="37" t="s">
        <v>65</v>
      </c>
      <c r="H353" s="31" t="e">
        <v>#N/A</v>
      </c>
      <c r="I353" s="31" t="e">
        <v>#N/A</v>
      </c>
      <c r="J353" s="15">
        <v>1.0</v>
      </c>
    </row>
    <row r="354">
      <c r="A354" s="11">
        <v>46139.86863927083</v>
      </c>
      <c r="B354" s="9" t="s">
        <v>340</v>
      </c>
      <c r="C354" s="9" t="s">
        <v>293</v>
      </c>
      <c r="D354" s="37" t="s">
        <v>57</v>
      </c>
      <c r="E354" s="14"/>
      <c r="F354" s="15">
        <v>1.0</v>
      </c>
      <c r="G354" s="37" t="s">
        <v>65</v>
      </c>
      <c r="H354" s="31" t="e">
        <v>#N/A</v>
      </c>
      <c r="I354" s="31" t="e">
        <v>#N/A</v>
      </c>
      <c r="J354" s="15">
        <v>1.0</v>
      </c>
    </row>
    <row r="355">
      <c r="A355" s="11">
        <v>46139.878282777776</v>
      </c>
      <c r="B355" s="9" t="s">
        <v>269</v>
      </c>
      <c r="C355" s="9" t="s">
        <v>245</v>
      </c>
      <c r="D355" s="37" t="s">
        <v>57</v>
      </c>
      <c r="E355" s="14"/>
      <c r="F355" s="15">
        <v>1.0</v>
      </c>
      <c r="G355" s="37" t="s">
        <v>65</v>
      </c>
      <c r="H355" s="31" t="e">
        <v>#N/A</v>
      </c>
      <c r="I355" s="31" t="e">
        <v>#N/A</v>
      </c>
      <c r="J355" s="15">
        <v>1.0</v>
      </c>
    </row>
    <row r="356">
      <c r="A356" s="11">
        <v>46139.88055773148</v>
      </c>
      <c r="B356" s="9" t="s">
        <v>329</v>
      </c>
      <c r="C356" s="9" t="s">
        <v>315</v>
      </c>
      <c r="D356" s="9" t="s">
        <v>19</v>
      </c>
      <c r="E356" s="14"/>
      <c r="F356" s="15">
        <v>1.0</v>
      </c>
      <c r="G356" s="37" t="s">
        <v>65</v>
      </c>
      <c r="H356" s="31" t="e">
        <v>#N/A</v>
      </c>
      <c r="I356" s="31" t="e">
        <v>#N/A</v>
      </c>
      <c r="J356" s="15">
        <v>1.0</v>
      </c>
    </row>
    <row r="357">
      <c r="A357" s="11">
        <v>46139.89479313657</v>
      </c>
      <c r="B357" s="9" t="s">
        <v>312</v>
      </c>
      <c r="C357" s="9" t="s">
        <v>340</v>
      </c>
      <c r="D357" s="37" t="s">
        <v>57</v>
      </c>
      <c r="E357" s="54" t="s">
        <v>341</v>
      </c>
      <c r="F357" s="15">
        <v>1.0</v>
      </c>
      <c r="G357" s="37" t="s">
        <v>65</v>
      </c>
      <c r="H357" s="31" t="e">
        <v>#N/A</v>
      </c>
      <c r="I357" s="31" t="e">
        <v>#N/A</v>
      </c>
      <c r="J357" s="15">
        <v>1.0</v>
      </c>
    </row>
    <row r="358">
      <c r="A358" s="11">
        <v>46139.90286199074</v>
      </c>
      <c r="B358" s="9" t="s">
        <v>263</v>
      </c>
      <c r="C358" s="9" t="s">
        <v>67</v>
      </c>
      <c r="D358" s="37" t="s">
        <v>57</v>
      </c>
      <c r="E358" s="14"/>
      <c r="F358" s="15">
        <v>1.0</v>
      </c>
      <c r="G358" s="37" t="s">
        <v>65</v>
      </c>
      <c r="H358" s="31" t="e">
        <v>#N/A</v>
      </c>
      <c r="I358" s="31" t="e">
        <v>#N/A</v>
      </c>
      <c r="J358" s="15">
        <v>1.0</v>
      </c>
    </row>
    <row r="359">
      <c r="A359" s="11">
        <v>46139.91009984954</v>
      </c>
      <c r="B359" s="9" t="s">
        <v>329</v>
      </c>
      <c r="C359" s="9" t="s">
        <v>180</v>
      </c>
      <c r="D359" s="37" t="s">
        <v>57</v>
      </c>
      <c r="E359" s="14"/>
      <c r="F359" s="15">
        <v>1.0</v>
      </c>
      <c r="G359" s="37" t="s">
        <v>65</v>
      </c>
      <c r="H359" s="31" t="e">
        <v>#N/A</v>
      </c>
      <c r="I359" s="31" t="e">
        <v>#N/A</v>
      </c>
      <c r="J359" s="15">
        <v>1.0</v>
      </c>
    </row>
    <row r="360">
      <c r="A360" s="11">
        <v>46139.912791875</v>
      </c>
      <c r="B360" s="9" t="s">
        <v>184</v>
      </c>
      <c r="C360" s="9" t="s">
        <v>340</v>
      </c>
      <c r="D360" s="9" t="s">
        <v>19</v>
      </c>
      <c r="E360" s="14"/>
      <c r="F360" s="15">
        <v>1.0</v>
      </c>
      <c r="G360" s="37" t="s">
        <v>65</v>
      </c>
      <c r="H360" s="31" t="e">
        <v>#N/A</v>
      </c>
      <c r="I360" s="31" t="e">
        <v>#N/A</v>
      </c>
      <c r="J360" s="15">
        <v>1.0</v>
      </c>
    </row>
    <row r="361">
      <c r="A361" s="11">
        <v>46139.91604113426</v>
      </c>
      <c r="B361" s="9" t="s">
        <v>342</v>
      </c>
      <c r="C361" s="9" t="s">
        <v>315</v>
      </c>
      <c r="D361" s="9" t="s">
        <v>19</v>
      </c>
      <c r="E361" s="14"/>
      <c r="F361" s="15">
        <v>1.0</v>
      </c>
      <c r="G361" s="37" t="s">
        <v>65</v>
      </c>
      <c r="H361" s="31" t="e">
        <v>#N/A</v>
      </c>
      <c r="I361" s="31" t="e">
        <v>#N/A</v>
      </c>
      <c r="J361" s="15">
        <v>1.0</v>
      </c>
    </row>
    <row r="362">
      <c r="A362" s="11">
        <v>46139.916240266204</v>
      </c>
      <c r="B362" s="9" t="s">
        <v>343</v>
      </c>
      <c r="C362" s="9" t="s">
        <v>344</v>
      </c>
      <c r="D362" s="37" t="s">
        <v>57</v>
      </c>
      <c r="E362" s="14"/>
      <c r="F362" s="15">
        <v>1.0</v>
      </c>
      <c r="G362" s="37" t="s">
        <v>65</v>
      </c>
      <c r="H362" s="31" t="e">
        <v>#N/A</v>
      </c>
      <c r="I362" s="31" t="e">
        <v>#N/A</v>
      </c>
      <c r="J362" s="15">
        <v>1.0</v>
      </c>
    </row>
    <row r="363">
      <c r="A363" s="11">
        <v>46139.93063122685</v>
      </c>
      <c r="B363" s="9" t="s">
        <v>324</v>
      </c>
      <c r="C363" s="9" t="s">
        <v>306</v>
      </c>
      <c r="D363" s="37" t="s">
        <v>57</v>
      </c>
      <c r="E363" s="14"/>
      <c r="F363" s="15">
        <v>1.0</v>
      </c>
      <c r="G363" s="37" t="s">
        <v>65</v>
      </c>
      <c r="H363" s="31" t="e">
        <v>#N/A</v>
      </c>
      <c r="I363" s="31" t="e">
        <v>#N/A</v>
      </c>
      <c r="J363" s="15">
        <v>1.0</v>
      </c>
    </row>
    <row r="364">
      <c r="A364" s="11">
        <v>46139.93418278935</v>
      </c>
      <c r="B364" s="9" t="s">
        <v>345</v>
      </c>
      <c r="C364" s="9" t="s">
        <v>318</v>
      </c>
      <c r="D364" s="37" t="s">
        <v>57</v>
      </c>
      <c r="E364" s="54" t="s">
        <v>112</v>
      </c>
      <c r="F364" s="15">
        <v>1.0</v>
      </c>
      <c r="G364" s="37" t="s">
        <v>65</v>
      </c>
      <c r="H364" s="31" t="e">
        <v>#N/A</v>
      </c>
      <c r="I364" s="31" t="e">
        <v>#N/A</v>
      </c>
      <c r="J364" s="15">
        <v>1.0</v>
      </c>
    </row>
    <row r="365">
      <c r="A365" s="11">
        <v>46139.936237835645</v>
      </c>
      <c r="B365" s="9" t="s">
        <v>346</v>
      </c>
      <c r="C365" s="9" t="s">
        <v>329</v>
      </c>
      <c r="D365" s="9" t="s">
        <v>19</v>
      </c>
      <c r="E365" s="54" t="s">
        <v>270</v>
      </c>
      <c r="F365" s="15">
        <v>1.0</v>
      </c>
      <c r="G365" s="37" t="s">
        <v>65</v>
      </c>
      <c r="H365" s="31" t="e">
        <v>#N/A</v>
      </c>
      <c r="I365" s="31" t="e">
        <v>#N/A</v>
      </c>
      <c r="J365" s="15">
        <v>1.0</v>
      </c>
    </row>
    <row r="366">
      <c r="A366" s="11">
        <v>46139.936507245366</v>
      </c>
      <c r="B366" s="9" t="s">
        <v>340</v>
      </c>
      <c r="C366" s="9" t="s">
        <v>315</v>
      </c>
      <c r="D366" s="9" t="s">
        <v>19</v>
      </c>
      <c r="E366" s="14"/>
      <c r="F366" s="15">
        <v>1.0</v>
      </c>
      <c r="G366" s="37" t="s">
        <v>65</v>
      </c>
      <c r="H366" s="31" t="e">
        <v>#N/A</v>
      </c>
      <c r="I366" s="31" t="e">
        <v>#N/A</v>
      </c>
      <c r="J366" s="15">
        <v>1.0</v>
      </c>
    </row>
    <row r="367">
      <c r="A367" s="11">
        <v>46139.94313053241</v>
      </c>
      <c r="B367" s="9" t="s">
        <v>347</v>
      </c>
      <c r="C367" s="9" t="s">
        <v>173</v>
      </c>
      <c r="D367" s="37" t="s">
        <v>57</v>
      </c>
      <c r="E367" s="14"/>
      <c r="F367" s="15">
        <v>1.0</v>
      </c>
      <c r="G367" s="37" t="s">
        <v>65</v>
      </c>
      <c r="H367" s="31" t="e">
        <v>#N/A</v>
      </c>
      <c r="I367" s="31" t="e">
        <v>#N/A</v>
      </c>
      <c r="J367" s="15">
        <v>1.0</v>
      </c>
    </row>
    <row r="368">
      <c r="A368" s="11">
        <v>46139.95631479166</v>
      </c>
      <c r="B368" s="9" t="s">
        <v>324</v>
      </c>
      <c r="C368" s="9" t="s">
        <v>342</v>
      </c>
      <c r="D368" s="37" t="s">
        <v>57</v>
      </c>
      <c r="E368" s="14"/>
      <c r="F368" s="15">
        <v>1.0</v>
      </c>
      <c r="G368" s="37" t="s">
        <v>65</v>
      </c>
      <c r="H368" s="31" t="e">
        <v>#N/A</v>
      </c>
      <c r="I368" s="31" t="e">
        <v>#N/A</v>
      </c>
      <c r="J368" s="15">
        <v>1.0</v>
      </c>
    </row>
    <row r="369">
      <c r="A369" s="11">
        <v>46139.95794555555</v>
      </c>
      <c r="B369" s="9" t="s">
        <v>306</v>
      </c>
      <c r="C369" s="9" t="s">
        <v>340</v>
      </c>
      <c r="D369" s="9" t="s">
        <v>19</v>
      </c>
      <c r="E369" s="54" t="s">
        <v>122</v>
      </c>
      <c r="F369" s="15">
        <v>1.0</v>
      </c>
      <c r="G369" s="37" t="s">
        <v>65</v>
      </c>
      <c r="H369" s="31" t="e">
        <v>#N/A</v>
      </c>
      <c r="I369" s="31" t="e">
        <v>#N/A</v>
      </c>
      <c r="J369" s="15">
        <v>1.0</v>
      </c>
    </row>
    <row r="370">
      <c r="A370" s="11">
        <v>46139.96025325231</v>
      </c>
      <c r="B370" s="9" t="s">
        <v>320</v>
      </c>
      <c r="C370" s="9" t="s">
        <v>252</v>
      </c>
      <c r="D370" s="9" t="s">
        <v>19</v>
      </c>
      <c r="E370" s="14"/>
      <c r="F370" s="15">
        <v>1.0</v>
      </c>
      <c r="G370" s="37" t="s">
        <v>65</v>
      </c>
      <c r="H370" s="31" t="e">
        <v>#N/A</v>
      </c>
      <c r="I370" s="31" t="e">
        <v>#N/A</v>
      </c>
      <c r="J370" s="15">
        <v>1.0</v>
      </c>
    </row>
    <row r="371">
      <c r="A371" s="11">
        <v>46139.96352609954</v>
      </c>
      <c r="B371" s="9" t="s">
        <v>347</v>
      </c>
      <c r="C371" s="9" t="s">
        <v>348</v>
      </c>
      <c r="D371" s="9" t="s">
        <v>19</v>
      </c>
      <c r="E371" s="14"/>
      <c r="F371" s="15">
        <v>1.0</v>
      </c>
      <c r="G371" s="37" t="s">
        <v>65</v>
      </c>
      <c r="H371" s="31" t="e">
        <v>#N/A</v>
      </c>
      <c r="I371" s="31" t="e">
        <v>#N/A</v>
      </c>
      <c r="J371" s="15">
        <v>1.0</v>
      </c>
    </row>
    <row r="372">
      <c r="A372" s="11">
        <v>46139.9742895949</v>
      </c>
      <c r="B372" s="9" t="s">
        <v>349</v>
      </c>
      <c r="C372" s="9" t="s">
        <v>164</v>
      </c>
      <c r="D372" s="9" t="s">
        <v>19</v>
      </c>
      <c r="E372" s="14"/>
      <c r="F372" s="15">
        <v>1.0</v>
      </c>
      <c r="G372" s="37" t="s">
        <v>65</v>
      </c>
      <c r="H372" s="31" t="e">
        <v>#N/A</v>
      </c>
      <c r="I372" s="31" t="e">
        <v>#N/A</v>
      </c>
      <c r="J372" s="15">
        <v>1.0</v>
      </c>
    </row>
    <row r="373">
      <c r="A373" s="11">
        <v>46139.98672555556</v>
      </c>
      <c r="B373" s="9" t="s">
        <v>349</v>
      </c>
      <c r="C373" s="9" t="s">
        <v>347</v>
      </c>
      <c r="D373" s="9" t="s">
        <v>19</v>
      </c>
      <c r="E373" s="14"/>
      <c r="F373" s="15">
        <v>1.0</v>
      </c>
      <c r="G373" s="37" t="s">
        <v>65</v>
      </c>
      <c r="H373" s="31" t="e">
        <v>#N/A</v>
      </c>
      <c r="I373" s="31" t="e">
        <v>#N/A</v>
      </c>
      <c r="J373" s="15">
        <v>1.0</v>
      </c>
    </row>
    <row r="374">
      <c r="A374" s="11">
        <v>46139.99173195602</v>
      </c>
      <c r="B374" s="9" t="s">
        <v>245</v>
      </c>
      <c r="C374" s="9" t="s">
        <v>303</v>
      </c>
      <c r="D374" s="9" t="s">
        <v>19</v>
      </c>
      <c r="E374" s="54" t="s">
        <v>122</v>
      </c>
      <c r="F374" s="15">
        <v>1.0</v>
      </c>
      <c r="G374" s="37" t="s">
        <v>65</v>
      </c>
      <c r="H374" s="31" t="e">
        <v>#N/A</v>
      </c>
      <c r="I374" s="31" t="e">
        <v>#N/A</v>
      </c>
      <c r="J374" s="15">
        <v>1.0</v>
      </c>
    </row>
    <row r="375">
      <c r="A375" s="11">
        <v>46140.00459358796</v>
      </c>
      <c r="B375" s="9" t="s">
        <v>290</v>
      </c>
      <c r="C375" s="9" t="s">
        <v>157</v>
      </c>
      <c r="D375" s="37" t="s">
        <v>57</v>
      </c>
      <c r="E375" s="54" t="s">
        <v>140</v>
      </c>
      <c r="F375" s="15">
        <v>1.0</v>
      </c>
      <c r="G375" s="37" t="s">
        <v>65</v>
      </c>
      <c r="H375" s="31" t="e">
        <v>#N/A</v>
      </c>
      <c r="I375" s="31" t="e">
        <v>#N/A</v>
      </c>
      <c r="J375" s="15">
        <v>1.0</v>
      </c>
    </row>
    <row r="376">
      <c r="A376" s="11">
        <v>46140.015635625</v>
      </c>
      <c r="B376" s="9" t="s">
        <v>347</v>
      </c>
      <c r="C376" s="9" t="s">
        <v>252</v>
      </c>
      <c r="D376" s="9" t="s">
        <v>19</v>
      </c>
      <c r="E376" s="14"/>
      <c r="F376" s="15">
        <v>1.0</v>
      </c>
      <c r="G376" s="37" t="s">
        <v>65</v>
      </c>
      <c r="H376" s="31" t="e">
        <v>#N/A</v>
      </c>
      <c r="I376" s="31" t="e">
        <v>#N/A</v>
      </c>
      <c r="J376" s="15">
        <v>1.0</v>
      </c>
    </row>
    <row r="377">
      <c r="A377" s="11">
        <v>46140.02039416667</v>
      </c>
      <c r="B377" s="9" t="s">
        <v>349</v>
      </c>
      <c r="C377" s="9" t="s">
        <v>77</v>
      </c>
      <c r="D377" s="37" t="s">
        <v>57</v>
      </c>
      <c r="E377" s="14"/>
      <c r="F377" s="15">
        <v>1.0</v>
      </c>
      <c r="G377" s="37" t="s">
        <v>65</v>
      </c>
      <c r="H377" s="31" t="e">
        <v>#N/A</v>
      </c>
      <c r="I377" s="31" t="e">
        <v>#N/A</v>
      </c>
      <c r="J377" s="15">
        <v>1.0</v>
      </c>
    </row>
    <row r="378">
      <c r="A378" s="11">
        <v>46140.03848420139</v>
      </c>
      <c r="B378" s="9" t="s">
        <v>347</v>
      </c>
      <c r="C378" s="9" t="s">
        <v>67</v>
      </c>
      <c r="D378" s="9" t="s">
        <v>19</v>
      </c>
      <c r="E378" s="14"/>
      <c r="F378" s="15">
        <v>1.0</v>
      </c>
      <c r="G378" s="37" t="s">
        <v>65</v>
      </c>
      <c r="H378" s="31" t="e">
        <v>#N/A</v>
      </c>
      <c r="I378" s="31" t="e">
        <v>#N/A</v>
      </c>
      <c r="J378" s="15">
        <v>1.0</v>
      </c>
    </row>
    <row r="379">
      <c r="A379" s="11">
        <v>46140.05345266203</v>
      </c>
      <c r="B379" s="9" t="s">
        <v>337</v>
      </c>
      <c r="C379" s="9" t="s">
        <v>323</v>
      </c>
      <c r="D379" s="37" t="s">
        <v>57</v>
      </c>
      <c r="E379" s="14"/>
      <c r="F379" s="15">
        <v>1.0</v>
      </c>
      <c r="G379" s="37" t="s">
        <v>65</v>
      </c>
      <c r="H379" s="31" t="e">
        <v>#N/A</v>
      </c>
      <c r="I379" s="31" t="e">
        <v>#N/A</v>
      </c>
      <c r="J379" s="15">
        <v>1.0</v>
      </c>
    </row>
    <row r="380">
      <c r="A380" s="11">
        <v>46140.265909849535</v>
      </c>
      <c r="B380" s="9" t="s">
        <v>350</v>
      </c>
      <c r="C380" s="9" t="s">
        <v>287</v>
      </c>
      <c r="D380" s="37" t="s">
        <v>57</v>
      </c>
      <c r="E380" s="14"/>
      <c r="F380" s="15">
        <v>1.0</v>
      </c>
      <c r="G380" s="37" t="s">
        <v>65</v>
      </c>
      <c r="H380" s="31" t="e">
        <v>#N/A</v>
      </c>
      <c r="I380" s="31" t="e">
        <v>#N/A</v>
      </c>
      <c r="J380" s="15">
        <v>1.0</v>
      </c>
    </row>
    <row r="381">
      <c r="A381" s="11">
        <v>46140.345721736114</v>
      </c>
      <c r="B381" s="9" t="s">
        <v>237</v>
      </c>
      <c r="C381" s="9" t="s">
        <v>156</v>
      </c>
      <c r="D381" s="37" t="s">
        <v>57</v>
      </c>
      <c r="E381" s="54" t="s">
        <v>122</v>
      </c>
      <c r="F381" s="15">
        <v>1.0</v>
      </c>
      <c r="G381" s="37" t="s">
        <v>65</v>
      </c>
      <c r="H381" s="31" t="e">
        <v>#N/A</v>
      </c>
      <c r="I381" s="31" t="e">
        <v>#N/A</v>
      </c>
      <c r="J381" s="15">
        <v>1.0</v>
      </c>
    </row>
    <row r="382">
      <c r="A382" s="11">
        <v>46140.40294828704</v>
      </c>
      <c r="B382" s="9" t="s">
        <v>274</v>
      </c>
      <c r="C382" s="9" t="s">
        <v>351</v>
      </c>
      <c r="D382" s="37" t="s">
        <v>57</v>
      </c>
      <c r="E382" s="14"/>
      <c r="F382" s="15">
        <v>1.0</v>
      </c>
      <c r="G382" s="37" t="s">
        <v>65</v>
      </c>
      <c r="H382" s="31" t="e">
        <v>#N/A</v>
      </c>
      <c r="I382" s="31" t="e">
        <v>#N/A</v>
      </c>
      <c r="J382" s="15">
        <v>1.0</v>
      </c>
    </row>
    <row r="383">
      <c r="A383" s="11">
        <v>46140.4067525</v>
      </c>
      <c r="B383" s="9" t="s">
        <v>260</v>
      </c>
      <c r="C383" s="9" t="s">
        <v>352</v>
      </c>
      <c r="D383" s="37" t="s">
        <v>57</v>
      </c>
      <c r="E383" s="14"/>
      <c r="F383" s="15">
        <v>1.0</v>
      </c>
      <c r="G383" s="37" t="s">
        <v>65</v>
      </c>
      <c r="H383" s="31" t="e">
        <v>#N/A</v>
      </c>
      <c r="I383" s="31" t="e">
        <v>#N/A</v>
      </c>
      <c r="J383" s="15">
        <v>1.0</v>
      </c>
    </row>
    <row r="384">
      <c r="A384" s="11">
        <v>46140.50055611111</v>
      </c>
      <c r="B384" s="9" t="s">
        <v>284</v>
      </c>
      <c r="C384" s="9" t="s">
        <v>328</v>
      </c>
      <c r="D384" s="37" t="s">
        <v>57</v>
      </c>
      <c r="E384" s="54" t="s">
        <v>353</v>
      </c>
      <c r="F384" s="15">
        <v>1.0</v>
      </c>
      <c r="G384" s="37" t="s">
        <v>65</v>
      </c>
      <c r="H384" s="31" t="e">
        <v>#N/A</v>
      </c>
      <c r="I384" s="31" t="e">
        <v>#N/A</v>
      </c>
      <c r="J384" s="15">
        <v>1.0</v>
      </c>
    </row>
    <row r="385">
      <c r="A385" s="11">
        <v>46140.51028138889</v>
      </c>
      <c r="B385" s="9" t="s">
        <v>333</v>
      </c>
      <c r="C385" s="9" t="s">
        <v>354</v>
      </c>
      <c r="D385" s="9" t="s">
        <v>19</v>
      </c>
      <c r="E385" s="14"/>
      <c r="F385" s="15">
        <v>1.0</v>
      </c>
      <c r="G385" s="37" t="s">
        <v>65</v>
      </c>
      <c r="H385" s="31" t="e">
        <v>#N/A</v>
      </c>
      <c r="I385" s="31" t="e">
        <v>#N/A</v>
      </c>
      <c r="J385" s="15">
        <v>1.0</v>
      </c>
    </row>
    <row r="386">
      <c r="A386" s="11">
        <v>46140.53701263889</v>
      </c>
      <c r="B386" s="9" t="s">
        <v>328</v>
      </c>
      <c r="C386" s="9" t="s">
        <v>350</v>
      </c>
      <c r="D386" s="37" t="s">
        <v>57</v>
      </c>
      <c r="E386" s="14"/>
      <c r="F386" s="15">
        <v>1.0</v>
      </c>
      <c r="G386" s="37" t="s">
        <v>65</v>
      </c>
      <c r="H386" s="31" t="e">
        <v>#N/A</v>
      </c>
      <c r="I386" s="31" t="e">
        <v>#N/A</v>
      </c>
      <c r="J386" s="15">
        <v>1.0</v>
      </c>
    </row>
    <row r="387">
      <c r="A387" s="11">
        <v>46140.5411106713</v>
      </c>
      <c r="B387" s="9" t="s">
        <v>77</v>
      </c>
      <c r="C387" s="9" t="s">
        <v>320</v>
      </c>
      <c r="D387" s="37" t="s">
        <v>57</v>
      </c>
      <c r="E387" s="14"/>
      <c r="F387" s="15">
        <v>1.0</v>
      </c>
      <c r="G387" s="37" t="s">
        <v>65</v>
      </c>
      <c r="H387" s="31" t="e">
        <v>#N/A</v>
      </c>
      <c r="I387" s="31" t="e">
        <v>#N/A</v>
      </c>
      <c r="J387" s="15">
        <v>1.0</v>
      </c>
    </row>
    <row r="388">
      <c r="A388" s="11">
        <v>46140.57243605324</v>
      </c>
      <c r="B388" s="9" t="s">
        <v>318</v>
      </c>
      <c r="C388" s="9" t="s">
        <v>355</v>
      </c>
      <c r="D388" s="37" t="s">
        <v>57</v>
      </c>
      <c r="E388" s="14"/>
      <c r="F388" s="15">
        <v>1.0</v>
      </c>
      <c r="G388" s="37" t="s">
        <v>65</v>
      </c>
      <c r="H388" s="31" t="e">
        <v>#N/A</v>
      </c>
      <c r="I388" s="31" t="e">
        <v>#N/A</v>
      </c>
      <c r="J388" s="15">
        <v>1.0</v>
      </c>
    </row>
    <row r="389">
      <c r="A389" s="11">
        <v>46140.612614756945</v>
      </c>
      <c r="B389" s="9" t="s">
        <v>318</v>
      </c>
      <c r="C389" s="9" t="s">
        <v>157</v>
      </c>
      <c r="D389" s="9" t="s">
        <v>19</v>
      </c>
      <c r="E389" s="14"/>
      <c r="F389" s="15">
        <v>1.0</v>
      </c>
      <c r="G389" s="37" t="s">
        <v>65</v>
      </c>
      <c r="H389" s="31" t="e">
        <v>#N/A</v>
      </c>
      <c r="I389" s="31" t="e">
        <v>#N/A</v>
      </c>
      <c r="J389" s="15">
        <v>1.0</v>
      </c>
    </row>
    <row r="390">
      <c r="A390" s="11">
        <v>46140.624596215275</v>
      </c>
      <c r="B390" s="9" t="s">
        <v>356</v>
      </c>
      <c r="C390" s="9" t="s">
        <v>191</v>
      </c>
      <c r="D390" s="9" t="s">
        <v>19</v>
      </c>
      <c r="E390" s="54" t="s">
        <v>357</v>
      </c>
      <c r="F390" s="15">
        <v>1.0</v>
      </c>
      <c r="G390" s="37" t="s">
        <v>65</v>
      </c>
      <c r="H390" s="31" t="e">
        <v>#N/A</v>
      </c>
      <c r="I390" s="31" t="e">
        <v>#N/A</v>
      </c>
      <c r="J390" s="15">
        <v>1.0</v>
      </c>
    </row>
    <row r="391">
      <c r="A391" s="11">
        <v>46140.6309128588</v>
      </c>
      <c r="B391" s="9" t="s">
        <v>284</v>
      </c>
      <c r="C391" s="9" t="s">
        <v>274</v>
      </c>
      <c r="D391" s="37" t="s">
        <v>57</v>
      </c>
      <c r="E391" s="54" t="s">
        <v>358</v>
      </c>
      <c r="F391" s="15">
        <v>1.0</v>
      </c>
      <c r="G391" s="37" t="s">
        <v>65</v>
      </c>
      <c r="H391" s="31" t="e">
        <v>#N/A</v>
      </c>
      <c r="I391" s="31" t="e">
        <v>#N/A</v>
      </c>
      <c r="J391" s="15">
        <v>1.0</v>
      </c>
    </row>
    <row r="392">
      <c r="A392" s="11">
        <v>46140.64218224537</v>
      </c>
      <c r="B392" s="9" t="s">
        <v>320</v>
      </c>
      <c r="C392" s="9" t="s">
        <v>286</v>
      </c>
      <c r="D392" s="37" t="s">
        <v>57</v>
      </c>
      <c r="E392" s="14"/>
      <c r="F392" s="15">
        <v>1.0</v>
      </c>
      <c r="G392" s="37" t="s">
        <v>65</v>
      </c>
      <c r="H392" s="31" t="e">
        <v>#N/A</v>
      </c>
      <c r="I392" s="31" t="e">
        <v>#N/A</v>
      </c>
      <c r="J392" s="15">
        <v>1.0</v>
      </c>
    </row>
    <row r="393">
      <c r="A393" s="11">
        <v>46140.643760833336</v>
      </c>
      <c r="B393" s="9" t="s">
        <v>336</v>
      </c>
      <c r="C393" s="9" t="s">
        <v>229</v>
      </c>
      <c r="D393" s="9" t="s">
        <v>19</v>
      </c>
      <c r="E393" s="54" t="s">
        <v>122</v>
      </c>
      <c r="F393" s="15">
        <v>1.0</v>
      </c>
      <c r="G393" s="37" t="s">
        <v>65</v>
      </c>
      <c r="H393" s="31" t="e">
        <v>#N/A</v>
      </c>
      <c r="I393" s="31" t="e">
        <v>#N/A</v>
      </c>
      <c r="J393" s="15">
        <v>1.0</v>
      </c>
    </row>
    <row r="394">
      <c r="A394" s="11">
        <v>46140.672742407405</v>
      </c>
      <c r="B394" s="9" t="s">
        <v>336</v>
      </c>
      <c r="C394" s="9" t="s">
        <v>296</v>
      </c>
      <c r="D394" s="9" t="s">
        <v>19</v>
      </c>
      <c r="E394" s="54" t="s">
        <v>140</v>
      </c>
      <c r="F394" s="15">
        <v>1.0</v>
      </c>
      <c r="G394" s="37" t="s">
        <v>65</v>
      </c>
      <c r="H394" s="31" t="e">
        <v>#N/A</v>
      </c>
      <c r="I394" s="31" t="e">
        <v>#N/A</v>
      </c>
      <c r="J394" s="15">
        <v>1.0</v>
      </c>
    </row>
    <row r="395">
      <c r="A395" s="11">
        <v>46140.67485157408</v>
      </c>
      <c r="B395" s="9" t="s">
        <v>333</v>
      </c>
      <c r="C395" s="9" t="s">
        <v>313</v>
      </c>
      <c r="D395" s="37" t="s">
        <v>57</v>
      </c>
      <c r="E395" s="14"/>
      <c r="F395" s="15">
        <v>1.0</v>
      </c>
      <c r="G395" s="37" t="s">
        <v>65</v>
      </c>
      <c r="H395" s="31" t="e">
        <v>#N/A</v>
      </c>
      <c r="I395" s="31" t="e">
        <v>#N/A</v>
      </c>
      <c r="J395" s="15">
        <v>1.0</v>
      </c>
    </row>
    <row r="396">
      <c r="A396" s="11">
        <v>46140.68338850694</v>
      </c>
      <c r="B396" s="9" t="s">
        <v>333</v>
      </c>
      <c r="C396" s="9" t="s">
        <v>336</v>
      </c>
      <c r="D396" s="9" t="s">
        <v>19</v>
      </c>
      <c r="E396" s="14"/>
      <c r="F396" s="15">
        <v>1.0</v>
      </c>
      <c r="G396" s="37" t="s">
        <v>65</v>
      </c>
      <c r="H396" s="31" t="e">
        <v>#N/A</v>
      </c>
      <c r="I396" s="31" t="e">
        <v>#N/A</v>
      </c>
      <c r="J396" s="15">
        <v>1.0</v>
      </c>
    </row>
    <row r="397">
      <c r="A397" s="11">
        <v>46140.69434403935</v>
      </c>
      <c r="B397" s="9" t="s">
        <v>296</v>
      </c>
      <c r="C397" s="9" t="s">
        <v>359</v>
      </c>
      <c r="D397" s="37" t="s">
        <v>57</v>
      </c>
      <c r="E397" s="14"/>
      <c r="F397" s="15">
        <v>1.0</v>
      </c>
      <c r="G397" s="37" t="s">
        <v>65</v>
      </c>
      <c r="H397" s="31" t="e">
        <v>#N/A</v>
      </c>
      <c r="I397" s="31" t="e">
        <v>#N/A</v>
      </c>
      <c r="J397" s="15">
        <v>1.0</v>
      </c>
    </row>
    <row r="398">
      <c r="A398" s="11">
        <v>46140.69732832176</v>
      </c>
      <c r="B398" s="9" t="s">
        <v>333</v>
      </c>
      <c r="C398" s="9" t="s">
        <v>224</v>
      </c>
      <c r="D398" s="9" t="s">
        <v>19</v>
      </c>
      <c r="E398" s="14"/>
      <c r="F398" s="15">
        <v>1.0</v>
      </c>
      <c r="G398" s="37" t="s">
        <v>65</v>
      </c>
      <c r="H398" s="31" t="e">
        <v>#N/A</v>
      </c>
      <c r="I398" s="31" t="e">
        <v>#N/A</v>
      </c>
      <c r="J398" s="15">
        <v>1.0</v>
      </c>
    </row>
    <row r="399">
      <c r="A399" s="11">
        <v>46140.72854640047</v>
      </c>
      <c r="B399" s="9" t="s">
        <v>224</v>
      </c>
      <c r="C399" s="9" t="s">
        <v>248</v>
      </c>
      <c r="D399" s="9" t="s">
        <v>19</v>
      </c>
      <c r="E399" s="54" t="s">
        <v>360</v>
      </c>
      <c r="F399" s="15">
        <v>1.0</v>
      </c>
      <c r="G399" s="37" t="s">
        <v>65</v>
      </c>
      <c r="H399" s="31" t="e">
        <v>#N/A</v>
      </c>
      <c r="I399" s="31" t="e">
        <v>#N/A</v>
      </c>
      <c r="J399" s="15">
        <v>1.0</v>
      </c>
    </row>
    <row r="400">
      <c r="A400" s="11">
        <v>46140.74117180555</v>
      </c>
      <c r="B400" s="9" t="s">
        <v>161</v>
      </c>
      <c r="C400" s="9" t="s">
        <v>249</v>
      </c>
      <c r="D400" s="9" t="s">
        <v>19</v>
      </c>
      <c r="E400" s="54" t="s">
        <v>361</v>
      </c>
      <c r="F400" s="15">
        <v>1.0</v>
      </c>
      <c r="G400" s="37" t="s">
        <v>65</v>
      </c>
      <c r="H400" s="31" t="e">
        <v>#N/A</v>
      </c>
      <c r="I400" s="31" t="e">
        <v>#N/A</v>
      </c>
      <c r="J400" s="15">
        <v>1.0</v>
      </c>
    </row>
    <row r="401">
      <c r="A401" s="11">
        <v>46140.749621111114</v>
      </c>
      <c r="B401" s="9" t="s">
        <v>356</v>
      </c>
      <c r="C401" s="9" t="s">
        <v>362</v>
      </c>
      <c r="D401" s="9" t="s">
        <v>19</v>
      </c>
      <c r="E401" s="54" t="s">
        <v>363</v>
      </c>
      <c r="F401" s="15">
        <v>1.0</v>
      </c>
      <c r="G401" s="37" t="s">
        <v>65</v>
      </c>
      <c r="H401" s="31" t="e">
        <v>#N/A</v>
      </c>
      <c r="I401" s="31" t="e">
        <v>#N/A</v>
      </c>
      <c r="J401" s="15">
        <v>1.0</v>
      </c>
    </row>
    <row r="402">
      <c r="A402" s="11">
        <v>46140.78920569444</v>
      </c>
      <c r="B402" s="9" t="s">
        <v>249</v>
      </c>
      <c r="C402" s="9" t="s">
        <v>109</v>
      </c>
      <c r="D402" s="9" t="s">
        <v>19</v>
      </c>
      <c r="E402" s="14"/>
      <c r="F402" s="15">
        <v>1.0</v>
      </c>
      <c r="G402" s="37" t="s">
        <v>65</v>
      </c>
      <c r="H402" s="31" t="e">
        <v>#N/A</v>
      </c>
      <c r="I402" s="31" t="e">
        <v>#N/A</v>
      </c>
      <c r="J402" s="15">
        <v>1.0</v>
      </c>
    </row>
    <row r="403">
      <c r="A403" s="11">
        <v>46140.805352615746</v>
      </c>
      <c r="B403" s="9" t="s">
        <v>356</v>
      </c>
      <c r="C403" s="9" t="s">
        <v>337</v>
      </c>
      <c r="D403" s="9" t="s">
        <v>19</v>
      </c>
      <c r="E403" s="54" t="s">
        <v>364</v>
      </c>
      <c r="F403" s="15">
        <v>1.0</v>
      </c>
      <c r="G403" s="37" t="s">
        <v>65</v>
      </c>
      <c r="H403" s="31" t="e">
        <v>#N/A</v>
      </c>
      <c r="I403" s="31" t="e">
        <v>#N/A</v>
      </c>
      <c r="J403" s="15">
        <v>1.0</v>
      </c>
    </row>
    <row r="404">
      <c r="A404" s="11">
        <v>46140.82515013889</v>
      </c>
      <c r="B404" s="9" t="s">
        <v>349</v>
      </c>
      <c r="C404" s="9" t="s">
        <v>249</v>
      </c>
      <c r="D404" s="37" t="s">
        <v>57</v>
      </c>
      <c r="E404" s="14"/>
      <c r="F404" s="15">
        <v>1.0</v>
      </c>
      <c r="G404" s="37" t="s">
        <v>65</v>
      </c>
      <c r="H404" s="31" t="e">
        <v>#N/A</v>
      </c>
      <c r="I404" s="31" t="e">
        <v>#N/A</v>
      </c>
      <c r="J404" s="15">
        <v>1.0</v>
      </c>
    </row>
    <row r="405">
      <c r="A405" s="11">
        <v>46140.82518648148</v>
      </c>
      <c r="B405" s="9" t="s">
        <v>271</v>
      </c>
      <c r="C405" s="9" t="s">
        <v>336</v>
      </c>
      <c r="D405" s="37" t="s">
        <v>57</v>
      </c>
      <c r="E405" s="54" t="s">
        <v>365</v>
      </c>
      <c r="F405" s="15">
        <v>1.0</v>
      </c>
      <c r="G405" s="37" t="s">
        <v>65</v>
      </c>
      <c r="H405" s="31" t="e">
        <v>#N/A</v>
      </c>
      <c r="I405" s="31" t="e">
        <v>#N/A</v>
      </c>
      <c r="J405" s="15">
        <v>1.0</v>
      </c>
    </row>
    <row r="406">
      <c r="A406" s="11">
        <v>46140.85031546296</v>
      </c>
      <c r="B406" s="9" t="s">
        <v>304</v>
      </c>
      <c r="C406" s="9" t="s">
        <v>366</v>
      </c>
      <c r="D406" s="37" t="s">
        <v>57</v>
      </c>
      <c r="E406" s="54" t="s">
        <v>176</v>
      </c>
      <c r="F406" s="15">
        <v>1.0</v>
      </c>
      <c r="G406" s="37" t="s">
        <v>65</v>
      </c>
      <c r="H406" s="31" t="e">
        <v>#N/A</v>
      </c>
      <c r="I406" s="31" t="e">
        <v>#N/A</v>
      </c>
      <c r="J406" s="15">
        <v>1.0</v>
      </c>
    </row>
    <row r="407">
      <c r="A407" s="11">
        <v>46140.85177913195</v>
      </c>
      <c r="B407" s="9" t="s">
        <v>367</v>
      </c>
      <c r="C407" s="9" t="s">
        <v>368</v>
      </c>
      <c r="D407" s="37" t="s">
        <v>57</v>
      </c>
      <c r="E407" s="14"/>
      <c r="F407" s="15">
        <v>1.0</v>
      </c>
      <c r="G407" s="37" t="s">
        <v>65</v>
      </c>
      <c r="H407" s="31" t="e">
        <v>#N/A</v>
      </c>
      <c r="I407" s="31" t="e">
        <v>#N/A</v>
      </c>
      <c r="J407" s="15">
        <v>1.0</v>
      </c>
    </row>
    <row r="408">
      <c r="A408" s="11">
        <v>46140.856326319445</v>
      </c>
      <c r="B408" s="9" t="s">
        <v>322</v>
      </c>
      <c r="C408" s="9" t="s">
        <v>249</v>
      </c>
      <c r="D408" s="37" t="s">
        <v>57</v>
      </c>
      <c r="E408" s="14"/>
      <c r="F408" s="15">
        <v>1.0</v>
      </c>
      <c r="G408" s="37" t="s">
        <v>65</v>
      </c>
      <c r="H408" s="31" t="e">
        <v>#N/A</v>
      </c>
      <c r="I408" s="31" t="e">
        <v>#N/A</v>
      </c>
      <c r="J408" s="15">
        <v>1.0</v>
      </c>
    </row>
    <row r="409">
      <c r="A409" s="11">
        <v>46140.868620023146</v>
      </c>
      <c r="B409" s="9" t="s">
        <v>276</v>
      </c>
      <c r="C409" s="9" t="s">
        <v>369</v>
      </c>
      <c r="D409" s="9" t="s">
        <v>19</v>
      </c>
      <c r="E409" s="54" t="s">
        <v>370</v>
      </c>
      <c r="F409" s="15">
        <v>1.0</v>
      </c>
      <c r="G409" s="37" t="s">
        <v>65</v>
      </c>
      <c r="H409" s="31" t="e">
        <v>#N/A</v>
      </c>
      <c r="I409" s="31" t="e">
        <v>#N/A</v>
      </c>
      <c r="J409" s="15">
        <v>1.0</v>
      </c>
    </row>
    <row r="410">
      <c r="A410" s="11">
        <v>46140.888208344906</v>
      </c>
      <c r="B410" s="9" t="s">
        <v>366</v>
      </c>
      <c r="C410" s="9" t="s">
        <v>312</v>
      </c>
      <c r="D410" s="9" t="s">
        <v>19</v>
      </c>
      <c r="E410" s="14"/>
      <c r="F410" s="15">
        <v>1.0</v>
      </c>
      <c r="G410" s="37" t="s">
        <v>65</v>
      </c>
      <c r="H410" s="31" t="e">
        <v>#N/A</v>
      </c>
      <c r="I410" s="31" t="e">
        <v>#N/A</v>
      </c>
      <c r="J410" s="15">
        <v>1.0</v>
      </c>
    </row>
    <row r="411">
      <c r="A411" s="11">
        <v>46140.89439627314</v>
      </c>
      <c r="B411" s="9" t="s">
        <v>369</v>
      </c>
      <c r="C411" s="9" t="s">
        <v>348</v>
      </c>
      <c r="D411" s="37" t="s">
        <v>57</v>
      </c>
      <c r="E411" s="14"/>
      <c r="F411" s="15">
        <v>1.0</v>
      </c>
      <c r="G411" s="37" t="s">
        <v>65</v>
      </c>
      <c r="H411" s="31" t="e">
        <v>#N/A</v>
      </c>
      <c r="I411" s="31" t="e">
        <v>#N/A</v>
      </c>
      <c r="J411" s="15">
        <v>1.0</v>
      </c>
    </row>
    <row r="412">
      <c r="A412" s="11">
        <v>46140.92179043981</v>
      </c>
      <c r="B412" s="9" t="s">
        <v>260</v>
      </c>
      <c r="C412" s="9" t="s">
        <v>231</v>
      </c>
      <c r="D412" s="37" t="s">
        <v>57</v>
      </c>
      <c r="E412" s="14"/>
      <c r="F412" s="15">
        <v>1.0</v>
      </c>
      <c r="G412" s="37" t="s">
        <v>65</v>
      </c>
      <c r="H412" s="31" t="e">
        <v>#N/A</v>
      </c>
      <c r="I412" s="31" t="e">
        <v>#N/A</v>
      </c>
      <c r="J412" s="15">
        <v>1.0</v>
      </c>
    </row>
    <row r="413">
      <c r="A413" s="11">
        <v>46140.924462916664</v>
      </c>
      <c r="B413" s="9" t="s">
        <v>359</v>
      </c>
      <c r="C413" s="9" t="s">
        <v>349</v>
      </c>
      <c r="D413" s="37" t="s">
        <v>57</v>
      </c>
      <c r="E413" s="54" t="s">
        <v>140</v>
      </c>
      <c r="F413" s="15">
        <v>1.0</v>
      </c>
      <c r="G413" s="37" t="s">
        <v>65</v>
      </c>
      <c r="H413" s="31" t="e">
        <v>#N/A</v>
      </c>
      <c r="I413" s="31" t="e">
        <v>#N/A</v>
      </c>
      <c r="J413" s="15">
        <v>1.0</v>
      </c>
    </row>
    <row r="414">
      <c r="A414" s="11">
        <v>46140.94622987269</v>
      </c>
      <c r="B414" s="9" t="s">
        <v>367</v>
      </c>
      <c r="C414" s="9" t="s">
        <v>371</v>
      </c>
      <c r="D414" s="9" t="s">
        <v>19</v>
      </c>
      <c r="E414" s="14"/>
      <c r="F414" s="15">
        <v>1.0</v>
      </c>
      <c r="G414" s="37" t="s">
        <v>65</v>
      </c>
      <c r="H414" s="31" t="e">
        <v>#N/A</v>
      </c>
      <c r="I414" s="31" t="e">
        <v>#N/A</v>
      </c>
      <c r="J414" s="15">
        <v>1.0</v>
      </c>
    </row>
    <row r="415">
      <c r="A415" s="11">
        <v>46140.94703112269</v>
      </c>
      <c r="B415" s="9" t="s">
        <v>128</v>
      </c>
      <c r="C415" s="9" t="s">
        <v>372</v>
      </c>
      <c r="D415" s="9" t="s">
        <v>19</v>
      </c>
      <c r="E415" s="14"/>
      <c r="F415" s="15">
        <v>1.0</v>
      </c>
      <c r="G415" s="37" t="s">
        <v>65</v>
      </c>
      <c r="H415" s="31" t="e">
        <v>#N/A</v>
      </c>
      <c r="I415" s="31" t="e">
        <v>#N/A</v>
      </c>
      <c r="J415" s="15">
        <v>1.0</v>
      </c>
    </row>
    <row r="416">
      <c r="A416" s="11">
        <v>46140.95511895833</v>
      </c>
      <c r="B416" s="9" t="s">
        <v>231</v>
      </c>
      <c r="C416" s="9" t="s">
        <v>161</v>
      </c>
      <c r="D416" s="9" t="s">
        <v>19</v>
      </c>
      <c r="E416" s="14"/>
      <c r="F416" s="15">
        <v>1.0</v>
      </c>
      <c r="G416" s="37" t="s">
        <v>65</v>
      </c>
      <c r="H416" s="31" t="e">
        <v>#N/A</v>
      </c>
      <c r="I416" s="31" t="e">
        <v>#N/A</v>
      </c>
      <c r="J416" s="15">
        <v>1.0</v>
      </c>
    </row>
    <row r="417">
      <c r="A417" s="11">
        <v>46140.96066981481</v>
      </c>
      <c r="B417" s="9" t="s">
        <v>226</v>
      </c>
      <c r="C417" s="9" t="s">
        <v>373</v>
      </c>
      <c r="D417" s="37" t="s">
        <v>57</v>
      </c>
      <c r="E417" s="54" t="s">
        <v>176</v>
      </c>
      <c r="F417" s="15">
        <v>1.0</v>
      </c>
      <c r="G417" s="37" t="s">
        <v>65</v>
      </c>
      <c r="H417" s="31" t="e">
        <v>#N/A</v>
      </c>
      <c r="I417" s="31" t="e">
        <v>#N/A</v>
      </c>
      <c r="J417" s="15">
        <v>1.0</v>
      </c>
    </row>
    <row r="418">
      <c r="A418" s="11">
        <v>46141.015125081016</v>
      </c>
      <c r="B418" s="9" t="s">
        <v>280</v>
      </c>
      <c r="C418" s="9" t="s">
        <v>373</v>
      </c>
      <c r="D418" s="9" t="s">
        <v>19</v>
      </c>
      <c r="E418" s="54" t="s">
        <v>176</v>
      </c>
      <c r="F418" s="15">
        <v>1.0</v>
      </c>
      <c r="G418" s="37" t="s">
        <v>65</v>
      </c>
      <c r="H418" s="31" t="e">
        <v>#N/A</v>
      </c>
      <c r="I418" s="31" t="e">
        <v>#N/A</v>
      </c>
      <c r="J418" s="15">
        <v>1.0</v>
      </c>
    </row>
    <row r="419">
      <c r="A419" s="11">
        <v>46141.025530983796</v>
      </c>
      <c r="B419" s="9" t="s">
        <v>344</v>
      </c>
      <c r="C419" s="9" t="s">
        <v>323</v>
      </c>
      <c r="D419" s="37" t="s">
        <v>57</v>
      </c>
      <c r="E419" s="54" t="s">
        <v>140</v>
      </c>
      <c r="F419" s="15">
        <v>1.0</v>
      </c>
      <c r="G419" s="37" t="s">
        <v>65</v>
      </c>
      <c r="H419" s="31" t="e">
        <v>#N/A</v>
      </c>
      <c r="I419" s="31" t="e">
        <v>#N/A</v>
      </c>
      <c r="J419" s="15">
        <v>1.0</v>
      </c>
    </row>
    <row r="420">
      <c r="A420" s="11">
        <v>46141.02659140046</v>
      </c>
      <c r="B420" s="9" t="s">
        <v>280</v>
      </c>
      <c r="C420" s="9" t="s">
        <v>355</v>
      </c>
      <c r="D420" s="9" t="s">
        <v>19</v>
      </c>
      <c r="E420" s="54" t="s">
        <v>176</v>
      </c>
      <c r="F420" s="15">
        <v>1.0</v>
      </c>
      <c r="G420" s="37" t="s">
        <v>65</v>
      </c>
      <c r="H420" s="31" t="e">
        <v>#N/A</v>
      </c>
      <c r="I420" s="31" t="e">
        <v>#N/A</v>
      </c>
      <c r="J420" s="15">
        <v>1.0</v>
      </c>
    </row>
    <row r="421">
      <c r="A421" s="11">
        <v>46141.04342207176</v>
      </c>
      <c r="B421" s="9" t="s">
        <v>280</v>
      </c>
      <c r="C421" s="9" t="s">
        <v>374</v>
      </c>
      <c r="D421" s="9" t="s">
        <v>19</v>
      </c>
      <c r="E421" s="54" t="s">
        <v>375</v>
      </c>
      <c r="F421" s="15">
        <v>1.0</v>
      </c>
      <c r="G421" s="37" t="s">
        <v>65</v>
      </c>
      <c r="H421" s="31" t="e">
        <v>#N/A</v>
      </c>
      <c r="I421" s="31" t="e">
        <v>#N/A</v>
      </c>
      <c r="J421" s="15">
        <v>1.0</v>
      </c>
    </row>
    <row r="422">
      <c r="A422" s="11">
        <v>46141.05656295139</v>
      </c>
      <c r="B422" s="9" t="s">
        <v>299</v>
      </c>
      <c r="C422" s="9" t="s">
        <v>376</v>
      </c>
      <c r="D422" s="9" t="s">
        <v>19</v>
      </c>
      <c r="E422" s="14"/>
      <c r="F422" s="15">
        <v>1.0</v>
      </c>
      <c r="G422" s="37" t="s">
        <v>65</v>
      </c>
      <c r="H422" s="31" t="e">
        <v>#N/A</v>
      </c>
      <c r="I422" s="31" t="e">
        <v>#N/A</v>
      </c>
      <c r="J422" s="15">
        <v>1.0</v>
      </c>
    </row>
    <row r="423">
      <c r="A423" s="11">
        <v>46141.28116888889</v>
      </c>
      <c r="B423" s="9" t="s">
        <v>215</v>
      </c>
      <c r="C423" s="9" t="s">
        <v>289</v>
      </c>
      <c r="D423" s="9" t="s">
        <v>19</v>
      </c>
      <c r="E423" s="54" t="s">
        <v>377</v>
      </c>
      <c r="F423" s="15">
        <v>1.0</v>
      </c>
      <c r="G423" s="37" t="s">
        <v>65</v>
      </c>
      <c r="H423" s="31" t="e">
        <v>#N/A</v>
      </c>
      <c r="I423" s="31" t="e">
        <v>#N/A</v>
      </c>
      <c r="J423" s="15">
        <v>1.0</v>
      </c>
    </row>
    <row r="424">
      <c r="A424" s="11">
        <v>46141.445817175925</v>
      </c>
      <c r="B424" s="9" t="s">
        <v>378</v>
      </c>
      <c r="C424" s="9" t="s">
        <v>344</v>
      </c>
      <c r="D424" s="37" t="s">
        <v>57</v>
      </c>
      <c r="E424" s="14"/>
      <c r="F424" s="15">
        <v>1.0</v>
      </c>
      <c r="G424" s="37" t="s">
        <v>65</v>
      </c>
      <c r="H424" s="31" t="e">
        <v>#N/A</v>
      </c>
      <c r="I424" s="31" t="e">
        <v>#N/A</v>
      </c>
      <c r="J424" s="15">
        <v>1.0</v>
      </c>
    </row>
    <row r="425">
      <c r="A425" s="11">
        <v>46141.47551991898</v>
      </c>
      <c r="B425" s="9" t="s">
        <v>344</v>
      </c>
      <c r="C425" s="9" t="s">
        <v>379</v>
      </c>
      <c r="D425" s="9" t="s">
        <v>19</v>
      </c>
      <c r="E425" s="54" t="s">
        <v>380</v>
      </c>
      <c r="F425" s="15">
        <v>1.0</v>
      </c>
      <c r="G425" s="37" t="s">
        <v>65</v>
      </c>
      <c r="H425" s="31" t="e">
        <v>#N/A</v>
      </c>
      <c r="I425" s="31" t="e">
        <v>#N/A</v>
      </c>
      <c r="J425" s="15">
        <v>1.0</v>
      </c>
    </row>
    <row r="426">
      <c r="A426" s="11">
        <v>46141.49605217593</v>
      </c>
      <c r="B426" s="9" t="s">
        <v>185</v>
      </c>
      <c r="C426" s="9" t="s">
        <v>379</v>
      </c>
      <c r="D426" s="9" t="s">
        <v>19</v>
      </c>
      <c r="E426" s="14"/>
      <c r="F426" s="15">
        <v>1.0</v>
      </c>
      <c r="G426" s="37" t="s">
        <v>65</v>
      </c>
      <c r="H426" s="31" t="e">
        <v>#N/A</v>
      </c>
      <c r="I426" s="31" t="e">
        <v>#N/A</v>
      </c>
      <c r="J426" s="15">
        <v>1.0</v>
      </c>
    </row>
    <row r="427">
      <c r="A427" s="11">
        <v>46141.5007805787</v>
      </c>
      <c r="B427" s="9" t="s">
        <v>284</v>
      </c>
      <c r="C427" s="9" t="s">
        <v>344</v>
      </c>
      <c r="D427" s="37" t="s">
        <v>57</v>
      </c>
      <c r="E427" s="54" t="s">
        <v>381</v>
      </c>
      <c r="F427" s="15">
        <v>1.0</v>
      </c>
      <c r="G427" s="37" t="s">
        <v>65</v>
      </c>
      <c r="H427" s="31" t="e">
        <v>#N/A</v>
      </c>
      <c r="I427" s="31" t="e">
        <v>#N/A</v>
      </c>
      <c r="J427" s="15">
        <v>1.0</v>
      </c>
    </row>
    <row r="428">
      <c r="A428" s="11">
        <v>46141.50610615741</v>
      </c>
      <c r="B428" s="9" t="s">
        <v>356</v>
      </c>
      <c r="C428" s="9" t="s">
        <v>181</v>
      </c>
      <c r="D428" s="9" t="s">
        <v>19</v>
      </c>
      <c r="E428" s="54" t="s">
        <v>382</v>
      </c>
      <c r="F428" s="15">
        <v>1.0</v>
      </c>
      <c r="G428" s="37" t="s">
        <v>65</v>
      </c>
      <c r="H428" s="31" t="e">
        <v>#N/A</v>
      </c>
      <c r="I428" s="31" t="e">
        <v>#N/A</v>
      </c>
      <c r="J428" s="15">
        <v>1.0</v>
      </c>
    </row>
    <row r="429">
      <c r="A429" s="11">
        <v>46141.52031891204</v>
      </c>
      <c r="B429" s="9" t="s">
        <v>238</v>
      </c>
      <c r="C429" s="9" t="s">
        <v>379</v>
      </c>
      <c r="D429" s="37" t="s">
        <v>57</v>
      </c>
      <c r="E429" s="54" t="s">
        <v>383</v>
      </c>
      <c r="F429" s="15">
        <v>1.0</v>
      </c>
      <c r="G429" s="37" t="s">
        <v>65</v>
      </c>
      <c r="H429" s="31" t="e">
        <v>#N/A</v>
      </c>
      <c r="I429" s="31" t="e">
        <v>#N/A</v>
      </c>
      <c r="J429" s="15">
        <v>1.0</v>
      </c>
    </row>
    <row r="430">
      <c r="A430" s="11">
        <v>46141.54376119213</v>
      </c>
      <c r="B430" s="9" t="s">
        <v>95</v>
      </c>
      <c r="C430" s="9" t="s">
        <v>326</v>
      </c>
      <c r="D430" s="37" t="s">
        <v>57</v>
      </c>
      <c r="E430" s="14"/>
      <c r="F430" s="15">
        <v>1.0</v>
      </c>
      <c r="G430" s="37" t="s">
        <v>65</v>
      </c>
      <c r="H430" s="31" t="e">
        <v>#N/A</v>
      </c>
      <c r="I430" s="31" t="e">
        <v>#N/A</v>
      </c>
      <c r="J430" s="15">
        <v>1.0</v>
      </c>
    </row>
    <row r="431">
      <c r="A431" s="11">
        <v>46141.56568809028</v>
      </c>
      <c r="B431" s="9" t="s">
        <v>350</v>
      </c>
      <c r="C431" s="9" t="s">
        <v>367</v>
      </c>
      <c r="D431" s="9" t="s">
        <v>19</v>
      </c>
      <c r="E431" s="14"/>
      <c r="F431" s="15">
        <v>1.0</v>
      </c>
      <c r="G431" s="37" t="s">
        <v>65</v>
      </c>
      <c r="H431" s="31" t="e">
        <v>#N/A</v>
      </c>
      <c r="I431" s="31" t="e">
        <v>#N/A</v>
      </c>
      <c r="J431" s="15">
        <v>1.0</v>
      </c>
    </row>
    <row r="432">
      <c r="A432" s="11">
        <v>46141.59331515046</v>
      </c>
      <c r="B432" s="9" t="s">
        <v>350</v>
      </c>
      <c r="C432" s="9" t="s">
        <v>326</v>
      </c>
      <c r="D432" s="9" t="s">
        <v>19</v>
      </c>
      <c r="E432" s="14"/>
      <c r="F432" s="15">
        <v>1.0</v>
      </c>
      <c r="G432" s="37" t="s">
        <v>65</v>
      </c>
      <c r="H432" s="31" t="e">
        <v>#N/A</v>
      </c>
      <c r="I432" s="31" t="e">
        <v>#N/A</v>
      </c>
      <c r="J432" s="15">
        <v>1.0</v>
      </c>
    </row>
    <row r="433">
      <c r="A433" s="11">
        <v>46141.60193773148</v>
      </c>
      <c r="B433" s="9" t="s">
        <v>379</v>
      </c>
      <c r="C433" s="9" t="s">
        <v>355</v>
      </c>
      <c r="D433" s="9" t="s">
        <v>19</v>
      </c>
      <c r="E433" s="54" t="s">
        <v>176</v>
      </c>
      <c r="F433" s="15">
        <v>1.0</v>
      </c>
      <c r="G433" s="37" t="s">
        <v>65</v>
      </c>
      <c r="H433" s="31" t="e">
        <v>#N/A</v>
      </c>
      <c r="I433" s="31" t="e">
        <v>#N/A</v>
      </c>
      <c r="J433" s="15">
        <v>1.0</v>
      </c>
    </row>
    <row r="434">
      <c r="A434" s="11">
        <v>46141.627680046295</v>
      </c>
      <c r="B434" s="9" t="s">
        <v>238</v>
      </c>
      <c r="C434" s="9" t="s">
        <v>326</v>
      </c>
      <c r="D434" s="37" t="s">
        <v>57</v>
      </c>
      <c r="E434" s="54" t="s">
        <v>384</v>
      </c>
      <c r="F434" s="15">
        <v>1.0</v>
      </c>
      <c r="G434" s="37" t="s">
        <v>65</v>
      </c>
      <c r="H434" s="31" t="e">
        <v>#N/A</v>
      </c>
      <c r="I434" s="31" t="e">
        <v>#N/A</v>
      </c>
      <c r="J434" s="15">
        <v>1.0</v>
      </c>
    </row>
    <row r="435">
      <c r="A435" s="11">
        <v>46141.6470662037</v>
      </c>
      <c r="B435" s="9" t="s">
        <v>350</v>
      </c>
      <c r="C435" s="9" t="s">
        <v>337</v>
      </c>
      <c r="D435" s="9" t="s">
        <v>19</v>
      </c>
      <c r="E435" s="14"/>
      <c r="F435" s="15">
        <v>1.0</v>
      </c>
      <c r="G435" s="37" t="s">
        <v>65</v>
      </c>
      <c r="H435" s="31" t="e">
        <v>#N/A</v>
      </c>
      <c r="I435" s="31" t="e">
        <v>#N/A</v>
      </c>
      <c r="J435" s="15">
        <v>1.0</v>
      </c>
    </row>
    <row r="436">
      <c r="A436" s="11">
        <v>46141.65804329861</v>
      </c>
      <c r="B436" s="9" t="s">
        <v>84</v>
      </c>
      <c r="C436" s="9" t="s">
        <v>359</v>
      </c>
      <c r="D436" s="37" t="s">
        <v>57</v>
      </c>
      <c r="E436" s="14"/>
      <c r="F436" s="15">
        <v>1.0</v>
      </c>
      <c r="G436" s="37" t="s">
        <v>65</v>
      </c>
      <c r="H436" s="31" t="e">
        <v>#N/A</v>
      </c>
      <c r="I436" s="31" t="e">
        <v>#N/A</v>
      </c>
      <c r="J436" s="15">
        <v>1.0</v>
      </c>
    </row>
    <row r="437">
      <c r="A437" s="11">
        <v>46141.69442702546</v>
      </c>
      <c r="B437" s="9" t="s">
        <v>331</v>
      </c>
      <c r="C437" s="9" t="s">
        <v>379</v>
      </c>
      <c r="D437" s="9" t="s">
        <v>19</v>
      </c>
      <c r="E437" s="14"/>
      <c r="F437" s="15">
        <v>1.0</v>
      </c>
      <c r="G437" s="37" t="s">
        <v>65</v>
      </c>
      <c r="H437" s="31" t="e">
        <v>#N/A</v>
      </c>
      <c r="I437" s="31" t="e">
        <v>#N/A</v>
      </c>
      <c r="J437" s="15">
        <v>1.0</v>
      </c>
    </row>
    <row r="438">
      <c r="A438" s="11">
        <v>46141.69514429398</v>
      </c>
      <c r="B438" s="9" t="s">
        <v>256</v>
      </c>
      <c r="C438" s="9" t="s">
        <v>367</v>
      </c>
      <c r="D438" s="9" t="s">
        <v>19</v>
      </c>
      <c r="E438" s="54" t="s">
        <v>102</v>
      </c>
      <c r="F438" s="15">
        <v>1.0</v>
      </c>
      <c r="G438" s="37" t="s">
        <v>65</v>
      </c>
      <c r="H438" s="31" t="e">
        <v>#N/A</v>
      </c>
      <c r="I438" s="31" t="e">
        <v>#N/A</v>
      </c>
      <c r="J438" s="15">
        <v>1.0</v>
      </c>
    </row>
    <row r="439">
      <c r="A439" s="11">
        <v>46141.71358146991</v>
      </c>
      <c r="B439" s="9" t="s">
        <v>258</v>
      </c>
      <c r="C439" s="9" t="s">
        <v>328</v>
      </c>
      <c r="D439" s="9" t="s">
        <v>19</v>
      </c>
      <c r="E439" s="14"/>
      <c r="F439" s="15">
        <v>1.0</v>
      </c>
      <c r="G439" s="37" t="s">
        <v>65</v>
      </c>
      <c r="H439" s="31" t="e">
        <v>#N/A</v>
      </c>
      <c r="I439" s="31" t="e">
        <v>#N/A</v>
      </c>
      <c r="J439" s="15">
        <v>1.0</v>
      </c>
    </row>
    <row r="440">
      <c r="A440" s="11">
        <v>46141.719550486116</v>
      </c>
      <c r="B440" s="9" t="s">
        <v>385</v>
      </c>
      <c r="C440" s="9" t="s">
        <v>372</v>
      </c>
      <c r="D440" s="9" t="s">
        <v>19</v>
      </c>
      <c r="E440" s="54" t="s">
        <v>386</v>
      </c>
      <c r="F440" s="15">
        <v>1.0</v>
      </c>
      <c r="G440" s="37" t="s">
        <v>65</v>
      </c>
      <c r="H440" s="31" t="e">
        <v>#N/A</v>
      </c>
      <c r="I440" s="31" t="e">
        <v>#N/A</v>
      </c>
      <c r="J440" s="15">
        <v>1.0</v>
      </c>
    </row>
    <row r="441">
      <c r="A441" s="11">
        <v>46141.75033393518</v>
      </c>
      <c r="B441" s="9" t="s">
        <v>387</v>
      </c>
      <c r="C441" s="9" t="s">
        <v>385</v>
      </c>
      <c r="D441" s="37" t="s">
        <v>57</v>
      </c>
      <c r="E441" s="14"/>
      <c r="F441" s="15">
        <v>1.0</v>
      </c>
      <c r="G441" s="37" t="s">
        <v>65</v>
      </c>
      <c r="H441" s="31" t="e">
        <v>#N/A</v>
      </c>
      <c r="I441" s="31" t="e">
        <v>#N/A</v>
      </c>
      <c r="J441" s="15">
        <v>1.0</v>
      </c>
    </row>
    <row r="442">
      <c r="A442" s="11">
        <v>46141.75316071759</v>
      </c>
      <c r="B442" s="9" t="s">
        <v>388</v>
      </c>
      <c r="C442" s="9" t="s">
        <v>372</v>
      </c>
      <c r="D442" s="9" t="s">
        <v>19</v>
      </c>
      <c r="E442" s="54" t="s">
        <v>112</v>
      </c>
      <c r="F442" s="15">
        <v>1.0</v>
      </c>
      <c r="G442" s="37" t="s">
        <v>65</v>
      </c>
      <c r="H442" s="31" t="e">
        <v>#N/A</v>
      </c>
      <c r="I442" s="31" t="e">
        <v>#N/A</v>
      </c>
      <c r="J442" s="15">
        <v>1.0</v>
      </c>
    </row>
    <row r="443">
      <c r="A443" s="11">
        <v>46141.788718807875</v>
      </c>
      <c r="B443" s="9" t="s">
        <v>322</v>
      </c>
      <c r="C443" s="9" t="s">
        <v>388</v>
      </c>
      <c r="D443" s="9" t="s">
        <v>19</v>
      </c>
      <c r="E443" s="14"/>
      <c r="F443" s="15">
        <v>1.0</v>
      </c>
      <c r="G443" s="37" t="s">
        <v>65</v>
      </c>
      <c r="H443" s="31" t="e">
        <v>#N/A</v>
      </c>
      <c r="I443" s="31" t="e">
        <v>#N/A</v>
      </c>
      <c r="J443" s="15">
        <v>1.0</v>
      </c>
    </row>
    <row r="444">
      <c r="A444" s="11">
        <v>46141.816190011574</v>
      </c>
      <c r="B444" s="9" t="s">
        <v>164</v>
      </c>
      <c r="C444" s="9" t="s">
        <v>335</v>
      </c>
      <c r="D444" s="37" t="s">
        <v>57</v>
      </c>
      <c r="E444" s="14"/>
      <c r="F444" s="15">
        <v>1.0</v>
      </c>
      <c r="G444" s="37" t="s">
        <v>65</v>
      </c>
      <c r="H444" s="31" t="e">
        <v>#N/A</v>
      </c>
      <c r="I444" s="31" t="e">
        <v>#N/A</v>
      </c>
      <c r="J444" s="15">
        <v>1.0</v>
      </c>
    </row>
    <row r="445">
      <c r="A445" s="11">
        <v>46141.82168489583</v>
      </c>
      <c r="B445" s="9" t="s">
        <v>243</v>
      </c>
      <c r="C445" s="9" t="s">
        <v>141</v>
      </c>
      <c r="D445" s="37" t="s">
        <v>57</v>
      </c>
      <c r="E445" s="54" t="s">
        <v>321</v>
      </c>
      <c r="F445" s="15">
        <v>1.0</v>
      </c>
      <c r="G445" s="37" t="s">
        <v>65</v>
      </c>
      <c r="H445" s="31" t="e">
        <v>#N/A</v>
      </c>
      <c r="I445" s="31" t="e">
        <v>#N/A</v>
      </c>
      <c r="J445" s="15">
        <v>1.0</v>
      </c>
    </row>
    <row r="446">
      <c r="A446" s="11">
        <v>46141.8219141088</v>
      </c>
      <c r="B446" s="9" t="s">
        <v>362</v>
      </c>
      <c r="C446" s="9" t="s">
        <v>322</v>
      </c>
      <c r="D446" s="37" t="s">
        <v>57</v>
      </c>
      <c r="E446" s="14"/>
      <c r="F446" s="15">
        <v>1.0</v>
      </c>
      <c r="G446" s="37" t="s">
        <v>65</v>
      </c>
      <c r="H446" s="31" t="e">
        <v>#N/A</v>
      </c>
      <c r="I446" s="31" t="e">
        <v>#N/A</v>
      </c>
      <c r="J446" s="15">
        <v>1.0</v>
      </c>
    </row>
    <row r="447">
      <c r="A447" s="11">
        <v>46141.82847912037</v>
      </c>
      <c r="B447" s="9" t="s">
        <v>388</v>
      </c>
      <c r="C447" s="9" t="s">
        <v>316</v>
      </c>
      <c r="D447" s="37" t="s">
        <v>57</v>
      </c>
      <c r="E447" s="14"/>
      <c r="F447" s="15">
        <v>1.0</v>
      </c>
      <c r="G447" s="37" t="s">
        <v>65</v>
      </c>
      <c r="H447" s="31" t="e">
        <v>#N/A</v>
      </c>
      <c r="I447" s="31" t="e">
        <v>#N/A</v>
      </c>
      <c r="J447" s="15">
        <v>1.0</v>
      </c>
    </row>
    <row r="448">
      <c r="A448" s="11">
        <v>46141.851361747686</v>
      </c>
      <c r="B448" s="9" t="s">
        <v>316</v>
      </c>
      <c r="C448" s="9" t="s">
        <v>362</v>
      </c>
      <c r="D448" s="9" t="s">
        <v>19</v>
      </c>
      <c r="E448" s="54" t="s">
        <v>102</v>
      </c>
      <c r="F448" s="15">
        <v>1.0</v>
      </c>
      <c r="G448" s="37" t="s">
        <v>65</v>
      </c>
      <c r="H448" s="31" t="e">
        <v>#N/A</v>
      </c>
      <c r="I448" s="31" t="e">
        <v>#N/A</v>
      </c>
      <c r="J448" s="15">
        <v>1.0</v>
      </c>
    </row>
    <row r="449">
      <c r="A449" s="11">
        <v>46141.851828784726</v>
      </c>
      <c r="B449" s="9" t="s">
        <v>366</v>
      </c>
      <c r="C449" s="9" t="s">
        <v>243</v>
      </c>
      <c r="D449" s="9" t="s">
        <v>19</v>
      </c>
      <c r="E449" s="54" t="s">
        <v>122</v>
      </c>
      <c r="F449" s="15">
        <v>1.0</v>
      </c>
      <c r="G449" s="37" t="s">
        <v>65</v>
      </c>
      <c r="H449" s="31" t="e">
        <v>#N/A</v>
      </c>
      <c r="I449" s="31" t="e">
        <v>#N/A</v>
      </c>
      <c r="J449" s="15">
        <v>1.0</v>
      </c>
    </row>
    <row r="450">
      <c r="A450" s="11">
        <v>46141.86028202546</v>
      </c>
      <c r="B450" s="9" t="s">
        <v>389</v>
      </c>
      <c r="C450" s="9" t="s">
        <v>366</v>
      </c>
      <c r="D450" s="9" t="s">
        <v>19</v>
      </c>
      <c r="E450" s="14"/>
      <c r="F450" s="15">
        <v>1.0</v>
      </c>
      <c r="G450" s="37" t="s">
        <v>65</v>
      </c>
      <c r="H450" s="31" t="e">
        <v>#N/A</v>
      </c>
      <c r="I450" s="31" t="e">
        <v>#N/A</v>
      </c>
      <c r="J450" s="15">
        <v>1.0</v>
      </c>
    </row>
    <row r="451">
      <c r="A451" s="11">
        <v>46141.86894822917</v>
      </c>
      <c r="B451" s="9" t="s">
        <v>345</v>
      </c>
      <c r="C451" s="9" t="s">
        <v>243</v>
      </c>
      <c r="D451" s="9" t="s">
        <v>19</v>
      </c>
      <c r="E451" s="54" t="s">
        <v>112</v>
      </c>
      <c r="F451" s="15">
        <v>1.0</v>
      </c>
      <c r="G451" s="37" t="s">
        <v>65</v>
      </c>
      <c r="H451" s="31" t="e">
        <v>#N/A</v>
      </c>
      <c r="I451" s="31" t="e">
        <v>#N/A</v>
      </c>
      <c r="J451" s="15">
        <v>1.0</v>
      </c>
    </row>
    <row r="452">
      <c r="A452" s="11">
        <v>46141.8721549537</v>
      </c>
      <c r="B452" s="9" t="s">
        <v>388</v>
      </c>
      <c r="C452" s="9" t="s">
        <v>366</v>
      </c>
      <c r="D452" s="37" t="s">
        <v>57</v>
      </c>
      <c r="E452" s="14"/>
      <c r="F452" s="15">
        <v>1.0</v>
      </c>
      <c r="G452" s="37" t="s">
        <v>65</v>
      </c>
      <c r="H452" s="31" t="e">
        <v>#N/A</v>
      </c>
      <c r="I452" s="31" t="e">
        <v>#N/A</v>
      </c>
      <c r="J452" s="15">
        <v>1.0</v>
      </c>
    </row>
    <row r="453">
      <c r="A453" s="11">
        <v>46141.87373486111</v>
      </c>
      <c r="B453" s="9" t="s">
        <v>137</v>
      </c>
      <c r="C453" s="9" t="s">
        <v>316</v>
      </c>
      <c r="D453" s="37" t="s">
        <v>57</v>
      </c>
      <c r="E453" s="14"/>
      <c r="F453" s="15">
        <v>1.0</v>
      </c>
      <c r="G453" s="37" t="s">
        <v>65</v>
      </c>
      <c r="H453" s="31" t="e">
        <v>#N/A</v>
      </c>
      <c r="I453" s="31" t="e">
        <v>#N/A</v>
      </c>
      <c r="J453" s="15">
        <v>1.0</v>
      </c>
    </row>
    <row r="454">
      <c r="A454" s="11">
        <v>46141.877542800925</v>
      </c>
      <c r="B454" s="9" t="s">
        <v>180</v>
      </c>
      <c r="C454" s="9" t="s">
        <v>378</v>
      </c>
      <c r="D454" s="9" t="s">
        <v>19</v>
      </c>
      <c r="E454" s="14"/>
      <c r="F454" s="15">
        <v>1.0</v>
      </c>
      <c r="G454" s="37" t="s">
        <v>65</v>
      </c>
      <c r="H454" s="31" t="e">
        <v>#N/A</v>
      </c>
      <c r="I454" s="31" t="e">
        <v>#N/A</v>
      </c>
      <c r="J454" s="15">
        <v>1.0</v>
      </c>
    </row>
    <row r="455">
      <c r="A455" s="11">
        <v>46141.90892722222</v>
      </c>
      <c r="B455" s="9" t="s">
        <v>346</v>
      </c>
      <c r="C455" s="9" t="s">
        <v>137</v>
      </c>
      <c r="D455" s="9" t="s">
        <v>19</v>
      </c>
      <c r="E455" s="54" t="s">
        <v>112</v>
      </c>
      <c r="F455" s="15">
        <v>1.0</v>
      </c>
      <c r="G455" s="37" t="s">
        <v>65</v>
      </c>
      <c r="H455" s="31" t="e">
        <v>#N/A</v>
      </c>
      <c r="I455" s="31" t="e">
        <v>#N/A</v>
      </c>
      <c r="J455" s="15">
        <v>1.0</v>
      </c>
    </row>
    <row r="456">
      <c r="A456" s="11">
        <v>46141.92504981482</v>
      </c>
      <c r="B456" s="9" t="s">
        <v>388</v>
      </c>
      <c r="C456" s="9" t="s">
        <v>180</v>
      </c>
      <c r="D456" s="37" t="s">
        <v>57</v>
      </c>
      <c r="E456" s="14"/>
      <c r="F456" s="15">
        <v>1.0</v>
      </c>
      <c r="G456" s="37" t="s">
        <v>65</v>
      </c>
      <c r="H456" s="31" t="e">
        <v>#N/A</v>
      </c>
      <c r="I456" s="31" t="e">
        <v>#N/A</v>
      </c>
      <c r="J456" s="15">
        <v>1.0</v>
      </c>
    </row>
    <row r="457">
      <c r="A457" s="11">
        <v>46141.92639458334</v>
      </c>
      <c r="B457" s="9" t="s">
        <v>312</v>
      </c>
      <c r="C457" s="9" t="s">
        <v>345</v>
      </c>
      <c r="D457" s="9" t="s">
        <v>19</v>
      </c>
      <c r="E457" s="54" t="s">
        <v>262</v>
      </c>
      <c r="F457" s="15">
        <v>1.0</v>
      </c>
      <c r="G457" s="37" t="s">
        <v>65</v>
      </c>
      <c r="H457" s="31" t="e">
        <v>#N/A</v>
      </c>
      <c r="I457" s="31" t="e">
        <v>#N/A</v>
      </c>
      <c r="J457" s="15">
        <v>1.0</v>
      </c>
    </row>
    <row r="458">
      <c r="A458" s="11">
        <v>46141.93407309028</v>
      </c>
      <c r="B458" s="9" t="s">
        <v>342</v>
      </c>
      <c r="C458" s="9" t="s">
        <v>346</v>
      </c>
      <c r="D458" s="9" t="s">
        <v>19</v>
      </c>
      <c r="E458" s="14"/>
      <c r="F458" s="15">
        <v>1.0</v>
      </c>
      <c r="G458" s="37" t="s">
        <v>65</v>
      </c>
      <c r="H458" s="31" t="e">
        <v>#N/A</v>
      </c>
      <c r="I458" s="31" t="e">
        <v>#N/A</v>
      </c>
      <c r="J458" s="15">
        <v>1.0</v>
      </c>
    </row>
    <row r="459">
      <c r="A459" s="11">
        <v>46141.93464518519</v>
      </c>
      <c r="B459" s="9" t="s">
        <v>248</v>
      </c>
      <c r="C459" s="9" t="s">
        <v>390</v>
      </c>
      <c r="D459" s="9" t="s">
        <v>19</v>
      </c>
      <c r="E459" s="14"/>
      <c r="F459" s="15">
        <v>1.0</v>
      </c>
      <c r="G459" s="37" t="s">
        <v>65</v>
      </c>
      <c r="H459" s="31" t="e">
        <v>#N/A</v>
      </c>
      <c r="I459" s="31" t="e">
        <v>#N/A</v>
      </c>
      <c r="J459" s="15">
        <v>1.0</v>
      </c>
    </row>
    <row r="460">
      <c r="A460" s="11">
        <v>46141.936256076384</v>
      </c>
      <c r="B460" s="9" t="s">
        <v>371</v>
      </c>
      <c r="C460" s="9" t="s">
        <v>300</v>
      </c>
      <c r="D460" s="37" t="s">
        <v>57</v>
      </c>
      <c r="E460" s="54" t="s">
        <v>391</v>
      </c>
      <c r="F460" s="15">
        <v>1.0</v>
      </c>
      <c r="G460" s="37" t="s">
        <v>65</v>
      </c>
      <c r="H460" s="31" t="e">
        <v>#N/A</v>
      </c>
      <c r="I460" s="31" t="e">
        <v>#N/A</v>
      </c>
      <c r="J460" s="15">
        <v>1.0</v>
      </c>
    </row>
    <row r="461">
      <c r="A461" s="11">
        <v>46141.949687071756</v>
      </c>
      <c r="B461" s="9" t="s">
        <v>137</v>
      </c>
      <c r="C461" s="9" t="s">
        <v>173</v>
      </c>
      <c r="D461" s="37" t="s">
        <v>57</v>
      </c>
      <c r="E461" s="54" t="s">
        <v>392</v>
      </c>
      <c r="F461" s="15">
        <v>1.0</v>
      </c>
      <c r="G461" s="37" t="s">
        <v>65</v>
      </c>
      <c r="H461" s="31" t="e">
        <v>#N/A</v>
      </c>
      <c r="I461" s="31" t="e">
        <v>#N/A</v>
      </c>
      <c r="J461" s="15">
        <v>1.0</v>
      </c>
    </row>
    <row r="462">
      <c r="A462" s="11">
        <v>46141.96555359954</v>
      </c>
      <c r="B462" s="9" t="s">
        <v>292</v>
      </c>
      <c r="C462" s="9" t="s">
        <v>342</v>
      </c>
      <c r="D462" s="9" t="s">
        <v>19</v>
      </c>
      <c r="E462" s="14"/>
      <c r="F462" s="15">
        <v>1.0</v>
      </c>
      <c r="G462" s="37" t="s">
        <v>65</v>
      </c>
      <c r="H462" s="31" t="e">
        <v>#N/A</v>
      </c>
      <c r="I462" s="31" t="e">
        <v>#N/A</v>
      </c>
      <c r="J462" s="15">
        <v>1.0</v>
      </c>
    </row>
    <row r="463">
      <c r="A463" s="11">
        <v>46141.97965439815</v>
      </c>
      <c r="B463" s="9" t="s">
        <v>343</v>
      </c>
      <c r="C463" s="9" t="s">
        <v>376</v>
      </c>
      <c r="D463" s="37" t="s">
        <v>57</v>
      </c>
      <c r="E463" s="14"/>
      <c r="F463" s="15">
        <v>1.0</v>
      </c>
      <c r="G463" s="37" t="s">
        <v>65</v>
      </c>
      <c r="H463" s="31" t="e">
        <v>#N/A</v>
      </c>
      <c r="I463" s="31" t="e">
        <v>#N/A</v>
      </c>
      <c r="J463" s="15">
        <v>1.0</v>
      </c>
    </row>
    <row r="464">
      <c r="A464" s="11">
        <v>46141.984567569445</v>
      </c>
      <c r="B464" s="9" t="s">
        <v>348</v>
      </c>
      <c r="C464" s="9" t="s">
        <v>292</v>
      </c>
      <c r="D464" s="9" t="s">
        <v>19</v>
      </c>
      <c r="E464" s="14"/>
      <c r="F464" s="15">
        <v>1.0</v>
      </c>
      <c r="G464" s="37" t="s">
        <v>65</v>
      </c>
      <c r="H464" s="31" t="e">
        <v>#N/A</v>
      </c>
      <c r="I464" s="31" t="e">
        <v>#N/A</v>
      </c>
      <c r="J464" s="15">
        <v>1.0</v>
      </c>
    </row>
    <row r="465">
      <c r="A465" s="11">
        <v>46141.99861065972</v>
      </c>
      <c r="B465" s="9" t="s">
        <v>393</v>
      </c>
      <c r="C465" s="9" t="s">
        <v>394</v>
      </c>
      <c r="D465" s="9" t="s">
        <v>19</v>
      </c>
      <c r="E465" s="54" t="s">
        <v>395</v>
      </c>
      <c r="F465" s="15">
        <v>1.0</v>
      </c>
      <c r="G465" s="37" t="s">
        <v>65</v>
      </c>
      <c r="H465" s="31" t="e">
        <v>#N/A</v>
      </c>
      <c r="I465" s="31" t="e">
        <v>#N/A</v>
      </c>
      <c r="J465" s="15">
        <v>1.0</v>
      </c>
    </row>
    <row r="466">
      <c r="A466" s="11">
        <v>46141.999168194445</v>
      </c>
      <c r="B466" s="9" t="s">
        <v>376</v>
      </c>
      <c r="C466" s="9" t="s">
        <v>348</v>
      </c>
      <c r="D466" s="37" t="s">
        <v>57</v>
      </c>
      <c r="E466" s="14"/>
      <c r="F466" s="15">
        <v>1.0</v>
      </c>
      <c r="G466" s="37" t="s">
        <v>65</v>
      </c>
      <c r="H466" s="31" t="e">
        <v>#N/A</v>
      </c>
      <c r="I466" s="31" t="e">
        <v>#N/A</v>
      </c>
      <c r="J466" s="15">
        <v>1.0</v>
      </c>
    </row>
    <row r="467">
      <c r="A467" s="11">
        <v>46142.03229971065</v>
      </c>
      <c r="B467" s="9" t="s">
        <v>394</v>
      </c>
      <c r="C467" s="9" t="s">
        <v>301</v>
      </c>
      <c r="D467" s="37" t="s">
        <v>57</v>
      </c>
      <c r="E467" s="14"/>
      <c r="F467" s="15">
        <v>1.0</v>
      </c>
      <c r="G467" s="37" t="s">
        <v>65</v>
      </c>
      <c r="H467" s="31" t="e">
        <v>#N/A</v>
      </c>
      <c r="I467" s="31" t="e">
        <v>#N/A</v>
      </c>
      <c r="J467" s="15">
        <v>1.0</v>
      </c>
    </row>
    <row r="468">
      <c r="A468" s="11">
        <v>46142.04957053241</v>
      </c>
      <c r="B468" s="9" t="s">
        <v>396</v>
      </c>
      <c r="C468" s="9" t="s">
        <v>394</v>
      </c>
      <c r="D468" s="9" t="s">
        <v>19</v>
      </c>
      <c r="E468" s="14"/>
      <c r="F468" s="15">
        <v>1.0</v>
      </c>
      <c r="G468" s="37" t="s">
        <v>65</v>
      </c>
      <c r="H468" s="31" t="e">
        <v>#N/A</v>
      </c>
      <c r="I468" s="31" t="e">
        <v>#N/A</v>
      </c>
      <c r="J468" s="15">
        <v>1.0</v>
      </c>
    </row>
    <row r="469">
      <c r="A469" s="11">
        <v>46142.09490085648</v>
      </c>
      <c r="B469" s="9" t="s">
        <v>397</v>
      </c>
      <c r="C469" s="9" t="s">
        <v>396</v>
      </c>
      <c r="D469" s="9" t="s">
        <v>19</v>
      </c>
      <c r="E469" s="14"/>
      <c r="F469" s="15">
        <v>1.0</v>
      </c>
      <c r="G469" s="37" t="s">
        <v>65</v>
      </c>
      <c r="H469" s="31" t="e">
        <v>#N/A</v>
      </c>
      <c r="I469" s="31" t="e">
        <v>#N/A</v>
      </c>
      <c r="J469" s="15">
        <v>1.0</v>
      </c>
    </row>
    <row r="470">
      <c r="A470" s="11">
        <v>46142.12510568287</v>
      </c>
      <c r="B470" s="9" t="s">
        <v>355</v>
      </c>
      <c r="C470" s="9" t="s">
        <v>397</v>
      </c>
      <c r="D470" s="9" t="s">
        <v>19</v>
      </c>
      <c r="E470" s="14"/>
      <c r="F470" s="15">
        <v>1.0</v>
      </c>
      <c r="G470" s="37" t="s">
        <v>65</v>
      </c>
      <c r="H470" s="31" t="e">
        <v>#N/A</v>
      </c>
      <c r="I470" s="31" t="e">
        <v>#N/A</v>
      </c>
      <c r="J470" s="15">
        <v>1.0</v>
      </c>
    </row>
    <row r="471">
      <c r="A471" s="11">
        <v>46142.14314976852</v>
      </c>
      <c r="B471" s="9" t="s">
        <v>324</v>
      </c>
      <c r="C471" s="9" t="s">
        <v>291</v>
      </c>
      <c r="D471" s="9" t="s">
        <v>19</v>
      </c>
      <c r="E471" s="14"/>
      <c r="F471" s="15">
        <v>1.0</v>
      </c>
      <c r="G471" s="37" t="s">
        <v>65</v>
      </c>
      <c r="H471" s="31" t="e">
        <v>#N/A</v>
      </c>
      <c r="I471" s="31" t="e">
        <v>#N/A</v>
      </c>
      <c r="J471" s="15">
        <v>1.0</v>
      </c>
    </row>
    <row r="472">
      <c r="A472" s="11">
        <v>46142.15654486111</v>
      </c>
      <c r="B472" s="9" t="s">
        <v>141</v>
      </c>
      <c r="C472" s="9" t="s">
        <v>397</v>
      </c>
      <c r="D472" s="9" t="s">
        <v>19</v>
      </c>
      <c r="E472" s="14"/>
      <c r="F472" s="15">
        <v>1.0</v>
      </c>
      <c r="G472" s="37" t="s">
        <v>65</v>
      </c>
      <c r="H472" s="31" t="e">
        <v>#N/A</v>
      </c>
      <c r="I472" s="31" t="e">
        <v>#N/A</v>
      </c>
      <c r="J472" s="15">
        <v>1.0</v>
      </c>
    </row>
    <row r="473">
      <c r="A473" s="11">
        <v>46142.19313895833</v>
      </c>
      <c r="B473" s="9" t="s">
        <v>397</v>
      </c>
      <c r="C473" s="9" t="s">
        <v>291</v>
      </c>
      <c r="D473" s="37" t="s">
        <v>57</v>
      </c>
      <c r="E473" s="14"/>
      <c r="F473" s="15">
        <v>1.0</v>
      </c>
      <c r="G473" s="37" t="s">
        <v>65</v>
      </c>
      <c r="H473" s="31" t="e">
        <v>#N/A</v>
      </c>
      <c r="I473" s="31" t="e">
        <v>#N/A</v>
      </c>
      <c r="J473" s="15">
        <v>1.0</v>
      </c>
    </row>
    <row r="474">
      <c r="A474" s="11">
        <v>46142.19866163195</v>
      </c>
      <c r="B474" s="9" t="s">
        <v>183</v>
      </c>
      <c r="C474" s="9" t="s">
        <v>93</v>
      </c>
      <c r="D474" s="9" t="s">
        <v>19</v>
      </c>
      <c r="E474" s="54" t="s">
        <v>122</v>
      </c>
      <c r="F474" s="15">
        <v>1.0</v>
      </c>
      <c r="G474" s="37" t="s">
        <v>65</v>
      </c>
      <c r="H474" s="31" t="e">
        <v>#N/A</v>
      </c>
      <c r="I474" s="31" t="e">
        <v>#N/A</v>
      </c>
      <c r="J474" s="15">
        <v>1.0</v>
      </c>
    </row>
    <row r="475">
      <c r="A475" s="11">
        <v>46142.48349945602</v>
      </c>
      <c r="B475" s="9" t="s">
        <v>387</v>
      </c>
      <c r="C475" s="9" t="s">
        <v>378</v>
      </c>
      <c r="D475" s="37" t="s">
        <v>57</v>
      </c>
      <c r="E475" s="14"/>
      <c r="F475" s="15">
        <v>1.0</v>
      </c>
      <c r="G475" s="37" t="s">
        <v>65</v>
      </c>
      <c r="H475" s="31" t="e">
        <v>#N/A</v>
      </c>
      <c r="I475" s="31" t="e">
        <v>#N/A</v>
      </c>
      <c r="J475" s="15">
        <v>1.0</v>
      </c>
    </row>
    <row r="476">
      <c r="A476" s="11">
        <v>46142.49540135417</v>
      </c>
      <c r="B476" s="9" t="s">
        <v>390</v>
      </c>
      <c r="C476" s="9" t="s">
        <v>300</v>
      </c>
      <c r="D476" s="9" t="s">
        <v>19</v>
      </c>
      <c r="E476" s="54" t="s">
        <v>398</v>
      </c>
      <c r="F476" s="15">
        <v>1.0</v>
      </c>
      <c r="G476" s="37" t="s">
        <v>65</v>
      </c>
      <c r="H476" s="31" t="e">
        <v>#N/A</v>
      </c>
      <c r="I476" s="31" t="e">
        <v>#N/A</v>
      </c>
      <c r="J476" s="15">
        <v>1.0</v>
      </c>
    </row>
    <row r="477">
      <c r="A477" s="11">
        <v>46142.527327083335</v>
      </c>
      <c r="B477" s="9" t="s">
        <v>373</v>
      </c>
      <c r="C477" s="9" t="s">
        <v>378</v>
      </c>
      <c r="D477" s="9" t="s">
        <v>19</v>
      </c>
      <c r="E477" s="14"/>
      <c r="F477" s="15">
        <v>1.0</v>
      </c>
      <c r="G477" s="37" t="s">
        <v>65</v>
      </c>
      <c r="H477" s="31" t="e">
        <v>#N/A</v>
      </c>
      <c r="I477" s="31" t="e">
        <v>#N/A</v>
      </c>
      <c r="J477" s="15">
        <v>1.0</v>
      </c>
    </row>
    <row r="478">
      <c r="A478" s="11">
        <v>46142.52877362269</v>
      </c>
      <c r="B478" s="9" t="s">
        <v>397</v>
      </c>
      <c r="C478" s="9" t="s">
        <v>372</v>
      </c>
      <c r="D478" s="9" t="s">
        <v>19</v>
      </c>
      <c r="E478" s="14"/>
      <c r="F478" s="15">
        <v>1.0</v>
      </c>
      <c r="G478" s="37" t="s">
        <v>65</v>
      </c>
      <c r="H478" s="31" t="e">
        <v>#N/A</v>
      </c>
      <c r="I478" s="31" t="e">
        <v>#N/A</v>
      </c>
      <c r="J478" s="15">
        <v>1.0</v>
      </c>
    </row>
    <row r="479">
      <c r="A479" s="11">
        <v>46142.54197247685</v>
      </c>
      <c r="B479" s="9" t="s">
        <v>399</v>
      </c>
      <c r="C479" s="9" t="s">
        <v>385</v>
      </c>
      <c r="D479" s="9" t="s">
        <v>19</v>
      </c>
      <c r="E479" s="54" t="s">
        <v>400</v>
      </c>
      <c r="F479" s="15">
        <v>1.0</v>
      </c>
      <c r="G479" s="37" t="s">
        <v>65</v>
      </c>
      <c r="H479" s="31" t="e">
        <v>#N/A</v>
      </c>
      <c r="I479" s="31" t="e">
        <v>#N/A</v>
      </c>
      <c r="J479" s="15">
        <v>1.0</v>
      </c>
    </row>
    <row r="480">
      <c r="A480" s="11">
        <v>46142.57163716435</v>
      </c>
      <c r="B480" s="9" t="s">
        <v>183</v>
      </c>
      <c r="C480" s="9" t="s">
        <v>399</v>
      </c>
      <c r="D480" s="9" t="s">
        <v>19</v>
      </c>
      <c r="E480" s="54" t="s">
        <v>122</v>
      </c>
      <c r="F480" s="15">
        <v>1.0</v>
      </c>
      <c r="G480" s="37" t="s">
        <v>65</v>
      </c>
      <c r="H480" s="31" t="e">
        <v>#N/A</v>
      </c>
      <c r="I480" s="31" t="e">
        <v>#N/A</v>
      </c>
      <c r="J480" s="15">
        <v>1.0</v>
      </c>
    </row>
    <row r="481">
      <c r="A481" s="11">
        <v>46142.601315844906</v>
      </c>
      <c r="B481" s="9" t="s">
        <v>378</v>
      </c>
      <c r="C481" s="9" t="s">
        <v>401</v>
      </c>
      <c r="D481" s="37" t="s">
        <v>57</v>
      </c>
      <c r="E481" s="14"/>
      <c r="F481" s="15">
        <v>1.0</v>
      </c>
      <c r="G481" s="37" t="s">
        <v>65</v>
      </c>
      <c r="H481" s="31" t="e">
        <v>#N/A</v>
      </c>
      <c r="I481" s="31" t="e">
        <v>#N/A</v>
      </c>
      <c r="J481" s="15">
        <v>1.0</v>
      </c>
    </row>
    <row r="482">
      <c r="A482" s="11">
        <v>46142.614396805555</v>
      </c>
      <c r="B482" s="9" t="s">
        <v>373</v>
      </c>
      <c r="C482" s="9" t="s">
        <v>387</v>
      </c>
      <c r="D482" s="9" t="s">
        <v>19</v>
      </c>
      <c r="E482" s="14"/>
      <c r="F482" s="15">
        <v>1.0</v>
      </c>
      <c r="G482" s="37" t="s">
        <v>65</v>
      </c>
      <c r="H482" s="31" t="e">
        <v>#N/A</v>
      </c>
      <c r="I482" s="31" t="e">
        <v>#N/A</v>
      </c>
      <c r="J482" s="15">
        <v>1.0</v>
      </c>
    </row>
    <row r="483">
      <c r="A483" s="11">
        <v>46142.63611584491</v>
      </c>
      <c r="B483" s="9" t="s">
        <v>401</v>
      </c>
      <c r="C483" s="9" t="s">
        <v>402</v>
      </c>
      <c r="D483" s="9" t="s">
        <v>19</v>
      </c>
      <c r="E483" s="54" t="s">
        <v>122</v>
      </c>
      <c r="F483" s="15">
        <v>1.0</v>
      </c>
      <c r="G483" s="37" t="s">
        <v>65</v>
      </c>
      <c r="H483" s="31" t="e">
        <v>#N/A</v>
      </c>
      <c r="I483" s="31" t="e">
        <v>#N/A</v>
      </c>
      <c r="J483" s="15">
        <v>1.0</v>
      </c>
    </row>
    <row r="484">
      <c r="A484" s="11">
        <v>46142.659206145836</v>
      </c>
      <c r="B484" s="9" t="s">
        <v>373</v>
      </c>
      <c r="C484" s="9" t="s">
        <v>396</v>
      </c>
      <c r="D484" s="9" t="s">
        <v>19</v>
      </c>
      <c r="E484" s="14"/>
      <c r="F484" s="15">
        <v>1.0</v>
      </c>
      <c r="G484" s="37" t="s">
        <v>65</v>
      </c>
      <c r="H484" s="31" t="e">
        <v>#N/A</v>
      </c>
      <c r="I484" s="31" t="e">
        <v>#N/A</v>
      </c>
      <c r="J484" s="15">
        <v>1.0</v>
      </c>
    </row>
    <row r="485">
      <c r="A485" s="11">
        <v>46142.661765</v>
      </c>
      <c r="B485" s="9" t="s">
        <v>335</v>
      </c>
      <c r="C485" s="9" t="s">
        <v>399</v>
      </c>
      <c r="D485" s="37" t="s">
        <v>57</v>
      </c>
      <c r="E485" s="54" t="s">
        <v>403</v>
      </c>
      <c r="F485" s="15">
        <v>1.0</v>
      </c>
      <c r="G485" s="37" t="s">
        <v>65</v>
      </c>
      <c r="H485" s="31" t="e">
        <v>#N/A</v>
      </c>
      <c r="I485" s="31" t="e">
        <v>#N/A</v>
      </c>
      <c r="J485" s="15">
        <v>1.0</v>
      </c>
    </row>
    <row r="486">
      <c r="A486" s="11">
        <v>46142.67003100694</v>
      </c>
      <c r="B486" s="9" t="s">
        <v>331</v>
      </c>
      <c r="C486" s="9" t="s">
        <v>404</v>
      </c>
      <c r="D486" s="9" t="s">
        <v>19</v>
      </c>
      <c r="E486" s="14"/>
      <c r="F486" s="15">
        <v>1.0</v>
      </c>
      <c r="G486" s="37" t="s">
        <v>65</v>
      </c>
      <c r="H486" s="31" t="e">
        <v>#N/A</v>
      </c>
      <c r="I486" s="31" t="e">
        <v>#N/A</v>
      </c>
      <c r="J486" s="15">
        <v>1.0</v>
      </c>
    </row>
    <row r="487">
      <c r="A487" s="11">
        <v>46142.67508417824</v>
      </c>
      <c r="B487" s="9" t="s">
        <v>387</v>
      </c>
      <c r="C487" s="9" t="s">
        <v>351</v>
      </c>
      <c r="D487" s="37" t="s">
        <v>57</v>
      </c>
      <c r="E487" s="14"/>
      <c r="F487" s="15">
        <v>1.0</v>
      </c>
      <c r="G487" s="37" t="s">
        <v>65</v>
      </c>
      <c r="H487" s="31" t="e">
        <v>#N/A</v>
      </c>
      <c r="I487" s="31" t="e">
        <v>#N/A</v>
      </c>
      <c r="J487" s="15">
        <v>1.0</v>
      </c>
    </row>
    <row r="488">
      <c r="A488" s="11">
        <v>46142.68438535879</v>
      </c>
      <c r="B488" s="9" t="s">
        <v>396</v>
      </c>
      <c r="C488" s="9" t="s">
        <v>167</v>
      </c>
      <c r="D488" s="37" t="s">
        <v>57</v>
      </c>
      <c r="E488" s="14"/>
      <c r="F488" s="15">
        <v>1.0</v>
      </c>
      <c r="G488" s="37" t="s">
        <v>65</v>
      </c>
      <c r="H488" s="31" t="e">
        <v>#N/A</v>
      </c>
      <c r="I488" s="31" t="e">
        <v>#N/A</v>
      </c>
      <c r="J488" s="15">
        <v>1.0</v>
      </c>
    </row>
    <row r="489">
      <c r="A489" s="11">
        <v>46142.691832129625</v>
      </c>
      <c r="B489" s="9" t="s">
        <v>308</v>
      </c>
      <c r="C489" s="9" t="s">
        <v>359</v>
      </c>
      <c r="D489" s="9" t="s">
        <v>19</v>
      </c>
      <c r="E489" s="14"/>
      <c r="F489" s="15">
        <v>1.0</v>
      </c>
      <c r="G489" s="37" t="s">
        <v>65</v>
      </c>
      <c r="H489" s="31" t="e">
        <v>#N/A</v>
      </c>
      <c r="I489" s="31" t="e">
        <v>#N/A</v>
      </c>
      <c r="J489" s="15">
        <v>1.0</v>
      </c>
    </row>
    <row r="490">
      <c r="A490" s="11">
        <v>46142.70656503472</v>
      </c>
      <c r="B490" s="9" t="s">
        <v>308</v>
      </c>
      <c r="C490" s="9" t="s">
        <v>337</v>
      </c>
      <c r="D490" s="9" t="s">
        <v>19</v>
      </c>
      <c r="E490" s="14"/>
      <c r="F490" s="15">
        <v>1.0</v>
      </c>
      <c r="G490" s="37" t="s">
        <v>65</v>
      </c>
      <c r="H490" s="31" t="e">
        <v>#N/A</v>
      </c>
      <c r="I490" s="31" t="e">
        <v>#N/A</v>
      </c>
      <c r="J490" s="15">
        <v>1.0</v>
      </c>
    </row>
    <row r="491">
      <c r="A491" s="11">
        <v>46142.7230737963</v>
      </c>
      <c r="B491" s="9" t="s">
        <v>85</v>
      </c>
      <c r="C491" s="9" t="s">
        <v>248</v>
      </c>
      <c r="D491" s="9" t="s">
        <v>19</v>
      </c>
      <c r="E491" s="14"/>
      <c r="F491" s="15">
        <v>1.0</v>
      </c>
      <c r="G491" s="37" t="s">
        <v>65</v>
      </c>
      <c r="H491" s="31" t="e">
        <v>#N/A</v>
      </c>
      <c r="I491" s="31" t="e">
        <v>#N/A</v>
      </c>
      <c r="J491" s="15">
        <v>1.0</v>
      </c>
    </row>
    <row r="492">
      <c r="A492" s="11">
        <v>46142.7397903588</v>
      </c>
      <c r="B492" s="9" t="s">
        <v>404</v>
      </c>
      <c r="C492" s="9" t="s">
        <v>356</v>
      </c>
      <c r="D492" s="9" t="s">
        <v>19</v>
      </c>
      <c r="E492" s="14"/>
      <c r="F492" s="15">
        <v>1.0</v>
      </c>
      <c r="G492" s="37" t="s">
        <v>65</v>
      </c>
      <c r="H492" s="31" t="e">
        <v>#N/A</v>
      </c>
      <c r="I492" s="31" t="e">
        <v>#N/A</v>
      </c>
      <c r="J492" s="15">
        <v>1.0</v>
      </c>
    </row>
    <row r="493">
      <c r="A493" s="11">
        <v>46142.74021340278</v>
      </c>
      <c r="B493" s="9" t="s">
        <v>390</v>
      </c>
      <c r="C493" s="9" t="s">
        <v>85</v>
      </c>
      <c r="D493" s="37" t="s">
        <v>57</v>
      </c>
      <c r="E493" s="54" t="s">
        <v>405</v>
      </c>
      <c r="F493" s="15">
        <v>1.0</v>
      </c>
      <c r="G493" s="37" t="s">
        <v>65</v>
      </c>
      <c r="H493" s="31" t="e">
        <v>#N/A</v>
      </c>
      <c r="I493" s="31" t="e">
        <v>#N/A</v>
      </c>
      <c r="J493" s="15">
        <v>1.0</v>
      </c>
    </row>
    <row r="494">
      <c r="A494" s="11">
        <v>46142.7684971875</v>
      </c>
      <c r="B494" s="9" t="s">
        <v>376</v>
      </c>
      <c r="C494" s="9" t="s">
        <v>404</v>
      </c>
      <c r="D494" s="37" t="s">
        <v>57</v>
      </c>
      <c r="E494" s="14"/>
      <c r="F494" s="15">
        <v>1.0</v>
      </c>
      <c r="G494" s="37" t="s">
        <v>65</v>
      </c>
      <c r="H494" s="31" t="e">
        <v>#N/A</v>
      </c>
      <c r="I494" s="31" t="e">
        <v>#N/A</v>
      </c>
      <c r="J494" s="15">
        <v>1.0</v>
      </c>
    </row>
    <row r="495">
      <c r="A495" s="11">
        <v>46142.78243479166</v>
      </c>
      <c r="B495" s="9" t="s">
        <v>297</v>
      </c>
      <c r="C495" s="9" t="s">
        <v>355</v>
      </c>
      <c r="D495" s="9" t="s">
        <v>19</v>
      </c>
      <c r="E495" s="14"/>
      <c r="F495" s="15">
        <v>1.0</v>
      </c>
      <c r="G495" s="37" t="s">
        <v>65</v>
      </c>
      <c r="H495" s="31" t="e">
        <v>#N/A</v>
      </c>
      <c r="I495" s="31" t="e">
        <v>#N/A</v>
      </c>
      <c r="J495" s="15">
        <v>1.0</v>
      </c>
    </row>
    <row r="496">
      <c r="A496" s="11">
        <v>46142.78905523148</v>
      </c>
      <c r="B496" s="9" t="s">
        <v>84</v>
      </c>
      <c r="C496" s="9" t="s">
        <v>406</v>
      </c>
      <c r="D496" s="9" t="s">
        <v>19</v>
      </c>
      <c r="E496" s="14"/>
      <c r="F496" s="15">
        <v>1.0</v>
      </c>
      <c r="G496" s="37" t="s">
        <v>65</v>
      </c>
      <c r="H496" s="31" t="e">
        <v>#N/A</v>
      </c>
      <c r="I496" s="31" t="e">
        <v>#N/A</v>
      </c>
      <c r="J496" s="15">
        <v>1.0</v>
      </c>
    </row>
    <row r="497">
      <c r="A497" s="11">
        <v>46142.79096356481</v>
      </c>
      <c r="B497" s="9" t="s">
        <v>343</v>
      </c>
      <c r="C497" s="9" t="s">
        <v>256</v>
      </c>
      <c r="D497" s="9" t="s">
        <v>19</v>
      </c>
      <c r="E497" s="14"/>
      <c r="F497" s="15">
        <v>1.0</v>
      </c>
      <c r="G497" s="37" t="s">
        <v>65</v>
      </c>
      <c r="H497" s="31" t="e">
        <v>#N/A</v>
      </c>
      <c r="I497" s="31" t="e">
        <v>#N/A</v>
      </c>
      <c r="J497" s="15">
        <v>1.0</v>
      </c>
    </row>
    <row r="498">
      <c r="A498" s="11">
        <v>46142.82683297453</v>
      </c>
      <c r="B498" s="9" t="s">
        <v>238</v>
      </c>
      <c r="C498" s="9" t="s">
        <v>406</v>
      </c>
      <c r="D498" s="9" t="s">
        <v>19</v>
      </c>
      <c r="E498" s="54" t="s">
        <v>407</v>
      </c>
      <c r="F498" s="15">
        <v>1.0</v>
      </c>
      <c r="G498" s="37" t="s">
        <v>65</v>
      </c>
      <c r="H498" s="31" t="e">
        <v>#N/A</v>
      </c>
      <c r="I498" s="31" t="e">
        <v>#N/A</v>
      </c>
      <c r="J498" s="15">
        <v>1.0</v>
      </c>
    </row>
    <row r="499">
      <c r="A499" s="11">
        <v>46142.82763493055</v>
      </c>
      <c r="B499" s="9" t="s">
        <v>335</v>
      </c>
      <c r="C499" s="9" t="s">
        <v>172</v>
      </c>
      <c r="D499" s="9" t="s">
        <v>19</v>
      </c>
      <c r="E499" s="54" t="s">
        <v>408</v>
      </c>
      <c r="F499" s="15">
        <v>1.0</v>
      </c>
      <c r="G499" s="37" t="s">
        <v>65</v>
      </c>
      <c r="H499" s="31" t="e">
        <v>#N/A</v>
      </c>
      <c r="I499" s="31" t="e">
        <v>#N/A</v>
      </c>
      <c r="J499" s="15">
        <v>1.0</v>
      </c>
    </row>
    <row r="500">
      <c r="A500" s="11">
        <v>46142.83759930555</v>
      </c>
      <c r="B500" s="9" t="s">
        <v>316</v>
      </c>
      <c r="C500" s="9" t="s">
        <v>369</v>
      </c>
      <c r="D500" s="37" t="s">
        <v>57</v>
      </c>
      <c r="E500" s="54" t="s">
        <v>102</v>
      </c>
      <c r="F500" s="15">
        <v>1.0</v>
      </c>
      <c r="G500" s="37" t="s">
        <v>65</v>
      </c>
      <c r="H500" s="31" t="e">
        <v>#N/A</v>
      </c>
      <c r="I500" s="31" t="e">
        <v>#N/A</v>
      </c>
      <c r="J500" s="15">
        <v>1.0</v>
      </c>
    </row>
    <row r="501">
      <c r="A501" s="11">
        <v>46142.86176513889</v>
      </c>
      <c r="B501" s="9" t="s">
        <v>409</v>
      </c>
      <c r="C501" s="9" t="s">
        <v>410</v>
      </c>
      <c r="D501" s="9" t="s">
        <v>19</v>
      </c>
      <c r="E501" s="14"/>
      <c r="F501" s="15">
        <v>1.0</v>
      </c>
      <c r="G501" s="37" t="s">
        <v>65</v>
      </c>
      <c r="H501" s="31" t="e">
        <v>#N/A</v>
      </c>
      <c r="I501" s="31" t="e">
        <v>#N/A</v>
      </c>
      <c r="J501" s="15">
        <v>1.0</v>
      </c>
    </row>
    <row r="502">
      <c r="A502" s="11">
        <v>46142.86982418982</v>
      </c>
      <c r="B502" s="9" t="s">
        <v>368</v>
      </c>
      <c r="C502" s="9" t="s">
        <v>371</v>
      </c>
      <c r="D502" s="9" t="s">
        <v>19</v>
      </c>
      <c r="E502" s="14"/>
      <c r="F502" s="15">
        <v>1.0</v>
      </c>
      <c r="G502" s="37" t="s">
        <v>65</v>
      </c>
      <c r="H502" s="31" t="e">
        <v>#N/A</v>
      </c>
      <c r="I502" s="31" t="e">
        <v>#N/A</v>
      </c>
      <c r="J502" s="15">
        <v>1.0</v>
      </c>
    </row>
    <row r="503">
      <c r="A503" s="11">
        <v>46142.88173050926</v>
      </c>
      <c r="B503" s="9" t="s">
        <v>409</v>
      </c>
      <c r="C503" s="9" t="s">
        <v>406</v>
      </c>
      <c r="D503" s="9" t="s">
        <v>19</v>
      </c>
      <c r="E503" s="14"/>
      <c r="F503" s="15">
        <v>1.0</v>
      </c>
      <c r="G503" s="37" t="s">
        <v>65</v>
      </c>
      <c r="H503" s="31" t="e">
        <v>#N/A</v>
      </c>
      <c r="I503" s="31" t="e">
        <v>#N/A</v>
      </c>
      <c r="J503" s="15">
        <v>1.0</v>
      </c>
    </row>
    <row r="504">
      <c r="A504" s="11">
        <v>46142.881942465276</v>
      </c>
      <c r="B504" s="9" t="s">
        <v>304</v>
      </c>
      <c r="C504" s="9" t="s">
        <v>393</v>
      </c>
      <c r="D504" s="9" t="s">
        <v>19</v>
      </c>
      <c r="E504" s="54" t="s">
        <v>411</v>
      </c>
      <c r="F504" s="15">
        <v>1.0</v>
      </c>
      <c r="G504" s="37" t="s">
        <v>65</v>
      </c>
      <c r="H504" s="31" t="e">
        <v>#N/A</v>
      </c>
      <c r="I504" s="31" t="e">
        <v>#N/A</v>
      </c>
      <c r="J504" s="15">
        <v>1.0</v>
      </c>
    </row>
    <row r="505">
      <c r="A505" s="11">
        <v>46142.897371875</v>
      </c>
      <c r="B505" s="9" t="s">
        <v>368</v>
      </c>
      <c r="C505" s="9" t="s">
        <v>409</v>
      </c>
      <c r="D505" s="37" t="s">
        <v>57</v>
      </c>
      <c r="E505" s="14"/>
      <c r="F505" s="15">
        <v>1.0</v>
      </c>
      <c r="G505" s="37" t="s">
        <v>65</v>
      </c>
      <c r="H505" s="31" t="e">
        <v>#N/A</v>
      </c>
      <c r="I505" s="31" t="e">
        <v>#N/A</v>
      </c>
      <c r="J505" s="15">
        <v>1.0</v>
      </c>
    </row>
    <row r="506">
      <c r="A506" s="11">
        <v>46142.907812743055</v>
      </c>
      <c r="B506" s="9" t="s">
        <v>371</v>
      </c>
      <c r="C506" s="9" t="s">
        <v>393</v>
      </c>
      <c r="D506" s="37" t="s">
        <v>57</v>
      </c>
      <c r="E506" s="54" t="s">
        <v>412</v>
      </c>
      <c r="F506" s="15">
        <v>1.0</v>
      </c>
      <c r="G506" s="37" t="s">
        <v>65</v>
      </c>
      <c r="H506" s="31" t="e">
        <v>#N/A</v>
      </c>
      <c r="I506" s="31" t="e">
        <v>#N/A</v>
      </c>
      <c r="J506" s="15">
        <v>1.0</v>
      </c>
    </row>
    <row r="507">
      <c r="A507" s="11">
        <v>46142.92277415509</v>
      </c>
      <c r="B507" s="9" t="s">
        <v>252</v>
      </c>
      <c r="C507" s="9" t="s">
        <v>409</v>
      </c>
      <c r="D507" s="9" t="s">
        <v>19</v>
      </c>
      <c r="E507" s="14"/>
      <c r="F507" s="15">
        <v>1.0</v>
      </c>
      <c r="G507" s="37" t="s">
        <v>65</v>
      </c>
      <c r="H507" s="31" t="e">
        <v>#N/A</v>
      </c>
      <c r="I507" s="31" t="e">
        <v>#N/A</v>
      </c>
      <c r="J507" s="15">
        <v>1.0</v>
      </c>
    </row>
    <row r="508">
      <c r="A508" s="11">
        <v>46142.92551569444</v>
      </c>
      <c r="B508" s="9" t="s">
        <v>376</v>
      </c>
      <c r="C508" s="9" t="s">
        <v>278</v>
      </c>
      <c r="D508" s="37" t="s">
        <v>57</v>
      </c>
      <c r="E508" s="14"/>
      <c r="F508" s="15">
        <v>1.0</v>
      </c>
      <c r="G508" s="37" t="s">
        <v>65</v>
      </c>
      <c r="H508" s="31" t="e">
        <v>#N/A</v>
      </c>
      <c r="I508" s="31" t="e">
        <v>#N/A</v>
      </c>
      <c r="J508" s="15">
        <v>1.0</v>
      </c>
    </row>
    <row r="509">
      <c r="A509" s="11">
        <v>46142.93694516204</v>
      </c>
      <c r="B509" s="9" t="s">
        <v>320</v>
      </c>
      <c r="C509" s="9" t="s">
        <v>346</v>
      </c>
      <c r="D509" s="9" t="s">
        <v>19</v>
      </c>
      <c r="E509" s="14"/>
      <c r="F509" s="15">
        <v>1.0</v>
      </c>
      <c r="G509" s="37" t="s">
        <v>65</v>
      </c>
      <c r="H509" s="31" t="e">
        <v>#N/A</v>
      </c>
      <c r="I509" s="31" t="e">
        <v>#N/A</v>
      </c>
      <c r="J509" s="15">
        <v>1.0</v>
      </c>
    </row>
    <row r="510">
      <c r="A510" s="11">
        <v>46142.941377361116</v>
      </c>
      <c r="B510" s="9" t="s">
        <v>164</v>
      </c>
      <c r="C510" s="9" t="s">
        <v>278</v>
      </c>
      <c r="D510" s="9" t="s">
        <v>19</v>
      </c>
      <c r="E510" s="14"/>
      <c r="F510" s="15">
        <v>1.0</v>
      </c>
      <c r="G510" s="37" t="s">
        <v>65</v>
      </c>
      <c r="H510" s="31" t="e">
        <v>#N/A</v>
      </c>
      <c r="I510" s="31" t="e">
        <v>#N/A</v>
      </c>
      <c r="J510" s="15">
        <v>1.0</v>
      </c>
    </row>
    <row r="511">
      <c r="A511" s="11">
        <v>46142.94419978009</v>
      </c>
      <c r="B511" s="9" t="s">
        <v>252</v>
      </c>
      <c r="C511" s="9" t="s">
        <v>142</v>
      </c>
      <c r="D511" s="37" t="s">
        <v>57</v>
      </c>
      <c r="E511" s="14"/>
      <c r="F511" s="15">
        <v>1.0</v>
      </c>
      <c r="G511" s="37" t="s">
        <v>65</v>
      </c>
      <c r="H511" s="31" t="e">
        <v>#N/A</v>
      </c>
      <c r="I511" s="31" t="e">
        <v>#N/A</v>
      </c>
      <c r="J511" s="15">
        <v>1.0</v>
      </c>
    </row>
    <row r="512">
      <c r="A512" s="11">
        <v>46142.94440230324</v>
      </c>
      <c r="B512" s="9" t="s">
        <v>345</v>
      </c>
      <c r="C512" s="9" t="s">
        <v>150</v>
      </c>
      <c r="D512" s="37" t="s">
        <v>57</v>
      </c>
      <c r="E512" s="54" t="s">
        <v>112</v>
      </c>
      <c r="F512" s="15">
        <v>1.0</v>
      </c>
      <c r="G512" s="37" t="s">
        <v>65</v>
      </c>
      <c r="H512" s="31" t="e">
        <v>#N/A</v>
      </c>
      <c r="I512" s="31" t="e">
        <v>#N/A</v>
      </c>
      <c r="J512" s="15">
        <v>1.0</v>
      </c>
    </row>
    <row r="513">
      <c r="A513" s="11">
        <v>46142.96633981481</v>
      </c>
      <c r="B513" s="9" t="s">
        <v>200</v>
      </c>
      <c r="C513" s="9" t="s">
        <v>410</v>
      </c>
      <c r="D513" s="37" t="s">
        <v>57</v>
      </c>
      <c r="E513" s="54" t="s">
        <v>122</v>
      </c>
      <c r="F513" s="15">
        <v>1.0</v>
      </c>
      <c r="G513" s="37" t="s">
        <v>65</v>
      </c>
      <c r="H513" s="31" t="e">
        <v>#N/A</v>
      </c>
      <c r="I513" s="31" t="e">
        <v>#N/A</v>
      </c>
      <c r="J513" s="15">
        <v>1.0</v>
      </c>
    </row>
    <row r="514">
      <c r="A514" s="11">
        <v>46142.97334474537</v>
      </c>
      <c r="B514" s="9" t="s">
        <v>342</v>
      </c>
      <c r="C514" s="9" t="s">
        <v>413</v>
      </c>
      <c r="D514" s="9" t="s">
        <v>19</v>
      </c>
      <c r="E514" s="14"/>
      <c r="F514" s="15">
        <v>1.0</v>
      </c>
      <c r="G514" s="37" t="s">
        <v>65</v>
      </c>
      <c r="H514" s="31" t="e">
        <v>#N/A</v>
      </c>
      <c r="I514" s="31" t="e">
        <v>#N/A</v>
      </c>
      <c r="J514" s="15">
        <v>1.0</v>
      </c>
    </row>
    <row r="515">
      <c r="A515" s="11">
        <v>46142.98132366898</v>
      </c>
      <c r="B515" s="9" t="s">
        <v>200</v>
      </c>
      <c r="C515" s="9" t="s">
        <v>404</v>
      </c>
      <c r="D515" s="9" t="s">
        <v>19</v>
      </c>
      <c r="E515" s="14"/>
      <c r="F515" s="15">
        <v>1.0</v>
      </c>
      <c r="G515" s="37" t="s">
        <v>65</v>
      </c>
      <c r="H515" s="31" t="e">
        <v>#N/A</v>
      </c>
      <c r="I515" s="31" t="e">
        <v>#N/A</v>
      </c>
      <c r="J515" s="15">
        <v>1.0</v>
      </c>
    </row>
    <row r="516">
      <c r="A516" s="11">
        <v>46142.99609702546</v>
      </c>
      <c r="B516" s="9" t="s">
        <v>389</v>
      </c>
      <c r="C516" s="9" t="s">
        <v>413</v>
      </c>
      <c r="D516" s="37" t="s">
        <v>57</v>
      </c>
      <c r="E516" s="14"/>
      <c r="F516" s="15">
        <v>1.0</v>
      </c>
      <c r="G516" s="37" t="s">
        <v>65</v>
      </c>
      <c r="H516" s="31" t="e">
        <v>#N/A</v>
      </c>
      <c r="I516" s="31" t="e">
        <v>#N/A</v>
      </c>
      <c r="J516" s="15">
        <v>1.0</v>
      </c>
    </row>
    <row r="517">
      <c r="A517" s="11">
        <v>46143.00421706018</v>
      </c>
      <c r="B517" s="9" t="s">
        <v>85</v>
      </c>
      <c r="C517" s="9" t="s">
        <v>343</v>
      </c>
      <c r="D517" s="37" t="s">
        <v>57</v>
      </c>
      <c r="E517" s="14"/>
      <c r="F517" s="15">
        <v>1.0</v>
      </c>
      <c r="G517" s="37" t="s">
        <v>65</v>
      </c>
      <c r="H517" s="31" t="e">
        <v>#N/A</v>
      </c>
      <c r="I517" s="31" t="e">
        <v>#N/A</v>
      </c>
      <c r="J517" s="15">
        <v>1.0</v>
      </c>
    </row>
    <row r="518">
      <c r="A518" s="11">
        <v>46143.02166694445</v>
      </c>
      <c r="B518" s="9" t="s">
        <v>413</v>
      </c>
      <c r="C518" s="9" t="s">
        <v>374</v>
      </c>
      <c r="D518" s="9" t="s">
        <v>19</v>
      </c>
      <c r="E518" s="14"/>
      <c r="F518" s="15">
        <v>1.0</v>
      </c>
      <c r="G518" s="37" t="s">
        <v>65</v>
      </c>
      <c r="H518" s="31" t="e">
        <v>#N/A</v>
      </c>
      <c r="I518" s="31" t="e">
        <v>#N/A</v>
      </c>
      <c r="J518" s="15">
        <v>1.0</v>
      </c>
    </row>
    <row r="519">
      <c r="A519" s="11">
        <v>46143.038989803244</v>
      </c>
      <c r="B519" s="9" t="s">
        <v>332</v>
      </c>
      <c r="C519" s="9" t="s">
        <v>413</v>
      </c>
      <c r="D519" s="9" t="s">
        <v>19</v>
      </c>
      <c r="E519" s="14"/>
      <c r="F519" s="15">
        <v>1.0</v>
      </c>
      <c r="G519" s="37" t="s">
        <v>65</v>
      </c>
      <c r="H519" s="31" t="e">
        <v>#N/A</v>
      </c>
      <c r="I519" s="31" t="e">
        <v>#N/A</v>
      </c>
      <c r="J519" s="15">
        <v>1.0</v>
      </c>
    </row>
    <row r="520">
      <c r="A520" s="11">
        <v>46143.0421105787</v>
      </c>
      <c r="B520" s="9" t="s">
        <v>85</v>
      </c>
      <c r="C520" s="9" t="s">
        <v>410</v>
      </c>
      <c r="D520" s="9" t="s">
        <v>19</v>
      </c>
      <c r="E520" s="14"/>
      <c r="F520" s="15">
        <v>1.0</v>
      </c>
      <c r="G520" s="37" t="s">
        <v>65</v>
      </c>
      <c r="H520" s="31" t="e">
        <v>#N/A</v>
      </c>
      <c r="I520" s="31" t="e">
        <v>#N/A</v>
      </c>
      <c r="J520" s="15">
        <v>1.0</v>
      </c>
    </row>
    <row r="521">
      <c r="A521" s="11">
        <v>46143.05804743056</v>
      </c>
      <c r="B521" s="9" t="s">
        <v>394</v>
      </c>
      <c r="C521" s="9" t="s">
        <v>67</v>
      </c>
      <c r="D521" s="9" t="s">
        <v>19</v>
      </c>
      <c r="E521" s="14"/>
      <c r="F521" s="15">
        <v>1.0</v>
      </c>
      <c r="G521" s="37" t="s">
        <v>65</v>
      </c>
      <c r="H521" s="31" t="e">
        <v>#N/A</v>
      </c>
      <c r="I521" s="31" t="e">
        <v>#N/A</v>
      </c>
      <c r="J521" s="15">
        <v>1.0</v>
      </c>
    </row>
    <row r="522">
      <c r="A522" s="11">
        <v>46143.11732657407</v>
      </c>
      <c r="B522" s="9" t="s">
        <v>394</v>
      </c>
      <c r="C522" s="9" t="s">
        <v>402</v>
      </c>
      <c r="D522" s="37" t="s">
        <v>57</v>
      </c>
      <c r="E522" s="14"/>
      <c r="F522" s="15">
        <v>1.0</v>
      </c>
      <c r="G522" s="37" t="s">
        <v>65</v>
      </c>
      <c r="H522" s="31" t="e">
        <v>#N/A</v>
      </c>
      <c r="I522" s="31" t="e">
        <v>#N/A</v>
      </c>
      <c r="J522" s="15">
        <v>1.0</v>
      </c>
    </row>
    <row r="523">
      <c r="A523" s="11">
        <v>46143.13341643519</v>
      </c>
      <c r="B523" s="9" t="s">
        <v>183</v>
      </c>
      <c r="C523" s="9" t="s">
        <v>291</v>
      </c>
      <c r="D523" s="9" t="s">
        <v>19</v>
      </c>
      <c r="E523" s="54" t="s">
        <v>122</v>
      </c>
      <c r="F523" s="15">
        <v>1.0</v>
      </c>
      <c r="G523" s="37" t="s">
        <v>65</v>
      </c>
      <c r="H523" s="31" t="e">
        <v>#N/A</v>
      </c>
      <c r="I523" s="31" t="e">
        <v>#N/A</v>
      </c>
      <c r="J523" s="15">
        <v>1.0</v>
      </c>
    </row>
    <row r="524">
      <c r="A524" s="11">
        <v>46143.271028159725</v>
      </c>
      <c r="B524" s="9" t="s">
        <v>414</v>
      </c>
      <c r="C524" s="9" t="s">
        <v>401</v>
      </c>
      <c r="D524" s="9" t="s">
        <v>19</v>
      </c>
      <c r="E524" s="54" t="s">
        <v>415</v>
      </c>
      <c r="F524" s="15">
        <v>1.0</v>
      </c>
      <c r="G524" s="37" t="s">
        <v>65</v>
      </c>
      <c r="H524" s="31" t="e">
        <v>#N/A</v>
      </c>
      <c r="I524" s="31" t="e">
        <v>#N/A</v>
      </c>
      <c r="J524" s="15">
        <v>1.0</v>
      </c>
    </row>
    <row r="525">
      <c r="A525" s="11">
        <v>46143.30767224537</v>
      </c>
      <c r="B525" s="9" t="s">
        <v>414</v>
      </c>
      <c r="C525" s="9" t="s">
        <v>406</v>
      </c>
      <c r="D525" s="9" t="s">
        <v>19</v>
      </c>
      <c r="E525" s="54" t="s">
        <v>176</v>
      </c>
      <c r="F525" s="15">
        <v>1.0</v>
      </c>
      <c r="G525" s="37" t="s">
        <v>65</v>
      </c>
      <c r="H525" s="31" t="e">
        <v>#N/A</v>
      </c>
      <c r="I525" s="31" t="e">
        <v>#N/A</v>
      </c>
      <c r="J525" s="15">
        <v>1.0</v>
      </c>
    </row>
    <row r="526">
      <c r="A526" s="11">
        <v>46143.32463217592</v>
      </c>
      <c r="B526" s="9" t="s">
        <v>275</v>
      </c>
      <c r="C526" s="9" t="s">
        <v>399</v>
      </c>
      <c r="D526" s="37" t="s">
        <v>57</v>
      </c>
      <c r="E526" s="14"/>
      <c r="F526" s="15">
        <v>1.0</v>
      </c>
      <c r="G526" s="37" t="s">
        <v>65</v>
      </c>
      <c r="H526" s="31" t="e">
        <v>#N/A</v>
      </c>
      <c r="I526" s="31" t="e">
        <v>#N/A</v>
      </c>
      <c r="J526" s="15">
        <v>1.0</v>
      </c>
    </row>
    <row r="527">
      <c r="A527" s="11">
        <v>46143.35200859954</v>
      </c>
      <c r="B527" s="9" t="s">
        <v>389</v>
      </c>
      <c r="C527" s="9" t="s">
        <v>401</v>
      </c>
      <c r="D527" s="37" t="s">
        <v>57</v>
      </c>
      <c r="E527" s="14"/>
      <c r="F527" s="15">
        <v>1.0</v>
      </c>
      <c r="G527" s="37" t="s">
        <v>65</v>
      </c>
      <c r="H527" s="31" t="e">
        <v>#N/A</v>
      </c>
      <c r="I527" s="31" t="e">
        <v>#N/A</v>
      </c>
      <c r="J527" s="15">
        <v>1.0</v>
      </c>
    </row>
    <row r="528">
      <c r="A528" s="11">
        <v>46143.38101427083</v>
      </c>
      <c r="B528" s="9" t="s">
        <v>351</v>
      </c>
      <c r="C528" s="9" t="s">
        <v>313</v>
      </c>
      <c r="D528" s="9" t="s">
        <v>19</v>
      </c>
      <c r="E528" s="54" t="s">
        <v>112</v>
      </c>
      <c r="F528" s="15">
        <v>1.0</v>
      </c>
      <c r="G528" s="37" t="s">
        <v>65</v>
      </c>
      <c r="H528" s="31" t="e">
        <v>#N/A</v>
      </c>
      <c r="I528" s="31" t="e">
        <v>#N/A</v>
      </c>
      <c r="J528" s="15">
        <v>1.0</v>
      </c>
    </row>
    <row r="529">
      <c r="A529" s="11">
        <v>46143.398780682866</v>
      </c>
      <c r="B529" s="9" t="s">
        <v>399</v>
      </c>
      <c r="C529" s="9" t="s">
        <v>289</v>
      </c>
      <c r="D529" s="37" t="s">
        <v>57</v>
      </c>
      <c r="E529" s="54" t="s">
        <v>416</v>
      </c>
      <c r="F529" s="15">
        <v>1.0</v>
      </c>
      <c r="H529" s="31" t="e">
        <v>#N/A</v>
      </c>
      <c r="I529" s="31" t="e">
        <v>#N/A</v>
      </c>
      <c r="J529" s="15">
        <v>1.0</v>
      </c>
    </row>
    <row r="530">
      <c r="A530" s="11">
        <v>46143.399437037035</v>
      </c>
      <c r="B530" s="9" t="s">
        <v>414</v>
      </c>
      <c r="C530" s="9" t="s">
        <v>417</v>
      </c>
      <c r="D530" s="9" t="s">
        <v>19</v>
      </c>
      <c r="E530" s="54" t="s">
        <v>418</v>
      </c>
      <c r="F530" s="15">
        <v>1.0</v>
      </c>
      <c r="G530" s="37" t="s">
        <v>65</v>
      </c>
      <c r="H530" s="31" t="e">
        <v>#N/A</v>
      </c>
      <c r="I530" s="31" t="e">
        <v>#N/A</v>
      </c>
      <c r="J530" s="15">
        <v>1.0</v>
      </c>
    </row>
    <row r="531">
      <c r="A531" s="11">
        <v>46143.42736292824</v>
      </c>
      <c r="B531" s="9" t="s">
        <v>302</v>
      </c>
      <c r="C531" s="9" t="s">
        <v>348</v>
      </c>
      <c r="D531" s="37" t="s">
        <v>57</v>
      </c>
      <c r="E531" s="54" t="s">
        <v>112</v>
      </c>
      <c r="F531" s="15">
        <v>1.0</v>
      </c>
      <c r="G531" s="37" t="s">
        <v>65</v>
      </c>
      <c r="H531" s="31" t="e">
        <v>#N/A</v>
      </c>
      <c r="I531" s="31" t="e">
        <v>#N/A</v>
      </c>
      <c r="J531" s="15">
        <v>1.0</v>
      </c>
    </row>
    <row r="532">
      <c r="A532" s="11">
        <v>46143.435247546295</v>
      </c>
      <c r="B532" s="9" t="s">
        <v>200</v>
      </c>
      <c r="C532" s="9" t="s">
        <v>417</v>
      </c>
      <c r="D532" s="9" t="s">
        <v>19</v>
      </c>
      <c r="E532" s="14"/>
      <c r="F532" s="15">
        <v>1.0</v>
      </c>
      <c r="G532" s="37" t="s">
        <v>65</v>
      </c>
      <c r="H532" s="31" t="e">
        <v>#N/A</v>
      </c>
      <c r="I532" s="31" t="e">
        <v>#N/A</v>
      </c>
      <c r="J532" s="15">
        <v>1.0</v>
      </c>
    </row>
    <row r="533">
      <c r="A533" s="11">
        <v>46143.45640401621</v>
      </c>
      <c r="B533" s="9" t="s">
        <v>417</v>
      </c>
      <c r="C533" s="9" t="s">
        <v>387</v>
      </c>
      <c r="D533" s="9" t="s">
        <v>19</v>
      </c>
      <c r="E533" s="54" t="s">
        <v>419</v>
      </c>
      <c r="F533" s="15">
        <v>1.0</v>
      </c>
      <c r="G533" s="37" t="s">
        <v>65</v>
      </c>
      <c r="H533" s="31" t="e">
        <v>#N/A</v>
      </c>
      <c r="I533" s="31" t="e">
        <v>#N/A</v>
      </c>
      <c r="J533" s="15">
        <v>1.0</v>
      </c>
    </row>
    <row r="534">
      <c r="A534" s="11">
        <v>46143.48120657407</v>
      </c>
      <c r="B534" s="9" t="s">
        <v>250</v>
      </c>
      <c r="C534" s="9" t="s">
        <v>302</v>
      </c>
      <c r="D534" s="37" t="s">
        <v>57</v>
      </c>
      <c r="E534" s="14"/>
      <c r="F534" s="15">
        <v>1.0</v>
      </c>
      <c r="G534" s="37" t="s">
        <v>65</v>
      </c>
      <c r="H534" s="31" t="e">
        <v>#N/A</v>
      </c>
      <c r="I534" s="31" t="e">
        <v>#N/A</v>
      </c>
      <c r="J534" s="15">
        <v>1.0</v>
      </c>
    </row>
    <row r="535">
      <c r="A535" s="11">
        <v>46143.50409195602</v>
      </c>
      <c r="B535" s="9" t="s">
        <v>352</v>
      </c>
      <c r="C535" s="9" t="s">
        <v>354</v>
      </c>
      <c r="D535" s="9" t="s">
        <v>19</v>
      </c>
      <c r="E535" s="54" t="s">
        <v>420</v>
      </c>
      <c r="F535" s="15">
        <v>1.0</v>
      </c>
      <c r="G535" s="37" t="s">
        <v>65</v>
      </c>
      <c r="H535" s="31" t="e">
        <v>#N/A</v>
      </c>
      <c r="I535" s="31" t="e">
        <v>#N/A</v>
      </c>
      <c r="J535" s="15">
        <v>1.0</v>
      </c>
    </row>
    <row r="536">
      <c r="A536" s="11">
        <v>46143.50754711806</v>
      </c>
      <c r="B536" s="9" t="s">
        <v>421</v>
      </c>
      <c r="C536" s="9" t="s">
        <v>374</v>
      </c>
      <c r="D536" s="9" t="s">
        <v>19</v>
      </c>
      <c r="E536" s="14"/>
      <c r="F536" s="15">
        <v>1.0</v>
      </c>
      <c r="G536" s="37" t="s">
        <v>65</v>
      </c>
      <c r="H536" s="31" t="e">
        <v>#N/A</v>
      </c>
      <c r="I536" s="31" t="e">
        <v>#N/A</v>
      </c>
      <c r="J536" s="15">
        <v>1.0</v>
      </c>
    </row>
    <row r="537">
      <c r="A537" s="11">
        <v>46143.51678395833</v>
      </c>
      <c r="B537" s="9" t="s">
        <v>414</v>
      </c>
      <c r="C537" s="9" t="s">
        <v>95</v>
      </c>
      <c r="D537" s="37" t="s">
        <v>57</v>
      </c>
      <c r="E537" s="54" t="s">
        <v>422</v>
      </c>
      <c r="F537" s="15">
        <v>1.0</v>
      </c>
      <c r="G537" s="37" t="s">
        <v>65</v>
      </c>
      <c r="H537" s="31" t="e">
        <v>#N/A</v>
      </c>
      <c r="I537" s="31" t="e">
        <v>#N/A</v>
      </c>
      <c r="J537" s="15">
        <v>1.0</v>
      </c>
    </row>
    <row r="538">
      <c r="A538" s="11">
        <v>46143.541328368054</v>
      </c>
      <c r="B538" s="9" t="s">
        <v>421</v>
      </c>
      <c r="C538" s="9" t="s">
        <v>304</v>
      </c>
      <c r="D538" s="9" t="s">
        <v>19</v>
      </c>
      <c r="E538" s="14"/>
      <c r="F538" s="15">
        <v>1.0</v>
      </c>
      <c r="G538" s="37" t="s">
        <v>65</v>
      </c>
      <c r="H538" s="31" t="e">
        <v>#N/A</v>
      </c>
      <c r="I538" s="31" t="e">
        <v>#N/A</v>
      </c>
      <c r="J538" s="15">
        <v>1.0</v>
      </c>
    </row>
    <row r="539">
      <c r="A539" s="11">
        <v>46143.55014715278</v>
      </c>
      <c r="B539" s="9" t="s">
        <v>417</v>
      </c>
      <c r="C539" s="9" t="s">
        <v>334</v>
      </c>
      <c r="D539" s="9" t="s">
        <v>19</v>
      </c>
      <c r="E539" s="54" t="s">
        <v>423</v>
      </c>
      <c r="F539" s="15">
        <v>1.0</v>
      </c>
      <c r="G539" s="37" t="s">
        <v>65</v>
      </c>
      <c r="H539" s="31" t="e">
        <v>#N/A</v>
      </c>
      <c r="I539" s="31" t="e">
        <v>#N/A</v>
      </c>
      <c r="J539" s="15">
        <v>1.0</v>
      </c>
    </row>
    <row r="540">
      <c r="A540" s="11">
        <v>46143.56050611111</v>
      </c>
      <c r="B540" s="9" t="s">
        <v>371</v>
      </c>
      <c r="C540" s="9" t="s">
        <v>424</v>
      </c>
      <c r="D540" s="37" t="s">
        <v>57</v>
      </c>
      <c r="E540" s="54" t="s">
        <v>391</v>
      </c>
      <c r="F540" s="15">
        <v>1.0</v>
      </c>
      <c r="G540" s="37" t="s">
        <v>65</v>
      </c>
      <c r="H540" s="31" t="e">
        <v>#N/A</v>
      </c>
      <c r="I540" s="31" t="e">
        <v>#N/A</v>
      </c>
      <c r="J540" s="15">
        <v>1.0</v>
      </c>
    </row>
    <row r="541">
      <c r="A541" s="11">
        <v>46143.568955717594</v>
      </c>
      <c r="B541" s="9" t="s">
        <v>389</v>
      </c>
      <c r="C541" s="9" t="s">
        <v>158</v>
      </c>
      <c r="D541" s="9" t="s">
        <v>19</v>
      </c>
      <c r="E541" s="14"/>
      <c r="F541" s="15">
        <v>1.0</v>
      </c>
      <c r="G541" s="37" t="s">
        <v>65</v>
      </c>
      <c r="H541" s="31" t="e">
        <v>#N/A</v>
      </c>
      <c r="I541" s="31" t="e">
        <v>#N/A</v>
      </c>
      <c r="J541" s="15">
        <v>1.0</v>
      </c>
    </row>
    <row r="542">
      <c r="A542" s="11">
        <v>46143.579779039355</v>
      </c>
      <c r="B542" s="9" t="s">
        <v>424</v>
      </c>
      <c r="C542" s="9" t="s">
        <v>334</v>
      </c>
      <c r="D542" s="9" t="s">
        <v>19</v>
      </c>
      <c r="E542" s="54" t="s">
        <v>425</v>
      </c>
      <c r="F542" s="15">
        <v>1.0</v>
      </c>
      <c r="G542" s="37" t="s">
        <v>65</v>
      </c>
      <c r="H542" s="31" t="e">
        <v>#N/A</v>
      </c>
      <c r="I542" s="31" t="e">
        <v>#N/A</v>
      </c>
      <c r="J542" s="15">
        <v>1.0</v>
      </c>
    </row>
    <row r="543">
      <c r="A543" s="11">
        <v>46143.591161122684</v>
      </c>
      <c r="B543" s="9" t="s">
        <v>157</v>
      </c>
      <c r="C543" s="9" t="s">
        <v>314</v>
      </c>
      <c r="D543" s="9" t="s">
        <v>19</v>
      </c>
      <c r="E543" s="54" t="s">
        <v>426</v>
      </c>
      <c r="F543" s="15">
        <v>1.0</v>
      </c>
      <c r="G543" s="37" t="s">
        <v>65</v>
      </c>
      <c r="H543" s="31" t="e">
        <v>#N/A</v>
      </c>
      <c r="I543" s="31" t="e">
        <v>#N/A</v>
      </c>
      <c r="J543" s="15">
        <v>1.0</v>
      </c>
    </row>
    <row r="544">
      <c r="A544" s="11">
        <v>46143.60575394676</v>
      </c>
      <c r="B544" s="9" t="s">
        <v>410</v>
      </c>
      <c r="C544" s="9" t="s">
        <v>424</v>
      </c>
      <c r="D544" s="37" t="s">
        <v>57</v>
      </c>
      <c r="E544" s="54" t="s">
        <v>176</v>
      </c>
      <c r="F544" s="15">
        <v>1.0</v>
      </c>
      <c r="G544" s="37" t="s">
        <v>65</v>
      </c>
      <c r="H544" s="31" t="e">
        <v>#N/A</v>
      </c>
      <c r="I544" s="31" t="e">
        <v>#N/A</v>
      </c>
      <c r="J544" s="15">
        <v>1.0</v>
      </c>
    </row>
    <row r="545">
      <c r="A545" s="11">
        <v>46143.60986099537</v>
      </c>
      <c r="B545" s="9" t="s">
        <v>421</v>
      </c>
      <c r="C545" s="9" t="s">
        <v>332</v>
      </c>
      <c r="D545" s="9" t="s">
        <v>19</v>
      </c>
      <c r="E545" s="14"/>
      <c r="F545" s="15">
        <v>1.0</v>
      </c>
      <c r="G545" s="37" t="s">
        <v>65</v>
      </c>
      <c r="H545" s="31" t="e">
        <v>#N/A</v>
      </c>
      <c r="I545" s="31" t="e">
        <v>#N/A</v>
      </c>
      <c r="J545" s="15">
        <v>1.0</v>
      </c>
    </row>
    <row r="546">
      <c r="A546" s="11">
        <v>46143.61382159722</v>
      </c>
      <c r="B546" s="9" t="s">
        <v>312</v>
      </c>
      <c r="C546" s="9" t="s">
        <v>335</v>
      </c>
      <c r="D546" s="37" t="s">
        <v>57</v>
      </c>
      <c r="E546" s="54" t="s">
        <v>427</v>
      </c>
      <c r="F546" s="15">
        <v>1.0</v>
      </c>
      <c r="G546" s="37" t="s">
        <v>65</v>
      </c>
      <c r="H546" s="31" t="e">
        <v>#N/A</v>
      </c>
      <c r="I546" s="31" t="e">
        <v>#N/A</v>
      </c>
      <c r="J546" s="15">
        <v>1.0</v>
      </c>
    </row>
    <row r="547">
      <c r="A547" s="11">
        <v>46143.6153518287</v>
      </c>
      <c r="B547" s="9" t="s">
        <v>158</v>
      </c>
      <c r="C547" s="9" t="s">
        <v>352</v>
      </c>
      <c r="D547" s="37" t="s">
        <v>57</v>
      </c>
      <c r="E547" s="54" t="s">
        <v>176</v>
      </c>
      <c r="F547" s="15">
        <v>1.0</v>
      </c>
      <c r="G547" s="37" t="s">
        <v>65</v>
      </c>
      <c r="H547" s="31" t="e">
        <v>#N/A</v>
      </c>
      <c r="I547" s="31" t="e">
        <v>#N/A</v>
      </c>
      <c r="J547" s="15">
        <v>1.0</v>
      </c>
    </row>
    <row r="548">
      <c r="A548" s="11">
        <v>46143.63596447917</v>
      </c>
      <c r="B548" s="9" t="s">
        <v>424</v>
      </c>
      <c r="C548" s="9" t="s">
        <v>157</v>
      </c>
      <c r="D548" s="37" t="s">
        <v>57</v>
      </c>
      <c r="E548" s="54" t="s">
        <v>428</v>
      </c>
      <c r="F548" s="15">
        <v>1.0</v>
      </c>
      <c r="G548" s="37" t="s">
        <v>65</v>
      </c>
      <c r="H548" s="31" t="e">
        <v>#N/A</v>
      </c>
      <c r="I548" s="31" t="e">
        <v>#N/A</v>
      </c>
      <c r="J548" s="15">
        <v>1.0</v>
      </c>
    </row>
    <row r="549">
      <c r="A549" s="11">
        <v>46143.636961192125</v>
      </c>
      <c r="B549" s="9" t="s">
        <v>185</v>
      </c>
      <c r="C549" s="9" t="s">
        <v>410</v>
      </c>
      <c r="D549" s="37" t="s">
        <v>57</v>
      </c>
      <c r="E549" s="14"/>
      <c r="F549" s="15">
        <v>1.0</v>
      </c>
      <c r="G549" s="37" t="s">
        <v>65</v>
      </c>
      <c r="H549" s="31" t="e">
        <v>#N/A</v>
      </c>
      <c r="I549" s="31" t="e">
        <v>#N/A</v>
      </c>
      <c r="J549" s="15">
        <v>1.0</v>
      </c>
    </row>
    <row r="550">
      <c r="A550" s="11">
        <v>46143.66114561343</v>
      </c>
      <c r="B550" s="9" t="s">
        <v>368</v>
      </c>
      <c r="C550" s="9" t="s">
        <v>95</v>
      </c>
      <c r="D550" s="37" t="s">
        <v>57</v>
      </c>
      <c r="E550" s="14"/>
      <c r="F550" s="15">
        <v>1.0</v>
      </c>
      <c r="G550" s="37" t="s">
        <v>65</v>
      </c>
      <c r="H550" s="31" t="e">
        <v>#N/A</v>
      </c>
      <c r="I550" s="31" t="e">
        <v>#N/A</v>
      </c>
      <c r="J550" s="15">
        <v>1.0</v>
      </c>
    </row>
    <row r="551">
      <c r="A551" s="11">
        <v>46143.66901023148</v>
      </c>
      <c r="B551" s="9" t="s">
        <v>417</v>
      </c>
      <c r="C551" s="9" t="s">
        <v>424</v>
      </c>
      <c r="D551" s="9" t="s">
        <v>19</v>
      </c>
      <c r="E551" s="54" t="s">
        <v>429</v>
      </c>
      <c r="F551" s="15">
        <v>1.0</v>
      </c>
      <c r="G551" s="37" t="s">
        <v>65</v>
      </c>
      <c r="H551" s="31" t="e">
        <v>#N/A</v>
      </c>
      <c r="I551" s="31" t="e">
        <v>#N/A</v>
      </c>
      <c r="J551" s="15">
        <v>1.0</v>
      </c>
    </row>
    <row r="552">
      <c r="A552" s="11">
        <v>46143.68589366898</v>
      </c>
      <c r="B552" s="9" t="s">
        <v>359</v>
      </c>
      <c r="C552" s="9" t="s">
        <v>385</v>
      </c>
      <c r="D552" s="37" t="s">
        <v>57</v>
      </c>
      <c r="E552" s="54" t="s">
        <v>140</v>
      </c>
      <c r="F552" s="15">
        <v>1.0</v>
      </c>
      <c r="G552" s="37" t="s">
        <v>65</v>
      </c>
      <c r="H552" s="31" t="e">
        <v>#N/A</v>
      </c>
      <c r="I552" s="31" t="e">
        <v>#N/A</v>
      </c>
      <c r="J552" s="15">
        <v>1.0</v>
      </c>
    </row>
    <row r="553">
      <c r="A553" s="11">
        <v>46143.698381574075</v>
      </c>
      <c r="B553" s="9" t="s">
        <v>402</v>
      </c>
      <c r="C553" s="9" t="s">
        <v>406</v>
      </c>
      <c r="D553" s="9" t="s">
        <v>19</v>
      </c>
      <c r="E553" s="14"/>
      <c r="F553" s="15">
        <v>1.0</v>
      </c>
      <c r="G553" s="37" t="s">
        <v>65</v>
      </c>
      <c r="H553" s="31" t="e">
        <v>#N/A</v>
      </c>
      <c r="I553" s="31" t="e">
        <v>#N/A</v>
      </c>
      <c r="J553" s="15">
        <v>1.0</v>
      </c>
    </row>
    <row r="554">
      <c r="A554" s="11">
        <v>46143.72454148148</v>
      </c>
      <c r="B554" s="9" t="s">
        <v>385</v>
      </c>
      <c r="C554" s="9" t="s">
        <v>286</v>
      </c>
      <c r="D554" s="9" t="s">
        <v>19</v>
      </c>
      <c r="E554" s="54" t="s">
        <v>430</v>
      </c>
      <c r="F554" s="15">
        <v>1.0</v>
      </c>
      <c r="G554" s="37" t="s">
        <v>65</v>
      </c>
      <c r="H554" s="31" t="e">
        <v>#N/A</v>
      </c>
      <c r="I554" s="31" t="e">
        <v>#N/A</v>
      </c>
      <c r="J554" s="15">
        <v>1.0</v>
      </c>
    </row>
    <row r="555">
      <c r="A555" s="11">
        <v>46143.72717633102</v>
      </c>
      <c r="B555" s="9" t="s">
        <v>163</v>
      </c>
      <c r="C555" s="9" t="s">
        <v>115</v>
      </c>
      <c r="D555" s="37" t="s">
        <v>57</v>
      </c>
      <c r="E555" s="54" t="s">
        <v>140</v>
      </c>
      <c r="F555" s="15">
        <v>1.0</v>
      </c>
      <c r="G555" s="37" t="s">
        <v>65</v>
      </c>
      <c r="H555" s="31" t="e">
        <v>#N/A</v>
      </c>
      <c r="I555" s="31" t="e">
        <v>#N/A</v>
      </c>
      <c r="J555" s="15">
        <v>1.0</v>
      </c>
    </row>
    <row r="556">
      <c r="A556" s="11">
        <v>46143.7316630787</v>
      </c>
      <c r="B556" s="9" t="s">
        <v>54</v>
      </c>
      <c r="C556" s="9" t="s">
        <v>100</v>
      </c>
      <c r="D556" s="9" t="s">
        <v>19</v>
      </c>
      <c r="E556" s="14"/>
      <c r="F556" s="15">
        <v>1.0</v>
      </c>
      <c r="G556" s="37" t="s">
        <v>65</v>
      </c>
      <c r="H556" s="31" t="e">
        <v>#N/A</v>
      </c>
      <c r="I556" s="31" t="e">
        <v>#N/A</v>
      </c>
      <c r="J556" s="15">
        <v>1.0</v>
      </c>
    </row>
    <row r="557">
      <c r="A557" s="11">
        <v>46143.73282668981</v>
      </c>
      <c r="B557" s="9" t="s">
        <v>62</v>
      </c>
      <c r="C557" s="9" t="s">
        <v>239</v>
      </c>
      <c r="D557" s="37" t="s">
        <v>57</v>
      </c>
      <c r="E557" s="54" t="s">
        <v>112</v>
      </c>
      <c r="F557" s="15">
        <v>1.0</v>
      </c>
      <c r="G557" s="37" t="s">
        <v>65</v>
      </c>
      <c r="H557" s="31" t="e">
        <v>#N/A</v>
      </c>
      <c r="I557" s="31" t="e">
        <v>#N/A</v>
      </c>
      <c r="J557" s="15">
        <v>1.0</v>
      </c>
    </row>
    <row r="558">
      <c r="A558" s="11">
        <v>46143.73781155093</v>
      </c>
      <c r="B558" s="9" t="s">
        <v>192</v>
      </c>
      <c r="C558" s="9" t="s">
        <v>72</v>
      </c>
      <c r="D558" s="9" t="s">
        <v>19</v>
      </c>
      <c r="E558" s="14"/>
      <c r="F558" s="15">
        <v>1.0</v>
      </c>
      <c r="G558" s="37" t="s">
        <v>65</v>
      </c>
      <c r="H558" s="31" t="e">
        <v>#N/A</v>
      </c>
      <c r="I558" s="31" t="e">
        <v>#N/A</v>
      </c>
      <c r="J558" s="15">
        <v>1.0</v>
      </c>
    </row>
    <row r="559">
      <c r="A559" s="11">
        <v>46143.739189155094</v>
      </c>
      <c r="B559" s="9" t="s">
        <v>219</v>
      </c>
      <c r="C559" s="9" t="s">
        <v>163</v>
      </c>
      <c r="D559" s="9" t="s">
        <v>19</v>
      </c>
      <c r="E559" s="14"/>
      <c r="F559" s="15">
        <v>1.0</v>
      </c>
      <c r="G559" s="37" t="s">
        <v>65</v>
      </c>
      <c r="H559" s="31" t="e">
        <v>#N/A</v>
      </c>
      <c r="I559" s="31" t="e">
        <v>#N/A</v>
      </c>
      <c r="J559" s="15">
        <v>1.0</v>
      </c>
    </row>
    <row r="560">
      <c r="A560" s="11">
        <v>46143.74373103009</v>
      </c>
      <c r="B560" s="9" t="s">
        <v>264</v>
      </c>
      <c r="C560" s="9" t="s">
        <v>71</v>
      </c>
      <c r="D560" s="37" t="s">
        <v>57</v>
      </c>
      <c r="E560" s="54" t="s">
        <v>112</v>
      </c>
      <c r="F560" s="15">
        <v>1.0</v>
      </c>
      <c r="G560" s="37" t="s">
        <v>65</v>
      </c>
      <c r="H560" s="31" t="e">
        <v>#N/A</v>
      </c>
      <c r="I560" s="31" t="e">
        <v>#N/A</v>
      </c>
      <c r="J560" s="15">
        <v>1.0</v>
      </c>
    </row>
    <row r="561">
      <c r="A561" s="11">
        <v>46143.74573008102</v>
      </c>
      <c r="B561" s="9" t="s">
        <v>62</v>
      </c>
      <c r="C561" s="9" t="s">
        <v>103</v>
      </c>
      <c r="D561" s="9" t="s">
        <v>19</v>
      </c>
      <c r="E561" s="54" t="s">
        <v>112</v>
      </c>
      <c r="F561" s="15">
        <v>1.0</v>
      </c>
      <c r="G561" s="37" t="s">
        <v>65</v>
      </c>
      <c r="H561" s="31" t="e">
        <v>#N/A</v>
      </c>
      <c r="I561" s="31" t="e">
        <v>#N/A</v>
      </c>
      <c r="J561" s="15">
        <v>1.0</v>
      </c>
    </row>
    <row r="562">
      <c r="A562" s="11">
        <v>46143.74592253473</v>
      </c>
      <c r="B562" s="9" t="s">
        <v>120</v>
      </c>
      <c r="C562" s="9" t="s">
        <v>260</v>
      </c>
      <c r="D562" s="37" t="s">
        <v>57</v>
      </c>
      <c r="E562" s="14"/>
      <c r="F562" s="15">
        <v>1.0</v>
      </c>
      <c r="G562" s="37" t="s">
        <v>65</v>
      </c>
      <c r="H562" s="31" t="e">
        <v>#N/A</v>
      </c>
      <c r="I562" s="31" t="e">
        <v>#N/A</v>
      </c>
      <c r="J562" s="15">
        <v>1.0</v>
      </c>
    </row>
    <row r="563">
      <c r="A563" s="11">
        <v>46143.75398173611</v>
      </c>
      <c r="B563" s="9" t="s">
        <v>66</v>
      </c>
      <c r="C563" s="9" t="s">
        <v>238</v>
      </c>
      <c r="D563" s="9" t="s">
        <v>19</v>
      </c>
      <c r="E563" s="14"/>
      <c r="F563" s="15">
        <v>1.0</v>
      </c>
      <c r="G563" s="37" t="s">
        <v>65</v>
      </c>
      <c r="H563" s="31" t="e">
        <v>#N/A</v>
      </c>
      <c r="I563" s="31" t="e">
        <v>#N/A</v>
      </c>
      <c r="J563" s="15">
        <v>1.0</v>
      </c>
    </row>
    <row r="564">
      <c r="A564" s="11">
        <v>46143.755410439815</v>
      </c>
      <c r="B564" s="9" t="s">
        <v>71</v>
      </c>
      <c r="C564" s="9" t="s">
        <v>100</v>
      </c>
      <c r="D564" s="9" t="s">
        <v>19</v>
      </c>
      <c r="E564" s="14"/>
      <c r="F564" s="15">
        <v>1.0</v>
      </c>
      <c r="G564" s="37" t="s">
        <v>65</v>
      </c>
      <c r="H564" s="31" t="e">
        <v>#N/A</v>
      </c>
      <c r="I564" s="31" t="e">
        <v>#N/A</v>
      </c>
      <c r="J564" s="15">
        <v>1.0</v>
      </c>
    </row>
    <row r="565">
      <c r="A565" s="11">
        <v>46143.75683707176</v>
      </c>
      <c r="B565" s="9" t="s">
        <v>345</v>
      </c>
      <c r="C565" s="9" t="s">
        <v>337</v>
      </c>
      <c r="D565" s="9" t="s">
        <v>19</v>
      </c>
      <c r="E565" s="54" t="s">
        <v>112</v>
      </c>
      <c r="F565" s="15">
        <v>1.0</v>
      </c>
      <c r="G565" s="37" t="s">
        <v>65</v>
      </c>
      <c r="H565" s="31" t="e">
        <v>#N/A</v>
      </c>
      <c r="I565" s="31" t="e">
        <v>#N/A</v>
      </c>
      <c r="J565" s="15">
        <v>1.0</v>
      </c>
    </row>
    <row r="566">
      <c r="A566" s="11">
        <v>46143.7599137037</v>
      </c>
      <c r="B566" s="9" t="s">
        <v>192</v>
      </c>
      <c r="C566" s="9" t="s">
        <v>219</v>
      </c>
      <c r="D566" s="9" t="s">
        <v>19</v>
      </c>
      <c r="E566" s="14"/>
      <c r="F566" s="15">
        <v>1.0</v>
      </c>
      <c r="G566" s="37" t="s">
        <v>65</v>
      </c>
      <c r="H566" s="31" t="e">
        <v>#N/A</v>
      </c>
      <c r="I566" s="31" t="e">
        <v>#N/A</v>
      </c>
      <c r="J566" s="15">
        <v>1.0</v>
      </c>
    </row>
    <row r="567">
      <c r="A567" s="11">
        <v>46143.7610115625</v>
      </c>
      <c r="B567" s="9" t="s">
        <v>62</v>
      </c>
      <c r="C567" s="9" t="s">
        <v>264</v>
      </c>
      <c r="D567" s="9" t="s">
        <v>19</v>
      </c>
      <c r="E567" s="54" t="s">
        <v>112</v>
      </c>
      <c r="F567" s="15">
        <v>1.0</v>
      </c>
      <c r="G567" s="37" t="s">
        <v>65</v>
      </c>
      <c r="H567" s="31" t="e">
        <v>#N/A</v>
      </c>
      <c r="I567" s="31" t="e">
        <v>#N/A</v>
      </c>
      <c r="J567" s="15">
        <v>1.0</v>
      </c>
    </row>
    <row r="568">
      <c r="A568" s="11">
        <v>46143.76226751157</v>
      </c>
      <c r="B568" s="9" t="s">
        <v>64</v>
      </c>
      <c r="C568" s="9" t="s">
        <v>103</v>
      </c>
      <c r="D568" s="9" t="s">
        <v>19</v>
      </c>
      <c r="E568" s="54" t="s">
        <v>122</v>
      </c>
      <c r="F568" s="15">
        <v>1.0</v>
      </c>
      <c r="G568" s="37" t="s">
        <v>65</v>
      </c>
      <c r="H568" s="31" t="e">
        <v>#N/A</v>
      </c>
      <c r="I568" s="31" t="e">
        <v>#N/A</v>
      </c>
      <c r="J568" s="15">
        <v>1.0</v>
      </c>
    </row>
    <row r="569">
      <c r="A569" s="11">
        <v>46143.76441984954</v>
      </c>
      <c r="B569" s="9" t="s">
        <v>187</v>
      </c>
      <c r="C569" s="9" t="s">
        <v>72</v>
      </c>
      <c r="D569" s="9" t="s">
        <v>19</v>
      </c>
      <c r="E569" s="14"/>
      <c r="F569" s="15">
        <v>1.0</v>
      </c>
      <c r="G569" s="37" t="s">
        <v>65</v>
      </c>
      <c r="H569" s="31" t="e">
        <v>#N/A</v>
      </c>
      <c r="I569" s="31" t="e">
        <v>#N/A</v>
      </c>
      <c r="J569" s="15">
        <v>1.0</v>
      </c>
    </row>
    <row r="570">
      <c r="A570" s="11">
        <v>46143.76729267361</v>
      </c>
      <c r="B570" s="9" t="s">
        <v>218</v>
      </c>
      <c r="C570" s="9" t="s">
        <v>249</v>
      </c>
      <c r="D570" s="9" t="s">
        <v>19</v>
      </c>
      <c r="E570" s="14"/>
      <c r="F570" s="15">
        <v>1.0</v>
      </c>
      <c r="G570" s="37" t="s">
        <v>65</v>
      </c>
      <c r="H570" s="31" t="e">
        <v>#N/A</v>
      </c>
      <c r="I570" s="31" t="e">
        <v>#N/A</v>
      </c>
      <c r="J570" s="15">
        <v>1.0</v>
      </c>
    </row>
    <row r="571">
      <c r="A571" s="11">
        <v>46143.769195416666</v>
      </c>
      <c r="B571" s="9" t="s">
        <v>347</v>
      </c>
      <c r="C571" s="9" t="s">
        <v>84</v>
      </c>
      <c r="D571" s="37" t="s">
        <v>57</v>
      </c>
      <c r="E571" s="14"/>
      <c r="F571" s="15">
        <v>1.0</v>
      </c>
      <c r="G571" s="37" t="s">
        <v>65</v>
      </c>
      <c r="H571" s="31" t="e">
        <v>#N/A</v>
      </c>
      <c r="I571" s="31" t="e">
        <v>#N/A</v>
      </c>
      <c r="J571" s="15">
        <v>1.0</v>
      </c>
    </row>
    <row r="572">
      <c r="A572" s="11">
        <v>46143.77718592592</v>
      </c>
      <c r="B572" s="9" t="s">
        <v>402</v>
      </c>
      <c r="C572" s="9" t="s">
        <v>152</v>
      </c>
      <c r="D572" s="37" t="s">
        <v>57</v>
      </c>
      <c r="E572" s="14"/>
      <c r="F572" s="15">
        <v>1.0</v>
      </c>
      <c r="G572" s="37" t="s">
        <v>65</v>
      </c>
      <c r="H572" s="31" t="e">
        <v>#N/A</v>
      </c>
      <c r="I572" s="31" t="e">
        <v>#N/A</v>
      </c>
      <c r="J572" s="15">
        <v>1.0</v>
      </c>
    </row>
    <row r="573">
      <c r="A573" s="11">
        <v>46143.778411747684</v>
      </c>
      <c r="B573" s="9" t="s">
        <v>142</v>
      </c>
      <c r="C573" s="9" t="s">
        <v>133</v>
      </c>
      <c r="D573" s="9" t="s">
        <v>19</v>
      </c>
      <c r="E573" s="14"/>
      <c r="F573" s="15">
        <v>1.0</v>
      </c>
      <c r="G573" s="37" t="s">
        <v>65</v>
      </c>
      <c r="H573" s="31" t="e">
        <v>#N/A</v>
      </c>
      <c r="I573" s="31" t="e">
        <v>#N/A</v>
      </c>
      <c r="J573" s="15">
        <v>1.0</v>
      </c>
    </row>
    <row r="574">
      <c r="A574" s="11">
        <v>46143.781205879626</v>
      </c>
      <c r="B574" s="9" t="s">
        <v>151</v>
      </c>
      <c r="C574" s="9" t="s">
        <v>259</v>
      </c>
      <c r="D574" s="9" t="s">
        <v>19</v>
      </c>
      <c r="E574" s="14"/>
      <c r="F574" s="15">
        <v>1.0</v>
      </c>
      <c r="G574" s="37" t="s">
        <v>65</v>
      </c>
      <c r="H574" s="31" t="e">
        <v>#N/A</v>
      </c>
      <c r="I574" s="31" t="e">
        <v>#N/A</v>
      </c>
      <c r="J574" s="15">
        <v>1.0</v>
      </c>
    </row>
    <row r="575">
      <c r="A575" s="11">
        <v>46143.78456170139</v>
      </c>
      <c r="B575" s="9" t="s">
        <v>62</v>
      </c>
      <c r="C575" s="9" t="s">
        <v>60</v>
      </c>
      <c r="D575" s="37" t="s">
        <v>57</v>
      </c>
      <c r="E575" s="54" t="s">
        <v>431</v>
      </c>
      <c r="F575" s="15">
        <v>1.0</v>
      </c>
      <c r="G575" s="37" t="s">
        <v>65</v>
      </c>
      <c r="H575" s="31" t="e">
        <v>#N/A</v>
      </c>
      <c r="I575" s="31" t="e">
        <v>#N/A</v>
      </c>
      <c r="J575" s="15">
        <v>1.0</v>
      </c>
    </row>
    <row r="576">
      <c r="A576" s="11">
        <v>46143.78624489583</v>
      </c>
      <c r="B576" s="9" t="s">
        <v>103</v>
      </c>
      <c r="C576" s="9" t="s">
        <v>219</v>
      </c>
      <c r="D576" s="37" t="s">
        <v>57</v>
      </c>
      <c r="E576" s="14"/>
      <c r="F576" s="15">
        <v>1.0</v>
      </c>
      <c r="G576" s="37" t="s">
        <v>65</v>
      </c>
      <c r="H576" s="31" t="e">
        <v>#N/A</v>
      </c>
      <c r="I576" s="31" t="e">
        <v>#N/A</v>
      </c>
      <c r="J576" s="15">
        <v>1.0</v>
      </c>
    </row>
    <row r="577">
      <c r="A577" s="11">
        <v>46143.78726542824</v>
      </c>
      <c r="B577" s="9" t="s">
        <v>274</v>
      </c>
      <c r="C577" s="9" t="s">
        <v>347</v>
      </c>
      <c r="D577" s="9" t="s">
        <v>19</v>
      </c>
      <c r="E577" s="14"/>
      <c r="F577" s="15">
        <v>1.0</v>
      </c>
      <c r="G577" s="37" t="s">
        <v>65</v>
      </c>
      <c r="H577" s="31" t="e">
        <v>#N/A</v>
      </c>
      <c r="I577" s="31" t="e">
        <v>#N/A</v>
      </c>
      <c r="J577" s="15">
        <v>1.0</v>
      </c>
    </row>
    <row r="578">
      <c r="A578" s="11">
        <v>46143.79706645833</v>
      </c>
      <c r="B578" s="9" t="s">
        <v>187</v>
      </c>
      <c r="C578" s="9" t="s">
        <v>92</v>
      </c>
      <c r="D578" s="9" t="s">
        <v>19</v>
      </c>
      <c r="E578" s="14"/>
      <c r="F578" s="15">
        <v>1.0</v>
      </c>
      <c r="G578" s="37" t="s">
        <v>65</v>
      </c>
      <c r="H578" s="31" t="e">
        <v>#N/A</v>
      </c>
      <c r="I578" s="31" t="e">
        <v>#N/A</v>
      </c>
      <c r="J578" s="15">
        <v>1.0</v>
      </c>
    </row>
    <row r="579">
      <c r="A579" s="11">
        <v>46143.80576148148</v>
      </c>
      <c r="B579" s="9" t="s">
        <v>249</v>
      </c>
      <c r="C579" s="9" t="s">
        <v>133</v>
      </c>
      <c r="D579" s="9" t="s">
        <v>19</v>
      </c>
      <c r="E579" s="14"/>
      <c r="F579" s="15">
        <v>1.0</v>
      </c>
      <c r="G579" s="37" t="s">
        <v>65</v>
      </c>
      <c r="H579" s="31" t="e">
        <v>#N/A</v>
      </c>
      <c r="I579" s="31" t="e">
        <v>#N/A</v>
      </c>
      <c r="J579" s="15">
        <v>1.0</v>
      </c>
    </row>
    <row r="580">
      <c r="A580" s="11">
        <v>46143.80669732639</v>
      </c>
      <c r="B580" s="9" t="s">
        <v>66</v>
      </c>
      <c r="C580" s="9" t="s">
        <v>142</v>
      </c>
      <c r="D580" s="37" t="s">
        <v>57</v>
      </c>
      <c r="E580" s="14"/>
      <c r="F580" s="15">
        <v>1.0</v>
      </c>
      <c r="G580" s="37" t="s">
        <v>65</v>
      </c>
      <c r="H580" s="31" t="e">
        <v>#N/A</v>
      </c>
      <c r="I580" s="31" t="e">
        <v>#N/A</v>
      </c>
      <c r="J580" s="15">
        <v>1.0</v>
      </c>
    </row>
    <row r="581">
      <c r="A581" s="11">
        <v>46143.81132655093</v>
      </c>
      <c r="B581" s="9" t="s">
        <v>163</v>
      </c>
      <c r="C581" s="9" t="s">
        <v>389</v>
      </c>
      <c r="D581" s="9" t="s">
        <v>19</v>
      </c>
      <c r="E581" s="54" t="s">
        <v>140</v>
      </c>
      <c r="F581" s="15">
        <v>1.0</v>
      </c>
      <c r="G581" s="37" t="s">
        <v>65</v>
      </c>
      <c r="H581" s="31" t="e">
        <v>#N/A</v>
      </c>
      <c r="I581" s="31" t="e">
        <v>#N/A</v>
      </c>
      <c r="J581" s="15">
        <v>1.0</v>
      </c>
    </row>
    <row r="582">
      <c r="A582" s="11">
        <v>46143.813503020836</v>
      </c>
      <c r="B582" s="9" t="s">
        <v>264</v>
      </c>
      <c r="C582" s="9" t="s">
        <v>89</v>
      </c>
      <c r="D582" s="37" t="s">
        <v>57</v>
      </c>
      <c r="E582" s="54" t="s">
        <v>270</v>
      </c>
      <c r="F582" s="15">
        <v>1.0</v>
      </c>
      <c r="G582" s="37" t="s">
        <v>65</v>
      </c>
      <c r="H582" s="31" t="e">
        <v>#N/A</v>
      </c>
      <c r="I582" s="31" t="e">
        <v>#N/A</v>
      </c>
      <c r="J582" s="15">
        <v>1.0</v>
      </c>
    </row>
    <row r="583">
      <c r="A583" s="11">
        <v>46143.815090625</v>
      </c>
      <c r="B583" s="9" t="s">
        <v>110</v>
      </c>
      <c r="C583" s="9" t="s">
        <v>260</v>
      </c>
      <c r="D583" s="37" t="s">
        <v>57</v>
      </c>
      <c r="E583" s="14"/>
      <c r="F583" s="15">
        <v>1.0</v>
      </c>
      <c r="G583" s="37" t="s">
        <v>65</v>
      </c>
      <c r="H583" s="31" t="e">
        <v>#N/A</v>
      </c>
      <c r="I583" s="31" t="e">
        <v>#N/A</v>
      </c>
      <c r="J583" s="15">
        <v>1.0</v>
      </c>
    </row>
    <row r="584">
      <c r="A584" s="11">
        <v>46143.81736606482</v>
      </c>
      <c r="B584" s="9" t="s">
        <v>62</v>
      </c>
      <c r="C584" s="9" t="s">
        <v>274</v>
      </c>
      <c r="D584" s="37" t="s">
        <v>57</v>
      </c>
      <c r="E584" s="54" t="s">
        <v>112</v>
      </c>
      <c r="F584" s="15">
        <v>1.0</v>
      </c>
      <c r="G584" s="37" t="s">
        <v>65</v>
      </c>
      <c r="H584" s="31" t="e">
        <v>#N/A</v>
      </c>
      <c r="I584" s="31" t="e">
        <v>#N/A</v>
      </c>
      <c r="J584" s="15">
        <v>1.0</v>
      </c>
    </row>
    <row r="585">
      <c r="A585" s="11">
        <v>46143.828244212964</v>
      </c>
      <c r="B585" s="9" t="s">
        <v>347</v>
      </c>
      <c r="C585" s="9" t="s">
        <v>134</v>
      </c>
      <c r="D585" s="37" t="s">
        <v>57</v>
      </c>
      <c r="E585" s="14"/>
      <c r="F585" s="15">
        <v>1.0</v>
      </c>
      <c r="G585" s="37" t="s">
        <v>65</v>
      </c>
      <c r="H585" s="31" t="e">
        <v>#N/A</v>
      </c>
      <c r="I585" s="31" t="e">
        <v>#N/A</v>
      </c>
      <c r="J585" s="15">
        <v>1.0</v>
      </c>
    </row>
    <row r="586">
      <c r="A586" s="11">
        <v>46143.82826165509</v>
      </c>
      <c r="B586" s="9" t="s">
        <v>337</v>
      </c>
      <c r="C586" s="9" t="s">
        <v>151</v>
      </c>
      <c r="D586" s="37" t="s">
        <v>57</v>
      </c>
      <c r="E586" s="54" t="s">
        <v>432</v>
      </c>
      <c r="F586" s="15">
        <v>1.0</v>
      </c>
      <c r="G586" s="37" t="s">
        <v>65</v>
      </c>
      <c r="H586" s="31" t="e">
        <v>#N/A</v>
      </c>
      <c r="I586" s="31" t="e">
        <v>#N/A</v>
      </c>
      <c r="J586" s="15">
        <v>1.0</v>
      </c>
    </row>
    <row r="587">
      <c r="A587" s="11">
        <v>46143.82908574074</v>
      </c>
      <c r="B587" s="9" t="s">
        <v>66</v>
      </c>
      <c r="C587" s="9" t="s">
        <v>239</v>
      </c>
      <c r="D587" s="9" t="s">
        <v>19</v>
      </c>
      <c r="E587" s="14"/>
      <c r="F587" s="15">
        <v>1.0</v>
      </c>
      <c r="G587" s="37" t="s">
        <v>65</v>
      </c>
      <c r="H587" s="31" t="e">
        <v>#N/A</v>
      </c>
      <c r="I587" s="31" t="e">
        <v>#N/A</v>
      </c>
      <c r="J587" s="15">
        <v>1.0</v>
      </c>
    </row>
    <row r="588">
      <c r="A588" s="11">
        <v>46143.83201392361</v>
      </c>
      <c r="B588" s="9" t="s">
        <v>264</v>
      </c>
      <c r="C588" s="9" t="s">
        <v>142</v>
      </c>
      <c r="D588" s="9" t="s">
        <v>19</v>
      </c>
      <c r="E588" s="54" t="s">
        <v>433</v>
      </c>
      <c r="F588" s="15">
        <v>1.0</v>
      </c>
      <c r="G588" s="37" t="s">
        <v>65</v>
      </c>
      <c r="H588" s="31" t="e">
        <v>#N/A</v>
      </c>
      <c r="I588" s="31" t="e">
        <v>#N/A</v>
      </c>
      <c r="J588" s="15">
        <v>1.0</v>
      </c>
    </row>
    <row r="589">
      <c r="A589" s="11">
        <v>46143.85056607639</v>
      </c>
      <c r="B589" s="9" t="s">
        <v>389</v>
      </c>
      <c r="C589" s="9" t="s">
        <v>260</v>
      </c>
      <c r="D589" s="37" t="s">
        <v>57</v>
      </c>
      <c r="E589" s="14"/>
      <c r="F589" s="15">
        <v>1.0</v>
      </c>
      <c r="G589" s="37" t="s">
        <v>65</v>
      </c>
      <c r="H589" s="31" t="e">
        <v>#N/A</v>
      </c>
      <c r="I589" s="31" t="e">
        <v>#N/A</v>
      </c>
      <c r="J589" s="15">
        <v>1.0</v>
      </c>
    </row>
    <row r="590">
      <c r="A590" s="11">
        <v>46143.85199717592</v>
      </c>
      <c r="B590" s="9" t="s">
        <v>264</v>
      </c>
      <c r="C590" s="9" t="s">
        <v>120</v>
      </c>
      <c r="D590" s="37" t="s">
        <v>57</v>
      </c>
      <c r="E590" s="54" t="s">
        <v>112</v>
      </c>
      <c r="F590" s="15">
        <v>1.0</v>
      </c>
      <c r="G590" s="37" t="s">
        <v>65</v>
      </c>
      <c r="H590" s="31" t="e">
        <v>#N/A</v>
      </c>
      <c r="I590" s="31" t="e">
        <v>#N/A</v>
      </c>
      <c r="J590" s="15">
        <v>1.0</v>
      </c>
    </row>
    <row r="591">
      <c r="A591" s="11">
        <v>46143.85820289352</v>
      </c>
      <c r="B591" s="9" t="s">
        <v>266</v>
      </c>
      <c r="C591" s="9" t="s">
        <v>96</v>
      </c>
      <c r="D591" s="37" t="s">
        <v>57</v>
      </c>
      <c r="E591" s="14"/>
      <c r="F591" s="15">
        <v>1.0</v>
      </c>
      <c r="G591" s="37" t="s">
        <v>65</v>
      </c>
      <c r="H591" s="31" t="e">
        <v>#N/A</v>
      </c>
      <c r="I591" s="31" t="e">
        <v>#N/A</v>
      </c>
      <c r="J591" s="15">
        <v>1.0</v>
      </c>
    </row>
    <row r="592">
      <c r="A592" s="11">
        <v>46143.87585005787</v>
      </c>
      <c r="B592" s="9" t="s">
        <v>66</v>
      </c>
      <c r="C592" s="9" t="s">
        <v>154</v>
      </c>
      <c r="D592" s="9" t="s">
        <v>19</v>
      </c>
      <c r="E592" s="14"/>
      <c r="F592" s="15">
        <v>1.0</v>
      </c>
      <c r="G592" s="37" t="s">
        <v>65</v>
      </c>
      <c r="H592" s="31" t="e">
        <v>#N/A</v>
      </c>
      <c r="I592" s="31" t="e">
        <v>#N/A</v>
      </c>
      <c r="J592" s="15">
        <v>1.0</v>
      </c>
    </row>
    <row r="593">
      <c r="A593" s="11">
        <v>46143.885916388885</v>
      </c>
      <c r="B593" s="9" t="s">
        <v>389</v>
      </c>
      <c r="C593" s="9" t="s">
        <v>329</v>
      </c>
      <c r="D593" s="9" t="s">
        <v>19</v>
      </c>
      <c r="E593" s="14"/>
      <c r="F593" s="15">
        <v>1.0</v>
      </c>
      <c r="G593" s="37" t="s">
        <v>65</v>
      </c>
      <c r="H593" s="31" t="e">
        <v>#N/A</v>
      </c>
      <c r="I593" s="31" t="e">
        <v>#N/A</v>
      </c>
      <c r="J593" s="15">
        <v>1.0</v>
      </c>
    </row>
    <row r="594">
      <c r="A594" s="11">
        <v>46143.889880613424</v>
      </c>
      <c r="B594" s="9" t="s">
        <v>151</v>
      </c>
      <c r="C594" s="9" t="s">
        <v>101</v>
      </c>
      <c r="D594" s="37" t="s">
        <v>57</v>
      </c>
      <c r="E594" s="14"/>
      <c r="F594" s="15">
        <v>1.0</v>
      </c>
      <c r="G594" s="37" t="s">
        <v>65</v>
      </c>
      <c r="H594" s="31" t="e">
        <v>#N/A</v>
      </c>
      <c r="I594" s="31" t="e">
        <v>#N/A</v>
      </c>
      <c r="J594" s="15">
        <v>1.0</v>
      </c>
    </row>
    <row r="595">
      <c r="A595" s="11">
        <v>46143.89053978009</v>
      </c>
      <c r="B595" s="9" t="s">
        <v>180</v>
      </c>
      <c r="C595" s="9" t="s">
        <v>134</v>
      </c>
      <c r="D595" s="37" t="s">
        <v>57</v>
      </c>
      <c r="E595" s="14"/>
      <c r="F595" s="15">
        <v>1.0</v>
      </c>
      <c r="G595" s="37" t="s">
        <v>65</v>
      </c>
      <c r="H595" s="31" t="e">
        <v>#N/A</v>
      </c>
      <c r="I595" s="31" t="e">
        <v>#N/A</v>
      </c>
      <c r="J595" s="15">
        <v>1.0</v>
      </c>
    </row>
    <row r="596">
      <c r="A596" s="11">
        <v>46143.89124303241</v>
      </c>
      <c r="B596" s="9" t="s">
        <v>143</v>
      </c>
      <c r="C596" s="9" t="s">
        <v>66</v>
      </c>
      <c r="D596" s="9" t="s">
        <v>19</v>
      </c>
      <c r="E596" s="54" t="s">
        <v>122</v>
      </c>
      <c r="F596" s="15">
        <v>1.0</v>
      </c>
      <c r="G596" s="37" t="s">
        <v>65</v>
      </c>
      <c r="H596" s="31" t="e">
        <v>#N/A</v>
      </c>
      <c r="I596" s="31" t="e">
        <v>#N/A</v>
      </c>
      <c r="J596" s="15">
        <v>1.0</v>
      </c>
    </row>
    <row r="597">
      <c r="A597" s="11">
        <v>46143.90601280093</v>
      </c>
      <c r="B597" s="9" t="s">
        <v>151</v>
      </c>
      <c r="C597" s="9" t="s">
        <v>180</v>
      </c>
      <c r="D597" s="9" t="s">
        <v>19</v>
      </c>
      <c r="E597" s="14"/>
      <c r="F597" s="15">
        <v>1.0</v>
      </c>
      <c r="G597" s="37" t="s">
        <v>65</v>
      </c>
      <c r="H597" s="31" t="e">
        <v>#N/A</v>
      </c>
      <c r="I597" s="31" t="e">
        <v>#N/A</v>
      </c>
      <c r="J597" s="15">
        <v>1.0</v>
      </c>
    </row>
    <row r="598">
      <c r="A598" s="11">
        <v>46143.918584189814</v>
      </c>
      <c r="B598" s="9" t="s">
        <v>154</v>
      </c>
      <c r="C598" s="9" t="s">
        <v>96</v>
      </c>
      <c r="D598" s="9" t="s">
        <v>19</v>
      </c>
      <c r="E598" s="14"/>
      <c r="F598" s="15">
        <v>1.0</v>
      </c>
      <c r="G598" s="37" t="s">
        <v>65</v>
      </c>
      <c r="H598" s="31" t="e">
        <v>#N/A</v>
      </c>
      <c r="I598" s="31" t="e">
        <v>#N/A</v>
      </c>
      <c r="J598" s="15">
        <v>1.0</v>
      </c>
    </row>
    <row r="599">
      <c r="A599" s="11">
        <v>46143.92084048611</v>
      </c>
      <c r="B599" s="9" t="s">
        <v>152</v>
      </c>
      <c r="C599" s="9" t="s">
        <v>134</v>
      </c>
      <c r="D599" s="37" t="s">
        <v>57</v>
      </c>
      <c r="E599" s="54" t="s">
        <v>102</v>
      </c>
      <c r="F599" s="15">
        <v>1.0</v>
      </c>
      <c r="G599" s="37" t="s">
        <v>65</v>
      </c>
      <c r="H599" s="31" t="e">
        <v>#N/A</v>
      </c>
      <c r="I599" s="31" t="e">
        <v>#N/A</v>
      </c>
      <c r="J599" s="15">
        <v>1.0</v>
      </c>
    </row>
    <row r="600">
      <c r="A600" s="11">
        <v>46143.925635057865</v>
      </c>
      <c r="B600" s="9" t="s">
        <v>329</v>
      </c>
      <c r="C600" s="9" t="s">
        <v>345</v>
      </c>
      <c r="D600" s="9" t="s">
        <v>19</v>
      </c>
      <c r="E600" s="14"/>
      <c r="F600" s="15">
        <v>1.0</v>
      </c>
      <c r="G600" s="37" t="s">
        <v>65</v>
      </c>
      <c r="H600" s="31" t="e">
        <v>#N/A</v>
      </c>
      <c r="I600" s="31" t="e">
        <v>#N/A</v>
      </c>
      <c r="J600" s="15">
        <v>1.0</v>
      </c>
    </row>
    <row r="601">
      <c r="A601" s="11">
        <v>46143.939873599535</v>
      </c>
      <c r="B601" s="9" t="s">
        <v>151</v>
      </c>
      <c r="C601" s="9" t="s">
        <v>162</v>
      </c>
      <c r="D601" s="37" t="s">
        <v>57</v>
      </c>
      <c r="E601" s="14"/>
      <c r="F601" s="15">
        <v>1.0</v>
      </c>
      <c r="G601" s="37" t="s">
        <v>65</v>
      </c>
      <c r="H601" s="31" t="e">
        <v>#N/A</v>
      </c>
      <c r="I601" s="31" t="e">
        <v>#N/A</v>
      </c>
      <c r="J601" s="15">
        <v>1.0</v>
      </c>
    </row>
    <row r="602">
      <c r="A602" s="11">
        <v>46143.94717788194</v>
      </c>
      <c r="B602" s="9" t="s">
        <v>165</v>
      </c>
      <c r="C602" s="9" t="s">
        <v>168</v>
      </c>
      <c r="D602" s="37" t="s">
        <v>57</v>
      </c>
      <c r="E602" s="14"/>
      <c r="F602" s="15">
        <v>1.0</v>
      </c>
      <c r="G602" s="37" t="s">
        <v>65</v>
      </c>
      <c r="H602" s="31" t="e">
        <v>#N/A</v>
      </c>
      <c r="I602" s="31" t="e">
        <v>#N/A</v>
      </c>
      <c r="J602" s="15">
        <v>1.0</v>
      </c>
    </row>
    <row r="603">
      <c r="A603" s="11">
        <v>46143.9505390625</v>
      </c>
      <c r="B603" s="9" t="s">
        <v>192</v>
      </c>
      <c r="C603" s="9" t="s">
        <v>61</v>
      </c>
      <c r="D603" s="37" t="s">
        <v>57</v>
      </c>
      <c r="E603" s="14"/>
      <c r="F603" s="15">
        <v>1.0</v>
      </c>
      <c r="G603" s="37" t="s">
        <v>65</v>
      </c>
      <c r="H603" s="31" t="e">
        <v>#N/A</v>
      </c>
      <c r="I603" s="31" t="e">
        <v>#N/A</v>
      </c>
      <c r="J603" s="15">
        <v>1.0</v>
      </c>
    </row>
    <row r="604">
      <c r="A604" s="11">
        <v>46143.95342723379</v>
      </c>
      <c r="B604" s="9" t="s">
        <v>180</v>
      </c>
      <c r="C604" s="9" t="s">
        <v>329</v>
      </c>
      <c r="D604" s="9" t="s">
        <v>19</v>
      </c>
      <c r="E604" s="14"/>
      <c r="F604" s="15">
        <v>1.0</v>
      </c>
      <c r="G604" s="37" t="s">
        <v>65</v>
      </c>
      <c r="H604" s="31" t="e">
        <v>#N/A</v>
      </c>
      <c r="I604" s="31" t="e">
        <v>#N/A</v>
      </c>
      <c r="J604" s="15">
        <v>1.0</v>
      </c>
    </row>
    <row r="605">
      <c r="A605" s="11">
        <v>46143.95472533564</v>
      </c>
      <c r="B605" s="9" t="s">
        <v>184</v>
      </c>
      <c r="C605" s="9" t="s">
        <v>218</v>
      </c>
      <c r="D605" s="9" t="s">
        <v>19</v>
      </c>
      <c r="E605" s="14"/>
      <c r="F605" s="15">
        <v>1.0</v>
      </c>
      <c r="G605" s="37" t="s">
        <v>65</v>
      </c>
      <c r="H605" s="31" t="e">
        <v>#N/A</v>
      </c>
      <c r="I605" s="31" t="e">
        <v>#N/A</v>
      </c>
      <c r="J605" s="15">
        <v>1.0</v>
      </c>
    </row>
    <row r="606">
      <c r="A606" s="11">
        <v>46143.955871388884</v>
      </c>
      <c r="B606" s="9" t="s">
        <v>214</v>
      </c>
      <c r="C606" s="9" t="s">
        <v>123</v>
      </c>
      <c r="D606" s="9" t="s">
        <v>19</v>
      </c>
      <c r="E606" s="14"/>
      <c r="F606" s="15">
        <v>1.0</v>
      </c>
      <c r="G606" s="37" t="s">
        <v>65</v>
      </c>
      <c r="H606" s="31" t="e">
        <v>#N/A</v>
      </c>
      <c r="I606" s="31" t="e">
        <v>#N/A</v>
      </c>
      <c r="J606" s="15">
        <v>1.0</v>
      </c>
    </row>
    <row r="607">
      <c r="A607" s="11">
        <v>46143.970439571756</v>
      </c>
      <c r="B607" s="9" t="s">
        <v>169</v>
      </c>
      <c r="C607" s="9" t="s">
        <v>165</v>
      </c>
      <c r="D607" s="37" t="s">
        <v>57</v>
      </c>
      <c r="E607" s="14"/>
      <c r="F607" s="15">
        <v>1.0</v>
      </c>
      <c r="G607" s="37" t="s">
        <v>65</v>
      </c>
      <c r="H607" s="31" t="e">
        <v>#N/A</v>
      </c>
      <c r="I607" s="31" t="e">
        <v>#N/A</v>
      </c>
      <c r="J607" s="15">
        <v>1.0</v>
      </c>
    </row>
    <row r="608">
      <c r="A608" s="11">
        <v>46143.97057842593</v>
      </c>
      <c r="B608" s="9" t="s">
        <v>162</v>
      </c>
      <c r="C608" s="9" t="s">
        <v>17</v>
      </c>
      <c r="D608" s="37" t="s">
        <v>57</v>
      </c>
      <c r="E608" s="14"/>
      <c r="F608" s="15">
        <v>1.0</v>
      </c>
      <c r="G608" s="37" t="s">
        <v>65</v>
      </c>
      <c r="H608" s="31" t="e">
        <v>#N/A</v>
      </c>
      <c r="I608" s="31" t="e">
        <v>#N/A</v>
      </c>
      <c r="J608" s="15">
        <v>1.0</v>
      </c>
    </row>
    <row r="609">
      <c r="A609" s="11">
        <v>46143.977613854164</v>
      </c>
      <c r="B609" s="9" t="s">
        <v>60</v>
      </c>
      <c r="C609" s="9" t="s">
        <v>280</v>
      </c>
      <c r="D609" s="37" t="s">
        <v>57</v>
      </c>
      <c r="E609" s="14"/>
      <c r="F609" s="15">
        <v>1.0</v>
      </c>
      <c r="G609" s="37" t="s">
        <v>65</v>
      </c>
      <c r="H609" s="31" t="e">
        <v>#N/A</v>
      </c>
      <c r="I609" s="31" t="e">
        <v>#N/A</v>
      </c>
      <c r="J609" s="15">
        <v>1.0</v>
      </c>
    </row>
    <row r="610">
      <c r="A610" s="11">
        <v>46143.982114293976</v>
      </c>
      <c r="B610" s="9" t="s">
        <v>169</v>
      </c>
      <c r="C610" s="9" t="s">
        <v>120</v>
      </c>
      <c r="D610" s="9" t="s">
        <v>19</v>
      </c>
      <c r="E610" s="14"/>
      <c r="F610" s="15">
        <v>1.0</v>
      </c>
      <c r="G610" s="37" t="s">
        <v>65</v>
      </c>
      <c r="H610" s="31" t="e">
        <v>#N/A</v>
      </c>
      <c r="I610" s="31" t="e">
        <v>#N/A</v>
      </c>
      <c r="J610" s="15">
        <v>1.0</v>
      </c>
    </row>
    <row r="611">
      <c r="A611" s="11">
        <v>46143.98896844908</v>
      </c>
      <c r="B611" s="9" t="s">
        <v>329</v>
      </c>
      <c r="C611" s="9" t="s">
        <v>123</v>
      </c>
      <c r="D611" s="9" t="s">
        <v>19</v>
      </c>
      <c r="E611" s="54" t="s">
        <v>112</v>
      </c>
      <c r="F611" s="15">
        <v>1.0</v>
      </c>
      <c r="G611" s="37" t="s">
        <v>65</v>
      </c>
      <c r="H611" s="31" t="e">
        <v>#N/A</v>
      </c>
      <c r="I611" s="31" t="e">
        <v>#N/A</v>
      </c>
      <c r="J611" s="15">
        <v>1.0</v>
      </c>
    </row>
    <row r="612">
      <c r="A612" s="11">
        <v>46143.99529126157</v>
      </c>
      <c r="B612" s="9" t="s">
        <v>162</v>
      </c>
      <c r="C612" s="9" t="s">
        <v>60</v>
      </c>
      <c r="D612" s="9" t="s">
        <v>19</v>
      </c>
      <c r="E612" s="14"/>
      <c r="F612" s="15">
        <v>1.0</v>
      </c>
      <c r="G612" s="37" t="s">
        <v>65</v>
      </c>
      <c r="H612" s="31" t="e">
        <v>#N/A</v>
      </c>
      <c r="I612" s="31" t="e">
        <v>#N/A</v>
      </c>
      <c r="J612" s="15">
        <v>1.0</v>
      </c>
    </row>
    <row r="613">
      <c r="A613" s="11">
        <v>46143.995461875005</v>
      </c>
      <c r="B613" s="9" t="s">
        <v>17</v>
      </c>
      <c r="C613" s="9" t="s">
        <v>347</v>
      </c>
      <c r="D613" s="9" t="s">
        <v>19</v>
      </c>
      <c r="E613" s="14"/>
      <c r="F613" s="15">
        <v>1.0</v>
      </c>
      <c r="G613" s="37" t="s">
        <v>65</v>
      </c>
      <c r="H613" s="31" t="e">
        <v>#N/A</v>
      </c>
      <c r="I613" s="31" t="e">
        <v>#N/A</v>
      </c>
      <c r="J613" s="15">
        <v>1.0</v>
      </c>
    </row>
    <row r="614">
      <c r="A614" s="11">
        <v>46143.99709157407</v>
      </c>
      <c r="B614" s="9" t="s">
        <v>61</v>
      </c>
      <c r="C614" s="9" t="s">
        <v>184</v>
      </c>
      <c r="D614" s="9" t="s">
        <v>19</v>
      </c>
      <c r="E614" s="14"/>
      <c r="F614" s="15">
        <v>1.0</v>
      </c>
      <c r="G614" s="37" t="s">
        <v>65</v>
      </c>
      <c r="H614" s="31" t="e">
        <v>#N/A</v>
      </c>
      <c r="I614" s="31" t="e">
        <v>#N/A</v>
      </c>
      <c r="J614" s="15">
        <v>1.0</v>
      </c>
    </row>
    <row r="615">
      <c r="A615" s="11">
        <v>46143.99795512731</v>
      </c>
      <c r="B615" s="9" t="s">
        <v>169</v>
      </c>
      <c r="C615" s="9" t="s">
        <v>280</v>
      </c>
      <c r="D615" s="37" t="s">
        <v>57</v>
      </c>
      <c r="E615" s="14"/>
      <c r="F615" s="15">
        <v>1.0</v>
      </c>
      <c r="G615" s="37" t="s">
        <v>65</v>
      </c>
      <c r="H615" s="31" t="e">
        <v>#N/A</v>
      </c>
      <c r="I615" s="31" t="e">
        <v>#N/A</v>
      </c>
      <c r="J615" s="15">
        <v>1.0</v>
      </c>
    </row>
    <row r="616">
      <c r="A616" s="11">
        <v>46144.009158553235</v>
      </c>
      <c r="B616" s="9" t="s">
        <v>17</v>
      </c>
      <c r="C616" s="9" t="s">
        <v>329</v>
      </c>
      <c r="D616" s="37" t="s">
        <v>57</v>
      </c>
      <c r="E616" s="14"/>
      <c r="F616" s="15">
        <v>1.0</v>
      </c>
      <c r="G616" s="37" t="s">
        <v>65</v>
      </c>
      <c r="H616" s="31" t="e">
        <v>#N/A</v>
      </c>
      <c r="I616" s="31" t="e">
        <v>#N/A</v>
      </c>
      <c r="J616" s="15">
        <v>1.0</v>
      </c>
    </row>
    <row r="617">
      <c r="A617" s="11">
        <v>46144.01599083333</v>
      </c>
      <c r="B617" s="9" t="s">
        <v>162</v>
      </c>
      <c r="C617" s="9" t="s">
        <v>169</v>
      </c>
      <c r="D617" s="9" t="s">
        <v>19</v>
      </c>
      <c r="E617" s="14"/>
      <c r="F617" s="15">
        <v>1.0</v>
      </c>
      <c r="G617" s="37" t="s">
        <v>65</v>
      </c>
      <c r="H617" s="31" t="e">
        <v>#N/A</v>
      </c>
      <c r="I617" s="31" t="e">
        <v>#N/A</v>
      </c>
      <c r="J617" s="15">
        <v>1.0</v>
      </c>
    </row>
    <row r="618">
      <c r="A618" s="11">
        <v>46144.02422452546</v>
      </c>
      <c r="B618" s="9" t="s">
        <v>120</v>
      </c>
      <c r="C618" s="9" t="s">
        <v>162</v>
      </c>
      <c r="D618" s="9" t="s">
        <v>19</v>
      </c>
      <c r="E618" s="14"/>
      <c r="F618" s="15">
        <v>1.0</v>
      </c>
      <c r="G618" s="37" t="s">
        <v>65</v>
      </c>
      <c r="H618" s="31" t="e">
        <v>#N/A</v>
      </c>
      <c r="I618" s="31" t="e">
        <v>#N/A</v>
      </c>
      <c r="J618" s="15">
        <v>1.0</v>
      </c>
    </row>
    <row r="619">
      <c r="A619" s="11">
        <v>46144.02721380787</v>
      </c>
      <c r="B619" s="9" t="s">
        <v>121</v>
      </c>
      <c r="C619" s="9" t="s">
        <v>217</v>
      </c>
      <c r="D619" s="9" t="s">
        <v>19</v>
      </c>
      <c r="E619" s="54" t="s">
        <v>140</v>
      </c>
      <c r="F619" s="15">
        <v>1.0</v>
      </c>
      <c r="G619" s="37" t="s">
        <v>65</v>
      </c>
      <c r="H619" s="31" t="e">
        <v>#N/A</v>
      </c>
      <c r="I619" s="31" t="e">
        <v>#N/A</v>
      </c>
      <c r="J619" s="15">
        <v>1.0</v>
      </c>
    </row>
    <row r="620">
      <c r="A620" s="11">
        <v>46144.028076331015</v>
      </c>
      <c r="B620" s="9" t="s">
        <v>192</v>
      </c>
      <c r="C620" s="9" t="s">
        <v>301</v>
      </c>
      <c r="D620" s="37" t="s">
        <v>57</v>
      </c>
      <c r="E620" s="14"/>
      <c r="F620" s="15">
        <v>1.0</v>
      </c>
      <c r="G620" s="37" t="s">
        <v>65</v>
      </c>
      <c r="H620" s="31" t="e">
        <v>#N/A</v>
      </c>
      <c r="I620" s="31" t="e">
        <v>#N/A</v>
      </c>
      <c r="J620" s="15">
        <v>1.0</v>
      </c>
    </row>
    <row r="621">
      <c r="A621" s="11">
        <v>46144.03677777778</v>
      </c>
      <c r="B621" s="9" t="s">
        <v>17</v>
      </c>
      <c r="C621" s="9" t="s">
        <v>54</v>
      </c>
      <c r="D621" s="9" t="s">
        <v>19</v>
      </c>
      <c r="E621" s="14"/>
      <c r="F621" s="15">
        <v>1.0</v>
      </c>
      <c r="G621" s="37" t="s">
        <v>65</v>
      </c>
      <c r="H621" s="31" t="e">
        <v>#N/A</v>
      </c>
      <c r="I621" s="31" t="e">
        <v>#N/A</v>
      </c>
      <c r="J621" s="15">
        <v>1.0</v>
      </c>
    </row>
    <row r="622">
      <c r="A622" s="11">
        <v>46144.04470668982</v>
      </c>
      <c r="B622" s="9" t="s">
        <v>154</v>
      </c>
      <c r="C622" s="9" t="s">
        <v>133</v>
      </c>
      <c r="D622" s="37" t="s">
        <v>57</v>
      </c>
      <c r="E622" s="14"/>
      <c r="F622" s="15">
        <v>1.0</v>
      </c>
      <c r="G622" s="37" t="s">
        <v>65</v>
      </c>
      <c r="H622" s="31" t="e">
        <v>#N/A</v>
      </c>
      <c r="I622" s="31" t="e">
        <v>#N/A</v>
      </c>
      <c r="J622" s="15">
        <v>1.0</v>
      </c>
    </row>
    <row r="623">
      <c r="A623" s="11">
        <v>46144.05037936343</v>
      </c>
      <c r="B623" s="9" t="s">
        <v>54</v>
      </c>
      <c r="C623" s="9" t="s">
        <v>110</v>
      </c>
      <c r="D623" s="9" t="s">
        <v>19</v>
      </c>
      <c r="E623" s="54" t="s">
        <v>434</v>
      </c>
      <c r="F623" s="15">
        <v>1.0</v>
      </c>
      <c r="G623" s="37" t="s">
        <v>65</v>
      </c>
      <c r="H623" s="31" t="e">
        <v>#N/A</v>
      </c>
      <c r="I623" s="31" t="e">
        <v>#N/A</v>
      </c>
      <c r="J623" s="15">
        <v>1.0</v>
      </c>
    </row>
    <row r="624">
      <c r="A624" s="11">
        <v>46144.05598694444</v>
      </c>
      <c r="B624" s="9" t="s">
        <v>17</v>
      </c>
      <c r="C624" s="9" t="s">
        <v>71</v>
      </c>
      <c r="D624" s="37" t="s">
        <v>57</v>
      </c>
      <c r="E624" s="14"/>
      <c r="F624" s="15">
        <v>1.0</v>
      </c>
      <c r="G624" s="37" t="s">
        <v>65</v>
      </c>
      <c r="H624" s="31" t="e">
        <v>#N/A</v>
      </c>
      <c r="I624" s="31" t="e">
        <v>#N/A</v>
      </c>
      <c r="J624" s="15">
        <v>1.0</v>
      </c>
    </row>
    <row r="625">
      <c r="A625" s="11">
        <v>46144.05752621528</v>
      </c>
      <c r="B625" s="9" t="s">
        <v>120</v>
      </c>
      <c r="C625" s="9" t="s">
        <v>121</v>
      </c>
      <c r="D625" s="37" t="s">
        <v>57</v>
      </c>
      <c r="E625" s="14"/>
      <c r="F625" s="15">
        <v>1.0</v>
      </c>
      <c r="G625" s="37" t="s">
        <v>65</v>
      </c>
      <c r="H625" s="31" t="e">
        <v>#N/A</v>
      </c>
      <c r="I625" s="31" t="e">
        <v>#N/A</v>
      </c>
      <c r="J625" s="15">
        <v>1.0</v>
      </c>
    </row>
    <row r="626">
      <c r="A626" s="11">
        <v>46144.063028275465</v>
      </c>
      <c r="B626" s="9" t="s">
        <v>77</v>
      </c>
      <c r="C626" s="9" t="s">
        <v>133</v>
      </c>
      <c r="D626" s="9" t="s">
        <v>19</v>
      </c>
      <c r="E626" s="14"/>
      <c r="F626" s="15">
        <v>1.0</v>
      </c>
      <c r="G626" s="37" t="s">
        <v>65</v>
      </c>
      <c r="H626" s="31" t="e">
        <v>#N/A</v>
      </c>
      <c r="I626" s="31" t="e">
        <v>#N/A</v>
      </c>
      <c r="J626" s="15">
        <v>1.0</v>
      </c>
    </row>
    <row r="627">
      <c r="A627" s="11">
        <v>46144.07200300926</v>
      </c>
      <c r="B627" s="9" t="s">
        <v>110</v>
      </c>
      <c r="C627" s="9" t="s">
        <v>107</v>
      </c>
      <c r="D627" s="37" t="s">
        <v>57</v>
      </c>
      <c r="E627" s="14"/>
      <c r="F627" s="15">
        <v>1.0</v>
      </c>
      <c r="G627" s="37" t="s">
        <v>65</v>
      </c>
      <c r="H627" s="31" t="e">
        <v>#N/A</v>
      </c>
      <c r="I627" s="31" t="e">
        <v>#N/A</v>
      </c>
      <c r="J627" s="15">
        <v>1.0</v>
      </c>
    </row>
    <row r="628">
      <c r="A628" s="11">
        <v>46144.07436834491</v>
      </c>
      <c r="B628" s="9" t="s">
        <v>301</v>
      </c>
      <c r="C628" s="9" t="s">
        <v>291</v>
      </c>
      <c r="D628" s="37" t="s">
        <v>57</v>
      </c>
      <c r="E628" s="14"/>
      <c r="F628" s="15">
        <v>1.0</v>
      </c>
      <c r="G628" s="37" t="s">
        <v>65</v>
      </c>
      <c r="H628" s="31" t="e">
        <v>#N/A</v>
      </c>
      <c r="I628" s="31" t="e">
        <v>#N/A</v>
      </c>
      <c r="J628" s="15">
        <v>1.0</v>
      </c>
    </row>
    <row r="629">
      <c r="A629" s="11">
        <v>46144.08908478009</v>
      </c>
      <c r="B629" s="9" t="s">
        <v>121</v>
      </c>
      <c r="C629" s="9" t="s">
        <v>54</v>
      </c>
      <c r="D629" s="9" t="s">
        <v>19</v>
      </c>
      <c r="E629" s="54" t="s">
        <v>140</v>
      </c>
      <c r="F629" s="15">
        <v>1.0</v>
      </c>
      <c r="G629" s="37" t="s">
        <v>65</v>
      </c>
      <c r="H629" s="31" t="e">
        <v>#N/A</v>
      </c>
      <c r="I629" s="31" t="e">
        <v>#N/A</v>
      </c>
      <c r="J629" s="15">
        <v>1.0</v>
      </c>
    </row>
    <row r="630">
      <c r="A630" s="11">
        <v>46144.10958579861</v>
      </c>
      <c r="B630" s="9" t="s">
        <v>344</v>
      </c>
      <c r="C630" s="9" t="s">
        <v>324</v>
      </c>
      <c r="D630" s="37" t="s">
        <v>57</v>
      </c>
      <c r="E630" s="54" t="s">
        <v>140</v>
      </c>
      <c r="F630" s="15">
        <v>1.0</v>
      </c>
      <c r="G630" s="37" t="s">
        <v>65</v>
      </c>
      <c r="H630" s="31" t="e">
        <v>#N/A</v>
      </c>
      <c r="I630" s="31" t="e">
        <v>#N/A</v>
      </c>
      <c r="J630" s="15">
        <v>1.0</v>
      </c>
    </row>
    <row r="631">
      <c r="A631" s="11">
        <v>46144.12856403935</v>
      </c>
      <c r="B631" s="9" t="s">
        <v>291</v>
      </c>
      <c r="C631" s="9" t="s">
        <v>344</v>
      </c>
      <c r="D631" s="37" t="s">
        <v>57</v>
      </c>
      <c r="E631" s="14"/>
      <c r="F631" s="15">
        <v>1.0</v>
      </c>
      <c r="G631" s="37" t="s">
        <v>65</v>
      </c>
      <c r="H631" s="31" t="e">
        <v>#N/A</v>
      </c>
      <c r="I631" s="31" t="e">
        <v>#N/A</v>
      </c>
      <c r="J631" s="15">
        <v>1.0</v>
      </c>
    </row>
    <row r="632">
      <c r="A632" s="11">
        <v>46144.14398305556</v>
      </c>
      <c r="B632" s="9" t="s">
        <v>107</v>
      </c>
      <c r="C632" s="9" t="s">
        <v>266</v>
      </c>
      <c r="D632" s="37" t="s">
        <v>57</v>
      </c>
      <c r="E632" s="54" t="s">
        <v>435</v>
      </c>
      <c r="F632" s="15">
        <v>1.0</v>
      </c>
      <c r="G632" s="37" t="s">
        <v>65</v>
      </c>
      <c r="H632" s="31" t="e">
        <v>#N/A</v>
      </c>
      <c r="I632" s="31" t="e">
        <v>#N/A</v>
      </c>
      <c r="J632" s="15">
        <v>1.0</v>
      </c>
    </row>
    <row r="633">
      <c r="A633" s="11">
        <v>46144.1450344676</v>
      </c>
      <c r="B633" s="9" t="s">
        <v>101</v>
      </c>
      <c r="C633" s="9" t="s">
        <v>291</v>
      </c>
      <c r="D633" s="9" t="s">
        <v>19</v>
      </c>
      <c r="E633" s="54" t="s">
        <v>221</v>
      </c>
      <c r="F633" s="15">
        <v>1.0</v>
      </c>
      <c r="G633" s="37" t="s">
        <v>65</v>
      </c>
      <c r="H633" s="31" t="e">
        <v>#N/A</v>
      </c>
      <c r="I633" s="31" t="e">
        <v>#N/A</v>
      </c>
      <c r="J633" s="15">
        <v>1.0</v>
      </c>
    </row>
    <row r="634">
      <c r="A634" s="11">
        <v>46144.184337569444</v>
      </c>
      <c r="B634" s="9" t="s">
        <v>344</v>
      </c>
      <c r="C634" s="9" t="s">
        <v>215</v>
      </c>
      <c r="D634" s="9" t="s">
        <v>19</v>
      </c>
      <c r="E634" s="54" t="s">
        <v>140</v>
      </c>
      <c r="F634" s="15">
        <v>1.0</v>
      </c>
      <c r="G634" s="37" t="s">
        <v>65</v>
      </c>
      <c r="H634" s="31" t="e">
        <v>#N/A</v>
      </c>
      <c r="I634" s="31" t="e">
        <v>#N/A</v>
      </c>
      <c r="J634" s="15">
        <v>1.0</v>
      </c>
    </row>
    <row r="635">
      <c r="A635" s="11">
        <v>46144.20325160879</v>
      </c>
      <c r="B635" s="9" t="s">
        <v>352</v>
      </c>
      <c r="C635" s="9" t="s">
        <v>189</v>
      </c>
      <c r="D635" s="37" t="s">
        <v>57</v>
      </c>
      <c r="E635" s="54" t="s">
        <v>398</v>
      </c>
      <c r="F635" s="15">
        <v>1.0</v>
      </c>
      <c r="G635" s="37" t="s">
        <v>65</v>
      </c>
      <c r="H635" s="31" t="e">
        <v>#N/A</v>
      </c>
      <c r="I635" s="31" t="e">
        <v>#N/A</v>
      </c>
      <c r="J635" s="15">
        <v>1.0</v>
      </c>
    </row>
    <row r="636">
      <c r="A636" s="11">
        <v>46144.2633059375</v>
      </c>
      <c r="B636" s="9" t="s">
        <v>204</v>
      </c>
      <c r="C636" s="9" t="s">
        <v>302</v>
      </c>
      <c r="D636" s="37" t="s">
        <v>57</v>
      </c>
      <c r="E636" s="54" t="s">
        <v>206</v>
      </c>
      <c r="F636" s="15">
        <v>1.0</v>
      </c>
      <c r="G636" s="37" t="s">
        <v>65</v>
      </c>
      <c r="H636" s="31" t="e">
        <v>#N/A</v>
      </c>
      <c r="I636" s="31" t="e">
        <v>#N/A</v>
      </c>
      <c r="J636" s="15">
        <v>1.0</v>
      </c>
    </row>
    <row r="637">
      <c r="A637" s="11">
        <v>46144.281400844906</v>
      </c>
      <c r="B637" s="9" t="s">
        <v>284</v>
      </c>
      <c r="C637" s="9" t="s">
        <v>152</v>
      </c>
      <c r="D637" s="9" t="s">
        <v>19</v>
      </c>
      <c r="E637" s="54" t="s">
        <v>436</v>
      </c>
      <c r="F637" s="15">
        <v>1.0</v>
      </c>
      <c r="G637" s="37" t="s">
        <v>65</v>
      </c>
      <c r="H637" s="31" t="e">
        <v>#N/A</v>
      </c>
      <c r="I637" s="31" t="e">
        <v>#N/A</v>
      </c>
      <c r="J637" s="15">
        <v>1.0</v>
      </c>
    </row>
    <row r="638">
      <c r="A638" s="11">
        <v>46144.28903054398</v>
      </c>
      <c r="B638" s="9" t="s">
        <v>204</v>
      </c>
      <c r="C638" s="9" t="s">
        <v>352</v>
      </c>
      <c r="D638" s="9" t="s">
        <v>19</v>
      </c>
      <c r="E638" s="54" t="s">
        <v>206</v>
      </c>
      <c r="F638" s="15">
        <v>1.0</v>
      </c>
      <c r="G638" s="37" t="s">
        <v>65</v>
      </c>
      <c r="H638" s="31" t="e">
        <v>#N/A</v>
      </c>
      <c r="I638" s="31" t="e">
        <v>#N/A</v>
      </c>
      <c r="J638" s="15">
        <v>1.0</v>
      </c>
    </row>
    <row r="639">
      <c r="A639" s="11">
        <v>46144.320582835644</v>
      </c>
      <c r="B639" s="9" t="s">
        <v>152</v>
      </c>
      <c r="C639" s="9" t="s">
        <v>352</v>
      </c>
      <c r="D639" s="9" t="s">
        <v>19</v>
      </c>
      <c r="E639" s="54" t="s">
        <v>270</v>
      </c>
      <c r="F639" s="15">
        <v>1.0</v>
      </c>
      <c r="G639" s="37" t="s">
        <v>65</v>
      </c>
      <c r="H639" s="31" t="e">
        <v>#N/A</v>
      </c>
      <c r="I639" s="31" t="e">
        <v>#N/A</v>
      </c>
      <c r="J639" s="15">
        <v>1.0</v>
      </c>
    </row>
    <row r="640">
      <c r="A640" s="11">
        <v>46144.32059365741</v>
      </c>
      <c r="B640" s="9" t="s">
        <v>189</v>
      </c>
      <c r="C640" s="9" t="s">
        <v>284</v>
      </c>
      <c r="D640" s="9" t="s">
        <v>19</v>
      </c>
      <c r="E640" s="54" t="s">
        <v>122</v>
      </c>
      <c r="F640" s="15">
        <v>1.0</v>
      </c>
      <c r="G640" s="37" t="s">
        <v>65</v>
      </c>
      <c r="H640" s="31" t="e">
        <v>#N/A</v>
      </c>
      <c r="I640" s="31" t="e">
        <v>#N/A</v>
      </c>
      <c r="J640" s="15">
        <v>1.0</v>
      </c>
    </row>
    <row r="641">
      <c r="A641" s="11">
        <v>46144.33172931713</v>
      </c>
      <c r="B641" s="9" t="s">
        <v>189</v>
      </c>
      <c r="C641" s="9" t="s">
        <v>168</v>
      </c>
      <c r="D641" s="9" t="s">
        <v>19</v>
      </c>
      <c r="E641" s="54" t="s">
        <v>122</v>
      </c>
      <c r="F641" s="15">
        <v>1.0</v>
      </c>
      <c r="G641" s="37" t="s">
        <v>65</v>
      </c>
      <c r="H641" s="31" t="e">
        <v>#N/A</v>
      </c>
      <c r="I641" s="31" t="e">
        <v>#N/A</v>
      </c>
      <c r="J641" s="15">
        <v>1.0</v>
      </c>
    </row>
    <row r="642">
      <c r="A642" s="11">
        <v>46144.353597291665</v>
      </c>
      <c r="B642" s="9" t="s">
        <v>352</v>
      </c>
      <c r="C642" s="9" t="s">
        <v>109</v>
      </c>
      <c r="D642" s="37" t="s">
        <v>57</v>
      </c>
      <c r="E642" s="54" t="s">
        <v>176</v>
      </c>
      <c r="F642" s="15">
        <v>1.0</v>
      </c>
      <c r="G642" s="37" t="s">
        <v>65</v>
      </c>
      <c r="H642" s="31" t="e">
        <v>#N/A</v>
      </c>
      <c r="I642" s="31" t="e">
        <v>#N/A</v>
      </c>
      <c r="J642" s="15">
        <v>1.0</v>
      </c>
    </row>
    <row r="643">
      <c r="A643" s="11">
        <v>46144.366311342594</v>
      </c>
      <c r="B643" s="9" t="s">
        <v>378</v>
      </c>
      <c r="C643" s="9" t="s">
        <v>152</v>
      </c>
      <c r="D643" s="9" t="s">
        <v>19</v>
      </c>
      <c r="E643" s="14"/>
      <c r="F643" s="15">
        <v>1.0</v>
      </c>
      <c r="G643" s="37" t="s">
        <v>65</v>
      </c>
      <c r="H643" s="31" t="e">
        <v>#N/A</v>
      </c>
      <c r="I643" s="31" t="e">
        <v>#N/A</v>
      </c>
      <c r="J643" s="15">
        <v>1.0</v>
      </c>
    </row>
    <row r="644">
      <c r="A644" s="11">
        <v>46144.37794111111</v>
      </c>
      <c r="B644" s="9" t="s">
        <v>217</v>
      </c>
      <c r="C644" s="9" t="s">
        <v>63</v>
      </c>
      <c r="D644" s="37" t="s">
        <v>57</v>
      </c>
      <c r="E644" s="14"/>
      <c r="F644" s="15">
        <v>1.0</v>
      </c>
      <c r="G644" s="37" t="s">
        <v>65</v>
      </c>
      <c r="H644" s="31" t="e">
        <v>#N/A</v>
      </c>
      <c r="I644" s="31" t="e">
        <v>#N/A</v>
      </c>
      <c r="J644" s="15">
        <v>1.0</v>
      </c>
    </row>
    <row r="645">
      <c r="A645" s="11">
        <v>46144.39532930555</v>
      </c>
      <c r="B645" s="9" t="s">
        <v>402</v>
      </c>
      <c r="C645" s="9" t="s">
        <v>352</v>
      </c>
      <c r="D645" s="9" t="s">
        <v>19</v>
      </c>
      <c r="E645" s="14"/>
      <c r="F645" s="15">
        <v>1.0</v>
      </c>
      <c r="G645" s="37" t="s">
        <v>65</v>
      </c>
      <c r="H645" s="31" t="e">
        <v>#N/A</v>
      </c>
      <c r="I645" s="31" t="e">
        <v>#N/A</v>
      </c>
      <c r="J645" s="15">
        <v>1.0</v>
      </c>
    </row>
    <row r="646">
      <c r="A646" s="11">
        <v>46144.40648924769</v>
      </c>
      <c r="B646" s="9" t="s">
        <v>166</v>
      </c>
      <c r="C646" s="9" t="s">
        <v>189</v>
      </c>
      <c r="D646" s="37" t="s">
        <v>57</v>
      </c>
      <c r="E646" s="54" t="s">
        <v>437</v>
      </c>
      <c r="F646" s="15">
        <v>1.0</v>
      </c>
      <c r="G646" s="37" t="s">
        <v>65</v>
      </c>
      <c r="H646" s="31" t="e">
        <v>#N/A</v>
      </c>
      <c r="I646" s="31" t="e">
        <v>#N/A</v>
      </c>
      <c r="J646" s="15">
        <v>1.0</v>
      </c>
    </row>
    <row r="647">
      <c r="A647" s="11">
        <v>46144.430166122685</v>
      </c>
      <c r="B647" s="9" t="s">
        <v>287</v>
      </c>
      <c r="C647" s="9" t="s">
        <v>333</v>
      </c>
      <c r="D647" s="9" t="s">
        <v>19</v>
      </c>
      <c r="E647" s="54" t="s">
        <v>140</v>
      </c>
      <c r="F647" s="15">
        <v>1.0</v>
      </c>
      <c r="G647" s="37" t="s">
        <v>65</v>
      </c>
      <c r="H647" s="31" t="e">
        <v>#N/A</v>
      </c>
      <c r="I647" s="31" t="e">
        <v>#N/A</v>
      </c>
      <c r="J647" s="15">
        <v>1.0</v>
      </c>
    </row>
    <row r="648">
      <c r="A648" s="11">
        <v>46144.442441817126</v>
      </c>
      <c r="B648" s="9" t="s">
        <v>260</v>
      </c>
      <c r="C648" s="9" t="s">
        <v>101</v>
      </c>
      <c r="D648" s="9" t="s">
        <v>19</v>
      </c>
      <c r="E648" s="14"/>
      <c r="F648" s="15">
        <v>1.0</v>
      </c>
      <c r="G648" s="37" t="s">
        <v>65</v>
      </c>
      <c r="H648" s="31" t="e">
        <v>#N/A</v>
      </c>
      <c r="I648" s="31" t="e">
        <v>#N/A</v>
      </c>
      <c r="J648" s="15">
        <v>1.0</v>
      </c>
    </row>
    <row r="649">
      <c r="A649" s="11">
        <v>46144.4526653588</v>
      </c>
      <c r="B649" s="9" t="s">
        <v>284</v>
      </c>
      <c r="C649" s="9" t="s">
        <v>63</v>
      </c>
      <c r="D649" s="37" t="s">
        <v>57</v>
      </c>
      <c r="E649" s="54" t="s">
        <v>438</v>
      </c>
      <c r="F649" s="15">
        <v>1.0</v>
      </c>
      <c r="G649" s="37" t="s">
        <v>65</v>
      </c>
      <c r="H649" s="31" t="e">
        <v>#N/A</v>
      </c>
      <c r="I649" s="31" t="e">
        <v>#N/A</v>
      </c>
      <c r="J649" s="15">
        <v>1.0</v>
      </c>
    </row>
    <row r="650">
      <c r="A650" s="11">
        <v>46144.45683461806</v>
      </c>
      <c r="B650" s="9" t="s">
        <v>217</v>
      </c>
      <c r="C650" s="9" t="s">
        <v>287</v>
      </c>
      <c r="D650" s="9" t="s">
        <v>19</v>
      </c>
      <c r="E650" s="14"/>
      <c r="F650" s="15">
        <v>1.0</v>
      </c>
      <c r="G650" s="37" t="s">
        <v>65</v>
      </c>
      <c r="H650" s="31" t="e">
        <v>#N/A</v>
      </c>
      <c r="I650" s="31" t="e">
        <v>#N/A</v>
      </c>
      <c r="J650" s="15">
        <v>1.0</v>
      </c>
    </row>
    <row r="651">
      <c r="A651" s="11">
        <v>46144.45822886574</v>
      </c>
      <c r="B651" s="9" t="s">
        <v>88</v>
      </c>
      <c r="C651" s="9" t="s">
        <v>260</v>
      </c>
      <c r="D651" s="9" t="s">
        <v>19</v>
      </c>
      <c r="E651" s="14"/>
      <c r="F651" s="15">
        <v>1.0</v>
      </c>
      <c r="G651" s="37" t="s">
        <v>65</v>
      </c>
      <c r="H651" s="31" t="e">
        <v>#N/A</v>
      </c>
      <c r="I651" s="31" t="e">
        <v>#N/A</v>
      </c>
      <c r="J651" s="15">
        <v>1.0</v>
      </c>
    </row>
    <row r="652">
      <c r="A652" s="11">
        <v>46144.46393979166</v>
      </c>
      <c r="B652" s="9" t="s">
        <v>204</v>
      </c>
      <c r="C652" s="9" t="s">
        <v>189</v>
      </c>
      <c r="D652" s="37" t="s">
        <v>57</v>
      </c>
      <c r="E652" s="54" t="s">
        <v>206</v>
      </c>
      <c r="F652" s="15">
        <v>1.0</v>
      </c>
      <c r="G652" s="37" t="s">
        <v>65</v>
      </c>
      <c r="H652" s="31" t="e">
        <v>#N/A</v>
      </c>
      <c r="I652" s="31" t="e">
        <v>#N/A</v>
      </c>
      <c r="J652" s="15">
        <v>1.0</v>
      </c>
    </row>
    <row r="653">
      <c r="A653" s="11">
        <v>46144.477411307875</v>
      </c>
      <c r="B653" s="9" t="s">
        <v>88</v>
      </c>
      <c r="C653" s="9" t="s">
        <v>101</v>
      </c>
      <c r="D653" s="9" t="s">
        <v>19</v>
      </c>
      <c r="E653" s="14"/>
      <c r="F653" s="15">
        <v>1.0</v>
      </c>
      <c r="G653" s="37" t="s">
        <v>65</v>
      </c>
      <c r="H653" s="31" t="e">
        <v>#N/A</v>
      </c>
      <c r="I653" s="31" t="e">
        <v>#N/A</v>
      </c>
      <c r="J653" s="15">
        <v>1.0</v>
      </c>
    </row>
    <row r="654">
      <c r="A654" s="11">
        <v>46144.484125787036</v>
      </c>
      <c r="B654" s="9" t="s">
        <v>63</v>
      </c>
      <c r="C654" s="9" t="s">
        <v>60</v>
      </c>
      <c r="D654" s="9" t="s">
        <v>19</v>
      </c>
      <c r="E654" s="14"/>
      <c r="F654" s="15">
        <v>1.0</v>
      </c>
      <c r="G654" s="37" t="s">
        <v>65</v>
      </c>
      <c r="H654" s="31" t="e">
        <v>#N/A</v>
      </c>
      <c r="I654" s="31" t="e">
        <v>#N/A</v>
      </c>
      <c r="J654" s="15">
        <v>1.0</v>
      </c>
    </row>
    <row r="655">
      <c r="A655" s="11">
        <v>46144.488176666666</v>
      </c>
      <c r="B655" s="9" t="s">
        <v>88</v>
      </c>
      <c r="C655" s="9" t="s">
        <v>191</v>
      </c>
      <c r="D655" s="9" t="s">
        <v>19</v>
      </c>
      <c r="E655" s="14"/>
      <c r="F655" s="15">
        <v>1.0</v>
      </c>
      <c r="G655" s="37" t="s">
        <v>65</v>
      </c>
      <c r="H655" s="31" t="e">
        <v>#N/A</v>
      </c>
      <c r="I655" s="31" t="e">
        <v>#N/A</v>
      </c>
      <c r="J655" s="15">
        <v>1.0</v>
      </c>
    </row>
    <row r="656">
      <c r="A656" s="11">
        <v>46144.48926552084</v>
      </c>
      <c r="B656" s="9" t="s">
        <v>217</v>
      </c>
      <c r="C656" s="9" t="s">
        <v>276</v>
      </c>
      <c r="D656" s="37" t="s">
        <v>57</v>
      </c>
      <c r="E656" s="14"/>
      <c r="F656" s="15">
        <v>1.0</v>
      </c>
      <c r="G656" s="37" t="s">
        <v>65</v>
      </c>
      <c r="H656" s="31" t="e">
        <v>#N/A</v>
      </c>
      <c r="I656" s="31" t="e">
        <v>#N/A</v>
      </c>
      <c r="J656" s="15">
        <v>1.0</v>
      </c>
    </row>
    <row r="657">
      <c r="A657" s="11">
        <v>46144.4974197338</v>
      </c>
      <c r="B657" s="9" t="s">
        <v>71</v>
      </c>
      <c r="C657" s="9" t="s">
        <v>215</v>
      </c>
      <c r="D657" s="9" t="s">
        <v>19</v>
      </c>
      <c r="E657" s="14"/>
      <c r="F657" s="15">
        <v>1.0</v>
      </c>
      <c r="G657" s="37" t="s">
        <v>65</v>
      </c>
      <c r="H657" s="31" t="e">
        <v>#N/A</v>
      </c>
      <c r="I657" s="31" t="e">
        <v>#N/A</v>
      </c>
      <c r="J657" s="15">
        <v>1.0</v>
      </c>
    </row>
    <row r="658">
      <c r="A658" s="11">
        <v>46144.50491653935</v>
      </c>
      <c r="B658" s="9" t="s">
        <v>191</v>
      </c>
      <c r="C658" s="9" t="s">
        <v>121</v>
      </c>
      <c r="D658" s="9" t="s">
        <v>19</v>
      </c>
      <c r="E658" s="14"/>
      <c r="F658" s="15">
        <v>1.0</v>
      </c>
      <c r="G658" s="37" t="s">
        <v>65</v>
      </c>
      <c r="H658" s="31" t="e">
        <v>#N/A</v>
      </c>
      <c r="I658" s="31" t="e">
        <v>#N/A</v>
      </c>
      <c r="J658" s="15">
        <v>1.0</v>
      </c>
    </row>
    <row r="659">
      <c r="A659" s="11">
        <v>46144.505047071754</v>
      </c>
      <c r="B659" s="9" t="s">
        <v>60</v>
      </c>
      <c r="C659" s="9" t="s">
        <v>71</v>
      </c>
      <c r="D659" s="9" t="s">
        <v>19</v>
      </c>
      <c r="E659" s="14"/>
      <c r="F659" s="15">
        <v>1.0</v>
      </c>
      <c r="G659" s="37" t="s">
        <v>65</v>
      </c>
      <c r="H659" s="31" t="e">
        <v>#N/A</v>
      </c>
      <c r="I659" s="31" t="e">
        <v>#N/A</v>
      </c>
      <c r="J659" s="15">
        <v>1.0</v>
      </c>
    </row>
    <row r="660">
      <c r="A660" s="11">
        <v>46144.50815150463</v>
      </c>
      <c r="B660" s="9" t="s">
        <v>284</v>
      </c>
      <c r="C660" s="9" t="s">
        <v>54</v>
      </c>
      <c r="D660" s="37" t="s">
        <v>57</v>
      </c>
      <c r="E660" s="54" t="s">
        <v>439</v>
      </c>
      <c r="F660" s="15">
        <v>1.0</v>
      </c>
      <c r="G660" s="37" t="s">
        <v>65</v>
      </c>
      <c r="H660" s="31" t="e">
        <v>#N/A</v>
      </c>
      <c r="I660" s="31" t="e">
        <v>#N/A</v>
      </c>
      <c r="J660" s="15">
        <v>1.0</v>
      </c>
    </row>
    <row r="661">
      <c r="A661" s="11">
        <v>46144.516088425924</v>
      </c>
      <c r="B661" s="9" t="s">
        <v>61</v>
      </c>
      <c r="C661" s="9" t="s">
        <v>63</v>
      </c>
      <c r="D661" s="37" t="s">
        <v>57</v>
      </c>
      <c r="E661" s="14"/>
      <c r="F661" s="15">
        <v>1.0</v>
      </c>
      <c r="G661" s="37" t="s">
        <v>65</v>
      </c>
      <c r="H661" s="31" t="e">
        <v>#N/A</v>
      </c>
      <c r="I661" s="31" t="e">
        <v>#N/A</v>
      </c>
      <c r="J661" s="15">
        <v>1.0</v>
      </c>
    </row>
    <row r="662">
      <c r="A662" s="11">
        <v>46144.520191585645</v>
      </c>
      <c r="B662" s="9" t="s">
        <v>247</v>
      </c>
      <c r="C662" s="9" t="s">
        <v>192</v>
      </c>
      <c r="D662" s="37" t="s">
        <v>57</v>
      </c>
      <c r="E662" s="54" t="s">
        <v>102</v>
      </c>
      <c r="F662" s="15">
        <v>1.0</v>
      </c>
      <c r="G662" s="37" t="s">
        <v>65</v>
      </c>
      <c r="H662" s="31" t="e">
        <v>#N/A</v>
      </c>
      <c r="I662" s="31" t="e">
        <v>#N/A</v>
      </c>
      <c r="J662" s="15">
        <v>1.0</v>
      </c>
    </row>
    <row r="663">
      <c r="A663" s="11">
        <v>46144.522229282404</v>
      </c>
      <c r="B663" s="9" t="s">
        <v>88</v>
      </c>
      <c r="C663" s="9" t="s">
        <v>291</v>
      </c>
      <c r="D663" s="37" t="s">
        <v>57</v>
      </c>
      <c r="E663" s="14"/>
      <c r="F663" s="15">
        <v>1.0</v>
      </c>
      <c r="G663" s="37" t="s">
        <v>65</v>
      </c>
      <c r="H663" s="31" t="e">
        <v>#N/A</v>
      </c>
      <c r="I663" s="31" t="e">
        <v>#N/A</v>
      </c>
      <c r="J663" s="15">
        <v>1.0</v>
      </c>
    </row>
    <row r="664">
      <c r="A664" s="11">
        <v>46144.524694479165</v>
      </c>
      <c r="B664" s="9" t="s">
        <v>121</v>
      </c>
      <c r="C664" s="9" t="s">
        <v>229</v>
      </c>
      <c r="D664" s="9" t="s">
        <v>19</v>
      </c>
      <c r="E664" s="54" t="s">
        <v>140</v>
      </c>
      <c r="F664" s="15">
        <v>1.0</v>
      </c>
      <c r="G664" s="37" t="s">
        <v>65</v>
      </c>
      <c r="H664" s="31" t="e">
        <v>#N/A</v>
      </c>
      <c r="I664" s="31" t="e">
        <v>#N/A</v>
      </c>
      <c r="J664" s="15">
        <v>1.0</v>
      </c>
    </row>
    <row r="665">
      <c r="A665" s="11">
        <v>46144.535523425926</v>
      </c>
      <c r="B665" s="9" t="s">
        <v>61</v>
      </c>
      <c r="C665" s="9" t="s">
        <v>88</v>
      </c>
      <c r="D665" s="9" t="s">
        <v>19</v>
      </c>
      <c r="E665" s="14"/>
      <c r="F665" s="15">
        <v>1.0</v>
      </c>
      <c r="G665" s="37" t="s">
        <v>65</v>
      </c>
      <c r="H665" s="31" t="e">
        <v>#N/A</v>
      </c>
      <c r="I665" s="31" t="e">
        <v>#N/A</v>
      </c>
      <c r="J665" s="15">
        <v>1.0</v>
      </c>
    </row>
    <row r="666">
      <c r="A666" s="11">
        <v>46144.53811496528</v>
      </c>
      <c r="B666" s="9" t="s">
        <v>63</v>
      </c>
      <c r="C666" s="9" t="s">
        <v>92</v>
      </c>
      <c r="D666" s="9" t="s">
        <v>19</v>
      </c>
      <c r="E666" s="14"/>
      <c r="F666" s="15">
        <v>1.0</v>
      </c>
      <c r="G666" s="37" t="s">
        <v>65</v>
      </c>
      <c r="H666" s="31" t="e">
        <v>#N/A</v>
      </c>
      <c r="I666" s="31" t="e">
        <v>#N/A</v>
      </c>
      <c r="J666" s="15">
        <v>1.0</v>
      </c>
    </row>
    <row r="667">
      <c r="A667" s="11">
        <v>46144.541936608795</v>
      </c>
      <c r="B667" s="9" t="s">
        <v>247</v>
      </c>
      <c r="C667" s="9" t="s">
        <v>291</v>
      </c>
      <c r="D667" s="9" t="s">
        <v>19</v>
      </c>
      <c r="E667" s="54" t="s">
        <v>122</v>
      </c>
      <c r="F667" s="15">
        <v>1.0</v>
      </c>
      <c r="G667" s="37" t="s">
        <v>65</v>
      </c>
      <c r="H667" s="31" t="e">
        <v>#N/A</v>
      </c>
      <c r="I667" s="31" t="e">
        <v>#N/A</v>
      </c>
      <c r="J667" s="15">
        <v>1.0</v>
      </c>
    </row>
    <row r="668">
      <c r="A668" s="11">
        <v>46144.5499662963</v>
      </c>
      <c r="B668" s="9" t="s">
        <v>239</v>
      </c>
      <c r="C668" s="9" t="s">
        <v>61</v>
      </c>
      <c r="D668" s="9" t="s">
        <v>19</v>
      </c>
      <c r="E668" s="14"/>
      <c r="F668" s="15">
        <v>1.0</v>
      </c>
      <c r="G668" s="37" t="s">
        <v>65</v>
      </c>
      <c r="H668" s="31" t="e">
        <v>#N/A</v>
      </c>
      <c r="I668" s="31" t="e">
        <v>#N/A</v>
      </c>
      <c r="J668" s="15">
        <v>1.0</v>
      </c>
    </row>
    <row r="669">
      <c r="A669" s="11">
        <v>46144.551662673606</v>
      </c>
      <c r="B669" s="9" t="s">
        <v>165</v>
      </c>
      <c r="C669" s="9" t="s">
        <v>273</v>
      </c>
      <c r="D669" s="37" t="s">
        <v>57</v>
      </c>
      <c r="E669" s="14"/>
      <c r="F669" s="15">
        <v>1.0</v>
      </c>
      <c r="G669" s="37" t="s">
        <v>65</v>
      </c>
      <c r="H669" s="31" t="e">
        <v>#N/A</v>
      </c>
      <c r="I669" s="31" t="e">
        <v>#N/A</v>
      </c>
      <c r="J669" s="15">
        <v>1.0</v>
      </c>
    </row>
    <row r="670">
      <c r="A670" s="11">
        <v>46144.55822423611</v>
      </c>
      <c r="B670" s="9" t="s">
        <v>331</v>
      </c>
      <c r="C670" s="9" t="s">
        <v>231</v>
      </c>
      <c r="D670" s="37" t="s">
        <v>57</v>
      </c>
      <c r="E670" s="14"/>
      <c r="F670" s="15">
        <v>1.0</v>
      </c>
      <c r="G670" s="37" t="s">
        <v>65</v>
      </c>
      <c r="H670" s="31" t="e">
        <v>#N/A</v>
      </c>
      <c r="I670" s="31" t="e">
        <v>#N/A</v>
      </c>
      <c r="J670" s="15">
        <v>1.0</v>
      </c>
    </row>
    <row r="671">
      <c r="A671" s="11">
        <v>46144.560693113424</v>
      </c>
      <c r="B671" s="9" t="s">
        <v>247</v>
      </c>
      <c r="C671" s="9" t="s">
        <v>154</v>
      </c>
      <c r="D671" s="9" t="s">
        <v>19</v>
      </c>
      <c r="E671" s="54" t="s">
        <v>122</v>
      </c>
      <c r="F671" s="15">
        <v>1.0</v>
      </c>
      <c r="G671" s="37" t="s">
        <v>65</v>
      </c>
      <c r="H671" s="31" t="e">
        <v>#N/A</v>
      </c>
      <c r="I671" s="31" t="e">
        <v>#N/A</v>
      </c>
      <c r="J671" s="15">
        <v>1.0</v>
      </c>
    </row>
    <row r="672">
      <c r="A672" s="11">
        <v>46144.564877627316</v>
      </c>
      <c r="B672" s="9" t="s">
        <v>389</v>
      </c>
      <c r="C672" s="9" t="s">
        <v>239</v>
      </c>
      <c r="D672" s="9" t="s">
        <v>19</v>
      </c>
      <c r="E672" s="14"/>
      <c r="F672" s="15">
        <v>1.0</v>
      </c>
      <c r="G672" s="37" t="s">
        <v>65</v>
      </c>
      <c r="H672" s="31" t="e">
        <v>#N/A</v>
      </c>
      <c r="I672" s="31" t="e">
        <v>#N/A</v>
      </c>
      <c r="J672" s="15">
        <v>1.0</v>
      </c>
    </row>
    <row r="673">
      <c r="A673" s="11">
        <v>46144.566195949075</v>
      </c>
      <c r="B673" s="9" t="s">
        <v>165</v>
      </c>
      <c r="C673" s="9" t="s">
        <v>123</v>
      </c>
      <c r="D673" s="9" t="s">
        <v>19</v>
      </c>
      <c r="E673" s="14"/>
      <c r="F673" s="15">
        <v>1.0</v>
      </c>
      <c r="G673" s="37" t="s">
        <v>65</v>
      </c>
      <c r="H673" s="31" t="e">
        <v>#N/A</v>
      </c>
      <c r="I673" s="31" t="e">
        <v>#N/A</v>
      </c>
      <c r="J673" s="15">
        <v>1.0</v>
      </c>
    </row>
    <row r="674">
      <c r="A674" s="11">
        <v>46144.57894773148</v>
      </c>
      <c r="B674" s="9" t="s">
        <v>273</v>
      </c>
      <c r="C674" s="9" t="s">
        <v>247</v>
      </c>
      <c r="D674" s="37" t="s">
        <v>57</v>
      </c>
      <c r="E674" s="14"/>
      <c r="F674" s="15">
        <v>1.0</v>
      </c>
      <c r="G674" s="37" t="s">
        <v>65</v>
      </c>
      <c r="H674" s="31" t="e">
        <v>#N/A</v>
      </c>
      <c r="I674" s="31" t="e">
        <v>#N/A</v>
      </c>
      <c r="J674" s="15">
        <v>1.0</v>
      </c>
    </row>
    <row r="675">
      <c r="A675" s="11">
        <v>46144.59906303241</v>
      </c>
      <c r="B675" s="9" t="s">
        <v>165</v>
      </c>
      <c r="C675" s="9" t="s">
        <v>281</v>
      </c>
      <c r="D675" s="9" t="s">
        <v>19</v>
      </c>
      <c r="E675" s="14"/>
      <c r="F675" s="15">
        <v>1.0</v>
      </c>
      <c r="G675" s="37" t="s">
        <v>65</v>
      </c>
      <c r="H675" s="31" t="e">
        <v>#N/A</v>
      </c>
      <c r="I675" s="31" t="e">
        <v>#N/A</v>
      </c>
      <c r="J675" s="15">
        <v>1.0</v>
      </c>
    </row>
    <row r="676">
      <c r="A676" s="11">
        <v>46144.608432256944</v>
      </c>
      <c r="B676" s="9" t="s">
        <v>344</v>
      </c>
      <c r="C676" s="9" t="s">
        <v>123</v>
      </c>
      <c r="D676" s="37" t="s">
        <v>57</v>
      </c>
      <c r="E676" s="54" t="s">
        <v>140</v>
      </c>
      <c r="F676" s="15">
        <v>1.0</v>
      </c>
      <c r="G676" s="37" t="s">
        <v>65</v>
      </c>
      <c r="H676" s="31" t="e">
        <v>#N/A</v>
      </c>
      <c r="I676" s="31" t="e">
        <v>#N/A</v>
      </c>
      <c r="J676" s="15">
        <v>1.0</v>
      </c>
    </row>
    <row r="677">
      <c r="A677" s="11">
        <v>46144.61179850694</v>
      </c>
      <c r="B677" s="9" t="s">
        <v>297</v>
      </c>
      <c r="C677" s="9" t="s">
        <v>409</v>
      </c>
      <c r="D677" s="37" t="s">
        <v>57</v>
      </c>
      <c r="E677" s="14"/>
      <c r="F677" s="15">
        <v>1.0</v>
      </c>
      <c r="G677" s="37" t="s">
        <v>65</v>
      </c>
      <c r="H677" s="31" t="e">
        <v>#N/A</v>
      </c>
      <c r="I677" s="31" t="e">
        <v>#N/A</v>
      </c>
      <c r="J677" s="15">
        <v>1.0</v>
      </c>
    </row>
    <row r="678">
      <c r="A678" s="11">
        <v>46144.612569606485</v>
      </c>
      <c r="B678" s="9" t="s">
        <v>284</v>
      </c>
      <c r="C678" s="9" t="s">
        <v>208</v>
      </c>
      <c r="D678" s="37" t="s">
        <v>57</v>
      </c>
      <c r="E678" s="54" t="s">
        <v>440</v>
      </c>
      <c r="F678" s="15">
        <v>1.0</v>
      </c>
      <c r="G678" s="37" t="s">
        <v>65</v>
      </c>
      <c r="H678" s="31" t="e">
        <v>#N/A</v>
      </c>
      <c r="I678" s="31" t="e">
        <v>#N/A</v>
      </c>
      <c r="J678" s="15">
        <v>1.0</v>
      </c>
    </row>
    <row r="679">
      <c r="A679" s="11">
        <v>46144.62594938657</v>
      </c>
      <c r="B679" s="9" t="s">
        <v>208</v>
      </c>
      <c r="C679" s="9" t="s">
        <v>344</v>
      </c>
      <c r="D679" s="9" t="s">
        <v>19</v>
      </c>
      <c r="E679" s="14"/>
      <c r="F679" s="15">
        <v>1.0</v>
      </c>
      <c r="G679" s="37" t="s">
        <v>65</v>
      </c>
      <c r="H679" s="31" t="e">
        <v>#N/A</v>
      </c>
      <c r="I679" s="31" t="e">
        <v>#N/A</v>
      </c>
      <c r="J679" s="15">
        <v>1.0</v>
      </c>
    </row>
    <row r="680">
      <c r="A680" s="11">
        <v>46144.63397422453</v>
      </c>
      <c r="B680" s="9" t="s">
        <v>281</v>
      </c>
      <c r="C680" s="9" t="s">
        <v>132</v>
      </c>
      <c r="D680" s="37" t="s">
        <v>57</v>
      </c>
      <c r="E680" s="54" t="s">
        <v>140</v>
      </c>
      <c r="F680" s="15">
        <v>1.0</v>
      </c>
      <c r="G680" s="37" t="s">
        <v>65</v>
      </c>
      <c r="H680" s="31" t="e">
        <v>#N/A</v>
      </c>
      <c r="I680" s="31" t="e">
        <v>#N/A</v>
      </c>
      <c r="J680" s="15">
        <v>1.0</v>
      </c>
    </row>
    <row r="681">
      <c r="A681" s="11">
        <v>46144.6402530787</v>
      </c>
      <c r="B681" s="9" t="s">
        <v>185</v>
      </c>
      <c r="C681" s="9" t="s">
        <v>297</v>
      </c>
      <c r="D681" s="9" t="s">
        <v>19</v>
      </c>
      <c r="E681" s="14"/>
      <c r="F681" s="15">
        <v>1.0</v>
      </c>
      <c r="G681" s="37" t="s">
        <v>65</v>
      </c>
      <c r="H681" s="31" t="e">
        <v>#N/A</v>
      </c>
      <c r="I681" s="31" t="e">
        <v>#N/A</v>
      </c>
      <c r="J681" s="15">
        <v>1.0</v>
      </c>
    </row>
    <row r="682">
      <c r="A682" s="11">
        <v>46144.67260326388</v>
      </c>
      <c r="B682" s="9" t="s">
        <v>253</v>
      </c>
      <c r="C682" s="9" t="s">
        <v>134</v>
      </c>
      <c r="D682" s="37" t="s">
        <v>57</v>
      </c>
      <c r="E682" s="14"/>
      <c r="F682" s="15">
        <v>1.0</v>
      </c>
      <c r="G682" s="37" t="s">
        <v>65</v>
      </c>
      <c r="H682" s="31" t="e">
        <v>#N/A</v>
      </c>
      <c r="I682" s="31" t="e">
        <v>#N/A</v>
      </c>
      <c r="J682" s="15">
        <v>1.0</v>
      </c>
    </row>
    <row r="683">
      <c r="A683" s="11">
        <v>46144.683977152774</v>
      </c>
      <c r="B683" s="9" t="s">
        <v>249</v>
      </c>
      <c r="C683" s="9" t="s">
        <v>250</v>
      </c>
      <c r="D683" s="9" t="s">
        <v>19</v>
      </c>
      <c r="E683" s="14"/>
      <c r="F683" s="15">
        <v>1.0</v>
      </c>
      <c r="G683" s="37" t="s">
        <v>65</v>
      </c>
      <c r="H683" s="31" t="e">
        <v>#N/A</v>
      </c>
      <c r="I683" s="31" t="e">
        <v>#N/A</v>
      </c>
      <c r="J683" s="15">
        <v>1.0</v>
      </c>
    </row>
    <row r="684">
      <c r="A684" s="11">
        <v>46144.686542048614</v>
      </c>
      <c r="B684" s="9" t="s">
        <v>229</v>
      </c>
      <c r="C684" s="9" t="s">
        <v>253</v>
      </c>
      <c r="D684" s="37" t="s">
        <v>57</v>
      </c>
      <c r="E684" s="14"/>
      <c r="F684" s="15">
        <v>1.0</v>
      </c>
      <c r="G684" s="37" t="s">
        <v>65</v>
      </c>
      <c r="H684" s="31" t="e">
        <v>#N/A</v>
      </c>
      <c r="I684" s="31" t="e">
        <v>#N/A</v>
      </c>
      <c r="J684" s="15">
        <v>1.0</v>
      </c>
    </row>
    <row r="685">
      <c r="A685" s="11">
        <v>46144.6944059838</v>
      </c>
      <c r="B685" s="9" t="s">
        <v>302</v>
      </c>
      <c r="C685" s="9" t="s">
        <v>174</v>
      </c>
      <c r="D685" s="9" t="s">
        <v>19</v>
      </c>
      <c r="E685" s="54" t="s">
        <v>112</v>
      </c>
      <c r="F685" s="15">
        <v>1.0</v>
      </c>
      <c r="G685" s="37" t="s">
        <v>65</v>
      </c>
      <c r="H685" s="31" t="e">
        <v>#N/A</v>
      </c>
      <c r="I685" s="31" t="e">
        <v>#N/A</v>
      </c>
      <c r="J685" s="15">
        <v>1.0</v>
      </c>
    </row>
    <row r="686">
      <c r="A686" s="11">
        <v>46144.70184179398</v>
      </c>
      <c r="B686" s="9" t="s">
        <v>64</v>
      </c>
      <c r="C686" s="9" t="s">
        <v>378</v>
      </c>
      <c r="D686" s="37" t="s">
        <v>57</v>
      </c>
      <c r="E686" s="54" t="s">
        <v>122</v>
      </c>
      <c r="F686" s="15">
        <v>1.0</v>
      </c>
      <c r="G686" s="37" t="s">
        <v>65</v>
      </c>
      <c r="H686" s="31" t="e">
        <v>#N/A</v>
      </c>
      <c r="I686" s="31" t="e">
        <v>#N/A</v>
      </c>
      <c r="J686" s="15">
        <v>1.0</v>
      </c>
    </row>
    <row r="687">
      <c r="A687" s="11">
        <v>46144.71089637731</v>
      </c>
      <c r="B687" s="9" t="s">
        <v>228</v>
      </c>
      <c r="C687" s="9" t="s">
        <v>379</v>
      </c>
      <c r="D687" s="37" t="s">
        <v>57</v>
      </c>
      <c r="E687" s="14"/>
      <c r="F687" s="15">
        <v>1.0</v>
      </c>
      <c r="G687" s="37" t="s">
        <v>65</v>
      </c>
      <c r="H687" s="31" t="e">
        <v>#N/A</v>
      </c>
      <c r="I687" s="31" t="e">
        <v>#N/A</v>
      </c>
      <c r="J687" s="15">
        <v>1.0</v>
      </c>
    </row>
    <row r="688">
      <c r="A688" s="11">
        <v>46144.71651626157</v>
      </c>
      <c r="B688" s="9" t="s">
        <v>253</v>
      </c>
      <c r="C688" s="9" t="s">
        <v>393</v>
      </c>
      <c r="D688" s="9" t="s">
        <v>19</v>
      </c>
      <c r="E688" s="14"/>
      <c r="F688" s="15">
        <v>1.0</v>
      </c>
      <c r="G688" s="37" t="s">
        <v>65</v>
      </c>
      <c r="H688" s="31" t="e">
        <v>#N/A</v>
      </c>
      <c r="I688" s="31" t="e">
        <v>#N/A</v>
      </c>
      <c r="J688" s="15">
        <v>1.0</v>
      </c>
    </row>
    <row r="689">
      <c r="A689" s="11">
        <v>46144.720487071754</v>
      </c>
      <c r="B689" s="9" t="s">
        <v>229</v>
      </c>
      <c r="C689" s="9" t="s">
        <v>89</v>
      </c>
      <c r="D689" s="37" t="s">
        <v>57</v>
      </c>
      <c r="E689" s="14"/>
      <c r="F689" s="15">
        <v>1.0</v>
      </c>
      <c r="G689" s="37" t="s">
        <v>65</v>
      </c>
      <c r="H689" s="31" t="e">
        <v>#N/A</v>
      </c>
      <c r="I689" s="31" t="e">
        <v>#N/A</v>
      </c>
      <c r="J689" s="15">
        <v>1.0</v>
      </c>
    </row>
    <row r="690">
      <c r="A690" s="11">
        <v>46144.7218271875</v>
      </c>
      <c r="B690" s="9" t="s">
        <v>288</v>
      </c>
      <c r="C690" s="9" t="s">
        <v>174</v>
      </c>
      <c r="D690" s="37" t="s">
        <v>57</v>
      </c>
      <c r="E690" s="14"/>
      <c r="F690" s="15">
        <v>1.0</v>
      </c>
      <c r="G690" s="37" t="s">
        <v>65</v>
      </c>
      <c r="H690" s="31" t="e">
        <v>#N/A</v>
      </c>
      <c r="I690" s="31" t="e">
        <v>#N/A</v>
      </c>
      <c r="J690" s="15">
        <v>1.0</v>
      </c>
    </row>
    <row r="691">
      <c r="A691" s="11">
        <v>46144.73186233796</v>
      </c>
      <c r="B691" s="9" t="s">
        <v>132</v>
      </c>
      <c r="C691" s="9" t="s">
        <v>409</v>
      </c>
      <c r="D691" s="9" t="s">
        <v>19</v>
      </c>
      <c r="E691" s="14"/>
      <c r="F691" s="15">
        <v>1.0</v>
      </c>
      <c r="G691" s="37" t="s">
        <v>65</v>
      </c>
      <c r="H691" s="31" t="e">
        <v>#N/A</v>
      </c>
      <c r="I691" s="31" t="e">
        <v>#N/A</v>
      </c>
      <c r="J691" s="15">
        <v>1.0</v>
      </c>
    </row>
    <row r="692">
      <c r="A692" s="11">
        <v>46144.737710625</v>
      </c>
      <c r="B692" s="9" t="s">
        <v>253</v>
      </c>
      <c r="C692" s="9" t="s">
        <v>250</v>
      </c>
      <c r="D692" s="37" t="s">
        <v>57</v>
      </c>
      <c r="E692" s="14"/>
      <c r="F692" s="15">
        <v>1.0</v>
      </c>
      <c r="G692" s="37" t="s">
        <v>65</v>
      </c>
      <c r="H692" s="31" t="e">
        <v>#N/A</v>
      </c>
      <c r="I692" s="31" t="e">
        <v>#N/A</v>
      </c>
      <c r="J692" s="15">
        <v>1.0</v>
      </c>
    </row>
    <row r="693">
      <c r="A693" s="11">
        <v>46144.73799923611</v>
      </c>
      <c r="B693" s="9" t="s">
        <v>89</v>
      </c>
      <c r="C693" s="9" t="s">
        <v>393</v>
      </c>
      <c r="D693" s="9" t="s">
        <v>19</v>
      </c>
      <c r="E693" s="54" t="s">
        <v>122</v>
      </c>
      <c r="F693" s="15">
        <v>1.0</v>
      </c>
      <c r="G693" s="37" t="s">
        <v>65</v>
      </c>
      <c r="H693" s="31" t="e">
        <v>#N/A</v>
      </c>
      <c r="I693" s="31" t="e">
        <v>#N/A</v>
      </c>
      <c r="J693" s="15">
        <v>1.0</v>
      </c>
    </row>
    <row r="694">
      <c r="A694" s="11">
        <v>46144.74107127315</v>
      </c>
      <c r="B694" s="9" t="s">
        <v>229</v>
      </c>
      <c r="C694" s="9" t="s">
        <v>64</v>
      </c>
      <c r="D694" s="37" t="s">
        <v>57</v>
      </c>
      <c r="E694" s="14"/>
      <c r="F694" s="15">
        <v>1.0</v>
      </c>
      <c r="G694" s="37" t="s">
        <v>65</v>
      </c>
      <c r="H694" s="31" t="e">
        <v>#N/A</v>
      </c>
      <c r="I694" s="31" t="e">
        <v>#N/A</v>
      </c>
      <c r="J694" s="15">
        <v>1.0</v>
      </c>
    </row>
    <row r="695">
      <c r="A695" s="11">
        <v>46144.76083230324</v>
      </c>
      <c r="B695" s="9" t="s">
        <v>132</v>
      </c>
      <c r="C695" s="9" t="s">
        <v>393</v>
      </c>
      <c r="D695" s="37" t="s">
        <v>57</v>
      </c>
      <c r="E695" s="14"/>
      <c r="F695" s="15">
        <v>1.0</v>
      </c>
      <c r="G695" s="37" t="s">
        <v>65</v>
      </c>
      <c r="H695" s="31" t="e">
        <v>#N/A</v>
      </c>
      <c r="I695" s="31" t="e">
        <v>#N/A</v>
      </c>
      <c r="J695" s="15">
        <v>1.0</v>
      </c>
    </row>
    <row r="696">
      <c r="A696" s="11">
        <v>46144.773234328706</v>
      </c>
      <c r="B696" s="9" t="s">
        <v>229</v>
      </c>
      <c r="C696" s="9" t="s">
        <v>248</v>
      </c>
      <c r="D696" s="9" t="s">
        <v>19</v>
      </c>
      <c r="E696" s="14"/>
      <c r="F696" s="15">
        <v>1.0</v>
      </c>
      <c r="G696" s="37" t="s">
        <v>65</v>
      </c>
      <c r="H696" s="31" t="e">
        <v>#N/A</v>
      </c>
      <c r="I696" s="31" t="e">
        <v>#N/A</v>
      </c>
      <c r="J696" s="15">
        <v>1.0</v>
      </c>
    </row>
    <row r="697">
      <c r="A697" s="11">
        <v>46144.77744421296</v>
      </c>
      <c r="B697" s="9" t="s">
        <v>187</v>
      </c>
      <c r="C697" s="9" t="s">
        <v>302</v>
      </c>
      <c r="D697" s="37" t="s">
        <v>57</v>
      </c>
      <c r="E697" s="14"/>
      <c r="F697" s="15">
        <v>1.0</v>
      </c>
      <c r="G697" s="37" t="s">
        <v>65</v>
      </c>
      <c r="H697" s="31" t="e">
        <v>#N/A</v>
      </c>
      <c r="I697" s="31" t="e">
        <v>#N/A</v>
      </c>
      <c r="J697" s="15">
        <v>1.0</v>
      </c>
    </row>
    <row r="698">
      <c r="A698" s="11">
        <v>46144.77859378472</v>
      </c>
      <c r="B698" s="9" t="s">
        <v>132</v>
      </c>
      <c r="C698" s="9" t="s">
        <v>219</v>
      </c>
      <c r="D698" s="9" t="s">
        <v>19</v>
      </c>
      <c r="E698" s="14"/>
      <c r="F698" s="15">
        <v>1.0</v>
      </c>
      <c r="G698" s="37" t="s">
        <v>65</v>
      </c>
      <c r="H698" s="31" t="e">
        <v>#N/A</v>
      </c>
      <c r="I698" s="31" t="e">
        <v>#N/A</v>
      </c>
      <c r="J698" s="15">
        <v>1.0</v>
      </c>
    </row>
    <row r="699">
      <c r="A699" s="11">
        <v>46144.78300457176</v>
      </c>
      <c r="B699" s="9" t="s">
        <v>393</v>
      </c>
      <c r="C699" s="9" t="s">
        <v>128</v>
      </c>
      <c r="D699" s="9" t="s">
        <v>19</v>
      </c>
      <c r="E699" s="54" t="s">
        <v>140</v>
      </c>
      <c r="F699" s="15">
        <v>1.0</v>
      </c>
      <c r="G699" s="37" t="s">
        <v>65</v>
      </c>
      <c r="H699" s="31" t="e">
        <v>#N/A</v>
      </c>
      <c r="I699" s="31" t="e">
        <v>#N/A</v>
      </c>
      <c r="J699" s="15">
        <v>1.0</v>
      </c>
    </row>
    <row r="700">
      <c r="A700" s="11">
        <v>46144.799423495366</v>
      </c>
      <c r="B700" s="9" t="s">
        <v>378</v>
      </c>
      <c r="C700" s="9" t="s">
        <v>134</v>
      </c>
      <c r="D700" s="9" t="s">
        <v>19</v>
      </c>
      <c r="E700" s="14"/>
      <c r="F700" s="15">
        <v>1.0</v>
      </c>
      <c r="G700" s="37" t="s">
        <v>65</v>
      </c>
      <c r="H700" s="31" t="e">
        <v>#N/A</v>
      </c>
      <c r="I700" s="31" t="e">
        <v>#N/A</v>
      </c>
      <c r="J700" s="15">
        <v>1.0</v>
      </c>
    </row>
    <row r="701">
      <c r="A701" s="11">
        <v>46144.80151070602</v>
      </c>
      <c r="B701" s="9" t="s">
        <v>278</v>
      </c>
      <c r="C701" s="9" t="s">
        <v>132</v>
      </c>
      <c r="D701" s="9" t="s">
        <v>19</v>
      </c>
      <c r="E701" s="54" t="s">
        <v>441</v>
      </c>
      <c r="F701" s="15">
        <v>1.0</v>
      </c>
      <c r="G701" s="37" t="s">
        <v>65</v>
      </c>
      <c r="H701" s="31" t="e">
        <v>#N/A</v>
      </c>
      <c r="I701" s="31" t="e">
        <v>#N/A</v>
      </c>
      <c r="J701" s="15">
        <v>1.0</v>
      </c>
    </row>
    <row r="702">
      <c r="A702" s="11">
        <v>46144.808967743054</v>
      </c>
      <c r="B702" s="9" t="s">
        <v>219</v>
      </c>
      <c r="C702" s="9" t="s">
        <v>302</v>
      </c>
      <c r="D702" s="37" t="s">
        <v>57</v>
      </c>
      <c r="E702" s="54" t="s">
        <v>442</v>
      </c>
      <c r="F702" s="15">
        <v>1.0</v>
      </c>
      <c r="G702" s="37" t="s">
        <v>65</v>
      </c>
      <c r="H702" s="31" t="e">
        <v>#N/A</v>
      </c>
      <c r="I702" s="31" t="e">
        <v>#N/A</v>
      </c>
      <c r="J702" s="15">
        <v>1.0</v>
      </c>
    </row>
    <row r="703">
      <c r="A703" s="11">
        <v>46144.8320837963</v>
      </c>
      <c r="B703" s="9" t="s">
        <v>271</v>
      </c>
      <c r="C703" s="9" t="s">
        <v>96</v>
      </c>
      <c r="D703" s="9" t="s">
        <v>19</v>
      </c>
      <c r="E703" s="54" t="s">
        <v>140</v>
      </c>
      <c r="F703" s="15">
        <v>1.0</v>
      </c>
      <c r="G703" s="37" t="s">
        <v>65</v>
      </c>
      <c r="H703" s="31" t="e">
        <v>#N/A</v>
      </c>
      <c r="I703" s="31" t="e">
        <v>#N/A</v>
      </c>
      <c r="J703" s="15">
        <v>1.0</v>
      </c>
    </row>
    <row r="704">
      <c r="A704" s="11">
        <v>46144.861551180555</v>
      </c>
      <c r="B704" s="9" t="s">
        <v>261</v>
      </c>
      <c r="C704" s="9" t="s">
        <v>271</v>
      </c>
      <c r="D704" s="9" t="s">
        <v>19</v>
      </c>
      <c r="E704" s="14"/>
      <c r="F704" s="15">
        <v>1.0</v>
      </c>
      <c r="G704" s="37" t="s">
        <v>65</v>
      </c>
      <c r="H704" s="31" t="e">
        <v>#N/A</v>
      </c>
      <c r="I704" s="31" t="e">
        <v>#N/A</v>
      </c>
      <c r="J704" s="15">
        <v>1.0</v>
      </c>
    </row>
    <row r="705">
      <c r="A705" s="11">
        <v>46144.86784877315</v>
      </c>
      <c r="B705" s="9" t="s">
        <v>296</v>
      </c>
      <c r="C705" s="9" t="s">
        <v>379</v>
      </c>
      <c r="D705" s="9" t="s">
        <v>19</v>
      </c>
      <c r="E705" s="14"/>
      <c r="F705" s="15">
        <v>1.0</v>
      </c>
      <c r="G705" s="37" t="s">
        <v>65</v>
      </c>
      <c r="H705" s="31" t="e">
        <v>#N/A</v>
      </c>
      <c r="I705" s="31" t="e">
        <v>#N/A</v>
      </c>
      <c r="J705" s="15">
        <v>1.0</v>
      </c>
    </row>
    <row r="706">
      <c r="A706" s="11">
        <v>46144.86839564815</v>
      </c>
      <c r="B706" s="9" t="s">
        <v>342</v>
      </c>
      <c r="C706" s="9" t="s">
        <v>128</v>
      </c>
      <c r="D706" s="9" t="s">
        <v>19</v>
      </c>
      <c r="E706" s="14"/>
      <c r="F706" s="15">
        <v>1.0</v>
      </c>
      <c r="G706" s="37" t="s">
        <v>65</v>
      </c>
      <c r="H706" s="31" t="e">
        <v>#N/A</v>
      </c>
      <c r="I706" s="31" t="e">
        <v>#N/A</v>
      </c>
      <c r="J706" s="15">
        <v>1.0</v>
      </c>
    </row>
    <row r="707">
      <c r="A707" s="11">
        <v>46144.8858540625</v>
      </c>
      <c r="B707" s="9" t="s">
        <v>101</v>
      </c>
      <c r="C707" s="9" t="s">
        <v>181</v>
      </c>
      <c r="D707" s="9" t="s">
        <v>19</v>
      </c>
      <c r="E707" s="14"/>
      <c r="F707" s="15">
        <v>1.0</v>
      </c>
      <c r="G707" s="37" t="s">
        <v>65</v>
      </c>
      <c r="H707" s="31" t="e">
        <v>#N/A</v>
      </c>
      <c r="I707" s="31" t="e">
        <v>#N/A</v>
      </c>
      <c r="J707" s="15">
        <v>1.0</v>
      </c>
    </row>
    <row r="708">
      <c r="A708" s="11">
        <v>46144.897977615736</v>
      </c>
      <c r="B708" s="9" t="s">
        <v>110</v>
      </c>
      <c r="C708" s="9" t="s">
        <v>379</v>
      </c>
      <c r="D708" s="9" t="s">
        <v>19</v>
      </c>
      <c r="E708" s="14"/>
      <c r="F708" s="15">
        <v>1.0</v>
      </c>
      <c r="G708" s="37" t="s">
        <v>65</v>
      </c>
      <c r="H708" s="31" t="e">
        <v>#N/A</v>
      </c>
      <c r="I708" s="31" t="e">
        <v>#N/A</v>
      </c>
      <c r="J708" s="15">
        <v>1.0</v>
      </c>
    </row>
    <row r="709">
      <c r="A709" s="11">
        <v>46144.90371297454</v>
      </c>
      <c r="B709" s="9" t="s">
        <v>296</v>
      </c>
      <c r="C709" s="9" t="s">
        <v>128</v>
      </c>
      <c r="D709" s="37" t="s">
        <v>57</v>
      </c>
      <c r="E709" s="14"/>
      <c r="F709" s="15">
        <v>1.0</v>
      </c>
      <c r="G709" s="37" t="s">
        <v>65</v>
      </c>
      <c r="H709" s="31" t="e">
        <v>#N/A</v>
      </c>
      <c r="I709" s="31" t="e">
        <v>#N/A</v>
      </c>
      <c r="J709" s="15">
        <v>1.0</v>
      </c>
    </row>
    <row r="710">
      <c r="A710" s="11">
        <v>46144.91207519676</v>
      </c>
      <c r="B710" s="9" t="s">
        <v>261</v>
      </c>
      <c r="C710" s="9" t="s">
        <v>154</v>
      </c>
      <c r="D710" s="37" t="s">
        <v>57</v>
      </c>
      <c r="E710" s="14"/>
      <c r="F710" s="15">
        <v>1.0</v>
      </c>
      <c r="G710" s="37" t="s">
        <v>65</v>
      </c>
      <c r="H710" s="31" t="e">
        <v>#N/A</v>
      </c>
      <c r="I710" s="31" t="e">
        <v>#N/A</v>
      </c>
      <c r="J710" s="15">
        <v>1.0</v>
      </c>
    </row>
    <row r="711">
      <c r="A711" s="11">
        <v>46144.92647023148</v>
      </c>
      <c r="B711" s="9" t="s">
        <v>279</v>
      </c>
      <c r="C711" s="9" t="s">
        <v>181</v>
      </c>
      <c r="D711" s="37" t="s">
        <v>57</v>
      </c>
      <c r="E711" s="14"/>
      <c r="F711" s="15">
        <v>1.0</v>
      </c>
      <c r="G711" s="37" t="s">
        <v>65</v>
      </c>
      <c r="H711" s="31" t="e">
        <v>#N/A</v>
      </c>
      <c r="I711" s="31" t="e">
        <v>#N/A</v>
      </c>
      <c r="J711" s="15">
        <v>1.0</v>
      </c>
    </row>
    <row r="712">
      <c r="A712" s="11">
        <v>46144.928871550925</v>
      </c>
      <c r="B712" s="9" t="s">
        <v>342</v>
      </c>
      <c r="C712" s="9" t="s">
        <v>318</v>
      </c>
      <c r="D712" s="9" t="s">
        <v>19</v>
      </c>
      <c r="E712" s="14"/>
      <c r="F712" s="15">
        <v>1.0</v>
      </c>
      <c r="G712" s="37" t="s">
        <v>65</v>
      </c>
      <c r="H712" s="31" t="e">
        <v>#N/A</v>
      </c>
      <c r="I712" s="31" t="e">
        <v>#N/A</v>
      </c>
      <c r="J712" s="15">
        <v>1.0</v>
      </c>
    </row>
    <row r="713">
      <c r="A713" s="11">
        <v>46144.93136596065</v>
      </c>
      <c r="B713" s="9" t="s">
        <v>376</v>
      </c>
      <c r="C713" s="9" t="s">
        <v>257</v>
      </c>
      <c r="D713" s="37" t="s">
        <v>57</v>
      </c>
      <c r="E713" s="14"/>
      <c r="F713" s="15">
        <v>1.0</v>
      </c>
      <c r="G713" s="37" t="s">
        <v>65</v>
      </c>
      <c r="H713" s="31" t="e">
        <v>#N/A</v>
      </c>
      <c r="I713" s="31" t="e">
        <v>#N/A</v>
      </c>
      <c r="J713" s="15">
        <v>1.0</v>
      </c>
    </row>
    <row r="714">
      <c r="A714" s="11">
        <v>46144.9546380324</v>
      </c>
      <c r="B714" s="9" t="s">
        <v>182</v>
      </c>
      <c r="C714" s="9" t="s">
        <v>345</v>
      </c>
      <c r="D714" s="37" t="s">
        <v>57</v>
      </c>
      <c r="E714" s="14"/>
      <c r="F714" s="15">
        <v>1.0</v>
      </c>
      <c r="G714" s="37" t="s">
        <v>65</v>
      </c>
      <c r="H714" s="31" t="e">
        <v>#N/A</v>
      </c>
      <c r="I714" s="31" t="e">
        <v>#N/A</v>
      </c>
      <c r="J714" s="15">
        <v>1.0</v>
      </c>
    </row>
    <row r="715">
      <c r="A715" s="11">
        <v>46144.95467315972</v>
      </c>
      <c r="B715" s="9" t="s">
        <v>253</v>
      </c>
      <c r="C715" s="9" t="s">
        <v>279</v>
      </c>
      <c r="D715" s="37" t="s">
        <v>57</v>
      </c>
      <c r="E715" s="14"/>
      <c r="F715" s="15">
        <v>1.0</v>
      </c>
      <c r="G715" s="37" t="s">
        <v>65</v>
      </c>
      <c r="H715" s="31" t="e">
        <v>#N/A</v>
      </c>
      <c r="I715" s="31" t="e">
        <v>#N/A</v>
      </c>
      <c r="J715" s="15">
        <v>1.0</v>
      </c>
    </row>
    <row r="716">
      <c r="A716" s="11">
        <v>46144.971083599536</v>
      </c>
      <c r="B716" s="9" t="s">
        <v>191</v>
      </c>
      <c r="C716" s="9" t="s">
        <v>359</v>
      </c>
      <c r="D716" s="9" t="s">
        <v>19</v>
      </c>
      <c r="E716" s="14"/>
      <c r="F716" s="15">
        <v>1.0</v>
      </c>
      <c r="G716" s="37" t="s">
        <v>65</v>
      </c>
      <c r="H716" s="31" t="e">
        <v>#N/A</v>
      </c>
      <c r="I716" s="31" t="e">
        <v>#N/A</v>
      </c>
      <c r="J716" s="15">
        <v>1.0</v>
      </c>
    </row>
    <row r="717">
      <c r="A717" s="11">
        <v>46144.977519988424</v>
      </c>
      <c r="B717" s="9" t="s">
        <v>214</v>
      </c>
      <c r="C717" s="9" t="s">
        <v>150</v>
      </c>
      <c r="D717" s="9" t="s">
        <v>19</v>
      </c>
      <c r="E717" s="14"/>
      <c r="F717" s="15">
        <v>1.0</v>
      </c>
      <c r="G717" s="37" t="s">
        <v>65</v>
      </c>
      <c r="H717" s="31" t="e">
        <v>#N/A</v>
      </c>
      <c r="I717" s="31" t="e">
        <v>#N/A</v>
      </c>
      <c r="J717" s="15">
        <v>1.0</v>
      </c>
    </row>
    <row r="718">
      <c r="A718" s="11">
        <v>46144.98661280093</v>
      </c>
      <c r="B718" s="9" t="s">
        <v>274</v>
      </c>
      <c r="C718" s="9" t="s">
        <v>166</v>
      </c>
      <c r="D718" s="9" t="s">
        <v>19</v>
      </c>
      <c r="E718" s="14"/>
      <c r="F718" s="15">
        <v>1.0</v>
      </c>
      <c r="G718" s="37" t="s">
        <v>65</v>
      </c>
      <c r="H718" s="31" t="e">
        <v>#N/A</v>
      </c>
      <c r="I718" s="31" t="e">
        <v>#N/A</v>
      </c>
      <c r="J718" s="15">
        <v>1.0</v>
      </c>
    </row>
    <row r="719">
      <c r="A719" s="11">
        <v>46144.98823097222</v>
      </c>
      <c r="B719" s="9" t="s">
        <v>110</v>
      </c>
      <c r="C719" s="9" t="s">
        <v>191</v>
      </c>
      <c r="D719" s="9" t="s">
        <v>19</v>
      </c>
      <c r="E719" s="14"/>
      <c r="F719" s="15">
        <v>1.0</v>
      </c>
      <c r="G719" s="37" t="s">
        <v>65</v>
      </c>
      <c r="H719" s="31" t="e">
        <v>#N/A</v>
      </c>
      <c r="I719" s="31" t="e">
        <v>#N/A</v>
      </c>
      <c r="J719" s="15">
        <v>1.0</v>
      </c>
    </row>
    <row r="720">
      <c r="A720" s="11">
        <v>46144.99170866898</v>
      </c>
      <c r="B720" s="9" t="s">
        <v>301</v>
      </c>
      <c r="C720" s="9" t="s">
        <v>77</v>
      </c>
      <c r="D720" s="9" t="s">
        <v>19</v>
      </c>
      <c r="E720" s="14"/>
      <c r="F720" s="15">
        <v>1.0</v>
      </c>
      <c r="G720" s="37" t="s">
        <v>65</v>
      </c>
      <c r="H720" s="31" t="e">
        <v>#N/A</v>
      </c>
      <c r="I720" s="31" t="e">
        <v>#N/A</v>
      </c>
      <c r="J720" s="15">
        <v>1.0</v>
      </c>
    </row>
    <row r="721">
      <c r="A721" s="11">
        <v>46145.00807027778</v>
      </c>
      <c r="B721" s="9" t="s">
        <v>133</v>
      </c>
      <c r="C721" s="9" t="s">
        <v>191</v>
      </c>
      <c r="D721" s="37" t="s">
        <v>57</v>
      </c>
      <c r="E721" s="14"/>
      <c r="F721" s="15">
        <v>1.0</v>
      </c>
      <c r="G721" s="37" t="s">
        <v>65</v>
      </c>
      <c r="H721" s="31" t="e">
        <v>#N/A</v>
      </c>
      <c r="I721" s="31" t="e">
        <v>#N/A</v>
      </c>
      <c r="J721" s="15">
        <v>1.0</v>
      </c>
    </row>
    <row r="722">
      <c r="A722" s="11">
        <v>46145.00926815972</v>
      </c>
      <c r="B722" s="9" t="s">
        <v>301</v>
      </c>
      <c r="C722" s="9" t="s">
        <v>359</v>
      </c>
      <c r="D722" s="37" t="s">
        <v>57</v>
      </c>
      <c r="E722" s="14"/>
      <c r="F722" s="15">
        <v>1.0</v>
      </c>
      <c r="G722" s="37" t="s">
        <v>65</v>
      </c>
      <c r="H722" s="31" t="e">
        <v>#N/A</v>
      </c>
      <c r="I722" s="31" t="e">
        <v>#N/A</v>
      </c>
      <c r="J722" s="15">
        <v>1.0</v>
      </c>
    </row>
    <row r="723">
      <c r="A723" s="11">
        <v>46145.018424594906</v>
      </c>
      <c r="B723" s="9" t="s">
        <v>296</v>
      </c>
      <c r="C723" s="9" t="s">
        <v>77</v>
      </c>
      <c r="D723" s="9" t="s">
        <v>19</v>
      </c>
      <c r="E723" s="14"/>
      <c r="F723" s="15">
        <v>1.0</v>
      </c>
      <c r="G723" s="37" t="s">
        <v>65</v>
      </c>
      <c r="H723" s="31" t="e">
        <v>#N/A</v>
      </c>
      <c r="I723" s="31" t="e">
        <v>#N/A</v>
      </c>
      <c r="J723" s="15">
        <v>1.0</v>
      </c>
    </row>
    <row r="724">
      <c r="A724" s="11">
        <v>46145.03602965278</v>
      </c>
      <c r="B724" s="9" t="s">
        <v>296</v>
      </c>
      <c r="C724" s="9" t="s">
        <v>75</v>
      </c>
      <c r="D724" s="37" t="s">
        <v>57</v>
      </c>
      <c r="E724" s="14"/>
      <c r="F724" s="15">
        <v>1.0</v>
      </c>
      <c r="G724" s="37" t="s">
        <v>65</v>
      </c>
      <c r="H724" s="31" t="e">
        <v>#N/A</v>
      </c>
      <c r="I724" s="31" t="e">
        <v>#N/A</v>
      </c>
      <c r="J724" s="15">
        <v>1.0</v>
      </c>
    </row>
    <row r="725">
      <c r="A725" s="11">
        <v>46145.045119699076</v>
      </c>
      <c r="B725" s="9" t="s">
        <v>376</v>
      </c>
      <c r="C725" s="9" t="s">
        <v>281</v>
      </c>
      <c r="D725" s="37" t="s">
        <v>57</v>
      </c>
      <c r="E725" s="14"/>
      <c r="F725" s="15">
        <v>1.0</v>
      </c>
      <c r="G725" s="37" t="s">
        <v>65</v>
      </c>
      <c r="H725" s="31" t="e">
        <v>#N/A</v>
      </c>
      <c r="I725" s="31" t="e">
        <v>#N/A</v>
      </c>
      <c r="J725" s="15">
        <v>1.0</v>
      </c>
    </row>
    <row r="726">
      <c r="A726" s="11">
        <v>46145.05854894676</v>
      </c>
      <c r="B726" s="9" t="s">
        <v>104</v>
      </c>
      <c r="C726" s="9" t="s">
        <v>335</v>
      </c>
      <c r="D726" s="9" t="s">
        <v>19</v>
      </c>
      <c r="E726" s="14"/>
      <c r="F726" s="15">
        <v>1.0</v>
      </c>
      <c r="G726" s="37" t="s">
        <v>65</v>
      </c>
      <c r="H726" s="31" t="e">
        <v>#N/A</v>
      </c>
      <c r="I726" s="31" t="e">
        <v>#N/A</v>
      </c>
      <c r="J726" s="15">
        <v>1.0</v>
      </c>
    </row>
    <row r="727">
      <c r="A727" s="11">
        <v>46145.12689170139</v>
      </c>
      <c r="B727" s="9" t="s">
        <v>187</v>
      </c>
      <c r="C727" s="9" t="s">
        <v>104</v>
      </c>
      <c r="D727" s="37" t="s">
        <v>57</v>
      </c>
      <c r="E727" s="54" t="s">
        <v>443</v>
      </c>
      <c r="F727" s="15">
        <v>1.0</v>
      </c>
      <c r="G727" s="37" t="s">
        <v>65</v>
      </c>
      <c r="H727" s="31" t="e">
        <v>#N/A</v>
      </c>
      <c r="I727" s="31" t="e">
        <v>#N/A</v>
      </c>
      <c r="J727" s="15">
        <v>1.0</v>
      </c>
    </row>
    <row r="728">
      <c r="A728" s="11">
        <v>46145.28248710648</v>
      </c>
      <c r="B728" s="9" t="s">
        <v>95</v>
      </c>
      <c r="C728" s="9" t="s">
        <v>75</v>
      </c>
      <c r="D728" s="37" t="s">
        <v>57</v>
      </c>
      <c r="E728" s="14"/>
      <c r="F728" s="15">
        <v>1.0</v>
      </c>
      <c r="G728" s="37" t="s">
        <v>65</v>
      </c>
      <c r="H728" s="31" t="e">
        <v>#N/A</v>
      </c>
      <c r="I728" s="31" t="e">
        <v>#N/A</v>
      </c>
      <c r="J728" s="15">
        <v>1.0</v>
      </c>
    </row>
    <row r="729">
      <c r="A729" s="11">
        <v>46145.308680138885</v>
      </c>
      <c r="B729" s="9" t="s">
        <v>204</v>
      </c>
      <c r="C729" s="9" t="s">
        <v>55</v>
      </c>
      <c r="D729" s="37" t="s">
        <v>57</v>
      </c>
      <c r="E729" s="54" t="s">
        <v>206</v>
      </c>
      <c r="F729" s="15">
        <v>1.0</v>
      </c>
      <c r="G729" s="37" t="s">
        <v>65</v>
      </c>
      <c r="H729" s="31" t="e">
        <v>#N/A</v>
      </c>
      <c r="I729" s="31" t="e">
        <v>#N/A</v>
      </c>
      <c r="J729" s="15">
        <v>1.0</v>
      </c>
    </row>
    <row r="730">
      <c r="A730" s="11">
        <v>46145.30946068287</v>
      </c>
      <c r="B730" s="9" t="s">
        <v>95</v>
      </c>
      <c r="C730" s="9" t="s">
        <v>157</v>
      </c>
      <c r="D730" s="9" t="s">
        <v>19</v>
      </c>
      <c r="E730" s="14"/>
      <c r="F730" s="15">
        <v>1.0</v>
      </c>
      <c r="G730" s="37" t="s">
        <v>65</v>
      </c>
      <c r="H730" s="31" t="e">
        <v>#N/A</v>
      </c>
      <c r="I730" s="31" t="e">
        <v>#N/A</v>
      </c>
      <c r="J730" s="15">
        <v>1.0</v>
      </c>
    </row>
    <row r="731">
      <c r="A731" s="11">
        <v>46145.331826828704</v>
      </c>
      <c r="B731" s="9" t="s">
        <v>204</v>
      </c>
      <c r="C731" s="9" t="s">
        <v>75</v>
      </c>
      <c r="D731" s="37" t="s">
        <v>57</v>
      </c>
      <c r="E731" s="54" t="s">
        <v>206</v>
      </c>
      <c r="F731" s="15">
        <v>1.0</v>
      </c>
      <c r="G731" s="37" t="s">
        <v>65</v>
      </c>
      <c r="H731" s="31" t="e">
        <v>#N/A</v>
      </c>
      <c r="I731" s="31" t="e">
        <v>#N/A</v>
      </c>
      <c r="J731" s="15">
        <v>1.0</v>
      </c>
    </row>
    <row r="732">
      <c r="A732" s="11">
        <v>46145.39980672454</v>
      </c>
      <c r="B732" s="9" t="s">
        <v>166</v>
      </c>
      <c r="C732" s="9" t="s">
        <v>336</v>
      </c>
      <c r="D732" s="37" t="s">
        <v>57</v>
      </c>
      <c r="E732" s="54" t="s">
        <v>122</v>
      </c>
      <c r="F732" s="15">
        <v>1.0</v>
      </c>
      <c r="G732" s="37" t="s">
        <v>65</v>
      </c>
      <c r="H732" s="31" t="e">
        <v>#N/A</v>
      </c>
      <c r="I732" s="31" t="e">
        <v>#N/A</v>
      </c>
      <c r="J732" s="15">
        <v>1.0</v>
      </c>
    </row>
    <row r="733">
      <c r="A733" s="11">
        <v>46145.418539606486</v>
      </c>
      <c r="B733" s="9" t="s">
        <v>94</v>
      </c>
      <c r="C733" s="9" t="s">
        <v>279</v>
      </c>
      <c r="D733" s="37" t="s">
        <v>57</v>
      </c>
      <c r="E733" s="14"/>
      <c r="F733" s="15">
        <v>1.0</v>
      </c>
      <c r="G733" s="37" t="s">
        <v>65</v>
      </c>
      <c r="H733" s="31" t="e">
        <v>#N/A</v>
      </c>
      <c r="I733" s="31" t="e">
        <v>#N/A</v>
      </c>
      <c r="J733" s="15">
        <v>1.0</v>
      </c>
    </row>
    <row r="734">
      <c r="A734" s="11">
        <v>46145.429049259255</v>
      </c>
      <c r="B734" s="9" t="s">
        <v>217</v>
      </c>
      <c r="C734" s="9" t="s">
        <v>208</v>
      </c>
      <c r="D734" s="9" t="s">
        <v>19</v>
      </c>
      <c r="E734" s="14"/>
      <c r="F734" s="15">
        <v>1.0</v>
      </c>
      <c r="G734" s="37" t="s">
        <v>65</v>
      </c>
      <c r="H734" s="31" t="e">
        <v>#N/A</v>
      </c>
      <c r="I734" s="31" t="e">
        <v>#N/A</v>
      </c>
      <c r="J734" s="15">
        <v>1.0</v>
      </c>
    </row>
    <row r="735">
      <c r="A735" s="11">
        <v>46145.43450203704</v>
      </c>
      <c r="B735" s="9" t="s">
        <v>228</v>
      </c>
      <c r="C735" s="9" t="s">
        <v>76</v>
      </c>
      <c r="D735" s="37" t="s">
        <v>57</v>
      </c>
      <c r="E735" s="14"/>
      <c r="F735" s="15">
        <v>1.0</v>
      </c>
      <c r="G735" s="37" t="s">
        <v>65</v>
      </c>
      <c r="H735" s="31" t="e">
        <v>#N/A</v>
      </c>
      <c r="I735" s="31" t="e">
        <v>#N/A</v>
      </c>
      <c r="J735" s="15">
        <v>1.0</v>
      </c>
    </row>
    <row r="736">
      <c r="A736" s="11">
        <v>46145.43902990741</v>
      </c>
      <c r="B736" s="9" t="s">
        <v>261</v>
      </c>
      <c r="C736" s="9" t="s">
        <v>238</v>
      </c>
      <c r="D736" s="9" t="s">
        <v>19</v>
      </c>
      <c r="E736" s="14"/>
      <c r="F736" s="15">
        <v>1.0</v>
      </c>
      <c r="G736" s="37" t="s">
        <v>65</v>
      </c>
      <c r="H736" s="31" t="e">
        <v>#N/A</v>
      </c>
      <c r="I736" s="31" t="e">
        <v>#N/A</v>
      </c>
      <c r="J736" s="15">
        <v>1.0</v>
      </c>
    </row>
    <row r="737">
      <c r="A737" s="11">
        <v>46145.44721953703</v>
      </c>
      <c r="B737" s="9" t="s">
        <v>92</v>
      </c>
      <c r="C737" s="9" t="s">
        <v>274</v>
      </c>
      <c r="D737" s="37" t="s">
        <v>57</v>
      </c>
      <c r="E737" s="14"/>
      <c r="F737" s="15">
        <v>1.0</v>
      </c>
      <c r="G737" s="37" t="s">
        <v>65</v>
      </c>
      <c r="H737" s="31" t="e">
        <v>#N/A</v>
      </c>
      <c r="I737" s="31" t="e">
        <v>#N/A</v>
      </c>
      <c r="J737" s="15">
        <v>1.0</v>
      </c>
    </row>
    <row r="738">
      <c r="A738" s="11">
        <v>46145.45248583333</v>
      </c>
      <c r="B738" s="9" t="s">
        <v>250</v>
      </c>
      <c r="C738" s="9" t="s">
        <v>279</v>
      </c>
      <c r="D738" s="37" t="s">
        <v>57</v>
      </c>
      <c r="E738" s="14"/>
      <c r="F738" s="15">
        <v>1.0</v>
      </c>
      <c r="G738" s="37" t="s">
        <v>65</v>
      </c>
      <c r="H738" s="31" t="e">
        <v>#N/A</v>
      </c>
      <c r="I738" s="31" t="e">
        <v>#N/A</v>
      </c>
      <c r="J738" s="15">
        <v>1.0</v>
      </c>
    </row>
    <row r="739">
      <c r="A739" s="11">
        <v>46145.4651925463</v>
      </c>
      <c r="B739" s="9" t="s">
        <v>76</v>
      </c>
      <c r="C739" s="9" t="s">
        <v>208</v>
      </c>
      <c r="D739" s="37" t="s">
        <v>57</v>
      </c>
      <c r="E739" s="14"/>
      <c r="F739" s="15">
        <v>1.0</v>
      </c>
      <c r="G739" s="37" t="s">
        <v>65</v>
      </c>
      <c r="H739" s="31" t="e">
        <v>#N/A</v>
      </c>
      <c r="I739" s="31" t="e">
        <v>#N/A</v>
      </c>
      <c r="J739" s="15">
        <v>1.0</v>
      </c>
    </row>
    <row r="740">
      <c r="A740" s="11">
        <v>46145.48052710648</v>
      </c>
      <c r="B740" s="9" t="s">
        <v>76</v>
      </c>
      <c r="C740" s="9" t="s">
        <v>250</v>
      </c>
      <c r="D740" s="37" t="s">
        <v>57</v>
      </c>
      <c r="E740" s="14"/>
      <c r="F740" s="15">
        <v>1.0</v>
      </c>
      <c r="G740" s="37" t="s">
        <v>65</v>
      </c>
      <c r="H740" s="31" t="e">
        <v>#N/A</v>
      </c>
      <c r="I740" s="31" t="e">
        <v>#N/A</v>
      </c>
      <c r="J740" s="15">
        <v>1.0</v>
      </c>
    </row>
    <row r="741">
      <c r="A741" s="11">
        <v>46145.48281598379</v>
      </c>
      <c r="B741" s="9" t="s">
        <v>261</v>
      </c>
      <c r="C741" s="9" t="s">
        <v>279</v>
      </c>
      <c r="D741" s="37" t="s">
        <v>57</v>
      </c>
      <c r="E741" s="14"/>
      <c r="F741" s="15">
        <v>1.0</v>
      </c>
      <c r="G741" s="37" t="s">
        <v>65</v>
      </c>
      <c r="H741" s="31" t="e">
        <v>#N/A</v>
      </c>
      <c r="I741" s="31" t="e">
        <v>#N/A</v>
      </c>
      <c r="J741" s="15">
        <v>1.0</v>
      </c>
    </row>
    <row r="742">
      <c r="A742" s="11">
        <v>46145.4917165625</v>
      </c>
      <c r="B742" s="9" t="s">
        <v>231</v>
      </c>
      <c r="C742" s="9" t="s">
        <v>92</v>
      </c>
      <c r="D742" s="37" t="s">
        <v>57</v>
      </c>
      <c r="E742" s="14"/>
      <c r="F742" s="15">
        <v>1.0</v>
      </c>
      <c r="G742" s="37" t="s">
        <v>65</v>
      </c>
      <c r="H742" s="31" t="e">
        <v>#N/A</v>
      </c>
      <c r="I742" s="31" t="e">
        <v>#N/A</v>
      </c>
      <c r="J742" s="15">
        <v>1.0</v>
      </c>
    </row>
    <row r="743">
      <c r="A743" s="11">
        <v>46145.49616487269</v>
      </c>
      <c r="B743" s="9" t="s">
        <v>228</v>
      </c>
      <c r="C743" s="9" t="s">
        <v>290</v>
      </c>
      <c r="D743" s="9" t="s">
        <v>19</v>
      </c>
      <c r="E743" s="14"/>
      <c r="F743" s="15">
        <v>1.0</v>
      </c>
      <c r="G743" s="37" t="s">
        <v>65</v>
      </c>
      <c r="H743" s="31" t="e">
        <v>#N/A</v>
      </c>
      <c r="I743" s="31" t="e">
        <v>#N/A</v>
      </c>
      <c r="J743" s="15">
        <v>1.0</v>
      </c>
    </row>
    <row r="744">
      <c r="A744" s="11">
        <v>46145.50260319444</v>
      </c>
      <c r="B744" s="9" t="s">
        <v>261</v>
      </c>
      <c r="C744" s="9" t="s">
        <v>202</v>
      </c>
      <c r="D744" s="37" t="s">
        <v>57</v>
      </c>
      <c r="E744" s="14"/>
      <c r="F744" s="15">
        <v>1.0</v>
      </c>
      <c r="G744" s="37" t="s">
        <v>65</v>
      </c>
      <c r="H744" s="31" t="e">
        <v>#N/A</v>
      </c>
      <c r="I744" s="31" t="e">
        <v>#N/A</v>
      </c>
      <c r="J744" s="15">
        <v>1.0</v>
      </c>
    </row>
    <row r="745">
      <c r="A745" s="11">
        <v>46145.51062143518</v>
      </c>
      <c r="B745" s="9" t="s">
        <v>208</v>
      </c>
      <c r="C745" s="9" t="s">
        <v>123</v>
      </c>
      <c r="D745" s="37" t="s">
        <v>57</v>
      </c>
      <c r="E745" s="14"/>
      <c r="F745" s="15">
        <v>1.0</v>
      </c>
      <c r="G745" s="37" t="s">
        <v>65</v>
      </c>
      <c r="H745" s="31" t="e">
        <v>#N/A</v>
      </c>
      <c r="I745" s="31" t="e">
        <v>#N/A</v>
      </c>
      <c r="J745" s="15">
        <v>1.0</v>
      </c>
    </row>
    <row r="746">
      <c r="A746" s="11">
        <v>46145.511743668976</v>
      </c>
      <c r="B746" s="9" t="s">
        <v>379</v>
      </c>
      <c r="C746" s="9" t="s">
        <v>258</v>
      </c>
      <c r="D746" s="9" t="s">
        <v>19</v>
      </c>
      <c r="E746" s="54" t="s">
        <v>112</v>
      </c>
      <c r="F746" s="15">
        <v>1.0</v>
      </c>
      <c r="G746" s="37" t="s">
        <v>65</v>
      </c>
      <c r="H746" s="31" t="e">
        <v>#N/A</v>
      </c>
      <c r="I746" s="31" t="e">
        <v>#N/A</v>
      </c>
      <c r="J746" s="15">
        <v>1.0</v>
      </c>
    </row>
    <row r="747">
      <c r="A747" s="11">
        <v>46145.54171607639</v>
      </c>
      <c r="B747" s="9" t="s">
        <v>228</v>
      </c>
      <c r="C747" s="9" t="s">
        <v>231</v>
      </c>
      <c r="D747" s="37" t="s">
        <v>57</v>
      </c>
      <c r="E747" s="54" t="s">
        <v>444</v>
      </c>
      <c r="F747" s="15">
        <v>1.0</v>
      </c>
      <c r="G747" s="37" t="s">
        <v>65</v>
      </c>
      <c r="H747" s="31" t="e">
        <v>#N/A</v>
      </c>
      <c r="I747" s="31" t="e">
        <v>#N/A</v>
      </c>
      <c r="J747" s="15">
        <v>1.0</v>
      </c>
    </row>
    <row r="748">
      <c r="A748" s="11">
        <v>46145.54856930555</v>
      </c>
      <c r="B748" s="9" t="s">
        <v>379</v>
      </c>
      <c r="C748" s="9" t="s">
        <v>331</v>
      </c>
      <c r="D748" s="37" t="s">
        <v>57</v>
      </c>
      <c r="E748" s="54" t="s">
        <v>176</v>
      </c>
      <c r="F748" s="15">
        <v>1.0</v>
      </c>
      <c r="G748" s="37" t="s">
        <v>65</v>
      </c>
      <c r="H748" s="31" t="e">
        <v>#N/A</v>
      </c>
      <c r="I748" s="31" t="e">
        <v>#N/A</v>
      </c>
      <c r="J748" s="15">
        <v>1.0</v>
      </c>
    </row>
    <row r="749">
      <c r="A749" s="11">
        <v>46145.566533703706</v>
      </c>
      <c r="B749" s="9" t="s">
        <v>202</v>
      </c>
      <c r="C749" s="9" t="s">
        <v>290</v>
      </c>
      <c r="D749" s="37" t="s">
        <v>57</v>
      </c>
      <c r="E749" s="54" t="s">
        <v>207</v>
      </c>
      <c r="F749" s="15">
        <v>1.0</v>
      </c>
      <c r="G749" s="37" t="s">
        <v>65</v>
      </c>
      <c r="H749" s="31" t="e">
        <v>#N/A</v>
      </c>
      <c r="I749" s="31" t="e">
        <v>#N/A</v>
      </c>
      <c r="J749" s="15">
        <v>1.0</v>
      </c>
    </row>
    <row r="750">
      <c r="A750" s="11">
        <v>46145.5677028125</v>
      </c>
      <c r="B750" s="9" t="s">
        <v>348</v>
      </c>
      <c r="C750" s="9" t="s">
        <v>95</v>
      </c>
      <c r="D750" s="9" t="s">
        <v>19</v>
      </c>
      <c r="E750" s="14"/>
      <c r="F750" s="15">
        <v>1.0</v>
      </c>
      <c r="G750" s="37" t="s">
        <v>65</v>
      </c>
      <c r="H750" s="31" t="e">
        <v>#N/A</v>
      </c>
      <c r="I750" s="31" t="e">
        <v>#N/A</v>
      </c>
      <c r="J750" s="15">
        <v>1.0</v>
      </c>
    </row>
    <row r="751">
      <c r="A751" s="11">
        <v>46145.57487939815</v>
      </c>
      <c r="B751" s="9" t="s">
        <v>76</v>
      </c>
      <c r="C751" s="9" t="s">
        <v>231</v>
      </c>
      <c r="D751" s="37" t="s">
        <v>57</v>
      </c>
      <c r="E751" s="14"/>
      <c r="F751" s="15">
        <v>1.0</v>
      </c>
      <c r="G751" s="37" t="s">
        <v>65</v>
      </c>
      <c r="H751" s="31" t="e">
        <v>#N/A</v>
      </c>
      <c r="I751" s="31" t="e">
        <v>#N/A</v>
      </c>
      <c r="J751" s="15">
        <v>1.0</v>
      </c>
    </row>
    <row r="752">
      <c r="A752" s="11">
        <v>46145.586457418976</v>
      </c>
      <c r="B752" s="9" t="s">
        <v>333</v>
      </c>
      <c r="C752" s="9" t="s">
        <v>348</v>
      </c>
      <c r="D752" s="9" t="s">
        <v>19</v>
      </c>
      <c r="E752" s="14"/>
      <c r="F752" s="15">
        <v>1.0</v>
      </c>
      <c r="G752" s="37" t="s">
        <v>65</v>
      </c>
      <c r="H752" s="31" t="e">
        <v>#N/A</v>
      </c>
      <c r="I752" s="31" t="e">
        <v>#N/A</v>
      </c>
      <c r="J752" s="15">
        <v>1.0</v>
      </c>
    </row>
    <row r="753">
      <c r="A753" s="11">
        <v>46145.59820179398</v>
      </c>
      <c r="B753" s="9" t="s">
        <v>224</v>
      </c>
      <c r="C753" s="9" t="s">
        <v>343</v>
      </c>
      <c r="D753" s="9" t="s">
        <v>19</v>
      </c>
      <c r="E753" s="14"/>
      <c r="F753" s="15">
        <v>1.0</v>
      </c>
      <c r="G753" s="37" t="s">
        <v>65</v>
      </c>
      <c r="H753" s="31" t="e">
        <v>#N/A</v>
      </c>
      <c r="I753" s="31" t="e">
        <v>#N/A</v>
      </c>
      <c r="J753" s="15">
        <v>1.0</v>
      </c>
    </row>
    <row r="754">
      <c r="A754" s="11">
        <v>46145.60633059028</v>
      </c>
      <c r="B754" s="9" t="s">
        <v>228</v>
      </c>
      <c r="C754" s="9" t="s">
        <v>168</v>
      </c>
      <c r="D754" s="9" t="s">
        <v>19</v>
      </c>
      <c r="E754" s="14"/>
      <c r="F754" s="15">
        <v>1.0</v>
      </c>
      <c r="G754" s="37" t="s">
        <v>65</v>
      </c>
      <c r="H754" s="31" t="e">
        <v>#N/A</v>
      </c>
      <c r="I754" s="31" t="e">
        <v>#N/A</v>
      </c>
      <c r="J754" s="15">
        <v>1.0</v>
      </c>
    </row>
    <row r="755">
      <c r="A755" s="11">
        <v>46145.61196944445</v>
      </c>
      <c r="B755" s="9" t="s">
        <v>166</v>
      </c>
      <c r="C755" s="9" t="s">
        <v>258</v>
      </c>
      <c r="D755" s="37" t="s">
        <v>57</v>
      </c>
      <c r="E755" s="54" t="s">
        <v>122</v>
      </c>
      <c r="F755" s="15">
        <v>1.0</v>
      </c>
      <c r="G755" s="37" t="s">
        <v>65</v>
      </c>
      <c r="H755" s="31" t="e">
        <v>#N/A</v>
      </c>
      <c r="I755" s="31" t="e">
        <v>#N/A</v>
      </c>
      <c r="J755" s="15">
        <v>1.0</v>
      </c>
    </row>
    <row r="756">
      <c r="A756" s="11">
        <v>46145.63948668982</v>
      </c>
      <c r="B756" s="9" t="s">
        <v>269</v>
      </c>
      <c r="C756" s="9" t="s">
        <v>92</v>
      </c>
      <c r="D756" s="37" t="s">
        <v>57</v>
      </c>
      <c r="E756" s="14"/>
      <c r="F756" s="15">
        <v>1.0</v>
      </c>
      <c r="G756" s="37" t="s">
        <v>65</v>
      </c>
      <c r="H756" s="31" t="e">
        <v>#N/A</v>
      </c>
      <c r="I756" s="31" t="e">
        <v>#N/A</v>
      </c>
      <c r="J756" s="15">
        <v>1.0</v>
      </c>
    </row>
    <row r="757">
      <c r="A757" s="11">
        <v>46145.64501100694</v>
      </c>
      <c r="B757" s="9" t="s">
        <v>281</v>
      </c>
      <c r="C757" s="9" t="s">
        <v>292</v>
      </c>
      <c r="D757" s="37" t="s">
        <v>57</v>
      </c>
      <c r="E757" s="54" t="s">
        <v>140</v>
      </c>
      <c r="F757" s="15">
        <v>1.0</v>
      </c>
      <c r="H757" s="31" t="e">
        <v>#N/A</v>
      </c>
      <c r="I757" s="31" t="e">
        <v>#N/A</v>
      </c>
      <c r="J757" s="15">
        <v>1.0</v>
      </c>
    </row>
    <row r="758">
      <c r="A758" s="11">
        <v>46145.646156284725</v>
      </c>
      <c r="B758" s="9" t="s">
        <v>64</v>
      </c>
      <c r="C758" s="9" t="s">
        <v>184</v>
      </c>
      <c r="D758" s="9" t="s">
        <v>19</v>
      </c>
      <c r="E758" s="54" t="s">
        <v>445</v>
      </c>
      <c r="F758" s="15">
        <v>1.0</v>
      </c>
      <c r="G758" s="37" t="s">
        <v>65</v>
      </c>
      <c r="H758" s="31" t="e">
        <v>#N/A</v>
      </c>
      <c r="I758" s="31" t="e">
        <v>#N/A</v>
      </c>
      <c r="J758" s="15">
        <v>1.0</v>
      </c>
    </row>
    <row r="759">
      <c r="A759" s="11">
        <v>46145.65616960648</v>
      </c>
      <c r="B759" s="9" t="s">
        <v>249</v>
      </c>
      <c r="C759" s="9" t="s">
        <v>333</v>
      </c>
      <c r="D759" s="37" t="s">
        <v>57</v>
      </c>
      <c r="E759" s="14"/>
      <c r="F759" s="15">
        <v>1.0</v>
      </c>
      <c r="G759" s="37" t="s">
        <v>65</v>
      </c>
      <c r="H759" s="31" t="e">
        <v>#N/A</v>
      </c>
      <c r="I759" s="31" t="e">
        <v>#N/A</v>
      </c>
      <c r="J759" s="15">
        <v>1.0</v>
      </c>
    </row>
    <row r="760">
      <c r="A760" s="11">
        <v>46145.689369432876</v>
      </c>
      <c r="B760" s="9" t="s">
        <v>385</v>
      </c>
      <c r="C760" s="9" t="s">
        <v>226</v>
      </c>
      <c r="D760" s="37" t="s">
        <v>57</v>
      </c>
      <c r="E760" s="54" t="s">
        <v>112</v>
      </c>
      <c r="F760" s="15">
        <v>1.0</v>
      </c>
      <c r="G760" s="37" t="s">
        <v>65</v>
      </c>
      <c r="H760" s="31" t="e">
        <v>#N/A</v>
      </c>
      <c r="I760" s="31" t="e">
        <v>#N/A</v>
      </c>
      <c r="J760" s="15">
        <v>1.0</v>
      </c>
    </row>
    <row r="761">
      <c r="A761" s="11">
        <v>46145.71672094907</v>
      </c>
      <c r="B761" s="9" t="s">
        <v>258</v>
      </c>
      <c r="C761" s="9" t="s">
        <v>224</v>
      </c>
      <c r="D761" s="9" t="s">
        <v>19</v>
      </c>
      <c r="E761" s="14"/>
      <c r="F761" s="15">
        <v>1.0</v>
      </c>
      <c r="G761" s="37" t="s">
        <v>65</v>
      </c>
      <c r="H761" s="31" t="e">
        <v>#N/A</v>
      </c>
      <c r="I761" s="31" t="e">
        <v>#N/A</v>
      </c>
      <c r="J761" s="15">
        <v>1.0</v>
      </c>
    </row>
    <row r="762">
      <c r="A762" s="11">
        <v>46145.72680233796</v>
      </c>
      <c r="B762" s="9" t="s">
        <v>256</v>
      </c>
      <c r="C762" s="9" t="s">
        <v>385</v>
      </c>
      <c r="D762" s="37" t="s">
        <v>57</v>
      </c>
      <c r="E762" s="14"/>
      <c r="F762" s="15">
        <v>1.0</v>
      </c>
      <c r="G762" s="37" t="s">
        <v>65</v>
      </c>
      <c r="H762" s="31" t="e">
        <v>#N/A</v>
      </c>
      <c r="I762" s="31" t="e">
        <v>#N/A</v>
      </c>
      <c r="J762" s="15">
        <v>1.0</v>
      </c>
    </row>
    <row r="763">
      <c r="A763" s="11">
        <v>46145.74732010417</v>
      </c>
      <c r="B763" s="9" t="s">
        <v>187</v>
      </c>
      <c r="C763" s="9" t="s">
        <v>333</v>
      </c>
      <c r="D763" s="9" t="s">
        <v>19</v>
      </c>
      <c r="E763" s="54" t="s">
        <v>446</v>
      </c>
      <c r="F763" s="15">
        <v>1.0</v>
      </c>
      <c r="G763" s="37" t="s">
        <v>65</v>
      </c>
      <c r="H763" s="31" t="e">
        <v>#N/A</v>
      </c>
      <c r="I763" s="31" t="e">
        <v>#N/A</v>
      </c>
      <c r="J763" s="15">
        <v>1.0</v>
      </c>
    </row>
    <row r="764">
      <c r="A764" s="11">
        <v>46145.749761493054</v>
      </c>
      <c r="B764" s="9" t="s">
        <v>394</v>
      </c>
      <c r="C764" s="9" t="s">
        <v>67</v>
      </c>
      <c r="D764" s="37" t="s">
        <v>57</v>
      </c>
      <c r="E764" s="14"/>
      <c r="F764" s="15">
        <v>1.0</v>
      </c>
      <c r="G764" s="37" t="s">
        <v>65</v>
      </c>
      <c r="H764" s="31" t="e">
        <v>#N/A</v>
      </c>
      <c r="I764" s="31" t="e">
        <v>#N/A</v>
      </c>
      <c r="J764" s="15">
        <v>1.0</v>
      </c>
    </row>
    <row r="765">
      <c r="A765" s="11">
        <v>46145.77760162037</v>
      </c>
      <c r="B765" s="9" t="s">
        <v>288</v>
      </c>
      <c r="C765" s="9" t="s">
        <v>67</v>
      </c>
      <c r="D765" s="9" t="s">
        <v>19</v>
      </c>
      <c r="E765" s="14"/>
      <c r="F765" s="15">
        <v>1.0</v>
      </c>
      <c r="G765" s="37" t="s">
        <v>65</v>
      </c>
      <c r="H765" s="31" t="e">
        <v>#N/A</v>
      </c>
      <c r="I765" s="31" t="e">
        <v>#N/A</v>
      </c>
      <c r="J765" s="15">
        <v>1.0</v>
      </c>
    </row>
    <row r="766">
      <c r="A766" s="11">
        <v>46145.78461243055</v>
      </c>
      <c r="B766" s="9" t="s">
        <v>281</v>
      </c>
      <c r="C766" s="9" t="s">
        <v>297</v>
      </c>
      <c r="D766" s="9" t="s">
        <v>19</v>
      </c>
      <c r="E766" s="54" t="s">
        <v>140</v>
      </c>
      <c r="F766" s="15">
        <v>1.0</v>
      </c>
      <c r="G766" s="37" t="s">
        <v>65</v>
      </c>
      <c r="H766" s="31" t="e">
        <v>#N/A</v>
      </c>
      <c r="I766" s="31" t="e">
        <v>#N/A</v>
      </c>
      <c r="J766" s="15">
        <v>1.0</v>
      </c>
    </row>
    <row r="767">
      <c r="A767" s="11">
        <v>46145.78964603009</v>
      </c>
      <c r="B767" s="9" t="s">
        <v>273</v>
      </c>
      <c r="C767" s="9" t="s">
        <v>167</v>
      </c>
      <c r="D767" s="9" t="s">
        <v>19</v>
      </c>
      <c r="E767" s="14"/>
      <c r="F767" s="15">
        <v>1.0</v>
      </c>
      <c r="G767" s="37" t="s">
        <v>65</v>
      </c>
      <c r="H767" s="31" t="e">
        <v>#N/A</v>
      </c>
      <c r="I767" s="31" t="e">
        <v>#N/A</v>
      </c>
      <c r="J767" s="15">
        <v>1.0</v>
      </c>
    </row>
    <row r="768">
      <c r="A768" s="11">
        <v>46145.80236402778</v>
      </c>
      <c r="B768" s="9" t="s">
        <v>273</v>
      </c>
      <c r="C768" s="9" t="s">
        <v>297</v>
      </c>
      <c r="D768" s="37" t="s">
        <v>57</v>
      </c>
      <c r="E768" s="14"/>
      <c r="F768" s="15">
        <v>1.0</v>
      </c>
      <c r="G768" s="37" t="s">
        <v>65</v>
      </c>
      <c r="H768" s="31" t="e">
        <v>#N/A</v>
      </c>
      <c r="I768" s="31" t="e">
        <v>#N/A</v>
      </c>
      <c r="J768" s="15">
        <v>1.0</v>
      </c>
    </row>
    <row r="769">
      <c r="A769" s="11">
        <v>46145.810576041666</v>
      </c>
      <c r="B769" s="9" t="s">
        <v>336</v>
      </c>
      <c r="C769" s="9" t="s">
        <v>167</v>
      </c>
      <c r="D769" s="37" t="s">
        <v>57</v>
      </c>
      <c r="E769" s="54" t="s">
        <v>140</v>
      </c>
      <c r="F769" s="15">
        <v>1.0</v>
      </c>
      <c r="G769" s="37" t="s">
        <v>65</v>
      </c>
      <c r="H769" s="31" t="e">
        <v>#N/A</v>
      </c>
      <c r="I769" s="31" t="e">
        <v>#N/A</v>
      </c>
      <c r="J769" s="15">
        <v>1.0</v>
      </c>
    </row>
    <row r="770">
      <c r="A770" s="11">
        <v>46145.822094930554</v>
      </c>
      <c r="B770" s="9" t="s">
        <v>297</v>
      </c>
      <c r="C770" s="9" t="s">
        <v>83</v>
      </c>
      <c r="D770" s="9" t="s">
        <v>19</v>
      </c>
      <c r="E770" s="14"/>
      <c r="F770" s="15">
        <v>1.0</v>
      </c>
      <c r="G770" s="37" t="s">
        <v>65</v>
      </c>
      <c r="H770" s="31" t="e">
        <v>#N/A</v>
      </c>
      <c r="I770" s="31" t="e">
        <v>#N/A</v>
      </c>
      <c r="J770" s="15">
        <v>1.0</v>
      </c>
    </row>
    <row r="771">
      <c r="A771" s="11">
        <v>46145.84862952546</v>
      </c>
      <c r="B771" s="9" t="s">
        <v>342</v>
      </c>
      <c r="C771" s="9" t="s">
        <v>167</v>
      </c>
      <c r="D771" s="9" t="s">
        <v>19</v>
      </c>
      <c r="E771" s="14"/>
      <c r="F771" s="15">
        <v>1.0</v>
      </c>
      <c r="G771" s="37" t="s">
        <v>65</v>
      </c>
      <c r="H771" s="31" t="e">
        <v>#N/A</v>
      </c>
      <c r="I771" s="31" t="e">
        <v>#N/A</v>
      </c>
      <c r="J771" s="15">
        <v>1.0</v>
      </c>
    </row>
    <row r="772">
      <c r="A772" s="11">
        <v>46145.86174903935</v>
      </c>
      <c r="B772" s="9" t="s">
        <v>394</v>
      </c>
      <c r="C772" s="9" t="s">
        <v>83</v>
      </c>
      <c r="D772" s="9" t="s">
        <v>19</v>
      </c>
      <c r="E772" s="14"/>
      <c r="F772" s="15">
        <v>1.0</v>
      </c>
      <c r="G772" s="37" t="s">
        <v>65</v>
      </c>
      <c r="H772" s="31" t="e">
        <v>#N/A</v>
      </c>
      <c r="I772" s="31" t="e">
        <v>#N/A</v>
      </c>
      <c r="J772" s="15">
        <v>1.0</v>
      </c>
    </row>
    <row r="773">
      <c r="A773" s="11">
        <v>46145.871337199074</v>
      </c>
      <c r="B773" s="9" t="s">
        <v>406</v>
      </c>
      <c r="C773" s="9" t="s">
        <v>304</v>
      </c>
      <c r="D773" s="9" t="s">
        <v>19</v>
      </c>
      <c r="E773" s="14"/>
      <c r="F773" s="15">
        <v>1.0</v>
      </c>
      <c r="G773" s="37" t="s">
        <v>65</v>
      </c>
      <c r="H773" s="31" t="e">
        <v>#N/A</v>
      </c>
      <c r="I773" s="31" t="e">
        <v>#N/A</v>
      </c>
      <c r="J773" s="15">
        <v>1.0</v>
      </c>
    </row>
    <row r="774">
      <c r="A774" s="11">
        <v>46145.8755690625</v>
      </c>
      <c r="B774" s="9" t="s">
        <v>182</v>
      </c>
      <c r="C774" s="9" t="s">
        <v>167</v>
      </c>
      <c r="D774" s="9" t="s">
        <v>19</v>
      </c>
      <c r="E774" s="14"/>
      <c r="F774" s="15">
        <v>1.0</v>
      </c>
      <c r="G774" s="37" t="s">
        <v>65</v>
      </c>
      <c r="H774" s="31" t="e">
        <v>#N/A</v>
      </c>
      <c r="I774" s="31" t="e">
        <v>#N/A</v>
      </c>
      <c r="J774" s="15">
        <v>1.0</v>
      </c>
    </row>
    <row r="775">
      <c r="A775" s="11">
        <v>46145.877617094906</v>
      </c>
      <c r="B775" s="9" t="s">
        <v>271</v>
      </c>
      <c r="C775" s="9" t="s">
        <v>336</v>
      </c>
      <c r="D775" s="37" t="s">
        <v>57</v>
      </c>
      <c r="E775" s="54" t="s">
        <v>321</v>
      </c>
      <c r="F775" s="15">
        <v>1.0</v>
      </c>
      <c r="G775" s="37" t="s">
        <v>65</v>
      </c>
      <c r="H775" s="31" t="e">
        <v>#N/A</v>
      </c>
      <c r="I775" s="31" t="e">
        <v>#N/A</v>
      </c>
      <c r="J775" s="15">
        <v>1.0</v>
      </c>
    </row>
    <row r="776">
      <c r="A776" s="11">
        <v>46145.883681458334</v>
      </c>
      <c r="B776" s="9" t="s">
        <v>342</v>
      </c>
      <c r="C776" s="9" t="s">
        <v>83</v>
      </c>
      <c r="D776" s="9" t="s">
        <v>19</v>
      </c>
      <c r="E776" s="14"/>
      <c r="F776" s="15">
        <v>1.0</v>
      </c>
      <c r="G776" s="37" t="s">
        <v>65</v>
      </c>
      <c r="H776" s="31" t="e">
        <v>#N/A</v>
      </c>
      <c r="I776" s="31" t="e">
        <v>#N/A</v>
      </c>
      <c r="J776" s="15">
        <v>1.0</v>
      </c>
    </row>
    <row r="777">
      <c r="A777" s="11">
        <v>46145.91795747685</v>
      </c>
      <c r="B777" s="9" t="s">
        <v>163</v>
      </c>
      <c r="C777" s="9" t="s">
        <v>301</v>
      </c>
      <c r="D777" s="9" t="s">
        <v>19</v>
      </c>
      <c r="E777" s="54" t="s">
        <v>140</v>
      </c>
      <c r="F777" s="15">
        <v>1.0</v>
      </c>
      <c r="G777" s="37" t="s">
        <v>65</v>
      </c>
      <c r="H777" s="31" t="e">
        <v>#N/A</v>
      </c>
      <c r="I777" s="31" t="e">
        <v>#N/A</v>
      </c>
      <c r="J777" s="15">
        <v>1.0</v>
      </c>
    </row>
    <row r="778">
      <c r="A778" s="11">
        <v>46145.92622685185</v>
      </c>
      <c r="B778" s="9" t="s">
        <v>269</v>
      </c>
      <c r="C778" s="9" t="s">
        <v>231</v>
      </c>
      <c r="D778" s="37" t="s">
        <v>57</v>
      </c>
      <c r="E778" s="14"/>
      <c r="F778" s="15">
        <v>1.0</v>
      </c>
      <c r="G778" s="37" t="s">
        <v>65</v>
      </c>
      <c r="H778" s="31" t="e">
        <v>#N/A</v>
      </c>
      <c r="I778" s="31" t="e">
        <v>#N/A</v>
      </c>
      <c r="J778" s="15">
        <v>1.0</v>
      </c>
    </row>
    <row r="779">
      <c r="A779" s="11">
        <v>46145.93086572917</v>
      </c>
      <c r="B779" s="9" t="s">
        <v>306</v>
      </c>
      <c r="C779" s="9" t="s">
        <v>318</v>
      </c>
      <c r="D779" s="37" t="s">
        <v>57</v>
      </c>
      <c r="E779" s="54" t="s">
        <v>122</v>
      </c>
      <c r="F779" s="15">
        <v>1.0</v>
      </c>
      <c r="G779" s="37" t="s">
        <v>65</v>
      </c>
      <c r="H779" s="31" t="e">
        <v>#N/A</v>
      </c>
      <c r="I779" s="31" t="e">
        <v>#N/A</v>
      </c>
      <c r="J779" s="15">
        <v>1.0</v>
      </c>
    </row>
    <row r="780">
      <c r="A780" s="11">
        <v>46145.93283523148</v>
      </c>
      <c r="B780" s="9" t="s">
        <v>182</v>
      </c>
      <c r="C780" s="9" t="s">
        <v>390</v>
      </c>
      <c r="D780" s="37" t="s">
        <v>57</v>
      </c>
      <c r="E780" s="14"/>
      <c r="F780" s="15">
        <v>1.0</v>
      </c>
      <c r="G780" s="37" t="s">
        <v>65</v>
      </c>
      <c r="H780" s="31" t="e">
        <v>#N/A</v>
      </c>
      <c r="I780" s="31" t="e">
        <v>#N/A</v>
      </c>
      <c r="J780" s="15">
        <v>1.0</v>
      </c>
    </row>
    <row r="781">
      <c r="A781" s="11">
        <v>46145.9506475</v>
      </c>
      <c r="B781" s="9" t="s">
        <v>277</v>
      </c>
      <c r="C781" s="9" t="s">
        <v>280</v>
      </c>
      <c r="D781" s="9" t="s">
        <v>19</v>
      </c>
      <c r="E781" s="14"/>
      <c r="F781" s="15">
        <v>1.0</v>
      </c>
      <c r="G781" s="37" t="s">
        <v>65</v>
      </c>
      <c r="H781" s="31" t="e">
        <v>#N/A</v>
      </c>
      <c r="I781" s="31" t="e">
        <v>#N/A</v>
      </c>
      <c r="J781" s="15">
        <v>1.0</v>
      </c>
    </row>
    <row r="782">
      <c r="A782" s="11">
        <v>46145.95115278935</v>
      </c>
      <c r="B782" s="9" t="s">
        <v>182</v>
      </c>
      <c r="C782" s="9" t="s">
        <v>320</v>
      </c>
      <c r="D782" s="9" t="s">
        <v>19</v>
      </c>
      <c r="E782" s="14"/>
      <c r="F782" s="15">
        <v>1.0</v>
      </c>
      <c r="G782" s="37" t="s">
        <v>65</v>
      </c>
      <c r="H782" s="31" t="e">
        <v>#N/A</v>
      </c>
      <c r="I782" s="31" t="e">
        <v>#N/A</v>
      </c>
      <c r="J782" s="15">
        <v>1.0</v>
      </c>
    </row>
    <row r="783">
      <c r="A783" s="11">
        <v>46145.962473287036</v>
      </c>
      <c r="B783" s="9" t="s">
        <v>306</v>
      </c>
      <c r="C783" s="9" t="s">
        <v>179</v>
      </c>
      <c r="D783" s="9" t="s">
        <v>19</v>
      </c>
      <c r="E783" s="54" t="s">
        <v>122</v>
      </c>
      <c r="F783" s="15">
        <v>1.0</v>
      </c>
      <c r="G783" s="37" t="s">
        <v>65</v>
      </c>
      <c r="H783" s="31" t="e">
        <v>#N/A</v>
      </c>
      <c r="I783" s="31" t="e">
        <v>#N/A</v>
      </c>
      <c r="J783" s="15">
        <v>1.0</v>
      </c>
    </row>
    <row r="784">
      <c r="A784" s="11">
        <v>46145.97006043981</v>
      </c>
      <c r="B784" s="9" t="s">
        <v>274</v>
      </c>
      <c r="C784" s="9" t="s">
        <v>278</v>
      </c>
      <c r="D784" s="9" t="s">
        <v>19</v>
      </c>
      <c r="E784" s="14"/>
      <c r="F784" s="15">
        <v>1.0</v>
      </c>
      <c r="G784" s="37" t="s">
        <v>65</v>
      </c>
      <c r="H784" s="31" t="e">
        <v>#N/A</v>
      </c>
      <c r="I784" s="31" t="e">
        <v>#N/A</v>
      </c>
      <c r="J784" s="15">
        <v>1.0</v>
      </c>
    </row>
    <row r="785">
      <c r="A785" s="11">
        <v>46145.97209070602</v>
      </c>
      <c r="B785" s="9" t="s">
        <v>277</v>
      </c>
      <c r="C785" s="9" t="s">
        <v>182</v>
      </c>
      <c r="D785" s="37" t="s">
        <v>57</v>
      </c>
      <c r="E785" s="14"/>
      <c r="F785" s="15">
        <v>1.0</v>
      </c>
      <c r="G785" s="37" t="s">
        <v>65</v>
      </c>
      <c r="H785" s="31" t="e">
        <v>#N/A</v>
      </c>
      <c r="I785" s="31" t="e">
        <v>#N/A</v>
      </c>
      <c r="J785" s="15">
        <v>1.0</v>
      </c>
    </row>
    <row r="786">
      <c r="A786" s="11">
        <v>46145.97698986111</v>
      </c>
      <c r="B786" s="9" t="s">
        <v>280</v>
      </c>
      <c r="C786" s="9" t="s">
        <v>75</v>
      </c>
      <c r="D786" s="9" t="s">
        <v>19</v>
      </c>
      <c r="E786" s="54" t="s">
        <v>176</v>
      </c>
      <c r="F786" s="15">
        <v>1.0</v>
      </c>
      <c r="G786" s="37" t="s">
        <v>65</v>
      </c>
      <c r="H786" s="31" t="e">
        <v>#N/A</v>
      </c>
      <c r="I786" s="31" t="e">
        <v>#N/A</v>
      </c>
      <c r="J786" s="15">
        <v>1.0</v>
      </c>
    </row>
    <row r="787">
      <c r="A787" s="11">
        <v>46145.978692488425</v>
      </c>
      <c r="B787" s="9" t="s">
        <v>143</v>
      </c>
      <c r="C787" s="9" t="s">
        <v>179</v>
      </c>
      <c r="D787" s="9" t="s">
        <v>19</v>
      </c>
      <c r="E787" s="54" t="s">
        <v>122</v>
      </c>
      <c r="F787" s="15">
        <v>1.0</v>
      </c>
      <c r="G787" s="37" t="s">
        <v>65</v>
      </c>
      <c r="H787" s="31" t="e">
        <v>#N/A</v>
      </c>
      <c r="I787" s="31" t="e">
        <v>#N/A</v>
      </c>
      <c r="J787" s="15">
        <v>1.0</v>
      </c>
    </row>
    <row r="788">
      <c r="A788" s="11">
        <v>46145.98924207176</v>
      </c>
      <c r="B788" s="9" t="s">
        <v>184</v>
      </c>
      <c r="C788" s="9" t="s">
        <v>277</v>
      </c>
      <c r="D788" s="9" t="s">
        <v>19</v>
      </c>
      <c r="E788" s="14"/>
      <c r="F788" s="15">
        <v>1.0</v>
      </c>
      <c r="G788" s="37" t="s">
        <v>65</v>
      </c>
      <c r="H788" s="31" t="e">
        <v>#N/A</v>
      </c>
      <c r="I788" s="31" t="e">
        <v>#N/A</v>
      </c>
      <c r="J788" s="15">
        <v>1.0</v>
      </c>
    </row>
    <row r="789">
      <c r="A789" s="11">
        <v>46145.99353252315</v>
      </c>
      <c r="B789" s="9" t="s">
        <v>278</v>
      </c>
      <c r="C789" s="9" t="s">
        <v>75</v>
      </c>
      <c r="D789" s="37" t="s">
        <v>57</v>
      </c>
      <c r="E789" s="54" t="s">
        <v>447</v>
      </c>
      <c r="F789" s="15">
        <v>1.0</v>
      </c>
      <c r="G789" s="37" t="s">
        <v>65</v>
      </c>
      <c r="H789" s="31" t="e">
        <v>#N/A</v>
      </c>
      <c r="I789" s="31" t="e">
        <v>#N/A</v>
      </c>
      <c r="J789" s="15">
        <v>1.0</v>
      </c>
    </row>
    <row r="790">
      <c r="A790" s="11">
        <v>46146.03343675926</v>
      </c>
      <c r="B790" s="9" t="s">
        <v>96</v>
      </c>
      <c r="C790" s="9" t="s">
        <v>303</v>
      </c>
      <c r="D790" s="37" t="s">
        <v>57</v>
      </c>
      <c r="E790" s="14"/>
      <c r="F790" s="15">
        <v>1.0</v>
      </c>
      <c r="G790" s="37" t="s">
        <v>65</v>
      </c>
      <c r="H790" s="31" t="e">
        <v>#N/A</v>
      </c>
      <c r="I790" s="31" t="e">
        <v>#N/A</v>
      </c>
      <c r="J790" s="15">
        <v>1.0</v>
      </c>
    </row>
    <row r="791">
      <c r="A791" s="11">
        <v>46146.04325982639</v>
      </c>
      <c r="B791" s="9" t="s">
        <v>306</v>
      </c>
      <c r="C791" s="9" t="s">
        <v>376</v>
      </c>
      <c r="D791" s="37" t="s">
        <v>57</v>
      </c>
      <c r="E791" s="14"/>
      <c r="F791" s="15">
        <v>1.0</v>
      </c>
      <c r="G791" s="37" t="s">
        <v>65</v>
      </c>
      <c r="H791" s="31" t="e">
        <v>#N/A</v>
      </c>
      <c r="I791" s="31" t="e">
        <v>#N/A</v>
      </c>
      <c r="J791" s="15">
        <v>1.0</v>
      </c>
    </row>
    <row r="792">
      <c r="A792" s="11">
        <v>46146.2374987963</v>
      </c>
      <c r="B792" s="9" t="s">
        <v>107</v>
      </c>
      <c r="C792" s="9" t="s">
        <v>202</v>
      </c>
      <c r="D792" s="37" t="s">
        <v>57</v>
      </c>
      <c r="E792" s="54" t="s">
        <v>176</v>
      </c>
      <c r="F792" s="15">
        <v>1.0</v>
      </c>
      <c r="G792" s="37" t="s">
        <v>65</v>
      </c>
      <c r="H792" s="31" t="e">
        <v>#N/A</v>
      </c>
      <c r="I792" s="31" t="e">
        <v>#N/A</v>
      </c>
      <c r="J792" s="15">
        <v>1.0</v>
      </c>
    </row>
    <row r="793">
      <c r="A793" s="11">
        <v>46146.30164766204</v>
      </c>
      <c r="B793" s="9" t="s">
        <v>183</v>
      </c>
      <c r="C793" s="9" t="s">
        <v>215</v>
      </c>
      <c r="D793" s="37" t="s">
        <v>57</v>
      </c>
      <c r="E793" s="54" t="s">
        <v>122</v>
      </c>
      <c r="F793" s="15">
        <v>1.0</v>
      </c>
      <c r="G793" s="37" t="s">
        <v>65</v>
      </c>
      <c r="H793" s="31" t="e">
        <v>#N/A</v>
      </c>
      <c r="I793" s="31" t="e">
        <v>#N/A</v>
      </c>
      <c r="J793" s="15">
        <v>1.0</v>
      </c>
    </row>
    <row r="794">
      <c r="A794" s="11">
        <v>46146.669439375</v>
      </c>
      <c r="B794" s="9" t="s">
        <v>328</v>
      </c>
      <c r="C794" s="9" t="s">
        <v>205</v>
      </c>
      <c r="D794" s="37" t="s">
        <v>57</v>
      </c>
      <c r="E794" s="54" t="s">
        <v>112</v>
      </c>
      <c r="F794" s="15">
        <v>1.0</v>
      </c>
      <c r="G794" s="37" t="s">
        <v>65</v>
      </c>
      <c r="H794" s="31" t="e">
        <v>#N/A</v>
      </c>
      <c r="I794" s="31" t="e">
        <v>#N/A</v>
      </c>
      <c r="J794" s="15">
        <v>1.0</v>
      </c>
    </row>
    <row r="795">
      <c r="A795" s="11">
        <v>46146.680421990735</v>
      </c>
      <c r="B795" s="9" t="s">
        <v>183</v>
      </c>
      <c r="C795" s="9" t="s">
        <v>258</v>
      </c>
      <c r="D795" s="37" t="s">
        <v>57</v>
      </c>
      <c r="E795" s="54" t="s">
        <v>122</v>
      </c>
      <c r="F795" s="15">
        <v>1.0</v>
      </c>
      <c r="G795" s="37" t="s">
        <v>65</v>
      </c>
      <c r="H795" s="31" t="e">
        <v>#N/A</v>
      </c>
      <c r="I795" s="31" t="e">
        <v>#N/A</v>
      </c>
      <c r="J795" s="15">
        <v>1.0</v>
      </c>
    </row>
    <row r="796">
      <c r="A796" s="11">
        <v>46146.68784277778</v>
      </c>
      <c r="B796" s="9" t="s">
        <v>168</v>
      </c>
      <c r="C796" s="9" t="s">
        <v>107</v>
      </c>
      <c r="D796" s="9" t="s">
        <v>19</v>
      </c>
      <c r="E796" s="54" t="s">
        <v>222</v>
      </c>
      <c r="F796" s="15">
        <v>1.0</v>
      </c>
      <c r="G796" s="37" t="s">
        <v>65</v>
      </c>
      <c r="H796" s="31" t="e">
        <v>#N/A</v>
      </c>
      <c r="I796" s="31" t="e">
        <v>#N/A</v>
      </c>
      <c r="J796" s="15">
        <v>1.0</v>
      </c>
    </row>
    <row r="797">
      <c r="A797" s="11">
        <v>46146.692954143524</v>
      </c>
      <c r="B797" s="9" t="s">
        <v>263</v>
      </c>
      <c r="C797" s="9" t="s">
        <v>160</v>
      </c>
      <c r="D797" s="37" t="s">
        <v>57</v>
      </c>
      <c r="E797" s="54" t="s">
        <v>140</v>
      </c>
      <c r="F797" s="15">
        <v>1.0</v>
      </c>
      <c r="G797" s="37" t="s">
        <v>65</v>
      </c>
      <c r="H797" s="31" t="e">
        <v>#N/A</v>
      </c>
      <c r="I797" s="31" t="e">
        <v>#N/A</v>
      </c>
      <c r="J797" s="15">
        <v>1.0</v>
      </c>
    </row>
    <row r="798">
      <c r="A798" s="11">
        <v>46146.702586134255</v>
      </c>
      <c r="B798" s="9" t="s">
        <v>331</v>
      </c>
      <c r="C798" s="9" t="s">
        <v>256</v>
      </c>
      <c r="D798" s="9" t="s">
        <v>19</v>
      </c>
      <c r="E798" s="14"/>
      <c r="F798" s="15">
        <v>1.0</v>
      </c>
      <c r="G798" s="37" t="s">
        <v>65</v>
      </c>
      <c r="H798" s="31" t="e">
        <v>#N/A</v>
      </c>
      <c r="I798" s="31" t="e">
        <v>#N/A</v>
      </c>
      <c r="J798" s="15">
        <v>1.0</v>
      </c>
    </row>
    <row r="799">
      <c r="A799" s="11">
        <v>46146.705573680556</v>
      </c>
      <c r="B799" s="9" t="s">
        <v>183</v>
      </c>
      <c r="C799" s="9" t="s">
        <v>224</v>
      </c>
      <c r="D799" s="37" t="s">
        <v>57</v>
      </c>
      <c r="E799" s="54" t="s">
        <v>122</v>
      </c>
      <c r="F799" s="15">
        <v>1.0</v>
      </c>
      <c r="G799" s="37" t="s">
        <v>65</v>
      </c>
      <c r="H799" s="31" t="e">
        <v>#N/A</v>
      </c>
      <c r="I799" s="31" t="e">
        <v>#N/A</v>
      </c>
      <c r="J799" s="15">
        <v>1.0</v>
      </c>
    </row>
    <row r="800">
      <c r="A800" s="11">
        <v>46146.72358229167</v>
      </c>
      <c r="B800" s="9" t="s">
        <v>337</v>
      </c>
      <c r="C800" s="9" t="s">
        <v>168</v>
      </c>
      <c r="D800" s="9" t="s">
        <v>19</v>
      </c>
      <c r="E800" s="54" t="s">
        <v>448</v>
      </c>
      <c r="F800" s="15">
        <v>1.0</v>
      </c>
      <c r="G800" s="37" t="s">
        <v>65</v>
      </c>
      <c r="H800" s="31" t="e">
        <v>#N/A</v>
      </c>
      <c r="I800" s="31" t="e">
        <v>#N/A</v>
      </c>
      <c r="J800" s="15">
        <v>1.0</v>
      </c>
    </row>
    <row r="801">
      <c r="A801" s="11">
        <v>46146.72497246528</v>
      </c>
      <c r="B801" s="9" t="s">
        <v>350</v>
      </c>
      <c r="C801" s="9" t="s">
        <v>328</v>
      </c>
      <c r="D801" s="9" t="s">
        <v>19</v>
      </c>
      <c r="E801" s="14"/>
      <c r="F801" s="15">
        <v>1.0</v>
      </c>
      <c r="G801" s="37" t="s">
        <v>65</v>
      </c>
      <c r="H801" s="31" t="e">
        <v>#N/A</v>
      </c>
      <c r="I801" s="31" t="e">
        <v>#N/A</v>
      </c>
      <c r="J801" s="15">
        <v>1.0</v>
      </c>
    </row>
    <row r="802">
      <c r="A802" s="11">
        <v>46146.7255205324</v>
      </c>
      <c r="B802" s="9" t="s">
        <v>256</v>
      </c>
      <c r="C802" s="9" t="s">
        <v>93</v>
      </c>
      <c r="D802" s="9" t="s">
        <v>19</v>
      </c>
      <c r="E802" s="54" t="s">
        <v>449</v>
      </c>
      <c r="F802" s="15">
        <v>1.0</v>
      </c>
      <c r="G802" s="37" t="s">
        <v>65</v>
      </c>
      <c r="H802" s="31" t="e">
        <v>#N/A</v>
      </c>
      <c r="I802" s="31" t="e">
        <v>#N/A</v>
      </c>
      <c r="J802" s="15">
        <v>1.0</v>
      </c>
    </row>
    <row r="803">
      <c r="A803" s="11">
        <v>46146.80368824074</v>
      </c>
      <c r="B803" s="9" t="s">
        <v>109</v>
      </c>
      <c r="C803" s="9" t="s">
        <v>183</v>
      </c>
      <c r="D803" s="9" t="s">
        <v>19</v>
      </c>
      <c r="E803" s="54" t="s">
        <v>140</v>
      </c>
      <c r="F803" s="15">
        <v>1.0</v>
      </c>
      <c r="G803" s="37" t="s">
        <v>65</v>
      </c>
      <c r="H803" s="31" t="e">
        <v>#N/A</v>
      </c>
      <c r="I803" s="31" t="e">
        <v>#N/A</v>
      </c>
      <c r="J803" s="15">
        <v>1.0</v>
      </c>
    </row>
    <row r="804">
      <c r="A804" s="11">
        <v>46146.81514253472</v>
      </c>
      <c r="B804" s="9" t="s">
        <v>266</v>
      </c>
      <c r="C804" s="9" t="s">
        <v>333</v>
      </c>
      <c r="D804" s="9" t="s">
        <v>19</v>
      </c>
      <c r="E804" s="14"/>
      <c r="F804" s="15">
        <v>1.0</v>
      </c>
      <c r="G804" s="37" t="s">
        <v>65</v>
      </c>
      <c r="H804" s="31" t="e">
        <v>#N/A</v>
      </c>
      <c r="I804" s="31" t="e">
        <v>#N/A</v>
      </c>
      <c r="J804" s="15">
        <v>1.0</v>
      </c>
    </row>
    <row r="805">
      <c r="A805" s="11">
        <v>46146.81904287037</v>
      </c>
      <c r="B805" s="9" t="s">
        <v>76</v>
      </c>
      <c r="C805" s="9" t="s">
        <v>163</v>
      </c>
      <c r="D805" s="37" t="s">
        <v>57</v>
      </c>
      <c r="E805" s="14"/>
      <c r="F805" s="15">
        <v>1.0</v>
      </c>
      <c r="G805" s="37" t="s">
        <v>65</v>
      </c>
      <c r="H805" s="31" t="e">
        <v>#N/A</v>
      </c>
      <c r="I805" s="31" t="e">
        <v>#N/A</v>
      </c>
      <c r="J805" s="15">
        <v>1.0</v>
      </c>
    </row>
    <row r="806">
      <c r="A806" s="11">
        <v>46146.82762271991</v>
      </c>
      <c r="B806" s="9" t="s">
        <v>18</v>
      </c>
      <c r="C806" s="9" t="s">
        <v>94</v>
      </c>
      <c r="D806" s="9" t="s">
        <v>19</v>
      </c>
      <c r="E806" s="14"/>
      <c r="F806" s="15">
        <v>1.0</v>
      </c>
      <c r="G806" s="37" t="s">
        <v>65</v>
      </c>
      <c r="H806" s="31" t="e">
        <v>#N/A</v>
      </c>
      <c r="I806" s="31" t="e">
        <v>#N/A</v>
      </c>
      <c r="J806" s="15">
        <v>1.0</v>
      </c>
    </row>
    <row r="807">
      <c r="A807" s="11">
        <v>46146.83723456018</v>
      </c>
      <c r="B807" s="9" t="s">
        <v>183</v>
      </c>
      <c r="C807" s="9" t="s">
        <v>18</v>
      </c>
      <c r="D807" s="9" t="s">
        <v>19</v>
      </c>
      <c r="E807" s="54" t="s">
        <v>122</v>
      </c>
      <c r="F807" s="15">
        <v>1.0</v>
      </c>
      <c r="G807" s="37" t="s">
        <v>65</v>
      </c>
      <c r="H807" s="31" t="e">
        <v>#N/A</v>
      </c>
      <c r="I807" s="31" t="e">
        <v>#N/A</v>
      </c>
      <c r="J807" s="15">
        <v>1.0</v>
      </c>
    </row>
    <row r="808">
      <c r="A808" s="11">
        <v>46146.87007395833</v>
      </c>
      <c r="B808" s="9" t="s">
        <v>128</v>
      </c>
      <c r="C808" s="9" t="s">
        <v>336</v>
      </c>
      <c r="D808" s="37" t="s">
        <v>57</v>
      </c>
      <c r="E808" s="14"/>
      <c r="F808" s="15">
        <v>1.0</v>
      </c>
      <c r="G808" s="37" t="s">
        <v>65</v>
      </c>
      <c r="H808" s="31" t="e">
        <v>#N/A</v>
      </c>
      <c r="I808" s="31" t="e">
        <v>#N/A</v>
      </c>
      <c r="J808" s="15">
        <v>1.0</v>
      </c>
    </row>
    <row r="809">
      <c r="A809" s="11">
        <v>46146.87039090278</v>
      </c>
      <c r="B809" s="9" t="s">
        <v>366</v>
      </c>
      <c r="C809" s="9" t="s">
        <v>174</v>
      </c>
      <c r="D809" s="9" t="s">
        <v>19</v>
      </c>
      <c r="E809" s="14"/>
      <c r="F809" s="15">
        <v>1.0</v>
      </c>
      <c r="G809" s="37" t="s">
        <v>65</v>
      </c>
      <c r="H809" s="31" t="e">
        <v>#N/A</v>
      </c>
      <c r="I809" s="31" t="e">
        <v>#N/A</v>
      </c>
      <c r="J809" s="15">
        <v>1.0</v>
      </c>
    </row>
    <row r="810">
      <c r="A810" s="11">
        <v>46146.890603321765</v>
      </c>
      <c r="B810" s="9" t="s">
        <v>128</v>
      </c>
      <c r="C810" s="9" t="s">
        <v>269</v>
      </c>
      <c r="D810" s="9" t="s">
        <v>19</v>
      </c>
      <c r="E810" s="14"/>
      <c r="F810" s="15">
        <v>1.0</v>
      </c>
      <c r="G810" s="37" t="s">
        <v>65</v>
      </c>
      <c r="H810" s="31" t="e">
        <v>#N/A</v>
      </c>
      <c r="I810" s="31" t="e">
        <v>#N/A</v>
      </c>
      <c r="J810" s="15">
        <v>1.0</v>
      </c>
    </row>
    <row r="811">
      <c r="A811" s="11">
        <v>46146.89629803241</v>
      </c>
      <c r="B811" s="9" t="s">
        <v>263</v>
      </c>
      <c r="C811" s="9" t="s">
        <v>368</v>
      </c>
      <c r="D811" s="37" t="s">
        <v>57</v>
      </c>
      <c r="E811" s="54" t="s">
        <v>407</v>
      </c>
      <c r="F811" s="15">
        <v>1.0</v>
      </c>
      <c r="G811" s="37" t="s">
        <v>65</v>
      </c>
      <c r="H811" s="31" t="e">
        <v>#N/A</v>
      </c>
      <c r="I811" s="31" t="e">
        <v>#N/A</v>
      </c>
      <c r="J811" s="15">
        <v>1.0</v>
      </c>
    </row>
    <row r="812">
      <c r="A812" s="11">
        <v>46146.9071172338</v>
      </c>
      <c r="B812" s="9" t="s">
        <v>314</v>
      </c>
      <c r="C812" s="9" t="s">
        <v>164</v>
      </c>
      <c r="D812" s="9" t="s">
        <v>19</v>
      </c>
      <c r="E812" s="54" t="s">
        <v>270</v>
      </c>
      <c r="F812" s="15">
        <v>1.0</v>
      </c>
      <c r="G812" s="37" t="s">
        <v>65</v>
      </c>
      <c r="H812" s="31" t="e">
        <v>#N/A</v>
      </c>
      <c r="I812" s="31" t="e">
        <v>#N/A</v>
      </c>
      <c r="J812" s="15">
        <v>1.0</v>
      </c>
    </row>
    <row r="813">
      <c r="A813" s="11">
        <v>46146.91148445602</v>
      </c>
      <c r="B813" s="9" t="s">
        <v>259</v>
      </c>
      <c r="C813" s="9" t="s">
        <v>318</v>
      </c>
      <c r="D813" s="37" t="s">
        <v>57</v>
      </c>
      <c r="E813" s="54" t="s">
        <v>255</v>
      </c>
      <c r="F813" s="15">
        <v>1.0</v>
      </c>
      <c r="G813" s="37" t="s">
        <v>65</v>
      </c>
      <c r="H813" s="31" t="e">
        <v>#N/A</v>
      </c>
      <c r="I813" s="31" t="e">
        <v>#N/A</v>
      </c>
      <c r="J813" s="15">
        <v>1.0</v>
      </c>
    </row>
    <row r="814">
      <c r="A814" s="11">
        <v>46146.91773111111</v>
      </c>
      <c r="B814" s="9" t="s">
        <v>186</v>
      </c>
      <c r="C814" s="9" t="s">
        <v>276</v>
      </c>
      <c r="D814" s="37" t="s">
        <v>57</v>
      </c>
      <c r="E814" s="14"/>
      <c r="F814" s="15">
        <v>1.0</v>
      </c>
      <c r="G814" s="37" t="s">
        <v>65</v>
      </c>
      <c r="H814" s="31" t="e">
        <v>#N/A</v>
      </c>
      <c r="I814" s="31" t="e">
        <v>#N/A</v>
      </c>
      <c r="J814" s="15">
        <v>1.0</v>
      </c>
    </row>
    <row r="815">
      <c r="A815" s="11">
        <v>46146.93383255787</v>
      </c>
      <c r="B815" s="9" t="s">
        <v>96</v>
      </c>
      <c r="C815" s="9" t="s">
        <v>366</v>
      </c>
      <c r="D815" s="9" t="s">
        <v>19</v>
      </c>
      <c r="E815" s="14"/>
      <c r="F815" s="15">
        <v>1.0</v>
      </c>
      <c r="G815" s="37" t="s">
        <v>65</v>
      </c>
      <c r="H815" s="31" t="e">
        <v>#N/A</v>
      </c>
      <c r="I815" s="31" t="e">
        <v>#N/A</v>
      </c>
      <c r="J815" s="15">
        <v>1.0</v>
      </c>
    </row>
    <row r="816">
      <c r="A816" s="11">
        <v>46146.93509121527</v>
      </c>
      <c r="B816" s="9" t="s">
        <v>318</v>
      </c>
      <c r="C816" s="9" t="s">
        <v>186</v>
      </c>
      <c r="D816" s="9" t="s">
        <v>19</v>
      </c>
      <c r="E816" s="14"/>
      <c r="F816" s="15">
        <v>1.0</v>
      </c>
      <c r="G816" s="37" t="s">
        <v>65</v>
      </c>
      <c r="H816" s="31" t="e">
        <v>#N/A</v>
      </c>
      <c r="I816" s="31" t="e">
        <v>#N/A</v>
      </c>
      <c r="J816" s="15">
        <v>1.0</v>
      </c>
    </row>
    <row r="817">
      <c r="A817" s="11">
        <v>46146.942549479165</v>
      </c>
      <c r="B817" s="9" t="s">
        <v>273</v>
      </c>
      <c r="C817" s="9" t="s">
        <v>347</v>
      </c>
      <c r="D817" s="37" t="s">
        <v>57</v>
      </c>
      <c r="E817" s="14"/>
      <c r="F817" s="15">
        <v>1.0</v>
      </c>
      <c r="G817" s="37" t="s">
        <v>65</v>
      </c>
      <c r="H817" s="31" t="e">
        <v>#N/A</v>
      </c>
      <c r="I817" s="31" t="e">
        <v>#N/A</v>
      </c>
      <c r="J817" s="15">
        <v>1.0</v>
      </c>
    </row>
    <row r="818">
      <c r="A818" s="11">
        <v>46146.9473930324</v>
      </c>
      <c r="B818" s="9" t="s">
        <v>257</v>
      </c>
      <c r="C818" s="9" t="s">
        <v>164</v>
      </c>
      <c r="D818" s="9" t="s">
        <v>19</v>
      </c>
      <c r="E818" s="54" t="s">
        <v>450</v>
      </c>
      <c r="F818" s="15">
        <v>1.0</v>
      </c>
      <c r="G818" s="37" t="s">
        <v>65</v>
      </c>
      <c r="H818" s="31" t="e">
        <v>#N/A</v>
      </c>
      <c r="I818" s="31" t="e">
        <v>#N/A</v>
      </c>
      <c r="J818" s="15">
        <v>1.0</v>
      </c>
    </row>
    <row r="819">
      <c r="A819" s="11">
        <v>46146.95845640046</v>
      </c>
      <c r="B819" s="9" t="s">
        <v>186</v>
      </c>
      <c r="C819" s="9" t="s">
        <v>143</v>
      </c>
      <c r="D819" s="37" t="s">
        <v>57</v>
      </c>
      <c r="E819" s="14"/>
      <c r="F819" s="15">
        <v>1.0</v>
      </c>
      <c r="G819" s="37" t="s">
        <v>65</v>
      </c>
      <c r="H819" s="31" t="e">
        <v>#N/A</v>
      </c>
      <c r="I819" s="31" t="e">
        <v>#N/A</v>
      </c>
      <c r="J819" s="15">
        <v>1.0</v>
      </c>
    </row>
    <row r="820">
      <c r="A820" s="11">
        <v>46146.958613483795</v>
      </c>
      <c r="B820" s="9" t="s">
        <v>276</v>
      </c>
      <c r="C820" s="9" t="s">
        <v>320</v>
      </c>
      <c r="D820" s="37" t="s">
        <v>57</v>
      </c>
      <c r="E820" s="54" t="s">
        <v>451</v>
      </c>
      <c r="F820" s="15">
        <v>1.0</v>
      </c>
      <c r="G820" s="37" t="s">
        <v>65</v>
      </c>
      <c r="H820" s="31" t="e">
        <v>#N/A</v>
      </c>
      <c r="I820" s="31" t="e">
        <v>#N/A</v>
      </c>
      <c r="J820" s="15">
        <v>1.0</v>
      </c>
    </row>
    <row r="821">
      <c r="A821" s="11">
        <v>46146.960495011575</v>
      </c>
      <c r="B821" s="9" t="s">
        <v>366</v>
      </c>
      <c r="C821" s="9" t="s">
        <v>169</v>
      </c>
      <c r="D821" s="9" t="s">
        <v>19</v>
      </c>
      <c r="E821" s="14"/>
      <c r="F821" s="15">
        <v>1.0</v>
      </c>
      <c r="G821" s="37" t="s">
        <v>65</v>
      </c>
      <c r="H821" s="31" t="e">
        <v>#N/A</v>
      </c>
      <c r="I821" s="31" t="e">
        <v>#N/A</v>
      </c>
      <c r="J821" s="15">
        <v>1.0</v>
      </c>
    </row>
    <row r="822">
      <c r="A822" s="11">
        <v>46146.97456475694</v>
      </c>
      <c r="B822" s="9" t="s">
        <v>366</v>
      </c>
      <c r="C822" s="9" t="s">
        <v>18</v>
      </c>
      <c r="D822" s="37" t="s">
        <v>57</v>
      </c>
      <c r="E822" s="14"/>
      <c r="F822" s="15">
        <v>1.0</v>
      </c>
      <c r="G822" s="37" t="s">
        <v>65</v>
      </c>
      <c r="H822" s="31" t="e">
        <v>#N/A</v>
      </c>
      <c r="I822" s="31" t="e">
        <v>#N/A</v>
      </c>
      <c r="J822" s="15">
        <v>1.0</v>
      </c>
    </row>
    <row r="823">
      <c r="A823" s="11">
        <v>46147.001226747685</v>
      </c>
      <c r="B823" s="9" t="s">
        <v>320</v>
      </c>
      <c r="C823" s="9" t="s">
        <v>335</v>
      </c>
      <c r="D823" s="9" t="s">
        <v>19</v>
      </c>
      <c r="E823" s="14"/>
      <c r="F823" s="15">
        <v>1.0</v>
      </c>
      <c r="G823" s="37" t="s">
        <v>65</v>
      </c>
      <c r="H823" s="31" t="e">
        <v>#N/A</v>
      </c>
      <c r="I823" s="31" t="e">
        <v>#N/A</v>
      </c>
      <c r="J823" s="15">
        <v>1.0</v>
      </c>
    </row>
    <row r="824">
      <c r="A824" s="11">
        <v>46147.00500377315</v>
      </c>
      <c r="B824" s="9" t="s">
        <v>18</v>
      </c>
      <c r="C824" s="9" t="s">
        <v>245</v>
      </c>
      <c r="D824" s="37" t="s">
        <v>57</v>
      </c>
      <c r="E824" s="14"/>
      <c r="F824" s="15">
        <v>1.0</v>
      </c>
      <c r="G824" s="37" t="s">
        <v>65</v>
      </c>
      <c r="H824" s="31" t="e">
        <v>#N/A</v>
      </c>
      <c r="I824" s="31" t="e">
        <v>#N/A</v>
      </c>
      <c r="J824" s="15">
        <v>1.0</v>
      </c>
    </row>
    <row r="825">
      <c r="A825" s="11">
        <v>46147.015047395835</v>
      </c>
      <c r="B825" s="9" t="s">
        <v>332</v>
      </c>
      <c r="C825" s="9" t="s">
        <v>323</v>
      </c>
      <c r="D825" s="9" t="s">
        <v>19</v>
      </c>
      <c r="E825" s="14"/>
      <c r="F825" s="15">
        <v>1.0</v>
      </c>
      <c r="G825" s="37" t="s">
        <v>65</v>
      </c>
      <c r="H825" s="31" t="e">
        <v>#N/A</v>
      </c>
      <c r="I825" s="31" t="e">
        <v>#N/A</v>
      </c>
      <c r="J825" s="15">
        <v>1.0</v>
      </c>
    </row>
    <row r="826">
      <c r="A826" s="11">
        <v>46147.02880847223</v>
      </c>
      <c r="B826" s="9" t="s">
        <v>355</v>
      </c>
      <c r="C826" s="9" t="s">
        <v>245</v>
      </c>
      <c r="D826" s="9" t="s">
        <v>19</v>
      </c>
      <c r="E826" s="14"/>
      <c r="F826" s="15">
        <v>1.0</v>
      </c>
      <c r="G826" s="37" t="s">
        <v>65</v>
      </c>
      <c r="H826" s="31" t="e">
        <v>#N/A</v>
      </c>
      <c r="I826" s="31" t="e">
        <v>#N/A</v>
      </c>
      <c r="J826" s="15">
        <v>1.0</v>
      </c>
    </row>
    <row r="827">
      <c r="A827" s="11">
        <v>46147.03394637731</v>
      </c>
      <c r="B827" s="9" t="s">
        <v>18</v>
      </c>
      <c r="C827" s="9" t="s">
        <v>332</v>
      </c>
      <c r="D827" s="9" t="s">
        <v>19</v>
      </c>
      <c r="E827" s="14"/>
      <c r="F827" s="15">
        <v>1.0</v>
      </c>
      <c r="G827" s="37" t="s">
        <v>65</v>
      </c>
      <c r="H827" s="31" t="e">
        <v>#N/A</v>
      </c>
      <c r="I827" s="31" t="e">
        <v>#N/A</v>
      </c>
      <c r="J827" s="15">
        <v>1.0</v>
      </c>
    </row>
    <row r="828">
      <c r="A828" s="11">
        <v>46147.05376591435</v>
      </c>
      <c r="B828" s="9" t="s">
        <v>355</v>
      </c>
      <c r="C828" s="9" t="s">
        <v>323</v>
      </c>
      <c r="D828" s="9" t="s">
        <v>19</v>
      </c>
      <c r="E828" s="14"/>
      <c r="F828" s="15">
        <v>1.0</v>
      </c>
      <c r="G828" s="37" t="s">
        <v>65</v>
      </c>
      <c r="H828" s="31" t="e">
        <v>#N/A</v>
      </c>
      <c r="I828" s="31" t="e">
        <v>#N/A</v>
      </c>
      <c r="J828" s="15">
        <v>1.0</v>
      </c>
    </row>
    <row r="829">
      <c r="A829" s="11">
        <v>46147.08077771991</v>
      </c>
      <c r="B829" s="9" t="s">
        <v>67</v>
      </c>
      <c r="C829" s="9" t="s">
        <v>266</v>
      </c>
      <c r="D829" s="37" t="s">
        <v>57</v>
      </c>
      <c r="E829" s="14"/>
      <c r="F829" s="15">
        <v>1.0</v>
      </c>
      <c r="G829" s="37" t="s">
        <v>65</v>
      </c>
      <c r="H829" s="31" t="e">
        <v>#N/A</v>
      </c>
      <c r="I829" s="31" t="e">
        <v>#N/A</v>
      </c>
      <c r="J829" s="15">
        <v>1.0</v>
      </c>
    </row>
    <row r="830">
      <c r="A830" s="11">
        <v>46147.08775788195</v>
      </c>
      <c r="B830" s="9" t="s">
        <v>195</v>
      </c>
      <c r="C830" s="9" t="s">
        <v>355</v>
      </c>
      <c r="D830" s="37" t="s">
        <v>57</v>
      </c>
      <c r="E830" s="14"/>
      <c r="F830" s="15">
        <v>1.0</v>
      </c>
      <c r="G830" s="37" t="s">
        <v>65</v>
      </c>
      <c r="H830" s="31" t="e">
        <v>#N/A</v>
      </c>
      <c r="I830" s="31" t="e">
        <v>#N/A</v>
      </c>
      <c r="J830" s="15">
        <v>1.0</v>
      </c>
    </row>
    <row r="831">
      <c r="A831" s="11">
        <v>46147.27151039352</v>
      </c>
      <c r="B831" s="9" t="s">
        <v>107</v>
      </c>
      <c r="C831" s="9" t="s">
        <v>287</v>
      </c>
      <c r="D831" s="37" t="s">
        <v>57</v>
      </c>
      <c r="E831" s="14"/>
      <c r="F831" s="15">
        <v>1.0</v>
      </c>
      <c r="G831" s="37" t="s">
        <v>65</v>
      </c>
      <c r="H831" s="31" t="e">
        <v>#N/A</v>
      </c>
      <c r="I831" s="31" t="e">
        <v>#N/A</v>
      </c>
      <c r="J831" s="15">
        <v>1.0</v>
      </c>
    </row>
    <row r="832">
      <c r="A832" s="11">
        <v>46147.31887079861</v>
      </c>
      <c r="B832" s="9" t="s">
        <v>213</v>
      </c>
      <c r="C832" s="9" t="s">
        <v>368</v>
      </c>
      <c r="D832" s="9" t="s">
        <v>19</v>
      </c>
      <c r="E832" s="14"/>
      <c r="F832" s="15">
        <v>1.0</v>
      </c>
      <c r="G832" s="37" t="s">
        <v>65</v>
      </c>
      <c r="H832" s="31" t="e">
        <v>#N/A</v>
      </c>
      <c r="I832" s="31" t="e">
        <v>#N/A</v>
      </c>
      <c r="J832" s="15">
        <v>1.0</v>
      </c>
    </row>
    <row r="833">
      <c r="A833" s="11">
        <v>46147.3233928125</v>
      </c>
      <c r="B833" s="9" t="s">
        <v>185</v>
      </c>
      <c r="C833" s="9" t="s">
        <v>167</v>
      </c>
      <c r="D833" s="9" t="s">
        <v>19</v>
      </c>
      <c r="E833" s="14"/>
      <c r="F833" s="15">
        <v>1.0</v>
      </c>
      <c r="G833" s="37" t="s">
        <v>65</v>
      </c>
      <c r="H833" s="31" t="e">
        <v>#N/A</v>
      </c>
      <c r="I833" s="31" t="e">
        <v>#N/A</v>
      </c>
      <c r="J833" s="15">
        <v>1.0</v>
      </c>
    </row>
    <row r="834">
      <c r="A834" s="11">
        <v>46147.34569912037</v>
      </c>
      <c r="B834" s="9" t="s">
        <v>213</v>
      </c>
      <c r="C834" s="9" t="s">
        <v>350</v>
      </c>
      <c r="D834" s="9" t="s">
        <v>19</v>
      </c>
      <c r="E834" s="14"/>
      <c r="F834" s="15">
        <v>1.0</v>
      </c>
      <c r="G834" s="37" t="s">
        <v>65</v>
      </c>
      <c r="H834" s="31" t="e">
        <v>#N/A</v>
      </c>
      <c r="I834" s="31" t="e">
        <v>#N/A</v>
      </c>
      <c r="J834" s="15">
        <v>1.0</v>
      </c>
    </row>
    <row r="835">
      <c r="A835" s="11">
        <v>46147.46774572917</v>
      </c>
      <c r="B835" s="9" t="s">
        <v>213</v>
      </c>
      <c r="C835" s="9" t="s">
        <v>174</v>
      </c>
      <c r="D835" s="37" t="s">
        <v>57</v>
      </c>
      <c r="E835" s="14"/>
      <c r="F835" s="15">
        <v>1.0</v>
      </c>
      <c r="G835" s="37" t="s">
        <v>65</v>
      </c>
      <c r="H835" s="31" t="e">
        <v>#N/A</v>
      </c>
      <c r="I835" s="31" t="e">
        <v>#N/A</v>
      </c>
      <c r="J835" s="15">
        <v>1.0</v>
      </c>
    </row>
    <row r="836">
      <c r="A836" s="11">
        <v>46147.48605905093</v>
      </c>
      <c r="B836" s="9" t="s">
        <v>200</v>
      </c>
      <c r="C836" s="9" t="s">
        <v>328</v>
      </c>
      <c r="D836" s="37" t="s">
        <v>57</v>
      </c>
      <c r="E836" s="14"/>
      <c r="F836" s="15">
        <v>1.0</v>
      </c>
      <c r="G836" s="37" t="s">
        <v>65</v>
      </c>
      <c r="H836" s="31" t="e">
        <v>#N/A</v>
      </c>
      <c r="I836" s="31" t="e">
        <v>#N/A</v>
      </c>
      <c r="J836" s="15">
        <v>1.0</v>
      </c>
    </row>
    <row r="837">
      <c r="A837" s="11">
        <v>46147.51563435185</v>
      </c>
      <c r="B837" s="9" t="s">
        <v>174</v>
      </c>
      <c r="C837" s="9" t="s">
        <v>303</v>
      </c>
      <c r="D837" s="9" t="s">
        <v>19</v>
      </c>
      <c r="E837" s="54" t="s">
        <v>122</v>
      </c>
      <c r="F837" s="15">
        <v>1.0</v>
      </c>
      <c r="G837" s="37" t="s">
        <v>65</v>
      </c>
      <c r="H837" s="31" t="e">
        <v>#N/A</v>
      </c>
      <c r="I837" s="31" t="e">
        <v>#N/A</v>
      </c>
      <c r="J837" s="15">
        <v>1.0</v>
      </c>
    </row>
    <row r="838">
      <c r="A838" s="11">
        <v>46147.51707835648</v>
      </c>
      <c r="B838" s="9" t="s">
        <v>213</v>
      </c>
      <c r="C838" s="9" t="s">
        <v>84</v>
      </c>
      <c r="D838" s="37" t="s">
        <v>57</v>
      </c>
      <c r="E838" s="14"/>
      <c r="F838" s="15">
        <v>1.0</v>
      </c>
      <c r="G838" s="37" t="s">
        <v>65</v>
      </c>
      <c r="H838" s="31" t="e">
        <v>#N/A</v>
      </c>
      <c r="I838" s="31" t="e">
        <v>#N/A</v>
      </c>
      <c r="J838" s="15">
        <v>1.0</v>
      </c>
    </row>
    <row r="839">
      <c r="A839" s="11">
        <v>46147.52471820602</v>
      </c>
      <c r="B839" s="9" t="s">
        <v>85</v>
      </c>
      <c r="C839" s="9" t="s">
        <v>245</v>
      </c>
      <c r="D839" s="37" t="s">
        <v>57</v>
      </c>
      <c r="E839" s="54" t="s">
        <v>223</v>
      </c>
      <c r="F839" s="15">
        <v>1.0</v>
      </c>
      <c r="G839" s="37" t="s">
        <v>65</v>
      </c>
      <c r="H839" s="31" t="e">
        <v>#N/A</v>
      </c>
      <c r="I839" s="31" t="e">
        <v>#N/A</v>
      </c>
      <c r="J839" s="15">
        <v>1.0</v>
      </c>
    </row>
    <row r="840">
      <c r="A840" s="11">
        <v>46147.536267407406</v>
      </c>
      <c r="B840" s="9" t="s">
        <v>328</v>
      </c>
      <c r="C840" s="9" t="s">
        <v>359</v>
      </c>
      <c r="D840" s="9" t="s">
        <v>19</v>
      </c>
      <c r="E840" s="14"/>
      <c r="F840" s="15">
        <v>1.0</v>
      </c>
      <c r="G840" s="37" t="s">
        <v>65</v>
      </c>
      <c r="H840" s="31" t="e">
        <v>#N/A</v>
      </c>
      <c r="I840" s="31" t="e">
        <v>#N/A</v>
      </c>
      <c r="J840" s="15">
        <v>1.0</v>
      </c>
    </row>
    <row r="841">
      <c r="A841" s="11">
        <v>46147.54742171297</v>
      </c>
      <c r="B841" s="9" t="s">
        <v>114</v>
      </c>
      <c r="C841" s="9" t="s">
        <v>198</v>
      </c>
      <c r="D841" s="9" t="s">
        <v>19</v>
      </c>
      <c r="E841" s="14"/>
      <c r="F841" s="15">
        <v>1.0</v>
      </c>
      <c r="G841" s="37" t="s">
        <v>65</v>
      </c>
      <c r="H841" s="31" t="e">
        <v>#N/A</v>
      </c>
      <c r="I841" s="31" t="e">
        <v>#N/A</v>
      </c>
      <c r="J841" s="15">
        <v>1.0</v>
      </c>
    </row>
    <row r="842">
      <c r="A842" s="11">
        <v>46147.55287085648</v>
      </c>
      <c r="B842" s="9" t="s">
        <v>95</v>
      </c>
      <c r="C842" s="9" t="s">
        <v>354</v>
      </c>
      <c r="D842" s="37" t="s">
        <v>57</v>
      </c>
      <c r="E842" s="14"/>
      <c r="F842" s="15">
        <v>1.0</v>
      </c>
      <c r="G842" s="37" t="s">
        <v>65</v>
      </c>
      <c r="H842" s="31" t="e">
        <v>#N/A</v>
      </c>
      <c r="I842" s="31" t="e">
        <v>#N/A</v>
      </c>
      <c r="J842" s="15">
        <v>1.0</v>
      </c>
    </row>
    <row r="843">
      <c r="A843" s="11">
        <v>46147.55612710648</v>
      </c>
      <c r="B843" s="9" t="s">
        <v>245</v>
      </c>
      <c r="C843" s="9" t="s">
        <v>64</v>
      </c>
      <c r="D843" s="9" t="s">
        <v>19</v>
      </c>
      <c r="E843" s="54" t="s">
        <v>102</v>
      </c>
      <c r="F843" s="15">
        <v>1.0</v>
      </c>
      <c r="G843" s="37" t="s">
        <v>65</v>
      </c>
      <c r="H843" s="31" t="e">
        <v>#N/A</v>
      </c>
      <c r="I843" s="31" t="e">
        <v>#N/A</v>
      </c>
      <c r="J843" s="15">
        <v>1.0</v>
      </c>
    </row>
    <row r="844">
      <c r="A844" s="11">
        <v>46147.56375822917</v>
      </c>
      <c r="B844" s="9" t="s">
        <v>254</v>
      </c>
      <c r="C844" s="9" t="s">
        <v>114</v>
      </c>
      <c r="D844" s="37" t="s">
        <v>57</v>
      </c>
      <c r="E844" s="54" t="s">
        <v>452</v>
      </c>
      <c r="F844" s="15">
        <v>1.0</v>
      </c>
      <c r="G844" s="37" t="s">
        <v>65</v>
      </c>
      <c r="H844" s="31" t="e">
        <v>#N/A</v>
      </c>
      <c r="I844" s="31" t="e">
        <v>#N/A</v>
      </c>
      <c r="J844" s="15">
        <v>1.0</v>
      </c>
    </row>
    <row r="845">
      <c r="A845" s="11">
        <v>46147.57455269676</v>
      </c>
      <c r="B845" s="9" t="s">
        <v>198</v>
      </c>
      <c r="C845" s="9" t="s">
        <v>245</v>
      </c>
      <c r="D845" s="37" t="s">
        <v>57</v>
      </c>
      <c r="E845" s="14"/>
      <c r="F845" s="15">
        <v>1.0</v>
      </c>
      <c r="G845" s="37" t="s">
        <v>65</v>
      </c>
      <c r="H845" s="31" t="e">
        <v>#N/A</v>
      </c>
      <c r="I845" s="31" t="e">
        <v>#N/A</v>
      </c>
      <c r="J845" s="15">
        <v>1.0</v>
      </c>
    </row>
    <row r="846">
      <c r="A846" s="11">
        <v>46147.580742569444</v>
      </c>
      <c r="B846" s="9" t="s">
        <v>190</v>
      </c>
      <c r="C846" s="9" t="s">
        <v>254</v>
      </c>
      <c r="D846" s="9" t="s">
        <v>19</v>
      </c>
      <c r="E846" s="54" t="s">
        <v>453</v>
      </c>
      <c r="F846" s="15">
        <v>1.0</v>
      </c>
      <c r="G846" s="37" t="s">
        <v>65</v>
      </c>
      <c r="H846" s="31" t="e">
        <v>#N/A</v>
      </c>
      <c r="I846" s="31" t="e">
        <v>#N/A</v>
      </c>
      <c r="J846" s="15">
        <v>1.0</v>
      </c>
    </row>
    <row r="847">
      <c r="A847" s="11">
        <v>46147.58356608797</v>
      </c>
      <c r="B847" s="9" t="s">
        <v>205</v>
      </c>
      <c r="C847" s="9" t="s">
        <v>256</v>
      </c>
      <c r="D847" s="37" t="s">
        <v>57</v>
      </c>
      <c r="E847" s="54" t="s">
        <v>321</v>
      </c>
      <c r="F847" s="15">
        <v>1.0</v>
      </c>
      <c r="G847" s="37" t="s">
        <v>65</v>
      </c>
      <c r="H847" s="31" t="e">
        <v>#N/A</v>
      </c>
      <c r="I847" s="31" t="e">
        <v>#N/A</v>
      </c>
      <c r="J847" s="15">
        <v>1.0</v>
      </c>
    </row>
    <row r="848">
      <c r="A848" s="11">
        <v>46147.58909908565</v>
      </c>
      <c r="B848" s="9" t="s">
        <v>198</v>
      </c>
      <c r="C848" s="9" t="s">
        <v>166</v>
      </c>
      <c r="D848" s="9" t="s">
        <v>19</v>
      </c>
      <c r="E848" s="14"/>
      <c r="F848" s="15">
        <v>1.0</v>
      </c>
      <c r="G848" s="37" t="s">
        <v>65</v>
      </c>
      <c r="H848" s="31" t="e">
        <v>#N/A</v>
      </c>
      <c r="I848" s="31" t="e">
        <v>#N/A</v>
      </c>
      <c r="J848" s="15">
        <v>1.0</v>
      </c>
    </row>
    <row r="849">
      <c r="A849" s="11">
        <v>46147.601890844904</v>
      </c>
      <c r="B849" s="9" t="s">
        <v>254</v>
      </c>
      <c r="C849" s="9" t="s">
        <v>205</v>
      </c>
      <c r="D849" s="37" t="s">
        <v>57</v>
      </c>
      <c r="E849" s="14"/>
      <c r="F849" s="15">
        <v>1.0</v>
      </c>
      <c r="G849" s="37" t="s">
        <v>65</v>
      </c>
      <c r="H849" s="31" t="e">
        <v>#N/A</v>
      </c>
      <c r="I849" s="31" t="e">
        <v>#N/A</v>
      </c>
      <c r="J849" s="15">
        <v>1.0</v>
      </c>
    </row>
    <row r="850">
      <c r="A850" s="11">
        <v>46147.60703403935</v>
      </c>
      <c r="B850" s="9" t="s">
        <v>354</v>
      </c>
      <c r="C850" s="9" t="s">
        <v>198</v>
      </c>
      <c r="D850" s="9" t="s">
        <v>19</v>
      </c>
      <c r="E850" s="14"/>
      <c r="F850" s="15">
        <v>1.0</v>
      </c>
      <c r="G850" s="37" t="s">
        <v>65</v>
      </c>
      <c r="H850" s="31" t="e">
        <v>#N/A</v>
      </c>
      <c r="I850" s="31" t="e">
        <v>#N/A</v>
      </c>
      <c r="J850" s="15">
        <v>1.0</v>
      </c>
    </row>
    <row r="851">
      <c r="A851" s="11">
        <v>46147.62073260416</v>
      </c>
      <c r="B851" s="9" t="s">
        <v>205</v>
      </c>
      <c r="C851" s="9" t="s">
        <v>366</v>
      </c>
      <c r="D851" s="9" t="s">
        <v>19</v>
      </c>
      <c r="E851" s="54" t="s">
        <v>321</v>
      </c>
      <c r="F851" s="15">
        <v>1.0</v>
      </c>
      <c r="G851" s="37" t="s">
        <v>65</v>
      </c>
      <c r="H851" s="31" t="e">
        <v>#N/A</v>
      </c>
      <c r="I851" s="31" t="e">
        <v>#N/A</v>
      </c>
      <c r="J851" s="15">
        <v>1.0</v>
      </c>
    </row>
    <row r="852">
      <c r="A852" s="11">
        <v>46147.62835049769</v>
      </c>
      <c r="B852" s="9" t="s">
        <v>254</v>
      </c>
      <c r="C852" s="9" t="s">
        <v>332</v>
      </c>
      <c r="D852" s="37" t="s">
        <v>57</v>
      </c>
      <c r="E852" s="54" t="s">
        <v>255</v>
      </c>
      <c r="F852" s="15">
        <v>1.0</v>
      </c>
      <c r="G852" s="37" t="s">
        <v>65</v>
      </c>
      <c r="H852" s="31" t="e">
        <v>#N/A</v>
      </c>
      <c r="I852" s="31" t="e">
        <v>#N/A</v>
      </c>
      <c r="J852" s="15">
        <v>1.0</v>
      </c>
    </row>
    <row r="853">
      <c r="A853" s="11">
        <v>46147.63924722222</v>
      </c>
      <c r="B853" s="9" t="s">
        <v>256</v>
      </c>
      <c r="C853" s="9" t="s">
        <v>294</v>
      </c>
      <c r="D853" s="37" t="s">
        <v>57</v>
      </c>
      <c r="E853" s="54" t="s">
        <v>454</v>
      </c>
      <c r="F853" s="15">
        <v>1.0</v>
      </c>
      <c r="G853" s="37" t="s">
        <v>65</v>
      </c>
      <c r="H853" s="31" t="e">
        <v>#N/A</v>
      </c>
      <c r="I853" s="31" t="e">
        <v>#N/A</v>
      </c>
      <c r="J853" s="15">
        <v>1.0</v>
      </c>
    </row>
    <row r="854">
      <c r="A854" s="11">
        <v>46147.64007393518</v>
      </c>
      <c r="B854" s="9" t="s">
        <v>205</v>
      </c>
      <c r="C854" s="9" t="s">
        <v>401</v>
      </c>
      <c r="D854" s="37" t="s">
        <v>57</v>
      </c>
      <c r="E854" s="54" t="s">
        <v>321</v>
      </c>
      <c r="F854" s="15">
        <v>1.0</v>
      </c>
      <c r="G854" s="37" t="s">
        <v>65</v>
      </c>
      <c r="H854" s="31" t="e">
        <v>#N/A</v>
      </c>
      <c r="I854" s="31" t="e">
        <v>#N/A</v>
      </c>
      <c r="J854" s="15">
        <v>1.0</v>
      </c>
    </row>
    <row r="855">
      <c r="A855" s="11">
        <v>46147.641687407406</v>
      </c>
      <c r="B855" s="9" t="s">
        <v>263</v>
      </c>
      <c r="C855" s="9" t="s">
        <v>218</v>
      </c>
      <c r="D855" s="9" t="s">
        <v>19</v>
      </c>
      <c r="E855" s="54" t="s">
        <v>455</v>
      </c>
      <c r="F855" s="15">
        <v>1.0</v>
      </c>
      <c r="G855" s="37" t="s">
        <v>65</v>
      </c>
      <c r="H855" s="31" t="e">
        <v>#N/A</v>
      </c>
      <c r="I855" s="31" t="e">
        <v>#N/A</v>
      </c>
      <c r="J855" s="15">
        <v>1.0</v>
      </c>
    </row>
    <row r="856">
      <c r="A856" s="11">
        <v>46147.65723273148</v>
      </c>
      <c r="B856" s="9" t="s">
        <v>185</v>
      </c>
      <c r="C856" s="9" t="s">
        <v>254</v>
      </c>
      <c r="D856" s="9" t="s">
        <v>19</v>
      </c>
      <c r="E856" s="14"/>
      <c r="F856" s="15">
        <v>1.0</v>
      </c>
      <c r="G856" s="37" t="s">
        <v>65</v>
      </c>
      <c r="H856" s="31" t="e">
        <v>#N/A</v>
      </c>
      <c r="I856" s="31" t="e">
        <v>#N/A</v>
      </c>
      <c r="J856" s="15">
        <v>1.0</v>
      </c>
    </row>
    <row r="857">
      <c r="A857" s="11">
        <v>46147.67299273148</v>
      </c>
      <c r="B857" s="9" t="s">
        <v>84</v>
      </c>
      <c r="C857" s="9" t="s">
        <v>218</v>
      </c>
      <c r="D857" s="9" t="s">
        <v>19</v>
      </c>
      <c r="E857" s="14"/>
      <c r="F857" s="15">
        <v>1.0</v>
      </c>
      <c r="G857" s="37" t="s">
        <v>65</v>
      </c>
      <c r="H857" s="31" t="e">
        <v>#N/A</v>
      </c>
      <c r="I857" s="31" t="e">
        <v>#N/A</v>
      </c>
      <c r="J857" s="15">
        <v>1.0</v>
      </c>
    </row>
    <row r="858">
      <c r="A858" s="11">
        <v>46147.684693981486</v>
      </c>
      <c r="B858" s="9" t="s">
        <v>263</v>
      </c>
      <c r="C858" s="9" t="s">
        <v>239</v>
      </c>
      <c r="D858" s="37" t="s">
        <v>57</v>
      </c>
      <c r="E858" s="54" t="s">
        <v>265</v>
      </c>
      <c r="F858" s="15">
        <v>1.0</v>
      </c>
      <c r="G858" s="37" t="s">
        <v>65</v>
      </c>
      <c r="H858" s="31" t="e">
        <v>#N/A</v>
      </c>
      <c r="I858" s="31" t="e">
        <v>#N/A</v>
      </c>
      <c r="J858" s="15">
        <v>1.0</v>
      </c>
    </row>
    <row r="859">
      <c r="A859" s="11">
        <v>46147.691848773145</v>
      </c>
      <c r="B859" s="9" t="s">
        <v>401</v>
      </c>
      <c r="C859" s="9" t="s">
        <v>326</v>
      </c>
      <c r="D859" s="9" t="s">
        <v>19</v>
      </c>
      <c r="E859" s="54" t="s">
        <v>122</v>
      </c>
      <c r="F859" s="15">
        <v>1.0</v>
      </c>
      <c r="G859" s="37" t="s">
        <v>65</v>
      </c>
      <c r="H859" s="31" t="e">
        <v>#N/A</v>
      </c>
      <c r="I859" s="31" t="e">
        <v>#N/A</v>
      </c>
      <c r="J859" s="15">
        <v>1.0</v>
      </c>
    </row>
    <row r="860">
      <c r="A860" s="11">
        <v>46147.69988871527</v>
      </c>
      <c r="B860" s="9" t="s">
        <v>336</v>
      </c>
      <c r="C860" s="9" t="s">
        <v>235</v>
      </c>
      <c r="D860" s="37" t="s">
        <v>57</v>
      </c>
      <c r="E860" s="54" t="s">
        <v>140</v>
      </c>
      <c r="F860" s="15">
        <v>1.0</v>
      </c>
      <c r="G860" s="37" t="s">
        <v>65</v>
      </c>
      <c r="H860" s="31" t="e">
        <v>#N/A</v>
      </c>
      <c r="I860" s="31" t="e">
        <v>#N/A</v>
      </c>
      <c r="J860" s="15">
        <v>1.0</v>
      </c>
    </row>
    <row r="861">
      <c r="A861" s="11">
        <v>46147.7179716088</v>
      </c>
      <c r="B861" s="9" t="s">
        <v>79</v>
      </c>
      <c r="C861" s="9" t="s">
        <v>84</v>
      </c>
      <c r="D861" s="9" t="s">
        <v>19</v>
      </c>
      <c r="E861" s="14"/>
      <c r="F861" s="15">
        <v>1.0</v>
      </c>
      <c r="G861" s="37" t="s">
        <v>65</v>
      </c>
      <c r="H861" s="31" t="e">
        <v>#N/A</v>
      </c>
      <c r="I861" s="31" t="e">
        <v>#N/A</v>
      </c>
      <c r="J861" s="15">
        <v>1.0</v>
      </c>
    </row>
    <row r="862">
      <c r="A862" s="11">
        <v>46147.72015927083</v>
      </c>
      <c r="B862" s="9" t="s">
        <v>350</v>
      </c>
      <c r="C862" s="9" t="s">
        <v>294</v>
      </c>
      <c r="D862" s="9" t="s">
        <v>19</v>
      </c>
      <c r="E862" s="14"/>
      <c r="F862" s="15">
        <v>1.0</v>
      </c>
      <c r="G862" s="37" t="s">
        <v>65</v>
      </c>
      <c r="H862" s="31" t="e">
        <v>#N/A</v>
      </c>
      <c r="I862" s="31" t="e">
        <v>#N/A</v>
      </c>
      <c r="J862" s="15">
        <v>1.0</v>
      </c>
    </row>
    <row r="863">
      <c r="A863" s="11">
        <v>46147.728750173614</v>
      </c>
      <c r="B863" s="9" t="s">
        <v>373</v>
      </c>
      <c r="C863" s="9" t="s">
        <v>337</v>
      </c>
      <c r="D863" s="37" t="s">
        <v>57</v>
      </c>
      <c r="E863" s="14"/>
      <c r="F863" s="15">
        <v>1.0</v>
      </c>
      <c r="G863" s="37" t="s">
        <v>65</v>
      </c>
      <c r="H863" s="31" t="e">
        <v>#N/A</v>
      </c>
      <c r="I863" s="31" t="e">
        <v>#N/A</v>
      </c>
      <c r="J863" s="15">
        <v>1.0</v>
      </c>
    </row>
    <row r="864">
      <c r="A864" s="11">
        <v>46147.74265743056</v>
      </c>
      <c r="B864" s="9" t="s">
        <v>79</v>
      </c>
      <c r="C864" s="9" t="s">
        <v>350</v>
      </c>
      <c r="D864" s="37" t="s">
        <v>57</v>
      </c>
      <c r="E864" s="14"/>
      <c r="F864" s="15">
        <v>1.0</v>
      </c>
      <c r="G864" s="37" t="s">
        <v>65</v>
      </c>
      <c r="H864" s="31" t="e">
        <v>#N/A</v>
      </c>
      <c r="I864" s="31" t="e">
        <v>#N/A</v>
      </c>
      <c r="J864" s="15">
        <v>1.0</v>
      </c>
    </row>
    <row r="865">
      <c r="A865" s="11">
        <v>46147.744045706015</v>
      </c>
      <c r="B865" s="9" t="s">
        <v>373</v>
      </c>
      <c r="C865" s="9" t="s">
        <v>94</v>
      </c>
      <c r="D865" s="37" t="s">
        <v>57</v>
      </c>
      <c r="E865" s="14"/>
      <c r="F865" s="15">
        <v>1.0</v>
      </c>
      <c r="G865" s="37" t="s">
        <v>65</v>
      </c>
      <c r="H865" s="31" t="e">
        <v>#N/A</v>
      </c>
      <c r="I865" s="31" t="e">
        <v>#N/A</v>
      </c>
      <c r="J865" s="15">
        <v>1.0</v>
      </c>
    </row>
    <row r="866">
      <c r="A866" s="11">
        <v>46147.7628472338</v>
      </c>
      <c r="B866" s="9" t="s">
        <v>294</v>
      </c>
      <c r="C866" s="9" t="s">
        <v>55</v>
      </c>
      <c r="D866" s="9" t="s">
        <v>19</v>
      </c>
      <c r="E866" s="14"/>
      <c r="F866" s="15">
        <v>1.0</v>
      </c>
      <c r="G866" s="37" t="s">
        <v>65</v>
      </c>
      <c r="H866" s="31" t="e">
        <v>#N/A</v>
      </c>
      <c r="I866" s="31" t="e">
        <v>#N/A</v>
      </c>
      <c r="J866" s="15">
        <v>1.0</v>
      </c>
    </row>
    <row r="867">
      <c r="A867" s="11">
        <v>46147.766397141204</v>
      </c>
      <c r="B867" s="9" t="s">
        <v>373</v>
      </c>
      <c r="C867" s="9" t="s">
        <v>161</v>
      </c>
      <c r="D867" s="37" t="s">
        <v>57</v>
      </c>
      <c r="E867" s="14"/>
      <c r="F867" s="15">
        <v>1.0</v>
      </c>
      <c r="G867" s="37" t="s">
        <v>65</v>
      </c>
      <c r="H867" s="31" t="e">
        <v>#N/A</v>
      </c>
      <c r="I867" s="31" t="e">
        <v>#N/A</v>
      </c>
      <c r="J867" s="15">
        <v>1.0</v>
      </c>
    </row>
    <row r="868">
      <c r="A868" s="11">
        <v>46147.79461510417</v>
      </c>
      <c r="B868" s="9" t="s">
        <v>55</v>
      </c>
      <c r="C868" s="9" t="s">
        <v>235</v>
      </c>
      <c r="D868" s="9" t="s">
        <v>19</v>
      </c>
      <c r="E868" s="14"/>
      <c r="F868" s="15">
        <v>1.0</v>
      </c>
      <c r="G868" s="37" t="s">
        <v>65</v>
      </c>
      <c r="H868" s="31" t="e">
        <v>#N/A</v>
      </c>
      <c r="I868" s="31" t="e">
        <v>#N/A</v>
      </c>
      <c r="J868" s="15">
        <v>1.0</v>
      </c>
    </row>
    <row r="869">
      <c r="A869" s="11">
        <v>46147.81853232639</v>
      </c>
      <c r="B869" s="9" t="s">
        <v>198</v>
      </c>
      <c r="C869" s="9" t="s">
        <v>288</v>
      </c>
      <c r="D869" s="37" t="s">
        <v>57</v>
      </c>
      <c r="E869" s="14"/>
      <c r="F869" s="15">
        <v>1.0</v>
      </c>
      <c r="G869" s="37" t="s">
        <v>65</v>
      </c>
      <c r="H869" s="31" t="e">
        <v>#N/A</v>
      </c>
      <c r="I869" s="31" t="e">
        <v>#N/A</v>
      </c>
      <c r="J869" s="15">
        <v>1.0</v>
      </c>
    </row>
    <row r="870">
      <c r="A870" s="11">
        <v>46147.81990822917</v>
      </c>
      <c r="B870" s="9" t="s">
        <v>409</v>
      </c>
      <c r="C870" s="9" t="s">
        <v>214</v>
      </c>
      <c r="D870" s="9" t="s">
        <v>19</v>
      </c>
      <c r="E870" s="14"/>
      <c r="F870" s="15">
        <v>1.0</v>
      </c>
      <c r="G870" s="37" t="s">
        <v>65</v>
      </c>
      <c r="H870" s="31" t="e">
        <v>#N/A</v>
      </c>
      <c r="I870" s="31" t="e">
        <v>#N/A</v>
      </c>
      <c r="J870" s="15">
        <v>1.0</v>
      </c>
    </row>
    <row r="871">
      <c r="A871" s="11">
        <v>46147.84205603009</v>
      </c>
      <c r="B871" s="9" t="s">
        <v>373</v>
      </c>
      <c r="C871" s="9" t="s">
        <v>409</v>
      </c>
      <c r="D871" s="37" t="s">
        <v>57</v>
      </c>
      <c r="E871" s="14"/>
      <c r="F871" s="15">
        <v>1.0</v>
      </c>
      <c r="G871" s="37" t="s">
        <v>65</v>
      </c>
      <c r="H871" s="31" t="e">
        <v>#N/A</v>
      </c>
      <c r="I871" s="31" t="e">
        <v>#N/A</v>
      </c>
      <c r="J871" s="15">
        <v>1.0</v>
      </c>
    </row>
    <row r="872">
      <c r="A872" s="11">
        <v>46147.85775758102</v>
      </c>
      <c r="B872" s="9" t="s">
        <v>300</v>
      </c>
      <c r="C872" s="9" t="s">
        <v>306</v>
      </c>
      <c r="D872" s="9" t="s">
        <v>19</v>
      </c>
      <c r="E872" s="14"/>
      <c r="F872" s="15">
        <v>1.0</v>
      </c>
      <c r="G872" s="37" t="s">
        <v>65</v>
      </c>
      <c r="H872" s="31" t="e">
        <v>#N/A</v>
      </c>
      <c r="I872" s="31" t="e">
        <v>#N/A</v>
      </c>
      <c r="J872" s="15">
        <v>1.0</v>
      </c>
    </row>
    <row r="873">
      <c r="A873" s="11">
        <v>46147.85798399306</v>
      </c>
      <c r="B873" s="9" t="s">
        <v>137</v>
      </c>
      <c r="C873" s="9" t="s">
        <v>368</v>
      </c>
      <c r="D873" s="9" t="s">
        <v>19</v>
      </c>
      <c r="E873" s="54" t="s">
        <v>456</v>
      </c>
      <c r="F873" s="15">
        <v>1.0</v>
      </c>
      <c r="G873" s="37" t="s">
        <v>65</v>
      </c>
      <c r="H873" s="31" t="e">
        <v>#N/A</v>
      </c>
      <c r="I873" s="31" t="e">
        <v>#N/A</v>
      </c>
      <c r="J873" s="15">
        <v>1.0</v>
      </c>
    </row>
    <row r="874">
      <c r="A874" s="11">
        <v>46147.85986332176</v>
      </c>
      <c r="B874" s="9" t="s">
        <v>93</v>
      </c>
      <c r="C874" s="9" t="s">
        <v>394</v>
      </c>
      <c r="D874" s="9" t="s">
        <v>19</v>
      </c>
      <c r="E874" s="54" t="s">
        <v>108</v>
      </c>
      <c r="F874" s="15">
        <v>1.0</v>
      </c>
      <c r="G874" s="37" t="s">
        <v>65</v>
      </c>
      <c r="H874" s="31" t="e">
        <v>#N/A</v>
      </c>
      <c r="I874" s="31" t="e">
        <v>#N/A</v>
      </c>
      <c r="J874" s="15">
        <v>1.0</v>
      </c>
    </row>
    <row r="875">
      <c r="A875" s="11">
        <v>46147.871546863425</v>
      </c>
      <c r="B875" s="9" t="s">
        <v>345</v>
      </c>
      <c r="C875" s="9" t="s">
        <v>214</v>
      </c>
      <c r="D875" s="9" t="s">
        <v>19</v>
      </c>
      <c r="E875" s="54" t="s">
        <v>112</v>
      </c>
      <c r="F875" s="15">
        <v>1.0</v>
      </c>
      <c r="G875" s="37" t="s">
        <v>65</v>
      </c>
      <c r="H875" s="31" t="e">
        <v>#N/A</v>
      </c>
      <c r="I875" s="31" t="e">
        <v>#N/A</v>
      </c>
      <c r="J875" s="15">
        <v>1.0</v>
      </c>
    </row>
    <row r="876">
      <c r="A876" s="11">
        <v>46147.878403587965</v>
      </c>
      <c r="B876" s="9" t="s">
        <v>227</v>
      </c>
      <c r="C876" s="9" t="s">
        <v>226</v>
      </c>
      <c r="D876" s="9" t="s">
        <v>19</v>
      </c>
      <c r="E876" s="14"/>
      <c r="F876" s="15">
        <v>1.0</v>
      </c>
      <c r="G876" s="37" t="s">
        <v>65</v>
      </c>
      <c r="H876" s="31" t="e">
        <v>#N/A</v>
      </c>
      <c r="I876" s="31" t="e">
        <v>#N/A</v>
      </c>
      <c r="J876" s="15">
        <v>1.0</v>
      </c>
    </row>
    <row r="877">
      <c r="A877" s="11">
        <v>46147.87982231482</v>
      </c>
      <c r="B877" s="9" t="s">
        <v>409</v>
      </c>
      <c r="C877" s="9" t="s">
        <v>349</v>
      </c>
      <c r="D877" s="37" t="s">
        <v>57</v>
      </c>
      <c r="E877" s="14"/>
      <c r="F877" s="15">
        <v>1.0</v>
      </c>
      <c r="G877" s="37" t="s">
        <v>65</v>
      </c>
      <c r="H877" s="31" t="e">
        <v>#N/A</v>
      </c>
      <c r="I877" s="31" t="e">
        <v>#N/A</v>
      </c>
      <c r="J877" s="15">
        <v>1.0</v>
      </c>
    </row>
    <row r="878">
      <c r="A878" s="11">
        <v>46147.88165820602</v>
      </c>
      <c r="B878" s="9" t="s">
        <v>137</v>
      </c>
      <c r="C878" s="9" t="s">
        <v>300</v>
      </c>
      <c r="D878" s="37" t="s">
        <v>57</v>
      </c>
      <c r="E878" s="54" t="s">
        <v>457</v>
      </c>
      <c r="F878" s="15">
        <v>1.0</v>
      </c>
      <c r="G878" s="37" t="s">
        <v>65</v>
      </c>
      <c r="H878" s="31" t="e">
        <v>#N/A</v>
      </c>
      <c r="I878" s="31" t="e">
        <v>#N/A</v>
      </c>
      <c r="J878" s="15">
        <v>1.0</v>
      </c>
    </row>
    <row r="879">
      <c r="A879" s="11">
        <v>46147.89136409722</v>
      </c>
      <c r="B879" s="9" t="s">
        <v>83</v>
      </c>
      <c r="C879" s="9" t="s">
        <v>143</v>
      </c>
      <c r="D879" s="37" t="s">
        <v>57</v>
      </c>
      <c r="E879" s="54" t="s">
        <v>122</v>
      </c>
      <c r="F879" s="15">
        <v>1.0</v>
      </c>
      <c r="G879" s="37" t="s">
        <v>65</v>
      </c>
      <c r="H879" s="31" t="e">
        <v>#N/A</v>
      </c>
      <c r="I879" s="31" t="e">
        <v>#N/A</v>
      </c>
      <c r="J879" s="15">
        <v>1.0</v>
      </c>
    </row>
    <row r="880">
      <c r="A880" s="11">
        <v>46147.89582766204</v>
      </c>
      <c r="B880" s="9" t="s">
        <v>277</v>
      </c>
      <c r="C880" s="9" t="s">
        <v>394</v>
      </c>
      <c r="D880" s="37" t="s">
        <v>57</v>
      </c>
      <c r="E880" s="14"/>
      <c r="F880" s="15">
        <v>1.0</v>
      </c>
      <c r="G880" s="37" t="s">
        <v>65</v>
      </c>
      <c r="H880" s="31" t="e">
        <v>#N/A</v>
      </c>
      <c r="I880" s="31" t="e">
        <v>#N/A</v>
      </c>
      <c r="J880" s="15">
        <v>1.0</v>
      </c>
    </row>
    <row r="881">
      <c r="A881" s="11">
        <v>46147.896567268515</v>
      </c>
      <c r="B881" s="9" t="s">
        <v>345</v>
      </c>
      <c r="C881" s="9" t="s">
        <v>257</v>
      </c>
      <c r="D881" s="37" t="s">
        <v>57</v>
      </c>
      <c r="E881" s="54" t="s">
        <v>112</v>
      </c>
      <c r="F881" s="15">
        <v>1.0</v>
      </c>
      <c r="G881" s="37" t="s">
        <v>65</v>
      </c>
      <c r="H881" s="31" t="e">
        <v>#N/A</v>
      </c>
      <c r="I881" s="31" t="e">
        <v>#N/A</v>
      </c>
      <c r="J881" s="15">
        <v>1.0</v>
      </c>
    </row>
    <row r="882">
      <c r="A882" s="11">
        <v>46147.91387446759</v>
      </c>
      <c r="B882" s="9" t="s">
        <v>345</v>
      </c>
      <c r="C882" s="9" t="s">
        <v>181</v>
      </c>
      <c r="D882" s="37" t="s">
        <v>57</v>
      </c>
      <c r="E882" s="54" t="s">
        <v>112</v>
      </c>
      <c r="F882" s="15">
        <v>1.0</v>
      </c>
      <c r="G882" s="37" t="s">
        <v>65</v>
      </c>
      <c r="H882" s="31" t="e">
        <v>#N/A</v>
      </c>
      <c r="I882" s="31" t="e">
        <v>#N/A</v>
      </c>
      <c r="J882" s="15">
        <v>1.0</v>
      </c>
    </row>
    <row r="883">
      <c r="A883" s="11">
        <v>46147.91395645833</v>
      </c>
      <c r="B883" s="9" t="s">
        <v>218</v>
      </c>
      <c r="C883" s="9" t="s">
        <v>137</v>
      </c>
      <c r="D883" s="37" t="s">
        <v>57</v>
      </c>
      <c r="E883" s="14"/>
      <c r="F883" s="15">
        <v>1.0</v>
      </c>
      <c r="G883" s="37" t="s">
        <v>65</v>
      </c>
      <c r="H883" s="31" t="e">
        <v>#N/A</v>
      </c>
      <c r="I883" s="31" t="e">
        <v>#N/A</v>
      </c>
      <c r="J883" s="15">
        <v>1.0</v>
      </c>
    </row>
    <row r="884">
      <c r="A884" s="11">
        <v>46147.91756905093</v>
      </c>
      <c r="B884" s="9" t="s">
        <v>397</v>
      </c>
      <c r="C884" s="9" t="s">
        <v>158</v>
      </c>
      <c r="D884" s="9" t="s">
        <v>19</v>
      </c>
      <c r="E884" s="14"/>
      <c r="F884" s="15">
        <v>1.0</v>
      </c>
      <c r="G884" s="37" t="s">
        <v>65</v>
      </c>
      <c r="H884" s="31" t="e">
        <v>#N/A</v>
      </c>
      <c r="I884" s="31" t="e">
        <v>#N/A</v>
      </c>
      <c r="J884" s="15">
        <v>1.0</v>
      </c>
    </row>
    <row r="885">
      <c r="A885" s="11">
        <v>46147.92381034722</v>
      </c>
      <c r="B885" s="9" t="s">
        <v>238</v>
      </c>
      <c r="C885" s="9" t="s">
        <v>227</v>
      </c>
      <c r="D885" s="9" t="s">
        <v>19</v>
      </c>
      <c r="E885" s="54" t="s">
        <v>383</v>
      </c>
      <c r="F885" s="15">
        <v>1.0</v>
      </c>
      <c r="G885" s="37" t="s">
        <v>65</v>
      </c>
      <c r="H885" s="31" t="e">
        <v>#N/A</v>
      </c>
      <c r="I885" s="31" t="e">
        <v>#N/A</v>
      </c>
      <c r="J885" s="15">
        <v>1.0</v>
      </c>
    </row>
    <row r="886">
      <c r="A886" s="11">
        <v>46147.92439173612</v>
      </c>
      <c r="B886" s="9" t="s">
        <v>312</v>
      </c>
      <c r="C886" s="9" t="s">
        <v>259</v>
      </c>
      <c r="D886" s="37" t="s">
        <v>57</v>
      </c>
      <c r="E886" s="54" t="s">
        <v>458</v>
      </c>
      <c r="F886" s="15">
        <v>1.0</v>
      </c>
      <c r="G886" s="37" t="s">
        <v>65</v>
      </c>
      <c r="H886" s="31" t="e">
        <v>#N/A</v>
      </c>
      <c r="I886" s="31" t="e">
        <v>#N/A</v>
      </c>
      <c r="J886" s="15">
        <v>1.0</v>
      </c>
    </row>
    <row r="887">
      <c r="A887" s="11">
        <v>46147.92821629629</v>
      </c>
      <c r="B887" s="9" t="s">
        <v>342</v>
      </c>
      <c r="C887" s="9" t="s">
        <v>376</v>
      </c>
      <c r="D887" s="9" t="s">
        <v>19</v>
      </c>
      <c r="E887" s="14"/>
      <c r="F887" s="15">
        <v>1.0</v>
      </c>
      <c r="G887" s="37" t="s">
        <v>65</v>
      </c>
      <c r="H887" s="31" t="e">
        <v>#N/A</v>
      </c>
      <c r="I887" s="31" t="e">
        <v>#N/A</v>
      </c>
      <c r="J887" s="15">
        <v>1.0</v>
      </c>
    </row>
    <row r="888">
      <c r="A888" s="11">
        <v>46147.93488868055</v>
      </c>
      <c r="B888" s="9" t="s">
        <v>349</v>
      </c>
      <c r="C888" s="9" t="s">
        <v>318</v>
      </c>
      <c r="D888" s="37" t="s">
        <v>57</v>
      </c>
      <c r="E888" s="14"/>
      <c r="F888" s="15">
        <v>1.0</v>
      </c>
      <c r="G888" s="37" t="s">
        <v>65</v>
      </c>
      <c r="H888" s="31" t="e">
        <v>#N/A</v>
      </c>
      <c r="I888" s="31" t="e">
        <v>#N/A</v>
      </c>
      <c r="J888" s="15">
        <v>1.0</v>
      </c>
    </row>
    <row r="889">
      <c r="A889" s="11">
        <v>46147.940859027774</v>
      </c>
      <c r="B889" s="9" t="s">
        <v>397</v>
      </c>
      <c r="C889" s="9" t="s">
        <v>257</v>
      </c>
      <c r="D889" s="9" t="s">
        <v>19</v>
      </c>
      <c r="E889" s="14"/>
      <c r="F889" s="15">
        <v>1.0</v>
      </c>
      <c r="G889" s="37" t="s">
        <v>65</v>
      </c>
      <c r="H889" s="31" t="e">
        <v>#N/A</v>
      </c>
      <c r="I889" s="31" t="e">
        <v>#N/A</v>
      </c>
      <c r="J889" s="15">
        <v>1.0</v>
      </c>
    </row>
    <row r="890">
      <c r="A890" s="11">
        <v>46147.947586168986</v>
      </c>
      <c r="B890" s="9" t="s">
        <v>83</v>
      </c>
      <c r="C890" s="9" t="s">
        <v>137</v>
      </c>
      <c r="D890" s="9" t="s">
        <v>19</v>
      </c>
      <c r="E890" s="54" t="s">
        <v>122</v>
      </c>
      <c r="F890" s="15">
        <v>1.0</v>
      </c>
      <c r="G890" s="37" t="s">
        <v>65</v>
      </c>
      <c r="H890" s="31" t="e">
        <v>#N/A</v>
      </c>
      <c r="I890" s="31" t="e">
        <v>#N/A</v>
      </c>
      <c r="J890" s="15">
        <v>1.0</v>
      </c>
    </row>
    <row r="891">
      <c r="A891" s="11">
        <v>46147.9483259838</v>
      </c>
      <c r="B891" s="9" t="s">
        <v>326</v>
      </c>
      <c r="C891" s="9" t="s">
        <v>275</v>
      </c>
      <c r="D891" s="37" t="s">
        <v>57</v>
      </c>
      <c r="E891" s="54" t="s">
        <v>459</v>
      </c>
      <c r="F891" s="15">
        <v>1.0</v>
      </c>
      <c r="G891" s="37" t="s">
        <v>65</v>
      </c>
      <c r="H891" s="31" t="e">
        <v>#N/A</v>
      </c>
      <c r="I891" s="31" t="e">
        <v>#N/A</v>
      </c>
      <c r="J891" s="15">
        <v>1.0</v>
      </c>
    </row>
    <row r="892">
      <c r="A892" s="11">
        <v>46147.95138125</v>
      </c>
      <c r="B892" s="9" t="s">
        <v>259</v>
      </c>
      <c r="C892" s="9" t="s">
        <v>235</v>
      </c>
      <c r="D892" s="9" t="s">
        <v>19</v>
      </c>
      <c r="E892" s="54" t="s">
        <v>460</v>
      </c>
      <c r="F892" s="15">
        <v>1.0</v>
      </c>
      <c r="G892" s="37" t="s">
        <v>65</v>
      </c>
      <c r="H892" s="31" t="e">
        <v>#N/A</v>
      </c>
      <c r="I892" s="31" t="e">
        <v>#N/A</v>
      </c>
      <c r="J892" s="15">
        <v>1.0</v>
      </c>
    </row>
    <row r="893">
      <c r="A893" s="11">
        <v>46147.95722657407</v>
      </c>
      <c r="B893" s="9" t="s">
        <v>227</v>
      </c>
      <c r="C893" s="9" t="s">
        <v>376</v>
      </c>
      <c r="D893" s="37" t="s">
        <v>57</v>
      </c>
      <c r="E893" s="14"/>
      <c r="F893" s="15">
        <v>1.0</v>
      </c>
      <c r="G893" s="37" t="s">
        <v>65</v>
      </c>
      <c r="H893" s="31" t="e">
        <v>#N/A</v>
      </c>
      <c r="I893" s="31" t="e">
        <v>#N/A</v>
      </c>
      <c r="J893" s="15">
        <v>1.0</v>
      </c>
    </row>
    <row r="894">
      <c r="A894" s="11">
        <v>46147.95886568287</v>
      </c>
      <c r="B894" s="9" t="s">
        <v>349</v>
      </c>
      <c r="C894" s="9" t="s">
        <v>397</v>
      </c>
      <c r="D894" s="9" t="s">
        <v>19</v>
      </c>
      <c r="E894" s="14"/>
      <c r="F894" s="15">
        <v>1.0</v>
      </c>
      <c r="G894" s="37" t="s">
        <v>65</v>
      </c>
      <c r="H894" s="31" t="e">
        <v>#N/A</v>
      </c>
      <c r="I894" s="31" t="e">
        <v>#N/A</v>
      </c>
      <c r="J894" s="15">
        <v>1.0</v>
      </c>
    </row>
    <row r="895">
      <c r="A895" s="11">
        <v>46147.97763273148</v>
      </c>
      <c r="B895" s="9" t="s">
        <v>343</v>
      </c>
      <c r="C895" s="9" t="s">
        <v>326</v>
      </c>
      <c r="D895" s="9" t="s">
        <v>19</v>
      </c>
      <c r="E895" s="14"/>
      <c r="F895" s="15">
        <v>1.0</v>
      </c>
      <c r="G895" s="37" t="s">
        <v>65</v>
      </c>
      <c r="H895" s="31" t="e">
        <v>#N/A</v>
      </c>
      <c r="I895" s="31" t="e">
        <v>#N/A</v>
      </c>
      <c r="J895" s="15">
        <v>1.0</v>
      </c>
    </row>
    <row r="896">
      <c r="A896" s="11">
        <v>46147.98287190972</v>
      </c>
      <c r="B896" s="9" t="s">
        <v>227</v>
      </c>
      <c r="C896" s="9" t="s">
        <v>269</v>
      </c>
      <c r="D896" s="37" t="s">
        <v>57</v>
      </c>
      <c r="E896" s="14"/>
      <c r="F896" s="15">
        <v>1.0</v>
      </c>
      <c r="G896" s="37" t="s">
        <v>65</v>
      </c>
      <c r="H896" s="31" t="e">
        <v>#N/A</v>
      </c>
      <c r="I896" s="31" t="e">
        <v>#N/A</v>
      </c>
      <c r="J896" s="15">
        <v>1.0</v>
      </c>
    </row>
    <row r="897">
      <c r="A897" s="11">
        <v>46147.993923738424</v>
      </c>
      <c r="B897" s="9" t="s">
        <v>277</v>
      </c>
      <c r="C897" s="9" t="s">
        <v>389</v>
      </c>
      <c r="D897" s="9" t="s">
        <v>19</v>
      </c>
      <c r="E897" s="14"/>
      <c r="F897" s="15">
        <v>1.0</v>
      </c>
      <c r="G897" s="37" t="s">
        <v>65</v>
      </c>
      <c r="H897" s="31" t="e">
        <v>#N/A</v>
      </c>
      <c r="I897" s="31" t="e">
        <v>#N/A</v>
      </c>
      <c r="J897" s="15">
        <v>1.0</v>
      </c>
    </row>
    <row r="898">
      <c r="A898" s="11">
        <v>46147.99440728009</v>
      </c>
      <c r="B898" s="9" t="s">
        <v>233</v>
      </c>
      <c r="C898" s="9" t="s">
        <v>257</v>
      </c>
      <c r="D898" s="37" t="s">
        <v>57</v>
      </c>
      <c r="E898" s="14"/>
      <c r="F898" s="15">
        <v>1.0</v>
      </c>
      <c r="G898" s="37" t="s">
        <v>65</v>
      </c>
      <c r="H898" s="31" t="e">
        <v>#N/A</v>
      </c>
      <c r="I898" s="31" t="e">
        <v>#N/A</v>
      </c>
      <c r="J898" s="15">
        <v>1.0</v>
      </c>
    </row>
    <row r="899">
      <c r="A899" s="11">
        <v>46148.00099049769</v>
      </c>
      <c r="B899" s="9" t="s">
        <v>326</v>
      </c>
      <c r="C899" s="9" t="s">
        <v>227</v>
      </c>
      <c r="D899" s="9" t="s">
        <v>19</v>
      </c>
      <c r="E899" s="54" t="s">
        <v>461</v>
      </c>
      <c r="F899" s="15">
        <v>1.0</v>
      </c>
      <c r="G899" s="37" t="s">
        <v>65</v>
      </c>
      <c r="H899" s="31" t="e">
        <v>#N/A</v>
      </c>
      <c r="I899" s="31" t="e">
        <v>#N/A</v>
      </c>
      <c r="J899" s="15">
        <v>1.0</v>
      </c>
    </row>
    <row r="900">
      <c r="A900" s="11">
        <v>46148.011134409724</v>
      </c>
      <c r="B900" s="9" t="s">
        <v>303</v>
      </c>
      <c r="C900" s="9" t="s">
        <v>290</v>
      </c>
      <c r="D900" s="37" t="s">
        <v>57</v>
      </c>
      <c r="E900" s="14"/>
      <c r="F900" s="15">
        <v>1.0</v>
      </c>
      <c r="G900" s="37" t="s">
        <v>65</v>
      </c>
      <c r="H900" s="31" t="e">
        <v>#N/A</v>
      </c>
      <c r="I900" s="31" t="e">
        <v>#N/A</v>
      </c>
      <c r="J900" s="15">
        <v>1.0</v>
      </c>
    </row>
    <row r="901">
      <c r="A901" s="11">
        <v>46148.02130840278</v>
      </c>
      <c r="B901" s="9" t="s">
        <v>326</v>
      </c>
      <c r="C901" s="9" t="s">
        <v>233</v>
      </c>
      <c r="D901" s="37" t="s">
        <v>57</v>
      </c>
      <c r="E901" s="54" t="s">
        <v>412</v>
      </c>
      <c r="F901" s="15">
        <v>1.0</v>
      </c>
      <c r="G901" s="37" t="s">
        <v>65</v>
      </c>
      <c r="H901" s="31" t="e">
        <v>#N/A</v>
      </c>
      <c r="I901" s="31" t="e">
        <v>#N/A</v>
      </c>
      <c r="J901" s="15">
        <v>1.0</v>
      </c>
    </row>
    <row r="902">
      <c r="A902" s="11">
        <v>46148.030494039354</v>
      </c>
      <c r="B902" s="9" t="s">
        <v>343</v>
      </c>
      <c r="C902" s="9" t="s">
        <v>314</v>
      </c>
      <c r="D902" s="9" t="s">
        <v>19</v>
      </c>
      <c r="E902" s="14"/>
      <c r="F902" s="15">
        <v>1.0</v>
      </c>
      <c r="G902" s="37" t="s">
        <v>65</v>
      </c>
      <c r="H902" s="31" t="e">
        <v>#N/A</v>
      </c>
      <c r="I902" s="31" t="e">
        <v>#N/A</v>
      </c>
      <c r="J902" s="15">
        <v>1.0</v>
      </c>
    </row>
    <row r="903">
      <c r="A903" s="11">
        <v>46148.03201469907</v>
      </c>
      <c r="B903" s="9" t="s">
        <v>185</v>
      </c>
      <c r="C903" s="9" t="s">
        <v>322</v>
      </c>
      <c r="D903" s="37" t="s">
        <v>57</v>
      </c>
      <c r="E903" s="14"/>
      <c r="F903" s="15">
        <v>1.0</v>
      </c>
      <c r="G903" s="37" t="s">
        <v>65</v>
      </c>
      <c r="H903" s="31" t="e">
        <v>#N/A</v>
      </c>
      <c r="I903" s="31" t="e">
        <v>#N/A</v>
      </c>
      <c r="J903" s="15">
        <v>1.0</v>
      </c>
    </row>
    <row r="904">
      <c r="A904" s="11">
        <v>46148.31750150463</v>
      </c>
      <c r="B904" s="9" t="s">
        <v>161</v>
      </c>
      <c r="C904" s="9" t="s">
        <v>160</v>
      </c>
      <c r="D904" s="37" t="s">
        <v>57</v>
      </c>
      <c r="E904" s="54" t="s">
        <v>447</v>
      </c>
      <c r="F904" s="15">
        <v>1.0</v>
      </c>
      <c r="G904" s="37" t="s">
        <v>65</v>
      </c>
      <c r="H904" s="31" t="e">
        <v>#N/A</v>
      </c>
      <c r="I904" s="31" t="e">
        <v>#N/A</v>
      </c>
      <c r="J904" s="15">
        <v>1.0</v>
      </c>
    </row>
    <row r="905">
      <c r="A905" s="11">
        <v>46148.33250078704</v>
      </c>
      <c r="B905" s="9" t="s">
        <v>185</v>
      </c>
      <c r="C905" s="9" t="s">
        <v>215</v>
      </c>
      <c r="D905" s="9" t="s">
        <v>19</v>
      </c>
      <c r="E905" s="14"/>
      <c r="F905" s="15">
        <v>1.0</v>
      </c>
      <c r="G905" s="37" t="s">
        <v>65</v>
      </c>
      <c r="H905" s="31" t="e">
        <v>#N/A</v>
      </c>
      <c r="I905" s="31" t="e">
        <v>#N/A</v>
      </c>
      <c r="J905" s="15">
        <v>1.0</v>
      </c>
    </row>
    <row r="906">
      <c r="A906" s="11">
        <v>46148.444471678245</v>
      </c>
      <c r="B906" s="9" t="s">
        <v>160</v>
      </c>
      <c r="C906" s="9" t="s">
        <v>277</v>
      </c>
      <c r="D906" s="37" t="s">
        <v>57</v>
      </c>
      <c r="E906" s="14"/>
      <c r="F906" s="15">
        <v>1.0</v>
      </c>
      <c r="G906" s="37" t="s">
        <v>65</v>
      </c>
      <c r="H906" s="31" t="e">
        <v>#N/A</v>
      </c>
      <c r="I906" s="31" t="e">
        <v>#N/A</v>
      </c>
      <c r="J906" s="15">
        <v>1.0</v>
      </c>
    </row>
    <row r="907">
      <c r="A907" s="11">
        <v>46148.45928361111</v>
      </c>
      <c r="B907" s="9" t="s">
        <v>186</v>
      </c>
      <c r="C907" s="9" t="s">
        <v>160</v>
      </c>
      <c r="D907" s="9" t="s">
        <v>19</v>
      </c>
      <c r="E907" s="14"/>
      <c r="F907" s="15">
        <v>1.0</v>
      </c>
      <c r="G907" s="37" t="s">
        <v>65</v>
      </c>
      <c r="H907" s="31" t="e">
        <v>#N/A</v>
      </c>
      <c r="I907" s="31" t="e">
        <v>#N/A</v>
      </c>
      <c r="J907" s="15">
        <v>1.0</v>
      </c>
    </row>
    <row r="908">
      <c r="A908" s="11">
        <v>46148.468161446755</v>
      </c>
      <c r="B908" s="9" t="s">
        <v>81</v>
      </c>
      <c r="C908" s="9" t="s">
        <v>320</v>
      </c>
      <c r="D908" s="37" t="s">
        <v>57</v>
      </c>
      <c r="E908" s="14"/>
      <c r="F908" s="15">
        <v>1.0</v>
      </c>
      <c r="G908" s="37" t="s">
        <v>65</v>
      </c>
      <c r="H908" s="31" t="e">
        <v>#N/A</v>
      </c>
      <c r="I908" s="31" t="e">
        <v>#N/A</v>
      </c>
      <c r="J908" s="15">
        <v>1.0</v>
      </c>
    </row>
    <row r="909">
      <c r="A909" s="11">
        <v>46148.47459020834</v>
      </c>
      <c r="B909" s="9" t="s">
        <v>115</v>
      </c>
      <c r="C909" s="9" t="s">
        <v>186</v>
      </c>
      <c r="D909" s="37" t="s">
        <v>57</v>
      </c>
      <c r="E909" s="54" t="s">
        <v>225</v>
      </c>
      <c r="F909" s="15">
        <v>1.0</v>
      </c>
      <c r="G909" s="37" t="s">
        <v>65</v>
      </c>
      <c r="H909" s="31" t="e">
        <v>#N/A</v>
      </c>
      <c r="I909" s="31" t="e">
        <v>#N/A</v>
      </c>
      <c r="J909" s="15">
        <v>1.0</v>
      </c>
    </row>
    <row r="910">
      <c r="A910" s="11">
        <v>46148.478853148146</v>
      </c>
      <c r="B910" s="9" t="s">
        <v>200</v>
      </c>
      <c r="C910" s="9" t="s">
        <v>313</v>
      </c>
      <c r="D910" s="37" t="s">
        <v>57</v>
      </c>
      <c r="E910" s="54" t="s">
        <v>462</v>
      </c>
      <c r="F910" s="15">
        <v>1.0</v>
      </c>
      <c r="G910" s="37" t="s">
        <v>65</v>
      </c>
      <c r="H910" s="31" t="e">
        <v>#N/A</v>
      </c>
      <c r="I910" s="31" t="e">
        <v>#N/A</v>
      </c>
      <c r="J910" s="15">
        <v>1.0</v>
      </c>
    </row>
    <row r="911">
      <c r="A911" s="11">
        <v>46148.48279115741</v>
      </c>
      <c r="B911" s="9" t="s">
        <v>238</v>
      </c>
      <c r="C911" s="9" t="s">
        <v>160</v>
      </c>
      <c r="D911" s="37" t="s">
        <v>57</v>
      </c>
      <c r="E911" s="54" t="s">
        <v>463</v>
      </c>
      <c r="F911" s="15">
        <v>1.0</v>
      </c>
      <c r="G911" s="37" t="s">
        <v>65</v>
      </c>
      <c r="H911" s="31" t="e">
        <v>#N/A</v>
      </c>
      <c r="I911" s="31" t="e">
        <v>#N/A</v>
      </c>
      <c r="J911" s="15">
        <v>1.0</v>
      </c>
    </row>
    <row r="912">
      <c r="A912" s="11">
        <v>46148.493704374996</v>
      </c>
      <c r="B912" s="9" t="s">
        <v>200</v>
      </c>
      <c r="C912" s="9" t="s">
        <v>81</v>
      </c>
      <c r="D912" s="37" t="s">
        <v>57</v>
      </c>
      <c r="E912" s="14"/>
      <c r="F912" s="15">
        <v>1.0</v>
      </c>
      <c r="G912" s="37" t="s">
        <v>65</v>
      </c>
      <c r="H912" s="31" t="e">
        <v>#N/A</v>
      </c>
      <c r="I912" s="31" t="e">
        <v>#N/A</v>
      </c>
      <c r="J912" s="15">
        <v>1.0</v>
      </c>
    </row>
    <row r="913">
      <c r="A913" s="11">
        <v>46148.51818180556</v>
      </c>
      <c r="B913" s="9" t="s">
        <v>115</v>
      </c>
      <c r="C913" s="9" t="s">
        <v>74</v>
      </c>
      <c r="D913" s="9" t="s">
        <v>19</v>
      </c>
      <c r="E913" s="54" t="s">
        <v>225</v>
      </c>
      <c r="F913" s="15">
        <v>1.0</v>
      </c>
      <c r="G913" s="37" t="s">
        <v>65</v>
      </c>
      <c r="H913" s="31" t="e">
        <v>#N/A</v>
      </c>
      <c r="I913" s="31" t="e">
        <v>#N/A</v>
      </c>
      <c r="J913" s="15">
        <v>1.0</v>
      </c>
    </row>
    <row r="914">
      <c r="A914" s="11">
        <v>46148.53380128472</v>
      </c>
      <c r="B914" s="9" t="s">
        <v>81</v>
      </c>
      <c r="C914" s="9" t="s">
        <v>387</v>
      </c>
      <c r="D914" s="37" t="s">
        <v>57</v>
      </c>
      <c r="E914" s="14"/>
      <c r="F914" s="15">
        <v>1.0</v>
      </c>
      <c r="G914" s="37" t="s">
        <v>65</v>
      </c>
      <c r="H914" s="31" t="e">
        <v>#N/A</v>
      </c>
      <c r="I914" s="31" t="e">
        <v>#N/A</v>
      </c>
      <c r="J914" s="15">
        <v>1.0</v>
      </c>
    </row>
    <row r="915">
      <c r="A915" s="11">
        <v>46148.53886842592</v>
      </c>
      <c r="B915" s="9" t="s">
        <v>328</v>
      </c>
      <c r="C915" s="9" t="s">
        <v>85</v>
      </c>
      <c r="D915" s="9" t="s">
        <v>19</v>
      </c>
      <c r="E915" s="14"/>
      <c r="F915" s="15">
        <v>1.0</v>
      </c>
      <c r="G915" s="37" t="s">
        <v>65</v>
      </c>
      <c r="H915" s="31" t="e">
        <v>#N/A</v>
      </c>
      <c r="I915" s="31" t="e">
        <v>#N/A</v>
      </c>
      <c r="J915" s="15">
        <v>1.0</v>
      </c>
    </row>
    <row r="916">
      <c r="A916" s="11">
        <v>46148.549970277774</v>
      </c>
      <c r="B916" s="9" t="s">
        <v>282</v>
      </c>
      <c r="C916" s="9" t="s">
        <v>237</v>
      </c>
      <c r="D916" s="9" t="s">
        <v>19</v>
      </c>
      <c r="E916" s="14"/>
      <c r="F916" s="15">
        <v>1.0</v>
      </c>
      <c r="G916" s="37" t="s">
        <v>65</v>
      </c>
      <c r="H916" s="31" t="e">
        <v>#N/A</v>
      </c>
      <c r="I916" s="31" t="e">
        <v>#N/A</v>
      </c>
      <c r="J916" s="15">
        <v>1.0</v>
      </c>
    </row>
    <row r="917">
      <c r="A917" s="11">
        <v>46148.56312688657</v>
      </c>
      <c r="B917" s="9" t="s">
        <v>387</v>
      </c>
      <c r="C917" s="9" t="s">
        <v>55</v>
      </c>
      <c r="D917" s="37" t="s">
        <v>57</v>
      </c>
      <c r="E917" s="14"/>
      <c r="F917" s="15">
        <v>1.0</v>
      </c>
      <c r="G917" s="37" t="s">
        <v>65</v>
      </c>
      <c r="H917" s="31" t="e">
        <v>#N/A</v>
      </c>
      <c r="I917" s="31" t="e">
        <v>#N/A</v>
      </c>
      <c r="J917" s="15">
        <v>1.0</v>
      </c>
    </row>
    <row r="918">
      <c r="A918" s="11">
        <v>46148.57591424769</v>
      </c>
      <c r="B918" s="9" t="s">
        <v>81</v>
      </c>
      <c r="C918" s="9" t="s">
        <v>85</v>
      </c>
      <c r="D918" s="37" t="s">
        <v>57</v>
      </c>
      <c r="E918" s="14"/>
      <c r="F918" s="15">
        <v>1.0</v>
      </c>
      <c r="G918" s="37" t="s">
        <v>65</v>
      </c>
      <c r="H918" s="31" t="e">
        <v>#N/A</v>
      </c>
      <c r="I918" s="31" t="e">
        <v>#N/A</v>
      </c>
      <c r="J918" s="15">
        <v>1.0</v>
      </c>
    </row>
    <row r="919">
      <c r="A919" s="11">
        <v>46148.586826875</v>
      </c>
      <c r="B919" s="9" t="s">
        <v>313</v>
      </c>
      <c r="C919" s="9" t="s">
        <v>190</v>
      </c>
      <c r="D919" s="37" t="s">
        <v>57</v>
      </c>
      <c r="E919" s="14"/>
      <c r="F919" s="15">
        <v>1.0</v>
      </c>
      <c r="G919" s="37" t="s">
        <v>65</v>
      </c>
      <c r="H919" s="31" t="e">
        <v>#N/A</v>
      </c>
      <c r="I919" s="31" t="e">
        <v>#N/A</v>
      </c>
      <c r="J919" s="15">
        <v>1.0</v>
      </c>
    </row>
    <row r="920">
      <c r="A920" s="11">
        <v>46148.60254680556</v>
      </c>
      <c r="B920" s="9" t="s">
        <v>237</v>
      </c>
      <c r="C920" s="9" t="s">
        <v>81</v>
      </c>
      <c r="D920" s="9" t="s">
        <v>19</v>
      </c>
      <c r="E920" s="54" t="s">
        <v>464</v>
      </c>
      <c r="F920" s="15">
        <v>1.0</v>
      </c>
      <c r="G920" s="37" t="s">
        <v>65</v>
      </c>
      <c r="H920" s="31" t="e">
        <v>#N/A</v>
      </c>
      <c r="I920" s="31" t="e">
        <v>#N/A</v>
      </c>
      <c r="J920" s="15">
        <v>1.0</v>
      </c>
    </row>
    <row r="921">
      <c r="A921" s="11">
        <v>46148.635905358795</v>
      </c>
      <c r="B921" s="9" t="s">
        <v>115</v>
      </c>
      <c r="C921" s="9" t="s">
        <v>85</v>
      </c>
      <c r="D921" s="37" t="s">
        <v>57</v>
      </c>
      <c r="E921" s="54" t="s">
        <v>225</v>
      </c>
      <c r="F921" s="15">
        <v>1.0</v>
      </c>
      <c r="G921" s="37" t="s">
        <v>65</v>
      </c>
      <c r="H921" s="31" t="e">
        <v>#N/A</v>
      </c>
      <c r="I921" s="31" t="e">
        <v>#N/A</v>
      </c>
      <c r="J921" s="15">
        <v>1.0</v>
      </c>
    </row>
    <row r="922">
      <c r="A922" s="11">
        <v>46148.64644197917</v>
      </c>
      <c r="B922" s="9" t="s">
        <v>59</v>
      </c>
      <c r="C922" s="9" t="s">
        <v>313</v>
      </c>
      <c r="D922" s="9" t="s">
        <v>19</v>
      </c>
      <c r="E922" s="14"/>
      <c r="F922" s="15">
        <v>1.0</v>
      </c>
      <c r="G922" s="37" t="s">
        <v>65</v>
      </c>
      <c r="H922" s="31" t="e">
        <v>#N/A</v>
      </c>
      <c r="I922" s="31" t="e">
        <v>#N/A</v>
      </c>
      <c r="J922" s="15">
        <v>1.0</v>
      </c>
    </row>
    <row r="923">
      <c r="A923" s="11">
        <v>46148.65646008102</v>
      </c>
      <c r="B923" s="9" t="s">
        <v>314</v>
      </c>
      <c r="C923" s="9" t="s">
        <v>214</v>
      </c>
      <c r="D923" s="37" t="s">
        <v>57</v>
      </c>
      <c r="E923" s="54" t="s">
        <v>317</v>
      </c>
      <c r="F923" s="15">
        <v>1.0</v>
      </c>
      <c r="G923" s="37" t="s">
        <v>65</v>
      </c>
      <c r="H923" s="31" t="e">
        <v>#N/A</v>
      </c>
      <c r="I923" s="31" t="e">
        <v>#N/A</v>
      </c>
      <c r="J923" s="15">
        <v>1.0</v>
      </c>
    </row>
    <row r="924">
      <c r="A924" s="11">
        <v>46148.66133533565</v>
      </c>
      <c r="B924" s="9" t="s">
        <v>115</v>
      </c>
      <c r="C924" s="9" t="s">
        <v>100</v>
      </c>
      <c r="D924" s="37" t="s">
        <v>57</v>
      </c>
      <c r="E924" s="54" t="s">
        <v>225</v>
      </c>
      <c r="F924" s="15">
        <v>1.0</v>
      </c>
      <c r="G924" s="37" t="s">
        <v>65</v>
      </c>
      <c r="H924" s="31" t="e">
        <v>#N/A</v>
      </c>
      <c r="I924" s="31" t="e">
        <v>#N/A</v>
      </c>
      <c r="J924" s="15">
        <v>1.0</v>
      </c>
    </row>
    <row r="925">
      <c r="A925" s="11">
        <v>46148.66201834491</v>
      </c>
      <c r="B925" s="9" t="s">
        <v>95</v>
      </c>
      <c r="C925" s="9" t="s">
        <v>263</v>
      </c>
      <c r="D925" s="37" t="s">
        <v>57</v>
      </c>
      <c r="E925" s="14"/>
      <c r="F925" s="15">
        <v>1.0</v>
      </c>
      <c r="G925" s="37" t="s">
        <v>65</v>
      </c>
      <c r="H925" s="31" t="e">
        <v>#N/A</v>
      </c>
      <c r="I925" s="31" t="e">
        <v>#N/A</v>
      </c>
      <c r="J925" s="15">
        <v>1.0</v>
      </c>
    </row>
    <row r="926">
      <c r="A926" s="11">
        <v>46148.680956446755</v>
      </c>
      <c r="B926" s="9" t="s">
        <v>332</v>
      </c>
      <c r="C926" s="9" t="s">
        <v>242</v>
      </c>
      <c r="D926" s="9" t="s">
        <v>19</v>
      </c>
      <c r="E926" s="54" t="s">
        <v>270</v>
      </c>
      <c r="F926" s="15">
        <v>1.0</v>
      </c>
      <c r="G926" s="37" t="s">
        <v>65</v>
      </c>
      <c r="H926" s="31" t="e">
        <v>#N/A</v>
      </c>
      <c r="I926" s="31" t="e">
        <v>#N/A</v>
      </c>
      <c r="J926" s="15">
        <v>1.0</v>
      </c>
    </row>
    <row r="927">
      <c r="A927" s="11">
        <v>46148.68205046296</v>
      </c>
      <c r="B927" s="9" t="s">
        <v>237</v>
      </c>
      <c r="C927" s="9" t="s">
        <v>387</v>
      </c>
      <c r="D927" s="37" t="s">
        <v>57</v>
      </c>
      <c r="E927" s="54" t="s">
        <v>140</v>
      </c>
      <c r="F927" s="15">
        <v>1.0</v>
      </c>
      <c r="G927" s="37" t="s">
        <v>65</v>
      </c>
      <c r="H927" s="31" t="e">
        <v>#N/A</v>
      </c>
      <c r="I927" s="31" t="e">
        <v>#N/A</v>
      </c>
      <c r="J927" s="15">
        <v>1.0</v>
      </c>
    </row>
    <row r="928">
      <c r="A928" s="11">
        <v>46148.69677556713</v>
      </c>
      <c r="B928" s="9" t="s">
        <v>332</v>
      </c>
      <c r="C928" s="9" t="s">
        <v>164</v>
      </c>
      <c r="D928" s="9" t="s">
        <v>19</v>
      </c>
      <c r="E928" s="54" t="s">
        <v>270</v>
      </c>
      <c r="F928" s="15">
        <v>1.0</v>
      </c>
      <c r="G928" s="37" t="s">
        <v>65</v>
      </c>
      <c r="H928" s="31" t="e">
        <v>#N/A</v>
      </c>
      <c r="I928" s="31" t="e">
        <v>#N/A</v>
      </c>
      <c r="J928" s="15">
        <v>1.0</v>
      </c>
    </row>
    <row r="929">
      <c r="A929" s="11">
        <v>46148.707638946755</v>
      </c>
      <c r="B929" s="9" t="s">
        <v>331</v>
      </c>
      <c r="C929" s="9" t="s">
        <v>237</v>
      </c>
      <c r="D929" s="9" t="s">
        <v>19</v>
      </c>
      <c r="E929" s="14"/>
      <c r="F929" s="15">
        <v>1.0</v>
      </c>
      <c r="G929" s="37" t="s">
        <v>65</v>
      </c>
      <c r="H929" s="31" t="e">
        <v>#N/A</v>
      </c>
      <c r="I929" s="31" t="e">
        <v>#N/A</v>
      </c>
      <c r="J929" s="15">
        <v>1.0</v>
      </c>
    </row>
    <row r="930">
      <c r="A930" s="11">
        <v>46148.71710706018</v>
      </c>
      <c r="B930" s="9" t="s">
        <v>387</v>
      </c>
      <c r="C930" s="9" t="s">
        <v>267</v>
      </c>
      <c r="D930" s="37" t="s">
        <v>57</v>
      </c>
      <c r="E930" s="14"/>
      <c r="F930" s="15">
        <v>1.0</v>
      </c>
      <c r="G930" s="37" t="s">
        <v>65</v>
      </c>
      <c r="H930" s="31" t="e">
        <v>#N/A</v>
      </c>
      <c r="I930" s="31" t="e">
        <v>#N/A</v>
      </c>
      <c r="J930" s="15">
        <v>1.0</v>
      </c>
    </row>
    <row r="931">
      <c r="A931" s="11">
        <v>46148.719438506945</v>
      </c>
      <c r="B931" s="9" t="s">
        <v>164</v>
      </c>
      <c r="C931" s="9" t="s">
        <v>224</v>
      </c>
      <c r="D931" s="9" t="s">
        <v>19</v>
      </c>
      <c r="E931" s="14"/>
      <c r="F931" s="15">
        <v>1.0</v>
      </c>
      <c r="G931" s="37" t="s">
        <v>65</v>
      </c>
      <c r="H931" s="31" t="e">
        <v>#N/A</v>
      </c>
      <c r="I931" s="31" t="e">
        <v>#N/A</v>
      </c>
      <c r="J931" s="15">
        <v>1.0</v>
      </c>
    </row>
    <row r="932">
      <c r="A932" s="11">
        <v>46148.72999506944</v>
      </c>
      <c r="B932" s="9" t="s">
        <v>332</v>
      </c>
      <c r="C932" s="9" t="s">
        <v>314</v>
      </c>
      <c r="D932" s="37" t="s">
        <v>57</v>
      </c>
      <c r="E932" s="54" t="s">
        <v>465</v>
      </c>
      <c r="F932" s="15">
        <v>1.0</v>
      </c>
      <c r="G932" s="37" t="s">
        <v>65</v>
      </c>
      <c r="H932" s="31" t="e">
        <v>#N/A</v>
      </c>
      <c r="I932" s="31" t="e">
        <v>#N/A</v>
      </c>
      <c r="J932" s="15">
        <v>1.0</v>
      </c>
    </row>
    <row r="933">
      <c r="A933" s="11">
        <v>46148.7334787963</v>
      </c>
      <c r="B933" s="9" t="s">
        <v>157</v>
      </c>
      <c r="C933" s="9" t="s">
        <v>237</v>
      </c>
      <c r="D933" s="37" t="s">
        <v>57</v>
      </c>
      <c r="E933" s="54" t="s">
        <v>159</v>
      </c>
      <c r="F933" s="15">
        <v>1.0</v>
      </c>
      <c r="G933" s="37" t="s">
        <v>65</v>
      </c>
      <c r="H933" s="31" t="e">
        <v>#N/A</v>
      </c>
      <c r="I933" s="31" t="e">
        <v>#N/A</v>
      </c>
      <c r="J933" s="15">
        <v>1.0</v>
      </c>
    </row>
    <row r="934">
      <c r="A934" s="11">
        <v>46148.74844053241</v>
      </c>
      <c r="B934" s="9" t="s">
        <v>288</v>
      </c>
      <c r="C934" s="9" t="s">
        <v>161</v>
      </c>
      <c r="D934" s="37" t="s">
        <v>57</v>
      </c>
      <c r="E934" s="14"/>
      <c r="F934" s="15">
        <v>1.0</v>
      </c>
      <c r="G934" s="37" t="s">
        <v>65</v>
      </c>
      <c r="H934" s="31" t="e">
        <v>#N/A</v>
      </c>
      <c r="I934" s="31" t="e">
        <v>#N/A</v>
      </c>
      <c r="J934" s="15">
        <v>1.0</v>
      </c>
    </row>
    <row r="935">
      <c r="A935" s="11">
        <v>46148.75679950231</v>
      </c>
      <c r="B935" s="9" t="s">
        <v>373</v>
      </c>
      <c r="C935" s="9" t="s">
        <v>294</v>
      </c>
      <c r="D935" s="9" t="s">
        <v>19</v>
      </c>
      <c r="E935" s="14"/>
      <c r="F935" s="15">
        <v>1.0</v>
      </c>
      <c r="G935" s="37" t="s">
        <v>65</v>
      </c>
      <c r="H935" s="31" t="e">
        <v>#N/A</v>
      </c>
      <c r="I935" s="31" t="e">
        <v>#N/A</v>
      </c>
      <c r="J935" s="15">
        <v>1.0</v>
      </c>
    </row>
    <row r="936">
      <c r="A936" s="11">
        <v>46148.772550532405</v>
      </c>
      <c r="B936" s="9" t="s">
        <v>316</v>
      </c>
      <c r="C936" s="9" t="s">
        <v>314</v>
      </c>
      <c r="D936" s="9" t="s">
        <v>19</v>
      </c>
      <c r="E936" s="54" t="s">
        <v>102</v>
      </c>
      <c r="F936" s="15">
        <v>1.0</v>
      </c>
      <c r="G936" s="37" t="s">
        <v>65</v>
      </c>
      <c r="H936" s="31" t="e">
        <v>#N/A</v>
      </c>
      <c r="I936" s="31" t="e">
        <v>#N/A</v>
      </c>
      <c r="J936" s="15">
        <v>1.0</v>
      </c>
    </row>
    <row r="937">
      <c r="A937" s="11">
        <v>46148.77827313657</v>
      </c>
      <c r="B937" s="9" t="s">
        <v>388</v>
      </c>
      <c r="C937" s="9" t="s">
        <v>242</v>
      </c>
      <c r="D937" s="9" t="s">
        <v>19</v>
      </c>
      <c r="E937" s="14"/>
      <c r="F937" s="15">
        <v>1.0</v>
      </c>
      <c r="G937" s="37" t="s">
        <v>65</v>
      </c>
      <c r="H937" s="31" t="e">
        <v>#N/A</v>
      </c>
      <c r="I937" s="31" t="e">
        <v>#N/A</v>
      </c>
      <c r="J937" s="15">
        <v>1.0</v>
      </c>
    </row>
    <row r="938">
      <c r="A938" s="11">
        <v>46148.78710137731</v>
      </c>
      <c r="B938" s="9" t="s">
        <v>114</v>
      </c>
      <c r="C938" s="9" t="s">
        <v>355</v>
      </c>
      <c r="D938" s="9" t="s">
        <v>19</v>
      </c>
      <c r="E938" s="14"/>
      <c r="F938" s="15">
        <v>1.0</v>
      </c>
      <c r="G938" s="37" t="s">
        <v>65</v>
      </c>
      <c r="H938" s="31" t="e">
        <v>#N/A</v>
      </c>
      <c r="I938" s="31" t="e">
        <v>#N/A</v>
      </c>
      <c r="J938" s="15">
        <v>1.0</v>
      </c>
    </row>
    <row r="939">
      <c r="A939" s="11">
        <v>46148.796942245375</v>
      </c>
      <c r="B939" s="9" t="s">
        <v>142</v>
      </c>
      <c r="C939" s="9" t="s">
        <v>316</v>
      </c>
      <c r="D939" s="9" t="s">
        <v>19</v>
      </c>
      <c r="E939" s="14"/>
      <c r="F939" s="15">
        <v>1.0</v>
      </c>
      <c r="G939" s="37" t="s">
        <v>65</v>
      </c>
      <c r="H939" s="31" t="e">
        <v>#N/A</v>
      </c>
      <c r="I939" s="31" t="e">
        <v>#N/A</v>
      </c>
      <c r="J939" s="15">
        <v>1.0</v>
      </c>
    </row>
    <row r="940">
      <c r="A940" s="11">
        <v>46148.81159924768</v>
      </c>
      <c r="B940" s="9" t="s">
        <v>337</v>
      </c>
      <c r="C940" s="9" t="s">
        <v>243</v>
      </c>
      <c r="D940" s="9" t="s">
        <v>19</v>
      </c>
      <c r="E940" s="54" t="s">
        <v>466</v>
      </c>
      <c r="F940" s="15">
        <v>1.0</v>
      </c>
      <c r="G940" s="37" t="s">
        <v>65</v>
      </c>
      <c r="H940" s="31" t="e">
        <v>#N/A</v>
      </c>
      <c r="I940" s="31" t="e">
        <v>#N/A</v>
      </c>
      <c r="J940" s="15">
        <v>1.0</v>
      </c>
    </row>
    <row r="941">
      <c r="A941" s="11">
        <v>46148.82479975694</v>
      </c>
      <c r="B941" s="9" t="s">
        <v>288</v>
      </c>
      <c r="C941" s="9" t="s">
        <v>243</v>
      </c>
      <c r="D941" s="9" t="s">
        <v>19</v>
      </c>
      <c r="E941" s="14"/>
      <c r="F941" s="15">
        <v>1.0</v>
      </c>
      <c r="G941" s="37" t="s">
        <v>65</v>
      </c>
      <c r="H941" s="31" t="e">
        <v>#N/A</v>
      </c>
      <c r="I941" s="31" t="e">
        <v>#N/A</v>
      </c>
      <c r="J941" s="15">
        <v>1.0</v>
      </c>
    </row>
    <row r="942">
      <c r="A942" s="11">
        <v>46148.82894761574</v>
      </c>
      <c r="B942" s="9" t="s">
        <v>399</v>
      </c>
      <c r="C942" s="9" t="s">
        <v>388</v>
      </c>
      <c r="D942" s="37" t="s">
        <v>57</v>
      </c>
      <c r="E942" s="54" t="s">
        <v>416</v>
      </c>
      <c r="F942" s="15">
        <v>1.0</v>
      </c>
      <c r="G942" s="37" t="s">
        <v>65</v>
      </c>
      <c r="H942" s="31" t="e">
        <v>#N/A</v>
      </c>
      <c r="I942" s="31" t="e">
        <v>#N/A</v>
      </c>
      <c r="J942" s="15">
        <v>1.0</v>
      </c>
    </row>
    <row r="943">
      <c r="A943" s="11">
        <v>46148.829940474534</v>
      </c>
      <c r="B943" s="9" t="s">
        <v>109</v>
      </c>
      <c r="C943" s="9" t="s">
        <v>142</v>
      </c>
      <c r="D943" s="37" t="s">
        <v>57</v>
      </c>
      <c r="E943" s="54" t="s">
        <v>140</v>
      </c>
      <c r="F943" s="15">
        <v>1.0</v>
      </c>
      <c r="G943" s="37" t="s">
        <v>65</v>
      </c>
      <c r="H943" s="31" t="e">
        <v>#N/A</v>
      </c>
      <c r="I943" s="31" t="e">
        <v>#N/A</v>
      </c>
      <c r="J943" s="15">
        <v>1.0</v>
      </c>
    </row>
    <row r="944">
      <c r="A944" s="11">
        <v>46148.83300416666</v>
      </c>
      <c r="B944" s="9" t="s">
        <v>226</v>
      </c>
      <c r="C944" s="9" t="s">
        <v>316</v>
      </c>
      <c r="D944" s="37" t="s">
        <v>57</v>
      </c>
      <c r="E944" s="54" t="s">
        <v>112</v>
      </c>
      <c r="F944" s="15">
        <v>1.0</v>
      </c>
      <c r="G944" s="37" t="s">
        <v>65</v>
      </c>
      <c r="H944" s="31" t="e">
        <v>#N/A</v>
      </c>
      <c r="I944" s="31" t="e">
        <v>#N/A</v>
      </c>
      <c r="J944" s="15">
        <v>1.0</v>
      </c>
    </row>
    <row r="945">
      <c r="A945" s="11">
        <v>46148.845389849535</v>
      </c>
      <c r="B945" s="9" t="s">
        <v>89</v>
      </c>
      <c r="C945" s="9" t="s">
        <v>388</v>
      </c>
      <c r="D945" s="37" t="s">
        <v>57</v>
      </c>
      <c r="E945" s="54" t="s">
        <v>122</v>
      </c>
      <c r="F945" s="15">
        <v>1.0</v>
      </c>
      <c r="G945" s="37" t="s">
        <v>65</v>
      </c>
      <c r="H945" s="31" t="e">
        <v>#N/A</v>
      </c>
      <c r="I945" s="31" t="e">
        <v>#N/A</v>
      </c>
      <c r="J945" s="15">
        <v>1.0</v>
      </c>
    </row>
    <row r="946">
      <c r="A946" s="11">
        <v>46148.85472299768</v>
      </c>
      <c r="B946" s="9" t="s">
        <v>243</v>
      </c>
      <c r="C946" s="9" t="s">
        <v>282</v>
      </c>
      <c r="D946" s="37" t="s">
        <v>57</v>
      </c>
      <c r="E946" s="54" t="s">
        <v>321</v>
      </c>
      <c r="F946" s="15">
        <v>1.0</v>
      </c>
      <c r="G946" s="37" t="s">
        <v>65</v>
      </c>
      <c r="H946" s="31" t="e">
        <v>#N/A</v>
      </c>
      <c r="I946" s="31" t="e">
        <v>#N/A</v>
      </c>
      <c r="J946" s="15">
        <v>1.0</v>
      </c>
    </row>
    <row r="947">
      <c r="A947" s="11">
        <v>46148.857590520834</v>
      </c>
      <c r="B947" s="9" t="s">
        <v>316</v>
      </c>
      <c r="C947" s="9" t="s">
        <v>114</v>
      </c>
      <c r="D947" s="37" t="s">
        <v>57</v>
      </c>
      <c r="E947" s="54" t="s">
        <v>102</v>
      </c>
      <c r="F947" s="15">
        <v>1.0</v>
      </c>
      <c r="G947" s="37" t="s">
        <v>65</v>
      </c>
      <c r="H947" s="31" t="e">
        <v>#N/A</v>
      </c>
      <c r="I947" s="31" t="e">
        <v>#N/A</v>
      </c>
      <c r="J947" s="15">
        <v>1.0</v>
      </c>
    </row>
    <row r="948">
      <c r="A948" s="11">
        <v>46148.86398450231</v>
      </c>
      <c r="B948" s="9" t="s">
        <v>388</v>
      </c>
      <c r="C948" s="9" t="s">
        <v>243</v>
      </c>
      <c r="D948" s="9" t="s">
        <v>19</v>
      </c>
      <c r="E948" s="54" t="s">
        <v>270</v>
      </c>
      <c r="F948" s="15">
        <v>1.0</v>
      </c>
      <c r="G948" s="37" t="s">
        <v>65</v>
      </c>
      <c r="H948" s="31" t="e">
        <v>#N/A</v>
      </c>
      <c r="I948" s="31" t="e">
        <v>#N/A</v>
      </c>
      <c r="J948" s="15">
        <v>1.0</v>
      </c>
    </row>
    <row r="949">
      <c r="A949" s="11">
        <v>46148.86465594907</v>
      </c>
      <c r="B949" s="9" t="s">
        <v>94</v>
      </c>
      <c r="C949" s="9" t="s">
        <v>89</v>
      </c>
      <c r="D949" s="37" t="s">
        <v>57</v>
      </c>
      <c r="E949" s="14"/>
      <c r="F949" s="15">
        <v>1.0</v>
      </c>
      <c r="G949" s="37" t="s">
        <v>65</v>
      </c>
      <c r="H949" s="31" t="e">
        <v>#N/A</v>
      </c>
      <c r="I949" s="31" t="e">
        <v>#N/A</v>
      </c>
      <c r="J949" s="15">
        <v>1.0</v>
      </c>
    </row>
    <row r="950">
      <c r="A950" s="11">
        <v>46148.871060324076</v>
      </c>
      <c r="B950" s="9" t="s">
        <v>271</v>
      </c>
      <c r="C950" s="9" t="s">
        <v>93</v>
      </c>
      <c r="D950" s="37" t="s">
        <v>57</v>
      </c>
      <c r="E950" s="54" t="s">
        <v>140</v>
      </c>
      <c r="F950" s="15">
        <v>1.0</v>
      </c>
      <c r="G950" s="37" t="s">
        <v>65</v>
      </c>
      <c r="H950" s="31" t="e">
        <v>#N/A</v>
      </c>
      <c r="I950" s="31" t="e">
        <v>#N/A</v>
      </c>
      <c r="J950" s="15">
        <v>1.0</v>
      </c>
    </row>
    <row r="951">
      <c r="A951" s="11">
        <v>46148.87957263889</v>
      </c>
      <c r="B951" s="9" t="s">
        <v>94</v>
      </c>
      <c r="C951" s="9" t="s">
        <v>388</v>
      </c>
      <c r="D951" s="9" t="s">
        <v>19</v>
      </c>
      <c r="E951" s="14"/>
      <c r="F951" s="15">
        <v>1.0</v>
      </c>
      <c r="G951" s="37" t="s">
        <v>65</v>
      </c>
      <c r="H951" s="31" t="e">
        <v>#N/A</v>
      </c>
      <c r="I951" s="31" t="e">
        <v>#N/A</v>
      </c>
      <c r="J951" s="15">
        <v>1.0</v>
      </c>
    </row>
    <row r="952">
      <c r="A952" s="11">
        <v>46148.89495627314</v>
      </c>
      <c r="B952" s="9" t="s">
        <v>304</v>
      </c>
      <c r="C952" s="9" t="s">
        <v>271</v>
      </c>
      <c r="D952" s="37" t="s">
        <v>57</v>
      </c>
      <c r="E952" s="54" t="s">
        <v>176</v>
      </c>
      <c r="F952" s="15">
        <v>1.0</v>
      </c>
      <c r="G952" s="37" t="s">
        <v>65</v>
      </c>
      <c r="H952" s="31" t="e">
        <v>#N/A</v>
      </c>
      <c r="I952" s="31" t="e">
        <v>#N/A</v>
      </c>
      <c r="J952" s="15">
        <v>1.0</v>
      </c>
    </row>
    <row r="953">
      <c r="A953" s="11">
        <v>46148.89724046296</v>
      </c>
      <c r="B953" s="9" t="s">
        <v>349</v>
      </c>
      <c r="C953" s="9" t="s">
        <v>161</v>
      </c>
      <c r="D953" s="9" t="s">
        <v>19</v>
      </c>
      <c r="E953" s="14"/>
      <c r="F953" s="15">
        <v>1.0</v>
      </c>
      <c r="G953" s="37" t="s">
        <v>65</v>
      </c>
      <c r="H953" s="31" t="e">
        <v>#N/A</v>
      </c>
      <c r="I953" s="31" t="e">
        <v>#N/A</v>
      </c>
      <c r="J953" s="15">
        <v>1.0</v>
      </c>
    </row>
    <row r="954">
      <c r="A954" s="11">
        <v>46148.901039641205</v>
      </c>
      <c r="B954" s="9" t="s">
        <v>298</v>
      </c>
      <c r="C954" s="9" t="s">
        <v>335</v>
      </c>
      <c r="D954" s="9" t="s">
        <v>19</v>
      </c>
      <c r="E954" s="14"/>
      <c r="F954" s="15">
        <v>1.0</v>
      </c>
      <c r="G954" s="37" t="s">
        <v>65</v>
      </c>
      <c r="H954" s="31" t="e">
        <v>#N/A</v>
      </c>
      <c r="I954" s="31" t="e">
        <v>#N/A</v>
      </c>
      <c r="J954" s="15">
        <v>1.0</v>
      </c>
    </row>
    <row r="955">
      <c r="A955" s="11">
        <v>46148.917288819444</v>
      </c>
      <c r="B955" s="9" t="s">
        <v>266</v>
      </c>
      <c r="C955" s="9" t="s">
        <v>404</v>
      </c>
      <c r="D955" s="37" t="s">
        <v>57</v>
      </c>
      <c r="E955" s="14"/>
      <c r="F955" s="15">
        <v>1.0</v>
      </c>
      <c r="G955" s="37" t="s">
        <v>65</v>
      </c>
      <c r="H955" s="31" t="e">
        <v>#N/A</v>
      </c>
      <c r="I955" s="31" t="e">
        <v>#N/A</v>
      </c>
      <c r="J955" s="15">
        <v>1.0</v>
      </c>
    </row>
    <row r="956">
      <c r="A956" s="11">
        <v>46148.91796987268</v>
      </c>
      <c r="B956" s="9" t="s">
        <v>259</v>
      </c>
      <c r="C956" s="9" t="s">
        <v>308</v>
      </c>
      <c r="D956" s="37" t="s">
        <v>57</v>
      </c>
      <c r="E956" s="54" t="s">
        <v>255</v>
      </c>
      <c r="F956" s="15">
        <v>1.0</v>
      </c>
      <c r="G956" s="37" t="s">
        <v>65</v>
      </c>
      <c r="H956" s="31" t="e">
        <v>#N/A</v>
      </c>
      <c r="I956" s="31" t="e">
        <v>#N/A</v>
      </c>
      <c r="J956" s="15">
        <v>1.0</v>
      </c>
    </row>
    <row r="957">
      <c r="A957" s="11">
        <v>46148.918070995365</v>
      </c>
      <c r="B957" s="9" t="s">
        <v>249</v>
      </c>
      <c r="C957" s="9" t="s">
        <v>335</v>
      </c>
      <c r="D957" s="9" t="s">
        <v>19</v>
      </c>
      <c r="E957" s="14"/>
      <c r="F957" s="15">
        <v>1.0</v>
      </c>
      <c r="G957" s="37" t="s">
        <v>65</v>
      </c>
      <c r="H957" s="31" t="e">
        <v>#N/A</v>
      </c>
      <c r="I957" s="31" t="e">
        <v>#N/A</v>
      </c>
      <c r="J957" s="15">
        <v>1.0</v>
      </c>
    </row>
    <row r="958">
      <c r="A958" s="11">
        <v>46148.919573692125</v>
      </c>
      <c r="B958" s="9" t="s">
        <v>349</v>
      </c>
      <c r="C958" s="9" t="s">
        <v>301</v>
      </c>
      <c r="D958" s="9" t="s">
        <v>19</v>
      </c>
      <c r="E958" s="14"/>
      <c r="F958" s="15">
        <v>1.0</v>
      </c>
      <c r="G958" s="37" t="s">
        <v>65</v>
      </c>
      <c r="H958" s="31" t="e">
        <v>#N/A</v>
      </c>
      <c r="I958" s="31" t="e">
        <v>#N/A</v>
      </c>
      <c r="J958" s="15">
        <v>1.0</v>
      </c>
    </row>
    <row r="959">
      <c r="A959" s="11">
        <v>46148.929718796295</v>
      </c>
      <c r="B959" s="9" t="s">
        <v>59</v>
      </c>
      <c r="C959" s="9" t="s">
        <v>179</v>
      </c>
      <c r="D959" s="9" t="s">
        <v>19</v>
      </c>
      <c r="E959" s="14"/>
      <c r="F959" s="15">
        <v>1.0</v>
      </c>
      <c r="G959" s="37" t="s">
        <v>65</v>
      </c>
      <c r="H959" s="31" t="e">
        <v>#N/A</v>
      </c>
      <c r="I959" s="31" t="e">
        <v>#N/A</v>
      </c>
      <c r="J959" s="15">
        <v>1.0</v>
      </c>
    </row>
    <row r="960">
      <c r="A960" s="11">
        <v>46148.935531400464</v>
      </c>
      <c r="B960" s="9" t="s">
        <v>308</v>
      </c>
      <c r="C960" s="9" t="s">
        <v>346</v>
      </c>
      <c r="D960" s="9" t="s">
        <v>19</v>
      </c>
      <c r="E960" s="54" t="s">
        <v>467</v>
      </c>
      <c r="F960" s="15">
        <v>1.0</v>
      </c>
      <c r="G960" s="37" t="s">
        <v>65</v>
      </c>
      <c r="H960" s="31" t="e">
        <v>#N/A</v>
      </c>
      <c r="I960" s="31" t="e">
        <v>#N/A</v>
      </c>
      <c r="J960" s="15">
        <v>1.0</v>
      </c>
    </row>
    <row r="961">
      <c r="A961" s="11">
        <v>46148.93558797454</v>
      </c>
      <c r="B961" s="9" t="s">
        <v>298</v>
      </c>
      <c r="C961" s="9" t="s">
        <v>300</v>
      </c>
      <c r="D961" s="37" t="s">
        <v>57</v>
      </c>
      <c r="E961" s="14"/>
      <c r="F961" s="15">
        <v>1.0</v>
      </c>
      <c r="G961" s="37" t="s">
        <v>65</v>
      </c>
      <c r="H961" s="31" t="e">
        <v>#N/A</v>
      </c>
      <c r="I961" s="31" t="e">
        <v>#N/A</v>
      </c>
      <c r="J961" s="15">
        <v>1.0</v>
      </c>
    </row>
    <row r="962">
      <c r="A962" s="11">
        <v>46148.945189108796</v>
      </c>
      <c r="B962" s="9" t="s">
        <v>59</v>
      </c>
      <c r="C962" s="9" t="s">
        <v>315</v>
      </c>
      <c r="D962" s="9" t="s">
        <v>19</v>
      </c>
      <c r="E962" s="14"/>
      <c r="F962" s="15">
        <v>1.0</v>
      </c>
      <c r="G962" s="37" t="s">
        <v>65</v>
      </c>
      <c r="H962" s="31" t="e">
        <v>#N/A</v>
      </c>
      <c r="I962" s="31" t="e">
        <v>#N/A</v>
      </c>
      <c r="J962" s="15">
        <v>1.0</v>
      </c>
    </row>
    <row r="963">
      <c r="A963" s="11">
        <v>46148.94632859954</v>
      </c>
      <c r="B963" s="9" t="s">
        <v>320</v>
      </c>
      <c r="C963" s="9" t="s">
        <v>278</v>
      </c>
      <c r="D963" s="37" t="s">
        <v>57</v>
      </c>
      <c r="E963" s="14"/>
      <c r="F963" s="15">
        <v>1.0</v>
      </c>
      <c r="G963" s="37" t="s">
        <v>65</v>
      </c>
      <c r="H963" s="31" t="e">
        <v>#N/A</v>
      </c>
      <c r="I963" s="31" t="e">
        <v>#N/A</v>
      </c>
      <c r="J963" s="15">
        <v>1.0</v>
      </c>
    </row>
    <row r="964">
      <c r="A964" s="11">
        <v>46148.95472318287</v>
      </c>
      <c r="B964" s="9" t="s">
        <v>143</v>
      </c>
      <c r="C964" s="9" t="s">
        <v>346</v>
      </c>
      <c r="D964" s="9" t="s">
        <v>19</v>
      </c>
      <c r="E964" s="54" t="s">
        <v>122</v>
      </c>
      <c r="F964" s="15">
        <v>1.0</v>
      </c>
      <c r="G964" s="37" t="s">
        <v>65</v>
      </c>
      <c r="H964" s="31" t="e">
        <v>#N/A</v>
      </c>
      <c r="I964" s="31" t="e">
        <v>#N/A</v>
      </c>
      <c r="J964" s="15">
        <v>1.0</v>
      </c>
    </row>
    <row r="965">
      <c r="A965" s="11">
        <v>46148.962042071755</v>
      </c>
      <c r="B965" s="9" t="s">
        <v>300</v>
      </c>
      <c r="C965" s="9" t="s">
        <v>371</v>
      </c>
      <c r="D965" s="37" t="s">
        <v>57</v>
      </c>
      <c r="E965" s="54" t="s">
        <v>468</v>
      </c>
      <c r="F965" s="15">
        <v>1.0</v>
      </c>
      <c r="G965" s="37" t="s">
        <v>65</v>
      </c>
      <c r="H965" s="31" t="e">
        <v>#N/A</v>
      </c>
      <c r="I965" s="31" t="e">
        <v>#N/A</v>
      </c>
      <c r="J965" s="15">
        <v>1.0</v>
      </c>
    </row>
    <row r="966">
      <c r="A966" s="11">
        <v>46148.96554293981</v>
      </c>
      <c r="B966" s="9" t="s">
        <v>161</v>
      </c>
      <c r="C966" s="9" t="s">
        <v>278</v>
      </c>
      <c r="D966" s="37" t="s">
        <v>57</v>
      </c>
      <c r="E966" s="54" t="s">
        <v>447</v>
      </c>
      <c r="F966" s="15">
        <v>1.0</v>
      </c>
      <c r="G966" s="37" t="s">
        <v>65</v>
      </c>
      <c r="H966" s="31" t="e">
        <v>#N/A</v>
      </c>
      <c r="I966" s="31" t="e">
        <v>#N/A</v>
      </c>
      <c r="J966" s="15">
        <v>1.0</v>
      </c>
    </row>
    <row r="967">
      <c r="A967" s="11">
        <v>46148.97262678241</v>
      </c>
      <c r="B967" s="9" t="s">
        <v>315</v>
      </c>
      <c r="C967" s="9" t="s">
        <v>269</v>
      </c>
      <c r="D967" s="9" t="s">
        <v>19</v>
      </c>
      <c r="E967" s="14"/>
      <c r="F967" s="15">
        <v>1.0</v>
      </c>
      <c r="G967" s="37" t="s">
        <v>65</v>
      </c>
      <c r="H967" s="31" t="e">
        <v>#N/A</v>
      </c>
      <c r="I967" s="31" t="e">
        <v>#N/A</v>
      </c>
      <c r="J967" s="15">
        <v>1.0</v>
      </c>
    </row>
    <row r="968">
      <c r="A968" s="11">
        <v>46149.00545133102</v>
      </c>
      <c r="B968" s="9" t="s">
        <v>59</v>
      </c>
      <c r="C968" s="9" t="s">
        <v>326</v>
      </c>
      <c r="D968" s="9" t="s">
        <v>19</v>
      </c>
      <c r="E968" s="14"/>
      <c r="F968" s="15">
        <v>1.0</v>
      </c>
      <c r="G968" s="37" t="s">
        <v>65</v>
      </c>
      <c r="H968" s="31" t="e">
        <v>#N/A</v>
      </c>
      <c r="I968" s="31" t="e">
        <v>#N/A</v>
      </c>
      <c r="J968" s="15">
        <v>1.0</v>
      </c>
    </row>
    <row r="969">
      <c r="A969" s="11">
        <v>46149.016103807866</v>
      </c>
      <c r="B969" s="9" t="s">
        <v>233</v>
      </c>
      <c r="C969" s="9" t="s">
        <v>323</v>
      </c>
      <c r="D969" s="9" t="s">
        <v>19</v>
      </c>
      <c r="E969" s="14"/>
      <c r="F969" s="15">
        <v>1.0</v>
      </c>
      <c r="G969" s="37" t="s">
        <v>65</v>
      </c>
      <c r="H969" s="31" t="e">
        <v>#N/A</v>
      </c>
      <c r="I969" s="31" t="e">
        <v>#N/A</v>
      </c>
      <c r="J969" s="15">
        <v>1.0</v>
      </c>
    </row>
    <row r="970">
      <c r="A970" s="11">
        <v>46149.01725420139</v>
      </c>
      <c r="B970" s="9" t="s">
        <v>356</v>
      </c>
      <c r="C970" s="9" t="s">
        <v>299</v>
      </c>
      <c r="D970" s="9" t="s">
        <v>19</v>
      </c>
      <c r="E970" s="54" t="s">
        <v>469</v>
      </c>
      <c r="F970" s="15">
        <v>1.0</v>
      </c>
      <c r="G970" s="37" t="s">
        <v>65</v>
      </c>
      <c r="H970" s="31" t="e">
        <v>#N/A</v>
      </c>
      <c r="I970" s="31" t="e">
        <v>#N/A</v>
      </c>
      <c r="J970" s="15">
        <v>1.0</v>
      </c>
    </row>
    <row r="971">
      <c r="A971" s="11">
        <v>46149.029710393515</v>
      </c>
      <c r="B971" s="9" t="s">
        <v>396</v>
      </c>
      <c r="C971" s="9" t="s">
        <v>343</v>
      </c>
      <c r="D971" s="37" t="s">
        <v>57</v>
      </c>
      <c r="E971" s="14"/>
      <c r="F971" s="15">
        <v>1.0</v>
      </c>
      <c r="G971" s="37" t="s">
        <v>65</v>
      </c>
      <c r="H971" s="31" t="e">
        <v>#N/A</v>
      </c>
      <c r="I971" s="31" t="e">
        <v>#N/A</v>
      </c>
      <c r="J971" s="15">
        <v>1.0</v>
      </c>
    </row>
    <row r="972">
      <c r="A972" s="11">
        <v>46149.03133216435</v>
      </c>
      <c r="B972" s="9" t="s">
        <v>356</v>
      </c>
      <c r="C972" s="9" t="s">
        <v>67</v>
      </c>
      <c r="D972" s="37" t="s">
        <v>57</v>
      </c>
      <c r="E972" s="54" t="s">
        <v>470</v>
      </c>
      <c r="F972" s="15">
        <v>1.0</v>
      </c>
      <c r="G972" s="37" t="s">
        <v>65</v>
      </c>
      <c r="H972" s="31" t="e">
        <v>#N/A</v>
      </c>
      <c r="I972" s="31" t="e">
        <v>#N/A</v>
      </c>
      <c r="J972" s="15">
        <v>1.0</v>
      </c>
    </row>
    <row r="973">
      <c r="A973" s="11">
        <v>46149.042608738426</v>
      </c>
      <c r="B973" s="9" t="s">
        <v>371</v>
      </c>
      <c r="C973" s="9" t="s">
        <v>233</v>
      </c>
      <c r="D973" s="37" t="s">
        <v>57</v>
      </c>
      <c r="E973" s="54" t="s">
        <v>270</v>
      </c>
      <c r="F973" s="15">
        <v>1.0</v>
      </c>
      <c r="G973" s="37" t="s">
        <v>65</v>
      </c>
      <c r="H973" s="31" t="e">
        <v>#N/A</v>
      </c>
      <c r="I973" s="31" t="e">
        <v>#N/A</v>
      </c>
      <c r="J973" s="15">
        <v>1.0</v>
      </c>
    </row>
    <row r="974">
      <c r="A974" s="11">
        <v>46149.05508451389</v>
      </c>
      <c r="B974" s="9" t="s">
        <v>356</v>
      </c>
      <c r="C974" s="9" t="s">
        <v>190</v>
      </c>
      <c r="D974" s="9" t="s">
        <v>19</v>
      </c>
      <c r="E974" s="54" t="s">
        <v>102</v>
      </c>
      <c r="F974" s="15">
        <v>1.0</v>
      </c>
      <c r="G974" s="37" t="s">
        <v>65</v>
      </c>
      <c r="H974" s="31" t="e">
        <v>#N/A</v>
      </c>
      <c r="I974" s="31" t="e">
        <v>#N/A</v>
      </c>
      <c r="J974" s="15">
        <v>1.0</v>
      </c>
    </row>
    <row r="975">
      <c r="A975" s="11">
        <v>46149.05773403935</v>
      </c>
      <c r="B975" s="9" t="s">
        <v>323</v>
      </c>
      <c r="C975" s="9" t="s">
        <v>299</v>
      </c>
      <c r="D975" s="37" t="s">
        <v>57</v>
      </c>
      <c r="E975" s="14"/>
      <c r="F975" s="15">
        <v>1.0</v>
      </c>
      <c r="G975" s="37" t="s">
        <v>65</v>
      </c>
      <c r="H975" s="31" t="e">
        <v>#N/A</v>
      </c>
      <c r="I975" s="31" t="e">
        <v>#N/A</v>
      </c>
      <c r="J975" s="15">
        <v>1.0</v>
      </c>
    </row>
    <row r="976">
      <c r="A976" s="11">
        <v>46149.273040555556</v>
      </c>
      <c r="B976" s="9" t="s">
        <v>287</v>
      </c>
      <c r="C976" s="9" t="s">
        <v>141</v>
      </c>
      <c r="D976" s="37" t="s">
        <v>57</v>
      </c>
      <c r="E976" s="54" t="s">
        <v>140</v>
      </c>
      <c r="F976" s="15">
        <v>1.0</v>
      </c>
      <c r="G976" s="37" t="s">
        <v>65</v>
      </c>
      <c r="H976" s="31" t="e">
        <v>#N/A</v>
      </c>
      <c r="I976" s="31" t="e">
        <v>#N/A</v>
      </c>
      <c r="J976" s="15">
        <v>1.0</v>
      </c>
    </row>
    <row r="977">
      <c r="A977" s="11">
        <v>46149.293461168985</v>
      </c>
      <c r="B977" s="9" t="s">
        <v>141</v>
      </c>
      <c r="C977" s="9" t="s">
        <v>298</v>
      </c>
      <c r="D977" s="37" t="s">
        <v>57</v>
      </c>
      <c r="E977" s="14"/>
      <c r="F977" s="15">
        <v>1.0</v>
      </c>
      <c r="G977" s="37" t="s">
        <v>65</v>
      </c>
      <c r="H977" s="31" t="e">
        <v>#N/A</v>
      </c>
      <c r="I977" s="31" t="e">
        <v>#N/A</v>
      </c>
      <c r="J977" s="15">
        <v>1.0</v>
      </c>
    </row>
    <row r="978">
      <c r="A978" s="11">
        <v>46149.31710399306</v>
      </c>
      <c r="B978" s="9" t="s">
        <v>141</v>
      </c>
      <c r="C978" s="9" t="s">
        <v>390</v>
      </c>
      <c r="D978" s="9" t="s">
        <v>19</v>
      </c>
      <c r="E978" s="14"/>
      <c r="F978" s="15">
        <v>1.0</v>
      </c>
      <c r="G978" s="37" t="s">
        <v>65</v>
      </c>
      <c r="H978" s="31" t="e">
        <v>#N/A</v>
      </c>
      <c r="I978" s="31" t="e">
        <v>#N/A</v>
      </c>
      <c r="J978" s="15">
        <v>1.0</v>
      </c>
    </row>
    <row r="979">
      <c r="A979" s="11">
        <v>46149.4870140625</v>
      </c>
      <c r="B979" s="9" t="s">
        <v>74</v>
      </c>
      <c r="C979" s="9" t="s">
        <v>139</v>
      </c>
      <c r="D979" s="9" t="s">
        <v>19</v>
      </c>
      <c r="E979" s="14"/>
      <c r="F979" s="15">
        <v>1.0</v>
      </c>
      <c r="G979" s="37" t="s">
        <v>65</v>
      </c>
      <c r="H979" s="31" t="e">
        <v>#N/A</v>
      </c>
      <c r="I979" s="31" t="e">
        <v>#N/A</v>
      </c>
      <c r="J979" s="15">
        <v>1.0</v>
      </c>
    </row>
    <row r="980">
      <c r="A980" s="11">
        <v>46149.511274398144</v>
      </c>
      <c r="B980" s="9" t="s">
        <v>359</v>
      </c>
      <c r="C980" s="9" t="s">
        <v>139</v>
      </c>
      <c r="D980" s="9" t="s">
        <v>19</v>
      </c>
      <c r="E980" s="54" t="s">
        <v>140</v>
      </c>
      <c r="F980" s="15">
        <v>1.0</v>
      </c>
      <c r="G980" s="37" t="s">
        <v>65</v>
      </c>
      <c r="H980" s="31" t="e">
        <v>#N/A</v>
      </c>
      <c r="I980" s="31" t="e">
        <v>#N/A</v>
      </c>
      <c r="J980" s="15">
        <v>1.0</v>
      </c>
    </row>
    <row r="981">
      <c r="A981" s="11">
        <v>46149.52769108796</v>
      </c>
      <c r="B981" s="9" t="s">
        <v>354</v>
      </c>
      <c r="C981" s="9" t="s">
        <v>300</v>
      </c>
      <c r="D981" s="37" t="s">
        <v>57</v>
      </c>
      <c r="E981" s="14"/>
      <c r="F981" s="15">
        <v>1.0</v>
      </c>
      <c r="G981" s="37" t="s">
        <v>65</v>
      </c>
      <c r="H981" s="31" t="e">
        <v>#N/A</v>
      </c>
      <c r="I981" s="31" t="e">
        <v>#N/A</v>
      </c>
      <c r="J981" s="15">
        <v>1.0</v>
      </c>
    </row>
    <row r="982">
      <c r="A982" s="11">
        <v>46149.540002002315</v>
      </c>
      <c r="B982" s="9" t="s">
        <v>352</v>
      </c>
      <c r="C982" s="9" t="s">
        <v>378</v>
      </c>
      <c r="D982" s="9" t="s">
        <v>19</v>
      </c>
      <c r="E982" s="54" t="s">
        <v>108</v>
      </c>
      <c r="F982" s="15">
        <v>1.0</v>
      </c>
      <c r="G982" s="37" t="s">
        <v>65</v>
      </c>
      <c r="H982" s="31" t="e">
        <v>#N/A</v>
      </c>
      <c r="I982" s="31" t="e">
        <v>#N/A</v>
      </c>
      <c r="J982" s="15">
        <v>1.0</v>
      </c>
    </row>
    <row r="983">
      <c r="A983" s="11">
        <v>46149.55048174769</v>
      </c>
      <c r="B983" s="9" t="s">
        <v>213</v>
      </c>
      <c r="C983" s="9" t="s">
        <v>354</v>
      </c>
      <c r="D983" s="37" t="s">
        <v>57</v>
      </c>
      <c r="E983" s="14"/>
      <c r="F983" s="15">
        <v>1.0</v>
      </c>
      <c r="G983" s="37" t="s">
        <v>65</v>
      </c>
      <c r="H983" s="31" t="e">
        <v>#N/A</v>
      </c>
      <c r="I983" s="31" t="e">
        <v>#N/A</v>
      </c>
      <c r="J983" s="15">
        <v>1.0</v>
      </c>
    </row>
    <row r="984">
      <c r="A984" s="11">
        <v>46149.58331740741</v>
      </c>
      <c r="B984" s="9" t="s">
        <v>164</v>
      </c>
      <c r="C984" s="9" t="s">
        <v>401</v>
      </c>
      <c r="D984" s="37" t="s">
        <v>57</v>
      </c>
      <c r="E984" s="14"/>
      <c r="F984" s="15">
        <v>1.0</v>
      </c>
      <c r="G984" s="37" t="s">
        <v>65</v>
      </c>
      <c r="H984" s="31" t="e">
        <v>#N/A</v>
      </c>
      <c r="I984" s="31" t="e">
        <v>#N/A</v>
      </c>
      <c r="J984" s="15">
        <v>1.0</v>
      </c>
    </row>
    <row r="985">
      <c r="A985" s="11">
        <v>46149.59673326389</v>
      </c>
      <c r="B985" s="9" t="s">
        <v>362</v>
      </c>
      <c r="C985" s="9" t="s">
        <v>356</v>
      </c>
      <c r="D985" s="37" t="s">
        <v>57</v>
      </c>
      <c r="E985" s="14"/>
      <c r="F985" s="15">
        <v>1.0</v>
      </c>
      <c r="G985" s="37" t="s">
        <v>65</v>
      </c>
      <c r="H985" s="31" t="e">
        <v>#N/A</v>
      </c>
      <c r="I985" s="31" t="e">
        <v>#N/A</v>
      </c>
      <c r="J985" s="15">
        <v>1.0</v>
      </c>
    </row>
    <row r="986">
      <c r="A986" s="11">
        <v>46149.60418229167</v>
      </c>
      <c r="B986" s="9" t="s">
        <v>399</v>
      </c>
      <c r="C986" s="9" t="s">
        <v>293</v>
      </c>
      <c r="D986" s="9" t="s">
        <v>19</v>
      </c>
      <c r="E986" s="54" t="s">
        <v>416</v>
      </c>
      <c r="F986" s="15">
        <v>1.0</v>
      </c>
      <c r="G986" s="37" t="s">
        <v>65</v>
      </c>
      <c r="H986" s="31" t="e">
        <v>#N/A</v>
      </c>
      <c r="I986" s="31" t="e">
        <v>#N/A</v>
      </c>
      <c r="J986" s="15">
        <v>1.0</v>
      </c>
    </row>
    <row r="987">
      <c r="A987" s="11">
        <v>46149.61135761574</v>
      </c>
      <c r="B987" s="9" t="s">
        <v>282</v>
      </c>
      <c r="C987" s="9" t="s">
        <v>74</v>
      </c>
      <c r="D987" s="37" t="s">
        <v>57</v>
      </c>
      <c r="E987" s="14"/>
      <c r="F987" s="15">
        <v>1.0</v>
      </c>
      <c r="G987" s="37" t="s">
        <v>65</v>
      </c>
      <c r="H987" s="31" t="e">
        <v>#N/A</v>
      </c>
      <c r="I987" s="31" t="e">
        <v>#N/A</v>
      </c>
      <c r="J987" s="15">
        <v>1.0</v>
      </c>
    </row>
    <row r="988">
      <c r="A988" s="11">
        <v>46149.616408333335</v>
      </c>
      <c r="B988" s="9" t="s">
        <v>356</v>
      </c>
      <c r="C988" s="9" t="s">
        <v>200</v>
      </c>
      <c r="D988" s="9" t="s">
        <v>19</v>
      </c>
      <c r="E988" s="54" t="s">
        <v>272</v>
      </c>
      <c r="F988" s="15">
        <v>1.0</v>
      </c>
      <c r="G988" s="37" t="s">
        <v>65</v>
      </c>
      <c r="H988" s="31" t="e">
        <v>#N/A</v>
      </c>
      <c r="I988" s="31" t="e">
        <v>#N/A</v>
      </c>
      <c r="J988" s="15">
        <v>1.0</v>
      </c>
    </row>
    <row r="989">
      <c r="A989" s="11">
        <v>46149.626324756944</v>
      </c>
      <c r="B989" s="9" t="s">
        <v>84</v>
      </c>
      <c r="C989" s="9" t="s">
        <v>104</v>
      </c>
      <c r="D989" s="9" t="s">
        <v>19</v>
      </c>
      <c r="E989" s="14"/>
      <c r="F989" s="15">
        <v>1.0</v>
      </c>
      <c r="G989" s="37" t="s">
        <v>65</v>
      </c>
      <c r="H989" s="31" t="e">
        <v>#N/A</v>
      </c>
      <c r="I989" s="31" t="e">
        <v>#N/A</v>
      </c>
      <c r="J989" s="15">
        <v>1.0</v>
      </c>
    </row>
    <row r="990">
      <c r="A990" s="11">
        <v>46149.62906482639</v>
      </c>
      <c r="B990" s="9" t="s">
        <v>401</v>
      </c>
      <c r="C990" s="9" t="s">
        <v>331</v>
      </c>
      <c r="D990" s="9" t="s">
        <v>19</v>
      </c>
      <c r="E990" s="54" t="s">
        <v>122</v>
      </c>
      <c r="F990" s="15">
        <v>1.0</v>
      </c>
      <c r="G990" s="37" t="s">
        <v>65</v>
      </c>
      <c r="H990" s="31" t="e">
        <v>#N/A</v>
      </c>
      <c r="I990" s="31" t="e">
        <v>#N/A</v>
      </c>
      <c r="J990" s="15">
        <v>1.0</v>
      </c>
    </row>
    <row r="991">
      <c r="A991" s="11">
        <v>46149.66361853009</v>
      </c>
      <c r="B991" s="9" t="s">
        <v>401</v>
      </c>
      <c r="C991" s="9" t="s">
        <v>173</v>
      </c>
      <c r="D991" s="37" t="s">
        <v>57</v>
      </c>
      <c r="E991" s="54" t="s">
        <v>122</v>
      </c>
      <c r="F991" s="15">
        <v>1.0</v>
      </c>
      <c r="G991" s="37" t="s">
        <v>65</v>
      </c>
      <c r="H991" s="31" t="e">
        <v>#N/A</v>
      </c>
      <c r="I991" s="31" t="e">
        <v>#N/A</v>
      </c>
      <c r="J991" s="15">
        <v>1.0</v>
      </c>
    </row>
    <row r="992">
      <c r="A992" s="11">
        <v>46149.6649583449</v>
      </c>
      <c r="B992" s="9" t="s">
        <v>399</v>
      </c>
      <c r="C992" s="9" t="s">
        <v>385</v>
      </c>
      <c r="D992" s="9" t="s">
        <v>19</v>
      </c>
      <c r="E992" s="54" t="s">
        <v>416</v>
      </c>
      <c r="F992" s="15">
        <v>1.0</v>
      </c>
      <c r="G992" s="37" t="s">
        <v>65</v>
      </c>
      <c r="H992" s="31" t="e">
        <v>#N/A</v>
      </c>
      <c r="I992" s="31" t="e">
        <v>#N/A</v>
      </c>
      <c r="J992" s="15">
        <v>1.0</v>
      </c>
    </row>
    <row r="993">
      <c r="A993" s="11">
        <v>46149.68547473379</v>
      </c>
      <c r="B993" s="9" t="s">
        <v>104</v>
      </c>
      <c r="C993" s="9" t="s">
        <v>79</v>
      </c>
      <c r="D993" s="9" t="s">
        <v>19</v>
      </c>
      <c r="E993" s="54" t="s">
        <v>108</v>
      </c>
      <c r="F993" s="15">
        <v>1.0</v>
      </c>
      <c r="G993" s="37" t="s">
        <v>65</v>
      </c>
      <c r="H993" s="31" t="e">
        <v>#N/A</v>
      </c>
      <c r="I993" s="31" t="e">
        <v>#N/A</v>
      </c>
      <c r="J993" s="15">
        <v>1.0</v>
      </c>
    </row>
    <row r="994">
      <c r="A994" s="11">
        <v>46149.70886958334</v>
      </c>
      <c r="B994" s="9" t="s">
        <v>190</v>
      </c>
      <c r="C994" s="9" t="s">
        <v>235</v>
      </c>
      <c r="D994" s="37" t="s">
        <v>57</v>
      </c>
      <c r="E994" s="54" t="s">
        <v>112</v>
      </c>
      <c r="F994" s="15">
        <v>1.0</v>
      </c>
      <c r="G994" s="37" t="s">
        <v>65</v>
      </c>
      <c r="H994" s="31" t="e">
        <v>#N/A</v>
      </c>
      <c r="I994" s="31" t="e">
        <v>#N/A</v>
      </c>
      <c r="J994" s="15">
        <v>1.0</v>
      </c>
    </row>
    <row r="995">
      <c r="A995" s="11">
        <v>46149.72191875</v>
      </c>
      <c r="B995" s="9" t="s">
        <v>235</v>
      </c>
      <c r="C995" s="9" t="s">
        <v>258</v>
      </c>
      <c r="D995" s="9" t="s">
        <v>19</v>
      </c>
      <c r="E995" s="54" t="s">
        <v>102</v>
      </c>
      <c r="F995" s="15">
        <v>1.0</v>
      </c>
      <c r="G995" s="37" t="s">
        <v>65</v>
      </c>
      <c r="H995" s="31" t="e">
        <v>#N/A</v>
      </c>
      <c r="I995" s="31" t="e">
        <v>#N/A</v>
      </c>
      <c r="J995" s="15">
        <v>1.0</v>
      </c>
    </row>
    <row r="996">
      <c r="A996" s="11">
        <v>46149.73875899306</v>
      </c>
      <c r="B996" s="9" t="s">
        <v>362</v>
      </c>
      <c r="C996" s="9" t="s">
        <v>109</v>
      </c>
      <c r="D996" s="37" t="s">
        <v>57</v>
      </c>
      <c r="E996" s="14"/>
      <c r="F996" s="15">
        <v>1.0</v>
      </c>
      <c r="G996" s="37" t="s">
        <v>65</v>
      </c>
      <c r="H996" s="31" t="e">
        <v>#N/A</v>
      </c>
      <c r="I996" s="31" t="e">
        <v>#N/A</v>
      </c>
      <c r="J996" s="15">
        <v>1.0</v>
      </c>
    </row>
    <row r="997">
      <c r="A997" s="11">
        <v>46149.76923509259</v>
      </c>
      <c r="B997" s="9" t="s">
        <v>296</v>
      </c>
      <c r="C997" s="9" t="s">
        <v>74</v>
      </c>
      <c r="D997" s="9" t="s">
        <v>19</v>
      </c>
      <c r="E997" s="14"/>
      <c r="F997" s="15">
        <v>1.0</v>
      </c>
      <c r="G997" s="37" t="s">
        <v>65</v>
      </c>
      <c r="H997" s="31" t="e">
        <v>#N/A</v>
      </c>
      <c r="I997" s="31" t="e">
        <v>#N/A</v>
      </c>
      <c r="J997" s="15">
        <v>1.0</v>
      </c>
    </row>
    <row r="998">
      <c r="A998" s="11">
        <v>46149.78057527778</v>
      </c>
      <c r="B998" s="9" t="s">
        <v>72</v>
      </c>
      <c r="C998" s="9" t="s">
        <v>109</v>
      </c>
      <c r="D998" s="9" t="s">
        <v>19</v>
      </c>
      <c r="E998" s="14"/>
      <c r="F998" s="15">
        <v>1.0</v>
      </c>
      <c r="G998" s="37" t="s">
        <v>65</v>
      </c>
      <c r="H998" s="31" t="e">
        <v>#N/A</v>
      </c>
      <c r="I998" s="31" t="e">
        <v>#N/A</v>
      </c>
      <c r="J998" s="15">
        <v>1.0</v>
      </c>
    </row>
    <row r="999">
      <c r="A999" s="11">
        <v>46149.79084195602</v>
      </c>
      <c r="B999" s="9" t="s">
        <v>55</v>
      </c>
      <c r="C999" s="9" t="s">
        <v>303</v>
      </c>
      <c r="D999" s="37" t="s">
        <v>57</v>
      </c>
      <c r="E999" s="54" t="s">
        <v>471</v>
      </c>
      <c r="F999" s="15">
        <v>1.0</v>
      </c>
      <c r="G999" s="37" t="s">
        <v>65</v>
      </c>
      <c r="H999" s="31" t="e">
        <v>#N/A</v>
      </c>
      <c r="I999" s="31" t="e">
        <v>#N/A</v>
      </c>
      <c r="J999" s="15">
        <v>1.0</v>
      </c>
    </row>
    <row r="1000">
      <c r="A1000" s="11">
        <v>46149.79844038194</v>
      </c>
      <c r="B1000" s="9" t="s">
        <v>267</v>
      </c>
      <c r="C1000" s="9" t="s">
        <v>72</v>
      </c>
      <c r="D1000" s="37" t="s">
        <v>57</v>
      </c>
      <c r="E1000" s="54" t="s">
        <v>122</v>
      </c>
      <c r="F1000" s="15">
        <v>1.0</v>
      </c>
      <c r="G1000" s="37" t="s">
        <v>65</v>
      </c>
      <c r="H1000" s="31" t="e">
        <v>#N/A</v>
      </c>
      <c r="I1000" s="31" t="e">
        <v>#N/A</v>
      </c>
      <c r="J1000" s="15">
        <v>1.0</v>
      </c>
    </row>
    <row r="1001">
      <c r="A1001" s="11">
        <v>46149.79944113426</v>
      </c>
      <c r="B1001" s="9" t="s">
        <v>150</v>
      </c>
      <c r="C1001" s="9" t="s">
        <v>472</v>
      </c>
      <c r="D1001" s="9" t="s">
        <v>19</v>
      </c>
      <c r="E1001" s="54" t="s">
        <v>112</v>
      </c>
      <c r="F1001" s="15">
        <v>1.0</v>
      </c>
      <c r="G1001" s="37" t="s">
        <v>65</v>
      </c>
      <c r="H1001" s="31" t="e">
        <v>#N/A</v>
      </c>
      <c r="I1001" s="31" t="e">
        <v>#N/A</v>
      </c>
      <c r="J1001" s="15">
        <v>1.0</v>
      </c>
    </row>
    <row r="1002">
      <c r="A1002" s="11">
        <v>46149.815929351855</v>
      </c>
      <c r="B1002" s="9" t="s">
        <v>304</v>
      </c>
      <c r="C1002" s="9" t="s">
        <v>404</v>
      </c>
      <c r="D1002" s="9" t="s">
        <v>19</v>
      </c>
      <c r="E1002" s="54" t="s">
        <v>176</v>
      </c>
      <c r="F1002" s="15">
        <v>1.0</v>
      </c>
      <c r="G1002" s="37" t="s">
        <v>65</v>
      </c>
      <c r="H1002" s="31" t="e">
        <v>#N/A</v>
      </c>
      <c r="I1002" s="31" t="e">
        <v>#N/A</v>
      </c>
      <c r="J1002" s="15">
        <v>1.0</v>
      </c>
    </row>
    <row r="1003">
      <c r="A1003" s="11">
        <v>46149.82612442129</v>
      </c>
      <c r="B1003" s="9" t="s">
        <v>226</v>
      </c>
      <c r="C1003" s="9" t="s">
        <v>334</v>
      </c>
      <c r="D1003" s="37" t="s">
        <v>57</v>
      </c>
      <c r="E1003" s="54" t="s">
        <v>112</v>
      </c>
      <c r="F1003" s="15">
        <v>1.0</v>
      </c>
      <c r="G1003" s="37" t="s">
        <v>65</v>
      </c>
      <c r="H1003" s="31" t="e">
        <v>#N/A</v>
      </c>
      <c r="I1003" s="31" t="e">
        <v>#N/A</v>
      </c>
      <c r="J1003" s="15">
        <v>1.0</v>
      </c>
    </row>
    <row r="1004">
      <c r="A1004" s="11">
        <v>46149.85049347222</v>
      </c>
      <c r="B1004" s="9" t="s">
        <v>226</v>
      </c>
      <c r="C1004" s="9" t="s">
        <v>404</v>
      </c>
      <c r="D1004" s="37" t="s">
        <v>57</v>
      </c>
      <c r="E1004" s="54" t="s">
        <v>112</v>
      </c>
      <c r="F1004" s="15">
        <v>1.0</v>
      </c>
      <c r="G1004" s="37" t="s">
        <v>65</v>
      </c>
      <c r="H1004" s="31" t="e">
        <v>#N/A</v>
      </c>
      <c r="I1004" s="31" t="e">
        <v>#N/A</v>
      </c>
      <c r="J1004" s="15">
        <v>1.0</v>
      </c>
    </row>
    <row r="1005">
      <c r="A1005" s="11">
        <v>46149.85320048611</v>
      </c>
      <c r="B1005" s="9" t="s">
        <v>399</v>
      </c>
      <c r="C1005" s="9" t="s">
        <v>334</v>
      </c>
      <c r="D1005" s="9" t="s">
        <v>19</v>
      </c>
      <c r="E1005" s="54" t="s">
        <v>416</v>
      </c>
      <c r="F1005" s="15">
        <v>1.0</v>
      </c>
      <c r="G1005" s="37" t="s">
        <v>65</v>
      </c>
      <c r="H1005" s="31" t="e">
        <v>#N/A</v>
      </c>
      <c r="I1005" s="31" t="e">
        <v>#N/A</v>
      </c>
      <c r="J1005" s="15">
        <v>1.0</v>
      </c>
    </row>
    <row r="1006">
      <c r="A1006" s="11">
        <v>46149.85651423611</v>
      </c>
      <c r="B1006" s="9" t="s">
        <v>238</v>
      </c>
      <c r="C1006" s="9" t="s">
        <v>299</v>
      </c>
      <c r="D1006" s="37" t="s">
        <v>57</v>
      </c>
      <c r="E1006" s="54" t="s">
        <v>473</v>
      </c>
      <c r="F1006" s="15">
        <v>1.0</v>
      </c>
      <c r="G1006" s="37" t="s">
        <v>65</v>
      </c>
      <c r="H1006" s="31" t="e">
        <v>#N/A</v>
      </c>
      <c r="I1006" s="31" t="e">
        <v>#N/A</v>
      </c>
      <c r="J1006" s="15">
        <v>1.0</v>
      </c>
    </row>
    <row r="1007">
      <c r="A1007" s="11">
        <v>46149.86187810185</v>
      </c>
      <c r="B1007" s="9" t="s">
        <v>173</v>
      </c>
      <c r="C1007" s="9" t="s">
        <v>172</v>
      </c>
      <c r="D1007" s="37" t="s">
        <v>57</v>
      </c>
      <c r="E1007" s="14"/>
      <c r="F1007" s="15">
        <v>1.0</v>
      </c>
      <c r="G1007" s="37" t="s">
        <v>65</v>
      </c>
      <c r="H1007" s="31" t="e">
        <v>#N/A</v>
      </c>
      <c r="I1007" s="31" t="e">
        <v>#N/A</v>
      </c>
      <c r="J1007" s="15">
        <v>1.0</v>
      </c>
    </row>
    <row r="1008">
      <c r="A1008" s="11">
        <v>46149.87174686343</v>
      </c>
      <c r="B1008" s="9" t="s">
        <v>315</v>
      </c>
      <c r="C1008" s="9" t="s">
        <v>246</v>
      </c>
      <c r="D1008" s="9" t="s">
        <v>19</v>
      </c>
      <c r="E1008" s="14"/>
      <c r="F1008" s="15">
        <v>1.0</v>
      </c>
      <c r="G1008" s="37" t="s">
        <v>65</v>
      </c>
      <c r="H1008" s="31" t="e">
        <v>#N/A</v>
      </c>
      <c r="I1008" s="31" t="e">
        <v>#N/A</v>
      </c>
      <c r="J1008" s="15">
        <v>1.0</v>
      </c>
    </row>
    <row r="1009">
      <c r="A1009" s="11">
        <v>46149.8758158912</v>
      </c>
      <c r="B1009" s="9" t="s">
        <v>276</v>
      </c>
      <c r="C1009" s="9" t="s">
        <v>172</v>
      </c>
      <c r="D1009" s="9" t="s">
        <v>19</v>
      </c>
      <c r="E1009" s="14"/>
      <c r="F1009" s="15">
        <v>1.0</v>
      </c>
      <c r="G1009" s="37" t="s">
        <v>65</v>
      </c>
      <c r="H1009" s="31" t="e">
        <v>#N/A</v>
      </c>
      <c r="I1009" s="31" t="e">
        <v>#N/A</v>
      </c>
      <c r="J1009" s="15">
        <v>1.0</v>
      </c>
    </row>
    <row r="1010">
      <c r="A1010" s="11">
        <v>46149.87916674768</v>
      </c>
      <c r="B1010" s="9" t="s">
        <v>267</v>
      </c>
      <c r="C1010" s="9" t="s">
        <v>406</v>
      </c>
      <c r="D1010" s="37" t="s">
        <v>57</v>
      </c>
      <c r="E1010" s="54" t="s">
        <v>122</v>
      </c>
      <c r="F1010" s="15">
        <v>1.0</v>
      </c>
      <c r="G1010" s="37" t="s">
        <v>65</v>
      </c>
      <c r="H1010" s="31" t="e">
        <v>#N/A</v>
      </c>
      <c r="I1010" s="31" t="e">
        <v>#N/A</v>
      </c>
      <c r="J1010" s="15">
        <v>1.0</v>
      </c>
    </row>
    <row r="1011">
      <c r="A1011" s="11">
        <v>46149.888835868056</v>
      </c>
      <c r="B1011" s="9" t="s">
        <v>276</v>
      </c>
      <c r="C1011" s="9" t="s">
        <v>404</v>
      </c>
      <c r="D1011" s="37" t="s">
        <v>57</v>
      </c>
      <c r="E1011" s="14"/>
      <c r="F1011" s="15">
        <v>1.0</v>
      </c>
      <c r="G1011" s="37" t="s">
        <v>65</v>
      </c>
      <c r="H1011" s="31" t="e">
        <v>#N/A</v>
      </c>
      <c r="I1011" s="31" t="e">
        <v>#N/A</v>
      </c>
      <c r="J1011" s="15">
        <v>1.0</v>
      </c>
    </row>
    <row r="1012">
      <c r="A1012" s="11">
        <v>46149.89224371528</v>
      </c>
      <c r="B1012" s="9" t="s">
        <v>315</v>
      </c>
      <c r="C1012" s="9" t="s">
        <v>275</v>
      </c>
      <c r="D1012" s="37" t="s">
        <v>57</v>
      </c>
      <c r="E1012" s="14"/>
      <c r="F1012" s="15">
        <v>1.0</v>
      </c>
      <c r="G1012" s="37" t="s">
        <v>65</v>
      </c>
      <c r="H1012" s="31" t="e">
        <v>#N/A</v>
      </c>
      <c r="I1012" s="31" t="e">
        <v>#N/A</v>
      </c>
      <c r="J1012" s="15">
        <v>1.0</v>
      </c>
    </row>
    <row r="1013">
      <c r="A1013" s="11">
        <v>46149.896752789355</v>
      </c>
      <c r="B1013" s="9" t="s">
        <v>409</v>
      </c>
      <c r="C1013" s="9" t="s">
        <v>369</v>
      </c>
      <c r="D1013" s="37" t="s">
        <v>57</v>
      </c>
      <c r="E1013" s="14"/>
      <c r="F1013" s="15">
        <v>1.0</v>
      </c>
      <c r="G1013" s="37" t="s">
        <v>65</v>
      </c>
      <c r="H1013" s="31" t="e">
        <v>#N/A</v>
      </c>
      <c r="I1013" s="31" t="e">
        <v>#N/A</v>
      </c>
      <c r="J1013" s="15">
        <v>1.0</v>
      </c>
    </row>
    <row r="1014">
      <c r="A1014" s="11">
        <v>46149.90827866898</v>
      </c>
      <c r="B1014" s="9" t="s">
        <v>335</v>
      </c>
      <c r="C1014" s="9" t="s">
        <v>252</v>
      </c>
      <c r="D1014" s="9" t="s">
        <v>19</v>
      </c>
      <c r="E1014" s="54" t="s">
        <v>408</v>
      </c>
      <c r="F1014" s="15">
        <v>1.0</v>
      </c>
      <c r="G1014" s="37" t="s">
        <v>65</v>
      </c>
      <c r="H1014" s="31" t="e">
        <v>#N/A</v>
      </c>
      <c r="I1014" s="31" t="e">
        <v>#N/A</v>
      </c>
      <c r="J1014" s="15">
        <v>1.0</v>
      </c>
    </row>
    <row r="1015">
      <c r="A1015" s="11">
        <v>46149.911820208334</v>
      </c>
      <c r="B1015" s="9" t="s">
        <v>298</v>
      </c>
      <c r="C1015" s="9" t="s">
        <v>275</v>
      </c>
      <c r="D1015" s="9" t="s">
        <v>19</v>
      </c>
      <c r="E1015" s="14"/>
      <c r="F1015" s="15">
        <v>1.0</v>
      </c>
      <c r="G1015" s="37" t="s">
        <v>65</v>
      </c>
      <c r="H1015" s="31" t="e">
        <v>#N/A</v>
      </c>
      <c r="I1015" s="31" t="e">
        <v>#N/A</v>
      </c>
      <c r="J1015" s="15">
        <v>1.0</v>
      </c>
    </row>
    <row r="1016">
      <c r="A1016" s="11">
        <v>46149.91234622685</v>
      </c>
      <c r="B1016" s="9" t="s">
        <v>315</v>
      </c>
      <c r="C1016" s="9" t="s">
        <v>369</v>
      </c>
      <c r="D1016" s="37" t="s">
        <v>57</v>
      </c>
      <c r="E1016" s="14"/>
      <c r="F1016" s="15">
        <v>1.0</v>
      </c>
      <c r="G1016" s="37" t="s">
        <v>65</v>
      </c>
      <c r="H1016" s="31" t="e">
        <v>#N/A</v>
      </c>
      <c r="I1016" s="31" t="e">
        <v>#N/A</v>
      </c>
      <c r="J1016" s="15">
        <v>1.0</v>
      </c>
    </row>
    <row r="1017">
      <c r="A1017" s="11">
        <v>46149.93102425926</v>
      </c>
      <c r="B1017" s="9" t="s">
        <v>298</v>
      </c>
      <c r="C1017" s="9" t="s">
        <v>308</v>
      </c>
      <c r="D1017" s="9" t="s">
        <v>19</v>
      </c>
      <c r="E1017" s="14"/>
      <c r="F1017" s="15">
        <v>1.0</v>
      </c>
      <c r="G1017" s="37" t="s">
        <v>65</v>
      </c>
      <c r="H1017" s="31" t="e">
        <v>#N/A</v>
      </c>
      <c r="I1017" s="31" t="e">
        <v>#N/A</v>
      </c>
      <c r="J1017" s="15">
        <v>1.0</v>
      </c>
    </row>
    <row r="1018">
      <c r="A1018" s="11">
        <v>46149.93767667824</v>
      </c>
      <c r="B1018" s="9" t="s">
        <v>275</v>
      </c>
      <c r="C1018" s="9" t="s">
        <v>394</v>
      </c>
      <c r="D1018" s="37" t="s">
        <v>57</v>
      </c>
      <c r="E1018" s="14"/>
      <c r="F1018" s="15">
        <v>1.0</v>
      </c>
      <c r="G1018" s="37" t="s">
        <v>65</v>
      </c>
      <c r="H1018" s="31" t="e">
        <v>#N/A</v>
      </c>
      <c r="I1018" s="31" t="e">
        <v>#N/A</v>
      </c>
      <c r="J1018" s="15">
        <v>1.0</v>
      </c>
    </row>
    <row r="1019">
      <c r="A1019" s="11">
        <v>46149.941060439814</v>
      </c>
      <c r="B1019" s="9" t="s">
        <v>346</v>
      </c>
      <c r="C1019" s="9" t="s">
        <v>243</v>
      </c>
      <c r="D1019" s="9" t="s">
        <v>19</v>
      </c>
      <c r="E1019" s="54" t="s">
        <v>270</v>
      </c>
      <c r="F1019" s="15">
        <v>1.0</v>
      </c>
      <c r="G1019" s="37" t="s">
        <v>65</v>
      </c>
      <c r="H1019" s="31" t="e">
        <v>#N/A</v>
      </c>
      <c r="I1019" s="31" t="e">
        <v>#N/A</v>
      </c>
      <c r="J1019" s="15">
        <v>1.0</v>
      </c>
    </row>
    <row r="1020">
      <c r="A1020" s="11">
        <v>46149.94666862268</v>
      </c>
      <c r="B1020" s="9" t="s">
        <v>286</v>
      </c>
      <c r="C1020" s="9" t="s">
        <v>359</v>
      </c>
      <c r="D1020" s="9" t="s">
        <v>19</v>
      </c>
      <c r="E1020" s="14"/>
      <c r="F1020" s="15">
        <v>1.0</v>
      </c>
      <c r="G1020" s="37" t="s">
        <v>65</v>
      </c>
      <c r="H1020" s="31" t="e">
        <v>#N/A</v>
      </c>
      <c r="I1020" s="31" t="e">
        <v>#N/A</v>
      </c>
      <c r="J1020" s="15">
        <v>1.0</v>
      </c>
    </row>
    <row r="1021">
      <c r="A1021" s="11">
        <v>46149.94781744213</v>
      </c>
      <c r="B1021" s="9" t="s">
        <v>346</v>
      </c>
      <c r="C1021" s="9" t="s">
        <v>77</v>
      </c>
      <c r="D1021" s="9" t="s">
        <v>19</v>
      </c>
      <c r="E1021" s="54" t="s">
        <v>270</v>
      </c>
      <c r="F1021" s="15">
        <v>1.0</v>
      </c>
      <c r="G1021" s="37" t="s">
        <v>65</v>
      </c>
      <c r="H1021" s="31" t="e">
        <v>#N/A</v>
      </c>
      <c r="I1021" s="31" t="e">
        <v>#N/A</v>
      </c>
      <c r="J1021" s="15">
        <v>1.0</v>
      </c>
    </row>
    <row r="1022">
      <c r="A1022" s="11">
        <v>46149.948087592595</v>
      </c>
      <c r="B1022" s="9" t="s">
        <v>369</v>
      </c>
      <c r="C1022" s="9" t="s">
        <v>316</v>
      </c>
      <c r="D1022" s="9" t="s">
        <v>19</v>
      </c>
      <c r="E1022" s="14"/>
      <c r="F1022" s="15">
        <v>1.0</v>
      </c>
      <c r="G1022" s="37" t="s">
        <v>65</v>
      </c>
      <c r="H1022" s="31" t="e">
        <v>#N/A</v>
      </c>
      <c r="I1022" s="31" t="e">
        <v>#N/A</v>
      </c>
      <c r="J1022" s="15">
        <v>1.0</v>
      </c>
    </row>
    <row r="1023">
      <c r="A1023" s="11">
        <v>46149.95929402778</v>
      </c>
      <c r="B1023" s="9" t="s">
        <v>286</v>
      </c>
      <c r="C1023" s="9" t="s">
        <v>184</v>
      </c>
      <c r="D1023" s="9" t="s">
        <v>19</v>
      </c>
      <c r="E1023" s="14"/>
      <c r="F1023" s="15">
        <v>1.0</v>
      </c>
      <c r="G1023" s="37" t="s">
        <v>65</v>
      </c>
      <c r="H1023" s="31" t="e">
        <v>#N/A</v>
      </c>
      <c r="I1023" s="31" t="e">
        <v>#N/A</v>
      </c>
      <c r="J1023" s="15">
        <v>1.0</v>
      </c>
    </row>
    <row r="1024">
      <c r="A1024" s="11">
        <v>46149.96552677083</v>
      </c>
      <c r="B1024" s="9" t="s">
        <v>369</v>
      </c>
      <c r="C1024" s="9" t="s">
        <v>413</v>
      </c>
      <c r="D1024" s="37" t="s">
        <v>57</v>
      </c>
      <c r="E1024" s="14"/>
      <c r="F1024" s="15">
        <v>1.0</v>
      </c>
      <c r="G1024" s="37" t="s">
        <v>65</v>
      </c>
      <c r="H1024" s="31" t="e">
        <v>#N/A</v>
      </c>
      <c r="I1024" s="31" t="e">
        <v>#N/A</v>
      </c>
      <c r="J1024" s="15">
        <v>1.0</v>
      </c>
    </row>
    <row r="1025">
      <c r="A1025" s="11">
        <v>46149.966252557875</v>
      </c>
      <c r="B1025" s="9" t="s">
        <v>275</v>
      </c>
      <c r="C1025" s="9" t="s">
        <v>371</v>
      </c>
      <c r="D1025" s="37" t="s">
        <v>57</v>
      </c>
      <c r="E1025" s="14"/>
      <c r="F1025" s="15">
        <v>1.0</v>
      </c>
      <c r="G1025" s="37" t="s">
        <v>65</v>
      </c>
      <c r="H1025" s="31" t="e">
        <v>#N/A</v>
      </c>
      <c r="I1025" s="31" t="e">
        <v>#N/A</v>
      </c>
      <c r="J1025" s="15">
        <v>1.0</v>
      </c>
    </row>
    <row r="1026">
      <c r="A1026" s="11">
        <v>46149.96946548611</v>
      </c>
      <c r="B1026" s="9" t="s">
        <v>190</v>
      </c>
      <c r="C1026" s="9" t="s">
        <v>77</v>
      </c>
      <c r="D1026" s="9" t="s">
        <v>19</v>
      </c>
      <c r="E1026" s="54" t="s">
        <v>474</v>
      </c>
      <c r="F1026" s="15">
        <v>1.0</v>
      </c>
      <c r="G1026" s="37" t="s">
        <v>65</v>
      </c>
      <c r="H1026" s="31" t="e">
        <v>#N/A</v>
      </c>
      <c r="I1026" s="31" t="e">
        <v>#N/A</v>
      </c>
      <c r="J1026" s="15">
        <v>1.0</v>
      </c>
    </row>
    <row r="1027">
      <c r="A1027" s="11">
        <v>46149.98126341435</v>
      </c>
      <c r="B1027" s="9" t="s">
        <v>173</v>
      </c>
      <c r="C1027" s="9" t="s">
        <v>304</v>
      </c>
      <c r="D1027" s="9" t="s">
        <v>19</v>
      </c>
      <c r="E1027" s="14"/>
      <c r="F1027" s="15">
        <v>1.0</v>
      </c>
      <c r="G1027" s="37" t="s">
        <v>65</v>
      </c>
      <c r="H1027" s="31" t="e">
        <v>#N/A</v>
      </c>
      <c r="I1027" s="31" t="e">
        <v>#N/A</v>
      </c>
      <c r="J1027" s="15">
        <v>1.0</v>
      </c>
    </row>
    <row r="1028">
      <c r="A1028" s="11">
        <v>46149.98372701389</v>
      </c>
      <c r="B1028" s="9" t="s">
        <v>346</v>
      </c>
      <c r="C1028" s="9" t="s">
        <v>74</v>
      </c>
      <c r="D1028" s="37" t="s">
        <v>57</v>
      </c>
      <c r="E1028" s="54" t="s">
        <v>270</v>
      </c>
      <c r="F1028" s="15">
        <v>1.0</v>
      </c>
      <c r="G1028" s="37" t="s">
        <v>65</v>
      </c>
      <c r="H1028" s="31" t="e">
        <v>#N/A</v>
      </c>
      <c r="I1028" s="31" t="e">
        <v>#N/A</v>
      </c>
      <c r="J1028" s="15">
        <v>1.0</v>
      </c>
    </row>
    <row r="1029">
      <c r="A1029" s="11">
        <v>46149.98734886574</v>
      </c>
      <c r="B1029" s="9" t="s">
        <v>369</v>
      </c>
      <c r="C1029" s="9" t="s">
        <v>59</v>
      </c>
      <c r="D1029" s="9" t="s">
        <v>19</v>
      </c>
      <c r="E1029" s="14"/>
      <c r="F1029" s="15">
        <v>1.0</v>
      </c>
      <c r="G1029" s="37" t="s">
        <v>65</v>
      </c>
      <c r="H1029" s="31" t="e">
        <v>#N/A</v>
      </c>
      <c r="I1029" s="31" t="e">
        <v>#N/A</v>
      </c>
      <c r="J1029" s="15">
        <v>1.0</v>
      </c>
    </row>
    <row r="1030">
      <c r="A1030" s="11">
        <v>46149.98918675926</v>
      </c>
      <c r="B1030" s="9" t="s">
        <v>322</v>
      </c>
      <c r="C1030" s="9" t="s">
        <v>141</v>
      </c>
      <c r="D1030" s="9" t="s">
        <v>19</v>
      </c>
      <c r="E1030" s="14"/>
      <c r="F1030" s="15">
        <v>1.0</v>
      </c>
      <c r="G1030" s="37" t="s">
        <v>65</v>
      </c>
      <c r="H1030" s="31" t="e">
        <v>#N/A</v>
      </c>
      <c r="I1030" s="31" t="e">
        <v>#N/A</v>
      </c>
      <c r="J1030" s="15">
        <v>1.0</v>
      </c>
    </row>
    <row r="1031">
      <c r="A1031" s="11">
        <v>46149.99721327546</v>
      </c>
      <c r="B1031" s="9" t="s">
        <v>308</v>
      </c>
      <c r="C1031" s="9" t="s">
        <v>413</v>
      </c>
      <c r="D1031" s="37" t="s">
        <v>57</v>
      </c>
      <c r="E1031" s="54" t="s">
        <v>140</v>
      </c>
      <c r="F1031" s="15">
        <v>1.0</v>
      </c>
      <c r="G1031" s="37" t="s">
        <v>65</v>
      </c>
      <c r="H1031" s="31" t="e">
        <v>#N/A</v>
      </c>
      <c r="I1031" s="31" t="e">
        <v>#N/A</v>
      </c>
      <c r="J1031" s="15">
        <v>1.0</v>
      </c>
    </row>
    <row r="1032">
      <c r="A1032" s="11">
        <v>46149.998430844906</v>
      </c>
      <c r="B1032" s="9" t="s">
        <v>252</v>
      </c>
      <c r="C1032" s="9" t="s">
        <v>286</v>
      </c>
      <c r="D1032" s="37" t="s">
        <v>57</v>
      </c>
      <c r="E1032" s="14"/>
      <c r="F1032" s="15">
        <v>1.0</v>
      </c>
      <c r="G1032" s="37" t="s">
        <v>65</v>
      </c>
      <c r="H1032" s="31" t="e">
        <v>#N/A</v>
      </c>
      <c r="I1032" s="31" t="e">
        <v>#N/A</v>
      </c>
      <c r="J1032" s="15">
        <v>1.0</v>
      </c>
    </row>
    <row r="1033">
      <c r="A1033" s="11">
        <v>46150.00258626157</v>
      </c>
      <c r="B1033" s="9" t="s">
        <v>322</v>
      </c>
      <c r="C1033" s="9" t="s">
        <v>369</v>
      </c>
      <c r="D1033" s="37" t="s">
        <v>57</v>
      </c>
      <c r="E1033" s="14"/>
      <c r="F1033" s="15">
        <v>1.0</v>
      </c>
      <c r="G1033" s="37" t="s">
        <v>65</v>
      </c>
      <c r="H1033" s="31" t="e">
        <v>#N/A</v>
      </c>
      <c r="I1033" s="31" t="e">
        <v>#N/A</v>
      </c>
    </row>
    <row r="1034">
      <c r="A1034" s="11">
        <v>46150.00852228009</v>
      </c>
      <c r="B1034" s="9" t="s">
        <v>131</v>
      </c>
      <c r="C1034" s="9" t="s">
        <v>303</v>
      </c>
      <c r="D1034" s="9" t="s">
        <v>19</v>
      </c>
      <c r="E1034" s="14"/>
      <c r="F1034" s="15">
        <v>1.0</v>
      </c>
      <c r="G1034" s="37" t="s">
        <v>65</v>
      </c>
      <c r="H1034" s="31" t="e">
        <v>#N/A</v>
      </c>
      <c r="I1034" s="31" t="e">
        <v>#N/A</v>
      </c>
    </row>
    <row r="1035">
      <c r="A1035" s="11">
        <v>46150.02074721065</v>
      </c>
      <c r="B1035" s="9" t="s">
        <v>312</v>
      </c>
      <c r="C1035" s="9" t="s">
        <v>308</v>
      </c>
      <c r="D1035" s="9" t="s">
        <v>19</v>
      </c>
      <c r="E1035" s="54" t="s">
        <v>108</v>
      </c>
      <c r="F1035" s="15">
        <v>1.0</v>
      </c>
      <c r="G1035" s="37" t="s">
        <v>65</v>
      </c>
      <c r="H1035" s="31" t="e">
        <v>#N/A</v>
      </c>
      <c r="I1035" s="31" t="e">
        <v>#N/A</v>
      </c>
    </row>
    <row r="1036">
      <c r="A1036" s="11">
        <v>46150.02324909723</v>
      </c>
      <c r="B1036" s="9" t="s">
        <v>131</v>
      </c>
      <c r="C1036" s="9" t="s">
        <v>369</v>
      </c>
      <c r="D1036" s="37" t="s">
        <v>57</v>
      </c>
      <c r="E1036" s="14"/>
      <c r="F1036" s="15">
        <v>1.0</v>
      </c>
      <c r="G1036" s="37" t="s">
        <v>65</v>
      </c>
      <c r="H1036" s="31" t="e">
        <v>#N/A</v>
      </c>
      <c r="I1036" s="31" t="e">
        <v>#N/A</v>
      </c>
    </row>
    <row r="1037">
      <c r="A1037" s="11">
        <v>46150.0242378125</v>
      </c>
      <c r="B1037" s="9" t="s">
        <v>322</v>
      </c>
      <c r="C1037" s="9" t="s">
        <v>413</v>
      </c>
      <c r="D1037" s="9" t="s">
        <v>19</v>
      </c>
      <c r="E1037" s="14"/>
      <c r="F1037" s="15">
        <v>1.0</v>
      </c>
      <c r="G1037" s="37" t="s">
        <v>65</v>
      </c>
      <c r="H1037" s="31" t="e">
        <v>#N/A</v>
      </c>
      <c r="I1037" s="31" t="e">
        <v>#N/A</v>
      </c>
    </row>
    <row r="1038">
      <c r="A1038" s="11">
        <v>46150.03856457176</v>
      </c>
      <c r="B1038" s="9" t="s">
        <v>397</v>
      </c>
      <c r="C1038" s="9" t="s">
        <v>374</v>
      </c>
      <c r="D1038" s="37" t="s">
        <v>57</v>
      </c>
      <c r="E1038" s="14"/>
      <c r="F1038" s="15">
        <v>1.0</v>
      </c>
      <c r="G1038" s="37" t="s">
        <v>65</v>
      </c>
      <c r="H1038" s="31" t="e">
        <v>#N/A</v>
      </c>
      <c r="I1038" s="31" t="e">
        <v>#N/A</v>
      </c>
    </row>
    <row r="1039">
      <c r="A1039" s="11">
        <v>46150.0531434375</v>
      </c>
      <c r="B1039" s="9" t="s">
        <v>323</v>
      </c>
      <c r="C1039" s="9" t="s">
        <v>413</v>
      </c>
      <c r="D1039" s="9" t="s">
        <v>19</v>
      </c>
      <c r="E1039" s="14"/>
      <c r="F1039" s="15">
        <v>1.0</v>
      </c>
      <c r="G1039" s="37" t="s">
        <v>65</v>
      </c>
      <c r="H1039" s="31" t="e">
        <v>#N/A</v>
      </c>
      <c r="I1039" s="31" t="e">
        <v>#N/A</v>
      </c>
    </row>
    <row r="1040">
      <c r="A1040" s="11">
        <v>46150.055705555555</v>
      </c>
      <c r="B1040" s="9" t="s">
        <v>157</v>
      </c>
      <c r="C1040" s="9" t="s">
        <v>131</v>
      </c>
      <c r="D1040" s="37" t="s">
        <v>57</v>
      </c>
      <c r="E1040" s="54" t="s">
        <v>159</v>
      </c>
      <c r="F1040" s="15">
        <v>1.0</v>
      </c>
      <c r="G1040" s="37" t="s">
        <v>65</v>
      </c>
      <c r="H1040" s="31" t="e">
        <v>#N/A</v>
      </c>
      <c r="I1040" s="31" t="e">
        <v>#N/A</v>
      </c>
    </row>
    <row r="1041">
      <c r="A1041" s="11">
        <v>46150.057668194444</v>
      </c>
      <c r="B1041" s="9" t="s">
        <v>374</v>
      </c>
      <c r="C1041" s="9" t="s">
        <v>424</v>
      </c>
      <c r="D1041" s="9" t="s">
        <v>19</v>
      </c>
      <c r="E1041" s="54" t="s">
        <v>176</v>
      </c>
      <c r="F1041" s="15">
        <v>1.0</v>
      </c>
      <c r="G1041" s="37" t="s">
        <v>65</v>
      </c>
      <c r="H1041" s="31" t="e">
        <v>#N/A</v>
      </c>
      <c r="I1041" s="31" t="e">
        <v>#N/A</v>
      </c>
    </row>
    <row r="1042">
      <c r="A1042" s="11">
        <v>46150.066230069446</v>
      </c>
      <c r="B1042" s="9" t="s">
        <v>312</v>
      </c>
      <c r="C1042" s="9" t="s">
        <v>343</v>
      </c>
      <c r="D1042" s="37" t="s">
        <v>57</v>
      </c>
      <c r="E1042" s="54" t="s">
        <v>475</v>
      </c>
      <c r="F1042" s="15">
        <v>1.0</v>
      </c>
      <c r="G1042" s="37" t="s">
        <v>65</v>
      </c>
      <c r="H1042" s="31" t="e">
        <v>#N/A</v>
      </c>
      <c r="I1042" s="31" t="e">
        <v>#N/A</v>
      </c>
    </row>
    <row r="1043">
      <c r="A1043" s="11">
        <v>46150.07256915509</v>
      </c>
      <c r="B1043" s="9" t="s">
        <v>397</v>
      </c>
      <c r="C1043" s="9" t="s">
        <v>372</v>
      </c>
      <c r="D1043" s="37" t="s">
        <v>57</v>
      </c>
      <c r="E1043" s="14"/>
      <c r="F1043" s="15">
        <v>1.0</v>
      </c>
      <c r="G1043" s="37" t="s">
        <v>65</v>
      </c>
      <c r="H1043" s="31" t="e">
        <v>#N/A</v>
      </c>
      <c r="I1043" s="31" t="e">
        <v>#N/A</v>
      </c>
    </row>
    <row r="1044">
      <c r="A1044" s="11">
        <v>46150.082305358796</v>
      </c>
      <c r="B1044" s="9" t="s">
        <v>374</v>
      </c>
      <c r="C1044" s="9" t="s">
        <v>323</v>
      </c>
      <c r="D1044" s="9" t="s">
        <v>19</v>
      </c>
      <c r="E1044" s="54" t="s">
        <v>176</v>
      </c>
      <c r="F1044" s="15">
        <v>1.0</v>
      </c>
      <c r="G1044" s="37" t="s">
        <v>65</v>
      </c>
      <c r="H1044" s="31" t="e">
        <v>#N/A</v>
      </c>
      <c r="I1044" s="31" t="e">
        <v>#N/A</v>
      </c>
    </row>
    <row r="1045">
      <c r="A1045" s="11">
        <v>46150.29360189815</v>
      </c>
      <c r="B1045" s="9" t="s">
        <v>282</v>
      </c>
      <c r="C1045" s="9" t="s">
        <v>406</v>
      </c>
      <c r="D1045" s="37" t="s">
        <v>57</v>
      </c>
      <c r="E1045" s="14"/>
      <c r="F1045" s="15">
        <v>1.0</v>
      </c>
      <c r="G1045" s="37" t="s">
        <v>65</v>
      </c>
      <c r="H1045" s="31" t="e">
        <v>#N/A</v>
      </c>
      <c r="I1045" s="31" t="e">
        <v>#N/A</v>
      </c>
    </row>
    <row r="1046">
      <c r="A1046" s="11">
        <v>46150.29419912037</v>
      </c>
      <c r="B1046" s="9" t="s">
        <v>368</v>
      </c>
      <c r="C1046" s="9" t="s">
        <v>414</v>
      </c>
      <c r="D1046" s="37" t="s">
        <v>57</v>
      </c>
      <c r="E1046" s="54" t="s">
        <v>476</v>
      </c>
      <c r="F1046" s="15">
        <v>1.0</v>
      </c>
      <c r="G1046" s="37" t="s">
        <v>65</v>
      </c>
      <c r="H1046" s="31" t="e">
        <v>#N/A</v>
      </c>
      <c r="I1046" s="31" t="e">
        <v>#N/A</v>
      </c>
    </row>
    <row r="1047">
      <c r="A1047" s="11">
        <v>46150.313851388884</v>
      </c>
      <c r="B1047" s="9" t="s">
        <v>282</v>
      </c>
      <c r="C1047" s="9" t="s">
        <v>414</v>
      </c>
      <c r="D1047" s="9" t="s">
        <v>19</v>
      </c>
      <c r="E1047" s="14"/>
      <c r="F1047" s="15">
        <v>1.0</v>
      </c>
      <c r="G1047" s="37" t="s">
        <v>65</v>
      </c>
      <c r="H1047" s="31" t="e">
        <v>#N/A</v>
      </c>
      <c r="I1047" s="31" t="e">
        <v>#N/A</v>
      </c>
    </row>
    <row r="1048">
      <c r="A1048" s="11">
        <v>46150.31814534722</v>
      </c>
      <c r="B1048" s="9" t="s">
        <v>352</v>
      </c>
      <c r="C1048" s="9" t="s">
        <v>372</v>
      </c>
      <c r="D1048" s="9" t="s">
        <v>19</v>
      </c>
      <c r="E1048" s="54" t="s">
        <v>108</v>
      </c>
      <c r="F1048" s="15">
        <v>1.0</v>
      </c>
      <c r="G1048" s="37" t="s">
        <v>65</v>
      </c>
      <c r="H1048" s="31" t="e">
        <v>#N/A</v>
      </c>
      <c r="I1048" s="31" t="e">
        <v>#N/A</v>
      </c>
    </row>
    <row r="1049">
      <c r="A1049" s="11">
        <v>46150.33601594907</v>
      </c>
      <c r="B1049" s="9" t="s">
        <v>351</v>
      </c>
      <c r="C1049" s="9" t="s">
        <v>172</v>
      </c>
      <c r="D1049" s="9" t="s">
        <v>19</v>
      </c>
      <c r="E1049" s="54" t="s">
        <v>112</v>
      </c>
      <c r="F1049" s="15">
        <v>1.0</v>
      </c>
      <c r="G1049" s="37" t="s">
        <v>65</v>
      </c>
      <c r="H1049" s="31" t="e">
        <v>#N/A</v>
      </c>
      <c r="I1049" s="31" t="e">
        <v>#N/A</v>
      </c>
    </row>
    <row r="1050">
      <c r="A1050" s="11">
        <v>46150.35567310185</v>
      </c>
      <c r="B1050" s="9" t="s">
        <v>414</v>
      </c>
      <c r="C1050" s="9" t="s">
        <v>287</v>
      </c>
      <c r="D1050" s="37" t="s">
        <v>57</v>
      </c>
      <c r="E1050" s="54" t="s">
        <v>176</v>
      </c>
      <c r="F1050" s="15">
        <v>1.0</v>
      </c>
      <c r="G1050" s="37" t="s">
        <v>65</v>
      </c>
      <c r="H1050" s="31" t="e">
        <v>#N/A</v>
      </c>
      <c r="I1050" s="31" t="e">
        <v>#N/A</v>
      </c>
    </row>
    <row r="1051">
      <c r="A1051" s="11">
        <v>46150.36367726851</v>
      </c>
      <c r="B1051" s="9" t="s">
        <v>202</v>
      </c>
      <c r="C1051" s="9" t="s">
        <v>351</v>
      </c>
      <c r="D1051" s="9" t="s">
        <v>19</v>
      </c>
      <c r="E1051" s="54" t="s">
        <v>203</v>
      </c>
      <c r="F1051" s="15">
        <v>1.0</v>
      </c>
      <c r="G1051" s="37" t="s">
        <v>65</v>
      </c>
      <c r="H1051" s="31" t="e">
        <v>#N/A</v>
      </c>
      <c r="I1051" s="31" t="e">
        <v>#N/A</v>
      </c>
    </row>
    <row r="1052">
      <c r="A1052" s="11">
        <v>46150.392567013885</v>
      </c>
      <c r="B1052" s="9" t="s">
        <v>354</v>
      </c>
      <c r="C1052" s="9" t="s">
        <v>414</v>
      </c>
      <c r="D1052" s="37" t="s">
        <v>57</v>
      </c>
      <c r="E1052" s="14"/>
      <c r="F1052" s="15">
        <v>1.0</v>
      </c>
      <c r="G1052" s="37" t="s">
        <v>65</v>
      </c>
      <c r="H1052" s="31" t="e">
        <v>#N/A</v>
      </c>
      <c r="I1052" s="31" t="e">
        <v>#N/A</v>
      </c>
    </row>
    <row r="1053">
      <c r="A1053" s="11">
        <v>46150.40141736111</v>
      </c>
      <c r="B1053" s="9" t="s">
        <v>324</v>
      </c>
      <c r="C1053" s="9" t="s">
        <v>351</v>
      </c>
      <c r="D1053" s="37" t="s">
        <v>57</v>
      </c>
      <c r="E1053" s="14"/>
      <c r="F1053" s="15">
        <v>1.0</v>
      </c>
      <c r="G1053" s="37" t="s">
        <v>65</v>
      </c>
      <c r="H1053" s="31" t="e">
        <v>#N/A</v>
      </c>
      <c r="I1053" s="31" t="e">
        <v>#N/A</v>
      </c>
    </row>
    <row r="1054">
      <c r="A1054" s="11">
        <v>46150.4049183912</v>
      </c>
      <c r="B1054" s="9" t="s">
        <v>354</v>
      </c>
      <c r="C1054" s="9" t="s">
        <v>421</v>
      </c>
      <c r="D1054" s="37" t="s">
        <v>57</v>
      </c>
      <c r="E1054" s="14"/>
      <c r="F1054" s="15">
        <v>1.0</v>
      </c>
      <c r="G1054" s="37" t="s">
        <v>65</v>
      </c>
      <c r="H1054" s="31" t="e">
        <v>#N/A</v>
      </c>
      <c r="I1054" s="31" t="e">
        <v>#N/A</v>
      </c>
    </row>
    <row r="1055">
      <c r="A1055" s="11">
        <v>46150.41859045139</v>
      </c>
      <c r="B1055" s="9" t="s">
        <v>351</v>
      </c>
      <c r="C1055" s="9" t="s">
        <v>421</v>
      </c>
      <c r="D1055" s="9" t="s">
        <v>19</v>
      </c>
      <c r="E1055" s="54" t="s">
        <v>112</v>
      </c>
      <c r="F1055" s="15">
        <v>1.0</v>
      </c>
      <c r="G1055" s="37" t="s">
        <v>65</v>
      </c>
      <c r="H1055" s="31" t="e">
        <v>#N/A</v>
      </c>
      <c r="I1055" s="31" t="e">
        <v>#N/A</v>
      </c>
    </row>
    <row r="1056">
      <c r="A1056" s="11">
        <v>46150.41944603009</v>
      </c>
      <c r="B1056" s="9" t="s">
        <v>150</v>
      </c>
      <c r="C1056" s="9" t="s">
        <v>300</v>
      </c>
      <c r="D1056" s="37" t="s">
        <v>57</v>
      </c>
      <c r="E1056" s="54" t="s">
        <v>477</v>
      </c>
      <c r="F1056" s="15">
        <v>1.0</v>
      </c>
      <c r="G1056" s="37" t="s">
        <v>65</v>
      </c>
      <c r="H1056" s="31" t="e">
        <v>#N/A</v>
      </c>
      <c r="I1056" s="31" t="e">
        <v>#N/A</v>
      </c>
    </row>
    <row r="1057">
      <c r="A1057" s="11">
        <v>46150.43046229167</v>
      </c>
      <c r="B1057" s="9" t="s">
        <v>131</v>
      </c>
      <c r="C1057" s="9" t="s">
        <v>351</v>
      </c>
      <c r="D1057" s="9" t="s">
        <v>19</v>
      </c>
      <c r="E1057" s="14"/>
      <c r="F1057" s="15">
        <v>1.0</v>
      </c>
      <c r="G1057" s="37" t="s">
        <v>65</v>
      </c>
      <c r="H1057" s="31" t="e">
        <v>#N/A</v>
      </c>
      <c r="I1057" s="31" t="e">
        <v>#N/A</v>
      </c>
    </row>
    <row r="1058">
      <c r="A1058" s="11">
        <v>46150.43355361111</v>
      </c>
      <c r="B1058" s="9" t="s">
        <v>202</v>
      </c>
      <c r="C1058" s="9" t="s">
        <v>280</v>
      </c>
      <c r="D1058" s="37" t="s">
        <v>57</v>
      </c>
      <c r="E1058" s="54" t="s">
        <v>207</v>
      </c>
      <c r="F1058" s="15">
        <v>1.0</v>
      </c>
      <c r="G1058" s="37" t="s">
        <v>65</v>
      </c>
      <c r="H1058" s="31" t="e">
        <v>#N/A</v>
      </c>
      <c r="I1058" s="31" t="e">
        <v>#N/A</v>
      </c>
    </row>
    <row r="1059">
      <c r="A1059" s="11">
        <v>46150.444351631944</v>
      </c>
      <c r="B1059" s="9" t="s">
        <v>103</v>
      </c>
      <c r="C1059" s="9" t="s">
        <v>421</v>
      </c>
      <c r="D1059" s="37" t="s">
        <v>57</v>
      </c>
      <c r="E1059" s="14"/>
      <c r="F1059" s="15">
        <v>1.0</v>
      </c>
      <c r="G1059" s="37" t="s">
        <v>65</v>
      </c>
      <c r="H1059" s="31" t="e">
        <v>#N/A</v>
      </c>
      <c r="I1059" s="31" t="e">
        <v>#N/A</v>
      </c>
    </row>
    <row r="1060">
      <c r="A1060" s="11">
        <v>46150.44733064815</v>
      </c>
      <c r="B1060" s="9" t="s">
        <v>158</v>
      </c>
      <c r="C1060" s="9" t="s">
        <v>100</v>
      </c>
      <c r="D1060" s="9" t="s">
        <v>19</v>
      </c>
      <c r="E1060" s="54" t="s">
        <v>176</v>
      </c>
      <c r="F1060" s="15">
        <v>1.0</v>
      </c>
      <c r="G1060" s="37" t="s">
        <v>65</v>
      </c>
      <c r="H1060" s="31" t="e">
        <v>#N/A</v>
      </c>
      <c r="I1060" s="31" t="e">
        <v>#N/A</v>
      </c>
    </row>
    <row r="1061">
      <c r="A1061" s="11">
        <v>46150.44951738426</v>
      </c>
      <c r="B1061" s="9" t="s">
        <v>348</v>
      </c>
      <c r="C1061" s="9" t="s">
        <v>131</v>
      </c>
      <c r="D1061" s="37" t="s">
        <v>57</v>
      </c>
      <c r="E1061" s="14"/>
      <c r="F1061" s="15">
        <v>1.0</v>
      </c>
      <c r="G1061" s="37" t="s">
        <v>65</v>
      </c>
      <c r="H1061" s="31" t="e">
        <v>#N/A</v>
      </c>
      <c r="I1061" s="31" t="e">
        <v>#N/A</v>
      </c>
    </row>
    <row r="1062">
      <c r="A1062" s="11">
        <v>46150.46658150463</v>
      </c>
      <c r="B1062" s="9" t="s">
        <v>150</v>
      </c>
      <c r="C1062" s="9" t="s">
        <v>348</v>
      </c>
      <c r="D1062" s="9" t="s">
        <v>19</v>
      </c>
      <c r="E1062" s="54" t="s">
        <v>112</v>
      </c>
      <c r="F1062" s="15">
        <v>1.0</v>
      </c>
      <c r="G1062" s="37" t="s">
        <v>65</v>
      </c>
      <c r="H1062" s="31" t="e">
        <v>#N/A</v>
      </c>
      <c r="I1062" s="31" t="e">
        <v>#N/A</v>
      </c>
    </row>
    <row r="1063">
      <c r="A1063" s="11">
        <v>46150.46689722222</v>
      </c>
      <c r="B1063" s="9" t="s">
        <v>158</v>
      </c>
      <c r="C1063" s="9" t="s">
        <v>103</v>
      </c>
      <c r="D1063" s="37" t="s">
        <v>57</v>
      </c>
      <c r="E1063" s="54" t="s">
        <v>176</v>
      </c>
      <c r="F1063" s="15">
        <v>1.0</v>
      </c>
      <c r="G1063" s="37" t="s">
        <v>65</v>
      </c>
      <c r="H1063" s="31" t="e">
        <v>#N/A</v>
      </c>
      <c r="I1063" s="31" t="e">
        <v>#N/A</v>
      </c>
    </row>
    <row r="1064">
      <c r="A1064" s="11">
        <v>46150.46818840278</v>
      </c>
      <c r="B1064" s="9" t="s">
        <v>368</v>
      </c>
      <c r="C1064" s="9" t="s">
        <v>401</v>
      </c>
      <c r="D1064" s="9" t="s">
        <v>19</v>
      </c>
      <c r="E1064" s="14"/>
      <c r="F1064" s="15">
        <v>1.0</v>
      </c>
      <c r="G1064" s="37" t="s">
        <v>65</v>
      </c>
      <c r="H1064" s="31" t="e">
        <v>#N/A</v>
      </c>
      <c r="I1064" s="31" t="e">
        <v>#N/A</v>
      </c>
    </row>
    <row r="1065">
      <c r="A1065" s="11">
        <v>46150.475066238425</v>
      </c>
      <c r="B1065" s="9" t="s">
        <v>367</v>
      </c>
      <c r="C1065" s="9" t="s">
        <v>421</v>
      </c>
      <c r="D1065" s="37" t="s">
        <v>57</v>
      </c>
      <c r="E1065" s="14"/>
      <c r="F1065" s="15">
        <v>1.0</v>
      </c>
      <c r="G1065" s="37" t="s">
        <v>65</v>
      </c>
      <c r="H1065" s="31" t="e">
        <v>#N/A</v>
      </c>
      <c r="I1065" s="31" t="e">
        <v>#N/A</v>
      </c>
    </row>
    <row r="1066">
      <c r="A1066" s="11">
        <v>46150.483668437504</v>
      </c>
      <c r="B1066" s="9" t="s">
        <v>195</v>
      </c>
      <c r="C1066" s="9" t="s">
        <v>150</v>
      </c>
      <c r="D1066" s="9" t="s">
        <v>19</v>
      </c>
      <c r="E1066" s="14"/>
      <c r="F1066" s="15">
        <v>1.0</v>
      </c>
      <c r="G1066" s="37" t="s">
        <v>65</v>
      </c>
      <c r="H1066" s="31" t="e">
        <v>#N/A</v>
      </c>
      <c r="I1066" s="31" t="e">
        <v>#N/A</v>
      </c>
    </row>
    <row r="1067">
      <c r="A1067" s="11">
        <v>46150.50773788194</v>
      </c>
      <c r="B1067" s="9" t="s">
        <v>324</v>
      </c>
      <c r="C1067" s="9" t="s">
        <v>367</v>
      </c>
      <c r="D1067" s="37" t="s">
        <v>57</v>
      </c>
      <c r="E1067" s="14"/>
      <c r="F1067" s="15">
        <v>1.0</v>
      </c>
      <c r="G1067" s="37" t="s">
        <v>65</v>
      </c>
      <c r="H1067" s="31" t="e">
        <v>#N/A</v>
      </c>
      <c r="I1067" s="31" t="e">
        <v>#N/A</v>
      </c>
    </row>
    <row r="1068">
      <c r="A1068" s="11">
        <v>46150.51794690972</v>
      </c>
      <c r="B1068" s="9" t="s">
        <v>312</v>
      </c>
      <c r="C1068" s="9" t="s">
        <v>195</v>
      </c>
      <c r="D1068" s="9" t="s">
        <v>19</v>
      </c>
      <c r="E1068" s="54" t="s">
        <v>176</v>
      </c>
      <c r="F1068" s="15">
        <v>1.0</v>
      </c>
      <c r="G1068" s="37" t="s">
        <v>65</v>
      </c>
      <c r="H1068" s="31" t="e">
        <v>#N/A</v>
      </c>
      <c r="I1068" s="31" t="e">
        <v>#N/A</v>
      </c>
    </row>
    <row r="1069">
      <c r="A1069" s="11">
        <v>46150.527604166666</v>
      </c>
      <c r="B1069" s="9" t="s">
        <v>173</v>
      </c>
      <c r="C1069" s="9" t="s">
        <v>324</v>
      </c>
      <c r="D1069" s="9" t="s">
        <v>19</v>
      </c>
      <c r="E1069" s="14"/>
      <c r="F1069" s="15">
        <v>1.0</v>
      </c>
      <c r="G1069" s="37" t="s">
        <v>65</v>
      </c>
      <c r="H1069" s="31" t="e">
        <v>#N/A</v>
      </c>
      <c r="I1069" s="31" t="e">
        <v>#N/A</v>
      </c>
    </row>
    <row r="1070">
      <c r="A1070" s="11">
        <v>46150.5377586574</v>
      </c>
      <c r="B1070" s="9" t="s">
        <v>312</v>
      </c>
      <c r="C1070" s="9" t="s">
        <v>157</v>
      </c>
      <c r="D1070" s="9" t="s">
        <v>19</v>
      </c>
      <c r="E1070" s="54" t="s">
        <v>478</v>
      </c>
      <c r="F1070" s="15">
        <v>1.0</v>
      </c>
      <c r="G1070" s="37" t="s">
        <v>65</v>
      </c>
      <c r="H1070" s="31" t="e">
        <v>#N/A</v>
      </c>
      <c r="I1070" s="31" t="e">
        <v>#N/A</v>
      </c>
    </row>
    <row r="1071">
      <c r="A1071" s="11">
        <v>46150.54152059028</v>
      </c>
      <c r="B1071" s="9" t="s">
        <v>290</v>
      </c>
      <c r="C1071" s="9" t="s">
        <v>248</v>
      </c>
      <c r="D1071" s="9" t="s">
        <v>19</v>
      </c>
      <c r="E1071" s="54" t="s">
        <v>122</v>
      </c>
      <c r="F1071" s="15">
        <v>1.0</v>
      </c>
      <c r="G1071" s="37" t="s">
        <v>65</v>
      </c>
      <c r="H1071" s="31" t="e">
        <v>#N/A</v>
      </c>
      <c r="I1071" s="31" t="e">
        <v>#N/A</v>
      </c>
    </row>
    <row r="1072">
      <c r="A1072" s="11">
        <v>46150.5464253588</v>
      </c>
      <c r="B1072" s="9" t="s">
        <v>79</v>
      </c>
      <c r="C1072" s="9" t="s">
        <v>313</v>
      </c>
      <c r="D1072" s="9" t="s">
        <v>19</v>
      </c>
      <c r="E1072" s="14"/>
      <c r="F1072" s="15">
        <v>1.0</v>
      </c>
      <c r="G1072" s="37" t="s">
        <v>65</v>
      </c>
      <c r="H1072" s="31" t="e">
        <v>#N/A</v>
      </c>
      <c r="I1072" s="31" t="e">
        <v>#N/A</v>
      </c>
    </row>
    <row r="1073">
      <c r="A1073" s="11">
        <v>46150.54881033565</v>
      </c>
      <c r="B1073" s="9" t="s">
        <v>350</v>
      </c>
      <c r="C1073" s="9" t="s">
        <v>158</v>
      </c>
      <c r="D1073" s="37" t="s">
        <v>57</v>
      </c>
      <c r="E1073" s="14"/>
      <c r="F1073" s="15">
        <v>1.0</v>
      </c>
      <c r="G1073" s="37" t="s">
        <v>65</v>
      </c>
      <c r="H1073" s="31" t="e">
        <v>#N/A</v>
      </c>
      <c r="I1073" s="31" t="e">
        <v>#N/A</v>
      </c>
    </row>
    <row r="1074">
      <c r="A1074" s="11">
        <v>46150.55018032408</v>
      </c>
      <c r="B1074" s="9" t="s">
        <v>421</v>
      </c>
      <c r="C1074" s="9" t="s">
        <v>362</v>
      </c>
      <c r="D1074" s="9" t="s">
        <v>19</v>
      </c>
      <c r="E1074" s="14"/>
      <c r="F1074" s="15">
        <v>1.0</v>
      </c>
      <c r="G1074" s="37" t="s">
        <v>65</v>
      </c>
      <c r="H1074" s="31" t="e">
        <v>#N/A</v>
      </c>
      <c r="I1074" s="31" t="e">
        <v>#N/A</v>
      </c>
    </row>
    <row r="1075">
      <c r="A1075" s="11">
        <v>46150.57086327546</v>
      </c>
      <c r="B1075" s="9" t="s">
        <v>290</v>
      </c>
      <c r="C1075" s="9" t="s">
        <v>371</v>
      </c>
      <c r="D1075" s="9" t="s">
        <v>19</v>
      </c>
      <c r="E1075" s="54" t="s">
        <v>140</v>
      </c>
      <c r="F1075" s="15">
        <v>1.0</v>
      </c>
      <c r="G1075" s="37" t="s">
        <v>65</v>
      </c>
      <c r="H1075" s="31" t="e">
        <v>#N/A</v>
      </c>
      <c r="I1075" s="31" t="e">
        <v>#N/A</v>
      </c>
    </row>
    <row r="1076">
      <c r="A1076" s="11">
        <v>46150.57243298611</v>
      </c>
      <c r="B1076" s="9" t="s">
        <v>79</v>
      </c>
      <c r="C1076" s="9" t="s">
        <v>324</v>
      </c>
      <c r="D1076" s="9" t="s">
        <v>19</v>
      </c>
      <c r="E1076" s="14"/>
      <c r="F1076" s="15">
        <v>1.0</v>
      </c>
      <c r="G1076" s="37" t="s">
        <v>65</v>
      </c>
      <c r="H1076" s="31" t="e">
        <v>#N/A</v>
      </c>
      <c r="I1076" s="31" t="e">
        <v>#N/A</v>
      </c>
    </row>
    <row r="1077">
      <c r="A1077" s="11">
        <v>46150.57315502314</v>
      </c>
      <c r="B1077" s="9" t="s">
        <v>374</v>
      </c>
      <c r="C1077" s="9" t="s">
        <v>362</v>
      </c>
      <c r="D1077" s="9" t="s">
        <v>19</v>
      </c>
      <c r="E1077" s="54" t="s">
        <v>176</v>
      </c>
      <c r="F1077" s="15">
        <v>1.0</v>
      </c>
      <c r="G1077" s="37" t="s">
        <v>65</v>
      </c>
      <c r="H1077" s="31" t="e">
        <v>#N/A</v>
      </c>
      <c r="I1077" s="31" t="e">
        <v>#N/A</v>
      </c>
    </row>
    <row r="1078">
      <c r="A1078" s="11">
        <v>46150.57597777778</v>
      </c>
      <c r="B1078" s="9" t="s">
        <v>385</v>
      </c>
      <c r="C1078" s="9" t="s">
        <v>313</v>
      </c>
      <c r="D1078" s="9" t="s">
        <v>19</v>
      </c>
      <c r="E1078" s="54" t="s">
        <v>386</v>
      </c>
      <c r="F1078" s="15">
        <v>1.0</v>
      </c>
      <c r="G1078" s="37" t="s">
        <v>65</v>
      </c>
      <c r="H1078" s="31" t="e">
        <v>#N/A</v>
      </c>
      <c r="I1078" s="31" t="e">
        <v>#N/A</v>
      </c>
    </row>
    <row r="1079">
      <c r="A1079" s="11">
        <v>46150.58792924769</v>
      </c>
      <c r="B1079" s="9" t="s">
        <v>331</v>
      </c>
      <c r="C1079" s="9" t="s">
        <v>374</v>
      </c>
      <c r="D1079" s="9" t="s">
        <v>19</v>
      </c>
      <c r="E1079" s="14"/>
      <c r="F1079" s="15">
        <v>1.0</v>
      </c>
      <c r="G1079" s="37" t="s">
        <v>65</v>
      </c>
      <c r="H1079" s="31" t="e">
        <v>#N/A</v>
      </c>
      <c r="I1079" s="31" t="e">
        <v>#N/A</v>
      </c>
    </row>
    <row r="1080">
      <c r="A1080" s="11">
        <v>46150.600061226854</v>
      </c>
      <c r="B1080" s="9" t="s">
        <v>472</v>
      </c>
      <c r="C1080" s="9" t="s">
        <v>402</v>
      </c>
      <c r="D1080" s="9" t="s">
        <v>19</v>
      </c>
      <c r="E1080" s="14"/>
      <c r="F1080" s="15">
        <v>1.0</v>
      </c>
      <c r="G1080" s="37" t="s">
        <v>65</v>
      </c>
      <c r="H1080" s="31" t="e">
        <v>#N/A</v>
      </c>
      <c r="I1080" s="31" t="e">
        <v>#N/A</v>
      </c>
    </row>
    <row r="1081">
      <c r="A1081" s="11">
        <v>46150.60769453704</v>
      </c>
      <c r="B1081" s="9" t="s">
        <v>158</v>
      </c>
      <c r="C1081" s="9" t="s">
        <v>172</v>
      </c>
      <c r="D1081" s="37" t="s">
        <v>57</v>
      </c>
      <c r="E1081" s="54" t="s">
        <v>176</v>
      </c>
      <c r="F1081" s="15">
        <v>1.0</v>
      </c>
      <c r="G1081" s="37" t="s">
        <v>65</v>
      </c>
      <c r="H1081" s="31" t="e">
        <v>#N/A</v>
      </c>
      <c r="I1081" s="31" t="e">
        <v>#N/A</v>
      </c>
    </row>
    <row r="1082">
      <c r="A1082" s="11">
        <v>46150.61087618055</v>
      </c>
      <c r="B1082" s="9" t="s">
        <v>246</v>
      </c>
      <c r="C1082" s="9" t="s">
        <v>387</v>
      </c>
      <c r="D1082" s="9" t="s">
        <v>19</v>
      </c>
      <c r="E1082" s="14"/>
      <c r="F1082" s="15">
        <v>1.0</v>
      </c>
      <c r="G1082" s="37" t="s">
        <v>65</v>
      </c>
      <c r="H1082" s="31" t="e">
        <v>#N/A</v>
      </c>
      <c r="I1082" s="31" t="e">
        <v>#N/A</v>
      </c>
    </row>
    <row r="1083">
      <c r="A1083" s="11">
        <v>46150.62704547454</v>
      </c>
      <c r="B1083" s="9" t="s">
        <v>267</v>
      </c>
      <c r="C1083" s="9" t="s">
        <v>304</v>
      </c>
      <c r="D1083" s="9" t="s">
        <v>19</v>
      </c>
      <c r="E1083" s="54" t="s">
        <v>122</v>
      </c>
      <c r="F1083" s="15">
        <v>1.0</v>
      </c>
      <c r="G1083" s="37" t="s">
        <v>65</v>
      </c>
      <c r="H1083" s="31" t="e">
        <v>#N/A</v>
      </c>
      <c r="I1083" s="31" t="e">
        <v>#N/A</v>
      </c>
    </row>
    <row r="1084">
      <c r="A1084" s="11">
        <v>46150.62941515046</v>
      </c>
      <c r="B1084" s="9" t="s">
        <v>371</v>
      </c>
      <c r="C1084" s="9" t="s">
        <v>246</v>
      </c>
      <c r="D1084" s="37" t="s">
        <v>57</v>
      </c>
      <c r="E1084" s="54" t="s">
        <v>479</v>
      </c>
      <c r="F1084" s="15">
        <v>1.0</v>
      </c>
      <c r="G1084" s="37" t="s">
        <v>65</v>
      </c>
      <c r="H1084" s="31" t="e">
        <v>#N/A</v>
      </c>
      <c r="I1084" s="31" t="e">
        <v>#N/A</v>
      </c>
    </row>
    <row r="1085">
      <c r="A1085" s="11">
        <v>46150.63313240741</v>
      </c>
      <c r="B1085" s="9" t="s">
        <v>100</v>
      </c>
      <c r="C1085" s="9" t="s">
        <v>195</v>
      </c>
      <c r="D1085" s="37" t="s">
        <v>57</v>
      </c>
      <c r="E1085" s="54" t="s">
        <v>262</v>
      </c>
      <c r="F1085" s="15">
        <v>1.0</v>
      </c>
      <c r="G1085" s="37" t="s">
        <v>65</v>
      </c>
      <c r="H1085" s="31" t="e">
        <v>#N/A</v>
      </c>
      <c r="I1085" s="31" t="e">
        <v>#N/A</v>
      </c>
    </row>
    <row r="1086">
      <c r="A1086" s="11">
        <v>46150.635830127314</v>
      </c>
      <c r="B1086" s="9" t="s">
        <v>396</v>
      </c>
      <c r="C1086" s="9" t="s">
        <v>354</v>
      </c>
      <c r="D1086" s="9" t="s">
        <v>19</v>
      </c>
      <c r="E1086" s="54" t="s">
        <v>176</v>
      </c>
      <c r="F1086" s="15">
        <v>1.0</v>
      </c>
      <c r="G1086" s="37" t="s">
        <v>65</v>
      </c>
      <c r="H1086" s="31" t="e">
        <v>#N/A</v>
      </c>
      <c r="I1086" s="31" t="e">
        <v>#N/A</v>
      </c>
    </row>
    <row r="1087">
      <c r="A1087" s="11">
        <v>46150.64092658565</v>
      </c>
      <c r="B1087" s="9" t="s">
        <v>368</v>
      </c>
      <c r="C1087" s="9" t="s">
        <v>125</v>
      </c>
      <c r="D1087" s="9" t="s">
        <v>19</v>
      </c>
      <c r="E1087" s="14"/>
      <c r="F1087" s="15">
        <v>1.0</v>
      </c>
      <c r="G1087" s="37" t="s">
        <v>65</v>
      </c>
      <c r="H1087" s="31" t="e">
        <v>#N/A</v>
      </c>
      <c r="I1087" s="31" t="e">
        <v>#N/A</v>
      </c>
    </row>
    <row r="1088">
      <c r="A1088" s="11">
        <v>46150.643294560185</v>
      </c>
      <c r="B1088" s="9" t="s">
        <v>267</v>
      </c>
      <c r="C1088" s="9" t="s">
        <v>402</v>
      </c>
      <c r="D1088" s="9" t="s">
        <v>19</v>
      </c>
      <c r="E1088" s="54" t="s">
        <v>112</v>
      </c>
      <c r="F1088" s="15">
        <v>1.0</v>
      </c>
      <c r="G1088" s="37" t="s">
        <v>65</v>
      </c>
      <c r="H1088" s="31" t="e">
        <v>#N/A</v>
      </c>
      <c r="I1088" s="31" t="e">
        <v>#N/A</v>
      </c>
    </row>
    <row r="1089">
      <c r="A1089" s="11">
        <v>46150.65286803241</v>
      </c>
      <c r="B1089" s="9" t="s">
        <v>139</v>
      </c>
      <c r="C1089" s="9" t="s">
        <v>402</v>
      </c>
      <c r="D1089" s="9" t="s">
        <v>19</v>
      </c>
      <c r="E1089" s="54" t="s">
        <v>140</v>
      </c>
      <c r="F1089" s="15">
        <v>1.0</v>
      </c>
      <c r="G1089" s="37" t="s">
        <v>65</v>
      </c>
      <c r="H1089" s="31" t="e">
        <v>#N/A</v>
      </c>
      <c r="I1089" s="31" t="e">
        <v>#N/A</v>
      </c>
    </row>
    <row r="1090">
      <c r="A1090" s="11">
        <v>46150.66019037037</v>
      </c>
      <c r="B1090" s="9" t="s">
        <v>139</v>
      </c>
      <c r="C1090" s="9" t="s">
        <v>367</v>
      </c>
      <c r="D1090" s="9" t="s">
        <v>19</v>
      </c>
      <c r="E1090" s="54" t="s">
        <v>140</v>
      </c>
      <c r="F1090" s="15">
        <v>1.0</v>
      </c>
      <c r="G1090" s="37" t="s">
        <v>65</v>
      </c>
      <c r="H1090" s="31" t="e">
        <v>#N/A</v>
      </c>
      <c r="I1090" s="31" t="e">
        <v>#N/A</v>
      </c>
    </row>
    <row r="1091">
      <c r="A1091" s="11">
        <v>46150.66024729167</v>
      </c>
      <c r="B1091" s="9" t="s">
        <v>362</v>
      </c>
      <c r="C1091" s="9" t="s">
        <v>172</v>
      </c>
      <c r="D1091" s="9" t="s">
        <v>19</v>
      </c>
      <c r="E1091" s="14"/>
      <c r="F1091" s="15">
        <v>1.0</v>
      </c>
      <c r="G1091" s="37" t="s">
        <v>65</v>
      </c>
      <c r="H1091" s="31" t="e">
        <v>#N/A</v>
      </c>
      <c r="I1091" s="31" t="e">
        <v>#N/A</v>
      </c>
    </row>
    <row r="1092">
      <c r="A1092" s="11">
        <v>46150.68552313658</v>
      </c>
      <c r="B1092" s="9" t="s">
        <v>173</v>
      </c>
      <c r="C1092" s="9" t="s">
        <v>125</v>
      </c>
      <c r="D1092" s="9" t="s">
        <v>19</v>
      </c>
      <c r="E1092" s="14"/>
      <c r="F1092" s="15">
        <v>1.0</v>
      </c>
      <c r="G1092" s="37" t="s">
        <v>65</v>
      </c>
      <c r="H1092" s="31" t="e">
        <v>#N/A</v>
      </c>
      <c r="I1092" s="31" t="e">
        <v>#N/A</v>
      </c>
    </row>
    <row r="1093">
      <c r="A1093" s="11">
        <v>46150.68832952547</v>
      </c>
      <c r="B1093" s="9" t="s">
        <v>385</v>
      </c>
      <c r="C1093" s="9" t="s">
        <v>396</v>
      </c>
      <c r="D1093" s="9" t="s">
        <v>19</v>
      </c>
      <c r="E1093" s="54" t="s">
        <v>480</v>
      </c>
      <c r="F1093" s="15">
        <v>1.0</v>
      </c>
      <c r="G1093" s="37" t="s">
        <v>65</v>
      </c>
      <c r="H1093" s="31" t="e">
        <v>#N/A</v>
      </c>
      <c r="I1093" s="31" t="e">
        <v>#N/A</v>
      </c>
    </row>
    <row r="1094">
      <c r="A1094" s="11">
        <v>46150.696552928246</v>
      </c>
      <c r="B1094" s="9" t="s">
        <v>125</v>
      </c>
      <c r="C1094" s="9" t="s">
        <v>472</v>
      </c>
      <c r="D1094" s="37" t="s">
        <v>57</v>
      </c>
      <c r="E1094" s="14"/>
      <c r="F1094" s="15">
        <v>1.0</v>
      </c>
      <c r="G1094" s="37" t="s">
        <v>65</v>
      </c>
      <c r="H1094" s="31" t="e">
        <v>#N/A</v>
      </c>
      <c r="I1094" s="31" t="e">
        <v>#N/A</v>
      </c>
    </row>
    <row r="1095">
      <c r="A1095" s="11">
        <v>46150.713551782406</v>
      </c>
      <c r="B1095" s="9" t="s">
        <v>472</v>
      </c>
      <c r="C1095" s="9" t="s">
        <v>267</v>
      </c>
      <c r="D1095" s="37" t="s">
        <v>57</v>
      </c>
      <c r="E1095" s="14"/>
      <c r="F1095" s="15">
        <v>1.0</v>
      </c>
      <c r="G1095" s="37" t="s">
        <v>65</v>
      </c>
      <c r="H1095" s="31" t="e">
        <v>#N/A</v>
      </c>
      <c r="I1095" s="31" t="e">
        <v>#N/A</v>
      </c>
    </row>
    <row r="1096">
      <c r="A1096" s="11">
        <v>46150.72047356481</v>
      </c>
      <c r="B1096" s="9" t="s">
        <v>424</v>
      </c>
      <c r="C1096" s="9" t="s">
        <v>248</v>
      </c>
      <c r="D1096" s="9" t="s">
        <v>19</v>
      </c>
      <c r="E1096" s="54" t="s">
        <v>176</v>
      </c>
      <c r="F1096" s="15">
        <v>1.0</v>
      </c>
      <c r="G1096" s="37" t="s">
        <v>65</v>
      </c>
      <c r="H1096" s="31" t="e">
        <v>#N/A</v>
      </c>
      <c r="I1096" s="31" t="e">
        <v>#N/A</v>
      </c>
    </row>
    <row r="1097">
      <c r="A1097" s="11">
        <v>46150.720712118055</v>
      </c>
      <c r="B1097" s="9" t="s">
        <v>229</v>
      </c>
      <c r="C1097" s="9" t="s">
        <v>62</v>
      </c>
      <c r="D1097" s="9" t="s">
        <v>19</v>
      </c>
      <c r="E1097" s="14"/>
      <c r="F1097" s="15">
        <v>1.0</v>
      </c>
      <c r="G1097" s="37" t="s">
        <v>65</v>
      </c>
      <c r="H1097" s="31" t="e">
        <v>#N/A</v>
      </c>
      <c r="I1097" s="31" t="e">
        <v>#N/A</v>
      </c>
    </row>
    <row r="1098">
      <c r="A1098" s="11">
        <v>46150.722445879626</v>
      </c>
      <c r="B1098" s="9" t="s">
        <v>120</v>
      </c>
      <c r="C1098" s="9" t="s">
        <v>88</v>
      </c>
      <c r="D1098" s="9" t="s">
        <v>19</v>
      </c>
      <c r="E1098" s="54" t="s">
        <v>451</v>
      </c>
      <c r="F1098" s="15">
        <v>1.0</v>
      </c>
      <c r="G1098" s="37" t="s">
        <v>65</v>
      </c>
      <c r="H1098" s="31" t="e">
        <v>#N/A</v>
      </c>
      <c r="I1098" s="31" t="e">
        <v>#N/A</v>
      </c>
    </row>
    <row r="1099">
      <c r="A1099" s="11">
        <v>46150.72697895834</v>
      </c>
      <c r="B1099" s="9" t="s">
        <v>66</v>
      </c>
      <c r="C1099" s="9" t="s">
        <v>95</v>
      </c>
      <c r="D1099" s="37" t="s">
        <v>57</v>
      </c>
      <c r="E1099" s="14"/>
      <c r="F1099" s="15">
        <v>1.0</v>
      </c>
      <c r="G1099" s="37" t="s">
        <v>65</v>
      </c>
      <c r="H1099" s="31" t="e">
        <v>#N/A</v>
      </c>
      <c r="I1099" s="31" t="e">
        <v>#N/A</v>
      </c>
    </row>
    <row r="1100">
      <c r="A1100" s="11">
        <v>46150.72836523148</v>
      </c>
      <c r="B1100" s="9" t="s">
        <v>174</v>
      </c>
      <c r="C1100" s="9" t="s">
        <v>158</v>
      </c>
      <c r="D1100" s="37" t="s">
        <v>57</v>
      </c>
      <c r="E1100" s="14"/>
      <c r="F1100" s="15">
        <v>1.0</v>
      </c>
      <c r="G1100" s="37" t="s">
        <v>65</v>
      </c>
      <c r="H1100" s="31" t="e">
        <v>#N/A</v>
      </c>
      <c r="I1100" s="31" t="e">
        <v>#N/A</v>
      </c>
    </row>
    <row r="1101">
      <c r="A1101" s="11">
        <v>46150.72875443287</v>
      </c>
      <c r="B1101" s="9" t="s">
        <v>229</v>
      </c>
      <c r="C1101" s="9" t="s">
        <v>120</v>
      </c>
      <c r="D1101" s="9" t="s">
        <v>19</v>
      </c>
      <c r="E1101" s="14"/>
      <c r="F1101" s="15">
        <v>1.0</v>
      </c>
      <c r="G1101" s="37" t="s">
        <v>65</v>
      </c>
      <c r="H1101" s="31" t="e">
        <v>#N/A</v>
      </c>
      <c r="I1101" s="31" t="e">
        <v>#N/A</v>
      </c>
    </row>
    <row r="1102">
      <c r="A1102" s="11">
        <v>46150.73175388889</v>
      </c>
      <c r="B1102" s="9" t="s">
        <v>71</v>
      </c>
      <c r="C1102" s="9" t="s">
        <v>396</v>
      </c>
      <c r="D1102" s="9" t="s">
        <v>19</v>
      </c>
      <c r="E1102" s="14"/>
      <c r="F1102" s="15">
        <v>1.0</v>
      </c>
      <c r="G1102" s="37" t="s">
        <v>65</v>
      </c>
      <c r="H1102" s="31" t="e">
        <v>#N/A</v>
      </c>
      <c r="I1102" s="31" t="e">
        <v>#N/A</v>
      </c>
    </row>
    <row r="1103">
      <c r="A1103" s="11">
        <v>46150.74494010417</v>
      </c>
      <c r="B1103" s="9" t="s">
        <v>229</v>
      </c>
      <c r="C1103" s="9" t="s">
        <v>71</v>
      </c>
      <c r="D1103" s="9" t="s">
        <v>19</v>
      </c>
      <c r="E1103" s="14"/>
      <c r="F1103" s="15">
        <v>1.0</v>
      </c>
      <c r="G1103" s="37" t="s">
        <v>65</v>
      </c>
      <c r="H1103" s="31" t="e">
        <v>#N/A</v>
      </c>
      <c r="I1103" s="31" t="e">
        <v>#N/A</v>
      </c>
    </row>
    <row r="1104">
      <c r="A1104" s="11">
        <v>46150.74743609954</v>
      </c>
      <c r="B1104" s="9" t="s">
        <v>62</v>
      </c>
      <c r="C1104" s="9" t="s">
        <v>249</v>
      </c>
      <c r="D1104" s="37" t="s">
        <v>57</v>
      </c>
      <c r="E1104" s="54" t="s">
        <v>112</v>
      </c>
      <c r="F1104" s="15">
        <v>1.0</v>
      </c>
      <c r="G1104" s="37" t="s">
        <v>65</v>
      </c>
      <c r="H1104" s="31" t="e">
        <v>#N/A</v>
      </c>
      <c r="I1104" s="31" t="e">
        <v>#N/A</v>
      </c>
    </row>
    <row r="1105">
      <c r="A1105" s="11">
        <v>46150.74796232639</v>
      </c>
      <c r="B1105" s="9" t="s">
        <v>88</v>
      </c>
      <c r="C1105" s="9" t="s">
        <v>347</v>
      </c>
      <c r="D1105" s="37" t="s">
        <v>57</v>
      </c>
      <c r="E1105" s="14"/>
      <c r="F1105" s="15">
        <v>1.0</v>
      </c>
      <c r="G1105" s="37" t="s">
        <v>65</v>
      </c>
      <c r="H1105" s="31" t="e">
        <v>#N/A</v>
      </c>
      <c r="I1105" s="31" t="e">
        <v>#N/A</v>
      </c>
    </row>
    <row r="1106">
      <c r="A1106" s="11">
        <v>46150.74928391204</v>
      </c>
      <c r="B1106" s="9" t="s">
        <v>174</v>
      </c>
      <c r="C1106" s="9" t="s">
        <v>133</v>
      </c>
      <c r="D1106" s="9" t="s">
        <v>19</v>
      </c>
      <c r="E1106" s="14"/>
      <c r="F1106" s="15">
        <v>1.0</v>
      </c>
      <c r="G1106" s="37" t="s">
        <v>65</v>
      </c>
      <c r="H1106" s="31" t="e">
        <v>#N/A</v>
      </c>
      <c r="I1106" s="31" t="e">
        <v>#N/A</v>
      </c>
    </row>
    <row r="1107">
      <c r="A1107" s="11">
        <v>46150.75105181713</v>
      </c>
      <c r="B1107" s="9" t="s">
        <v>59</v>
      </c>
      <c r="C1107" s="9" t="s">
        <v>115</v>
      </c>
      <c r="D1107" s="37" t="s">
        <v>57</v>
      </c>
      <c r="E1107" s="14"/>
      <c r="F1107" s="15">
        <v>1.0</v>
      </c>
      <c r="G1107" s="37" t="s">
        <v>65</v>
      </c>
      <c r="H1107" s="31" t="e">
        <v>#N/A</v>
      </c>
      <c r="I1107" s="31" t="e">
        <v>#N/A</v>
      </c>
    </row>
    <row r="1108">
      <c r="A1108" s="11">
        <v>46150.753029155094</v>
      </c>
      <c r="B1108" s="9" t="s">
        <v>340</v>
      </c>
      <c r="C1108" s="9" t="s">
        <v>396</v>
      </c>
      <c r="D1108" s="9" t="s">
        <v>19</v>
      </c>
      <c r="E1108" s="14"/>
      <c r="F1108" s="15">
        <v>1.0</v>
      </c>
      <c r="G1108" s="37" t="s">
        <v>65</v>
      </c>
      <c r="H1108" s="31" t="e">
        <v>#N/A</v>
      </c>
      <c r="I1108" s="31" t="e">
        <v>#N/A</v>
      </c>
    </row>
    <row r="1109">
      <c r="A1109" s="11">
        <v>46150.753076030094</v>
      </c>
      <c r="B1109" s="9" t="s">
        <v>229</v>
      </c>
      <c r="C1109" s="9" t="s">
        <v>103</v>
      </c>
      <c r="D1109" s="9" t="s">
        <v>19</v>
      </c>
      <c r="E1109" s="14"/>
      <c r="F1109" s="15">
        <v>1.0</v>
      </c>
      <c r="G1109" s="37" t="s">
        <v>65</v>
      </c>
      <c r="H1109" s="31" t="e">
        <v>#N/A</v>
      </c>
      <c r="I1109" s="31" t="e">
        <v>#N/A</v>
      </c>
    </row>
    <row r="1110">
      <c r="A1110" s="11">
        <v>46150.76004417824</v>
      </c>
      <c r="B1110" s="9" t="s">
        <v>88</v>
      </c>
      <c r="C1110" s="9" t="s">
        <v>248</v>
      </c>
      <c r="D1110" s="9" t="s">
        <v>19</v>
      </c>
      <c r="E1110" s="14"/>
      <c r="F1110" s="15">
        <v>1.0</v>
      </c>
      <c r="G1110" s="37" t="s">
        <v>65</v>
      </c>
      <c r="H1110" s="31" t="e">
        <v>#N/A</v>
      </c>
      <c r="I1110" s="31" t="e">
        <v>#N/A</v>
      </c>
    </row>
    <row r="1111">
      <c r="A1111" s="11">
        <v>46150.76089824074</v>
      </c>
      <c r="B1111" s="9" t="s">
        <v>393</v>
      </c>
      <c r="C1111" s="9" t="s">
        <v>367</v>
      </c>
      <c r="D1111" s="37" t="s">
        <v>57</v>
      </c>
      <c r="E1111" s="54" t="s">
        <v>122</v>
      </c>
      <c r="F1111" s="15">
        <v>1.0</v>
      </c>
      <c r="G1111" s="37" t="s">
        <v>65</v>
      </c>
      <c r="H1111" s="31" t="e">
        <v>#N/A</v>
      </c>
      <c r="I1111" s="31" t="e">
        <v>#N/A</v>
      </c>
    </row>
    <row r="1112">
      <c r="A1112" s="11">
        <v>46150.76334576389</v>
      </c>
      <c r="B1112" s="9" t="s">
        <v>120</v>
      </c>
      <c r="C1112" s="9" t="s">
        <v>163</v>
      </c>
      <c r="D1112" s="37" t="s">
        <v>57</v>
      </c>
      <c r="E1112" s="14"/>
      <c r="F1112" s="15">
        <v>1.0</v>
      </c>
      <c r="G1112" s="37" t="s">
        <v>65</v>
      </c>
      <c r="H1112" s="31" t="e">
        <v>#N/A</v>
      </c>
      <c r="I1112" s="31" t="e">
        <v>#N/A</v>
      </c>
    </row>
    <row r="1113">
      <c r="A1113" s="11">
        <v>46150.769016377315</v>
      </c>
      <c r="B1113" s="9" t="s">
        <v>125</v>
      </c>
      <c r="C1113" s="9" t="s">
        <v>71</v>
      </c>
      <c r="D1113" s="9" t="s">
        <v>19</v>
      </c>
      <c r="E1113" s="54" t="s">
        <v>481</v>
      </c>
      <c r="F1113" s="15">
        <v>1.0</v>
      </c>
      <c r="G1113" s="37" t="s">
        <v>65</v>
      </c>
      <c r="H1113" s="31" t="e">
        <v>#N/A</v>
      </c>
      <c r="I1113" s="31" t="e">
        <v>#N/A</v>
      </c>
    </row>
    <row r="1114">
      <c r="A1114" s="11">
        <v>46150.77073934028</v>
      </c>
      <c r="B1114" s="9" t="s">
        <v>340</v>
      </c>
      <c r="C1114" s="9" t="s">
        <v>218</v>
      </c>
      <c r="D1114" s="9" t="s">
        <v>19</v>
      </c>
      <c r="E1114" s="14"/>
      <c r="F1114" s="15">
        <v>1.0</v>
      </c>
      <c r="G1114" s="37" t="s">
        <v>65</v>
      </c>
      <c r="H1114" s="31" t="e">
        <v>#N/A</v>
      </c>
      <c r="I1114" s="31" t="e">
        <v>#N/A</v>
      </c>
    </row>
    <row r="1115">
      <c r="A1115" s="11">
        <v>46150.775784004625</v>
      </c>
      <c r="B1115" s="9" t="s">
        <v>229</v>
      </c>
      <c r="C1115" s="9" t="s">
        <v>88</v>
      </c>
      <c r="D1115" s="37" t="s">
        <v>57</v>
      </c>
      <c r="E1115" s="14"/>
      <c r="F1115" s="15">
        <v>1.0</v>
      </c>
      <c r="G1115" s="37" t="s">
        <v>65</v>
      </c>
      <c r="H1115" s="31" t="e">
        <v>#N/A</v>
      </c>
      <c r="I1115" s="31" t="e">
        <v>#N/A</v>
      </c>
    </row>
    <row r="1116">
      <c r="A1116" s="11">
        <v>46150.78126304398</v>
      </c>
      <c r="B1116" s="9" t="s">
        <v>125</v>
      </c>
      <c r="C1116" s="9" t="s">
        <v>340</v>
      </c>
      <c r="D1116" s="9" t="s">
        <v>19</v>
      </c>
      <c r="E1116" s="54" t="s">
        <v>482</v>
      </c>
      <c r="F1116" s="15">
        <v>1.0</v>
      </c>
      <c r="G1116" s="37" t="s">
        <v>65</v>
      </c>
      <c r="H1116" s="31" t="e">
        <v>#N/A</v>
      </c>
      <c r="I1116" s="31" t="e">
        <v>#N/A</v>
      </c>
    </row>
    <row r="1117">
      <c r="A1117" s="11">
        <v>46150.7832221875</v>
      </c>
      <c r="B1117" s="9" t="s">
        <v>71</v>
      </c>
      <c r="C1117" s="9" t="s">
        <v>163</v>
      </c>
      <c r="D1117" s="37" t="s">
        <v>57</v>
      </c>
      <c r="E1117" s="14"/>
      <c r="F1117" s="15">
        <v>1.0</v>
      </c>
      <c r="G1117" s="37" t="s">
        <v>65</v>
      </c>
      <c r="H1117" s="31" t="e">
        <v>#N/A</v>
      </c>
      <c r="I1117" s="31" t="e">
        <v>#N/A</v>
      </c>
    </row>
    <row r="1118">
      <c r="A1118" s="11">
        <v>46150.787490821764</v>
      </c>
      <c r="B1118" s="9" t="s">
        <v>84</v>
      </c>
      <c r="C1118" s="9" t="s">
        <v>337</v>
      </c>
      <c r="D1118" s="37" t="s">
        <v>57</v>
      </c>
      <c r="E1118" s="14"/>
      <c r="F1118" s="15">
        <v>1.0</v>
      </c>
      <c r="G1118" s="37" t="s">
        <v>65</v>
      </c>
      <c r="H1118" s="31" t="e">
        <v>#N/A</v>
      </c>
      <c r="I1118" s="31" t="e">
        <v>#N/A</v>
      </c>
    </row>
    <row r="1119">
      <c r="A1119" s="11">
        <v>46150.787580902776</v>
      </c>
      <c r="B1119" s="9" t="s">
        <v>110</v>
      </c>
      <c r="C1119" s="9" t="s">
        <v>187</v>
      </c>
      <c r="D1119" s="9" t="s">
        <v>19</v>
      </c>
      <c r="E1119" s="14"/>
      <c r="F1119" s="15">
        <v>1.0</v>
      </c>
      <c r="G1119" s="37" t="s">
        <v>65</v>
      </c>
      <c r="H1119" s="31" t="e">
        <v>#N/A</v>
      </c>
      <c r="I1119" s="31" t="e">
        <v>#N/A</v>
      </c>
    </row>
    <row r="1120">
      <c r="A1120" s="11">
        <v>46150.78894009259</v>
      </c>
      <c r="B1120" s="9" t="s">
        <v>274</v>
      </c>
      <c r="C1120" s="9" t="s">
        <v>248</v>
      </c>
      <c r="D1120" s="9" t="s">
        <v>19</v>
      </c>
      <c r="E1120" s="14"/>
      <c r="F1120" s="15">
        <v>1.0</v>
      </c>
      <c r="G1120" s="37" t="s">
        <v>65</v>
      </c>
      <c r="H1120" s="31" t="e">
        <v>#N/A</v>
      </c>
      <c r="I1120" s="31" t="e">
        <v>#N/A</v>
      </c>
    </row>
    <row r="1121">
      <c r="A1121" s="11">
        <v>46150.799755266205</v>
      </c>
      <c r="B1121" s="9" t="s">
        <v>128</v>
      </c>
      <c r="C1121" s="9" t="s">
        <v>183</v>
      </c>
      <c r="D1121" s="37" t="s">
        <v>57</v>
      </c>
      <c r="E1121" s="14"/>
      <c r="F1121" s="15">
        <v>1.0</v>
      </c>
      <c r="G1121" s="37" t="s">
        <v>65</v>
      </c>
      <c r="H1121" s="31" t="e">
        <v>#N/A</v>
      </c>
      <c r="I1121" s="31" t="e">
        <v>#N/A</v>
      </c>
    </row>
    <row r="1122">
      <c r="A1122" s="11">
        <v>46150.79986568287</v>
      </c>
      <c r="B1122" s="9" t="s">
        <v>267</v>
      </c>
      <c r="C1122" s="9" t="s">
        <v>424</v>
      </c>
      <c r="D1122" s="9" t="s">
        <v>19</v>
      </c>
      <c r="E1122" s="14"/>
      <c r="F1122" s="15">
        <v>1.0</v>
      </c>
      <c r="G1122" s="37" t="s">
        <v>65</v>
      </c>
      <c r="H1122" s="31" t="e">
        <v>#N/A</v>
      </c>
      <c r="I1122" s="31" t="e">
        <v>#N/A</v>
      </c>
    </row>
    <row r="1123">
      <c r="A1123" s="11">
        <v>46150.80080170139</v>
      </c>
      <c r="B1123" s="9" t="s">
        <v>103</v>
      </c>
      <c r="C1123" s="9" t="s">
        <v>261</v>
      </c>
      <c r="D1123" s="37" t="s">
        <v>57</v>
      </c>
      <c r="E1123" s="14"/>
      <c r="F1123" s="15">
        <v>1.0</v>
      </c>
      <c r="G1123" s="37" t="s">
        <v>65</v>
      </c>
      <c r="H1123" s="31" t="e">
        <v>#N/A</v>
      </c>
      <c r="I1123" s="31" t="e">
        <v>#N/A</v>
      </c>
    </row>
    <row r="1124">
      <c r="A1124" s="11">
        <v>46150.80866787037</v>
      </c>
      <c r="B1124" s="9" t="s">
        <v>267</v>
      </c>
      <c r="C1124" s="9" t="s">
        <v>302</v>
      </c>
      <c r="D1124" s="9" t="s">
        <v>19</v>
      </c>
      <c r="E1124" s="14"/>
      <c r="F1124" s="15">
        <v>1.0</v>
      </c>
      <c r="G1124" s="37" t="s">
        <v>65</v>
      </c>
      <c r="H1124" s="31" t="e">
        <v>#N/A</v>
      </c>
      <c r="I1124" s="31" t="e">
        <v>#N/A</v>
      </c>
    </row>
    <row r="1125">
      <c r="A1125" s="11">
        <v>46150.809806793986</v>
      </c>
      <c r="B1125" s="9" t="s">
        <v>187</v>
      </c>
      <c r="C1125" s="9" t="s">
        <v>472</v>
      </c>
      <c r="D1125" s="9" t="s">
        <v>19</v>
      </c>
      <c r="E1125" s="54" t="s">
        <v>483</v>
      </c>
      <c r="F1125" s="15">
        <v>1.0</v>
      </c>
      <c r="G1125" s="37" t="s">
        <v>65</v>
      </c>
      <c r="H1125" s="31" t="e">
        <v>#N/A</v>
      </c>
      <c r="I1125" s="31" t="e">
        <v>#N/A</v>
      </c>
    </row>
    <row r="1126">
      <c r="A1126" s="11">
        <v>46150.81196523148</v>
      </c>
      <c r="B1126" s="9" t="s">
        <v>252</v>
      </c>
      <c r="C1126" s="9" t="s">
        <v>110</v>
      </c>
      <c r="D1126" s="9" t="s">
        <v>19</v>
      </c>
      <c r="E1126" s="14"/>
      <c r="F1126" s="15">
        <v>1.0</v>
      </c>
      <c r="G1126" s="37" t="s">
        <v>65</v>
      </c>
      <c r="H1126" s="31" t="e">
        <v>#N/A</v>
      </c>
      <c r="I1126" s="31" t="e">
        <v>#N/A</v>
      </c>
    </row>
    <row r="1127">
      <c r="A1127" s="11">
        <v>46150.82754759259</v>
      </c>
      <c r="B1127" s="9" t="s">
        <v>472</v>
      </c>
      <c r="C1127" s="9" t="s">
        <v>103</v>
      </c>
      <c r="D1127" s="37" t="s">
        <v>57</v>
      </c>
      <c r="E1127" s="14"/>
      <c r="F1127" s="15">
        <v>1.0</v>
      </c>
      <c r="G1127" s="37" t="s">
        <v>65</v>
      </c>
      <c r="H1127" s="31" t="e">
        <v>#N/A</v>
      </c>
      <c r="I1127" s="31" t="e">
        <v>#N/A</v>
      </c>
    </row>
    <row r="1128">
      <c r="A1128" s="11">
        <v>46150.83171105324</v>
      </c>
      <c r="B1128" s="9" t="s">
        <v>252</v>
      </c>
      <c r="C1128" s="9" t="s">
        <v>183</v>
      </c>
      <c r="D1128" s="9" t="s">
        <v>19</v>
      </c>
      <c r="E1128" s="14"/>
      <c r="F1128" s="15">
        <v>1.0</v>
      </c>
      <c r="G1128" s="37" t="s">
        <v>65</v>
      </c>
      <c r="H1128" s="31" t="e">
        <v>#N/A</v>
      </c>
      <c r="I1128" s="31" t="e">
        <v>#N/A</v>
      </c>
    </row>
    <row r="1129">
      <c r="A1129" s="11">
        <v>46150.84136890047</v>
      </c>
      <c r="B1129" s="9" t="s">
        <v>110</v>
      </c>
      <c r="C1129" s="9" t="s">
        <v>163</v>
      </c>
      <c r="D1129" s="37" t="s">
        <v>57</v>
      </c>
      <c r="E1129" s="14"/>
      <c r="F1129" s="15">
        <v>1.0</v>
      </c>
      <c r="G1129" s="37" t="s">
        <v>65</v>
      </c>
      <c r="H1129" s="31" t="e">
        <v>#N/A</v>
      </c>
      <c r="I1129" s="31" t="e">
        <v>#N/A</v>
      </c>
    </row>
    <row r="1130">
      <c r="A1130" s="11">
        <v>46150.85839799768</v>
      </c>
      <c r="B1130" s="9" t="s">
        <v>183</v>
      </c>
      <c r="C1130" s="9" t="s">
        <v>103</v>
      </c>
      <c r="D1130" s="9" t="s">
        <v>19</v>
      </c>
      <c r="E1130" s="54" t="s">
        <v>122</v>
      </c>
      <c r="F1130" s="15">
        <v>1.0</v>
      </c>
      <c r="G1130" s="37" t="s">
        <v>65</v>
      </c>
      <c r="H1130" s="31" t="e">
        <v>#N/A</v>
      </c>
      <c r="I1130" s="31" t="e">
        <v>#N/A</v>
      </c>
    </row>
    <row r="1131">
      <c r="A1131" s="11">
        <v>46150.87573359953</v>
      </c>
      <c r="B1131" s="9" t="s">
        <v>163</v>
      </c>
      <c r="C1131" s="9" t="s">
        <v>267</v>
      </c>
      <c r="D1131" s="37" t="s">
        <v>57</v>
      </c>
      <c r="E1131" s="54" t="s">
        <v>140</v>
      </c>
      <c r="F1131" s="15">
        <v>1.0</v>
      </c>
      <c r="G1131" s="37" t="s">
        <v>65</v>
      </c>
      <c r="H1131" s="31" t="e">
        <v>#N/A</v>
      </c>
      <c r="I1131" s="31" t="e">
        <v>#N/A</v>
      </c>
    </row>
    <row r="1132">
      <c r="A1132" s="11">
        <v>46150.881221620366</v>
      </c>
      <c r="B1132" s="9" t="s">
        <v>109</v>
      </c>
      <c r="C1132" s="9" t="s">
        <v>239</v>
      </c>
      <c r="D1132" s="37" t="s">
        <v>57</v>
      </c>
      <c r="E1132" s="54" t="s">
        <v>140</v>
      </c>
      <c r="F1132" s="15">
        <v>1.0</v>
      </c>
      <c r="G1132" s="37" t="s">
        <v>65</v>
      </c>
      <c r="H1132" s="31" t="e">
        <v>#N/A</v>
      </c>
      <c r="I1132" s="31" t="e">
        <v>#N/A</v>
      </c>
    </row>
    <row r="1133">
      <c r="A1133" s="11">
        <v>46150.88454518518</v>
      </c>
      <c r="B1133" s="9" t="s">
        <v>128</v>
      </c>
      <c r="C1133" s="9" t="s">
        <v>120</v>
      </c>
      <c r="D1133" s="9" t="s">
        <v>19</v>
      </c>
      <c r="E1133" s="14"/>
      <c r="F1133" s="15">
        <v>1.0</v>
      </c>
      <c r="G1133" s="37" t="s">
        <v>65</v>
      </c>
      <c r="H1133" s="31" t="e">
        <v>#N/A</v>
      </c>
      <c r="I1133" s="31" t="e">
        <v>#N/A</v>
      </c>
    </row>
    <row r="1134">
      <c r="A1134" s="11">
        <v>46150.89935626157</v>
      </c>
      <c r="B1134" s="9" t="s">
        <v>366</v>
      </c>
      <c r="C1134" s="9" t="s">
        <v>271</v>
      </c>
      <c r="D1134" s="37" t="s">
        <v>57</v>
      </c>
      <c r="E1134" s="54" t="s">
        <v>223</v>
      </c>
      <c r="F1134" s="15">
        <v>1.0</v>
      </c>
      <c r="G1134" s="37" t="s">
        <v>65</v>
      </c>
      <c r="H1134" s="31" t="e">
        <v>#N/A</v>
      </c>
      <c r="I1134" s="31" t="e">
        <v>#N/A</v>
      </c>
    </row>
    <row r="1135">
      <c r="A1135" s="11">
        <v>46150.90753020834</v>
      </c>
      <c r="B1135" s="9" t="s">
        <v>121</v>
      </c>
      <c r="C1135" s="9" t="s">
        <v>368</v>
      </c>
      <c r="D1135" s="9" t="s">
        <v>19</v>
      </c>
      <c r="E1135" s="54" t="s">
        <v>484</v>
      </c>
      <c r="F1135" s="15">
        <v>1.0</v>
      </c>
      <c r="G1135" s="37" t="s">
        <v>65</v>
      </c>
      <c r="H1135" s="31" t="e">
        <v>#N/A</v>
      </c>
      <c r="I1135" s="31" t="e">
        <v>#N/A</v>
      </c>
    </row>
    <row r="1136">
      <c r="A1136" s="11">
        <v>46150.93048077547</v>
      </c>
      <c r="B1136" s="9" t="s">
        <v>17</v>
      </c>
      <c r="C1136" s="9" t="s">
        <v>165</v>
      </c>
      <c r="D1136" s="9" t="s">
        <v>19</v>
      </c>
      <c r="E1136" s="14"/>
      <c r="F1136" s="15">
        <v>1.0</v>
      </c>
      <c r="G1136" s="37" t="s">
        <v>65</v>
      </c>
      <c r="H1136" s="31" t="e">
        <v>#N/A</v>
      </c>
      <c r="I1136" s="31" t="e">
        <v>#N/A</v>
      </c>
    </row>
    <row r="1137">
      <c r="A1137" s="11">
        <v>46150.93086465278</v>
      </c>
      <c r="B1137" s="9" t="s">
        <v>162</v>
      </c>
      <c r="C1137" s="9" t="s">
        <v>128</v>
      </c>
      <c r="D1137" s="9" t="s">
        <v>19</v>
      </c>
      <c r="E1137" s="14"/>
      <c r="F1137" s="15">
        <v>1.0</v>
      </c>
      <c r="G1137" s="37" t="s">
        <v>65</v>
      </c>
      <c r="H1137" s="31" t="e">
        <v>#N/A</v>
      </c>
      <c r="I1137" s="31" t="e">
        <v>#N/A</v>
      </c>
    </row>
    <row r="1138">
      <c r="A1138" s="11">
        <v>46150.94212597222</v>
      </c>
      <c r="B1138" s="9" t="s">
        <v>121</v>
      </c>
      <c r="C1138" s="9" t="s">
        <v>345</v>
      </c>
      <c r="D1138" s="9" t="s">
        <v>19</v>
      </c>
      <c r="E1138" s="54" t="s">
        <v>140</v>
      </c>
      <c r="F1138" s="15">
        <v>1.0</v>
      </c>
      <c r="G1138" s="37" t="s">
        <v>65</v>
      </c>
      <c r="H1138" s="31" t="e">
        <v>#N/A</v>
      </c>
      <c r="I1138" s="31" t="e">
        <v>#N/A</v>
      </c>
    </row>
    <row r="1139">
      <c r="A1139" s="11">
        <v>46150.94314833333</v>
      </c>
      <c r="B1139" s="9" t="s">
        <v>162</v>
      </c>
      <c r="C1139" s="9" t="s">
        <v>77</v>
      </c>
      <c r="D1139" s="9" t="s">
        <v>19</v>
      </c>
      <c r="E1139" s="14"/>
      <c r="F1139" s="15">
        <v>1.0</v>
      </c>
      <c r="G1139" s="37" t="s">
        <v>65</v>
      </c>
      <c r="H1139" s="31" t="e">
        <v>#N/A</v>
      </c>
      <c r="I1139" s="31" t="e">
        <v>#N/A</v>
      </c>
    </row>
    <row r="1140">
      <c r="A1140" s="11">
        <v>46150.94320649306</v>
      </c>
      <c r="B1140" s="9" t="s">
        <v>344</v>
      </c>
      <c r="C1140" s="9" t="s">
        <v>342</v>
      </c>
      <c r="D1140" s="9" t="s">
        <v>19</v>
      </c>
      <c r="E1140" s="54" t="s">
        <v>140</v>
      </c>
      <c r="F1140" s="15">
        <v>1.0</v>
      </c>
      <c r="G1140" s="37" t="s">
        <v>65</v>
      </c>
      <c r="H1140" s="31" t="e">
        <v>#N/A</v>
      </c>
      <c r="I1140" s="31" t="e">
        <v>#N/A</v>
      </c>
    </row>
    <row r="1141">
      <c r="A1141" s="11">
        <v>46150.96060659722</v>
      </c>
      <c r="B1141" s="9" t="s">
        <v>17</v>
      </c>
      <c r="C1141" s="9" t="s">
        <v>274</v>
      </c>
      <c r="D1141" s="37" t="s">
        <v>57</v>
      </c>
      <c r="E1141" s="14"/>
      <c r="F1141" s="15">
        <v>1.0</v>
      </c>
      <c r="G1141" s="37" t="s">
        <v>65</v>
      </c>
      <c r="H1141" s="31" t="e">
        <v>#N/A</v>
      </c>
      <c r="I1141" s="31" t="e">
        <v>#N/A</v>
      </c>
    </row>
    <row r="1142">
      <c r="A1142" s="11">
        <v>46150.96745260416</v>
      </c>
      <c r="B1142" s="9" t="s">
        <v>231</v>
      </c>
      <c r="C1142" s="9" t="s">
        <v>173</v>
      </c>
      <c r="D1142" s="9" t="s">
        <v>19</v>
      </c>
      <c r="E1142" s="14"/>
      <c r="F1142" s="15">
        <v>1.0</v>
      </c>
      <c r="G1142" s="37" t="s">
        <v>65</v>
      </c>
      <c r="H1142" s="31" t="e">
        <v>#N/A</v>
      </c>
      <c r="I1142" s="31" t="e">
        <v>#N/A</v>
      </c>
    </row>
    <row r="1143">
      <c r="A1143" s="11">
        <v>46150.96787086806</v>
      </c>
      <c r="B1143" s="9" t="s">
        <v>162</v>
      </c>
      <c r="C1143" s="9" t="s">
        <v>345</v>
      </c>
      <c r="D1143" s="37" t="s">
        <v>57</v>
      </c>
      <c r="E1143" s="14"/>
      <c r="F1143" s="15">
        <v>1.0</v>
      </c>
      <c r="G1143" s="37" t="s">
        <v>65</v>
      </c>
      <c r="H1143" s="31" t="e">
        <v>#N/A</v>
      </c>
      <c r="I1143" s="31" t="e">
        <v>#N/A</v>
      </c>
    </row>
    <row r="1144">
      <c r="A1144" s="11">
        <v>46150.96818866898</v>
      </c>
      <c r="B1144" s="9" t="s">
        <v>169</v>
      </c>
      <c r="C1144" s="9" t="s">
        <v>120</v>
      </c>
      <c r="D1144" s="9" t="s">
        <v>19</v>
      </c>
      <c r="E1144" s="14"/>
      <c r="F1144" s="15">
        <v>1.0</v>
      </c>
      <c r="G1144" s="37" t="s">
        <v>65</v>
      </c>
      <c r="H1144" s="31" t="e">
        <v>#N/A</v>
      </c>
      <c r="I1144" s="31" t="e">
        <v>#N/A</v>
      </c>
    </row>
    <row r="1145">
      <c r="A1145" s="11">
        <v>46150.97147607639</v>
      </c>
      <c r="B1145" s="9" t="s">
        <v>344</v>
      </c>
      <c r="C1145" s="9" t="s">
        <v>143</v>
      </c>
      <c r="D1145" s="37" t="s">
        <v>57</v>
      </c>
      <c r="E1145" s="54" t="s">
        <v>140</v>
      </c>
      <c r="F1145" s="15">
        <v>1.0</v>
      </c>
      <c r="G1145" s="37" t="s">
        <v>65</v>
      </c>
      <c r="H1145" s="31" t="e">
        <v>#N/A</v>
      </c>
      <c r="I1145" s="31" t="e">
        <v>#N/A</v>
      </c>
    </row>
    <row r="1146">
      <c r="A1146" s="11">
        <v>46151.01278870371</v>
      </c>
      <c r="B1146" s="9" t="s">
        <v>239</v>
      </c>
      <c r="C1146" s="9" t="s">
        <v>17</v>
      </c>
      <c r="D1146" s="9" t="s">
        <v>19</v>
      </c>
      <c r="E1146" s="14"/>
      <c r="F1146" s="15">
        <v>1.0</v>
      </c>
      <c r="G1146" s="37" t="s">
        <v>65</v>
      </c>
      <c r="H1146" s="31" t="e">
        <v>#N/A</v>
      </c>
      <c r="I1146" s="31" t="e">
        <v>#N/A</v>
      </c>
    </row>
    <row r="1147">
      <c r="A1147" s="11">
        <v>46151.015173541666</v>
      </c>
      <c r="B1147" s="9" t="s">
        <v>59</v>
      </c>
      <c r="C1147" s="9" t="s">
        <v>345</v>
      </c>
      <c r="D1147" s="37" t="s">
        <v>57</v>
      </c>
      <c r="E1147" s="14"/>
      <c r="F1147" s="15">
        <v>1.0</v>
      </c>
      <c r="G1147" s="37" t="s">
        <v>65</v>
      </c>
      <c r="H1147" s="31" t="e">
        <v>#N/A</v>
      </c>
      <c r="I1147" s="31" t="e">
        <v>#N/A</v>
      </c>
    </row>
    <row r="1148">
      <c r="A1148" s="11">
        <v>46151.01686159722</v>
      </c>
      <c r="B1148" s="9" t="s">
        <v>274</v>
      </c>
      <c r="C1148" s="9" t="s">
        <v>162</v>
      </c>
      <c r="D1148" s="37" t="s">
        <v>57</v>
      </c>
      <c r="E1148" s="14"/>
      <c r="F1148" s="15">
        <v>1.0</v>
      </c>
      <c r="G1148" s="37" t="s">
        <v>65</v>
      </c>
      <c r="H1148" s="31" t="e">
        <v>#N/A</v>
      </c>
      <c r="I1148" s="31" t="e">
        <v>#N/A</v>
      </c>
    </row>
    <row r="1149">
      <c r="A1149" s="11">
        <v>46151.04223245371</v>
      </c>
      <c r="B1149" s="9" t="s">
        <v>253</v>
      </c>
      <c r="C1149" s="9" t="s">
        <v>66</v>
      </c>
      <c r="D1149" s="37" t="s">
        <v>57</v>
      </c>
      <c r="E1149" s="14"/>
      <c r="F1149" s="15">
        <v>1.0</v>
      </c>
      <c r="G1149" s="37" t="s">
        <v>65</v>
      </c>
      <c r="H1149" s="31" t="e">
        <v>#N/A</v>
      </c>
      <c r="I1149" s="31" t="e">
        <v>#N/A</v>
      </c>
    </row>
    <row r="1150">
      <c r="A1150" s="11">
        <v>46151.05725975694</v>
      </c>
      <c r="B1150" s="9" t="s">
        <v>195</v>
      </c>
      <c r="C1150" s="9" t="s">
        <v>88</v>
      </c>
      <c r="D1150" s="37" t="s">
        <v>57</v>
      </c>
      <c r="E1150" s="14"/>
      <c r="F1150" s="15">
        <v>1.0</v>
      </c>
      <c r="G1150" s="37" t="s">
        <v>65</v>
      </c>
      <c r="H1150" s="31" t="e">
        <v>#N/A</v>
      </c>
      <c r="I1150" s="31" t="e">
        <v>#N/A</v>
      </c>
    </row>
    <row r="1151">
      <c r="A1151" s="11">
        <v>46151.05752349537</v>
      </c>
      <c r="B1151" s="9" t="s">
        <v>133</v>
      </c>
      <c r="C1151" s="9" t="s">
        <v>59</v>
      </c>
      <c r="D1151" s="37" t="s">
        <v>57</v>
      </c>
      <c r="E1151" s="14"/>
      <c r="F1151" s="15">
        <v>1.0</v>
      </c>
      <c r="G1151" s="37" t="s">
        <v>65</v>
      </c>
      <c r="H1151" s="31" t="e">
        <v>#N/A</v>
      </c>
      <c r="I1151" s="31" t="e">
        <v>#N/A</v>
      </c>
    </row>
    <row r="1152">
      <c r="A1152" s="11">
        <v>46151.10000704861</v>
      </c>
      <c r="B1152" s="9" t="s">
        <v>190</v>
      </c>
      <c r="C1152" s="9" t="s">
        <v>198</v>
      </c>
      <c r="D1152" s="37" t="s">
        <v>57</v>
      </c>
      <c r="E1152" s="54" t="s">
        <v>112</v>
      </c>
      <c r="F1152" s="15">
        <v>1.0</v>
      </c>
      <c r="G1152" s="37" t="s">
        <v>65</v>
      </c>
      <c r="H1152" s="31" t="e">
        <v>#N/A</v>
      </c>
      <c r="I1152" s="31" t="e">
        <v>#N/A</v>
      </c>
    </row>
    <row r="1153">
      <c r="A1153" s="11">
        <v>46151.100893622686</v>
      </c>
      <c r="B1153" s="9" t="s">
        <v>54</v>
      </c>
      <c r="C1153" s="9" t="s">
        <v>189</v>
      </c>
      <c r="D1153" s="9" t="s">
        <v>19</v>
      </c>
      <c r="E1153" s="14"/>
      <c r="F1153" s="15">
        <v>1.0</v>
      </c>
      <c r="G1153" s="37" t="s">
        <v>65</v>
      </c>
      <c r="H1153" s="31" t="e">
        <v>#N/A</v>
      </c>
      <c r="I1153" s="31" t="e">
        <v>#N/A</v>
      </c>
    </row>
    <row r="1154">
      <c r="A1154" s="11">
        <v>46151.15416027777</v>
      </c>
      <c r="B1154" s="9" t="s">
        <v>54</v>
      </c>
      <c r="C1154" s="9" t="s">
        <v>100</v>
      </c>
      <c r="D1154" s="9" t="s">
        <v>19</v>
      </c>
      <c r="E1154" s="14"/>
      <c r="F1154" s="15">
        <v>1.0</v>
      </c>
      <c r="G1154" s="37" t="s">
        <v>65</v>
      </c>
      <c r="H1154" s="31" t="e">
        <v>#N/A</v>
      </c>
      <c r="I1154" s="31" t="e">
        <v>#N/A</v>
      </c>
    </row>
    <row r="1155">
      <c r="A1155" s="11">
        <v>46151.1843171875</v>
      </c>
      <c r="B1155" s="9" t="s">
        <v>96</v>
      </c>
      <c r="C1155" s="9" t="s">
        <v>189</v>
      </c>
      <c r="D1155" s="37" t="s">
        <v>57</v>
      </c>
      <c r="E1155" s="54" t="s">
        <v>485</v>
      </c>
      <c r="F1155" s="15">
        <v>1.0</v>
      </c>
      <c r="G1155" s="37" t="s">
        <v>65</v>
      </c>
      <c r="H1155" s="31" t="e">
        <v>#N/A</v>
      </c>
      <c r="I1155" s="31" t="e">
        <v>#N/A</v>
      </c>
    </row>
    <row r="1156">
      <c r="A1156" s="11">
        <v>46151.29321929398</v>
      </c>
      <c r="B1156" s="9" t="s">
        <v>284</v>
      </c>
      <c r="C1156" s="9" t="s">
        <v>189</v>
      </c>
      <c r="D1156" s="37" t="s">
        <v>57</v>
      </c>
      <c r="E1156" s="54" t="s">
        <v>486</v>
      </c>
      <c r="F1156" s="15">
        <v>1.0</v>
      </c>
      <c r="G1156" s="37" t="s">
        <v>65</v>
      </c>
      <c r="H1156" s="31" t="e">
        <v>#N/A</v>
      </c>
      <c r="I1156" s="31" t="e">
        <v>#N/A</v>
      </c>
    </row>
    <row r="1157">
      <c r="A1157" s="11">
        <v>46151.29954451389</v>
      </c>
      <c r="B1157" s="9" t="s">
        <v>79</v>
      </c>
      <c r="C1157" s="9" t="s">
        <v>204</v>
      </c>
      <c r="D1157" s="37" t="s">
        <v>57</v>
      </c>
      <c r="E1157" s="54" t="s">
        <v>487</v>
      </c>
      <c r="F1157" s="15">
        <v>1.0</v>
      </c>
      <c r="G1157" s="37" t="s">
        <v>65</v>
      </c>
      <c r="H1157" s="31" t="e">
        <v>#N/A</v>
      </c>
      <c r="I1157" s="31" t="e">
        <v>#N/A</v>
      </c>
    </row>
    <row r="1158">
      <c r="A1158" s="11">
        <v>46151.34590677083</v>
      </c>
      <c r="B1158" s="9" t="s">
        <v>17</v>
      </c>
      <c r="C1158" s="9" t="s">
        <v>237</v>
      </c>
      <c r="D1158" s="9" t="s">
        <v>19</v>
      </c>
      <c r="E1158" s="14"/>
      <c r="F1158" s="15">
        <v>1.0</v>
      </c>
      <c r="G1158" s="37" t="s">
        <v>65</v>
      </c>
      <c r="H1158" s="31" t="e">
        <v>#N/A</v>
      </c>
      <c r="I1158" s="31" t="e">
        <v>#N/A</v>
      </c>
    </row>
    <row r="1159">
      <c r="A1159" s="11">
        <v>46151.35777747685</v>
      </c>
      <c r="B1159" s="9" t="s">
        <v>79</v>
      </c>
      <c r="C1159" s="9" t="s">
        <v>217</v>
      </c>
      <c r="D1159" s="9" t="s">
        <v>19</v>
      </c>
      <c r="E1159" s="14"/>
      <c r="F1159" s="15">
        <v>1.0</v>
      </c>
      <c r="G1159" s="37" t="s">
        <v>65</v>
      </c>
      <c r="H1159" s="31" t="e">
        <v>#N/A</v>
      </c>
      <c r="I1159" s="31" t="e">
        <v>#N/A</v>
      </c>
    </row>
    <row r="1160">
      <c r="A1160" s="11">
        <v>46151.37163783565</v>
      </c>
      <c r="B1160" s="9" t="s">
        <v>237</v>
      </c>
      <c r="C1160" s="9" t="s">
        <v>79</v>
      </c>
      <c r="D1160" s="9" t="s">
        <v>19</v>
      </c>
      <c r="E1160" s="54" t="s">
        <v>102</v>
      </c>
      <c r="F1160" s="15">
        <v>1.0</v>
      </c>
      <c r="G1160" s="37" t="s">
        <v>65</v>
      </c>
      <c r="H1160" s="31" t="e">
        <v>#N/A</v>
      </c>
      <c r="I1160" s="31" t="e">
        <v>#N/A</v>
      </c>
    </row>
    <row r="1161">
      <c r="A1161" s="11">
        <v>46151.377230729166</v>
      </c>
      <c r="B1161" s="9" t="s">
        <v>134</v>
      </c>
      <c r="C1161" s="9" t="s">
        <v>217</v>
      </c>
      <c r="D1161" s="9" t="s">
        <v>19</v>
      </c>
      <c r="E1161" s="14"/>
      <c r="F1161" s="15">
        <v>1.0</v>
      </c>
      <c r="G1161" s="37" t="s">
        <v>65</v>
      </c>
      <c r="H1161" s="31" t="e">
        <v>#N/A</v>
      </c>
      <c r="I1161" s="31" t="e">
        <v>#N/A</v>
      </c>
    </row>
    <row r="1162">
      <c r="A1162" s="11">
        <v>46151.37741097222</v>
      </c>
      <c r="B1162" s="9" t="s">
        <v>195</v>
      </c>
      <c r="C1162" s="9" t="s">
        <v>63</v>
      </c>
      <c r="D1162" s="37" t="s">
        <v>57</v>
      </c>
      <c r="E1162" s="14"/>
      <c r="F1162" s="15">
        <v>1.0</v>
      </c>
      <c r="G1162" s="37" t="s">
        <v>65</v>
      </c>
      <c r="H1162" s="31" t="e">
        <v>#N/A</v>
      </c>
      <c r="I1162" s="31" t="e">
        <v>#N/A</v>
      </c>
    </row>
    <row r="1163">
      <c r="A1163" s="11">
        <v>46151.39098696759</v>
      </c>
      <c r="B1163" s="9" t="s">
        <v>94</v>
      </c>
      <c r="C1163" s="9" t="s">
        <v>273</v>
      </c>
      <c r="D1163" s="9" t="s">
        <v>19</v>
      </c>
      <c r="E1163" s="14"/>
      <c r="F1163" s="15">
        <v>1.0</v>
      </c>
      <c r="G1163" s="37" t="s">
        <v>65</v>
      </c>
      <c r="H1163" s="31" t="e">
        <v>#N/A</v>
      </c>
      <c r="I1163" s="31" t="e">
        <v>#N/A</v>
      </c>
    </row>
    <row r="1164">
      <c r="A1164" s="11">
        <v>46151.391804513885</v>
      </c>
      <c r="B1164" s="9" t="s">
        <v>284</v>
      </c>
      <c r="C1164" s="9" t="s">
        <v>107</v>
      </c>
      <c r="D1164" s="9" t="s">
        <v>19</v>
      </c>
      <c r="E1164" s="54" t="s">
        <v>488</v>
      </c>
      <c r="F1164" s="15">
        <v>1.0</v>
      </c>
      <c r="G1164" s="37" t="s">
        <v>65</v>
      </c>
      <c r="H1164" s="31" t="e">
        <v>#N/A</v>
      </c>
      <c r="I1164" s="31" t="e">
        <v>#N/A</v>
      </c>
    </row>
    <row r="1165">
      <c r="A1165" s="11">
        <v>46151.399232407406</v>
      </c>
      <c r="B1165" s="9" t="s">
        <v>218</v>
      </c>
      <c r="C1165" s="9" t="s">
        <v>134</v>
      </c>
      <c r="D1165" s="9" t="s">
        <v>19</v>
      </c>
      <c r="E1165" s="14"/>
      <c r="F1165" s="15">
        <v>1.0</v>
      </c>
      <c r="G1165" s="37" t="s">
        <v>65</v>
      </c>
      <c r="H1165" s="31" t="e">
        <v>#N/A</v>
      </c>
      <c r="I1165" s="31" t="e">
        <v>#N/A</v>
      </c>
    </row>
    <row r="1166">
      <c r="A1166" s="11">
        <v>46151.408662905094</v>
      </c>
      <c r="B1166" s="9" t="s">
        <v>217</v>
      </c>
      <c r="C1166" s="9" t="s">
        <v>94</v>
      </c>
      <c r="D1166" s="37" t="s">
        <v>57</v>
      </c>
      <c r="E1166" s="14"/>
      <c r="F1166" s="15">
        <v>1.0</v>
      </c>
      <c r="G1166" s="37" t="s">
        <v>65</v>
      </c>
      <c r="H1166" s="31" t="e">
        <v>#N/A</v>
      </c>
      <c r="I1166" s="31" t="e">
        <v>#N/A</v>
      </c>
    </row>
    <row r="1167">
      <c r="A1167" s="11">
        <v>46151.41641858796</v>
      </c>
      <c r="B1167" s="9" t="s">
        <v>166</v>
      </c>
      <c r="C1167" s="9" t="s">
        <v>261</v>
      </c>
      <c r="D1167" s="9" t="s">
        <v>19</v>
      </c>
      <c r="E1167" s="54" t="s">
        <v>122</v>
      </c>
      <c r="F1167" s="15">
        <v>1.0</v>
      </c>
      <c r="G1167" s="37" t="s">
        <v>65</v>
      </c>
      <c r="H1167" s="31" t="e">
        <v>#N/A</v>
      </c>
      <c r="I1167" s="31" t="e">
        <v>#N/A</v>
      </c>
    </row>
    <row r="1168">
      <c r="A1168" s="11">
        <v>46151.41964327546</v>
      </c>
      <c r="B1168" s="9" t="s">
        <v>273</v>
      </c>
      <c r="C1168" s="9" t="s">
        <v>132</v>
      </c>
      <c r="D1168" s="37" t="s">
        <v>57</v>
      </c>
      <c r="E1168" s="54" t="s">
        <v>122</v>
      </c>
      <c r="F1168" s="15">
        <v>1.0</v>
      </c>
      <c r="G1168" s="37" t="s">
        <v>65</v>
      </c>
      <c r="H1168" s="31" t="e">
        <v>#N/A</v>
      </c>
      <c r="I1168" s="31" t="e">
        <v>#N/A</v>
      </c>
    </row>
    <row r="1169">
      <c r="A1169" s="11">
        <v>46151.422349189816</v>
      </c>
      <c r="B1169" s="9" t="s">
        <v>218</v>
      </c>
      <c r="C1169" s="9" t="s">
        <v>406</v>
      </c>
      <c r="D1169" s="9" t="s">
        <v>19</v>
      </c>
      <c r="E1169" s="14"/>
      <c r="F1169" s="15">
        <v>1.0</v>
      </c>
      <c r="G1169" s="37" t="s">
        <v>65</v>
      </c>
      <c r="H1169" s="31" t="e">
        <v>#N/A</v>
      </c>
      <c r="I1169" s="31" t="e">
        <v>#N/A</v>
      </c>
    </row>
    <row r="1170">
      <c r="A1170" s="11">
        <v>46151.43247759259</v>
      </c>
      <c r="B1170" s="9" t="s">
        <v>217</v>
      </c>
      <c r="C1170" s="9" t="s">
        <v>109</v>
      </c>
      <c r="D1170" s="37" t="s">
        <v>57</v>
      </c>
      <c r="E1170" s="14"/>
      <c r="F1170" s="15">
        <v>1.0</v>
      </c>
      <c r="G1170" s="37" t="s">
        <v>65</v>
      </c>
      <c r="H1170" s="31" t="e">
        <v>#N/A</v>
      </c>
      <c r="I1170" s="31" t="e">
        <v>#N/A</v>
      </c>
    </row>
    <row r="1171">
      <c r="A1171" s="11">
        <v>46151.433802685184</v>
      </c>
      <c r="B1171" s="9" t="s">
        <v>273</v>
      </c>
      <c r="C1171" s="9" t="s">
        <v>63</v>
      </c>
      <c r="D1171" s="9" t="s">
        <v>19</v>
      </c>
      <c r="E1171" s="14"/>
      <c r="F1171" s="15">
        <v>1.0</v>
      </c>
      <c r="G1171" s="37" t="s">
        <v>65</v>
      </c>
      <c r="H1171" s="31" t="e">
        <v>#N/A</v>
      </c>
      <c r="I1171" s="31" t="e">
        <v>#N/A</v>
      </c>
    </row>
    <row r="1172">
      <c r="A1172" s="11">
        <v>46151.44316378472</v>
      </c>
      <c r="B1172" s="9" t="s">
        <v>215</v>
      </c>
      <c r="C1172" s="9" t="s">
        <v>239</v>
      </c>
      <c r="D1172" s="9" t="s">
        <v>19</v>
      </c>
      <c r="E1172" s="54" t="s">
        <v>489</v>
      </c>
      <c r="F1172" s="15">
        <v>1.0</v>
      </c>
      <c r="G1172" s="37" t="s">
        <v>65</v>
      </c>
      <c r="H1172" s="31" t="e">
        <v>#N/A</v>
      </c>
      <c r="I1172" s="31" t="e">
        <v>#N/A</v>
      </c>
    </row>
    <row r="1173">
      <c r="A1173" s="11">
        <v>46151.450157141204</v>
      </c>
      <c r="B1173" s="9" t="s">
        <v>218</v>
      </c>
      <c r="C1173" s="9" t="s">
        <v>261</v>
      </c>
      <c r="D1173" s="37" t="s">
        <v>57</v>
      </c>
      <c r="E1173" s="14"/>
      <c r="F1173" s="15">
        <v>1.0</v>
      </c>
      <c r="G1173" s="37" t="s">
        <v>65</v>
      </c>
      <c r="H1173" s="31" t="e">
        <v>#N/A</v>
      </c>
      <c r="I1173" s="31" t="e">
        <v>#N/A</v>
      </c>
    </row>
    <row r="1174">
      <c r="A1174" s="11">
        <v>46151.4580658912</v>
      </c>
      <c r="B1174" s="9" t="s">
        <v>174</v>
      </c>
      <c r="C1174" s="9" t="s">
        <v>109</v>
      </c>
      <c r="D1174" s="37" t="s">
        <v>57</v>
      </c>
      <c r="E1174" s="14"/>
      <c r="F1174" s="15">
        <v>1.0</v>
      </c>
      <c r="G1174" s="37" t="s">
        <v>65</v>
      </c>
      <c r="H1174" s="31" t="e">
        <v>#N/A</v>
      </c>
      <c r="I1174" s="31" t="e">
        <v>#N/A</v>
      </c>
    </row>
    <row r="1175">
      <c r="A1175" s="11">
        <v>46151.460931875</v>
      </c>
      <c r="B1175" s="9" t="s">
        <v>17</v>
      </c>
      <c r="C1175" s="9" t="s">
        <v>273</v>
      </c>
      <c r="D1175" s="9" t="s">
        <v>19</v>
      </c>
      <c r="E1175" s="14"/>
      <c r="F1175" s="15">
        <v>1.0</v>
      </c>
      <c r="G1175" s="37" t="s">
        <v>65</v>
      </c>
      <c r="H1175" s="31" t="e">
        <v>#N/A</v>
      </c>
      <c r="I1175" s="31" t="e">
        <v>#N/A</v>
      </c>
    </row>
    <row r="1176">
      <c r="A1176" s="11">
        <v>46151.46733572916</v>
      </c>
      <c r="B1176" s="9" t="s">
        <v>239</v>
      </c>
      <c r="C1176" s="9" t="s">
        <v>174</v>
      </c>
      <c r="D1176" s="9" t="s">
        <v>19</v>
      </c>
      <c r="E1176" s="14"/>
      <c r="F1176" s="15">
        <v>1.0</v>
      </c>
      <c r="G1176" s="37" t="s">
        <v>65</v>
      </c>
      <c r="H1176" s="31" t="e">
        <v>#N/A</v>
      </c>
      <c r="I1176" s="31" t="e">
        <v>#N/A</v>
      </c>
    </row>
    <row r="1177">
      <c r="A1177" s="11">
        <v>46151.491261400464</v>
      </c>
      <c r="B1177" s="9" t="s">
        <v>261</v>
      </c>
      <c r="C1177" s="9" t="s">
        <v>239</v>
      </c>
      <c r="D1177" s="37" t="s">
        <v>57</v>
      </c>
      <c r="E1177" s="14"/>
      <c r="F1177" s="15">
        <v>1.0</v>
      </c>
      <c r="G1177" s="37" t="s">
        <v>65</v>
      </c>
      <c r="H1177" s="31" t="e">
        <v>#N/A</v>
      </c>
      <c r="I1177" s="31" t="e">
        <v>#N/A</v>
      </c>
    </row>
    <row r="1178">
      <c r="A1178" s="11">
        <v>46151.49581467593</v>
      </c>
      <c r="B1178" s="9" t="s">
        <v>273</v>
      </c>
      <c r="C1178" s="9" t="s">
        <v>109</v>
      </c>
      <c r="D1178" s="37" t="s">
        <v>57</v>
      </c>
      <c r="E1178" s="14"/>
      <c r="F1178" s="15">
        <v>1.0</v>
      </c>
      <c r="G1178" s="37" t="s">
        <v>65</v>
      </c>
      <c r="H1178" s="31" t="e">
        <v>#N/A</v>
      </c>
      <c r="I1178" s="31" t="e">
        <v>#N/A</v>
      </c>
    </row>
    <row r="1179">
      <c r="A1179" s="11">
        <v>46151.50212935185</v>
      </c>
      <c r="B1179" s="9" t="s">
        <v>61</v>
      </c>
      <c r="C1179" s="9" t="s">
        <v>121</v>
      </c>
      <c r="D1179" s="9" t="s">
        <v>19</v>
      </c>
      <c r="E1179" s="14"/>
      <c r="F1179" s="15">
        <v>1.0</v>
      </c>
      <c r="G1179" s="37" t="s">
        <v>65</v>
      </c>
      <c r="H1179" s="31" t="e">
        <v>#N/A</v>
      </c>
      <c r="I1179" s="31" t="e">
        <v>#N/A</v>
      </c>
    </row>
    <row r="1180">
      <c r="A1180" s="11">
        <v>46151.52344185185</v>
      </c>
      <c r="B1180" s="9" t="s">
        <v>63</v>
      </c>
      <c r="C1180" s="9" t="s">
        <v>261</v>
      </c>
      <c r="D1180" s="37" t="s">
        <v>57</v>
      </c>
      <c r="E1180" s="14"/>
      <c r="F1180" s="15">
        <v>1.0</v>
      </c>
      <c r="G1180" s="37" t="s">
        <v>65</v>
      </c>
      <c r="H1180" s="31" t="e">
        <v>#N/A</v>
      </c>
      <c r="I1180" s="31" t="e">
        <v>#N/A</v>
      </c>
    </row>
    <row r="1181">
      <c r="A1181" s="11">
        <v>46151.529164074076</v>
      </c>
      <c r="B1181" s="9" t="s">
        <v>123</v>
      </c>
      <c r="C1181" s="9" t="s">
        <v>151</v>
      </c>
      <c r="D1181" s="37" t="s">
        <v>57</v>
      </c>
      <c r="E1181" s="14"/>
      <c r="F1181" s="15">
        <v>1.0</v>
      </c>
      <c r="G1181" s="37" t="s">
        <v>65</v>
      </c>
      <c r="H1181" s="31" t="e">
        <v>#N/A</v>
      </c>
      <c r="I1181" s="31" t="e">
        <v>#N/A</v>
      </c>
    </row>
    <row r="1182">
      <c r="A1182" s="11">
        <v>46151.53739842593</v>
      </c>
      <c r="B1182" s="9" t="s">
        <v>61</v>
      </c>
      <c r="C1182" s="9" t="s">
        <v>54</v>
      </c>
      <c r="D1182" s="37" t="s">
        <v>57</v>
      </c>
      <c r="E1182" s="14"/>
      <c r="F1182" s="15">
        <v>1.0</v>
      </c>
      <c r="G1182" s="37" t="s">
        <v>65</v>
      </c>
      <c r="H1182" s="31" t="e">
        <v>#N/A</v>
      </c>
      <c r="I1182" s="31" t="e">
        <v>#N/A</v>
      </c>
    </row>
    <row r="1183">
      <c r="A1183" s="11">
        <v>46151.54363185185</v>
      </c>
      <c r="B1183" s="9" t="s">
        <v>123</v>
      </c>
      <c r="C1183" s="9" t="s">
        <v>152</v>
      </c>
      <c r="D1183" s="9" t="s">
        <v>19</v>
      </c>
      <c r="E1183" s="14"/>
      <c r="F1183" s="15">
        <v>1.0</v>
      </c>
      <c r="G1183" s="37" t="s">
        <v>65</v>
      </c>
      <c r="H1183" s="31" t="e">
        <v>#N/A</v>
      </c>
      <c r="I1183" s="31" t="e">
        <v>#N/A</v>
      </c>
    </row>
    <row r="1184">
      <c r="A1184" s="11">
        <v>46151.55169046296</v>
      </c>
      <c r="B1184" s="9" t="s">
        <v>109</v>
      </c>
      <c r="C1184" s="9" t="s">
        <v>233</v>
      </c>
      <c r="D1184" s="37" t="s">
        <v>57</v>
      </c>
      <c r="E1184" s="54" t="s">
        <v>140</v>
      </c>
      <c r="F1184" s="15">
        <v>1.0</v>
      </c>
      <c r="G1184" s="37" t="s">
        <v>65</v>
      </c>
      <c r="H1184" s="31" t="e">
        <v>#N/A</v>
      </c>
      <c r="I1184" s="31" t="e">
        <v>#N/A</v>
      </c>
    </row>
    <row r="1185">
      <c r="A1185" s="11">
        <v>46151.55674505787</v>
      </c>
      <c r="B1185" s="9" t="s">
        <v>63</v>
      </c>
      <c r="C1185" s="9" t="s">
        <v>259</v>
      </c>
      <c r="D1185" s="9" t="s">
        <v>19</v>
      </c>
      <c r="E1185" s="14"/>
      <c r="F1185" s="15">
        <v>1.0</v>
      </c>
      <c r="G1185" s="37" t="s">
        <v>65</v>
      </c>
      <c r="H1185" s="31" t="e">
        <v>#N/A</v>
      </c>
      <c r="I1185" s="31" t="e">
        <v>#N/A</v>
      </c>
    </row>
    <row r="1186">
      <c r="A1186" s="11">
        <v>46151.561257037036</v>
      </c>
      <c r="B1186" s="9" t="s">
        <v>282</v>
      </c>
      <c r="C1186" s="9" t="s">
        <v>213</v>
      </c>
      <c r="D1186" s="9" t="s">
        <v>19</v>
      </c>
      <c r="E1186" s="14"/>
      <c r="F1186" s="15">
        <v>1.0</v>
      </c>
      <c r="G1186" s="37" t="s">
        <v>65</v>
      </c>
      <c r="H1186" s="31" t="e">
        <v>#N/A</v>
      </c>
      <c r="I1186" s="31" t="e">
        <v>#N/A</v>
      </c>
    </row>
    <row r="1187">
      <c r="A1187" s="11">
        <v>46151.56233909722</v>
      </c>
      <c r="B1187" s="9" t="s">
        <v>189</v>
      </c>
      <c r="C1187" s="9" t="s">
        <v>121</v>
      </c>
      <c r="D1187" s="9" t="s">
        <v>19</v>
      </c>
      <c r="E1187" s="54" t="s">
        <v>122</v>
      </c>
      <c r="F1187" s="15">
        <v>1.0</v>
      </c>
      <c r="G1187" s="37" t="s">
        <v>65</v>
      </c>
      <c r="H1187" s="31" t="e">
        <v>#N/A</v>
      </c>
      <c r="I1187" s="31" t="e">
        <v>#N/A</v>
      </c>
    </row>
    <row r="1188">
      <c r="A1188" s="11">
        <v>46151.56249650463</v>
      </c>
      <c r="B1188" s="9" t="s">
        <v>247</v>
      </c>
      <c r="C1188" s="9" t="s">
        <v>123</v>
      </c>
      <c r="D1188" s="9" t="s">
        <v>19</v>
      </c>
      <c r="E1188" s="54" t="s">
        <v>140</v>
      </c>
      <c r="F1188" s="15">
        <v>1.0</v>
      </c>
      <c r="G1188" s="37" t="s">
        <v>65</v>
      </c>
      <c r="H1188" s="31" t="e">
        <v>#N/A</v>
      </c>
      <c r="I1188" s="31" t="e">
        <v>#N/A</v>
      </c>
    </row>
    <row r="1189">
      <c r="A1189" s="11">
        <v>46151.57072908565</v>
      </c>
      <c r="B1189" s="9" t="s">
        <v>228</v>
      </c>
      <c r="C1189" s="9" t="s">
        <v>151</v>
      </c>
      <c r="D1189" s="37" t="s">
        <v>57</v>
      </c>
      <c r="E1189" s="14"/>
      <c r="F1189" s="15">
        <v>1.0</v>
      </c>
      <c r="G1189" s="37" t="s">
        <v>65</v>
      </c>
      <c r="H1189" s="31" t="e">
        <v>#N/A</v>
      </c>
      <c r="I1189" s="31" t="e">
        <v>#N/A</v>
      </c>
    </row>
    <row r="1190">
      <c r="A1190" s="11">
        <v>46151.57404040509</v>
      </c>
      <c r="B1190" s="9" t="s">
        <v>59</v>
      </c>
      <c r="C1190" s="9" t="s">
        <v>284</v>
      </c>
      <c r="D1190" s="9" t="s">
        <v>19</v>
      </c>
      <c r="E1190" s="14"/>
      <c r="F1190" s="15">
        <v>1.0</v>
      </c>
      <c r="G1190" s="37" t="s">
        <v>65</v>
      </c>
      <c r="H1190" s="31" t="e">
        <v>#N/A</v>
      </c>
      <c r="I1190" s="31" t="e">
        <v>#N/A</v>
      </c>
    </row>
    <row r="1191">
      <c r="A1191" s="11">
        <v>46151.57730856481</v>
      </c>
      <c r="B1191" s="9" t="s">
        <v>61</v>
      </c>
      <c r="C1191" s="9" t="s">
        <v>187</v>
      </c>
      <c r="D1191" s="37" t="s">
        <v>57</v>
      </c>
      <c r="E1191" s="14"/>
      <c r="F1191" s="15">
        <v>1.0</v>
      </c>
      <c r="G1191" s="37" t="s">
        <v>65</v>
      </c>
      <c r="H1191" s="31" t="e">
        <v>#N/A</v>
      </c>
      <c r="I1191" s="31" t="e">
        <v>#N/A</v>
      </c>
    </row>
    <row r="1192">
      <c r="A1192" s="11">
        <v>46151.58751336805</v>
      </c>
      <c r="B1192" s="9" t="s">
        <v>282</v>
      </c>
      <c r="C1192" s="9" t="s">
        <v>247</v>
      </c>
      <c r="D1192" s="9" t="s">
        <v>19</v>
      </c>
      <c r="E1192" s="14"/>
      <c r="F1192" s="15">
        <v>1.0</v>
      </c>
      <c r="G1192" s="37" t="s">
        <v>65</v>
      </c>
      <c r="H1192" s="31" t="e">
        <v>#N/A</v>
      </c>
      <c r="I1192" s="31" t="e">
        <v>#N/A</v>
      </c>
    </row>
    <row r="1193">
      <c r="A1193" s="11">
        <v>46151.58800699074</v>
      </c>
      <c r="B1193" s="9" t="s">
        <v>217</v>
      </c>
      <c r="C1193" s="9" t="s">
        <v>132</v>
      </c>
      <c r="D1193" s="9" t="s">
        <v>19</v>
      </c>
      <c r="E1193" s="14"/>
      <c r="F1193" s="15">
        <v>1.0</v>
      </c>
      <c r="G1193" s="37" t="s">
        <v>65</v>
      </c>
      <c r="H1193" s="31" t="e">
        <v>#N/A</v>
      </c>
      <c r="I1193" s="31" t="e">
        <v>#N/A</v>
      </c>
    </row>
    <row r="1194">
      <c r="A1194" s="11">
        <v>46151.59325092593</v>
      </c>
      <c r="B1194" s="9" t="s">
        <v>189</v>
      </c>
      <c r="C1194" s="9" t="s">
        <v>63</v>
      </c>
      <c r="D1194" s="37" t="s">
        <v>57</v>
      </c>
      <c r="E1194" s="54" t="s">
        <v>490</v>
      </c>
      <c r="F1194" s="15">
        <v>1.0</v>
      </c>
      <c r="G1194" s="37" t="s">
        <v>65</v>
      </c>
      <c r="H1194" s="31" t="e">
        <v>#N/A</v>
      </c>
      <c r="I1194" s="31" t="e">
        <v>#N/A</v>
      </c>
    </row>
    <row r="1195">
      <c r="A1195" s="11">
        <v>46151.59861246528</v>
      </c>
      <c r="B1195" s="9" t="s">
        <v>213</v>
      </c>
      <c r="C1195" s="9" t="s">
        <v>96</v>
      </c>
      <c r="D1195" s="37" t="s">
        <v>57</v>
      </c>
      <c r="E1195" s="14"/>
      <c r="F1195" s="15">
        <v>1.0</v>
      </c>
      <c r="G1195" s="37" t="s">
        <v>65</v>
      </c>
      <c r="H1195" s="31" t="e">
        <v>#N/A</v>
      </c>
      <c r="I1195" s="31" t="e">
        <v>#N/A</v>
      </c>
    </row>
    <row r="1196">
      <c r="A1196" s="11">
        <v>46151.61163125</v>
      </c>
      <c r="B1196" s="9" t="s">
        <v>61</v>
      </c>
      <c r="C1196" s="9" t="s">
        <v>151</v>
      </c>
      <c r="D1196" s="9" t="s">
        <v>19</v>
      </c>
      <c r="E1196" s="14"/>
      <c r="F1196" s="15">
        <v>1.0</v>
      </c>
      <c r="G1196" s="37" t="s">
        <v>65</v>
      </c>
      <c r="H1196" s="31" t="e">
        <v>#N/A</v>
      </c>
      <c r="I1196" s="31" t="e">
        <v>#N/A</v>
      </c>
    </row>
    <row r="1197">
      <c r="A1197" s="11">
        <v>46151.61502885417</v>
      </c>
      <c r="B1197" s="9" t="s">
        <v>76</v>
      </c>
      <c r="C1197" s="9" t="s">
        <v>282</v>
      </c>
      <c r="D1197" s="37" t="s">
        <v>57</v>
      </c>
      <c r="E1197" s="14"/>
      <c r="F1197" s="15">
        <v>1.0</v>
      </c>
      <c r="G1197" s="37" t="s">
        <v>65</v>
      </c>
      <c r="H1197" s="31" t="e">
        <v>#N/A</v>
      </c>
      <c r="I1197" s="31" t="e">
        <v>#N/A</v>
      </c>
    </row>
    <row r="1198">
      <c r="A1198" s="11">
        <v>46151.623770081016</v>
      </c>
      <c r="B1198" s="9" t="s">
        <v>185</v>
      </c>
      <c r="C1198" s="9" t="s">
        <v>284</v>
      </c>
      <c r="D1198" s="37" t="s">
        <v>57</v>
      </c>
      <c r="E1198" s="14"/>
      <c r="F1198" s="15">
        <v>1.0</v>
      </c>
      <c r="G1198" s="37" t="s">
        <v>65</v>
      </c>
      <c r="H1198" s="31" t="e">
        <v>#N/A</v>
      </c>
      <c r="I1198" s="31" t="e">
        <v>#N/A</v>
      </c>
    </row>
    <row r="1199">
      <c r="A1199" s="11">
        <v>46151.62865944444</v>
      </c>
      <c r="B1199" s="9" t="s">
        <v>277</v>
      </c>
      <c r="C1199" s="9" t="s">
        <v>165</v>
      </c>
      <c r="D1199" s="37" t="s">
        <v>57</v>
      </c>
      <c r="E1199" s="14"/>
      <c r="F1199" s="15">
        <v>1.0</v>
      </c>
      <c r="G1199" s="37" t="s">
        <v>65</v>
      </c>
      <c r="H1199" s="31" t="e">
        <v>#N/A</v>
      </c>
      <c r="I1199" s="31" t="e">
        <v>#N/A</v>
      </c>
    </row>
    <row r="1200">
      <c r="A1200" s="11">
        <v>46151.63133675926</v>
      </c>
      <c r="B1200" s="9" t="s">
        <v>142</v>
      </c>
      <c r="C1200" s="9" t="s">
        <v>187</v>
      </c>
      <c r="D1200" s="37" t="s">
        <v>57</v>
      </c>
      <c r="E1200" s="14"/>
      <c r="F1200" s="15">
        <v>1.0</v>
      </c>
      <c r="G1200" s="37" t="s">
        <v>65</v>
      </c>
      <c r="H1200" s="31" t="e">
        <v>#N/A</v>
      </c>
      <c r="I1200" s="31" t="e">
        <v>#N/A</v>
      </c>
    </row>
    <row r="1201">
      <c r="A1201" s="11">
        <v>46151.63489890046</v>
      </c>
      <c r="B1201" s="9" t="s">
        <v>76</v>
      </c>
      <c r="C1201" s="9" t="s">
        <v>195</v>
      </c>
      <c r="D1201" s="9" t="s">
        <v>19</v>
      </c>
      <c r="E1201" s="14"/>
      <c r="F1201" s="15">
        <v>1.0</v>
      </c>
      <c r="G1201" s="37" t="s">
        <v>65</v>
      </c>
      <c r="H1201" s="31" t="e">
        <v>#N/A</v>
      </c>
      <c r="I1201" s="31" t="e">
        <v>#N/A</v>
      </c>
    </row>
    <row r="1202">
      <c r="A1202" s="11">
        <v>46151.6515794213</v>
      </c>
      <c r="B1202" s="9" t="s">
        <v>151</v>
      </c>
      <c r="C1202" s="9" t="s">
        <v>344</v>
      </c>
      <c r="D1202" s="37" t="s">
        <v>57</v>
      </c>
      <c r="E1202" s="14"/>
      <c r="F1202" s="15">
        <v>1.0</v>
      </c>
      <c r="G1202" s="37" t="s">
        <v>65</v>
      </c>
      <c r="H1202" s="31" t="e">
        <v>#N/A</v>
      </c>
      <c r="I1202" s="31" t="e">
        <v>#N/A</v>
      </c>
    </row>
    <row r="1203">
      <c r="A1203" s="11">
        <v>46151.652707789355</v>
      </c>
      <c r="B1203" s="9" t="s">
        <v>142</v>
      </c>
      <c r="C1203" s="9" t="s">
        <v>185</v>
      </c>
      <c r="D1203" s="37" t="s">
        <v>57</v>
      </c>
      <c r="E1203" s="14"/>
      <c r="F1203" s="15">
        <v>1.0</v>
      </c>
      <c r="G1203" s="37" t="s">
        <v>65</v>
      </c>
      <c r="H1203" s="31" t="e">
        <v>#N/A</v>
      </c>
      <c r="I1203" s="31" t="e">
        <v>#N/A</v>
      </c>
    </row>
    <row r="1204">
      <c r="A1204" s="11">
        <v>46151.653041805555</v>
      </c>
      <c r="B1204" s="9" t="s">
        <v>76</v>
      </c>
      <c r="C1204" s="9" t="s">
        <v>228</v>
      </c>
      <c r="D1204" s="9" t="s">
        <v>19</v>
      </c>
      <c r="E1204" s="14"/>
      <c r="F1204" s="15">
        <v>1.0</v>
      </c>
      <c r="G1204" s="37" t="s">
        <v>65</v>
      </c>
      <c r="H1204" s="31" t="e">
        <v>#N/A</v>
      </c>
      <c r="I1204" s="31" t="e">
        <v>#N/A</v>
      </c>
    </row>
    <row r="1205">
      <c r="A1205" s="11">
        <v>46151.65567328704</v>
      </c>
      <c r="B1205" s="9" t="s">
        <v>385</v>
      </c>
      <c r="C1205" s="9" t="s">
        <v>114</v>
      </c>
      <c r="D1205" s="37" t="s">
        <v>57</v>
      </c>
      <c r="E1205" s="54" t="s">
        <v>491</v>
      </c>
      <c r="F1205" s="15">
        <v>1.0</v>
      </c>
      <c r="G1205" s="37" t="s">
        <v>65</v>
      </c>
      <c r="H1205" s="31" t="e">
        <v>#N/A</v>
      </c>
      <c r="I1205" s="31" t="e">
        <v>#N/A</v>
      </c>
    </row>
    <row r="1206">
      <c r="A1206" s="11">
        <v>46151.65757865741</v>
      </c>
      <c r="B1206" s="9" t="s">
        <v>204</v>
      </c>
      <c r="C1206" s="9" t="s">
        <v>174</v>
      </c>
      <c r="D1206" s="37" t="s">
        <v>57</v>
      </c>
      <c r="E1206" s="54" t="s">
        <v>206</v>
      </c>
      <c r="F1206" s="15">
        <v>1.0</v>
      </c>
      <c r="G1206" s="37" t="s">
        <v>65</v>
      </c>
      <c r="H1206" s="31" t="e">
        <v>#N/A</v>
      </c>
      <c r="I1206" s="31" t="e">
        <v>#N/A</v>
      </c>
    </row>
    <row r="1207">
      <c r="A1207" s="11">
        <v>46151.66586233796</v>
      </c>
      <c r="B1207" s="9" t="s">
        <v>195</v>
      </c>
      <c r="C1207" s="9" t="s">
        <v>205</v>
      </c>
      <c r="D1207" s="37" t="s">
        <v>57</v>
      </c>
      <c r="E1207" s="14"/>
      <c r="F1207" s="15">
        <v>1.0</v>
      </c>
      <c r="G1207" s="37" t="s">
        <v>65</v>
      </c>
      <c r="H1207" s="31" t="e">
        <v>#N/A</v>
      </c>
      <c r="I1207" s="31" t="e">
        <v>#N/A</v>
      </c>
    </row>
    <row r="1208">
      <c r="A1208" s="11">
        <v>46151.6756187037</v>
      </c>
      <c r="B1208" s="9" t="s">
        <v>187</v>
      </c>
      <c r="C1208" s="9" t="s">
        <v>162</v>
      </c>
      <c r="D1208" s="9" t="s">
        <v>19</v>
      </c>
      <c r="E1208" s="54" t="s">
        <v>492</v>
      </c>
      <c r="F1208" s="15">
        <v>1.0</v>
      </c>
      <c r="G1208" s="37" t="s">
        <v>65</v>
      </c>
      <c r="H1208" s="31" t="e">
        <v>#N/A</v>
      </c>
      <c r="I1208" s="31" t="e">
        <v>#N/A</v>
      </c>
    </row>
    <row r="1209">
      <c r="A1209" s="11">
        <v>46151.676165173616</v>
      </c>
      <c r="B1209" s="9" t="s">
        <v>344</v>
      </c>
      <c r="C1209" s="9" t="s">
        <v>308</v>
      </c>
      <c r="D1209" s="37" t="s">
        <v>57</v>
      </c>
      <c r="E1209" s="54" t="s">
        <v>122</v>
      </c>
      <c r="F1209" s="15">
        <v>1.0</v>
      </c>
      <c r="G1209" s="37" t="s">
        <v>65</v>
      </c>
      <c r="H1209" s="31" t="e">
        <v>#N/A</v>
      </c>
      <c r="I1209" s="31" t="e">
        <v>#N/A</v>
      </c>
    </row>
    <row r="1210">
      <c r="A1210" s="11">
        <v>46151.67678834491</v>
      </c>
      <c r="B1210" s="9" t="s">
        <v>76</v>
      </c>
      <c r="C1210" s="9" t="s">
        <v>424</v>
      </c>
      <c r="D1210" s="37" t="s">
        <v>57</v>
      </c>
      <c r="E1210" s="14"/>
      <c r="F1210" s="15">
        <v>1.0</v>
      </c>
      <c r="G1210" s="37" t="s">
        <v>65</v>
      </c>
      <c r="H1210" s="31" t="e">
        <v>#N/A</v>
      </c>
      <c r="I1210" s="31" t="e">
        <v>#N/A</v>
      </c>
    </row>
    <row r="1211">
      <c r="A1211" s="11">
        <v>46151.6769602662</v>
      </c>
      <c r="B1211" s="9" t="s">
        <v>218</v>
      </c>
      <c r="C1211" s="9" t="s">
        <v>228</v>
      </c>
      <c r="D1211" s="37" t="s">
        <v>57</v>
      </c>
      <c r="E1211" s="14"/>
      <c r="F1211" s="15">
        <v>1.0</v>
      </c>
      <c r="G1211" s="37" t="s">
        <v>65</v>
      </c>
      <c r="H1211" s="31" t="e">
        <v>#N/A</v>
      </c>
      <c r="I1211" s="31" t="e">
        <v>#N/A</v>
      </c>
    </row>
    <row r="1212">
      <c r="A1212" s="11">
        <v>46151.68195974537</v>
      </c>
      <c r="B1212" s="9" t="s">
        <v>260</v>
      </c>
      <c r="C1212" s="9" t="s">
        <v>266</v>
      </c>
      <c r="D1212" s="37" t="s">
        <v>57</v>
      </c>
      <c r="E1212" s="14"/>
      <c r="F1212" s="15">
        <v>1.0</v>
      </c>
      <c r="G1212" s="37" t="s">
        <v>65</v>
      </c>
      <c r="H1212" s="31" t="e">
        <v>#N/A</v>
      </c>
      <c r="I1212" s="31" t="e">
        <v>#N/A</v>
      </c>
    </row>
    <row r="1213">
      <c r="A1213" s="11">
        <v>46151.682728472224</v>
      </c>
      <c r="B1213" s="9" t="s">
        <v>142</v>
      </c>
      <c r="C1213" s="9" t="s">
        <v>151</v>
      </c>
      <c r="D1213" s="9" t="s">
        <v>19</v>
      </c>
      <c r="E1213" s="14"/>
      <c r="F1213" s="15">
        <v>1.0</v>
      </c>
      <c r="G1213" s="37" t="s">
        <v>65</v>
      </c>
      <c r="H1213" s="31" t="e">
        <v>#N/A</v>
      </c>
      <c r="I1213" s="31" t="e">
        <v>#N/A</v>
      </c>
    </row>
    <row r="1214">
      <c r="A1214" s="11">
        <v>46151.68838571759</v>
      </c>
      <c r="B1214" s="9" t="s">
        <v>385</v>
      </c>
      <c r="C1214" s="9" t="s">
        <v>253</v>
      </c>
      <c r="D1214" s="37" t="s">
        <v>57</v>
      </c>
      <c r="E1214" s="54" t="s">
        <v>493</v>
      </c>
      <c r="F1214" s="15">
        <v>1.0</v>
      </c>
      <c r="G1214" s="37" t="s">
        <v>65</v>
      </c>
      <c r="H1214" s="31" t="e">
        <v>#N/A</v>
      </c>
      <c r="I1214" s="31" t="e">
        <v>#N/A</v>
      </c>
    </row>
    <row r="1215">
      <c r="A1215" s="11">
        <v>46151.68971041667</v>
      </c>
      <c r="B1215" s="9" t="s">
        <v>142</v>
      </c>
      <c r="C1215" s="9" t="s">
        <v>228</v>
      </c>
      <c r="D1215" s="9" t="s">
        <v>19</v>
      </c>
      <c r="E1215" s="14"/>
      <c r="F1215" s="15">
        <v>1.0</v>
      </c>
      <c r="G1215" s="37" t="s">
        <v>65</v>
      </c>
      <c r="H1215" s="31" t="e">
        <v>#N/A</v>
      </c>
      <c r="I1215" s="31" t="e">
        <v>#N/A</v>
      </c>
    </row>
    <row r="1216">
      <c r="A1216" s="11">
        <v>46151.69659388889</v>
      </c>
      <c r="B1216" s="9" t="s">
        <v>183</v>
      </c>
      <c r="C1216" s="9" t="s">
        <v>195</v>
      </c>
      <c r="D1216" s="9" t="s">
        <v>19</v>
      </c>
      <c r="E1216" s="54" t="s">
        <v>122</v>
      </c>
      <c r="F1216" s="15">
        <v>1.0</v>
      </c>
      <c r="G1216" s="37" t="s">
        <v>65</v>
      </c>
      <c r="H1216" s="31" t="e">
        <v>#N/A</v>
      </c>
      <c r="I1216" s="31" t="e">
        <v>#N/A</v>
      </c>
    </row>
    <row r="1217">
      <c r="A1217" s="11">
        <v>46151.69736630787</v>
      </c>
      <c r="B1217" s="9" t="s">
        <v>76</v>
      </c>
      <c r="C1217" s="9" t="s">
        <v>284</v>
      </c>
      <c r="D1217" s="37" t="s">
        <v>57</v>
      </c>
      <c r="E1217" s="14"/>
      <c r="F1217" s="15">
        <v>1.0</v>
      </c>
      <c r="G1217" s="37" t="s">
        <v>65</v>
      </c>
      <c r="H1217" s="31" t="e">
        <v>#N/A</v>
      </c>
      <c r="I1217" s="31" t="e">
        <v>#N/A</v>
      </c>
    </row>
    <row r="1218">
      <c r="A1218" s="11">
        <v>46151.71023303241</v>
      </c>
      <c r="B1218" s="9" t="s">
        <v>54</v>
      </c>
      <c r="C1218" s="9" t="s">
        <v>142</v>
      </c>
      <c r="D1218" s="37" t="s">
        <v>57</v>
      </c>
      <c r="E1218" s="14"/>
      <c r="F1218" s="15">
        <v>1.0</v>
      </c>
      <c r="G1218" s="37" t="s">
        <v>65</v>
      </c>
      <c r="H1218" s="31" t="e">
        <v>#N/A</v>
      </c>
      <c r="I1218" s="31" t="e">
        <v>#N/A</v>
      </c>
    </row>
    <row r="1219">
      <c r="A1219" s="11">
        <v>46151.72376872685</v>
      </c>
      <c r="B1219" s="9" t="s">
        <v>96</v>
      </c>
      <c r="C1219" s="9" t="s">
        <v>410</v>
      </c>
      <c r="D1219" s="37" t="s">
        <v>57</v>
      </c>
      <c r="E1219" s="14"/>
      <c r="F1219" s="15">
        <v>1.0</v>
      </c>
      <c r="G1219" s="37" t="s">
        <v>65</v>
      </c>
      <c r="H1219" s="31" t="e">
        <v>#N/A</v>
      </c>
      <c r="I1219" s="31" t="e">
        <v>#N/A</v>
      </c>
    </row>
    <row r="1220">
      <c r="A1220" s="11">
        <v>46151.72386539352</v>
      </c>
      <c r="B1220" s="9" t="s">
        <v>294</v>
      </c>
      <c r="C1220" s="9" t="s">
        <v>195</v>
      </c>
      <c r="D1220" s="37" t="s">
        <v>57</v>
      </c>
      <c r="E1220" s="14"/>
      <c r="F1220" s="15">
        <v>1.0</v>
      </c>
      <c r="G1220" s="37" t="s">
        <v>65</v>
      </c>
      <c r="H1220" s="31" t="e">
        <v>#N/A</v>
      </c>
      <c r="I1220" s="31" t="e">
        <v>#N/A</v>
      </c>
    </row>
    <row r="1221">
      <c r="A1221" s="11">
        <v>46151.72836363426</v>
      </c>
      <c r="B1221" s="9" t="s">
        <v>61</v>
      </c>
      <c r="C1221" s="9" t="s">
        <v>133</v>
      </c>
      <c r="D1221" s="9" t="s">
        <v>19</v>
      </c>
      <c r="E1221" s="14"/>
      <c r="F1221" s="15">
        <v>1.0</v>
      </c>
      <c r="G1221" s="37" t="s">
        <v>65</v>
      </c>
      <c r="H1221" s="31" t="e">
        <v>#N/A</v>
      </c>
      <c r="I1221" s="31" t="e">
        <v>#N/A</v>
      </c>
    </row>
    <row r="1222">
      <c r="A1222" s="11">
        <v>46151.73920292824</v>
      </c>
      <c r="B1222" s="9" t="s">
        <v>347</v>
      </c>
      <c r="C1222" s="9" t="s">
        <v>260</v>
      </c>
      <c r="D1222" s="9" t="s">
        <v>19</v>
      </c>
      <c r="E1222" s="14"/>
      <c r="F1222" s="15">
        <v>1.0</v>
      </c>
      <c r="G1222" s="37" t="s">
        <v>65</v>
      </c>
      <c r="H1222" s="31" t="e">
        <v>#N/A</v>
      </c>
      <c r="I1222" s="31" t="e">
        <v>#N/A</v>
      </c>
    </row>
    <row r="1223">
      <c r="A1223" s="11">
        <v>46151.75332613426</v>
      </c>
      <c r="B1223" s="9" t="s">
        <v>110</v>
      </c>
      <c r="C1223" s="9" t="s">
        <v>253</v>
      </c>
      <c r="D1223" s="37" t="s">
        <v>57</v>
      </c>
      <c r="E1223" s="14"/>
      <c r="F1223" s="15">
        <v>1.0</v>
      </c>
      <c r="G1223" s="37" t="s">
        <v>65</v>
      </c>
      <c r="H1223" s="31" t="e">
        <v>#N/A</v>
      </c>
      <c r="I1223" s="31" t="e">
        <v>#N/A</v>
      </c>
    </row>
    <row r="1224">
      <c r="A1224" s="11">
        <v>46151.75552329861</v>
      </c>
      <c r="B1224" s="9" t="s">
        <v>264</v>
      </c>
      <c r="C1224" s="9" t="s">
        <v>294</v>
      </c>
      <c r="D1224" s="37" t="s">
        <v>57</v>
      </c>
      <c r="E1224" s="54" t="s">
        <v>112</v>
      </c>
      <c r="F1224" s="15">
        <v>1.0</v>
      </c>
      <c r="G1224" s="37" t="s">
        <v>65</v>
      </c>
      <c r="H1224" s="31" t="e">
        <v>#N/A</v>
      </c>
      <c r="I1224" s="31" t="e">
        <v>#N/A</v>
      </c>
    </row>
    <row r="1225">
      <c r="A1225" s="11">
        <v>46151.76116519676</v>
      </c>
      <c r="B1225" s="9" t="s">
        <v>347</v>
      </c>
      <c r="C1225" s="9" t="s">
        <v>133</v>
      </c>
      <c r="D1225" s="9" t="s">
        <v>19</v>
      </c>
      <c r="E1225" s="14"/>
      <c r="F1225" s="15">
        <v>1.0</v>
      </c>
      <c r="G1225" s="37" t="s">
        <v>65</v>
      </c>
      <c r="H1225" s="31" t="e">
        <v>#N/A</v>
      </c>
      <c r="I1225" s="31" t="e">
        <v>#N/A</v>
      </c>
    </row>
    <row r="1226">
      <c r="A1226" s="11">
        <v>46151.780147881946</v>
      </c>
      <c r="B1226" s="9" t="s">
        <v>264</v>
      </c>
      <c r="C1226" s="9" t="s">
        <v>253</v>
      </c>
      <c r="D1226" s="37" t="s">
        <v>57</v>
      </c>
      <c r="E1226" s="54" t="s">
        <v>112</v>
      </c>
      <c r="F1226" s="15">
        <v>1.0</v>
      </c>
      <c r="G1226" s="37" t="s">
        <v>65</v>
      </c>
      <c r="H1226" s="31" t="e">
        <v>#N/A</v>
      </c>
      <c r="I1226" s="31" t="e">
        <v>#N/A</v>
      </c>
    </row>
    <row r="1227">
      <c r="A1227" s="11">
        <v>46151.78123508102</v>
      </c>
      <c r="B1227" s="9" t="s">
        <v>96</v>
      </c>
      <c r="C1227" s="9" t="s">
        <v>114</v>
      </c>
      <c r="D1227" s="37" t="s">
        <v>57</v>
      </c>
      <c r="E1227" s="14"/>
      <c r="F1227" s="15">
        <v>1.0</v>
      </c>
      <c r="G1227" s="37" t="s">
        <v>65</v>
      </c>
      <c r="H1227" s="31" t="e">
        <v>#N/A</v>
      </c>
      <c r="I1227" s="31" t="e">
        <v>#N/A</v>
      </c>
    </row>
    <row r="1228">
      <c r="A1228" s="11">
        <v>46151.78321113426</v>
      </c>
      <c r="B1228" s="9" t="s">
        <v>245</v>
      </c>
      <c r="C1228" s="9" t="s">
        <v>235</v>
      </c>
      <c r="D1228" s="37" t="s">
        <v>57</v>
      </c>
      <c r="E1228" s="14"/>
      <c r="F1228" s="15">
        <v>1.0</v>
      </c>
      <c r="G1228" s="37" t="s">
        <v>65</v>
      </c>
      <c r="H1228" s="31" t="e">
        <v>#N/A</v>
      </c>
      <c r="I1228" s="31" t="e">
        <v>#N/A</v>
      </c>
    </row>
    <row r="1229">
      <c r="A1229" s="11">
        <v>46151.78684534722</v>
      </c>
      <c r="B1229" s="9" t="s">
        <v>166</v>
      </c>
      <c r="C1229" s="9" t="s">
        <v>66</v>
      </c>
      <c r="D1229" s="9" t="s">
        <v>19</v>
      </c>
      <c r="E1229" s="54" t="s">
        <v>122</v>
      </c>
      <c r="F1229" s="15">
        <v>1.0</v>
      </c>
      <c r="G1229" s="37" t="s">
        <v>65</v>
      </c>
      <c r="H1229" s="31" t="e">
        <v>#N/A</v>
      </c>
      <c r="I1229" s="31" t="e">
        <v>#N/A</v>
      </c>
    </row>
    <row r="1230">
      <c r="A1230" s="11">
        <v>46151.79465898148</v>
      </c>
      <c r="B1230" s="9" t="s">
        <v>264</v>
      </c>
      <c r="C1230" s="9" t="s">
        <v>249</v>
      </c>
      <c r="D1230" s="9" t="s">
        <v>19</v>
      </c>
      <c r="E1230" s="54" t="s">
        <v>112</v>
      </c>
      <c r="F1230" s="15">
        <v>1.0</v>
      </c>
      <c r="G1230" s="37" t="s">
        <v>65</v>
      </c>
      <c r="H1230" s="31" t="e">
        <v>#N/A</v>
      </c>
      <c r="I1230" s="31" t="e">
        <v>#N/A</v>
      </c>
    </row>
    <row r="1231">
      <c r="A1231" s="11">
        <v>46151.83185104167</v>
      </c>
      <c r="B1231" s="9" t="s">
        <v>83</v>
      </c>
      <c r="C1231" s="9" t="s">
        <v>347</v>
      </c>
      <c r="D1231" s="9" t="s">
        <v>19</v>
      </c>
      <c r="E1231" s="54" t="s">
        <v>122</v>
      </c>
      <c r="F1231" s="15">
        <v>1.0</v>
      </c>
      <c r="G1231" s="37" t="s">
        <v>65</v>
      </c>
      <c r="H1231" s="31" t="e">
        <v>#N/A</v>
      </c>
      <c r="I1231" s="31" t="e">
        <v>#N/A</v>
      </c>
    </row>
    <row r="1232">
      <c r="A1232" s="11">
        <v>46151.849008171295</v>
      </c>
      <c r="B1232" s="9" t="s">
        <v>347</v>
      </c>
      <c r="C1232" s="9" t="s">
        <v>235</v>
      </c>
      <c r="D1232" s="9" t="s">
        <v>19</v>
      </c>
      <c r="E1232" s="14"/>
      <c r="F1232" s="15">
        <v>1.0</v>
      </c>
      <c r="G1232" s="37" t="s">
        <v>65</v>
      </c>
      <c r="H1232" s="31" t="e">
        <v>#N/A</v>
      </c>
      <c r="I1232" s="31" t="e">
        <v>#N/A</v>
      </c>
    </row>
    <row r="1233">
      <c r="A1233" s="11">
        <v>46151.85865358796</v>
      </c>
      <c r="B1233" s="9" t="s">
        <v>94</v>
      </c>
      <c r="C1233" s="9" t="s">
        <v>344</v>
      </c>
      <c r="D1233" s="9" t="s">
        <v>19</v>
      </c>
      <c r="E1233" s="14"/>
      <c r="F1233" s="15">
        <v>1.0</v>
      </c>
      <c r="G1233" s="37" t="s">
        <v>65</v>
      </c>
      <c r="H1233" s="31" t="e">
        <v>#N/A</v>
      </c>
      <c r="I1233" s="31" t="e">
        <v>#N/A</v>
      </c>
    </row>
    <row r="1234">
      <c r="A1234" s="11">
        <v>46151.86983810185</v>
      </c>
      <c r="B1234" s="9" t="s">
        <v>249</v>
      </c>
      <c r="C1234" s="9" t="s">
        <v>219</v>
      </c>
      <c r="D1234" s="37" t="s">
        <v>57</v>
      </c>
      <c r="E1234" s="14"/>
      <c r="F1234" s="15">
        <v>1.0</v>
      </c>
      <c r="G1234" s="37" t="s">
        <v>65</v>
      </c>
      <c r="H1234" s="31" t="e">
        <v>#N/A</v>
      </c>
      <c r="I1234" s="31" t="e">
        <v>#N/A</v>
      </c>
    </row>
    <row r="1235">
      <c r="A1235" s="11">
        <v>46151.893395949075</v>
      </c>
      <c r="B1235" s="9" t="s">
        <v>96</v>
      </c>
      <c r="C1235" s="9" t="s">
        <v>264</v>
      </c>
      <c r="D1235" s="9" t="s">
        <v>19</v>
      </c>
      <c r="E1235" s="14"/>
      <c r="F1235" s="15">
        <v>1.0</v>
      </c>
      <c r="G1235" s="37" t="s">
        <v>65</v>
      </c>
      <c r="H1235" s="31" t="e">
        <v>#N/A</v>
      </c>
      <c r="I1235" s="31" t="e">
        <v>#N/A</v>
      </c>
    </row>
    <row r="1236">
      <c r="A1236" s="11">
        <v>46151.900390358795</v>
      </c>
      <c r="B1236" s="9" t="s">
        <v>214</v>
      </c>
      <c r="C1236" s="9" t="s">
        <v>409</v>
      </c>
      <c r="D1236" s="9" t="s">
        <v>19</v>
      </c>
      <c r="E1236" s="14"/>
      <c r="F1236" s="15">
        <v>1.0</v>
      </c>
      <c r="G1236" s="37" t="s">
        <v>65</v>
      </c>
      <c r="H1236" s="31" t="e">
        <v>#N/A</v>
      </c>
      <c r="I1236" s="31" t="e">
        <v>#N/A</v>
      </c>
    </row>
    <row r="1237">
      <c r="A1237" s="11">
        <v>46151.90260071759</v>
      </c>
      <c r="B1237" s="9" t="s">
        <v>271</v>
      </c>
      <c r="C1237" s="9" t="s">
        <v>277</v>
      </c>
      <c r="D1237" s="9" t="s">
        <v>19</v>
      </c>
      <c r="E1237" s="54" t="s">
        <v>494</v>
      </c>
      <c r="F1237" s="15">
        <v>1.0</v>
      </c>
      <c r="G1237" s="37" t="s">
        <v>65</v>
      </c>
      <c r="H1237" s="31" t="e">
        <v>#N/A</v>
      </c>
      <c r="I1237" s="31" t="e">
        <v>#N/A</v>
      </c>
    </row>
    <row r="1238">
      <c r="A1238" s="11">
        <v>46151.90783703704</v>
      </c>
      <c r="B1238" s="9" t="s">
        <v>219</v>
      </c>
      <c r="C1238" s="9" t="s">
        <v>233</v>
      </c>
      <c r="D1238" s="37" t="s">
        <v>57</v>
      </c>
      <c r="E1238" s="14"/>
      <c r="F1238" s="15">
        <v>1.0</v>
      </c>
      <c r="G1238" s="37" t="s">
        <v>65</v>
      </c>
      <c r="H1238" s="31" t="e">
        <v>#N/A</v>
      </c>
      <c r="I1238" s="31" t="e">
        <v>#N/A</v>
      </c>
    </row>
    <row r="1239">
      <c r="A1239" s="11">
        <v>46151.92617622685</v>
      </c>
      <c r="B1239" s="9" t="s">
        <v>271</v>
      </c>
      <c r="C1239" s="9" t="s">
        <v>183</v>
      </c>
      <c r="D1239" s="9" t="s">
        <v>19</v>
      </c>
      <c r="E1239" s="54" t="s">
        <v>122</v>
      </c>
      <c r="F1239" s="15">
        <v>1.0</v>
      </c>
      <c r="G1239" s="37" t="s">
        <v>65</v>
      </c>
      <c r="H1239" s="31" t="e">
        <v>#N/A</v>
      </c>
      <c r="I1239" s="31" t="e">
        <v>#N/A</v>
      </c>
    </row>
    <row r="1240">
      <c r="A1240" s="11">
        <v>46151.93397619213</v>
      </c>
      <c r="B1240" s="9" t="s">
        <v>233</v>
      </c>
      <c r="C1240" s="9" t="s">
        <v>214</v>
      </c>
      <c r="D1240" s="37" t="s">
        <v>57</v>
      </c>
      <c r="E1240" s="14"/>
      <c r="F1240" s="15">
        <v>1.0</v>
      </c>
      <c r="G1240" s="37" t="s">
        <v>65</v>
      </c>
      <c r="H1240" s="31" t="e">
        <v>#N/A</v>
      </c>
      <c r="I1240" s="31" t="e">
        <v>#N/A</v>
      </c>
    </row>
    <row r="1241">
      <c r="A1241" s="11">
        <v>46151.94753975695</v>
      </c>
      <c r="B1241" s="9" t="s">
        <v>264</v>
      </c>
      <c r="C1241" s="9" t="s">
        <v>181</v>
      </c>
      <c r="D1241" s="37" t="s">
        <v>57</v>
      </c>
      <c r="E1241" s="54" t="s">
        <v>122</v>
      </c>
      <c r="F1241" s="15">
        <v>1.0</v>
      </c>
      <c r="G1241" s="37" t="s">
        <v>65</v>
      </c>
      <c r="H1241" s="31" t="e">
        <v>#N/A</v>
      </c>
      <c r="I1241" s="31" t="e">
        <v>#N/A</v>
      </c>
    </row>
    <row r="1242">
      <c r="A1242" s="11">
        <v>46151.95920416666</v>
      </c>
      <c r="B1242" s="9" t="s">
        <v>184</v>
      </c>
      <c r="C1242" s="9" t="s">
        <v>233</v>
      </c>
      <c r="D1242" s="37" t="s">
        <v>57</v>
      </c>
      <c r="E1242" s="14"/>
      <c r="F1242" s="15">
        <v>1.0</v>
      </c>
      <c r="G1242" s="37" t="s">
        <v>65</v>
      </c>
      <c r="H1242" s="31" t="e">
        <v>#N/A</v>
      </c>
      <c r="I1242" s="31" t="e">
        <v>#N/A</v>
      </c>
    </row>
    <row r="1243">
      <c r="A1243" s="11">
        <v>46151.966913703705</v>
      </c>
      <c r="B1243" s="9" t="s">
        <v>214</v>
      </c>
      <c r="C1243" s="9" t="s">
        <v>190</v>
      </c>
      <c r="D1243" s="9" t="s">
        <v>19</v>
      </c>
      <c r="E1243" s="14"/>
      <c r="F1243" s="15">
        <v>1.0</v>
      </c>
      <c r="G1243" s="37" t="s">
        <v>65</v>
      </c>
      <c r="H1243" s="31" t="e">
        <v>#N/A</v>
      </c>
      <c r="I1243" s="31" t="e">
        <v>#N/A</v>
      </c>
    </row>
    <row r="1244">
      <c r="A1244" s="11">
        <v>46151.98150432871</v>
      </c>
      <c r="B1244" s="9" t="s">
        <v>125</v>
      </c>
      <c r="C1244" s="9" t="s">
        <v>190</v>
      </c>
      <c r="D1244" s="9" t="s">
        <v>19</v>
      </c>
      <c r="E1244" s="54" t="s">
        <v>272</v>
      </c>
      <c r="F1244" s="15">
        <v>1.0</v>
      </c>
      <c r="G1244" s="37" t="s">
        <v>65</v>
      </c>
      <c r="H1244" s="31" t="e">
        <v>#N/A</v>
      </c>
      <c r="I1244" s="31" t="e">
        <v>#N/A</v>
      </c>
    </row>
    <row r="1245">
      <c r="A1245" s="11">
        <v>46151.98479619213</v>
      </c>
      <c r="B1245" s="9" t="s">
        <v>359</v>
      </c>
      <c r="C1245" s="9" t="s">
        <v>166</v>
      </c>
      <c r="D1245" s="37" t="s">
        <v>57</v>
      </c>
      <c r="E1245" s="54" t="s">
        <v>140</v>
      </c>
      <c r="F1245" s="15">
        <v>1.0</v>
      </c>
      <c r="G1245" s="37" t="s">
        <v>65</v>
      </c>
      <c r="H1245" s="31" t="e">
        <v>#N/A</v>
      </c>
      <c r="I1245" s="31" t="e">
        <v>#N/A</v>
      </c>
    </row>
    <row r="1246">
      <c r="A1246" s="11">
        <v>46151.99615811343</v>
      </c>
      <c r="B1246" s="9" t="s">
        <v>184</v>
      </c>
      <c r="C1246" s="9" t="s">
        <v>214</v>
      </c>
      <c r="D1246" s="37" t="s">
        <v>57</v>
      </c>
      <c r="E1246" s="14"/>
      <c r="F1246" s="15">
        <v>1.0</v>
      </c>
      <c r="G1246" s="37" t="s">
        <v>65</v>
      </c>
      <c r="H1246" s="31" t="e">
        <v>#N/A</v>
      </c>
      <c r="I1246" s="31" t="e">
        <v>#N/A</v>
      </c>
    </row>
    <row r="1247">
      <c r="A1247" s="11">
        <v>46151.99844417824</v>
      </c>
      <c r="B1247" s="9" t="s">
        <v>269</v>
      </c>
      <c r="C1247" s="9" t="s">
        <v>66</v>
      </c>
      <c r="D1247" s="9" t="s">
        <v>19</v>
      </c>
      <c r="E1247" s="14"/>
      <c r="F1247" s="15">
        <v>1.0</v>
      </c>
      <c r="G1247" s="37" t="s">
        <v>65</v>
      </c>
      <c r="H1247" s="31" t="e">
        <v>#N/A</v>
      </c>
      <c r="I1247" s="31" t="e">
        <v>#N/A</v>
      </c>
    </row>
    <row r="1248">
      <c r="A1248" s="11">
        <v>46152.02544576389</v>
      </c>
      <c r="B1248" s="9" t="s">
        <v>71</v>
      </c>
      <c r="C1248" s="9" t="s">
        <v>190</v>
      </c>
      <c r="D1248" s="9" t="s">
        <v>19</v>
      </c>
      <c r="E1248" s="14"/>
      <c r="F1248" s="15">
        <v>1.0</v>
      </c>
      <c r="G1248" s="37" t="s">
        <v>65</v>
      </c>
      <c r="H1248" s="31" t="e">
        <v>#N/A</v>
      </c>
      <c r="I1248" s="31" t="e">
        <v>#N/A</v>
      </c>
    </row>
    <row r="1249">
      <c r="A1249" s="11">
        <v>46152.04132446759</v>
      </c>
      <c r="B1249" s="9" t="s">
        <v>308</v>
      </c>
      <c r="C1249" s="9" t="s">
        <v>180</v>
      </c>
      <c r="D1249" s="9" t="s">
        <v>19</v>
      </c>
      <c r="E1249" s="14"/>
      <c r="F1249" s="15">
        <v>1.0</v>
      </c>
      <c r="G1249" s="37" t="s">
        <v>65</v>
      </c>
      <c r="H1249" s="31" t="e">
        <v>#N/A</v>
      </c>
      <c r="I1249" s="31" t="e">
        <v>#N/A</v>
      </c>
    </row>
    <row r="1250">
      <c r="A1250" s="11">
        <v>46152.05456775463</v>
      </c>
      <c r="B1250" s="9" t="s">
        <v>60</v>
      </c>
      <c r="C1250" s="9" t="s">
        <v>308</v>
      </c>
      <c r="D1250" s="9" t="s">
        <v>19</v>
      </c>
      <c r="E1250" s="14"/>
      <c r="F1250" s="15">
        <v>1.0</v>
      </c>
      <c r="G1250" s="37" t="s">
        <v>65</v>
      </c>
      <c r="H1250" s="31" t="e">
        <v>#N/A</v>
      </c>
      <c r="I1250" s="31" t="e">
        <v>#N/A</v>
      </c>
    </row>
    <row r="1251">
      <c r="A1251" s="11">
        <v>46152.06447527777</v>
      </c>
      <c r="B1251" s="9" t="s">
        <v>299</v>
      </c>
      <c r="C1251" s="9" t="s">
        <v>249</v>
      </c>
      <c r="D1251" s="9" t="s">
        <v>19</v>
      </c>
      <c r="E1251" s="14"/>
      <c r="F1251" s="15">
        <v>1.0</v>
      </c>
      <c r="G1251" s="37" t="s">
        <v>65</v>
      </c>
      <c r="H1251" s="31" t="e">
        <v>#N/A</v>
      </c>
      <c r="I1251" s="31" t="e">
        <v>#N/A</v>
      </c>
    </row>
    <row r="1252">
      <c r="A1252" s="11">
        <v>46152.09352729167</v>
      </c>
      <c r="B1252" s="9" t="s">
        <v>60</v>
      </c>
      <c r="C1252" s="9" t="s">
        <v>290</v>
      </c>
      <c r="D1252" s="37" t="s">
        <v>57</v>
      </c>
      <c r="E1252" s="14"/>
      <c r="F1252" s="15">
        <v>1.0</v>
      </c>
      <c r="G1252" s="37" t="s">
        <v>65</v>
      </c>
      <c r="H1252" s="31" t="e">
        <v>#N/A</v>
      </c>
      <c r="I1252" s="31" t="e">
        <v>#N/A</v>
      </c>
    </row>
    <row r="1253">
      <c r="A1253" s="11">
        <v>46152.19650266204</v>
      </c>
      <c r="B1253" s="9" t="s">
        <v>107</v>
      </c>
      <c r="C1253" s="9" t="s">
        <v>104</v>
      </c>
      <c r="D1253" s="37" t="s">
        <v>57</v>
      </c>
      <c r="E1253" s="54" t="s">
        <v>176</v>
      </c>
      <c r="F1253" s="15">
        <v>1.0</v>
      </c>
      <c r="G1253" s="37" t="s">
        <v>65</v>
      </c>
      <c r="H1253" s="31" t="e">
        <v>#N/A</v>
      </c>
      <c r="I1253" s="31" t="e">
        <v>#N/A</v>
      </c>
    </row>
    <row r="1254">
      <c r="A1254" s="11">
        <v>46152.26380487268</v>
      </c>
      <c r="B1254" s="9" t="s">
        <v>134</v>
      </c>
      <c r="C1254" s="9" t="s">
        <v>107</v>
      </c>
      <c r="D1254" s="9" t="s">
        <v>19</v>
      </c>
      <c r="E1254" s="14"/>
      <c r="F1254" s="15">
        <v>1.0</v>
      </c>
      <c r="G1254" s="37" t="s">
        <v>65</v>
      </c>
      <c r="H1254" s="31" t="e">
        <v>#N/A</v>
      </c>
      <c r="I1254" s="31" t="e">
        <v>#N/A</v>
      </c>
    </row>
    <row r="1255">
      <c r="A1255" s="11">
        <v>46152.281185706015</v>
      </c>
      <c r="B1255" s="9" t="s">
        <v>204</v>
      </c>
      <c r="C1255" s="9" t="s">
        <v>134</v>
      </c>
      <c r="D1255" s="9" t="s">
        <v>19</v>
      </c>
      <c r="E1255" s="54" t="s">
        <v>206</v>
      </c>
      <c r="F1255" s="15">
        <v>1.0</v>
      </c>
      <c r="G1255" s="37" t="s">
        <v>65</v>
      </c>
      <c r="H1255" s="31" t="e">
        <v>#N/A</v>
      </c>
      <c r="I1255" s="31" t="e">
        <v>#N/A</v>
      </c>
    </row>
    <row r="1256">
      <c r="A1256" s="11">
        <v>46152.30567960648</v>
      </c>
      <c r="B1256" s="9" t="s">
        <v>204</v>
      </c>
      <c r="C1256" s="9" t="s">
        <v>75</v>
      </c>
      <c r="D1256" s="9" t="s">
        <v>19</v>
      </c>
      <c r="E1256" s="54" t="s">
        <v>206</v>
      </c>
      <c r="F1256" s="15">
        <v>1.0</v>
      </c>
      <c r="G1256" s="37" t="s">
        <v>65</v>
      </c>
      <c r="H1256" s="31" t="e">
        <v>#N/A</v>
      </c>
      <c r="I1256" s="31" t="e">
        <v>#N/A</v>
      </c>
    </row>
    <row r="1257">
      <c r="A1257" s="11">
        <v>46152.37206113426</v>
      </c>
      <c r="B1257" s="9" t="s">
        <v>277</v>
      </c>
      <c r="C1257" s="9" t="s">
        <v>94</v>
      </c>
      <c r="D1257" s="9" t="s">
        <v>19</v>
      </c>
      <c r="E1257" s="14"/>
      <c r="F1257" s="15">
        <v>1.0</v>
      </c>
      <c r="G1257" s="37" t="s">
        <v>65</v>
      </c>
      <c r="H1257" s="31" t="e">
        <v>#N/A</v>
      </c>
      <c r="I1257" s="31" t="e">
        <v>#N/A</v>
      </c>
    </row>
    <row r="1258">
      <c r="A1258" s="11">
        <v>46152.39476974537</v>
      </c>
      <c r="B1258" s="9" t="s">
        <v>94</v>
      </c>
      <c r="C1258" s="9" t="s">
        <v>274</v>
      </c>
      <c r="D1258" s="9" t="s">
        <v>19</v>
      </c>
      <c r="E1258" s="14"/>
      <c r="F1258" s="15">
        <v>1.0</v>
      </c>
      <c r="G1258" s="37" t="s">
        <v>65</v>
      </c>
      <c r="H1258" s="31" t="e">
        <v>#N/A</v>
      </c>
      <c r="I1258" s="31" t="e">
        <v>#N/A</v>
      </c>
    </row>
    <row r="1259">
      <c r="A1259" s="11">
        <v>46152.41160415509</v>
      </c>
      <c r="B1259" s="9" t="s">
        <v>342</v>
      </c>
      <c r="C1259" s="9" t="s">
        <v>152</v>
      </c>
      <c r="D1259" s="9" t="s">
        <v>19</v>
      </c>
      <c r="E1259" s="14"/>
      <c r="F1259" s="15">
        <v>1.0</v>
      </c>
      <c r="G1259" s="37" t="s">
        <v>65</v>
      </c>
      <c r="H1259" s="31" t="e">
        <v>#N/A</v>
      </c>
      <c r="I1259" s="31" t="e">
        <v>#N/A</v>
      </c>
    </row>
    <row r="1260">
      <c r="A1260" s="11">
        <v>46152.42115571759</v>
      </c>
      <c r="B1260" s="9" t="s">
        <v>385</v>
      </c>
      <c r="C1260" s="9" t="s">
        <v>213</v>
      </c>
      <c r="D1260" s="9" t="s">
        <v>19</v>
      </c>
      <c r="E1260" s="54" t="s">
        <v>495</v>
      </c>
      <c r="F1260" s="15">
        <v>1.0</v>
      </c>
      <c r="G1260" s="37" t="s">
        <v>65</v>
      </c>
      <c r="H1260" s="31" t="e">
        <v>#N/A</v>
      </c>
      <c r="I1260" s="31" t="e">
        <v>#N/A</v>
      </c>
    </row>
    <row r="1261">
      <c r="A1261" s="11">
        <v>46152.436893645834</v>
      </c>
      <c r="B1261" s="9" t="s">
        <v>409</v>
      </c>
      <c r="C1261" s="9" t="s">
        <v>287</v>
      </c>
      <c r="D1261" s="9" t="s">
        <v>19</v>
      </c>
      <c r="E1261" s="14"/>
      <c r="F1261" s="15">
        <v>1.0</v>
      </c>
      <c r="G1261" s="37" t="s">
        <v>65</v>
      </c>
      <c r="H1261" s="31" t="e">
        <v>#N/A</v>
      </c>
      <c r="I1261" s="31" t="e">
        <v>#N/A</v>
      </c>
    </row>
    <row r="1262">
      <c r="A1262" s="11">
        <v>46152.44223821759</v>
      </c>
      <c r="B1262" s="9" t="s">
        <v>342</v>
      </c>
      <c r="C1262" s="9" t="s">
        <v>89</v>
      </c>
      <c r="D1262" s="37" t="s">
        <v>57</v>
      </c>
      <c r="E1262" s="14"/>
      <c r="F1262" s="15">
        <v>1.0</v>
      </c>
      <c r="G1262" s="37" t="s">
        <v>65</v>
      </c>
      <c r="H1262" s="31" t="e">
        <v>#N/A</v>
      </c>
      <c r="I1262" s="31" t="e">
        <v>#N/A</v>
      </c>
    </row>
    <row r="1263">
      <c r="A1263" s="11">
        <v>46152.44240901621</v>
      </c>
      <c r="B1263" s="9" t="s">
        <v>204</v>
      </c>
      <c r="C1263" s="9" t="s">
        <v>288</v>
      </c>
      <c r="D1263" s="37" t="s">
        <v>57</v>
      </c>
      <c r="E1263" s="54" t="s">
        <v>206</v>
      </c>
      <c r="F1263" s="15">
        <v>1.0</v>
      </c>
      <c r="G1263" s="37" t="s">
        <v>65</v>
      </c>
      <c r="H1263" s="31" t="e">
        <v>#N/A</v>
      </c>
      <c r="I1263" s="31" t="e">
        <v>#N/A</v>
      </c>
    </row>
    <row r="1264">
      <c r="A1264" s="11">
        <v>46152.4628033912</v>
      </c>
      <c r="B1264" s="9" t="s">
        <v>410</v>
      </c>
      <c r="C1264" s="9" t="s">
        <v>385</v>
      </c>
      <c r="D1264" s="9" t="s">
        <v>19</v>
      </c>
      <c r="E1264" s="54" t="s">
        <v>176</v>
      </c>
      <c r="F1264" s="15">
        <v>1.0</v>
      </c>
      <c r="G1264" s="37" t="s">
        <v>65</v>
      </c>
      <c r="H1264" s="31" t="e">
        <v>#N/A</v>
      </c>
      <c r="I1264" s="31" t="e">
        <v>#N/A</v>
      </c>
    </row>
    <row r="1265">
      <c r="A1265" s="11">
        <v>46152.46938407407</v>
      </c>
      <c r="B1265" s="9" t="s">
        <v>287</v>
      </c>
      <c r="C1265" s="9" t="s">
        <v>254</v>
      </c>
      <c r="D1265" s="9" t="s">
        <v>19</v>
      </c>
      <c r="E1265" s="54" t="s">
        <v>140</v>
      </c>
      <c r="F1265" s="15">
        <v>1.0</v>
      </c>
      <c r="G1265" s="37" t="s">
        <v>65</v>
      </c>
      <c r="H1265" s="31" t="e">
        <v>#N/A</v>
      </c>
      <c r="I1265" s="31" t="e">
        <v>#N/A</v>
      </c>
    </row>
    <row r="1266">
      <c r="A1266" s="11">
        <v>46152.47459376157</v>
      </c>
      <c r="B1266" s="9" t="s">
        <v>233</v>
      </c>
      <c r="C1266" s="9" t="s">
        <v>354</v>
      </c>
      <c r="D1266" s="9" t="s">
        <v>19</v>
      </c>
      <c r="E1266" s="14"/>
      <c r="F1266" s="15">
        <v>1.0</v>
      </c>
      <c r="G1266" s="37" t="s">
        <v>65</v>
      </c>
      <c r="H1266" s="31" t="e">
        <v>#N/A</v>
      </c>
      <c r="I1266" s="31" t="e">
        <v>#N/A</v>
      </c>
    </row>
    <row r="1267">
      <c r="A1267" s="11">
        <v>46152.47776361111</v>
      </c>
      <c r="B1267" s="9" t="s">
        <v>288</v>
      </c>
      <c r="C1267" s="9" t="s">
        <v>269</v>
      </c>
      <c r="D1267" s="9" t="s">
        <v>19</v>
      </c>
      <c r="E1267" s="14"/>
      <c r="F1267" s="15">
        <v>1.0</v>
      </c>
      <c r="G1267" s="37" t="s">
        <v>65</v>
      </c>
      <c r="H1267" s="31" t="e">
        <v>#N/A</v>
      </c>
      <c r="I1267" s="31" t="e">
        <v>#N/A</v>
      </c>
    </row>
    <row r="1268">
      <c r="A1268" s="11">
        <v>46152.49578503473</v>
      </c>
      <c r="B1268" s="9" t="s">
        <v>254</v>
      </c>
      <c r="C1268" s="9" t="s">
        <v>410</v>
      </c>
      <c r="D1268" s="37" t="s">
        <v>57</v>
      </c>
      <c r="E1268" s="54" t="s">
        <v>255</v>
      </c>
      <c r="F1268" s="15">
        <v>1.0</v>
      </c>
      <c r="G1268" s="37" t="s">
        <v>65</v>
      </c>
      <c r="H1268" s="31" t="e">
        <v>#N/A</v>
      </c>
      <c r="I1268" s="31" t="e">
        <v>#N/A</v>
      </c>
    </row>
    <row r="1269">
      <c r="A1269" s="11">
        <v>46152.50226005787</v>
      </c>
      <c r="B1269" s="9" t="s">
        <v>385</v>
      </c>
      <c r="C1269" s="9" t="s">
        <v>233</v>
      </c>
      <c r="D1269" s="37" t="s">
        <v>57</v>
      </c>
      <c r="E1269" s="54" t="s">
        <v>496</v>
      </c>
      <c r="F1269" s="15">
        <v>1.0</v>
      </c>
      <c r="G1269" s="37" t="s">
        <v>65</v>
      </c>
      <c r="H1269" s="31" t="e">
        <v>#N/A</v>
      </c>
      <c r="I1269" s="31" t="e">
        <v>#N/A</v>
      </c>
    </row>
    <row r="1270">
      <c r="A1270" s="11">
        <v>46152.5083409838</v>
      </c>
      <c r="B1270" s="9" t="s">
        <v>89</v>
      </c>
      <c r="C1270" s="9" t="s">
        <v>205</v>
      </c>
      <c r="D1270" s="37" t="s">
        <v>57</v>
      </c>
      <c r="E1270" s="54" t="s">
        <v>497</v>
      </c>
      <c r="F1270" s="15">
        <v>1.0</v>
      </c>
      <c r="G1270" s="37" t="s">
        <v>65</v>
      </c>
      <c r="H1270" s="31" t="e">
        <v>#N/A</v>
      </c>
      <c r="I1270" s="31" t="e">
        <v>#N/A</v>
      </c>
    </row>
    <row r="1271">
      <c r="A1271" s="11">
        <v>46152.52469766204</v>
      </c>
      <c r="B1271" s="9" t="s">
        <v>259</v>
      </c>
      <c r="C1271" s="9" t="s">
        <v>180</v>
      </c>
      <c r="D1271" s="9" t="s">
        <v>19</v>
      </c>
      <c r="E1271" s="54" t="s">
        <v>498</v>
      </c>
      <c r="F1271" s="15">
        <v>1.0</v>
      </c>
      <c r="G1271" s="37" t="s">
        <v>65</v>
      </c>
      <c r="H1271" s="31" t="e">
        <v>#N/A</v>
      </c>
      <c r="I1271" s="31" t="e">
        <v>#N/A</v>
      </c>
    </row>
    <row r="1272">
      <c r="A1272" s="11">
        <v>46152.53035006944</v>
      </c>
      <c r="B1272" s="9" t="s">
        <v>298</v>
      </c>
      <c r="C1272" s="9" t="s">
        <v>205</v>
      </c>
      <c r="D1272" s="9" t="s">
        <v>19</v>
      </c>
      <c r="E1272" s="14"/>
      <c r="F1272" s="15">
        <v>1.0</v>
      </c>
      <c r="G1272" s="37" t="s">
        <v>65</v>
      </c>
      <c r="H1272" s="31" t="e">
        <v>#N/A</v>
      </c>
      <c r="I1272" s="31" t="e">
        <v>#N/A</v>
      </c>
    </row>
    <row r="1273">
      <c r="A1273" s="11">
        <v>46152.534127129635</v>
      </c>
      <c r="B1273" s="9" t="s">
        <v>287</v>
      </c>
      <c r="C1273" s="9" t="s">
        <v>410</v>
      </c>
      <c r="D1273" s="37" t="s">
        <v>57</v>
      </c>
      <c r="E1273" s="54" t="s">
        <v>140</v>
      </c>
      <c r="F1273" s="15">
        <v>1.0</v>
      </c>
      <c r="G1273" s="37" t="s">
        <v>65</v>
      </c>
      <c r="H1273" s="31" t="e">
        <v>#N/A</v>
      </c>
      <c r="I1273" s="31" t="e">
        <v>#N/A</v>
      </c>
    </row>
    <row r="1274">
      <c r="A1274" s="11">
        <v>46152.54127734953</v>
      </c>
      <c r="B1274" s="9" t="s">
        <v>55</v>
      </c>
      <c r="C1274" s="9" t="s">
        <v>89</v>
      </c>
      <c r="D1274" s="9" t="s">
        <v>19</v>
      </c>
      <c r="E1274" s="54" t="s">
        <v>270</v>
      </c>
      <c r="F1274" s="15">
        <v>1.0</v>
      </c>
      <c r="G1274" s="37" t="s">
        <v>65</v>
      </c>
      <c r="H1274" s="31" t="e">
        <v>#N/A</v>
      </c>
      <c r="I1274" s="31" t="e">
        <v>#N/A</v>
      </c>
    </row>
    <row r="1275">
      <c r="A1275" s="11">
        <v>46152.54210373842</v>
      </c>
      <c r="B1275" s="9" t="s">
        <v>231</v>
      </c>
      <c r="C1275" s="9" t="s">
        <v>308</v>
      </c>
      <c r="D1275" s="9" t="s">
        <v>19</v>
      </c>
      <c r="E1275" s="14"/>
      <c r="F1275" s="15">
        <v>1.0</v>
      </c>
      <c r="G1275" s="37" t="s">
        <v>65</v>
      </c>
      <c r="H1275" s="31" t="e">
        <v>#N/A</v>
      </c>
      <c r="I1275" s="31" t="e">
        <v>#N/A</v>
      </c>
    </row>
    <row r="1276">
      <c r="A1276" s="11">
        <v>46152.556358553236</v>
      </c>
      <c r="B1276" s="9" t="s">
        <v>83</v>
      </c>
      <c r="C1276" s="9" t="s">
        <v>410</v>
      </c>
      <c r="D1276" s="9" t="s">
        <v>19</v>
      </c>
      <c r="E1276" s="54" t="s">
        <v>122</v>
      </c>
      <c r="F1276" s="15">
        <v>1.0</v>
      </c>
      <c r="H1276" s="31" t="e">
        <v>#N/A</v>
      </c>
      <c r="I1276" s="31" t="e">
        <v>#N/A</v>
      </c>
    </row>
    <row r="1277">
      <c r="A1277" s="11">
        <v>46152.563665023146</v>
      </c>
      <c r="B1277" s="9" t="s">
        <v>89</v>
      </c>
      <c r="C1277" s="9" t="s">
        <v>259</v>
      </c>
      <c r="D1277" s="37" t="s">
        <v>57</v>
      </c>
      <c r="E1277" s="54" t="s">
        <v>122</v>
      </c>
      <c r="F1277" s="15">
        <v>1.0</v>
      </c>
      <c r="G1277" s="37" t="s">
        <v>65</v>
      </c>
      <c r="H1277" s="31" t="e">
        <v>#N/A</v>
      </c>
      <c r="I1277" s="31" t="e">
        <v>#N/A</v>
      </c>
    </row>
    <row r="1278">
      <c r="A1278" s="11">
        <v>46152.57376918981</v>
      </c>
      <c r="B1278" s="9" t="s">
        <v>55</v>
      </c>
      <c r="C1278" s="9" t="s">
        <v>409</v>
      </c>
      <c r="D1278" s="9" t="s">
        <v>19</v>
      </c>
      <c r="E1278" s="54" t="s">
        <v>499</v>
      </c>
      <c r="F1278" s="15">
        <v>1.0</v>
      </c>
      <c r="G1278" s="37" t="s">
        <v>65</v>
      </c>
      <c r="H1278" s="31" t="e">
        <v>#N/A</v>
      </c>
      <c r="I1278" s="31" t="e">
        <v>#N/A</v>
      </c>
    </row>
    <row r="1279">
      <c r="A1279" s="11">
        <v>46152.589272743055</v>
      </c>
      <c r="B1279" s="9" t="s">
        <v>331</v>
      </c>
      <c r="C1279" s="9" t="s">
        <v>336</v>
      </c>
      <c r="D1279" s="37" t="s">
        <v>57</v>
      </c>
      <c r="E1279" s="14"/>
      <c r="F1279" s="15">
        <v>1.0</v>
      </c>
      <c r="G1279" s="37" t="s">
        <v>65</v>
      </c>
      <c r="H1279" s="31" t="e">
        <v>#N/A</v>
      </c>
      <c r="I1279" s="31" t="e">
        <v>#N/A</v>
      </c>
    </row>
    <row r="1280">
      <c r="A1280" s="11">
        <v>46152.63165660879</v>
      </c>
      <c r="B1280" s="9" t="s">
        <v>318</v>
      </c>
      <c r="C1280" s="9" t="s">
        <v>92</v>
      </c>
      <c r="D1280" s="9" t="s">
        <v>19</v>
      </c>
      <c r="E1280" s="14"/>
      <c r="F1280" s="15">
        <v>1.0</v>
      </c>
      <c r="G1280" s="37" t="s">
        <v>65</v>
      </c>
      <c r="H1280" s="31" t="e">
        <v>#N/A</v>
      </c>
      <c r="I1280" s="31" t="e">
        <v>#N/A</v>
      </c>
    </row>
    <row r="1281">
      <c r="A1281" s="11">
        <v>46152.635842800926</v>
      </c>
      <c r="B1281" s="9" t="s">
        <v>228</v>
      </c>
      <c r="C1281" s="9" t="s">
        <v>75</v>
      </c>
      <c r="D1281" s="37" t="s">
        <v>57</v>
      </c>
      <c r="E1281" s="14"/>
      <c r="F1281" s="15">
        <v>1.0</v>
      </c>
      <c r="H1281" s="31" t="e">
        <v>#N/A</v>
      </c>
      <c r="I1281" s="31" t="e">
        <v>#N/A</v>
      </c>
    </row>
    <row r="1282">
      <c r="A1282" s="11">
        <v>46152.64083376157</v>
      </c>
      <c r="B1282" s="9" t="s">
        <v>185</v>
      </c>
      <c r="C1282" s="9" t="s">
        <v>249</v>
      </c>
      <c r="D1282" s="9" t="s">
        <v>19</v>
      </c>
      <c r="E1282" s="14"/>
      <c r="F1282" s="15">
        <v>1.0</v>
      </c>
      <c r="G1282" s="37" t="s">
        <v>65</v>
      </c>
      <c r="H1282" s="31" t="e">
        <v>#N/A</v>
      </c>
      <c r="I1282" s="31" t="e">
        <v>#N/A</v>
      </c>
    </row>
    <row r="1283">
      <c r="A1283" s="11">
        <v>46152.64667918981</v>
      </c>
      <c r="B1283" s="9" t="s">
        <v>114</v>
      </c>
      <c r="C1283" s="9" t="s">
        <v>181</v>
      </c>
      <c r="D1283" s="9" t="s">
        <v>19</v>
      </c>
      <c r="E1283" s="14"/>
      <c r="F1283" s="15">
        <v>1.0</v>
      </c>
      <c r="G1283" s="37" t="s">
        <v>65</v>
      </c>
      <c r="H1283" s="31" t="e">
        <v>#N/A</v>
      </c>
      <c r="I1283" s="31" t="e">
        <v>#N/A</v>
      </c>
    </row>
    <row r="1284">
      <c r="A1284" s="11">
        <v>46152.66021393519</v>
      </c>
      <c r="B1284" s="9" t="s">
        <v>114</v>
      </c>
      <c r="C1284" s="9" t="s">
        <v>269</v>
      </c>
      <c r="D1284" s="9" t="s">
        <v>19</v>
      </c>
      <c r="E1284" s="14"/>
      <c r="F1284" s="15">
        <v>1.0</v>
      </c>
      <c r="G1284" s="37" t="s">
        <v>65</v>
      </c>
      <c r="H1284" s="31" t="e">
        <v>#N/A</v>
      </c>
      <c r="I1284" s="31" t="e">
        <v>#N/A</v>
      </c>
    </row>
    <row r="1285">
      <c r="A1285" s="11">
        <v>46152.66380938658</v>
      </c>
      <c r="B1285" s="9" t="s">
        <v>350</v>
      </c>
      <c r="C1285" s="9" t="s">
        <v>85</v>
      </c>
      <c r="D1285" s="37" t="s">
        <v>57</v>
      </c>
      <c r="E1285" s="14"/>
      <c r="F1285" s="15">
        <v>1.0</v>
      </c>
      <c r="G1285" s="37" t="s">
        <v>65</v>
      </c>
      <c r="H1285" s="31" t="e">
        <v>#N/A</v>
      </c>
      <c r="I1285" s="31" t="e">
        <v>#N/A</v>
      </c>
    </row>
    <row r="1286">
      <c r="A1286" s="11">
        <v>46152.703944884255</v>
      </c>
      <c r="B1286" s="9" t="s">
        <v>288</v>
      </c>
      <c r="C1286" s="9" t="s">
        <v>352</v>
      </c>
      <c r="D1286" s="9" t="s">
        <v>19</v>
      </c>
      <c r="E1286" s="14"/>
      <c r="F1286" s="15">
        <v>1.0</v>
      </c>
      <c r="G1286" s="37" t="s">
        <v>65</v>
      </c>
      <c r="H1286" s="31" t="e">
        <v>#N/A</v>
      </c>
      <c r="I1286" s="31" t="e">
        <v>#N/A</v>
      </c>
    </row>
    <row r="1287">
      <c r="A1287" s="11">
        <v>46152.72630047453</v>
      </c>
      <c r="B1287" s="9" t="s">
        <v>337</v>
      </c>
      <c r="C1287" s="9" t="s">
        <v>256</v>
      </c>
      <c r="D1287" s="37" t="s">
        <v>57</v>
      </c>
      <c r="E1287" s="54" t="s">
        <v>500</v>
      </c>
      <c r="F1287" s="15">
        <v>1.0</v>
      </c>
      <c r="G1287" s="37" t="s">
        <v>65</v>
      </c>
      <c r="H1287" s="31" t="e">
        <v>#N/A</v>
      </c>
      <c r="I1287" s="31" t="e">
        <v>#N/A</v>
      </c>
    </row>
    <row r="1288">
      <c r="A1288" s="11">
        <v>46152.751837777774</v>
      </c>
      <c r="B1288" s="9" t="s">
        <v>214</v>
      </c>
      <c r="C1288" s="9" t="s">
        <v>256</v>
      </c>
      <c r="D1288" s="9" t="s">
        <v>19</v>
      </c>
      <c r="E1288" s="14"/>
      <c r="F1288" s="15">
        <v>1.0</v>
      </c>
      <c r="G1288" s="37" t="s">
        <v>65</v>
      </c>
      <c r="H1288" s="31" t="e">
        <v>#N/A</v>
      </c>
      <c r="I1288" s="31" t="e">
        <v>#N/A</v>
      </c>
    </row>
    <row r="1289">
      <c r="A1289" s="11">
        <v>46152.770036851856</v>
      </c>
      <c r="B1289" s="9" t="s">
        <v>167</v>
      </c>
      <c r="C1289" s="9" t="s">
        <v>55</v>
      </c>
      <c r="D1289" s="9" t="s">
        <v>19</v>
      </c>
      <c r="E1289" s="54" t="s">
        <v>122</v>
      </c>
      <c r="F1289" s="15">
        <v>1.0</v>
      </c>
      <c r="G1289" s="37" t="s">
        <v>65</v>
      </c>
      <c r="H1289" s="31" t="e">
        <v>#N/A</v>
      </c>
      <c r="I1289" s="31" t="e">
        <v>#N/A</v>
      </c>
    </row>
    <row r="1290">
      <c r="A1290" s="11">
        <v>46152.80082829861</v>
      </c>
      <c r="B1290" s="9" t="s">
        <v>368</v>
      </c>
      <c r="C1290" s="9" t="s">
        <v>333</v>
      </c>
      <c r="D1290" s="37" t="s">
        <v>57</v>
      </c>
      <c r="E1290" s="14"/>
      <c r="F1290" s="15">
        <v>1.0</v>
      </c>
      <c r="G1290" s="37" t="s">
        <v>65</v>
      </c>
      <c r="H1290" s="31" t="e">
        <v>#N/A</v>
      </c>
      <c r="I1290" s="31" t="e">
        <v>#N/A</v>
      </c>
    </row>
    <row r="1291">
      <c r="A1291" s="11">
        <v>46152.812345011575</v>
      </c>
      <c r="B1291" s="9" t="s">
        <v>89</v>
      </c>
      <c r="C1291" s="9" t="s">
        <v>167</v>
      </c>
      <c r="D1291" s="37" t="s">
        <v>57</v>
      </c>
      <c r="E1291" s="14"/>
      <c r="F1291" s="15">
        <v>1.0</v>
      </c>
      <c r="G1291" s="37" t="s">
        <v>65</v>
      </c>
      <c r="H1291" s="31" t="e">
        <v>#N/A</v>
      </c>
      <c r="I1291" s="31" t="e">
        <v>#N/A</v>
      </c>
    </row>
    <row r="1292">
      <c r="A1292" s="11">
        <v>46152.82010548611</v>
      </c>
      <c r="B1292" s="9" t="s">
        <v>288</v>
      </c>
      <c r="C1292" s="9" t="s">
        <v>409</v>
      </c>
      <c r="D1292" s="9" t="s">
        <v>19</v>
      </c>
      <c r="E1292" s="14"/>
      <c r="F1292" s="15">
        <v>1.0</v>
      </c>
      <c r="G1292" s="37" t="s">
        <v>65</v>
      </c>
      <c r="H1292" s="31" t="e">
        <v>#N/A</v>
      </c>
      <c r="I1292" s="31" t="e">
        <v>#N/A</v>
      </c>
    </row>
    <row r="1293">
      <c r="A1293" s="11">
        <v>46152.84300342592</v>
      </c>
      <c r="B1293" s="9" t="s">
        <v>271</v>
      </c>
      <c r="C1293" s="9" t="s">
        <v>168</v>
      </c>
      <c r="D1293" s="9" t="s">
        <v>19</v>
      </c>
      <c r="E1293" s="54" t="s">
        <v>122</v>
      </c>
      <c r="F1293" s="15">
        <v>1.0</v>
      </c>
      <c r="G1293" s="37" t="s">
        <v>65</v>
      </c>
      <c r="H1293" s="31" t="e">
        <v>#N/A</v>
      </c>
      <c r="I1293" s="31" t="e">
        <v>#N/A</v>
      </c>
    </row>
    <row r="1294">
      <c r="A1294" s="11">
        <v>46152.8750540162</v>
      </c>
      <c r="B1294" s="9" t="s">
        <v>143</v>
      </c>
      <c r="C1294" s="9" t="s">
        <v>354</v>
      </c>
      <c r="D1294" s="37" t="s">
        <v>57</v>
      </c>
      <c r="E1294" s="54" t="s">
        <v>140</v>
      </c>
      <c r="F1294" s="15">
        <v>1.0</v>
      </c>
      <c r="G1294" s="37" t="s">
        <v>65</v>
      </c>
      <c r="H1294" s="31" t="e">
        <v>#N/A</v>
      </c>
      <c r="I1294" s="31" t="e">
        <v>#N/A</v>
      </c>
    </row>
    <row r="1295">
      <c r="A1295" s="11">
        <v>46152.876641724535</v>
      </c>
      <c r="B1295" s="9" t="s">
        <v>279</v>
      </c>
      <c r="C1295" s="9" t="s">
        <v>134</v>
      </c>
      <c r="D1295" s="37" t="s">
        <v>57</v>
      </c>
      <c r="E1295" s="14"/>
      <c r="F1295" s="15">
        <v>1.0</v>
      </c>
      <c r="G1295" s="37" t="s">
        <v>65</v>
      </c>
      <c r="H1295" s="31" t="e">
        <v>#N/A</v>
      </c>
      <c r="I1295" s="31" t="e">
        <v>#N/A</v>
      </c>
    </row>
    <row r="1296">
      <c r="A1296" s="11">
        <v>46152.87938903936</v>
      </c>
      <c r="B1296" s="9" t="s">
        <v>64</v>
      </c>
      <c r="C1296" s="9" t="s">
        <v>409</v>
      </c>
      <c r="D1296" s="37" t="s">
        <v>57</v>
      </c>
      <c r="E1296" s="54" t="s">
        <v>122</v>
      </c>
      <c r="F1296" s="15">
        <v>1.0</v>
      </c>
      <c r="G1296" s="37" t="s">
        <v>65</v>
      </c>
      <c r="H1296" s="31" t="e">
        <v>#N/A</v>
      </c>
      <c r="I1296" s="31" t="e">
        <v>#N/A</v>
      </c>
    </row>
    <row r="1297">
      <c r="A1297" s="11">
        <v>46152.89705930556</v>
      </c>
      <c r="B1297" s="9" t="s">
        <v>271</v>
      </c>
      <c r="C1297" s="9" t="s">
        <v>115</v>
      </c>
      <c r="D1297" s="9" t="s">
        <v>19</v>
      </c>
      <c r="E1297" s="54" t="s">
        <v>140</v>
      </c>
      <c r="F1297" s="15">
        <v>1.0</v>
      </c>
      <c r="G1297" s="37" t="s">
        <v>65</v>
      </c>
      <c r="H1297" s="31" t="e">
        <v>#N/A</v>
      </c>
      <c r="I1297" s="31" t="e">
        <v>#N/A</v>
      </c>
    </row>
    <row r="1298">
      <c r="A1298" s="11">
        <v>46152.9021787963</v>
      </c>
      <c r="B1298" s="9" t="s">
        <v>137</v>
      </c>
      <c r="C1298" s="9" t="s">
        <v>186</v>
      </c>
      <c r="D1298" s="37" t="s">
        <v>57</v>
      </c>
      <c r="E1298" s="54" t="s">
        <v>501</v>
      </c>
      <c r="F1298" s="15">
        <v>1.0</v>
      </c>
      <c r="G1298" s="37" t="s">
        <v>65</v>
      </c>
      <c r="H1298" s="31" t="e">
        <v>#N/A</v>
      </c>
      <c r="I1298" s="31" t="e">
        <v>#N/A</v>
      </c>
    </row>
    <row r="1299">
      <c r="A1299" s="11">
        <v>46152.92527744213</v>
      </c>
      <c r="B1299" s="9" t="s">
        <v>137</v>
      </c>
      <c r="C1299" s="9" t="s">
        <v>318</v>
      </c>
      <c r="D1299" s="37" t="s">
        <v>57</v>
      </c>
      <c r="E1299" s="54" t="s">
        <v>502</v>
      </c>
      <c r="F1299" s="15">
        <v>1.0</v>
      </c>
      <c r="G1299" s="37" t="s">
        <v>65</v>
      </c>
      <c r="H1299" s="31" t="e">
        <v>#N/A</v>
      </c>
      <c r="I1299" s="31" t="e">
        <v>#N/A</v>
      </c>
    </row>
    <row r="1300">
      <c r="A1300" s="11">
        <v>46152.93726046296</v>
      </c>
      <c r="B1300" s="9" t="s">
        <v>298</v>
      </c>
      <c r="C1300" s="9" t="s">
        <v>349</v>
      </c>
      <c r="D1300" s="37" t="s">
        <v>57</v>
      </c>
      <c r="E1300" s="14"/>
      <c r="F1300" s="15">
        <v>1.0</v>
      </c>
      <c r="G1300" s="37" t="s">
        <v>65</v>
      </c>
      <c r="H1300" s="31" t="e">
        <v>#N/A</v>
      </c>
      <c r="I1300" s="31" t="e">
        <v>#N/A</v>
      </c>
    </row>
    <row r="1301">
      <c r="A1301" s="11">
        <v>46152.93811474537</v>
      </c>
      <c r="B1301" s="9" t="s">
        <v>180</v>
      </c>
      <c r="C1301" s="9" t="s">
        <v>333</v>
      </c>
      <c r="D1301" s="9" t="s">
        <v>19</v>
      </c>
      <c r="E1301" s="14"/>
      <c r="F1301" s="15">
        <v>1.0</v>
      </c>
      <c r="G1301" s="37" t="s">
        <v>65</v>
      </c>
      <c r="H1301" s="31" t="e">
        <v>#N/A</v>
      </c>
      <c r="I1301" s="31" t="e">
        <v>#N/A</v>
      </c>
    </row>
    <row r="1302">
      <c r="A1302" s="11">
        <v>46152.96172670139</v>
      </c>
      <c r="B1302" s="9" t="s">
        <v>286</v>
      </c>
      <c r="C1302" s="9" t="s">
        <v>314</v>
      </c>
      <c r="D1302" s="37" t="s">
        <v>57</v>
      </c>
      <c r="E1302" s="14"/>
      <c r="F1302" s="15">
        <v>1.0</v>
      </c>
      <c r="G1302" s="37" t="s">
        <v>65</v>
      </c>
      <c r="H1302" s="31" t="e">
        <v>#N/A</v>
      </c>
      <c r="I1302" s="31" t="e">
        <v>#N/A</v>
      </c>
    </row>
    <row r="1303">
      <c r="A1303" s="11">
        <v>46152.96773246527</v>
      </c>
      <c r="B1303" s="9" t="s">
        <v>329</v>
      </c>
      <c r="C1303" s="9" t="s">
        <v>279</v>
      </c>
      <c r="D1303" s="37" t="s">
        <v>57</v>
      </c>
      <c r="E1303" s="14"/>
      <c r="F1303" s="15">
        <v>1.0</v>
      </c>
      <c r="G1303" s="37" t="s">
        <v>65</v>
      </c>
      <c r="H1303" s="31" t="e">
        <v>#N/A</v>
      </c>
      <c r="I1303" s="31" t="e">
        <v>#N/A</v>
      </c>
    </row>
    <row r="1304">
      <c r="A1304" s="11">
        <v>46152.9771447338</v>
      </c>
      <c r="B1304" s="9" t="s">
        <v>286</v>
      </c>
      <c r="C1304" s="9" t="s">
        <v>340</v>
      </c>
      <c r="D1304" s="9" t="s">
        <v>19</v>
      </c>
      <c r="E1304" s="14"/>
      <c r="F1304" s="15">
        <v>1.0</v>
      </c>
      <c r="G1304" s="37" t="s">
        <v>65</v>
      </c>
      <c r="H1304" s="31" t="e">
        <v>#N/A</v>
      </c>
      <c r="I1304" s="31" t="e">
        <v>#N/A</v>
      </c>
    </row>
    <row r="1305">
      <c r="A1305" s="11">
        <v>46152.9947053588</v>
      </c>
      <c r="B1305" s="9" t="s">
        <v>322</v>
      </c>
      <c r="C1305" s="9" t="s">
        <v>329</v>
      </c>
      <c r="D1305" s="37" t="s">
        <v>57</v>
      </c>
      <c r="E1305" s="14"/>
      <c r="F1305" s="15">
        <v>1.0</v>
      </c>
      <c r="G1305" s="37" t="s">
        <v>65</v>
      </c>
      <c r="H1305" s="31" t="e">
        <v>#N/A</v>
      </c>
      <c r="I1305" s="31" t="e">
        <v>#N/A</v>
      </c>
    </row>
    <row r="1306">
      <c r="A1306" s="11">
        <v>46152.998484247684</v>
      </c>
      <c r="B1306" s="9" t="s">
        <v>340</v>
      </c>
      <c r="C1306" s="9" t="s">
        <v>306</v>
      </c>
      <c r="D1306" s="9" t="s">
        <v>19</v>
      </c>
      <c r="E1306" s="14"/>
      <c r="F1306" s="15">
        <v>1.0</v>
      </c>
      <c r="G1306" s="37" t="s">
        <v>65</v>
      </c>
      <c r="H1306" s="31" t="e">
        <v>#N/A</v>
      </c>
      <c r="I1306" s="31" t="e">
        <v>#N/A</v>
      </c>
    </row>
    <row r="1307">
      <c r="A1307" s="11">
        <v>46152.998625127315</v>
      </c>
      <c r="B1307" s="9" t="s">
        <v>333</v>
      </c>
      <c r="C1307" s="9" t="s">
        <v>324</v>
      </c>
      <c r="D1307" s="37" t="s">
        <v>57</v>
      </c>
      <c r="E1307" s="14"/>
      <c r="F1307" s="15">
        <v>1.0</v>
      </c>
      <c r="G1307" s="37" t="s">
        <v>65</v>
      </c>
      <c r="H1307" s="31" t="e">
        <v>#N/A</v>
      </c>
      <c r="I1307" s="31" t="e">
        <v>#N/A</v>
      </c>
    </row>
    <row r="1308">
      <c r="A1308" s="11">
        <v>46153.007086990736</v>
      </c>
      <c r="B1308" s="9" t="s">
        <v>186</v>
      </c>
      <c r="C1308" s="9" t="s">
        <v>314</v>
      </c>
      <c r="D1308" s="9" t="s">
        <v>19</v>
      </c>
      <c r="E1308" s="14"/>
      <c r="F1308" s="15">
        <v>1.0</v>
      </c>
      <c r="G1308" s="37" t="s">
        <v>65</v>
      </c>
      <c r="H1308" s="31" t="e">
        <v>#N/A</v>
      </c>
      <c r="I1308" s="31" t="e">
        <v>#N/A</v>
      </c>
    </row>
    <row r="1309">
      <c r="A1309" s="11">
        <v>46153.01451758102</v>
      </c>
      <c r="B1309" s="9" t="s">
        <v>333</v>
      </c>
      <c r="C1309" s="9" t="s">
        <v>66</v>
      </c>
      <c r="D1309" s="37" t="s">
        <v>57</v>
      </c>
      <c r="E1309" s="14"/>
      <c r="F1309" s="15">
        <v>1.0</v>
      </c>
      <c r="G1309" s="37" t="s">
        <v>65</v>
      </c>
      <c r="H1309" s="31" t="e">
        <v>#N/A</v>
      </c>
      <c r="I1309" s="31" t="e">
        <v>#N/A</v>
      </c>
    </row>
    <row r="1310">
      <c r="A1310" s="11">
        <v>46153.019677766206</v>
      </c>
      <c r="B1310" s="9" t="s">
        <v>286</v>
      </c>
      <c r="C1310" s="9" t="s">
        <v>133</v>
      </c>
      <c r="D1310" s="9" t="s">
        <v>19</v>
      </c>
      <c r="E1310" s="14"/>
      <c r="F1310" s="15">
        <v>1.0</v>
      </c>
      <c r="H1310" s="31" t="e">
        <v>#N/A</v>
      </c>
      <c r="I1310" s="31" t="e">
        <v>#N/A</v>
      </c>
    </row>
    <row r="1311">
      <c r="A1311" s="11">
        <v>46153.0230091088</v>
      </c>
      <c r="B1311" s="9" t="s">
        <v>306</v>
      </c>
      <c r="C1311" s="9" t="s">
        <v>125</v>
      </c>
      <c r="D1311" s="9" t="s">
        <v>19</v>
      </c>
      <c r="E1311" s="54" t="s">
        <v>122</v>
      </c>
      <c r="F1311" s="15">
        <v>1.0</v>
      </c>
      <c r="G1311" s="37" t="s">
        <v>65</v>
      </c>
      <c r="H1311" s="31" t="e">
        <v>#N/A</v>
      </c>
      <c r="I1311" s="31" t="e">
        <v>#N/A</v>
      </c>
    </row>
    <row r="1312">
      <c r="A1312" s="11">
        <v>46153.05869168982</v>
      </c>
      <c r="B1312" s="9" t="s">
        <v>333</v>
      </c>
      <c r="C1312" s="9" t="s">
        <v>198</v>
      </c>
      <c r="D1312" s="37" t="s">
        <v>57</v>
      </c>
      <c r="E1312" s="14"/>
      <c r="F1312" s="15">
        <v>1.0</v>
      </c>
      <c r="G1312" s="37" t="s">
        <v>65</v>
      </c>
      <c r="H1312" s="31" t="e">
        <v>#N/A</v>
      </c>
      <c r="I1312" s="31" t="e">
        <v>#N/A</v>
      </c>
    </row>
    <row r="1313">
      <c r="A1313" s="11">
        <v>46153.06955424769</v>
      </c>
      <c r="B1313" s="9" t="s">
        <v>18</v>
      </c>
      <c r="C1313" s="9" t="s">
        <v>299</v>
      </c>
      <c r="D1313" s="9" t="s">
        <v>19</v>
      </c>
      <c r="E1313" s="14"/>
      <c r="F1313" s="15">
        <v>1.0</v>
      </c>
      <c r="G1313" s="37" t="s">
        <v>65</v>
      </c>
      <c r="H1313" s="31" t="e">
        <v>#N/A</v>
      </c>
      <c r="I1313" s="31" t="e">
        <v>#N/A</v>
      </c>
    </row>
    <row r="1314">
      <c r="A1314" s="11">
        <v>46153.10629111111</v>
      </c>
      <c r="B1314" s="9" t="s">
        <v>198</v>
      </c>
      <c r="C1314" s="9" t="s">
        <v>299</v>
      </c>
      <c r="D1314" s="37" t="s">
        <v>57</v>
      </c>
      <c r="E1314" s="14"/>
      <c r="F1314" s="15">
        <v>1.0</v>
      </c>
      <c r="G1314" s="37" t="s">
        <v>65</v>
      </c>
      <c r="H1314" s="31" t="e">
        <v>#N/A</v>
      </c>
      <c r="I1314" s="31" t="e">
        <v>#N/A</v>
      </c>
    </row>
    <row r="1315">
      <c r="A1315" s="11">
        <v>46153.30629540509</v>
      </c>
      <c r="B1315" s="9" t="s">
        <v>92</v>
      </c>
      <c r="C1315" s="9" t="s">
        <v>291</v>
      </c>
      <c r="D1315" s="37" t="s">
        <v>57</v>
      </c>
      <c r="E1315" s="14"/>
      <c r="F1315" s="15">
        <v>1.0</v>
      </c>
      <c r="G1315" s="37" t="s">
        <v>65</v>
      </c>
      <c r="H1315" s="31" t="e">
        <v>#N/A</v>
      </c>
      <c r="I1315" s="31" t="e">
        <v>#N/A</v>
      </c>
    </row>
    <row r="1316">
      <c r="A1316" s="11">
        <v>46153.37622797454</v>
      </c>
      <c r="B1316" s="9" t="s">
        <v>92</v>
      </c>
      <c r="C1316" s="9" t="s">
        <v>351</v>
      </c>
      <c r="D1316" s="37" t="s">
        <v>57</v>
      </c>
      <c r="E1316" s="14"/>
      <c r="F1316" s="15">
        <v>1.0</v>
      </c>
      <c r="G1316" s="37" t="s">
        <v>65</v>
      </c>
      <c r="H1316" s="31" t="e">
        <v>#N/A</v>
      </c>
      <c r="I1316" s="31" t="e">
        <v>#N/A</v>
      </c>
    </row>
    <row r="1317">
      <c r="A1317" s="11">
        <v>46153.37831354167</v>
      </c>
      <c r="B1317" s="9" t="s">
        <v>350</v>
      </c>
      <c r="C1317" s="9" t="s">
        <v>287</v>
      </c>
      <c r="D1317" s="9" t="s">
        <v>19</v>
      </c>
      <c r="E1317" s="14"/>
      <c r="F1317" s="15">
        <v>1.0</v>
      </c>
      <c r="G1317" s="37" t="s">
        <v>65</v>
      </c>
      <c r="H1317" s="31" t="e">
        <v>#N/A</v>
      </c>
      <c r="I1317" s="31" t="e">
        <v>#N/A</v>
      </c>
    </row>
    <row r="1318">
      <c r="A1318" s="11">
        <v>46153.402705555556</v>
      </c>
      <c r="B1318" s="9" t="s">
        <v>92</v>
      </c>
      <c r="C1318" s="9" t="s">
        <v>168</v>
      </c>
      <c r="D1318" s="9" t="s">
        <v>19</v>
      </c>
      <c r="E1318" s="14"/>
      <c r="F1318" s="15">
        <v>1.0</v>
      </c>
      <c r="G1318" s="37" t="s">
        <v>65</v>
      </c>
      <c r="H1318" s="31" t="e">
        <v>#N/A</v>
      </c>
      <c r="I1318" s="31" t="e">
        <v>#N/A</v>
      </c>
    </row>
    <row r="1319">
      <c r="A1319" s="11">
        <v>46153.41140188657</v>
      </c>
      <c r="B1319" s="9" t="s">
        <v>274</v>
      </c>
      <c r="C1319" s="9" t="s">
        <v>291</v>
      </c>
      <c r="D1319" s="37" t="s">
        <v>57</v>
      </c>
      <c r="E1319" s="54" t="s">
        <v>503</v>
      </c>
      <c r="F1319" s="15">
        <v>1.0</v>
      </c>
      <c r="H1319" s="31" t="e">
        <v>#N/A</v>
      </c>
      <c r="I1319" s="31" t="e">
        <v>#N/A</v>
      </c>
    </row>
    <row r="1320">
      <c r="A1320" s="11">
        <v>46153.41447829861</v>
      </c>
      <c r="B1320" s="9" t="s">
        <v>350</v>
      </c>
      <c r="C1320" s="9" t="s">
        <v>351</v>
      </c>
      <c r="D1320" s="9" t="s">
        <v>19</v>
      </c>
      <c r="E1320" s="14"/>
      <c r="F1320" s="15">
        <v>1.0</v>
      </c>
      <c r="G1320" s="37" t="s">
        <v>65</v>
      </c>
      <c r="H1320" s="31" t="e">
        <v>#N/A</v>
      </c>
      <c r="I1320" s="31" t="e">
        <v>#N/A</v>
      </c>
    </row>
    <row r="1321">
      <c r="A1321" s="11">
        <v>46153.43267401621</v>
      </c>
      <c r="B1321" s="9" t="s">
        <v>320</v>
      </c>
      <c r="C1321" s="9" t="s">
        <v>238</v>
      </c>
      <c r="D1321" s="37" t="s">
        <v>57</v>
      </c>
      <c r="E1321" s="14"/>
      <c r="F1321" s="15">
        <v>1.0</v>
      </c>
      <c r="G1321" s="37" t="s">
        <v>65</v>
      </c>
      <c r="H1321" s="31" t="e">
        <v>#N/A</v>
      </c>
      <c r="I1321" s="31" t="e">
        <v>#N/A</v>
      </c>
    </row>
    <row r="1322">
      <c r="A1322" s="11">
        <v>46153.44093502314</v>
      </c>
      <c r="B1322" s="9" t="s">
        <v>288</v>
      </c>
      <c r="C1322" s="9" t="s">
        <v>60</v>
      </c>
      <c r="D1322" s="9" t="s">
        <v>19</v>
      </c>
      <c r="E1322" s="14"/>
      <c r="F1322" s="15">
        <v>1.0</v>
      </c>
      <c r="G1322" s="37" t="s">
        <v>65</v>
      </c>
      <c r="H1322" s="31" t="e">
        <v>#N/A</v>
      </c>
      <c r="I1322" s="31" t="e">
        <v>#N/A</v>
      </c>
    </row>
    <row r="1323">
      <c r="A1323" s="11">
        <v>46153.44992637732</v>
      </c>
      <c r="B1323" s="9" t="s">
        <v>286</v>
      </c>
      <c r="C1323" s="9" t="s">
        <v>208</v>
      </c>
      <c r="D1323" s="37" t="s">
        <v>57</v>
      </c>
      <c r="E1323" s="14"/>
      <c r="F1323" s="15">
        <v>1.0</v>
      </c>
      <c r="G1323" s="37" t="s">
        <v>65</v>
      </c>
      <c r="H1323" s="31" t="e">
        <v>#N/A</v>
      </c>
      <c r="I1323" s="31" t="e">
        <v>#N/A</v>
      </c>
    </row>
    <row r="1324">
      <c r="A1324" s="11">
        <v>46153.47192267361</v>
      </c>
      <c r="B1324" s="9" t="s">
        <v>60</v>
      </c>
      <c r="C1324" s="9" t="s">
        <v>208</v>
      </c>
      <c r="D1324" s="9" t="s">
        <v>19</v>
      </c>
      <c r="E1324" s="14"/>
      <c r="F1324" s="15">
        <v>1.0</v>
      </c>
      <c r="G1324" s="37" t="s">
        <v>65</v>
      </c>
      <c r="H1324" s="31" t="e">
        <v>#N/A</v>
      </c>
      <c r="I1324" s="31" t="e">
        <v>#N/A</v>
      </c>
    </row>
    <row r="1325">
      <c r="A1325" s="11">
        <v>46153.479397268515</v>
      </c>
      <c r="B1325" s="9" t="s">
        <v>107</v>
      </c>
      <c r="C1325" s="9" t="s">
        <v>328</v>
      </c>
      <c r="D1325" s="37" t="s">
        <v>57</v>
      </c>
      <c r="E1325" s="14"/>
      <c r="F1325" s="15">
        <v>1.0</v>
      </c>
      <c r="G1325" s="37" t="s">
        <v>65</v>
      </c>
      <c r="H1325" s="31" t="e">
        <v>#N/A</v>
      </c>
      <c r="I1325" s="31" t="e">
        <v>#N/A</v>
      </c>
    </row>
    <row r="1326">
      <c r="A1326" s="11">
        <v>46153.496805358795</v>
      </c>
      <c r="B1326" s="9" t="s">
        <v>208</v>
      </c>
      <c r="C1326" s="9" t="s">
        <v>414</v>
      </c>
      <c r="D1326" s="9" t="s">
        <v>19</v>
      </c>
      <c r="E1326" s="14"/>
      <c r="F1326" s="15">
        <v>1.0</v>
      </c>
      <c r="G1326" s="37" t="s">
        <v>65</v>
      </c>
      <c r="H1326" s="31" t="e">
        <v>#N/A</v>
      </c>
      <c r="I1326" s="31" t="e">
        <v>#N/A</v>
      </c>
    </row>
    <row r="1327">
      <c r="A1327" s="11">
        <v>46153.502566400464</v>
      </c>
      <c r="B1327" s="9" t="s">
        <v>60</v>
      </c>
      <c r="C1327" s="9" t="s">
        <v>186</v>
      </c>
      <c r="D1327" s="9" t="s">
        <v>19</v>
      </c>
      <c r="E1327" s="14"/>
      <c r="F1327" s="15">
        <v>1.0</v>
      </c>
      <c r="G1327" s="37" t="s">
        <v>65</v>
      </c>
      <c r="H1327" s="31" t="e">
        <v>#N/A</v>
      </c>
      <c r="I1327" s="31" t="e">
        <v>#N/A</v>
      </c>
    </row>
    <row r="1328">
      <c r="A1328" s="11">
        <v>46153.51080775463</v>
      </c>
      <c r="B1328" s="9" t="s">
        <v>231</v>
      </c>
      <c r="C1328" s="9" t="s">
        <v>208</v>
      </c>
      <c r="D1328" s="9" t="s">
        <v>19</v>
      </c>
      <c r="E1328" s="14"/>
      <c r="F1328" s="15">
        <v>1.0</v>
      </c>
      <c r="G1328" s="37" t="s">
        <v>65</v>
      </c>
      <c r="H1328" s="31" t="e">
        <v>#N/A</v>
      </c>
      <c r="I1328" s="31" t="e">
        <v>#N/A</v>
      </c>
    </row>
    <row r="1329">
      <c r="A1329" s="11">
        <v>46153.524825810186</v>
      </c>
      <c r="B1329" s="9" t="s">
        <v>350</v>
      </c>
      <c r="C1329" s="9" t="s">
        <v>414</v>
      </c>
      <c r="D1329" s="9" t="s">
        <v>19</v>
      </c>
      <c r="E1329" s="14"/>
      <c r="F1329" s="15">
        <v>1.0</v>
      </c>
      <c r="G1329" s="37" t="s">
        <v>65</v>
      </c>
      <c r="H1329" s="31" t="e">
        <v>#N/A</v>
      </c>
      <c r="I1329" s="31" t="e">
        <v>#N/A</v>
      </c>
    </row>
    <row r="1330">
      <c r="A1330" s="11">
        <v>46153.52916734954</v>
      </c>
      <c r="B1330" s="9" t="s">
        <v>235</v>
      </c>
      <c r="C1330" s="9" t="s">
        <v>208</v>
      </c>
      <c r="D1330" s="9" t="s">
        <v>19</v>
      </c>
      <c r="E1330" s="54" t="s">
        <v>122</v>
      </c>
      <c r="F1330" s="15">
        <v>1.0</v>
      </c>
      <c r="G1330" s="37" t="s">
        <v>65</v>
      </c>
      <c r="H1330" s="31" t="e">
        <v>#N/A</v>
      </c>
      <c r="I1330" s="31" t="e">
        <v>#N/A</v>
      </c>
    </row>
    <row r="1331">
      <c r="A1331" s="11">
        <v>46153.53667452546</v>
      </c>
      <c r="B1331" s="9" t="s">
        <v>318</v>
      </c>
      <c r="C1331" s="9" t="s">
        <v>328</v>
      </c>
      <c r="D1331" s="9" t="s">
        <v>19</v>
      </c>
      <c r="E1331" s="14"/>
      <c r="F1331" s="15">
        <v>1.0</v>
      </c>
      <c r="G1331" s="37" t="s">
        <v>65</v>
      </c>
      <c r="H1331" s="31" t="e">
        <v>#N/A</v>
      </c>
      <c r="I1331" s="31" t="e">
        <v>#N/A</v>
      </c>
    </row>
    <row r="1332">
      <c r="A1332" s="11">
        <v>46153.539515729164</v>
      </c>
      <c r="B1332" s="9" t="s">
        <v>287</v>
      </c>
      <c r="C1332" s="9" t="s">
        <v>219</v>
      </c>
      <c r="D1332" s="37" t="s">
        <v>57</v>
      </c>
      <c r="E1332" s="54" t="s">
        <v>140</v>
      </c>
      <c r="F1332" s="15">
        <v>1.0</v>
      </c>
      <c r="G1332" s="37" t="s">
        <v>65</v>
      </c>
      <c r="H1332" s="31" t="e">
        <v>#N/A</v>
      </c>
      <c r="I1332" s="31" t="e">
        <v>#N/A</v>
      </c>
    </row>
    <row r="1333">
      <c r="A1333" s="11">
        <v>46153.54168097222</v>
      </c>
      <c r="B1333" s="9" t="s">
        <v>350</v>
      </c>
      <c r="C1333" s="9" t="s">
        <v>198</v>
      </c>
      <c r="D1333" s="37" t="s">
        <v>57</v>
      </c>
      <c r="E1333" s="14"/>
      <c r="F1333" s="15">
        <v>1.0</v>
      </c>
      <c r="G1333" s="37" t="s">
        <v>65</v>
      </c>
      <c r="H1333" s="31" t="e">
        <v>#N/A</v>
      </c>
      <c r="I1333" s="31" t="e">
        <v>#N/A</v>
      </c>
    </row>
    <row r="1334">
      <c r="A1334" s="11">
        <v>46153.56738644676</v>
      </c>
      <c r="B1334" s="9" t="s">
        <v>355</v>
      </c>
      <c r="C1334" s="9" t="s">
        <v>192</v>
      </c>
      <c r="D1334" s="37" t="s">
        <v>57</v>
      </c>
      <c r="E1334" s="14"/>
      <c r="F1334" s="15">
        <v>1.0</v>
      </c>
      <c r="G1334" s="37" t="s">
        <v>65</v>
      </c>
      <c r="H1334" s="31" t="e">
        <v>#N/A</v>
      </c>
      <c r="I1334" s="31" t="e">
        <v>#N/A</v>
      </c>
    </row>
    <row r="1335">
      <c r="A1335" s="11">
        <v>46153.57077355324</v>
      </c>
      <c r="B1335" s="9" t="s">
        <v>219</v>
      </c>
      <c r="C1335" s="9" t="s">
        <v>320</v>
      </c>
      <c r="D1335" s="37" t="s">
        <v>57</v>
      </c>
      <c r="E1335" s="54" t="s">
        <v>504</v>
      </c>
      <c r="F1335" s="15">
        <v>1.0</v>
      </c>
      <c r="G1335" s="37" t="s">
        <v>65</v>
      </c>
      <c r="H1335" s="31" t="e">
        <v>#N/A</v>
      </c>
      <c r="I1335" s="31" t="e">
        <v>#N/A</v>
      </c>
    </row>
    <row r="1336">
      <c r="A1336" s="11">
        <v>46153.585212453705</v>
      </c>
      <c r="B1336" s="9" t="s">
        <v>92</v>
      </c>
      <c r="C1336" s="9" t="s">
        <v>54</v>
      </c>
      <c r="D1336" s="37" t="s">
        <v>57</v>
      </c>
      <c r="E1336" s="14"/>
      <c r="F1336" s="15">
        <v>1.0</v>
      </c>
      <c r="G1336" s="37" t="s">
        <v>65</v>
      </c>
      <c r="H1336" s="31" t="e">
        <v>#N/A</v>
      </c>
      <c r="I1336" s="31" t="e">
        <v>#N/A</v>
      </c>
    </row>
    <row r="1337">
      <c r="A1337" s="11">
        <v>46153.586814236114</v>
      </c>
      <c r="B1337" s="9" t="s">
        <v>329</v>
      </c>
      <c r="C1337" s="9" t="s">
        <v>414</v>
      </c>
      <c r="D1337" s="37" t="s">
        <v>57</v>
      </c>
      <c r="E1337" s="14"/>
      <c r="F1337" s="15">
        <v>1.0</v>
      </c>
      <c r="G1337" s="37" t="s">
        <v>65</v>
      </c>
      <c r="H1337" s="31" t="e">
        <v>#N/A</v>
      </c>
      <c r="I1337" s="31" t="e">
        <v>#N/A</v>
      </c>
    </row>
    <row r="1338">
      <c r="A1338" s="11">
        <v>46153.615990555554</v>
      </c>
      <c r="B1338" s="9" t="s">
        <v>332</v>
      </c>
      <c r="C1338" s="9" t="s">
        <v>192</v>
      </c>
      <c r="D1338" s="9" t="s">
        <v>19</v>
      </c>
      <c r="E1338" s="54" t="s">
        <v>122</v>
      </c>
      <c r="F1338" s="15">
        <v>1.0</v>
      </c>
      <c r="G1338" s="37" t="s">
        <v>65</v>
      </c>
      <c r="H1338" s="31" t="e">
        <v>#N/A</v>
      </c>
      <c r="I1338" s="31" t="e">
        <v>#N/A</v>
      </c>
    </row>
    <row r="1339">
      <c r="A1339" s="11">
        <v>46153.62706528935</v>
      </c>
      <c r="B1339" s="9" t="s">
        <v>205</v>
      </c>
      <c r="C1339" s="9" t="s">
        <v>414</v>
      </c>
      <c r="D1339" s="9" t="s">
        <v>19</v>
      </c>
      <c r="E1339" s="14"/>
      <c r="F1339" s="15">
        <v>1.0</v>
      </c>
      <c r="G1339" s="37" t="s">
        <v>65</v>
      </c>
      <c r="H1339" s="31" t="e">
        <v>#N/A</v>
      </c>
      <c r="I1339" s="31" t="e">
        <v>#N/A</v>
      </c>
    </row>
    <row r="1340">
      <c r="A1340" s="11">
        <v>46153.636119849536</v>
      </c>
      <c r="B1340" s="9" t="s">
        <v>186</v>
      </c>
      <c r="C1340" s="9" t="s">
        <v>335</v>
      </c>
      <c r="D1340" s="37" t="s">
        <v>57</v>
      </c>
      <c r="E1340" s="14"/>
      <c r="F1340" s="15">
        <v>1.0</v>
      </c>
      <c r="G1340" s="37" t="s">
        <v>65</v>
      </c>
      <c r="H1340" s="31" t="e">
        <v>#N/A</v>
      </c>
      <c r="I1340" s="31" t="e">
        <v>#N/A</v>
      </c>
    </row>
    <row r="1341">
      <c r="A1341" s="11">
        <v>46153.64245753472</v>
      </c>
      <c r="B1341" s="9" t="s">
        <v>205</v>
      </c>
      <c r="C1341" s="9" t="s">
        <v>165</v>
      </c>
      <c r="D1341" s="37" t="s">
        <v>57</v>
      </c>
      <c r="E1341" s="54" t="s">
        <v>321</v>
      </c>
      <c r="F1341" s="15">
        <v>1.0</v>
      </c>
      <c r="G1341" s="37" t="s">
        <v>65</v>
      </c>
      <c r="H1341" s="31" t="e">
        <v>#N/A</v>
      </c>
      <c r="I1341" s="31" t="e">
        <v>#N/A</v>
      </c>
    </row>
    <row r="1342">
      <c r="A1342" s="11">
        <v>46153.64712109954</v>
      </c>
      <c r="B1342" s="9" t="s">
        <v>81</v>
      </c>
      <c r="C1342" s="9" t="s">
        <v>213</v>
      </c>
      <c r="D1342" s="37" t="s">
        <v>57</v>
      </c>
      <c r="E1342" s="14"/>
      <c r="F1342" s="15">
        <v>1.0</v>
      </c>
      <c r="G1342" s="37" t="s">
        <v>65</v>
      </c>
      <c r="H1342" s="31" t="e">
        <v>#N/A</v>
      </c>
      <c r="I1342" s="31" t="e">
        <v>#N/A</v>
      </c>
    </row>
    <row r="1343">
      <c r="A1343" s="11">
        <v>46153.655222546295</v>
      </c>
      <c r="B1343" s="9" t="s">
        <v>185</v>
      </c>
      <c r="C1343" s="9" t="s">
        <v>186</v>
      </c>
      <c r="D1343" s="37" t="s">
        <v>57</v>
      </c>
      <c r="E1343" s="14"/>
      <c r="F1343" s="15">
        <v>1.0</v>
      </c>
      <c r="G1343" s="37" t="s">
        <v>65</v>
      </c>
      <c r="H1343" s="31" t="e">
        <v>#N/A</v>
      </c>
      <c r="I1343" s="31" t="e">
        <v>#N/A</v>
      </c>
    </row>
    <row r="1344">
      <c r="A1344" s="11">
        <v>46153.66758246528</v>
      </c>
      <c r="B1344" s="9" t="s">
        <v>166</v>
      </c>
      <c r="C1344" s="9" t="s">
        <v>81</v>
      </c>
      <c r="D1344" s="9" t="s">
        <v>19</v>
      </c>
      <c r="E1344" s="54" t="s">
        <v>122</v>
      </c>
      <c r="F1344" s="15">
        <v>1.0</v>
      </c>
      <c r="G1344" s="37" t="s">
        <v>65</v>
      </c>
      <c r="H1344" s="31" t="e">
        <v>#N/A</v>
      </c>
      <c r="I1344" s="31" t="e">
        <v>#N/A</v>
      </c>
    </row>
    <row r="1345">
      <c r="A1345" s="11">
        <v>46153.68157741898</v>
      </c>
      <c r="B1345" s="9" t="s">
        <v>318</v>
      </c>
      <c r="C1345" s="9" t="s">
        <v>352</v>
      </c>
      <c r="D1345" s="9" t="s">
        <v>19</v>
      </c>
      <c r="E1345" s="14"/>
      <c r="F1345" s="15">
        <v>1.0</v>
      </c>
      <c r="G1345" s="37" t="s">
        <v>65</v>
      </c>
      <c r="H1345" s="31" t="e">
        <v>#N/A</v>
      </c>
      <c r="I1345" s="31" t="e">
        <v>#N/A</v>
      </c>
    </row>
    <row r="1346">
      <c r="A1346" s="11">
        <v>46153.68914429398</v>
      </c>
      <c r="B1346" s="9" t="s">
        <v>245</v>
      </c>
      <c r="C1346" s="9" t="s">
        <v>81</v>
      </c>
      <c r="D1346" s="37" t="s">
        <v>57</v>
      </c>
      <c r="E1346" s="54" t="s">
        <v>102</v>
      </c>
      <c r="F1346" s="15">
        <v>1.0</v>
      </c>
      <c r="G1346" s="37" t="s">
        <v>65</v>
      </c>
      <c r="H1346" s="31" t="e">
        <v>#N/A</v>
      </c>
      <c r="I1346" s="31" t="e">
        <v>#N/A</v>
      </c>
    </row>
    <row r="1347">
      <c r="A1347" s="11">
        <v>46153.690473449074</v>
      </c>
      <c r="B1347" s="9" t="s">
        <v>253</v>
      </c>
      <c r="C1347" s="9" t="s">
        <v>331</v>
      </c>
      <c r="D1347" s="9" t="s">
        <v>19</v>
      </c>
      <c r="E1347" s="14"/>
      <c r="F1347" s="15">
        <v>1.0</v>
      </c>
      <c r="G1347" s="37" t="s">
        <v>65</v>
      </c>
      <c r="H1347" s="31" t="e">
        <v>#N/A</v>
      </c>
      <c r="I1347" s="31" t="e">
        <v>#N/A</v>
      </c>
    </row>
    <row r="1348">
      <c r="A1348" s="11">
        <v>46153.70831011574</v>
      </c>
      <c r="B1348" s="9" t="s">
        <v>299</v>
      </c>
      <c r="C1348" s="9" t="s">
        <v>313</v>
      </c>
      <c r="D1348" s="37" t="s">
        <v>57</v>
      </c>
      <c r="E1348" s="14"/>
      <c r="F1348" s="15">
        <v>1.0</v>
      </c>
      <c r="G1348" s="37" t="s">
        <v>65</v>
      </c>
      <c r="H1348" s="31" t="e">
        <v>#N/A</v>
      </c>
      <c r="I1348" s="31" t="e">
        <v>#N/A</v>
      </c>
    </row>
    <row r="1349">
      <c r="A1349" s="11">
        <v>46153.71145901621</v>
      </c>
      <c r="B1349" s="9" t="s">
        <v>165</v>
      </c>
      <c r="C1349" s="9" t="s">
        <v>396</v>
      </c>
      <c r="D1349" s="37" t="s">
        <v>57</v>
      </c>
      <c r="E1349" s="14"/>
      <c r="F1349" s="15">
        <v>1.0</v>
      </c>
      <c r="G1349" s="37" t="s">
        <v>65</v>
      </c>
      <c r="H1349" s="31" t="e">
        <v>#N/A</v>
      </c>
      <c r="I1349" s="31" t="e">
        <v>#N/A</v>
      </c>
    </row>
    <row r="1350">
      <c r="A1350" s="11">
        <v>46153.71186876157</v>
      </c>
      <c r="B1350" s="9" t="s">
        <v>84</v>
      </c>
      <c r="C1350" s="9" t="s">
        <v>254</v>
      </c>
      <c r="D1350" s="9" t="s">
        <v>19</v>
      </c>
      <c r="E1350" s="14"/>
      <c r="F1350" s="15">
        <v>1.0</v>
      </c>
      <c r="G1350" s="37" t="s">
        <v>65</v>
      </c>
      <c r="H1350" s="31" t="e">
        <v>#N/A</v>
      </c>
      <c r="I1350" s="31" t="e">
        <v>#N/A</v>
      </c>
    </row>
    <row r="1351">
      <c r="A1351" s="11">
        <v>46153.72344288194</v>
      </c>
      <c r="B1351" s="9" t="s">
        <v>372</v>
      </c>
      <c r="C1351" s="9" t="s">
        <v>182</v>
      </c>
      <c r="D1351" s="37" t="s">
        <v>57</v>
      </c>
      <c r="E1351" s="14"/>
      <c r="F1351" s="15">
        <v>1.0</v>
      </c>
      <c r="G1351" s="37" t="s">
        <v>65</v>
      </c>
      <c r="H1351" s="31" t="e">
        <v>#N/A</v>
      </c>
      <c r="I1351" s="31" t="e">
        <v>#N/A</v>
      </c>
    </row>
    <row r="1352">
      <c r="A1352" s="11">
        <v>46153.728069502315</v>
      </c>
      <c r="B1352" s="9" t="s">
        <v>161</v>
      </c>
      <c r="C1352" s="9" t="s">
        <v>352</v>
      </c>
      <c r="D1352" s="37" t="s">
        <v>57</v>
      </c>
      <c r="E1352" s="14"/>
      <c r="F1352" s="15">
        <v>1.0</v>
      </c>
      <c r="G1352" s="37" t="s">
        <v>65</v>
      </c>
      <c r="H1352" s="31" t="e">
        <v>#N/A</v>
      </c>
      <c r="I1352" s="31" t="e">
        <v>#N/A</v>
      </c>
    </row>
    <row r="1353">
      <c r="A1353" s="11">
        <v>46153.74121519676</v>
      </c>
      <c r="B1353" s="9" t="s">
        <v>85</v>
      </c>
      <c r="C1353" s="9" t="s">
        <v>182</v>
      </c>
      <c r="D1353" s="9" t="s">
        <v>19</v>
      </c>
      <c r="E1353" s="54" t="s">
        <v>505</v>
      </c>
      <c r="F1353" s="15">
        <v>1.0</v>
      </c>
      <c r="G1353" s="37" t="s">
        <v>65</v>
      </c>
      <c r="H1353" s="31" t="e">
        <v>#N/A</v>
      </c>
      <c r="I1353" s="31" t="e">
        <v>#N/A</v>
      </c>
    </row>
    <row r="1354">
      <c r="A1354" s="11">
        <v>46153.745959699074</v>
      </c>
      <c r="B1354" s="9" t="s">
        <v>224</v>
      </c>
      <c r="C1354" s="9" t="s">
        <v>332</v>
      </c>
      <c r="D1354" s="37" t="s">
        <v>57</v>
      </c>
      <c r="E1354" s="14"/>
      <c r="F1354" s="15">
        <v>1.0</v>
      </c>
      <c r="G1354" s="37" t="s">
        <v>65</v>
      </c>
      <c r="H1354" s="31" t="e">
        <v>#N/A</v>
      </c>
      <c r="I1354" s="31" t="e">
        <v>#N/A</v>
      </c>
    </row>
    <row r="1355">
      <c r="A1355" s="11">
        <v>46153.77687457176</v>
      </c>
      <c r="B1355" s="9" t="s">
        <v>322</v>
      </c>
      <c r="C1355" s="9" t="s">
        <v>372</v>
      </c>
      <c r="D1355" s="9" t="s">
        <v>19</v>
      </c>
      <c r="E1355" s="14"/>
      <c r="F1355" s="15">
        <v>1.0</v>
      </c>
      <c r="G1355" s="37" t="s">
        <v>65</v>
      </c>
      <c r="H1355" s="31" t="e">
        <v>#N/A</v>
      </c>
      <c r="I1355" s="31" t="e">
        <v>#N/A</v>
      </c>
    </row>
    <row r="1356">
      <c r="A1356" s="11">
        <v>46153.77987113426</v>
      </c>
      <c r="B1356" s="9" t="s">
        <v>85</v>
      </c>
      <c r="C1356" s="9" t="s">
        <v>224</v>
      </c>
      <c r="D1356" s="37" t="s">
        <v>57</v>
      </c>
      <c r="E1356" s="54" t="s">
        <v>506</v>
      </c>
      <c r="F1356" s="15">
        <v>1.0</v>
      </c>
      <c r="G1356" s="37" t="s">
        <v>65</v>
      </c>
      <c r="H1356" s="31" t="e">
        <v>#N/A</v>
      </c>
      <c r="I1356" s="31" t="e">
        <v>#N/A</v>
      </c>
    </row>
    <row r="1357">
      <c r="A1357" s="11">
        <v>46153.79287659722</v>
      </c>
      <c r="B1357" s="9" t="s">
        <v>322</v>
      </c>
      <c r="C1357" s="9" t="s">
        <v>296</v>
      </c>
      <c r="D1357" s="9" t="s">
        <v>19</v>
      </c>
      <c r="E1357" s="14"/>
      <c r="F1357" s="15">
        <v>1.0</v>
      </c>
      <c r="G1357" s="37" t="s">
        <v>65</v>
      </c>
      <c r="H1357" s="31" t="e">
        <v>#N/A</v>
      </c>
      <c r="I1357" s="31" t="e">
        <v>#N/A</v>
      </c>
    </row>
    <row r="1358">
      <c r="A1358" s="11">
        <v>46153.80768703704</v>
      </c>
      <c r="B1358" s="9" t="s">
        <v>303</v>
      </c>
      <c r="C1358" s="9" t="s">
        <v>322</v>
      </c>
      <c r="D1358" s="9" t="s">
        <v>19</v>
      </c>
      <c r="E1358" s="54" t="s">
        <v>122</v>
      </c>
      <c r="F1358" s="15">
        <v>1.0</v>
      </c>
      <c r="G1358" s="37" t="s">
        <v>65</v>
      </c>
      <c r="H1358" s="31" t="e">
        <v>#N/A</v>
      </c>
      <c r="I1358" s="31" t="e">
        <v>#N/A</v>
      </c>
    </row>
    <row r="1359">
      <c r="A1359" s="11">
        <v>46153.81147138889</v>
      </c>
      <c r="B1359" s="9" t="s">
        <v>213</v>
      </c>
      <c r="C1359" s="9" t="s">
        <v>107</v>
      </c>
      <c r="D1359" s="9" t="s">
        <v>19</v>
      </c>
      <c r="E1359" s="14"/>
      <c r="F1359" s="15">
        <v>1.0</v>
      </c>
      <c r="G1359" s="37" t="s">
        <v>65</v>
      </c>
      <c r="H1359" s="31" t="e">
        <v>#N/A</v>
      </c>
      <c r="I1359" s="31" t="e">
        <v>#N/A</v>
      </c>
    </row>
    <row r="1360">
      <c r="A1360" s="11">
        <v>46153.83065210648</v>
      </c>
      <c r="B1360" s="9" t="s">
        <v>296</v>
      </c>
      <c r="C1360" s="9" t="s">
        <v>64</v>
      </c>
      <c r="D1360" s="37" t="s">
        <v>57</v>
      </c>
      <c r="E1360" s="14"/>
      <c r="F1360" s="15">
        <v>1.0</v>
      </c>
      <c r="G1360" s="37" t="s">
        <v>65</v>
      </c>
      <c r="H1360" s="31" t="e">
        <v>#N/A</v>
      </c>
      <c r="I1360" s="31" t="e">
        <v>#N/A</v>
      </c>
    </row>
    <row r="1361">
      <c r="A1361" s="11">
        <v>46153.83314559028</v>
      </c>
      <c r="B1361" s="9" t="s">
        <v>192</v>
      </c>
      <c r="C1361" s="9" t="s">
        <v>303</v>
      </c>
      <c r="D1361" s="37" t="s">
        <v>57</v>
      </c>
      <c r="E1361" s="14"/>
      <c r="F1361" s="15">
        <v>1.0</v>
      </c>
      <c r="G1361" s="37" t="s">
        <v>65</v>
      </c>
      <c r="H1361" s="31" t="e">
        <v>#N/A</v>
      </c>
      <c r="I1361" s="31" t="e">
        <v>#N/A</v>
      </c>
    </row>
    <row r="1362">
      <c r="A1362" s="11">
        <v>46153.83912391204</v>
      </c>
      <c r="B1362" s="9" t="s">
        <v>296</v>
      </c>
      <c r="C1362" s="9" t="s">
        <v>276</v>
      </c>
      <c r="D1362" s="9" t="s">
        <v>19</v>
      </c>
      <c r="F1362" s="15">
        <v>1.0</v>
      </c>
      <c r="G1362" s="37" t="s">
        <v>65</v>
      </c>
      <c r="H1362" s="31" t="e">
        <v>#N/A</v>
      </c>
      <c r="I1362" s="31" t="e">
        <v>#N/A</v>
      </c>
    </row>
    <row r="1363">
      <c r="A1363" s="11">
        <v>46153.87340577546</v>
      </c>
      <c r="B1363" s="9" t="s">
        <v>342</v>
      </c>
      <c r="C1363" s="9" t="s">
        <v>198</v>
      </c>
      <c r="D1363" s="9" t="s">
        <v>19</v>
      </c>
      <c r="F1363" s="15">
        <v>1.0</v>
      </c>
      <c r="G1363" s="37" t="s">
        <v>65</v>
      </c>
      <c r="H1363" s="31" t="e">
        <v>#N/A</v>
      </c>
      <c r="I1363" s="31" t="e">
        <v>#N/A</v>
      </c>
    </row>
    <row r="1364">
      <c r="A1364" s="11">
        <v>46153.87380126158</v>
      </c>
      <c r="B1364" s="9" t="s">
        <v>192</v>
      </c>
      <c r="C1364" s="9" t="s">
        <v>366</v>
      </c>
      <c r="D1364" s="9" t="s">
        <v>19</v>
      </c>
      <c r="F1364" s="15">
        <v>1.0</v>
      </c>
      <c r="G1364" s="37" t="s">
        <v>65</v>
      </c>
      <c r="H1364" s="31" t="e">
        <v>#N/A</v>
      </c>
      <c r="I1364" s="31" t="e">
        <v>#N/A</v>
      </c>
    </row>
    <row r="1365">
      <c r="A1365" s="11">
        <v>46153.89173851852</v>
      </c>
      <c r="B1365" s="9" t="s">
        <v>165</v>
      </c>
      <c r="C1365" s="9" t="s">
        <v>163</v>
      </c>
      <c r="D1365" s="37" t="s">
        <v>57</v>
      </c>
      <c r="F1365" s="15">
        <v>1.0</v>
      </c>
      <c r="G1365" s="37" t="s">
        <v>65</v>
      </c>
      <c r="H1365" s="31" t="e">
        <v>#N/A</v>
      </c>
      <c r="I1365" s="31" t="e">
        <v>#N/A</v>
      </c>
    </row>
    <row r="1366">
      <c r="A1366" s="11">
        <v>46153.89214653935</v>
      </c>
      <c r="B1366" s="9" t="s">
        <v>245</v>
      </c>
      <c r="C1366" s="9" t="s">
        <v>276</v>
      </c>
      <c r="D1366" s="9" t="s">
        <v>19</v>
      </c>
      <c r="F1366" s="15">
        <v>1.0</v>
      </c>
      <c r="G1366" s="37" t="s">
        <v>65</v>
      </c>
      <c r="H1366" s="31" t="e">
        <v>#N/A</v>
      </c>
      <c r="I1366" s="31" t="e">
        <v>#N/A</v>
      </c>
    </row>
    <row r="1367">
      <c r="A1367" s="11">
        <v>46153.895239108795</v>
      </c>
      <c r="B1367" s="9" t="s">
        <v>152</v>
      </c>
      <c r="C1367" s="9" t="s">
        <v>192</v>
      </c>
      <c r="D1367" s="9" t="s">
        <v>19</v>
      </c>
      <c r="F1367" s="15">
        <v>1.0</v>
      </c>
      <c r="G1367" s="37" t="s">
        <v>65</v>
      </c>
      <c r="H1367" s="31" t="e">
        <v>#N/A</v>
      </c>
      <c r="I1367" s="31" t="e">
        <v>#N/A</v>
      </c>
    </row>
    <row r="1368">
      <c r="A1368" s="11">
        <v>46153.90266987268</v>
      </c>
      <c r="B1368" s="9" t="s">
        <v>173</v>
      </c>
      <c r="C1368" s="9" t="s">
        <v>337</v>
      </c>
      <c r="D1368" s="37" t="s">
        <v>57</v>
      </c>
      <c r="F1368" s="15">
        <v>1.0</v>
      </c>
      <c r="G1368" s="37" t="s">
        <v>65</v>
      </c>
      <c r="H1368" s="31" t="e">
        <v>#N/A</v>
      </c>
      <c r="I1368" s="31" t="e">
        <v>#N/A</v>
      </c>
    </row>
    <row r="1369">
      <c r="A1369" s="11">
        <v>46153.9046912037</v>
      </c>
      <c r="B1369" s="9" t="s">
        <v>263</v>
      </c>
      <c r="C1369" s="9" t="s">
        <v>303</v>
      </c>
      <c r="D1369" s="9" t="s">
        <v>19</v>
      </c>
      <c r="E1369" s="9" t="s">
        <v>265</v>
      </c>
      <c r="F1369" s="15">
        <v>1.0</v>
      </c>
      <c r="G1369" s="37" t="s">
        <v>65</v>
      </c>
      <c r="H1369" s="31" t="e">
        <v>#N/A</v>
      </c>
      <c r="I1369" s="31" t="e">
        <v>#N/A</v>
      </c>
    </row>
    <row r="1370">
      <c r="A1370" s="11">
        <v>46153.93691239583</v>
      </c>
      <c r="B1370" s="9" t="s">
        <v>110</v>
      </c>
      <c r="C1370" s="9" t="s">
        <v>121</v>
      </c>
      <c r="D1370" s="37" t="s">
        <v>57</v>
      </c>
      <c r="F1370" s="15">
        <v>1.0</v>
      </c>
      <c r="G1370" s="37" t="s">
        <v>65</v>
      </c>
      <c r="H1370" s="31" t="e">
        <v>#N/A</v>
      </c>
      <c r="I1370" s="31" t="e">
        <v>#N/A</v>
      </c>
    </row>
    <row r="1371">
      <c r="A1371" s="11">
        <v>46153.945034143515</v>
      </c>
      <c r="B1371" s="9" t="s">
        <v>343</v>
      </c>
      <c r="C1371" s="9" t="s">
        <v>359</v>
      </c>
      <c r="D1371" s="9" t="s">
        <v>19</v>
      </c>
      <c r="F1371" s="15">
        <v>1.0</v>
      </c>
      <c r="G1371" s="37" t="s">
        <v>65</v>
      </c>
      <c r="H1371" s="31" t="e">
        <v>#N/A</v>
      </c>
      <c r="I1371" s="31" t="e">
        <v>#N/A</v>
      </c>
    </row>
    <row r="1372">
      <c r="A1372" s="11">
        <v>46153.95473131945</v>
      </c>
      <c r="B1372" s="9" t="s">
        <v>67</v>
      </c>
      <c r="C1372" s="9" t="s">
        <v>235</v>
      </c>
      <c r="D1372" s="37" t="s">
        <v>57</v>
      </c>
      <c r="F1372" s="15">
        <v>1.0</v>
      </c>
      <c r="H1372" s="31" t="e">
        <v>#N/A</v>
      </c>
      <c r="I1372" s="31" t="e">
        <v>#N/A</v>
      </c>
    </row>
    <row r="1373">
      <c r="A1373" s="11">
        <v>46153.96829761574</v>
      </c>
      <c r="B1373" s="9" t="s">
        <v>343</v>
      </c>
      <c r="C1373" s="9" t="s">
        <v>263</v>
      </c>
      <c r="D1373" s="9" t="s">
        <v>19</v>
      </c>
      <c r="F1373" s="15">
        <v>1.0</v>
      </c>
      <c r="G1373" s="37" t="s">
        <v>65</v>
      </c>
      <c r="H1373" s="31" t="e">
        <v>#N/A</v>
      </c>
      <c r="I1373" s="31" t="e">
        <v>#N/A</v>
      </c>
    </row>
    <row r="1374">
      <c r="A1374" s="11">
        <v>46153.97194710648</v>
      </c>
      <c r="B1374" s="9" t="s">
        <v>143</v>
      </c>
      <c r="C1374" s="9" t="s">
        <v>376</v>
      </c>
      <c r="D1374" s="9" t="s">
        <v>19</v>
      </c>
      <c r="F1374" s="15">
        <v>1.0</v>
      </c>
      <c r="G1374" s="37" t="s">
        <v>65</v>
      </c>
      <c r="H1374" s="31" t="e">
        <v>#N/A</v>
      </c>
      <c r="I1374" s="31" t="e">
        <v>#N/A</v>
      </c>
    </row>
    <row r="1375">
      <c r="A1375" s="11">
        <v>46153.973022418984</v>
      </c>
      <c r="B1375" s="9" t="s">
        <v>173</v>
      </c>
      <c r="C1375" s="9" t="s">
        <v>169</v>
      </c>
      <c r="D1375" s="9" t="s">
        <v>19</v>
      </c>
      <c r="F1375" s="15">
        <v>1.0</v>
      </c>
      <c r="G1375" s="37" t="s">
        <v>65</v>
      </c>
      <c r="H1375" s="31" t="e">
        <v>#N/A</v>
      </c>
      <c r="I1375" s="31" t="e">
        <v>#N/A</v>
      </c>
    </row>
    <row r="1376">
      <c r="A1376" s="11">
        <v>46153.975663888894</v>
      </c>
      <c r="B1376" s="9" t="s">
        <v>18</v>
      </c>
      <c r="C1376" s="9" t="s">
        <v>67</v>
      </c>
      <c r="D1376" s="37" t="s">
        <v>57</v>
      </c>
      <c r="F1376" s="15">
        <v>1.0</v>
      </c>
      <c r="G1376" s="37" t="s">
        <v>65</v>
      </c>
      <c r="H1376" s="31" t="e">
        <v>#N/A</v>
      </c>
      <c r="I1376" s="31" t="e">
        <v>#N/A</v>
      </c>
    </row>
    <row r="1377">
      <c r="A1377" s="11">
        <v>46153.98866456018</v>
      </c>
      <c r="B1377" s="9" t="s">
        <v>276</v>
      </c>
      <c r="C1377" s="9" t="s">
        <v>18</v>
      </c>
      <c r="D1377" s="37" t="s">
        <v>57</v>
      </c>
      <c r="F1377" s="15">
        <v>1.0</v>
      </c>
      <c r="G1377" s="37" t="s">
        <v>65</v>
      </c>
      <c r="H1377" s="31" t="e">
        <v>#N/A</v>
      </c>
      <c r="I1377" s="31" t="e">
        <v>#N/A</v>
      </c>
    </row>
    <row r="1378">
      <c r="A1378" s="11">
        <v>46153.998618541664</v>
      </c>
      <c r="B1378" s="9" t="s">
        <v>376</v>
      </c>
      <c r="C1378" s="9" t="s">
        <v>100</v>
      </c>
      <c r="D1378" s="9" t="s">
        <v>19</v>
      </c>
      <c r="F1378" s="15">
        <v>1.0</v>
      </c>
      <c r="G1378" s="37" t="s">
        <v>65</v>
      </c>
      <c r="H1378" s="31" t="e">
        <v>#N/A</v>
      </c>
      <c r="I1378" s="31" t="e">
        <v>#N/A</v>
      </c>
    </row>
    <row r="1379">
      <c r="A1379" s="11">
        <v>46154.005608472224</v>
      </c>
      <c r="B1379" s="9" t="s">
        <v>67</v>
      </c>
      <c r="C1379" s="9" t="s">
        <v>101</v>
      </c>
      <c r="D1379" s="37" t="s">
        <v>57</v>
      </c>
      <c r="F1379" s="15">
        <v>1.0</v>
      </c>
      <c r="G1379" s="37" t="s">
        <v>65</v>
      </c>
      <c r="H1379" s="31" t="e">
        <v>#N/A</v>
      </c>
      <c r="I1379" s="31" t="e">
        <v>#N/A</v>
      </c>
    </row>
    <row r="1380">
      <c r="A1380" s="11">
        <v>46154.00963951389</v>
      </c>
      <c r="B1380" s="9" t="s">
        <v>169</v>
      </c>
      <c r="C1380" s="9" t="s">
        <v>340</v>
      </c>
      <c r="D1380" s="37" t="s">
        <v>57</v>
      </c>
      <c r="F1380" s="15">
        <v>1.0</v>
      </c>
      <c r="G1380" s="37" t="s">
        <v>65</v>
      </c>
      <c r="H1380" s="31" t="e">
        <v>#N/A</v>
      </c>
      <c r="I1380" s="31" t="e">
        <v>#N/A</v>
      </c>
    </row>
    <row r="1381">
      <c r="A1381" s="11">
        <v>46154.02103125</v>
      </c>
      <c r="B1381" s="9" t="s">
        <v>322</v>
      </c>
      <c r="C1381" s="9" t="s">
        <v>18</v>
      </c>
      <c r="D1381" s="37" t="s">
        <v>57</v>
      </c>
      <c r="F1381" s="15">
        <v>1.0</v>
      </c>
      <c r="G1381" s="37" t="s">
        <v>65</v>
      </c>
      <c r="H1381" s="31" t="e">
        <v>#N/A</v>
      </c>
      <c r="I1381" s="31" t="e">
        <v>#N/A</v>
      </c>
    </row>
    <row r="1382">
      <c r="A1382" s="11">
        <v>46154.02785083333</v>
      </c>
      <c r="B1382" s="9" t="s">
        <v>101</v>
      </c>
      <c r="C1382" s="9" t="s">
        <v>354</v>
      </c>
      <c r="D1382" s="9" t="s">
        <v>19</v>
      </c>
      <c r="E1382" s="9" t="s">
        <v>321</v>
      </c>
      <c r="F1382" s="15">
        <v>1.0</v>
      </c>
      <c r="G1382" s="37" t="s">
        <v>65</v>
      </c>
      <c r="H1382" s="31" t="e">
        <v>#N/A</v>
      </c>
      <c r="I1382" s="31" t="e">
        <v>#N/A</v>
      </c>
    </row>
    <row r="1383">
      <c r="A1383" s="11">
        <v>46154.043435775464</v>
      </c>
      <c r="B1383" s="9" t="s">
        <v>281</v>
      </c>
      <c r="C1383" s="9" t="s">
        <v>185</v>
      </c>
      <c r="D1383" s="9" t="s">
        <v>19</v>
      </c>
      <c r="E1383" s="9" t="s">
        <v>507</v>
      </c>
      <c r="F1383" s="15">
        <v>1.0</v>
      </c>
      <c r="G1383" s="37" t="s">
        <v>65</v>
      </c>
      <c r="H1383" s="31" t="e">
        <v>#N/A</v>
      </c>
      <c r="I1383" s="31" t="e">
        <v>#N/A</v>
      </c>
    </row>
    <row r="1384">
      <c r="A1384" s="11">
        <v>46154.04795299769</v>
      </c>
      <c r="B1384" s="9" t="s">
        <v>290</v>
      </c>
      <c r="C1384" s="9" t="s">
        <v>67</v>
      </c>
      <c r="D1384" s="37" t="s">
        <v>57</v>
      </c>
      <c r="E1384" s="9" t="s">
        <v>508</v>
      </c>
      <c r="F1384" s="15">
        <v>1.0</v>
      </c>
      <c r="G1384" s="37" t="s">
        <v>65</v>
      </c>
      <c r="H1384" s="31" t="e">
        <v>#N/A</v>
      </c>
      <c r="I1384" s="31" t="e">
        <v>#N/A</v>
      </c>
    </row>
    <row r="1385">
      <c r="A1385" s="11">
        <v>46154.04814616898</v>
      </c>
      <c r="B1385" s="9" t="s">
        <v>101</v>
      </c>
      <c r="C1385" s="9" t="s">
        <v>323</v>
      </c>
      <c r="D1385" s="37" t="s">
        <v>57</v>
      </c>
      <c r="F1385" s="15">
        <v>1.0</v>
      </c>
      <c r="G1385" s="37" t="s">
        <v>65</v>
      </c>
      <c r="H1385" s="31" t="e">
        <v>#N/A</v>
      </c>
      <c r="I1385" s="31" t="e">
        <v>#N/A</v>
      </c>
    </row>
    <row r="1386">
      <c r="A1386" s="11">
        <v>46154.063678402774</v>
      </c>
      <c r="B1386" s="9" t="s">
        <v>281</v>
      </c>
      <c r="C1386" s="9" t="s">
        <v>356</v>
      </c>
      <c r="D1386" s="9" t="s">
        <v>19</v>
      </c>
      <c r="F1386" s="15">
        <v>1.0</v>
      </c>
      <c r="G1386" s="37" t="s">
        <v>65</v>
      </c>
      <c r="H1386" s="31" t="e">
        <v>#N/A</v>
      </c>
      <c r="I1386" s="31" t="e">
        <v>#N/A</v>
      </c>
    </row>
    <row r="1387">
      <c r="A1387" s="11">
        <v>46154.07213515046</v>
      </c>
      <c r="B1387" s="9" t="s">
        <v>281</v>
      </c>
      <c r="C1387" s="9" t="s">
        <v>101</v>
      </c>
      <c r="D1387" s="9" t="s">
        <v>19</v>
      </c>
      <c r="F1387" s="15">
        <v>1.0</v>
      </c>
      <c r="G1387" s="37" t="s">
        <v>65</v>
      </c>
      <c r="H1387" s="31" t="e">
        <v>#N/A</v>
      </c>
      <c r="I1387" s="31" t="e">
        <v>#N/A</v>
      </c>
    </row>
    <row r="1388">
      <c r="A1388" s="11">
        <v>46154.10045890046</v>
      </c>
      <c r="B1388" s="9" t="s">
        <v>323</v>
      </c>
      <c r="C1388" s="9" t="s">
        <v>281</v>
      </c>
      <c r="D1388" s="37" t="s">
        <v>57</v>
      </c>
      <c r="F1388" s="15">
        <v>1.0</v>
      </c>
      <c r="G1388" s="37" t="s">
        <v>65</v>
      </c>
      <c r="H1388" s="31" t="e">
        <v>#N/A</v>
      </c>
      <c r="I1388" s="31" t="e">
        <v>#N/A</v>
      </c>
    </row>
    <row r="1389">
      <c r="A1389" s="11">
        <v>46154.391506643515</v>
      </c>
      <c r="B1389" s="9" t="s">
        <v>277</v>
      </c>
      <c r="C1389" s="9" t="s">
        <v>351</v>
      </c>
      <c r="D1389" s="9" t="s">
        <v>19</v>
      </c>
      <c r="F1389" s="15">
        <v>1.0</v>
      </c>
      <c r="G1389" s="37" t="s">
        <v>65</v>
      </c>
      <c r="H1389" s="31" t="e">
        <v>#N/A</v>
      </c>
      <c r="I1389" s="31" t="e">
        <v>#N/A</v>
      </c>
    </row>
    <row r="1390">
      <c r="A1390" s="11">
        <v>46154.41984664352</v>
      </c>
      <c r="B1390" s="9" t="s">
        <v>277</v>
      </c>
      <c r="C1390" s="9" t="s">
        <v>172</v>
      </c>
      <c r="D1390" s="9" t="s">
        <v>19</v>
      </c>
      <c r="F1390" s="15">
        <v>1.0</v>
      </c>
      <c r="G1390" s="37" t="s">
        <v>65</v>
      </c>
      <c r="H1390" s="31" t="e">
        <v>#N/A</v>
      </c>
      <c r="I1390" s="31" t="e">
        <v>#N/A</v>
      </c>
    </row>
    <row r="1391">
      <c r="A1391" s="11">
        <v>46154.44126305556</v>
      </c>
      <c r="B1391" s="9" t="s">
        <v>424</v>
      </c>
      <c r="C1391" s="9" t="s">
        <v>219</v>
      </c>
      <c r="D1391" s="9" t="s">
        <v>19</v>
      </c>
      <c r="E1391" s="9" t="s">
        <v>112</v>
      </c>
      <c r="F1391" s="15">
        <v>1.0</v>
      </c>
      <c r="G1391" s="37" t="s">
        <v>65</v>
      </c>
      <c r="H1391" s="31" t="e">
        <v>#N/A</v>
      </c>
      <c r="I1391" s="31" t="e">
        <v>#N/A</v>
      </c>
    </row>
    <row r="1392">
      <c r="A1392" s="11">
        <v>46154.468365243054</v>
      </c>
      <c r="B1392" s="9" t="s">
        <v>101</v>
      </c>
      <c r="C1392" s="9" t="s">
        <v>260</v>
      </c>
      <c r="D1392" s="9" t="s">
        <v>19</v>
      </c>
      <c r="E1392" s="9" t="s">
        <v>321</v>
      </c>
      <c r="F1392" s="15">
        <v>1.0</v>
      </c>
      <c r="G1392" s="37" t="s">
        <v>65</v>
      </c>
      <c r="H1392" s="31" t="e">
        <v>#N/A</v>
      </c>
      <c r="I1392" s="31" t="e">
        <v>#N/A</v>
      </c>
    </row>
    <row r="1393">
      <c r="A1393" s="11">
        <v>46154.50455547454</v>
      </c>
      <c r="B1393" s="9" t="s">
        <v>245</v>
      </c>
      <c r="C1393" s="9" t="s">
        <v>359</v>
      </c>
      <c r="D1393" s="37" t="s">
        <v>57</v>
      </c>
      <c r="F1393" s="15">
        <v>1.0</v>
      </c>
      <c r="G1393" s="37" t="s">
        <v>65</v>
      </c>
      <c r="H1393" s="31" t="e">
        <v>#N/A</v>
      </c>
      <c r="I1393" s="31" t="e">
        <v>#N/A</v>
      </c>
    </row>
    <row r="1394">
      <c r="A1394" s="11">
        <v>46154.53143513889</v>
      </c>
      <c r="B1394" s="9" t="s">
        <v>252</v>
      </c>
      <c r="C1394" s="9" t="s">
        <v>84</v>
      </c>
      <c r="D1394" s="37" t="s">
        <v>57</v>
      </c>
      <c r="F1394" s="15">
        <v>1.0</v>
      </c>
      <c r="G1394" s="37" t="s">
        <v>65</v>
      </c>
      <c r="H1394" s="31" t="e">
        <v>#N/A</v>
      </c>
      <c r="I1394" s="31" t="e">
        <v>#N/A</v>
      </c>
    </row>
    <row r="1395">
      <c r="A1395" s="11">
        <v>46154.539663206015</v>
      </c>
      <c r="B1395" s="9" t="s">
        <v>379</v>
      </c>
      <c r="C1395" s="9" t="s">
        <v>328</v>
      </c>
      <c r="D1395" s="37" t="s">
        <v>57</v>
      </c>
      <c r="E1395" s="9" t="s">
        <v>265</v>
      </c>
      <c r="F1395" s="15">
        <v>1.0</v>
      </c>
      <c r="G1395" s="37" t="s">
        <v>65</v>
      </c>
      <c r="H1395" s="31" t="e">
        <v>#N/A</v>
      </c>
      <c r="I1395" s="31" t="e">
        <v>#N/A</v>
      </c>
    </row>
    <row r="1396">
      <c r="A1396" s="11">
        <v>46154.55433309027</v>
      </c>
      <c r="B1396" s="9" t="s">
        <v>245</v>
      </c>
      <c r="C1396" s="9" t="s">
        <v>328</v>
      </c>
      <c r="D1396" s="9" t="s">
        <v>19</v>
      </c>
      <c r="F1396" s="15">
        <v>1.0</v>
      </c>
      <c r="G1396" s="37" t="s">
        <v>65</v>
      </c>
      <c r="H1396" s="31" t="e">
        <v>#N/A</v>
      </c>
      <c r="I1396" s="31" t="e">
        <v>#N/A</v>
      </c>
    </row>
    <row r="1397">
      <c r="A1397" s="11">
        <v>46154.56903086806</v>
      </c>
      <c r="B1397" s="9" t="s">
        <v>114</v>
      </c>
      <c r="C1397" s="9" t="s">
        <v>252</v>
      </c>
      <c r="D1397" s="37" t="s">
        <v>57</v>
      </c>
      <c r="F1397" s="15">
        <v>1.0</v>
      </c>
      <c r="G1397" s="37" t="s">
        <v>65</v>
      </c>
      <c r="H1397" s="31" t="e">
        <v>#N/A</v>
      </c>
      <c r="I1397" s="31" t="e">
        <v>#N/A</v>
      </c>
    </row>
    <row r="1398">
      <c r="A1398" s="11">
        <v>46154.58432739583</v>
      </c>
      <c r="B1398" s="9" t="s">
        <v>335</v>
      </c>
      <c r="C1398" s="9" t="s">
        <v>355</v>
      </c>
      <c r="D1398" s="9" t="s">
        <v>19</v>
      </c>
      <c r="E1398" s="9" t="s">
        <v>408</v>
      </c>
      <c r="F1398" s="15">
        <v>1.0</v>
      </c>
      <c r="G1398" s="37" t="s">
        <v>65</v>
      </c>
      <c r="H1398" s="31" t="e">
        <v>#N/A</v>
      </c>
      <c r="I1398" s="31" t="e">
        <v>#N/A</v>
      </c>
    </row>
    <row r="1399">
      <c r="A1399" s="11">
        <v>46154.61527098379</v>
      </c>
      <c r="B1399" s="9" t="s">
        <v>152</v>
      </c>
      <c r="C1399" s="9" t="s">
        <v>139</v>
      </c>
      <c r="D1399" s="37" t="s">
        <v>57</v>
      </c>
      <c r="E1399" s="9" t="s">
        <v>509</v>
      </c>
      <c r="F1399" s="15">
        <v>1.0</v>
      </c>
      <c r="G1399" s="37" t="s">
        <v>65</v>
      </c>
      <c r="H1399" s="31" t="e">
        <v>#N/A</v>
      </c>
      <c r="I1399" s="31" t="e">
        <v>#N/A</v>
      </c>
    </row>
    <row r="1400">
      <c r="A1400" s="11">
        <v>46154.63692611111</v>
      </c>
      <c r="B1400" s="9" t="s">
        <v>302</v>
      </c>
      <c r="C1400" s="9" t="s">
        <v>256</v>
      </c>
      <c r="D1400" s="37" t="s">
        <v>57</v>
      </c>
      <c r="E1400" s="9" t="s">
        <v>122</v>
      </c>
      <c r="F1400" s="15">
        <v>1.0</v>
      </c>
      <c r="G1400" s="37" t="s">
        <v>65</v>
      </c>
      <c r="H1400" s="31" t="e">
        <v>#N/A</v>
      </c>
      <c r="I1400" s="31" t="e">
        <v>#N/A</v>
      </c>
    </row>
    <row r="1401">
      <c r="A1401" s="11">
        <v>46154.661623506945</v>
      </c>
      <c r="B1401" s="9" t="s">
        <v>263</v>
      </c>
      <c r="C1401" s="9" t="s">
        <v>115</v>
      </c>
      <c r="D1401" s="37" t="s">
        <v>57</v>
      </c>
      <c r="E1401" s="9" t="s">
        <v>265</v>
      </c>
      <c r="F1401" s="15">
        <v>1.0</v>
      </c>
      <c r="G1401" s="37" t="s">
        <v>65</v>
      </c>
      <c r="H1401" s="31" t="e">
        <v>#N/A</v>
      </c>
      <c r="I1401" s="31" t="e">
        <v>#N/A</v>
      </c>
    </row>
    <row r="1402">
      <c r="A1402" s="11">
        <v>46154.666845960644</v>
      </c>
      <c r="B1402" s="9" t="s">
        <v>67</v>
      </c>
      <c r="C1402" s="9" t="s">
        <v>256</v>
      </c>
      <c r="D1402" s="37" t="s">
        <v>57</v>
      </c>
      <c r="F1402" s="15">
        <v>1.0</v>
      </c>
      <c r="G1402" s="37" t="s">
        <v>65</v>
      </c>
      <c r="H1402" s="31" t="e">
        <v>#N/A</v>
      </c>
      <c r="I1402" s="31" t="e">
        <v>#N/A</v>
      </c>
    </row>
    <row r="1403">
      <c r="A1403" s="11">
        <v>46154.67743309028</v>
      </c>
      <c r="B1403" s="9" t="s">
        <v>104</v>
      </c>
      <c r="C1403" s="9" t="s">
        <v>315</v>
      </c>
      <c r="D1403" s="37" t="s">
        <v>57</v>
      </c>
      <c r="E1403" s="9" t="s">
        <v>321</v>
      </c>
      <c r="F1403" s="15">
        <v>1.0</v>
      </c>
      <c r="G1403" s="37" t="s">
        <v>65</v>
      </c>
      <c r="H1403" s="31" t="e">
        <v>#N/A</v>
      </c>
      <c r="I1403" s="31" t="e">
        <v>#N/A</v>
      </c>
    </row>
    <row r="1404">
      <c r="A1404" s="11">
        <v>46154.6780974537</v>
      </c>
      <c r="B1404" s="9" t="s">
        <v>337</v>
      </c>
      <c r="C1404" s="9" t="s">
        <v>182</v>
      </c>
      <c r="D1404" s="9" t="s">
        <v>19</v>
      </c>
      <c r="F1404" s="15">
        <v>1.0</v>
      </c>
      <c r="G1404" s="37" t="s">
        <v>65</v>
      </c>
      <c r="H1404" s="31" t="e">
        <v>#N/A</v>
      </c>
      <c r="I1404" s="31" t="e">
        <v>#N/A</v>
      </c>
    </row>
    <row r="1405">
      <c r="A1405" s="11">
        <v>46154.68338731481</v>
      </c>
      <c r="B1405" s="9" t="s">
        <v>114</v>
      </c>
      <c r="C1405" s="9" t="s">
        <v>256</v>
      </c>
      <c r="D1405" s="9" t="s">
        <v>19</v>
      </c>
      <c r="F1405" s="15">
        <v>1.0</v>
      </c>
      <c r="G1405" s="37" t="s">
        <v>65</v>
      </c>
      <c r="H1405" s="31" t="e">
        <v>#N/A</v>
      </c>
      <c r="I1405" s="31" t="e">
        <v>#N/A</v>
      </c>
    </row>
    <row r="1406">
      <c r="A1406" s="11">
        <v>46154.68431603009</v>
      </c>
      <c r="B1406" s="9" t="s">
        <v>164</v>
      </c>
      <c r="C1406" s="9" t="s">
        <v>424</v>
      </c>
      <c r="D1406" s="37" t="s">
        <v>57</v>
      </c>
      <c r="F1406" s="15">
        <v>1.0</v>
      </c>
      <c r="G1406" s="37" t="s">
        <v>65</v>
      </c>
      <c r="H1406" s="31" t="e">
        <v>#N/A</v>
      </c>
      <c r="I1406" s="31" t="e">
        <v>#N/A</v>
      </c>
    </row>
    <row r="1407">
      <c r="A1407" s="11">
        <v>46154.70524407407</v>
      </c>
      <c r="B1407" s="9" t="s">
        <v>254</v>
      </c>
      <c r="C1407" s="9" t="s">
        <v>424</v>
      </c>
      <c r="D1407" s="9" t="s">
        <v>19</v>
      </c>
      <c r="E1407" s="9" t="s">
        <v>255</v>
      </c>
      <c r="F1407" s="15">
        <v>1.0</v>
      </c>
      <c r="G1407" s="37" t="s">
        <v>65</v>
      </c>
      <c r="H1407" s="31" t="e">
        <v>#N/A</v>
      </c>
      <c r="I1407" s="31" t="e">
        <v>#N/A</v>
      </c>
    </row>
    <row r="1408">
      <c r="A1408" s="11">
        <v>46154.71798086805</v>
      </c>
      <c r="B1408" s="9" t="s">
        <v>263</v>
      </c>
      <c r="C1408" s="9" t="s">
        <v>104</v>
      </c>
      <c r="D1408" s="9" t="s">
        <v>19</v>
      </c>
      <c r="E1408" s="9" t="s">
        <v>265</v>
      </c>
      <c r="F1408" s="15">
        <v>1.0</v>
      </c>
      <c r="G1408" s="37" t="s">
        <v>65</v>
      </c>
      <c r="H1408" s="31" t="e">
        <v>#N/A</v>
      </c>
      <c r="I1408" s="31" t="e">
        <v>#N/A</v>
      </c>
    </row>
    <row r="1409">
      <c r="A1409" s="11">
        <v>46154.74607414352</v>
      </c>
      <c r="B1409" s="9" t="s">
        <v>104</v>
      </c>
      <c r="C1409" s="9" t="s">
        <v>254</v>
      </c>
      <c r="D1409" s="37" t="s">
        <v>57</v>
      </c>
      <c r="E1409" s="9" t="s">
        <v>102</v>
      </c>
      <c r="F1409" s="15">
        <v>1.0</v>
      </c>
      <c r="G1409" s="37" t="s">
        <v>65</v>
      </c>
      <c r="H1409" s="31" t="e">
        <v>#N/A</v>
      </c>
      <c r="I1409" s="31" t="e">
        <v>#N/A</v>
      </c>
    </row>
    <row r="1410">
      <c r="A1410" s="11">
        <v>46154.74997265046</v>
      </c>
      <c r="B1410" s="9" t="s">
        <v>224</v>
      </c>
      <c r="C1410" s="9" t="s">
        <v>373</v>
      </c>
      <c r="D1410" s="9" t="s">
        <v>19</v>
      </c>
      <c r="F1410" s="15">
        <v>1.0</v>
      </c>
      <c r="G1410" s="37" t="s">
        <v>65</v>
      </c>
      <c r="H1410" s="31" t="e">
        <v>#N/A</v>
      </c>
      <c r="I1410" s="31" t="e">
        <v>#N/A</v>
      </c>
    </row>
    <row r="1411">
      <c r="A1411" s="11">
        <v>46154.77626388889</v>
      </c>
      <c r="B1411" s="9" t="s">
        <v>157</v>
      </c>
      <c r="C1411" s="9" t="s">
        <v>224</v>
      </c>
      <c r="D1411" s="37" t="s">
        <v>57</v>
      </c>
      <c r="E1411" s="9" t="s">
        <v>159</v>
      </c>
      <c r="F1411" s="15">
        <v>1.0</v>
      </c>
      <c r="G1411" s="37" t="s">
        <v>65</v>
      </c>
      <c r="H1411" s="31" t="e">
        <v>#N/A</v>
      </c>
      <c r="I1411" s="31" t="e">
        <v>#N/A</v>
      </c>
    </row>
    <row r="1412">
      <c r="A1412" s="11">
        <v>46154.779908321754</v>
      </c>
      <c r="B1412" s="9" t="s">
        <v>297</v>
      </c>
      <c r="C1412" s="9" t="s">
        <v>335</v>
      </c>
      <c r="D1412" s="37" t="s">
        <v>57</v>
      </c>
      <c r="F1412" s="15">
        <v>1.0</v>
      </c>
      <c r="G1412" s="37" t="s">
        <v>65</v>
      </c>
      <c r="H1412" s="31" t="e">
        <v>#N/A</v>
      </c>
      <c r="I1412" s="31" t="e">
        <v>#N/A</v>
      </c>
    </row>
    <row r="1413">
      <c r="A1413" s="11">
        <v>46154.784343657404</v>
      </c>
      <c r="B1413" s="9" t="s">
        <v>260</v>
      </c>
      <c r="C1413" s="9" t="s">
        <v>373</v>
      </c>
      <c r="D1413" s="37" t="s">
        <v>57</v>
      </c>
      <c r="F1413" s="15">
        <v>1.0</v>
      </c>
      <c r="G1413" s="37" t="s">
        <v>65</v>
      </c>
      <c r="H1413" s="31" t="e">
        <v>#N/A</v>
      </c>
      <c r="I1413" s="31" t="e">
        <v>#N/A</v>
      </c>
    </row>
    <row r="1414">
      <c r="A1414" s="11">
        <v>46154.78744371528</v>
      </c>
      <c r="B1414" s="9" t="s">
        <v>104</v>
      </c>
      <c r="C1414" s="9" t="s">
        <v>294</v>
      </c>
      <c r="D1414" s="37" t="s">
        <v>57</v>
      </c>
      <c r="E1414" s="9" t="s">
        <v>510</v>
      </c>
      <c r="F1414" s="15">
        <v>1.0</v>
      </c>
      <c r="G1414" s="37" t="s">
        <v>65</v>
      </c>
      <c r="H1414" s="31" t="e">
        <v>#N/A</v>
      </c>
      <c r="I1414" s="31" t="e">
        <v>#N/A</v>
      </c>
    </row>
    <row r="1415">
      <c r="A1415" s="11">
        <v>46154.79908815972</v>
      </c>
      <c r="B1415" s="9" t="s">
        <v>104</v>
      </c>
      <c r="C1415" s="9" t="s">
        <v>161</v>
      </c>
      <c r="D1415" s="9" t="s">
        <v>19</v>
      </c>
      <c r="E1415" s="9" t="s">
        <v>511</v>
      </c>
      <c r="F1415" s="15">
        <v>1.0</v>
      </c>
      <c r="G1415" s="37" t="s">
        <v>65</v>
      </c>
      <c r="H1415" s="31" t="e">
        <v>#N/A</v>
      </c>
      <c r="I1415" s="31" t="e">
        <v>#N/A</v>
      </c>
    </row>
    <row r="1416">
      <c r="A1416" s="11">
        <v>46154.80061501157</v>
      </c>
      <c r="B1416" s="9" t="s">
        <v>281</v>
      </c>
      <c r="C1416" s="9" t="s">
        <v>297</v>
      </c>
      <c r="D1416" s="37" t="s">
        <v>57</v>
      </c>
      <c r="F1416" s="15">
        <v>1.0</v>
      </c>
      <c r="G1416" s="37" t="s">
        <v>65</v>
      </c>
      <c r="H1416" s="31" t="e">
        <v>#N/A</v>
      </c>
      <c r="I1416" s="31" t="e">
        <v>#N/A</v>
      </c>
    </row>
    <row r="1417">
      <c r="A1417" s="11">
        <v>46154.828785150465</v>
      </c>
      <c r="B1417" s="9" t="s">
        <v>297</v>
      </c>
      <c r="C1417" s="9" t="s">
        <v>83</v>
      </c>
      <c r="D1417" s="9" t="s">
        <v>19</v>
      </c>
      <c r="F1417" s="15">
        <v>1.0</v>
      </c>
      <c r="G1417" s="37" t="s">
        <v>65</v>
      </c>
      <c r="H1417" s="31" t="e">
        <v>#N/A</v>
      </c>
      <c r="I1417" s="31" t="e">
        <v>#N/A</v>
      </c>
    </row>
    <row r="1418">
      <c r="A1418" s="11">
        <v>46154.84125780093</v>
      </c>
      <c r="B1418" s="9" t="s">
        <v>260</v>
      </c>
      <c r="C1418" s="9" t="s">
        <v>297</v>
      </c>
      <c r="D1418" s="37" t="s">
        <v>57</v>
      </c>
      <c r="F1418" s="15">
        <v>1.0</v>
      </c>
      <c r="G1418" s="37" t="s">
        <v>65</v>
      </c>
      <c r="H1418" s="31" t="e">
        <v>#N/A</v>
      </c>
      <c r="I1418" s="31" t="e">
        <v>#N/A</v>
      </c>
    </row>
    <row r="1419">
      <c r="A1419" s="11">
        <v>46154.845379606486</v>
      </c>
      <c r="B1419" s="9" t="s">
        <v>164</v>
      </c>
      <c r="C1419" s="9" t="s">
        <v>404</v>
      </c>
      <c r="D1419" s="37" t="s">
        <v>57</v>
      </c>
      <c r="F1419" s="15">
        <v>1.0</v>
      </c>
      <c r="G1419" s="37" t="s">
        <v>65</v>
      </c>
      <c r="H1419" s="31" t="e">
        <v>#N/A</v>
      </c>
      <c r="I1419" s="31" t="e">
        <v>#N/A</v>
      </c>
    </row>
    <row r="1420">
      <c r="A1420" s="11">
        <v>46154.8688897338</v>
      </c>
      <c r="B1420" s="9" t="s">
        <v>143</v>
      </c>
      <c r="C1420" s="9" t="s">
        <v>404</v>
      </c>
      <c r="D1420" s="37" t="s">
        <v>57</v>
      </c>
      <c r="E1420" s="9" t="s">
        <v>122</v>
      </c>
      <c r="F1420" s="15">
        <v>1.0</v>
      </c>
      <c r="G1420" s="37" t="s">
        <v>65</v>
      </c>
      <c r="H1420" s="31" t="e">
        <v>#N/A</v>
      </c>
      <c r="I1420" s="31" t="e">
        <v>#N/A</v>
      </c>
    </row>
    <row r="1421">
      <c r="A1421" s="11">
        <v>46154.87637067129</v>
      </c>
      <c r="B1421" s="9" t="s">
        <v>304</v>
      </c>
      <c r="C1421" s="9" t="s">
        <v>340</v>
      </c>
      <c r="D1421" s="9" t="s">
        <v>19</v>
      </c>
      <c r="E1421" s="9" t="s">
        <v>176</v>
      </c>
      <c r="F1421" s="15">
        <v>1.0</v>
      </c>
      <c r="H1421" s="31" t="e">
        <v>#N/A</v>
      </c>
      <c r="I1421" s="31" t="e">
        <v>#N/A</v>
      </c>
    </row>
    <row r="1422">
      <c r="A1422" s="11">
        <v>46154.885759282406</v>
      </c>
      <c r="B1422" s="9" t="s">
        <v>286</v>
      </c>
      <c r="C1422" s="9" t="s">
        <v>154</v>
      </c>
      <c r="D1422" s="37" t="s">
        <v>57</v>
      </c>
      <c r="F1422" s="15">
        <v>1.0</v>
      </c>
      <c r="G1422" s="37" t="s">
        <v>65</v>
      </c>
      <c r="H1422" s="31" t="e">
        <v>#N/A</v>
      </c>
      <c r="I1422" s="31" t="e">
        <v>#N/A</v>
      </c>
    </row>
    <row r="1423">
      <c r="A1423" s="11">
        <v>46154.90398971065</v>
      </c>
      <c r="B1423" s="9" t="s">
        <v>298</v>
      </c>
      <c r="C1423" s="9" t="s">
        <v>404</v>
      </c>
      <c r="D1423" s="37" t="s">
        <v>57</v>
      </c>
      <c r="F1423" s="15">
        <v>1.0</v>
      </c>
      <c r="G1423" s="37" t="s">
        <v>65</v>
      </c>
      <c r="H1423" s="31" t="e">
        <v>#N/A</v>
      </c>
      <c r="I1423" s="31" t="e">
        <v>#N/A</v>
      </c>
    </row>
    <row r="1424">
      <c r="A1424" s="11">
        <v>46154.914807685185</v>
      </c>
      <c r="B1424" s="9" t="s">
        <v>154</v>
      </c>
      <c r="C1424" s="9" t="s">
        <v>157</v>
      </c>
      <c r="D1424" s="9" t="s">
        <v>19</v>
      </c>
      <c r="F1424" s="15">
        <v>1.0</v>
      </c>
      <c r="G1424" s="37" t="s">
        <v>65</v>
      </c>
      <c r="H1424" s="31" t="e">
        <v>#N/A</v>
      </c>
      <c r="I1424" s="31" t="e">
        <v>#N/A</v>
      </c>
    </row>
    <row r="1425">
      <c r="A1425" s="11">
        <v>46154.93058292824</v>
      </c>
      <c r="B1425" s="9" t="s">
        <v>18</v>
      </c>
      <c r="C1425" s="9" t="s">
        <v>300</v>
      </c>
      <c r="D1425" s="9" t="s">
        <v>19</v>
      </c>
      <c r="F1425" s="15">
        <v>1.0</v>
      </c>
      <c r="G1425" s="37" t="s">
        <v>65</v>
      </c>
      <c r="H1425" s="31" t="e">
        <v>#N/A</v>
      </c>
      <c r="I1425" s="31" t="e">
        <v>#N/A</v>
      </c>
    </row>
    <row r="1426">
      <c r="A1426" s="11">
        <v>46154.931703009264</v>
      </c>
      <c r="B1426" s="9" t="s">
        <v>286</v>
      </c>
      <c r="C1426" s="9" t="s">
        <v>318</v>
      </c>
      <c r="D1426" s="37" t="s">
        <v>57</v>
      </c>
      <c r="F1426" s="15">
        <v>1.0</v>
      </c>
      <c r="G1426" s="37" t="s">
        <v>65</v>
      </c>
      <c r="H1426" s="31" t="e">
        <v>#N/A</v>
      </c>
      <c r="I1426" s="31" t="e">
        <v>#N/A</v>
      </c>
    </row>
    <row r="1427">
      <c r="A1427" s="11">
        <v>46154.9559590162</v>
      </c>
      <c r="B1427" s="9" t="s">
        <v>226</v>
      </c>
      <c r="C1427" s="9" t="s">
        <v>315</v>
      </c>
      <c r="D1427" s="9" t="s">
        <v>19</v>
      </c>
      <c r="E1427" s="9" t="s">
        <v>112</v>
      </c>
      <c r="F1427" s="15">
        <v>1.0</v>
      </c>
      <c r="G1427" s="37" t="s">
        <v>65</v>
      </c>
      <c r="H1427" s="31" t="e">
        <v>#N/A</v>
      </c>
      <c r="I1427" s="31" t="e">
        <v>#N/A</v>
      </c>
    </row>
    <row r="1428">
      <c r="A1428" s="11">
        <v>46154.9610908912</v>
      </c>
      <c r="B1428" s="9" t="s">
        <v>300</v>
      </c>
      <c r="C1428" s="9" t="s">
        <v>286</v>
      </c>
      <c r="D1428" s="9" t="s">
        <v>19</v>
      </c>
      <c r="E1428" s="9" t="s">
        <v>321</v>
      </c>
      <c r="F1428" s="15">
        <v>1.0</v>
      </c>
      <c r="G1428" s="37" t="s">
        <v>65</v>
      </c>
      <c r="H1428" s="31" t="e">
        <v>#N/A</v>
      </c>
      <c r="I1428" s="31" t="e">
        <v>#N/A</v>
      </c>
    </row>
    <row r="1429">
      <c r="A1429" s="11">
        <v>46154.98197327546</v>
      </c>
      <c r="B1429" s="9" t="s">
        <v>349</v>
      </c>
      <c r="C1429" s="9" t="s">
        <v>348</v>
      </c>
      <c r="D1429" s="9" t="s">
        <v>19</v>
      </c>
      <c r="F1429" s="15">
        <v>1.0</v>
      </c>
      <c r="G1429" s="37" t="s">
        <v>65</v>
      </c>
      <c r="H1429" s="31" t="e">
        <v>#N/A</v>
      </c>
      <c r="I1429" s="31" t="e">
        <v>#N/A</v>
      </c>
    </row>
    <row r="1430">
      <c r="A1430" s="11">
        <v>46154.987200972224</v>
      </c>
      <c r="B1430" s="9" t="s">
        <v>299</v>
      </c>
      <c r="C1430" s="9" t="s">
        <v>143</v>
      </c>
      <c r="D1430" s="37" t="s">
        <v>57</v>
      </c>
      <c r="F1430" s="15">
        <v>1.0</v>
      </c>
      <c r="G1430" s="37" t="s">
        <v>65</v>
      </c>
      <c r="H1430" s="31" t="e">
        <v>#N/A</v>
      </c>
      <c r="I1430" s="31" t="e">
        <v>#N/A</v>
      </c>
    </row>
    <row r="1431">
      <c r="A1431" s="11">
        <v>46154.99910274305</v>
      </c>
      <c r="B1431" s="9" t="s">
        <v>349</v>
      </c>
      <c r="C1431" s="9" t="s">
        <v>299</v>
      </c>
      <c r="D1431" s="9" t="s">
        <v>19</v>
      </c>
      <c r="F1431" s="15">
        <v>1.0</v>
      </c>
      <c r="G1431" s="37" t="s">
        <v>65</v>
      </c>
      <c r="H1431" s="31" t="e">
        <v>#N/A</v>
      </c>
      <c r="I1431" s="31" t="e">
        <v>#N/A</v>
      </c>
    </row>
    <row r="1432">
      <c r="A1432" s="11">
        <v>46155.00849078703</v>
      </c>
      <c r="B1432" s="9" t="s">
        <v>349</v>
      </c>
      <c r="C1432" s="9" t="s">
        <v>169</v>
      </c>
      <c r="D1432" s="9" t="s">
        <v>19</v>
      </c>
      <c r="F1432" s="15">
        <v>1.0</v>
      </c>
      <c r="G1432" s="37" t="s">
        <v>65</v>
      </c>
      <c r="H1432" s="31" t="e">
        <v>#N/A</v>
      </c>
      <c r="I1432" s="31" t="e">
        <v>#N/A</v>
      </c>
    </row>
    <row r="1433">
      <c r="A1433" s="11">
        <v>46155.01931149306</v>
      </c>
      <c r="B1433" s="9" t="s">
        <v>290</v>
      </c>
      <c r="C1433" s="9" t="s">
        <v>343</v>
      </c>
      <c r="D1433" s="37" t="s">
        <v>57</v>
      </c>
      <c r="E1433" s="9" t="s">
        <v>412</v>
      </c>
      <c r="F1433" s="15">
        <v>1.0</v>
      </c>
      <c r="G1433" s="37" t="s">
        <v>65</v>
      </c>
      <c r="H1433" s="31" t="e">
        <v>#N/A</v>
      </c>
      <c r="I1433" s="31" t="e">
        <v>#N/A</v>
      </c>
    </row>
    <row r="1434">
      <c r="A1434" s="11">
        <v>46155.05150170139</v>
      </c>
      <c r="B1434" s="9" t="s">
        <v>369</v>
      </c>
      <c r="C1434" s="9" t="s">
        <v>337</v>
      </c>
      <c r="D1434" s="9" t="s">
        <v>19</v>
      </c>
      <c r="F1434" s="15">
        <v>1.0</v>
      </c>
      <c r="G1434" s="37" t="s">
        <v>65</v>
      </c>
      <c r="H1434" s="31" t="e">
        <v>#N/A</v>
      </c>
      <c r="I1434" s="31" t="e">
        <v>#N/A</v>
      </c>
    </row>
    <row r="1435">
      <c r="A1435" s="11">
        <v>46155.28684424769</v>
      </c>
      <c r="B1435" s="9" t="s">
        <v>238</v>
      </c>
      <c r="C1435" s="9" t="s">
        <v>215</v>
      </c>
      <c r="D1435" s="37" t="s">
        <v>57</v>
      </c>
      <c r="E1435" s="9" t="s">
        <v>512</v>
      </c>
      <c r="F1435" s="15">
        <v>1.0</v>
      </c>
      <c r="G1435" s="37" t="s">
        <v>65</v>
      </c>
      <c r="H1435" s="31" t="e">
        <v>#N/A</v>
      </c>
      <c r="I1435" s="31" t="e">
        <v>#N/A</v>
      </c>
    </row>
    <row r="1436">
      <c r="A1436" s="11">
        <v>46155.436570289356</v>
      </c>
      <c r="B1436" s="9" t="s">
        <v>115</v>
      </c>
      <c r="C1436" s="9" t="s">
        <v>352</v>
      </c>
      <c r="D1436" s="37" t="s">
        <v>57</v>
      </c>
      <c r="E1436" s="9" t="s">
        <v>225</v>
      </c>
      <c r="F1436" s="15">
        <v>1.0</v>
      </c>
      <c r="G1436" s="37" t="s">
        <v>65</v>
      </c>
      <c r="H1436" s="31" t="e">
        <v>#N/A</v>
      </c>
      <c r="I1436" s="31" t="e">
        <v>#N/A</v>
      </c>
    </row>
    <row r="1437">
      <c r="A1437" s="11">
        <v>46155.45403813657</v>
      </c>
      <c r="B1437" s="9" t="s">
        <v>115</v>
      </c>
      <c r="C1437" s="9" t="s">
        <v>329</v>
      </c>
      <c r="D1437" s="9" t="s">
        <v>19</v>
      </c>
      <c r="E1437" s="9" t="s">
        <v>225</v>
      </c>
      <c r="F1437" s="15">
        <v>1.0</v>
      </c>
      <c r="G1437" s="37" t="s">
        <v>65</v>
      </c>
      <c r="H1437" s="31" t="e">
        <v>#N/A</v>
      </c>
      <c r="I1437" s="31" t="e">
        <v>#N/A</v>
      </c>
    </row>
    <row r="1438">
      <c r="A1438" s="11">
        <v>46155.45662725694</v>
      </c>
      <c r="B1438" s="9" t="s">
        <v>260</v>
      </c>
      <c r="C1438" s="9" t="s">
        <v>352</v>
      </c>
      <c r="D1438" s="9" t="s">
        <v>19</v>
      </c>
      <c r="F1438" s="15">
        <v>1.0</v>
      </c>
      <c r="G1438" s="37" t="s">
        <v>65</v>
      </c>
      <c r="H1438" s="31" t="e">
        <v>#N/A</v>
      </c>
      <c r="I1438" s="31" t="e">
        <v>#N/A</v>
      </c>
    </row>
    <row r="1439">
      <c r="A1439" s="11">
        <v>46155.47654821759</v>
      </c>
      <c r="B1439" s="9" t="s">
        <v>335</v>
      </c>
      <c r="C1439" s="9" t="s">
        <v>260</v>
      </c>
      <c r="D1439" s="9" t="s">
        <v>19</v>
      </c>
      <c r="E1439" s="9" t="s">
        <v>408</v>
      </c>
      <c r="F1439" s="15">
        <v>1.0</v>
      </c>
      <c r="G1439" s="37" t="s">
        <v>65</v>
      </c>
      <c r="H1439" s="31" t="e">
        <v>#N/A</v>
      </c>
      <c r="I1439" s="31" t="e">
        <v>#N/A</v>
      </c>
    </row>
    <row r="1440">
      <c r="A1440" s="11">
        <v>46155.5367505787</v>
      </c>
      <c r="B1440" s="9" t="s">
        <v>231</v>
      </c>
      <c r="C1440" s="9" t="s">
        <v>328</v>
      </c>
      <c r="D1440" s="9" t="s">
        <v>19</v>
      </c>
      <c r="F1440" s="15">
        <v>1.0</v>
      </c>
      <c r="G1440" s="37" t="s">
        <v>65</v>
      </c>
      <c r="H1440" s="31" t="e">
        <v>#N/A</v>
      </c>
      <c r="I1440" s="31" t="e">
        <v>#N/A</v>
      </c>
    </row>
    <row r="1441">
      <c r="A1441" s="11">
        <v>46155.53945921296</v>
      </c>
      <c r="B1441" s="9" t="s">
        <v>250</v>
      </c>
      <c r="C1441" s="9" t="s">
        <v>355</v>
      </c>
      <c r="D1441" s="9" t="s">
        <v>19</v>
      </c>
      <c r="F1441" s="15">
        <v>1.0</v>
      </c>
      <c r="G1441" s="37" t="s">
        <v>65</v>
      </c>
      <c r="H1441" s="31" t="e">
        <v>#N/A</v>
      </c>
      <c r="I1441" s="31" t="e">
        <v>#N/A</v>
      </c>
    </row>
    <row r="1442">
      <c r="A1442" s="11">
        <v>46155.55487037037</v>
      </c>
      <c r="B1442" s="9" t="s">
        <v>379</v>
      </c>
      <c r="C1442" s="9" t="s">
        <v>250</v>
      </c>
      <c r="D1442" s="37" t="s">
        <v>57</v>
      </c>
      <c r="E1442" s="9" t="s">
        <v>265</v>
      </c>
      <c r="F1442" s="15">
        <v>1.0</v>
      </c>
      <c r="G1442" s="37" t="s">
        <v>65</v>
      </c>
      <c r="H1442" s="31" t="e">
        <v>#N/A</v>
      </c>
      <c r="I1442" s="31" t="e">
        <v>#N/A</v>
      </c>
    </row>
    <row r="1443">
      <c r="A1443" s="11">
        <v>46155.568633414354</v>
      </c>
      <c r="B1443" s="9" t="s">
        <v>320</v>
      </c>
      <c r="C1443" s="9" t="s">
        <v>164</v>
      </c>
      <c r="D1443" s="9" t="s">
        <v>19</v>
      </c>
      <c r="F1443" s="15">
        <v>1.0</v>
      </c>
      <c r="G1443" s="37" t="s">
        <v>65</v>
      </c>
      <c r="H1443" s="31" t="e">
        <v>#N/A</v>
      </c>
      <c r="I1443" s="31" t="e">
        <v>#N/A</v>
      </c>
    </row>
    <row r="1444">
      <c r="A1444" s="11">
        <v>46155.60146077546</v>
      </c>
      <c r="B1444" s="9" t="s">
        <v>266</v>
      </c>
      <c r="C1444" s="9" t="s">
        <v>250</v>
      </c>
      <c r="D1444" s="9" t="s">
        <v>19</v>
      </c>
      <c r="F1444" s="15">
        <v>1.0</v>
      </c>
      <c r="G1444" s="37" t="s">
        <v>65</v>
      </c>
      <c r="H1444" s="31" t="e">
        <v>#N/A</v>
      </c>
      <c r="I1444" s="31" t="e">
        <v>#N/A</v>
      </c>
    </row>
    <row r="1445">
      <c r="A1445" s="11">
        <v>46155.60882502315</v>
      </c>
      <c r="B1445" s="9" t="s">
        <v>320</v>
      </c>
      <c r="C1445" s="9" t="s">
        <v>329</v>
      </c>
      <c r="D1445" s="37" t="s">
        <v>57</v>
      </c>
      <c r="F1445" s="15">
        <v>1.0</v>
      </c>
      <c r="G1445" s="37" t="s">
        <v>65</v>
      </c>
      <c r="H1445" s="31" t="e">
        <v>#N/A</v>
      </c>
      <c r="I1445" s="31" t="e">
        <v>#N/A</v>
      </c>
    </row>
    <row r="1446">
      <c r="A1446" s="11">
        <v>46155.65985282407</v>
      </c>
      <c r="B1446" s="9" t="s">
        <v>331</v>
      </c>
      <c r="C1446" s="9" t="s">
        <v>263</v>
      </c>
      <c r="D1446" s="37" t="s">
        <v>57</v>
      </c>
      <c r="F1446" s="15">
        <v>1.0</v>
      </c>
      <c r="G1446" s="37" t="s">
        <v>65</v>
      </c>
      <c r="H1446" s="31" t="e">
        <v>#N/A</v>
      </c>
      <c r="I1446" s="31" t="e">
        <v>#N/A</v>
      </c>
    </row>
    <row r="1447">
      <c r="A1447" s="11">
        <v>46155.700744016205</v>
      </c>
      <c r="B1447" s="9" t="s">
        <v>424</v>
      </c>
      <c r="C1447" s="9" t="s">
        <v>332</v>
      </c>
      <c r="D1447" s="37" t="s">
        <v>57</v>
      </c>
      <c r="E1447" s="9" t="s">
        <v>513</v>
      </c>
      <c r="F1447" s="15">
        <v>1.0</v>
      </c>
      <c r="G1447" s="37" t="s">
        <v>65</v>
      </c>
      <c r="H1447" s="31" t="e">
        <v>#N/A</v>
      </c>
      <c r="I1447" s="31" t="e">
        <v>#N/A</v>
      </c>
    </row>
    <row r="1448">
      <c r="A1448" s="11">
        <v>46155.707610046295</v>
      </c>
      <c r="B1448" s="9" t="s">
        <v>276</v>
      </c>
      <c r="C1448" s="9" t="s">
        <v>224</v>
      </c>
      <c r="D1448" s="9" t="s">
        <v>19</v>
      </c>
      <c r="E1448" s="9" t="s">
        <v>453</v>
      </c>
      <c r="F1448" s="15">
        <v>1.0</v>
      </c>
      <c r="G1448" s="37" t="s">
        <v>65</v>
      </c>
      <c r="H1448" s="31" t="e">
        <v>#N/A</v>
      </c>
      <c r="I1448" s="31" t="e">
        <v>#N/A</v>
      </c>
    </row>
    <row r="1449">
      <c r="A1449" s="11">
        <v>46155.71246098379</v>
      </c>
      <c r="B1449" s="9" t="s">
        <v>279</v>
      </c>
      <c r="C1449" s="9" t="s">
        <v>424</v>
      </c>
      <c r="D1449" s="9" t="s">
        <v>19</v>
      </c>
      <c r="F1449" s="15">
        <v>1.0</v>
      </c>
      <c r="G1449" s="37" t="s">
        <v>65</v>
      </c>
      <c r="H1449" s="31" t="e">
        <v>#N/A</v>
      </c>
      <c r="I1449" s="31" t="e">
        <v>#N/A</v>
      </c>
    </row>
    <row r="1450">
      <c r="A1450" s="11">
        <v>46155.725380358796</v>
      </c>
      <c r="B1450" s="9" t="s">
        <v>152</v>
      </c>
      <c r="C1450" s="9" t="s">
        <v>248</v>
      </c>
      <c r="D1450" s="37" t="s">
        <v>57</v>
      </c>
      <c r="E1450" s="9" t="s">
        <v>514</v>
      </c>
      <c r="F1450" s="15">
        <v>1.0</v>
      </c>
      <c r="G1450" s="37" t="s">
        <v>65</v>
      </c>
      <c r="H1450" s="31" t="e">
        <v>#N/A</v>
      </c>
      <c r="I1450" s="31" t="e">
        <v>#N/A</v>
      </c>
    </row>
    <row r="1451">
      <c r="A1451" s="11">
        <v>46155.727537280094</v>
      </c>
      <c r="B1451" s="9" t="s">
        <v>296</v>
      </c>
      <c r="C1451" s="9" t="s">
        <v>279</v>
      </c>
      <c r="D1451" s="9" t="s">
        <v>19</v>
      </c>
      <c r="E1451" s="9" t="s">
        <v>515</v>
      </c>
      <c r="F1451" s="15">
        <v>1.0</v>
      </c>
      <c r="G1451" s="37" t="s">
        <v>65</v>
      </c>
      <c r="H1451" s="31" t="e">
        <v>#N/A</v>
      </c>
      <c r="I1451" s="31" t="e">
        <v>#N/A</v>
      </c>
    </row>
    <row r="1452">
      <c r="A1452" s="11">
        <v>46155.72967443287</v>
      </c>
      <c r="B1452" s="9" t="s">
        <v>224</v>
      </c>
      <c r="C1452" s="9" t="s">
        <v>294</v>
      </c>
      <c r="D1452" s="9" t="s">
        <v>19</v>
      </c>
      <c r="F1452" s="15">
        <v>1.0</v>
      </c>
      <c r="G1452" s="37" t="s">
        <v>65</v>
      </c>
      <c r="H1452" s="31" t="e">
        <v>#N/A</v>
      </c>
      <c r="I1452" s="31" t="e">
        <v>#N/A</v>
      </c>
    </row>
    <row r="1453">
      <c r="A1453" s="11">
        <v>46155.73694296296</v>
      </c>
      <c r="B1453" s="9" t="s">
        <v>379</v>
      </c>
      <c r="C1453" s="9" t="s">
        <v>269</v>
      </c>
      <c r="D1453" s="37" t="s">
        <v>57</v>
      </c>
      <c r="E1453" s="9" t="s">
        <v>265</v>
      </c>
      <c r="F1453" s="15">
        <v>1.0</v>
      </c>
      <c r="G1453" s="37" t="s">
        <v>65</v>
      </c>
      <c r="H1453" s="31" t="e">
        <v>#N/A</v>
      </c>
      <c r="I1453" s="31" t="e">
        <v>#N/A</v>
      </c>
    </row>
    <row r="1454">
      <c r="A1454" s="11">
        <v>46155.75483478009</v>
      </c>
      <c r="B1454" s="9" t="s">
        <v>336</v>
      </c>
      <c r="C1454" s="9" t="s">
        <v>160</v>
      </c>
      <c r="D1454" s="37" t="s">
        <v>57</v>
      </c>
      <c r="E1454" s="9" t="s">
        <v>140</v>
      </c>
      <c r="F1454" s="15">
        <v>1.0</v>
      </c>
      <c r="G1454" s="37" t="s">
        <v>65</v>
      </c>
      <c r="H1454" s="31" t="e">
        <v>#N/A</v>
      </c>
      <c r="I1454" s="31" t="e">
        <v>#N/A</v>
      </c>
    </row>
    <row r="1455">
      <c r="A1455" s="11">
        <v>46155.756509722225</v>
      </c>
      <c r="B1455" s="9" t="s">
        <v>282</v>
      </c>
      <c r="C1455" s="9" t="s">
        <v>296</v>
      </c>
      <c r="D1455" s="9" t="s">
        <v>19</v>
      </c>
      <c r="F1455" s="15">
        <v>1.0</v>
      </c>
      <c r="G1455" s="37" t="s">
        <v>65</v>
      </c>
      <c r="H1455" s="31" t="e">
        <v>#N/A</v>
      </c>
      <c r="I1455" s="31" t="e">
        <v>#N/A</v>
      </c>
    </row>
    <row r="1456">
      <c r="A1456" s="11">
        <v>46155.76393685185</v>
      </c>
      <c r="B1456" s="9" t="s">
        <v>259</v>
      </c>
      <c r="C1456" s="9" t="s">
        <v>294</v>
      </c>
      <c r="D1456" s="9" t="s">
        <v>19</v>
      </c>
      <c r="E1456" s="9" t="s">
        <v>122</v>
      </c>
      <c r="F1456" s="15">
        <v>1.0</v>
      </c>
      <c r="G1456" s="37" t="s">
        <v>65</v>
      </c>
      <c r="H1456" s="31" t="e">
        <v>#N/A</v>
      </c>
      <c r="I1456" s="31" t="e">
        <v>#N/A</v>
      </c>
    </row>
    <row r="1457">
      <c r="A1457" s="11">
        <v>46155.766439583334</v>
      </c>
      <c r="B1457" s="9" t="s">
        <v>356</v>
      </c>
      <c r="C1457" s="9" t="s">
        <v>166</v>
      </c>
      <c r="D1457" s="9" t="s">
        <v>19</v>
      </c>
      <c r="E1457" s="9" t="s">
        <v>516</v>
      </c>
      <c r="F1457" s="15">
        <v>1.0</v>
      </c>
      <c r="G1457" s="37" t="s">
        <v>65</v>
      </c>
      <c r="H1457" s="31" t="e">
        <v>#N/A</v>
      </c>
      <c r="I1457" s="31" t="e">
        <v>#N/A</v>
      </c>
    </row>
    <row r="1458">
      <c r="A1458" s="11">
        <v>46155.77944734954</v>
      </c>
      <c r="B1458" s="9" t="s">
        <v>388</v>
      </c>
      <c r="C1458" s="9" t="s">
        <v>173</v>
      </c>
      <c r="D1458" s="9" t="s">
        <v>19</v>
      </c>
      <c r="E1458" s="9" t="s">
        <v>270</v>
      </c>
      <c r="F1458" s="15">
        <v>1.0</v>
      </c>
      <c r="G1458" s="37" t="s">
        <v>65</v>
      </c>
      <c r="H1458" s="31" t="e">
        <v>#N/A</v>
      </c>
      <c r="I1458" s="31" t="e">
        <v>#N/A</v>
      </c>
    </row>
    <row r="1459">
      <c r="A1459" s="11">
        <v>46155.79416949074</v>
      </c>
      <c r="B1459" s="9" t="s">
        <v>282</v>
      </c>
      <c r="C1459" s="9" t="s">
        <v>356</v>
      </c>
      <c r="D1459" s="37" t="s">
        <v>57</v>
      </c>
      <c r="F1459" s="15">
        <v>1.0</v>
      </c>
      <c r="G1459" s="37" t="s">
        <v>65</v>
      </c>
      <c r="H1459" s="31" t="e">
        <v>#N/A</v>
      </c>
      <c r="I1459" s="31" t="e">
        <v>#N/A</v>
      </c>
    </row>
    <row r="1460">
      <c r="A1460" s="11">
        <v>46155.82867954861</v>
      </c>
      <c r="B1460" s="9" t="s">
        <v>388</v>
      </c>
      <c r="C1460" s="9" t="s">
        <v>356</v>
      </c>
      <c r="D1460" s="37" t="s">
        <v>57</v>
      </c>
      <c r="F1460" s="15">
        <v>1.0</v>
      </c>
      <c r="G1460" s="37" t="s">
        <v>65</v>
      </c>
      <c r="H1460" s="31" t="e">
        <v>#N/A</v>
      </c>
      <c r="I1460" s="31" t="e">
        <v>#N/A</v>
      </c>
    </row>
    <row r="1461">
      <c r="A1461" s="11">
        <v>46155.863804953704</v>
      </c>
      <c r="B1461" s="9" t="s">
        <v>393</v>
      </c>
      <c r="C1461" s="9" t="s">
        <v>259</v>
      </c>
      <c r="D1461" s="9" t="s">
        <v>19</v>
      </c>
      <c r="E1461" s="9" t="s">
        <v>504</v>
      </c>
      <c r="F1461" s="15">
        <v>1.0</v>
      </c>
      <c r="G1461" s="37" t="s">
        <v>65</v>
      </c>
      <c r="H1461" s="31" t="e">
        <v>#N/A</v>
      </c>
      <c r="I1461" s="31" t="e">
        <v>#N/A</v>
      </c>
    </row>
    <row r="1462">
      <c r="A1462" s="11">
        <v>46155.86429745371</v>
      </c>
      <c r="B1462" s="9" t="s">
        <v>243</v>
      </c>
      <c r="C1462" s="9" t="s">
        <v>164</v>
      </c>
      <c r="D1462" s="37" t="s">
        <v>57</v>
      </c>
      <c r="E1462" s="9" t="s">
        <v>321</v>
      </c>
      <c r="F1462" s="15">
        <v>1.0</v>
      </c>
      <c r="G1462" s="37" t="s">
        <v>65</v>
      </c>
      <c r="H1462" s="31" t="e">
        <v>#N/A</v>
      </c>
      <c r="I1462" s="31" t="e">
        <v>#N/A</v>
      </c>
    </row>
    <row r="1463">
      <c r="A1463" s="11">
        <v>46155.86559518518</v>
      </c>
      <c r="B1463" s="9" t="s">
        <v>366</v>
      </c>
      <c r="C1463" s="9" t="s">
        <v>85</v>
      </c>
      <c r="D1463" s="9" t="s">
        <v>19</v>
      </c>
      <c r="F1463" s="15">
        <v>1.0</v>
      </c>
      <c r="G1463" s="37" t="s">
        <v>65</v>
      </c>
      <c r="H1463" s="31" t="e">
        <v>#N/A</v>
      </c>
      <c r="I1463" s="31" t="e">
        <v>#N/A</v>
      </c>
    </row>
    <row r="1464">
      <c r="A1464" s="11">
        <v>46155.8659741088</v>
      </c>
      <c r="B1464" s="9" t="s">
        <v>184</v>
      </c>
      <c r="C1464" s="9" t="s">
        <v>369</v>
      </c>
      <c r="D1464" s="37" t="s">
        <v>57</v>
      </c>
      <c r="F1464" s="15">
        <v>1.0</v>
      </c>
      <c r="G1464" s="37" t="s">
        <v>65</v>
      </c>
      <c r="H1464" s="31" t="e">
        <v>#N/A</v>
      </c>
      <c r="I1464" s="31" t="e">
        <v>#N/A</v>
      </c>
    </row>
    <row r="1465">
      <c r="A1465" s="11">
        <v>46155.87256408564</v>
      </c>
      <c r="B1465" s="9" t="s">
        <v>128</v>
      </c>
      <c r="C1465" s="9" t="s">
        <v>472</v>
      </c>
      <c r="D1465" s="37" t="s">
        <v>57</v>
      </c>
      <c r="F1465" s="15">
        <v>1.0</v>
      </c>
      <c r="H1465" s="31" t="e">
        <v>#N/A</v>
      </c>
      <c r="I1465" s="31" t="e">
        <v>#N/A</v>
      </c>
    </row>
    <row r="1466">
      <c r="A1466" s="11">
        <v>46155.87634554398</v>
      </c>
      <c r="B1466" s="9" t="s">
        <v>388</v>
      </c>
      <c r="C1466" s="9" t="s">
        <v>161</v>
      </c>
      <c r="D1466" s="37" t="s">
        <v>57</v>
      </c>
      <c r="E1466" s="9" t="s">
        <v>517</v>
      </c>
      <c r="F1466" s="15">
        <v>1.0</v>
      </c>
      <c r="G1466" s="37" t="s">
        <v>65</v>
      </c>
      <c r="H1466" s="31" t="e">
        <v>#N/A</v>
      </c>
      <c r="I1466" s="31" t="e">
        <v>#N/A</v>
      </c>
    </row>
    <row r="1467">
      <c r="A1467" s="11">
        <v>46155.87853127315</v>
      </c>
      <c r="B1467" s="9" t="s">
        <v>243</v>
      </c>
      <c r="C1467" s="9" t="s">
        <v>366</v>
      </c>
      <c r="D1467" s="9" t="s">
        <v>19</v>
      </c>
      <c r="E1467" s="9" t="s">
        <v>321</v>
      </c>
      <c r="F1467" s="15">
        <v>1.0</v>
      </c>
      <c r="G1467" s="37" t="s">
        <v>65</v>
      </c>
      <c r="H1467" s="31" t="e">
        <v>#N/A</v>
      </c>
      <c r="I1467" s="31" t="e">
        <v>#N/A</v>
      </c>
    </row>
    <row r="1468">
      <c r="A1468" s="11">
        <v>46155.8805965162</v>
      </c>
      <c r="B1468" s="9" t="s">
        <v>279</v>
      </c>
      <c r="C1468" s="9" t="s">
        <v>184</v>
      </c>
      <c r="D1468" s="37" t="s">
        <v>57</v>
      </c>
      <c r="F1468" s="15">
        <v>1.0</v>
      </c>
      <c r="G1468" s="37" t="s">
        <v>65</v>
      </c>
      <c r="H1468" s="31" t="e">
        <v>#N/A</v>
      </c>
      <c r="I1468" s="31" t="e">
        <v>#N/A</v>
      </c>
    </row>
    <row r="1469">
      <c r="A1469" s="11">
        <v>46155.895779502316</v>
      </c>
      <c r="B1469" s="9" t="s">
        <v>369</v>
      </c>
      <c r="C1469" s="9" t="s">
        <v>404</v>
      </c>
      <c r="D1469" s="37" t="s">
        <v>57</v>
      </c>
      <c r="F1469" s="15">
        <v>1.0</v>
      </c>
      <c r="H1469" s="31" t="e">
        <v>#N/A</v>
      </c>
      <c r="I1469" s="31" t="e">
        <v>#N/A</v>
      </c>
    </row>
    <row r="1470">
      <c r="A1470" s="11">
        <v>46155.900819560185</v>
      </c>
      <c r="B1470" s="9" t="s">
        <v>388</v>
      </c>
      <c r="C1470" s="9" t="s">
        <v>346</v>
      </c>
      <c r="D1470" s="37" t="s">
        <v>57</v>
      </c>
      <c r="F1470" s="15">
        <v>1.0</v>
      </c>
      <c r="G1470" s="37" t="s">
        <v>65</v>
      </c>
      <c r="H1470" s="31" t="e">
        <v>#N/A</v>
      </c>
      <c r="I1470" s="31" t="e">
        <v>#N/A</v>
      </c>
    </row>
    <row r="1471">
      <c r="A1471" s="11">
        <v>46155.90150586805</v>
      </c>
      <c r="B1471" s="9" t="s">
        <v>154</v>
      </c>
      <c r="C1471" s="9" t="s">
        <v>243</v>
      </c>
      <c r="D1471" s="9" t="s">
        <v>19</v>
      </c>
      <c r="F1471" s="15">
        <v>1.0</v>
      </c>
      <c r="G1471" s="37" t="s">
        <v>65</v>
      </c>
      <c r="H1471" s="31" t="e">
        <v>#N/A</v>
      </c>
      <c r="I1471" s="31" t="e">
        <v>#N/A</v>
      </c>
    </row>
    <row r="1472">
      <c r="A1472" s="11">
        <v>46155.9019380324</v>
      </c>
      <c r="B1472" s="9" t="s">
        <v>388</v>
      </c>
      <c r="C1472" s="9" t="s">
        <v>172</v>
      </c>
      <c r="D1472" s="9" t="s">
        <v>19</v>
      </c>
      <c r="F1472" s="15">
        <v>1.0</v>
      </c>
      <c r="H1472" s="31" t="e">
        <v>#N/A</v>
      </c>
      <c r="I1472" s="31" t="e">
        <v>#N/A</v>
      </c>
    </row>
    <row r="1473">
      <c r="A1473" s="11">
        <v>46155.90584927083</v>
      </c>
      <c r="B1473" s="9" t="s">
        <v>320</v>
      </c>
      <c r="C1473" s="9" t="s">
        <v>369</v>
      </c>
      <c r="D1473" s="9" t="s">
        <v>19</v>
      </c>
      <c r="F1473" s="15">
        <v>1.0</v>
      </c>
      <c r="G1473" s="37" t="s">
        <v>65</v>
      </c>
      <c r="H1473" s="31" t="e">
        <v>#N/A</v>
      </c>
      <c r="I1473" s="31" t="e">
        <v>#N/A</v>
      </c>
    </row>
    <row r="1474">
      <c r="A1474" s="11">
        <v>46155.91143587963</v>
      </c>
      <c r="B1474" s="9" t="s">
        <v>303</v>
      </c>
      <c r="C1474" s="9" t="s">
        <v>342</v>
      </c>
      <c r="D1474" s="37" t="s">
        <v>57</v>
      </c>
      <c r="F1474" s="15">
        <v>1.0</v>
      </c>
      <c r="G1474" s="37" t="s">
        <v>65</v>
      </c>
      <c r="H1474" s="31" t="e">
        <v>#N/A</v>
      </c>
      <c r="I1474" s="31" t="e">
        <v>#N/A</v>
      </c>
    </row>
    <row r="1475">
      <c r="A1475" s="11">
        <v>46155.91321857639</v>
      </c>
      <c r="B1475" s="9" t="s">
        <v>85</v>
      </c>
      <c r="C1475" s="9" t="s">
        <v>161</v>
      </c>
      <c r="D1475" s="37" t="s">
        <v>57</v>
      </c>
      <c r="E1475" s="9" t="s">
        <v>518</v>
      </c>
      <c r="F1475" s="15">
        <v>1.0</v>
      </c>
      <c r="G1475" s="37" t="s">
        <v>65</v>
      </c>
      <c r="H1475" s="31" t="e">
        <v>#N/A</v>
      </c>
      <c r="I1475" s="31" t="e">
        <v>#N/A</v>
      </c>
    </row>
    <row r="1476">
      <c r="A1476" s="11">
        <v>46155.91431504629</v>
      </c>
      <c r="B1476" s="9" t="s">
        <v>388</v>
      </c>
      <c r="C1476" s="9" t="s">
        <v>394</v>
      </c>
      <c r="D1476" s="9" t="s">
        <v>19</v>
      </c>
      <c r="F1476" s="15">
        <v>1.0</v>
      </c>
      <c r="G1476" s="37" t="s">
        <v>65</v>
      </c>
      <c r="H1476" s="31" t="e">
        <v>#N/A</v>
      </c>
      <c r="I1476" s="31" t="e">
        <v>#N/A</v>
      </c>
    </row>
    <row r="1477">
      <c r="A1477" s="11">
        <v>46155.92145221065</v>
      </c>
      <c r="B1477" s="9" t="s">
        <v>238</v>
      </c>
      <c r="C1477" s="9" t="s">
        <v>316</v>
      </c>
      <c r="D1477" s="9" t="s">
        <v>19</v>
      </c>
      <c r="E1477" s="9" t="s">
        <v>505</v>
      </c>
      <c r="F1477" s="15">
        <v>1.0</v>
      </c>
      <c r="G1477" s="37" t="s">
        <v>65</v>
      </c>
      <c r="H1477" s="31" t="e">
        <v>#N/A</v>
      </c>
      <c r="I1477" s="31" t="e">
        <v>#N/A</v>
      </c>
    </row>
    <row r="1478">
      <c r="A1478" s="11">
        <v>46155.92562303241</v>
      </c>
      <c r="B1478" s="9" t="s">
        <v>369</v>
      </c>
      <c r="C1478" s="9" t="s">
        <v>243</v>
      </c>
      <c r="D1478" s="9" t="s">
        <v>19</v>
      </c>
      <c r="F1478" s="15">
        <v>1.0</v>
      </c>
      <c r="G1478" s="37" t="s">
        <v>65</v>
      </c>
      <c r="H1478" s="31" t="e">
        <v>#N/A</v>
      </c>
      <c r="I1478" s="31" t="e">
        <v>#N/A</v>
      </c>
    </row>
    <row r="1479">
      <c r="A1479" s="11">
        <v>46155.941653877315</v>
      </c>
      <c r="B1479" s="9" t="s">
        <v>257</v>
      </c>
      <c r="C1479" s="9" t="s">
        <v>366</v>
      </c>
      <c r="D1479" s="37" t="s">
        <v>57</v>
      </c>
      <c r="E1479" s="9" t="s">
        <v>112</v>
      </c>
      <c r="F1479" s="15">
        <v>1.0</v>
      </c>
      <c r="G1479" s="37" t="s">
        <v>65</v>
      </c>
      <c r="H1479" s="31" t="e">
        <v>#N/A</v>
      </c>
      <c r="I1479" s="31" t="e">
        <v>#N/A</v>
      </c>
    </row>
    <row r="1480">
      <c r="A1480" s="11">
        <v>46155.94610537037</v>
      </c>
      <c r="B1480" s="9" t="s">
        <v>306</v>
      </c>
      <c r="C1480" s="9" t="s">
        <v>301</v>
      </c>
      <c r="D1480" s="9" t="s">
        <v>19</v>
      </c>
      <c r="E1480" s="9" t="s">
        <v>519</v>
      </c>
      <c r="F1480" s="15">
        <v>1.0</v>
      </c>
      <c r="G1480" s="37" t="s">
        <v>65</v>
      </c>
      <c r="H1480" s="31" t="e">
        <v>#N/A</v>
      </c>
      <c r="I1480" s="31" t="e">
        <v>#N/A</v>
      </c>
    </row>
    <row r="1481">
      <c r="A1481" s="11">
        <v>46155.94699640047</v>
      </c>
      <c r="B1481" s="9" t="s">
        <v>316</v>
      </c>
      <c r="C1481" s="9" t="s">
        <v>243</v>
      </c>
      <c r="D1481" s="37" t="s">
        <v>57</v>
      </c>
      <c r="E1481" s="9" t="s">
        <v>520</v>
      </c>
      <c r="F1481" s="15">
        <v>1.0</v>
      </c>
      <c r="H1481" s="31" t="e">
        <v>#N/A</v>
      </c>
      <c r="I1481" s="31" t="e">
        <v>#N/A</v>
      </c>
    </row>
    <row r="1482">
      <c r="A1482" s="11">
        <v>46155.947440578704</v>
      </c>
      <c r="B1482" s="9" t="s">
        <v>346</v>
      </c>
      <c r="C1482" s="9" t="s">
        <v>300</v>
      </c>
      <c r="D1482" s="37" t="s">
        <v>57</v>
      </c>
      <c r="E1482" s="9" t="s">
        <v>112</v>
      </c>
      <c r="F1482" s="15">
        <v>1.0</v>
      </c>
      <c r="G1482" s="37" t="s">
        <v>65</v>
      </c>
      <c r="H1482" s="31" t="e">
        <v>#N/A</v>
      </c>
      <c r="I1482" s="31" t="e">
        <v>#N/A</v>
      </c>
    </row>
    <row r="1483">
      <c r="A1483" s="11">
        <v>46155.95798699074</v>
      </c>
      <c r="B1483" s="9" t="s">
        <v>316</v>
      </c>
      <c r="C1483" s="9" t="s">
        <v>393</v>
      </c>
      <c r="D1483" s="9" t="s">
        <v>19</v>
      </c>
      <c r="E1483" s="9" t="s">
        <v>102</v>
      </c>
      <c r="F1483" s="15">
        <v>1.0</v>
      </c>
      <c r="G1483" s="37" t="s">
        <v>65</v>
      </c>
      <c r="H1483" s="31" t="e">
        <v>#N/A</v>
      </c>
      <c r="I1483" s="31" t="e">
        <v>#N/A</v>
      </c>
    </row>
    <row r="1484">
      <c r="A1484" s="11">
        <v>46155.96788429398</v>
      </c>
      <c r="B1484" s="9" t="s">
        <v>257</v>
      </c>
      <c r="C1484" s="9" t="s">
        <v>394</v>
      </c>
      <c r="D1484" s="37" t="s">
        <v>57</v>
      </c>
      <c r="E1484" s="9" t="s">
        <v>176</v>
      </c>
      <c r="F1484" s="15">
        <v>1.0</v>
      </c>
      <c r="G1484" s="37" t="s">
        <v>65</v>
      </c>
      <c r="H1484" s="31" t="e">
        <v>#N/A</v>
      </c>
      <c r="I1484" s="31" t="e">
        <v>#N/A</v>
      </c>
    </row>
    <row r="1485">
      <c r="A1485" s="11">
        <v>46155.975692858796</v>
      </c>
      <c r="B1485" s="9" t="s">
        <v>393</v>
      </c>
      <c r="C1485" s="9" t="s">
        <v>200</v>
      </c>
      <c r="D1485" s="9" t="s">
        <v>19</v>
      </c>
      <c r="E1485" s="9" t="s">
        <v>395</v>
      </c>
      <c r="F1485" s="15">
        <v>1.0</v>
      </c>
      <c r="G1485" s="37" t="s">
        <v>65</v>
      </c>
      <c r="H1485" s="31" t="e">
        <v>#N/A</v>
      </c>
      <c r="I1485" s="31" t="e">
        <v>#N/A</v>
      </c>
    </row>
    <row r="1486">
      <c r="A1486" s="11">
        <v>46155.97828516204</v>
      </c>
      <c r="B1486" s="9" t="s">
        <v>226</v>
      </c>
      <c r="C1486" s="9" t="s">
        <v>316</v>
      </c>
      <c r="D1486" s="37" t="s">
        <v>57</v>
      </c>
      <c r="E1486" s="9" t="s">
        <v>112</v>
      </c>
      <c r="F1486" s="15">
        <v>1.0</v>
      </c>
      <c r="G1486" s="37" t="s">
        <v>65</v>
      </c>
      <c r="H1486" s="31" t="e">
        <v>#N/A</v>
      </c>
      <c r="I1486" s="31" t="e">
        <v>#N/A</v>
      </c>
    </row>
    <row r="1487">
      <c r="A1487" s="11">
        <v>46155.97969141204</v>
      </c>
      <c r="B1487" s="9" t="s">
        <v>306</v>
      </c>
      <c r="C1487" s="9" t="s">
        <v>373</v>
      </c>
      <c r="D1487" s="9" t="s">
        <v>19</v>
      </c>
      <c r="E1487" s="9" t="s">
        <v>521</v>
      </c>
      <c r="F1487" s="15">
        <v>1.0</v>
      </c>
      <c r="G1487" s="37" t="s">
        <v>65</v>
      </c>
      <c r="H1487" s="31" t="e">
        <v>#N/A</v>
      </c>
      <c r="I1487" s="31" t="e">
        <v>#N/A</v>
      </c>
    </row>
    <row r="1488">
      <c r="A1488" s="11">
        <v>46155.99127575231</v>
      </c>
      <c r="B1488" s="9" t="s">
        <v>348</v>
      </c>
      <c r="C1488" s="9" t="s">
        <v>257</v>
      </c>
      <c r="D1488" s="37" t="s">
        <v>57</v>
      </c>
      <c r="F1488" s="15">
        <v>1.0</v>
      </c>
      <c r="G1488" s="37" t="s">
        <v>65</v>
      </c>
      <c r="H1488" s="31" t="e">
        <v>#N/A</v>
      </c>
      <c r="I1488" s="31" t="e">
        <v>#N/A</v>
      </c>
    </row>
    <row r="1489">
      <c r="A1489" s="11">
        <v>46155.99269032407</v>
      </c>
      <c r="B1489" s="9" t="s">
        <v>301</v>
      </c>
      <c r="C1489" s="9" t="s">
        <v>343</v>
      </c>
      <c r="D1489" s="37" t="s">
        <v>57</v>
      </c>
      <c r="F1489" s="15">
        <v>1.0</v>
      </c>
      <c r="G1489" s="37" t="s">
        <v>65</v>
      </c>
      <c r="H1489" s="31" t="e">
        <v>#N/A</v>
      </c>
      <c r="I1489" s="31" t="e">
        <v>#N/A</v>
      </c>
    </row>
    <row r="1490">
      <c r="A1490" s="11">
        <v>46156.002723495374</v>
      </c>
      <c r="B1490" s="9" t="s">
        <v>290</v>
      </c>
      <c r="C1490" s="9" t="s">
        <v>316</v>
      </c>
      <c r="D1490" s="37" t="s">
        <v>57</v>
      </c>
      <c r="F1490" s="15">
        <v>1.0</v>
      </c>
      <c r="G1490" s="37" t="s">
        <v>65</v>
      </c>
      <c r="H1490" s="31" t="e">
        <v>#N/A</v>
      </c>
      <c r="I1490" s="31" t="e">
        <v>#N/A</v>
      </c>
    </row>
    <row r="1491">
      <c r="A1491" s="11">
        <v>46156.010764583334</v>
      </c>
      <c r="B1491" s="9" t="s">
        <v>373</v>
      </c>
      <c r="C1491" s="9" t="s">
        <v>301</v>
      </c>
      <c r="D1491" s="9" t="s">
        <v>19</v>
      </c>
      <c r="F1491" s="15">
        <v>1.0</v>
      </c>
      <c r="G1491" s="37" t="s">
        <v>65</v>
      </c>
      <c r="H1491" s="31" t="e">
        <v>#N/A</v>
      </c>
      <c r="I1491" s="31" t="e">
        <v>#N/A</v>
      </c>
    </row>
    <row r="1492">
      <c r="A1492" s="11">
        <v>46156.02618105324</v>
      </c>
      <c r="B1492" s="9" t="s">
        <v>303</v>
      </c>
      <c r="C1492" s="9" t="s">
        <v>306</v>
      </c>
      <c r="D1492" s="9" t="s">
        <v>19</v>
      </c>
      <c r="F1492" s="15">
        <v>1.0</v>
      </c>
      <c r="G1492" s="37" t="s">
        <v>65</v>
      </c>
      <c r="H1492" s="31" t="e">
        <v>#N/A</v>
      </c>
      <c r="I1492" s="31" t="e">
        <v>#N/A</v>
      </c>
    </row>
    <row r="1493">
      <c r="A1493" s="11">
        <v>46156.03006138889</v>
      </c>
      <c r="B1493" s="9" t="s">
        <v>373</v>
      </c>
      <c r="C1493" s="9" t="s">
        <v>355</v>
      </c>
      <c r="D1493" s="9" t="s">
        <v>19</v>
      </c>
      <c r="F1493" s="15">
        <v>1.0</v>
      </c>
      <c r="G1493" s="37" t="s">
        <v>65</v>
      </c>
      <c r="H1493" s="31" t="e">
        <v>#N/A</v>
      </c>
      <c r="I1493" s="31" t="e">
        <v>#N/A</v>
      </c>
    </row>
    <row r="1494">
      <c r="A1494" s="11">
        <v>46156.072580520835</v>
      </c>
      <c r="B1494" s="9" t="s">
        <v>323</v>
      </c>
      <c r="C1494" s="9" t="s">
        <v>266</v>
      </c>
      <c r="D1494" s="37" t="s">
        <v>57</v>
      </c>
      <c r="F1494" s="15">
        <v>1.0</v>
      </c>
      <c r="G1494" s="37" t="s">
        <v>65</v>
      </c>
      <c r="H1494" s="31" t="e">
        <v>#N/A</v>
      </c>
      <c r="I1494" s="31" t="e">
        <v>#N/A</v>
      </c>
    </row>
    <row r="1495">
      <c r="A1495" s="11">
        <v>46156.203410752314</v>
      </c>
      <c r="B1495" s="9" t="s">
        <v>202</v>
      </c>
      <c r="C1495" s="9" t="s">
        <v>302</v>
      </c>
      <c r="D1495" s="37" t="s">
        <v>57</v>
      </c>
      <c r="E1495" s="9" t="s">
        <v>207</v>
      </c>
      <c r="F1495" s="15">
        <v>1.0</v>
      </c>
      <c r="G1495" s="37" t="s">
        <v>65</v>
      </c>
      <c r="H1495" s="31" t="e">
        <v>#N/A</v>
      </c>
      <c r="I1495" s="31" t="e">
        <v>#N/A</v>
      </c>
    </row>
    <row r="1496">
      <c r="A1496" s="11">
        <v>46156.34729849537</v>
      </c>
      <c r="B1496" s="9" t="s">
        <v>424</v>
      </c>
      <c r="C1496" s="9" t="s">
        <v>202</v>
      </c>
      <c r="D1496" s="9" t="s">
        <v>19</v>
      </c>
      <c r="E1496" s="9" t="s">
        <v>522</v>
      </c>
      <c r="F1496" s="15">
        <v>1.0</v>
      </c>
      <c r="G1496" s="37" t="s">
        <v>65</v>
      </c>
      <c r="H1496" s="31" t="e">
        <v>#N/A</v>
      </c>
      <c r="I1496" s="31" t="e">
        <v>#N/A</v>
      </c>
    </row>
    <row r="1497">
      <c r="A1497" s="11">
        <v>46156.36753021991</v>
      </c>
      <c r="B1497" s="9" t="s">
        <v>258</v>
      </c>
      <c r="C1497" s="9" t="s">
        <v>215</v>
      </c>
      <c r="D1497" s="37" t="s">
        <v>57</v>
      </c>
      <c r="F1497" s="15">
        <v>1.0</v>
      </c>
      <c r="G1497" s="37" t="s">
        <v>65</v>
      </c>
      <c r="H1497" s="31" t="e">
        <v>#N/A</v>
      </c>
      <c r="I1497" s="31" t="e">
        <v>#N/A</v>
      </c>
    </row>
    <row r="1498">
      <c r="A1498" s="11">
        <v>46156.38981337963</v>
      </c>
      <c r="B1498" s="9" t="s">
        <v>55</v>
      </c>
      <c r="C1498" s="9" t="s">
        <v>258</v>
      </c>
      <c r="D1498" s="9" t="s">
        <v>19</v>
      </c>
      <c r="F1498" s="15">
        <v>1.0</v>
      </c>
      <c r="G1498" s="37" t="s">
        <v>65</v>
      </c>
      <c r="H1498" s="31" t="e">
        <v>#N/A</v>
      </c>
      <c r="I1498" s="31" t="e">
        <v>#N/A</v>
      </c>
    </row>
    <row r="1499">
      <c r="A1499" s="11">
        <v>46156.410698101856</v>
      </c>
      <c r="B1499" s="9" t="s">
        <v>100</v>
      </c>
      <c r="C1499" s="9" t="s">
        <v>351</v>
      </c>
      <c r="D1499" s="9" t="s">
        <v>19</v>
      </c>
      <c r="E1499" s="9" t="s">
        <v>102</v>
      </c>
      <c r="F1499" s="15">
        <v>1.0</v>
      </c>
      <c r="H1499" s="31" t="e">
        <v>#N/A</v>
      </c>
      <c r="I1499" s="31" t="e">
        <v>#N/A</v>
      </c>
    </row>
    <row r="1500">
      <c r="A1500" s="11">
        <v>46156.41838957176</v>
      </c>
      <c r="B1500" s="9" t="s">
        <v>258</v>
      </c>
      <c r="C1500" s="9" t="s">
        <v>379</v>
      </c>
      <c r="D1500" s="9" t="s">
        <v>19</v>
      </c>
      <c r="F1500" s="15">
        <v>1.0</v>
      </c>
      <c r="G1500" s="37" t="s">
        <v>65</v>
      </c>
      <c r="H1500" s="31" t="e">
        <v>#N/A</v>
      </c>
      <c r="I1500" s="31" t="e">
        <v>#N/A</v>
      </c>
    </row>
    <row r="1501">
      <c r="A1501" s="11">
        <v>46156.422987048616</v>
      </c>
      <c r="B1501" s="9" t="s">
        <v>160</v>
      </c>
      <c r="C1501" s="9" t="s">
        <v>387</v>
      </c>
      <c r="D1501" s="9" t="s">
        <v>19</v>
      </c>
      <c r="E1501" s="9" t="s">
        <v>140</v>
      </c>
      <c r="F1501" s="15">
        <v>1.0</v>
      </c>
      <c r="G1501" s="37" t="s">
        <v>65</v>
      </c>
      <c r="H1501" s="31" t="e">
        <v>#N/A</v>
      </c>
      <c r="I1501" s="31" t="e">
        <v>#N/A</v>
      </c>
    </row>
    <row r="1502">
      <c r="A1502" s="11">
        <v>46156.43730239583</v>
      </c>
      <c r="B1502" s="9" t="s">
        <v>95</v>
      </c>
      <c r="C1502" s="9" t="s">
        <v>397</v>
      </c>
      <c r="D1502" s="37" t="s">
        <v>57</v>
      </c>
      <c r="F1502" s="15">
        <v>1.0</v>
      </c>
      <c r="G1502" s="37" t="s">
        <v>65</v>
      </c>
      <c r="H1502" s="31" t="e">
        <v>#N/A</v>
      </c>
      <c r="I1502" s="31" t="e">
        <v>#N/A</v>
      </c>
    </row>
    <row r="1503">
      <c r="A1503" s="11">
        <v>46156.45698120371</v>
      </c>
      <c r="B1503" s="9" t="s">
        <v>302</v>
      </c>
      <c r="C1503" s="9" t="s">
        <v>379</v>
      </c>
      <c r="D1503" s="9" t="s">
        <v>19</v>
      </c>
      <c r="E1503" s="9" t="s">
        <v>122</v>
      </c>
      <c r="F1503" s="15">
        <v>1.0</v>
      </c>
      <c r="G1503" s="37" t="s">
        <v>65</v>
      </c>
      <c r="H1503" s="31" t="e">
        <v>#N/A</v>
      </c>
      <c r="I1503" s="31" t="e">
        <v>#N/A</v>
      </c>
    </row>
    <row r="1504">
      <c r="A1504" s="11">
        <v>46156.45964385416</v>
      </c>
      <c r="B1504" s="9" t="s">
        <v>258</v>
      </c>
      <c r="C1504" s="9" t="s">
        <v>160</v>
      </c>
      <c r="D1504" s="37" t="s">
        <v>57</v>
      </c>
      <c r="F1504" s="15">
        <v>1.0</v>
      </c>
      <c r="G1504" s="37" t="s">
        <v>65</v>
      </c>
      <c r="H1504" s="31" t="e">
        <v>#N/A</v>
      </c>
      <c r="I1504" s="31" t="e">
        <v>#N/A</v>
      </c>
    </row>
    <row r="1505">
      <c r="A1505" s="11">
        <v>46156.46204607638</v>
      </c>
      <c r="B1505" s="9" t="s">
        <v>387</v>
      </c>
      <c r="C1505" s="9" t="s">
        <v>139</v>
      </c>
      <c r="D1505" s="37" t="s">
        <v>57</v>
      </c>
      <c r="F1505" s="15">
        <v>1.0</v>
      </c>
      <c r="G1505" s="37" t="s">
        <v>65</v>
      </c>
      <c r="H1505" s="31" t="e">
        <v>#N/A</v>
      </c>
      <c r="I1505" s="31" t="e">
        <v>#N/A</v>
      </c>
    </row>
    <row r="1506">
      <c r="A1506" s="11">
        <v>46156.49292704861</v>
      </c>
      <c r="B1506" s="9" t="s">
        <v>168</v>
      </c>
      <c r="C1506" s="9" t="s">
        <v>231</v>
      </c>
      <c r="D1506" s="37" t="s">
        <v>57</v>
      </c>
      <c r="E1506" s="9" t="s">
        <v>212</v>
      </c>
      <c r="F1506" s="15">
        <v>1.0</v>
      </c>
      <c r="G1506" s="37" t="s">
        <v>65</v>
      </c>
      <c r="H1506" s="31" t="e">
        <v>#N/A</v>
      </c>
      <c r="I1506" s="31" t="e">
        <v>#N/A</v>
      </c>
    </row>
    <row r="1507">
      <c r="A1507" s="11">
        <v>46156.49392209491</v>
      </c>
      <c r="B1507" s="9" t="s">
        <v>139</v>
      </c>
      <c r="C1507" s="9" t="s">
        <v>401</v>
      </c>
      <c r="D1507" s="37" t="s">
        <v>57</v>
      </c>
      <c r="E1507" s="9" t="s">
        <v>140</v>
      </c>
      <c r="F1507" s="15">
        <v>1.0</v>
      </c>
      <c r="G1507" s="37" t="s">
        <v>65</v>
      </c>
      <c r="H1507" s="31" t="e">
        <v>#N/A</v>
      </c>
      <c r="I1507" s="31" t="e">
        <v>#N/A</v>
      </c>
    </row>
    <row r="1508">
      <c r="A1508" s="11">
        <v>46156.515350393514</v>
      </c>
      <c r="B1508" s="9" t="s">
        <v>139</v>
      </c>
      <c r="C1508" s="9" t="s">
        <v>95</v>
      </c>
      <c r="D1508" s="37" t="s">
        <v>57</v>
      </c>
      <c r="E1508" s="9" t="s">
        <v>140</v>
      </c>
      <c r="F1508" s="15">
        <v>1.0</v>
      </c>
      <c r="G1508" s="37" t="s">
        <v>65</v>
      </c>
      <c r="H1508" s="31" t="e">
        <v>#N/A</v>
      </c>
      <c r="I1508" s="31" t="e">
        <v>#N/A</v>
      </c>
    </row>
    <row r="1509">
      <c r="A1509" s="11">
        <v>46156.55018255787</v>
      </c>
      <c r="B1509" s="9" t="s">
        <v>100</v>
      </c>
      <c r="C1509" s="9" t="s">
        <v>164</v>
      </c>
      <c r="D1509" s="9" t="s">
        <v>19</v>
      </c>
      <c r="E1509" s="9" t="s">
        <v>102</v>
      </c>
      <c r="F1509" s="15">
        <v>1.0</v>
      </c>
      <c r="G1509" s="37" t="s">
        <v>65</v>
      </c>
      <c r="H1509" s="31" t="e">
        <v>#N/A</v>
      </c>
      <c r="I1509" s="31" t="e">
        <v>#N/A</v>
      </c>
    </row>
    <row r="1510">
      <c r="A1510" s="11">
        <v>46156.57231363426</v>
      </c>
      <c r="B1510" s="9" t="s">
        <v>227</v>
      </c>
      <c r="C1510" s="9" t="s">
        <v>55</v>
      </c>
      <c r="D1510" s="9" t="s">
        <v>19</v>
      </c>
      <c r="F1510" s="15">
        <v>1.0</v>
      </c>
      <c r="G1510" s="37" t="s">
        <v>65</v>
      </c>
      <c r="H1510" s="31" t="e">
        <v>#N/A</v>
      </c>
      <c r="I1510" s="31" t="e">
        <v>#N/A</v>
      </c>
    </row>
    <row r="1511">
      <c r="A1511" s="11">
        <v>46156.578288125005</v>
      </c>
      <c r="B1511" s="9" t="s">
        <v>348</v>
      </c>
      <c r="C1511" s="9" t="s">
        <v>173</v>
      </c>
      <c r="D1511" s="9" t="s">
        <v>19</v>
      </c>
      <c r="F1511" s="15">
        <v>1.0</v>
      </c>
      <c r="G1511" s="37" t="s">
        <v>65</v>
      </c>
      <c r="H1511" s="31" t="e">
        <v>#N/A</v>
      </c>
      <c r="I1511" s="31" t="e">
        <v>#N/A</v>
      </c>
    </row>
    <row r="1512">
      <c r="A1512" s="11">
        <v>46156.58505415509</v>
      </c>
      <c r="B1512" s="9" t="s">
        <v>139</v>
      </c>
      <c r="C1512" s="9" t="s">
        <v>227</v>
      </c>
      <c r="D1512" s="37" t="s">
        <v>57</v>
      </c>
      <c r="E1512" s="9" t="s">
        <v>140</v>
      </c>
      <c r="F1512" s="15">
        <v>1.0</v>
      </c>
      <c r="G1512" s="37" t="s">
        <v>65</v>
      </c>
      <c r="H1512" s="31" t="e">
        <v>#N/A</v>
      </c>
      <c r="I1512" s="31" t="e">
        <v>#N/A</v>
      </c>
    </row>
    <row r="1513">
      <c r="A1513" s="11">
        <v>46156.59303704861</v>
      </c>
      <c r="B1513" s="9" t="s">
        <v>302</v>
      </c>
      <c r="C1513" s="9" t="s">
        <v>348</v>
      </c>
      <c r="D1513" s="9" t="s">
        <v>19</v>
      </c>
      <c r="E1513" s="9" t="s">
        <v>122</v>
      </c>
      <c r="F1513" s="15">
        <v>1.0</v>
      </c>
      <c r="G1513" s="37" t="s">
        <v>65</v>
      </c>
      <c r="H1513" s="31" t="e">
        <v>#N/A</v>
      </c>
      <c r="I1513" s="31" t="e">
        <v>#N/A</v>
      </c>
    </row>
    <row r="1514">
      <c r="A1514" s="11">
        <v>46156.602378738426</v>
      </c>
      <c r="B1514" s="9" t="s">
        <v>95</v>
      </c>
      <c r="C1514" s="9" t="s">
        <v>324</v>
      </c>
      <c r="D1514" s="37" t="s">
        <v>57</v>
      </c>
      <c r="F1514" s="15">
        <v>1.0</v>
      </c>
      <c r="G1514" s="37" t="s">
        <v>65</v>
      </c>
      <c r="H1514" s="31" t="e">
        <v>#N/A</v>
      </c>
      <c r="I1514" s="31" t="e">
        <v>#N/A</v>
      </c>
    </row>
    <row r="1515">
      <c r="A1515" s="11">
        <v>46156.609624386576</v>
      </c>
      <c r="B1515" s="9" t="s">
        <v>227</v>
      </c>
      <c r="C1515" s="9" t="s">
        <v>168</v>
      </c>
      <c r="D1515" s="9" t="s">
        <v>19</v>
      </c>
      <c r="E1515" s="9" t="s">
        <v>341</v>
      </c>
      <c r="F1515" s="15">
        <v>1.0</v>
      </c>
      <c r="G1515" s="37" t="s">
        <v>65</v>
      </c>
      <c r="H1515" s="31" t="e">
        <v>#N/A</v>
      </c>
      <c r="I1515" s="31" t="e">
        <v>#N/A</v>
      </c>
    </row>
    <row r="1516">
      <c r="A1516" s="11">
        <v>46156.6136104051</v>
      </c>
      <c r="B1516" s="9" t="s">
        <v>84</v>
      </c>
      <c r="C1516" s="9" t="s">
        <v>376</v>
      </c>
      <c r="D1516" s="37" t="s">
        <v>57</v>
      </c>
      <c r="F1516" s="15">
        <v>1.0</v>
      </c>
      <c r="G1516" s="37" t="s">
        <v>65</v>
      </c>
      <c r="H1516" s="31" t="e">
        <v>#N/A</v>
      </c>
      <c r="I1516" s="31" t="e">
        <v>#N/A</v>
      </c>
    </row>
    <row r="1517">
      <c r="A1517" s="11">
        <v>46156.62669954861</v>
      </c>
      <c r="B1517" s="9" t="s">
        <v>74</v>
      </c>
      <c r="C1517" s="9" t="s">
        <v>238</v>
      </c>
      <c r="D1517" s="9" t="s">
        <v>19</v>
      </c>
      <c r="E1517" s="9" t="s">
        <v>140</v>
      </c>
      <c r="F1517" s="15">
        <v>1.0</v>
      </c>
      <c r="G1517" s="37" t="s">
        <v>65</v>
      </c>
      <c r="H1517" s="31" t="e">
        <v>#N/A</v>
      </c>
      <c r="I1517" s="31" t="e">
        <v>#N/A</v>
      </c>
    </row>
    <row r="1518">
      <c r="A1518" s="11">
        <v>46156.63050988426</v>
      </c>
      <c r="B1518" s="9" t="s">
        <v>324</v>
      </c>
      <c r="C1518" s="9" t="s">
        <v>227</v>
      </c>
      <c r="D1518" s="37" t="s">
        <v>57</v>
      </c>
      <c r="F1518" s="15">
        <v>1.0</v>
      </c>
      <c r="G1518" s="37" t="s">
        <v>65</v>
      </c>
      <c r="H1518" s="31" t="e">
        <v>#N/A</v>
      </c>
      <c r="I1518" s="31" t="e">
        <v>#N/A</v>
      </c>
    </row>
    <row r="1519">
      <c r="A1519" s="11">
        <v>46156.656594976856</v>
      </c>
      <c r="B1519" s="9" t="s">
        <v>324</v>
      </c>
      <c r="C1519" s="9" t="s">
        <v>331</v>
      </c>
      <c r="D1519" s="37" t="s">
        <v>57</v>
      </c>
      <c r="F1519" s="15">
        <v>1.0</v>
      </c>
      <c r="G1519" s="37" t="s">
        <v>65</v>
      </c>
      <c r="H1519" s="31" t="e">
        <v>#N/A</v>
      </c>
      <c r="I1519" s="31" t="e">
        <v>#N/A</v>
      </c>
    </row>
    <row r="1520">
      <c r="A1520" s="11">
        <v>46156.67845127315</v>
      </c>
      <c r="B1520" s="9" t="s">
        <v>246</v>
      </c>
      <c r="C1520" s="9" t="s">
        <v>359</v>
      </c>
      <c r="D1520" s="9" t="s">
        <v>19</v>
      </c>
      <c r="F1520" s="15">
        <v>1.0</v>
      </c>
      <c r="G1520" s="37" t="s">
        <v>65</v>
      </c>
      <c r="H1520" s="31" t="e">
        <v>#N/A</v>
      </c>
      <c r="I1520" s="31" t="e">
        <v>#N/A</v>
      </c>
    </row>
    <row r="1521">
      <c r="A1521" s="11">
        <v>46156.68386712963</v>
      </c>
      <c r="B1521" s="9" t="s">
        <v>100</v>
      </c>
      <c r="C1521" s="9" t="s">
        <v>191</v>
      </c>
      <c r="D1521" s="37" t="s">
        <v>57</v>
      </c>
      <c r="E1521" s="9" t="s">
        <v>102</v>
      </c>
      <c r="F1521" s="15">
        <v>1.0</v>
      </c>
      <c r="G1521" s="37" t="s">
        <v>65</v>
      </c>
      <c r="H1521" s="31" t="e">
        <v>#N/A</v>
      </c>
      <c r="I1521" s="31" t="e">
        <v>#N/A</v>
      </c>
    </row>
    <row r="1522">
      <c r="A1522" s="11">
        <v>46156.68393960648</v>
      </c>
      <c r="B1522" s="9" t="s">
        <v>83</v>
      </c>
      <c r="C1522" s="9" t="s">
        <v>93</v>
      </c>
      <c r="D1522" s="9" t="s">
        <v>19</v>
      </c>
      <c r="E1522" s="9" t="s">
        <v>122</v>
      </c>
      <c r="F1522" s="15">
        <v>1.0</v>
      </c>
      <c r="G1522" s="37" t="s">
        <v>65</v>
      </c>
      <c r="H1522" s="31" t="e">
        <v>#N/A</v>
      </c>
      <c r="I1522" s="31" t="e">
        <v>#N/A</v>
      </c>
    </row>
    <row r="1523">
      <c r="A1523" s="11">
        <v>46156.69348854167</v>
      </c>
      <c r="B1523" s="9" t="s">
        <v>200</v>
      </c>
      <c r="C1523" s="9" t="s">
        <v>246</v>
      </c>
      <c r="D1523" s="9" t="s">
        <v>19</v>
      </c>
      <c r="E1523" s="9" t="s">
        <v>523</v>
      </c>
      <c r="F1523" s="15">
        <v>1.0</v>
      </c>
      <c r="G1523" s="37" t="s">
        <v>65</v>
      </c>
      <c r="H1523" s="31" t="e">
        <v>#N/A</v>
      </c>
      <c r="I1523" s="31" t="e">
        <v>#N/A</v>
      </c>
    </row>
    <row r="1524">
      <c r="A1524" s="11">
        <v>46156.69917761574</v>
      </c>
      <c r="B1524" s="9" t="s">
        <v>387</v>
      </c>
      <c r="C1524" s="9" t="s">
        <v>167</v>
      </c>
      <c r="D1524" s="37" t="s">
        <v>57</v>
      </c>
      <c r="F1524" s="15">
        <v>1.0</v>
      </c>
      <c r="G1524" s="37" t="s">
        <v>65</v>
      </c>
      <c r="H1524" s="31" t="e">
        <v>#N/A</v>
      </c>
      <c r="I1524" s="31" t="e">
        <v>#N/A</v>
      </c>
    </row>
    <row r="1525">
      <c r="A1525" s="11">
        <v>46156.71491041667</v>
      </c>
      <c r="B1525" s="9" t="s">
        <v>332</v>
      </c>
      <c r="C1525" s="9" t="s">
        <v>248</v>
      </c>
      <c r="D1525" s="9" t="s">
        <v>19</v>
      </c>
      <c r="F1525" s="15">
        <v>1.0</v>
      </c>
      <c r="H1525" s="31" t="e">
        <v>#N/A</v>
      </c>
      <c r="I1525" s="31" t="e">
        <v>#N/A</v>
      </c>
    </row>
    <row r="1526">
      <c r="A1526" s="11">
        <v>46156.72158666667</v>
      </c>
      <c r="B1526" s="9" t="s">
        <v>84</v>
      </c>
      <c r="C1526" s="9" t="s">
        <v>83</v>
      </c>
      <c r="D1526" s="37" t="s">
        <v>57</v>
      </c>
      <c r="F1526" s="15">
        <v>1.0</v>
      </c>
      <c r="G1526" s="37" t="s">
        <v>65</v>
      </c>
      <c r="H1526" s="31" t="e">
        <v>#N/A</v>
      </c>
      <c r="I1526" s="31" t="e">
        <v>#N/A</v>
      </c>
    </row>
    <row r="1527">
      <c r="A1527" s="11">
        <v>46156.72852178241</v>
      </c>
      <c r="B1527" s="9" t="s">
        <v>202</v>
      </c>
      <c r="C1527" s="9" t="s">
        <v>246</v>
      </c>
      <c r="D1527" s="9" t="s">
        <v>19</v>
      </c>
      <c r="E1527" s="9" t="s">
        <v>207</v>
      </c>
      <c r="F1527" s="15">
        <v>1.0</v>
      </c>
      <c r="G1527" s="37" t="s">
        <v>65</v>
      </c>
      <c r="H1527" s="31" t="e">
        <v>#N/A</v>
      </c>
      <c r="I1527" s="31" t="e">
        <v>#N/A</v>
      </c>
    </row>
    <row r="1528">
      <c r="A1528" s="11">
        <v>46156.742555590274</v>
      </c>
      <c r="B1528" s="9" t="s">
        <v>336</v>
      </c>
      <c r="C1528" s="9" t="s">
        <v>74</v>
      </c>
      <c r="D1528" s="37" t="s">
        <v>57</v>
      </c>
      <c r="E1528" s="9" t="s">
        <v>140</v>
      </c>
      <c r="F1528" s="15">
        <v>1.0</v>
      </c>
      <c r="G1528" s="37" t="s">
        <v>65</v>
      </c>
      <c r="H1528" s="31" t="e">
        <v>#N/A</v>
      </c>
      <c r="I1528" s="31" t="e">
        <v>#N/A</v>
      </c>
    </row>
    <row r="1529">
      <c r="A1529" s="11">
        <v>46156.7515608449</v>
      </c>
      <c r="B1529" s="9" t="s">
        <v>150</v>
      </c>
      <c r="C1529" s="9" t="s">
        <v>332</v>
      </c>
      <c r="D1529" s="37" t="s">
        <v>57</v>
      </c>
      <c r="E1529" s="9" t="s">
        <v>524</v>
      </c>
      <c r="F1529" s="15">
        <v>1.0</v>
      </c>
      <c r="G1529" s="37" t="s">
        <v>65</v>
      </c>
      <c r="H1529" s="31" t="e">
        <v>#N/A</v>
      </c>
      <c r="I1529" s="31" t="e">
        <v>#N/A</v>
      </c>
    </row>
    <row r="1530">
      <c r="A1530" s="11">
        <v>46156.764624930554</v>
      </c>
      <c r="B1530" s="9" t="s">
        <v>200</v>
      </c>
      <c r="C1530" s="9" t="s">
        <v>227</v>
      </c>
      <c r="D1530" s="9" t="s">
        <v>19</v>
      </c>
      <c r="F1530" s="15">
        <v>1.0</v>
      </c>
      <c r="G1530" s="37" t="s">
        <v>65</v>
      </c>
      <c r="H1530" s="31" t="e">
        <v>#N/A</v>
      </c>
      <c r="I1530" s="31" t="e">
        <v>#N/A</v>
      </c>
    </row>
    <row r="1531">
      <c r="A1531" s="11">
        <v>46156.765292118056</v>
      </c>
      <c r="B1531" s="9" t="s">
        <v>191</v>
      </c>
      <c r="C1531" s="9" t="s">
        <v>246</v>
      </c>
      <c r="D1531" s="9" t="s">
        <v>19</v>
      </c>
      <c r="F1531" s="15">
        <v>1.0</v>
      </c>
      <c r="G1531" s="37" t="s">
        <v>65</v>
      </c>
      <c r="H1531" s="31" t="e">
        <v>#N/A</v>
      </c>
      <c r="I1531" s="31" t="e">
        <v>#N/A</v>
      </c>
    </row>
    <row r="1532">
      <c r="A1532" s="11">
        <v>46156.80243008102</v>
      </c>
      <c r="B1532" s="9" t="s">
        <v>160</v>
      </c>
      <c r="C1532" s="9" t="s">
        <v>335</v>
      </c>
      <c r="D1532" s="9" t="s">
        <v>19</v>
      </c>
      <c r="F1532" s="15">
        <v>1.0</v>
      </c>
      <c r="G1532" s="37" t="s">
        <v>65</v>
      </c>
      <c r="H1532" s="31" t="e">
        <v>#N/A</v>
      </c>
      <c r="I1532" s="31" t="e">
        <v>#N/A</v>
      </c>
    </row>
    <row r="1533">
      <c r="A1533" s="11">
        <v>46156.83093217593</v>
      </c>
      <c r="B1533" s="9" t="s">
        <v>154</v>
      </c>
      <c r="C1533" s="9" t="s">
        <v>298</v>
      </c>
      <c r="D1533" s="37" t="s">
        <v>57</v>
      </c>
      <c r="F1533" s="15">
        <v>1.0</v>
      </c>
      <c r="G1533" s="37" t="s">
        <v>65</v>
      </c>
      <c r="H1533" s="31" t="e">
        <v>#N/A</v>
      </c>
      <c r="I1533" s="31" t="e">
        <v>#N/A</v>
      </c>
    </row>
    <row r="1534">
      <c r="A1534" s="11">
        <v>46156.85077846065</v>
      </c>
      <c r="B1534" s="9" t="s">
        <v>304</v>
      </c>
      <c r="C1534" s="9" t="s">
        <v>298</v>
      </c>
      <c r="D1534" s="9" t="s">
        <v>19</v>
      </c>
      <c r="E1534" s="9" t="s">
        <v>176</v>
      </c>
      <c r="F1534" s="15">
        <v>1.0</v>
      </c>
      <c r="G1534" s="37" t="s">
        <v>65</v>
      </c>
      <c r="H1534" s="31" t="e">
        <v>#N/A</v>
      </c>
      <c r="I1534" s="31" t="e">
        <v>#N/A</v>
      </c>
    </row>
    <row r="1535">
      <c r="A1535" s="11">
        <v>46156.867250625</v>
      </c>
      <c r="B1535" s="9" t="s">
        <v>322</v>
      </c>
      <c r="C1535" s="9" t="s">
        <v>150</v>
      </c>
      <c r="D1535" s="37" t="s">
        <v>57</v>
      </c>
      <c r="F1535" s="15">
        <v>1.0</v>
      </c>
      <c r="G1535" s="37" t="s">
        <v>65</v>
      </c>
      <c r="H1535" s="31" t="e">
        <v>#N/A</v>
      </c>
      <c r="I1535" s="31" t="e">
        <v>#N/A</v>
      </c>
    </row>
    <row r="1536">
      <c r="A1536" s="11">
        <v>46156.87200803241</v>
      </c>
      <c r="B1536" s="9" t="s">
        <v>304</v>
      </c>
      <c r="C1536" s="9" t="s">
        <v>137</v>
      </c>
      <c r="D1536" s="9" t="s">
        <v>19</v>
      </c>
      <c r="E1536" s="9" t="s">
        <v>176</v>
      </c>
      <c r="F1536" s="15">
        <v>1.0</v>
      </c>
      <c r="G1536" s="37" t="s">
        <v>65</v>
      </c>
      <c r="H1536" s="31" t="e">
        <v>#N/A</v>
      </c>
      <c r="I1536" s="31" t="e">
        <v>#N/A</v>
      </c>
    </row>
    <row r="1537">
      <c r="A1537" s="11">
        <v>46156.87476914352</v>
      </c>
      <c r="B1537" s="9" t="s">
        <v>161</v>
      </c>
      <c r="C1537" s="9" t="s">
        <v>394</v>
      </c>
      <c r="D1537" s="9" t="s">
        <v>19</v>
      </c>
      <c r="F1537" s="15">
        <v>1.0</v>
      </c>
      <c r="G1537" s="37" t="s">
        <v>65</v>
      </c>
      <c r="H1537" s="31" t="e">
        <v>#N/A</v>
      </c>
      <c r="I1537" s="31" t="e">
        <v>#N/A</v>
      </c>
    </row>
    <row r="1538">
      <c r="A1538" s="11">
        <v>46156.884018136574</v>
      </c>
      <c r="B1538" s="9" t="s">
        <v>226</v>
      </c>
      <c r="C1538" s="9" t="s">
        <v>402</v>
      </c>
      <c r="D1538" s="9" t="s">
        <v>19</v>
      </c>
      <c r="E1538" s="9" t="s">
        <v>112</v>
      </c>
      <c r="F1538" s="15">
        <v>1.0</v>
      </c>
      <c r="G1538" s="37" t="s">
        <v>65</v>
      </c>
      <c r="H1538" s="31" t="e">
        <v>#N/A</v>
      </c>
      <c r="I1538" s="31" t="e">
        <v>#N/A</v>
      </c>
    </row>
    <row r="1539">
      <c r="A1539" s="11">
        <v>46156.89441584491</v>
      </c>
      <c r="B1539" s="9" t="s">
        <v>304</v>
      </c>
      <c r="C1539" s="9" t="s">
        <v>154</v>
      </c>
      <c r="D1539" s="9" t="s">
        <v>19</v>
      </c>
      <c r="E1539" s="9" t="s">
        <v>176</v>
      </c>
      <c r="F1539" s="15">
        <v>1.0</v>
      </c>
      <c r="G1539" s="37" t="s">
        <v>65</v>
      </c>
      <c r="H1539" s="31" t="e">
        <v>#N/A</v>
      </c>
      <c r="I1539" s="31" t="e">
        <v>#N/A</v>
      </c>
    </row>
    <row r="1540">
      <c r="A1540" s="11">
        <v>46156.906866087964</v>
      </c>
      <c r="B1540" s="9" t="s">
        <v>300</v>
      </c>
      <c r="C1540" s="9" t="s">
        <v>421</v>
      </c>
      <c r="D1540" s="37" t="s">
        <v>57</v>
      </c>
      <c r="E1540" s="9" t="s">
        <v>525</v>
      </c>
      <c r="F1540" s="15">
        <v>1.0</v>
      </c>
      <c r="G1540" s="37" t="s">
        <v>65</v>
      </c>
      <c r="H1540" s="31" t="e">
        <v>#N/A</v>
      </c>
      <c r="I1540" s="31" t="e">
        <v>#N/A</v>
      </c>
    </row>
    <row r="1541">
      <c r="A1541" s="11">
        <v>46156.91098259259</v>
      </c>
      <c r="B1541" s="9" t="s">
        <v>137</v>
      </c>
      <c r="C1541" s="9" t="s">
        <v>401</v>
      </c>
      <c r="D1541" s="9" t="s">
        <v>19</v>
      </c>
      <c r="F1541" s="15">
        <v>1.0</v>
      </c>
      <c r="G1541" s="37" t="s">
        <v>65</v>
      </c>
      <c r="H1541" s="31" t="e">
        <v>#N/A</v>
      </c>
      <c r="I1541" s="31" t="e">
        <v>#N/A</v>
      </c>
    </row>
    <row r="1542">
      <c r="A1542" s="11">
        <v>46156.924618310186</v>
      </c>
      <c r="B1542" s="9" t="s">
        <v>300</v>
      </c>
      <c r="C1542" s="9" t="s">
        <v>137</v>
      </c>
      <c r="D1542" s="9" t="s">
        <v>19</v>
      </c>
      <c r="E1542" s="9" t="s">
        <v>102</v>
      </c>
      <c r="F1542" s="15">
        <v>1.0</v>
      </c>
      <c r="G1542" s="37" t="s">
        <v>65</v>
      </c>
      <c r="H1542" s="31" t="e">
        <v>#N/A</v>
      </c>
      <c r="I1542" s="31" t="e">
        <v>#N/A</v>
      </c>
    </row>
    <row r="1543">
      <c r="A1543" s="11">
        <v>46156.92556261574</v>
      </c>
      <c r="B1543" s="9" t="s">
        <v>247</v>
      </c>
      <c r="C1543" s="9" t="s">
        <v>278</v>
      </c>
      <c r="D1543" s="37" t="s">
        <v>57</v>
      </c>
      <c r="E1543" s="9" t="s">
        <v>122</v>
      </c>
      <c r="F1543" s="15">
        <v>1.0</v>
      </c>
      <c r="G1543" s="37" t="s">
        <v>65</v>
      </c>
      <c r="H1543" s="31" t="e">
        <v>#N/A</v>
      </c>
      <c r="I1543" s="31" t="e">
        <v>#N/A</v>
      </c>
    </row>
    <row r="1544">
      <c r="A1544" s="11">
        <v>46156.93378208333</v>
      </c>
      <c r="B1544" s="9" t="s">
        <v>421</v>
      </c>
      <c r="C1544" s="9" t="s">
        <v>389</v>
      </c>
      <c r="D1544" s="9" t="s">
        <v>19</v>
      </c>
      <c r="F1544" s="15">
        <v>1.0</v>
      </c>
      <c r="G1544" s="37" t="s">
        <v>65</v>
      </c>
      <c r="H1544" s="31" t="e">
        <v>#N/A</v>
      </c>
      <c r="I1544" s="31" t="e">
        <v>#N/A</v>
      </c>
    </row>
    <row r="1545">
      <c r="A1545" s="11">
        <v>46156.93484971065</v>
      </c>
      <c r="B1545" s="9" t="s">
        <v>393</v>
      </c>
      <c r="C1545" s="9" t="s">
        <v>397</v>
      </c>
      <c r="D1545" s="9" t="s">
        <v>19</v>
      </c>
      <c r="E1545" s="9" t="s">
        <v>391</v>
      </c>
      <c r="F1545" s="15">
        <v>1.0</v>
      </c>
      <c r="G1545" s="37" t="s">
        <v>65</v>
      </c>
      <c r="H1545" s="31" t="e">
        <v>#N/A</v>
      </c>
      <c r="I1545" s="31" t="e">
        <v>#N/A</v>
      </c>
    </row>
    <row r="1546">
      <c r="A1546" s="11">
        <v>46156.948347812504</v>
      </c>
      <c r="B1546" s="9" t="s">
        <v>226</v>
      </c>
      <c r="C1546" s="9" t="s">
        <v>150</v>
      </c>
      <c r="D1546" s="37" t="s">
        <v>57</v>
      </c>
      <c r="E1546" s="9" t="s">
        <v>112</v>
      </c>
      <c r="F1546" s="15">
        <v>1.0</v>
      </c>
      <c r="G1546" s="37" t="s">
        <v>65</v>
      </c>
      <c r="H1546" s="31" t="e">
        <v>#N/A</v>
      </c>
      <c r="I1546" s="31" t="e">
        <v>#N/A</v>
      </c>
    </row>
    <row r="1547">
      <c r="A1547" s="11">
        <v>46156.95129138889</v>
      </c>
      <c r="B1547" s="9" t="s">
        <v>376</v>
      </c>
      <c r="C1547" s="9" t="s">
        <v>402</v>
      </c>
      <c r="D1547" s="37" t="s">
        <v>57</v>
      </c>
      <c r="F1547" s="15">
        <v>1.0</v>
      </c>
      <c r="G1547" s="37" t="s">
        <v>65</v>
      </c>
      <c r="H1547" s="31" t="e">
        <v>#N/A</v>
      </c>
      <c r="I1547" s="31" t="e">
        <v>#N/A</v>
      </c>
    </row>
    <row r="1548">
      <c r="A1548" s="11">
        <v>46156.95218986111</v>
      </c>
      <c r="B1548" s="9" t="s">
        <v>247</v>
      </c>
      <c r="C1548" s="9" t="s">
        <v>200</v>
      </c>
      <c r="D1548" s="9" t="s">
        <v>19</v>
      </c>
      <c r="E1548" s="9" t="s">
        <v>122</v>
      </c>
      <c r="F1548" s="15">
        <v>1.0</v>
      </c>
      <c r="G1548" s="37" t="s">
        <v>65</v>
      </c>
      <c r="H1548" s="31" t="e">
        <v>#N/A</v>
      </c>
      <c r="I1548" s="31" t="e">
        <v>#N/A</v>
      </c>
    </row>
    <row r="1549">
      <c r="A1549" s="11">
        <v>46156.95638613426</v>
      </c>
      <c r="B1549" s="9" t="s">
        <v>389</v>
      </c>
      <c r="C1549" s="9" t="s">
        <v>371</v>
      </c>
      <c r="D1549" s="9" t="s">
        <v>19</v>
      </c>
      <c r="F1549" s="15">
        <v>1.0</v>
      </c>
      <c r="G1549" s="37" t="s">
        <v>65</v>
      </c>
      <c r="H1549" s="31" t="e">
        <v>#N/A</v>
      </c>
      <c r="I1549" s="31" t="e">
        <v>#N/A</v>
      </c>
    </row>
    <row r="1550">
      <c r="A1550" s="11">
        <v>46156.957578217596</v>
      </c>
      <c r="B1550" s="9" t="s">
        <v>278</v>
      </c>
      <c r="C1550" s="9" t="s">
        <v>181</v>
      </c>
      <c r="D1550" s="37" t="s">
        <v>57</v>
      </c>
      <c r="E1550" s="9" t="s">
        <v>102</v>
      </c>
      <c r="F1550" s="15">
        <v>1.0</v>
      </c>
      <c r="G1550" s="37" t="s">
        <v>65</v>
      </c>
      <c r="H1550" s="31" t="e">
        <v>#N/A</v>
      </c>
      <c r="I1550" s="31" t="e">
        <v>#N/A</v>
      </c>
    </row>
    <row r="1551">
      <c r="A1551" s="11">
        <v>46156.96305978009</v>
      </c>
      <c r="B1551" s="9" t="s">
        <v>200</v>
      </c>
      <c r="C1551" s="9" t="s">
        <v>336</v>
      </c>
      <c r="D1551" s="9" t="s">
        <v>19</v>
      </c>
      <c r="F1551" s="15">
        <v>1.0</v>
      </c>
      <c r="G1551" s="37" t="s">
        <v>65</v>
      </c>
      <c r="H1551" s="31" t="e">
        <v>#N/A</v>
      </c>
      <c r="I1551" s="31" t="e">
        <v>#N/A</v>
      </c>
    </row>
    <row r="1552">
      <c r="A1552" s="11">
        <v>46156.97001895834</v>
      </c>
      <c r="B1552" s="9" t="s">
        <v>376</v>
      </c>
      <c r="C1552" s="9" t="s">
        <v>371</v>
      </c>
      <c r="D1552" s="9" t="s">
        <v>19</v>
      </c>
      <c r="F1552" s="15">
        <v>1.0</v>
      </c>
      <c r="G1552" s="37" t="s">
        <v>65</v>
      </c>
      <c r="H1552" s="31" t="e">
        <v>#N/A</v>
      </c>
      <c r="I1552" s="31" t="e">
        <v>#N/A</v>
      </c>
    </row>
    <row r="1553">
      <c r="A1553" s="11">
        <v>46156.97197787037</v>
      </c>
      <c r="B1553" s="9" t="s">
        <v>346</v>
      </c>
      <c r="C1553" s="9" t="s">
        <v>349</v>
      </c>
      <c r="D1553" s="37" t="s">
        <v>57</v>
      </c>
      <c r="E1553" s="9" t="s">
        <v>270</v>
      </c>
      <c r="F1553" s="15">
        <v>1.0</v>
      </c>
      <c r="G1553" s="37" t="s">
        <v>65</v>
      </c>
      <c r="H1553" s="31" t="e">
        <v>#N/A</v>
      </c>
      <c r="I1553" s="31" t="e">
        <v>#N/A</v>
      </c>
    </row>
    <row r="1554">
      <c r="A1554" s="11">
        <v>46156.97662221065</v>
      </c>
      <c r="B1554" s="9" t="s">
        <v>343</v>
      </c>
      <c r="C1554" s="9" t="s">
        <v>237</v>
      </c>
      <c r="D1554" s="9" t="s">
        <v>19</v>
      </c>
      <c r="F1554" s="15">
        <v>1.0</v>
      </c>
      <c r="G1554" s="37" t="s">
        <v>65</v>
      </c>
      <c r="H1554" s="31" t="e">
        <v>#N/A</v>
      </c>
      <c r="I1554" s="31" t="e">
        <v>#N/A</v>
      </c>
    </row>
    <row r="1555">
      <c r="A1555" s="11">
        <v>46156.98004880787</v>
      </c>
      <c r="B1555" s="9" t="s">
        <v>397</v>
      </c>
      <c r="C1555" s="9" t="s">
        <v>150</v>
      </c>
      <c r="D1555" s="37" t="s">
        <v>57</v>
      </c>
      <c r="F1555" s="15">
        <v>1.0</v>
      </c>
      <c r="G1555" s="37" t="s">
        <v>65</v>
      </c>
      <c r="H1555" s="31" t="e">
        <v>#N/A</v>
      </c>
      <c r="I1555" s="31" t="e">
        <v>#N/A</v>
      </c>
    </row>
    <row r="1556">
      <c r="A1556" s="11">
        <v>46156.98918512731</v>
      </c>
      <c r="B1556" s="9" t="s">
        <v>278</v>
      </c>
      <c r="C1556" s="9" t="s">
        <v>269</v>
      </c>
      <c r="D1556" s="9" t="s">
        <v>19</v>
      </c>
      <c r="E1556" s="9" t="s">
        <v>122</v>
      </c>
      <c r="F1556" s="15">
        <v>1.0</v>
      </c>
      <c r="G1556" s="37" t="s">
        <v>65</v>
      </c>
      <c r="H1556" s="31" t="e">
        <v>#N/A</v>
      </c>
      <c r="I1556" s="31" t="e">
        <v>#N/A</v>
      </c>
    </row>
    <row r="1557">
      <c r="A1557" s="11">
        <v>46156.99949731481</v>
      </c>
      <c r="B1557" s="9" t="s">
        <v>67</v>
      </c>
      <c r="C1557" s="9" t="s">
        <v>356</v>
      </c>
      <c r="D1557" s="9" t="s">
        <v>19</v>
      </c>
      <c r="F1557" s="15">
        <v>1.0</v>
      </c>
      <c r="G1557" s="37" t="s">
        <v>65</v>
      </c>
      <c r="H1557" s="31" t="e">
        <v>#N/A</v>
      </c>
      <c r="I1557" s="31" t="e">
        <v>#N/A</v>
      </c>
    </row>
    <row r="1558">
      <c r="A1558" s="11">
        <v>46157.00002253472</v>
      </c>
      <c r="B1558" s="9" t="s">
        <v>237</v>
      </c>
      <c r="C1558" s="9" t="s">
        <v>81</v>
      </c>
      <c r="D1558" s="37" t="s">
        <v>57</v>
      </c>
      <c r="F1558" s="15">
        <v>1.0</v>
      </c>
      <c r="G1558" s="37" t="s">
        <v>65</v>
      </c>
      <c r="H1558" s="31" t="e">
        <v>#N/A</v>
      </c>
      <c r="I1558" s="31" t="e">
        <v>#N/A</v>
      </c>
    </row>
    <row r="1559">
      <c r="A1559" s="11">
        <v>46157.00695609953</v>
      </c>
      <c r="B1559" s="9" t="s">
        <v>397</v>
      </c>
      <c r="C1559" s="9" t="s">
        <v>346</v>
      </c>
      <c r="D1559" s="37" t="s">
        <v>57</v>
      </c>
      <c r="F1559" s="15">
        <v>1.0</v>
      </c>
      <c r="G1559" s="37" t="s">
        <v>65</v>
      </c>
      <c r="H1559" s="31" t="e">
        <v>#N/A</v>
      </c>
      <c r="I1559" s="31" t="e">
        <v>#N/A</v>
      </c>
    </row>
    <row r="1560">
      <c r="A1560" s="11">
        <v>46157.00798646991</v>
      </c>
      <c r="B1560" s="9" t="s">
        <v>393</v>
      </c>
      <c r="C1560" s="9" t="s">
        <v>280</v>
      </c>
      <c r="D1560" s="9" t="s">
        <v>19</v>
      </c>
      <c r="E1560" s="9" t="s">
        <v>441</v>
      </c>
      <c r="F1560" s="15">
        <v>1.0</v>
      </c>
      <c r="G1560" s="37" t="s">
        <v>65</v>
      </c>
      <c r="H1560" s="31" t="e">
        <v>#N/A</v>
      </c>
      <c r="I1560" s="31" t="e">
        <v>#N/A</v>
      </c>
    </row>
    <row r="1561">
      <c r="A1561" s="11">
        <v>46157.01434366898</v>
      </c>
      <c r="B1561" s="9" t="s">
        <v>290</v>
      </c>
      <c r="C1561" s="9" t="s">
        <v>389</v>
      </c>
      <c r="D1561" s="37" t="s">
        <v>57</v>
      </c>
      <c r="E1561" s="9" t="s">
        <v>122</v>
      </c>
      <c r="F1561" s="15">
        <v>1.0</v>
      </c>
      <c r="G1561" s="37" t="s">
        <v>65</v>
      </c>
      <c r="H1561" s="31" t="e">
        <v>#N/A</v>
      </c>
      <c r="I1561" s="31" t="e">
        <v>#N/A</v>
      </c>
    </row>
    <row r="1562">
      <c r="A1562" s="11">
        <v>46157.02738537037</v>
      </c>
      <c r="B1562" s="9" t="s">
        <v>306</v>
      </c>
      <c r="C1562" s="9" t="s">
        <v>413</v>
      </c>
      <c r="D1562" s="37" t="s">
        <v>57</v>
      </c>
      <c r="E1562" s="9" t="s">
        <v>122</v>
      </c>
      <c r="F1562" s="15">
        <v>1.0</v>
      </c>
      <c r="G1562" s="37" t="s">
        <v>65</v>
      </c>
      <c r="H1562" s="31" t="e">
        <v>#N/A</v>
      </c>
      <c r="I1562" s="31" t="e">
        <v>#N/A</v>
      </c>
    </row>
    <row r="1563">
      <c r="A1563" s="11">
        <v>46157.02895313657</v>
      </c>
      <c r="B1563" s="9" t="s">
        <v>397</v>
      </c>
      <c r="C1563" s="9" t="s">
        <v>280</v>
      </c>
      <c r="D1563" s="9" t="s">
        <v>19</v>
      </c>
      <c r="F1563" s="15">
        <v>1.0</v>
      </c>
      <c r="G1563" s="37" t="s">
        <v>65</v>
      </c>
      <c r="H1563" s="31" t="e">
        <v>#N/A</v>
      </c>
      <c r="I1563" s="31" t="e">
        <v>#N/A</v>
      </c>
    </row>
    <row r="1564">
      <c r="A1564" s="11">
        <v>46157.04413119213</v>
      </c>
      <c r="B1564" s="9" t="s">
        <v>343</v>
      </c>
      <c r="C1564" s="9" t="s">
        <v>348</v>
      </c>
      <c r="D1564" s="37" t="s">
        <v>57</v>
      </c>
      <c r="F1564" s="15">
        <v>1.0</v>
      </c>
      <c r="G1564" s="37" t="s">
        <v>65</v>
      </c>
      <c r="H1564" s="31" t="e">
        <v>#N/A</v>
      </c>
      <c r="I1564" s="31" t="e">
        <v>#N/A</v>
      </c>
    </row>
    <row r="1565">
      <c r="A1565" s="11">
        <v>46157.0447421412</v>
      </c>
      <c r="B1565" s="9" t="s">
        <v>371</v>
      </c>
      <c r="C1565" s="9" t="s">
        <v>266</v>
      </c>
      <c r="D1565" s="9" t="s">
        <v>19</v>
      </c>
      <c r="E1565" s="9" t="s">
        <v>102</v>
      </c>
      <c r="F1565" s="15">
        <v>1.0</v>
      </c>
      <c r="G1565" s="37" t="s">
        <v>65</v>
      </c>
      <c r="H1565" s="31" t="e">
        <v>#N/A</v>
      </c>
      <c r="I1565" s="31" t="e">
        <v>#N/A</v>
      </c>
    </row>
    <row r="1566">
      <c r="A1566" s="11">
        <v>46157.04522378472</v>
      </c>
      <c r="B1566" s="9" t="s">
        <v>81</v>
      </c>
      <c r="C1566" s="9" t="s">
        <v>413</v>
      </c>
      <c r="D1566" s="37" t="s">
        <v>57</v>
      </c>
      <c r="F1566" s="15">
        <v>1.0</v>
      </c>
      <c r="G1566" s="37" t="s">
        <v>65</v>
      </c>
      <c r="H1566" s="31" t="e">
        <v>#N/A</v>
      </c>
      <c r="I1566" s="31" t="e">
        <v>#N/A</v>
      </c>
    </row>
    <row r="1567">
      <c r="A1567" s="11">
        <v>46157.062497280094</v>
      </c>
      <c r="B1567" s="9" t="s">
        <v>389</v>
      </c>
      <c r="C1567" s="9" t="s">
        <v>323</v>
      </c>
      <c r="D1567" s="9" t="s">
        <v>19</v>
      </c>
      <c r="F1567" s="15">
        <v>1.0</v>
      </c>
      <c r="G1567" s="37" t="s">
        <v>65</v>
      </c>
      <c r="H1567" s="31" t="e">
        <v>#N/A</v>
      </c>
      <c r="I1567" s="31" t="e">
        <v>#N/A</v>
      </c>
    </row>
    <row r="1568">
      <c r="A1568" s="11">
        <v>46157.06848081019</v>
      </c>
      <c r="B1568" s="9" t="s">
        <v>280</v>
      </c>
      <c r="C1568" s="9" t="s">
        <v>374</v>
      </c>
      <c r="D1568" s="9" t="s">
        <v>19</v>
      </c>
      <c r="F1568" s="15">
        <v>1.0</v>
      </c>
      <c r="G1568" s="37" t="s">
        <v>65</v>
      </c>
      <c r="H1568" s="31" t="e">
        <v>#N/A</v>
      </c>
      <c r="I1568" s="31" t="e">
        <v>#N/A</v>
      </c>
    </row>
    <row r="1569">
      <c r="A1569" s="11">
        <v>46157.078386354166</v>
      </c>
      <c r="B1569" s="9" t="s">
        <v>413</v>
      </c>
      <c r="C1569" s="9" t="s">
        <v>396</v>
      </c>
      <c r="D1569" s="37" t="s">
        <v>57</v>
      </c>
      <c r="E1569" s="9" t="s">
        <v>526</v>
      </c>
      <c r="F1569" s="15">
        <v>1.0</v>
      </c>
      <c r="G1569" s="37" t="s">
        <v>65</v>
      </c>
      <c r="H1569" s="31" t="e">
        <v>#N/A</v>
      </c>
      <c r="I1569" s="31" t="e">
        <v>#N/A</v>
      </c>
    </row>
    <row r="1570">
      <c r="A1570" s="11">
        <v>46157.09381578704</v>
      </c>
      <c r="B1570" s="9" t="s">
        <v>374</v>
      </c>
      <c r="C1570" s="9" t="s">
        <v>413</v>
      </c>
      <c r="D1570" s="9" t="s">
        <v>19</v>
      </c>
      <c r="E1570" s="9" t="s">
        <v>176</v>
      </c>
      <c r="F1570" s="15">
        <v>1.0</v>
      </c>
      <c r="G1570" s="37" t="s">
        <v>65</v>
      </c>
      <c r="H1570" s="31" t="e">
        <v>#N/A</v>
      </c>
      <c r="I1570" s="31" t="e">
        <v>#N/A</v>
      </c>
    </row>
    <row r="1571">
      <c r="A1571" s="11">
        <v>46157.099851493054</v>
      </c>
      <c r="B1571" s="9" t="s">
        <v>323</v>
      </c>
      <c r="C1571" s="9" t="s">
        <v>396</v>
      </c>
      <c r="D1571" s="9" t="s">
        <v>19</v>
      </c>
      <c r="F1571" s="15">
        <v>1.0</v>
      </c>
      <c r="G1571" s="37" t="s">
        <v>65</v>
      </c>
      <c r="H1571" s="31" t="e">
        <v>#N/A</v>
      </c>
      <c r="I1571" s="31" t="e">
        <v>#N/A</v>
      </c>
    </row>
    <row r="1572">
      <c r="A1572" s="11">
        <v>46157.12729767361</v>
      </c>
      <c r="B1572" s="9" t="s">
        <v>184</v>
      </c>
      <c r="C1572" s="9" t="s">
        <v>413</v>
      </c>
      <c r="D1572" s="37" t="s">
        <v>57</v>
      </c>
      <c r="F1572" s="15">
        <v>1.0</v>
      </c>
      <c r="H1572" s="31" t="e">
        <v>#N/A</v>
      </c>
      <c r="I1572" s="31" t="e">
        <v>#N/A</v>
      </c>
    </row>
    <row r="1573">
      <c r="A1573" s="11">
        <v>46157.30064755787</v>
      </c>
      <c r="B1573" s="9" t="s">
        <v>202</v>
      </c>
      <c r="C1573" s="9" t="s">
        <v>141</v>
      </c>
      <c r="D1573" s="37" t="s">
        <v>57</v>
      </c>
      <c r="E1573" s="9" t="s">
        <v>207</v>
      </c>
      <c r="F1573" s="15">
        <v>1.0</v>
      </c>
      <c r="G1573" s="37" t="s">
        <v>65</v>
      </c>
      <c r="H1573" s="31" t="e">
        <v>#N/A</v>
      </c>
      <c r="I1573" s="31" t="e">
        <v>#N/A</v>
      </c>
    </row>
    <row r="1574">
      <c r="A1574" s="11">
        <v>46157.3176246875</v>
      </c>
      <c r="B1574" s="9" t="s">
        <v>141</v>
      </c>
      <c r="C1574" s="9" t="s">
        <v>401</v>
      </c>
      <c r="D1574" s="37" t="s">
        <v>57</v>
      </c>
      <c r="E1574" s="9" t="s">
        <v>527</v>
      </c>
      <c r="F1574" s="15">
        <v>1.0</v>
      </c>
      <c r="G1574" s="37" t="s">
        <v>65</v>
      </c>
      <c r="H1574" s="31" t="e">
        <v>#N/A</v>
      </c>
      <c r="I1574" s="31" t="e">
        <v>#N/A</v>
      </c>
    </row>
    <row r="1575">
      <c r="A1575" s="11">
        <v>46157.40723545139</v>
      </c>
      <c r="B1575" s="9" t="s">
        <v>421</v>
      </c>
      <c r="C1575" s="9" t="s">
        <v>417</v>
      </c>
      <c r="D1575" s="37" t="s">
        <v>57</v>
      </c>
      <c r="F1575" s="15">
        <v>1.0</v>
      </c>
      <c r="G1575" s="37" t="s">
        <v>65</v>
      </c>
      <c r="H1575" s="31" t="e">
        <v>#N/A</v>
      </c>
      <c r="I1575" s="31" t="e">
        <v>#N/A</v>
      </c>
    </row>
    <row r="1576">
      <c r="A1576" s="11">
        <v>46157.43822993056</v>
      </c>
      <c r="B1576" s="9" t="s">
        <v>59</v>
      </c>
      <c r="C1576" s="9" t="s">
        <v>417</v>
      </c>
      <c r="D1576" s="9" t="s">
        <v>19</v>
      </c>
      <c r="F1576" s="15">
        <v>1.0</v>
      </c>
      <c r="G1576" s="37" t="s">
        <v>65</v>
      </c>
      <c r="H1576" s="31" t="e">
        <v>#N/A</v>
      </c>
      <c r="I1576" s="31" t="e">
        <v>#N/A</v>
      </c>
    </row>
    <row r="1577">
      <c r="A1577" s="11">
        <v>46157.43926408565</v>
      </c>
      <c r="B1577" s="9" t="s">
        <v>95</v>
      </c>
      <c r="C1577" s="9" t="s">
        <v>421</v>
      </c>
      <c r="D1577" s="9" t="s">
        <v>19</v>
      </c>
      <c r="F1577" s="15">
        <v>1.0</v>
      </c>
      <c r="G1577" s="37" t="s">
        <v>65</v>
      </c>
      <c r="H1577" s="31" t="e">
        <v>#N/A</v>
      </c>
      <c r="I1577" s="31" t="e">
        <v>#N/A</v>
      </c>
    </row>
    <row r="1578">
      <c r="A1578" s="11">
        <v>46157.4470138426</v>
      </c>
      <c r="B1578" s="9" t="s">
        <v>85</v>
      </c>
      <c r="C1578" s="9" t="s">
        <v>312</v>
      </c>
      <c r="D1578" s="37" t="s">
        <v>57</v>
      </c>
      <c r="E1578" s="9" t="s">
        <v>528</v>
      </c>
      <c r="F1578" s="15">
        <v>1.0</v>
      </c>
      <c r="G1578" s="37" t="s">
        <v>65</v>
      </c>
      <c r="H1578" s="31" t="e">
        <v>#N/A</v>
      </c>
      <c r="I1578" s="31" t="e">
        <v>#N/A</v>
      </c>
    </row>
    <row r="1579">
      <c r="A1579" s="11">
        <v>46157.46562887731</v>
      </c>
      <c r="B1579" s="9" t="s">
        <v>173</v>
      </c>
      <c r="C1579" s="9" t="s">
        <v>372</v>
      </c>
      <c r="D1579" s="9" t="s">
        <v>19</v>
      </c>
      <c r="F1579" s="15">
        <v>1.0</v>
      </c>
      <c r="G1579" s="37" t="s">
        <v>65</v>
      </c>
      <c r="H1579" s="31" t="e">
        <v>#N/A</v>
      </c>
      <c r="I1579" s="31" t="e">
        <v>#N/A</v>
      </c>
    </row>
    <row r="1580">
      <c r="A1580" s="11">
        <v>46157.465727372684</v>
      </c>
      <c r="B1580" s="9" t="s">
        <v>280</v>
      </c>
      <c r="C1580" s="9" t="s">
        <v>302</v>
      </c>
      <c r="D1580" s="37" t="s">
        <v>57</v>
      </c>
      <c r="F1580" s="15">
        <v>1.0</v>
      </c>
      <c r="G1580" s="37" t="s">
        <v>65</v>
      </c>
      <c r="H1580" s="31" t="e">
        <v>#N/A</v>
      </c>
      <c r="I1580" s="31" t="e">
        <v>#N/A</v>
      </c>
    </row>
    <row r="1581">
      <c r="A1581" s="11">
        <v>46157.476880937495</v>
      </c>
      <c r="B1581" s="9" t="s">
        <v>312</v>
      </c>
      <c r="C1581" s="9" t="s">
        <v>168</v>
      </c>
      <c r="D1581" s="9" t="s">
        <v>19</v>
      </c>
      <c r="E1581" s="9" t="s">
        <v>321</v>
      </c>
      <c r="F1581" s="15">
        <v>1.0</v>
      </c>
      <c r="G1581" s="37" t="s">
        <v>65</v>
      </c>
      <c r="H1581" s="31" t="e">
        <v>#N/A</v>
      </c>
      <c r="I1581" s="31" t="e">
        <v>#N/A</v>
      </c>
    </row>
    <row r="1582">
      <c r="A1582" s="11">
        <v>46157.499571886576</v>
      </c>
      <c r="B1582" s="9" t="s">
        <v>150</v>
      </c>
      <c r="C1582" s="9" t="s">
        <v>280</v>
      </c>
      <c r="D1582" s="9" t="s">
        <v>19</v>
      </c>
      <c r="E1582" s="9" t="s">
        <v>112</v>
      </c>
      <c r="F1582" s="15">
        <v>1.0</v>
      </c>
      <c r="G1582" s="37" t="s">
        <v>65</v>
      </c>
      <c r="H1582" s="31" t="e">
        <v>#N/A</v>
      </c>
      <c r="I1582" s="31" t="e">
        <v>#N/A</v>
      </c>
    </row>
    <row r="1583">
      <c r="A1583" s="11">
        <v>46157.50549351852</v>
      </c>
      <c r="B1583" s="9" t="s">
        <v>312</v>
      </c>
      <c r="C1583" s="9" t="s">
        <v>93</v>
      </c>
      <c r="D1583" s="37" t="s">
        <v>57</v>
      </c>
      <c r="E1583" s="9" t="s">
        <v>108</v>
      </c>
      <c r="F1583" s="15">
        <v>1.0</v>
      </c>
      <c r="G1583" s="37" t="s">
        <v>65</v>
      </c>
      <c r="H1583" s="31" t="e">
        <v>#N/A</v>
      </c>
      <c r="I1583" s="31" t="e">
        <v>#N/A</v>
      </c>
    </row>
    <row r="1584">
      <c r="A1584" s="11">
        <v>46157.51486098379</v>
      </c>
      <c r="B1584" s="9" t="s">
        <v>387</v>
      </c>
      <c r="C1584" s="9" t="s">
        <v>417</v>
      </c>
      <c r="D1584" s="37" t="s">
        <v>57</v>
      </c>
      <c r="F1584" s="15">
        <v>1.0</v>
      </c>
      <c r="G1584" s="37" t="s">
        <v>65</v>
      </c>
      <c r="H1584" s="31" t="e">
        <v>#N/A</v>
      </c>
      <c r="I1584" s="31" t="e">
        <v>#N/A</v>
      </c>
    </row>
    <row r="1585">
      <c r="A1585" s="11">
        <v>46157.517808599536</v>
      </c>
      <c r="B1585" s="9" t="s">
        <v>312</v>
      </c>
      <c r="C1585" s="9" t="s">
        <v>276</v>
      </c>
      <c r="D1585" s="9" t="s">
        <v>19</v>
      </c>
      <c r="E1585" s="9" t="s">
        <v>108</v>
      </c>
      <c r="F1585" s="15">
        <v>1.0</v>
      </c>
      <c r="G1585" s="37" t="s">
        <v>65</v>
      </c>
      <c r="H1585" s="31" t="e">
        <v>#N/A</v>
      </c>
      <c r="I1585" s="31" t="e">
        <v>#N/A</v>
      </c>
    </row>
    <row r="1586">
      <c r="A1586" s="11">
        <v>46157.527701956016</v>
      </c>
      <c r="B1586" s="9" t="s">
        <v>74</v>
      </c>
      <c r="C1586" s="9" t="s">
        <v>367</v>
      </c>
      <c r="D1586" s="9" t="s">
        <v>19</v>
      </c>
      <c r="E1586" s="9" t="s">
        <v>321</v>
      </c>
      <c r="F1586" s="15">
        <v>1.0</v>
      </c>
      <c r="G1586" s="37" t="s">
        <v>65</v>
      </c>
      <c r="H1586" s="31" t="e">
        <v>#N/A</v>
      </c>
      <c r="I1586" s="31" t="e">
        <v>#N/A</v>
      </c>
    </row>
    <row r="1587">
      <c r="A1587" s="11">
        <v>46157.54466422454</v>
      </c>
      <c r="B1587" s="9" t="s">
        <v>417</v>
      </c>
      <c r="C1587" s="9" t="s">
        <v>158</v>
      </c>
      <c r="D1587" s="9" t="s">
        <v>19</v>
      </c>
      <c r="E1587" s="9" t="s">
        <v>529</v>
      </c>
      <c r="F1587" s="15">
        <v>1.0</v>
      </c>
      <c r="G1587" s="37" t="s">
        <v>65</v>
      </c>
      <c r="H1587" s="31" t="e">
        <v>#N/A</v>
      </c>
      <c r="I1587" s="31" t="e">
        <v>#N/A</v>
      </c>
    </row>
    <row r="1588">
      <c r="A1588" s="11">
        <v>46157.56051947917</v>
      </c>
      <c r="B1588" s="9" t="s">
        <v>367</v>
      </c>
      <c r="C1588" s="9" t="s">
        <v>374</v>
      </c>
      <c r="D1588" s="37" t="s">
        <v>57</v>
      </c>
      <c r="F1588" s="15">
        <v>1.0</v>
      </c>
      <c r="G1588" s="37" t="s">
        <v>65</v>
      </c>
      <c r="H1588" s="31" t="e">
        <v>#N/A</v>
      </c>
      <c r="I1588" s="31" t="e">
        <v>#N/A</v>
      </c>
    </row>
    <row r="1589">
      <c r="A1589" s="11">
        <v>46157.56136861111</v>
      </c>
      <c r="B1589" s="9" t="s">
        <v>258</v>
      </c>
      <c r="C1589" s="9" t="s">
        <v>74</v>
      </c>
      <c r="D1589" s="9" t="s">
        <v>19</v>
      </c>
      <c r="F1589" s="15">
        <v>1.0</v>
      </c>
      <c r="G1589" s="37" t="s">
        <v>65</v>
      </c>
      <c r="H1589" s="31" t="e">
        <v>#N/A</v>
      </c>
      <c r="I1589" s="31" t="e">
        <v>#N/A</v>
      </c>
    </row>
    <row r="1590">
      <c r="A1590" s="11">
        <v>46157.563316851854</v>
      </c>
      <c r="B1590" s="9" t="s">
        <v>158</v>
      </c>
      <c r="C1590" s="9" t="s">
        <v>125</v>
      </c>
      <c r="D1590" s="37" t="s">
        <v>57</v>
      </c>
      <c r="E1590" s="9" t="s">
        <v>530</v>
      </c>
      <c r="F1590" s="15">
        <v>1.0</v>
      </c>
      <c r="G1590" s="37" t="s">
        <v>65</v>
      </c>
      <c r="H1590" s="31" t="e">
        <v>#N/A</v>
      </c>
      <c r="I1590" s="31" t="e">
        <v>#N/A</v>
      </c>
    </row>
    <row r="1591">
      <c r="A1591" s="11">
        <v>46157.56717952546</v>
      </c>
      <c r="B1591" s="9" t="s">
        <v>387</v>
      </c>
      <c r="C1591" s="9" t="s">
        <v>157</v>
      </c>
      <c r="D1591" s="9" t="s">
        <v>19</v>
      </c>
      <c r="E1591" s="9" t="s">
        <v>531</v>
      </c>
      <c r="F1591" s="15">
        <v>1.0</v>
      </c>
      <c r="G1591" s="37" t="s">
        <v>65</v>
      </c>
      <c r="H1591" s="31" t="e">
        <v>#N/A</v>
      </c>
      <c r="I1591" s="31" t="e">
        <v>#N/A</v>
      </c>
    </row>
    <row r="1592">
      <c r="A1592" s="11">
        <v>46157.56912704861</v>
      </c>
      <c r="B1592" s="9" t="s">
        <v>160</v>
      </c>
      <c r="C1592" s="9" t="s">
        <v>191</v>
      </c>
      <c r="D1592" s="9" t="s">
        <v>19</v>
      </c>
      <c r="E1592" s="9" t="s">
        <v>532</v>
      </c>
      <c r="F1592" s="15">
        <v>1.0</v>
      </c>
      <c r="G1592" s="37" t="s">
        <v>65</v>
      </c>
      <c r="H1592" s="31" t="e">
        <v>#N/A</v>
      </c>
      <c r="I1592" s="31" t="e">
        <v>#N/A</v>
      </c>
    </row>
    <row r="1593">
      <c r="A1593" s="11">
        <v>46157.5796540625</v>
      </c>
      <c r="B1593" s="9" t="s">
        <v>417</v>
      </c>
      <c r="C1593" s="9" t="s">
        <v>132</v>
      </c>
      <c r="D1593" s="37" t="s">
        <v>57</v>
      </c>
      <c r="E1593" s="9" t="s">
        <v>108</v>
      </c>
      <c r="F1593" s="15">
        <v>1.0</v>
      </c>
      <c r="G1593" s="37" t="s">
        <v>65</v>
      </c>
      <c r="H1593" s="31" t="e">
        <v>#N/A</v>
      </c>
      <c r="I1593" s="31" t="e">
        <v>#N/A</v>
      </c>
    </row>
    <row r="1594">
      <c r="A1594" s="11">
        <v>46157.59306771991</v>
      </c>
      <c r="B1594" s="9" t="s">
        <v>79</v>
      </c>
      <c r="C1594" s="9" t="s">
        <v>158</v>
      </c>
      <c r="D1594" s="9" t="s">
        <v>19</v>
      </c>
      <c r="F1594" s="15">
        <v>1.0</v>
      </c>
      <c r="G1594" s="37" t="s">
        <v>65</v>
      </c>
      <c r="H1594" s="31" t="e">
        <v>#N/A</v>
      </c>
      <c r="I1594" s="31" t="e">
        <v>#N/A</v>
      </c>
    </row>
    <row r="1595">
      <c r="A1595" s="11">
        <v>46157.594039398144</v>
      </c>
      <c r="B1595" s="9" t="s">
        <v>367</v>
      </c>
      <c r="C1595" s="9" t="s">
        <v>348</v>
      </c>
      <c r="D1595" s="37" t="s">
        <v>57</v>
      </c>
      <c r="F1595" s="15">
        <v>1.0</v>
      </c>
      <c r="G1595" s="37" t="s">
        <v>65</v>
      </c>
      <c r="H1595" s="31" t="e">
        <v>#N/A</v>
      </c>
      <c r="I1595" s="31" t="e">
        <v>#N/A</v>
      </c>
    </row>
    <row r="1596">
      <c r="A1596" s="11">
        <v>46157.59824371528</v>
      </c>
      <c r="B1596" s="9" t="s">
        <v>374</v>
      </c>
      <c r="C1596" s="9" t="s">
        <v>139</v>
      </c>
      <c r="D1596" s="37" t="s">
        <v>57</v>
      </c>
      <c r="E1596" s="9" t="s">
        <v>176</v>
      </c>
      <c r="F1596" s="15">
        <v>1.0</v>
      </c>
      <c r="G1596" s="37" t="s">
        <v>65</v>
      </c>
      <c r="H1596" s="31" t="e">
        <v>#N/A</v>
      </c>
      <c r="I1596" s="31" t="e">
        <v>#N/A</v>
      </c>
    </row>
    <row r="1597">
      <c r="A1597" s="11">
        <v>46157.60658565973</v>
      </c>
      <c r="B1597" s="9" t="s">
        <v>200</v>
      </c>
      <c r="C1597" s="9" t="s">
        <v>312</v>
      </c>
      <c r="D1597" s="37" t="s">
        <v>57</v>
      </c>
      <c r="E1597" s="9" t="s">
        <v>533</v>
      </c>
      <c r="F1597" s="15">
        <v>1.0</v>
      </c>
      <c r="G1597" s="37" t="s">
        <v>65</v>
      </c>
      <c r="H1597" s="31" t="e">
        <v>#N/A</v>
      </c>
      <c r="I1597" s="31" t="e">
        <v>#N/A</v>
      </c>
    </row>
    <row r="1598">
      <c r="A1598" s="11">
        <v>46157.610426747684</v>
      </c>
      <c r="B1598" s="9" t="s">
        <v>367</v>
      </c>
      <c r="C1598" s="9" t="s">
        <v>313</v>
      </c>
      <c r="D1598" s="9" t="s">
        <v>19</v>
      </c>
      <c r="F1598" s="15">
        <v>1.0</v>
      </c>
      <c r="G1598" s="37" t="s">
        <v>65</v>
      </c>
      <c r="H1598" s="31" t="e">
        <v>#N/A</v>
      </c>
      <c r="I1598" s="31" t="e">
        <v>#N/A</v>
      </c>
    </row>
    <row r="1599">
      <c r="A1599" s="11">
        <v>46157.6143162963</v>
      </c>
      <c r="B1599" s="9" t="s">
        <v>368</v>
      </c>
      <c r="C1599" s="9" t="s">
        <v>125</v>
      </c>
      <c r="D1599" s="37" t="s">
        <v>57</v>
      </c>
      <c r="F1599" s="15">
        <v>1.0</v>
      </c>
      <c r="G1599" s="37" t="s">
        <v>65</v>
      </c>
      <c r="H1599" s="31" t="e">
        <v>#N/A</v>
      </c>
      <c r="I1599" s="31" t="e">
        <v>#N/A</v>
      </c>
    </row>
    <row r="1600">
      <c r="A1600" s="11">
        <v>46157.61737665509</v>
      </c>
      <c r="B1600" s="9" t="s">
        <v>324</v>
      </c>
      <c r="C1600" s="9" t="s">
        <v>93</v>
      </c>
      <c r="D1600" s="9" t="s">
        <v>19</v>
      </c>
      <c r="F1600" s="15">
        <v>1.0</v>
      </c>
      <c r="G1600" s="37" t="s">
        <v>65</v>
      </c>
      <c r="H1600" s="31" t="e">
        <v>#N/A</v>
      </c>
      <c r="I1600" s="31" t="e">
        <v>#N/A</v>
      </c>
    </row>
    <row r="1601">
      <c r="A1601" s="11">
        <v>46157.63022140047</v>
      </c>
      <c r="B1601" s="9" t="s">
        <v>374</v>
      </c>
      <c r="C1601" s="9" t="s">
        <v>368</v>
      </c>
      <c r="D1601" s="9" t="s">
        <v>19</v>
      </c>
      <c r="E1601" s="9" t="s">
        <v>176</v>
      </c>
      <c r="F1601" s="15">
        <v>1.0</v>
      </c>
      <c r="G1601" s="37" t="s">
        <v>65</v>
      </c>
      <c r="H1601" s="31" t="e">
        <v>#N/A</v>
      </c>
      <c r="I1601" s="31" t="e">
        <v>#N/A</v>
      </c>
    </row>
    <row r="1602">
      <c r="A1602" s="11">
        <v>46157.63363049769</v>
      </c>
      <c r="B1602" s="9" t="s">
        <v>313</v>
      </c>
      <c r="C1602" s="9" t="s">
        <v>326</v>
      </c>
      <c r="D1602" s="9" t="s">
        <v>19</v>
      </c>
      <c r="F1602" s="15">
        <v>1.0</v>
      </c>
      <c r="G1602" s="37" t="s">
        <v>65</v>
      </c>
      <c r="H1602" s="31" t="e">
        <v>#N/A</v>
      </c>
      <c r="I1602" s="31" t="e">
        <v>#N/A</v>
      </c>
    </row>
    <row r="1603">
      <c r="A1603" s="11">
        <v>46157.641807893524</v>
      </c>
      <c r="B1603" s="9" t="s">
        <v>367</v>
      </c>
      <c r="C1603" s="9" t="s">
        <v>158</v>
      </c>
      <c r="D1603" s="37" t="s">
        <v>57</v>
      </c>
      <c r="F1603" s="15">
        <v>1.0</v>
      </c>
      <c r="G1603" s="37" t="s">
        <v>65</v>
      </c>
      <c r="H1603" s="31" t="e">
        <v>#N/A</v>
      </c>
      <c r="I1603" s="31" t="e">
        <v>#N/A</v>
      </c>
    </row>
    <row r="1604">
      <c r="A1604" s="11">
        <v>46157.65482038194</v>
      </c>
      <c r="B1604" s="9" t="s">
        <v>313</v>
      </c>
      <c r="C1604" s="9" t="s">
        <v>79</v>
      </c>
      <c r="D1604" s="37" t="s">
        <v>57</v>
      </c>
      <c r="F1604" s="15">
        <v>1.0</v>
      </c>
      <c r="G1604" s="37" t="s">
        <v>65</v>
      </c>
      <c r="H1604" s="31" t="e">
        <v>#N/A</v>
      </c>
      <c r="I1604" s="31" t="e">
        <v>#N/A</v>
      </c>
    </row>
    <row r="1605">
      <c r="A1605" s="11">
        <v>46157.65670407408</v>
      </c>
      <c r="B1605" s="9" t="s">
        <v>74</v>
      </c>
      <c r="C1605" s="9" t="s">
        <v>326</v>
      </c>
      <c r="D1605" s="9" t="s">
        <v>19</v>
      </c>
      <c r="E1605" s="9" t="s">
        <v>140</v>
      </c>
      <c r="F1605" s="15">
        <v>1.0</v>
      </c>
      <c r="G1605" s="37" t="s">
        <v>65</v>
      </c>
      <c r="H1605" s="31" t="e">
        <v>#N/A</v>
      </c>
      <c r="I1605" s="31" t="e">
        <v>#N/A</v>
      </c>
    </row>
    <row r="1606">
      <c r="A1606" s="11">
        <v>46157.66147092593</v>
      </c>
      <c r="B1606" s="9" t="s">
        <v>64</v>
      </c>
      <c r="C1606" s="9" t="s">
        <v>157</v>
      </c>
      <c r="D1606" s="37" t="s">
        <v>57</v>
      </c>
      <c r="E1606" s="9" t="s">
        <v>534</v>
      </c>
      <c r="F1606" s="15">
        <v>1.0</v>
      </c>
      <c r="G1606" s="37" t="s">
        <v>65</v>
      </c>
      <c r="H1606" s="31" t="e">
        <v>#N/A</v>
      </c>
      <c r="I1606" s="31" t="e">
        <v>#N/A</v>
      </c>
    </row>
    <row r="1607">
      <c r="A1607" s="11">
        <v>46157.66397486111</v>
      </c>
      <c r="B1607" s="9" t="s">
        <v>313</v>
      </c>
      <c r="C1607" s="9" t="s">
        <v>62</v>
      </c>
      <c r="D1607" s="37" t="s">
        <v>57</v>
      </c>
      <c r="F1607" s="15">
        <v>1.0</v>
      </c>
      <c r="G1607" s="37" t="s">
        <v>65</v>
      </c>
      <c r="H1607" s="31" t="e">
        <v>#N/A</v>
      </c>
      <c r="I1607" s="31" t="e">
        <v>#N/A</v>
      </c>
    </row>
    <row r="1608">
      <c r="A1608" s="11">
        <v>46157.67426248842</v>
      </c>
      <c r="B1608" s="9" t="s">
        <v>181</v>
      </c>
      <c r="C1608" s="9" t="s">
        <v>396</v>
      </c>
      <c r="D1608" s="37" t="s">
        <v>57</v>
      </c>
      <c r="F1608" s="15">
        <v>1.0</v>
      </c>
      <c r="G1608" s="37" t="s">
        <v>65</v>
      </c>
      <c r="H1608" s="31" t="e">
        <v>#N/A</v>
      </c>
      <c r="I1608" s="31" t="e">
        <v>#N/A</v>
      </c>
    </row>
    <row r="1609">
      <c r="A1609" s="11">
        <v>46157.679668321754</v>
      </c>
      <c r="B1609" s="9" t="s">
        <v>368</v>
      </c>
      <c r="C1609" s="9" t="s">
        <v>326</v>
      </c>
      <c r="D1609" s="9" t="s">
        <v>19</v>
      </c>
      <c r="F1609" s="15">
        <v>1.0</v>
      </c>
      <c r="G1609" s="37" t="s">
        <v>65</v>
      </c>
      <c r="H1609" s="31" t="e">
        <v>#N/A</v>
      </c>
      <c r="I1609" s="31" t="e">
        <v>#N/A</v>
      </c>
    </row>
    <row r="1610">
      <c r="A1610" s="11">
        <v>46157.6812156713</v>
      </c>
      <c r="B1610" s="9" t="s">
        <v>313</v>
      </c>
      <c r="C1610" s="9" t="s">
        <v>157</v>
      </c>
      <c r="D1610" s="37" t="s">
        <v>57</v>
      </c>
      <c r="F1610" s="15">
        <v>1.0</v>
      </c>
      <c r="H1610" s="31" t="e">
        <v>#N/A</v>
      </c>
      <c r="I1610" s="31" t="e">
        <v>#N/A</v>
      </c>
    </row>
    <row r="1611">
      <c r="A1611" s="11">
        <v>46157.68731501157</v>
      </c>
      <c r="B1611" s="9" t="s">
        <v>252</v>
      </c>
      <c r="C1611" s="9" t="s">
        <v>202</v>
      </c>
      <c r="D1611" s="9" t="s">
        <v>19</v>
      </c>
      <c r="F1611" s="15">
        <v>1.0</v>
      </c>
      <c r="G1611" s="37" t="s">
        <v>65</v>
      </c>
      <c r="H1611" s="31" t="e">
        <v>#N/A</v>
      </c>
      <c r="I1611" s="31" t="e">
        <v>#N/A</v>
      </c>
    </row>
    <row r="1612">
      <c r="A1612" s="11">
        <v>46157.687758125</v>
      </c>
      <c r="B1612" s="9" t="s">
        <v>414</v>
      </c>
      <c r="C1612" s="9" t="s">
        <v>402</v>
      </c>
      <c r="D1612" s="37" t="s">
        <v>57</v>
      </c>
      <c r="E1612" s="9" t="s">
        <v>535</v>
      </c>
      <c r="F1612" s="15">
        <v>1.0</v>
      </c>
      <c r="G1612" s="37" t="s">
        <v>65</v>
      </c>
      <c r="H1612" s="31" t="e">
        <v>#N/A</v>
      </c>
      <c r="I1612" s="31" t="e">
        <v>#N/A</v>
      </c>
    </row>
    <row r="1613">
      <c r="A1613" s="11">
        <v>46157.693911932874</v>
      </c>
      <c r="B1613" s="9" t="s">
        <v>267</v>
      </c>
      <c r="C1613" s="9" t="s">
        <v>62</v>
      </c>
      <c r="D1613" s="37" t="s">
        <v>57</v>
      </c>
      <c r="E1613" s="9" t="s">
        <v>526</v>
      </c>
      <c r="F1613" s="15">
        <v>1.0</v>
      </c>
      <c r="G1613" s="37" t="s">
        <v>65</v>
      </c>
      <c r="H1613" s="31" t="e">
        <v>#N/A</v>
      </c>
      <c r="I1613" s="31" t="e">
        <v>#N/A</v>
      </c>
    </row>
    <row r="1614">
      <c r="A1614" s="11">
        <v>46157.697736863425</v>
      </c>
      <c r="B1614" s="9" t="s">
        <v>299</v>
      </c>
      <c r="C1614" s="9" t="s">
        <v>181</v>
      </c>
      <c r="D1614" s="9" t="s">
        <v>19</v>
      </c>
      <c r="F1614" s="15">
        <v>1.0</v>
      </c>
      <c r="H1614" s="31" t="e">
        <v>#N/A</v>
      </c>
      <c r="I1614" s="31" t="e">
        <v>#N/A</v>
      </c>
    </row>
    <row r="1615">
      <c r="A1615" s="11">
        <v>46157.7098871412</v>
      </c>
      <c r="B1615" s="9" t="s">
        <v>238</v>
      </c>
      <c r="C1615" s="9" t="s">
        <v>396</v>
      </c>
      <c r="D1615" s="37" t="s">
        <v>57</v>
      </c>
      <c r="E1615" s="9" t="s">
        <v>265</v>
      </c>
      <c r="F1615" s="15">
        <v>1.0</v>
      </c>
      <c r="G1615" s="37" t="s">
        <v>65</v>
      </c>
      <c r="H1615" s="31" t="e">
        <v>#N/A</v>
      </c>
      <c r="I1615" s="31" t="e">
        <v>#N/A</v>
      </c>
    </row>
    <row r="1616">
      <c r="A1616" s="11">
        <v>46157.70763888889</v>
      </c>
      <c r="B1616" s="9" t="s">
        <v>62</v>
      </c>
      <c r="C1616" s="9" t="s">
        <v>314</v>
      </c>
      <c r="D1616" s="9" t="s">
        <v>19</v>
      </c>
      <c r="E1616" s="9" t="s">
        <v>536</v>
      </c>
      <c r="F1616" s="15">
        <v>1.0</v>
      </c>
      <c r="G1616" s="37" t="s">
        <v>65</v>
      </c>
      <c r="H1616" s="31" t="e">
        <v>#N/A</v>
      </c>
      <c r="I1616" s="31" t="e">
        <v>#N/A</v>
      </c>
    </row>
    <row r="1617">
      <c r="A1617" s="11">
        <v>46157.71993375</v>
      </c>
      <c r="B1617" s="9" t="s">
        <v>402</v>
      </c>
      <c r="C1617" s="9" t="s">
        <v>252</v>
      </c>
      <c r="D1617" s="9" t="s">
        <v>19</v>
      </c>
      <c r="E1617" s="9" t="s">
        <v>537</v>
      </c>
      <c r="F1617" s="15">
        <v>1.0</v>
      </c>
      <c r="G1617" s="37" t="s">
        <v>65</v>
      </c>
      <c r="H1617" s="31" t="e">
        <v>#N/A</v>
      </c>
      <c r="I1617" s="31" t="e">
        <v>#N/A</v>
      </c>
    </row>
    <row r="1618">
      <c r="A1618" s="11">
        <v>46157.72116331018</v>
      </c>
      <c r="B1618" s="9" t="s">
        <v>60</v>
      </c>
      <c r="C1618" s="9" t="s">
        <v>66</v>
      </c>
      <c r="D1618" s="9" t="s">
        <v>19</v>
      </c>
      <c r="F1618" s="15">
        <v>1.0</v>
      </c>
      <c r="G1618" s="37" t="s">
        <v>65</v>
      </c>
      <c r="H1618" s="31" t="e">
        <v>#N/A</v>
      </c>
      <c r="I1618" s="31" t="e">
        <v>#N/A</v>
      </c>
    </row>
    <row r="1619">
      <c r="A1619" s="11">
        <v>46157.721498900464</v>
      </c>
      <c r="B1619" s="9" t="s">
        <v>174</v>
      </c>
      <c r="C1619" s="9" t="s">
        <v>120</v>
      </c>
      <c r="D1619" s="9" t="s">
        <v>19</v>
      </c>
      <c r="F1619" s="15">
        <v>1.0</v>
      </c>
      <c r="G1619" s="37" t="s">
        <v>65</v>
      </c>
      <c r="H1619" s="31" t="e">
        <v>#N/A</v>
      </c>
      <c r="I1619" s="31" t="e">
        <v>#N/A</v>
      </c>
    </row>
    <row r="1620">
      <c r="A1620" s="11">
        <v>46157.72883755787</v>
      </c>
      <c r="B1620" s="9" t="s">
        <v>229</v>
      </c>
      <c r="C1620" s="9" t="s">
        <v>160</v>
      </c>
      <c r="D1620" s="37" t="s">
        <v>57</v>
      </c>
      <c r="F1620" s="15">
        <v>1.0</v>
      </c>
      <c r="G1620" s="37" t="s">
        <v>65</v>
      </c>
      <c r="H1620" s="31" t="e">
        <v>#N/A</v>
      </c>
      <c r="I1620" s="31" t="e">
        <v>#N/A</v>
      </c>
    </row>
    <row r="1621">
      <c r="A1621" s="11">
        <v>46157.73592929398</v>
      </c>
      <c r="B1621" s="9" t="s">
        <v>71</v>
      </c>
      <c r="C1621" s="9" t="s">
        <v>60</v>
      </c>
      <c r="D1621" s="9" t="s">
        <v>19</v>
      </c>
      <c r="F1621" s="15">
        <v>1.0</v>
      </c>
      <c r="G1621" s="37" t="s">
        <v>65</v>
      </c>
      <c r="H1621" s="31" t="e">
        <v>#N/A</v>
      </c>
      <c r="I1621" s="31" t="e">
        <v>#N/A</v>
      </c>
    </row>
    <row r="1622">
      <c r="A1622" s="11">
        <v>46157.736179976855</v>
      </c>
      <c r="B1622" s="9" t="s">
        <v>115</v>
      </c>
      <c r="C1622" s="9" t="s">
        <v>350</v>
      </c>
      <c r="D1622" s="9" t="s">
        <v>19</v>
      </c>
      <c r="E1622" s="9" t="s">
        <v>225</v>
      </c>
      <c r="F1622" s="15">
        <v>1.0</v>
      </c>
      <c r="G1622" s="37" t="s">
        <v>65</v>
      </c>
      <c r="H1622" s="31" t="e">
        <v>#N/A</v>
      </c>
      <c r="I1622" s="31" t="e">
        <v>#N/A</v>
      </c>
    </row>
    <row r="1623">
      <c r="A1623" s="11">
        <v>46157.738423449075</v>
      </c>
      <c r="B1623" s="9" t="s">
        <v>174</v>
      </c>
      <c r="C1623" s="9" t="s">
        <v>187</v>
      </c>
      <c r="D1623" s="37" t="s">
        <v>57</v>
      </c>
      <c r="F1623" s="15">
        <v>1.0</v>
      </c>
      <c r="G1623" s="37" t="s">
        <v>65</v>
      </c>
      <c r="H1623" s="31" t="e">
        <v>#N/A</v>
      </c>
      <c r="I1623" s="31" t="e">
        <v>#N/A</v>
      </c>
    </row>
    <row r="1624">
      <c r="A1624" s="11">
        <v>46157.74366849537</v>
      </c>
      <c r="B1624" s="9" t="s">
        <v>218</v>
      </c>
      <c r="C1624" s="9" t="s">
        <v>160</v>
      </c>
      <c r="D1624" s="9" t="s">
        <v>19</v>
      </c>
      <c r="F1624" s="15">
        <v>1.0</v>
      </c>
      <c r="H1624" s="31" t="e">
        <v>#N/A</v>
      </c>
      <c r="I1624" s="31" t="e">
        <v>#N/A</v>
      </c>
    </row>
    <row r="1625">
      <c r="A1625" s="11">
        <v>46157.74485451389</v>
      </c>
      <c r="B1625" s="9" t="s">
        <v>71</v>
      </c>
      <c r="C1625" s="9" t="s">
        <v>174</v>
      </c>
      <c r="D1625" s="9" t="s">
        <v>19</v>
      </c>
      <c r="F1625" s="15">
        <v>1.0</v>
      </c>
      <c r="G1625" s="37" t="s">
        <v>65</v>
      </c>
      <c r="H1625" s="31" t="e">
        <v>#N/A</v>
      </c>
      <c r="I1625" s="31" t="e">
        <v>#N/A</v>
      </c>
    </row>
    <row r="1626">
      <c r="A1626" s="11">
        <v>46157.75102402778</v>
      </c>
      <c r="B1626" s="9" t="s">
        <v>84</v>
      </c>
      <c r="C1626" s="9" t="s">
        <v>424</v>
      </c>
      <c r="D1626" s="37" t="s">
        <v>57</v>
      </c>
      <c r="F1626" s="15">
        <v>1.0</v>
      </c>
      <c r="G1626" s="37" t="s">
        <v>65</v>
      </c>
      <c r="H1626" s="31" t="e">
        <v>#N/A</v>
      </c>
      <c r="I1626" s="31" t="e">
        <v>#N/A</v>
      </c>
    </row>
    <row r="1627">
      <c r="A1627" s="11">
        <v>46157.753067673606</v>
      </c>
      <c r="B1627" s="9" t="s">
        <v>120</v>
      </c>
      <c r="C1627" s="9" t="s">
        <v>217</v>
      </c>
      <c r="D1627" s="37" t="s">
        <v>57</v>
      </c>
      <c r="F1627" s="15">
        <v>1.0</v>
      </c>
      <c r="G1627" s="37" t="s">
        <v>65</v>
      </c>
      <c r="H1627" s="31" t="e">
        <v>#N/A</v>
      </c>
      <c r="I1627" s="31" t="e">
        <v>#N/A</v>
      </c>
    </row>
    <row r="1628">
      <c r="A1628" s="11">
        <v>46157.755227037036</v>
      </c>
      <c r="B1628" s="9" t="s">
        <v>229</v>
      </c>
      <c r="C1628" s="9" t="s">
        <v>96</v>
      </c>
      <c r="D1628" s="37" t="s">
        <v>57</v>
      </c>
      <c r="F1628" s="15">
        <v>1.0</v>
      </c>
      <c r="G1628" s="37" t="s">
        <v>65</v>
      </c>
      <c r="H1628" s="31" t="e">
        <v>#N/A</v>
      </c>
      <c r="I1628" s="31" t="e">
        <v>#N/A</v>
      </c>
    </row>
    <row r="1629">
      <c r="A1629" s="11">
        <v>46157.7553372338</v>
      </c>
      <c r="B1629" s="9" t="s">
        <v>228</v>
      </c>
      <c r="C1629" s="9" t="s">
        <v>74</v>
      </c>
      <c r="D1629" s="37" t="s">
        <v>57</v>
      </c>
      <c r="F1629" s="15">
        <v>1.0</v>
      </c>
      <c r="G1629" s="37" t="s">
        <v>65</v>
      </c>
      <c r="H1629" s="31" t="e">
        <v>#N/A</v>
      </c>
      <c r="I1629" s="31" t="e">
        <v>#N/A</v>
      </c>
    </row>
    <row r="1630">
      <c r="A1630" s="11">
        <v>46157.761860706014</v>
      </c>
      <c r="B1630" s="9" t="s">
        <v>350</v>
      </c>
      <c r="C1630" s="9" t="s">
        <v>66</v>
      </c>
      <c r="D1630" s="37" t="s">
        <v>57</v>
      </c>
      <c r="F1630" s="15">
        <v>1.0</v>
      </c>
      <c r="H1630" s="31" t="e">
        <v>#N/A</v>
      </c>
      <c r="I1630" s="31" t="e">
        <v>#N/A</v>
      </c>
    </row>
    <row r="1631">
      <c r="A1631" s="11">
        <v>46157.763021875</v>
      </c>
      <c r="B1631" s="9" t="s">
        <v>187</v>
      </c>
      <c r="C1631" s="9" t="s">
        <v>246</v>
      </c>
      <c r="D1631" s="9" t="s">
        <v>19</v>
      </c>
      <c r="E1631" s="9" t="s">
        <v>112</v>
      </c>
      <c r="F1631" s="15">
        <v>1.0</v>
      </c>
      <c r="H1631" s="31" t="e">
        <v>#N/A</v>
      </c>
      <c r="I1631" s="31" t="e">
        <v>#N/A</v>
      </c>
    </row>
    <row r="1632">
      <c r="A1632" s="11">
        <v>46157.76630466435</v>
      </c>
      <c r="B1632" s="9" t="s">
        <v>62</v>
      </c>
      <c r="C1632" s="9" t="s">
        <v>228</v>
      </c>
      <c r="D1632" s="37" t="s">
        <v>57</v>
      </c>
      <c r="E1632" s="9" t="s">
        <v>112</v>
      </c>
      <c r="F1632" s="15">
        <v>1.0</v>
      </c>
      <c r="G1632" s="37" t="s">
        <v>65</v>
      </c>
      <c r="H1632" s="31" t="e">
        <v>#N/A</v>
      </c>
      <c r="I1632" s="31" t="e">
        <v>#N/A</v>
      </c>
    </row>
    <row r="1633">
      <c r="A1633" s="11">
        <v>46157.769357129626</v>
      </c>
      <c r="B1633" s="9" t="s">
        <v>218</v>
      </c>
      <c r="C1633" s="9" t="s">
        <v>71</v>
      </c>
      <c r="D1633" s="37" t="s">
        <v>57</v>
      </c>
      <c r="F1633" s="15">
        <v>1.0</v>
      </c>
      <c r="G1633" s="37" t="s">
        <v>65</v>
      </c>
      <c r="H1633" s="31" t="e">
        <v>#N/A</v>
      </c>
      <c r="I1633" s="31" t="e">
        <v>#N/A</v>
      </c>
    </row>
    <row r="1634">
      <c r="A1634" s="11">
        <v>46157.77179559028</v>
      </c>
      <c r="B1634" s="9" t="s">
        <v>121</v>
      </c>
      <c r="C1634" s="9" t="s">
        <v>219</v>
      </c>
      <c r="D1634" s="9" t="s">
        <v>19</v>
      </c>
      <c r="E1634" s="9" t="s">
        <v>176</v>
      </c>
      <c r="F1634" s="15">
        <v>1.0</v>
      </c>
      <c r="G1634" s="37" t="s">
        <v>65</v>
      </c>
      <c r="H1634" s="31" t="e">
        <v>#N/A</v>
      </c>
      <c r="I1634" s="31" t="e">
        <v>#N/A</v>
      </c>
    </row>
    <row r="1635">
      <c r="A1635" s="11">
        <v>46157.775833472224</v>
      </c>
      <c r="B1635" s="9" t="s">
        <v>142</v>
      </c>
      <c r="C1635" s="9" t="s">
        <v>120</v>
      </c>
      <c r="D1635" s="37" t="s">
        <v>57</v>
      </c>
      <c r="F1635" s="15">
        <v>1.0</v>
      </c>
      <c r="G1635" s="37" t="s">
        <v>65</v>
      </c>
      <c r="H1635" s="31" t="e">
        <v>#N/A</v>
      </c>
      <c r="I1635" s="31" t="e">
        <v>#N/A</v>
      </c>
    </row>
    <row r="1636">
      <c r="A1636" s="11">
        <v>46157.77704310185</v>
      </c>
      <c r="B1636" s="9" t="s">
        <v>174</v>
      </c>
      <c r="C1636" s="9" t="s">
        <v>94</v>
      </c>
      <c r="D1636" s="37" t="s">
        <v>57</v>
      </c>
      <c r="F1636" s="15">
        <v>1.0</v>
      </c>
      <c r="G1636" s="37" t="s">
        <v>65</v>
      </c>
      <c r="H1636" s="31" t="e">
        <v>#N/A</v>
      </c>
      <c r="I1636" s="31" t="e">
        <v>#N/A</v>
      </c>
    </row>
    <row r="1637">
      <c r="A1637" s="11">
        <v>46157.77829945602</v>
      </c>
      <c r="B1637" s="9" t="s">
        <v>350</v>
      </c>
      <c r="C1637" s="9" t="s">
        <v>60</v>
      </c>
      <c r="D1637" s="37" t="s">
        <v>57</v>
      </c>
      <c r="F1637" s="15">
        <v>1.0</v>
      </c>
      <c r="G1637" s="37" t="s">
        <v>65</v>
      </c>
      <c r="H1637" s="31" t="e">
        <v>#N/A</v>
      </c>
      <c r="I1637" s="31" t="e">
        <v>#N/A</v>
      </c>
    </row>
    <row r="1638">
      <c r="A1638" s="11">
        <v>46157.78604457176</v>
      </c>
      <c r="B1638" s="9" t="s">
        <v>60</v>
      </c>
      <c r="C1638" s="9" t="s">
        <v>120</v>
      </c>
      <c r="D1638" s="9" t="s">
        <v>19</v>
      </c>
      <c r="F1638" s="15">
        <v>1.0</v>
      </c>
      <c r="G1638" s="37" t="s">
        <v>65</v>
      </c>
      <c r="H1638" s="31" t="e">
        <v>#N/A</v>
      </c>
      <c r="I1638" s="31" t="e">
        <v>#N/A</v>
      </c>
    </row>
    <row r="1639">
      <c r="A1639" s="11">
        <v>46157.789995983796</v>
      </c>
      <c r="B1639" s="9" t="s">
        <v>94</v>
      </c>
      <c r="C1639" s="9" t="s">
        <v>217</v>
      </c>
      <c r="D1639" s="9" t="s">
        <v>19</v>
      </c>
      <c r="F1639" s="15">
        <v>1.0</v>
      </c>
      <c r="G1639" s="37" t="s">
        <v>65</v>
      </c>
      <c r="H1639" s="31" t="e">
        <v>#N/A</v>
      </c>
      <c r="I1639" s="31" t="e">
        <v>#N/A</v>
      </c>
    </row>
    <row r="1640">
      <c r="A1640" s="11">
        <v>46157.79184333333</v>
      </c>
      <c r="B1640" s="9" t="s">
        <v>96</v>
      </c>
      <c r="C1640" s="9" t="s">
        <v>150</v>
      </c>
      <c r="D1640" s="9" t="s">
        <v>19</v>
      </c>
      <c r="F1640" s="15">
        <v>1.0</v>
      </c>
      <c r="G1640" s="37" t="s">
        <v>65</v>
      </c>
      <c r="H1640" s="31" t="e">
        <v>#N/A</v>
      </c>
      <c r="I1640" s="31" t="e">
        <v>#N/A</v>
      </c>
    </row>
    <row r="1641">
      <c r="A1641" s="11">
        <v>46157.791986655095</v>
      </c>
      <c r="B1641" s="9" t="s">
        <v>142</v>
      </c>
      <c r="C1641" s="9" t="s">
        <v>350</v>
      </c>
      <c r="D1641" s="9" t="s">
        <v>19</v>
      </c>
      <c r="F1641" s="15">
        <v>1.0</v>
      </c>
      <c r="G1641" s="37" t="s">
        <v>65</v>
      </c>
      <c r="H1641" s="31" t="e">
        <v>#N/A</v>
      </c>
      <c r="I1641" s="31" t="e">
        <v>#N/A</v>
      </c>
    </row>
    <row r="1642">
      <c r="A1642" s="11">
        <v>46157.79381740741</v>
      </c>
      <c r="B1642" s="9" t="s">
        <v>62</v>
      </c>
      <c r="C1642" s="9" t="s">
        <v>187</v>
      </c>
      <c r="D1642" s="37" t="s">
        <v>57</v>
      </c>
      <c r="E1642" s="9" t="s">
        <v>538</v>
      </c>
      <c r="F1642" s="15">
        <v>1.0</v>
      </c>
      <c r="G1642" s="37" t="s">
        <v>65</v>
      </c>
      <c r="H1642" s="31" t="e">
        <v>#N/A</v>
      </c>
      <c r="I1642" s="31" t="e">
        <v>#N/A</v>
      </c>
    </row>
    <row r="1643">
      <c r="A1643" s="11">
        <v>46157.79452761574</v>
      </c>
      <c r="B1643" s="9" t="s">
        <v>228</v>
      </c>
      <c r="C1643" s="9" t="s">
        <v>374</v>
      </c>
      <c r="D1643" s="37" t="s">
        <v>57</v>
      </c>
      <c r="F1643" s="15">
        <v>1.0</v>
      </c>
      <c r="G1643" s="37" t="s">
        <v>65</v>
      </c>
      <c r="H1643" s="31" t="e">
        <v>#N/A</v>
      </c>
      <c r="I1643" s="31" t="e">
        <v>#N/A</v>
      </c>
    </row>
    <row r="1644">
      <c r="A1644" s="11">
        <v>46157.8029293287</v>
      </c>
      <c r="B1644" s="9" t="s">
        <v>344</v>
      </c>
      <c r="C1644" s="9" t="s">
        <v>142</v>
      </c>
      <c r="D1644" s="9" t="s">
        <v>19</v>
      </c>
      <c r="E1644" s="9" t="s">
        <v>140</v>
      </c>
      <c r="F1644" s="15">
        <v>1.0</v>
      </c>
      <c r="G1644" s="37" t="s">
        <v>65</v>
      </c>
      <c r="H1644" s="31" t="e">
        <v>#N/A</v>
      </c>
      <c r="I1644" s="31" t="e">
        <v>#N/A</v>
      </c>
    </row>
    <row r="1645">
      <c r="A1645" s="11">
        <v>46157.81284775463</v>
      </c>
      <c r="B1645" s="9" t="s">
        <v>94</v>
      </c>
      <c r="C1645" s="9" t="s">
        <v>120</v>
      </c>
      <c r="D1645" s="37" t="s">
        <v>57</v>
      </c>
      <c r="F1645" s="15">
        <v>1.0</v>
      </c>
      <c r="G1645" s="37" t="s">
        <v>65</v>
      </c>
      <c r="H1645" s="31" t="e">
        <v>#N/A</v>
      </c>
      <c r="I1645" s="31" t="e">
        <v>#N/A</v>
      </c>
    </row>
    <row r="1646">
      <c r="A1646" s="11">
        <v>46157.81327135417</v>
      </c>
      <c r="B1646" s="9" t="s">
        <v>350</v>
      </c>
      <c r="C1646" s="9" t="s">
        <v>344</v>
      </c>
      <c r="D1646" s="9" t="s">
        <v>19</v>
      </c>
      <c r="F1646" s="15">
        <v>1.0</v>
      </c>
      <c r="G1646" s="37" t="s">
        <v>65</v>
      </c>
      <c r="H1646" s="31" t="e">
        <v>#N/A</v>
      </c>
      <c r="I1646" s="31" t="e">
        <v>#N/A</v>
      </c>
    </row>
    <row r="1647">
      <c r="A1647" s="11">
        <v>46157.81688300926</v>
      </c>
      <c r="B1647" s="9" t="s">
        <v>276</v>
      </c>
      <c r="C1647" s="9" t="s">
        <v>322</v>
      </c>
      <c r="D1647" s="37" t="s">
        <v>57</v>
      </c>
      <c r="F1647" s="15">
        <v>1.0</v>
      </c>
      <c r="G1647" s="37" t="s">
        <v>65</v>
      </c>
      <c r="H1647" s="31" t="e">
        <v>#N/A</v>
      </c>
      <c r="I1647" s="31" t="e">
        <v>#N/A</v>
      </c>
    </row>
    <row r="1648">
      <c r="A1648" s="11">
        <v>46157.819387881944</v>
      </c>
      <c r="B1648" s="9" t="s">
        <v>101</v>
      </c>
      <c r="C1648" s="9" t="s">
        <v>92</v>
      </c>
      <c r="D1648" s="37" t="s">
        <v>57</v>
      </c>
      <c r="E1648" s="9" t="s">
        <v>321</v>
      </c>
      <c r="F1648" s="15">
        <v>1.0</v>
      </c>
      <c r="G1648" s="37" t="s">
        <v>65</v>
      </c>
      <c r="H1648" s="31" t="e">
        <v>#N/A</v>
      </c>
      <c r="I1648" s="31" t="e">
        <v>#N/A</v>
      </c>
    </row>
    <row r="1649">
      <c r="A1649" s="11">
        <v>46157.82314237268</v>
      </c>
      <c r="B1649" s="9" t="s">
        <v>142</v>
      </c>
      <c r="C1649" s="9" t="s">
        <v>187</v>
      </c>
      <c r="D1649" s="37" t="s">
        <v>57</v>
      </c>
      <c r="F1649" s="15">
        <v>1.0</v>
      </c>
      <c r="G1649" s="37" t="s">
        <v>65</v>
      </c>
      <c r="H1649" s="31" t="e">
        <v>#N/A</v>
      </c>
      <c r="I1649" s="31" t="e">
        <v>#N/A</v>
      </c>
    </row>
    <row r="1650">
      <c r="A1650" s="11">
        <v>46157.83251824074</v>
      </c>
      <c r="B1650" s="9" t="s">
        <v>59</v>
      </c>
      <c r="C1650" s="9" t="s">
        <v>134</v>
      </c>
      <c r="D1650" s="9" t="s">
        <v>19</v>
      </c>
      <c r="F1650" s="15">
        <v>1.0</v>
      </c>
      <c r="H1650" s="31" t="e">
        <v>#N/A</v>
      </c>
      <c r="I1650" s="31" t="e">
        <v>#N/A</v>
      </c>
    </row>
    <row r="1651">
      <c r="A1651" s="11">
        <v>46157.833997187496</v>
      </c>
      <c r="B1651" s="9" t="s">
        <v>344</v>
      </c>
      <c r="C1651" s="9" t="s">
        <v>276</v>
      </c>
      <c r="D1651" s="9" t="s">
        <v>19</v>
      </c>
      <c r="E1651" s="9" t="s">
        <v>140</v>
      </c>
      <c r="F1651" s="15">
        <v>1.0</v>
      </c>
      <c r="G1651" s="37" t="s">
        <v>65</v>
      </c>
      <c r="H1651" s="31" t="e">
        <v>#N/A</v>
      </c>
      <c r="I1651" s="31" t="e">
        <v>#N/A</v>
      </c>
    </row>
    <row r="1652">
      <c r="A1652" s="11">
        <v>46157.84192831018</v>
      </c>
      <c r="B1652" s="9" t="s">
        <v>61</v>
      </c>
      <c r="C1652" s="9" t="s">
        <v>59</v>
      </c>
      <c r="D1652" s="9" t="s">
        <v>19</v>
      </c>
      <c r="F1652" s="15">
        <v>1.0</v>
      </c>
      <c r="G1652" s="37" t="s">
        <v>65</v>
      </c>
      <c r="H1652" s="31" t="e">
        <v>#N/A</v>
      </c>
      <c r="I1652" s="31" t="e">
        <v>#N/A</v>
      </c>
    </row>
    <row r="1653">
      <c r="A1653" s="11">
        <v>46157.84277511574</v>
      </c>
      <c r="B1653" s="9" t="s">
        <v>142</v>
      </c>
      <c r="C1653" s="9" t="s">
        <v>96</v>
      </c>
      <c r="D1653" s="37" t="s">
        <v>57</v>
      </c>
      <c r="F1653" s="15">
        <v>1.0</v>
      </c>
      <c r="G1653" s="37" t="s">
        <v>65</v>
      </c>
      <c r="H1653" s="31" t="e">
        <v>#N/A</v>
      </c>
      <c r="I1653" s="31" t="e">
        <v>#N/A</v>
      </c>
    </row>
    <row r="1654">
      <c r="A1654" s="11">
        <v>46157.844555625</v>
      </c>
      <c r="B1654" s="9" t="s">
        <v>183</v>
      </c>
      <c r="C1654" s="9" t="s">
        <v>121</v>
      </c>
      <c r="D1654" s="37" t="s">
        <v>57</v>
      </c>
      <c r="E1654" s="9" t="s">
        <v>122</v>
      </c>
      <c r="F1654" s="15">
        <v>1.0</v>
      </c>
      <c r="G1654" s="37" t="s">
        <v>65</v>
      </c>
      <c r="H1654" s="31" t="e">
        <v>#N/A</v>
      </c>
      <c r="I1654" s="31" t="e">
        <v>#N/A</v>
      </c>
    </row>
    <row r="1655">
      <c r="A1655" s="11">
        <v>46157.84656298611</v>
      </c>
      <c r="B1655" s="9" t="s">
        <v>322</v>
      </c>
      <c r="C1655" s="9" t="s">
        <v>228</v>
      </c>
      <c r="D1655" s="37" t="s">
        <v>57</v>
      </c>
      <c r="F1655" s="15">
        <v>1.0</v>
      </c>
      <c r="G1655" s="37" t="s">
        <v>65</v>
      </c>
      <c r="H1655" s="31" t="e">
        <v>#N/A</v>
      </c>
      <c r="I1655" s="31" t="e">
        <v>#N/A</v>
      </c>
    </row>
    <row r="1656">
      <c r="A1656" s="11">
        <v>46157.870493622686</v>
      </c>
      <c r="B1656" s="9" t="s">
        <v>96</v>
      </c>
      <c r="C1656" s="9" t="s">
        <v>183</v>
      </c>
      <c r="D1656" s="9" t="s">
        <v>19</v>
      </c>
      <c r="F1656" s="15">
        <v>1.0</v>
      </c>
      <c r="G1656" s="37" t="s">
        <v>65</v>
      </c>
      <c r="H1656" s="31" t="e">
        <v>#N/A</v>
      </c>
      <c r="I1656" s="31" t="e">
        <v>#N/A</v>
      </c>
    </row>
    <row r="1657">
      <c r="A1657" s="11">
        <v>46157.89207728009</v>
      </c>
      <c r="B1657" s="9" t="s">
        <v>96</v>
      </c>
      <c r="C1657" s="9" t="s">
        <v>219</v>
      </c>
      <c r="D1657" s="37" t="s">
        <v>57</v>
      </c>
      <c r="E1657" s="9" t="s">
        <v>122</v>
      </c>
      <c r="F1657" s="15">
        <v>1.0</v>
      </c>
      <c r="G1657" s="37" t="s">
        <v>65</v>
      </c>
      <c r="H1657" s="31" t="e">
        <v>#N/A</v>
      </c>
      <c r="I1657" s="31" t="e">
        <v>#N/A</v>
      </c>
    </row>
    <row r="1658">
      <c r="A1658" s="11">
        <v>46157.90903091435</v>
      </c>
      <c r="B1658" s="9" t="s">
        <v>152</v>
      </c>
      <c r="C1658" s="9" t="s">
        <v>329</v>
      </c>
      <c r="D1658" s="9" t="s">
        <v>19</v>
      </c>
      <c r="E1658" s="9" t="s">
        <v>539</v>
      </c>
      <c r="F1658" s="15">
        <v>1.0</v>
      </c>
      <c r="G1658" s="37" t="s">
        <v>65</v>
      </c>
      <c r="H1658" s="31" t="e">
        <v>#N/A</v>
      </c>
      <c r="I1658" s="31" t="e">
        <v>#N/A</v>
      </c>
    </row>
    <row r="1659">
      <c r="A1659" s="11">
        <v>46157.92885599537</v>
      </c>
      <c r="B1659" s="9" t="s">
        <v>318</v>
      </c>
      <c r="C1659" s="9" t="s">
        <v>162</v>
      </c>
      <c r="D1659" s="9" t="s">
        <v>19</v>
      </c>
      <c r="F1659" s="15">
        <v>1.0</v>
      </c>
      <c r="G1659" s="37" t="s">
        <v>65</v>
      </c>
      <c r="H1659" s="31" t="e">
        <v>#N/A</v>
      </c>
      <c r="I1659" s="31" t="e">
        <v>#N/A</v>
      </c>
    </row>
    <row r="1660">
      <c r="A1660" s="11">
        <v>46157.9301003588</v>
      </c>
      <c r="B1660" s="9" t="s">
        <v>121</v>
      </c>
      <c r="C1660" s="9" t="s">
        <v>17</v>
      </c>
      <c r="D1660" s="9" t="s">
        <v>19</v>
      </c>
      <c r="E1660" s="9" t="s">
        <v>140</v>
      </c>
      <c r="F1660" s="15">
        <v>1.0</v>
      </c>
      <c r="G1660" s="37" t="s">
        <v>65</v>
      </c>
      <c r="H1660" s="31" t="e">
        <v>#N/A</v>
      </c>
      <c r="I1660" s="31" t="e">
        <v>#N/A</v>
      </c>
    </row>
    <row r="1661">
      <c r="A1661" s="11">
        <v>46157.93318309028</v>
      </c>
      <c r="B1661" s="9" t="s">
        <v>59</v>
      </c>
      <c r="C1661" s="9" t="s">
        <v>154</v>
      </c>
      <c r="D1661" s="37" t="s">
        <v>57</v>
      </c>
      <c r="F1661" s="15">
        <v>1.0</v>
      </c>
      <c r="G1661" s="37" t="s">
        <v>65</v>
      </c>
      <c r="H1661" s="31" t="e">
        <v>#N/A</v>
      </c>
      <c r="I1661" s="31" t="e">
        <v>#N/A</v>
      </c>
    </row>
    <row r="1662">
      <c r="A1662" s="11">
        <v>46157.95288359954</v>
      </c>
      <c r="B1662" s="9" t="s">
        <v>17</v>
      </c>
      <c r="C1662" s="9" t="s">
        <v>101</v>
      </c>
      <c r="D1662" s="9" t="s">
        <v>19</v>
      </c>
      <c r="F1662" s="15">
        <v>1.0</v>
      </c>
      <c r="G1662" s="37" t="s">
        <v>65</v>
      </c>
      <c r="H1662" s="31" t="e">
        <v>#N/A</v>
      </c>
      <c r="I1662" s="31" t="e">
        <v>#N/A</v>
      </c>
    </row>
    <row r="1663">
      <c r="A1663" s="11">
        <v>46157.9547966088</v>
      </c>
      <c r="B1663" s="9" t="s">
        <v>366</v>
      </c>
      <c r="C1663" s="9" t="s">
        <v>329</v>
      </c>
      <c r="D1663" s="37" t="s">
        <v>57</v>
      </c>
      <c r="E1663" s="9" t="s">
        <v>540</v>
      </c>
      <c r="F1663" s="15">
        <v>1.0</v>
      </c>
      <c r="H1663" s="31" t="e">
        <v>#N/A</v>
      </c>
      <c r="I1663" s="31" t="e">
        <v>#N/A</v>
      </c>
    </row>
    <row r="1664">
      <c r="A1664" s="11">
        <v>46157.96337388889</v>
      </c>
      <c r="B1664" s="9" t="s">
        <v>150</v>
      </c>
      <c r="C1664" s="9" t="s">
        <v>347</v>
      </c>
      <c r="D1664" s="9" t="s">
        <v>19</v>
      </c>
      <c r="E1664" s="9" t="s">
        <v>112</v>
      </c>
      <c r="F1664" s="15">
        <v>1.0</v>
      </c>
      <c r="G1664" s="37" t="s">
        <v>65</v>
      </c>
      <c r="H1664" s="31" t="e">
        <v>#N/A</v>
      </c>
      <c r="I1664" s="31" t="e">
        <v>#N/A</v>
      </c>
    </row>
    <row r="1665">
      <c r="A1665" s="11">
        <v>46157.96974721065</v>
      </c>
      <c r="B1665" s="9" t="s">
        <v>17</v>
      </c>
      <c r="C1665" s="9" t="s">
        <v>143</v>
      </c>
      <c r="D1665" s="9" t="s">
        <v>19</v>
      </c>
      <c r="F1665" s="15">
        <v>1.0</v>
      </c>
      <c r="G1665" s="37" t="s">
        <v>65</v>
      </c>
      <c r="H1665" s="31" t="e">
        <v>#N/A</v>
      </c>
      <c r="I1665" s="31" t="e">
        <v>#N/A</v>
      </c>
    </row>
    <row r="1666">
      <c r="A1666" s="11">
        <v>46157.97520893518</v>
      </c>
      <c r="B1666" s="9" t="s">
        <v>218</v>
      </c>
      <c r="C1666" s="9" t="s">
        <v>154</v>
      </c>
      <c r="D1666" s="37" t="s">
        <v>57</v>
      </c>
      <c r="F1666" s="15">
        <v>1.0</v>
      </c>
      <c r="G1666" s="37" t="s">
        <v>65</v>
      </c>
      <c r="H1666" s="31" t="e">
        <v>#N/A</v>
      </c>
      <c r="I1666" s="31" t="e">
        <v>#N/A</v>
      </c>
    </row>
    <row r="1667">
      <c r="A1667" s="11">
        <v>46157.97943060185</v>
      </c>
      <c r="B1667" s="9" t="s">
        <v>162</v>
      </c>
      <c r="C1667" s="9" t="s">
        <v>59</v>
      </c>
      <c r="D1667" s="37" t="s">
        <v>57</v>
      </c>
      <c r="F1667" s="15">
        <v>1.0</v>
      </c>
      <c r="G1667" s="37" t="s">
        <v>65</v>
      </c>
      <c r="H1667" s="31" t="e">
        <v>#N/A</v>
      </c>
      <c r="I1667" s="31" t="e">
        <v>#N/A</v>
      </c>
    </row>
    <row r="1668">
      <c r="A1668" s="11">
        <v>46157.986070231476</v>
      </c>
      <c r="B1668" s="9" t="s">
        <v>101</v>
      </c>
      <c r="C1668" s="9" t="s">
        <v>214</v>
      </c>
      <c r="D1668" s="37" t="s">
        <v>57</v>
      </c>
      <c r="F1668" s="15">
        <v>1.0</v>
      </c>
      <c r="G1668" s="37" t="s">
        <v>65</v>
      </c>
      <c r="H1668" s="31" t="e">
        <v>#N/A</v>
      </c>
      <c r="I1668" s="31" t="e">
        <v>#N/A</v>
      </c>
    </row>
    <row r="1669">
      <c r="A1669" s="11">
        <v>46157.988574166666</v>
      </c>
      <c r="B1669" s="9" t="s">
        <v>17</v>
      </c>
      <c r="C1669" s="9" t="s">
        <v>347</v>
      </c>
      <c r="D1669" s="37" t="s">
        <v>57</v>
      </c>
      <c r="F1669" s="15">
        <v>1.0</v>
      </c>
      <c r="G1669" s="37" t="s">
        <v>65</v>
      </c>
      <c r="H1669" s="31" t="e">
        <v>#N/A</v>
      </c>
      <c r="I1669" s="31" t="e">
        <v>#N/A</v>
      </c>
    </row>
    <row r="1670">
      <c r="A1670" s="11">
        <v>46157.99774737269</v>
      </c>
      <c r="B1670" s="9" t="s">
        <v>18</v>
      </c>
      <c r="C1670" s="9" t="s">
        <v>60</v>
      </c>
      <c r="D1670" s="37" t="s">
        <v>57</v>
      </c>
      <c r="F1670" s="15">
        <v>1.0</v>
      </c>
      <c r="H1670" s="31" t="e">
        <v>#N/A</v>
      </c>
      <c r="I1670" s="31" t="e">
        <v>#N/A</v>
      </c>
    </row>
    <row r="1671">
      <c r="A1671" s="11">
        <v>46157.99915902778</v>
      </c>
      <c r="B1671" s="9" t="s">
        <v>154</v>
      </c>
      <c r="C1671" s="9" t="s">
        <v>128</v>
      </c>
      <c r="D1671" s="9" t="s">
        <v>19</v>
      </c>
      <c r="F1671" s="15">
        <v>1.0</v>
      </c>
      <c r="G1671" s="37" t="s">
        <v>65</v>
      </c>
      <c r="H1671" s="31" t="e">
        <v>#N/A</v>
      </c>
      <c r="I1671" s="31" t="e">
        <v>#N/A</v>
      </c>
    </row>
    <row r="1672">
      <c r="A1672" s="11">
        <v>46158.00362560185</v>
      </c>
      <c r="B1672" s="9" t="s">
        <v>347</v>
      </c>
      <c r="C1672" s="9" t="s">
        <v>214</v>
      </c>
      <c r="D1672" s="9" t="s">
        <v>19</v>
      </c>
      <c r="F1672" s="15">
        <v>1.0</v>
      </c>
      <c r="G1672" s="37" t="s">
        <v>65</v>
      </c>
      <c r="H1672" s="31" t="e">
        <v>#N/A</v>
      </c>
      <c r="I1672" s="31" t="e">
        <v>#N/A</v>
      </c>
    </row>
    <row r="1673">
      <c r="A1673" s="11">
        <v>46158.005820833336</v>
      </c>
      <c r="B1673" s="9" t="s">
        <v>162</v>
      </c>
      <c r="C1673" s="9" t="s">
        <v>121</v>
      </c>
      <c r="D1673" s="9" t="s">
        <v>19</v>
      </c>
      <c r="F1673" s="15">
        <v>1.0</v>
      </c>
      <c r="G1673" s="37" t="s">
        <v>65</v>
      </c>
      <c r="H1673" s="31" t="e">
        <v>#N/A</v>
      </c>
      <c r="I1673" s="31" t="e">
        <v>#N/A</v>
      </c>
    </row>
    <row r="1674">
      <c r="A1674" s="11">
        <v>46158.026941828706</v>
      </c>
      <c r="B1674" s="9" t="s">
        <v>18</v>
      </c>
      <c r="C1674" s="9" t="s">
        <v>185</v>
      </c>
      <c r="D1674" s="37" t="s">
        <v>57</v>
      </c>
      <c r="F1674" s="15">
        <v>1.0</v>
      </c>
      <c r="G1674" s="37" t="s">
        <v>65</v>
      </c>
      <c r="H1674" s="31" t="e">
        <v>#N/A</v>
      </c>
      <c r="I1674" s="31" t="e">
        <v>#N/A</v>
      </c>
    </row>
    <row r="1675">
      <c r="A1675" s="11">
        <v>46158.04210342593</v>
      </c>
      <c r="B1675" s="9" t="s">
        <v>214</v>
      </c>
      <c r="C1675" s="9" t="s">
        <v>303</v>
      </c>
      <c r="D1675" s="37" t="s">
        <v>57</v>
      </c>
      <c r="F1675" s="15">
        <v>1.0</v>
      </c>
      <c r="G1675" s="37" t="s">
        <v>65</v>
      </c>
      <c r="H1675" s="31" t="e">
        <v>#N/A</v>
      </c>
      <c r="I1675" s="31" t="e">
        <v>#N/A</v>
      </c>
    </row>
    <row r="1676">
      <c r="A1676" s="11">
        <v>46158.05006731482</v>
      </c>
      <c r="B1676" s="9" t="s">
        <v>121</v>
      </c>
      <c r="C1676" s="9" t="s">
        <v>347</v>
      </c>
      <c r="D1676" s="9" t="s">
        <v>19</v>
      </c>
      <c r="E1676" s="9" t="s">
        <v>140</v>
      </c>
      <c r="F1676" s="15">
        <v>1.0</v>
      </c>
      <c r="G1676" s="37" t="s">
        <v>65</v>
      </c>
      <c r="H1676" s="31" t="e">
        <v>#N/A</v>
      </c>
      <c r="I1676" s="31" t="e">
        <v>#N/A</v>
      </c>
    </row>
    <row r="1677">
      <c r="A1677" s="11">
        <v>46158.07004883102</v>
      </c>
      <c r="B1677" s="9" t="s">
        <v>110</v>
      </c>
      <c r="C1677" s="9" t="s">
        <v>303</v>
      </c>
      <c r="D1677" s="9" t="s">
        <v>19</v>
      </c>
      <c r="F1677" s="15">
        <v>1.0</v>
      </c>
      <c r="H1677" s="31" t="e">
        <v>#N/A</v>
      </c>
      <c r="I1677" s="31" t="e">
        <v>#N/A</v>
      </c>
    </row>
    <row r="1678">
      <c r="A1678" s="11">
        <v>46158.259038055556</v>
      </c>
      <c r="B1678" s="9" t="s">
        <v>76</v>
      </c>
      <c r="C1678" s="9" t="s">
        <v>287</v>
      </c>
      <c r="D1678" s="37" t="s">
        <v>57</v>
      </c>
      <c r="F1678" s="15">
        <v>1.0</v>
      </c>
      <c r="G1678" s="37" t="s">
        <v>65</v>
      </c>
      <c r="H1678" s="31" t="e">
        <v>#N/A</v>
      </c>
      <c r="I1678" s="31" t="e">
        <v>#N/A</v>
      </c>
    </row>
    <row r="1679">
      <c r="A1679" s="11">
        <v>46158.30038695602</v>
      </c>
      <c r="B1679" s="9" t="s">
        <v>284</v>
      </c>
      <c r="C1679" s="9" t="s">
        <v>204</v>
      </c>
      <c r="D1679" s="37" t="s">
        <v>57</v>
      </c>
      <c r="E1679" s="9" t="s">
        <v>541</v>
      </c>
      <c r="F1679" s="15">
        <v>1.0</v>
      </c>
      <c r="G1679" s="37" t="s">
        <v>65</v>
      </c>
      <c r="H1679" s="31" t="e">
        <v>#N/A</v>
      </c>
      <c r="I1679" s="31" t="e">
        <v>#N/A</v>
      </c>
    </row>
    <row r="1680">
      <c r="A1680" s="11">
        <v>46158.30429655092</v>
      </c>
      <c r="B1680" s="9" t="s">
        <v>63</v>
      </c>
      <c r="C1680" s="9" t="s">
        <v>92</v>
      </c>
      <c r="D1680" s="9" t="s">
        <v>19</v>
      </c>
      <c r="F1680" s="15">
        <v>1.0</v>
      </c>
      <c r="G1680" s="37" t="s">
        <v>65</v>
      </c>
      <c r="H1680" s="31" t="e">
        <v>#N/A</v>
      </c>
      <c r="I1680" s="31" t="e">
        <v>#N/A</v>
      </c>
    </row>
    <row r="1681">
      <c r="A1681" s="11">
        <v>46158.321291458335</v>
      </c>
      <c r="B1681" s="9" t="s">
        <v>94</v>
      </c>
      <c r="C1681" s="9" t="s">
        <v>63</v>
      </c>
      <c r="D1681" s="9" t="s">
        <v>19</v>
      </c>
      <c r="F1681" s="15">
        <v>1.0</v>
      </c>
      <c r="G1681" s="37" t="s">
        <v>65</v>
      </c>
      <c r="H1681" s="31" t="e">
        <v>#N/A</v>
      </c>
      <c r="I1681" s="31" t="e">
        <v>#N/A</v>
      </c>
    </row>
    <row r="1682">
      <c r="A1682" s="11">
        <v>46158.32554133102</v>
      </c>
      <c r="B1682" s="9" t="s">
        <v>76</v>
      </c>
      <c r="C1682" s="9" t="s">
        <v>204</v>
      </c>
      <c r="D1682" s="9" t="s">
        <v>19</v>
      </c>
      <c r="F1682" s="15">
        <v>1.0</v>
      </c>
      <c r="G1682" s="37" t="s">
        <v>65</v>
      </c>
      <c r="H1682" s="31" t="e">
        <v>#N/A</v>
      </c>
      <c r="I1682" s="31" t="e">
        <v>#N/A</v>
      </c>
    </row>
    <row r="1683">
      <c r="A1683" s="11">
        <v>46158.363191435186</v>
      </c>
      <c r="B1683" s="9" t="s">
        <v>63</v>
      </c>
      <c r="C1683" s="9" t="s">
        <v>342</v>
      </c>
      <c r="D1683" s="37" t="s">
        <v>57</v>
      </c>
      <c r="F1683" s="15">
        <v>1.0</v>
      </c>
      <c r="G1683" s="37" t="s">
        <v>65</v>
      </c>
      <c r="H1683" s="31" t="e">
        <v>#N/A</v>
      </c>
      <c r="I1683" s="31" t="e">
        <v>#N/A</v>
      </c>
    </row>
    <row r="1684">
      <c r="A1684" s="11">
        <v>46158.4302404051</v>
      </c>
      <c r="B1684" s="9" t="s">
        <v>214</v>
      </c>
      <c r="C1684" s="9" t="s">
        <v>94</v>
      </c>
      <c r="D1684" s="37" t="s">
        <v>57</v>
      </c>
      <c r="F1684" s="15">
        <v>1.0</v>
      </c>
      <c r="H1684" s="31" t="e">
        <v>#N/A</v>
      </c>
      <c r="I1684" s="31" t="e">
        <v>#N/A</v>
      </c>
    </row>
    <row r="1685">
      <c r="A1685" s="11">
        <v>46158.447440648146</v>
      </c>
      <c r="B1685" s="9" t="s">
        <v>273</v>
      </c>
      <c r="C1685" s="9" t="s">
        <v>274</v>
      </c>
      <c r="D1685" s="9" t="s">
        <v>19</v>
      </c>
      <c r="F1685" s="15">
        <v>1.0</v>
      </c>
      <c r="G1685" s="37" t="s">
        <v>65</v>
      </c>
      <c r="H1685" s="31" t="e">
        <v>#N/A</v>
      </c>
      <c r="I1685" s="31" t="e">
        <v>#N/A</v>
      </c>
    </row>
    <row r="1686">
      <c r="A1686" s="11">
        <v>46158.4719128125</v>
      </c>
      <c r="B1686" s="9" t="s">
        <v>273</v>
      </c>
      <c r="C1686" s="9" t="s">
        <v>76</v>
      </c>
      <c r="D1686" s="37" t="s">
        <v>57</v>
      </c>
      <c r="F1686" s="15">
        <v>1.0</v>
      </c>
      <c r="G1686" s="37" t="s">
        <v>65</v>
      </c>
      <c r="H1686" s="31" t="e">
        <v>#N/A</v>
      </c>
      <c r="I1686" s="31" t="e">
        <v>#N/A</v>
      </c>
    </row>
    <row r="1687">
      <c r="A1687" s="11">
        <v>46158.49600600694</v>
      </c>
      <c r="B1687" s="9" t="s">
        <v>214</v>
      </c>
      <c r="C1687" s="9" t="s">
        <v>273</v>
      </c>
      <c r="D1687" s="37" t="s">
        <v>57</v>
      </c>
      <c r="F1687" s="15">
        <v>1.0</v>
      </c>
      <c r="G1687" s="37" t="s">
        <v>65</v>
      </c>
      <c r="H1687" s="31" t="e">
        <v>#N/A</v>
      </c>
      <c r="I1687" s="31" t="e">
        <v>#N/A</v>
      </c>
    </row>
    <row r="1688">
      <c r="A1688" s="11">
        <v>46158.50776623843</v>
      </c>
      <c r="B1688" s="9" t="s">
        <v>76</v>
      </c>
      <c r="C1688" s="9" t="s">
        <v>226</v>
      </c>
      <c r="D1688" s="9" t="s">
        <v>19</v>
      </c>
      <c r="F1688" s="15">
        <v>1.0</v>
      </c>
      <c r="G1688" s="37" t="s">
        <v>65</v>
      </c>
      <c r="H1688" s="31" t="e">
        <v>#N/A</v>
      </c>
      <c r="I1688" s="31" t="e">
        <v>#N/A</v>
      </c>
    </row>
    <row r="1689">
      <c r="A1689" s="11">
        <v>46158.51687545139</v>
      </c>
      <c r="B1689" s="9" t="s">
        <v>163</v>
      </c>
      <c r="C1689" s="9" t="s">
        <v>123</v>
      </c>
      <c r="D1689" s="37" t="s">
        <v>57</v>
      </c>
      <c r="E1689" s="9" t="s">
        <v>140</v>
      </c>
      <c r="F1689" s="15">
        <v>1.0</v>
      </c>
      <c r="G1689" s="37" t="s">
        <v>65</v>
      </c>
      <c r="H1689" s="31" t="e">
        <v>#N/A</v>
      </c>
      <c r="I1689" s="31" t="e">
        <v>#N/A</v>
      </c>
    </row>
    <row r="1690">
      <c r="A1690" s="11">
        <v>46158.530248298615</v>
      </c>
      <c r="B1690" s="9" t="s">
        <v>163</v>
      </c>
      <c r="C1690" s="9" t="s">
        <v>273</v>
      </c>
      <c r="D1690" s="37" t="s">
        <v>57</v>
      </c>
      <c r="E1690" s="9" t="s">
        <v>140</v>
      </c>
      <c r="F1690" s="15">
        <v>1.0</v>
      </c>
      <c r="G1690" s="37" t="s">
        <v>65</v>
      </c>
      <c r="H1690" s="31" t="e">
        <v>#N/A</v>
      </c>
      <c r="I1690" s="31" t="e">
        <v>#N/A</v>
      </c>
    </row>
    <row r="1691">
      <c r="A1691" s="11">
        <v>46158.552840625</v>
      </c>
      <c r="B1691" s="9" t="s">
        <v>174</v>
      </c>
      <c r="C1691" s="9" t="s">
        <v>76</v>
      </c>
      <c r="D1691" s="37" t="s">
        <v>57</v>
      </c>
      <c r="F1691" s="15">
        <v>1.0</v>
      </c>
      <c r="G1691" s="37" t="s">
        <v>65</v>
      </c>
      <c r="H1691" s="31" t="e">
        <v>#N/A</v>
      </c>
      <c r="I1691" s="31" t="e">
        <v>#N/A</v>
      </c>
    </row>
    <row r="1692">
      <c r="A1692" s="11">
        <v>46158.555905092595</v>
      </c>
      <c r="B1692" s="9" t="s">
        <v>366</v>
      </c>
      <c r="C1692" s="9" t="s">
        <v>165</v>
      </c>
      <c r="D1692" s="9" t="s">
        <v>19</v>
      </c>
      <c r="F1692" s="15">
        <v>1.0</v>
      </c>
      <c r="G1692" s="37" t="s">
        <v>65</v>
      </c>
      <c r="H1692" s="31" t="e">
        <v>#N/A</v>
      </c>
      <c r="I1692" s="31" t="e">
        <v>#N/A</v>
      </c>
    </row>
    <row r="1693">
      <c r="A1693" s="11">
        <v>46158.56931965278</v>
      </c>
      <c r="B1693" s="9" t="s">
        <v>256</v>
      </c>
      <c r="C1693" s="9" t="s">
        <v>61</v>
      </c>
      <c r="D1693" s="37" t="s">
        <v>57</v>
      </c>
      <c r="E1693" s="9" t="s">
        <v>102</v>
      </c>
      <c r="F1693" s="15">
        <v>1.0</v>
      </c>
      <c r="G1693" s="37" t="s">
        <v>65</v>
      </c>
      <c r="H1693" s="31" t="e">
        <v>#N/A</v>
      </c>
      <c r="I1693" s="31" t="e">
        <v>#N/A</v>
      </c>
    </row>
    <row r="1694">
      <c r="A1694" s="11">
        <v>46158.5727708912</v>
      </c>
      <c r="B1694" s="9" t="s">
        <v>257</v>
      </c>
      <c r="C1694" s="9" t="s">
        <v>266</v>
      </c>
      <c r="D1694" s="9" t="s">
        <v>19</v>
      </c>
      <c r="E1694" s="9" t="s">
        <v>542</v>
      </c>
      <c r="F1694" s="15">
        <v>1.0</v>
      </c>
      <c r="G1694" s="37" t="s">
        <v>65</v>
      </c>
      <c r="H1694" s="31" t="e">
        <v>#N/A</v>
      </c>
      <c r="I1694" s="31" t="e">
        <v>#N/A</v>
      </c>
    </row>
    <row r="1695">
      <c r="A1695" s="11">
        <v>46158.57467695602</v>
      </c>
      <c r="B1695" s="9" t="s">
        <v>110</v>
      </c>
      <c r="C1695" s="9" t="s">
        <v>123</v>
      </c>
      <c r="D1695" s="37" t="s">
        <v>57</v>
      </c>
      <c r="F1695" s="15">
        <v>1.0</v>
      </c>
      <c r="G1695" s="37" t="s">
        <v>65</v>
      </c>
      <c r="H1695" s="31" t="e">
        <v>#N/A</v>
      </c>
      <c r="I1695" s="31" t="e">
        <v>#N/A</v>
      </c>
    </row>
    <row r="1696">
      <c r="A1696" s="11">
        <v>46158.576239629634</v>
      </c>
      <c r="B1696" s="9" t="s">
        <v>273</v>
      </c>
      <c r="C1696" s="9" t="s">
        <v>366</v>
      </c>
      <c r="D1696" s="37" t="s">
        <v>57</v>
      </c>
      <c r="F1696" s="15">
        <v>1.0</v>
      </c>
      <c r="G1696" s="37" t="s">
        <v>65</v>
      </c>
      <c r="H1696" s="31" t="e">
        <v>#N/A</v>
      </c>
      <c r="I1696" s="31" t="e">
        <v>#N/A</v>
      </c>
    </row>
    <row r="1697">
      <c r="A1697" s="11">
        <v>46158.58735447917</v>
      </c>
      <c r="B1697" s="9" t="s">
        <v>110</v>
      </c>
      <c r="C1697" s="9" t="s">
        <v>151</v>
      </c>
      <c r="D1697" s="9" t="s">
        <v>19</v>
      </c>
      <c r="F1697" s="15">
        <v>1.0</v>
      </c>
      <c r="G1697" s="37" t="s">
        <v>65</v>
      </c>
      <c r="H1697" s="31" t="e">
        <v>#N/A</v>
      </c>
      <c r="I1697" s="31" t="e">
        <v>#N/A</v>
      </c>
    </row>
    <row r="1698">
      <c r="A1698" s="11">
        <v>46158.59556298611</v>
      </c>
      <c r="B1698" s="9" t="s">
        <v>313</v>
      </c>
      <c r="C1698" s="9" t="s">
        <v>189</v>
      </c>
      <c r="D1698" s="9" t="s">
        <v>19</v>
      </c>
      <c r="F1698" s="15">
        <v>1.0</v>
      </c>
      <c r="G1698" s="37" t="s">
        <v>65</v>
      </c>
      <c r="H1698" s="31" t="e">
        <v>#N/A</v>
      </c>
      <c r="I1698" s="31" t="e">
        <v>#N/A</v>
      </c>
    </row>
    <row r="1699">
      <c r="A1699" s="11">
        <v>46158.60035101852</v>
      </c>
      <c r="B1699" s="9" t="s">
        <v>110</v>
      </c>
      <c r="C1699" s="9" t="s">
        <v>257</v>
      </c>
      <c r="D1699" s="37" t="s">
        <v>57</v>
      </c>
      <c r="F1699" s="15">
        <v>1.0</v>
      </c>
      <c r="G1699" s="37" t="s">
        <v>65</v>
      </c>
      <c r="H1699" s="31" t="e">
        <v>#N/A</v>
      </c>
      <c r="I1699" s="31" t="e">
        <v>#N/A</v>
      </c>
    </row>
    <row r="1700">
      <c r="A1700" s="11">
        <v>46158.62127028935</v>
      </c>
      <c r="B1700" s="9" t="s">
        <v>165</v>
      </c>
      <c r="C1700" s="9" t="s">
        <v>151</v>
      </c>
      <c r="D1700" s="37" t="s">
        <v>57</v>
      </c>
      <c r="F1700" s="15">
        <v>1.0</v>
      </c>
      <c r="G1700" s="37" t="s">
        <v>65</v>
      </c>
      <c r="H1700" s="31" t="e">
        <v>#N/A</v>
      </c>
      <c r="I1700" s="31" t="e">
        <v>#N/A</v>
      </c>
    </row>
    <row r="1701">
      <c r="A1701" s="11">
        <v>46158.62275415509</v>
      </c>
      <c r="B1701" s="9" t="s">
        <v>257</v>
      </c>
      <c r="C1701" s="9" t="s">
        <v>249</v>
      </c>
      <c r="D1701" s="37" t="s">
        <v>57</v>
      </c>
      <c r="E1701" s="9" t="s">
        <v>112</v>
      </c>
      <c r="F1701" s="15">
        <v>1.0</v>
      </c>
      <c r="G1701" s="37" t="s">
        <v>65</v>
      </c>
      <c r="H1701" s="31" t="e">
        <v>#N/A</v>
      </c>
      <c r="I1701" s="31" t="e">
        <v>#N/A</v>
      </c>
    </row>
    <row r="1702">
      <c r="A1702" s="11">
        <v>46158.623839050924</v>
      </c>
      <c r="B1702" s="9" t="s">
        <v>185</v>
      </c>
      <c r="C1702" s="9" t="s">
        <v>324</v>
      </c>
      <c r="D1702" s="37" t="s">
        <v>57</v>
      </c>
      <c r="F1702" s="15">
        <v>1.0</v>
      </c>
      <c r="G1702" s="37" t="s">
        <v>65</v>
      </c>
      <c r="H1702" s="31" t="e">
        <v>#N/A</v>
      </c>
      <c r="I1702" s="31" t="e">
        <v>#N/A</v>
      </c>
    </row>
    <row r="1703">
      <c r="A1703" s="11">
        <v>46158.63748186342</v>
      </c>
      <c r="B1703" s="9" t="s">
        <v>150</v>
      </c>
      <c r="C1703" s="9" t="s">
        <v>213</v>
      </c>
      <c r="D1703" s="37" t="s">
        <v>57</v>
      </c>
      <c r="E1703" s="9" t="s">
        <v>270</v>
      </c>
      <c r="F1703" s="15">
        <v>1.0</v>
      </c>
      <c r="G1703" s="37" t="s">
        <v>65</v>
      </c>
      <c r="H1703" s="31" t="e">
        <v>#N/A</v>
      </c>
      <c r="I1703" s="31" t="e">
        <v>#N/A</v>
      </c>
    </row>
    <row r="1704">
      <c r="A1704" s="11">
        <v>46158.642479560185</v>
      </c>
      <c r="B1704" s="9" t="s">
        <v>151</v>
      </c>
      <c r="C1704" s="9" t="s">
        <v>185</v>
      </c>
      <c r="D1704" s="9" t="s">
        <v>19</v>
      </c>
      <c r="F1704" s="15">
        <v>1.0</v>
      </c>
      <c r="G1704" s="37" t="s">
        <v>65</v>
      </c>
      <c r="H1704" s="31" t="e">
        <v>#N/A</v>
      </c>
      <c r="I1704" s="31" t="e">
        <v>#N/A</v>
      </c>
    </row>
    <row r="1705">
      <c r="A1705" s="11">
        <v>46158.642791527775</v>
      </c>
      <c r="B1705" s="9" t="s">
        <v>165</v>
      </c>
      <c r="C1705" s="9" t="s">
        <v>187</v>
      </c>
      <c r="D1705" s="37" t="s">
        <v>57</v>
      </c>
      <c r="F1705" s="15">
        <v>1.0</v>
      </c>
      <c r="G1705" s="37" t="s">
        <v>65</v>
      </c>
      <c r="H1705" s="31" t="e">
        <v>#N/A</v>
      </c>
      <c r="I1705" s="31" t="e">
        <v>#N/A</v>
      </c>
    </row>
    <row r="1706">
      <c r="A1706" s="11">
        <v>46158.64322013889</v>
      </c>
      <c r="B1706" s="9" t="s">
        <v>218</v>
      </c>
      <c r="C1706" s="9" t="s">
        <v>114</v>
      </c>
      <c r="D1706" s="9" t="s">
        <v>19</v>
      </c>
      <c r="F1706" s="15">
        <v>1.0</v>
      </c>
      <c r="G1706" s="37" t="s">
        <v>65</v>
      </c>
      <c r="H1706" s="31" t="e">
        <v>#N/A</v>
      </c>
      <c r="I1706" s="31" t="e">
        <v>#N/A</v>
      </c>
    </row>
    <row r="1707">
      <c r="A1707" s="11">
        <v>46158.656928854165</v>
      </c>
      <c r="B1707" s="9" t="s">
        <v>366</v>
      </c>
      <c r="C1707" s="9" t="s">
        <v>205</v>
      </c>
      <c r="D1707" s="9" t="s">
        <v>19</v>
      </c>
      <c r="F1707" s="15">
        <v>1.0</v>
      </c>
      <c r="G1707" s="37" t="s">
        <v>65</v>
      </c>
      <c r="H1707" s="31" t="e">
        <v>#N/A</v>
      </c>
      <c r="I1707" s="31" t="e">
        <v>#N/A</v>
      </c>
    </row>
    <row r="1708">
      <c r="A1708" s="11">
        <v>46158.65706416666</v>
      </c>
      <c r="B1708" s="9" t="s">
        <v>185</v>
      </c>
      <c r="C1708" s="9" t="s">
        <v>152</v>
      </c>
      <c r="D1708" s="37" t="s">
        <v>57</v>
      </c>
      <c r="F1708" s="15">
        <v>1.0</v>
      </c>
      <c r="G1708" s="37" t="s">
        <v>65</v>
      </c>
      <c r="H1708" s="31" t="e">
        <v>#N/A</v>
      </c>
      <c r="I1708" s="31" t="e">
        <v>#N/A</v>
      </c>
    </row>
    <row r="1709">
      <c r="A1709" s="11">
        <v>46158.66236061342</v>
      </c>
      <c r="B1709" s="9" t="s">
        <v>150</v>
      </c>
      <c r="C1709" s="9" t="s">
        <v>151</v>
      </c>
      <c r="D1709" s="9" t="s">
        <v>19</v>
      </c>
      <c r="E1709" s="9" t="s">
        <v>112</v>
      </c>
      <c r="F1709" s="15">
        <v>1.0</v>
      </c>
      <c r="G1709" s="37" t="s">
        <v>65</v>
      </c>
      <c r="H1709" s="31" t="e">
        <v>#N/A</v>
      </c>
      <c r="I1709" s="31" t="e">
        <v>#N/A</v>
      </c>
    </row>
    <row r="1710">
      <c r="A1710" s="11">
        <v>46158.67123251157</v>
      </c>
      <c r="B1710" s="9" t="s">
        <v>114</v>
      </c>
      <c r="C1710" s="9" t="s">
        <v>219</v>
      </c>
      <c r="D1710" s="37" t="s">
        <v>57</v>
      </c>
      <c r="F1710" s="15">
        <v>1.0</v>
      </c>
      <c r="G1710" s="37" t="s">
        <v>65</v>
      </c>
      <c r="H1710" s="31" t="e">
        <v>#N/A</v>
      </c>
      <c r="I1710" s="31" t="e">
        <v>#N/A</v>
      </c>
    </row>
    <row r="1711">
      <c r="A1711" s="11">
        <v>46158.683885555554</v>
      </c>
      <c r="B1711" s="9" t="s">
        <v>219</v>
      </c>
      <c r="C1711" s="9" t="s">
        <v>151</v>
      </c>
      <c r="D1711" s="9" t="s">
        <v>19</v>
      </c>
      <c r="F1711" s="15">
        <v>1.0</v>
      </c>
      <c r="G1711" s="37" t="s">
        <v>65</v>
      </c>
      <c r="H1711" s="31" t="e">
        <v>#N/A</v>
      </c>
      <c r="I1711" s="31" t="e">
        <v>#N/A</v>
      </c>
    </row>
    <row r="1712">
      <c r="A1712" s="11">
        <v>46158.6846608912</v>
      </c>
      <c r="B1712" s="9" t="s">
        <v>162</v>
      </c>
      <c r="C1712" s="9" t="s">
        <v>366</v>
      </c>
      <c r="D1712" s="9" t="s">
        <v>19</v>
      </c>
      <c r="F1712" s="15">
        <v>1.0</v>
      </c>
      <c r="G1712" s="37" t="s">
        <v>65</v>
      </c>
      <c r="H1712" s="31" t="e">
        <v>#N/A</v>
      </c>
      <c r="I1712" s="31" t="e">
        <v>#N/A</v>
      </c>
    </row>
    <row r="1713">
      <c r="A1713" s="11">
        <v>46158.71651372685</v>
      </c>
      <c r="B1713" s="9" t="s">
        <v>217</v>
      </c>
      <c r="C1713" s="9" t="s">
        <v>205</v>
      </c>
      <c r="D1713" s="9" t="s">
        <v>19</v>
      </c>
      <c r="F1713" s="15">
        <v>1.0</v>
      </c>
      <c r="G1713" s="37" t="s">
        <v>65</v>
      </c>
      <c r="H1713" s="31" t="e">
        <v>#N/A</v>
      </c>
      <c r="I1713" s="31" t="e">
        <v>#N/A</v>
      </c>
    </row>
    <row r="1714">
      <c r="A1714" s="11">
        <v>46158.71867164352</v>
      </c>
      <c r="B1714" s="9" t="s">
        <v>219</v>
      </c>
      <c r="C1714" s="9" t="s">
        <v>274</v>
      </c>
      <c r="D1714" s="9" t="s">
        <v>19</v>
      </c>
      <c r="F1714" s="15">
        <v>1.0</v>
      </c>
      <c r="G1714" s="37" t="s">
        <v>65</v>
      </c>
      <c r="H1714" s="31" t="e">
        <v>#N/A</v>
      </c>
      <c r="I1714" s="31" t="e">
        <v>#N/A</v>
      </c>
    </row>
    <row r="1715">
      <c r="A1715" s="11">
        <v>46158.7246875</v>
      </c>
      <c r="B1715" s="9" t="s">
        <v>376</v>
      </c>
      <c r="C1715" s="9" t="s">
        <v>237</v>
      </c>
      <c r="D1715" s="37" t="s">
        <v>57</v>
      </c>
      <c r="F1715" s="15">
        <v>1.0</v>
      </c>
      <c r="G1715" s="37" t="s">
        <v>65</v>
      </c>
      <c r="H1715" s="31" t="e">
        <v>#N/A</v>
      </c>
      <c r="I1715" s="31" t="e">
        <v>#N/A</v>
      </c>
    </row>
    <row r="1716">
      <c r="A1716" s="11">
        <v>46158.75875725695</v>
      </c>
      <c r="B1716" s="9" t="s">
        <v>376</v>
      </c>
      <c r="C1716" s="9" t="s">
        <v>114</v>
      </c>
      <c r="D1716" s="9" t="s">
        <v>19</v>
      </c>
      <c r="F1716" s="15">
        <v>1.0</v>
      </c>
      <c r="G1716" s="37" t="s">
        <v>65</v>
      </c>
      <c r="H1716" s="31" t="e">
        <v>#N/A</v>
      </c>
      <c r="I1716" s="31" t="e">
        <v>#N/A</v>
      </c>
    </row>
    <row r="1717">
      <c r="A1717" s="11">
        <v>46158.765401909724</v>
      </c>
      <c r="B1717" s="9" t="s">
        <v>217</v>
      </c>
      <c r="C1717" s="9" t="s">
        <v>257</v>
      </c>
      <c r="D1717" s="37" t="s">
        <v>57</v>
      </c>
      <c r="F1717" s="15">
        <v>1.0</v>
      </c>
      <c r="H1717" s="31" t="e">
        <v>#N/A</v>
      </c>
      <c r="I1717" s="31" t="e">
        <v>#N/A</v>
      </c>
    </row>
    <row r="1718">
      <c r="A1718" s="11">
        <v>46158.769152685185</v>
      </c>
      <c r="B1718" s="9" t="s">
        <v>162</v>
      </c>
      <c r="C1718" s="9" t="s">
        <v>253</v>
      </c>
      <c r="D1718" s="37" t="s">
        <v>57</v>
      </c>
      <c r="F1718" s="15">
        <v>1.0</v>
      </c>
      <c r="G1718" s="37" t="s">
        <v>65</v>
      </c>
      <c r="H1718" s="31" t="e">
        <v>#N/A</v>
      </c>
      <c r="I1718" s="31" t="e">
        <v>#N/A</v>
      </c>
    </row>
    <row r="1719">
      <c r="A1719" s="11">
        <v>46158.77838466435</v>
      </c>
      <c r="B1719" s="9" t="s">
        <v>198</v>
      </c>
      <c r="C1719" s="9" t="s">
        <v>250</v>
      </c>
      <c r="D1719" s="37" t="s">
        <v>57</v>
      </c>
      <c r="F1719" s="15">
        <v>1.0</v>
      </c>
      <c r="G1719" s="37" t="s">
        <v>65</v>
      </c>
      <c r="H1719" s="31" t="e">
        <v>#N/A</v>
      </c>
      <c r="I1719" s="31" t="e">
        <v>#N/A</v>
      </c>
    </row>
    <row r="1720">
      <c r="A1720" s="11">
        <v>46158.79737789352</v>
      </c>
      <c r="B1720" s="9" t="s">
        <v>249</v>
      </c>
      <c r="C1720" s="9" t="s">
        <v>250</v>
      </c>
      <c r="D1720" s="9" t="s">
        <v>19</v>
      </c>
      <c r="F1720" s="15">
        <v>1.0</v>
      </c>
      <c r="G1720" s="37" t="s">
        <v>65</v>
      </c>
      <c r="H1720" s="31" t="e">
        <v>#N/A</v>
      </c>
      <c r="I1720" s="31" t="e">
        <v>#N/A</v>
      </c>
    </row>
    <row r="1721">
      <c r="A1721" s="11">
        <v>46158.80127667824</v>
      </c>
      <c r="B1721" s="9" t="s">
        <v>299</v>
      </c>
      <c r="C1721" s="9" t="s">
        <v>217</v>
      </c>
      <c r="D1721" s="37" t="s">
        <v>57</v>
      </c>
      <c r="E1721" s="9" t="s">
        <v>517</v>
      </c>
      <c r="F1721" s="15">
        <v>1.0</v>
      </c>
      <c r="G1721" s="37" t="s">
        <v>65</v>
      </c>
      <c r="H1721" s="31" t="e">
        <v>#N/A</v>
      </c>
      <c r="I1721" s="31" t="e">
        <v>#N/A</v>
      </c>
    </row>
    <row r="1722">
      <c r="A1722" s="11">
        <v>46158.813134236116</v>
      </c>
      <c r="B1722" s="9" t="s">
        <v>88</v>
      </c>
      <c r="C1722" s="9" t="s">
        <v>250</v>
      </c>
      <c r="D1722" s="9" t="s">
        <v>19</v>
      </c>
      <c r="F1722" s="15">
        <v>1.0</v>
      </c>
      <c r="H1722" s="31" t="e">
        <v>#N/A</v>
      </c>
      <c r="I1722" s="31" t="e">
        <v>#N/A</v>
      </c>
    </row>
    <row r="1723">
      <c r="A1723" s="11">
        <v>46158.94779561342</v>
      </c>
      <c r="B1723" s="9" t="s">
        <v>61</v>
      </c>
      <c r="C1723" s="9" t="s">
        <v>374</v>
      </c>
      <c r="D1723" s="37" t="s">
        <v>57</v>
      </c>
      <c r="F1723" s="15">
        <v>1.0</v>
      </c>
      <c r="G1723" s="37" t="s">
        <v>65</v>
      </c>
      <c r="H1723" s="31" t="e">
        <v>#N/A</v>
      </c>
      <c r="I1723" s="31" t="e">
        <v>#N/A</v>
      </c>
    </row>
    <row r="1724">
      <c r="A1724" s="11">
        <v>46158.97522030093</v>
      </c>
      <c r="B1724" s="9" t="s">
        <v>165</v>
      </c>
      <c r="C1724" s="9" t="s">
        <v>281</v>
      </c>
      <c r="D1724" s="9" t="s">
        <v>19</v>
      </c>
      <c r="F1724" s="15">
        <v>1.0</v>
      </c>
      <c r="G1724" s="37" t="s">
        <v>65</v>
      </c>
      <c r="H1724" s="31" t="e">
        <v>#N/A</v>
      </c>
      <c r="I1724" s="31" t="e">
        <v>#N/A</v>
      </c>
    </row>
    <row r="1725">
      <c r="A1725" s="11">
        <v>46158.98098335648</v>
      </c>
      <c r="B1725" s="9" t="s">
        <v>344</v>
      </c>
      <c r="C1725" s="9" t="s">
        <v>61</v>
      </c>
      <c r="D1725" s="9" t="s">
        <v>19</v>
      </c>
      <c r="E1725" s="9" t="s">
        <v>543</v>
      </c>
      <c r="F1725" s="15">
        <v>1.0</v>
      </c>
      <c r="G1725" s="37" t="s">
        <v>65</v>
      </c>
      <c r="H1725" s="31" t="e">
        <v>#N/A</v>
      </c>
      <c r="I1725" s="31" t="e">
        <v>#N/A</v>
      </c>
    </row>
    <row r="1726">
      <c r="A1726" s="11">
        <v>46158.98984239584</v>
      </c>
      <c r="B1726" s="9" t="s">
        <v>165</v>
      </c>
      <c r="C1726" s="9" t="s">
        <v>274</v>
      </c>
      <c r="D1726" s="9" t="s">
        <v>19</v>
      </c>
      <c r="F1726" s="15">
        <v>1.0</v>
      </c>
      <c r="H1726" s="31" t="e">
        <v>#N/A</v>
      </c>
      <c r="I1726" s="31" t="e">
        <v>#N/A</v>
      </c>
    </row>
    <row r="1727">
      <c r="A1727" s="11">
        <v>46159.00685071759</v>
      </c>
      <c r="B1727" s="9" t="s">
        <v>344</v>
      </c>
      <c r="C1727" s="9" t="s">
        <v>85</v>
      </c>
      <c r="D1727" s="37" t="s">
        <v>57</v>
      </c>
      <c r="E1727" s="9" t="s">
        <v>544</v>
      </c>
      <c r="F1727" s="15">
        <v>1.0</v>
      </c>
      <c r="G1727" s="37" t="s">
        <v>65</v>
      </c>
      <c r="H1727" s="31" t="e">
        <v>#N/A</v>
      </c>
      <c r="I1727" s="31" t="e">
        <v>#N/A</v>
      </c>
    </row>
    <row r="1728">
      <c r="A1728" s="11">
        <v>46159.03858006945</v>
      </c>
      <c r="B1728" s="9" t="s">
        <v>253</v>
      </c>
      <c r="C1728" s="9" t="s">
        <v>185</v>
      </c>
      <c r="D1728" s="37" t="s">
        <v>57</v>
      </c>
      <c r="F1728" s="15">
        <v>1.0</v>
      </c>
      <c r="G1728" s="37" t="s">
        <v>65</v>
      </c>
      <c r="H1728" s="31" t="e">
        <v>#N/A</v>
      </c>
      <c r="I1728" s="31" t="e">
        <v>#N/A</v>
      </c>
    </row>
    <row r="1729">
      <c r="A1729" s="11">
        <v>46159.062015972224</v>
      </c>
      <c r="B1729" s="9" t="s">
        <v>253</v>
      </c>
      <c r="C1729" s="9" t="s">
        <v>189</v>
      </c>
      <c r="D1729" s="37" t="s">
        <v>57</v>
      </c>
      <c r="F1729" s="15">
        <v>1.0</v>
      </c>
      <c r="G1729" s="37" t="s">
        <v>65</v>
      </c>
      <c r="H1729" s="31" t="e">
        <v>#N/A</v>
      </c>
      <c r="I1729" s="31" t="e">
        <v>#N/A</v>
      </c>
    </row>
    <row r="1730">
      <c r="A1730" s="11">
        <v>46159.295093078705</v>
      </c>
      <c r="B1730" s="9" t="s">
        <v>204</v>
      </c>
      <c r="C1730" s="9" t="s">
        <v>114</v>
      </c>
      <c r="D1730" s="37" t="s">
        <v>57</v>
      </c>
      <c r="E1730" s="9" t="s">
        <v>206</v>
      </c>
      <c r="F1730" s="15">
        <v>1.0</v>
      </c>
      <c r="G1730" s="37" t="s">
        <v>65</v>
      </c>
      <c r="H1730" s="31" t="e">
        <v>#N/A</v>
      </c>
      <c r="I1730" s="31" t="e">
        <v>#N/A</v>
      </c>
    </row>
    <row r="1731">
      <c r="A1731" s="11">
        <v>46159.39566188658</v>
      </c>
      <c r="B1731" s="9" t="s">
        <v>63</v>
      </c>
      <c r="C1731" s="9" t="s">
        <v>335</v>
      </c>
      <c r="D1731" s="9" t="s">
        <v>19</v>
      </c>
      <c r="F1731" s="15">
        <v>1.0</v>
      </c>
      <c r="H1731" s="31" t="e">
        <v>#N/A</v>
      </c>
      <c r="I1731" s="31" t="e">
        <v>#N/A</v>
      </c>
    </row>
    <row r="1732">
      <c r="A1732" s="11">
        <v>46159.42373097222</v>
      </c>
      <c r="B1732" s="9" t="s">
        <v>114</v>
      </c>
      <c r="C1732" s="9" t="s">
        <v>63</v>
      </c>
      <c r="D1732" s="9" t="s">
        <v>19</v>
      </c>
      <c r="F1732" s="15">
        <v>1.0</v>
      </c>
      <c r="G1732" s="37" t="s">
        <v>65</v>
      </c>
      <c r="H1732" s="31" t="e">
        <v>#N/A</v>
      </c>
      <c r="I1732" s="31" t="e">
        <v>#N/A</v>
      </c>
    </row>
    <row r="1733">
      <c r="A1733" s="11">
        <v>46159.44103015046</v>
      </c>
      <c r="B1733" s="9" t="s">
        <v>288</v>
      </c>
      <c r="C1733" s="9" t="s">
        <v>368</v>
      </c>
      <c r="D1733" s="9" t="s">
        <v>19</v>
      </c>
      <c r="F1733" s="15">
        <v>1.0</v>
      </c>
      <c r="G1733" s="37" t="s">
        <v>65</v>
      </c>
      <c r="H1733" s="31" t="e">
        <v>#N/A</v>
      </c>
      <c r="I1733" s="31" t="e">
        <v>#N/A</v>
      </c>
    </row>
    <row r="1734">
      <c r="A1734" s="11">
        <v>46159.45853150463</v>
      </c>
      <c r="B1734" s="9" t="s">
        <v>152</v>
      </c>
      <c r="C1734" s="9" t="s">
        <v>61</v>
      </c>
      <c r="D1734" s="9" t="s">
        <v>19</v>
      </c>
      <c r="F1734" s="15">
        <v>1.0</v>
      </c>
      <c r="G1734" s="37" t="s">
        <v>65</v>
      </c>
      <c r="H1734" s="31" t="e">
        <v>#N/A</v>
      </c>
      <c r="I1734" s="31" t="e">
        <v>#N/A</v>
      </c>
    </row>
    <row r="1735">
      <c r="A1735" s="11">
        <v>46159.45947914352</v>
      </c>
      <c r="B1735" s="9" t="s">
        <v>287</v>
      </c>
      <c r="C1735" s="9" t="s">
        <v>253</v>
      </c>
      <c r="D1735" s="9" t="s">
        <v>19</v>
      </c>
      <c r="E1735" s="9" t="s">
        <v>140</v>
      </c>
      <c r="F1735" s="15">
        <v>1.0</v>
      </c>
      <c r="G1735" s="37" t="s">
        <v>65</v>
      </c>
      <c r="H1735" s="31" t="e">
        <v>#N/A</v>
      </c>
      <c r="I1735" s="31" t="e">
        <v>#N/A</v>
      </c>
    </row>
    <row r="1736">
      <c r="A1736" s="11">
        <v>46159.473502256944</v>
      </c>
      <c r="B1736" s="9" t="s">
        <v>385</v>
      </c>
      <c r="C1736" s="9" t="s">
        <v>158</v>
      </c>
      <c r="D1736" s="9" t="s">
        <v>19</v>
      </c>
      <c r="E1736" s="9" t="s">
        <v>545</v>
      </c>
      <c r="F1736" s="15">
        <v>1.0</v>
      </c>
      <c r="G1736" s="37" t="s">
        <v>65</v>
      </c>
      <c r="H1736" s="31" t="e">
        <v>#N/A</v>
      </c>
      <c r="I1736" s="31" t="e">
        <v>#N/A</v>
      </c>
    </row>
    <row r="1737">
      <c r="A1737" s="11">
        <v>46159.48760674769</v>
      </c>
      <c r="B1737" s="9" t="s">
        <v>128</v>
      </c>
      <c r="C1737" s="9" t="s">
        <v>287</v>
      </c>
      <c r="D1737" s="37" t="s">
        <v>57</v>
      </c>
      <c r="F1737" s="15">
        <v>1.0</v>
      </c>
      <c r="G1737" s="37" t="s">
        <v>65</v>
      </c>
      <c r="H1737" s="31" t="e">
        <v>#N/A</v>
      </c>
      <c r="I1737" s="31" t="e">
        <v>#N/A</v>
      </c>
    </row>
    <row r="1738">
      <c r="A1738" s="11">
        <v>46159.49389599537</v>
      </c>
      <c r="B1738" s="9" t="s">
        <v>54</v>
      </c>
      <c r="C1738" s="9" t="s">
        <v>88</v>
      </c>
      <c r="D1738" s="37" t="s">
        <v>57</v>
      </c>
      <c r="E1738" s="9" t="s">
        <v>546</v>
      </c>
      <c r="F1738" s="15">
        <v>1.0</v>
      </c>
      <c r="G1738" s="37" t="s">
        <v>65</v>
      </c>
      <c r="H1738" s="31" t="e">
        <v>#N/A</v>
      </c>
      <c r="I1738" s="31" t="e">
        <v>#N/A</v>
      </c>
    </row>
    <row r="1739">
      <c r="A1739" s="11">
        <v>46159.519746875</v>
      </c>
      <c r="B1739" s="9" t="s">
        <v>88</v>
      </c>
      <c r="C1739" s="9" t="s">
        <v>189</v>
      </c>
      <c r="D1739" s="9" t="s">
        <v>19</v>
      </c>
      <c r="F1739" s="15">
        <v>1.0</v>
      </c>
      <c r="G1739" s="37" t="s">
        <v>65</v>
      </c>
      <c r="H1739" s="31" t="e">
        <v>#N/A</v>
      </c>
      <c r="I1739" s="31" t="e">
        <v>#N/A</v>
      </c>
    </row>
    <row r="1740">
      <c r="A1740" s="11">
        <v>46159.521975138894</v>
      </c>
      <c r="B1740" s="9" t="s">
        <v>256</v>
      </c>
      <c r="C1740" s="9" t="s">
        <v>385</v>
      </c>
      <c r="D1740" s="37" t="s">
        <v>57</v>
      </c>
      <c r="E1740" s="9" t="s">
        <v>547</v>
      </c>
      <c r="F1740" s="15">
        <v>1.0</v>
      </c>
      <c r="G1740" s="37" t="s">
        <v>65</v>
      </c>
      <c r="H1740" s="31" t="e">
        <v>#N/A</v>
      </c>
      <c r="I1740" s="31" t="e">
        <v>#N/A</v>
      </c>
    </row>
    <row r="1741">
      <c r="A1741" s="11">
        <v>46159.5384659375</v>
      </c>
      <c r="B1741" s="9" t="s">
        <v>352</v>
      </c>
      <c r="C1741" s="9" t="s">
        <v>166</v>
      </c>
      <c r="D1741" s="9" t="s">
        <v>19</v>
      </c>
      <c r="E1741" s="9" t="s">
        <v>221</v>
      </c>
      <c r="F1741" s="15">
        <v>1.0</v>
      </c>
      <c r="G1741" s="37" t="s">
        <v>65</v>
      </c>
      <c r="H1741" s="31" t="e">
        <v>#N/A</v>
      </c>
      <c r="I1741" s="31" t="e">
        <v>#N/A</v>
      </c>
    </row>
    <row r="1742">
      <c r="A1742" s="11">
        <v>46159.53886270833</v>
      </c>
      <c r="B1742" s="9" t="s">
        <v>336</v>
      </c>
      <c r="C1742" s="9" t="s">
        <v>205</v>
      </c>
      <c r="D1742" s="9" t="s">
        <v>19</v>
      </c>
      <c r="E1742" s="9" t="s">
        <v>122</v>
      </c>
      <c r="F1742" s="15">
        <v>1.0</v>
      </c>
      <c r="H1742" s="31" t="e">
        <v>#N/A</v>
      </c>
      <c r="I1742" s="31" t="e">
        <v>#N/A</v>
      </c>
    </row>
    <row r="1743">
      <c r="A1743" s="11">
        <v>46159.546073958336</v>
      </c>
      <c r="B1743" s="9" t="s">
        <v>352</v>
      </c>
      <c r="C1743" s="9" t="s">
        <v>245</v>
      </c>
      <c r="D1743" s="9" t="s">
        <v>19</v>
      </c>
      <c r="E1743" s="9" t="s">
        <v>548</v>
      </c>
      <c r="F1743" s="15">
        <v>1.0</v>
      </c>
      <c r="G1743" s="37" t="s">
        <v>65</v>
      </c>
      <c r="H1743" s="31" t="e">
        <v>#N/A</v>
      </c>
      <c r="I1743" s="31" t="e">
        <v>#N/A</v>
      </c>
    </row>
    <row r="1744">
      <c r="A1744" s="11">
        <v>46159.5499829051</v>
      </c>
      <c r="B1744" s="9" t="s">
        <v>302</v>
      </c>
      <c r="C1744" s="9" t="s">
        <v>54</v>
      </c>
      <c r="D1744" s="9" t="s">
        <v>19</v>
      </c>
      <c r="F1744" s="15">
        <v>1.0</v>
      </c>
      <c r="G1744" s="37" t="s">
        <v>65</v>
      </c>
      <c r="H1744" s="31" t="e">
        <v>#N/A</v>
      </c>
      <c r="I1744" s="31" t="e">
        <v>#N/A</v>
      </c>
    </row>
    <row r="1745">
      <c r="A1745" s="11">
        <v>46159.55778998842</v>
      </c>
      <c r="B1745" s="9" t="s">
        <v>88</v>
      </c>
      <c r="C1745" s="9" t="s">
        <v>336</v>
      </c>
      <c r="D1745" s="9" t="s">
        <v>19</v>
      </c>
      <c r="F1745" s="15">
        <v>1.0</v>
      </c>
      <c r="G1745" s="37" t="s">
        <v>65</v>
      </c>
      <c r="H1745" s="31" t="e">
        <v>#N/A</v>
      </c>
      <c r="I1745" s="31" t="e">
        <v>#N/A</v>
      </c>
    </row>
    <row r="1746">
      <c r="A1746" s="11">
        <v>46159.56014743056</v>
      </c>
      <c r="B1746" s="9" t="s">
        <v>191</v>
      </c>
      <c r="C1746" s="9" t="s">
        <v>352</v>
      </c>
      <c r="D1746" s="37" t="s">
        <v>57</v>
      </c>
      <c r="F1746" s="15">
        <v>1.0</v>
      </c>
      <c r="H1746" s="31" t="e">
        <v>#N/A</v>
      </c>
      <c r="I1746" s="31" t="e">
        <v>#N/A</v>
      </c>
    </row>
    <row r="1747">
      <c r="A1747" s="11">
        <v>46159.566719236114</v>
      </c>
      <c r="B1747" s="9" t="s">
        <v>229</v>
      </c>
      <c r="C1747" s="9" t="s">
        <v>191</v>
      </c>
      <c r="D1747" s="9" t="s">
        <v>19</v>
      </c>
      <c r="F1747" s="15">
        <v>1.0</v>
      </c>
      <c r="G1747" s="37" t="s">
        <v>65</v>
      </c>
      <c r="H1747" s="31" t="e">
        <v>#N/A</v>
      </c>
      <c r="I1747" s="31" t="e">
        <v>#N/A</v>
      </c>
    </row>
    <row r="1748">
      <c r="A1748" s="11">
        <v>46159.57904065972</v>
      </c>
      <c r="B1748" s="9" t="s">
        <v>166</v>
      </c>
      <c r="C1748" s="9" t="s">
        <v>367</v>
      </c>
      <c r="D1748" s="37" t="s">
        <v>57</v>
      </c>
      <c r="E1748" s="9" t="s">
        <v>549</v>
      </c>
      <c r="F1748" s="15">
        <v>1.0</v>
      </c>
      <c r="H1748" s="31" t="e">
        <v>#N/A</v>
      </c>
      <c r="I1748" s="31" t="e">
        <v>#N/A</v>
      </c>
    </row>
    <row r="1749">
      <c r="A1749" s="11">
        <v>46159.57922560185</v>
      </c>
      <c r="B1749" s="9" t="s">
        <v>88</v>
      </c>
      <c r="C1749" s="9" t="s">
        <v>245</v>
      </c>
      <c r="D1749" s="37" t="s">
        <v>57</v>
      </c>
      <c r="F1749" s="15">
        <v>1.0</v>
      </c>
      <c r="G1749" s="37" t="s">
        <v>65</v>
      </c>
      <c r="H1749" s="31" t="e">
        <v>#N/A</v>
      </c>
      <c r="I1749" s="31" t="e">
        <v>#N/A</v>
      </c>
    </row>
    <row r="1750">
      <c r="A1750" s="11">
        <v>46159.58072052083</v>
      </c>
      <c r="B1750" s="9" t="s">
        <v>336</v>
      </c>
      <c r="C1750" s="9" t="s">
        <v>249</v>
      </c>
      <c r="D1750" s="37" t="s">
        <v>57</v>
      </c>
      <c r="E1750" s="9" t="s">
        <v>122</v>
      </c>
      <c r="F1750" s="15">
        <v>1.0</v>
      </c>
      <c r="G1750" s="37" t="s">
        <v>65</v>
      </c>
      <c r="H1750" s="31" t="e">
        <v>#N/A</v>
      </c>
      <c r="I1750" s="31" t="e">
        <v>#N/A</v>
      </c>
    </row>
    <row r="1751">
      <c r="A1751" s="11">
        <v>46159.5829283912</v>
      </c>
      <c r="B1751" s="9" t="s">
        <v>302</v>
      </c>
      <c r="C1751" s="9" t="s">
        <v>229</v>
      </c>
      <c r="D1751" s="9" t="s">
        <v>19</v>
      </c>
      <c r="F1751" s="15">
        <v>1.0</v>
      </c>
      <c r="G1751" s="37" t="s">
        <v>65</v>
      </c>
      <c r="H1751" s="31" t="e">
        <v>#N/A</v>
      </c>
      <c r="I1751" s="31" t="e">
        <v>#N/A</v>
      </c>
    </row>
    <row r="1752">
      <c r="A1752" s="11">
        <v>46159.587335034725</v>
      </c>
      <c r="B1752" s="9" t="s">
        <v>226</v>
      </c>
      <c r="C1752" s="9" t="s">
        <v>385</v>
      </c>
      <c r="D1752" s="37" t="s">
        <v>57</v>
      </c>
      <c r="E1752" s="9" t="s">
        <v>112</v>
      </c>
      <c r="F1752" s="15">
        <v>1.0</v>
      </c>
      <c r="G1752" s="37" t="s">
        <v>65</v>
      </c>
      <c r="H1752" s="31" t="e">
        <v>#N/A</v>
      </c>
      <c r="I1752" s="31" t="e">
        <v>#N/A</v>
      </c>
    </row>
    <row r="1753">
      <c r="A1753" s="11">
        <v>46159.60360696759</v>
      </c>
      <c r="B1753" s="9" t="s">
        <v>355</v>
      </c>
      <c r="C1753" s="9" t="s">
        <v>249</v>
      </c>
      <c r="D1753" s="37" t="s">
        <v>57</v>
      </c>
      <c r="E1753" s="9" t="s">
        <v>102</v>
      </c>
      <c r="F1753" s="15">
        <v>1.0</v>
      </c>
      <c r="H1753" s="31" t="e">
        <v>#N/A</v>
      </c>
      <c r="I1753" s="31" t="e">
        <v>#N/A</v>
      </c>
    </row>
    <row r="1754">
      <c r="A1754" s="11">
        <v>46159.63519240741</v>
      </c>
      <c r="B1754" s="9" t="s">
        <v>143</v>
      </c>
      <c r="C1754" s="9" t="s">
        <v>281</v>
      </c>
      <c r="D1754" s="9" t="s">
        <v>19</v>
      </c>
      <c r="E1754" s="9" t="s">
        <v>140</v>
      </c>
      <c r="F1754" s="15">
        <v>1.0</v>
      </c>
      <c r="G1754" s="37" t="s">
        <v>65</v>
      </c>
      <c r="H1754" s="31" t="e">
        <v>#N/A</v>
      </c>
      <c r="I1754" s="31" t="e">
        <v>#N/A</v>
      </c>
    </row>
    <row r="1755">
      <c r="A1755" s="11">
        <v>46159.65589498843</v>
      </c>
      <c r="B1755" s="9" t="s">
        <v>281</v>
      </c>
      <c r="C1755" s="9" t="s">
        <v>67</v>
      </c>
      <c r="D1755" s="9" t="s">
        <v>19</v>
      </c>
      <c r="F1755" s="15">
        <v>1.0</v>
      </c>
      <c r="H1755" s="31" t="e">
        <v>#N/A</v>
      </c>
      <c r="I1755" s="31" t="e">
        <v>#N/A</v>
      </c>
    </row>
    <row r="1756">
      <c r="A1756" s="11">
        <v>46159.663106875</v>
      </c>
      <c r="B1756" s="9" t="s">
        <v>376</v>
      </c>
      <c r="C1756" s="9" t="s">
        <v>385</v>
      </c>
      <c r="D1756" s="9" t="s">
        <v>19</v>
      </c>
      <c r="F1756" s="15">
        <v>1.0</v>
      </c>
      <c r="G1756" s="37" t="s">
        <v>65</v>
      </c>
      <c r="H1756" s="31" t="e">
        <v>#N/A</v>
      </c>
      <c r="I1756" s="31" t="e">
        <v>#N/A</v>
      </c>
    </row>
    <row r="1757">
      <c r="A1757" s="11">
        <v>46159.67866010417</v>
      </c>
      <c r="B1757" s="9" t="s">
        <v>173</v>
      </c>
      <c r="C1757" s="9" t="s">
        <v>54</v>
      </c>
      <c r="D1757" s="37" t="s">
        <v>57</v>
      </c>
      <c r="F1757" s="15">
        <v>1.0</v>
      </c>
      <c r="G1757" s="37" t="s">
        <v>65</v>
      </c>
      <c r="H1757" s="31" t="e">
        <v>#N/A</v>
      </c>
      <c r="I1757" s="31" t="e">
        <v>#N/A</v>
      </c>
    </row>
    <row r="1758">
      <c r="A1758" s="11">
        <v>46159.68381430555</v>
      </c>
      <c r="B1758" s="9" t="s">
        <v>158</v>
      </c>
      <c r="C1758" s="9" t="s">
        <v>247</v>
      </c>
      <c r="D1758" s="9" t="s">
        <v>19</v>
      </c>
      <c r="F1758" s="15">
        <v>1.0</v>
      </c>
      <c r="G1758" s="37" t="s">
        <v>65</v>
      </c>
      <c r="H1758" s="31" t="e">
        <v>#N/A</v>
      </c>
      <c r="I1758" s="31" t="e">
        <v>#N/A</v>
      </c>
    </row>
    <row r="1759">
      <c r="A1759" s="11">
        <v>46159.68443638889</v>
      </c>
      <c r="B1759" s="9" t="s">
        <v>281</v>
      </c>
      <c r="C1759" s="9" t="s">
        <v>302</v>
      </c>
      <c r="D1759" s="9" t="s">
        <v>19</v>
      </c>
      <c r="F1759" s="15">
        <v>1.0</v>
      </c>
      <c r="G1759" s="37" t="s">
        <v>65</v>
      </c>
      <c r="H1759" s="31" t="e">
        <v>#N/A</v>
      </c>
      <c r="I1759" s="31" t="e">
        <v>#N/A</v>
      </c>
    </row>
    <row r="1760">
      <c r="A1760" s="11">
        <v>46159.69959138889</v>
      </c>
      <c r="B1760" s="9" t="s">
        <v>158</v>
      </c>
      <c r="C1760" s="9" t="s">
        <v>281</v>
      </c>
      <c r="D1760" s="37" t="s">
        <v>57</v>
      </c>
      <c r="F1760" s="15">
        <v>1.0</v>
      </c>
      <c r="G1760" s="37" t="s">
        <v>65</v>
      </c>
      <c r="H1760" s="31" t="e">
        <v>#N/A</v>
      </c>
      <c r="I1760" s="31" t="e">
        <v>#N/A</v>
      </c>
    </row>
    <row r="1761">
      <c r="A1761" s="11">
        <v>46159.70911174768</v>
      </c>
      <c r="B1761" s="9" t="s">
        <v>54</v>
      </c>
      <c r="C1761" s="9" t="s">
        <v>308</v>
      </c>
      <c r="D1761" s="37" t="s">
        <v>57</v>
      </c>
      <c r="F1761" s="15">
        <v>1.0</v>
      </c>
      <c r="G1761" s="37" t="s">
        <v>65</v>
      </c>
      <c r="H1761" s="31" t="e">
        <v>#N/A</v>
      </c>
      <c r="I1761" s="31" t="e">
        <v>#N/A</v>
      </c>
    </row>
    <row r="1762">
      <c r="A1762" s="11">
        <v>46159.71652065973</v>
      </c>
      <c r="B1762" s="9" t="s">
        <v>192</v>
      </c>
      <c r="C1762" s="9" t="s">
        <v>247</v>
      </c>
      <c r="D1762" s="37" t="s">
        <v>57</v>
      </c>
      <c r="F1762" s="15">
        <v>1.0</v>
      </c>
      <c r="G1762" s="37" t="s">
        <v>65</v>
      </c>
      <c r="H1762" s="31" t="e">
        <v>#N/A</v>
      </c>
      <c r="I1762" s="31" t="e">
        <v>#N/A</v>
      </c>
    </row>
    <row r="1763">
      <c r="A1763" s="11">
        <v>46159.73429393518</v>
      </c>
      <c r="B1763" s="9" t="s">
        <v>213</v>
      </c>
      <c r="C1763" s="9" t="s">
        <v>308</v>
      </c>
      <c r="D1763" s="9" t="s">
        <v>19</v>
      </c>
      <c r="F1763" s="15">
        <v>1.0</v>
      </c>
      <c r="G1763" s="37" t="s">
        <v>65</v>
      </c>
      <c r="H1763" s="31" t="e">
        <v>#N/A</v>
      </c>
      <c r="I1763" s="31" t="e">
        <v>#N/A</v>
      </c>
    </row>
    <row r="1764">
      <c r="A1764" s="11">
        <v>46159.73647203704</v>
      </c>
      <c r="B1764" s="9" t="s">
        <v>224</v>
      </c>
      <c r="C1764" s="9" t="s">
        <v>414</v>
      </c>
      <c r="D1764" s="37" t="s">
        <v>57</v>
      </c>
      <c r="F1764" s="15">
        <v>1.0</v>
      </c>
      <c r="G1764" s="37" t="s">
        <v>65</v>
      </c>
      <c r="H1764" s="31" t="e">
        <v>#N/A</v>
      </c>
      <c r="I1764" s="31" t="e">
        <v>#N/A</v>
      </c>
    </row>
    <row r="1765">
      <c r="A1765" s="11">
        <v>46159.743568125</v>
      </c>
      <c r="B1765" s="9" t="s">
        <v>286</v>
      </c>
      <c r="C1765" s="9" t="s">
        <v>137</v>
      </c>
      <c r="D1765" s="37" t="s">
        <v>57</v>
      </c>
      <c r="F1765" s="15">
        <v>1.0</v>
      </c>
      <c r="G1765" s="37" t="s">
        <v>65</v>
      </c>
      <c r="H1765" s="31" t="e">
        <v>#N/A</v>
      </c>
      <c r="I1765" s="31" t="e">
        <v>#N/A</v>
      </c>
    </row>
    <row r="1766">
      <c r="A1766" s="11">
        <v>46159.75875907407</v>
      </c>
      <c r="B1766" s="9" t="s">
        <v>368</v>
      </c>
      <c r="C1766" s="9" t="s">
        <v>74</v>
      </c>
      <c r="D1766" s="9" t="s">
        <v>19</v>
      </c>
      <c r="F1766" s="15">
        <v>1.0</v>
      </c>
      <c r="G1766" s="37" t="s">
        <v>65</v>
      </c>
      <c r="H1766" s="31" t="e">
        <v>#N/A</v>
      </c>
      <c r="I1766" s="31" t="e">
        <v>#N/A</v>
      </c>
    </row>
    <row r="1767">
      <c r="A1767" s="11">
        <v>46159.759525</v>
      </c>
      <c r="B1767" s="9" t="s">
        <v>224</v>
      </c>
      <c r="C1767" s="9" t="s">
        <v>286</v>
      </c>
      <c r="D1767" s="9" t="s">
        <v>19</v>
      </c>
      <c r="F1767" s="15">
        <v>1.0</v>
      </c>
      <c r="G1767" s="37" t="s">
        <v>65</v>
      </c>
      <c r="H1767" s="31" t="e">
        <v>#N/A</v>
      </c>
      <c r="I1767" s="31" t="e">
        <v>#N/A</v>
      </c>
    </row>
    <row r="1768">
      <c r="A1768" s="11">
        <v>46159.77067201389</v>
      </c>
      <c r="B1768" s="9" t="s">
        <v>192</v>
      </c>
      <c r="C1768" s="9" t="s">
        <v>137</v>
      </c>
      <c r="D1768" s="9" t="s">
        <v>19</v>
      </c>
      <c r="F1768" s="15">
        <v>1.0</v>
      </c>
      <c r="G1768" s="37" t="s">
        <v>65</v>
      </c>
      <c r="H1768" s="31" t="e">
        <v>#N/A</v>
      </c>
      <c r="I1768" s="31" t="e">
        <v>#N/A</v>
      </c>
    </row>
    <row r="1769">
      <c r="A1769" s="11">
        <v>46159.77934414352</v>
      </c>
      <c r="B1769" s="9" t="s">
        <v>229</v>
      </c>
      <c r="C1769" s="9" t="s">
        <v>195</v>
      </c>
      <c r="D1769" s="9" t="s">
        <v>19</v>
      </c>
      <c r="F1769" s="15">
        <v>1.0</v>
      </c>
      <c r="G1769" s="37" t="s">
        <v>65</v>
      </c>
      <c r="H1769" s="31" t="e">
        <v>#N/A</v>
      </c>
      <c r="I1769" s="31" t="e">
        <v>#N/A</v>
      </c>
    </row>
    <row r="1770">
      <c r="A1770" s="11">
        <v>46159.79941662037</v>
      </c>
      <c r="B1770" s="9" t="s">
        <v>245</v>
      </c>
      <c r="C1770" s="9" t="s">
        <v>137</v>
      </c>
      <c r="D1770" s="37" t="s">
        <v>57</v>
      </c>
      <c r="F1770" s="15">
        <v>1.0</v>
      </c>
      <c r="G1770" s="37" t="s">
        <v>65</v>
      </c>
      <c r="H1770" s="31" t="e">
        <v>#N/A</v>
      </c>
      <c r="I1770" s="31" t="e">
        <v>#N/A</v>
      </c>
    </row>
    <row r="1771">
      <c r="A1771" s="11">
        <v>46159.79969159722</v>
      </c>
      <c r="B1771" s="9" t="s">
        <v>195</v>
      </c>
      <c r="C1771" s="9" t="s">
        <v>322</v>
      </c>
      <c r="D1771" s="9" t="s">
        <v>19</v>
      </c>
      <c r="F1771" s="15">
        <v>1.0</v>
      </c>
      <c r="G1771" s="37" t="s">
        <v>65</v>
      </c>
      <c r="H1771" s="31" t="e">
        <v>#N/A</v>
      </c>
      <c r="I1771" s="31" t="e">
        <v>#N/A</v>
      </c>
    </row>
    <row r="1772">
      <c r="A1772" s="11">
        <v>46159.81874578704</v>
      </c>
      <c r="B1772" s="9" t="s">
        <v>253</v>
      </c>
      <c r="C1772" s="9" t="s">
        <v>150</v>
      </c>
      <c r="D1772" s="37" t="s">
        <v>57</v>
      </c>
      <c r="F1772" s="15">
        <v>1.0</v>
      </c>
      <c r="G1772" s="37" t="s">
        <v>65</v>
      </c>
      <c r="H1772" s="31" t="e">
        <v>#N/A</v>
      </c>
      <c r="I1772" s="31" t="e">
        <v>#N/A</v>
      </c>
    </row>
    <row r="1773">
      <c r="A1773" s="11">
        <v>46159.82623181713</v>
      </c>
      <c r="B1773" s="9" t="s">
        <v>192</v>
      </c>
      <c r="C1773" s="9" t="s">
        <v>322</v>
      </c>
      <c r="D1773" s="9" t="s">
        <v>19</v>
      </c>
      <c r="F1773" s="15">
        <v>1.0</v>
      </c>
      <c r="G1773" s="37" t="s">
        <v>65</v>
      </c>
      <c r="H1773" s="31" t="e">
        <v>#N/A</v>
      </c>
      <c r="I1773" s="31" t="e">
        <v>#N/A</v>
      </c>
    </row>
    <row r="1774">
      <c r="A1774" s="11">
        <v>46159.872120775464</v>
      </c>
      <c r="B1774" s="9" t="s">
        <v>192</v>
      </c>
      <c r="C1774" s="9" t="s">
        <v>89</v>
      </c>
      <c r="D1774" s="37" t="s">
        <v>57</v>
      </c>
      <c r="F1774" s="15">
        <v>1.0</v>
      </c>
      <c r="G1774" s="37" t="s">
        <v>65</v>
      </c>
      <c r="H1774" s="31" t="e">
        <v>#N/A</v>
      </c>
      <c r="I1774" s="31" t="e">
        <v>#N/A</v>
      </c>
    </row>
    <row r="1775">
      <c r="A1775" s="11">
        <v>46159.888888518515</v>
      </c>
      <c r="B1775" s="9" t="s">
        <v>143</v>
      </c>
      <c r="C1775" s="9" t="s">
        <v>74</v>
      </c>
      <c r="D1775" s="37" t="s">
        <v>57</v>
      </c>
      <c r="E1775" s="9" t="s">
        <v>140</v>
      </c>
      <c r="F1775" s="15">
        <v>1.0</v>
      </c>
      <c r="H1775" s="31" t="e">
        <v>#N/A</v>
      </c>
      <c r="I1775" s="31" t="e">
        <v>#N/A</v>
      </c>
    </row>
    <row r="1776">
      <c r="A1776" s="11">
        <v>46159.890504062496</v>
      </c>
      <c r="B1776" s="9" t="s">
        <v>276</v>
      </c>
      <c r="C1776" s="9" t="s">
        <v>101</v>
      </c>
      <c r="D1776" s="37" t="s">
        <v>57</v>
      </c>
      <c r="F1776" s="15">
        <v>1.0</v>
      </c>
      <c r="G1776" s="37" t="s">
        <v>65</v>
      </c>
      <c r="H1776" s="31" t="e">
        <v>#N/A</v>
      </c>
      <c r="I1776" s="31" t="e">
        <v>#N/A</v>
      </c>
    </row>
    <row r="1777">
      <c r="A1777" s="11">
        <v>46159.91543797454</v>
      </c>
      <c r="B1777" s="9" t="s">
        <v>263</v>
      </c>
      <c r="C1777" s="9" t="s">
        <v>320</v>
      </c>
      <c r="D1777" s="9" t="s">
        <v>19</v>
      </c>
      <c r="E1777" s="9" t="s">
        <v>265</v>
      </c>
      <c r="F1777" s="15">
        <v>1.0</v>
      </c>
      <c r="G1777" s="37" t="s">
        <v>65</v>
      </c>
      <c r="H1777" s="31" t="e">
        <v>#N/A</v>
      </c>
      <c r="I1777" s="31" t="e">
        <v>#N/A</v>
      </c>
    </row>
    <row r="1778">
      <c r="A1778" s="11">
        <v>46159.935302708334</v>
      </c>
      <c r="B1778" s="9" t="s">
        <v>101</v>
      </c>
      <c r="C1778" s="9" t="s">
        <v>318</v>
      </c>
      <c r="D1778" s="37" t="s">
        <v>57</v>
      </c>
      <c r="E1778" s="9" t="s">
        <v>321</v>
      </c>
      <c r="F1778" s="15">
        <v>1.0</v>
      </c>
      <c r="G1778" s="37" t="s">
        <v>65</v>
      </c>
      <c r="H1778" s="31" t="e">
        <v>#N/A</v>
      </c>
      <c r="I1778" s="31" t="e">
        <v>#N/A</v>
      </c>
    </row>
    <row r="1779">
      <c r="A1779" s="11">
        <v>46159.9354821875</v>
      </c>
      <c r="B1779" s="9" t="s">
        <v>195</v>
      </c>
      <c r="C1779" s="9" t="s">
        <v>89</v>
      </c>
      <c r="D1779" s="37" t="s">
        <v>57</v>
      </c>
      <c r="F1779" s="15">
        <v>1.0</v>
      </c>
      <c r="G1779" s="37" t="s">
        <v>65</v>
      </c>
      <c r="H1779" s="31" t="e">
        <v>#N/A</v>
      </c>
      <c r="I1779" s="31" t="e">
        <v>#N/A</v>
      </c>
    </row>
    <row r="1780">
      <c r="A1780" s="11">
        <v>46159.96891590278</v>
      </c>
      <c r="B1780" s="9" t="s">
        <v>195</v>
      </c>
      <c r="C1780" s="9" t="s">
        <v>320</v>
      </c>
      <c r="D1780" s="37" t="s">
        <v>57</v>
      </c>
      <c r="F1780" s="15">
        <v>1.0</v>
      </c>
      <c r="G1780" s="37" t="s">
        <v>65</v>
      </c>
      <c r="H1780" s="31" t="e">
        <v>#N/A</v>
      </c>
      <c r="I1780" s="31" t="e">
        <v>#N/A</v>
      </c>
    </row>
    <row r="1781">
      <c r="A1781" s="11">
        <v>46159.99930739583</v>
      </c>
      <c r="B1781" s="9" t="s">
        <v>342</v>
      </c>
      <c r="C1781" s="9" t="s">
        <v>376</v>
      </c>
      <c r="D1781" s="37" t="s">
        <v>57</v>
      </c>
      <c r="F1781" s="15">
        <v>1.0</v>
      </c>
      <c r="G1781" s="37" t="s">
        <v>65</v>
      </c>
      <c r="H1781" s="31" t="e">
        <v>#N/A</v>
      </c>
      <c r="I1781" s="31" t="e">
        <v>#N/A</v>
      </c>
    </row>
    <row r="1782">
      <c r="A1782" s="11">
        <v>46160.00830091436</v>
      </c>
      <c r="B1782" s="9" t="s">
        <v>349</v>
      </c>
      <c r="C1782" s="9" t="s">
        <v>284</v>
      </c>
      <c r="D1782" s="9" t="s">
        <v>19</v>
      </c>
      <c r="F1782" s="15">
        <v>1.0</v>
      </c>
      <c r="G1782" s="37" t="s">
        <v>65</v>
      </c>
      <c r="H1782" s="31" t="e">
        <v>#N/A</v>
      </c>
      <c r="I1782" s="31" t="e">
        <v>#N/A</v>
      </c>
    </row>
    <row r="1783">
      <c r="A1783" s="11">
        <v>46160.02844821759</v>
      </c>
      <c r="B1783" s="9" t="s">
        <v>323</v>
      </c>
      <c r="C1783" s="9" t="s">
        <v>355</v>
      </c>
      <c r="D1783" s="9" t="s">
        <v>19</v>
      </c>
      <c r="F1783" s="15">
        <v>1.0</v>
      </c>
      <c r="G1783" s="37" t="s">
        <v>65</v>
      </c>
      <c r="H1783" s="31" t="e">
        <v>#N/A</v>
      </c>
      <c r="I1783" s="31" t="e">
        <v>#N/A</v>
      </c>
    </row>
    <row r="1784">
      <c r="A1784" s="11">
        <v>46160.03180082176</v>
      </c>
      <c r="B1784" s="9" t="s">
        <v>349</v>
      </c>
      <c r="C1784" s="9" t="s">
        <v>195</v>
      </c>
      <c r="D1784" s="37" t="s">
        <v>57</v>
      </c>
      <c r="F1784" s="15">
        <v>1.0</v>
      </c>
      <c r="G1784" s="37" t="s">
        <v>65</v>
      </c>
      <c r="H1784" s="31" t="e">
        <v>#N/A</v>
      </c>
      <c r="I1784" s="31" t="e">
        <v>#N/A</v>
      </c>
    </row>
    <row r="1785">
      <c r="A1785" s="11">
        <v>46160.040985659725</v>
      </c>
      <c r="B1785" s="9" t="s">
        <v>290</v>
      </c>
      <c r="C1785" s="9" t="s">
        <v>192</v>
      </c>
      <c r="D1785" s="37" t="s">
        <v>57</v>
      </c>
      <c r="E1785" s="9" t="s">
        <v>140</v>
      </c>
      <c r="F1785" s="15">
        <v>1.0</v>
      </c>
      <c r="G1785" s="37" t="s">
        <v>65</v>
      </c>
      <c r="H1785" s="31" t="e">
        <v>#N/A</v>
      </c>
      <c r="I1785" s="31" t="e">
        <v>#N/A</v>
      </c>
    </row>
    <row r="1786">
      <c r="A1786" s="11">
        <v>46160.30187439815</v>
      </c>
      <c r="B1786" s="9" t="s">
        <v>141</v>
      </c>
      <c r="C1786" s="9" t="s">
        <v>254</v>
      </c>
      <c r="D1786" s="9" t="s">
        <v>19</v>
      </c>
      <c r="E1786" s="9" t="s">
        <v>550</v>
      </c>
      <c r="F1786" s="15">
        <v>1.0</v>
      </c>
      <c r="G1786" s="37" t="s">
        <v>65</v>
      </c>
      <c r="H1786" s="31" t="e">
        <v>#N/A</v>
      </c>
      <c r="I1786" s="31" t="e">
        <v>#N/A</v>
      </c>
    </row>
    <row r="1787">
      <c r="A1787" s="11">
        <v>46160.31418818287</v>
      </c>
      <c r="B1787" s="9" t="s">
        <v>141</v>
      </c>
      <c r="C1787" s="9" t="s">
        <v>204</v>
      </c>
      <c r="D1787" s="9" t="s">
        <v>19</v>
      </c>
      <c r="F1787" s="15">
        <v>1.0</v>
      </c>
      <c r="G1787" s="37" t="s">
        <v>65</v>
      </c>
      <c r="H1787" s="31" t="e">
        <v>#N/A</v>
      </c>
      <c r="I1787" s="31" t="e">
        <v>#N/A</v>
      </c>
    </row>
    <row r="1788">
      <c r="A1788" s="11">
        <v>46160.33627150463</v>
      </c>
      <c r="B1788" s="9" t="s">
        <v>204</v>
      </c>
      <c r="C1788" s="9" t="s">
        <v>254</v>
      </c>
      <c r="D1788" s="9" t="s">
        <v>19</v>
      </c>
      <c r="E1788" s="9" t="s">
        <v>206</v>
      </c>
      <c r="F1788" s="15">
        <v>1.0</v>
      </c>
      <c r="G1788" s="37" t="s">
        <v>65</v>
      </c>
      <c r="H1788" s="31" t="e">
        <v>#N/A</v>
      </c>
      <c r="I1788" s="31" t="e">
        <v>#N/A</v>
      </c>
    </row>
    <row r="1789">
      <c r="A1789" s="11">
        <v>46160.368194270835</v>
      </c>
      <c r="B1789" s="9" t="s">
        <v>237</v>
      </c>
      <c r="C1789" s="9" t="s">
        <v>55</v>
      </c>
      <c r="D1789" s="37" t="s">
        <v>57</v>
      </c>
      <c r="E1789" s="9" t="s">
        <v>122</v>
      </c>
      <c r="F1789" s="15">
        <v>1.0</v>
      </c>
      <c r="G1789" s="37" t="s">
        <v>65</v>
      </c>
      <c r="H1789" s="31" t="e">
        <v>#N/A</v>
      </c>
      <c r="I1789" s="31" t="e">
        <v>#N/A</v>
      </c>
    </row>
    <row r="1790">
      <c r="A1790" s="11">
        <v>46160.42772457176</v>
      </c>
      <c r="B1790" s="9" t="s">
        <v>166</v>
      </c>
      <c r="C1790" s="9" t="s">
        <v>237</v>
      </c>
      <c r="D1790" s="9" t="s">
        <v>19</v>
      </c>
      <c r="E1790" s="9" t="s">
        <v>551</v>
      </c>
      <c r="F1790" s="15">
        <v>1.0</v>
      </c>
      <c r="G1790" s="37" t="s">
        <v>65</v>
      </c>
      <c r="H1790" s="31" t="e">
        <v>#N/A</v>
      </c>
      <c r="I1790" s="31" t="e">
        <v>#N/A</v>
      </c>
    </row>
    <row r="1791">
      <c r="A1791" s="11">
        <v>46160.45185920139</v>
      </c>
      <c r="B1791" s="9" t="s">
        <v>288</v>
      </c>
      <c r="C1791" s="9" t="s">
        <v>237</v>
      </c>
      <c r="D1791" s="9" t="s">
        <v>19</v>
      </c>
      <c r="F1791" s="15">
        <v>1.0</v>
      </c>
      <c r="G1791" s="37" t="s">
        <v>65</v>
      </c>
      <c r="H1791" s="31" t="e">
        <v>#N/A</v>
      </c>
      <c r="I1791" s="31" t="e">
        <v>#N/A</v>
      </c>
    </row>
    <row r="1792">
      <c r="A1792" s="11">
        <v>46160.45387922454</v>
      </c>
      <c r="B1792" s="9" t="s">
        <v>320</v>
      </c>
      <c r="C1792" s="9" t="s">
        <v>331</v>
      </c>
      <c r="D1792" s="9" t="s">
        <v>19</v>
      </c>
      <c r="F1792" s="15">
        <v>1.0</v>
      </c>
      <c r="G1792" s="37" t="s">
        <v>65</v>
      </c>
      <c r="H1792" s="31" t="e">
        <v>#N/A</v>
      </c>
      <c r="I1792" s="31" t="e">
        <v>#N/A</v>
      </c>
    </row>
    <row r="1793">
      <c r="A1793" s="11">
        <v>46160.476371145836</v>
      </c>
      <c r="B1793" s="9" t="s">
        <v>213</v>
      </c>
      <c r="C1793" s="9" t="s">
        <v>237</v>
      </c>
      <c r="D1793" s="9" t="s">
        <v>19</v>
      </c>
      <c r="F1793" s="15">
        <v>1.0</v>
      </c>
      <c r="G1793" s="37" t="s">
        <v>65</v>
      </c>
      <c r="H1793" s="31" t="e">
        <v>#N/A</v>
      </c>
      <c r="I1793" s="31" t="e">
        <v>#N/A</v>
      </c>
    </row>
    <row r="1794">
      <c r="A1794" s="11">
        <v>46160.49752065972</v>
      </c>
      <c r="B1794" s="9" t="s">
        <v>213</v>
      </c>
      <c r="C1794" s="9" t="s">
        <v>318</v>
      </c>
      <c r="D1794" s="9" t="s">
        <v>19</v>
      </c>
      <c r="F1794" s="15">
        <v>1.0</v>
      </c>
      <c r="H1794" s="31" t="e">
        <v>#N/A</v>
      </c>
      <c r="I1794" s="31" t="e">
        <v>#N/A</v>
      </c>
    </row>
    <row r="1795">
      <c r="A1795" s="11">
        <v>46160.537908541664</v>
      </c>
      <c r="B1795" s="9" t="s">
        <v>286</v>
      </c>
      <c r="C1795" s="9" t="s">
        <v>328</v>
      </c>
      <c r="D1795" s="9" t="s">
        <v>19</v>
      </c>
      <c r="F1795" s="15">
        <v>1.0</v>
      </c>
      <c r="G1795" s="37" t="s">
        <v>65</v>
      </c>
      <c r="H1795" s="31" t="e">
        <v>#N/A</v>
      </c>
      <c r="I1795" s="31" t="e">
        <v>#N/A</v>
      </c>
    </row>
    <row r="1796">
      <c r="A1796" s="11">
        <v>46160.53861741898</v>
      </c>
      <c r="B1796" s="9" t="s">
        <v>231</v>
      </c>
      <c r="C1796" s="9" t="s">
        <v>166</v>
      </c>
      <c r="D1796" s="37" t="s">
        <v>57</v>
      </c>
      <c r="F1796" s="15">
        <v>1.0</v>
      </c>
      <c r="G1796" s="37" t="s">
        <v>65</v>
      </c>
      <c r="H1796" s="31" t="e">
        <v>#N/A</v>
      </c>
      <c r="I1796" s="31" t="e">
        <v>#N/A</v>
      </c>
    </row>
    <row r="1797">
      <c r="A1797" s="11">
        <v>46160.564711956016</v>
      </c>
      <c r="B1797" s="9" t="s">
        <v>320</v>
      </c>
      <c r="C1797" s="9" t="s">
        <v>286</v>
      </c>
      <c r="D1797" s="9" t="s">
        <v>19</v>
      </c>
      <c r="F1797" s="15">
        <v>1.0</v>
      </c>
      <c r="G1797" s="37" t="s">
        <v>65</v>
      </c>
      <c r="H1797" s="31" t="e">
        <v>#N/A</v>
      </c>
      <c r="I1797" s="31" t="e">
        <v>#N/A</v>
      </c>
    </row>
    <row r="1798">
      <c r="A1798" s="11">
        <v>46160.574365821754</v>
      </c>
      <c r="B1798" s="9" t="s">
        <v>328</v>
      </c>
      <c r="C1798" s="9" t="s">
        <v>288</v>
      </c>
      <c r="D1798" s="37" t="s">
        <v>57</v>
      </c>
      <c r="F1798" s="15">
        <v>1.0</v>
      </c>
      <c r="G1798" s="37" t="s">
        <v>65</v>
      </c>
      <c r="H1798" s="31" t="e">
        <v>#N/A</v>
      </c>
      <c r="I1798" s="31" t="e">
        <v>#N/A</v>
      </c>
    </row>
    <row r="1799">
      <c r="A1799" s="11">
        <v>46160.60879972222</v>
      </c>
      <c r="B1799" s="9" t="s">
        <v>237</v>
      </c>
      <c r="C1799" s="9" t="s">
        <v>54</v>
      </c>
      <c r="D1799" s="37" t="s">
        <v>57</v>
      </c>
      <c r="E1799" s="9" t="s">
        <v>552</v>
      </c>
      <c r="F1799" s="15">
        <v>1.0</v>
      </c>
      <c r="G1799" s="37" t="s">
        <v>65</v>
      </c>
      <c r="H1799" s="31" t="e">
        <v>#N/A</v>
      </c>
      <c r="I1799" s="31" t="e">
        <v>#N/A</v>
      </c>
    </row>
    <row r="1800">
      <c r="A1800" s="11">
        <v>46160.643683807866</v>
      </c>
      <c r="B1800" s="9" t="s">
        <v>332</v>
      </c>
      <c r="C1800" s="9" t="s">
        <v>115</v>
      </c>
      <c r="D1800" s="9" t="s">
        <v>19</v>
      </c>
      <c r="F1800" s="15">
        <v>1.0</v>
      </c>
      <c r="G1800" s="37" t="s">
        <v>65</v>
      </c>
      <c r="H1800" s="31" t="e">
        <v>#N/A</v>
      </c>
      <c r="I1800" s="31" t="e">
        <v>#N/A</v>
      </c>
    </row>
    <row r="1801">
      <c r="A1801" s="11">
        <v>46160.66338135417</v>
      </c>
      <c r="B1801" s="9" t="s">
        <v>332</v>
      </c>
      <c r="C1801" s="9" t="s">
        <v>331</v>
      </c>
      <c r="D1801" s="9" t="s">
        <v>19</v>
      </c>
      <c r="F1801" s="15">
        <v>1.0</v>
      </c>
      <c r="G1801" s="37" t="s">
        <v>65</v>
      </c>
      <c r="H1801" s="31" t="e">
        <v>#N/A</v>
      </c>
      <c r="I1801" s="31" t="e">
        <v>#N/A</v>
      </c>
    </row>
    <row r="1802">
      <c r="A1802" s="11">
        <v>46160.6717103588</v>
      </c>
      <c r="B1802" s="9" t="s">
        <v>288</v>
      </c>
      <c r="C1802" s="9" t="s">
        <v>336</v>
      </c>
      <c r="D1802" s="9" t="s">
        <v>19</v>
      </c>
      <c r="F1802" s="15">
        <v>1.0</v>
      </c>
      <c r="G1802" s="37" t="s">
        <v>65</v>
      </c>
      <c r="H1802" s="31" t="e">
        <v>#N/A</v>
      </c>
      <c r="I1802" s="31" t="e">
        <v>#N/A</v>
      </c>
    </row>
    <row r="1803">
      <c r="A1803" s="11">
        <v>46160.68467915509</v>
      </c>
      <c r="B1803" s="9" t="s">
        <v>18</v>
      </c>
      <c r="C1803" s="9" t="s">
        <v>231</v>
      </c>
      <c r="D1803" s="37" t="s">
        <v>57</v>
      </c>
      <c r="F1803" s="15">
        <v>1.0</v>
      </c>
      <c r="G1803" s="37" t="s">
        <v>65</v>
      </c>
      <c r="H1803" s="31" t="e">
        <v>#N/A</v>
      </c>
      <c r="I1803" s="31" t="e">
        <v>#N/A</v>
      </c>
    </row>
    <row r="1804">
      <c r="A1804" s="11">
        <v>46160.686081886575</v>
      </c>
      <c r="B1804" s="9" t="s">
        <v>213</v>
      </c>
      <c r="C1804" s="9" t="s">
        <v>115</v>
      </c>
      <c r="D1804" s="37" t="s">
        <v>57</v>
      </c>
      <c r="F1804" s="15">
        <v>1.0</v>
      </c>
      <c r="G1804" s="37" t="s">
        <v>65</v>
      </c>
      <c r="H1804" s="31" t="e">
        <v>#N/A</v>
      </c>
      <c r="I1804" s="31" t="e">
        <v>#N/A</v>
      </c>
    </row>
    <row r="1805">
      <c r="A1805" s="11">
        <v>46160.691590428236</v>
      </c>
      <c r="B1805" s="9" t="s">
        <v>282</v>
      </c>
      <c r="C1805" s="9" t="s">
        <v>313</v>
      </c>
      <c r="D1805" s="9" t="s">
        <v>19</v>
      </c>
      <c r="F1805" s="15">
        <v>1.0</v>
      </c>
      <c r="H1805" s="31" t="e">
        <v>#N/A</v>
      </c>
      <c r="I1805" s="31" t="e">
        <v>#N/A</v>
      </c>
    </row>
    <row r="1806">
      <c r="A1806" s="11">
        <v>46160.69196423611</v>
      </c>
      <c r="B1806" s="9" t="s">
        <v>245</v>
      </c>
      <c r="C1806" s="9" t="s">
        <v>85</v>
      </c>
      <c r="D1806" s="9" t="s">
        <v>19</v>
      </c>
      <c r="F1806" s="15">
        <v>1.0</v>
      </c>
      <c r="G1806" s="37" t="s">
        <v>65</v>
      </c>
      <c r="H1806" s="31" t="e">
        <v>#N/A</v>
      </c>
      <c r="I1806" s="31" t="e">
        <v>#N/A</v>
      </c>
    </row>
    <row r="1807">
      <c r="A1807" s="11">
        <v>46160.71466146991</v>
      </c>
      <c r="B1807" s="9" t="s">
        <v>245</v>
      </c>
      <c r="C1807" s="9" t="s">
        <v>18</v>
      </c>
      <c r="D1807" s="37" t="s">
        <v>57</v>
      </c>
      <c r="F1807" s="15">
        <v>1.0</v>
      </c>
      <c r="G1807" s="37" t="s">
        <v>65</v>
      </c>
      <c r="H1807" s="31" t="e">
        <v>#N/A</v>
      </c>
      <c r="I1807" s="31" t="e">
        <v>#N/A</v>
      </c>
    </row>
    <row r="1808">
      <c r="A1808" s="11">
        <v>46160.71681790509</v>
      </c>
      <c r="B1808" s="9" t="s">
        <v>282</v>
      </c>
      <c r="C1808" s="9" t="s">
        <v>258</v>
      </c>
      <c r="D1808" s="37" t="s">
        <v>57</v>
      </c>
      <c r="F1808" s="15">
        <v>1.0</v>
      </c>
      <c r="G1808" s="37" t="s">
        <v>65</v>
      </c>
      <c r="H1808" s="31" t="e">
        <v>#N/A</v>
      </c>
      <c r="I1808" s="31" t="e">
        <v>#N/A</v>
      </c>
    </row>
    <row r="1809">
      <c r="A1809" s="11">
        <v>46160.7196459375</v>
      </c>
      <c r="B1809" s="9" t="s">
        <v>263</v>
      </c>
      <c r="C1809" s="9" t="s">
        <v>288</v>
      </c>
      <c r="D1809" s="9" t="s">
        <v>19</v>
      </c>
      <c r="E1809" s="9" t="s">
        <v>265</v>
      </c>
      <c r="F1809" s="15">
        <v>1.0</v>
      </c>
      <c r="G1809" s="37" t="s">
        <v>65</v>
      </c>
      <c r="H1809" s="31" t="e">
        <v>#N/A</v>
      </c>
      <c r="I1809" s="31" t="e">
        <v>#N/A</v>
      </c>
    </row>
    <row r="1810">
      <c r="A1810" s="11">
        <v>46160.72761094908</v>
      </c>
      <c r="B1810" s="9" t="s">
        <v>333</v>
      </c>
      <c r="C1810" s="9" t="s">
        <v>164</v>
      </c>
      <c r="D1810" s="9" t="s">
        <v>19</v>
      </c>
      <c r="F1810" s="15">
        <v>1.0</v>
      </c>
      <c r="G1810" s="37" t="s">
        <v>65</v>
      </c>
      <c r="H1810" s="31" t="e">
        <v>#N/A</v>
      </c>
      <c r="I1810" s="31" t="e">
        <v>#N/A</v>
      </c>
    </row>
    <row r="1811">
      <c r="A1811" s="11">
        <v>46160.7547890162</v>
      </c>
      <c r="B1811" s="9" t="s">
        <v>152</v>
      </c>
      <c r="C1811" s="9" t="s">
        <v>104</v>
      </c>
      <c r="D1811" s="37" t="s">
        <v>57</v>
      </c>
      <c r="E1811" s="9" t="s">
        <v>122</v>
      </c>
      <c r="F1811" s="15">
        <v>1.0</v>
      </c>
      <c r="G1811" s="37" t="s">
        <v>65</v>
      </c>
      <c r="H1811" s="31" t="e">
        <v>#N/A</v>
      </c>
      <c r="I1811" s="31" t="e">
        <v>#N/A</v>
      </c>
    </row>
    <row r="1812">
      <c r="A1812" s="11">
        <v>46160.75817814815</v>
      </c>
      <c r="B1812" s="9" t="s">
        <v>256</v>
      </c>
      <c r="C1812" s="9" t="s">
        <v>173</v>
      </c>
      <c r="D1812" s="37" t="s">
        <v>57</v>
      </c>
      <c r="E1812" s="9" t="s">
        <v>553</v>
      </c>
      <c r="F1812" s="15">
        <v>1.0</v>
      </c>
      <c r="G1812" s="37" t="s">
        <v>65</v>
      </c>
      <c r="H1812" s="31" t="e">
        <v>#N/A</v>
      </c>
      <c r="I1812" s="31" t="e">
        <v>#N/A</v>
      </c>
    </row>
    <row r="1813">
      <c r="A1813" s="11">
        <v>46160.80501827547</v>
      </c>
      <c r="B1813" s="9" t="s">
        <v>100</v>
      </c>
      <c r="C1813" s="9" t="s">
        <v>424</v>
      </c>
      <c r="D1813" s="37" t="s">
        <v>57</v>
      </c>
      <c r="E1813" s="9" t="s">
        <v>554</v>
      </c>
      <c r="F1813" s="15">
        <v>1.0</v>
      </c>
      <c r="H1813" s="31" t="e">
        <v>#N/A</v>
      </c>
      <c r="I1813" s="31" t="e">
        <v>#N/A</v>
      </c>
    </row>
    <row r="1814">
      <c r="A1814" s="11">
        <v>46160.82971883102</v>
      </c>
      <c r="B1814" s="9" t="s">
        <v>296</v>
      </c>
      <c r="C1814" s="9" t="s">
        <v>107</v>
      </c>
      <c r="D1814" s="37" t="s">
        <v>57</v>
      </c>
      <c r="F1814" s="15">
        <v>1.0</v>
      </c>
      <c r="G1814" s="37" t="s">
        <v>65</v>
      </c>
      <c r="H1814" s="31" t="e">
        <v>#N/A</v>
      </c>
      <c r="I1814" s="31" t="e">
        <v>#N/A</v>
      </c>
    </row>
    <row r="1815">
      <c r="A1815" s="11">
        <v>46160.85036285879</v>
      </c>
      <c r="B1815" s="9" t="s">
        <v>282</v>
      </c>
      <c r="C1815" s="9" t="s">
        <v>198</v>
      </c>
      <c r="D1815" s="9" t="s">
        <v>19</v>
      </c>
      <c r="F1815" s="15">
        <v>1.0</v>
      </c>
      <c r="G1815" s="37" t="s">
        <v>65</v>
      </c>
      <c r="H1815" s="31" t="e">
        <v>#N/A</v>
      </c>
      <c r="I1815" s="31" t="e">
        <v>#N/A</v>
      </c>
    </row>
    <row r="1816">
      <c r="A1816" s="11">
        <v>46160.86430261574</v>
      </c>
      <c r="B1816" s="9" t="s">
        <v>71</v>
      </c>
      <c r="C1816" s="9" t="s">
        <v>228</v>
      </c>
      <c r="D1816" s="9" t="s">
        <v>19</v>
      </c>
      <c r="F1816" s="15">
        <v>1.0</v>
      </c>
      <c r="G1816" s="37" t="s">
        <v>65</v>
      </c>
      <c r="H1816" s="31" t="e">
        <v>#N/A</v>
      </c>
      <c r="I1816" s="31" t="e">
        <v>#N/A</v>
      </c>
    </row>
    <row r="1817">
      <c r="A1817" s="11">
        <v>46160.88388825231</v>
      </c>
      <c r="B1817" s="9" t="s">
        <v>282</v>
      </c>
      <c r="C1817" s="9" t="s">
        <v>259</v>
      </c>
      <c r="D1817" s="37" t="s">
        <v>57</v>
      </c>
      <c r="F1817" s="15">
        <v>1.0</v>
      </c>
      <c r="G1817" s="37" t="s">
        <v>65</v>
      </c>
      <c r="H1817" s="31" t="e">
        <v>#N/A</v>
      </c>
      <c r="I1817" s="31" t="e">
        <v>#N/A</v>
      </c>
    </row>
    <row r="1818">
      <c r="A1818" s="11">
        <v>46160.897387453704</v>
      </c>
      <c r="B1818" s="9" t="s">
        <v>296</v>
      </c>
      <c r="C1818" s="9" t="s">
        <v>345</v>
      </c>
      <c r="D1818" s="37" t="s">
        <v>57</v>
      </c>
      <c r="F1818" s="15">
        <v>1.0</v>
      </c>
      <c r="G1818" s="37" t="s">
        <v>65</v>
      </c>
      <c r="H1818" s="31" t="e">
        <v>#N/A</v>
      </c>
      <c r="I1818" s="31" t="e">
        <v>#N/A</v>
      </c>
    </row>
    <row r="1819">
      <c r="A1819" s="11">
        <v>46160.90347097222</v>
      </c>
      <c r="B1819" s="9" t="s">
        <v>107</v>
      </c>
      <c r="C1819" s="9" t="s">
        <v>263</v>
      </c>
      <c r="D1819" s="37" t="s">
        <v>57</v>
      </c>
      <c r="F1819" s="15">
        <v>1.0</v>
      </c>
      <c r="G1819" s="37" t="s">
        <v>65</v>
      </c>
      <c r="H1819" s="31" t="e">
        <v>#N/A</v>
      </c>
      <c r="I1819" s="31" t="e">
        <v>#N/A</v>
      </c>
    </row>
    <row r="1820">
      <c r="A1820" s="11">
        <v>46160.92441122685</v>
      </c>
      <c r="B1820" s="9" t="s">
        <v>282</v>
      </c>
      <c r="C1820" s="9" t="s">
        <v>107</v>
      </c>
      <c r="D1820" s="9" t="s">
        <v>19</v>
      </c>
      <c r="F1820" s="15">
        <v>1.0</v>
      </c>
      <c r="G1820" s="37" t="s">
        <v>65</v>
      </c>
      <c r="H1820" s="31" t="e">
        <v>#N/A</v>
      </c>
      <c r="I1820" s="31" t="e">
        <v>#N/A</v>
      </c>
    </row>
    <row r="1821">
      <c r="A1821" s="11">
        <v>46160.93162295139</v>
      </c>
      <c r="B1821" s="9" t="s">
        <v>17</v>
      </c>
      <c r="C1821" s="9" t="s">
        <v>110</v>
      </c>
      <c r="D1821" s="9" t="s">
        <v>19</v>
      </c>
      <c r="F1821" s="15">
        <v>1.0</v>
      </c>
      <c r="G1821" s="37" t="s">
        <v>65</v>
      </c>
      <c r="H1821" s="31" t="e">
        <v>#N/A</v>
      </c>
      <c r="I1821" s="31" t="e">
        <v>#N/A</v>
      </c>
    </row>
    <row r="1822">
      <c r="A1822" s="11">
        <v>46160.93566130787</v>
      </c>
      <c r="B1822" s="9" t="s">
        <v>369</v>
      </c>
      <c r="C1822" s="9" t="s">
        <v>342</v>
      </c>
      <c r="D1822" s="37" t="s">
        <v>57</v>
      </c>
      <c r="F1822" s="15">
        <v>1.0</v>
      </c>
      <c r="G1822" s="37" t="s">
        <v>65</v>
      </c>
      <c r="H1822" s="31" t="e">
        <v>#N/A</v>
      </c>
      <c r="I1822" s="31" t="e">
        <v>#N/A</v>
      </c>
    </row>
    <row r="1823">
      <c r="A1823" s="11">
        <v>46160.945756898145</v>
      </c>
      <c r="B1823" s="9" t="s">
        <v>296</v>
      </c>
      <c r="C1823" s="9" t="s">
        <v>259</v>
      </c>
      <c r="D1823" s="9" t="s">
        <v>19</v>
      </c>
      <c r="F1823" s="15">
        <v>1.0</v>
      </c>
      <c r="G1823" s="37" t="s">
        <v>65</v>
      </c>
      <c r="H1823" s="31" t="e">
        <v>#N/A</v>
      </c>
      <c r="I1823" s="31" t="e">
        <v>#N/A</v>
      </c>
    </row>
    <row r="1824">
      <c r="A1824" s="11">
        <v>46160.96606726851</v>
      </c>
      <c r="B1824" s="9" t="s">
        <v>349</v>
      </c>
      <c r="C1824" s="9" t="s">
        <v>369</v>
      </c>
      <c r="D1824" s="37" t="s">
        <v>57</v>
      </c>
      <c r="F1824" s="15">
        <v>1.0</v>
      </c>
      <c r="G1824" s="37" t="s">
        <v>65</v>
      </c>
      <c r="H1824" s="31" t="e">
        <v>#N/A</v>
      </c>
      <c r="I1824" s="31" t="e">
        <v>#N/A</v>
      </c>
    </row>
    <row r="1825">
      <c r="A1825" s="11">
        <v>46160.97525038195</v>
      </c>
      <c r="B1825" s="9" t="s">
        <v>198</v>
      </c>
      <c r="C1825" s="9" t="s">
        <v>349</v>
      </c>
      <c r="D1825" s="9" t="s">
        <v>19</v>
      </c>
      <c r="F1825" s="15">
        <v>1.0</v>
      </c>
      <c r="G1825" s="37" t="s">
        <v>65</v>
      </c>
      <c r="H1825" s="31" t="e">
        <v>#N/A</v>
      </c>
      <c r="I1825" s="31" t="e">
        <v>#N/A</v>
      </c>
    </row>
    <row r="1826">
      <c r="A1826" s="11">
        <v>46160.977372905094</v>
      </c>
      <c r="B1826" s="9" t="s">
        <v>183</v>
      </c>
      <c r="C1826" s="9" t="s">
        <v>369</v>
      </c>
      <c r="D1826" s="9" t="s">
        <v>19</v>
      </c>
      <c r="E1826" s="9" t="s">
        <v>122</v>
      </c>
      <c r="F1826" s="15">
        <v>1.0</v>
      </c>
      <c r="G1826" s="37" t="s">
        <v>65</v>
      </c>
      <c r="H1826" s="31" t="e">
        <v>#N/A</v>
      </c>
      <c r="I1826" s="31" t="e">
        <v>#N/A</v>
      </c>
    </row>
    <row r="1827">
      <c r="A1827" s="11">
        <v>46160.98810028935</v>
      </c>
      <c r="B1827" s="9" t="s">
        <v>198</v>
      </c>
      <c r="C1827" s="9" t="s">
        <v>369</v>
      </c>
      <c r="D1827" s="37" t="s">
        <v>57</v>
      </c>
      <c r="F1827" s="15">
        <v>1.0</v>
      </c>
      <c r="H1827" s="31" t="e">
        <v>#N/A</v>
      </c>
      <c r="I1827" s="31" t="e">
        <v>#N/A</v>
      </c>
    </row>
    <row r="1828">
      <c r="A1828" s="11">
        <v>46160.98985741899</v>
      </c>
      <c r="B1828" s="9" t="s">
        <v>183</v>
      </c>
      <c r="C1828" s="9" t="s">
        <v>332</v>
      </c>
      <c r="D1828" s="37" t="s">
        <v>57</v>
      </c>
      <c r="E1828" s="9" t="s">
        <v>122</v>
      </c>
      <c r="F1828" s="15">
        <v>1.0</v>
      </c>
      <c r="G1828" s="37" t="s">
        <v>65</v>
      </c>
      <c r="H1828" s="31" t="e">
        <v>#N/A</v>
      </c>
      <c r="I1828" s="31" t="e">
        <v>#N/A</v>
      </c>
    </row>
    <row r="1829">
      <c r="A1829" s="11">
        <v>46160.99919296296</v>
      </c>
      <c r="B1829" s="9" t="s">
        <v>306</v>
      </c>
      <c r="C1829" s="9" t="s">
        <v>296</v>
      </c>
      <c r="D1829" s="37" t="s">
        <v>57</v>
      </c>
      <c r="E1829" s="9" t="s">
        <v>122</v>
      </c>
      <c r="F1829" s="15">
        <v>1.0</v>
      </c>
      <c r="G1829" s="37" t="s">
        <v>65</v>
      </c>
      <c r="H1829" s="31" t="e">
        <v>#N/A</v>
      </c>
      <c r="I1829" s="31" t="e">
        <v>#N/A</v>
      </c>
    </row>
    <row r="1830">
      <c r="A1830" s="11">
        <v>46161.00447136574</v>
      </c>
      <c r="B1830" s="9" t="s">
        <v>333</v>
      </c>
      <c r="C1830" s="9" t="s">
        <v>343</v>
      </c>
      <c r="D1830" s="9" t="s">
        <v>19</v>
      </c>
      <c r="F1830" s="15">
        <v>1.0</v>
      </c>
      <c r="G1830" s="37" t="s">
        <v>65</v>
      </c>
      <c r="H1830" s="31" t="e">
        <v>#N/A</v>
      </c>
      <c r="I1830" s="31" t="e">
        <v>#N/A</v>
      </c>
    </row>
    <row r="1831">
      <c r="A1831" s="11">
        <v>46161.00820462963</v>
      </c>
      <c r="B1831" s="9" t="s">
        <v>284</v>
      </c>
      <c r="C1831" s="9" t="s">
        <v>198</v>
      </c>
      <c r="D1831" s="9" t="s">
        <v>19</v>
      </c>
      <c r="E1831" s="9" t="s">
        <v>176</v>
      </c>
      <c r="F1831" s="15">
        <v>1.0</v>
      </c>
      <c r="G1831" s="37" t="s">
        <v>65</v>
      </c>
      <c r="H1831" s="31" t="e">
        <v>#N/A</v>
      </c>
      <c r="I1831" s="31" t="e">
        <v>#N/A</v>
      </c>
    </row>
    <row r="1832">
      <c r="A1832" s="11">
        <v>46161.01523414352</v>
      </c>
      <c r="B1832" s="9" t="s">
        <v>264</v>
      </c>
      <c r="C1832" s="9" t="s">
        <v>306</v>
      </c>
      <c r="D1832" s="9" t="s">
        <v>19</v>
      </c>
      <c r="E1832" s="9" t="s">
        <v>122</v>
      </c>
      <c r="F1832" s="15">
        <v>1.0</v>
      </c>
      <c r="G1832" s="37" t="s">
        <v>65</v>
      </c>
      <c r="H1832" s="31" t="e">
        <v>#N/A</v>
      </c>
      <c r="I1832" s="31" t="e">
        <v>#N/A</v>
      </c>
    </row>
    <row r="1833">
      <c r="A1833" s="11">
        <v>46161.027162604165</v>
      </c>
      <c r="B1833" s="9" t="s">
        <v>296</v>
      </c>
      <c r="C1833" s="9" t="s">
        <v>284</v>
      </c>
      <c r="D1833" s="37" t="s">
        <v>57</v>
      </c>
      <c r="E1833" s="9" t="s">
        <v>555</v>
      </c>
      <c r="F1833" s="15">
        <v>1.0</v>
      </c>
      <c r="G1833" s="37" t="s">
        <v>65</v>
      </c>
      <c r="H1833" s="31" t="e">
        <v>#N/A</v>
      </c>
      <c r="I1833" s="31" t="e">
        <v>#N/A</v>
      </c>
    </row>
    <row r="1834">
      <c r="A1834" s="11">
        <v>46161.03631096065</v>
      </c>
      <c r="B1834" s="9" t="s">
        <v>183</v>
      </c>
      <c r="C1834" s="9" t="s">
        <v>264</v>
      </c>
      <c r="D1834" s="9" t="s">
        <v>19</v>
      </c>
      <c r="E1834" s="9" t="s">
        <v>122</v>
      </c>
      <c r="F1834" s="15">
        <v>1.0</v>
      </c>
      <c r="G1834" s="37" t="s">
        <v>65</v>
      </c>
      <c r="H1834" s="31" t="e">
        <v>#N/A</v>
      </c>
      <c r="I1834" s="31" t="e">
        <v>#N/A</v>
      </c>
    </row>
    <row r="1835">
      <c r="A1835" s="11">
        <v>46161.06846038194</v>
      </c>
      <c r="B1835" s="9" t="s">
        <v>264</v>
      </c>
      <c r="C1835" s="9" t="s">
        <v>323</v>
      </c>
      <c r="D1835" s="37" t="s">
        <v>57</v>
      </c>
      <c r="E1835" s="9" t="s">
        <v>102</v>
      </c>
      <c r="F1835" s="15">
        <v>1.0</v>
      </c>
      <c r="G1835" s="37" t="s">
        <v>65</v>
      </c>
      <c r="H1835" s="31" t="e">
        <v>#N/A</v>
      </c>
      <c r="I1835" s="31" t="e">
        <v>#N/A</v>
      </c>
    </row>
    <row r="1836">
      <c r="A1836" s="11">
        <v>46161.11511251157</v>
      </c>
      <c r="B1836" s="9" t="s">
        <v>18</v>
      </c>
      <c r="C1836" s="9" t="s">
        <v>323</v>
      </c>
      <c r="D1836" s="37" t="s">
        <v>57</v>
      </c>
      <c r="F1836" s="15">
        <v>1.0</v>
      </c>
      <c r="H1836" s="31" t="e">
        <v>#N/A</v>
      </c>
      <c r="I1836" s="31" t="e">
        <v>#N/A</v>
      </c>
    </row>
    <row r="1837">
      <c r="A1837" s="11">
        <v>46161.148578148146</v>
      </c>
      <c r="B1837" s="9" t="s">
        <v>284</v>
      </c>
      <c r="C1837" s="9" t="s">
        <v>264</v>
      </c>
      <c r="D1837" s="9" t="s">
        <v>19</v>
      </c>
      <c r="E1837" s="9" t="s">
        <v>176</v>
      </c>
      <c r="F1837" s="15">
        <v>1.0</v>
      </c>
      <c r="G1837" s="37" t="s">
        <v>65</v>
      </c>
      <c r="H1837" s="31" t="e">
        <v>#N/A</v>
      </c>
      <c r="I1837" s="31" t="e">
        <v>#N/A</v>
      </c>
    </row>
    <row r="1838">
      <c r="A1838" s="11">
        <v>46161.300321365736</v>
      </c>
      <c r="B1838" s="9" t="s">
        <v>167</v>
      </c>
      <c r="C1838" s="9" t="s">
        <v>141</v>
      </c>
      <c r="D1838" s="37" t="s">
        <v>57</v>
      </c>
      <c r="E1838" s="9" t="s">
        <v>122</v>
      </c>
      <c r="F1838" s="15">
        <v>1.0</v>
      </c>
      <c r="G1838" s="37" t="s">
        <v>65</v>
      </c>
      <c r="H1838" s="31" t="e">
        <v>#N/A</v>
      </c>
      <c r="I1838" s="31" t="e">
        <v>#N/A</v>
      </c>
    </row>
    <row r="1839">
      <c r="A1839" s="11">
        <v>46161.49341081019</v>
      </c>
      <c r="B1839" s="9" t="s">
        <v>115</v>
      </c>
      <c r="C1839" s="9" t="s">
        <v>163</v>
      </c>
      <c r="D1839" s="37" t="s">
        <v>57</v>
      </c>
      <c r="E1839" s="9" t="s">
        <v>556</v>
      </c>
      <c r="F1839" s="15">
        <v>1.0</v>
      </c>
      <c r="G1839" s="37" t="s">
        <v>65</v>
      </c>
      <c r="H1839" s="31" t="e">
        <v>#N/A</v>
      </c>
      <c r="I1839" s="31" t="e">
        <v>#N/A</v>
      </c>
    </row>
    <row r="1840">
      <c r="A1840" s="11">
        <v>46161.51322008102</v>
      </c>
      <c r="B1840" s="9" t="s">
        <v>190</v>
      </c>
      <c r="C1840" s="9" t="s">
        <v>277</v>
      </c>
      <c r="D1840" s="9" t="s">
        <v>19</v>
      </c>
      <c r="E1840" s="9" t="s">
        <v>270</v>
      </c>
      <c r="F1840" s="15">
        <v>1.0</v>
      </c>
      <c r="G1840" s="37" t="s">
        <v>65</v>
      </c>
      <c r="H1840" s="31" t="e">
        <v>#N/A</v>
      </c>
      <c r="I1840" s="31" t="e">
        <v>#N/A</v>
      </c>
    </row>
    <row r="1841">
      <c r="A1841" s="11">
        <v>46161.537338483795</v>
      </c>
      <c r="B1841" s="9" t="s">
        <v>328</v>
      </c>
      <c r="C1841" s="9" t="s">
        <v>264</v>
      </c>
      <c r="D1841" s="37" t="s">
        <v>57</v>
      </c>
      <c r="F1841" s="15">
        <v>1.0</v>
      </c>
      <c r="G1841" s="37" t="s">
        <v>65</v>
      </c>
      <c r="H1841" s="31" t="e">
        <v>#N/A</v>
      </c>
      <c r="I1841" s="31" t="e">
        <v>#N/A</v>
      </c>
    </row>
    <row r="1842">
      <c r="A1842" s="11">
        <v>46161.54478215278</v>
      </c>
      <c r="B1842" s="9" t="s">
        <v>190</v>
      </c>
      <c r="C1842" s="9" t="s">
        <v>359</v>
      </c>
      <c r="D1842" s="9" t="s">
        <v>19</v>
      </c>
      <c r="E1842" s="9" t="s">
        <v>122</v>
      </c>
      <c r="F1842" s="15">
        <v>1.0</v>
      </c>
      <c r="H1842" s="31" t="e">
        <v>#N/A</v>
      </c>
      <c r="I1842" s="31" t="e">
        <v>#N/A</v>
      </c>
    </row>
    <row r="1843">
      <c r="A1843" s="11">
        <v>46161.54825576389</v>
      </c>
      <c r="B1843" s="9" t="s">
        <v>84</v>
      </c>
      <c r="C1843" s="9" t="s">
        <v>166</v>
      </c>
      <c r="D1843" s="37" t="s">
        <v>57</v>
      </c>
      <c r="F1843" s="15">
        <v>1.0</v>
      </c>
      <c r="G1843" s="37" t="s">
        <v>65</v>
      </c>
      <c r="H1843" s="31" t="e">
        <v>#N/A</v>
      </c>
      <c r="I1843" s="31" t="e">
        <v>#N/A</v>
      </c>
    </row>
    <row r="1844">
      <c r="A1844" s="11">
        <v>46161.569425995374</v>
      </c>
      <c r="B1844" s="9" t="s">
        <v>190</v>
      </c>
      <c r="C1844" s="9" t="s">
        <v>332</v>
      </c>
      <c r="D1844" s="9" t="s">
        <v>19</v>
      </c>
      <c r="E1844" s="9" t="s">
        <v>102</v>
      </c>
      <c r="F1844" s="15">
        <v>1.0</v>
      </c>
      <c r="G1844" s="37" t="s">
        <v>65</v>
      </c>
      <c r="H1844" s="31" t="e">
        <v>#N/A</v>
      </c>
      <c r="I1844" s="31" t="e">
        <v>#N/A</v>
      </c>
    </row>
    <row r="1845">
      <c r="A1845" s="11">
        <v>46161.573133819446</v>
      </c>
      <c r="B1845" s="9" t="s">
        <v>238</v>
      </c>
      <c r="C1845" s="9" t="s">
        <v>355</v>
      </c>
      <c r="D1845" s="37" t="s">
        <v>57</v>
      </c>
      <c r="E1845" s="9" t="s">
        <v>505</v>
      </c>
      <c r="F1845" s="15">
        <v>1.0</v>
      </c>
      <c r="H1845" s="31" t="e">
        <v>#N/A</v>
      </c>
      <c r="I1845" s="31" t="e">
        <v>#N/A</v>
      </c>
    </row>
    <row r="1846">
      <c r="A1846" s="11">
        <v>46161.57826847222</v>
      </c>
      <c r="B1846" s="9" t="s">
        <v>277</v>
      </c>
      <c r="C1846" s="9" t="s">
        <v>328</v>
      </c>
      <c r="D1846" s="9" t="s">
        <v>19</v>
      </c>
      <c r="F1846" s="15">
        <v>1.0</v>
      </c>
      <c r="H1846" s="31" t="e">
        <v>#N/A</v>
      </c>
      <c r="I1846" s="31" t="e">
        <v>#N/A</v>
      </c>
    </row>
    <row r="1847">
      <c r="A1847" s="11">
        <v>46161.59116975694</v>
      </c>
      <c r="B1847" s="9" t="s">
        <v>190</v>
      </c>
      <c r="C1847" s="9" t="s">
        <v>186</v>
      </c>
      <c r="D1847" s="9" t="s">
        <v>19</v>
      </c>
      <c r="E1847" s="9" t="s">
        <v>112</v>
      </c>
      <c r="F1847" s="15">
        <v>1.0</v>
      </c>
      <c r="G1847" s="37" t="s">
        <v>65</v>
      </c>
      <c r="H1847" s="31" t="e">
        <v>#N/A</v>
      </c>
      <c r="I1847" s="31" t="e">
        <v>#N/A</v>
      </c>
    </row>
    <row r="1848">
      <c r="A1848" s="11">
        <v>46161.618429560185</v>
      </c>
      <c r="B1848" s="9" t="s">
        <v>261</v>
      </c>
      <c r="C1848" s="9" t="s">
        <v>190</v>
      </c>
      <c r="D1848" s="9" t="s">
        <v>19</v>
      </c>
      <c r="F1848" s="15">
        <v>1.0</v>
      </c>
      <c r="G1848" s="37" t="s">
        <v>65</v>
      </c>
      <c r="H1848" s="31" t="e">
        <v>#N/A</v>
      </c>
      <c r="I1848" s="31" t="e">
        <v>#N/A</v>
      </c>
    </row>
    <row r="1849">
      <c r="A1849" s="11">
        <v>46161.621829641204</v>
      </c>
      <c r="B1849" s="9" t="s">
        <v>84</v>
      </c>
      <c r="C1849" s="9" t="s">
        <v>322</v>
      </c>
      <c r="D1849" s="37" t="s">
        <v>57</v>
      </c>
      <c r="F1849" s="15">
        <v>1.0</v>
      </c>
      <c r="G1849" s="37" t="s">
        <v>65</v>
      </c>
      <c r="H1849" s="31" t="e">
        <v>#N/A</v>
      </c>
      <c r="I1849" s="31" t="e">
        <v>#N/A</v>
      </c>
    </row>
    <row r="1850">
      <c r="A1850" s="11">
        <v>46161.63091678241</v>
      </c>
      <c r="B1850" s="9" t="s">
        <v>356</v>
      </c>
      <c r="C1850" s="9" t="s">
        <v>208</v>
      </c>
      <c r="D1850" s="9" t="s">
        <v>19</v>
      </c>
      <c r="E1850" s="9" t="s">
        <v>272</v>
      </c>
      <c r="F1850" s="15">
        <v>1.0</v>
      </c>
      <c r="G1850" s="37" t="s">
        <v>65</v>
      </c>
      <c r="H1850" s="31" t="e">
        <v>#N/A</v>
      </c>
      <c r="I1850" s="31" t="e">
        <v>#N/A</v>
      </c>
    </row>
    <row r="1851">
      <c r="A1851" s="11">
        <v>46161.65595903935</v>
      </c>
      <c r="B1851" s="9" t="s">
        <v>208</v>
      </c>
      <c r="C1851" s="9" t="s">
        <v>331</v>
      </c>
      <c r="D1851" s="9" t="s">
        <v>19</v>
      </c>
      <c r="F1851" s="15">
        <v>1.0</v>
      </c>
      <c r="G1851" s="37" t="s">
        <v>65</v>
      </c>
      <c r="H1851" s="31" t="e">
        <v>#N/A</v>
      </c>
      <c r="I1851" s="31" t="e">
        <v>#N/A</v>
      </c>
    </row>
    <row r="1852">
      <c r="A1852" s="11">
        <v>46161.65896814815</v>
      </c>
      <c r="B1852" s="9" t="s">
        <v>261</v>
      </c>
      <c r="C1852" s="9" t="s">
        <v>356</v>
      </c>
      <c r="D1852" s="9" t="s">
        <v>19</v>
      </c>
      <c r="F1852" s="15">
        <v>1.0</v>
      </c>
      <c r="G1852" s="37" t="s">
        <v>65</v>
      </c>
      <c r="H1852" s="31" t="e">
        <v>#N/A</v>
      </c>
      <c r="I1852" s="31" t="e">
        <v>#N/A</v>
      </c>
    </row>
    <row r="1853">
      <c r="A1853" s="11">
        <v>46161.68426608796</v>
      </c>
      <c r="B1853" s="9" t="s">
        <v>261</v>
      </c>
      <c r="C1853" s="9" t="s">
        <v>263</v>
      </c>
      <c r="D1853" s="37" t="s">
        <v>57</v>
      </c>
      <c r="F1853" s="15">
        <v>1.0</v>
      </c>
      <c r="G1853" s="37" t="s">
        <v>65</v>
      </c>
      <c r="H1853" s="31" t="e">
        <v>#N/A</v>
      </c>
      <c r="I1853" s="31" t="e">
        <v>#N/A</v>
      </c>
    </row>
    <row r="1854">
      <c r="A1854" s="11">
        <v>46161.690164189815</v>
      </c>
      <c r="B1854" s="9" t="s">
        <v>163</v>
      </c>
      <c r="C1854" s="9" t="s">
        <v>267</v>
      </c>
      <c r="D1854" s="37" t="s">
        <v>57</v>
      </c>
      <c r="E1854" s="9" t="s">
        <v>140</v>
      </c>
      <c r="F1854" s="15">
        <v>1.0</v>
      </c>
      <c r="G1854" s="37" t="s">
        <v>65</v>
      </c>
      <c r="H1854" s="31" t="e">
        <v>#N/A</v>
      </c>
      <c r="I1854" s="31" t="e">
        <v>#N/A</v>
      </c>
    </row>
    <row r="1855">
      <c r="A1855" s="11">
        <v>46161.70015256944</v>
      </c>
      <c r="B1855" s="9" t="s">
        <v>164</v>
      </c>
      <c r="C1855" s="9" t="s">
        <v>163</v>
      </c>
      <c r="D1855" s="9" t="s">
        <v>19</v>
      </c>
      <c r="F1855" s="15">
        <v>1.0</v>
      </c>
      <c r="G1855" s="37" t="s">
        <v>65</v>
      </c>
      <c r="H1855" s="31" t="e">
        <v>#N/A</v>
      </c>
      <c r="I1855" s="31" t="e">
        <v>#N/A</v>
      </c>
    </row>
    <row r="1856">
      <c r="A1856" s="11">
        <v>46161.717964062496</v>
      </c>
      <c r="B1856" s="9" t="s">
        <v>269</v>
      </c>
      <c r="C1856" s="9" t="s">
        <v>261</v>
      </c>
      <c r="D1856" s="9" t="s">
        <v>19</v>
      </c>
      <c r="F1856" s="15">
        <v>1.0</v>
      </c>
      <c r="G1856" s="37" t="s">
        <v>65</v>
      </c>
      <c r="H1856" s="31" t="e">
        <v>#N/A</v>
      </c>
      <c r="I1856" s="31" t="e">
        <v>#N/A</v>
      </c>
    </row>
    <row r="1857">
      <c r="A1857" s="11">
        <v>46161.720828969905</v>
      </c>
      <c r="B1857" s="9" t="s">
        <v>164</v>
      </c>
      <c r="C1857" s="9" t="s">
        <v>258</v>
      </c>
      <c r="D1857" s="9" t="s">
        <v>19</v>
      </c>
      <c r="F1857" s="15">
        <v>1.0</v>
      </c>
      <c r="G1857" s="37" t="s">
        <v>65</v>
      </c>
      <c r="H1857" s="31" t="e">
        <v>#N/A</v>
      </c>
      <c r="I1857" s="31" t="e">
        <v>#N/A</v>
      </c>
    </row>
    <row r="1858">
      <c r="A1858" s="11">
        <v>46161.7213890162</v>
      </c>
      <c r="B1858" s="9" t="s">
        <v>263</v>
      </c>
      <c r="C1858" s="9" t="s">
        <v>226</v>
      </c>
      <c r="D1858" s="37" t="s">
        <v>57</v>
      </c>
      <c r="E1858" s="9" t="s">
        <v>557</v>
      </c>
      <c r="F1858" s="15">
        <v>1.0</v>
      </c>
      <c r="G1858" s="37" t="s">
        <v>65</v>
      </c>
      <c r="H1858" s="31" t="e">
        <v>#N/A</v>
      </c>
      <c r="I1858" s="31" t="e">
        <v>#N/A</v>
      </c>
    </row>
    <row r="1859">
      <c r="A1859" s="11">
        <v>46161.724704548615</v>
      </c>
      <c r="B1859" s="9" t="s">
        <v>267</v>
      </c>
      <c r="C1859" s="9" t="s">
        <v>167</v>
      </c>
      <c r="D1859" s="37" t="s">
        <v>57</v>
      </c>
      <c r="E1859" s="9" t="s">
        <v>122</v>
      </c>
      <c r="F1859" s="15">
        <v>1.0</v>
      </c>
      <c r="G1859" s="37" t="s">
        <v>65</v>
      </c>
      <c r="H1859" s="31" t="e">
        <v>#N/A</v>
      </c>
      <c r="I1859" s="31" t="e">
        <v>#N/A</v>
      </c>
    </row>
    <row r="1860">
      <c r="A1860" s="11">
        <v>46161.729820277775</v>
      </c>
      <c r="B1860" s="9" t="s">
        <v>336</v>
      </c>
      <c r="C1860" s="9" t="s">
        <v>92</v>
      </c>
      <c r="D1860" s="37" t="s">
        <v>57</v>
      </c>
      <c r="E1860" s="9" t="s">
        <v>140</v>
      </c>
      <c r="F1860" s="15">
        <v>1.0</v>
      </c>
      <c r="G1860" s="37" t="s">
        <v>65</v>
      </c>
      <c r="H1860" s="31" t="e">
        <v>#N/A</v>
      </c>
      <c r="I1860" s="31" t="e">
        <v>#N/A</v>
      </c>
    </row>
    <row r="1861">
      <c r="A1861" s="11">
        <v>46161.74341190972</v>
      </c>
      <c r="B1861" s="9" t="s">
        <v>218</v>
      </c>
      <c r="C1861" s="9" t="s">
        <v>267</v>
      </c>
      <c r="D1861" s="37" t="s">
        <v>57</v>
      </c>
      <c r="F1861" s="15">
        <v>1.0</v>
      </c>
      <c r="G1861" s="37" t="s">
        <v>65</v>
      </c>
      <c r="H1861" s="31" t="e">
        <v>#N/A</v>
      </c>
      <c r="I1861" s="31" t="e">
        <v>#N/A</v>
      </c>
    </row>
    <row r="1862">
      <c r="A1862" s="11">
        <v>46161.76686027778</v>
      </c>
      <c r="B1862" s="9" t="s">
        <v>269</v>
      </c>
      <c r="C1862" s="9" t="s">
        <v>173</v>
      </c>
      <c r="D1862" s="9" t="s">
        <v>19</v>
      </c>
      <c r="F1862" s="15">
        <v>1.0</v>
      </c>
      <c r="H1862" s="31" t="e">
        <v>#N/A</v>
      </c>
      <c r="I1862" s="31" t="e">
        <v>#N/A</v>
      </c>
    </row>
    <row r="1863">
      <c r="A1863" s="11">
        <v>46161.78399214121</v>
      </c>
      <c r="B1863" s="9" t="s">
        <v>269</v>
      </c>
      <c r="C1863" s="9" t="s">
        <v>267</v>
      </c>
      <c r="D1863" s="37" t="s">
        <v>57</v>
      </c>
      <c r="F1863" s="15">
        <v>1.0</v>
      </c>
      <c r="G1863" s="37" t="s">
        <v>65</v>
      </c>
      <c r="H1863" s="31" t="e">
        <v>#N/A</v>
      </c>
      <c r="I1863" s="31" t="e">
        <v>#N/A</v>
      </c>
    </row>
    <row r="1864">
      <c r="A1864" s="11">
        <v>46161.81046417824</v>
      </c>
      <c r="B1864" s="9" t="s">
        <v>89</v>
      </c>
      <c r="C1864" s="9" t="s">
        <v>266</v>
      </c>
      <c r="D1864" s="37" t="s">
        <v>57</v>
      </c>
      <c r="F1864" s="15">
        <v>1.0</v>
      </c>
      <c r="G1864" s="37" t="s">
        <v>65</v>
      </c>
      <c r="H1864" s="31" t="e">
        <v>#N/A</v>
      </c>
      <c r="I1864" s="31" t="e">
        <v>#N/A</v>
      </c>
    </row>
    <row r="1865">
      <c r="A1865" s="11">
        <v>46161.84996057871</v>
      </c>
      <c r="B1865" s="9" t="s">
        <v>89</v>
      </c>
      <c r="C1865" s="9" t="s">
        <v>304</v>
      </c>
      <c r="D1865" s="37" t="s">
        <v>57</v>
      </c>
      <c r="E1865" s="9" t="s">
        <v>140</v>
      </c>
      <c r="F1865" s="15">
        <v>1.0</v>
      </c>
      <c r="G1865" s="37" t="s">
        <v>65</v>
      </c>
      <c r="H1865" s="31" t="e">
        <v>#N/A</v>
      </c>
      <c r="I1865" s="31" t="e">
        <v>#N/A</v>
      </c>
    </row>
    <row r="1866">
      <c r="A1866" s="11">
        <v>46161.85116604167</v>
      </c>
      <c r="B1866" s="9" t="s">
        <v>349</v>
      </c>
      <c r="C1866" s="9" t="s">
        <v>143</v>
      </c>
      <c r="D1866" s="9" t="s">
        <v>19</v>
      </c>
      <c r="F1866" s="15">
        <v>1.0</v>
      </c>
      <c r="G1866" s="37" t="s">
        <v>65</v>
      </c>
      <c r="H1866" s="31" t="e">
        <v>#N/A</v>
      </c>
      <c r="I1866" s="31" t="e">
        <v>#N/A</v>
      </c>
    </row>
    <row r="1867">
      <c r="A1867" s="11">
        <v>46161.86326798611</v>
      </c>
      <c r="B1867" s="9" t="s">
        <v>342</v>
      </c>
      <c r="C1867" s="9" t="s">
        <v>71</v>
      </c>
      <c r="D1867" s="37" t="s">
        <v>57</v>
      </c>
      <c r="F1867" s="15">
        <v>1.0</v>
      </c>
      <c r="G1867" s="37" t="s">
        <v>65</v>
      </c>
      <c r="H1867" s="31" t="e">
        <v>#N/A</v>
      </c>
      <c r="I1867" s="31" t="e">
        <v>#N/A</v>
      </c>
    </row>
    <row r="1868">
      <c r="A1868" s="11">
        <v>46161.86921052083</v>
      </c>
      <c r="B1868" s="9" t="s">
        <v>298</v>
      </c>
      <c r="C1868" s="9" t="s">
        <v>300</v>
      </c>
      <c r="D1868" s="37" t="s">
        <v>57</v>
      </c>
      <c r="F1868" s="15">
        <v>1.0</v>
      </c>
      <c r="G1868" s="37" t="s">
        <v>65</v>
      </c>
      <c r="H1868" s="31" t="e">
        <v>#N/A</v>
      </c>
      <c r="I1868" s="31" t="e">
        <v>#N/A</v>
      </c>
    </row>
    <row r="1869">
      <c r="A1869" s="11">
        <v>46161.8791012963</v>
      </c>
      <c r="B1869" s="9" t="s">
        <v>342</v>
      </c>
      <c r="C1869" s="9" t="s">
        <v>89</v>
      </c>
      <c r="D1869" s="9" t="s">
        <v>19</v>
      </c>
      <c r="F1869" s="15">
        <v>1.0</v>
      </c>
      <c r="G1869" s="37" t="s">
        <v>65</v>
      </c>
      <c r="H1869" s="31" t="e">
        <v>#N/A</v>
      </c>
      <c r="I1869" s="31" t="e">
        <v>#N/A</v>
      </c>
    </row>
    <row r="1870">
      <c r="A1870" s="11">
        <v>46161.894895034726</v>
      </c>
      <c r="B1870" s="9" t="s">
        <v>346</v>
      </c>
      <c r="C1870" s="9" t="s">
        <v>315</v>
      </c>
      <c r="D1870" s="9" t="s">
        <v>19</v>
      </c>
      <c r="E1870" s="9" t="s">
        <v>270</v>
      </c>
      <c r="F1870" s="15">
        <v>1.0</v>
      </c>
      <c r="G1870" s="37" t="s">
        <v>65</v>
      </c>
      <c r="H1870" s="31" t="e">
        <v>#N/A</v>
      </c>
      <c r="I1870" s="31" t="e">
        <v>#N/A</v>
      </c>
    </row>
    <row r="1871">
      <c r="A1871" s="11">
        <v>46161.91125292824</v>
      </c>
      <c r="B1871" s="9" t="s">
        <v>298</v>
      </c>
      <c r="C1871" s="9" t="s">
        <v>271</v>
      </c>
      <c r="D1871" s="37" t="s">
        <v>57</v>
      </c>
      <c r="F1871" s="15">
        <v>1.0</v>
      </c>
      <c r="G1871" s="37" t="s">
        <v>65</v>
      </c>
      <c r="H1871" s="31" t="e">
        <v>#N/A</v>
      </c>
      <c r="I1871" s="31" t="e">
        <v>#N/A</v>
      </c>
    </row>
    <row r="1872">
      <c r="A1872" s="11">
        <v>46161.91234159722</v>
      </c>
      <c r="B1872" s="9" t="s">
        <v>299</v>
      </c>
      <c r="C1872" s="9" t="s">
        <v>266</v>
      </c>
      <c r="D1872" s="37" t="s">
        <v>57</v>
      </c>
      <c r="F1872" s="15">
        <v>1.0</v>
      </c>
      <c r="G1872" s="37" t="s">
        <v>65</v>
      </c>
      <c r="H1872" s="31" t="e">
        <v>#N/A</v>
      </c>
      <c r="I1872" s="31" t="e">
        <v>#N/A</v>
      </c>
    </row>
    <row r="1873">
      <c r="A1873" s="11">
        <v>46161.913757511575</v>
      </c>
      <c r="B1873" s="9" t="s">
        <v>286</v>
      </c>
      <c r="C1873" s="9" t="s">
        <v>315</v>
      </c>
      <c r="D1873" s="9" t="s">
        <v>19</v>
      </c>
      <c r="F1873" s="15">
        <v>1.0</v>
      </c>
      <c r="G1873" s="37" t="s">
        <v>65</v>
      </c>
      <c r="H1873" s="31" t="e">
        <v>#N/A</v>
      </c>
      <c r="I1873" s="31" t="e">
        <v>#N/A</v>
      </c>
    </row>
    <row r="1874">
      <c r="A1874" s="11">
        <v>46161.939450185186</v>
      </c>
      <c r="B1874" s="9" t="s">
        <v>238</v>
      </c>
      <c r="C1874" s="9" t="s">
        <v>315</v>
      </c>
      <c r="D1874" s="37" t="s">
        <v>57</v>
      </c>
      <c r="E1874" s="9" t="s">
        <v>558</v>
      </c>
      <c r="F1874" s="15">
        <v>1.0</v>
      </c>
      <c r="G1874" s="37" t="s">
        <v>65</v>
      </c>
      <c r="H1874" s="31" t="e">
        <v>#N/A</v>
      </c>
      <c r="I1874" s="31" t="e">
        <v>#N/A</v>
      </c>
    </row>
    <row r="1875">
      <c r="A1875" s="11">
        <v>46161.94256409722</v>
      </c>
      <c r="B1875" s="9" t="s">
        <v>346</v>
      </c>
      <c r="C1875" s="9" t="s">
        <v>402</v>
      </c>
      <c r="D1875" s="37" t="s">
        <v>57</v>
      </c>
      <c r="E1875" s="9" t="s">
        <v>270</v>
      </c>
      <c r="F1875" s="15">
        <v>1.0</v>
      </c>
      <c r="H1875" s="31" t="e">
        <v>#N/A</v>
      </c>
      <c r="I1875" s="31" t="e">
        <v>#N/A</v>
      </c>
    </row>
    <row r="1876">
      <c r="A1876" s="11">
        <v>46161.9450340162</v>
      </c>
      <c r="B1876" s="9" t="s">
        <v>266</v>
      </c>
      <c r="C1876" s="9" t="s">
        <v>301</v>
      </c>
      <c r="D1876" s="37" t="s">
        <v>57</v>
      </c>
      <c r="F1876" s="15">
        <v>1.0</v>
      </c>
      <c r="G1876" s="37" t="s">
        <v>65</v>
      </c>
      <c r="H1876" s="31" t="e">
        <v>#N/A</v>
      </c>
      <c r="I1876" s="31" t="e">
        <v>#N/A</v>
      </c>
    </row>
    <row r="1877">
      <c r="A1877" s="11">
        <v>46161.97540060185</v>
      </c>
      <c r="B1877" s="9" t="s">
        <v>280</v>
      </c>
      <c r="C1877" s="9" t="s">
        <v>139</v>
      </c>
      <c r="D1877" s="9" t="s">
        <v>19</v>
      </c>
      <c r="E1877" s="9" t="s">
        <v>176</v>
      </c>
      <c r="F1877" s="15">
        <v>1.0</v>
      </c>
      <c r="G1877" s="37" t="s">
        <v>65</v>
      </c>
      <c r="H1877" s="31" t="e">
        <v>#N/A</v>
      </c>
      <c r="I1877" s="31" t="e">
        <v>#N/A</v>
      </c>
    </row>
    <row r="1878">
      <c r="A1878" s="11">
        <v>46161.992047465275</v>
      </c>
      <c r="B1878" s="9" t="s">
        <v>128</v>
      </c>
      <c r="C1878" s="9" t="s">
        <v>233</v>
      </c>
      <c r="D1878" s="37" t="s">
        <v>57</v>
      </c>
      <c r="F1878" s="15">
        <v>1.0</v>
      </c>
      <c r="G1878" s="37" t="s">
        <v>65</v>
      </c>
      <c r="H1878" s="31" t="e">
        <v>#N/A</v>
      </c>
      <c r="I1878" s="31" t="e">
        <v>#N/A</v>
      </c>
    </row>
    <row r="1879">
      <c r="A1879" s="11">
        <v>46162.022358807866</v>
      </c>
      <c r="B1879" s="9" t="s">
        <v>233</v>
      </c>
      <c r="C1879" s="9" t="s">
        <v>393</v>
      </c>
      <c r="D1879" s="37" t="s">
        <v>57</v>
      </c>
      <c r="E1879" s="9" t="s">
        <v>559</v>
      </c>
      <c r="F1879" s="15">
        <v>1.0</v>
      </c>
      <c r="G1879" s="37" t="s">
        <v>65</v>
      </c>
      <c r="H1879" s="31" t="e">
        <v>#N/A</v>
      </c>
      <c r="I1879" s="31" t="e">
        <v>#N/A</v>
      </c>
    </row>
    <row r="1880">
      <c r="A1880" s="11">
        <v>46162.04726840278</v>
      </c>
      <c r="B1880" s="9" t="s">
        <v>233</v>
      </c>
      <c r="C1880" s="9" t="s">
        <v>269</v>
      </c>
      <c r="D1880" s="37" t="s">
        <v>57</v>
      </c>
      <c r="F1880" s="15">
        <v>1.0</v>
      </c>
      <c r="G1880" s="37" t="s">
        <v>65</v>
      </c>
      <c r="H1880" s="31" t="e">
        <v>#N/A</v>
      </c>
      <c r="I1880" s="31" t="e">
        <v>#N/A</v>
      </c>
    </row>
    <row r="1881">
      <c r="A1881" s="11">
        <v>46162.51922623842</v>
      </c>
      <c r="B1881" s="9" t="s">
        <v>277</v>
      </c>
      <c r="C1881" s="9" t="s">
        <v>191</v>
      </c>
      <c r="D1881" s="9" t="s">
        <v>19</v>
      </c>
      <c r="F1881" s="15">
        <v>1.0</v>
      </c>
      <c r="H1881" s="31" t="e">
        <v>#N/A</v>
      </c>
      <c r="I1881" s="31" t="e">
        <v>#N/A</v>
      </c>
    </row>
    <row r="1882">
      <c r="A1882" s="11">
        <v>46162.52847424769</v>
      </c>
      <c r="B1882" s="9" t="s">
        <v>189</v>
      </c>
      <c r="C1882" s="9" t="s">
        <v>387</v>
      </c>
      <c r="D1882" s="37" t="s">
        <v>57</v>
      </c>
      <c r="E1882" s="9" t="s">
        <v>122</v>
      </c>
      <c r="F1882" s="15">
        <v>1.0</v>
      </c>
      <c r="G1882" s="37" t="s">
        <v>65</v>
      </c>
      <c r="H1882" s="31" t="e">
        <v>#N/A</v>
      </c>
      <c r="I1882" s="31" t="e">
        <v>#N/A</v>
      </c>
    </row>
    <row r="1883">
      <c r="A1883" s="11">
        <v>46162.54468366898</v>
      </c>
      <c r="B1883" s="9" t="s">
        <v>256</v>
      </c>
      <c r="C1883" s="9" t="s">
        <v>189</v>
      </c>
      <c r="D1883" s="37" t="s">
        <v>57</v>
      </c>
      <c r="F1883" s="15">
        <v>1.0</v>
      </c>
      <c r="G1883" s="37" t="s">
        <v>65</v>
      </c>
      <c r="H1883" s="31" t="e">
        <v>#N/A</v>
      </c>
      <c r="I1883" s="31" t="e">
        <v>#N/A</v>
      </c>
    </row>
    <row r="1884">
      <c r="A1884" s="11">
        <v>46162.547838287035</v>
      </c>
      <c r="B1884" s="9" t="s">
        <v>190</v>
      </c>
      <c r="C1884" s="9" t="s">
        <v>95</v>
      </c>
      <c r="D1884" s="37" t="s">
        <v>57</v>
      </c>
      <c r="E1884" s="9" t="s">
        <v>112</v>
      </c>
      <c r="F1884" s="15">
        <v>1.0</v>
      </c>
      <c r="G1884" s="37" t="s">
        <v>65</v>
      </c>
      <c r="H1884" s="31" t="e">
        <v>#N/A</v>
      </c>
      <c r="I1884" s="31" t="e">
        <v>#N/A</v>
      </c>
    </row>
    <row r="1885">
      <c r="A1885" s="11">
        <v>46162.55551571759</v>
      </c>
      <c r="B1885" s="9" t="s">
        <v>256</v>
      </c>
      <c r="C1885" s="9" t="s">
        <v>164</v>
      </c>
      <c r="D1885" s="37" t="s">
        <v>57</v>
      </c>
      <c r="F1885" s="15">
        <v>1.0</v>
      </c>
      <c r="G1885" s="37" t="s">
        <v>65</v>
      </c>
      <c r="H1885" s="31" t="e">
        <v>#N/A</v>
      </c>
      <c r="I1885" s="31" t="e">
        <v>#N/A</v>
      </c>
    </row>
    <row r="1886">
      <c r="A1886" s="11">
        <v>46162.56214347223</v>
      </c>
      <c r="B1886" s="9" t="s">
        <v>231</v>
      </c>
      <c r="C1886" s="9" t="s">
        <v>387</v>
      </c>
      <c r="D1886" s="37" t="s">
        <v>57</v>
      </c>
      <c r="F1886" s="15">
        <v>1.0</v>
      </c>
      <c r="G1886" s="37" t="s">
        <v>65</v>
      </c>
      <c r="H1886" s="31" t="e">
        <v>#N/A</v>
      </c>
      <c r="I1886" s="31" t="e">
        <v>#N/A</v>
      </c>
    </row>
    <row r="1887">
      <c r="A1887" s="11">
        <v>46162.58061527778</v>
      </c>
      <c r="B1887" s="9" t="s">
        <v>164</v>
      </c>
      <c r="C1887" s="9" t="s">
        <v>320</v>
      </c>
      <c r="D1887" s="9" t="s">
        <v>19</v>
      </c>
      <c r="F1887" s="15">
        <v>1.0</v>
      </c>
      <c r="G1887" s="37" t="s">
        <v>65</v>
      </c>
      <c r="H1887" s="31" t="e">
        <v>#N/A</v>
      </c>
      <c r="I1887" s="31" t="e">
        <v>#N/A</v>
      </c>
    </row>
    <row r="1888">
      <c r="A1888" s="11">
        <v>46162.6303109375</v>
      </c>
      <c r="B1888" s="9" t="s">
        <v>95</v>
      </c>
      <c r="C1888" s="9" t="s">
        <v>152</v>
      </c>
      <c r="D1888" s="37" t="s">
        <v>57</v>
      </c>
      <c r="E1888" s="9" t="s">
        <v>560</v>
      </c>
      <c r="F1888" s="15">
        <v>1.0</v>
      </c>
      <c r="H1888" s="31" t="e">
        <v>#N/A</v>
      </c>
      <c r="I1888" s="31" t="e">
        <v>#N/A</v>
      </c>
    </row>
    <row r="1889">
      <c r="A1889" s="11">
        <v>46162.65231377315</v>
      </c>
      <c r="B1889" s="9" t="s">
        <v>373</v>
      </c>
      <c r="C1889" s="9" t="s">
        <v>261</v>
      </c>
      <c r="D1889" s="37" t="s">
        <v>57</v>
      </c>
      <c r="F1889" s="15">
        <v>1.0</v>
      </c>
      <c r="G1889" s="37" t="s">
        <v>65</v>
      </c>
      <c r="H1889" s="31" t="e">
        <v>#N/A</v>
      </c>
      <c r="I1889" s="31" t="e">
        <v>#N/A</v>
      </c>
    </row>
    <row r="1890">
      <c r="A1890" s="11">
        <v>46162.677932060185</v>
      </c>
      <c r="B1890" s="9" t="s">
        <v>208</v>
      </c>
      <c r="C1890" s="9" t="s">
        <v>373</v>
      </c>
      <c r="D1890" s="37" t="s">
        <v>57</v>
      </c>
      <c r="F1890" s="15">
        <v>1.0</v>
      </c>
      <c r="G1890" s="37" t="s">
        <v>65</v>
      </c>
      <c r="H1890" s="31" t="e">
        <v>#N/A</v>
      </c>
      <c r="I1890" s="31" t="e">
        <v>#N/A</v>
      </c>
    </row>
    <row r="1891">
      <c r="A1891" s="11">
        <v>46162.681601550925</v>
      </c>
      <c r="B1891" s="9" t="s">
        <v>277</v>
      </c>
      <c r="C1891" s="9" t="s">
        <v>336</v>
      </c>
      <c r="D1891" s="37" t="s">
        <v>57</v>
      </c>
      <c r="F1891" s="15">
        <v>1.0</v>
      </c>
      <c r="G1891" s="37" t="s">
        <v>65</v>
      </c>
      <c r="H1891" s="31" t="e">
        <v>#N/A</v>
      </c>
      <c r="I1891" s="31" t="e">
        <v>#N/A</v>
      </c>
    </row>
    <row r="1892">
      <c r="A1892" s="11">
        <v>46162.68199509259</v>
      </c>
      <c r="B1892" s="9" t="s">
        <v>84</v>
      </c>
      <c r="C1892" s="9" t="s">
        <v>269</v>
      </c>
      <c r="D1892" s="9" t="s">
        <v>19</v>
      </c>
      <c r="F1892" s="15">
        <v>1.0</v>
      </c>
      <c r="G1892" s="37" t="s">
        <v>65</v>
      </c>
      <c r="H1892" s="31" t="e">
        <v>#N/A</v>
      </c>
      <c r="I1892" s="31" t="e">
        <v>#N/A</v>
      </c>
    </row>
    <row r="1893">
      <c r="A1893" s="11">
        <v>46162.74493538194</v>
      </c>
      <c r="B1893" s="9" t="s">
        <v>258</v>
      </c>
      <c r="C1893" s="9" t="s">
        <v>115</v>
      </c>
      <c r="D1893" s="37" t="s">
        <v>57</v>
      </c>
      <c r="F1893" s="15">
        <v>1.0</v>
      </c>
      <c r="G1893" s="37" t="s">
        <v>65</v>
      </c>
      <c r="H1893" s="31" t="e">
        <v>#N/A</v>
      </c>
      <c r="I1893" s="31" t="e">
        <v>#N/A</v>
      </c>
    </row>
    <row r="1894">
      <c r="A1894" s="11">
        <v>46162.769009270836</v>
      </c>
      <c r="B1894" s="9" t="s">
        <v>266</v>
      </c>
      <c r="C1894" s="9" t="s">
        <v>298</v>
      </c>
      <c r="D1894" s="37" t="s">
        <v>57</v>
      </c>
      <c r="F1894" s="15">
        <v>1.0</v>
      </c>
      <c r="G1894" s="37" t="s">
        <v>65</v>
      </c>
      <c r="H1894" s="31" t="e">
        <v>#N/A</v>
      </c>
      <c r="I1894" s="31" t="e">
        <v>#N/A</v>
      </c>
    </row>
    <row r="1895">
      <c r="A1895" s="11">
        <v>46162.77035853009</v>
      </c>
      <c r="B1895" s="9" t="s">
        <v>92</v>
      </c>
      <c r="C1895" s="9" t="s">
        <v>388</v>
      </c>
      <c r="D1895" s="37" t="s">
        <v>57</v>
      </c>
      <c r="F1895" s="15">
        <v>1.0</v>
      </c>
      <c r="G1895" s="37" t="s">
        <v>65</v>
      </c>
      <c r="H1895" s="31" t="e">
        <v>#N/A</v>
      </c>
      <c r="I1895" s="31" t="e">
        <v>#N/A</v>
      </c>
    </row>
    <row r="1896">
      <c r="A1896" s="11">
        <v>46162.77894857639</v>
      </c>
      <c r="B1896" s="9" t="s">
        <v>92</v>
      </c>
      <c r="C1896" s="9" t="s">
        <v>224</v>
      </c>
      <c r="D1896" s="9" t="s">
        <v>19</v>
      </c>
      <c r="F1896" s="15">
        <v>1.0</v>
      </c>
      <c r="H1896" s="31" t="e">
        <v>#N/A</v>
      </c>
      <c r="I1896" s="31" t="e">
        <v>#N/A</v>
      </c>
    </row>
    <row r="1897">
      <c r="A1897" s="11">
        <v>46162.791887141204</v>
      </c>
      <c r="B1897" s="9" t="s">
        <v>298</v>
      </c>
      <c r="C1897" s="9" t="s">
        <v>388</v>
      </c>
      <c r="D1897" s="9" t="s">
        <v>19</v>
      </c>
      <c r="F1897" s="15">
        <v>1.0</v>
      </c>
      <c r="G1897" s="37" t="s">
        <v>65</v>
      </c>
      <c r="H1897" s="31" t="e">
        <v>#N/A</v>
      </c>
      <c r="I1897" s="31" t="e">
        <v>#N/A</v>
      </c>
    </row>
    <row r="1898">
      <c r="A1898" s="11">
        <v>46162.79439984953</v>
      </c>
      <c r="B1898" s="9" t="s">
        <v>167</v>
      </c>
      <c r="C1898" s="9" t="s">
        <v>107</v>
      </c>
      <c r="D1898" s="9" t="s">
        <v>19</v>
      </c>
      <c r="E1898" s="9" t="s">
        <v>122</v>
      </c>
      <c r="F1898" s="15">
        <v>1.0</v>
      </c>
      <c r="G1898" s="37" t="s">
        <v>65</v>
      </c>
      <c r="H1898" s="31" t="e">
        <v>#N/A</v>
      </c>
      <c r="I1898" s="31" t="e">
        <v>#N/A</v>
      </c>
    </row>
    <row r="1899">
      <c r="A1899" s="11">
        <v>46162.80454880787</v>
      </c>
      <c r="B1899" s="9" t="s">
        <v>238</v>
      </c>
      <c r="C1899" s="9" t="s">
        <v>297</v>
      </c>
      <c r="D1899" s="37" t="s">
        <v>57</v>
      </c>
      <c r="E1899" s="9" t="s">
        <v>505</v>
      </c>
      <c r="F1899" s="15">
        <v>1.0</v>
      </c>
      <c r="G1899" s="37" t="s">
        <v>65</v>
      </c>
      <c r="H1899" s="31" t="e">
        <v>#N/A</v>
      </c>
      <c r="I1899" s="31" t="e">
        <v>#N/A</v>
      </c>
    </row>
    <row r="1900">
      <c r="A1900" s="11">
        <v>46162.82562002315</v>
      </c>
      <c r="B1900" s="9" t="s">
        <v>271</v>
      </c>
      <c r="C1900" s="9" t="s">
        <v>161</v>
      </c>
      <c r="D1900" s="9" t="s">
        <v>19</v>
      </c>
      <c r="E1900" s="9" t="s">
        <v>140</v>
      </c>
      <c r="F1900" s="15">
        <v>1.0</v>
      </c>
      <c r="G1900" s="37" t="s">
        <v>65</v>
      </c>
      <c r="H1900" s="31" t="e">
        <v>#N/A</v>
      </c>
      <c r="I1900" s="31" t="e">
        <v>#N/A</v>
      </c>
    </row>
    <row r="1901">
      <c r="A1901" s="11">
        <v>46162.838793020834</v>
      </c>
      <c r="B1901" s="9" t="s">
        <v>259</v>
      </c>
      <c r="C1901" s="9" t="s">
        <v>103</v>
      </c>
      <c r="D1901" s="37" t="s">
        <v>57</v>
      </c>
      <c r="E1901" s="9" t="s">
        <v>561</v>
      </c>
      <c r="F1901" s="15">
        <v>1.0</v>
      </c>
      <c r="G1901" s="37" t="s">
        <v>65</v>
      </c>
      <c r="H1901" s="31" t="e">
        <v>#N/A</v>
      </c>
      <c r="I1901" s="31" t="e">
        <v>#N/A</v>
      </c>
    </row>
    <row r="1902">
      <c r="A1902" s="11">
        <v>46162.83969043981</v>
      </c>
      <c r="B1902" s="9" t="s">
        <v>167</v>
      </c>
      <c r="C1902" s="9" t="s">
        <v>298</v>
      </c>
      <c r="D1902" s="9" t="s">
        <v>19</v>
      </c>
      <c r="E1902" s="9" t="s">
        <v>122</v>
      </c>
      <c r="F1902" s="15">
        <v>1.0</v>
      </c>
      <c r="G1902" s="37" t="s">
        <v>65</v>
      </c>
      <c r="H1902" s="31" t="e">
        <v>#N/A</v>
      </c>
      <c r="I1902" s="31" t="e">
        <v>#N/A</v>
      </c>
    </row>
    <row r="1903">
      <c r="A1903" s="11">
        <v>46162.84317559028</v>
      </c>
      <c r="B1903" s="9" t="s">
        <v>301</v>
      </c>
      <c r="C1903" s="9" t="s">
        <v>297</v>
      </c>
      <c r="D1903" s="37" t="s">
        <v>57</v>
      </c>
      <c r="F1903" s="15">
        <v>1.0</v>
      </c>
      <c r="G1903" s="37" t="s">
        <v>65</v>
      </c>
      <c r="H1903" s="31" t="e">
        <v>#N/A</v>
      </c>
      <c r="I1903" s="31" t="e">
        <v>#N/A</v>
      </c>
    </row>
    <row r="1904">
      <c r="A1904" s="11">
        <v>46162.84326289352</v>
      </c>
      <c r="B1904" s="9" t="s">
        <v>345</v>
      </c>
      <c r="C1904" s="9" t="s">
        <v>304</v>
      </c>
      <c r="D1904" s="37" t="s">
        <v>57</v>
      </c>
      <c r="E1904" s="9" t="s">
        <v>112</v>
      </c>
      <c r="F1904" s="15">
        <v>1.0</v>
      </c>
      <c r="H1904" s="31" t="e">
        <v>#N/A</v>
      </c>
      <c r="I1904" s="31" t="e">
        <v>#N/A</v>
      </c>
    </row>
    <row r="1905">
      <c r="A1905" s="11">
        <v>46162.84405678241</v>
      </c>
      <c r="B1905" s="9" t="s">
        <v>388</v>
      </c>
      <c r="C1905" s="9" t="s">
        <v>186</v>
      </c>
      <c r="D1905" s="37" t="s">
        <v>57</v>
      </c>
      <c r="F1905" s="15">
        <v>1.0</v>
      </c>
      <c r="H1905" s="31" t="e">
        <v>#N/A</v>
      </c>
      <c r="I1905" s="31" t="e">
        <v>#N/A</v>
      </c>
    </row>
    <row r="1906">
      <c r="A1906" s="11">
        <v>46162.859530625</v>
      </c>
      <c r="B1906" s="9" t="s">
        <v>345</v>
      </c>
      <c r="C1906" s="9" t="s">
        <v>271</v>
      </c>
      <c r="D1906" s="9" t="s">
        <v>19</v>
      </c>
      <c r="E1906" s="9" t="s">
        <v>112</v>
      </c>
      <c r="F1906" s="15">
        <v>1.0</v>
      </c>
      <c r="G1906" s="37" t="s">
        <v>65</v>
      </c>
      <c r="H1906" s="31" t="e">
        <v>#N/A</v>
      </c>
      <c r="I1906" s="31" t="e">
        <v>#N/A</v>
      </c>
    </row>
    <row r="1907">
      <c r="A1907" s="11">
        <v>46162.86260663194</v>
      </c>
      <c r="B1907" s="9" t="s">
        <v>301</v>
      </c>
      <c r="C1907" s="9" t="s">
        <v>103</v>
      </c>
      <c r="D1907" s="9" t="s">
        <v>19</v>
      </c>
      <c r="F1907" s="15">
        <v>1.0</v>
      </c>
      <c r="G1907" s="37" t="s">
        <v>65</v>
      </c>
      <c r="H1907" s="31" t="e">
        <v>#N/A</v>
      </c>
      <c r="I1907" s="31" t="e">
        <v>#N/A</v>
      </c>
    </row>
    <row r="1908">
      <c r="A1908" s="11">
        <v>46162.86792329861</v>
      </c>
      <c r="B1908" s="9" t="s">
        <v>345</v>
      </c>
      <c r="C1908" s="9" t="s">
        <v>389</v>
      </c>
      <c r="D1908" s="9" t="s">
        <v>19</v>
      </c>
      <c r="E1908" s="9" t="s">
        <v>112</v>
      </c>
      <c r="F1908" s="15">
        <v>1.0</v>
      </c>
      <c r="G1908" s="37" t="s">
        <v>65</v>
      </c>
      <c r="H1908" s="31" t="e">
        <v>#N/A</v>
      </c>
      <c r="I1908" s="31" t="e">
        <v>#N/A</v>
      </c>
    </row>
    <row r="1909">
      <c r="A1909" s="11">
        <v>46162.87705739583</v>
      </c>
      <c r="B1909" s="9" t="s">
        <v>389</v>
      </c>
      <c r="C1909" s="9" t="s">
        <v>103</v>
      </c>
      <c r="D1909" s="9" t="s">
        <v>19</v>
      </c>
      <c r="F1909" s="15">
        <v>1.0</v>
      </c>
      <c r="G1909" s="37" t="s">
        <v>65</v>
      </c>
      <c r="H1909" s="31" t="e">
        <v>#N/A</v>
      </c>
      <c r="I1909" s="31" t="e">
        <v>#N/A</v>
      </c>
    </row>
    <row r="1910">
      <c r="A1910" s="11">
        <v>46162.87861526621</v>
      </c>
      <c r="B1910" s="9" t="s">
        <v>301</v>
      </c>
      <c r="C1910" s="9" t="s">
        <v>279</v>
      </c>
      <c r="D1910" s="9" t="s">
        <v>19</v>
      </c>
      <c r="F1910" s="15">
        <v>1.0</v>
      </c>
      <c r="G1910" s="37" t="s">
        <v>65</v>
      </c>
      <c r="H1910" s="31" t="e">
        <v>#N/A</v>
      </c>
      <c r="I1910" s="31" t="e">
        <v>#N/A</v>
      </c>
    </row>
    <row r="1911">
      <c r="A1911" s="11">
        <v>46162.88500730324</v>
      </c>
      <c r="B1911" s="9" t="s">
        <v>345</v>
      </c>
      <c r="C1911" s="9" t="s">
        <v>266</v>
      </c>
      <c r="D1911" s="37" t="s">
        <v>57</v>
      </c>
      <c r="E1911" s="9" t="s">
        <v>112</v>
      </c>
      <c r="F1911" s="15">
        <v>1.0</v>
      </c>
      <c r="H1911" s="31" t="e">
        <v>#N/A</v>
      </c>
      <c r="I1911" s="31" t="e">
        <v>#N/A</v>
      </c>
    </row>
    <row r="1912">
      <c r="A1912" s="11">
        <v>46162.89810827546</v>
      </c>
      <c r="B1912" s="9" t="s">
        <v>389</v>
      </c>
      <c r="C1912" s="9" t="s">
        <v>301</v>
      </c>
      <c r="D1912" s="9" t="s">
        <v>19</v>
      </c>
      <c r="F1912" s="15">
        <v>1.0</v>
      </c>
      <c r="H1912" s="31" t="e">
        <v>#N/A</v>
      </c>
      <c r="I1912" s="31" t="e">
        <v>#N/A</v>
      </c>
    </row>
    <row r="1913">
      <c r="A1913" s="11">
        <v>46162.89892797454</v>
      </c>
      <c r="B1913" s="9" t="s">
        <v>297</v>
      </c>
      <c r="C1913" s="9" t="s">
        <v>345</v>
      </c>
      <c r="D1913" s="9" t="s">
        <v>19</v>
      </c>
      <c r="F1913" s="15">
        <v>1.0</v>
      </c>
      <c r="G1913" s="37" t="s">
        <v>65</v>
      </c>
      <c r="H1913" s="31" t="e">
        <v>#N/A</v>
      </c>
      <c r="I1913" s="31" t="e">
        <v>#N/A</v>
      </c>
    </row>
    <row r="1914">
      <c r="A1914" s="11">
        <v>46162.90533459491</v>
      </c>
      <c r="B1914" s="9" t="s">
        <v>279</v>
      </c>
      <c r="C1914" s="9" t="s">
        <v>161</v>
      </c>
      <c r="D1914" s="9" t="s">
        <v>19</v>
      </c>
      <c r="F1914" s="15">
        <v>1.0</v>
      </c>
      <c r="H1914" s="31" t="e">
        <v>#N/A</v>
      </c>
      <c r="I1914" s="31" t="e">
        <v>#N/A</v>
      </c>
    </row>
    <row r="1915">
      <c r="A1915" s="11">
        <v>46162.906410104166</v>
      </c>
      <c r="B1915" s="9" t="s">
        <v>109</v>
      </c>
      <c r="C1915" s="9" t="s">
        <v>356</v>
      </c>
      <c r="D1915" s="9" t="s">
        <v>19</v>
      </c>
      <c r="E1915" s="9" t="s">
        <v>140</v>
      </c>
      <c r="F1915" s="15">
        <v>1.0</v>
      </c>
      <c r="G1915" s="37" t="s">
        <v>65</v>
      </c>
      <c r="H1915" s="31" t="e">
        <v>#N/A</v>
      </c>
      <c r="I1915" s="31" t="e">
        <v>#N/A</v>
      </c>
    </row>
    <row r="1916">
      <c r="A1916" s="11">
        <v>46162.9113384838</v>
      </c>
      <c r="B1916" s="9" t="s">
        <v>346</v>
      </c>
      <c r="C1916" s="9" t="s">
        <v>103</v>
      </c>
      <c r="D1916" s="37" t="s">
        <v>57</v>
      </c>
      <c r="E1916" s="9" t="s">
        <v>270</v>
      </c>
      <c r="F1916" s="15">
        <v>1.0</v>
      </c>
      <c r="G1916" s="37" t="s">
        <v>65</v>
      </c>
      <c r="H1916" s="31" t="e">
        <v>#N/A</v>
      </c>
      <c r="I1916" s="31" t="e">
        <v>#N/A</v>
      </c>
    </row>
    <row r="1917">
      <c r="A1917" s="11">
        <v>46162.91708061342</v>
      </c>
      <c r="B1917" s="9" t="s">
        <v>259</v>
      </c>
      <c r="C1917" s="9" t="s">
        <v>297</v>
      </c>
      <c r="D1917" s="37" t="s">
        <v>57</v>
      </c>
      <c r="F1917" s="15">
        <v>1.0</v>
      </c>
      <c r="G1917" s="37" t="s">
        <v>65</v>
      </c>
      <c r="H1917" s="31" t="e">
        <v>#N/A</v>
      </c>
      <c r="I1917" s="31" t="e">
        <v>#N/A</v>
      </c>
    </row>
    <row r="1918">
      <c r="A1918" s="11">
        <v>46162.92614188658</v>
      </c>
      <c r="B1918" s="9" t="s">
        <v>306</v>
      </c>
      <c r="C1918" s="9" t="s">
        <v>393</v>
      </c>
      <c r="D1918" s="9" t="s">
        <v>19</v>
      </c>
      <c r="F1918" s="15">
        <v>1.0</v>
      </c>
      <c r="G1918" s="37" t="s">
        <v>65</v>
      </c>
      <c r="H1918" s="31" t="e">
        <v>#N/A</v>
      </c>
      <c r="I1918" s="31" t="e">
        <v>#N/A</v>
      </c>
    </row>
    <row r="1919">
      <c r="A1919" s="11">
        <v>46162.93474881945</v>
      </c>
      <c r="B1919" s="9" t="s">
        <v>259</v>
      </c>
      <c r="C1919" s="9" t="s">
        <v>356</v>
      </c>
      <c r="D1919" s="9" t="s">
        <v>19</v>
      </c>
      <c r="E1919" s="9" t="s">
        <v>255</v>
      </c>
      <c r="F1919" s="15">
        <v>1.0</v>
      </c>
      <c r="G1919" s="37" t="s">
        <v>65</v>
      </c>
      <c r="H1919" s="31" t="e">
        <v>#N/A</v>
      </c>
      <c r="I1919" s="31" t="e">
        <v>#N/A</v>
      </c>
    </row>
    <row r="1920">
      <c r="A1920" s="11">
        <v>46162.93541519676</v>
      </c>
      <c r="B1920" s="9" t="s">
        <v>376</v>
      </c>
      <c r="C1920" s="9" t="s">
        <v>346</v>
      </c>
      <c r="D1920" s="9" t="s">
        <v>19</v>
      </c>
      <c r="F1920" s="15">
        <v>1.0</v>
      </c>
      <c r="G1920" s="37" t="s">
        <v>65</v>
      </c>
      <c r="H1920" s="31" t="e">
        <v>#N/A</v>
      </c>
      <c r="I1920" s="31" t="e">
        <v>#N/A</v>
      </c>
    </row>
    <row r="1921">
      <c r="A1921" s="11">
        <v>46162.94070934028</v>
      </c>
      <c r="B1921" s="9" t="s">
        <v>277</v>
      </c>
      <c r="C1921" s="9" t="s">
        <v>184</v>
      </c>
      <c r="D1921" s="9" t="s">
        <v>19</v>
      </c>
      <c r="F1921" s="15">
        <v>1.0</v>
      </c>
      <c r="G1921" s="37" t="s">
        <v>65</v>
      </c>
      <c r="H1921" s="31" t="e">
        <v>#N/A</v>
      </c>
      <c r="I1921" s="31" t="e">
        <v>#N/A</v>
      </c>
    </row>
    <row r="1922">
      <c r="A1922" s="11">
        <v>46162.94161064815</v>
      </c>
      <c r="B1922" s="9" t="s">
        <v>345</v>
      </c>
      <c r="C1922" s="9" t="s">
        <v>267</v>
      </c>
      <c r="D1922" s="9" t="s">
        <v>19</v>
      </c>
      <c r="E1922" s="9" t="s">
        <v>112</v>
      </c>
      <c r="F1922" s="15">
        <v>1.0</v>
      </c>
      <c r="G1922" s="37" t="s">
        <v>65</v>
      </c>
      <c r="H1922" s="31" t="e">
        <v>#N/A</v>
      </c>
      <c r="I1922" s="31" t="e">
        <v>#N/A</v>
      </c>
    </row>
    <row r="1923">
      <c r="A1923" s="11">
        <v>46162.95040450231</v>
      </c>
      <c r="B1923" s="9" t="s">
        <v>306</v>
      </c>
      <c r="C1923" s="9" t="s">
        <v>280</v>
      </c>
      <c r="D1923" s="9" t="s">
        <v>19</v>
      </c>
      <c r="E1923" s="9" t="s">
        <v>122</v>
      </c>
      <c r="F1923" s="15">
        <v>1.0</v>
      </c>
      <c r="G1923" s="37" t="s">
        <v>65</v>
      </c>
      <c r="H1923" s="31" t="e">
        <v>#N/A</v>
      </c>
      <c r="I1923" s="31" t="e">
        <v>#N/A</v>
      </c>
    </row>
    <row r="1924">
      <c r="A1924" s="11">
        <v>46162.95257836806</v>
      </c>
      <c r="B1924" s="9" t="s">
        <v>393</v>
      </c>
      <c r="C1924" s="9" t="s">
        <v>389</v>
      </c>
      <c r="D1924" s="9" t="s">
        <v>19</v>
      </c>
      <c r="E1924" s="9" t="s">
        <v>140</v>
      </c>
      <c r="F1924" s="15">
        <v>1.0</v>
      </c>
      <c r="G1924" s="37" t="s">
        <v>65</v>
      </c>
      <c r="H1924" s="31" t="e">
        <v>#N/A</v>
      </c>
      <c r="I1924" s="31" t="e">
        <v>#N/A</v>
      </c>
    </row>
    <row r="1925">
      <c r="A1925" s="11">
        <v>46162.95381678241</v>
      </c>
      <c r="B1925" s="9" t="s">
        <v>227</v>
      </c>
      <c r="C1925" s="9" t="s">
        <v>376</v>
      </c>
      <c r="D1925" s="9" t="s">
        <v>19</v>
      </c>
      <c r="F1925" s="15">
        <v>1.0</v>
      </c>
      <c r="G1925" s="37" t="s">
        <v>65</v>
      </c>
      <c r="H1925" s="31" t="e">
        <v>#N/A</v>
      </c>
      <c r="I1925" s="31" t="e">
        <v>#N/A</v>
      </c>
    </row>
    <row r="1926">
      <c r="A1926" s="11">
        <v>46162.95965795139</v>
      </c>
      <c r="B1926" s="9" t="s">
        <v>316</v>
      </c>
      <c r="C1926" s="9" t="s">
        <v>131</v>
      </c>
      <c r="D1926" s="37" t="s">
        <v>57</v>
      </c>
      <c r="E1926" s="9" t="s">
        <v>321</v>
      </c>
      <c r="F1926" s="15">
        <v>1.0</v>
      </c>
      <c r="G1926" s="37" t="s">
        <v>65</v>
      </c>
      <c r="H1926" s="31" t="e">
        <v>#N/A</v>
      </c>
      <c r="I1926" s="31" t="e">
        <v>#N/A</v>
      </c>
    </row>
    <row r="1927">
      <c r="A1927" s="11">
        <v>46162.96565300926</v>
      </c>
      <c r="B1927" s="9" t="s">
        <v>227</v>
      </c>
      <c r="C1927" s="9" t="s">
        <v>280</v>
      </c>
      <c r="D1927" s="9" t="s">
        <v>19</v>
      </c>
      <c r="F1927" s="15">
        <v>1.0</v>
      </c>
      <c r="H1927" s="31" t="e">
        <v>#N/A</v>
      </c>
      <c r="I1927" s="31" t="e">
        <v>#N/A</v>
      </c>
    </row>
    <row r="1928">
      <c r="A1928" s="11">
        <v>46162.968197118054</v>
      </c>
      <c r="B1928" s="9" t="s">
        <v>184</v>
      </c>
      <c r="C1928" s="9" t="s">
        <v>306</v>
      </c>
      <c r="D1928" s="37" t="s">
        <v>57</v>
      </c>
      <c r="F1928" s="15">
        <v>1.0</v>
      </c>
      <c r="G1928" s="37" t="s">
        <v>65</v>
      </c>
      <c r="H1928" s="31" t="e">
        <v>#N/A</v>
      </c>
      <c r="I1928" s="31" t="e">
        <v>#N/A</v>
      </c>
    </row>
    <row r="1929">
      <c r="A1929" s="11">
        <v>46162.97195693287</v>
      </c>
      <c r="B1929" s="9" t="s">
        <v>389</v>
      </c>
      <c r="C1929" s="9" t="s">
        <v>316</v>
      </c>
      <c r="D1929" s="9" t="s">
        <v>19</v>
      </c>
      <c r="F1929" s="15">
        <v>1.0</v>
      </c>
      <c r="G1929" s="37" t="s">
        <v>65</v>
      </c>
      <c r="H1929" s="31" t="e">
        <v>#N/A</v>
      </c>
      <c r="I1929" s="31" t="e">
        <v>#N/A</v>
      </c>
    </row>
    <row r="1930">
      <c r="A1930" s="11">
        <v>46162.97750818287</v>
      </c>
      <c r="B1930" s="9" t="s">
        <v>131</v>
      </c>
      <c r="C1930" s="9" t="s">
        <v>169</v>
      </c>
      <c r="D1930" s="37" t="s">
        <v>57</v>
      </c>
      <c r="F1930" s="15">
        <v>1.0</v>
      </c>
      <c r="G1930" s="37" t="s">
        <v>65</v>
      </c>
      <c r="H1930" s="31" t="e">
        <v>#N/A</v>
      </c>
      <c r="I1930" s="31" t="e">
        <v>#N/A</v>
      </c>
    </row>
    <row r="1931">
      <c r="A1931" s="11">
        <v>46162.982997997686</v>
      </c>
      <c r="B1931" s="9" t="s">
        <v>227</v>
      </c>
      <c r="C1931" s="9" t="s">
        <v>279</v>
      </c>
      <c r="D1931" s="9" t="s">
        <v>19</v>
      </c>
      <c r="F1931" s="15">
        <v>1.0</v>
      </c>
      <c r="G1931" s="37" t="s">
        <v>65</v>
      </c>
      <c r="H1931" s="31" t="e">
        <v>#N/A</v>
      </c>
      <c r="I1931" s="31" t="e">
        <v>#N/A</v>
      </c>
    </row>
    <row r="1932">
      <c r="A1932" s="11">
        <v>46162.98820922454</v>
      </c>
      <c r="B1932" s="9" t="s">
        <v>267</v>
      </c>
      <c r="C1932" s="9" t="s">
        <v>158</v>
      </c>
      <c r="D1932" s="37" t="s">
        <v>57</v>
      </c>
      <c r="E1932" s="9" t="s">
        <v>122</v>
      </c>
      <c r="F1932" s="15">
        <v>1.0</v>
      </c>
      <c r="H1932" s="31" t="e">
        <v>#N/A</v>
      </c>
      <c r="I1932" s="31" t="e">
        <v>#N/A</v>
      </c>
    </row>
    <row r="1933">
      <c r="A1933" s="11">
        <v>46162.99326537037</v>
      </c>
      <c r="B1933" s="9" t="s">
        <v>316</v>
      </c>
      <c r="C1933" s="9" t="s">
        <v>308</v>
      </c>
      <c r="D1933" s="9" t="s">
        <v>19</v>
      </c>
      <c r="E1933" s="9" t="s">
        <v>140</v>
      </c>
      <c r="F1933" s="15">
        <v>1.0</v>
      </c>
      <c r="H1933" s="31" t="e">
        <v>#N/A</v>
      </c>
      <c r="I1933" s="31" t="e">
        <v>#N/A</v>
      </c>
    </row>
    <row r="1934">
      <c r="A1934" s="11">
        <v>46163.0044665625</v>
      </c>
      <c r="B1934" s="9" t="s">
        <v>343</v>
      </c>
      <c r="C1934" s="9" t="s">
        <v>316</v>
      </c>
      <c r="D1934" s="9" t="s">
        <v>19</v>
      </c>
      <c r="F1934" s="15">
        <v>1.0</v>
      </c>
      <c r="H1934" s="31" t="e">
        <v>#N/A</v>
      </c>
      <c r="I1934" s="31" t="e">
        <v>#N/A</v>
      </c>
    </row>
    <row r="1935">
      <c r="A1935" s="11">
        <v>46163.01325238426</v>
      </c>
      <c r="B1935" s="9" t="s">
        <v>227</v>
      </c>
      <c r="C1935" s="9" t="s">
        <v>169</v>
      </c>
      <c r="D1935" s="37" t="s">
        <v>57</v>
      </c>
      <c r="F1935" s="15">
        <v>1.0</v>
      </c>
      <c r="G1935" s="37" t="s">
        <v>65</v>
      </c>
      <c r="H1935" s="31" t="e">
        <v>#N/A</v>
      </c>
      <c r="I1935" s="31" t="e">
        <v>#N/A</v>
      </c>
    </row>
    <row r="1936">
      <c r="A1936" s="11">
        <v>46163.02780090278</v>
      </c>
      <c r="B1936" s="9" t="s">
        <v>233</v>
      </c>
      <c r="C1936" s="9" t="s">
        <v>227</v>
      </c>
      <c r="D1936" s="37" t="s">
        <v>57</v>
      </c>
      <c r="F1936" s="15">
        <v>1.0</v>
      </c>
      <c r="G1936" s="37" t="s">
        <v>65</v>
      </c>
      <c r="H1936" s="31" t="e">
        <v>#N/A</v>
      </c>
      <c r="I1936" s="31" t="e">
        <v>#N/A</v>
      </c>
    </row>
    <row r="1937">
      <c r="A1937" s="11">
        <v>46163.0494243287</v>
      </c>
      <c r="B1937" s="9" t="s">
        <v>290</v>
      </c>
      <c r="C1937" s="9" t="s">
        <v>393</v>
      </c>
      <c r="D1937" s="9" t="s">
        <v>19</v>
      </c>
      <c r="F1937" s="15">
        <v>1.0</v>
      </c>
      <c r="G1937" s="37" t="s">
        <v>65</v>
      </c>
      <c r="H1937" s="31" t="e">
        <v>#N/A</v>
      </c>
      <c r="I1937" s="31" t="e">
        <v>#N/A</v>
      </c>
    </row>
    <row r="1938">
      <c r="A1938" s="11">
        <v>46163.05026209491</v>
      </c>
      <c r="B1938" s="9" t="s">
        <v>414</v>
      </c>
      <c r="C1938" s="9" t="s">
        <v>128</v>
      </c>
      <c r="D1938" s="37" t="s">
        <v>57</v>
      </c>
      <c r="E1938" s="9" t="s">
        <v>562</v>
      </c>
      <c r="F1938" s="15">
        <v>1.0</v>
      </c>
      <c r="G1938" s="37" t="s">
        <v>65</v>
      </c>
      <c r="H1938" s="31" t="e">
        <v>#N/A</v>
      </c>
      <c r="I1938" s="31" t="e">
        <v>#N/A</v>
      </c>
    </row>
    <row r="1939">
      <c r="A1939" s="11">
        <v>46163.05779211805</v>
      </c>
      <c r="B1939" s="9" t="s">
        <v>200</v>
      </c>
      <c r="C1939" s="9" t="s">
        <v>373</v>
      </c>
      <c r="D1939" s="37" t="s">
        <v>57</v>
      </c>
      <c r="E1939" s="9" t="s">
        <v>462</v>
      </c>
      <c r="F1939" s="15">
        <v>1.0</v>
      </c>
      <c r="G1939" s="37" t="s">
        <v>65</v>
      </c>
      <c r="H1939" s="31" t="e">
        <v>#N/A</v>
      </c>
      <c r="I1939" s="31" t="e">
        <v>#N/A</v>
      </c>
    </row>
    <row r="1940">
      <c r="A1940" s="11">
        <v>46163.08495418981</v>
      </c>
      <c r="B1940" s="9" t="s">
        <v>393</v>
      </c>
      <c r="C1940" s="9" t="s">
        <v>200</v>
      </c>
      <c r="D1940" s="37" t="s">
        <v>57</v>
      </c>
      <c r="E1940" s="9" t="s">
        <v>391</v>
      </c>
      <c r="F1940" s="15">
        <v>1.0</v>
      </c>
      <c r="G1940" s="37" t="s">
        <v>65</v>
      </c>
      <c r="H1940" s="31" t="e">
        <v>#N/A</v>
      </c>
      <c r="I1940" s="31" t="e">
        <v>#N/A</v>
      </c>
    </row>
    <row r="1941">
      <c r="A1941" s="11">
        <v>46163.37369637731</v>
      </c>
      <c r="B1941" s="9" t="s">
        <v>258</v>
      </c>
      <c r="C1941" s="9" t="s">
        <v>202</v>
      </c>
      <c r="D1941" s="9" t="s">
        <v>19</v>
      </c>
      <c r="F1941" s="15">
        <v>1.0</v>
      </c>
      <c r="G1941" s="37" t="s">
        <v>65</v>
      </c>
      <c r="H1941" s="31" t="e">
        <v>#N/A</v>
      </c>
      <c r="I1941" s="31" t="e">
        <v>#N/A</v>
      </c>
    </row>
    <row r="1942">
      <c r="A1942" s="11">
        <v>46163.38904201389</v>
      </c>
      <c r="B1942" s="9" t="s">
        <v>167</v>
      </c>
      <c r="C1942" s="9" t="s">
        <v>202</v>
      </c>
      <c r="D1942" s="9" t="s">
        <v>19</v>
      </c>
      <c r="E1942" s="9" t="s">
        <v>122</v>
      </c>
      <c r="F1942" s="15">
        <v>1.0</v>
      </c>
      <c r="G1942" s="37" t="s">
        <v>65</v>
      </c>
      <c r="H1942" s="31" t="e">
        <v>#N/A</v>
      </c>
      <c r="I1942" s="31" t="e">
        <v>#N/A</v>
      </c>
    </row>
    <row r="1943">
      <c r="A1943" s="11">
        <v>46163.41265392361</v>
      </c>
      <c r="B1943" s="9" t="s">
        <v>287</v>
      </c>
      <c r="C1943" s="9" t="s">
        <v>202</v>
      </c>
      <c r="D1943" s="37" t="s">
        <v>57</v>
      </c>
      <c r="E1943" s="9" t="s">
        <v>140</v>
      </c>
      <c r="F1943" s="15">
        <v>1.0</v>
      </c>
      <c r="G1943" s="37" t="s">
        <v>65</v>
      </c>
      <c r="H1943" s="31" t="e">
        <v>#N/A</v>
      </c>
      <c r="I1943" s="31" t="e">
        <v>#N/A</v>
      </c>
    </row>
    <row r="1944">
      <c r="A1944" s="11">
        <v>46163.45448476852</v>
      </c>
      <c r="B1944" s="9" t="s">
        <v>208</v>
      </c>
      <c r="C1944" s="9" t="s">
        <v>302</v>
      </c>
      <c r="D1944" s="9" t="s">
        <v>19</v>
      </c>
      <c r="F1944" s="15">
        <v>1.0</v>
      </c>
      <c r="G1944" s="37" t="s">
        <v>65</v>
      </c>
      <c r="H1944" s="31" t="e">
        <v>#N/A</v>
      </c>
      <c r="I1944" s="31" t="e">
        <v>#N/A</v>
      </c>
    </row>
    <row r="1945">
      <c r="A1945" s="11">
        <v>46163.484452881945</v>
      </c>
      <c r="B1945" s="9" t="s">
        <v>95</v>
      </c>
      <c r="C1945" s="9" t="s">
        <v>337</v>
      </c>
      <c r="D1945" s="37" t="s">
        <v>57</v>
      </c>
      <c r="F1945" s="15">
        <v>1.0</v>
      </c>
      <c r="G1945" s="37" t="s">
        <v>65</v>
      </c>
      <c r="H1945" s="31" t="e">
        <v>#N/A</v>
      </c>
      <c r="I1945" s="31" t="e">
        <v>#N/A</v>
      </c>
    </row>
    <row r="1946">
      <c r="A1946" s="11">
        <v>46163.48498982639</v>
      </c>
      <c r="B1946" s="9" t="s">
        <v>208</v>
      </c>
      <c r="C1946" s="9" t="s">
        <v>254</v>
      </c>
      <c r="D1946" s="37" t="s">
        <v>57</v>
      </c>
      <c r="F1946" s="15">
        <v>1.0</v>
      </c>
      <c r="G1946" s="37" t="s">
        <v>65</v>
      </c>
      <c r="H1946" s="31" t="e">
        <v>#N/A</v>
      </c>
      <c r="I1946" s="31" t="e">
        <v>#N/A</v>
      </c>
    </row>
    <row r="1947">
      <c r="A1947" s="11">
        <v>46163.51521915509</v>
      </c>
      <c r="B1947" s="9" t="s">
        <v>62</v>
      </c>
      <c r="C1947" s="9" t="s">
        <v>100</v>
      </c>
      <c r="D1947" s="37" t="s">
        <v>57</v>
      </c>
      <c r="E1947" s="9" t="s">
        <v>112</v>
      </c>
      <c r="F1947" s="15">
        <v>1.0</v>
      </c>
      <c r="H1947" s="31" t="e">
        <v>#N/A</v>
      </c>
      <c r="I1947" s="31" t="e">
        <v>#N/A</v>
      </c>
    </row>
    <row r="1948">
      <c r="A1948" s="11">
        <v>46163.53120990741</v>
      </c>
      <c r="B1948" s="9" t="s">
        <v>226</v>
      </c>
      <c r="C1948" s="9" t="s">
        <v>64</v>
      </c>
      <c r="D1948" s="9" t="s">
        <v>19</v>
      </c>
      <c r="E1948" s="9" t="s">
        <v>112</v>
      </c>
      <c r="F1948" s="15">
        <v>1.0</v>
      </c>
      <c r="G1948" s="37" t="s">
        <v>65</v>
      </c>
      <c r="H1948" s="31" t="e">
        <v>#N/A</v>
      </c>
      <c r="I1948" s="31" t="e">
        <v>#N/A</v>
      </c>
    </row>
    <row r="1949">
      <c r="A1949" s="11">
        <v>46163.536752500004</v>
      </c>
      <c r="B1949" s="9" t="s">
        <v>62</v>
      </c>
      <c r="C1949" s="9" t="s">
        <v>258</v>
      </c>
      <c r="D1949" s="37" t="s">
        <v>57</v>
      </c>
      <c r="E1949" s="9" t="s">
        <v>112</v>
      </c>
      <c r="F1949" s="15">
        <v>1.0</v>
      </c>
      <c r="G1949" s="37" t="s">
        <v>65</v>
      </c>
      <c r="H1949" s="31" t="e">
        <v>#N/A</v>
      </c>
      <c r="I1949" s="31" t="e">
        <v>#N/A</v>
      </c>
    </row>
    <row r="1950">
      <c r="A1950" s="11">
        <v>46163.563964444445</v>
      </c>
      <c r="B1950" s="9" t="s">
        <v>83</v>
      </c>
      <c r="C1950" s="9" t="s">
        <v>55</v>
      </c>
      <c r="D1950" s="37" t="s">
        <v>57</v>
      </c>
      <c r="E1950" s="9" t="s">
        <v>122</v>
      </c>
      <c r="F1950" s="15">
        <v>1.0</v>
      </c>
      <c r="H1950" s="31" t="e">
        <v>#N/A</v>
      </c>
      <c r="I1950" s="31" t="e">
        <v>#N/A</v>
      </c>
    </row>
    <row r="1951">
      <c r="A1951" s="11">
        <v>46163.56633173611</v>
      </c>
      <c r="B1951" s="9" t="s">
        <v>84</v>
      </c>
      <c r="C1951" s="9" t="s">
        <v>169</v>
      </c>
      <c r="D1951" s="37" t="s">
        <v>57</v>
      </c>
      <c r="F1951" s="15">
        <v>1.0</v>
      </c>
      <c r="H1951" s="31" t="e">
        <v>#N/A</v>
      </c>
      <c r="I1951" s="31" t="e">
        <v>#N/A</v>
      </c>
    </row>
    <row r="1952">
      <c r="A1952" s="11">
        <v>46163.57310761574</v>
      </c>
      <c r="B1952" s="9" t="s">
        <v>233</v>
      </c>
      <c r="C1952" s="9" t="s">
        <v>139</v>
      </c>
      <c r="D1952" s="37" t="s">
        <v>57</v>
      </c>
      <c r="F1952" s="15">
        <v>1.0</v>
      </c>
      <c r="G1952" s="37" t="s">
        <v>65</v>
      </c>
      <c r="H1952" s="31" t="e">
        <v>#N/A</v>
      </c>
      <c r="I1952" s="31" t="e">
        <v>#N/A</v>
      </c>
    </row>
    <row r="1953">
      <c r="A1953" s="11">
        <v>46163.63155199074</v>
      </c>
      <c r="B1953" s="9" t="s">
        <v>139</v>
      </c>
      <c r="C1953" s="9" t="s">
        <v>401</v>
      </c>
      <c r="D1953" s="9" t="s">
        <v>19</v>
      </c>
      <c r="E1953" s="9" t="s">
        <v>140</v>
      </c>
      <c r="F1953" s="15">
        <v>1.0</v>
      </c>
      <c r="G1953" s="37" t="s">
        <v>65</v>
      </c>
      <c r="H1953" s="31" t="e">
        <v>#N/A</v>
      </c>
      <c r="I1953" s="31" t="e">
        <v>#N/A</v>
      </c>
    </row>
    <row r="1954">
      <c r="A1954" s="11">
        <v>46163.64266597222</v>
      </c>
      <c r="B1954" s="9" t="s">
        <v>331</v>
      </c>
      <c r="C1954" s="9" t="s">
        <v>401</v>
      </c>
      <c r="D1954" s="9" t="s">
        <v>19</v>
      </c>
      <c r="F1954" s="15">
        <v>1.0</v>
      </c>
      <c r="H1954" s="31" t="e">
        <v>#N/A</v>
      </c>
      <c r="I1954" s="31" t="e">
        <v>#N/A</v>
      </c>
    </row>
    <row r="1955">
      <c r="A1955" s="11">
        <v>46163.702786319445</v>
      </c>
      <c r="B1955" s="9" t="s">
        <v>299</v>
      </c>
      <c r="C1955" s="9" t="s">
        <v>368</v>
      </c>
      <c r="D1955" s="37" t="s">
        <v>57</v>
      </c>
      <c r="F1955" s="15">
        <v>1.0</v>
      </c>
      <c r="G1955" s="37" t="s">
        <v>65</v>
      </c>
      <c r="H1955" s="31" t="e">
        <v>#N/A</v>
      </c>
      <c r="I1955" s="31" t="e">
        <v>#N/A</v>
      </c>
    </row>
    <row r="1956">
      <c r="A1956" s="11">
        <v>46163.729025567125</v>
      </c>
      <c r="B1956" s="9" t="s">
        <v>139</v>
      </c>
      <c r="C1956" s="9" t="s">
        <v>104</v>
      </c>
      <c r="D1956" s="9" t="s">
        <v>19</v>
      </c>
      <c r="E1956" s="9" t="s">
        <v>563</v>
      </c>
      <c r="F1956" s="15">
        <v>1.0</v>
      </c>
      <c r="G1956" s="37" t="s">
        <v>65</v>
      </c>
      <c r="H1956" s="31" t="e">
        <v>#N/A</v>
      </c>
      <c r="I1956" s="31" t="e">
        <v>#N/A</v>
      </c>
    </row>
    <row r="1957">
      <c r="A1957" s="11">
        <v>46163.73335944445</v>
      </c>
      <c r="B1957" s="9" t="s">
        <v>83</v>
      </c>
      <c r="C1957" s="9" t="s">
        <v>379</v>
      </c>
      <c r="D1957" s="37" t="s">
        <v>57</v>
      </c>
      <c r="E1957" s="9" t="s">
        <v>122</v>
      </c>
      <c r="F1957" s="15">
        <v>1.0</v>
      </c>
      <c r="G1957" s="37" t="s">
        <v>65</v>
      </c>
      <c r="H1957" s="31" t="e">
        <v>#N/A</v>
      </c>
      <c r="I1957" s="31" t="e">
        <v>#N/A</v>
      </c>
    </row>
    <row r="1958">
      <c r="A1958" s="11">
        <v>46163.75478878472</v>
      </c>
      <c r="B1958" s="9" t="s">
        <v>104</v>
      </c>
      <c r="C1958" s="9" t="s">
        <v>279</v>
      </c>
      <c r="D1958" s="37" t="s">
        <v>57</v>
      </c>
      <c r="E1958" s="9" t="s">
        <v>270</v>
      </c>
      <c r="F1958" s="15">
        <v>1.0</v>
      </c>
      <c r="H1958" s="31" t="e">
        <v>#N/A</v>
      </c>
      <c r="I1958" s="31" t="e">
        <v>#N/A</v>
      </c>
    </row>
    <row r="1959">
      <c r="A1959" s="11">
        <v>46163.77057792824</v>
      </c>
      <c r="B1959" s="9" t="s">
        <v>109</v>
      </c>
      <c r="C1959" s="9" t="s">
        <v>104</v>
      </c>
      <c r="D1959" s="9" t="s">
        <v>19</v>
      </c>
      <c r="E1959" s="9" t="s">
        <v>140</v>
      </c>
      <c r="F1959" s="15">
        <v>1.0</v>
      </c>
      <c r="G1959" s="37" t="s">
        <v>65</v>
      </c>
      <c r="H1959" s="31" t="e">
        <v>#N/A</v>
      </c>
      <c r="I1959" s="31" t="e">
        <v>#N/A</v>
      </c>
    </row>
    <row r="1960">
      <c r="A1960" s="11">
        <v>46163.78733869213</v>
      </c>
      <c r="B1960" s="9" t="s">
        <v>333</v>
      </c>
      <c r="C1960" s="9" t="s">
        <v>109</v>
      </c>
      <c r="D1960" s="37" t="s">
        <v>57</v>
      </c>
      <c r="F1960" s="15">
        <v>1.0</v>
      </c>
      <c r="G1960" s="37" t="s">
        <v>65</v>
      </c>
      <c r="H1960" s="31" t="e">
        <v>#N/A</v>
      </c>
      <c r="I1960" s="31" t="e">
        <v>#N/A</v>
      </c>
    </row>
    <row r="1961">
      <c r="A1961" s="11">
        <v>46163.80022833333</v>
      </c>
      <c r="B1961" s="9" t="s">
        <v>333</v>
      </c>
      <c r="C1961" s="9" t="s">
        <v>139</v>
      </c>
      <c r="D1961" s="9" t="s">
        <v>19</v>
      </c>
      <c r="F1961" s="15">
        <v>1.0</v>
      </c>
      <c r="G1961" s="37" t="s">
        <v>65</v>
      </c>
      <c r="H1961" s="31" t="e">
        <v>#N/A</v>
      </c>
      <c r="I1961" s="31" t="e">
        <v>#N/A</v>
      </c>
    </row>
    <row r="1962">
      <c r="A1962" s="11">
        <v>46163.81342665509</v>
      </c>
      <c r="B1962" s="9" t="s">
        <v>333</v>
      </c>
      <c r="C1962" s="9" t="s">
        <v>104</v>
      </c>
      <c r="D1962" s="37" t="s">
        <v>57</v>
      </c>
      <c r="F1962" s="15">
        <v>1.0</v>
      </c>
      <c r="G1962" s="37" t="s">
        <v>65</v>
      </c>
      <c r="H1962" s="31" t="e">
        <v>#N/A</v>
      </c>
      <c r="I1962" s="31" t="e">
        <v>#N/A</v>
      </c>
    </row>
    <row r="1963">
      <c r="A1963" s="11">
        <v>46163.81591923611</v>
      </c>
      <c r="B1963" s="9" t="s">
        <v>131</v>
      </c>
      <c r="C1963" s="9" t="s">
        <v>83</v>
      </c>
      <c r="D1963" s="9" t="s">
        <v>19</v>
      </c>
      <c r="F1963" s="15">
        <v>1.0</v>
      </c>
      <c r="G1963" s="37" t="s">
        <v>65</v>
      </c>
      <c r="H1963" s="31" t="e">
        <v>#N/A</v>
      </c>
      <c r="I1963" s="31" t="e">
        <v>#N/A</v>
      </c>
    </row>
    <row r="1964">
      <c r="A1964" s="11">
        <v>46163.818856377315</v>
      </c>
      <c r="B1964" s="9" t="s">
        <v>421</v>
      </c>
      <c r="C1964" s="9" t="s">
        <v>331</v>
      </c>
      <c r="D1964" s="37" t="s">
        <v>57</v>
      </c>
      <c r="F1964" s="15">
        <v>1.0</v>
      </c>
      <c r="G1964" s="37" t="s">
        <v>65</v>
      </c>
      <c r="H1964" s="31" t="e">
        <v>#N/A</v>
      </c>
      <c r="I1964" s="31" t="e">
        <v>#N/A</v>
      </c>
    </row>
    <row r="1965">
      <c r="A1965" s="11">
        <v>46163.847567777775</v>
      </c>
      <c r="B1965" s="9" t="s">
        <v>109</v>
      </c>
      <c r="C1965" s="9" t="s">
        <v>276</v>
      </c>
      <c r="D1965" s="9" t="s">
        <v>19</v>
      </c>
      <c r="E1965" s="9" t="s">
        <v>140</v>
      </c>
      <c r="F1965" s="15">
        <v>1.0</v>
      </c>
      <c r="G1965" s="37" t="s">
        <v>65</v>
      </c>
      <c r="H1965" s="31" t="e">
        <v>#N/A</v>
      </c>
      <c r="I1965" s="31" t="e">
        <v>#N/A</v>
      </c>
    </row>
    <row r="1966">
      <c r="A1966" s="11">
        <v>46163.85373635417</v>
      </c>
      <c r="B1966" s="9" t="s">
        <v>414</v>
      </c>
      <c r="C1966" s="9" t="s">
        <v>137</v>
      </c>
      <c r="D1966" s="9" t="s">
        <v>19</v>
      </c>
      <c r="E1966" s="9" t="s">
        <v>176</v>
      </c>
      <c r="F1966" s="15">
        <v>1.0</v>
      </c>
      <c r="G1966" s="37" t="s">
        <v>65</v>
      </c>
      <c r="H1966" s="31" t="e">
        <v>#N/A</v>
      </c>
      <c r="I1966" s="31" t="e">
        <v>#N/A</v>
      </c>
    </row>
    <row r="1967">
      <c r="A1967" s="11">
        <v>46163.86343049769</v>
      </c>
      <c r="B1967" s="9" t="s">
        <v>95</v>
      </c>
      <c r="C1967" s="9" t="s">
        <v>131</v>
      </c>
      <c r="D1967" s="9" t="s">
        <v>19</v>
      </c>
      <c r="F1967" s="15">
        <v>1.0</v>
      </c>
      <c r="G1967" s="37" t="s">
        <v>65</v>
      </c>
      <c r="H1967" s="31" t="e">
        <v>#N/A</v>
      </c>
      <c r="I1967" s="31" t="e">
        <v>#N/A</v>
      </c>
    </row>
    <row r="1968">
      <c r="A1968" s="11">
        <v>46163.87320615741</v>
      </c>
      <c r="B1968" s="9" t="s">
        <v>276</v>
      </c>
      <c r="C1968" s="9" t="s">
        <v>368</v>
      </c>
      <c r="D1968" s="9" t="s">
        <v>19</v>
      </c>
      <c r="F1968" s="15">
        <v>1.0</v>
      </c>
      <c r="G1968" s="37" t="s">
        <v>65</v>
      </c>
      <c r="H1968" s="31" t="e">
        <v>#N/A</v>
      </c>
      <c r="I1968" s="31" t="e">
        <v>#N/A</v>
      </c>
    </row>
    <row r="1969">
      <c r="A1969" s="11">
        <v>46163.88715332176</v>
      </c>
      <c r="B1969" s="9" t="s">
        <v>143</v>
      </c>
      <c r="C1969" s="9" t="s">
        <v>137</v>
      </c>
      <c r="D1969" s="37" t="s">
        <v>57</v>
      </c>
      <c r="E1969" s="9" t="s">
        <v>140</v>
      </c>
      <c r="F1969" s="15">
        <v>1.0</v>
      </c>
      <c r="H1969" s="31" t="e">
        <v>#N/A</v>
      </c>
      <c r="I1969" s="31" t="e">
        <v>#N/A</v>
      </c>
    </row>
    <row r="1970">
      <c r="A1970" s="11">
        <v>46163.890560451386</v>
      </c>
      <c r="B1970" s="9" t="s">
        <v>107</v>
      </c>
      <c r="C1970" s="9" t="s">
        <v>95</v>
      </c>
      <c r="D1970" s="37" t="s">
        <v>57</v>
      </c>
      <c r="F1970" s="15">
        <v>1.0</v>
      </c>
      <c r="G1970" s="37" t="s">
        <v>65</v>
      </c>
      <c r="H1970" s="31" t="e">
        <v>#N/A</v>
      </c>
      <c r="I1970" s="31" t="e">
        <v>#N/A</v>
      </c>
    </row>
    <row r="1971">
      <c r="A1971" s="11">
        <v>46163.901586886575</v>
      </c>
      <c r="B1971" s="9" t="s">
        <v>346</v>
      </c>
      <c r="C1971" s="9" t="s">
        <v>267</v>
      </c>
      <c r="D1971" s="9" t="s">
        <v>19</v>
      </c>
      <c r="E1971" s="9" t="s">
        <v>270</v>
      </c>
      <c r="F1971" s="15">
        <v>1.0</v>
      </c>
      <c r="G1971" s="37" t="s">
        <v>65</v>
      </c>
      <c r="H1971" s="31" t="e">
        <v>#N/A</v>
      </c>
      <c r="I1971" s="31" t="e">
        <v>#N/A</v>
      </c>
    </row>
    <row r="1972">
      <c r="A1972" s="11">
        <v>46163.918447523145</v>
      </c>
      <c r="B1972" s="9" t="s">
        <v>421</v>
      </c>
      <c r="C1972" s="9" t="s">
        <v>346</v>
      </c>
      <c r="D1972" s="9" t="s">
        <v>19</v>
      </c>
      <c r="F1972" s="15">
        <v>1.0</v>
      </c>
      <c r="G1972" s="37" t="s">
        <v>65</v>
      </c>
      <c r="H1972" s="31" t="e">
        <v>#N/A</v>
      </c>
      <c r="I1972" s="31" t="e">
        <v>#N/A</v>
      </c>
    </row>
    <row r="1973">
      <c r="A1973" s="11">
        <v>46163.94827836806</v>
      </c>
      <c r="B1973" s="9" t="s">
        <v>393</v>
      </c>
      <c r="C1973" s="9" t="s">
        <v>343</v>
      </c>
      <c r="D1973" s="37" t="s">
        <v>57</v>
      </c>
      <c r="E1973" s="9" t="s">
        <v>564</v>
      </c>
      <c r="F1973" s="15">
        <v>1.0</v>
      </c>
      <c r="G1973" s="37" t="s">
        <v>65</v>
      </c>
      <c r="H1973" s="31" t="e">
        <v>#N/A</v>
      </c>
      <c r="I1973" s="31" t="e">
        <v>#N/A</v>
      </c>
    </row>
    <row r="1974">
      <c r="A1974" s="11">
        <v>46163.96001646991</v>
      </c>
      <c r="B1974" s="9" t="s">
        <v>409</v>
      </c>
      <c r="C1974" s="9" t="s">
        <v>371</v>
      </c>
      <c r="D1974" s="37" t="s">
        <v>57</v>
      </c>
      <c r="F1974" s="15">
        <v>1.0</v>
      </c>
      <c r="G1974" s="37" t="s">
        <v>65</v>
      </c>
      <c r="H1974" s="31" t="e">
        <v>#N/A</v>
      </c>
      <c r="I1974" s="31" t="e">
        <v>#N/A</v>
      </c>
    </row>
    <row r="1975">
      <c r="A1975" s="11">
        <v>46163.96297013889</v>
      </c>
      <c r="B1975" s="9" t="s">
        <v>290</v>
      </c>
      <c r="C1975" s="9" t="s">
        <v>343</v>
      </c>
      <c r="D1975" s="9" t="s">
        <v>19</v>
      </c>
      <c r="E1975" s="9" t="s">
        <v>122</v>
      </c>
      <c r="F1975" s="15">
        <v>1.0</v>
      </c>
      <c r="G1975" s="37" t="s">
        <v>65</v>
      </c>
      <c r="H1975" s="31" t="e">
        <v>#N/A</v>
      </c>
      <c r="I1975" s="31" t="e">
        <v>#N/A</v>
      </c>
    </row>
    <row r="1976">
      <c r="A1976" s="11">
        <v>46163.98209034722</v>
      </c>
      <c r="B1976" s="9" t="s">
        <v>409</v>
      </c>
      <c r="C1976" s="9" t="s">
        <v>278</v>
      </c>
      <c r="D1976" s="9" t="s">
        <v>19</v>
      </c>
      <c r="F1976" s="15">
        <v>1.0</v>
      </c>
      <c r="G1976" s="37" t="s">
        <v>65</v>
      </c>
      <c r="H1976" s="31" t="e">
        <v>#N/A</v>
      </c>
      <c r="I1976" s="31" t="e">
        <v>#N/A</v>
      </c>
    </row>
    <row r="1977">
      <c r="A1977" s="11">
        <v>46163.9880374537</v>
      </c>
      <c r="B1977" s="9" t="s">
        <v>374</v>
      </c>
      <c r="C1977" s="9" t="s">
        <v>238</v>
      </c>
      <c r="D1977" s="9" t="s">
        <v>19</v>
      </c>
      <c r="E1977" s="9" t="s">
        <v>176</v>
      </c>
      <c r="F1977" s="15">
        <v>1.0</v>
      </c>
      <c r="G1977" s="37" t="s">
        <v>65</v>
      </c>
      <c r="H1977" s="31" t="e">
        <v>#N/A</v>
      </c>
      <c r="I1977" s="31" t="e">
        <v>#N/A</v>
      </c>
    </row>
    <row r="1978">
      <c r="A1978" s="11">
        <v>46164.008855196764</v>
      </c>
      <c r="B1978" s="9" t="s">
        <v>374</v>
      </c>
      <c r="C1978" s="9" t="s">
        <v>409</v>
      </c>
      <c r="D1978" s="9" t="s">
        <v>19</v>
      </c>
      <c r="E1978" s="9" t="s">
        <v>176</v>
      </c>
      <c r="F1978" s="15">
        <v>1.0</v>
      </c>
      <c r="G1978" s="37" t="s">
        <v>65</v>
      </c>
      <c r="H1978" s="31" t="e">
        <v>#N/A</v>
      </c>
      <c r="I1978" s="31" t="e">
        <v>#N/A</v>
      </c>
    </row>
    <row r="1979">
      <c r="A1979" s="11">
        <v>46164.01171363426</v>
      </c>
      <c r="B1979" s="9" t="s">
        <v>371</v>
      </c>
      <c r="C1979" s="9" t="s">
        <v>393</v>
      </c>
      <c r="D1979" s="9" t="s">
        <v>19</v>
      </c>
      <c r="F1979" s="15">
        <v>1.0</v>
      </c>
      <c r="G1979" s="37" t="s">
        <v>65</v>
      </c>
      <c r="H1979" s="31" t="e">
        <v>#N/A</v>
      </c>
      <c r="I1979" s="31" t="e">
        <v>#N/A</v>
      </c>
    </row>
    <row r="1980">
      <c r="A1980" s="11">
        <v>46164.01347167824</v>
      </c>
      <c r="B1980" s="9" t="s">
        <v>414</v>
      </c>
      <c r="C1980" s="9" t="s">
        <v>290</v>
      </c>
      <c r="D1980" s="37" t="s">
        <v>57</v>
      </c>
      <c r="E1980" s="9" t="s">
        <v>565</v>
      </c>
      <c r="F1980" s="15">
        <v>1.0</v>
      </c>
      <c r="G1980" s="37" t="s">
        <v>65</v>
      </c>
      <c r="H1980" s="31" t="e">
        <v>#N/A</v>
      </c>
      <c r="I1980" s="31" t="e">
        <v>#N/A</v>
      </c>
    </row>
    <row r="1981">
      <c r="A1981" s="11">
        <v>46164.020567685184</v>
      </c>
      <c r="B1981" s="9" t="s">
        <v>343</v>
      </c>
      <c r="C1981" s="9" t="s">
        <v>278</v>
      </c>
      <c r="D1981" s="37" t="s">
        <v>57</v>
      </c>
      <c r="E1981" s="9" t="s">
        <v>566</v>
      </c>
      <c r="F1981" s="15">
        <v>1.0</v>
      </c>
      <c r="H1981" s="31" t="e">
        <v>#N/A</v>
      </c>
      <c r="I1981" s="31" t="e">
        <v>#N/A</v>
      </c>
    </row>
    <row r="1982">
      <c r="A1982" s="11">
        <v>46164.03857662037</v>
      </c>
      <c r="B1982" s="9" t="s">
        <v>59</v>
      </c>
      <c r="C1982" s="9" t="s">
        <v>374</v>
      </c>
      <c r="D1982" s="37" t="s">
        <v>57</v>
      </c>
      <c r="F1982" s="15">
        <v>1.0</v>
      </c>
      <c r="G1982" s="37" t="s">
        <v>65</v>
      </c>
      <c r="H1982" s="31" t="e">
        <v>#N/A</v>
      </c>
      <c r="I1982" s="31" t="e">
        <v>#N/A</v>
      </c>
    </row>
    <row r="1983">
      <c r="A1983" s="11">
        <v>46164.04692465278</v>
      </c>
      <c r="B1983" s="9" t="s">
        <v>409</v>
      </c>
      <c r="C1983" s="9" t="s">
        <v>324</v>
      </c>
      <c r="D1983" s="37" t="s">
        <v>57</v>
      </c>
      <c r="F1983" s="15">
        <v>1.0</v>
      </c>
      <c r="G1983" s="37" t="s">
        <v>65</v>
      </c>
      <c r="H1983" s="31" t="e">
        <v>#N/A</v>
      </c>
      <c r="I1983" s="31" t="e">
        <v>#N/A</v>
      </c>
    </row>
    <row r="1984">
      <c r="A1984" s="11">
        <v>46164.05872547453</v>
      </c>
      <c r="B1984" s="9" t="s">
        <v>337</v>
      </c>
      <c r="C1984" s="9" t="s">
        <v>184</v>
      </c>
      <c r="D1984" s="9" t="s">
        <v>19</v>
      </c>
      <c r="E1984" s="9" t="s">
        <v>567</v>
      </c>
      <c r="F1984" s="15">
        <v>1.0</v>
      </c>
      <c r="G1984" s="37" t="s">
        <v>65</v>
      </c>
      <c r="H1984" s="31" t="e">
        <v>#N/A</v>
      </c>
      <c r="I1984" s="31" t="e">
        <v>#N/A</v>
      </c>
    </row>
    <row r="1985">
      <c r="A1985" s="11">
        <v>46164.09210418981</v>
      </c>
      <c r="B1985" s="9" t="s">
        <v>396</v>
      </c>
      <c r="C1985" s="9" t="s">
        <v>299</v>
      </c>
      <c r="D1985" s="9" t="s">
        <v>19</v>
      </c>
      <c r="E1985" s="9" t="s">
        <v>108</v>
      </c>
      <c r="F1985" s="15">
        <v>1.0</v>
      </c>
      <c r="G1985" s="37" t="s">
        <v>65</v>
      </c>
      <c r="H1985" s="31" t="e">
        <v>#N/A</v>
      </c>
      <c r="I1985" s="31" t="e">
        <v>#N/A</v>
      </c>
    </row>
    <row r="1986">
      <c r="A1986" s="11">
        <v>46164.176112615736</v>
      </c>
      <c r="B1986" s="9" t="s">
        <v>397</v>
      </c>
      <c r="C1986" s="9" t="s">
        <v>396</v>
      </c>
      <c r="D1986" s="9" t="s">
        <v>19</v>
      </c>
      <c r="F1986" s="15">
        <v>1.0</v>
      </c>
      <c r="H1986" s="31" t="e">
        <v>#N/A</v>
      </c>
      <c r="I1986" s="31" t="e">
        <v>#N/A</v>
      </c>
    </row>
    <row r="1987">
      <c r="A1987" s="11">
        <v>46164.214726238424</v>
      </c>
      <c r="B1987" s="9" t="s">
        <v>79</v>
      </c>
      <c r="C1987" s="9" t="s">
        <v>397</v>
      </c>
      <c r="D1987" s="37" t="s">
        <v>57</v>
      </c>
      <c r="F1987" s="15">
        <v>1.0</v>
      </c>
      <c r="G1987" s="37" t="s">
        <v>65</v>
      </c>
      <c r="H1987" s="31" t="e">
        <v>#N/A</v>
      </c>
      <c r="I1987" s="31" t="e">
        <v>#N/A</v>
      </c>
    </row>
    <row r="1988">
      <c r="A1988" s="11">
        <v>46164.28308763889</v>
      </c>
      <c r="B1988" s="9" t="s">
        <v>79</v>
      </c>
      <c r="C1988" s="9" t="s">
        <v>379</v>
      </c>
      <c r="D1988" s="37" t="s">
        <v>57</v>
      </c>
      <c r="F1988" s="15">
        <v>1.0</v>
      </c>
      <c r="H1988" s="31" t="e">
        <v>#N/A</v>
      </c>
      <c r="I1988" s="31" t="e">
        <v>#N/A</v>
      </c>
    </row>
    <row r="1989">
      <c r="A1989" s="11">
        <v>46164.36582990741</v>
      </c>
      <c r="B1989" s="9" t="s">
        <v>79</v>
      </c>
      <c r="C1989" s="9" t="s">
        <v>287</v>
      </c>
      <c r="D1989" s="37" t="s">
        <v>57</v>
      </c>
      <c r="F1989" s="15">
        <v>1.0</v>
      </c>
      <c r="G1989" s="37" t="s">
        <v>65</v>
      </c>
      <c r="H1989" s="31" t="e">
        <v>#N/A</v>
      </c>
      <c r="I1989" s="31" t="e">
        <v>#N/A</v>
      </c>
    </row>
    <row r="1990">
      <c r="A1990" s="11">
        <v>46164.38923178241</v>
      </c>
      <c r="B1990" s="9" t="s">
        <v>354</v>
      </c>
      <c r="C1990" s="9" t="s">
        <v>79</v>
      </c>
      <c r="D1990" s="9" t="s">
        <v>19</v>
      </c>
      <c r="F1990" s="15">
        <v>1.0</v>
      </c>
      <c r="G1990" s="37" t="s">
        <v>65</v>
      </c>
      <c r="H1990" s="31" t="e">
        <v>#N/A</v>
      </c>
      <c r="I1990" s="31" t="e">
        <v>#N/A</v>
      </c>
    </row>
    <row r="1991">
      <c r="A1991" s="11">
        <v>46164.40029722222</v>
      </c>
      <c r="B1991" s="9" t="s">
        <v>354</v>
      </c>
      <c r="C1991" s="9" t="s">
        <v>231</v>
      </c>
      <c r="D1991" s="9" t="s">
        <v>19</v>
      </c>
      <c r="F1991" s="15">
        <v>1.0</v>
      </c>
      <c r="G1991" s="37" t="s">
        <v>65</v>
      </c>
      <c r="H1991" s="31" t="e">
        <v>#N/A</v>
      </c>
      <c r="I1991" s="31" t="e">
        <v>#N/A</v>
      </c>
    </row>
    <row r="1992">
      <c r="A1992" s="11">
        <v>46164.40764659722</v>
      </c>
      <c r="B1992" s="9" t="s">
        <v>302</v>
      </c>
      <c r="C1992" s="9" t="s">
        <v>421</v>
      </c>
      <c r="D1992" s="37" t="s">
        <v>57</v>
      </c>
      <c r="E1992" s="9" t="s">
        <v>568</v>
      </c>
      <c r="F1992" s="15">
        <v>1.0</v>
      </c>
      <c r="G1992" s="37" t="s">
        <v>65</v>
      </c>
      <c r="H1992" s="31" t="e">
        <v>#N/A</v>
      </c>
      <c r="I1992" s="31" t="e">
        <v>#N/A</v>
      </c>
    </row>
    <row r="1993">
      <c r="A1993" s="11">
        <v>46164.43671375</v>
      </c>
      <c r="B1993" s="9" t="s">
        <v>397</v>
      </c>
      <c r="C1993" s="9" t="s">
        <v>421</v>
      </c>
      <c r="D1993" s="9" t="s">
        <v>19</v>
      </c>
      <c r="F1993" s="15">
        <v>1.0</v>
      </c>
      <c r="G1993" s="37" t="s">
        <v>65</v>
      </c>
      <c r="H1993" s="31" t="e">
        <v>#N/A</v>
      </c>
      <c r="I1993" s="31" t="e">
        <v>#N/A</v>
      </c>
    </row>
    <row r="1994">
      <c r="A1994" s="11">
        <v>46164.44222696759</v>
      </c>
      <c r="B1994" s="9" t="s">
        <v>354</v>
      </c>
      <c r="C1994" s="9" t="s">
        <v>254</v>
      </c>
      <c r="D1994" s="9" t="s">
        <v>19</v>
      </c>
      <c r="F1994" s="15">
        <v>1.0</v>
      </c>
      <c r="G1994" s="37" t="s">
        <v>65</v>
      </c>
      <c r="H1994" s="31" t="e">
        <v>#N/A</v>
      </c>
      <c r="I1994" s="31" t="e">
        <v>#N/A</v>
      </c>
    </row>
    <row r="1995">
      <c r="A1995" s="11">
        <v>46164.45875893519</v>
      </c>
      <c r="B1995" s="9" t="s">
        <v>397</v>
      </c>
      <c r="C1995" s="9" t="s">
        <v>387</v>
      </c>
      <c r="D1995" s="37" t="s">
        <v>57</v>
      </c>
      <c r="F1995" s="15">
        <v>1.0</v>
      </c>
      <c r="G1995" s="37" t="s">
        <v>65</v>
      </c>
      <c r="H1995" s="31" t="e">
        <v>#N/A</v>
      </c>
      <c r="I1995" s="31" t="e">
        <v>#N/A</v>
      </c>
    </row>
    <row r="1996">
      <c r="A1996" s="11">
        <v>46164.4644703588</v>
      </c>
      <c r="B1996" s="9" t="s">
        <v>79</v>
      </c>
      <c r="C1996" s="9" t="s">
        <v>421</v>
      </c>
      <c r="D1996" s="9" t="s">
        <v>19</v>
      </c>
      <c r="F1996" s="15">
        <v>1.0</v>
      </c>
      <c r="G1996" s="37" t="s">
        <v>65</v>
      </c>
      <c r="H1996" s="31" t="e">
        <v>#N/A</v>
      </c>
      <c r="I1996" s="31" t="e">
        <v>#N/A</v>
      </c>
    </row>
    <row r="1997">
      <c r="A1997" s="11">
        <v>46164.48158895833</v>
      </c>
      <c r="B1997" s="9" t="s">
        <v>354</v>
      </c>
      <c r="C1997" s="9" t="s">
        <v>397</v>
      </c>
      <c r="D1997" s="9" t="s">
        <v>19</v>
      </c>
      <c r="F1997" s="15">
        <v>1.0</v>
      </c>
      <c r="G1997" s="37" t="s">
        <v>65</v>
      </c>
      <c r="H1997" s="31" t="e">
        <v>#N/A</v>
      </c>
      <c r="I1997" s="31" t="e">
        <v>#N/A</v>
      </c>
    </row>
    <row r="1998">
      <c r="A1998" s="11">
        <v>46164.494389479165</v>
      </c>
      <c r="B1998" s="9" t="s">
        <v>200</v>
      </c>
      <c r="C1998" s="9" t="s">
        <v>371</v>
      </c>
      <c r="D1998" s="9" t="s">
        <v>19</v>
      </c>
      <c r="F1998" s="15">
        <v>1.0</v>
      </c>
      <c r="G1998" s="37" t="s">
        <v>65</v>
      </c>
      <c r="H1998" s="31" t="e">
        <v>#N/A</v>
      </c>
      <c r="I1998" s="31" t="e">
        <v>#N/A</v>
      </c>
    </row>
    <row r="1999">
      <c r="A1999" s="11">
        <v>46164.50241299768</v>
      </c>
      <c r="B1999" s="9" t="s">
        <v>387</v>
      </c>
      <c r="C1999" s="9" t="s">
        <v>354</v>
      </c>
      <c r="D1999" s="37" t="s">
        <v>57</v>
      </c>
      <c r="F1999" s="15">
        <v>1.0</v>
      </c>
      <c r="G1999" s="37" t="s">
        <v>65</v>
      </c>
      <c r="H1999" s="31" t="e">
        <v>#N/A</v>
      </c>
      <c r="I1999" s="31" t="e">
        <v>#N/A</v>
      </c>
    </row>
    <row r="2000">
      <c r="A2000" s="11">
        <v>46164.50937128472</v>
      </c>
      <c r="B2000" s="9" t="s">
        <v>231</v>
      </c>
      <c r="C2000" s="9" t="s">
        <v>233</v>
      </c>
      <c r="D2000" s="9" t="s">
        <v>19</v>
      </c>
      <c r="F2000" s="15">
        <v>1.0</v>
      </c>
      <c r="G2000" s="37" t="s">
        <v>65</v>
      </c>
      <c r="H2000" s="31" t="e">
        <v>#N/A</v>
      </c>
      <c r="I2000" s="31" t="e">
        <v>#N/A</v>
      </c>
    </row>
    <row r="2001">
      <c r="A2001" s="11">
        <v>46164.51505158565</v>
      </c>
      <c r="B2001" s="9" t="s">
        <v>332</v>
      </c>
      <c r="C2001" s="9" t="s">
        <v>125</v>
      </c>
      <c r="D2001" s="37" t="s">
        <v>57</v>
      </c>
      <c r="E2001" s="9" t="s">
        <v>270</v>
      </c>
      <c r="F2001" s="15">
        <v>1.0</v>
      </c>
      <c r="G2001" s="37" t="s">
        <v>65</v>
      </c>
      <c r="H2001" s="31" t="e">
        <v>#N/A</v>
      </c>
      <c r="I2001" s="31" t="e">
        <v>#N/A</v>
      </c>
    </row>
    <row r="2002">
      <c r="A2002" s="11">
        <v>46164.53024408565</v>
      </c>
      <c r="B2002" s="9" t="s">
        <v>337</v>
      </c>
      <c r="C2002" s="9" t="s">
        <v>125</v>
      </c>
      <c r="D2002" s="37" t="s">
        <v>57</v>
      </c>
      <c r="F2002" s="15">
        <v>1.0</v>
      </c>
      <c r="G2002" s="37" t="s">
        <v>65</v>
      </c>
      <c r="H2002" s="31" t="e">
        <v>#N/A</v>
      </c>
      <c r="I2002" s="31" t="e">
        <v>#N/A</v>
      </c>
    </row>
    <row r="2003">
      <c r="A2003" s="11">
        <v>46164.53525915509</v>
      </c>
      <c r="B2003" s="9" t="s">
        <v>300</v>
      </c>
      <c r="C2003" s="9" t="s">
        <v>371</v>
      </c>
      <c r="D2003" s="37" t="s">
        <v>57</v>
      </c>
      <c r="E2003" s="9" t="s">
        <v>569</v>
      </c>
      <c r="F2003" s="15">
        <v>1.0</v>
      </c>
      <c r="G2003" s="37" t="s">
        <v>65</v>
      </c>
      <c r="H2003" s="31" t="e">
        <v>#N/A</v>
      </c>
      <c r="I2003" s="31" t="e">
        <v>#N/A</v>
      </c>
    </row>
    <row r="2004">
      <c r="A2004" s="11">
        <v>46164.549206435186</v>
      </c>
      <c r="B2004" s="9" t="s">
        <v>417</v>
      </c>
      <c r="C2004" s="9" t="s">
        <v>200</v>
      </c>
      <c r="D2004" s="37" t="s">
        <v>57</v>
      </c>
      <c r="E2004" s="9" t="s">
        <v>570</v>
      </c>
      <c r="F2004" s="15">
        <v>1.0</v>
      </c>
      <c r="G2004" s="37" t="s">
        <v>65</v>
      </c>
      <c r="H2004" s="31" t="e">
        <v>#N/A</v>
      </c>
      <c r="I2004" s="31" t="e">
        <v>#N/A</v>
      </c>
    </row>
    <row r="2005">
      <c r="A2005" s="11">
        <v>46164.55439107639</v>
      </c>
      <c r="B2005" s="9" t="s">
        <v>132</v>
      </c>
      <c r="C2005" s="9" t="s">
        <v>314</v>
      </c>
      <c r="D2005" s="37" t="s">
        <v>57</v>
      </c>
      <c r="F2005" s="15">
        <v>1.0</v>
      </c>
      <c r="G2005" s="37" t="s">
        <v>65</v>
      </c>
      <c r="H2005" s="31" t="e">
        <v>#N/A</v>
      </c>
      <c r="I2005" s="31" t="e">
        <v>#N/A</v>
      </c>
    </row>
    <row r="2006">
      <c r="A2006" s="11">
        <v>46164.55778712963</v>
      </c>
      <c r="B2006" s="9" t="s">
        <v>417</v>
      </c>
      <c r="C2006" s="9" t="s">
        <v>371</v>
      </c>
      <c r="D2006" s="9" t="s">
        <v>19</v>
      </c>
      <c r="F2006" s="15">
        <v>1.0</v>
      </c>
      <c r="H2006" s="31" t="e">
        <v>#N/A</v>
      </c>
      <c r="I2006" s="31" t="e">
        <v>#N/A</v>
      </c>
    </row>
    <row r="2007">
      <c r="A2007" s="11">
        <v>46164.560952534724</v>
      </c>
      <c r="B2007" s="9" t="s">
        <v>337</v>
      </c>
      <c r="C2007" s="9" t="s">
        <v>132</v>
      </c>
      <c r="D2007" s="9" t="s">
        <v>19</v>
      </c>
      <c r="F2007" s="15">
        <v>1.0</v>
      </c>
      <c r="G2007" s="37" t="s">
        <v>65</v>
      </c>
      <c r="H2007" s="31" t="e">
        <v>#N/A</v>
      </c>
      <c r="I2007" s="31" t="e">
        <v>#N/A</v>
      </c>
    </row>
    <row r="2008">
      <c r="A2008" s="11">
        <v>46164.56778428241</v>
      </c>
      <c r="B2008" s="9" t="s">
        <v>125</v>
      </c>
      <c r="C2008" s="9" t="s">
        <v>331</v>
      </c>
      <c r="D2008" s="37" t="s">
        <v>57</v>
      </c>
      <c r="E2008" s="9" t="s">
        <v>505</v>
      </c>
      <c r="F2008" s="15">
        <v>1.0</v>
      </c>
      <c r="G2008" s="37" t="s">
        <v>65</v>
      </c>
      <c r="H2008" s="31" t="e">
        <v>#N/A</v>
      </c>
      <c r="I2008" s="31" t="e">
        <v>#N/A</v>
      </c>
    </row>
    <row r="2009">
      <c r="A2009" s="11">
        <v>46164.57397795139</v>
      </c>
      <c r="B2009" s="9" t="s">
        <v>387</v>
      </c>
      <c r="C2009" s="9" t="s">
        <v>132</v>
      </c>
      <c r="D2009" s="9" t="s">
        <v>19</v>
      </c>
      <c r="F2009" s="15">
        <v>1.0</v>
      </c>
      <c r="G2009" s="37" t="s">
        <v>65</v>
      </c>
      <c r="H2009" s="31" t="e">
        <v>#N/A</v>
      </c>
      <c r="I2009" s="31" t="e">
        <v>#N/A</v>
      </c>
    </row>
    <row r="2010">
      <c r="A2010" s="11">
        <v>46164.574157337964</v>
      </c>
      <c r="B2010" s="9" t="s">
        <v>297</v>
      </c>
      <c r="C2010" s="9" t="s">
        <v>417</v>
      </c>
      <c r="D2010" s="9" t="s">
        <v>19</v>
      </c>
      <c r="F2010" s="15">
        <v>1.0</v>
      </c>
      <c r="G2010" s="37" t="s">
        <v>65</v>
      </c>
      <c r="H2010" s="31" t="e">
        <v>#N/A</v>
      </c>
      <c r="I2010" s="31" t="e">
        <v>#N/A</v>
      </c>
    </row>
    <row r="2011">
      <c r="A2011" s="11">
        <v>46164.58370659722</v>
      </c>
      <c r="B2011" s="9" t="s">
        <v>417</v>
      </c>
      <c r="C2011" s="9" t="s">
        <v>132</v>
      </c>
      <c r="D2011" s="9" t="s">
        <v>19</v>
      </c>
      <c r="E2011" s="9" t="s">
        <v>571</v>
      </c>
      <c r="F2011" s="15">
        <v>1.0</v>
      </c>
      <c r="G2011" s="37" t="s">
        <v>65</v>
      </c>
      <c r="H2011" s="31" t="e">
        <v>#N/A</v>
      </c>
      <c r="I2011" s="31" t="e">
        <v>#N/A</v>
      </c>
    </row>
    <row r="2012">
      <c r="A2012" s="11">
        <v>46164.58857799768</v>
      </c>
      <c r="B2012" s="9" t="s">
        <v>290</v>
      </c>
      <c r="C2012" s="9" t="s">
        <v>64</v>
      </c>
      <c r="D2012" s="37" t="s">
        <v>57</v>
      </c>
      <c r="E2012" s="9" t="s">
        <v>572</v>
      </c>
      <c r="F2012" s="15">
        <v>1.0</v>
      </c>
      <c r="G2012" s="37" t="s">
        <v>65</v>
      </c>
      <c r="H2012" s="31" t="e">
        <v>#N/A</v>
      </c>
      <c r="I2012" s="31" t="e">
        <v>#N/A</v>
      </c>
    </row>
    <row r="2013">
      <c r="A2013" s="11">
        <v>46164.603579456016</v>
      </c>
      <c r="B2013" s="9" t="s">
        <v>297</v>
      </c>
      <c r="C2013" s="9" t="s">
        <v>300</v>
      </c>
      <c r="D2013" s="37" t="s">
        <v>57</v>
      </c>
      <c r="F2013" s="15">
        <v>1.0</v>
      </c>
      <c r="H2013" s="31" t="e">
        <v>#N/A</v>
      </c>
      <c r="I2013" s="31" t="e">
        <v>#N/A</v>
      </c>
    </row>
    <row r="2014">
      <c r="A2014" s="11">
        <v>46164.61038896991</v>
      </c>
      <c r="B2014" s="9" t="s">
        <v>64</v>
      </c>
      <c r="C2014" s="9" t="s">
        <v>131</v>
      </c>
      <c r="D2014" s="9" t="s">
        <v>19</v>
      </c>
      <c r="E2014" s="9" t="s">
        <v>573</v>
      </c>
      <c r="F2014" s="15">
        <v>1.0</v>
      </c>
      <c r="H2014" s="31" t="e">
        <v>#N/A</v>
      </c>
      <c r="I2014" s="31" t="e">
        <v>#N/A</v>
      </c>
    </row>
    <row r="2015">
      <c r="A2015" s="11">
        <v>46164.613092326385</v>
      </c>
      <c r="B2015" s="9" t="s">
        <v>238</v>
      </c>
      <c r="C2015" s="9" t="s">
        <v>373</v>
      </c>
      <c r="D2015" s="37" t="s">
        <v>57</v>
      </c>
      <c r="E2015" s="9" t="s">
        <v>558</v>
      </c>
      <c r="F2015" s="15">
        <v>1.0</v>
      </c>
      <c r="G2015" s="37" t="s">
        <v>65</v>
      </c>
      <c r="H2015" s="31" t="e">
        <v>#N/A</v>
      </c>
      <c r="I2015" s="31" t="e">
        <v>#N/A</v>
      </c>
    </row>
    <row r="2016">
      <c r="A2016" s="11">
        <v>46164.62959136574</v>
      </c>
      <c r="B2016" s="9" t="s">
        <v>64</v>
      </c>
      <c r="C2016" s="9" t="s">
        <v>409</v>
      </c>
      <c r="D2016" s="9" t="s">
        <v>19</v>
      </c>
      <c r="E2016" s="9" t="s">
        <v>122</v>
      </c>
      <c r="F2016" s="15">
        <v>1.0</v>
      </c>
      <c r="H2016" s="31" t="e">
        <v>#N/A</v>
      </c>
      <c r="I2016" s="31" t="e">
        <v>#N/A</v>
      </c>
    </row>
    <row r="2017">
      <c r="A2017" s="11">
        <v>46164.62967502315</v>
      </c>
      <c r="B2017" s="9" t="s">
        <v>312</v>
      </c>
      <c r="C2017" s="9" t="s">
        <v>417</v>
      </c>
      <c r="D2017" s="37" t="s">
        <v>57</v>
      </c>
      <c r="E2017" s="9" t="s">
        <v>574</v>
      </c>
      <c r="F2017" s="15">
        <v>1.0</v>
      </c>
      <c r="G2017" s="37" t="s">
        <v>65</v>
      </c>
      <c r="H2017" s="31" t="e">
        <v>#N/A</v>
      </c>
      <c r="I2017" s="31" t="e">
        <v>#N/A</v>
      </c>
    </row>
    <row r="2018">
      <c r="A2018" s="11">
        <v>46164.65013354167</v>
      </c>
      <c r="B2018" s="9" t="s">
        <v>312</v>
      </c>
      <c r="C2018" s="9" t="s">
        <v>373</v>
      </c>
      <c r="D2018" s="9" t="s">
        <v>19</v>
      </c>
      <c r="E2018" s="9" t="s">
        <v>112</v>
      </c>
      <c r="F2018" s="15">
        <v>1.0</v>
      </c>
      <c r="G2018" s="37" t="s">
        <v>65</v>
      </c>
      <c r="H2018" s="31" t="e">
        <v>#N/A</v>
      </c>
      <c r="I2018" s="31" t="e">
        <v>#N/A</v>
      </c>
    </row>
    <row r="2019">
      <c r="A2019" s="11">
        <v>46164.65991524306</v>
      </c>
      <c r="B2019" s="9" t="s">
        <v>252</v>
      </c>
      <c r="C2019" s="9" t="s">
        <v>64</v>
      </c>
      <c r="D2019" s="37" t="s">
        <v>57</v>
      </c>
      <c r="F2019" s="15">
        <v>1.0</v>
      </c>
      <c r="G2019" s="37" t="s">
        <v>65</v>
      </c>
      <c r="H2019" s="31" t="e">
        <v>#N/A</v>
      </c>
      <c r="I2019" s="31" t="e">
        <v>#N/A</v>
      </c>
    </row>
    <row r="2020">
      <c r="A2020" s="11">
        <v>46164.669491203706</v>
      </c>
      <c r="B2020" s="9" t="s">
        <v>414</v>
      </c>
      <c r="C2020" s="9" t="s">
        <v>417</v>
      </c>
      <c r="D2020" s="9" t="s">
        <v>19</v>
      </c>
      <c r="E2020" s="9" t="s">
        <v>176</v>
      </c>
      <c r="F2020" s="15">
        <v>1.0</v>
      </c>
      <c r="H2020" s="31" t="e">
        <v>#N/A</v>
      </c>
      <c r="I2020" s="31" t="e">
        <v>#N/A</v>
      </c>
    </row>
    <row r="2021">
      <c r="A2021" s="11">
        <v>46164.683793206015</v>
      </c>
      <c r="B2021" s="9" t="s">
        <v>252</v>
      </c>
      <c r="C2021" s="9" t="s">
        <v>312</v>
      </c>
      <c r="D2021" s="37" t="s">
        <v>57</v>
      </c>
      <c r="F2021" s="15">
        <v>1.0</v>
      </c>
      <c r="H2021" s="31" t="e">
        <v>#N/A</v>
      </c>
      <c r="I2021" s="31" t="e">
        <v>#N/A</v>
      </c>
    </row>
    <row r="2022">
      <c r="A2022" s="11">
        <v>46164.683956134264</v>
      </c>
      <c r="B2022" s="9" t="s">
        <v>368</v>
      </c>
      <c r="C2022" s="9" t="s">
        <v>125</v>
      </c>
      <c r="D2022" s="9" t="s">
        <v>19</v>
      </c>
      <c r="F2022" s="15">
        <v>1.0</v>
      </c>
      <c r="H2022" s="31" t="e">
        <v>#N/A</v>
      </c>
      <c r="I2022" s="31" t="e">
        <v>#N/A</v>
      </c>
    </row>
    <row r="2023">
      <c r="A2023" s="11">
        <v>46164.6969559375</v>
      </c>
      <c r="B2023" s="9" t="s">
        <v>252</v>
      </c>
      <c r="C2023" s="9" t="s">
        <v>314</v>
      </c>
      <c r="D2023" s="9" t="s">
        <v>19</v>
      </c>
      <c r="F2023" s="15">
        <v>1.0</v>
      </c>
      <c r="H2023" s="31" t="e">
        <v>#N/A</v>
      </c>
      <c r="I2023" s="31" t="e">
        <v>#N/A</v>
      </c>
    </row>
    <row r="2024">
      <c r="A2024" s="11">
        <v>46164.72166269676</v>
      </c>
      <c r="B2024" s="9" t="s">
        <v>71</v>
      </c>
      <c r="C2024" s="9" t="s">
        <v>59</v>
      </c>
      <c r="D2024" s="9" t="s">
        <v>19</v>
      </c>
      <c r="F2024" s="15">
        <v>1.0</v>
      </c>
      <c r="G2024" s="37" t="s">
        <v>65</v>
      </c>
      <c r="H2024" s="31" t="e">
        <v>#N/A</v>
      </c>
      <c r="I2024" s="31" t="e">
        <v>#N/A</v>
      </c>
    </row>
    <row r="2025">
      <c r="A2025" s="11">
        <v>46164.72714967593</v>
      </c>
      <c r="B2025" s="9" t="s">
        <v>115</v>
      </c>
      <c r="C2025" s="9" t="s">
        <v>228</v>
      </c>
      <c r="D2025" s="9" t="s">
        <v>19</v>
      </c>
      <c r="E2025" s="9" t="s">
        <v>225</v>
      </c>
      <c r="F2025" s="15">
        <v>1.0</v>
      </c>
      <c r="G2025" s="37" t="s">
        <v>65</v>
      </c>
      <c r="H2025" s="31" t="e">
        <v>#N/A</v>
      </c>
      <c r="I2025" s="31" t="e">
        <v>#N/A</v>
      </c>
    </row>
    <row r="2026">
      <c r="A2026" s="11">
        <v>46164.74439765046</v>
      </c>
      <c r="B2026" s="9" t="s">
        <v>189</v>
      </c>
      <c r="C2026" s="9" t="s">
        <v>120</v>
      </c>
      <c r="D2026" s="9" t="s">
        <v>19</v>
      </c>
      <c r="E2026" s="9" t="s">
        <v>122</v>
      </c>
      <c r="F2026" s="15">
        <v>1.0</v>
      </c>
      <c r="H2026" s="31" t="e">
        <v>#N/A</v>
      </c>
      <c r="I2026" s="31" t="e">
        <v>#N/A</v>
      </c>
    </row>
    <row r="2027">
      <c r="A2027" s="11">
        <v>46164.74770950231</v>
      </c>
      <c r="B2027" s="9" t="s">
        <v>228</v>
      </c>
      <c r="C2027" s="9" t="s">
        <v>71</v>
      </c>
      <c r="D2027" s="37" t="s">
        <v>57</v>
      </c>
      <c r="F2027" s="15">
        <v>1.0</v>
      </c>
      <c r="G2027" s="37" t="s">
        <v>65</v>
      </c>
      <c r="H2027" s="31" t="e">
        <v>#N/A</v>
      </c>
      <c r="I2027" s="31" t="e">
        <v>#N/A</v>
      </c>
    </row>
    <row r="2028">
      <c r="A2028" s="11">
        <v>46164.761956064816</v>
      </c>
      <c r="B2028" s="9" t="s">
        <v>121</v>
      </c>
      <c r="C2028" s="9" t="s">
        <v>264</v>
      </c>
      <c r="D2028" s="37" t="s">
        <v>57</v>
      </c>
      <c r="E2028" s="9" t="s">
        <v>176</v>
      </c>
      <c r="F2028" s="15">
        <v>1.0</v>
      </c>
      <c r="G2028" s="37" t="s">
        <v>65</v>
      </c>
      <c r="H2028" s="31" t="e">
        <v>#N/A</v>
      </c>
      <c r="I2028" s="31" t="e">
        <v>#N/A</v>
      </c>
    </row>
    <row r="2029">
      <c r="A2029" s="11">
        <v>46164.76412581019</v>
      </c>
      <c r="B2029" s="9" t="s">
        <v>61</v>
      </c>
      <c r="C2029" s="9" t="s">
        <v>107</v>
      </c>
      <c r="D2029" s="9" t="s">
        <v>19</v>
      </c>
      <c r="F2029" s="15">
        <v>1.0</v>
      </c>
      <c r="H2029" s="31" t="e">
        <v>#N/A</v>
      </c>
      <c r="I2029" s="31" t="e">
        <v>#N/A</v>
      </c>
    </row>
    <row r="2030">
      <c r="A2030" s="11">
        <v>46164.77360403935</v>
      </c>
      <c r="B2030" s="9" t="s">
        <v>337</v>
      </c>
      <c r="C2030" s="9" t="s">
        <v>92</v>
      </c>
      <c r="D2030" s="9" t="s">
        <v>19</v>
      </c>
      <c r="F2030" s="15">
        <v>1.0</v>
      </c>
      <c r="G2030" s="37" t="s">
        <v>65</v>
      </c>
      <c r="H2030" s="31" t="e">
        <v>#N/A</v>
      </c>
      <c r="I2030" s="31" t="e">
        <v>#N/A</v>
      </c>
    </row>
    <row r="2031">
      <c r="A2031" s="11">
        <v>46164.78080765046</v>
      </c>
      <c r="B2031" s="9" t="s">
        <v>322</v>
      </c>
      <c r="C2031" s="9" t="s">
        <v>286</v>
      </c>
      <c r="D2031" s="37" t="s">
        <v>57</v>
      </c>
      <c r="F2031" s="15">
        <v>1.0</v>
      </c>
      <c r="G2031" s="37" t="s">
        <v>65</v>
      </c>
      <c r="H2031" s="31" t="e">
        <v>#N/A</v>
      </c>
      <c r="I2031" s="31" t="e">
        <v>#N/A</v>
      </c>
    </row>
    <row r="2032">
      <c r="A2032" s="11">
        <v>46164.787030520834</v>
      </c>
      <c r="B2032" s="9" t="s">
        <v>76</v>
      </c>
      <c r="C2032" s="9" t="s">
        <v>228</v>
      </c>
      <c r="D2032" s="37" t="s">
        <v>57</v>
      </c>
      <c r="F2032" s="15">
        <v>1.0</v>
      </c>
      <c r="G2032" s="37" t="s">
        <v>65</v>
      </c>
      <c r="H2032" s="31" t="e">
        <v>#N/A</v>
      </c>
      <c r="I2032" s="31" t="e">
        <v>#N/A</v>
      </c>
    </row>
    <row r="2033">
      <c r="A2033" s="11">
        <v>46164.791672858795</v>
      </c>
      <c r="B2033" s="9" t="s">
        <v>229</v>
      </c>
      <c r="C2033" s="9" t="s">
        <v>61</v>
      </c>
      <c r="D2033" s="37" t="s">
        <v>57</v>
      </c>
      <c r="E2033" s="9" t="s">
        <v>575</v>
      </c>
      <c r="F2033" s="15">
        <v>1.0</v>
      </c>
      <c r="G2033" s="37" t="s">
        <v>65</v>
      </c>
      <c r="H2033" s="31" t="e">
        <v>#N/A</v>
      </c>
      <c r="I2033" s="31" t="e">
        <v>#N/A</v>
      </c>
    </row>
    <row r="2034">
      <c r="A2034" s="11">
        <v>46164.80781204861</v>
      </c>
      <c r="B2034" s="9" t="s">
        <v>264</v>
      </c>
      <c r="C2034" s="9" t="s">
        <v>96</v>
      </c>
      <c r="D2034" s="37" t="s">
        <v>57</v>
      </c>
      <c r="E2034" s="9" t="s">
        <v>112</v>
      </c>
      <c r="F2034" s="15">
        <v>1.0</v>
      </c>
      <c r="G2034" s="37" t="s">
        <v>65</v>
      </c>
      <c r="H2034" s="31" t="e">
        <v>#N/A</v>
      </c>
      <c r="I2034" s="31" t="e">
        <v>#N/A</v>
      </c>
    </row>
    <row r="2035">
      <c r="A2035" s="11">
        <v>46164.80785737268</v>
      </c>
      <c r="B2035" s="9" t="s">
        <v>322</v>
      </c>
      <c r="C2035" s="9" t="s">
        <v>228</v>
      </c>
      <c r="D2035" s="9" t="s">
        <v>19</v>
      </c>
      <c r="F2035" s="15">
        <v>1.0</v>
      </c>
      <c r="G2035" s="37" t="s">
        <v>65</v>
      </c>
      <c r="H2035" s="31" t="e">
        <v>#N/A</v>
      </c>
      <c r="I2035" s="31" t="e">
        <v>#N/A</v>
      </c>
    </row>
    <row r="2036">
      <c r="A2036" s="11">
        <v>46164.81023645833</v>
      </c>
      <c r="B2036" s="9" t="s">
        <v>229</v>
      </c>
      <c r="C2036" s="9" t="s">
        <v>253</v>
      </c>
      <c r="D2036" s="37" t="s">
        <v>57</v>
      </c>
      <c r="F2036" s="15">
        <v>1.0</v>
      </c>
      <c r="G2036" s="37" t="s">
        <v>65</v>
      </c>
      <c r="H2036" s="31" t="e">
        <v>#N/A</v>
      </c>
      <c r="I2036" s="31" t="e">
        <v>#N/A</v>
      </c>
    </row>
    <row r="2037">
      <c r="A2037" s="11">
        <v>46164.81223386574</v>
      </c>
      <c r="B2037" s="9" t="s">
        <v>76</v>
      </c>
      <c r="C2037" s="9" t="s">
        <v>204</v>
      </c>
      <c r="D2037" s="9" t="s">
        <v>19</v>
      </c>
      <c r="F2037" s="15">
        <v>1.0</v>
      </c>
      <c r="G2037" s="37" t="s">
        <v>65</v>
      </c>
      <c r="H2037" s="31" t="e">
        <v>#N/A</v>
      </c>
      <c r="I2037" s="31" t="e">
        <v>#N/A</v>
      </c>
    </row>
    <row r="2038">
      <c r="A2038" s="11">
        <v>46164.82695107639</v>
      </c>
      <c r="B2038" s="9" t="s">
        <v>333</v>
      </c>
      <c r="C2038" s="9" t="s">
        <v>61</v>
      </c>
      <c r="D2038" s="37" t="s">
        <v>57</v>
      </c>
      <c r="F2038" s="15">
        <v>1.0</v>
      </c>
      <c r="H2038" s="31" t="e">
        <v>#N/A</v>
      </c>
      <c r="I2038" s="31" t="e">
        <v>#N/A</v>
      </c>
    </row>
    <row r="2039">
      <c r="A2039" s="11">
        <v>46164.829976284724</v>
      </c>
      <c r="B2039" s="9" t="s">
        <v>229</v>
      </c>
      <c r="C2039" s="9" t="s">
        <v>76</v>
      </c>
      <c r="D2039" s="37" t="s">
        <v>57</v>
      </c>
      <c r="F2039" s="15">
        <v>1.0</v>
      </c>
      <c r="G2039" s="37" t="s">
        <v>65</v>
      </c>
      <c r="H2039" s="31" t="e">
        <v>#N/A</v>
      </c>
      <c r="I2039" s="31" t="e">
        <v>#N/A</v>
      </c>
    </row>
    <row r="2040">
      <c r="A2040" s="11">
        <v>46164.83047443287</v>
      </c>
      <c r="B2040" s="9" t="s">
        <v>121</v>
      </c>
      <c r="C2040" s="9" t="s">
        <v>282</v>
      </c>
      <c r="D2040" s="9" t="s">
        <v>19</v>
      </c>
      <c r="E2040" s="9" t="s">
        <v>176</v>
      </c>
      <c r="F2040" s="15">
        <v>1.0</v>
      </c>
      <c r="G2040" s="37" t="s">
        <v>65</v>
      </c>
      <c r="H2040" s="31" t="e">
        <v>#N/A</v>
      </c>
      <c r="I2040" s="31" t="e">
        <v>#N/A</v>
      </c>
    </row>
    <row r="2041">
      <c r="A2041" s="11">
        <v>46164.83504740741</v>
      </c>
      <c r="B2041" s="9" t="s">
        <v>204</v>
      </c>
      <c r="C2041" s="9" t="s">
        <v>101</v>
      </c>
      <c r="D2041" s="9" t="s">
        <v>19</v>
      </c>
      <c r="E2041" s="9" t="s">
        <v>576</v>
      </c>
      <c r="F2041" s="15">
        <v>1.0</v>
      </c>
      <c r="G2041" s="37" t="s">
        <v>65</v>
      </c>
      <c r="H2041" s="31" t="e">
        <v>#N/A</v>
      </c>
      <c r="I2041" s="31" t="e">
        <v>#N/A</v>
      </c>
    </row>
    <row r="2042">
      <c r="A2042" s="11">
        <v>46164.841048437505</v>
      </c>
      <c r="B2042" s="9" t="s">
        <v>167</v>
      </c>
      <c r="C2042" s="9" t="s">
        <v>264</v>
      </c>
      <c r="D2042" s="37" t="s">
        <v>57</v>
      </c>
      <c r="E2042" s="9" t="s">
        <v>122</v>
      </c>
      <c r="F2042" s="15">
        <v>1.0</v>
      </c>
      <c r="G2042" s="37" t="s">
        <v>65</v>
      </c>
      <c r="H2042" s="31" t="e">
        <v>#N/A</v>
      </c>
      <c r="I2042" s="31" t="e">
        <v>#N/A</v>
      </c>
    </row>
    <row r="2043">
      <c r="A2043" s="11">
        <v>46164.846714479165</v>
      </c>
      <c r="B2043" s="9" t="s">
        <v>333</v>
      </c>
      <c r="C2043" s="9" t="s">
        <v>276</v>
      </c>
      <c r="D2043" s="9" t="s">
        <v>19</v>
      </c>
      <c r="F2043" s="15">
        <v>1.0</v>
      </c>
      <c r="G2043" s="37" t="s">
        <v>65</v>
      </c>
      <c r="H2043" s="31" t="e">
        <v>#N/A</v>
      </c>
      <c r="I2043" s="31" t="e">
        <v>#N/A</v>
      </c>
    </row>
    <row r="2044">
      <c r="A2044" s="11">
        <v>46164.861043530094</v>
      </c>
      <c r="B2044" s="9" t="s">
        <v>76</v>
      </c>
      <c r="C2044" s="9" t="s">
        <v>252</v>
      </c>
      <c r="D2044" s="9" t="s">
        <v>19</v>
      </c>
      <c r="F2044" s="15">
        <v>1.0</v>
      </c>
      <c r="G2044" s="37" t="s">
        <v>65</v>
      </c>
      <c r="H2044" s="31" t="e">
        <v>#N/A</v>
      </c>
      <c r="I2044" s="31" t="e">
        <v>#N/A</v>
      </c>
    </row>
    <row r="2045">
      <c r="A2045" s="11">
        <v>46164.86911659723</v>
      </c>
      <c r="B2045" s="9" t="s">
        <v>333</v>
      </c>
      <c r="C2045" s="9" t="s">
        <v>349</v>
      </c>
      <c r="D2045" s="9" t="s">
        <v>19</v>
      </c>
      <c r="F2045" s="15">
        <v>1.0</v>
      </c>
      <c r="G2045" s="37" t="s">
        <v>65</v>
      </c>
      <c r="H2045" s="31" t="e">
        <v>#N/A</v>
      </c>
      <c r="I2045" s="31" t="e">
        <v>#N/A</v>
      </c>
    </row>
    <row r="2046">
      <c r="A2046" s="11">
        <v>46164.89062695602</v>
      </c>
      <c r="B2046" s="9" t="s">
        <v>143</v>
      </c>
      <c r="C2046" s="9" t="s">
        <v>264</v>
      </c>
      <c r="D2046" s="37" t="s">
        <v>57</v>
      </c>
      <c r="E2046" s="9" t="s">
        <v>122</v>
      </c>
      <c r="F2046" s="15">
        <v>1.0</v>
      </c>
      <c r="G2046" s="37" t="s">
        <v>65</v>
      </c>
      <c r="H2046" s="31" t="e">
        <v>#N/A</v>
      </c>
      <c r="I2046" s="31" t="e">
        <v>#N/A</v>
      </c>
    </row>
    <row r="2047">
      <c r="A2047" s="11">
        <v>46164.893615</v>
      </c>
      <c r="B2047" s="9" t="s">
        <v>59</v>
      </c>
      <c r="C2047" s="9" t="s">
        <v>76</v>
      </c>
      <c r="D2047" s="37" t="s">
        <v>57</v>
      </c>
      <c r="F2047" s="15">
        <v>1.0</v>
      </c>
      <c r="G2047" s="37" t="s">
        <v>65</v>
      </c>
      <c r="H2047" s="31" t="e">
        <v>#N/A</v>
      </c>
      <c r="I2047" s="31" t="e">
        <v>#N/A</v>
      </c>
    </row>
    <row r="2048">
      <c r="A2048" s="11">
        <v>46164.902997268524</v>
      </c>
      <c r="B2048" s="9" t="s">
        <v>282</v>
      </c>
      <c r="C2048" s="9" t="s">
        <v>226</v>
      </c>
      <c r="D2048" s="37" t="s">
        <v>57</v>
      </c>
      <c r="F2048" s="15">
        <v>1.0</v>
      </c>
      <c r="G2048" s="37" t="s">
        <v>65</v>
      </c>
      <c r="H2048" s="31" t="e">
        <v>#N/A</v>
      </c>
      <c r="I2048" s="31" t="e">
        <v>#N/A</v>
      </c>
    </row>
    <row r="2049">
      <c r="A2049" s="11">
        <v>46164.904972187505</v>
      </c>
      <c r="B2049" s="9" t="s">
        <v>88</v>
      </c>
      <c r="C2049" s="9" t="s">
        <v>96</v>
      </c>
      <c r="D2049" s="37" t="s">
        <v>57</v>
      </c>
      <c r="F2049" s="15">
        <v>1.0</v>
      </c>
      <c r="G2049" s="37" t="s">
        <v>65</v>
      </c>
      <c r="H2049" s="31" t="e">
        <v>#N/A</v>
      </c>
      <c r="I2049" s="31" t="e">
        <v>#N/A</v>
      </c>
    </row>
    <row r="2050">
      <c r="A2050" s="11">
        <v>46164.92501464121</v>
      </c>
      <c r="B2050" s="9" t="s">
        <v>264</v>
      </c>
      <c r="C2050" s="9" t="s">
        <v>276</v>
      </c>
      <c r="D2050" s="9" t="s">
        <v>19</v>
      </c>
      <c r="E2050" s="9" t="s">
        <v>577</v>
      </c>
      <c r="F2050" s="15">
        <v>1.0</v>
      </c>
      <c r="G2050" s="37" t="s">
        <v>65</v>
      </c>
      <c r="H2050" s="31" t="e">
        <v>#N/A</v>
      </c>
      <c r="I2050" s="31" t="e">
        <v>#N/A</v>
      </c>
    </row>
    <row r="2051">
      <c r="A2051" s="11">
        <v>46164.94096363426</v>
      </c>
      <c r="B2051" s="9" t="s">
        <v>162</v>
      </c>
      <c r="C2051" s="9" t="s">
        <v>88</v>
      </c>
      <c r="D2051" s="37" t="s">
        <v>57</v>
      </c>
      <c r="F2051" s="15">
        <v>1.0</v>
      </c>
      <c r="G2051" s="37" t="s">
        <v>65</v>
      </c>
      <c r="H2051" s="31" t="e">
        <v>#N/A</v>
      </c>
      <c r="I2051" s="31" t="e">
        <v>#N/A</v>
      </c>
    </row>
    <row r="2052">
      <c r="A2052" s="11">
        <v>46164.9504456713</v>
      </c>
      <c r="B2052" s="9" t="s">
        <v>297</v>
      </c>
      <c r="C2052" s="9" t="s">
        <v>282</v>
      </c>
      <c r="D2052" s="37" t="s">
        <v>57</v>
      </c>
      <c r="F2052" s="15">
        <v>1.0</v>
      </c>
      <c r="G2052" s="37" t="s">
        <v>65</v>
      </c>
      <c r="H2052" s="31" t="e">
        <v>#N/A</v>
      </c>
      <c r="I2052" s="31" t="e">
        <v>#N/A</v>
      </c>
    </row>
    <row r="2053">
      <c r="A2053" s="11">
        <v>46164.95966659722</v>
      </c>
      <c r="B2053" s="9" t="s">
        <v>320</v>
      </c>
      <c r="C2053" s="9" t="s">
        <v>276</v>
      </c>
      <c r="D2053" s="37" t="s">
        <v>57</v>
      </c>
      <c r="F2053" s="15">
        <v>1.0</v>
      </c>
      <c r="H2053" s="31" t="e">
        <v>#N/A</v>
      </c>
      <c r="I2053" s="31" t="e">
        <v>#N/A</v>
      </c>
    </row>
    <row r="2054">
      <c r="A2054" s="11">
        <v>46164.960693553236</v>
      </c>
      <c r="B2054" s="9" t="s">
        <v>96</v>
      </c>
      <c r="C2054" s="9" t="s">
        <v>165</v>
      </c>
      <c r="D2054" s="37" t="s">
        <v>57</v>
      </c>
      <c r="F2054" s="15">
        <v>1.0</v>
      </c>
      <c r="G2054" s="37" t="s">
        <v>65</v>
      </c>
      <c r="H2054" s="31" t="e">
        <v>#N/A</v>
      </c>
      <c r="I2054" s="31" t="e">
        <v>#N/A</v>
      </c>
    </row>
    <row r="2055">
      <c r="A2055" s="11">
        <v>46164.96252966435</v>
      </c>
      <c r="B2055" s="9" t="s">
        <v>17</v>
      </c>
      <c r="C2055" s="9" t="s">
        <v>162</v>
      </c>
      <c r="D2055" s="37" t="s">
        <v>57</v>
      </c>
      <c r="F2055" s="15">
        <v>1.0</v>
      </c>
      <c r="G2055" s="37" t="s">
        <v>65</v>
      </c>
      <c r="H2055" s="31" t="e">
        <v>#N/A</v>
      </c>
      <c r="I2055" s="31" t="e">
        <v>#N/A</v>
      </c>
    </row>
    <row r="2056">
      <c r="A2056" s="11">
        <v>46164.96788710648</v>
      </c>
      <c r="B2056" s="9" t="s">
        <v>88</v>
      </c>
      <c r="C2056" s="9" t="s">
        <v>18</v>
      </c>
      <c r="D2056" s="9" t="s">
        <v>19</v>
      </c>
      <c r="F2056" s="15">
        <v>1.0</v>
      </c>
      <c r="G2056" s="37" t="s">
        <v>65</v>
      </c>
      <c r="H2056" s="31" t="e">
        <v>#N/A</v>
      </c>
      <c r="I2056" s="31" t="e">
        <v>#N/A</v>
      </c>
    </row>
    <row r="2057">
      <c r="A2057" s="11">
        <v>46164.97757261574</v>
      </c>
      <c r="B2057" s="9" t="s">
        <v>17</v>
      </c>
      <c r="C2057" s="9" t="s">
        <v>297</v>
      </c>
      <c r="D2057" s="37" t="s">
        <v>57</v>
      </c>
      <c r="F2057" s="15">
        <v>1.0</v>
      </c>
      <c r="H2057" s="31" t="e">
        <v>#N/A</v>
      </c>
      <c r="I2057" s="31" t="e">
        <v>#N/A</v>
      </c>
    </row>
    <row r="2058">
      <c r="A2058" s="11">
        <v>46164.98774758102</v>
      </c>
      <c r="B2058" s="9" t="s">
        <v>96</v>
      </c>
      <c r="C2058" s="9" t="s">
        <v>162</v>
      </c>
      <c r="D2058" s="9" t="s">
        <v>19</v>
      </c>
      <c r="E2058" s="9" t="s">
        <v>122</v>
      </c>
      <c r="F2058" s="15">
        <v>1.0</v>
      </c>
      <c r="G2058" s="37" t="s">
        <v>65</v>
      </c>
      <c r="H2058" s="31" t="e">
        <v>#N/A</v>
      </c>
      <c r="I2058" s="31" t="e">
        <v>#N/A</v>
      </c>
    </row>
    <row r="2059">
      <c r="A2059" s="11">
        <v>46165.01127436342</v>
      </c>
      <c r="B2059" s="9" t="s">
        <v>88</v>
      </c>
      <c r="C2059" s="9" t="s">
        <v>284</v>
      </c>
      <c r="D2059" s="37" t="s">
        <v>57</v>
      </c>
      <c r="F2059" s="15">
        <v>1.0</v>
      </c>
      <c r="G2059" s="37" t="s">
        <v>65</v>
      </c>
      <c r="H2059" s="31" t="e">
        <v>#N/A</v>
      </c>
      <c r="I2059" s="31" t="e">
        <v>#N/A</v>
      </c>
    </row>
    <row r="2060">
      <c r="A2060" s="11">
        <v>46165.01489016204</v>
      </c>
      <c r="B2060" s="9" t="s">
        <v>18</v>
      </c>
      <c r="C2060" s="9" t="s">
        <v>322</v>
      </c>
      <c r="D2060" s="37" t="s">
        <v>57</v>
      </c>
      <c r="F2060" s="15">
        <v>1.0</v>
      </c>
      <c r="G2060" s="37" t="s">
        <v>65</v>
      </c>
      <c r="H2060" s="31" t="e">
        <v>#N/A</v>
      </c>
      <c r="I2060" s="31" t="e">
        <v>#N/A</v>
      </c>
    </row>
    <row r="2061">
      <c r="A2061" s="11">
        <v>46165.036872303244</v>
      </c>
      <c r="B2061" s="9" t="s">
        <v>192</v>
      </c>
      <c r="C2061" s="9" t="s">
        <v>195</v>
      </c>
      <c r="D2061" s="9" t="s">
        <v>19</v>
      </c>
      <c r="F2061" s="15">
        <v>1.0</v>
      </c>
      <c r="G2061" s="37" t="s">
        <v>65</v>
      </c>
      <c r="H2061" s="31" t="e">
        <v>#N/A</v>
      </c>
      <c r="I2061" s="31" t="e">
        <v>#N/A</v>
      </c>
    </row>
    <row r="2062">
      <c r="A2062" s="11">
        <v>46165.05210564815</v>
      </c>
      <c r="B2062" s="9" t="s">
        <v>101</v>
      </c>
      <c r="C2062" s="9" t="s">
        <v>192</v>
      </c>
      <c r="D2062" s="9" t="s">
        <v>19</v>
      </c>
      <c r="F2062" s="15">
        <v>1.0</v>
      </c>
      <c r="G2062" s="37" t="s">
        <v>65</v>
      </c>
      <c r="H2062" s="31" t="e">
        <v>#N/A</v>
      </c>
      <c r="I2062" s="31" t="e">
        <v>#N/A</v>
      </c>
    </row>
    <row r="2063">
      <c r="A2063" s="11">
        <v>46165.05439297453</v>
      </c>
      <c r="B2063" s="9" t="s">
        <v>337</v>
      </c>
      <c r="C2063" s="9" t="s">
        <v>253</v>
      </c>
      <c r="D2063" s="9" t="s">
        <v>19</v>
      </c>
      <c r="F2063" s="15">
        <v>1.0</v>
      </c>
      <c r="G2063" s="37" t="s">
        <v>65</v>
      </c>
      <c r="H2063" s="31" t="e">
        <v>#N/A</v>
      </c>
      <c r="I2063" s="31" t="e">
        <v>#N/A</v>
      </c>
    </row>
    <row r="2064">
      <c r="A2064" s="11">
        <v>46165.05943364583</v>
      </c>
      <c r="B2064" s="9" t="s">
        <v>17</v>
      </c>
      <c r="C2064" s="9" t="s">
        <v>195</v>
      </c>
      <c r="D2064" s="9" t="s">
        <v>19</v>
      </c>
      <c r="F2064" s="15">
        <v>1.0</v>
      </c>
      <c r="H2064" s="31" t="e">
        <v>#N/A</v>
      </c>
      <c r="I2064" s="31" t="e">
        <v>#N/A</v>
      </c>
    </row>
    <row r="2065">
      <c r="A2065" s="11">
        <v>46165.07244189815</v>
      </c>
      <c r="B2065" s="9" t="s">
        <v>192</v>
      </c>
      <c r="C2065" s="9" t="s">
        <v>337</v>
      </c>
      <c r="D2065" s="9" t="s">
        <v>19</v>
      </c>
      <c r="F2065" s="15">
        <v>1.0</v>
      </c>
      <c r="H2065" s="31" t="e">
        <v>#N/A</v>
      </c>
      <c r="I2065" s="31" t="e">
        <v>#N/A</v>
      </c>
    </row>
    <row r="2066">
      <c r="A2066" s="11">
        <v>46165.08324490741</v>
      </c>
      <c r="B2066" s="9" t="s">
        <v>18</v>
      </c>
      <c r="C2066" s="9" t="s">
        <v>192</v>
      </c>
      <c r="D2066" s="9" t="s">
        <v>19</v>
      </c>
      <c r="F2066" s="15">
        <v>1.0</v>
      </c>
      <c r="G2066" s="37" t="s">
        <v>65</v>
      </c>
      <c r="H2066" s="31" t="e">
        <v>#N/A</v>
      </c>
      <c r="I2066" s="31" t="e">
        <v>#N/A</v>
      </c>
    </row>
    <row r="2067">
      <c r="A2067" s="11">
        <v>46165.33563635417</v>
      </c>
      <c r="B2067" s="9" t="s">
        <v>79</v>
      </c>
      <c r="C2067" s="9" t="s">
        <v>204</v>
      </c>
      <c r="D2067" s="37" t="s">
        <v>57</v>
      </c>
      <c r="F2067" s="15">
        <v>1.0</v>
      </c>
      <c r="G2067" s="37" t="s">
        <v>65</v>
      </c>
      <c r="H2067" s="31" t="e">
        <v>#N/A</v>
      </c>
      <c r="I2067" s="31" t="e">
        <v>#N/A</v>
      </c>
    </row>
    <row r="2068">
      <c r="A2068" s="11">
        <v>46165.36203101852</v>
      </c>
      <c r="B2068" s="9" t="s">
        <v>174</v>
      </c>
      <c r="C2068" s="9" t="s">
        <v>79</v>
      </c>
      <c r="D2068" s="37" t="s">
        <v>57</v>
      </c>
      <c r="E2068" s="9" t="s">
        <v>122</v>
      </c>
      <c r="F2068" s="15">
        <v>1.0</v>
      </c>
      <c r="G2068" s="37" t="s">
        <v>65</v>
      </c>
      <c r="H2068" s="31" t="e">
        <v>#N/A</v>
      </c>
      <c r="I2068" s="31" t="e">
        <v>#N/A</v>
      </c>
    </row>
    <row r="2069">
      <c r="A2069" s="11">
        <v>46165.399131342594</v>
      </c>
      <c r="B2069" s="9" t="s">
        <v>88</v>
      </c>
      <c r="C2069" s="9" t="s">
        <v>54</v>
      </c>
      <c r="D2069" s="37" t="s">
        <v>57</v>
      </c>
      <c r="F2069" s="15">
        <v>1.0</v>
      </c>
      <c r="G2069" s="37" t="s">
        <v>65</v>
      </c>
      <c r="H2069" s="31" t="e">
        <v>#N/A</v>
      </c>
      <c r="I2069" s="31" t="e">
        <v>#N/A</v>
      </c>
    </row>
    <row r="2070">
      <c r="A2070" s="11">
        <v>46165.41904680556</v>
      </c>
      <c r="B2070" s="9" t="s">
        <v>54</v>
      </c>
      <c r="C2070" s="9" t="s">
        <v>218</v>
      </c>
      <c r="D2070" s="9" t="s">
        <v>19</v>
      </c>
      <c r="F2070" s="15">
        <v>1.0</v>
      </c>
      <c r="G2070" s="37" t="s">
        <v>65</v>
      </c>
      <c r="H2070" s="31" t="e">
        <v>#N/A</v>
      </c>
      <c r="I2070" s="31" t="e">
        <v>#N/A</v>
      </c>
    </row>
    <row r="2071">
      <c r="A2071" s="11">
        <v>46165.448395694446</v>
      </c>
      <c r="B2071" s="9" t="s">
        <v>302</v>
      </c>
      <c r="C2071" s="9" t="s">
        <v>204</v>
      </c>
      <c r="D2071" s="37" t="s">
        <v>57</v>
      </c>
      <c r="E2071" s="9" t="s">
        <v>176</v>
      </c>
      <c r="F2071" s="15">
        <v>1.0</v>
      </c>
      <c r="G2071" s="37" t="s">
        <v>65</v>
      </c>
      <c r="H2071" s="31" t="e">
        <v>#N/A</v>
      </c>
      <c r="I2071" s="31" t="e">
        <v>#N/A</v>
      </c>
    </row>
    <row r="2072">
      <c r="A2072" s="11">
        <v>46165.45942046297</v>
      </c>
      <c r="B2072" s="9" t="s">
        <v>184</v>
      </c>
      <c r="C2072" s="9" t="s">
        <v>273</v>
      </c>
      <c r="D2072" s="9" t="s">
        <v>19</v>
      </c>
      <c r="F2072" s="15">
        <v>1.0</v>
      </c>
      <c r="G2072" s="37" t="s">
        <v>65</v>
      </c>
      <c r="H2072" s="31" t="e">
        <v>#N/A</v>
      </c>
      <c r="I2072" s="31" t="e">
        <v>#N/A</v>
      </c>
    </row>
    <row r="2073">
      <c r="A2073" s="11">
        <v>46165.48182792824</v>
      </c>
      <c r="B2073" s="9" t="s">
        <v>273</v>
      </c>
      <c r="C2073" s="9" t="s">
        <v>286</v>
      </c>
      <c r="D2073" s="37" t="s">
        <v>57</v>
      </c>
      <c r="E2073" s="9" t="s">
        <v>122</v>
      </c>
      <c r="F2073" s="15">
        <v>1.0</v>
      </c>
      <c r="H2073" s="31" t="e">
        <v>#N/A</v>
      </c>
      <c r="I2073" s="31" t="e">
        <v>#N/A</v>
      </c>
    </row>
    <row r="2074">
      <c r="A2074" s="11">
        <v>46165.49870625</v>
      </c>
      <c r="B2074" s="9" t="s">
        <v>184</v>
      </c>
      <c r="C2074" s="9" t="s">
        <v>96</v>
      </c>
      <c r="D2074" s="37" t="s">
        <v>57</v>
      </c>
      <c r="F2074" s="15">
        <v>1.0</v>
      </c>
      <c r="H2074" s="31" t="e">
        <v>#N/A</v>
      </c>
      <c r="I2074" s="31" t="e">
        <v>#N/A</v>
      </c>
    </row>
    <row r="2075">
      <c r="A2075" s="11">
        <v>46165.49917273148</v>
      </c>
      <c r="B2075" s="9" t="s">
        <v>273</v>
      </c>
      <c r="C2075" s="9" t="s">
        <v>354</v>
      </c>
      <c r="D2075" s="9" t="s">
        <v>19</v>
      </c>
      <c r="F2075" s="15">
        <v>1.0</v>
      </c>
      <c r="H2075" s="31" t="e">
        <v>#N/A</v>
      </c>
      <c r="I2075" s="31" t="e">
        <v>#N/A</v>
      </c>
    </row>
    <row r="2076">
      <c r="A2076" s="11">
        <v>46165.51163533565</v>
      </c>
      <c r="B2076" s="9" t="s">
        <v>17</v>
      </c>
      <c r="C2076" s="9" t="s">
        <v>366</v>
      </c>
      <c r="D2076" s="9" t="s">
        <v>19</v>
      </c>
      <c r="F2076" s="15">
        <v>1.0</v>
      </c>
      <c r="H2076" s="31" t="e">
        <v>#N/A</v>
      </c>
      <c r="I2076" s="31" t="e">
        <v>#N/A</v>
      </c>
    </row>
    <row r="2077">
      <c r="A2077" s="11">
        <v>46165.52416789352</v>
      </c>
      <c r="B2077" s="9" t="s">
        <v>17</v>
      </c>
      <c r="C2077" s="9" t="s">
        <v>273</v>
      </c>
      <c r="D2077" s="37" t="s">
        <v>57</v>
      </c>
      <c r="F2077" s="15">
        <v>1.0</v>
      </c>
      <c r="G2077" s="37" t="s">
        <v>65</v>
      </c>
      <c r="H2077" s="31" t="e">
        <v>#N/A</v>
      </c>
      <c r="I2077" s="31" t="e">
        <v>#N/A</v>
      </c>
    </row>
    <row r="2078">
      <c r="A2078" s="11">
        <v>46165.524611076384</v>
      </c>
      <c r="B2078" s="9" t="s">
        <v>166</v>
      </c>
      <c r="C2078" s="9" t="s">
        <v>253</v>
      </c>
      <c r="D2078" s="37" t="s">
        <v>57</v>
      </c>
      <c r="E2078" s="9" t="s">
        <v>578</v>
      </c>
      <c r="F2078" s="15">
        <v>1.0</v>
      </c>
      <c r="H2078" s="31" t="e">
        <v>#N/A</v>
      </c>
      <c r="I2078" s="31" t="e">
        <v>#N/A</v>
      </c>
    </row>
    <row r="2079">
      <c r="A2079" s="11">
        <v>46165.534770555554</v>
      </c>
      <c r="B2079" s="9" t="s">
        <v>231</v>
      </c>
      <c r="C2079" s="9" t="s">
        <v>299</v>
      </c>
      <c r="D2079" s="9" t="s">
        <v>19</v>
      </c>
      <c r="F2079" s="15">
        <v>1.0</v>
      </c>
      <c r="G2079" s="37" t="s">
        <v>65</v>
      </c>
      <c r="H2079" s="31" t="e">
        <v>#N/A</v>
      </c>
      <c r="I2079" s="31" t="e">
        <v>#N/A</v>
      </c>
    </row>
    <row r="2080">
      <c r="A2080" s="11">
        <v>46165.60596519676</v>
      </c>
      <c r="B2080" s="9" t="s">
        <v>142</v>
      </c>
      <c r="C2080" s="9" t="s">
        <v>299</v>
      </c>
      <c r="D2080" s="9" t="s">
        <v>19</v>
      </c>
      <c r="F2080" s="15">
        <v>1.0</v>
      </c>
      <c r="G2080" s="37" t="s">
        <v>65</v>
      </c>
      <c r="H2080" s="31" t="e">
        <v>#N/A</v>
      </c>
      <c r="I2080" s="31" t="e">
        <v>#N/A</v>
      </c>
    </row>
    <row r="2081">
      <c r="A2081" s="11">
        <v>46165.611310486114</v>
      </c>
      <c r="B2081" s="9" t="s">
        <v>226</v>
      </c>
      <c r="C2081" s="9" t="s">
        <v>187</v>
      </c>
      <c r="D2081" s="9" t="s">
        <v>19</v>
      </c>
      <c r="E2081" s="9" t="s">
        <v>112</v>
      </c>
      <c r="F2081" s="15">
        <v>1.0</v>
      </c>
      <c r="G2081" s="37" t="s">
        <v>65</v>
      </c>
      <c r="H2081" s="31" t="e">
        <v>#N/A</v>
      </c>
      <c r="I2081" s="31" t="e">
        <v>#N/A</v>
      </c>
    </row>
    <row r="2082">
      <c r="A2082" s="11">
        <v>46165.61586438658</v>
      </c>
      <c r="B2082" s="9" t="s">
        <v>143</v>
      </c>
      <c r="C2082" s="9" t="s">
        <v>213</v>
      </c>
      <c r="D2082" s="37" t="s">
        <v>57</v>
      </c>
      <c r="E2082" s="9" t="s">
        <v>140</v>
      </c>
      <c r="F2082" s="15">
        <v>1.0</v>
      </c>
      <c r="G2082" s="37" t="s">
        <v>65</v>
      </c>
      <c r="H2082" s="31" t="e">
        <v>#N/A</v>
      </c>
      <c r="I2082" s="31" t="e">
        <v>#N/A</v>
      </c>
    </row>
    <row r="2083">
      <c r="A2083" s="11">
        <v>46165.624576863425</v>
      </c>
      <c r="B2083" s="9" t="s">
        <v>142</v>
      </c>
      <c r="C2083" s="9" t="s">
        <v>269</v>
      </c>
      <c r="D2083" s="9" t="s">
        <v>19</v>
      </c>
      <c r="F2083" s="15">
        <v>1.0</v>
      </c>
      <c r="H2083" s="31" t="e">
        <v>#N/A</v>
      </c>
      <c r="I2083" s="31" t="e">
        <v>#N/A</v>
      </c>
    </row>
    <row r="2084">
      <c r="A2084" s="11">
        <v>46165.633678784725</v>
      </c>
      <c r="B2084" s="9" t="s">
        <v>245</v>
      </c>
      <c r="C2084" s="9" t="s">
        <v>142</v>
      </c>
      <c r="D2084" s="9" t="s">
        <v>19</v>
      </c>
      <c r="F2084" s="15">
        <v>1.0</v>
      </c>
      <c r="H2084" s="31" t="e">
        <v>#N/A</v>
      </c>
      <c r="I2084" s="31" t="e">
        <v>#N/A</v>
      </c>
    </row>
    <row r="2085">
      <c r="A2085" s="11">
        <v>46165.63574219907</v>
      </c>
      <c r="B2085" s="9" t="s">
        <v>282</v>
      </c>
      <c r="C2085" s="9" t="s">
        <v>187</v>
      </c>
      <c r="D2085" s="37" t="s">
        <v>57</v>
      </c>
      <c r="F2085" s="15">
        <v>1.0</v>
      </c>
      <c r="H2085" s="31" t="e">
        <v>#N/A</v>
      </c>
      <c r="I2085" s="31" t="e">
        <v>#N/A</v>
      </c>
    </row>
    <row r="2086">
      <c r="A2086" s="11">
        <v>46165.64194377315</v>
      </c>
      <c r="B2086" s="9" t="s">
        <v>213</v>
      </c>
      <c r="C2086" s="9" t="s">
        <v>184</v>
      </c>
      <c r="D2086" s="9" t="s">
        <v>19</v>
      </c>
      <c r="F2086" s="15">
        <v>1.0</v>
      </c>
      <c r="G2086" s="37" t="s">
        <v>65</v>
      </c>
      <c r="H2086" s="31" t="e">
        <v>#N/A</v>
      </c>
      <c r="I2086" s="31" t="e">
        <v>#N/A</v>
      </c>
    </row>
    <row r="2087">
      <c r="A2087" s="11">
        <v>46165.66121827546</v>
      </c>
      <c r="B2087" s="9" t="s">
        <v>245</v>
      </c>
      <c r="C2087" s="9" t="s">
        <v>162</v>
      </c>
      <c r="D2087" s="9" t="s">
        <v>19</v>
      </c>
      <c r="E2087" s="9" t="s">
        <v>122</v>
      </c>
      <c r="F2087" s="15">
        <v>1.0</v>
      </c>
      <c r="G2087" s="37" t="s">
        <v>65</v>
      </c>
      <c r="H2087" s="31" t="e">
        <v>#N/A</v>
      </c>
      <c r="I2087" s="31" t="e">
        <v>#N/A</v>
      </c>
    </row>
    <row r="2088">
      <c r="A2088" s="11">
        <v>46165.66479318287</v>
      </c>
      <c r="B2088" s="9" t="s">
        <v>302</v>
      </c>
      <c r="C2088" s="9" t="s">
        <v>174</v>
      </c>
      <c r="D2088" s="37" t="s">
        <v>57</v>
      </c>
      <c r="E2088" s="9" t="s">
        <v>112</v>
      </c>
      <c r="F2088" s="15">
        <v>1.0</v>
      </c>
      <c r="G2088" s="37" t="s">
        <v>65</v>
      </c>
      <c r="H2088" s="31" t="e">
        <v>#N/A</v>
      </c>
      <c r="I2088" s="31" t="e">
        <v>#N/A</v>
      </c>
    </row>
    <row r="2089">
      <c r="A2089" s="11">
        <v>46165.681557337964</v>
      </c>
      <c r="B2089" s="9" t="s">
        <v>184</v>
      </c>
      <c r="C2089" s="9" t="s">
        <v>245</v>
      </c>
      <c r="D2089" s="37" t="s">
        <v>57</v>
      </c>
      <c r="F2089" s="15">
        <v>1.0</v>
      </c>
      <c r="G2089" s="37" t="s">
        <v>65</v>
      </c>
      <c r="H2089" s="31" t="e">
        <v>#N/A</v>
      </c>
      <c r="I2089" s="31" t="e">
        <v>#N/A</v>
      </c>
    </row>
    <row r="2090">
      <c r="A2090" s="11">
        <v>46165.70120678241</v>
      </c>
      <c r="B2090" s="9" t="s">
        <v>162</v>
      </c>
      <c r="C2090" s="9" t="s">
        <v>184</v>
      </c>
      <c r="D2090" s="9" t="s">
        <v>19</v>
      </c>
      <c r="F2090" s="15">
        <v>1.0</v>
      </c>
      <c r="G2090" s="37" t="s">
        <v>65</v>
      </c>
      <c r="H2090" s="31" t="e">
        <v>#N/A</v>
      </c>
      <c r="I2090" s="31" t="e">
        <v>#N/A</v>
      </c>
    </row>
    <row r="2091">
      <c r="A2091" s="11">
        <v>46165.72075361111</v>
      </c>
      <c r="B2091" s="9" t="s">
        <v>163</v>
      </c>
      <c r="C2091" s="9" t="s">
        <v>101</v>
      </c>
      <c r="D2091" s="37" t="s">
        <v>57</v>
      </c>
      <c r="E2091" s="9" t="s">
        <v>140</v>
      </c>
      <c r="F2091" s="15">
        <v>1.0</v>
      </c>
      <c r="H2091" s="31" t="e">
        <v>#N/A</v>
      </c>
      <c r="I2091" s="31" t="e">
        <v>#N/A</v>
      </c>
    </row>
    <row r="2092">
      <c r="A2092" s="11">
        <v>46165.72427641204</v>
      </c>
      <c r="B2092" s="9" t="s">
        <v>331</v>
      </c>
      <c r="C2092" s="9" t="s">
        <v>184</v>
      </c>
      <c r="D2092" s="37" t="s">
        <v>57</v>
      </c>
      <c r="F2092" s="15">
        <v>1.0</v>
      </c>
      <c r="H2092" s="31" t="e">
        <v>#N/A</v>
      </c>
      <c r="I2092" s="31" t="e">
        <v>#N/A</v>
      </c>
    </row>
    <row r="2093">
      <c r="A2093" s="11">
        <v>46165.73553795139</v>
      </c>
      <c r="B2093" s="9" t="s">
        <v>393</v>
      </c>
      <c r="C2093" s="9" t="s">
        <v>121</v>
      </c>
      <c r="D2093" s="37" t="s">
        <v>57</v>
      </c>
      <c r="E2093" s="9" t="s">
        <v>579</v>
      </c>
      <c r="F2093" s="15">
        <v>1.0</v>
      </c>
      <c r="G2093" s="37" t="s">
        <v>65</v>
      </c>
      <c r="H2093" s="31" t="e">
        <v>#N/A</v>
      </c>
      <c r="I2093" s="31" t="e">
        <v>#N/A</v>
      </c>
    </row>
    <row r="2094">
      <c r="A2094" s="11">
        <v>46165.77286765046</v>
      </c>
      <c r="B2094" s="9" t="s">
        <v>163</v>
      </c>
      <c r="C2094" s="9" t="s">
        <v>259</v>
      </c>
      <c r="D2094" s="37" t="s">
        <v>57</v>
      </c>
      <c r="E2094" s="9" t="s">
        <v>140</v>
      </c>
      <c r="F2094" s="15">
        <v>1.0</v>
      </c>
      <c r="G2094" s="37" t="s">
        <v>65</v>
      </c>
      <c r="H2094" s="31" t="e">
        <v>#N/A</v>
      </c>
      <c r="I2094" s="31" t="e">
        <v>#N/A</v>
      </c>
    </row>
    <row r="2095">
      <c r="A2095" s="11">
        <v>46165.83627018519</v>
      </c>
      <c r="B2095" s="9" t="s">
        <v>302</v>
      </c>
      <c r="C2095" s="9" t="s">
        <v>163</v>
      </c>
      <c r="D2095" s="9" t="s">
        <v>19</v>
      </c>
      <c r="E2095" s="9" t="s">
        <v>112</v>
      </c>
      <c r="F2095" s="15">
        <v>1.0</v>
      </c>
      <c r="H2095" s="31" t="e">
        <v>#N/A</v>
      </c>
      <c r="I2095" s="31" t="e">
        <v>#N/A</v>
      </c>
    </row>
    <row r="2096">
      <c r="A2096" s="11">
        <v>46165.86514164352</v>
      </c>
      <c r="B2096" s="9" t="s">
        <v>71</v>
      </c>
      <c r="C2096" s="9" t="s">
        <v>143</v>
      </c>
      <c r="D2096" s="9" t="s">
        <v>19</v>
      </c>
      <c r="F2096" s="15">
        <v>1.0</v>
      </c>
      <c r="G2096" s="37" t="s">
        <v>65</v>
      </c>
      <c r="H2096" s="31" t="e">
        <v>#N/A</v>
      </c>
      <c r="I2096" s="31" t="e">
        <v>#N/A</v>
      </c>
    </row>
    <row r="2097">
      <c r="A2097" s="11">
        <v>46165.89240502314</v>
      </c>
      <c r="B2097" s="9" t="s">
        <v>271</v>
      </c>
      <c r="C2097" s="9" t="s">
        <v>218</v>
      </c>
      <c r="D2097" s="9" t="s">
        <v>19</v>
      </c>
      <c r="E2097" s="9" t="s">
        <v>580</v>
      </c>
      <c r="F2097" s="15">
        <v>1.0</v>
      </c>
      <c r="G2097" s="37" t="s">
        <v>65</v>
      </c>
      <c r="H2097" s="31" t="e">
        <v>#N/A</v>
      </c>
      <c r="I2097" s="31" t="e">
        <v>#N/A</v>
      </c>
    </row>
    <row r="2098">
      <c r="A2098" s="11">
        <v>46165.909708136576</v>
      </c>
      <c r="B2098" s="9" t="s">
        <v>218</v>
      </c>
      <c r="C2098" s="9" t="s">
        <v>167</v>
      </c>
      <c r="D2098" s="9" t="s">
        <v>19</v>
      </c>
      <c r="F2098" s="15">
        <v>1.0</v>
      </c>
      <c r="H2098" s="31" t="e">
        <v>#N/A</v>
      </c>
      <c r="I2098" s="31" t="e">
        <v>#N/A</v>
      </c>
    </row>
    <row r="2099">
      <c r="A2099" s="11">
        <v>46165.9318509838</v>
      </c>
      <c r="B2099" s="9" t="s">
        <v>344</v>
      </c>
      <c r="C2099" s="9" t="s">
        <v>121</v>
      </c>
      <c r="D2099" s="9" t="s">
        <v>19</v>
      </c>
      <c r="E2099" s="9" t="s">
        <v>140</v>
      </c>
      <c r="F2099" s="15">
        <v>1.0</v>
      </c>
      <c r="G2099" s="37" t="s">
        <v>65</v>
      </c>
      <c r="H2099" s="31" t="e">
        <v>#N/A</v>
      </c>
      <c r="I2099" s="31" t="e">
        <v>#N/A</v>
      </c>
    </row>
    <row r="2100">
      <c r="A2100" s="11">
        <v>46165.93613099537</v>
      </c>
      <c r="B2100" s="9" t="s">
        <v>345</v>
      </c>
      <c r="C2100" s="9" t="s">
        <v>165</v>
      </c>
      <c r="D2100" s="9" t="s">
        <v>19</v>
      </c>
      <c r="E2100" s="9" t="s">
        <v>112</v>
      </c>
      <c r="F2100" s="15">
        <v>1.0</v>
      </c>
      <c r="G2100" s="37" t="s">
        <v>65</v>
      </c>
      <c r="H2100" s="31" t="e">
        <v>#N/A</v>
      </c>
      <c r="I2100" s="31" t="e">
        <v>#N/A</v>
      </c>
    </row>
    <row r="2101">
      <c r="A2101" s="11">
        <v>46165.95843846065</v>
      </c>
      <c r="B2101" s="9" t="s">
        <v>121</v>
      </c>
      <c r="C2101" s="9" t="s">
        <v>165</v>
      </c>
      <c r="D2101" s="9" t="s">
        <v>19</v>
      </c>
      <c r="E2101" s="9" t="s">
        <v>581</v>
      </c>
      <c r="F2101" s="15">
        <v>1.0</v>
      </c>
      <c r="G2101" s="37" t="s">
        <v>65</v>
      </c>
      <c r="H2101" s="31" t="e">
        <v>#N/A</v>
      </c>
      <c r="I2101" s="31" t="e">
        <v>#N/A</v>
      </c>
    </row>
    <row r="2102">
      <c r="A2102" s="11">
        <v>46166.01261809027</v>
      </c>
      <c r="B2102" s="9" t="s">
        <v>128</v>
      </c>
      <c r="C2102" s="9" t="s">
        <v>282</v>
      </c>
      <c r="D2102" s="37" t="s">
        <v>57</v>
      </c>
      <c r="F2102" s="15">
        <v>1.0</v>
      </c>
      <c r="G2102" s="37" t="s">
        <v>65</v>
      </c>
      <c r="H2102" s="31" t="e">
        <v>#N/A</v>
      </c>
      <c r="I2102" s="31" t="e">
        <v>#N/A</v>
      </c>
    </row>
    <row r="2103">
      <c r="A2103" s="11">
        <v>46166.07007591435</v>
      </c>
      <c r="B2103" s="9" t="s">
        <v>281</v>
      </c>
      <c r="C2103" s="9" t="s">
        <v>256</v>
      </c>
      <c r="D2103" s="37" t="s">
        <v>57</v>
      </c>
      <c r="F2103" s="15">
        <v>1.0</v>
      </c>
      <c r="G2103" s="37" t="s">
        <v>65</v>
      </c>
      <c r="H2103" s="31" t="e">
        <v>#N/A</v>
      </c>
      <c r="I2103" s="31" t="e">
        <v>#N/A</v>
      </c>
    </row>
    <row r="2104">
      <c r="A2104" s="11">
        <v>46166.32260976852</v>
      </c>
      <c r="B2104" s="9" t="s">
        <v>54</v>
      </c>
      <c r="C2104" s="9" t="s">
        <v>204</v>
      </c>
      <c r="D2104" s="9" t="s">
        <v>19</v>
      </c>
      <c r="F2104" s="15">
        <v>1.0</v>
      </c>
      <c r="G2104" s="37" t="s">
        <v>65</v>
      </c>
      <c r="H2104" s="31" t="e">
        <v>#N/A</v>
      </c>
      <c r="I2104" s="31" t="e">
        <v>#N/A</v>
      </c>
    </row>
    <row r="2105">
      <c r="A2105" s="11">
        <v>46166.393018518516</v>
      </c>
      <c r="B2105" s="9" t="s">
        <v>350</v>
      </c>
      <c r="C2105" s="9" t="s">
        <v>166</v>
      </c>
      <c r="D2105" s="9" t="s">
        <v>19</v>
      </c>
      <c r="F2105" s="15">
        <v>1.0</v>
      </c>
      <c r="G2105" s="37" t="s">
        <v>65</v>
      </c>
      <c r="H2105" s="31" t="e">
        <v>#N/A</v>
      </c>
      <c r="I2105" s="31" t="e">
        <v>#N/A</v>
      </c>
    </row>
    <row r="2106">
      <c r="A2106" s="11">
        <v>46166.404166423614</v>
      </c>
      <c r="B2106" s="9" t="s">
        <v>288</v>
      </c>
      <c r="C2106" s="9" t="s">
        <v>174</v>
      </c>
      <c r="D2106" s="37" t="s">
        <v>57</v>
      </c>
      <c r="F2106" s="15">
        <v>1.0</v>
      </c>
      <c r="H2106" s="31" t="e">
        <v>#N/A</v>
      </c>
      <c r="I2106" s="31" t="e">
        <v>#N/A</v>
      </c>
    </row>
    <row r="2107">
      <c r="A2107" s="11">
        <v>46166.41453019676</v>
      </c>
      <c r="B2107" s="9" t="s">
        <v>219</v>
      </c>
      <c r="C2107" s="9" t="s">
        <v>261</v>
      </c>
      <c r="D2107" s="9" t="s">
        <v>19</v>
      </c>
      <c r="F2107" s="15">
        <v>1.0</v>
      </c>
      <c r="H2107" s="31" t="e">
        <v>#N/A</v>
      </c>
      <c r="I2107" s="31" t="e">
        <v>#N/A</v>
      </c>
    </row>
    <row r="2108">
      <c r="A2108" s="11">
        <v>46166.428442199074</v>
      </c>
      <c r="B2108" s="9" t="s">
        <v>350</v>
      </c>
      <c r="C2108" s="9" t="s">
        <v>288</v>
      </c>
      <c r="D2108" s="37" t="s">
        <v>57</v>
      </c>
      <c r="F2108" s="15">
        <v>1.0</v>
      </c>
      <c r="G2108" s="37" t="s">
        <v>65</v>
      </c>
      <c r="H2108" s="31" t="e">
        <v>#N/A</v>
      </c>
      <c r="I2108" s="31" t="e">
        <v>#N/A</v>
      </c>
    </row>
    <row r="2109">
      <c r="A2109" s="11">
        <v>46166.434671967596</v>
      </c>
      <c r="B2109" s="9" t="s">
        <v>218</v>
      </c>
      <c r="C2109" s="9" t="s">
        <v>114</v>
      </c>
      <c r="D2109" s="37" t="s">
        <v>57</v>
      </c>
      <c r="F2109" s="15">
        <v>1.0</v>
      </c>
      <c r="H2109" s="31" t="e">
        <v>#N/A</v>
      </c>
      <c r="I2109" s="31" t="e">
        <v>#N/A</v>
      </c>
    </row>
    <row r="2110">
      <c r="A2110" s="11">
        <v>46166.455196319446</v>
      </c>
      <c r="B2110" s="9" t="s">
        <v>288</v>
      </c>
      <c r="C2110" s="9" t="s">
        <v>218</v>
      </c>
      <c r="D2110" s="9" t="s">
        <v>19</v>
      </c>
      <c r="F2110" s="15">
        <v>1.0</v>
      </c>
      <c r="G2110" s="37" t="s">
        <v>65</v>
      </c>
      <c r="H2110" s="31" t="e">
        <v>#N/A</v>
      </c>
      <c r="I2110" s="31" t="e">
        <v>#N/A</v>
      </c>
    </row>
    <row r="2111">
      <c r="A2111" s="11">
        <v>46166.49081862268</v>
      </c>
      <c r="B2111" s="9" t="s">
        <v>277</v>
      </c>
      <c r="C2111" s="9" t="s">
        <v>288</v>
      </c>
      <c r="D2111" s="9" t="s">
        <v>19</v>
      </c>
      <c r="F2111" s="15">
        <v>1.0</v>
      </c>
      <c r="G2111" s="37" t="s">
        <v>65</v>
      </c>
      <c r="H2111" s="31" t="e">
        <v>#N/A</v>
      </c>
      <c r="I2111" s="31" t="e">
        <v>#N/A</v>
      </c>
    </row>
    <row r="2112">
      <c r="A2112" s="11">
        <v>46166.52928076389</v>
      </c>
      <c r="B2112" s="9" t="s">
        <v>92</v>
      </c>
      <c r="C2112" s="9" t="s">
        <v>59</v>
      </c>
      <c r="D2112" s="9" t="s">
        <v>19</v>
      </c>
      <c r="F2112" s="15">
        <v>1.0</v>
      </c>
      <c r="G2112" s="37" t="s">
        <v>65</v>
      </c>
      <c r="H2112" s="31" t="e">
        <v>#N/A</v>
      </c>
      <c r="I2112" s="31" t="e">
        <v>#N/A</v>
      </c>
    </row>
    <row r="2113">
      <c r="A2113" s="11">
        <v>46166.555712974536</v>
      </c>
      <c r="B2113" s="9" t="s">
        <v>92</v>
      </c>
      <c r="C2113" s="9" t="s">
        <v>302</v>
      </c>
      <c r="D2113" s="9" t="s">
        <v>19</v>
      </c>
      <c r="F2113" s="15">
        <v>1.0</v>
      </c>
      <c r="H2113" s="31" t="e">
        <v>#N/A</v>
      </c>
      <c r="I2113" s="31" t="e">
        <v>#N/A</v>
      </c>
    </row>
    <row r="2114">
      <c r="A2114" s="11">
        <v>46166.571768124995</v>
      </c>
      <c r="B2114" s="9" t="s">
        <v>190</v>
      </c>
      <c r="C2114" s="9" t="s">
        <v>219</v>
      </c>
      <c r="D2114" s="37" t="s">
        <v>57</v>
      </c>
      <c r="E2114" s="9" t="s">
        <v>270</v>
      </c>
      <c r="F2114" s="15">
        <v>1.0</v>
      </c>
      <c r="H2114" s="31" t="e">
        <v>#N/A</v>
      </c>
      <c r="I2114" s="31" t="e">
        <v>#N/A</v>
      </c>
    </row>
    <row r="2115">
      <c r="A2115" s="11">
        <v>46166.57525364583</v>
      </c>
      <c r="B2115" s="9" t="s">
        <v>189</v>
      </c>
      <c r="C2115" s="9" t="s">
        <v>214</v>
      </c>
      <c r="D2115" s="37" t="s">
        <v>57</v>
      </c>
      <c r="E2115" s="9" t="s">
        <v>122</v>
      </c>
      <c r="F2115" s="15">
        <v>1.0</v>
      </c>
      <c r="H2115" s="31" t="e">
        <v>#N/A</v>
      </c>
      <c r="I2115" s="31" t="e">
        <v>#N/A</v>
      </c>
    </row>
    <row r="2116">
      <c r="A2116" s="11">
        <v>46166.596015717594</v>
      </c>
      <c r="B2116" s="9" t="s">
        <v>92</v>
      </c>
      <c r="C2116" s="9" t="s">
        <v>374</v>
      </c>
      <c r="D2116" s="37" t="s">
        <v>57</v>
      </c>
      <c r="F2116" s="15">
        <v>1.0</v>
      </c>
      <c r="H2116" s="31" t="e">
        <v>#N/A</v>
      </c>
      <c r="I2116" s="31" t="e">
        <v>#N/A</v>
      </c>
    </row>
    <row r="2117">
      <c r="A2117" s="11">
        <v>46166.59726003472</v>
      </c>
      <c r="B2117" s="9" t="s">
        <v>331</v>
      </c>
      <c r="C2117" s="9" t="s">
        <v>166</v>
      </c>
      <c r="D2117" s="37" t="s">
        <v>57</v>
      </c>
      <c r="F2117" s="15">
        <v>1.0</v>
      </c>
      <c r="H2117" s="31" t="e">
        <v>#N/A</v>
      </c>
      <c r="I2117" s="31" t="e">
        <v>#N/A</v>
      </c>
    </row>
    <row r="2118">
      <c r="A2118" s="11">
        <v>46166.607930266204</v>
      </c>
      <c r="B2118" s="9" t="s">
        <v>288</v>
      </c>
      <c r="C2118" s="9" t="s">
        <v>190</v>
      </c>
      <c r="D2118" s="37" t="s">
        <v>57</v>
      </c>
      <c r="F2118" s="15">
        <v>1.0</v>
      </c>
      <c r="G2118" s="37" t="s">
        <v>65</v>
      </c>
      <c r="H2118" s="31" t="e">
        <v>#N/A</v>
      </c>
      <c r="I2118" s="31" t="e">
        <v>#N/A</v>
      </c>
    </row>
    <row r="2119">
      <c r="A2119" s="11">
        <v>46166.61450708333</v>
      </c>
      <c r="B2119" s="9" t="s">
        <v>71</v>
      </c>
      <c r="C2119" s="9" t="s">
        <v>350</v>
      </c>
      <c r="D2119" s="37" t="s">
        <v>57</v>
      </c>
      <c r="F2119" s="15">
        <v>1.0</v>
      </c>
      <c r="G2119" s="37" t="s">
        <v>65</v>
      </c>
      <c r="H2119" s="31" t="e">
        <v>#N/A</v>
      </c>
      <c r="I2119" s="31" t="e">
        <v>#N/A</v>
      </c>
    </row>
    <row r="2120">
      <c r="A2120" s="11">
        <v>46166.63318355324</v>
      </c>
      <c r="B2120" s="9" t="s">
        <v>63</v>
      </c>
      <c r="C2120" s="9" t="s">
        <v>277</v>
      </c>
      <c r="D2120" s="9" t="s">
        <v>19</v>
      </c>
      <c r="F2120" s="15">
        <v>1.0</v>
      </c>
      <c r="G2120" s="37" t="s">
        <v>65</v>
      </c>
      <c r="H2120" s="31" t="e">
        <v>#N/A</v>
      </c>
      <c r="I2120" s="31" t="e">
        <v>#N/A</v>
      </c>
    </row>
    <row r="2121">
      <c r="A2121" s="11">
        <v>46166.64170231481</v>
      </c>
      <c r="B2121" s="9" t="s">
        <v>271</v>
      </c>
      <c r="C2121" s="9" t="s">
        <v>350</v>
      </c>
      <c r="D2121" s="9" t="s">
        <v>19</v>
      </c>
      <c r="E2121" s="9" t="s">
        <v>140</v>
      </c>
      <c r="F2121" s="15">
        <v>1.0</v>
      </c>
      <c r="G2121" s="37" t="s">
        <v>65</v>
      </c>
      <c r="H2121" s="31" t="e">
        <v>#N/A</v>
      </c>
      <c r="I2121" s="31" t="e">
        <v>#N/A</v>
      </c>
    </row>
    <row r="2122">
      <c r="A2122" s="11">
        <v>46166.65319428241</v>
      </c>
      <c r="B2122" s="9" t="s">
        <v>63</v>
      </c>
      <c r="C2122" s="9" t="s">
        <v>331</v>
      </c>
      <c r="D2122" s="37" t="s">
        <v>57</v>
      </c>
      <c r="F2122" s="15">
        <v>1.0</v>
      </c>
      <c r="H2122" s="31" t="e">
        <v>#N/A</v>
      </c>
      <c r="I2122" s="31" t="e">
        <v>#N/A</v>
      </c>
    </row>
    <row r="2123">
      <c r="A2123" s="11">
        <v>46166.67371445602</v>
      </c>
      <c r="B2123" s="9" t="s">
        <v>271</v>
      </c>
      <c r="C2123" s="9" t="s">
        <v>63</v>
      </c>
      <c r="D2123" s="9" t="s">
        <v>19</v>
      </c>
      <c r="E2123" s="9" t="s">
        <v>140</v>
      </c>
      <c r="F2123" s="15">
        <v>1.0</v>
      </c>
      <c r="H2123" s="31" t="e">
        <v>#N/A</v>
      </c>
      <c r="I2123" s="31" t="e">
        <v>#N/A</v>
      </c>
    </row>
    <row r="2124">
      <c r="A2124" s="11">
        <v>46166.75510106482</v>
      </c>
      <c r="B2124" s="9" t="s">
        <v>92</v>
      </c>
      <c r="C2124" s="9" t="s">
        <v>164</v>
      </c>
      <c r="D2124" s="37" t="s">
        <v>57</v>
      </c>
      <c r="F2124" s="15">
        <v>1.0</v>
      </c>
      <c r="H2124" s="31" t="e">
        <v>#N/A</v>
      </c>
      <c r="I2124" s="31" t="e">
        <v>#N/A</v>
      </c>
    </row>
    <row r="2125">
      <c r="A2125" s="11">
        <v>46166.84390871528</v>
      </c>
      <c r="B2125" s="9" t="s">
        <v>143</v>
      </c>
      <c r="C2125" s="9" t="s">
        <v>299</v>
      </c>
      <c r="D2125" s="37" t="s">
        <v>57</v>
      </c>
      <c r="E2125" s="9" t="s">
        <v>122</v>
      </c>
      <c r="F2125" s="15">
        <v>1.0</v>
      </c>
      <c r="G2125" s="37" t="s">
        <v>65</v>
      </c>
      <c r="H2125" s="31" t="e">
        <v>#N/A</v>
      </c>
      <c r="I2125" s="31" t="e">
        <v>#N/A</v>
      </c>
    </row>
    <row r="2126">
      <c r="A2126" s="11">
        <v>46166.878018703705</v>
      </c>
      <c r="B2126" s="9" t="s">
        <v>345</v>
      </c>
      <c r="C2126" s="9" t="s">
        <v>376</v>
      </c>
      <c r="D2126" s="9" t="s">
        <v>19</v>
      </c>
      <c r="E2126" s="9" t="s">
        <v>112</v>
      </c>
      <c r="F2126" s="15">
        <v>1.0</v>
      </c>
      <c r="H2126" s="31" t="e">
        <v>#N/A</v>
      </c>
      <c r="I2126" s="31" t="e">
        <v>#N/A</v>
      </c>
    </row>
    <row r="2127">
      <c r="A2127" s="11">
        <v>46166.88490761574</v>
      </c>
      <c r="B2127" s="9" t="s">
        <v>89</v>
      </c>
      <c r="C2127" s="9" t="s">
        <v>62</v>
      </c>
      <c r="D2127" s="37" t="s">
        <v>57</v>
      </c>
      <c r="E2127" s="9" t="s">
        <v>122</v>
      </c>
      <c r="F2127" s="15">
        <v>1.0</v>
      </c>
      <c r="G2127" s="37" t="s">
        <v>65</v>
      </c>
      <c r="H2127" s="31" t="e">
        <v>#N/A</v>
      </c>
      <c r="I2127" s="31" t="e">
        <v>#N/A</v>
      </c>
    </row>
    <row r="2128">
      <c r="A2128" s="11">
        <v>46166.90521600694</v>
      </c>
      <c r="B2128" s="9" t="s">
        <v>226</v>
      </c>
      <c r="C2128" s="9" t="s">
        <v>345</v>
      </c>
      <c r="D2128" s="37" t="s">
        <v>57</v>
      </c>
      <c r="E2128" s="9" t="s">
        <v>112</v>
      </c>
      <c r="F2128" s="15">
        <v>1.0</v>
      </c>
      <c r="G2128" s="37" t="s">
        <v>65</v>
      </c>
      <c r="H2128" s="31" t="e">
        <v>#N/A</v>
      </c>
      <c r="I2128" s="31" t="e">
        <v>#N/A</v>
      </c>
    </row>
    <row r="2129">
      <c r="A2129" s="11">
        <v>46166.9182697338</v>
      </c>
      <c r="B2129" s="9" t="s">
        <v>245</v>
      </c>
      <c r="C2129" s="9" t="s">
        <v>62</v>
      </c>
      <c r="D2129" s="37" t="s">
        <v>57</v>
      </c>
      <c r="E2129" s="9" t="s">
        <v>122</v>
      </c>
      <c r="F2129" s="15">
        <v>1.0</v>
      </c>
      <c r="G2129" s="37" t="s">
        <v>65</v>
      </c>
      <c r="H2129" s="31" t="e">
        <v>#N/A</v>
      </c>
      <c r="I2129" s="31" t="e">
        <v>#N/A</v>
      </c>
    </row>
    <row r="2130">
      <c r="A2130" s="11">
        <v>46166.94963667824</v>
      </c>
      <c r="B2130" s="9" t="s">
        <v>271</v>
      </c>
      <c r="C2130" s="9" t="s">
        <v>62</v>
      </c>
      <c r="D2130" s="9" t="s">
        <v>19</v>
      </c>
      <c r="E2130" s="9" t="s">
        <v>582</v>
      </c>
      <c r="F2130" s="15">
        <v>1.0</v>
      </c>
      <c r="G2130" s="37" t="s">
        <v>65</v>
      </c>
      <c r="H2130" s="31" t="e">
        <v>#N/A</v>
      </c>
      <c r="I2130" s="31" t="e">
        <v>#N/A</v>
      </c>
    </row>
    <row r="2131">
      <c r="A2131" s="11">
        <v>46166.96013708333</v>
      </c>
      <c r="B2131" s="9" t="s">
        <v>368</v>
      </c>
      <c r="C2131" s="9" t="s">
        <v>263</v>
      </c>
      <c r="D2131" s="37" t="s">
        <v>57</v>
      </c>
      <c r="F2131" s="15">
        <v>1.0</v>
      </c>
      <c r="G2131" s="37" t="s">
        <v>65</v>
      </c>
      <c r="H2131" s="31" t="e">
        <v>#N/A</v>
      </c>
      <c r="I2131" s="31" t="e">
        <v>#N/A</v>
      </c>
    </row>
    <row r="2132">
      <c r="A2132" s="11">
        <v>46166.96358673611</v>
      </c>
      <c r="B2132" s="9" t="s">
        <v>284</v>
      </c>
      <c r="C2132" s="9" t="s">
        <v>198</v>
      </c>
      <c r="D2132" s="9" t="s">
        <v>19</v>
      </c>
      <c r="E2132" s="9" t="s">
        <v>176</v>
      </c>
      <c r="F2132" s="15">
        <v>1.0</v>
      </c>
      <c r="G2132" s="37" t="s">
        <v>65</v>
      </c>
      <c r="H2132" s="31" t="e">
        <v>#N/A</v>
      </c>
      <c r="I2132" s="31" t="e">
        <v>#N/A</v>
      </c>
    </row>
    <row r="2133">
      <c r="A2133" s="11">
        <v>46166.96855041667</v>
      </c>
      <c r="B2133" s="9" t="s">
        <v>345</v>
      </c>
      <c r="C2133" s="9" t="s">
        <v>62</v>
      </c>
      <c r="D2133" s="9" t="s">
        <v>19</v>
      </c>
      <c r="E2133" s="9" t="s">
        <v>112</v>
      </c>
      <c r="F2133" s="15">
        <v>1.0</v>
      </c>
      <c r="H2133" s="31" t="e">
        <v>#N/A</v>
      </c>
      <c r="I2133" s="31" t="e">
        <v>#N/A</v>
      </c>
    </row>
    <row r="2134">
      <c r="A2134" s="11">
        <v>46166.98152209491</v>
      </c>
      <c r="B2134" s="9" t="s">
        <v>190</v>
      </c>
      <c r="C2134" s="9" t="s">
        <v>165</v>
      </c>
      <c r="D2134" s="9" t="s">
        <v>19</v>
      </c>
      <c r="E2134" s="9" t="s">
        <v>112</v>
      </c>
      <c r="F2134" s="15">
        <v>1.0</v>
      </c>
      <c r="H2134" s="31" t="e">
        <v>#N/A</v>
      </c>
      <c r="I2134" s="31" t="e">
        <v>#N/A</v>
      </c>
    </row>
    <row r="2135">
      <c r="A2135" s="11">
        <v>46167.00792118056</v>
      </c>
      <c r="B2135" s="9" t="s">
        <v>198</v>
      </c>
      <c r="C2135" s="9" t="s">
        <v>190</v>
      </c>
      <c r="D2135" s="37" t="s">
        <v>57</v>
      </c>
      <c r="F2135" s="15">
        <v>1.0</v>
      </c>
      <c r="H2135" s="31" t="e">
        <v>#N/A</v>
      </c>
      <c r="I2135" s="31" t="e">
        <v>#N/A</v>
      </c>
    </row>
    <row r="2136">
      <c r="A2136" s="11">
        <v>46167.031042476854</v>
      </c>
      <c r="B2136" s="9" t="s">
        <v>54</v>
      </c>
      <c r="C2136" s="9" t="s">
        <v>198</v>
      </c>
      <c r="D2136" s="9" t="s">
        <v>19</v>
      </c>
      <c r="F2136" s="15">
        <v>1.0</v>
      </c>
      <c r="H2136" s="31" t="e">
        <v>#N/A</v>
      </c>
      <c r="I2136" s="31" t="e">
        <v>#N/A</v>
      </c>
    </row>
    <row r="2137">
      <c r="A2137" s="11">
        <v>46167.05396690972</v>
      </c>
      <c r="B2137" s="9" t="s">
        <v>185</v>
      </c>
      <c r="C2137" s="9" t="s">
        <v>54</v>
      </c>
      <c r="D2137" s="9" t="s">
        <v>19</v>
      </c>
      <c r="F2137" s="15">
        <v>1.0</v>
      </c>
      <c r="G2137" s="37" t="s">
        <v>65</v>
      </c>
      <c r="H2137" s="31" t="e">
        <v>#N/A</v>
      </c>
      <c r="I2137" s="31" t="e">
        <v>#N/A</v>
      </c>
    </row>
    <row r="2138">
      <c r="A2138" s="11">
        <v>46167.38875070601</v>
      </c>
      <c r="B2138" s="9" t="s">
        <v>238</v>
      </c>
      <c r="C2138" s="9" t="s">
        <v>385</v>
      </c>
      <c r="D2138" s="9" t="s">
        <v>19</v>
      </c>
      <c r="E2138" s="9" t="s">
        <v>584</v>
      </c>
      <c r="F2138" s="15">
        <v>1.0</v>
      </c>
      <c r="G2138" s="37" t="s">
        <v>65</v>
      </c>
      <c r="H2138" s="31" t="e">
        <v>#N/A</v>
      </c>
      <c r="I2138" s="31" t="e">
        <v>#N/A</v>
      </c>
    </row>
    <row r="2139">
      <c r="A2139" s="11">
        <v>46167.416840046295</v>
      </c>
      <c r="B2139" s="9" t="s">
        <v>271</v>
      </c>
      <c r="C2139" s="9" t="s">
        <v>245</v>
      </c>
      <c r="D2139" s="9" t="s">
        <v>19</v>
      </c>
      <c r="E2139" s="9" t="s">
        <v>140</v>
      </c>
      <c r="F2139" s="15">
        <v>1.0</v>
      </c>
      <c r="G2139" s="37" t="s">
        <v>65</v>
      </c>
      <c r="H2139" s="31" t="e">
        <v>#N/A</v>
      </c>
      <c r="I2139" s="31" t="e">
        <v>#N/A</v>
      </c>
    </row>
    <row r="2140">
      <c r="A2140" s="11">
        <v>46167.43156670139</v>
      </c>
      <c r="B2140" s="9" t="s">
        <v>200</v>
      </c>
      <c r="C2140" s="9" t="s">
        <v>385</v>
      </c>
      <c r="D2140" s="37" t="s">
        <v>57</v>
      </c>
      <c r="F2140" s="15">
        <v>1.0</v>
      </c>
      <c r="H2140" s="31" t="e">
        <v>#N/A</v>
      </c>
      <c r="I2140" s="31" t="e">
        <v>#N/A</v>
      </c>
    </row>
    <row r="2141">
      <c r="A2141" s="11">
        <v>46167.48005828704</v>
      </c>
      <c r="B2141" s="9" t="s">
        <v>89</v>
      </c>
      <c r="C2141" s="9" t="s">
        <v>189</v>
      </c>
      <c r="D2141" s="37" t="s">
        <v>57</v>
      </c>
      <c r="E2141" s="9" t="s">
        <v>140</v>
      </c>
      <c r="F2141" s="15">
        <v>1.0</v>
      </c>
      <c r="H2141" s="31" t="e">
        <v>#N/A</v>
      </c>
      <c r="I2141" s="31" t="e">
        <v>#N/A</v>
      </c>
    </row>
    <row r="2142">
      <c r="A2142" s="11">
        <v>46167.502431388886</v>
      </c>
      <c r="B2142" s="9" t="s">
        <v>287</v>
      </c>
      <c r="C2142" s="9" t="s">
        <v>79</v>
      </c>
      <c r="D2142" s="37" t="s">
        <v>57</v>
      </c>
      <c r="E2142" s="9" t="s">
        <v>140</v>
      </c>
      <c r="F2142" s="15">
        <v>1.0</v>
      </c>
      <c r="G2142" s="37" t="s">
        <v>65</v>
      </c>
      <c r="H2142" s="31" t="e">
        <v>#N/A</v>
      </c>
      <c r="I2142" s="31" t="e">
        <v>#N/A</v>
      </c>
    </row>
    <row r="2143">
      <c r="A2143" s="11">
        <v>46167.507313090275</v>
      </c>
      <c r="B2143" s="9" t="s">
        <v>229</v>
      </c>
      <c r="C2143" s="9" t="s">
        <v>89</v>
      </c>
      <c r="D2143" s="37" t="s">
        <v>57</v>
      </c>
      <c r="F2143" s="15">
        <v>1.0</v>
      </c>
      <c r="G2143" s="37" t="s">
        <v>65</v>
      </c>
      <c r="H2143" s="31" t="e">
        <v>#N/A</v>
      </c>
      <c r="I2143" s="31" t="e">
        <v>#N/A</v>
      </c>
    </row>
    <row r="2144">
      <c r="A2144" s="11">
        <v>46167.52943729167</v>
      </c>
      <c r="B2144" s="9" t="s">
        <v>95</v>
      </c>
      <c r="C2144" s="9" t="s">
        <v>59</v>
      </c>
      <c r="D2144" s="37" t="s">
        <v>57</v>
      </c>
      <c r="F2144" s="15">
        <v>1.0</v>
      </c>
      <c r="G2144" s="37" t="s">
        <v>65</v>
      </c>
      <c r="H2144" s="31" t="e">
        <v>#N/A</v>
      </c>
      <c r="I2144" s="31" t="e">
        <v>#N/A</v>
      </c>
    </row>
    <row r="2145">
      <c r="A2145" s="11">
        <v>46167.643755729165</v>
      </c>
      <c r="B2145" s="9" t="s">
        <v>227</v>
      </c>
      <c r="C2145" s="9" t="s">
        <v>271</v>
      </c>
      <c r="D2145" s="9" t="s">
        <v>19</v>
      </c>
      <c r="E2145" s="9" t="s">
        <v>176</v>
      </c>
      <c r="F2145" s="15">
        <v>1.0</v>
      </c>
      <c r="G2145" s="37" t="s">
        <v>65</v>
      </c>
      <c r="H2145" s="31" t="e">
        <v>#N/A</v>
      </c>
      <c r="I2145" s="31" t="e">
        <v>#N/A</v>
      </c>
    </row>
    <row r="2146">
      <c r="A2146" s="11">
        <v>46167.68123418982</v>
      </c>
      <c r="B2146" s="9" t="s">
        <v>95</v>
      </c>
      <c r="C2146" s="9" t="s">
        <v>271</v>
      </c>
      <c r="D2146" s="37" t="s">
        <v>57</v>
      </c>
      <c r="F2146" s="15">
        <v>1.0</v>
      </c>
      <c r="G2146" s="37" t="s">
        <v>65</v>
      </c>
      <c r="H2146" s="31" t="e">
        <v>#N/A</v>
      </c>
      <c r="I2146" s="31" t="e">
        <v>#N/A</v>
      </c>
    </row>
    <row r="2147">
      <c r="A2147" s="11">
        <v>46167.69574711805</v>
      </c>
      <c r="B2147" s="9" t="s">
        <v>227</v>
      </c>
      <c r="C2147" s="9" t="s">
        <v>322</v>
      </c>
      <c r="D2147" s="37" t="s">
        <v>57</v>
      </c>
      <c r="E2147" s="9" t="s">
        <v>176</v>
      </c>
      <c r="F2147" s="15">
        <v>1.0</v>
      </c>
      <c r="H2147" s="31" t="e">
        <v>#N/A</v>
      </c>
      <c r="I2147" s="31" t="e">
        <v>#N/A</v>
      </c>
    </row>
    <row r="2148">
      <c r="A2148" s="11">
        <v>46167.7118262963</v>
      </c>
      <c r="B2148" s="9" t="s">
        <v>185</v>
      </c>
      <c r="C2148" s="9" t="s">
        <v>95</v>
      </c>
      <c r="D2148" s="37" t="s">
        <v>57</v>
      </c>
      <c r="F2148" s="15">
        <v>1.0</v>
      </c>
      <c r="G2148" s="37" t="s">
        <v>65</v>
      </c>
      <c r="H2148" s="31" t="e">
        <v>#N/A</v>
      </c>
      <c r="I2148" s="31" t="e">
        <v>#N/A</v>
      </c>
    </row>
    <row r="2149">
      <c r="A2149" s="11">
        <v>46167.737361736115</v>
      </c>
      <c r="B2149" s="9" t="s">
        <v>227</v>
      </c>
      <c r="C2149" s="9" t="s">
        <v>217</v>
      </c>
      <c r="D2149" s="37" t="s">
        <v>57</v>
      </c>
      <c r="E2149" s="9" t="s">
        <v>176</v>
      </c>
      <c r="F2149" s="15">
        <v>1.0</v>
      </c>
      <c r="G2149" s="37" t="s">
        <v>65</v>
      </c>
      <c r="H2149" s="31" t="e">
        <v>#N/A</v>
      </c>
      <c r="I2149" s="31" t="e">
        <v>#N/A</v>
      </c>
    </row>
    <row r="2150">
      <c r="A2150" s="11">
        <v>46167.74545652777</v>
      </c>
      <c r="B2150" s="9" t="s">
        <v>226</v>
      </c>
      <c r="C2150" s="9" t="s">
        <v>320</v>
      </c>
      <c r="D2150" s="37" t="s">
        <v>57</v>
      </c>
      <c r="E2150" s="9" t="s">
        <v>112</v>
      </c>
      <c r="F2150" s="15">
        <v>1.0</v>
      </c>
      <c r="G2150" s="37" t="s">
        <v>65</v>
      </c>
      <c r="H2150" s="31" t="e">
        <v>#N/A</v>
      </c>
      <c r="I2150" s="31" t="e">
        <v>#N/A</v>
      </c>
    </row>
    <row r="2151">
      <c r="A2151" s="11">
        <v>46167.750403935184</v>
      </c>
      <c r="B2151" s="9" t="s">
        <v>414</v>
      </c>
      <c r="C2151" s="9" t="s">
        <v>128</v>
      </c>
      <c r="D2151" s="37" t="s">
        <v>57</v>
      </c>
      <c r="E2151" s="9" t="s">
        <v>588</v>
      </c>
      <c r="F2151" s="15">
        <v>1.0</v>
      </c>
      <c r="G2151" s="37" t="s">
        <v>65</v>
      </c>
      <c r="H2151" s="31" t="e">
        <v>#N/A</v>
      </c>
      <c r="I2151" s="31" t="e">
        <v>#N/A</v>
      </c>
    </row>
    <row r="2152">
      <c r="A2152" s="11">
        <v>46167.75620278935</v>
      </c>
      <c r="B2152" s="9" t="s">
        <v>227</v>
      </c>
      <c r="C2152" s="9" t="s">
        <v>332</v>
      </c>
      <c r="D2152" s="9" t="s">
        <v>19</v>
      </c>
      <c r="E2152" s="9" t="s">
        <v>176</v>
      </c>
      <c r="F2152" s="15">
        <v>1.0</v>
      </c>
      <c r="G2152" s="37" t="s">
        <v>65</v>
      </c>
      <c r="H2152" s="31" t="e">
        <v>#N/A</v>
      </c>
      <c r="I2152" s="31" t="e">
        <v>#N/A</v>
      </c>
    </row>
    <row r="2153">
      <c r="A2153" s="11">
        <v>46167.77204871528</v>
      </c>
      <c r="B2153" s="9" t="s">
        <v>298</v>
      </c>
      <c r="C2153" s="9" t="s">
        <v>227</v>
      </c>
      <c r="D2153" s="9" t="s">
        <v>19</v>
      </c>
      <c r="F2153" s="15">
        <v>1.0</v>
      </c>
      <c r="G2153" s="37" t="s">
        <v>65</v>
      </c>
      <c r="H2153" s="31" t="e">
        <v>#N/A</v>
      </c>
      <c r="I2153" s="31" t="e">
        <v>#N/A</v>
      </c>
    </row>
    <row r="2154">
      <c r="A2154" s="11">
        <v>46167.792732789356</v>
      </c>
      <c r="B2154" s="9" t="s">
        <v>89</v>
      </c>
      <c r="C2154" s="9" t="s">
        <v>296</v>
      </c>
      <c r="D2154" s="9" t="s">
        <v>19</v>
      </c>
      <c r="E2154" s="9" t="s">
        <v>140</v>
      </c>
      <c r="F2154" s="15">
        <v>1.0</v>
      </c>
      <c r="G2154" s="37" t="s">
        <v>65</v>
      </c>
      <c r="H2154" s="31" t="e">
        <v>#N/A</v>
      </c>
      <c r="I2154" s="31" t="e">
        <v>#N/A</v>
      </c>
    </row>
    <row r="2155">
      <c r="A2155" s="11">
        <v>46167.821045115736</v>
      </c>
      <c r="B2155" s="9" t="s">
        <v>233</v>
      </c>
      <c r="C2155" s="9" t="s">
        <v>150</v>
      </c>
      <c r="D2155" s="37" t="s">
        <v>57</v>
      </c>
      <c r="F2155" s="15">
        <v>1.0</v>
      </c>
      <c r="H2155" s="31" t="e">
        <v>#N/A</v>
      </c>
      <c r="I2155" s="31" t="e">
        <v>#N/A</v>
      </c>
    </row>
    <row r="2156">
      <c r="A2156" s="11">
        <v>46167.83640950231</v>
      </c>
      <c r="B2156" s="9" t="s">
        <v>256</v>
      </c>
      <c r="C2156" s="9" t="s">
        <v>217</v>
      </c>
      <c r="D2156" s="37" t="s">
        <v>57</v>
      </c>
      <c r="E2156" s="9" t="s">
        <v>102</v>
      </c>
      <c r="F2156" s="15">
        <v>1.0</v>
      </c>
      <c r="G2156" s="37" t="s">
        <v>65</v>
      </c>
      <c r="H2156" s="31" t="e">
        <v>#N/A</v>
      </c>
      <c r="I2156" s="31" t="e">
        <v>#N/A</v>
      </c>
    </row>
    <row r="2157">
      <c r="A2157" s="11">
        <v>46167.84025434028</v>
      </c>
      <c r="B2157" s="9" t="s">
        <v>298</v>
      </c>
      <c r="C2157" s="9" t="s">
        <v>233</v>
      </c>
      <c r="D2157" s="9" t="s">
        <v>19</v>
      </c>
      <c r="F2157" s="15">
        <v>1.0</v>
      </c>
      <c r="H2157" s="31" t="e">
        <v>#N/A</v>
      </c>
      <c r="I2157" s="31" t="e">
        <v>#N/A</v>
      </c>
    </row>
    <row r="2158">
      <c r="A2158" s="11">
        <v>46167.85018739583</v>
      </c>
      <c r="B2158" s="9" t="s">
        <v>18</v>
      </c>
      <c r="C2158" s="9" t="s">
        <v>296</v>
      </c>
      <c r="D2158" s="37" t="s">
        <v>57</v>
      </c>
      <c r="F2158" s="15">
        <v>1.0</v>
      </c>
      <c r="G2158" s="37" t="s">
        <v>65</v>
      </c>
      <c r="H2158" s="31" t="e">
        <v>#N/A</v>
      </c>
      <c r="I2158" s="31" t="e">
        <v>#N/A</v>
      </c>
    </row>
    <row r="2159">
      <c r="A2159" s="11">
        <v>46167.891213703704</v>
      </c>
      <c r="B2159" s="9" t="s">
        <v>217</v>
      </c>
      <c r="C2159" s="9" t="s">
        <v>296</v>
      </c>
      <c r="D2159" s="37" t="s">
        <v>57</v>
      </c>
      <c r="E2159" s="9" t="s">
        <v>122</v>
      </c>
      <c r="F2159" s="15">
        <v>1.0</v>
      </c>
      <c r="G2159" s="37" t="s">
        <v>65</v>
      </c>
      <c r="H2159" s="31" t="e">
        <v>#N/A</v>
      </c>
      <c r="I2159" s="31" t="e">
        <v>#N/A</v>
      </c>
    </row>
    <row r="2160">
      <c r="A2160" s="11">
        <v>46167.9071675</v>
      </c>
      <c r="B2160" s="9" t="s">
        <v>345</v>
      </c>
      <c r="C2160" s="9" t="s">
        <v>128</v>
      </c>
      <c r="D2160" s="37" t="s">
        <v>57</v>
      </c>
      <c r="E2160" s="9" t="s">
        <v>599</v>
      </c>
      <c r="F2160" s="15">
        <v>1.0</v>
      </c>
      <c r="H2160" s="31" t="e">
        <v>#N/A</v>
      </c>
      <c r="I2160" s="31" t="e">
        <v>#N/A</v>
      </c>
    </row>
    <row r="2161">
      <c r="A2161" s="11">
        <v>46167.910285879625</v>
      </c>
      <c r="B2161" s="9" t="s">
        <v>290</v>
      </c>
      <c r="C2161" s="9" t="s">
        <v>267</v>
      </c>
      <c r="D2161" s="37" t="s">
        <v>57</v>
      </c>
      <c r="E2161" s="9" t="s">
        <v>122</v>
      </c>
      <c r="F2161" s="15">
        <v>1.0</v>
      </c>
      <c r="H2161" s="31" t="e">
        <v>#N/A</v>
      </c>
      <c r="I2161" s="31" t="e">
        <v>#N/A</v>
      </c>
    </row>
    <row r="2162">
      <c r="A2162" s="11">
        <v>46167.91612061343</v>
      </c>
      <c r="B2162" s="9" t="s">
        <v>263</v>
      </c>
      <c r="C2162" s="9" t="s">
        <v>298</v>
      </c>
      <c r="D2162" s="9" t="s">
        <v>19</v>
      </c>
      <c r="E2162" s="9" t="s">
        <v>140</v>
      </c>
      <c r="F2162" s="15">
        <v>1.0</v>
      </c>
      <c r="G2162" s="37" t="s">
        <v>65</v>
      </c>
      <c r="H2162" s="31" t="e">
        <v>#N/A</v>
      </c>
      <c r="I2162" s="31" t="e">
        <v>#N/A</v>
      </c>
    </row>
    <row r="2163">
      <c r="A2163" s="11">
        <v>46167.95295027777</v>
      </c>
      <c r="B2163" s="9" t="s">
        <v>349</v>
      </c>
      <c r="C2163" s="9" t="s">
        <v>192</v>
      </c>
      <c r="D2163" s="9" t="s">
        <v>19</v>
      </c>
      <c r="F2163" s="15">
        <v>1.0</v>
      </c>
      <c r="G2163" s="37" t="s">
        <v>65</v>
      </c>
      <c r="H2163" s="31" t="e">
        <v>#N/A</v>
      </c>
      <c r="I2163" s="31" t="e">
        <v>#N/A</v>
      </c>
    </row>
    <row r="2164">
      <c r="A2164" s="11">
        <v>46167.95569553241</v>
      </c>
      <c r="B2164" s="9" t="s">
        <v>290</v>
      </c>
      <c r="C2164" s="9" t="s">
        <v>368</v>
      </c>
      <c r="D2164" s="37" t="s">
        <v>57</v>
      </c>
      <c r="E2164" s="9" t="s">
        <v>140</v>
      </c>
      <c r="F2164" s="15">
        <v>1.0</v>
      </c>
      <c r="G2164" s="37" t="s">
        <v>65</v>
      </c>
      <c r="H2164" s="31" t="e">
        <v>#N/A</v>
      </c>
      <c r="I2164" s="31" t="e">
        <v>#N/A</v>
      </c>
    </row>
    <row r="2165">
      <c r="A2165" s="11">
        <v>46167.97795084491</v>
      </c>
      <c r="B2165" s="9" t="s">
        <v>290</v>
      </c>
      <c r="C2165" s="9" t="s">
        <v>349</v>
      </c>
      <c r="D2165" s="37" t="s">
        <v>57</v>
      </c>
      <c r="F2165" s="15">
        <v>1.0</v>
      </c>
      <c r="G2165" s="37" t="s">
        <v>65</v>
      </c>
      <c r="H2165" s="31" t="e">
        <v>#N/A</v>
      </c>
      <c r="I2165" s="31" t="e">
        <v>#N/A</v>
      </c>
    </row>
    <row r="2166">
      <c r="A2166" s="11">
        <v>46167.99759633101</v>
      </c>
      <c r="B2166" s="9" t="s">
        <v>344</v>
      </c>
      <c r="C2166" s="9" t="s">
        <v>343</v>
      </c>
      <c r="D2166" s="37" t="s">
        <v>57</v>
      </c>
      <c r="E2166" s="9" t="s">
        <v>140</v>
      </c>
      <c r="F2166" s="15">
        <v>1.0</v>
      </c>
      <c r="G2166" s="37" t="s">
        <v>65</v>
      </c>
      <c r="H2166" s="31" t="e">
        <v>#N/A</v>
      </c>
      <c r="I2166" s="31" t="e">
        <v>#N/A</v>
      </c>
    </row>
    <row r="2167">
      <c r="A2167" s="11">
        <v>46167.99858517361</v>
      </c>
      <c r="B2167" s="9" t="s">
        <v>259</v>
      </c>
      <c r="C2167" s="9" t="s">
        <v>306</v>
      </c>
      <c r="D2167" s="9" t="s">
        <v>19</v>
      </c>
      <c r="E2167" s="9" t="s">
        <v>122</v>
      </c>
      <c r="F2167" s="15">
        <v>1.0</v>
      </c>
      <c r="G2167" s="37" t="s">
        <v>65</v>
      </c>
      <c r="H2167" s="31" t="e">
        <v>#N/A</v>
      </c>
      <c r="I2167" s="31" t="e">
        <v>#N/A</v>
      </c>
    </row>
    <row r="2168">
      <c r="A2168" s="11">
        <v>46168.01998462963</v>
      </c>
      <c r="B2168" s="9" t="s">
        <v>18</v>
      </c>
      <c r="C2168" s="9" t="s">
        <v>306</v>
      </c>
      <c r="D2168" s="37" t="s">
        <v>57</v>
      </c>
      <c r="F2168" s="15">
        <v>1.0</v>
      </c>
      <c r="G2168" s="37" t="s">
        <v>65</v>
      </c>
      <c r="H2168" s="31" t="e">
        <v>#N/A</v>
      </c>
      <c r="I2168" s="31" t="e">
        <v>#N/A</v>
      </c>
    </row>
    <row r="2169">
      <c r="A2169" s="11">
        <v>46168.33444583333</v>
      </c>
      <c r="B2169" s="9" t="s">
        <v>349</v>
      </c>
      <c r="C2169" s="9" t="s">
        <v>287</v>
      </c>
      <c r="D2169" s="37" t="s">
        <v>57</v>
      </c>
      <c r="F2169" s="15">
        <v>1.0</v>
      </c>
      <c r="G2169" s="37" t="s">
        <v>65</v>
      </c>
      <c r="H2169" s="31" t="e">
        <v>#N/A</v>
      </c>
      <c r="I2169" s="31" t="e">
        <v>#N/A</v>
      </c>
    </row>
    <row r="2170">
      <c r="A2170" s="11">
        <v>46168.379553113424</v>
      </c>
      <c r="B2170" s="9" t="s">
        <v>237</v>
      </c>
      <c r="C2170" s="9" t="s">
        <v>287</v>
      </c>
      <c r="D2170" s="37" t="s">
        <v>57</v>
      </c>
      <c r="E2170" s="9" t="s">
        <v>618</v>
      </c>
      <c r="F2170" s="15">
        <v>1.0</v>
      </c>
      <c r="H2170" s="31" t="e">
        <v>#N/A</v>
      </c>
      <c r="I2170" s="31" t="e">
        <v>#N/A</v>
      </c>
    </row>
    <row r="2171">
      <c r="A2171" s="11">
        <v>46168.46608064815</v>
      </c>
      <c r="B2171" s="9" t="s">
        <v>217</v>
      </c>
      <c r="C2171" s="9" t="s">
        <v>277</v>
      </c>
      <c r="D2171" s="9" t="s">
        <v>19</v>
      </c>
      <c r="F2171" s="15">
        <v>1.0</v>
      </c>
      <c r="G2171" s="37" t="s">
        <v>65</v>
      </c>
      <c r="H2171" s="31" t="e">
        <v>#N/A</v>
      </c>
      <c r="I2171" s="31" t="e">
        <v>#N/A</v>
      </c>
    </row>
    <row r="2172">
      <c r="A2172" s="11">
        <v>46168.51401090278</v>
      </c>
      <c r="B2172" s="9" t="s">
        <v>281</v>
      </c>
      <c r="C2172" s="9" t="s">
        <v>83</v>
      </c>
      <c r="D2172" s="9" t="s">
        <v>19</v>
      </c>
      <c r="F2172" s="15">
        <v>1.0</v>
      </c>
      <c r="H2172" s="31" t="e">
        <v>#N/A</v>
      </c>
      <c r="I2172" s="31" t="e">
        <v>#N/A</v>
      </c>
    </row>
    <row r="2173">
      <c r="A2173" s="11">
        <v>46168.53646</v>
      </c>
      <c r="B2173" s="9" t="s">
        <v>143</v>
      </c>
      <c r="C2173" s="9" t="s">
        <v>263</v>
      </c>
      <c r="D2173" s="37" t="s">
        <v>57</v>
      </c>
      <c r="E2173" s="9" t="s">
        <v>619</v>
      </c>
      <c r="F2173" s="15">
        <v>1.0</v>
      </c>
      <c r="G2173" s="37" t="s">
        <v>65</v>
      </c>
      <c r="H2173" s="31" t="e">
        <v>#N/A</v>
      </c>
      <c r="I2173" s="31" t="e">
        <v>#N/A</v>
      </c>
    </row>
    <row r="2174">
      <c r="A2174" s="11">
        <v>46168.546708194444</v>
      </c>
      <c r="B2174" s="9" t="s">
        <v>229</v>
      </c>
      <c r="C2174" s="9" t="s">
        <v>254</v>
      </c>
      <c r="D2174" s="9" t="s">
        <v>19</v>
      </c>
      <c r="F2174" s="15">
        <v>1.0</v>
      </c>
      <c r="G2174" s="37" t="s">
        <v>65</v>
      </c>
      <c r="H2174" s="31" t="e">
        <v>#N/A</v>
      </c>
      <c r="I2174" s="31" t="e">
        <v>#N/A</v>
      </c>
    </row>
    <row r="2175">
      <c r="A2175" s="11">
        <v>46168.57671327546</v>
      </c>
      <c r="B2175" s="9" t="s">
        <v>350</v>
      </c>
      <c r="C2175" s="9" t="s">
        <v>254</v>
      </c>
      <c r="D2175" s="9" t="s">
        <v>19</v>
      </c>
      <c r="F2175" s="15">
        <v>1.0</v>
      </c>
      <c r="H2175" s="31" t="e">
        <v>#N/A</v>
      </c>
      <c r="I2175" s="31" t="e">
        <v>#N/A</v>
      </c>
    </row>
    <row r="2176">
      <c r="A2176" s="11">
        <v>46168.58170819444</v>
      </c>
      <c r="B2176" s="9" t="s">
        <v>349</v>
      </c>
      <c r="C2176" s="9" t="s">
        <v>277</v>
      </c>
      <c r="D2176" s="9" t="s">
        <v>19</v>
      </c>
      <c r="F2176" s="15">
        <v>1.0</v>
      </c>
      <c r="H2176" s="31" t="e">
        <v>#N/A</v>
      </c>
      <c r="I2176" s="31" t="e">
        <v>#N/A</v>
      </c>
    </row>
    <row r="2177">
      <c r="A2177" s="11">
        <v>46168.61231016203</v>
      </c>
      <c r="B2177" s="9" t="s">
        <v>85</v>
      </c>
      <c r="C2177" s="9" t="s">
        <v>258</v>
      </c>
      <c r="D2177" s="37" t="s">
        <v>57</v>
      </c>
      <c r="E2177" s="9" t="s">
        <v>620</v>
      </c>
      <c r="F2177" s="15">
        <v>1.0</v>
      </c>
      <c r="G2177" s="37" t="s">
        <v>65</v>
      </c>
      <c r="H2177" s="31" t="e">
        <v>#N/A</v>
      </c>
      <c r="I2177" s="31" t="e">
        <v>#N/A</v>
      </c>
    </row>
    <row r="2178">
      <c r="A2178" s="11">
        <v>46168.64344782407</v>
      </c>
      <c r="B2178" s="9" t="s">
        <v>84</v>
      </c>
      <c r="C2178" s="9" t="s">
        <v>185</v>
      </c>
      <c r="D2178" s="37" t="s">
        <v>57</v>
      </c>
      <c r="F2178" s="15">
        <v>1.0</v>
      </c>
      <c r="G2178" s="37" t="s">
        <v>65</v>
      </c>
      <c r="H2178" s="31" t="e">
        <v>#N/A</v>
      </c>
      <c r="I2178" s="31" t="e">
        <v>#N/A</v>
      </c>
    </row>
    <row r="2179">
      <c r="A2179" s="11">
        <v>46168.66252563657</v>
      </c>
      <c r="B2179" s="9" t="s">
        <v>281</v>
      </c>
      <c r="C2179" s="9" t="s">
        <v>185</v>
      </c>
      <c r="D2179" s="9" t="s">
        <v>19</v>
      </c>
      <c r="F2179" s="15">
        <v>1.0</v>
      </c>
      <c r="G2179" s="37" t="s">
        <v>65</v>
      </c>
      <c r="H2179" s="31" t="e">
        <v>#N/A</v>
      </c>
      <c r="I2179" s="31" t="e">
        <v>#N/A</v>
      </c>
    </row>
    <row r="2180">
      <c r="A2180" s="11">
        <v>46168.677886805555</v>
      </c>
      <c r="B2180" s="9" t="s">
        <v>281</v>
      </c>
      <c r="C2180" s="9" t="s">
        <v>336</v>
      </c>
      <c r="D2180" s="9" t="s">
        <v>19</v>
      </c>
      <c r="F2180" s="15">
        <v>1.0</v>
      </c>
      <c r="H2180" s="31" t="e">
        <v>#N/A</v>
      </c>
      <c r="I2180" s="31" t="e">
        <v>#N/A</v>
      </c>
    </row>
    <row r="2181">
      <c r="A2181" s="11">
        <v>46168.70565423611</v>
      </c>
      <c r="B2181" s="9" t="s">
        <v>263</v>
      </c>
      <c r="C2181" s="9" t="s">
        <v>332</v>
      </c>
      <c r="D2181" s="9" t="s">
        <v>19</v>
      </c>
      <c r="E2181" s="9" t="s">
        <v>265</v>
      </c>
      <c r="F2181" s="15">
        <v>1.0</v>
      </c>
      <c r="G2181" s="37" t="s">
        <v>65</v>
      </c>
      <c r="H2181" s="31" t="e">
        <v>#N/A</v>
      </c>
      <c r="I2181" s="31" t="e">
        <v>#N/A</v>
      </c>
    </row>
    <row r="2182">
      <c r="A2182" s="11">
        <v>46168.7449762037</v>
      </c>
      <c r="B2182" s="9" t="s">
        <v>84</v>
      </c>
      <c r="C2182" s="9" t="s">
        <v>217</v>
      </c>
      <c r="D2182" s="9" t="s">
        <v>19</v>
      </c>
      <c r="F2182" s="15">
        <v>1.0</v>
      </c>
      <c r="G2182" s="37" t="s">
        <v>65</v>
      </c>
      <c r="H2182" s="31" t="e">
        <v>#N/A</v>
      </c>
      <c r="I2182" s="31" t="e">
        <v>#N/A</v>
      </c>
    </row>
    <row r="2183">
      <c r="A2183" s="11">
        <v>46168.903744641204</v>
      </c>
      <c r="B2183" s="9" t="s">
        <v>259</v>
      </c>
      <c r="C2183" s="9" t="s">
        <v>296</v>
      </c>
      <c r="D2183" s="37" t="s">
        <v>57</v>
      </c>
      <c r="E2183" s="9" t="s">
        <v>122</v>
      </c>
      <c r="F2183" s="15">
        <v>1.0</v>
      </c>
      <c r="G2183" s="37" t="s">
        <v>65</v>
      </c>
      <c r="H2183" s="31" t="e">
        <v>#N/A</v>
      </c>
      <c r="I2183" s="31" t="e">
        <v>#N/A</v>
      </c>
    </row>
    <row r="2184">
      <c r="A2184" s="11">
        <v>46168.92688315972</v>
      </c>
      <c r="B2184" s="9" t="s">
        <v>346</v>
      </c>
      <c r="C2184" s="9" t="s">
        <v>281</v>
      </c>
      <c r="D2184" s="37" t="s">
        <v>57</v>
      </c>
      <c r="E2184" s="9" t="s">
        <v>270</v>
      </c>
      <c r="F2184" s="15">
        <v>1.0</v>
      </c>
      <c r="G2184" s="37" t="s">
        <v>65</v>
      </c>
      <c r="H2184" s="31" t="e">
        <v>#N/A</v>
      </c>
      <c r="I2184" s="31" t="e">
        <v>#N/A</v>
      </c>
    </row>
    <row r="2185">
      <c r="A2185" s="11">
        <v>46168.92714010416</v>
      </c>
      <c r="B2185" s="9" t="s">
        <v>259</v>
      </c>
      <c r="C2185" s="9" t="s">
        <v>298</v>
      </c>
      <c r="D2185" s="37" t="s">
        <v>57</v>
      </c>
      <c r="E2185" s="9" t="s">
        <v>122</v>
      </c>
      <c r="F2185" s="15">
        <v>1.0</v>
      </c>
      <c r="H2185" s="31" t="e">
        <v>#N/A</v>
      </c>
      <c r="I2185" s="31" t="e">
        <v>#N/A</v>
      </c>
    </row>
    <row r="2186">
      <c r="A2186" s="11">
        <v>46168.94263935185</v>
      </c>
      <c r="B2186" s="9" t="s">
        <v>393</v>
      </c>
      <c r="C2186" s="9" t="s">
        <v>59</v>
      </c>
      <c r="D2186" s="37" t="s">
        <v>57</v>
      </c>
      <c r="E2186" s="9" t="s">
        <v>628</v>
      </c>
      <c r="F2186" s="15">
        <v>1.0</v>
      </c>
      <c r="G2186" s="37" t="s">
        <v>65</v>
      </c>
      <c r="H2186" s="31" t="e">
        <v>#N/A</v>
      </c>
      <c r="I2186" s="31" t="e">
        <v>#N/A</v>
      </c>
    </row>
    <row r="2187">
      <c r="A2187" s="11">
        <v>46168.9461055787</v>
      </c>
      <c r="B2187" s="9" t="s">
        <v>346</v>
      </c>
      <c r="C2187" s="9" t="s">
        <v>320</v>
      </c>
      <c r="D2187" s="9" t="s">
        <v>19</v>
      </c>
      <c r="E2187" s="9" t="s">
        <v>270</v>
      </c>
      <c r="F2187" s="15">
        <v>1.0</v>
      </c>
      <c r="H2187" s="31" t="e">
        <v>#N/A</v>
      </c>
      <c r="I2187" s="31" t="e">
        <v>#N/A</v>
      </c>
    </row>
    <row r="2188">
      <c r="A2188" s="11">
        <v>46168.950851851856</v>
      </c>
      <c r="B2188" s="9" t="s">
        <v>110</v>
      </c>
      <c r="C2188" s="9" t="s">
        <v>296</v>
      </c>
      <c r="D2188" s="9" t="s">
        <v>19</v>
      </c>
      <c r="F2188" s="15">
        <v>1.0</v>
      </c>
      <c r="G2188" s="37" t="s">
        <v>65</v>
      </c>
      <c r="H2188" s="31" t="e">
        <v>#N/A</v>
      </c>
      <c r="I2188" s="31" t="e">
        <v>#N/A</v>
      </c>
    </row>
    <row r="2189">
      <c r="A2189" s="11">
        <v>46168.97140502315</v>
      </c>
      <c r="B2189" s="9" t="s">
        <v>259</v>
      </c>
      <c r="C2189" s="9" t="s">
        <v>346</v>
      </c>
      <c r="D2189" s="37" t="s">
        <v>57</v>
      </c>
      <c r="E2189" s="9" t="s">
        <v>122</v>
      </c>
      <c r="F2189" s="15">
        <v>1.0</v>
      </c>
      <c r="G2189" s="37" t="s">
        <v>65</v>
      </c>
      <c r="H2189" s="31" t="e">
        <v>#N/A</v>
      </c>
      <c r="I2189" s="31" t="e">
        <v>#N/A</v>
      </c>
    </row>
    <row r="2190">
      <c r="A2190" s="11">
        <v>46168.97739732639</v>
      </c>
      <c r="B2190" s="9" t="s">
        <v>183</v>
      </c>
      <c r="C2190" s="9" t="s">
        <v>110</v>
      </c>
      <c r="D2190" s="9" t="s">
        <v>19</v>
      </c>
      <c r="E2190" s="9" t="s">
        <v>122</v>
      </c>
      <c r="F2190" s="15">
        <v>1.0</v>
      </c>
      <c r="G2190" s="37" t="s">
        <v>65</v>
      </c>
      <c r="H2190" s="31" t="e">
        <v>#N/A</v>
      </c>
      <c r="I2190" s="31" t="e">
        <v>#N/A</v>
      </c>
    </row>
    <row r="2191">
      <c r="A2191" s="11">
        <v>46169.00155353009</v>
      </c>
      <c r="B2191" s="9" t="s">
        <v>110</v>
      </c>
      <c r="C2191" s="9" t="s">
        <v>306</v>
      </c>
      <c r="D2191" s="9" t="s">
        <v>19</v>
      </c>
      <c r="F2191" s="15">
        <v>1.0</v>
      </c>
      <c r="H2191" s="31" t="e">
        <v>#N/A</v>
      </c>
      <c r="I2191" s="31" t="e">
        <v>#N/A</v>
      </c>
    </row>
    <row r="2192">
      <c r="A2192" s="11">
        <v>46169.02277783565</v>
      </c>
      <c r="B2192" s="9" t="s">
        <v>342</v>
      </c>
      <c r="C2192" s="9" t="s">
        <v>183</v>
      </c>
      <c r="D2192" s="37" t="s">
        <v>57</v>
      </c>
      <c r="F2192" s="15">
        <v>1.0</v>
      </c>
      <c r="G2192" s="37" t="s">
        <v>65</v>
      </c>
      <c r="H2192" s="31" t="e">
        <v>#N/A</v>
      </c>
      <c r="I2192" s="31" t="e">
        <v>#N/A</v>
      </c>
    </row>
    <row r="2193">
      <c r="A2193" s="11">
        <v>46169.092998101856</v>
      </c>
      <c r="B2193" s="9" t="s">
        <v>344</v>
      </c>
      <c r="C2193" s="9" t="s">
        <v>110</v>
      </c>
      <c r="D2193" s="9" t="s">
        <v>19</v>
      </c>
      <c r="E2193" s="9" t="s">
        <v>140</v>
      </c>
      <c r="F2193" s="15">
        <v>1.0</v>
      </c>
      <c r="G2193" s="37" t="s">
        <v>65</v>
      </c>
      <c r="H2193" s="31" t="e">
        <v>#N/A</v>
      </c>
      <c r="I2193" s="31" t="e">
        <v>#N/A</v>
      </c>
    </row>
    <row r="2194">
      <c r="A2194" s="11">
        <v>46169.423768877314</v>
      </c>
      <c r="B2194" s="9" t="s">
        <v>200</v>
      </c>
      <c r="C2194" s="9" t="s">
        <v>213</v>
      </c>
      <c r="D2194" s="9" t="s">
        <v>19</v>
      </c>
      <c r="F2194" s="15">
        <v>1.0</v>
      </c>
      <c r="G2194" s="37" t="s">
        <v>65</v>
      </c>
      <c r="H2194" s="31" t="e">
        <v>#N/A</v>
      </c>
      <c r="I2194" s="31" t="e">
        <v>#N/A</v>
      </c>
    </row>
    <row r="2195">
      <c r="A2195" s="11">
        <v>46169.64790765046</v>
      </c>
      <c r="B2195" s="9" t="s">
        <v>284</v>
      </c>
      <c r="C2195" s="9" t="s">
        <v>84</v>
      </c>
      <c r="D2195" s="37" t="s">
        <v>57</v>
      </c>
      <c r="E2195" s="9" t="s">
        <v>375</v>
      </c>
      <c r="F2195" s="15">
        <v>1.0</v>
      </c>
      <c r="G2195" s="37" t="s">
        <v>65</v>
      </c>
      <c r="H2195" s="31" t="e">
        <v>#N/A</v>
      </c>
      <c r="I2195" s="31" t="e">
        <v>#N/A</v>
      </c>
    </row>
    <row r="2196">
      <c r="A2196" s="11">
        <v>46169.70980920139</v>
      </c>
      <c r="B2196" s="9" t="s">
        <v>258</v>
      </c>
      <c r="C2196" s="9" t="s">
        <v>263</v>
      </c>
      <c r="D2196" s="9" t="s">
        <v>19</v>
      </c>
      <c r="F2196" s="15">
        <v>1.0</v>
      </c>
      <c r="G2196" s="37" t="s">
        <v>65</v>
      </c>
      <c r="H2196" s="31" t="e">
        <v>#N/A</v>
      </c>
      <c r="I2196" s="31" t="e">
        <v>#N/A</v>
      </c>
    </row>
    <row r="2197">
      <c r="A2197" s="11">
        <v>46169.72650109953</v>
      </c>
      <c r="B2197" s="9" t="s">
        <v>368</v>
      </c>
      <c r="C2197" s="9" t="s">
        <v>258</v>
      </c>
      <c r="D2197" s="9" t="s">
        <v>19</v>
      </c>
      <c r="F2197" s="15">
        <v>1.0</v>
      </c>
      <c r="H2197" s="31" t="e">
        <v>#N/A</v>
      </c>
      <c r="I2197" s="31" t="e">
        <v>#N/A</v>
      </c>
    </row>
    <row r="2198">
      <c r="A2198" s="11">
        <v>46169.76067552083</v>
      </c>
      <c r="B2198" s="9" t="s">
        <v>284</v>
      </c>
      <c r="C2198" s="9" t="s">
        <v>368</v>
      </c>
      <c r="D2198" s="37" t="s">
        <v>57</v>
      </c>
      <c r="E2198" s="9" t="s">
        <v>112</v>
      </c>
      <c r="F2198" s="15">
        <v>1.0</v>
      </c>
      <c r="H2198" s="31" t="e">
        <v>#N/A</v>
      </c>
      <c r="I2198" s="31" t="e">
        <v>#N/A</v>
      </c>
    </row>
    <row r="2199">
      <c r="A2199" s="11">
        <v>46169.786310428244</v>
      </c>
      <c r="B2199" s="9" t="s">
        <v>388</v>
      </c>
      <c r="C2199" s="9" t="s">
        <v>273</v>
      </c>
      <c r="D2199" s="37" t="s">
        <v>57</v>
      </c>
      <c r="E2199" s="9" t="s">
        <v>632</v>
      </c>
      <c r="F2199" s="15">
        <v>1.0</v>
      </c>
      <c r="G2199" s="37" t="s">
        <v>65</v>
      </c>
      <c r="H2199" s="31" t="e">
        <v>#N/A</v>
      </c>
      <c r="I2199" s="31" t="e">
        <v>#N/A</v>
      </c>
    </row>
    <row r="2200">
      <c r="A2200" s="11">
        <v>46169.808823506944</v>
      </c>
      <c r="B2200" s="9" t="s">
        <v>85</v>
      </c>
      <c r="C2200" s="9" t="s">
        <v>388</v>
      </c>
      <c r="D2200" s="37" t="s">
        <v>57</v>
      </c>
      <c r="E2200" s="9" t="s">
        <v>633</v>
      </c>
      <c r="F2200" s="15">
        <v>1.0</v>
      </c>
      <c r="G2200" s="37" t="s">
        <v>65</v>
      </c>
      <c r="H2200" s="31" t="e">
        <v>#N/A</v>
      </c>
      <c r="I2200" s="31" t="e">
        <v>#N/A</v>
      </c>
    </row>
    <row r="2201">
      <c r="A2201" s="11">
        <v>46169.835863263885</v>
      </c>
      <c r="B2201" s="9" t="s">
        <v>85</v>
      </c>
      <c r="C2201" s="9" t="s">
        <v>89</v>
      </c>
      <c r="D2201" s="37" t="s">
        <v>57</v>
      </c>
      <c r="E2201" s="9" t="s">
        <v>634</v>
      </c>
      <c r="F2201" s="15">
        <v>1.0</v>
      </c>
      <c r="H2201" s="31" t="e">
        <v>#N/A</v>
      </c>
      <c r="I2201" s="31" t="e">
        <v>#N/A</v>
      </c>
    </row>
    <row r="2202">
      <c r="A2202" s="11">
        <v>46169.878190717594</v>
      </c>
      <c r="B2202" s="9" t="s">
        <v>344</v>
      </c>
      <c r="C2202" s="9" t="s">
        <v>85</v>
      </c>
      <c r="D2202" s="9" t="s">
        <v>19</v>
      </c>
      <c r="E2202" s="9" t="s">
        <v>140</v>
      </c>
      <c r="F2202" s="15">
        <v>1.0</v>
      </c>
      <c r="H2202" s="31" t="e">
        <v>#N/A</v>
      </c>
      <c r="I2202" s="31" t="e">
        <v>#N/A</v>
      </c>
    </row>
    <row r="2203">
      <c r="A2203" s="11">
        <v>46169.89496194445</v>
      </c>
      <c r="B2203" s="9" t="s">
        <v>226</v>
      </c>
      <c r="C2203" s="9" t="s">
        <v>256</v>
      </c>
      <c r="D2203" s="37" t="s">
        <v>57</v>
      </c>
      <c r="E2203" s="9" t="s">
        <v>112</v>
      </c>
      <c r="F2203" s="15">
        <v>1.0</v>
      </c>
      <c r="H2203" s="31" t="e">
        <v>#N/A</v>
      </c>
      <c r="I2203" s="31" t="e">
        <v>#N/A</v>
      </c>
    </row>
    <row r="2204">
      <c r="A2204" s="11">
        <v>46169.920100648145</v>
      </c>
      <c r="B2204" s="9" t="s">
        <v>342</v>
      </c>
      <c r="C2204" s="9" t="s">
        <v>71</v>
      </c>
      <c r="D2204" s="37" t="s">
        <v>57</v>
      </c>
      <c r="F2204" s="15">
        <v>1.0</v>
      </c>
      <c r="G2204" s="37" t="s">
        <v>65</v>
      </c>
      <c r="H2204" s="31" t="e">
        <v>#N/A</v>
      </c>
      <c r="I2204" s="31" t="e">
        <v>#N/A</v>
      </c>
    </row>
    <row r="2205">
      <c r="A2205" s="11">
        <v>46169.99620081019</v>
      </c>
      <c r="B2205" s="9" t="s">
        <v>342</v>
      </c>
      <c r="C2205" s="9" t="s">
        <v>110</v>
      </c>
      <c r="D2205" s="37" t="s">
        <v>57</v>
      </c>
      <c r="F2205" s="15">
        <v>1.0</v>
      </c>
      <c r="G2205" s="37" t="s">
        <v>65</v>
      </c>
      <c r="H2205" s="31" t="e">
        <v>#N/A</v>
      </c>
      <c r="I2205" s="31" t="e">
        <v>#N/A</v>
      </c>
    </row>
    <row r="2206">
      <c r="A2206" s="11">
        <v>46170.00167175926</v>
      </c>
      <c r="B2206" s="9" t="s">
        <v>393</v>
      </c>
      <c r="C2206" s="9" t="s">
        <v>284</v>
      </c>
      <c r="D2206" s="37" t="s">
        <v>57</v>
      </c>
      <c r="E2206" s="9" t="s">
        <v>505</v>
      </c>
      <c r="F2206" s="15">
        <v>1.0</v>
      </c>
      <c r="G2206" s="37" t="s">
        <v>65</v>
      </c>
      <c r="H2206" s="31" t="e">
        <v>#N/A</v>
      </c>
      <c r="I2206" s="31" t="e">
        <v>#N/A</v>
      </c>
    </row>
    <row r="2207">
      <c r="A2207" s="11">
        <v>46170.00934113426</v>
      </c>
      <c r="B2207" s="9" t="s">
        <v>200</v>
      </c>
      <c r="C2207" s="9" t="s">
        <v>414</v>
      </c>
      <c r="D2207" s="9" t="s">
        <v>19</v>
      </c>
      <c r="F2207" s="15">
        <v>1.0</v>
      </c>
      <c r="G2207" s="37" t="s">
        <v>65</v>
      </c>
      <c r="H2207" s="31" t="e">
        <v>#N/A</v>
      </c>
      <c r="I2207" s="31" t="e">
        <v>#N/A</v>
      </c>
    </row>
    <row r="2208">
      <c r="A2208" s="11">
        <v>46170.01829315972</v>
      </c>
      <c r="B2208" s="9" t="s">
        <v>183</v>
      </c>
      <c r="C2208" s="9" t="s">
        <v>333</v>
      </c>
      <c r="D2208" s="37" t="s">
        <v>57</v>
      </c>
      <c r="E2208" s="9" t="s">
        <v>122</v>
      </c>
      <c r="F2208" s="15">
        <v>1.0</v>
      </c>
      <c r="G2208" s="37" t="s">
        <v>65</v>
      </c>
      <c r="H2208" s="31" t="e">
        <v>#N/A</v>
      </c>
      <c r="I2208" s="31" t="e">
        <v>#N/A</v>
      </c>
    </row>
    <row r="2209">
      <c r="A2209" s="11">
        <v>46170.03703451389</v>
      </c>
      <c r="B2209" s="9" t="s">
        <v>183</v>
      </c>
      <c r="C2209" s="9" t="s">
        <v>200</v>
      </c>
      <c r="D2209" s="37" t="s">
        <v>57</v>
      </c>
      <c r="E2209" s="9" t="s">
        <v>122</v>
      </c>
      <c r="F2209" s="15">
        <v>1.0</v>
      </c>
      <c r="G2209" s="37" t="s">
        <v>65</v>
      </c>
      <c r="H2209" s="31" t="e">
        <v>#N/A</v>
      </c>
      <c r="I2209" s="31" t="e">
        <v>#N/A</v>
      </c>
    </row>
    <row r="2210">
      <c r="A2210" s="11">
        <v>46170.07701253472</v>
      </c>
      <c r="B2210" s="9" t="s">
        <v>333</v>
      </c>
      <c r="C2210" s="9" t="s">
        <v>414</v>
      </c>
      <c r="D2210" s="9" t="s">
        <v>19</v>
      </c>
      <c r="F2210" s="15">
        <v>1.0</v>
      </c>
      <c r="G2210" s="37" t="s">
        <v>65</v>
      </c>
      <c r="H2210" s="31" t="e">
        <v>#N/A</v>
      </c>
      <c r="I2210" s="31" t="e">
        <v>#N/A</v>
      </c>
    </row>
    <row r="2211">
      <c r="A2211" s="11">
        <v>46170.399487222225</v>
      </c>
      <c r="B2211" s="9" t="s">
        <v>208</v>
      </c>
      <c r="C2211" s="9" t="s">
        <v>200</v>
      </c>
      <c r="D2211" s="37" t="s">
        <v>57</v>
      </c>
      <c r="F2211" s="15">
        <v>1.0</v>
      </c>
      <c r="G2211" s="37" t="s">
        <v>65</v>
      </c>
      <c r="H2211" s="31" t="e">
        <v>#N/A</v>
      </c>
      <c r="I2211" s="31" t="e">
        <v>#N/A</v>
      </c>
    </row>
    <row r="2212">
      <c r="A2212" s="11">
        <v>46170.41900043981</v>
      </c>
      <c r="B2212" s="9" t="s">
        <v>231</v>
      </c>
      <c r="C2212" s="9" t="s">
        <v>208</v>
      </c>
      <c r="D2212" s="9" t="s">
        <v>19</v>
      </c>
      <c r="F2212" s="15">
        <v>1.0</v>
      </c>
      <c r="H2212" s="31" t="e">
        <v>#N/A</v>
      </c>
      <c r="I2212" s="31" t="e">
        <v>#N/A</v>
      </c>
    </row>
    <row r="2213">
      <c r="A2213" s="11">
        <v>46170.478248368054</v>
      </c>
      <c r="B2213" s="9" t="s">
        <v>226</v>
      </c>
      <c r="C2213" s="9" t="s">
        <v>115</v>
      </c>
      <c r="D2213" s="37" t="s">
        <v>57</v>
      </c>
      <c r="E2213" s="9" t="s">
        <v>112</v>
      </c>
      <c r="F2213" s="15">
        <v>1.0</v>
      </c>
      <c r="G2213" s="37" t="s">
        <v>65</v>
      </c>
      <c r="H2213" s="31" t="e">
        <v>#N/A</v>
      </c>
      <c r="I2213" s="31" t="e">
        <v>#N/A</v>
      </c>
    </row>
    <row r="2214">
      <c r="A2214" s="11">
        <v>46170.50713975694</v>
      </c>
      <c r="B2214" s="9" t="s">
        <v>238</v>
      </c>
      <c r="C2214" s="9" t="s">
        <v>387</v>
      </c>
      <c r="D2214" s="37" t="s">
        <v>57</v>
      </c>
      <c r="E2214" s="9" t="s">
        <v>637</v>
      </c>
      <c r="F2214" s="15">
        <v>1.0</v>
      </c>
      <c r="G2214" s="37" t="s">
        <v>65</v>
      </c>
      <c r="H2214" s="31" t="e">
        <v>#N/A</v>
      </c>
      <c r="I2214" s="31" t="e">
        <v>#N/A</v>
      </c>
    </row>
    <row r="2215">
      <c r="A2215" s="11">
        <v>46170.61549539352</v>
      </c>
      <c r="B2215" s="9" t="s">
        <v>84</v>
      </c>
      <c r="C2215" s="9" t="s">
        <v>387</v>
      </c>
      <c r="D2215" s="37" t="s">
        <v>57</v>
      </c>
      <c r="F2215" s="15">
        <v>1.0</v>
      </c>
      <c r="H2215" s="31" t="e">
        <v>#N/A</v>
      </c>
      <c r="I2215" s="31" t="e">
        <v>#N/A</v>
      </c>
    </row>
    <row r="2216">
      <c r="A2216" s="11">
        <v>46170.6294909375</v>
      </c>
      <c r="B2216" s="9" t="s">
        <v>373</v>
      </c>
      <c r="C2216" s="9" t="s">
        <v>299</v>
      </c>
      <c r="D2216" s="9" t="s">
        <v>19</v>
      </c>
      <c r="F2216" s="15">
        <v>1.0</v>
      </c>
      <c r="H2216" s="31" t="e">
        <v>#N/A</v>
      </c>
      <c r="I2216" s="31" t="e">
        <v>#N/A</v>
      </c>
    </row>
    <row r="2217">
      <c r="A2217" s="11">
        <v>46170.6458728588</v>
      </c>
      <c r="B2217" s="9" t="s">
        <v>231</v>
      </c>
      <c r="C2217" s="9" t="s">
        <v>185</v>
      </c>
      <c r="D2217" s="9" t="s">
        <v>19</v>
      </c>
      <c r="F2217" s="15">
        <v>1.0</v>
      </c>
      <c r="G2217" s="37" t="s">
        <v>65</v>
      </c>
      <c r="H2217" s="31" t="e">
        <v>#N/A</v>
      </c>
      <c r="I2217" s="31" t="e">
        <v>#N/A</v>
      </c>
    </row>
    <row r="2218">
      <c r="A2218" s="11">
        <v>46170.65481739583</v>
      </c>
      <c r="B2218" s="9" t="s">
        <v>373</v>
      </c>
      <c r="C2218" s="9" t="s">
        <v>213</v>
      </c>
      <c r="D2218" s="37" t="s">
        <v>57</v>
      </c>
      <c r="F2218" s="15">
        <v>1.0</v>
      </c>
      <c r="G2218" s="37" t="s">
        <v>65</v>
      </c>
      <c r="H2218" s="31" t="e">
        <v>#N/A</v>
      </c>
      <c r="I2218" s="31" t="e">
        <v>#N/A</v>
      </c>
    </row>
    <row r="2219">
      <c r="A2219" s="11">
        <v>46170.8518300463</v>
      </c>
      <c r="B2219" s="9" t="s">
        <v>64</v>
      </c>
      <c r="C2219" s="9" t="s">
        <v>238</v>
      </c>
      <c r="D2219" s="9" t="s">
        <v>19</v>
      </c>
      <c r="E2219" s="9" t="s">
        <v>638</v>
      </c>
      <c r="F2219" s="15">
        <v>1.0</v>
      </c>
      <c r="G2219" s="37" t="s">
        <v>65</v>
      </c>
      <c r="H2219" s="31" t="e">
        <v>#N/A</v>
      </c>
      <c r="I2219" s="31" t="e">
        <v>#N/A</v>
      </c>
    </row>
    <row r="2220">
      <c r="A2220" s="11">
        <v>46170.87038561342</v>
      </c>
      <c r="B2220" s="9" t="s">
        <v>64</v>
      </c>
      <c r="C2220" s="9" t="s">
        <v>342</v>
      </c>
      <c r="D2220" s="9" t="s">
        <v>19</v>
      </c>
      <c r="E2220" s="9" t="s">
        <v>234</v>
      </c>
      <c r="F2220" s="15">
        <v>1.0</v>
      </c>
      <c r="G2220" s="37" t="s">
        <v>65</v>
      </c>
      <c r="H2220" s="31" t="e">
        <v>#N/A</v>
      </c>
      <c r="I2220" s="31" t="e">
        <v>#N/A</v>
      </c>
    </row>
    <row r="2221">
      <c r="A2221" s="11">
        <v>46170.93703403935</v>
      </c>
      <c r="B2221" s="9" t="s">
        <v>346</v>
      </c>
      <c r="C2221" s="9" t="s">
        <v>237</v>
      </c>
      <c r="D2221" s="37" t="s">
        <v>57</v>
      </c>
      <c r="E2221" s="9" t="s">
        <v>270</v>
      </c>
      <c r="F2221" s="15">
        <v>1.0</v>
      </c>
      <c r="H2221" s="31" t="e">
        <v>#N/A</v>
      </c>
      <c r="I2221" s="31" t="e">
        <v>#N/A</v>
      </c>
    </row>
    <row r="2222">
      <c r="A2222" s="11">
        <v>46170.94130259259</v>
      </c>
      <c r="B2222" s="9" t="s">
        <v>388</v>
      </c>
      <c r="C2222" s="9" t="s">
        <v>393</v>
      </c>
      <c r="D2222" s="37" t="s">
        <v>57</v>
      </c>
      <c r="F2222" s="15">
        <v>1.0</v>
      </c>
      <c r="H2222" s="31" t="e">
        <v>#N/A</v>
      </c>
      <c r="I2222" s="31" t="e">
        <v>#N/A</v>
      </c>
    </row>
    <row r="2223">
      <c r="A2223" s="11">
        <v>46170.96360832176</v>
      </c>
      <c r="B2223" s="9" t="s">
        <v>139</v>
      </c>
      <c r="C2223" s="9" t="s">
        <v>388</v>
      </c>
      <c r="D2223" s="37" t="s">
        <v>57</v>
      </c>
      <c r="E2223" s="9" t="s">
        <v>140</v>
      </c>
      <c r="F2223" s="15">
        <v>1.0</v>
      </c>
      <c r="G2223" s="37" t="s">
        <v>65</v>
      </c>
      <c r="H2223" s="31" t="e">
        <v>#N/A</v>
      </c>
      <c r="I2223" s="31" t="e">
        <v>#N/A</v>
      </c>
    </row>
    <row r="2224">
      <c r="A2224" s="11">
        <v>46170.99388383102</v>
      </c>
      <c r="B2224" s="9" t="s">
        <v>252</v>
      </c>
      <c r="C2224" s="9" t="s">
        <v>290</v>
      </c>
      <c r="D2224" s="9" t="s">
        <v>19</v>
      </c>
      <c r="F2224" s="15">
        <v>1.0</v>
      </c>
      <c r="G2224" s="37" t="s">
        <v>65</v>
      </c>
      <c r="H2224" s="31" t="e">
        <v>#N/A</v>
      </c>
      <c r="I2224" s="31" t="e">
        <v>#N/A</v>
      </c>
    </row>
    <row r="2225">
      <c r="A2225" s="11">
        <v>46171.01850569445</v>
      </c>
      <c r="B2225" s="9" t="s">
        <v>342</v>
      </c>
      <c r="C2225" s="9" t="s">
        <v>343</v>
      </c>
      <c r="D2225" s="37" t="s">
        <v>57</v>
      </c>
      <c r="F2225" s="15">
        <v>1.0</v>
      </c>
      <c r="H2225" s="31" t="e">
        <v>#N/A</v>
      </c>
      <c r="I2225" s="31" t="e">
        <v>#N/A</v>
      </c>
    </row>
    <row r="2226">
      <c r="A2226" s="11">
        <v>46171.02327194445</v>
      </c>
      <c r="B2226" s="9" t="s">
        <v>373</v>
      </c>
      <c r="C2226" s="9" t="s">
        <v>139</v>
      </c>
      <c r="D2226" s="9" t="s">
        <v>19</v>
      </c>
      <c r="F2226" s="15">
        <v>1.0</v>
      </c>
      <c r="H2226" s="31" t="e">
        <v>#N/A</v>
      </c>
      <c r="I2226" s="31" t="e">
        <v>#N/A</v>
      </c>
    </row>
    <row r="2227">
      <c r="A2227" s="11">
        <v>46171.027256284724</v>
      </c>
      <c r="B2227" s="9" t="s">
        <v>200</v>
      </c>
      <c r="C2227" s="9" t="s">
        <v>252</v>
      </c>
      <c r="D2227" s="9" t="s">
        <v>19</v>
      </c>
      <c r="F2227" s="15">
        <v>1.0</v>
      </c>
      <c r="G2227" s="37" t="s">
        <v>65</v>
      </c>
      <c r="H2227" s="31" t="e">
        <v>#N/A</v>
      </c>
      <c r="I2227" s="31" t="e">
        <v>#N/A</v>
      </c>
    </row>
    <row r="2228">
      <c r="A2228" s="11">
        <v>46171.0398368287</v>
      </c>
      <c r="B2228" s="9" t="s">
        <v>290</v>
      </c>
      <c r="C2228" s="9" t="s">
        <v>397</v>
      </c>
      <c r="D2228" s="37" t="s">
        <v>57</v>
      </c>
      <c r="E2228" s="9" t="s">
        <v>197</v>
      </c>
      <c r="F2228" s="15">
        <v>1.0</v>
      </c>
      <c r="G2228" s="37" t="s">
        <v>65</v>
      </c>
      <c r="H2228" s="31" t="e">
        <v>#N/A</v>
      </c>
      <c r="I2228" s="31" t="e">
        <v>#N/A</v>
      </c>
    </row>
    <row r="2229">
      <c r="A2229" s="11">
        <v>46171.04902575232</v>
      </c>
      <c r="B2229" s="9" t="s">
        <v>373</v>
      </c>
      <c r="C2229" s="9" t="s">
        <v>64</v>
      </c>
      <c r="D2229" s="37" t="s">
        <v>57</v>
      </c>
      <c r="F2229" s="15">
        <v>1.0</v>
      </c>
      <c r="G2229" s="37" t="s">
        <v>65</v>
      </c>
      <c r="H2229" s="31" t="e">
        <v>#N/A</v>
      </c>
      <c r="I2229" s="31" t="e">
        <v>#N/A</v>
      </c>
    </row>
    <row r="2230">
      <c r="A2230" s="11">
        <v>46171.07156215278</v>
      </c>
      <c r="B2230" s="9" t="s">
        <v>252</v>
      </c>
      <c r="C2230" s="9" t="s">
        <v>397</v>
      </c>
      <c r="D2230" s="37" t="s">
        <v>57</v>
      </c>
      <c r="F2230" s="15">
        <v>1.0</v>
      </c>
      <c r="G2230" s="37" t="s">
        <v>65</v>
      </c>
      <c r="H2230" s="31" t="e">
        <v>#N/A</v>
      </c>
      <c r="I2230" s="31" t="e">
        <v>#N/A</v>
      </c>
    </row>
    <row r="2231">
      <c r="A2231" s="11">
        <v>46171.34793362269</v>
      </c>
      <c r="B2231" s="9" t="s">
        <v>104</v>
      </c>
      <c r="C2231" s="9" t="s">
        <v>356</v>
      </c>
      <c r="D2231" s="9" t="s">
        <v>19</v>
      </c>
      <c r="F2231" s="15">
        <v>1.0</v>
      </c>
      <c r="G2231" s="37" t="s">
        <v>65</v>
      </c>
      <c r="H2231" s="31" t="e">
        <v>#N/A</v>
      </c>
      <c r="I2231" s="31" t="e">
        <v>#N/A</v>
      </c>
    </row>
    <row r="2232">
      <c r="A2232" s="11">
        <v>46171.36349458333</v>
      </c>
      <c r="B2232" s="9" t="s">
        <v>104</v>
      </c>
      <c r="C2232" s="9" t="s">
        <v>79</v>
      </c>
      <c r="D2232" s="9" t="s">
        <v>19</v>
      </c>
      <c r="F2232" s="15">
        <v>1.0</v>
      </c>
      <c r="G2232" s="37" t="s">
        <v>65</v>
      </c>
      <c r="H2232" s="31" t="e">
        <v>#N/A</v>
      </c>
      <c r="I2232" s="31" t="e">
        <v>#N/A</v>
      </c>
    </row>
    <row r="2233">
      <c r="A2233" s="11">
        <v>46171.40347789352</v>
      </c>
      <c r="B2233" s="9" t="s">
        <v>389</v>
      </c>
      <c r="C2233" s="9" t="s">
        <v>213</v>
      </c>
      <c r="D2233" s="9" t="s">
        <v>19</v>
      </c>
      <c r="F2233" s="15">
        <v>1.0</v>
      </c>
      <c r="G2233" s="37" t="s">
        <v>65</v>
      </c>
      <c r="H2233" s="31" t="e">
        <v>#N/A</v>
      </c>
      <c r="I2233" s="31" t="e">
        <v>#N/A</v>
      </c>
    </row>
    <row r="2234">
      <c r="A2234" s="11">
        <v>46171.475642523146</v>
      </c>
      <c r="B2234" s="9" t="s">
        <v>238</v>
      </c>
      <c r="C2234" s="9" t="s">
        <v>103</v>
      </c>
      <c r="D2234" s="37" t="s">
        <v>57</v>
      </c>
      <c r="E2234" s="9" t="s">
        <v>265</v>
      </c>
      <c r="F2234" s="15">
        <v>1.0</v>
      </c>
      <c r="H2234" s="31" t="e">
        <v>#N/A</v>
      </c>
      <c r="I2234" s="31" t="e">
        <v>#N/A</v>
      </c>
    </row>
    <row r="2235">
      <c r="A2235" s="11">
        <v>46171.49194104166</v>
      </c>
      <c r="B2235" s="9" t="s">
        <v>421</v>
      </c>
      <c r="C2235" s="9" t="s">
        <v>397</v>
      </c>
      <c r="D2235" s="9" t="s">
        <v>19</v>
      </c>
      <c r="F2235" s="15">
        <v>1.0</v>
      </c>
      <c r="G2235" s="37" t="s">
        <v>65</v>
      </c>
      <c r="H2235" s="31" t="e">
        <v>#N/A</v>
      </c>
      <c r="I2235" s="31" t="e">
        <v>#N/A</v>
      </c>
    </row>
    <row r="2236">
      <c r="A2236" s="11">
        <v>46171.50320530093</v>
      </c>
      <c r="B2236" s="9" t="s">
        <v>231</v>
      </c>
      <c r="C2236" s="9" t="s">
        <v>84</v>
      </c>
      <c r="D2236" s="37" t="s">
        <v>57</v>
      </c>
      <c r="F2236" s="15">
        <v>1.0</v>
      </c>
      <c r="G2236" s="37" t="s">
        <v>65</v>
      </c>
      <c r="H2236" s="31" t="e">
        <v>#N/A</v>
      </c>
      <c r="I2236" s="31" t="e">
        <v>#N/A</v>
      </c>
    </row>
    <row r="2237">
      <c r="A2237" s="11">
        <v>46171.51039282407</v>
      </c>
      <c r="B2237" s="9" t="s">
        <v>252</v>
      </c>
      <c r="C2237" s="9" t="s">
        <v>389</v>
      </c>
      <c r="D2237" s="37" t="s">
        <v>57</v>
      </c>
      <c r="F2237" s="15">
        <v>1.0</v>
      </c>
      <c r="G2237" s="37" t="s">
        <v>65</v>
      </c>
      <c r="H2237" s="31" t="e">
        <v>#N/A</v>
      </c>
      <c r="I2237" s="31" t="e">
        <v>#N/A</v>
      </c>
    </row>
    <row r="2238">
      <c r="A2238" s="11">
        <v>46171.51321009259</v>
      </c>
      <c r="B2238" s="9" t="s">
        <v>421</v>
      </c>
      <c r="C2238" s="9" t="s">
        <v>356</v>
      </c>
      <c r="D2238" s="9" t="s">
        <v>19</v>
      </c>
      <c r="F2238" s="15">
        <v>1.0</v>
      </c>
      <c r="H2238" s="31" t="e">
        <v>#N/A</v>
      </c>
      <c r="I2238" s="31" t="e">
        <v>#N/A</v>
      </c>
    </row>
    <row r="2239">
      <c r="A2239" s="11">
        <v>46171.52503604167</v>
      </c>
      <c r="B2239" s="9" t="s">
        <v>231</v>
      </c>
      <c r="C2239" s="9" t="s">
        <v>421</v>
      </c>
      <c r="D2239" s="9" t="s">
        <v>19</v>
      </c>
      <c r="F2239" s="15">
        <v>1.0</v>
      </c>
      <c r="H2239" s="31" t="e">
        <v>#N/A</v>
      </c>
      <c r="I2239" s="31" t="e">
        <v>#N/A</v>
      </c>
    </row>
    <row r="2240">
      <c r="A2240" s="11">
        <v>46171.59943002315</v>
      </c>
      <c r="B2240" s="9" t="s">
        <v>389</v>
      </c>
      <c r="C2240" s="9" t="s">
        <v>200</v>
      </c>
      <c r="D2240" s="9" t="s">
        <v>19</v>
      </c>
      <c r="F2240" s="15">
        <v>1.0</v>
      </c>
      <c r="G2240" s="37" t="s">
        <v>65</v>
      </c>
      <c r="H2240" s="31" t="e">
        <v>#N/A</v>
      </c>
      <c r="I2240" s="31" t="e">
        <v>#N/A</v>
      </c>
    </row>
    <row r="2241">
      <c r="A2241" s="11">
        <v>46171.61996568287</v>
      </c>
      <c r="B2241" s="9" t="s">
        <v>64</v>
      </c>
      <c r="C2241" s="9" t="s">
        <v>115</v>
      </c>
      <c r="D2241" s="9" t="s">
        <v>19</v>
      </c>
      <c r="E2241" s="9" t="s">
        <v>640</v>
      </c>
      <c r="F2241" s="15">
        <v>1.0</v>
      </c>
      <c r="H2241" s="31" t="e">
        <v>#N/A</v>
      </c>
      <c r="I2241" s="31" t="e">
        <v>#N/A</v>
      </c>
    </row>
    <row r="2242">
      <c r="A2242" s="11">
        <v>46171.64450400463</v>
      </c>
      <c r="B2242" s="9" t="s">
        <v>389</v>
      </c>
      <c r="C2242" s="9" t="s">
        <v>332</v>
      </c>
      <c r="D2242" s="37" t="s">
        <v>57</v>
      </c>
      <c r="F2242" s="15">
        <v>1.0</v>
      </c>
      <c r="H2242" s="31" t="e">
        <v>#N/A</v>
      </c>
      <c r="I2242" s="31" t="e">
        <v>#N/A</v>
      </c>
    </row>
    <row r="2243">
      <c r="A2243" s="11">
        <v>46171.6675524537</v>
      </c>
      <c r="B2243" s="9" t="s">
        <v>79</v>
      </c>
      <c r="C2243" s="9" t="s">
        <v>389</v>
      </c>
      <c r="D2243" s="37" t="s">
        <v>57</v>
      </c>
      <c r="F2243" s="15">
        <v>1.0</v>
      </c>
      <c r="G2243" s="37" t="s">
        <v>65</v>
      </c>
      <c r="H2243" s="31" t="e">
        <v>#N/A</v>
      </c>
      <c r="I2243" s="31" t="e">
        <v>#N/A</v>
      </c>
    </row>
    <row r="2244">
      <c r="A2244" s="11">
        <v>46171.6777734375</v>
      </c>
      <c r="B2244" s="9" t="s">
        <v>104</v>
      </c>
      <c r="C2244" s="9" t="s">
        <v>64</v>
      </c>
      <c r="D2244" s="9" t="s">
        <v>19</v>
      </c>
      <c r="F2244" s="15">
        <v>1.0</v>
      </c>
      <c r="G2244" s="37" t="s">
        <v>65</v>
      </c>
      <c r="H2244" s="31" t="e">
        <v>#N/A</v>
      </c>
      <c r="I2244" s="31" t="e">
        <v>#N/A</v>
      </c>
    </row>
    <row r="2245">
      <c r="A2245" s="11">
        <v>46171.73546186343</v>
      </c>
      <c r="B2245" s="9" t="s">
        <v>84</v>
      </c>
      <c r="C2245" s="9" t="s">
        <v>76</v>
      </c>
      <c r="D2245" s="37" t="s">
        <v>57</v>
      </c>
      <c r="F2245" s="15">
        <v>1.0</v>
      </c>
      <c r="G2245" s="37" t="s">
        <v>65</v>
      </c>
      <c r="H2245" s="31" t="e">
        <v>#N/A</v>
      </c>
      <c r="I2245" s="31" t="e">
        <v>#N/A</v>
      </c>
    </row>
    <row r="2246">
      <c r="A2246" s="11">
        <v>46171.7385065625</v>
      </c>
      <c r="B2246" s="9" t="s">
        <v>143</v>
      </c>
      <c r="C2246" s="9" t="s">
        <v>350</v>
      </c>
      <c r="D2246" s="37" t="s">
        <v>57</v>
      </c>
      <c r="E2246" s="9" t="s">
        <v>122</v>
      </c>
      <c r="F2246" s="15">
        <v>1.0</v>
      </c>
      <c r="G2246" s="37" t="s">
        <v>65</v>
      </c>
      <c r="H2246" s="31" t="e">
        <v>#N/A</v>
      </c>
      <c r="I2246" s="31" t="e">
        <v>#N/A</v>
      </c>
    </row>
    <row r="2247">
      <c r="A2247" s="11">
        <v>46171.74197541666</v>
      </c>
      <c r="B2247" s="9" t="s">
        <v>229</v>
      </c>
      <c r="C2247" s="9" t="s">
        <v>79</v>
      </c>
      <c r="D2247" s="37" t="s">
        <v>57</v>
      </c>
      <c r="E2247" s="9" t="s">
        <v>270</v>
      </c>
      <c r="F2247" s="15">
        <v>1.0</v>
      </c>
      <c r="G2247" s="37" t="s">
        <v>65</v>
      </c>
      <c r="H2247" s="31" t="e">
        <v>#N/A</v>
      </c>
      <c r="I2247" s="31" t="e">
        <v>#N/A</v>
      </c>
    </row>
    <row r="2248">
      <c r="A2248" s="11">
        <v>46171.77047195601</v>
      </c>
      <c r="B2248" s="9" t="s">
        <v>17</v>
      </c>
      <c r="C2248" s="9" t="s">
        <v>76</v>
      </c>
      <c r="D2248" s="37" t="s">
        <v>57</v>
      </c>
      <c r="F2248" s="15">
        <v>1.0</v>
      </c>
      <c r="G2248" s="37" t="s">
        <v>65</v>
      </c>
      <c r="H2248" s="31" t="e">
        <v>#N/A</v>
      </c>
      <c r="I2248" s="31" t="e">
        <v>#N/A</v>
      </c>
    </row>
    <row r="2249">
      <c r="A2249" s="11">
        <v>46171.78434222222</v>
      </c>
      <c r="B2249" s="9" t="s">
        <v>59</v>
      </c>
      <c r="C2249" s="9" t="s">
        <v>238</v>
      </c>
      <c r="D2249" s="9" t="s">
        <v>19</v>
      </c>
      <c r="F2249" s="15">
        <v>1.0</v>
      </c>
      <c r="G2249" s="37" t="s">
        <v>65</v>
      </c>
      <c r="H2249" s="31" t="e">
        <v>#N/A</v>
      </c>
      <c r="I2249" s="31" t="e">
        <v>#N/A</v>
      </c>
    </row>
    <row r="2250">
      <c r="A2250" s="11">
        <v>46171.83585914352</v>
      </c>
      <c r="B2250" s="9" t="s">
        <v>252</v>
      </c>
      <c r="C2250" s="9" t="s">
        <v>92</v>
      </c>
      <c r="D2250" s="37" t="s">
        <v>57</v>
      </c>
      <c r="F2250" s="15">
        <v>1.0</v>
      </c>
      <c r="H2250" s="31" t="e">
        <v>#N/A</v>
      </c>
      <c r="I2250" s="31" t="e">
        <v>#N/A</v>
      </c>
    </row>
    <row r="2251">
      <c r="A2251" s="11">
        <v>46171.836090868055</v>
      </c>
      <c r="B2251" s="9" t="s">
        <v>252</v>
      </c>
      <c r="C2251" s="9" t="s">
        <v>17</v>
      </c>
      <c r="D2251" s="37" t="s">
        <v>57</v>
      </c>
      <c r="F2251" s="15">
        <v>1.0</v>
      </c>
      <c r="G2251" s="37" t="s">
        <v>65</v>
      </c>
      <c r="H2251" s="31" t="e">
        <v>#N/A</v>
      </c>
      <c r="I2251" s="31" t="e">
        <v>#N/A</v>
      </c>
    </row>
    <row r="2252">
      <c r="A2252" s="11">
        <v>46171.91233482639</v>
      </c>
      <c r="B2252" s="9" t="s">
        <v>18</v>
      </c>
      <c r="C2252" s="9" t="s">
        <v>345</v>
      </c>
      <c r="D2252" s="9" t="s">
        <v>19</v>
      </c>
      <c r="F2252" s="15">
        <v>1.0</v>
      </c>
      <c r="G2252" s="37" t="s">
        <v>65</v>
      </c>
      <c r="H2252" s="31" t="e">
        <v>#N/A</v>
      </c>
      <c r="I2252" s="31" t="e">
        <v>#N/A</v>
      </c>
    </row>
    <row r="2253">
      <c r="A2253" s="11">
        <v>46171.939138946764</v>
      </c>
      <c r="B2253" s="9" t="s">
        <v>271</v>
      </c>
      <c r="C2253" s="9" t="s">
        <v>349</v>
      </c>
      <c r="D2253" s="37" t="s">
        <v>57</v>
      </c>
      <c r="E2253" s="9" t="s">
        <v>641</v>
      </c>
      <c r="F2253" s="15">
        <v>1.0</v>
      </c>
      <c r="G2253" s="37" t="s">
        <v>65</v>
      </c>
      <c r="H2253" s="31" t="e">
        <v>#N/A</v>
      </c>
      <c r="I2253" s="31" t="e">
        <v>#N/A</v>
      </c>
    </row>
    <row r="2254">
      <c r="A2254" s="11">
        <v>46171.94092105324</v>
      </c>
      <c r="B2254" s="9" t="s">
        <v>229</v>
      </c>
      <c r="C2254" s="9" t="s">
        <v>162</v>
      </c>
      <c r="D2254" s="37" t="s">
        <v>57</v>
      </c>
      <c r="F2254" s="15">
        <v>1.0</v>
      </c>
      <c r="G2254" s="37" t="s">
        <v>65</v>
      </c>
      <c r="H2254" s="31" t="e">
        <v>#N/A</v>
      </c>
      <c r="I2254" s="31" t="e">
        <v>#N/A</v>
      </c>
    </row>
    <row r="2255">
      <c r="A2255" s="11">
        <v>46171.95655238426</v>
      </c>
      <c r="B2255" s="9" t="s">
        <v>121</v>
      </c>
      <c r="C2255" s="9" t="s">
        <v>238</v>
      </c>
      <c r="D2255" s="37" t="s">
        <v>57</v>
      </c>
      <c r="E2255" s="9" t="s">
        <v>140</v>
      </c>
      <c r="F2255" s="15">
        <v>1.0</v>
      </c>
      <c r="G2255" s="37" t="s">
        <v>65</v>
      </c>
      <c r="H2255" s="31" t="e">
        <v>#N/A</v>
      </c>
      <c r="I2255" s="31" t="e">
        <v>#N/A</v>
      </c>
    </row>
    <row r="2256">
      <c r="A2256" s="11">
        <v>46171.96935480324</v>
      </c>
      <c r="B2256" s="9" t="s">
        <v>229</v>
      </c>
      <c r="C2256" s="9" t="s">
        <v>17</v>
      </c>
      <c r="D2256" s="9" t="s">
        <v>19</v>
      </c>
      <c r="F2256" s="15">
        <v>1.0</v>
      </c>
      <c r="G2256" s="37" t="s">
        <v>65</v>
      </c>
      <c r="H2256" s="31" t="e">
        <v>#N/A</v>
      </c>
      <c r="I2256" s="31" t="e">
        <v>#N/A</v>
      </c>
    </row>
    <row r="2257">
      <c r="A2257" s="11">
        <v>46171.97194870371</v>
      </c>
      <c r="B2257" s="9" t="s">
        <v>344</v>
      </c>
      <c r="C2257" s="9" t="s">
        <v>18</v>
      </c>
      <c r="D2257" s="37" t="s">
        <v>57</v>
      </c>
      <c r="E2257" s="9" t="s">
        <v>140</v>
      </c>
      <c r="F2257" s="15">
        <v>1.0</v>
      </c>
      <c r="G2257" s="37" t="s">
        <v>65</v>
      </c>
      <c r="H2257" s="31" t="e">
        <v>#N/A</v>
      </c>
      <c r="I2257" s="31" t="e">
        <v>#N/A</v>
      </c>
    </row>
    <row r="2258">
      <c r="A2258" s="11">
        <v>46171.979725439815</v>
      </c>
      <c r="B2258" s="9" t="s">
        <v>110</v>
      </c>
      <c r="C2258" s="9" t="s">
        <v>162</v>
      </c>
      <c r="D2258" s="37" t="s">
        <v>57</v>
      </c>
      <c r="F2258" s="15">
        <v>1.0</v>
      </c>
      <c r="G2258" s="37" t="s">
        <v>65</v>
      </c>
      <c r="H2258" s="31" t="e">
        <v>#N/A</v>
      </c>
      <c r="I2258" s="31" t="e">
        <v>#N/A</v>
      </c>
    </row>
    <row r="2259">
      <c r="A2259" s="11">
        <v>46171.995425625</v>
      </c>
      <c r="B2259" s="9" t="s">
        <v>162</v>
      </c>
      <c r="C2259" s="9" t="s">
        <v>18</v>
      </c>
      <c r="D2259" s="9" t="s">
        <v>19</v>
      </c>
      <c r="F2259" s="15">
        <v>1.0</v>
      </c>
      <c r="G2259" s="37" t="s">
        <v>65</v>
      </c>
      <c r="H2259" s="31" t="e">
        <v>#N/A</v>
      </c>
      <c r="I2259" s="31" t="e">
        <v>#N/A</v>
      </c>
    </row>
    <row r="2260">
      <c r="A2260" s="11">
        <v>46171.99914621528</v>
      </c>
      <c r="B2260" s="9" t="s">
        <v>218</v>
      </c>
      <c r="C2260" s="9" t="s">
        <v>17</v>
      </c>
      <c r="D2260" s="37" t="s">
        <v>57</v>
      </c>
      <c r="F2260" s="15">
        <v>1.0</v>
      </c>
      <c r="G2260" s="37" t="s">
        <v>65</v>
      </c>
      <c r="H2260" s="31" t="e">
        <v>#N/A</v>
      </c>
      <c r="I2260" s="31" t="e">
        <v>#N/A</v>
      </c>
    </row>
    <row r="2261">
      <c r="A2261" s="11">
        <v>46172.02646594908</v>
      </c>
      <c r="B2261" s="9" t="s">
        <v>76</v>
      </c>
      <c r="C2261" s="9" t="s">
        <v>18</v>
      </c>
      <c r="D2261" s="9" t="s">
        <v>19</v>
      </c>
      <c r="F2261" s="15">
        <v>1.0</v>
      </c>
      <c r="H2261" s="31" t="e">
        <v>#N/A</v>
      </c>
      <c r="I2261" s="31" t="e">
        <v>#N/A</v>
      </c>
    </row>
    <row r="2262">
      <c r="A2262" s="11">
        <v>46172.03017778935</v>
      </c>
      <c r="B2262" s="9" t="s">
        <v>17</v>
      </c>
      <c r="C2262" s="9" t="s">
        <v>162</v>
      </c>
      <c r="D2262" s="37" t="s">
        <v>57</v>
      </c>
      <c r="F2262" s="15">
        <v>1.0</v>
      </c>
      <c r="H2262" s="31" t="e">
        <v>#N/A</v>
      </c>
      <c r="I2262" s="31" t="e">
        <v>#N/A</v>
      </c>
    </row>
    <row r="2263">
      <c r="A2263" s="11">
        <v>46172.05255072917</v>
      </c>
      <c r="B2263" s="9" t="s">
        <v>344</v>
      </c>
      <c r="C2263" s="9" t="s">
        <v>110</v>
      </c>
      <c r="D2263" s="37" t="s">
        <v>57</v>
      </c>
      <c r="E2263" s="9" t="s">
        <v>642</v>
      </c>
      <c r="F2263" s="15">
        <v>1.0</v>
      </c>
      <c r="G2263" s="37" t="s">
        <v>65</v>
      </c>
      <c r="H2263" s="31" t="e">
        <v>#N/A</v>
      </c>
      <c r="I2263" s="31" t="e">
        <v>#N/A</v>
      </c>
    </row>
    <row r="2264">
      <c r="A2264" s="11">
        <v>46172.101130428244</v>
      </c>
      <c r="B2264" s="9" t="s">
        <v>59</v>
      </c>
      <c r="C2264" s="9" t="s">
        <v>344</v>
      </c>
      <c r="D2264" s="37" t="s">
        <v>57</v>
      </c>
      <c r="F2264" s="15">
        <v>1.0</v>
      </c>
      <c r="G2264" s="37" t="s">
        <v>65</v>
      </c>
      <c r="H2264" s="31" t="e">
        <v>#N/A</v>
      </c>
      <c r="I2264" s="31" t="e">
        <v>#N/A</v>
      </c>
    </row>
    <row r="2265">
      <c r="A2265" s="11">
        <v>46172.163348229165</v>
      </c>
      <c r="B2265" s="9" t="s">
        <v>110</v>
      </c>
      <c r="C2265" s="9" t="s">
        <v>192</v>
      </c>
      <c r="D2265" s="37" t="s">
        <v>57</v>
      </c>
      <c r="F2265" s="15">
        <v>1.0</v>
      </c>
      <c r="G2265" s="37" t="s">
        <v>65</v>
      </c>
      <c r="H2265" s="31" t="e">
        <v>#N/A</v>
      </c>
      <c r="I2265" s="31" t="e">
        <v>#N/A</v>
      </c>
    </row>
    <row r="2266">
      <c r="A2266" s="11">
        <v>46172.195108182874</v>
      </c>
      <c r="B2266" s="9" t="s">
        <v>192</v>
      </c>
      <c r="C2266" s="9" t="s">
        <v>213</v>
      </c>
      <c r="D2266" s="37" t="s">
        <v>57</v>
      </c>
      <c r="F2266" s="15">
        <v>1.0</v>
      </c>
      <c r="H2266" s="31" t="e">
        <v>#N/A</v>
      </c>
      <c r="I2266" s="31" t="e">
        <v>#N/A</v>
      </c>
    </row>
    <row r="2267">
      <c r="A2267" s="11">
        <v>46172.318161585645</v>
      </c>
      <c r="B2267" s="9" t="s">
        <v>271</v>
      </c>
      <c r="C2267" s="9" t="s">
        <v>350</v>
      </c>
      <c r="D2267" s="37" t="s">
        <v>57</v>
      </c>
      <c r="E2267" s="9" t="s">
        <v>140</v>
      </c>
      <c r="F2267" s="15">
        <v>1.0</v>
      </c>
      <c r="G2267" s="37" t="s">
        <v>65</v>
      </c>
      <c r="H2267" s="31" t="e">
        <v>#N/A</v>
      </c>
      <c r="I2267" s="31" t="e">
        <v>#N/A</v>
      </c>
    </row>
    <row r="2268">
      <c r="A2268" s="11">
        <v>46172.35295858796</v>
      </c>
      <c r="B2268" s="9" t="s">
        <v>204</v>
      </c>
      <c r="C2268" s="9" t="s">
        <v>79</v>
      </c>
      <c r="D2268" s="37" t="s">
        <v>57</v>
      </c>
      <c r="E2268" s="9" t="s">
        <v>576</v>
      </c>
      <c r="F2268" s="15">
        <v>1.0</v>
      </c>
      <c r="G2268" s="37" t="s">
        <v>65</v>
      </c>
      <c r="H2268" s="31" t="e">
        <v>#N/A</v>
      </c>
      <c r="I2268" s="31" t="e">
        <v>#N/A</v>
      </c>
    </row>
    <row r="2269">
      <c r="A2269" s="11">
        <v>46172.44707677083</v>
      </c>
      <c r="B2269" s="9" t="s">
        <v>271</v>
      </c>
      <c r="C2269" s="9" t="s">
        <v>143</v>
      </c>
      <c r="D2269" s="9" t="s">
        <v>19</v>
      </c>
      <c r="E2269" s="9" t="s">
        <v>176</v>
      </c>
      <c r="F2269" s="15">
        <v>1.0</v>
      </c>
      <c r="G2269" s="37" t="s">
        <v>65</v>
      </c>
      <c r="H2269" s="31" t="e">
        <v>#N/A</v>
      </c>
      <c r="I2269" s="31" t="e">
        <v>#N/A</v>
      </c>
    </row>
    <row r="2270">
      <c r="A2270" s="11">
        <v>46172.453443900464</v>
      </c>
      <c r="B2270" s="9" t="s">
        <v>226</v>
      </c>
      <c r="C2270" s="9" t="s">
        <v>252</v>
      </c>
      <c r="D2270" s="37" t="s">
        <v>57</v>
      </c>
      <c r="E2270" s="9" t="s">
        <v>112</v>
      </c>
      <c r="F2270" s="15">
        <v>1.0</v>
      </c>
      <c r="H2270" s="31" t="e">
        <v>#N/A</v>
      </c>
      <c r="I2270" s="31" t="e">
        <v>#N/A</v>
      </c>
    </row>
    <row r="2271">
      <c r="A2271" s="11">
        <v>46172.53221722222</v>
      </c>
      <c r="B2271" s="9" t="s">
        <v>229</v>
      </c>
      <c r="C2271" s="9" t="s">
        <v>88</v>
      </c>
      <c r="D2271" s="9" t="s">
        <v>19</v>
      </c>
      <c r="F2271" s="15">
        <v>1.0</v>
      </c>
      <c r="G2271" s="37" t="s">
        <v>65</v>
      </c>
      <c r="H2271" s="31" t="e">
        <v>#N/A</v>
      </c>
      <c r="I2271" s="31" t="e">
        <v>#N/A</v>
      </c>
    </row>
    <row r="2272">
      <c r="A2272" s="11">
        <v>46172.53343762731</v>
      </c>
      <c r="B2272" s="9" t="s">
        <v>121</v>
      </c>
      <c r="C2272" s="9" t="s">
        <v>271</v>
      </c>
      <c r="D2272" s="37" t="s">
        <v>57</v>
      </c>
      <c r="E2272" s="9" t="s">
        <v>643</v>
      </c>
      <c r="F2272" s="15">
        <v>1.0</v>
      </c>
      <c r="G2272" s="37" t="s">
        <v>65</v>
      </c>
      <c r="H2272" s="31" t="e">
        <v>#N/A</v>
      </c>
      <c r="I2272" s="31" t="e">
        <v>#N/A</v>
      </c>
    </row>
    <row r="2273">
      <c r="A2273" s="11">
        <v>46172.58401888889</v>
      </c>
      <c r="B2273" s="9" t="s">
        <v>218</v>
      </c>
      <c r="C2273" s="9" t="s">
        <v>121</v>
      </c>
      <c r="D2273" s="37" t="s">
        <v>57</v>
      </c>
      <c r="F2273" s="15">
        <v>1.0</v>
      </c>
      <c r="H2273" s="31" t="e">
        <v>#N/A</v>
      </c>
      <c r="I2273" s="31" t="e">
        <v>#N/A</v>
      </c>
    </row>
    <row r="2274">
      <c r="A2274" s="11">
        <v>46172.59810157407</v>
      </c>
      <c r="B2274" s="9" t="s">
        <v>110</v>
      </c>
      <c r="C2274" s="9" t="s">
        <v>218</v>
      </c>
      <c r="D2274" s="9" t="s">
        <v>19</v>
      </c>
      <c r="F2274" s="15">
        <v>1.0</v>
      </c>
      <c r="G2274" s="37" t="s">
        <v>65</v>
      </c>
      <c r="H2274" s="31" t="e">
        <v>#N/A</v>
      </c>
      <c r="I2274" s="31" t="e">
        <v>#N/A</v>
      </c>
    </row>
    <row r="2275">
      <c r="A2275" s="11">
        <v>46172.6347994213</v>
      </c>
      <c r="B2275" s="9" t="s">
        <v>59</v>
      </c>
      <c r="C2275" s="9" t="s">
        <v>290</v>
      </c>
      <c r="D2275" s="9" t="s">
        <v>19</v>
      </c>
      <c r="F2275" s="15">
        <v>1.0</v>
      </c>
      <c r="G2275" s="37" t="s">
        <v>65</v>
      </c>
      <c r="H2275" s="31" t="e">
        <v>#N/A</v>
      </c>
      <c r="I2275" s="31" t="e">
        <v>#N/A</v>
      </c>
    </row>
    <row r="2276">
      <c r="A2276" s="11">
        <v>46172.670234756944</v>
      </c>
      <c r="B2276" s="9" t="s">
        <v>350</v>
      </c>
      <c r="C2276" s="9" t="s">
        <v>185</v>
      </c>
      <c r="D2276" s="37" t="s">
        <v>57</v>
      </c>
      <c r="F2276" s="15">
        <v>1.0</v>
      </c>
      <c r="H2276" s="31" t="e">
        <v>#N/A</v>
      </c>
      <c r="I2276" s="31" t="e">
        <v>#N/A</v>
      </c>
    </row>
    <row r="2277">
      <c r="A2277" s="11">
        <v>46172.70496649305</v>
      </c>
      <c r="B2277" s="9" t="s">
        <v>342</v>
      </c>
      <c r="C2277" s="9" t="s">
        <v>218</v>
      </c>
      <c r="D2277" s="9" t="s">
        <v>19</v>
      </c>
      <c r="F2277" s="15">
        <v>1.0</v>
      </c>
      <c r="G2277" s="37" t="s">
        <v>65</v>
      </c>
      <c r="H2277" s="31" t="e">
        <v>#N/A</v>
      </c>
      <c r="I2277" s="31" t="e">
        <v>#N/A</v>
      </c>
    </row>
    <row r="2278">
      <c r="A2278" s="11">
        <v>46172.76620938657</v>
      </c>
      <c r="B2278" s="9" t="s">
        <v>192</v>
      </c>
      <c r="C2278" s="9" t="s">
        <v>226</v>
      </c>
      <c r="D2278" s="9" t="s">
        <v>19</v>
      </c>
      <c r="F2278" s="15">
        <v>1.0</v>
      </c>
      <c r="G2278" s="37" t="s">
        <v>65</v>
      </c>
      <c r="H2278" s="31" t="e">
        <v>#N/A</v>
      </c>
      <c r="I2278" s="31" t="e">
        <v>#N/A</v>
      </c>
    </row>
    <row r="2279">
      <c r="A2279" s="11">
        <v>46172.939632800924</v>
      </c>
      <c r="B2279" s="9" t="s">
        <v>88</v>
      </c>
      <c r="C2279" s="9" t="s">
        <v>346</v>
      </c>
      <c r="D2279" s="37" t="s">
        <v>57</v>
      </c>
      <c r="F2279" s="15">
        <v>1.0</v>
      </c>
      <c r="G2279" s="37" t="s">
        <v>65</v>
      </c>
      <c r="H2279" s="31" t="e">
        <v>#N/A</v>
      </c>
      <c r="I2279" s="31" t="e">
        <v>#N/A</v>
      </c>
    </row>
    <row r="2280">
      <c r="A2280" s="11">
        <v>46172.94781760417</v>
      </c>
      <c r="B2280" s="9" t="s">
        <v>59</v>
      </c>
      <c r="C2280" s="9" t="s">
        <v>200</v>
      </c>
      <c r="D2280" s="37" t="s">
        <v>57</v>
      </c>
      <c r="F2280" s="15">
        <v>1.0</v>
      </c>
      <c r="G2280" s="37" t="s">
        <v>65</v>
      </c>
      <c r="H2280" s="31" t="e">
        <v>#N/A</v>
      </c>
      <c r="I2280" s="31" t="e">
        <v>#N/A</v>
      </c>
    </row>
    <row r="2281">
      <c r="A2281" s="11">
        <v>46172.962811226855</v>
      </c>
      <c r="B2281" s="9" t="s">
        <v>342</v>
      </c>
      <c r="C2281" s="9" t="s">
        <v>346</v>
      </c>
      <c r="D2281" s="9" t="s">
        <v>19</v>
      </c>
      <c r="F2281" s="15">
        <v>1.0</v>
      </c>
      <c r="H2281" s="31" t="e">
        <v>#N/A</v>
      </c>
      <c r="I2281" s="31" t="e">
        <v>#N/A</v>
      </c>
    </row>
    <row r="2282">
      <c r="A2282" s="11">
        <v>46172.97009658565</v>
      </c>
      <c r="B2282" s="9" t="s">
        <v>76</v>
      </c>
      <c r="C2282" s="9" t="s">
        <v>229</v>
      </c>
      <c r="D2282" s="37" t="s">
        <v>57</v>
      </c>
      <c r="F2282" s="15">
        <v>1.0</v>
      </c>
      <c r="H2282" s="31" t="e">
        <v>#N/A</v>
      </c>
      <c r="I2282" s="31" t="e">
        <v>#N/A</v>
      </c>
    </row>
    <row r="2283">
      <c r="A2283" s="11">
        <v>46172.977314375</v>
      </c>
      <c r="B2283" s="9" t="s">
        <v>226</v>
      </c>
      <c r="C2283" s="9" t="s">
        <v>88</v>
      </c>
      <c r="D2283" s="37" t="s">
        <v>57</v>
      </c>
      <c r="E2283" s="9" t="s">
        <v>112</v>
      </c>
      <c r="F2283" s="15">
        <v>1.0</v>
      </c>
      <c r="H2283" s="31" t="e">
        <v>#N/A</v>
      </c>
      <c r="I2283" s="31" t="e">
        <v>#N/A</v>
      </c>
    </row>
    <row r="2284">
      <c r="A2284" s="11">
        <v>46172.99403081019</v>
      </c>
      <c r="B2284" s="9" t="s">
        <v>76</v>
      </c>
      <c r="C2284" s="9" t="s">
        <v>342</v>
      </c>
      <c r="D2284" s="37" t="s">
        <v>57</v>
      </c>
      <c r="F2284" s="15">
        <v>1.0</v>
      </c>
      <c r="G2284" s="37" t="s">
        <v>65</v>
      </c>
      <c r="H2284" s="31" t="e">
        <v>#N/A</v>
      </c>
      <c r="I2284" s="31" t="e">
        <v>#N/A</v>
      </c>
    </row>
    <row r="2285">
      <c r="A2285" s="11">
        <v>46173.131066828704</v>
      </c>
      <c r="B2285" s="9" t="s">
        <v>183</v>
      </c>
      <c r="C2285" s="9" t="s">
        <v>192</v>
      </c>
      <c r="D2285" s="37" t="s">
        <v>57</v>
      </c>
      <c r="E2285" s="9" t="s">
        <v>122</v>
      </c>
      <c r="F2285" s="15">
        <v>1.0</v>
      </c>
      <c r="H2285" s="31" t="e">
        <v>#N/A</v>
      </c>
      <c r="I2285" s="31" t="e">
        <v>#N/A</v>
      </c>
    </row>
    <row r="2286">
      <c r="A2286" s="11">
        <v>46173.31997795139</v>
      </c>
      <c r="B2286" s="9" t="s">
        <v>204</v>
      </c>
      <c r="C2286" s="9" t="s">
        <v>350</v>
      </c>
      <c r="D2286" s="37" t="s">
        <v>57</v>
      </c>
      <c r="E2286" s="9" t="s">
        <v>576</v>
      </c>
      <c r="F2286" s="15">
        <v>1.0</v>
      </c>
      <c r="G2286" s="37" t="s">
        <v>65</v>
      </c>
      <c r="H2286" s="31" t="e">
        <v>#N/A</v>
      </c>
      <c r="I2286" s="31" t="e">
        <v>#N/A</v>
      </c>
    </row>
    <row r="2287">
      <c r="A2287" s="11">
        <v>46173.390879108796</v>
      </c>
      <c r="B2287" s="9" t="s">
        <v>284</v>
      </c>
      <c r="C2287" s="9" t="s">
        <v>95</v>
      </c>
      <c r="D2287" s="37" t="s">
        <v>57</v>
      </c>
      <c r="E2287" s="9" t="s">
        <v>644</v>
      </c>
      <c r="F2287" s="15">
        <v>1.0</v>
      </c>
      <c r="G2287" s="37" t="s">
        <v>65</v>
      </c>
      <c r="H2287" s="31" t="e">
        <v>#N/A</v>
      </c>
      <c r="I2287" s="31" t="e">
        <v>#N/A</v>
      </c>
    </row>
    <row r="2288">
      <c r="A2288" s="11">
        <v>46173.41618446759</v>
      </c>
      <c r="B2288" s="9" t="s">
        <v>183</v>
      </c>
      <c r="C2288" s="9" t="s">
        <v>288</v>
      </c>
      <c r="D2288" s="37" t="s">
        <v>57</v>
      </c>
      <c r="E2288" s="9" t="s">
        <v>122</v>
      </c>
      <c r="F2288" s="15">
        <v>1.0</v>
      </c>
      <c r="G2288" s="37" t="s">
        <v>65</v>
      </c>
      <c r="H2288" s="31" t="e">
        <v>#N/A</v>
      </c>
      <c r="I2288" s="31" t="e">
        <v>#N/A</v>
      </c>
    </row>
    <row r="2289">
      <c r="A2289" s="11">
        <v>46173.460825428236</v>
      </c>
      <c r="B2289" s="9" t="s">
        <v>183</v>
      </c>
      <c r="C2289" s="9" t="s">
        <v>95</v>
      </c>
      <c r="D2289" s="37" t="s">
        <v>57</v>
      </c>
      <c r="E2289" s="9" t="s">
        <v>122</v>
      </c>
      <c r="F2289" s="15">
        <v>1.0</v>
      </c>
      <c r="H2289" s="31" t="e">
        <v>#N/A</v>
      </c>
      <c r="I2289" s="31" t="e">
        <v>#N/A</v>
      </c>
    </row>
    <row r="2290">
      <c r="A2290" s="11">
        <v>46173.467152199075</v>
      </c>
      <c r="B2290" s="9" t="s">
        <v>288</v>
      </c>
      <c r="C2290" s="9" t="s">
        <v>333</v>
      </c>
      <c r="D2290" s="9" t="s">
        <v>19</v>
      </c>
      <c r="F2290" s="15">
        <v>1.0</v>
      </c>
      <c r="G2290" s="37" t="s">
        <v>65</v>
      </c>
      <c r="H2290" s="31" t="e">
        <v>#N/A</v>
      </c>
      <c r="I2290" s="31" t="e">
        <v>#N/A</v>
      </c>
    </row>
    <row r="2291">
      <c r="A2291" s="11">
        <v>46173.488695127315</v>
      </c>
      <c r="B2291" s="9" t="s">
        <v>183</v>
      </c>
      <c r="C2291" s="9" t="s">
        <v>290</v>
      </c>
      <c r="D2291" s="37" t="s">
        <v>57</v>
      </c>
      <c r="E2291" s="9" t="s">
        <v>122</v>
      </c>
      <c r="F2291" s="15">
        <v>1.0</v>
      </c>
      <c r="G2291" s="37" t="s">
        <v>65</v>
      </c>
      <c r="H2291" s="31" t="e">
        <v>#N/A</v>
      </c>
      <c r="I2291" s="31" t="e">
        <v>#N/A</v>
      </c>
    </row>
    <row r="2292">
      <c r="A2292" s="11">
        <v>46173.530950659726</v>
      </c>
      <c r="B2292" s="9" t="s">
        <v>259</v>
      </c>
      <c r="C2292" s="9" t="s">
        <v>290</v>
      </c>
      <c r="D2292" s="37" t="s">
        <v>57</v>
      </c>
      <c r="E2292" s="9" t="s">
        <v>645</v>
      </c>
      <c r="F2292" s="15">
        <v>1.0</v>
      </c>
      <c r="G2292" s="37" t="s">
        <v>65</v>
      </c>
      <c r="H2292" s="31" t="e">
        <v>#N/A</v>
      </c>
      <c r="I2292" s="31" t="e">
        <v>#N/A</v>
      </c>
    </row>
    <row r="2293">
      <c r="A2293" s="11">
        <v>46173.548241412034</v>
      </c>
      <c r="B2293" s="9" t="s">
        <v>259</v>
      </c>
      <c r="C2293" s="9" t="s">
        <v>71</v>
      </c>
      <c r="D2293" s="9" t="s">
        <v>19</v>
      </c>
      <c r="E2293" s="9" t="s">
        <v>646</v>
      </c>
      <c r="F2293" s="15">
        <v>1.0</v>
      </c>
      <c r="H2293" s="31" t="e">
        <v>#N/A</v>
      </c>
      <c r="I2293" s="31" t="e">
        <v>#N/A</v>
      </c>
    </row>
    <row r="2294">
      <c r="A2294" s="11">
        <v>46173.572759409726</v>
      </c>
      <c r="B2294" s="9" t="s">
        <v>110</v>
      </c>
      <c r="C2294" s="9" t="s">
        <v>290</v>
      </c>
      <c r="D2294" s="9" t="s">
        <v>19</v>
      </c>
      <c r="F2294" s="15">
        <v>1.0</v>
      </c>
      <c r="G2294" s="37" t="s">
        <v>65</v>
      </c>
      <c r="H2294" s="31" t="e">
        <v>#N/A</v>
      </c>
      <c r="I2294" s="31" t="e">
        <v>#N/A</v>
      </c>
    </row>
    <row r="2295">
      <c r="A2295" s="11">
        <v>46173.58752369213</v>
      </c>
      <c r="B2295" s="9" t="s">
        <v>183</v>
      </c>
      <c r="C2295" s="9" t="s">
        <v>259</v>
      </c>
      <c r="D2295" s="37" t="s">
        <v>57</v>
      </c>
      <c r="E2295" s="9" t="s">
        <v>122</v>
      </c>
      <c r="F2295" s="15">
        <v>1.0</v>
      </c>
      <c r="H2295" s="31" t="e">
        <v>#N/A</v>
      </c>
      <c r="I2295" s="31" t="e">
        <v>#N/A</v>
      </c>
    </row>
    <row r="2296">
      <c r="A2296" s="11">
        <v>46173.61298269676</v>
      </c>
      <c r="B2296" s="9" t="s">
        <v>281</v>
      </c>
      <c r="C2296" s="9" t="s">
        <v>290</v>
      </c>
      <c r="D2296" s="37" t="s">
        <v>57</v>
      </c>
      <c r="F2296" s="15">
        <v>1.0</v>
      </c>
      <c r="H2296" s="31" t="e">
        <v>#N/A</v>
      </c>
      <c r="I2296" s="31" t="e">
        <v>#N/A</v>
      </c>
    </row>
    <row r="2297">
      <c r="A2297" s="11">
        <v>46173.61450810185</v>
      </c>
      <c r="B2297" s="9" t="s">
        <v>288</v>
      </c>
      <c r="C2297" s="9" t="s">
        <v>143</v>
      </c>
      <c r="D2297" s="9" t="s">
        <v>19</v>
      </c>
      <c r="F2297" s="15">
        <v>1.0</v>
      </c>
      <c r="G2297" s="37" t="s">
        <v>65</v>
      </c>
      <c r="H2297" s="31" t="e">
        <v>#N/A</v>
      </c>
      <c r="I2297" s="31" t="e">
        <v>#N/A</v>
      </c>
    </row>
    <row r="2298">
      <c r="A2298" s="11">
        <v>46173.64743023148</v>
      </c>
      <c r="B2298" s="9" t="s">
        <v>288</v>
      </c>
      <c r="C2298" s="9" t="s">
        <v>281</v>
      </c>
      <c r="D2298" s="37" t="s">
        <v>57</v>
      </c>
      <c r="F2298" s="15">
        <v>1.0</v>
      </c>
      <c r="G2298" s="37" t="s">
        <v>65</v>
      </c>
      <c r="H2298" s="31" t="e">
        <v>#N/A</v>
      </c>
      <c r="I2298" s="31" t="e">
        <v>#N/A</v>
      </c>
    </row>
    <row r="2299">
      <c r="A2299" s="11">
        <v>46173.666074849534</v>
      </c>
      <c r="B2299" s="9" t="s">
        <v>296</v>
      </c>
      <c r="C2299" s="9" t="s">
        <v>281</v>
      </c>
      <c r="D2299" s="9" t="s">
        <v>19</v>
      </c>
      <c r="F2299" s="15">
        <v>1.0</v>
      </c>
      <c r="H2299" s="31" t="e">
        <v>#N/A</v>
      </c>
      <c r="I2299" s="31" t="e">
        <v>#N/A</v>
      </c>
    </row>
    <row r="2300">
      <c r="A2300" s="11">
        <v>46173.69053445602</v>
      </c>
      <c r="B2300" s="9" t="s">
        <v>296</v>
      </c>
      <c r="C2300" s="9" t="s">
        <v>226</v>
      </c>
      <c r="D2300" s="37" t="s">
        <v>57</v>
      </c>
      <c r="F2300" s="15">
        <v>1.0</v>
      </c>
      <c r="G2300" s="37" t="s">
        <v>65</v>
      </c>
      <c r="H2300" s="31" t="e">
        <v>#N/A</v>
      </c>
      <c r="I2300" s="31" t="e">
        <v>#N/A</v>
      </c>
    </row>
    <row r="2301">
      <c r="A2301" s="11">
        <v>46173.691425185185</v>
      </c>
      <c r="B2301" s="9" t="s">
        <v>349</v>
      </c>
      <c r="C2301" s="9" t="s">
        <v>245</v>
      </c>
      <c r="D2301" s="9" t="s">
        <v>19</v>
      </c>
      <c r="F2301" s="15">
        <v>1.0</v>
      </c>
      <c r="H2301" s="31" t="e">
        <v>#N/A</v>
      </c>
      <c r="I2301" s="31" t="e">
        <v>#N/A</v>
      </c>
    </row>
    <row r="2302">
      <c r="A2302" s="11">
        <v>46173.70237775463</v>
      </c>
      <c r="B2302" s="9" t="s">
        <v>288</v>
      </c>
      <c r="C2302" s="9" t="s">
        <v>296</v>
      </c>
      <c r="D2302" s="9" t="s">
        <v>19</v>
      </c>
      <c r="F2302" s="15">
        <v>1.0</v>
      </c>
      <c r="G2302" s="37" t="s">
        <v>65</v>
      </c>
      <c r="H2302" s="31" t="e">
        <v>#N/A</v>
      </c>
      <c r="I2302" s="31" t="e">
        <v>#N/A</v>
      </c>
    </row>
    <row r="2303">
      <c r="A2303" s="11">
        <v>46173.71144652778</v>
      </c>
      <c r="B2303" s="9" t="s">
        <v>349</v>
      </c>
      <c r="C2303" s="9" t="s">
        <v>284</v>
      </c>
      <c r="D2303" s="37" t="s">
        <v>57</v>
      </c>
      <c r="F2303" s="15">
        <v>1.0</v>
      </c>
      <c r="G2303" s="37" t="s">
        <v>65</v>
      </c>
      <c r="H2303" s="31" t="e">
        <v>#N/A</v>
      </c>
      <c r="I2303" s="31" t="e">
        <v>#N/A</v>
      </c>
    </row>
    <row r="2304">
      <c r="A2304" s="11">
        <v>46173.72235064815</v>
      </c>
      <c r="B2304" s="9" t="s">
        <v>218</v>
      </c>
      <c r="C2304" s="9" t="s">
        <v>296</v>
      </c>
      <c r="D2304" s="9" t="s">
        <v>19</v>
      </c>
      <c r="F2304" s="15">
        <v>1.0</v>
      </c>
      <c r="H2304" s="31" t="e">
        <v>#N/A</v>
      </c>
      <c r="I2304" s="31" t="e">
        <v>#N/A</v>
      </c>
    </row>
    <row r="2305">
      <c r="A2305" s="11">
        <v>46173.889795173614</v>
      </c>
      <c r="B2305" s="9" t="s">
        <v>227</v>
      </c>
      <c r="C2305" s="9" t="s">
        <v>263</v>
      </c>
      <c r="D2305" s="37" t="s">
        <v>57</v>
      </c>
      <c r="E2305" s="9" t="s">
        <v>112</v>
      </c>
      <c r="F2305" s="15">
        <v>1.0</v>
      </c>
      <c r="G2305" s="37" t="s">
        <v>65</v>
      </c>
      <c r="H2305" s="31" t="e">
        <v>#N/A</v>
      </c>
      <c r="I2305" s="31" t="e">
        <v>#N/A</v>
      </c>
    </row>
    <row r="2306">
      <c r="A2306" s="11">
        <v>46173.929537523145</v>
      </c>
      <c r="B2306" s="9" t="s">
        <v>345</v>
      </c>
      <c r="C2306" s="9" t="s">
        <v>227</v>
      </c>
      <c r="D2306" s="9" t="s">
        <v>19</v>
      </c>
      <c r="E2306" s="9" t="s">
        <v>112</v>
      </c>
      <c r="F2306" s="15">
        <v>1.0</v>
      </c>
      <c r="H2306" s="31" t="e">
        <v>#N/A</v>
      </c>
      <c r="I2306" s="31" t="e">
        <v>#N/A</v>
      </c>
    </row>
    <row r="2307">
      <c r="A2307" s="11">
        <v>46173.935698402776</v>
      </c>
      <c r="B2307" s="9" t="s">
        <v>333</v>
      </c>
      <c r="C2307" s="9" t="s">
        <v>263</v>
      </c>
      <c r="D2307" s="37" t="s">
        <v>57</v>
      </c>
      <c r="F2307" s="15">
        <v>1.0</v>
      </c>
      <c r="G2307" s="37" t="s">
        <v>65</v>
      </c>
      <c r="H2307" s="31" t="e">
        <v>#N/A</v>
      </c>
      <c r="I2307" s="31" t="e">
        <v>#N/A</v>
      </c>
    </row>
    <row r="2308">
      <c r="A2308" s="11">
        <v>46174.33331475694</v>
      </c>
      <c r="B2308" s="9" t="s">
        <v>204</v>
      </c>
      <c r="C2308" s="9" t="s">
        <v>284</v>
      </c>
      <c r="D2308" s="37" t="s">
        <v>57</v>
      </c>
      <c r="E2308" s="9" t="s">
        <v>576</v>
      </c>
      <c r="F2308" s="15">
        <v>1.0</v>
      </c>
      <c r="H2308" s="31" t="e">
        <v>#N/A</v>
      </c>
      <c r="I2308" s="31" t="e">
        <v>#N/A</v>
      </c>
    </row>
    <row r="2309">
      <c r="A2309" s="11">
        <v>46174.58152800926</v>
      </c>
      <c r="B2309" s="9" t="s">
        <v>373</v>
      </c>
      <c r="C2309" s="9" t="s">
        <v>204</v>
      </c>
      <c r="D2309" s="37" t="s">
        <v>57</v>
      </c>
      <c r="F2309" s="15">
        <v>1.0</v>
      </c>
      <c r="H2309" s="31" t="e">
        <v>#N/A</v>
      </c>
      <c r="I2309" s="31" t="e">
        <v>#N/A</v>
      </c>
    </row>
    <row r="2310">
      <c r="A2310" s="11">
        <v>46174.59527197917</v>
      </c>
      <c r="B2310" s="9" t="s">
        <v>282</v>
      </c>
      <c r="C2310" s="9" t="s">
        <v>64</v>
      </c>
      <c r="D2310" s="9" t="s">
        <v>19</v>
      </c>
      <c r="F2310" s="15">
        <v>1.0</v>
      </c>
      <c r="H2310" s="31" t="e">
        <v>#N/A</v>
      </c>
      <c r="I2310" s="31" t="e">
        <v>#N/A</v>
      </c>
    </row>
    <row r="2311">
      <c r="A2311" s="11">
        <v>46174.61185721065</v>
      </c>
      <c r="B2311" s="9" t="s">
        <v>349</v>
      </c>
      <c r="C2311" s="9" t="s">
        <v>84</v>
      </c>
      <c r="D2311" s="9" t="s">
        <v>19</v>
      </c>
      <c r="F2311" s="15">
        <v>1.0</v>
      </c>
      <c r="G2311" s="37" t="s">
        <v>65</v>
      </c>
      <c r="H2311" s="31" t="e">
        <v>#N/A</v>
      </c>
      <c r="I2311" s="31" t="e">
        <v>#N/A</v>
      </c>
    </row>
    <row r="2312">
      <c r="A2312" s="11">
        <v>46174.61506384259</v>
      </c>
      <c r="B2312" s="9" t="s">
        <v>282</v>
      </c>
      <c r="C2312" s="9" t="s">
        <v>54</v>
      </c>
      <c r="D2312" s="9" t="s">
        <v>19</v>
      </c>
      <c r="F2312" s="15">
        <v>1.0</v>
      </c>
      <c r="H2312" s="31" t="e">
        <v>#N/A</v>
      </c>
      <c r="I2312" s="31" t="e">
        <v>#N/A</v>
      </c>
    </row>
    <row r="2313">
      <c r="A2313" s="11">
        <v>46174.64358256945</v>
      </c>
      <c r="B2313" s="9" t="s">
        <v>282</v>
      </c>
      <c r="C2313" s="9" t="s">
        <v>226</v>
      </c>
      <c r="D2313" s="37" t="s">
        <v>57</v>
      </c>
      <c r="F2313" s="15">
        <v>1.0</v>
      </c>
      <c r="G2313" s="37" t="s">
        <v>65</v>
      </c>
      <c r="H2313" s="31" t="e">
        <v>#N/A</v>
      </c>
      <c r="I2313" s="31" t="e">
        <v>#N/A</v>
      </c>
    </row>
    <row r="2314">
      <c r="A2314" s="11">
        <v>46174.728245590275</v>
      </c>
      <c r="B2314" s="9" t="s">
        <v>389</v>
      </c>
      <c r="C2314" s="9" t="s">
        <v>217</v>
      </c>
      <c r="D2314" s="37" t="s">
        <v>57</v>
      </c>
      <c r="F2314" s="15">
        <v>1.0</v>
      </c>
      <c r="H2314" s="31" t="e">
        <v>#N/A</v>
      </c>
      <c r="I2314" s="31" t="e">
        <v>#N/A</v>
      </c>
    </row>
    <row r="2315">
      <c r="A2315" s="11">
        <v>46174.8265634375</v>
      </c>
      <c r="B2315" s="9" t="s">
        <v>59</v>
      </c>
      <c r="C2315" s="9" t="s">
        <v>228</v>
      </c>
      <c r="D2315" s="37" t="s">
        <v>57</v>
      </c>
      <c r="F2315" s="15">
        <v>1.0</v>
      </c>
      <c r="H2315" s="31" t="e">
        <v>#N/A</v>
      </c>
      <c r="I2315" s="31" t="e">
        <v>#N/A</v>
      </c>
    </row>
    <row r="2316">
      <c r="A2316" s="11">
        <v>46174.84956444445</v>
      </c>
      <c r="B2316" s="9" t="s">
        <v>373</v>
      </c>
      <c r="C2316" s="9" t="s">
        <v>263</v>
      </c>
      <c r="D2316" s="37" t="s">
        <v>57</v>
      </c>
      <c r="F2316" s="15">
        <v>1.0</v>
      </c>
      <c r="H2316" s="31" t="e">
        <v>#N/A</v>
      </c>
      <c r="I2316" s="31" t="e">
        <v>#N/A</v>
      </c>
    </row>
    <row r="2317">
      <c r="A2317" s="11">
        <v>46174.86855332176</v>
      </c>
      <c r="B2317" s="9" t="s">
        <v>231</v>
      </c>
      <c r="C2317" s="9" t="s">
        <v>271</v>
      </c>
      <c r="D2317" s="9" t="s">
        <v>19</v>
      </c>
      <c r="F2317" s="15">
        <v>1.0</v>
      </c>
      <c r="G2317" s="37" t="s">
        <v>65</v>
      </c>
      <c r="H2317" s="31" t="e">
        <v>#N/A</v>
      </c>
      <c r="I2317" s="31" t="e">
        <v>#N/A</v>
      </c>
    </row>
    <row r="2318">
      <c r="A2318" s="11">
        <v>46174.889709849536</v>
      </c>
      <c r="B2318" s="9" t="s">
        <v>373</v>
      </c>
      <c r="C2318" s="9" t="s">
        <v>389</v>
      </c>
      <c r="D2318" s="9" t="s">
        <v>19</v>
      </c>
      <c r="F2318" s="15">
        <v>1.0</v>
      </c>
      <c r="G2318" s="37" t="s">
        <v>65</v>
      </c>
      <c r="H2318" s="31" t="e">
        <v>#N/A</v>
      </c>
      <c r="I2318" s="31" t="e">
        <v>#N/A</v>
      </c>
    </row>
    <row r="2319">
      <c r="A2319" s="11">
        <v>46174.894070277776</v>
      </c>
      <c r="B2319" s="9" t="s">
        <v>231</v>
      </c>
      <c r="C2319" s="9" t="s">
        <v>333</v>
      </c>
      <c r="D2319" s="9" t="s">
        <v>19</v>
      </c>
      <c r="F2319" s="15">
        <v>1.0</v>
      </c>
      <c r="G2319" s="37" t="s">
        <v>65</v>
      </c>
      <c r="H2319" s="31" t="e">
        <v>#N/A</v>
      </c>
      <c r="I2319" s="31" t="e">
        <v>#N/A</v>
      </c>
    </row>
    <row r="2320">
      <c r="A2320" s="11">
        <v>46174.92290892361</v>
      </c>
      <c r="B2320" s="9" t="s">
        <v>349</v>
      </c>
      <c r="C2320" s="9" t="s">
        <v>333</v>
      </c>
      <c r="D2320" s="37" t="s">
        <v>57</v>
      </c>
      <c r="F2320" s="15">
        <v>1.0</v>
      </c>
      <c r="G2320" s="37" t="s">
        <v>65</v>
      </c>
      <c r="H2320" s="31" t="e">
        <v>#N/A</v>
      </c>
      <c r="I2320" s="31" t="e">
        <v>#N/A</v>
      </c>
    </row>
    <row r="2321">
      <c r="A2321" s="11">
        <v>46175.03893027778</v>
      </c>
      <c r="B2321" s="9" t="s">
        <v>373</v>
      </c>
      <c r="C2321" s="9" t="s">
        <v>342</v>
      </c>
      <c r="D2321" s="37" t="s">
        <v>57</v>
      </c>
      <c r="F2321" s="15">
        <v>1.0</v>
      </c>
      <c r="G2321" s="37" t="s">
        <v>65</v>
      </c>
      <c r="H2321" s="31" t="e">
        <v>#N/A</v>
      </c>
      <c r="I2321" s="31" t="e">
        <v>#N/A</v>
      </c>
    </row>
    <row r="2322">
      <c r="A2322" s="11">
        <v>46175.34522127315</v>
      </c>
      <c r="B2322" s="9" t="s">
        <v>183</v>
      </c>
      <c r="C2322" s="9" t="s">
        <v>350</v>
      </c>
      <c r="D2322" s="9" t="s">
        <v>19</v>
      </c>
      <c r="E2322" s="9" t="s">
        <v>122</v>
      </c>
      <c r="F2322" s="15">
        <v>1.0</v>
      </c>
      <c r="H2322" s="31" t="e">
        <v>#N/A</v>
      </c>
      <c r="I2322" s="31" t="e">
        <v>#N/A</v>
      </c>
    </row>
    <row r="2323">
      <c r="A2323" s="11">
        <v>46175.5876402662</v>
      </c>
      <c r="B2323" s="9" t="s">
        <v>333</v>
      </c>
      <c r="C2323" s="9" t="s">
        <v>282</v>
      </c>
      <c r="D2323" s="9" t="s">
        <v>19</v>
      </c>
      <c r="F2323" s="15">
        <v>1.0</v>
      </c>
      <c r="G2323" s="37" t="s">
        <v>65</v>
      </c>
      <c r="H2323" s="31" t="e">
        <v>#N/A</v>
      </c>
      <c r="I2323" s="31" t="e">
        <v>#N/A</v>
      </c>
    </row>
    <row r="2324">
      <c r="A2324" s="11">
        <v>46175.628601226854</v>
      </c>
      <c r="B2324" s="9" t="s">
        <v>84</v>
      </c>
      <c r="C2324" s="9" t="s">
        <v>226</v>
      </c>
      <c r="D2324" s="37" t="s">
        <v>57</v>
      </c>
      <c r="F2324" s="15">
        <v>1.0</v>
      </c>
      <c r="G2324" s="37" t="s">
        <v>65</v>
      </c>
      <c r="H2324" s="31" t="e">
        <v>#N/A</v>
      </c>
      <c r="I2324" s="31" t="e">
        <v>#N/A</v>
      </c>
    </row>
    <row r="2325">
      <c r="A2325" s="11">
        <v>46175.66066263889</v>
      </c>
      <c r="B2325" s="9" t="s">
        <v>84</v>
      </c>
      <c r="C2325" s="9" t="s">
        <v>282</v>
      </c>
      <c r="D2325" s="9" t="s">
        <v>19</v>
      </c>
      <c r="F2325" s="15">
        <v>1.0</v>
      </c>
      <c r="H2325" s="31" t="e">
        <v>#N/A</v>
      </c>
      <c r="I2325" s="31" t="e">
        <v>#N/A</v>
      </c>
    </row>
    <row r="2326">
      <c r="A2326" s="11">
        <v>46175.80422019676</v>
      </c>
      <c r="B2326" s="9" t="s">
        <v>273</v>
      </c>
      <c r="C2326" s="9" t="s">
        <v>344</v>
      </c>
      <c r="D2326" s="37" t="s">
        <v>57</v>
      </c>
      <c r="F2326" s="15">
        <v>1.0</v>
      </c>
      <c r="G2326" s="37" t="s">
        <v>65</v>
      </c>
      <c r="H2326" s="31" t="e">
        <v>#N/A</v>
      </c>
      <c r="I2326" s="31" t="e">
        <v>#N/A</v>
      </c>
    </row>
    <row r="2327">
      <c r="A2327" s="11">
        <v>46175.84810898148</v>
      </c>
      <c r="B2327" s="9" t="s">
        <v>238</v>
      </c>
      <c r="C2327" s="9" t="s">
        <v>344</v>
      </c>
      <c r="D2327" s="9" t="s">
        <v>19</v>
      </c>
      <c r="E2327" s="9" t="s">
        <v>647</v>
      </c>
      <c r="F2327" s="15">
        <v>1.0</v>
      </c>
      <c r="H2327" s="31" t="e">
        <v>#N/A</v>
      </c>
      <c r="I2327" s="31" t="e">
        <v>#N/A</v>
      </c>
    </row>
    <row r="2328">
      <c r="A2328" s="11">
        <v>46175.84867710648</v>
      </c>
      <c r="B2328" s="9" t="s">
        <v>388</v>
      </c>
      <c r="C2328" s="9" t="s">
        <v>273</v>
      </c>
      <c r="D2328" s="9" t="s">
        <v>19</v>
      </c>
      <c r="E2328" s="9" t="s">
        <v>648</v>
      </c>
      <c r="F2328" s="15">
        <v>1.0</v>
      </c>
      <c r="H2328" s="31" t="e">
        <v>#N/A</v>
      </c>
      <c r="I2328" s="31" t="e">
        <v>#N/A</v>
      </c>
    </row>
    <row r="2329">
      <c r="A2329" s="11">
        <v>46175.90959545139</v>
      </c>
      <c r="B2329" s="9" t="s">
        <v>345</v>
      </c>
      <c r="C2329" s="9" t="s">
        <v>238</v>
      </c>
      <c r="D2329" s="9" t="s">
        <v>19</v>
      </c>
      <c r="E2329" s="9" t="s">
        <v>112</v>
      </c>
      <c r="F2329" s="15">
        <v>1.0</v>
      </c>
      <c r="G2329" s="37" t="s">
        <v>65</v>
      </c>
      <c r="H2329" s="31" t="e">
        <v>#N/A</v>
      </c>
      <c r="I2329" s="31" t="e">
        <v>#N/A</v>
      </c>
    </row>
    <row r="2330">
      <c r="A2330" s="11">
        <v>46175.92115744213</v>
      </c>
      <c r="B2330" s="9" t="s">
        <v>345</v>
      </c>
      <c r="C2330" s="9" t="s">
        <v>373</v>
      </c>
      <c r="D2330" s="9" t="s">
        <v>19</v>
      </c>
      <c r="E2330" s="9" t="s">
        <v>112</v>
      </c>
      <c r="F2330" s="15">
        <v>1.0</v>
      </c>
      <c r="G2330" s="37" t="s">
        <v>65</v>
      </c>
      <c r="H2330" s="31" t="e">
        <v>#N/A</v>
      </c>
      <c r="I2330" s="31" t="e">
        <v>#N/A</v>
      </c>
    </row>
    <row r="2331">
      <c r="A2331" s="11">
        <v>46176.61960792824</v>
      </c>
      <c r="B2331" s="9" t="s">
        <v>79</v>
      </c>
      <c r="C2331" s="9" t="s">
        <v>373</v>
      </c>
      <c r="D2331" s="37" t="s">
        <v>57</v>
      </c>
      <c r="E2331" s="9" t="s">
        <v>265</v>
      </c>
      <c r="F2331" s="15">
        <v>1.0</v>
      </c>
      <c r="H2331" s="31" t="e">
        <v>#N/A</v>
      </c>
      <c r="I2331" s="31" t="e">
        <v>#N/A</v>
      </c>
    </row>
    <row r="2332">
      <c r="A2332" s="11">
        <v>46176.72716487269</v>
      </c>
      <c r="B2332" s="9" t="s">
        <v>342</v>
      </c>
      <c r="C2332" s="9" t="s">
        <v>84</v>
      </c>
      <c r="D2332" s="9" t="s">
        <v>19</v>
      </c>
      <c r="F2332" s="15">
        <v>1.0</v>
      </c>
      <c r="G2332" s="37" t="s">
        <v>65</v>
      </c>
      <c r="H2332" s="31" t="e">
        <v>#N/A</v>
      </c>
      <c r="I2332" s="31" t="e">
        <v>#N/A</v>
      </c>
    </row>
    <row r="2333">
      <c r="A2333" s="11">
        <v>46176.845631122684</v>
      </c>
      <c r="B2333" s="9" t="s">
        <v>143</v>
      </c>
      <c r="C2333" s="9" t="s">
        <v>388</v>
      </c>
      <c r="D2333" s="9" t="s">
        <v>19</v>
      </c>
      <c r="F2333" s="15">
        <v>1.0</v>
      </c>
      <c r="G2333" s="37" t="s">
        <v>65</v>
      </c>
      <c r="H2333" s="31" t="e">
        <v>#N/A</v>
      </c>
      <c r="I2333" s="31" t="e">
        <v>#N/A</v>
      </c>
    </row>
    <row r="2334">
      <c r="A2334" s="11">
        <v>46176.87838674769</v>
      </c>
      <c r="B2334" s="9" t="s">
        <v>231</v>
      </c>
      <c r="C2334" s="9" t="s">
        <v>345</v>
      </c>
      <c r="D2334" s="9" t="s">
        <v>19</v>
      </c>
      <c r="F2334" s="15">
        <v>1.0</v>
      </c>
      <c r="H2334" s="31" t="e">
        <v>#N/A</v>
      </c>
      <c r="I2334" s="31" t="e">
        <v>#N/A</v>
      </c>
    </row>
    <row r="2335">
      <c r="A2335" s="11">
        <v>46177.0208866551</v>
      </c>
      <c r="B2335" s="9" t="s">
        <v>389</v>
      </c>
      <c r="C2335" s="9" t="s">
        <v>264</v>
      </c>
      <c r="D2335" s="37" t="s">
        <v>57</v>
      </c>
      <c r="F2335" s="15">
        <v>1.0</v>
      </c>
      <c r="H2335" s="31" t="e">
        <v>#N/A</v>
      </c>
      <c r="I2335" s="31" t="e">
        <v>#N/A</v>
      </c>
    </row>
    <row r="2336">
      <c r="A2336" s="11">
        <v>46177.59638400463</v>
      </c>
      <c r="B2336" s="9" t="s">
        <v>389</v>
      </c>
      <c r="C2336" s="9" t="s">
        <v>231</v>
      </c>
      <c r="D2336" s="37" t="s">
        <v>57</v>
      </c>
      <c r="F2336" s="15">
        <v>1.0</v>
      </c>
      <c r="G2336" s="37" t="s">
        <v>65</v>
      </c>
      <c r="H2336" s="31" t="e">
        <v>#N/A</v>
      </c>
      <c r="I2336" s="31" t="e">
        <v>#N/A</v>
      </c>
    </row>
    <row r="2337">
      <c r="A2337" s="11">
        <v>46177.62540225695</v>
      </c>
      <c r="B2337" s="9" t="s">
        <v>231</v>
      </c>
      <c r="C2337" s="9" t="s">
        <v>79</v>
      </c>
      <c r="D2337" s="37" t="s">
        <v>57</v>
      </c>
      <c r="F2337" s="15">
        <v>1.0</v>
      </c>
      <c r="H2337" s="31" t="e">
        <v>#N/A</v>
      </c>
      <c r="I2337" s="31" t="e">
        <v>#N/A</v>
      </c>
    </row>
    <row r="2338">
      <c r="A2338" s="11">
        <v>46177.84654429398</v>
      </c>
      <c r="B2338" s="9" t="s">
        <v>200</v>
      </c>
      <c r="C2338" s="9" t="s">
        <v>389</v>
      </c>
      <c r="D2338" s="9" t="s">
        <v>19</v>
      </c>
      <c r="E2338" s="9" t="s">
        <v>122</v>
      </c>
      <c r="F2338" s="15">
        <v>1.0</v>
      </c>
      <c r="G2338" s="37" t="s">
        <v>65</v>
      </c>
      <c r="H2338" s="31" t="e">
        <v>#N/A</v>
      </c>
      <c r="I2338" s="31" t="e">
        <v>#N/A</v>
      </c>
    </row>
    <row r="2339">
      <c r="A2339" s="11">
        <v>46177.87887946759</v>
      </c>
      <c r="B2339" s="9" t="s">
        <v>143</v>
      </c>
      <c r="C2339" s="9" t="s">
        <v>389</v>
      </c>
      <c r="D2339" s="37" t="s">
        <v>57</v>
      </c>
      <c r="E2339" s="9" t="s">
        <v>122</v>
      </c>
      <c r="F2339" s="15">
        <v>1.0</v>
      </c>
      <c r="H2339" s="31" t="e">
        <v>#N/A</v>
      </c>
      <c r="I2339" s="31" t="e">
        <v>#N/A</v>
      </c>
    </row>
    <row r="2340">
      <c r="A2340" s="11">
        <v>46177.977787083335</v>
      </c>
      <c r="B2340" s="9" t="s">
        <v>397</v>
      </c>
      <c r="C2340" s="9" t="s">
        <v>104</v>
      </c>
      <c r="D2340" s="9" t="s">
        <v>19</v>
      </c>
      <c r="F2340" s="15">
        <v>1.0</v>
      </c>
      <c r="H2340" s="31" t="e">
        <v>#N/A</v>
      </c>
      <c r="I2340" s="31" t="e">
        <v>#N/A</v>
      </c>
    </row>
    <row r="2341">
      <c r="A2341" s="11">
        <v>46178.36022743056</v>
      </c>
      <c r="B2341" s="9" t="s">
        <v>200</v>
      </c>
      <c r="C2341" s="9" t="s">
        <v>397</v>
      </c>
      <c r="D2341" s="37" t="s">
        <v>57</v>
      </c>
      <c r="F2341" s="15">
        <v>1.0</v>
      </c>
      <c r="H2341" s="31" t="e">
        <v>#N/A</v>
      </c>
      <c r="I2341" s="31" t="e">
        <v>#N/A</v>
      </c>
    </row>
    <row r="2342">
      <c r="A2342" s="11">
        <v>46178.456401284726</v>
      </c>
      <c r="B2342" s="9" t="s">
        <v>200</v>
      </c>
      <c r="C2342" s="9" t="s">
        <v>238</v>
      </c>
      <c r="D2342" s="37" t="s">
        <v>57</v>
      </c>
      <c r="F2342" s="15">
        <v>1.0</v>
      </c>
      <c r="H2342" s="31" t="e">
        <v>#N/A</v>
      </c>
      <c r="I2342" s="31" t="e">
        <v>#N/A</v>
      </c>
    </row>
    <row r="2343">
      <c r="E2343" s="14"/>
      <c r="H2343" s="31" t="s">
        <v>649</v>
      </c>
      <c r="I2343" s="31" t="s">
        <v>649</v>
      </c>
    </row>
    <row r="2344">
      <c r="E2344" s="14"/>
      <c r="H2344" s="31" t="s">
        <v>649</v>
      </c>
      <c r="I2344" s="31" t="s">
        <v>649</v>
      </c>
    </row>
    <row r="2345">
      <c r="E2345" s="14"/>
      <c r="H2345" s="31" t="s">
        <v>649</v>
      </c>
      <c r="I2345" s="31" t="s">
        <v>649</v>
      </c>
    </row>
    <row r="2346">
      <c r="E2346" s="14"/>
      <c r="H2346" s="31" t="s">
        <v>649</v>
      </c>
      <c r="I2346" s="31" t="s">
        <v>649</v>
      </c>
    </row>
    <row r="2347">
      <c r="E2347" s="14"/>
      <c r="H2347" s="31" t="s">
        <v>649</v>
      </c>
      <c r="I2347" s="31" t="s">
        <v>649</v>
      </c>
    </row>
    <row r="2348">
      <c r="E2348" s="14"/>
      <c r="H2348" s="31" t="s">
        <v>649</v>
      </c>
      <c r="I2348" s="31" t="s">
        <v>649</v>
      </c>
    </row>
    <row r="2349">
      <c r="E2349" s="14"/>
      <c r="H2349" s="31" t="s">
        <v>649</v>
      </c>
      <c r="I2349" s="31" t="s">
        <v>649</v>
      </c>
    </row>
    <row r="2350">
      <c r="E2350" s="14"/>
      <c r="H2350" s="31" t="s">
        <v>649</v>
      </c>
      <c r="I2350" s="31" t="s">
        <v>649</v>
      </c>
    </row>
    <row r="2351">
      <c r="E2351" s="14"/>
      <c r="H2351" s="31" t="s">
        <v>649</v>
      </c>
      <c r="I2351" s="31" t="s">
        <v>649</v>
      </c>
    </row>
    <row r="2352">
      <c r="E2352" s="14"/>
      <c r="H2352" s="31" t="s">
        <v>649</v>
      </c>
      <c r="I2352" s="31" t="s">
        <v>649</v>
      </c>
    </row>
    <row r="2353">
      <c r="E2353" s="14"/>
      <c r="H2353" s="31" t="s">
        <v>649</v>
      </c>
      <c r="I2353" s="31" t="s">
        <v>649</v>
      </c>
    </row>
    <row r="2354">
      <c r="E2354" s="14"/>
      <c r="H2354" s="31" t="s">
        <v>649</v>
      </c>
      <c r="I2354" s="31" t="s">
        <v>649</v>
      </c>
    </row>
    <row r="2355">
      <c r="E2355" s="14"/>
      <c r="H2355" s="31" t="s">
        <v>649</v>
      </c>
      <c r="I2355" s="31" t="s">
        <v>649</v>
      </c>
    </row>
    <row r="2356">
      <c r="E2356" s="14"/>
      <c r="H2356" s="31" t="s">
        <v>649</v>
      </c>
      <c r="I2356" s="31" t="s">
        <v>649</v>
      </c>
    </row>
    <row r="2357">
      <c r="E2357" s="14"/>
      <c r="H2357" s="31" t="s">
        <v>649</v>
      </c>
      <c r="I2357" s="31" t="s">
        <v>649</v>
      </c>
    </row>
    <row r="2358">
      <c r="E2358" s="14"/>
      <c r="H2358" s="31" t="s">
        <v>649</v>
      </c>
      <c r="I2358" s="31" t="s">
        <v>649</v>
      </c>
    </row>
    <row r="2359">
      <c r="E2359" s="14"/>
      <c r="H2359" s="31" t="s">
        <v>649</v>
      </c>
      <c r="I2359" s="31" t="s">
        <v>649</v>
      </c>
    </row>
    <row r="2360">
      <c r="E2360" s="14"/>
      <c r="H2360" s="31" t="s">
        <v>649</v>
      </c>
      <c r="I2360" s="31" t="s">
        <v>649</v>
      </c>
    </row>
    <row r="2361">
      <c r="E2361" s="14"/>
      <c r="H2361" s="31" t="s">
        <v>649</v>
      </c>
      <c r="I2361" s="31" t="s">
        <v>649</v>
      </c>
    </row>
    <row r="2362">
      <c r="E2362" s="14"/>
      <c r="H2362" s="31" t="s">
        <v>649</v>
      </c>
      <c r="I2362" s="31" t="s">
        <v>649</v>
      </c>
    </row>
    <row r="2363">
      <c r="E2363" s="14"/>
      <c r="H2363" s="31" t="s">
        <v>649</v>
      </c>
      <c r="I2363" s="31" t="s">
        <v>649</v>
      </c>
    </row>
    <row r="2364">
      <c r="E2364" s="14"/>
      <c r="H2364" s="31" t="s">
        <v>649</v>
      </c>
      <c r="I2364" s="31" t="s">
        <v>649</v>
      </c>
    </row>
    <row r="2365">
      <c r="E2365" s="14"/>
      <c r="H2365" s="31" t="s">
        <v>649</v>
      </c>
      <c r="I2365" s="31" t="s">
        <v>649</v>
      </c>
    </row>
    <row r="2366">
      <c r="E2366" s="14"/>
      <c r="H2366" s="31" t="s">
        <v>649</v>
      </c>
      <c r="I2366" s="31" t="s">
        <v>649</v>
      </c>
    </row>
    <row r="2367">
      <c r="E2367" s="14"/>
      <c r="H2367" s="31" t="s">
        <v>649</v>
      </c>
      <c r="I2367" s="31" t="s">
        <v>649</v>
      </c>
    </row>
    <row r="2368">
      <c r="E2368" s="14"/>
      <c r="H2368" s="31" t="s">
        <v>649</v>
      </c>
      <c r="I2368" s="31" t="s">
        <v>649</v>
      </c>
    </row>
    <row r="2369">
      <c r="E2369" s="14"/>
      <c r="H2369" s="31" t="s">
        <v>649</v>
      </c>
      <c r="I2369" s="31" t="s">
        <v>649</v>
      </c>
    </row>
    <row r="2370">
      <c r="E2370" s="14"/>
      <c r="H2370" s="31" t="s">
        <v>649</v>
      </c>
      <c r="I2370" s="31" t="s">
        <v>649</v>
      </c>
    </row>
    <row r="2371">
      <c r="E2371" s="14"/>
      <c r="H2371" s="31" t="s">
        <v>649</v>
      </c>
      <c r="I2371" s="31" t="s">
        <v>649</v>
      </c>
    </row>
    <row r="2372">
      <c r="E2372" s="14"/>
      <c r="H2372" s="31" t="s">
        <v>649</v>
      </c>
      <c r="I2372" s="31" t="s">
        <v>649</v>
      </c>
    </row>
    <row r="2373">
      <c r="E2373" s="14"/>
      <c r="H2373" s="31" t="s">
        <v>649</v>
      </c>
      <c r="I2373" s="31" t="s">
        <v>649</v>
      </c>
    </row>
    <row r="2374">
      <c r="E2374" s="14"/>
      <c r="H2374" s="31" t="s">
        <v>649</v>
      </c>
      <c r="I2374" s="31" t="s">
        <v>649</v>
      </c>
    </row>
    <row r="2375">
      <c r="E2375" s="14"/>
      <c r="H2375" s="31" t="s">
        <v>649</v>
      </c>
      <c r="I2375" s="31" t="s">
        <v>649</v>
      </c>
    </row>
    <row r="2376">
      <c r="E2376" s="14"/>
      <c r="H2376" s="31" t="s">
        <v>649</v>
      </c>
      <c r="I2376" s="31" t="s">
        <v>649</v>
      </c>
    </row>
    <row r="2377">
      <c r="E2377" s="14"/>
      <c r="H2377" s="31" t="s">
        <v>649</v>
      </c>
      <c r="I2377" s="31" t="s">
        <v>649</v>
      </c>
    </row>
    <row r="2378">
      <c r="E2378" s="14"/>
      <c r="H2378" s="31" t="s">
        <v>649</v>
      </c>
      <c r="I2378" s="31" t="s">
        <v>649</v>
      </c>
    </row>
    <row r="2379">
      <c r="E2379" s="14"/>
      <c r="H2379" s="31" t="s">
        <v>649</v>
      </c>
      <c r="I2379" s="31" t="s">
        <v>649</v>
      </c>
    </row>
    <row r="2380">
      <c r="E2380" s="14"/>
      <c r="H2380" s="31" t="s">
        <v>649</v>
      </c>
      <c r="I2380" s="31" t="s">
        <v>649</v>
      </c>
    </row>
    <row r="2381">
      <c r="E2381" s="14"/>
      <c r="H2381" s="31" t="s">
        <v>649</v>
      </c>
      <c r="I2381" s="31" t="s">
        <v>649</v>
      </c>
    </row>
    <row r="2382">
      <c r="E2382" s="14"/>
      <c r="H2382" s="31" t="s">
        <v>649</v>
      </c>
      <c r="I2382" s="31" t="s">
        <v>649</v>
      </c>
    </row>
    <row r="2383">
      <c r="E2383" s="14"/>
      <c r="H2383" s="31" t="s">
        <v>649</v>
      </c>
      <c r="I2383" s="31" t="s">
        <v>649</v>
      </c>
    </row>
    <row r="2384">
      <c r="E2384" s="14"/>
      <c r="H2384" s="31" t="s">
        <v>649</v>
      </c>
      <c r="I2384" s="31" t="s">
        <v>649</v>
      </c>
    </row>
    <row r="2385">
      <c r="E2385" s="14"/>
      <c r="H2385" s="31" t="s">
        <v>649</v>
      </c>
      <c r="I2385" s="31" t="s">
        <v>649</v>
      </c>
    </row>
    <row r="2386">
      <c r="E2386" s="14"/>
      <c r="H2386" s="31" t="s">
        <v>649</v>
      </c>
      <c r="I2386" s="31" t="s">
        <v>649</v>
      </c>
    </row>
    <row r="2387">
      <c r="E2387" s="14"/>
      <c r="H2387" s="31" t="s">
        <v>649</v>
      </c>
      <c r="I2387" s="31" t="s">
        <v>649</v>
      </c>
    </row>
    <row r="2388">
      <c r="E2388" s="14"/>
      <c r="H2388" s="31" t="s">
        <v>649</v>
      </c>
      <c r="I2388" s="31" t="s">
        <v>649</v>
      </c>
    </row>
    <row r="2389">
      <c r="E2389" s="14"/>
      <c r="H2389" s="31" t="s">
        <v>649</v>
      </c>
      <c r="I2389" s="31" t="s">
        <v>649</v>
      </c>
    </row>
    <row r="2390">
      <c r="E2390" s="14"/>
      <c r="H2390" s="31" t="s">
        <v>649</v>
      </c>
      <c r="I2390" s="31" t="s">
        <v>649</v>
      </c>
    </row>
    <row r="2391">
      <c r="E2391" s="14"/>
      <c r="H2391" s="31" t="s">
        <v>649</v>
      </c>
      <c r="I2391" s="31" t="s">
        <v>649</v>
      </c>
    </row>
    <row r="2392">
      <c r="E2392" s="14"/>
      <c r="H2392" s="31" t="s">
        <v>649</v>
      </c>
      <c r="I2392" s="31" t="s">
        <v>649</v>
      </c>
    </row>
    <row r="2393">
      <c r="E2393" s="14"/>
      <c r="H2393" s="31" t="s">
        <v>649</v>
      </c>
      <c r="I2393" s="31" t="s">
        <v>649</v>
      </c>
    </row>
    <row r="2394">
      <c r="E2394" s="14"/>
      <c r="H2394" s="31" t="s">
        <v>649</v>
      </c>
      <c r="I2394" s="31" t="s">
        <v>649</v>
      </c>
    </row>
    <row r="2395">
      <c r="E2395" s="14"/>
      <c r="H2395" s="31" t="s">
        <v>649</v>
      </c>
      <c r="I2395" s="31" t="s">
        <v>649</v>
      </c>
    </row>
    <row r="2396">
      <c r="E2396" s="14"/>
      <c r="H2396" s="31" t="s">
        <v>649</v>
      </c>
      <c r="I2396" s="31" t="s">
        <v>649</v>
      </c>
    </row>
    <row r="2397">
      <c r="E2397" s="14"/>
      <c r="H2397" s="31" t="s">
        <v>649</v>
      </c>
      <c r="I2397" s="31" t="s">
        <v>649</v>
      </c>
    </row>
    <row r="2398">
      <c r="E2398" s="14"/>
      <c r="H2398" s="31" t="s">
        <v>649</v>
      </c>
      <c r="I2398" s="31" t="s">
        <v>649</v>
      </c>
    </row>
    <row r="2399">
      <c r="E2399" s="14"/>
      <c r="H2399" s="31" t="s">
        <v>649</v>
      </c>
      <c r="I2399" s="31" t="s">
        <v>649</v>
      </c>
    </row>
    <row r="2400">
      <c r="E2400" s="14"/>
      <c r="H2400" s="31" t="s">
        <v>649</v>
      </c>
      <c r="I2400" s="31" t="s">
        <v>649</v>
      </c>
    </row>
    <row r="2401">
      <c r="E2401" s="14"/>
      <c r="H2401" s="31" t="s">
        <v>649</v>
      </c>
      <c r="I2401" s="31" t="s">
        <v>649</v>
      </c>
    </row>
    <row r="2402">
      <c r="E2402" s="14"/>
      <c r="H2402" s="31" t="s">
        <v>649</v>
      </c>
      <c r="I2402" s="31" t="s">
        <v>649</v>
      </c>
    </row>
    <row r="2403">
      <c r="E2403" s="14"/>
      <c r="H2403" s="31" t="s">
        <v>649</v>
      </c>
      <c r="I2403" s="31" t="s">
        <v>649</v>
      </c>
    </row>
    <row r="2404">
      <c r="E2404" s="14"/>
      <c r="H2404" s="31" t="s">
        <v>649</v>
      </c>
      <c r="I2404" s="31" t="s">
        <v>649</v>
      </c>
    </row>
    <row r="2405">
      <c r="E2405" s="14"/>
      <c r="H2405" s="31" t="s">
        <v>649</v>
      </c>
      <c r="I2405" s="31" t="s">
        <v>649</v>
      </c>
    </row>
    <row r="2406">
      <c r="E2406" s="14"/>
      <c r="H2406" s="31" t="s">
        <v>649</v>
      </c>
      <c r="I2406" s="31" t="s">
        <v>649</v>
      </c>
    </row>
    <row r="2407">
      <c r="E2407" s="14"/>
      <c r="H2407" s="31" t="s">
        <v>649</v>
      </c>
      <c r="I2407" s="31" t="s">
        <v>649</v>
      </c>
    </row>
    <row r="2408">
      <c r="E2408" s="14"/>
      <c r="H2408" s="31" t="s">
        <v>649</v>
      </c>
      <c r="I2408" s="31" t="s">
        <v>649</v>
      </c>
    </row>
    <row r="2409">
      <c r="E2409" s="14"/>
      <c r="H2409" s="31" t="s">
        <v>649</v>
      </c>
      <c r="I2409" s="31" t="s">
        <v>649</v>
      </c>
    </row>
    <row r="2410">
      <c r="E2410" s="14"/>
      <c r="H2410" s="31" t="s">
        <v>649</v>
      </c>
      <c r="I2410" s="31" t="s">
        <v>649</v>
      </c>
    </row>
    <row r="2411">
      <c r="E2411" s="14"/>
      <c r="H2411" s="31" t="s">
        <v>649</v>
      </c>
      <c r="I2411" s="31" t="s">
        <v>649</v>
      </c>
    </row>
    <row r="2412">
      <c r="E2412" s="14"/>
      <c r="H2412" s="31" t="s">
        <v>649</v>
      </c>
      <c r="I2412" s="31" t="s">
        <v>649</v>
      </c>
    </row>
    <row r="2413">
      <c r="E2413" s="14"/>
      <c r="H2413" s="31" t="s">
        <v>649</v>
      </c>
      <c r="I2413" s="31" t="s">
        <v>649</v>
      </c>
    </row>
    <row r="2414">
      <c r="E2414" s="14"/>
      <c r="H2414" s="31" t="s">
        <v>649</v>
      </c>
      <c r="I2414" s="31" t="s">
        <v>649</v>
      </c>
    </row>
    <row r="2415">
      <c r="E2415" s="14"/>
      <c r="H2415" s="31" t="s">
        <v>649</v>
      </c>
      <c r="I2415" s="31" t="s">
        <v>649</v>
      </c>
    </row>
    <row r="2416">
      <c r="E2416" s="14"/>
      <c r="H2416" s="31" t="s">
        <v>649</v>
      </c>
      <c r="I2416" s="31" t="s">
        <v>649</v>
      </c>
    </row>
    <row r="2417">
      <c r="E2417" s="14"/>
      <c r="H2417" s="31" t="s">
        <v>649</v>
      </c>
      <c r="I2417" s="31" t="s">
        <v>649</v>
      </c>
    </row>
    <row r="2418">
      <c r="E2418" s="14"/>
      <c r="H2418" s="31" t="s">
        <v>649</v>
      </c>
      <c r="I2418" s="31" t="s">
        <v>649</v>
      </c>
    </row>
    <row r="2419">
      <c r="E2419" s="14"/>
      <c r="H2419" s="31" t="s">
        <v>649</v>
      </c>
      <c r="I2419" s="31" t="s">
        <v>649</v>
      </c>
    </row>
    <row r="2420">
      <c r="E2420" s="14"/>
      <c r="H2420" s="31" t="s">
        <v>649</v>
      </c>
      <c r="I2420" s="31" t="s">
        <v>649</v>
      </c>
    </row>
    <row r="2421">
      <c r="E2421" s="14"/>
      <c r="H2421" s="31" t="s">
        <v>649</v>
      </c>
      <c r="I2421" s="31" t="s">
        <v>649</v>
      </c>
    </row>
    <row r="2422">
      <c r="E2422" s="14"/>
      <c r="H2422" s="31" t="s">
        <v>649</v>
      </c>
      <c r="I2422" s="31" t="s">
        <v>649</v>
      </c>
    </row>
    <row r="2423">
      <c r="E2423" s="14"/>
      <c r="H2423" s="31" t="s">
        <v>649</v>
      </c>
      <c r="I2423" s="31" t="s">
        <v>649</v>
      </c>
    </row>
    <row r="2424">
      <c r="E2424" s="14"/>
      <c r="H2424" s="31" t="s">
        <v>649</v>
      </c>
      <c r="I2424" s="31" t="s">
        <v>649</v>
      </c>
    </row>
    <row r="2425">
      <c r="E2425" s="14"/>
      <c r="H2425" s="31" t="s">
        <v>649</v>
      </c>
      <c r="I2425" s="31" t="s">
        <v>649</v>
      </c>
    </row>
    <row r="2426">
      <c r="E2426" s="14"/>
      <c r="H2426" s="31" t="s">
        <v>649</v>
      </c>
      <c r="I2426" s="31" t="s">
        <v>649</v>
      </c>
    </row>
    <row r="2427">
      <c r="E2427" s="14"/>
      <c r="H2427" s="31" t="s">
        <v>649</v>
      </c>
      <c r="I2427" s="31" t="s">
        <v>649</v>
      </c>
    </row>
    <row r="2428">
      <c r="E2428" s="14"/>
      <c r="H2428" s="31" t="s">
        <v>649</v>
      </c>
      <c r="I2428" s="31" t="s">
        <v>649</v>
      </c>
    </row>
    <row r="2429">
      <c r="E2429" s="14"/>
      <c r="H2429" s="31" t="s">
        <v>649</v>
      </c>
      <c r="I2429" s="31" t="s">
        <v>649</v>
      </c>
    </row>
    <row r="2430">
      <c r="E2430" s="14"/>
      <c r="H2430" s="31" t="s">
        <v>649</v>
      </c>
      <c r="I2430" s="31" t="s">
        <v>649</v>
      </c>
    </row>
    <row r="2431">
      <c r="E2431" s="14"/>
      <c r="H2431" s="31" t="s">
        <v>649</v>
      </c>
      <c r="I2431" s="31" t="s">
        <v>649</v>
      </c>
    </row>
    <row r="2432">
      <c r="E2432" s="14"/>
      <c r="H2432" s="31" t="s">
        <v>649</v>
      </c>
      <c r="I2432" s="31" t="s">
        <v>649</v>
      </c>
    </row>
    <row r="2433">
      <c r="E2433" s="14"/>
      <c r="H2433" s="31" t="s">
        <v>649</v>
      </c>
      <c r="I2433" s="31" t="s">
        <v>649</v>
      </c>
    </row>
    <row r="2434">
      <c r="E2434" s="14"/>
      <c r="H2434" s="31" t="s">
        <v>649</v>
      </c>
      <c r="I2434" s="31" t="s">
        <v>649</v>
      </c>
    </row>
    <row r="2435">
      <c r="E2435" s="14"/>
      <c r="H2435" s="31" t="s">
        <v>649</v>
      </c>
      <c r="I2435" s="31" t="s">
        <v>649</v>
      </c>
    </row>
    <row r="2436">
      <c r="E2436" s="14"/>
      <c r="H2436" s="31" t="s">
        <v>649</v>
      </c>
      <c r="I2436" s="31" t="s">
        <v>649</v>
      </c>
    </row>
    <row r="2437">
      <c r="E2437" s="14"/>
      <c r="H2437" s="31" t="s">
        <v>649</v>
      </c>
      <c r="I2437" s="31" t="s">
        <v>649</v>
      </c>
    </row>
    <row r="2438">
      <c r="E2438" s="14"/>
      <c r="H2438" s="31" t="s">
        <v>649</v>
      </c>
      <c r="I2438" s="31" t="s">
        <v>649</v>
      </c>
    </row>
    <row r="2439">
      <c r="E2439" s="14"/>
      <c r="H2439" s="31" t="s">
        <v>649</v>
      </c>
      <c r="I2439" s="31" t="s">
        <v>649</v>
      </c>
    </row>
    <row r="2440">
      <c r="E2440" s="14"/>
      <c r="H2440" s="31" t="s">
        <v>649</v>
      </c>
      <c r="I2440" s="31" t="s">
        <v>649</v>
      </c>
    </row>
    <row r="2441">
      <c r="E2441" s="14"/>
      <c r="H2441" s="31" t="s">
        <v>649</v>
      </c>
      <c r="I2441" s="31" t="s">
        <v>649</v>
      </c>
    </row>
    <row r="2442">
      <c r="E2442" s="14"/>
      <c r="H2442" s="31" t="s">
        <v>649</v>
      </c>
      <c r="I2442" s="31" t="s">
        <v>649</v>
      </c>
    </row>
    <row r="2443">
      <c r="E2443" s="14"/>
      <c r="H2443" s="31" t="s">
        <v>649</v>
      </c>
      <c r="I2443" s="31" t="s">
        <v>649</v>
      </c>
    </row>
    <row r="2444">
      <c r="E2444" s="14"/>
      <c r="H2444" s="31" t="s">
        <v>649</v>
      </c>
      <c r="I2444" s="31" t="s">
        <v>649</v>
      </c>
    </row>
    <row r="2445">
      <c r="E2445" s="14"/>
      <c r="H2445" s="31" t="s">
        <v>649</v>
      </c>
      <c r="I2445" s="31" t="s">
        <v>649</v>
      </c>
    </row>
    <row r="2446">
      <c r="E2446" s="14"/>
      <c r="H2446" s="31" t="s">
        <v>649</v>
      </c>
      <c r="I2446" s="31" t="s">
        <v>649</v>
      </c>
    </row>
    <row r="2447">
      <c r="E2447" s="14"/>
      <c r="H2447" s="31" t="s">
        <v>649</v>
      </c>
      <c r="I2447" s="31" t="s">
        <v>649</v>
      </c>
    </row>
    <row r="2448">
      <c r="E2448" s="14"/>
      <c r="H2448" s="31" t="s">
        <v>649</v>
      </c>
      <c r="I2448" s="31" t="s">
        <v>649</v>
      </c>
    </row>
    <row r="2449">
      <c r="E2449" s="14"/>
      <c r="H2449" s="31" t="s">
        <v>649</v>
      </c>
      <c r="I2449" s="31" t="s">
        <v>649</v>
      </c>
    </row>
    <row r="2450">
      <c r="E2450" s="14"/>
      <c r="H2450" s="31" t="s">
        <v>649</v>
      </c>
      <c r="I2450" s="31" t="s">
        <v>649</v>
      </c>
    </row>
    <row r="2451">
      <c r="E2451" s="14"/>
      <c r="H2451" s="31" t="s">
        <v>649</v>
      </c>
      <c r="I2451" s="31" t="s">
        <v>649</v>
      </c>
    </row>
    <row r="2452">
      <c r="E2452" s="14"/>
      <c r="H2452" s="31" t="s">
        <v>649</v>
      </c>
      <c r="I2452" s="31" t="s">
        <v>649</v>
      </c>
    </row>
    <row r="2453">
      <c r="E2453" s="14"/>
      <c r="H2453" s="31" t="s">
        <v>649</v>
      </c>
      <c r="I2453" s="31" t="s">
        <v>649</v>
      </c>
    </row>
    <row r="2454">
      <c r="E2454" s="14"/>
      <c r="H2454" s="31" t="s">
        <v>649</v>
      </c>
      <c r="I2454" s="31" t="s">
        <v>649</v>
      </c>
    </row>
    <row r="2455">
      <c r="E2455" s="14"/>
      <c r="H2455" s="31" t="s">
        <v>649</v>
      </c>
      <c r="I2455" s="31" t="s">
        <v>649</v>
      </c>
    </row>
    <row r="2456">
      <c r="E2456" s="14"/>
      <c r="H2456" s="31" t="s">
        <v>649</v>
      </c>
      <c r="I2456" s="31" t="s">
        <v>649</v>
      </c>
    </row>
    <row r="2457">
      <c r="E2457" s="14"/>
      <c r="H2457" s="31" t="s">
        <v>649</v>
      </c>
      <c r="I2457" s="31" t="s">
        <v>649</v>
      </c>
    </row>
    <row r="2458">
      <c r="E2458" s="14"/>
      <c r="H2458" s="31" t="s">
        <v>649</v>
      </c>
      <c r="I2458" s="31" t="s">
        <v>649</v>
      </c>
    </row>
    <row r="2459">
      <c r="E2459" s="14"/>
      <c r="H2459" s="31" t="s">
        <v>649</v>
      </c>
      <c r="I2459" s="31" t="s">
        <v>649</v>
      </c>
    </row>
    <row r="2460">
      <c r="E2460" s="14"/>
      <c r="H2460" s="31" t="s">
        <v>649</v>
      </c>
      <c r="I2460" s="31" t="s">
        <v>649</v>
      </c>
    </row>
    <row r="2461">
      <c r="E2461" s="14"/>
      <c r="H2461" s="31" t="s">
        <v>649</v>
      </c>
      <c r="I2461" s="31" t="s">
        <v>649</v>
      </c>
    </row>
    <row r="2462">
      <c r="E2462" s="14"/>
      <c r="H2462" s="31" t="s">
        <v>649</v>
      </c>
      <c r="I2462" s="31" t="s">
        <v>649</v>
      </c>
    </row>
    <row r="2463">
      <c r="E2463" s="14"/>
      <c r="H2463" s="31" t="s">
        <v>649</v>
      </c>
      <c r="I2463" s="31" t="s">
        <v>649</v>
      </c>
    </row>
    <row r="2464">
      <c r="E2464" s="14"/>
      <c r="H2464" s="31" t="s">
        <v>649</v>
      </c>
      <c r="I2464" s="31" t="s">
        <v>649</v>
      </c>
    </row>
    <row r="2465">
      <c r="E2465" s="14"/>
      <c r="H2465" s="31" t="s">
        <v>649</v>
      </c>
      <c r="I2465" s="31" t="s">
        <v>649</v>
      </c>
    </row>
    <row r="2466">
      <c r="E2466" s="14"/>
      <c r="H2466" s="31" t="s">
        <v>649</v>
      </c>
      <c r="I2466" s="31" t="s">
        <v>649</v>
      </c>
    </row>
    <row r="2467">
      <c r="E2467" s="14"/>
      <c r="H2467" s="31" t="s">
        <v>649</v>
      </c>
      <c r="I2467" s="31" t="s">
        <v>649</v>
      </c>
    </row>
    <row r="2468">
      <c r="E2468" s="14"/>
      <c r="H2468" s="31" t="s">
        <v>649</v>
      </c>
      <c r="I2468" s="31" t="s">
        <v>649</v>
      </c>
    </row>
    <row r="2469">
      <c r="E2469" s="14"/>
      <c r="H2469" s="31" t="s">
        <v>649</v>
      </c>
      <c r="I2469" s="31" t="s">
        <v>649</v>
      </c>
    </row>
    <row r="2470">
      <c r="E2470" s="14"/>
      <c r="H2470" s="31" t="s">
        <v>649</v>
      </c>
      <c r="I2470" s="31" t="s">
        <v>649</v>
      </c>
    </row>
    <row r="2471">
      <c r="E2471" s="14"/>
      <c r="H2471" s="31" t="s">
        <v>649</v>
      </c>
      <c r="I2471" s="31" t="s">
        <v>649</v>
      </c>
    </row>
    <row r="2472">
      <c r="E2472" s="14"/>
      <c r="H2472" s="31" t="s">
        <v>649</v>
      </c>
      <c r="I2472" s="31" t="s">
        <v>649</v>
      </c>
    </row>
    <row r="2473">
      <c r="E2473" s="14"/>
      <c r="H2473" s="31" t="s">
        <v>649</v>
      </c>
      <c r="I2473" s="31" t="s">
        <v>649</v>
      </c>
    </row>
    <row r="2474">
      <c r="E2474" s="14"/>
      <c r="H2474" s="31" t="s">
        <v>649</v>
      </c>
      <c r="I2474" s="31" t="s">
        <v>649</v>
      </c>
    </row>
    <row r="2475">
      <c r="E2475" s="14"/>
      <c r="H2475" s="31" t="s">
        <v>649</v>
      </c>
      <c r="I2475" s="31" t="s">
        <v>649</v>
      </c>
    </row>
    <row r="2476">
      <c r="E2476" s="14"/>
      <c r="H2476" s="31" t="s">
        <v>649</v>
      </c>
      <c r="I2476" s="31" t="s">
        <v>649</v>
      </c>
    </row>
    <row r="2477">
      <c r="E2477" s="14"/>
      <c r="H2477" s="31" t="s">
        <v>649</v>
      </c>
      <c r="I2477" s="31" t="s">
        <v>649</v>
      </c>
    </row>
    <row r="2478">
      <c r="E2478" s="14"/>
      <c r="H2478" s="31" t="s">
        <v>649</v>
      </c>
      <c r="I2478" s="31" t="s">
        <v>649</v>
      </c>
    </row>
    <row r="2479">
      <c r="E2479" s="14"/>
      <c r="H2479" s="31" t="s">
        <v>649</v>
      </c>
      <c r="I2479" s="31" t="s">
        <v>649</v>
      </c>
    </row>
    <row r="2480">
      <c r="E2480" s="14"/>
      <c r="H2480" s="31" t="s">
        <v>649</v>
      </c>
      <c r="I2480" s="31" t="s">
        <v>649</v>
      </c>
    </row>
    <row r="2481">
      <c r="E2481" s="14"/>
      <c r="H2481" s="31" t="s">
        <v>649</v>
      </c>
      <c r="I2481" s="31" t="s">
        <v>649</v>
      </c>
    </row>
    <row r="2482">
      <c r="E2482" s="14"/>
      <c r="H2482" s="31" t="s">
        <v>649</v>
      </c>
      <c r="I2482" s="31" t="s">
        <v>649</v>
      </c>
    </row>
    <row r="2483">
      <c r="E2483" s="14"/>
      <c r="H2483" s="31" t="s">
        <v>649</v>
      </c>
      <c r="I2483" s="31" t="s">
        <v>649</v>
      </c>
    </row>
    <row r="2484">
      <c r="E2484" s="14"/>
      <c r="H2484" s="31" t="s">
        <v>649</v>
      </c>
      <c r="I2484" s="31" t="s">
        <v>649</v>
      </c>
    </row>
    <row r="2485">
      <c r="E2485" s="14"/>
      <c r="H2485" s="31" t="s">
        <v>649</v>
      </c>
      <c r="I2485" s="31" t="s">
        <v>649</v>
      </c>
    </row>
    <row r="2486">
      <c r="E2486" s="14"/>
      <c r="H2486" s="31" t="s">
        <v>649</v>
      </c>
      <c r="I2486" s="31" t="s">
        <v>649</v>
      </c>
    </row>
    <row r="2487">
      <c r="E2487" s="14"/>
      <c r="H2487" s="31" t="s">
        <v>649</v>
      </c>
      <c r="I2487" s="31" t="s">
        <v>649</v>
      </c>
    </row>
    <row r="2488">
      <c r="E2488" s="14"/>
      <c r="H2488" s="31" t="s">
        <v>649</v>
      </c>
      <c r="I2488" s="31" t="s">
        <v>649</v>
      </c>
    </row>
    <row r="2489">
      <c r="E2489" s="14"/>
      <c r="H2489" s="31" t="s">
        <v>649</v>
      </c>
      <c r="I2489" s="31" t="s">
        <v>649</v>
      </c>
    </row>
    <row r="2490">
      <c r="E2490" s="14"/>
      <c r="H2490" s="31" t="s">
        <v>649</v>
      </c>
      <c r="I2490" s="31" t="s">
        <v>649</v>
      </c>
    </row>
    <row r="2491">
      <c r="E2491" s="14"/>
      <c r="H2491" s="31" t="s">
        <v>649</v>
      </c>
      <c r="I2491" s="31" t="s">
        <v>649</v>
      </c>
    </row>
    <row r="2492">
      <c r="E2492" s="14"/>
      <c r="H2492" s="31" t="s">
        <v>649</v>
      </c>
      <c r="I2492" s="31" t="s">
        <v>649</v>
      </c>
    </row>
    <row r="2493">
      <c r="E2493" s="14"/>
      <c r="H2493" s="31" t="s">
        <v>649</v>
      </c>
      <c r="I2493" s="31" t="s">
        <v>649</v>
      </c>
    </row>
    <row r="2494">
      <c r="E2494" s="14"/>
      <c r="H2494" s="31" t="s">
        <v>649</v>
      </c>
      <c r="I2494" s="31" t="s">
        <v>649</v>
      </c>
    </row>
    <row r="2495">
      <c r="E2495" s="14"/>
      <c r="H2495" s="31" t="s">
        <v>649</v>
      </c>
      <c r="I2495" s="31" t="s">
        <v>649</v>
      </c>
    </row>
    <row r="2496">
      <c r="E2496" s="14"/>
      <c r="H2496" s="31" t="s">
        <v>649</v>
      </c>
      <c r="I2496" s="31" t="s">
        <v>649</v>
      </c>
    </row>
    <row r="2497">
      <c r="E2497" s="14"/>
      <c r="H2497" s="31" t="s">
        <v>649</v>
      </c>
      <c r="I2497" s="31" t="s">
        <v>649</v>
      </c>
    </row>
    <row r="2498">
      <c r="E2498" s="14"/>
      <c r="H2498" s="31" t="s">
        <v>649</v>
      </c>
      <c r="I2498" s="31" t="s">
        <v>649</v>
      </c>
    </row>
    <row r="2499">
      <c r="E2499" s="14"/>
      <c r="H2499" s="31" t="s">
        <v>649</v>
      </c>
      <c r="I2499" s="31" t="s">
        <v>649</v>
      </c>
    </row>
    <row r="2500">
      <c r="E2500" s="14"/>
      <c r="H2500" s="31" t="s">
        <v>649</v>
      </c>
      <c r="I2500" s="31" t="s">
        <v>649</v>
      </c>
    </row>
    <row r="2501">
      <c r="E2501" s="14"/>
      <c r="H2501" s="31" t="s">
        <v>649</v>
      </c>
      <c r="I2501" s="31" t="s">
        <v>649</v>
      </c>
    </row>
    <row r="2502">
      <c r="E2502" s="14"/>
      <c r="H2502" s="31" t="s">
        <v>649</v>
      </c>
      <c r="I2502" s="31" t="s">
        <v>649</v>
      </c>
    </row>
    <row r="2503">
      <c r="E2503" s="14"/>
      <c r="H2503" s="31" t="s">
        <v>649</v>
      </c>
      <c r="I2503" s="31" t="s">
        <v>649</v>
      </c>
    </row>
    <row r="2504">
      <c r="E2504" s="14"/>
      <c r="H2504" s="31" t="s">
        <v>649</v>
      </c>
      <c r="I2504" s="31" t="s">
        <v>649</v>
      </c>
    </row>
    <row r="2505">
      <c r="E2505" s="14"/>
      <c r="H2505" s="31" t="s">
        <v>649</v>
      </c>
      <c r="I2505" s="31" t="s">
        <v>649</v>
      </c>
    </row>
    <row r="2506">
      <c r="E2506" s="14"/>
      <c r="H2506" s="31" t="s">
        <v>649</v>
      </c>
      <c r="I2506" s="31" t="s">
        <v>649</v>
      </c>
    </row>
    <row r="2507">
      <c r="E2507" s="14"/>
      <c r="H2507" s="31" t="s">
        <v>649</v>
      </c>
      <c r="I2507" s="31" t="s">
        <v>649</v>
      </c>
    </row>
    <row r="2508">
      <c r="E2508" s="14"/>
      <c r="H2508" s="31" t="s">
        <v>649</v>
      </c>
      <c r="I2508" s="31" t="s">
        <v>649</v>
      </c>
    </row>
    <row r="2509">
      <c r="E2509" s="14"/>
      <c r="H2509" s="31" t="s">
        <v>649</v>
      </c>
      <c r="I2509" s="31" t="s">
        <v>649</v>
      </c>
    </row>
    <row r="2510">
      <c r="E2510" s="14"/>
      <c r="H2510" s="31" t="s">
        <v>649</v>
      </c>
      <c r="I2510" s="31" t="s">
        <v>649</v>
      </c>
    </row>
    <row r="2511">
      <c r="E2511" s="14"/>
      <c r="H2511" s="31" t="s">
        <v>649</v>
      </c>
      <c r="I2511" s="31" t="s">
        <v>649</v>
      </c>
    </row>
    <row r="2512">
      <c r="E2512" s="14"/>
      <c r="H2512" s="31" t="s">
        <v>649</v>
      </c>
      <c r="I2512" s="31" t="s">
        <v>649</v>
      </c>
    </row>
    <row r="2513">
      <c r="E2513" s="14"/>
      <c r="H2513" s="31" t="s">
        <v>649</v>
      </c>
      <c r="I2513" s="31" t="s">
        <v>649</v>
      </c>
    </row>
    <row r="2514">
      <c r="E2514" s="14"/>
      <c r="H2514" s="31" t="s">
        <v>649</v>
      </c>
      <c r="I2514" s="31" t="s">
        <v>649</v>
      </c>
    </row>
    <row r="2515">
      <c r="E2515" s="14"/>
      <c r="H2515" s="31" t="s">
        <v>649</v>
      </c>
      <c r="I2515" s="31" t="s">
        <v>649</v>
      </c>
    </row>
    <row r="2516">
      <c r="E2516" s="14"/>
      <c r="H2516" s="31" t="s">
        <v>649</v>
      </c>
      <c r="I2516" s="31" t="s">
        <v>649</v>
      </c>
    </row>
    <row r="2517">
      <c r="E2517" s="14"/>
      <c r="H2517" s="31" t="s">
        <v>649</v>
      </c>
      <c r="I2517" s="31" t="s">
        <v>649</v>
      </c>
    </row>
    <row r="2518">
      <c r="E2518" s="14"/>
      <c r="H2518" s="31" t="s">
        <v>649</v>
      </c>
      <c r="I2518" s="31" t="s">
        <v>649</v>
      </c>
    </row>
    <row r="2519">
      <c r="E2519" s="14"/>
      <c r="H2519" s="31" t="s">
        <v>649</v>
      </c>
      <c r="I2519" s="31" t="s">
        <v>649</v>
      </c>
    </row>
    <row r="2520">
      <c r="E2520" s="14"/>
      <c r="H2520" s="31" t="s">
        <v>649</v>
      </c>
      <c r="I2520" s="31" t="s">
        <v>649</v>
      </c>
    </row>
    <row r="2521">
      <c r="E2521" s="14"/>
      <c r="H2521" s="31" t="s">
        <v>649</v>
      </c>
      <c r="I2521" s="31" t="s">
        <v>649</v>
      </c>
    </row>
    <row r="2522">
      <c r="E2522" s="14"/>
      <c r="H2522" s="31" t="s">
        <v>649</v>
      </c>
      <c r="I2522" s="31" t="s">
        <v>649</v>
      </c>
    </row>
    <row r="2523">
      <c r="E2523" s="14"/>
      <c r="H2523" s="31" t="s">
        <v>649</v>
      </c>
      <c r="I2523" s="31" t="s">
        <v>649</v>
      </c>
    </row>
    <row r="2524">
      <c r="E2524" s="14"/>
      <c r="H2524" s="31" t="s">
        <v>649</v>
      </c>
      <c r="I2524" s="31" t="s">
        <v>649</v>
      </c>
    </row>
    <row r="2525">
      <c r="E2525" s="14"/>
      <c r="H2525" s="31" t="s">
        <v>649</v>
      </c>
      <c r="I2525" s="31" t="s">
        <v>649</v>
      </c>
    </row>
    <row r="2526">
      <c r="E2526" s="14"/>
      <c r="H2526" s="31" t="s">
        <v>649</v>
      </c>
      <c r="I2526" s="31" t="s">
        <v>649</v>
      </c>
    </row>
    <row r="2527">
      <c r="E2527" s="14"/>
      <c r="H2527" s="31" t="s">
        <v>649</v>
      </c>
      <c r="I2527" s="31" t="s">
        <v>649</v>
      </c>
    </row>
    <row r="2528">
      <c r="E2528" s="14"/>
      <c r="H2528" s="31" t="s">
        <v>649</v>
      </c>
      <c r="I2528" s="31" t="s">
        <v>649</v>
      </c>
    </row>
    <row r="2529">
      <c r="E2529" s="14"/>
      <c r="H2529" s="31" t="s">
        <v>649</v>
      </c>
      <c r="I2529" s="31" t="s">
        <v>649</v>
      </c>
    </row>
    <row r="2530">
      <c r="E2530" s="14"/>
      <c r="H2530" s="31" t="s">
        <v>649</v>
      </c>
      <c r="I2530" s="31" t="s">
        <v>649</v>
      </c>
    </row>
    <row r="2531">
      <c r="E2531" s="14"/>
      <c r="H2531" s="31" t="s">
        <v>649</v>
      </c>
      <c r="I2531" s="31" t="s">
        <v>649</v>
      </c>
    </row>
    <row r="2532">
      <c r="E2532" s="14"/>
      <c r="H2532" s="31" t="s">
        <v>649</v>
      </c>
      <c r="I2532" s="31" t="s">
        <v>649</v>
      </c>
    </row>
    <row r="2533">
      <c r="E2533" s="14"/>
      <c r="H2533" s="31" t="s">
        <v>649</v>
      </c>
      <c r="I2533" s="31" t="s">
        <v>649</v>
      </c>
    </row>
    <row r="2534">
      <c r="E2534" s="14"/>
      <c r="H2534" s="31" t="s">
        <v>649</v>
      </c>
      <c r="I2534" s="31" t="s">
        <v>649</v>
      </c>
    </row>
    <row r="2535">
      <c r="E2535" s="14"/>
      <c r="H2535" s="31" t="s">
        <v>649</v>
      </c>
      <c r="I2535" s="31" t="s">
        <v>649</v>
      </c>
    </row>
    <row r="2536">
      <c r="E2536" s="14"/>
      <c r="H2536" s="31" t="s">
        <v>649</v>
      </c>
      <c r="I2536" s="31" t="s">
        <v>649</v>
      </c>
    </row>
    <row r="2537">
      <c r="E2537" s="14"/>
      <c r="H2537" s="31" t="s">
        <v>649</v>
      </c>
      <c r="I2537" s="31" t="s">
        <v>649</v>
      </c>
    </row>
    <row r="2538">
      <c r="E2538" s="14"/>
      <c r="H2538" s="31" t="s">
        <v>649</v>
      </c>
      <c r="I2538" s="31" t="s">
        <v>649</v>
      </c>
    </row>
    <row r="2539">
      <c r="E2539" s="14"/>
      <c r="H2539" s="31" t="s">
        <v>649</v>
      </c>
      <c r="I2539" s="31" t="s">
        <v>649</v>
      </c>
    </row>
    <row r="2540">
      <c r="E2540" s="14"/>
      <c r="H2540" s="31" t="s">
        <v>649</v>
      </c>
      <c r="I2540" s="31" t="s">
        <v>649</v>
      </c>
    </row>
    <row r="2541">
      <c r="E2541" s="14"/>
      <c r="H2541" s="31" t="s">
        <v>649</v>
      </c>
      <c r="I2541" s="31" t="s">
        <v>649</v>
      </c>
    </row>
    <row r="2542">
      <c r="E2542" s="14"/>
      <c r="H2542" s="31" t="s">
        <v>649</v>
      </c>
      <c r="I2542" s="31" t="s">
        <v>649</v>
      </c>
    </row>
    <row r="2543">
      <c r="E2543" s="14"/>
      <c r="H2543" s="31" t="s">
        <v>649</v>
      </c>
      <c r="I2543" s="31" t="s">
        <v>649</v>
      </c>
    </row>
    <row r="2544">
      <c r="E2544" s="14"/>
      <c r="H2544" s="31" t="s">
        <v>649</v>
      </c>
      <c r="I2544" s="31" t="s">
        <v>649</v>
      </c>
    </row>
    <row r="2545">
      <c r="E2545" s="14"/>
      <c r="H2545" s="31" t="s">
        <v>649</v>
      </c>
      <c r="I2545" s="31" t="s">
        <v>649</v>
      </c>
    </row>
    <row r="2546">
      <c r="E2546" s="14"/>
      <c r="H2546" s="31" t="s">
        <v>649</v>
      </c>
      <c r="I2546" s="31" t="s">
        <v>649</v>
      </c>
    </row>
    <row r="2547">
      <c r="E2547" s="14"/>
      <c r="H2547" s="31" t="s">
        <v>649</v>
      </c>
      <c r="I2547" s="31" t="s">
        <v>649</v>
      </c>
    </row>
    <row r="2548">
      <c r="E2548" s="14"/>
      <c r="H2548" s="31" t="s">
        <v>649</v>
      </c>
      <c r="I2548" s="31" t="s">
        <v>649</v>
      </c>
    </row>
    <row r="2549">
      <c r="E2549" s="14"/>
      <c r="H2549" s="31" t="s">
        <v>649</v>
      </c>
      <c r="I2549" s="31" t="s">
        <v>649</v>
      </c>
    </row>
    <row r="2550">
      <c r="E2550" s="14"/>
      <c r="H2550" s="31" t="s">
        <v>649</v>
      </c>
      <c r="I2550" s="31" t="s">
        <v>649</v>
      </c>
    </row>
    <row r="2551">
      <c r="E2551" s="14"/>
      <c r="H2551" s="31" t="s">
        <v>649</v>
      </c>
      <c r="I2551" s="31" t="s">
        <v>649</v>
      </c>
    </row>
    <row r="2552">
      <c r="E2552" s="14"/>
      <c r="H2552" s="31" t="s">
        <v>649</v>
      </c>
      <c r="I2552" s="31" t="s">
        <v>649</v>
      </c>
    </row>
    <row r="2553">
      <c r="E2553" s="14"/>
      <c r="H2553" s="31" t="s">
        <v>649</v>
      </c>
      <c r="I2553" s="31" t="s">
        <v>649</v>
      </c>
    </row>
    <row r="2554">
      <c r="E2554" s="14"/>
      <c r="H2554" s="31" t="s">
        <v>649</v>
      </c>
      <c r="I2554" s="31" t="s">
        <v>649</v>
      </c>
    </row>
    <row r="2555">
      <c r="E2555" s="14"/>
      <c r="H2555" s="31" t="s">
        <v>649</v>
      </c>
      <c r="I2555" s="31" t="s">
        <v>649</v>
      </c>
    </row>
    <row r="2556">
      <c r="E2556" s="14"/>
      <c r="H2556" s="31" t="s">
        <v>649</v>
      </c>
      <c r="I2556" s="31" t="s">
        <v>649</v>
      </c>
    </row>
    <row r="2557">
      <c r="E2557" s="14"/>
      <c r="H2557" s="31" t="s">
        <v>649</v>
      </c>
      <c r="I2557" s="31" t="s">
        <v>649</v>
      </c>
    </row>
    <row r="2558">
      <c r="E2558" s="14"/>
      <c r="H2558" s="31" t="s">
        <v>649</v>
      </c>
      <c r="I2558" s="31" t="s">
        <v>649</v>
      </c>
    </row>
    <row r="2559">
      <c r="E2559" s="14"/>
      <c r="H2559" s="31" t="s">
        <v>649</v>
      </c>
      <c r="I2559" s="31" t="s">
        <v>649</v>
      </c>
    </row>
    <row r="2560">
      <c r="E2560" s="14"/>
      <c r="H2560" s="31" t="s">
        <v>649</v>
      </c>
      <c r="I2560" s="31" t="s">
        <v>649</v>
      </c>
    </row>
    <row r="2561">
      <c r="E2561" s="14"/>
      <c r="H2561" s="31" t="s">
        <v>649</v>
      </c>
      <c r="I2561" s="31" t="s">
        <v>649</v>
      </c>
    </row>
    <row r="2562">
      <c r="E2562" s="14"/>
      <c r="H2562" s="31" t="s">
        <v>649</v>
      </c>
      <c r="I2562" s="31" t="s">
        <v>649</v>
      </c>
    </row>
    <row r="2563">
      <c r="E2563" s="14"/>
      <c r="H2563" s="31" t="s">
        <v>649</v>
      </c>
      <c r="I2563" s="31" t="s">
        <v>649</v>
      </c>
    </row>
    <row r="2564">
      <c r="E2564" s="14"/>
      <c r="H2564" s="31" t="s">
        <v>649</v>
      </c>
      <c r="I2564" s="31" t="s">
        <v>649</v>
      </c>
    </row>
    <row r="2565">
      <c r="E2565" s="14"/>
      <c r="H2565" s="31" t="s">
        <v>649</v>
      </c>
      <c r="I2565" s="31" t="s">
        <v>649</v>
      </c>
    </row>
    <row r="2566">
      <c r="E2566" s="14"/>
      <c r="H2566" s="31" t="s">
        <v>649</v>
      </c>
      <c r="I2566" s="31" t="s">
        <v>649</v>
      </c>
    </row>
    <row r="2567">
      <c r="E2567" s="14"/>
      <c r="H2567" s="31" t="s">
        <v>649</v>
      </c>
      <c r="I2567" s="31" t="s">
        <v>649</v>
      </c>
    </row>
    <row r="2568">
      <c r="E2568" s="14"/>
      <c r="H2568" s="31" t="s">
        <v>649</v>
      </c>
      <c r="I2568" s="31" t="s">
        <v>649</v>
      </c>
    </row>
    <row r="2569">
      <c r="E2569" s="14"/>
      <c r="H2569" s="31" t="s">
        <v>649</v>
      </c>
      <c r="I2569" s="31" t="s">
        <v>649</v>
      </c>
    </row>
    <row r="2570">
      <c r="E2570" s="14"/>
      <c r="H2570" s="31" t="s">
        <v>649</v>
      </c>
      <c r="I2570" s="31" t="s">
        <v>649</v>
      </c>
    </row>
    <row r="2571">
      <c r="E2571" s="14"/>
      <c r="H2571" s="31" t="s">
        <v>649</v>
      </c>
      <c r="I2571" s="31" t="s">
        <v>649</v>
      </c>
    </row>
    <row r="2572">
      <c r="E2572" s="14"/>
      <c r="H2572" s="31" t="s">
        <v>649</v>
      </c>
      <c r="I2572" s="31" t="s">
        <v>649</v>
      </c>
    </row>
    <row r="2573">
      <c r="E2573" s="14"/>
      <c r="H2573" s="31" t="s">
        <v>649</v>
      </c>
      <c r="I2573" s="31" t="s">
        <v>649</v>
      </c>
    </row>
    <row r="2574">
      <c r="E2574" s="14"/>
      <c r="H2574" s="31" t="s">
        <v>649</v>
      </c>
      <c r="I2574" s="31" t="s">
        <v>649</v>
      </c>
    </row>
    <row r="2575">
      <c r="E2575" s="14"/>
      <c r="H2575" s="31" t="s">
        <v>649</v>
      </c>
      <c r="I2575" s="31" t="s">
        <v>649</v>
      </c>
    </row>
    <row r="2576">
      <c r="E2576" s="14"/>
      <c r="H2576" s="31" t="s">
        <v>649</v>
      </c>
      <c r="I2576" s="31" t="s">
        <v>649</v>
      </c>
    </row>
    <row r="2577">
      <c r="E2577" s="14"/>
      <c r="H2577" s="31" t="s">
        <v>649</v>
      </c>
      <c r="I2577" s="31" t="s">
        <v>649</v>
      </c>
    </row>
    <row r="2578">
      <c r="E2578" s="14"/>
      <c r="H2578" s="31" t="s">
        <v>649</v>
      </c>
      <c r="I2578" s="31" t="s">
        <v>649</v>
      </c>
    </row>
    <row r="2579">
      <c r="E2579" s="14"/>
      <c r="H2579" s="31" t="s">
        <v>649</v>
      </c>
      <c r="I2579" s="31" t="s">
        <v>649</v>
      </c>
    </row>
    <row r="2580">
      <c r="E2580" s="14"/>
      <c r="H2580" s="31" t="s">
        <v>649</v>
      </c>
      <c r="I2580" s="31" t="s">
        <v>649</v>
      </c>
    </row>
    <row r="2581">
      <c r="E2581" s="14"/>
      <c r="H2581" s="31" t="s">
        <v>649</v>
      </c>
      <c r="I2581" s="31" t="s">
        <v>649</v>
      </c>
    </row>
    <row r="2582">
      <c r="E2582" s="14"/>
      <c r="H2582" s="31" t="s">
        <v>649</v>
      </c>
      <c r="I2582" s="31" t="s">
        <v>649</v>
      </c>
    </row>
    <row r="2583">
      <c r="E2583" s="14"/>
      <c r="H2583" s="31" t="s">
        <v>649</v>
      </c>
      <c r="I2583" s="31" t="s">
        <v>649</v>
      </c>
    </row>
    <row r="2584">
      <c r="E2584" s="14"/>
      <c r="H2584" s="31" t="s">
        <v>649</v>
      </c>
      <c r="I2584" s="31" t="s">
        <v>649</v>
      </c>
    </row>
    <row r="2585">
      <c r="E2585" s="14"/>
      <c r="H2585" s="31" t="s">
        <v>649</v>
      </c>
      <c r="I2585" s="31" t="s">
        <v>649</v>
      </c>
    </row>
    <row r="2586">
      <c r="E2586" s="14"/>
      <c r="H2586" s="31" t="s">
        <v>649</v>
      </c>
      <c r="I2586" s="31" t="s">
        <v>649</v>
      </c>
    </row>
    <row r="2587">
      <c r="E2587" s="14"/>
      <c r="H2587" s="31" t="s">
        <v>649</v>
      </c>
      <c r="I2587" s="31" t="s">
        <v>649</v>
      </c>
    </row>
    <row r="2588">
      <c r="E2588" s="14"/>
      <c r="H2588" s="31" t="s">
        <v>649</v>
      </c>
      <c r="I2588" s="31" t="s">
        <v>649</v>
      </c>
    </row>
    <row r="2589">
      <c r="E2589" s="14"/>
      <c r="H2589" s="31" t="s">
        <v>649</v>
      </c>
      <c r="I2589" s="31" t="s">
        <v>649</v>
      </c>
    </row>
    <row r="2590">
      <c r="E2590" s="14"/>
      <c r="H2590" s="31" t="s">
        <v>649</v>
      </c>
      <c r="I2590" s="31" t="s">
        <v>649</v>
      </c>
    </row>
    <row r="2591">
      <c r="E2591" s="14"/>
      <c r="H2591" s="31" t="s">
        <v>649</v>
      </c>
      <c r="I2591" s="31" t="s">
        <v>649</v>
      </c>
    </row>
    <row r="2592">
      <c r="E2592" s="14"/>
      <c r="H2592" s="31" t="s">
        <v>649</v>
      </c>
      <c r="I2592" s="31" t="s">
        <v>649</v>
      </c>
    </row>
    <row r="2593">
      <c r="E2593" s="14"/>
      <c r="H2593" s="31" t="s">
        <v>649</v>
      </c>
      <c r="I2593" s="31" t="s">
        <v>649</v>
      </c>
    </row>
    <row r="2594">
      <c r="E2594" s="14"/>
      <c r="H2594" s="31" t="s">
        <v>649</v>
      </c>
      <c r="I2594" s="31" t="s">
        <v>649</v>
      </c>
    </row>
    <row r="2595">
      <c r="E2595" s="14"/>
      <c r="H2595" s="31" t="s">
        <v>649</v>
      </c>
      <c r="I2595" s="31" t="s">
        <v>649</v>
      </c>
    </row>
    <row r="2596">
      <c r="E2596" s="14"/>
      <c r="H2596" s="31" t="s">
        <v>649</v>
      </c>
      <c r="I2596" s="31" t="s">
        <v>649</v>
      </c>
    </row>
    <row r="2597">
      <c r="E2597" s="14"/>
      <c r="H2597" s="31" t="s">
        <v>649</v>
      </c>
      <c r="I2597" s="31" t="s">
        <v>649</v>
      </c>
    </row>
    <row r="2598">
      <c r="E2598" s="14"/>
      <c r="H2598" s="31" t="s">
        <v>649</v>
      </c>
      <c r="I2598" s="31" t="s">
        <v>649</v>
      </c>
    </row>
    <row r="2599">
      <c r="E2599" s="14"/>
      <c r="H2599" s="31" t="s">
        <v>649</v>
      </c>
      <c r="I2599" s="31" t="s">
        <v>649</v>
      </c>
    </row>
    <row r="2600">
      <c r="E2600" s="14"/>
      <c r="H2600" s="31" t="s">
        <v>649</v>
      </c>
      <c r="I2600" s="31" t="s">
        <v>649</v>
      </c>
    </row>
    <row r="2601">
      <c r="E2601" s="14"/>
      <c r="H2601" s="31" t="s">
        <v>649</v>
      </c>
      <c r="I2601" s="31" t="s">
        <v>649</v>
      </c>
    </row>
    <row r="2602">
      <c r="E2602" s="14"/>
      <c r="H2602" s="31" t="s">
        <v>649</v>
      </c>
      <c r="I2602" s="31" t="s">
        <v>649</v>
      </c>
    </row>
    <row r="2603">
      <c r="E2603" s="14"/>
      <c r="H2603" s="31" t="s">
        <v>649</v>
      </c>
      <c r="I2603" s="31" t="s">
        <v>649</v>
      </c>
    </row>
    <row r="2604">
      <c r="E2604" s="14"/>
      <c r="H2604" s="31" t="s">
        <v>649</v>
      </c>
      <c r="I2604" s="31" t="s">
        <v>649</v>
      </c>
    </row>
    <row r="2605">
      <c r="E2605" s="14"/>
      <c r="H2605" s="31" t="s">
        <v>649</v>
      </c>
      <c r="I2605" s="31" t="s">
        <v>649</v>
      </c>
    </row>
    <row r="2606">
      <c r="E2606" s="14"/>
      <c r="H2606" s="31" t="s">
        <v>649</v>
      </c>
      <c r="I2606" s="31" t="s">
        <v>649</v>
      </c>
    </row>
    <row r="2607">
      <c r="E2607" s="14"/>
      <c r="H2607" s="31" t="s">
        <v>649</v>
      </c>
      <c r="I2607" s="31" t="s">
        <v>649</v>
      </c>
    </row>
    <row r="2608">
      <c r="E2608" s="14"/>
      <c r="H2608" s="31" t="s">
        <v>649</v>
      </c>
      <c r="I2608" s="31" t="s">
        <v>649</v>
      </c>
    </row>
    <row r="2609">
      <c r="E2609" s="14"/>
      <c r="H2609" s="31" t="s">
        <v>649</v>
      </c>
      <c r="I2609" s="31" t="s">
        <v>649</v>
      </c>
    </row>
    <row r="2610">
      <c r="E2610" s="14"/>
      <c r="H2610" s="31" t="s">
        <v>649</v>
      </c>
      <c r="I2610" s="31" t="s">
        <v>649</v>
      </c>
    </row>
    <row r="2611">
      <c r="E2611" s="14"/>
      <c r="H2611" s="31" t="s">
        <v>649</v>
      </c>
      <c r="I2611" s="31" t="s">
        <v>649</v>
      </c>
    </row>
    <row r="2612">
      <c r="E2612" s="14"/>
      <c r="H2612" s="31" t="s">
        <v>649</v>
      </c>
      <c r="I2612" s="31" t="s">
        <v>649</v>
      </c>
    </row>
    <row r="2613">
      <c r="E2613" s="14"/>
      <c r="H2613" s="31" t="s">
        <v>649</v>
      </c>
      <c r="I2613" s="31" t="s">
        <v>649</v>
      </c>
    </row>
    <row r="2614">
      <c r="E2614" s="14"/>
      <c r="H2614" s="31" t="s">
        <v>649</v>
      </c>
      <c r="I2614" s="31" t="s">
        <v>649</v>
      </c>
    </row>
    <row r="2615">
      <c r="E2615" s="14"/>
      <c r="H2615" s="31" t="s">
        <v>649</v>
      </c>
      <c r="I2615" s="31" t="s">
        <v>649</v>
      </c>
    </row>
    <row r="2616">
      <c r="E2616" s="14"/>
      <c r="H2616" s="31" t="s">
        <v>649</v>
      </c>
      <c r="I2616" s="31" t="s">
        <v>649</v>
      </c>
    </row>
    <row r="2617">
      <c r="E2617" s="14"/>
      <c r="H2617" s="31" t="s">
        <v>649</v>
      </c>
      <c r="I2617" s="31" t="s">
        <v>649</v>
      </c>
    </row>
    <row r="2618">
      <c r="E2618" s="14"/>
      <c r="H2618" s="31" t="s">
        <v>649</v>
      </c>
      <c r="I2618" s="31" t="s">
        <v>649</v>
      </c>
    </row>
    <row r="2619">
      <c r="E2619" s="14"/>
      <c r="H2619" s="31" t="s">
        <v>649</v>
      </c>
      <c r="I2619" s="31" t="s">
        <v>649</v>
      </c>
    </row>
    <row r="2620">
      <c r="E2620" s="14"/>
      <c r="H2620" s="31" t="s">
        <v>649</v>
      </c>
      <c r="I2620" s="31" t="s">
        <v>649</v>
      </c>
    </row>
    <row r="2621">
      <c r="E2621" s="14"/>
      <c r="H2621" s="31" t="s">
        <v>649</v>
      </c>
      <c r="I2621" s="31" t="s">
        <v>649</v>
      </c>
    </row>
    <row r="2622">
      <c r="E2622" s="14"/>
      <c r="H2622" s="31" t="s">
        <v>649</v>
      </c>
      <c r="I2622" s="31" t="s">
        <v>649</v>
      </c>
    </row>
    <row r="2623">
      <c r="E2623" s="14"/>
      <c r="H2623" s="31" t="s">
        <v>649</v>
      </c>
      <c r="I2623" s="31" t="s">
        <v>649</v>
      </c>
    </row>
    <row r="2624">
      <c r="E2624" s="14"/>
      <c r="H2624" s="31" t="s">
        <v>649</v>
      </c>
      <c r="I2624" s="31" t="s">
        <v>649</v>
      </c>
    </row>
    <row r="2625">
      <c r="E2625" s="14"/>
      <c r="H2625" s="31" t="s">
        <v>649</v>
      </c>
      <c r="I2625" s="31" t="s">
        <v>649</v>
      </c>
    </row>
    <row r="2626">
      <c r="E2626" s="14"/>
      <c r="H2626" s="31" t="s">
        <v>649</v>
      </c>
      <c r="I2626" s="31" t="s">
        <v>649</v>
      </c>
    </row>
    <row r="2627">
      <c r="E2627" s="14"/>
      <c r="H2627" s="31" t="s">
        <v>649</v>
      </c>
      <c r="I2627" s="31" t="s">
        <v>649</v>
      </c>
    </row>
    <row r="2628">
      <c r="E2628" s="14"/>
      <c r="H2628" s="31" t="s">
        <v>649</v>
      </c>
      <c r="I2628" s="31" t="s">
        <v>649</v>
      </c>
    </row>
    <row r="2629">
      <c r="E2629" s="14"/>
      <c r="H2629" s="31" t="s">
        <v>649</v>
      </c>
      <c r="I2629" s="31" t="s">
        <v>649</v>
      </c>
    </row>
    <row r="2630">
      <c r="E2630" s="14"/>
      <c r="H2630" s="31" t="s">
        <v>649</v>
      </c>
      <c r="I2630" s="31" t="s">
        <v>649</v>
      </c>
    </row>
    <row r="2631">
      <c r="E2631" s="14"/>
      <c r="H2631" s="31" t="s">
        <v>649</v>
      </c>
      <c r="I2631" s="31" t="s">
        <v>649</v>
      </c>
    </row>
    <row r="2632">
      <c r="E2632" s="14"/>
      <c r="H2632" s="31" t="s">
        <v>649</v>
      </c>
      <c r="I2632" s="31" t="s">
        <v>649</v>
      </c>
    </row>
    <row r="2633">
      <c r="E2633" s="14"/>
      <c r="H2633" s="31" t="s">
        <v>649</v>
      </c>
      <c r="I2633" s="31" t="s">
        <v>649</v>
      </c>
    </row>
    <row r="2634">
      <c r="E2634" s="14"/>
      <c r="H2634" s="31" t="s">
        <v>649</v>
      </c>
      <c r="I2634" s="31" t="s">
        <v>649</v>
      </c>
    </row>
    <row r="2635">
      <c r="E2635" s="14"/>
      <c r="H2635" s="31" t="s">
        <v>649</v>
      </c>
      <c r="I2635" s="31" t="s">
        <v>649</v>
      </c>
    </row>
    <row r="2636">
      <c r="E2636" s="14"/>
      <c r="H2636" s="31" t="s">
        <v>649</v>
      </c>
      <c r="I2636" s="31" t="s">
        <v>649</v>
      </c>
    </row>
    <row r="2637">
      <c r="E2637" s="14"/>
      <c r="H2637" s="31" t="s">
        <v>649</v>
      </c>
      <c r="I2637" s="31" t="s">
        <v>649</v>
      </c>
    </row>
    <row r="2638">
      <c r="E2638" s="14"/>
      <c r="H2638" s="31" t="s">
        <v>649</v>
      </c>
      <c r="I2638" s="31" t="s">
        <v>649</v>
      </c>
    </row>
    <row r="2639">
      <c r="E2639" s="14"/>
      <c r="H2639" s="31" t="s">
        <v>649</v>
      </c>
      <c r="I2639" s="31" t="s">
        <v>649</v>
      </c>
    </row>
    <row r="2640">
      <c r="E2640" s="14"/>
      <c r="H2640" s="31" t="s">
        <v>649</v>
      </c>
      <c r="I2640" s="31" t="s">
        <v>649</v>
      </c>
    </row>
    <row r="2641">
      <c r="E2641" s="14"/>
      <c r="H2641" s="31" t="s">
        <v>649</v>
      </c>
      <c r="I2641" s="31" t="s">
        <v>649</v>
      </c>
    </row>
    <row r="2642">
      <c r="E2642" s="14"/>
      <c r="H2642" s="31" t="s">
        <v>649</v>
      </c>
      <c r="I2642" s="31" t="s">
        <v>649</v>
      </c>
    </row>
    <row r="2643">
      <c r="E2643" s="14"/>
      <c r="H2643" s="31" t="s">
        <v>649</v>
      </c>
      <c r="I2643" s="31" t="s">
        <v>649</v>
      </c>
    </row>
    <row r="2644">
      <c r="E2644" s="14"/>
      <c r="H2644" s="31" t="s">
        <v>649</v>
      </c>
      <c r="I2644" s="31" t="s">
        <v>649</v>
      </c>
    </row>
    <row r="2645">
      <c r="E2645" s="14"/>
      <c r="H2645" s="31" t="s">
        <v>649</v>
      </c>
      <c r="I2645" s="31" t="s">
        <v>649</v>
      </c>
    </row>
    <row r="2646">
      <c r="E2646" s="14"/>
      <c r="H2646" s="31" t="s">
        <v>649</v>
      </c>
      <c r="I2646" s="31" t="s">
        <v>649</v>
      </c>
    </row>
    <row r="2647">
      <c r="E2647" s="14"/>
      <c r="H2647" s="31" t="s">
        <v>649</v>
      </c>
      <c r="I2647" s="31" t="s">
        <v>649</v>
      </c>
    </row>
    <row r="2648">
      <c r="E2648" s="14"/>
      <c r="H2648" s="31" t="s">
        <v>649</v>
      </c>
      <c r="I2648" s="31" t="s">
        <v>649</v>
      </c>
    </row>
    <row r="2649">
      <c r="E2649" s="14"/>
      <c r="H2649" s="31" t="s">
        <v>649</v>
      </c>
      <c r="I2649" s="31" t="s">
        <v>649</v>
      </c>
    </row>
    <row r="2650">
      <c r="E2650" s="14"/>
      <c r="H2650" s="31" t="s">
        <v>649</v>
      </c>
      <c r="I2650" s="31" t="s">
        <v>649</v>
      </c>
    </row>
    <row r="2651">
      <c r="E2651" s="14"/>
      <c r="H2651" s="31" t="s">
        <v>649</v>
      </c>
      <c r="I2651" s="31" t="s">
        <v>649</v>
      </c>
    </row>
    <row r="2652">
      <c r="E2652" s="14"/>
      <c r="H2652" s="31" t="s">
        <v>649</v>
      </c>
      <c r="I2652" s="31" t="s">
        <v>649</v>
      </c>
    </row>
    <row r="2653">
      <c r="E2653" s="14"/>
      <c r="H2653" s="31" t="s">
        <v>649</v>
      </c>
      <c r="I2653" s="31" t="s">
        <v>649</v>
      </c>
    </row>
    <row r="2654">
      <c r="E2654" s="14"/>
      <c r="H2654" s="31" t="s">
        <v>649</v>
      </c>
      <c r="I2654" s="31" t="s">
        <v>649</v>
      </c>
    </row>
    <row r="2655">
      <c r="E2655" s="14"/>
      <c r="H2655" s="31" t="s">
        <v>649</v>
      </c>
      <c r="I2655" s="31" t="s">
        <v>649</v>
      </c>
    </row>
    <row r="2656">
      <c r="E2656" s="14"/>
      <c r="H2656" s="31" t="s">
        <v>649</v>
      </c>
      <c r="I2656" s="31" t="s">
        <v>649</v>
      </c>
    </row>
    <row r="2657">
      <c r="E2657" s="14"/>
      <c r="H2657" s="31" t="s">
        <v>649</v>
      </c>
      <c r="I2657" s="31" t="s">
        <v>649</v>
      </c>
    </row>
    <row r="2658">
      <c r="E2658" s="14"/>
      <c r="H2658" s="31" t="s">
        <v>649</v>
      </c>
      <c r="I2658" s="31" t="s">
        <v>649</v>
      </c>
    </row>
    <row r="2659">
      <c r="E2659" s="14"/>
      <c r="H2659" s="31" t="s">
        <v>649</v>
      </c>
      <c r="I2659" s="31" t="s">
        <v>649</v>
      </c>
    </row>
    <row r="2660">
      <c r="E2660" s="14"/>
      <c r="H2660" s="31" t="s">
        <v>649</v>
      </c>
      <c r="I2660" s="31" t="s">
        <v>649</v>
      </c>
    </row>
    <row r="2661">
      <c r="E2661" s="14"/>
      <c r="H2661" s="31" t="s">
        <v>649</v>
      </c>
      <c r="I2661" s="31" t="s">
        <v>649</v>
      </c>
    </row>
    <row r="2662">
      <c r="E2662" s="14"/>
      <c r="H2662" s="31" t="s">
        <v>649</v>
      </c>
      <c r="I2662" s="31" t="s">
        <v>649</v>
      </c>
    </row>
    <row r="2663">
      <c r="E2663" s="14"/>
      <c r="H2663" s="31" t="s">
        <v>649</v>
      </c>
      <c r="I2663" s="31" t="s">
        <v>649</v>
      </c>
    </row>
    <row r="2664">
      <c r="E2664" s="14"/>
      <c r="H2664" s="31" t="s">
        <v>649</v>
      </c>
      <c r="I2664" s="31" t="s">
        <v>649</v>
      </c>
    </row>
    <row r="2665">
      <c r="E2665" s="14"/>
      <c r="H2665" s="31" t="s">
        <v>649</v>
      </c>
      <c r="I2665" s="31" t="s">
        <v>649</v>
      </c>
    </row>
    <row r="2666">
      <c r="E2666" s="14"/>
      <c r="H2666" s="31" t="s">
        <v>649</v>
      </c>
      <c r="I2666" s="31" t="s">
        <v>649</v>
      </c>
    </row>
    <row r="2667">
      <c r="E2667" s="14"/>
      <c r="H2667" s="31" t="s">
        <v>649</v>
      </c>
      <c r="I2667" s="31" t="s">
        <v>649</v>
      </c>
    </row>
    <row r="2668">
      <c r="E2668" s="14"/>
      <c r="H2668" s="31" t="s">
        <v>649</v>
      </c>
      <c r="I2668" s="31" t="s">
        <v>649</v>
      </c>
    </row>
    <row r="2669">
      <c r="E2669" s="14"/>
      <c r="H2669" s="31" t="s">
        <v>649</v>
      </c>
      <c r="I2669" s="31" t="s">
        <v>649</v>
      </c>
    </row>
    <row r="2670">
      <c r="E2670" s="14"/>
      <c r="H2670" s="31" t="s">
        <v>649</v>
      </c>
      <c r="I2670" s="31" t="s">
        <v>649</v>
      </c>
    </row>
    <row r="2671">
      <c r="E2671" s="14"/>
      <c r="H2671" s="31" t="s">
        <v>649</v>
      </c>
      <c r="I2671" s="31" t="s">
        <v>649</v>
      </c>
    </row>
    <row r="2672">
      <c r="E2672" s="14"/>
      <c r="H2672" s="31" t="s">
        <v>649</v>
      </c>
      <c r="I2672" s="31" t="s">
        <v>649</v>
      </c>
    </row>
    <row r="2673">
      <c r="E2673" s="14"/>
      <c r="H2673" s="31" t="s">
        <v>649</v>
      </c>
      <c r="I2673" s="31" t="s">
        <v>649</v>
      </c>
    </row>
    <row r="2674">
      <c r="E2674" s="14"/>
      <c r="H2674" s="31" t="s">
        <v>649</v>
      </c>
      <c r="I2674" s="31" t="s">
        <v>649</v>
      </c>
    </row>
    <row r="2675">
      <c r="E2675" s="14"/>
      <c r="H2675" s="31" t="s">
        <v>649</v>
      </c>
      <c r="I2675" s="31" t="s">
        <v>649</v>
      </c>
    </row>
    <row r="2676">
      <c r="E2676" s="14"/>
      <c r="H2676" s="31" t="s">
        <v>649</v>
      </c>
      <c r="I2676" s="31" t="s">
        <v>649</v>
      </c>
    </row>
    <row r="2677">
      <c r="E2677" s="14"/>
      <c r="H2677" s="31" t="s">
        <v>649</v>
      </c>
      <c r="I2677" s="31" t="s">
        <v>649</v>
      </c>
    </row>
    <row r="2678">
      <c r="E2678" s="14"/>
      <c r="H2678" s="31" t="s">
        <v>649</v>
      </c>
      <c r="I2678" s="31" t="s">
        <v>649</v>
      </c>
    </row>
    <row r="2679">
      <c r="E2679" s="14"/>
      <c r="H2679" s="31" t="s">
        <v>649</v>
      </c>
      <c r="I2679" s="31" t="s">
        <v>649</v>
      </c>
    </row>
    <row r="2680">
      <c r="E2680" s="14"/>
      <c r="H2680" s="31" t="s">
        <v>649</v>
      </c>
      <c r="I2680" s="31" t="s">
        <v>649</v>
      </c>
    </row>
    <row r="2681">
      <c r="E2681" s="14"/>
      <c r="H2681" s="31" t="s">
        <v>649</v>
      </c>
      <c r="I2681" s="31" t="s">
        <v>649</v>
      </c>
    </row>
    <row r="2682">
      <c r="E2682" s="14"/>
      <c r="H2682" s="31" t="s">
        <v>649</v>
      </c>
      <c r="I2682" s="31" t="s">
        <v>649</v>
      </c>
    </row>
    <row r="2683">
      <c r="E2683" s="14"/>
      <c r="H2683" s="31" t="s">
        <v>649</v>
      </c>
      <c r="I2683" s="31" t="s">
        <v>649</v>
      </c>
    </row>
    <row r="2684">
      <c r="E2684" s="14"/>
      <c r="H2684" s="31" t="s">
        <v>649</v>
      </c>
      <c r="I2684" s="31" t="s">
        <v>649</v>
      </c>
    </row>
    <row r="2685">
      <c r="E2685" s="14"/>
      <c r="H2685" s="31" t="s">
        <v>649</v>
      </c>
      <c r="I2685" s="31" t="s">
        <v>649</v>
      </c>
    </row>
    <row r="2686">
      <c r="E2686" s="14"/>
      <c r="H2686" s="31" t="s">
        <v>649</v>
      </c>
      <c r="I2686" s="31" t="s">
        <v>649</v>
      </c>
    </row>
    <row r="2687">
      <c r="E2687" s="14"/>
      <c r="H2687" s="31" t="s">
        <v>649</v>
      </c>
      <c r="I2687" s="31" t="s">
        <v>649</v>
      </c>
    </row>
    <row r="2688">
      <c r="E2688" s="14"/>
      <c r="H2688" s="31" t="s">
        <v>649</v>
      </c>
      <c r="I2688" s="31" t="s">
        <v>649</v>
      </c>
    </row>
    <row r="2689">
      <c r="E2689" s="14"/>
      <c r="H2689" s="31" t="s">
        <v>649</v>
      </c>
      <c r="I2689" s="31" t="s">
        <v>649</v>
      </c>
    </row>
    <row r="2690">
      <c r="E2690" s="14"/>
      <c r="H2690" s="31" t="s">
        <v>649</v>
      </c>
      <c r="I2690" s="31" t="s">
        <v>649</v>
      </c>
    </row>
    <row r="2691">
      <c r="E2691" s="14"/>
      <c r="H2691" s="31" t="s">
        <v>649</v>
      </c>
      <c r="I2691" s="31" t="s">
        <v>649</v>
      </c>
    </row>
    <row r="2692">
      <c r="E2692" s="14"/>
      <c r="H2692" s="31" t="s">
        <v>649</v>
      </c>
      <c r="I2692" s="31" t="s">
        <v>649</v>
      </c>
    </row>
    <row r="2693">
      <c r="E2693" s="14"/>
      <c r="H2693" s="31" t="s">
        <v>649</v>
      </c>
      <c r="I2693" s="31" t="s">
        <v>649</v>
      </c>
    </row>
    <row r="2694">
      <c r="E2694" s="14"/>
      <c r="H2694" s="31" t="s">
        <v>649</v>
      </c>
      <c r="I2694" s="31" t="s">
        <v>649</v>
      </c>
    </row>
    <row r="2695">
      <c r="E2695" s="14"/>
      <c r="H2695" s="31" t="s">
        <v>649</v>
      </c>
      <c r="I2695" s="31" t="s">
        <v>649</v>
      </c>
    </row>
    <row r="2696">
      <c r="E2696" s="14"/>
      <c r="H2696" s="31" t="s">
        <v>649</v>
      </c>
      <c r="I2696" s="31" t="s">
        <v>649</v>
      </c>
    </row>
    <row r="2697">
      <c r="E2697" s="14"/>
      <c r="H2697" s="31" t="s">
        <v>649</v>
      </c>
      <c r="I2697" s="31" t="s">
        <v>649</v>
      </c>
    </row>
    <row r="2698">
      <c r="E2698" s="14"/>
      <c r="H2698" s="31" t="s">
        <v>649</v>
      </c>
      <c r="I2698" s="31" t="s">
        <v>649</v>
      </c>
    </row>
    <row r="2699">
      <c r="E2699" s="14"/>
      <c r="H2699" s="31" t="s">
        <v>649</v>
      </c>
      <c r="I2699" s="31" t="s">
        <v>649</v>
      </c>
    </row>
    <row r="2700">
      <c r="E2700" s="14"/>
      <c r="H2700" s="31" t="s">
        <v>649</v>
      </c>
      <c r="I2700" s="31" t="s">
        <v>649</v>
      </c>
    </row>
    <row r="2701">
      <c r="E2701" s="14"/>
      <c r="H2701" s="31" t="s">
        <v>649</v>
      </c>
      <c r="I2701" s="31" t="s">
        <v>649</v>
      </c>
    </row>
    <row r="2702">
      <c r="E2702" s="14"/>
      <c r="H2702" s="31" t="s">
        <v>649</v>
      </c>
      <c r="I2702" s="31" t="s">
        <v>649</v>
      </c>
    </row>
    <row r="2703">
      <c r="E2703" s="14"/>
      <c r="H2703" s="31" t="s">
        <v>649</v>
      </c>
      <c r="I2703" s="31" t="s">
        <v>649</v>
      </c>
    </row>
    <row r="2704">
      <c r="E2704" s="14"/>
      <c r="H2704" s="31" t="s">
        <v>649</v>
      </c>
      <c r="I2704" s="31" t="s">
        <v>649</v>
      </c>
    </row>
    <row r="2705">
      <c r="E2705" s="14"/>
      <c r="H2705" s="31" t="s">
        <v>649</v>
      </c>
      <c r="I2705" s="31" t="s">
        <v>649</v>
      </c>
    </row>
    <row r="2706">
      <c r="E2706" s="14"/>
      <c r="H2706" s="31" t="s">
        <v>649</v>
      </c>
      <c r="I2706" s="31" t="s">
        <v>649</v>
      </c>
    </row>
    <row r="2707">
      <c r="E2707" s="14"/>
      <c r="H2707" s="31" t="s">
        <v>649</v>
      </c>
      <c r="I2707" s="31" t="s">
        <v>649</v>
      </c>
    </row>
    <row r="2708">
      <c r="E2708" s="14"/>
      <c r="H2708" s="31" t="s">
        <v>649</v>
      </c>
      <c r="I2708" s="31" t="s">
        <v>649</v>
      </c>
    </row>
    <row r="2709">
      <c r="E2709" s="14"/>
      <c r="H2709" s="31" t="s">
        <v>649</v>
      </c>
      <c r="I2709" s="31" t="s">
        <v>649</v>
      </c>
    </row>
    <row r="2710">
      <c r="E2710" s="14"/>
      <c r="H2710" s="31" t="s">
        <v>649</v>
      </c>
      <c r="I2710" s="31" t="s">
        <v>649</v>
      </c>
    </row>
    <row r="2711">
      <c r="E2711" s="14"/>
      <c r="H2711" s="31" t="s">
        <v>649</v>
      </c>
      <c r="I2711" s="31" t="s">
        <v>649</v>
      </c>
    </row>
    <row r="2712">
      <c r="E2712" s="14"/>
      <c r="H2712" s="31" t="s">
        <v>649</v>
      </c>
      <c r="I2712" s="31" t="s">
        <v>649</v>
      </c>
    </row>
    <row r="2713">
      <c r="E2713" s="14"/>
      <c r="H2713" s="31" t="s">
        <v>649</v>
      </c>
      <c r="I2713" s="31" t="s">
        <v>649</v>
      </c>
    </row>
    <row r="2714">
      <c r="E2714" s="14"/>
      <c r="H2714" s="31" t="s">
        <v>649</v>
      </c>
      <c r="I2714" s="31" t="s">
        <v>649</v>
      </c>
    </row>
    <row r="2715">
      <c r="E2715" s="14"/>
      <c r="H2715" s="31" t="s">
        <v>649</v>
      </c>
      <c r="I2715" s="31" t="s">
        <v>649</v>
      </c>
    </row>
    <row r="2716">
      <c r="E2716" s="14"/>
      <c r="H2716" s="31" t="s">
        <v>649</v>
      </c>
      <c r="I2716" s="31" t="s">
        <v>649</v>
      </c>
    </row>
    <row r="2717">
      <c r="E2717" s="14"/>
      <c r="H2717" s="31" t="s">
        <v>649</v>
      </c>
      <c r="I2717" s="31" t="s">
        <v>649</v>
      </c>
    </row>
    <row r="2718">
      <c r="E2718" s="14"/>
      <c r="H2718" s="31" t="s">
        <v>649</v>
      </c>
      <c r="I2718" s="31" t="s">
        <v>649</v>
      </c>
    </row>
    <row r="2719">
      <c r="E2719" s="14"/>
      <c r="H2719" s="31" t="s">
        <v>649</v>
      </c>
      <c r="I2719" s="31" t="s">
        <v>649</v>
      </c>
    </row>
    <row r="2720">
      <c r="E2720" s="14"/>
      <c r="H2720" s="31" t="s">
        <v>649</v>
      </c>
      <c r="I2720" s="31" t="s">
        <v>649</v>
      </c>
    </row>
    <row r="2721">
      <c r="E2721" s="14"/>
      <c r="H2721" s="31" t="s">
        <v>649</v>
      </c>
      <c r="I2721" s="31" t="s">
        <v>649</v>
      </c>
    </row>
    <row r="2722">
      <c r="E2722" s="14"/>
      <c r="H2722" s="31" t="s">
        <v>649</v>
      </c>
      <c r="I2722" s="31" t="s">
        <v>649</v>
      </c>
    </row>
    <row r="2723">
      <c r="E2723" s="14"/>
      <c r="H2723" s="31" t="s">
        <v>649</v>
      </c>
      <c r="I2723" s="31" t="s">
        <v>649</v>
      </c>
    </row>
    <row r="2724">
      <c r="E2724" s="14"/>
      <c r="H2724" s="31" t="s">
        <v>649</v>
      </c>
      <c r="I2724" s="31" t="s">
        <v>649</v>
      </c>
    </row>
    <row r="2725">
      <c r="E2725" s="14"/>
      <c r="H2725" s="31" t="s">
        <v>649</v>
      </c>
      <c r="I2725" s="31" t="s">
        <v>649</v>
      </c>
    </row>
    <row r="2726">
      <c r="E2726" s="14"/>
      <c r="H2726" s="31" t="s">
        <v>649</v>
      </c>
      <c r="I2726" s="31" t="s">
        <v>649</v>
      </c>
    </row>
    <row r="2727">
      <c r="E2727" s="14"/>
      <c r="H2727" s="31" t="s">
        <v>649</v>
      </c>
      <c r="I2727" s="31" t="s">
        <v>649</v>
      </c>
    </row>
    <row r="2728">
      <c r="E2728" s="14"/>
      <c r="H2728" s="31" t="s">
        <v>649</v>
      </c>
      <c r="I2728" s="31" t="s">
        <v>649</v>
      </c>
    </row>
    <row r="2729">
      <c r="E2729" s="14"/>
      <c r="H2729" s="31" t="s">
        <v>649</v>
      </c>
      <c r="I2729" s="31" t="s">
        <v>649</v>
      </c>
    </row>
    <row r="2730">
      <c r="E2730" s="14"/>
      <c r="H2730" s="31" t="s">
        <v>649</v>
      </c>
      <c r="I2730" s="31" t="s">
        <v>649</v>
      </c>
    </row>
    <row r="2731">
      <c r="E2731" s="14"/>
      <c r="H2731" s="31" t="s">
        <v>649</v>
      </c>
      <c r="I2731" s="31" t="s">
        <v>649</v>
      </c>
    </row>
    <row r="2732">
      <c r="E2732" s="14"/>
      <c r="H2732" s="31" t="s">
        <v>649</v>
      </c>
      <c r="I2732" s="31" t="s">
        <v>649</v>
      </c>
    </row>
    <row r="2733">
      <c r="E2733" s="14"/>
      <c r="H2733" s="31" t="s">
        <v>649</v>
      </c>
      <c r="I2733" s="31" t="s">
        <v>649</v>
      </c>
    </row>
    <row r="2734">
      <c r="E2734" s="14"/>
      <c r="H2734" s="31" t="s">
        <v>649</v>
      </c>
      <c r="I2734" s="31" t="s">
        <v>649</v>
      </c>
    </row>
    <row r="2735">
      <c r="E2735" s="14"/>
      <c r="H2735" s="31" t="s">
        <v>649</v>
      </c>
      <c r="I2735" s="31" t="s">
        <v>649</v>
      </c>
    </row>
    <row r="2736">
      <c r="E2736" s="14"/>
      <c r="H2736" s="31" t="s">
        <v>649</v>
      </c>
      <c r="I2736" s="31" t="s">
        <v>649</v>
      </c>
    </row>
    <row r="2737">
      <c r="E2737" s="14"/>
      <c r="H2737" s="31" t="s">
        <v>649</v>
      </c>
      <c r="I2737" s="31" t="s">
        <v>649</v>
      </c>
    </row>
    <row r="2738">
      <c r="E2738" s="14"/>
      <c r="H2738" s="31" t="s">
        <v>649</v>
      </c>
      <c r="I2738" s="31" t="s">
        <v>649</v>
      </c>
    </row>
    <row r="2739">
      <c r="E2739" s="14"/>
      <c r="H2739" s="31" t="s">
        <v>649</v>
      </c>
      <c r="I2739" s="31" t="s">
        <v>649</v>
      </c>
    </row>
    <row r="2740">
      <c r="E2740" s="14"/>
      <c r="H2740" s="31" t="s">
        <v>649</v>
      </c>
      <c r="I2740" s="31" t="s">
        <v>649</v>
      </c>
    </row>
    <row r="2741">
      <c r="E2741" s="14"/>
      <c r="H2741" s="31" t="s">
        <v>649</v>
      </c>
      <c r="I2741" s="31" t="s">
        <v>649</v>
      </c>
    </row>
    <row r="2742">
      <c r="E2742" s="14"/>
      <c r="H2742" s="31" t="s">
        <v>649</v>
      </c>
      <c r="I2742" s="31" t="s">
        <v>649</v>
      </c>
    </row>
    <row r="2743">
      <c r="E2743" s="14"/>
      <c r="H2743" s="31" t="s">
        <v>649</v>
      </c>
      <c r="I2743" s="31" t="s">
        <v>649</v>
      </c>
    </row>
    <row r="2744">
      <c r="E2744" s="14"/>
      <c r="H2744" s="31" t="s">
        <v>649</v>
      </c>
      <c r="I2744" s="31" t="s">
        <v>649</v>
      </c>
    </row>
    <row r="2745">
      <c r="E2745" s="14"/>
      <c r="H2745" s="31" t="s">
        <v>649</v>
      </c>
      <c r="I2745" s="31" t="s">
        <v>649</v>
      </c>
    </row>
    <row r="2746">
      <c r="E2746" s="14"/>
      <c r="H2746" s="31" t="s">
        <v>649</v>
      </c>
      <c r="I2746" s="31" t="s">
        <v>649</v>
      </c>
    </row>
    <row r="2747">
      <c r="E2747" s="14"/>
      <c r="H2747" s="31" t="s">
        <v>649</v>
      </c>
      <c r="I2747" s="31" t="s">
        <v>649</v>
      </c>
    </row>
    <row r="2748">
      <c r="E2748" s="14"/>
      <c r="H2748" s="31" t="s">
        <v>649</v>
      </c>
      <c r="I2748" s="31" t="s">
        <v>649</v>
      </c>
    </row>
    <row r="2749">
      <c r="E2749" s="14"/>
      <c r="H2749" s="31" t="s">
        <v>649</v>
      </c>
      <c r="I2749" s="31" t="s">
        <v>649</v>
      </c>
    </row>
    <row r="2750">
      <c r="E2750" s="14"/>
      <c r="H2750" s="31" t="s">
        <v>649</v>
      </c>
      <c r="I2750" s="31" t="s">
        <v>649</v>
      </c>
    </row>
    <row r="2751">
      <c r="E2751" s="14"/>
      <c r="H2751" s="31" t="s">
        <v>649</v>
      </c>
      <c r="I2751" s="31" t="s">
        <v>649</v>
      </c>
    </row>
    <row r="2752">
      <c r="E2752" s="14"/>
      <c r="H2752" s="31" t="s">
        <v>649</v>
      </c>
      <c r="I2752" s="31" t="s">
        <v>649</v>
      </c>
    </row>
    <row r="2753">
      <c r="E2753" s="14"/>
      <c r="H2753" s="31" t="s">
        <v>649</v>
      </c>
      <c r="I2753" s="31" t="s">
        <v>649</v>
      </c>
    </row>
    <row r="2754">
      <c r="E2754" s="14"/>
      <c r="H2754" s="31" t="s">
        <v>649</v>
      </c>
      <c r="I2754" s="31" t="s">
        <v>649</v>
      </c>
    </row>
    <row r="2755">
      <c r="E2755" s="14"/>
      <c r="H2755" s="31" t="s">
        <v>649</v>
      </c>
      <c r="I2755" s="31" t="s">
        <v>649</v>
      </c>
    </row>
    <row r="2756">
      <c r="E2756" s="14"/>
      <c r="H2756" s="31" t="s">
        <v>649</v>
      </c>
      <c r="I2756" s="31" t="s">
        <v>649</v>
      </c>
    </row>
    <row r="2757">
      <c r="E2757" s="14"/>
      <c r="H2757" s="31" t="s">
        <v>649</v>
      </c>
      <c r="I2757" s="31" t="s">
        <v>649</v>
      </c>
    </row>
    <row r="2758">
      <c r="E2758" s="14"/>
      <c r="H2758" s="31" t="s">
        <v>649</v>
      </c>
      <c r="I2758" s="31" t="s">
        <v>649</v>
      </c>
    </row>
    <row r="2759">
      <c r="E2759" s="14"/>
      <c r="H2759" s="31" t="s">
        <v>649</v>
      </c>
      <c r="I2759" s="31" t="s">
        <v>649</v>
      </c>
    </row>
    <row r="2760">
      <c r="E2760" s="14"/>
      <c r="H2760" s="31" t="s">
        <v>649</v>
      </c>
      <c r="I2760" s="31" t="s">
        <v>649</v>
      </c>
    </row>
    <row r="2761">
      <c r="E2761" s="14"/>
      <c r="H2761" s="31" t="s">
        <v>649</v>
      </c>
      <c r="I2761" s="31" t="s">
        <v>649</v>
      </c>
    </row>
    <row r="2762">
      <c r="E2762" s="14"/>
      <c r="H2762" s="31" t="s">
        <v>649</v>
      </c>
      <c r="I2762" s="31" t="s">
        <v>649</v>
      </c>
    </row>
    <row r="2763">
      <c r="E2763" s="14"/>
      <c r="H2763" s="31" t="s">
        <v>649</v>
      </c>
      <c r="I2763" s="31" t="s">
        <v>649</v>
      </c>
    </row>
    <row r="2764">
      <c r="E2764" s="14"/>
      <c r="H2764" s="31" t="s">
        <v>649</v>
      </c>
      <c r="I2764" s="31" t="s">
        <v>649</v>
      </c>
    </row>
    <row r="2765">
      <c r="E2765" s="14"/>
      <c r="H2765" s="31" t="s">
        <v>649</v>
      </c>
      <c r="I2765" s="31" t="s">
        <v>649</v>
      </c>
    </row>
    <row r="2766">
      <c r="E2766" s="14"/>
      <c r="H2766" s="31" t="s">
        <v>649</v>
      </c>
      <c r="I2766" s="31" t="s">
        <v>649</v>
      </c>
    </row>
    <row r="2767">
      <c r="E2767" s="14"/>
      <c r="H2767" s="31" t="s">
        <v>649</v>
      </c>
      <c r="I2767" s="31" t="s">
        <v>649</v>
      </c>
    </row>
    <row r="2768">
      <c r="E2768" s="14"/>
      <c r="H2768" s="31" t="s">
        <v>649</v>
      </c>
      <c r="I2768" s="31" t="s">
        <v>649</v>
      </c>
    </row>
    <row r="2769">
      <c r="E2769" s="14"/>
      <c r="H2769" s="31" t="s">
        <v>649</v>
      </c>
      <c r="I2769" s="31" t="s">
        <v>649</v>
      </c>
    </row>
    <row r="2770">
      <c r="E2770" s="14"/>
      <c r="H2770" s="31" t="s">
        <v>649</v>
      </c>
      <c r="I2770" s="31" t="s">
        <v>649</v>
      </c>
    </row>
    <row r="2771">
      <c r="E2771" s="14"/>
      <c r="H2771" s="31" t="s">
        <v>649</v>
      </c>
      <c r="I2771" s="31" t="s">
        <v>649</v>
      </c>
    </row>
    <row r="2772">
      <c r="E2772" s="14"/>
      <c r="H2772" s="31" t="s">
        <v>649</v>
      </c>
      <c r="I2772" s="31" t="s">
        <v>649</v>
      </c>
    </row>
    <row r="2773">
      <c r="E2773" s="14"/>
      <c r="H2773" s="31" t="s">
        <v>649</v>
      </c>
      <c r="I2773" s="31" t="s">
        <v>649</v>
      </c>
    </row>
    <row r="2774">
      <c r="E2774" s="14"/>
      <c r="H2774" s="31" t="s">
        <v>649</v>
      </c>
      <c r="I2774" s="31" t="s">
        <v>649</v>
      </c>
    </row>
    <row r="2775">
      <c r="E2775" s="14"/>
      <c r="H2775" s="31" t="s">
        <v>649</v>
      </c>
      <c r="I2775" s="31" t="s">
        <v>649</v>
      </c>
    </row>
    <row r="2776">
      <c r="E2776" s="14"/>
      <c r="H2776" s="31" t="s">
        <v>649</v>
      </c>
      <c r="I2776" s="31" t="s">
        <v>649</v>
      </c>
    </row>
    <row r="2777">
      <c r="E2777" s="14"/>
      <c r="H2777" s="31" t="s">
        <v>649</v>
      </c>
      <c r="I2777" s="31" t="s">
        <v>649</v>
      </c>
    </row>
    <row r="2778">
      <c r="E2778" s="14"/>
      <c r="H2778" s="31" t="s">
        <v>649</v>
      </c>
      <c r="I2778" s="31" t="s">
        <v>649</v>
      </c>
    </row>
    <row r="2779">
      <c r="E2779" s="14"/>
      <c r="H2779" s="31" t="s">
        <v>649</v>
      </c>
      <c r="I2779" s="31" t="s">
        <v>649</v>
      </c>
    </row>
    <row r="2780">
      <c r="E2780" s="14"/>
      <c r="H2780" s="31" t="s">
        <v>649</v>
      </c>
      <c r="I2780" s="31" t="s">
        <v>649</v>
      </c>
    </row>
    <row r="2781">
      <c r="E2781" s="14"/>
      <c r="H2781" s="31" t="s">
        <v>649</v>
      </c>
      <c r="I2781" s="31" t="s">
        <v>649</v>
      </c>
    </row>
    <row r="2782">
      <c r="E2782" s="14"/>
      <c r="H2782" s="31" t="s">
        <v>649</v>
      </c>
      <c r="I2782" s="31" t="s">
        <v>649</v>
      </c>
    </row>
    <row r="2783">
      <c r="E2783" s="14"/>
      <c r="H2783" s="31" t="s">
        <v>649</v>
      </c>
      <c r="I2783" s="31" t="s">
        <v>649</v>
      </c>
    </row>
    <row r="2784">
      <c r="E2784" s="14"/>
      <c r="H2784" s="31" t="s">
        <v>649</v>
      </c>
      <c r="I2784" s="31" t="s">
        <v>649</v>
      </c>
    </row>
    <row r="2785">
      <c r="E2785" s="14"/>
      <c r="H2785" s="31" t="s">
        <v>649</v>
      </c>
      <c r="I2785" s="31" t="s">
        <v>649</v>
      </c>
    </row>
    <row r="2786">
      <c r="E2786" s="14"/>
      <c r="H2786" s="31" t="s">
        <v>649</v>
      </c>
      <c r="I2786" s="31" t="s">
        <v>649</v>
      </c>
    </row>
    <row r="2787">
      <c r="E2787" s="14"/>
      <c r="H2787" s="31" t="s">
        <v>649</v>
      </c>
      <c r="I2787" s="31" t="s">
        <v>649</v>
      </c>
    </row>
    <row r="2788">
      <c r="E2788" s="14"/>
      <c r="H2788" s="31" t="s">
        <v>649</v>
      </c>
      <c r="I2788" s="31" t="s">
        <v>649</v>
      </c>
    </row>
    <row r="2789">
      <c r="E2789" s="14"/>
      <c r="H2789" s="31" t="s">
        <v>649</v>
      </c>
      <c r="I2789" s="31" t="s">
        <v>649</v>
      </c>
    </row>
    <row r="2790">
      <c r="E2790" s="14"/>
      <c r="H2790" s="31" t="s">
        <v>649</v>
      </c>
      <c r="I2790" s="31" t="s">
        <v>649</v>
      </c>
    </row>
    <row r="2791">
      <c r="E2791" s="14"/>
      <c r="H2791" s="31" t="s">
        <v>649</v>
      </c>
      <c r="I2791" s="31" t="s">
        <v>649</v>
      </c>
    </row>
    <row r="2792">
      <c r="E2792" s="14"/>
      <c r="H2792" s="31" t="s">
        <v>649</v>
      </c>
      <c r="I2792" s="31" t="s">
        <v>649</v>
      </c>
    </row>
    <row r="2793">
      <c r="E2793" s="14"/>
      <c r="H2793" s="31" t="s">
        <v>649</v>
      </c>
      <c r="I2793" s="31" t="s">
        <v>649</v>
      </c>
    </row>
    <row r="2794">
      <c r="E2794" s="14"/>
      <c r="H2794" s="31" t="s">
        <v>649</v>
      </c>
      <c r="I2794" s="31" t="s">
        <v>649</v>
      </c>
    </row>
    <row r="2795">
      <c r="E2795" s="14"/>
      <c r="H2795" s="31" t="s">
        <v>649</v>
      </c>
      <c r="I2795" s="31" t="s">
        <v>649</v>
      </c>
    </row>
    <row r="2796">
      <c r="E2796" s="14"/>
      <c r="H2796" s="31" t="s">
        <v>649</v>
      </c>
      <c r="I2796" s="31" t="s">
        <v>649</v>
      </c>
    </row>
    <row r="2797">
      <c r="E2797" s="14"/>
      <c r="H2797" s="31" t="s">
        <v>649</v>
      </c>
      <c r="I2797" s="31" t="s">
        <v>649</v>
      </c>
    </row>
    <row r="2798">
      <c r="E2798" s="14"/>
      <c r="H2798" s="31" t="s">
        <v>649</v>
      </c>
      <c r="I2798" s="31" t="s">
        <v>649</v>
      </c>
    </row>
    <row r="2799">
      <c r="E2799" s="14"/>
      <c r="H2799" s="31" t="s">
        <v>649</v>
      </c>
      <c r="I2799" s="31" t="s">
        <v>649</v>
      </c>
    </row>
    <row r="2800">
      <c r="E2800" s="14"/>
      <c r="H2800" s="31" t="s">
        <v>649</v>
      </c>
      <c r="I2800" s="31" t="s">
        <v>649</v>
      </c>
    </row>
    <row r="2801">
      <c r="E2801" s="14"/>
      <c r="H2801" s="31" t="s">
        <v>649</v>
      </c>
      <c r="I2801" s="31" t="s">
        <v>649</v>
      </c>
    </row>
    <row r="2802">
      <c r="E2802" s="14"/>
      <c r="H2802" s="31" t="s">
        <v>649</v>
      </c>
      <c r="I2802" s="31" t="s">
        <v>649</v>
      </c>
    </row>
    <row r="2803">
      <c r="E2803" s="14"/>
      <c r="H2803" s="31" t="s">
        <v>649</v>
      </c>
      <c r="I2803" s="31" t="s">
        <v>649</v>
      </c>
    </row>
    <row r="2804">
      <c r="E2804" s="14"/>
      <c r="H2804" s="31" t="s">
        <v>649</v>
      </c>
      <c r="I2804" s="31" t="s">
        <v>649</v>
      </c>
    </row>
    <row r="2805">
      <c r="E2805" s="14"/>
      <c r="H2805" s="31" t="s">
        <v>649</v>
      </c>
      <c r="I2805" s="31" t="s">
        <v>649</v>
      </c>
    </row>
    <row r="2806">
      <c r="E2806" s="14"/>
      <c r="H2806" s="31" t="s">
        <v>649</v>
      </c>
      <c r="I2806" s="31" t="s">
        <v>649</v>
      </c>
    </row>
    <row r="2807">
      <c r="E2807" s="14"/>
      <c r="H2807" s="31" t="s">
        <v>649</v>
      </c>
      <c r="I2807" s="31" t="s">
        <v>649</v>
      </c>
    </row>
    <row r="2808">
      <c r="E2808" s="14"/>
      <c r="H2808" s="31" t="s">
        <v>649</v>
      </c>
      <c r="I2808" s="31" t="s">
        <v>649</v>
      </c>
    </row>
    <row r="2809">
      <c r="E2809" s="14"/>
      <c r="H2809" s="31" t="s">
        <v>649</v>
      </c>
      <c r="I2809" s="31" t="s">
        <v>649</v>
      </c>
    </row>
    <row r="2810">
      <c r="E2810" s="14"/>
      <c r="H2810" s="31" t="s">
        <v>649</v>
      </c>
      <c r="I2810" s="31" t="s">
        <v>649</v>
      </c>
    </row>
    <row r="2811">
      <c r="E2811" s="14"/>
      <c r="H2811" s="31" t="s">
        <v>649</v>
      </c>
      <c r="I2811" s="31" t="s">
        <v>649</v>
      </c>
    </row>
    <row r="2812">
      <c r="E2812" s="14"/>
      <c r="H2812" s="31" t="s">
        <v>649</v>
      </c>
      <c r="I2812" s="31" t="s">
        <v>649</v>
      </c>
    </row>
    <row r="2813">
      <c r="E2813" s="14"/>
      <c r="H2813" s="31" t="s">
        <v>649</v>
      </c>
      <c r="I2813" s="31" t="s">
        <v>649</v>
      </c>
    </row>
    <row r="2814">
      <c r="E2814" s="14"/>
      <c r="H2814" s="31" t="s">
        <v>649</v>
      </c>
      <c r="I2814" s="31" t="s">
        <v>649</v>
      </c>
    </row>
    <row r="2815">
      <c r="E2815" s="14"/>
      <c r="H2815" s="31" t="s">
        <v>649</v>
      </c>
      <c r="I2815" s="31" t="s">
        <v>649</v>
      </c>
    </row>
    <row r="2816">
      <c r="E2816" s="14"/>
      <c r="H2816" s="31" t="s">
        <v>649</v>
      </c>
      <c r="I2816" s="31" t="s">
        <v>649</v>
      </c>
    </row>
    <row r="2817">
      <c r="E2817" s="14"/>
      <c r="H2817" s="31" t="s">
        <v>649</v>
      </c>
      <c r="I2817" s="31" t="s">
        <v>649</v>
      </c>
    </row>
    <row r="2818">
      <c r="E2818" s="14"/>
      <c r="H2818" s="31" t="s">
        <v>649</v>
      </c>
      <c r="I2818" s="31" t="s">
        <v>649</v>
      </c>
    </row>
    <row r="2819">
      <c r="E2819" s="14"/>
      <c r="H2819" s="31" t="s">
        <v>649</v>
      </c>
      <c r="I2819" s="31" t="s">
        <v>649</v>
      </c>
    </row>
    <row r="2820">
      <c r="E2820" s="14"/>
      <c r="H2820" s="31" t="s">
        <v>649</v>
      </c>
      <c r="I2820" s="31" t="s">
        <v>649</v>
      </c>
    </row>
    <row r="2821">
      <c r="E2821" s="14"/>
      <c r="H2821" s="31" t="s">
        <v>649</v>
      </c>
      <c r="I2821" s="31" t="s">
        <v>649</v>
      </c>
    </row>
    <row r="2822">
      <c r="E2822" s="14"/>
      <c r="H2822" s="31" t="s">
        <v>649</v>
      </c>
      <c r="I2822" s="31" t="s">
        <v>649</v>
      </c>
    </row>
    <row r="2823">
      <c r="E2823" s="14"/>
      <c r="H2823" s="31" t="s">
        <v>649</v>
      </c>
      <c r="I2823" s="31" t="s">
        <v>649</v>
      </c>
    </row>
    <row r="2824">
      <c r="E2824" s="14"/>
      <c r="H2824" s="31" t="s">
        <v>649</v>
      </c>
      <c r="I2824" s="31" t="s">
        <v>649</v>
      </c>
    </row>
    <row r="2825">
      <c r="E2825" s="14"/>
      <c r="H2825" s="31" t="s">
        <v>649</v>
      </c>
      <c r="I2825" s="31" t="s">
        <v>649</v>
      </c>
    </row>
    <row r="2826">
      <c r="E2826" s="14"/>
      <c r="H2826" s="31" t="s">
        <v>649</v>
      </c>
      <c r="I2826" s="31" t="s">
        <v>649</v>
      </c>
    </row>
    <row r="2827">
      <c r="E2827" s="14"/>
      <c r="H2827" s="31" t="s">
        <v>649</v>
      </c>
      <c r="I2827" s="31" t="s">
        <v>649</v>
      </c>
    </row>
    <row r="2828">
      <c r="E2828" s="14"/>
      <c r="H2828" s="31" t="s">
        <v>649</v>
      </c>
      <c r="I2828" s="31" t="s">
        <v>649</v>
      </c>
    </row>
    <row r="2829">
      <c r="E2829" s="14"/>
      <c r="H2829" s="31" t="s">
        <v>649</v>
      </c>
      <c r="I2829" s="31" t="s">
        <v>649</v>
      </c>
    </row>
    <row r="2830">
      <c r="E2830" s="14"/>
      <c r="H2830" s="31" t="s">
        <v>649</v>
      </c>
      <c r="I2830" s="31" t="s">
        <v>649</v>
      </c>
    </row>
    <row r="2831">
      <c r="E2831" s="14"/>
      <c r="H2831" s="31" t="s">
        <v>649</v>
      </c>
      <c r="I2831" s="31" t="s">
        <v>649</v>
      </c>
    </row>
    <row r="2832">
      <c r="E2832" s="14"/>
      <c r="H2832" s="31" t="s">
        <v>649</v>
      </c>
      <c r="I2832" s="31" t="s">
        <v>649</v>
      </c>
    </row>
    <row r="2833">
      <c r="E2833" s="14"/>
      <c r="H2833" s="31" t="s">
        <v>649</v>
      </c>
      <c r="I2833" s="31" t="s">
        <v>649</v>
      </c>
    </row>
    <row r="2834">
      <c r="E2834" s="14"/>
      <c r="H2834" s="31" t="s">
        <v>649</v>
      </c>
      <c r="I2834" s="31" t="s">
        <v>649</v>
      </c>
    </row>
    <row r="2835">
      <c r="E2835" s="14"/>
      <c r="H2835" s="31" t="s">
        <v>649</v>
      </c>
      <c r="I2835" s="31" t="s">
        <v>649</v>
      </c>
    </row>
    <row r="2836">
      <c r="E2836" s="14"/>
      <c r="H2836" s="31" t="s">
        <v>649</v>
      </c>
      <c r="I2836" s="31" t="s">
        <v>649</v>
      </c>
    </row>
    <row r="2837">
      <c r="E2837" s="14"/>
      <c r="H2837" s="31" t="s">
        <v>649</v>
      </c>
      <c r="I2837" s="31" t="s">
        <v>649</v>
      </c>
    </row>
    <row r="2838">
      <c r="E2838" s="14"/>
      <c r="H2838" s="31" t="s">
        <v>649</v>
      </c>
      <c r="I2838" s="31" t="s">
        <v>649</v>
      </c>
    </row>
    <row r="2839">
      <c r="E2839" s="14"/>
      <c r="H2839" s="31" t="s">
        <v>649</v>
      </c>
      <c r="I2839" s="31" t="s">
        <v>649</v>
      </c>
    </row>
    <row r="2840">
      <c r="E2840" s="14"/>
      <c r="H2840" s="31" t="s">
        <v>649</v>
      </c>
      <c r="I2840" s="31" t="s">
        <v>649</v>
      </c>
    </row>
    <row r="2841">
      <c r="E2841" s="14"/>
      <c r="H2841" s="31" t="s">
        <v>649</v>
      </c>
      <c r="I2841" s="31" t="s">
        <v>649</v>
      </c>
    </row>
    <row r="2842">
      <c r="E2842" s="14"/>
      <c r="H2842" s="31" t="s">
        <v>649</v>
      </c>
      <c r="I2842" s="31" t="s">
        <v>649</v>
      </c>
    </row>
    <row r="2843">
      <c r="E2843" s="14"/>
      <c r="H2843" s="31" t="s">
        <v>649</v>
      </c>
      <c r="I2843" s="31" t="s">
        <v>649</v>
      </c>
    </row>
    <row r="2844">
      <c r="E2844" s="14"/>
      <c r="H2844" s="31" t="s">
        <v>649</v>
      </c>
      <c r="I2844" s="31" t="s">
        <v>649</v>
      </c>
    </row>
    <row r="2845">
      <c r="E2845" s="14"/>
      <c r="H2845" s="31" t="s">
        <v>649</v>
      </c>
      <c r="I2845" s="31" t="s">
        <v>649</v>
      </c>
    </row>
    <row r="2846">
      <c r="E2846" s="14"/>
      <c r="H2846" s="31" t="s">
        <v>649</v>
      </c>
      <c r="I2846" s="31" t="s">
        <v>649</v>
      </c>
    </row>
    <row r="2847">
      <c r="E2847" s="14"/>
      <c r="H2847" s="31" t="s">
        <v>649</v>
      </c>
      <c r="I2847" s="31" t="s">
        <v>649</v>
      </c>
    </row>
    <row r="2848">
      <c r="E2848" s="14"/>
      <c r="H2848" s="31" t="s">
        <v>649</v>
      </c>
      <c r="I2848" s="31" t="s">
        <v>649</v>
      </c>
    </row>
    <row r="2849">
      <c r="E2849" s="14"/>
      <c r="H2849" s="31" t="s">
        <v>649</v>
      </c>
      <c r="I2849" s="31" t="s">
        <v>649</v>
      </c>
    </row>
    <row r="2850">
      <c r="E2850" s="14"/>
      <c r="H2850" s="31" t="s">
        <v>649</v>
      </c>
      <c r="I2850" s="31" t="s">
        <v>649</v>
      </c>
    </row>
    <row r="2851">
      <c r="E2851" s="14"/>
      <c r="H2851" s="31" t="s">
        <v>649</v>
      </c>
      <c r="I2851" s="31" t="s">
        <v>649</v>
      </c>
    </row>
    <row r="2852">
      <c r="E2852" s="14"/>
      <c r="H2852" s="31" t="s">
        <v>649</v>
      </c>
      <c r="I2852" s="31" t="s">
        <v>649</v>
      </c>
    </row>
    <row r="2853">
      <c r="E2853" s="14"/>
      <c r="H2853" s="31" t="s">
        <v>649</v>
      </c>
      <c r="I2853" s="31" t="s">
        <v>649</v>
      </c>
    </row>
    <row r="2854">
      <c r="E2854" s="14"/>
      <c r="H2854" s="31" t="s">
        <v>649</v>
      </c>
      <c r="I2854" s="31" t="s">
        <v>649</v>
      </c>
    </row>
    <row r="2855">
      <c r="E2855" s="14"/>
      <c r="H2855" s="31" t="s">
        <v>649</v>
      </c>
      <c r="I2855" s="31" t="s">
        <v>649</v>
      </c>
    </row>
    <row r="2856">
      <c r="E2856" s="14"/>
      <c r="H2856" s="31" t="s">
        <v>649</v>
      </c>
      <c r="I2856" s="31" t="s">
        <v>649</v>
      </c>
    </row>
    <row r="2857">
      <c r="E2857" s="14"/>
      <c r="H2857" s="31" t="s">
        <v>649</v>
      </c>
      <c r="I2857" s="31" t="s">
        <v>649</v>
      </c>
    </row>
    <row r="2858">
      <c r="E2858" s="14"/>
      <c r="H2858" s="31" t="s">
        <v>649</v>
      </c>
      <c r="I2858" s="31" t="s">
        <v>649</v>
      </c>
    </row>
    <row r="2859">
      <c r="E2859" s="14"/>
      <c r="H2859" s="31" t="s">
        <v>649</v>
      </c>
      <c r="I2859" s="31" t="s">
        <v>649</v>
      </c>
    </row>
    <row r="2860">
      <c r="E2860" s="14"/>
      <c r="H2860" s="31" t="s">
        <v>649</v>
      </c>
      <c r="I2860" s="31" t="s">
        <v>649</v>
      </c>
    </row>
    <row r="2861">
      <c r="E2861" s="14"/>
      <c r="H2861" s="31" t="s">
        <v>649</v>
      </c>
      <c r="I2861" s="31" t="s">
        <v>649</v>
      </c>
    </row>
    <row r="2862">
      <c r="E2862" s="14"/>
      <c r="H2862" s="31" t="s">
        <v>649</v>
      </c>
      <c r="I2862" s="31" t="s">
        <v>649</v>
      </c>
    </row>
    <row r="2863">
      <c r="E2863" s="14"/>
      <c r="H2863" s="31" t="s">
        <v>649</v>
      </c>
      <c r="I2863" s="31" t="s">
        <v>649</v>
      </c>
    </row>
    <row r="2864">
      <c r="E2864" s="14"/>
      <c r="H2864" s="31" t="s">
        <v>649</v>
      </c>
      <c r="I2864" s="31" t="s">
        <v>649</v>
      </c>
    </row>
    <row r="2865">
      <c r="E2865" s="14"/>
      <c r="H2865" s="31" t="s">
        <v>649</v>
      </c>
      <c r="I2865" s="31" t="s">
        <v>649</v>
      </c>
    </row>
    <row r="2866">
      <c r="E2866" s="14"/>
      <c r="H2866" s="31" t="s">
        <v>649</v>
      </c>
      <c r="I2866" s="31" t="s">
        <v>649</v>
      </c>
    </row>
    <row r="2867">
      <c r="E2867" s="14"/>
      <c r="H2867" s="31" t="s">
        <v>649</v>
      </c>
      <c r="I2867" s="31" t="s">
        <v>649</v>
      </c>
    </row>
    <row r="2868">
      <c r="E2868" s="14"/>
      <c r="H2868" s="31" t="s">
        <v>649</v>
      </c>
      <c r="I2868" s="31" t="s">
        <v>649</v>
      </c>
    </row>
    <row r="2869">
      <c r="E2869" s="14"/>
      <c r="H2869" s="31" t="s">
        <v>649</v>
      </c>
      <c r="I2869" s="31" t="s">
        <v>649</v>
      </c>
    </row>
    <row r="2870">
      <c r="E2870" s="14"/>
      <c r="H2870" s="31" t="s">
        <v>649</v>
      </c>
      <c r="I2870" s="31" t="s">
        <v>649</v>
      </c>
    </row>
    <row r="2871">
      <c r="E2871" s="14"/>
      <c r="H2871" s="31" t="s">
        <v>649</v>
      </c>
      <c r="I2871" s="31" t="s">
        <v>649</v>
      </c>
    </row>
    <row r="2872">
      <c r="E2872" s="14"/>
      <c r="H2872" s="31" t="s">
        <v>649</v>
      </c>
      <c r="I2872" s="31" t="s">
        <v>649</v>
      </c>
    </row>
    <row r="2873">
      <c r="E2873" s="14"/>
      <c r="H2873" s="31" t="s">
        <v>649</v>
      </c>
      <c r="I2873" s="31" t="s">
        <v>649</v>
      </c>
    </row>
    <row r="2874">
      <c r="E2874" s="14"/>
      <c r="H2874" s="31" t="s">
        <v>649</v>
      </c>
      <c r="I2874" s="31" t="s">
        <v>649</v>
      </c>
    </row>
    <row r="2875">
      <c r="E2875" s="14"/>
      <c r="H2875" s="31" t="s">
        <v>649</v>
      </c>
      <c r="I2875" s="31" t="s">
        <v>649</v>
      </c>
    </row>
    <row r="2876">
      <c r="E2876" s="14"/>
      <c r="H2876" s="31" t="s">
        <v>649</v>
      </c>
      <c r="I2876" s="31" t="s">
        <v>649</v>
      </c>
    </row>
    <row r="2877">
      <c r="E2877" s="14"/>
      <c r="H2877" s="31" t="s">
        <v>649</v>
      </c>
      <c r="I2877" s="31" t="s">
        <v>649</v>
      </c>
    </row>
    <row r="2878">
      <c r="E2878" s="14"/>
      <c r="H2878" s="31" t="s">
        <v>649</v>
      </c>
      <c r="I2878" s="31" t="s">
        <v>649</v>
      </c>
    </row>
    <row r="2879">
      <c r="E2879" s="14"/>
      <c r="H2879" s="31" t="s">
        <v>649</v>
      </c>
      <c r="I2879" s="31" t="s">
        <v>649</v>
      </c>
    </row>
    <row r="2880">
      <c r="E2880" s="14"/>
      <c r="H2880" s="31" t="s">
        <v>649</v>
      </c>
      <c r="I2880" s="31" t="s">
        <v>649</v>
      </c>
    </row>
    <row r="2881">
      <c r="E2881" s="14"/>
      <c r="H2881" s="31" t="s">
        <v>649</v>
      </c>
      <c r="I2881" s="31" t="s">
        <v>649</v>
      </c>
    </row>
    <row r="2882">
      <c r="E2882" s="14"/>
      <c r="H2882" s="31" t="s">
        <v>649</v>
      </c>
      <c r="I2882" s="31" t="s">
        <v>649</v>
      </c>
    </row>
    <row r="2883">
      <c r="E2883" s="14"/>
      <c r="H2883" s="31" t="s">
        <v>649</v>
      </c>
      <c r="I2883" s="31" t="s">
        <v>649</v>
      </c>
    </row>
    <row r="2884">
      <c r="E2884" s="14"/>
      <c r="H2884" s="31" t="s">
        <v>649</v>
      </c>
      <c r="I2884" s="31" t="s">
        <v>649</v>
      </c>
    </row>
    <row r="2885">
      <c r="E2885" s="14"/>
      <c r="H2885" s="31" t="s">
        <v>649</v>
      </c>
      <c r="I2885" s="31" t="s">
        <v>649</v>
      </c>
    </row>
    <row r="2886">
      <c r="E2886" s="14"/>
      <c r="H2886" s="31" t="s">
        <v>649</v>
      </c>
      <c r="I2886" s="31" t="s">
        <v>649</v>
      </c>
    </row>
    <row r="2887">
      <c r="E2887" s="14"/>
      <c r="H2887" s="31" t="s">
        <v>649</v>
      </c>
      <c r="I2887" s="31" t="s">
        <v>649</v>
      </c>
    </row>
    <row r="2888">
      <c r="E2888" s="14"/>
      <c r="H2888" s="31" t="s">
        <v>649</v>
      </c>
      <c r="I2888" s="31" t="s">
        <v>649</v>
      </c>
    </row>
    <row r="2889">
      <c r="E2889" s="14"/>
      <c r="H2889" s="31" t="s">
        <v>649</v>
      </c>
      <c r="I2889" s="31" t="s">
        <v>649</v>
      </c>
    </row>
    <row r="2890">
      <c r="E2890" s="14"/>
      <c r="H2890" s="31" t="s">
        <v>649</v>
      </c>
      <c r="I2890" s="31" t="s">
        <v>649</v>
      </c>
    </row>
    <row r="2891">
      <c r="E2891" s="14"/>
      <c r="H2891" s="31" t="s">
        <v>649</v>
      </c>
      <c r="I2891" s="31" t="s">
        <v>649</v>
      </c>
    </row>
    <row r="2892">
      <c r="E2892" s="14"/>
      <c r="H2892" s="31" t="s">
        <v>649</v>
      </c>
      <c r="I2892" s="31" t="s">
        <v>649</v>
      </c>
    </row>
    <row r="2893">
      <c r="E2893" s="14"/>
      <c r="H2893" s="31" t="s">
        <v>649</v>
      </c>
      <c r="I2893" s="31" t="s">
        <v>649</v>
      </c>
    </row>
    <row r="2894">
      <c r="E2894" s="14"/>
      <c r="H2894" s="31" t="s">
        <v>649</v>
      </c>
      <c r="I2894" s="31" t="s">
        <v>649</v>
      </c>
    </row>
    <row r="2895">
      <c r="E2895" s="14"/>
      <c r="H2895" s="31" t="s">
        <v>649</v>
      </c>
      <c r="I2895" s="31" t="s">
        <v>649</v>
      </c>
    </row>
    <row r="2896">
      <c r="E2896" s="14"/>
      <c r="H2896" s="31" t="s">
        <v>649</v>
      </c>
      <c r="I2896" s="31" t="s">
        <v>649</v>
      </c>
    </row>
    <row r="2897">
      <c r="E2897" s="14"/>
      <c r="H2897" s="31" t="s">
        <v>649</v>
      </c>
      <c r="I2897" s="31" t="s">
        <v>649</v>
      </c>
    </row>
    <row r="2898">
      <c r="E2898" s="14"/>
      <c r="H2898" s="31" t="s">
        <v>649</v>
      </c>
      <c r="I2898" s="31" t="s">
        <v>649</v>
      </c>
    </row>
    <row r="2899">
      <c r="E2899" s="14"/>
      <c r="H2899" s="31" t="s">
        <v>649</v>
      </c>
      <c r="I2899" s="31" t="s">
        <v>649</v>
      </c>
    </row>
    <row r="2900">
      <c r="E2900" s="14"/>
      <c r="H2900" s="31" t="s">
        <v>649</v>
      </c>
      <c r="I2900" s="31" t="s">
        <v>649</v>
      </c>
    </row>
    <row r="2901">
      <c r="E2901" s="14"/>
      <c r="H2901" s="31" t="s">
        <v>649</v>
      </c>
      <c r="I2901" s="31" t="s">
        <v>649</v>
      </c>
    </row>
    <row r="2902">
      <c r="E2902" s="14"/>
      <c r="H2902" s="31" t="s">
        <v>649</v>
      </c>
      <c r="I2902" s="31" t="s">
        <v>649</v>
      </c>
    </row>
    <row r="2903">
      <c r="E2903" s="14"/>
      <c r="H2903" s="31" t="s">
        <v>649</v>
      </c>
      <c r="I2903" s="31" t="s">
        <v>649</v>
      </c>
    </row>
    <row r="2904">
      <c r="E2904" s="14"/>
      <c r="H2904" s="31" t="s">
        <v>649</v>
      </c>
      <c r="I2904" s="31" t="s">
        <v>649</v>
      </c>
    </row>
    <row r="2905">
      <c r="E2905" s="14"/>
      <c r="H2905" s="31" t="s">
        <v>649</v>
      </c>
      <c r="I2905" s="31" t="s">
        <v>649</v>
      </c>
    </row>
    <row r="2906">
      <c r="E2906" s="14"/>
      <c r="H2906" s="31" t="s">
        <v>649</v>
      </c>
      <c r="I2906" s="31" t="s">
        <v>649</v>
      </c>
    </row>
    <row r="2907">
      <c r="E2907" s="14"/>
      <c r="H2907" s="31" t="s">
        <v>649</v>
      </c>
      <c r="I2907" s="31" t="s">
        <v>649</v>
      </c>
    </row>
    <row r="2908">
      <c r="E2908" s="14"/>
      <c r="H2908" s="31" t="s">
        <v>649</v>
      </c>
      <c r="I2908" s="31" t="s">
        <v>649</v>
      </c>
    </row>
    <row r="2909">
      <c r="E2909" s="14"/>
      <c r="H2909" s="31" t="s">
        <v>649</v>
      </c>
      <c r="I2909" s="31" t="s">
        <v>649</v>
      </c>
    </row>
    <row r="2910">
      <c r="E2910" s="14"/>
      <c r="H2910" s="31" t="s">
        <v>649</v>
      </c>
      <c r="I2910" s="31" t="s">
        <v>649</v>
      </c>
    </row>
    <row r="2911">
      <c r="E2911" s="14"/>
      <c r="H2911" s="31" t="s">
        <v>649</v>
      </c>
      <c r="I2911" s="31" t="s">
        <v>649</v>
      </c>
    </row>
    <row r="2912">
      <c r="E2912" s="14"/>
      <c r="H2912" s="31" t="s">
        <v>649</v>
      </c>
      <c r="I2912" s="31" t="s">
        <v>649</v>
      </c>
    </row>
    <row r="2913">
      <c r="E2913" s="14"/>
      <c r="H2913" s="31" t="s">
        <v>649</v>
      </c>
      <c r="I2913" s="31" t="s">
        <v>649</v>
      </c>
    </row>
    <row r="2914">
      <c r="E2914" s="14"/>
      <c r="H2914" s="31" t="s">
        <v>649</v>
      </c>
      <c r="I2914" s="31" t="s">
        <v>649</v>
      </c>
    </row>
    <row r="2915">
      <c r="E2915" s="14"/>
      <c r="H2915" s="31" t="s">
        <v>649</v>
      </c>
      <c r="I2915" s="31" t="s">
        <v>649</v>
      </c>
    </row>
    <row r="2916">
      <c r="E2916" s="14"/>
      <c r="H2916" s="31" t="s">
        <v>649</v>
      </c>
      <c r="I2916" s="31" t="s">
        <v>649</v>
      </c>
    </row>
    <row r="2917">
      <c r="E2917" s="14"/>
      <c r="H2917" s="31" t="s">
        <v>649</v>
      </c>
      <c r="I2917" s="31" t="s">
        <v>649</v>
      </c>
    </row>
    <row r="2918">
      <c r="E2918" s="14"/>
      <c r="H2918" s="31" t="s">
        <v>649</v>
      </c>
      <c r="I2918" s="31" t="s">
        <v>649</v>
      </c>
    </row>
    <row r="2919">
      <c r="E2919" s="14"/>
      <c r="H2919" s="31" t="s">
        <v>649</v>
      </c>
      <c r="I2919" s="31" t="s">
        <v>649</v>
      </c>
    </row>
    <row r="2920">
      <c r="E2920" s="14"/>
      <c r="H2920" s="31" t="s">
        <v>649</v>
      </c>
      <c r="I2920" s="31" t="s">
        <v>649</v>
      </c>
    </row>
    <row r="2921">
      <c r="E2921" s="14"/>
      <c r="H2921" s="31" t="s">
        <v>649</v>
      </c>
      <c r="I2921" s="31" t="s">
        <v>649</v>
      </c>
    </row>
    <row r="2922">
      <c r="E2922" s="14"/>
      <c r="H2922" s="31" t="s">
        <v>649</v>
      </c>
      <c r="I2922" s="31" t="s">
        <v>649</v>
      </c>
    </row>
    <row r="2923">
      <c r="E2923" s="14"/>
      <c r="H2923" s="31" t="s">
        <v>649</v>
      </c>
      <c r="I2923" s="31" t="s">
        <v>649</v>
      </c>
    </row>
    <row r="2924">
      <c r="E2924" s="14"/>
      <c r="H2924" s="31" t="s">
        <v>649</v>
      </c>
      <c r="I2924" s="31" t="s">
        <v>649</v>
      </c>
    </row>
    <row r="2925">
      <c r="E2925" s="14"/>
      <c r="H2925" s="31" t="s">
        <v>649</v>
      </c>
      <c r="I2925" s="31" t="s">
        <v>649</v>
      </c>
    </row>
    <row r="2926">
      <c r="E2926" s="14"/>
      <c r="H2926" s="31" t="s">
        <v>649</v>
      </c>
      <c r="I2926" s="31" t="s">
        <v>649</v>
      </c>
    </row>
    <row r="2927">
      <c r="E2927" s="14"/>
      <c r="H2927" s="31" t="s">
        <v>649</v>
      </c>
      <c r="I2927" s="31" t="s">
        <v>649</v>
      </c>
    </row>
    <row r="2928">
      <c r="E2928" s="14"/>
      <c r="H2928" s="31" t="s">
        <v>649</v>
      </c>
      <c r="I2928" s="31" t="s">
        <v>649</v>
      </c>
    </row>
    <row r="2929">
      <c r="E2929" s="14"/>
      <c r="H2929" s="31" t="s">
        <v>649</v>
      </c>
      <c r="I2929" s="31" t="s">
        <v>649</v>
      </c>
    </row>
    <row r="2930">
      <c r="E2930" s="14"/>
      <c r="H2930" s="31" t="s">
        <v>649</v>
      </c>
      <c r="I2930" s="31" t="s">
        <v>649</v>
      </c>
    </row>
    <row r="2931">
      <c r="E2931" s="14"/>
      <c r="H2931" s="31" t="s">
        <v>649</v>
      </c>
      <c r="I2931" s="31" t="s">
        <v>649</v>
      </c>
    </row>
    <row r="2932">
      <c r="E2932" s="14"/>
      <c r="H2932" s="31" t="s">
        <v>649</v>
      </c>
      <c r="I2932" s="31" t="s">
        <v>649</v>
      </c>
    </row>
    <row r="2933">
      <c r="E2933" s="14"/>
      <c r="H2933" s="31" t="s">
        <v>649</v>
      </c>
      <c r="I2933" s="31" t="s">
        <v>649</v>
      </c>
    </row>
    <row r="2934">
      <c r="E2934" s="14"/>
      <c r="H2934" s="31" t="s">
        <v>649</v>
      </c>
      <c r="I2934" s="31" t="s">
        <v>649</v>
      </c>
    </row>
    <row r="2935">
      <c r="E2935" s="14"/>
      <c r="H2935" s="31" t="s">
        <v>649</v>
      </c>
      <c r="I2935" s="31" t="s">
        <v>649</v>
      </c>
    </row>
    <row r="2936">
      <c r="E2936" s="14"/>
      <c r="H2936" s="31" t="s">
        <v>649</v>
      </c>
      <c r="I2936" s="31" t="s">
        <v>649</v>
      </c>
    </row>
    <row r="2937">
      <c r="E2937" s="14"/>
      <c r="H2937" s="31" t="s">
        <v>649</v>
      </c>
      <c r="I2937" s="31" t="s">
        <v>649</v>
      </c>
    </row>
    <row r="2938">
      <c r="E2938" s="14"/>
      <c r="H2938" s="31" t="s">
        <v>649</v>
      </c>
      <c r="I2938" s="31" t="s">
        <v>649</v>
      </c>
    </row>
    <row r="2939">
      <c r="E2939" s="14"/>
      <c r="H2939" s="31" t="s">
        <v>649</v>
      </c>
      <c r="I2939" s="31" t="s">
        <v>649</v>
      </c>
    </row>
    <row r="2940">
      <c r="E2940" s="14"/>
      <c r="H2940" s="31" t="s">
        <v>649</v>
      </c>
      <c r="I2940" s="31" t="s">
        <v>649</v>
      </c>
    </row>
    <row r="2941">
      <c r="E2941" s="14"/>
      <c r="H2941" s="31" t="s">
        <v>649</v>
      </c>
      <c r="I2941" s="31" t="s">
        <v>649</v>
      </c>
    </row>
    <row r="2942">
      <c r="E2942" s="14"/>
      <c r="H2942" s="31" t="s">
        <v>649</v>
      </c>
      <c r="I2942" s="31" t="s">
        <v>649</v>
      </c>
    </row>
    <row r="2943">
      <c r="E2943" s="14"/>
      <c r="H2943" s="31" t="s">
        <v>649</v>
      </c>
      <c r="I2943" s="31" t="s">
        <v>649</v>
      </c>
    </row>
    <row r="2944">
      <c r="E2944" s="14"/>
      <c r="H2944" s="31" t="s">
        <v>649</v>
      </c>
      <c r="I2944" s="31" t="s">
        <v>649</v>
      </c>
    </row>
    <row r="2945">
      <c r="E2945" s="14"/>
      <c r="H2945" s="31" t="s">
        <v>649</v>
      </c>
      <c r="I2945" s="31" t="s">
        <v>649</v>
      </c>
    </row>
    <row r="2946">
      <c r="E2946" s="14"/>
      <c r="H2946" s="31" t="s">
        <v>649</v>
      </c>
      <c r="I2946" s="31" t="s">
        <v>649</v>
      </c>
    </row>
    <row r="2947">
      <c r="E2947" s="14"/>
      <c r="H2947" s="31" t="s">
        <v>649</v>
      </c>
      <c r="I2947" s="31" t="s">
        <v>649</v>
      </c>
    </row>
    <row r="2948">
      <c r="E2948" s="14"/>
      <c r="H2948" s="31" t="s">
        <v>649</v>
      </c>
      <c r="I2948" s="31" t="s">
        <v>649</v>
      </c>
    </row>
    <row r="2949">
      <c r="E2949" s="14"/>
      <c r="H2949" s="31" t="s">
        <v>649</v>
      </c>
      <c r="I2949" s="31" t="s">
        <v>649</v>
      </c>
    </row>
    <row r="2950">
      <c r="E2950" s="14"/>
      <c r="H2950" s="31" t="s">
        <v>649</v>
      </c>
      <c r="I2950" s="31" t="s">
        <v>649</v>
      </c>
    </row>
    <row r="2951">
      <c r="E2951" s="14"/>
      <c r="H2951" s="31" t="s">
        <v>649</v>
      </c>
      <c r="I2951" s="31" t="s">
        <v>649</v>
      </c>
    </row>
    <row r="2952">
      <c r="E2952" s="14"/>
      <c r="H2952" s="31" t="s">
        <v>649</v>
      </c>
      <c r="I2952" s="31" t="s">
        <v>649</v>
      </c>
    </row>
    <row r="2953">
      <c r="E2953" s="14"/>
      <c r="H2953" s="31" t="s">
        <v>649</v>
      </c>
      <c r="I2953" s="31" t="s">
        <v>649</v>
      </c>
    </row>
    <row r="2954">
      <c r="E2954" s="14"/>
      <c r="H2954" s="31" t="s">
        <v>649</v>
      </c>
      <c r="I2954" s="31" t="s">
        <v>649</v>
      </c>
    </row>
    <row r="2955">
      <c r="E2955" s="14"/>
      <c r="H2955" s="31" t="s">
        <v>649</v>
      </c>
      <c r="I2955" s="31" t="s">
        <v>649</v>
      </c>
    </row>
    <row r="2956">
      <c r="E2956" s="14"/>
      <c r="H2956" s="31" t="s">
        <v>649</v>
      </c>
      <c r="I2956" s="31" t="s">
        <v>649</v>
      </c>
    </row>
    <row r="2957">
      <c r="E2957" s="14"/>
      <c r="H2957" s="31" t="s">
        <v>649</v>
      </c>
      <c r="I2957" s="31" t="s">
        <v>649</v>
      </c>
    </row>
    <row r="2958">
      <c r="E2958" s="14"/>
      <c r="H2958" s="31" t="s">
        <v>649</v>
      </c>
      <c r="I2958" s="31" t="s">
        <v>649</v>
      </c>
    </row>
    <row r="2959">
      <c r="E2959" s="14"/>
      <c r="H2959" s="31" t="s">
        <v>649</v>
      </c>
      <c r="I2959" s="31" t="s">
        <v>649</v>
      </c>
    </row>
    <row r="2960">
      <c r="E2960" s="14"/>
      <c r="H2960" s="31" t="s">
        <v>649</v>
      </c>
      <c r="I2960" s="31" t="s">
        <v>649</v>
      </c>
    </row>
    <row r="2961">
      <c r="E2961" s="14"/>
      <c r="H2961" s="31" t="s">
        <v>649</v>
      </c>
      <c r="I2961" s="31" t="s">
        <v>649</v>
      </c>
    </row>
    <row r="2962">
      <c r="E2962" s="14"/>
      <c r="H2962" s="31" t="s">
        <v>649</v>
      </c>
      <c r="I2962" s="31" t="s">
        <v>649</v>
      </c>
    </row>
    <row r="2963">
      <c r="E2963" s="14"/>
      <c r="H2963" s="31" t="s">
        <v>649</v>
      </c>
      <c r="I2963" s="31" t="s">
        <v>649</v>
      </c>
    </row>
    <row r="2964">
      <c r="E2964" s="14"/>
      <c r="H2964" s="31" t="s">
        <v>649</v>
      </c>
      <c r="I2964" s="31" t="s">
        <v>649</v>
      </c>
    </row>
    <row r="2965">
      <c r="E2965" s="14"/>
      <c r="H2965" s="31" t="s">
        <v>649</v>
      </c>
      <c r="I2965" s="31" t="s">
        <v>649</v>
      </c>
    </row>
    <row r="2966">
      <c r="E2966" s="14"/>
      <c r="H2966" s="31" t="s">
        <v>649</v>
      </c>
      <c r="I2966" s="31" t="s">
        <v>649</v>
      </c>
    </row>
    <row r="2967">
      <c r="E2967" s="14"/>
      <c r="H2967" s="31" t="s">
        <v>649</v>
      </c>
      <c r="I2967" s="31" t="s">
        <v>649</v>
      </c>
    </row>
    <row r="2968">
      <c r="E2968" s="14"/>
      <c r="H2968" s="31" t="s">
        <v>649</v>
      </c>
      <c r="I2968" s="31" t="s">
        <v>649</v>
      </c>
    </row>
    <row r="2969">
      <c r="E2969" s="14"/>
      <c r="H2969" s="31" t="s">
        <v>649</v>
      </c>
      <c r="I2969" s="31" t="s">
        <v>649</v>
      </c>
    </row>
    <row r="2970">
      <c r="E2970" s="14"/>
      <c r="H2970" s="31" t="s">
        <v>649</v>
      </c>
      <c r="I2970" s="31" t="s">
        <v>649</v>
      </c>
    </row>
    <row r="2971">
      <c r="E2971" s="14"/>
      <c r="H2971" s="31" t="s">
        <v>649</v>
      </c>
      <c r="I2971" s="31" t="s">
        <v>649</v>
      </c>
    </row>
    <row r="2972">
      <c r="E2972" s="14"/>
      <c r="H2972" s="31" t="s">
        <v>649</v>
      </c>
      <c r="I2972" s="31" t="s">
        <v>649</v>
      </c>
    </row>
    <row r="2973">
      <c r="E2973" s="14"/>
      <c r="H2973" s="31" t="s">
        <v>649</v>
      </c>
      <c r="I2973" s="31" t="s">
        <v>649</v>
      </c>
    </row>
    <row r="2974">
      <c r="E2974" s="14"/>
      <c r="H2974" s="31" t="s">
        <v>649</v>
      </c>
      <c r="I2974" s="31" t="s">
        <v>649</v>
      </c>
    </row>
    <row r="2975">
      <c r="E2975" s="14"/>
      <c r="H2975" s="31" t="s">
        <v>649</v>
      </c>
      <c r="I2975" s="31" t="s">
        <v>649</v>
      </c>
    </row>
    <row r="2976">
      <c r="E2976" s="14"/>
      <c r="H2976" s="31" t="s">
        <v>649</v>
      </c>
      <c r="I2976" s="31" t="s">
        <v>649</v>
      </c>
    </row>
    <row r="2977">
      <c r="E2977" s="14"/>
      <c r="H2977" s="31" t="s">
        <v>649</v>
      </c>
      <c r="I2977" s="31" t="s">
        <v>649</v>
      </c>
    </row>
    <row r="2978">
      <c r="E2978" s="14"/>
      <c r="H2978" s="31" t="s">
        <v>649</v>
      </c>
      <c r="I2978" s="31" t="s">
        <v>649</v>
      </c>
    </row>
    <row r="2979">
      <c r="E2979" s="14"/>
      <c r="H2979" s="31" t="s">
        <v>649</v>
      </c>
      <c r="I2979" s="31" t="s">
        <v>649</v>
      </c>
    </row>
    <row r="2980">
      <c r="E2980" s="14"/>
      <c r="H2980" s="31" t="s">
        <v>649</v>
      </c>
      <c r="I2980" s="31" t="s">
        <v>649</v>
      </c>
    </row>
    <row r="2981">
      <c r="E2981" s="14"/>
      <c r="H2981" s="31" t="s">
        <v>649</v>
      </c>
      <c r="I2981" s="31" t="s">
        <v>649</v>
      </c>
    </row>
    <row r="2982">
      <c r="E2982" s="14"/>
      <c r="H2982" s="31" t="s">
        <v>649</v>
      </c>
      <c r="I2982" s="31" t="s">
        <v>649</v>
      </c>
    </row>
    <row r="2983">
      <c r="E2983" s="14"/>
      <c r="H2983" s="31" t="s">
        <v>649</v>
      </c>
      <c r="I2983" s="31" t="s">
        <v>649</v>
      </c>
    </row>
    <row r="2984">
      <c r="E2984" s="14"/>
      <c r="H2984" s="31" t="s">
        <v>649</v>
      </c>
      <c r="I2984" s="31" t="s">
        <v>649</v>
      </c>
    </row>
    <row r="2985">
      <c r="E2985" s="14"/>
      <c r="H2985" s="31" t="s">
        <v>649</v>
      </c>
      <c r="I2985" s="31" t="s">
        <v>649</v>
      </c>
    </row>
    <row r="2986">
      <c r="E2986" s="14"/>
      <c r="H2986" s="31" t="s">
        <v>649</v>
      </c>
      <c r="I2986" s="31" t="s">
        <v>649</v>
      </c>
    </row>
    <row r="2987">
      <c r="E2987" s="14"/>
      <c r="H2987" s="31" t="s">
        <v>649</v>
      </c>
      <c r="I2987" s="31" t="s">
        <v>649</v>
      </c>
    </row>
    <row r="2988">
      <c r="E2988" s="14"/>
      <c r="H2988" s="31" t="s">
        <v>649</v>
      </c>
      <c r="I2988" s="31" t="s">
        <v>649</v>
      </c>
    </row>
    <row r="2989">
      <c r="E2989" s="14"/>
      <c r="H2989" s="31" t="s">
        <v>649</v>
      </c>
      <c r="I2989" s="31" t="s">
        <v>649</v>
      </c>
    </row>
    <row r="2990">
      <c r="E2990" s="14"/>
      <c r="H2990" s="31" t="s">
        <v>649</v>
      </c>
      <c r="I2990" s="31" t="s">
        <v>649</v>
      </c>
    </row>
    <row r="2991">
      <c r="E2991" s="14"/>
      <c r="H2991" s="31" t="s">
        <v>649</v>
      </c>
      <c r="I2991" s="31" t="s">
        <v>649</v>
      </c>
    </row>
    <row r="2992">
      <c r="E2992" s="14"/>
      <c r="H2992" s="31" t="s">
        <v>649</v>
      </c>
      <c r="I2992" s="31" t="s">
        <v>649</v>
      </c>
    </row>
    <row r="2993">
      <c r="E2993" s="14"/>
      <c r="H2993" s="31" t="s">
        <v>649</v>
      </c>
      <c r="I2993" s="31" t="s">
        <v>649</v>
      </c>
    </row>
    <row r="2994">
      <c r="E2994" s="14"/>
      <c r="H2994" s="31" t="s">
        <v>649</v>
      </c>
      <c r="I2994" s="31" t="s">
        <v>649</v>
      </c>
    </row>
    <row r="2995">
      <c r="E2995" s="14"/>
      <c r="H2995" s="31" t="s">
        <v>649</v>
      </c>
      <c r="I2995" s="31" t="s">
        <v>649</v>
      </c>
    </row>
    <row r="2996">
      <c r="E2996" s="14"/>
      <c r="H2996" s="31" t="s">
        <v>649</v>
      </c>
      <c r="I2996" s="31" t="s">
        <v>649</v>
      </c>
    </row>
    <row r="2997">
      <c r="E2997" s="14"/>
      <c r="H2997" s="31" t="s">
        <v>649</v>
      </c>
      <c r="I2997" s="31" t="s">
        <v>649</v>
      </c>
    </row>
    <row r="2998">
      <c r="E2998" s="14"/>
      <c r="H2998" s="31" t="s">
        <v>649</v>
      </c>
      <c r="I2998" s="31" t="s">
        <v>649</v>
      </c>
    </row>
    <row r="2999">
      <c r="E2999" s="14"/>
      <c r="H2999" s="31" t="s">
        <v>649</v>
      </c>
      <c r="I2999" s="31" t="s">
        <v>649</v>
      </c>
    </row>
    <row r="3000">
      <c r="E3000" s="14"/>
      <c r="H3000" s="31" t="s">
        <v>649</v>
      </c>
      <c r="I3000" s="31" t="s">
        <v>649</v>
      </c>
    </row>
    <row r="3001">
      <c r="E3001" s="14"/>
      <c r="H3001" s="31" t="s">
        <v>649</v>
      </c>
      <c r="I3001" s="31" t="s">
        <v>649</v>
      </c>
    </row>
    <row r="3002">
      <c r="E3002" s="14"/>
      <c r="H3002" s="31" t="s">
        <v>649</v>
      </c>
      <c r="I3002" s="31" t="s">
        <v>649</v>
      </c>
    </row>
    <row r="3003">
      <c r="E3003" s="14"/>
      <c r="H3003" s="31" t="s">
        <v>649</v>
      </c>
      <c r="I3003" s="31" t="s">
        <v>649</v>
      </c>
    </row>
    <row r="3004">
      <c r="E3004" s="14"/>
      <c r="H3004" s="31" t="s">
        <v>649</v>
      </c>
      <c r="I3004" s="31" t="s">
        <v>649</v>
      </c>
    </row>
    <row r="3005">
      <c r="E3005" s="14"/>
      <c r="H3005" s="31" t="s">
        <v>649</v>
      </c>
      <c r="I3005" s="31" t="s">
        <v>649</v>
      </c>
    </row>
    <row r="3006">
      <c r="E3006" s="14"/>
      <c r="H3006" s="31" t="s">
        <v>649</v>
      </c>
      <c r="I3006" s="31" t="s">
        <v>649</v>
      </c>
    </row>
    <row r="3007">
      <c r="E3007" s="14"/>
      <c r="H3007" s="31" t="s">
        <v>649</v>
      </c>
      <c r="I3007" s="31" t="s">
        <v>649</v>
      </c>
    </row>
    <row r="3008">
      <c r="E3008" s="14"/>
      <c r="H3008" s="31" t="s">
        <v>649</v>
      </c>
      <c r="I3008" s="31" t="s">
        <v>649</v>
      </c>
    </row>
    <row r="3009">
      <c r="E3009" s="14"/>
      <c r="H3009" s="31" t="s">
        <v>649</v>
      </c>
      <c r="I3009" s="31" t="s">
        <v>649</v>
      </c>
    </row>
    <row r="3010">
      <c r="E3010" s="14"/>
      <c r="H3010" s="31" t="s">
        <v>649</v>
      </c>
      <c r="I3010" s="31" t="s">
        <v>649</v>
      </c>
    </row>
    <row r="3011">
      <c r="E3011" s="14"/>
      <c r="H3011" s="31" t="s">
        <v>649</v>
      </c>
      <c r="I3011" s="31" t="s">
        <v>649</v>
      </c>
    </row>
    <row r="3012">
      <c r="E3012" s="14"/>
      <c r="H3012" s="31" t="s">
        <v>649</v>
      </c>
      <c r="I3012" s="31" t="s">
        <v>649</v>
      </c>
    </row>
    <row r="3013">
      <c r="E3013" s="14"/>
      <c r="H3013" s="31" t="s">
        <v>649</v>
      </c>
      <c r="I3013" s="31" t="s">
        <v>649</v>
      </c>
    </row>
    <row r="3014">
      <c r="E3014" s="14"/>
      <c r="H3014" s="31" t="s">
        <v>649</v>
      </c>
      <c r="I3014" s="31" t="s">
        <v>649</v>
      </c>
    </row>
    <row r="3015">
      <c r="E3015" s="14"/>
      <c r="H3015" s="31" t="s">
        <v>649</v>
      </c>
      <c r="I3015" s="31" t="s">
        <v>649</v>
      </c>
    </row>
    <row r="3016">
      <c r="E3016" s="14"/>
      <c r="H3016" s="31" t="s">
        <v>649</v>
      </c>
      <c r="I3016" s="31" t="s">
        <v>649</v>
      </c>
    </row>
    <row r="3017">
      <c r="E3017" s="14"/>
      <c r="H3017" s="31" t="s">
        <v>649</v>
      </c>
      <c r="I3017" s="31" t="s">
        <v>649</v>
      </c>
    </row>
    <row r="3018">
      <c r="E3018" s="14"/>
      <c r="H3018" s="31" t="s">
        <v>649</v>
      </c>
      <c r="I3018" s="31" t="s">
        <v>649</v>
      </c>
    </row>
    <row r="3019">
      <c r="E3019" s="14"/>
      <c r="H3019" s="31" t="s">
        <v>649</v>
      </c>
      <c r="I3019" s="31" t="s">
        <v>649</v>
      </c>
    </row>
    <row r="3020">
      <c r="E3020" s="14"/>
      <c r="H3020" s="31" t="s">
        <v>649</v>
      </c>
      <c r="I3020" s="31" t="s">
        <v>649</v>
      </c>
    </row>
    <row r="3021">
      <c r="E3021" s="14"/>
      <c r="H3021" s="31" t="s">
        <v>649</v>
      </c>
      <c r="I3021" s="31" t="s">
        <v>649</v>
      </c>
    </row>
    <row r="3022">
      <c r="E3022" s="14"/>
      <c r="H3022" s="31" t="s">
        <v>649</v>
      </c>
      <c r="I3022" s="31" t="s">
        <v>649</v>
      </c>
    </row>
    <row r="3023">
      <c r="E3023" s="14"/>
      <c r="H3023" s="31" t="s">
        <v>649</v>
      </c>
      <c r="I3023" s="31" t="s">
        <v>649</v>
      </c>
    </row>
    <row r="3024">
      <c r="E3024" s="14"/>
      <c r="H3024" s="31" t="s">
        <v>649</v>
      </c>
      <c r="I3024" s="31" t="s">
        <v>649</v>
      </c>
    </row>
    <row r="3025">
      <c r="E3025" s="14"/>
      <c r="H3025" s="31" t="s">
        <v>649</v>
      </c>
      <c r="I3025" s="31" t="s">
        <v>649</v>
      </c>
    </row>
    <row r="3026">
      <c r="E3026" s="14"/>
      <c r="H3026" s="31" t="s">
        <v>649</v>
      </c>
      <c r="I3026" s="31" t="s">
        <v>649</v>
      </c>
    </row>
    <row r="3027">
      <c r="E3027" s="14"/>
      <c r="H3027" s="31" t="s">
        <v>649</v>
      </c>
      <c r="I3027" s="31" t="s">
        <v>649</v>
      </c>
    </row>
    <row r="3028">
      <c r="E3028" s="14"/>
      <c r="H3028" s="31" t="s">
        <v>649</v>
      </c>
      <c r="I3028" s="31" t="s">
        <v>649</v>
      </c>
    </row>
    <row r="3029">
      <c r="E3029" s="14"/>
      <c r="H3029" s="31" t="s">
        <v>649</v>
      </c>
      <c r="I3029" s="31" t="s">
        <v>649</v>
      </c>
    </row>
    <row r="3030">
      <c r="E3030" s="14"/>
      <c r="H3030" s="31" t="s">
        <v>649</v>
      </c>
      <c r="I3030" s="31" t="s">
        <v>649</v>
      </c>
    </row>
    <row r="3031">
      <c r="E3031" s="14"/>
      <c r="H3031" s="31" t="s">
        <v>649</v>
      </c>
      <c r="I3031" s="31" t="s">
        <v>649</v>
      </c>
    </row>
    <row r="3032">
      <c r="E3032" s="14"/>
      <c r="H3032" s="31" t="s">
        <v>649</v>
      </c>
      <c r="I3032" s="31" t="s">
        <v>649</v>
      </c>
    </row>
    <row r="3033">
      <c r="E3033" s="14"/>
      <c r="H3033" s="31" t="s">
        <v>649</v>
      </c>
      <c r="I3033" s="31" t="s">
        <v>649</v>
      </c>
    </row>
    <row r="3034">
      <c r="E3034" s="14"/>
      <c r="H3034" s="31" t="s">
        <v>649</v>
      </c>
      <c r="I3034" s="31" t="s">
        <v>649</v>
      </c>
    </row>
    <row r="3035">
      <c r="E3035" s="14"/>
      <c r="H3035" s="31" t="s">
        <v>649</v>
      </c>
      <c r="I3035" s="31" t="s">
        <v>649</v>
      </c>
    </row>
    <row r="3036">
      <c r="E3036" s="14"/>
      <c r="H3036" s="31" t="s">
        <v>649</v>
      </c>
      <c r="I3036" s="31" t="s">
        <v>649</v>
      </c>
    </row>
    <row r="3037">
      <c r="E3037" s="14"/>
      <c r="H3037" s="31" t="s">
        <v>649</v>
      </c>
      <c r="I3037" s="31" t="s">
        <v>649</v>
      </c>
    </row>
    <row r="3038">
      <c r="E3038" s="14"/>
      <c r="H3038" s="31" t="s">
        <v>649</v>
      </c>
      <c r="I3038" s="31" t="s">
        <v>649</v>
      </c>
    </row>
    <row r="3039">
      <c r="E3039" s="14"/>
      <c r="H3039" s="31" t="s">
        <v>649</v>
      </c>
      <c r="I3039" s="31" t="s">
        <v>649</v>
      </c>
    </row>
    <row r="3040">
      <c r="E3040" s="14"/>
      <c r="H3040" s="31" t="s">
        <v>649</v>
      </c>
      <c r="I3040" s="31" t="s">
        <v>649</v>
      </c>
    </row>
    <row r="3041">
      <c r="E3041" s="14"/>
      <c r="H3041" s="31" t="s">
        <v>649</v>
      </c>
      <c r="I3041" s="31" t="s">
        <v>649</v>
      </c>
    </row>
    <row r="3042">
      <c r="E3042" s="14"/>
      <c r="H3042" s="31" t="s">
        <v>649</v>
      </c>
      <c r="I3042" s="31" t="s">
        <v>649</v>
      </c>
    </row>
    <row r="3043">
      <c r="E3043" s="14"/>
      <c r="H3043" s="31" t="s">
        <v>649</v>
      </c>
      <c r="I3043" s="31" t="s">
        <v>649</v>
      </c>
    </row>
    <row r="3044">
      <c r="E3044" s="14"/>
      <c r="H3044" s="31" t="s">
        <v>649</v>
      </c>
      <c r="I3044" s="31" t="s">
        <v>649</v>
      </c>
    </row>
    <row r="3045">
      <c r="E3045" s="14"/>
      <c r="H3045" s="31" t="s">
        <v>649</v>
      </c>
      <c r="I3045" s="31" t="s">
        <v>649</v>
      </c>
    </row>
    <row r="3046">
      <c r="E3046" s="14"/>
      <c r="H3046" s="31" t="s">
        <v>649</v>
      </c>
      <c r="I3046" s="31" t="s">
        <v>649</v>
      </c>
    </row>
    <row r="3047">
      <c r="E3047" s="14"/>
      <c r="H3047" s="31" t="s">
        <v>649</v>
      </c>
      <c r="I3047" s="31" t="s">
        <v>649</v>
      </c>
    </row>
    <row r="3048">
      <c r="E3048" s="14"/>
      <c r="H3048" s="31" t="s">
        <v>649</v>
      </c>
      <c r="I3048" s="31" t="s">
        <v>649</v>
      </c>
    </row>
    <row r="3049">
      <c r="E3049" s="14"/>
      <c r="H3049" s="31" t="s">
        <v>649</v>
      </c>
      <c r="I3049" s="31" t="s">
        <v>649</v>
      </c>
    </row>
    <row r="3050">
      <c r="E3050" s="14"/>
      <c r="H3050" s="31" t="s">
        <v>649</v>
      </c>
      <c r="I3050" s="31" t="s">
        <v>649</v>
      </c>
    </row>
    <row r="3051">
      <c r="E3051" s="14"/>
      <c r="H3051" s="31" t="s">
        <v>649</v>
      </c>
      <c r="I3051" s="31" t="s">
        <v>649</v>
      </c>
    </row>
    <row r="3052">
      <c r="E3052" s="14"/>
      <c r="H3052" s="31" t="s">
        <v>649</v>
      </c>
      <c r="I3052" s="31" t="s">
        <v>649</v>
      </c>
    </row>
    <row r="3053">
      <c r="E3053" s="14"/>
      <c r="H3053" s="31" t="s">
        <v>649</v>
      </c>
      <c r="I3053" s="31" t="s">
        <v>649</v>
      </c>
    </row>
    <row r="3054">
      <c r="E3054" s="14"/>
      <c r="H3054" s="31" t="s">
        <v>649</v>
      </c>
      <c r="I3054" s="31" t="s">
        <v>649</v>
      </c>
    </row>
    <row r="3055">
      <c r="E3055" s="14"/>
      <c r="H3055" s="31" t="s">
        <v>649</v>
      </c>
      <c r="I3055" s="31" t="s">
        <v>649</v>
      </c>
    </row>
    <row r="3056">
      <c r="E3056" s="14"/>
      <c r="H3056" s="31" t="s">
        <v>649</v>
      </c>
      <c r="I3056" s="31" t="s">
        <v>649</v>
      </c>
    </row>
    <row r="3057">
      <c r="E3057" s="14"/>
      <c r="H3057" s="31" t="s">
        <v>649</v>
      </c>
      <c r="I3057" s="31" t="s">
        <v>649</v>
      </c>
    </row>
    <row r="3058">
      <c r="E3058" s="14"/>
      <c r="H3058" s="31" t="s">
        <v>649</v>
      </c>
      <c r="I3058" s="31" t="s">
        <v>649</v>
      </c>
    </row>
    <row r="3059">
      <c r="E3059" s="14"/>
      <c r="H3059" s="31" t="s">
        <v>649</v>
      </c>
      <c r="I3059" s="31" t="s">
        <v>649</v>
      </c>
    </row>
    <row r="3060">
      <c r="E3060" s="14"/>
      <c r="H3060" s="31" t="s">
        <v>649</v>
      </c>
      <c r="I3060" s="31" t="s">
        <v>649</v>
      </c>
    </row>
    <row r="3061">
      <c r="E3061" s="14"/>
      <c r="H3061" s="31" t="s">
        <v>649</v>
      </c>
      <c r="I3061" s="31" t="s">
        <v>649</v>
      </c>
    </row>
    <row r="3062">
      <c r="E3062" s="14"/>
      <c r="H3062" s="31" t="s">
        <v>649</v>
      </c>
      <c r="I3062" s="31" t="s">
        <v>649</v>
      </c>
    </row>
    <row r="3063">
      <c r="E3063" s="14"/>
      <c r="H3063" s="31" t="s">
        <v>649</v>
      </c>
      <c r="I3063" s="31" t="s">
        <v>649</v>
      </c>
    </row>
    <row r="3064">
      <c r="E3064" s="14"/>
      <c r="H3064" s="31" t="s">
        <v>649</v>
      </c>
      <c r="I3064" s="31" t="s">
        <v>649</v>
      </c>
    </row>
    <row r="3065">
      <c r="E3065" s="14"/>
      <c r="H3065" s="31" t="s">
        <v>649</v>
      </c>
      <c r="I3065" s="31" t="s">
        <v>649</v>
      </c>
    </row>
    <row r="3066">
      <c r="E3066" s="14"/>
      <c r="H3066" s="31" t="s">
        <v>649</v>
      </c>
      <c r="I3066" s="31" t="s">
        <v>649</v>
      </c>
    </row>
    <row r="3067">
      <c r="E3067" s="14"/>
      <c r="H3067" s="31" t="s">
        <v>649</v>
      </c>
      <c r="I3067" s="31" t="s">
        <v>649</v>
      </c>
    </row>
    <row r="3068">
      <c r="E3068" s="14"/>
      <c r="H3068" s="31" t="s">
        <v>649</v>
      </c>
      <c r="I3068" s="31" t="s">
        <v>649</v>
      </c>
    </row>
    <row r="3069">
      <c r="E3069" s="14"/>
      <c r="H3069" s="31" t="s">
        <v>649</v>
      </c>
      <c r="I3069" s="31" t="s">
        <v>649</v>
      </c>
    </row>
    <row r="3070">
      <c r="E3070" s="14"/>
      <c r="H3070" s="31" t="s">
        <v>649</v>
      </c>
      <c r="I3070" s="31" t="s">
        <v>649</v>
      </c>
    </row>
    <row r="3071">
      <c r="E3071" s="14"/>
      <c r="H3071" s="31" t="s">
        <v>649</v>
      </c>
      <c r="I3071" s="31" t="s">
        <v>649</v>
      </c>
    </row>
    <row r="3072">
      <c r="E3072" s="14"/>
      <c r="H3072" s="31" t="s">
        <v>649</v>
      </c>
      <c r="I3072" s="31" t="s">
        <v>649</v>
      </c>
    </row>
    <row r="3073">
      <c r="E3073" s="14"/>
      <c r="H3073" s="31" t="s">
        <v>649</v>
      </c>
      <c r="I3073" s="31" t="s">
        <v>649</v>
      </c>
    </row>
    <row r="3074">
      <c r="E3074" s="14"/>
      <c r="H3074" s="31" t="s">
        <v>649</v>
      </c>
      <c r="I3074" s="31" t="s">
        <v>649</v>
      </c>
    </row>
    <row r="3075">
      <c r="E3075" s="14"/>
      <c r="H3075" s="31" t="s">
        <v>649</v>
      </c>
      <c r="I3075" s="31" t="s">
        <v>649</v>
      </c>
    </row>
    <row r="3076">
      <c r="E3076" s="14"/>
      <c r="H3076" s="31" t="s">
        <v>649</v>
      </c>
      <c r="I3076" s="31" t="s">
        <v>649</v>
      </c>
    </row>
    <row r="3077">
      <c r="E3077" s="14"/>
      <c r="H3077" s="31" t="s">
        <v>649</v>
      </c>
      <c r="I3077" s="31" t="s">
        <v>649</v>
      </c>
    </row>
    <row r="3078">
      <c r="E3078" s="14"/>
      <c r="H3078" s="31" t="s">
        <v>649</v>
      </c>
      <c r="I3078" s="31" t="s">
        <v>649</v>
      </c>
    </row>
    <row r="3079">
      <c r="E3079" s="14"/>
      <c r="H3079" s="31" t="s">
        <v>649</v>
      </c>
      <c r="I3079" s="31" t="s">
        <v>649</v>
      </c>
    </row>
    <row r="3080">
      <c r="E3080" s="14"/>
      <c r="H3080" s="31" t="s">
        <v>649</v>
      </c>
      <c r="I3080" s="31" t="s">
        <v>649</v>
      </c>
    </row>
    <row r="3081">
      <c r="E3081" s="14"/>
      <c r="H3081" s="31" t="s">
        <v>649</v>
      </c>
      <c r="I3081" s="31" t="s">
        <v>649</v>
      </c>
    </row>
    <row r="3082">
      <c r="E3082" s="14"/>
      <c r="H3082" s="31" t="s">
        <v>649</v>
      </c>
      <c r="I3082" s="31" t="s">
        <v>649</v>
      </c>
    </row>
    <row r="3083">
      <c r="E3083" s="14"/>
      <c r="H3083" s="31" t="s">
        <v>649</v>
      </c>
      <c r="I3083" s="31" t="s">
        <v>649</v>
      </c>
    </row>
    <row r="3084">
      <c r="E3084" s="14"/>
      <c r="H3084" s="31" t="s">
        <v>649</v>
      </c>
      <c r="I3084" s="31" t="s">
        <v>649</v>
      </c>
    </row>
    <row r="3085">
      <c r="E3085" s="14"/>
      <c r="H3085" s="31" t="s">
        <v>649</v>
      </c>
      <c r="I3085" s="31" t="s">
        <v>649</v>
      </c>
    </row>
    <row r="3086">
      <c r="E3086" s="14"/>
      <c r="H3086" s="31" t="s">
        <v>649</v>
      </c>
      <c r="I3086" s="31" t="s">
        <v>649</v>
      </c>
    </row>
    <row r="3087">
      <c r="E3087" s="14"/>
      <c r="H3087" s="31" t="s">
        <v>649</v>
      </c>
      <c r="I3087" s="31" t="s">
        <v>649</v>
      </c>
    </row>
    <row r="3088">
      <c r="E3088" s="14"/>
      <c r="H3088" s="31" t="s">
        <v>649</v>
      </c>
      <c r="I3088" s="31" t="s">
        <v>649</v>
      </c>
    </row>
    <row r="3089">
      <c r="E3089" s="14"/>
      <c r="H3089" s="31" t="s">
        <v>649</v>
      </c>
      <c r="I3089" s="31" t="s">
        <v>649</v>
      </c>
    </row>
    <row r="3090">
      <c r="E3090" s="14"/>
      <c r="H3090" s="31" t="s">
        <v>649</v>
      </c>
      <c r="I3090" s="31" t="s">
        <v>649</v>
      </c>
    </row>
    <row r="3091">
      <c r="E3091" s="14"/>
      <c r="H3091" s="31" t="s">
        <v>649</v>
      </c>
      <c r="I3091" s="31" t="s">
        <v>649</v>
      </c>
    </row>
    <row r="3092">
      <c r="E3092" s="14"/>
      <c r="H3092" s="31" t="s">
        <v>649</v>
      </c>
      <c r="I3092" s="31" t="s">
        <v>649</v>
      </c>
    </row>
    <row r="3093">
      <c r="E3093" s="14"/>
      <c r="H3093" s="31" t="s">
        <v>649</v>
      </c>
      <c r="I3093" s="31" t="s">
        <v>649</v>
      </c>
    </row>
    <row r="3094">
      <c r="E3094" s="14"/>
      <c r="H3094" s="31" t="s">
        <v>649</v>
      </c>
      <c r="I3094" s="31" t="s">
        <v>649</v>
      </c>
    </row>
    <row r="3095">
      <c r="E3095" s="14"/>
      <c r="H3095" s="31" t="s">
        <v>649</v>
      </c>
      <c r="I3095" s="31" t="s">
        <v>649</v>
      </c>
    </row>
    <row r="3096">
      <c r="E3096" s="14"/>
      <c r="H3096" s="31" t="s">
        <v>649</v>
      </c>
      <c r="I3096" s="31" t="s">
        <v>649</v>
      </c>
    </row>
    <row r="3097">
      <c r="E3097" s="14"/>
      <c r="H3097" s="31" t="s">
        <v>649</v>
      </c>
      <c r="I3097" s="31" t="s">
        <v>649</v>
      </c>
    </row>
    <row r="3098">
      <c r="E3098" s="14"/>
      <c r="H3098" s="31" t="s">
        <v>649</v>
      </c>
      <c r="I3098" s="31" t="s">
        <v>649</v>
      </c>
    </row>
    <row r="3099">
      <c r="E3099" s="14"/>
      <c r="H3099" s="31" t="s">
        <v>649</v>
      </c>
      <c r="I3099" s="31" t="s">
        <v>649</v>
      </c>
    </row>
    <row r="3100">
      <c r="E3100" s="14"/>
      <c r="H3100" s="31" t="s">
        <v>649</v>
      </c>
      <c r="I3100" s="31" t="s">
        <v>649</v>
      </c>
    </row>
    <row r="3101">
      <c r="E3101" s="14"/>
      <c r="H3101" s="31" t="s">
        <v>649</v>
      </c>
      <c r="I3101" s="31" t="s">
        <v>649</v>
      </c>
    </row>
    <row r="3102">
      <c r="E3102" s="14"/>
      <c r="H3102" s="31" t="s">
        <v>649</v>
      </c>
      <c r="I3102" s="31" t="s">
        <v>649</v>
      </c>
    </row>
    <row r="3103">
      <c r="E3103" s="14"/>
      <c r="H3103" s="31" t="s">
        <v>649</v>
      </c>
      <c r="I3103" s="31" t="s">
        <v>649</v>
      </c>
    </row>
    <row r="3104">
      <c r="E3104" s="14"/>
      <c r="H3104" s="31" t="s">
        <v>649</v>
      </c>
      <c r="I3104" s="31" t="s">
        <v>649</v>
      </c>
    </row>
    <row r="3105">
      <c r="E3105" s="14"/>
      <c r="H3105" s="31" t="s">
        <v>649</v>
      </c>
      <c r="I3105" s="31" t="s">
        <v>649</v>
      </c>
    </row>
    <row r="3106">
      <c r="E3106" s="14"/>
      <c r="H3106" s="31" t="s">
        <v>649</v>
      </c>
      <c r="I3106" s="31" t="s">
        <v>649</v>
      </c>
    </row>
    <row r="3107">
      <c r="E3107" s="14"/>
      <c r="H3107" s="31" t="s">
        <v>649</v>
      </c>
      <c r="I3107" s="31" t="s">
        <v>649</v>
      </c>
    </row>
    <row r="3108">
      <c r="E3108" s="14"/>
      <c r="H3108" s="31" t="s">
        <v>649</v>
      </c>
      <c r="I3108" s="31" t="s">
        <v>649</v>
      </c>
    </row>
    <row r="3109">
      <c r="E3109" s="14"/>
      <c r="H3109" s="31" t="s">
        <v>649</v>
      </c>
      <c r="I3109" s="31" t="s">
        <v>649</v>
      </c>
    </row>
    <row r="3110">
      <c r="E3110" s="14"/>
      <c r="H3110" s="31" t="s">
        <v>649</v>
      </c>
      <c r="I3110" s="31" t="s">
        <v>649</v>
      </c>
    </row>
    <row r="3111">
      <c r="E3111" s="14"/>
      <c r="H3111" s="31" t="s">
        <v>649</v>
      </c>
      <c r="I3111" s="31" t="s">
        <v>649</v>
      </c>
    </row>
    <row r="3112">
      <c r="E3112" s="14"/>
      <c r="H3112" s="31" t="s">
        <v>649</v>
      </c>
      <c r="I3112" s="31" t="s">
        <v>649</v>
      </c>
    </row>
    <row r="3113">
      <c r="E3113" s="14"/>
      <c r="H3113" s="31" t="s">
        <v>649</v>
      </c>
      <c r="I3113" s="31" t="s">
        <v>649</v>
      </c>
    </row>
    <row r="3114">
      <c r="E3114" s="14"/>
      <c r="H3114" s="31" t="s">
        <v>649</v>
      </c>
      <c r="I3114" s="31" t="s">
        <v>649</v>
      </c>
    </row>
    <row r="3115">
      <c r="E3115" s="14"/>
      <c r="H3115" s="31" t="s">
        <v>649</v>
      </c>
      <c r="I3115" s="31" t="s">
        <v>649</v>
      </c>
    </row>
    <row r="3116">
      <c r="E3116" s="14"/>
      <c r="H3116" s="31" t="s">
        <v>649</v>
      </c>
      <c r="I3116" s="31" t="s">
        <v>649</v>
      </c>
    </row>
    <row r="3117">
      <c r="E3117" s="14"/>
      <c r="H3117" s="31" t="s">
        <v>649</v>
      </c>
      <c r="I3117" s="31" t="s">
        <v>649</v>
      </c>
    </row>
    <row r="3118">
      <c r="E3118" s="14"/>
      <c r="H3118" s="31" t="s">
        <v>649</v>
      </c>
      <c r="I3118" s="31" t="s">
        <v>649</v>
      </c>
    </row>
    <row r="3119">
      <c r="E3119" s="14"/>
      <c r="H3119" s="31" t="s">
        <v>649</v>
      </c>
      <c r="I3119" s="31" t="s">
        <v>649</v>
      </c>
    </row>
    <row r="3120">
      <c r="E3120" s="14"/>
      <c r="H3120" s="31" t="s">
        <v>649</v>
      </c>
      <c r="I3120" s="31" t="s">
        <v>649</v>
      </c>
    </row>
    <row r="3121">
      <c r="E3121" s="14"/>
      <c r="H3121" s="31" t="s">
        <v>649</v>
      </c>
      <c r="I3121" s="31" t="s">
        <v>649</v>
      </c>
    </row>
    <row r="3122">
      <c r="E3122" s="14"/>
      <c r="H3122" s="31" t="s">
        <v>649</v>
      </c>
      <c r="I3122" s="31" t="s">
        <v>649</v>
      </c>
    </row>
    <row r="3123">
      <c r="E3123" s="14"/>
      <c r="H3123" s="31" t="s">
        <v>649</v>
      </c>
      <c r="I3123" s="31" t="s">
        <v>649</v>
      </c>
    </row>
    <row r="3124">
      <c r="E3124" s="14"/>
      <c r="H3124" s="31" t="s">
        <v>649</v>
      </c>
      <c r="I3124" s="31" t="s">
        <v>649</v>
      </c>
    </row>
    <row r="3125">
      <c r="E3125" s="14"/>
      <c r="H3125" s="31" t="s">
        <v>649</v>
      </c>
      <c r="I3125" s="31" t="s">
        <v>649</v>
      </c>
    </row>
    <row r="3126">
      <c r="E3126" s="14"/>
      <c r="H3126" s="31" t="s">
        <v>649</v>
      </c>
      <c r="I3126" s="31" t="s">
        <v>649</v>
      </c>
    </row>
    <row r="3127">
      <c r="E3127" s="14"/>
      <c r="H3127" s="31" t="s">
        <v>649</v>
      </c>
      <c r="I3127" s="31" t="s">
        <v>649</v>
      </c>
    </row>
    <row r="3128">
      <c r="E3128" s="14"/>
      <c r="H3128" s="31" t="s">
        <v>649</v>
      </c>
      <c r="I3128" s="31" t="s">
        <v>649</v>
      </c>
    </row>
    <row r="3129">
      <c r="E3129" s="14"/>
      <c r="H3129" s="31" t="s">
        <v>649</v>
      </c>
      <c r="I3129" s="31" t="s">
        <v>649</v>
      </c>
    </row>
    <row r="3130">
      <c r="E3130" s="14"/>
      <c r="H3130" s="31" t="s">
        <v>649</v>
      </c>
      <c r="I3130" s="31" t="s">
        <v>649</v>
      </c>
    </row>
    <row r="3131">
      <c r="E3131" s="14"/>
      <c r="H3131" s="31" t="s">
        <v>649</v>
      </c>
      <c r="I3131" s="31" t="s">
        <v>649</v>
      </c>
    </row>
    <row r="3132">
      <c r="E3132" s="14"/>
      <c r="H3132" s="31" t="s">
        <v>649</v>
      </c>
      <c r="I3132" s="31" t="s">
        <v>649</v>
      </c>
    </row>
    <row r="3133">
      <c r="E3133" s="14"/>
      <c r="H3133" s="31" t="s">
        <v>649</v>
      </c>
      <c r="I3133" s="31" t="s">
        <v>649</v>
      </c>
    </row>
    <row r="3134">
      <c r="E3134" s="14"/>
      <c r="H3134" s="31" t="s">
        <v>649</v>
      </c>
      <c r="I3134" s="31" t="s">
        <v>649</v>
      </c>
    </row>
    <row r="3135">
      <c r="E3135" s="14"/>
      <c r="H3135" s="31" t="s">
        <v>649</v>
      </c>
      <c r="I3135" s="31" t="s">
        <v>649</v>
      </c>
    </row>
    <row r="3136">
      <c r="E3136" s="14"/>
      <c r="H3136" s="31" t="s">
        <v>649</v>
      </c>
      <c r="I3136" s="31" t="s">
        <v>649</v>
      </c>
    </row>
    <row r="3137">
      <c r="E3137" s="14"/>
      <c r="H3137" s="31" t="s">
        <v>649</v>
      </c>
      <c r="I3137" s="31" t="s">
        <v>649</v>
      </c>
    </row>
    <row r="3138">
      <c r="E3138" s="14"/>
      <c r="H3138" s="31" t="s">
        <v>649</v>
      </c>
      <c r="I3138" s="31" t="s">
        <v>649</v>
      </c>
    </row>
    <row r="3139">
      <c r="E3139" s="14"/>
      <c r="H3139" s="31" t="s">
        <v>649</v>
      </c>
      <c r="I3139" s="31" t="s">
        <v>649</v>
      </c>
    </row>
    <row r="3140">
      <c r="E3140" s="14"/>
      <c r="H3140" s="31" t="s">
        <v>649</v>
      </c>
      <c r="I3140" s="31" t="s">
        <v>649</v>
      </c>
    </row>
    <row r="3141">
      <c r="E3141" s="14"/>
      <c r="H3141" s="31" t="s">
        <v>649</v>
      </c>
      <c r="I3141" s="31" t="s">
        <v>649</v>
      </c>
    </row>
    <row r="3142">
      <c r="E3142" s="14"/>
      <c r="H3142" s="31" t="s">
        <v>649</v>
      </c>
      <c r="I3142" s="31" t="s">
        <v>649</v>
      </c>
    </row>
    <row r="3143">
      <c r="E3143" s="14"/>
      <c r="H3143" s="31" t="s">
        <v>649</v>
      </c>
      <c r="I3143" s="31" t="s">
        <v>649</v>
      </c>
    </row>
    <row r="3144">
      <c r="E3144" s="14"/>
      <c r="H3144" s="31" t="s">
        <v>649</v>
      </c>
      <c r="I3144" s="31" t="s">
        <v>649</v>
      </c>
    </row>
    <row r="3145">
      <c r="E3145" s="14"/>
      <c r="H3145" s="31" t="s">
        <v>649</v>
      </c>
      <c r="I3145" s="31" t="s">
        <v>649</v>
      </c>
    </row>
    <row r="3146">
      <c r="E3146" s="14"/>
      <c r="H3146" s="31" t="s">
        <v>649</v>
      </c>
      <c r="I3146" s="31" t="s">
        <v>649</v>
      </c>
    </row>
    <row r="3147">
      <c r="E3147" s="14"/>
      <c r="H3147" s="31" t="s">
        <v>649</v>
      </c>
      <c r="I3147" s="31" t="s">
        <v>649</v>
      </c>
    </row>
    <row r="3148">
      <c r="E3148" s="14"/>
      <c r="H3148" s="31" t="s">
        <v>649</v>
      </c>
      <c r="I3148" s="31" t="s">
        <v>649</v>
      </c>
    </row>
    <row r="3149">
      <c r="E3149" s="14"/>
      <c r="H3149" s="31" t="s">
        <v>649</v>
      </c>
      <c r="I3149" s="31" t="s">
        <v>649</v>
      </c>
    </row>
    <row r="3150">
      <c r="E3150" s="14"/>
      <c r="H3150" s="31" t="s">
        <v>649</v>
      </c>
      <c r="I3150" s="31" t="s">
        <v>649</v>
      </c>
    </row>
    <row r="3151">
      <c r="E3151" s="14"/>
      <c r="H3151" s="31" t="s">
        <v>649</v>
      </c>
      <c r="I3151" s="31" t="s">
        <v>649</v>
      </c>
    </row>
    <row r="3152">
      <c r="E3152" s="14"/>
      <c r="H3152" s="31" t="s">
        <v>649</v>
      </c>
      <c r="I3152" s="31" t="s">
        <v>649</v>
      </c>
    </row>
    <row r="3153">
      <c r="E3153" s="14"/>
      <c r="H3153" s="31" t="s">
        <v>649</v>
      </c>
      <c r="I3153" s="31" t="s">
        <v>649</v>
      </c>
    </row>
    <row r="3154">
      <c r="E3154" s="14"/>
      <c r="H3154" s="31" t="s">
        <v>649</v>
      </c>
      <c r="I3154" s="31" t="s">
        <v>649</v>
      </c>
    </row>
    <row r="3155">
      <c r="E3155" s="14"/>
      <c r="H3155" s="31" t="s">
        <v>649</v>
      </c>
      <c r="I3155" s="31" t="s">
        <v>649</v>
      </c>
    </row>
    <row r="3156">
      <c r="E3156" s="14"/>
      <c r="H3156" s="31" t="s">
        <v>649</v>
      </c>
      <c r="I3156" s="31" t="s">
        <v>649</v>
      </c>
    </row>
    <row r="3157">
      <c r="E3157" s="14"/>
      <c r="H3157" s="31" t="s">
        <v>649</v>
      </c>
      <c r="I3157" s="31" t="s">
        <v>649</v>
      </c>
    </row>
    <row r="3158">
      <c r="E3158" s="14"/>
      <c r="H3158" s="31" t="s">
        <v>649</v>
      </c>
      <c r="I3158" s="31" t="s">
        <v>649</v>
      </c>
    </row>
    <row r="3159">
      <c r="E3159" s="14"/>
      <c r="H3159" s="31" t="s">
        <v>649</v>
      </c>
      <c r="I3159" s="31" t="s">
        <v>649</v>
      </c>
    </row>
    <row r="3160">
      <c r="E3160" s="14"/>
      <c r="H3160" s="31" t="s">
        <v>649</v>
      </c>
      <c r="I3160" s="31" t="s">
        <v>649</v>
      </c>
    </row>
    <row r="3161">
      <c r="E3161" s="14"/>
      <c r="H3161" s="31" t="s">
        <v>649</v>
      </c>
      <c r="I3161" s="31" t="s">
        <v>649</v>
      </c>
    </row>
    <row r="3162">
      <c r="E3162" s="14"/>
      <c r="H3162" s="31" t="s">
        <v>649</v>
      </c>
      <c r="I3162" s="31" t="s">
        <v>649</v>
      </c>
    </row>
    <row r="3163">
      <c r="E3163" s="14"/>
      <c r="H3163" s="31" t="s">
        <v>649</v>
      </c>
      <c r="I3163" s="31" t="s">
        <v>649</v>
      </c>
    </row>
    <row r="3164">
      <c r="E3164" s="14"/>
      <c r="H3164" s="31" t="s">
        <v>649</v>
      </c>
      <c r="I3164" s="31" t="s">
        <v>649</v>
      </c>
    </row>
    <row r="3165">
      <c r="E3165" s="14"/>
      <c r="H3165" s="31" t="s">
        <v>649</v>
      </c>
      <c r="I3165" s="31" t="s">
        <v>649</v>
      </c>
    </row>
    <row r="3166">
      <c r="E3166" s="14"/>
      <c r="H3166" s="31" t="s">
        <v>649</v>
      </c>
      <c r="I3166" s="31" t="s">
        <v>649</v>
      </c>
    </row>
    <row r="3167">
      <c r="E3167" s="14"/>
      <c r="H3167" s="31" t="s">
        <v>649</v>
      </c>
      <c r="I3167" s="31" t="s">
        <v>649</v>
      </c>
    </row>
    <row r="3168">
      <c r="E3168" s="14"/>
      <c r="H3168" s="31" t="s">
        <v>649</v>
      </c>
      <c r="I3168" s="31" t="s">
        <v>649</v>
      </c>
    </row>
    <row r="3169">
      <c r="E3169" s="14"/>
      <c r="H3169" s="31" t="s">
        <v>649</v>
      </c>
      <c r="I3169" s="31" t="s">
        <v>649</v>
      </c>
    </row>
    <row r="3170">
      <c r="E3170" s="14"/>
      <c r="H3170" s="31" t="s">
        <v>649</v>
      </c>
      <c r="I3170" s="31" t="s">
        <v>649</v>
      </c>
    </row>
    <row r="3171">
      <c r="E3171" s="14"/>
      <c r="H3171" s="31" t="s">
        <v>649</v>
      </c>
      <c r="I3171" s="31" t="s">
        <v>649</v>
      </c>
    </row>
    <row r="3172">
      <c r="E3172" s="14"/>
      <c r="H3172" s="31" t="s">
        <v>649</v>
      </c>
      <c r="I3172" s="31" t="s">
        <v>649</v>
      </c>
    </row>
    <row r="3173">
      <c r="E3173" s="14"/>
      <c r="H3173" s="31" t="s">
        <v>649</v>
      </c>
      <c r="I3173" s="31" t="s">
        <v>649</v>
      </c>
    </row>
    <row r="3174">
      <c r="E3174" s="14"/>
      <c r="H3174" s="31" t="s">
        <v>649</v>
      </c>
      <c r="I3174" s="31" t="s">
        <v>649</v>
      </c>
    </row>
    <row r="3175">
      <c r="E3175" s="14"/>
      <c r="H3175" s="31" t="s">
        <v>649</v>
      </c>
      <c r="I3175" s="31" t="s">
        <v>649</v>
      </c>
    </row>
    <row r="3176">
      <c r="E3176" s="14"/>
      <c r="H3176" s="31" t="s">
        <v>649</v>
      </c>
      <c r="I3176" s="31" t="s">
        <v>649</v>
      </c>
    </row>
    <row r="3177">
      <c r="E3177" s="14"/>
      <c r="H3177" s="31" t="s">
        <v>649</v>
      </c>
      <c r="I3177" s="31" t="s">
        <v>649</v>
      </c>
    </row>
    <row r="3178">
      <c r="E3178" s="14"/>
      <c r="H3178" s="31" t="s">
        <v>649</v>
      </c>
      <c r="I3178" s="31" t="s">
        <v>649</v>
      </c>
    </row>
    <row r="3179">
      <c r="E3179" s="14"/>
      <c r="H3179" s="31" t="s">
        <v>649</v>
      </c>
      <c r="I3179" s="31" t="s">
        <v>649</v>
      </c>
    </row>
    <row r="3180">
      <c r="E3180" s="14"/>
      <c r="H3180" s="31" t="s">
        <v>649</v>
      </c>
      <c r="I3180" s="31" t="s">
        <v>649</v>
      </c>
    </row>
    <row r="3181">
      <c r="E3181" s="14"/>
      <c r="H3181" s="31" t="s">
        <v>649</v>
      </c>
      <c r="I3181" s="31" t="s">
        <v>649</v>
      </c>
    </row>
    <row r="3182">
      <c r="E3182" s="14"/>
      <c r="H3182" s="31" t="s">
        <v>649</v>
      </c>
      <c r="I3182" s="31" t="s">
        <v>649</v>
      </c>
    </row>
    <row r="3183">
      <c r="E3183" s="14"/>
      <c r="H3183" s="31" t="s">
        <v>649</v>
      </c>
      <c r="I3183" s="31" t="s">
        <v>649</v>
      </c>
    </row>
    <row r="3184">
      <c r="E3184" s="14"/>
      <c r="H3184" s="31" t="s">
        <v>649</v>
      </c>
      <c r="I3184" s="31" t="s">
        <v>649</v>
      </c>
    </row>
    <row r="3185">
      <c r="E3185" s="14"/>
      <c r="H3185" s="31" t="s">
        <v>649</v>
      </c>
      <c r="I3185" s="31" t="s">
        <v>649</v>
      </c>
    </row>
    <row r="3186">
      <c r="E3186" s="14"/>
      <c r="H3186" s="31" t="s">
        <v>649</v>
      </c>
      <c r="I3186" s="31" t="s">
        <v>649</v>
      </c>
    </row>
    <row r="3187">
      <c r="E3187" s="14"/>
      <c r="H3187" s="31" t="s">
        <v>649</v>
      </c>
      <c r="I3187" s="31" t="s">
        <v>649</v>
      </c>
    </row>
    <row r="3188">
      <c r="E3188" s="14"/>
      <c r="H3188" s="31" t="s">
        <v>649</v>
      </c>
      <c r="I3188" s="31" t="s">
        <v>649</v>
      </c>
    </row>
    <row r="3189">
      <c r="E3189" s="14"/>
      <c r="H3189" s="31" t="s">
        <v>649</v>
      </c>
      <c r="I3189" s="31" t="s">
        <v>649</v>
      </c>
    </row>
    <row r="3190">
      <c r="E3190" s="14"/>
      <c r="H3190" s="31" t="s">
        <v>649</v>
      </c>
      <c r="I3190" s="31" t="s">
        <v>649</v>
      </c>
    </row>
    <row r="3191">
      <c r="E3191" s="14"/>
      <c r="H3191" s="31" t="s">
        <v>649</v>
      </c>
      <c r="I3191" s="31" t="s">
        <v>649</v>
      </c>
    </row>
    <row r="3192">
      <c r="E3192" s="14"/>
      <c r="H3192" s="31" t="s">
        <v>649</v>
      </c>
      <c r="I3192" s="31" t="s">
        <v>649</v>
      </c>
    </row>
    <row r="3193">
      <c r="E3193" s="14"/>
      <c r="H3193" s="31" t="s">
        <v>649</v>
      </c>
      <c r="I3193" s="31" t="s">
        <v>649</v>
      </c>
    </row>
    <row r="3194">
      <c r="E3194" s="14"/>
      <c r="H3194" s="31" t="s">
        <v>649</v>
      </c>
      <c r="I3194" s="31" t="s">
        <v>649</v>
      </c>
    </row>
    <row r="3195">
      <c r="E3195" s="14"/>
      <c r="H3195" s="31" t="s">
        <v>649</v>
      </c>
      <c r="I3195" s="31" t="s">
        <v>649</v>
      </c>
    </row>
    <row r="3196">
      <c r="E3196" s="14"/>
      <c r="H3196" s="31" t="s">
        <v>649</v>
      </c>
      <c r="I3196" s="31" t="s">
        <v>649</v>
      </c>
    </row>
    <row r="3197">
      <c r="E3197" s="14"/>
      <c r="H3197" s="31" t="s">
        <v>649</v>
      </c>
      <c r="I3197" s="31" t="s">
        <v>649</v>
      </c>
    </row>
    <row r="3198">
      <c r="E3198" s="14"/>
      <c r="H3198" s="31" t="s">
        <v>649</v>
      </c>
      <c r="I3198" s="31" t="s">
        <v>649</v>
      </c>
    </row>
    <row r="3199">
      <c r="E3199" s="14"/>
      <c r="H3199" s="31" t="s">
        <v>649</v>
      </c>
      <c r="I3199" s="31" t="s">
        <v>649</v>
      </c>
    </row>
    <row r="3200">
      <c r="E3200" s="14"/>
      <c r="H3200" s="31" t="s">
        <v>649</v>
      </c>
      <c r="I3200" s="31" t="s">
        <v>649</v>
      </c>
    </row>
    <row r="3201">
      <c r="E3201" s="14"/>
      <c r="H3201" s="31" t="s">
        <v>649</v>
      </c>
      <c r="I3201" s="31" t="s">
        <v>649</v>
      </c>
    </row>
    <row r="3202">
      <c r="E3202" s="14"/>
      <c r="H3202" s="31" t="s">
        <v>649</v>
      </c>
      <c r="I3202" s="31" t="s">
        <v>649</v>
      </c>
    </row>
    <row r="3203">
      <c r="E3203" s="14"/>
      <c r="H3203" s="31" t="s">
        <v>649</v>
      </c>
      <c r="I3203" s="31" t="s">
        <v>649</v>
      </c>
    </row>
    <row r="3204">
      <c r="E3204" s="14"/>
      <c r="H3204" s="31" t="s">
        <v>649</v>
      </c>
      <c r="I3204" s="31" t="s">
        <v>649</v>
      </c>
    </row>
    <row r="3205">
      <c r="E3205" s="14"/>
      <c r="H3205" s="31" t="s">
        <v>649</v>
      </c>
      <c r="I3205" s="31" t="s">
        <v>649</v>
      </c>
    </row>
    <row r="3206">
      <c r="E3206" s="14"/>
      <c r="H3206" s="31" t="s">
        <v>649</v>
      </c>
      <c r="I3206" s="31" t="s">
        <v>649</v>
      </c>
    </row>
    <row r="3207">
      <c r="E3207" s="14"/>
      <c r="H3207" s="31" t="s">
        <v>649</v>
      </c>
      <c r="I3207" s="31" t="s">
        <v>649</v>
      </c>
    </row>
    <row r="3208">
      <c r="E3208" s="14"/>
      <c r="H3208" s="31" t="s">
        <v>649</v>
      </c>
      <c r="I3208" s="31" t="s">
        <v>649</v>
      </c>
    </row>
    <row r="3209">
      <c r="E3209" s="14"/>
      <c r="H3209" s="31" t="s">
        <v>649</v>
      </c>
      <c r="I3209" s="31" t="s">
        <v>649</v>
      </c>
    </row>
    <row r="3210">
      <c r="E3210" s="14"/>
      <c r="H3210" s="31" t="s">
        <v>649</v>
      </c>
      <c r="I3210" s="31" t="s">
        <v>649</v>
      </c>
    </row>
    <row r="3211">
      <c r="E3211" s="14"/>
      <c r="H3211" s="31" t="s">
        <v>649</v>
      </c>
      <c r="I3211" s="31" t="s">
        <v>649</v>
      </c>
    </row>
    <row r="3212">
      <c r="E3212" s="14"/>
      <c r="H3212" s="31" t="s">
        <v>649</v>
      </c>
      <c r="I3212" s="31" t="s">
        <v>649</v>
      </c>
    </row>
    <row r="3213">
      <c r="E3213" s="14"/>
      <c r="H3213" s="31" t="s">
        <v>649</v>
      </c>
      <c r="I3213" s="31" t="s">
        <v>649</v>
      </c>
    </row>
    <row r="3214">
      <c r="E3214" s="14"/>
      <c r="H3214" s="31" t="s">
        <v>649</v>
      </c>
      <c r="I3214" s="31" t="s">
        <v>649</v>
      </c>
    </row>
    <row r="3215">
      <c r="E3215" s="14"/>
      <c r="H3215" s="31" t="s">
        <v>649</v>
      </c>
      <c r="I3215" s="31" t="s">
        <v>649</v>
      </c>
    </row>
    <row r="3216">
      <c r="E3216" s="14"/>
      <c r="H3216" s="31" t="s">
        <v>649</v>
      </c>
      <c r="I3216" s="31" t="s">
        <v>649</v>
      </c>
    </row>
    <row r="3217">
      <c r="E3217" s="14"/>
      <c r="H3217" s="31" t="s">
        <v>649</v>
      </c>
      <c r="I3217" s="31" t="s">
        <v>649</v>
      </c>
    </row>
    <row r="3218">
      <c r="E3218" s="14"/>
      <c r="H3218" s="31" t="s">
        <v>649</v>
      </c>
      <c r="I3218" s="31" t="s">
        <v>649</v>
      </c>
    </row>
    <row r="3219">
      <c r="E3219" s="14"/>
      <c r="H3219" s="31" t="s">
        <v>649</v>
      </c>
      <c r="I3219" s="31" t="s">
        <v>649</v>
      </c>
    </row>
    <row r="3220">
      <c r="E3220" s="14"/>
      <c r="H3220" s="31" t="s">
        <v>649</v>
      </c>
      <c r="I3220" s="31" t="s">
        <v>649</v>
      </c>
    </row>
    <row r="3221">
      <c r="E3221" s="14"/>
      <c r="H3221" s="31" t="s">
        <v>649</v>
      </c>
      <c r="I3221" s="31" t="s">
        <v>649</v>
      </c>
    </row>
    <row r="3222">
      <c r="E3222" s="14"/>
      <c r="H3222" s="31" t="s">
        <v>649</v>
      </c>
      <c r="I3222" s="31" t="s">
        <v>649</v>
      </c>
    </row>
    <row r="3223">
      <c r="E3223" s="14"/>
      <c r="H3223" s="31" t="s">
        <v>649</v>
      </c>
      <c r="I3223" s="31" t="s">
        <v>649</v>
      </c>
    </row>
    <row r="3224">
      <c r="E3224" s="14"/>
      <c r="H3224" s="31" t="s">
        <v>649</v>
      </c>
      <c r="I3224" s="31" t="s">
        <v>649</v>
      </c>
    </row>
    <row r="3225">
      <c r="E3225" s="14"/>
      <c r="H3225" s="31" t="s">
        <v>649</v>
      </c>
      <c r="I3225" s="31" t="s">
        <v>649</v>
      </c>
    </row>
    <row r="3226">
      <c r="E3226" s="14"/>
      <c r="H3226" s="31" t="s">
        <v>649</v>
      </c>
      <c r="I3226" s="31" t="s">
        <v>649</v>
      </c>
    </row>
    <row r="3227">
      <c r="E3227" s="14"/>
      <c r="H3227" s="31" t="s">
        <v>649</v>
      </c>
      <c r="I3227" s="31" t="s">
        <v>649</v>
      </c>
    </row>
    <row r="3228">
      <c r="E3228" s="14"/>
      <c r="H3228" s="31" t="s">
        <v>649</v>
      </c>
      <c r="I3228" s="31" t="s">
        <v>649</v>
      </c>
    </row>
    <row r="3229">
      <c r="E3229" s="14"/>
      <c r="H3229" s="31" t="s">
        <v>649</v>
      </c>
      <c r="I3229" s="31" t="s">
        <v>649</v>
      </c>
    </row>
    <row r="3230">
      <c r="E3230" s="14"/>
      <c r="H3230" s="31" t="s">
        <v>649</v>
      </c>
      <c r="I3230" s="31" t="s">
        <v>649</v>
      </c>
    </row>
    <row r="3231">
      <c r="E3231" s="14"/>
      <c r="H3231" s="31" t="s">
        <v>649</v>
      </c>
      <c r="I3231" s="31" t="s">
        <v>649</v>
      </c>
    </row>
    <row r="3232">
      <c r="E3232" s="14"/>
      <c r="H3232" s="31" t="s">
        <v>649</v>
      </c>
      <c r="I3232" s="31" t="s">
        <v>649</v>
      </c>
    </row>
    <row r="3233">
      <c r="E3233" s="14"/>
      <c r="H3233" s="31" t="s">
        <v>649</v>
      </c>
      <c r="I3233" s="31" t="s">
        <v>649</v>
      </c>
    </row>
    <row r="3234">
      <c r="E3234" s="14"/>
      <c r="H3234" s="31" t="s">
        <v>649</v>
      </c>
      <c r="I3234" s="31" t="s">
        <v>649</v>
      </c>
    </row>
    <row r="3235">
      <c r="E3235" s="14"/>
      <c r="H3235" s="31" t="s">
        <v>649</v>
      </c>
      <c r="I3235" s="31" t="s">
        <v>649</v>
      </c>
    </row>
    <row r="3236">
      <c r="E3236" s="14"/>
      <c r="H3236" s="31" t="s">
        <v>649</v>
      </c>
      <c r="I3236" s="31" t="s">
        <v>649</v>
      </c>
    </row>
    <row r="3237">
      <c r="E3237" s="14"/>
      <c r="H3237" s="31" t="s">
        <v>649</v>
      </c>
      <c r="I3237" s="31" t="s">
        <v>649</v>
      </c>
    </row>
    <row r="3238">
      <c r="E3238" s="14"/>
      <c r="H3238" s="31" t="s">
        <v>649</v>
      </c>
      <c r="I3238" s="31" t="s">
        <v>649</v>
      </c>
    </row>
    <row r="3239">
      <c r="E3239" s="14"/>
      <c r="H3239" s="31" t="s">
        <v>649</v>
      </c>
      <c r="I3239" s="31" t="s">
        <v>649</v>
      </c>
    </row>
    <row r="3240">
      <c r="E3240" s="14"/>
      <c r="H3240" s="31" t="s">
        <v>649</v>
      </c>
      <c r="I3240" s="31" t="s">
        <v>649</v>
      </c>
    </row>
    <row r="3241">
      <c r="E3241" s="14"/>
      <c r="H3241" s="31" t="s">
        <v>649</v>
      </c>
      <c r="I3241" s="31" t="s">
        <v>649</v>
      </c>
    </row>
    <row r="3242">
      <c r="E3242" s="14"/>
      <c r="H3242" s="31" t="s">
        <v>649</v>
      </c>
      <c r="I3242" s="31" t="s">
        <v>649</v>
      </c>
    </row>
    <row r="3243">
      <c r="E3243" s="14"/>
      <c r="H3243" s="31" t="s">
        <v>649</v>
      </c>
      <c r="I3243" s="31" t="s">
        <v>649</v>
      </c>
    </row>
    <row r="3244">
      <c r="E3244" s="14"/>
      <c r="H3244" s="31" t="s">
        <v>649</v>
      </c>
      <c r="I3244" s="31" t="s">
        <v>649</v>
      </c>
    </row>
    <row r="3245">
      <c r="E3245" s="14"/>
      <c r="H3245" s="31" t="s">
        <v>649</v>
      </c>
      <c r="I3245" s="31" t="s">
        <v>649</v>
      </c>
    </row>
    <row r="3246">
      <c r="E3246" s="14"/>
      <c r="H3246" s="31" t="s">
        <v>649</v>
      </c>
      <c r="I3246" s="31" t="s">
        <v>649</v>
      </c>
    </row>
    <row r="3247">
      <c r="E3247" s="14"/>
      <c r="H3247" s="31" t="s">
        <v>649</v>
      </c>
      <c r="I3247" s="31" t="s">
        <v>649</v>
      </c>
    </row>
    <row r="3248">
      <c r="E3248" s="14"/>
      <c r="H3248" s="31" t="s">
        <v>649</v>
      </c>
      <c r="I3248" s="31" t="s">
        <v>649</v>
      </c>
    </row>
    <row r="3249">
      <c r="E3249" s="14"/>
      <c r="H3249" s="31" t="s">
        <v>649</v>
      </c>
      <c r="I3249" s="31" t="s">
        <v>649</v>
      </c>
    </row>
    <row r="3250">
      <c r="E3250" s="14"/>
      <c r="H3250" s="31" t="s">
        <v>649</v>
      </c>
      <c r="I3250" s="31" t="s">
        <v>649</v>
      </c>
    </row>
    <row r="3251">
      <c r="E3251" s="14"/>
      <c r="H3251" s="31" t="s">
        <v>649</v>
      </c>
      <c r="I3251" s="31" t="s">
        <v>649</v>
      </c>
    </row>
    <row r="3252">
      <c r="E3252" s="14"/>
      <c r="H3252" s="31" t="s">
        <v>649</v>
      </c>
      <c r="I3252" s="31" t="s">
        <v>649</v>
      </c>
    </row>
    <row r="3253">
      <c r="E3253" s="14"/>
      <c r="H3253" s="31" t="s">
        <v>649</v>
      </c>
      <c r="I3253" s="31" t="s">
        <v>649</v>
      </c>
    </row>
    <row r="3254">
      <c r="E3254" s="14"/>
      <c r="H3254" s="31" t="s">
        <v>649</v>
      </c>
      <c r="I3254" s="31" t="s">
        <v>649</v>
      </c>
    </row>
    <row r="3255">
      <c r="E3255" s="14"/>
      <c r="H3255" s="31" t="s">
        <v>649</v>
      </c>
      <c r="I3255" s="31" t="s">
        <v>649</v>
      </c>
    </row>
    <row r="3256">
      <c r="E3256" s="14"/>
      <c r="H3256" s="31" t="s">
        <v>649</v>
      </c>
      <c r="I3256" s="31" t="s">
        <v>649</v>
      </c>
    </row>
    <row r="3257">
      <c r="E3257" s="14"/>
      <c r="H3257" s="31" t="s">
        <v>649</v>
      </c>
      <c r="I3257" s="31" t="s">
        <v>649</v>
      </c>
    </row>
    <row r="3258">
      <c r="E3258" s="14"/>
      <c r="H3258" s="31" t="s">
        <v>649</v>
      </c>
      <c r="I3258" s="31" t="s">
        <v>649</v>
      </c>
    </row>
    <row r="3259">
      <c r="E3259" s="14"/>
      <c r="H3259" s="31" t="s">
        <v>649</v>
      </c>
      <c r="I3259" s="31" t="s">
        <v>649</v>
      </c>
    </row>
    <row r="3260">
      <c r="E3260" s="14"/>
      <c r="H3260" s="31" t="s">
        <v>649</v>
      </c>
      <c r="I3260" s="31" t="s">
        <v>649</v>
      </c>
    </row>
    <row r="3261">
      <c r="E3261" s="14"/>
      <c r="H3261" s="31" t="s">
        <v>649</v>
      </c>
      <c r="I3261" s="31" t="s">
        <v>649</v>
      </c>
    </row>
    <row r="3262">
      <c r="E3262" s="14"/>
      <c r="H3262" s="31" t="s">
        <v>649</v>
      </c>
      <c r="I3262" s="31" t="s">
        <v>649</v>
      </c>
    </row>
    <row r="3263">
      <c r="E3263" s="14"/>
      <c r="H3263" s="31" t="s">
        <v>649</v>
      </c>
      <c r="I3263" s="31" t="s">
        <v>649</v>
      </c>
    </row>
    <row r="3264">
      <c r="E3264" s="14"/>
      <c r="H3264" s="31" t="s">
        <v>649</v>
      </c>
      <c r="I3264" s="31" t="s">
        <v>649</v>
      </c>
    </row>
    <row r="3265">
      <c r="E3265" s="14"/>
      <c r="H3265" s="31" t="s">
        <v>649</v>
      </c>
      <c r="I3265" s="31" t="s">
        <v>649</v>
      </c>
    </row>
    <row r="3266">
      <c r="E3266" s="14"/>
      <c r="H3266" s="31" t="s">
        <v>649</v>
      </c>
      <c r="I3266" s="31" t="s">
        <v>649</v>
      </c>
    </row>
    <row r="3267">
      <c r="E3267" s="14"/>
      <c r="H3267" s="31" t="s">
        <v>649</v>
      </c>
      <c r="I3267" s="31" t="s">
        <v>649</v>
      </c>
    </row>
    <row r="3268">
      <c r="E3268" s="14"/>
      <c r="H3268" s="31" t="s">
        <v>649</v>
      </c>
      <c r="I3268" s="31" t="s">
        <v>649</v>
      </c>
    </row>
    <row r="3269">
      <c r="E3269" s="14"/>
      <c r="H3269" s="31" t="s">
        <v>649</v>
      </c>
      <c r="I3269" s="31" t="s">
        <v>649</v>
      </c>
    </row>
    <row r="3270">
      <c r="E3270" s="14"/>
      <c r="H3270" s="31" t="s">
        <v>649</v>
      </c>
      <c r="I3270" s="31" t="s">
        <v>649</v>
      </c>
    </row>
    <row r="3271">
      <c r="E3271" s="14"/>
      <c r="H3271" s="31" t="s">
        <v>649</v>
      </c>
      <c r="I3271" s="31" t="s">
        <v>649</v>
      </c>
    </row>
    <row r="3272">
      <c r="E3272" s="14"/>
      <c r="H3272" s="31" t="s">
        <v>649</v>
      </c>
      <c r="I3272" s="31" t="s">
        <v>649</v>
      </c>
    </row>
    <row r="3273">
      <c r="E3273" s="14"/>
      <c r="H3273" s="31" t="s">
        <v>649</v>
      </c>
      <c r="I3273" s="31" t="s">
        <v>649</v>
      </c>
    </row>
    <row r="3274">
      <c r="E3274" s="14"/>
      <c r="H3274" s="31" t="s">
        <v>649</v>
      </c>
      <c r="I3274" s="31" t="s">
        <v>649</v>
      </c>
    </row>
    <row r="3275">
      <c r="E3275" s="14"/>
      <c r="H3275" s="31" t="s">
        <v>649</v>
      </c>
      <c r="I3275" s="31" t="s">
        <v>649</v>
      </c>
    </row>
    <row r="3276">
      <c r="E3276" s="14"/>
      <c r="H3276" s="31" t="s">
        <v>649</v>
      </c>
      <c r="I3276" s="31" t="s">
        <v>649</v>
      </c>
    </row>
    <row r="3277">
      <c r="E3277" s="14"/>
      <c r="H3277" s="31" t="s">
        <v>649</v>
      </c>
      <c r="I3277" s="31" t="s">
        <v>649</v>
      </c>
    </row>
    <row r="3278">
      <c r="E3278" s="14"/>
      <c r="H3278" s="31" t="s">
        <v>649</v>
      </c>
      <c r="I3278" s="31" t="s">
        <v>649</v>
      </c>
    </row>
    <row r="3279">
      <c r="E3279" s="14"/>
      <c r="H3279" s="31" t="s">
        <v>649</v>
      </c>
      <c r="I3279" s="31" t="s">
        <v>649</v>
      </c>
    </row>
    <row r="3280">
      <c r="E3280" s="14"/>
      <c r="H3280" s="31" t="s">
        <v>649</v>
      </c>
      <c r="I3280" s="31" t="s">
        <v>649</v>
      </c>
    </row>
    <row r="3281">
      <c r="E3281" s="14"/>
      <c r="H3281" s="31" t="s">
        <v>649</v>
      </c>
      <c r="I3281" s="31" t="s">
        <v>649</v>
      </c>
    </row>
    <row r="3282">
      <c r="E3282" s="14"/>
      <c r="H3282" s="31" t="s">
        <v>649</v>
      </c>
      <c r="I3282" s="31" t="s">
        <v>649</v>
      </c>
    </row>
    <row r="3283">
      <c r="E3283" s="14"/>
      <c r="H3283" s="31" t="s">
        <v>649</v>
      </c>
      <c r="I3283" s="31" t="s">
        <v>649</v>
      </c>
    </row>
    <row r="3284">
      <c r="E3284" s="14"/>
      <c r="H3284" s="31" t="s">
        <v>649</v>
      </c>
      <c r="I3284" s="31" t="s">
        <v>649</v>
      </c>
    </row>
    <row r="3285">
      <c r="E3285" s="14"/>
      <c r="H3285" s="31" t="s">
        <v>649</v>
      </c>
      <c r="I3285" s="31" t="s">
        <v>649</v>
      </c>
    </row>
    <row r="3286">
      <c r="E3286" s="14"/>
      <c r="H3286" s="31" t="s">
        <v>649</v>
      </c>
      <c r="I3286" s="31" t="s">
        <v>649</v>
      </c>
    </row>
    <row r="3287">
      <c r="E3287" s="14"/>
      <c r="H3287" s="31" t="s">
        <v>649</v>
      </c>
      <c r="I3287" s="31" t="s">
        <v>649</v>
      </c>
    </row>
    <row r="3288">
      <c r="E3288" s="14"/>
      <c r="H3288" s="31" t="s">
        <v>649</v>
      </c>
      <c r="I3288" s="31" t="s">
        <v>649</v>
      </c>
    </row>
    <row r="3289">
      <c r="E3289" s="14"/>
      <c r="H3289" s="31" t="s">
        <v>649</v>
      </c>
      <c r="I3289" s="31" t="s">
        <v>649</v>
      </c>
    </row>
    <row r="3290">
      <c r="E3290" s="14"/>
      <c r="H3290" s="31" t="s">
        <v>649</v>
      </c>
      <c r="I3290" s="31" t="s">
        <v>649</v>
      </c>
    </row>
    <row r="3291">
      <c r="E3291" s="14"/>
      <c r="H3291" s="31" t="s">
        <v>649</v>
      </c>
      <c r="I3291" s="31" t="s">
        <v>649</v>
      </c>
    </row>
    <row r="3292">
      <c r="E3292" s="14"/>
      <c r="H3292" s="31" t="s">
        <v>649</v>
      </c>
      <c r="I3292" s="31" t="s">
        <v>649</v>
      </c>
    </row>
    <row r="3293">
      <c r="E3293" s="14"/>
      <c r="H3293" s="31" t="s">
        <v>649</v>
      </c>
      <c r="I3293" s="31" t="s">
        <v>649</v>
      </c>
    </row>
    <row r="3294">
      <c r="E3294" s="14"/>
      <c r="H3294" s="31" t="s">
        <v>649</v>
      </c>
      <c r="I3294" s="31" t="s">
        <v>649</v>
      </c>
    </row>
    <row r="3295">
      <c r="E3295" s="14"/>
      <c r="H3295" s="31" t="s">
        <v>649</v>
      </c>
      <c r="I3295" s="31" t="s">
        <v>649</v>
      </c>
    </row>
    <row r="3296">
      <c r="E3296" s="14"/>
      <c r="H3296" s="31" t="s">
        <v>649</v>
      </c>
      <c r="I3296" s="31" t="s">
        <v>649</v>
      </c>
    </row>
    <row r="3297">
      <c r="E3297" s="14"/>
      <c r="H3297" s="31" t="s">
        <v>649</v>
      </c>
      <c r="I3297" s="31" t="s">
        <v>649</v>
      </c>
    </row>
    <row r="3298">
      <c r="E3298" s="14"/>
      <c r="H3298" s="31" t="s">
        <v>649</v>
      </c>
      <c r="I3298" s="31" t="s">
        <v>649</v>
      </c>
    </row>
    <row r="3299">
      <c r="E3299" s="14"/>
      <c r="H3299" s="31" t="s">
        <v>649</v>
      </c>
      <c r="I3299" s="31" t="s">
        <v>649</v>
      </c>
    </row>
    <row r="3300">
      <c r="E3300" s="14"/>
      <c r="H3300" s="31" t="s">
        <v>649</v>
      </c>
      <c r="I3300" s="31" t="s">
        <v>649</v>
      </c>
    </row>
    <row r="3301">
      <c r="E3301" s="14"/>
      <c r="H3301" s="31" t="s">
        <v>649</v>
      </c>
      <c r="I3301" s="31" t="s">
        <v>649</v>
      </c>
    </row>
    <row r="3302">
      <c r="E3302" s="14"/>
      <c r="H3302" s="31" t="s">
        <v>649</v>
      </c>
      <c r="I3302" s="31" t="s">
        <v>649</v>
      </c>
    </row>
    <row r="3303">
      <c r="E3303" s="14"/>
      <c r="H3303" s="31" t="s">
        <v>649</v>
      </c>
      <c r="I3303" s="31" t="s">
        <v>649</v>
      </c>
    </row>
    <row r="3304">
      <c r="E3304" s="14"/>
      <c r="H3304" s="31" t="s">
        <v>649</v>
      </c>
      <c r="I3304" s="31" t="s">
        <v>649</v>
      </c>
    </row>
    <row r="3305">
      <c r="E3305" s="14"/>
      <c r="H3305" s="31" t="s">
        <v>649</v>
      </c>
      <c r="I3305" s="31" t="s">
        <v>649</v>
      </c>
    </row>
    <row r="3306">
      <c r="E3306" s="14"/>
      <c r="H3306" s="31" t="s">
        <v>649</v>
      </c>
      <c r="I3306" s="31" t="s">
        <v>649</v>
      </c>
    </row>
    <row r="3307">
      <c r="E3307" s="14"/>
      <c r="H3307" s="31" t="s">
        <v>649</v>
      </c>
      <c r="I3307" s="31" t="s">
        <v>649</v>
      </c>
    </row>
    <row r="3308">
      <c r="E3308" s="14"/>
      <c r="H3308" s="31" t="s">
        <v>649</v>
      </c>
      <c r="I3308" s="31" t="s">
        <v>649</v>
      </c>
    </row>
    <row r="3309">
      <c r="E3309" s="14"/>
      <c r="H3309" s="31" t="s">
        <v>649</v>
      </c>
      <c r="I3309" s="31" t="s">
        <v>649</v>
      </c>
    </row>
    <row r="3310">
      <c r="E3310" s="14"/>
      <c r="H3310" s="31" t="s">
        <v>649</v>
      </c>
      <c r="I3310" s="31" t="s">
        <v>649</v>
      </c>
    </row>
    <row r="3311">
      <c r="E3311" s="14"/>
      <c r="H3311" s="31" t="s">
        <v>649</v>
      </c>
      <c r="I3311" s="31" t="s">
        <v>649</v>
      </c>
    </row>
    <row r="3312">
      <c r="E3312" s="14"/>
      <c r="H3312" s="31" t="s">
        <v>649</v>
      </c>
      <c r="I3312" s="31" t="s">
        <v>649</v>
      </c>
    </row>
    <row r="3313">
      <c r="E3313" s="14"/>
      <c r="H3313" s="31" t="s">
        <v>649</v>
      </c>
      <c r="I3313" s="31" t="s">
        <v>649</v>
      </c>
    </row>
    <row r="3314">
      <c r="E3314" s="14"/>
      <c r="H3314" s="31" t="s">
        <v>649</v>
      </c>
      <c r="I3314" s="31" t="s">
        <v>649</v>
      </c>
    </row>
    <row r="3315">
      <c r="E3315" s="14"/>
      <c r="H3315" s="31" t="s">
        <v>649</v>
      </c>
      <c r="I3315" s="31" t="s">
        <v>649</v>
      </c>
    </row>
    <row r="3316">
      <c r="E3316" s="14"/>
      <c r="H3316" s="31" t="s">
        <v>649</v>
      </c>
      <c r="I3316" s="31" t="s">
        <v>649</v>
      </c>
    </row>
    <row r="3317">
      <c r="E3317" s="14"/>
      <c r="H3317" s="31" t="s">
        <v>649</v>
      </c>
      <c r="I3317" s="31" t="s">
        <v>649</v>
      </c>
    </row>
    <row r="3318">
      <c r="E3318" s="14"/>
      <c r="H3318" s="31" t="s">
        <v>649</v>
      </c>
      <c r="I3318" s="31" t="s">
        <v>649</v>
      </c>
    </row>
    <row r="3319">
      <c r="E3319" s="14"/>
      <c r="H3319" s="31" t="s">
        <v>649</v>
      </c>
      <c r="I3319" s="31" t="s">
        <v>649</v>
      </c>
    </row>
    <row r="3320">
      <c r="E3320" s="14"/>
      <c r="H3320" s="31" t="s">
        <v>649</v>
      </c>
      <c r="I3320" s="31" t="s">
        <v>649</v>
      </c>
    </row>
    <row r="3321">
      <c r="E3321" s="14"/>
      <c r="H3321" s="31" t="s">
        <v>649</v>
      </c>
      <c r="I3321" s="31" t="s">
        <v>649</v>
      </c>
    </row>
    <row r="3322">
      <c r="E3322" s="14"/>
      <c r="H3322" s="31" t="s">
        <v>649</v>
      </c>
      <c r="I3322" s="31" t="s">
        <v>649</v>
      </c>
    </row>
    <row r="3323">
      <c r="E3323" s="14"/>
      <c r="H3323" s="31" t="s">
        <v>649</v>
      </c>
      <c r="I3323" s="31" t="s">
        <v>649</v>
      </c>
    </row>
    <row r="3324">
      <c r="E3324" s="14"/>
      <c r="H3324" s="31" t="s">
        <v>649</v>
      </c>
      <c r="I3324" s="31" t="s">
        <v>649</v>
      </c>
    </row>
    <row r="3325">
      <c r="E3325" s="14"/>
      <c r="H3325" s="31" t="s">
        <v>649</v>
      </c>
      <c r="I3325" s="31" t="s">
        <v>649</v>
      </c>
    </row>
    <row r="3326">
      <c r="E3326" s="14"/>
      <c r="H3326" s="31" t="s">
        <v>649</v>
      </c>
      <c r="I3326" s="31" t="s">
        <v>649</v>
      </c>
    </row>
    <row r="3327">
      <c r="E3327" s="14"/>
      <c r="H3327" s="31" t="s">
        <v>649</v>
      </c>
      <c r="I3327" s="31" t="s">
        <v>649</v>
      </c>
    </row>
    <row r="3328">
      <c r="E3328" s="14"/>
      <c r="H3328" s="31" t="s">
        <v>649</v>
      </c>
      <c r="I3328" s="31" t="s">
        <v>649</v>
      </c>
    </row>
    <row r="3329">
      <c r="E3329" s="14"/>
      <c r="H3329" s="31" t="s">
        <v>649</v>
      </c>
      <c r="I3329" s="31" t="s">
        <v>649</v>
      </c>
    </row>
    <row r="3330">
      <c r="E3330" s="14"/>
      <c r="H3330" s="31" t="s">
        <v>649</v>
      </c>
      <c r="I3330" s="31" t="s">
        <v>649</v>
      </c>
    </row>
    <row r="3331">
      <c r="E3331" s="14"/>
      <c r="H3331" s="31" t="s">
        <v>649</v>
      </c>
      <c r="I3331" s="31" t="s">
        <v>649</v>
      </c>
    </row>
    <row r="3332">
      <c r="E3332" s="14"/>
      <c r="H3332" s="31" t="s">
        <v>649</v>
      </c>
      <c r="I3332" s="31" t="s">
        <v>649</v>
      </c>
    </row>
    <row r="3333">
      <c r="E3333" s="14"/>
      <c r="H3333" s="31" t="s">
        <v>649</v>
      </c>
      <c r="I3333" s="31" t="s">
        <v>649</v>
      </c>
    </row>
    <row r="3334">
      <c r="E3334" s="14"/>
      <c r="H3334" s="31" t="s">
        <v>649</v>
      </c>
      <c r="I3334" s="31" t="s">
        <v>649</v>
      </c>
    </row>
    <row r="3335">
      <c r="E3335" s="14"/>
      <c r="H3335" s="31" t="s">
        <v>649</v>
      </c>
      <c r="I3335" s="31" t="s">
        <v>649</v>
      </c>
    </row>
    <row r="3336">
      <c r="E3336" s="14"/>
      <c r="H3336" s="31" t="s">
        <v>649</v>
      </c>
      <c r="I3336" s="31" t="s">
        <v>649</v>
      </c>
    </row>
    <row r="3337">
      <c r="E3337" s="14"/>
      <c r="H3337" s="31" t="s">
        <v>649</v>
      </c>
      <c r="I3337" s="31" t="s">
        <v>649</v>
      </c>
    </row>
    <row r="3338">
      <c r="E3338" s="14"/>
      <c r="H3338" s="31" t="s">
        <v>649</v>
      </c>
      <c r="I3338" s="31" t="s">
        <v>649</v>
      </c>
    </row>
    <row r="3339">
      <c r="E3339" s="14"/>
      <c r="H3339" s="31" t="s">
        <v>649</v>
      </c>
      <c r="I3339" s="31" t="s">
        <v>649</v>
      </c>
    </row>
    <row r="3340">
      <c r="E3340" s="14"/>
      <c r="H3340" s="31" t="s">
        <v>649</v>
      </c>
      <c r="I3340" s="31" t="s">
        <v>649</v>
      </c>
    </row>
    <row r="3341">
      <c r="E3341" s="14"/>
      <c r="H3341" s="31" t="s">
        <v>649</v>
      </c>
      <c r="I3341" s="31" t="s">
        <v>649</v>
      </c>
    </row>
    <row r="3342">
      <c r="E3342" s="14"/>
      <c r="H3342" s="31" t="s">
        <v>649</v>
      </c>
      <c r="I3342" s="31" t="s">
        <v>649</v>
      </c>
    </row>
    <row r="3343">
      <c r="E3343" s="14"/>
      <c r="H3343" s="31" t="s">
        <v>649</v>
      </c>
      <c r="I3343" s="31" t="s">
        <v>649</v>
      </c>
    </row>
    <row r="3344">
      <c r="E3344" s="14"/>
      <c r="H3344" s="31" t="s">
        <v>649</v>
      </c>
      <c r="I3344" s="31" t="s">
        <v>649</v>
      </c>
    </row>
    <row r="3345">
      <c r="E3345" s="14"/>
      <c r="H3345" s="31" t="s">
        <v>649</v>
      </c>
      <c r="I3345" s="31" t="s">
        <v>649</v>
      </c>
    </row>
    <row r="3346">
      <c r="E3346" s="14"/>
      <c r="H3346" s="31" t="s">
        <v>649</v>
      </c>
      <c r="I3346" s="31" t="s">
        <v>649</v>
      </c>
    </row>
    <row r="3347">
      <c r="E3347" s="14"/>
      <c r="H3347" s="31" t="s">
        <v>649</v>
      </c>
      <c r="I3347" s="31" t="s">
        <v>649</v>
      </c>
    </row>
    <row r="3348">
      <c r="E3348" s="14"/>
      <c r="H3348" s="31" t="s">
        <v>649</v>
      </c>
      <c r="I3348" s="31" t="s">
        <v>649</v>
      </c>
    </row>
    <row r="3349">
      <c r="E3349" s="14"/>
      <c r="H3349" s="31" t="s">
        <v>649</v>
      </c>
      <c r="I3349" s="31" t="s">
        <v>649</v>
      </c>
    </row>
    <row r="3350">
      <c r="E3350" s="14"/>
      <c r="H3350" s="31" t="s">
        <v>649</v>
      </c>
      <c r="I3350" s="31" t="s">
        <v>649</v>
      </c>
    </row>
    <row r="3351">
      <c r="E3351" s="14"/>
      <c r="H3351" s="31" t="s">
        <v>649</v>
      </c>
      <c r="I3351" s="31" t="s">
        <v>649</v>
      </c>
    </row>
    <row r="3352">
      <c r="E3352" s="14"/>
      <c r="H3352" s="31" t="s">
        <v>649</v>
      </c>
      <c r="I3352" s="31" t="s">
        <v>649</v>
      </c>
    </row>
    <row r="3353">
      <c r="E3353" s="14"/>
      <c r="H3353" s="31" t="s">
        <v>649</v>
      </c>
      <c r="I3353" s="31" t="s">
        <v>649</v>
      </c>
    </row>
    <row r="3354">
      <c r="E3354" s="14"/>
      <c r="H3354" s="31" t="s">
        <v>649</v>
      </c>
      <c r="I3354" s="31" t="s">
        <v>649</v>
      </c>
    </row>
    <row r="3355">
      <c r="E3355" s="14"/>
      <c r="H3355" s="31" t="s">
        <v>649</v>
      </c>
      <c r="I3355" s="31" t="s">
        <v>649</v>
      </c>
    </row>
    <row r="3356">
      <c r="E3356" s="14"/>
      <c r="H3356" s="31" t="s">
        <v>649</v>
      </c>
      <c r="I3356" s="31" t="s">
        <v>649</v>
      </c>
    </row>
    <row r="3357">
      <c r="E3357" s="14"/>
      <c r="H3357" s="31" t="s">
        <v>649</v>
      </c>
      <c r="I3357" s="31" t="s">
        <v>649</v>
      </c>
    </row>
    <row r="3358">
      <c r="E3358" s="14"/>
      <c r="H3358" s="31" t="s">
        <v>649</v>
      </c>
      <c r="I3358" s="31" t="s">
        <v>649</v>
      </c>
    </row>
    <row r="3359">
      <c r="E3359" s="14"/>
      <c r="H3359" s="31" t="s">
        <v>649</v>
      </c>
      <c r="I3359" s="31" t="s">
        <v>649</v>
      </c>
    </row>
    <row r="3360">
      <c r="E3360" s="14"/>
      <c r="H3360" s="31" t="s">
        <v>649</v>
      </c>
      <c r="I3360" s="31" t="s">
        <v>649</v>
      </c>
    </row>
    <row r="3361">
      <c r="E3361" s="14"/>
      <c r="H3361" s="31" t="s">
        <v>649</v>
      </c>
      <c r="I3361" s="31" t="s">
        <v>649</v>
      </c>
    </row>
    <row r="3362">
      <c r="E3362" s="14"/>
      <c r="H3362" s="31" t="s">
        <v>649</v>
      </c>
      <c r="I3362" s="31" t="s">
        <v>649</v>
      </c>
    </row>
    <row r="3363">
      <c r="E3363" s="14"/>
      <c r="H3363" s="31" t="s">
        <v>649</v>
      </c>
      <c r="I3363" s="31" t="s">
        <v>649</v>
      </c>
    </row>
    <row r="3364">
      <c r="E3364" s="14"/>
      <c r="H3364" s="31" t="s">
        <v>649</v>
      </c>
      <c r="I3364" s="31" t="s">
        <v>649</v>
      </c>
    </row>
    <row r="3365">
      <c r="E3365" s="14"/>
      <c r="H3365" s="31" t="s">
        <v>649</v>
      </c>
      <c r="I3365" s="31" t="s">
        <v>649</v>
      </c>
    </row>
    <row r="3366">
      <c r="E3366" s="14"/>
      <c r="H3366" s="31" t="s">
        <v>649</v>
      </c>
      <c r="I3366" s="31" t="s">
        <v>649</v>
      </c>
    </row>
    <row r="3367">
      <c r="E3367" s="14"/>
      <c r="H3367" s="31" t="s">
        <v>649</v>
      </c>
      <c r="I3367" s="31" t="s">
        <v>649</v>
      </c>
    </row>
    <row r="3368">
      <c r="E3368" s="14"/>
      <c r="H3368" s="31" t="s">
        <v>649</v>
      </c>
      <c r="I3368" s="31" t="s">
        <v>649</v>
      </c>
    </row>
    <row r="3369">
      <c r="E3369" s="14"/>
      <c r="H3369" s="31" t="s">
        <v>649</v>
      </c>
      <c r="I3369" s="31" t="s">
        <v>649</v>
      </c>
    </row>
    <row r="3370">
      <c r="E3370" s="14"/>
      <c r="H3370" s="31" t="s">
        <v>649</v>
      </c>
      <c r="I3370" s="31" t="s">
        <v>649</v>
      </c>
    </row>
    <row r="3371">
      <c r="E3371" s="14"/>
      <c r="H3371" s="31" t="s">
        <v>649</v>
      </c>
      <c r="I3371" s="31" t="s">
        <v>649</v>
      </c>
    </row>
    <row r="3372">
      <c r="E3372" s="14"/>
      <c r="H3372" s="31" t="s">
        <v>649</v>
      </c>
      <c r="I3372" s="31" t="s">
        <v>649</v>
      </c>
    </row>
    <row r="3373">
      <c r="E3373" s="14"/>
      <c r="H3373" s="31" t="s">
        <v>649</v>
      </c>
      <c r="I3373" s="31" t="s">
        <v>649</v>
      </c>
    </row>
    <row r="3374">
      <c r="E3374" s="14"/>
      <c r="H3374" s="31" t="s">
        <v>649</v>
      </c>
      <c r="I3374" s="31" t="s">
        <v>649</v>
      </c>
    </row>
    <row r="3375">
      <c r="E3375" s="14"/>
      <c r="H3375" s="31" t="s">
        <v>649</v>
      </c>
      <c r="I3375" s="31" t="s">
        <v>649</v>
      </c>
    </row>
    <row r="3376">
      <c r="E3376" s="14"/>
      <c r="H3376" s="31" t="s">
        <v>649</v>
      </c>
      <c r="I3376" s="31" t="s">
        <v>649</v>
      </c>
    </row>
    <row r="3377">
      <c r="E3377" s="14"/>
      <c r="H3377" s="31" t="s">
        <v>649</v>
      </c>
      <c r="I3377" s="31" t="s">
        <v>649</v>
      </c>
    </row>
    <row r="3378">
      <c r="E3378" s="14"/>
      <c r="H3378" s="31" t="s">
        <v>649</v>
      </c>
      <c r="I3378" s="31" t="s">
        <v>649</v>
      </c>
    </row>
    <row r="3379">
      <c r="E3379" s="14"/>
      <c r="H3379" s="31" t="s">
        <v>649</v>
      </c>
      <c r="I3379" s="31" t="s">
        <v>649</v>
      </c>
    </row>
    <row r="3380">
      <c r="E3380" s="14"/>
      <c r="H3380" s="31" t="s">
        <v>649</v>
      </c>
      <c r="I3380" s="31" t="s">
        <v>649</v>
      </c>
    </row>
    <row r="3381">
      <c r="E3381" s="14"/>
      <c r="H3381" s="31" t="s">
        <v>649</v>
      </c>
      <c r="I3381" s="31" t="s">
        <v>649</v>
      </c>
    </row>
    <row r="3382">
      <c r="E3382" s="14"/>
      <c r="H3382" s="31" t="s">
        <v>649</v>
      </c>
      <c r="I3382" s="31" t="s">
        <v>649</v>
      </c>
    </row>
    <row r="3383">
      <c r="E3383" s="14"/>
      <c r="H3383" s="31" t="s">
        <v>649</v>
      </c>
      <c r="I3383" s="31" t="s">
        <v>649</v>
      </c>
    </row>
    <row r="3384">
      <c r="E3384" s="14"/>
      <c r="H3384" s="31" t="s">
        <v>649</v>
      </c>
      <c r="I3384" s="31" t="s">
        <v>649</v>
      </c>
    </row>
    <row r="3385">
      <c r="E3385" s="14"/>
      <c r="H3385" s="31" t="s">
        <v>649</v>
      </c>
      <c r="I3385" s="31" t="s">
        <v>649</v>
      </c>
    </row>
    <row r="3386">
      <c r="E3386" s="14"/>
      <c r="H3386" s="31" t="s">
        <v>649</v>
      </c>
      <c r="I3386" s="31" t="s">
        <v>649</v>
      </c>
    </row>
    <row r="3387">
      <c r="E3387" s="14"/>
      <c r="H3387" s="31" t="s">
        <v>649</v>
      </c>
      <c r="I3387" s="31" t="s">
        <v>649</v>
      </c>
    </row>
    <row r="3388">
      <c r="E3388" s="14"/>
      <c r="H3388" s="31" t="s">
        <v>649</v>
      </c>
      <c r="I3388" s="31" t="s">
        <v>649</v>
      </c>
    </row>
    <row r="3389">
      <c r="E3389" s="14"/>
      <c r="H3389" s="31" t="s">
        <v>649</v>
      </c>
      <c r="I3389" s="31" t="s">
        <v>649</v>
      </c>
    </row>
    <row r="3390">
      <c r="E3390" s="14"/>
      <c r="H3390" s="31" t="s">
        <v>649</v>
      </c>
      <c r="I3390" s="31" t="s">
        <v>649</v>
      </c>
    </row>
    <row r="3391">
      <c r="E3391" s="14"/>
      <c r="H3391" s="31" t="s">
        <v>649</v>
      </c>
      <c r="I3391" s="31" t="s">
        <v>649</v>
      </c>
    </row>
    <row r="3392">
      <c r="E3392" s="14"/>
      <c r="H3392" s="31" t="s">
        <v>649</v>
      </c>
      <c r="I3392" s="31" t="s">
        <v>649</v>
      </c>
    </row>
    <row r="3393">
      <c r="E3393" s="14"/>
      <c r="H3393" s="31" t="s">
        <v>649</v>
      </c>
      <c r="I3393" s="31" t="s">
        <v>649</v>
      </c>
    </row>
    <row r="3394">
      <c r="E3394" s="14"/>
      <c r="H3394" s="31" t="s">
        <v>649</v>
      </c>
      <c r="I3394" s="31" t="s">
        <v>649</v>
      </c>
    </row>
    <row r="3395">
      <c r="E3395" s="14"/>
      <c r="H3395" s="31" t="s">
        <v>649</v>
      </c>
      <c r="I3395" s="31" t="s">
        <v>649</v>
      </c>
    </row>
    <row r="3396">
      <c r="E3396" s="14"/>
      <c r="H3396" s="31" t="s">
        <v>649</v>
      </c>
      <c r="I3396" s="31" t="s">
        <v>649</v>
      </c>
    </row>
    <row r="3397">
      <c r="E3397" s="14"/>
      <c r="H3397" s="31" t="s">
        <v>649</v>
      </c>
      <c r="I3397" s="31" t="s">
        <v>649</v>
      </c>
    </row>
    <row r="3398">
      <c r="E3398" s="14"/>
      <c r="H3398" s="31" t="s">
        <v>649</v>
      </c>
      <c r="I3398" s="31" t="s">
        <v>649</v>
      </c>
    </row>
    <row r="3399">
      <c r="E3399" s="14"/>
      <c r="H3399" s="31" t="s">
        <v>649</v>
      </c>
      <c r="I3399" s="31" t="s">
        <v>649</v>
      </c>
    </row>
    <row r="3400">
      <c r="E3400" s="14"/>
      <c r="H3400" s="31" t="s">
        <v>649</v>
      </c>
      <c r="I3400" s="31" t="s">
        <v>649</v>
      </c>
    </row>
    <row r="3401">
      <c r="E3401" s="14"/>
      <c r="H3401" s="31" t="s">
        <v>649</v>
      </c>
      <c r="I3401" s="31" t="s">
        <v>649</v>
      </c>
    </row>
    <row r="3402">
      <c r="E3402" s="14"/>
      <c r="H3402" s="31" t="s">
        <v>649</v>
      </c>
      <c r="I3402" s="31" t="s">
        <v>649</v>
      </c>
    </row>
    <row r="3403">
      <c r="E3403" s="14"/>
      <c r="H3403" s="31" t="s">
        <v>649</v>
      </c>
      <c r="I3403" s="31" t="s">
        <v>649</v>
      </c>
    </row>
    <row r="3404">
      <c r="E3404" s="14"/>
      <c r="H3404" s="31" t="s">
        <v>649</v>
      </c>
      <c r="I3404" s="31" t="s">
        <v>649</v>
      </c>
    </row>
    <row r="3405">
      <c r="E3405" s="14"/>
      <c r="H3405" s="31" t="s">
        <v>649</v>
      </c>
      <c r="I3405" s="31" t="s">
        <v>649</v>
      </c>
    </row>
    <row r="3406">
      <c r="E3406" s="14"/>
      <c r="H3406" s="31" t="s">
        <v>649</v>
      </c>
      <c r="I3406" s="31" t="s">
        <v>649</v>
      </c>
    </row>
    <row r="3407">
      <c r="E3407" s="14"/>
      <c r="H3407" s="31" t="s">
        <v>649</v>
      </c>
      <c r="I3407" s="31" t="s">
        <v>649</v>
      </c>
    </row>
    <row r="3408">
      <c r="E3408" s="14"/>
      <c r="H3408" s="31" t="s">
        <v>649</v>
      </c>
      <c r="I3408" s="31" t="s">
        <v>649</v>
      </c>
    </row>
    <row r="3409">
      <c r="E3409" s="14"/>
      <c r="H3409" s="31" t="s">
        <v>649</v>
      </c>
      <c r="I3409" s="31" t="s">
        <v>649</v>
      </c>
    </row>
    <row r="3410">
      <c r="E3410" s="14"/>
      <c r="H3410" s="31" t="s">
        <v>649</v>
      </c>
      <c r="I3410" s="31" t="s">
        <v>649</v>
      </c>
    </row>
    <row r="3411">
      <c r="E3411" s="14"/>
      <c r="H3411" s="31" t="s">
        <v>649</v>
      </c>
      <c r="I3411" s="31" t="s">
        <v>649</v>
      </c>
    </row>
    <row r="3412">
      <c r="E3412" s="14"/>
      <c r="H3412" s="31" t="s">
        <v>649</v>
      </c>
      <c r="I3412" s="31" t="s">
        <v>649</v>
      </c>
    </row>
    <row r="3413">
      <c r="E3413" s="14"/>
      <c r="H3413" s="31" t="s">
        <v>649</v>
      </c>
      <c r="I3413" s="31" t="s">
        <v>649</v>
      </c>
    </row>
    <row r="3414">
      <c r="E3414" s="14"/>
      <c r="H3414" s="31" t="s">
        <v>649</v>
      </c>
      <c r="I3414" s="31" t="s">
        <v>649</v>
      </c>
    </row>
    <row r="3415">
      <c r="E3415" s="14"/>
      <c r="H3415" s="31" t="s">
        <v>649</v>
      </c>
      <c r="I3415" s="31" t="s">
        <v>649</v>
      </c>
    </row>
    <row r="3416">
      <c r="E3416" s="14"/>
      <c r="H3416" s="31" t="s">
        <v>649</v>
      </c>
      <c r="I3416" s="31" t="s">
        <v>649</v>
      </c>
    </row>
    <row r="3417">
      <c r="E3417" s="14"/>
      <c r="H3417" s="31" t="s">
        <v>649</v>
      </c>
      <c r="I3417" s="31" t="s">
        <v>649</v>
      </c>
    </row>
    <row r="3418">
      <c r="E3418" s="14"/>
      <c r="H3418" s="31" t="s">
        <v>649</v>
      </c>
      <c r="I3418" s="31" t="s">
        <v>649</v>
      </c>
    </row>
    <row r="3419">
      <c r="E3419" s="14"/>
      <c r="H3419" s="31" t="s">
        <v>649</v>
      </c>
      <c r="I3419" s="31" t="s">
        <v>649</v>
      </c>
    </row>
    <row r="3420">
      <c r="E3420" s="14"/>
      <c r="H3420" s="31" t="s">
        <v>649</v>
      </c>
      <c r="I3420" s="31" t="s">
        <v>649</v>
      </c>
    </row>
    <row r="3421">
      <c r="E3421" s="14"/>
      <c r="H3421" s="31" t="s">
        <v>649</v>
      </c>
      <c r="I3421" s="31" t="s">
        <v>649</v>
      </c>
    </row>
    <row r="3422">
      <c r="E3422" s="14"/>
      <c r="H3422" s="31" t="s">
        <v>649</v>
      </c>
      <c r="I3422" s="31" t="s">
        <v>649</v>
      </c>
    </row>
    <row r="3423">
      <c r="E3423" s="14"/>
      <c r="H3423" s="31" t="s">
        <v>649</v>
      </c>
      <c r="I3423" s="31" t="s">
        <v>649</v>
      </c>
    </row>
    <row r="3424">
      <c r="E3424" s="14"/>
      <c r="H3424" s="31" t="s">
        <v>649</v>
      </c>
      <c r="I3424" s="31" t="s">
        <v>649</v>
      </c>
    </row>
    <row r="3425">
      <c r="E3425" s="14"/>
      <c r="H3425" s="31" t="s">
        <v>649</v>
      </c>
      <c r="I3425" s="31" t="s">
        <v>649</v>
      </c>
    </row>
    <row r="3426">
      <c r="E3426" s="14"/>
      <c r="H3426" s="31" t="s">
        <v>649</v>
      </c>
      <c r="I3426" s="31" t="s">
        <v>649</v>
      </c>
    </row>
    <row r="3427">
      <c r="E3427" s="14"/>
      <c r="H3427" s="31" t="s">
        <v>649</v>
      </c>
      <c r="I3427" s="31" t="s">
        <v>649</v>
      </c>
    </row>
    <row r="3428">
      <c r="E3428" s="14"/>
      <c r="H3428" s="31" t="s">
        <v>649</v>
      </c>
      <c r="I3428" s="31" t="s">
        <v>649</v>
      </c>
    </row>
    <row r="3429">
      <c r="E3429" s="14"/>
      <c r="H3429" s="31" t="s">
        <v>649</v>
      </c>
      <c r="I3429" s="31" t="s">
        <v>649</v>
      </c>
    </row>
    <row r="3430">
      <c r="E3430" s="14"/>
      <c r="H3430" s="31" t="s">
        <v>649</v>
      </c>
      <c r="I3430" s="31" t="s">
        <v>649</v>
      </c>
    </row>
    <row r="3431">
      <c r="E3431" s="14"/>
      <c r="H3431" s="31" t="s">
        <v>649</v>
      </c>
      <c r="I3431" s="31" t="s">
        <v>649</v>
      </c>
    </row>
    <row r="3432">
      <c r="E3432" s="14"/>
      <c r="H3432" s="31" t="s">
        <v>649</v>
      </c>
      <c r="I3432" s="31" t="s">
        <v>649</v>
      </c>
    </row>
    <row r="3433">
      <c r="E3433" s="14"/>
      <c r="H3433" s="31" t="s">
        <v>649</v>
      </c>
      <c r="I3433" s="31" t="s">
        <v>649</v>
      </c>
    </row>
    <row r="3434">
      <c r="E3434" s="14"/>
      <c r="H3434" s="31" t="s">
        <v>649</v>
      </c>
      <c r="I3434" s="31" t="s">
        <v>649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38"/>
    <col customWidth="1" min="6" max="6" width="20.25"/>
    <col hidden="1" min="7" max="7" width="12.63"/>
  </cols>
  <sheetData>
    <row r="1">
      <c r="A1" s="83" t="str">
        <f>Standings!A1</f>
        <v>ARENA GAUNTLET LEAGUE: Secrets of Strixhaven</v>
      </c>
      <c r="B1" s="84"/>
      <c r="C1" s="85"/>
      <c r="D1" s="4"/>
      <c r="E1" s="4"/>
      <c r="F1" s="4"/>
      <c r="G1" s="4"/>
    </row>
    <row r="2">
      <c r="A2" s="86" t="s">
        <v>583</v>
      </c>
      <c r="B2" s="87">
        <f>IFS(now()&gt;Quotas!B14,6, now()&gt;Quotas!B13,5,now()&gt;Quotas!B12,4, now()&gt;Quotas!B11,3, now()&gt;Quotas!B10,2, now()&gt;Quotas!B9,1,now()&lt;Quotas!B9,0)</f>
        <v>6</v>
      </c>
      <c r="C2" s="88" t="s">
        <v>585</v>
      </c>
      <c r="D2" s="89">
        <v>7.0</v>
      </c>
      <c r="E2" s="90" t="s">
        <v>586</v>
      </c>
      <c r="F2" s="1"/>
      <c r="G2" s="1"/>
    </row>
    <row r="3">
      <c r="A3" s="1"/>
      <c r="B3" s="91"/>
      <c r="C3" s="1"/>
      <c r="D3" s="1"/>
      <c r="E3" s="1"/>
      <c r="F3" s="1"/>
      <c r="G3" s="1"/>
    </row>
    <row r="4">
      <c r="A4" s="86" t="s">
        <v>587</v>
      </c>
      <c r="B4" s="92" t="str">
        <f>ifs(B2=A8,"0",B2=A9,CONCATENATE(D9,"-",E9),B2=A10,CONCATENATE(D10,"-",E10),B2=A11,CONCATENATE(D11,"-",E11),B2=A12,CONCATENATE(D12,"-",E12),B2=A13,CONCATENATE(D13,"-",E13),B2=A14,CONCATENATE(D14,"-",E14))</f>
        <v>30-30</v>
      </c>
      <c r="C4" s="1"/>
      <c r="D4" s="1"/>
      <c r="E4" s="1"/>
      <c r="F4" s="1"/>
      <c r="G4" s="1"/>
    </row>
    <row r="5">
      <c r="A5" s="1"/>
      <c r="B5" s="1"/>
      <c r="C5" s="1"/>
      <c r="D5" s="93"/>
      <c r="E5" s="93"/>
      <c r="F5" s="93"/>
      <c r="G5" s="93"/>
    </row>
    <row r="6">
      <c r="A6" s="1"/>
      <c r="B6" s="94" t="s">
        <v>589</v>
      </c>
      <c r="D6" s="95" t="s">
        <v>590</v>
      </c>
      <c r="F6" s="1"/>
      <c r="G6" s="96" t="s">
        <v>591</v>
      </c>
    </row>
    <row r="7">
      <c r="A7" s="97" t="s">
        <v>592</v>
      </c>
      <c r="B7" s="98" t="s">
        <v>593</v>
      </c>
      <c r="C7" s="99" t="s">
        <v>594</v>
      </c>
      <c r="D7" s="97" t="s">
        <v>595</v>
      </c>
      <c r="E7" s="97" t="s">
        <v>596</v>
      </c>
      <c r="F7" s="1"/>
      <c r="G7" s="100" t="s">
        <v>597</v>
      </c>
    </row>
    <row r="8">
      <c r="A8" s="101">
        <v>0.0</v>
      </c>
      <c r="B8" s="102" t="s">
        <v>598</v>
      </c>
      <c r="C8" s="103">
        <f>B9</f>
        <v>46136.70833</v>
      </c>
      <c r="D8" s="104">
        <v>0.0</v>
      </c>
      <c r="E8" s="104">
        <v>0.0</v>
      </c>
      <c r="F8" s="1"/>
      <c r="G8" s="104" t="s">
        <v>600</v>
      </c>
    </row>
    <row r="9">
      <c r="A9" s="101">
        <v>1.0</v>
      </c>
      <c r="B9" s="105">
        <v>46136.708333333336</v>
      </c>
      <c r="C9" s="103">
        <f t="shared" ref="C9:C14" si="1">B9+7</f>
        <v>46143.70833</v>
      </c>
      <c r="D9" s="106">
        <v>3.0</v>
      </c>
      <c r="E9" s="101">
        <v>5.0</v>
      </c>
      <c r="F9" s="1"/>
      <c r="G9" s="104" t="s">
        <v>601</v>
      </c>
    </row>
    <row r="10">
      <c r="A10" s="101">
        <v>2.0</v>
      </c>
      <c r="B10" s="103">
        <f t="shared" ref="B10:B14" si="3">C9</f>
        <v>46143.70833</v>
      </c>
      <c r="C10" s="103">
        <f t="shared" si="1"/>
        <v>46150.70833</v>
      </c>
      <c r="D10" s="104">
        <f t="shared" ref="D10:E10" si="2">D9+5</f>
        <v>8</v>
      </c>
      <c r="E10" s="101">
        <f t="shared" si="2"/>
        <v>10</v>
      </c>
      <c r="F10" s="1"/>
      <c r="G10" s="104" t="s">
        <v>602</v>
      </c>
    </row>
    <row r="11">
      <c r="A11" s="101">
        <v>3.0</v>
      </c>
      <c r="B11" s="103">
        <f t="shared" si="3"/>
        <v>46150.70833</v>
      </c>
      <c r="C11" s="103">
        <f t="shared" si="1"/>
        <v>46157.70833</v>
      </c>
      <c r="D11" s="104">
        <f t="shared" ref="D11:E11" si="4">D10+5</f>
        <v>13</v>
      </c>
      <c r="E11" s="104">
        <f t="shared" si="4"/>
        <v>15</v>
      </c>
      <c r="F11" s="93"/>
      <c r="G11" s="104" t="s">
        <v>603</v>
      </c>
    </row>
    <row r="12">
      <c r="A12" s="104">
        <v>4.0</v>
      </c>
      <c r="B12" s="103">
        <f t="shared" si="3"/>
        <v>46157.70833</v>
      </c>
      <c r="C12" s="103">
        <f t="shared" si="1"/>
        <v>46164.70833</v>
      </c>
      <c r="D12" s="104">
        <f t="shared" ref="D12:E12" si="5">D11+5</f>
        <v>18</v>
      </c>
      <c r="E12" s="104">
        <f t="shared" si="5"/>
        <v>20</v>
      </c>
      <c r="F12" s="93"/>
      <c r="G12" s="104"/>
    </row>
    <row r="13">
      <c r="A13" s="104">
        <v>5.0</v>
      </c>
      <c r="B13" s="103">
        <f t="shared" si="3"/>
        <v>46164.70833</v>
      </c>
      <c r="C13" s="103">
        <f t="shared" si="1"/>
        <v>46171.70833</v>
      </c>
      <c r="D13" s="104">
        <f t="shared" ref="D13:E13" si="6">D12+5</f>
        <v>23</v>
      </c>
      <c r="E13" s="104">
        <f t="shared" si="6"/>
        <v>25</v>
      </c>
      <c r="F13" s="93"/>
      <c r="G13" s="104"/>
    </row>
    <row r="14">
      <c r="A14" s="104">
        <v>6.0</v>
      </c>
      <c r="B14" s="103">
        <f t="shared" si="3"/>
        <v>46171.70833</v>
      </c>
      <c r="C14" s="103">
        <f t="shared" si="1"/>
        <v>46178.70833</v>
      </c>
      <c r="D14" s="104">
        <v>30.0</v>
      </c>
      <c r="E14" s="104">
        <f>E13+5</f>
        <v>30</v>
      </c>
      <c r="F14" s="93"/>
      <c r="G14" s="104"/>
    </row>
    <row r="15">
      <c r="A15" s="1"/>
      <c r="B15" s="107" t="s">
        <v>604</v>
      </c>
      <c r="F15" s="93"/>
      <c r="G15" s="108" t="s">
        <v>605</v>
      </c>
    </row>
    <row r="16">
      <c r="A16" s="1"/>
      <c r="B16" s="93"/>
      <c r="C16" s="93"/>
      <c r="D16" s="93"/>
      <c r="E16" s="93"/>
      <c r="F16" s="109"/>
      <c r="G16" s="104" t="s">
        <v>606</v>
      </c>
    </row>
    <row r="17">
      <c r="A17" s="1"/>
      <c r="B17" s="93"/>
      <c r="C17" s="93"/>
      <c r="D17" s="93"/>
      <c r="E17" s="93"/>
      <c r="F17" s="93"/>
      <c r="G17" s="100" t="s">
        <v>607</v>
      </c>
    </row>
    <row r="18">
      <c r="A18" s="1"/>
      <c r="B18" s="93"/>
      <c r="C18" s="93"/>
      <c r="D18" s="93"/>
      <c r="E18" s="93"/>
      <c r="F18" s="93"/>
      <c r="G18" s="100" t="s">
        <v>608</v>
      </c>
    </row>
    <row r="19">
      <c r="A19" s="1"/>
      <c r="B19" s="93"/>
      <c r="C19" s="93"/>
      <c r="D19" s="93"/>
      <c r="E19" s="93"/>
      <c r="F19" s="93"/>
      <c r="G19" s="100" t="s">
        <v>609</v>
      </c>
    </row>
    <row r="20">
      <c r="A20" s="1"/>
      <c r="B20" s="93"/>
      <c r="C20" s="93"/>
      <c r="D20" s="93"/>
      <c r="E20" s="93"/>
      <c r="F20" s="93"/>
      <c r="G20" s="100" t="s">
        <v>610</v>
      </c>
    </row>
    <row r="21">
      <c r="A21" s="1"/>
      <c r="B21" s="93"/>
      <c r="C21" s="93"/>
      <c r="D21" s="93"/>
      <c r="E21" s="93"/>
      <c r="F21" s="93"/>
      <c r="G21" s="100" t="s">
        <v>611</v>
      </c>
    </row>
    <row r="22">
      <c r="A22" s="1"/>
      <c r="B22" s="93"/>
      <c r="C22" s="93"/>
      <c r="D22" s="93"/>
      <c r="E22" s="93"/>
      <c r="F22" s="93"/>
      <c r="G22" s="100" t="s">
        <v>612</v>
      </c>
    </row>
    <row r="23">
      <c r="A23" s="1"/>
      <c r="B23" s="93"/>
      <c r="C23" s="93"/>
      <c r="D23" s="93"/>
      <c r="E23" s="93"/>
      <c r="F23" s="93"/>
      <c r="G23" s="100" t="s">
        <v>613</v>
      </c>
    </row>
    <row r="24">
      <c r="A24" s="1"/>
      <c r="B24" s="93"/>
      <c r="C24" s="93"/>
      <c r="D24" s="93"/>
      <c r="E24" s="93"/>
      <c r="F24" s="93"/>
      <c r="G24" s="100" t="s">
        <v>614</v>
      </c>
    </row>
    <row r="25">
      <c r="A25" s="1"/>
      <c r="B25" s="93"/>
      <c r="C25" s="93"/>
      <c r="D25" s="93"/>
      <c r="E25" s="93"/>
      <c r="F25" s="93"/>
      <c r="G25" s="100" t="s">
        <v>615</v>
      </c>
    </row>
    <row r="26">
      <c r="A26" s="1"/>
      <c r="B26" s="93"/>
      <c r="C26" s="93"/>
      <c r="D26" s="93"/>
      <c r="E26" s="93"/>
      <c r="F26" s="93"/>
      <c r="G26" s="100" t="s">
        <v>616</v>
      </c>
    </row>
    <row r="27">
      <c r="A27" s="1"/>
      <c r="B27" s="93"/>
      <c r="C27" s="93"/>
      <c r="D27" s="93"/>
      <c r="E27" s="93"/>
      <c r="F27" s="93"/>
      <c r="G27" s="100" t="s">
        <v>617</v>
      </c>
    </row>
  </sheetData>
  <mergeCells count="3">
    <mergeCell ref="B6:C6"/>
    <mergeCell ref="D6:E6"/>
    <mergeCell ref="B15:E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0"/>
    <col hidden="1" min="8" max="8" width="12.63"/>
    <col customWidth="1" min="9" max="11" width="15.38"/>
  </cols>
  <sheetData>
    <row r="1">
      <c r="A1" s="110" t="str">
        <f>Standings!A1</f>
        <v>ARENA GAUNTLET LEAGUE: Secrets of Strixhaven</v>
      </c>
      <c r="B1" s="84"/>
      <c r="C1" s="85"/>
      <c r="D1" s="85"/>
      <c r="E1" s="85"/>
      <c r="F1" s="4"/>
      <c r="G1" s="4"/>
      <c r="H1" s="4"/>
      <c r="I1" s="4"/>
      <c r="J1" s="4"/>
      <c r="K1" s="4"/>
    </row>
    <row r="2">
      <c r="A2" s="86" t="s">
        <v>583</v>
      </c>
      <c r="B2" s="111">
        <f>Standings!C2</f>
        <v>6</v>
      </c>
      <c r="C2" s="4"/>
      <c r="D2" s="4"/>
      <c r="E2" s="4"/>
      <c r="F2" s="4"/>
      <c r="G2" s="112"/>
      <c r="H2" s="112"/>
      <c r="I2" s="112"/>
      <c r="J2" s="112"/>
      <c r="K2" s="112"/>
    </row>
    <row r="3">
      <c r="A3" s="4"/>
      <c r="B3" s="113"/>
      <c r="C3" s="113"/>
      <c r="D3" s="4"/>
      <c r="E3" s="4"/>
      <c r="F3" s="4"/>
      <c r="G3" s="4"/>
      <c r="H3" s="4"/>
      <c r="I3" s="4"/>
      <c r="J3" s="4"/>
      <c r="K3" s="4"/>
    </row>
    <row r="4">
      <c r="A4" s="114" t="s">
        <v>621</v>
      </c>
      <c r="B4" s="114" t="s">
        <v>592</v>
      </c>
      <c r="C4" s="114" t="s">
        <v>622</v>
      </c>
      <c r="D4" s="114" t="s">
        <v>623</v>
      </c>
      <c r="E4" s="114" t="s">
        <v>624</v>
      </c>
      <c r="F4" s="114" t="s">
        <v>625</v>
      </c>
      <c r="G4" s="114" t="s">
        <v>626</v>
      </c>
      <c r="H4" s="115" t="s">
        <v>627</v>
      </c>
      <c r="I4" s="116" t="s">
        <v>3</v>
      </c>
      <c r="J4" s="116" t="s">
        <v>11</v>
      </c>
      <c r="K4" s="116" t="s">
        <v>15</v>
      </c>
    </row>
    <row r="5">
      <c r="A5" s="117"/>
      <c r="B5" s="117">
        <v>1.0</v>
      </c>
      <c r="C5" s="46" t="s">
        <v>629</v>
      </c>
      <c r="D5" s="46" t="s">
        <v>630</v>
      </c>
      <c r="E5" s="117">
        <v>2.0</v>
      </c>
      <c r="F5" s="117">
        <v>0.0</v>
      </c>
      <c r="G5" s="118"/>
      <c r="H5" s="8"/>
      <c r="I5" s="119">
        <v>46143.71025444445</v>
      </c>
      <c r="K5" s="9">
        <v>1.0</v>
      </c>
    </row>
    <row r="6">
      <c r="A6" s="117"/>
      <c r="B6" s="117">
        <v>1.0</v>
      </c>
      <c r="C6" s="46" t="s">
        <v>629</v>
      </c>
      <c r="D6" s="46" t="s">
        <v>630</v>
      </c>
      <c r="E6" s="117">
        <v>2.0</v>
      </c>
      <c r="F6" s="117">
        <v>0.0</v>
      </c>
      <c r="G6" s="118"/>
      <c r="H6" s="8"/>
      <c r="I6" s="119">
        <v>46143.71027923611</v>
      </c>
      <c r="K6" s="9">
        <v>1.0</v>
      </c>
    </row>
    <row r="7">
      <c r="A7" s="117"/>
      <c r="B7" s="117">
        <v>1.0</v>
      </c>
      <c r="C7" s="46" t="s">
        <v>629</v>
      </c>
      <c r="D7" s="46" t="s">
        <v>630</v>
      </c>
      <c r="E7" s="117">
        <v>2.0</v>
      </c>
      <c r="F7" s="117">
        <v>0.0</v>
      </c>
      <c r="G7" s="118"/>
      <c r="H7" s="8"/>
      <c r="I7" s="119">
        <v>46143.71030371528</v>
      </c>
      <c r="K7" s="9">
        <v>1.0</v>
      </c>
    </row>
    <row r="8">
      <c r="A8" s="117"/>
      <c r="B8" s="117">
        <v>1.0</v>
      </c>
      <c r="C8" s="46" t="s">
        <v>629</v>
      </c>
      <c r="D8" s="46" t="s">
        <v>631</v>
      </c>
      <c r="E8" s="117">
        <v>2.0</v>
      </c>
      <c r="F8" s="117">
        <v>0.0</v>
      </c>
      <c r="G8" s="118"/>
      <c r="H8" s="8"/>
      <c r="I8" s="119">
        <v>46143.710376539355</v>
      </c>
      <c r="J8" s="37" t="s">
        <v>65</v>
      </c>
      <c r="K8" s="9">
        <v>1.0</v>
      </c>
    </row>
    <row r="9">
      <c r="A9" s="117"/>
      <c r="B9" s="117">
        <v>1.0</v>
      </c>
      <c r="C9" s="46" t="s">
        <v>629</v>
      </c>
      <c r="D9" s="46" t="s">
        <v>631</v>
      </c>
      <c r="E9" s="117">
        <v>2.0</v>
      </c>
      <c r="F9" s="117">
        <v>0.0</v>
      </c>
      <c r="G9" s="118"/>
      <c r="H9" s="8"/>
      <c r="I9" s="119">
        <v>46143.710401041666</v>
      </c>
      <c r="J9" s="37" t="s">
        <v>65</v>
      </c>
      <c r="K9" s="9">
        <v>1.0</v>
      </c>
    </row>
    <row r="10">
      <c r="A10" s="117"/>
      <c r="B10" s="117">
        <v>1.0</v>
      </c>
      <c r="C10" s="46" t="s">
        <v>629</v>
      </c>
      <c r="D10" s="46" t="s">
        <v>631</v>
      </c>
      <c r="E10" s="117">
        <v>2.0</v>
      </c>
      <c r="F10" s="117">
        <v>0.0</v>
      </c>
      <c r="G10" s="118"/>
      <c r="H10" s="8"/>
      <c r="I10" s="119">
        <v>46143.71042548611</v>
      </c>
      <c r="K10" s="9">
        <v>1.0</v>
      </c>
    </row>
    <row r="11">
      <c r="A11" s="117"/>
      <c r="B11" s="117">
        <v>1.0</v>
      </c>
      <c r="C11" s="46" t="s">
        <v>629</v>
      </c>
      <c r="D11" s="46" t="s">
        <v>354</v>
      </c>
      <c r="E11" s="117">
        <v>2.0</v>
      </c>
      <c r="F11" s="117">
        <v>0.0</v>
      </c>
      <c r="G11" s="118"/>
      <c r="H11" s="8"/>
      <c r="I11" s="119">
        <v>46143.71049766203</v>
      </c>
      <c r="J11" s="37" t="s">
        <v>65</v>
      </c>
      <c r="K11" s="9">
        <v>1.0</v>
      </c>
    </row>
    <row r="12">
      <c r="A12" s="117"/>
      <c r="B12" s="117">
        <v>1.0</v>
      </c>
      <c r="C12" s="46" t="s">
        <v>629</v>
      </c>
      <c r="D12" s="46" t="s">
        <v>635</v>
      </c>
      <c r="E12" s="117">
        <v>2.0</v>
      </c>
      <c r="F12" s="117">
        <v>0.0</v>
      </c>
      <c r="G12" s="118"/>
      <c r="H12" s="8"/>
      <c r="I12" s="119">
        <v>46143.711976770835</v>
      </c>
      <c r="K12" s="9">
        <v>1.0</v>
      </c>
    </row>
    <row r="13">
      <c r="A13" s="117"/>
      <c r="B13" s="117">
        <v>1.0</v>
      </c>
      <c r="C13" s="46" t="s">
        <v>629</v>
      </c>
      <c r="D13" s="46" t="s">
        <v>635</v>
      </c>
      <c r="E13" s="117">
        <v>2.0</v>
      </c>
      <c r="F13" s="117">
        <v>0.0</v>
      </c>
      <c r="G13" s="118"/>
      <c r="H13" s="8"/>
      <c r="I13" s="119">
        <v>46143.712001238426</v>
      </c>
      <c r="K13" s="9">
        <v>1.0</v>
      </c>
    </row>
    <row r="14">
      <c r="A14" s="117"/>
      <c r="B14" s="117">
        <v>1.0</v>
      </c>
      <c r="C14" s="46" t="s">
        <v>629</v>
      </c>
      <c r="D14" s="46" t="s">
        <v>635</v>
      </c>
      <c r="E14" s="117">
        <v>2.0</v>
      </c>
      <c r="F14" s="117">
        <v>0.0</v>
      </c>
      <c r="G14" s="118"/>
      <c r="H14" s="8"/>
      <c r="I14" s="119">
        <v>46143.71202569445</v>
      </c>
      <c r="K14" s="9">
        <v>1.0</v>
      </c>
    </row>
    <row r="15">
      <c r="A15" s="117"/>
      <c r="B15" s="117">
        <v>1.0</v>
      </c>
      <c r="C15" s="46" t="s">
        <v>629</v>
      </c>
      <c r="D15" s="46" t="s">
        <v>636</v>
      </c>
      <c r="E15" s="117">
        <v>2.0</v>
      </c>
      <c r="F15" s="117">
        <v>0.0</v>
      </c>
      <c r="G15" s="118"/>
      <c r="H15" s="8"/>
      <c r="I15" s="119">
        <v>46143.71349606481</v>
      </c>
      <c r="J15" s="37" t="s">
        <v>65</v>
      </c>
      <c r="K15" s="9">
        <v>1.0</v>
      </c>
    </row>
    <row r="16">
      <c r="A16" s="117"/>
      <c r="B16" s="117">
        <v>1.0</v>
      </c>
      <c r="C16" s="46" t="s">
        <v>629</v>
      </c>
      <c r="D16" s="46" t="s">
        <v>636</v>
      </c>
      <c r="E16" s="117">
        <v>2.0</v>
      </c>
      <c r="F16" s="117">
        <v>0.0</v>
      </c>
      <c r="G16" s="118"/>
      <c r="H16" s="8"/>
      <c r="I16" s="119">
        <v>46143.7135212963</v>
      </c>
      <c r="J16" s="37" t="s">
        <v>65</v>
      </c>
      <c r="K16" s="9">
        <v>1.0</v>
      </c>
    </row>
    <row r="17">
      <c r="A17" s="117"/>
      <c r="B17" s="117">
        <v>1.0</v>
      </c>
      <c r="C17" s="46" t="s">
        <v>629</v>
      </c>
      <c r="D17" s="46" t="s">
        <v>636</v>
      </c>
      <c r="E17" s="117">
        <v>2.0</v>
      </c>
      <c r="F17" s="117">
        <v>0.0</v>
      </c>
      <c r="G17" s="118"/>
      <c r="H17" s="8"/>
      <c r="I17" s="119">
        <v>46143.71354571759</v>
      </c>
      <c r="J17" s="37" t="s">
        <v>65</v>
      </c>
      <c r="K17" s="9">
        <v>1.0</v>
      </c>
    </row>
    <row r="18">
      <c r="A18" s="117"/>
      <c r="B18" s="117">
        <v>1.0</v>
      </c>
      <c r="C18" s="46" t="s">
        <v>629</v>
      </c>
      <c r="D18" s="46" t="s">
        <v>639</v>
      </c>
      <c r="E18" s="117">
        <v>2.0</v>
      </c>
      <c r="F18" s="117">
        <v>0.0</v>
      </c>
      <c r="G18" s="118"/>
      <c r="H18" s="8"/>
      <c r="I18" s="119">
        <v>46143.71361615741</v>
      </c>
      <c r="K18" s="9">
        <v>1.0</v>
      </c>
    </row>
    <row r="19">
      <c r="A19" s="117"/>
      <c r="B19" s="117">
        <v>1.0</v>
      </c>
      <c r="C19" s="46" t="s">
        <v>629</v>
      </c>
      <c r="D19" s="46" t="s">
        <v>639</v>
      </c>
      <c r="E19" s="117">
        <v>2.0</v>
      </c>
      <c r="F19" s="117">
        <v>0.0</v>
      </c>
      <c r="G19" s="118"/>
      <c r="H19" s="8"/>
      <c r="I19" s="119">
        <v>46143.713640601854</v>
      </c>
      <c r="K19" s="9">
        <v>1.0</v>
      </c>
    </row>
    <row r="20">
      <c r="A20" s="117"/>
      <c r="B20" s="117">
        <v>1.0</v>
      </c>
      <c r="C20" s="46" t="s">
        <v>629</v>
      </c>
      <c r="D20" s="46" t="s">
        <v>639</v>
      </c>
      <c r="E20" s="117">
        <v>2.0</v>
      </c>
      <c r="F20" s="117">
        <v>0.0</v>
      </c>
      <c r="G20" s="118"/>
      <c r="H20" s="8"/>
      <c r="I20" s="119">
        <v>46143.71366512732</v>
      </c>
      <c r="J20" s="11"/>
      <c r="K20" s="9">
        <v>1.0</v>
      </c>
    </row>
    <row r="21">
      <c r="A21" s="117"/>
      <c r="B21" s="117">
        <v>1.0</v>
      </c>
      <c r="C21" s="46" t="s">
        <v>629</v>
      </c>
      <c r="D21" s="46" t="s">
        <v>472</v>
      </c>
      <c r="E21" s="117">
        <v>2.0</v>
      </c>
      <c r="F21" s="117">
        <v>0.0</v>
      </c>
      <c r="G21" s="118"/>
      <c r="H21" s="8"/>
      <c r="I21" s="119">
        <v>46143.713740266205</v>
      </c>
      <c r="J21" s="37" t="s">
        <v>65</v>
      </c>
      <c r="K21" s="9">
        <v>1.0</v>
      </c>
    </row>
    <row r="22">
      <c r="A22" s="117"/>
      <c r="B22" s="117">
        <v>1.0</v>
      </c>
      <c r="C22" s="46" t="s">
        <v>629</v>
      </c>
      <c r="D22" s="46" t="s">
        <v>472</v>
      </c>
      <c r="E22" s="117">
        <v>2.0</v>
      </c>
      <c r="F22" s="117">
        <v>0.0</v>
      </c>
      <c r="G22" s="118"/>
      <c r="H22" s="8"/>
      <c r="I22" s="119">
        <v>46143.71376471064</v>
      </c>
      <c r="J22" s="37" t="s">
        <v>65</v>
      </c>
      <c r="K22" s="9">
        <v>1.0</v>
      </c>
    </row>
    <row r="23">
      <c r="A23" s="117"/>
      <c r="B23" s="117">
        <v>1.0</v>
      </c>
      <c r="C23" s="46" t="s">
        <v>629</v>
      </c>
      <c r="D23" s="46" t="s">
        <v>472</v>
      </c>
      <c r="E23" s="117">
        <v>2.0</v>
      </c>
      <c r="F23" s="117">
        <v>0.0</v>
      </c>
      <c r="G23" s="118"/>
      <c r="H23" s="8"/>
      <c r="I23" s="119">
        <v>46143.713789305555</v>
      </c>
      <c r="J23" s="37" t="s">
        <v>65</v>
      </c>
      <c r="K23" s="9">
        <v>1.0</v>
      </c>
    </row>
    <row r="24">
      <c r="A24" s="117"/>
      <c r="B24" s="117">
        <v>2.0</v>
      </c>
      <c r="C24" s="46" t="s">
        <v>629</v>
      </c>
      <c r="D24" s="46" t="s">
        <v>334</v>
      </c>
      <c r="E24" s="117">
        <v>2.0</v>
      </c>
      <c r="F24" s="117">
        <v>0.0</v>
      </c>
      <c r="G24" s="118"/>
      <c r="H24" s="8"/>
      <c r="I24" s="119">
        <v>46150.88035896991</v>
      </c>
      <c r="J24" s="37" t="s">
        <v>65</v>
      </c>
      <c r="K24" s="11"/>
    </row>
    <row r="25">
      <c r="A25" s="117"/>
      <c r="B25" s="117">
        <v>2.0</v>
      </c>
      <c r="C25" s="46" t="s">
        <v>629</v>
      </c>
      <c r="D25" s="46" t="s">
        <v>334</v>
      </c>
      <c r="E25" s="117">
        <v>2.0</v>
      </c>
      <c r="F25" s="117">
        <v>0.0</v>
      </c>
      <c r="G25" s="118"/>
      <c r="H25" s="8"/>
      <c r="I25" s="119">
        <v>46150.88038747685</v>
      </c>
      <c r="J25" s="11"/>
      <c r="K25" s="11"/>
    </row>
    <row r="26">
      <c r="A26" s="117"/>
      <c r="B26" s="117">
        <v>2.0</v>
      </c>
      <c r="C26" s="46" t="s">
        <v>629</v>
      </c>
      <c r="D26" s="46" t="s">
        <v>334</v>
      </c>
      <c r="E26" s="117">
        <v>2.0</v>
      </c>
      <c r="F26" s="117">
        <v>0.0</v>
      </c>
      <c r="G26" s="118"/>
      <c r="H26" s="8"/>
      <c r="I26" s="119">
        <v>46150.88041189815</v>
      </c>
      <c r="J26" s="11"/>
      <c r="K26" s="11"/>
    </row>
    <row r="27">
      <c r="A27" s="117"/>
      <c r="B27" s="117">
        <v>2.0</v>
      </c>
      <c r="C27" s="46" t="s">
        <v>629</v>
      </c>
      <c r="D27" s="46" t="s">
        <v>372</v>
      </c>
      <c r="E27" s="117">
        <v>2.0</v>
      </c>
      <c r="F27" s="117">
        <v>0.0</v>
      </c>
      <c r="G27" s="118"/>
      <c r="H27" s="8"/>
      <c r="I27" s="119">
        <v>46150.89078003472</v>
      </c>
      <c r="J27" s="37" t="s">
        <v>65</v>
      </c>
      <c r="K27" s="11"/>
    </row>
    <row r="28">
      <c r="A28" s="117"/>
      <c r="B28" s="117">
        <v>2.0</v>
      </c>
      <c r="C28" s="46" t="s">
        <v>629</v>
      </c>
      <c r="D28" s="46" t="s">
        <v>372</v>
      </c>
      <c r="E28" s="117">
        <v>2.0</v>
      </c>
      <c r="F28" s="117">
        <v>0.0</v>
      </c>
      <c r="G28" s="118"/>
      <c r="H28" s="8"/>
      <c r="I28" s="119">
        <v>46150.89080443287</v>
      </c>
      <c r="J28" s="37" t="s">
        <v>65</v>
      </c>
      <c r="K28" s="11"/>
    </row>
    <row r="29">
      <c r="A29" s="117"/>
      <c r="B29" s="117">
        <v>2.0</v>
      </c>
      <c r="C29" s="46" t="s">
        <v>629</v>
      </c>
      <c r="D29" s="46" t="s">
        <v>410</v>
      </c>
      <c r="E29" s="117">
        <v>2.0</v>
      </c>
      <c r="F29" s="117">
        <v>0.0</v>
      </c>
      <c r="G29" s="118"/>
      <c r="H29" s="8"/>
      <c r="I29" s="119">
        <v>46150.89771975695</v>
      </c>
      <c r="J29" s="37" t="s">
        <v>65</v>
      </c>
      <c r="K29" s="11"/>
    </row>
    <row r="30">
      <c r="A30" s="117"/>
      <c r="B30" s="117">
        <v>2.0</v>
      </c>
      <c r="C30" s="46" t="s">
        <v>629</v>
      </c>
      <c r="D30" s="46" t="s">
        <v>410</v>
      </c>
      <c r="E30" s="117">
        <v>2.0</v>
      </c>
      <c r="F30" s="117">
        <v>0.0</v>
      </c>
      <c r="G30" s="118"/>
      <c r="H30" s="8"/>
      <c r="I30" s="119">
        <v>46150.89774414352</v>
      </c>
      <c r="J30" s="37" t="s">
        <v>65</v>
      </c>
      <c r="K30" s="11"/>
    </row>
    <row r="31">
      <c r="A31" s="117"/>
      <c r="B31" s="117">
        <v>2.0</v>
      </c>
      <c r="C31" s="46" t="s">
        <v>629</v>
      </c>
      <c r="D31" s="46" t="s">
        <v>410</v>
      </c>
      <c r="E31" s="117">
        <v>2.0</v>
      </c>
      <c r="F31" s="117">
        <v>0.0</v>
      </c>
      <c r="G31" s="118"/>
      <c r="H31" s="8"/>
      <c r="I31" s="119">
        <v>46150.897768518524</v>
      </c>
      <c r="J31" s="37" t="s">
        <v>65</v>
      </c>
      <c r="K31" s="11"/>
    </row>
    <row r="32">
      <c r="A32" s="117"/>
      <c r="B32" s="117">
        <v>2.0</v>
      </c>
      <c r="C32" s="46" t="s">
        <v>629</v>
      </c>
      <c r="D32" s="46" t="s">
        <v>417</v>
      </c>
      <c r="E32" s="117">
        <v>2.0</v>
      </c>
      <c r="F32" s="117">
        <v>0.0</v>
      </c>
      <c r="G32" s="118"/>
      <c r="H32" s="8"/>
      <c r="I32" s="119">
        <v>46150.89780535879</v>
      </c>
      <c r="J32" s="37" t="s">
        <v>65</v>
      </c>
      <c r="K32" s="11"/>
    </row>
    <row r="33">
      <c r="A33" s="117"/>
      <c r="B33" s="117">
        <v>2.0</v>
      </c>
      <c r="C33" s="46" t="s">
        <v>629</v>
      </c>
      <c r="D33" s="46" t="s">
        <v>417</v>
      </c>
      <c r="E33" s="117">
        <v>2.0</v>
      </c>
      <c r="F33" s="117">
        <v>0.0</v>
      </c>
      <c r="G33" s="118"/>
      <c r="H33" s="8"/>
      <c r="I33" s="119">
        <v>46150.89782975694</v>
      </c>
      <c r="J33" s="37" t="s">
        <v>65</v>
      </c>
      <c r="K33" s="11"/>
    </row>
    <row r="34">
      <c r="A34" s="117"/>
      <c r="B34" s="117">
        <v>2.0</v>
      </c>
      <c r="C34" s="46" t="s">
        <v>629</v>
      </c>
      <c r="D34" s="46" t="s">
        <v>417</v>
      </c>
      <c r="E34" s="117">
        <v>2.0</v>
      </c>
      <c r="F34" s="117">
        <v>0.0</v>
      </c>
      <c r="G34" s="118"/>
      <c r="H34" s="8"/>
      <c r="I34" s="119">
        <v>46150.897854131945</v>
      </c>
      <c r="J34" s="37" t="s">
        <v>65</v>
      </c>
      <c r="K34" s="11"/>
    </row>
    <row r="35">
      <c r="A35" s="117"/>
      <c r="B35" s="117">
        <v>2.0</v>
      </c>
      <c r="C35" s="46" t="s">
        <v>629</v>
      </c>
      <c r="D35" s="46" t="s">
        <v>630</v>
      </c>
      <c r="E35" s="117">
        <v>2.0</v>
      </c>
      <c r="F35" s="117">
        <v>0.0</v>
      </c>
      <c r="G35" s="118"/>
      <c r="H35" s="8"/>
      <c r="I35" s="119">
        <v>46150.897891493056</v>
      </c>
      <c r="J35" s="11"/>
      <c r="K35" s="11"/>
    </row>
    <row r="36">
      <c r="A36" s="117"/>
      <c r="B36" s="117">
        <v>2.0</v>
      </c>
      <c r="C36" s="46" t="s">
        <v>629</v>
      </c>
      <c r="D36" s="46" t="s">
        <v>630</v>
      </c>
      <c r="E36" s="117">
        <v>2.0</v>
      </c>
      <c r="F36" s="117">
        <v>0.0</v>
      </c>
      <c r="G36" s="118"/>
      <c r="H36" s="8"/>
      <c r="I36" s="119">
        <v>46150.89791587963</v>
      </c>
      <c r="J36" s="11"/>
      <c r="K36" s="11"/>
    </row>
    <row r="37">
      <c r="A37" s="117"/>
      <c r="B37" s="117">
        <v>2.0</v>
      </c>
      <c r="C37" s="46" t="s">
        <v>629</v>
      </c>
      <c r="D37" s="46" t="s">
        <v>630</v>
      </c>
      <c r="E37" s="117">
        <v>2.0</v>
      </c>
      <c r="F37" s="117">
        <v>0.0</v>
      </c>
      <c r="G37" s="118"/>
      <c r="H37" s="8"/>
      <c r="I37" s="119">
        <v>46150.89794027778</v>
      </c>
      <c r="J37" s="11"/>
      <c r="K37" s="11"/>
    </row>
    <row r="38">
      <c r="A38" s="117"/>
      <c r="B38" s="117">
        <v>2.0</v>
      </c>
      <c r="C38" s="46" t="s">
        <v>629</v>
      </c>
      <c r="D38" s="46" t="s">
        <v>630</v>
      </c>
      <c r="E38" s="117">
        <v>2.0</v>
      </c>
      <c r="F38" s="117">
        <v>0.0</v>
      </c>
      <c r="G38" s="118"/>
      <c r="H38" s="8"/>
      <c r="I38" s="119">
        <v>46150.89796466436</v>
      </c>
      <c r="J38" s="11"/>
      <c r="K38" s="11"/>
    </row>
    <row r="39">
      <c r="A39" s="117"/>
      <c r="B39" s="117">
        <v>2.0</v>
      </c>
      <c r="C39" s="46" t="s">
        <v>629</v>
      </c>
      <c r="D39" s="46" t="s">
        <v>630</v>
      </c>
      <c r="E39" s="117">
        <v>2.0</v>
      </c>
      <c r="F39" s="117">
        <v>0.0</v>
      </c>
      <c r="G39" s="118"/>
      <c r="H39" s="8"/>
      <c r="I39" s="119">
        <v>46150.897989062505</v>
      </c>
      <c r="J39" s="11"/>
      <c r="K39" s="11"/>
    </row>
    <row r="40">
      <c r="A40" s="117"/>
      <c r="B40" s="117">
        <v>2.0</v>
      </c>
      <c r="C40" s="46" t="s">
        <v>629</v>
      </c>
      <c r="D40" s="46" t="s">
        <v>293</v>
      </c>
      <c r="E40" s="117">
        <v>2.0</v>
      </c>
      <c r="F40" s="117">
        <v>0.0</v>
      </c>
      <c r="G40" s="118"/>
      <c r="H40" s="8"/>
      <c r="I40" s="119">
        <v>46150.89803599537</v>
      </c>
      <c r="J40" s="11"/>
      <c r="K40" s="11"/>
    </row>
    <row r="41">
      <c r="A41" s="117"/>
      <c r="B41" s="117">
        <v>2.0</v>
      </c>
      <c r="C41" s="46" t="s">
        <v>629</v>
      </c>
      <c r="D41" s="46" t="s">
        <v>293</v>
      </c>
      <c r="E41" s="117">
        <v>2.0</v>
      </c>
      <c r="F41" s="117">
        <v>0.0</v>
      </c>
      <c r="G41" s="118"/>
      <c r="H41" s="8"/>
      <c r="I41" s="119">
        <v>46150.89806039352</v>
      </c>
      <c r="J41" s="11"/>
      <c r="K41" s="11"/>
    </row>
    <row r="42">
      <c r="A42" s="117"/>
      <c r="B42" s="117">
        <v>2.0</v>
      </c>
      <c r="C42" s="46" t="s">
        <v>629</v>
      </c>
      <c r="D42" s="46" t="s">
        <v>242</v>
      </c>
      <c r="E42" s="117">
        <v>2.0</v>
      </c>
      <c r="F42" s="117">
        <v>0.0</v>
      </c>
      <c r="G42" s="118"/>
      <c r="H42" s="8"/>
      <c r="I42" s="119">
        <v>46150.89809754629</v>
      </c>
      <c r="J42" s="11"/>
      <c r="K42" s="11"/>
    </row>
    <row r="43">
      <c r="A43" s="117"/>
      <c r="B43" s="117">
        <v>2.0</v>
      </c>
      <c r="C43" s="46" t="s">
        <v>629</v>
      </c>
      <c r="D43" s="46" t="s">
        <v>242</v>
      </c>
      <c r="E43" s="117">
        <v>2.0</v>
      </c>
      <c r="F43" s="117">
        <v>0.0</v>
      </c>
      <c r="G43" s="118"/>
      <c r="H43" s="8"/>
      <c r="I43" s="119">
        <v>46150.89812195602</v>
      </c>
      <c r="J43" s="11"/>
      <c r="K43" s="11"/>
    </row>
    <row r="44">
      <c r="A44" s="117"/>
      <c r="B44" s="117">
        <v>2.0</v>
      </c>
      <c r="C44" s="46" t="s">
        <v>629</v>
      </c>
      <c r="D44" s="46" t="s">
        <v>242</v>
      </c>
      <c r="E44" s="117">
        <v>2.0</v>
      </c>
      <c r="F44" s="117">
        <v>0.0</v>
      </c>
      <c r="G44" s="118"/>
      <c r="H44" s="8"/>
      <c r="I44" s="119">
        <v>46150.89814636574</v>
      </c>
      <c r="J44" s="11"/>
      <c r="K44" s="11"/>
    </row>
    <row r="45">
      <c r="A45" s="117"/>
      <c r="B45" s="117">
        <v>2.0</v>
      </c>
      <c r="C45" s="46" t="s">
        <v>629</v>
      </c>
      <c r="D45" s="46" t="s">
        <v>156</v>
      </c>
      <c r="E45" s="117">
        <v>2.0</v>
      </c>
      <c r="F45" s="117">
        <v>0.0</v>
      </c>
      <c r="G45" s="118"/>
      <c r="H45" s="8"/>
      <c r="I45" s="119">
        <v>46150.89818211806</v>
      </c>
      <c r="J45" s="37" t="s">
        <v>65</v>
      </c>
      <c r="K45" s="11"/>
    </row>
    <row r="46">
      <c r="A46" s="117"/>
      <c r="B46" s="117">
        <v>2.0</v>
      </c>
      <c r="C46" s="46" t="s">
        <v>629</v>
      </c>
      <c r="D46" s="46" t="s">
        <v>156</v>
      </c>
      <c r="E46" s="117">
        <v>2.0</v>
      </c>
      <c r="F46" s="117">
        <v>0.0</v>
      </c>
      <c r="G46" s="118"/>
      <c r="H46" s="8"/>
      <c r="I46" s="119">
        <v>46150.89820650463</v>
      </c>
      <c r="J46" s="11"/>
      <c r="K46" s="11"/>
    </row>
    <row r="47">
      <c r="A47" s="117"/>
      <c r="B47" s="117">
        <v>2.0</v>
      </c>
      <c r="C47" s="46" t="s">
        <v>629</v>
      </c>
      <c r="D47" s="46" t="s">
        <v>156</v>
      </c>
      <c r="E47" s="117">
        <v>2.0</v>
      </c>
      <c r="F47" s="117">
        <v>0.0</v>
      </c>
      <c r="G47" s="118"/>
      <c r="H47" s="8"/>
      <c r="I47" s="119">
        <v>46150.8982309375</v>
      </c>
      <c r="J47" s="11"/>
      <c r="K47" s="11"/>
    </row>
    <row r="48">
      <c r="A48" s="117"/>
      <c r="B48" s="117">
        <v>2.0</v>
      </c>
      <c r="C48" s="46" t="s">
        <v>629</v>
      </c>
      <c r="D48" s="46" t="s">
        <v>631</v>
      </c>
      <c r="E48" s="117">
        <v>2.0</v>
      </c>
      <c r="F48" s="117">
        <v>0.0</v>
      </c>
      <c r="G48" s="118"/>
      <c r="H48" s="8"/>
      <c r="I48" s="119">
        <v>46150.898272280094</v>
      </c>
      <c r="J48" s="11"/>
      <c r="K48" s="11"/>
    </row>
    <row r="49">
      <c r="A49" s="117"/>
      <c r="B49" s="117">
        <v>2.0</v>
      </c>
      <c r="C49" s="46" t="s">
        <v>629</v>
      </c>
      <c r="D49" s="46" t="s">
        <v>631</v>
      </c>
      <c r="E49" s="117">
        <v>2.0</v>
      </c>
      <c r="F49" s="117">
        <v>0.0</v>
      </c>
      <c r="G49" s="118"/>
      <c r="H49" s="8"/>
      <c r="I49" s="119">
        <v>46150.898296666666</v>
      </c>
      <c r="J49" s="11"/>
      <c r="K49" s="11"/>
    </row>
    <row r="50">
      <c r="A50" s="117"/>
      <c r="B50" s="117">
        <v>2.0</v>
      </c>
      <c r="C50" s="46" t="s">
        <v>629</v>
      </c>
      <c r="D50" s="46" t="s">
        <v>631</v>
      </c>
      <c r="E50" s="117">
        <v>2.0</v>
      </c>
      <c r="F50" s="117">
        <v>0.0</v>
      </c>
      <c r="G50" s="118"/>
      <c r="H50" s="8"/>
      <c r="I50" s="119">
        <v>46150.898321064815</v>
      </c>
      <c r="J50" s="11"/>
      <c r="K50" s="11"/>
    </row>
    <row r="51">
      <c r="A51" s="117"/>
      <c r="B51" s="117">
        <v>2.0</v>
      </c>
      <c r="C51" s="46" t="s">
        <v>629</v>
      </c>
      <c r="D51" s="46" t="s">
        <v>631</v>
      </c>
      <c r="E51" s="117">
        <v>2.0</v>
      </c>
      <c r="F51" s="117">
        <v>0.0</v>
      </c>
      <c r="G51" s="118"/>
      <c r="H51" s="8"/>
      <c r="I51" s="119">
        <v>46150.89834543981</v>
      </c>
      <c r="J51" s="11"/>
      <c r="K51" s="11"/>
    </row>
    <row r="52">
      <c r="A52" s="117"/>
      <c r="B52" s="117">
        <v>2.0</v>
      </c>
      <c r="C52" s="46" t="s">
        <v>629</v>
      </c>
      <c r="D52" s="46" t="s">
        <v>631</v>
      </c>
      <c r="E52" s="117">
        <v>2.0</v>
      </c>
      <c r="F52" s="117">
        <v>0.0</v>
      </c>
      <c r="G52" s="118"/>
      <c r="H52" s="8"/>
      <c r="I52" s="119">
        <v>46150.89836986111</v>
      </c>
      <c r="K52" s="11"/>
    </row>
    <row r="53">
      <c r="A53" s="117"/>
      <c r="B53" s="117">
        <v>2.0</v>
      </c>
      <c r="C53" s="46" t="s">
        <v>629</v>
      </c>
      <c r="D53" s="46" t="s">
        <v>289</v>
      </c>
      <c r="E53" s="117">
        <v>2.0</v>
      </c>
      <c r="F53" s="117">
        <v>0.0</v>
      </c>
      <c r="G53" s="118"/>
      <c r="H53" s="8"/>
      <c r="I53" s="119">
        <v>46150.89840679398</v>
      </c>
      <c r="K53" s="11"/>
    </row>
    <row r="54">
      <c r="A54" s="117"/>
      <c r="B54" s="117">
        <v>2.0</v>
      </c>
      <c r="C54" s="46" t="s">
        <v>629</v>
      </c>
      <c r="D54" s="46" t="s">
        <v>289</v>
      </c>
      <c r="E54" s="117">
        <v>2.0</v>
      </c>
      <c r="F54" s="117">
        <v>0.0</v>
      </c>
      <c r="G54" s="118"/>
      <c r="H54" s="8"/>
      <c r="I54" s="119">
        <v>46150.89843122685</v>
      </c>
      <c r="K54" s="11"/>
    </row>
    <row r="55">
      <c r="A55" s="117"/>
      <c r="B55" s="117">
        <v>2.0</v>
      </c>
      <c r="C55" s="46" t="s">
        <v>629</v>
      </c>
      <c r="D55" s="46" t="s">
        <v>289</v>
      </c>
      <c r="E55" s="117">
        <v>2.0</v>
      </c>
      <c r="F55" s="117">
        <v>0.0</v>
      </c>
      <c r="G55" s="118"/>
      <c r="H55" s="8"/>
      <c r="I55" s="119">
        <v>46150.898455636576</v>
      </c>
      <c r="K55" s="11"/>
    </row>
    <row r="56">
      <c r="A56" s="117"/>
      <c r="B56" s="117">
        <v>2.0</v>
      </c>
      <c r="C56" s="46" t="s">
        <v>629</v>
      </c>
      <c r="D56" s="46" t="s">
        <v>289</v>
      </c>
      <c r="E56" s="117">
        <v>2.0</v>
      </c>
      <c r="F56" s="117">
        <v>0.0</v>
      </c>
      <c r="G56" s="118"/>
      <c r="H56" s="8"/>
      <c r="I56" s="119">
        <v>46150.89848005787</v>
      </c>
      <c r="K56" s="11"/>
    </row>
    <row r="57">
      <c r="A57" s="117"/>
      <c r="B57" s="117">
        <v>2.0</v>
      </c>
      <c r="C57" s="46" t="s">
        <v>629</v>
      </c>
      <c r="D57" s="46" t="s">
        <v>635</v>
      </c>
      <c r="E57" s="117">
        <v>2.0</v>
      </c>
      <c r="F57" s="117">
        <v>0.0</v>
      </c>
      <c r="G57" s="118"/>
      <c r="H57" s="8"/>
      <c r="I57" s="119">
        <v>46150.89851672454</v>
      </c>
      <c r="K57" s="11"/>
    </row>
    <row r="58">
      <c r="A58" s="117"/>
      <c r="B58" s="117">
        <v>2.0</v>
      </c>
      <c r="C58" s="46" t="s">
        <v>629</v>
      </c>
      <c r="D58" s="46" t="s">
        <v>635</v>
      </c>
      <c r="E58" s="117">
        <v>2.0</v>
      </c>
      <c r="F58" s="117">
        <v>0.0</v>
      </c>
      <c r="G58" s="118"/>
      <c r="H58" s="8"/>
      <c r="I58" s="119">
        <v>46150.89854112269</v>
      </c>
      <c r="J58" s="11"/>
      <c r="K58" s="11"/>
    </row>
    <row r="59">
      <c r="A59" s="117"/>
      <c r="B59" s="117">
        <v>2.0</v>
      </c>
      <c r="C59" s="46" t="s">
        <v>629</v>
      </c>
      <c r="D59" s="46" t="s">
        <v>635</v>
      </c>
      <c r="E59" s="117">
        <v>2.0</v>
      </c>
      <c r="F59" s="117">
        <v>0.0</v>
      </c>
      <c r="G59" s="118"/>
      <c r="H59" s="8"/>
      <c r="I59" s="119">
        <v>46150.89856553241</v>
      </c>
      <c r="K59" s="11"/>
    </row>
    <row r="60">
      <c r="A60" s="117"/>
      <c r="B60" s="117">
        <v>2.0</v>
      </c>
      <c r="C60" s="46" t="s">
        <v>629</v>
      </c>
      <c r="D60" s="46" t="s">
        <v>635</v>
      </c>
      <c r="E60" s="117">
        <v>2.0</v>
      </c>
      <c r="F60" s="117">
        <v>0.0</v>
      </c>
      <c r="G60" s="118"/>
      <c r="H60" s="8"/>
      <c r="I60" s="119">
        <v>46150.898589930555</v>
      </c>
      <c r="K60" s="11"/>
    </row>
    <row r="61">
      <c r="A61" s="117"/>
      <c r="B61" s="117">
        <v>2.0</v>
      </c>
      <c r="C61" s="46" t="s">
        <v>629</v>
      </c>
      <c r="D61" s="46" t="s">
        <v>635</v>
      </c>
      <c r="E61" s="117">
        <v>2.0</v>
      </c>
      <c r="F61" s="117">
        <v>0.0</v>
      </c>
      <c r="G61" s="118"/>
      <c r="H61" s="8"/>
      <c r="I61" s="119">
        <v>46150.89861429398</v>
      </c>
      <c r="K61" s="11"/>
    </row>
    <row r="62">
      <c r="A62" s="117"/>
      <c r="B62" s="117">
        <v>2.0</v>
      </c>
      <c r="C62" s="46" t="s">
        <v>629</v>
      </c>
      <c r="D62" s="46" t="s">
        <v>292</v>
      </c>
      <c r="E62" s="117">
        <v>2.0</v>
      </c>
      <c r="F62" s="117">
        <v>0.0</v>
      </c>
      <c r="G62" s="118"/>
      <c r="H62" s="8"/>
      <c r="I62" s="119">
        <v>46150.89865649305</v>
      </c>
      <c r="J62" s="11"/>
      <c r="K62" s="11"/>
    </row>
    <row r="63">
      <c r="A63" s="117"/>
      <c r="B63" s="117">
        <v>2.0</v>
      </c>
      <c r="C63" s="46" t="s">
        <v>629</v>
      </c>
      <c r="D63" s="46" t="s">
        <v>292</v>
      </c>
      <c r="E63" s="117">
        <v>2.0</v>
      </c>
      <c r="F63" s="117">
        <v>0.0</v>
      </c>
      <c r="G63" s="118"/>
      <c r="H63" s="8"/>
      <c r="I63" s="119">
        <v>46150.89868092592</v>
      </c>
      <c r="K63" s="11"/>
    </row>
    <row r="64">
      <c r="A64" s="117"/>
      <c r="B64" s="117">
        <v>2.0</v>
      </c>
      <c r="C64" s="46" t="s">
        <v>629</v>
      </c>
      <c r="D64" s="46" t="s">
        <v>215</v>
      </c>
      <c r="E64" s="117">
        <v>2.0</v>
      </c>
      <c r="F64" s="117">
        <v>0.0</v>
      </c>
      <c r="G64" s="118"/>
      <c r="H64" s="8"/>
      <c r="I64" s="119">
        <v>46150.898719537036</v>
      </c>
      <c r="J64" s="37" t="s">
        <v>65</v>
      </c>
      <c r="K64" s="11"/>
    </row>
    <row r="65">
      <c r="A65" s="117"/>
      <c r="B65" s="117">
        <v>2.0</v>
      </c>
      <c r="C65" s="46" t="s">
        <v>629</v>
      </c>
      <c r="D65" s="46" t="s">
        <v>636</v>
      </c>
      <c r="E65" s="117">
        <v>2.0</v>
      </c>
      <c r="F65" s="117">
        <v>0.0</v>
      </c>
      <c r="G65" s="118"/>
      <c r="H65" s="8"/>
      <c r="I65" s="119">
        <v>46150.898757546296</v>
      </c>
      <c r="J65" s="37" t="s">
        <v>65</v>
      </c>
      <c r="K65" s="11"/>
    </row>
    <row r="66">
      <c r="A66" s="117"/>
      <c r="B66" s="117">
        <v>2.0</v>
      </c>
      <c r="C66" s="46" t="s">
        <v>629</v>
      </c>
      <c r="D66" s="46" t="s">
        <v>636</v>
      </c>
      <c r="E66" s="117">
        <v>2.0</v>
      </c>
      <c r="F66" s="117">
        <v>0.0</v>
      </c>
      <c r="G66" s="118"/>
      <c r="H66" s="8"/>
      <c r="I66" s="119">
        <v>46150.89878195601</v>
      </c>
      <c r="J66" s="11"/>
      <c r="K66" s="11"/>
    </row>
    <row r="67">
      <c r="A67" s="117"/>
      <c r="B67" s="117">
        <v>2.0</v>
      </c>
      <c r="C67" s="46" t="s">
        <v>629</v>
      </c>
      <c r="D67" s="46" t="s">
        <v>636</v>
      </c>
      <c r="E67" s="117">
        <v>2.0</v>
      </c>
      <c r="F67" s="117">
        <v>0.0</v>
      </c>
      <c r="G67" s="118"/>
      <c r="H67" s="8"/>
      <c r="I67" s="119">
        <v>46150.898806377314</v>
      </c>
      <c r="J67" s="11"/>
      <c r="K67" s="11"/>
    </row>
    <row r="68">
      <c r="A68" s="117"/>
      <c r="B68" s="117">
        <v>2.0</v>
      </c>
      <c r="C68" s="46" t="s">
        <v>629</v>
      </c>
      <c r="D68" s="46" t="s">
        <v>636</v>
      </c>
      <c r="E68" s="117">
        <v>2.0</v>
      </c>
      <c r="F68" s="117">
        <v>0.0</v>
      </c>
      <c r="G68" s="118"/>
      <c r="H68" s="8"/>
      <c r="I68" s="119">
        <v>46150.898830798615</v>
      </c>
      <c r="J68" s="11"/>
      <c r="K68" s="11"/>
    </row>
    <row r="69">
      <c r="A69" s="117"/>
      <c r="B69" s="117">
        <v>2.0</v>
      </c>
      <c r="C69" s="46" t="s">
        <v>629</v>
      </c>
      <c r="D69" s="46" t="s">
        <v>636</v>
      </c>
      <c r="E69" s="117">
        <v>2.0</v>
      </c>
      <c r="F69" s="117">
        <v>0.0</v>
      </c>
      <c r="G69" s="118"/>
      <c r="H69" s="8"/>
      <c r="I69" s="119">
        <v>46150.89885519676</v>
      </c>
      <c r="K69" s="11"/>
    </row>
    <row r="70">
      <c r="A70" s="117"/>
      <c r="B70" s="117">
        <v>2.0</v>
      </c>
      <c r="C70" s="46" t="s">
        <v>629</v>
      </c>
      <c r="D70" s="46" t="s">
        <v>390</v>
      </c>
      <c r="E70" s="117">
        <v>2.0</v>
      </c>
      <c r="F70" s="117">
        <v>0.0</v>
      </c>
      <c r="G70" s="118"/>
      <c r="H70" s="8"/>
      <c r="I70" s="119">
        <v>46150.89889430556</v>
      </c>
      <c r="J70" s="37" t="s">
        <v>65</v>
      </c>
      <c r="K70" s="11"/>
    </row>
    <row r="71">
      <c r="A71" s="117"/>
      <c r="B71" s="117">
        <v>2.0</v>
      </c>
      <c r="C71" s="46" t="s">
        <v>629</v>
      </c>
      <c r="D71" s="46" t="s">
        <v>390</v>
      </c>
      <c r="E71" s="117">
        <v>2.0</v>
      </c>
      <c r="F71" s="117">
        <v>0.0</v>
      </c>
      <c r="G71" s="118"/>
      <c r="H71" s="8"/>
      <c r="I71" s="119">
        <v>46150.898918692124</v>
      </c>
      <c r="K71" s="11"/>
    </row>
    <row r="72">
      <c r="A72" s="117"/>
      <c r="B72" s="117">
        <v>2.0</v>
      </c>
      <c r="C72" s="46" t="s">
        <v>629</v>
      </c>
      <c r="D72" s="46" t="s">
        <v>390</v>
      </c>
      <c r="E72" s="117">
        <v>2.0</v>
      </c>
      <c r="F72" s="117">
        <v>0.0</v>
      </c>
      <c r="G72" s="118"/>
      <c r="H72" s="8"/>
      <c r="I72" s="119">
        <v>46150.898943078704</v>
      </c>
      <c r="K72" s="11"/>
    </row>
    <row r="73">
      <c r="A73" s="117"/>
      <c r="B73" s="117">
        <v>2.0</v>
      </c>
      <c r="C73" s="46" t="s">
        <v>629</v>
      </c>
      <c r="D73" s="46" t="s">
        <v>639</v>
      </c>
      <c r="E73" s="117">
        <v>2.0</v>
      </c>
      <c r="F73" s="117">
        <v>0.0</v>
      </c>
      <c r="G73" s="118"/>
      <c r="H73" s="8"/>
      <c r="I73" s="119">
        <v>46150.89898049769</v>
      </c>
      <c r="K73" s="11"/>
    </row>
    <row r="74">
      <c r="A74" s="117"/>
      <c r="B74" s="117">
        <v>2.0</v>
      </c>
      <c r="C74" s="46" t="s">
        <v>629</v>
      </c>
      <c r="D74" s="46" t="s">
        <v>639</v>
      </c>
      <c r="E74" s="117">
        <v>2.0</v>
      </c>
      <c r="F74" s="117">
        <v>0.0</v>
      </c>
      <c r="G74" s="118"/>
      <c r="H74" s="8"/>
      <c r="I74" s="119">
        <v>46150.89900488426</v>
      </c>
      <c r="K74" s="11"/>
    </row>
    <row r="75">
      <c r="A75" s="117"/>
      <c r="B75" s="117">
        <v>2.0</v>
      </c>
      <c r="C75" s="46" t="s">
        <v>629</v>
      </c>
      <c r="D75" s="46" t="s">
        <v>639</v>
      </c>
      <c r="E75" s="117">
        <v>2.0</v>
      </c>
      <c r="F75" s="117">
        <v>0.0</v>
      </c>
      <c r="G75" s="118"/>
      <c r="H75" s="8"/>
      <c r="I75" s="119">
        <v>46150.89902927083</v>
      </c>
      <c r="K75" s="11"/>
    </row>
    <row r="76">
      <c r="A76" s="117"/>
      <c r="B76" s="117">
        <v>2.0</v>
      </c>
      <c r="C76" s="46" t="s">
        <v>629</v>
      </c>
      <c r="D76" s="46" t="s">
        <v>639</v>
      </c>
      <c r="E76" s="117">
        <v>2.0</v>
      </c>
      <c r="F76" s="117">
        <v>0.0</v>
      </c>
      <c r="G76" s="118"/>
      <c r="H76" s="8"/>
      <c r="I76" s="119">
        <v>46150.89905364583</v>
      </c>
      <c r="J76" s="11"/>
      <c r="K76" s="11"/>
    </row>
    <row r="77">
      <c r="A77" s="117"/>
      <c r="B77" s="117">
        <v>2.0</v>
      </c>
      <c r="C77" s="46" t="s">
        <v>629</v>
      </c>
      <c r="D77" s="46" t="s">
        <v>639</v>
      </c>
      <c r="E77" s="117">
        <v>2.0</v>
      </c>
      <c r="F77" s="117">
        <v>0.0</v>
      </c>
      <c r="G77" s="118"/>
      <c r="H77" s="8"/>
      <c r="I77" s="119">
        <v>46150.89907803241</v>
      </c>
      <c r="J77" s="11"/>
      <c r="K77" s="11"/>
    </row>
    <row r="78">
      <c r="A78" s="117"/>
      <c r="B78" s="117">
        <v>2.0</v>
      </c>
      <c r="C78" s="46" t="s">
        <v>629</v>
      </c>
      <c r="D78" s="46" t="s">
        <v>399</v>
      </c>
      <c r="E78" s="117">
        <v>2.0</v>
      </c>
      <c r="F78" s="117">
        <v>0.0</v>
      </c>
      <c r="G78" s="118"/>
      <c r="H78" s="8"/>
      <c r="I78" s="119">
        <v>46152.08601020833</v>
      </c>
      <c r="J78" s="9">
        <v>1.0</v>
      </c>
      <c r="K78" s="11"/>
    </row>
    <row r="79">
      <c r="A79" s="117"/>
      <c r="B79" s="117">
        <v>2.0</v>
      </c>
      <c r="C79" s="46" t="s">
        <v>629</v>
      </c>
      <c r="D79" s="46" t="s">
        <v>399</v>
      </c>
      <c r="E79" s="117">
        <v>2.0</v>
      </c>
      <c r="F79" s="117">
        <v>0.0</v>
      </c>
      <c r="G79" s="118"/>
      <c r="H79" s="8"/>
      <c r="I79" s="119">
        <v>46152.08601020833</v>
      </c>
      <c r="J79" s="9">
        <v>1.0</v>
      </c>
      <c r="K79" s="11"/>
    </row>
    <row r="80">
      <c r="A80" s="117"/>
      <c r="B80" s="117">
        <v>2.0</v>
      </c>
      <c r="C80" s="46" t="s">
        <v>629</v>
      </c>
      <c r="D80" s="46" t="s">
        <v>399</v>
      </c>
      <c r="E80" s="117">
        <v>2.0</v>
      </c>
      <c r="F80" s="117">
        <v>0.0</v>
      </c>
      <c r="G80" s="118"/>
      <c r="H80" s="8"/>
      <c r="I80" s="119">
        <v>46152.08601020833</v>
      </c>
      <c r="J80" s="9">
        <v>1.0</v>
      </c>
      <c r="K80" s="11"/>
    </row>
    <row r="81">
      <c r="A81" s="117"/>
      <c r="B81" s="117">
        <v>2.0</v>
      </c>
      <c r="C81" s="46" t="s">
        <v>629</v>
      </c>
      <c r="D81" s="46" t="s">
        <v>399</v>
      </c>
      <c r="E81" s="117">
        <v>2.0</v>
      </c>
      <c r="F81" s="117">
        <v>0.0</v>
      </c>
      <c r="G81" s="118"/>
      <c r="H81" s="8"/>
      <c r="I81" s="119">
        <v>46152.08601020833</v>
      </c>
      <c r="J81" s="9">
        <v>1.0</v>
      </c>
      <c r="K81" s="11"/>
    </row>
    <row r="82">
      <c r="A82" s="117"/>
      <c r="B82" s="117">
        <v>2.0</v>
      </c>
      <c r="C82" s="46" t="s">
        <v>629</v>
      </c>
      <c r="D82" s="46" t="s">
        <v>399</v>
      </c>
      <c r="E82" s="117">
        <v>2.0</v>
      </c>
      <c r="F82" s="117">
        <v>0.0</v>
      </c>
      <c r="G82" s="118"/>
      <c r="H82" s="8"/>
      <c r="I82" s="119">
        <v>46152.08601020833</v>
      </c>
      <c r="J82" s="9">
        <v>1.0</v>
      </c>
      <c r="K82" s="11"/>
    </row>
    <row r="83">
      <c r="A83" s="117"/>
      <c r="B83" s="117">
        <v>2.0</v>
      </c>
      <c r="C83" s="46" t="s">
        <v>629</v>
      </c>
      <c r="D83" s="46" t="s">
        <v>399</v>
      </c>
      <c r="E83" s="117">
        <v>2.0</v>
      </c>
      <c r="F83" s="117">
        <v>0.0</v>
      </c>
      <c r="G83" s="118"/>
      <c r="H83" s="8"/>
      <c r="I83" s="119">
        <v>46152.08601020833</v>
      </c>
      <c r="J83" s="9">
        <v>1.0</v>
      </c>
      <c r="K83" s="11"/>
    </row>
    <row r="84">
      <c r="A84" s="117"/>
      <c r="B84" s="117">
        <v>2.0</v>
      </c>
      <c r="C84" s="46" t="s">
        <v>629</v>
      </c>
      <c r="D84" s="46" t="s">
        <v>399</v>
      </c>
      <c r="E84" s="117">
        <v>2.0</v>
      </c>
      <c r="F84" s="117">
        <v>0.0</v>
      </c>
      <c r="G84" s="118"/>
      <c r="H84" s="8"/>
      <c r="I84" s="119">
        <v>46152.08601020833</v>
      </c>
      <c r="J84" s="9">
        <v>1.0</v>
      </c>
      <c r="K84" s="11"/>
    </row>
    <row r="85">
      <c r="A85" s="117"/>
      <c r="B85" s="117">
        <v>2.0</v>
      </c>
      <c r="C85" s="46" t="s">
        <v>629</v>
      </c>
      <c r="D85" s="46" t="s">
        <v>399</v>
      </c>
      <c r="E85" s="117">
        <v>2.0</v>
      </c>
      <c r="F85" s="117">
        <v>0.0</v>
      </c>
      <c r="G85" s="118"/>
      <c r="H85" s="8"/>
      <c r="I85" s="119">
        <v>46152.08601020833</v>
      </c>
      <c r="J85" s="9">
        <v>1.0</v>
      </c>
      <c r="K85" s="11"/>
    </row>
    <row r="86">
      <c r="A86" s="117"/>
      <c r="B86" s="117">
        <v>3.0</v>
      </c>
      <c r="C86" s="46" t="s">
        <v>629</v>
      </c>
      <c r="D86" s="46" t="s">
        <v>260</v>
      </c>
      <c r="E86" s="117">
        <v>2.0</v>
      </c>
      <c r="F86" s="117">
        <v>0.0</v>
      </c>
      <c r="G86" s="118"/>
      <c r="H86" s="8"/>
      <c r="I86" s="119">
        <v>46155.52230865741</v>
      </c>
      <c r="J86" s="9">
        <v>1.0</v>
      </c>
      <c r="K86" s="11"/>
    </row>
    <row r="87">
      <c r="A87" s="117"/>
      <c r="B87" s="117">
        <v>3.0</v>
      </c>
      <c r="C87" s="46" t="s">
        <v>629</v>
      </c>
      <c r="D87" s="46" t="s">
        <v>260</v>
      </c>
      <c r="E87" s="117">
        <v>2.0</v>
      </c>
      <c r="F87" s="117">
        <v>0.0</v>
      </c>
      <c r="G87" s="118"/>
      <c r="H87" s="8"/>
      <c r="I87" s="119">
        <v>46155.52230865741</v>
      </c>
      <c r="J87" s="9">
        <v>1.0</v>
      </c>
      <c r="K87" s="11"/>
    </row>
    <row r="88">
      <c r="A88" s="117"/>
      <c r="B88" s="117">
        <v>3.0</v>
      </c>
      <c r="C88" s="46" t="s">
        <v>629</v>
      </c>
      <c r="D88" s="46" t="s">
        <v>388</v>
      </c>
      <c r="E88" s="117">
        <v>2.0</v>
      </c>
      <c r="F88" s="117">
        <v>0.0</v>
      </c>
      <c r="G88" s="118"/>
      <c r="H88" s="8"/>
      <c r="I88" s="119">
        <v>46156.35845351852</v>
      </c>
      <c r="J88" s="37" t="s">
        <v>65</v>
      </c>
      <c r="K88" s="11"/>
    </row>
    <row r="89">
      <c r="A89" s="117"/>
      <c r="B89" s="117">
        <v>3.0</v>
      </c>
      <c r="C89" s="46" t="s">
        <v>629</v>
      </c>
      <c r="D89" s="46" t="s">
        <v>173</v>
      </c>
      <c r="E89" s="117">
        <v>2.0</v>
      </c>
      <c r="F89" s="117">
        <v>0.0</v>
      </c>
      <c r="G89" s="118"/>
      <c r="H89" s="8"/>
      <c r="I89" s="119">
        <v>46157.62319564815</v>
      </c>
      <c r="J89" s="37" t="s">
        <v>65</v>
      </c>
      <c r="K89" s="11"/>
    </row>
    <row r="90">
      <c r="A90" s="117"/>
      <c r="B90" s="117">
        <v>3.0</v>
      </c>
      <c r="C90" s="46" t="s">
        <v>629</v>
      </c>
      <c r="D90" s="46" t="s">
        <v>334</v>
      </c>
      <c r="E90" s="117">
        <v>2.0</v>
      </c>
      <c r="F90" s="117">
        <v>0.0</v>
      </c>
      <c r="G90" s="118"/>
      <c r="H90" s="8"/>
      <c r="I90" s="119">
        <v>46157.71022586805</v>
      </c>
      <c r="J90" s="11"/>
      <c r="K90" s="11"/>
    </row>
    <row r="91">
      <c r="A91" s="117"/>
      <c r="B91" s="117">
        <v>3.0</v>
      </c>
      <c r="C91" s="46" t="s">
        <v>629</v>
      </c>
      <c r="D91" s="46" t="s">
        <v>334</v>
      </c>
      <c r="E91" s="117">
        <v>2.0</v>
      </c>
      <c r="F91" s="117">
        <v>0.0</v>
      </c>
      <c r="G91" s="118"/>
      <c r="H91" s="8"/>
      <c r="I91" s="119">
        <v>46157.71025038195</v>
      </c>
      <c r="J91" s="11"/>
      <c r="K91" s="11"/>
    </row>
    <row r="92">
      <c r="A92" s="117"/>
      <c r="B92" s="117">
        <v>3.0</v>
      </c>
      <c r="C92" s="46" t="s">
        <v>629</v>
      </c>
      <c r="D92" s="46" t="s">
        <v>334</v>
      </c>
      <c r="E92" s="117">
        <v>2.0</v>
      </c>
      <c r="F92" s="117">
        <v>0.0</v>
      </c>
      <c r="G92" s="118"/>
      <c r="H92" s="8"/>
      <c r="I92" s="119">
        <v>46157.71027480324</v>
      </c>
      <c r="J92" s="11"/>
      <c r="K92" s="11"/>
    </row>
    <row r="93">
      <c r="A93" s="117"/>
      <c r="B93" s="117">
        <v>3.0</v>
      </c>
      <c r="C93" s="46" t="s">
        <v>629</v>
      </c>
      <c r="D93" s="46" t="s">
        <v>77</v>
      </c>
      <c r="E93" s="117">
        <v>2.0</v>
      </c>
      <c r="F93" s="117">
        <v>0.0</v>
      </c>
      <c r="G93" s="118"/>
      <c r="H93" s="8"/>
      <c r="I93" s="119">
        <v>46157.71031253472</v>
      </c>
      <c r="J93" s="37" t="s">
        <v>65</v>
      </c>
      <c r="K93" s="11"/>
    </row>
    <row r="94">
      <c r="A94" s="117"/>
      <c r="B94" s="117">
        <v>3.0</v>
      </c>
      <c r="C94" s="46" t="s">
        <v>629</v>
      </c>
      <c r="D94" s="46" t="s">
        <v>77</v>
      </c>
      <c r="E94" s="117">
        <v>2.0</v>
      </c>
      <c r="F94" s="117">
        <v>0.0</v>
      </c>
      <c r="G94" s="118"/>
      <c r="H94" s="8"/>
      <c r="I94" s="119">
        <v>46157.710340300924</v>
      </c>
      <c r="J94" s="11"/>
      <c r="K94" s="11"/>
    </row>
    <row r="95">
      <c r="A95" s="117"/>
      <c r="B95" s="117">
        <v>3.0</v>
      </c>
      <c r="C95" s="46" t="s">
        <v>629</v>
      </c>
      <c r="D95" s="46" t="s">
        <v>252</v>
      </c>
      <c r="E95" s="117">
        <v>2.0</v>
      </c>
      <c r="F95" s="117">
        <v>0.0</v>
      </c>
      <c r="G95" s="118"/>
      <c r="H95" s="8"/>
      <c r="I95" s="119">
        <v>46157.710379641205</v>
      </c>
      <c r="J95" s="37" t="s">
        <v>65</v>
      </c>
      <c r="K95" s="11"/>
    </row>
    <row r="96">
      <c r="A96" s="117"/>
      <c r="B96" s="117">
        <v>3.0</v>
      </c>
      <c r="C96" s="46" t="s">
        <v>629</v>
      </c>
      <c r="D96" s="46" t="s">
        <v>378</v>
      </c>
      <c r="E96" s="117">
        <v>2.0</v>
      </c>
      <c r="F96" s="117">
        <v>0.0</v>
      </c>
      <c r="G96" s="118"/>
      <c r="H96" s="8"/>
      <c r="I96" s="119">
        <v>46157.710422916665</v>
      </c>
      <c r="J96" s="37" t="s">
        <v>65</v>
      </c>
      <c r="K96" s="11"/>
    </row>
    <row r="97">
      <c r="A97" s="117"/>
      <c r="B97" s="117">
        <v>3.0</v>
      </c>
      <c r="C97" s="46" t="s">
        <v>629</v>
      </c>
      <c r="D97" s="46" t="s">
        <v>378</v>
      </c>
      <c r="E97" s="117">
        <v>2.0</v>
      </c>
      <c r="F97" s="117">
        <v>0.0</v>
      </c>
      <c r="G97" s="118"/>
      <c r="H97" s="8"/>
      <c r="I97" s="119">
        <v>46157.71044969907</v>
      </c>
      <c r="J97" s="11"/>
      <c r="K97" s="11"/>
    </row>
    <row r="98">
      <c r="A98" s="117"/>
      <c r="B98" s="117">
        <v>3.0</v>
      </c>
      <c r="C98" s="46" t="s">
        <v>629</v>
      </c>
      <c r="D98" s="46" t="s">
        <v>378</v>
      </c>
      <c r="E98" s="117">
        <v>2.0</v>
      </c>
      <c r="F98" s="117">
        <v>0.0</v>
      </c>
      <c r="G98" s="118"/>
      <c r="H98" s="8"/>
      <c r="I98" s="119">
        <v>46157.7104769213</v>
      </c>
      <c r="J98" s="11"/>
      <c r="K98" s="11"/>
    </row>
    <row r="99">
      <c r="A99" s="117"/>
      <c r="B99" s="117">
        <v>3.0</v>
      </c>
      <c r="C99" s="46" t="s">
        <v>629</v>
      </c>
      <c r="D99" s="46" t="s">
        <v>378</v>
      </c>
      <c r="E99" s="117">
        <v>2.0</v>
      </c>
      <c r="F99" s="117">
        <v>0.0</v>
      </c>
      <c r="G99" s="118"/>
      <c r="H99" s="8"/>
      <c r="I99" s="119">
        <v>46157.71050366898</v>
      </c>
      <c r="J99" s="11"/>
      <c r="K99" s="11"/>
    </row>
    <row r="100">
      <c r="A100" s="117"/>
      <c r="B100" s="117">
        <v>3.0</v>
      </c>
      <c r="C100" s="46" t="s">
        <v>629</v>
      </c>
      <c r="D100" s="46" t="s">
        <v>372</v>
      </c>
      <c r="E100" s="117">
        <v>2.0</v>
      </c>
      <c r="F100" s="117">
        <v>0.0</v>
      </c>
      <c r="G100" s="118"/>
      <c r="H100" s="8"/>
      <c r="I100" s="119">
        <v>46157.710550902775</v>
      </c>
      <c r="J100" s="11"/>
      <c r="K100" s="11"/>
    </row>
    <row r="101">
      <c r="A101" s="117"/>
      <c r="B101" s="117">
        <v>3.0</v>
      </c>
      <c r="C101" s="46" t="s">
        <v>629</v>
      </c>
      <c r="D101" s="46" t="s">
        <v>72</v>
      </c>
      <c r="E101" s="117">
        <v>2.0</v>
      </c>
      <c r="F101" s="117">
        <v>0.0</v>
      </c>
      <c r="G101" s="118"/>
      <c r="H101" s="8"/>
      <c r="I101" s="119">
        <v>46157.710643252314</v>
      </c>
      <c r="J101" s="11"/>
      <c r="K101" s="11"/>
    </row>
    <row r="102">
      <c r="A102" s="117"/>
      <c r="B102" s="117">
        <v>3.0</v>
      </c>
      <c r="C102" s="46" t="s">
        <v>629</v>
      </c>
      <c r="D102" s="46" t="s">
        <v>72</v>
      </c>
      <c r="E102" s="117">
        <v>2.0</v>
      </c>
      <c r="F102" s="117">
        <v>0.0</v>
      </c>
      <c r="G102" s="118"/>
      <c r="H102" s="8"/>
      <c r="I102" s="119">
        <v>46157.710670347224</v>
      </c>
      <c r="J102" s="11"/>
      <c r="K102" s="11"/>
    </row>
    <row r="103">
      <c r="A103" s="117"/>
      <c r="B103" s="117">
        <v>3.0</v>
      </c>
      <c r="C103" s="46" t="s">
        <v>629</v>
      </c>
      <c r="D103" s="46" t="s">
        <v>72</v>
      </c>
      <c r="E103" s="117">
        <v>2.0</v>
      </c>
      <c r="F103" s="117">
        <v>0.0</v>
      </c>
      <c r="G103" s="118"/>
      <c r="H103" s="8"/>
      <c r="I103" s="119">
        <v>46157.71069582176</v>
      </c>
      <c r="J103" s="11"/>
      <c r="K103" s="11"/>
    </row>
    <row r="104">
      <c r="A104" s="117"/>
      <c r="B104" s="117">
        <v>3.0</v>
      </c>
      <c r="C104" s="46" t="s">
        <v>629</v>
      </c>
      <c r="D104" s="46" t="s">
        <v>72</v>
      </c>
      <c r="E104" s="117">
        <v>2.0</v>
      </c>
      <c r="F104" s="117">
        <v>0.0</v>
      </c>
      <c r="G104" s="118"/>
      <c r="H104" s="8"/>
      <c r="I104" s="119">
        <v>46157.710720358795</v>
      </c>
      <c r="J104" s="11"/>
      <c r="K104" s="11"/>
    </row>
    <row r="105">
      <c r="A105" s="117"/>
      <c r="B105" s="117">
        <v>3.0</v>
      </c>
      <c r="C105" s="46" t="s">
        <v>629</v>
      </c>
      <c r="D105" s="46" t="s">
        <v>180</v>
      </c>
      <c r="E105" s="117">
        <v>2.0</v>
      </c>
      <c r="F105" s="117">
        <v>0.0</v>
      </c>
      <c r="G105" s="118"/>
      <c r="H105" s="8"/>
      <c r="I105" s="119">
        <v>46157.71076159722</v>
      </c>
      <c r="J105" s="37" t="s">
        <v>65</v>
      </c>
      <c r="K105" s="11"/>
    </row>
    <row r="106">
      <c r="A106" s="117"/>
      <c r="B106" s="117">
        <v>3.0</v>
      </c>
      <c r="C106" s="46" t="s">
        <v>629</v>
      </c>
      <c r="D106" s="46" t="s">
        <v>180</v>
      </c>
      <c r="E106" s="117">
        <v>2.0</v>
      </c>
      <c r="F106" s="117">
        <v>0.0</v>
      </c>
      <c r="G106" s="118"/>
      <c r="H106" s="8"/>
      <c r="I106" s="119">
        <v>46157.71078716435</v>
      </c>
      <c r="J106" s="11"/>
      <c r="K106" s="11"/>
    </row>
    <row r="107">
      <c r="A107" s="117"/>
      <c r="B107" s="117">
        <v>3.0</v>
      </c>
      <c r="C107" s="46" t="s">
        <v>629</v>
      </c>
      <c r="D107" s="46" t="s">
        <v>250</v>
      </c>
      <c r="E107" s="117">
        <v>2.0</v>
      </c>
      <c r="F107" s="117">
        <v>0.0</v>
      </c>
      <c r="G107" s="118"/>
      <c r="H107" s="8"/>
      <c r="I107" s="119">
        <v>46157.71084613426</v>
      </c>
      <c r="J107" s="37" t="s">
        <v>65</v>
      </c>
      <c r="K107" s="11"/>
    </row>
    <row r="108">
      <c r="A108" s="117"/>
      <c r="B108" s="117">
        <v>3.0</v>
      </c>
      <c r="C108" s="46" t="s">
        <v>629</v>
      </c>
      <c r="D108" s="46" t="s">
        <v>141</v>
      </c>
      <c r="E108" s="117">
        <v>2.0</v>
      </c>
      <c r="F108" s="117">
        <v>0.0</v>
      </c>
      <c r="G108" s="118"/>
      <c r="H108" s="8"/>
      <c r="I108" s="119">
        <v>46157.71089475694</v>
      </c>
      <c r="J108" s="37" t="s">
        <v>65</v>
      </c>
      <c r="K108" s="11"/>
    </row>
    <row r="109">
      <c r="A109" s="117"/>
      <c r="B109" s="117">
        <v>3.0</v>
      </c>
      <c r="C109" s="46" t="s">
        <v>629</v>
      </c>
      <c r="D109" s="46" t="s">
        <v>141</v>
      </c>
      <c r="E109" s="117">
        <v>2.0</v>
      </c>
      <c r="F109" s="117">
        <v>0.0</v>
      </c>
      <c r="G109" s="118"/>
      <c r="H109" s="8"/>
      <c r="I109" s="119">
        <v>46157.71091917824</v>
      </c>
      <c r="J109" s="37" t="s">
        <v>65</v>
      </c>
      <c r="K109" s="11"/>
    </row>
    <row r="110">
      <c r="A110" s="117"/>
      <c r="B110" s="117">
        <v>3.0</v>
      </c>
      <c r="C110" s="46" t="s">
        <v>629</v>
      </c>
      <c r="D110" s="46" t="s">
        <v>402</v>
      </c>
      <c r="E110" s="117">
        <v>2.0</v>
      </c>
      <c r="F110" s="117">
        <v>0.0</v>
      </c>
      <c r="G110" s="118"/>
      <c r="H110" s="8"/>
      <c r="I110" s="119">
        <v>46157.71095625</v>
      </c>
      <c r="J110" s="37" t="s">
        <v>65</v>
      </c>
      <c r="K110" s="11"/>
    </row>
    <row r="111">
      <c r="A111" s="117"/>
      <c r="B111" s="117">
        <v>3.0</v>
      </c>
      <c r="C111" s="46" t="s">
        <v>629</v>
      </c>
      <c r="D111" s="46" t="s">
        <v>402</v>
      </c>
      <c r="E111" s="117">
        <v>2.0</v>
      </c>
      <c r="F111" s="117">
        <v>0.0</v>
      </c>
      <c r="G111" s="118"/>
      <c r="H111" s="8"/>
      <c r="I111" s="119">
        <v>46157.71098069444</v>
      </c>
      <c r="J111" s="37" t="s">
        <v>65</v>
      </c>
      <c r="K111" s="11"/>
    </row>
    <row r="112">
      <c r="A112" s="117"/>
      <c r="B112" s="117">
        <v>3.0</v>
      </c>
      <c r="C112" s="46" t="s">
        <v>629</v>
      </c>
      <c r="D112" s="46" t="s">
        <v>421</v>
      </c>
      <c r="E112" s="117">
        <v>2.0</v>
      </c>
      <c r="F112" s="117">
        <v>0.0</v>
      </c>
      <c r="G112" s="118"/>
      <c r="H112" s="8"/>
      <c r="I112" s="119">
        <v>46157.711029328704</v>
      </c>
      <c r="J112" s="37" t="s">
        <v>65</v>
      </c>
      <c r="K112" s="11"/>
    </row>
    <row r="113">
      <c r="A113" s="117"/>
      <c r="B113" s="117">
        <v>3.0</v>
      </c>
      <c r="C113" s="46" t="s">
        <v>629</v>
      </c>
      <c r="D113" s="46" t="s">
        <v>351</v>
      </c>
      <c r="E113" s="117">
        <v>2.0</v>
      </c>
      <c r="F113" s="117">
        <v>0.0</v>
      </c>
      <c r="G113" s="118"/>
      <c r="H113" s="8"/>
      <c r="I113" s="119">
        <v>46157.71107804398</v>
      </c>
      <c r="J113" s="11"/>
      <c r="K113" s="11"/>
    </row>
    <row r="114">
      <c r="A114" s="117"/>
      <c r="B114" s="117">
        <v>3.0</v>
      </c>
      <c r="C114" s="46" t="s">
        <v>629</v>
      </c>
      <c r="D114" s="46" t="s">
        <v>630</v>
      </c>
      <c r="E114" s="117">
        <v>2.0</v>
      </c>
      <c r="F114" s="117">
        <v>0.0</v>
      </c>
      <c r="G114" s="118"/>
      <c r="H114" s="8"/>
      <c r="I114" s="119">
        <v>46157.711116412036</v>
      </c>
      <c r="J114" s="11"/>
      <c r="K114" s="11"/>
    </row>
    <row r="115">
      <c r="A115" s="117"/>
      <c r="B115" s="117">
        <v>3.0</v>
      </c>
      <c r="C115" s="46" t="s">
        <v>629</v>
      </c>
      <c r="D115" s="46" t="s">
        <v>630</v>
      </c>
      <c r="E115" s="117">
        <v>2.0</v>
      </c>
      <c r="F115" s="117">
        <v>0.0</v>
      </c>
      <c r="G115" s="118"/>
      <c r="H115" s="8"/>
      <c r="I115" s="119">
        <v>46157.711141203705</v>
      </c>
      <c r="J115" s="11"/>
      <c r="K115" s="11"/>
    </row>
    <row r="116">
      <c r="A116" s="117"/>
      <c r="B116" s="117">
        <v>3.0</v>
      </c>
      <c r="C116" s="46" t="s">
        <v>629</v>
      </c>
      <c r="D116" s="46" t="s">
        <v>630</v>
      </c>
      <c r="E116" s="117">
        <v>2.0</v>
      </c>
      <c r="F116" s="117">
        <v>0.0</v>
      </c>
      <c r="G116" s="118"/>
      <c r="H116" s="8"/>
      <c r="I116" s="119">
        <v>46157.711165671295</v>
      </c>
      <c r="J116" s="11"/>
      <c r="K116" s="11"/>
    </row>
    <row r="117">
      <c r="A117" s="117"/>
      <c r="B117" s="117">
        <v>3.0</v>
      </c>
      <c r="C117" s="46" t="s">
        <v>629</v>
      </c>
      <c r="D117" s="46" t="s">
        <v>179</v>
      </c>
      <c r="E117" s="117">
        <v>2.0</v>
      </c>
      <c r="F117" s="117">
        <v>0.0</v>
      </c>
      <c r="G117" s="118"/>
      <c r="H117" s="8"/>
      <c r="I117" s="119">
        <v>46157.71120322916</v>
      </c>
      <c r="J117" s="11"/>
      <c r="K117" s="11"/>
    </row>
    <row r="118">
      <c r="A118" s="117"/>
      <c r="B118" s="117">
        <v>3.0</v>
      </c>
      <c r="C118" s="46" t="s">
        <v>629</v>
      </c>
      <c r="D118" s="46" t="s">
        <v>179</v>
      </c>
      <c r="E118" s="117">
        <v>2.0</v>
      </c>
      <c r="F118" s="117">
        <v>0.0</v>
      </c>
      <c r="G118" s="118"/>
      <c r="H118" s="8"/>
      <c r="I118" s="119">
        <v>46157.71123072917</v>
      </c>
      <c r="J118" s="11"/>
      <c r="K118" s="11"/>
    </row>
    <row r="119">
      <c r="A119" s="117"/>
      <c r="B119" s="117">
        <v>3.0</v>
      </c>
      <c r="C119" s="46" t="s">
        <v>629</v>
      </c>
      <c r="D119" s="46" t="s">
        <v>179</v>
      </c>
      <c r="E119" s="117">
        <v>2.0</v>
      </c>
      <c r="F119" s="117">
        <v>0.0</v>
      </c>
      <c r="G119" s="118"/>
      <c r="H119" s="8"/>
      <c r="I119" s="119">
        <v>46157.7112552662</v>
      </c>
      <c r="J119" s="11"/>
      <c r="K119" s="11"/>
    </row>
    <row r="120">
      <c r="A120" s="117"/>
      <c r="B120" s="117">
        <v>3.0</v>
      </c>
      <c r="C120" s="46" t="s">
        <v>629</v>
      </c>
      <c r="D120" s="46" t="s">
        <v>179</v>
      </c>
      <c r="E120" s="117">
        <v>2.0</v>
      </c>
      <c r="F120" s="117">
        <v>0.0</v>
      </c>
      <c r="G120" s="118"/>
      <c r="H120" s="8"/>
      <c r="I120" s="119">
        <v>46157.711280104166</v>
      </c>
      <c r="J120" s="11"/>
      <c r="K120" s="11"/>
    </row>
    <row r="121">
      <c r="A121" s="117"/>
      <c r="B121" s="117">
        <v>3.0</v>
      </c>
      <c r="C121" s="46" t="s">
        <v>629</v>
      </c>
      <c r="D121" s="46" t="s">
        <v>406</v>
      </c>
      <c r="E121" s="117">
        <v>2.0</v>
      </c>
      <c r="F121" s="117">
        <v>0.0</v>
      </c>
      <c r="G121" s="118"/>
      <c r="H121" s="8"/>
      <c r="I121" s="119">
        <v>46157.71132952547</v>
      </c>
      <c r="J121" s="11"/>
      <c r="K121" s="11"/>
    </row>
    <row r="122">
      <c r="A122" s="117"/>
      <c r="B122" s="117">
        <v>3.0</v>
      </c>
      <c r="C122" s="46" t="s">
        <v>629</v>
      </c>
      <c r="D122" s="46" t="s">
        <v>406</v>
      </c>
      <c r="E122" s="117">
        <v>2.0</v>
      </c>
      <c r="F122" s="117">
        <v>0.0</v>
      </c>
      <c r="G122" s="118"/>
      <c r="H122" s="8"/>
      <c r="I122" s="119">
        <v>46157.711354259256</v>
      </c>
      <c r="J122" s="11"/>
      <c r="K122" s="11"/>
    </row>
    <row r="123">
      <c r="A123" s="117"/>
      <c r="B123" s="117">
        <v>3.0</v>
      </c>
      <c r="C123" s="46" t="s">
        <v>629</v>
      </c>
      <c r="D123" s="46" t="s">
        <v>406</v>
      </c>
      <c r="E123" s="117">
        <v>2.0</v>
      </c>
      <c r="F123" s="117">
        <v>0.0</v>
      </c>
      <c r="G123" s="118"/>
      <c r="H123" s="8"/>
      <c r="I123" s="119">
        <v>46157.71137866898</v>
      </c>
      <c r="J123" s="11"/>
      <c r="K123" s="11"/>
    </row>
    <row r="124">
      <c r="A124" s="117"/>
      <c r="B124" s="117">
        <v>3.0</v>
      </c>
      <c r="C124" s="46" t="s">
        <v>629</v>
      </c>
      <c r="D124" s="46" t="s">
        <v>293</v>
      </c>
      <c r="E124" s="117">
        <v>2.0</v>
      </c>
      <c r="F124" s="117">
        <v>0.0</v>
      </c>
      <c r="G124" s="118"/>
      <c r="H124" s="8"/>
      <c r="I124" s="119">
        <v>46157.71141668981</v>
      </c>
      <c r="J124" s="11"/>
      <c r="K124" s="11"/>
    </row>
    <row r="125">
      <c r="A125" s="117"/>
      <c r="B125" s="117">
        <v>3.0</v>
      </c>
      <c r="C125" s="46" t="s">
        <v>629</v>
      </c>
      <c r="D125" s="46" t="s">
        <v>293</v>
      </c>
      <c r="E125" s="117">
        <v>2.0</v>
      </c>
      <c r="F125" s="117">
        <v>0.0</v>
      </c>
      <c r="G125" s="118"/>
      <c r="H125" s="8"/>
      <c r="I125" s="119">
        <v>46157.71144125</v>
      </c>
      <c r="J125" s="11"/>
      <c r="K125" s="11"/>
    </row>
    <row r="126">
      <c r="A126" s="117"/>
      <c r="B126" s="117">
        <v>3.0</v>
      </c>
      <c r="C126" s="46" t="s">
        <v>629</v>
      </c>
      <c r="D126" s="46" t="s">
        <v>293</v>
      </c>
      <c r="E126" s="117">
        <v>2.0</v>
      </c>
      <c r="F126" s="117">
        <v>0.0</v>
      </c>
      <c r="G126" s="118"/>
      <c r="H126" s="8"/>
      <c r="I126" s="119">
        <v>46157.711465636574</v>
      </c>
      <c r="J126" s="11"/>
      <c r="K126" s="11"/>
    </row>
    <row r="127">
      <c r="A127" s="117"/>
      <c r="B127" s="117">
        <v>3.0</v>
      </c>
      <c r="C127" s="46" t="s">
        <v>629</v>
      </c>
      <c r="D127" s="46" t="s">
        <v>293</v>
      </c>
      <c r="E127" s="117">
        <v>2.0</v>
      </c>
      <c r="F127" s="117">
        <v>0.0</v>
      </c>
      <c r="G127" s="118"/>
      <c r="H127" s="8"/>
      <c r="I127" s="119">
        <v>46157.71149003472</v>
      </c>
      <c r="J127" s="11"/>
      <c r="K127" s="11"/>
    </row>
    <row r="128">
      <c r="A128" s="117"/>
      <c r="B128" s="117">
        <v>3.0</v>
      </c>
      <c r="C128" s="46" t="s">
        <v>629</v>
      </c>
      <c r="D128" s="46" t="s">
        <v>293</v>
      </c>
      <c r="E128" s="117">
        <v>2.0</v>
      </c>
      <c r="F128" s="117">
        <v>0.0</v>
      </c>
      <c r="G128" s="118"/>
      <c r="H128" s="8"/>
      <c r="I128" s="119">
        <v>46157.711514421295</v>
      </c>
      <c r="J128" s="11"/>
      <c r="K128" s="11"/>
    </row>
    <row r="129">
      <c r="A129" s="117"/>
      <c r="B129" s="117">
        <v>3.0</v>
      </c>
      <c r="C129" s="46" t="s">
        <v>629</v>
      </c>
      <c r="D129" s="46" t="s">
        <v>93</v>
      </c>
      <c r="E129" s="117">
        <v>2.0</v>
      </c>
      <c r="F129" s="117">
        <v>0.0</v>
      </c>
      <c r="G129" s="118"/>
      <c r="H129" s="8"/>
      <c r="I129" s="119">
        <v>46157.71155144676</v>
      </c>
      <c r="J129" s="37" t="s">
        <v>65</v>
      </c>
      <c r="K129" s="11"/>
    </row>
    <row r="130">
      <c r="A130" s="117"/>
      <c r="B130" s="117">
        <v>3.0</v>
      </c>
      <c r="C130" s="46" t="s">
        <v>629</v>
      </c>
      <c r="D130" s="46" t="s">
        <v>93</v>
      </c>
      <c r="E130" s="117">
        <v>2.0</v>
      </c>
      <c r="F130" s="117">
        <v>0.0</v>
      </c>
      <c r="G130" s="118"/>
      <c r="H130" s="8"/>
      <c r="I130" s="119">
        <v>46157.71157591435</v>
      </c>
      <c r="J130" s="37" t="s">
        <v>65</v>
      </c>
      <c r="K130" s="11"/>
    </row>
    <row r="131">
      <c r="A131" s="117"/>
      <c r="B131" s="117">
        <v>3.0</v>
      </c>
      <c r="C131" s="46" t="s">
        <v>629</v>
      </c>
      <c r="D131" s="46" t="s">
        <v>242</v>
      </c>
      <c r="E131" s="117">
        <v>2.0</v>
      </c>
      <c r="F131" s="117">
        <v>0.0</v>
      </c>
      <c r="G131" s="118"/>
      <c r="H131" s="8"/>
      <c r="I131" s="119">
        <v>46157.71162321759</v>
      </c>
      <c r="J131" s="11"/>
      <c r="K131" s="11"/>
    </row>
    <row r="132">
      <c r="A132" s="117"/>
      <c r="B132" s="117">
        <v>3.0</v>
      </c>
      <c r="C132" s="46" t="s">
        <v>629</v>
      </c>
      <c r="D132" s="46" t="s">
        <v>242</v>
      </c>
      <c r="E132" s="117">
        <v>2.0</v>
      </c>
      <c r="F132" s="117">
        <v>0.0</v>
      </c>
      <c r="G132" s="118"/>
      <c r="H132" s="8"/>
      <c r="I132" s="119">
        <v>46157.71164814815</v>
      </c>
      <c r="J132" s="11"/>
      <c r="K132" s="11"/>
    </row>
    <row r="133">
      <c r="A133" s="117"/>
      <c r="B133" s="117">
        <v>3.0</v>
      </c>
      <c r="C133" s="46" t="s">
        <v>629</v>
      </c>
      <c r="D133" s="46" t="s">
        <v>242</v>
      </c>
      <c r="E133" s="117">
        <v>2.0</v>
      </c>
      <c r="F133" s="117">
        <v>0.0</v>
      </c>
      <c r="G133" s="118"/>
      <c r="H133" s="8"/>
      <c r="I133" s="119">
        <v>46157.71167253472</v>
      </c>
      <c r="K133" s="11"/>
    </row>
    <row r="134">
      <c r="A134" s="117"/>
      <c r="B134" s="117">
        <v>3.0</v>
      </c>
      <c r="C134" s="46" t="s">
        <v>629</v>
      </c>
      <c r="D134" s="46" t="s">
        <v>242</v>
      </c>
      <c r="E134" s="117">
        <v>2.0</v>
      </c>
      <c r="F134" s="117">
        <v>0.0</v>
      </c>
      <c r="G134" s="118"/>
      <c r="H134" s="8"/>
      <c r="I134" s="119">
        <v>46157.71169689815</v>
      </c>
      <c r="J134" s="11"/>
      <c r="K134" s="11"/>
    </row>
    <row r="135">
      <c r="A135" s="117"/>
      <c r="B135" s="117">
        <v>3.0</v>
      </c>
      <c r="C135" s="46" t="s">
        <v>629</v>
      </c>
      <c r="D135" s="46" t="s">
        <v>156</v>
      </c>
      <c r="E135" s="117">
        <v>2.0</v>
      </c>
      <c r="F135" s="117">
        <v>0.0</v>
      </c>
      <c r="G135" s="118"/>
      <c r="H135" s="8"/>
      <c r="I135" s="119">
        <v>46157.711733819444</v>
      </c>
      <c r="J135" s="11"/>
      <c r="K135" s="11"/>
    </row>
    <row r="136">
      <c r="A136" s="117"/>
      <c r="B136" s="117">
        <v>3.0</v>
      </c>
      <c r="C136" s="46" t="s">
        <v>629</v>
      </c>
      <c r="D136" s="46" t="s">
        <v>156</v>
      </c>
      <c r="E136" s="117">
        <v>2.0</v>
      </c>
      <c r="F136" s="117">
        <v>0.0</v>
      </c>
      <c r="G136" s="118"/>
      <c r="H136" s="8"/>
      <c r="I136" s="119">
        <v>46157.71175821759</v>
      </c>
      <c r="J136" s="11"/>
      <c r="K136" s="11"/>
    </row>
    <row r="137">
      <c r="A137" s="117"/>
      <c r="B137" s="117">
        <v>3.0</v>
      </c>
      <c r="C137" s="46" t="s">
        <v>629</v>
      </c>
      <c r="D137" s="46" t="s">
        <v>156</v>
      </c>
      <c r="E137" s="117">
        <v>2.0</v>
      </c>
      <c r="F137" s="117">
        <v>0.0</v>
      </c>
      <c r="G137" s="118"/>
      <c r="H137" s="8"/>
      <c r="I137" s="119">
        <v>46157.711782604165</v>
      </c>
      <c r="J137" s="11"/>
      <c r="K137" s="11"/>
    </row>
    <row r="138">
      <c r="A138" s="117"/>
      <c r="B138" s="117">
        <v>3.0</v>
      </c>
      <c r="C138" s="46" t="s">
        <v>629</v>
      </c>
      <c r="D138" s="46" t="s">
        <v>631</v>
      </c>
      <c r="E138" s="117">
        <v>2.0</v>
      </c>
      <c r="F138" s="117">
        <v>0.0</v>
      </c>
      <c r="G138" s="118"/>
      <c r="H138" s="8"/>
      <c r="I138" s="119">
        <v>46157.71182059028</v>
      </c>
      <c r="J138" s="11"/>
      <c r="K138" s="11"/>
    </row>
    <row r="139">
      <c r="A139" s="117"/>
      <c r="B139" s="117">
        <v>3.0</v>
      </c>
      <c r="C139" s="46" t="s">
        <v>629</v>
      </c>
      <c r="D139" s="46" t="s">
        <v>631</v>
      </c>
      <c r="E139" s="117">
        <v>2.0</v>
      </c>
      <c r="F139" s="117">
        <v>0.0</v>
      </c>
      <c r="G139" s="118"/>
      <c r="H139" s="8"/>
      <c r="I139" s="119">
        <v>46157.71184496528</v>
      </c>
      <c r="J139" s="11"/>
      <c r="K139" s="11"/>
    </row>
    <row r="140">
      <c r="A140" s="117"/>
      <c r="B140" s="117">
        <v>3.0</v>
      </c>
      <c r="C140" s="46" t="s">
        <v>629</v>
      </c>
      <c r="D140" s="46" t="s">
        <v>631</v>
      </c>
      <c r="E140" s="117">
        <v>2.0</v>
      </c>
      <c r="F140" s="117">
        <v>0.0</v>
      </c>
      <c r="G140" s="118"/>
      <c r="H140" s="8"/>
      <c r="I140" s="119">
        <v>46157.71186935186</v>
      </c>
      <c r="J140" s="11"/>
      <c r="K140" s="11"/>
    </row>
    <row r="141">
      <c r="A141" s="117"/>
      <c r="B141" s="117">
        <v>3.0</v>
      </c>
      <c r="C141" s="46" t="s">
        <v>629</v>
      </c>
      <c r="D141" s="46" t="s">
        <v>289</v>
      </c>
      <c r="E141" s="117">
        <v>2.0</v>
      </c>
      <c r="F141" s="117">
        <v>0.0</v>
      </c>
      <c r="G141" s="118"/>
      <c r="H141" s="8"/>
      <c r="I141" s="119">
        <v>46157.71190767361</v>
      </c>
      <c r="J141" s="11"/>
      <c r="K141" s="11"/>
    </row>
    <row r="142">
      <c r="A142" s="117"/>
      <c r="B142" s="117">
        <v>3.0</v>
      </c>
      <c r="C142" s="46" t="s">
        <v>629</v>
      </c>
      <c r="D142" s="46" t="s">
        <v>289</v>
      </c>
      <c r="E142" s="117">
        <v>2.0</v>
      </c>
      <c r="F142" s="117">
        <v>0.0</v>
      </c>
      <c r="G142" s="118"/>
      <c r="H142" s="8"/>
      <c r="I142" s="119">
        <v>46157.71193208333</v>
      </c>
      <c r="J142" s="11"/>
      <c r="K142" s="11"/>
    </row>
    <row r="143">
      <c r="A143" s="117"/>
      <c r="B143" s="117">
        <v>3.0</v>
      </c>
      <c r="C143" s="46" t="s">
        <v>629</v>
      </c>
      <c r="D143" s="46" t="s">
        <v>289</v>
      </c>
      <c r="E143" s="117">
        <v>2.0</v>
      </c>
      <c r="F143" s="117">
        <v>0.0</v>
      </c>
      <c r="G143" s="118"/>
      <c r="H143" s="8"/>
      <c r="I143" s="119">
        <v>46157.71195648148</v>
      </c>
      <c r="J143" s="11"/>
      <c r="K143" s="11"/>
    </row>
    <row r="144">
      <c r="A144" s="117"/>
      <c r="B144" s="117">
        <v>3.0</v>
      </c>
      <c r="C144" s="46" t="s">
        <v>629</v>
      </c>
      <c r="D144" s="46" t="s">
        <v>289</v>
      </c>
      <c r="E144" s="117">
        <v>2.0</v>
      </c>
      <c r="F144" s="117">
        <v>0.0</v>
      </c>
      <c r="G144" s="118"/>
      <c r="H144" s="8"/>
      <c r="I144" s="119">
        <v>46157.71198087963</v>
      </c>
      <c r="J144" s="11"/>
      <c r="K144" s="11"/>
    </row>
    <row r="145">
      <c r="A145" s="117"/>
      <c r="B145" s="117">
        <v>3.0</v>
      </c>
      <c r="C145" s="46" t="s">
        <v>629</v>
      </c>
      <c r="D145" s="46" t="s">
        <v>635</v>
      </c>
      <c r="E145" s="117">
        <v>2.0</v>
      </c>
      <c r="F145" s="117">
        <v>0.0</v>
      </c>
      <c r="G145" s="118"/>
      <c r="H145" s="8"/>
      <c r="I145" s="119">
        <v>46157.71202150463</v>
      </c>
      <c r="J145" s="11"/>
      <c r="K145" s="11"/>
    </row>
    <row r="146">
      <c r="A146" s="117"/>
      <c r="B146" s="117">
        <v>3.0</v>
      </c>
      <c r="C146" s="46" t="s">
        <v>629</v>
      </c>
      <c r="D146" s="46" t="s">
        <v>635</v>
      </c>
      <c r="E146" s="117">
        <v>2.0</v>
      </c>
      <c r="F146" s="117">
        <v>0.0</v>
      </c>
      <c r="G146" s="118"/>
      <c r="H146" s="8"/>
      <c r="I146" s="119">
        <v>46157.712047430556</v>
      </c>
      <c r="J146" s="11"/>
      <c r="K146" s="11"/>
    </row>
    <row r="147">
      <c r="A147" s="117"/>
      <c r="B147" s="117">
        <v>3.0</v>
      </c>
      <c r="C147" s="46" t="s">
        <v>629</v>
      </c>
      <c r="D147" s="46" t="s">
        <v>635</v>
      </c>
      <c r="E147" s="117">
        <v>2.0</v>
      </c>
      <c r="F147" s="117">
        <v>0.0</v>
      </c>
      <c r="G147" s="118"/>
      <c r="H147" s="8"/>
      <c r="I147" s="119">
        <v>46157.71207196759</v>
      </c>
      <c r="J147" s="11"/>
      <c r="K147" s="11"/>
    </row>
    <row r="148">
      <c r="A148" s="117"/>
      <c r="B148" s="117">
        <v>3.0</v>
      </c>
      <c r="C148" s="46" t="s">
        <v>629</v>
      </c>
      <c r="D148" s="46" t="s">
        <v>292</v>
      </c>
      <c r="E148" s="117">
        <v>2.0</v>
      </c>
      <c r="F148" s="117">
        <v>0.0</v>
      </c>
      <c r="G148" s="118"/>
      <c r="H148" s="8"/>
      <c r="I148" s="119">
        <v>46157.71210878472</v>
      </c>
      <c r="J148" s="11"/>
      <c r="K148" s="11"/>
    </row>
    <row r="149">
      <c r="A149" s="117"/>
      <c r="B149" s="117">
        <v>3.0</v>
      </c>
      <c r="C149" s="46" t="s">
        <v>629</v>
      </c>
      <c r="D149" s="46" t="s">
        <v>292</v>
      </c>
      <c r="E149" s="117">
        <v>2.0</v>
      </c>
      <c r="F149" s="117">
        <v>0.0</v>
      </c>
      <c r="G149" s="118"/>
      <c r="H149" s="8"/>
      <c r="I149" s="119">
        <v>46157.71213322917</v>
      </c>
      <c r="J149" s="11"/>
      <c r="K149" s="11"/>
    </row>
    <row r="150">
      <c r="A150" s="117"/>
      <c r="B150" s="117">
        <v>3.0</v>
      </c>
      <c r="C150" s="46" t="s">
        <v>629</v>
      </c>
      <c r="D150" s="46" t="s">
        <v>292</v>
      </c>
      <c r="E150" s="117">
        <v>2.0</v>
      </c>
      <c r="F150" s="117">
        <v>0.0</v>
      </c>
      <c r="G150" s="118"/>
      <c r="H150" s="8"/>
      <c r="I150" s="119">
        <v>46157.71215763889</v>
      </c>
      <c r="J150" s="11"/>
      <c r="K150" s="11"/>
    </row>
    <row r="151">
      <c r="A151" s="117"/>
      <c r="B151" s="117">
        <v>3.0</v>
      </c>
      <c r="C151" s="46" t="s">
        <v>629</v>
      </c>
      <c r="D151" s="46" t="s">
        <v>292</v>
      </c>
      <c r="E151" s="117">
        <v>2.0</v>
      </c>
      <c r="F151" s="117">
        <v>0.0</v>
      </c>
      <c r="G151" s="118"/>
      <c r="H151" s="8"/>
      <c r="I151" s="119">
        <v>46157.71218219907</v>
      </c>
      <c r="J151" s="120"/>
      <c r="K151" s="11"/>
    </row>
    <row r="152">
      <c r="A152" s="117"/>
      <c r="B152" s="117">
        <v>3.0</v>
      </c>
      <c r="C152" s="46" t="s">
        <v>629</v>
      </c>
      <c r="D152" s="46" t="s">
        <v>292</v>
      </c>
      <c r="E152" s="117">
        <v>2.0</v>
      </c>
      <c r="F152" s="117">
        <v>0.0</v>
      </c>
      <c r="G152" s="118"/>
      <c r="H152" s="8"/>
      <c r="I152" s="119">
        <v>46157.712206655095</v>
      </c>
      <c r="J152" s="120"/>
      <c r="K152" s="11"/>
    </row>
    <row r="153">
      <c r="A153" s="117"/>
      <c r="B153" s="117">
        <v>3.0</v>
      </c>
      <c r="C153" s="46" t="s">
        <v>629</v>
      </c>
      <c r="D153" s="46" t="s">
        <v>215</v>
      </c>
      <c r="E153" s="117">
        <v>2.0</v>
      </c>
      <c r="F153" s="117">
        <v>0.0</v>
      </c>
      <c r="G153" s="118"/>
      <c r="H153" s="8"/>
      <c r="I153" s="119">
        <v>46157.712247800926</v>
      </c>
      <c r="J153" s="120"/>
      <c r="K153" s="11"/>
    </row>
    <row r="154">
      <c r="A154" s="117"/>
      <c r="B154" s="117">
        <v>3.0</v>
      </c>
      <c r="C154" s="46" t="s">
        <v>629</v>
      </c>
      <c r="D154" s="46" t="s">
        <v>215</v>
      </c>
      <c r="E154" s="117">
        <v>2.0</v>
      </c>
      <c r="F154" s="117">
        <v>0.0</v>
      </c>
      <c r="G154" s="118"/>
      <c r="H154" s="8"/>
      <c r="I154" s="119">
        <v>46157.71227222223</v>
      </c>
      <c r="J154" s="120"/>
      <c r="K154" s="11"/>
    </row>
    <row r="155">
      <c r="A155" s="117"/>
      <c r="B155" s="117">
        <v>3.0</v>
      </c>
      <c r="C155" s="46" t="s">
        <v>629</v>
      </c>
      <c r="D155" s="46" t="s">
        <v>315</v>
      </c>
      <c r="E155" s="117">
        <v>2.0</v>
      </c>
      <c r="F155" s="117">
        <v>0.0</v>
      </c>
      <c r="G155" s="118"/>
      <c r="H155" s="8"/>
      <c r="I155" s="119">
        <v>46157.71230893518</v>
      </c>
      <c r="J155" s="37" t="s">
        <v>65</v>
      </c>
      <c r="K155" s="11"/>
    </row>
    <row r="156">
      <c r="A156" s="117"/>
      <c r="B156" s="117">
        <v>3.0</v>
      </c>
      <c r="C156" s="46" t="s">
        <v>629</v>
      </c>
      <c r="D156" s="46" t="s">
        <v>636</v>
      </c>
      <c r="E156" s="117">
        <v>2.0</v>
      </c>
      <c r="F156" s="117">
        <v>0.0</v>
      </c>
      <c r="G156" s="118"/>
      <c r="H156" s="8"/>
      <c r="I156" s="119">
        <v>46157.71237774305</v>
      </c>
      <c r="J156" s="120"/>
      <c r="K156" s="11"/>
    </row>
    <row r="157">
      <c r="A157" s="117"/>
      <c r="B157" s="117">
        <v>3.0</v>
      </c>
      <c r="C157" s="46" t="s">
        <v>629</v>
      </c>
      <c r="D157" s="46" t="s">
        <v>636</v>
      </c>
      <c r="E157" s="117">
        <v>2.0</v>
      </c>
      <c r="F157" s="117">
        <v>0.0</v>
      </c>
      <c r="G157" s="118"/>
      <c r="H157" s="8"/>
      <c r="I157" s="119">
        <v>46157.71240217592</v>
      </c>
      <c r="J157" s="120"/>
      <c r="K157" s="11"/>
    </row>
    <row r="158">
      <c r="A158" s="117"/>
      <c r="B158" s="117">
        <v>3.0</v>
      </c>
      <c r="C158" s="46" t="s">
        <v>629</v>
      </c>
      <c r="D158" s="46" t="s">
        <v>636</v>
      </c>
      <c r="E158" s="117">
        <v>2.0</v>
      </c>
      <c r="F158" s="117">
        <v>0.0</v>
      </c>
      <c r="G158" s="118"/>
      <c r="H158" s="8"/>
      <c r="I158" s="119">
        <v>46157.71242660879</v>
      </c>
      <c r="J158" s="120"/>
      <c r="K158" s="11"/>
    </row>
    <row r="159">
      <c r="A159" s="117"/>
      <c r="B159" s="117">
        <v>3.0</v>
      </c>
      <c r="C159" s="46" t="s">
        <v>629</v>
      </c>
      <c r="D159" s="46" t="s">
        <v>390</v>
      </c>
      <c r="E159" s="117">
        <v>2.0</v>
      </c>
      <c r="F159" s="117">
        <v>0.0</v>
      </c>
      <c r="G159" s="118"/>
      <c r="H159" s="8"/>
      <c r="I159" s="119">
        <v>46157.71246418981</v>
      </c>
      <c r="J159" s="120"/>
      <c r="K159" s="11"/>
    </row>
    <row r="160">
      <c r="A160" s="117"/>
      <c r="B160" s="117">
        <v>3.0</v>
      </c>
      <c r="C160" s="46" t="s">
        <v>629</v>
      </c>
      <c r="D160" s="46" t="s">
        <v>390</v>
      </c>
      <c r="E160" s="117">
        <v>2.0</v>
      </c>
      <c r="F160" s="117">
        <v>0.0</v>
      </c>
      <c r="G160" s="118"/>
      <c r="H160" s="8"/>
      <c r="I160" s="119">
        <v>46157.7124886574</v>
      </c>
      <c r="J160" s="120"/>
      <c r="K160" s="11"/>
    </row>
    <row r="161">
      <c r="A161" s="117"/>
      <c r="B161" s="117">
        <v>3.0</v>
      </c>
      <c r="C161" s="46" t="s">
        <v>629</v>
      </c>
      <c r="D161" s="46" t="s">
        <v>390</v>
      </c>
      <c r="E161" s="117">
        <v>2.0</v>
      </c>
      <c r="F161" s="117">
        <v>0.0</v>
      </c>
      <c r="G161" s="118"/>
      <c r="H161" s="8"/>
      <c r="I161" s="119">
        <v>46157.712513935185</v>
      </c>
      <c r="J161" s="120"/>
      <c r="K161" s="11"/>
    </row>
    <row r="162">
      <c r="A162" s="117"/>
      <c r="B162" s="117">
        <v>3.0</v>
      </c>
      <c r="C162" s="46" t="s">
        <v>629</v>
      </c>
      <c r="D162" s="46" t="s">
        <v>390</v>
      </c>
      <c r="E162" s="117">
        <v>2.0</v>
      </c>
      <c r="F162" s="117">
        <v>0.0</v>
      </c>
      <c r="G162" s="118"/>
      <c r="H162" s="8"/>
      <c r="I162" s="119">
        <v>46157.712538356485</v>
      </c>
      <c r="J162" s="120"/>
      <c r="K162" s="11"/>
    </row>
    <row r="163">
      <c r="A163" s="117"/>
      <c r="B163" s="117">
        <v>3.0</v>
      </c>
      <c r="C163" s="46" t="s">
        <v>629</v>
      </c>
      <c r="D163" s="46" t="s">
        <v>390</v>
      </c>
      <c r="E163" s="117">
        <v>2.0</v>
      </c>
      <c r="F163" s="117">
        <v>0.0</v>
      </c>
      <c r="G163" s="118"/>
      <c r="H163" s="8"/>
      <c r="I163" s="119">
        <v>46157.712562824076</v>
      </c>
      <c r="J163" s="120"/>
      <c r="K163" s="11"/>
    </row>
    <row r="164">
      <c r="A164" s="117"/>
      <c r="B164" s="117">
        <v>3.0</v>
      </c>
      <c r="C164" s="46" t="s">
        <v>629</v>
      </c>
      <c r="D164" s="46" t="s">
        <v>246</v>
      </c>
      <c r="E164" s="117">
        <v>2.0</v>
      </c>
      <c r="F164" s="117">
        <v>0.0</v>
      </c>
      <c r="G164" s="118"/>
      <c r="H164" s="8"/>
      <c r="I164" s="119">
        <v>46157.71259957176</v>
      </c>
      <c r="J164" s="37" t="s">
        <v>65</v>
      </c>
      <c r="K164" s="11"/>
    </row>
    <row r="165">
      <c r="A165" s="117"/>
      <c r="B165" s="117">
        <v>3.0</v>
      </c>
      <c r="C165" s="46" t="s">
        <v>629</v>
      </c>
      <c r="D165" s="46" t="s">
        <v>362</v>
      </c>
      <c r="E165" s="117">
        <v>2.0</v>
      </c>
      <c r="F165" s="117">
        <v>0.0</v>
      </c>
      <c r="G165" s="118"/>
      <c r="H165" s="8"/>
      <c r="I165" s="119">
        <v>46157.71263539352</v>
      </c>
      <c r="J165" s="120"/>
      <c r="K165" s="11"/>
    </row>
    <row r="166">
      <c r="A166" s="117"/>
      <c r="B166" s="117">
        <v>3.0</v>
      </c>
      <c r="C166" s="46" t="s">
        <v>629</v>
      </c>
      <c r="D166" s="46" t="s">
        <v>362</v>
      </c>
      <c r="E166" s="117">
        <v>2.0</v>
      </c>
      <c r="F166" s="117">
        <v>0.0</v>
      </c>
      <c r="G166" s="118"/>
      <c r="H166" s="8"/>
      <c r="I166" s="119">
        <v>46157.71265980324</v>
      </c>
      <c r="J166" s="120"/>
      <c r="K166" s="11"/>
    </row>
    <row r="167">
      <c r="A167" s="117"/>
      <c r="B167" s="117">
        <v>3.0</v>
      </c>
      <c r="C167" s="46" t="s">
        <v>629</v>
      </c>
      <c r="D167" s="46" t="s">
        <v>362</v>
      </c>
      <c r="E167" s="117">
        <v>2.0</v>
      </c>
      <c r="F167" s="117">
        <v>0.0</v>
      </c>
      <c r="G167" s="118"/>
      <c r="H167" s="8"/>
      <c r="I167" s="119">
        <v>46157.71268439815</v>
      </c>
      <c r="J167" s="120"/>
      <c r="K167" s="11"/>
    </row>
    <row r="168">
      <c r="A168" s="117"/>
      <c r="B168" s="117">
        <v>3.0</v>
      </c>
      <c r="C168" s="46" t="s">
        <v>629</v>
      </c>
      <c r="D168" s="46" t="s">
        <v>362</v>
      </c>
      <c r="E168" s="117">
        <v>2.0</v>
      </c>
      <c r="F168" s="117">
        <v>0.0</v>
      </c>
      <c r="G168" s="118"/>
      <c r="H168" s="8"/>
      <c r="I168" s="119">
        <v>46157.712709467596</v>
      </c>
      <c r="J168" s="120"/>
      <c r="K168" s="11"/>
    </row>
    <row r="169">
      <c r="A169" s="117"/>
      <c r="B169" s="117">
        <v>3.0</v>
      </c>
      <c r="C169" s="46" t="s">
        <v>629</v>
      </c>
      <c r="D169" s="46" t="s">
        <v>362</v>
      </c>
      <c r="E169" s="117">
        <v>2.0</v>
      </c>
      <c r="F169" s="117">
        <v>0.0</v>
      </c>
      <c r="G169" s="118"/>
      <c r="H169" s="8"/>
      <c r="I169" s="119">
        <v>46157.712733865745</v>
      </c>
      <c r="J169" s="120"/>
      <c r="K169" s="11"/>
    </row>
    <row r="170">
      <c r="A170" s="117"/>
      <c r="B170" s="117">
        <v>3.0</v>
      </c>
      <c r="C170" s="46" t="s">
        <v>629</v>
      </c>
      <c r="D170" s="46" t="s">
        <v>131</v>
      </c>
      <c r="E170" s="117">
        <v>2.0</v>
      </c>
      <c r="F170" s="117">
        <v>0.0</v>
      </c>
      <c r="G170" s="118"/>
      <c r="H170" s="8"/>
      <c r="I170" s="119">
        <v>46157.71277023148</v>
      </c>
      <c r="J170" s="37" t="s">
        <v>65</v>
      </c>
      <c r="K170" s="11"/>
    </row>
    <row r="171">
      <c r="A171" s="117"/>
      <c r="B171" s="117">
        <v>3.0</v>
      </c>
      <c r="C171" s="46" t="s">
        <v>629</v>
      </c>
      <c r="D171" s="46" t="s">
        <v>131</v>
      </c>
      <c r="E171" s="117">
        <v>2.0</v>
      </c>
      <c r="F171" s="117">
        <v>0.0</v>
      </c>
      <c r="G171" s="118"/>
      <c r="H171" s="8"/>
      <c r="I171" s="119">
        <v>46157.71279464121</v>
      </c>
      <c r="J171" s="37" t="s">
        <v>65</v>
      </c>
      <c r="K171" s="11"/>
    </row>
    <row r="172">
      <c r="A172" s="117"/>
      <c r="B172" s="117">
        <v>3.0</v>
      </c>
      <c r="C172" s="46" t="s">
        <v>629</v>
      </c>
      <c r="D172" s="46" t="s">
        <v>131</v>
      </c>
      <c r="E172" s="117">
        <v>2.0</v>
      </c>
      <c r="F172" s="117">
        <v>0.0</v>
      </c>
      <c r="G172" s="118"/>
      <c r="H172" s="8"/>
      <c r="I172" s="119">
        <v>46157.71281907408</v>
      </c>
      <c r="J172" s="37" t="s">
        <v>65</v>
      </c>
      <c r="K172" s="11"/>
    </row>
    <row r="173">
      <c r="A173" s="117"/>
      <c r="B173" s="117">
        <v>3.0</v>
      </c>
      <c r="C173" s="46" t="s">
        <v>629</v>
      </c>
      <c r="D173" s="46" t="s">
        <v>275</v>
      </c>
      <c r="E173" s="117">
        <v>2.0</v>
      </c>
      <c r="F173" s="117">
        <v>0.0</v>
      </c>
      <c r="G173" s="118"/>
      <c r="H173" s="8"/>
      <c r="I173" s="119">
        <v>46157.71285568287</v>
      </c>
      <c r="J173" s="37" t="s">
        <v>65</v>
      </c>
      <c r="K173" s="11"/>
    </row>
    <row r="174">
      <c r="A174" s="117"/>
      <c r="B174" s="117">
        <v>3.0</v>
      </c>
      <c r="C174" s="46" t="s">
        <v>629</v>
      </c>
      <c r="D174" s="46" t="s">
        <v>275</v>
      </c>
      <c r="E174" s="117">
        <v>2.0</v>
      </c>
      <c r="F174" s="117">
        <v>0.0</v>
      </c>
      <c r="G174" s="118"/>
      <c r="H174" s="8"/>
      <c r="I174" s="119">
        <v>46157.71288008102</v>
      </c>
      <c r="J174" s="120"/>
      <c r="K174" s="11"/>
    </row>
    <row r="175">
      <c r="A175" s="117"/>
      <c r="B175" s="117">
        <v>3.0</v>
      </c>
      <c r="C175" s="46" t="s">
        <v>629</v>
      </c>
      <c r="D175" s="46" t="s">
        <v>275</v>
      </c>
      <c r="E175" s="117">
        <v>2.0</v>
      </c>
      <c r="F175" s="117">
        <v>0.0</v>
      </c>
      <c r="G175" s="118"/>
      <c r="H175" s="8"/>
      <c r="I175" s="119">
        <v>46157.71290449074</v>
      </c>
      <c r="J175" s="120"/>
      <c r="K175" s="11"/>
    </row>
    <row r="176">
      <c r="A176" s="117"/>
      <c r="B176" s="117">
        <v>3.0</v>
      </c>
      <c r="C176" s="46" t="s">
        <v>629</v>
      </c>
      <c r="D176" s="46" t="s">
        <v>275</v>
      </c>
      <c r="E176" s="117">
        <v>2.0</v>
      </c>
      <c r="F176" s="117">
        <v>0.0</v>
      </c>
      <c r="G176" s="118"/>
      <c r="H176" s="8"/>
      <c r="I176" s="119">
        <v>46157.712929421294</v>
      </c>
      <c r="J176" s="120"/>
      <c r="K176" s="11"/>
    </row>
    <row r="177">
      <c r="A177" s="117"/>
      <c r="B177" s="117">
        <v>3.0</v>
      </c>
      <c r="C177" s="46" t="s">
        <v>629</v>
      </c>
      <c r="D177" s="46" t="s">
        <v>275</v>
      </c>
      <c r="E177" s="117">
        <v>2.0</v>
      </c>
      <c r="F177" s="117">
        <v>0.0</v>
      </c>
      <c r="G177" s="118"/>
      <c r="H177" s="8"/>
      <c r="I177" s="119">
        <v>46157.71295383102</v>
      </c>
      <c r="J177" s="120"/>
      <c r="K177" s="11"/>
    </row>
    <row r="178">
      <c r="A178" s="117"/>
      <c r="B178" s="117">
        <v>3.0</v>
      </c>
      <c r="C178" s="46" t="s">
        <v>629</v>
      </c>
      <c r="D178" s="46" t="s">
        <v>639</v>
      </c>
      <c r="E178" s="117">
        <v>2.0</v>
      </c>
      <c r="F178" s="117">
        <v>0.0</v>
      </c>
      <c r="G178" s="118"/>
      <c r="H178" s="8"/>
      <c r="I178" s="119">
        <v>46157.71299097222</v>
      </c>
      <c r="J178" s="120"/>
      <c r="K178" s="11"/>
    </row>
    <row r="179">
      <c r="A179" s="117"/>
      <c r="B179" s="117">
        <v>3.0</v>
      </c>
      <c r="C179" s="46" t="s">
        <v>629</v>
      </c>
      <c r="D179" s="46" t="s">
        <v>639</v>
      </c>
      <c r="E179" s="117">
        <v>2.0</v>
      </c>
      <c r="F179" s="117">
        <v>0.0</v>
      </c>
      <c r="G179" s="118"/>
      <c r="H179" s="8"/>
      <c r="I179" s="119">
        <v>46157.71301535879</v>
      </c>
      <c r="J179" s="120"/>
      <c r="K179" s="11"/>
    </row>
    <row r="180">
      <c r="A180" s="117"/>
      <c r="B180" s="117">
        <v>3.0</v>
      </c>
      <c r="C180" s="46" t="s">
        <v>629</v>
      </c>
      <c r="D180" s="46" t="s">
        <v>639</v>
      </c>
      <c r="E180" s="117">
        <v>2.0</v>
      </c>
      <c r="F180" s="117">
        <v>0.0</v>
      </c>
      <c r="G180" s="118"/>
      <c r="H180" s="8"/>
      <c r="I180" s="119">
        <v>46157.71303976852</v>
      </c>
      <c r="J180" s="37" t="s">
        <v>65</v>
      </c>
      <c r="K180" s="11"/>
    </row>
    <row r="181">
      <c r="A181" s="117"/>
      <c r="B181" s="117">
        <v>3.0</v>
      </c>
      <c r="C181" s="46" t="s">
        <v>629</v>
      </c>
      <c r="D181" s="46" t="s">
        <v>340</v>
      </c>
      <c r="E181" s="117">
        <v>2.0</v>
      </c>
      <c r="F181" s="117">
        <v>0.0</v>
      </c>
      <c r="G181" s="118"/>
      <c r="H181" s="8"/>
      <c r="I181" s="119">
        <v>46157.71307755787</v>
      </c>
      <c r="J181" s="120"/>
      <c r="K181" s="11"/>
    </row>
    <row r="182">
      <c r="A182" s="117"/>
      <c r="B182" s="117">
        <v>3.0</v>
      </c>
      <c r="C182" s="46" t="s">
        <v>629</v>
      </c>
      <c r="D182" s="46" t="s">
        <v>472</v>
      </c>
      <c r="E182" s="117">
        <v>2.0</v>
      </c>
      <c r="F182" s="117">
        <v>0.0</v>
      </c>
      <c r="G182" s="118"/>
      <c r="H182" s="8"/>
      <c r="I182" s="119">
        <v>46157.71313895834</v>
      </c>
      <c r="J182" s="120"/>
      <c r="K182" s="11"/>
    </row>
    <row r="183">
      <c r="A183" s="117"/>
      <c r="B183" s="117">
        <v>3.0</v>
      </c>
      <c r="C183" s="46" t="s">
        <v>629</v>
      </c>
      <c r="D183" s="46" t="s">
        <v>472</v>
      </c>
      <c r="E183" s="117">
        <v>2.0</v>
      </c>
      <c r="F183" s="117">
        <v>0.0</v>
      </c>
      <c r="G183" s="118"/>
      <c r="H183" s="8"/>
      <c r="I183" s="119">
        <v>46157.713163368055</v>
      </c>
      <c r="J183" s="120"/>
      <c r="K183" s="11"/>
    </row>
    <row r="184">
      <c r="A184" s="117"/>
      <c r="B184" s="117">
        <v>3.0</v>
      </c>
      <c r="C184" s="46" t="s">
        <v>629</v>
      </c>
      <c r="D184" s="46" t="s">
        <v>472</v>
      </c>
      <c r="E184" s="117">
        <v>2.0</v>
      </c>
      <c r="F184" s="117">
        <v>0.0</v>
      </c>
      <c r="G184" s="118"/>
      <c r="H184" s="8"/>
      <c r="I184" s="119">
        <v>46157.7131877662</v>
      </c>
      <c r="J184" s="120"/>
      <c r="K184" s="11"/>
    </row>
    <row r="185">
      <c r="A185" s="117"/>
      <c r="B185" s="117">
        <v>4.0</v>
      </c>
      <c r="C185" s="46" t="s">
        <v>629</v>
      </c>
      <c r="D185" s="46" t="s">
        <v>376</v>
      </c>
      <c r="E185" s="117">
        <v>2.0</v>
      </c>
      <c r="F185" s="117">
        <v>0.0</v>
      </c>
      <c r="G185" s="118"/>
      <c r="H185" s="8"/>
      <c r="I185" s="121">
        <v>46163.457336203704</v>
      </c>
      <c r="J185" s="37" t="s">
        <v>65</v>
      </c>
      <c r="K185" s="11"/>
    </row>
    <row r="186">
      <c r="A186" s="117"/>
      <c r="B186" s="117">
        <v>4.0</v>
      </c>
      <c r="C186" s="46" t="s">
        <v>629</v>
      </c>
      <c r="D186" s="46" t="s">
        <v>77</v>
      </c>
      <c r="E186" s="117">
        <v>2.0</v>
      </c>
      <c r="F186" s="117">
        <v>0.0</v>
      </c>
      <c r="G186" s="118"/>
      <c r="H186" s="8"/>
      <c r="I186" s="119">
        <v>46164.71023519676</v>
      </c>
      <c r="J186" s="120"/>
      <c r="K186" s="11"/>
    </row>
    <row r="187">
      <c r="A187" s="117"/>
      <c r="B187" s="117">
        <v>4.0</v>
      </c>
      <c r="C187" s="46" t="s">
        <v>629</v>
      </c>
      <c r="D187" s="46" t="s">
        <v>77</v>
      </c>
      <c r="E187" s="117">
        <v>2.0</v>
      </c>
      <c r="F187" s="117">
        <v>0.0</v>
      </c>
      <c r="G187" s="118"/>
      <c r="H187" s="8"/>
      <c r="I187" s="119">
        <v>46164.710259618056</v>
      </c>
      <c r="J187" s="120"/>
      <c r="K187" s="11"/>
    </row>
    <row r="188">
      <c r="A188" s="117"/>
      <c r="B188" s="117">
        <v>4.0</v>
      </c>
      <c r="C188" s="46" t="s">
        <v>629</v>
      </c>
      <c r="D188" s="46" t="s">
        <v>252</v>
      </c>
      <c r="E188" s="117">
        <v>2.0</v>
      </c>
      <c r="F188" s="117">
        <v>0.0</v>
      </c>
      <c r="G188" s="118"/>
      <c r="H188" s="8"/>
      <c r="I188" s="119">
        <v>46164.7103034375</v>
      </c>
      <c r="J188" s="37" t="s">
        <v>65</v>
      </c>
      <c r="K188" s="11"/>
    </row>
    <row r="189">
      <c r="A189" s="117"/>
      <c r="B189" s="117">
        <v>4.0</v>
      </c>
      <c r="C189" s="46" t="s">
        <v>629</v>
      </c>
      <c r="D189" s="46" t="s">
        <v>378</v>
      </c>
      <c r="E189" s="117">
        <v>2.0</v>
      </c>
      <c r="F189" s="117">
        <v>0.0</v>
      </c>
      <c r="G189" s="118"/>
      <c r="H189" s="8"/>
      <c r="I189" s="119">
        <v>46164.710372824076</v>
      </c>
      <c r="J189" s="120"/>
      <c r="K189" s="11"/>
    </row>
    <row r="190">
      <c r="A190" s="117"/>
      <c r="B190" s="117">
        <v>4.0</v>
      </c>
      <c r="C190" s="46" t="s">
        <v>629</v>
      </c>
      <c r="D190" s="46" t="s">
        <v>378</v>
      </c>
      <c r="E190" s="117">
        <v>2.0</v>
      </c>
      <c r="F190" s="117">
        <v>0.0</v>
      </c>
      <c r="G190" s="118"/>
      <c r="H190" s="8"/>
      <c r="I190" s="119">
        <v>46164.7103984375</v>
      </c>
      <c r="J190" s="120"/>
      <c r="K190" s="11"/>
    </row>
    <row r="191">
      <c r="A191" s="117"/>
      <c r="B191" s="117">
        <v>4.0</v>
      </c>
      <c r="C191" s="46" t="s">
        <v>629</v>
      </c>
      <c r="D191" s="46" t="s">
        <v>239</v>
      </c>
      <c r="E191" s="117">
        <v>2.0</v>
      </c>
      <c r="F191" s="117">
        <v>0.0</v>
      </c>
      <c r="G191" s="118"/>
      <c r="H191" s="8"/>
      <c r="I191" s="119">
        <v>46164.71046288194</v>
      </c>
      <c r="J191" s="120"/>
      <c r="K191" s="11"/>
    </row>
    <row r="192">
      <c r="A192" s="117"/>
      <c r="B192" s="117">
        <v>4.0</v>
      </c>
      <c r="C192" s="46" t="s">
        <v>629</v>
      </c>
      <c r="D192" s="46" t="s">
        <v>239</v>
      </c>
      <c r="E192" s="117">
        <v>2.0</v>
      </c>
      <c r="F192" s="117">
        <v>0.0</v>
      </c>
      <c r="G192" s="118"/>
      <c r="H192" s="8"/>
      <c r="I192" s="119">
        <v>46164.710487662036</v>
      </c>
      <c r="J192" s="120"/>
      <c r="K192" s="11"/>
    </row>
    <row r="193">
      <c r="A193" s="117"/>
      <c r="B193" s="117">
        <v>4.0</v>
      </c>
      <c r="C193" s="46" t="s">
        <v>629</v>
      </c>
      <c r="D193" s="46" t="s">
        <v>180</v>
      </c>
      <c r="E193" s="117">
        <v>2.0</v>
      </c>
      <c r="F193" s="117">
        <v>0.0</v>
      </c>
      <c r="G193" s="118"/>
      <c r="H193" s="8"/>
      <c r="I193" s="119">
        <v>46164.71056790509</v>
      </c>
      <c r="J193" s="120"/>
      <c r="K193" s="11"/>
    </row>
    <row r="194">
      <c r="A194" s="117"/>
      <c r="B194" s="117">
        <v>4.0</v>
      </c>
      <c r="C194" s="46" t="s">
        <v>629</v>
      </c>
      <c r="D194" s="46" t="s">
        <v>180</v>
      </c>
      <c r="E194" s="117">
        <v>2.0</v>
      </c>
      <c r="F194" s="117">
        <v>0.0</v>
      </c>
      <c r="G194" s="118"/>
      <c r="H194" s="8"/>
      <c r="I194" s="119">
        <v>46164.710593055555</v>
      </c>
      <c r="J194" s="120"/>
      <c r="K194" s="11"/>
    </row>
    <row r="195">
      <c r="A195" s="117"/>
      <c r="B195" s="117">
        <v>4.0</v>
      </c>
      <c r="C195" s="46" t="s">
        <v>629</v>
      </c>
      <c r="D195" s="46" t="s">
        <v>180</v>
      </c>
      <c r="E195" s="117">
        <v>2.0</v>
      </c>
      <c r="F195" s="117">
        <v>0.0</v>
      </c>
      <c r="G195" s="118"/>
      <c r="H195" s="8"/>
      <c r="I195" s="119">
        <v>46164.710617488425</v>
      </c>
      <c r="J195" s="120"/>
      <c r="K195" s="11"/>
    </row>
    <row r="196">
      <c r="A196" s="117"/>
      <c r="B196" s="117">
        <v>4.0</v>
      </c>
      <c r="C196" s="46" t="s">
        <v>629</v>
      </c>
      <c r="D196" s="46" t="s">
        <v>180</v>
      </c>
      <c r="E196" s="117">
        <v>2.0</v>
      </c>
      <c r="F196" s="117">
        <v>0.0</v>
      </c>
      <c r="G196" s="118"/>
      <c r="H196" s="8"/>
      <c r="I196" s="119">
        <v>46164.710641956015</v>
      </c>
      <c r="J196" s="120"/>
      <c r="K196" s="11"/>
    </row>
    <row r="197">
      <c r="A197" s="117"/>
      <c r="B197" s="117">
        <v>4.0</v>
      </c>
      <c r="C197" s="46" t="s">
        <v>629</v>
      </c>
      <c r="D197" s="46" t="s">
        <v>81</v>
      </c>
      <c r="E197" s="117">
        <v>2.0</v>
      </c>
      <c r="F197" s="117">
        <v>0.0</v>
      </c>
      <c r="G197" s="118"/>
      <c r="H197" s="8"/>
      <c r="I197" s="119">
        <v>46164.71072861111</v>
      </c>
      <c r="J197" s="120"/>
      <c r="K197" s="11"/>
    </row>
    <row r="198">
      <c r="A198" s="117"/>
      <c r="B198" s="117">
        <v>4.0</v>
      </c>
      <c r="C198" s="46" t="s">
        <v>629</v>
      </c>
      <c r="D198" s="46" t="s">
        <v>123</v>
      </c>
      <c r="E198" s="117">
        <v>2.0</v>
      </c>
      <c r="F198" s="117">
        <v>0.0</v>
      </c>
      <c r="G198" s="118"/>
      <c r="H198" s="8"/>
      <c r="I198" s="119">
        <v>46164.710796851854</v>
      </c>
      <c r="J198" s="120"/>
      <c r="K198" s="11"/>
    </row>
    <row r="199">
      <c r="A199" s="117"/>
      <c r="B199" s="117">
        <v>4.0</v>
      </c>
      <c r="C199" s="46" t="s">
        <v>629</v>
      </c>
      <c r="D199" s="46" t="s">
        <v>85</v>
      </c>
      <c r="E199" s="117">
        <v>2.0</v>
      </c>
      <c r="F199" s="117">
        <v>0.0</v>
      </c>
      <c r="G199" s="118"/>
      <c r="H199" s="8"/>
      <c r="I199" s="119">
        <v>46164.71083930555</v>
      </c>
      <c r="J199" s="37" t="s">
        <v>65</v>
      </c>
      <c r="K199" s="11"/>
    </row>
    <row r="200">
      <c r="A200" s="117"/>
      <c r="B200" s="117">
        <v>4.0</v>
      </c>
      <c r="C200" s="46" t="s">
        <v>629</v>
      </c>
      <c r="D200" s="46" t="s">
        <v>141</v>
      </c>
      <c r="E200" s="117">
        <v>2.0</v>
      </c>
      <c r="F200" s="117">
        <v>0.0</v>
      </c>
      <c r="G200" s="118"/>
      <c r="H200" s="8"/>
      <c r="I200" s="119">
        <v>46164.71088443287</v>
      </c>
      <c r="J200" s="120"/>
      <c r="K200" s="11"/>
    </row>
    <row r="201">
      <c r="A201" s="117"/>
      <c r="B201" s="117">
        <v>4.0</v>
      </c>
      <c r="C201" s="46" t="s">
        <v>629</v>
      </c>
      <c r="D201" s="46" t="s">
        <v>141</v>
      </c>
      <c r="E201" s="117">
        <v>2.0</v>
      </c>
      <c r="F201" s="117">
        <v>0.0</v>
      </c>
      <c r="G201" s="118"/>
      <c r="H201" s="8"/>
      <c r="I201" s="119">
        <v>46164.7109096875</v>
      </c>
      <c r="J201" s="120"/>
      <c r="K201" s="11"/>
    </row>
    <row r="202">
      <c r="A202" s="117"/>
      <c r="B202" s="117">
        <v>4.0</v>
      </c>
      <c r="C202" s="46" t="s">
        <v>629</v>
      </c>
      <c r="D202" s="46" t="s">
        <v>182</v>
      </c>
      <c r="E202" s="117">
        <v>2.0</v>
      </c>
      <c r="F202" s="117">
        <v>0.0</v>
      </c>
      <c r="G202" s="118"/>
      <c r="H202" s="8"/>
      <c r="I202" s="119">
        <v>46164.710943680555</v>
      </c>
      <c r="J202" s="120"/>
      <c r="K202" s="11"/>
    </row>
    <row r="203">
      <c r="A203" s="117"/>
      <c r="B203" s="117">
        <v>4.0</v>
      </c>
      <c r="C203" s="46" t="s">
        <v>629</v>
      </c>
      <c r="D203" s="46" t="s">
        <v>182</v>
      </c>
      <c r="E203" s="117">
        <v>2.0</v>
      </c>
      <c r="F203" s="117">
        <v>0.0</v>
      </c>
      <c r="G203" s="118"/>
      <c r="H203" s="8"/>
      <c r="I203" s="119">
        <v>46164.710969004635</v>
      </c>
      <c r="J203" s="120"/>
      <c r="K203" s="11"/>
    </row>
    <row r="204">
      <c r="A204" s="117"/>
      <c r="B204" s="117">
        <v>4.0</v>
      </c>
      <c r="C204" s="46" t="s">
        <v>629</v>
      </c>
      <c r="D204" s="46" t="s">
        <v>182</v>
      </c>
      <c r="E204" s="117">
        <v>2.0</v>
      </c>
      <c r="F204" s="117">
        <v>0.0</v>
      </c>
      <c r="G204" s="118"/>
      <c r="H204" s="8"/>
      <c r="I204" s="119">
        <v>46164.71099385417</v>
      </c>
      <c r="J204" s="120"/>
      <c r="K204" s="11"/>
    </row>
    <row r="205">
      <c r="A205" s="117"/>
      <c r="B205" s="117">
        <v>4.0</v>
      </c>
      <c r="C205" s="46" t="s">
        <v>629</v>
      </c>
      <c r="D205" s="46" t="s">
        <v>182</v>
      </c>
      <c r="E205" s="117">
        <v>2.0</v>
      </c>
      <c r="F205" s="117">
        <v>0.0</v>
      </c>
      <c r="G205" s="118"/>
      <c r="H205" s="8"/>
      <c r="I205" s="119">
        <v>46164.711019027774</v>
      </c>
      <c r="J205" s="120"/>
      <c r="K205" s="11"/>
    </row>
    <row r="206">
      <c r="A206" s="117"/>
      <c r="B206" s="117">
        <v>4.0</v>
      </c>
      <c r="C206" s="46" t="s">
        <v>629</v>
      </c>
      <c r="D206" s="46" t="s">
        <v>367</v>
      </c>
      <c r="E206" s="117">
        <v>2.0</v>
      </c>
      <c r="F206" s="117">
        <v>0.0</v>
      </c>
      <c r="G206" s="118"/>
      <c r="H206" s="8"/>
      <c r="I206" s="119">
        <v>46164.711110289354</v>
      </c>
      <c r="J206" s="120"/>
      <c r="K206" s="11"/>
    </row>
    <row r="207">
      <c r="A207" s="117"/>
      <c r="B207" s="117">
        <v>4.0</v>
      </c>
      <c r="C207" s="46" t="s">
        <v>629</v>
      </c>
      <c r="D207" s="46" t="s">
        <v>367</v>
      </c>
      <c r="E207" s="117">
        <v>2.0</v>
      </c>
      <c r="F207" s="117">
        <v>0.0</v>
      </c>
      <c r="G207" s="118"/>
      <c r="H207" s="8"/>
      <c r="I207" s="119">
        <v>46164.71113517361</v>
      </c>
      <c r="J207" s="120"/>
      <c r="K207" s="11"/>
    </row>
    <row r="208">
      <c r="A208" s="117"/>
      <c r="B208" s="117">
        <v>4.0</v>
      </c>
      <c r="C208" s="46" t="s">
        <v>629</v>
      </c>
      <c r="D208" s="46" t="s">
        <v>367</v>
      </c>
      <c r="E208" s="117">
        <v>2.0</v>
      </c>
      <c r="F208" s="117">
        <v>0.0</v>
      </c>
      <c r="G208" s="118"/>
      <c r="H208" s="8"/>
      <c r="I208" s="119">
        <v>46164.711159687504</v>
      </c>
      <c r="J208" s="120"/>
      <c r="K208" s="11"/>
    </row>
    <row r="209">
      <c r="A209" s="117"/>
      <c r="B209" s="117">
        <v>4.0</v>
      </c>
      <c r="C209" s="46" t="s">
        <v>629</v>
      </c>
      <c r="D209" s="46" t="s">
        <v>367</v>
      </c>
      <c r="E209" s="117">
        <v>2.0</v>
      </c>
      <c r="F209" s="117">
        <v>0.0</v>
      </c>
      <c r="G209" s="118"/>
      <c r="H209" s="8"/>
      <c r="I209" s="119">
        <v>46164.7111841088</v>
      </c>
      <c r="J209" s="120"/>
      <c r="K209" s="11"/>
    </row>
    <row r="210">
      <c r="A210" s="117"/>
      <c r="B210" s="117">
        <v>4.0</v>
      </c>
      <c r="C210" s="46" t="s">
        <v>629</v>
      </c>
      <c r="D210" s="46" t="s">
        <v>351</v>
      </c>
      <c r="E210" s="117">
        <v>2.0</v>
      </c>
      <c r="F210" s="117">
        <v>0.0</v>
      </c>
      <c r="G210" s="118"/>
      <c r="H210" s="8"/>
      <c r="I210" s="119">
        <v>46164.711219930556</v>
      </c>
      <c r="J210" s="120"/>
      <c r="K210" s="11"/>
    </row>
    <row r="211">
      <c r="A211" s="117"/>
      <c r="B211" s="117">
        <v>4.0</v>
      </c>
      <c r="C211" s="46" t="s">
        <v>629</v>
      </c>
      <c r="D211" s="46" t="s">
        <v>93</v>
      </c>
      <c r="E211" s="117">
        <v>2.0</v>
      </c>
      <c r="F211" s="117">
        <v>0.0</v>
      </c>
      <c r="G211" s="118"/>
      <c r="H211" s="8"/>
      <c r="I211" s="119">
        <v>46164.711347488425</v>
      </c>
      <c r="J211" s="120"/>
      <c r="K211" s="11"/>
    </row>
    <row r="212">
      <c r="A212" s="117"/>
      <c r="B212" s="117">
        <v>4.0</v>
      </c>
      <c r="C212" s="46" t="s">
        <v>629</v>
      </c>
      <c r="D212" s="46" t="s">
        <v>394</v>
      </c>
      <c r="E212" s="117">
        <v>2.0</v>
      </c>
      <c r="F212" s="117">
        <v>0.0</v>
      </c>
      <c r="G212" s="118"/>
      <c r="H212" s="8"/>
      <c r="I212" s="119">
        <v>46164.71146160879</v>
      </c>
      <c r="J212" s="120"/>
      <c r="K212" s="11"/>
    </row>
    <row r="213">
      <c r="A213" s="117"/>
      <c r="B213" s="117">
        <v>4.0</v>
      </c>
      <c r="C213" s="46" t="s">
        <v>629</v>
      </c>
      <c r="D213" s="46" t="s">
        <v>394</v>
      </c>
      <c r="E213" s="117">
        <v>2.0</v>
      </c>
      <c r="F213" s="117">
        <v>0.0</v>
      </c>
      <c r="G213" s="118"/>
      <c r="H213" s="8"/>
      <c r="I213" s="119">
        <v>46164.71148603009</v>
      </c>
      <c r="J213" s="120"/>
      <c r="K213" s="11"/>
    </row>
    <row r="214">
      <c r="A214" s="117"/>
      <c r="B214" s="117">
        <v>4.0</v>
      </c>
      <c r="C214" s="46" t="s">
        <v>629</v>
      </c>
      <c r="D214" s="46" t="s">
        <v>394</v>
      </c>
      <c r="E214" s="117">
        <v>2.0</v>
      </c>
      <c r="F214" s="117">
        <v>0.0</v>
      </c>
      <c r="G214" s="118"/>
      <c r="H214" s="8"/>
      <c r="I214" s="119">
        <v>46164.71151042824</v>
      </c>
      <c r="J214" s="120"/>
      <c r="K214" s="11"/>
    </row>
    <row r="215">
      <c r="A215" s="117"/>
      <c r="B215" s="117">
        <v>4.0</v>
      </c>
      <c r="C215" s="46" t="s">
        <v>629</v>
      </c>
      <c r="D215" s="46" t="s">
        <v>304</v>
      </c>
      <c r="E215" s="117">
        <v>2.0</v>
      </c>
      <c r="F215" s="117">
        <v>0.0</v>
      </c>
      <c r="G215" s="118"/>
      <c r="H215" s="8"/>
      <c r="I215" s="119">
        <v>46164.71154452546</v>
      </c>
      <c r="J215" s="120"/>
      <c r="K215" s="11"/>
    </row>
    <row r="216">
      <c r="A216" s="117"/>
      <c r="B216" s="117">
        <v>4.0</v>
      </c>
      <c r="C216" s="46" t="s">
        <v>629</v>
      </c>
      <c r="D216" s="46" t="s">
        <v>304</v>
      </c>
      <c r="E216" s="117">
        <v>2.0</v>
      </c>
      <c r="F216" s="117">
        <v>0.0</v>
      </c>
      <c r="G216" s="118"/>
      <c r="H216" s="8"/>
      <c r="I216" s="119">
        <v>46164.71156927083</v>
      </c>
      <c r="J216" s="120"/>
      <c r="K216" s="11"/>
    </row>
    <row r="217">
      <c r="A217" s="117"/>
      <c r="B217" s="117">
        <v>4.0</v>
      </c>
      <c r="C217" s="46" t="s">
        <v>629</v>
      </c>
      <c r="D217" s="46" t="s">
        <v>304</v>
      </c>
      <c r="E217" s="117">
        <v>2.0</v>
      </c>
      <c r="F217" s="117">
        <v>0.0</v>
      </c>
      <c r="G217" s="118"/>
      <c r="H217" s="8"/>
      <c r="I217" s="119">
        <v>46164.711594050925</v>
      </c>
      <c r="J217" s="120"/>
      <c r="K217" s="11"/>
    </row>
    <row r="218">
      <c r="A218" s="117"/>
      <c r="B218" s="117">
        <v>4.0</v>
      </c>
      <c r="C218" s="46" t="s">
        <v>629</v>
      </c>
      <c r="D218" s="46" t="s">
        <v>348</v>
      </c>
      <c r="E218" s="117">
        <v>2.0</v>
      </c>
      <c r="F218" s="117">
        <v>0.0</v>
      </c>
      <c r="G218" s="118"/>
      <c r="H218" s="8"/>
      <c r="I218" s="119">
        <v>46164.71164263889</v>
      </c>
      <c r="J218" s="120"/>
      <c r="K218" s="11"/>
    </row>
    <row r="219">
      <c r="A219" s="117"/>
      <c r="B219" s="117">
        <v>4.0</v>
      </c>
      <c r="C219" s="46" t="s">
        <v>629</v>
      </c>
      <c r="D219" s="46" t="s">
        <v>326</v>
      </c>
      <c r="E219" s="117">
        <v>2.0</v>
      </c>
      <c r="F219" s="117">
        <v>0.0</v>
      </c>
      <c r="G219" s="118"/>
      <c r="H219" s="8"/>
      <c r="I219" s="119">
        <v>46164.71167826389</v>
      </c>
      <c r="J219" s="120"/>
      <c r="K219" s="11"/>
    </row>
    <row r="220">
      <c r="A220" s="117"/>
      <c r="B220" s="117">
        <v>4.0</v>
      </c>
      <c r="C220" s="46" t="s">
        <v>629</v>
      </c>
      <c r="D220" s="46" t="s">
        <v>157</v>
      </c>
      <c r="E220" s="117">
        <v>2.0</v>
      </c>
      <c r="F220" s="117">
        <v>0.0</v>
      </c>
      <c r="G220" s="118"/>
      <c r="H220" s="8"/>
      <c r="I220" s="119">
        <v>46164.711715613426</v>
      </c>
      <c r="J220" s="120"/>
      <c r="K220" s="11"/>
    </row>
    <row r="221">
      <c r="A221" s="117"/>
      <c r="B221" s="117">
        <v>4.0</v>
      </c>
      <c r="C221" s="46" t="s">
        <v>629</v>
      </c>
      <c r="D221" s="46" t="s">
        <v>157</v>
      </c>
      <c r="E221" s="117">
        <v>2.0</v>
      </c>
      <c r="F221" s="117">
        <v>0.0</v>
      </c>
      <c r="G221" s="118"/>
      <c r="H221" s="8"/>
      <c r="I221" s="119">
        <v>46164.71174013889</v>
      </c>
      <c r="J221" s="120"/>
      <c r="K221" s="11"/>
    </row>
    <row r="222">
      <c r="A222" s="117"/>
      <c r="B222" s="117">
        <v>4.0</v>
      </c>
      <c r="C222" s="46" t="s">
        <v>629</v>
      </c>
      <c r="D222" s="46" t="s">
        <v>132</v>
      </c>
      <c r="E222" s="117">
        <v>2.0</v>
      </c>
      <c r="F222" s="117">
        <v>0.0</v>
      </c>
      <c r="G222" s="118"/>
      <c r="H222" s="8"/>
      <c r="I222" s="119">
        <v>46164.71177446759</v>
      </c>
      <c r="J222" s="37" t="s">
        <v>65</v>
      </c>
      <c r="K222" s="11"/>
    </row>
    <row r="223">
      <c r="A223" s="117"/>
      <c r="B223" s="117">
        <v>4.0</v>
      </c>
      <c r="C223" s="46" t="s">
        <v>629</v>
      </c>
      <c r="D223" s="46" t="s">
        <v>324</v>
      </c>
      <c r="E223" s="117">
        <v>2.0</v>
      </c>
      <c r="F223" s="117">
        <v>0.0</v>
      </c>
      <c r="G223" s="118"/>
      <c r="H223" s="8"/>
      <c r="I223" s="119">
        <v>46164.71181631944</v>
      </c>
      <c r="J223" s="37" t="s">
        <v>65</v>
      </c>
      <c r="K223" s="11"/>
    </row>
    <row r="224">
      <c r="A224" s="117"/>
      <c r="B224" s="117">
        <v>4.0</v>
      </c>
      <c r="C224" s="46" t="s">
        <v>629</v>
      </c>
      <c r="D224" s="46" t="s">
        <v>215</v>
      </c>
      <c r="E224" s="117">
        <v>2.0</v>
      </c>
      <c r="F224" s="117">
        <v>0.0</v>
      </c>
      <c r="G224" s="118"/>
      <c r="H224" s="8"/>
      <c r="I224" s="119">
        <v>46164.71186384259</v>
      </c>
      <c r="J224" s="120"/>
      <c r="K224" s="11"/>
    </row>
    <row r="225">
      <c r="A225" s="117"/>
      <c r="B225" s="117">
        <v>4.0</v>
      </c>
      <c r="C225" s="46" t="s">
        <v>629</v>
      </c>
      <c r="D225" s="46" t="s">
        <v>315</v>
      </c>
      <c r="E225" s="117">
        <v>2.0</v>
      </c>
      <c r="F225" s="117">
        <v>0.0</v>
      </c>
      <c r="G225" s="118"/>
      <c r="H225" s="8"/>
      <c r="I225" s="119">
        <v>46164.71189752315</v>
      </c>
      <c r="J225" s="120"/>
      <c r="K225" s="11"/>
    </row>
    <row r="226">
      <c r="A226" s="117"/>
      <c r="B226" s="117">
        <v>4.0</v>
      </c>
      <c r="C226" s="46" t="s">
        <v>629</v>
      </c>
      <c r="D226" s="46" t="s">
        <v>168</v>
      </c>
      <c r="E226" s="117">
        <v>2.0</v>
      </c>
      <c r="F226" s="117">
        <v>0.0</v>
      </c>
      <c r="G226" s="118"/>
      <c r="H226" s="8"/>
      <c r="I226" s="119">
        <v>46164.711952893515</v>
      </c>
      <c r="J226" s="120"/>
      <c r="K226" s="11"/>
    </row>
    <row r="227">
      <c r="A227" s="117"/>
      <c r="B227" s="117">
        <v>4.0</v>
      </c>
      <c r="C227" s="46" t="s">
        <v>629</v>
      </c>
      <c r="D227" s="46" t="s">
        <v>362</v>
      </c>
      <c r="E227" s="117">
        <v>2.0</v>
      </c>
      <c r="F227" s="117">
        <v>0.0</v>
      </c>
      <c r="G227" s="118"/>
      <c r="H227" s="8"/>
      <c r="I227" s="119">
        <v>46164.71199387731</v>
      </c>
      <c r="J227" s="120"/>
      <c r="K227" s="11"/>
    </row>
    <row r="228">
      <c r="A228" s="117"/>
      <c r="B228" s="117">
        <v>4.0</v>
      </c>
      <c r="C228" s="46" t="s">
        <v>629</v>
      </c>
      <c r="D228" s="46" t="s">
        <v>362</v>
      </c>
      <c r="E228" s="117">
        <v>2.0</v>
      </c>
      <c r="F228" s="117">
        <v>0.0</v>
      </c>
      <c r="G228" s="118"/>
      <c r="H228" s="8"/>
      <c r="I228" s="119">
        <v>46164.71201854167</v>
      </c>
      <c r="J228" s="120"/>
      <c r="K228" s="11"/>
    </row>
    <row r="229">
      <c r="A229" s="117"/>
      <c r="B229" s="117">
        <v>4.0</v>
      </c>
      <c r="C229" s="46" t="s">
        <v>629</v>
      </c>
      <c r="D229" s="46" t="s">
        <v>275</v>
      </c>
      <c r="E229" s="117">
        <v>2.0</v>
      </c>
      <c r="F229" s="117">
        <v>0.0</v>
      </c>
      <c r="G229" s="118"/>
      <c r="H229" s="8"/>
      <c r="I229" s="119">
        <v>46164.712052083334</v>
      </c>
      <c r="J229" s="120"/>
      <c r="K229" s="11"/>
    </row>
    <row r="230">
      <c r="A230" s="117"/>
      <c r="B230" s="117">
        <v>4.0</v>
      </c>
      <c r="C230" s="46" t="s">
        <v>629</v>
      </c>
      <c r="D230" s="46" t="s">
        <v>340</v>
      </c>
      <c r="E230" s="117">
        <v>2.0</v>
      </c>
      <c r="F230" s="117">
        <v>0.0</v>
      </c>
      <c r="G230" s="118"/>
      <c r="H230" s="8"/>
      <c r="I230" s="119">
        <v>46164.71209623842</v>
      </c>
      <c r="J230" s="120"/>
      <c r="K230" s="11"/>
    </row>
    <row r="231">
      <c r="A231" s="117"/>
      <c r="B231" s="117">
        <v>4.0</v>
      </c>
      <c r="C231" s="46" t="s">
        <v>629</v>
      </c>
      <c r="D231" s="46" t="s">
        <v>340</v>
      </c>
      <c r="E231" s="117">
        <v>2.0</v>
      </c>
      <c r="F231" s="117">
        <v>0.0</v>
      </c>
      <c r="G231" s="118"/>
      <c r="H231" s="8"/>
      <c r="I231" s="119">
        <v>46164.71212064815</v>
      </c>
      <c r="J231" s="120"/>
      <c r="K231" s="11"/>
    </row>
    <row r="232">
      <c r="A232" s="117"/>
      <c r="B232" s="117">
        <v>4.0</v>
      </c>
      <c r="C232" s="46" t="s">
        <v>629</v>
      </c>
      <c r="D232" s="46" t="s">
        <v>340</v>
      </c>
      <c r="E232" s="117">
        <v>2.0</v>
      </c>
      <c r="F232" s="117">
        <v>0.0</v>
      </c>
      <c r="G232" s="118"/>
      <c r="H232" s="8"/>
      <c r="I232" s="119">
        <v>46164.712146018515</v>
      </c>
      <c r="J232" s="120"/>
      <c r="K232" s="11"/>
    </row>
    <row r="233">
      <c r="A233" s="117"/>
      <c r="B233" s="117">
        <v>4.0</v>
      </c>
      <c r="C233" s="46" t="s">
        <v>629</v>
      </c>
      <c r="D233" s="46" t="s">
        <v>472</v>
      </c>
      <c r="E233" s="117">
        <v>2.0</v>
      </c>
      <c r="F233" s="117">
        <v>0.0</v>
      </c>
      <c r="G233" s="118"/>
      <c r="H233" s="8"/>
      <c r="I233" s="119">
        <v>46164.71218072917</v>
      </c>
      <c r="J233" s="120"/>
      <c r="K233" s="11"/>
    </row>
    <row r="234">
      <c r="A234" s="117"/>
      <c r="B234" s="117">
        <v>4.0</v>
      </c>
      <c r="C234" s="46" t="s">
        <v>629</v>
      </c>
      <c r="D234" s="46" t="s">
        <v>247</v>
      </c>
      <c r="E234" s="117">
        <v>2.0</v>
      </c>
      <c r="F234" s="117">
        <v>0.0</v>
      </c>
      <c r="G234" s="118"/>
      <c r="H234" s="8"/>
      <c r="I234" s="119">
        <v>46164.71223604167</v>
      </c>
      <c r="J234" s="37" t="s">
        <v>65</v>
      </c>
      <c r="K234" s="11"/>
    </row>
    <row r="235">
      <c r="A235" s="117"/>
      <c r="B235" s="117">
        <v>4.0</v>
      </c>
      <c r="C235" s="46" t="s">
        <v>629</v>
      </c>
      <c r="D235" s="46" t="s">
        <v>247</v>
      </c>
      <c r="E235" s="117">
        <v>2.0</v>
      </c>
      <c r="F235" s="117">
        <v>0.0</v>
      </c>
      <c r="G235" s="118"/>
      <c r="H235" s="8"/>
      <c r="I235" s="119">
        <v>46164.71226136574</v>
      </c>
      <c r="J235" s="120"/>
      <c r="K235" s="11"/>
    </row>
    <row r="236">
      <c r="A236" s="117"/>
      <c r="B236" s="117">
        <v>4.0</v>
      </c>
      <c r="C236" s="46" t="s">
        <v>629</v>
      </c>
      <c r="D236" s="46" t="s">
        <v>247</v>
      </c>
      <c r="E236" s="117">
        <v>2.0</v>
      </c>
      <c r="F236" s="117">
        <v>0.0</v>
      </c>
      <c r="G236" s="118"/>
      <c r="H236" s="8"/>
      <c r="I236" s="119">
        <v>46164.71228739583</v>
      </c>
      <c r="J236" s="120"/>
      <c r="K236" s="11"/>
    </row>
    <row r="237">
      <c r="A237" s="117"/>
      <c r="B237" s="117">
        <v>4.0</v>
      </c>
      <c r="C237" s="46" t="s">
        <v>629</v>
      </c>
      <c r="D237" s="46" t="s">
        <v>294</v>
      </c>
      <c r="E237" s="117">
        <v>2.0</v>
      </c>
      <c r="F237" s="117">
        <v>0.0</v>
      </c>
      <c r="G237" s="118"/>
      <c r="H237" s="8"/>
      <c r="I237" s="119">
        <v>46164.712327824076</v>
      </c>
      <c r="J237" s="120"/>
      <c r="K237" s="11"/>
    </row>
    <row r="238">
      <c r="A238" s="117"/>
      <c r="B238" s="117">
        <v>5.0</v>
      </c>
      <c r="C238" s="46" t="s">
        <v>629</v>
      </c>
      <c r="D238" s="46" t="s">
        <v>202</v>
      </c>
      <c r="E238" s="117">
        <v>2.0</v>
      </c>
      <c r="F238" s="117">
        <v>0.0</v>
      </c>
      <c r="G238" s="118"/>
      <c r="H238" s="8"/>
      <c r="I238" s="119">
        <v>46171.710427673606</v>
      </c>
      <c r="J238" s="120"/>
      <c r="K238" s="11"/>
    </row>
    <row r="239">
      <c r="A239" s="117"/>
      <c r="B239" s="117">
        <v>5.0</v>
      </c>
      <c r="C239" s="46" t="s">
        <v>629</v>
      </c>
      <c r="D239" s="46" t="s">
        <v>202</v>
      </c>
      <c r="E239" s="117">
        <v>2.0</v>
      </c>
      <c r="F239" s="117">
        <v>0.0</v>
      </c>
      <c r="G239" s="118"/>
      <c r="H239" s="8"/>
      <c r="I239" s="119">
        <v>46171.71045222222</v>
      </c>
      <c r="J239" s="120"/>
      <c r="K239" s="11"/>
    </row>
    <row r="240">
      <c r="A240" s="117"/>
      <c r="B240" s="117">
        <v>5.0</v>
      </c>
      <c r="C240" s="46" t="s">
        <v>629</v>
      </c>
      <c r="D240" s="46" t="s">
        <v>154</v>
      </c>
      <c r="E240" s="117">
        <v>2.0</v>
      </c>
      <c r="F240" s="117">
        <v>0.0</v>
      </c>
      <c r="G240" s="118"/>
      <c r="H240" s="8"/>
      <c r="I240" s="119">
        <v>46171.71066633102</v>
      </c>
      <c r="J240" s="120"/>
      <c r="K240" s="11"/>
    </row>
    <row r="241">
      <c r="A241" s="117"/>
      <c r="B241" s="117">
        <v>5.0</v>
      </c>
      <c r="C241" s="46" t="s">
        <v>629</v>
      </c>
      <c r="D241" s="46" t="s">
        <v>414</v>
      </c>
      <c r="E241" s="117">
        <v>2.0</v>
      </c>
      <c r="F241" s="117">
        <v>0.0</v>
      </c>
      <c r="G241" s="118"/>
      <c r="H241" s="8"/>
      <c r="I241" s="119">
        <v>46171.7108390625</v>
      </c>
      <c r="J241" s="120"/>
      <c r="K241" s="11"/>
    </row>
    <row r="242">
      <c r="A242" s="117"/>
      <c r="B242" s="117">
        <v>5.0</v>
      </c>
      <c r="C242" s="46" t="s">
        <v>629</v>
      </c>
      <c r="D242" s="46" t="s">
        <v>312</v>
      </c>
      <c r="E242" s="117">
        <v>2.0</v>
      </c>
      <c r="F242" s="117">
        <v>0.0</v>
      </c>
      <c r="G242" s="118"/>
      <c r="H242" s="8"/>
      <c r="I242" s="119">
        <v>46171.71097032407</v>
      </c>
      <c r="J242" s="120"/>
      <c r="K242" s="11"/>
    </row>
    <row r="243">
      <c r="A243" s="117"/>
      <c r="B243" s="117">
        <v>5.0</v>
      </c>
      <c r="C243" s="46" t="s">
        <v>629</v>
      </c>
      <c r="D243" s="46" t="s">
        <v>312</v>
      </c>
      <c r="E243" s="117">
        <v>2.0</v>
      </c>
      <c r="F243" s="117">
        <v>0.0</v>
      </c>
      <c r="G243" s="118"/>
      <c r="H243" s="8"/>
      <c r="I243" s="119">
        <v>46171.71099478009</v>
      </c>
      <c r="J243" s="120"/>
      <c r="K243" s="11"/>
    </row>
    <row r="244">
      <c r="A244" s="117"/>
      <c r="B244" s="117">
        <v>5.0</v>
      </c>
      <c r="C244" s="46" t="s">
        <v>629</v>
      </c>
      <c r="D244" s="46" t="s">
        <v>312</v>
      </c>
      <c r="E244" s="117">
        <v>2.0</v>
      </c>
      <c r="F244" s="117">
        <v>0.0</v>
      </c>
      <c r="G244" s="118"/>
      <c r="H244" s="8"/>
      <c r="I244" s="119">
        <v>46171.71101925926</v>
      </c>
      <c r="J244" s="120"/>
      <c r="K244" s="11"/>
    </row>
    <row r="245">
      <c r="A245" s="117"/>
      <c r="B245" s="117">
        <v>5.0</v>
      </c>
      <c r="C245" s="46" t="s">
        <v>629</v>
      </c>
      <c r="D245" s="46" t="s">
        <v>312</v>
      </c>
      <c r="E245" s="117">
        <v>2.0</v>
      </c>
      <c r="F245" s="117">
        <v>0.0</v>
      </c>
      <c r="G245" s="118"/>
      <c r="H245" s="8"/>
      <c r="I245" s="119">
        <v>46171.71104369213</v>
      </c>
      <c r="J245" s="120"/>
      <c r="K245" s="11"/>
    </row>
    <row r="246">
      <c r="A246" s="117"/>
      <c r="B246" s="117">
        <v>5.0</v>
      </c>
      <c r="C246" s="46" t="s">
        <v>629</v>
      </c>
      <c r="D246" s="46" t="s">
        <v>312</v>
      </c>
      <c r="E246" s="117">
        <v>2.0</v>
      </c>
      <c r="F246" s="117">
        <v>0.0</v>
      </c>
      <c r="G246" s="118"/>
      <c r="H246" s="8"/>
      <c r="I246" s="119">
        <v>46171.71106884259</v>
      </c>
      <c r="J246" s="120"/>
      <c r="K246" s="11"/>
    </row>
    <row r="247">
      <c r="A247" s="117"/>
      <c r="B247" s="117">
        <v>5.0</v>
      </c>
      <c r="C247" s="46" t="s">
        <v>629</v>
      </c>
      <c r="D247" s="46" t="s">
        <v>151</v>
      </c>
      <c r="E247" s="117">
        <v>2.0</v>
      </c>
      <c r="F247" s="117">
        <v>0.0</v>
      </c>
      <c r="G247" s="118"/>
      <c r="H247" s="8"/>
      <c r="I247" s="119">
        <v>46171.71111953704</v>
      </c>
      <c r="J247" s="120"/>
      <c r="K247" s="11"/>
    </row>
    <row r="248">
      <c r="A248" s="117"/>
      <c r="B248" s="117">
        <v>5.0</v>
      </c>
      <c r="C248" s="46" t="s">
        <v>629</v>
      </c>
      <c r="D248" s="46" t="s">
        <v>347</v>
      </c>
      <c r="E248" s="117">
        <v>2.0</v>
      </c>
      <c r="F248" s="117">
        <v>0.0</v>
      </c>
      <c r="G248" s="118"/>
      <c r="H248" s="8"/>
      <c r="I248" s="119">
        <v>46171.71120447917</v>
      </c>
      <c r="J248" s="120"/>
      <c r="K248" s="11"/>
    </row>
    <row r="249">
      <c r="A249" s="117"/>
      <c r="B249" s="117">
        <v>5.0</v>
      </c>
      <c r="C249" s="46" t="s">
        <v>629</v>
      </c>
      <c r="D249" s="46" t="s">
        <v>347</v>
      </c>
      <c r="E249" s="117">
        <v>2.0</v>
      </c>
      <c r="F249" s="117">
        <v>0.0</v>
      </c>
      <c r="G249" s="118"/>
      <c r="H249" s="8"/>
      <c r="I249" s="119">
        <v>46171.71122887731</v>
      </c>
      <c r="J249" s="120"/>
      <c r="K249" s="11"/>
    </row>
    <row r="250">
      <c r="A250" s="117"/>
      <c r="B250" s="117">
        <v>5.0</v>
      </c>
      <c r="C250" s="46" t="s">
        <v>629</v>
      </c>
      <c r="D250" s="46" t="s">
        <v>109</v>
      </c>
      <c r="E250" s="117">
        <v>2.0</v>
      </c>
      <c r="F250" s="117">
        <v>0.0</v>
      </c>
      <c r="G250" s="118"/>
      <c r="H250" s="8"/>
      <c r="I250" s="119">
        <v>46171.71126606481</v>
      </c>
      <c r="J250" s="120"/>
      <c r="K250" s="11"/>
    </row>
    <row r="251">
      <c r="A251" s="117"/>
      <c r="B251" s="117">
        <v>5.0</v>
      </c>
      <c r="C251" s="46" t="s">
        <v>629</v>
      </c>
      <c r="D251" s="46" t="s">
        <v>304</v>
      </c>
      <c r="E251" s="117">
        <v>2.0</v>
      </c>
      <c r="F251" s="117">
        <v>0.0</v>
      </c>
      <c r="G251" s="118"/>
      <c r="H251" s="8"/>
      <c r="I251" s="119">
        <v>46171.711524074075</v>
      </c>
      <c r="J251" s="120"/>
      <c r="K251" s="11"/>
    </row>
    <row r="252">
      <c r="A252" s="117"/>
      <c r="B252" s="117">
        <v>5.0</v>
      </c>
      <c r="C252" s="46" t="s">
        <v>629</v>
      </c>
      <c r="D252" s="46" t="s">
        <v>132</v>
      </c>
      <c r="E252" s="117">
        <v>2.0</v>
      </c>
      <c r="F252" s="117">
        <v>0.0</v>
      </c>
      <c r="G252" s="118"/>
      <c r="H252" s="8"/>
      <c r="I252" s="119">
        <v>46171.711664699076</v>
      </c>
      <c r="J252" s="120"/>
      <c r="K252" s="11"/>
    </row>
    <row r="253">
      <c r="A253" s="117"/>
      <c r="B253" s="117">
        <v>5.0</v>
      </c>
      <c r="C253" s="46" t="s">
        <v>629</v>
      </c>
      <c r="D253" s="46" t="s">
        <v>324</v>
      </c>
      <c r="E253" s="117">
        <v>2.0</v>
      </c>
      <c r="F253" s="117">
        <v>0.0</v>
      </c>
      <c r="G253" s="118"/>
      <c r="H253" s="8"/>
      <c r="I253" s="119">
        <v>46171.71172179398</v>
      </c>
      <c r="J253" s="120"/>
      <c r="K253" s="11"/>
    </row>
    <row r="254">
      <c r="A254" s="117"/>
      <c r="B254" s="117">
        <v>5.0</v>
      </c>
      <c r="C254" s="46" t="s">
        <v>629</v>
      </c>
      <c r="D254" s="46" t="s">
        <v>324</v>
      </c>
      <c r="E254" s="117">
        <v>2.0</v>
      </c>
      <c r="F254" s="117">
        <v>0.0</v>
      </c>
      <c r="G254" s="118"/>
      <c r="H254" s="8"/>
      <c r="I254" s="119">
        <v>46171.71174637732</v>
      </c>
      <c r="J254" s="120"/>
      <c r="K254" s="11"/>
    </row>
    <row r="255">
      <c r="A255" s="117"/>
      <c r="B255" s="117">
        <v>5.0</v>
      </c>
      <c r="C255" s="46" t="s">
        <v>629</v>
      </c>
      <c r="D255" s="46" t="s">
        <v>247</v>
      </c>
      <c r="E255" s="117">
        <v>2.0</v>
      </c>
      <c r="F255" s="117">
        <v>0.0</v>
      </c>
      <c r="G255" s="118"/>
      <c r="H255" s="8"/>
      <c r="I255" s="119">
        <v>46171.71206189815</v>
      </c>
      <c r="J255" s="120"/>
      <c r="K255" s="11"/>
    </row>
    <row r="256">
      <c r="A256" s="117"/>
      <c r="B256" s="117">
        <v>6.0</v>
      </c>
      <c r="C256" s="46" t="s">
        <v>629</v>
      </c>
      <c r="D256" s="46" t="s">
        <v>200</v>
      </c>
      <c r="E256" s="117">
        <v>2.0</v>
      </c>
      <c r="F256" s="117">
        <v>0.0</v>
      </c>
      <c r="G256" s="118"/>
      <c r="H256" s="8"/>
      <c r="I256" s="119">
        <v>46178.71103222222</v>
      </c>
      <c r="J256" s="120"/>
      <c r="K256" s="11"/>
    </row>
    <row r="257">
      <c r="A257" s="117"/>
      <c r="B257" s="117">
        <v>6.0</v>
      </c>
      <c r="C257" s="46" t="s">
        <v>629</v>
      </c>
      <c r="D257" s="46" t="s">
        <v>388</v>
      </c>
      <c r="E257" s="117">
        <v>2.0</v>
      </c>
      <c r="F257" s="117">
        <v>0.0</v>
      </c>
      <c r="G257" s="118"/>
      <c r="H257" s="8"/>
      <c r="I257" s="119">
        <v>46178.71131690972</v>
      </c>
      <c r="J257" s="120"/>
      <c r="K257" s="11"/>
    </row>
    <row r="258">
      <c r="A258" s="117"/>
      <c r="B258" s="117">
        <v>6.0</v>
      </c>
      <c r="C258" s="46" t="s">
        <v>629</v>
      </c>
      <c r="D258" s="46" t="s">
        <v>312</v>
      </c>
      <c r="E258" s="117">
        <v>2.0</v>
      </c>
      <c r="F258" s="117">
        <v>0.0</v>
      </c>
      <c r="G258" s="118"/>
      <c r="H258" s="8"/>
      <c r="I258" s="119">
        <v>46178.711379479166</v>
      </c>
      <c r="J258" s="120"/>
      <c r="K258" s="11"/>
    </row>
    <row r="259">
      <c r="A259" s="117"/>
      <c r="B259" s="117"/>
      <c r="C259" s="46"/>
      <c r="D259" s="46"/>
      <c r="E259" s="117"/>
      <c r="F259" s="117"/>
      <c r="G259" s="118"/>
      <c r="H259" s="8"/>
      <c r="I259" s="121"/>
      <c r="J259" s="120"/>
      <c r="K259" s="11"/>
    </row>
    <row r="260">
      <c r="A260" s="117"/>
      <c r="B260" s="117"/>
      <c r="C260" s="46"/>
      <c r="D260" s="46"/>
      <c r="E260" s="117"/>
      <c r="F260" s="117"/>
      <c r="G260" s="118"/>
      <c r="H260" s="8"/>
      <c r="I260" s="121"/>
      <c r="J260" s="120"/>
      <c r="K260" s="11"/>
    </row>
    <row r="261">
      <c r="A261" s="117"/>
      <c r="B261" s="117"/>
      <c r="C261" s="46"/>
      <c r="D261" s="46"/>
      <c r="E261" s="117"/>
      <c r="F261" s="117"/>
      <c r="G261" s="118"/>
      <c r="H261" s="8"/>
      <c r="I261" s="121"/>
      <c r="J261" s="120"/>
      <c r="K261" s="11"/>
    </row>
    <row r="262">
      <c r="A262" s="117"/>
      <c r="B262" s="117"/>
      <c r="C262" s="46"/>
      <c r="D262" s="46"/>
      <c r="E262" s="117"/>
      <c r="F262" s="117"/>
      <c r="G262" s="118"/>
      <c r="H262" s="8"/>
      <c r="I262" s="121"/>
      <c r="J262" s="120"/>
      <c r="K262" s="11"/>
    </row>
    <row r="263">
      <c r="A263" s="117"/>
      <c r="B263" s="117"/>
      <c r="C263" s="46"/>
      <c r="D263" s="46"/>
      <c r="E263" s="117"/>
      <c r="F263" s="117"/>
      <c r="G263" s="118"/>
      <c r="H263" s="8"/>
      <c r="I263" s="121"/>
      <c r="J263" s="120"/>
      <c r="K263" s="11"/>
    </row>
    <row r="264">
      <c r="A264" s="117"/>
      <c r="B264" s="117"/>
      <c r="C264" s="46"/>
      <c r="D264" s="46"/>
      <c r="E264" s="117"/>
      <c r="F264" s="117"/>
      <c r="G264" s="118"/>
      <c r="H264" s="8"/>
      <c r="I264" s="121"/>
      <c r="J264" s="120"/>
      <c r="K264" s="11"/>
    </row>
    <row r="265">
      <c r="A265" s="117"/>
      <c r="B265" s="117"/>
      <c r="C265" s="46"/>
      <c r="D265" s="46"/>
      <c r="E265" s="117"/>
      <c r="F265" s="117"/>
      <c r="G265" s="118"/>
      <c r="H265" s="8"/>
      <c r="I265" s="121"/>
      <c r="J265" s="120"/>
      <c r="K265" s="11"/>
    </row>
    <row r="266">
      <c r="A266" s="117"/>
      <c r="B266" s="117"/>
      <c r="C266" s="46"/>
      <c r="D266" s="46"/>
      <c r="E266" s="117"/>
      <c r="F266" s="117"/>
      <c r="G266" s="118"/>
      <c r="H266" s="8"/>
      <c r="I266" s="121"/>
      <c r="J266" s="120"/>
      <c r="K266" s="11"/>
    </row>
    <row r="267">
      <c r="A267" s="117"/>
      <c r="B267" s="117"/>
      <c r="C267" s="46"/>
      <c r="D267" s="46"/>
      <c r="E267" s="117"/>
      <c r="F267" s="117"/>
      <c r="G267" s="118"/>
      <c r="H267" s="8"/>
      <c r="I267" s="121"/>
      <c r="J267" s="120"/>
      <c r="K267" s="11"/>
    </row>
    <row r="268">
      <c r="A268" s="117"/>
      <c r="B268" s="117"/>
      <c r="C268" s="46"/>
      <c r="D268" s="46"/>
      <c r="E268" s="117"/>
      <c r="F268" s="117"/>
      <c r="G268" s="118"/>
      <c r="H268" s="8"/>
      <c r="I268" s="121"/>
      <c r="J268" s="120"/>
      <c r="K268" s="11"/>
    </row>
    <row r="269">
      <c r="A269" s="117"/>
      <c r="B269" s="117"/>
      <c r="C269" s="46"/>
      <c r="D269" s="46"/>
      <c r="E269" s="117"/>
      <c r="F269" s="117"/>
      <c r="G269" s="118"/>
      <c r="H269" s="8"/>
      <c r="I269" s="121"/>
      <c r="J269" s="120"/>
      <c r="K269" s="11"/>
    </row>
    <row r="270">
      <c r="A270" s="117"/>
      <c r="B270" s="117"/>
      <c r="C270" s="46"/>
      <c r="D270" s="46"/>
      <c r="E270" s="117"/>
      <c r="F270" s="117"/>
      <c r="G270" s="118"/>
      <c r="H270" s="8"/>
      <c r="I270" s="121"/>
      <c r="J270" s="120"/>
      <c r="K270" s="11"/>
    </row>
    <row r="271">
      <c r="A271" s="117"/>
      <c r="B271" s="117"/>
      <c r="C271" s="46"/>
      <c r="D271" s="46"/>
      <c r="E271" s="117"/>
      <c r="F271" s="117"/>
      <c r="G271" s="118"/>
      <c r="H271" s="8"/>
      <c r="I271" s="121"/>
      <c r="J271" s="120"/>
      <c r="K271" s="11"/>
    </row>
    <row r="272">
      <c r="A272" s="117"/>
      <c r="B272" s="117"/>
      <c r="C272" s="46"/>
      <c r="D272" s="46"/>
      <c r="E272" s="117"/>
      <c r="F272" s="117"/>
      <c r="G272" s="118"/>
      <c r="H272" s="8"/>
      <c r="I272" s="121"/>
      <c r="J272" s="120"/>
      <c r="K272" s="11"/>
    </row>
    <row r="273">
      <c r="A273" s="117"/>
      <c r="B273" s="117"/>
      <c r="C273" s="46"/>
      <c r="D273" s="46"/>
      <c r="E273" s="117"/>
      <c r="F273" s="117"/>
      <c r="G273" s="118"/>
      <c r="H273" s="8"/>
      <c r="I273" s="121"/>
      <c r="J273" s="120"/>
      <c r="K273" s="11"/>
    </row>
    <row r="274">
      <c r="A274" s="117"/>
      <c r="B274" s="117"/>
      <c r="C274" s="46"/>
      <c r="D274" s="46"/>
      <c r="E274" s="117"/>
      <c r="F274" s="117"/>
      <c r="G274" s="118"/>
      <c r="H274" s="8"/>
      <c r="I274" s="121"/>
      <c r="J274" s="120"/>
      <c r="K274" s="11"/>
    </row>
    <row r="275">
      <c r="A275" s="117"/>
      <c r="B275" s="117"/>
      <c r="C275" s="46"/>
      <c r="D275" s="46"/>
      <c r="E275" s="117"/>
      <c r="F275" s="117"/>
      <c r="G275" s="118"/>
      <c r="H275" s="8"/>
      <c r="I275" s="121"/>
      <c r="J275" s="120"/>
      <c r="K275" s="11"/>
    </row>
    <row r="276">
      <c r="A276" s="117"/>
      <c r="B276" s="117"/>
      <c r="C276" s="46"/>
      <c r="D276" s="46"/>
      <c r="E276" s="117"/>
      <c r="F276" s="117"/>
      <c r="G276" s="118"/>
      <c r="H276" s="8"/>
      <c r="I276" s="121"/>
      <c r="J276" s="120"/>
      <c r="K276" s="11"/>
    </row>
    <row r="277">
      <c r="A277" s="117"/>
      <c r="B277" s="117"/>
      <c r="C277" s="46"/>
      <c r="D277" s="46"/>
      <c r="E277" s="117"/>
      <c r="F277" s="117"/>
      <c r="G277" s="118"/>
      <c r="H277" s="8"/>
      <c r="I277" s="121"/>
      <c r="J277" s="120"/>
      <c r="K277" s="11"/>
    </row>
    <row r="278">
      <c r="A278" s="117"/>
      <c r="B278" s="117"/>
      <c r="C278" s="46"/>
      <c r="D278" s="46"/>
      <c r="E278" s="117"/>
      <c r="F278" s="117"/>
      <c r="G278" s="118"/>
      <c r="H278" s="8"/>
      <c r="I278" s="121"/>
      <c r="J278" s="120"/>
      <c r="K278" s="11"/>
    </row>
    <row r="279">
      <c r="A279" s="117"/>
      <c r="B279" s="117"/>
      <c r="C279" s="46"/>
      <c r="D279" s="46"/>
      <c r="E279" s="117"/>
      <c r="F279" s="117"/>
      <c r="G279" s="118"/>
      <c r="H279" s="8"/>
      <c r="I279" s="121"/>
      <c r="J279" s="120"/>
      <c r="K279" s="11"/>
    </row>
    <row r="280">
      <c r="A280" s="117"/>
      <c r="B280" s="117"/>
      <c r="C280" s="46"/>
      <c r="D280" s="46"/>
      <c r="E280" s="117"/>
      <c r="F280" s="117"/>
      <c r="G280" s="118"/>
      <c r="H280" s="8"/>
      <c r="I280" s="121"/>
      <c r="J280" s="120"/>
      <c r="K280" s="11"/>
    </row>
    <row r="281">
      <c r="A281" s="117"/>
      <c r="B281" s="117"/>
      <c r="C281" s="46"/>
      <c r="D281" s="46"/>
      <c r="E281" s="117"/>
      <c r="F281" s="117"/>
      <c r="G281" s="118"/>
      <c r="H281" s="8"/>
      <c r="I281" s="121"/>
      <c r="J281" s="120"/>
      <c r="K281" s="11"/>
    </row>
    <row r="282">
      <c r="A282" s="117"/>
      <c r="B282" s="117"/>
      <c r="C282" s="46"/>
      <c r="D282" s="46"/>
      <c r="E282" s="117"/>
      <c r="F282" s="117"/>
      <c r="G282" s="118"/>
      <c r="H282" s="8"/>
      <c r="I282" s="121"/>
      <c r="J282" s="120"/>
      <c r="K282" s="11"/>
    </row>
    <row r="283">
      <c r="A283" s="117"/>
      <c r="B283" s="117"/>
      <c r="C283" s="46"/>
      <c r="D283" s="46"/>
      <c r="E283" s="117"/>
      <c r="F283" s="117"/>
      <c r="G283" s="118"/>
      <c r="H283" s="8"/>
      <c r="I283" s="121"/>
      <c r="J283" s="120"/>
      <c r="K283" s="11"/>
    </row>
    <row r="284">
      <c r="A284" s="117"/>
      <c r="B284" s="117"/>
      <c r="C284" s="46"/>
      <c r="D284" s="46"/>
      <c r="E284" s="117"/>
      <c r="F284" s="117"/>
      <c r="G284" s="118"/>
      <c r="H284" s="8"/>
      <c r="I284" s="121"/>
      <c r="J284" s="120"/>
      <c r="K284" s="11"/>
    </row>
    <row r="285">
      <c r="A285" s="117"/>
      <c r="B285" s="117"/>
      <c r="C285" s="46"/>
      <c r="D285" s="46"/>
      <c r="E285" s="117"/>
      <c r="F285" s="117"/>
      <c r="G285" s="118"/>
      <c r="H285" s="8"/>
      <c r="I285" s="121"/>
      <c r="J285" s="120"/>
      <c r="K285" s="11"/>
    </row>
    <row r="286">
      <c r="A286" s="117"/>
      <c r="B286" s="117"/>
      <c r="C286" s="46"/>
      <c r="D286" s="46"/>
      <c r="E286" s="117"/>
      <c r="F286" s="117"/>
      <c r="G286" s="118"/>
      <c r="H286" s="8"/>
      <c r="I286" s="121"/>
      <c r="J286" s="120"/>
      <c r="K286" s="11"/>
    </row>
    <row r="287">
      <c r="A287" s="117"/>
      <c r="B287" s="117"/>
      <c r="C287" s="46"/>
      <c r="D287" s="46"/>
      <c r="E287" s="117"/>
      <c r="F287" s="117"/>
      <c r="G287" s="118"/>
      <c r="H287" s="8"/>
      <c r="I287" s="121"/>
      <c r="J287" s="120"/>
      <c r="K287" s="11"/>
    </row>
    <row r="288">
      <c r="A288" s="117"/>
      <c r="B288" s="117"/>
      <c r="C288" s="46"/>
      <c r="D288" s="46"/>
      <c r="E288" s="117"/>
      <c r="F288" s="117"/>
      <c r="G288" s="118"/>
      <c r="H288" s="8"/>
      <c r="I288" s="121"/>
      <c r="J288" s="120"/>
      <c r="K288" s="11"/>
    </row>
    <row r="289">
      <c r="A289" s="117"/>
      <c r="B289" s="117"/>
      <c r="C289" s="46"/>
      <c r="D289" s="46"/>
      <c r="E289" s="117"/>
      <c r="F289" s="117"/>
      <c r="G289" s="118"/>
      <c r="H289" s="8"/>
      <c r="I289" s="121"/>
      <c r="J289" s="120"/>
      <c r="K289" s="11"/>
    </row>
    <row r="290">
      <c r="A290" s="117"/>
      <c r="B290" s="117"/>
      <c r="C290" s="46"/>
      <c r="D290" s="46"/>
      <c r="E290" s="117"/>
      <c r="F290" s="117"/>
      <c r="G290" s="118"/>
      <c r="H290" s="8"/>
      <c r="I290" s="121"/>
      <c r="J290" s="120"/>
      <c r="K290" s="11"/>
    </row>
    <row r="291">
      <c r="A291" s="117"/>
      <c r="B291" s="117"/>
      <c r="C291" s="46"/>
      <c r="D291" s="46"/>
      <c r="E291" s="117"/>
      <c r="F291" s="117"/>
      <c r="G291" s="118"/>
      <c r="H291" s="8"/>
      <c r="I291" s="121"/>
      <c r="J291" s="120"/>
      <c r="K291" s="11"/>
    </row>
    <row r="292">
      <c r="A292" s="117"/>
      <c r="B292" s="117"/>
      <c r="C292" s="46"/>
      <c r="D292" s="46"/>
      <c r="E292" s="117"/>
      <c r="F292" s="117"/>
      <c r="G292" s="118"/>
      <c r="H292" s="8"/>
      <c r="I292" s="121"/>
      <c r="J292" s="120"/>
      <c r="K292" s="11"/>
    </row>
    <row r="293">
      <c r="A293" s="117"/>
      <c r="B293" s="117"/>
      <c r="C293" s="46"/>
      <c r="D293" s="46"/>
      <c r="E293" s="117"/>
      <c r="F293" s="117"/>
      <c r="G293" s="118"/>
      <c r="H293" s="8"/>
      <c r="I293" s="121"/>
      <c r="J293" s="120"/>
      <c r="K293" s="11"/>
    </row>
    <row r="294">
      <c r="A294" s="117"/>
      <c r="B294" s="117"/>
      <c r="C294" s="46"/>
      <c r="D294" s="46"/>
      <c r="E294" s="117"/>
      <c r="F294" s="117"/>
      <c r="G294" s="118"/>
      <c r="H294" s="8"/>
      <c r="I294" s="121"/>
      <c r="J294" s="120"/>
      <c r="K294" s="11"/>
    </row>
    <row r="295">
      <c r="A295" s="117"/>
      <c r="B295" s="117"/>
      <c r="C295" s="46"/>
      <c r="D295" s="46"/>
      <c r="E295" s="117"/>
      <c r="F295" s="117"/>
      <c r="G295" s="118"/>
      <c r="H295" s="8"/>
      <c r="I295" s="121"/>
      <c r="J295" s="120"/>
      <c r="K295" s="11"/>
    </row>
    <row r="296">
      <c r="A296" s="117"/>
      <c r="B296" s="117"/>
      <c r="C296" s="46"/>
      <c r="D296" s="46"/>
      <c r="E296" s="117"/>
      <c r="F296" s="117"/>
      <c r="G296" s="118"/>
      <c r="H296" s="8"/>
      <c r="I296" s="121"/>
      <c r="J296" s="120"/>
      <c r="K296" s="11"/>
    </row>
    <row r="297">
      <c r="A297" s="117"/>
      <c r="B297" s="117"/>
      <c r="C297" s="46"/>
      <c r="D297" s="46"/>
      <c r="E297" s="117"/>
      <c r="F297" s="117"/>
      <c r="G297" s="118"/>
      <c r="H297" s="8"/>
      <c r="I297" s="121"/>
      <c r="J297" s="120"/>
      <c r="K297" s="11"/>
    </row>
    <row r="298">
      <c r="A298" s="117"/>
      <c r="B298" s="117"/>
      <c r="C298" s="46"/>
      <c r="D298" s="46"/>
      <c r="E298" s="117"/>
      <c r="F298" s="117"/>
      <c r="G298" s="118"/>
      <c r="H298" s="8"/>
      <c r="I298" s="121"/>
      <c r="J298" s="120"/>
      <c r="K298" s="11"/>
    </row>
    <row r="299">
      <c r="A299" s="117"/>
      <c r="B299" s="117"/>
      <c r="C299" s="46"/>
      <c r="D299" s="46"/>
      <c r="E299" s="117"/>
      <c r="F299" s="117"/>
      <c r="G299" s="118"/>
      <c r="H299" s="8"/>
      <c r="I299" s="121"/>
      <c r="J299" s="120"/>
      <c r="K299" s="11"/>
    </row>
    <row r="300">
      <c r="A300" s="117"/>
      <c r="B300" s="117"/>
      <c r="C300" s="46"/>
      <c r="D300" s="46"/>
      <c r="E300" s="117"/>
      <c r="F300" s="117"/>
      <c r="G300" s="118"/>
      <c r="H300" s="8"/>
      <c r="I300" s="121"/>
      <c r="J300" s="120"/>
      <c r="K300" s="11"/>
    </row>
    <row r="301">
      <c r="A301" s="117"/>
      <c r="B301" s="117"/>
      <c r="C301" s="46"/>
      <c r="D301" s="46"/>
      <c r="E301" s="117"/>
      <c r="F301" s="117"/>
      <c r="G301" s="118"/>
      <c r="H301" s="8"/>
      <c r="I301" s="121"/>
      <c r="J301" s="120"/>
      <c r="K301" s="11"/>
    </row>
    <row r="302">
      <c r="A302" s="117"/>
      <c r="B302" s="117"/>
      <c r="C302" s="46"/>
      <c r="D302" s="46"/>
      <c r="E302" s="117"/>
      <c r="F302" s="117"/>
      <c r="G302" s="118"/>
      <c r="H302" s="8"/>
      <c r="I302" s="121"/>
      <c r="J302" s="120"/>
      <c r="K302" s="11"/>
    </row>
    <row r="303">
      <c r="A303" s="117"/>
      <c r="B303" s="117"/>
      <c r="C303" s="46"/>
      <c r="D303" s="46"/>
      <c r="E303" s="117"/>
      <c r="F303" s="117"/>
      <c r="G303" s="118"/>
      <c r="H303" s="8"/>
      <c r="I303" s="121"/>
      <c r="J303" s="120"/>
      <c r="K303" s="11"/>
    </row>
    <row r="304">
      <c r="A304" s="117"/>
      <c r="B304" s="117"/>
      <c r="C304" s="46"/>
      <c r="D304" s="46"/>
      <c r="E304" s="117"/>
      <c r="F304" s="117"/>
      <c r="G304" s="118"/>
      <c r="H304" s="8"/>
      <c r="I304" s="121"/>
      <c r="J304" s="120"/>
      <c r="K304" s="11"/>
    </row>
    <row r="305">
      <c r="A305" s="117"/>
      <c r="B305" s="117"/>
      <c r="C305" s="46"/>
      <c r="D305" s="46"/>
      <c r="E305" s="117"/>
      <c r="F305" s="117"/>
      <c r="G305" s="118"/>
      <c r="H305" s="8"/>
      <c r="I305" s="121"/>
      <c r="J305" s="120"/>
      <c r="K305" s="11"/>
    </row>
    <row r="306">
      <c r="A306" s="117"/>
      <c r="B306" s="117"/>
      <c r="C306" s="46"/>
      <c r="D306" s="46"/>
      <c r="E306" s="117"/>
      <c r="F306" s="117"/>
      <c r="G306" s="118"/>
      <c r="H306" s="8"/>
      <c r="I306" s="121"/>
      <c r="J306" s="120"/>
      <c r="K306" s="11"/>
    </row>
    <row r="307">
      <c r="A307" s="117"/>
      <c r="B307" s="117"/>
      <c r="C307" s="46"/>
      <c r="D307" s="46"/>
      <c r="E307" s="117"/>
      <c r="F307" s="117"/>
      <c r="G307" s="118"/>
      <c r="H307" s="8"/>
      <c r="I307" s="121"/>
      <c r="J307" s="120"/>
      <c r="K307" s="11"/>
    </row>
    <row r="308">
      <c r="A308" s="117"/>
      <c r="B308" s="117"/>
      <c r="C308" s="46"/>
      <c r="D308" s="46"/>
      <c r="E308" s="117"/>
      <c r="F308" s="117"/>
      <c r="G308" s="118"/>
      <c r="H308" s="8"/>
      <c r="I308" s="121"/>
      <c r="J308" s="120"/>
      <c r="K308" s="11"/>
    </row>
    <row r="309">
      <c r="A309" s="117"/>
      <c r="B309" s="117"/>
      <c r="C309" s="46"/>
      <c r="D309" s="46"/>
      <c r="E309" s="117"/>
      <c r="F309" s="117"/>
      <c r="G309" s="118"/>
      <c r="H309" s="8"/>
      <c r="I309" s="121"/>
      <c r="J309" s="120"/>
      <c r="K309" s="11"/>
    </row>
    <row r="310">
      <c r="A310" s="117"/>
      <c r="B310" s="117"/>
      <c r="C310" s="46"/>
      <c r="D310" s="46"/>
      <c r="E310" s="117"/>
      <c r="F310" s="117"/>
      <c r="G310" s="118"/>
      <c r="H310" s="8"/>
      <c r="I310" s="121"/>
      <c r="J310" s="120"/>
      <c r="K310" s="11"/>
    </row>
    <row r="311">
      <c r="A311" s="117"/>
      <c r="B311" s="117"/>
      <c r="C311" s="46"/>
      <c r="D311" s="46"/>
      <c r="E311" s="117"/>
      <c r="F311" s="117"/>
      <c r="G311" s="118"/>
      <c r="H311" s="8"/>
      <c r="I311" s="121"/>
      <c r="J311" s="120"/>
      <c r="K311" s="11"/>
    </row>
    <row r="312">
      <c r="A312" s="117"/>
      <c r="B312" s="117"/>
      <c r="C312" s="46"/>
      <c r="D312" s="46"/>
      <c r="E312" s="117"/>
      <c r="F312" s="117"/>
      <c r="G312" s="118"/>
      <c r="H312" s="8"/>
      <c r="I312" s="121"/>
      <c r="J312" s="120"/>
      <c r="K312" s="11"/>
    </row>
    <row r="313">
      <c r="A313" s="117"/>
      <c r="B313" s="117"/>
      <c r="C313" s="46"/>
      <c r="D313" s="46"/>
      <c r="E313" s="117"/>
      <c r="F313" s="117"/>
      <c r="G313" s="118"/>
      <c r="H313" s="8"/>
      <c r="I313" s="121"/>
      <c r="J313" s="120"/>
      <c r="K313" s="11"/>
    </row>
    <row r="314">
      <c r="A314" s="117"/>
      <c r="B314" s="117"/>
      <c r="C314" s="46"/>
      <c r="D314" s="46"/>
      <c r="E314" s="117"/>
      <c r="F314" s="117"/>
      <c r="G314" s="118"/>
      <c r="H314" s="8"/>
      <c r="I314" s="121"/>
      <c r="J314" s="120"/>
      <c r="K314" s="11"/>
    </row>
    <row r="315">
      <c r="A315" s="117"/>
      <c r="B315" s="117"/>
      <c r="C315" s="46"/>
      <c r="D315" s="46"/>
      <c r="E315" s="117"/>
      <c r="F315" s="117"/>
      <c r="G315" s="118"/>
      <c r="H315" s="8"/>
      <c r="I315" s="121"/>
      <c r="J315" s="120"/>
      <c r="K315" s="11"/>
    </row>
    <row r="316">
      <c r="A316" s="117"/>
      <c r="B316" s="117"/>
      <c r="C316" s="46"/>
      <c r="D316" s="46"/>
      <c r="E316" s="117"/>
      <c r="F316" s="117"/>
      <c r="G316" s="118"/>
      <c r="H316" s="8"/>
      <c r="I316" s="121"/>
      <c r="J316" s="120"/>
      <c r="K316" s="11"/>
    </row>
    <row r="317">
      <c r="A317" s="117"/>
      <c r="B317" s="117"/>
      <c r="C317" s="46"/>
      <c r="D317" s="46"/>
      <c r="E317" s="117"/>
      <c r="F317" s="117"/>
      <c r="G317" s="118"/>
      <c r="H317" s="8"/>
      <c r="I317" s="121"/>
      <c r="J317" s="120"/>
      <c r="K317" s="11"/>
    </row>
    <row r="318">
      <c r="A318" s="117"/>
      <c r="B318" s="117"/>
      <c r="C318" s="46"/>
      <c r="D318" s="46"/>
      <c r="E318" s="117"/>
      <c r="F318" s="117"/>
      <c r="G318" s="118"/>
      <c r="H318" s="8"/>
      <c r="I318" s="121"/>
      <c r="J318" s="120"/>
      <c r="K318" s="11"/>
    </row>
    <row r="319">
      <c r="A319" s="117"/>
      <c r="B319" s="117"/>
      <c r="C319" s="46"/>
      <c r="D319" s="46"/>
      <c r="E319" s="117"/>
      <c r="F319" s="117"/>
      <c r="G319" s="118"/>
      <c r="H319" s="8"/>
      <c r="I319" s="121"/>
      <c r="J319" s="120"/>
      <c r="K319" s="11"/>
    </row>
    <row r="320">
      <c r="A320" s="117"/>
      <c r="B320" s="117"/>
      <c r="C320" s="46"/>
      <c r="D320" s="46"/>
      <c r="E320" s="117"/>
      <c r="F320" s="117"/>
      <c r="G320" s="118"/>
      <c r="H320" s="8"/>
      <c r="I320" s="121"/>
      <c r="J320" s="120"/>
      <c r="K320" s="11"/>
    </row>
    <row r="321">
      <c r="A321" s="117"/>
      <c r="B321" s="117"/>
      <c r="C321" s="46"/>
      <c r="D321" s="46"/>
      <c r="E321" s="117"/>
      <c r="F321" s="117"/>
      <c r="G321" s="118"/>
      <c r="H321" s="8"/>
      <c r="I321" s="121"/>
      <c r="J321" s="120"/>
      <c r="K321" s="11"/>
    </row>
    <row r="322">
      <c r="A322" s="117"/>
      <c r="B322" s="117"/>
      <c r="C322" s="46"/>
      <c r="D322" s="46"/>
      <c r="E322" s="117"/>
      <c r="F322" s="117"/>
      <c r="G322" s="118"/>
      <c r="H322" s="8"/>
      <c r="I322" s="121"/>
      <c r="J322" s="120"/>
      <c r="K322" s="11"/>
    </row>
    <row r="323">
      <c r="A323" s="117"/>
      <c r="B323" s="117"/>
      <c r="C323" s="46"/>
      <c r="D323" s="46"/>
      <c r="E323" s="117"/>
      <c r="F323" s="117"/>
      <c r="G323" s="118"/>
      <c r="H323" s="8"/>
      <c r="I323" s="121"/>
      <c r="J323" s="120"/>
      <c r="K323" s="11"/>
    </row>
    <row r="324">
      <c r="A324" s="117"/>
      <c r="B324" s="117"/>
      <c r="C324" s="46"/>
      <c r="D324" s="46"/>
      <c r="E324" s="117"/>
      <c r="F324" s="117"/>
      <c r="G324" s="118"/>
      <c r="H324" s="8"/>
      <c r="I324" s="121"/>
      <c r="J324" s="120"/>
      <c r="K324" s="11"/>
    </row>
    <row r="325">
      <c r="A325" s="117"/>
      <c r="B325" s="117"/>
      <c r="C325" s="46"/>
      <c r="D325" s="46"/>
      <c r="E325" s="117"/>
      <c r="F325" s="117"/>
      <c r="G325" s="118"/>
      <c r="H325" s="8"/>
      <c r="I325" s="121"/>
      <c r="J325" s="120"/>
      <c r="K325" s="11"/>
    </row>
    <row r="326">
      <c r="A326" s="117"/>
      <c r="B326" s="117"/>
      <c r="C326" s="46"/>
      <c r="D326" s="46"/>
      <c r="E326" s="117"/>
      <c r="F326" s="117"/>
      <c r="G326" s="118"/>
      <c r="H326" s="8"/>
      <c r="I326" s="121"/>
      <c r="J326" s="120"/>
      <c r="K326" s="11"/>
    </row>
    <row r="327">
      <c r="A327" s="117"/>
      <c r="B327" s="117"/>
      <c r="C327" s="46"/>
      <c r="D327" s="46"/>
      <c r="E327" s="117"/>
      <c r="F327" s="117"/>
      <c r="G327" s="118"/>
      <c r="H327" s="8"/>
      <c r="I327" s="121"/>
      <c r="J327" s="120"/>
      <c r="K327" s="11"/>
    </row>
    <row r="328">
      <c r="A328" s="117"/>
      <c r="B328" s="117"/>
      <c r="C328" s="46"/>
      <c r="D328" s="46"/>
      <c r="E328" s="117"/>
      <c r="F328" s="117"/>
      <c r="G328" s="118"/>
      <c r="H328" s="8"/>
      <c r="I328" s="121"/>
      <c r="J328" s="120"/>
      <c r="K328" s="11"/>
    </row>
    <row r="329">
      <c r="A329" s="117"/>
      <c r="B329" s="117"/>
      <c r="C329" s="46"/>
      <c r="D329" s="46"/>
      <c r="E329" s="117"/>
      <c r="F329" s="117"/>
      <c r="G329" s="118"/>
      <c r="H329" s="8"/>
      <c r="I329" s="121"/>
      <c r="J329" s="120"/>
      <c r="K329" s="11"/>
    </row>
    <row r="330">
      <c r="A330" s="117"/>
      <c r="B330" s="117"/>
      <c r="C330" s="46"/>
      <c r="D330" s="46"/>
      <c r="E330" s="117"/>
      <c r="F330" s="117"/>
      <c r="G330" s="118"/>
      <c r="H330" s="8"/>
      <c r="I330" s="121"/>
      <c r="J330" s="120"/>
      <c r="K330" s="11"/>
    </row>
    <row r="331">
      <c r="A331" s="117"/>
      <c r="B331" s="117"/>
      <c r="C331" s="46"/>
      <c r="D331" s="46"/>
      <c r="E331" s="117"/>
      <c r="F331" s="117"/>
      <c r="G331" s="118"/>
      <c r="H331" s="8"/>
      <c r="I331" s="121"/>
      <c r="J331" s="120"/>
      <c r="K331" s="11"/>
    </row>
    <row r="332">
      <c r="A332" s="117"/>
      <c r="B332" s="117"/>
      <c r="C332" s="46"/>
      <c r="D332" s="46"/>
      <c r="E332" s="117"/>
      <c r="F332" s="117"/>
      <c r="G332" s="118"/>
      <c r="H332" s="8"/>
      <c r="I332" s="121"/>
      <c r="J332" s="120"/>
      <c r="K332" s="11"/>
    </row>
    <row r="333">
      <c r="A333" s="117"/>
      <c r="B333" s="117"/>
      <c r="C333" s="46"/>
      <c r="D333" s="46"/>
      <c r="E333" s="117"/>
      <c r="F333" s="117"/>
      <c r="G333" s="118"/>
      <c r="H333" s="8"/>
      <c r="I333" s="121"/>
      <c r="J333" s="120"/>
      <c r="K333" s="11"/>
    </row>
    <row r="334">
      <c r="A334" s="117"/>
      <c r="B334" s="117"/>
      <c r="C334" s="46"/>
      <c r="D334" s="46"/>
      <c r="E334" s="117"/>
      <c r="F334" s="117"/>
      <c r="G334" s="118"/>
      <c r="H334" s="8"/>
      <c r="I334" s="121"/>
      <c r="J334" s="120"/>
      <c r="K334" s="11"/>
    </row>
    <row r="335">
      <c r="A335" s="117"/>
      <c r="B335" s="117"/>
      <c r="C335" s="46"/>
      <c r="D335" s="46"/>
      <c r="E335" s="117"/>
      <c r="F335" s="117"/>
      <c r="G335" s="118"/>
      <c r="H335" s="8"/>
      <c r="I335" s="121"/>
      <c r="J335" s="120"/>
      <c r="K335" s="11"/>
    </row>
    <row r="336">
      <c r="A336" s="117"/>
      <c r="B336" s="117"/>
      <c r="C336" s="46"/>
      <c r="D336" s="46"/>
      <c r="E336" s="117"/>
      <c r="F336" s="117"/>
      <c r="G336" s="118"/>
      <c r="H336" s="8"/>
      <c r="I336" s="121"/>
      <c r="J336" s="120"/>
      <c r="K336" s="11"/>
    </row>
    <row r="337">
      <c r="A337" s="117"/>
      <c r="B337" s="117"/>
      <c r="C337" s="46"/>
      <c r="D337" s="46"/>
      <c r="E337" s="117"/>
      <c r="F337" s="117"/>
      <c r="G337" s="118"/>
      <c r="H337" s="8"/>
      <c r="I337" s="121"/>
      <c r="J337" s="120"/>
      <c r="K337" s="11"/>
    </row>
    <row r="338">
      <c r="A338" s="117"/>
      <c r="B338" s="117"/>
      <c r="C338" s="46"/>
      <c r="D338" s="46"/>
      <c r="E338" s="117"/>
      <c r="F338" s="117"/>
      <c r="G338" s="118"/>
      <c r="H338" s="8"/>
      <c r="I338" s="121"/>
      <c r="J338" s="120"/>
      <c r="K338" s="11"/>
    </row>
    <row r="339">
      <c r="A339" s="117"/>
      <c r="B339" s="117"/>
      <c r="C339" s="46"/>
      <c r="D339" s="46"/>
      <c r="E339" s="117"/>
      <c r="F339" s="117"/>
      <c r="G339" s="118"/>
      <c r="H339" s="8"/>
      <c r="I339" s="121"/>
      <c r="J339" s="120"/>
      <c r="K339" s="11"/>
    </row>
    <row r="340">
      <c r="A340" s="117"/>
      <c r="B340" s="117"/>
      <c r="C340" s="46"/>
      <c r="D340" s="46"/>
      <c r="E340" s="117"/>
      <c r="F340" s="117"/>
      <c r="G340" s="118"/>
      <c r="H340" s="8"/>
      <c r="I340" s="121"/>
      <c r="J340" s="120"/>
      <c r="K340" s="11"/>
    </row>
    <row r="341">
      <c r="A341" s="117"/>
      <c r="B341" s="117"/>
      <c r="C341" s="46"/>
      <c r="D341" s="46"/>
      <c r="E341" s="117"/>
      <c r="F341" s="117"/>
      <c r="G341" s="118"/>
      <c r="H341" s="8"/>
      <c r="I341" s="121"/>
      <c r="J341" s="120"/>
      <c r="K341" s="11"/>
    </row>
    <row r="342">
      <c r="A342" s="117"/>
      <c r="B342" s="117"/>
      <c r="C342" s="46"/>
      <c r="D342" s="46"/>
      <c r="E342" s="117"/>
      <c r="F342" s="117"/>
      <c r="G342" s="118"/>
      <c r="H342" s="8"/>
      <c r="I342" s="121"/>
      <c r="J342" s="120"/>
      <c r="K342" s="11"/>
    </row>
    <row r="343">
      <c r="A343" s="117"/>
      <c r="B343" s="117"/>
      <c r="C343" s="46"/>
      <c r="D343" s="46"/>
      <c r="E343" s="117"/>
      <c r="F343" s="117"/>
      <c r="G343" s="118"/>
      <c r="H343" s="8"/>
      <c r="I343" s="121"/>
      <c r="J343" s="120"/>
      <c r="K343" s="11"/>
    </row>
    <row r="344">
      <c r="A344" s="117"/>
      <c r="B344" s="117"/>
      <c r="C344" s="46"/>
      <c r="D344" s="46"/>
      <c r="E344" s="117"/>
      <c r="F344" s="117"/>
      <c r="G344" s="118"/>
      <c r="H344" s="8"/>
      <c r="I344" s="121"/>
      <c r="J344" s="120"/>
      <c r="K344" s="11"/>
    </row>
    <row r="345">
      <c r="A345" s="117"/>
      <c r="B345" s="117"/>
      <c r="C345" s="46"/>
      <c r="D345" s="46"/>
      <c r="E345" s="117"/>
      <c r="F345" s="117"/>
      <c r="G345" s="118"/>
      <c r="H345" s="8"/>
      <c r="I345" s="121"/>
      <c r="J345" s="120"/>
      <c r="K345" s="11"/>
    </row>
    <row r="346">
      <c r="A346" s="117"/>
      <c r="B346" s="117"/>
      <c r="C346" s="46"/>
      <c r="D346" s="46"/>
      <c r="E346" s="117"/>
      <c r="F346" s="117"/>
      <c r="G346" s="118"/>
      <c r="H346" s="8"/>
      <c r="I346" s="121"/>
      <c r="J346" s="120"/>
      <c r="K346" s="11"/>
    </row>
    <row r="347">
      <c r="A347" s="117"/>
      <c r="B347" s="117"/>
      <c r="C347" s="46"/>
      <c r="D347" s="46"/>
      <c r="E347" s="117"/>
      <c r="F347" s="117"/>
      <c r="G347" s="118"/>
      <c r="H347" s="8"/>
      <c r="I347" s="121"/>
      <c r="J347" s="120"/>
      <c r="K347" s="11"/>
    </row>
    <row r="348">
      <c r="A348" s="117"/>
      <c r="B348" s="117"/>
      <c r="C348" s="46"/>
      <c r="D348" s="46"/>
      <c r="E348" s="117"/>
      <c r="F348" s="117"/>
      <c r="G348" s="118"/>
      <c r="H348" s="8"/>
      <c r="I348" s="121"/>
      <c r="J348" s="120"/>
      <c r="K348" s="11"/>
    </row>
    <row r="349">
      <c r="A349" s="117"/>
      <c r="B349" s="117"/>
      <c r="C349" s="46"/>
      <c r="D349" s="46"/>
      <c r="E349" s="117"/>
      <c r="F349" s="117"/>
      <c r="G349" s="118"/>
      <c r="H349" s="8"/>
      <c r="I349" s="121"/>
      <c r="J349" s="120"/>
      <c r="K349" s="11"/>
    </row>
    <row r="350">
      <c r="A350" s="117"/>
      <c r="B350" s="117"/>
      <c r="C350" s="46"/>
      <c r="D350" s="46"/>
      <c r="E350" s="117"/>
      <c r="F350" s="117"/>
      <c r="G350" s="118"/>
      <c r="H350" s="8"/>
      <c r="I350" s="121"/>
      <c r="J350" s="120"/>
      <c r="K350" s="11"/>
    </row>
    <row r="351">
      <c r="A351" s="117"/>
      <c r="B351" s="117"/>
      <c r="C351" s="46"/>
      <c r="D351" s="46"/>
      <c r="E351" s="117"/>
      <c r="F351" s="117"/>
      <c r="G351" s="118"/>
      <c r="H351" s="8"/>
      <c r="I351" s="121"/>
      <c r="J351" s="120"/>
      <c r="K351" s="11"/>
    </row>
    <row r="352">
      <c r="A352" s="117"/>
      <c r="B352" s="117"/>
      <c r="C352" s="46"/>
      <c r="D352" s="46"/>
      <c r="E352" s="117"/>
      <c r="F352" s="117"/>
      <c r="G352" s="118"/>
      <c r="H352" s="8"/>
      <c r="I352" s="121"/>
      <c r="J352" s="120"/>
      <c r="K352" s="11"/>
    </row>
    <row r="353">
      <c r="A353" s="117"/>
      <c r="B353" s="117"/>
      <c r="C353" s="46"/>
      <c r="D353" s="46"/>
      <c r="E353" s="117"/>
      <c r="F353" s="117"/>
      <c r="G353" s="118"/>
      <c r="H353" s="8"/>
      <c r="I353" s="121"/>
      <c r="J353" s="120"/>
      <c r="K353" s="11"/>
    </row>
    <row r="354">
      <c r="A354" s="117"/>
      <c r="B354" s="117"/>
      <c r="C354" s="46"/>
      <c r="D354" s="46"/>
      <c r="E354" s="117"/>
      <c r="F354" s="117"/>
      <c r="G354" s="118"/>
      <c r="H354" s="8"/>
      <c r="I354" s="121"/>
      <c r="J354" s="120"/>
      <c r="K354" s="11"/>
    </row>
    <row r="355">
      <c r="A355" s="117"/>
      <c r="B355" s="117"/>
      <c r="C355" s="46"/>
      <c r="D355" s="46"/>
      <c r="E355" s="117"/>
      <c r="F355" s="117"/>
      <c r="G355" s="118"/>
      <c r="H355" s="8"/>
      <c r="I355" s="121"/>
      <c r="J355" s="120"/>
      <c r="K355" s="11"/>
    </row>
    <row r="356">
      <c r="A356" s="117"/>
      <c r="B356" s="117"/>
      <c r="C356" s="46"/>
      <c r="D356" s="46"/>
      <c r="E356" s="117"/>
      <c r="F356" s="117"/>
      <c r="G356" s="118"/>
      <c r="H356" s="8"/>
      <c r="I356" s="121"/>
      <c r="J356" s="120"/>
      <c r="K356" s="11"/>
    </row>
    <row r="357">
      <c r="A357" s="117"/>
      <c r="B357" s="117"/>
      <c r="C357" s="46"/>
      <c r="D357" s="46"/>
      <c r="E357" s="117"/>
      <c r="F357" s="117"/>
      <c r="G357" s="118"/>
      <c r="H357" s="8"/>
      <c r="I357" s="121"/>
      <c r="J357" s="120"/>
      <c r="K357" s="11"/>
    </row>
    <row r="358">
      <c r="A358" s="117"/>
      <c r="B358" s="117"/>
      <c r="C358" s="46"/>
      <c r="D358" s="46"/>
      <c r="E358" s="117"/>
      <c r="F358" s="117"/>
      <c r="G358" s="118"/>
      <c r="H358" s="8"/>
      <c r="I358" s="121"/>
      <c r="J358" s="120"/>
      <c r="K358" s="11"/>
    </row>
    <row r="359">
      <c r="A359" s="117"/>
      <c r="B359" s="117"/>
      <c r="C359" s="46"/>
      <c r="D359" s="46"/>
      <c r="E359" s="117"/>
      <c r="F359" s="117"/>
      <c r="G359" s="118"/>
      <c r="H359" s="8"/>
      <c r="I359" s="121"/>
      <c r="J359" s="120"/>
      <c r="K359" s="11"/>
    </row>
    <row r="360">
      <c r="A360" s="117"/>
      <c r="B360" s="117"/>
      <c r="C360" s="46"/>
      <c r="D360" s="46"/>
      <c r="E360" s="117"/>
      <c r="F360" s="117"/>
      <c r="G360" s="118"/>
      <c r="H360" s="8"/>
      <c r="I360" s="121"/>
      <c r="J360" s="120"/>
      <c r="K360" s="11"/>
    </row>
    <row r="361">
      <c r="A361" s="117"/>
      <c r="B361" s="117"/>
      <c r="C361" s="46"/>
      <c r="D361" s="46"/>
      <c r="E361" s="117"/>
      <c r="F361" s="117"/>
      <c r="G361" s="118"/>
      <c r="H361" s="8"/>
      <c r="I361" s="121"/>
      <c r="J361" s="120"/>
      <c r="K361" s="11"/>
    </row>
    <row r="362">
      <c r="A362" s="117"/>
      <c r="B362" s="117"/>
      <c r="C362" s="46"/>
      <c r="D362" s="46"/>
      <c r="E362" s="117"/>
      <c r="F362" s="117"/>
      <c r="G362" s="118"/>
      <c r="H362" s="8"/>
      <c r="I362" s="121"/>
      <c r="J362" s="120"/>
      <c r="K362" s="11"/>
    </row>
    <row r="363">
      <c r="A363" s="117"/>
      <c r="B363" s="117"/>
      <c r="C363" s="46"/>
      <c r="D363" s="46"/>
      <c r="E363" s="117"/>
      <c r="F363" s="117"/>
      <c r="G363" s="118"/>
      <c r="H363" s="8"/>
      <c r="I363" s="121"/>
      <c r="J363" s="120"/>
      <c r="K363" s="11"/>
    </row>
    <row r="364">
      <c r="A364" s="117"/>
      <c r="B364" s="117"/>
      <c r="C364" s="46"/>
      <c r="D364" s="46"/>
      <c r="E364" s="117"/>
      <c r="F364" s="117"/>
      <c r="G364" s="118"/>
      <c r="H364" s="8"/>
      <c r="I364" s="121"/>
      <c r="J364" s="120"/>
      <c r="K364" s="11"/>
    </row>
    <row r="365">
      <c r="A365" s="117"/>
      <c r="B365" s="117"/>
      <c r="C365" s="46"/>
      <c r="D365" s="46"/>
      <c r="E365" s="117"/>
      <c r="F365" s="117"/>
      <c r="G365" s="118"/>
      <c r="H365" s="8"/>
      <c r="I365" s="121"/>
      <c r="J365" s="120"/>
      <c r="K365" s="11"/>
    </row>
    <row r="366">
      <c r="A366" s="117"/>
      <c r="B366" s="117"/>
      <c r="C366" s="46"/>
      <c r="D366" s="46"/>
      <c r="E366" s="117"/>
      <c r="F366" s="117"/>
      <c r="G366" s="118"/>
      <c r="H366" s="8"/>
      <c r="I366" s="121"/>
      <c r="J366" s="120"/>
      <c r="K366" s="11"/>
    </row>
    <row r="367">
      <c r="A367" s="117"/>
      <c r="B367" s="117"/>
      <c r="C367" s="46"/>
      <c r="D367" s="46"/>
      <c r="E367" s="117"/>
      <c r="F367" s="117"/>
      <c r="G367" s="118"/>
      <c r="H367" s="8"/>
      <c r="I367" s="121"/>
      <c r="J367" s="120"/>
      <c r="K367" s="11"/>
    </row>
    <row r="368">
      <c r="A368" s="117"/>
      <c r="B368" s="117"/>
      <c r="C368" s="46"/>
      <c r="D368" s="46"/>
      <c r="E368" s="117"/>
      <c r="F368" s="117"/>
      <c r="G368" s="118"/>
      <c r="H368" s="8"/>
      <c r="I368" s="121"/>
      <c r="J368" s="120"/>
      <c r="K368" s="11"/>
    </row>
    <row r="369">
      <c r="A369" s="117"/>
      <c r="B369" s="117"/>
      <c r="C369" s="46"/>
      <c r="D369" s="46"/>
      <c r="E369" s="117"/>
      <c r="F369" s="117"/>
      <c r="G369" s="118"/>
      <c r="H369" s="8"/>
      <c r="I369" s="121"/>
      <c r="J369" s="120"/>
      <c r="K369" s="11"/>
    </row>
    <row r="370">
      <c r="A370" s="117"/>
      <c r="B370" s="117"/>
      <c r="C370" s="46"/>
      <c r="D370" s="46"/>
      <c r="E370" s="117"/>
      <c r="F370" s="117"/>
      <c r="G370" s="118"/>
      <c r="H370" s="8"/>
      <c r="I370" s="121"/>
      <c r="J370" s="120"/>
      <c r="K370" s="11"/>
    </row>
    <row r="371">
      <c r="A371" s="117"/>
      <c r="B371" s="117"/>
      <c r="C371" s="46"/>
      <c r="D371" s="46"/>
      <c r="E371" s="117"/>
      <c r="F371" s="117"/>
      <c r="G371" s="118"/>
      <c r="H371" s="8"/>
      <c r="I371" s="121"/>
      <c r="J371" s="120"/>
      <c r="K371" s="11"/>
    </row>
    <row r="372">
      <c r="A372" s="117"/>
      <c r="B372" s="117"/>
      <c r="C372" s="46"/>
      <c r="D372" s="46"/>
      <c r="E372" s="117"/>
      <c r="F372" s="117"/>
      <c r="G372" s="118"/>
      <c r="H372" s="8"/>
      <c r="I372" s="121"/>
      <c r="J372" s="120"/>
      <c r="K372" s="11"/>
    </row>
    <row r="373">
      <c r="A373" s="117"/>
      <c r="B373" s="117"/>
      <c r="C373" s="46"/>
      <c r="D373" s="46"/>
      <c r="E373" s="117"/>
      <c r="F373" s="117"/>
      <c r="G373" s="118"/>
      <c r="H373" s="8"/>
      <c r="I373" s="121"/>
      <c r="J373" s="120"/>
      <c r="K373" s="11"/>
    </row>
    <row r="374">
      <c r="A374" s="117"/>
      <c r="B374" s="117"/>
      <c r="C374" s="46"/>
      <c r="D374" s="46"/>
      <c r="E374" s="117"/>
      <c r="F374" s="117"/>
      <c r="G374" s="118"/>
      <c r="H374" s="8"/>
      <c r="I374" s="121"/>
      <c r="J374" s="120"/>
      <c r="K374" s="11"/>
    </row>
    <row r="375">
      <c r="A375" s="117"/>
      <c r="B375" s="117"/>
      <c r="C375" s="46"/>
      <c r="D375" s="46"/>
      <c r="E375" s="117"/>
      <c r="F375" s="117"/>
      <c r="G375" s="118"/>
      <c r="H375" s="8"/>
      <c r="I375" s="121"/>
      <c r="J375" s="120"/>
      <c r="K375" s="11"/>
    </row>
    <row r="376">
      <c r="A376" s="117"/>
      <c r="B376" s="117"/>
      <c r="C376" s="46"/>
      <c r="D376" s="46"/>
      <c r="E376" s="117"/>
      <c r="F376" s="117"/>
      <c r="G376" s="118"/>
      <c r="H376" s="8"/>
      <c r="I376" s="121"/>
      <c r="J376" s="120"/>
      <c r="K376" s="11"/>
    </row>
    <row r="377">
      <c r="A377" s="117"/>
      <c r="B377" s="117"/>
      <c r="C377" s="46"/>
      <c r="D377" s="46"/>
      <c r="E377" s="117"/>
      <c r="F377" s="117"/>
      <c r="G377" s="118"/>
      <c r="H377" s="8"/>
      <c r="I377" s="121"/>
      <c r="J377" s="120"/>
      <c r="K377" s="11"/>
    </row>
    <row r="378">
      <c r="A378" s="117"/>
      <c r="B378" s="117"/>
      <c r="C378" s="46"/>
      <c r="D378" s="46"/>
      <c r="E378" s="117"/>
      <c r="F378" s="117"/>
      <c r="G378" s="118"/>
      <c r="H378" s="8"/>
      <c r="I378" s="121"/>
      <c r="J378" s="120"/>
      <c r="K378" s="11"/>
    </row>
    <row r="379">
      <c r="A379" s="117"/>
      <c r="B379" s="117"/>
      <c r="C379" s="46"/>
      <c r="D379" s="46"/>
      <c r="E379" s="117"/>
      <c r="F379" s="117"/>
      <c r="G379" s="118"/>
      <c r="H379" s="8"/>
      <c r="I379" s="121"/>
      <c r="J379" s="120"/>
      <c r="K379" s="11"/>
    </row>
    <row r="380">
      <c r="A380" s="117"/>
      <c r="B380" s="117"/>
      <c r="C380" s="46"/>
      <c r="D380" s="46"/>
      <c r="E380" s="117"/>
      <c r="F380" s="117"/>
      <c r="G380" s="118"/>
      <c r="H380" s="8"/>
      <c r="I380" s="121"/>
      <c r="J380" s="120"/>
      <c r="K380" s="11"/>
    </row>
    <row r="381">
      <c r="A381" s="117"/>
      <c r="B381" s="117"/>
      <c r="C381" s="46"/>
      <c r="D381" s="46"/>
      <c r="E381" s="117"/>
      <c r="F381" s="117"/>
      <c r="G381" s="118"/>
      <c r="H381" s="8"/>
      <c r="I381" s="121"/>
      <c r="J381" s="120"/>
      <c r="K381" s="11"/>
    </row>
    <row r="382">
      <c r="A382" s="117"/>
      <c r="B382" s="117"/>
      <c r="C382" s="46"/>
      <c r="D382" s="46"/>
      <c r="E382" s="117"/>
      <c r="F382" s="117"/>
      <c r="G382" s="118"/>
      <c r="H382" s="8"/>
      <c r="I382" s="121"/>
      <c r="J382" s="120"/>
      <c r="K382" s="11"/>
    </row>
    <row r="383">
      <c r="A383" s="117"/>
      <c r="B383" s="117"/>
      <c r="C383" s="46"/>
      <c r="D383" s="46"/>
      <c r="E383" s="117"/>
      <c r="F383" s="117"/>
      <c r="G383" s="118"/>
      <c r="H383" s="8"/>
      <c r="I383" s="121"/>
      <c r="J383" s="120"/>
      <c r="K383" s="11"/>
    </row>
    <row r="384">
      <c r="A384" s="117"/>
      <c r="B384" s="117"/>
      <c r="C384" s="46"/>
      <c r="D384" s="46"/>
      <c r="E384" s="117"/>
      <c r="F384" s="117"/>
      <c r="G384" s="118"/>
      <c r="H384" s="8"/>
      <c r="I384" s="121"/>
      <c r="J384" s="120"/>
      <c r="K384" s="11"/>
    </row>
    <row r="385">
      <c r="A385" s="117"/>
      <c r="B385" s="117"/>
      <c r="C385" s="46"/>
      <c r="D385" s="46"/>
      <c r="E385" s="117"/>
      <c r="F385" s="117"/>
      <c r="G385" s="118"/>
      <c r="H385" s="8"/>
      <c r="I385" s="121"/>
      <c r="J385" s="120"/>
      <c r="K385" s="11"/>
    </row>
    <row r="386">
      <c r="A386" s="117"/>
      <c r="B386" s="117"/>
      <c r="C386" s="46"/>
      <c r="D386" s="46"/>
      <c r="E386" s="117"/>
      <c r="F386" s="117"/>
      <c r="G386" s="118"/>
      <c r="H386" s="8"/>
      <c r="I386" s="121"/>
      <c r="J386" s="120"/>
      <c r="K386" s="11"/>
    </row>
    <row r="387">
      <c r="A387" s="117"/>
      <c r="B387" s="117"/>
      <c r="C387" s="46"/>
      <c r="D387" s="46"/>
      <c r="E387" s="117"/>
      <c r="F387" s="117"/>
      <c r="G387" s="118"/>
      <c r="H387" s="8"/>
      <c r="I387" s="121"/>
      <c r="J387" s="120"/>
      <c r="K387" s="11"/>
    </row>
    <row r="388">
      <c r="A388" s="117"/>
      <c r="B388" s="117"/>
      <c r="C388" s="46"/>
      <c r="D388" s="46"/>
      <c r="E388" s="117"/>
      <c r="F388" s="117"/>
      <c r="G388" s="118"/>
      <c r="H388" s="8"/>
      <c r="I388" s="121"/>
      <c r="J388" s="120"/>
      <c r="K388" s="11"/>
    </row>
    <row r="389">
      <c r="A389" s="117"/>
      <c r="B389" s="117"/>
      <c r="C389" s="46"/>
      <c r="D389" s="46"/>
      <c r="E389" s="117"/>
      <c r="F389" s="117"/>
      <c r="G389" s="118"/>
      <c r="H389" s="8"/>
      <c r="I389" s="121"/>
      <c r="J389" s="120"/>
      <c r="K389" s="11"/>
    </row>
    <row r="390">
      <c r="A390" s="117"/>
      <c r="B390" s="117"/>
      <c r="C390" s="46"/>
      <c r="D390" s="46"/>
      <c r="E390" s="117"/>
      <c r="F390" s="117"/>
      <c r="G390" s="118"/>
      <c r="H390" s="8"/>
      <c r="I390" s="121"/>
      <c r="J390" s="120"/>
      <c r="K390" s="11"/>
    </row>
    <row r="391">
      <c r="A391" s="117"/>
      <c r="B391" s="117"/>
      <c r="C391" s="46"/>
      <c r="D391" s="46"/>
      <c r="E391" s="117"/>
      <c r="F391" s="117"/>
      <c r="G391" s="118"/>
      <c r="H391" s="8"/>
      <c r="I391" s="121"/>
      <c r="J391" s="120"/>
      <c r="K391" s="11"/>
    </row>
    <row r="392">
      <c r="A392" s="117"/>
      <c r="B392" s="117"/>
      <c r="C392" s="46"/>
      <c r="D392" s="46"/>
      <c r="E392" s="117"/>
      <c r="F392" s="117"/>
      <c r="G392" s="118"/>
      <c r="H392" s="8"/>
      <c r="I392" s="121"/>
      <c r="J392" s="120"/>
      <c r="K392" s="11"/>
    </row>
    <row r="393">
      <c r="A393" s="117"/>
      <c r="B393" s="117"/>
      <c r="C393" s="46"/>
      <c r="D393" s="46"/>
      <c r="E393" s="117"/>
      <c r="F393" s="117"/>
      <c r="G393" s="118"/>
      <c r="H393" s="8"/>
      <c r="I393" s="121"/>
      <c r="J393" s="120"/>
      <c r="K393" s="11"/>
    </row>
    <row r="394">
      <c r="A394" s="117"/>
      <c r="B394" s="117"/>
      <c r="C394" s="46"/>
      <c r="D394" s="46"/>
      <c r="E394" s="117"/>
      <c r="F394" s="117"/>
      <c r="G394" s="118"/>
      <c r="H394" s="8"/>
      <c r="I394" s="121"/>
      <c r="J394" s="120"/>
      <c r="K394" s="11"/>
    </row>
    <row r="395">
      <c r="A395" s="117"/>
      <c r="B395" s="117"/>
      <c r="C395" s="46"/>
      <c r="D395" s="46"/>
      <c r="E395" s="117"/>
      <c r="F395" s="117"/>
      <c r="G395" s="118"/>
      <c r="H395" s="8"/>
      <c r="I395" s="121"/>
      <c r="J395" s="120"/>
      <c r="K395" s="11"/>
    </row>
    <row r="396">
      <c r="A396" s="117"/>
      <c r="B396" s="117"/>
      <c r="C396" s="46"/>
      <c r="D396" s="46"/>
      <c r="E396" s="117"/>
      <c r="F396" s="117"/>
      <c r="G396" s="118"/>
      <c r="H396" s="8"/>
      <c r="I396" s="121"/>
      <c r="J396" s="120"/>
      <c r="K396" s="11"/>
    </row>
    <row r="397">
      <c r="A397" s="117"/>
      <c r="B397" s="117"/>
      <c r="C397" s="46"/>
      <c r="D397" s="46"/>
      <c r="E397" s="117"/>
      <c r="F397" s="117"/>
      <c r="G397" s="118"/>
      <c r="H397" s="8"/>
      <c r="I397" s="121"/>
      <c r="J397" s="120"/>
      <c r="K397" s="11"/>
    </row>
    <row r="398">
      <c r="A398" s="117"/>
      <c r="B398" s="117"/>
      <c r="C398" s="46"/>
      <c r="D398" s="46"/>
      <c r="E398" s="117"/>
      <c r="F398" s="117"/>
      <c r="G398" s="118"/>
      <c r="H398" s="8"/>
      <c r="I398" s="121"/>
      <c r="J398" s="120"/>
      <c r="K398" s="11"/>
    </row>
    <row r="399">
      <c r="A399" s="117"/>
      <c r="B399" s="117"/>
      <c r="C399" s="46"/>
      <c r="D399" s="46"/>
      <c r="E399" s="117"/>
      <c r="F399" s="117"/>
      <c r="G399" s="118"/>
      <c r="H399" s="8"/>
      <c r="I399" s="121"/>
      <c r="J399" s="120"/>
      <c r="K399" s="11"/>
    </row>
    <row r="400">
      <c r="A400" s="117"/>
      <c r="B400" s="117"/>
      <c r="C400" s="46"/>
      <c r="D400" s="46"/>
      <c r="E400" s="117"/>
      <c r="F400" s="117"/>
      <c r="G400" s="118"/>
      <c r="H400" s="8"/>
      <c r="I400" s="121"/>
      <c r="J400" s="120"/>
      <c r="K400" s="11"/>
    </row>
    <row r="401">
      <c r="A401" s="117"/>
      <c r="B401" s="117"/>
      <c r="C401" s="46"/>
      <c r="D401" s="46"/>
      <c r="E401" s="117"/>
      <c r="F401" s="117"/>
      <c r="G401" s="118"/>
      <c r="H401" s="8"/>
      <c r="I401" s="121"/>
      <c r="J401" s="120"/>
      <c r="K401" s="11"/>
    </row>
    <row r="402">
      <c r="A402" s="117"/>
      <c r="B402" s="117"/>
      <c r="C402" s="46"/>
      <c r="D402" s="46"/>
      <c r="E402" s="117"/>
      <c r="F402" s="117"/>
      <c r="G402" s="118"/>
      <c r="H402" s="8"/>
      <c r="I402" s="121"/>
      <c r="J402" s="120"/>
      <c r="K402" s="11"/>
    </row>
    <row r="403">
      <c r="A403" s="117"/>
      <c r="B403" s="117"/>
      <c r="C403" s="46"/>
      <c r="D403" s="46"/>
      <c r="E403" s="117"/>
      <c r="F403" s="117"/>
      <c r="G403" s="118"/>
      <c r="H403" s="8"/>
      <c r="I403" s="121"/>
      <c r="J403" s="120"/>
      <c r="K403" s="11"/>
    </row>
    <row r="404">
      <c r="A404" s="117"/>
      <c r="B404" s="117"/>
      <c r="C404" s="46"/>
      <c r="D404" s="46"/>
      <c r="E404" s="117"/>
      <c r="F404" s="117"/>
      <c r="G404" s="118"/>
      <c r="H404" s="8"/>
      <c r="I404" s="121"/>
      <c r="J404" s="120"/>
      <c r="K404" s="11"/>
    </row>
    <row r="405">
      <c r="A405" s="117"/>
      <c r="B405" s="117"/>
      <c r="C405" s="46"/>
      <c r="D405" s="46"/>
      <c r="E405" s="117"/>
      <c r="F405" s="117"/>
      <c r="G405" s="118"/>
      <c r="H405" s="8"/>
      <c r="I405" s="121"/>
      <c r="J405" s="120"/>
      <c r="K405" s="11"/>
    </row>
    <row r="406">
      <c r="A406" s="117"/>
      <c r="B406" s="117"/>
      <c r="C406" s="46"/>
      <c r="D406" s="46"/>
      <c r="E406" s="117"/>
      <c r="F406" s="117"/>
      <c r="G406" s="118"/>
      <c r="H406" s="8"/>
      <c r="I406" s="121"/>
      <c r="J406" s="120"/>
      <c r="K406" s="11"/>
    </row>
    <row r="407">
      <c r="A407" s="117"/>
      <c r="B407" s="117"/>
      <c r="C407" s="46"/>
      <c r="D407" s="46"/>
      <c r="E407" s="117"/>
      <c r="F407" s="117"/>
      <c r="G407" s="118"/>
      <c r="H407" s="8"/>
      <c r="I407" s="121"/>
      <c r="J407" s="120"/>
      <c r="K407" s="11"/>
    </row>
    <row r="408">
      <c r="A408" s="117"/>
      <c r="B408" s="117"/>
      <c r="C408" s="46"/>
      <c r="D408" s="46"/>
      <c r="E408" s="117"/>
      <c r="F408" s="117"/>
      <c r="G408" s="118"/>
      <c r="H408" s="8"/>
      <c r="I408" s="121"/>
      <c r="J408" s="120"/>
      <c r="K408" s="11"/>
    </row>
    <row r="409">
      <c r="A409" s="117"/>
      <c r="B409" s="117"/>
      <c r="C409" s="46"/>
      <c r="D409" s="46"/>
      <c r="E409" s="117"/>
      <c r="F409" s="117"/>
      <c r="G409" s="118"/>
      <c r="H409" s="8"/>
      <c r="I409" s="121"/>
      <c r="J409" s="120"/>
      <c r="K409" s="11"/>
    </row>
    <row r="410">
      <c r="A410" s="117"/>
      <c r="B410" s="117"/>
      <c r="C410" s="46"/>
      <c r="D410" s="46"/>
      <c r="E410" s="117"/>
      <c r="F410" s="117"/>
      <c r="G410" s="118"/>
      <c r="H410" s="8"/>
      <c r="I410" s="121"/>
      <c r="J410" s="120"/>
      <c r="K410" s="11"/>
    </row>
    <row r="411">
      <c r="A411" s="117"/>
      <c r="B411" s="117"/>
      <c r="C411" s="46"/>
      <c r="D411" s="46"/>
      <c r="E411" s="117"/>
      <c r="F411" s="117"/>
      <c r="G411" s="118"/>
      <c r="H411" s="8"/>
      <c r="I411" s="121"/>
      <c r="J411" s="120"/>
      <c r="K411" s="11"/>
    </row>
    <row r="412">
      <c r="A412" s="117"/>
      <c r="B412" s="117"/>
      <c r="C412" s="46"/>
      <c r="D412" s="46"/>
      <c r="E412" s="117"/>
      <c r="F412" s="117"/>
      <c r="G412" s="118"/>
      <c r="H412" s="8"/>
      <c r="I412" s="121"/>
      <c r="J412" s="120"/>
      <c r="K412" s="11"/>
    </row>
    <row r="413">
      <c r="A413" s="117"/>
      <c r="B413" s="117"/>
      <c r="C413" s="46"/>
      <c r="D413" s="46"/>
      <c r="E413" s="117"/>
      <c r="F413" s="117"/>
      <c r="G413" s="118"/>
      <c r="H413" s="8"/>
      <c r="I413" s="121"/>
      <c r="J413" s="120"/>
      <c r="K413" s="11"/>
    </row>
    <row r="414">
      <c r="A414" s="117"/>
      <c r="B414" s="117"/>
      <c r="C414" s="46"/>
      <c r="D414" s="46"/>
      <c r="E414" s="117"/>
      <c r="F414" s="117"/>
      <c r="G414" s="118"/>
      <c r="H414" s="8"/>
      <c r="I414" s="121"/>
      <c r="J414" s="120"/>
      <c r="K414" s="11"/>
    </row>
    <row r="415">
      <c r="A415" s="117"/>
      <c r="B415" s="117"/>
      <c r="C415" s="46"/>
      <c r="D415" s="46"/>
      <c r="E415" s="117"/>
      <c r="F415" s="117"/>
      <c r="G415" s="118"/>
      <c r="H415" s="8"/>
      <c r="I415" s="121"/>
      <c r="J415" s="120"/>
      <c r="K415" s="11"/>
    </row>
    <row r="416">
      <c r="A416" s="117"/>
      <c r="B416" s="117"/>
      <c r="C416" s="46"/>
      <c r="D416" s="46"/>
      <c r="E416" s="117"/>
      <c r="F416" s="117"/>
      <c r="G416" s="118"/>
      <c r="H416" s="8"/>
      <c r="I416" s="121"/>
      <c r="J416" s="120"/>
      <c r="K416" s="11"/>
    </row>
    <row r="417">
      <c r="A417" s="117"/>
      <c r="B417" s="117"/>
      <c r="C417" s="46"/>
      <c r="D417" s="46"/>
      <c r="E417" s="117"/>
      <c r="F417" s="117"/>
      <c r="G417" s="118"/>
      <c r="H417" s="8"/>
      <c r="I417" s="121"/>
      <c r="J417" s="120"/>
      <c r="K417" s="11"/>
    </row>
    <row r="418">
      <c r="A418" s="117"/>
      <c r="B418" s="117"/>
      <c r="C418" s="46"/>
      <c r="D418" s="46"/>
      <c r="E418" s="117"/>
      <c r="F418" s="117"/>
      <c r="G418" s="118"/>
      <c r="H418" s="8"/>
      <c r="I418" s="121"/>
      <c r="J418" s="120"/>
      <c r="K418" s="11"/>
    </row>
    <row r="419">
      <c r="A419" s="117"/>
      <c r="B419" s="117"/>
      <c r="C419" s="46"/>
      <c r="D419" s="46"/>
      <c r="E419" s="117"/>
      <c r="F419" s="117"/>
      <c r="G419" s="118"/>
      <c r="H419" s="8"/>
      <c r="I419" s="121"/>
      <c r="J419" s="120"/>
      <c r="K419" s="11"/>
    </row>
    <row r="420">
      <c r="A420" s="117"/>
      <c r="B420" s="117"/>
      <c r="C420" s="46"/>
      <c r="D420" s="46"/>
      <c r="E420" s="117"/>
      <c r="F420" s="117"/>
      <c r="G420" s="118"/>
      <c r="H420" s="8"/>
      <c r="I420" s="121"/>
      <c r="J420" s="120"/>
      <c r="K420" s="11"/>
    </row>
    <row r="421">
      <c r="A421" s="117"/>
      <c r="B421" s="117"/>
      <c r="C421" s="46"/>
      <c r="D421" s="46"/>
      <c r="E421" s="117"/>
      <c r="F421" s="117"/>
      <c r="G421" s="118"/>
      <c r="H421" s="8"/>
      <c r="I421" s="121"/>
      <c r="J421" s="120"/>
      <c r="K421" s="11"/>
    </row>
    <row r="422">
      <c r="A422" s="117"/>
      <c r="B422" s="117"/>
      <c r="C422" s="46"/>
      <c r="D422" s="46"/>
      <c r="E422" s="117"/>
      <c r="F422" s="117"/>
      <c r="G422" s="118"/>
      <c r="H422" s="8"/>
      <c r="I422" s="121"/>
      <c r="J422" s="120"/>
      <c r="K422" s="11"/>
    </row>
    <row r="423">
      <c r="A423" s="117"/>
      <c r="B423" s="117"/>
      <c r="C423" s="46"/>
      <c r="D423" s="46"/>
      <c r="E423" s="117"/>
      <c r="F423" s="117"/>
      <c r="G423" s="118"/>
      <c r="H423" s="8"/>
      <c r="I423" s="121"/>
      <c r="J423" s="120"/>
      <c r="K423" s="11"/>
    </row>
    <row r="424">
      <c r="A424" s="117"/>
      <c r="B424" s="117"/>
      <c r="C424" s="46"/>
      <c r="D424" s="46"/>
      <c r="E424" s="117"/>
      <c r="F424" s="117"/>
      <c r="G424" s="118"/>
      <c r="H424" s="8"/>
      <c r="I424" s="121"/>
      <c r="J424" s="120"/>
      <c r="K424" s="11"/>
    </row>
    <row r="425">
      <c r="A425" s="117"/>
      <c r="B425" s="117"/>
      <c r="C425" s="46"/>
      <c r="D425" s="46"/>
      <c r="E425" s="117"/>
      <c r="F425" s="117"/>
      <c r="G425" s="118"/>
      <c r="H425" s="8"/>
      <c r="I425" s="121"/>
      <c r="J425" s="120"/>
      <c r="K425" s="11"/>
    </row>
    <row r="426">
      <c r="A426" s="117"/>
      <c r="B426" s="117"/>
      <c r="C426" s="46"/>
      <c r="D426" s="46"/>
      <c r="E426" s="117"/>
      <c r="F426" s="117"/>
      <c r="G426" s="118"/>
      <c r="H426" s="8"/>
      <c r="I426" s="121"/>
      <c r="J426" s="120"/>
      <c r="K426" s="11"/>
    </row>
    <row r="427">
      <c r="A427" s="117"/>
      <c r="B427" s="117"/>
      <c r="C427" s="46"/>
      <c r="D427" s="46"/>
      <c r="E427" s="117"/>
      <c r="F427" s="117"/>
      <c r="G427" s="118"/>
      <c r="H427" s="8"/>
      <c r="I427" s="121"/>
      <c r="J427" s="120"/>
      <c r="K427" s="11"/>
    </row>
    <row r="428">
      <c r="A428" s="117"/>
      <c r="B428" s="117"/>
      <c r="C428" s="46"/>
      <c r="D428" s="46"/>
      <c r="E428" s="117"/>
      <c r="F428" s="117"/>
      <c r="G428" s="118"/>
      <c r="H428" s="8"/>
      <c r="I428" s="121"/>
      <c r="J428" s="120"/>
      <c r="K428" s="11"/>
    </row>
    <row r="429">
      <c r="A429" s="117"/>
      <c r="B429" s="117"/>
      <c r="C429" s="46"/>
      <c r="D429" s="46"/>
      <c r="E429" s="117"/>
      <c r="F429" s="117"/>
      <c r="G429" s="118"/>
      <c r="H429" s="8"/>
      <c r="I429" s="121"/>
      <c r="J429" s="120"/>
      <c r="K429" s="11"/>
    </row>
    <row r="430">
      <c r="A430" s="117"/>
      <c r="B430" s="117"/>
      <c r="C430" s="46"/>
      <c r="D430" s="46"/>
      <c r="E430" s="117"/>
      <c r="F430" s="117"/>
      <c r="G430" s="118"/>
      <c r="H430" s="8"/>
      <c r="I430" s="121"/>
      <c r="J430" s="120"/>
      <c r="K430" s="11"/>
    </row>
    <row r="431">
      <c r="A431" s="117"/>
      <c r="B431" s="117"/>
      <c r="C431" s="46"/>
      <c r="D431" s="46"/>
      <c r="E431" s="117"/>
      <c r="F431" s="117"/>
      <c r="G431" s="118"/>
      <c r="H431" s="8"/>
      <c r="I431" s="121"/>
      <c r="J431" s="120"/>
      <c r="K431" s="11"/>
    </row>
    <row r="432">
      <c r="A432" s="117"/>
      <c r="B432" s="117"/>
      <c r="C432" s="46"/>
      <c r="D432" s="46"/>
      <c r="E432" s="117"/>
      <c r="F432" s="117"/>
      <c r="G432" s="118"/>
      <c r="H432" s="8"/>
      <c r="I432" s="121"/>
      <c r="J432" s="120"/>
      <c r="K432" s="11"/>
    </row>
    <row r="433">
      <c r="A433" s="117"/>
      <c r="B433" s="117"/>
      <c r="C433" s="46"/>
      <c r="D433" s="46"/>
      <c r="E433" s="117"/>
      <c r="F433" s="117"/>
      <c r="G433" s="118"/>
      <c r="H433" s="8"/>
      <c r="I433" s="121"/>
      <c r="J433" s="120"/>
      <c r="K433" s="11"/>
    </row>
    <row r="434">
      <c r="A434" s="117"/>
      <c r="B434" s="117"/>
      <c r="C434" s="46"/>
      <c r="D434" s="46"/>
      <c r="E434" s="117"/>
      <c r="F434" s="117"/>
      <c r="G434" s="118"/>
      <c r="H434" s="8"/>
      <c r="I434" s="121"/>
      <c r="J434" s="120"/>
      <c r="K434" s="11"/>
    </row>
    <row r="435">
      <c r="A435" s="117"/>
      <c r="B435" s="117"/>
      <c r="C435" s="46"/>
      <c r="D435" s="46"/>
      <c r="E435" s="117"/>
      <c r="F435" s="117"/>
      <c r="G435" s="118"/>
      <c r="H435" s="8"/>
      <c r="I435" s="121"/>
      <c r="J435" s="120"/>
      <c r="K435" s="11"/>
    </row>
    <row r="436">
      <c r="A436" s="117"/>
      <c r="B436" s="117"/>
      <c r="C436" s="46"/>
      <c r="D436" s="46"/>
      <c r="E436" s="117"/>
      <c r="F436" s="117"/>
      <c r="G436" s="118"/>
      <c r="H436" s="8"/>
      <c r="I436" s="121"/>
      <c r="J436" s="120"/>
      <c r="K436" s="11"/>
    </row>
    <row r="437">
      <c r="A437" s="117"/>
      <c r="B437" s="117"/>
      <c r="C437" s="46"/>
      <c r="D437" s="46"/>
      <c r="E437" s="117"/>
      <c r="F437" s="117"/>
      <c r="G437" s="118"/>
      <c r="H437" s="8"/>
      <c r="I437" s="121"/>
      <c r="J437" s="120"/>
      <c r="K437" s="11"/>
    </row>
    <row r="438">
      <c r="A438" s="117"/>
      <c r="B438" s="117"/>
      <c r="C438" s="46"/>
      <c r="D438" s="46"/>
      <c r="E438" s="117"/>
      <c r="F438" s="117"/>
      <c r="G438" s="118"/>
      <c r="H438" s="8"/>
      <c r="I438" s="121"/>
      <c r="J438" s="120"/>
      <c r="K438" s="11"/>
    </row>
    <row r="439">
      <c r="A439" s="117"/>
      <c r="B439" s="117"/>
      <c r="C439" s="46"/>
      <c r="D439" s="46"/>
      <c r="E439" s="117"/>
      <c r="F439" s="117"/>
      <c r="G439" s="118"/>
      <c r="H439" s="8"/>
      <c r="I439" s="121"/>
      <c r="J439" s="120"/>
      <c r="K439" s="11"/>
    </row>
    <row r="440">
      <c r="A440" s="117"/>
      <c r="B440" s="117"/>
      <c r="C440" s="46"/>
      <c r="D440" s="46"/>
      <c r="E440" s="117"/>
      <c r="F440" s="117"/>
      <c r="G440" s="118"/>
      <c r="H440" s="8"/>
      <c r="I440" s="121"/>
      <c r="J440" s="120"/>
      <c r="K440" s="11"/>
    </row>
    <row r="441">
      <c r="A441" s="117"/>
      <c r="B441" s="117"/>
      <c r="C441" s="46"/>
      <c r="D441" s="46"/>
      <c r="E441" s="117"/>
      <c r="F441" s="117"/>
      <c r="G441" s="118"/>
      <c r="H441" s="8"/>
      <c r="I441" s="121"/>
      <c r="J441" s="120"/>
      <c r="K441" s="11"/>
    </row>
    <row r="442">
      <c r="A442" s="117"/>
      <c r="B442" s="117"/>
      <c r="C442" s="46"/>
      <c r="D442" s="46"/>
      <c r="E442" s="117"/>
      <c r="F442" s="117"/>
      <c r="G442" s="118"/>
      <c r="H442" s="8"/>
      <c r="I442" s="121"/>
      <c r="J442" s="120"/>
      <c r="K442" s="11"/>
    </row>
    <row r="443">
      <c r="A443" s="117"/>
      <c r="B443" s="117"/>
      <c r="C443" s="46"/>
      <c r="D443" s="46"/>
      <c r="E443" s="117"/>
      <c r="F443" s="117"/>
      <c r="G443" s="118"/>
      <c r="H443" s="8"/>
      <c r="I443" s="121"/>
      <c r="J443" s="120"/>
      <c r="K443" s="11"/>
    </row>
    <row r="444">
      <c r="A444" s="117"/>
      <c r="B444" s="117"/>
      <c r="C444" s="46"/>
      <c r="D444" s="46"/>
      <c r="E444" s="117"/>
      <c r="F444" s="117"/>
      <c r="G444" s="118"/>
      <c r="H444" s="8"/>
      <c r="I444" s="121"/>
      <c r="J444" s="120"/>
      <c r="K444" s="11"/>
    </row>
    <row r="445">
      <c r="A445" s="117"/>
      <c r="B445" s="117"/>
      <c r="C445" s="46"/>
      <c r="D445" s="46"/>
      <c r="E445" s="117"/>
      <c r="F445" s="117"/>
      <c r="G445" s="118"/>
      <c r="H445" s="8"/>
      <c r="I445" s="121"/>
      <c r="J445" s="120"/>
      <c r="K445" s="11"/>
    </row>
    <row r="446">
      <c r="A446" s="117"/>
      <c r="B446" s="117"/>
      <c r="C446" s="46"/>
      <c r="D446" s="46"/>
      <c r="E446" s="117"/>
      <c r="F446" s="117"/>
      <c r="G446" s="118"/>
      <c r="H446" s="8"/>
      <c r="I446" s="121"/>
      <c r="J446" s="120"/>
      <c r="K446" s="11"/>
    </row>
    <row r="447">
      <c r="A447" s="117"/>
      <c r="B447" s="117"/>
      <c r="C447" s="46"/>
      <c r="D447" s="46"/>
      <c r="E447" s="117"/>
      <c r="F447" s="117"/>
      <c r="G447" s="118"/>
      <c r="H447" s="8"/>
      <c r="I447" s="121"/>
      <c r="J447" s="120"/>
      <c r="K447" s="11"/>
    </row>
    <row r="448">
      <c r="A448" s="117"/>
      <c r="B448" s="117"/>
      <c r="C448" s="46"/>
      <c r="D448" s="46"/>
      <c r="E448" s="117"/>
      <c r="F448" s="117"/>
      <c r="G448" s="118"/>
      <c r="H448" s="8"/>
      <c r="I448" s="121"/>
      <c r="J448" s="120"/>
      <c r="K448" s="11"/>
    </row>
    <row r="449">
      <c r="A449" s="117"/>
      <c r="B449" s="117"/>
      <c r="C449" s="46"/>
      <c r="D449" s="46"/>
      <c r="E449" s="117"/>
      <c r="F449" s="117"/>
      <c r="G449" s="118"/>
      <c r="H449" s="8"/>
      <c r="I449" s="121"/>
      <c r="J449" s="120"/>
      <c r="K449" s="11"/>
    </row>
    <row r="450">
      <c r="A450" s="117"/>
      <c r="B450" s="117"/>
      <c r="C450" s="46"/>
      <c r="D450" s="46"/>
      <c r="E450" s="117"/>
      <c r="F450" s="117"/>
      <c r="G450" s="118"/>
      <c r="H450" s="8"/>
      <c r="I450" s="121"/>
      <c r="J450" s="120"/>
      <c r="K450" s="11"/>
    </row>
    <row r="451">
      <c r="A451" s="117"/>
      <c r="B451" s="117"/>
      <c r="C451" s="46"/>
      <c r="D451" s="46"/>
      <c r="E451" s="117"/>
      <c r="F451" s="117"/>
      <c r="G451" s="118"/>
      <c r="H451" s="8"/>
      <c r="I451" s="121"/>
      <c r="J451" s="120"/>
      <c r="K451" s="11"/>
    </row>
    <row r="452">
      <c r="A452" s="117"/>
      <c r="B452" s="117"/>
      <c r="C452" s="46"/>
      <c r="D452" s="46"/>
      <c r="E452" s="117"/>
      <c r="F452" s="117"/>
      <c r="G452" s="118"/>
      <c r="H452" s="8"/>
      <c r="I452" s="121"/>
      <c r="J452" s="120"/>
      <c r="K452" s="11"/>
    </row>
    <row r="453">
      <c r="A453" s="117"/>
      <c r="B453" s="117"/>
      <c r="C453" s="46"/>
      <c r="D453" s="46"/>
      <c r="E453" s="117"/>
      <c r="F453" s="117"/>
      <c r="G453" s="118"/>
      <c r="H453" s="8"/>
      <c r="I453" s="121"/>
      <c r="J453" s="120"/>
      <c r="K453" s="11"/>
    </row>
    <row r="454">
      <c r="A454" s="117"/>
      <c r="B454" s="117"/>
      <c r="C454" s="46"/>
      <c r="D454" s="46"/>
      <c r="E454" s="117"/>
      <c r="F454" s="117"/>
      <c r="G454" s="118"/>
      <c r="H454" s="8"/>
      <c r="I454" s="121"/>
      <c r="J454" s="120"/>
      <c r="K454" s="11"/>
    </row>
    <row r="455">
      <c r="A455" s="117"/>
      <c r="B455" s="117"/>
      <c r="C455" s="46"/>
      <c r="D455" s="46"/>
      <c r="E455" s="117"/>
      <c r="F455" s="117"/>
      <c r="G455" s="118"/>
      <c r="H455" s="8"/>
      <c r="I455" s="121"/>
      <c r="J455" s="120"/>
      <c r="K455" s="11"/>
    </row>
    <row r="456">
      <c r="A456" s="117"/>
      <c r="B456" s="117"/>
      <c r="C456" s="46"/>
      <c r="D456" s="46"/>
      <c r="E456" s="117"/>
      <c r="F456" s="117"/>
      <c r="G456" s="118"/>
      <c r="H456" s="8"/>
      <c r="I456" s="121"/>
      <c r="J456" s="120"/>
      <c r="K456" s="11"/>
    </row>
    <row r="457">
      <c r="A457" s="117"/>
      <c r="B457" s="117"/>
      <c r="C457" s="46"/>
      <c r="D457" s="46"/>
      <c r="E457" s="117"/>
      <c r="F457" s="117"/>
      <c r="G457" s="118"/>
      <c r="H457" s="8"/>
      <c r="I457" s="121"/>
      <c r="J457" s="120"/>
      <c r="K457" s="11"/>
    </row>
    <row r="458">
      <c r="A458" s="117"/>
      <c r="B458" s="117"/>
      <c r="C458" s="46"/>
      <c r="D458" s="46"/>
      <c r="E458" s="117"/>
      <c r="F458" s="117"/>
      <c r="G458" s="118"/>
      <c r="H458" s="8"/>
      <c r="I458" s="121"/>
      <c r="J458" s="120"/>
      <c r="K458" s="11"/>
    </row>
    <row r="459">
      <c r="A459" s="117"/>
      <c r="B459" s="117"/>
      <c r="C459" s="46"/>
      <c r="D459" s="46"/>
      <c r="E459" s="117"/>
      <c r="F459" s="117"/>
      <c r="G459" s="118"/>
      <c r="H459" s="8"/>
      <c r="I459" s="121"/>
      <c r="J459" s="120"/>
      <c r="K459" s="11"/>
    </row>
    <row r="460">
      <c r="A460" s="117"/>
      <c r="B460" s="117"/>
      <c r="C460" s="46"/>
      <c r="D460" s="46"/>
      <c r="E460" s="117"/>
      <c r="F460" s="117"/>
      <c r="G460" s="118"/>
      <c r="H460" s="8"/>
      <c r="I460" s="121"/>
      <c r="J460" s="120"/>
      <c r="K460" s="11"/>
    </row>
    <row r="461">
      <c r="A461" s="117"/>
      <c r="B461" s="117"/>
      <c r="C461" s="46"/>
      <c r="D461" s="46"/>
      <c r="E461" s="117"/>
      <c r="F461" s="117"/>
      <c r="G461" s="118"/>
      <c r="H461" s="8"/>
      <c r="I461" s="121"/>
      <c r="J461" s="120"/>
      <c r="K461" s="11"/>
    </row>
    <row r="462">
      <c r="A462" s="117"/>
      <c r="B462" s="117"/>
      <c r="C462" s="46"/>
      <c r="D462" s="46"/>
      <c r="E462" s="117"/>
      <c r="F462" s="117"/>
      <c r="G462" s="118"/>
      <c r="H462" s="8"/>
      <c r="I462" s="121"/>
      <c r="J462" s="120"/>
      <c r="K462" s="11"/>
    </row>
    <row r="463">
      <c r="A463" s="117"/>
      <c r="B463" s="117"/>
      <c r="C463" s="46"/>
      <c r="D463" s="46"/>
      <c r="E463" s="117"/>
      <c r="F463" s="117"/>
      <c r="G463" s="118"/>
      <c r="H463" s="8"/>
      <c r="I463" s="121"/>
      <c r="J463" s="120"/>
      <c r="K463" s="11"/>
    </row>
    <row r="464">
      <c r="A464" s="117"/>
      <c r="B464" s="117"/>
      <c r="C464" s="46"/>
      <c r="D464" s="46"/>
      <c r="E464" s="117"/>
      <c r="F464" s="117"/>
      <c r="G464" s="118"/>
      <c r="H464" s="8"/>
      <c r="I464" s="121"/>
      <c r="J464" s="120"/>
      <c r="K464" s="11"/>
    </row>
    <row r="465">
      <c r="A465" s="117"/>
      <c r="B465" s="117"/>
      <c r="C465" s="46"/>
      <c r="D465" s="46"/>
      <c r="E465" s="117"/>
      <c r="F465" s="117"/>
      <c r="G465" s="118"/>
      <c r="H465" s="8"/>
      <c r="I465" s="121"/>
      <c r="J465" s="120"/>
      <c r="K465" s="11"/>
    </row>
    <row r="466">
      <c r="A466" s="117"/>
      <c r="B466" s="117"/>
      <c r="C466" s="46"/>
      <c r="D466" s="46"/>
      <c r="E466" s="117"/>
      <c r="F466" s="117"/>
      <c r="G466" s="118"/>
      <c r="H466" s="8"/>
      <c r="I466" s="121"/>
      <c r="J466" s="120"/>
      <c r="K466" s="11"/>
    </row>
    <row r="467">
      <c r="A467" s="117"/>
      <c r="B467" s="117"/>
      <c r="C467" s="46"/>
      <c r="D467" s="46"/>
      <c r="E467" s="117"/>
      <c r="F467" s="117"/>
      <c r="G467" s="118"/>
      <c r="H467" s="8"/>
      <c r="I467" s="121"/>
      <c r="J467" s="120"/>
      <c r="K467" s="11"/>
    </row>
    <row r="468">
      <c r="A468" s="117"/>
      <c r="B468" s="117"/>
      <c r="C468" s="46"/>
      <c r="D468" s="46"/>
      <c r="E468" s="117"/>
      <c r="F468" s="117"/>
      <c r="G468" s="118"/>
      <c r="H468" s="8"/>
      <c r="I468" s="121"/>
      <c r="J468" s="120"/>
      <c r="K468" s="11"/>
    </row>
    <row r="469">
      <c r="A469" s="117"/>
      <c r="B469" s="117"/>
      <c r="C469" s="46"/>
      <c r="D469" s="46"/>
      <c r="E469" s="117"/>
      <c r="F469" s="117"/>
      <c r="G469" s="118"/>
      <c r="H469" s="8"/>
      <c r="I469" s="121"/>
      <c r="J469" s="120"/>
      <c r="K469" s="11"/>
    </row>
    <row r="470">
      <c r="A470" s="117"/>
      <c r="B470" s="117"/>
      <c r="C470" s="46"/>
      <c r="D470" s="46"/>
      <c r="E470" s="117"/>
      <c r="F470" s="117"/>
      <c r="G470" s="118"/>
      <c r="H470" s="8"/>
      <c r="I470" s="121"/>
      <c r="J470" s="120"/>
      <c r="K470" s="11"/>
    </row>
    <row r="471">
      <c r="A471" s="117"/>
      <c r="B471" s="117"/>
      <c r="C471" s="46"/>
      <c r="D471" s="46"/>
      <c r="E471" s="117"/>
      <c r="F471" s="117"/>
      <c r="G471" s="118"/>
      <c r="H471" s="8"/>
      <c r="I471" s="121"/>
      <c r="J471" s="120"/>
      <c r="K471" s="11"/>
    </row>
    <row r="472">
      <c r="A472" s="117"/>
      <c r="B472" s="117"/>
      <c r="C472" s="46"/>
      <c r="D472" s="46"/>
      <c r="E472" s="117"/>
      <c r="F472" s="117"/>
      <c r="G472" s="118"/>
      <c r="H472" s="8"/>
      <c r="I472" s="121"/>
      <c r="J472" s="120"/>
      <c r="K472" s="11"/>
    </row>
    <row r="473">
      <c r="A473" s="117"/>
      <c r="B473" s="117"/>
      <c r="C473" s="46"/>
      <c r="D473" s="46"/>
      <c r="E473" s="117"/>
      <c r="F473" s="117"/>
      <c r="G473" s="118"/>
      <c r="H473" s="8"/>
      <c r="I473" s="121"/>
      <c r="J473" s="120"/>
      <c r="K473" s="11"/>
    </row>
    <row r="474">
      <c r="A474" s="117"/>
      <c r="B474" s="117"/>
      <c r="C474" s="46"/>
      <c r="D474" s="46"/>
      <c r="E474" s="117"/>
      <c r="F474" s="117"/>
      <c r="G474" s="118"/>
      <c r="H474" s="8"/>
      <c r="I474" s="121"/>
      <c r="J474" s="120"/>
      <c r="K474" s="11"/>
    </row>
    <row r="475">
      <c r="A475" s="117"/>
      <c r="B475" s="117"/>
      <c r="C475" s="46"/>
      <c r="D475" s="46"/>
      <c r="E475" s="117"/>
      <c r="F475" s="117"/>
      <c r="G475" s="118"/>
      <c r="H475" s="8"/>
      <c r="I475" s="121"/>
      <c r="J475" s="120"/>
      <c r="K475" s="11"/>
    </row>
    <row r="476">
      <c r="A476" s="117"/>
      <c r="B476" s="117"/>
      <c r="C476" s="46"/>
      <c r="D476" s="46"/>
      <c r="E476" s="117"/>
      <c r="F476" s="117"/>
      <c r="G476" s="118"/>
      <c r="H476" s="8"/>
      <c r="I476" s="121"/>
      <c r="J476" s="120"/>
      <c r="K476" s="11"/>
    </row>
    <row r="477">
      <c r="A477" s="117"/>
      <c r="B477" s="117"/>
      <c r="C477" s="46"/>
      <c r="D477" s="46"/>
      <c r="E477" s="117"/>
      <c r="F477" s="117"/>
      <c r="G477" s="118"/>
      <c r="H477" s="8"/>
      <c r="I477" s="121"/>
      <c r="J477" s="120"/>
      <c r="K477" s="11"/>
    </row>
    <row r="478">
      <c r="A478" s="117"/>
      <c r="B478" s="117"/>
      <c r="C478" s="46"/>
      <c r="D478" s="46"/>
      <c r="E478" s="117"/>
      <c r="F478" s="117"/>
      <c r="G478" s="118"/>
      <c r="H478" s="8"/>
      <c r="I478" s="121"/>
      <c r="J478" s="120"/>
      <c r="K478" s="11"/>
    </row>
    <row r="479">
      <c r="A479" s="117"/>
      <c r="B479" s="117"/>
      <c r="C479" s="46"/>
      <c r="D479" s="46"/>
      <c r="E479" s="117"/>
      <c r="F479" s="117"/>
      <c r="G479" s="118"/>
      <c r="H479" s="8"/>
      <c r="I479" s="121"/>
      <c r="J479" s="120"/>
      <c r="K479" s="11"/>
    </row>
    <row r="480">
      <c r="A480" s="117"/>
      <c r="B480" s="117"/>
      <c r="C480" s="46"/>
      <c r="D480" s="46"/>
      <c r="E480" s="117"/>
      <c r="F480" s="117"/>
      <c r="G480" s="118"/>
      <c r="H480" s="8"/>
      <c r="I480" s="121"/>
      <c r="J480" s="120"/>
      <c r="K480" s="11"/>
    </row>
    <row r="481">
      <c r="A481" s="117"/>
      <c r="B481" s="117"/>
      <c r="C481" s="46"/>
      <c r="D481" s="46"/>
      <c r="E481" s="117"/>
      <c r="F481" s="117"/>
      <c r="G481" s="118"/>
      <c r="H481" s="8"/>
      <c r="I481" s="121"/>
      <c r="J481" s="120"/>
      <c r="K481" s="11"/>
    </row>
    <row r="482">
      <c r="A482" s="117"/>
      <c r="B482" s="117"/>
      <c r="C482" s="46"/>
      <c r="D482" s="46"/>
      <c r="E482" s="117"/>
      <c r="F482" s="117"/>
      <c r="G482" s="118"/>
      <c r="H482" s="8"/>
      <c r="I482" s="121"/>
      <c r="J482" s="120"/>
      <c r="K482" s="11"/>
    </row>
    <row r="483">
      <c r="A483" s="117"/>
      <c r="B483" s="117"/>
      <c r="C483" s="46"/>
      <c r="D483" s="46"/>
      <c r="E483" s="117"/>
      <c r="F483" s="117"/>
      <c r="G483" s="118"/>
      <c r="H483" s="8"/>
      <c r="I483" s="121"/>
      <c r="J483" s="120"/>
      <c r="K483" s="11"/>
    </row>
    <row r="484">
      <c r="A484" s="117"/>
      <c r="B484" s="117"/>
      <c r="C484" s="46"/>
      <c r="D484" s="46"/>
      <c r="E484" s="117"/>
      <c r="F484" s="117"/>
      <c r="G484" s="118"/>
      <c r="H484" s="8"/>
      <c r="I484" s="121"/>
      <c r="J484" s="120"/>
      <c r="K484" s="11"/>
    </row>
    <row r="485">
      <c r="A485" s="117"/>
      <c r="B485" s="117"/>
      <c r="C485" s="46"/>
      <c r="D485" s="46"/>
      <c r="E485" s="117"/>
      <c r="F485" s="117"/>
      <c r="G485" s="118"/>
      <c r="H485" s="8"/>
      <c r="I485" s="121"/>
      <c r="J485" s="120"/>
      <c r="K485" s="11"/>
    </row>
    <row r="486">
      <c r="A486" s="117"/>
      <c r="B486" s="117"/>
      <c r="C486" s="46"/>
      <c r="D486" s="46"/>
      <c r="E486" s="117"/>
      <c r="F486" s="117"/>
      <c r="G486" s="118"/>
      <c r="H486" s="8"/>
      <c r="I486" s="121"/>
      <c r="J486" s="120"/>
      <c r="K486" s="11"/>
    </row>
    <row r="487">
      <c r="A487" s="117"/>
      <c r="B487" s="117"/>
      <c r="C487" s="46"/>
      <c r="D487" s="46"/>
      <c r="E487" s="117"/>
      <c r="F487" s="117"/>
      <c r="G487" s="118"/>
      <c r="H487" s="8"/>
      <c r="I487" s="121"/>
      <c r="J487" s="120"/>
      <c r="K487" s="11"/>
    </row>
    <row r="488">
      <c r="A488" s="117"/>
      <c r="B488" s="117"/>
      <c r="C488" s="46"/>
      <c r="D488" s="46"/>
      <c r="E488" s="117"/>
      <c r="F488" s="117"/>
      <c r="G488" s="118"/>
      <c r="H488" s="8"/>
      <c r="I488" s="121"/>
      <c r="J488" s="120"/>
      <c r="K488" s="11"/>
    </row>
    <row r="489">
      <c r="A489" s="117"/>
      <c r="B489" s="117"/>
      <c r="C489" s="46"/>
      <c r="D489" s="46"/>
      <c r="E489" s="117"/>
      <c r="F489" s="117"/>
      <c r="G489" s="118"/>
      <c r="H489" s="8"/>
      <c r="I489" s="121"/>
      <c r="J489" s="120"/>
      <c r="K489" s="11"/>
    </row>
    <row r="490">
      <c r="A490" s="117"/>
      <c r="B490" s="117"/>
      <c r="C490" s="46"/>
      <c r="D490" s="46"/>
      <c r="E490" s="117"/>
      <c r="F490" s="117"/>
      <c r="G490" s="118"/>
      <c r="H490" s="8"/>
      <c r="I490" s="121"/>
      <c r="J490" s="120"/>
      <c r="K490" s="11"/>
    </row>
    <row r="491">
      <c r="A491" s="117"/>
      <c r="B491" s="117"/>
      <c r="C491" s="46"/>
      <c r="D491" s="46"/>
      <c r="E491" s="117"/>
      <c r="F491" s="117"/>
      <c r="G491" s="118"/>
      <c r="H491" s="8"/>
      <c r="I491" s="121"/>
      <c r="J491" s="120"/>
      <c r="K491" s="11"/>
    </row>
    <row r="492">
      <c r="A492" s="117"/>
      <c r="B492" s="117"/>
      <c r="C492" s="46"/>
      <c r="D492" s="46"/>
      <c r="E492" s="117"/>
      <c r="F492" s="117"/>
      <c r="G492" s="118"/>
      <c r="H492" s="8"/>
      <c r="I492" s="121"/>
      <c r="J492" s="120"/>
      <c r="K492" s="11"/>
    </row>
    <row r="493">
      <c r="A493" s="117"/>
      <c r="B493" s="117"/>
      <c r="C493" s="46"/>
      <c r="D493" s="46"/>
      <c r="E493" s="117"/>
      <c r="F493" s="117"/>
      <c r="G493" s="118"/>
      <c r="H493" s="8"/>
      <c r="I493" s="121"/>
      <c r="J493" s="120"/>
      <c r="K493" s="11"/>
    </row>
    <row r="494">
      <c r="A494" s="117"/>
      <c r="B494" s="117"/>
      <c r="C494" s="46"/>
      <c r="D494" s="46"/>
      <c r="E494" s="117"/>
      <c r="F494" s="117"/>
      <c r="G494" s="118"/>
      <c r="H494" s="8"/>
      <c r="I494" s="121"/>
      <c r="J494" s="120"/>
      <c r="K494" s="11"/>
    </row>
    <row r="495">
      <c r="A495" s="117"/>
      <c r="B495" s="117"/>
      <c r="C495" s="46"/>
      <c r="D495" s="46"/>
      <c r="E495" s="117"/>
      <c r="F495" s="117"/>
      <c r="G495" s="118"/>
      <c r="H495" s="8"/>
      <c r="I495" s="121"/>
      <c r="J495" s="120"/>
      <c r="K495" s="11"/>
    </row>
    <row r="496">
      <c r="A496" s="117"/>
      <c r="B496" s="117"/>
      <c r="C496" s="46"/>
      <c r="D496" s="46"/>
      <c r="E496" s="117"/>
      <c r="F496" s="117"/>
      <c r="G496" s="118"/>
      <c r="H496" s="8"/>
      <c r="I496" s="121"/>
      <c r="J496" s="120"/>
      <c r="K496" s="11"/>
    </row>
    <row r="497">
      <c r="A497" s="117"/>
      <c r="B497" s="117"/>
      <c r="C497" s="46"/>
      <c r="D497" s="46"/>
      <c r="E497" s="117"/>
      <c r="F497" s="117"/>
      <c r="G497" s="118"/>
      <c r="H497" s="8"/>
      <c r="I497" s="121"/>
      <c r="J497" s="120"/>
      <c r="K497" s="11"/>
    </row>
    <row r="498">
      <c r="A498" s="117"/>
      <c r="B498" s="117"/>
      <c r="C498" s="46"/>
      <c r="D498" s="46"/>
      <c r="E498" s="117"/>
      <c r="F498" s="117"/>
      <c r="G498" s="118"/>
      <c r="H498" s="8"/>
      <c r="I498" s="121"/>
      <c r="J498" s="120"/>
      <c r="K498" s="11"/>
    </row>
    <row r="499">
      <c r="A499" s="117"/>
      <c r="B499" s="117"/>
      <c r="C499" s="46"/>
      <c r="D499" s="46"/>
      <c r="E499" s="117"/>
      <c r="F499" s="117"/>
      <c r="G499" s="118"/>
      <c r="H499" s="8"/>
      <c r="I499" s="121"/>
      <c r="J499" s="120"/>
      <c r="K499" s="11"/>
    </row>
    <row r="500">
      <c r="A500" s="117"/>
      <c r="B500" s="117"/>
      <c r="C500" s="46"/>
      <c r="D500" s="46"/>
      <c r="E500" s="117"/>
      <c r="F500" s="117"/>
      <c r="G500" s="118"/>
      <c r="H500" s="8"/>
      <c r="I500" s="121"/>
      <c r="J500" s="120"/>
      <c r="K500" s="11"/>
    </row>
    <row r="501">
      <c r="A501" s="117"/>
      <c r="B501" s="117"/>
      <c r="C501" s="46"/>
      <c r="D501" s="46"/>
      <c r="E501" s="117"/>
      <c r="F501" s="117"/>
      <c r="G501" s="118"/>
      <c r="H501" s="8"/>
      <c r="I501" s="121"/>
      <c r="J501" s="120"/>
      <c r="K501" s="11"/>
    </row>
    <row r="502">
      <c r="A502" s="117"/>
      <c r="B502" s="117"/>
      <c r="C502" s="46"/>
      <c r="D502" s="46"/>
      <c r="E502" s="117"/>
      <c r="F502" s="117"/>
      <c r="G502" s="118"/>
      <c r="H502" s="8"/>
      <c r="I502" s="121"/>
      <c r="J502" s="120"/>
      <c r="K502" s="11"/>
    </row>
    <row r="503">
      <c r="A503" s="117"/>
      <c r="B503" s="117"/>
      <c r="C503" s="46"/>
      <c r="D503" s="46"/>
      <c r="E503" s="117"/>
      <c r="F503" s="117"/>
      <c r="G503" s="118"/>
      <c r="H503" s="8"/>
      <c r="I503" s="121"/>
      <c r="J503" s="120"/>
      <c r="K503" s="11"/>
    </row>
    <row r="504">
      <c r="A504" s="117"/>
      <c r="B504" s="117"/>
      <c r="C504" s="46"/>
      <c r="D504" s="46"/>
      <c r="E504" s="117"/>
      <c r="F504" s="117"/>
      <c r="G504" s="118"/>
      <c r="H504" s="8"/>
      <c r="I504" s="121"/>
      <c r="J504" s="120"/>
      <c r="K504" s="11"/>
    </row>
    <row r="505">
      <c r="A505" s="117"/>
      <c r="B505" s="117"/>
      <c r="C505" s="46"/>
      <c r="D505" s="46"/>
      <c r="E505" s="117"/>
      <c r="F505" s="117"/>
      <c r="G505" s="118"/>
      <c r="H505" s="8"/>
      <c r="I505" s="121"/>
      <c r="J505" s="120"/>
      <c r="K505" s="11"/>
    </row>
    <row r="506">
      <c r="A506" s="117"/>
      <c r="B506" s="117"/>
      <c r="C506" s="46"/>
      <c r="D506" s="46"/>
      <c r="E506" s="117"/>
      <c r="F506" s="117"/>
      <c r="G506" s="118"/>
      <c r="H506" s="8"/>
      <c r="I506" s="121"/>
      <c r="J506" s="120"/>
      <c r="K506" s="11"/>
    </row>
    <row r="507">
      <c r="A507" s="117"/>
      <c r="B507" s="117"/>
      <c r="C507" s="46"/>
      <c r="D507" s="46"/>
      <c r="E507" s="117"/>
      <c r="F507" s="117"/>
      <c r="G507" s="118"/>
      <c r="H507" s="8"/>
      <c r="I507" s="121"/>
      <c r="J507" s="120"/>
      <c r="K507" s="11"/>
    </row>
    <row r="508">
      <c r="A508" s="117"/>
      <c r="B508" s="117"/>
      <c r="C508" s="46"/>
      <c r="D508" s="46"/>
      <c r="E508" s="117"/>
      <c r="F508" s="117"/>
      <c r="G508" s="118"/>
      <c r="H508" s="8"/>
      <c r="I508" s="121"/>
      <c r="J508" s="120"/>
      <c r="K508" s="11"/>
    </row>
    <row r="509">
      <c r="A509" s="117"/>
      <c r="B509" s="117"/>
      <c r="C509" s="46"/>
      <c r="D509" s="46"/>
      <c r="E509" s="117"/>
      <c r="F509" s="117"/>
      <c r="G509" s="118"/>
      <c r="H509" s="8"/>
      <c r="I509" s="121"/>
      <c r="J509" s="120"/>
      <c r="K509" s="11"/>
    </row>
    <row r="510">
      <c r="A510" s="117"/>
      <c r="B510" s="117"/>
      <c r="C510" s="46"/>
      <c r="D510" s="46"/>
      <c r="E510" s="117"/>
      <c r="F510" s="117"/>
      <c r="G510" s="118"/>
      <c r="H510" s="8"/>
      <c r="I510" s="121"/>
      <c r="J510" s="120"/>
      <c r="K510" s="11"/>
    </row>
    <row r="511">
      <c r="A511" s="117"/>
      <c r="B511" s="117"/>
      <c r="C511" s="46"/>
      <c r="D511" s="46"/>
      <c r="E511" s="117"/>
      <c r="F511" s="117"/>
      <c r="G511" s="118"/>
      <c r="H511" s="8"/>
      <c r="I511" s="121"/>
      <c r="J511" s="120"/>
      <c r="K511" s="11"/>
    </row>
    <row r="512">
      <c r="A512" s="117"/>
      <c r="B512" s="117"/>
      <c r="C512" s="46"/>
      <c r="D512" s="46"/>
      <c r="E512" s="117"/>
      <c r="F512" s="117"/>
      <c r="G512" s="118"/>
      <c r="H512" s="8"/>
      <c r="I512" s="121"/>
      <c r="J512" s="120"/>
      <c r="K512" s="11"/>
    </row>
    <row r="513">
      <c r="A513" s="117"/>
      <c r="B513" s="117"/>
      <c r="C513" s="46"/>
      <c r="D513" s="46"/>
      <c r="E513" s="117"/>
      <c r="F513" s="117"/>
      <c r="G513" s="118"/>
      <c r="H513" s="8"/>
      <c r="I513" s="121"/>
      <c r="J513" s="120"/>
      <c r="K513" s="11"/>
    </row>
    <row r="514">
      <c r="A514" s="117"/>
      <c r="B514" s="117"/>
      <c r="C514" s="46"/>
      <c r="D514" s="46"/>
      <c r="E514" s="117"/>
      <c r="F514" s="117"/>
      <c r="G514" s="118"/>
      <c r="H514" s="8"/>
      <c r="I514" s="121"/>
      <c r="J514" s="120"/>
      <c r="K514" s="11"/>
    </row>
    <row r="515">
      <c r="A515" s="117"/>
      <c r="B515" s="117"/>
      <c r="C515" s="46"/>
      <c r="D515" s="46"/>
      <c r="E515" s="117"/>
      <c r="F515" s="117"/>
      <c r="G515" s="118"/>
      <c r="H515" s="8"/>
      <c r="I515" s="121"/>
      <c r="J515" s="120"/>
      <c r="K515" s="11"/>
    </row>
    <row r="516">
      <c r="A516" s="117"/>
      <c r="B516" s="117"/>
      <c r="C516" s="46"/>
      <c r="D516" s="46"/>
      <c r="E516" s="117"/>
      <c r="F516" s="117"/>
      <c r="G516" s="118"/>
      <c r="H516" s="8"/>
      <c r="I516" s="121"/>
      <c r="J516" s="120"/>
      <c r="K516" s="11"/>
    </row>
    <row r="517">
      <c r="A517" s="117"/>
      <c r="B517" s="117"/>
      <c r="C517" s="46"/>
      <c r="D517" s="46"/>
      <c r="E517" s="117"/>
      <c r="F517" s="117"/>
      <c r="G517" s="118"/>
      <c r="H517" s="8"/>
      <c r="I517" s="121"/>
      <c r="J517" s="120"/>
      <c r="K517" s="11"/>
    </row>
    <row r="518">
      <c r="A518" s="117"/>
      <c r="B518" s="117"/>
      <c r="C518" s="46"/>
      <c r="D518" s="46"/>
      <c r="E518" s="117"/>
      <c r="F518" s="117"/>
      <c r="G518" s="118"/>
      <c r="H518" s="8"/>
      <c r="I518" s="121"/>
      <c r="J518" s="120"/>
      <c r="K518" s="11"/>
    </row>
    <row r="519">
      <c r="A519" s="117"/>
      <c r="B519" s="117"/>
      <c r="C519" s="46"/>
      <c r="D519" s="46"/>
      <c r="E519" s="117"/>
      <c r="F519" s="117"/>
      <c r="G519" s="118"/>
      <c r="H519" s="8"/>
      <c r="I519" s="121"/>
      <c r="J519" s="120"/>
      <c r="K519" s="11"/>
    </row>
    <row r="520">
      <c r="A520" s="117"/>
      <c r="B520" s="117"/>
      <c r="C520" s="46"/>
      <c r="D520" s="46"/>
      <c r="E520" s="117"/>
      <c r="F520" s="117"/>
      <c r="G520" s="118"/>
      <c r="H520" s="8"/>
      <c r="I520" s="121"/>
      <c r="J520" s="120"/>
      <c r="K520" s="11"/>
    </row>
    <row r="521">
      <c r="A521" s="117"/>
      <c r="B521" s="117"/>
      <c r="C521" s="46"/>
      <c r="D521" s="46"/>
      <c r="E521" s="117"/>
      <c r="F521" s="117"/>
      <c r="G521" s="118"/>
      <c r="H521" s="8"/>
      <c r="I521" s="121"/>
      <c r="J521" s="120"/>
      <c r="K521" s="11"/>
    </row>
    <row r="522">
      <c r="A522" s="117"/>
      <c r="B522" s="117"/>
      <c r="C522" s="46"/>
      <c r="D522" s="46"/>
      <c r="E522" s="117"/>
      <c r="F522" s="117"/>
      <c r="G522" s="118"/>
      <c r="H522" s="8"/>
      <c r="I522" s="121"/>
      <c r="J522" s="120"/>
      <c r="K522" s="11"/>
    </row>
    <row r="523">
      <c r="A523" s="117"/>
      <c r="B523" s="117"/>
      <c r="C523" s="46"/>
      <c r="D523" s="46"/>
      <c r="E523" s="117"/>
      <c r="F523" s="117"/>
      <c r="G523" s="118"/>
      <c r="H523" s="8"/>
      <c r="I523" s="121"/>
      <c r="J523" s="120"/>
      <c r="K523" s="11"/>
    </row>
    <row r="524">
      <c r="A524" s="117"/>
      <c r="B524" s="117"/>
      <c r="C524" s="46"/>
      <c r="D524" s="46"/>
      <c r="E524" s="117"/>
      <c r="F524" s="117"/>
      <c r="G524" s="118"/>
      <c r="H524" s="8"/>
      <c r="I524" s="121"/>
      <c r="J524" s="120"/>
      <c r="K524" s="11"/>
    </row>
    <row r="525">
      <c r="A525" s="117"/>
      <c r="B525" s="117"/>
      <c r="C525" s="46"/>
      <c r="D525" s="46"/>
      <c r="E525" s="117"/>
      <c r="F525" s="117"/>
      <c r="G525" s="118"/>
      <c r="H525" s="8"/>
      <c r="I525" s="121"/>
      <c r="J525" s="120"/>
      <c r="K525" s="11"/>
    </row>
    <row r="526">
      <c r="A526" s="117"/>
      <c r="B526" s="117"/>
      <c r="C526" s="46"/>
      <c r="D526" s="46"/>
      <c r="E526" s="117"/>
      <c r="F526" s="117"/>
      <c r="G526" s="118"/>
      <c r="H526" s="8"/>
      <c r="I526" s="121"/>
      <c r="J526" s="120"/>
      <c r="K526" s="11"/>
    </row>
    <row r="527">
      <c r="A527" s="117"/>
      <c r="B527" s="117"/>
      <c r="C527" s="46"/>
      <c r="D527" s="46"/>
      <c r="E527" s="117"/>
      <c r="F527" s="117"/>
      <c r="G527" s="118"/>
      <c r="H527" s="8"/>
      <c r="I527" s="121"/>
      <c r="J527" s="120"/>
      <c r="K527" s="11"/>
    </row>
    <row r="528">
      <c r="A528" s="117"/>
      <c r="B528" s="117"/>
      <c r="C528" s="46"/>
      <c r="D528" s="46"/>
      <c r="E528" s="117"/>
      <c r="F528" s="117"/>
      <c r="G528" s="118"/>
      <c r="H528" s="8"/>
      <c r="I528" s="121"/>
      <c r="J528" s="120"/>
      <c r="K528" s="11"/>
    </row>
    <row r="529">
      <c r="A529" s="117"/>
      <c r="B529" s="117"/>
      <c r="C529" s="46"/>
      <c r="D529" s="46"/>
      <c r="E529" s="117"/>
      <c r="F529" s="117"/>
      <c r="G529" s="118"/>
      <c r="H529" s="8"/>
      <c r="I529" s="121"/>
      <c r="J529" s="120"/>
      <c r="K529" s="11"/>
    </row>
    <row r="530">
      <c r="A530" s="117"/>
      <c r="B530" s="117"/>
      <c r="C530" s="46"/>
      <c r="D530" s="46"/>
      <c r="E530" s="117"/>
      <c r="F530" s="117"/>
      <c r="G530" s="118"/>
      <c r="H530" s="8"/>
      <c r="I530" s="121"/>
      <c r="J530" s="120"/>
      <c r="K530" s="11"/>
    </row>
    <row r="531">
      <c r="A531" s="117"/>
      <c r="B531" s="117"/>
      <c r="C531" s="46"/>
      <c r="D531" s="46"/>
      <c r="E531" s="117"/>
      <c r="F531" s="117"/>
      <c r="G531" s="118"/>
      <c r="H531" s="8"/>
      <c r="I531" s="121"/>
      <c r="J531" s="120"/>
      <c r="K531" s="11"/>
    </row>
    <row r="532">
      <c r="A532" s="117"/>
      <c r="B532" s="117"/>
      <c r="C532" s="46"/>
      <c r="D532" s="46"/>
      <c r="E532" s="117"/>
      <c r="F532" s="117"/>
      <c r="G532" s="118"/>
      <c r="H532" s="8"/>
      <c r="I532" s="121"/>
      <c r="J532" s="120"/>
      <c r="K532" s="11"/>
    </row>
    <row r="533">
      <c r="A533" s="117"/>
      <c r="B533" s="117"/>
      <c r="C533" s="46"/>
      <c r="D533" s="46"/>
      <c r="E533" s="117"/>
      <c r="F533" s="117"/>
      <c r="G533" s="118"/>
      <c r="H533" s="8"/>
      <c r="I533" s="121"/>
      <c r="J533" s="120"/>
      <c r="K533" s="11"/>
    </row>
    <row r="534">
      <c r="A534" s="117"/>
      <c r="B534" s="117"/>
      <c r="C534" s="46"/>
      <c r="D534" s="46"/>
      <c r="E534" s="117"/>
      <c r="F534" s="117"/>
      <c r="G534" s="118"/>
      <c r="H534" s="8"/>
      <c r="I534" s="121"/>
      <c r="J534" s="120"/>
      <c r="K534" s="11"/>
    </row>
    <row r="535">
      <c r="A535" s="117"/>
      <c r="B535" s="117"/>
      <c r="C535" s="46"/>
      <c r="D535" s="46"/>
      <c r="E535" s="117"/>
      <c r="F535" s="117"/>
      <c r="G535" s="118"/>
      <c r="H535" s="8"/>
      <c r="I535" s="121"/>
      <c r="J535" s="120"/>
      <c r="K535" s="11"/>
    </row>
    <row r="536">
      <c r="A536" s="117"/>
      <c r="B536" s="117"/>
      <c r="C536" s="46"/>
      <c r="D536" s="46"/>
      <c r="E536" s="117"/>
      <c r="F536" s="117"/>
      <c r="G536" s="118"/>
      <c r="H536" s="8"/>
      <c r="I536" s="121"/>
      <c r="J536" s="120"/>
      <c r="K536" s="11"/>
    </row>
    <row r="537">
      <c r="A537" s="117"/>
      <c r="B537" s="117"/>
      <c r="C537" s="46"/>
      <c r="D537" s="46"/>
      <c r="E537" s="117"/>
      <c r="F537" s="117"/>
      <c r="G537" s="118"/>
      <c r="H537" s="8"/>
      <c r="I537" s="121"/>
      <c r="J537" s="120"/>
      <c r="K537" s="11"/>
    </row>
    <row r="538">
      <c r="A538" s="117"/>
      <c r="B538" s="117"/>
      <c r="C538" s="46"/>
      <c r="D538" s="46"/>
      <c r="E538" s="117"/>
      <c r="F538" s="117"/>
      <c r="G538" s="118"/>
      <c r="H538" s="8"/>
      <c r="I538" s="121"/>
      <c r="J538" s="120"/>
      <c r="K538" s="11"/>
    </row>
    <row r="539">
      <c r="A539" s="117"/>
      <c r="B539" s="117"/>
      <c r="C539" s="46"/>
      <c r="D539" s="46"/>
      <c r="E539" s="117"/>
      <c r="F539" s="117"/>
      <c r="G539" s="118"/>
      <c r="H539" s="8"/>
      <c r="I539" s="121"/>
      <c r="J539" s="120"/>
      <c r="K539" s="11"/>
    </row>
    <row r="540">
      <c r="A540" s="117"/>
      <c r="B540" s="117"/>
      <c r="C540" s="46"/>
      <c r="D540" s="46"/>
      <c r="E540" s="117"/>
      <c r="F540" s="117"/>
      <c r="G540" s="118"/>
      <c r="H540" s="8"/>
      <c r="I540" s="121"/>
      <c r="J540" s="120"/>
      <c r="K540" s="11"/>
    </row>
    <row r="541">
      <c r="A541" s="117"/>
      <c r="B541" s="117"/>
      <c r="C541" s="46"/>
      <c r="D541" s="46"/>
      <c r="E541" s="117"/>
      <c r="F541" s="117"/>
      <c r="G541" s="118"/>
      <c r="H541" s="8"/>
      <c r="I541" s="121"/>
      <c r="J541" s="120"/>
      <c r="K541" s="11"/>
    </row>
    <row r="542">
      <c r="A542" s="117"/>
      <c r="B542" s="117"/>
      <c r="C542" s="46"/>
      <c r="D542" s="46"/>
      <c r="E542" s="117"/>
      <c r="F542" s="117"/>
      <c r="G542" s="118"/>
      <c r="H542" s="8"/>
      <c r="I542" s="121"/>
      <c r="J542" s="120"/>
      <c r="K542" s="11"/>
    </row>
    <row r="543">
      <c r="A543" s="117"/>
      <c r="B543" s="117"/>
      <c r="C543" s="46"/>
      <c r="D543" s="46"/>
      <c r="E543" s="117"/>
      <c r="F543" s="117"/>
      <c r="G543" s="118"/>
      <c r="H543" s="8"/>
      <c r="I543" s="121"/>
      <c r="J543" s="120"/>
      <c r="K543" s="11"/>
    </row>
    <row r="544">
      <c r="A544" s="117"/>
      <c r="B544" s="117"/>
      <c r="C544" s="46"/>
      <c r="D544" s="46"/>
      <c r="E544" s="117"/>
      <c r="F544" s="117"/>
      <c r="G544" s="118"/>
      <c r="H544" s="8"/>
      <c r="I544" s="121"/>
      <c r="J544" s="120"/>
      <c r="K544" s="11"/>
    </row>
    <row r="545">
      <c r="A545" s="117"/>
      <c r="B545" s="117"/>
      <c r="C545" s="46"/>
      <c r="D545" s="46"/>
      <c r="E545" s="117"/>
      <c r="F545" s="117"/>
      <c r="G545" s="118"/>
      <c r="H545" s="8"/>
      <c r="I545" s="121"/>
      <c r="J545" s="120"/>
      <c r="K545" s="11"/>
    </row>
    <row r="546">
      <c r="A546" s="117"/>
      <c r="B546" s="117"/>
      <c r="C546" s="46"/>
      <c r="D546" s="46"/>
      <c r="E546" s="117"/>
      <c r="F546" s="117"/>
      <c r="G546" s="118"/>
      <c r="H546" s="8"/>
      <c r="I546" s="121"/>
      <c r="J546" s="120"/>
      <c r="K546" s="11"/>
    </row>
    <row r="547">
      <c r="A547" s="117"/>
      <c r="B547" s="117"/>
      <c r="C547" s="46"/>
      <c r="D547" s="46"/>
      <c r="E547" s="117"/>
      <c r="F547" s="117"/>
      <c r="G547" s="118"/>
      <c r="H547" s="8"/>
      <c r="I547" s="121"/>
      <c r="J547" s="120"/>
      <c r="K547" s="11"/>
    </row>
    <row r="548">
      <c r="A548" s="117"/>
      <c r="B548" s="117"/>
      <c r="C548" s="46"/>
      <c r="D548" s="46"/>
      <c r="E548" s="117"/>
      <c r="F548" s="117"/>
      <c r="G548" s="118"/>
      <c r="H548" s="8"/>
      <c r="I548" s="121"/>
      <c r="J548" s="120"/>
      <c r="K548" s="11"/>
    </row>
    <row r="549">
      <c r="A549" s="117"/>
      <c r="B549" s="117"/>
      <c r="C549" s="46"/>
      <c r="D549" s="46"/>
      <c r="E549" s="117"/>
      <c r="F549" s="117"/>
      <c r="G549" s="118"/>
      <c r="H549" s="8"/>
      <c r="I549" s="121"/>
      <c r="J549" s="120"/>
      <c r="K549" s="11"/>
    </row>
    <row r="550">
      <c r="A550" s="117"/>
      <c r="B550" s="117"/>
      <c r="C550" s="46"/>
      <c r="D550" s="46"/>
      <c r="E550" s="117"/>
      <c r="F550" s="117"/>
      <c r="G550" s="118"/>
      <c r="H550" s="8"/>
      <c r="I550" s="121"/>
      <c r="J550" s="120"/>
      <c r="K550" s="11"/>
    </row>
    <row r="551">
      <c r="A551" s="117"/>
      <c r="B551" s="117"/>
      <c r="C551" s="46"/>
      <c r="D551" s="46"/>
      <c r="E551" s="117"/>
      <c r="F551" s="117"/>
      <c r="G551" s="118"/>
      <c r="H551" s="8"/>
      <c r="I551" s="121"/>
      <c r="J551" s="120"/>
      <c r="K551" s="11"/>
    </row>
    <row r="552">
      <c r="A552" s="117"/>
      <c r="B552" s="117"/>
      <c r="C552" s="46"/>
      <c r="D552" s="46"/>
      <c r="E552" s="117"/>
      <c r="F552" s="117"/>
      <c r="G552" s="118"/>
      <c r="H552" s="8"/>
      <c r="I552" s="121"/>
      <c r="J552" s="120"/>
      <c r="K552" s="11"/>
    </row>
    <row r="553">
      <c r="A553" s="117"/>
      <c r="B553" s="117"/>
      <c r="C553" s="46"/>
      <c r="D553" s="46"/>
      <c r="E553" s="117"/>
      <c r="F553" s="117"/>
      <c r="G553" s="118"/>
      <c r="H553" s="8"/>
      <c r="I553" s="121"/>
      <c r="J553" s="120"/>
      <c r="K553" s="11"/>
    </row>
    <row r="554">
      <c r="A554" s="117"/>
      <c r="B554" s="117"/>
      <c r="C554" s="46"/>
      <c r="D554" s="46"/>
      <c r="E554" s="117"/>
      <c r="F554" s="117"/>
      <c r="G554" s="118"/>
      <c r="H554" s="8"/>
      <c r="I554" s="121"/>
      <c r="J554" s="120"/>
      <c r="K554" s="11"/>
    </row>
    <row r="555">
      <c r="A555" s="117"/>
      <c r="B555" s="117"/>
      <c r="C555" s="46"/>
      <c r="D555" s="46"/>
      <c r="E555" s="117"/>
      <c r="F555" s="117"/>
      <c r="G555" s="118"/>
      <c r="H555" s="8"/>
      <c r="I555" s="121"/>
      <c r="J555" s="120"/>
      <c r="K555" s="11"/>
    </row>
    <row r="556">
      <c r="A556" s="117"/>
      <c r="B556" s="117"/>
      <c r="C556" s="46"/>
      <c r="D556" s="46"/>
      <c r="E556" s="117"/>
      <c r="F556" s="117"/>
      <c r="G556" s="118"/>
      <c r="H556" s="8"/>
      <c r="I556" s="121"/>
      <c r="J556" s="120"/>
      <c r="K556" s="11"/>
    </row>
    <row r="557">
      <c r="A557" s="117"/>
      <c r="B557" s="117"/>
      <c r="C557" s="46"/>
      <c r="D557" s="46"/>
      <c r="E557" s="117"/>
      <c r="F557" s="117"/>
      <c r="G557" s="118"/>
      <c r="H557" s="8"/>
      <c r="I557" s="121"/>
      <c r="J557" s="120"/>
      <c r="K557" s="11"/>
    </row>
    <row r="558">
      <c r="A558" s="117"/>
      <c r="B558" s="117"/>
      <c r="C558" s="46"/>
      <c r="D558" s="46"/>
      <c r="E558" s="117"/>
      <c r="F558" s="117"/>
      <c r="G558" s="118"/>
      <c r="H558" s="8"/>
      <c r="I558" s="121"/>
      <c r="J558" s="120"/>
      <c r="K558" s="11"/>
    </row>
    <row r="559">
      <c r="A559" s="117"/>
      <c r="B559" s="117"/>
      <c r="C559" s="46"/>
      <c r="D559" s="46"/>
      <c r="E559" s="117"/>
      <c r="F559" s="117"/>
      <c r="G559" s="118"/>
      <c r="H559" s="8"/>
      <c r="I559" s="121"/>
      <c r="J559" s="120"/>
      <c r="K559" s="11"/>
    </row>
    <row r="560">
      <c r="A560" s="117"/>
      <c r="B560" s="117"/>
      <c r="C560" s="46"/>
      <c r="D560" s="46"/>
      <c r="E560" s="117"/>
      <c r="F560" s="117"/>
      <c r="G560" s="118"/>
      <c r="H560" s="8"/>
      <c r="I560" s="121"/>
      <c r="J560" s="120"/>
      <c r="K560" s="11"/>
    </row>
    <row r="561">
      <c r="A561" s="117"/>
      <c r="B561" s="117"/>
      <c r="C561" s="46"/>
      <c r="D561" s="46"/>
      <c r="E561" s="117"/>
      <c r="F561" s="117"/>
      <c r="G561" s="118"/>
      <c r="H561" s="8"/>
      <c r="I561" s="121"/>
      <c r="J561" s="120"/>
      <c r="K561" s="11"/>
    </row>
    <row r="562">
      <c r="A562" s="117"/>
      <c r="B562" s="117"/>
      <c r="C562" s="46"/>
      <c r="D562" s="46"/>
      <c r="E562" s="117"/>
      <c r="F562" s="117"/>
      <c r="G562" s="118"/>
      <c r="H562" s="8"/>
      <c r="I562" s="121"/>
      <c r="J562" s="120"/>
      <c r="K562" s="11"/>
    </row>
    <row r="563">
      <c r="A563" s="117"/>
      <c r="B563" s="117"/>
      <c r="C563" s="46"/>
      <c r="D563" s="46"/>
      <c r="E563" s="117"/>
      <c r="F563" s="117"/>
      <c r="G563" s="118"/>
      <c r="H563" s="8"/>
      <c r="I563" s="121"/>
      <c r="J563" s="120"/>
      <c r="K563" s="11"/>
    </row>
    <row r="564">
      <c r="A564" s="117"/>
      <c r="B564" s="117"/>
      <c r="C564" s="46"/>
      <c r="D564" s="46"/>
      <c r="E564" s="117"/>
      <c r="F564" s="117"/>
      <c r="G564" s="118"/>
      <c r="H564" s="8"/>
      <c r="I564" s="121"/>
      <c r="J564" s="120"/>
      <c r="K564" s="11"/>
    </row>
    <row r="565">
      <c r="A565" s="117"/>
      <c r="B565" s="117"/>
      <c r="C565" s="46"/>
      <c r="D565" s="46"/>
      <c r="E565" s="117"/>
      <c r="F565" s="117"/>
      <c r="G565" s="118"/>
      <c r="H565" s="8"/>
      <c r="I565" s="121"/>
      <c r="J565" s="120"/>
      <c r="K565" s="11"/>
    </row>
    <row r="566">
      <c r="A566" s="117"/>
      <c r="B566" s="117"/>
      <c r="C566" s="46"/>
      <c r="D566" s="46"/>
      <c r="E566" s="117"/>
      <c r="F566" s="117"/>
      <c r="G566" s="118"/>
      <c r="H566" s="8"/>
      <c r="I566" s="121"/>
      <c r="J566" s="120"/>
      <c r="K566" s="11"/>
    </row>
    <row r="567">
      <c r="A567" s="117"/>
      <c r="B567" s="117"/>
      <c r="C567" s="46"/>
      <c r="D567" s="46"/>
      <c r="E567" s="117"/>
      <c r="F567" s="117"/>
      <c r="G567" s="118"/>
      <c r="H567" s="8"/>
      <c r="I567" s="121"/>
      <c r="J567" s="120"/>
      <c r="K567" s="11"/>
    </row>
    <row r="568">
      <c r="A568" s="117"/>
      <c r="B568" s="117"/>
      <c r="C568" s="46"/>
      <c r="D568" s="46"/>
      <c r="E568" s="117"/>
      <c r="F568" s="117"/>
      <c r="G568" s="118"/>
      <c r="H568" s="8"/>
      <c r="I568" s="121"/>
      <c r="J568" s="120"/>
      <c r="K568" s="11"/>
    </row>
    <row r="569">
      <c r="A569" s="117"/>
      <c r="B569" s="117"/>
      <c r="C569" s="46"/>
      <c r="D569" s="46"/>
      <c r="E569" s="117"/>
      <c r="F569" s="117"/>
      <c r="G569" s="118"/>
      <c r="H569" s="8"/>
      <c r="I569" s="121"/>
      <c r="J569" s="120"/>
      <c r="K569" s="11"/>
    </row>
    <row r="570">
      <c r="A570" s="117"/>
      <c r="B570" s="117"/>
      <c r="C570" s="46"/>
      <c r="D570" s="46"/>
      <c r="E570" s="117"/>
      <c r="F570" s="117"/>
      <c r="G570" s="118"/>
      <c r="H570" s="8"/>
      <c r="I570" s="121"/>
      <c r="J570" s="120"/>
      <c r="K570" s="11"/>
    </row>
    <row r="571">
      <c r="A571" s="117"/>
      <c r="B571" s="117"/>
      <c r="C571" s="46"/>
      <c r="D571" s="46"/>
      <c r="E571" s="117"/>
      <c r="F571" s="117"/>
      <c r="G571" s="118"/>
      <c r="H571" s="8"/>
      <c r="I571" s="121"/>
      <c r="J571" s="120"/>
      <c r="K571" s="11"/>
    </row>
    <row r="572">
      <c r="A572" s="117"/>
      <c r="B572" s="117"/>
      <c r="C572" s="46"/>
      <c r="D572" s="46"/>
      <c r="E572" s="117"/>
      <c r="F572" s="117"/>
      <c r="G572" s="118"/>
      <c r="H572" s="8"/>
      <c r="I572" s="121"/>
      <c r="J572" s="120"/>
      <c r="K572" s="11"/>
    </row>
    <row r="573">
      <c r="A573" s="117"/>
      <c r="B573" s="117"/>
      <c r="C573" s="46"/>
      <c r="D573" s="46"/>
      <c r="E573" s="117"/>
      <c r="F573" s="117"/>
      <c r="G573" s="118"/>
      <c r="H573" s="8"/>
      <c r="I573" s="121"/>
      <c r="J573" s="120"/>
      <c r="K573" s="11"/>
    </row>
    <row r="574">
      <c r="A574" s="117"/>
      <c r="B574" s="117"/>
      <c r="C574" s="46"/>
      <c r="D574" s="46"/>
      <c r="E574" s="117"/>
      <c r="F574" s="117"/>
      <c r="G574" s="118"/>
      <c r="H574" s="8"/>
      <c r="I574" s="121"/>
      <c r="J574" s="120"/>
      <c r="K574" s="11"/>
    </row>
    <row r="575">
      <c r="A575" s="117"/>
      <c r="B575" s="117"/>
      <c r="C575" s="46"/>
      <c r="D575" s="46"/>
      <c r="E575" s="117"/>
      <c r="F575" s="117"/>
      <c r="G575" s="118"/>
      <c r="H575" s="8"/>
      <c r="I575" s="121"/>
      <c r="J575" s="120"/>
      <c r="K575" s="11"/>
    </row>
    <row r="576">
      <c r="A576" s="117"/>
      <c r="B576" s="117"/>
      <c r="C576" s="46"/>
      <c r="D576" s="46"/>
      <c r="E576" s="117"/>
      <c r="F576" s="117"/>
      <c r="G576" s="118"/>
      <c r="H576" s="8"/>
      <c r="I576" s="121"/>
      <c r="J576" s="120"/>
      <c r="K576" s="11"/>
    </row>
    <row r="577">
      <c r="A577" s="117"/>
      <c r="B577" s="117"/>
      <c r="C577" s="46"/>
      <c r="D577" s="46"/>
      <c r="E577" s="117"/>
      <c r="F577" s="117"/>
      <c r="G577" s="118"/>
      <c r="H577" s="8"/>
      <c r="I577" s="121"/>
      <c r="J577" s="120"/>
      <c r="K577" s="11"/>
    </row>
    <row r="578">
      <c r="A578" s="117"/>
      <c r="B578" s="117"/>
      <c r="C578" s="46"/>
      <c r="D578" s="46"/>
      <c r="E578" s="117"/>
      <c r="F578" s="117"/>
      <c r="G578" s="118"/>
      <c r="H578" s="8"/>
      <c r="I578" s="121"/>
      <c r="J578" s="120"/>
      <c r="K578" s="11"/>
    </row>
    <row r="579">
      <c r="A579" s="117"/>
      <c r="B579" s="117"/>
      <c r="C579" s="46"/>
      <c r="D579" s="46"/>
      <c r="E579" s="117"/>
      <c r="F579" s="117"/>
      <c r="G579" s="118"/>
      <c r="H579" s="8"/>
      <c r="I579" s="121"/>
      <c r="J579" s="120"/>
      <c r="K579" s="11"/>
    </row>
    <row r="580">
      <c r="A580" s="117"/>
      <c r="B580" s="117"/>
      <c r="C580" s="46"/>
      <c r="D580" s="46"/>
      <c r="E580" s="117"/>
      <c r="F580" s="117"/>
      <c r="G580" s="118"/>
      <c r="H580" s="8"/>
      <c r="I580" s="121"/>
      <c r="J580" s="120"/>
      <c r="K580" s="11"/>
    </row>
    <row r="581">
      <c r="A581" s="117"/>
      <c r="B581" s="117"/>
      <c r="C581" s="46"/>
      <c r="D581" s="46"/>
      <c r="E581" s="117"/>
      <c r="F581" s="117"/>
      <c r="G581" s="118"/>
      <c r="H581" s="8"/>
      <c r="I581" s="121"/>
      <c r="J581" s="120"/>
      <c r="K581" s="11"/>
    </row>
    <row r="582">
      <c r="A582" s="117"/>
      <c r="B582" s="117"/>
      <c r="C582" s="46"/>
      <c r="D582" s="46"/>
      <c r="E582" s="117"/>
      <c r="F582" s="117"/>
      <c r="G582" s="118"/>
      <c r="H582" s="8"/>
      <c r="I582" s="121"/>
      <c r="J582" s="120"/>
      <c r="K582" s="11"/>
    </row>
    <row r="583">
      <c r="A583" s="117"/>
      <c r="B583" s="117"/>
      <c r="C583" s="46"/>
      <c r="D583" s="46"/>
      <c r="E583" s="117"/>
      <c r="F583" s="117"/>
      <c r="G583" s="118"/>
      <c r="H583" s="8"/>
      <c r="I583" s="121"/>
      <c r="J583" s="120"/>
      <c r="K583" s="11"/>
    </row>
    <row r="584">
      <c r="A584" s="117"/>
      <c r="B584" s="117"/>
      <c r="C584" s="46"/>
      <c r="D584" s="46"/>
      <c r="E584" s="117"/>
      <c r="F584" s="117"/>
      <c r="G584" s="118"/>
      <c r="H584" s="8"/>
      <c r="I584" s="121"/>
      <c r="J584" s="120"/>
      <c r="K584" s="11"/>
    </row>
    <row r="585">
      <c r="A585" s="117"/>
      <c r="B585" s="117"/>
      <c r="C585" s="46"/>
      <c r="D585" s="46"/>
      <c r="E585" s="117"/>
      <c r="F585" s="117"/>
      <c r="G585" s="118"/>
      <c r="H585" s="8"/>
      <c r="I585" s="121"/>
      <c r="J585" s="120"/>
      <c r="K585" s="11"/>
    </row>
    <row r="586">
      <c r="A586" s="117"/>
      <c r="B586" s="117"/>
      <c r="C586" s="46"/>
      <c r="D586" s="46"/>
      <c r="E586" s="117"/>
      <c r="F586" s="117"/>
      <c r="G586" s="118"/>
      <c r="H586" s="8"/>
      <c r="I586" s="121"/>
      <c r="J586" s="120"/>
      <c r="K586" s="11"/>
    </row>
    <row r="587">
      <c r="A587" s="117"/>
      <c r="B587" s="117"/>
      <c r="C587" s="46"/>
      <c r="D587" s="46"/>
      <c r="E587" s="117"/>
      <c r="F587" s="117"/>
      <c r="G587" s="118"/>
      <c r="H587" s="8"/>
      <c r="I587" s="121"/>
      <c r="J587" s="120"/>
      <c r="K587" s="11"/>
    </row>
    <row r="588">
      <c r="A588" s="117"/>
      <c r="B588" s="117"/>
      <c r="C588" s="46"/>
      <c r="D588" s="46"/>
      <c r="E588" s="117"/>
      <c r="F588" s="117"/>
      <c r="G588" s="118"/>
      <c r="H588" s="8"/>
      <c r="I588" s="121"/>
      <c r="J588" s="120"/>
      <c r="K588" s="11"/>
    </row>
    <row r="589">
      <c r="A589" s="117"/>
      <c r="B589" s="117"/>
      <c r="C589" s="46"/>
      <c r="D589" s="46"/>
      <c r="E589" s="117"/>
      <c r="F589" s="117"/>
      <c r="G589" s="118"/>
      <c r="H589" s="8"/>
      <c r="I589" s="121"/>
      <c r="J589" s="120"/>
      <c r="K589" s="11"/>
    </row>
    <row r="590">
      <c r="A590" s="117"/>
      <c r="B590" s="117"/>
      <c r="C590" s="46"/>
      <c r="D590" s="46"/>
      <c r="E590" s="117"/>
      <c r="F590" s="117"/>
      <c r="G590" s="118"/>
      <c r="H590" s="8"/>
      <c r="I590" s="121"/>
      <c r="J590" s="120"/>
      <c r="K590" s="11"/>
    </row>
    <row r="591">
      <c r="A591" s="117"/>
      <c r="B591" s="117"/>
      <c r="C591" s="46"/>
      <c r="D591" s="46"/>
      <c r="E591" s="117"/>
      <c r="F591" s="117"/>
      <c r="G591" s="118"/>
      <c r="H591" s="8"/>
      <c r="I591" s="121"/>
      <c r="J591" s="120"/>
      <c r="K591" s="11"/>
    </row>
    <row r="592">
      <c r="A592" s="117"/>
      <c r="B592" s="117"/>
      <c r="C592" s="46"/>
      <c r="D592" s="46"/>
      <c r="E592" s="117"/>
      <c r="F592" s="117"/>
      <c r="G592" s="118"/>
      <c r="H592" s="8"/>
      <c r="I592" s="121"/>
      <c r="J592" s="120"/>
      <c r="K592" s="11"/>
    </row>
    <row r="593">
      <c r="A593" s="117"/>
      <c r="B593" s="117"/>
      <c r="C593" s="46"/>
      <c r="D593" s="46"/>
      <c r="E593" s="117"/>
      <c r="F593" s="117"/>
      <c r="G593" s="118"/>
      <c r="H593" s="8"/>
      <c r="I593" s="121"/>
      <c r="J593" s="120"/>
      <c r="K593" s="11"/>
    </row>
    <row r="594">
      <c r="A594" s="117"/>
      <c r="B594" s="117"/>
      <c r="C594" s="46"/>
      <c r="D594" s="46"/>
      <c r="E594" s="117"/>
      <c r="F594" s="117"/>
      <c r="G594" s="118"/>
      <c r="H594" s="8"/>
      <c r="I594" s="121"/>
      <c r="J594" s="120"/>
      <c r="K594" s="11"/>
    </row>
    <row r="595">
      <c r="A595" s="117"/>
      <c r="B595" s="117"/>
      <c r="C595" s="46"/>
      <c r="D595" s="46"/>
      <c r="E595" s="117"/>
      <c r="F595" s="117"/>
      <c r="G595" s="118"/>
      <c r="H595" s="8"/>
      <c r="I595" s="121"/>
      <c r="J595" s="120"/>
      <c r="K595" s="11"/>
    </row>
    <row r="596">
      <c r="A596" s="117"/>
      <c r="B596" s="117"/>
      <c r="C596" s="46"/>
      <c r="D596" s="46"/>
      <c r="E596" s="117"/>
      <c r="F596" s="117"/>
      <c r="G596" s="118"/>
      <c r="H596" s="8"/>
      <c r="I596" s="121"/>
      <c r="J596" s="120"/>
      <c r="K596" s="11"/>
    </row>
    <row r="597">
      <c r="A597" s="117"/>
      <c r="B597" s="117"/>
      <c r="C597" s="46"/>
      <c r="D597" s="46"/>
      <c r="E597" s="117"/>
      <c r="F597" s="117"/>
      <c r="G597" s="118"/>
      <c r="H597" s="8"/>
      <c r="I597" s="121"/>
      <c r="J597" s="120"/>
      <c r="K597" s="11"/>
    </row>
    <row r="598">
      <c r="A598" s="117"/>
      <c r="B598" s="117"/>
      <c r="C598" s="46"/>
      <c r="D598" s="46"/>
      <c r="E598" s="117"/>
      <c r="F598" s="117"/>
      <c r="G598" s="118"/>
      <c r="H598" s="8"/>
      <c r="I598" s="121"/>
      <c r="J598" s="120"/>
      <c r="K598" s="11"/>
    </row>
    <row r="599">
      <c r="A599" s="117"/>
      <c r="B599" s="117"/>
      <c r="C599" s="46"/>
      <c r="D599" s="46"/>
      <c r="E599" s="117"/>
      <c r="F599" s="117"/>
      <c r="G599" s="118"/>
      <c r="H599" s="8"/>
      <c r="I599" s="121"/>
      <c r="J599" s="120"/>
      <c r="K599" s="11"/>
    </row>
    <row r="600">
      <c r="A600" s="117"/>
      <c r="B600" s="117"/>
      <c r="C600" s="46"/>
      <c r="D600" s="46"/>
      <c r="E600" s="117"/>
      <c r="F600" s="117"/>
      <c r="G600" s="118"/>
      <c r="H600" s="8"/>
      <c r="I600" s="121"/>
      <c r="J600" s="120"/>
      <c r="K600" s="11"/>
    </row>
    <row r="601">
      <c r="A601" s="117"/>
      <c r="B601" s="117"/>
      <c r="C601" s="46"/>
      <c r="D601" s="46"/>
      <c r="E601" s="117"/>
      <c r="F601" s="117"/>
      <c r="G601" s="118"/>
      <c r="H601" s="8"/>
      <c r="I601" s="121"/>
      <c r="J601" s="120"/>
      <c r="K601" s="11"/>
    </row>
    <row r="602">
      <c r="A602" s="117"/>
      <c r="B602" s="117"/>
      <c r="C602" s="46"/>
      <c r="D602" s="46"/>
      <c r="E602" s="117"/>
      <c r="F602" s="117"/>
      <c r="G602" s="118"/>
      <c r="H602" s="8"/>
      <c r="I602" s="121"/>
      <c r="J602" s="120"/>
      <c r="K602" s="11"/>
    </row>
    <row r="603">
      <c r="A603" s="117"/>
      <c r="B603" s="117"/>
      <c r="C603" s="46"/>
      <c r="D603" s="46"/>
      <c r="E603" s="117"/>
      <c r="F603" s="117"/>
      <c r="G603" s="118"/>
      <c r="H603" s="8"/>
      <c r="I603" s="121"/>
      <c r="J603" s="120"/>
      <c r="K603" s="11"/>
    </row>
    <row r="604">
      <c r="A604" s="117"/>
      <c r="B604" s="117"/>
      <c r="C604" s="46"/>
      <c r="D604" s="46"/>
      <c r="E604" s="117"/>
      <c r="F604" s="117"/>
      <c r="G604" s="118"/>
      <c r="H604" s="8"/>
      <c r="I604" s="121"/>
      <c r="J604" s="120"/>
      <c r="K604" s="11"/>
    </row>
    <row r="605">
      <c r="A605" s="117"/>
      <c r="B605" s="117"/>
      <c r="C605" s="46"/>
      <c r="D605" s="46"/>
      <c r="E605" s="117"/>
      <c r="F605" s="117"/>
      <c r="G605" s="118"/>
      <c r="H605" s="8"/>
      <c r="I605" s="121"/>
      <c r="J605" s="120"/>
      <c r="K605" s="11"/>
    </row>
    <row r="606">
      <c r="A606" s="117"/>
      <c r="B606" s="117"/>
      <c r="C606" s="46"/>
      <c r="D606" s="46"/>
      <c r="E606" s="117"/>
      <c r="F606" s="117"/>
      <c r="G606" s="118"/>
      <c r="H606" s="8"/>
      <c r="I606" s="121"/>
      <c r="J606" s="120"/>
      <c r="K606" s="11"/>
    </row>
    <row r="607">
      <c r="A607" s="117"/>
      <c r="B607" s="117"/>
      <c r="C607" s="46"/>
      <c r="D607" s="46"/>
      <c r="E607" s="117"/>
      <c r="F607" s="117"/>
      <c r="G607" s="118"/>
      <c r="H607" s="8"/>
      <c r="I607" s="121"/>
      <c r="J607" s="120"/>
      <c r="K607" s="11"/>
    </row>
    <row r="608">
      <c r="A608" s="117"/>
      <c r="B608" s="117"/>
      <c r="C608" s="46"/>
      <c r="D608" s="46"/>
      <c r="E608" s="117"/>
      <c r="F608" s="117"/>
      <c r="G608" s="118"/>
      <c r="H608" s="8"/>
      <c r="I608" s="121"/>
      <c r="J608" s="120"/>
      <c r="K608" s="11"/>
    </row>
    <row r="609">
      <c r="A609" s="117"/>
      <c r="B609" s="117"/>
      <c r="C609" s="46"/>
      <c r="D609" s="46"/>
      <c r="E609" s="117"/>
      <c r="F609" s="117"/>
      <c r="G609" s="118"/>
      <c r="H609" s="8"/>
      <c r="I609" s="121"/>
      <c r="J609" s="120"/>
      <c r="K609" s="11"/>
    </row>
    <row r="610">
      <c r="A610" s="117"/>
      <c r="B610" s="117"/>
      <c r="C610" s="46"/>
      <c r="D610" s="46"/>
      <c r="E610" s="117"/>
      <c r="F610" s="117"/>
      <c r="G610" s="118"/>
      <c r="H610" s="8"/>
      <c r="I610" s="121"/>
      <c r="J610" s="120"/>
      <c r="K610" s="11"/>
    </row>
    <row r="611">
      <c r="A611" s="117"/>
      <c r="B611" s="117"/>
      <c r="C611" s="46"/>
      <c r="D611" s="46"/>
      <c r="E611" s="117"/>
      <c r="F611" s="117"/>
      <c r="G611" s="118"/>
      <c r="H611" s="8"/>
      <c r="I611" s="121"/>
      <c r="J611" s="120"/>
      <c r="K611" s="11"/>
    </row>
    <row r="612">
      <c r="A612" s="117"/>
      <c r="B612" s="117"/>
      <c r="C612" s="46"/>
      <c r="D612" s="46"/>
      <c r="E612" s="117"/>
      <c r="F612" s="117"/>
      <c r="G612" s="118"/>
      <c r="H612" s="8"/>
      <c r="I612" s="121"/>
      <c r="J612" s="120"/>
      <c r="K612" s="11"/>
    </row>
    <row r="613">
      <c r="A613" s="117"/>
      <c r="B613" s="117"/>
      <c r="C613" s="46"/>
      <c r="D613" s="46"/>
      <c r="E613" s="117"/>
      <c r="F613" s="117"/>
      <c r="G613" s="118"/>
      <c r="H613" s="8"/>
      <c r="I613" s="121"/>
      <c r="J613" s="120"/>
      <c r="K613" s="11"/>
    </row>
    <row r="614">
      <c r="A614" s="117"/>
      <c r="B614" s="117"/>
      <c r="C614" s="46"/>
      <c r="D614" s="46"/>
      <c r="E614" s="117"/>
      <c r="F614" s="117"/>
      <c r="G614" s="118"/>
      <c r="H614" s="8"/>
      <c r="I614" s="121"/>
      <c r="J614" s="120"/>
      <c r="K614" s="11"/>
    </row>
    <row r="615">
      <c r="A615" s="117"/>
      <c r="B615" s="117"/>
      <c r="C615" s="46"/>
      <c r="D615" s="46"/>
      <c r="E615" s="117"/>
      <c r="F615" s="117"/>
      <c r="G615" s="118"/>
      <c r="H615" s="8"/>
      <c r="I615" s="121"/>
      <c r="J615" s="120"/>
      <c r="K615" s="11"/>
    </row>
    <row r="616">
      <c r="A616" s="117"/>
      <c r="B616" s="117"/>
      <c r="C616" s="46"/>
      <c r="D616" s="46"/>
      <c r="E616" s="117"/>
      <c r="F616" s="117"/>
      <c r="G616" s="118"/>
      <c r="H616" s="8"/>
      <c r="I616" s="121"/>
      <c r="J616" s="120"/>
      <c r="K616" s="11"/>
    </row>
    <row r="617">
      <c r="A617" s="117"/>
      <c r="B617" s="117"/>
      <c r="C617" s="46"/>
      <c r="D617" s="46"/>
      <c r="E617" s="117"/>
      <c r="F617" s="117"/>
      <c r="G617" s="118"/>
      <c r="H617" s="8"/>
      <c r="I617" s="121"/>
      <c r="J617" s="120"/>
      <c r="K617" s="11"/>
    </row>
    <row r="618">
      <c r="A618" s="117"/>
      <c r="B618" s="117"/>
      <c r="C618" s="46"/>
      <c r="D618" s="46"/>
      <c r="E618" s="117"/>
      <c r="F618" s="117"/>
      <c r="G618" s="118"/>
      <c r="H618" s="8"/>
      <c r="I618" s="121"/>
      <c r="J618" s="120"/>
      <c r="K618" s="11"/>
    </row>
    <row r="619">
      <c r="A619" s="117"/>
      <c r="B619" s="117"/>
      <c r="C619" s="46"/>
      <c r="D619" s="46"/>
      <c r="E619" s="117"/>
      <c r="F619" s="117"/>
      <c r="G619" s="118"/>
      <c r="H619" s="8"/>
      <c r="I619" s="121"/>
      <c r="J619" s="120"/>
      <c r="K619" s="11"/>
    </row>
    <row r="620">
      <c r="A620" s="117"/>
      <c r="B620" s="117"/>
      <c r="C620" s="46"/>
      <c r="D620" s="46"/>
      <c r="E620" s="117"/>
      <c r="F620" s="117"/>
      <c r="G620" s="118"/>
      <c r="H620" s="8"/>
      <c r="I620" s="121"/>
      <c r="J620" s="120"/>
      <c r="K620" s="11"/>
    </row>
    <row r="621">
      <c r="A621" s="117"/>
      <c r="B621" s="117"/>
      <c r="C621" s="46"/>
      <c r="D621" s="46"/>
      <c r="E621" s="117"/>
      <c r="F621" s="117"/>
      <c r="G621" s="118"/>
      <c r="H621" s="8"/>
      <c r="I621" s="121"/>
      <c r="J621" s="120"/>
      <c r="K621" s="11"/>
    </row>
    <row r="622">
      <c r="A622" s="117"/>
      <c r="B622" s="117"/>
      <c r="C622" s="46"/>
      <c r="D622" s="46"/>
      <c r="E622" s="117"/>
      <c r="F622" s="117"/>
      <c r="G622" s="118"/>
      <c r="H622" s="8"/>
      <c r="I622" s="121"/>
      <c r="J622" s="120"/>
      <c r="K622" s="11"/>
    </row>
    <row r="623">
      <c r="A623" s="117"/>
      <c r="B623" s="117"/>
      <c r="C623" s="46"/>
      <c r="D623" s="46"/>
      <c r="E623" s="117"/>
      <c r="F623" s="117"/>
      <c r="G623" s="118"/>
      <c r="H623" s="8"/>
      <c r="I623" s="121"/>
      <c r="J623" s="120"/>
      <c r="K623" s="11"/>
    </row>
    <row r="624">
      <c r="A624" s="117"/>
      <c r="B624" s="117"/>
      <c r="C624" s="46"/>
      <c r="D624" s="46"/>
      <c r="E624" s="117"/>
      <c r="F624" s="117"/>
      <c r="G624" s="118"/>
      <c r="H624" s="8"/>
      <c r="I624" s="121"/>
      <c r="J624" s="120"/>
      <c r="K624" s="11"/>
    </row>
    <row r="625">
      <c r="A625" s="117"/>
      <c r="B625" s="117"/>
      <c r="C625" s="46"/>
      <c r="D625" s="46"/>
      <c r="E625" s="117"/>
      <c r="F625" s="117"/>
      <c r="G625" s="118"/>
      <c r="H625" s="8"/>
      <c r="I625" s="121"/>
      <c r="J625" s="120"/>
      <c r="K625" s="11"/>
    </row>
    <row r="626">
      <c r="A626" s="117"/>
      <c r="B626" s="117"/>
      <c r="C626" s="46"/>
      <c r="D626" s="46"/>
      <c r="E626" s="117"/>
      <c r="F626" s="117"/>
      <c r="G626" s="118"/>
      <c r="H626" s="8"/>
      <c r="I626" s="121"/>
      <c r="J626" s="120"/>
      <c r="K626" s="11"/>
    </row>
    <row r="627">
      <c r="A627" s="117"/>
      <c r="B627" s="117"/>
      <c r="C627" s="46"/>
      <c r="D627" s="46"/>
      <c r="E627" s="117"/>
      <c r="F627" s="117"/>
      <c r="G627" s="118"/>
      <c r="H627" s="8"/>
      <c r="I627" s="121"/>
      <c r="J627" s="120"/>
      <c r="K627" s="11"/>
    </row>
    <row r="628">
      <c r="A628" s="117"/>
      <c r="B628" s="117"/>
      <c r="C628" s="46"/>
      <c r="D628" s="46"/>
      <c r="E628" s="117"/>
      <c r="F628" s="117"/>
      <c r="G628" s="118"/>
      <c r="H628" s="8"/>
      <c r="I628" s="121"/>
      <c r="J628" s="120"/>
      <c r="K628" s="11"/>
    </row>
    <row r="629">
      <c r="A629" s="117"/>
      <c r="B629" s="117"/>
      <c r="C629" s="46"/>
      <c r="D629" s="46"/>
      <c r="E629" s="117"/>
      <c r="F629" s="117"/>
      <c r="G629" s="118"/>
      <c r="H629" s="8"/>
      <c r="I629" s="121"/>
      <c r="J629" s="120"/>
      <c r="K629" s="11"/>
    </row>
    <row r="630">
      <c r="A630" s="117"/>
      <c r="B630" s="117"/>
      <c r="C630" s="46"/>
      <c r="D630" s="46"/>
      <c r="E630" s="117"/>
      <c r="F630" s="117"/>
      <c r="G630" s="118"/>
      <c r="H630" s="8"/>
      <c r="I630" s="121"/>
      <c r="J630" s="120"/>
      <c r="K630" s="11"/>
    </row>
    <row r="631">
      <c r="A631" s="117"/>
      <c r="B631" s="117"/>
      <c r="C631" s="46"/>
      <c r="D631" s="46"/>
      <c r="E631" s="117"/>
      <c r="F631" s="117"/>
      <c r="G631" s="118"/>
      <c r="H631" s="8"/>
      <c r="I631" s="121"/>
      <c r="J631" s="120"/>
      <c r="K631" s="11"/>
    </row>
    <row r="632">
      <c r="A632" s="117"/>
      <c r="B632" s="117"/>
      <c r="C632" s="46"/>
      <c r="D632" s="46"/>
      <c r="E632" s="117"/>
      <c r="F632" s="117"/>
      <c r="G632" s="118"/>
      <c r="H632" s="8"/>
      <c r="I632" s="121"/>
      <c r="J632" s="120"/>
      <c r="K632" s="11"/>
    </row>
    <row r="633">
      <c r="A633" s="117"/>
      <c r="B633" s="117"/>
      <c r="C633" s="46"/>
      <c r="D633" s="46"/>
      <c r="E633" s="117"/>
      <c r="F633" s="117"/>
      <c r="G633" s="118"/>
      <c r="H633" s="8"/>
      <c r="I633" s="121"/>
      <c r="J633" s="120"/>
      <c r="K633" s="11"/>
    </row>
    <row r="634">
      <c r="A634" s="117"/>
      <c r="B634" s="117"/>
      <c r="C634" s="46"/>
      <c r="D634" s="46"/>
      <c r="E634" s="117"/>
      <c r="F634" s="117"/>
      <c r="G634" s="118"/>
      <c r="H634" s="8"/>
      <c r="I634" s="121"/>
      <c r="J634" s="120"/>
      <c r="K634" s="11"/>
    </row>
    <row r="635">
      <c r="A635" s="117"/>
      <c r="B635" s="117"/>
      <c r="C635" s="46"/>
      <c r="D635" s="46"/>
      <c r="E635" s="117"/>
      <c r="F635" s="117"/>
      <c r="G635" s="118"/>
      <c r="H635" s="8"/>
      <c r="I635" s="121"/>
      <c r="J635" s="120"/>
      <c r="K635" s="11"/>
    </row>
    <row r="636">
      <c r="A636" s="117"/>
      <c r="B636" s="117"/>
      <c r="C636" s="46"/>
      <c r="D636" s="46"/>
      <c r="E636" s="117"/>
      <c r="F636" s="117"/>
      <c r="G636" s="118"/>
      <c r="H636" s="8"/>
      <c r="I636" s="121"/>
      <c r="J636" s="120"/>
      <c r="K636" s="11"/>
    </row>
    <row r="637">
      <c r="A637" s="117"/>
      <c r="B637" s="117"/>
      <c r="C637" s="46"/>
      <c r="D637" s="46"/>
      <c r="E637" s="117"/>
      <c r="F637" s="117"/>
      <c r="G637" s="118"/>
      <c r="H637" s="8"/>
      <c r="I637" s="121"/>
      <c r="J637" s="120"/>
      <c r="K637" s="11"/>
    </row>
    <row r="638">
      <c r="A638" s="117"/>
      <c r="B638" s="117"/>
      <c r="C638" s="46"/>
      <c r="D638" s="46"/>
      <c r="E638" s="117"/>
      <c r="F638" s="117"/>
      <c r="G638" s="118"/>
      <c r="H638" s="8"/>
      <c r="I638" s="121"/>
      <c r="J638" s="120"/>
      <c r="K638" s="11"/>
    </row>
    <row r="639">
      <c r="A639" s="117"/>
      <c r="B639" s="117"/>
      <c r="C639" s="46"/>
      <c r="D639" s="46"/>
      <c r="E639" s="117"/>
      <c r="F639" s="117"/>
      <c r="G639" s="118"/>
      <c r="H639" s="8"/>
      <c r="I639" s="121"/>
      <c r="J639" s="120"/>
      <c r="K639" s="11"/>
    </row>
    <row r="640">
      <c r="A640" s="117"/>
      <c r="B640" s="117"/>
      <c r="C640" s="46"/>
      <c r="D640" s="46"/>
      <c r="E640" s="117"/>
      <c r="F640" s="117"/>
      <c r="G640" s="118"/>
      <c r="H640" s="8"/>
      <c r="I640" s="121"/>
      <c r="J640" s="120"/>
      <c r="K640" s="11"/>
    </row>
    <row r="641">
      <c r="A641" s="117"/>
      <c r="B641" s="117"/>
      <c r="C641" s="46"/>
      <c r="D641" s="46"/>
      <c r="E641" s="117"/>
      <c r="F641" s="117"/>
      <c r="G641" s="118"/>
      <c r="H641" s="8"/>
      <c r="I641" s="121"/>
      <c r="J641" s="120"/>
      <c r="K641" s="11"/>
    </row>
    <row r="642">
      <c r="A642" s="117"/>
      <c r="B642" s="117"/>
      <c r="C642" s="46"/>
      <c r="D642" s="46"/>
      <c r="E642" s="117"/>
      <c r="F642" s="117"/>
      <c r="G642" s="118"/>
      <c r="H642" s="8"/>
      <c r="I642" s="121"/>
      <c r="J642" s="120"/>
      <c r="K642" s="11"/>
    </row>
    <row r="643">
      <c r="A643" s="117"/>
      <c r="B643" s="117"/>
      <c r="C643" s="46"/>
      <c r="D643" s="46"/>
      <c r="E643" s="117"/>
      <c r="F643" s="117"/>
      <c r="G643" s="118"/>
      <c r="H643" s="8"/>
      <c r="I643" s="121"/>
      <c r="J643" s="120"/>
      <c r="K643" s="11"/>
    </row>
    <row r="644">
      <c r="A644" s="117"/>
      <c r="B644" s="117"/>
      <c r="C644" s="46"/>
      <c r="D644" s="46"/>
      <c r="E644" s="117"/>
      <c r="F644" s="117"/>
      <c r="G644" s="118"/>
      <c r="H644" s="8"/>
      <c r="I644" s="121"/>
      <c r="J644" s="120"/>
      <c r="K644" s="11"/>
    </row>
    <row r="645">
      <c r="A645" s="117"/>
      <c r="B645" s="117"/>
      <c r="C645" s="46"/>
      <c r="D645" s="46"/>
      <c r="E645" s="117"/>
      <c r="F645" s="117"/>
      <c r="G645" s="118"/>
      <c r="H645" s="8"/>
      <c r="I645" s="121"/>
      <c r="J645" s="120"/>
      <c r="K645" s="11"/>
    </row>
    <row r="646">
      <c r="A646" s="117"/>
      <c r="B646" s="117"/>
      <c r="C646" s="46"/>
      <c r="D646" s="46"/>
      <c r="E646" s="117"/>
      <c r="F646" s="117"/>
      <c r="G646" s="118"/>
      <c r="H646" s="8"/>
      <c r="I646" s="121"/>
      <c r="J646" s="120"/>
      <c r="K646" s="11"/>
    </row>
    <row r="647">
      <c r="A647" s="117"/>
      <c r="B647" s="117"/>
      <c r="C647" s="46"/>
      <c r="D647" s="46"/>
      <c r="E647" s="117"/>
      <c r="F647" s="117"/>
      <c r="G647" s="118"/>
      <c r="H647" s="8"/>
      <c r="I647" s="121"/>
      <c r="J647" s="120"/>
      <c r="K647" s="11"/>
    </row>
    <row r="648">
      <c r="A648" s="117"/>
      <c r="B648" s="117"/>
      <c r="C648" s="46"/>
      <c r="D648" s="46"/>
      <c r="E648" s="117"/>
      <c r="F648" s="117"/>
      <c r="G648" s="118"/>
      <c r="H648" s="8"/>
      <c r="I648" s="121"/>
      <c r="J648" s="120"/>
      <c r="K648" s="11"/>
    </row>
    <row r="649">
      <c r="A649" s="117"/>
      <c r="B649" s="117"/>
      <c r="C649" s="46"/>
      <c r="D649" s="46"/>
      <c r="E649" s="117"/>
      <c r="F649" s="117"/>
      <c r="G649" s="118"/>
      <c r="H649" s="8"/>
      <c r="I649" s="121"/>
      <c r="J649" s="120"/>
      <c r="K649" s="11"/>
    </row>
    <row r="650">
      <c r="A650" s="117"/>
      <c r="B650" s="117"/>
      <c r="C650" s="46"/>
      <c r="D650" s="46"/>
      <c r="E650" s="117"/>
      <c r="F650" s="117"/>
      <c r="G650" s="118"/>
      <c r="H650" s="8"/>
      <c r="I650" s="121"/>
      <c r="J650" s="120"/>
      <c r="K650" s="11"/>
    </row>
    <row r="651">
      <c r="A651" s="117"/>
      <c r="B651" s="117"/>
      <c r="C651" s="46"/>
      <c r="D651" s="46"/>
      <c r="E651" s="117"/>
      <c r="F651" s="117"/>
      <c r="G651" s="118"/>
      <c r="H651" s="8"/>
      <c r="I651" s="121"/>
      <c r="J651" s="120"/>
      <c r="K651" s="11"/>
    </row>
    <row r="652">
      <c r="A652" s="117"/>
      <c r="B652" s="117"/>
      <c r="C652" s="46"/>
      <c r="D652" s="46"/>
      <c r="E652" s="117"/>
      <c r="F652" s="117"/>
      <c r="G652" s="118"/>
      <c r="H652" s="8"/>
      <c r="I652" s="121"/>
      <c r="J652" s="120"/>
      <c r="K652" s="11"/>
    </row>
    <row r="653">
      <c r="A653" s="117"/>
      <c r="B653" s="117"/>
      <c r="C653" s="46"/>
      <c r="D653" s="46"/>
      <c r="E653" s="117"/>
      <c r="F653" s="117"/>
      <c r="G653" s="118"/>
      <c r="H653" s="8"/>
      <c r="I653" s="121"/>
      <c r="J653" s="120"/>
      <c r="K653" s="11"/>
    </row>
    <row r="654">
      <c r="A654" s="117"/>
      <c r="B654" s="117"/>
      <c r="C654" s="46"/>
      <c r="D654" s="46"/>
      <c r="E654" s="117"/>
      <c r="F654" s="117"/>
      <c r="G654" s="118"/>
      <c r="H654" s="8"/>
      <c r="I654" s="121"/>
      <c r="J654" s="120"/>
      <c r="K654" s="11"/>
    </row>
    <row r="655">
      <c r="A655" s="117"/>
      <c r="B655" s="117"/>
      <c r="C655" s="46"/>
      <c r="D655" s="46"/>
      <c r="E655" s="117"/>
      <c r="F655" s="117"/>
      <c r="G655" s="118"/>
      <c r="H655" s="8"/>
      <c r="I655" s="121"/>
      <c r="J655" s="120"/>
      <c r="K655" s="11"/>
    </row>
    <row r="656">
      <c r="A656" s="117"/>
      <c r="B656" s="117"/>
      <c r="C656" s="46"/>
      <c r="D656" s="46"/>
      <c r="E656" s="117"/>
      <c r="F656" s="117"/>
      <c r="G656" s="118"/>
      <c r="H656" s="8"/>
      <c r="I656" s="121"/>
      <c r="J656" s="120"/>
      <c r="K656" s="11"/>
    </row>
    <row r="657">
      <c r="A657" s="117"/>
      <c r="B657" s="117"/>
      <c r="C657" s="46"/>
      <c r="D657" s="46"/>
      <c r="E657" s="117"/>
      <c r="F657" s="117"/>
      <c r="G657" s="118"/>
      <c r="H657" s="8"/>
      <c r="I657" s="121"/>
      <c r="J657" s="120"/>
      <c r="K657" s="11"/>
    </row>
    <row r="658">
      <c r="A658" s="117"/>
      <c r="B658" s="117"/>
      <c r="C658" s="46"/>
      <c r="D658" s="46"/>
      <c r="E658" s="117"/>
      <c r="F658" s="117"/>
      <c r="G658" s="118"/>
      <c r="H658" s="8"/>
      <c r="I658" s="121"/>
      <c r="J658" s="120"/>
      <c r="K658" s="11"/>
    </row>
    <row r="659">
      <c r="A659" s="117"/>
      <c r="B659" s="117"/>
      <c r="C659" s="46"/>
      <c r="D659" s="46"/>
      <c r="E659" s="117"/>
      <c r="F659" s="117"/>
      <c r="G659" s="118"/>
      <c r="H659" s="8"/>
      <c r="I659" s="121"/>
      <c r="J659" s="120"/>
      <c r="K659" s="11"/>
    </row>
    <row r="660">
      <c r="A660" s="117"/>
      <c r="B660" s="117"/>
      <c r="C660" s="46"/>
      <c r="D660" s="46"/>
      <c r="E660" s="117"/>
      <c r="F660" s="117"/>
      <c r="G660" s="118"/>
      <c r="H660" s="8"/>
      <c r="I660" s="121"/>
      <c r="J660" s="120"/>
      <c r="K660" s="11"/>
    </row>
    <row r="661">
      <c r="A661" s="117"/>
      <c r="B661" s="117"/>
      <c r="C661" s="46"/>
      <c r="D661" s="46"/>
      <c r="E661" s="117"/>
      <c r="F661" s="117"/>
      <c r="G661" s="118"/>
      <c r="H661" s="8"/>
      <c r="I661" s="121"/>
      <c r="J661" s="120"/>
      <c r="K661" s="11"/>
    </row>
    <row r="662">
      <c r="A662" s="117"/>
      <c r="B662" s="117"/>
      <c r="C662" s="46"/>
      <c r="D662" s="46"/>
      <c r="E662" s="117"/>
      <c r="F662" s="117"/>
      <c r="G662" s="118"/>
      <c r="H662" s="8"/>
      <c r="I662" s="121"/>
      <c r="J662" s="120"/>
      <c r="K662" s="11"/>
    </row>
    <row r="663">
      <c r="A663" s="117"/>
      <c r="B663" s="117"/>
      <c r="C663" s="46"/>
      <c r="D663" s="46"/>
      <c r="E663" s="117"/>
      <c r="F663" s="117"/>
      <c r="G663" s="118"/>
      <c r="H663" s="8"/>
      <c r="I663" s="121"/>
      <c r="J663" s="120"/>
      <c r="K663" s="11"/>
    </row>
    <row r="664">
      <c r="A664" s="117"/>
      <c r="B664" s="117"/>
      <c r="C664" s="46"/>
      <c r="D664" s="46"/>
      <c r="E664" s="117"/>
      <c r="F664" s="117"/>
      <c r="G664" s="118"/>
      <c r="H664" s="8"/>
      <c r="I664" s="121"/>
      <c r="J664" s="120"/>
      <c r="K664" s="11"/>
    </row>
    <row r="665">
      <c r="A665" s="117"/>
      <c r="B665" s="117"/>
      <c r="C665" s="46"/>
      <c r="D665" s="46"/>
      <c r="E665" s="117"/>
      <c r="F665" s="117"/>
      <c r="G665" s="118"/>
      <c r="H665" s="8"/>
      <c r="I665" s="121"/>
      <c r="J665" s="120"/>
      <c r="K665" s="11"/>
    </row>
    <row r="666">
      <c r="A666" s="117"/>
      <c r="B666" s="117"/>
      <c r="C666" s="46"/>
      <c r="D666" s="46"/>
      <c r="E666" s="117"/>
      <c r="F666" s="117"/>
      <c r="G666" s="118"/>
      <c r="H666" s="8"/>
      <c r="I666" s="121"/>
      <c r="J666" s="120"/>
      <c r="K666" s="11"/>
    </row>
    <row r="667">
      <c r="A667" s="117"/>
      <c r="B667" s="117"/>
      <c r="C667" s="46"/>
      <c r="D667" s="46"/>
      <c r="E667" s="117"/>
      <c r="F667" s="117"/>
      <c r="G667" s="118"/>
      <c r="H667" s="8"/>
      <c r="I667" s="121"/>
      <c r="J667" s="120"/>
      <c r="K667" s="11"/>
    </row>
    <row r="668">
      <c r="A668" s="117"/>
      <c r="B668" s="117"/>
      <c r="C668" s="46"/>
      <c r="D668" s="46"/>
      <c r="E668" s="117"/>
      <c r="F668" s="117"/>
      <c r="G668" s="118"/>
      <c r="H668" s="8"/>
      <c r="I668" s="121"/>
      <c r="J668" s="120"/>
      <c r="K668" s="11"/>
    </row>
    <row r="669">
      <c r="A669" s="117"/>
      <c r="B669" s="117"/>
      <c r="C669" s="46"/>
      <c r="D669" s="46"/>
      <c r="E669" s="117"/>
      <c r="F669" s="117"/>
      <c r="G669" s="118"/>
      <c r="H669" s="8"/>
      <c r="I669" s="121"/>
      <c r="J669" s="120"/>
      <c r="K669" s="11"/>
    </row>
    <row r="670">
      <c r="A670" s="117"/>
      <c r="B670" s="117"/>
      <c r="C670" s="46"/>
      <c r="D670" s="46"/>
      <c r="E670" s="117"/>
      <c r="F670" s="117"/>
      <c r="G670" s="118"/>
      <c r="H670" s="8"/>
      <c r="I670" s="121"/>
      <c r="J670" s="120"/>
      <c r="K670" s="11"/>
    </row>
    <row r="671">
      <c r="A671" s="117"/>
      <c r="B671" s="117"/>
      <c r="C671" s="46"/>
      <c r="D671" s="46"/>
      <c r="E671" s="117"/>
      <c r="F671" s="117"/>
      <c r="G671" s="118"/>
      <c r="H671" s="8"/>
      <c r="I671" s="121"/>
      <c r="J671" s="120"/>
      <c r="K671" s="11"/>
    </row>
    <row r="672">
      <c r="A672" s="117"/>
      <c r="B672" s="117"/>
      <c r="C672" s="46"/>
      <c r="D672" s="46"/>
      <c r="E672" s="117"/>
      <c r="F672" s="117"/>
      <c r="G672" s="118"/>
      <c r="H672" s="8"/>
      <c r="I672" s="121"/>
      <c r="J672" s="120"/>
      <c r="K672" s="11"/>
    </row>
    <row r="673">
      <c r="A673" s="117"/>
      <c r="B673" s="117"/>
      <c r="C673" s="46"/>
      <c r="D673" s="46"/>
      <c r="E673" s="117"/>
      <c r="F673" s="117"/>
      <c r="G673" s="118"/>
      <c r="H673" s="8"/>
      <c r="I673" s="121"/>
      <c r="J673" s="120"/>
      <c r="K673" s="11"/>
    </row>
    <row r="674">
      <c r="A674" s="117"/>
      <c r="B674" s="117"/>
      <c r="C674" s="46"/>
      <c r="D674" s="46"/>
      <c r="E674" s="117"/>
      <c r="F674" s="117"/>
      <c r="G674" s="118"/>
      <c r="H674" s="8"/>
      <c r="I674" s="121"/>
      <c r="J674" s="120"/>
      <c r="K674" s="11"/>
    </row>
    <row r="675">
      <c r="A675" s="117"/>
      <c r="B675" s="117"/>
      <c r="C675" s="46"/>
      <c r="D675" s="46"/>
      <c r="E675" s="117"/>
      <c r="F675" s="117"/>
      <c r="G675" s="118"/>
      <c r="H675" s="8"/>
      <c r="I675" s="121"/>
      <c r="J675" s="120"/>
      <c r="K675" s="11"/>
    </row>
    <row r="676">
      <c r="A676" s="117"/>
      <c r="B676" s="117"/>
      <c r="C676" s="46"/>
      <c r="D676" s="46"/>
      <c r="E676" s="117"/>
      <c r="F676" s="117"/>
      <c r="G676" s="118"/>
      <c r="H676" s="8"/>
      <c r="I676" s="121"/>
      <c r="J676" s="120"/>
      <c r="K676" s="11"/>
    </row>
    <row r="677">
      <c r="A677" s="117"/>
      <c r="B677" s="117"/>
      <c r="C677" s="46"/>
      <c r="D677" s="46"/>
      <c r="E677" s="117"/>
      <c r="F677" s="117"/>
      <c r="G677" s="118"/>
      <c r="H677" s="8"/>
      <c r="I677" s="121"/>
      <c r="J677" s="120"/>
      <c r="K677" s="11"/>
    </row>
    <row r="678">
      <c r="A678" s="117"/>
      <c r="B678" s="117"/>
      <c r="C678" s="46"/>
      <c r="D678" s="46"/>
      <c r="E678" s="117"/>
      <c r="F678" s="117"/>
      <c r="G678" s="118"/>
      <c r="H678" s="8"/>
      <c r="I678" s="121"/>
      <c r="J678" s="120"/>
      <c r="K678" s="11"/>
    </row>
    <row r="679">
      <c r="A679" s="117"/>
      <c r="B679" s="117"/>
      <c r="C679" s="46"/>
      <c r="D679" s="46"/>
      <c r="E679" s="117"/>
      <c r="F679" s="117"/>
      <c r="G679" s="118"/>
      <c r="H679" s="8"/>
      <c r="I679" s="121"/>
      <c r="J679" s="120"/>
      <c r="K679" s="11"/>
    </row>
    <row r="680">
      <c r="A680" s="117"/>
      <c r="B680" s="117"/>
      <c r="C680" s="46"/>
      <c r="D680" s="46"/>
      <c r="E680" s="117"/>
      <c r="F680" s="117"/>
      <c r="G680" s="118"/>
      <c r="H680" s="8"/>
      <c r="I680" s="121"/>
      <c r="J680" s="120"/>
      <c r="K680" s="11"/>
    </row>
    <row r="681">
      <c r="A681" s="117"/>
      <c r="B681" s="117"/>
      <c r="C681" s="46"/>
      <c r="D681" s="46"/>
      <c r="E681" s="117"/>
      <c r="F681" s="117"/>
      <c r="G681" s="118"/>
      <c r="H681" s="8"/>
      <c r="I681" s="121"/>
      <c r="J681" s="120"/>
      <c r="K681" s="11"/>
    </row>
    <row r="682">
      <c r="A682" s="117"/>
      <c r="B682" s="117"/>
      <c r="C682" s="46"/>
      <c r="D682" s="46"/>
      <c r="E682" s="117"/>
      <c r="F682" s="117"/>
      <c r="G682" s="118"/>
      <c r="H682" s="8"/>
      <c r="I682" s="121"/>
      <c r="J682" s="120"/>
      <c r="K682" s="11"/>
    </row>
    <row r="683">
      <c r="A683" s="117"/>
      <c r="B683" s="117"/>
      <c r="C683" s="46"/>
      <c r="D683" s="46"/>
      <c r="E683" s="117"/>
      <c r="F683" s="117"/>
      <c r="G683" s="118"/>
      <c r="H683" s="8"/>
      <c r="I683" s="121"/>
      <c r="J683" s="120"/>
      <c r="K683" s="11"/>
    </row>
    <row r="684">
      <c r="A684" s="117"/>
      <c r="B684" s="117"/>
      <c r="C684" s="46"/>
      <c r="D684" s="46"/>
      <c r="E684" s="117"/>
      <c r="F684" s="117"/>
      <c r="G684" s="118"/>
      <c r="H684" s="8"/>
      <c r="I684" s="121"/>
      <c r="J684" s="120"/>
      <c r="K684" s="11"/>
    </row>
    <row r="685">
      <c r="A685" s="117"/>
      <c r="B685" s="117"/>
      <c r="C685" s="46"/>
      <c r="D685" s="46"/>
      <c r="E685" s="117"/>
      <c r="F685" s="117"/>
      <c r="G685" s="118"/>
      <c r="H685" s="8"/>
      <c r="I685" s="121"/>
      <c r="J685" s="120"/>
      <c r="K685" s="11"/>
    </row>
    <row r="686">
      <c r="A686" s="117"/>
      <c r="B686" s="117"/>
      <c r="C686" s="46"/>
      <c r="D686" s="46"/>
      <c r="E686" s="117"/>
      <c r="F686" s="117"/>
      <c r="G686" s="118"/>
      <c r="H686" s="8"/>
      <c r="I686" s="121"/>
      <c r="J686" s="120"/>
      <c r="K686" s="11"/>
    </row>
    <row r="687">
      <c r="A687" s="117"/>
      <c r="B687" s="117"/>
      <c r="C687" s="46"/>
      <c r="D687" s="46"/>
      <c r="E687" s="117"/>
      <c r="F687" s="117"/>
      <c r="G687" s="118"/>
      <c r="H687" s="8"/>
      <c r="I687" s="121"/>
      <c r="J687" s="120"/>
      <c r="K687" s="11"/>
    </row>
    <row r="688">
      <c r="A688" s="117"/>
      <c r="B688" s="117"/>
      <c r="C688" s="46"/>
      <c r="D688" s="46"/>
      <c r="E688" s="117"/>
      <c r="F688" s="117"/>
      <c r="G688" s="118"/>
      <c r="H688" s="8"/>
      <c r="I688" s="121"/>
      <c r="J688" s="120"/>
      <c r="K688" s="11"/>
    </row>
    <row r="689">
      <c r="A689" s="117"/>
      <c r="B689" s="117"/>
      <c r="C689" s="46"/>
      <c r="D689" s="46"/>
      <c r="E689" s="117"/>
      <c r="F689" s="117"/>
      <c r="G689" s="118"/>
      <c r="H689" s="8"/>
      <c r="I689" s="121"/>
      <c r="J689" s="120"/>
      <c r="K689" s="11"/>
    </row>
    <row r="690">
      <c r="A690" s="117"/>
      <c r="B690" s="117"/>
      <c r="C690" s="46"/>
      <c r="D690" s="46"/>
      <c r="E690" s="117"/>
      <c r="F690" s="117"/>
      <c r="G690" s="118"/>
      <c r="H690" s="8"/>
      <c r="I690" s="121"/>
      <c r="J690" s="120"/>
      <c r="K690" s="11"/>
    </row>
    <row r="691">
      <c r="A691" s="117"/>
      <c r="B691" s="117"/>
      <c r="C691" s="46"/>
      <c r="D691" s="46"/>
      <c r="E691" s="117"/>
      <c r="F691" s="117"/>
      <c r="G691" s="118"/>
      <c r="H691" s="8"/>
      <c r="I691" s="121"/>
      <c r="J691" s="120"/>
      <c r="K691" s="11"/>
    </row>
    <row r="692">
      <c r="A692" s="117"/>
      <c r="B692" s="117"/>
      <c r="C692" s="46"/>
      <c r="D692" s="46"/>
      <c r="E692" s="117"/>
      <c r="F692" s="117"/>
      <c r="G692" s="118"/>
      <c r="H692" s="8"/>
      <c r="I692" s="121"/>
      <c r="J692" s="120"/>
      <c r="K692" s="11"/>
    </row>
    <row r="693">
      <c r="A693" s="117"/>
      <c r="B693" s="117"/>
      <c r="C693" s="46"/>
      <c r="D693" s="46"/>
      <c r="E693" s="117"/>
      <c r="F693" s="117"/>
      <c r="G693" s="118"/>
      <c r="H693" s="8"/>
      <c r="I693" s="121"/>
      <c r="J693" s="120"/>
      <c r="K693" s="11"/>
    </row>
    <row r="694">
      <c r="A694" s="117"/>
      <c r="B694" s="117"/>
      <c r="C694" s="46"/>
      <c r="D694" s="46"/>
      <c r="E694" s="117"/>
      <c r="F694" s="117"/>
      <c r="G694" s="118"/>
      <c r="H694" s="8"/>
      <c r="I694" s="121"/>
      <c r="J694" s="120"/>
      <c r="K694" s="11"/>
    </row>
    <row r="695">
      <c r="A695" s="117"/>
      <c r="B695" s="117"/>
      <c r="C695" s="46"/>
      <c r="D695" s="46"/>
      <c r="E695" s="117"/>
      <c r="F695" s="117"/>
      <c r="G695" s="118"/>
      <c r="H695" s="8"/>
      <c r="I695" s="121"/>
      <c r="J695" s="120"/>
      <c r="K695" s="11"/>
    </row>
    <row r="696">
      <c r="A696" s="117"/>
      <c r="B696" s="117"/>
      <c r="C696" s="46"/>
      <c r="D696" s="46"/>
      <c r="E696" s="117"/>
      <c r="F696" s="117"/>
      <c r="G696" s="118"/>
      <c r="H696" s="8"/>
      <c r="I696" s="121"/>
      <c r="J696" s="120"/>
      <c r="K696" s="11"/>
    </row>
    <row r="697">
      <c r="A697" s="117"/>
      <c r="B697" s="117"/>
      <c r="C697" s="46"/>
      <c r="D697" s="46"/>
      <c r="E697" s="117"/>
      <c r="F697" s="117"/>
      <c r="G697" s="118"/>
      <c r="H697" s="8"/>
      <c r="I697" s="121"/>
      <c r="J697" s="120"/>
      <c r="K697" s="11"/>
    </row>
    <row r="698">
      <c r="A698" s="117"/>
      <c r="B698" s="117"/>
      <c r="C698" s="46"/>
      <c r="D698" s="46"/>
      <c r="E698" s="117"/>
      <c r="F698" s="117"/>
      <c r="G698" s="118"/>
      <c r="H698" s="8"/>
      <c r="I698" s="121"/>
      <c r="J698" s="120"/>
      <c r="K698" s="11"/>
    </row>
    <row r="699">
      <c r="A699" s="117"/>
      <c r="B699" s="117"/>
      <c r="C699" s="46"/>
      <c r="D699" s="46"/>
      <c r="E699" s="117"/>
      <c r="F699" s="117"/>
      <c r="G699" s="118"/>
      <c r="H699" s="8"/>
      <c r="I699" s="121"/>
      <c r="J699" s="120"/>
      <c r="K699" s="11"/>
    </row>
    <row r="700">
      <c r="A700" s="117"/>
      <c r="B700" s="117"/>
      <c r="C700" s="46"/>
      <c r="D700" s="46"/>
      <c r="E700" s="117"/>
      <c r="F700" s="117"/>
      <c r="G700" s="118"/>
      <c r="H700" s="8"/>
      <c r="I700" s="121"/>
      <c r="J700" s="120"/>
      <c r="K700" s="11"/>
    </row>
    <row r="701">
      <c r="A701" s="117"/>
      <c r="B701" s="117"/>
      <c r="C701" s="46"/>
      <c r="D701" s="46"/>
      <c r="E701" s="117"/>
      <c r="F701" s="117"/>
      <c r="G701" s="118"/>
      <c r="H701" s="8"/>
      <c r="I701" s="121"/>
      <c r="J701" s="120"/>
      <c r="K701" s="11"/>
    </row>
    <row r="702">
      <c r="A702" s="117"/>
      <c r="B702" s="117"/>
      <c r="C702" s="46"/>
      <c r="D702" s="46"/>
      <c r="E702" s="117"/>
      <c r="F702" s="117"/>
      <c r="G702" s="118"/>
      <c r="H702" s="8"/>
      <c r="I702" s="121"/>
      <c r="J702" s="120"/>
      <c r="K702" s="11"/>
    </row>
    <row r="703">
      <c r="A703" s="117"/>
      <c r="B703" s="117"/>
      <c r="C703" s="46"/>
      <c r="D703" s="46"/>
      <c r="E703" s="117"/>
      <c r="F703" s="117"/>
      <c r="G703" s="118"/>
      <c r="H703" s="8"/>
      <c r="I703" s="121"/>
      <c r="J703" s="120"/>
      <c r="K703" s="11"/>
    </row>
    <row r="704">
      <c r="A704" s="117"/>
      <c r="B704" s="117"/>
      <c r="C704" s="46"/>
      <c r="D704" s="46"/>
      <c r="E704" s="117"/>
      <c r="F704" s="117"/>
      <c r="G704" s="118"/>
      <c r="H704" s="8"/>
      <c r="I704" s="121"/>
      <c r="J704" s="120"/>
      <c r="K704" s="11"/>
    </row>
    <row r="705">
      <c r="A705" s="117"/>
      <c r="B705" s="117"/>
      <c r="C705" s="46"/>
      <c r="D705" s="46"/>
      <c r="E705" s="117"/>
      <c r="F705" s="117"/>
      <c r="G705" s="118"/>
      <c r="H705" s="8"/>
      <c r="I705" s="121"/>
      <c r="J705" s="120"/>
      <c r="K705" s="11"/>
    </row>
    <row r="706">
      <c r="A706" s="117"/>
      <c r="B706" s="117"/>
      <c r="C706" s="46"/>
      <c r="D706" s="46"/>
      <c r="E706" s="117"/>
      <c r="F706" s="117"/>
      <c r="G706" s="118"/>
      <c r="H706" s="8"/>
      <c r="I706" s="121"/>
      <c r="J706" s="120"/>
      <c r="K706" s="11"/>
    </row>
    <row r="707">
      <c r="A707" s="117"/>
      <c r="B707" s="117"/>
      <c r="C707" s="46"/>
      <c r="D707" s="46"/>
      <c r="E707" s="117"/>
      <c r="F707" s="117"/>
      <c r="G707" s="118"/>
      <c r="H707" s="8"/>
      <c r="I707" s="121"/>
      <c r="J707" s="120"/>
      <c r="K707" s="11"/>
    </row>
    <row r="708">
      <c r="A708" s="117"/>
      <c r="B708" s="117"/>
      <c r="C708" s="46"/>
      <c r="D708" s="46"/>
      <c r="E708" s="117"/>
      <c r="F708" s="117"/>
      <c r="G708" s="118"/>
      <c r="H708" s="8"/>
      <c r="I708" s="121"/>
      <c r="J708" s="120"/>
      <c r="K708" s="11"/>
    </row>
    <row r="709">
      <c r="A709" s="117"/>
      <c r="B709" s="117"/>
      <c r="C709" s="46"/>
      <c r="D709" s="46"/>
      <c r="E709" s="117"/>
      <c r="F709" s="117"/>
      <c r="G709" s="118"/>
      <c r="H709" s="8"/>
      <c r="I709" s="121"/>
      <c r="J709" s="120"/>
      <c r="K709" s="11"/>
    </row>
    <row r="710">
      <c r="A710" s="117"/>
      <c r="B710" s="117"/>
      <c r="C710" s="46"/>
      <c r="D710" s="46"/>
      <c r="E710" s="117"/>
      <c r="F710" s="117"/>
      <c r="G710" s="118"/>
      <c r="H710" s="8"/>
      <c r="I710" s="121"/>
      <c r="J710" s="120"/>
      <c r="K710" s="11"/>
    </row>
    <row r="711">
      <c r="A711" s="117"/>
      <c r="B711" s="117"/>
      <c r="C711" s="46"/>
      <c r="D711" s="46"/>
      <c r="E711" s="117"/>
      <c r="F711" s="117"/>
      <c r="G711" s="118"/>
      <c r="H711" s="8"/>
      <c r="I711" s="121"/>
      <c r="J711" s="120"/>
      <c r="K711" s="11"/>
    </row>
    <row r="712">
      <c r="A712" s="117"/>
      <c r="B712" s="117"/>
      <c r="C712" s="46"/>
      <c r="D712" s="46"/>
      <c r="E712" s="117"/>
      <c r="F712" s="117"/>
      <c r="G712" s="118"/>
      <c r="H712" s="8"/>
      <c r="I712" s="121"/>
      <c r="J712" s="120"/>
      <c r="K712" s="11"/>
    </row>
    <row r="713">
      <c r="A713" s="117"/>
      <c r="B713" s="117"/>
      <c r="C713" s="46"/>
      <c r="D713" s="46"/>
      <c r="E713" s="117"/>
      <c r="F713" s="117"/>
      <c r="G713" s="118"/>
      <c r="H713" s="8"/>
      <c r="I713" s="121"/>
      <c r="J713" s="120"/>
      <c r="K713" s="11"/>
    </row>
    <row r="714">
      <c r="A714" s="117"/>
      <c r="B714" s="117"/>
      <c r="C714" s="46"/>
      <c r="D714" s="46"/>
      <c r="E714" s="117"/>
      <c r="F714" s="117"/>
      <c r="G714" s="118"/>
      <c r="H714" s="8"/>
      <c r="I714" s="121"/>
      <c r="J714" s="120"/>
      <c r="K714" s="11"/>
    </row>
    <row r="715">
      <c r="A715" s="117"/>
      <c r="B715" s="117"/>
      <c r="C715" s="46"/>
      <c r="D715" s="46"/>
      <c r="E715" s="117"/>
      <c r="F715" s="117"/>
      <c r="G715" s="118"/>
      <c r="H715" s="8"/>
      <c r="I715" s="121"/>
      <c r="J715" s="120"/>
      <c r="K715" s="11"/>
    </row>
    <row r="716">
      <c r="A716" s="117"/>
      <c r="B716" s="117"/>
      <c r="C716" s="46"/>
      <c r="D716" s="46"/>
      <c r="E716" s="117"/>
      <c r="F716" s="117"/>
      <c r="G716" s="118"/>
      <c r="H716" s="8"/>
      <c r="I716" s="121"/>
      <c r="J716" s="120"/>
      <c r="K716" s="11"/>
    </row>
    <row r="717">
      <c r="A717" s="117"/>
      <c r="B717" s="117"/>
      <c r="C717" s="46"/>
      <c r="D717" s="46"/>
      <c r="E717" s="117"/>
      <c r="F717" s="117"/>
      <c r="G717" s="118"/>
      <c r="H717" s="8"/>
      <c r="I717" s="121"/>
      <c r="J717" s="120"/>
      <c r="K717" s="11"/>
    </row>
    <row r="718">
      <c r="A718" s="117"/>
      <c r="B718" s="117"/>
      <c r="C718" s="46"/>
      <c r="D718" s="46"/>
      <c r="E718" s="117"/>
      <c r="F718" s="117"/>
      <c r="G718" s="118"/>
      <c r="H718" s="8"/>
      <c r="I718" s="121"/>
      <c r="J718" s="120"/>
      <c r="K718" s="11"/>
    </row>
    <row r="719">
      <c r="A719" s="117"/>
      <c r="B719" s="117"/>
      <c r="C719" s="46"/>
      <c r="D719" s="46"/>
      <c r="E719" s="117"/>
      <c r="F719" s="117"/>
      <c r="G719" s="118"/>
      <c r="H719" s="8"/>
      <c r="I719" s="121"/>
      <c r="J719" s="120"/>
      <c r="K719" s="11"/>
    </row>
    <row r="720">
      <c r="A720" s="117"/>
      <c r="B720" s="117"/>
      <c r="C720" s="46"/>
      <c r="D720" s="46"/>
      <c r="E720" s="117"/>
      <c r="F720" s="117"/>
      <c r="G720" s="118"/>
      <c r="H720" s="8"/>
      <c r="I720" s="121"/>
      <c r="J720" s="120"/>
      <c r="K720" s="11"/>
    </row>
    <row r="721">
      <c r="A721" s="117"/>
      <c r="B721" s="117"/>
      <c r="C721" s="46"/>
      <c r="D721" s="46"/>
      <c r="E721" s="117"/>
      <c r="F721" s="117"/>
      <c r="G721" s="118"/>
      <c r="H721" s="8"/>
      <c r="I721" s="121"/>
      <c r="J721" s="120"/>
      <c r="K721" s="11"/>
    </row>
    <row r="722">
      <c r="A722" s="117"/>
      <c r="B722" s="117"/>
      <c r="C722" s="46"/>
      <c r="D722" s="46"/>
      <c r="E722" s="117"/>
      <c r="F722" s="117"/>
      <c r="G722" s="118"/>
      <c r="H722" s="8"/>
      <c r="I722" s="121"/>
      <c r="J722" s="120"/>
      <c r="K722" s="11"/>
    </row>
    <row r="723">
      <c r="A723" s="117"/>
      <c r="B723" s="117"/>
      <c r="C723" s="46"/>
      <c r="D723" s="46"/>
      <c r="E723" s="117"/>
      <c r="F723" s="117"/>
      <c r="G723" s="118"/>
      <c r="H723" s="8"/>
      <c r="I723" s="121"/>
      <c r="J723" s="120"/>
      <c r="K723" s="11"/>
    </row>
    <row r="724">
      <c r="A724" s="117"/>
      <c r="B724" s="117"/>
      <c r="C724" s="46"/>
      <c r="D724" s="46"/>
      <c r="E724" s="117"/>
      <c r="F724" s="117"/>
      <c r="G724" s="118"/>
      <c r="H724" s="8"/>
      <c r="I724" s="121"/>
      <c r="J724" s="120"/>
      <c r="K724" s="11"/>
    </row>
    <row r="725">
      <c r="A725" s="117"/>
      <c r="B725" s="117"/>
      <c r="C725" s="46"/>
      <c r="D725" s="46"/>
      <c r="E725" s="117"/>
      <c r="F725" s="117"/>
      <c r="G725" s="118"/>
      <c r="H725" s="8"/>
      <c r="I725" s="121"/>
      <c r="J725" s="120"/>
      <c r="K725" s="11"/>
    </row>
    <row r="726">
      <c r="A726" s="117"/>
      <c r="B726" s="117"/>
      <c r="C726" s="46"/>
      <c r="D726" s="46"/>
      <c r="E726" s="117"/>
      <c r="F726" s="117"/>
      <c r="G726" s="118"/>
      <c r="H726" s="8"/>
      <c r="I726" s="121"/>
      <c r="J726" s="120"/>
      <c r="K726" s="11"/>
    </row>
    <row r="727">
      <c r="A727" s="117"/>
      <c r="B727" s="117"/>
      <c r="C727" s="46"/>
      <c r="D727" s="46"/>
      <c r="E727" s="117"/>
      <c r="F727" s="117"/>
      <c r="G727" s="118"/>
      <c r="H727" s="8"/>
      <c r="I727" s="121"/>
      <c r="J727" s="120"/>
      <c r="K727" s="11"/>
    </row>
    <row r="728">
      <c r="A728" s="117"/>
      <c r="B728" s="117"/>
      <c r="C728" s="46"/>
      <c r="D728" s="46"/>
      <c r="E728" s="117"/>
      <c r="F728" s="117"/>
      <c r="G728" s="118"/>
      <c r="H728" s="8"/>
      <c r="I728" s="121"/>
      <c r="J728" s="120"/>
      <c r="K728" s="11"/>
    </row>
    <row r="729">
      <c r="A729" s="117"/>
      <c r="B729" s="117"/>
      <c r="C729" s="46"/>
      <c r="D729" s="46"/>
      <c r="E729" s="117"/>
      <c r="F729" s="117"/>
      <c r="G729" s="118"/>
      <c r="H729" s="8"/>
      <c r="I729" s="121"/>
      <c r="J729" s="120"/>
      <c r="K729" s="11"/>
    </row>
    <row r="730">
      <c r="A730" s="117"/>
      <c r="B730" s="117"/>
      <c r="C730" s="46"/>
      <c r="D730" s="46"/>
      <c r="E730" s="117"/>
      <c r="F730" s="117"/>
      <c r="G730" s="118"/>
      <c r="H730" s="8"/>
      <c r="I730" s="121"/>
      <c r="J730" s="120"/>
      <c r="K730" s="11"/>
    </row>
    <row r="731">
      <c r="A731" s="117"/>
      <c r="B731" s="117"/>
      <c r="C731" s="46"/>
      <c r="D731" s="46"/>
      <c r="E731" s="117"/>
      <c r="F731" s="117"/>
      <c r="G731" s="118"/>
      <c r="H731" s="8"/>
      <c r="I731" s="121"/>
      <c r="J731" s="120"/>
      <c r="K731" s="11"/>
    </row>
    <row r="732">
      <c r="A732" s="117"/>
      <c r="B732" s="117"/>
      <c r="C732" s="46"/>
      <c r="D732" s="46"/>
      <c r="E732" s="117"/>
      <c r="F732" s="117"/>
      <c r="G732" s="118"/>
      <c r="H732" s="8"/>
      <c r="I732" s="121"/>
      <c r="J732" s="120"/>
      <c r="K732" s="11"/>
    </row>
    <row r="733">
      <c r="A733" s="117"/>
      <c r="B733" s="117"/>
      <c r="C733" s="46"/>
      <c r="D733" s="46"/>
      <c r="E733" s="117"/>
      <c r="F733" s="117"/>
      <c r="G733" s="118"/>
      <c r="H733" s="8"/>
      <c r="I733" s="121"/>
      <c r="J733" s="120"/>
      <c r="K733" s="11"/>
    </row>
    <row r="734">
      <c r="A734" s="117"/>
      <c r="B734" s="117"/>
      <c r="C734" s="46"/>
      <c r="D734" s="46"/>
      <c r="E734" s="117"/>
      <c r="F734" s="117"/>
      <c r="G734" s="118"/>
      <c r="H734" s="8"/>
      <c r="I734" s="121"/>
      <c r="J734" s="120"/>
      <c r="K734" s="11"/>
    </row>
    <row r="735">
      <c r="A735" s="117"/>
      <c r="B735" s="117"/>
      <c r="C735" s="46"/>
      <c r="D735" s="46"/>
      <c r="E735" s="117"/>
      <c r="F735" s="117"/>
      <c r="G735" s="118"/>
      <c r="H735" s="8"/>
      <c r="I735" s="121"/>
      <c r="J735" s="120"/>
      <c r="K735" s="11"/>
    </row>
    <row r="736">
      <c r="A736" s="117"/>
      <c r="B736" s="117"/>
      <c r="C736" s="46"/>
      <c r="D736" s="46"/>
      <c r="E736" s="117"/>
      <c r="F736" s="117"/>
      <c r="G736" s="118"/>
      <c r="H736" s="8"/>
      <c r="I736" s="121"/>
      <c r="J736" s="120"/>
      <c r="K736" s="11"/>
    </row>
    <row r="737">
      <c r="A737" s="117"/>
      <c r="B737" s="117"/>
      <c r="C737" s="46"/>
      <c r="D737" s="46"/>
      <c r="E737" s="117"/>
      <c r="F737" s="117"/>
      <c r="G737" s="118"/>
      <c r="H737" s="8"/>
      <c r="I737" s="121"/>
      <c r="J737" s="120"/>
      <c r="K737" s="11"/>
    </row>
    <row r="738">
      <c r="A738" s="117"/>
      <c r="B738" s="117"/>
      <c r="C738" s="46"/>
      <c r="D738" s="46"/>
      <c r="E738" s="117"/>
      <c r="F738" s="117"/>
      <c r="G738" s="118"/>
      <c r="H738" s="8"/>
      <c r="I738" s="121"/>
      <c r="J738" s="120"/>
      <c r="K738" s="11"/>
    </row>
    <row r="739">
      <c r="A739" s="117"/>
      <c r="B739" s="117"/>
      <c r="C739" s="46"/>
      <c r="D739" s="46"/>
      <c r="E739" s="117"/>
      <c r="F739" s="117"/>
      <c r="G739" s="118"/>
      <c r="H739" s="8"/>
      <c r="I739" s="121"/>
      <c r="J739" s="120"/>
      <c r="K739" s="11"/>
    </row>
    <row r="740">
      <c r="A740" s="117"/>
      <c r="B740" s="117"/>
      <c r="C740" s="46"/>
      <c r="D740" s="46"/>
      <c r="E740" s="117"/>
      <c r="F740" s="117"/>
      <c r="G740" s="118"/>
      <c r="H740" s="8"/>
      <c r="I740" s="121"/>
      <c r="J740" s="120"/>
      <c r="K740" s="11"/>
    </row>
    <row r="741">
      <c r="A741" s="117"/>
      <c r="B741" s="117"/>
      <c r="C741" s="46"/>
      <c r="D741" s="46"/>
      <c r="E741" s="117"/>
      <c r="F741" s="117"/>
      <c r="G741" s="118"/>
      <c r="H741" s="8"/>
      <c r="I741" s="121"/>
      <c r="J741" s="120"/>
      <c r="K741" s="11"/>
    </row>
    <row r="742">
      <c r="A742" s="117"/>
      <c r="B742" s="117"/>
      <c r="C742" s="46"/>
      <c r="D742" s="46"/>
      <c r="E742" s="117"/>
      <c r="F742" s="117"/>
      <c r="G742" s="118"/>
      <c r="H742" s="8"/>
      <c r="I742" s="121"/>
      <c r="J742" s="120"/>
      <c r="K742" s="11"/>
    </row>
    <row r="743">
      <c r="A743" s="117"/>
      <c r="B743" s="117"/>
      <c r="C743" s="46"/>
      <c r="D743" s="46"/>
      <c r="E743" s="117"/>
      <c r="F743" s="117"/>
      <c r="G743" s="118"/>
      <c r="H743" s="8"/>
      <c r="I743" s="121"/>
      <c r="J743" s="120"/>
      <c r="K743" s="11"/>
    </row>
    <row r="744">
      <c r="A744" s="117"/>
      <c r="B744" s="117"/>
      <c r="C744" s="46"/>
      <c r="D744" s="46"/>
      <c r="E744" s="117"/>
      <c r="F744" s="117"/>
      <c r="G744" s="118"/>
      <c r="H744" s="8"/>
      <c r="I744" s="121"/>
      <c r="J744" s="120"/>
      <c r="K744" s="11"/>
    </row>
    <row r="745">
      <c r="A745" s="117"/>
      <c r="B745" s="117"/>
      <c r="C745" s="46"/>
      <c r="D745" s="46"/>
      <c r="E745" s="117"/>
      <c r="F745" s="117"/>
      <c r="G745" s="118"/>
      <c r="H745" s="8"/>
      <c r="I745" s="121"/>
      <c r="J745" s="120"/>
      <c r="K745" s="11"/>
    </row>
    <row r="746">
      <c r="A746" s="117"/>
      <c r="B746" s="117"/>
      <c r="C746" s="46"/>
      <c r="D746" s="46"/>
      <c r="E746" s="117"/>
      <c r="F746" s="117"/>
      <c r="G746" s="118"/>
      <c r="H746" s="8"/>
      <c r="I746" s="121"/>
      <c r="J746" s="120"/>
      <c r="K746" s="11"/>
    </row>
    <row r="747">
      <c r="A747" s="117"/>
      <c r="B747" s="117"/>
      <c r="C747" s="46"/>
      <c r="D747" s="46"/>
      <c r="E747" s="117"/>
      <c r="F747" s="117"/>
      <c r="G747" s="118"/>
      <c r="H747" s="8"/>
      <c r="I747" s="121"/>
      <c r="J747" s="120"/>
      <c r="K747" s="11"/>
    </row>
    <row r="748">
      <c r="A748" s="117"/>
      <c r="B748" s="117"/>
      <c r="C748" s="46"/>
      <c r="D748" s="46"/>
      <c r="E748" s="117"/>
      <c r="F748" s="117"/>
      <c r="G748" s="118"/>
      <c r="H748" s="8"/>
      <c r="I748" s="121"/>
      <c r="J748" s="120"/>
      <c r="K748" s="11"/>
    </row>
    <row r="749">
      <c r="A749" s="117"/>
      <c r="B749" s="117"/>
      <c r="C749" s="46"/>
      <c r="D749" s="46"/>
      <c r="E749" s="117"/>
      <c r="F749" s="117"/>
      <c r="G749" s="118"/>
      <c r="H749" s="8"/>
      <c r="I749" s="121"/>
      <c r="J749" s="120"/>
      <c r="K749" s="11"/>
    </row>
    <row r="750">
      <c r="A750" s="117"/>
      <c r="B750" s="117"/>
      <c r="C750" s="46"/>
      <c r="D750" s="46"/>
      <c r="E750" s="117"/>
      <c r="F750" s="117"/>
      <c r="G750" s="118"/>
      <c r="H750" s="8"/>
      <c r="I750" s="121"/>
      <c r="J750" s="120"/>
      <c r="K750" s="11"/>
    </row>
    <row r="751">
      <c r="A751" s="117"/>
      <c r="B751" s="117"/>
      <c r="C751" s="46"/>
      <c r="D751" s="46"/>
      <c r="E751" s="117"/>
      <c r="F751" s="117"/>
      <c r="G751" s="118"/>
      <c r="H751" s="8"/>
      <c r="I751" s="121"/>
      <c r="J751" s="120"/>
      <c r="K751" s="11"/>
    </row>
    <row r="752">
      <c r="A752" s="117"/>
      <c r="B752" s="117"/>
      <c r="C752" s="46"/>
      <c r="D752" s="46"/>
      <c r="E752" s="117"/>
      <c r="F752" s="117"/>
      <c r="G752" s="118"/>
      <c r="H752" s="8"/>
      <c r="I752" s="121"/>
      <c r="J752" s="120"/>
      <c r="K752" s="11"/>
    </row>
    <row r="753">
      <c r="A753" s="117"/>
      <c r="B753" s="117"/>
      <c r="C753" s="46"/>
      <c r="D753" s="46"/>
      <c r="E753" s="117"/>
      <c r="F753" s="117"/>
      <c r="G753" s="118"/>
      <c r="H753" s="8"/>
      <c r="I753" s="121"/>
      <c r="J753" s="120"/>
      <c r="K753" s="11"/>
    </row>
    <row r="754">
      <c r="A754" s="117"/>
      <c r="B754" s="117"/>
      <c r="C754" s="46"/>
      <c r="D754" s="46"/>
      <c r="E754" s="117"/>
      <c r="F754" s="117"/>
      <c r="G754" s="118"/>
      <c r="H754" s="8"/>
      <c r="I754" s="121"/>
      <c r="J754" s="120"/>
      <c r="K754" s="11"/>
    </row>
    <row r="755">
      <c r="A755" s="117"/>
      <c r="B755" s="117"/>
      <c r="C755" s="46"/>
      <c r="D755" s="46"/>
      <c r="E755" s="117"/>
      <c r="F755" s="117"/>
      <c r="G755" s="118"/>
      <c r="H755" s="8"/>
      <c r="I755" s="121"/>
      <c r="J755" s="120"/>
      <c r="K755" s="11"/>
    </row>
    <row r="756">
      <c r="A756" s="117"/>
      <c r="B756" s="117"/>
      <c r="C756" s="46"/>
      <c r="D756" s="46"/>
      <c r="E756" s="117"/>
      <c r="F756" s="117"/>
      <c r="G756" s="118"/>
      <c r="H756" s="8"/>
      <c r="I756" s="121"/>
      <c r="J756" s="120"/>
      <c r="K756" s="11"/>
    </row>
    <row r="757">
      <c r="A757" s="117"/>
      <c r="B757" s="117"/>
      <c r="C757" s="46"/>
      <c r="D757" s="46"/>
      <c r="E757" s="117"/>
      <c r="F757" s="117"/>
      <c r="G757" s="118"/>
      <c r="H757" s="8"/>
      <c r="I757" s="121"/>
      <c r="J757" s="120"/>
      <c r="K757" s="11"/>
    </row>
    <row r="758">
      <c r="A758" s="117"/>
      <c r="B758" s="117"/>
      <c r="C758" s="46"/>
      <c r="D758" s="46"/>
      <c r="E758" s="117"/>
      <c r="F758" s="117"/>
      <c r="G758" s="118"/>
      <c r="H758" s="8"/>
      <c r="I758" s="121"/>
      <c r="J758" s="120"/>
      <c r="K758" s="11"/>
    </row>
    <row r="759">
      <c r="A759" s="117"/>
      <c r="B759" s="117"/>
      <c r="C759" s="46"/>
      <c r="D759" s="46"/>
      <c r="E759" s="117"/>
      <c r="F759" s="117"/>
      <c r="G759" s="118"/>
      <c r="H759" s="8"/>
      <c r="I759" s="121"/>
      <c r="J759" s="120"/>
      <c r="K759" s="11"/>
    </row>
    <row r="760">
      <c r="A760" s="117"/>
      <c r="B760" s="117"/>
      <c r="C760" s="46"/>
      <c r="D760" s="46"/>
      <c r="E760" s="117"/>
      <c r="F760" s="117"/>
      <c r="G760" s="118"/>
      <c r="H760" s="8"/>
      <c r="I760" s="121"/>
      <c r="J760" s="120"/>
      <c r="K760" s="11"/>
    </row>
    <row r="761">
      <c r="A761" s="117"/>
      <c r="B761" s="117"/>
      <c r="C761" s="46"/>
      <c r="D761" s="46"/>
      <c r="E761" s="117"/>
      <c r="F761" s="117"/>
      <c r="G761" s="118"/>
      <c r="H761" s="8"/>
      <c r="I761" s="121"/>
      <c r="J761" s="120"/>
      <c r="K761" s="11"/>
    </row>
    <row r="762">
      <c r="A762" s="117"/>
      <c r="B762" s="117"/>
      <c r="C762" s="46"/>
      <c r="D762" s="46"/>
      <c r="E762" s="117"/>
      <c r="F762" s="117"/>
      <c r="G762" s="118"/>
      <c r="H762" s="8"/>
      <c r="I762" s="121"/>
      <c r="J762" s="120"/>
      <c r="K762" s="11"/>
    </row>
    <row r="763">
      <c r="A763" s="117"/>
      <c r="B763" s="117"/>
      <c r="C763" s="46"/>
      <c r="D763" s="46"/>
      <c r="E763" s="117"/>
      <c r="F763" s="117"/>
      <c r="G763" s="118"/>
      <c r="H763" s="8"/>
      <c r="I763" s="121"/>
      <c r="J763" s="120"/>
      <c r="K763" s="11"/>
    </row>
    <row r="764">
      <c r="A764" s="117"/>
      <c r="B764" s="117"/>
      <c r="C764" s="46"/>
      <c r="D764" s="46"/>
      <c r="E764" s="117"/>
      <c r="F764" s="117"/>
      <c r="G764" s="118"/>
      <c r="H764" s="8"/>
      <c r="I764" s="121"/>
      <c r="J764" s="120"/>
      <c r="K764" s="11"/>
    </row>
    <row r="765">
      <c r="A765" s="117"/>
      <c r="B765" s="117"/>
      <c r="C765" s="46"/>
      <c r="D765" s="46"/>
      <c r="E765" s="117"/>
      <c r="F765" s="117"/>
      <c r="G765" s="118"/>
      <c r="H765" s="8"/>
      <c r="I765" s="121"/>
      <c r="J765" s="120"/>
      <c r="K765" s="11"/>
    </row>
    <row r="766">
      <c r="A766" s="117"/>
      <c r="B766" s="117"/>
      <c r="C766" s="46"/>
      <c r="D766" s="46"/>
      <c r="E766" s="117"/>
      <c r="F766" s="117"/>
      <c r="G766" s="118"/>
      <c r="H766" s="8"/>
      <c r="I766" s="121"/>
      <c r="J766" s="120"/>
      <c r="K766" s="11"/>
    </row>
    <row r="767">
      <c r="A767" s="117"/>
      <c r="B767" s="117"/>
      <c r="C767" s="46"/>
      <c r="D767" s="46"/>
      <c r="E767" s="117"/>
      <c r="F767" s="117"/>
      <c r="G767" s="118"/>
      <c r="H767" s="8"/>
      <c r="I767" s="121"/>
      <c r="J767" s="120"/>
      <c r="K767" s="11"/>
    </row>
    <row r="768">
      <c r="A768" s="117"/>
      <c r="B768" s="117"/>
      <c r="C768" s="46"/>
      <c r="D768" s="46"/>
      <c r="E768" s="117"/>
      <c r="F768" s="117"/>
      <c r="G768" s="118"/>
      <c r="H768" s="8"/>
      <c r="I768" s="121"/>
      <c r="J768" s="120"/>
      <c r="K768" s="11"/>
    </row>
    <row r="769">
      <c r="A769" s="117"/>
      <c r="B769" s="117"/>
      <c r="C769" s="46"/>
      <c r="D769" s="46"/>
      <c r="E769" s="117"/>
      <c r="F769" s="117"/>
      <c r="G769" s="118"/>
      <c r="H769" s="8"/>
      <c r="I769" s="121"/>
      <c r="J769" s="120"/>
      <c r="K769" s="11"/>
    </row>
    <row r="770">
      <c r="A770" s="117"/>
      <c r="B770" s="117"/>
      <c r="C770" s="46"/>
      <c r="D770" s="46"/>
      <c r="E770" s="117"/>
      <c r="F770" s="117"/>
      <c r="G770" s="118"/>
      <c r="H770" s="8"/>
      <c r="I770" s="121"/>
      <c r="J770" s="120"/>
      <c r="K770" s="11"/>
    </row>
    <row r="771">
      <c r="A771" s="117"/>
      <c r="B771" s="117"/>
      <c r="C771" s="46"/>
      <c r="D771" s="46"/>
      <c r="E771" s="117"/>
      <c r="F771" s="117"/>
      <c r="G771" s="118"/>
      <c r="H771" s="8"/>
      <c r="I771" s="121"/>
      <c r="J771" s="120"/>
      <c r="K771" s="11"/>
    </row>
    <row r="772">
      <c r="A772" s="117"/>
      <c r="B772" s="117"/>
      <c r="C772" s="46"/>
      <c r="D772" s="46"/>
      <c r="E772" s="117"/>
      <c r="F772" s="117"/>
      <c r="G772" s="118"/>
      <c r="H772" s="8"/>
      <c r="I772" s="121"/>
      <c r="J772" s="120"/>
      <c r="K772" s="11"/>
    </row>
    <row r="773">
      <c r="A773" s="117"/>
      <c r="B773" s="117"/>
      <c r="C773" s="46"/>
      <c r="D773" s="46"/>
      <c r="E773" s="117"/>
      <c r="F773" s="117"/>
      <c r="G773" s="118"/>
      <c r="H773" s="8"/>
      <c r="I773" s="121"/>
      <c r="J773" s="120"/>
      <c r="K773" s="11"/>
    </row>
    <row r="774">
      <c r="A774" s="117"/>
      <c r="B774" s="117"/>
      <c r="C774" s="46"/>
      <c r="D774" s="46"/>
      <c r="E774" s="117"/>
      <c r="F774" s="117"/>
      <c r="G774" s="118"/>
      <c r="H774" s="8"/>
      <c r="I774" s="121"/>
      <c r="J774" s="120"/>
      <c r="K774" s="11"/>
    </row>
    <row r="775">
      <c r="A775" s="117"/>
      <c r="B775" s="117"/>
      <c r="C775" s="46"/>
      <c r="D775" s="46"/>
      <c r="E775" s="117"/>
      <c r="F775" s="117"/>
      <c r="G775" s="118"/>
      <c r="H775" s="8"/>
      <c r="I775" s="121"/>
      <c r="J775" s="120"/>
      <c r="K775" s="11"/>
    </row>
    <row r="776">
      <c r="A776" s="117"/>
      <c r="B776" s="117"/>
      <c r="C776" s="46"/>
      <c r="D776" s="46"/>
      <c r="E776" s="117"/>
      <c r="F776" s="117"/>
      <c r="G776" s="118"/>
      <c r="H776" s="8"/>
      <c r="I776" s="121"/>
      <c r="J776" s="120"/>
      <c r="K776" s="11"/>
    </row>
    <row r="777">
      <c r="A777" s="117"/>
      <c r="B777" s="117"/>
      <c r="C777" s="46"/>
      <c r="D777" s="46"/>
      <c r="E777" s="117"/>
      <c r="F777" s="117"/>
      <c r="G777" s="118"/>
      <c r="H777" s="8"/>
      <c r="I777" s="121"/>
      <c r="J777" s="120"/>
      <c r="K777" s="11"/>
    </row>
    <row r="778">
      <c r="A778" s="117"/>
      <c r="B778" s="117"/>
      <c r="C778" s="46"/>
      <c r="D778" s="46"/>
      <c r="E778" s="117"/>
      <c r="F778" s="117"/>
      <c r="G778" s="118"/>
      <c r="H778" s="8"/>
      <c r="I778" s="121"/>
      <c r="J778" s="120"/>
      <c r="K778" s="11"/>
    </row>
    <row r="779">
      <c r="A779" s="117"/>
      <c r="B779" s="117"/>
      <c r="C779" s="46"/>
      <c r="D779" s="46"/>
      <c r="E779" s="117"/>
      <c r="F779" s="117"/>
      <c r="G779" s="118"/>
      <c r="H779" s="8"/>
      <c r="I779" s="121"/>
      <c r="J779" s="120"/>
      <c r="K779" s="11"/>
    </row>
    <row r="780">
      <c r="A780" s="117"/>
      <c r="B780" s="117"/>
      <c r="C780" s="46"/>
      <c r="D780" s="46"/>
      <c r="E780" s="117"/>
      <c r="F780" s="117"/>
      <c r="G780" s="118"/>
      <c r="H780" s="8"/>
      <c r="I780" s="121"/>
      <c r="J780" s="120"/>
      <c r="K780" s="11"/>
    </row>
    <row r="781">
      <c r="A781" s="117"/>
      <c r="B781" s="117"/>
      <c r="C781" s="46"/>
      <c r="D781" s="46"/>
      <c r="E781" s="117"/>
      <c r="F781" s="117"/>
      <c r="G781" s="118"/>
      <c r="H781" s="8"/>
      <c r="I781" s="121"/>
      <c r="J781" s="120"/>
      <c r="K781" s="11"/>
    </row>
    <row r="782">
      <c r="A782" s="117"/>
      <c r="B782" s="117"/>
      <c r="C782" s="46"/>
      <c r="D782" s="46"/>
      <c r="E782" s="117"/>
      <c r="F782" s="117"/>
      <c r="G782" s="118"/>
      <c r="H782" s="8"/>
      <c r="I782" s="121"/>
      <c r="J782" s="120"/>
      <c r="K782" s="11"/>
    </row>
    <row r="783">
      <c r="A783" s="117"/>
      <c r="B783" s="117"/>
      <c r="C783" s="46"/>
      <c r="D783" s="46"/>
      <c r="E783" s="117"/>
      <c r="F783" s="117"/>
      <c r="G783" s="118"/>
      <c r="H783" s="8"/>
      <c r="I783" s="121"/>
      <c r="J783" s="120"/>
      <c r="K783" s="11"/>
    </row>
    <row r="784">
      <c r="A784" s="117"/>
      <c r="B784" s="117"/>
      <c r="C784" s="46"/>
      <c r="D784" s="46"/>
      <c r="E784" s="117"/>
      <c r="F784" s="117"/>
      <c r="G784" s="118"/>
      <c r="H784" s="8"/>
      <c r="I784" s="121"/>
      <c r="J784" s="120"/>
      <c r="K784" s="11"/>
    </row>
    <row r="785">
      <c r="A785" s="117"/>
      <c r="B785" s="117"/>
      <c r="C785" s="46"/>
      <c r="D785" s="46"/>
      <c r="E785" s="117"/>
      <c r="F785" s="117"/>
      <c r="G785" s="118"/>
      <c r="H785" s="8"/>
      <c r="I785" s="121"/>
      <c r="J785" s="120"/>
      <c r="K785" s="11"/>
    </row>
    <row r="786">
      <c r="A786" s="117"/>
      <c r="B786" s="117"/>
      <c r="C786" s="46"/>
      <c r="D786" s="46"/>
      <c r="E786" s="117"/>
      <c r="F786" s="117"/>
      <c r="G786" s="118"/>
      <c r="H786" s="8"/>
      <c r="I786" s="121"/>
      <c r="J786" s="120"/>
      <c r="K786" s="11"/>
    </row>
    <row r="787">
      <c r="A787" s="117"/>
      <c r="B787" s="117"/>
      <c r="C787" s="46"/>
      <c r="D787" s="46"/>
      <c r="E787" s="117"/>
      <c r="F787" s="117"/>
      <c r="G787" s="118"/>
      <c r="H787" s="8"/>
      <c r="I787" s="121"/>
      <c r="J787" s="120"/>
      <c r="K787" s="11"/>
    </row>
    <row r="788">
      <c r="A788" s="117"/>
      <c r="B788" s="117"/>
      <c r="C788" s="46"/>
      <c r="D788" s="46"/>
      <c r="E788" s="117"/>
      <c r="F788" s="117"/>
      <c r="G788" s="118"/>
      <c r="H788" s="8"/>
      <c r="I788" s="121"/>
      <c r="J788" s="120"/>
      <c r="K788" s="11"/>
    </row>
    <row r="789">
      <c r="A789" s="117"/>
      <c r="B789" s="117"/>
      <c r="C789" s="46"/>
      <c r="D789" s="46"/>
      <c r="E789" s="117"/>
      <c r="F789" s="117"/>
      <c r="G789" s="118"/>
      <c r="H789" s="8"/>
      <c r="I789" s="121"/>
      <c r="J789" s="120"/>
      <c r="K789" s="11"/>
    </row>
    <row r="790">
      <c r="A790" s="117"/>
      <c r="B790" s="117"/>
      <c r="C790" s="46"/>
      <c r="D790" s="46"/>
      <c r="E790" s="117"/>
      <c r="F790" s="117"/>
      <c r="G790" s="118"/>
      <c r="H790" s="8"/>
      <c r="I790" s="121"/>
      <c r="J790" s="120"/>
      <c r="K790" s="11"/>
    </row>
    <row r="791">
      <c r="A791" s="117"/>
      <c r="B791" s="117"/>
      <c r="C791" s="46"/>
      <c r="D791" s="46"/>
      <c r="E791" s="117"/>
      <c r="F791" s="117"/>
      <c r="G791" s="118"/>
      <c r="H791" s="8"/>
      <c r="I791" s="121"/>
      <c r="J791" s="120"/>
      <c r="K791" s="11"/>
    </row>
    <row r="792">
      <c r="A792" s="117"/>
      <c r="B792" s="117"/>
      <c r="C792" s="46"/>
      <c r="D792" s="46"/>
      <c r="E792" s="117"/>
      <c r="F792" s="117"/>
      <c r="G792" s="118"/>
      <c r="H792" s="8"/>
      <c r="I792" s="121"/>
      <c r="J792" s="120"/>
      <c r="K792" s="11"/>
    </row>
    <row r="793">
      <c r="A793" s="117"/>
      <c r="B793" s="117"/>
      <c r="C793" s="46"/>
      <c r="D793" s="46"/>
      <c r="E793" s="117"/>
      <c r="F793" s="117"/>
      <c r="G793" s="118"/>
      <c r="H793" s="8"/>
      <c r="I793" s="121"/>
      <c r="J793" s="120"/>
      <c r="K793" s="11"/>
    </row>
    <row r="794">
      <c r="A794" s="117"/>
      <c r="B794" s="117"/>
      <c r="C794" s="46"/>
      <c r="D794" s="46"/>
      <c r="E794" s="117"/>
      <c r="F794" s="117"/>
      <c r="G794" s="118"/>
      <c r="H794" s="8"/>
      <c r="I794" s="121"/>
      <c r="J794" s="120"/>
      <c r="K794" s="11"/>
    </row>
    <row r="795">
      <c r="A795" s="117"/>
      <c r="B795" s="117"/>
      <c r="C795" s="46"/>
      <c r="D795" s="46"/>
      <c r="E795" s="117"/>
      <c r="F795" s="117"/>
      <c r="G795" s="118"/>
      <c r="H795" s="8"/>
      <c r="I795" s="121"/>
      <c r="J795" s="120"/>
      <c r="K795" s="11"/>
    </row>
    <row r="796">
      <c r="A796" s="117"/>
      <c r="B796" s="117"/>
      <c r="C796" s="46"/>
      <c r="D796" s="46"/>
      <c r="E796" s="117"/>
      <c r="F796" s="117"/>
      <c r="G796" s="118"/>
      <c r="H796" s="8"/>
      <c r="I796" s="121"/>
      <c r="J796" s="120"/>
      <c r="K796" s="11"/>
    </row>
    <row r="797">
      <c r="A797" s="117"/>
      <c r="B797" s="117"/>
      <c r="C797" s="46"/>
      <c r="D797" s="46"/>
      <c r="E797" s="117"/>
      <c r="F797" s="117"/>
      <c r="G797" s="118"/>
      <c r="H797" s="8"/>
      <c r="I797" s="121"/>
      <c r="J797" s="120"/>
      <c r="K797" s="11"/>
    </row>
    <row r="798">
      <c r="A798" s="117"/>
      <c r="B798" s="117"/>
      <c r="C798" s="46"/>
      <c r="D798" s="46"/>
      <c r="E798" s="117"/>
      <c r="F798" s="117"/>
      <c r="G798" s="118"/>
      <c r="H798" s="8"/>
      <c r="I798" s="121"/>
      <c r="J798" s="120"/>
      <c r="K798" s="11"/>
    </row>
    <row r="799">
      <c r="A799" s="117"/>
      <c r="B799" s="117"/>
      <c r="C799" s="46"/>
      <c r="D799" s="46"/>
      <c r="E799" s="117"/>
      <c r="F799" s="117"/>
      <c r="G799" s="118"/>
      <c r="H799" s="8"/>
      <c r="I799" s="121"/>
      <c r="J799" s="120"/>
      <c r="K799" s="11"/>
    </row>
    <row r="800">
      <c r="A800" s="117"/>
      <c r="B800" s="117"/>
      <c r="C800" s="46"/>
      <c r="D800" s="46"/>
      <c r="E800" s="117"/>
      <c r="F800" s="117"/>
      <c r="G800" s="118"/>
      <c r="H800" s="8"/>
      <c r="I800" s="121"/>
      <c r="J800" s="120"/>
      <c r="K800" s="11"/>
    </row>
    <row r="801">
      <c r="A801" s="117"/>
      <c r="B801" s="117"/>
      <c r="C801" s="46"/>
      <c r="D801" s="46"/>
      <c r="E801" s="117"/>
      <c r="F801" s="117"/>
      <c r="G801" s="118"/>
      <c r="H801" s="8"/>
      <c r="I801" s="121"/>
      <c r="J801" s="120"/>
      <c r="K801" s="11"/>
    </row>
    <row r="802">
      <c r="A802" s="117"/>
      <c r="B802" s="117"/>
      <c r="C802" s="46"/>
      <c r="D802" s="46"/>
      <c r="E802" s="117"/>
      <c r="F802" s="117"/>
      <c r="G802" s="118"/>
      <c r="H802" s="8"/>
      <c r="I802" s="121"/>
      <c r="J802" s="120"/>
      <c r="K802" s="11"/>
    </row>
    <row r="803">
      <c r="A803" s="117"/>
      <c r="B803" s="117"/>
      <c r="C803" s="46"/>
      <c r="D803" s="46"/>
      <c r="E803" s="117"/>
      <c r="F803" s="117"/>
      <c r="G803" s="118"/>
      <c r="H803" s="8"/>
      <c r="I803" s="121"/>
      <c r="J803" s="120"/>
      <c r="K803" s="11"/>
    </row>
    <row r="804">
      <c r="A804" s="117"/>
      <c r="B804" s="117"/>
      <c r="C804" s="46"/>
      <c r="D804" s="46"/>
      <c r="E804" s="117"/>
      <c r="F804" s="117"/>
      <c r="G804" s="118"/>
      <c r="H804" s="8"/>
      <c r="I804" s="121"/>
      <c r="J804" s="120"/>
      <c r="K804" s="11"/>
    </row>
    <row r="805">
      <c r="A805" s="117"/>
      <c r="B805" s="117"/>
      <c r="C805" s="46"/>
      <c r="D805" s="46"/>
      <c r="E805" s="117"/>
      <c r="F805" s="117"/>
      <c r="G805" s="118"/>
      <c r="H805" s="8"/>
      <c r="I805" s="121"/>
      <c r="J805" s="120"/>
      <c r="K805" s="11"/>
    </row>
    <row r="806">
      <c r="A806" s="117"/>
      <c r="B806" s="117"/>
      <c r="C806" s="46"/>
      <c r="D806" s="46"/>
      <c r="E806" s="117"/>
      <c r="F806" s="117"/>
      <c r="G806" s="118"/>
      <c r="H806" s="8"/>
      <c r="I806" s="121"/>
      <c r="J806" s="120"/>
      <c r="K806" s="11"/>
    </row>
    <row r="807">
      <c r="A807" s="117"/>
      <c r="B807" s="117"/>
      <c r="C807" s="46"/>
      <c r="D807" s="46"/>
      <c r="E807" s="117"/>
      <c r="F807" s="117"/>
      <c r="G807" s="118"/>
      <c r="H807" s="8"/>
      <c r="I807" s="121"/>
      <c r="J807" s="120"/>
      <c r="K807" s="11"/>
    </row>
    <row r="808">
      <c r="A808" s="117"/>
      <c r="B808" s="117"/>
      <c r="C808" s="46"/>
      <c r="D808" s="46"/>
      <c r="E808" s="117"/>
      <c r="F808" s="117"/>
      <c r="G808" s="118"/>
      <c r="H808" s="8"/>
      <c r="I808" s="121"/>
      <c r="J808" s="120"/>
      <c r="K808" s="11"/>
    </row>
    <row r="809">
      <c r="A809" s="117"/>
      <c r="B809" s="117"/>
      <c r="C809" s="46"/>
      <c r="D809" s="46"/>
      <c r="E809" s="117"/>
      <c r="F809" s="117"/>
      <c r="G809" s="118"/>
      <c r="H809" s="8"/>
      <c r="I809" s="121"/>
      <c r="J809" s="120"/>
      <c r="K809" s="11"/>
    </row>
    <row r="810">
      <c r="A810" s="117"/>
      <c r="B810" s="117"/>
      <c r="C810" s="46"/>
      <c r="D810" s="46"/>
      <c r="E810" s="117"/>
      <c r="F810" s="117"/>
      <c r="G810" s="118"/>
      <c r="H810" s="8"/>
      <c r="I810" s="121"/>
      <c r="J810" s="120"/>
      <c r="K810" s="11"/>
    </row>
    <row r="811">
      <c r="A811" s="117"/>
      <c r="B811" s="117"/>
      <c r="C811" s="46"/>
      <c r="D811" s="46"/>
      <c r="E811" s="117"/>
      <c r="F811" s="117"/>
      <c r="G811" s="118"/>
      <c r="H811" s="8"/>
      <c r="I811" s="121"/>
      <c r="J811" s="120"/>
      <c r="K811" s="11"/>
    </row>
    <row r="812">
      <c r="A812" s="117"/>
      <c r="B812" s="117"/>
      <c r="C812" s="46"/>
      <c r="D812" s="46"/>
      <c r="E812" s="117"/>
      <c r="F812" s="117"/>
      <c r="G812" s="118"/>
      <c r="H812" s="8"/>
      <c r="I812" s="121"/>
      <c r="J812" s="120"/>
      <c r="K812" s="11"/>
    </row>
    <row r="813">
      <c r="A813" s="117"/>
      <c r="B813" s="117"/>
      <c r="C813" s="46"/>
      <c r="D813" s="46"/>
      <c r="E813" s="117"/>
      <c r="F813" s="117"/>
      <c r="G813" s="118"/>
      <c r="H813" s="8"/>
      <c r="I813" s="121"/>
      <c r="J813" s="120"/>
      <c r="K813" s="11"/>
    </row>
    <row r="814">
      <c r="A814" s="117"/>
      <c r="B814" s="117"/>
      <c r="C814" s="46"/>
      <c r="D814" s="46"/>
      <c r="E814" s="117"/>
      <c r="F814" s="117"/>
      <c r="G814" s="118"/>
      <c r="H814" s="8"/>
      <c r="I814" s="121"/>
      <c r="J814" s="120"/>
      <c r="K814" s="11"/>
    </row>
    <row r="815">
      <c r="A815" s="117"/>
      <c r="B815" s="117"/>
      <c r="C815" s="46"/>
      <c r="D815" s="46"/>
      <c r="E815" s="117"/>
      <c r="F815" s="117"/>
      <c r="G815" s="118"/>
      <c r="H815" s="8"/>
      <c r="I815" s="121"/>
      <c r="J815" s="120"/>
      <c r="K815" s="11"/>
    </row>
    <row r="816">
      <c r="A816" s="117"/>
      <c r="B816" s="117"/>
      <c r="C816" s="46"/>
      <c r="D816" s="46"/>
      <c r="E816" s="117"/>
      <c r="F816" s="117"/>
      <c r="G816" s="118"/>
      <c r="H816" s="8"/>
      <c r="I816" s="121"/>
      <c r="J816" s="120"/>
      <c r="K816" s="11"/>
    </row>
    <row r="817">
      <c r="A817" s="117"/>
      <c r="B817" s="117"/>
      <c r="C817" s="46"/>
      <c r="D817" s="46"/>
      <c r="E817" s="117"/>
      <c r="F817" s="117"/>
      <c r="G817" s="118"/>
      <c r="H817" s="8"/>
      <c r="I817" s="121"/>
      <c r="J817" s="120"/>
      <c r="K817" s="11"/>
    </row>
    <row r="818">
      <c r="A818" s="117"/>
      <c r="B818" s="117"/>
      <c r="C818" s="46"/>
      <c r="D818" s="46"/>
      <c r="E818" s="117"/>
      <c r="F818" s="117"/>
      <c r="G818" s="118"/>
      <c r="H818" s="8"/>
      <c r="I818" s="121"/>
      <c r="J818" s="120"/>
      <c r="K818" s="11"/>
    </row>
    <row r="819">
      <c r="A819" s="117"/>
      <c r="B819" s="117"/>
      <c r="C819" s="46"/>
      <c r="D819" s="46"/>
      <c r="E819" s="117"/>
      <c r="F819" s="117"/>
      <c r="G819" s="118"/>
      <c r="H819" s="8"/>
      <c r="I819" s="121"/>
      <c r="J819" s="120"/>
      <c r="K819" s="11"/>
    </row>
    <row r="820">
      <c r="A820" s="117"/>
      <c r="B820" s="117"/>
      <c r="C820" s="46"/>
      <c r="D820" s="46"/>
      <c r="E820" s="117"/>
      <c r="F820" s="117"/>
      <c r="G820" s="118"/>
      <c r="H820" s="8"/>
      <c r="I820" s="121"/>
      <c r="J820" s="120"/>
      <c r="K820" s="11"/>
    </row>
    <row r="821">
      <c r="A821" s="117"/>
      <c r="B821" s="117"/>
      <c r="C821" s="46"/>
      <c r="D821" s="46"/>
      <c r="E821" s="117"/>
      <c r="F821" s="117"/>
      <c r="G821" s="118"/>
      <c r="H821" s="8"/>
      <c r="I821" s="121"/>
      <c r="J821" s="120"/>
      <c r="K821" s="11"/>
    </row>
    <row r="822">
      <c r="A822" s="117"/>
      <c r="B822" s="117"/>
      <c r="C822" s="46"/>
      <c r="D822" s="46"/>
      <c r="E822" s="117"/>
      <c r="F822" s="117"/>
      <c r="G822" s="118"/>
      <c r="H822" s="8"/>
      <c r="I822" s="121"/>
      <c r="J822" s="120"/>
      <c r="K822" s="11"/>
    </row>
    <row r="823">
      <c r="A823" s="117"/>
      <c r="B823" s="117"/>
      <c r="C823" s="46"/>
      <c r="D823" s="46"/>
      <c r="E823" s="117"/>
      <c r="F823" s="117"/>
      <c r="G823" s="118"/>
      <c r="H823" s="8"/>
      <c r="I823" s="121"/>
      <c r="J823" s="120"/>
      <c r="K823" s="11"/>
    </row>
    <row r="824">
      <c r="A824" s="117"/>
      <c r="B824" s="117"/>
      <c r="C824" s="46"/>
      <c r="D824" s="46"/>
      <c r="E824" s="117"/>
      <c r="F824" s="117"/>
      <c r="G824" s="118"/>
      <c r="H824" s="8"/>
      <c r="I824" s="121"/>
      <c r="J824" s="120"/>
      <c r="K824" s="11"/>
    </row>
    <row r="825">
      <c r="A825" s="117"/>
      <c r="B825" s="117"/>
      <c r="C825" s="46"/>
      <c r="D825" s="46"/>
      <c r="E825" s="117"/>
      <c r="F825" s="117"/>
      <c r="G825" s="118"/>
      <c r="H825" s="8"/>
      <c r="I825" s="121"/>
      <c r="J825" s="120"/>
      <c r="K825" s="11"/>
    </row>
    <row r="826">
      <c r="A826" s="117"/>
      <c r="B826" s="117"/>
      <c r="C826" s="46"/>
      <c r="D826" s="46"/>
      <c r="E826" s="117"/>
      <c r="F826" s="117"/>
      <c r="G826" s="118"/>
      <c r="H826" s="8"/>
      <c r="I826" s="121"/>
      <c r="J826" s="120"/>
      <c r="K826" s="11"/>
    </row>
    <row r="827">
      <c r="A827" s="117"/>
      <c r="B827" s="117"/>
      <c r="C827" s="46"/>
      <c r="D827" s="46"/>
      <c r="E827" s="117"/>
      <c r="F827" s="117"/>
      <c r="G827" s="118"/>
      <c r="H827" s="8"/>
      <c r="I827" s="121"/>
      <c r="J827" s="120"/>
      <c r="K827" s="11"/>
    </row>
    <row r="828">
      <c r="A828" s="117"/>
      <c r="B828" s="117"/>
      <c r="C828" s="46"/>
      <c r="D828" s="46"/>
      <c r="E828" s="117"/>
      <c r="F828" s="117"/>
      <c r="G828" s="118"/>
      <c r="H828" s="8"/>
      <c r="I828" s="121"/>
      <c r="J828" s="120"/>
      <c r="K828" s="11"/>
    </row>
    <row r="829">
      <c r="A829" s="117"/>
      <c r="B829" s="117"/>
      <c r="C829" s="46"/>
      <c r="D829" s="46"/>
      <c r="E829" s="117"/>
      <c r="F829" s="117"/>
      <c r="G829" s="118"/>
      <c r="H829" s="8"/>
      <c r="I829" s="121"/>
      <c r="J829" s="120"/>
      <c r="K829" s="11"/>
    </row>
    <row r="830">
      <c r="A830" s="117"/>
      <c r="B830" s="117"/>
      <c r="C830" s="46"/>
      <c r="D830" s="46"/>
      <c r="E830" s="117"/>
      <c r="F830" s="117"/>
      <c r="G830" s="118"/>
      <c r="H830" s="8"/>
      <c r="I830" s="121"/>
      <c r="J830" s="120"/>
      <c r="K830" s="11"/>
    </row>
    <row r="831">
      <c r="A831" s="117"/>
      <c r="B831" s="117"/>
      <c r="C831" s="46"/>
      <c r="D831" s="46"/>
      <c r="E831" s="117"/>
      <c r="F831" s="117"/>
      <c r="G831" s="118"/>
      <c r="H831" s="8"/>
      <c r="I831" s="121"/>
      <c r="J831" s="120"/>
      <c r="K831" s="11"/>
    </row>
    <row r="832">
      <c r="A832" s="117"/>
      <c r="B832" s="117"/>
      <c r="C832" s="46"/>
      <c r="D832" s="46"/>
      <c r="E832" s="117"/>
      <c r="F832" s="117"/>
      <c r="G832" s="118"/>
      <c r="H832" s="8"/>
      <c r="I832" s="121"/>
      <c r="J832" s="120"/>
      <c r="K832" s="11"/>
    </row>
    <row r="833">
      <c r="A833" s="117"/>
      <c r="B833" s="117"/>
      <c r="C833" s="46"/>
      <c r="D833" s="46"/>
      <c r="E833" s="117"/>
      <c r="F833" s="117"/>
      <c r="G833" s="118"/>
      <c r="H833" s="8"/>
      <c r="I833" s="121"/>
      <c r="J833" s="120"/>
      <c r="K833" s="11"/>
    </row>
    <row r="834">
      <c r="A834" s="117"/>
      <c r="B834" s="117"/>
      <c r="C834" s="46"/>
      <c r="D834" s="46"/>
      <c r="E834" s="117"/>
      <c r="F834" s="117"/>
      <c r="G834" s="118"/>
      <c r="H834" s="8"/>
      <c r="I834" s="121"/>
      <c r="J834" s="120"/>
      <c r="K834" s="11"/>
    </row>
    <row r="835">
      <c r="A835" s="117"/>
      <c r="B835" s="117"/>
      <c r="C835" s="46"/>
      <c r="D835" s="46"/>
      <c r="E835" s="117"/>
      <c r="F835" s="117"/>
      <c r="G835" s="118"/>
      <c r="H835" s="8"/>
      <c r="I835" s="121"/>
      <c r="J835" s="120"/>
      <c r="K835" s="11"/>
    </row>
    <row r="836">
      <c r="A836" s="117"/>
      <c r="B836" s="117"/>
      <c r="C836" s="46"/>
      <c r="D836" s="46"/>
      <c r="E836" s="117"/>
      <c r="F836" s="117"/>
      <c r="G836" s="118"/>
      <c r="H836" s="8"/>
      <c r="I836" s="121"/>
      <c r="J836" s="120"/>
      <c r="K836" s="11"/>
    </row>
    <row r="837">
      <c r="A837" s="117"/>
      <c r="B837" s="117"/>
      <c r="C837" s="46"/>
      <c r="D837" s="46"/>
      <c r="E837" s="117"/>
      <c r="F837" s="117"/>
      <c r="G837" s="118"/>
      <c r="H837" s="8"/>
      <c r="I837" s="121"/>
      <c r="J837" s="120"/>
      <c r="K837" s="11"/>
    </row>
    <row r="838">
      <c r="A838" s="117"/>
      <c r="B838" s="117"/>
      <c r="C838" s="46"/>
      <c r="D838" s="46"/>
      <c r="E838" s="117"/>
      <c r="F838" s="117"/>
      <c r="G838" s="118"/>
      <c r="H838" s="8"/>
      <c r="I838" s="121"/>
      <c r="J838" s="120"/>
      <c r="K838" s="11"/>
    </row>
    <row r="839">
      <c r="A839" s="117"/>
      <c r="B839" s="117"/>
      <c r="C839" s="46"/>
      <c r="D839" s="46"/>
      <c r="E839" s="117"/>
      <c r="F839" s="117"/>
      <c r="G839" s="118"/>
      <c r="H839" s="8"/>
      <c r="I839" s="121"/>
      <c r="J839" s="120"/>
      <c r="K839" s="11"/>
    </row>
    <row r="840">
      <c r="A840" s="117"/>
      <c r="B840" s="117"/>
      <c r="C840" s="46"/>
      <c r="D840" s="46"/>
      <c r="E840" s="117"/>
      <c r="F840" s="117"/>
      <c r="G840" s="118"/>
      <c r="H840" s="8"/>
      <c r="I840" s="121"/>
      <c r="J840" s="120"/>
      <c r="K840" s="11"/>
    </row>
    <row r="841">
      <c r="A841" s="117"/>
      <c r="B841" s="117"/>
      <c r="C841" s="46"/>
      <c r="D841" s="46"/>
      <c r="E841" s="117"/>
      <c r="F841" s="117"/>
      <c r="G841" s="118"/>
      <c r="H841" s="8"/>
      <c r="I841" s="121"/>
      <c r="J841" s="120"/>
      <c r="K841" s="11"/>
    </row>
    <row r="842">
      <c r="A842" s="117"/>
      <c r="B842" s="117"/>
      <c r="C842" s="46"/>
      <c r="D842" s="46"/>
      <c r="E842" s="117"/>
      <c r="F842" s="117"/>
      <c r="G842" s="118"/>
      <c r="H842" s="8"/>
      <c r="I842" s="121"/>
      <c r="J842" s="120"/>
      <c r="K842" s="11"/>
    </row>
    <row r="843">
      <c r="A843" s="117"/>
      <c r="B843" s="117"/>
      <c r="C843" s="46"/>
      <c r="D843" s="46"/>
      <c r="E843" s="117"/>
      <c r="F843" s="117"/>
      <c r="G843" s="118"/>
      <c r="H843" s="8"/>
      <c r="I843" s="121"/>
      <c r="J843" s="120"/>
      <c r="K843" s="11"/>
    </row>
    <row r="844">
      <c r="A844" s="117"/>
      <c r="B844" s="117"/>
      <c r="C844" s="46"/>
      <c r="D844" s="46"/>
      <c r="E844" s="117"/>
      <c r="F844" s="117"/>
      <c r="G844" s="118"/>
      <c r="H844" s="8"/>
      <c r="I844" s="121"/>
      <c r="J844" s="120"/>
      <c r="K844" s="11"/>
    </row>
    <row r="845">
      <c r="A845" s="117"/>
      <c r="B845" s="117"/>
      <c r="C845" s="46"/>
      <c r="D845" s="46"/>
      <c r="E845" s="117"/>
      <c r="F845" s="117"/>
      <c r="G845" s="118"/>
      <c r="H845" s="8"/>
      <c r="I845" s="121"/>
      <c r="J845" s="120"/>
      <c r="K845" s="11"/>
    </row>
    <row r="846">
      <c r="A846" s="117"/>
      <c r="B846" s="117"/>
      <c r="C846" s="46"/>
      <c r="D846" s="46"/>
      <c r="E846" s="117"/>
      <c r="F846" s="117"/>
      <c r="G846" s="118"/>
      <c r="H846" s="8"/>
      <c r="I846" s="121"/>
      <c r="J846" s="120"/>
      <c r="K846" s="11"/>
    </row>
    <row r="847">
      <c r="A847" s="117"/>
      <c r="B847" s="117"/>
      <c r="C847" s="46"/>
      <c r="D847" s="46"/>
      <c r="E847" s="117"/>
      <c r="F847" s="117"/>
      <c r="G847" s="118"/>
      <c r="H847" s="8"/>
      <c r="I847" s="121"/>
      <c r="J847" s="120"/>
      <c r="K847" s="11"/>
    </row>
    <row r="848">
      <c r="A848" s="117"/>
      <c r="B848" s="117"/>
      <c r="C848" s="46"/>
      <c r="D848" s="46"/>
      <c r="E848" s="117"/>
      <c r="F848" s="117"/>
      <c r="G848" s="118"/>
      <c r="H848" s="8"/>
      <c r="I848" s="121"/>
      <c r="J848" s="120"/>
      <c r="K848" s="11"/>
    </row>
    <row r="849">
      <c r="A849" s="117"/>
      <c r="B849" s="117"/>
      <c r="C849" s="46"/>
      <c r="D849" s="46"/>
      <c r="E849" s="117"/>
      <c r="F849" s="117"/>
      <c r="G849" s="118"/>
      <c r="H849" s="8"/>
      <c r="I849" s="121"/>
      <c r="J849" s="120"/>
      <c r="K849" s="11"/>
    </row>
    <row r="850">
      <c r="A850" s="117"/>
      <c r="B850" s="117"/>
      <c r="C850" s="46"/>
      <c r="D850" s="46"/>
      <c r="E850" s="117"/>
      <c r="F850" s="117"/>
      <c r="G850" s="118"/>
      <c r="H850" s="8"/>
      <c r="I850" s="121"/>
      <c r="J850" s="120"/>
      <c r="K850" s="11"/>
    </row>
    <row r="851">
      <c r="A851" s="117"/>
      <c r="B851" s="117"/>
      <c r="C851" s="46"/>
      <c r="D851" s="46"/>
      <c r="E851" s="117"/>
      <c r="F851" s="117"/>
      <c r="G851" s="118"/>
      <c r="H851" s="8"/>
      <c r="I851" s="121"/>
      <c r="J851" s="120"/>
      <c r="K851" s="11"/>
    </row>
    <row r="852">
      <c r="A852" s="117"/>
      <c r="B852" s="117"/>
      <c r="C852" s="46"/>
      <c r="D852" s="46"/>
      <c r="E852" s="117"/>
      <c r="F852" s="117"/>
      <c r="G852" s="118"/>
      <c r="H852" s="8"/>
      <c r="I852" s="121"/>
      <c r="J852" s="120"/>
      <c r="K852" s="11"/>
    </row>
    <row r="853">
      <c r="A853" s="117"/>
      <c r="B853" s="117"/>
      <c r="C853" s="46"/>
      <c r="D853" s="46"/>
      <c r="E853" s="117"/>
      <c r="F853" s="117"/>
      <c r="G853" s="118"/>
      <c r="H853" s="8"/>
      <c r="I853" s="121"/>
      <c r="J853" s="120"/>
      <c r="K853" s="11"/>
    </row>
    <row r="854">
      <c r="A854" s="117"/>
      <c r="B854" s="117"/>
      <c r="C854" s="46"/>
      <c r="D854" s="46"/>
      <c r="E854" s="117"/>
      <c r="F854" s="117"/>
      <c r="G854" s="118"/>
      <c r="H854" s="8"/>
      <c r="I854" s="121"/>
      <c r="J854" s="120"/>
      <c r="K854" s="11"/>
    </row>
    <row r="855">
      <c r="A855" s="117"/>
      <c r="B855" s="117"/>
      <c r="C855" s="46"/>
      <c r="D855" s="46"/>
      <c r="E855" s="117"/>
      <c r="F855" s="117"/>
      <c r="G855" s="118"/>
      <c r="H855" s="8"/>
      <c r="I855" s="121"/>
      <c r="J855" s="120"/>
      <c r="K855" s="11"/>
    </row>
    <row r="856">
      <c r="A856" s="117"/>
      <c r="B856" s="117"/>
      <c r="C856" s="46"/>
      <c r="D856" s="46"/>
      <c r="E856" s="117"/>
      <c r="F856" s="117"/>
      <c r="G856" s="118"/>
      <c r="H856" s="8"/>
      <c r="I856" s="121"/>
      <c r="J856" s="120"/>
      <c r="K856" s="11"/>
    </row>
    <row r="857">
      <c r="A857" s="117"/>
      <c r="B857" s="117"/>
      <c r="C857" s="46"/>
      <c r="D857" s="46"/>
      <c r="E857" s="117"/>
      <c r="F857" s="117"/>
      <c r="G857" s="118"/>
      <c r="H857" s="8"/>
      <c r="I857" s="121"/>
      <c r="J857" s="120"/>
      <c r="K857" s="11"/>
    </row>
    <row r="858">
      <c r="A858" s="117"/>
      <c r="B858" s="117"/>
      <c r="C858" s="46"/>
      <c r="D858" s="46"/>
      <c r="E858" s="117"/>
      <c r="F858" s="117"/>
      <c r="G858" s="118"/>
      <c r="H858" s="8"/>
      <c r="I858" s="121"/>
      <c r="J858" s="120"/>
      <c r="K858" s="11"/>
    </row>
    <row r="859">
      <c r="A859" s="117"/>
      <c r="B859" s="117"/>
      <c r="C859" s="46"/>
      <c r="D859" s="46"/>
      <c r="E859" s="117"/>
      <c r="F859" s="117"/>
      <c r="G859" s="118"/>
      <c r="H859" s="8"/>
      <c r="I859" s="121"/>
      <c r="J859" s="120"/>
      <c r="K859" s="11"/>
    </row>
    <row r="860">
      <c r="A860" s="117"/>
      <c r="B860" s="117"/>
      <c r="C860" s="46"/>
      <c r="D860" s="46"/>
      <c r="E860" s="117"/>
      <c r="F860" s="117"/>
      <c r="G860" s="118"/>
      <c r="H860" s="8"/>
      <c r="I860" s="121"/>
      <c r="J860" s="120"/>
      <c r="K860" s="11"/>
    </row>
    <row r="861">
      <c r="A861" s="117"/>
      <c r="B861" s="117"/>
      <c r="C861" s="46"/>
      <c r="D861" s="46"/>
      <c r="E861" s="117"/>
      <c r="F861" s="117"/>
      <c r="G861" s="118"/>
      <c r="H861" s="8"/>
      <c r="I861" s="121"/>
      <c r="J861" s="120"/>
      <c r="K861" s="11"/>
    </row>
    <row r="862">
      <c r="A862" s="117"/>
      <c r="B862" s="117"/>
      <c r="C862" s="46"/>
      <c r="D862" s="46"/>
      <c r="E862" s="117"/>
      <c r="F862" s="117"/>
      <c r="G862" s="118"/>
      <c r="H862" s="8"/>
      <c r="I862" s="121"/>
      <c r="J862" s="120"/>
      <c r="K862" s="11"/>
    </row>
    <row r="863">
      <c r="A863" s="117"/>
      <c r="B863" s="117"/>
      <c r="C863" s="46"/>
      <c r="D863" s="46"/>
      <c r="E863" s="117"/>
      <c r="F863" s="117"/>
      <c r="G863" s="118"/>
      <c r="H863" s="8"/>
      <c r="I863" s="121"/>
      <c r="J863" s="120"/>
      <c r="K863" s="11"/>
    </row>
    <row r="864">
      <c r="A864" s="117"/>
      <c r="B864" s="117"/>
      <c r="C864" s="46"/>
      <c r="D864" s="46"/>
      <c r="E864" s="117"/>
      <c r="F864" s="117"/>
      <c r="G864" s="118"/>
      <c r="H864" s="8"/>
      <c r="I864" s="121"/>
      <c r="J864" s="120"/>
      <c r="K864" s="11"/>
    </row>
    <row r="865">
      <c r="A865" s="117"/>
      <c r="B865" s="117"/>
      <c r="C865" s="46"/>
      <c r="D865" s="46"/>
      <c r="E865" s="117"/>
      <c r="F865" s="117"/>
      <c r="G865" s="118"/>
      <c r="H865" s="8"/>
      <c r="I865" s="121"/>
      <c r="J865" s="120"/>
      <c r="K865" s="11"/>
    </row>
    <row r="866">
      <c r="A866" s="117"/>
      <c r="B866" s="117"/>
      <c r="C866" s="46"/>
      <c r="D866" s="46"/>
      <c r="E866" s="117"/>
      <c r="F866" s="117"/>
      <c r="G866" s="118"/>
      <c r="H866" s="8"/>
      <c r="I866" s="121"/>
      <c r="J866" s="120"/>
      <c r="K866" s="11"/>
    </row>
    <row r="867">
      <c r="A867" s="117"/>
      <c r="B867" s="117"/>
      <c r="C867" s="46"/>
      <c r="D867" s="46"/>
      <c r="E867" s="117"/>
      <c r="F867" s="117"/>
      <c r="G867" s="118"/>
      <c r="H867" s="8"/>
      <c r="I867" s="121"/>
      <c r="J867" s="120"/>
      <c r="K867" s="11"/>
    </row>
    <row r="868">
      <c r="A868" s="117"/>
      <c r="B868" s="117"/>
      <c r="C868" s="46"/>
      <c r="D868" s="46"/>
      <c r="E868" s="117"/>
      <c r="F868" s="117"/>
      <c r="G868" s="118"/>
      <c r="H868" s="8"/>
      <c r="I868" s="121"/>
      <c r="J868" s="120"/>
      <c r="K868" s="11"/>
    </row>
    <row r="869">
      <c r="A869" s="117"/>
      <c r="B869" s="117"/>
      <c r="C869" s="46"/>
      <c r="D869" s="46"/>
      <c r="E869" s="117"/>
      <c r="F869" s="117"/>
      <c r="G869" s="118"/>
      <c r="H869" s="8"/>
      <c r="I869" s="121"/>
      <c r="J869" s="120"/>
      <c r="K869" s="11"/>
    </row>
    <row r="870">
      <c r="A870" s="117"/>
      <c r="B870" s="117"/>
      <c r="C870" s="46"/>
      <c r="D870" s="46"/>
      <c r="E870" s="117"/>
      <c r="F870" s="117"/>
      <c r="G870" s="118"/>
      <c r="H870" s="8"/>
      <c r="I870" s="121"/>
      <c r="J870" s="120"/>
      <c r="K870" s="11"/>
    </row>
    <row r="871">
      <c r="A871" s="117"/>
      <c r="B871" s="117"/>
      <c r="C871" s="46"/>
      <c r="D871" s="46"/>
      <c r="E871" s="117"/>
      <c r="F871" s="117"/>
      <c r="G871" s="118"/>
      <c r="H871" s="8"/>
      <c r="I871" s="121"/>
      <c r="J871" s="120"/>
      <c r="K871" s="11"/>
    </row>
    <row r="872">
      <c r="A872" s="117"/>
      <c r="B872" s="117"/>
      <c r="C872" s="46"/>
      <c r="D872" s="46"/>
      <c r="E872" s="117"/>
      <c r="F872" s="117"/>
      <c r="G872" s="118"/>
      <c r="H872" s="8"/>
      <c r="I872" s="121"/>
      <c r="J872" s="120"/>
      <c r="K872" s="11"/>
    </row>
    <row r="873">
      <c r="A873" s="117"/>
      <c r="B873" s="117"/>
      <c r="C873" s="46"/>
      <c r="D873" s="46"/>
      <c r="E873" s="117"/>
      <c r="F873" s="117"/>
      <c r="G873" s="118"/>
      <c r="H873" s="8"/>
      <c r="I873" s="121"/>
      <c r="J873" s="120"/>
      <c r="K873" s="11"/>
    </row>
    <row r="874">
      <c r="A874" s="117"/>
      <c r="B874" s="117"/>
      <c r="C874" s="46"/>
      <c r="D874" s="46"/>
      <c r="E874" s="117"/>
      <c r="F874" s="117"/>
      <c r="G874" s="118"/>
      <c r="H874" s="8"/>
      <c r="I874" s="121"/>
      <c r="J874" s="120"/>
      <c r="K874" s="11"/>
    </row>
    <row r="875">
      <c r="A875" s="117"/>
      <c r="B875" s="117"/>
      <c r="C875" s="46"/>
      <c r="D875" s="46"/>
      <c r="E875" s="117"/>
      <c r="F875" s="117"/>
      <c r="G875" s="118"/>
      <c r="H875" s="8"/>
      <c r="I875" s="121"/>
      <c r="J875" s="120"/>
      <c r="K875" s="11"/>
    </row>
    <row r="876">
      <c r="A876" s="117"/>
      <c r="B876" s="117"/>
      <c r="C876" s="46"/>
      <c r="D876" s="46"/>
      <c r="E876" s="117"/>
      <c r="F876" s="117"/>
      <c r="G876" s="118"/>
      <c r="H876" s="8"/>
      <c r="I876" s="121"/>
      <c r="J876" s="120"/>
      <c r="K876" s="11"/>
    </row>
    <row r="877">
      <c r="A877" s="117"/>
      <c r="B877" s="117"/>
      <c r="C877" s="46"/>
      <c r="D877" s="46"/>
      <c r="E877" s="117"/>
      <c r="F877" s="117"/>
      <c r="G877" s="118"/>
      <c r="H877" s="8"/>
      <c r="I877" s="121"/>
      <c r="J877" s="120"/>
      <c r="K877" s="11"/>
    </row>
    <row r="878">
      <c r="A878" s="117"/>
      <c r="B878" s="117"/>
      <c r="C878" s="46"/>
      <c r="D878" s="46"/>
      <c r="E878" s="117"/>
      <c r="F878" s="117"/>
      <c r="G878" s="118"/>
      <c r="H878" s="8"/>
      <c r="I878" s="121"/>
      <c r="J878" s="120"/>
      <c r="K878" s="11"/>
    </row>
    <row r="879">
      <c r="A879" s="117"/>
      <c r="B879" s="117"/>
      <c r="C879" s="46"/>
      <c r="D879" s="46"/>
      <c r="E879" s="117"/>
      <c r="F879" s="117"/>
      <c r="G879" s="118"/>
      <c r="H879" s="8"/>
      <c r="I879" s="121"/>
      <c r="J879" s="120"/>
      <c r="K879" s="11"/>
    </row>
    <row r="880">
      <c r="A880" s="117"/>
      <c r="B880" s="117"/>
      <c r="C880" s="46"/>
      <c r="D880" s="46"/>
      <c r="E880" s="117"/>
      <c r="F880" s="117"/>
      <c r="G880" s="118"/>
      <c r="H880" s="8"/>
      <c r="I880" s="121"/>
      <c r="J880" s="120"/>
      <c r="K880" s="11"/>
    </row>
    <row r="881">
      <c r="A881" s="117"/>
      <c r="B881" s="117"/>
      <c r="C881" s="46"/>
      <c r="D881" s="46"/>
      <c r="E881" s="117"/>
      <c r="F881" s="117"/>
      <c r="G881" s="118"/>
      <c r="H881" s="8"/>
      <c r="I881" s="121"/>
      <c r="J881" s="120"/>
      <c r="K881" s="11"/>
    </row>
    <row r="882">
      <c r="A882" s="117"/>
      <c r="B882" s="117"/>
      <c r="C882" s="46"/>
      <c r="D882" s="46"/>
      <c r="E882" s="117"/>
      <c r="F882" s="117"/>
      <c r="G882" s="118"/>
      <c r="H882" s="8"/>
      <c r="I882" s="121"/>
      <c r="J882" s="120"/>
      <c r="K882" s="11"/>
    </row>
    <row r="883">
      <c r="A883" s="117"/>
      <c r="B883" s="117"/>
      <c r="C883" s="46"/>
      <c r="D883" s="46"/>
      <c r="E883" s="117"/>
      <c r="F883" s="117"/>
      <c r="G883" s="118"/>
      <c r="H883" s="8"/>
      <c r="I883" s="121"/>
      <c r="J883" s="120"/>
      <c r="K883" s="11"/>
    </row>
    <row r="884">
      <c r="A884" s="117"/>
      <c r="B884" s="117"/>
      <c r="C884" s="46"/>
      <c r="D884" s="46"/>
      <c r="E884" s="117"/>
      <c r="F884" s="117"/>
      <c r="G884" s="118"/>
      <c r="H884" s="8"/>
      <c r="I884" s="121"/>
      <c r="J884" s="120"/>
      <c r="K884" s="11"/>
    </row>
    <row r="885">
      <c r="A885" s="117"/>
      <c r="B885" s="117"/>
      <c r="C885" s="46"/>
      <c r="D885" s="46"/>
      <c r="E885" s="117"/>
      <c r="F885" s="117"/>
      <c r="G885" s="118"/>
      <c r="H885" s="8"/>
      <c r="I885" s="121"/>
      <c r="J885" s="120"/>
      <c r="K885" s="11"/>
    </row>
    <row r="886">
      <c r="A886" s="117"/>
      <c r="B886" s="117"/>
      <c r="C886" s="46"/>
      <c r="D886" s="46"/>
      <c r="E886" s="117"/>
      <c r="F886" s="117"/>
      <c r="G886" s="118"/>
      <c r="H886" s="8"/>
      <c r="I886" s="121"/>
      <c r="J886" s="120"/>
      <c r="K886" s="11"/>
    </row>
    <row r="887">
      <c r="A887" s="117"/>
      <c r="B887" s="117"/>
      <c r="C887" s="46"/>
      <c r="D887" s="46"/>
      <c r="E887" s="117"/>
      <c r="F887" s="117"/>
      <c r="G887" s="118"/>
      <c r="H887" s="8"/>
      <c r="I887" s="121"/>
      <c r="J887" s="120"/>
      <c r="K887" s="11"/>
    </row>
    <row r="888">
      <c r="A888" s="117"/>
      <c r="B888" s="117"/>
      <c r="C888" s="46"/>
      <c r="D888" s="46"/>
      <c r="E888" s="117"/>
      <c r="F888" s="117"/>
      <c r="G888" s="118"/>
      <c r="H888" s="8"/>
      <c r="I888" s="121"/>
      <c r="J888" s="120"/>
      <c r="K888" s="11"/>
    </row>
    <row r="889">
      <c r="A889" s="117"/>
      <c r="B889" s="117"/>
      <c r="C889" s="46"/>
      <c r="D889" s="46"/>
      <c r="E889" s="117"/>
      <c r="F889" s="117"/>
      <c r="G889" s="118"/>
      <c r="H889" s="8"/>
      <c r="I889" s="121"/>
      <c r="J889" s="120"/>
      <c r="K889" s="11"/>
    </row>
    <row r="890">
      <c r="A890" s="117"/>
      <c r="B890" s="117"/>
      <c r="C890" s="46"/>
      <c r="D890" s="46"/>
      <c r="E890" s="117"/>
      <c r="F890" s="117"/>
      <c r="G890" s="118"/>
      <c r="H890" s="8"/>
      <c r="I890" s="121"/>
      <c r="J890" s="120"/>
      <c r="K890" s="11"/>
    </row>
    <row r="891">
      <c r="A891" s="117"/>
      <c r="B891" s="117"/>
      <c r="C891" s="46"/>
      <c r="D891" s="46"/>
      <c r="E891" s="117"/>
      <c r="F891" s="117"/>
      <c r="G891" s="118"/>
      <c r="H891" s="8"/>
      <c r="I891" s="121"/>
      <c r="J891" s="120"/>
      <c r="K891" s="11"/>
    </row>
    <row r="892">
      <c r="A892" s="117"/>
      <c r="B892" s="117"/>
      <c r="C892" s="46"/>
      <c r="D892" s="46"/>
      <c r="E892" s="117"/>
      <c r="F892" s="117"/>
      <c r="G892" s="118"/>
      <c r="H892" s="8"/>
      <c r="I892" s="121"/>
      <c r="J892" s="120"/>
      <c r="K892" s="11"/>
    </row>
    <row r="893">
      <c r="A893" s="117"/>
      <c r="B893" s="117"/>
      <c r="C893" s="46"/>
      <c r="D893" s="46"/>
      <c r="E893" s="117"/>
      <c r="F893" s="117"/>
      <c r="G893" s="118"/>
      <c r="H893" s="8"/>
      <c r="I893" s="121"/>
      <c r="J893" s="120"/>
      <c r="K893" s="11"/>
    </row>
    <row r="894">
      <c r="A894" s="117"/>
      <c r="B894" s="117"/>
      <c r="C894" s="46"/>
      <c r="D894" s="46"/>
      <c r="E894" s="117"/>
      <c r="F894" s="117"/>
      <c r="G894" s="118"/>
      <c r="H894" s="8"/>
      <c r="I894" s="121"/>
      <c r="J894" s="120"/>
      <c r="K894" s="11"/>
    </row>
    <row r="895">
      <c r="A895" s="117"/>
      <c r="B895" s="117"/>
      <c r="C895" s="46"/>
      <c r="D895" s="46"/>
      <c r="E895" s="117"/>
      <c r="F895" s="117"/>
      <c r="G895" s="118"/>
      <c r="H895" s="8"/>
      <c r="I895" s="121"/>
      <c r="J895" s="120"/>
      <c r="K895" s="11"/>
    </row>
    <row r="896">
      <c r="A896" s="117"/>
      <c r="B896" s="117"/>
      <c r="C896" s="46"/>
      <c r="D896" s="46"/>
      <c r="E896" s="117"/>
      <c r="F896" s="117"/>
      <c r="G896" s="118"/>
      <c r="H896" s="8"/>
      <c r="I896" s="121"/>
      <c r="J896" s="120"/>
      <c r="K896" s="11"/>
    </row>
    <row r="897">
      <c r="A897" s="117"/>
      <c r="B897" s="117"/>
      <c r="C897" s="46"/>
      <c r="D897" s="46"/>
      <c r="E897" s="117"/>
      <c r="F897" s="117"/>
      <c r="G897" s="118"/>
      <c r="H897" s="8"/>
      <c r="I897" s="121"/>
      <c r="J897" s="120"/>
      <c r="K897" s="11"/>
    </row>
    <row r="898">
      <c r="A898" s="117"/>
      <c r="B898" s="117"/>
      <c r="C898" s="46"/>
      <c r="D898" s="46"/>
      <c r="E898" s="117"/>
      <c r="F898" s="117"/>
      <c r="G898" s="118"/>
      <c r="H898" s="8"/>
      <c r="I898" s="121"/>
      <c r="J898" s="120"/>
      <c r="K898" s="11"/>
    </row>
    <row r="899">
      <c r="A899" s="117"/>
      <c r="B899" s="117"/>
      <c r="C899" s="46"/>
      <c r="D899" s="46"/>
      <c r="E899" s="117"/>
      <c r="F899" s="117"/>
      <c r="G899" s="118"/>
      <c r="H899" s="8"/>
      <c r="I899" s="121"/>
      <c r="J899" s="120"/>
      <c r="K899" s="11"/>
    </row>
    <row r="900">
      <c r="A900" s="117"/>
      <c r="B900" s="117"/>
      <c r="C900" s="46"/>
      <c r="D900" s="46"/>
      <c r="E900" s="117"/>
      <c r="F900" s="117"/>
      <c r="G900" s="118"/>
      <c r="H900" s="8"/>
      <c r="I900" s="121"/>
      <c r="J900" s="120"/>
      <c r="K900" s="11"/>
    </row>
    <row r="901">
      <c r="A901" s="117"/>
      <c r="B901" s="117"/>
      <c r="C901" s="46"/>
      <c r="D901" s="46"/>
      <c r="E901" s="117"/>
      <c r="F901" s="117"/>
      <c r="G901" s="118"/>
      <c r="H901" s="8"/>
      <c r="I901" s="121"/>
      <c r="J901" s="120"/>
      <c r="K901" s="11"/>
    </row>
    <row r="902">
      <c r="A902" s="117"/>
      <c r="B902" s="117"/>
      <c r="C902" s="46"/>
      <c r="D902" s="46"/>
      <c r="E902" s="117"/>
      <c r="F902" s="117"/>
      <c r="G902" s="118"/>
      <c r="H902" s="8"/>
      <c r="I902" s="121"/>
      <c r="J902" s="120"/>
      <c r="K902" s="11"/>
    </row>
    <row r="903">
      <c r="A903" s="117"/>
      <c r="B903" s="117"/>
      <c r="C903" s="46"/>
      <c r="D903" s="46"/>
      <c r="E903" s="117"/>
      <c r="F903" s="117"/>
      <c r="G903" s="118"/>
      <c r="H903" s="8"/>
      <c r="I903" s="121"/>
      <c r="J903" s="120"/>
      <c r="K903" s="11"/>
    </row>
    <row r="904">
      <c r="A904" s="117"/>
      <c r="B904" s="117"/>
      <c r="C904" s="46"/>
      <c r="D904" s="46"/>
      <c r="E904" s="117"/>
      <c r="F904" s="117"/>
      <c r="G904" s="118"/>
      <c r="H904" s="8"/>
      <c r="I904" s="121"/>
      <c r="J904" s="120"/>
      <c r="K904" s="11"/>
    </row>
    <row r="905">
      <c r="A905" s="117"/>
      <c r="B905" s="117"/>
      <c r="C905" s="46"/>
      <c r="D905" s="46"/>
      <c r="E905" s="117"/>
      <c r="F905" s="117"/>
      <c r="G905" s="118"/>
      <c r="H905" s="8"/>
      <c r="I905" s="121"/>
      <c r="J905" s="120"/>
      <c r="K905" s="11"/>
    </row>
    <row r="906">
      <c r="A906" s="117"/>
      <c r="B906" s="117"/>
      <c r="C906" s="46"/>
      <c r="D906" s="46"/>
      <c r="E906" s="117"/>
      <c r="F906" s="117"/>
      <c r="G906" s="118"/>
      <c r="H906" s="8"/>
      <c r="I906" s="121"/>
      <c r="J906" s="120"/>
      <c r="K906" s="11"/>
    </row>
    <row r="907">
      <c r="A907" s="117"/>
      <c r="B907" s="117"/>
      <c r="C907" s="46"/>
      <c r="D907" s="46"/>
      <c r="E907" s="117"/>
      <c r="F907" s="117"/>
      <c r="G907" s="118"/>
      <c r="H907" s="8"/>
      <c r="I907" s="121"/>
      <c r="J907" s="120"/>
      <c r="K907" s="11"/>
    </row>
    <row r="908">
      <c r="A908" s="117"/>
      <c r="B908" s="117"/>
      <c r="C908" s="46"/>
      <c r="D908" s="46"/>
      <c r="E908" s="117"/>
      <c r="F908" s="117"/>
      <c r="G908" s="118"/>
      <c r="H908" s="8"/>
      <c r="I908" s="121"/>
      <c r="J908" s="120"/>
      <c r="K908" s="11"/>
    </row>
    <row r="909">
      <c r="A909" s="117"/>
      <c r="B909" s="117"/>
      <c r="C909" s="46"/>
      <c r="D909" s="46"/>
      <c r="E909" s="117"/>
      <c r="F909" s="117"/>
      <c r="G909" s="118"/>
      <c r="H909" s="8"/>
      <c r="I909" s="121"/>
      <c r="J909" s="120"/>
      <c r="K909" s="11"/>
    </row>
    <row r="910">
      <c r="A910" s="117"/>
      <c r="B910" s="117"/>
      <c r="C910" s="46"/>
      <c r="D910" s="46"/>
      <c r="E910" s="117"/>
      <c r="F910" s="117"/>
      <c r="G910" s="118"/>
      <c r="H910" s="8"/>
      <c r="I910" s="121"/>
      <c r="J910" s="120"/>
      <c r="K910" s="11"/>
    </row>
    <row r="911">
      <c r="A911" s="117"/>
      <c r="B911" s="117"/>
      <c r="C911" s="46"/>
      <c r="D911" s="46"/>
      <c r="E911" s="117"/>
      <c r="F911" s="117"/>
      <c r="G911" s="118"/>
      <c r="H911" s="8"/>
      <c r="I911" s="121"/>
      <c r="J911" s="120"/>
      <c r="K911" s="11"/>
    </row>
    <row r="912">
      <c r="A912" s="117"/>
      <c r="B912" s="117"/>
      <c r="C912" s="46"/>
      <c r="D912" s="46"/>
      <c r="E912" s="117"/>
      <c r="F912" s="117"/>
      <c r="G912" s="118"/>
      <c r="H912" s="8"/>
      <c r="I912" s="121"/>
      <c r="J912" s="120"/>
      <c r="K912" s="11"/>
    </row>
    <row r="913">
      <c r="A913" s="117"/>
      <c r="B913" s="117"/>
      <c r="C913" s="46"/>
      <c r="D913" s="46"/>
      <c r="E913" s="117"/>
      <c r="F913" s="117"/>
      <c r="G913" s="118"/>
      <c r="H913" s="8"/>
      <c r="I913" s="121"/>
      <c r="J913" s="120"/>
      <c r="K913" s="11"/>
    </row>
    <row r="914">
      <c r="A914" s="117"/>
      <c r="B914" s="117"/>
      <c r="C914" s="46"/>
      <c r="D914" s="46"/>
      <c r="E914" s="117"/>
      <c r="F914" s="117"/>
      <c r="G914" s="118"/>
      <c r="H914" s="8"/>
      <c r="I914" s="121"/>
      <c r="J914" s="120"/>
      <c r="K914" s="11"/>
    </row>
    <row r="915">
      <c r="A915" s="117"/>
      <c r="B915" s="117"/>
      <c r="C915" s="46"/>
      <c r="D915" s="46"/>
      <c r="E915" s="117"/>
      <c r="F915" s="117"/>
      <c r="G915" s="118"/>
      <c r="H915" s="8"/>
      <c r="I915" s="121"/>
      <c r="J915" s="120"/>
      <c r="K915" s="11"/>
    </row>
    <row r="916">
      <c r="A916" s="117"/>
      <c r="B916" s="117"/>
      <c r="C916" s="46"/>
      <c r="D916" s="46"/>
      <c r="E916" s="117"/>
      <c r="F916" s="117"/>
      <c r="G916" s="118"/>
      <c r="H916" s="8"/>
      <c r="I916" s="121"/>
      <c r="J916" s="120"/>
      <c r="K916" s="11"/>
    </row>
    <row r="917">
      <c r="A917" s="117"/>
      <c r="B917" s="117"/>
      <c r="C917" s="46"/>
      <c r="D917" s="46"/>
      <c r="E917" s="117"/>
      <c r="F917" s="117"/>
      <c r="G917" s="118"/>
      <c r="H917" s="8"/>
      <c r="I917" s="121"/>
      <c r="J917" s="120"/>
      <c r="K917" s="11"/>
    </row>
    <row r="918">
      <c r="A918" s="117"/>
      <c r="B918" s="117"/>
      <c r="C918" s="46"/>
      <c r="D918" s="46"/>
      <c r="E918" s="117"/>
      <c r="F918" s="117"/>
      <c r="G918" s="118"/>
      <c r="H918" s="8"/>
      <c r="I918" s="121"/>
      <c r="J918" s="120"/>
      <c r="K918" s="11"/>
    </row>
    <row r="919">
      <c r="A919" s="117"/>
      <c r="B919" s="117"/>
      <c r="C919" s="46"/>
      <c r="D919" s="46"/>
      <c r="E919" s="117"/>
      <c r="F919" s="117"/>
      <c r="G919" s="118"/>
      <c r="H919" s="8"/>
      <c r="I919" s="121"/>
      <c r="J919" s="120"/>
      <c r="K919" s="11"/>
    </row>
    <row r="920">
      <c r="A920" s="117"/>
      <c r="B920" s="117"/>
      <c r="C920" s="46"/>
      <c r="D920" s="46"/>
      <c r="E920" s="117"/>
      <c r="F920" s="117"/>
      <c r="G920" s="118"/>
      <c r="H920" s="8"/>
      <c r="I920" s="121"/>
      <c r="J920" s="120"/>
      <c r="K920" s="11"/>
    </row>
    <row r="921">
      <c r="A921" s="117"/>
      <c r="B921" s="117"/>
      <c r="C921" s="46"/>
      <c r="D921" s="46"/>
      <c r="E921" s="117"/>
      <c r="F921" s="117"/>
      <c r="G921" s="118"/>
      <c r="H921" s="8"/>
      <c r="I921" s="121"/>
      <c r="J921" s="120"/>
      <c r="K921" s="11"/>
    </row>
    <row r="922">
      <c r="A922" s="117"/>
      <c r="B922" s="117"/>
      <c r="C922" s="46"/>
      <c r="D922" s="46"/>
      <c r="E922" s="117"/>
      <c r="F922" s="117"/>
      <c r="G922" s="118"/>
      <c r="H922" s="8"/>
      <c r="I922" s="121"/>
      <c r="J922" s="120"/>
      <c r="K922" s="11"/>
    </row>
    <row r="923">
      <c r="A923" s="117"/>
      <c r="B923" s="117"/>
      <c r="C923" s="46"/>
      <c r="D923" s="46"/>
      <c r="E923" s="117"/>
      <c r="F923" s="117"/>
      <c r="G923" s="118"/>
      <c r="H923" s="8"/>
      <c r="I923" s="121"/>
      <c r="J923" s="120"/>
      <c r="K923" s="11"/>
    </row>
    <row r="924">
      <c r="A924" s="117"/>
      <c r="B924" s="117"/>
      <c r="C924" s="46"/>
      <c r="D924" s="46"/>
      <c r="E924" s="117"/>
      <c r="F924" s="117"/>
      <c r="G924" s="118"/>
      <c r="H924" s="8"/>
      <c r="I924" s="121"/>
      <c r="J924" s="120"/>
      <c r="K924" s="11"/>
    </row>
    <row r="925">
      <c r="A925" s="117"/>
      <c r="B925" s="117"/>
      <c r="C925" s="46"/>
      <c r="D925" s="46"/>
      <c r="E925" s="117"/>
      <c r="F925" s="117"/>
      <c r="G925" s="118"/>
      <c r="H925" s="8"/>
      <c r="I925" s="121"/>
      <c r="J925" s="120"/>
      <c r="K925" s="11"/>
    </row>
    <row r="926">
      <c r="A926" s="117"/>
      <c r="B926" s="117"/>
      <c r="C926" s="46"/>
      <c r="D926" s="46"/>
      <c r="E926" s="117"/>
      <c r="F926" s="117"/>
      <c r="G926" s="118"/>
      <c r="H926" s="8"/>
      <c r="I926" s="121"/>
      <c r="J926" s="120"/>
      <c r="K926" s="11"/>
    </row>
    <row r="927">
      <c r="A927" s="117"/>
      <c r="B927" s="117"/>
      <c r="C927" s="46"/>
      <c r="D927" s="46"/>
      <c r="E927" s="117"/>
      <c r="F927" s="117"/>
      <c r="G927" s="118"/>
      <c r="H927" s="8"/>
      <c r="I927" s="121"/>
      <c r="J927" s="120"/>
      <c r="K927" s="11"/>
    </row>
    <row r="928">
      <c r="A928" s="117"/>
      <c r="B928" s="117"/>
      <c r="C928" s="46"/>
      <c r="D928" s="46"/>
      <c r="E928" s="117"/>
      <c r="F928" s="117"/>
      <c r="G928" s="118"/>
      <c r="H928" s="8"/>
      <c r="I928" s="121"/>
      <c r="J928" s="120"/>
      <c r="K928" s="11"/>
    </row>
    <row r="929">
      <c r="A929" s="117"/>
      <c r="B929" s="117"/>
      <c r="C929" s="46"/>
      <c r="D929" s="46"/>
      <c r="E929" s="117"/>
      <c r="F929" s="117"/>
      <c r="G929" s="118"/>
      <c r="H929" s="8"/>
      <c r="I929" s="121"/>
      <c r="J929" s="120"/>
      <c r="K929" s="11"/>
    </row>
    <row r="930">
      <c r="A930" s="117"/>
      <c r="B930" s="117"/>
      <c r="C930" s="46"/>
      <c r="D930" s="46"/>
      <c r="E930" s="117"/>
      <c r="F930" s="117"/>
      <c r="G930" s="118"/>
      <c r="H930" s="8"/>
      <c r="I930" s="121"/>
      <c r="J930" s="120"/>
      <c r="K930" s="11"/>
    </row>
    <row r="931">
      <c r="A931" s="117"/>
      <c r="B931" s="117"/>
      <c r="C931" s="46"/>
      <c r="D931" s="46"/>
      <c r="E931" s="117"/>
      <c r="F931" s="117"/>
      <c r="G931" s="118"/>
      <c r="H931" s="8"/>
      <c r="I931" s="121"/>
      <c r="J931" s="120"/>
      <c r="K931" s="11"/>
    </row>
    <row r="932">
      <c r="A932" s="117"/>
      <c r="B932" s="117"/>
      <c r="C932" s="46"/>
      <c r="D932" s="46"/>
      <c r="E932" s="117"/>
      <c r="F932" s="117"/>
      <c r="G932" s="118"/>
      <c r="H932" s="8"/>
      <c r="I932" s="121"/>
      <c r="J932" s="120"/>
      <c r="K932" s="11"/>
    </row>
    <row r="933">
      <c r="A933" s="117"/>
      <c r="B933" s="117"/>
      <c r="C933" s="46"/>
      <c r="D933" s="46"/>
      <c r="E933" s="117"/>
      <c r="F933" s="117"/>
      <c r="G933" s="118"/>
      <c r="H933" s="8"/>
      <c r="I933" s="121"/>
      <c r="J933" s="120"/>
      <c r="K933" s="11"/>
    </row>
    <row r="934">
      <c r="A934" s="117"/>
      <c r="B934" s="117"/>
      <c r="C934" s="46"/>
      <c r="D934" s="46"/>
      <c r="E934" s="117"/>
      <c r="F934" s="117"/>
      <c r="G934" s="118"/>
      <c r="H934" s="8"/>
      <c r="I934" s="121"/>
      <c r="J934" s="120"/>
      <c r="K934" s="11"/>
    </row>
    <row r="935">
      <c r="A935" s="117"/>
      <c r="B935" s="117"/>
      <c r="C935" s="46"/>
      <c r="D935" s="46"/>
      <c r="E935" s="117"/>
      <c r="F935" s="117"/>
      <c r="G935" s="118"/>
      <c r="H935" s="8"/>
      <c r="I935" s="121"/>
      <c r="J935" s="120"/>
      <c r="K935" s="11"/>
    </row>
    <row r="936">
      <c r="A936" s="117"/>
      <c r="B936" s="117"/>
      <c r="C936" s="46"/>
      <c r="D936" s="46"/>
      <c r="E936" s="117"/>
      <c r="F936" s="117"/>
      <c r="G936" s="118"/>
      <c r="H936" s="8"/>
      <c r="I936" s="121"/>
      <c r="J936" s="120"/>
      <c r="K936" s="11"/>
    </row>
    <row r="937">
      <c r="A937" s="117"/>
      <c r="B937" s="117"/>
      <c r="C937" s="46"/>
      <c r="D937" s="46"/>
      <c r="E937" s="117"/>
      <c r="F937" s="117"/>
      <c r="G937" s="118"/>
      <c r="H937" s="8"/>
      <c r="I937" s="121"/>
      <c r="J937" s="120"/>
      <c r="K937" s="11"/>
    </row>
    <row r="938">
      <c r="A938" s="117"/>
      <c r="B938" s="117"/>
      <c r="C938" s="46"/>
      <c r="D938" s="46"/>
      <c r="E938" s="117"/>
      <c r="F938" s="117"/>
      <c r="G938" s="118"/>
      <c r="H938" s="8"/>
      <c r="I938" s="121"/>
      <c r="J938" s="120"/>
      <c r="K938" s="11"/>
    </row>
    <row r="939">
      <c r="A939" s="117"/>
      <c r="B939" s="117"/>
      <c r="C939" s="46"/>
      <c r="D939" s="46"/>
      <c r="E939" s="117"/>
      <c r="F939" s="117"/>
      <c r="G939" s="118"/>
      <c r="H939" s="8"/>
      <c r="I939" s="121"/>
      <c r="J939" s="120"/>
      <c r="K939" s="11"/>
    </row>
    <row r="940">
      <c r="A940" s="117"/>
      <c r="B940" s="117"/>
      <c r="C940" s="46"/>
      <c r="D940" s="46"/>
      <c r="E940" s="117"/>
      <c r="F940" s="117"/>
      <c r="G940" s="118"/>
      <c r="H940" s="8"/>
      <c r="I940" s="121"/>
      <c r="J940" s="120"/>
      <c r="K940" s="11"/>
    </row>
    <row r="941">
      <c r="A941" s="117"/>
      <c r="B941" s="117"/>
      <c r="C941" s="46"/>
      <c r="D941" s="46"/>
      <c r="E941" s="117"/>
      <c r="F941" s="117"/>
      <c r="G941" s="118"/>
      <c r="H941" s="8"/>
      <c r="I941" s="121"/>
      <c r="J941" s="120"/>
      <c r="K941" s="11"/>
    </row>
    <row r="942">
      <c r="A942" s="117"/>
      <c r="B942" s="117"/>
      <c r="C942" s="46"/>
      <c r="D942" s="46"/>
      <c r="E942" s="117"/>
      <c r="F942" s="117"/>
      <c r="G942" s="118"/>
      <c r="H942" s="8"/>
      <c r="I942" s="121"/>
      <c r="J942" s="120"/>
      <c r="K942" s="11"/>
    </row>
    <row r="943">
      <c r="A943" s="117"/>
      <c r="B943" s="117"/>
      <c r="C943" s="46"/>
      <c r="D943" s="46"/>
      <c r="E943" s="117"/>
      <c r="F943" s="117"/>
      <c r="G943" s="118"/>
      <c r="H943" s="8"/>
      <c r="I943" s="121"/>
      <c r="J943" s="120"/>
      <c r="K943" s="11"/>
    </row>
    <row r="944">
      <c r="A944" s="117"/>
      <c r="B944" s="117"/>
      <c r="C944" s="46"/>
      <c r="D944" s="46"/>
      <c r="E944" s="117"/>
      <c r="F944" s="117"/>
      <c r="G944" s="118"/>
      <c r="H944" s="8"/>
      <c r="I944" s="121"/>
      <c r="J944" s="120"/>
      <c r="K944" s="11"/>
    </row>
    <row r="945">
      <c r="A945" s="117"/>
      <c r="B945" s="117"/>
      <c r="C945" s="46"/>
      <c r="D945" s="46"/>
      <c r="E945" s="117"/>
      <c r="F945" s="117"/>
      <c r="G945" s="118"/>
      <c r="H945" s="8"/>
      <c r="I945" s="121"/>
      <c r="J945" s="120"/>
      <c r="K945" s="11"/>
    </row>
    <row r="946">
      <c r="A946" s="117"/>
      <c r="B946" s="117"/>
      <c r="C946" s="46"/>
      <c r="D946" s="46"/>
      <c r="E946" s="117"/>
      <c r="F946" s="117"/>
      <c r="G946" s="118"/>
      <c r="H946" s="8"/>
      <c r="I946" s="121"/>
      <c r="J946" s="120"/>
      <c r="K946" s="11"/>
    </row>
    <row r="947">
      <c r="A947" s="117"/>
      <c r="B947" s="117"/>
      <c r="C947" s="46"/>
      <c r="D947" s="46"/>
      <c r="E947" s="117"/>
      <c r="F947" s="117"/>
      <c r="G947" s="118"/>
      <c r="H947" s="8"/>
      <c r="I947" s="121"/>
      <c r="J947" s="120"/>
      <c r="K947" s="11"/>
    </row>
    <row r="948">
      <c r="A948" s="117"/>
      <c r="B948" s="117"/>
      <c r="C948" s="46"/>
      <c r="D948" s="46"/>
      <c r="E948" s="117"/>
      <c r="F948" s="117"/>
      <c r="G948" s="118"/>
      <c r="H948" s="8"/>
      <c r="I948" s="121"/>
      <c r="J948" s="120"/>
      <c r="K948" s="11"/>
    </row>
    <row r="949">
      <c r="A949" s="117"/>
      <c r="B949" s="117"/>
      <c r="C949" s="46"/>
      <c r="D949" s="46"/>
      <c r="E949" s="117"/>
      <c r="F949" s="117"/>
      <c r="G949" s="118"/>
      <c r="H949" s="8"/>
      <c r="I949" s="121"/>
      <c r="J949" s="120"/>
      <c r="K949" s="11"/>
    </row>
  </sheetData>
  <conditionalFormatting sqref="I1:K4">
    <cfRule type="expression" dxfId="0" priority="1">
      <formula>AND(D1&lt;&gt;"",I1="")</formula>
    </cfRule>
  </conditionalFormatting>
  <conditionalFormatting sqref="I5:I949">
    <cfRule type="expression" dxfId="0" priority="2">
      <formula>AND(I5:I58="",D5:D58&lt;&gt;"")</formula>
    </cfRule>
  </conditionalFormatting>
  <dataValidations>
    <dataValidation type="list" allowBlank="1" sqref="D5:D949">
      <formula1>Standings!$E$4:$E$242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75"/>
  <cols>
    <col customWidth="1" min="1" max="1" width="14.25"/>
    <col customWidth="1" min="2" max="2" width="22.5"/>
    <col customWidth="1" hidden="1" min="3" max="3" width="17.0"/>
    <col customWidth="1" hidden="1" min="4" max="4" width="29.75"/>
    <col customWidth="1" min="5" max="5" width="8.88"/>
    <col customWidth="1" min="6" max="6" width="8.25"/>
    <col customWidth="1" min="7" max="7" width="32.88"/>
    <col customWidth="1" min="8" max="8" width="30.25"/>
    <col customWidth="1" min="9" max="17" width="6.88"/>
    <col customWidth="1" min="18" max="21" width="7.38"/>
    <col customWidth="1" min="22" max="22" width="15.5"/>
    <col customWidth="1" min="23" max="34" width="7.38"/>
  </cols>
  <sheetData>
    <row r="1">
      <c r="A1" s="110" t="str">
        <f>Standings!A1</f>
        <v>ARENA GAUNTLET LEAGUE: Secrets of Strixhaven</v>
      </c>
      <c r="B1" s="122"/>
      <c r="C1" s="122"/>
      <c r="D1" s="122"/>
      <c r="E1" s="122"/>
      <c r="F1" s="122"/>
      <c r="G1" s="1"/>
      <c r="H1" s="1"/>
      <c r="I1" s="1"/>
      <c r="J1" s="123"/>
      <c r="K1" s="124" t="s">
        <v>650</v>
      </c>
      <c r="L1" s="1">
        <f>Quotas!B2</f>
        <v>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idden="1">
      <c r="A2" s="125" t="s">
        <v>651</v>
      </c>
      <c r="G2" s="1"/>
      <c r="H2" s="1"/>
      <c r="I2" s="1"/>
      <c r="J2" s="123"/>
      <c r="K2" s="123"/>
      <c r="L2" s="12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idden="1">
      <c r="G3" s="1"/>
      <c r="H3" s="1"/>
      <c r="I3" s="1"/>
      <c r="J3" s="123"/>
      <c r="K3" s="123"/>
      <c r="L3" s="12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idden="1">
      <c r="G4" s="1"/>
      <c r="H4" s="1"/>
      <c r="I4" s="1"/>
      <c r="J4" s="123"/>
      <c r="K4" s="123"/>
      <c r="L4" s="12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24.75" customHeight="1">
      <c r="G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26" t="s">
        <v>652</v>
      </c>
      <c r="B6" s="21" t="s">
        <v>21</v>
      </c>
      <c r="C6" s="64" t="s">
        <v>653</v>
      </c>
      <c r="D6" s="64" t="s">
        <v>654</v>
      </c>
      <c r="E6" s="24" t="s">
        <v>655</v>
      </c>
      <c r="F6" s="24" t="s">
        <v>656</v>
      </c>
      <c r="G6" s="21" t="s">
        <v>657</v>
      </c>
      <c r="H6" s="127" t="s">
        <v>658</v>
      </c>
      <c r="I6" s="128" t="s">
        <v>659</v>
      </c>
      <c r="J6" s="128" t="s">
        <v>660</v>
      </c>
      <c r="K6" s="128" t="s">
        <v>661</v>
      </c>
      <c r="L6" s="128" t="s">
        <v>662</v>
      </c>
      <c r="M6" s="128" t="s">
        <v>663</v>
      </c>
      <c r="N6" s="128" t="s">
        <v>664</v>
      </c>
      <c r="O6" s="128" t="s">
        <v>665</v>
      </c>
      <c r="P6" s="128" t="s">
        <v>666</v>
      </c>
      <c r="Q6" s="128" t="s">
        <v>667</v>
      </c>
      <c r="R6" s="128" t="s">
        <v>668</v>
      </c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</row>
    <row r="7">
      <c r="A7" s="31" t="str">
        <f>IFERROR(__xludf.DUMMYFUNCTION("QUERY('Player Database'!B2:E1009,""SELECT C,E WHERE E!=' ' AND E!='' ORDER BY C"")"),"#REF!")</f>
        <v>#REF!</v>
      </c>
      <c r="B7" s="31" t="str">
        <f>IFERROR(__xludf.DUMMYFUNCTION("""COMPUTED_VALUE"""),"#REF!")</f>
        <v>#REF!</v>
      </c>
      <c r="C7" s="129" t="str">
        <f t="array" ref="C7">INDEX('Player Database'!$D:$D,MATCH($D7,'Player Database'!$B:$B,0))</f>
        <v>#N/A</v>
      </c>
      <c r="D7" s="9" t="str">
        <f t="shared" ref="D7:D245" si="1">A7 &amp; " - " &amp; B7</f>
        <v>#REF! - #REF!</v>
      </c>
      <c r="E7" s="130" t="str">
        <f t="array" ref="E7">XLOOKUP($D7,'Player Database'!$B$2:$B1009,'Player Database'!$I$2:$I1009)</f>
        <v>#N/A</v>
      </c>
      <c r="F7" s="130" t="str">
        <f t="array" ref="F7">XLOOKUP($D7,'Player Database'!$B$2:$B1009,'Player Database'!$J$2:$J1009)</f>
        <v>#N/A</v>
      </c>
      <c r="G7" s="131" t="str">
        <f t="array" ref="G7">IF(H7="","",IFERROR(
  "https://sealeddeck.tech/" &amp; INDEX('Pool Changes'!F:F,
    MAX(
      ROW('Pool Changes'!A:A) *
      ('Pool Changes'!B:B=D7) *
      ('Pool Changes'!F:F&lt;&gt;"")
    )
  ),
  ""
))</f>
        <v/>
      </c>
      <c r="H7" s="131" t="str">
        <f>IFERROR(__xludf.DUMMYFUNCTION("LET(changes,FILTER('Pool Changes'!$B:$D, 'Pool Changes'!$B:$B = $D7),added,FILTER(INDEX(changes,0,3),INDEX(changes,0,2)=""starting pool""),TRANSPOSE(IFERROR(ARRAYFORMULA(IF(added&lt;&gt;"""",""https://sealeddeck.tech/""&amp;added,"""")),"""")))"),"")</f>
        <v/>
      </c>
      <c r="I7" s="132" t="str">
        <f>IFERROR(__xludf.DUMMYFUNCTION("LET(changes,FILTER('Pool Changes'!$B:$D, 'Pool Changes'!$B:$B = $D7),added,FILTER(INDEX(changes,0,3),INDEX(changes,0,2)=""add pack""),IFERROR(TRANSPOSE(ARRAYFORMULA(IF(added&lt;&gt;"""",HYPERLINK(""https://sealeddeck.tech/""&amp;added,""Link""),""""))),""""))"),"")</f>
        <v/>
      </c>
      <c r="J7" s="133"/>
      <c r="K7" s="133"/>
      <c r="L7" s="133"/>
      <c r="M7" s="133"/>
      <c r="N7" s="133"/>
      <c r="O7" s="133"/>
      <c r="P7" s="133"/>
      <c r="Q7" s="133"/>
      <c r="R7" s="133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</row>
    <row r="8">
      <c r="C8" s="129" t="str">
        <f t="array" ref="C8">INDEX('Player Database'!$D:$D,MATCH($D8,'Player Database'!$B:$B,0))</f>
        <v>#N/A</v>
      </c>
      <c r="D8" s="9" t="str">
        <f t="shared" si="1"/>
        <v> - </v>
      </c>
      <c r="E8" s="130" t="str">
        <f t="array" ref="E8">XLOOKUP($D8,'Player Database'!$B$2:$B1009,'Player Database'!$I$2:$I1009)</f>
        <v>#N/A</v>
      </c>
      <c r="F8" s="130" t="str">
        <f t="array" ref="F8">XLOOKUP($D8,'Player Database'!$B$2:$B1009,'Player Database'!$J$2:$J1009)</f>
        <v>#N/A</v>
      </c>
      <c r="G8" s="131" t="str">
        <f t="array" ref="G8">IF(H8="","",IFERROR(
  "https://sealeddeck.tech/" &amp; INDEX('Pool Changes'!F:F,
    MAX(
      ROW('Pool Changes'!A:A) *
      ('Pool Changes'!B:B=D8) *
      ('Pool Changes'!F:F&lt;&gt;"")
    )
  ),
  ""
))</f>
        <v/>
      </c>
      <c r="H8" s="131" t="str">
        <f>IFERROR(__xludf.DUMMYFUNCTION("LET(changes,FILTER('Pool Changes'!$B:$D, 'Pool Changes'!$B:$B = $D8),added,FILTER(INDEX(changes,0,3),INDEX(changes,0,2)=""starting pool""),TRANSPOSE(IFERROR(ARRAYFORMULA(IF(added&lt;&gt;"""",""https://sealeddeck.tech/""&amp;added,"""")),"""")))"),"")</f>
        <v/>
      </c>
      <c r="I8" s="132" t="str">
        <f>IFERROR(__xludf.DUMMYFUNCTION("LET(changes,FILTER('Pool Changes'!$B:$D, 'Pool Changes'!$B:$B = $D8),added,FILTER(INDEX(changes,0,3),INDEX(changes,0,2)=""add pack""),IFERROR(TRANSPOSE(ARRAYFORMULA(IF(added&lt;&gt;"""",HYPERLINK(""https://sealeddeck.tech/""&amp;added,""Link""),""""))),""""))"),"")</f>
        <v/>
      </c>
      <c r="J8" s="132"/>
      <c r="K8" s="132"/>
      <c r="L8" s="133"/>
      <c r="M8" s="135"/>
      <c r="N8" s="135"/>
      <c r="O8" s="135"/>
      <c r="P8" s="133"/>
      <c r="Q8" s="135"/>
      <c r="R8" s="135"/>
      <c r="S8" s="134"/>
    </row>
    <row r="9">
      <c r="C9" s="129" t="str">
        <f t="array" ref="C9">INDEX('Player Database'!$D:$D,MATCH($D9,'Player Database'!$B:$B,0))</f>
        <v>#N/A</v>
      </c>
      <c r="D9" s="9" t="str">
        <f t="shared" si="1"/>
        <v> - </v>
      </c>
      <c r="E9" s="130" t="str">
        <f t="array" ref="E9">XLOOKUP($D9,'Player Database'!$B$2:$B1009,'Player Database'!$I$2:$I1009)</f>
        <v>#N/A</v>
      </c>
      <c r="F9" s="130" t="str">
        <f t="array" ref="F9">XLOOKUP($D9,'Player Database'!$B$2:$B1009,'Player Database'!$J$2:$J1009)</f>
        <v>#N/A</v>
      </c>
      <c r="G9" s="131" t="str">
        <f t="array" ref="G9">IF(H9="","",IFERROR(
  "https://sealeddeck.tech/" &amp; INDEX('Pool Changes'!F:F,
    MAX(
      ROW('Pool Changes'!A:A) *
      ('Pool Changes'!B:B=D9) *
      ('Pool Changes'!F:F&lt;&gt;"")
    )
  ),
  ""
))</f>
        <v/>
      </c>
      <c r="H9" s="131" t="str">
        <f>IFERROR(__xludf.DUMMYFUNCTION("LET(changes,FILTER('Pool Changes'!$B:$D, 'Pool Changes'!$B:$B = $D9),added,FILTER(INDEX(changes,0,3),INDEX(changes,0,2)=""starting pool""),TRANSPOSE(IFERROR(ARRAYFORMULA(IF(added&lt;&gt;"""",""https://sealeddeck.tech/""&amp;added,"""")),"""")))"),"")</f>
        <v/>
      </c>
      <c r="I9" s="132" t="str">
        <f>IFERROR(__xludf.DUMMYFUNCTION("LET(changes,FILTER('Pool Changes'!$B:$D, 'Pool Changes'!$B:$B = $D9),added,FILTER(INDEX(changes,0,3),INDEX(changes,0,2)=""add pack""),IFERROR(TRANSPOSE(ARRAYFORMULA(IF(added&lt;&gt;"""",HYPERLINK(""https://sealeddeck.tech/""&amp;added,""Link""),""""))),""""))"),"")</f>
        <v/>
      </c>
      <c r="J9" s="132"/>
      <c r="K9" s="132"/>
      <c r="L9" s="133"/>
      <c r="M9" s="135"/>
      <c r="N9" s="135"/>
      <c r="O9" s="135"/>
      <c r="P9" s="133"/>
      <c r="Q9" s="135"/>
      <c r="R9" s="135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</row>
    <row r="10">
      <c r="C10" s="129" t="str">
        <f t="array" ref="C10">INDEX('Player Database'!$D:$D,MATCH($D10,'Player Database'!$B:$B,0))</f>
        <v>#N/A</v>
      </c>
      <c r="D10" s="9" t="str">
        <f t="shared" si="1"/>
        <v> - </v>
      </c>
      <c r="E10" s="130" t="str">
        <f t="array" ref="E10">XLOOKUP($D10,'Player Database'!$B$2:$B1009,'Player Database'!$I$2:$I1009)</f>
        <v>#N/A</v>
      </c>
      <c r="F10" s="130" t="str">
        <f t="array" ref="F10">XLOOKUP($D10,'Player Database'!$B$2:$B1009,'Player Database'!$J$2:$J1009)</f>
        <v>#N/A</v>
      </c>
      <c r="G10" s="131" t="str">
        <f t="array" ref="G10">IF(H10="","",IFERROR(
  "https://sealeddeck.tech/" &amp; INDEX('Pool Changes'!F:F,
    MAX(
      ROW('Pool Changes'!A:A) *
      ('Pool Changes'!B:B=D10) *
      ('Pool Changes'!F:F&lt;&gt;"")
    )
  ),
  ""
))</f>
        <v/>
      </c>
      <c r="H10" s="131" t="str">
        <f>IFERROR(__xludf.DUMMYFUNCTION("LET(changes,FILTER('Pool Changes'!$B:$D, 'Pool Changes'!$B:$B = $D10),added,FILTER(INDEX(changes,0,3),INDEX(changes,0,2)=""starting pool""),TRANSPOSE(IFERROR(ARRAYFORMULA(IF(added&lt;&gt;"""",""https://sealeddeck.tech/""&amp;added,"""")),"""")))"),"")</f>
        <v/>
      </c>
      <c r="I10" s="132" t="str">
        <f>IFERROR(__xludf.DUMMYFUNCTION("LET(changes,FILTER('Pool Changes'!$B:$D, 'Pool Changes'!$B:$B = $D10),added,FILTER(INDEX(changes,0,3),INDEX(changes,0,2)=""add pack""),IFERROR(TRANSPOSE(ARRAYFORMULA(IF(added&lt;&gt;"""",HYPERLINK(""https://sealeddeck.tech/""&amp;added,""Link""),""""))),""""))"),"")</f>
        <v/>
      </c>
      <c r="J10" s="132"/>
      <c r="K10" s="132"/>
      <c r="L10" s="133"/>
      <c r="M10" s="135"/>
      <c r="N10" s="135"/>
      <c r="O10" s="135"/>
      <c r="P10" s="133"/>
      <c r="Q10" s="135"/>
      <c r="R10" s="135"/>
      <c r="S10" s="134"/>
      <c r="T10" s="134"/>
      <c r="U10" s="134"/>
      <c r="V10" s="136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</row>
    <row r="11">
      <c r="C11" s="129" t="str">
        <f t="array" ref="C11">INDEX('Player Database'!$D:$D,MATCH($D11,'Player Database'!$B:$B,0))</f>
        <v>#N/A</v>
      </c>
      <c r="D11" s="9" t="str">
        <f t="shared" si="1"/>
        <v> - </v>
      </c>
      <c r="E11" s="130" t="str">
        <f t="array" ref="E11">XLOOKUP($D11,'Player Database'!$B$2:$B1009,'Player Database'!$I$2:$I1009)</f>
        <v>#N/A</v>
      </c>
      <c r="F11" s="130" t="str">
        <f t="array" ref="F11">XLOOKUP($D11,'Player Database'!$B$2:$B1009,'Player Database'!$J$2:$J1009)</f>
        <v>#N/A</v>
      </c>
      <c r="G11" s="131" t="str">
        <f t="array" ref="G11">IF(H11="","",IFERROR(
  "https://sealeddeck.tech/" &amp; INDEX('Pool Changes'!F:F,
    MAX(
      ROW('Pool Changes'!A:A) *
      ('Pool Changes'!B:B=D11) *
      ('Pool Changes'!F:F&lt;&gt;"")
    )
  ),
  ""
))</f>
        <v/>
      </c>
      <c r="H11" s="131" t="str">
        <f>IFERROR(__xludf.DUMMYFUNCTION("LET(changes,FILTER('Pool Changes'!$B:$D, 'Pool Changes'!$B:$B = $D11),added,FILTER(INDEX(changes,0,3),INDEX(changes,0,2)=""starting pool""),TRANSPOSE(IFERROR(ARRAYFORMULA(IF(added&lt;&gt;"""",""https://sealeddeck.tech/""&amp;added,"""")),"""")))"),"")</f>
        <v/>
      </c>
      <c r="I11" s="132" t="str">
        <f>IFERROR(__xludf.DUMMYFUNCTION("LET(changes,FILTER('Pool Changes'!$B:$D, 'Pool Changes'!$B:$B = $D11),added,FILTER(INDEX(changes,0,3),INDEX(changes,0,2)=""add pack""),IFERROR(TRANSPOSE(ARRAYFORMULA(IF(added&lt;&gt;"""",HYPERLINK(""https://sealeddeck.tech/""&amp;added,""Link""),""""))),""""))"),"")</f>
        <v/>
      </c>
      <c r="J11" s="132"/>
      <c r="K11" s="132"/>
      <c r="L11" s="133"/>
      <c r="M11" s="135"/>
      <c r="N11" s="135"/>
      <c r="O11" s="135"/>
      <c r="P11" s="133"/>
      <c r="Q11" s="135"/>
      <c r="R11" s="135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</row>
    <row r="12">
      <c r="C12" s="129" t="str">
        <f t="array" ref="C12">INDEX('Player Database'!$D:$D,MATCH($D12,'Player Database'!$B:$B,0))</f>
        <v>#N/A</v>
      </c>
      <c r="D12" s="9" t="str">
        <f t="shared" si="1"/>
        <v> - </v>
      </c>
      <c r="E12" s="130" t="str">
        <f t="array" ref="E12">XLOOKUP($D12,'Player Database'!$B$2:$B1009,'Player Database'!$I$2:$I1009)</f>
        <v>#N/A</v>
      </c>
      <c r="F12" s="130" t="str">
        <f t="array" ref="F12">XLOOKUP($D12,'Player Database'!$B$2:$B1009,'Player Database'!$J$2:$J1009)</f>
        <v>#N/A</v>
      </c>
      <c r="G12" s="131" t="str">
        <f t="array" ref="G12">IF(H12="","",IFERROR(
  "https://sealeddeck.tech/" &amp; INDEX('Pool Changes'!F:F,
    MAX(
      ROW('Pool Changes'!A:A) *
      ('Pool Changes'!B:B=D12) *
      ('Pool Changes'!F:F&lt;&gt;"")
    )
  ),
  ""
))</f>
        <v/>
      </c>
      <c r="H12" s="131" t="str">
        <f>IFERROR(__xludf.DUMMYFUNCTION("LET(changes,FILTER('Pool Changes'!$B:$D, 'Pool Changes'!$B:$B = $D12),added,FILTER(INDEX(changes,0,3),INDEX(changes,0,2)=""starting pool""),TRANSPOSE(IFERROR(ARRAYFORMULA(IF(added&lt;&gt;"""",""https://sealeddeck.tech/""&amp;added,"""")),"""")))"),"")</f>
        <v/>
      </c>
      <c r="I12" s="132" t="str">
        <f>IFERROR(__xludf.DUMMYFUNCTION("LET(changes,FILTER('Pool Changes'!$B:$D, 'Pool Changes'!$B:$B = $D12),added,FILTER(INDEX(changes,0,3),INDEX(changes,0,2)=""add pack""),IFERROR(TRANSPOSE(ARRAYFORMULA(IF(added&lt;&gt;"""",HYPERLINK(""https://sealeddeck.tech/""&amp;added,""Link""),""""))),""""))"),"")</f>
        <v/>
      </c>
      <c r="J12" s="132"/>
      <c r="K12" s="132"/>
      <c r="L12" s="133"/>
      <c r="M12" s="135"/>
      <c r="N12" s="135"/>
      <c r="O12" s="135"/>
      <c r="P12" s="133"/>
      <c r="Q12" s="135"/>
      <c r="R12" s="135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</row>
    <row r="13">
      <c r="C13" s="129" t="str">
        <f t="array" ref="C13">INDEX('Player Database'!$D:$D,MATCH($D13,'Player Database'!$B:$B,0))</f>
        <v>#N/A</v>
      </c>
      <c r="D13" s="9" t="str">
        <f t="shared" si="1"/>
        <v> - </v>
      </c>
      <c r="E13" s="130" t="str">
        <f t="array" ref="E13">XLOOKUP($D13,'Player Database'!$B$2:$B1009,'Player Database'!$I$2:$I1009)</f>
        <v>#N/A</v>
      </c>
      <c r="F13" s="130" t="str">
        <f t="array" ref="F13">XLOOKUP($D13,'Player Database'!$B$2:$B1009,'Player Database'!$J$2:$J1009)</f>
        <v>#N/A</v>
      </c>
      <c r="G13" s="131" t="str">
        <f t="array" ref="G13">IF(H13="","",IFERROR(
  "https://sealeddeck.tech/" &amp; INDEX('Pool Changes'!F:F,
    MAX(
      ROW('Pool Changes'!A:A) *
      ('Pool Changes'!B:B=D13) *
      ('Pool Changes'!F:F&lt;&gt;"")
    )
  ),
  ""
))</f>
        <v/>
      </c>
      <c r="H13" s="131" t="str">
        <f>IFERROR(__xludf.DUMMYFUNCTION("LET(changes,FILTER('Pool Changes'!$B:$D, 'Pool Changes'!$B:$B = $D13),added,FILTER(INDEX(changes,0,3),INDEX(changes,0,2)=""starting pool""),TRANSPOSE(IFERROR(ARRAYFORMULA(IF(added&lt;&gt;"""",""https://sealeddeck.tech/""&amp;added,"""")),"""")))"),"")</f>
        <v/>
      </c>
      <c r="I13" s="132" t="str">
        <f>IFERROR(__xludf.DUMMYFUNCTION("LET(changes,FILTER('Pool Changes'!$B:$D, 'Pool Changes'!$B:$B = $D13),added,FILTER(INDEX(changes,0,3),INDEX(changes,0,2)=""add pack""),IFERROR(TRANSPOSE(ARRAYFORMULA(IF(added&lt;&gt;"""",HYPERLINK(""https://sealeddeck.tech/""&amp;added,""Link""),""""))),""""))"),"")</f>
        <v/>
      </c>
      <c r="J13" s="132"/>
      <c r="K13" s="132"/>
      <c r="L13" s="133"/>
      <c r="M13" s="135"/>
      <c r="N13" s="135"/>
      <c r="O13" s="135"/>
      <c r="P13" s="133"/>
      <c r="Q13" s="135"/>
      <c r="R13" s="135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</row>
    <row r="14">
      <c r="C14" s="129" t="str">
        <f t="array" ref="C14">INDEX('Player Database'!$D:$D,MATCH($D14,'Player Database'!$B:$B,0))</f>
        <v>#N/A</v>
      </c>
      <c r="D14" s="9" t="str">
        <f t="shared" si="1"/>
        <v> - </v>
      </c>
      <c r="E14" s="130" t="str">
        <f t="array" ref="E14">XLOOKUP($D14,'Player Database'!$B$2:$B1009,'Player Database'!$I$2:$I1009)</f>
        <v>#N/A</v>
      </c>
      <c r="F14" s="130" t="str">
        <f t="array" ref="F14">XLOOKUP($D14,'Player Database'!$B$2:$B1009,'Player Database'!$J$2:$J1009)</f>
        <v>#N/A</v>
      </c>
      <c r="G14" s="131" t="str">
        <f t="array" ref="G14">IF(H14="","",IFERROR(
  "https://sealeddeck.tech/" &amp; INDEX('Pool Changes'!F:F,
    MAX(
      ROW('Pool Changes'!A:A) *
      ('Pool Changes'!B:B=D14) *
      ('Pool Changes'!F:F&lt;&gt;"")
    )
  ),
  ""
))</f>
        <v/>
      </c>
      <c r="H14" s="131" t="str">
        <f>IFERROR(__xludf.DUMMYFUNCTION("LET(changes,FILTER('Pool Changes'!$B:$D, 'Pool Changes'!$B:$B = $D14),added,FILTER(INDEX(changes,0,3),INDEX(changes,0,2)=""starting pool""),TRANSPOSE(IFERROR(ARRAYFORMULA(IF(added&lt;&gt;"""",""https://sealeddeck.tech/""&amp;added,"""")),"""")))"),"")</f>
        <v/>
      </c>
      <c r="I14" s="132" t="str">
        <f>IFERROR(__xludf.DUMMYFUNCTION("LET(changes,FILTER('Pool Changes'!$B:$D, 'Pool Changes'!$B:$B = $D14),added,FILTER(INDEX(changes,0,3),INDEX(changes,0,2)=""add pack""),IFERROR(TRANSPOSE(ARRAYFORMULA(IF(added&lt;&gt;"""",HYPERLINK(""https://sealeddeck.tech/""&amp;added,""Link""),""""))),""""))"),"")</f>
        <v/>
      </c>
      <c r="J14" s="132"/>
      <c r="K14" s="132"/>
      <c r="L14" s="133"/>
      <c r="M14" s="135"/>
      <c r="N14" s="135"/>
      <c r="O14" s="135"/>
      <c r="P14" s="133"/>
      <c r="Q14" s="135"/>
      <c r="R14" s="135"/>
      <c r="S14" s="134"/>
      <c r="T14" s="134"/>
      <c r="U14" s="134"/>
      <c r="V14" s="136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</row>
    <row r="15">
      <c r="C15" s="129" t="str">
        <f t="array" ref="C15">INDEX('Player Database'!$D:$D,MATCH($D15,'Player Database'!$B:$B,0))</f>
        <v>#N/A</v>
      </c>
      <c r="D15" s="9" t="str">
        <f t="shared" si="1"/>
        <v> - </v>
      </c>
      <c r="E15" s="130" t="str">
        <f t="array" ref="E15">XLOOKUP($D15,'Player Database'!$B$2:$B1009,'Player Database'!$I$2:$I1009)</f>
        <v>#N/A</v>
      </c>
      <c r="F15" s="130" t="str">
        <f t="array" ref="F15">XLOOKUP($D15,'Player Database'!$B$2:$B1009,'Player Database'!$J$2:$J1009)</f>
        <v>#N/A</v>
      </c>
      <c r="G15" s="131" t="str">
        <f t="array" ref="G15">IF(H15="","",IFERROR(
  "https://sealeddeck.tech/" &amp; INDEX('Pool Changes'!F:F,
    MAX(
      ROW('Pool Changes'!A:A) *
      ('Pool Changes'!B:B=D15) *
      ('Pool Changes'!F:F&lt;&gt;"")
    )
  ),
  ""
))</f>
        <v/>
      </c>
      <c r="H15" s="131" t="str">
        <f>IFERROR(__xludf.DUMMYFUNCTION("LET(changes,FILTER('Pool Changes'!$B:$D, 'Pool Changes'!$B:$B = $D15),added,FILTER(INDEX(changes,0,3),INDEX(changes,0,2)=""starting pool""),TRANSPOSE(IFERROR(ARRAYFORMULA(IF(added&lt;&gt;"""",""https://sealeddeck.tech/""&amp;added,"""")),"""")))"),"")</f>
        <v/>
      </c>
      <c r="I15" s="132" t="str">
        <f>IFERROR(__xludf.DUMMYFUNCTION("LET(changes,FILTER('Pool Changes'!$B:$D, 'Pool Changes'!$B:$B = $D15),added,FILTER(INDEX(changes,0,3),INDEX(changes,0,2)=""add pack""),IFERROR(TRANSPOSE(ARRAYFORMULA(IF(added&lt;&gt;"""",HYPERLINK(""https://sealeddeck.tech/""&amp;added,""Link""),""""))),""""))"),"")</f>
        <v/>
      </c>
      <c r="J15" s="132"/>
      <c r="K15" s="132"/>
      <c r="L15" s="133"/>
      <c r="M15" s="135"/>
      <c r="N15" s="135"/>
      <c r="O15" s="135"/>
      <c r="P15" s="133"/>
      <c r="Q15" s="135"/>
      <c r="R15" s="135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</row>
    <row r="16">
      <c r="C16" s="129" t="str">
        <f t="array" ref="C16">INDEX('Player Database'!$D:$D,MATCH($D16,'Player Database'!$B:$B,0))</f>
        <v>#N/A</v>
      </c>
      <c r="D16" s="9" t="str">
        <f t="shared" si="1"/>
        <v> - </v>
      </c>
      <c r="E16" s="130" t="str">
        <f t="array" ref="E16">XLOOKUP($D16,'Player Database'!$B$2:$B1009,'Player Database'!$I$2:$I1009)</f>
        <v>#N/A</v>
      </c>
      <c r="F16" s="130" t="str">
        <f t="array" ref="F16">XLOOKUP($D16,'Player Database'!$B$2:$B1009,'Player Database'!$J$2:$J1009)</f>
        <v>#N/A</v>
      </c>
      <c r="G16" s="131" t="str">
        <f t="array" ref="G16">IF(H16="","",IFERROR(
  "https://sealeddeck.tech/" &amp; INDEX('Pool Changes'!F:F,
    MAX(
      ROW('Pool Changes'!A:A) *
      ('Pool Changes'!B:B=D16) *
      ('Pool Changes'!F:F&lt;&gt;"")
    )
  ),
  ""
))</f>
        <v/>
      </c>
      <c r="H16" s="131" t="str">
        <f>IFERROR(__xludf.DUMMYFUNCTION("LET(changes,FILTER('Pool Changes'!$B:$D, 'Pool Changes'!$B:$B = $D16),added,FILTER(INDEX(changes,0,3),INDEX(changes,0,2)=""starting pool""),TRANSPOSE(IFERROR(ARRAYFORMULA(IF(added&lt;&gt;"""",""https://sealeddeck.tech/""&amp;added,"""")),"""")))"),"")</f>
        <v/>
      </c>
      <c r="I16" s="132" t="str">
        <f>IFERROR(__xludf.DUMMYFUNCTION("LET(changes,FILTER('Pool Changes'!$B:$D, 'Pool Changes'!$B:$B = $D16),added,FILTER(INDEX(changes,0,3),INDEX(changes,0,2)=""add pack""),IFERROR(TRANSPOSE(ARRAYFORMULA(IF(added&lt;&gt;"""",HYPERLINK(""https://sealeddeck.tech/""&amp;added,""Link""),""""))),""""))"),"")</f>
        <v/>
      </c>
      <c r="J16" s="132"/>
      <c r="K16" s="132"/>
      <c r="L16" s="133"/>
      <c r="M16" s="135"/>
      <c r="N16" s="135"/>
      <c r="O16" s="135"/>
      <c r="P16" s="133"/>
      <c r="Q16" s="135"/>
      <c r="R16" s="135"/>
      <c r="S16" s="134"/>
      <c r="T16" s="134"/>
      <c r="U16" s="134"/>
      <c r="V16" s="136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</row>
    <row r="17">
      <c r="C17" s="129" t="str">
        <f t="array" ref="C17">INDEX('Player Database'!$D:$D,MATCH($D17,'Player Database'!$B:$B,0))</f>
        <v>#N/A</v>
      </c>
      <c r="D17" s="9" t="str">
        <f t="shared" si="1"/>
        <v> - </v>
      </c>
      <c r="E17" s="130" t="str">
        <f t="array" ref="E17">XLOOKUP($D17,'Player Database'!$B$2:$B1009,'Player Database'!$I$2:$I1009)</f>
        <v>#N/A</v>
      </c>
      <c r="F17" s="130" t="str">
        <f t="array" ref="F17">XLOOKUP($D17,'Player Database'!$B$2:$B1009,'Player Database'!$J$2:$J1009)</f>
        <v>#N/A</v>
      </c>
      <c r="G17" s="131" t="str">
        <f t="array" ref="G17">IF(H17="","",IFERROR(
  "https://sealeddeck.tech/" &amp; INDEX('Pool Changes'!F:F,
    MAX(
      ROW('Pool Changes'!A:A) *
      ('Pool Changes'!B:B=D17) *
      ('Pool Changes'!F:F&lt;&gt;"")
    )
  ),
  ""
))</f>
        <v/>
      </c>
      <c r="H17" s="131" t="str">
        <f>IFERROR(__xludf.DUMMYFUNCTION("LET(changes,FILTER('Pool Changes'!$B:$D, 'Pool Changes'!$B:$B = $D17),added,FILTER(INDEX(changes,0,3),INDEX(changes,0,2)=""starting pool""),TRANSPOSE(IFERROR(ARRAYFORMULA(IF(added&lt;&gt;"""",""https://sealeddeck.tech/""&amp;added,"""")),"""")))"),"")</f>
        <v/>
      </c>
      <c r="I17" s="132" t="str">
        <f>IFERROR(__xludf.DUMMYFUNCTION("LET(changes,FILTER('Pool Changes'!$B:$D, 'Pool Changes'!$B:$B = $D17),added,FILTER(INDEX(changes,0,3),INDEX(changes,0,2)=""add pack""),IFERROR(TRANSPOSE(ARRAYFORMULA(IF(added&lt;&gt;"""",HYPERLINK(""https://sealeddeck.tech/""&amp;added,""Link""),""""))),""""))"),"")</f>
        <v/>
      </c>
      <c r="J17" s="132"/>
      <c r="K17" s="132"/>
      <c r="L17" s="133"/>
      <c r="M17" s="135"/>
      <c r="N17" s="135"/>
      <c r="O17" s="135"/>
      <c r="P17" s="133"/>
      <c r="Q17" s="135"/>
      <c r="R17" s="135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</row>
    <row r="18">
      <c r="C18" s="129" t="str">
        <f t="array" ref="C18">INDEX('Player Database'!$D:$D,MATCH($D18,'Player Database'!$B:$B,0))</f>
        <v>#N/A</v>
      </c>
      <c r="D18" s="9" t="str">
        <f t="shared" si="1"/>
        <v> - </v>
      </c>
      <c r="E18" s="130" t="str">
        <f t="array" ref="E18">XLOOKUP($D18,'Player Database'!$B$2:$B1009,'Player Database'!$I$2:$I1009)</f>
        <v>#N/A</v>
      </c>
      <c r="F18" s="130" t="str">
        <f t="array" ref="F18">XLOOKUP($D18,'Player Database'!$B$2:$B1009,'Player Database'!$J$2:$J1009)</f>
        <v>#N/A</v>
      </c>
      <c r="G18" s="131" t="str">
        <f t="array" ref="G18">IF(H18="","",IFERROR(
  "https://sealeddeck.tech/" &amp; INDEX('Pool Changes'!F:F,
    MAX(
      ROW('Pool Changes'!A:A) *
      ('Pool Changes'!B:B=D18) *
      ('Pool Changes'!F:F&lt;&gt;"")
    )
  ),
  ""
))</f>
        <v/>
      </c>
      <c r="H18" s="131" t="str">
        <f>IFERROR(__xludf.DUMMYFUNCTION("LET(changes,FILTER('Pool Changes'!$B:$D, 'Pool Changes'!$B:$B = $D18),added,FILTER(INDEX(changes,0,3),INDEX(changes,0,2)=""starting pool""),TRANSPOSE(IFERROR(ARRAYFORMULA(IF(added&lt;&gt;"""",""https://sealeddeck.tech/""&amp;added,"""")),"""")))"),"")</f>
        <v/>
      </c>
      <c r="I18" s="132" t="str">
        <f>IFERROR(__xludf.DUMMYFUNCTION("LET(changes,FILTER('Pool Changes'!$B:$D, 'Pool Changes'!$B:$B = $D18),added,FILTER(INDEX(changes,0,3),INDEX(changes,0,2)=""add pack""),IFERROR(TRANSPOSE(ARRAYFORMULA(IF(added&lt;&gt;"""",HYPERLINK(""https://sealeddeck.tech/""&amp;added,""Link""),""""))),""""))"),"")</f>
        <v/>
      </c>
      <c r="J18" s="132"/>
      <c r="K18" s="132"/>
      <c r="L18" s="133"/>
      <c r="M18" s="135"/>
      <c r="N18" s="135"/>
      <c r="O18" s="135"/>
      <c r="P18" s="133"/>
      <c r="Q18" s="135"/>
      <c r="R18" s="135"/>
      <c r="S18" s="134"/>
      <c r="T18" s="134"/>
      <c r="U18" s="134"/>
      <c r="V18" s="136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</row>
    <row r="19">
      <c r="C19" s="129" t="str">
        <f t="array" ref="C19">INDEX('Player Database'!$D:$D,MATCH($D19,'Player Database'!$B:$B,0))</f>
        <v>#N/A</v>
      </c>
      <c r="D19" s="9" t="str">
        <f t="shared" si="1"/>
        <v> - </v>
      </c>
      <c r="E19" s="130" t="str">
        <f t="array" ref="E19">XLOOKUP($D19,'Player Database'!$B$2:$B1009,'Player Database'!$I$2:$I1009)</f>
        <v>#N/A</v>
      </c>
      <c r="F19" s="130" t="str">
        <f t="array" ref="F19">XLOOKUP($D19,'Player Database'!$B$2:$B1009,'Player Database'!$J$2:$J1009)</f>
        <v>#N/A</v>
      </c>
      <c r="G19" s="131" t="str">
        <f t="array" ref="G19">IF(H19="","",IFERROR(
  "https://sealeddeck.tech/" &amp; INDEX('Pool Changes'!F:F,
    MAX(
      ROW('Pool Changes'!A:A) *
      ('Pool Changes'!B:B=D19) *
      ('Pool Changes'!F:F&lt;&gt;"")
    )
  ),
  ""
))</f>
        <v/>
      </c>
      <c r="H19" s="131" t="str">
        <f>IFERROR(__xludf.DUMMYFUNCTION("LET(changes,FILTER('Pool Changes'!$B:$D, 'Pool Changes'!$B:$B = $D19),added,FILTER(INDEX(changes,0,3),INDEX(changes,0,2)=""starting pool""),TRANSPOSE(IFERROR(ARRAYFORMULA(IF(added&lt;&gt;"""",""https://sealeddeck.tech/""&amp;added,"""")),"""")))"),"")</f>
        <v/>
      </c>
      <c r="I19" s="132" t="str">
        <f>IFERROR(__xludf.DUMMYFUNCTION("LET(changes,FILTER('Pool Changes'!$B:$D, 'Pool Changes'!$B:$B = $D19),added,FILTER(INDEX(changes,0,3),INDEX(changes,0,2)=""add pack""),IFERROR(TRANSPOSE(ARRAYFORMULA(IF(added&lt;&gt;"""",HYPERLINK(""https://sealeddeck.tech/""&amp;added,""Link""),""""))),""""))"),"")</f>
        <v/>
      </c>
      <c r="J19" s="132"/>
      <c r="K19" s="132"/>
      <c r="L19" s="133"/>
      <c r="M19" s="135"/>
      <c r="N19" s="135"/>
      <c r="O19" s="135"/>
      <c r="P19" s="133"/>
      <c r="Q19" s="135"/>
      <c r="R19" s="135"/>
      <c r="S19" s="134"/>
      <c r="T19" s="134"/>
      <c r="U19" s="134"/>
      <c r="V19" s="136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</row>
    <row r="20">
      <c r="C20" s="129" t="str">
        <f t="array" ref="C20">INDEX('Player Database'!$D:$D,MATCH($D20,'Player Database'!$B:$B,0))</f>
        <v>#N/A</v>
      </c>
      <c r="D20" s="9" t="str">
        <f t="shared" si="1"/>
        <v> - </v>
      </c>
      <c r="E20" s="130" t="str">
        <f t="array" ref="E20">XLOOKUP($D20,'Player Database'!$B$2:$B1009,'Player Database'!$I$2:$I1009)</f>
        <v>#N/A</v>
      </c>
      <c r="F20" s="130" t="str">
        <f t="array" ref="F20">XLOOKUP($D20,'Player Database'!$B$2:$B1009,'Player Database'!$J$2:$J1009)</f>
        <v>#N/A</v>
      </c>
      <c r="G20" s="131" t="str">
        <f t="array" ref="G20">IF(H20="","",IFERROR(
  "https://sealeddeck.tech/" &amp; INDEX('Pool Changes'!F:F,
    MAX(
      ROW('Pool Changes'!A:A) *
      ('Pool Changes'!B:B=D20) *
      ('Pool Changes'!F:F&lt;&gt;"")
    )
  ),
  ""
))</f>
        <v/>
      </c>
      <c r="H20" s="131" t="str">
        <f>IFERROR(__xludf.DUMMYFUNCTION("LET(changes,FILTER('Pool Changes'!$B:$D, 'Pool Changes'!$B:$B = $D20),added,FILTER(INDEX(changes,0,3),INDEX(changes,0,2)=""starting pool""),TRANSPOSE(IFERROR(ARRAYFORMULA(IF(added&lt;&gt;"""",""https://sealeddeck.tech/""&amp;added,"""")),"""")))"),"")</f>
        <v/>
      </c>
      <c r="I20" s="132" t="str">
        <f>IFERROR(__xludf.DUMMYFUNCTION("LET(changes,FILTER('Pool Changes'!$B:$D, 'Pool Changes'!$B:$B = $D20),added,FILTER(INDEX(changes,0,3),INDEX(changes,0,2)=""add pack""),IFERROR(TRANSPOSE(ARRAYFORMULA(IF(added&lt;&gt;"""",HYPERLINK(""https://sealeddeck.tech/""&amp;added,""Link""),""""))),""""))"),"")</f>
        <v/>
      </c>
      <c r="J20" s="132"/>
      <c r="K20" s="132"/>
      <c r="L20" s="133"/>
      <c r="M20" s="135"/>
      <c r="N20" s="135"/>
      <c r="O20" s="135"/>
      <c r="P20" s="133"/>
      <c r="Q20" s="135"/>
      <c r="R20" s="135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</row>
    <row r="21">
      <c r="C21" s="129" t="str">
        <f t="array" ref="C21">INDEX('Player Database'!$D:$D,MATCH($D21,'Player Database'!$B:$B,0))</f>
        <v>#N/A</v>
      </c>
      <c r="D21" s="9" t="str">
        <f t="shared" si="1"/>
        <v> - </v>
      </c>
      <c r="E21" s="130" t="str">
        <f t="array" ref="E21">XLOOKUP($D21,'Player Database'!$B$2:$B1009,'Player Database'!$I$2:$I1009)</f>
        <v>#N/A</v>
      </c>
      <c r="F21" s="130" t="str">
        <f t="array" ref="F21">XLOOKUP($D21,'Player Database'!$B$2:$B1009,'Player Database'!$J$2:$J1009)</f>
        <v>#N/A</v>
      </c>
      <c r="G21" s="131" t="str">
        <f t="array" ref="G21">IF(H21="","",IFERROR(
  "https://sealeddeck.tech/" &amp; INDEX('Pool Changes'!F:F,
    MAX(
      ROW('Pool Changes'!A:A) *
      ('Pool Changes'!B:B=D21) *
      ('Pool Changes'!F:F&lt;&gt;"")
    )
  ),
  ""
))</f>
        <v/>
      </c>
      <c r="H21" s="131" t="str">
        <f>IFERROR(__xludf.DUMMYFUNCTION("LET(changes,FILTER('Pool Changes'!$B:$D, 'Pool Changes'!$B:$B = $D21),added,FILTER(INDEX(changes,0,3),INDEX(changes,0,2)=""starting pool""),TRANSPOSE(IFERROR(ARRAYFORMULA(IF(added&lt;&gt;"""",""https://sealeddeck.tech/""&amp;added,"""")),"""")))"),"")</f>
        <v/>
      </c>
      <c r="I21" s="132" t="str">
        <f>IFERROR(__xludf.DUMMYFUNCTION("LET(changes,FILTER('Pool Changes'!$B:$D, 'Pool Changes'!$B:$B = $D21),added,FILTER(INDEX(changes,0,3),INDEX(changes,0,2)=""add pack""),IFERROR(TRANSPOSE(ARRAYFORMULA(IF(added&lt;&gt;"""",HYPERLINK(""https://sealeddeck.tech/""&amp;added,""Link""),""""))),""""))"),"")</f>
        <v/>
      </c>
      <c r="J21" s="132"/>
      <c r="K21" s="132"/>
      <c r="L21" s="133"/>
      <c r="M21" s="135"/>
      <c r="N21" s="135"/>
      <c r="O21" s="135"/>
      <c r="P21" s="133"/>
      <c r="Q21" s="135"/>
      <c r="R21" s="135"/>
      <c r="S21" s="134"/>
      <c r="T21" s="134"/>
      <c r="U21" s="134"/>
      <c r="V21" s="136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</row>
    <row r="22">
      <c r="C22" s="129" t="str">
        <f t="array" ref="C22">INDEX('Player Database'!$D:$D,MATCH($D22,'Player Database'!$B:$B,0))</f>
        <v>#N/A</v>
      </c>
      <c r="D22" s="9" t="str">
        <f t="shared" si="1"/>
        <v> - </v>
      </c>
      <c r="E22" s="130" t="str">
        <f t="array" ref="E22">XLOOKUP($D22,'Player Database'!$B$2:$B1009,'Player Database'!$I$2:$I1009)</f>
        <v>#N/A</v>
      </c>
      <c r="F22" s="130" t="str">
        <f t="array" ref="F22">XLOOKUP($D22,'Player Database'!$B$2:$B1009,'Player Database'!$J$2:$J1009)</f>
        <v>#N/A</v>
      </c>
      <c r="G22" s="131" t="str">
        <f t="array" ref="G22">IF(H22="","",IFERROR(
  "https://sealeddeck.tech/" &amp; INDEX('Pool Changes'!F:F,
    MAX(
      ROW('Pool Changes'!A:A) *
      ('Pool Changes'!B:B=D22) *
      ('Pool Changes'!F:F&lt;&gt;"")
    )
  ),
  ""
))</f>
        <v/>
      </c>
      <c r="H22" s="131" t="str">
        <f>IFERROR(__xludf.DUMMYFUNCTION("LET(changes,FILTER('Pool Changes'!$B:$D, 'Pool Changes'!$B:$B = $D22),added,FILTER(INDEX(changes,0,3),INDEX(changes,0,2)=""starting pool""),TRANSPOSE(IFERROR(ARRAYFORMULA(IF(added&lt;&gt;"""",""https://sealeddeck.tech/""&amp;added,"""")),"""")))"),"")</f>
        <v/>
      </c>
      <c r="I22" s="132" t="str">
        <f>IFERROR(__xludf.DUMMYFUNCTION("LET(changes,FILTER('Pool Changes'!$B:$D, 'Pool Changes'!$B:$B = $D22),added,FILTER(INDEX(changes,0,3),INDEX(changes,0,2)=""add pack""),IFERROR(TRANSPOSE(ARRAYFORMULA(IF(added&lt;&gt;"""",HYPERLINK(""https://sealeddeck.tech/""&amp;added,""Link""),""""))),""""))"),"")</f>
        <v/>
      </c>
      <c r="J22" s="132"/>
      <c r="K22" s="132"/>
      <c r="L22" s="133"/>
      <c r="M22" s="135"/>
      <c r="N22" s="135"/>
      <c r="O22" s="135"/>
      <c r="P22" s="133"/>
      <c r="Q22" s="135"/>
      <c r="R22" s="135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</row>
    <row r="23">
      <c r="C23" s="129" t="str">
        <f t="array" ref="C23">INDEX('Player Database'!$D:$D,MATCH($D23,'Player Database'!$B:$B,0))</f>
        <v>#N/A</v>
      </c>
      <c r="D23" s="9" t="str">
        <f t="shared" si="1"/>
        <v> - </v>
      </c>
      <c r="E23" s="130" t="str">
        <f t="array" ref="E23">XLOOKUP($D23,'Player Database'!$B$2:$B1009,'Player Database'!$I$2:$I1009)</f>
        <v>#N/A</v>
      </c>
      <c r="F23" s="130" t="str">
        <f t="array" ref="F23">XLOOKUP($D23,'Player Database'!$B$2:$B1009,'Player Database'!$J$2:$J1009)</f>
        <v>#N/A</v>
      </c>
      <c r="G23" s="131" t="str">
        <f t="array" ref="G23">IF(H23="","",IFERROR(
  "https://sealeddeck.tech/" &amp; INDEX('Pool Changes'!F:F,
    MAX(
      ROW('Pool Changes'!A:A) *
      ('Pool Changes'!B:B=D23) *
      ('Pool Changes'!F:F&lt;&gt;"")
    )
  ),
  ""
))</f>
        <v/>
      </c>
      <c r="H23" s="131" t="str">
        <f>IFERROR(__xludf.DUMMYFUNCTION("LET(changes,FILTER('Pool Changes'!$B:$D, 'Pool Changes'!$B:$B = $D23),added,FILTER(INDEX(changes,0,3),INDEX(changes,0,2)=""starting pool""),TRANSPOSE(IFERROR(ARRAYFORMULA(IF(added&lt;&gt;"""",""https://sealeddeck.tech/""&amp;added,"""")),"""")))"),"")</f>
        <v/>
      </c>
      <c r="I23" s="132" t="str">
        <f>IFERROR(__xludf.DUMMYFUNCTION("LET(changes,FILTER('Pool Changes'!$B:$D, 'Pool Changes'!$B:$B = $D23),added,FILTER(INDEX(changes,0,3),INDEX(changes,0,2)=""add pack""),IFERROR(TRANSPOSE(ARRAYFORMULA(IF(added&lt;&gt;"""",HYPERLINK(""https://sealeddeck.tech/""&amp;added,""Link""),""""))),""""))"),"")</f>
        <v/>
      </c>
      <c r="J23" s="132"/>
      <c r="K23" s="132"/>
      <c r="L23" s="133"/>
      <c r="M23" s="135"/>
      <c r="N23" s="135"/>
      <c r="O23" s="135"/>
      <c r="P23" s="133"/>
      <c r="Q23" s="135"/>
      <c r="R23" s="135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</row>
    <row r="24">
      <c r="C24" s="129" t="str">
        <f t="array" ref="C24">INDEX('Player Database'!$D:$D,MATCH($D24,'Player Database'!$B:$B,0))</f>
        <v>#N/A</v>
      </c>
      <c r="D24" s="9" t="str">
        <f t="shared" si="1"/>
        <v> - </v>
      </c>
      <c r="E24" s="130" t="str">
        <f t="array" ref="E24">XLOOKUP($D24,'Player Database'!$B$2:$B1009,'Player Database'!$I$2:$I1009)</f>
        <v>#N/A</v>
      </c>
      <c r="F24" s="130" t="str">
        <f t="array" ref="F24">XLOOKUP($D24,'Player Database'!$B$2:$B1009,'Player Database'!$J$2:$J1009)</f>
        <v>#N/A</v>
      </c>
      <c r="G24" s="131" t="str">
        <f t="array" ref="G24">IF(H24="","",IFERROR(
  "https://sealeddeck.tech/" &amp; INDEX('Pool Changes'!F:F,
    MAX(
      ROW('Pool Changes'!A:A) *
      ('Pool Changes'!B:B=D24) *
      ('Pool Changes'!F:F&lt;&gt;"")
    )
  ),
  ""
))</f>
        <v/>
      </c>
      <c r="H24" s="131" t="str">
        <f>IFERROR(__xludf.DUMMYFUNCTION("LET(changes,FILTER('Pool Changes'!$B:$D, 'Pool Changes'!$B:$B = $D24),added,FILTER(INDEX(changes,0,3),INDEX(changes,0,2)=""starting pool""),TRANSPOSE(IFERROR(ARRAYFORMULA(IF(added&lt;&gt;"""",""https://sealeddeck.tech/""&amp;added,"""")),"""")))"),"")</f>
        <v/>
      </c>
      <c r="I24" s="132" t="str">
        <f>IFERROR(__xludf.DUMMYFUNCTION("LET(changes,FILTER('Pool Changes'!$B:$D, 'Pool Changes'!$B:$B = $D24),added,FILTER(INDEX(changes,0,3),INDEX(changes,0,2)=""add pack""),IFERROR(TRANSPOSE(ARRAYFORMULA(IF(added&lt;&gt;"""",HYPERLINK(""https://sealeddeck.tech/""&amp;added,""Link""),""""))),""""))"),"")</f>
        <v/>
      </c>
      <c r="J24" s="132"/>
      <c r="K24" s="132"/>
      <c r="L24" s="133"/>
      <c r="M24" s="135"/>
      <c r="N24" s="135"/>
      <c r="O24" s="135"/>
      <c r="P24" s="133"/>
      <c r="Q24" s="135"/>
      <c r="R24" s="135"/>
      <c r="S24" s="134"/>
    </row>
    <row r="25">
      <c r="C25" s="129" t="str">
        <f t="array" ref="C25">INDEX('Player Database'!$D:$D,MATCH($D25,'Player Database'!$B:$B,0))</f>
        <v>#N/A</v>
      </c>
      <c r="D25" s="9" t="str">
        <f t="shared" si="1"/>
        <v> - </v>
      </c>
      <c r="E25" s="130" t="str">
        <f t="array" ref="E25">XLOOKUP($D25,'Player Database'!$B$2:$B1009,'Player Database'!$I$2:$I1009)</f>
        <v>#N/A</v>
      </c>
      <c r="F25" s="130" t="str">
        <f t="array" ref="F25">XLOOKUP($D25,'Player Database'!$B$2:$B1009,'Player Database'!$J$2:$J1009)</f>
        <v>#N/A</v>
      </c>
      <c r="G25" s="131" t="str">
        <f t="array" ref="G25">IF(H25="","",IFERROR(
  "https://sealeddeck.tech/" &amp; INDEX('Pool Changes'!F:F,
    MAX(
      ROW('Pool Changes'!A:A) *
      ('Pool Changes'!B:B=D25) *
      ('Pool Changes'!F:F&lt;&gt;"")
    )
  ),
  ""
))</f>
        <v/>
      </c>
      <c r="H25" s="131" t="str">
        <f>IFERROR(__xludf.DUMMYFUNCTION("LET(changes,FILTER('Pool Changes'!$B:$D, 'Pool Changes'!$B:$B = $D25),added,FILTER(INDEX(changes,0,3),INDEX(changes,0,2)=""starting pool""),TRANSPOSE(IFERROR(ARRAYFORMULA(IF(added&lt;&gt;"""",""https://sealeddeck.tech/""&amp;added,"""")),"""")))"),"")</f>
        <v/>
      </c>
      <c r="I25" s="132" t="str">
        <f>IFERROR(__xludf.DUMMYFUNCTION("LET(changes,FILTER('Pool Changes'!$B:$D, 'Pool Changes'!$B:$B = $D25),added,FILTER(INDEX(changes,0,3),INDEX(changes,0,2)=""add pack""),IFERROR(TRANSPOSE(ARRAYFORMULA(IF(added&lt;&gt;"""",HYPERLINK(""https://sealeddeck.tech/""&amp;added,""Link""),""""))),""""))"),"")</f>
        <v/>
      </c>
      <c r="J25" s="132"/>
      <c r="K25" s="132"/>
      <c r="L25" s="133"/>
      <c r="M25" s="135"/>
      <c r="N25" s="135"/>
      <c r="O25" s="135"/>
      <c r="P25" s="133"/>
      <c r="Q25" s="135"/>
      <c r="R25" s="135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</row>
    <row r="26">
      <c r="C26" s="129" t="str">
        <f t="array" ref="C26">INDEX('Player Database'!$D:$D,MATCH($D26,'Player Database'!$B:$B,0))</f>
        <v>#N/A</v>
      </c>
      <c r="D26" s="9" t="str">
        <f t="shared" si="1"/>
        <v> - </v>
      </c>
      <c r="E26" s="130" t="str">
        <f t="array" ref="E26">XLOOKUP($D26,'Player Database'!$B$2:$B1009,'Player Database'!$I$2:$I1009)</f>
        <v>#N/A</v>
      </c>
      <c r="F26" s="130" t="str">
        <f t="array" ref="F26">XLOOKUP($D26,'Player Database'!$B$2:$B1009,'Player Database'!$J$2:$J1009)</f>
        <v>#N/A</v>
      </c>
      <c r="G26" s="131" t="str">
        <f t="array" ref="G26">IF(H26="","",IFERROR(
  "https://sealeddeck.tech/" &amp; INDEX('Pool Changes'!F:F,
    MAX(
      ROW('Pool Changes'!A:A) *
      ('Pool Changes'!B:B=D26) *
      ('Pool Changes'!F:F&lt;&gt;"")
    )
  ),
  ""
))</f>
        <v/>
      </c>
      <c r="H26" s="131" t="str">
        <f>IFERROR(__xludf.DUMMYFUNCTION("LET(changes,FILTER('Pool Changes'!$B:$D, 'Pool Changes'!$B:$B = $D26),added,FILTER(INDEX(changes,0,3),INDEX(changes,0,2)=""starting pool""),TRANSPOSE(IFERROR(ARRAYFORMULA(IF(added&lt;&gt;"""",""https://sealeddeck.tech/""&amp;added,"""")),"""")))"),"")</f>
        <v/>
      </c>
      <c r="I26" s="132" t="str">
        <f>IFERROR(__xludf.DUMMYFUNCTION("LET(changes,FILTER('Pool Changes'!$B:$D, 'Pool Changes'!$B:$B = $D26),added,FILTER(INDEX(changes,0,3),INDEX(changes,0,2)=""add pack""),IFERROR(TRANSPOSE(ARRAYFORMULA(IF(added&lt;&gt;"""",HYPERLINK(""https://sealeddeck.tech/""&amp;added,""Link""),""""))),""""))"),"")</f>
        <v/>
      </c>
      <c r="J26" s="132"/>
      <c r="K26" s="132"/>
      <c r="L26" s="133"/>
      <c r="M26" s="135"/>
      <c r="N26" s="135"/>
      <c r="O26" s="135"/>
      <c r="P26" s="133"/>
      <c r="Q26" s="135"/>
      <c r="R26" s="135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</row>
    <row r="27">
      <c r="C27" s="129" t="str">
        <f t="array" ref="C27">INDEX('Player Database'!$D:$D,MATCH($D27,'Player Database'!$B:$B,0))</f>
        <v>#N/A</v>
      </c>
      <c r="D27" s="9" t="str">
        <f t="shared" si="1"/>
        <v> - </v>
      </c>
      <c r="E27" s="130" t="str">
        <f t="array" ref="E27">XLOOKUP($D27,'Player Database'!$B$2:$B1009,'Player Database'!$I$2:$I1009)</f>
        <v>#N/A</v>
      </c>
      <c r="F27" s="130" t="str">
        <f t="array" ref="F27">XLOOKUP($D27,'Player Database'!$B$2:$B1009,'Player Database'!$J$2:$J1009)</f>
        <v>#N/A</v>
      </c>
      <c r="G27" s="131" t="str">
        <f t="array" ref="G27">IF(H27="","",IFERROR(
  "https://sealeddeck.tech/" &amp; INDEX('Pool Changes'!F:F,
    MAX(
      ROW('Pool Changes'!A:A) *
      ('Pool Changes'!B:B=D27) *
      ('Pool Changes'!F:F&lt;&gt;"")
    )
  ),
  ""
))</f>
        <v/>
      </c>
      <c r="H27" s="131" t="str">
        <f>IFERROR(__xludf.DUMMYFUNCTION("LET(changes,FILTER('Pool Changes'!$B:$D, 'Pool Changes'!$B:$B = $D27),added,FILTER(INDEX(changes,0,3),INDEX(changes,0,2)=""starting pool""),TRANSPOSE(IFERROR(ARRAYFORMULA(IF(added&lt;&gt;"""",""https://sealeddeck.tech/""&amp;added,"""")),"""")))"),"")</f>
        <v/>
      </c>
      <c r="I27" s="132" t="str">
        <f>IFERROR(__xludf.DUMMYFUNCTION("LET(changes,FILTER('Pool Changes'!$B:$D, 'Pool Changes'!$B:$B = $D27),added,FILTER(INDEX(changes,0,3),INDEX(changes,0,2)=""add pack""),IFERROR(TRANSPOSE(ARRAYFORMULA(IF(added&lt;&gt;"""",HYPERLINK(""https://sealeddeck.tech/""&amp;added,""Link""),""""))),""""))"),"")</f>
        <v/>
      </c>
      <c r="J27" s="132"/>
      <c r="K27" s="132"/>
      <c r="L27" s="133"/>
      <c r="M27" s="135"/>
      <c r="N27" s="135"/>
      <c r="O27" s="135"/>
      <c r="P27" s="133"/>
      <c r="Q27" s="135"/>
      <c r="R27" s="135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</row>
    <row r="28">
      <c r="C28" s="129" t="str">
        <f t="array" ref="C28">INDEX('Player Database'!$D:$D,MATCH($D28,'Player Database'!$B:$B,0))</f>
        <v>#N/A</v>
      </c>
      <c r="D28" s="9" t="str">
        <f t="shared" si="1"/>
        <v> - </v>
      </c>
      <c r="E28" s="130" t="str">
        <f t="array" ref="E28">XLOOKUP($D28,'Player Database'!$B$2:$B1009,'Player Database'!$I$2:$I1009)</f>
        <v>#N/A</v>
      </c>
      <c r="F28" s="130" t="str">
        <f t="array" ref="F28">XLOOKUP($D28,'Player Database'!$B$2:$B1009,'Player Database'!$J$2:$J1009)</f>
        <v>#N/A</v>
      </c>
      <c r="G28" s="131" t="str">
        <f t="array" ref="G28">IF(H28="","",IFERROR(
  "https://sealeddeck.tech/" &amp; INDEX('Pool Changes'!F:F,
    MAX(
      ROW('Pool Changes'!A:A) *
      ('Pool Changes'!B:B=D28) *
      ('Pool Changes'!F:F&lt;&gt;"")
    )
  ),
  ""
))</f>
        <v/>
      </c>
      <c r="H28" s="131" t="str">
        <f>IFERROR(__xludf.DUMMYFUNCTION("LET(changes,FILTER('Pool Changes'!$B:$D, 'Pool Changes'!$B:$B = $D28),added,FILTER(INDEX(changes,0,3),INDEX(changes,0,2)=""starting pool""),TRANSPOSE(IFERROR(ARRAYFORMULA(IF(added&lt;&gt;"""",""https://sealeddeck.tech/""&amp;added,"""")),"""")))"),"")</f>
        <v/>
      </c>
      <c r="I28" s="132" t="str">
        <f>IFERROR(__xludf.DUMMYFUNCTION("LET(changes,FILTER('Pool Changes'!$B:$D, 'Pool Changes'!$B:$B = $D28),added,FILTER(INDEX(changes,0,3),INDEX(changes,0,2)=""add pack""),IFERROR(TRANSPOSE(ARRAYFORMULA(IF(added&lt;&gt;"""",HYPERLINK(""https://sealeddeck.tech/""&amp;added,""Link""),""""))),""""))"),"")</f>
        <v/>
      </c>
      <c r="J28" s="132"/>
      <c r="K28" s="132"/>
      <c r="L28" s="133"/>
      <c r="M28" s="135"/>
      <c r="N28" s="135"/>
      <c r="O28" s="135"/>
      <c r="P28" s="133"/>
      <c r="Q28" s="135"/>
      <c r="R28" s="135"/>
      <c r="S28" s="134"/>
      <c r="T28" s="134"/>
      <c r="U28" s="134"/>
      <c r="V28" s="136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</row>
    <row r="29">
      <c r="C29" s="129" t="str">
        <f t="array" ref="C29">INDEX('Player Database'!$D:$D,MATCH($D29,'Player Database'!$B:$B,0))</f>
        <v>#N/A</v>
      </c>
      <c r="D29" s="9" t="str">
        <f t="shared" si="1"/>
        <v> - </v>
      </c>
      <c r="E29" s="130" t="str">
        <f t="array" ref="E29">XLOOKUP($D29,'Player Database'!$B$2:$B1009,'Player Database'!$I$2:$I1009)</f>
        <v>#N/A</v>
      </c>
      <c r="F29" s="130" t="str">
        <f t="array" ref="F29">XLOOKUP($D29,'Player Database'!$B$2:$B1009,'Player Database'!$J$2:$J1009)</f>
        <v>#N/A</v>
      </c>
      <c r="G29" s="131" t="str">
        <f t="array" ref="G29">IF(H29="","",IFERROR(
  "https://sealeddeck.tech/" &amp; INDEX('Pool Changes'!F:F,
    MAX(
      ROW('Pool Changes'!A:A) *
      ('Pool Changes'!B:B=D29) *
      ('Pool Changes'!F:F&lt;&gt;"")
    )
  ),
  ""
))</f>
        <v/>
      </c>
      <c r="H29" s="131" t="str">
        <f>IFERROR(__xludf.DUMMYFUNCTION("LET(changes,FILTER('Pool Changes'!$B:$D, 'Pool Changes'!$B:$B = $D29),added,FILTER(INDEX(changes,0,3),INDEX(changes,0,2)=""starting pool""),TRANSPOSE(IFERROR(ARRAYFORMULA(IF(added&lt;&gt;"""",""https://sealeddeck.tech/""&amp;added,"""")),"""")))"),"")</f>
        <v/>
      </c>
      <c r="I29" s="132" t="str">
        <f>IFERROR(__xludf.DUMMYFUNCTION("LET(changes,FILTER('Pool Changes'!$B:$D, 'Pool Changes'!$B:$B = $D29),added,FILTER(INDEX(changes,0,3),INDEX(changes,0,2)=""add pack""),IFERROR(TRANSPOSE(ARRAYFORMULA(IF(added&lt;&gt;"""",HYPERLINK(""https://sealeddeck.tech/""&amp;added,""Link""),""""))),""""))"),"")</f>
        <v/>
      </c>
      <c r="J29" s="132"/>
      <c r="K29" s="132"/>
      <c r="L29" s="133"/>
      <c r="M29" s="135"/>
      <c r="N29" s="135"/>
      <c r="O29" s="135"/>
      <c r="P29" s="133"/>
      <c r="Q29" s="135"/>
      <c r="R29" s="135"/>
      <c r="S29" s="134"/>
      <c r="T29" s="134"/>
      <c r="U29" s="134"/>
      <c r="V29" s="136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</row>
    <row r="30">
      <c r="C30" s="129" t="str">
        <f t="array" ref="C30">INDEX('Player Database'!$D:$D,MATCH($D30,'Player Database'!$B:$B,0))</f>
        <v>#N/A</v>
      </c>
      <c r="D30" s="9" t="str">
        <f t="shared" si="1"/>
        <v> - </v>
      </c>
      <c r="E30" s="130" t="str">
        <f t="array" ref="E30">XLOOKUP($D30,'Player Database'!$B$2:$B1009,'Player Database'!$I$2:$I1009)</f>
        <v>#N/A</v>
      </c>
      <c r="F30" s="130" t="str">
        <f t="array" ref="F30">XLOOKUP($D30,'Player Database'!$B$2:$B1009,'Player Database'!$J$2:$J1009)</f>
        <v>#N/A</v>
      </c>
      <c r="G30" s="131" t="str">
        <f t="array" ref="G30">IF(H30="","",IFERROR(
  "https://sealeddeck.tech/" &amp; INDEX('Pool Changes'!F:F,
    MAX(
      ROW('Pool Changes'!A:A) *
      ('Pool Changes'!B:B=D30) *
      ('Pool Changes'!F:F&lt;&gt;"")
    )
  ),
  ""
))</f>
        <v/>
      </c>
      <c r="H30" s="131" t="str">
        <f>IFERROR(__xludf.DUMMYFUNCTION("LET(changes,FILTER('Pool Changes'!$B:$D, 'Pool Changes'!$B:$B = $D30),added,FILTER(INDEX(changes,0,3),INDEX(changes,0,2)=""starting pool""),TRANSPOSE(IFERROR(ARRAYFORMULA(IF(added&lt;&gt;"""",""https://sealeddeck.tech/""&amp;added,"""")),"""")))"),"")</f>
        <v/>
      </c>
      <c r="I30" s="132" t="str">
        <f>IFERROR(__xludf.DUMMYFUNCTION("LET(changes,FILTER('Pool Changes'!$B:$D, 'Pool Changes'!$B:$B = $D30),added,FILTER(INDEX(changes,0,3),INDEX(changes,0,2)=""add pack""),IFERROR(TRANSPOSE(ARRAYFORMULA(IF(added&lt;&gt;"""",HYPERLINK(""https://sealeddeck.tech/""&amp;added,""Link""),""""))),""""))"),"")</f>
        <v/>
      </c>
      <c r="J30" s="132"/>
      <c r="K30" s="132"/>
      <c r="L30" s="133"/>
      <c r="M30" s="135"/>
      <c r="N30" s="135"/>
      <c r="O30" s="135"/>
      <c r="P30" s="133"/>
      <c r="Q30" s="135"/>
      <c r="R30" s="135"/>
      <c r="S30" s="134"/>
      <c r="T30" s="134"/>
      <c r="U30" s="134"/>
      <c r="V30" s="136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</row>
    <row r="31">
      <c r="C31" s="129" t="str">
        <f t="array" ref="C31">INDEX('Player Database'!$D:$D,MATCH($D31,'Player Database'!$B:$B,0))</f>
        <v>#N/A</v>
      </c>
      <c r="D31" s="9" t="str">
        <f t="shared" si="1"/>
        <v> - </v>
      </c>
      <c r="E31" s="130" t="str">
        <f t="array" ref="E31">XLOOKUP($D31,'Player Database'!$B$2:$B1009,'Player Database'!$I$2:$I1009)</f>
        <v>#N/A</v>
      </c>
      <c r="F31" s="130" t="str">
        <f t="array" ref="F31">XLOOKUP($D31,'Player Database'!$B$2:$B1009,'Player Database'!$J$2:$J1009)</f>
        <v>#N/A</v>
      </c>
      <c r="G31" s="131" t="str">
        <f t="array" ref="G31">IF(H31="","",IFERROR(
  "https://sealeddeck.tech/" &amp; INDEX('Pool Changes'!F:F,
    MAX(
      ROW('Pool Changes'!A:A) *
      ('Pool Changes'!B:B=D31) *
      ('Pool Changes'!F:F&lt;&gt;"")
    )
  ),
  ""
))</f>
        <v/>
      </c>
      <c r="H31" s="131" t="str">
        <f>IFERROR(__xludf.DUMMYFUNCTION("LET(changes,FILTER('Pool Changes'!$B:$D, 'Pool Changes'!$B:$B = $D31),added,FILTER(INDEX(changes,0,3),INDEX(changes,0,2)=""starting pool""),TRANSPOSE(IFERROR(ARRAYFORMULA(IF(added&lt;&gt;"""",""https://sealeddeck.tech/""&amp;added,"""")),"""")))"),"")</f>
        <v/>
      </c>
      <c r="I31" s="132" t="str">
        <f>IFERROR(__xludf.DUMMYFUNCTION("LET(changes,FILTER('Pool Changes'!$B:$D, 'Pool Changes'!$B:$B = $D31),added,FILTER(INDEX(changes,0,3),INDEX(changes,0,2)=""add pack""),IFERROR(TRANSPOSE(ARRAYFORMULA(IF(added&lt;&gt;"""",HYPERLINK(""https://sealeddeck.tech/""&amp;added,""Link""),""""))),""""))"),"")</f>
        <v/>
      </c>
      <c r="J31" s="132"/>
      <c r="K31" s="132"/>
      <c r="L31" s="133"/>
      <c r="M31" s="135"/>
      <c r="N31" s="135"/>
      <c r="O31" s="135"/>
      <c r="P31" s="133"/>
      <c r="Q31" s="135"/>
      <c r="R31" s="135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</row>
    <row r="32">
      <c r="C32" s="129" t="str">
        <f t="array" ref="C32">INDEX('Player Database'!$D:$D,MATCH($D32,'Player Database'!$B:$B,0))</f>
        <v>#N/A</v>
      </c>
      <c r="D32" s="9" t="str">
        <f t="shared" si="1"/>
        <v> - </v>
      </c>
      <c r="E32" s="130" t="str">
        <f t="array" ref="E32">XLOOKUP($D32,'Player Database'!$B$2:$B1009,'Player Database'!$I$2:$I1009)</f>
        <v>#N/A</v>
      </c>
      <c r="F32" s="130" t="str">
        <f t="array" ref="F32">XLOOKUP($D32,'Player Database'!$B$2:$B1009,'Player Database'!$J$2:$J1009)</f>
        <v>#N/A</v>
      </c>
      <c r="G32" s="131" t="str">
        <f t="array" ref="G32">IF(H32="","",IFERROR(
  "https://sealeddeck.tech/" &amp; INDEX('Pool Changes'!F:F,
    MAX(
      ROW('Pool Changes'!A:A) *
      ('Pool Changes'!B:B=D32) *
      ('Pool Changes'!F:F&lt;&gt;"")
    )
  ),
  ""
))</f>
        <v/>
      </c>
      <c r="H32" s="131" t="str">
        <f>IFERROR(__xludf.DUMMYFUNCTION("LET(changes,FILTER('Pool Changes'!$B:$D, 'Pool Changes'!$B:$B = $D32),added,FILTER(INDEX(changes,0,3),INDEX(changes,0,2)=""starting pool""),TRANSPOSE(IFERROR(ARRAYFORMULA(IF(added&lt;&gt;"""",""https://sealeddeck.tech/""&amp;added,"""")),"""")))"),"")</f>
        <v/>
      </c>
      <c r="I32" s="132" t="str">
        <f>IFERROR(__xludf.DUMMYFUNCTION("LET(changes,FILTER('Pool Changes'!$B:$D, 'Pool Changes'!$B:$B = $D32),added,FILTER(INDEX(changes,0,3),INDEX(changes,0,2)=""add pack""),IFERROR(TRANSPOSE(ARRAYFORMULA(IF(added&lt;&gt;"""",HYPERLINK(""https://sealeddeck.tech/""&amp;added,""Link""),""""))),""""))"),"")</f>
        <v/>
      </c>
      <c r="J32" s="132"/>
      <c r="K32" s="132"/>
      <c r="L32" s="133"/>
      <c r="M32" s="135"/>
      <c r="N32" s="135"/>
      <c r="O32" s="135"/>
      <c r="P32" s="133"/>
      <c r="Q32" s="135"/>
      <c r="R32" s="135"/>
      <c r="S32" s="134"/>
      <c r="T32" s="134"/>
      <c r="U32" s="134"/>
      <c r="V32" s="136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</row>
    <row r="33">
      <c r="C33" s="129" t="str">
        <f t="array" ref="C33">INDEX('Player Database'!$D:$D,MATCH($D33,'Player Database'!$B:$B,0))</f>
        <v>#N/A</v>
      </c>
      <c r="D33" s="9" t="str">
        <f t="shared" si="1"/>
        <v> - </v>
      </c>
      <c r="E33" s="130" t="str">
        <f t="array" ref="E33">XLOOKUP($D33,'Player Database'!$B$2:$B1009,'Player Database'!$I$2:$I1009)</f>
        <v>#N/A</v>
      </c>
      <c r="F33" s="130" t="str">
        <f t="array" ref="F33">XLOOKUP($D33,'Player Database'!$B$2:$B1009,'Player Database'!$J$2:$J1009)</f>
        <v>#N/A</v>
      </c>
      <c r="G33" s="131" t="str">
        <f t="array" ref="G33">IF(H33="","",IFERROR(
  "https://sealeddeck.tech/" &amp; INDEX('Pool Changes'!F:F,
    MAX(
      ROW('Pool Changes'!A:A) *
      ('Pool Changes'!B:B=D33) *
      ('Pool Changes'!F:F&lt;&gt;"")
    )
  ),
  ""
))</f>
        <v/>
      </c>
      <c r="H33" s="131" t="str">
        <f>IFERROR(__xludf.DUMMYFUNCTION("LET(changes,FILTER('Pool Changes'!$B:$D, 'Pool Changes'!$B:$B = $D33),added,FILTER(INDEX(changes,0,3),INDEX(changes,0,2)=""starting pool""),TRANSPOSE(IFERROR(ARRAYFORMULA(IF(added&lt;&gt;"""",""https://sealeddeck.tech/""&amp;added,"""")),"""")))"),"")</f>
        <v/>
      </c>
      <c r="I33" s="132" t="str">
        <f>IFERROR(__xludf.DUMMYFUNCTION("LET(changes,FILTER('Pool Changes'!$B:$D, 'Pool Changes'!$B:$B = $D33),added,FILTER(INDEX(changes,0,3),INDEX(changes,0,2)=""add pack""),IFERROR(TRANSPOSE(ARRAYFORMULA(IF(added&lt;&gt;"""",HYPERLINK(""https://sealeddeck.tech/""&amp;added,""Link""),""""))),""""))"),"")</f>
        <v/>
      </c>
      <c r="J33" s="132"/>
      <c r="K33" s="132"/>
      <c r="L33" s="133"/>
      <c r="M33" s="135"/>
      <c r="N33" s="135"/>
      <c r="O33" s="135"/>
      <c r="P33" s="133"/>
      <c r="Q33" s="135"/>
      <c r="R33" s="135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</row>
    <row r="34">
      <c r="C34" s="129" t="str">
        <f t="array" ref="C34">INDEX('Player Database'!$D:$D,MATCH($D34,'Player Database'!$B:$B,0))</f>
        <v>#N/A</v>
      </c>
      <c r="D34" s="9" t="str">
        <f t="shared" si="1"/>
        <v> - </v>
      </c>
      <c r="E34" s="130" t="str">
        <f t="array" ref="E34">XLOOKUP($D34,'Player Database'!$B$2:$B1009,'Player Database'!$I$2:$I1009)</f>
        <v>#N/A</v>
      </c>
      <c r="F34" s="130" t="str">
        <f t="array" ref="F34">XLOOKUP($D34,'Player Database'!$B$2:$B1009,'Player Database'!$J$2:$J1009)</f>
        <v>#N/A</v>
      </c>
      <c r="G34" s="131" t="str">
        <f t="array" ref="G34">IF(H34="","",IFERROR(
  "https://sealeddeck.tech/" &amp; INDEX('Pool Changes'!F:F,
    MAX(
      ROW('Pool Changes'!A:A) *
      ('Pool Changes'!B:B=D34) *
      ('Pool Changes'!F:F&lt;&gt;"")
    )
  ),
  ""
))</f>
        <v/>
      </c>
      <c r="H34" s="131" t="str">
        <f>IFERROR(__xludf.DUMMYFUNCTION("LET(changes,FILTER('Pool Changes'!$B:$D, 'Pool Changes'!$B:$B = $D34),added,FILTER(INDEX(changes,0,3),INDEX(changes,0,2)=""starting pool""),TRANSPOSE(IFERROR(ARRAYFORMULA(IF(added&lt;&gt;"""",""https://sealeddeck.tech/""&amp;added,"""")),"""")))"),"")</f>
        <v/>
      </c>
      <c r="I34" s="132" t="str">
        <f>IFERROR(__xludf.DUMMYFUNCTION("LET(changes,FILTER('Pool Changes'!$B:$D, 'Pool Changes'!$B:$B = $D34),added,FILTER(INDEX(changes,0,3),INDEX(changes,0,2)=""add pack""),IFERROR(TRANSPOSE(ARRAYFORMULA(IF(added&lt;&gt;"""",HYPERLINK(""https://sealeddeck.tech/""&amp;added,""Link""),""""))),""""))"),"")</f>
        <v/>
      </c>
      <c r="J34" s="132"/>
      <c r="K34" s="132"/>
      <c r="L34" s="133"/>
      <c r="M34" s="135"/>
      <c r="N34" s="135"/>
      <c r="O34" s="135"/>
      <c r="P34" s="133"/>
      <c r="Q34" s="135"/>
      <c r="R34" s="135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</row>
    <row r="35">
      <c r="C35" s="129" t="str">
        <f t="array" ref="C35">INDEX('Player Database'!$D:$D,MATCH($D35,'Player Database'!$B:$B,0))</f>
        <v>#N/A</v>
      </c>
      <c r="D35" s="9" t="str">
        <f t="shared" si="1"/>
        <v> - </v>
      </c>
      <c r="E35" s="130" t="str">
        <f t="array" ref="E35">XLOOKUP($D35,'Player Database'!$B$2:$B1009,'Player Database'!$I$2:$I1009)</f>
        <v>#N/A</v>
      </c>
      <c r="F35" s="130" t="str">
        <f t="array" ref="F35">XLOOKUP($D35,'Player Database'!$B$2:$B1009,'Player Database'!$J$2:$J1009)</f>
        <v>#N/A</v>
      </c>
      <c r="G35" s="131" t="str">
        <f t="array" ref="G35">IF(H35="","",IFERROR(
  "https://sealeddeck.tech/" &amp; INDEX('Pool Changes'!F:F,
    MAX(
      ROW('Pool Changes'!A:A) *
      ('Pool Changes'!B:B=D35) *
      ('Pool Changes'!F:F&lt;&gt;"")
    )
  ),
  ""
))</f>
        <v/>
      </c>
      <c r="H35" s="131" t="str">
        <f>IFERROR(__xludf.DUMMYFUNCTION("LET(changes,FILTER('Pool Changes'!$B:$D, 'Pool Changes'!$B:$B = $D35),added,FILTER(INDEX(changes,0,3),INDEX(changes,0,2)=""starting pool""),TRANSPOSE(IFERROR(ARRAYFORMULA(IF(added&lt;&gt;"""",""https://sealeddeck.tech/""&amp;added,"""")),"""")))"),"")</f>
        <v/>
      </c>
      <c r="I35" s="132" t="str">
        <f>IFERROR(__xludf.DUMMYFUNCTION("LET(changes,FILTER('Pool Changes'!$B:$D, 'Pool Changes'!$B:$B = $D35),added,FILTER(INDEX(changes,0,3),INDEX(changes,0,2)=""add pack""),IFERROR(TRANSPOSE(ARRAYFORMULA(IF(added&lt;&gt;"""",HYPERLINK(""https://sealeddeck.tech/""&amp;added,""Link""),""""))),""""))"),"")</f>
        <v/>
      </c>
      <c r="J35" s="132"/>
      <c r="K35" s="132"/>
      <c r="L35" s="133"/>
      <c r="M35" s="135"/>
      <c r="N35" s="135"/>
      <c r="O35" s="135"/>
      <c r="P35" s="133"/>
      <c r="Q35" s="135"/>
      <c r="R35" s="135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</row>
    <row r="36">
      <c r="C36" s="129" t="str">
        <f t="array" ref="C36">INDEX('Player Database'!$D:$D,MATCH($D36,'Player Database'!$B:$B,0))</f>
        <v>#N/A</v>
      </c>
      <c r="D36" s="9" t="str">
        <f t="shared" si="1"/>
        <v> - </v>
      </c>
      <c r="E36" s="130" t="str">
        <f t="array" ref="E36">XLOOKUP($D36,'Player Database'!$B$2:$B1009,'Player Database'!$I$2:$I1009)</f>
        <v>#N/A</v>
      </c>
      <c r="F36" s="130" t="str">
        <f t="array" ref="F36">XLOOKUP($D36,'Player Database'!$B$2:$B1009,'Player Database'!$J$2:$J1009)</f>
        <v>#N/A</v>
      </c>
      <c r="G36" s="131" t="str">
        <f t="array" ref="G36">IF(H36="","",IFERROR(
  "https://sealeddeck.tech/" &amp; INDEX('Pool Changes'!F:F,
    MAX(
      ROW('Pool Changes'!A:A) *
      ('Pool Changes'!B:B=D36) *
      ('Pool Changes'!F:F&lt;&gt;"")
    )
  ),
  ""
))</f>
        <v/>
      </c>
      <c r="H36" s="131" t="str">
        <f>IFERROR(__xludf.DUMMYFUNCTION("LET(changes,FILTER('Pool Changes'!$B:$D, 'Pool Changes'!$B:$B = $D36),added,FILTER(INDEX(changes,0,3),INDEX(changes,0,2)=""starting pool""),TRANSPOSE(IFERROR(ARRAYFORMULA(IF(added&lt;&gt;"""",""https://sealeddeck.tech/""&amp;added,"""")),"""")))"),"")</f>
        <v/>
      </c>
      <c r="I36" s="132" t="str">
        <f>IFERROR(__xludf.DUMMYFUNCTION("LET(changes,FILTER('Pool Changes'!$B:$D, 'Pool Changes'!$B:$B = $D36),added,FILTER(INDEX(changes,0,3),INDEX(changes,0,2)=""add pack""),IFERROR(TRANSPOSE(ARRAYFORMULA(IF(added&lt;&gt;"""",HYPERLINK(""https://sealeddeck.tech/""&amp;added,""Link""),""""))),""""))"),"")</f>
        <v/>
      </c>
      <c r="J36" s="132"/>
      <c r="K36" s="132"/>
      <c r="L36" s="133"/>
      <c r="M36" s="135"/>
      <c r="N36" s="135"/>
      <c r="O36" s="135"/>
      <c r="P36" s="133"/>
      <c r="Q36" s="135"/>
      <c r="R36" s="135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</row>
    <row r="37">
      <c r="C37" s="129" t="str">
        <f t="array" ref="C37">INDEX('Player Database'!$D:$D,MATCH($D37,'Player Database'!$B:$B,0))</f>
        <v>#N/A</v>
      </c>
      <c r="D37" s="9" t="str">
        <f t="shared" si="1"/>
        <v> - </v>
      </c>
      <c r="E37" s="130" t="str">
        <f t="array" ref="E37">XLOOKUP($D37,'Player Database'!$B$2:$B1009,'Player Database'!$I$2:$I1009)</f>
        <v>#N/A</v>
      </c>
      <c r="F37" s="130" t="str">
        <f t="array" ref="F37">XLOOKUP($D37,'Player Database'!$B$2:$B1009,'Player Database'!$J$2:$J1009)</f>
        <v>#N/A</v>
      </c>
      <c r="G37" s="131" t="str">
        <f t="array" ref="G37">IF(H37="","",IFERROR(
  "https://sealeddeck.tech/" &amp; INDEX('Pool Changes'!F:F,
    MAX(
      ROW('Pool Changes'!A:A) *
      ('Pool Changes'!B:B=D37) *
      ('Pool Changes'!F:F&lt;&gt;"")
    )
  ),
  ""
))</f>
        <v/>
      </c>
      <c r="H37" s="131" t="str">
        <f>IFERROR(__xludf.DUMMYFUNCTION("LET(changes,FILTER('Pool Changes'!$B:$D, 'Pool Changes'!$B:$B = $D37),added,FILTER(INDEX(changes,0,3),INDEX(changes,0,2)=""starting pool""),TRANSPOSE(IFERROR(ARRAYFORMULA(IF(added&lt;&gt;"""",""https://sealeddeck.tech/""&amp;added,"""")),"""")))"),"")</f>
        <v/>
      </c>
      <c r="I37" s="132" t="str">
        <f>IFERROR(__xludf.DUMMYFUNCTION("LET(changes,FILTER('Pool Changes'!$B:$D, 'Pool Changes'!$B:$B = $D37),added,FILTER(INDEX(changes,0,3),INDEX(changes,0,2)=""add pack""),IFERROR(TRANSPOSE(ARRAYFORMULA(IF(added&lt;&gt;"""",HYPERLINK(""https://sealeddeck.tech/""&amp;added,""Link""),""""))),""""))"),"")</f>
        <v/>
      </c>
      <c r="J37" s="132"/>
      <c r="K37" s="132"/>
      <c r="L37" s="133"/>
      <c r="M37" s="135"/>
      <c r="N37" s="135"/>
      <c r="O37" s="135"/>
      <c r="P37" s="133"/>
      <c r="Q37" s="135"/>
      <c r="R37" s="135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</row>
    <row r="38">
      <c r="C38" s="129" t="str">
        <f t="array" ref="C38">INDEX('Player Database'!$D:$D,MATCH($D38,'Player Database'!$B:$B,0))</f>
        <v>#N/A</v>
      </c>
      <c r="D38" s="9" t="str">
        <f t="shared" si="1"/>
        <v> - </v>
      </c>
      <c r="E38" s="130" t="str">
        <f t="array" ref="E38">XLOOKUP($D38,'Player Database'!$B$2:$B1009,'Player Database'!$I$2:$I1009)</f>
        <v>#N/A</v>
      </c>
      <c r="F38" s="130" t="str">
        <f t="array" ref="F38">XLOOKUP($D38,'Player Database'!$B$2:$B1009,'Player Database'!$J$2:$J1009)</f>
        <v>#N/A</v>
      </c>
      <c r="G38" s="131" t="str">
        <f t="array" ref="G38">IF(H38="","",IFERROR(
  "https://sealeddeck.tech/" &amp; INDEX('Pool Changes'!F:F,
    MAX(
      ROW('Pool Changes'!A:A) *
      ('Pool Changes'!B:B=D38) *
      ('Pool Changes'!F:F&lt;&gt;"")
    )
  ),
  ""
))</f>
        <v/>
      </c>
      <c r="H38" s="131" t="str">
        <f>IFERROR(__xludf.DUMMYFUNCTION("LET(changes,FILTER('Pool Changes'!$B:$D, 'Pool Changes'!$B:$B = $D38),added,FILTER(INDEX(changes,0,3),INDEX(changes,0,2)=""starting pool""),TRANSPOSE(IFERROR(ARRAYFORMULA(IF(added&lt;&gt;"""",""https://sealeddeck.tech/""&amp;added,"""")),"""")))"),"")</f>
        <v/>
      </c>
      <c r="I38" s="132" t="str">
        <f>IFERROR(__xludf.DUMMYFUNCTION("LET(changes,FILTER('Pool Changes'!$B:$D, 'Pool Changes'!$B:$B = $D38),added,FILTER(INDEX(changes,0,3),INDEX(changes,0,2)=""add pack""),IFERROR(TRANSPOSE(ARRAYFORMULA(IF(added&lt;&gt;"""",HYPERLINK(""https://sealeddeck.tech/""&amp;added,""Link""),""""))),""""))"),"")</f>
        <v/>
      </c>
      <c r="J38" s="132"/>
      <c r="K38" s="132"/>
      <c r="L38" s="133"/>
      <c r="M38" s="135"/>
      <c r="N38" s="135"/>
      <c r="O38" s="135"/>
      <c r="P38" s="133"/>
      <c r="Q38" s="135"/>
      <c r="R38" s="135"/>
      <c r="S38" s="134"/>
      <c r="T38" s="134"/>
      <c r="U38" s="134"/>
      <c r="V38" s="136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</row>
    <row r="39">
      <c r="C39" s="129" t="str">
        <f t="array" ref="C39">INDEX('Player Database'!$D:$D,MATCH($D39,'Player Database'!$B:$B,0))</f>
        <v>#N/A</v>
      </c>
      <c r="D39" s="9" t="str">
        <f t="shared" si="1"/>
        <v> - </v>
      </c>
      <c r="E39" s="130" t="str">
        <f t="array" ref="E39">XLOOKUP($D39,'Player Database'!$B$2:$B1009,'Player Database'!$I$2:$I1009)</f>
        <v>#N/A</v>
      </c>
      <c r="F39" s="130" t="str">
        <f t="array" ref="F39">XLOOKUP($D39,'Player Database'!$B$2:$B1009,'Player Database'!$J$2:$J1009)</f>
        <v>#N/A</v>
      </c>
      <c r="G39" s="131" t="str">
        <f t="array" ref="G39">IF(H39="","",IFERROR(
  "https://sealeddeck.tech/" &amp; INDEX('Pool Changes'!F:F,
    MAX(
      ROW('Pool Changes'!A:A) *
      ('Pool Changes'!B:B=D39) *
      ('Pool Changes'!F:F&lt;&gt;"")
    )
  ),
  ""
))</f>
        <v/>
      </c>
      <c r="H39" s="131" t="str">
        <f>IFERROR(__xludf.DUMMYFUNCTION("LET(changes,FILTER('Pool Changes'!$B:$D, 'Pool Changes'!$B:$B = $D39),added,FILTER(INDEX(changes,0,3),INDEX(changes,0,2)=""starting pool""),TRANSPOSE(IFERROR(ARRAYFORMULA(IF(added&lt;&gt;"""",""https://sealeddeck.tech/""&amp;added,"""")),"""")))"),"")</f>
        <v/>
      </c>
      <c r="I39" s="132" t="str">
        <f>IFERROR(__xludf.DUMMYFUNCTION("LET(changes,FILTER('Pool Changes'!$B:$D, 'Pool Changes'!$B:$B = $D39),added,FILTER(INDEX(changes,0,3),INDEX(changes,0,2)=""add pack""),IFERROR(TRANSPOSE(ARRAYFORMULA(IF(added&lt;&gt;"""",HYPERLINK(""https://sealeddeck.tech/""&amp;added,""Link""),""""))),""""))"),"")</f>
        <v/>
      </c>
      <c r="J39" s="132"/>
      <c r="K39" s="132"/>
      <c r="L39" s="133"/>
      <c r="M39" s="135"/>
      <c r="N39" s="135"/>
      <c r="O39" s="135"/>
      <c r="P39" s="133"/>
      <c r="Q39" s="135"/>
      <c r="R39" s="135"/>
      <c r="S39" s="134"/>
      <c r="T39" s="134"/>
      <c r="U39" s="134"/>
      <c r="V39" s="136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</row>
    <row r="40">
      <c r="C40" s="129" t="str">
        <f t="array" ref="C40">INDEX('Player Database'!$D:$D,MATCH($D40,'Player Database'!$B:$B,0))</f>
        <v>#N/A</v>
      </c>
      <c r="D40" s="9" t="str">
        <f t="shared" si="1"/>
        <v> - </v>
      </c>
      <c r="E40" s="130" t="str">
        <f t="array" ref="E40">XLOOKUP($D40,'Player Database'!$B$2:$B1009,'Player Database'!$I$2:$I1009)</f>
        <v>#N/A</v>
      </c>
      <c r="F40" s="130" t="str">
        <f t="array" ref="F40">XLOOKUP($D40,'Player Database'!$B$2:$B1009,'Player Database'!$J$2:$J1009)</f>
        <v>#N/A</v>
      </c>
      <c r="G40" s="131" t="str">
        <f t="array" ref="G40">IF(H40="","",IFERROR(
  "https://sealeddeck.tech/" &amp; INDEX('Pool Changes'!F:F,
    MAX(
      ROW('Pool Changes'!A:A) *
      ('Pool Changes'!B:B=D40) *
      ('Pool Changes'!F:F&lt;&gt;"")
    )
  ),
  ""
))</f>
        <v/>
      </c>
      <c r="H40" s="131" t="str">
        <f>IFERROR(__xludf.DUMMYFUNCTION("LET(changes,FILTER('Pool Changes'!$B:$D, 'Pool Changes'!$B:$B = $D40),added,FILTER(INDEX(changes,0,3),INDEX(changes,0,2)=""starting pool""),TRANSPOSE(IFERROR(ARRAYFORMULA(IF(added&lt;&gt;"""",""https://sealeddeck.tech/""&amp;added,"""")),"""")))"),"")</f>
        <v/>
      </c>
      <c r="I40" s="132" t="str">
        <f>IFERROR(__xludf.DUMMYFUNCTION("LET(changes,FILTER('Pool Changes'!$B:$D, 'Pool Changes'!$B:$B = $D40),added,FILTER(INDEX(changes,0,3),INDEX(changes,0,2)=""add pack""),IFERROR(TRANSPOSE(ARRAYFORMULA(IF(added&lt;&gt;"""",HYPERLINK(""https://sealeddeck.tech/""&amp;added,""Link""),""""))),""""))"),"")</f>
        <v/>
      </c>
      <c r="J40" s="132"/>
      <c r="K40" s="132"/>
      <c r="L40" s="133"/>
      <c r="M40" s="135"/>
      <c r="N40" s="135"/>
      <c r="O40" s="135"/>
      <c r="P40" s="133"/>
      <c r="Q40" s="135"/>
      <c r="R40" s="135"/>
      <c r="S40" s="134"/>
      <c r="T40" s="134"/>
      <c r="U40" s="134"/>
      <c r="V40" s="136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</row>
    <row r="41">
      <c r="C41" s="129" t="str">
        <f t="array" ref="C41">INDEX('Player Database'!$D:$D,MATCH($D41,'Player Database'!$B:$B,0))</f>
        <v>#N/A</v>
      </c>
      <c r="D41" s="9" t="str">
        <f t="shared" si="1"/>
        <v> - </v>
      </c>
      <c r="E41" s="130" t="str">
        <f t="array" ref="E41">XLOOKUP($D41,'Player Database'!$B$2:$B1009,'Player Database'!$I$2:$I1009)</f>
        <v>#N/A</v>
      </c>
      <c r="F41" s="130" t="str">
        <f t="array" ref="F41">XLOOKUP($D41,'Player Database'!$B$2:$B1009,'Player Database'!$J$2:$J1009)</f>
        <v>#N/A</v>
      </c>
      <c r="G41" s="131" t="str">
        <f t="array" ref="G41">IF(H41="","",IFERROR(
  "https://sealeddeck.tech/" &amp; INDEX('Pool Changes'!F:F,
    MAX(
      ROW('Pool Changes'!A:A) *
      ('Pool Changes'!B:B=D41) *
      ('Pool Changes'!F:F&lt;&gt;"")
    )
  ),
  ""
))</f>
        <v/>
      </c>
      <c r="H41" s="131" t="str">
        <f>IFERROR(__xludf.DUMMYFUNCTION("LET(changes,FILTER('Pool Changes'!$B:$D, 'Pool Changes'!$B:$B = $D41),added,FILTER(INDEX(changes,0,3),INDEX(changes,0,2)=""starting pool""),TRANSPOSE(IFERROR(ARRAYFORMULA(IF(added&lt;&gt;"""",""https://sealeddeck.tech/""&amp;added,"""")),"""")))"),"")</f>
        <v/>
      </c>
      <c r="I41" s="132" t="str">
        <f>IFERROR(__xludf.DUMMYFUNCTION("LET(changes,FILTER('Pool Changes'!$B:$D, 'Pool Changes'!$B:$B = $D41),added,FILTER(INDEX(changes,0,3),INDEX(changes,0,2)=""add pack""),IFERROR(TRANSPOSE(ARRAYFORMULA(IF(added&lt;&gt;"""",HYPERLINK(""https://sealeddeck.tech/""&amp;added,""Link""),""""))),""""))"),"")</f>
        <v/>
      </c>
      <c r="J41" s="132"/>
      <c r="K41" s="132"/>
      <c r="L41" s="133"/>
      <c r="M41" s="135"/>
      <c r="N41" s="135"/>
      <c r="O41" s="135"/>
      <c r="P41" s="133"/>
      <c r="Q41" s="135"/>
      <c r="R41" s="135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</row>
    <row r="42">
      <c r="C42" s="129" t="str">
        <f t="array" ref="C42">INDEX('Player Database'!$D:$D,MATCH($D42,'Player Database'!$B:$B,0))</f>
        <v>#N/A</v>
      </c>
      <c r="D42" s="9" t="str">
        <f t="shared" si="1"/>
        <v> - </v>
      </c>
      <c r="E42" s="130" t="str">
        <f t="array" ref="E42">XLOOKUP($D42,'Player Database'!$B$2:$B1009,'Player Database'!$I$2:$I1009)</f>
        <v>#N/A</v>
      </c>
      <c r="F42" s="130" t="str">
        <f t="array" ref="F42">XLOOKUP($D42,'Player Database'!$B$2:$B1009,'Player Database'!$J$2:$J1009)</f>
        <v>#N/A</v>
      </c>
      <c r="G42" s="131" t="str">
        <f t="array" ref="G42">IF(H42="","",IFERROR(
  "https://sealeddeck.tech/" &amp; INDEX('Pool Changes'!F:F,
    MAX(
      ROW('Pool Changes'!A:A) *
      ('Pool Changes'!B:B=D42) *
      ('Pool Changes'!F:F&lt;&gt;"")
    )
  ),
  ""
))</f>
        <v/>
      </c>
      <c r="H42" s="131" t="str">
        <f>IFERROR(__xludf.DUMMYFUNCTION("LET(changes,FILTER('Pool Changes'!$B:$D, 'Pool Changes'!$B:$B = $D42),added,FILTER(INDEX(changes,0,3),INDEX(changes,0,2)=""starting pool""),TRANSPOSE(IFERROR(ARRAYFORMULA(IF(added&lt;&gt;"""",""https://sealeddeck.tech/""&amp;added,"""")),"""")))"),"")</f>
        <v/>
      </c>
      <c r="I42" s="132" t="str">
        <f>IFERROR(__xludf.DUMMYFUNCTION("LET(changes,FILTER('Pool Changes'!$B:$D, 'Pool Changes'!$B:$B = $D42),added,FILTER(INDEX(changes,0,3),INDEX(changes,0,2)=""add pack""),IFERROR(TRANSPOSE(ARRAYFORMULA(IF(added&lt;&gt;"""",HYPERLINK(""https://sealeddeck.tech/""&amp;added,""Link""),""""))),""""))"),"")</f>
        <v/>
      </c>
      <c r="J42" s="132"/>
      <c r="K42" s="132"/>
      <c r="L42" s="133"/>
      <c r="M42" s="135"/>
      <c r="N42" s="135"/>
      <c r="O42" s="135"/>
      <c r="P42" s="133"/>
      <c r="Q42" s="135"/>
      <c r="R42" s="135"/>
      <c r="S42" s="134"/>
      <c r="T42" s="134"/>
      <c r="U42" s="134"/>
      <c r="V42" s="136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</row>
    <row r="43">
      <c r="C43" s="129" t="str">
        <f t="array" ref="C43">INDEX('Player Database'!$D:$D,MATCH($D43,'Player Database'!$B:$B,0))</f>
        <v>#N/A</v>
      </c>
      <c r="D43" s="9" t="str">
        <f t="shared" si="1"/>
        <v> - </v>
      </c>
      <c r="E43" s="130" t="str">
        <f t="array" ref="E43">XLOOKUP($D43,'Player Database'!$B$2:$B1009,'Player Database'!$I$2:$I1009)</f>
        <v>#N/A</v>
      </c>
      <c r="F43" s="130" t="str">
        <f t="array" ref="F43">XLOOKUP($D43,'Player Database'!$B$2:$B1009,'Player Database'!$J$2:$J1009)</f>
        <v>#N/A</v>
      </c>
      <c r="G43" s="131" t="str">
        <f t="array" ref="G43">IF(H43="","",IFERROR(
  "https://sealeddeck.tech/" &amp; INDEX('Pool Changes'!F:F,
    MAX(
      ROW('Pool Changes'!A:A) *
      ('Pool Changes'!B:B=D43) *
      ('Pool Changes'!F:F&lt;&gt;"")
    )
  ),
  ""
))</f>
        <v/>
      </c>
      <c r="H43" s="131" t="str">
        <f>IFERROR(__xludf.DUMMYFUNCTION("LET(changes,FILTER('Pool Changes'!$B:$D, 'Pool Changes'!$B:$B = $D43),added,FILTER(INDEX(changes,0,3),INDEX(changes,0,2)=""starting pool""),TRANSPOSE(IFERROR(ARRAYFORMULA(IF(added&lt;&gt;"""",""https://sealeddeck.tech/""&amp;added,"""")),"""")))"),"")</f>
        <v/>
      </c>
      <c r="I43" s="132" t="str">
        <f>IFERROR(__xludf.DUMMYFUNCTION("LET(changes,FILTER('Pool Changes'!$B:$D, 'Pool Changes'!$B:$B = $D43),added,FILTER(INDEX(changes,0,3),INDEX(changes,0,2)=""add pack""),IFERROR(TRANSPOSE(ARRAYFORMULA(IF(added&lt;&gt;"""",HYPERLINK(""https://sealeddeck.tech/""&amp;added,""Link""),""""))),""""))"),"")</f>
        <v/>
      </c>
      <c r="J43" s="132"/>
      <c r="K43" s="132"/>
      <c r="L43" s="133"/>
      <c r="M43" s="135"/>
      <c r="N43" s="135"/>
      <c r="O43" s="135"/>
      <c r="P43" s="133"/>
      <c r="Q43" s="135"/>
      <c r="R43" s="135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</row>
    <row r="44">
      <c r="C44" s="129" t="str">
        <f t="array" ref="C44">INDEX('Player Database'!$D:$D,MATCH($D44,'Player Database'!$B:$B,0))</f>
        <v>#N/A</v>
      </c>
      <c r="D44" s="9" t="str">
        <f t="shared" si="1"/>
        <v> - </v>
      </c>
      <c r="E44" s="130" t="str">
        <f t="array" ref="E44">XLOOKUP($D44,'Player Database'!$B$2:$B1009,'Player Database'!$I$2:$I1009)</f>
        <v>#N/A</v>
      </c>
      <c r="F44" s="130" t="str">
        <f t="array" ref="F44">XLOOKUP($D44,'Player Database'!$B$2:$B1009,'Player Database'!$J$2:$J1009)</f>
        <v>#N/A</v>
      </c>
      <c r="G44" s="131" t="str">
        <f t="array" ref="G44">IF(H44="","",IFERROR(
  "https://sealeddeck.tech/" &amp; INDEX('Pool Changes'!F:F,
    MAX(
      ROW('Pool Changes'!A:A) *
      ('Pool Changes'!B:B=D44) *
      ('Pool Changes'!F:F&lt;&gt;"")
    )
  ),
  ""
))</f>
        <v/>
      </c>
      <c r="H44" s="131" t="str">
        <f>IFERROR(__xludf.DUMMYFUNCTION("LET(changes,FILTER('Pool Changes'!$B:$D, 'Pool Changes'!$B:$B = $D44),added,FILTER(INDEX(changes,0,3),INDEX(changes,0,2)=""starting pool""),TRANSPOSE(IFERROR(ARRAYFORMULA(IF(added&lt;&gt;"""",""https://sealeddeck.tech/""&amp;added,"""")),"""")))"),"")</f>
        <v/>
      </c>
      <c r="I44" s="132" t="str">
        <f>IFERROR(__xludf.DUMMYFUNCTION("LET(changes,FILTER('Pool Changes'!$B:$D, 'Pool Changes'!$B:$B = $D44),added,FILTER(INDEX(changes,0,3),INDEX(changes,0,2)=""add pack""),IFERROR(TRANSPOSE(ARRAYFORMULA(IF(added&lt;&gt;"""",HYPERLINK(""https://sealeddeck.tech/""&amp;added,""Link""),""""))),""""))"),"")</f>
        <v/>
      </c>
      <c r="J44" s="132"/>
      <c r="K44" s="132"/>
      <c r="L44" s="133"/>
      <c r="M44" s="135"/>
      <c r="N44" s="135"/>
      <c r="O44" s="135"/>
      <c r="P44" s="133"/>
      <c r="Q44" s="135"/>
      <c r="R44" s="135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</row>
    <row r="45">
      <c r="C45" s="129" t="str">
        <f t="array" ref="C45">INDEX('Player Database'!$D:$D,MATCH($D45,'Player Database'!$B:$B,0))</f>
        <v>#N/A</v>
      </c>
      <c r="D45" s="9" t="str">
        <f t="shared" si="1"/>
        <v> - </v>
      </c>
      <c r="E45" s="130" t="str">
        <f t="array" ref="E45">XLOOKUP($D45,'Player Database'!$B$2:$B1009,'Player Database'!$I$2:$I1009)</f>
        <v>#N/A</v>
      </c>
      <c r="F45" s="130" t="str">
        <f t="array" ref="F45">XLOOKUP($D45,'Player Database'!$B$2:$B1009,'Player Database'!$J$2:$J1009)</f>
        <v>#N/A</v>
      </c>
      <c r="G45" s="131" t="str">
        <f t="array" ref="G45">IF(H45="","",IFERROR(
  "https://sealeddeck.tech/" &amp; INDEX('Pool Changes'!F:F,
    MAX(
      ROW('Pool Changes'!A:A) *
      ('Pool Changes'!B:B=D45) *
      ('Pool Changes'!F:F&lt;&gt;"")
    )
  ),
  ""
))</f>
        <v/>
      </c>
      <c r="H45" s="131" t="str">
        <f>IFERROR(__xludf.DUMMYFUNCTION("LET(changes,FILTER('Pool Changes'!$B:$D, 'Pool Changes'!$B:$B = $D45),added,FILTER(INDEX(changes,0,3),INDEX(changes,0,2)=""starting pool""),TRANSPOSE(IFERROR(ARRAYFORMULA(IF(added&lt;&gt;"""",""https://sealeddeck.tech/""&amp;added,"""")),"""")))"),"")</f>
        <v/>
      </c>
      <c r="I45" s="132" t="str">
        <f>IFERROR(__xludf.DUMMYFUNCTION("LET(changes,FILTER('Pool Changes'!$B:$D, 'Pool Changes'!$B:$B = $D45),added,FILTER(INDEX(changes,0,3),INDEX(changes,0,2)=""add pack""),IFERROR(TRANSPOSE(ARRAYFORMULA(IF(added&lt;&gt;"""",HYPERLINK(""https://sealeddeck.tech/""&amp;added,""Link""),""""))),""""))"),"")</f>
        <v/>
      </c>
      <c r="J45" s="132"/>
      <c r="K45" s="132"/>
      <c r="L45" s="133"/>
      <c r="M45" s="135"/>
      <c r="N45" s="135"/>
      <c r="O45" s="135"/>
      <c r="P45" s="133"/>
      <c r="Q45" s="135"/>
      <c r="R45" s="135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</row>
    <row r="46">
      <c r="C46" s="129" t="str">
        <f t="array" ref="C46">INDEX('Player Database'!$D:$D,MATCH($D46,'Player Database'!$B:$B,0))</f>
        <v>#N/A</v>
      </c>
      <c r="D46" s="9" t="str">
        <f t="shared" si="1"/>
        <v> - </v>
      </c>
      <c r="E46" s="130" t="str">
        <f t="array" ref="E46">XLOOKUP($D46,'Player Database'!$B$2:$B1009,'Player Database'!$I$2:$I1009)</f>
        <v>#N/A</v>
      </c>
      <c r="F46" s="130" t="str">
        <f t="array" ref="F46">XLOOKUP($D46,'Player Database'!$B$2:$B1009,'Player Database'!$J$2:$J1009)</f>
        <v>#N/A</v>
      </c>
      <c r="G46" s="131" t="str">
        <f t="array" ref="G46">IF(H46="","",IFERROR(
  "https://sealeddeck.tech/" &amp; INDEX('Pool Changes'!F:F,
    MAX(
      ROW('Pool Changes'!A:A) *
      ('Pool Changes'!B:B=D46) *
      ('Pool Changes'!F:F&lt;&gt;"")
    )
  ),
  ""
))</f>
        <v/>
      </c>
      <c r="H46" s="131" t="str">
        <f>IFERROR(__xludf.DUMMYFUNCTION("LET(changes,FILTER('Pool Changes'!$B:$D, 'Pool Changes'!$B:$B = $D46),added,FILTER(INDEX(changes,0,3),INDEX(changes,0,2)=""starting pool""),TRANSPOSE(IFERROR(ARRAYFORMULA(IF(added&lt;&gt;"""",""https://sealeddeck.tech/""&amp;added,"""")),"""")))"),"")</f>
        <v/>
      </c>
      <c r="I46" s="132" t="str">
        <f>IFERROR(__xludf.DUMMYFUNCTION("LET(changes,FILTER('Pool Changes'!$B:$D, 'Pool Changes'!$B:$B = $D46),added,FILTER(INDEX(changes,0,3),INDEX(changes,0,2)=""add pack""),IFERROR(TRANSPOSE(ARRAYFORMULA(IF(added&lt;&gt;"""",HYPERLINK(""https://sealeddeck.tech/""&amp;added,""Link""),""""))),""""))"),"")</f>
        <v/>
      </c>
      <c r="J46" s="132"/>
      <c r="K46" s="132"/>
      <c r="L46" s="133"/>
      <c r="M46" s="135"/>
      <c r="N46" s="135"/>
      <c r="O46" s="135"/>
      <c r="P46" s="133"/>
      <c r="Q46" s="135"/>
      <c r="R46" s="135"/>
      <c r="S46" s="134"/>
      <c r="T46" s="134"/>
      <c r="U46" s="134"/>
      <c r="V46" s="136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</row>
    <row r="47">
      <c r="C47" s="129" t="str">
        <f t="array" ref="C47">INDEX('Player Database'!$D:$D,MATCH($D47,'Player Database'!$B:$B,0))</f>
        <v>#N/A</v>
      </c>
      <c r="D47" s="9" t="str">
        <f t="shared" si="1"/>
        <v> - </v>
      </c>
      <c r="E47" s="130" t="str">
        <f t="array" ref="E47">XLOOKUP($D47,'Player Database'!$B$2:$B1009,'Player Database'!$I$2:$I1009)</f>
        <v>#N/A</v>
      </c>
      <c r="F47" s="130" t="str">
        <f t="array" ref="F47">XLOOKUP($D47,'Player Database'!$B$2:$B1009,'Player Database'!$J$2:$J1009)</f>
        <v>#N/A</v>
      </c>
      <c r="G47" s="131" t="str">
        <f t="array" ref="G47">IF(H47="","",IFERROR(
  "https://sealeddeck.tech/" &amp; INDEX('Pool Changes'!F:F,
    MAX(
      ROW('Pool Changes'!A:A) *
      ('Pool Changes'!B:B=D47) *
      ('Pool Changes'!F:F&lt;&gt;"")
    )
  ),
  ""
))</f>
        <v/>
      </c>
      <c r="H47" s="131" t="str">
        <f>IFERROR(__xludf.DUMMYFUNCTION("LET(changes,FILTER('Pool Changes'!$B:$D, 'Pool Changes'!$B:$B = $D47),added,FILTER(INDEX(changes,0,3),INDEX(changes,0,2)=""starting pool""),TRANSPOSE(IFERROR(ARRAYFORMULA(IF(added&lt;&gt;"""",""https://sealeddeck.tech/""&amp;added,"""")),"""")))"),"")</f>
        <v/>
      </c>
      <c r="I47" s="132" t="str">
        <f>IFERROR(__xludf.DUMMYFUNCTION("LET(changes,FILTER('Pool Changes'!$B:$D, 'Pool Changes'!$B:$B = $D47),added,FILTER(INDEX(changes,0,3),INDEX(changes,0,2)=""add pack""),IFERROR(TRANSPOSE(ARRAYFORMULA(IF(added&lt;&gt;"""",HYPERLINK(""https://sealeddeck.tech/""&amp;added,""Link""),""""))),""""))"),"")</f>
        <v/>
      </c>
      <c r="J47" s="132"/>
      <c r="K47" s="132"/>
      <c r="L47" s="133"/>
      <c r="M47" s="135"/>
      <c r="N47" s="135"/>
      <c r="O47" s="135"/>
      <c r="P47" s="133"/>
      <c r="Q47" s="135"/>
      <c r="R47" s="135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</row>
    <row r="48">
      <c r="C48" s="129" t="str">
        <f t="array" ref="C48">INDEX('Player Database'!$D:$D,MATCH($D48,'Player Database'!$B:$B,0))</f>
        <v>#N/A</v>
      </c>
      <c r="D48" s="9" t="str">
        <f t="shared" si="1"/>
        <v> - </v>
      </c>
      <c r="E48" s="130" t="str">
        <f t="array" ref="E48">XLOOKUP($D48,'Player Database'!$B$2:$B1009,'Player Database'!$I$2:$I1009)</f>
        <v>#N/A</v>
      </c>
      <c r="F48" s="130" t="str">
        <f t="array" ref="F48">XLOOKUP($D48,'Player Database'!$B$2:$B1009,'Player Database'!$J$2:$J1009)</f>
        <v>#N/A</v>
      </c>
      <c r="G48" s="131" t="str">
        <f t="array" ref="G48">IF(H48="","",IFERROR(
  "https://sealeddeck.tech/" &amp; INDEX('Pool Changes'!F:F,
    MAX(
      ROW('Pool Changes'!A:A) *
      ('Pool Changes'!B:B=D48) *
      ('Pool Changes'!F:F&lt;&gt;"")
    )
  ),
  ""
))</f>
        <v/>
      </c>
      <c r="H48" s="131" t="str">
        <f>IFERROR(__xludf.DUMMYFUNCTION("LET(changes,FILTER('Pool Changes'!$B:$D, 'Pool Changes'!$B:$B = $D48),added,FILTER(INDEX(changes,0,3),INDEX(changes,0,2)=""starting pool""),TRANSPOSE(IFERROR(ARRAYFORMULA(IF(added&lt;&gt;"""",""https://sealeddeck.tech/""&amp;added,"""")),"""")))"),"")</f>
        <v/>
      </c>
      <c r="I48" s="132" t="str">
        <f>IFERROR(__xludf.DUMMYFUNCTION("LET(changes,FILTER('Pool Changes'!$B:$D, 'Pool Changes'!$B:$B = $D48),added,FILTER(INDEX(changes,0,3),INDEX(changes,0,2)=""add pack""),IFERROR(TRANSPOSE(ARRAYFORMULA(IF(added&lt;&gt;"""",HYPERLINK(""https://sealeddeck.tech/""&amp;added,""Link""),""""))),""""))"),"")</f>
        <v/>
      </c>
      <c r="J48" s="132"/>
      <c r="K48" s="132"/>
      <c r="L48" s="133"/>
      <c r="M48" s="135"/>
      <c r="N48" s="135"/>
      <c r="O48" s="135"/>
      <c r="P48" s="133"/>
      <c r="Q48" s="135"/>
      <c r="R48" s="135"/>
      <c r="S48" s="134"/>
      <c r="T48" s="134"/>
      <c r="U48" s="134"/>
      <c r="V48" s="136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</row>
    <row r="49">
      <c r="C49" s="129" t="str">
        <f t="array" ref="C49">INDEX('Player Database'!$D:$D,MATCH($D49,'Player Database'!$B:$B,0))</f>
        <v>#N/A</v>
      </c>
      <c r="D49" s="9" t="str">
        <f t="shared" si="1"/>
        <v> - </v>
      </c>
      <c r="E49" s="130" t="str">
        <f t="array" ref="E49">XLOOKUP($D49,'Player Database'!$B$2:$B1009,'Player Database'!$I$2:$I1009)</f>
        <v>#N/A</v>
      </c>
      <c r="F49" s="130" t="str">
        <f t="array" ref="F49">XLOOKUP($D49,'Player Database'!$B$2:$B1009,'Player Database'!$J$2:$J1009)</f>
        <v>#N/A</v>
      </c>
      <c r="G49" s="131" t="str">
        <f t="array" ref="G49">IF(H49="","",IFERROR(
  "https://sealeddeck.tech/" &amp; INDEX('Pool Changes'!F:F,
    MAX(
      ROW('Pool Changes'!A:A) *
      ('Pool Changes'!B:B=D49) *
      ('Pool Changes'!F:F&lt;&gt;"")
    )
  ),
  ""
))</f>
        <v/>
      </c>
      <c r="H49" s="131" t="str">
        <f>IFERROR(__xludf.DUMMYFUNCTION("LET(changes,FILTER('Pool Changes'!$B:$D, 'Pool Changes'!$B:$B = $D49),added,FILTER(INDEX(changes,0,3),INDEX(changes,0,2)=""starting pool""),TRANSPOSE(IFERROR(ARRAYFORMULA(IF(added&lt;&gt;"""",""https://sealeddeck.tech/""&amp;added,"""")),"""")))"),"")</f>
        <v/>
      </c>
      <c r="I49" s="132" t="str">
        <f>IFERROR(__xludf.DUMMYFUNCTION("LET(changes,FILTER('Pool Changes'!$B:$D, 'Pool Changes'!$B:$B = $D49),added,FILTER(INDEX(changes,0,3),INDEX(changes,0,2)=""add pack""),IFERROR(TRANSPOSE(ARRAYFORMULA(IF(added&lt;&gt;"""",HYPERLINK(""https://sealeddeck.tech/""&amp;added,""Link""),""""))),""""))"),"")</f>
        <v/>
      </c>
      <c r="J49" s="132"/>
      <c r="K49" s="132"/>
      <c r="L49" s="133"/>
      <c r="M49" s="135"/>
      <c r="N49" s="135"/>
      <c r="O49" s="135"/>
      <c r="P49" s="133"/>
      <c r="Q49" s="135"/>
      <c r="R49" s="135"/>
      <c r="S49" s="134"/>
      <c r="T49" s="134"/>
      <c r="U49" s="134"/>
      <c r="V49" s="136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</row>
    <row r="50">
      <c r="C50" s="129" t="str">
        <f t="array" ref="C50">INDEX('Player Database'!$D:$D,MATCH($D50,'Player Database'!$B:$B,0))</f>
        <v>#N/A</v>
      </c>
      <c r="D50" s="9" t="str">
        <f t="shared" si="1"/>
        <v> - </v>
      </c>
      <c r="E50" s="130" t="str">
        <f t="array" ref="E50">XLOOKUP($D50,'Player Database'!$B$2:$B1009,'Player Database'!$I$2:$I1009)</f>
        <v>#N/A</v>
      </c>
      <c r="F50" s="130" t="str">
        <f t="array" ref="F50">XLOOKUP($D50,'Player Database'!$B$2:$B1009,'Player Database'!$J$2:$J1009)</f>
        <v>#N/A</v>
      </c>
      <c r="G50" s="131" t="str">
        <f t="array" ref="G50">IF(H50="","",IFERROR(
  "https://sealeddeck.tech/" &amp; INDEX('Pool Changes'!F:F,
    MAX(
      ROW('Pool Changes'!A:A) *
      ('Pool Changes'!B:B=D50) *
      ('Pool Changes'!F:F&lt;&gt;"")
    )
  ),
  ""
))</f>
        <v/>
      </c>
      <c r="H50" s="131" t="str">
        <f>IFERROR(__xludf.DUMMYFUNCTION("LET(changes,FILTER('Pool Changes'!$B:$D, 'Pool Changes'!$B:$B = $D50),added,FILTER(INDEX(changes,0,3),INDEX(changes,0,2)=""starting pool""),TRANSPOSE(IFERROR(ARRAYFORMULA(IF(added&lt;&gt;"""",""https://sealeddeck.tech/""&amp;added,"""")),"""")))"),"")</f>
        <v/>
      </c>
      <c r="I50" s="132" t="str">
        <f>IFERROR(__xludf.DUMMYFUNCTION("LET(changes,FILTER('Pool Changes'!$B:$D, 'Pool Changes'!$B:$B = $D50),added,FILTER(INDEX(changes,0,3),INDEX(changes,0,2)=""add pack""),IFERROR(TRANSPOSE(ARRAYFORMULA(IF(added&lt;&gt;"""",HYPERLINK(""https://sealeddeck.tech/""&amp;added,""Link""),""""))),""""))"),"")</f>
        <v/>
      </c>
      <c r="J50" s="132"/>
      <c r="K50" s="132"/>
      <c r="L50" s="133"/>
      <c r="M50" s="135"/>
      <c r="N50" s="135"/>
      <c r="O50" s="135"/>
      <c r="P50" s="133"/>
      <c r="Q50" s="135"/>
      <c r="R50" s="135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</row>
    <row r="51">
      <c r="C51" s="129" t="str">
        <f t="array" ref="C51">INDEX('Player Database'!$D:$D,MATCH($D51,'Player Database'!$B:$B,0))</f>
        <v>#N/A</v>
      </c>
      <c r="D51" s="9" t="str">
        <f t="shared" si="1"/>
        <v> - </v>
      </c>
      <c r="E51" s="130" t="str">
        <f t="array" ref="E51">XLOOKUP($D51,'Player Database'!$B$2:$B1009,'Player Database'!$I$2:$I1009)</f>
        <v>#N/A</v>
      </c>
      <c r="F51" s="130" t="str">
        <f t="array" ref="F51">XLOOKUP($D51,'Player Database'!$B$2:$B1009,'Player Database'!$J$2:$J1009)</f>
        <v>#N/A</v>
      </c>
      <c r="G51" s="131" t="str">
        <f t="array" ref="G51">IF(H51="","",IFERROR(
  "https://sealeddeck.tech/" &amp; INDEX('Pool Changes'!F:F,
    MAX(
      ROW('Pool Changes'!A:A) *
      ('Pool Changes'!B:B=D51) *
      ('Pool Changes'!F:F&lt;&gt;"")
    )
  ),
  ""
))</f>
        <v/>
      </c>
      <c r="H51" s="131" t="str">
        <f>IFERROR(__xludf.DUMMYFUNCTION("LET(changes,FILTER('Pool Changes'!$B:$D, 'Pool Changes'!$B:$B = $D51),added,FILTER(INDEX(changes,0,3),INDEX(changes,0,2)=""starting pool""),TRANSPOSE(IFERROR(ARRAYFORMULA(IF(added&lt;&gt;"""",""https://sealeddeck.tech/""&amp;added,"""")),"""")))"),"")</f>
        <v/>
      </c>
      <c r="I51" s="132" t="str">
        <f>IFERROR(__xludf.DUMMYFUNCTION("LET(changes,FILTER('Pool Changes'!$B:$D, 'Pool Changes'!$B:$B = $D51),added,FILTER(INDEX(changes,0,3),INDEX(changes,0,2)=""add pack""),IFERROR(TRANSPOSE(ARRAYFORMULA(IF(added&lt;&gt;"""",HYPERLINK(""https://sealeddeck.tech/""&amp;added,""Link""),""""))),""""))"),"")</f>
        <v/>
      </c>
      <c r="J51" s="132"/>
      <c r="K51" s="132"/>
      <c r="L51" s="133"/>
      <c r="M51" s="135"/>
      <c r="N51" s="135"/>
      <c r="O51" s="135"/>
      <c r="P51" s="133"/>
      <c r="Q51" s="135"/>
      <c r="R51" s="135"/>
      <c r="S51" s="134"/>
      <c r="T51" s="134"/>
      <c r="U51" s="134"/>
      <c r="V51" s="136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</row>
    <row r="52">
      <c r="C52" s="129" t="str">
        <f t="array" ref="C52">INDEX('Player Database'!$D:$D,MATCH($D52,'Player Database'!$B:$B,0))</f>
        <v>#N/A</v>
      </c>
      <c r="D52" s="9" t="str">
        <f t="shared" si="1"/>
        <v> - </v>
      </c>
      <c r="E52" s="130" t="str">
        <f t="array" ref="E52">XLOOKUP($D52,'Player Database'!$B$2:$B1009,'Player Database'!$I$2:$I1009)</f>
        <v>#N/A</v>
      </c>
      <c r="F52" s="130" t="str">
        <f t="array" ref="F52">XLOOKUP($D52,'Player Database'!$B$2:$B1009,'Player Database'!$J$2:$J1009)</f>
        <v>#N/A</v>
      </c>
      <c r="G52" s="131" t="str">
        <f t="array" ref="G52">IF(H52="","",IFERROR(
  "https://sealeddeck.tech/" &amp; INDEX('Pool Changes'!F:F,
    MAX(
      ROW('Pool Changes'!A:A) *
      ('Pool Changes'!B:B=D52) *
      ('Pool Changes'!F:F&lt;&gt;"")
    )
  ),
  ""
))</f>
        <v/>
      </c>
      <c r="H52" s="131" t="str">
        <f>IFERROR(__xludf.DUMMYFUNCTION("LET(changes,FILTER('Pool Changes'!$B:$D, 'Pool Changes'!$B:$B = $D52),added,FILTER(INDEX(changes,0,3),INDEX(changes,0,2)=""starting pool""),TRANSPOSE(IFERROR(ARRAYFORMULA(IF(added&lt;&gt;"""",""https://sealeddeck.tech/""&amp;added,"""")),"""")))"),"")</f>
        <v/>
      </c>
      <c r="I52" s="132" t="str">
        <f>IFERROR(__xludf.DUMMYFUNCTION("LET(changes,FILTER('Pool Changes'!$B:$D, 'Pool Changes'!$B:$B = $D52),added,FILTER(INDEX(changes,0,3),INDEX(changes,0,2)=""add pack""),IFERROR(TRANSPOSE(ARRAYFORMULA(IF(added&lt;&gt;"""",HYPERLINK(""https://sealeddeck.tech/""&amp;added,""Link""),""""))),""""))"),"")</f>
        <v/>
      </c>
      <c r="J52" s="132"/>
      <c r="K52" s="132"/>
      <c r="L52" s="133"/>
      <c r="M52" s="135"/>
      <c r="N52" s="135"/>
      <c r="O52" s="135"/>
      <c r="P52" s="133"/>
      <c r="Q52" s="135"/>
      <c r="R52" s="135"/>
      <c r="S52" s="134"/>
    </row>
    <row r="53">
      <c r="C53" s="129" t="str">
        <f t="array" ref="C53">INDEX('Player Database'!$D:$D,MATCH($D53,'Player Database'!$B:$B,0))</f>
        <v>#N/A</v>
      </c>
      <c r="D53" s="9" t="str">
        <f t="shared" si="1"/>
        <v> - </v>
      </c>
      <c r="E53" s="130" t="str">
        <f t="array" ref="E53">XLOOKUP($D53,'Player Database'!$B$2:$B1009,'Player Database'!$I$2:$I1009)</f>
        <v>#N/A</v>
      </c>
      <c r="F53" s="130" t="str">
        <f t="array" ref="F53">XLOOKUP($D53,'Player Database'!$B$2:$B1009,'Player Database'!$J$2:$J1009)</f>
        <v>#N/A</v>
      </c>
      <c r="G53" s="131" t="str">
        <f t="array" ref="G53">IF(H53="","",IFERROR(
  "https://sealeddeck.tech/" &amp; INDEX('Pool Changes'!F:F,
    MAX(
      ROW('Pool Changes'!A:A) *
      ('Pool Changes'!B:B=D53) *
      ('Pool Changes'!F:F&lt;&gt;"")
    )
  ),
  ""
))</f>
        <v/>
      </c>
      <c r="H53" s="131" t="str">
        <f>IFERROR(__xludf.DUMMYFUNCTION("LET(changes,FILTER('Pool Changes'!$B:$D, 'Pool Changes'!$B:$B = $D53),added,FILTER(INDEX(changes,0,3),INDEX(changes,0,2)=""starting pool""),TRANSPOSE(IFERROR(ARRAYFORMULA(IF(added&lt;&gt;"""",""https://sealeddeck.tech/""&amp;added,"""")),"""")))"),"")</f>
        <v/>
      </c>
      <c r="I53" s="132" t="str">
        <f>IFERROR(__xludf.DUMMYFUNCTION("LET(changes,FILTER('Pool Changes'!$B:$D, 'Pool Changes'!$B:$B = $D53),added,FILTER(INDEX(changes,0,3),INDEX(changes,0,2)=""add pack""),IFERROR(TRANSPOSE(ARRAYFORMULA(IF(added&lt;&gt;"""",HYPERLINK(""https://sealeddeck.tech/""&amp;added,""Link""),""""))),""""))"),"")</f>
        <v/>
      </c>
      <c r="J53" s="132"/>
      <c r="K53" s="132"/>
      <c r="L53" s="133"/>
      <c r="M53" s="135"/>
      <c r="N53" s="135"/>
      <c r="O53" s="135"/>
      <c r="P53" s="133"/>
      <c r="Q53" s="135"/>
      <c r="R53" s="135"/>
      <c r="S53" s="134"/>
      <c r="T53" s="134"/>
      <c r="U53" s="134"/>
      <c r="V53" s="136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</row>
    <row r="54">
      <c r="C54" s="129" t="str">
        <f t="array" ref="C54">INDEX('Player Database'!$D:$D,MATCH($D54,'Player Database'!$B:$B,0))</f>
        <v>#N/A</v>
      </c>
      <c r="D54" s="9" t="str">
        <f t="shared" si="1"/>
        <v> - </v>
      </c>
      <c r="E54" s="130" t="str">
        <f t="array" ref="E54">XLOOKUP($D54,'Player Database'!$B$2:$B1009,'Player Database'!$I$2:$I1009)</f>
        <v>#N/A</v>
      </c>
      <c r="F54" s="130" t="str">
        <f t="array" ref="F54">XLOOKUP($D54,'Player Database'!$B$2:$B1009,'Player Database'!$J$2:$J1009)</f>
        <v>#N/A</v>
      </c>
      <c r="G54" s="131" t="str">
        <f t="array" ref="G54">IF(H54="","",IFERROR(
  "https://sealeddeck.tech/" &amp; INDEX('Pool Changes'!F:F,
    MAX(
      ROW('Pool Changes'!A:A) *
      ('Pool Changes'!B:B=D54) *
      ('Pool Changes'!F:F&lt;&gt;"")
    )
  ),
  ""
))</f>
        <v/>
      </c>
      <c r="H54" s="131" t="str">
        <f>IFERROR(__xludf.DUMMYFUNCTION("LET(changes,FILTER('Pool Changes'!$B:$D, 'Pool Changes'!$B:$B = $D54),added,FILTER(INDEX(changes,0,3),INDEX(changes,0,2)=""starting pool""),TRANSPOSE(IFERROR(ARRAYFORMULA(IF(added&lt;&gt;"""",""https://sealeddeck.tech/""&amp;added,"""")),"""")))"),"")</f>
        <v/>
      </c>
      <c r="I54" s="132" t="str">
        <f>IFERROR(__xludf.DUMMYFUNCTION("LET(changes,FILTER('Pool Changes'!$B:$D, 'Pool Changes'!$B:$B = $D54),added,FILTER(INDEX(changes,0,3),INDEX(changes,0,2)=""add pack""),IFERROR(TRANSPOSE(ARRAYFORMULA(IF(added&lt;&gt;"""",HYPERLINK(""https://sealeddeck.tech/""&amp;added,""Link""),""""))),""""))"),"")</f>
        <v/>
      </c>
      <c r="J54" s="132"/>
      <c r="K54" s="132"/>
      <c r="L54" s="133"/>
      <c r="M54" s="135"/>
      <c r="N54" s="135"/>
      <c r="O54" s="135"/>
      <c r="P54" s="133"/>
      <c r="Q54" s="135"/>
      <c r="R54" s="135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</row>
    <row r="55">
      <c r="C55" s="129" t="str">
        <f t="array" ref="C55">INDEX('Player Database'!$D:$D,MATCH($D55,'Player Database'!$B:$B,0))</f>
        <v>#N/A</v>
      </c>
      <c r="D55" s="9" t="str">
        <f t="shared" si="1"/>
        <v> - </v>
      </c>
      <c r="E55" s="130" t="str">
        <f t="array" ref="E55">XLOOKUP($D55,'Player Database'!$B$2:$B1009,'Player Database'!$I$2:$I1009)</f>
        <v>#N/A</v>
      </c>
      <c r="F55" s="130" t="str">
        <f t="array" ref="F55">XLOOKUP($D55,'Player Database'!$B$2:$B1009,'Player Database'!$J$2:$J1009)</f>
        <v>#N/A</v>
      </c>
      <c r="G55" s="131" t="str">
        <f t="array" ref="G55">IF(H55="","",IFERROR(
  "https://sealeddeck.tech/" &amp; INDEX('Pool Changes'!F:F,
    MAX(
      ROW('Pool Changes'!A:A) *
      ('Pool Changes'!B:B=D55) *
      ('Pool Changes'!F:F&lt;&gt;"")
    )
  ),
  ""
))</f>
        <v/>
      </c>
      <c r="H55" s="131" t="str">
        <f>IFERROR(__xludf.DUMMYFUNCTION("LET(changes,FILTER('Pool Changes'!$B:$D, 'Pool Changes'!$B:$B = $D55),added,FILTER(INDEX(changes,0,3),INDEX(changes,0,2)=""starting pool""),TRANSPOSE(IFERROR(ARRAYFORMULA(IF(added&lt;&gt;"""",""https://sealeddeck.tech/""&amp;added,"""")),"""")))"),"")</f>
        <v/>
      </c>
      <c r="I55" s="132" t="str">
        <f>IFERROR(__xludf.DUMMYFUNCTION("LET(changes,FILTER('Pool Changes'!$B:$D, 'Pool Changes'!$B:$B = $D55),added,FILTER(INDEX(changes,0,3),INDEX(changes,0,2)=""add pack""),IFERROR(TRANSPOSE(ARRAYFORMULA(IF(added&lt;&gt;"""",HYPERLINK(""https://sealeddeck.tech/""&amp;added,""Link""),""""))),""""))"),"")</f>
        <v/>
      </c>
      <c r="J55" s="132"/>
      <c r="K55" s="132"/>
      <c r="L55" s="133"/>
      <c r="M55" s="135"/>
      <c r="N55" s="135"/>
      <c r="O55" s="135"/>
      <c r="P55" s="133"/>
      <c r="Q55" s="135"/>
      <c r="R55" s="135"/>
      <c r="S55" s="134"/>
      <c r="T55" s="134"/>
      <c r="U55" s="134"/>
      <c r="V55" s="136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</row>
    <row r="56">
      <c r="C56" s="129" t="str">
        <f t="array" ref="C56">INDEX('Player Database'!$D:$D,MATCH($D56,'Player Database'!$B:$B,0))</f>
        <v>#N/A</v>
      </c>
      <c r="D56" s="9" t="str">
        <f t="shared" si="1"/>
        <v> - </v>
      </c>
      <c r="E56" s="130" t="str">
        <f t="array" ref="E56">XLOOKUP($D56,'Player Database'!$B$2:$B1009,'Player Database'!$I$2:$I1009)</f>
        <v>#N/A</v>
      </c>
      <c r="F56" s="130" t="str">
        <f t="array" ref="F56">XLOOKUP($D56,'Player Database'!$B$2:$B1009,'Player Database'!$J$2:$J1009)</f>
        <v>#N/A</v>
      </c>
      <c r="G56" s="131" t="str">
        <f t="array" ref="G56">IF(H56="","",IFERROR(
  "https://sealeddeck.tech/" &amp; INDEX('Pool Changes'!F:F,
    MAX(
      ROW('Pool Changes'!A:A) *
      ('Pool Changes'!B:B=D56) *
      ('Pool Changes'!F:F&lt;&gt;"")
    )
  ),
  ""
))</f>
        <v/>
      </c>
      <c r="H56" s="131" t="str">
        <f>IFERROR(__xludf.DUMMYFUNCTION("LET(changes,FILTER('Pool Changes'!$B:$D, 'Pool Changes'!$B:$B = $D56),added,FILTER(INDEX(changes,0,3),INDEX(changes,0,2)=""starting pool""),TRANSPOSE(IFERROR(ARRAYFORMULA(IF(added&lt;&gt;"""",""https://sealeddeck.tech/""&amp;added,"""")),"""")))"),"")</f>
        <v/>
      </c>
      <c r="I56" s="132" t="str">
        <f>IFERROR(__xludf.DUMMYFUNCTION("LET(changes,FILTER('Pool Changes'!$B:$D, 'Pool Changes'!$B:$B = $D56),added,FILTER(INDEX(changes,0,3),INDEX(changes,0,2)=""add pack""),IFERROR(TRANSPOSE(ARRAYFORMULA(IF(added&lt;&gt;"""",HYPERLINK(""https://sealeddeck.tech/""&amp;added,""Link""),""""))),""""))"),"")</f>
        <v/>
      </c>
      <c r="J56" s="132"/>
      <c r="K56" s="132"/>
      <c r="L56" s="133"/>
      <c r="M56" s="135"/>
      <c r="N56" s="135"/>
      <c r="O56" s="135"/>
      <c r="P56" s="133"/>
      <c r="Q56" s="135"/>
      <c r="R56" s="135"/>
      <c r="S56" s="134"/>
      <c r="T56" s="134"/>
      <c r="U56" s="134"/>
      <c r="V56" s="136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</row>
    <row r="57">
      <c r="C57" s="129" t="str">
        <f t="array" ref="C57">INDEX('Player Database'!$D:$D,MATCH($D57,'Player Database'!$B:$B,0))</f>
        <v>#N/A</v>
      </c>
      <c r="D57" s="9" t="str">
        <f t="shared" si="1"/>
        <v> - </v>
      </c>
      <c r="E57" s="130" t="str">
        <f t="array" ref="E57">XLOOKUP($D57,'Player Database'!$B$2:$B1009,'Player Database'!$I$2:$I1009)</f>
        <v>#N/A</v>
      </c>
      <c r="F57" s="130" t="str">
        <f t="array" ref="F57">XLOOKUP($D57,'Player Database'!$B$2:$B1009,'Player Database'!$J$2:$J1009)</f>
        <v>#N/A</v>
      </c>
      <c r="G57" s="131" t="str">
        <f t="array" ref="G57">IF(H57="","",IFERROR(
  "https://sealeddeck.tech/" &amp; INDEX('Pool Changes'!F:F,
    MAX(
      ROW('Pool Changes'!A:A) *
      ('Pool Changes'!B:B=D57) *
      ('Pool Changes'!F:F&lt;&gt;"")
    )
  ),
  ""
))</f>
        <v/>
      </c>
      <c r="H57" s="131" t="str">
        <f>IFERROR(__xludf.DUMMYFUNCTION("LET(changes,FILTER('Pool Changes'!$B:$D, 'Pool Changes'!$B:$B = $D57),added,FILTER(INDEX(changes,0,3),INDEX(changes,0,2)=""starting pool""),TRANSPOSE(IFERROR(ARRAYFORMULA(IF(added&lt;&gt;"""",""https://sealeddeck.tech/""&amp;added,"""")),"""")))"),"")</f>
        <v/>
      </c>
      <c r="I57" s="132" t="str">
        <f>IFERROR(__xludf.DUMMYFUNCTION("LET(changes,FILTER('Pool Changes'!$B:$D, 'Pool Changes'!$B:$B = $D57),added,FILTER(INDEX(changes,0,3),INDEX(changes,0,2)=""add pack""),IFERROR(TRANSPOSE(ARRAYFORMULA(IF(added&lt;&gt;"""",HYPERLINK(""https://sealeddeck.tech/""&amp;added,""Link""),""""))),""""))"),"")</f>
        <v/>
      </c>
      <c r="J57" s="132"/>
      <c r="K57" s="132"/>
      <c r="L57" s="133"/>
      <c r="M57" s="135"/>
      <c r="N57" s="135"/>
      <c r="O57" s="135"/>
      <c r="P57" s="133"/>
      <c r="Q57" s="135"/>
      <c r="R57" s="135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</row>
    <row r="58">
      <c r="C58" s="129" t="str">
        <f t="array" ref="C58">INDEX('Player Database'!$D:$D,MATCH($D58,'Player Database'!$B:$B,0))</f>
        <v>#N/A</v>
      </c>
      <c r="D58" s="9" t="str">
        <f t="shared" si="1"/>
        <v> - </v>
      </c>
      <c r="E58" s="130" t="str">
        <f t="array" ref="E58">XLOOKUP($D58,'Player Database'!$B$2:$B1009,'Player Database'!$I$2:$I1009)</f>
        <v>#N/A</v>
      </c>
      <c r="F58" s="130" t="str">
        <f t="array" ref="F58">XLOOKUP($D58,'Player Database'!$B$2:$B1009,'Player Database'!$J$2:$J1009)</f>
        <v>#N/A</v>
      </c>
      <c r="G58" s="131" t="str">
        <f t="array" ref="G58">IF(H58="","",IFERROR(
  "https://sealeddeck.tech/" &amp; INDEX('Pool Changes'!F:F,
    MAX(
      ROW('Pool Changes'!A:A) *
      ('Pool Changes'!B:B=D58) *
      ('Pool Changes'!F:F&lt;&gt;"")
    )
  ),
  ""
))</f>
        <v/>
      </c>
      <c r="H58" s="131" t="str">
        <f>IFERROR(__xludf.DUMMYFUNCTION("LET(changes,FILTER('Pool Changes'!$B:$D, 'Pool Changes'!$B:$B = $D58),added,FILTER(INDEX(changes,0,3),INDEX(changes,0,2)=""starting pool""),TRANSPOSE(IFERROR(ARRAYFORMULA(IF(added&lt;&gt;"""",""https://sealeddeck.tech/""&amp;added,"""")),"""")))"),"")</f>
        <v/>
      </c>
      <c r="I58" s="132" t="str">
        <f>IFERROR(__xludf.DUMMYFUNCTION("LET(changes,FILTER('Pool Changes'!$B:$D, 'Pool Changes'!$B:$B = $D58),added,FILTER(INDEX(changes,0,3),INDEX(changes,0,2)=""add pack""),IFERROR(TRANSPOSE(ARRAYFORMULA(IF(added&lt;&gt;"""",HYPERLINK(""https://sealeddeck.tech/""&amp;added,""Link""),""""))),""""))"),"")</f>
        <v/>
      </c>
      <c r="J58" s="132"/>
      <c r="K58" s="132"/>
      <c r="L58" s="133"/>
      <c r="M58" s="135"/>
      <c r="N58" s="135"/>
      <c r="O58" s="135"/>
      <c r="P58" s="133"/>
      <c r="Q58" s="135"/>
      <c r="R58" s="135"/>
      <c r="S58" s="134"/>
      <c r="T58" s="134"/>
      <c r="U58" s="134"/>
      <c r="V58" s="136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</row>
    <row r="59">
      <c r="C59" s="129" t="str">
        <f t="array" ref="C59">INDEX('Player Database'!$D:$D,MATCH($D59,'Player Database'!$B:$B,0))</f>
        <v>#N/A</v>
      </c>
      <c r="D59" s="9" t="str">
        <f t="shared" si="1"/>
        <v> - </v>
      </c>
      <c r="E59" s="130" t="str">
        <f t="array" ref="E59">XLOOKUP($D59,'Player Database'!$B$2:$B1009,'Player Database'!$I$2:$I1009)</f>
        <v>#N/A</v>
      </c>
      <c r="F59" s="130" t="str">
        <f t="array" ref="F59">XLOOKUP($D59,'Player Database'!$B$2:$B1009,'Player Database'!$J$2:$J1009)</f>
        <v>#N/A</v>
      </c>
      <c r="G59" s="131" t="str">
        <f t="array" ref="G59">IF(H59="","",IFERROR(
  "https://sealeddeck.tech/" &amp; INDEX('Pool Changes'!F:F,
    MAX(
      ROW('Pool Changes'!A:A) *
      ('Pool Changes'!B:B=D59) *
      ('Pool Changes'!F:F&lt;&gt;"")
    )
  ),
  ""
))</f>
        <v/>
      </c>
      <c r="H59" s="131" t="str">
        <f>IFERROR(__xludf.DUMMYFUNCTION("LET(changes,FILTER('Pool Changes'!$B:$D, 'Pool Changes'!$B:$B = $D59),added,FILTER(INDEX(changes,0,3),INDEX(changes,0,2)=""starting pool""),TRANSPOSE(IFERROR(ARRAYFORMULA(IF(added&lt;&gt;"""",""https://sealeddeck.tech/""&amp;added,"""")),"""")))"),"")</f>
        <v/>
      </c>
      <c r="I59" s="132" t="str">
        <f>IFERROR(__xludf.DUMMYFUNCTION("LET(changes,FILTER('Pool Changes'!$B:$D, 'Pool Changes'!$B:$B = $D59),added,FILTER(INDEX(changes,0,3),INDEX(changes,0,2)=""add pack""),IFERROR(TRANSPOSE(ARRAYFORMULA(IF(added&lt;&gt;"""",HYPERLINK(""https://sealeddeck.tech/""&amp;added,""Link""),""""))),""""))"),"")</f>
        <v/>
      </c>
      <c r="J59" s="132"/>
      <c r="K59" s="132"/>
      <c r="L59" s="133"/>
      <c r="M59" s="135"/>
      <c r="N59" s="135"/>
      <c r="O59" s="135"/>
      <c r="P59" s="133"/>
      <c r="Q59" s="135"/>
      <c r="R59" s="135"/>
      <c r="S59" s="134"/>
      <c r="T59" s="134"/>
      <c r="U59" s="134"/>
      <c r="V59" s="136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</row>
    <row r="60">
      <c r="C60" s="129" t="str">
        <f t="array" ref="C60">INDEX('Player Database'!$D:$D,MATCH($D60,'Player Database'!$B:$B,0))</f>
        <v>#N/A</v>
      </c>
      <c r="D60" s="9" t="str">
        <f t="shared" si="1"/>
        <v> - </v>
      </c>
      <c r="E60" s="130" t="str">
        <f t="array" ref="E60">XLOOKUP($D60,'Player Database'!$B$2:$B1009,'Player Database'!$I$2:$I1009)</f>
        <v>#N/A</v>
      </c>
      <c r="F60" s="130" t="str">
        <f t="array" ref="F60">XLOOKUP($D60,'Player Database'!$B$2:$B1009,'Player Database'!$J$2:$J1009)</f>
        <v>#N/A</v>
      </c>
      <c r="G60" s="131" t="str">
        <f t="array" ref="G60">IF(H60="","",IFERROR(
  "https://sealeddeck.tech/" &amp; INDEX('Pool Changes'!F:F,
    MAX(
      ROW('Pool Changes'!A:A) *
      ('Pool Changes'!B:B=D60) *
      ('Pool Changes'!F:F&lt;&gt;"")
    )
  ),
  ""
))</f>
        <v/>
      </c>
      <c r="H60" s="131" t="str">
        <f>IFERROR(__xludf.DUMMYFUNCTION("LET(changes,FILTER('Pool Changes'!$B:$D, 'Pool Changes'!$B:$B = $D60),added,FILTER(INDEX(changes,0,3),INDEX(changes,0,2)=""starting pool""),TRANSPOSE(IFERROR(ARRAYFORMULA(IF(added&lt;&gt;"""",""https://sealeddeck.tech/""&amp;added,"""")),"""")))"),"")</f>
        <v/>
      </c>
      <c r="I60" s="132" t="str">
        <f>IFERROR(__xludf.DUMMYFUNCTION("LET(changes,FILTER('Pool Changes'!$B:$D, 'Pool Changes'!$B:$B = $D60),added,FILTER(INDEX(changes,0,3),INDEX(changes,0,2)=""add pack""),IFERROR(TRANSPOSE(ARRAYFORMULA(IF(added&lt;&gt;"""",HYPERLINK(""https://sealeddeck.tech/""&amp;added,""Link""),""""))),""""))"),"")</f>
        <v/>
      </c>
      <c r="J60" s="132"/>
      <c r="K60" s="132"/>
      <c r="L60" s="133"/>
      <c r="M60" s="135"/>
      <c r="N60" s="135"/>
      <c r="O60" s="135"/>
      <c r="P60" s="133"/>
      <c r="Q60" s="135"/>
      <c r="R60" s="135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</row>
    <row r="61">
      <c r="C61" s="129" t="str">
        <f t="array" ref="C61">INDEX('Player Database'!$D:$D,MATCH($D61,'Player Database'!$B:$B,0))</f>
        <v>#N/A</v>
      </c>
      <c r="D61" s="9" t="str">
        <f t="shared" si="1"/>
        <v> - </v>
      </c>
      <c r="E61" s="130" t="str">
        <f t="array" ref="E61">XLOOKUP($D61,'Player Database'!$B$2:$B1009,'Player Database'!$I$2:$I1009)</f>
        <v>#N/A</v>
      </c>
      <c r="F61" s="130" t="str">
        <f t="array" ref="F61">XLOOKUP($D61,'Player Database'!$B$2:$B1009,'Player Database'!$J$2:$J1009)</f>
        <v>#N/A</v>
      </c>
      <c r="G61" s="131" t="str">
        <f t="array" ref="G61">IF(H61="","",IFERROR(
  "https://sealeddeck.tech/" &amp; INDEX('Pool Changes'!F:F,
    MAX(
      ROW('Pool Changes'!A:A) *
      ('Pool Changes'!B:B=D61) *
      ('Pool Changes'!F:F&lt;&gt;"")
    )
  ),
  ""
))</f>
        <v/>
      </c>
      <c r="H61" s="131" t="str">
        <f>IFERROR(__xludf.DUMMYFUNCTION("LET(changes,FILTER('Pool Changes'!$B:$D, 'Pool Changes'!$B:$B = $D61),added,FILTER(INDEX(changes,0,3),INDEX(changes,0,2)=""starting pool""),TRANSPOSE(IFERROR(ARRAYFORMULA(IF(added&lt;&gt;"""",""https://sealeddeck.tech/""&amp;added,"""")),"""")))"),"")</f>
        <v/>
      </c>
      <c r="I61" s="132" t="str">
        <f>IFERROR(__xludf.DUMMYFUNCTION("LET(changes,FILTER('Pool Changes'!$B:$D, 'Pool Changes'!$B:$B = $D61),added,FILTER(INDEX(changes,0,3),INDEX(changes,0,2)=""add pack""),IFERROR(TRANSPOSE(ARRAYFORMULA(IF(added&lt;&gt;"""",HYPERLINK(""https://sealeddeck.tech/""&amp;added,""Link""),""""))),""""))"),"")</f>
        <v/>
      </c>
      <c r="J61" s="132"/>
      <c r="K61" s="132"/>
      <c r="L61" s="133"/>
      <c r="M61" s="135"/>
      <c r="N61" s="135"/>
      <c r="O61" s="135"/>
      <c r="P61" s="133"/>
      <c r="Q61" s="135"/>
      <c r="R61" s="135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</row>
    <row r="62">
      <c r="C62" s="129" t="str">
        <f t="array" ref="C62">INDEX('Player Database'!$D:$D,MATCH($D62,'Player Database'!$B:$B,0))</f>
        <v>#N/A</v>
      </c>
      <c r="D62" s="9" t="str">
        <f t="shared" si="1"/>
        <v> - </v>
      </c>
      <c r="E62" s="130" t="str">
        <f t="array" ref="E62">XLOOKUP($D62,'Player Database'!$B$2:$B1009,'Player Database'!$I$2:$I1009)</f>
        <v>#N/A</v>
      </c>
      <c r="F62" s="130" t="str">
        <f t="array" ref="F62">XLOOKUP($D62,'Player Database'!$B$2:$B1009,'Player Database'!$J$2:$J1009)</f>
        <v>#N/A</v>
      </c>
      <c r="G62" s="131" t="str">
        <f t="array" ref="G62">IF(H62="","",IFERROR(
  "https://sealeddeck.tech/" &amp; INDEX('Pool Changes'!F:F,
    MAX(
      ROW('Pool Changes'!A:A) *
      ('Pool Changes'!B:B=D62) *
      ('Pool Changes'!F:F&lt;&gt;"")
    )
  ),
  ""
))</f>
        <v/>
      </c>
      <c r="H62" s="131" t="str">
        <f>IFERROR(__xludf.DUMMYFUNCTION("LET(changes,FILTER('Pool Changes'!$B:$D, 'Pool Changes'!$B:$B = $D62),added,FILTER(INDEX(changes,0,3),INDEX(changes,0,2)=""starting pool""),TRANSPOSE(IFERROR(ARRAYFORMULA(IF(added&lt;&gt;"""",""https://sealeddeck.tech/""&amp;added,"""")),"""")))"),"")</f>
        <v/>
      </c>
      <c r="I62" s="132" t="str">
        <f>IFERROR(__xludf.DUMMYFUNCTION("LET(changes,FILTER('Pool Changes'!$B:$D, 'Pool Changes'!$B:$B = $D62),added,FILTER(INDEX(changes,0,3),INDEX(changes,0,2)=""add pack""),IFERROR(TRANSPOSE(ARRAYFORMULA(IF(added&lt;&gt;"""",HYPERLINK(""https://sealeddeck.tech/""&amp;added,""Link""),""""))),""""))"),"")</f>
        <v/>
      </c>
      <c r="J62" s="132"/>
      <c r="K62" s="132"/>
      <c r="L62" s="133"/>
      <c r="M62" s="135"/>
      <c r="N62" s="135"/>
      <c r="O62" s="135"/>
      <c r="P62" s="133"/>
      <c r="Q62" s="135"/>
      <c r="R62" s="135"/>
      <c r="S62" s="134"/>
      <c r="T62" s="134"/>
      <c r="U62" s="134"/>
      <c r="V62" s="136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</row>
    <row r="63">
      <c r="C63" s="129" t="str">
        <f t="array" ref="C63">INDEX('Player Database'!$D:$D,MATCH($D63,'Player Database'!$B:$B,0))</f>
        <v>#N/A</v>
      </c>
      <c r="D63" s="9" t="str">
        <f t="shared" si="1"/>
        <v> - </v>
      </c>
      <c r="E63" s="130" t="str">
        <f t="array" ref="E63">XLOOKUP($D63,'Player Database'!$B$2:$B1009,'Player Database'!$I$2:$I1009)</f>
        <v>#N/A</v>
      </c>
      <c r="F63" s="130" t="str">
        <f t="array" ref="F63">XLOOKUP($D63,'Player Database'!$B$2:$B1009,'Player Database'!$J$2:$J1009)</f>
        <v>#N/A</v>
      </c>
      <c r="G63" s="131" t="str">
        <f t="array" ref="G63">IF(H63="","",IFERROR(
  "https://sealeddeck.tech/" &amp; INDEX('Pool Changes'!F:F,
    MAX(
      ROW('Pool Changes'!A:A) *
      ('Pool Changes'!B:B=D63) *
      ('Pool Changes'!F:F&lt;&gt;"")
    )
  ),
  ""
))</f>
        <v/>
      </c>
      <c r="H63" s="131" t="str">
        <f>IFERROR(__xludf.DUMMYFUNCTION("LET(changes,FILTER('Pool Changes'!$B:$D, 'Pool Changes'!$B:$B = $D63),added,FILTER(INDEX(changes,0,3),INDEX(changes,0,2)=""starting pool""),TRANSPOSE(IFERROR(ARRAYFORMULA(IF(added&lt;&gt;"""",""https://sealeddeck.tech/""&amp;added,"""")),"""")))"),"")</f>
        <v/>
      </c>
      <c r="I63" s="132" t="str">
        <f>IFERROR(__xludf.DUMMYFUNCTION("LET(changes,FILTER('Pool Changes'!$B:$D, 'Pool Changes'!$B:$B = $D63),added,FILTER(INDEX(changes,0,3),INDEX(changes,0,2)=""add pack""),IFERROR(TRANSPOSE(ARRAYFORMULA(IF(added&lt;&gt;"""",HYPERLINK(""https://sealeddeck.tech/""&amp;added,""Link""),""""))),""""))"),"")</f>
        <v/>
      </c>
      <c r="J63" s="132"/>
      <c r="K63" s="132"/>
      <c r="L63" s="133"/>
      <c r="M63" s="135"/>
      <c r="N63" s="135"/>
      <c r="O63" s="135"/>
      <c r="P63" s="133"/>
      <c r="Q63" s="135"/>
      <c r="R63" s="135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</row>
    <row r="64">
      <c r="C64" s="129" t="str">
        <f t="array" ref="C64">INDEX('Player Database'!$D:$D,MATCH($D64,'Player Database'!$B:$B,0))</f>
        <v>#N/A</v>
      </c>
      <c r="D64" s="9" t="str">
        <f t="shared" si="1"/>
        <v> - </v>
      </c>
      <c r="E64" s="130" t="str">
        <f t="array" ref="E64">XLOOKUP($D64,'Player Database'!$B$2:$B1009,'Player Database'!$I$2:$I1009)</f>
        <v>#N/A</v>
      </c>
      <c r="F64" s="130" t="str">
        <f t="array" ref="F64">XLOOKUP($D64,'Player Database'!$B$2:$B1009,'Player Database'!$J$2:$J1009)</f>
        <v>#N/A</v>
      </c>
      <c r="G64" s="131" t="str">
        <f t="array" ref="G64">IF(H64="","",IFERROR(
  "https://sealeddeck.tech/" &amp; INDEX('Pool Changes'!F:F,
    MAX(
      ROW('Pool Changes'!A:A) *
      ('Pool Changes'!B:B=D64) *
      ('Pool Changes'!F:F&lt;&gt;"")
    )
  ),
  ""
))</f>
        <v/>
      </c>
      <c r="H64" s="131" t="str">
        <f>IFERROR(__xludf.DUMMYFUNCTION("LET(changes,FILTER('Pool Changes'!$B:$D, 'Pool Changes'!$B:$B = $D64),added,FILTER(INDEX(changes,0,3),INDEX(changes,0,2)=""starting pool""),TRANSPOSE(IFERROR(ARRAYFORMULA(IF(added&lt;&gt;"""",""https://sealeddeck.tech/""&amp;added,"""")),"""")))"),"")</f>
        <v/>
      </c>
      <c r="I64" s="132" t="str">
        <f>IFERROR(__xludf.DUMMYFUNCTION("LET(changes,FILTER('Pool Changes'!$B:$D, 'Pool Changes'!$B:$B = $D64),added,FILTER(INDEX(changes,0,3),INDEX(changes,0,2)=""add pack""),IFERROR(TRANSPOSE(ARRAYFORMULA(IF(added&lt;&gt;"""",HYPERLINK(""https://sealeddeck.tech/""&amp;added,""Link""),""""))),""""))"),"")</f>
        <v/>
      </c>
      <c r="J64" s="132"/>
      <c r="K64" s="132"/>
      <c r="L64" s="133"/>
      <c r="M64" s="135"/>
      <c r="N64" s="135"/>
      <c r="O64" s="135"/>
      <c r="P64" s="133"/>
      <c r="Q64" s="135"/>
      <c r="R64" s="135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</row>
    <row r="65">
      <c r="C65" s="129" t="str">
        <f t="array" ref="C65">INDEX('Player Database'!$D:$D,MATCH($D65,'Player Database'!$B:$B,0))</f>
        <v>#N/A</v>
      </c>
      <c r="D65" s="9" t="str">
        <f t="shared" si="1"/>
        <v> - </v>
      </c>
      <c r="E65" s="130" t="str">
        <f t="array" ref="E65">XLOOKUP($D65,'Player Database'!$B$2:$B1009,'Player Database'!$I$2:$I1009)</f>
        <v>#N/A</v>
      </c>
      <c r="F65" s="130" t="str">
        <f t="array" ref="F65">XLOOKUP($D65,'Player Database'!$B$2:$B1009,'Player Database'!$J$2:$J1009)</f>
        <v>#N/A</v>
      </c>
      <c r="G65" s="131" t="str">
        <f t="array" ref="G65">IF(H65="","",IFERROR(
  "https://sealeddeck.tech/" &amp; INDEX('Pool Changes'!F:F,
    MAX(
      ROW('Pool Changes'!A:A) *
      ('Pool Changes'!B:B=D65) *
      ('Pool Changes'!F:F&lt;&gt;"")
    )
  ),
  ""
))</f>
        <v/>
      </c>
      <c r="H65" s="131" t="str">
        <f>IFERROR(__xludf.DUMMYFUNCTION("LET(changes,FILTER('Pool Changes'!$B:$D, 'Pool Changes'!$B:$B = $D65),added,FILTER(INDEX(changes,0,3),INDEX(changes,0,2)=""starting pool""),TRANSPOSE(IFERROR(ARRAYFORMULA(IF(added&lt;&gt;"""",""https://sealeddeck.tech/""&amp;added,"""")),"""")))"),"")</f>
        <v/>
      </c>
      <c r="I65" s="132" t="str">
        <f>IFERROR(__xludf.DUMMYFUNCTION("LET(changes,FILTER('Pool Changes'!$B:$D, 'Pool Changes'!$B:$B = $D65),added,FILTER(INDEX(changes,0,3),INDEX(changes,0,2)=""add pack""),IFERROR(TRANSPOSE(ARRAYFORMULA(IF(added&lt;&gt;"""",HYPERLINK(""https://sealeddeck.tech/""&amp;added,""Link""),""""))),""""))"),"")</f>
        <v/>
      </c>
      <c r="J65" s="132"/>
      <c r="K65" s="132"/>
      <c r="L65" s="133"/>
      <c r="M65" s="135"/>
      <c r="N65" s="135"/>
      <c r="O65" s="135"/>
      <c r="P65" s="133"/>
      <c r="Q65" s="135"/>
      <c r="R65" s="135"/>
      <c r="S65" s="134"/>
      <c r="T65" s="134"/>
      <c r="U65" s="134"/>
      <c r="V65" s="136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</row>
    <row r="66">
      <c r="C66" s="129" t="str">
        <f t="array" ref="C66">INDEX('Player Database'!$D:$D,MATCH($D66,'Player Database'!$B:$B,0))</f>
        <v>#N/A</v>
      </c>
      <c r="D66" s="9" t="str">
        <f t="shared" si="1"/>
        <v> - </v>
      </c>
      <c r="E66" s="130" t="str">
        <f t="array" ref="E66">XLOOKUP($D66,'Player Database'!$B$2:$B1009,'Player Database'!$I$2:$I1009)</f>
        <v>#N/A</v>
      </c>
      <c r="F66" s="130" t="str">
        <f t="array" ref="F66">XLOOKUP($D66,'Player Database'!$B$2:$B1009,'Player Database'!$J$2:$J1009)</f>
        <v>#N/A</v>
      </c>
      <c r="G66" s="131" t="str">
        <f t="array" ref="G66">IF(H66="","",IFERROR(
  "https://sealeddeck.tech/" &amp; INDEX('Pool Changes'!F:F,
    MAX(
      ROW('Pool Changes'!A:A) *
      ('Pool Changes'!B:B=D66) *
      ('Pool Changes'!F:F&lt;&gt;"")
    )
  ),
  ""
))</f>
        <v/>
      </c>
      <c r="H66" s="131" t="str">
        <f>IFERROR(__xludf.DUMMYFUNCTION("LET(changes,FILTER('Pool Changes'!$B:$D, 'Pool Changes'!$B:$B = $D66),added,FILTER(INDEX(changes,0,3),INDEX(changes,0,2)=""starting pool""),TRANSPOSE(IFERROR(ARRAYFORMULA(IF(added&lt;&gt;"""",""https://sealeddeck.tech/""&amp;added,"""")),"""")))"),"")</f>
        <v/>
      </c>
      <c r="I66" s="132" t="str">
        <f>IFERROR(__xludf.DUMMYFUNCTION("LET(changes,FILTER('Pool Changes'!$B:$D, 'Pool Changes'!$B:$B = $D66),added,FILTER(INDEX(changes,0,3),INDEX(changes,0,2)=""add pack""),IFERROR(TRANSPOSE(ARRAYFORMULA(IF(added&lt;&gt;"""",HYPERLINK(""https://sealeddeck.tech/""&amp;added,""Link""),""""))),""""))"),"")</f>
        <v/>
      </c>
      <c r="J66" s="132"/>
      <c r="K66" s="132"/>
      <c r="L66" s="133"/>
      <c r="M66" s="135"/>
      <c r="N66" s="135"/>
      <c r="O66" s="135"/>
      <c r="P66" s="133"/>
      <c r="Q66" s="135"/>
      <c r="R66" s="135"/>
      <c r="S66" s="134"/>
      <c r="T66" s="134"/>
      <c r="U66" s="134"/>
      <c r="V66" s="136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</row>
    <row r="67">
      <c r="C67" s="129" t="str">
        <f t="array" ref="C67">INDEX('Player Database'!$D:$D,MATCH($D67,'Player Database'!$B:$B,0))</f>
        <v>#N/A</v>
      </c>
      <c r="D67" s="9" t="str">
        <f t="shared" si="1"/>
        <v> - </v>
      </c>
      <c r="E67" s="130" t="str">
        <f t="array" ref="E67">XLOOKUP($D67,'Player Database'!$B$2:$B1009,'Player Database'!$I$2:$I1009)</f>
        <v>#N/A</v>
      </c>
      <c r="F67" s="130" t="str">
        <f t="array" ref="F67">XLOOKUP($D67,'Player Database'!$B$2:$B1009,'Player Database'!$J$2:$J1009)</f>
        <v>#N/A</v>
      </c>
      <c r="G67" s="131" t="str">
        <f t="array" ref="G67">IF(H67="","",IFERROR(
  "https://sealeddeck.tech/" &amp; INDEX('Pool Changes'!F:F,
    MAX(
      ROW('Pool Changes'!A:A) *
      ('Pool Changes'!B:B=D67) *
      ('Pool Changes'!F:F&lt;&gt;"")
    )
  ),
  ""
))</f>
        <v/>
      </c>
      <c r="H67" s="131" t="str">
        <f>IFERROR(__xludf.DUMMYFUNCTION("LET(changes,FILTER('Pool Changes'!$B:$D, 'Pool Changes'!$B:$B = $D67),added,FILTER(INDEX(changes,0,3),INDEX(changes,0,2)=""starting pool""),TRANSPOSE(IFERROR(ARRAYFORMULA(IF(added&lt;&gt;"""",""https://sealeddeck.tech/""&amp;added,"""")),"""")))"),"")</f>
        <v/>
      </c>
      <c r="I67" s="132" t="str">
        <f>IFERROR(__xludf.DUMMYFUNCTION("LET(changes,FILTER('Pool Changes'!$B:$D, 'Pool Changes'!$B:$B = $D67),added,FILTER(INDEX(changes,0,3),INDEX(changes,0,2)=""add pack""),IFERROR(TRANSPOSE(ARRAYFORMULA(IF(added&lt;&gt;"""",HYPERLINK(""https://sealeddeck.tech/""&amp;added,""Link""),""""))),""""))"),"")</f>
        <v/>
      </c>
      <c r="J67" s="132"/>
      <c r="K67" s="132"/>
      <c r="L67" s="133"/>
      <c r="M67" s="135"/>
      <c r="N67" s="135"/>
      <c r="O67" s="135"/>
      <c r="P67" s="133"/>
      <c r="Q67" s="135"/>
      <c r="R67" s="135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</row>
    <row r="68">
      <c r="C68" s="129" t="str">
        <f t="array" ref="C68">INDEX('Player Database'!$D:$D,MATCH($D68,'Player Database'!$B:$B,0))</f>
        <v>#N/A</v>
      </c>
      <c r="D68" s="9" t="str">
        <f t="shared" si="1"/>
        <v> - </v>
      </c>
      <c r="E68" s="130" t="str">
        <f t="array" ref="E68">XLOOKUP($D68,'Player Database'!$B$2:$B1009,'Player Database'!$I$2:$I1009)</f>
        <v>#N/A</v>
      </c>
      <c r="F68" s="130" t="str">
        <f t="array" ref="F68">XLOOKUP($D68,'Player Database'!$B$2:$B1009,'Player Database'!$J$2:$J1009)</f>
        <v>#N/A</v>
      </c>
      <c r="G68" s="131" t="str">
        <f t="array" ref="G68">IF(H68="","",IFERROR(
  "https://sealeddeck.tech/" &amp; INDEX('Pool Changes'!F:F,
    MAX(
      ROW('Pool Changes'!A:A) *
      ('Pool Changes'!B:B=D68) *
      ('Pool Changes'!F:F&lt;&gt;"")
    )
  ),
  ""
))</f>
        <v/>
      </c>
      <c r="H68" s="131" t="str">
        <f>IFERROR(__xludf.DUMMYFUNCTION("LET(changes,FILTER('Pool Changes'!$B:$D, 'Pool Changes'!$B:$B = $D68),added,FILTER(INDEX(changes,0,3),INDEX(changes,0,2)=""starting pool""),TRANSPOSE(IFERROR(ARRAYFORMULA(IF(added&lt;&gt;"""",""https://sealeddeck.tech/""&amp;added,"""")),"""")))"),"")</f>
        <v/>
      </c>
      <c r="I68" s="132" t="str">
        <f>IFERROR(__xludf.DUMMYFUNCTION("LET(changes,FILTER('Pool Changes'!$B:$D, 'Pool Changes'!$B:$B = $D68),added,FILTER(INDEX(changes,0,3),INDEX(changes,0,2)=""add pack""),IFERROR(TRANSPOSE(ARRAYFORMULA(IF(added&lt;&gt;"""",HYPERLINK(""https://sealeddeck.tech/""&amp;added,""Link""),""""))),""""))"),"")</f>
        <v/>
      </c>
      <c r="J68" s="132"/>
      <c r="K68" s="132"/>
      <c r="L68" s="133"/>
      <c r="M68" s="135"/>
      <c r="N68" s="135"/>
      <c r="O68" s="135"/>
      <c r="P68" s="133"/>
      <c r="Q68" s="135"/>
      <c r="R68" s="135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</row>
    <row r="69">
      <c r="C69" s="129" t="str">
        <f t="array" ref="C69">INDEX('Player Database'!$D:$D,MATCH($D69,'Player Database'!$B:$B,0))</f>
        <v>#N/A</v>
      </c>
      <c r="D69" s="9" t="str">
        <f t="shared" si="1"/>
        <v> - </v>
      </c>
      <c r="E69" s="130" t="str">
        <f t="array" ref="E69">XLOOKUP($D69,'Player Database'!$B$2:$B1009,'Player Database'!$I$2:$I1009)</f>
        <v>#N/A</v>
      </c>
      <c r="F69" s="130" t="str">
        <f t="array" ref="F69">XLOOKUP($D69,'Player Database'!$B$2:$B1009,'Player Database'!$J$2:$J1009)</f>
        <v>#N/A</v>
      </c>
      <c r="G69" s="131" t="str">
        <f t="array" ref="G69">IF(H69="","",IFERROR(
  "https://sealeddeck.tech/" &amp; INDEX('Pool Changes'!F:F,
    MAX(
      ROW('Pool Changes'!A:A) *
      ('Pool Changes'!B:B=D69) *
      ('Pool Changes'!F:F&lt;&gt;"")
    )
  ),
  ""
))</f>
        <v/>
      </c>
      <c r="H69" s="131" t="str">
        <f>IFERROR(__xludf.DUMMYFUNCTION("LET(changes,FILTER('Pool Changes'!$B:$D, 'Pool Changes'!$B:$B = $D69),added,FILTER(INDEX(changes,0,3),INDEX(changes,0,2)=""starting pool""),TRANSPOSE(IFERROR(ARRAYFORMULA(IF(added&lt;&gt;"""",""https://sealeddeck.tech/""&amp;added,"""")),"""")))"),"")</f>
        <v/>
      </c>
      <c r="I69" s="132" t="str">
        <f>IFERROR(__xludf.DUMMYFUNCTION("LET(changes,FILTER('Pool Changes'!$B:$D, 'Pool Changes'!$B:$B = $D69),added,FILTER(INDEX(changes,0,3),INDEX(changes,0,2)=""add pack""),IFERROR(TRANSPOSE(ARRAYFORMULA(IF(added&lt;&gt;"""",HYPERLINK(""https://sealeddeck.tech/""&amp;added,""Link""),""""))),""""))"),"")</f>
        <v/>
      </c>
      <c r="J69" s="132"/>
      <c r="K69" s="132"/>
      <c r="L69" s="133"/>
      <c r="M69" s="135"/>
      <c r="N69" s="135"/>
      <c r="O69" s="135"/>
      <c r="P69" s="133"/>
      <c r="Q69" s="135"/>
      <c r="R69" s="135"/>
      <c r="S69" s="134"/>
    </row>
    <row r="70">
      <c r="C70" s="129" t="str">
        <f t="array" ref="C70">INDEX('Player Database'!$D:$D,MATCH($D70,'Player Database'!$B:$B,0))</f>
        <v>#N/A</v>
      </c>
      <c r="D70" s="9" t="str">
        <f t="shared" si="1"/>
        <v> - </v>
      </c>
      <c r="E70" s="130" t="str">
        <f t="array" ref="E70">XLOOKUP($D70,'Player Database'!$B$2:$B1009,'Player Database'!$I$2:$I1009)</f>
        <v>#N/A</v>
      </c>
      <c r="F70" s="130" t="str">
        <f t="array" ref="F70">XLOOKUP($D70,'Player Database'!$B$2:$B1009,'Player Database'!$J$2:$J1009)</f>
        <v>#N/A</v>
      </c>
      <c r="G70" s="131" t="str">
        <f t="array" ref="G70">IF(H70="","",IFERROR(
  "https://sealeddeck.tech/" &amp; INDEX('Pool Changes'!F:F,
    MAX(
      ROW('Pool Changes'!A:A) *
      ('Pool Changes'!B:B=D70) *
      ('Pool Changes'!F:F&lt;&gt;"")
    )
  ),
  ""
))</f>
        <v/>
      </c>
      <c r="H70" s="131" t="str">
        <f>IFERROR(__xludf.DUMMYFUNCTION("LET(changes,FILTER('Pool Changes'!$B:$D, 'Pool Changes'!$B:$B = $D70),added,FILTER(INDEX(changes,0,3),INDEX(changes,0,2)=""starting pool""),TRANSPOSE(IFERROR(ARRAYFORMULA(IF(added&lt;&gt;"""",""https://sealeddeck.tech/""&amp;added,"""")),"""")))"),"")</f>
        <v/>
      </c>
      <c r="I70" s="132" t="str">
        <f>IFERROR(__xludf.DUMMYFUNCTION("LET(changes,FILTER('Pool Changes'!$B:$D, 'Pool Changes'!$B:$B = $D70),added,FILTER(INDEX(changes,0,3),INDEX(changes,0,2)=""add pack""),IFERROR(TRANSPOSE(ARRAYFORMULA(IF(added&lt;&gt;"""",HYPERLINK(""https://sealeddeck.tech/""&amp;added,""Link""),""""))),""""))"),"")</f>
        <v/>
      </c>
      <c r="J70" s="132"/>
      <c r="K70" s="132"/>
      <c r="L70" s="133"/>
      <c r="M70" s="135"/>
      <c r="N70" s="135"/>
      <c r="O70" s="135"/>
      <c r="P70" s="133"/>
      <c r="Q70" s="135"/>
      <c r="R70" s="135"/>
      <c r="S70" s="134"/>
      <c r="T70" s="134"/>
      <c r="U70" s="134"/>
      <c r="V70" s="136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</row>
    <row r="71">
      <c r="C71" s="129" t="str">
        <f t="array" ref="C71">INDEX('Player Database'!$D:$D,MATCH($D71,'Player Database'!$B:$B,0))</f>
        <v>#N/A</v>
      </c>
      <c r="D71" s="9" t="str">
        <f t="shared" si="1"/>
        <v> - </v>
      </c>
      <c r="E71" s="130" t="str">
        <f t="array" ref="E71">XLOOKUP($D71,'Player Database'!$B$2:$B1009,'Player Database'!$I$2:$I1009)</f>
        <v>#N/A</v>
      </c>
      <c r="F71" s="130" t="str">
        <f t="array" ref="F71">XLOOKUP($D71,'Player Database'!$B$2:$B1009,'Player Database'!$J$2:$J1009)</f>
        <v>#N/A</v>
      </c>
      <c r="G71" s="131" t="str">
        <f t="array" ref="G71">IF(H71="","",IFERROR(
  "https://sealeddeck.tech/" &amp; INDEX('Pool Changes'!F:F,
    MAX(
      ROW('Pool Changes'!A:A) *
      ('Pool Changes'!B:B=D71) *
      ('Pool Changes'!F:F&lt;&gt;"")
    )
  ),
  ""
))</f>
        <v/>
      </c>
      <c r="H71" s="131" t="str">
        <f>IFERROR(__xludf.DUMMYFUNCTION("LET(changes,FILTER('Pool Changes'!$B:$D, 'Pool Changes'!$B:$B = $D71),added,FILTER(INDEX(changes,0,3),INDEX(changes,0,2)=""starting pool""),TRANSPOSE(IFERROR(ARRAYFORMULA(IF(added&lt;&gt;"""",""https://sealeddeck.tech/""&amp;added,"""")),"""")))"),"")</f>
        <v/>
      </c>
      <c r="I71" s="132" t="str">
        <f>IFERROR(__xludf.DUMMYFUNCTION("LET(changes,FILTER('Pool Changes'!$B:$D, 'Pool Changes'!$B:$B = $D71),added,FILTER(INDEX(changes,0,3),INDEX(changes,0,2)=""add pack""),IFERROR(TRANSPOSE(ARRAYFORMULA(IF(added&lt;&gt;"""",HYPERLINK(""https://sealeddeck.tech/""&amp;added,""Link""),""""))),""""))"),"")</f>
        <v/>
      </c>
      <c r="J71" s="132"/>
      <c r="K71" s="132"/>
      <c r="L71" s="133"/>
      <c r="M71" s="135"/>
      <c r="N71" s="135"/>
      <c r="O71" s="135"/>
      <c r="P71" s="133"/>
      <c r="Q71" s="135"/>
      <c r="R71" s="135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</row>
    <row r="72">
      <c r="C72" s="129" t="str">
        <f t="array" ref="C72">INDEX('Player Database'!$D:$D,MATCH($D72,'Player Database'!$B:$B,0))</f>
        <v>#N/A</v>
      </c>
      <c r="D72" s="9" t="str">
        <f t="shared" si="1"/>
        <v> - </v>
      </c>
      <c r="E72" s="130" t="str">
        <f t="array" ref="E72">XLOOKUP($D72,'Player Database'!$B$2:$B1009,'Player Database'!$I$2:$I1009)</f>
        <v>#N/A</v>
      </c>
      <c r="F72" s="130" t="str">
        <f t="array" ref="F72">XLOOKUP($D72,'Player Database'!$B$2:$B1009,'Player Database'!$J$2:$J1009)</f>
        <v>#N/A</v>
      </c>
      <c r="G72" s="131" t="str">
        <f t="array" ref="G72">IF(H72="","",IFERROR(
  "https://sealeddeck.tech/" &amp; INDEX('Pool Changes'!F:F,
    MAX(
      ROW('Pool Changes'!A:A) *
      ('Pool Changes'!B:B=D72) *
      ('Pool Changes'!F:F&lt;&gt;"")
    )
  ),
  ""
))</f>
        <v/>
      </c>
      <c r="H72" s="131" t="str">
        <f>IFERROR(__xludf.DUMMYFUNCTION("LET(changes,FILTER('Pool Changes'!$B:$D, 'Pool Changes'!$B:$B = $D72),added,FILTER(INDEX(changes,0,3),INDEX(changes,0,2)=""starting pool""),TRANSPOSE(IFERROR(ARRAYFORMULA(IF(added&lt;&gt;"""",""https://sealeddeck.tech/""&amp;added,"""")),"""")))"),"")</f>
        <v/>
      </c>
      <c r="I72" s="132" t="str">
        <f>IFERROR(__xludf.DUMMYFUNCTION("LET(changes,FILTER('Pool Changes'!$B:$D, 'Pool Changes'!$B:$B = $D72),added,FILTER(INDEX(changes,0,3),INDEX(changes,0,2)=""add pack""),IFERROR(TRANSPOSE(ARRAYFORMULA(IF(added&lt;&gt;"""",HYPERLINK(""https://sealeddeck.tech/""&amp;added,""Link""),""""))),""""))"),"")</f>
        <v/>
      </c>
      <c r="J72" s="132"/>
      <c r="K72" s="132"/>
      <c r="L72" s="133"/>
      <c r="M72" s="135"/>
      <c r="N72" s="135"/>
      <c r="O72" s="135"/>
      <c r="P72" s="133"/>
      <c r="Q72" s="135"/>
      <c r="R72" s="135"/>
      <c r="S72" s="134"/>
      <c r="T72" s="134"/>
      <c r="U72" s="134"/>
      <c r="V72" s="136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</row>
    <row r="73">
      <c r="C73" s="129" t="str">
        <f t="array" ref="C73">INDEX('Player Database'!$D:$D,MATCH($D73,'Player Database'!$B:$B,0))</f>
        <v>#N/A</v>
      </c>
      <c r="D73" s="9" t="str">
        <f t="shared" si="1"/>
        <v> - </v>
      </c>
      <c r="E73" s="130" t="str">
        <f t="array" ref="E73">XLOOKUP($D73,'Player Database'!$B$2:$B1009,'Player Database'!$I$2:$I1009)</f>
        <v>#N/A</v>
      </c>
      <c r="F73" s="130" t="str">
        <f t="array" ref="F73">XLOOKUP($D73,'Player Database'!$B$2:$B1009,'Player Database'!$J$2:$J1009)</f>
        <v>#N/A</v>
      </c>
      <c r="G73" s="131" t="str">
        <f t="array" ref="G73">IF(H73="","",IFERROR(
  "https://sealeddeck.tech/" &amp; INDEX('Pool Changes'!F:F,
    MAX(
      ROW('Pool Changes'!A:A) *
      ('Pool Changes'!B:B=D73) *
      ('Pool Changes'!F:F&lt;&gt;"")
    )
  ),
  ""
))</f>
        <v/>
      </c>
      <c r="H73" s="131" t="str">
        <f>IFERROR(__xludf.DUMMYFUNCTION("LET(changes,FILTER('Pool Changes'!$B:$D, 'Pool Changes'!$B:$B = $D73),added,FILTER(INDEX(changes,0,3),INDEX(changes,0,2)=""starting pool""),TRANSPOSE(IFERROR(ARRAYFORMULA(IF(added&lt;&gt;"""",""https://sealeddeck.tech/""&amp;added,"""")),"""")))"),"")</f>
        <v/>
      </c>
      <c r="I73" s="132" t="str">
        <f>IFERROR(__xludf.DUMMYFUNCTION("LET(changes,FILTER('Pool Changes'!$B:$D, 'Pool Changes'!$B:$B = $D73),added,FILTER(INDEX(changes,0,3),INDEX(changes,0,2)=""add pack""),IFERROR(TRANSPOSE(ARRAYFORMULA(IF(added&lt;&gt;"""",HYPERLINK(""https://sealeddeck.tech/""&amp;added,""Link""),""""))),""""))"),"")</f>
        <v/>
      </c>
      <c r="J73" s="132"/>
      <c r="K73" s="132"/>
      <c r="L73" s="133"/>
      <c r="M73" s="135"/>
      <c r="N73" s="135"/>
      <c r="O73" s="135"/>
      <c r="P73" s="133"/>
      <c r="Q73" s="135"/>
      <c r="R73" s="135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</row>
    <row r="74">
      <c r="C74" s="129" t="str">
        <f t="array" ref="C74">INDEX('Player Database'!$D:$D,MATCH($D74,'Player Database'!$B:$B,0))</f>
        <v>#N/A</v>
      </c>
      <c r="D74" s="9" t="str">
        <f t="shared" si="1"/>
        <v> - </v>
      </c>
      <c r="E74" s="130" t="str">
        <f t="array" ref="E74">XLOOKUP($D74,'Player Database'!$B$2:$B1009,'Player Database'!$I$2:$I1009)</f>
        <v>#N/A</v>
      </c>
      <c r="F74" s="130" t="str">
        <f t="array" ref="F74">XLOOKUP($D74,'Player Database'!$B$2:$B1009,'Player Database'!$J$2:$J1009)</f>
        <v>#N/A</v>
      </c>
      <c r="G74" s="131" t="str">
        <f t="array" ref="G74">IF(H74="","",IFERROR(
  "https://sealeddeck.tech/" &amp; INDEX('Pool Changes'!F:F,
    MAX(
      ROW('Pool Changes'!A:A) *
      ('Pool Changes'!B:B=D74) *
      ('Pool Changes'!F:F&lt;&gt;"")
    )
  ),
  ""
))</f>
        <v/>
      </c>
      <c r="H74" s="131" t="str">
        <f>IFERROR(__xludf.DUMMYFUNCTION("LET(changes,FILTER('Pool Changes'!$B:$D, 'Pool Changes'!$B:$B = $D74),added,FILTER(INDEX(changes,0,3),INDEX(changes,0,2)=""starting pool""),TRANSPOSE(IFERROR(ARRAYFORMULA(IF(added&lt;&gt;"""",""https://sealeddeck.tech/""&amp;added,"""")),"""")))"),"")</f>
        <v/>
      </c>
      <c r="I74" s="132" t="str">
        <f>IFERROR(__xludf.DUMMYFUNCTION("LET(changes,FILTER('Pool Changes'!$B:$D, 'Pool Changes'!$B:$B = $D74),added,FILTER(INDEX(changes,0,3),INDEX(changes,0,2)=""add pack""),IFERROR(TRANSPOSE(ARRAYFORMULA(IF(added&lt;&gt;"""",HYPERLINK(""https://sealeddeck.tech/""&amp;added,""Link""),""""))),""""))"),"")</f>
        <v/>
      </c>
      <c r="J74" s="132"/>
      <c r="K74" s="132"/>
      <c r="L74" s="133"/>
      <c r="M74" s="135"/>
      <c r="N74" s="135"/>
      <c r="O74" s="135"/>
      <c r="P74" s="133"/>
      <c r="Q74" s="135"/>
      <c r="R74" s="135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</row>
    <row r="75">
      <c r="C75" s="129" t="str">
        <f t="array" ref="C75">INDEX('Player Database'!$D:$D,MATCH($D75,'Player Database'!$B:$B,0))</f>
        <v>#N/A</v>
      </c>
      <c r="D75" s="9" t="str">
        <f t="shared" si="1"/>
        <v> - </v>
      </c>
      <c r="E75" s="130" t="str">
        <f t="array" ref="E75">XLOOKUP($D75,'Player Database'!$B$2:$B1009,'Player Database'!$I$2:$I1009)</f>
        <v>#N/A</v>
      </c>
      <c r="F75" s="130" t="str">
        <f t="array" ref="F75">XLOOKUP($D75,'Player Database'!$B$2:$B1009,'Player Database'!$J$2:$J1009)</f>
        <v>#N/A</v>
      </c>
      <c r="G75" s="131" t="str">
        <f t="array" ref="G75">IF(H75="","",IFERROR(
  "https://sealeddeck.tech/" &amp; INDEX('Pool Changes'!F:F,
    MAX(
      ROW('Pool Changes'!A:A) *
      ('Pool Changes'!B:B=D75) *
      ('Pool Changes'!F:F&lt;&gt;"")
    )
  ),
  ""
))</f>
        <v/>
      </c>
      <c r="H75" s="131" t="str">
        <f>IFERROR(__xludf.DUMMYFUNCTION("LET(changes,FILTER('Pool Changes'!$B:$D, 'Pool Changes'!$B:$B = $D75),added,FILTER(INDEX(changes,0,3),INDEX(changes,0,2)=""starting pool""),TRANSPOSE(IFERROR(ARRAYFORMULA(IF(added&lt;&gt;"""",""https://sealeddeck.tech/""&amp;added,"""")),"""")))"),"")</f>
        <v/>
      </c>
      <c r="I75" s="132" t="str">
        <f>IFERROR(__xludf.DUMMYFUNCTION("LET(changes,FILTER('Pool Changes'!$B:$D, 'Pool Changes'!$B:$B = $D75),added,FILTER(INDEX(changes,0,3),INDEX(changes,0,2)=""add pack""),IFERROR(TRANSPOSE(ARRAYFORMULA(IF(added&lt;&gt;"""",HYPERLINK(""https://sealeddeck.tech/""&amp;added,""Link""),""""))),""""))"),"")</f>
        <v/>
      </c>
      <c r="J75" s="132"/>
      <c r="K75" s="132"/>
      <c r="L75" s="133"/>
      <c r="M75" s="135"/>
      <c r="N75" s="135"/>
      <c r="O75" s="135"/>
      <c r="P75" s="133"/>
      <c r="Q75" s="135"/>
      <c r="R75" s="135"/>
      <c r="S75" s="134"/>
      <c r="T75" s="134"/>
      <c r="U75" s="134"/>
      <c r="V75" s="136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</row>
    <row r="76">
      <c r="C76" s="129" t="str">
        <f t="array" ref="C76">INDEX('Player Database'!$D:$D,MATCH($D76,'Player Database'!$B:$B,0))</f>
        <v>#N/A</v>
      </c>
      <c r="D76" s="9" t="str">
        <f t="shared" si="1"/>
        <v> - </v>
      </c>
      <c r="E76" s="130" t="str">
        <f t="array" ref="E76">XLOOKUP($D76,'Player Database'!$B$2:$B1009,'Player Database'!$I$2:$I1009)</f>
        <v>#N/A</v>
      </c>
      <c r="F76" s="130" t="str">
        <f t="array" ref="F76">XLOOKUP($D76,'Player Database'!$B$2:$B1009,'Player Database'!$J$2:$J1009)</f>
        <v>#N/A</v>
      </c>
      <c r="G76" s="131" t="str">
        <f t="array" ref="G76">IF(H76="","",IFERROR(
  "https://sealeddeck.tech/" &amp; INDEX('Pool Changes'!F:F,
    MAX(
      ROW('Pool Changes'!A:A) *
      ('Pool Changes'!B:B=D76) *
      ('Pool Changes'!F:F&lt;&gt;"")
    )
  ),
  ""
))</f>
        <v/>
      </c>
      <c r="H76" s="131" t="str">
        <f>IFERROR(__xludf.DUMMYFUNCTION("LET(changes,FILTER('Pool Changes'!$B:$D, 'Pool Changes'!$B:$B = $D76),added,FILTER(INDEX(changes,0,3),INDEX(changes,0,2)=""starting pool""),TRANSPOSE(IFERROR(ARRAYFORMULA(IF(added&lt;&gt;"""",""https://sealeddeck.tech/""&amp;added,"""")),"""")))"),"")</f>
        <v/>
      </c>
      <c r="I76" s="132" t="str">
        <f>IFERROR(__xludf.DUMMYFUNCTION("LET(changes,FILTER('Pool Changes'!$B:$D, 'Pool Changes'!$B:$B = $D76),added,FILTER(INDEX(changes,0,3),INDEX(changes,0,2)=""add pack""),IFERROR(TRANSPOSE(ARRAYFORMULA(IF(added&lt;&gt;"""",HYPERLINK(""https://sealeddeck.tech/""&amp;added,""Link""),""""))),""""))"),"")</f>
        <v/>
      </c>
      <c r="J76" s="132"/>
      <c r="K76" s="132"/>
      <c r="L76" s="133"/>
      <c r="M76" s="135"/>
      <c r="N76" s="135"/>
      <c r="O76" s="135"/>
      <c r="P76" s="133"/>
      <c r="Q76" s="135"/>
      <c r="R76" s="135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</row>
    <row r="77">
      <c r="C77" s="129" t="str">
        <f t="array" ref="C77">INDEX('Player Database'!$D:$D,MATCH($D77,'Player Database'!$B:$B,0))</f>
        <v>#N/A</v>
      </c>
      <c r="D77" s="9" t="str">
        <f t="shared" si="1"/>
        <v> - </v>
      </c>
      <c r="E77" s="130" t="str">
        <f t="array" ref="E77">XLOOKUP($D77,'Player Database'!$B$2:$B1009,'Player Database'!$I$2:$I1009)</f>
        <v>#N/A</v>
      </c>
      <c r="F77" s="130" t="str">
        <f t="array" ref="F77">XLOOKUP($D77,'Player Database'!$B$2:$B1009,'Player Database'!$J$2:$J1009)</f>
        <v>#N/A</v>
      </c>
      <c r="G77" s="131" t="str">
        <f t="array" ref="G77">IF(H77="","",IFERROR(
  "https://sealeddeck.tech/" &amp; INDEX('Pool Changes'!F:F,
    MAX(
      ROW('Pool Changes'!A:A) *
      ('Pool Changes'!B:B=D77) *
      ('Pool Changes'!F:F&lt;&gt;"")
    )
  ),
  ""
))</f>
        <v/>
      </c>
      <c r="H77" s="131" t="str">
        <f>IFERROR(__xludf.DUMMYFUNCTION("LET(changes,FILTER('Pool Changes'!$B:$D, 'Pool Changes'!$B:$B = $D77),added,FILTER(INDEX(changes,0,3),INDEX(changes,0,2)=""starting pool""),TRANSPOSE(IFERROR(ARRAYFORMULA(IF(added&lt;&gt;"""",""https://sealeddeck.tech/""&amp;added,"""")),"""")))"),"")</f>
        <v/>
      </c>
      <c r="I77" s="132" t="str">
        <f>IFERROR(__xludf.DUMMYFUNCTION("LET(changes,FILTER('Pool Changes'!$B:$D, 'Pool Changes'!$B:$B = $D77),added,FILTER(INDEX(changes,0,3),INDEX(changes,0,2)=""add pack""),IFERROR(TRANSPOSE(ARRAYFORMULA(IF(added&lt;&gt;"""",HYPERLINK(""https://sealeddeck.tech/""&amp;added,""Link""),""""))),""""))"),"")</f>
        <v/>
      </c>
      <c r="J77" s="132"/>
      <c r="K77" s="132"/>
      <c r="L77" s="133"/>
      <c r="M77" s="135"/>
      <c r="N77" s="135"/>
      <c r="O77" s="135"/>
      <c r="P77" s="133"/>
      <c r="Q77" s="135"/>
      <c r="R77" s="135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</row>
    <row r="78">
      <c r="C78" s="129" t="str">
        <f t="array" ref="C78">INDEX('Player Database'!$D:$D,MATCH($D78,'Player Database'!$B:$B,0))</f>
        <v>#N/A</v>
      </c>
      <c r="D78" s="9" t="str">
        <f t="shared" si="1"/>
        <v> - </v>
      </c>
      <c r="E78" s="130" t="str">
        <f t="array" ref="E78">XLOOKUP($D78,'Player Database'!$B$2:$B1009,'Player Database'!$I$2:$I1009)</f>
        <v>#N/A</v>
      </c>
      <c r="F78" s="130" t="str">
        <f t="array" ref="F78">XLOOKUP($D78,'Player Database'!$B$2:$B1009,'Player Database'!$J$2:$J1009)</f>
        <v>#N/A</v>
      </c>
      <c r="G78" s="131" t="str">
        <f t="array" ref="G78">IF(H78="","",IFERROR(
  "https://sealeddeck.tech/" &amp; INDEX('Pool Changes'!F:F,
    MAX(
      ROW('Pool Changes'!A:A) *
      ('Pool Changes'!B:B=D78) *
      ('Pool Changes'!F:F&lt;&gt;"")
    )
  ),
  ""
))</f>
        <v/>
      </c>
      <c r="H78" s="131" t="str">
        <f>IFERROR(__xludf.DUMMYFUNCTION("LET(changes,FILTER('Pool Changes'!$B:$D, 'Pool Changes'!$B:$B = $D78),added,FILTER(INDEX(changes,0,3),INDEX(changes,0,2)=""starting pool""),TRANSPOSE(IFERROR(ARRAYFORMULA(IF(added&lt;&gt;"""",""https://sealeddeck.tech/""&amp;added,"""")),"""")))"),"")</f>
        <v/>
      </c>
      <c r="I78" s="132" t="str">
        <f>IFERROR(__xludf.DUMMYFUNCTION("LET(changes,FILTER('Pool Changes'!$B:$D, 'Pool Changes'!$B:$B = $D78),added,FILTER(INDEX(changes,0,3),INDEX(changes,0,2)=""add pack""),IFERROR(TRANSPOSE(ARRAYFORMULA(IF(added&lt;&gt;"""",HYPERLINK(""https://sealeddeck.tech/""&amp;added,""Link""),""""))),""""))"),"")</f>
        <v/>
      </c>
      <c r="J78" s="132"/>
      <c r="K78" s="132"/>
      <c r="L78" s="133"/>
      <c r="M78" s="135"/>
      <c r="N78" s="135"/>
      <c r="O78" s="135"/>
      <c r="P78" s="133"/>
      <c r="Q78" s="135"/>
      <c r="R78" s="135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</row>
    <row r="79">
      <c r="C79" s="129" t="str">
        <f t="array" ref="C79">INDEX('Player Database'!$D:$D,MATCH($D79,'Player Database'!$B:$B,0))</f>
        <v>#N/A</v>
      </c>
      <c r="D79" s="9" t="str">
        <f t="shared" si="1"/>
        <v> - </v>
      </c>
      <c r="E79" s="130" t="str">
        <f t="array" ref="E79">XLOOKUP($D79,'Player Database'!$B$2:$B1009,'Player Database'!$I$2:$I1009)</f>
        <v>#N/A</v>
      </c>
      <c r="F79" s="130" t="str">
        <f t="array" ref="F79">XLOOKUP($D79,'Player Database'!$B$2:$B1009,'Player Database'!$J$2:$J1009)</f>
        <v>#N/A</v>
      </c>
      <c r="G79" s="131" t="str">
        <f t="array" ref="G79">IF(H79="","",IFERROR(
  "https://sealeddeck.tech/" &amp; INDEX('Pool Changes'!F:F,
    MAX(
      ROW('Pool Changes'!A:A) *
      ('Pool Changes'!B:B=D79) *
      ('Pool Changes'!F:F&lt;&gt;"")
    )
  ),
  ""
))</f>
        <v/>
      </c>
      <c r="H79" s="131" t="str">
        <f>IFERROR(__xludf.DUMMYFUNCTION("LET(changes,FILTER('Pool Changes'!$B:$D, 'Pool Changes'!$B:$B = $D79),added,FILTER(INDEX(changes,0,3),INDEX(changes,0,2)=""starting pool""),TRANSPOSE(IFERROR(ARRAYFORMULA(IF(added&lt;&gt;"""",""https://sealeddeck.tech/""&amp;added,"""")),"""")))"),"")</f>
        <v/>
      </c>
      <c r="I79" s="132" t="str">
        <f>IFERROR(__xludf.DUMMYFUNCTION("LET(changes,FILTER('Pool Changes'!$B:$D, 'Pool Changes'!$B:$B = $D79),added,FILTER(INDEX(changes,0,3),INDEX(changes,0,2)=""add pack""),IFERROR(TRANSPOSE(ARRAYFORMULA(IF(added&lt;&gt;"""",HYPERLINK(""https://sealeddeck.tech/""&amp;added,""Link""),""""))),""""))"),"")</f>
        <v/>
      </c>
      <c r="J79" s="132"/>
      <c r="K79" s="132"/>
      <c r="L79" s="133"/>
      <c r="M79" s="135"/>
      <c r="N79" s="135"/>
      <c r="O79" s="135"/>
      <c r="P79" s="133"/>
      <c r="Q79" s="135"/>
      <c r="R79" s="135"/>
      <c r="S79" s="134"/>
    </row>
    <row r="80">
      <c r="C80" s="129" t="str">
        <f t="array" ref="C80">INDEX('Player Database'!$D:$D,MATCH($D80,'Player Database'!$B:$B,0))</f>
        <v>#N/A</v>
      </c>
      <c r="D80" s="9" t="str">
        <f t="shared" si="1"/>
        <v> - </v>
      </c>
      <c r="E80" s="130" t="str">
        <f t="array" ref="E80">XLOOKUP($D80,'Player Database'!$B$2:$B1009,'Player Database'!$I$2:$I1009)</f>
        <v>#N/A</v>
      </c>
      <c r="F80" s="130" t="str">
        <f t="array" ref="F80">XLOOKUP($D80,'Player Database'!$B$2:$B1009,'Player Database'!$J$2:$J1009)</f>
        <v>#N/A</v>
      </c>
      <c r="G80" s="131" t="str">
        <f t="array" ref="G80">IF(H80="","",IFERROR(
  "https://sealeddeck.tech/" &amp; INDEX('Pool Changes'!F:F,
    MAX(
      ROW('Pool Changes'!A:A) *
      ('Pool Changes'!B:B=D80) *
      ('Pool Changes'!F:F&lt;&gt;"")
    )
  ),
  ""
))</f>
        <v/>
      </c>
      <c r="H80" s="131" t="str">
        <f>IFERROR(__xludf.DUMMYFUNCTION("LET(changes,FILTER('Pool Changes'!$B:$D, 'Pool Changes'!$B:$B = $D80),added,FILTER(INDEX(changes,0,3),INDEX(changes,0,2)=""starting pool""),TRANSPOSE(IFERROR(ARRAYFORMULA(IF(added&lt;&gt;"""",""https://sealeddeck.tech/""&amp;added,"""")),"""")))"),"")</f>
        <v/>
      </c>
      <c r="I80" s="132" t="str">
        <f>IFERROR(__xludf.DUMMYFUNCTION("LET(changes,FILTER('Pool Changes'!$B:$D, 'Pool Changes'!$B:$B = $D80),added,FILTER(INDEX(changes,0,3),INDEX(changes,0,2)=""add pack""),IFERROR(TRANSPOSE(ARRAYFORMULA(IF(added&lt;&gt;"""",HYPERLINK(""https://sealeddeck.tech/""&amp;added,""Link""),""""))),""""))"),"")</f>
        <v/>
      </c>
      <c r="J80" s="132"/>
      <c r="K80" s="132"/>
      <c r="L80" s="133"/>
      <c r="M80" s="135"/>
      <c r="N80" s="135"/>
      <c r="O80" s="135"/>
      <c r="P80" s="133"/>
      <c r="Q80" s="135"/>
      <c r="R80" s="135"/>
      <c r="S80" s="134"/>
    </row>
    <row r="81">
      <c r="C81" s="129" t="str">
        <f t="array" ref="C81">INDEX('Player Database'!$D:$D,MATCH($D81,'Player Database'!$B:$B,0))</f>
        <v>#N/A</v>
      </c>
      <c r="D81" s="9" t="str">
        <f t="shared" si="1"/>
        <v> - </v>
      </c>
      <c r="E81" s="130" t="str">
        <f t="array" ref="E81">XLOOKUP($D81,'Player Database'!$B$2:$B1009,'Player Database'!$I$2:$I1009)</f>
        <v>#N/A</v>
      </c>
      <c r="F81" s="130" t="str">
        <f t="array" ref="F81">XLOOKUP($D81,'Player Database'!$B$2:$B1009,'Player Database'!$J$2:$J1009)</f>
        <v>#N/A</v>
      </c>
      <c r="G81" s="131" t="str">
        <f t="array" ref="G81">IF(H81="","",IFERROR(
  "https://sealeddeck.tech/" &amp; INDEX('Pool Changes'!F:F,
    MAX(
      ROW('Pool Changes'!A:A) *
      ('Pool Changes'!B:B=D81) *
      ('Pool Changes'!F:F&lt;&gt;"")
    )
  ),
  ""
))</f>
        <v/>
      </c>
      <c r="H81" s="131" t="str">
        <f>IFERROR(__xludf.DUMMYFUNCTION("LET(changes,FILTER('Pool Changes'!$B:$D, 'Pool Changes'!$B:$B = $D81),added,FILTER(INDEX(changes,0,3),INDEX(changes,0,2)=""starting pool""),TRANSPOSE(IFERROR(ARRAYFORMULA(IF(added&lt;&gt;"""",""https://sealeddeck.tech/""&amp;added,"""")),"""")))"),"")</f>
        <v/>
      </c>
      <c r="I81" s="132" t="str">
        <f>IFERROR(__xludf.DUMMYFUNCTION("LET(changes,FILTER('Pool Changes'!$B:$D, 'Pool Changes'!$B:$B = $D81),added,FILTER(INDEX(changes,0,3),INDEX(changes,0,2)=""add pack""),IFERROR(TRANSPOSE(ARRAYFORMULA(IF(added&lt;&gt;"""",HYPERLINK(""https://sealeddeck.tech/""&amp;added,""Link""),""""))),""""))"),"")</f>
        <v/>
      </c>
      <c r="J81" s="132"/>
      <c r="K81" s="132"/>
      <c r="L81" s="133"/>
      <c r="M81" s="135"/>
      <c r="N81" s="135"/>
      <c r="O81" s="135"/>
      <c r="P81" s="133"/>
      <c r="Q81" s="135"/>
      <c r="R81" s="135"/>
      <c r="S81" s="134"/>
    </row>
    <row r="82">
      <c r="C82" s="129" t="str">
        <f t="array" ref="C82">INDEX('Player Database'!$D:$D,MATCH($D82,'Player Database'!$B:$B,0))</f>
        <v>#N/A</v>
      </c>
      <c r="D82" s="9" t="str">
        <f t="shared" si="1"/>
        <v> - </v>
      </c>
      <c r="E82" s="130" t="str">
        <f t="array" ref="E82">XLOOKUP($D82,'Player Database'!$B$2:$B1009,'Player Database'!$I$2:$I1009)</f>
        <v>#N/A</v>
      </c>
      <c r="F82" s="130" t="str">
        <f t="array" ref="F82">XLOOKUP($D82,'Player Database'!$B$2:$B1009,'Player Database'!$J$2:$J1009)</f>
        <v>#N/A</v>
      </c>
      <c r="G82" s="131" t="str">
        <f t="array" ref="G82">IF(H82="","",IFERROR(
  "https://sealeddeck.tech/" &amp; INDEX('Pool Changes'!F:F,
    MAX(
      ROW('Pool Changes'!A:A) *
      ('Pool Changes'!B:B=D82) *
      ('Pool Changes'!F:F&lt;&gt;"")
    )
  ),
  ""
))</f>
        <v/>
      </c>
      <c r="H82" s="131" t="str">
        <f>IFERROR(__xludf.DUMMYFUNCTION("LET(changes,FILTER('Pool Changes'!$B:$D, 'Pool Changes'!$B:$B = $D82),added,FILTER(INDEX(changes,0,3),INDEX(changes,0,2)=""starting pool""),TRANSPOSE(IFERROR(ARRAYFORMULA(IF(added&lt;&gt;"""",""https://sealeddeck.tech/""&amp;added,"""")),"""")))"),"")</f>
        <v/>
      </c>
      <c r="I82" s="132" t="str">
        <f>IFERROR(__xludf.DUMMYFUNCTION("LET(changes,FILTER('Pool Changes'!$B:$D, 'Pool Changes'!$B:$B = $D82),added,FILTER(INDEX(changes,0,3),INDEX(changes,0,2)=""add pack""),IFERROR(TRANSPOSE(ARRAYFORMULA(IF(added&lt;&gt;"""",HYPERLINK(""https://sealeddeck.tech/""&amp;added,""Link""),""""))),""""))"),"")</f>
        <v/>
      </c>
      <c r="J82" s="132"/>
      <c r="K82" s="132"/>
      <c r="L82" s="133"/>
      <c r="M82" s="135"/>
      <c r="N82" s="135"/>
      <c r="O82" s="135"/>
      <c r="P82" s="133"/>
      <c r="Q82" s="135"/>
      <c r="R82" s="135"/>
      <c r="S82" s="134"/>
    </row>
    <row r="83">
      <c r="C83" s="129" t="str">
        <f t="array" ref="C83">INDEX('Player Database'!$D:$D,MATCH($D83,'Player Database'!$B:$B,0))</f>
        <v>#N/A</v>
      </c>
      <c r="D83" s="9" t="str">
        <f t="shared" si="1"/>
        <v> - </v>
      </c>
      <c r="E83" s="130" t="str">
        <f t="array" ref="E83">XLOOKUP($D83,'Player Database'!$B$2:$B1009,'Player Database'!$I$2:$I1009)</f>
        <v>#N/A</v>
      </c>
      <c r="F83" s="130" t="str">
        <f t="array" ref="F83">XLOOKUP($D83,'Player Database'!$B$2:$B1009,'Player Database'!$J$2:$J1009)</f>
        <v>#N/A</v>
      </c>
      <c r="G83" s="131" t="str">
        <f t="array" ref="G83">IF(H83="","",IFERROR(
  "https://sealeddeck.tech/" &amp; INDEX('Pool Changes'!F:F,
    MAX(
      ROW('Pool Changes'!A:A) *
      ('Pool Changes'!B:B=D83) *
      ('Pool Changes'!F:F&lt;&gt;"")
    )
  ),
  ""
))</f>
        <v/>
      </c>
      <c r="H83" s="131" t="str">
        <f>IFERROR(__xludf.DUMMYFUNCTION("LET(changes,FILTER('Pool Changes'!$B:$D, 'Pool Changes'!$B:$B = $D83),added,FILTER(INDEX(changes,0,3),INDEX(changes,0,2)=""starting pool""),TRANSPOSE(IFERROR(ARRAYFORMULA(IF(added&lt;&gt;"""",""https://sealeddeck.tech/""&amp;added,"""")),"""")))"),"")</f>
        <v/>
      </c>
      <c r="I83" s="132" t="str">
        <f>IFERROR(__xludf.DUMMYFUNCTION("LET(changes,FILTER('Pool Changes'!$B:$D, 'Pool Changes'!$B:$B = $D83),added,FILTER(INDEX(changes,0,3),INDEX(changes,0,2)=""add pack""),IFERROR(TRANSPOSE(ARRAYFORMULA(IF(added&lt;&gt;"""",HYPERLINK(""https://sealeddeck.tech/""&amp;added,""Link""),""""))),""""))"),"")</f>
        <v/>
      </c>
      <c r="J83" s="132"/>
      <c r="K83" s="132"/>
      <c r="L83" s="133"/>
      <c r="M83" s="135"/>
      <c r="N83" s="135"/>
      <c r="O83" s="135"/>
      <c r="P83" s="133"/>
      <c r="Q83" s="135"/>
      <c r="R83" s="135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</row>
    <row r="84">
      <c r="C84" s="129" t="str">
        <f t="array" ref="C84">INDEX('Player Database'!$D:$D,MATCH($D84,'Player Database'!$B:$B,0))</f>
        <v>#N/A</v>
      </c>
      <c r="D84" s="9" t="str">
        <f t="shared" si="1"/>
        <v> - </v>
      </c>
      <c r="E84" s="130" t="str">
        <f t="array" ref="E84">XLOOKUP($D84,'Player Database'!$B$2:$B1009,'Player Database'!$I$2:$I1009)</f>
        <v>#N/A</v>
      </c>
      <c r="F84" s="130" t="str">
        <f t="array" ref="F84">XLOOKUP($D84,'Player Database'!$B$2:$B1009,'Player Database'!$J$2:$J1009)</f>
        <v>#N/A</v>
      </c>
      <c r="G84" s="131" t="str">
        <f t="array" ref="G84">IF(H84="","",IFERROR(
  "https://sealeddeck.tech/" &amp; INDEX('Pool Changes'!F:F,
    MAX(
      ROW('Pool Changes'!A:A) *
      ('Pool Changes'!B:B=D84) *
      ('Pool Changes'!F:F&lt;&gt;"")
    )
  ),
  ""
))</f>
        <v/>
      </c>
      <c r="H84" s="131" t="str">
        <f>IFERROR(__xludf.DUMMYFUNCTION("LET(changes,FILTER('Pool Changes'!$B:$D, 'Pool Changes'!$B:$B = $D84),added,FILTER(INDEX(changes,0,3),INDEX(changes,0,2)=""starting pool""),TRANSPOSE(IFERROR(ARRAYFORMULA(IF(added&lt;&gt;"""",""https://sealeddeck.tech/""&amp;added,"""")),"""")))"),"")</f>
        <v/>
      </c>
      <c r="I84" s="132" t="str">
        <f>IFERROR(__xludf.DUMMYFUNCTION("LET(changes,FILTER('Pool Changes'!$B:$D, 'Pool Changes'!$B:$B = $D84),added,FILTER(INDEX(changes,0,3),INDEX(changes,0,2)=""add pack""),IFERROR(TRANSPOSE(ARRAYFORMULA(IF(added&lt;&gt;"""",HYPERLINK(""https://sealeddeck.tech/""&amp;added,""Link""),""""))),""""))"),"")</f>
        <v/>
      </c>
      <c r="J84" s="132"/>
      <c r="K84" s="132"/>
      <c r="L84" s="133"/>
      <c r="M84" s="135"/>
      <c r="N84" s="135"/>
      <c r="O84" s="135"/>
      <c r="P84" s="133"/>
      <c r="Q84" s="135"/>
      <c r="R84" s="135"/>
      <c r="S84" s="134"/>
      <c r="T84" s="134"/>
      <c r="U84" s="134"/>
      <c r="V84" s="136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</row>
    <row r="85">
      <c r="C85" s="129" t="str">
        <f t="array" ref="C85">INDEX('Player Database'!$D:$D,MATCH($D85,'Player Database'!$B:$B,0))</f>
        <v>#N/A</v>
      </c>
      <c r="D85" s="9" t="str">
        <f t="shared" si="1"/>
        <v> - </v>
      </c>
      <c r="E85" s="130" t="str">
        <f t="array" ref="E85">XLOOKUP($D85,'Player Database'!$B$2:$B1009,'Player Database'!$I$2:$I1009)</f>
        <v>#N/A</v>
      </c>
      <c r="F85" s="130" t="str">
        <f t="array" ref="F85">XLOOKUP($D85,'Player Database'!$B$2:$B1009,'Player Database'!$J$2:$J1009)</f>
        <v>#N/A</v>
      </c>
      <c r="G85" s="131" t="str">
        <f t="array" ref="G85">IF(H85="","",IFERROR(
  "https://sealeddeck.tech/" &amp; INDEX('Pool Changes'!F:F,
    MAX(
      ROW('Pool Changes'!A:A) *
      ('Pool Changes'!B:B=D85) *
      ('Pool Changes'!F:F&lt;&gt;"")
    )
  ),
  ""
))</f>
        <v/>
      </c>
      <c r="H85" s="131" t="str">
        <f>IFERROR(__xludf.DUMMYFUNCTION("LET(changes,FILTER('Pool Changes'!$B:$D, 'Pool Changes'!$B:$B = $D85),added,FILTER(INDEX(changes,0,3),INDEX(changes,0,2)=""starting pool""),TRANSPOSE(IFERROR(ARRAYFORMULA(IF(added&lt;&gt;"""",""https://sealeddeck.tech/""&amp;added,"""")),"""")))"),"")</f>
        <v/>
      </c>
      <c r="I85" s="132" t="str">
        <f>IFERROR(__xludf.DUMMYFUNCTION("LET(changes,FILTER('Pool Changes'!$B:$D, 'Pool Changes'!$B:$B = $D85),added,FILTER(INDEX(changes,0,3),INDEX(changes,0,2)=""add pack""),IFERROR(TRANSPOSE(ARRAYFORMULA(IF(added&lt;&gt;"""",HYPERLINK(""https://sealeddeck.tech/""&amp;added,""Link""),""""))),""""))"),"")</f>
        <v/>
      </c>
      <c r="J85" s="132"/>
      <c r="K85" s="132"/>
      <c r="L85" s="133"/>
      <c r="M85" s="135"/>
      <c r="N85" s="135"/>
      <c r="O85" s="135"/>
      <c r="P85" s="133"/>
      <c r="Q85" s="135"/>
      <c r="R85" s="135"/>
      <c r="S85" s="134"/>
      <c r="T85" s="134"/>
      <c r="U85" s="134"/>
      <c r="V85" s="136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</row>
    <row r="86">
      <c r="C86" s="129" t="str">
        <f t="array" ref="C86">INDEX('Player Database'!$D:$D,MATCH($D86,'Player Database'!$B:$B,0))</f>
        <v>#N/A</v>
      </c>
      <c r="D86" s="9" t="str">
        <f t="shared" si="1"/>
        <v> - </v>
      </c>
      <c r="E86" s="130" t="str">
        <f t="array" ref="E86">XLOOKUP($D86,'Player Database'!$B$2:$B1009,'Player Database'!$I$2:$I1009)</f>
        <v>#N/A</v>
      </c>
      <c r="F86" s="130" t="str">
        <f t="array" ref="F86">XLOOKUP($D86,'Player Database'!$B$2:$B1009,'Player Database'!$J$2:$J1009)</f>
        <v>#N/A</v>
      </c>
      <c r="G86" s="131" t="str">
        <f t="array" ref="G86">IF(H86="","",IFERROR(
  "https://sealeddeck.tech/" &amp; INDEX('Pool Changes'!F:F,
    MAX(
      ROW('Pool Changes'!A:A) *
      ('Pool Changes'!B:B=D86) *
      ('Pool Changes'!F:F&lt;&gt;"")
    )
  ),
  ""
))</f>
        <v/>
      </c>
      <c r="H86" s="131" t="str">
        <f>IFERROR(__xludf.DUMMYFUNCTION("LET(changes,FILTER('Pool Changes'!$B:$D, 'Pool Changes'!$B:$B = $D86),added,FILTER(INDEX(changes,0,3),INDEX(changes,0,2)=""starting pool""),TRANSPOSE(IFERROR(ARRAYFORMULA(IF(added&lt;&gt;"""",""https://sealeddeck.tech/""&amp;added,"""")),"""")))"),"")</f>
        <v/>
      </c>
      <c r="I86" s="132" t="str">
        <f>IFERROR(__xludf.DUMMYFUNCTION("LET(changes,FILTER('Pool Changes'!$B:$D, 'Pool Changes'!$B:$B = $D86),added,FILTER(INDEX(changes,0,3),INDEX(changes,0,2)=""add pack""),IFERROR(TRANSPOSE(ARRAYFORMULA(IF(added&lt;&gt;"""",HYPERLINK(""https://sealeddeck.tech/""&amp;added,""Link""),""""))),""""))"),"")</f>
        <v/>
      </c>
      <c r="J86" s="132"/>
      <c r="K86" s="132"/>
      <c r="L86" s="133"/>
      <c r="M86" s="135"/>
      <c r="N86" s="135"/>
      <c r="O86" s="135"/>
      <c r="P86" s="133"/>
      <c r="Q86" s="135"/>
      <c r="R86" s="135"/>
      <c r="S86" s="134"/>
      <c r="T86" s="134"/>
      <c r="U86" s="134"/>
      <c r="V86" s="136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</row>
    <row r="87">
      <c r="C87" s="129" t="str">
        <f t="array" ref="C87">INDEX('Player Database'!$D:$D,MATCH($D87,'Player Database'!$B:$B,0))</f>
        <v>#N/A</v>
      </c>
      <c r="D87" s="9" t="str">
        <f t="shared" si="1"/>
        <v> - </v>
      </c>
      <c r="E87" s="130" t="str">
        <f t="array" ref="E87">XLOOKUP($D87,'Player Database'!$B$2:$B1009,'Player Database'!$I$2:$I1009)</f>
        <v>#N/A</v>
      </c>
      <c r="F87" s="130" t="str">
        <f t="array" ref="F87">XLOOKUP($D87,'Player Database'!$B$2:$B1009,'Player Database'!$J$2:$J1009)</f>
        <v>#N/A</v>
      </c>
      <c r="G87" s="131" t="str">
        <f t="array" ref="G87">IF(H87="","",IFERROR(
  "https://sealeddeck.tech/" &amp; INDEX('Pool Changes'!F:F,
    MAX(
      ROW('Pool Changes'!A:A) *
      ('Pool Changes'!B:B=D87) *
      ('Pool Changes'!F:F&lt;&gt;"")
    )
  ),
  ""
))</f>
        <v/>
      </c>
      <c r="H87" s="131" t="str">
        <f>IFERROR(__xludf.DUMMYFUNCTION("LET(changes,FILTER('Pool Changes'!$B:$D, 'Pool Changes'!$B:$B = $D87),added,FILTER(INDEX(changes,0,3),INDEX(changes,0,2)=""starting pool""),TRANSPOSE(IFERROR(ARRAYFORMULA(IF(added&lt;&gt;"""",""https://sealeddeck.tech/""&amp;added,"""")),"""")))"),"")</f>
        <v/>
      </c>
      <c r="I87" s="132" t="str">
        <f>IFERROR(__xludf.DUMMYFUNCTION("LET(changes,FILTER('Pool Changes'!$B:$D, 'Pool Changes'!$B:$B = $D87),added,FILTER(INDEX(changes,0,3),INDEX(changes,0,2)=""add pack""),IFERROR(TRANSPOSE(ARRAYFORMULA(IF(added&lt;&gt;"""",HYPERLINK(""https://sealeddeck.tech/""&amp;added,""Link""),""""))),""""))"),"")</f>
        <v/>
      </c>
      <c r="J87" s="132"/>
      <c r="K87" s="132"/>
      <c r="L87" s="133"/>
      <c r="M87" s="135"/>
      <c r="N87" s="135"/>
      <c r="O87" s="135"/>
      <c r="P87" s="133"/>
      <c r="Q87" s="135"/>
      <c r="R87" s="135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</row>
    <row r="88">
      <c r="C88" s="129" t="str">
        <f t="array" ref="C88">INDEX('Player Database'!$D:$D,MATCH($D88,'Player Database'!$B:$B,0))</f>
        <v>#N/A</v>
      </c>
      <c r="D88" s="9" t="str">
        <f t="shared" si="1"/>
        <v> - </v>
      </c>
      <c r="E88" s="130" t="str">
        <f t="array" ref="E88">XLOOKUP($D88,'Player Database'!$B$2:$B1009,'Player Database'!$I$2:$I1009)</f>
        <v>#N/A</v>
      </c>
      <c r="F88" s="130" t="str">
        <f t="array" ref="F88">XLOOKUP($D88,'Player Database'!$B$2:$B1009,'Player Database'!$J$2:$J1009)</f>
        <v>#N/A</v>
      </c>
      <c r="G88" s="131" t="str">
        <f t="array" ref="G88">IF(H88="","",IFERROR(
  "https://sealeddeck.tech/" &amp; INDEX('Pool Changes'!F:F,
    MAX(
      ROW('Pool Changes'!A:A) *
      ('Pool Changes'!B:B=D88) *
      ('Pool Changes'!F:F&lt;&gt;"")
    )
  ),
  ""
))</f>
        <v/>
      </c>
      <c r="H88" s="131" t="str">
        <f>IFERROR(__xludf.DUMMYFUNCTION("LET(changes,FILTER('Pool Changes'!$B:$D, 'Pool Changes'!$B:$B = $D88),added,FILTER(INDEX(changes,0,3),INDEX(changes,0,2)=""starting pool""),TRANSPOSE(IFERROR(ARRAYFORMULA(IF(added&lt;&gt;"""",""https://sealeddeck.tech/""&amp;added,"""")),"""")))"),"")</f>
        <v/>
      </c>
      <c r="I88" s="132" t="str">
        <f>IFERROR(__xludf.DUMMYFUNCTION("LET(changes,FILTER('Pool Changes'!$B:$D, 'Pool Changes'!$B:$B = $D88),added,FILTER(INDEX(changes,0,3),INDEX(changes,0,2)=""add pack""),IFERROR(TRANSPOSE(ARRAYFORMULA(IF(added&lt;&gt;"""",HYPERLINK(""https://sealeddeck.tech/""&amp;added,""Link""),""""))),""""))"),"")</f>
        <v/>
      </c>
      <c r="J88" s="132"/>
      <c r="K88" s="132"/>
      <c r="L88" s="133"/>
      <c r="M88" s="135"/>
      <c r="N88" s="135"/>
      <c r="O88" s="135"/>
      <c r="P88" s="133"/>
      <c r="Q88" s="135"/>
      <c r="R88" s="135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</row>
    <row r="89">
      <c r="C89" s="129" t="str">
        <f t="array" ref="C89">INDEX('Player Database'!$D:$D,MATCH($D89,'Player Database'!$B:$B,0))</f>
        <v>#N/A</v>
      </c>
      <c r="D89" s="9" t="str">
        <f t="shared" si="1"/>
        <v> - </v>
      </c>
      <c r="E89" s="130" t="str">
        <f t="array" ref="E89">XLOOKUP($D89,'Player Database'!$B$2:$B1009,'Player Database'!$I$2:$I1009)</f>
        <v>#N/A</v>
      </c>
      <c r="F89" s="130" t="str">
        <f t="array" ref="F89">XLOOKUP($D89,'Player Database'!$B$2:$B1009,'Player Database'!$J$2:$J1009)</f>
        <v>#N/A</v>
      </c>
      <c r="G89" s="131" t="str">
        <f t="array" ref="G89">IF(H89="","",IFERROR(
  "https://sealeddeck.tech/" &amp; INDEX('Pool Changes'!F:F,
    MAX(
      ROW('Pool Changes'!A:A) *
      ('Pool Changes'!B:B=D89) *
      ('Pool Changes'!F:F&lt;&gt;"")
    )
  ),
  ""
))</f>
        <v/>
      </c>
      <c r="H89" s="131" t="str">
        <f>IFERROR(__xludf.DUMMYFUNCTION("LET(changes,FILTER('Pool Changes'!$B:$D, 'Pool Changes'!$B:$B = $D89),added,FILTER(INDEX(changes,0,3),INDEX(changes,0,2)=""starting pool""),TRANSPOSE(IFERROR(ARRAYFORMULA(IF(added&lt;&gt;"""",""https://sealeddeck.tech/""&amp;added,"""")),"""")))"),"")</f>
        <v/>
      </c>
      <c r="I89" s="132" t="str">
        <f>IFERROR(__xludf.DUMMYFUNCTION("LET(changes,FILTER('Pool Changes'!$B:$D, 'Pool Changes'!$B:$B = $D89),added,FILTER(INDEX(changes,0,3),INDEX(changes,0,2)=""add pack""),IFERROR(TRANSPOSE(ARRAYFORMULA(IF(added&lt;&gt;"""",HYPERLINK(""https://sealeddeck.tech/""&amp;added,""Link""),""""))),""""))"),"")</f>
        <v/>
      </c>
      <c r="J89" s="132"/>
      <c r="K89" s="132"/>
      <c r="L89" s="133"/>
      <c r="M89" s="135"/>
      <c r="N89" s="135"/>
      <c r="O89" s="135"/>
      <c r="P89" s="133"/>
      <c r="Q89" s="135"/>
      <c r="R89" s="135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</row>
    <row r="90">
      <c r="C90" s="129" t="str">
        <f t="array" ref="C90">INDEX('Player Database'!$D:$D,MATCH($D90,'Player Database'!$B:$B,0))</f>
        <v>#N/A</v>
      </c>
      <c r="D90" s="9" t="str">
        <f t="shared" si="1"/>
        <v> - </v>
      </c>
      <c r="E90" s="130" t="str">
        <f t="array" ref="E90">XLOOKUP($D90,'Player Database'!$B$2:$B1009,'Player Database'!$I$2:$I1009)</f>
        <v>#N/A</v>
      </c>
      <c r="F90" s="130" t="str">
        <f t="array" ref="F90">XLOOKUP($D90,'Player Database'!$B$2:$B1009,'Player Database'!$J$2:$J1009)</f>
        <v>#N/A</v>
      </c>
      <c r="G90" s="131" t="str">
        <f t="array" ref="G90">IF(H90="","",IFERROR(
  "https://sealeddeck.tech/" &amp; INDEX('Pool Changes'!F:F,
    MAX(
      ROW('Pool Changes'!A:A) *
      ('Pool Changes'!B:B=D90) *
      ('Pool Changes'!F:F&lt;&gt;"")
    )
  ),
  ""
))</f>
        <v/>
      </c>
      <c r="H90" s="131" t="str">
        <f>IFERROR(__xludf.DUMMYFUNCTION("LET(changes,FILTER('Pool Changes'!$B:$D, 'Pool Changes'!$B:$B = $D90),added,FILTER(INDEX(changes,0,3),INDEX(changes,0,2)=""starting pool""),TRANSPOSE(IFERROR(ARRAYFORMULA(IF(added&lt;&gt;"""",""https://sealeddeck.tech/""&amp;added,"""")),"""")))"),"")</f>
        <v/>
      </c>
      <c r="I90" s="132" t="str">
        <f>IFERROR(__xludf.DUMMYFUNCTION("LET(changes,FILTER('Pool Changes'!$B:$D, 'Pool Changes'!$B:$B = $D90),added,FILTER(INDEX(changes,0,3),INDEX(changes,0,2)=""add pack""),IFERROR(TRANSPOSE(ARRAYFORMULA(IF(added&lt;&gt;"""",HYPERLINK(""https://sealeddeck.tech/""&amp;added,""Link""),""""))),""""))"),"")</f>
        <v/>
      </c>
      <c r="J90" s="132"/>
      <c r="K90" s="132"/>
      <c r="L90" s="133"/>
      <c r="M90" s="135"/>
      <c r="N90" s="135"/>
      <c r="O90" s="135"/>
      <c r="P90" s="133"/>
      <c r="Q90" s="135"/>
      <c r="R90" s="135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</row>
    <row r="91">
      <c r="C91" s="129" t="str">
        <f t="array" ref="C91">INDEX('Player Database'!$D:$D,MATCH($D91,'Player Database'!$B:$B,0))</f>
        <v>#N/A</v>
      </c>
      <c r="D91" s="9" t="str">
        <f t="shared" si="1"/>
        <v> - </v>
      </c>
      <c r="E91" s="130" t="str">
        <f t="array" ref="E91">XLOOKUP($D91,'Player Database'!$B$2:$B1009,'Player Database'!$I$2:$I1009)</f>
        <v>#N/A</v>
      </c>
      <c r="F91" s="130" t="str">
        <f t="array" ref="F91">XLOOKUP($D91,'Player Database'!$B$2:$B1009,'Player Database'!$J$2:$J1009)</f>
        <v>#N/A</v>
      </c>
      <c r="G91" s="131" t="str">
        <f t="array" ref="G91">IF(H91="","",IFERROR(
  "https://sealeddeck.tech/" &amp; INDEX('Pool Changes'!F:F,
    MAX(
      ROW('Pool Changes'!A:A) *
      ('Pool Changes'!B:B=D91) *
      ('Pool Changes'!F:F&lt;&gt;"")
    )
  ),
  ""
))</f>
        <v/>
      </c>
      <c r="H91" s="131" t="str">
        <f>IFERROR(__xludf.DUMMYFUNCTION("LET(changes,FILTER('Pool Changes'!$B:$D, 'Pool Changes'!$B:$B = $D91),added,FILTER(INDEX(changes,0,3),INDEX(changes,0,2)=""starting pool""),TRANSPOSE(IFERROR(ARRAYFORMULA(IF(added&lt;&gt;"""",""https://sealeddeck.tech/""&amp;added,"""")),"""")))"),"")</f>
        <v/>
      </c>
      <c r="I91" s="132" t="str">
        <f>IFERROR(__xludf.DUMMYFUNCTION("LET(changes,FILTER('Pool Changes'!$B:$D, 'Pool Changes'!$B:$B = $D91),added,FILTER(INDEX(changes,0,3),INDEX(changes,0,2)=""add pack""),IFERROR(TRANSPOSE(ARRAYFORMULA(IF(added&lt;&gt;"""",HYPERLINK(""https://sealeddeck.tech/""&amp;added,""Link""),""""))),""""))"),"")</f>
        <v/>
      </c>
      <c r="J91" s="132"/>
      <c r="K91" s="132"/>
      <c r="L91" s="133"/>
      <c r="M91" s="135"/>
      <c r="N91" s="135"/>
      <c r="O91" s="135"/>
      <c r="P91" s="133"/>
      <c r="Q91" s="135"/>
      <c r="R91" s="135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34"/>
    </row>
    <row r="92">
      <c r="C92" s="129" t="str">
        <f t="array" ref="C92">INDEX('Player Database'!$D:$D,MATCH($D92,'Player Database'!$B:$B,0))</f>
        <v>#N/A</v>
      </c>
      <c r="D92" s="9" t="str">
        <f t="shared" si="1"/>
        <v> - </v>
      </c>
      <c r="E92" s="130" t="str">
        <f t="array" ref="E92">XLOOKUP($D92,'Player Database'!$B$2:$B1009,'Player Database'!$I$2:$I1009)</f>
        <v>#N/A</v>
      </c>
      <c r="F92" s="130" t="str">
        <f t="array" ref="F92">XLOOKUP($D92,'Player Database'!$B$2:$B1009,'Player Database'!$J$2:$J1009)</f>
        <v>#N/A</v>
      </c>
      <c r="G92" s="131" t="str">
        <f t="array" ref="G92">IF(H92="","",IFERROR(
  "https://sealeddeck.tech/" &amp; INDEX('Pool Changes'!F:F,
    MAX(
      ROW('Pool Changes'!A:A) *
      ('Pool Changes'!B:B=D92) *
      ('Pool Changes'!F:F&lt;&gt;"")
    )
  ),
  ""
))</f>
        <v/>
      </c>
      <c r="H92" s="131" t="str">
        <f>IFERROR(__xludf.DUMMYFUNCTION("LET(changes,FILTER('Pool Changes'!$B:$D, 'Pool Changes'!$B:$B = $D92),added,FILTER(INDEX(changes,0,3),INDEX(changes,0,2)=""starting pool""),TRANSPOSE(IFERROR(ARRAYFORMULA(IF(added&lt;&gt;"""",""https://sealeddeck.tech/""&amp;added,"""")),"""")))"),"")</f>
        <v/>
      </c>
      <c r="I92" s="132" t="str">
        <f>IFERROR(__xludf.DUMMYFUNCTION("LET(changes,FILTER('Pool Changes'!$B:$D, 'Pool Changes'!$B:$B = $D92),added,FILTER(INDEX(changes,0,3),INDEX(changes,0,2)=""add pack""),IFERROR(TRANSPOSE(ARRAYFORMULA(IF(added&lt;&gt;"""",HYPERLINK(""https://sealeddeck.tech/""&amp;added,""Link""),""""))),""""))"),"")</f>
        <v/>
      </c>
      <c r="J92" s="132"/>
      <c r="K92" s="132"/>
      <c r="L92" s="133"/>
      <c r="M92" s="135"/>
      <c r="N92" s="135"/>
      <c r="O92" s="135"/>
      <c r="P92" s="133"/>
      <c r="Q92" s="135"/>
      <c r="R92" s="135"/>
      <c r="S92" s="134"/>
      <c r="T92" s="134"/>
      <c r="U92" s="134"/>
      <c r="V92" s="136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</row>
    <row r="93">
      <c r="C93" s="129" t="str">
        <f t="array" ref="C93">INDEX('Player Database'!$D:$D,MATCH($D93,'Player Database'!$B:$B,0))</f>
        <v>#N/A</v>
      </c>
      <c r="D93" s="9" t="str">
        <f t="shared" si="1"/>
        <v> - </v>
      </c>
      <c r="E93" s="130" t="str">
        <f t="array" ref="E93">XLOOKUP($D93,'Player Database'!$B$2:$B1009,'Player Database'!$I$2:$I1009)</f>
        <v>#N/A</v>
      </c>
      <c r="F93" s="130" t="str">
        <f t="array" ref="F93">XLOOKUP($D93,'Player Database'!$B$2:$B1009,'Player Database'!$J$2:$J1009)</f>
        <v>#N/A</v>
      </c>
      <c r="G93" s="131" t="str">
        <f t="array" ref="G93">IF(H93="","",IFERROR(
  "https://sealeddeck.tech/" &amp; INDEX('Pool Changes'!F:F,
    MAX(
      ROW('Pool Changes'!A:A) *
      ('Pool Changes'!B:B=D93) *
      ('Pool Changes'!F:F&lt;&gt;"")
    )
  ),
  ""
))</f>
        <v/>
      </c>
      <c r="H93" s="131" t="str">
        <f>IFERROR(__xludf.DUMMYFUNCTION("LET(changes,FILTER('Pool Changes'!$B:$D, 'Pool Changes'!$B:$B = $D93),added,FILTER(INDEX(changes,0,3),INDEX(changes,0,2)=""starting pool""),TRANSPOSE(IFERROR(ARRAYFORMULA(IF(added&lt;&gt;"""",""https://sealeddeck.tech/""&amp;added,"""")),"""")))"),"")</f>
        <v/>
      </c>
      <c r="I93" s="132" t="str">
        <f>IFERROR(__xludf.DUMMYFUNCTION("LET(changes,FILTER('Pool Changes'!$B:$D, 'Pool Changes'!$B:$B = $D93),added,FILTER(INDEX(changes,0,3),INDEX(changes,0,2)=""add pack""),IFERROR(TRANSPOSE(ARRAYFORMULA(IF(added&lt;&gt;"""",HYPERLINK(""https://sealeddeck.tech/""&amp;added,""Link""),""""))),""""))"),"")</f>
        <v/>
      </c>
      <c r="J93" s="132"/>
      <c r="K93" s="132"/>
      <c r="L93" s="133"/>
      <c r="M93" s="135"/>
      <c r="N93" s="135"/>
      <c r="O93" s="135"/>
      <c r="P93" s="133"/>
      <c r="Q93" s="135"/>
      <c r="R93" s="135"/>
      <c r="S93" s="134"/>
      <c r="T93" s="134"/>
      <c r="U93" s="134"/>
      <c r="V93" s="136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</row>
    <row r="94">
      <c r="C94" s="129" t="str">
        <f t="array" ref="C94">INDEX('Player Database'!$D:$D,MATCH($D94,'Player Database'!$B:$B,0))</f>
        <v>#N/A</v>
      </c>
      <c r="D94" s="9" t="str">
        <f t="shared" si="1"/>
        <v> - </v>
      </c>
      <c r="E94" s="130" t="str">
        <f t="array" ref="E94">XLOOKUP($D94,'Player Database'!$B$2:$B1009,'Player Database'!$I$2:$I1009)</f>
        <v>#N/A</v>
      </c>
      <c r="F94" s="130" t="str">
        <f t="array" ref="F94">XLOOKUP($D94,'Player Database'!$B$2:$B1009,'Player Database'!$J$2:$J1009)</f>
        <v>#N/A</v>
      </c>
      <c r="G94" s="131" t="str">
        <f t="array" ref="G94">IF(H94="","",IFERROR(
  "https://sealeddeck.tech/" &amp; INDEX('Pool Changes'!F:F,
    MAX(
      ROW('Pool Changes'!A:A) *
      ('Pool Changes'!B:B=D94) *
      ('Pool Changes'!F:F&lt;&gt;"")
    )
  ),
  ""
))</f>
        <v/>
      </c>
      <c r="H94" s="131" t="str">
        <f>IFERROR(__xludf.DUMMYFUNCTION("LET(changes,FILTER('Pool Changes'!$B:$D, 'Pool Changes'!$B:$B = $D94),added,FILTER(INDEX(changes,0,3),INDEX(changes,0,2)=""starting pool""),TRANSPOSE(IFERROR(ARRAYFORMULA(IF(added&lt;&gt;"""",""https://sealeddeck.tech/""&amp;added,"""")),"""")))"),"")</f>
        <v/>
      </c>
      <c r="I94" s="132" t="str">
        <f>IFERROR(__xludf.DUMMYFUNCTION("LET(changes,FILTER('Pool Changes'!$B:$D, 'Pool Changes'!$B:$B = $D94),added,FILTER(INDEX(changes,0,3),INDEX(changes,0,2)=""add pack""),IFERROR(TRANSPOSE(ARRAYFORMULA(IF(added&lt;&gt;"""",HYPERLINK(""https://sealeddeck.tech/""&amp;added,""Link""),""""))),""""))"),"")</f>
        <v/>
      </c>
      <c r="J94" s="132"/>
      <c r="K94" s="132"/>
      <c r="L94" s="133"/>
      <c r="M94" s="135"/>
      <c r="N94" s="135"/>
      <c r="O94" s="135"/>
      <c r="P94" s="133"/>
      <c r="Q94" s="135"/>
      <c r="R94" s="135"/>
      <c r="S94" s="134"/>
      <c r="T94" s="134"/>
      <c r="U94" s="134"/>
      <c r="V94" s="136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</row>
    <row r="95">
      <c r="C95" s="129" t="str">
        <f t="array" ref="C95">INDEX('Player Database'!$D:$D,MATCH($D95,'Player Database'!$B:$B,0))</f>
        <v>#N/A</v>
      </c>
      <c r="D95" s="9" t="str">
        <f t="shared" si="1"/>
        <v> - </v>
      </c>
      <c r="E95" s="130" t="str">
        <f t="array" ref="E95">XLOOKUP($D95,'Player Database'!$B$2:$B1009,'Player Database'!$I$2:$I1009)</f>
        <v>#N/A</v>
      </c>
      <c r="F95" s="130" t="str">
        <f t="array" ref="F95">XLOOKUP($D95,'Player Database'!$B$2:$B1009,'Player Database'!$J$2:$J1009)</f>
        <v>#N/A</v>
      </c>
      <c r="G95" s="131" t="str">
        <f t="array" ref="G95">IF(H95="","",IFERROR(
  "https://sealeddeck.tech/" &amp; INDEX('Pool Changes'!F:F,
    MAX(
      ROW('Pool Changes'!A:A) *
      ('Pool Changes'!B:B=D95) *
      ('Pool Changes'!F:F&lt;&gt;"")
    )
  ),
  ""
))</f>
        <v/>
      </c>
      <c r="H95" s="131" t="str">
        <f>IFERROR(__xludf.DUMMYFUNCTION("LET(changes,FILTER('Pool Changes'!$B:$D, 'Pool Changes'!$B:$B = $D95),added,FILTER(INDEX(changes,0,3),INDEX(changes,0,2)=""starting pool""),TRANSPOSE(IFERROR(ARRAYFORMULA(IF(added&lt;&gt;"""",""https://sealeddeck.tech/""&amp;added,"""")),"""")))"),"")</f>
        <v/>
      </c>
      <c r="I95" s="132" t="str">
        <f>IFERROR(__xludf.DUMMYFUNCTION("LET(changes,FILTER('Pool Changes'!$B:$D, 'Pool Changes'!$B:$B = $D95),added,FILTER(INDEX(changes,0,3),INDEX(changes,0,2)=""add pack""),IFERROR(TRANSPOSE(ARRAYFORMULA(IF(added&lt;&gt;"""",HYPERLINK(""https://sealeddeck.tech/""&amp;added,""Link""),""""))),""""))"),"")</f>
        <v/>
      </c>
      <c r="J95" s="132"/>
      <c r="K95" s="132"/>
      <c r="L95" s="133"/>
      <c r="M95" s="135"/>
      <c r="N95" s="135"/>
      <c r="O95" s="135"/>
      <c r="P95" s="133"/>
      <c r="Q95" s="135"/>
      <c r="R95" s="135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</row>
    <row r="96">
      <c r="C96" s="129" t="str">
        <f t="array" ref="C96">INDEX('Player Database'!$D:$D,MATCH($D96,'Player Database'!$B:$B,0))</f>
        <v>#N/A</v>
      </c>
      <c r="D96" s="9" t="str">
        <f t="shared" si="1"/>
        <v> - </v>
      </c>
      <c r="E96" s="130" t="str">
        <f t="array" ref="E96">XLOOKUP($D96,'Player Database'!$B$2:$B1009,'Player Database'!$I$2:$I1009)</f>
        <v>#N/A</v>
      </c>
      <c r="F96" s="130" t="str">
        <f t="array" ref="F96">XLOOKUP($D96,'Player Database'!$B$2:$B1009,'Player Database'!$J$2:$J1009)</f>
        <v>#N/A</v>
      </c>
      <c r="G96" s="131" t="str">
        <f t="array" ref="G96">IF(H96="","",IFERROR(
  "https://sealeddeck.tech/" &amp; INDEX('Pool Changes'!F:F,
    MAX(
      ROW('Pool Changes'!A:A) *
      ('Pool Changes'!B:B=D96) *
      ('Pool Changes'!F:F&lt;&gt;"")
    )
  ),
  ""
))</f>
        <v/>
      </c>
      <c r="H96" s="131" t="str">
        <f>IFERROR(__xludf.DUMMYFUNCTION("LET(changes,FILTER('Pool Changes'!$B:$D, 'Pool Changes'!$B:$B = $D96),added,FILTER(INDEX(changes,0,3),INDEX(changes,0,2)=""starting pool""),TRANSPOSE(IFERROR(ARRAYFORMULA(IF(added&lt;&gt;"""",""https://sealeddeck.tech/""&amp;added,"""")),"""")))"),"")</f>
        <v/>
      </c>
      <c r="I96" s="132" t="str">
        <f>IFERROR(__xludf.DUMMYFUNCTION("LET(changes,FILTER('Pool Changes'!$B:$D, 'Pool Changes'!$B:$B = $D96),added,FILTER(INDEX(changes,0,3),INDEX(changes,0,2)=""add pack""),IFERROR(TRANSPOSE(ARRAYFORMULA(IF(added&lt;&gt;"""",HYPERLINK(""https://sealeddeck.tech/""&amp;added,""Link""),""""))),""""))"),"")</f>
        <v/>
      </c>
      <c r="J96" s="132"/>
      <c r="K96" s="132"/>
      <c r="L96" s="133"/>
      <c r="M96" s="135"/>
      <c r="N96" s="135"/>
      <c r="O96" s="135"/>
      <c r="P96" s="133"/>
      <c r="Q96" s="135"/>
      <c r="R96" s="135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</row>
    <row r="97">
      <c r="C97" s="129" t="str">
        <f t="array" ref="C97">INDEX('Player Database'!$D:$D,MATCH($D97,'Player Database'!$B:$B,0))</f>
        <v>#N/A</v>
      </c>
      <c r="D97" s="9" t="str">
        <f t="shared" si="1"/>
        <v> - </v>
      </c>
      <c r="E97" s="130" t="str">
        <f t="array" ref="E97">XLOOKUP($D97,'Player Database'!$B$2:$B1009,'Player Database'!$I$2:$I1009)</f>
        <v>#N/A</v>
      </c>
      <c r="F97" s="130" t="str">
        <f t="array" ref="F97">XLOOKUP($D97,'Player Database'!$B$2:$B1009,'Player Database'!$J$2:$J1009)</f>
        <v>#N/A</v>
      </c>
      <c r="G97" s="131" t="str">
        <f t="array" ref="G97">IF(H97="","",IFERROR(
  "https://sealeddeck.tech/" &amp; INDEX('Pool Changes'!F:F,
    MAX(
      ROW('Pool Changes'!A:A) *
      ('Pool Changes'!B:B=D97) *
      ('Pool Changes'!F:F&lt;&gt;"")
    )
  ),
  ""
))</f>
        <v/>
      </c>
      <c r="H97" s="131" t="str">
        <f>IFERROR(__xludf.DUMMYFUNCTION("LET(changes,FILTER('Pool Changes'!$B:$D, 'Pool Changes'!$B:$B = $D97),added,FILTER(INDEX(changes,0,3),INDEX(changes,0,2)=""starting pool""),TRANSPOSE(IFERROR(ARRAYFORMULA(IF(added&lt;&gt;"""",""https://sealeddeck.tech/""&amp;added,"""")),"""")))"),"")</f>
        <v/>
      </c>
      <c r="I97" s="132" t="str">
        <f>IFERROR(__xludf.DUMMYFUNCTION("LET(changes,FILTER('Pool Changes'!$B:$D, 'Pool Changes'!$B:$B = $D97),added,FILTER(INDEX(changes,0,3),INDEX(changes,0,2)=""add pack""),IFERROR(TRANSPOSE(ARRAYFORMULA(IF(added&lt;&gt;"""",HYPERLINK(""https://sealeddeck.tech/""&amp;added,""Link""),""""))),""""))"),"")</f>
        <v/>
      </c>
      <c r="J97" s="132"/>
      <c r="K97" s="132"/>
      <c r="L97" s="133"/>
      <c r="M97" s="135"/>
      <c r="N97" s="135"/>
      <c r="O97" s="135"/>
      <c r="P97" s="133"/>
      <c r="Q97" s="135"/>
      <c r="R97" s="135"/>
      <c r="S97" s="134"/>
      <c r="T97" s="134"/>
      <c r="U97" s="134"/>
      <c r="V97" s="136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</row>
    <row r="98">
      <c r="C98" s="129" t="str">
        <f t="array" ref="C98">INDEX('Player Database'!$D:$D,MATCH($D98,'Player Database'!$B:$B,0))</f>
        <v>#N/A</v>
      </c>
      <c r="D98" s="9" t="str">
        <f t="shared" si="1"/>
        <v> - </v>
      </c>
      <c r="E98" s="130" t="str">
        <f t="array" ref="E98">XLOOKUP($D98,'Player Database'!$B$2:$B1009,'Player Database'!$I$2:$I1009)</f>
        <v>#N/A</v>
      </c>
      <c r="F98" s="130" t="str">
        <f t="array" ref="F98">XLOOKUP($D98,'Player Database'!$B$2:$B1009,'Player Database'!$J$2:$J1009)</f>
        <v>#N/A</v>
      </c>
      <c r="G98" s="131" t="str">
        <f t="array" ref="G98">IF(H98="","",IFERROR(
  "https://sealeddeck.tech/" &amp; INDEX('Pool Changes'!F:F,
    MAX(
      ROW('Pool Changes'!A:A) *
      ('Pool Changes'!B:B=D98) *
      ('Pool Changes'!F:F&lt;&gt;"")
    )
  ),
  ""
))</f>
        <v/>
      </c>
      <c r="H98" s="131" t="str">
        <f>IFERROR(__xludf.DUMMYFUNCTION("LET(changes,FILTER('Pool Changes'!$B:$D, 'Pool Changes'!$B:$B = $D98),added,FILTER(INDEX(changes,0,3),INDEX(changes,0,2)=""starting pool""),TRANSPOSE(IFERROR(ARRAYFORMULA(IF(added&lt;&gt;"""",""https://sealeddeck.tech/""&amp;added,"""")),"""")))"),"")</f>
        <v/>
      </c>
      <c r="I98" s="132" t="str">
        <f>IFERROR(__xludf.DUMMYFUNCTION("LET(changes,FILTER('Pool Changes'!$B:$D, 'Pool Changes'!$B:$B = $D98),added,FILTER(INDEX(changes,0,3),INDEX(changes,0,2)=""add pack""),IFERROR(TRANSPOSE(ARRAYFORMULA(IF(added&lt;&gt;"""",HYPERLINK(""https://sealeddeck.tech/""&amp;added,""Link""),""""))),""""))"),"")</f>
        <v/>
      </c>
      <c r="J98" s="132"/>
      <c r="K98" s="132"/>
      <c r="L98" s="133"/>
      <c r="M98" s="135"/>
      <c r="N98" s="135"/>
      <c r="O98" s="135"/>
      <c r="P98" s="133"/>
      <c r="Q98" s="135"/>
      <c r="R98" s="135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</row>
    <row r="99">
      <c r="C99" s="129" t="str">
        <f t="array" ref="C99">INDEX('Player Database'!$D:$D,MATCH($D99,'Player Database'!$B:$B,0))</f>
        <v>#N/A</v>
      </c>
      <c r="D99" s="9" t="str">
        <f t="shared" si="1"/>
        <v> - </v>
      </c>
      <c r="E99" s="130" t="str">
        <f t="array" ref="E99">XLOOKUP($D99,'Player Database'!$B$2:$B1009,'Player Database'!$I$2:$I1009)</f>
        <v>#N/A</v>
      </c>
      <c r="F99" s="130" t="str">
        <f t="array" ref="F99">XLOOKUP($D99,'Player Database'!$B$2:$B1009,'Player Database'!$J$2:$J1009)</f>
        <v>#N/A</v>
      </c>
      <c r="G99" s="131" t="str">
        <f t="array" ref="G99">IF(H99="","",IFERROR(
  "https://sealeddeck.tech/" &amp; INDEX('Pool Changes'!F:F,
    MAX(
      ROW('Pool Changes'!A:A) *
      ('Pool Changes'!B:B=D99) *
      ('Pool Changes'!F:F&lt;&gt;"")
    )
  ),
  ""
))</f>
        <v/>
      </c>
      <c r="H99" s="131" t="str">
        <f>IFERROR(__xludf.DUMMYFUNCTION("LET(changes,FILTER('Pool Changes'!$B:$D, 'Pool Changes'!$B:$B = $D99),added,FILTER(INDEX(changes,0,3),INDEX(changes,0,2)=""starting pool""),TRANSPOSE(IFERROR(ARRAYFORMULA(IF(added&lt;&gt;"""",""https://sealeddeck.tech/""&amp;added,"""")),"""")))"),"")</f>
        <v/>
      </c>
      <c r="I99" s="132" t="str">
        <f>IFERROR(__xludf.DUMMYFUNCTION("LET(changes,FILTER('Pool Changes'!$B:$D, 'Pool Changes'!$B:$B = $D99),added,FILTER(INDEX(changes,0,3),INDEX(changes,0,2)=""add pack""),IFERROR(TRANSPOSE(ARRAYFORMULA(IF(added&lt;&gt;"""",HYPERLINK(""https://sealeddeck.tech/""&amp;added,""Link""),""""))),""""))"),"")</f>
        <v/>
      </c>
      <c r="J99" s="132"/>
      <c r="K99" s="132"/>
      <c r="L99" s="133"/>
      <c r="M99" s="135"/>
      <c r="N99" s="135"/>
      <c r="O99" s="135"/>
      <c r="P99" s="133"/>
      <c r="Q99" s="135"/>
      <c r="R99" s="135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</row>
    <row r="100">
      <c r="C100" s="129" t="str">
        <f t="array" ref="C100">INDEX('Player Database'!$D:$D,MATCH($D100,'Player Database'!$B:$B,0))</f>
        <v>#N/A</v>
      </c>
      <c r="D100" s="9" t="str">
        <f t="shared" si="1"/>
        <v> - </v>
      </c>
      <c r="E100" s="130" t="str">
        <f t="array" ref="E100">XLOOKUP($D100,'Player Database'!$B$2:$B1009,'Player Database'!$I$2:$I1009)</f>
        <v>#N/A</v>
      </c>
      <c r="F100" s="130" t="str">
        <f t="array" ref="F100">XLOOKUP($D100,'Player Database'!$B$2:$B1009,'Player Database'!$J$2:$J1009)</f>
        <v>#N/A</v>
      </c>
      <c r="G100" s="131" t="str">
        <f t="array" ref="G100">IF(H100="","",IFERROR(
  "https://sealeddeck.tech/" &amp; INDEX('Pool Changes'!F:F,
    MAX(
      ROW('Pool Changes'!A:A) *
      ('Pool Changes'!B:B=D100) *
      ('Pool Changes'!F:F&lt;&gt;"")
    )
  ),
  ""
))</f>
        <v/>
      </c>
      <c r="H100" s="131" t="str">
        <f>IFERROR(__xludf.DUMMYFUNCTION("LET(changes,FILTER('Pool Changes'!$B:$D, 'Pool Changes'!$B:$B = $D100),added,FILTER(INDEX(changes,0,3),INDEX(changes,0,2)=""starting pool""),TRANSPOSE(IFERROR(ARRAYFORMULA(IF(added&lt;&gt;"""",""https://sealeddeck.tech/""&amp;added,"""")),"""")))"),"")</f>
        <v/>
      </c>
      <c r="I100" s="132" t="str">
        <f>IFERROR(__xludf.DUMMYFUNCTION("LET(changes,FILTER('Pool Changes'!$B:$D, 'Pool Changes'!$B:$B = $D100),added,FILTER(INDEX(changes,0,3),INDEX(changes,0,2)=""add pack""),IFERROR(TRANSPOSE(ARRAYFORMULA(IF(added&lt;&gt;"""",HYPERLINK(""https://sealeddeck.tech/""&amp;added,""Link""),""""))),""""))"),"")</f>
        <v/>
      </c>
      <c r="J100" s="132"/>
      <c r="K100" s="132"/>
      <c r="L100" s="133"/>
      <c r="M100" s="135"/>
      <c r="N100" s="135"/>
      <c r="O100" s="135"/>
      <c r="P100" s="133"/>
      <c r="Q100" s="135"/>
      <c r="R100" s="135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</row>
    <row r="101">
      <c r="C101" s="129" t="str">
        <f t="array" ref="C101">INDEX('Player Database'!$D:$D,MATCH($D101,'Player Database'!$B:$B,0))</f>
        <v>#N/A</v>
      </c>
      <c r="D101" s="9" t="str">
        <f t="shared" si="1"/>
        <v> - </v>
      </c>
      <c r="E101" s="130" t="str">
        <f t="array" ref="E101">XLOOKUP($D101,'Player Database'!$B$2:$B1009,'Player Database'!$I$2:$I1009)</f>
        <v>#N/A</v>
      </c>
      <c r="F101" s="130" t="str">
        <f t="array" ref="F101">XLOOKUP($D101,'Player Database'!$B$2:$B1009,'Player Database'!$J$2:$J1009)</f>
        <v>#N/A</v>
      </c>
      <c r="G101" s="131" t="str">
        <f t="array" ref="G101">IF(H101="","",IFERROR(
  "https://sealeddeck.tech/" &amp; INDEX('Pool Changes'!F:F,
    MAX(
      ROW('Pool Changes'!A:A) *
      ('Pool Changes'!B:B=D101) *
      ('Pool Changes'!F:F&lt;&gt;"")
    )
  ),
  ""
))</f>
        <v/>
      </c>
      <c r="H101" s="131" t="str">
        <f>IFERROR(__xludf.DUMMYFUNCTION("LET(changes,FILTER('Pool Changes'!$B:$D, 'Pool Changes'!$B:$B = $D101),added,FILTER(INDEX(changes,0,3),INDEX(changes,0,2)=""starting pool""),TRANSPOSE(IFERROR(ARRAYFORMULA(IF(added&lt;&gt;"""",""https://sealeddeck.tech/""&amp;added,"""")),"""")))"),"")</f>
        <v/>
      </c>
      <c r="I101" s="132" t="str">
        <f>IFERROR(__xludf.DUMMYFUNCTION("LET(changes,FILTER('Pool Changes'!$B:$D, 'Pool Changes'!$B:$B = $D101),added,FILTER(INDEX(changes,0,3),INDEX(changes,0,2)=""add pack""),IFERROR(TRANSPOSE(ARRAYFORMULA(IF(added&lt;&gt;"""",HYPERLINK(""https://sealeddeck.tech/""&amp;added,""Link""),""""))),""""))"),"")</f>
        <v/>
      </c>
      <c r="J101" s="132"/>
      <c r="K101" s="132"/>
      <c r="L101" s="133"/>
      <c r="M101" s="135"/>
      <c r="N101" s="135"/>
      <c r="O101" s="135"/>
      <c r="P101" s="133"/>
      <c r="Q101" s="135"/>
      <c r="R101" s="135"/>
      <c r="S101" s="134"/>
      <c r="T101" s="134"/>
      <c r="U101" s="134"/>
      <c r="V101" s="136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</row>
    <row r="102">
      <c r="C102" s="129" t="str">
        <f t="array" ref="C102">INDEX('Player Database'!$D:$D,MATCH($D102,'Player Database'!$B:$B,0))</f>
        <v>#N/A</v>
      </c>
      <c r="D102" s="9" t="str">
        <f t="shared" si="1"/>
        <v> - </v>
      </c>
      <c r="E102" s="130" t="str">
        <f t="array" ref="E102">XLOOKUP($D102,'Player Database'!$B$2:$B1009,'Player Database'!$I$2:$I1009)</f>
        <v>#N/A</v>
      </c>
      <c r="F102" s="130" t="str">
        <f t="array" ref="F102">XLOOKUP($D102,'Player Database'!$B$2:$B1009,'Player Database'!$J$2:$J1009)</f>
        <v>#N/A</v>
      </c>
      <c r="G102" s="131" t="str">
        <f t="array" ref="G102">IF(H102="","",IFERROR(
  "https://sealeddeck.tech/" &amp; INDEX('Pool Changes'!F:F,
    MAX(
      ROW('Pool Changes'!A:A) *
      ('Pool Changes'!B:B=D102) *
      ('Pool Changes'!F:F&lt;&gt;"")
    )
  ),
  ""
))</f>
        <v/>
      </c>
      <c r="H102" s="131" t="str">
        <f>IFERROR(__xludf.DUMMYFUNCTION("LET(changes,FILTER('Pool Changes'!$B:$D, 'Pool Changes'!$B:$B = $D102),added,FILTER(INDEX(changes,0,3),INDEX(changes,0,2)=""starting pool""),TRANSPOSE(IFERROR(ARRAYFORMULA(IF(added&lt;&gt;"""",""https://sealeddeck.tech/""&amp;added,"""")),"""")))"),"")</f>
        <v/>
      </c>
      <c r="I102" s="132" t="str">
        <f>IFERROR(__xludf.DUMMYFUNCTION("LET(changes,FILTER('Pool Changes'!$B:$D, 'Pool Changes'!$B:$B = $D102),added,FILTER(INDEX(changes,0,3),INDEX(changes,0,2)=""add pack""),IFERROR(TRANSPOSE(ARRAYFORMULA(IF(added&lt;&gt;"""",HYPERLINK(""https://sealeddeck.tech/""&amp;added,""Link""),""""))),""""))"),"")</f>
        <v/>
      </c>
      <c r="J102" s="132"/>
      <c r="K102" s="132"/>
      <c r="L102" s="133"/>
      <c r="M102" s="135"/>
      <c r="N102" s="135"/>
      <c r="O102" s="135"/>
      <c r="P102" s="133"/>
      <c r="Q102" s="135"/>
      <c r="R102" s="135"/>
      <c r="S102" s="134"/>
      <c r="T102" s="134"/>
      <c r="U102" s="134"/>
      <c r="V102" s="136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</row>
    <row r="103">
      <c r="C103" s="129" t="str">
        <f t="array" ref="C103">INDEX('Player Database'!$D:$D,MATCH($D103,'Player Database'!$B:$B,0))</f>
        <v>#N/A</v>
      </c>
      <c r="D103" s="9" t="str">
        <f t="shared" si="1"/>
        <v> - </v>
      </c>
      <c r="E103" s="130" t="str">
        <f t="array" ref="E103">XLOOKUP($D103,'Player Database'!$B$2:$B1009,'Player Database'!$I$2:$I1009)</f>
        <v>#N/A</v>
      </c>
      <c r="F103" s="130" t="str">
        <f t="array" ref="F103">XLOOKUP($D103,'Player Database'!$B$2:$B1009,'Player Database'!$J$2:$J1009)</f>
        <v>#N/A</v>
      </c>
      <c r="G103" s="131" t="str">
        <f t="array" ref="G103">IF(H103="","",IFERROR(
  "https://sealeddeck.tech/" &amp; INDEX('Pool Changes'!F:F,
    MAX(
      ROW('Pool Changes'!A:A) *
      ('Pool Changes'!B:B=D103) *
      ('Pool Changes'!F:F&lt;&gt;"")
    )
  ),
  ""
))</f>
        <v/>
      </c>
      <c r="H103" s="131" t="str">
        <f>IFERROR(__xludf.DUMMYFUNCTION("LET(changes,FILTER('Pool Changes'!$B:$D, 'Pool Changes'!$B:$B = $D103),added,FILTER(INDEX(changes,0,3),INDEX(changes,0,2)=""starting pool""),TRANSPOSE(IFERROR(ARRAYFORMULA(IF(added&lt;&gt;"""",""https://sealeddeck.tech/""&amp;added,"""")),"""")))"),"")</f>
        <v/>
      </c>
      <c r="I103" s="132" t="str">
        <f>IFERROR(__xludf.DUMMYFUNCTION("LET(changes,FILTER('Pool Changes'!$B:$D, 'Pool Changes'!$B:$B = $D103),added,FILTER(INDEX(changes,0,3),INDEX(changes,0,2)=""add pack""),IFERROR(TRANSPOSE(ARRAYFORMULA(IF(added&lt;&gt;"""",HYPERLINK(""https://sealeddeck.tech/""&amp;added,""Link""),""""))),""""))"),"")</f>
        <v/>
      </c>
      <c r="J103" s="132"/>
      <c r="K103" s="132"/>
      <c r="L103" s="133"/>
      <c r="M103" s="135"/>
      <c r="N103" s="135"/>
      <c r="O103" s="135"/>
      <c r="P103" s="133"/>
      <c r="Q103" s="135"/>
      <c r="R103" s="135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</row>
    <row r="104">
      <c r="C104" s="129" t="str">
        <f t="array" ref="C104">INDEX('Player Database'!$D:$D,MATCH($D104,'Player Database'!$B:$B,0))</f>
        <v>#N/A</v>
      </c>
      <c r="D104" s="9" t="str">
        <f t="shared" si="1"/>
        <v> - </v>
      </c>
      <c r="E104" s="130" t="str">
        <f t="array" ref="E104">XLOOKUP($D104,'Player Database'!$B$2:$B1009,'Player Database'!$I$2:$I1009)</f>
        <v>#N/A</v>
      </c>
      <c r="F104" s="130" t="str">
        <f t="array" ref="F104">XLOOKUP($D104,'Player Database'!$B$2:$B1009,'Player Database'!$J$2:$J1009)</f>
        <v>#N/A</v>
      </c>
      <c r="G104" s="131" t="str">
        <f t="array" ref="G104">IF(H104="","",IFERROR(
  "https://sealeddeck.tech/" &amp; INDEX('Pool Changes'!F:F,
    MAX(
      ROW('Pool Changes'!A:A) *
      ('Pool Changes'!B:B=D104) *
      ('Pool Changes'!F:F&lt;&gt;"")
    )
  ),
  ""
))</f>
        <v/>
      </c>
      <c r="H104" s="131" t="str">
        <f>IFERROR(__xludf.DUMMYFUNCTION("LET(changes,FILTER('Pool Changes'!$B:$D, 'Pool Changes'!$B:$B = $D104),added,FILTER(INDEX(changes,0,3),INDEX(changes,0,2)=""starting pool""),TRANSPOSE(IFERROR(ARRAYFORMULA(IF(added&lt;&gt;"""",""https://sealeddeck.tech/""&amp;added,"""")),"""")))"),"")</f>
        <v/>
      </c>
      <c r="I104" s="132" t="str">
        <f>IFERROR(__xludf.DUMMYFUNCTION("LET(changes,FILTER('Pool Changes'!$B:$D, 'Pool Changes'!$B:$B = $D104),added,FILTER(INDEX(changes,0,3),INDEX(changes,0,2)=""add pack""),IFERROR(TRANSPOSE(ARRAYFORMULA(IF(added&lt;&gt;"""",HYPERLINK(""https://sealeddeck.tech/""&amp;added,""Link""),""""))),""""))"),"")</f>
        <v/>
      </c>
      <c r="J104" s="132"/>
      <c r="K104" s="132"/>
      <c r="L104" s="133"/>
      <c r="M104" s="135"/>
      <c r="N104" s="135"/>
      <c r="O104" s="135"/>
      <c r="P104" s="133"/>
      <c r="Q104" s="135"/>
      <c r="R104" s="135"/>
      <c r="S104" s="134"/>
      <c r="T104" s="134"/>
      <c r="U104" s="134"/>
      <c r="V104" s="136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</row>
    <row r="105">
      <c r="C105" s="129" t="str">
        <f t="array" ref="C105">INDEX('Player Database'!$D:$D,MATCH($D105,'Player Database'!$B:$B,0))</f>
        <v>#N/A</v>
      </c>
      <c r="D105" s="9" t="str">
        <f t="shared" si="1"/>
        <v> - </v>
      </c>
      <c r="E105" s="130" t="str">
        <f t="array" ref="E105">XLOOKUP($D105,'Player Database'!$B$2:$B1009,'Player Database'!$I$2:$I1009)</f>
        <v>#N/A</v>
      </c>
      <c r="F105" s="130" t="str">
        <f t="array" ref="F105">XLOOKUP($D105,'Player Database'!$B$2:$B1009,'Player Database'!$J$2:$J1009)</f>
        <v>#N/A</v>
      </c>
      <c r="G105" s="131" t="str">
        <f t="array" ref="G105">IF(H105="","",IFERROR(
  "https://sealeddeck.tech/" &amp; INDEX('Pool Changes'!F:F,
    MAX(
      ROW('Pool Changes'!A:A) *
      ('Pool Changes'!B:B=D105) *
      ('Pool Changes'!F:F&lt;&gt;"")
    )
  ),
  ""
))</f>
        <v/>
      </c>
      <c r="H105" s="131" t="str">
        <f>IFERROR(__xludf.DUMMYFUNCTION("LET(changes,FILTER('Pool Changes'!$B:$D, 'Pool Changes'!$B:$B = $D105),added,FILTER(INDEX(changes,0,3),INDEX(changes,0,2)=""starting pool""),TRANSPOSE(IFERROR(ARRAYFORMULA(IF(added&lt;&gt;"""",""https://sealeddeck.tech/""&amp;added,"""")),"""")))"),"")</f>
        <v/>
      </c>
      <c r="I105" s="132" t="str">
        <f>IFERROR(__xludf.DUMMYFUNCTION("LET(changes,FILTER('Pool Changes'!$B:$D, 'Pool Changes'!$B:$B = $D105),added,FILTER(INDEX(changes,0,3),INDEX(changes,0,2)=""add pack""),IFERROR(TRANSPOSE(ARRAYFORMULA(IF(added&lt;&gt;"""",HYPERLINK(""https://sealeddeck.tech/""&amp;added,""Link""),""""))),""""))"),"")</f>
        <v/>
      </c>
      <c r="J105" s="132"/>
      <c r="K105" s="132"/>
      <c r="L105" s="133"/>
      <c r="M105" s="135"/>
      <c r="N105" s="135"/>
      <c r="O105" s="135"/>
      <c r="P105" s="133"/>
      <c r="Q105" s="135"/>
      <c r="R105" s="135"/>
      <c r="S105" s="134"/>
      <c r="T105" s="134"/>
      <c r="U105" s="134"/>
      <c r="V105" s="136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</row>
    <row r="106">
      <c r="C106" s="129" t="str">
        <f t="array" ref="C106">INDEX('Player Database'!$D:$D,MATCH($D106,'Player Database'!$B:$B,0))</f>
        <v>#N/A</v>
      </c>
      <c r="D106" s="9" t="str">
        <f t="shared" si="1"/>
        <v> - </v>
      </c>
      <c r="E106" s="130" t="str">
        <f t="array" ref="E106">XLOOKUP($D106,'Player Database'!$B$2:$B1009,'Player Database'!$I$2:$I1009)</f>
        <v>#N/A</v>
      </c>
      <c r="F106" s="130" t="str">
        <f t="array" ref="F106">XLOOKUP($D106,'Player Database'!$B$2:$B1009,'Player Database'!$J$2:$J1009)</f>
        <v>#N/A</v>
      </c>
      <c r="G106" s="131" t="str">
        <f t="array" ref="G106">IF(H106="","",IFERROR(
  "https://sealeddeck.tech/" &amp; INDEX('Pool Changes'!F:F,
    MAX(
      ROW('Pool Changes'!A:A) *
      ('Pool Changes'!B:B=D106) *
      ('Pool Changes'!F:F&lt;&gt;"")
    )
  ),
  ""
))</f>
        <v/>
      </c>
      <c r="H106" s="131" t="str">
        <f>IFERROR(__xludf.DUMMYFUNCTION("LET(changes,FILTER('Pool Changes'!$B:$D, 'Pool Changes'!$B:$B = $D106),added,FILTER(INDEX(changes,0,3),INDEX(changes,0,2)=""starting pool""),TRANSPOSE(IFERROR(ARRAYFORMULA(IF(added&lt;&gt;"""",""https://sealeddeck.tech/""&amp;added,"""")),"""")))"),"")</f>
        <v/>
      </c>
      <c r="I106" s="132" t="str">
        <f>IFERROR(__xludf.DUMMYFUNCTION("LET(changes,FILTER('Pool Changes'!$B:$D, 'Pool Changes'!$B:$B = $D106),added,FILTER(INDEX(changes,0,3),INDEX(changes,0,2)=""add pack""),IFERROR(TRANSPOSE(ARRAYFORMULA(IF(added&lt;&gt;"""",HYPERLINK(""https://sealeddeck.tech/""&amp;added,""Link""),""""))),""""))"),"")</f>
        <v/>
      </c>
      <c r="J106" s="132"/>
      <c r="K106" s="132"/>
      <c r="L106" s="133"/>
      <c r="M106" s="135"/>
      <c r="N106" s="135"/>
      <c r="O106" s="135"/>
      <c r="P106" s="133"/>
      <c r="Q106" s="135"/>
      <c r="R106" s="135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</row>
    <row r="107">
      <c r="C107" s="129" t="str">
        <f t="array" ref="C107">INDEX('Player Database'!$D:$D,MATCH($D107,'Player Database'!$B:$B,0))</f>
        <v>#N/A</v>
      </c>
      <c r="D107" s="9" t="str">
        <f t="shared" si="1"/>
        <v> - </v>
      </c>
      <c r="E107" s="130" t="str">
        <f t="array" ref="E107">XLOOKUP($D107,'Player Database'!$B$2:$B1009,'Player Database'!$I$2:$I1009)</f>
        <v>#N/A</v>
      </c>
      <c r="F107" s="130" t="str">
        <f t="array" ref="F107">XLOOKUP($D107,'Player Database'!$B$2:$B1009,'Player Database'!$J$2:$J1009)</f>
        <v>#N/A</v>
      </c>
      <c r="G107" s="131" t="str">
        <f t="array" ref="G107">IF(H107="","",IFERROR(
  "https://sealeddeck.tech/" &amp; INDEX('Pool Changes'!F:F,
    MAX(
      ROW('Pool Changes'!A:A) *
      ('Pool Changes'!B:B=D107) *
      ('Pool Changes'!F:F&lt;&gt;"")
    )
  ),
  ""
))</f>
        <v/>
      </c>
      <c r="H107" s="131" t="str">
        <f>IFERROR(__xludf.DUMMYFUNCTION("LET(changes,FILTER('Pool Changes'!$B:$D, 'Pool Changes'!$B:$B = $D107),added,FILTER(INDEX(changes,0,3),INDEX(changes,0,2)=""starting pool""),TRANSPOSE(IFERROR(ARRAYFORMULA(IF(added&lt;&gt;"""",""https://sealeddeck.tech/""&amp;added,"""")),"""")))"),"")</f>
        <v/>
      </c>
      <c r="I107" s="132" t="str">
        <f>IFERROR(__xludf.DUMMYFUNCTION("LET(changes,FILTER('Pool Changes'!$B:$D, 'Pool Changes'!$B:$B = $D107),added,FILTER(INDEX(changes,0,3),INDEX(changes,0,2)=""add pack""),IFERROR(TRANSPOSE(ARRAYFORMULA(IF(added&lt;&gt;"""",HYPERLINK(""https://sealeddeck.tech/""&amp;added,""Link""),""""))),""""))"),"")</f>
        <v/>
      </c>
      <c r="J107" s="132"/>
      <c r="K107" s="132"/>
      <c r="L107" s="133"/>
      <c r="M107" s="135"/>
      <c r="N107" s="135"/>
      <c r="O107" s="135"/>
      <c r="P107" s="133"/>
      <c r="Q107" s="135"/>
      <c r="R107" s="135"/>
      <c r="S107" s="134"/>
      <c r="T107" s="134"/>
      <c r="U107" s="134"/>
      <c r="V107" s="136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</row>
    <row r="108">
      <c r="C108" s="129" t="str">
        <f t="array" ref="C108">INDEX('Player Database'!$D:$D,MATCH($D108,'Player Database'!$B:$B,0))</f>
        <v>#N/A</v>
      </c>
      <c r="D108" s="9" t="str">
        <f t="shared" si="1"/>
        <v> - </v>
      </c>
      <c r="E108" s="130" t="str">
        <f t="array" ref="E108">XLOOKUP($D108,'Player Database'!$B$2:$B1009,'Player Database'!$I$2:$I1009)</f>
        <v>#N/A</v>
      </c>
      <c r="F108" s="130" t="str">
        <f t="array" ref="F108">XLOOKUP($D108,'Player Database'!$B$2:$B1009,'Player Database'!$J$2:$J1009)</f>
        <v>#N/A</v>
      </c>
      <c r="G108" s="131" t="str">
        <f t="array" ref="G108">IF(H108="","",IFERROR(
  "https://sealeddeck.tech/" &amp; INDEX('Pool Changes'!F:F,
    MAX(
      ROW('Pool Changes'!A:A) *
      ('Pool Changes'!B:B=D108) *
      ('Pool Changes'!F:F&lt;&gt;"")
    )
  ),
  ""
))</f>
        <v/>
      </c>
      <c r="H108" s="131" t="str">
        <f>IFERROR(__xludf.DUMMYFUNCTION("LET(changes,FILTER('Pool Changes'!$B:$D, 'Pool Changes'!$B:$B = $D108),added,FILTER(INDEX(changes,0,3),INDEX(changes,0,2)=""starting pool""),TRANSPOSE(IFERROR(ARRAYFORMULA(IF(added&lt;&gt;"""",""https://sealeddeck.tech/""&amp;added,"""")),"""")))"),"")</f>
        <v/>
      </c>
      <c r="I108" s="132" t="str">
        <f>IFERROR(__xludf.DUMMYFUNCTION("LET(changes,FILTER('Pool Changes'!$B:$D, 'Pool Changes'!$B:$B = $D108),added,FILTER(INDEX(changes,0,3),INDEX(changes,0,2)=""add pack""),IFERROR(TRANSPOSE(ARRAYFORMULA(IF(added&lt;&gt;"""",HYPERLINK(""https://sealeddeck.tech/""&amp;added,""Link""),""""))),""""))"),"")</f>
        <v/>
      </c>
      <c r="J108" s="132"/>
      <c r="K108" s="132"/>
      <c r="L108" s="133"/>
      <c r="M108" s="135"/>
      <c r="N108" s="135"/>
      <c r="O108" s="135"/>
      <c r="P108" s="133"/>
      <c r="Q108" s="135"/>
      <c r="R108" s="135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</row>
    <row r="109">
      <c r="C109" s="129" t="str">
        <f t="array" ref="C109">INDEX('Player Database'!$D:$D,MATCH($D109,'Player Database'!$B:$B,0))</f>
        <v>#N/A</v>
      </c>
      <c r="D109" s="9" t="str">
        <f t="shared" si="1"/>
        <v> - </v>
      </c>
      <c r="E109" s="130" t="str">
        <f t="array" ref="E109">XLOOKUP($D109,'Player Database'!$B$2:$B1009,'Player Database'!$I$2:$I1009)</f>
        <v>#N/A</v>
      </c>
      <c r="F109" s="130" t="str">
        <f t="array" ref="F109">XLOOKUP($D109,'Player Database'!$B$2:$B1009,'Player Database'!$J$2:$J1009)</f>
        <v>#N/A</v>
      </c>
      <c r="G109" s="131" t="str">
        <f t="array" ref="G109">IF(H109="","",IFERROR(
  "https://sealeddeck.tech/" &amp; INDEX('Pool Changes'!F:F,
    MAX(
      ROW('Pool Changes'!A:A) *
      ('Pool Changes'!B:B=D109) *
      ('Pool Changes'!F:F&lt;&gt;"")
    )
  ),
  ""
))</f>
        <v/>
      </c>
      <c r="H109" s="131" t="str">
        <f>IFERROR(__xludf.DUMMYFUNCTION("LET(changes,FILTER('Pool Changes'!$B:$D, 'Pool Changes'!$B:$B = $D109),added,FILTER(INDEX(changes,0,3),INDEX(changes,0,2)=""starting pool""),TRANSPOSE(IFERROR(ARRAYFORMULA(IF(added&lt;&gt;"""",""https://sealeddeck.tech/""&amp;added,"""")),"""")))"),"")</f>
        <v/>
      </c>
      <c r="I109" s="132" t="str">
        <f>IFERROR(__xludf.DUMMYFUNCTION("LET(changes,FILTER('Pool Changes'!$B:$D, 'Pool Changes'!$B:$B = $D109),added,FILTER(INDEX(changes,0,3),INDEX(changes,0,2)=""add pack""),IFERROR(TRANSPOSE(ARRAYFORMULA(IF(added&lt;&gt;"""",HYPERLINK(""https://sealeddeck.tech/""&amp;added,""Link""),""""))),""""))"),"")</f>
        <v/>
      </c>
      <c r="J109" s="132"/>
      <c r="K109" s="132"/>
      <c r="L109" s="133"/>
      <c r="M109" s="135"/>
      <c r="N109" s="135"/>
      <c r="O109" s="135"/>
      <c r="P109" s="133"/>
      <c r="Q109" s="135"/>
      <c r="R109" s="135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</row>
    <row r="110">
      <c r="C110" s="129" t="str">
        <f t="array" ref="C110">INDEX('Player Database'!$D:$D,MATCH($D110,'Player Database'!$B:$B,0))</f>
        <v>#N/A</v>
      </c>
      <c r="D110" s="9" t="str">
        <f t="shared" si="1"/>
        <v> - </v>
      </c>
      <c r="E110" s="130" t="str">
        <f t="array" ref="E110">XLOOKUP($D110,'Player Database'!$B$2:$B1009,'Player Database'!$I$2:$I1009)</f>
        <v>#N/A</v>
      </c>
      <c r="F110" s="130" t="str">
        <f t="array" ref="F110">XLOOKUP($D110,'Player Database'!$B$2:$B1009,'Player Database'!$J$2:$J1009)</f>
        <v>#N/A</v>
      </c>
      <c r="G110" s="131" t="str">
        <f t="array" ref="G110">IF(H110="","",IFERROR(
  "https://sealeddeck.tech/" &amp; INDEX('Pool Changes'!F:F,
    MAX(
      ROW('Pool Changes'!A:A) *
      ('Pool Changes'!B:B=D110) *
      ('Pool Changes'!F:F&lt;&gt;"")
    )
  ),
  ""
))</f>
        <v/>
      </c>
      <c r="H110" s="131" t="str">
        <f>IFERROR(__xludf.DUMMYFUNCTION("LET(changes,FILTER('Pool Changes'!$B:$D, 'Pool Changes'!$B:$B = $D110),added,FILTER(INDEX(changes,0,3),INDEX(changes,0,2)=""starting pool""),TRANSPOSE(IFERROR(ARRAYFORMULA(IF(added&lt;&gt;"""",""https://sealeddeck.tech/""&amp;added,"""")),"""")))"),"")</f>
        <v/>
      </c>
      <c r="I110" s="132" t="str">
        <f>IFERROR(__xludf.DUMMYFUNCTION("LET(changes,FILTER('Pool Changes'!$B:$D, 'Pool Changes'!$B:$B = $D110),added,FILTER(INDEX(changes,0,3),INDEX(changes,0,2)=""add pack""),IFERROR(TRANSPOSE(ARRAYFORMULA(IF(added&lt;&gt;"""",HYPERLINK(""https://sealeddeck.tech/""&amp;added,""Link""),""""))),""""))"),"")</f>
        <v/>
      </c>
      <c r="J110" s="132"/>
      <c r="K110" s="132"/>
      <c r="L110" s="133"/>
      <c r="M110" s="135"/>
      <c r="N110" s="135"/>
      <c r="O110" s="135"/>
      <c r="P110" s="133"/>
      <c r="Q110" s="135"/>
      <c r="R110" s="135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</row>
    <row r="111">
      <c r="C111" s="129" t="str">
        <f t="array" ref="C111">INDEX('Player Database'!$D:$D,MATCH($D111,'Player Database'!$B:$B,0))</f>
        <v>#N/A</v>
      </c>
      <c r="D111" s="9" t="str">
        <f t="shared" si="1"/>
        <v> - </v>
      </c>
      <c r="E111" s="130" t="str">
        <f t="array" ref="E111">XLOOKUP($D111,'Player Database'!$B$2:$B1009,'Player Database'!$I$2:$I1009)</f>
        <v>#N/A</v>
      </c>
      <c r="F111" s="130" t="str">
        <f t="array" ref="F111">XLOOKUP($D111,'Player Database'!$B$2:$B1009,'Player Database'!$J$2:$J1009)</f>
        <v>#N/A</v>
      </c>
      <c r="G111" s="131" t="str">
        <f t="array" ref="G111">IF(H111="","",IFERROR(
  "https://sealeddeck.tech/" &amp; INDEX('Pool Changes'!F:F,
    MAX(
      ROW('Pool Changes'!A:A) *
      ('Pool Changes'!B:B=D111) *
      ('Pool Changes'!F:F&lt;&gt;"")
    )
  ),
  ""
))</f>
        <v/>
      </c>
      <c r="H111" s="131" t="str">
        <f>IFERROR(__xludf.DUMMYFUNCTION("LET(changes,FILTER('Pool Changes'!$B:$D, 'Pool Changes'!$B:$B = $D111),added,FILTER(INDEX(changes,0,3),INDEX(changes,0,2)=""starting pool""),TRANSPOSE(IFERROR(ARRAYFORMULA(IF(added&lt;&gt;"""",""https://sealeddeck.tech/""&amp;added,"""")),"""")))"),"")</f>
        <v/>
      </c>
      <c r="I111" s="132" t="str">
        <f>IFERROR(__xludf.DUMMYFUNCTION("LET(changes,FILTER('Pool Changes'!$B:$D, 'Pool Changes'!$B:$B = $D111),added,FILTER(INDEX(changes,0,3),INDEX(changes,0,2)=""add pack""),IFERROR(TRANSPOSE(ARRAYFORMULA(IF(added&lt;&gt;"""",HYPERLINK(""https://sealeddeck.tech/""&amp;added,""Link""),""""))),""""))"),"")</f>
        <v/>
      </c>
      <c r="J111" s="132"/>
      <c r="K111" s="132"/>
      <c r="L111" s="133"/>
      <c r="M111" s="135"/>
      <c r="N111" s="135"/>
      <c r="O111" s="135"/>
      <c r="P111" s="133"/>
      <c r="Q111" s="135"/>
      <c r="R111" s="135"/>
      <c r="S111" s="134"/>
      <c r="T111" s="134"/>
      <c r="U111" s="134"/>
      <c r="V111" s="136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</row>
    <row r="112">
      <c r="C112" s="129" t="str">
        <f t="array" ref="C112">INDEX('Player Database'!$D:$D,MATCH($D112,'Player Database'!$B:$B,0))</f>
        <v>#N/A</v>
      </c>
      <c r="D112" s="9" t="str">
        <f t="shared" si="1"/>
        <v> - </v>
      </c>
      <c r="E112" s="130" t="str">
        <f t="array" ref="E112">XLOOKUP($D112,'Player Database'!$B$2:$B1009,'Player Database'!$I$2:$I1009)</f>
        <v>#N/A</v>
      </c>
      <c r="F112" s="130" t="str">
        <f t="array" ref="F112">XLOOKUP($D112,'Player Database'!$B$2:$B1009,'Player Database'!$J$2:$J1009)</f>
        <v>#N/A</v>
      </c>
      <c r="G112" s="131" t="str">
        <f t="array" ref="G112">IF(H112="","",IFERROR(
  "https://sealeddeck.tech/" &amp; INDEX('Pool Changes'!F:F,
    MAX(
      ROW('Pool Changes'!A:A) *
      ('Pool Changes'!B:B=D112) *
      ('Pool Changes'!F:F&lt;&gt;"")
    )
  ),
  ""
))</f>
        <v/>
      </c>
      <c r="H112" s="131" t="str">
        <f>IFERROR(__xludf.DUMMYFUNCTION("LET(changes,FILTER('Pool Changes'!$B:$D, 'Pool Changes'!$B:$B = $D112),added,FILTER(INDEX(changes,0,3),INDEX(changes,0,2)=""starting pool""),TRANSPOSE(IFERROR(ARRAYFORMULA(IF(added&lt;&gt;"""",""https://sealeddeck.tech/""&amp;added,"""")),"""")))"),"")</f>
        <v/>
      </c>
      <c r="I112" s="132" t="str">
        <f>IFERROR(__xludf.DUMMYFUNCTION("LET(changes,FILTER('Pool Changes'!$B:$D, 'Pool Changes'!$B:$B = $D112),added,FILTER(INDEX(changes,0,3),INDEX(changes,0,2)=""add pack""),IFERROR(TRANSPOSE(ARRAYFORMULA(IF(added&lt;&gt;"""",HYPERLINK(""https://sealeddeck.tech/""&amp;added,""Link""),""""))),""""))"),"")</f>
        <v/>
      </c>
      <c r="J112" s="132"/>
      <c r="K112" s="132"/>
      <c r="L112" s="133"/>
      <c r="M112" s="135"/>
      <c r="N112" s="135"/>
      <c r="O112" s="135"/>
      <c r="P112" s="133"/>
      <c r="Q112" s="135"/>
      <c r="R112" s="135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</row>
    <row r="113">
      <c r="C113" s="129" t="str">
        <f t="array" ref="C113">INDEX('Player Database'!$D:$D,MATCH($D113,'Player Database'!$B:$B,0))</f>
        <v>#N/A</v>
      </c>
      <c r="D113" s="9" t="str">
        <f t="shared" si="1"/>
        <v> - </v>
      </c>
      <c r="E113" s="130" t="str">
        <f t="array" ref="E113">XLOOKUP($D113,'Player Database'!$B$2:$B1009,'Player Database'!$I$2:$I1009)</f>
        <v>#N/A</v>
      </c>
      <c r="F113" s="130" t="str">
        <f t="array" ref="F113">XLOOKUP($D113,'Player Database'!$B$2:$B1009,'Player Database'!$J$2:$J1009)</f>
        <v>#N/A</v>
      </c>
      <c r="G113" s="131" t="str">
        <f t="array" ref="G113">IF(H113="","",IFERROR(
  "https://sealeddeck.tech/" &amp; INDEX('Pool Changes'!F:F,
    MAX(
      ROW('Pool Changes'!A:A) *
      ('Pool Changes'!B:B=D113) *
      ('Pool Changes'!F:F&lt;&gt;"")
    )
  ),
  ""
))</f>
        <v/>
      </c>
      <c r="H113" s="131" t="str">
        <f>IFERROR(__xludf.DUMMYFUNCTION("LET(changes,FILTER('Pool Changes'!$B:$D, 'Pool Changes'!$B:$B = $D113),added,FILTER(INDEX(changes,0,3),INDEX(changes,0,2)=""starting pool""),TRANSPOSE(IFERROR(ARRAYFORMULA(IF(added&lt;&gt;"""",""https://sealeddeck.tech/""&amp;added,"""")),"""")))"),"")</f>
        <v/>
      </c>
      <c r="I113" s="132" t="str">
        <f>IFERROR(__xludf.DUMMYFUNCTION("LET(changes,FILTER('Pool Changes'!$B:$D, 'Pool Changes'!$B:$B = $D113),added,FILTER(INDEX(changes,0,3),INDEX(changes,0,2)=""add pack""),IFERROR(TRANSPOSE(ARRAYFORMULA(IF(added&lt;&gt;"""",HYPERLINK(""https://sealeddeck.tech/""&amp;added,""Link""),""""))),""""))"),"")</f>
        <v/>
      </c>
      <c r="J113" s="132"/>
      <c r="K113" s="132"/>
      <c r="L113" s="133"/>
      <c r="M113" s="135"/>
      <c r="N113" s="135"/>
      <c r="O113" s="135"/>
      <c r="P113" s="133"/>
      <c r="Q113" s="135"/>
      <c r="R113" s="135"/>
      <c r="S113" s="134"/>
      <c r="T113" s="134"/>
      <c r="U113" s="134"/>
      <c r="V113" s="136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</row>
    <row r="114">
      <c r="C114" s="129" t="str">
        <f t="array" ref="C114">INDEX('Player Database'!$D:$D,MATCH($D114,'Player Database'!$B:$B,0))</f>
        <v>#N/A</v>
      </c>
      <c r="D114" s="9" t="str">
        <f t="shared" si="1"/>
        <v> - </v>
      </c>
      <c r="E114" s="130" t="str">
        <f t="array" ref="E114">XLOOKUP($D114,'Player Database'!$B$2:$B1009,'Player Database'!$I$2:$I1009)</f>
        <v>#N/A</v>
      </c>
      <c r="F114" s="130" t="str">
        <f t="array" ref="F114">XLOOKUP($D114,'Player Database'!$B$2:$B1009,'Player Database'!$J$2:$J1009)</f>
        <v>#N/A</v>
      </c>
      <c r="G114" s="131" t="str">
        <f t="array" ref="G114">IF(H114="","",IFERROR(
  "https://sealeddeck.tech/" &amp; INDEX('Pool Changes'!F:F,
    MAX(
      ROW('Pool Changes'!A:A) *
      ('Pool Changes'!B:B=D114) *
      ('Pool Changes'!F:F&lt;&gt;"")
    )
  ),
  ""
))</f>
        <v/>
      </c>
      <c r="H114" s="131" t="str">
        <f>IFERROR(__xludf.DUMMYFUNCTION("LET(changes,FILTER('Pool Changes'!$B:$D, 'Pool Changes'!$B:$B = $D114),added,FILTER(INDEX(changes,0,3),INDEX(changes,0,2)=""starting pool""),TRANSPOSE(IFERROR(ARRAYFORMULA(IF(added&lt;&gt;"""",""https://sealeddeck.tech/""&amp;added,"""")),"""")))"),"")</f>
        <v/>
      </c>
      <c r="I114" s="132" t="str">
        <f>IFERROR(__xludf.DUMMYFUNCTION("LET(changes,FILTER('Pool Changes'!$B:$D, 'Pool Changes'!$B:$B = $D114),added,FILTER(INDEX(changes,0,3),INDEX(changes,0,2)=""add pack""),IFERROR(TRANSPOSE(ARRAYFORMULA(IF(added&lt;&gt;"""",HYPERLINK(""https://sealeddeck.tech/""&amp;added,""Link""),""""))),""""))"),"")</f>
        <v/>
      </c>
      <c r="J114" s="132"/>
      <c r="K114" s="132"/>
      <c r="L114" s="133"/>
      <c r="M114" s="135"/>
      <c r="N114" s="135"/>
      <c r="O114" s="135"/>
      <c r="P114" s="133"/>
      <c r="Q114" s="135"/>
      <c r="R114" s="135"/>
      <c r="S114" s="134"/>
      <c r="T114" s="134"/>
      <c r="U114" s="134"/>
      <c r="V114" s="136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</row>
    <row r="115">
      <c r="C115" s="129" t="str">
        <f t="array" ref="C115">INDEX('Player Database'!$D:$D,MATCH($D115,'Player Database'!$B:$B,0))</f>
        <v>#N/A</v>
      </c>
      <c r="D115" s="9" t="str">
        <f t="shared" si="1"/>
        <v> - </v>
      </c>
      <c r="E115" s="130" t="str">
        <f t="array" ref="E115">XLOOKUP($D115,'Player Database'!$B$2:$B1009,'Player Database'!$I$2:$I1009)</f>
        <v>#N/A</v>
      </c>
      <c r="F115" s="130" t="str">
        <f t="array" ref="F115">XLOOKUP($D115,'Player Database'!$B$2:$B1009,'Player Database'!$J$2:$J1009)</f>
        <v>#N/A</v>
      </c>
      <c r="G115" s="131" t="str">
        <f t="array" ref="G115">IF(H115="","",IFERROR(
  "https://sealeddeck.tech/" &amp; INDEX('Pool Changes'!F:F,
    MAX(
      ROW('Pool Changes'!A:A) *
      ('Pool Changes'!B:B=D115) *
      ('Pool Changes'!F:F&lt;&gt;"")
    )
  ),
  ""
))</f>
        <v/>
      </c>
      <c r="H115" s="131" t="str">
        <f>IFERROR(__xludf.DUMMYFUNCTION("LET(changes,FILTER('Pool Changes'!$B:$D, 'Pool Changes'!$B:$B = $D115),added,FILTER(INDEX(changes,0,3),INDEX(changes,0,2)=""starting pool""),TRANSPOSE(IFERROR(ARRAYFORMULA(IF(added&lt;&gt;"""",""https://sealeddeck.tech/""&amp;added,"""")),"""")))"),"")</f>
        <v/>
      </c>
      <c r="I115" s="132" t="str">
        <f>IFERROR(__xludf.DUMMYFUNCTION("LET(changes,FILTER('Pool Changes'!$B:$D, 'Pool Changes'!$B:$B = $D115),added,FILTER(INDEX(changes,0,3),INDEX(changes,0,2)=""add pack""),IFERROR(TRANSPOSE(ARRAYFORMULA(IF(added&lt;&gt;"""",HYPERLINK(""https://sealeddeck.tech/""&amp;added,""Link""),""""))),""""))"),"")</f>
        <v/>
      </c>
      <c r="J115" s="132"/>
      <c r="K115" s="132"/>
      <c r="L115" s="133"/>
      <c r="M115" s="135"/>
      <c r="N115" s="135"/>
      <c r="O115" s="135"/>
      <c r="P115" s="133"/>
      <c r="Q115" s="135"/>
      <c r="R115" s="135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</row>
    <row r="116">
      <c r="C116" s="129" t="str">
        <f t="array" ref="C116">INDEX('Player Database'!$D:$D,MATCH($D116,'Player Database'!$B:$B,0))</f>
        <v>#N/A</v>
      </c>
      <c r="D116" s="9" t="str">
        <f t="shared" si="1"/>
        <v> - </v>
      </c>
      <c r="E116" s="130" t="str">
        <f t="array" ref="E116">XLOOKUP($D116,'Player Database'!$B$2:$B1009,'Player Database'!$I$2:$I1009)</f>
        <v>#N/A</v>
      </c>
      <c r="F116" s="130" t="str">
        <f t="array" ref="F116">XLOOKUP($D116,'Player Database'!$B$2:$B1009,'Player Database'!$J$2:$J1009)</f>
        <v>#N/A</v>
      </c>
      <c r="G116" s="131" t="str">
        <f t="array" ref="G116">IF(H116="","",IFERROR(
  "https://sealeddeck.tech/" &amp; INDEX('Pool Changes'!F:F,
    MAX(
      ROW('Pool Changes'!A:A) *
      ('Pool Changes'!B:B=D116) *
      ('Pool Changes'!F:F&lt;&gt;"")
    )
  ),
  ""
))</f>
        <v/>
      </c>
      <c r="H116" s="131" t="str">
        <f>IFERROR(__xludf.DUMMYFUNCTION("LET(changes,FILTER('Pool Changes'!$B:$D, 'Pool Changes'!$B:$B = $D116),added,FILTER(INDEX(changes,0,3),INDEX(changes,0,2)=""starting pool""),TRANSPOSE(IFERROR(ARRAYFORMULA(IF(added&lt;&gt;"""",""https://sealeddeck.tech/""&amp;added,"""")),"""")))"),"")</f>
        <v/>
      </c>
      <c r="I116" s="132" t="str">
        <f>IFERROR(__xludf.DUMMYFUNCTION("LET(changes,FILTER('Pool Changes'!$B:$D, 'Pool Changes'!$B:$B = $D116),added,FILTER(INDEX(changes,0,3),INDEX(changes,0,2)=""add pack""),IFERROR(TRANSPOSE(ARRAYFORMULA(IF(added&lt;&gt;"""",HYPERLINK(""https://sealeddeck.tech/""&amp;added,""Link""),""""))),""""))"),"")</f>
        <v/>
      </c>
      <c r="J116" s="132"/>
      <c r="K116" s="132"/>
      <c r="L116" s="133"/>
      <c r="M116" s="135"/>
      <c r="N116" s="135"/>
      <c r="O116" s="135"/>
      <c r="P116" s="133"/>
      <c r="Q116" s="135"/>
      <c r="R116" s="135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</row>
    <row r="117">
      <c r="C117" s="129" t="str">
        <f t="array" ref="C117">INDEX('Player Database'!$D:$D,MATCH($D117,'Player Database'!$B:$B,0))</f>
        <v>#N/A</v>
      </c>
      <c r="D117" s="9" t="str">
        <f t="shared" si="1"/>
        <v> - </v>
      </c>
      <c r="E117" s="130" t="str">
        <f t="array" ref="E117">XLOOKUP($D117,'Player Database'!$B$2:$B1009,'Player Database'!$I$2:$I1009)</f>
        <v>#N/A</v>
      </c>
      <c r="F117" s="130" t="str">
        <f t="array" ref="F117">XLOOKUP($D117,'Player Database'!$B$2:$B1009,'Player Database'!$J$2:$J1009)</f>
        <v>#N/A</v>
      </c>
      <c r="G117" s="131" t="str">
        <f t="array" ref="G117">IF(H117="","",IFERROR(
  "https://sealeddeck.tech/" &amp; INDEX('Pool Changes'!F:F,
    MAX(
      ROW('Pool Changes'!A:A) *
      ('Pool Changes'!B:B=D117) *
      ('Pool Changes'!F:F&lt;&gt;"")
    )
  ),
  ""
))</f>
        <v/>
      </c>
      <c r="H117" s="131" t="str">
        <f>IFERROR(__xludf.DUMMYFUNCTION("LET(changes,FILTER('Pool Changes'!$B:$D, 'Pool Changes'!$B:$B = $D117),added,FILTER(INDEX(changes,0,3),INDEX(changes,0,2)=""starting pool""),TRANSPOSE(IFERROR(ARRAYFORMULA(IF(added&lt;&gt;"""",""https://sealeddeck.tech/""&amp;added,"""")),"""")))"),"")</f>
        <v/>
      </c>
      <c r="I117" s="132" t="str">
        <f>IFERROR(__xludf.DUMMYFUNCTION("LET(changes,FILTER('Pool Changes'!$B:$D, 'Pool Changes'!$B:$B = $D117),added,FILTER(INDEX(changes,0,3),INDEX(changes,0,2)=""add pack""),IFERROR(TRANSPOSE(ARRAYFORMULA(IF(added&lt;&gt;"""",HYPERLINK(""https://sealeddeck.tech/""&amp;added,""Link""),""""))),""""))"),"")</f>
        <v/>
      </c>
      <c r="J117" s="132"/>
      <c r="K117" s="132"/>
      <c r="L117" s="133"/>
      <c r="M117" s="135"/>
      <c r="N117" s="135"/>
      <c r="O117" s="135"/>
      <c r="P117" s="133"/>
      <c r="Q117" s="135"/>
      <c r="R117" s="135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</row>
    <row r="118">
      <c r="C118" s="129" t="str">
        <f t="array" ref="C118">INDEX('Player Database'!$D:$D,MATCH($D118,'Player Database'!$B:$B,0))</f>
        <v>#N/A</v>
      </c>
      <c r="D118" s="9" t="str">
        <f t="shared" si="1"/>
        <v> - </v>
      </c>
      <c r="E118" s="130" t="str">
        <f t="array" ref="E118">XLOOKUP($D118,'Player Database'!$B$2:$B1009,'Player Database'!$I$2:$I1009)</f>
        <v>#N/A</v>
      </c>
      <c r="F118" s="130" t="str">
        <f t="array" ref="F118">XLOOKUP($D118,'Player Database'!$B$2:$B1009,'Player Database'!$J$2:$J1009)</f>
        <v>#N/A</v>
      </c>
      <c r="G118" s="131" t="str">
        <f t="array" ref="G118">IF(H118="","",IFERROR(
  "https://sealeddeck.tech/" &amp; INDEX('Pool Changes'!F:F,
    MAX(
      ROW('Pool Changes'!A:A) *
      ('Pool Changes'!B:B=D118) *
      ('Pool Changes'!F:F&lt;&gt;"")
    )
  ),
  ""
))</f>
        <v/>
      </c>
      <c r="H118" s="131" t="str">
        <f>IFERROR(__xludf.DUMMYFUNCTION("LET(changes,FILTER('Pool Changes'!$B:$D, 'Pool Changes'!$B:$B = $D118),added,FILTER(INDEX(changes,0,3),INDEX(changes,0,2)=""starting pool""),TRANSPOSE(IFERROR(ARRAYFORMULA(IF(added&lt;&gt;"""",""https://sealeddeck.tech/""&amp;added,"""")),"""")))"),"")</f>
        <v/>
      </c>
      <c r="I118" s="132" t="str">
        <f>IFERROR(__xludf.DUMMYFUNCTION("LET(changes,FILTER('Pool Changes'!$B:$D, 'Pool Changes'!$B:$B = $D118),added,FILTER(INDEX(changes,0,3),INDEX(changes,0,2)=""add pack""),IFERROR(TRANSPOSE(ARRAYFORMULA(IF(added&lt;&gt;"""",HYPERLINK(""https://sealeddeck.tech/""&amp;added,""Link""),""""))),""""))"),"")</f>
        <v/>
      </c>
      <c r="J118" s="132"/>
      <c r="K118" s="132"/>
      <c r="L118" s="133"/>
      <c r="M118" s="135"/>
      <c r="N118" s="135"/>
      <c r="O118" s="135"/>
      <c r="P118" s="133"/>
      <c r="Q118" s="135"/>
      <c r="R118" s="135"/>
      <c r="S118" s="134"/>
      <c r="T118" s="134"/>
      <c r="U118" s="134"/>
      <c r="V118" s="136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</row>
    <row r="119">
      <c r="C119" s="129" t="str">
        <f t="array" ref="C119">INDEX('Player Database'!$D:$D,MATCH($D119,'Player Database'!$B:$B,0))</f>
        <v>#N/A</v>
      </c>
      <c r="D119" s="9" t="str">
        <f t="shared" si="1"/>
        <v> - </v>
      </c>
      <c r="E119" s="130" t="str">
        <f t="array" ref="E119">XLOOKUP($D119,'Player Database'!$B$2:$B1009,'Player Database'!$I$2:$I1009)</f>
        <v>#N/A</v>
      </c>
      <c r="F119" s="130" t="str">
        <f t="array" ref="F119">XLOOKUP($D119,'Player Database'!$B$2:$B1009,'Player Database'!$J$2:$J1009)</f>
        <v>#N/A</v>
      </c>
      <c r="G119" s="131" t="str">
        <f t="array" ref="G119">IF(H119="","",IFERROR(
  "https://sealeddeck.tech/" &amp; INDEX('Pool Changes'!F:F,
    MAX(
      ROW('Pool Changes'!A:A) *
      ('Pool Changes'!B:B=D119) *
      ('Pool Changes'!F:F&lt;&gt;"")
    )
  ),
  ""
))</f>
        <v/>
      </c>
      <c r="H119" s="131" t="str">
        <f>IFERROR(__xludf.DUMMYFUNCTION("LET(changes,FILTER('Pool Changes'!$B:$D, 'Pool Changes'!$B:$B = $D119),added,FILTER(INDEX(changes,0,3),INDEX(changes,0,2)=""starting pool""),TRANSPOSE(IFERROR(ARRAYFORMULA(IF(added&lt;&gt;"""",""https://sealeddeck.tech/""&amp;added,"""")),"""")))"),"")</f>
        <v/>
      </c>
      <c r="I119" s="132" t="str">
        <f>IFERROR(__xludf.DUMMYFUNCTION("LET(changes,FILTER('Pool Changes'!$B:$D, 'Pool Changes'!$B:$B = $D119),added,FILTER(INDEX(changes,0,3),INDEX(changes,0,2)=""add pack""),IFERROR(TRANSPOSE(ARRAYFORMULA(IF(added&lt;&gt;"""",HYPERLINK(""https://sealeddeck.tech/""&amp;added,""Link""),""""))),""""))"),"")</f>
        <v/>
      </c>
      <c r="J119" s="132"/>
      <c r="K119" s="132"/>
      <c r="L119" s="133"/>
      <c r="M119" s="135"/>
      <c r="N119" s="135"/>
      <c r="O119" s="135"/>
      <c r="P119" s="133"/>
      <c r="Q119" s="135"/>
      <c r="R119" s="135"/>
      <c r="S119" s="134"/>
      <c r="T119" s="134"/>
      <c r="U119" s="134"/>
      <c r="V119" s="136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</row>
    <row r="120">
      <c r="C120" s="129" t="str">
        <f t="array" ref="C120">INDEX('Player Database'!$D:$D,MATCH($D120,'Player Database'!$B:$B,0))</f>
        <v>#N/A</v>
      </c>
      <c r="D120" s="9" t="str">
        <f t="shared" si="1"/>
        <v> - </v>
      </c>
      <c r="E120" s="130" t="str">
        <f t="array" ref="E120">XLOOKUP($D120,'Player Database'!$B$2:$B1009,'Player Database'!$I$2:$I1009)</f>
        <v>#N/A</v>
      </c>
      <c r="F120" s="130" t="str">
        <f t="array" ref="F120">XLOOKUP($D120,'Player Database'!$B$2:$B1009,'Player Database'!$J$2:$J1009)</f>
        <v>#N/A</v>
      </c>
      <c r="G120" s="131" t="str">
        <f t="array" ref="G120">IF(H120="","",IFERROR(
  "https://sealeddeck.tech/" &amp; INDEX('Pool Changes'!F:F,
    MAX(
      ROW('Pool Changes'!A:A) *
      ('Pool Changes'!B:B=D120) *
      ('Pool Changes'!F:F&lt;&gt;"")
    )
  ),
  ""
))</f>
        <v/>
      </c>
      <c r="H120" s="131" t="str">
        <f>IFERROR(__xludf.DUMMYFUNCTION("LET(changes,FILTER('Pool Changes'!$B:$D, 'Pool Changes'!$B:$B = $D120),added,FILTER(INDEX(changes,0,3),INDEX(changes,0,2)=""starting pool""),TRANSPOSE(IFERROR(ARRAYFORMULA(IF(added&lt;&gt;"""",""https://sealeddeck.tech/""&amp;added,"""")),"""")))"),"")</f>
        <v/>
      </c>
      <c r="I120" s="132" t="str">
        <f>IFERROR(__xludf.DUMMYFUNCTION("LET(changes,FILTER('Pool Changes'!$B:$D, 'Pool Changes'!$B:$B = $D120),added,FILTER(INDEX(changes,0,3),INDEX(changes,0,2)=""add pack""),IFERROR(TRANSPOSE(ARRAYFORMULA(IF(added&lt;&gt;"""",HYPERLINK(""https://sealeddeck.tech/""&amp;added,""Link""),""""))),""""))"),"")</f>
        <v/>
      </c>
      <c r="J120" s="132"/>
      <c r="K120" s="132"/>
      <c r="L120" s="133"/>
      <c r="M120" s="135"/>
      <c r="N120" s="135"/>
      <c r="O120" s="135"/>
      <c r="P120" s="133"/>
      <c r="Q120" s="135"/>
      <c r="R120" s="135"/>
      <c r="S120" s="134"/>
      <c r="T120" s="134"/>
      <c r="U120" s="134"/>
      <c r="V120" s="136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</row>
    <row r="121">
      <c r="C121" s="129" t="str">
        <f t="array" ref="C121">INDEX('Player Database'!$D:$D,MATCH($D121,'Player Database'!$B:$B,0))</f>
        <v>#N/A</v>
      </c>
      <c r="D121" s="9" t="str">
        <f t="shared" si="1"/>
        <v> - </v>
      </c>
      <c r="E121" s="130" t="str">
        <f t="array" ref="E121">XLOOKUP($D121,'Player Database'!$B$2:$B1009,'Player Database'!$I$2:$I1009)</f>
        <v>#N/A</v>
      </c>
      <c r="F121" s="130" t="str">
        <f t="array" ref="F121">XLOOKUP($D121,'Player Database'!$B$2:$B1009,'Player Database'!$J$2:$J1009)</f>
        <v>#N/A</v>
      </c>
      <c r="G121" s="131" t="str">
        <f t="array" ref="G121">IF(H121="","",IFERROR(
  "https://sealeddeck.tech/" &amp; INDEX('Pool Changes'!F:F,
    MAX(
      ROW('Pool Changes'!A:A) *
      ('Pool Changes'!B:B=D121) *
      ('Pool Changes'!F:F&lt;&gt;"")
    )
  ),
  ""
))</f>
        <v/>
      </c>
      <c r="H121" s="131" t="str">
        <f>IFERROR(__xludf.DUMMYFUNCTION("LET(changes,FILTER('Pool Changes'!$B:$D, 'Pool Changes'!$B:$B = $D121),added,FILTER(INDEX(changes,0,3),INDEX(changes,0,2)=""starting pool""),TRANSPOSE(IFERROR(ARRAYFORMULA(IF(added&lt;&gt;"""",""https://sealeddeck.tech/""&amp;added,"""")),"""")))"),"")</f>
        <v/>
      </c>
      <c r="I121" s="132" t="str">
        <f>IFERROR(__xludf.DUMMYFUNCTION("LET(changes,FILTER('Pool Changes'!$B:$D, 'Pool Changes'!$B:$B = $D121),added,FILTER(INDEX(changes,0,3),INDEX(changes,0,2)=""add pack""),IFERROR(TRANSPOSE(ARRAYFORMULA(IF(added&lt;&gt;"""",HYPERLINK(""https://sealeddeck.tech/""&amp;added,""Link""),""""))),""""))"),"")</f>
        <v/>
      </c>
      <c r="J121" s="132"/>
      <c r="K121" s="132"/>
      <c r="L121" s="133"/>
      <c r="M121" s="135"/>
      <c r="N121" s="135"/>
      <c r="O121" s="135"/>
      <c r="P121" s="133"/>
      <c r="Q121" s="135"/>
      <c r="R121" s="135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</row>
    <row r="122">
      <c r="C122" s="129" t="str">
        <f t="array" ref="C122">INDEX('Player Database'!$D:$D,MATCH($D122,'Player Database'!$B:$B,0))</f>
        <v>#N/A</v>
      </c>
      <c r="D122" s="9" t="str">
        <f t="shared" si="1"/>
        <v> - </v>
      </c>
      <c r="E122" s="130" t="str">
        <f t="array" ref="E122">XLOOKUP($D122,'Player Database'!$B$2:$B1009,'Player Database'!$I$2:$I1009)</f>
        <v>#N/A</v>
      </c>
      <c r="F122" s="130" t="str">
        <f t="array" ref="F122">XLOOKUP($D122,'Player Database'!$B$2:$B1009,'Player Database'!$J$2:$J1009)</f>
        <v>#N/A</v>
      </c>
      <c r="G122" s="131" t="str">
        <f t="array" ref="G122">IF(H122="","",IFERROR(
  "https://sealeddeck.tech/" &amp; INDEX('Pool Changes'!F:F,
    MAX(
      ROW('Pool Changes'!A:A) *
      ('Pool Changes'!B:B=D122) *
      ('Pool Changes'!F:F&lt;&gt;"")
    )
  ),
  ""
))</f>
        <v/>
      </c>
      <c r="H122" s="131" t="str">
        <f>IFERROR(__xludf.DUMMYFUNCTION("LET(changes,FILTER('Pool Changes'!$B:$D, 'Pool Changes'!$B:$B = $D122),added,FILTER(INDEX(changes,0,3),INDEX(changes,0,2)=""starting pool""),TRANSPOSE(IFERROR(ARRAYFORMULA(IF(added&lt;&gt;"""",""https://sealeddeck.tech/""&amp;added,"""")),"""")))"),"")</f>
        <v/>
      </c>
      <c r="I122" s="132" t="str">
        <f>IFERROR(__xludf.DUMMYFUNCTION("LET(changes,FILTER('Pool Changes'!$B:$D, 'Pool Changes'!$B:$B = $D122),added,FILTER(INDEX(changes,0,3),INDEX(changes,0,2)=""add pack""),IFERROR(TRANSPOSE(ARRAYFORMULA(IF(added&lt;&gt;"""",HYPERLINK(""https://sealeddeck.tech/""&amp;added,""Link""),""""))),""""))"),"")</f>
        <v/>
      </c>
      <c r="J122" s="132"/>
      <c r="K122" s="132"/>
      <c r="L122" s="133"/>
      <c r="M122" s="135"/>
      <c r="N122" s="135"/>
      <c r="O122" s="135"/>
      <c r="P122" s="133"/>
      <c r="Q122" s="135"/>
      <c r="R122" s="135"/>
      <c r="S122" s="134"/>
      <c r="T122" s="134"/>
      <c r="U122" s="134"/>
      <c r="V122" s="136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4"/>
    </row>
    <row r="123">
      <c r="C123" s="129" t="str">
        <f t="array" ref="C123">INDEX('Player Database'!$D:$D,MATCH($D123,'Player Database'!$B:$B,0))</f>
        <v>#N/A</v>
      </c>
      <c r="D123" s="9" t="str">
        <f t="shared" si="1"/>
        <v> - </v>
      </c>
      <c r="E123" s="130" t="str">
        <f t="array" ref="E123">XLOOKUP($D123,'Player Database'!$B$2:$B1009,'Player Database'!$I$2:$I1009)</f>
        <v>#N/A</v>
      </c>
      <c r="F123" s="130" t="str">
        <f t="array" ref="F123">XLOOKUP($D123,'Player Database'!$B$2:$B1009,'Player Database'!$J$2:$J1009)</f>
        <v>#N/A</v>
      </c>
      <c r="G123" s="131" t="str">
        <f t="array" ref="G123">IF(H123="","",IFERROR(
  "https://sealeddeck.tech/" &amp; INDEX('Pool Changes'!F:F,
    MAX(
      ROW('Pool Changes'!A:A) *
      ('Pool Changes'!B:B=D123) *
      ('Pool Changes'!F:F&lt;&gt;"")
    )
  ),
  ""
))</f>
        <v/>
      </c>
      <c r="H123" s="131" t="str">
        <f>IFERROR(__xludf.DUMMYFUNCTION("LET(changes,FILTER('Pool Changes'!$B:$D, 'Pool Changes'!$B:$B = $D123),added,FILTER(INDEX(changes,0,3),INDEX(changes,0,2)=""starting pool""),TRANSPOSE(IFERROR(ARRAYFORMULA(IF(added&lt;&gt;"""",""https://sealeddeck.tech/""&amp;added,"""")),"""")))"),"")</f>
        <v/>
      </c>
      <c r="I123" s="132" t="str">
        <f>IFERROR(__xludf.DUMMYFUNCTION("LET(changes,FILTER('Pool Changes'!$B:$D, 'Pool Changes'!$B:$B = $D123),added,FILTER(INDEX(changes,0,3),INDEX(changes,0,2)=""add pack""),IFERROR(TRANSPOSE(ARRAYFORMULA(IF(added&lt;&gt;"""",HYPERLINK(""https://sealeddeck.tech/""&amp;added,""Link""),""""))),""""))"),"")</f>
        <v/>
      </c>
      <c r="J123" s="132"/>
      <c r="K123" s="132"/>
      <c r="L123" s="133"/>
      <c r="M123" s="135"/>
      <c r="N123" s="135"/>
      <c r="O123" s="135"/>
      <c r="P123" s="133"/>
      <c r="Q123" s="135"/>
      <c r="R123" s="135"/>
      <c r="S123" s="134"/>
      <c r="T123" s="134"/>
      <c r="U123" s="134"/>
      <c r="V123" s="136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</row>
    <row r="124">
      <c r="C124" s="129" t="str">
        <f t="array" ref="C124">INDEX('Player Database'!$D:$D,MATCH($D124,'Player Database'!$B:$B,0))</f>
        <v>#N/A</v>
      </c>
      <c r="D124" s="9" t="str">
        <f t="shared" si="1"/>
        <v> - </v>
      </c>
      <c r="E124" s="130" t="str">
        <f t="array" ref="E124">XLOOKUP($D124,'Player Database'!$B$2:$B1009,'Player Database'!$I$2:$I1009)</f>
        <v>#N/A</v>
      </c>
      <c r="F124" s="130" t="str">
        <f t="array" ref="F124">XLOOKUP($D124,'Player Database'!$B$2:$B1009,'Player Database'!$J$2:$J1009)</f>
        <v>#N/A</v>
      </c>
      <c r="G124" s="131" t="str">
        <f t="array" ref="G124">IF(H124="","",IFERROR(
  "https://sealeddeck.tech/" &amp; INDEX('Pool Changes'!F:F,
    MAX(
      ROW('Pool Changes'!A:A) *
      ('Pool Changes'!B:B=D124) *
      ('Pool Changes'!F:F&lt;&gt;"")
    )
  ),
  ""
))</f>
        <v/>
      </c>
      <c r="H124" s="131" t="str">
        <f>IFERROR(__xludf.DUMMYFUNCTION("LET(changes,FILTER('Pool Changes'!$B:$D, 'Pool Changes'!$B:$B = $D124),added,FILTER(INDEX(changes,0,3),INDEX(changes,0,2)=""starting pool""),TRANSPOSE(IFERROR(ARRAYFORMULA(IF(added&lt;&gt;"""",""https://sealeddeck.tech/""&amp;added,"""")),"""")))"),"")</f>
        <v/>
      </c>
      <c r="I124" s="132" t="str">
        <f>IFERROR(__xludf.DUMMYFUNCTION("LET(changes,FILTER('Pool Changes'!$B:$D, 'Pool Changes'!$B:$B = $D124),added,FILTER(INDEX(changes,0,3),INDEX(changes,0,2)=""add pack""),IFERROR(TRANSPOSE(ARRAYFORMULA(IF(added&lt;&gt;"""",HYPERLINK(""https://sealeddeck.tech/""&amp;added,""Link""),""""))),""""))"),"")</f>
        <v/>
      </c>
      <c r="J124" s="132"/>
      <c r="K124" s="132"/>
      <c r="L124" s="133"/>
      <c r="M124" s="135"/>
      <c r="N124" s="135"/>
      <c r="O124" s="135"/>
      <c r="P124" s="133"/>
      <c r="Q124" s="135"/>
      <c r="R124" s="135"/>
      <c r="S124" s="134"/>
      <c r="T124" s="134"/>
      <c r="U124" s="134"/>
      <c r="V124" s="136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</row>
    <row r="125">
      <c r="C125" s="129" t="str">
        <f t="array" ref="C125">INDEX('Player Database'!$D:$D,MATCH($D125,'Player Database'!$B:$B,0))</f>
        <v>#N/A</v>
      </c>
      <c r="D125" s="9" t="str">
        <f t="shared" si="1"/>
        <v> - </v>
      </c>
      <c r="E125" s="130" t="str">
        <f t="array" ref="E125">XLOOKUP($D125,'Player Database'!$B$2:$B1009,'Player Database'!$I$2:$I1009)</f>
        <v>#N/A</v>
      </c>
      <c r="F125" s="130" t="str">
        <f t="array" ref="F125">XLOOKUP($D125,'Player Database'!$B$2:$B1009,'Player Database'!$J$2:$J1009)</f>
        <v>#N/A</v>
      </c>
      <c r="G125" s="131" t="str">
        <f t="array" ref="G125">IF(H125="","",IFERROR(
  "https://sealeddeck.tech/" &amp; INDEX('Pool Changes'!F:F,
    MAX(
      ROW('Pool Changes'!A:A) *
      ('Pool Changes'!B:B=D125) *
      ('Pool Changes'!F:F&lt;&gt;"")
    )
  ),
  ""
))</f>
        <v/>
      </c>
      <c r="H125" s="131" t="str">
        <f>IFERROR(__xludf.DUMMYFUNCTION("LET(changes,FILTER('Pool Changes'!$B:$D, 'Pool Changes'!$B:$B = $D125),added,FILTER(INDEX(changes,0,3),INDEX(changes,0,2)=""starting pool""),TRANSPOSE(IFERROR(ARRAYFORMULA(IF(added&lt;&gt;"""",""https://sealeddeck.tech/""&amp;added,"""")),"""")))"),"")</f>
        <v/>
      </c>
      <c r="I125" s="132" t="str">
        <f>IFERROR(__xludf.DUMMYFUNCTION("LET(changes,FILTER('Pool Changes'!$B:$D, 'Pool Changes'!$B:$B = $D125),added,FILTER(INDEX(changes,0,3),INDEX(changes,0,2)=""add pack""),IFERROR(TRANSPOSE(ARRAYFORMULA(IF(added&lt;&gt;"""",HYPERLINK(""https://sealeddeck.tech/""&amp;added,""Link""),""""))),""""))"),"")</f>
        <v/>
      </c>
      <c r="J125" s="132"/>
      <c r="K125" s="132"/>
      <c r="L125" s="133"/>
      <c r="M125" s="135"/>
      <c r="N125" s="135"/>
      <c r="O125" s="135"/>
      <c r="P125" s="133"/>
      <c r="Q125" s="135"/>
      <c r="R125" s="135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</row>
    <row r="126">
      <c r="C126" s="129" t="str">
        <f t="array" ref="C126">INDEX('Player Database'!$D:$D,MATCH($D126,'Player Database'!$B:$B,0))</f>
        <v>#N/A</v>
      </c>
      <c r="D126" s="9" t="str">
        <f t="shared" si="1"/>
        <v> - </v>
      </c>
      <c r="E126" s="130" t="str">
        <f t="array" ref="E126">XLOOKUP($D126,'Player Database'!$B$2:$B1009,'Player Database'!$I$2:$I1009)</f>
        <v>#N/A</v>
      </c>
      <c r="F126" s="130" t="str">
        <f t="array" ref="F126">XLOOKUP($D126,'Player Database'!$B$2:$B1009,'Player Database'!$J$2:$J1009)</f>
        <v>#N/A</v>
      </c>
      <c r="G126" s="131" t="str">
        <f t="array" ref="G126">IF(H126="","",IFERROR(
  "https://sealeddeck.tech/" &amp; INDEX('Pool Changes'!F:F,
    MAX(
      ROW('Pool Changes'!A:A) *
      ('Pool Changes'!B:B=D126) *
      ('Pool Changes'!F:F&lt;&gt;"")
    )
  ),
  ""
))</f>
        <v/>
      </c>
      <c r="H126" s="131" t="str">
        <f>IFERROR(__xludf.DUMMYFUNCTION("LET(changes,FILTER('Pool Changes'!$B:$D, 'Pool Changes'!$B:$B = $D126),added,FILTER(INDEX(changes,0,3),INDEX(changes,0,2)=""starting pool""),TRANSPOSE(IFERROR(ARRAYFORMULA(IF(added&lt;&gt;"""",""https://sealeddeck.tech/""&amp;added,"""")),"""")))"),"")</f>
        <v/>
      </c>
      <c r="I126" s="132" t="str">
        <f>IFERROR(__xludf.DUMMYFUNCTION("LET(changes,FILTER('Pool Changes'!$B:$D, 'Pool Changes'!$B:$B = $D126),added,FILTER(INDEX(changes,0,3),INDEX(changes,0,2)=""add pack""),IFERROR(TRANSPOSE(ARRAYFORMULA(IF(added&lt;&gt;"""",HYPERLINK(""https://sealeddeck.tech/""&amp;added,""Link""),""""))),""""))"),"")</f>
        <v/>
      </c>
      <c r="J126" s="132"/>
      <c r="K126" s="132"/>
      <c r="L126" s="133"/>
      <c r="M126" s="135"/>
      <c r="N126" s="135"/>
      <c r="O126" s="135"/>
      <c r="P126" s="133"/>
      <c r="Q126" s="135"/>
      <c r="R126" s="135"/>
      <c r="S126" s="134"/>
      <c r="T126" s="134"/>
      <c r="U126" s="134"/>
      <c r="V126" s="136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</row>
    <row r="127">
      <c r="C127" s="129" t="str">
        <f t="array" ref="C127">INDEX('Player Database'!$D:$D,MATCH($D127,'Player Database'!$B:$B,0))</f>
        <v>#N/A</v>
      </c>
      <c r="D127" s="9" t="str">
        <f t="shared" si="1"/>
        <v> - </v>
      </c>
      <c r="E127" s="130" t="str">
        <f t="array" ref="E127">XLOOKUP($D127,'Player Database'!$B$2:$B1009,'Player Database'!$I$2:$I1009)</f>
        <v>#N/A</v>
      </c>
      <c r="F127" s="130" t="str">
        <f t="array" ref="F127">XLOOKUP($D127,'Player Database'!$B$2:$B1009,'Player Database'!$J$2:$J1009)</f>
        <v>#N/A</v>
      </c>
      <c r="G127" s="131" t="str">
        <f t="array" ref="G127">IF(H127="","",IFERROR(
  "https://sealeddeck.tech/" &amp; INDEX('Pool Changes'!F:F,
    MAX(
      ROW('Pool Changes'!A:A) *
      ('Pool Changes'!B:B=D127) *
      ('Pool Changes'!F:F&lt;&gt;"")
    )
  ),
  ""
))</f>
        <v/>
      </c>
      <c r="H127" s="131" t="str">
        <f>IFERROR(__xludf.DUMMYFUNCTION("LET(changes,FILTER('Pool Changes'!$B:$D, 'Pool Changes'!$B:$B = $D127),added,FILTER(INDEX(changes,0,3),INDEX(changes,0,2)=""starting pool""),TRANSPOSE(IFERROR(ARRAYFORMULA(IF(added&lt;&gt;"""",""https://sealeddeck.tech/""&amp;added,"""")),"""")))"),"")</f>
        <v/>
      </c>
      <c r="I127" s="132" t="str">
        <f>IFERROR(__xludf.DUMMYFUNCTION("LET(changes,FILTER('Pool Changes'!$B:$D, 'Pool Changes'!$B:$B = $D127),added,FILTER(INDEX(changes,0,3),INDEX(changes,0,2)=""add pack""),IFERROR(TRANSPOSE(ARRAYFORMULA(IF(added&lt;&gt;"""",HYPERLINK(""https://sealeddeck.tech/""&amp;added,""Link""),""""))),""""))"),"")</f>
        <v/>
      </c>
      <c r="J127" s="132"/>
      <c r="K127" s="132"/>
      <c r="L127" s="133"/>
      <c r="M127" s="135"/>
      <c r="N127" s="135"/>
      <c r="O127" s="135"/>
      <c r="P127" s="133"/>
      <c r="Q127" s="135"/>
      <c r="R127" s="135"/>
      <c r="S127" s="134"/>
      <c r="T127" s="134"/>
      <c r="U127" s="134"/>
      <c r="V127" s="136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</row>
    <row r="128">
      <c r="C128" s="129" t="str">
        <f t="array" ref="C128">INDEX('Player Database'!$D:$D,MATCH($D128,'Player Database'!$B:$B,0))</f>
        <v>#N/A</v>
      </c>
      <c r="D128" s="9" t="str">
        <f t="shared" si="1"/>
        <v> - </v>
      </c>
      <c r="E128" s="130" t="str">
        <f t="array" ref="E128">XLOOKUP($D128,'Player Database'!$B$2:$B1009,'Player Database'!$I$2:$I1009)</f>
        <v>#N/A</v>
      </c>
      <c r="F128" s="130" t="str">
        <f t="array" ref="F128">XLOOKUP($D128,'Player Database'!$B$2:$B1009,'Player Database'!$J$2:$J1009)</f>
        <v>#N/A</v>
      </c>
      <c r="G128" s="131" t="str">
        <f t="array" ref="G128">IF(H128="","",IFERROR(
  "https://sealeddeck.tech/" &amp; INDEX('Pool Changes'!F:F,
    MAX(
      ROW('Pool Changes'!A:A) *
      ('Pool Changes'!B:B=D128) *
      ('Pool Changes'!F:F&lt;&gt;"")
    )
  ),
  ""
))</f>
        <v/>
      </c>
      <c r="H128" s="131" t="str">
        <f>IFERROR(__xludf.DUMMYFUNCTION("LET(changes,FILTER('Pool Changes'!$B:$D, 'Pool Changes'!$B:$B = $D128),added,FILTER(INDEX(changes,0,3),INDEX(changes,0,2)=""starting pool""),TRANSPOSE(IFERROR(ARRAYFORMULA(IF(added&lt;&gt;"""",""https://sealeddeck.tech/""&amp;added,"""")),"""")))"),"")</f>
        <v/>
      </c>
      <c r="I128" s="132" t="str">
        <f>IFERROR(__xludf.DUMMYFUNCTION("LET(changes,FILTER('Pool Changes'!$B:$D, 'Pool Changes'!$B:$B = $D128),added,FILTER(INDEX(changes,0,3),INDEX(changes,0,2)=""add pack""),IFERROR(TRANSPOSE(ARRAYFORMULA(IF(added&lt;&gt;"""",HYPERLINK(""https://sealeddeck.tech/""&amp;added,""Link""),""""))),""""))"),"")</f>
        <v/>
      </c>
      <c r="J128" s="132"/>
      <c r="K128" s="132"/>
      <c r="L128" s="133"/>
      <c r="M128" s="135"/>
      <c r="N128" s="135"/>
      <c r="O128" s="135"/>
      <c r="P128" s="133"/>
      <c r="Q128" s="135"/>
      <c r="R128" s="135"/>
      <c r="S128" s="134"/>
      <c r="T128" s="134"/>
      <c r="U128" s="134"/>
      <c r="V128" s="136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</row>
    <row r="129">
      <c r="C129" s="129" t="str">
        <f t="array" ref="C129">INDEX('Player Database'!$D:$D,MATCH($D129,'Player Database'!$B:$B,0))</f>
        <v>#N/A</v>
      </c>
      <c r="D129" s="9" t="str">
        <f t="shared" si="1"/>
        <v> - </v>
      </c>
      <c r="E129" s="130" t="str">
        <f t="array" ref="E129">XLOOKUP($D129,'Player Database'!$B$2:$B1009,'Player Database'!$I$2:$I1009)</f>
        <v>#N/A</v>
      </c>
      <c r="F129" s="130" t="str">
        <f t="array" ref="F129">XLOOKUP($D129,'Player Database'!$B$2:$B1009,'Player Database'!$J$2:$J1009)</f>
        <v>#N/A</v>
      </c>
      <c r="G129" s="131" t="str">
        <f t="array" ref="G129">IF(H129="","",IFERROR(
  "https://sealeddeck.tech/" &amp; INDEX('Pool Changes'!F:F,
    MAX(
      ROW('Pool Changes'!A:A) *
      ('Pool Changes'!B:B=D129) *
      ('Pool Changes'!F:F&lt;&gt;"")
    )
  ),
  ""
))</f>
        <v/>
      </c>
      <c r="H129" s="131" t="str">
        <f>IFERROR(__xludf.DUMMYFUNCTION("LET(changes,FILTER('Pool Changes'!$B:$D, 'Pool Changes'!$B:$B = $D129),added,FILTER(INDEX(changes,0,3),INDEX(changes,0,2)=""starting pool""),TRANSPOSE(IFERROR(ARRAYFORMULA(IF(added&lt;&gt;"""",""https://sealeddeck.tech/""&amp;added,"""")),"""")))"),"")</f>
        <v/>
      </c>
      <c r="I129" s="132" t="str">
        <f>IFERROR(__xludf.DUMMYFUNCTION("LET(changes,FILTER('Pool Changes'!$B:$D, 'Pool Changes'!$B:$B = $D129),added,FILTER(INDEX(changes,0,3),INDEX(changes,0,2)=""add pack""),IFERROR(TRANSPOSE(ARRAYFORMULA(IF(added&lt;&gt;"""",HYPERLINK(""https://sealeddeck.tech/""&amp;added,""Link""),""""))),""""))"),"")</f>
        <v/>
      </c>
      <c r="J129" s="132"/>
      <c r="K129" s="132"/>
      <c r="L129" s="133"/>
      <c r="M129" s="135"/>
      <c r="N129" s="135"/>
      <c r="O129" s="135"/>
      <c r="P129" s="133"/>
      <c r="Q129" s="135"/>
      <c r="R129" s="135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</row>
    <row r="130">
      <c r="C130" s="129" t="str">
        <f t="array" ref="C130">INDEX('Player Database'!$D:$D,MATCH($D130,'Player Database'!$B:$B,0))</f>
        <v>#N/A</v>
      </c>
      <c r="D130" s="9" t="str">
        <f t="shared" si="1"/>
        <v> - </v>
      </c>
      <c r="E130" s="130" t="str">
        <f t="array" ref="E130">XLOOKUP($D130,'Player Database'!$B$2:$B1009,'Player Database'!$I$2:$I1009)</f>
        <v>#N/A</v>
      </c>
      <c r="F130" s="130" t="str">
        <f t="array" ref="F130">XLOOKUP($D130,'Player Database'!$B$2:$B1009,'Player Database'!$J$2:$J1009)</f>
        <v>#N/A</v>
      </c>
      <c r="G130" s="131" t="str">
        <f t="array" ref="G130">IF(H130="","",IFERROR(
  "https://sealeddeck.tech/" &amp; INDEX('Pool Changes'!F:F,
    MAX(
      ROW('Pool Changes'!A:A) *
      ('Pool Changes'!B:B=D130) *
      ('Pool Changes'!F:F&lt;&gt;"")
    )
  ),
  ""
))</f>
        <v/>
      </c>
      <c r="H130" s="131" t="str">
        <f>IFERROR(__xludf.DUMMYFUNCTION("LET(changes,FILTER('Pool Changes'!$B:$D, 'Pool Changes'!$B:$B = $D130),added,FILTER(INDEX(changes,0,3),INDEX(changes,0,2)=""starting pool""),TRANSPOSE(IFERROR(ARRAYFORMULA(IF(added&lt;&gt;"""",""https://sealeddeck.tech/""&amp;added,"""")),"""")))"),"")</f>
        <v/>
      </c>
      <c r="I130" s="132" t="str">
        <f>IFERROR(__xludf.DUMMYFUNCTION("LET(changes,FILTER('Pool Changes'!$B:$D, 'Pool Changes'!$B:$B = $D130),added,FILTER(INDEX(changes,0,3),INDEX(changes,0,2)=""add pack""),IFERROR(TRANSPOSE(ARRAYFORMULA(IF(added&lt;&gt;"""",HYPERLINK(""https://sealeddeck.tech/""&amp;added,""Link""),""""))),""""))"),"")</f>
        <v/>
      </c>
      <c r="J130" s="132"/>
      <c r="K130" s="132"/>
      <c r="L130" s="133"/>
      <c r="M130" s="135"/>
      <c r="N130" s="135"/>
      <c r="O130" s="135"/>
      <c r="P130" s="133"/>
      <c r="Q130" s="135"/>
      <c r="R130" s="135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</row>
    <row r="131">
      <c r="C131" s="129" t="str">
        <f t="array" ref="C131">INDEX('Player Database'!$D:$D,MATCH($D131,'Player Database'!$B:$B,0))</f>
        <v>#N/A</v>
      </c>
      <c r="D131" s="9" t="str">
        <f t="shared" si="1"/>
        <v> - </v>
      </c>
      <c r="E131" s="130" t="str">
        <f t="array" ref="E131">XLOOKUP($D131,'Player Database'!$B$2:$B1009,'Player Database'!$I$2:$I1009)</f>
        <v>#N/A</v>
      </c>
      <c r="F131" s="130" t="str">
        <f t="array" ref="F131">XLOOKUP($D131,'Player Database'!$B$2:$B1009,'Player Database'!$J$2:$J1009)</f>
        <v>#N/A</v>
      </c>
      <c r="G131" s="131" t="str">
        <f t="array" ref="G131">IF(H131="","",IFERROR(
  "https://sealeddeck.tech/" &amp; INDEX('Pool Changes'!F:F,
    MAX(
      ROW('Pool Changes'!A:A) *
      ('Pool Changes'!B:B=D131) *
      ('Pool Changes'!F:F&lt;&gt;"")
    )
  ),
  ""
))</f>
        <v/>
      </c>
      <c r="H131" s="131" t="str">
        <f>IFERROR(__xludf.DUMMYFUNCTION("LET(changes,FILTER('Pool Changes'!$B:$D, 'Pool Changes'!$B:$B = $D131),added,FILTER(INDEX(changes,0,3),INDEX(changes,0,2)=""starting pool""),TRANSPOSE(IFERROR(ARRAYFORMULA(IF(added&lt;&gt;"""",""https://sealeddeck.tech/""&amp;added,"""")),"""")))"),"")</f>
        <v/>
      </c>
      <c r="I131" s="132" t="str">
        <f>IFERROR(__xludf.DUMMYFUNCTION("LET(changes,FILTER('Pool Changes'!$B:$D, 'Pool Changes'!$B:$B = $D131),added,FILTER(INDEX(changes,0,3),INDEX(changes,0,2)=""add pack""),IFERROR(TRANSPOSE(ARRAYFORMULA(IF(added&lt;&gt;"""",HYPERLINK(""https://sealeddeck.tech/""&amp;added,""Link""),""""))),""""))"),"")</f>
        <v/>
      </c>
      <c r="J131" s="132"/>
      <c r="K131" s="132"/>
      <c r="L131" s="133"/>
      <c r="M131" s="135"/>
      <c r="N131" s="135"/>
      <c r="O131" s="135"/>
      <c r="P131" s="133"/>
      <c r="Q131" s="135"/>
      <c r="R131" s="135"/>
      <c r="S131" s="134"/>
      <c r="T131" s="134"/>
      <c r="U131" s="134"/>
      <c r="V131" s="136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</row>
    <row r="132">
      <c r="C132" s="129" t="str">
        <f t="array" ref="C132">INDEX('Player Database'!$D:$D,MATCH($D132,'Player Database'!$B:$B,0))</f>
        <v>#N/A</v>
      </c>
      <c r="D132" s="9" t="str">
        <f t="shared" si="1"/>
        <v> - </v>
      </c>
      <c r="E132" s="130" t="str">
        <f t="array" ref="E132">XLOOKUP($D132,'Player Database'!$B$2:$B1009,'Player Database'!$I$2:$I1009)</f>
        <v>#N/A</v>
      </c>
      <c r="F132" s="130" t="str">
        <f t="array" ref="F132">XLOOKUP($D132,'Player Database'!$B$2:$B1009,'Player Database'!$J$2:$J1009)</f>
        <v>#N/A</v>
      </c>
      <c r="G132" s="131" t="str">
        <f t="array" ref="G132">IF(H132="","",IFERROR(
  "https://sealeddeck.tech/" &amp; INDEX('Pool Changes'!F:F,
    MAX(
      ROW('Pool Changes'!A:A) *
      ('Pool Changes'!B:B=D132) *
      ('Pool Changes'!F:F&lt;&gt;"")
    )
  ),
  ""
))</f>
        <v/>
      </c>
      <c r="H132" s="131" t="str">
        <f>IFERROR(__xludf.DUMMYFUNCTION("LET(changes,FILTER('Pool Changes'!$B:$D, 'Pool Changes'!$B:$B = $D132),added,FILTER(INDEX(changes,0,3),INDEX(changes,0,2)=""starting pool""),TRANSPOSE(IFERROR(ARRAYFORMULA(IF(added&lt;&gt;"""",""https://sealeddeck.tech/""&amp;added,"""")),"""")))"),"")</f>
        <v/>
      </c>
      <c r="I132" s="132" t="str">
        <f>IFERROR(__xludf.DUMMYFUNCTION("LET(changes,FILTER('Pool Changes'!$B:$D, 'Pool Changes'!$B:$B = $D132),added,FILTER(INDEX(changes,0,3),INDEX(changes,0,2)=""add pack""),IFERROR(TRANSPOSE(ARRAYFORMULA(IF(added&lt;&gt;"""",HYPERLINK(""https://sealeddeck.tech/""&amp;added,""Link""),""""))),""""))"),"")</f>
        <v/>
      </c>
      <c r="J132" s="132"/>
      <c r="K132" s="132"/>
      <c r="L132" s="133"/>
      <c r="M132" s="135"/>
      <c r="N132" s="135"/>
      <c r="O132" s="135"/>
      <c r="P132" s="133"/>
      <c r="Q132" s="135"/>
      <c r="R132" s="135"/>
      <c r="S132" s="134"/>
      <c r="T132" s="134"/>
      <c r="U132" s="134"/>
      <c r="V132" s="136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</row>
    <row r="133">
      <c r="C133" s="129" t="str">
        <f t="array" ref="C133">INDEX('Player Database'!$D:$D,MATCH($D133,'Player Database'!$B:$B,0))</f>
        <v>#N/A</v>
      </c>
      <c r="D133" s="9" t="str">
        <f t="shared" si="1"/>
        <v> - </v>
      </c>
      <c r="E133" s="130" t="str">
        <f t="array" ref="E133">XLOOKUP($D133,'Player Database'!$B$2:$B1009,'Player Database'!$I$2:$I1009)</f>
        <v>#N/A</v>
      </c>
      <c r="F133" s="130" t="str">
        <f t="array" ref="F133">XLOOKUP($D133,'Player Database'!$B$2:$B1009,'Player Database'!$J$2:$J1009)</f>
        <v>#N/A</v>
      </c>
      <c r="G133" s="131" t="str">
        <f t="array" ref="G133">IF(H133="","",IFERROR(
  "https://sealeddeck.tech/" &amp; INDEX('Pool Changes'!F:F,
    MAX(
      ROW('Pool Changes'!A:A) *
      ('Pool Changes'!B:B=D133) *
      ('Pool Changes'!F:F&lt;&gt;"")
    )
  ),
  ""
))</f>
        <v/>
      </c>
      <c r="H133" s="131" t="str">
        <f>IFERROR(__xludf.DUMMYFUNCTION("LET(changes,FILTER('Pool Changes'!$B:$D, 'Pool Changes'!$B:$B = $D133),added,FILTER(INDEX(changes,0,3),INDEX(changes,0,2)=""starting pool""),TRANSPOSE(IFERROR(ARRAYFORMULA(IF(added&lt;&gt;"""",""https://sealeddeck.tech/""&amp;added,"""")),"""")))"),"")</f>
        <v/>
      </c>
      <c r="I133" s="132" t="str">
        <f>IFERROR(__xludf.DUMMYFUNCTION("LET(changes,FILTER('Pool Changes'!$B:$D, 'Pool Changes'!$B:$B = $D133),added,FILTER(INDEX(changes,0,3),INDEX(changes,0,2)=""add pack""),IFERROR(TRANSPOSE(ARRAYFORMULA(IF(added&lt;&gt;"""",HYPERLINK(""https://sealeddeck.tech/""&amp;added,""Link""),""""))),""""))"),"")</f>
        <v/>
      </c>
      <c r="J133" s="132"/>
      <c r="K133" s="132"/>
      <c r="L133" s="133"/>
      <c r="M133" s="135"/>
      <c r="N133" s="135"/>
      <c r="O133" s="135"/>
      <c r="P133" s="133"/>
      <c r="Q133" s="135"/>
      <c r="R133" s="135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</row>
    <row r="134">
      <c r="C134" s="129" t="str">
        <f t="array" ref="C134">INDEX('Player Database'!$D:$D,MATCH($D134,'Player Database'!$B:$B,0))</f>
        <v>#N/A</v>
      </c>
      <c r="D134" s="9" t="str">
        <f t="shared" si="1"/>
        <v> - </v>
      </c>
      <c r="E134" s="130" t="str">
        <f t="array" ref="E134">XLOOKUP($D134,'Player Database'!$B$2:$B1009,'Player Database'!$I$2:$I1009)</f>
        <v>#N/A</v>
      </c>
      <c r="F134" s="130" t="str">
        <f t="array" ref="F134">XLOOKUP($D134,'Player Database'!$B$2:$B1009,'Player Database'!$J$2:$J1009)</f>
        <v>#N/A</v>
      </c>
      <c r="G134" s="131" t="str">
        <f t="array" ref="G134">IF(H134="","",IFERROR(
  "https://sealeddeck.tech/" &amp; INDEX('Pool Changes'!F:F,
    MAX(
      ROW('Pool Changes'!A:A) *
      ('Pool Changes'!B:B=D134) *
      ('Pool Changes'!F:F&lt;&gt;"")
    )
  ),
  ""
))</f>
        <v/>
      </c>
      <c r="H134" s="131" t="str">
        <f>IFERROR(__xludf.DUMMYFUNCTION("LET(changes,FILTER('Pool Changes'!$B:$D, 'Pool Changes'!$B:$B = $D134),added,FILTER(INDEX(changes,0,3),INDEX(changes,0,2)=""starting pool""),TRANSPOSE(IFERROR(ARRAYFORMULA(IF(added&lt;&gt;"""",""https://sealeddeck.tech/""&amp;added,"""")),"""")))"),"")</f>
        <v/>
      </c>
      <c r="I134" s="132" t="str">
        <f>IFERROR(__xludf.DUMMYFUNCTION("LET(changes,FILTER('Pool Changes'!$B:$D, 'Pool Changes'!$B:$B = $D134),added,FILTER(INDEX(changes,0,3),INDEX(changes,0,2)=""add pack""),IFERROR(TRANSPOSE(ARRAYFORMULA(IF(added&lt;&gt;"""",HYPERLINK(""https://sealeddeck.tech/""&amp;added,""Link""),""""))),""""))"),"")</f>
        <v/>
      </c>
      <c r="J134" s="132"/>
      <c r="K134" s="132"/>
      <c r="L134" s="133"/>
      <c r="M134" s="135"/>
      <c r="N134" s="135"/>
      <c r="O134" s="135"/>
      <c r="P134" s="133"/>
      <c r="Q134" s="135"/>
      <c r="R134" s="135"/>
      <c r="S134" s="134"/>
      <c r="T134" s="134"/>
      <c r="U134" s="134"/>
      <c r="V134" s="136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</row>
    <row r="135">
      <c r="C135" s="129" t="str">
        <f t="array" ref="C135">INDEX('Player Database'!$D:$D,MATCH($D135,'Player Database'!$B:$B,0))</f>
        <v>#N/A</v>
      </c>
      <c r="D135" s="9" t="str">
        <f t="shared" si="1"/>
        <v> - </v>
      </c>
      <c r="E135" s="130" t="str">
        <f t="array" ref="E135">XLOOKUP($D135,'Player Database'!$B$2:$B1009,'Player Database'!$I$2:$I1009)</f>
        <v>#N/A</v>
      </c>
      <c r="F135" s="130" t="str">
        <f t="array" ref="F135">XLOOKUP($D135,'Player Database'!$B$2:$B1009,'Player Database'!$J$2:$J1009)</f>
        <v>#N/A</v>
      </c>
      <c r="G135" s="131" t="str">
        <f t="array" ref="G135">IF(H135="","",IFERROR(
  "https://sealeddeck.tech/" &amp; INDEX('Pool Changes'!F:F,
    MAX(
      ROW('Pool Changes'!A:A) *
      ('Pool Changes'!B:B=D135) *
      ('Pool Changes'!F:F&lt;&gt;"")
    )
  ),
  ""
))</f>
        <v/>
      </c>
      <c r="H135" s="131" t="str">
        <f>IFERROR(__xludf.DUMMYFUNCTION("LET(changes,FILTER('Pool Changes'!$B:$D, 'Pool Changes'!$B:$B = $D135),added,FILTER(INDEX(changes,0,3),INDEX(changes,0,2)=""starting pool""),TRANSPOSE(IFERROR(ARRAYFORMULA(IF(added&lt;&gt;"""",""https://sealeddeck.tech/""&amp;added,"""")),"""")))"),"")</f>
        <v/>
      </c>
      <c r="I135" s="132" t="str">
        <f>IFERROR(__xludf.DUMMYFUNCTION("LET(changes,FILTER('Pool Changes'!$B:$D, 'Pool Changes'!$B:$B = $D135),added,FILTER(INDEX(changes,0,3),INDEX(changes,0,2)=""add pack""),IFERROR(TRANSPOSE(ARRAYFORMULA(IF(added&lt;&gt;"""",HYPERLINK(""https://sealeddeck.tech/""&amp;added,""Link""),""""))),""""))"),"")</f>
        <v/>
      </c>
      <c r="J135" s="132"/>
      <c r="K135" s="132"/>
      <c r="L135" s="133"/>
      <c r="M135" s="135"/>
      <c r="N135" s="135"/>
      <c r="O135" s="135"/>
      <c r="P135" s="133"/>
      <c r="Q135" s="135"/>
      <c r="R135" s="135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</row>
    <row r="136">
      <c r="C136" s="129" t="str">
        <f t="array" ref="C136">INDEX('Player Database'!$D:$D,MATCH($D136,'Player Database'!$B:$B,0))</f>
        <v>#N/A</v>
      </c>
      <c r="D136" s="9" t="str">
        <f t="shared" si="1"/>
        <v> - </v>
      </c>
      <c r="E136" s="130" t="str">
        <f t="array" ref="E136">XLOOKUP($D136,'Player Database'!$B$2:$B1009,'Player Database'!$I$2:$I1009)</f>
        <v>#N/A</v>
      </c>
      <c r="F136" s="130" t="str">
        <f t="array" ref="F136">XLOOKUP($D136,'Player Database'!$B$2:$B1009,'Player Database'!$J$2:$J1009)</f>
        <v>#N/A</v>
      </c>
      <c r="G136" s="131" t="str">
        <f t="array" ref="G136">IF(H136="","",IFERROR(
  "https://sealeddeck.tech/" &amp; INDEX('Pool Changes'!F:F,
    MAX(
      ROW('Pool Changes'!A:A) *
      ('Pool Changes'!B:B=D136) *
      ('Pool Changes'!F:F&lt;&gt;"")
    )
  ),
  ""
))</f>
        <v/>
      </c>
      <c r="H136" s="131" t="str">
        <f>IFERROR(__xludf.DUMMYFUNCTION("LET(changes,FILTER('Pool Changes'!$B:$D, 'Pool Changes'!$B:$B = $D136),added,FILTER(INDEX(changes,0,3),INDEX(changes,0,2)=""starting pool""),TRANSPOSE(IFERROR(ARRAYFORMULA(IF(added&lt;&gt;"""",""https://sealeddeck.tech/""&amp;added,"""")),"""")))"),"")</f>
        <v/>
      </c>
      <c r="I136" s="132" t="str">
        <f>IFERROR(__xludf.DUMMYFUNCTION("LET(changes,FILTER('Pool Changes'!$B:$D, 'Pool Changes'!$B:$B = $D136),added,FILTER(INDEX(changes,0,3),INDEX(changes,0,2)=""add pack""),IFERROR(TRANSPOSE(ARRAYFORMULA(IF(added&lt;&gt;"""",HYPERLINK(""https://sealeddeck.tech/""&amp;added,""Link""),""""))),""""))"),"")</f>
        <v/>
      </c>
      <c r="J136" s="132"/>
      <c r="K136" s="132"/>
      <c r="L136" s="133"/>
      <c r="M136" s="135"/>
      <c r="N136" s="135"/>
      <c r="O136" s="135"/>
      <c r="P136" s="133"/>
      <c r="Q136" s="135"/>
      <c r="R136" s="135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4"/>
      <c r="AH136" s="134"/>
    </row>
    <row r="137">
      <c r="C137" s="129" t="str">
        <f t="array" ref="C137">INDEX('Player Database'!$D:$D,MATCH($D137,'Player Database'!$B:$B,0))</f>
        <v>#N/A</v>
      </c>
      <c r="D137" s="9" t="str">
        <f t="shared" si="1"/>
        <v> - </v>
      </c>
      <c r="E137" s="130" t="str">
        <f t="array" ref="E137">XLOOKUP($D137,'Player Database'!$B$2:$B1009,'Player Database'!$I$2:$I1009)</f>
        <v>#N/A</v>
      </c>
      <c r="F137" s="130" t="str">
        <f t="array" ref="F137">XLOOKUP($D137,'Player Database'!$B$2:$B1009,'Player Database'!$J$2:$J1009)</f>
        <v>#N/A</v>
      </c>
      <c r="G137" s="131" t="str">
        <f t="array" ref="G137">IF(H137="","",IFERROR(
  "https://sealeddeck.tech/" &amp; INDEX('Pool Changes'!F:F,
    MAX(
      ROW('Pool Changes'!A:A) *
      ('Pool Changes'!B:B=D137) *
      ('Pool Changes'!F:F&lt;&gt;"")
    )
  ),
  ""
))</f>
        <v/>
      </c>
      <c r="H137" s="131" t="str">
        <f>IFERROR(__xludf.DUMMYFUNCTION("LET(changes,FILTER('Pool Changes'!$B:$D, 'Pool Changes'!$B:$B = $D137),added,FILTER(INDEX(changes,0,3),INDEX(changes,0,2)=""starting pool""),TRANSPOSE(IFERROR(ARRAYFORMULA(IF(added&lt;&gt;"""",""https://sealeddeck.tech/""&amp;added,"""")),"""")))"),"")</f>
        <v/>
      </c>
      <c r="I137" s="132" t="str">
        <f>IFERROR(__xludf.DUMMYFUNCTION("LET(changes,FILTER('Pool Changes'!$B:$D, 'Pool Changes'!$B:$B = $D137),added,FILTER(INDEX(changes,0,3),INDEX(changes,0,2)=""add pack""),IFERROR(TRANSPOSE(ARRAYFORMULA(IF(added&lt;&gt;"""",HYPERLINK(""https://sealeddeck.tech/""&amp;added,""Link""),""""))),""""))"),"")</f>
        <v/>
      </c>
      <c r="J137" s="132"/>
      <c r="K137" s="132"/>
      <c r="L137" s="133"/>
      <c r="M137" s="135"/>
      <c r="N137" s="135"/>
      <c r="O137" s="135"/>
      <c r="P137" s="133"/>
      <c r="Q137" s="135"/>
      <c r="R137" s="135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</row>
    <row r="138">
      <c r="A138" s="143"/>
      <c r="B138" s="144"/>
      <c r="C138" s="129" t="str">
        <f t="array" ref="C138">INDEX('Player Database'!$D:$D,MATCH($D138,'Player Database'!$B:$B,0))</f>
        <v>#N/A</v>
      </c>
      <c r="D138" s="9" t="str">
        <f t="shared" si="1"/>
        <v> - </v>
      </c>
      <c r="E138" s="130" t="str">
        <f t="array" ref="E138">XLOOKUP($D138,'Player Database'!$B$2:$B1009,'Player Database'!$I$2:$I1009)</f>
        <v>#N/A</v>
      </c>
      <c r="F138" s="130" t="str">
        <f t="array" ref="F138">XLOOKUP($D138,'Player Database'!$B$2:$B1009,'Player Database'!$J$2:$J1009)</f>
        <v>#N/A</v>
      </c>
      <c r="G138" s="131" t="str">
        <f t="array" ref="G138">IF(H138="","",IFERROR(
  "https://sealeddeck.tech/" &amp; INDEX('Pool Changes'!F:F,
    MAX(
      ROW('Pool Changes'!A:A) *
      ('Pool Changes'!B:B=D138) *
      ('Pool Changes'!F:F&lt;&gt;"")
    )
  ),
  ""
))</f>
        <v/>
      </c>
      <c r="H138" s="131" t="str">
        <f>IFERROR(__xludf.DUMMYFUNCTION("LET(changes,FILTER('Pool Changes'!$B:$D, 'Pool Changes'!$B:$B = $D138),added,FILTER(INDEX(changes,0,3),INDEX(changes,0,2)=""starting pool""),TRANSPOSE(IFERROR(ARRAYFORMULA(IF(added&lt;&gt;"""",""https://sealeddeck.tech/""&amp;added,"""")),"""")))"),"")</f>
        <v/>
      </c>
      <c r="I138" s="132" t="str">
        <f>IFERROR(__xludf.DUMMYFUNCTION("LET(changes,FILTER('Pool Changes'!$B:$D, 'Pool Changes'!$B:$B = $D138),added,FILTER(INDEX(changes,0,3),INDEX(changes,0,2)=""add pack""),IFERROR(TRANSPOSE(ARRAYFORMULA(IF(added&lt;&gt;"""",HYPERLINK(""https://sealeddeck.tech/""&amp;added,""Link""),""""))),""""))"),"")</f>
        <v/>
      </c>
      <c r="J138" s="132"/>
      <c r="K138" s="132"/>
      <c r="L138" s="132"/>
      <c r="M138" s="133"/>
      <c r="N138" s="135"/>
      <c r="O138" s="135"/>
      <c r="P138" s="135"/>
      <c r="Q138" s="133"/>
      <c r="R138" s="133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</row>
    <row r="139">
      <c r="A139" s="143"/>
      <c r="B139" s="144"/>
      <c r="C139" s="129" t="str">
        <f t="array" ref="C139">INDEX('Player Database'!$D:$D,MATCH($D139,'Player Database'!$B:$B,0))</f>
        <v>#N/A</v>
      </c>
      <c r="D139" s="9" t="str">
        <f t="shared" si="1"/>
        <v> - </v>
      </c>
      <c r="E139" s="130" t="str">
        <f t="array" ref="E139">XLOOKUP($D139,'Player Database'!$B$2:$B1009,'Player Database'!$I$2:$I1009)</f>
        <v>#N/A</v>
      </c>
      <c r="F139" s="130" t="str">
        <f t="array" ref="F139">XLOOKUP($D139,'Player Database'!$B$2:$B1009,'Player Database'!$J$2:$J1009)</f>
        <v>#N/A</v>
      </c>
      <c r="G139" s="131" t="str">
        <f t="array" ref="G139">IF(H139="","",IFERROR(
  "https://sealeddeck.tech/" &amp; INDEX('Pool Changes'!F:F,
    MAX(
      ROW('Pool Changes'!A:A) *
      ('Pool Changes'!B:B=D139) *
      ('Pool Changes'!F:F&lt;&gt;"")
    )
  ),
  ""
))</f>
        <v/>
      </c>
      <c r="H139" s="131" t="str">
        <f>IFERROR(__xludf.DUMMYFUNCTION("LET(changes,FILTER('Pool Changes'!$B:$D, 'Pool Changes'!$B:$B = $D139),added,FILTER(INDEX(changes,0,3),INDEX(changes,0,2)=""starting pool""),TRANSPOSE(IFERROR(ARRAYFORMULA(IF(added&lt;&gt;"""",""https://sealeddeck.tech/""&amp;added,"""")),"""")))"),"")</f>
        <v/>
      </c>
      <c r="I139" s="132" t="str">
        <f>IFERROR(__xludf.DUMMYFUNCTION("LET(changes,FILTER('Pool Changes'!$B:$D, 'Pool Changes'!$B:$B = $D139),added,FILTER(INDEX(changes,0,3),INDEX(changes,0,2)=""add pack""),IFERROR(TRANSPOSE(ARRAYFORMULA(IF(added&lt;&gt;"""",HYPERLINK(""https://sealeddeck.tech/""&amp;added,""Link""),""""))),""""))"),"")</f>
        <v/>
      </c>
      <c r="J139" s="132"/>
      <c r="K139" s="132"/>
      <c r="L139" s="132"/>
      <c r="M139" s="133"/>
      <c r="N139" s="135"/>
      <c r="O139" s="135"/>
      <c r="P139" s="135"/>
      <c r="Q139" s="133"/>
      <c r="R139" s="133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</row>
    <row r="140">
      <c r="A140" s="143"/>
      <c r="B140" s="144"/>
      <c r="C140" s="129" t="str">
        <f t="array" ref="C140">INDEX('Player Database'!$D:$D,MATCH($D140,'Player Database'!$B:$B,0))</f>
        <v>#N/A</v>
      </c>
      <c r="D140" s="9" t="str">
        <f t="shared" si="1"/>
        <v> - </v>
      </c>
      <c r="E140" s="130" t="str">
        <f t="array" ref="E140">XLOOKUP($D140,'Player Database'!$B$2:$B1009,'Player Database'!$I$2:$I1009)</f>
        <v>#N/A</v>
      </c>
      <c r="F140" s="130" t="str">
        <f t="array" ref="F140">XLOOKUP($D140,'Player Database'!$B$2:$B1009,'Player Database'!$J$2:$J1009)</f>
        <v>#N/A</v>
      </c>
      <c r="G140" s="131" t="str">
        <f t="array" ref="G140">IF(H140="","",IFERROR(
  "https://sealeddeck.tech/" &amp; INDEX('Pool Changes'!F:F,
    MAX(
      ROW('Pool Changes'!A:A) *
      ('Pool Changes'!B:B=D140) *
      ('Pool Changes'!F:F&lt;&gt;"")
    )
  ),
  ""
))</f>
        <v/>
      </c>
      <c r="H140" s="131" t="str">
        <f>IFERROR(__xludf.DUMMYFUNCTION("LET(changes,FILTER('Pool Changes'!$B:$D, 'Pool Changes'!$B:$B = $D140),added,FILTER(INDEX(changes,0,3),INDEX(changes,0,2)=""starting pool""),TRANSPOSE(IFERROR(ARRAYFORMULA(IF(added&lt;&gt;"""",""https://sealeddeck.tech/""&amp;added,"""")),"""")))"),"")</f>
        <v/>
      </c>
      <c r="I140" s="132" t="str">
        <f>IFERROR(__xludf.DUMMYFUNCTION("LET(changes,FILTER('Pool Changes'!$B:$D, 'Pool Changes'!$B:$B = $D140),added,FILTER(INDEX(changes,0,3),INDEX(changes,0,2)=""add pack""),IFERROR(TRANSPOSE(ARRAYFORMULA(IF(added&lt;&gt;"""",HYPERLINK(""https://sealeddeck.tech/""&amp;added,""Link""),""""))),""""))"),"")</f>
        <v/>
      </c>
      <c r="J140" s="132"/>
      <c r="K140" s="132"/>
      <c r="L140" s="132"/>
      <c r="M140" s="133"/>
      <c r="N140" s="135"/>
      <c r="O140" s="135"/>
      <c r="P140" s="135"/>
      <c r="Q140" s="133"/>
      <c r="R140" s="133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</row>
    <row r="141">
      <c r="A141" s="143"/>
      <c r="B141" s="144"/>
      <c r="C141" s="129" t="str">
        <f t="array" ref="C141">INDEX('Player Database'!$D:$D,MATCH($D141,'Player Database'!$B:$B,0))</f>
        <v>#N/A</v>
      </c>
      <c r="D141" s="9" t="str">
        <f t="shared" si="1"/>
        <v> - </v>
      </c>
      <c r="E141" s="130" t="str">
        <f t="array" ref="E141">XLOOKUP($D141,'Player Database'!$B$2:$B1009,'Player Database'!$I$2:$I1009)</f>
        <v>#N/A</v>
      </c>
      <c r="F141" s="130" t="str">
        <f t="array" ref="F141">XLOOKUP($D141,'Player Database'!$B$2:$B1009,'Player Database'!$J$2:$J1009)</f>
        <v>#N/A</v>
      </c>
      <c r="G141" s="131" t="str">
        <f t="array" ref="G141">IF(H141="","",IFERROR(
  "https://sealeddeck.tech/" &amp; INDEX('Pool Changes'!F:F,
    MAX(
      ROW('Pool Changes'!A:A) *
      ('Pool Changes'!B:B=D141) *
      ('Pool Changes'!F:F&lt;&gt;"")
    )
  ),
  ""
))</f>
        <v/>
      </c>
      <c r="H141" s="131" t="str">
        <f>IFERROR(__xludf.DUMMYFUNCTION("LET(changes,FILTER('Pool Changes'!$B:$D, 'Pool Changes'!$B:$B = $D141),added,FILTER(INDEX(changes,0,3),INDEX(changes,0,2)=""starting pool""),TRANSPOSE(IFERROR(ARRAYFORMULA(IF(added&lt;&gt;"""",""https://sealeddeck.tech/""&amp;added,"""")),"""")))"),"")</f>
        <v/>
      </c>
      <c r="I141" s="132" t="str">
        <f>IFERROR(__xludf.DUMMYFUNCTION("LET(changes,FILTER('Pool Changes'!$B:$D, 'Pool Changes'!$B:$B = $D141),added,FILTER(INDEX(changes,0,3),INDEX(changes,0,2)=""add pack""),IFERROR(TRANSPOSE(ARRAYFORMULA(IF(added&lt;&gt;"""",HYPERLINK(""https://sealeddeck.tech/""&amp;added,""Link""),""""))),""""))"),"")</f>
        <v/>
      </c>
      <c r="J141" s="132"/>
      <c r="K141" s="132"/>
      <c r="L141" s="132"/>
      <c r="M141" s="133"/>
      <c r="N141" s="135"/>
      <c r="O141" s="135"/>
      <c r="P141" s="135"/>
      <c r="Q141" s="133"/>
      <c r="R141" s="133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</row>
    <row r="142">
      <c r="A142" s="143"/>
      <c r="B142" s="144"/>
      <c r="C142" s="129" t="str">
        <f t="array" ref="C142">INDEX('Player Database'!$D:$D,MATCH($D142,'Player Database'!$B:$B,0))</f>
        <v>#N/A</v>
      </c>
      <c r="D142" s="9" t="str">
        <f t="shared" si="1"/>
        <v> - </v>
      </c>
      <c r="E142" s="130" t="str">
        <f t="array" ref="E142">XLOOKUP($D142,'Player Database'!$B$2:$B1009,'Player Database'!$I$2:$I1009)</f>
        <v>#N/A</v>
      </c>
      <c r="F142" s="130" t="str">
        <f t="array" ref="F142">XLOOKUP($D142,'Player Database'!$B$2:$B1009,'Player Database'!$J$2:$J1009)</f>
        <v>#N/A</v>
      </c>
      <c r="G142" s="131" t="str">
        <f t="array" ref="G142">IF(H142="","",IFERROR(
  "https://sealeddeck.tech/" &amp; INDEX('Pool Changes'!F:F,
    MAX(
      ROW('Pool Changes'!A:A) *
      ('Pool Changes'!B:B=D142) *
      ('Pool Changes'!F:F&lt;&gt;"")
    )
  ),
  ""
))</f>
        <v/>
      </c>
      <c r="H142" s="131" t="str">
        <f>IFERROR(__xludf.DUMMYFUNCTION("LET(changes,FILTER('Pool Changes'!$B:$D, 'Pool Changes'!$B:$B = $D142),added,FILTER(INDEX(changes,0,3),INDEX(changes,0,2)=""starting pool""),TRANSPOSE(IFERROR(ARRAYFORMULA(IF(added&lt;&gt;"""",""https://sealeddeck.tech/""&amp;added,"""")),"""")))"),"")</f>
        <v/>
      </c>
      <c r="I142" s="132" t="str">
        <f>IFERROR(__xludf.DUMMYFUNCTION("LET(changes,FILTER('Pool Changes'!$B:$D, 'Pool Changes'!$B:$B = $D142),added,FILTER(INDEX(changes,0,3),INDEX(changes,0,2)=""add pack""),IFERROR(TRANSPOSE(ARRAYFORMULA(IF(added&lt;&gt;"""",HYPERLINK(""https://sealeddeck.tech/""&amp;added,""Link""),""""))),""""))"),"")</f>
        <v/>
      </c>
      <c r="J142" s="132"/>
      <c r="K142" s="132"/>
      <c r="L142" s="132"/>
      <c r="M142" s="133"/>
      <c r="N142" s="135"/>
      <c r="O142" s="135"/>
      <c r="P142" s="135"/>
      <c r="Q142" s="133"/>
      <c r="R142" s="133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4"/>
      <c r="AD142" s="134"/>
      <c r="AE142" s="134"/>
      <c r="AF142" s="134"/>
      <c r="AG142" s="134"/>
      <c r="AH142" s="134"/>
    </row>
    <row r="143">
      <c r="A143" s="143"/>
      <c r="B143" s="144"/>
      <c r="C143" s="129" t="str">
        <f t="array" ref="C143">INDEX('Player Database'!$D:$D,MATCH($D143,'Player Database'!$B:$B,0))</f>
        <v>#N/A</v>
      </c>
      <c r="D143" s="9" t="str">
        <f t="shared" si="1"/>
        <v> - </v>
      </c>
      <c r="E143" s="130" t="str">
        <f t="array" ref="E143">XLOOKUP($D143,'Player Database'!$B$2:$B1009,'Player Database'!$I$2:$I1009)</f>
        <v>#N/A</v>
      </c>
      <c r="F143" s="130" t="str">
        <f t="array" ref="F143">XLOOKUP($D143,'Player Database'!$B$2:$B1009,'Player Database'!$J$2:$J1009)</f>
        <v>#N/A</v>
      </c>
      <c r="G143" s="131" t="str">
        <f t="array" ref="G143">IF(H143="","",IFERROR(
  "https://sealeddeck.tech/" &amp; INDEX('Pool Changes'!F:F,
    MAX(
      ROW('Pool Changes'!A:A) *
      ('Pool Changes'!B:B=D143) *
      ('Pool Changes'!F:F&lt;&gt;"")
    )
  ),
  ""
))</f>
        <v/>
      </c>
      <c r="H143" s="131" t="str">
        <f>IFERROR(__xludf.DUMMYFUNCTION("LET(changes,FILTER('Pool Changes'!$B:$D, 'Pool Changes'!$B:$B = $D143),added,FILTER(INDEX(changes,0,3),INDEX(changes,0,2)=""starting pool""),TRANSPOSE(IFERROR(ARRAYFORMULA(IF(added&lt;&gt;"""",""https://sealeddeck.tech/""&amp;added,"""")),"""")))"),"")</f>
        <v/>
      </c>
      <c r="I143" s="132" t="str">
        <f>IFERROR(__xludf.DUMMYFUNCTION("LET(changes,FILTER('Pool Changes'!$B:$D, 'Pool Changes'!$B:$B = $D143),added,FILTER(INDEX(changes,0,3),INDEX(changes,0,2)=""add pack""),IFERROR(TRANSPOSE(ARRAYFORMULA(IF(added&lt;&gt;"""",HYPERLINK(""https://sealeddeck.tech/""&amp;added,""Link""),""""))),""""))"),"")</f>
        <v/>
      </c>
      <c r="J143" s="132"/>
      <c r="K143" s="132"/>
      <c r="L143" s="132"/>
      <c r="M143" s="133"/>
      <c r="N143" s="135"/>
      <c r="O143" s="135"/>
      <c r="P143" s="135"/>
      <c r="Q143" s="133"/>
      <c r="R143" s="133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</row>
    <row r="144">
      <c r="A144" s="143"/>
      <c r="B144" s="144"/>
      <c r="C144" s="129" t="str">
        <f t="array" ref="C144">INDEX('Player Database'!$D:$D,MATCH($D144,'Player Database'!$B:$B,0))</f>
        <v>#N/A</v>
      </c>
      <c r="D144" s="9" t="str">
        <f t="shared" si="1"/>
        <v> - </v>
      </c>
      <c r="E144" s="130" t="str">
        <f t="array" ref="E144">XLOOKUP($D144,'Player Database'!$B$2:$B1009,'Player Database'!$I$2:$I1009)</f>
        <v>#N/A</v>
      </c>
      <c r="F144" s="130" t="str">
        <f t="array" ref="F144">XLOOKUP($D144,'Player Database'!$B$2:$B1009,'Player Database'!$J$2:$J1009)</f>
        <v>#N/A</v>
      </c>
      <c r="G144" s="131" t="str">
        <f t="array" ref="G144">IF(H144="","",IFERROR(
  "https://sealeddeck.tech/" &amp; INDEX('Pool Changes'!F:F,
    MAX(
      ROW('Pool Changes'!A:A) *
      ('Pool Changes'!B:B=D144) *
      ('Pool Changes'!F:F&lt;&gt;"")
    )
  ),
  ""
))</f>
        <v/>
      </c>
      <c r="H144" s="131" t="str">
        <f>IFERROR(__xludf.DUMMYFUNCTION("LET(changes,FILTER('Pool Changes'!$B:$D, 'Pool Changes'!$B:$B = $D144),added,FILTER(INDEX(changes,0,3),INDEX(changes,0,2)=""starting pool""),TRANSPOSE(IFERROR(ARRAYFORMULA(IF(added&lt;&gt;"""",""https://sealeddeck.tech/""&amp;added,"""")),"""")))"),"")</f>
        <v/>
      </c>
      <c r="I144" s="132" t="str">
        <f>IFERROR(__xludf.DUMMYFUNCTION("LET(changes,FILTER('Pool Changes'!$B:$D, 'Pool Changes'!$B:$B = $D144),added,FILTER(INDEX(changes,0,3),INDEX(changes,0,2)=""add pack""),IFERROR(TRANSPOSE(ARRAYFORMULA(IF(added&lt;&gt;"""",HYPERLINK(""https://sealeddeck.tech/""&amp;added,""Link""),""""))),""""))"),"")</f>
        <v/>
      </c>
      <c r="J144" s="132"/>
      <c r="K144" s="132"/>
      <c r="L144" s="132"/>
      <c r="M144" s="133"/>
      <c r="N144" s="135"/>
      <c r="O144" s="135"/>
      <c r="P144" s="135"/>
      <c r="Q144" s="133"/>
      <c r="R144" s="133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</row>
    <row r="145">
      <c r="A145" s="143"/>
      <c r="B145" s="144"/>
      <c r="C145" s="129" t="str">
        <f t="array" ref="C145">INDEX('Player Database'!$D:$D,MATCH($D145,'Player Database'!$B:$B,0))</f>
        <v>#N/A</v>
      </c>
      <c r="D145" s="9" t="str">
        <f t="shared" si="1"/>
        <v> - </v>
      </c>
      <c r="E145" s="130" t="str">
        <f t="array" ref="E145">XLOOKUP($D145,'Player Database'!$B$2:$B1009,'Player Database'!$I$2:$I1009)</f>
        <v>#N/A</v>
      </c>
      <c r="F145" s="130" t="str">
        <f t="array" ref="F145">XLOOKUP($D145,'Player Database'!$B$2:$B1009,'Player Database'!$J$2:$J1009)</f>
        <v>#N/A</v>
      </c>
      <c r="G145" s="131" t="str">
        <f t="array" ref="G145">IF(H145="","",IFERROR(
  "https://sealeddeck.tech/" &amp; INDEX('Pool Changes'!F:F,
    MAX(
      ROW('Pool Changes'!A:A) *
      ('Pool Changes'!B:B=D145) *
      ('Pool Changes'!F:F&lt;&gt;"")
    )
  ),
  ""
))</f>
        <v/>
      </c>
      <c r="H145" s="131" t="str">
        <f>IFERROR(__xludf.DUMMYFUNCTION("LET(changes,FILTER('Pool Changes'!$B:$D, 'Pool Changes'!$B:$B = $D145),added,FILTER(INDEX(changes,0,3),INDEX(changes,0,2)=""starting pool""),TRANSPOSE(IFERROR(ARRAYFORMULA(IF(added&lt;&gt;"""",""https://sealeddeck.tech/""&amp;added,"""")),"""")))"),"")</f>
        <v/>
      </c>
      <c r="I145" s="132" t="str">
        <f>IFERROR(__xludf.DUMMYFUNCTION("LET(changes,FILTER('Pool Changes'!$B:$D, 'Pool Changes'!$B:$B = $D145),added,FILTER(INDEX(changes,0,3),INDEX(changes,0,2)=""add pack""),IFERROR(TRANSPOSE(ARRAYFORMULA(IF(added&lt;&gt;"""",HYPERLINK(""https://sealeddeck.tech/""&amp;added,""Link""),""""))),""""))"),"")</f>
        <v/>
      </c>
      <c r="J145" s="132"/>
      <c r="K145" s="132"/>
      <c r="L145" s="132"/>
      <c r="M145" s="133"/>
      <c r="N145" s="135"/>
      <c r="O145" s="135"/>
      <c r="P145" s="135"/>
      <c r="Q145" s="133"/>
      <c r="R145" s="133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</row>
    <row r="146">
      <c r="A146" s="143"/>
      <c r="B146" s="144"/>
      <c r="C146" s="129" t="str">
        <f t="array" ref="C146">INDEX('Player Database'!$D:$D,MATCH($D146,'Player Database'!$B:$B,0))</f>
        <v>#N/A</v>
      </c>
      <c r="D146" s="9" t="str">
        <f t="shared" si="1"/>
        <v> - </v>
      </c>
      <c r="E146" s="130" t="str">
        <f t="array" ref="E146">XLOOKUP($D146,'Player Database'!$B$2:$B1009,'Player Database'!$I$2:$I1009)</f>
        <v>#N/A</v>
      </c>
      <c r="F146" s="130" t="str">
        <f t="array" ref="F146">XLOOKUP($D146,'Player Database'!$B$2:$B1009,'Player Database'!$J$2:$J1009)</f>
        <v>#N/A</v>
      </c>
      <c r="G146" s="131" t="str">
        <f t="array" ref="G146">IF(H146="","",IFERROR(
  "https://sealeddeck.tech/" &amp; INDEX('Pool Changes'!F:F,
    MAX(
      ROW('Pool Changes'!A:A) *
      ('Pool Changes'!B:B=D146) *
      ('Pool Changes'!F:F&lt;&gt;"")
    )
  ),
  ""
))</f>
        <v/>
      </c>
      <c r="H146" s="131" t="str">
        <f>IFERROR(__xludf.DUMMYFUNCTION("LET(changes,FILTER('Pool Changes'!$B:$D, 'Pool Changes'!$B:$B = $D146),added,FILTER(INDEX(changes,0,3),INDEX(changes,0,2)=""starting pool""),TRANSPOSE(IFERROR(ARRAYFORMULA(IF(added&lt;&gt;"""",""https://sealeddeck.tech/""&amp;added,"""")),"""")))"),"")</f>
        <v/>
      </c>
      <c r="I146" s="132" t="str">
        <f>IFERROR(__xludf.DUMMYFUNCTION("LET(changes,FILTER('Pool Changes'!$B:$D, 'Pool Changes'!$B:$B = $D146),added,FILTER(INDEX(changes,0,3),INDEX(changes,0,2)=""add pack""),IFERROR(TRANSPOSE(ARRAYFORMULA(IF(added&lt;&gt;"""",HYPERLINK(""https://sealeddeck.tech/""&amp;added,""Link""),""""))),""""))"),"")</f>
        <v/>
      </c>
      <c r="J146" s="132"/>
      <c r="K146" s="132"/>
      <c r="L146" s="132"/>
      <c r="M146" s="133"/>
      <c r="N146" s="135"/>
      <c r="O146" s="135"/>
      <c r="P146" s="135"/>
      <c r="Q146" s="133"/>
      <c r="R146" s="133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</row>
    <row r="147">
      <c r="A147" s="143"/>
      <c r="B147" s="144"/>
      <c r="C147" s="129" t="str">
        <f t="array" ref="C147">INDEX('Player Database'!$D:$D,MATCH($D147,'Player Database'!$B:$B,0))</f>
        <v>#N/A</v>
      </c>
      <c r="D147" s="9" t="str">
        <f t="shared" si="1"/>
        <v> - </v>
      </c>
      <c r="E147" s="130" t="str">
        <f t="array" ref="E147">XLOOKUP($D147,'Player Database'!$B$2:$B1009,'Player Database'!$I$2:$I1009)</f>
        <v>#N/A</v>
      </c>
      <c r="F147" s="130" t="str">
        <f t="array" ref="F147">XLOOKUP($D147,'Player Database'!$B$2:$B1009,'Player Database'!$J$2:$J1009)</f>
        <v>#N/A</v>
      </c>
      <c r="G147" s="131" t="str">
        <f t="array" ref="G147">IF(H147="","",IFERROR(
  "https://sealeddeck.tech/" &amp; INDEX('Pool Changes'!F:F,
    MAX(
      ROW('Pool Changes'!A:A) *
      ('Pool Changes'!B:B=D147) *
      ('Pool Changes'!F:F&lt;&gt;"")
    )
  ),
  ""
))</f>
        <v/>
      </c>
      <c r="H147" s="131" t="str">
        <f>IFERROR(__xludf.DUMMYFUNCTION("LET(changes,FILTER('Pool Changes'!$B:$D, 'Pool Changes'!$B:$B = $D147),added,FILTER(INDEX(changes,0,3),INDEX(changes,0,2)=""starting pool""),TRANSPOSE(IFERROR(ARRAYFORMULA(IF(added&lt;&gt;"""",""https://sealeddeck.tech/""&amp;added,"""")),"""")))"),"")</f>
        <v/>
      </c>
      <c r="I147" s="132" t="str">
        <f>IFERROR(__xludf.DUMMYFUNCTION("LET(changes,FILTER('Pool Changes'!$B:$D, 'Pool Changes'!$B:$B = $D147),added,FILTER(INDEX(changes,0,3),INDEX(changes,0,2)=""add pack""),IFERROR(TRANSPOSE(ARRAYFORMULA(IF(added&lt;&gt;"""",HYPERLINK(""https://sealeddeck.tech/""&amp;added,""Link""),""""))),""""))"),"")</f>
        <v/>
      </c>
      <c r="J147" s="132"/>
      <c r="K147" s="132"/>
      <c r="L147" s="132"/>
      <c r="M147" s="133"/>
      <c r="N147" s="135"/>
      <c r="O147" s="135"/>
      <c r="P147" s="135"/>
      <c r="Q147" s="133"/>
      <c r="R147" s="133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</row>
    <row r="148">
      <c r="A148" s="143"/>
      <c r="B148" s="144"/>
      <c r="C148" s="129" t="str">
        <f t="array" ref="C148">INDEX('Player Database'!$D:$D,MATCH($D148,'Player Database'!$B:$B,0))</f>
        <v>#N/A</v>
      </c>
      <c r="D148" s="9" t="str">
        <f t="shared" si="1"/>
        <v> - </v>
      </c>
      <c r="E148" s="130" t="str">
        <f t="array" ref="E148">XLOOKUP($D148,'Player Database'!$B$2:$B1009,'Player Database'!$I$2:$I1009)</f>
        <v>#N/A</v>
      </c>
      <c r="F148" s="130" t="str">
        <f t="array" ref="F148">XLOOKUP($D148,'Player Database'!$B$2:$B1009,'Player Database'!$J$2:$J1009)</f>
        <v>#N/A</v>
      </c>
      <c r="G148" s="131" t="str">
        <f t="array" ref="G148">IF(H148="","",IFERROR(
  "https://sealeddeck.tech/" &amp; INDEX('Pool Changes'!F:F,
    MAX(
      ROW('Pool Changes'!A:A) *
      ('Pool Changes'!B:B=D148) *
      ('Pool Changes'!F:F&lt;&gt;"")
    )
  ),
  ""
))</f>
        <v/>
      </c>
      <c r="H148" s="131" t="str">
        <f>IFERROR(__xludf.DUMMYFUNCTION("LET(changes,FILTER('Pool Changes'!$B:$D, 'Pool Changes'!$B:$B = $D148),added,FILTER(INDEX(changes,0,3),INDEX(changes,0,2)=""starting pool""),TRANSPOSE(IFERROR(ARRAYFORMULA(IF(added&lt;&gt;"""",""https://sealeddeck.tech/""&amp;added,"""")),"""")))"),"")</f>
        <v/>
      </c>
      <c r="I148" s="132" t="str">
        <f>IFERROR(__xludf.DUMMYFUNCTION("LET(changes,FILTER('Pool Changes'!$B:$D, 'Pool Changes'!$B:$B = $D148),added,FILTER(INDEX(changes,0,3),INDEX(changes,0,2)=""add pack""),IFERROR(TRANSPOSE(ARRAYFORMULA(IF(added&lt;&gt;"""",HYPERLINK(""https://sealeddeck.tech/""&amp;added,""Link""),""""))),""""))"),"")</f>
        <v/>
      </c>
      <c r="J148" s="132"/>
      <c r="K148" s="132"/>
      <c r="L148" s="132"/>
      <c r="M148" s="133"/>
      <c r="N148" s="135"/>
      <c r="O148" s="135"/>
      <c r="P148" s="135"/>
      <c r="Q148" s="133"/>
      <c r="R148" s="133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</row>
    <row r="149">
      <c r="A149" s="143"/>
      <c r="B149" s="144"/>
      <c r="C149" s="129" t="str">
        <f t="array" ref="C149">INDEX('Player Database'!$D:$D,MATCH($D149,'Player Database'!$B:$B,0))</f>
        <v>#N/A</v>
      </c>
      <c r="D149" s="9" t="str">
        <f t="shared" si="1"/>
        <v> - </v>
      </c>
      <c r="E149" s="130" t="str">
        <f t="array" ref="E149">XLOOKUP($D149,'Player Database'!$B$2:$B1009,'Player Database'!$I$2:$I1009)</f>
        <v>#N/A</v>
      </c>
      <c r="F149" s="130" t="str">
        <f t="array" ref="F149">XLOOKUP($D149,'Player Database'!$B$2:$B1009,'Player Database'!$J$2:$J1009)</f>
        <v>#N/A</v>
      </c>
      <c r="G149" s="131" t="str">
        <f t="array" ref="G149">IF(H149="","",IFERROR(
  "https://sealeddeck.tech/" &amp; INDEX('Pool Changes'!F:F,
    MAX(
      ROW('Pool Changes'!A:A) *
      ('Pool Changes'!B:B=D149) *
      ('Pool Changes'!F:F&lt;&gt;"")
    )
  ),
  ""
))</f>
        <v/>
      </c>
      <c r="H149" s="131" t="str">
        <f>IFERROR(__xludf.DUMMYFUNCTION("LET(changes,FILTER('Pool Changes'!$B:$D, 'Pool Changes'!$B:$B = $D149),added,FILTER(INDEX(changes,0,3),INDEX(changes,0,2)=""starting pool""),TRANSPOSE(IFERROR(ARRAYFORMULA(IF(added&lt;&gt;"""",""https://sealeddeck.tech/""&amp;added,"""")),"""")))"),"")</f>
        <v/>
      </c>
      <c r="I149" s="132" t="str">
        <f>IFERROR(__xludf.DUMMYFUNCTION("LET(changes,FILTER('Pool Changes'!$B:$D, 'Pool Changes'!$B:$B = $D149),added,FILTER(INDEX(changes,0,3),INDEX(changes,0,2)=""add pack""),IFERROR(TRANSPOSE(ARRAYFORMULA(IF(added&lt;&gt;"""",HYPERLINK(""https://sealeddeck.tech/""&amp;added,""Link""),""""))),""""))"),"")</f>
        <v/>
      </c>
      <c r="J149" s="132"/>
      <c r="K149" s="132"/>
      <c r="L149" s="132"/>
      <c r="M149" s="133"/>
      <c r="N149" s="135"/>
      <c r="O149" s="135"/>
      <c r="P149" s="135"/>
      <c r="Q149" s="133"/>
      <c r="R149" s="133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</row>
    <row r="150">
      <c r="A150" s="143"/>
      <c r="B150" s="144"/>
      <c r="C150" s="129" t="str">
        <f t="array" ref="C150">INDEX('Player Database'!$D:$D,MATCH($D150,'Player Database'!$B:$B,0))</f>
        <v>#N/A</v>
      </c>
      <c r="D150" s="9" t="str">
        <f t="shared" si="1"/>
        <v> - </v>
      </c>
      <c r="E150" s="130" t="str">
        <f t="array" ref="E150">XLOOKUP($D150,'Player Database'!$B$2:$B1009,'Player Database'!$I$2:$I1009)</f>
        <v>#N/A</v>
      </c>
      <c r="F150" s="130" t="str">
        <f t="array" ref="F150">XLOOKUP($D150,'Player Database'!$B$2:$B1009,'Player Database'!$J$2:$J1009)</f>
        <v>#N/A</v>
      </c>
      <c r="G150" s="131" t="str">
        <f t="array" ref="G150">IF(H150="","",IFERROR(
  "https://sealeddeck.tech/" &amp; INDEX('Pool Changes'!F:F,
    MAX(
      ROW('Pool Changes'!A:A) *
      ('Pool Changes'!B:B=D150) *
      ('Pool Changes'!F:F&lt;&gt;"")
    )
  ),
  ""
))</f>
        <v/>
      </c>
      <c r="H150" s="131" t="str">
        <f>IFERROR(__xludf.DUMMYFUNCTION("LET(changes,FILTER('Pool Changes'!$B:$D, 'Pool Changes'!$B:$B = $D150),added,FILTER(INDEX(changes,0,3),INDEX(changes,0,2)=""starting pool""),TRANSPOSE(IFERROR(ARRAYFORMULA(IF(added&lt;&gt;"""",""https://sealeddeck.tech/""&amp;added,"""")),"""")))"),"")</f>
        <v/>
      </c>
      <c r="I150" s="132" t="str">
        <f>IFERROR(__xludf.DUMMYFUNCTION("LET(changes,FILTER('Pool Changes'!$B:$D, 'Pool Changes'!$B:$B = $D150),added,FILTER(INDEX(changes,0,3),INDEX(changes,0,2)=""add pack""),IFERROR(TRANSPOSE(ARRAYFORMULA(IF(added&lt;&gt;"""",HYPERLINK(""https://sealeddeck.tech/""&amp;added,""Link""),""""))),""""))"),"")</f>
        <v/>
      </c>
      <c r="J150" s="132"/>
      <c r="K150" s="132"/>
      <c r="L150" s="132"/>
      <c r="M150" s="133"/>
      <c r="N150" s="135"/>
      <c r="O150" s="135"/>
      <c r="P150" s="135"/>
      <c r="Q150" s="133"/>
      <c r="R150" s="133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</row>
    <row r="151">
      <c r="A151" s="143"/>
      <c r="B151" s="144"/>
      <c r="C151" s="129" t="str">
        <f t="array" ref="C151">INDEX('Player Database'!$D:$D,MATCH($D151,'Player Database'!$B:$B,0))</f>
        <v>#N/A</v>
      </c>
      <c r="D151" s="9" t="str">
        <f t="shared" si="1"/>
        <v> - </v>
      </c>
      <c r="E151" s="130" t="str">
        <f t="array" ref="E151">XLOOKUP($D151,'Player Database'!$B$2:$B1009,'Player Database'!$I$2:$I1009)</f>
        <v>#N/A</v>
      </c>
      <c r="F151" s="130" t="str">
        <f t="array" ref="F151">XLOOKUP($D151,'Player Database'!$B$2:$B1009,'Player Database'!$J$2:$J1009)</f>
        <v>#N/A</v>
      </c>
      <c r="G151" s="131" t="str">
        <f t="array" ref="G151">IF(H151="","",IFERROR(
  "https://sealeddeck.tech/" &amp; INDEX('Pool Changes'!F:F,
    MAX(
      ROW('Pool Changes'!A:A) *
      ('Pool Changes'!B:B=D151) *
      ('Pool Changes'!F:F&lt;&gt;"")
    )
  ),
  ""
))</f>
        <v/>
      </c>
      <c r="H151" s="131" t="str">
        <f>IFERROR(__xludf.DUMMYFUNCTION("LET(changes,FILTER('Pool Changes'!$B:$D, 'Pool Changes'!$B:$B = $D151),added,FILTER(INDEX(changes,0,3),INDEX(changes,0,2)=""starting pool""),TRANSPOSE(IFERROR(ARRAYFORMULA(IF(added&lt;&gt;"""",""https://sealeddeck.tech/""&amp;added,"""")),"""")))"),"")</f>
        <v/>
      </c>
      <c r="I151" s="132" t="str">
        <f>IFERROR(__xludf.DUMMYFUNCTION("LET(changes,FILTER('Pool Changes'!$B:$D, 'Pool Changes'!$B:$B = $D151),added,FILTER(INDEX(changes,0,3),INDEX(changes,0,2)=""add pack""),IFERROR(TRANSPOSE(ARRAYFORMULA(IF(added&lt;&gt;"""",HYPERLINK(""https://sealeddeck.tech/""&amp;added,""Link""),""""))),""""))"),"")</f>
        <v/>
      </c>
      <c r="J151" s="132"/>
      <c r="K151" s="132"/>
      <c r="L151" s="132"/>
      <c r="M151" s="133"/>
      <c r="N151" s="135"/>
      <c r="O151" s="135"/>
      <c r="P151" s="135"/>
      <c r="Q151" s="133"/>
      <c r="R151" s="133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</row>
    <row r="152">
      <c r="A152" s="143"/>
      <c r="B152" s="144"/>
      <c r="C152" s="129" t="str">
        <f t="array" ref="C152">INDEX('Player Database'!$D:$D,MATCH($D152,'Player Database'!$B:$B,0))</f>
        <v>#N/A</v>
      </c>
      <c r="D152" s="9" t="str">
        <f t="shared" si="1"/>
        <v> - </v>
      </c>
      <c r="E152" s="130" t="str">
        <f t="array" ref="E152">XLOOKUP($D152,'Player Database'!$B$2:$B1009,'Player Database'!$I$2:$I1009)</f>
        <v>#N/A</v>
      </c>
      <c r="F152" s="130" t="str">
        <f t="array" ref="F152">XLOOKUP($D152,'Player Database'!$B$2:$B1009,'Player Database'!$J$2:$J1009)</f>
        <v>#N/A</v>
      </c>
      <c r="G152" s="131" t="str">
        <f t="array" ref="G152">IF(H152="","",IFERROR(
  "https://sealeddeck.tech/" &amp; INDEX('Pool Changes'!F:F,
    MAX(
      ROW('Pool Changes'!A:A) *
      ('Pool Changes'!B:B=D152) *
      ('Pool Changes'!F:F&lt;&gt;"")
    )
  ),
  ""
))</f>
        <v/>
      </c>
      <c r="H152" s="131" t="str">
        <f>IFERROR(__xludf.DUMMYFUNCTION("LET(changes,FILTER('Pool Changes'!$B:$D, 'Pool Changes'!$B:$B = $D152),added,FILTER(INDEX(changes,0,3),INDEX(changes,0,2)=""starting pool""),TRANSPOSE(IFERROR(ARRAYFORMULA(IF(added&lt;&gt;"""",""https://sealeddeck.tech/""&amp;added,"""")),"""")))"),"")</f>
        <v/>
      </c>
      <c r="I152" s="132" t="str">
        <f>IFERROR(__xludf.DUMMYFUNCTION("LET(changes,FILTER('Pool Changes'!$B:$D, 'Pool Changes'!$B:$B = $D152),added,FILTER(INDEX(changes,0,3),INDEX(changes,0,2)=""add pack""),IFERROR(TRANSPOSE(ARRAYFORMULA(IF(added&lt;&gt;"""",HYPERLINK(""https://sealeddeck.tech/""&amp;added,""Link""),""""))),""""))"),"")</f>
        <v/>
      </c>
      <c r="J152" s="132"/>
      <c r="K152" s="132"/>
      <c r="L152" s="132"/>
      <c r="M152" s="133"/>
      <c r="N152" s="135"/>
      <c r="O152" s="135"/>
      <c r="P152" s="135"/>
      <c r="Q152" s="133"/>
      <c r="R152" s="133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</row>
    <row r="153">
      <c r="A153" s="143"/>
      <c r="B153" s="144"/>
      <c r="C153" s="129" t="str">
        <f t="array" ref="C153">INDEX('Player Database'!$D:$D,MATCH($D153,'Player Database'!$B:$B,0))</f>
        <v>#N/A</v>
      </c>
      <c r="D153" s="9" t="str">
        <f t="shared" si="1"/>
        <v> - </v>
      </c>
      <c r="E153" s="130" t="str">
        <f t="array" ref="E153">XLOOKUP($D153,'Player Database'!$B$2:$B1009,'Player Database'!$I$2:$I1009)</f>
        <v>#N/A</v>
      </c>
      <c r="F153" s="130" t="str">
        <f t="array" ref="F153">XLOOKUP($D153,'Player Database'!$B$2:$B1009,'Player Database'!$J$2:$J1009)</f>
        <v>#N/A</v>
      </c>
      <c r="G153" s="131" t="str">
        <f t="array" ref="G153">IF(H153="","",IFERROR(
  "https://sealeddeck.tech/" &amp; INDEX('Pool Changes'!F:F,
    MAX(
      ROW('Pool Changes'!A:A) *
      ('Pool Changes'!B:B=D153) *
      ('Pool Changes'!F:F&lt;&gt;"")
    )
  ),
  ""
))</f>
        <v/>
      </c>
      <c r="H153" s="131" t="str">
        <f>IFERROR(__xludf.DUMMYFUNCTION("LET(changes,FILTER('Pool Changes'!$B:$D, 'Pool Changes'!$B:$B = $D153),added,FILTER(INDEX(changes,0,3),INDEX(changes,0,2)=""starting pool""),TRANSPOSE(IFERROR(ARRAYFORMULA(IF(added&lt;&gt;"""",""https://sealeddeck.tech/""&amp;added,"""")),"""")))"),"")</f>
        <v/>
      </c>
      <c r="I153" s="132" t="str">
        <f>IFERROR(__xludf.DUMMYFUNCTION("LET(changes,FILTER('Pool Changes'!$B:$D, 'Pool Changes'!$B:$B = $D153),added,FILTER(INDEX(changes,0,3),INDEX(changes,0,2)=""add pack""),IFERROR(TRANSPOSE(ARRAYFORMULA(IF(added&lt;&gt;"""",HYPERLINK(""https://sealeddeck.tech/""&amp;added,""Link""),""""))),""""))"),"")</f>
        <v/>
      </c>
      <c r="J153" s="132"/>
      <c r="K153" s="132"/>
      <c r="L153" s="132"/>
      <c r="M153" s="133"/>
      <c r="N153" s="135"/>
      <c r="O153" s="135"/>
      <c r="P153" s="135"/>
      <c r="Q153" s="133"/>
      <c r="R153" s="133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</row>
    <row r="154">
      <c r="A154" s="143"/>
      <c r="B154" s="144"/>
      <c r="C154" s="129" t="str">
        <f t="array" ref="C154">INDEX('Player Database'!$D:$D,MATCH($D154,'Player Database'!$B:$B,0))</f>
        <v>#N/A</v>
      </c>
      <c r="D154" s="9" t="str">
        <f t="shared" si="1"/>
        <v> - </v>
      </c>
      <c r="E154" s="130" t="str">
        <f t="array" ref="E154">XLOOKUP($D154,'Player Database'!$B$2:$B1009,'Player Database'!$I$2:$I1009)</f>
        <v>#N/A</v>
      </c>
      <c r="F154" s="130" t="str">
        <f t="array" ref="F154">XLOOKUP($D154,'Player Database'!$B$2:$B1009,'Player Database'!$J$2:$J1009)</f>
        <v>#N/A</v>
      </c>
      <c r="G154" s="131" t="str">
        <f t="array" ref="G154">IF(H154="","",IFERROR(
  "https://sealeddeck.tech/" &amp; INDEX('Pool Changes'!F:F,
    MAX(
      ROW('Pool Changes'!A:A) *
      ('Pool Changes'!B:B=D154) *
      ('Pool Changes'!F:F&lt;&gt;"")
    )
  ),
  ""
))</f>
        <v/>
      </c>
      <c r="H154" s="131" t="str">
        <f>IFERROR(__xludf.DUMMYFUNCTION("LET(changes,FILTER('Pool Changes'!$B:$D, 'Pool Changes'!$B:$B = $D154),added,FILTER(INDEX(changes,0,3),INDEX(changes,0,2)=""starting pool""),TRANSPOSE(IFERROR(ARRAYFORMULA(IF(added&lt;&gt;"""",""https://sealeddeck.tech/""&amp;added,"""")),"""")))"),"")</f>
        <v/>
      </c>
      <c r="I154" s="132" t="str">
        <f>IFERROR(__xludf.DUMMYFUNCTION("LET(changes,FILTER('Pool Changes'!$B:$D, 'Pool Changes'!$B:$B = $D154),added,FILTER(INDEX(changes,0,3),INDEX(changes,0,2)=""add pack""),IFERROR(TRANSPOSE(ARRAYFORMULA(IF(added&lt;&gt;"""",HYPERLINK(""https://sealeddeck.tech/""&amp;added,""Link""),""""))),""""))"),"")</f>
        <v/>
      </c>
      <c r="J154" s="132"/>
      <c r="K154" s="132"/>
      <c r="L154" s="132"/>
      <c r="M154" s="133"/>
      <c r="N154" s="135"/>
      <c r="O154" s="135"/>
      <c r="P154" s="135"/>
      <c r="Q154" s="133"/>
      <c r="R154" s="133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</row>
    <row r="155">
      <c r="A155" s="143"/>
      <c r="B155" s="144"/>
      <c r="C155" s="129" t="str">
        <f t="array" ref="C155">INDEX('Player Database'!$D:$D,MATCH($D155,'Player Database'!$B:$B,0))</f>
        <v>#N/A</v>
      </c>
      <c r="D155" s="9" t="str">
        <f t="shared" si="1"/>
        <v> - </v>
      </c>
      <c r="E155" s="130" t="str">
        <f t="array" ref="E155">XLOOKUP($D155,'Player Database'!$B$2:$B1009,'Player Database'!$I$2:$I1009)</f>
        <v>#N/A</v>
      </c>
      <c r="F155" s="130" t="str">
        <f t="array" ref="F155">XLOOKUP($D155,'Player Database'!$B$2:$B1009,'Player Database'!$J$2:$J1009)</f>
        <v>#N/A</v>
      </c>
      <c r="G155" s="131" t="str">
        <f t="array" ref="G155">IF(H155="","",IFERROR(
  "https://sealeddeck.tech/" &amp; INDEX('Pool Changes'!F:F,
    MAX(
      ROW('Pool Changes'!A:A) *
      ('Pool Changes'!B:B=D155) *
      ('Pool Changes'!F:F&lt;&gt;"")
    )
  ),
  ""
))</f>
        <v/>
      </c>
      <c r="H155" s="131" t="str">
        <f>IFERROR(__xludf.DUMMYFUNCTION("LET(changes,FILTER('Pool Changes'!$B:$D, 'Pool Changes'!$B:$B = $D155),added,FILTER(INDEX(changes,0,3),INDEX(changes,0,2)=""starting pool""),TRANSPOSE(IFERROR(ARRAYFORMULA(IF(added&lt;&gt;"""",""https://sealeddeck.tech/""&amp;added,"""")),"""")))"),"")</f>
        <v/>
      </c>
      <c r="I155" s="132" t="str">
        <f>IFERROR(__xludf.DUMMYFUNCTION("LET(changes,FILTER('Pool Changes'!$B:$D, 'Pool Changes'!$B:$B = $D155),added,FILTER(INDEX(changes,0,3),INDEX(changes,0,2)=""add pack""),IFERROR(TRANSPOSE(ARRAYFORMULA(IF(added&lt;&gt;"""",HYPERLINK(""https://sealeddeck.tech/""&amp;added,""Link""),""""))),""""))"),"")</f>
        <v/>
      </c>
      <c r="J155" s="132"/>
      <c r="K155" s="132"/>
      <c r="L155" s="132"/>
      <c r="M155" s="133"/>
      <c r="N155" s="135"/>
      <c r="O155" s="135"/>
      <c r="P155" s="135"/>
      <c r="Q155" s="133"/>
      <c r="R155" s="133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</row>
    <row r="156">
      <c r="A156" s="143"/>
      <c r="B156" s="144"/>
      <c r="C156" s="129" t="str">
        <f t="array" ref="C156">INDEX('Player Database'!$D:$D,MATCH($D156,'Player Database'!$B:$B,0))</f>
        <v>#N/A</v>
      </c>
      <c r="D156" s="9" t="str">
        <f t="shared" si="1"/>
        <v> - </v>
      </c>
      <c r="E156" s="130" t="str">
        <f t="array" ref="E156">XLOOKUP($D156,'Player Database'!$B$2:$B1009,'Player Database'!$I$2:$I1009)</f>
        <v>#N/A</v>
      </c>
      <c r="F156" s="130" t="str">
        <f t="array" ref="F156">XLOOKUP($D156,'Player Database'!$B$2:$B1009,'Player Database'!$J$2:$J1009)</f>
        <v>#N/A</v>
      </c>
      <c r="G156" s="131" t="str">
        <f t="array" ref="G156">IF(H156="","",IFERROR(
  "https://sealeddeck.tech/" &amp; INDEX('Pool Changes'!F:F,
    MAX(
      ROW('Pool Changes'!A:A) *
      ('Pool Changes'!B:B=D156) *
      ('Pool Changes'!F:F&lt;&gt;"")
    )
  ),
  ""
))</f>
        <v/>
      </c>
      <c r="H156" s="131" t="str">
        <f>IFERROR(__xludf.DUMMYFUNCTION("LET(changes,FILTER('Pool Changes'!$B:$D, 'Pool Changes'!$B:$B = $D156),added,FILTER(INDEX(changes,0,3),INDEX(changes,0,2)=""starting pool""),TRANSPOSE(IFERROR(ARRAYFORMULA(IF(added&lt;&gt;"""",""https://sealeddeck.tech/""&amp;added,"""")),"""")))"),"")</f>
        <v/>
      </c>
      <c r="I156" s="132" t="str">
        <f>IFERROR(__xludf.DUMMYFUNCTION("LET(changes,FILTER('Pool Changes'!$B:$D, 'Pool Changes'!$B:$B = $D156),added,FILTER(INDEX(changes,0,3),INDEX(changes,0,2)=""add pack""),IFERROR(TRANSPOSE(ARRAYFORMULA(IF(added&lt;&gt;"""",HYPERLINK(""https://sealeddeck.tech/""&amp;added,""Link""),""""))),""""))"),"")</f>
        <v/>
      </c>
      <c r="J156" s="132"/>
      <c r="K156" s="132"/>
      <c r="L156" s="132"/>
      <c r="M156" s="133"/>
      <c r="N156" s="135"/>
      <c r="O156" s="135"/>
      <c r="P156" s="135"/>
      <c r="Q156" s="133"/>
      <c r="R156" s="133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</row>
    <row r="157">
      <c r="A157" s="143"/>
      <c r="B157" s="144"/>
      <c r="C157" s="129" t="str">
        <f t="array" ref="C157">INDEX('Player Database'!$D:$D,MATCH($D157,'Player Database'!$B:$B,0))</f>
        <v>#N/A</v>
      </c>
      <c r="D157" s="9" t="str">
        <f t="shared" si="1"/>
        <v> - </v>
      </c>
      <c r="E157" s="130" t="str">
        <f t="array" ref="E157">XLOOKUP($D157,'Player Database'!$B$2:$B1009,'Player Database'!$I$2:$I1009)</f>
        <v>#N/A</v>
      </c>
      <c r="F157" s="130" t="str">
        <f t="array" ref="F157">XLOOKUP($D157,'Player Database'!$B$2:$B1009,'Player Database'!$J$2:$J1009)</f>
        <v>#N/A</v>
      </c>
      <c r="G157" s="131" t="str">
        <f t="array" ref="G157">IF(H157="","",IFERROR(
  "https://sealeddeck.tech/" &amp; INDEX('Pool Changes'!F:F,
    MAX(
      ROW('Pool Changes'!A:A) *
      ('Pool Changes'!B:B=D157) *
      ('Pool Changes'!F:F&lt;&gt;"")
    )
  ),
  ""
))</f>
        <v/>
      </c>
      <c r="H157" s="131" t="str">
        <f>IFERROR(__xludf.DUMMYFUNCTION("LET(changes,FILTER('Pool Changes'!$B:$D, 'Pool Changes'!$B:$B = $D157),added,FILTER(INDEX(changes,0,3),INDEX(changes,0,2)=""starting pool""),TRANSPOSE(IFERROR(ARRAYFORMULA(IF(added&lt;&gt;"""",""https://sealeddeck.tech/""&amp;added,"""")),"""")))"),"")</f>
        <v/>
      </c>
      <c r="I157" s="132" t="str">
        <f>IFERROR(__xludf.DUMMYFUNCTION("LET(changes,FILTER('Pool Changes'!$B:$D, 'Pool Changes'!$B:$B = $D157),added,FILTER(INDEX(changes,0,3),INDEX(changes,0,2)=""add pack""),IFERROR(TRANSPOSE(ARRAYFORMULA(IF(added&lt;&gt;"""",HYPERLINK(""https://sealeddeck.tech/""&amp;added,""Link""),""""))),""""))"),"")</f>
        <v/>
      </c>
      <c r="J157" s="132"/>
      <c r="K157" s="132"/>
      <c r="L157" s="132"/>
      <c r="M157" s="133"/>
      <c r="N157" s="135"/>
      <c r="O157" s="135"/>
      <c r="P157" s="135"/>
      <c r="Q157" s="133"/>
      <c r="R157" s="133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</row>
    <row r="158">
      <c r="A158" s="143"/>
      <c r="B158" s="144"/>
      <c r="C158" s="129" t="str">
        <f t="array" ref="C158">INDEX('Player Database'!$D:$D,MATCH($D158,'Player Database'!$B:$B,0))</f>
        <v>#N/A</v>
      </c>
      <c r="D158" s="9" t="str">
        <f t="shared" si="1"/>
        <v> - </v>
      </c>
      <c r="E158" s="130" t="str">
        <f t="array" ref="E158">XLOOKUP($D158,'Player Database'!$B$2:$B1009,'Player Database'!$I$2:$I1009)</f>
        <v>#N/A</v>
      </c>
      <c r="F158" s="130" t="str">
        <f t="array" ref="F158">XLOOKUP($D158,'Player Database'!$B$2:$B1009,'Player Database'!$J$2:$J1009)</f>
        <v>#N/A</v>
      </c>
      <c r="G158" s="131" t="str">
        <f t="array" ref="G158">IF(H158="","",IFERROR(
  "https://sealeddeck.tech/" &amp; INDEX('Pool Changes'!F:F,
    MAX(
      ROW('Pool Changes'!A:A) *
      ('Pool Changes'!B:B=D158) *
      ('Pool Changes'!F:F&lt;&gt;"")
    )
  ),
  ""
))</f>
        <v/>
      </c>
      <c r="H158" s="131" t="str">
        <f>IFERROR(__xludf.DUMMYFUNCTION("LET(changes,FILTER('Pool Changes'!$B:$D, 'Pool Changes'!$B:$B = $D158),added,FILTER(INDEX(changes,0,3),INDEX(changes,0,2)=""starting pool""),TRANSPOSE(IFERROR(ARRAYFORMULA(IF(added&lt;&gt;"""",""https://sealeddeck.tech/""&amp;added,"""")),"""")))"),"")</f>
        <v/>
      </c>
      <c r="I158" s="132" t="str">
        <f>IFERROR(__xludf.DUMMYFUNCTION("LET(changes,FILTER('Pool Changes'!$B:$D, 'Pool Changes'!$B:$B = $D158),added,FILTER(INDEX(changes,0,3),INDEX(changes,0,2)=""add pack""),IFERROR(TRANSPOSE(ARRAYFORMULA(IF(added&lt;&gt;"""",HYPERLINK(""https://sealeddeck.tech/""&amp;added,""Link""),""""))),""""))"),"")</f>
        <v/>
      </c>
      <c r="J158" s="132"/>
      <c r="K158" s="132"/>
      <c r="L158" s="132"/>
      <c r="M158" s="133"/>
      <c r="N158" s="135"/>
      <c r="O158" s="135"/>
      <c r="P158" s="135"/>
      <c r="Q158" s="133"/>
      <c r="R158" s="133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</row>
    <row r="159">
      <c r="A159" s="143"/>
      <c r="B159" s="144"/>
      <c r="C159" s="129" t="str">
        <f t="array" ref="C159">INDEX('Player Database'!$D:$D,MATCH($D159,'Player Database'!$B:$B,0))</f>
        <v>#N/A</v>
      </c>
      <c r="D159" s="9" t="str">
        <f t="shared" si="1"/>
        <v> - </v>
      </c>
      <c r="E159" s="130" t="str">
        <f t="array" ref="E159">XLOOKUP($D159,'Player Database'!$B$2:$B1009,'Player Database'!$I$2:$I1009)</f>
        <v>#N/A</v>
      </c>
      <c r="F159" s="130" t="str">
        <f t="array" ref="F159">XLOOKUP($D159,'Player Database'!$B$2:$B1009,'Player Database'!$J$2:$J1009)</f>
        <v>#N/A</v>
      </c>
      <c r="G159" s="131" t="str">
        <f t="array" ref="G159">IF(H159="","",IFERROR(
  "https://sealeddeck.tech/" &amp; INDEX('Pool Changes'!F:F,
    MAX(
      ROW('Pool Changes'!A:A) *
      ('Pool Changes'!B:B=D159) *
      ('Pool Changes'!F:F&lt;&gt;"")
    )
  ),
  ""
))</f>
        <v/>
      </c>
      <c r="H159" s="131" t="str">
        <f>IFERROR(__xludf.DUMMYFUNCTION("LET(changes,FILTER('Pool Changes'!$B:$D, 'Pool Changes'!$B:$B = $D159),added,FILTER(INDEX(changes,0,3),INDEX(changes,0,2)=""starting pool""),TRANSPOSE(IFERROR(ARRAYFORMULA(IF(added&lt;&gt;"""",""https://sealeddeck.tech/""&amp;added,"""")),"""")))"),"")</f>
        <v/>
      </c>
      <c r="I159" s="132" t="str">
        <f>IFERROR(__xludf.DUMMYFUNCTION("LET(changes,FILTER('Pool Changes'!$B:$D, 'Pool Changes'!$B:$B = $D159),added,FILTER(INDEX(changes,0,3),INDEX(changes,0,2)=""add pack""),IFERROR(TRANSPOSE(ARRAYFORMULA(IF(added&lt;&gt;"""",HYPERLINK(""https://sealeddeck.tech/""&amp;added,""Link""),""""))),""""))"),"")</f>
        <v/>
      </c>
      <c r="J159" s="132"/>
      <c r="K159" s="132"/>
      <c r="L159" s="132"/>
      <c r="M159" s="133"/>
      <c r="N159" s="135"/>
      <c r="O159" s="135"/>
      <c r="P159" s="135"/>
      <c r="Q159" s="133"/>
      <c r="R159" s="133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</row>
    <row r="160">
      <c r="A160" s="143"/>
      <c r="B160" s="144"/>
      <c r="C160" s="129" t="str">
        <f t="array" ref="C160">INDEX('Player Database'!$D:$D,MATCH($D160,'Player Database'!$B:$B,0))</f>
        <v>#N/A</v>
      </c>
      <c r="D160" s="9" t="str">
        <f t="shared" si="1"/>
        <v> - </v>
      </c>
      <c r="E160" s="130" t="str">
        <f t="array" ref="E160">XLOOKUP($D160,'Player Database'!$B$2:$B1009,'Player Database'!$I$2:$I1009)</f>
        <v>#N/A</v>
      </c>
      <c r="F160" s="130" t="str">
        <f t="array" ref="F160">XLOOKUP($D160,'Player Database'!$B$2:$B1009,'Player Database'!$J$2:$J1009)</f>
        <v>#N/A</v>
      </c>
      <c r="G160" s="131" t="str">
        <f t="array" ref="G160">IF(H160="","",IFERROR(
  "https://sealeddeck.tech/" &amp; INDEX('Pool Changes'!F:F,
    MAX(
      ROW('Pool Changes'!A:A) *
      ('Pool Changes'!B:B=D160) *
      ('Pool Changes'!F:F&lt;&gt;"")
    )
  ),
  ""
))</f>
        <v/>
      </c>
      <c r="H160" s="131" t="str">
        <f>IFERROR(__xludf.DUMMYFUNCTION("LET(changes,FILTER('Pool Changes'!$B:$D, 'Pool Changes'!$B:$B = $D160),added,FILTER(INDEX(changes,0,3),INDEX(changes,0,2)=""starting pool""),TRANSPOSE(IFERROR(ARRAYFORMULA(IF(added&lt;&gt;"""",""https://sealeddeck.tech/""&amp;added,"""")),"""")))"),"")</f>
        <v/>
      </c>
      <c r="I160" s="132" t="str">
        <f>IFERROR(__xludf.DUMMYFUNCTION("LET(changes,FILTER('Pool Changes'!$B:$D, 'Pool Changes'!$B:$B = $D160),added,FILTER(INDEX(changes,0,3),INDEX(changes,0,2)=""add pack""),IFERROR(TRANSPOSE(ARRAYFORMULA(IF(added&lt;&gt;"""",HYPERLINK(""https://sealeddeck.tech/""&amp;added,""Link""),""""))),""""))"),"")</f>
        <v/>
      </c>
      <c r="J160" s="132"/>
      <c r="K160" s="132"/>
      <c r="L160" s="132"/>
      <c r="M160" s="133"/>
      <c r="N160" s="135"/>
      <c r="O160" s="135"/>
      <c r="P160" s="135"/>
      <c r="Q160" s="133"/>
      <c r="R160" s="133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</row>
    <row r="161">
      <c r="A161" s="143"/>
      <c r="B161" s="144"/>
      <c r="C161" s="129" t="str">
        <f t="array" ref="C161">INDEX('Player Database'!$D:$D,MATCH($D161,'Player Database'!$B:$B,0))</f>
        <v>#N/A</v>
      </c>
      <c r="D161" s="9" t="str">
        <f t="shared" si="1"/>
        <v> - </v>
      </c>
      <c r="E161" s="130" t="str">
        <f t="array" ref="E161">XLOOKUP($D161,'Player Database'!$B$2:$B1009,'Player Database'!$I$2:$I1009)</f>
        <v>#N/A</v>
      </c>
      <c r="F161" s="130" t="str">
        <f t="array" ref="F161">XLOOKUP($D161,'Player Database'!$B$2:$B1009,'Player Database'!$J$2:$J1009)</f>
        <v>#N/A</v>
      </c>
      <c r="G161" s="131" t="str">
        <f t="array" ref="G161">IF(H161="","",IFERROR(
  "https://sealeddeck.tech/" &amp; INDEX('Pool Changes'!F:F,
    MAX(
      ROW('Pool Changes'!A:A) *
      ('Pool Changes'!B:B=D161) *
      ('Pool Changes'!F:F&lt;&gt;"")
    )
  ),
  ""
))</f>
        <v/>
      </c>
      <c r="H161" s="131" t="str">
        <f>IFERROR(__xludf.DUMMYFUNCTION("LET(changes,FILTER('Pool Changes'!$B:$D, 'Pool Changes'!$B:$B = $D161),added,FILTER(INDEX(changes,0,3),INDEX(changes,0,2)=""starting pool""),TRANSPOSE(IFERROR(ARRAYFORMULA(IF(added&lt;&gt;"""",""https://sealeddeck.tech/""&amp;added,"""")),"""")))"),"")</f>
        <v/>
      </c>
      <c r="I161" s="132" t="str">
        <f>IFERROR(__xludf.DUMMYFUNCTION("LET(changes,FILTER('Pool Changes'!$B:$D, 'Pool Changes'!$B:$B = $D161),added,FILTER(INDEX(changes,0,3),INDEX(changes,0,2)=""add pack""),IFERROR(TRANSPOSE(ARRAYFORMULA(IF(added&lt;&gt;"""",HYPERLINK(""https://sealeddeck.tech/""&amp;added,""Link""),""""))),""""))"),"")</f>
        <v/>
      </c>
      <c r="J161" s="132"/>
      <c r="K161" s="132"/>
      <c r="L161" s="132"/>
      <c r="M161" s="133"/>
      <c r="N161" s="135"/>
      <c r="O161" s="135"/>
      <c r="P161" s="135"/>
      <c r="Q161" s="133"/>
      <c r="R161" s="133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</row>
    <row r="162">
      <c r="A162" s="143"/>
      <c r="B162" s="144"/>
      <c r="C162" s="129" t="str">
        <f t="array" ref="C162">INDEX('Player Database'!$D:$D,MATCH($D162,'Player Database'!$B:$B,0))</f>
        <v>#N/A</v>
      </c>
      <c r="D162" s="9" t="str">
        <f t="shared" si="1"/>
        <v> - </v>
      </c>
      <c r="E162" s="130" t="str">
        <f t="array" ref="E162">XLOOKUP($D162,'Player Database'!$B$2:$B1009,'Player Database'!$I$2:$I1009)</f>
        <v>#N/A</v>
      </c>
      <c r="F162" s="130" t="str">
        <f t="array" ref="F162">XLOOKUP($D162,'Player Database'!$B$2:$B1009,'Player Database'!$J$2:$J1009)</f>
        <v>#N/A</v>
      </c>
      <c r="G162" s="131" t="str">
        <f t="array" ref="G162">IF(H162="","",IFERROR(
  "https://sealeddeck.tech/" &amp; INDEX('Pool Changes'!F:F,
    MAX(
      ROW('Pool Changes'!A:A) *
      ('Pool Changes'!B:B=D162) *
      ('Pool Changes'!F:F&lt;&gt;"")
    )
  ),
  ""
))</f>
        <v/>
      </c>
      <c r="H162" s="131" t="str">
        <f>IFERROR(__xludf.DUMMYFUNCTION("LET(changes,FILTER('Pool Changes'!$B:$D, 'Pool Changes'!$B:$B = $D162),added,FILTER(INDEX(changes,0,3),INDEX(changes,0,2)=""starting pool""),TRANSPOSE(IFERROR(ARRAYFORMULA(IF(added&lt;&gt;"""",""https://sealeddeck.tech/""&amp;added,"""")),"""")))"),"")</f>
        <v/>
      </c>
      <c r="I162" s="132" t="str">
        <f>IFERROR(__xludf.DUMMYFUNCTION("LET(changes,FILTER('Pool Changes'!$B:$D, 'Pool Changes'!$B:$B = $D162),added,FILTER(INDEX(changes,0,3),INDEX(changes,0,2)=""add pack""),IFERROR(TRANSPOSE(ARRAYFORMULA(IF(added&lt;&gt;"""",HYPERLINK(""https://sealeddeck.tech/""&amp;added,""Link""),""""))),""""))"),"")</f>
        <v/>
      </c>
      <c r="J162" s="132"/>
      <c r="K162" s="132"/>
      <c r="L162" s="132"/>
      <c r="M162" s="133"/>
      <c r="N162" s="135"/>
      <c r="O162" s="135"/>
      <c r="P162" s="135"/>
      <c r="Q162" s="133"/>
      <c r="R162" s="133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</row>
    <row r="163">
      <c r="A163" s="143"/>
      <c r="B163" s="144"/>
      <c r="C163" s="129" t="str">
        <f t="array" ref="C163">INDEX('Player Database'!$D:$D,MATCH($D163,'Player Database'!$B:$B,0))</f>
        <v>#N/A</v>
      </c>
      <c r="D163" s="9" t="str">
        <f t="shared" si="1"/>
        <v> - </v>
      </c>
      <c r="E163" s="130" t="str">
        <f t="array" ref="E163">XLOOKUP($D163,'Player Database'!$B$2:$B1009,'Player Database'!$I$2:$I1009)</f>
        <v>#N/A</v>
      </c>
      <c r="F163" s="130" t="str">
        <f t="array" ref="F163">XLOOKUP($D163,'Player Database'!$B$2:$B1009,'Player Database'!$J$2:$J1009)</f>
        <v>#N/A</v>
      </c>
      <c r="G163" s="131" t="str">
        <f t="array" ref="G163">IF(H163="","",IFERROR(
  "https://sealeddeck.tech/" &amp; INDEX('Pool Changes'!F:F,
    MAX(
      ROW('Pool Changes'!A:A) *
      ('Pool Changes'!B:B=D163) *
      ('Pool Changes'!F:F&lt;&gt;"")
    )
  ),
  ""
))</f>
        <v/>
      </c>
      <c r="H163" s="131" t="str">
        <f>IFERROR(__xludf.DUMMYFUNCTION("LET(changes,FILTER('Pool Changes'!$B:$D, 'Pool Changes'!$B:$B = $D163),added,FILTER(INDEX(changes,0,3),INDEX(changes,0,2)=""starting pool""),TRANSPOSE(IFERROR(ARRAYFORMULA(IF(added&lt;&gt;"""",""https://sealeddeck.tech/""&amp;added,"""")),"""")))"),"")</f>
        <v/>
      </c>
      <c r="I163" s="132" t="str">
        <f>IFERROR(__xludf.DUMMYFUNCTION("LET(changes,FILTER('Pool Changes'!$B:$D, 'Pool Changes'!$B:$B = $D163),added,FILTER(INDEX(changes,0,3),INDEX(changes,0,2)=""add pack""),IFERROR(TRANSPOSE(ARRAYFORMULA(IF(added&lt;&gt;"""",HYPERLINK(""https://sealeddeck.tech/""&amp;added,""Link""),""""))),""""))"),"")</f>
        <v/>
      </c>
      <c r="J163" s="132"/>
      <c r="K163" s="132"/>
      <c r="L163" s="132"/>
      <c r="M163" s="133"/>
      <c r="N163" s="135"/>
      <c r="O163" s="135"/>
      <c r="P163" s="135"/>
      <c r="Q163" s="133"/>
      <c r="R163" s="133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</row>
    <row r="164">
      <c r="A164" s="143"/>
      <c r="B164" s="144"/>
      <c r="C164" s="129" t="str">
        <f t="array" ref="C164">INDEX('Player Database'!$D:$D,MATCH($D164,'Player Database'!$B:$B,0))</f>
        <v>#N/A</v>
      </c>
      <c r="D164" s="9" t="str">
        <f t="shared" si="1"/>
        <v> - </v>
      </c>
      <c r="E164" s="130" t="str">
        <f t="array" ref="E164">XLOOKUP($D164,'Player Database'!$B$2:$B1009,'Player Database'!$I$2:$I1009)</f>
        <v>#N/A</v>
      </c>
      <c r="F164" s="130" t="str">
        <f t="array" ref="F164">XLOOKUP($D164,'Player Database'!$B$2:$B1009,'Player Database'!$J$2:$J1009)</f>
        <v>#N/A</v>
      </c>
      <c r="G164" s="131" t="str">
        <f t="array" ref="G164">IF(H164="","",IFERROR(
  "https://sealeddeck.tech/" &amp; INDEX('Pool Changes'!F:F,
    MAX(
      ROW('Pool Changes'!A:A) *
      ('Pool Changes'!B:B=D164) *
      ('Pool Changes'!F:F&lt;&gt;"")
    )
  ),
  ""
))</f>
        <v/>
      </c>
      <c r="H164" s="131" t="str">
        <f>IFERROR(__xludf.DUMMYFUNCTION("LET(changes,FILTER('Pool Changes'!$B:$D, 'Pool Changes'!$B:$B = $D164),added,FILTER(INDEX(changes,0,3),INDEX(changes,0,2)=""starting pool""),TRANSPOSE(IFERROR(ARRAYFORMULA(IF(added&lt;&gt;"""",""https://sealeddeck.tech/""&amp;added,"""")),"""")))"),"")</f>
        <v/>
      </c>
      <c r="I164" s="132" t="str">
        <f>IFERROR(__xludf.DUMMYFUNCTION("LET(changes,FILTER('Pool Changes'!$B:$D, 'Pool Changes'!$B:$B = $D164),added,FILTER(INDEX(changes,0,3),INDEX(changes,0,2)=""add pack""),IFERROR(TRANSPOSE(ARRAYFORMULA(IF(added&lt;&gt;"""",HYPERLINK(""https://sealeddeck.tech/""&amp;added,""Link""),""""))),""""))"),"")</f>
        <v/>
      </c>
      <c r="J164" s="132"/>
      <c r="K164" s="132"/>
      <c r="L164" s="132"/>
      <c r="M164" s="133"/>
      <c r="N164" s="135"/>
      <c r="O164" s="135"/>
      <c r="P164" s="135"/>
      <c r="Q164" s="133"/>
      <c r="R164" s="133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4"/>
    </row>
    <row r="165">
      <c r="A165" s="143"/>
      <c r="B165" s="144"/>
      <c r="C165" s="129" t="str">
        <f t="array" ref="C165">INDEX('Player Database'!$D:$D,MATCH($D165,'Player Database'!$B:$B,0))</f>
        <v>#N/A</v>
      </c>
      <c r="D165" s="9" t="str">
        <f t="shared" si="1"/>
        <v> - </v>
      </c>
      <c r="E165" s="130" t="str">
        <f t="array" ref="E165">XLOOKUP($D165,'Player Database'!$B$2:$B1009,'Player Database'!$I$2:$I1009)</f>
        <v>#N/A</v>
      </c>
      <c r="F165" s="130" t="str">
        <f t="array" ref="F165">XLOOKUP($D165,'Player Database'!$B$2:$B1009,'Player Database'!$J$2:$J1009)</f>
        <v>#N/A</v>
      </c>
      <c r="G165" s="131" t="str">
        <f t="array" ref="G165">IF(H165="","",IFERROR(
  "https://sealeddeck.tech/" &amp; INDEX('Pool Changes'!F:F,
    MAX(
      ROW('Pool Changes'!A:A) *
      ('Pool Changes'!B:B=D165) *
      ('Pool Changes'!F:F&lt;&gt;"")
    )
  ),
  ""
))</f>
        <v/>
      </c>
      <c r="H165" s="131" t="str">
        <f>IFERROR(__xludf.DUMMYFUNCTION("LET(changes,FILTER('Pool Changes'!$B:$D, 'Pool Changes'!$B:$B = $D165),added,FILTER(INDEX(changes,0,3),INDEX(changes,0,2)=""starting pool""),TRANSPOSE(IFERROR(ARRAYFORMULA(IF(added&lt;&gt;"""",""https://sealeddeck.tech/""&amp;added,"""")),"""")))"),"")</f>
        <v/>
      </c>
      <c r="I165" s="132" t="str">
        <f>IFERROR(__xludf.DUMMYFUNCTION("LET(changes,FILTER('Pool Changes'!$B:$D, 'Pool Changes'!$B:$B = $D165),added,FILTER(INDEX(changes,0,3),INDEX(changes,0,2)=""add pack""),IFERROR(TRANSPOSE(ARRAYFORMULA(IF(added&lt;&gt;"""",HYPERLINK(""https://sealeddeck.tech/""&amp;added,""Link""),""""))),""""))"),"")</f>
        <v/>
      </c>
      <c r="J165" s="132"/>
      <c r="K165" s="132"/>
      <c r="L165" s="132"/>
      <c r="M165" s="133"/>
      <c r="N165" s="135"/>
      <c r="O165" s="135"/>
      <c r="P165" s="135"/>
      <c r="Q165" s="133"/>
      <c r="R165" s="133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</row>
    <row r="166">
      <c r="A166" s="143"/>
      <c r="B166" s="144"/>
      <c r="C166" s="129" t="str">
        <f t="array" ref="C166">INDEX('Player Database'!$D:$D,MATCH($D166,'Player Database'!$B:$B,0))</f>
        <v>#N/A</v>
      </c>
      <c r="D166" s="9" t="str">
        <f t="shared" si="1"/>
        <v> - </v>
      </c>
      <c r="E166" s="130" t="str">
        <f t="array" ref="E166">XLOOKUP($D166,'Player Database'!$B$2:$B1009,'Player Database'!$I$2:$I1009)</f>
        <v>#N/A</v>
      </c>
      <c r="F166" s="130" t="str">
        <f t="array" ref="F166">XLOOKUP($D166,'Player Database'!$B$2:$B1009,'Player Database'!$J$2:$J1009)</f>
        <v>#N/A</v>
      </c>
      <c r="G166" s="131" t="str">
        <f t="array" ref="G166">IF(H166="","",IFERROR(
  "https://sealeddeck.tech/" &amp; INDEX('Pool Changes'!F:F,
    MAX(
      ROW('Pool Changes'!A:A) *
      ('Pool Changes'!B:B=D166) *
      ('Pool Changes'!F:F&lt;&gt;"")
    )
  ),
  ""
))</f>
        <v/>
      </c>
      <c r="H166" s="131" t="str">
        <f>IFERROR(__xludf.DUMMYFUNCTION("LET(changes,FILTER('Pool Changes'!$B:$D, 'Pool Changes'!$B:$B = $D166),added,FILTER(INDEX(changes,0,3),INDEX(changes,0,2)=""starting pool""),TRANSPOSE(IFERROR(ARRAYFORMULA(IF(added&lt;&gt;"""",""https://sealeddeck.tech/""&amp;added,"""")),"""")))"),"")</f>
        <v/>
      </c>
      <c r="I166" s="132" t="str">
        <f>IFERROR(__xludf.DUMMYFUNCTION("LET(changes,FILTER('Pool Changes'!$B:$D, 'Pool Changes'!$B:$B = $D166),added,FILTER(INDEX(changes,0,3),INDEX(changes,0,2)=""add pack""),IFERROR(TRANSPOSE(ARRAYFORMULA(IF(added&lt;&gt;"""",HYPERLINK(""https://sealeddeck.tech/""&amp;added,""Link""),""""))),""""))"),"")</f>
        <v/>
      </c>
      <c r="J166" s="132"/>
      <c r="K166" s="132"/>
      <c r="L166" s="132"/>
      <c r="M166" s="133"/>
      <c r="N166" s="135"/>
      <c r="O166" s="135"/>
      <c r="P166" s="135"/>
      <c r="Q166" s="133"/>
      <c r="R166" s="133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</row>
    <row r="167">
      <c r="A167" s="143"/>
      <c r="B167" s="144"/>
      <c r="C167" s="129" t="str">
        <f t="array" ref="C167">INDEX('Player Database'!$D:$D,MATCH($D167,'Player Database'!$B:$B,0))</f>
        <v>#N/A</v>
      </c>
      <c r="D167" s="9" t="str">
        <f t="shared" si="1"/>
        <v> - </v>
      </c>
      <c r="E167" s="130" t="str">
        <f t="array" ref="E167">XLOOKUP($D167,'Player Database'!$B$2:$B1009,'Player Database'!$I$2:$I1009)</f>
        <v>#N/A</v>
      </c>
      <c r="F167" s="130" t="str">
        <f t="array" ref="F167">XLOOKUP($D167,'Player Database'!$B$2:$B1009,'Player Database'!$J$2:$J1009)</f>
        <v>#N/A</v>
      </c>
      <c r="G167" s="131" t="str">
        <f t="array" ref="G167">IF(H167="","",IFERROR(
  "https://sealeddeck.tech/" &amp; INDEX('Pool Changes'!F:F,
    MAX(
      ROW('Pool Changes'!A:A) *
      ('Pool Changes'!B:B=D167) *
      ('Pool Changes'!F:F&lt;&gt;"")
    )
  ),
  ""
))</f>
        <v/>
      </c>
      <c r="H167" s="131" t="str">
        <f>IFERROR(__xludf.DUMMYFUNCTION("LET(changes,FILTER('Pool Changes'!$B:$D, 'Pool Changes'!$B:$B = $D167),added,FILTER(INDEX(changes,0,3),INDEX(changes,0,2)=""starting pool""),TRANSPOSE(IFERROR(ARRAYFORMULA(IF(added&lt;&gt;"""",""https://sealeddeck.tech/""&amp;added,"""")),"""")))"),"")</f>
        <v/>
      </c>
      <c r="I167" s="132" t="str">
        <f>IFERROR(__xludf.DUMMYFUNCTION("LET(changes,FILTER('Pool Changes'!$B:$D, 'Pool Changes'!$B:$B = $D167),added,FILTER(INDEX(changes,0,3),INDEX(changes,0,2)=""add pack""),IFERROR(TRANSPOSE(ARRAYFORMULA(IF(added&lt;&gt;"""",HYPERLINK(""https://sealeddeck.tech/""&amp;added,""Link""),""""))),""""))"),"")</f>
        <v/>
      </c>
      <c r="J167" s="132"/>
      <c r="K167" s="132"/>
      <c r="L167" s="132"/>
      <c r="M167" s="133"/>
      <c r="N167" s="135"/>
      <c r="O167" s="135"/>
      <c r="P167" s="135"/>
      <c r="Q167" s="133"/>
      <c r="R167" s="133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4"/>
    </row>
    <row r="168">
      <c r="A168" s="143"/>
      <c r="B168" s="144"/>
      <c r="C168" s="129" t="str">
        <f t="array" ref="C168">INDEX('Player Database'!$D:$D,MATCH($D168,'Player Database'!$B:$B,0))</f>
        <v>#N/A</v>
      </c>
      <c r="D168" s="9" t="str">
        <f t="shared" si="1"/>
        <v> - </v>
      </c>
      <c r="E168" s="130" t="str">
        <f t="array" ref="E168">XLOOKUP($D168,'Player Database'!$B$2:$B1009,'Player Database'!$I$2:$I1009)</f>
        <v>#N/A</v>
      </c>
      <c r="F168" s="130" t="str">
        <f t="array" ref="F168">XLOOKUP($D168,'Player Database'!$B$2:$B1009,'Player Database'!$J$2:$J1009)</f>
        <v>#N/A</v>
      </c>
      <c r="G168" s="131" t="str">
        <f t="array" ref="G168">IF(H168="","",IFERROR(
  "https://sealeddeck.tech/" &amp; INDEX('Pool Changes'!F:F,
    MAX(
      ROW('Pool Changes'!A:A) *
      ('Pool Changes'!B:B=D168) *
      ('Pool Changes'!F:F&lt;&gt;"")
    )
  ),
  ""
))</f>
        <v/>
      </c>
      <c r="H168" s="131" t="str">
        <f>IFERROR(__xludf.DUMMYFUNCTION("LET(changes,FILTER('Pool Changes'!$B:$D, 'Pool Changes'!$B:$B = $D168),added,FILTER(INDEX(changes,0,3),INDEX(changes,0,2)=""starting pool""),TRANSPOSE(IFERROR(ARRAYFORMULA(IF(added&lt;&gt;"""",""https://sealeddeck.tech/""&amp;added,"""")),"""")))"),"")</f>
        <v/>
      </c>
      <c r="I168" s="132" t="str">
        <f>IFERROR(__xludf.DUMMYFUNCTION("LET(changes,FILTER('Pool Changes'!$B:$D, 'Pool Changes'!$B:$B = $D168),added,FILTER(INDEX(changes,0,3),INDEX(changes,0,2)=""add pack""),IFERROR(TRANSPOSE(ARRAYFORMULA(IF(added&lt;&gt;"""",HYPERLINK(""https://sealeddeck.tech/""&amp;added,""Link""),""""))),""""))"),"")</f>
        <v/>
      </c>
      <c r="J168" s="132"/>
      <c r="K168" s="132"/>
      <c r="L168" s="132"/>
      <c r="M168" s="133"/>
      <c r="N168" s="135"/>
      <c r="O168" s="135"/>
      <c r="P168" s="135"/>
      <c r="Q168" s="133"/>
      <c r="R168" s="133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  <c r="AF168" s="134"/>
      <c r="AG168" s="134"/>
      <c r="AH168" s="134"/>
    </row>
    <row r="169">
      <c r="A169" s="143"/>
      <c r="B169" s="144"/>
      <c r="C169" s="129" t="str">
        <f t="array" ref="C169">INDEX('Player Database'!$D:$D,MATCH($D169,'Player Database'!$B:$B,0))</f>
        <v>#N/A</v>
      </c>
      <c r="D169" s="9" t="str">
        <f t="shared" si="1"/>
        <v> - </v>
      </c>
      <c r="E169" s="130" t="str">
        <f t="array" ref="E169">XLOOKUP($D169,'Player Database'!$B$2:$B1009,'Player Database'!$I$2:$I1009)</f>
        <v>#N/A</v>
      </c>
      <c r="F169" s="130" t="str">
        <f t="array" ref="F169">XLOOKUP($D169,'Player Database'!$B$2:$B1009,'Player Database'!$J$2:$J1009)</f>
        <v>#N/A</v>
      </c>
      <c r="G169" s="131" t="str">
        <f t="array" ref="G169">IF(H169="","",IFERROR(
  "https://sealeddeck.tech/" &amp; INDEX('Pool Changes'!F:F,
    MAX(
      ROW('Pool Changes'!A:A) *
      ('Pool Changes'!B:B=D169) *
      ('Pool Changes'!F:F&lt;&gt;"")
    )
  ),
  ""
))</f>
        <v/>
      </c>
      <c r="H169" s="131" t="str">
        <f>IFERROR(__xludf.DUMMYFUNCTION("LET(changes,FILTER('Pool Changes'!$B:$D, 'Pool Changes'!$B:$B = $D169),added,FILTER(INDEX(changes,0,3),INDEX(changes,0,2)=""starting pool""),TRANSPOSE(IFERROR(ARRAYFORMULA(IF(added&lt;&gt;"""",""https://sealeddeck.tech/""&amp;added,"""")),"""")))"),"")</f>
        <v/>
      </c>
      <c r="I169" s="132" t="str">
        <f>IFERROR(__xludf.DUMMYFUNCTION("LET(changes,FILTER('Pool Changes'!$B:$D, 'Pool Changes'!$B:$B = $D169),added,FILTER(INDEX(changes,0,3),INDEX(changes,0,2)=""add pack""),IFERROR(TRANSPOSE(ARRAYFORMULA(IF(added&lt;&gt;"""",HYPERLINK(""https://sealeddeck.tech/""&amp;added,""Link""),""""))),""""))"),"")</f>
        <v/>
      </c>
      <c r="J169" s="132"/>
      <c r="K169" s="132"/>
      <c r="L169" s="132"/>
      <c r="M169" s="133"/>
      <c r="N169" s="135"/>
      <c r="O169" s="135"/>
      <c r="P169" s="135"/>
      <c r="Q169" s="133"/>
      <c r="R169" s="133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</row>
    <row r="170">
      <c r="A170" s="143"/>
      <c r="B170" s="144"/>
      <c r="C170" s="129" t="str">
        <f t="array" ref="C170">INDEX('Player Database'!$D:$D,MATCH($D170,'Player Database'!$B:$B,0))</f>
        <v>#N/A</v>
      </c>
      <c r="D170" s="9" t="str">
        <f t="shared" si="1"/>
        <v> - </v>
      </c>
      <c r="E170" s="130" t="str">
        <f t="array" ref="E170">XLOOKUP($D170,'Player Database'!$B$2:$B1009,'Player Database'!$I$2:$I1009)</f>
        <v>#N/A</v>
      </c>
      <c r="F170" s="130" t="str">
        <f t="array" ref="F170">XLOOKUP($D170,'Player Database'!$B$2:$B1009,'Player Database'!$J$2:$J1009)</f>
        <v>#N/A</v>
      </c>
      <c r="G170" s="131" t="str">
        <f t="array" ref="G170">IF(H170="","",IFERROR(
  "https://sealeddeck.tech/" &amp; INDEX('Pool Changes'!F:F,
    MAX(
      ROW('Pool Changes'!A:A) *
      ('Pool Changes'!B:B=D170) *
      ('Pool Changes'!F:F&lt;&gt;"")
    )
  ),
  ""
))</f>
        <v/>
      </c>
      <c r="H170" s="131" t="str">
        <f>IFERROR(__xludf.DUMMYFUNCTION("LET(changes,FILTER('Pool Changes'!$B:$D, 'Pool Changes'!$B:$B = $D170),added,FILTER(INDEX(changes,0,3),INDEX(changes,0,2)=""starting pool""),TRANSPOSE(IFERROR(ARRAYFORMULA(IF(added&lt;&gt;"""",""https://sealeddeck.tech/""&amp;added,"""")),"""")))"),"")</f>
        <v/>
      </c>
      <c r="I170" s="132" t="str">
        <f>IFERROR(__xludf.DUMMYFUNCTION("LET(changes,FILTER('Pool Changes'!$B:$D, 'Pool Changes'!$B:$B = $D170),added,FILTER(INDEX(changes,0,3),INDEX(changes,0,2)=""add pack""),IFERROR(TRANSPOSE(ARRAYFORMULA(IF(added&lt;&gt;"""",HYPERLINK(""https://sealeddeck.tech/""&amp;added,""Link""),""""))),""""))"),"")</f>
        <v/>
      </c>
      <c r="J170" s="132"/>
      <c r="K170" s="132"/>
      <c r="L170" s="132"/>
      <c r="M170" s="133"/>
      <c r="N170" s="135"/>
      <c r="O170" s="135"/>
      <c r="P170" s="135"/>
      <c r="Q170" s="133"/>
      <c r="R170" s="133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4"/>
    </row>
    <row r="171">
      <c r="A171" s="143"/>
      <c r="B171" s="144"/>
      <c r="C171" s="129" t="str">
        <f t="array" ref="C171">INDEX('Player Database'!$D:$D,MATCH($D171,'Player Database'!$B:$B,0))</f>
        <v>#N/A</v>
      </c>
      <c r="D171" s="9" t="str">
        <f t="shared" si="1"/>
        <v> - </v>
      </c>
      <c r="E171" s="130" t="str">
        <f t="array" ref="E171">XLOOKUP($D171,'Player Database'!$B$2:$B1009,'Player Database'!$I$2:$I1009)</f>
        <v>#N/A</v>
      </c>
      <c r="F171" s="130" t="str">
        <f t="array" ref="F171">XLOOKUP($D171,'Player Database'!$B$2:$B1009,'Player Database'!$J$2:$J1009)</f>
        <v>#N/A</v>
      </c>
      <c r="G171" s="131" t="str">
        <f t="array" ref="G171">IF(H171="","",IFERROR(
  "https://sealeddeck.tech/" &amp; INDEX('Pool Changes'!F:F,
    MAX(
      ROW('Pool Changes'!A:A) *
      ('Pool Changes'!B:B=D171) *
      ('Pool Changes'!F:F&lt;&gt;"")
    )
  ),
  ""
))</f>
        <v/>
      </c>
      <c r="H171" s="131" t="str">
        <f>IFERROR(__xludf.DUMMYFUNCTION("LET(changes,FILTER('Pool Changes'!$B:$D, 'Pool Changes'!$B:$B = $D171),added,FILTER(INDEX(changes,0,3),INDEX(changes,0,2)=""starting pool""),TRANSPOSE(IFERROR(ARRAYFORMULA(IF(added&lt;&gt;"""",""https://sealeddeck.tech/""&amp;added,"""")),"""")))"),"")</f>
        <v/>
      </c>
      <c r="I171" s="132" t="str">
        <f>IFERROR(__xludf.DUMMYFUNCTION("LET(changes,FILTER('Pool Changes'!$B:$D, 'Pool Changes'!$B:$B = $D171),added,FILTER(INDEX(changes,0,3),INDEX(changes,0,2)=""add pack""),IFERROR(TRANSPOSE(ARRAYFORMULA(IF(added&lt;&gt;"""",HYPERLINK(""https://sealeddeck.tech/""&amp;added,""Link""),""""))),""""))"),"")</f>
        <v/>
      </c>
      <c r="J171" s="132"/>
      <c r="K171" s="132"/>
      <c r="L171" s="132"/>
      <c r="M171" s="133"/>
      <c r="N171" s="135"/>
      <c r="O171" s="135"/>
      <c r="P171" s="135"/>
      <c r="Q171" s="133"/>
      <c r="R171" s="133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</row>
    <row r="172">
      <c r="A172" s="143"/>
      <c r="B172" s="144"/>
      <c r="C172" s="129" t="str">
        <f t="array" ref="C172">INDEX('Player Database'!$D:$D,MATCH($D172,'Player Database'!$B:$B,0))</f>
        <v>#N/A</v>
      </c>
      <c r="D172" s="9" t="str">
        <f t="shared" si="1"/>
        <v> - </v>
      </c>
      <c r="E172" s="130" t="str">
        <f t="array" ref="E172">XLOOKUP($D172,'Player Database'!$B$2:$B1009,'Player Database'!$I$2:$I1009)</f>
        <v>#N/A</v>
      </c>
      <c r="F172" s="130" t="str">
        <f t="array" ref="F172">XLOOKUP($D172,'Player Database'!$B$2:$B1009,'Player Database'!$J$2:$J1009)</f>
        <v>#N/A</v>
      </c>
      <c r="G172" s="131" t="str">
        <f t="array" ref="G172">IF(H172="","",IFERROR(
  "https://sealeddeck.tech/" &amp; INDEX('Pool Changes'!F:F,
    MAX(
      ROW('Pool Changes'!A:A) *
      ('Pool Changes'!B:B=D172) *
      ('Pool Changes'!F:F&lt;&gt;"")
    )
  ),
  ""
))</f>
        <v/>
      </c>
      <c r="H172" s="131" t="str">
        <f>IFERROR(__xludf.DUMMYFUNCTION("LET(changes,FILTER('Pool Changes'!$B:$D, 'Pool Changes'!$B:$B = $D172),added,FILTER(INDEX(changes,0,3),INDEX(changes,0,2)=""starting pool""),TRANSPOSE(IFERROR(ARRAYFORMULA(IF(added&lt;&gt;"""",""https://sealeddeck.tech/""&amp;added,"""")),"""")))"),"")</f>
        <v/>
      </c>
      <c r="I172" s="132" t="str">
        <f>IFERROR(__xludf.DUMMYFUNCTION("LET(changes,FILTER('Pool Changes'!$B:$D, 'Pool Changes'!$B:$B = $D172),added,FILTER(INDEX(changes,0,3),INDEX(changes,0,2)=""add pack""),IFERROR(TRANSPOSE(ARRAYFORMULA(IF(added&lt;&gt;"""",HYPERLINK(""https://sealeddeck.tech/""&amp;added,""Link""),""""))),""""))"),"")</f>
        <v/>
      </c>
      <c r="J172" s="132"/>
      <c r="K172" s="132"/>
      <c r="L172" s="132"/>
      <c r="M172" s="133"/>
      <c r="N172" s="135"/>
      <c r="O172" s="135"/>
      <c r="P172" s="135"/>
      <c r="Q172" s="133"/>
      <c r="R172" s="133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</row>
    <row r="173">
      <c r="A173" s="143"/>
      <c r="B173" s="144"/>
      <c r="C173" s="129" t="str">
        <f t="array" ref="C173">INDEX('Player Database'!$D:$D,MATCH($D173,'Player Database'!$B:$B,0))</f>
        <v>#N/A</v>
      </c>
      <c r="D173" s="9" t="str">
        <f t="shared" si="1"/>
        <v> - </v>
      </c>
      <c r="E173" s="130" t="str">
        <f t="array" ref="E173">XLOOKUP($D173,'Player Database'!$B$2:$B1009,'Player Database'!$I$2:$I1009)</f>
        <v>#N/A</v>
      </c>
      <c r="F173" s="130" t="str">
        <f t="array" ref="F173">XLOOKUP($D173,'Player Database'!$B$2:$B1009,'Player Database'!$J$2:$J1009)</f>
        <v>#N/A</v>
      </c>
      <c r="G173" s="131" t="str">
        <f t="array" ref="G173">IF(H173="","",IFERROR(
  "https://sealeddeck.tech/" &amp; INDEX('Pool Changes'!F:F,
    MAX(
      ROW('Pool Changes'!A:A) *
      ('Pool Changes'!B:B=D173) *
      ('Pool Changes'!F:F&lt;&gt;"")
    )
  ),
  ""
))</f>
        <v/>
      </c>
      <c r="H173" s="131" t="str">
        <f>IFERROR(__xludf.DUMMYFUNCTION("LET(changes,FILTER('Pool Changes'!$B:$D, 'Pool Changes'!$B:$B = $D173),added,FILTER(INDEX(changes,0,3),INDEX(changes,0,2)=""starting pool""),TRANSPOSE(IFERROR(ARRAYFORMULA(IF(added&lt;&gt;"""",""https://sealeddeck.tech/""&amp;added,"""")),"""")))"),"")</f>
        <v/>
      </c>
      <c r="I173" s="132" t="str">
        <f>IFERROR(__xludf.DUMMYFUNCTION("LET(changes,FILTER('Pool Changes'!$B:$D, 'Pool Changes'!$B:$B = $D173),added,FILTER(INDEX(changes,0,3),INDEX(changes,0,2)=""add pack""),IFERROR(TRANSPOSE(ARRAYFORMULA(IF(added&lt;&gt;"""",HYPERLINK(""https://sealeddeck.tech/""&amp;added,""Link""),""""))),""""))"),"")</f>
        <v/>
      </c>
      <c r="J173" s="132"/>
      <c r="K173" s="132"/>
      <c r="L173" s="132"/>
      <c r="M173" s="133"/>
      <c r="N173" s="135"/>
      <c r="O173" s="135"/>
      <c r="P173" s="135"/>
      <c r="Q173" s="133"/>
      <c r="R173" s="133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</row>
    <row r="174">
      <c r="A174" s="143"/>
      <c r="B174" s="144"/>
      <c r="C174" s="129" t="str">
        <f t="array" ref="C174">INDEX('Player Database'!$D:$D,MATCH($D174,'Player Database'!$B:$B,0))</f>
        <v>#N/A</v>
      </c>
      <c r="D174" s="9" t="str">
        <f t="shared" si="1"/>
        <v> - </v>
      </c>
      <c r="E174" s="130" t="str">
        <f t="array" ref="E174">XLOOKUP($D174,'Player Database'!$B$2:$B1009,'Player Database'!$I$2:$I1009)</f>
        <v>#N/A</v>
      </c>
      <c r="F174" s="130" t="str">
        <f t="array" ref="F174">XLOOKUP($D174,'Player Database'!$B$2:$B1009,'Player Database'!$J$2:$J1009)</f>
        <v>#N/A</v>
      </c>
      <c r="G174" s="131" t="str">
        <f t="array" ref="G174">IF(H174="","",IFERROR(
  "https://sealeddeck.tech/" &amp; INDEX('Pool Changes'!F:F,
    MAX(
      ROW('Pool Changes'!A:A) *
      ('Pool Changes'!B:B=D174) *
      ('Pool Changes'!F:F&lt;&gt;"")
    )
  ),
  ""
))</f>
        <v/>
      </c>
      <c r="H174" s="131" t="str">
        <f>IFERROR(__xludf.DUMMYFUNCTION("LET(changes,FILTER('Pool Changes'!$B:$D, 'Pool Changes'!$B:$B = $D174),added,FILTER(INDEX(changes,0,3),INDEX(changes,0,2)=""starting pool""),TRANSPOSE(IFERROR(ARRAYFORMULA(IF(added&lt;&gt;"""",""https://sealeddeck.tech/""&amp;added,"""")),"""")))"),"")</f>
        <v/>
      </c>
      <c r="I174" s="132" t="str">
        <f>IFERROR(__xludf.DUMMYFUNCTION("LET(changes,FILTER('Pool Changes'!$B:$D, 'Pool Changes'!$B:$B = $D174),added,FILTER(INDEX(changes,0,3),INDEX(changes,0,2)=""add pack""),IFERROR(TRANSPOSE(ARRAYFORMULA(IF(added&lt;&gt;"""",HYPERLINK(""https://sealeddeck.tech/""&amp;added,""Link""),""""))),""""))"),"")</f>
        <v/>
      </c>
      <c r="J174" s="132"/>
      <c r="K174" s="132"/>
      <c r="L174" s="132"/>
      <c r="M174" s="133"/>
      <c r="N174" s="135"/>
      <c r="O174" s="135"/>
      <c r="P174" s="135"/>
      <c r="Q174" s="133"/>
      <c r="R174" s="133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4"/>
    </row>
    <row r="175">
      <c r="A175" s="143"/>
      <c r="B175" s="144"/>
      <c r="C175" s="129" t="str">
        <f t="array" ref="C175">INDEX('Player Database'!$D:$D,MATCH($D175,'Player Database'!$B:$B,0))</f>
        <v>#N/A</v>
      </c>
      <c r="D175" s="9" t="str">
        <f t="shared" si="1"/>
        <v> - </v>
      </c>
      <c r="E175" s="130" t="str">
        <f t="array" ref="E175">XLOOKUP($D175,'Player Database'!$B$2:$B1009,'Player Database'!$I$2:$I1009)</f>
        <v>#N/A</v>
      </c>
      <c r="F175" s="130" t="str">
        <f t="array" ref="F175">XLOOKUP($D175,'Player Database'!$B$2:$B1009,'Player Database'!$J$2:$J1009)</f>
        <v>#N/A</v>
      </c>
      <c r="G175" s="131" t="str">
        <f t="array" ref="G175">IF(H175="","",IFERROR(
  "https://sealeddeck.tech/" &amp; INDEX('Pool Changes'!F:F,
    MAX(
      ROW('Pool Changes'!A:A) *
      ('Pool Changes'!B:B=D175) *
      ('Pool Changes'!F:F&lt;&gt;"")
    )
  ),
  ""
))</f>
        <v/>
      </c>
      <c r="H175" s="131" t="str">
        <f>IFERROR(__xludf.DUMMYFUNCTION("LET(changes,FILTER('Pool Changes'!$B:$D, 'Pool Changes'!$B:$B = $D175),added,FILTER(INDEX(changes,0,3),INDEX(changes,0,2)=""starting pool""),TRANSPOSE(IFERROR(ARRAYFORMULA(IF(added&lt;&gt;"""",""https://sealeddeck.tech/""&amp;added,"""")),"""")))"),"")</f>
        <v/>
      </c>
      <c r="I175" s="132" t="str">
        <f>IFERROR(__xludf.DUMMYFUNCTION("LET(changes,FILTER('Pool Changes'!$B:$D, 'Pool Changes'!$B:$B = $D175),added,FILTER(INDEX(changes,0,3),INDEX(changes,0,2)=""add pack""),IFERROR(TRANSPOSE(ARRAYFORMULA(IF(added&lt;&gt;"""",HYPERLINK(""https://sealeddeck.tech/""&amp;added,""Link""),""""))),""""))"),"")</f>
        <v/>
      </c>
      <c r="J175" s="132"/>
      <c r="K175" s="132"/>
      <c r="L175" s="132"/>
      <c r="M175" s="133"/>
      <c r="N175" s="135"/>
      <c r="O175" s="135"/>
      <c r="P175" s="135"/>
      <c r="Q175" s="133"/>
      <c r="R175" s="133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</row>
    <row r="176">
      <c r="A176" s="143"/>
      <c r="B176" s="144"/>
      <c r="C176" s="129" t="str">
        <f t="array" ref="C176">INDEX('Player Database'!$D:$D,MATCH($D176,'Player Database'!$B:$B,0))</f>
        <v>#N/A</v>
      </c>
      <c r="D176" s="9" t="str">
        <f t="shared" si="1"/>
        <v> - </v>
      </c>
      <c r="E176" s="130" t="str">
        <f t="array" ref="E176">XLOOKUP($D176,'Player Database'!$B$2:$B1009,'Player Database'!$I$2:$I1009)</f>
        <v>#N/A</v>
      </c>
      <c r="F176" s="130" t="str">
        <f t="array" ref="F176">XLOOKUP($D176,'Player Database'!$B$2:$B1009,'Player Database'!$J$2:$J1009)</f>
        <v>#N/A</v>
      </c>
      <c r="G176" s="131" t="str">
        <f t="array" ref="G176">IF(H176="","",IFERROR(
  "https://sealeddeck.tech/" &amp; INDEX('Pool Changes'!F:F,
    MAX(
      ROW('Pool Changes'!A:A) *
      ('Pool Changes'!B:B=D176) *
      ('Pool Changes'!F:F&lt;&gt;"")
    )
  ),
  ""
))</f>
        <v/>
      </c>
      <c r="H176" s="131" t="str">
        <f>IFERROR(__xludf.DUMMYFUNCTION("LET(changes,FILTER('Pool Changes'!$B:$D, 'Pool Changes'!$B:$B = $D176),added,FILTER(INDEX(changes,0,3),INDEX(changes,0,2)=""starting pool""),TRANSPOSE(IFERROR(ARRAYFORMULA(IF(added&lt;&gt;"""",""https://sealeddeck.tech/""&amp;added,"""")),"""")))"),"")</f>
        <v/>
      </c>
      <c r="I176" s="132" t="str">
        <f>IFERROR(__xludf.DUMMYFUNCTION("LET(changes,FILTER('Pool Changes'!$B:$D, 'Pool Changes'!$B:$B = $D176),added,FILTER(INDEX(changes,0,3),INDEX(changes,0,2)=""add pack""),IFERROR(TRANSPOSE(ARRAYFORMULA(IF(added&lt;&gt;"""",HYPERLINK(""https://sealeddeck.tech/""&amp;added,""Link""),""""))),""""))"),"")</f>
        <v/>
      </c>
      <c r="J176" s="132"/>
      <c r="K176" s="132"/>
      <c r="L176" s="132"/>
      <c r="M176" s="133"/>
      <c r="N176" s="135"/>
      <c r="O176" s="135"/>
      <c r="P176" s="135"/>
      <c r="Q176" s="133"/>
      <c r="R176" s="133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4"/>
    </row>
    <row r="177">
      <c r="A177" s="143"/>
      <c r="B177" s="144"/>
      <c r="C177" s="129" t="str">
        <f t="array" ref="C177">INDEX('Player Database'!$D:$D,MATCH($D177,'Player Database'!$B:$B,0))</f>
        <v>#N/A</v>
      </c>
      <c r="D177" s="9" t="str">
        <f t="shared" si="1"/>
        <v> - </v>
      </c>
      <c r="E177" s="130" t="str">
        <f t="array" ref="E177">XLOOKUP($D177,'Player Database'!$B$2:$B1009,'Player Database'!$I$2:$I1009)</f>
        <v>#N/A</v>
      </c>
      <c r="F177" s="130" t="str">
        <f t="array" ref="F177">XLOOKUP($D177,'Player Database'!$B$2:$B1009,'Player Database'!$J$2:$J1009)</f>
        <v>#N/A</v>
      </c>
      <c r="G177" s="131" t="str">
        <f t="array" ref="G177">IF(H177="","",IFERROR(
  "https://sealeddeck.tech/" &amp; INDEX('Pool Changes'!F:F,
    MAX(
      ROW('Pool Changes'!A:A) *
      ('Pool Changes'!B:B=D177) *
      ('Pool Changes'!F:F&lt;&gt;"")
    )
  ),
  ""
))</f>
        <v/>
      </c>
      <c r="H177" s="131" t="str">
        <f>IFERROR(__xludf.DUMMYFUNCTION("LET(changes,FILTER('Pool Changes'!$B:$D, 'Pool Changes'!$B:$B = $D177),added,FILTER(INDEX(changes,0,3),INDEX(changes,0,2)=""starting pool""),TRANSPOSE(IFERROR(ARRAYFORMULA(IF(added&lt;&gt;"""",""https://sealeddeck.tech/""&amp;added,"""")),"""")))"),"")</f>
        <v/>
      </c>
      <c r="I177" s="132" t="str">
        <f>IFERROR(__xludf.DUMMYFUNCTION("LET(changes,FILTER('Pool Changes'!$B:$D, 'Pool Changes'!$B:$B = $D177),added,FILTER(INDEX(changes,0,3),INDEX(changes,0,2)=""add pack""),IFERROR(TRANSPOSE(ARRAYFORMULA(IF(added&lt;&gt;"""",HYPERLINK(""https://sealeddeck.tech/""&amp;added,""Link""),""""))),""""))"),"")</f>
        <v/>
      </c>
      <c r="J177" s="132"/>
      <c r="K177" s="132"/>
      <c r="L177" s="132"/>
      <c r="M177" s="133"/>
      <c r="N177" s="135"/>
      <c r="O177" s="135"/>
      <c r="P177" s="135"/>
      <c r="Q177" s="133"/>
      <c r="R177" s="133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</row>
    <row r="178">
      <c r="A178" s="143"/>
      <c r="B178" s="144"/>
      <c r="C178" s="129" t="str">
        <f t="array" ref="C178">INDEX('Player Database'!$D:$D,MATCH($D178,'Player Database'!$B:$B,0))</f>
        <v>#N/A</v>
      </c>
      <c r="D178" s="9" t="str">
        <f t="shared" si="1"/>
        <v> - </v>
      </c>
      <c r="E178" s="130" t="str">
        <f t="array" ref="E178">XLOOKUP($D178,'Player Database'!$B$2:$B1009,'Player Database'!$I$2:$I1009)</f>
        <v>#N/A</v>
      </c>
      <c r="F178" s="130" t="str">
        <f t="array" ref="F178">XLOOKUP($D178,'Player Database'!$B$2:$B1009,'Player Database'!$J$2:$J1009)</f>
        <v>#N/A</v>
      </c>
      <c r="G178" s="131" t="str">
        <f t="array" ref="G178">IF(H178="","",IFERROR(
  "https://sealeddeck.tech/" &amp; INDEX('Pool Changes'!F:F,
    MAX(
      ROW('Pool Changes'!A:A) *
      ('Pool Changes'!B:B=D178) *
      ('Pool Changes'!F:F&lt;&gt;"")
    )
  ),
  ""
))</f>
        <v/>
      </c>
      <c r="H178" s="131" t="str">
        <f>IFERROR(__xludf.DUMMYFUNCTION("LET(changes,FILTER('Pool Changes'!$B:$D, 'Pool Changes'!$B:$B = $D178),added,FILTER(INDEX(changes,0,3),INDEX(changes,0,2)=""starting pool""),TRANSPOSE(IFERROR(ARRAYFORMULA(IF(added&lt;&gt;"""",""https://sealeddeck.tech/""&amp;added,"""")),"""")))"),"")</f>
        <v/>
      </c>
      <c r="I178" s="132" t="str">
        <f>IFERROR(__xludf.DUMMYFUNCTION("LET(changes,FILTER('Pool Changes'!$B:$D, 'Pool Changes'!$B:$B = $D178),added,FILTER(INDEX(changes,0,3),INDEX(changes,0,2)=""add pack""),IFERROR(TRANSPOSE(ARRAYFORMULA(IF(added&lt;&gt;"""",HYPERLINK(""https://sealeddeck.tech/""&amp;added,""Link""),""""))),""""))"),"")</f>
        <v/>
      </c>
      <c r="J178" s="132"/>
      <c r="K178" s="132"/>
      <c r="L178" s="132"/>
      <c r="M178" s="133"/>
      <c r="N178" s="135"/>
      <c r="O178" s="135"/>
      <c r="P178" s="135"/>
      <c r="Q178" s="133"/>
      <c r="R178" s="133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</row>
    <row r="179">
      <c r="A179" s="143"/>
      <c r="B179" s="144"/>
      <c r="C179" s="129" t="str">
        <f t="array" ref="C179">INDEX('Player Database'!$D:$D,MATCH($D179,'Player Database'!$B:$B,0))</f>
        <v>#N/A</v>
      </c>
      <c r="D179" s="9" t="str">
        <f t="shared" si="1"/>
        <v> - </v>
      </c>
      <c r="E179" s="130" t="str">
        <f t="array" ref="E179">XLOOKUP($D179,'Player Database'!$B$2:$B1009,'Player Database'!$I$2:$I1009)</f>
        <v>#N/A</v>
      </c>
      <c r="F179" s="130" t="str">
        <f t="array" ref="F179">XLOOKUP($D179,'Player Database'!$B$2:$B1009,'Player Database'!$J$2:$J1009)</f>
        <v>#N/A</v>
      </c>
      <c r="G179" s="131" t="str">
        <f t="array" ref="G179">IF(H179="","",IFERROR(
  "https://sealeddeck.tech/" &amp; INDEX('Pool Changes'!F:F,
    MAX(
      ROW('Pool Changes'!A:A) *
      ('Pool Changes'!B:B=D179) *
      ('Pool Changes'!F:F&lt;&gt;"")
    )
  ),
  ""
))</f>
        <v/>
      </c>
      <c r="H179" s="131" t="str">
        <f>IFERROR(__xludf.DUMMYFUNCTION("LET(changes,FILTER('Pool Changes'!$B:$D, 'Pool Changes'!$B:$B = $D179),added,FILTER(INDEX(changes,0,3),INDEX(changes,0,2)=""starting pool""),TRANSPOSE(IFERROR(ARRAYFORMULA(IF(added&lt;&gt;"""",""https://sealeddeck.tech/""&amp;added,"""")),"""")))"),"")</f>
        <v/>
      </c>
      <c r="I179" s="132" t="str">
        <f>IFERROR(__xludf.DUMMYFUNCTION("LET(changes,FILTER('Pool Changes'!$B:$D, 'Pool Changes'!$B:$B = $D179),added,FILTER(INDEX(changes,0,3),INDEX(changes,0,2)=""add pack""),IFERROR(TRANSPOSE(ARRAYFORMULA(IF(added&lt;&gt;"""",HYPERLINK(""https://sealeddeck.tech/""&amp;added,""Link""),""""))),""""))"),"")</f>
        <v/>
      </c>
      <c r="J179" s="132"/>
      <c r="K179" s="132"/>
      <c r="L179" s="132"/>
      <c r="M179" s="133"/>
      <c r="N179" s="135"/>
      <c r="O179" s="135"/>
      <c r="P179" s="135"/>
      <c r="Q179" s="133"/>
      <c r="R179" s="133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</row>
    <row r="180">
      <c r="A180" s="143"/>
      <c r="B180" s="144"/>
      <c r="C180" s="129" t="str">
        <f t="array" ref="C180">INDEX('Player Database'!$D:$D,MATCH($D180,'Player Database'!$B:$B,0))</f>
        <v>#N/A</v>
      </c>
      <c r="D180" s="9" t="str">
        <f t="shared" si="1"/>
        <v> - </v>
      </c>
      <c r="E180" s="130" t="str">
        <f t="array" ref="E180">XLOOKUP($D180,'Player Database'!$B$2:$B1009,'Player Database'!$I$2:$I1009)</f>
        <v>#N/A</v>
      </c>
      <c r="F180" s="130" t="str">
        <f t="array" ref="F180">XLOOKUP($D180,'Player Database'!$B$2:$B1009,'Player Database'!$J$2:$J1009)</f>
        <v>#N/A</v>
      </c>
      <c r="G180" s="131" t="str">
        <f t="array" ref="G180">IF(H180="","",IFERROR(
  "https://sealeddeck.tech/" &amp; INDEX('Pool Changes'!F:F,
    MAX(
      ROW('Pool Changes'!A:A) *
      ('Pool Changes'!B:B=D180) *
      ('Pool Changes'!F:F&lt;&gt;"")
    )
  ),
  ""
))</f>
        <v/>
      </c>
      <c r="H180" s="131" t="str">
        <f>IFERROR(__xludf.DUMMYFUNCTION("LET(changes,FILTER('Pool Changes'!$B:$D, 'Pool Changes'!$B:$B = $D180),added,FILTER(INDEX(changes,0,3),INDEX(changes,0,2)=""starting pool""),TRANSPOSE(IFERROR(ARRAYFORMULA(IF(added&lt;&gt;"""",""https://sealeddeck.tech/""&amp;added,"""")),"""")))"),"")</f>
        <v/>
      </c>
      <c r="I180" s="132" t="str">
        <f>IFERROR(__xludf.DUMMYFUNCTION("LET(changes,FILTER('Pool Changes'!$B:$D, 'Pool Changes'!$B:$B = $D180),added,FILTER(INDEX(changes,0,3),INDEX(changes,0,2)=""add pack""),IFERROR(TRANSPOSE(ARRAYFORMULA(IF(added&lt;&gt;"""",HYPERLINK(""https://sealeddeck.tech/""&amp;added,""Link""),""""))),""""))"),"")</f>
        <v/>
      </c>
      <c r="J180" s="132"/>
      <c r="K180" s="132"/>
      <c r="L180" s="132"/>
      <c r="M180" s="133"/>
      <c r="N180" s="135"/>
      <c r="O180" s="135"/>
      <c r="P180" s="135"/>
      <c r="Q180" s="133"/>
      <c r="R180" s="133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</row>
    <row r="181">
      <c r="A181" s="143"/>
      <c r="B181" s="144"/>
      <c r="C181" s="129" t="str">
        <f t="array" ref="C181">INDEX('Player Database'!$D:$D,MATCH($D181,'Player Database'!$B:$B,0))</f>
        <v>#N/A</v>
      </c>
      <c r="D181" s="9" t="str">
        <f t="shared" si="1"/>
        <v> - </v>
      </c>
      <c r="E181" s="130" t="str">
        <f t="array" ref="E181">XLOOKUP($D181,'Player Database'!$B$2:$B1009,'Player Database'!$I$2:$I1009)</f>
        <v>#N/A</v>
      </c>
      <c r="F181" s="130" t="str">
        <f t="array" ref="F181">XLOOKUP($D181,'Player Database'!$B$2:$B1009,'Player Database'!$J$2:$J1009)</f>
        <v>#N/A</v>
      </c>
      <c r="G181" s="131" t="str">
        <f t="array" ref="G181">IF(H181="","",IFERROR(
  "https://sealeddeck.tech/" &amp; INDEX('Pool Changes'!F:F,
    MAX(
      ROW('Pool Changes'!A:A) *
      ('Pool Changes'!B:B=D181) *
      ('Pool Changes'!F:F&lt;&gt;"")
    )
  ),
  ""
))</f>
        <v/>
      </c>
      <c r="H181" s="131" t="str">
        <f>IFERROR(__xludf.DUMMYFUNCTION("LET(changes,FILTER('Pool Changes'!$B:$D, 'Pool Changes'!$B:$B = $D181),added,FILTER(INDEX(changes,0,3),INDEX(changes,0,2)=""starting pool""),TRANSPOSE(IFERROR(ARRAYFORMULA(IF(added&lt;&gt;"""",""https://sealeddeck.tech/""&amp;added,"""")),"""")))"),"")</f>
        <v/>
      </c>
      <c r="I181" s="132" t="str">
        <f>IFERROR(__xludf.DUMMYFUNCTION("LET(changes,FILTER('Pool Changes'!$B:$D, 'Pool Changes'!$B:$B = $D181),added,FILTER(INDEX(changes,0,3),INDEX(changes,0,2)=""add pack""),IFERROR(TRANSPOSE(ARRAYFORMULA(IF(added&lt;&gt;"""",HYPERLINK(""https://sealeddeck.tech/""&amp;added,""Link""),""""))),""""))"),"")</f>
        <v/>
      </c>
      <c r="J181" s="132"/>
      <c r="K181" s="132"/>
      <c r="L181" s="132"/>
      <c r="M181" s="133"/>
      <c r="N181" s="135"/>
      <c r="O181" s="135"/>
      <c r="P181" s="135"/>
      <c r="Q181" s="133"/>
      <c r="R181" s="133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</row>
    <row r="182">
      <c r="A182" s="143"/>
      <c r="B182" s="144"/>
      <c r="C182" s="129" t="str">
        <f t="array" ref="C182">INDEX('Player Database'!$D:$D,MATCH($D182,'Player Database'!$B:$B,0))</f>
        <v>#N/A</v>
      </c>
      <c r="D182" s="9" t="str">
        <f t="shared" si="1"/>
        <v> - </v>
      </c>
      <c r="E182" s="130" t="str">
        <f t="array" ref="E182">XLOOKUP($D182,'Player Database'!$B$2:$B1009,'Player Database'!$I$2:$I1009)</f>
        <v>#N/A</v>
      </c>
      <c r="F182" s="130" t="str">
        <f t="array" ref="F182">XLOOKUP($D182,'Player Database'!$B$2:$B1009,'Player Database'!$J$2:$J1009)</f>
        <v>#N/A</v>
      </c>
      <c r="G182" s="131" t="str">
        <f t="array" ref="G182">IF(H182="","",IFERROR(
  "https://sealeddeck.tech/" &amp; INDEX('Pool Changes'!F:F,
    MAX(
      ROW('Pool Changes'!A:A) *
      ('Pool Changes'!B:B=D182) *
      ('Pool Changes'!F:F&lt;&gt;"")
    )
  ),
  ""
))</f>
        <v/>
      </c>
      <c r="H182" s="131" t="str">
        <f>IFERROR(__xludf.DUMMYFUNCTION("LET(changes,FILTER('Pool Changes'!$B:$D, 'Pool Changes'!$B:$B = $D182),added,FILTER(INDEX(changes,0,3),INDEX(changes,0,2)=""starting pool""),TRANSPOSE(IFERROR(ARRAYFORMULA(IF(added&lt;&gt;"""",""https://sealeddeck.tech/""&amp;added,"""")),"""")))"),"")</f>
        <v/>
      </c>
      <c r="I182" s="132" t="str">
        <f>IFERROR(__xludf.DUMMYFUNCTION("LET(changes,FILTER('Pool Changes'!$B:$D, 'Pool Changes'!$B:$B = $D182),added,FILTER(INDEX(changes,0,3),INDEX(changes,0,2)=""add pack""),IFERROR(TRANSPOSE(ARRAYFORMULA(IF(added&lt;&gt;"""",HYPERLINK(""https://sealeddeck.tech/""&amp;added,""Link""),""""))),""""))"),"")</f>
        <v/>
      </c>
      <c r="J182" s="132"/>
      <c r="K182" s="132"/>
      <c r="L182" s="132"/>
      <c r="M182" s="133"/>
      <c r="N182" s="135"/>
      <c r="O182" s="135"/>
      <c r="P182" s="135"/>
      <c r="Q182" s="133"/>
      <c r="R182" s="133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</row>
    <row r="183">
      <c r="A183" s="143"/>
      <c r="B183" s="144"/>
      <c r="C183" s="129" t="str">
        <f t="array" ref="C183">INDEX('Player Database'!$D:$D,MATCH($D183,'Player Database'!$B:$B,0))</f>
        <v>#N/A</v>
      </c>
      <c r="D183" s="9" t="str">
        <f t="shared" si="1"/>
        <v> - </v>
      </c>
      <c r="E183" s="130" t="str">
        <f t="array" ref="E183">XLOOKUP($D183,'Player Database'!$B$2:$B1009,'Player Database'!$I$2:$I1009)</f>
        <v>#N/A</v>
      </c>
      <c r="F183" s="130" t="str">
        <f t="array" ref="F183">XLOOKUP($D183,'Player Database'!$B$2:$B1009,'Player Database'!$J$2:$J1009)</f>
        <v>#N/A</v>
      </c>
      <c r="G183" s="131" t="str">
        <f t="array" ref="G183">IF(H183="","",IFERROR(
  "https://sealeddeck.tech/" &amp; INDEX('Pool Changes'!F:F,
    MAX(
      ROW('Pool Changes'!A:A) *
      ('Pool Changes'!B:B=D183) *
      ('Pool Changes'!F:F&lt;&gt;"")
    )
  ),
  ""
))</f>
        <v/>
      </c>
      <c r="H183" s="131" t="str">
        <f>IFERROR(__xludf.DUMMYFUNCTION("LET(changes,FILTER('Pool Changes'!$B:$D, 'Pool Changes'!$B:$B = $D183),added,FILTER(INDEX(changes,0,3),INDEX(changes,0,2)=""starting pool""),TRANSPOSE(IFERROR(ARRAYFORMULA(IF(added&lt;&gt;"""",""https://sealeddeck.tech/""&amp;added,"""")),"""")))"),"")</f>
        <v/>
      </c>
      <c r="I183" s="132" t="str">
        <f>IFERROR(__xludf.DUMMYFUNCTION("LET(changes,FILTER('Pool Changes'!$B:$D, 'Pool Changes'!$B:$B = $D183),added,FILTER(INDEX(changes,0,3),INDEX(changes,0,2)=""add pack""),IFERROR(TRANSPOSE(ARRAYFORMULA(IF(added&lt;&gt;"""",HYPERLINK(""https://sealeddeck.tech/""&amp;added,""Link""),""""))),""""))"),"")</f>
        <v/>
      </c>
      <c r="J183" s="132"/>
      <c r="K183" s="132"/>
      <c r="L183" s="132"/>
      <c r="M183" s="133"/>
      <c r="N183" s="135"/>
      <c r="O183" s="135"/>
      <c r="P183" s="135"/>
      <c r="Q183" s="133"/>
      <c r="R183" s="133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4"/>
    </row>
    <row r="184">
      <c r="A184" s="143"/>
      <c r="B184" s="144"/>
      <c r="C184" s="129" t="str">
        <f t="array" ref="C184">INDEX('Player Database'!$D:$D,MATCH($D184,'Player Database'!$B:$B,0))</f>
        <v>#N/A</v>
      </c>
      <c r="D184" s="9" t="str">
        <f t="shared" si="1"/>
        <v> - </v>
      </c>
      <c r="E184" s="130" t="str">
        <f t="array" ref="E184">XLOOKUP($D184,'Player Database'!$B$2:$B1009,'Player Database'!$I$2:$I1009)</f>
        <v>#N/A</v>
      </c>
      <c r="F184" s="130" t="str">
        <f t="array" ref="F184">XLOOKUP($D184,'Player Database'!$B$2:$B1009,'Player Database'!$J$2:$J1009)</f>
        <v>#N/A</v>
      </c>
      <c r="G184" s="131" t="str">
        <f t="array" ref="G184">IF(H184="","",IFERROR(
  "https://sealeddeck.tech/" &amp; INDEX('Pool Changes'!F:F,
    MAX(
      ROW('Pool Changes'!A:A) *
      ('Pool Changes'!B:B=D184) *
      ('Pool Changes'!F:F&lt;&gt;"")
    )
  ),
  ""
))</f>
        <v/>
      </c>
      <c r="H184" s="131" t="str">
        <f>IFERROR(__xludf.DUMMYFUNCTION("LET(changes,FILTER('Pool Changes'!$B:$D, 'Pool Changes'!$B:$B = $D184),added,FILTER(INDEX(changes,0,3),INDEX(changes,0,2)=""starting pool""),TRANSPOSE(IFERROR(ARRAYFORMULA(IF(added&lt;&gt;"""",""https://sealeddeck.tech/""&amp;added,"""")),"""")))"),"")</f>
        <v/>
      </c>
      <c r="I184" s="132" t="str">
        <f>IFERROR(__xludf.DUMMYFUNCTION("LET(changes,FILTER('Pool Changes'!$B:$D, 'Pool Changes'!$B:$B = $D184),added,FILTER(INDEX(changes,0,3),INDEX(changes,0,2)=""add pack""),IFERROR(TRANSPOSE(ARRAYFORMULA(IF(added&lt;&gt;"""",HYPERLINK(""https://sealeddeck.tech/""&amp;added,""Link""),""""))),""""))"),"")</f>
        <v/>
      </c>
      <c r="J184" s="132"/>
      <c r="K184" s="132"/>
      <c r="L184" s="132"/>
      <c r="M184" s="133"/>
      <c r="N184" s="135"/>
      <c r="O184" s="135"/>
      <c r="P184" s="135"/>
      <c r="Q184" s="133"/>
      <c r="R184" s="133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</row>
    <row r="185">
      <c r="A185" s="143"/>
      <c r="B185" s="144"/>
      <c r="C185" s="129" t="str">
        <f t="array" ref="C185">INDEX('Player Database'!$D:$D,MATCH($D185,'Player Database'!$B:$B,0))</f>
        <v>#N/A</v>
      </c>
      <c r="D185" s="9" t="str">
        <f t="shared" si="1"/>
        <v> - </v>
      </c>
      <c r="E185" s="130" t="str">
        <f t="array" ref="E185">XLOOKUP($D185,'Player Database'!$B$2:$B1009,'Player Database'!$I$2:$I1009)</f>
        <v>#N/A</v>
      </c>
      <c r="F185" s="130" t="str">
        <f t="array" ref="F185">XLOOKUP($D185,'Player Database'!$B$2:$B1009,'Player Database'!$J$2:$J1009)</f>
        <v>#N/A</v>
      </c>
      <c r="G185" s="131" t="str">
        <f t="array" ref="G185">IF(H185="","",IFERROR(
  "https://sealeddeck.tech/" &amp; INDEX('Pool Changes'!F:F,
    MAX(
      ROW('Pool Changes'!A:A) *
      ('Pool Changes'!B:B=D185) *
      ('Pool Changes'!F:F&lt;&gt;"")
    )
  ),
  ""
))</f>
        <v/>
      </c>
      <c r="H185" s="131" t="str">
        <f>IFERROR(__xludf.DUMMYFUNCTION("LET(changes,FILTER('Pool Changes'!$B:$D, 'Pool Changes'!$B:$B = $D185),added,FILTER(INDEX(changes,0,3),INDEX(changes,0,2)=""starting pool""),TRANSPOSE(IFERROR(ARRAYFORMULA(IF(added&lt;&gt;"""",""https://sealeddeck.tech/""&amp;added,"""")),"""")))"),"")</f>
        <v/>
      </c>
      <c r="I185" s="132" t="str">
        <f>IFERROR(__xludf.DUMMYFUNCTION("LET(changes,FILTER('Pool Changes'!$B:$D, 'Pool Changes'!$B:$B = $D185),added,FILTER(INDEX(changes,0,3),INDEX(changes,0,2)=""add pack""),IFERROR(TRANSPOSE(ARRAYFORMULA(IF(added&lt;&gt;"""",HYPERLINK(""https://sealeddeck.tech/""&amp;added,""Link""),""""))),""""))"),"")</f>
        <v/>
      </c>
      <c r="J185" s="132"/>
      <c r="K185" s="132"/>
      <c r="L185" s="132"/>
      <c r="M185" s="133"/>
      <c r="N185" s="135"/>
      <c r="O185" s="135"/>
      <c r="P185" s="135"/>
      <c r="Q185" s="133"/>
      <c r="R185" s="133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</row>
    <row r="186">
      <c r="A186" s="143"/>
      <c r="B186" s="144"/>
      <c r="C186" s="129" t="str">
        <f t="array" ref="C186">INDEX('Player Database'!$D:$D,MATCH($D186,'Player Database'!$B:$B,0))</f>
        <v>#N/A</v>
      </c>
      <c r="D186" s="9" t="str">
        <f t="shared" si="1"/>
        <v> - </v>
      </c>
      <c r="E186" s="130" t="str">
        <f t="array" ref="E186">XLOOKUP($D186,'Player Database'!$B$2:$B1009,'Player Database'!$I$2:$I1009)</f>
        <v>#N/A</v>
      </c>
      <c r="F186" s="130" t="str">
        <f t="array" ref="F186">XLOOKUP($D186,'Player Database'!$B$2:$B1009,'Player Database'!$J$2:$J1009)</f>
        <v>#N/A</v>
      </c>
      <c r="G186" s="131" t="str">
        <f t="array" ref="G186">IF(H186="","",IFERROR(
  "https://sealeddeck.tech/" &amp; INDEX('Pool Changes'!F:F,
    MAX(
      ROW('Pool Changes'!A:A) *
      ('Pool Changes'!B:B=D186) *
      ('Pool Changes'!F:F&lt;&gt;"")
    )
  ),
  ""
))</f>
        <v/>
      </c>
      <c r="H186" s="131" t="str">
        <f>IFERROR(__xludf.DUMMYFUNCTION("LET(changes,FILTER('Pool Changes'!$B:$D, 'Pool Changes'!$B:$B = $D186),added,FILTER(INDEX(changes,0,3),INDEX(changes,0,2)=""starting pool""),TRANSPOSE(IFERROR(ARRAYFORMULA(IF(added&lt;&gt;"""",""https://sealeddeck.tech/""&amp;added,"""")),"""")))"),"")</f>
        <v/>
      </c>
      <c r="I186" s="132" t="str">
        <f>IFERROR(__xludf.DUMMYFUNCTION("LET(changes,FILTER('Pool Changes'!$B:$D, 'Pool Changes'!$B:$B = $D186),added,FILTER(INDEX(changes,0,3),INDEX(changes,0,2)=""add pack""),IFERROR(TRANSPOSE(ARRAYFORMULA(IF(added&lt;&gt;"""",HYPERLINK(""https://sealeddeck.tech/""&amp;added,""Link""),""""))),""""))"),"")</f>
        <v/>
      </c>
      <c r="J186" s="132"/>
      <c r="K186" s="132"/>
      <c r="L186" s="132"/>
      <c r="M186" s="133"/>
      <c r="N186" s="135"/>
      <c r="O186" s="135"/>
      <c r="P186" s="135"/>
      <c r="Q186" s="133"/>
      <c r="R186" s="133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</row>
    <row r="187">
      <c r="A187" s="143"/>
      <c r="B187" s="144"/>
      <c r="C187" s="129" t="str">
        <f t="array" ref="C187">INDEX('Player Database'!$D:$D,MATCH($D187,'Player Database'!$B:$B,0))</f>
        <v>#N/A</v>
      </c>
      <c r="D187" s="9" t="str">
        <f t="shared" si="1"/>
        <v> - </v>
      </c>
      <c r="E187" s="130" t="str">
        <f t="array" ref="E187">XLOOKUP($D187,'Player Database'!$B$2:$B1009,'Player Database'!$I$2:$I1009)</f>
        <v>#N/A</v>
      </c>
      <c r="F187" s="130" t="str">
        <f t="array" ref="F187">XLOOKUP($D187,'Player Database'!$B$2:$B1009,'Player Database'!$J$2:$J1009)</f>
        <v>#N/A</v>
      </c>
      <c r="G187" s="131" t="str">
        <f t="array" ref="G187">IF(H187="","",IFERROR(
  "https://sealeddeck.tech/" &amp; INDEX('Pool Changes'!F:F,
    MAX(
      ROW('Pool Changes'!A:A) *
      ('Pool Changes'!B:B=D187) *
      ('Pool Changes'!F:F&lt;&gt;"")
    )
  ),
  ""
))</f>
        <v/>
      </c>
      <c r="H187" s="131" t="str">
        <f>IFERROR(__xludf.DUMMYFUNCTION("LET(changes,FILTER('Pool Changes'!$B:$D, 'Pool Changes'!$B:$B = $D187),added,FILTER(INDEX(changes,0,3),INDEX(changes,0,2)=""starting pool""),TRANSPOSE(IFERROR(ARRAYFORMULA(IF(added&lt;&gt;"""",""https://sealeddeck.tech/""&amp;added,"""")),"""")))"),"")</f>
        <v/>
      </c>
      <c r="I187" s="132" t="str">
        <f>IFERROR(__xludf.DUMMYFUNCTION("LET(changes,FILTER('Pool Changes'!$B:$D, 'Pool Changes'!$B:$B = $D187),added,FILTER(INDEX(changes,0,3),INDEX(changes,0,2)=""add pack""),IFERROR(TRANSPOSE(ARRAYFORMULA(IF(added&lt;&gt;"""",HYPERLINK(""https://sealeddeck.tech/""&amp;added,""Link""),""""))),""""))"),"")</f>
        <v/>
      </c>
      <c r="J187" s="132"/>
      <c r="K187" s="132"/>
      <c r="L187" s="132"/>
      <c r="M187" s="133"/>
      <c r="N187" s="135"/>
      <c r="O187" s="135"/>
      <c r="P187" s="135"/>
      <c r="Q187" s="133"/>
      <c r="R187" s="133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</row>
    <row r="188">
      <c r="A188" s="143"/>
      <c r="B188" s="144"/>
      <c r="C188" s="129" t="str">
        <f t="array" ref="C188">INDEX('Player Database'!$D:$D,MATCH($D188,'Player Database'!$B:$B,0))</f>
        <v>#N/A</v>
      </c>
      <c r="D188" s="9" t="str">
        <f t="shared" si="1"/>
        <v> - </v>
      </c>
      <c r="E188" s="130" t="str">
        <f t="array" ref="E188">XLOOKUP($D188,'Player Database'!$B$2:$B1009,'Player Database'!$I$2:$I1009)</f>
        <v>#N/A</v>
      </c>
      <c r="F188" s="130" t="str">
        <f t="array" ref="F188">XLOOKUP($D188,'Player Database'!$B$2:$B1009,'Player Database'!$J$2:$J1009)</f>
        <v>#N/A</v>
      </c>
      <c r="G188" s="131" t="str">
        <f t="array" ref="G188">IF(H188="","",IFERROR(
  "https://sealeddeck.tech/" &amp; INDEX('Pool Changes'!F:F,
    MAX(
      ROW('Pool Changes'!A:A) *
      ('Pool Changes'!B:B=D188) *
      ('Pool Changes'!F:F&lt;&gt;"")
    )
  ),
  ""
))</f>
        <v/>
      </c>
      <c r="H188" s="131" t="str">
        <f>IFERROR(__xludf.DUMMYFUNCTION("LET(changes,FILTER('Pool Changes'!$B:$D, 'Pool Changes'!$B:$B = $D188),added,FILTER(INDEX(changes,0,3),INDEX(changes,0,2)=""starting pool""),TRANSPOSE(IFERROR(ARRAYFORMULA(IF(added&lt;&gt;"""",""https://sealeddeck.tech/""&amp;added,"""")),"""")))"),"")</f>
        <v/>
      </c>
      <c r="I188" s="132" t="str">
        <f>IFERROR(__xludf.DUMMYFUNCTION("LET(changes,FILTER('Pool Changes'!$B:$D, 'Pool Changes'!$B:$B = $D188),added,FILTER(INDEX(changes,0,3),INDEX(changes,0,2)=""add pack""),IFERROR(TRANSPOSE(ARRAYFORMULA(IF(added&lt;&gt;"""",HYPERLINK(""https://sealeddeck.tech/""&amp;added,""Link""),""""))),""""))"),"")</f>
        <v/>
      </c>
      <c r="J188" s="132"/>
      <c r="K188" s="132"/>
      <c r="L188" s="132"/>
      <c r="M188" s="133"/>
      <c r="N188" s="135"/>
      <c r="O188" s="135"/>
      <c r="P188" s="135"/>
      <c r="Q188" s="133"/>
      <c r="R188" s="133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4"/>
    </row>
    <row r="189">
      <c r="A189" s="143"/>
      <c r="B189" s="144"/>
      <c r="C189" s="129" t="str">
        <f t="array" ref="C189">INDEX('Player Database'!$D:$D,MATCH($D189,'Player Database'!$B:$B,0))</f>
        <v>#N/A</v>
      </c>
      <c r="D189" s="9" t="str">
        <f t="shared" si="1"/>
        <v> - </v>
      </c>
      <c r="E189" s="130" t="str">
        <f t="array" ref="E189">XLOOKUP($D189,'Player Database'!$B$2:$B1009,'Player Database'!$I$2:$I1009)</f>
        <v>#N/A</v>
      </c>
      <c r="F189" s="130" t="str">
        <f t="array" ref="F189">XLOOKUP($D189,'Player Database'!$B$2:$B1009,'Player Database'!$J$2:$J1009)</f>
        <v>#N/A</v>
      </c>
      <c r="G189" s="131" t="str">
        <f t="array" ref="G189">IF(H189="","",IFERROR(
  "https://sealeddeck.tech/" &amp; INDEX('Pool Changes'!F:F,
    MAX(
      ROW('Pool Changes'!A:A) *
      ('Pool Changes'!B:B=D189) *
      ('Pool Changes'!F:F&lt;&gt;"")
    )
  ),
  ""
))</f>
        <v/>
      </c>
      <c r="H189" s="131" t="str">
        <f>IFERROR(__xludf.DUMMYFUNCTION("LET(changes,FILTER('Pool Changes'!$B:$D, 'Pool Changes'!$B:$B = $D189),added,FILTER(INDEX(changes,0,3),INDEX(changes,0,2)=""starting pool""),TRANSPOSE(IFERROR(ARRAYFORMULA(IF(added&lt;&gt;"""",""https://sealeddeck.tech/""&amp;added,"""")),"""")))"),"")</f>
        <v/>
      </c>
      <c r="I189" s="132" t="str">
        <f>IFERROR(__xludf.DUMMYFUNCTION("LET(changes,FILTER('Pool Changes'!$B:$D, 'Pool Changes'!$B:$B = $D189),added,FILTER(INDEX(changes,0,3),INDEX(changes,0,2)=""add pack""),IFERROR(TRANSPOSE(ARRAYFORMULA(IF(added&lt;&gt;"""",HYPERLINK(""https://sealeddeck.tech/""&amp;added,""Link""),""""))),""""))"),"")</f>
        <v/>
      </c>
      <c r="J189" s="132"/>
      <c r="K189" s="132"/>
      <c r="L189" s="132"/>
      <c r="M189" s="133"/>
      <c r="N189" s="135"/>
      <c r="O189" s="135"/>
      <c r="P189" s="135"/>
      <c r="Q189" s="133"/>
      <c r="R189" s="133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</row>
    <row r="190">
      <c r="A190" s="143"/>
      <c r="B190" s="144"/>
      <c r="C190" s="129" t="str">
        <f t="array" ref="C190">INDEX('Player Database'!$D:$D,MATCH($D190,'Player Database'!$B:$B,0))</f>
        <v>#N/A</v>
      </c>
      <c r="D190" s="9" t="str">
        <f t="shared" si="1"/>
        <v> - </v>
      </c>
      <c r="E190" s="130" t="str">
        <f t="array" ref="E190">XLOOKUP($D190,'Player Database'!$B$2:$B1009,'Player Database'!$I$2:$I1009)</f>
        <v>#N/A</v>
      </c>
      <c r="F190" s="130" t="str">
        <f t="array" ref="F190">XLOOKUP($D190,'Player Database'!$B$2:$B1009,'Player Database'!$J$2:$J1009)</f>
        <v>#N/A</v>
      </c>
      <c r="G190" s="131" t="str">
        <f t="array" ref="G190">IF(H190="","",IFERROR(
  "https://sealeddeck.tech/" &amp; INDEX('Pool Changes'!F:F,
    MAX(
      ROW('Pool Changes'!A:A) *
      ('Pool Changes'!B:B=D190) *
      ('Pool Changes'!F:F&lt;&gt;"")
    )
  ),
  ""
))</f>
        <v/>
      </c>
      <c r="H190" s="131" t="str">
        <f>IFERROR(__xludf.DUMMYFUNCTION("LET(changes,FILTER('Pool Changes'!$B:$D, 'Pool Changes'!$B:$B = $D190),added,FILTER(INDEX(changes,0,3),INDEX(changes,0,2)=""starting pool""),TRANSPOSE(IFERROR(ARRAYFORMULA(IF(added&lt;&gt;"""",""https://sealeddeck.tech/""&amp;added,"""")),"""")))"),"")</f>
        <v/>
      </c>
      <c r="I190" s="132" t="str">
        <f>IFERROR(__xludf.DUMMYFUNCTION("LET(changes,FILTER('Pool Changes'!$B:$D, 'Pool Changes'!$B:$B = $D190),added,FILTER(INDEX(changes,0,3),INDEX(changes,0,2)=""add pack""),IFERROR(TRANSPOSE(ARRAYFORMULA(IF(added&lt;&gt;"""",HYPERLINK(""https://sealeddeck.tech/""&amp;added,""Link""),""""))),""""))"),"")</f>
        <v/>
      </c>
      <c r="J190" s="132"/>
      <c r="K190" s="132"/>
      <c r="L190" s="132"/>
      <c r="M190" s="133"/>
      <c r="N190" s="135"/>
      <c r="O190" s="135"/>
      <c r="P190" s="135"/>
      <c r="Q190" s="133"/>
      <c r="R190" s="133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4"/>
    </row>
    <row r="191">
      <c r="A191" s="143"/>
      <c r="B191" s="144"/>
      <c r="C191" s="129" t="str">
        <f t="array" ref="C191">INDEX('Player Database'!$D:$D,MATCH($D191,'Player Database'!$B:$B,0))</f>
        <v>#N/A</v>
      </c>
      <c r="D191" s="9" t="str">
        <f t="shared" si="1"/>
        <v> - </v>
      </c>
      <c r="E191" s="130" t="str">
        <f t="array" ref="E191">XLOOKUP($D191,'Player Database'!$B$2:$B1009,'Player Database'!$I$2:$I1009)</f>
        <v>#N/A</v>
      </c>
      <c r="F191" s="130" t="str">
        <f t="array" ref="F191">XLOOKUP($D191,'Player Database'!$B$2:$B1009,'Player Database'!$J$2:$J1009)</f>
        <v>#N/A</v>
      </c>
      <c r="G191" s="131" t="str">
        <f t="array" ref="G191">IF(H191="","",IFERROR(
  "https://sealeddeck.tech/" &amp; INDEX('Pool Changes'!F:F,
    MAX(
      ROW('Pool Changes'!A:A) *
      ('Pool Changes'!B:B=D191) *
      ('Pool Changes'!F:F&lt;&gt;"")
    )
  ),
  ""
))</f>
        <v/>
      </c>
      <c r="H191" s="131" t="str">
        <f>IFERROR(__xludf.DUMMYFUNCTION("LET(changes,FILTER('Pool Changes'!$B:$D, 'Pool Changes'!$B:$B = $D191),added,FILTER(INDEX(changes,0,3),INDEX(changes,0,2)=""starting pool""),TRANSPOSE(IFERROR(ARRAYFORMULA(IF(added&lt;&gt;"""",""https://sealeddeck.tech/""&amp;added,"""")),"""")))"),"")</f>
        <v/>
      </c>
      <c r="I191" s="132" t="str">
        <f>IFERROR(__xludf.DUMMYFUNCTION("LET(changes,FILTER('Pool Changes'!$B:$D, 'Pool Changes'!$B:$B = $D191),added,FILTER(INDEX(changes,0,3),INDEX(changes,0,2)=""add pack""),IFERROR(TRANSPOSE(ARRAYFORMULA(IF(added&lt;&gt;"""",HYPERLINK(""https://sealeddeck.tech/""&amp;added,""Link""),""""))),""""))"),"")</f>
        <v/>
      </c>
      <c r="J191" s="132"/>
      <c r="K191" s="132"/>
      <c r="L191" s="132"/>
      <c r="M191" s="133"/>
      <c r="N191" s="135"/>
      <c r="O191" s="135"/>
      <c r="P191" s="135"/>
      <c r="Q191" s="133"/>
      <c r="R191" s="133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</row>
    <row r="192">
      <c r="A192" s="143"/>
      <c r="B192" s="144"/>
      <c r="C192" s="129" t="str">
        <f t="array" ref="C192">INDEX('Player Database'!$D:$D,MATCH($D192,'Player Database'!$B:$B,0))</f>
        <v>#N/A</v>
      </c>
      <c r="D192" s="9" t="str">
        <f t="shared" si="1"/>
        <v> - </v>
      </c>
      <c r="E192" s="130" t="str">
        <f t="array" ref="E192">XLOOKUP($D192,'Player Database'!$B$2:$B1009,'Player Database'!$I$2:$I1009)</f>
        <v>#N/A</v>
      </c>
      <c r="F192" s="130" t="str">
        <f t="array" ref="F192">XLOOKUP($D192,'Player Database'!$B$2:$B1009,'Player Database'!$J$2:$J1009)</f>
        <v>#N/A</v>
      </c>
      <c r="G192" s="131" t="str">
        <f t="array" ref="G192">IF(H192="","",IFERROR(
  "https://sealeddeck.tech/" &amp; INDEX('Pool Changes'!F:F,
    MAX(
      ROW('Pool Changes'!A:A) *
      ('Pool Changes'!B:B=D192) *
      ('Pool Changes'!F:F&lt;&gt;"")
    )
  ),
  ""
))</f>
        <v/>
      </c>
      <c r="H192" s="131" t="str">
        <f>IFERROR(__xludf.DUMMYFUNCTION("LET(changes,FILTER('Pool Changes'!$B:$D, 'Pool Changes'!$B:$B = $D192),added,FILTER(INDEX(changes,0,3),INDEX(changes,0,2)=""starting pool""),TRANSPOSE(IFERROR(ARRAYFORMULA(IF(added&lt;&gt;"""",""https://sealeddeck.tech/""&amp;added,"""")),"""")))"),"")</f>
        <v/>
      </c>
      <c r="I192" s="132" t="str">
        <f>IFERROR(__xludf.DUMMYFUNCTION("LET(changes,FILTER('Pool Changes'!$B:$D, 'Pool Changes'!$B:$B = $D192),added,FILTER(INDEX(changes,0,3),INDEX(changes,0,2)=""add pack""),IFERROR(TRANSPOSE(ARRAYFORMULA(IF(added&lt;&gt;"""",HYPERLINK(""https://sealeddeck.tech/""&amp;added,""Link""),""""))),""""))"),"")</f>
        <v/>
      </c>
      <c r="J192" s="132"/>
      <c r="K192" s="132"/>
      <c r="L192" s="132"/>
      <c r="M192" s="133"/>
      <c r="N192" s="135"/>
      <c r="O192" s="135"/>
      <c r="P192" s="135"/>
      <c r="Q192" s="133"/>
      <c r="R192" s="133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</row>
    <row r="193">
      <c r="A193" s="143"/>
      <c r="B193" s="144"/>
      <c r="C193" s="129" t="str">
        <f t="array" ref="C193">INDEX('Player Database'!$D:$D,MATCH($D193,'Player Database'!$B:$B,0))</f>
        <v>#N/A</v>
      </c>
      <c r="D193" s="9" t="str">
        <f t="shared" si="1"/>
        <v> - </v>
      </c>
      <c r="E193" s="130" t="str">
        <f t="array" ref="E193">XLOOKUP($D193,'Player Database'!$B$2:$B1009,'Player Database'!$I$2:$I1009)</f>
        <v>#N/A</v>
      </c>
      <c r="F193" s="130" t="str">
        <f t="array" ref="F193">XLOOKUP($D193,'Player Database'!$B$2:$B1009,'Player Database'!$J$2:$J1009)</f>
        <v>#N/A</v>
      </c>
      <c r="G193" s="131" t="str">
        <f t="array" ref="G193">IF(H193="","",IFERROR(
  "https://sealeddeck.tech/" &amp; INDEX('Pool Changes'!F:F,
    MAX(
      ROW('Pool Changes'!A:A) *
      ('Pool Changes'!B:B=D193) *
      ('Pool Changes'!F:F&lt;&gt;"")
    )
  ),
  ""
))</f>
        <v/>
      </c>
      <c r="H193" s="131" t="str">
        <f>IFERROR(__xludf.DUMMYFUNCTION("LET(changes,FILTER('Pool Changes'!$B:$D, 'Pool Changes'!$B:$B = $D193),added,FILTER(INDEX(changes,0,3),INDEX(changes,0,2)=""starting pool""),TRANSPOSE(IFERROR(ARRAYFORMULA(IF(added&lt;&gt;"""",""https://sealeddeck.tech/""&amp;added,"""")),"""")))"),"")</f>
        <v/>
      </c>
      <c r="I193" s="132" t="str">
        <f>IFERROR(__xludf.DUMMYFUNCTION("LET(changes,FILTER('Pool Changes'!$B:$D, 'Pool Changes'!$B:$B = $D193),added,FILTER(INDEX(changes,0,3),INDEX(changes,0,2)=""add pack""),IFERROR(TRANSPOSE(ARRAYFORMULA(IF(added&lt;&gt;"""",HYPERLINK(""https://sealeddeck.tech/""&amp;added,""Link""),""""))),""""))"),"")</f>
        <v/>
      </c>
      <c r="J193" s="132"/>
      <c r="K193" s="132"/>
      <c r="L193" s="132"/>
      <c r="M193" s="133"/>
      <c r="N193" s="135"/>
      <c r="O193" s="135"/>
      <c r="P193" s="135"/>
      <c r="Q193" s="133"/>
      <c r="R193" s="133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</row>
    <row r="194">
      <c r="A194" s="143"/>
      <c r="B194" s="144"/>
      <c r="C194" s="129" t="str">
        <f t="array" ref="C194">INDEX('Player Database'!$D:$D,MATCH($D194,'Player Database'!$B:$B,0))</f>
        <v>#N/A</v>
      </c>
      <c r="D194" s="9" t="str">
        <f t="shared" si="1"/>
        <v> - </v>
      </c>
      <c r="E194" s="130" t="str">
        <f t="array" ref="E194">XLOOKUP($D194,'Player Database'!$B$2:$B1009,'Player Database'!$I$2:$I1009)</f>
        <v>#N/A</v>
      </c>
      <c r="F194" s="130" t="str">
        <f t="array" ref="F194">XLOOKUP($D194,'Player Database'!$B$2:$B1009,'Player Database'!$J$2:$J1009)</f>
        <v>#N/A</v>
      </c>
      <c r="G194" s="131" t="str">
        <f t="array" ref="G194">IF(H194="","",IFERROR(
  "https://sealeddeck.tech/" &amp; INDEX('Pool Changes'!F:F,
    MAX(
      ROW('Pool Changes'!A:A) *
      ('Pool Changes'!B:B=D194) *
      ('Pool Changes'!F:F&lt;&gt;"")
    )
  ),
  ""
))</f>
        <v/>
      </c>
      <c r="H194" s="131" t="str">
        <f>IFERROR(__xludf.DUMMYFUNCTION("LET(changes,FILTER('Pool Changes'!$B:$D, 'Pool Changes'!$B:$B = $D194),added,FILTER(INDEX(changes,0,3),INDEX(changes,0,2)=""starting pool""),TRANSPOSE(IFERROR(ARRAYFORMULA(IF(added&lt;&gt;"""",""https://sealeddeck.tech/""&amp;added,"""")),"""")))"),"")</f>
        <v/>
      </c>
      <c r="I194" s="132" t="str">
        <f>IFERROR(__xludf.DUMMYFUNCTION("LET(changes,FILTER('Pool Changes'!$B:$D, 'Pool Changes'!$B:$B = $D194),added,FILTER(INDEX(changes,0,3),INDEX(changes,0,2)=""add pack""),IFERROR(TRANSPOSE(ARRAYFORMULA(IF(added&lt;&gt;"""",HYPERLINK(""https://sealeddeck.tech/""&amp;added,""Link""),""""))),""""))"),"")</f>
        <v/>
      </c>
      <c r="J194" s="132"/>
      <c r="K194" s="132"/>
      <c r="L194" s="132"/>
      <c r="M194" s="133"/>
      <c r="N194" s="135"/>
      <c r="O194" s="135"/>
      <c r="P194" s="135"/>
      <c r="Q194" s="133"/>
      <c r="R194" s="133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</row>
    <row r="195">
      <c r="A195" s="143"/>
      <c r="B195" s="144"/>
      <c r="C195" s="129" t="str">
        <f t="array" ref="C195">INDEX('Player Database'!$D:$D,MATCH($D195,'Player Database'!$B:$B,0))</f>
        <v>#N/A</v>
      </c>
      <c r="D195" s="9" t="str">
        <f t="shared" si="1"/>
        <v> - </v>
      </c>
      <c r="E195" s="130" t="str">
        <f t="array" ref="E195">XLOOKUP($D195,'Player Database'!$B$2:$B1009,'Player Database'!$I$2:$I1009)</f>
        <v>#N/A</v>
      </c>
      <c r="F195" s="130" t="str">
        <f t="array" ref="F195">XLOOKUP($D195,'Player Database'!$B$2:$B1009,'Player Database'!$J$2:$J1009)</f>
        <v>#N/A</v>
      </c>
      <c r="G195" s="131" t="str">
        <f t="array" ref="G195">IF(H195="","",IFERROR(
  "https://sealeddeck.tech/" &amp; INDEX('Pool Changes'!F:F,
    MAX(
      ROW('Pool Changes'!A:A) *
      ('Pool Changes'!B:B=D195) *
      ('Pool Changes'!F:F&lt;&gt;"")
    )
  ),
  ""
))</f>
        <v/>
      </c>
      <c r="H195" s="131" t="str">
        <f>IFERROR(__xludf.DUMMYFUNCTION("LET(changes,FILTER('Pool Changes'!$B:$D, 'Pool Changes'!$B:$B = $D195),added,FILTER(INDEX(changes,0,3),INDEX(changes,0,2)=""starting pool""),TRANSPOSE(IFERROR(ARRAYFORMULA(IF(added&lt;&gt;"""",""https://sealeddeck.tech/""&amp;added,"""")),"""")))"),"")</f>
        <v/>
      </c>
      <c r="I195" s="132" t="str">
        <f>IFERROR(__xludf.DUMMYFUNCTION("LET(changes,FILTER('Pool Changes'!$B:$D, 'Pool Changes'!$B:$B = $D195),added,FILTER(INDEX(changes,0,3),INDEX(changes,0,2)=""add pack""),IFERROR(TRANSPOSE(ARRAYFORMULA(IF(added&lt;&gt;"""",HYPERLINK(""https://sealeddeck.tech/""&amp;added,""Link""),""""))),""""))"),"")</f>
        <v/>
      </c>
      <c r="J195" s="132"/>
      <c r="K195" s="132"/>
      <c r="L195" s="132"/>
      <c r="M195" s="133"/>
      <c r="N195" s="135"/>
      <c r="O195" s="135"/>
      <c r="P195" s="135"/>
      <c r="Q195" s="133"/>
      <c r="R195" s="133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</row>
    <row r="196">
      <c r="A196" s="143"/>
      <c r="B196" s="144"/>
      <c r="C196" s="129" t="str">
        <f t="array" ref="C196">INDEX('Player Database'!$D:$D,MATCH($D196,'Player Database'!$B:$B,0))</f>
        <v>#N/A</v>
      </c>
      <c r="D196" s="9" t="str">
        <f t="shared" si="1"/>
        <v> - </v>
      </c>
      <c r="E196" s="130" t="str">
        <f t="array" ref="E196">XLOOKUP($D196,'Player Database'!$B$2:$B1009,'Player Database'!$I$2:$I1009)</f>
        <v>#N/A</v>
      </c>
      <c r="F196" s="130" t="str">
        <f t="array" ref="F196">XLOOKUP($D196,'Player Database'!$B$2:$B1009,'Player Database'!$J$2:$J1009)</f>
        <v>#N/A</v>
      </c>
      <c r="G196" s="131" t="str">
        <f t="array" ref="G196">IF(H196="","",IFERROR(
  "https://sealeddeck.tech/" &amp; INDEX('Pool Changes'!F:F,
    MAX(
      ROW('Pool Changes'!A:A) *
      ('Pool Changes'!B:B=D196) *
      ('Pool Changes'!F:F&lt;&gt;"")
    )
  ),
  ""
))</f>
        <v/>
      </c>
      <c r="H196" s="131" t="str">
        <f>IFERROR(__xludf.DUMMYFUNCTION("LET(changes,FILTER('Pool Changes'!$B:$D, 'Pool Changes'!$B:$B = $D196),added,FILTER(INDEX(changes,0,3),INDEX(changes,0,2)=""starting pool""),TRANSPOSE(IFERROR(ARRAYFORMULA(IF(added&lt;&gt;"""",""https://sealeddeck.tech/""&amp;added,"""")),"""")))"),"")</f>
        <v/>
      </c>
      <c r="I196" s="132" t="str">
        <f>IFERROR(__xludf.DUMMYFUNCTION("LET(changes,FILTER('Pool Changes'!$B:$D, 'Pool Changes'!$B:$B = $D196),added,FILTER(INDEX(changes,0,3),INDEX(changes,0,2)=""add pack""),IFERROR(TRANSPOSE(ARRAYFORMULA(IF(added&lt;&gt;"""",HYPERLINK(""https://sealeddeck.tech/""&amp;added,""Link""),""""))),""""))"),"")</f>
        <v/>
      </c>
      <c r="J196" s="132"/>
      <c r="K196" s="132"/>
      <c r="L196" s="132"/>
      <c r="M196" s="133"/>
      <c r="N196" s="135"/>
      <c r="O196" s="135"/>
      <c r="P196" s="135"/>
      <c r="Q196" s="133"/>
      <c r="R196" s="133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</row>
    <row r="197">
      <c r="A197" s="143"/>
      <c r="B197" s="144"/>
      <c r="C197" s="129" t="str">
        <f t="array" ref="C197">INDEX('Player Database'!$D:$D,MATCH($D197,'Player Database'!$B:$B,0))</f>
        <v>#N/A</v>
      </c>
      <c r="D197" s="9" t="str">
        <f t="shared" si="1"/>
        <v> - </v>
      </c>
      <c r="E197" s="130" t="str">
        <f t="array" ref="E197">XLOOKUP($D197,'Player Database'!$B$2:$B1009,'Player Database'!$I$2:$I1009)</f>
        <v>#N/A</v>
      </c>
      <c r="F197" s="130" t="str">
        <f t="array" ref="F197">XLOOKUP($D197,'Player Database'!$B$2:$B1009,'Player Database'!$J$2:$J1009)</f>
        <v>#N/A</v>
      </c>
      <c r="G197" s="131" t="str">
        <f t="array" ref="G197">IF(H197="","",IFERROR(
  "https://sealeddeck.tech/" &amp; INDEX('Pool Changes'!F:F,
    MAX(
      ROW('Pool Changes'!A:A) *
      ('Pool Changes'!B:B=D197) *
      ('Pool Changes'!F:F&lt;&gt;"")
    )
  ),
  ""
))</f>
        <v/>
      </c>
      <c r="H197" s="131" t="str">
        <f>IFERROR(__xludf.DUMMYFUNCTION("LET(changes,FILTER('Pool Changes'!$B:$D, 'Pool Changes'!$B:$B = $D197),added,FILTER(INDEX(changes,0,3),INDEX(changes,0,2)=""starting pool""),TRANSPOSE(IFERROR(ARRAYFORMULA(IF(added&lt;&gt;"""",""https://sealeddeck.tech/""&amp;added,"""")),"""")))"),"")</f>
        <v/>
      </c>
      <c r="I197" s="132" t="str">
        <f>IFERROR(__xludf.DUMMYFUNCTION("LET(changes,FILTER('Pool Changes'!$B:$D, 'Pool Changes'!$B:$B = $D197),added,FILTER(INDEX(changes,0,3),INDEX(changes,0,2)=""add pack""),IFERROR(TRANSPOSE(ARRAYFORMULA(IF(added&lt;&gt;"""",HYPERLINK(""https://sealeddeck.tech/""&amp;added,""Link""),""""))),""""))"),"")</f>
        <v/>
      </c>
      <c r="J197" s="132"/>
      <c r="K197" s="132"/>
      <c r="L197" s="132"/>
      <c r="M197" s="133"/>
      <c r="N197" s="135"/>
      <c r="O197" s="135"/>
      <c r="P197" s="135"/>
      <c r="Q197" s="133"/>
      <c r="R197" s="133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4"/>
    </row>
    <row r="198">
      <c r="A198" s="143"/>
      <c r="B198" s="144"/>
      <c r="C198" s="129" t="str">
        <f t="array" ref="C198">INDEX('Player Database'!$D:$D,MATCH($D198,'Player Database'!$B:$B,0))</f>
        <v>#N/A</v>
      </c>
      <c r="D198" s="9" t="str">
        <f t="shared" si="1"/>
        <v> - </v>
      </c>
      <c r="E198" s="130" t="str">
        <f t="array" ref="E198">XLOOKUP($D198,'Player Database'!$B$2:$B1009,'Player Database'!$I$2:$I1009)</f>
        <v>#N/A</v>
      </c>
      <c r="F198" s="130" t="str">
        <f t="array" ref="F198">XLOOKUP($D198,'Player Database'!$B$2:$B1009,'Player Database'!$J$2:$J1009)</f>
        <v>#N/A</v>
      </c>
      <c r="G198" s="131" t="str">
        <f t="array" ref="G198">IF(H198="","",IFERROR(
  "https://sealeddeck.tech/" &amp; INDEX('Pool Changes'!F:F,
    MAX(
      ROW('Pool Changes'!A:A) *
      ('Pool Changes'!B:B=D198) *
      ('Pool Changes'!F:F&lt;&gt;"")
    )
  ),
  ""
))</f>
        <v/>
      </c>
      <c r="H198" s="131" t="str">
        <f>IFERROR(__xludf.DUMMYFUNCTION("LET(changes,FILTER('Pool Changes'!$B:$D, 'Pool Changes'!$B:$B = $D198),added,FILTER(INDEX(changes,0,3),INDEX(changes,0,2)=""starting pool""),TRANSPOSE(IFERROR(ARRAYFORMULA(IF(added&lt;&gt;"""",""https://sealeddeck.tech/""&amp;added,"""")),"""")))"),"")</f>
        <v/>
      </c>
      <c r="I198" s="132" t="str">
        <f>IFERROR(__xludf.DUMMYFUNCTION("LET(changes,FILTER('Pool Changes'!$B:$D, 'Pool Changes'!$B:$B = $D198),added,FILTER(INDEX(changes,0,3),INDEX(changes,0,2)=""add pack""),IFERROR(TRANSPOSE(ARRAYFORMULA(IF(added&lt;&gt;"""",HYPERLINK(""https://sealeddeck.tech/""&amp;added,""Link""),""""))),""""))"),"")</f>
        <v/>
      </c>
      <c r="J198" s="132"/>
      <c r="K198" s="132"/>
      <c r="L198" s="132"/>
      <c r="M198" s="133"/>
      <c r="N198" s="135"/>
      <c r="O198" s="135"/>
      <c r="P198" s="135"/>
      <c r="Q198" s="133"/>
      <c r="R198" s="133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</row>
    <row r="199">
      <c r="A199" s="143"/>
      <c r="B199" s="144"/>
      <c r="C199" s="129" t="str">
        <f t="array" ref="C199">INDEX('Player Database'!$D:$D,MATCH($D199,'Player Database'!$B:$B,0))</f>
        <v>#N/A</v>
      </c>
      <c r="D199" s="9" t="str">
        <f t="shared" si="1"/>
        <v> - </v>
      </c>
      <c r="E199" s="130" t="str">
        <f t="array" ref="E199">XLOOKUP($D199,'Player Database'!$B$2:$B1009,'Player Database'!$I$2:$I1009)</f>
        <v>#N/A</v>
      </c>
      <c r="F199" s="130" t="str">
        <f t="array" ref="F199">XLOOKUP($D199,'Player Database'!$B$2:$B1009,'Player Database'!$J$2:$J1009)</f>
        <v>#N/A</v>
      </c>
      <c r="G199" s="131" t="str">
        <f t="array" ref="G199">IF(H199="","",IFERROR(
  "https://sealeddeck.tech/" &amp; INDEX('Pool Changes'!F:F,
    MAX(
      ROW('Pool Changes'!A:A) *
      ('Pool Changes'!B:B=D199) *
      ('Pool Changes'!F:F&lt;&gt;"")
    )
  ),
  ""
))</f>
        <v/>
      </c>
      <c r="H199" s="131" t="str">
        <f>IFERROR(__xludf.DUMMYFUNCTION("LET(changes,FILTER('Pool Changes'!$B:$D, 'Pool Changes'!$B:$B = $D199),added,FILTER(INDEX(changes,0,3),INDEX(changes,0,2)=""starting pool""),TRANSPOSE(IFERROR(ARRAYFORMULA(IF(added&lt;&gt;"""",""https://sealeddeck.tech/""&amp;added,"""")),"""")))"),"")</f>
        <v/>
      </c>
      <c r="I199" s="132" t="str">
        <f>IFERROR(__xludf.DUMMYFUNCTION("LET(changes,FILTER('Pool Changes'!$B:$D, 'Pool Changes'!$B:$B = $D199),added,FILTER(INDEX(changes,0,3),INDEX(changes,0,2)=""add pack""),IFERROR(TRANSPOSE(ARRAYFORMULA(IF(added&lt;&gt;"""",HYPERLINK(""https://sealeddeck.tech/""&amp;added,""Link""),""""))),""""))"),"")</f>
        <v/>
      </c>
      <c r="J199" s="132"/>
      <c r="K199" s="132"/>
      <c r="L199" s="132"/>
      <c r="M199" s="133"/>
      <c r="N199" s="135"/>
      <c r="O199" s="135"/>
      <c r="P199" s="135"/>
      <c r="Q199" s="133"/>
      <c r="R199" s="133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</row>
    <row r="200">
      <c r="A200" s="143"/>
      <c r="B200" s="144"/>
      <c r="C200" s="129" t="str">
        <f t="array" ref="C200">INDEX('Player Database'!$D:$D,MATCH($D200,'Player Database'!$B:$B,0))</f>
        <v>#N/A</v>
      </c>
      <c r="D200" s="9" t="str">
        <f t="shared" si="1"/>
        <v> - </v>
      </c>
      <c r="E200" s="130" t="str">
        <f t="array" ref="E200">XLOOKUP($D200,'Player Database'!$B$2:$B1009,'Player Database'!$I$2:$I1009)</f>
        <v>#N/A</v>
      </c>
      <c r="F200" s="130" t="str">
        <f t="array" ref="F200">XLOOKUP($D200,'Player Database'!$B$2:$B1009,'Player Database'!$J$2:$J1009)</f>
        <v>#N/A</v>
      </c>
      <c r="G200" s="131" t="str">
        <f t="array" ref="G200">IF(H200="","",IFERROR(
  "https://sealeddeck.tech/" &amp; INDEX('Pool Changes'!F:F,
    MAX(
      ROW('Pool Changes'!A:A) *
      ('Pool Changes'!B:B=D200) *
      ('Pool Changes'!F:F&lt;&gt;"")
    )
  ),
  ""
))</f>
        <v/>
      </c>
      <c r="H200" s="131" t="str">
        <f>IFERROR(__xludf.DUMMYFUNCTION("LET(changes,FILTER('Pool Changes'!$B:$D, 'Pool Changes'!$B:$B = $D200),added,FILTER(INDEX(changes,0,3),INDEX(changes,0,2)=""starting pool""),TRANSPOSE(IFERROR(ARRAYFORMULA(IF(added&lt;&gt;"""",""https://sealeddeck.tech/""&amp;added,"""")),"""")))"),"")</f>
        <v/>
      </c>
      <c r="I200" s="132" t="str">
        <f>IFERROR(__xludf.DUMMYFUNCTION("LET(changes,FILTER('Pool Changes'!$B:$D, 'Pool Changes'!$B:$B = $D200),added,FILTER(INDEX(changes,0,3),INDEX(changes,0,2)=""add pack""),IFERROR(TRANSPOSE(ARRAYFORMULA(IF(added&lt;&gt;"""",HYPERLINK(""https://sealeddeck.tech/""&amp;added,""Link""),""""))),""""))"),"")</f>
        <v/>
      </c>
      <c r="J200" s="132"/>
      <c r="K200" s="132"/>
      <c r="L200" s="132"/>
      <c r="M200" s="133"/>
      <c r="N200" s="135"/>
      <c r="O200" s="135"/>
      <c r="P200" s="135"/>
      <c r="Q200" s="133"/>
      <c r="R200" s="133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</row>
    <row r="201">
      <c r="A201" s="143"/>
      <c r="B201" s="144"/>
      <c r="C201" s="129" t="str">
        <f t="array" ref="C201">INDEX('Player Database'!$D:$D,MATCH($D201,'Player Database'!$B:$B,0))</f>
        <v>#N/A</v>
      </c>
      <c r="D201" s="9" t="str">
        <f t="shared" si="1"/>
        <v> - </v>
      </c>
      <c r="E201" s="130" t="str">
        <f t="array" ref="E201">XLOOKUP($D201,'Player Database'!$B$2:$B1009,'Player Database'!$I$2:$I1009)</f>
        <v>#N/A</v>
      </c>
      <c r="F201" s="130" t="str">
        <f t="array" ref="F201">XLOOKUP($D201,'Player Database'!$B$2:$B1009,'Player Database'!$J$2:$J1009)</f>
        <v>#N/A</v>
      </c>
      <c r="G201" s="131" t="str">
        <f t="array" ref="G201">IF(H201="","",IFERROR(
  "https://sealeddeck.tech/" &amp; INDEX('Pool Changes'!F:F,
    MAX(
      ROW('Pool Changes'!A:A) *
      ('Pool Changes'!B:B=D201) *
      ('Pool Changes'!F:F&lt;&gt;"")
    )
  ),
  ""
))</f>
        <v/>
      </c>
      <c r="H201" s="131" t="str">
        <f>IFERROR(__xludf.DUMMYFUNCTION("LET(changes,FILTER('Pool Changes'!$B:$D, 'Pool Changes'!$B:$B = $D201),added,FILTER(INDEX(changes,0,3),INDEX(changes,0,2)=""starting pool""),TRANSPOSE(IFERROR(ARRAYFORMULA(IF(added&lt;&gt;"""",""https://sealeddeck.tech/""&amp;added,"""")),"""")))"),"")</f>
        <v/>
      </c>
      <c r="I201" s="132" t="str">
        <f>IFERROR(__xludf.DUMMYFUNCTION("LET(changes,FILTER('Pool Changes'!$B:$D, 'Pool Changes'!$B:$B = $D201),added,FILTER(INDEX(changes,0,3),INDEX(changes,0,2)=""add pack""),IFERROR(TRANSPOSE(ARRAYFORMULA(IF(added&lt;&gt;"""",HYPERLINK(""https://sealeddeck.tech/""&amp;added,""Link""),""""))),""""))"),"")</f>
        <v/>
      </c>
      <c r="J201" s="132"/>
      <c r="K201" s="132"/>
      <c r="L201" s="132"/>
      <c r="M201" s="133"/>
      <c r="N201" s="135"/>
      <c r="O201" s="135"/>
      <c r="P201" s="135"/>
      <c r="Q201" s="133"/>
      <c r="R201" s="133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</row>
    <row r="202">
      <c r="A202" s="143"/>
      <c r="B202" s="144"/>
      <c r="C202" s="129" t="str">
        <f t="array" ref="C202">INDEX('Player Database'!$D:$D,MATCH($D202,'Player Database'!$B:$B,0))</f>
        <v>#N/A</v>
      </c>
      <c r="D202" s="9" t="str">
        <f t="shared" si="1"/>
        <v> - </v>
      </c>
      <c r="E202" s="130" t="str">
        <f t="array" ref="E202">XLOOKUP($D202,'Player Database'!$B$2:$B1009,'Player Database'!$I$2:$I1009)</f>
        <v>#N/A</v>
      </c>
      <c r="F202" s="130" t="str">
        <f t="array" ref="F202">XLOOKUP($D202,'Player Database'!$B$2:$B1009,'Player Database'!$J$2:$J1009)</f>
        <v>#N/A</v>
      </c>
      <c r="G202" s="131" t="str">
        <f t="array" ref="G202">IF(H202="","",IFERROR(
  "https://sealeddeck.tech/" &amp; INDEX('Pool Changes'!F:F,
    MAX(
      ROW('Pool Changes'!A:A) *
      ('Pool Changes'!B:B=D202) *
      ('Pool Changes'!F:F&lt;&gt;"")
    )
  ),
  ""
))</f>
        <v/>
      </c>
      <c r="H202" s="131" t="str">
        <f>IFERROR(__xludf.DUMMYFUNCTION("LET(changes,FILTER('Pool Changes'!$B:$D, 'Pool Changes'!$B:$B = $D202),added,FILTER(INDEX(changes,0,3),INDEX(changes,0,2)=""starting pool""),TRANSPOSE(IFERROR(ARRAYFORMULA(IF(added&lt;&gt;"""",""https://sealeddeck.tech/""&amp;added,"""")),"""")))"),"")</f>
        <v/>
      </c>
      <c r="I202" s="132" t="str">
        <f>IFERROR(__xludf.DUMMYFUNCTION("LET(changes,FILTER('Pool Changes'!$B:$D, 'Pool Changes'!$B:$B = $D202),added,FILTER(INDEX(changes,0,3),INDEX(changes,0,2)=""add pack""),IFERROR(TRANSPOSE(ARRAYFORMULA(IF(added&lt;&gt;"""",HYPERLINK(""https://sealeddeck.tech/""&amp;added,""Link""),""""))),""""))"),"")</f>
        <v/>
      </c>
      <c r="J202" s="132"/>
      <c r="K202" s="132"/>
      <c r="L202" s="132"/>
      <c r="M202" s="133"/>
      <c r="N202" s="135"/>
      <c r="O202" s="135"/>
      <c r="P202" s="135"/>
      <c r="Q202" s="133"/>
      <c r="R202" s="133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</row>
    <row r="203">
      <c r="A203" s="143"/>
      <c r="B203" s="144"/>
      <c r="C203" s="129" t="str">
        <f t="array" ref="C203">INDEX('Player Database'!$D:$D,MATCH($D203,'Player Database'!$B:$B,0))</f>
        <v>#N/A</v>
      </c>
      <c r="D203" s="9" t="str">
        <f t="shared" si="1"/>
        <v> - </v>
      </c>
      <c r="E203" s="130" t="str">
        <f t="array" ref="E203">XLOOKUP($D203,'Player Database'!$B$2:$B1009,'Player Database'!$I$2:$I1009)</f>
        <v>#N/A</v>
      </c>
      <c r="F203" s="130" t="str">
        <f t="array" ref="F203">XLOOKUP($D203,'Player Database'!$B$2:$B1009,'Player Database'!$J$2:$J1009)</f>
        <v>#N/A</v>
      </c>
      <c r="G203" s="131" t="str">
        <f t="array" ref="G203">IF(H203="","",IFERROR(
  "https://sealeddeck.tech/" &amp; INDEX('Pool Changes'!F:F,
    MAX(
      ROW('Pool Changes'!A:A) *
      ('Pool Changes'!B:B=D203) *
      ('Pool Changes'!F:F&lt;&gt;"")
    )
  ),
  ""
))</f>
        <v/>
      </c>
      <c r="H203" s="131" t="str">
        <f>IFERROR(__xludf.DUMMYFUNCTION("LET(changes,FILTER('Pool Changes'!$B:$D, 'Pool Changes'!$B:$B = $D203),added,FILTER(INDEX(changes,0,3),INDEX(changes,0,2)=""starting pool""),TRANSPOSE(IFERROR(ARRAYFORMULA(IF(added&lt;&gt;"""",""https://sealeddeck.tech/""&amp;added,"""")),"""")))"),"")</f>
        <v/>
      </c>
      <c r="I203" s="132" t="str">
        <f>IFERROR(__xludf.DUMMYFUNCTION("LET(changes,FILTER('Pool Changes'!$B:$D, 'Pool Changes'!$B:$B = $D203),added,FILTER(INDEX(changes,0,3),INDEX(changes,0,2)=""add pack""),IFERROR(TRANSPOSE(ARRAYFORMULA(IF(added&lt;&gt;"""",HYPERLINK(""https://sealeddeck.tech/""&amp;added,""Link""),""""))),""""))"),"")</f>
        <v/>
      </c>
      <c r="J203" s="132"/>
      <c r="K203" s="132"/>
      <c r="L203" s="132"/>
      <c r="M203" s="133"/>
      <c r="N203" s="135"/>
      <c r="O203" s="135"/>
      <c r="P203" s="135"/>
      <c r="Q203" s="133"/>
      <c r="R203" s="133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4"/>
    </row>
    <row r="204">
      <c r="A204" s="143"/>
      <c r="B204" s="144"/>
      <c r="C204" s="129" t="str">
        <f t="array" ref="C204">INDEX('Player Database'!$D:$D,MATCH($D204,'Player Database'!$B:$B,0))</f>
        <v>#N/A</v>
      </c>
      <c r="D204" s="9" t="str">
        <f t="shared" si="1"/>
        <v> - </v>
      </c>
      <c r="E204" s="130" t="str">
        <f t="array" ref="E204">XLOOKUP($D204,'Player Database'!$B$2:$B1009,'Player Database'!$I$2:$I1009)</f>
        <v>#N/A</v>
      </c>
      <c r="F204" s="130" t="str">
        <f t="array" ref="F204">XLOOKUP($D204,'Player Database'!$B$2:$B1009,'Player Database'!$J$2:$J1009)</f>
        <v>#N/A</v>
      </c>
      <c r="G204" s="131" t="str">
        <f t="array" ref="G204">IF(H204="","",IFERROR(
  "https://sealeddeck.tech/" &amp; INDEX('Pool Changes'!F:F,
    MAX(
      ROW('Pool Changes'!A:A) *
      ('Pool Changes'!B:B=D204) *
      ('Pool Changes'!F:F&lt;&gt;"")
    )
  ),
  ""
))</f>
        <v/>
      </c>
      <c r="H204" s="131" t="str">
        <f>IFERROR(__xludf.DUMMYFUNCTION("LET(changes,FILTER('Pool Changes'!$B:$D, 'Pool Changes'!$B:$B = $D204),added,FILTER(INDEX(changes,0,3),INDEX(changes,0,2)=""starting pool""),TRANSPOSE(IFERROR(ARRAYFORMULA(IF(added&lt;&gt;"""",""https://sealeddeck.tech/""&amp;added,"""")),"""")))"),"")</f>
        <v/>
      </c>
      <c r="I204" s="132" t="str">
        <f>IFERROR(__xludf.DUMMYFUNCTION("LET(changes,FILTER('Pool Changes'!$B:$D, 'Pool Changes'!$B:$B = $D204),added,FILTER(INDEX(changes,0,3),INDEX(changes,0,2)=""add pack""),IFERROR(TRANSPOSE(ARRAYFORMULA(IF(added&lt;&gt;"""",HYPERLINK(""https://sealeddeck.tech/""&amp;added,""Link""),""""))),""""))"),"")</f>
        <v/>
      </c>
      <c r="J204" s="132"/>
      <c r="K204" s="132"/>
      <c r="L204" s="132"/>
      <c r="M204" s="133"/>
      <c r="N204" s="135"/>
      <c r="O204" s="135"/>
      <c r="P204" s="135"/>
      <c r="Q204" s="133"/>
      <c r="R204" s="133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</row>
    <row r="205">
      <c r="A205" s="143"/>
      <c r="B205" s="144"/>
      <c r="C205" s="129" t="str">
        <f t="array" ref="C205">INDEX('Player Database'!$D:$D,MATCH($D205,'Player Database'!$B:$B,0))</f>
        <v>#N/A</v>
      </c>
      <c r="D205" s="9" t="str">
        <f t="shared" si="1"/>
        <v> - </v>
      </c>
      <c r="E205" s="130" t="str">
        <f t="array" ref="E205">XLOOKUP($D205,'Player Database'!$B$2:$B1009,'Player Database'!$I$2:$I1009)</f>
        <v>#N/A</v>
      </c>
      <c r="F205" s="130" t="str">
        <f t="array" ref="F205">XLOOKUP($D205,'Player Database'!$B$2:$B1009,'Player Database'!$J$2:$J1009)</f>
        <v>#N/A</v>
      </c>
      <c r="G205" s="131" t="str">
        <f t="array" ref="G205">IF(H205="","",IFERROR(
  "https://sealeddeck.tech/" &amp; INDEX('Pool Changes'!F:F,
    MAX(
      ROW('Pool Changes'!A:A) *
      ('Pool Changes'!B:B=D205) *
      ('Pool Changes'!F:F&lt;&gt;"")
    )
  ),
  ""
))</f>
        <v/>
      </c>
      <c r="H205" s="131" t="str">
        <f>IFERROR(__xludf.DUMMYFUNCTION("LET(changes,FILTER('Pool Changes'!$B:$D, 'Pool Changes'!$B:$B = $D205),added,FILTER(INDEX(changes,0,3),INDEX(changes,0,2)=""starting pool""),TRANSPOSE(IFERROR(ARRAYFORMULA(IF(added&lt;&gt;"""",""https://sealeddeck.tech/""&amp;added,"""")),"""")))"),"")</f>
        <v/>
      </c>
      <c r="I205" s="132" t="str">
        <f>IFERROR(__xludf.DUMMYFUNCTION("LET(changes,FILTER('Pool Changes'!$B:$D, 'Pool Changes'!$B:$B = $D205),added,FILTER(INDEX(changes,0,3),INDEX(changes,0,2)=""add pack""),IFERROR(TRANSPOSE(ARRAYFORMULA(IF(added&lt;&gt;"""",HYPERLINK(""https://sealeddeck.tech/""&amp;added,""Link""),""""))),""""))"),"")</f>
        <v/>
      </c>
      <c r="J205" s="132"/>
      <c r="K205" s="132"/>
      <c r="L205" s="132"/>
      <c r="M205" s="133"/>
      <c r="N205" s="135"/>
      <c r="O205" s="135"/>
      <c r="P205" s="135"/>
      <c r="Q205" s="133"/>
      <c r="R205" s="133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4"/>
    </row>
    <row r="206">
      <c r="A206" s="143"/>
      <c r="B206" s="144"/>
      <c r="C206" s="129" t="str">
        <f t="array" ref="C206">INDEX('Player Database'!$D:$D,MATCH($D206,'Player Database'!$B:$B,0))</f>
        <v>#N/A</v>
      </c>
      <c r="D206" s="9" t="str">
        <f t="shared" si="1"/>
        <v> - </v>
      </c>
      <c r="E206" s="130" t="str">
        <f t="array" ref="E206">XLOOKUP($D206,'Player Database'!$B$2:$B1009,'Player Database'!$I$2:$I1009)</f>
        <v>#N/A</v>
      </c>
      <c r="F206" s="130" t="str">
        <f t="array" ref="F206">XLOOKUP($D206,'Player Database'!$B$2:$B1009,'Player Database'!$J$2:$J1009)</f>
        <v>#N/A</v>
      </c>
      <c r="G206" s="131" t="str">
        <f t="array" ref="G206">IF(H206="","",IFERROR(
  "https://sealeddeck.tech/" &amp; INDEX('Pool Changes'!F:F,
    MAX(
      ROW('Pool Changes'!A:A) *
      ('Pool Changes'!B:B=D206) *
      ('Pool Changes'!F:F&lt;&gt;"")
    )
  ),
  ""
))</f>
        <v/>
      </c>
      <c r="H206" s="131" t="str">
        <f>IFERROR(__xludf.DUMMYFUNCTION("LET(changes,FILTER('Pool Changes'!$B:$D, 'Pool Changes'!$B:$B = $D206),added,FILTER(INDEX(changes,0,3),INDEX(changes,0,2)=""starting pool""),TRANSPOSE(IFERROR(ARRAYFORMULA(IF(added&lt;&gt;"""",""https://sealeddeck.tech/""&amp;added,"""")),"""")))"),"")</f>
        <v/>
      </c>
      <c r="I206" s="132" t="str">
        <f>IFERROR(__xludf.DUMMYFUNCTION("LET(changes,FILTER('Pool Changes'!$B:$D, 'Pool Changes'!$B:$B = $D206),added,FILTER(INDEX(changes,0,3),INDEX(changes,0,2)=""add pack""),IFERROR(TRANSPOSE(ARRAYFORMULA(IF(added&lt;&gt;"""",HYPERLINK(""https://sealeddeck.tech/""&amp;added,""Link""),""""))),""""))"),"")</f>
        <v/>
      </c>
      <c r="J206" s="132"/>
      <c r="K206" s="132"/>
      <c r="L206" s="132"/>
      <c r="M206" s="133"/>
      <c r="N206" s="135"/>
      <c r="O206" s="135"/>
      <c r="P206" s="135"/>
      <c r="Q206" s="133"/>
      <c r="R206" s="133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</row>
    <row r="207">
      <c r="A207" s="143"/>
      <c r="B207" s="144"/>
      <c r="C207" s="129" t="str">
        <f t="array" ref="C207">INDEX('Player Database'!$D:$D,MATCH($D207,'Player Database'!$B:$B,0))</f>
        <v>#N/A</v>
      </c>
      <c r="D207" s="9" t="str">
        <f t="shared" si="1"/>
        <v> - </v>
      </c>
      <c r="E207" s="130" t="str">
        <f t="array" ref="E207">XLOOKUP($D207,'Player Database'!$B$2:$B1009,'Player Database'!$I$2:$I1009)</f>
        <v>#N/A</v>
      </c>
      <c r="F207" s="130" t="str">
        <f t="array" ref="F207">XLOOKUP($D207,'Player Database'!$B$2:$B1009,'Player Database'!$J$2:$J1009)</f>
        <v>#N/A</v>
      </c>
      <c r="G207" s="131" t="str">
        <f t="array" ref="G207">IF(H207="","",IFERROR(
  "https://sealeddeck.tech/" &amp; INDEX('Pool Changes'!F:F,
    MAX(
      ROW('Pool Changes'!A:A) *
      ('Pool Changes'!B:B=D207) *
      ('Pool Changes'!F:F&lt;&gt;"")
    )
  ),
  ""
))</f>
        <v/>
      </c>
      <c r="H207" s="131" t="str">
        <f>IFERROR(__xludf.DUMMYFUNCTION("LET(changes,FILTER('Pool Changes'!$B:$D, 'Pool Changes'!$B:$B = $D207),added,FILTER(INDEX(changes,0,3),INDEX(changes,0,2)=""starting pool""),TRANSPOSE(IFERROR(ARRAYFORMULA(IF(added&lt;&gt;"""",""https://sealeddeck.tech/""&amp;added,"""")),"""")))"),"")</f>
        <v/>
      </c>
      <c r="I207" s="132" t="str">
        <f>IFERROR(__xludf.DUMMYFUNCTION("LET(changes,FILTER('Pool Changes'!$B:$D, 'Pool Changes'!$B:$B = $D207),added,FILTER(INDEX(changes,0,3),INDEX(changes,0,2)=""add pack""),IFERROR(TRANSPOSE(ARRAYFORMULA(IF(added&lt;&gt;"""",HYPERLINK(""https://sealeddeck.tech/""&amp;added,""Link""),""""))),""""))"),"")</f>
        <v/>
      </c>
      <c r="J207" s="132"/>
      <c r="K207" s="132"/>
      <c r="L207" s="132"/>
      <c r="M207" s="133"/>
      <c r="N207" s="135"/>
      <c r="O207" s="135"/>
      <c r="P207" s="135"/>
      <c r="Q207" s="133"/>
      <c r="R207" s="133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4"/>
    </row>
    <row r="208">
      <c r="A208" s="143"/>
      <c r="B208" s="144"/>
      <c r="C208" s="129" t="str">
        <f t="array" ref="C208">INDEX('Player Database'!$D:$D,MATCH($D208,'Player Database'!$B:$B,0))</f>
        <v>#N/A</v>
      </c>
      <c r="D208" s="9" t="str">
        <f t="shared" si="1"/>
        <v> - </v>
      </c>
      <c r="E208" s="130" t="str">
        <f t="array" ref="E208">XLOOKUP($D208,'Player Database'!$B$2:$B1009,'Player Database'!$I$2:$I1009)</f>
        <v>#N/A</v>
      </c>
      <c r="F208" s="130" t="str">
        <f t="array" ref="F208">XLOOKUP($D208,'Player Database'!$B$2:$B1009,'Player Database'!$J$2:$J1009)</f>
        <v>#N/A</v>
      </c>
      <c r="G208" s="131" t="str">
        <f t="array" ref="G208">IF(H208="","",IFERROR(
  "https://sealeddeck.tech/" &amp; INDEX('Pool Changes'!F:F,
    MAX(
      ROW('Pool Changes'!A:A) *
      ('Pool Changes'!B:B=D208) *
      ('Pool Changes'!F:F&lt;&gt;"")
    )
  ),
  ""
))</f>
        <v/>
      </c>
      <c r="H208" s="131" t="str">
        <f>IFERROR(__xludf.DUMMYFUNCTION("LET(changes,FILTER('Pool Changes'!$B:$D, 'Pool Changes'!$B:$B = $D208),added,FILTER(INDEX(changes,0,3),INDEX(changes,0,2)=""starting pool""),TRANSPOSE(IFERROR(ARRAYFORMULA(IF(added&lt;&gt;"""",""https://sealeddeck.tech/""&amp;added,"""")),"""")))"),"")</f>
        <v/>
      </c>
      <c r="I208" s="132" t="str">
        <f>IFERROR(__xludf.DUMMYFUNCTION("LET(changes,FILTER('Pool Changes'!$B:$D, 'Pool Changes'!$B:$B = $D208),added,FILTER(INDEX(changes,0,3),INDEX(changes,0,2)=""add pack""),IFERROR(TRANSPOSE(ARRAYFORMULA(IF(added&lt;&gt;"""",HYPERLINK(""https://sealeddeck.tech/""&amp;added,""Link""),""""))),""""))"),"")</f>
        <v/>
      </c>
      <c r="J208" s="132"/>
      <c r="K208" s="132"/>
      <c r="L208" s="132"/>
      <c r="M208" s="133"/>
      <c r="N208" s="135"/>
      <c r="O208" s="135"/>
      <c r="P208" s="135"/>
      <c r="Q208" s="133"/>
      <c r="R208" s="133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</row>
    <row r="209">
      <c r="A209" s="143"/>
      <c r="B209" s="144"/>
      <c r="C209" s="129" t="str">
        <f t="array" ref="C209">INDEX('Player Database'!$D:$D,MATCH($D209,'Player Database'!$B:$B,0))</f>
        <v>#N/A</v>
      </c>
      <c r="D209" s="9" t="str">
        <f t="shared" si="1"/>
        <v> - </v>
      </c>
      <c r="E209" s="130" t="str">
        <f t="array" ref="E209">XLOOKUP($D209,'Player Database'!$B$2:$B1009,'Player Database'!$I$2:$I1009)</f>
        <v>#N/A</v>
      </c>
      <c r="F209" s="130" t="str">
        <f t="array" ref="F209">XLOOKUP($D209,'Player Database'!$B$2:$B1009,'Player Database'!$J$2:$J1009)</f>
        <v>#N/A</v>
      </c>
      <c r="G209" s="131" t="str">
        <f t="array" ref="G209">IF(H209="","",IFERROR(
  "https://sealeddeck.tech/" &amp; INDEX('Pool Changes'!F:F,
    MAX(
      ROW('Pool Changes'!A:A) *
      ('Pool Changes'!B:B=D209) *
      ('Pool Changes'!F:F&lt;&gt;"")
    )
  ),
  ""
))</f>
        <v/>
      </c>
      <c r="H209" s="131" t="str">
        <f>IFERROR(__xludf.DUMMYFUNCTION("LET(changes,FILTER('Pool Changes'!$B:$D, 'Pool Changes'!$B:$B = $D209),added,FILTER(INDEX(changes,0,3),INDEX(changes,0,2)=""starting pool""),TRANSPOSE(IFERROR(ARRAYFORMULA(IF(added&lt;&gt;"""",""https://sealeddeck.tech/""&amp;added,"""")),"""")))"),"")</f>
        <v/>
      </c>
      <c r="I209" s="132" t="str">
        <f>IFERROR(__xludf.DUMMYFUNCTION("LET(changes,FILTER('Pool Changes'!$B:$D, 'Pool Changes'!$B:$B = $D209),added,FILTER(INDEX(changes,0,3),INDEX(changes,0,2)=""add pack""),IFERROR(TRANSPOSE(ARRAYFORMULA(IF(added&lt;&gt;"""",HYPERLINK(""https://sealeddeck.tech/""&amp;added,""Link""),""""))),""""))"),"")</f>
        <v/>
      </c>
      <c r="J209" s="132"/>
      <c r="K209" s="132"/>
      <c r="L209" s="132"/>
      <c r="M209" s="133"/>
      <c r="N209" s="135"/>
      <c r="O209" s="135"/>
      <c r="P209" s="135"/>
      <c r="Q209" s="133"/>
      <c r="R209" s="133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</row>
    <row r="210">
      <c r="A210" s="143"/>
      <c r="B210" s="144"/>
      <c r="C210" s="129" t="str">
        <f t="array" ref="C210">INDEX('Player Database'!$D:$D,MATCH($D210,'Player Database'!$B:$B,0))</f>
        <v>#N/A</v>
      </c>
      <c r="D210" s="9" t="str">
        <f t="shared" si="1"/>
        <v> - </v>
      </c>
      <c r="E210" s="130" t="str">
        <f t="array" ref="E210">XLOOKUP($D210,'Player Database'!$B$2:$B1009,'Player Database'!$I$2:$I1009)</f>
        <v>#N/A</v>
      </c>
      <c r="F210" s="130" t="str">
        <f t="array" ref="F210">XLOOKUP($D210,'Player Database'!$B$2:$B1009,'Player Database'!$J$2:$J1009)</f>
        <v>#N/A</v>
      </c>
      <c r="G210" s="131" t="str">
        <f t="array" ref="G210">IF(H210="","",IFERROR(
  "https://sealeddeck.tech/" &amp; INDEX('Pool Changes'!F:F,
    MAX(
      ROW('Pool Changes'!A:A) *
      ('Pool Changes'!B:B=D210) *
      ('Pool Changes'!F:F&lt;&gt;"")
    )
  ),
  ""
))</f>
        <v/>
      </c>
      <c r="H210" s="131" t="str">
        <f>IFERROR(__xludf.DUMMYFUNCTION("LET(changes,FILTER('Pool Changes'!$B:$D, 'Pool Changes'!$B:$B = $D210),added,FILTER(INDEX(changes,0,3),INDEX(changes,0,2)=""starting pool""),TRANSPOSE(IFERROR(ARRAYFORMULA(IF(added&lt;&gt;"""",""https://sealeddeck.tech/""&amp;added,"""")),"""")))"),"")</f>
        <v/>
      </c>
      <c r="I210" s="132" t="str">
        <f>IFERROR(__xludf.DUMMYFUNCTION("LET(changes,FILTER('Pool Changes'!$B:$D, 'Pool Changes'!$B:$B = $D210),added,FILTER(INDEX(changes,0,3),INDEX(changes,0,2)=""add pack""),IFERROR(TRANSPOSE(ARRAYFORMULA(IF(added&lt;&gt;"""",HYPERLINK(""https://sealeddeck.tech/""&amp;added,""Link""),""""))),""""))"),"")</f>
        <v/>
      </c>
      <c r="J210" s="132"/>
      <c r="K210" s="132"/>
      <c r="L210" s="132"/>
      <c r="M210" s="133"/>
      <c r="N210" s="135"/>
      <c r="O210" s="135"/>
      <c r="P210" s="135"/>
      <c r="Q210" s="133"/>
      <c r="R210" s="133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4"/>
    </row>
    <row r="211">
      <c r="A211" s="143"/>
      <c r="B211" s="144"/>
      <c r="C211" s="129" t="str">
        <f t="array" ref="C211">INDEX('Player Database'!$D:$D,MATCH($D211,'Player Database'!$B:$B,0))</f>
        <v>#N/A</v>
      </c>
      <c r="D211" s="9" t="str">
        <f t="shared" si="1"/>
        <v> - </v>
      </c>
      <c r="E211" s="130" t="str">
        <f t="array" ref="E211">XLOOKUP($D211,'Player Database'!$B$2:$B1009,'Player Database'!$I$2:$I1009)</f>
        <v>#N/A</v>
      </c>
      <c r="F211" s="130" t="str">
        <f t="array" ref="F211">XLOOKUP($D211,'Player Database'!$B$2:$B1009,'Player Database'!$J$2:$J1009)</f>
        <v>#N/A</v>
      </c>
      <c r="G211" s="131" t="str">
        <f t="array" ref="G211">IF(H211="","",IFERROR(
  "https://sealeddeck.tech/" &amp; INDEX('Pool Changes'!F:F,
    MAX(
      ROW('Pool Changes'!A:A) *
      ('Pool Changes'!B:B=D211) *
      ('Pool Changes'!F:F&lt;&gt;"")
    )
  ),
  ""
))</f>
        <v/>
      </c>
      <c r="H211" s="131" t="str">
        <f>IFERROR(__xludf.DUMMYFUNCTION("LET(changes,FILTER('Pool Changes'!$B:$D, 'Pool Changes'!$B:$B = $D211),added,FILTER(INDEX(changes,0,3),INDEX(changes,0,2)=""starting pool""),TRANSPOSE(IFERROR(ARRAYFORMULA(IF(added&lt;&gt;"""",""https://sealeddeck.tech/""&amp;added,"""")),"""")))"),"")</f>
        <v/>
      </c>
      <c r="I211" s="132" t="str">
        <f>IFERROR(__xludf.DUMMYFUNCTION("LET(changes,FILTER('Pool Changes'!$B:$D, 'Pool Changes'!$B:$B = $D211),added,FILTER(INDEX(changes,0,3),INDEX(changes,0,2)=""add pack""),IFERROR(TRANSPOSE(ARRAYFORMULA(IF(added&lt;&gt;"""",HYPERLINK(""https://sealeddeck.tech/""&amp;added,""Link""),""""))),""""))"),"")</f>
        <v/>
      </c>
      <c r="J211" s="132"/>
      <c r="K211" s="132"/>
      <c r="L211" s="132"/>
      <c r="M211" s="133"/>
      <c r="N211" s="135"/>
      <c r="O211" s="135"/>
      <c r="P211" s="135"/>
      <c r="Q211" s="133"/>
      <c r="R211" s="133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</row>
    <row r="212">
      <c r="A212" s="143"/>
      <c r="B212" s="144"/>
      <c r="C212" s="129" t="str">
        <f t="array" ref="C212">INDEX('Player Database'!$D:$D,MATCH($D212,'Player Database'!$B:$B,0))</f>
        <v>#N/A</v>
      </c>
      <c r="D212" s="9" t="str">
        <f t="shared" si="1"/>
        <v> - </v>
      </c>
      <c r="E212" s="130" t="str">
        <f t="array" ref="E212">XLOOKUP($D212,'Player Database'!$B$2:$B1009,'Player Database'!$I$2:$I1009)</f>
        <v>#N/A</v>
      </c>
      <c r="F212" s="130" t="str">
        <f t="array" ref="F212">XLOOKUP($D212,'Player Database'!$B$2:$B1009,'Player Database'!$J$2:$J1009)</f>
        <v>#N/A</v>
      </c>
      <c r="G212" s="131" t="str">
        <f t="array" ref="G212">IF(H212="","",IFERROR(
  "https://sealeddeck.tech/" &amp; INDEX('Pool Changes'!F:F,
    MAX(
      ROW('Pool Changes'!A:A) *
      ('Pool Changes'!B:B=D212) *
      ('Pool Changes'!F:F&lt;&gt;"")
    )
  ),
  ""
))</f>
        <v/>
      </c>
      <c r="H212" s="131" t="str">
        <f>IFERROR(__xludf.DUMMYFUNCTION("LET(changes,FILTER('Pool Changes'!$B:$D, 'Pool Changes'!$B:$B = $D212),added,FILTER(INDEX(changes,0,3),INDEX(changes,0,2)=""starting pool""),TRANSPOSE(IFERROR(ARRAYFORMULA(IF(added&lt;&gt;"""",""https://sealeddeck.tech/""&amp;added,"""")),"""")))"),"")</f>
        <v/>
      </c>
      <c r="I212" s="132" t="str">
        <f>IFERROR(__xludf.DUMMYFUNCTION("LET(changes,FILTER('Pool Changes'!$B:$D, 'Pool Changes'!$B:$B = $D212),added,FILTER(INDEX(changes,0,3),INDEX(changes,0,2)=""add pack""),IFERROR(TRANSPOSE(ARRAYFORMULA(IF(added&lt;&gt;"""",HYPERLINK(""https://sealeddeck.tech/""&amp;added,""Link""),""""))),""""))"),"")</f>
        <v/>
      </c>
      <c r="J212" s="132"/>
      <c r="K212" s="132"/>
      <c r="L212" s="132"/>
      <c r="M212" s="133"/>
      <c r="N212" s="135"/>
      <c r="O212" s="135"/>
      <c r="P212" s="135"/>
      <c r="Q212" s="133"/>
      <c r="R212" s="133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</row>
    <row r="213">
      <c r="A213" s="143"/>
      <c r="B213" s="144"/>
      <c r="C213" s="129" t="str">
        <f t="array" ref="C213">INDEX('Player Database'!$D:$D,MATCH($D213,'Player Database'!$B:$B,0))</f>
        <v>#N/A</v>
      </c>
      <c r="D213" s="9" t="str">
        <f t="shared" si="1"/>
        <v> - </v>
      </c>
      <c r="E213" s="130" t="str">
        <f t="array" ref="E213">XLOOKUP($D213,'Player Database'!$B$2:$B1009,'Player Database'!$I$2:$I1009)</f>
        <v>#N/A</v>
      </c>
      <c r="F213" s="130" t="str">
        <f t="array" ref="F213">XLOOKUP($D213,'Player Database'!$B$2:$B1009,'Player Database'!$J$2:$J1009)</f>
        <v>#N/A</v>
      </c>
      <c r="G213" s="131" t="str">
        <f t="array" ref="G213">IF(H213="","",IFERROR(
  "https://sealeddeck.tech/" &amp; INDEX('Pool Changes'!F:F,
    MAX(
      ROW('Pool Changes'!A:A) *
      ('Pool Changes'!B:B=D213) *
      ('Pool Changes'!F:F&lt;&gt;"")
    )
  ),
  ""
))</f>
        <v/>
      </c>
      <c r="H213" s="131" t="str">
        <f>IFERROR(__xludf.DUMMYFUNCTION("LET(changes,FILTER('Pool Changes'!$B:$D, 'Pool Changes'!$B:$B = $D213),added,FILTER(INDEX(changes,0,3),INDEX(changes,0,2)=""starting pool""),TRANSPOSE(IFERROR(ARRAYFORMULA(IF(added&lt;&gt;"""",""https://sealeddeck.tech/""&amp;added,"""")),"""")))"),"")</f>
        <v/>
      </c>
      <c r="I213" s="132" t="str">
        <f>IFERROR(__xludf.DUMMYFUNCTION("LET(changes,FILTER('Pool Changes'!$B:$D, 'Pool Changes'!$B:$B = $D213),added,FILTER(INDEX(changes,0,3),INDEX(changes,0,2)=""add pack""),IFERROR(TRANSPOSE(ARRAYFORMULA(IF(added&lt;&gt;"""",HYPERLINK(""https://sealeddeck.tech/""&amp;added,""Link""),""""))),""""))"),"")</f>
        <v/>
      </c>
      <c r="J213" s="132"/>
      <c r="K213" s="132"/>
      <c r="L213" s="132"/>
      <c r="M213" s="133"/>
      <c r="N213" s="135"/>
      <c r="O213" s="135"/>
      <c r="P213" s="135"/>
      <c r="Q213" s="133"/>
      <c r="R213" s="133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4"/>
    </row>
    <row r="214">
      <c r="A214" s="143"/>
      <c r="B214" s="144"/>
      <c r="C214" s="129" t="str">
        <f t="array" ref="C214">INDEX('Player Database'!$D:$D,MATCH($D214,'Player Database'!$B:$B,0))</f>
        <v>#N/A</v>
      </c>
      <c r="D214" s="9" t="str">
        <f t="shared" si="1"/>
        <v> - </v>
      </c>
      <c r="E214" s="130" t="str">
        <f t="array" ref="E214">XLOOKUP($D214,'Player Database'!$B$2:$B1009,'Player Database'!$I$2:$I1009)</f>
        <v>#N/A</v>
      </c>
      <c r="F214" s="130" t="str">
        <f t="array" ref="F214">XLOOKUP($D214,'Player Database'!$B$2:$B1009,'Player Database'!$J$2:$J1009)</f>
        <v>#N/A</v>
      </c>
      <c r="G214" s="131" t="str">
        <f t="array" ref="G214">IF(H214="","",IFERROR(
  "https://sealeddeck.tech/" &amp; INDEX('Pool Changes'!F:F,
    MAX(
      ROW('Pool Changes'!A:A) *
      ('Pool Changes'!B:B=D214) *
      ('Pool Changes'!F:F&lt;&gt;"")
    )
  ),
  ""
))</f>
        <v/>
      </c>
      <c r="H214" s="131" t="str">
        <f>IFERROR(__xludf.DUMMYFUNCTION("LET(changes,FILTER('Pool Changes'!$B:$D, 'Pool Changes'!$B:$B = $D214),added,FILTER(INDEX(changes,0,3),INDEX(changes,0,2)=""starting pool""),TRANSPOSE(IFERROR(ARRAYFORMULA(IF(added&lt;&gt;"""",""https://sealeddeck.tech/""&amp;added,"""")),"""")))"),"")</f>
        <v/>
      </c>
      <c r="I214" s="132" t="str">
        <f>IFERROR(__xludf.DUMMYFUNCTION("LET(changes,FILTER('Pool Changes'!$B:$D, 'Pool Changes'!$B:$B = $D214),added,FILTER(INDEX(changes,0,3),INDEX(changes,0,2)=""add pack""),IFERROR(TRANSPOSE(ARRAYFORMULA(IF(added&lt;&gt;"""",HYPERLINK(""https://sealeddeck.tech/""&amp;added,""Link""),""""))),""""))"),"")</f>
        <v/>
      </c>
      <c r="J214" s="132"/>
      <c r="K214" s="132"/>
      <c r="L214" s="132"/>
      <c r="M214" s="133"/>
      <c r="N214" s="135"/>
      <c r="O214" s="135"/>
      <c r="P214" s="135"/>
      <c r="Q214" s="133"/>
      <c r="R214" s="133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</row>
    <row r="215">
      <c r="A215" s="143"/>
      <c r="B215" s="144"/>
      <c r="C215" s="129" t="str">
        <f t="array" ref="C215">INDEX('Player Database'!$D:$D,MATCH($D215,'Player Database'!$B:$B,0))</f>
        <v>#N/A</v>
      </c>
      <c r="D215" s="9" t="str">
        <f t="shared" si="1"/>
        <v> - </v>
      </c>
      <c r="E215" s="130" t="str">
        <f t="array" ref="E215">XLOOKUP($D215,'Player Database'!$B$2:$B1009,'Player Database'!$I$2:$I1009)</f>
        <v>#N/A</v>
      </c>
      <c r="F215" s="130" t="str">
        <f t="array" ref="F215">XLOOKUP($D215,'Player Database'!$B$2:$B1009,'Player Database'!$J$2:$J1009)</f>
        <v>#N/A</v>
      </c>
      <c r="G215" s="131" t="str">
        <f t="array" ref="G215">IF(H215="","",IFERROR(
  "https://sealeddeck.tech/" &amp; INDEX('Pool Changes'!F:F,
    MAX(
      ROW('Pool Changes'!A:A) *
      ('Pool Changes'!B:B=D215) *
      ('Pool Changes'!F:F&lt;&gt;"")
    )
  ),
  ""
))</f>
        <v/>
      </c>
      <c r="H215" s="131" t="str">
        <f>IFERROR(__xludf.DUMMYFUNCTION("LET(changes,FILTER('Pool Changes'!$B:$D, 'Pool Changes'!$B:$B = $D215),added,FILTER(INDEX(changes,0,3),INDEX(changes,0,2)=""starting pool""),TRANSPOSE(IFERROR(ARRAYFORMULA(IF(added&lt;&gt;"""",""https://sealeddeck.tech/""&amp;added,"""")),"""")))"),"")</f>
        <v/>
      </c>
      <c r="I215" s="132" t="str">
        <f>IFERROR(__xludf.DUMMYFUNCTION("LET(changes,FILTER('Pool Changes'!$B:$D, 'Pool Changes'!$B:$B = $D215),added,FILTER(INDEX(changes,0,3),INDEX(changes,0,2)=""add pack""),IFERROR(TRANSPOSE(ARRAYFORMULA(IF(added&lt;&gt;"""",HYPERLINK(""https://sealeddeck.tech/""&amp;added,""Link""),""""))),""""))"),"")</f>
        <v/>
      </c>
      <c r="J215" s="132"/>
      <c r="K215" s="132"/>
      <c r="L215" s="132"/>
      <c r="M215" s="133"/>
      <c r="N215" s="135"/>
      <c r="O215" s="135"/>
      <c r="P215" s="135"/>
      <c r="Q215" s="133"/>
      <c r="R215" s="133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4"/>
    </row>
    <row r="216">
      <c r="A216" s="143"/>
      <c r="B216" s="144"/>
      <c r="C216" s="129" t="str">
        <f t="array" ref="C216">INDEX('Player Database'!$D:$D,MATCH($D216,'Player Database'!$B:$B,0))</f>
        <v>#N/A</v>
      </c>
      <c r="D216" s="9" t="str">
        <f t="shared" si="1"/>
        <v> - </v>
      </c>
      <c r="E216" s="130" t="str">
        <f t="array" ref="E216">XLOOKUP($D216,'Player Database'!$B$2:$B1009,'Player Database'!$I$2:$I1009)</f>
        <v>#N/A</v>
      </c>
      <c r="F216" s="130" t="str">
        <f t="array" ref="F216">XLOOKUP($D216,'Player Database'!$B$2:$B1009,'Player Database'!$J$2:$J1009)</f>
        <v>#N/A</v>
      </c>
      <c r="G216" s="131" t="str">
        <f t="array" ref="G216">IF(H216="","",IFERROR(
  "https://sealeddeck.tech/" &amp; INDEX('Pool Changes'!F:F,
    MAX(
      ROW('Pool Changes'!A:A) *
      ('Pool Changes'!B:B=D216) *
      ('Pool Changes'!F:F&lt;&gt;"")
    )
  ),
  ""
))</f>
        <v/>
      </c>
      <c r="H216" s="131" t="str">
        <f>IFERROR(__xludf.DUMMYFUNCTION("LET(changes,FILTER('Pool Changes'!$B:$D, 'Pool Changes'!$B:$B = $D216),added,FILTER(INDEX(changes,0,3),INDEX(changes,0,2)=""starting pool""),TRANSPOSE(IFERROR(ARRAYFORMULA(IF(added&lt;&gt;"""",""https://sealeddeck.tech/""&amp;added,"""")),"""")))"),"")</f>
        <v/>
      </c>
      <c r="I216" s="132" t="str">
        <f>IFERROR(__xludf.DUMMYFUNCTION("LET(changes,FILTER('Pool Changes'!$B:$D, 'Pool Changes'!$B:$B = $D216),added,FILTER(INDEX(changes,0,3),INDEX(changes,0,2)=""add pack""),IFERROR(TRANSPOSE(ARRAYFORMULA(IF(added&lt;&gt;"""",HYPERLINK(""https://sealeddeck.tech/""&amp;added,""Link""),""""))),""""))"),"")</f>
        <v/>
      </c>
      <c r="J216" s="132"/>
      <c r="K216" s="132"/>
      <c r="L216" s="132"/>
      <c r="M216" s="133"/>
      <c r="N216" s="135"/>
      <c r="O216" s="135"/>
      <c r="P216" s="135"/>
      <c r="Q216" s="133"/>
      <c r="R216" s="133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4"/>
    </row>
    <row r="217">
      <c r="A217" s="143"/>
      <c r="B217" s="144"/>
      <c r="C217" s="129" t="str">
        <f t="array" ref="C217">INDEX('Player Database'!$D:$D,MATCH($D217,'Player Database'!$B:$B,0))</f>
        <v>#N/A</v>
      </c>
      <c r="D217" s="9" t="str">
        <f t="shared" si="1"/>
        <v> - </v>
      </c>
      <c r="E217" s="130" t="str">
        <f t="array" ref="E217">XLOOKUP($D217,'Player Database'!$B$2:$B1009,'Player Database'!$I$2:$I1009)</f>
        <v>#N/A</v>
      </c>
      <c r="F217" s="130" t="str">
        <f t="array" ref="F217">XLOOKUP($D217,'Player Database'!$B$2:$B1009,'Player Database'!$J$2:$J1009)</f>
        <v>#N/A</v>
      </c>
      <c r="G217" s="131" t="str">
        <f t="array" ref="G217">IF(H217="","",IFERROR(
  "https://sealeddeck.tech/" &amp; INDEX('Pool Changes'!F:F,
    MAX(
      ROW('Pool Changes'!A:A) *
      ('Pool Changes'!B:B=D217) *
      ('Pool Changes'!F:F&lt;&gt;"")
    )
  ),
  ""
))</f>
        <v/>
      </c>
      <c r="H217" s="131" t="str">
        <f>IFERROR(__xludf.DUMMYFUNCTION("LET(changes,FILTER('Pool Changes'!$B:$D, 'Pool Changes'!$B:$B = $D217),added,FILTER(INDEX(changes,0,3),INDEX(changes,0,2)=""starting pool""),TRANSPOSE(IFERROR(ARRAYFORMULA(IF(added&lt;&gt;"""",""https://sealeddeck.tech/""&amp;added,"""")),"""")))"),"")</f>
        <v/>
      </c>
      <c r="I217" s="132" t="str">
        <f>IFERROR(__xludf.DUMMYFUNCTION("LET(changes,FILTER('Pool Changes'!$B:$D, 'Pool Changes'!$B:$B = $D217),added,FILTER(INDEX(changes,0,3),INDEX(changes,0,2)=""add pack""),IFERROR(TRANSPOSE(ARRAYFORMULA(IF(added&lt;&gt;"""",HYPERLINK(""https://sealeddeck.tech/""&amp;added,""Link""),""""))),""""))"),"")</f>
        <v/>
      </c>
      <c r="J217" s="132"/>
      <c r="K217" s="132"/>
      <c r="L217" s="132"/>
      <c r="M217" s="133"/>
      <c r="N217" s="135"/>
      <c r="O217" s="135"/>
      <c r="P217" s="135"/>
      <c r="Q217" s="133"/>
      <c r="R217" s="133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  <c r="AE217" s="134"/>
      <c r="AF217" s="134"/>
      <c r="AG217" s="134"/>
      <c r="AH217" s="134"/>
    </row>
    <row r="218">
      <c r="A218" s="143"/>
      <c r="B218" s="144"/>
      <c r="C218" s="129" t="str">
        <f t="array" ref="C218">INDEX('Player Database'!$D:$D,MATCH($D218,'Player Database'!$B:$B,0))</f>
        <v>#N/A</v>
      </c>
      <c r="D218" s="9" t="str">
        <f t="shared" si="1"/>
        <v> - </v>
      </c>
      <c r="E218" s="130" t="str">
        <f t="array" ref="E218">XLOOKUP($D218,'Player Database'!$B$2:$B1009,'Player Database'!$I$2:$I1009)</f>
        <v>#N/A</v>
      </c>
      <c r="F218" s="130" t="str">
        <f t="array" ref="F218">XLOOKUP($D218,'Player Database'!$B$2:$B1009,'Player Database'!$J$2:$J1009)</f>
        <v>#N/A</v>
      </c>
      <c r="G218" s="131" t="str">
        <f t="array" ref="G218">IF(H218="","",IFERROR(
  "https://sealeddeck.tech/" &amp; INDEX('Pool Changes'!F:F,
    MAX(
      ROW('Pool Changes'!A:A) *
      ('Pool Changes'!B:B=D218) *
      ('Pool Changes'!F:F&lt;&gt;"")
    )
  ),
  ""
))</f>
        <v/>
      </c>
      <c r="H218" s="131" t="str">
        <f>IFERROR(__xludf.DUMMYFUNCTION("LET(changes,FILTER('Pool Changes'!$B:$D, 'Pool Changes'!$B:$B = $D218),added,FILTER(INDEX(changes,0,3),INDEX(changes,0,2)=""starting pool""),TRANSPOSE(IFERROR(ARRAYFORMULA(IF(added&lt;&gt;"""",""https://sealeddeck.tech/""&amp;added,"""")),"""")))"),"")</f>
        <v/>
      </c>
      <c r="I218" s="132" t="str">
        <f>IFERROR(__xludf.DUMMYFUNCTION("LET(changes,FILTER('Pool Changes'!$B:$D, 'Pool Changes'!$B:$B = $D218),added,FILTER(INDEX(changes,0,3),INDEX(changes,0,2)=""add pack""),IFERROR(TRANSPOSE(ARRAYFORMULA(IF(added&lt;&gt;"""",HYPERLINK(""https://sealeddeck.tech/""&amp;added,""Link""),""""))),""""))"),"")</f>
        <v/>
      </c>
      <c r="J218" s="132"/>
      <c r="K218" s="132"/>
      <c r="L218" s="132"/>
      <c r="M218" s="133"/>
      <c r="N218" s="135"/>
      <c r="O218" s="135"/>
      <c r="P218" s="135"/>
      <c r="Q218" s="133"/>
      <c r="R218" s="133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4"/>
    </row>
    <row r="219">
      <c r="A219" s="143"/>
      <c r="B219" s="144"/>
      <c r="C219" s="129" t="str">
        <f t="array" ref="C219">INDEX('Player Database'!$D:$D,MATCH($D219,'Player Database'!$B:$B,0))</f>
        <v>#N/A</v>
      </c>
      <c r="D219" s="9" t="str">
        <f t="shared" si="1"/>
        <v> - </v>
      </c>
      <c r="E219" s="130" t="str">
        <f t="array" ref="E219">XLOOKUP($D219,'Player Database'!$B$2:$B1009,'Player Database'!$I$2:$I1009)</f>
        <v>#N/A</v>
      </c>
      <c r="F219" s="130" t="str">
        <f t="array" ref="F219">XLOOKUP($D219,'Player Database'!$B$2:$B1009,'Player Database'!$J$2:$J1009)</f>
        <v>#N/A</v>
      </c>
      <c r="G219" s="131" t="str">
        <f t="array" ref="G219">IF(H219="","",IFERROR(
  "https://sealeddeck.tech/" &amp; INDEX('Pool Changes'!F:F,
    MAX(
      ROW('Pool Changes'!A:A) *
      ('Pool Changes'!B:B=D219) *
      ('Pool Changes'!F:F&lt;&gt;"")
    )
  ),
  ""
))</f>
        <v/>
      </c>
      <c r="H219" s="131" t="str">
        <f>IFERROR(__xludf.DUMMYFUNCTION("LET(changes,FILTER('Pool Changes'!$B:$D, 'Pool Changes'!$B:$B = $D219),added,FILTER(INDEX(changes,0,3),INDEX(changes,0,2)=""starting pool""),TRANSPOSE(IFERROR(ARRAYFORMULA(IF(added&lt;&gt;"""",""https://sealeddeck.tech/""&amp;added,"""")),"""")))"),"")</f>
        <v/>
      </c>
      <c r="I219" s="132" t="str">
        <f>IFERROR(__xludf.DUMMYFUNCTION("LET(changes,FILTER('Pool Changes'!$B:$D, 'Pool Changes'!$B:$B = $D219),added,FILTER(INDEX(changes,0,3),INDEX(changes,0,2)=""add pack""),IFERROR(TRANSPOSE(ARRAYFORMULA(IF(added&lt;&gt;"""",HYPERLINK(""https://sealeddeck.tech/""&amp;added,""Link""),""""))),""""))"),"")</f>
        <v/>
      </c>
      <c r="J219" s="132"/>
      <c r="K219" s="132"/>
      <c r="L219" s="132"/>
      <c r="M219" s="133"/>
      <c r="N219" s="135"/>
      <c r="O219" s="135"/>
      <c r="P219" s="135"/>
      <c r="Q219" s="133"/>
      <c r="R219" s="133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  <c r="AE219" s="134"/>
      <c r="AF219" s="134"/>
      <c r="AG219" s="134"/>
      <c r="AH219" s="134"/>
    </row>
    <row r="220">
      <c r="A220" s="143"/>
      <c r="B220" s="144"/>
      <c r="C220" s="129" t="str">
        <f t="array" ref="C220">INDEX('Player Database'!$D:$D,MATCH($D220,'Player Database'!$B:$B,0))</f>
        <v>#N/A</v>
      </c>
      <c r="D220" s="9" t="str">
        <f t="shared" si="1"/>
        <v> - </v>
      </c>
      <c r="E220" s="130" t="str">
        <f t="array" ref="E220">XLOOKUP($D220,'Player Database'!$B$2:$B1009,'Player Database'!$I$2:$I1009)</f>
        <v>#N/A</v>
      </c>
      <c r="F220" s="130" t="str">
        <f t="array" ref="F220">XLOOKUP($D220,'Player Database'!$B$2:$B1009,'Player Database'!$J$2:$J1009)</f>
        <v>#N/A</v>
      </c>
      <c r="G220" s="131" t="str">
        <f t="array" ref="G220">IF(H220="","",IFERROR(
  "https://sealeddeck.tech/" &amp; INDEX('Pool Changes'!F:F,
    MAX(
      ROW('Pool Changes'!A:A) *
      ('Pool Changes'!B:B=D220) *
      ('Pool Changes'!F:F&lt;&gt;"")
    )
  ),
  ""
))</f>
        <v/>
      </c>
      <c r="H220" s="131" t="str">
        <f>IFERROR(__xludf.DUMMYFUNCTION("LET(changes,FILTER('Pool Changes'!$B:$D, 'Pool Changes'!$B:$B = $D220),added,FILTER(INDEX(changes,0,3),INDEX(changes,0,2)=""starting pool""),TRANSPOSE(IFERROR(ARRAYFORMULA(IF(added&lt;&gt;"""",""https://sealeddeck.tech/""&amp;added,"""")),"""")))"),"")</f>
        <v/>
      </c>
      <c r="I220" s="132" t="str">
        <f>IFERROR(__xludf.DUMMYFUNCTION("LET(changes,FILTER('Pool Changes'!$B:$D, 'Pool Changes'!$B:$B = $D220),added,FILTER(INDEX(changes,0,3),INDEX(changes,0,2)=""add pack""),IFERROR(TRANSPOSE(ARRAYFORMULA(IF(added&lt;&gt;"""",HYPERLINK(""https://sealeddeck.tech/""&amp;added,""Link""),""""))),""""))"),"")</f>
        <v/>
      </c>
      <c r="J220" s="132"/>
      <c r="K220" s="132"/>
      <c r="L220" s="132"/>
      <c r="M220" s="133"/>
      <c r="N220" s="135"/>
      <c r="O220" s="135"/>
      <c r="P220" s="135"/>
      <c r="Q220" s="133"/>
      <c r="R220" s="133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</row>
    <row r="221">
      <c r="A221" s="143"/>
      <c r="B221" s="144"/>
      <c r="C221" s="129" t="str">
        <f t="array" ref="C221">INDEX('Player Database'!$D:$D,MATCH($D221,'Player Database'!$B:$B,0))</f>
        <v>#N/A</v>
      </c>
      <c r="D221" s="9" t="str">
        <f t="shared" si="1"/>
        <v> - </v>
      </c>
      <c r="E221" s="130" t="str">
        <f t="array" ref="E221">XLOOKUP($D221,'Player Database'!$B$2:$B1009,'Player Database'!$I$2:$I1009)</f>
        <v>#N/A</v>
      </c>
      <c r="F221" s="130" t="str">
        <f t="array" ref="F221">XLOOKUP($D221,'Player Database'!$B$2:$B1009,'Player Database'!$J$2:$J1009)</f>
        <v>#N/A</v>
      </c>
      <c r="G221" s="131" t="str">
        <f t="array" ref="G221">IF(H221="","",IFERROR(
  "https://sealeddeck.tech/" &amp; INDEX('Pool Changes'!F:F,
    MAX(
      ROW('Pool Changes'!A:A) *
      ('Pool Changes'!B:B=D221) *
      ('Pool Changes'!F:F&lt;&gt;"")
    )
  ),
  ""
))</f>
        <v/>
      </c>
      <c r="H221" s="131" t="str">
        <f>IFERROR(__xludf.DUMMYFUNCTION("LET(changes,FILTER('Pool Changes'!$B:$D, 'Pool Changes'!$B:$B = $D221),added,FILTER(INDEX(changes,0,3),INDEX(changes,0,2)=""starting pool""),TRANSPOSE(IFERROR(ARRAYFORMULA(IF(added&lt;&gt;"""",""https://sealeddeck.tech/""&amp;added,"""")),"""")))"),"")</f>
        <v/>
      </c>
      <c r="I221" s="132" t="str">
        <f>IFERROR(__xludf.DUMMYFUNCTION("LET(changes,FILTER('Pool Changes'!$B:$D, 'Pool Changes'!$B:$B = $D221),added,FILTER(INDEX(changes,0,3),INDEX(changes,0,2)=""add pack""),IFERROR(TRANSPOSE(ARRAYFORMULA(IF(added&lt;&gt;"""",HYPERLINK(""https://sealeddeck.tech/""&amp;added,""Link""),""""))),""""))"),"")</f>
        <v/>
      </c>
      <c r="J221" s="132"/>
      <c r="K221" s="132"/>
      <c r="L221" s="132"/>
      <c r="M221" s="133"/>
      <c r="N221" s="135"/>
      <c r="O221" s="135"/>
      <c r="P221" s="135"/>
      <c r="Q221" s="133"/>
      <c r="R221" s="133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</row>
    <row r="222">
      <c r="A222" s="143"/>
      <c r="B222" s="144"/>
      <c r="C222" s="129" t="str">
        <f t="array" ref="C222">INDEX('Player Database'!$D:$D,MATCH($D222,'Player Database'!$B:$B,0))</f>
        <v>#N/A</v>
      </c>
      <c r="D222" s="9" t="str">
        <f t="shared" si="1"/>
        <v> - </v>
      </c>
      <c r="E222" s="130" t="str">
        <f t="array" ref="E222">XLOOKUP($D222,'Player Database'!$B$2:$B1009,'Player Database'!$I$2:$I1009)</f>
        <v>#N/A</v>
      </c>
      <c r="F222" s="130" t="str">
        <f t="array" ref="F222">XLOOKUP($D222,'Player Database'!$B$2:$B1009,'Player Database'!$J$2:$J1009)</f>
        <v>#N/A</v>
      </c>
      <c r="G222" s="131" t="str">
        <f t="array" ref="G222">IF(H222="","",IFERROR(
  "https://sealeddeck.tech/" &amp; INDEX('Pool Changes'!F:F,
    MAX(
      ROW('Pool Changes'!A:A) *
      ('Pool Changes'!B:B=D222) *
      ('Pool Changes'!F:F&lt;&gt;"")
    )
  ),
  ""
))</f>
        <v/>
      </c>
      <c r="H222" s="131" t="str">
        <f>IFERROR(__xludf.DUMMYFUNCTION("LET(changes,FILTER('Pool Changes'!$B:$D, 'Pool Changes'!$B:$B = $D222),added,FILTER(INDEX(changes,0,3),INDEX(changes,0,2)=""starting pool""),TRANSPOSE(IFERROR(ARRAYFORMULA(IF(added&lt;&gt;"""",""https://sealeddeck.tech/""&amp;added,"""")),"""")))"),"")</f>
        <v/>
      </c>
      <c r="I222" s="132" t="str">
        <f>IFERROR(__xludf.DUMMYFUNCTION("LET(changes,FILTER('Pool Changes'!$B:$D, 'Pool Changes'!$B:$B = $D222),added,FILTER(INDEX(changes,0,3),INDEX(changes,0,2)=""add pack""),IFERROR(TRANSPOSE(ARRAYFORMULA(IF(added&lt;&gt;"""",HYPERLINK(""https://sealeddeck.tech/""&amp;added,""Link""),""""))),""""))"),"")</f>
        <v/>
      </c>
      <c r="J222" s="132"/>
      <c r="K222" s="132"/>
      <c r="L222" s="132"/>
      <c r="M222" s="133"/>
      <c r="N222" s="135"/>
      <c r="O222" s="135"/>
      <c r="P222" s="135"/>
      <c r="Q222" s="133"/>
      <c r="R222" s="133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  <c r="AC222" s="134"/>
      <c r="AD222" s="134"/>
      <c r="AE222" s="134"/>
      <c r="AF222" s="134"/>
      <c r="AG222" s="134"/>
      <c r="AH222" s="134"/>
    </row>
    <row r="223">
      <c r="A223" s="143"/>
      <c r="B223" s="144"/>
      <c r="C223" s="129" t="str">
        <f t="array" ref="C223">INDEX('Player Database'!$D:$D,MATCH($D223,'Player Database'!$B:$B,0))</f>
        <v>#N/A</v>
      </c>
      <c r="D223" s="9" t="str">
        <f t="shared" si="1"/>
        <v> - </v>
      </c>
      <c r="E223" s="130" t="str">
        <f t="array" ref="E223">XLOOKUP($D223,'Player Database'!$B$2:$B1009,'Player Database'!$I$2:$I1009)</f>
        <v>#N/A</v>
      </c>
      <c r="F223" s="130" t="str">
        <f t="array" ref="F223">XLOOKUP($D223,'Player Database'!$B$2:$B1009,'Player Database'!$J$2:$J1009)</f>
        <v>#N/A</v>
      </c>
      <c r="G223" s="131" t="str">
        <f t="array" ref="G223">IF(H223="","",IFERROR(
  "https://sealeddeck.tech/" &amp; INDEX('Pool Changes'!F:F,
    MAX(
      ROW('Pool Changes'!A:A) *
      ('Pool Changes'!B:B=D223) *
      ('Pool Changes'!F:F&lt;&gt;"")
    )
  ),
  ""
))</f>
        <v/>
      </c>
      <c r="H223" s="131" t="str">
        <f>IFERROR(__xludf.DUMMYFUNCTION("LET(changes,FILTER('Pool Changes'!$B:$D, 'Pool Changes'!$B:$B = $D223),added,FILTER(INDEX(changes,0,3),INDEX(changes,0,2)=""starting pool""),TRANSPOSE(IFERROR(ARRAYFORMULA(IF(added&lt;&gt;"""",""https://sealeddeck.tech/""&amp;added,"""")),"""")))"),"")</f>
        <v/>
      </c>
      <c r="I223" s="132" t="str">
        <f>IFERROR(__xludf.DUMMYFUNCTION("LET(changes,FILTER('Pool Changes'!$B:$D, 'Pool Changes'!$B:$B = $D223),added,FILTER(INDEX(changes,0,3),INDEX(changes,0,2)=""add pack""),IFERROR(TRANSPOSE(ARRAYFORMULA(IF(added&lt;&gt;"""",HYPERLINK(""https://sealeddeck.tech/""&amp;added,""Link""),""""))),""""))"),"")</f>
        <v/>
      </c>
      <c r="J223" s="132"/>
      <c r="K223" s="132"/>
      <c r="L223" s="132"/>
      <c r="M223" s="133"/>
      <c r="N223" s="135"/>
      <c r="O223" s="135"/>
      <c r="P223" s="135"/>
      <c r="Q223" s="133"/>
      <c r="R223" s="133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34"/>
    </row>
    <row r="224">
      <c r="A224" s="143"/>
      <c r="B224" s="144"/>
      <c r="C224" s="129" t="str">
        <f t="array" ref="C224">INDEX('Player Database'!$D:$D,MATCH($D224,'Player Database'!$B:$B,0))</f>
        <v>#N/A</v>
      </c>
      <c r="D224" s="9" t="str">
        <f t="shared" si="1"/>
        <v> - </v>
      </c>
      <c r="E224" s="130" t="str">
        <f t="array" ref="E224">XLOOKUP($D224,'Player Database'!$B$2:$B1009,'Player Database'!$I$2:$I1009)</f>
        <v>#N/A</v>
      </c>
      <c r="F224" s="130" t="str">
        <f t="array" ref="F224">XLOOKUP($D224,'Player Database'!$B$2:$B1009,'Player Database'!$J$2:$J1009)</f>
        <v>#N/A</v>
      </c>
      <c r="G224" s="131" t="str">
        <f t="array" ref="G224">IF(H224="","",IFERROR(
  "https://sealeddeck.tech/" &amp; INDEX('Pool Changes'!F:F,
    MAX(
      ROW('Pool Changes'!A:A) *
      ('Pool Changes'!B:B=D224) *
      ('Pool Changes'!F:F&lt;&gt;"")
    )
  ),
  ""
))</f>
        <v/>
      </c>
      <c r="H224" s="131" t="str">
        <f>IFERROR(__xludf.DUMMYFUNCTION("LET(changes,FILTER('Pool Changes'!$B:$D, 'Pool Changes'!$B:$B = $D224),added,FILTER(INDEX(changes,0,3),INDEX(changes,0,2)=""starting pool""),TRANSPOSE(IFERROR(ARRAYFORMULA(IF(added&lt;&gt;"""",""https://sealeddeck.tech/""&amp;added,"""")),"""")))"),"")</f>
        <v/>
      </c>
      <c r="I224" s="132" t="str">
        <f>IFERROR(__xludf.DUMMYFUNCTION("LET(changes,FILTER('Pool Changes'!$B:$D, 'Pool Changes'!$B:$B = $D224),added,FILTER(INDEX(changes,0,3),INDEX(changes,0,2)=""add pack""),IFERROR(TRANSPOSE(ARRAYFORMULA(IF(added&lt;&gt;"""",HYPERLINK(""https://sealeddeck.tech/""&amp;added,""Link""),""""))),""""))"),"")</f>
        <v/>
      </c>
      <c r="J224" s="132"/>
      <c r="K224" s="132"/>
      <c r="L224" s="132"/>
      <c r="M224" s="133"/>
      <c r="N224" s="135"/>
      <c r="O224" s="135"/>
      <c r="P224" s="135"/>
      <c r="Q224" s="133"/>
      <c r="R224" s="133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  <c r="AC224" s="134"/>
      <c r="AD224" s="134"/>
      <c r="AE224" s="134"/>
      <c r="AF224" s="134"/>
      <c r="AG224" s="134"/>
      <c r="AH224" s="134"/>
    </row>
    <row r="225">
      <c r="A225" s="143"/>
      <c r="B225" s="144"/>
      <c r="C225" s="129" t="str">
        <f t="array" ref="C225">INDEX('Player Database'!$D:$D,MATCH($D225,'Player Database'!$B:$B,0))</f>
        <v>#N/A</v>
      </c>
      <c r="D225" s="9" t="str">
        <f t="shared" si="1"/>
        <v> - </v>
      </c>
      <c r="E225" s="130" t="str">
        <f t="array" ref="E225">XLOOKUP($D225,'Player Database'!$B$2:$B1009,'Player Database'!$I$2:$I1009)</f>
        <v>#N/A</v>
      </c>
      <c r="F225" s="130" t="str">
        <f t="array" ref="F225">XLOOKUP($D225,'Player Database'!$B$2:$B1009,'Player Database'!$J$2:$J1009)</f>
        <v>#N/A</v>
      </c>
      <c r="G225" s="131" t="str">
        <f t="array" ref="G225">IF(H225="","",IFERROR(
  "https://sealeddeck.tech/" &amp; INDEX('Pool Changes'!F:F,
    MAX(
      ROW('Pool Changes'!A:A) *
      ('Pool Changes'!B:B=D225) *
      ('Pool Changes'!F:F&lt;&gt;"")
    )
  ),
  ""
))</f>
        <v/>
      </c>
      <c r="H225" s="131" t="str">
        <f>IFERROR(__xludf.DUMMYFUNCTION("LET(changes,FILTER('Pool Changes'!$B:$D, 'Pool Changes'!$B:$B = $D225),added,FILTER(INDEX(changes,0,3),INDEX(changes,0,2)=""starting pool""),TRANSPOSE(IFERROR(ARRAYFORMULA(IF(added&lt;&gt;"""",""https://sealeddeck.tech/""&amp;added,"""")),"""")))"),"")</f>
        <v/>
      </c>
      <c r="I225" s="132" t="str">
        <f>IFERROR(__xludf.DUMMYFUNCTION("LET(changes,FILTER('Pool Changes'!$B:$D, 'Pool Changes'!$B:$B = $D225),added,FILTER(INDEX(changes,0,3),INDEX(changes,0,2)=""add pack""),IFERROR(TRANSPOSE(ARRAYFORMULA(IF(added&lt;&gt;"""",HYPERLINK(""https://sealeddeck.tech/""&amp;added,""Link""),""""))),""""))"),"")</f>
        <v/>
      </c>
      <c r="J225" s="132"/>
      <c r="K225" s="132"/>
      <c r="L225" s="132"/>
      <c r="M225" s="133"/>
      <c r="N225" s="135"/>
      <c r="O225" s="135"/>
      <c r="P225" s="135"/>
      <c r="Q225" s="133"/>
      <c r="R225" s="133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  <c r="AC225" s="134"/>
      <c r="AD225" s="134"/>
      <c r="AE225" s="134"/>
      <c r="AF225" s="134"/>
      <c r="AG225" s="134"/>
      <c r="AH225" s="134"/>
    </row>
    <row r="226">
      <c r="A226" s="143"/>
      <c r="B226" s="144"/>
      <c r="C226" s="129" t="str">
        <f t="array" ref="C226">INDEX('Player Database'!$D:$D,MATCH($D226,'Player Database'!$B:$B,0))</f>
        <v>#N/A</v>
      </c>
      <c r="D226" s="9" t="str">
        <f t="shared" si="1"/>
        <v> - </v>
      </c>
      <c r="E226" s="130" t="str">
        <f t="array" ref="E226">XLOOKUP($D226,'Player Database'!$B$2:$B1009,'Player Database'!$I$2:$I1009)</f>
        <v>#N/A</v>
      </c>
      <c r="F226" s="130" t="str">
        <f t="array" ref="F226">XLOOKUP($D226,'Player Database'!$B$2:$B1009,'Player Database'!$J$2:$J1009)</f>
        <v>#N/A</v>
      </c>
      <c r="G226" s="131" t="str">
        <f t="array" ref="G226">IF(H226="","",IFERROR(
  "https://sealeddeck.tech/" &amp; INDEX('Pool Changes'!F:F,
    MAX(
      ROW('Pool Changes'!A:A) *
      ('Pool Changes'!B:B=D226) *
      ('Pool Changes'!F:F&lt;&gt;"")
    )
  ),
  ""
))</f>
        <v/>
      </c>
      <c r="H226" s="131" t="str">
        <f>IFERROR(__xludf.DUMMYFUNCTION("LET(changes,FILTER('Pool Changes'!$B:$D, 'Pool Changes'!$B:$B = $D226),added,FILTER(INDEX(changes,0,3),INDEX(changes,0,2)=""starting pool""),TRANSPOSE(IFERROR(ARRAYFORMULA(IF(added&lt;&gt;"""",""https://sealeddeck.tech/""&amp;added,"""")),"""")))"),"")</f>
        <v/>
      </c>
      <c r="I226" s="132" t="str">
        <f>IFERROR(__xludf.DUMMYFUNCTION("LET(changes,FILTER('Pool Changes'!$B:$D, 'Pool Changes'!$B:$B = $D226),added,FILTER(INDEX(changes,0,3),INDEX(changes,0,2)=""add pack""),IFERROR(TRANSPOSE(ARRAYFORMULA(IF(added&lt;&gt;"""",HYPERLINK(""https://sealeddeck.tech/""&amp;added,""Link""),""""))),""""))"),"")</f>
        <v/>
      </c>
      <c r="J226" s="132"/>
      <c r="K226" s="132"/>
      <c r="L226" s="132"/>
      <c r="M226" s="133"/>
      <c r="N226" s="135"/>
      <c r="O226" s="135"/>
      <c r="P226" s="135"/>
      <c r="Q226" s="133"/>
      <c r="R226" s="133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4"/>
    </row>
    <row r="227">
      <c r="A227" s="143"/>
      <c r="B227" s="144"/>
      <c r="C227" s="129" t="str">
        <f t="array" ref="C227">INDEX('Player Database'!$D:$D,MATCH($D227,'Player Database'!$B:$B,0))</f>
        <v>#N/A</v>
      </c>
      <c r="D227" s="9" t="str">
        <f t="shared" si="1"/>
        <v> - </v>
      </c>
      <c r="E227" s="130" t="str">
        <f t="array" ref="E227">XLOOKUP($D227,'Player Database'!$B$2:$B1009,'Player Database'!$I$2:$I1009)</f>
        <v>#N/A</v>
      </c>
      <c r="F227" s="130" t="str">
        <f t="array" ref="F227">XLOOKUP($D227,'Player Database'!$B$2:$B1009,'Player Database'!$J$2:$J1009)</f>
        <v>#N/A</v>
      </c>
      <c r="G227" s="131" t="str">
        <f t="array" ref="G227">IF(H227="","",IFERROR(
  "https://sealeddeck.tech/" &amp; INDEX('Pool Changes'!F:F,
    MAX(
      ROW('Pool Changes'!A:A) *
      ('Pool Changes'!B:B=D227) *
      ('Pool Changes'!F:F&lt;&gt;"")
    )
  ),
  ""
))</f>
        <v/>
      </c>
      <c r="H227" s="131" t="str">
        <f>IFERROR(__xludf.DUMMYFUNCTION("LET(changes,FILTER('Pool Changes'!$B:$D, 'Pool Changes'!$B:$B = $D227),added,FILTER(INDEX(changes,0,3),INDEX(changes,0,2)=""starting pool""),TRANSPOSE(IFERROR(ARRAYFORMULA(IF(added&lt;&gt;"""",""https://sealeddeck.tech/""&amp;added,"""")),"""")))"),"")</f>
        <v/>
      </c>
      <c r="I227" s="132" t="str">
        <f>IFERROR(__xludf.DUMMYFUNCTION("LET(changes,FILTER('Pool Changes'!$B:$D, 'Pool Changes'!$B:$B = $D227),added,FILTER(INDEX(changes,0,3),INDEX(changes,0,2)=""add pack""),IFERROR(TRANSPOSE(ARRAYFORMULA(IF(added&lt;&gt;"""",HYPERLINK(""https://sealeddeck.tech/""&amp;added,""Link""),""""))),""""))"),"")</f>
        <v/>
      </c>
      <c r="J227" s="132"/>
      <c r="K227" s="132"/>
      <c r="L227" s="132"/>
      <c r="M227" s="133"/>
      <c r="N227" s="135"/>
      <c r="O227" s="135"/>
      <c r="P227" s="135"/>
      <c r="Q227" s="133"/>
      <c r="R227" s="133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</row>
    <row r="228">
      <c r="A228" s="143"/>
      <c r="B228" s="144"/>
      <c r="C228" s="129" t="str">
        <f t="array" ref="C228">INDEX('Player Database'!$D:$D,MATCH($D228,'Player Database'!$B:$B,0))</f>
        <v>#N/A</v>
      </c>
      <c r="D228" s="9" t="str">
        <f t="shared" si="1"/>
        <v> - </v>
      </c>
      <c r="E228" s="130" t="str">
        <f t="array" ref="E228">XLOOKUP($D228,'Player Database'!$B$2:$B1009,'Player Database'!$I$2:$I1009)</f>
        <v>#N/A</v>
      </c>
      <c r="F228" s="130" t="str">
        <f t="array" ref="F228">XLOOKUP($D228,'Player Database'!$B$2:$B1009,'Player Database'!$J$2:$J1009)</f>
        <v>#N/A</v>
      </c>
      <c r="G228" s="131" t="str">
        <f t="array" ref="G228">IF(H228="","",IFERROR(
  "https://sealeddeck.tech/" &amp; INDEX('Pool Changes'!F:F,
    MAX(
      ROW('Pool Changes'!A:A) *
      ('Pool Changes'!B:B=D228) *
      ('Pool Changes'!F:F&lt;&gt;"")
    )
  ),
  ""
))</f>
        <v/>
      </c>
      <c r="H228" s="131" t="str">
        <f>IFERROR(__xludf.DUMMYFUNCTION("LET(changes,FILTER('Pool Changes'!$B:$D, 'Pool Changes'!$B:$B = $D228),added,FILTER(INDEX(changes,0,3),INDEX(changes,0,2)=""starting pool""),TRANSPOSE(IFERROR(ARRAYFORMULA(IF(added&lt;&gt;"""",""https://sealeddeck.tech/""&amp;added,"""")),"""")))"),"")</f>
        <v/>
      </c>
      <c r="I228" s="132" t="str">
        <f>IFERROR(__xludf.DUMMYFUNCTION("LET(changes,FILTER('Pool Changes'!$B:$D, 'Pool Changes'!$B:$B = $D228),added,FILTER(INDEX(changes,0,3),INDEX(changes,0,2)=""add pack""),IFERROR(TRANSPOSE(ARRAYFORMULA(IF(added&lt;&gt;"""",HYPERLINK(""https://sealeddeck.tech/""&amp;added,""Link""),""""))),""""))"),"")</f>
        <v/>
      </c>
      <c r="J228" s="132"/>
      <c r="K228" s="132"/>
      <c r="L228" s="132"/>
      <c r="M228" s="133"/>
      <c r="N228" s="135"/>
      <c r="O228" s="135"/>
      <c r="P228" s="135"/>
      <c r="Q228" s="133"/>
      <c r="R228" s="133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4"/>
      <c r="AG228" s="134"/>
      <c r="AH228" s="134"/>
    </row>
    <row r="229">
      <c r="A229" s="143"/>
      <c r="B229" s="144"/>
      <c r="C229" s="129" t="str">
        <f t="array" ref="C229">INDEX('Player Database'!$D:$D,MATCH($D229,'Player Database'!$B:$B,0))</f>
        <v>#N/A</v>
      </c>
      <c r="D229" s="9" t="str">
        <f t="shared" si="1"/>
        <v> - </v>
      </c>
      <c r="E229" s="130" t="str">
        <f t="array" ref="E229">XLOOKUP($D229,'Player Database'!$B$2:$B1009,'Player Database'!$I$2:$I1009)</f>
        <v>#N/A</v>
      </c>
      <c r="F229" s="130" t="str">
        <f t="array" ref="F229">XLOOKUP($D229,'Player Database'!$B$2:$B1009,'Player Database'!$J$2:$J1009)</f>
        <v>#N/A</v>
      </c>
      <c r="G229" s="131" t="str">
        <f t="array" ref="G229">IF(H229="","",IFERROR(
  "https://sealeddeck.tech/" &amp; INDEX('Pool Changes'!F:F,
    MAX(
      ROW('Pool Changes'!A:A) *
      ('Pool Changes'!B:B=D229) *
      ('Pool Changes'!F:F&lt;&gt;"")
    )
  ),
  ""
))</f>
        <v/>
      </c>
      <c r="H229" s="131" t="str">
        <f>IFERROR(__xludf.DUMMYFUNCTION("LET(changes,FILTER('Pool Changes'!$B:$D, 'Pool Changes'!$B:$B = $D229),added,FILTER(INDEX(changes,0,3),INDEX(changes,0,2)=""starting pool""),TRANSPOSE(IFERROR(ARRAYFORMULA(IF(added&lt;&gt;"""",""https://sealeddeck.tech/""&amp;added,"""")),"""")))"),"")</f>
        <v/>
      </c>
      <c r="I229" s="132" t="str">
        <f>IFERROR(__xludf.DUMMYFUNCTION("LET(changes,FILTER('Pool Changes'!$B:$D, 'Pool Changes'!$B:$B = $D229),added,FILTER(INDEX(changes,0,3),INDEX(changes,0,2)=""add pack""),IFERROR(TRANSPOSE(ARRAYFORMULA(IF(added&lt;&gt;"""",HYPERLINK(""https://sealeddeck.tech/""&amp;added,""Link""),""""))),""""))"),"")</f>
        <v/>
      </c>
      <c r="J229" s="132"/>
      <c r="K229" s="132"/>
      <c r="L229" s="132"/>
      <c r="M229" s="133"/>
      <c r="N229" s="135"/>
      <c r="O229" s="135"/>
      <c r="P229" s="135"/>
      <c r="Q229" s="133"/>
      <c r="R229" s="133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</row>
    <row r="230">
      <c r="A230" s="143"/>
      <c r="B230" s="144"/>
      <c r="C230" s="129" t="str">
        <f t="array" ref="C230">INDEX('Player Database'!$D:$D,MATCH($D230,'Player Database'!$B:$B,0))</f>
        <v>#N/A</v>
      </c>
      <c r="D230" s="9" t="str">
        <f t="shared" si="1"/>
        <v> - </v>
      </c>
      <c r="E230" s="130" t="str">
        <f t="array" ref="E230">XLOOKUP($D230,'Player Database'!$B$2:$B1009,'Player Database'!$I$2:$I1009)</f>
        <v>#N/A</v>
      </c>
      <c r="F230" s="130" t="str">
        <f t="array" ref="F230">XLOOKUP($D230,'Player Database'!$B$2:$B1009,'Player Database'!$J$2:$J1009)</f>
        <v>#N/A</v>
      </c>
      <c r="G230" s="131" t="str">
        <f t="array" ref="G230">IF(H230="","",IFERROR(
  "https://sealeddeck.tech/" &amp; INDEX('Pool Changes'!F:F,
    MAX(
      ROW('Pool Changes'!A:A) *
      ('Pool Changes'!B:B=D230) *
      ('Pool Changes'!F:F&lt;&gt;"")
    )
  ),
  ""
))</f>
        <v/>
      </c>
      <c r="H230" s="131" t="str">
        <f>IFERROR(__xludf.DUMMYFUNCTION("LET(changes,FILTER('Pool Changes'!$B:$D, 'Pool Changes'!$B:$B = $D230),added,FILTER(INDEX(changes,0,3),INDEX(changes,0,2)=""starting pool""),TRANSPOSE(IFERROR(ARRAYFORMULA(IF(added&lt;&gt;"""",""https://sealeddeck.tech/""&amp;added,"""")),"""")))"),"")</f>
        <v/>
      </c>
      <c r="I230" s="132" t="str">
        <f>IFERROR(__xludf.DUMMYFUNCTION("LET(changes,FILTER('Pool Changes'!$B:$D, 'Pool Changes'!$B:$B = $D230),added,FILTER(INDEX(changes,0,3),INDEX(changes,0,2)=""add pack""),IFERROR(TRANSPOSE(ARRAYFORMULA(IF(added&lt;&gt;"""",HYPERLINK(""https://sealeddeck.tech/""&amp;added,""Link""),""""))),""""))"),"")</f>
        <v/>
      </c>
      <c r="J230" s="132"/>
      <c r="K230" s="132"/>
      <c r="L230" s="132"/>
      <c r="M230" s="133"/>
      <c r="N230" s="135"/>
      <c r="O230" s="135"/>
      <c r="P230" s="135"/>
      <c r="Q230" s="133"/>
      <c r="R230" s="133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  <c r="AE230" s="134"/>
      <c r="AF230" s="134"/>
      <c r="AG230" s="134"/>
      <c r="AH230" s="134"/>
    </row>
    <row r="231">
      <c r="A231" s="143"/>
      <c r="B231" s="144"/>
      <c r="C231" s="129" t="str">
        <f t="array" ref="C231">INDEX('Player Database'!$D:$D,MATCH($D231,'Player Database'!$B:$B,0))</f>
        <v>#N/A</v>
      </c>
      <c r="D231" s="9" t="str">
        <f t="shared" si="1"/>
        <v> - </v>
      </c>
      <c r="E231" s="130" t="str">
        <f t="array" ref="E231">XLOOKUP($D231,'Player Database'!$B$2:$B1009,'Player Database'!$I$2:$I1009)</f>
        <v>#N/A</v>
      </c>
      <c r="F231" s="130" t="str">
        <f t="array" ref="F231">XLOOKUP($D231,'Player Database'!$B$2:$B1009,'Player Database'!$J$2:$J1009)</f>
        <v>#N/A</v>
      </c>
      <c r="G231" s="131" t="str">
        <f t="array" ref="G231">IF(H231="","",IFERROR(
  "https://sealeddeck.tech/" &amp; INDEX('Pool Changes'!F:F,
    MAX(
      ROW('Pool Changes'!A:A) *
      ('Pool Changes'!B:B=D231) *
      ('Pool Changes'!F:F&lt;&gt;"")
    )
  ),
  ""
))</f>
        <v/>
      </c>
      <c r="H231" s="131" t="str">
        <f>IFERROR(__xludf.DUMMYFUNCTION("LET(changes,FILTER('Pool Changes'!$B:$D, 'Pool Changes'!$B:$B = $D231),added,FILTER(INDEX(changes,0,3),INDEX(changes,0,2)=""starting pool""),TRANSPOSE(IFERROR(ARRAYFORMULA(IF(added&lt;&gt;"""",""https://sealeddeck.tech/""&amp;added,"""")),"""")))"),"")</f>
        <v/>
      </c>
      <c r="I231" s="132" t="str">
        <f>IFERROR(__xludf.DUMMYFUNCTION("LET(changes,FILTER('Pool Changes'!$B:$D, 'Pool Changes'!$B:$B = $D231),added,FILTER(INDEX(changes,0,3),INDEX(changes,0,2)=""add pack""),IFERROR(TRANSPOSE(ARRAYFORMULA(IF(added&lt;&gt;"""",HYPERLINK(""https://sealeddeck.tech/""&amp;added,""Link""),""""))),""""))"),"")</f>
        <v/>
      </c>
      <c r="J231" s="132"/>
      <c r="K231" s="132"/>
      <c r="L231" s="132"/>
      <c r="M231" s="133"/>
      <c r="N231" s="135"/>
      <c r="O231" s="135"/>
      <c r="P231" s="135"/>
      <c r="Q231" s="133"/>
      <c r="R231" s="133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</row>
    <row r="232">
      <c r="A232" s="143"/>
      <c r="B232" s="144"/>
      <c r="C232" s="129" t="str">
        <f t="array" ref="C232">INDEX('Player Database'!$D:$D,MATCH($D232,'Player Database'!$B:$B,0))</f>
        <v>#N/A</v>
      </c>
      <c r="D232" s="9" t="str">
        <f t="shared" si="1"/>
        <v> - </v>
      </c>
      <c r="E232" s="130" t="str">
        <f t="array" ref="E232">XLOOKUP($D232,'Player Database'!$B$2:$B1009,'Player Database'!$I$2:$I1009)</f>
        <v>#N/A</v>
      </c>
      <c r="F232" s="130" t="str">
        <f t="array" ref="F232">XLOOKUP($D232,'Player Database'!$B$2:$B1009,'Player Database'!$J$2:$J1009)</f>
        <v>#N/A</v>
      </c>
      <c r="G232" s="131" t="str">
        <f t="array" ref="G232">IF(H232="","",IFERROR(
  "https://sealeddeck.tech/" &amp; INDEX('Pool Changes'!F:F,
    MAX(
      ROW('Pool Changes'!A:A) *
      ('Pool Changes'!B:B=D232) *
      ('Pool Changes'!F:F&lt;&gt;"")
    )
  ),
  ""
))</f>
        <v/>
      </c>
      <c r="H232" s="131" t="str">
        <f>IFERROR(__xludf.DUMMYFUNCTION("LET(changes,FILTER('Pool Changes'!$B:$D, 'Pool Changes'!$B:$B = $D232),added,FILTER(INDEX(changes,0,3),INDEX(changes,0,2)=""starting pool""),TRANSPOSE(IFERROR(ARRAYFORMULA(IF(added&lt;&gt;"""",""https://sealeddeck.tech/""&amp;added,"""")),"""")))"),"")</f>
        <v/>
      </c>
      <c r="I232" s="132" t="str">
        <f>IFERROR(__xludf.DUMMYFUNCTION("LET(changes,FILTER('Pool Changes'!$B:$D, 'Pool Changes'!$B:$B = $D232),added,FILTER(INDEX(changes,0,3),INDEX(changes,0,2)=""add pack""),IFERROR(TRANSPOSE(ARRAYFORMULA(IF(added&lt;&gt;"""",HYPERLINK(""https://sealeddeck.tech/""&amp;added,""Link""),""""))),""""))"),"")</f>
        <v/>
      </c>
      <c r="J232" s="132"/>
      <c r="K232" s="132"/>
      <c r="L232" s="132"/>
      <c r="M232" s="133"/>
      <c r="N232" s="135"/>
      <c r="O232" s="135"/>
      <c r="P232" s="135"/>
      <c r="Q232" s="133"/>
      <c r="R232" s="133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4"/>
      <c r="AH232" s="134"/>
    </row>
    <row r="233">
      <c r="A233" s="143"/>
      <c r="B233" s="144"/>
      <c r="C233" s="129" t="str">
        <f t="array" ref="C233">INDEX('Player Database'!$D:$D,MATCH($D233,'Player Database'!$B:$B,0))</f>
        <v>#N/A</v>
      </c>
      <c r="D233" s="9" t="str">
        <f t="shared" si="1"/>
        <v> - </v>
      </c>
      <c r="E233" s="130" t="str">
        <f t="array" ref="E233">XLOOKUP($D233,'Player Database'!$B$2:$B1009,'Player Database'!$I$2:$I1009)</f>
        <v>#N/A</v>
      </c>
      <c r="F233" s="130" t="str">
        <f t="array" ref="F233">XLOOKUP($D233,'Player Database'!$B$2:$B1009,'Player Database'!$J$2:$J1009)</f>
        <v>#N/A</v>
      </c>
      <c r="G233" s="131" t="str">
        <f t="array" ref="G233">IF(H233="","",IFERROR(
  "https://sealeddeck.tech/" &amp; INDEX('Pool Changes'!F:F,
    MAX(
      ROW('Pool Changes'!A:A) *
      ('Pool Changes'!B:B=D233) *
      ('Pool Changes'!F:F&lt;&gt;"")
    )
  ),
  ""
))</f>
        <v/>
      </c>
      <c r="H233" s="131" t="str">
        <f>IFERROR(__xludf.DUMMYFUNCTION("LET(changes,FILTER('Pool Changes'!$B:$D, 'Pool Changes'!$B:$B = $D233),added,FILTER(INDEX(changes,0,3),INDEX(changes,0,2)=""starting pool""),TRANSPOSE(IFERROR(ARRAYFORMULA(IF(added&lt;&gt;"""",""https://sealeddeck.tech/""&amp;added,"""")),"""")))"),"")</f>
        <v/>
      </c>
      <c r="I233" s="132" t="str">
        <f>IFERROR(__xludf.DUMMYFUNCTION("LET(changes,FILTER('Pool Changes'!$B:$D, 'Pool Changes'!$B:$B = $D233),added,FILTER(INDEX(changes,0,3),INDEX(changes,0,2)=""add pack""),IFERROR(TRANSPOSE(ARRAYFORMULA(IF(added&lt;&gt;"""",HYPERLINK(""https://sealeddeck.tech/""&amp;added,""Link""),""""))),""""))"),"")</f>
        <v/>
      </c>
      <c r="J233" s="132"/>
      <c r="K233" s="132"/>
      <c r="L233" s="132"/>
      <c r="M233" s="133"/>
      <c r="N233" s="135"/>
      <c r="O233" s="135"/>
      <c r="P233" s="135"/>
      <c r="Q233" s="133"/>
      <c r="R233" s="133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4"/>
      <c r="AH233" s="134"/>
    </row>
    <row r="234">
      <c r="A234" s="143"/>
      <c r="B234" s="144"/>
      <c r="C234" s="129" t="str">
        <f t="array" ref="C234">INDEX('Player Database'!$D:$D,MATCH($D234,'Player Database'!$B:$B,0))</f>
        <v>#N/A</v>
      </c>
      <c r="D234" s="9" t="str">
        <f t="shared" si="1"/>
        <v> - </v>
      </c>
      <c r="E234" s="130" t="str">
        <f t="array" ref="E234">XLOOKUP($D234,'Player Database'!$B$2:$B1009,'Player Database'!$I$2:$I1009)</f>
        <v>#N/A</v>
      </c>
      <c r="F234" s="130" t="str">
        <f t="array" ref="F234">XLOOKUP($D234,'Player Database'!$B$2:$B1009,'Player Database'!$J$2:$J1009)</f>
        <v>#N/A</v>
      </c>
      <c r="G234" s="131" t="str">
        <f t="array" ref="G234">IF(H234="","",IFERROR(
  "https://sealeddeck.tech/" &amp; INDEX('Pool Changes'!F:F,
    MAX(
      ROW('Pool Changes'!A:A) *
      ('Pool Changes'!B:B=D234) *
      ('Pool Changes'!F:F&lt;&gt;"")
    )
  ),
  ""
))</f>
        <v/>
      </c>
      <c r="H234" s="131" t="str">
        <f>IFERROR(__xludf.DUMMYFUNCTION("LET(changes,FILTER('Pool Changes'!$B:$D, 'Pool Changes'!$B:$B = $D234),added,FILTER(INDEX(changes,0,3),INDEX(changes,0,2)=""starting pool""),TRANSPOSE(IFERROR(ARRAYFORMULA(IF(added&lt;&gt;"""",""https://sealeddeck.tech/""&amp;added,"""")),"""")))"),"")</f>
        <v/>
      </c>
      <c r="I234" s="132" t="str">
        <f>IFERROR(__xludf.DUMMYFUNCTION("LET(changes,FILTER('Pool Changes'!$B:$D, 'Pool Changes'!$B:$B = $D234),added,FILTER(INDEX(changes,0,3),INDEX(changes,0,2)=""add pack""),IFERROR(TRANSPOSE(ARRAYFORMULA(IF(added&lt;&gt;"""",HYPERLINK(""https://sealeddeck.tech/""&amp;added,""Link""),""""))),""""))"),"")</f>
        <v/>
      </c>
      <c r="J234" s="132"/>
      <c r="K234" s="132"/>
      <c r="L234" s="132"/>
      <c r="M234" s="133"/>
      <c r="N234" s="135"/>
      <c r="O234" s="135"/>
      <c r="P234" s="135"/>
      <c r="Q234" s="133"/>
      <c r="R234" s="133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4"/>
    </row>
    <row r="235">
      <c r="A235" s="143"/>
      <c r="B235" s="144"/>
      <c r="C235" s="129" t="str">
        <f t="array" ref="C235">INDEX('Player Database'!$D:$D,MATCH($D235,'Player Database'!$B:$B,0))</f>
        <v>#N/A</v>
      </c>
      <c r="D235" s="9" t="str">
        <f t="shared" si="1"/>
        <v> - </v>
      </c>
      <c r="E235" s="130" t="str">
        <f t="array" ref="E235">XLOOKUP($D235,'Player Database'!$B$2:$B1009,'Player Database'!$I$2:$I1009)</f>
        <v>#N/A</v>
      </c>
      <c r="F235" s="130" t="str">
        <f t="array" ref="F235">XLOOKUP($D235,'Player Database'!$B$2:$B1009,'Player Database'!$J$2:$J1009)</f>
        <v>#N/A</v>
      </c>
      <c r="G235" s="131" t="str">
        <f t="array" ref="G235">IF(H235="","",IFERROR(
  "https://sealeddeck.tech/" &amp; INDEX('Pool Changes'!F:F,
    MAX(
      ROW('Pool Changes'!A:A) *
      ('Pool Changes'!B:B=D235) *
      ('Pool Changes'!F:F&lt;&gt;"")
    )
  ),
  ""
))</f>
        <v/>
      </c>
      <c r="H235" s="131" t="str">
        <f>IFERROR(__xludf.DUMMYFUNCTION("LET(changes,FILTER('Pool Changes'!$B:$D, 'Pool Changes'!$B:$B = $D235),added,FILTER(INDEX(changes,0,3),INDEX(changes,0,2)=""starting pool""),TRANSPOSE(IFERROR(ARRAYFORMULA(IF(added&lt;&gt;"""",""https://sealeddeck.tech/""&amp;added,"""")),"""")))"),"")</f>
        <v/>
      </c>
      <c r="I235" s="132" t="str">
        <f>IFERROR(__xludf.DUMMYFUNCTION("LET(changes,FILTER('Pool Changes'!$B:$D, 'Pool Changes'!$B:$B = $D235),added,FILTER(INDEX(changes,0,3),INDEX(changes,0,2)=""add pack""),IFERROR(TRANSPOSE(ARRAYFORMULA(IF(added&lt;&gt;"""",HYPERLINK(""https://sealeddeck.tech/""&amp;added,""Link""),""""))),""""))"),"")</f>
        <v/>
      </c>
      <c r="J235" s="132"/>
      <c r="K235" s="132"/>
      <c r="L235" s="132"/>
      <c r="M235" s="133"/>
      <c r="N235" s="135"/>
      <c r="O235" s="135"/>
      <c r="P235" s="135"/>
      <c r="Q235" s="133"/>
      <c r="R235" s="133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4"/>
      <c r="AH235" s="134"/>
    </row>
    <row r="236">
      <c r="A236" s="143"/>
      <c r="B236" s="144"/>
      <c r="C236" s="129" t="str">
        <f t="array" ref="C236">INDEX('Player Database'!$D:$D,MATCH($D236,'Player Database'!$B:$B,0))</f>
        <v>#N/A</v>
      </c>
      <c r="D236" s="9" t="str">
        <f t="shared" si="1"/>
        <v> - </v>
      </c>
      <c r="E236" s="130" t="str">
        <f t="array" ref="E236">XLOOKUP($D236,'Player Database'!$B$2:$B1009,'Player Database'!$I$2:$I1009)</f>
        <v>#N/A</v>
      </c>
      <c r="F236" s="130" t="str">
        <f t="array" ref="F236">XLOOKUP($D236,'Player Database'!$B$2:$B1009,'Player Database'!$J$2:$J1009)</f>
        <v>#N/A</v>
      </c>
      <c r="G236" s="131" t="str">
        <f t="array" ref="G236">IF(H236="","",IFERROR(
  "https://sealeddeck.tech/" &amp; INDEX('Pool Changes'!F:F,
    MAX(
      ROW('Pool Changes'!A:A) *
      ('Pool Changes'!B:B=D236) *
      ('Pool Changes'!F:F&lt;&gt;"")
    )
  ),
  ""
))</f>
        <v/>
      </c>
      <c r="H236" s="131" t="str">
        <f>IFERROR(__xludf.DUMMYFUNCTION("LET(changes,FILTER('Pool Changes'!$B:$D, 'Pool Changes'!$B:$B = $D236),added,FILTER(INDEX(changes,0,3),INDEX(changes,0,2)=""starting pool""),TRANSPOSE(IFERROR(ARRAYFORMULA(IF(added&lt;&gt;"""",""https://sealeddeck.tech/""&amp;added,"""")),"""")))"),"")</f>
        <v/>
      </c>
      <c r="I236" s="132" t="str">
        <f>IFERROR(__xludf.DUMMYFUNCTION("LET(changes,FILTER('Pool Changes'!$B:$D, 'Pool Changes'!$B:$B = $D236),added,FILTER(INDEX(changes,0,3),INDEX(changes,0,2)=""add pack""),IFERROR(TRANSPOSE(ARRAYFORMULA(IF(added&lt;&gt;"""",HYPERLINK(""https://sealeddeck.tech/""&amp;added,""Link""),""""))),""""))"),"")</f>
        <v/>
      </c>
      <c r="J236" s="132"/>
      <c r="K236" s="132"/>
      <c r="L236" s="132"/>
      <c r="M236" s="133"/>
      <c r="N236" s="135"/>
      <c r="O236" s="135"/>
      <c r="P236" s="135"/>
      <c r="Q236" s="133"/>
      <c r="R236" s="133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</row>
    <row r="237">
      <c r="A237" s="143"/>
      <c r="B237" s="144"/>
      <c r="C237" s="129" t="str">
        <f t="array" ref="C237">INDEX('Player Database'!$D:$D,MATCH($D237,'Player Database'!$B:$B,0))</f>
        <v>#N/A</v>
      </c>
      <c r="D237" s="9" t="str">
        <f t="shared" si="1"/>
        <v> - </v>
      </c>
      <c r="E237" s="130" t="str">
        <f t="array" ref="E237">XLOOKUP($D237,'Player Database'!$B$2:$B1009,'Player Database'!$I$2:$I1009)</f>
        <v>#N/A</v>
      </c>
      <c r="F237" s="130" t="str">
        <f t="array" ref="F237">XLOOKUP($D237,'Player Database'!$B$2:$B1009,'Player Database'!$J$2:$J1009)</f>
        <v>#N/A</v>
      </c>
      <c r="G237" s="131" t="str">
        <f t="array" ref="G237">IF(H237="","",IFERROR(
  "https://sealeddeck.tech/" &amp; INDEX('Pool Changes'!F:F,
    MAX(
      ROW('Pool Changes'!A:A) *
      ('Pool Changes'!B:B=D237) *
      ('Pool Changes'!F:F&lt;&gt;"")
    )
  ),
  ""
))</f>
        <v/>
      </c>
      <c r="H237" s="131" t="str">
        <f>IFERROR(__xludf.DUMMYFUNCTION("LET(changes,FILTER('Pool Changes'!$B:$D, 'Pool Changes'!$B:$B = $D237),added,FILTER(INDEX(changes,0,3),INDEX(changes,0,2)=""starting pool""),TRANSPOSE(IFERROR(ARRAYFORMULA(IF(added&lt;&gt;"""",""https://sealeddeck.tech/""&amp;added,"""")),"""")))"),"")</f>
        <v/>
      </c>
      <c r="I237" s="132" t="str">
        <f>IFERROR(__xludf.DUMMYFUNCTION("LET(changes,FILTER('Pool Changes'!$B:$D, 'Pool Changes'!$B:$B = $D237),added,FILTER(INDEX(changes,0,3),INDEX(changes,0,2)=""add pack""),IFERROR(TRANSPOSE(ARRAYFORMULA(IF(added&lt;&gt;"""",HYPERLINK(""https://sealeddeck.tech/""&amp;added,""Link""),""""))),""""))"),"")</f>
        <v/>
      </c>
      <c r="J237" s="132"/>
      <c r="K237" s="132"/>
      <c r="L237" s="132"/>
      <c r="M237" s="133"/>
      <c r="N237" s="135"/>
      <c r="O237" s="135"/>
      <c r="P237" s="135"/>
      <c r="Q237" s="133"/>
      <c r="R237" s="133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</row>
    <row r="238">
      <c r="A238" s="143"/>
      <c r="B238" s="144"/>
      <c r="C238" s="129" t="str">
        <f t="array" ref="C238">INDEX('Player Database'!$D:$D,MATCH($D238,'Player Database'!$B:$B,0))</f>
        <v>#N/A</v>
      </c>
      <c r="D238" s="9" t="str">
        <f t="shared" si="1"/>
        <v> - </v>
      </c>
      <c r="E238" s="130" t="str">
        <f t="array" ref="E238">XLOOKUP($D238,'Player Database'!$B$2:$B1009,'Player Database'!$I$2:$I1009)</f>
        <v>#N/A</v>
      </c>
      <c r="F238" s="130" t="str">
        <f t="array" ref="F238">XLOOKUP($D238,'Player Database'!$B$2:$B1009,'Player Database'!$J$2:$J1009)</f>
        <v>#N/A</v>
      </c>
      <c r="G238" s="131" t="str">
        <f t="array" ref="G238">IF(H238="","",IFERROR(
  "https://sealeddeck.tech/" &amp; INDEX('Pool Changes'!F:F,
    MAX(
      ROW('Pool Changes'!A:A) *
      ('Pool Changes'!B:B=D238) *
      ('Pool Changes'!F:F&lt;&gt;"")
    )
  ),
  ""
))</f>
        <v/>
      </c>
      <c r="H238" s="131" t="str">
        <f>IFERROR(__xludf.DUMMYFUNCTION("LET(changes,FILTER('Pool Changes'!$B:$D, 'Pool Changes'!$B:$B = $D238),added,FILTER(INDEX(changes,0,3),INDEX(changes,0,2)=""starting pool""),TRANSPOSE(IFERROR(ARRAYFORMULA(IF(added&lt;&gt;"""",""https://sealeddeck.tech/""&amp;added,"""")),"""")))"),"")</f>
        <v/>
      </c>
      <c r="I238" s="132" t="str">
        <f>IFERROR(__xludf.DUMMYFUNCTION("LET(changes,FILTER('Pool Changes'!$B:$D, 'Pool Changes'!$B:$B = $D238),added,FILTER(INDEX(changes,0,3),INDEX(changes,0,2)=""add pack""),IFERROR(TRANSPOSE(ARRAYFORMULA(IF(added&lt;&gt;"""",HYPERLINK(""https://sealeddeck.tech/""&amp;added,""Link""),""""))),""""))"),"")</f>
        <v/>
      </c>
      <c r="J238" s="132"/>
      <c r="K238" s="132"/>
      <c r="L238" s="132"/>
      <c r="M238" s="133"/>
      <c r="N238" s="135"/>
      <c r="O238" s="135"/>
      <c r="P238" s="135"/>
      <c r="Q238" s="133"/>
      <c r="R238" s="133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4"/>
    </row>
    <row r="239">
      <c r="A239" s="143"/>
      <c r="B239" s="144"/>
      <c r="C239" s="129" t="str">
        <f t="array" ref="C239">INDEX('Player Database'!$D:$D,MATCH($D239,'Player Database'!$B:$B,0))</f>
        <v>#N/A</v>
      </c>
      <c r="D239" s="9" t="str">
        <f t="shared" si="1"/>
        <v> - </v>
      </c>
      <c r="E239" s="130" t="str">
        <f t="array" ref="E239">XLOOKUP($D239,'Player Database'!$B$2:$B1009,'Player Database'!$I$2:$I1009)</f>
        <v>#N/A</v>
      </c>
      <c r="F239" s="130" t="str">
        <f t="array" ref="F239">XLOOKUP($D239,'Player Database'!$B$2:$B1009,'Player Database'!$J$2:$J1009)</f>
        <v>#N/A</v>
      </c>
      <c r="G239" s="131" t="str">
        <f t="array" ref="G239">IF(H239="","",IFERROR(
  "https://sealeddeck.tech/" &amp; INDEX('Pool Changes'!F:F,
    MAX(
      ROW('Pool Changes'!A:A) *
      ('Pool Changes'!B:B=D239) *
      ('Pool Changes'!F:F&lt;&gt;"")
    )
  ),
  ""
))</f>
        <v/>
      </c>
      <c r="H239" s="131" t="str">
        <f>IFERROR(__xludf.DUMMYFUNCTION("LET(changes,FILTER('Pool Changes'!$B:$D, 'Pool Changes'!$B:$B = $D239),added,FILTER(INDEX(changes,0,3),INDEX(changes,0,2)=""starting pool""),TRANSPOSE(IFERROR(ARRAYFORMULA(IF(added&lt;&gt;"""",""https://sealeddeck.tech/""&amp;added,"""")),"""")))"),"")</f>
        <v/>
      </c>
      <c r="I239" s="132" t="str">
        <f>IFERROR(__xludf.DUMMYFUNCTION("LET(changes,FILTER('Pool Changes'!$B:$D, 'Pool Changes'!$B:$B = $D239),added,FILTER(INDEX(changes,0,3),INDEX(changes,0,2)=""add pack""),IFERROR(TRANSPOSE(ARRAYFORMULA(IF(added&lt;&gt;"""",HYPERLINK(""https://sealeddeck.tech/""&amp;added,""Link""),""""))),""""))"),"")</f>
        <v/>
      </c>
      <c r="J239" s="132"/>
      <c r="K239" s="132"/>
      <c r="L239" s="132"/>
      <c r="M239" s="133"/>
      <c r="N239" s="135"/>
      <c r="O239" s="135"/>
      <c r="P239" s="135"/>
      <c r="Q239" s="133"/>
      <c r="R239" s="133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4"/>
      <c r="AD239" s="134"/>
      <c r="AE239" s="134"/>
      <c r="AF239" s="134"/>
      <c r="AG239" s="134"/>
      <c r="AH239" s="134"/>
    </row>
    <row r="240">
      <c r="A240" s="143"/>
      <c r="B240" s="144"/>
      <c r="C240" s="129" t="str">
        <f t="array" ref="C240">INDEX('Player Database'!$D:$D,MATCH($D240,'Player Database'!$B:$B,0))</f>
        <v>#N/A</v>
      </c>
      <c r="D240" s="9" t="str">
        <f t="shared" si="1"/>
        <v> - </v>
      </c>
      <c r="E240" s="130" t="str">
        <f t="array" ref="E240">XLOOKUP($D240,'Player Database'!$B$2:$B1009,'Player Database'!$I$2:$I1009)</f>
        <v>#N/A</v>
      </c>
      <c r="F240" s="130" t="str">
        <f t="array" ref="F240">XLOOKUP($D240,'Player Database'!$B$2:$B1009,'Player Database'!$J$2:$J1009)</f>
        <v>#N/A</v>
      </c>
      <c r="G240" s="131" t="str">
        <f t="array" ref="G240">IF(H240="","",IFERROR(
  "https://sealeddeck.tech/" &amp; INDEX('Pool Changes'!F:F,
    MAX(
      ROW('Pool Changes'!A:A) *
      ('Pool Changes'!B:B=D240) *
      ('Pool Changes'!F:F&lt;&gt;"")
    )
  ),
  ""
))</f>
        <v/>
      </c>
      <c r="H240" s="131" t="str">
        <f>IFERROR(__xludf.DUMMYFUNCTION("LET(changes,FILTER('Pool Changes'!$B:$D, 'Pool Changes'!$B:$B = $D240),added,FILTER(INDEX(changes,0,3),INDEX(changes,0,2)=""starting pool""),TRANSPOSE(IFERROR(ARRAYFORMULA(IF(added&lt;&gt;"""",""https://sealeddeck.tech/""&amp;added,"""")),"""")))"),"")</f>
        <v/>
      </c>
      <c r="I240" s="132" t="str">
        <f>IFERROR(__xludf.DUMMYFUNCTION("LET(changes,FILTER('Pool Changes'!$B:$D, 'Pool Changes'!$B:$B = $D240),added,FILTER(INDEX(changes,0,3),INDEX(changes,0,2)=""add pack""),IFERROR(TRANSPOSE(ARRAYFORMULA(IF(added&lt;&gt;"""",HYPERLINK(""https://sealeddeck.tech/""&amp;added,""Link""),""""))),""""))"),"")</f>
        <v/>
      </c>
      <c r="J240" s="132"/>
      <c r="K240" s="132"/>
      <c r="L240" s="132"/>
      <c r="M240" s="133"/>
      <c r="N240" s="135"/>
      <c r="O240" s="135"/>
      <c r="P240" s="135"/>
      <c r="Q240" s="133"/>
      <c r="R240" s="133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  <c r="AC240" s="134"/>
      <c r="AD240" s="134"/>
      <c r="AE240" s="134"/>
      <c r="AF240" s="134"/>
      <c r="AG240" s="134"/>
      <c r="AH240" s="134"/>
    </row>
    <row r="241">
      <c r="A241" s="143"/>
      <c r="B241" s="144"/>
      <c r="C241" s="129" t="str">
        <f t="array" ref="C241">INDEX('Player Database'!$D:$D,MATCH($D241,'Player Database'!$B:$B,0))</f>
        <v>#N/A</v>
      </c>
      <c r="D241" s="9" t="str">
        <f t="shared" si="1"/>
        <v> - </v>
      </c>
      <c r="E241" s="130" t="str">
        <f t="array" ref="E241">XLOOKUP($D241,'Player Database'!$B$2:$B1009,'Player Database'!$I$2:$I1009)</f>
        <v>#N/A</v>
      </c>
      <c r="F241" s="130" t="str">
        <f t="array" ref="F241">XLOOKUP($D241,'Player Database'!$B$2:$B1009,'Player Database'!$J$2:$J1009)</f>
        <v>#N/A</v>
      </c>
      <c r="G241" s="131" t="str">
        <f t="array" ref="G241">IF(H241="","",IFERROR(
  "https://sealeddeck.tech/" &amp; INDEX('Pool Changes'!F:F,
    MAX(
      ROW('Pool Changes'!A:A) *
      ('Pool Changes'!B:B=D241) *
      ('Pool Changes'!F:F&lt;&gt;"")
    )
  ),
  ""
))</f>
        <v/>
      </c>
      <c r="H241" s="131" t="str">
        <f>IFERROR(__xludf.DUMMYFUNCTION("LET(changes,FILTER('Pool Changes'!$B:$D, 'Pool Changes'!$B:$B = $D241),added,FILTER(INDEX(changes,0,3),INDEX(changes,0,2)=""starting pool""),TRANSPOSE(IFERROR(ARRAYFORMULA(IF(added&lt;&gt;"""",""https://sealeddeck.tech/""&amp;added,"""")),"""")))"),"")</f>
        <v/>
      </c>
      <c r="I241" s="132" t="str">
        <f>IFERROR(__xludf.DUMMYFUNCTION("LET(changes,FILTER('Pool Changes'!$B:$D, 'Pool Changes'!$B:$B = $D241),added,FILTER(INDEX(changes,0,3),INDEX(changes,0,2)=""add pack""),IFERROR(TRANSPOSE(ARRAYFORMULA(IF(added&lt;&gt;"""",HYPERLINK(""https://sealeddeck.tech/""&amp;added,""Link""),""""))),""""))"),"")</f>
        <v/>
      </c>
      <c r="J241" s="132"/>
      <c r="K241" s="132"/>
      <c r="L241" s="132"/>
      <c r="M241" s="133"/>
      <c r="N241" s="135"/>
      <c r="O241" s="135"/>
      <c r="P241" s="135"/>
      <c r="Q241" s="133"/>
      <c r="R241" s="133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4"/>
    </row>
    <row r="242">
      <c r="A242" s="143"/>
      <c r="B242" s="144"/>
      <c r="C242" s="129" t="str">
        <f t="array" ref="C242">INDEX('Player Database'!$D:$D,MATCH($D242,'Player Database'!$B:$B,0))</f>
        <v>#N/A</v>
      </c>
      <c r="D242" s="9" t="str">
        <f t="shared" si="1"/>
        <v> - </v>
      </c>
      <c r="E242" s="130" t="str">
        <f t="array" ref="E242">XLOOKUP($D242,'Player Database'!$B$2:$B1009,'Player Database'!$I$2:$I1009)</f>
        <v>#N/A</v>
      </c>
      <c r="F242" s="130" t="str">
        <f t="array" ref="F242">XLOOKUP($D242,'Player Database'!$B$2:$B1009,'Player Database'!$J$2:$J1009)</f>
        <v>#N/A</v>
      </c>
      <c r="G242" s="131" t="str">
        <f t="array" ref="G242">IF(H242="","",IFERROR(
  "https://sealeddeck.tech/" &amp; INDEX('Pool Changes'!F:F,
    MAX(
      ROW('Pool Changes'!A:A) *
      ('Pool Changes'!B:B=D242) *
      ('Pool Changes'!F:F&lt;&gt;"")
    )
  ),
  ""
))</f>
        <v/>
      </c>
      <c r="H242" s="131" t="str">
        <f>IFERROR(__xludf.DUMMYFUNCTION("LET(changes,FILTER('Pool Changes'!$B:$D, 'Pool Changes'!$B:$B = $D242),added,FILTER(INDEX(changes,0,3),INDEX(changes,0,2)=""starting pool""),TRANSPOSE(IFERROR(ARRAYFORMULA(IF(added&lt;&gt;"""",""https://sealeddeck.tech/""&amp;added,"""")),"""")))"),"")</f>
        <v/>
      </c>
      <c r="I242" s="132" t="str">
        <f>IFERROR(__xludf.DUMMYFUNCTION("LET(changes,FILTER('Pool Changes'!$B:$D, 'Pool Changes'!$B:$B = $D242),added,FILTER(INDEX(changes,0,3),INDEX(changes,0,2)=""add pack""),IFERROR(TRANSPOSE(ARRAYFORMULA(IF(added&lt;&gt;"""",HYPERLINK(""https://sealeddeck.tech/""&amp;added,""Link""),""""))),""""))"),"")</f>
        <v/>
      </c>
      <c r="J242" s="132"/>
      <c r="K242" s="132"/>
      <c r="L242" s="132"/>
      <c r="M242" s="133"/>
      <c r="N242" s="135"/>
      <c r="O242" s="135"/>
      <c r="P242" s="135"/>
      <c r="Q242" s="133"/>
      <c r="R242" s="133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  <c r="AE242" s="134"/>
      <c r="AF242" s="134"/>
      <c r="AG242" s="134"/>
      <c r="AH242" s="134"/>
    </row>
    <row r="243">
      <c r="A243" s="143"/>
      <c r="B243" s="144"/>
      <c r="C243" s="129" t="str">
        <f t="array" ref="C243">INDEX('Player Database'!$D:$D,MATCH($D243,'Player Database'!$B:$B,0))</f>
        <v>#N/A</v>
      </c>
      <c r="D243" s="9" t="str">
        <f t="shared" si="1"/>
        <v> - </v>
      </c>
      <c r="E243" s="130" t="str">
        <f t="array" ref="E243">XLOOKUP($D243,'Player Database'!$B$2:$B1009,'Player Database'!$I$2:$I1009)</f>
        <v>#N/A</v>
      </c>
      <c r="F243" s="130" t="str">
        <f t="array" ref="F243">XLOOKUP($D243,'Player Database'!$B$2:$B1009,'Player Database'!$J$2:$J1009)</f>
        <v>#N/A</v>
      </c>
      <c r="G243" s="131" t="str">
        <f t="array" ref="G243">IF(H243="","",IFERROR(
  "https://sealeddeck.tech/" &amp; INDEX('Pool Changes'!F:F,
    MAX(
      ROW('Pool Changes'!A:A) *
      ('Pool Changes'!B:B=D243) *
      ('Pool Changes'!F:F&lt;&gt;"")
    )
  ),
  ""
))</f>
        <v/>
      </c>
      <c r="H243" s="131" t="str">
        <f>IFERROR(__xludf.DUMMYFUNCTION("LET(changes,FILTER('Pool Changes'!$B:$D, 'Pool Changes'!$B:$B = $D243),added,FILTER(INDEX(changes,0,3),INDEX(changes,0,2)=""starting pool""),TRANSPOSE(IFERROR(ARRAYFORMULA(IF(added&lt;&gt;"""",""https://sealeddeck.tech/""&amp;added,"""")),"""")))"),"")</f>
        <v/>
      </c>
      <c r="I243" s="132" t="str">
        <f>IFERROR(__xludf.DUMMYFUNCTION("LET(changes,FILTER('Pool Changes'!$B:$D, 'Pool Changes'!$B:$B = $D243),added,FILTER(INDEX(changes,0,3),INDEX(changes,0,2)=""add pack""),IFERROR(TRANSPOSE(ARRAYFORMULA(IF(added&lt;&gt;"""",HYPERLINK(""https://sealeddeck.tech/""&amp;added,""Link""),""""))),""""))"),"")</f>
        <v/>
      </c>
      <c r="J243" s="132"/>
      <c r="K243" s="132"/>
      <c r="L243" s="132"/>
      <c r="M243" s="133"/>
      <c r="N243" s="135"/>
      <c r="O243" s="135"/>
      <c r="P243" s="135"/>
      <c r="Q243" s="133"/>
      <c r="R243" s="133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  <c r="AE243" s="134"/>
      <c r="AF243" s="134"/>
      <c r="AG243" s="134"/>
      <c r="AH243" s="134"/>
    </row>
    <row r="244">
      <c r="A244" s="143"/>
      <c r="B244" s="144"/>
      <c r="C244" s="129" t="str">
        <f t="array" ref="C244">INDEX('Player Database'!$D:$D,MATCH($D244,'Player Database'!$B:$B,0))</f>
        <v>#N/A</v>
      </c>
      <c r="D244" s="9" t="str">
        <f t="shared" si="1"/>
        <v> - </v>
      </c>
      <c r="E244" s="130" t="str">
        <f t="array" ref="E244">XLOOKUP($D244,'Player Database'!$B$2:$B1009,'Player Database'!$I$2:$I1009)</f>
        <v>#N/A</v>
      </c>
      <c r="F244" s="130" t="str">
        <f t="array" ref="F244">XLOOKUP($D244,'Player Database'!$B$2:$B1009,'Player Database'!$J$2:$J1009)</f>
        <v>#N/A</v>
      </c>
      <c r="G244" s="131" t="str">
        <f t="array" ref="G244">IF(H244="","",IFERROR(
  "https://sealeddeck.tech/" &amp; INDEX('Pool Changes'!F:F,
    MAX(
      ROW('Pool Changes'!A:A) *
      ('Pool Changes'!B:B=D244) *
      ('Pool Changes'!F:F&lt;&gt;"")
    )
  ),
  ""
))</f>
        <v/>
      </c>
      <c r="H244" s="131" t="str">
        <f>IFERROR(__xludf.DUMMYFUNCTION("LET(changes,FILTER('Pool Changes'!$B:$D, 'Pool Changes'!$B:$B = $D244),added,FILTER(INDEX(changes,0,3),INDEX(changes,0,2)=""starting pool""),TRANSPOSE(IFERROR(ARRAYFORMULA(IF(added&lt;&gt;"""",""https://sealeddeck.tech/""&amp;added,"""")),"""")))"),"")</f>
        <v/>
      </c>
      <c r="I244" s="132" t="str">
        <f>IFERROR(__xludf.DUMMYFUNCTION("LET(changes,FILTER('Pool Changes'!$B:$D, 'Pool Changes'!$B:$B = $D244),added,FILTER(INDEX(changes,0,3),INDEX(changes,0,2)=""add pack""),IFERROR(TRANSPOSE(ARRAYFORMULA(IF(added&lt;&gt;"""",HYPERLINK(""https://sealeddeck.tech/""&amp;added,""Link""),""""))),""""))"),"")</f>
        <v/>
      </c>
      <c r="J244" s="132"/>
      <c r="K244" s="132"/>
      <c r="L244" s="132"/>
      <c r="M244" s="133"/>
      <c r="N244" s="135"/>
      <c r="O244" s="135"/>
      <c r="P244" s="135"/>
      <c r="Q244" s="133"/>
      <c r="R244" s="133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  <c r="AE244" s="134"/>
      <c r="AF244" s="134"/>
      <c r="AG244" s="134"/>
      <c r="AH244" s="134"/>
    </row>
    <row r="245">
      <c r="A245" s="143"/>
      <c r="B245" s="144"/>
      <c r="C245" s="129" t="str">
        <f t="array" ref="C245">INDEX('Player Database'!$D:$D,MATCH($D245,'Player Database'!$B:$B,0))</f>
        <v>#N/A</v>
      </c>
      <c r="D245" s="9" t="str">
        <f t="shared" si="1"/>
        <v> - </v>
      </c>
      <c r="E245" s="130" t="str">
        <f t="array" ref="E245">XLOOKUP($D245,'Player Database'!$B$2:$B1009,'Player Database'!$I$2:$I1009)</f>
        <v>#N/A</v>
      </c>
      <c r="F245" s="130" t="str">
        <f t="array" ref="F245">XLOOKUP($D245,'Player Database'!$B$2:$B1009,'Player Database'!$J$2:$J1009)</f>
        <v>#N/A</v>
      </c>
      <c r="G245" s="131" t="str">
        <f t="array" ref="G245">IF(H245="","",IFERROR(
  "https://sealeddeck.tech/" &amp; INDEX('Pool Changes'!F:F,
    MAX(
      ROW('Pool Changes'!A:A) *
      ('Pool Changes'!B:B=D245) *
      ('Pool Changes'!F:F&lt;&gt;"")
    )
  ),
  ""
))</f>
        <v/>
      </c>
      <c r="H245" s="131" t="str">
        <f>IFERROR(__xludf.DUMMYFUNCTION("LET(changes,FILTER('Pool Changes'!$B:$D, 'Pool Changes'!$B:$B = $D245),added,FILTER(INDEX(changes,0,3),INDEX(changes,0,2)=""starting pool""),TRANSPOSE(IFERROR(ARRAYFORMULA(IF(added&lt;&gt;"""",""https://sealeddeck.tech/""&amp;added,"""")),"""")))"),"")</f>
        <v/>
      </c>
      <c r="I245" s="132" t="str">
        <f>IFERROR(__xludf.DUMMYFUNCTION("LET(changes,FILTER('Pool Changes'!$B:$D, 'Pool Changes'!$B:$B = $D245),added,FILTER(INDEX(changes,0,3),INDEX(changes,0,2)=""add pack""),IFERROR(TRANSPOSE(ARRAYFORMULA(IF(added&lt;&gt;"""",HYPERLINK(""https://sealeddeck.tech/""&amp;added,""Link""),""""))),""""))"),"")</f>
        <v/>
      </c>
      <c r="J245" s="132"/>
      <c r="K245" s="132"/>
      <c r="L245" s="132"/>
      <c r="M245" s="133"/>
      <c r="N245" s="135"/>
      <c r="O245" s="135"/>
      <c r="P245" s="135"/>
      <c r="Q245" s="133"/>
      <c r="R245" s="133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</row>
    <row r="246">
      <c r="A246" s="143"/>
      <c r="B246" s="144"/>
      <c r="C246" s="319"/>
      <c r="D246" s="319"/>
      <c r="E246" s="319"/>
      <c r="F246" s="319"/>
      <c r="G246" s="320"/>
      <c r="H246" s="320"/>
      <c r="I246" s="14"/>
      <c r="J246" s="14"/>
      <c r="K246" s="14"/>
      <c r="L246" s="14"/>
      <c r="M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</row>
    <row r="247">
      <c r="A247" s="143"/>
      <c r="B247" s="144"/>
      <c r="C247" s="319"/>
      <c r="D247" s="319"/>
      <c r="E247" s="319"/>
      <c r="F247" s="319"/>
      <c r="G247" s="320"/>
      <c r="H247" s="320"/>
      <c r="I247" s="14"/>
      <c r="J247" s="14"/>
      <c r="K247" s="14"/>
      <c r="L247" s="14"/>
      <c r="M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</row>
    <row r="248">
      <c r="A248" s="143"/>
      <c r="B248" s="144"/>
      <c r="C248" s="319"/>
      <c r="D248" s="319"/>
      <c r="E248" s="319"/>
      <c r="F248" s="319"/>
      <c r="G248" s="320"/>
      <c r="H248" s="320"/>
      <c r="I248" s="14"/>
      <c r="J248" s="14"/>
      <c r="K248" s="14"/>
      <c r="L248" s="14"/>
      <c r="M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4"/>
    </row>
    <row r="249">
      <c r="A249" s="143"/>
      <c r="B249" s="144"/>
      <c r="C249" s="319"/>
      <c r="D249" s="319"/>
      <c r="E249" s="319"/>
      <c r="F249" s="319"/>
      <c r="G249" s="320"/>
      <c r="H249" s="320"/>
      <c r="I249" s="14"/>
      <c r="J249" s="14"/>
      <c r="K249" s="14"/>
      <c r="L249" s="14"/>
      <c r="M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4"/>
    </row>
    <row r="250">
      <c r="A250" s="143"/>
      <c r="B250" s="144"/>
      <c r="C250" s="319"/>
      <c r="D250" s="319"/>
      <c r="E250" s="319"/>
      <c r="F250" s="319"/>
      <c r="G250" s="320"/>
      <c r="H250" s="320"/>
      <c r="I250" s="14"/>
      <c r="J250" s="14"/>
      <c r="K250" s="14"/>
      <c r="L250" s="14"/>
      <c r="M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4"/>
    </row>
    <row r="251">
      <c r="A251" s="143"/>
      <c r="B251" s="144"/>
      <c r="C251" s="319"/>
      <c r="D251" s="319"/>
      <c r="E251" s="319"/>
      <c r="F251" s="319"/>
      <c r="G251" s="320"/>
      <c r="H251" s="320"/>
      <c r="I251" s="14"/>
      <c r="J251" s="14"/>
      <c r="K251" s="14"/>
      <c r="L251" s="14"/>
      <c r="M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</row>
    <row r="252">
      <c r="A252" s="143"/>
      <c r="B252" s="144"/>
      <c r="C252" s="319"/>
      <c r="D252" s="319"/>
      <c r="E252" s="319"/>
      <c r="F252" s="319"/>
      <c r="G252" s="320"/>
      <c r="H252" s="320"/>
      <c r="I252" s="14"/>
      <c r="J252" s="14"/>
      <c r="K252" s="14"/>
      <c r="L252" s="14"/>
      <c r="M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</row>
    <row r="253">
      <c r="A253" s="143"/>
      <c r="B253" s="144"/>
      <c r="C253" s="319"/>
      <c r="D253" s="319"/>
      <c r="E253" s="319"/>
      <c r="F253" s="319"/>
      <c r="G253" s="320"/>
      <c r="H253" s="320"/>
      <c r="I253" s="14"/>
      <c r="J253" s="14"/>
      <c r="K253" s="14"/>
      <c r="L253" s="14"/>
      <c r="M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</row>
    <row r="254">
      <c r="A254" s="143"/>
      <c r="B254" s="144"/>
      <c r="C254" s="319"/>
      <c r="D254" s="319"/>
      <c r="E254" s="319"/>
      <c r="F254" s="319"/>
      <c r="G254" s="320"/>
      <c r="H254" s="320"/>
      <c r="I254" s="14"/>
      <c r="J254" s="14"/>
      <c r="K254" s="14"/>
      <c r="L254" s="14"/>
      <c r="M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</row>
    <row r="255">
      <c r="A255" s="143"/>
      <c r="B255" s="144"/>
      <c r="C255" s="319"/>
      <c r="D255" s="319"/>
      <c r="E255" s="319"/>
      <c r="F255" s="319"/>
      <c r="G255" s="320"/>
      <c r="H255" s="320"/>
      <c r="I255" s="14"/>
      <c r="J255" s="14"/>
      <c r="K255" s="14"/>
      <c r="L255" s="14"/>
      <c r="M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</row>
    <row r="256">
      <c r="A256" s="143"/>
      <c r="B256" s="144"/>
      <c r="C256" s="319"/>
      <c r="D256" s="319"/>
      <c r="E256" s="319"/>
      <c r="F256" s="319"/>
      <c r="G256" s="320"/>
      <c r="H256" s="320"/>
      <c r="I256" s="14"/>
      <c r="J256" s="14"/>
      <c r="K256" s="14"/>
      <c r="L256" s="14"/>
      <c r="M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</row>
    <row r="257">
      <c r="A257" s="143"/>
      <c r="B257" s="144"/>
      <c r="C257" s="319"/>
      <c r="D257" s="319"/>
      <c r="E257" s="319"/>
      <c r="F257" s="319"/>
      <c r="G257" s="320"/>
      <c r="H257" s="320"/>
      <c r="I257" s="14"/>
      <c r="J257" s="14"/>
      <c r="K257" s="14"/>
      <c r="L257" s="14"/>
      <c r="M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</row>
    <row r="258">
      <c r="A258" s="143"/>
      <c r="B258" s="144"/>
      <c r="C258" s="319"/>
      <c r="D258" s="319"/>
      <c r="E258" s="319"/>
      <c r="F258" s="319"/>
      <c r="G258" s="320"/>
      <c r="H258" s="320"/>
      <c r="I258" s="14"/>
      <c r="J258" s="14"/>
      <c r="K258" s="14"/>
      <c r="L258" s="14"/>
      <c r="M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</row>
    <row r="259">
      <c r="A259" s="143"/>
      <c r="B259" s="144"/>
      <c r="C259" s="319"/>
      <c r="D259" s="319"/>
      <c r="E259" s="319"/>
      <c r="F259" s="319"/>
      <c r="G259" s="320"/>
      <c r="H259" s="320"/>
      <c r="I259" s="14"/>
      <c r="J259" s="14"/>
      <c r="K259" s="14"/>
      <c r="L259" s="14"/>
      <c r="M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4"/>
    </row>
    <row r="260">
      <c r="A260" s="143"/>
      <c r="B260" s="144"/>
      <c r="C260" s="319"/>
      <c r="D260" s="319"/>
      <c r="E260" s="319"/>
      <c r="F260" s="319"/>
      <c r="G260" s="320"/>
      <c r="H260" s="320"/>
      <c r="I260" s="14"/>
      <c r="J260" s="14"/>
      <c r="K260" s="14"/>
      <c r="L260" s="14"/>
      <c r="M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</row>
    <row r="261">
      <c r="A261" s="143"/>
      <c r="B261" s="144"/>
      <c r="C261" s="319"/>
      <c r="D261" s="319"/>
      <c r="E261" s="319"/>
      <c r="F261" s="319"/>
      <c r="G261" s="320"/>
      <c r="H261" s="320"/>
      <c r="I261" s="14"/>
      <c r="J261" s="14"/>
      <c r="K261" s="14"/>
      <c r="L261" s="14"/>
      <c r="M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</row>
    <row r="262">
      <c r="A262" s="143"/>
      <c r="B262" s="144"/>
      <c r="C262" s="319"/>
      <c r="D262" s="319"/>
      <c r="E262" s="319"/>
      <c r="F262" s="319"/>
      <c r="G262" s="320"/>
      <c r="H262" s="320"/>
      <c r="I262" s="14"/>
      <c r="J262" s="14"/>
      <c r="K262" s="14"/>
      <c r="L262" s="14"/>
      <c r="M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</row>
    <row r="263">
      <c r="A263" s="143"/>
      <c r="B263" s="144"/>
      <c r="C263" s="319"/>
      <c r="D263" s="319"/>
      <c r="E263" s="319"/>
      <c r="F263" s="319"/>
      <c r="G263" s="320"/>
      <c r="H263" s="320"/>
      <c r="I263" s="14"/>
      <c r="J263" s="14"/>
      <c r="K263" s="14"/>
      <c r="L263" s="14"/>
      <c r="M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</row>
    <row r="264">
      <c r="A264" s="143"/>
      <c r="B264" s="144"/>
      <c r="C264" s="319"/>
      <c r="D264" s="319"/>
      <c r="E264" s="319"/>
      <c r="F264" s="319"/>
      <c r="G264" s="320"/>
      <c r="H264" s="320"/>
      <c r="I264" s="14"/>
      <c r="J264" s="14"/>
      <c r="K264" s="14"/>
      <c r="L264" s="14"/>
      <c r="M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134"/>
    </row>
    <row r="265">
      <c r="A265" s="143"/>
      <c r="B265" s="144"/>
      <c r="C265" s="319"/>
      <c r="D265" s="319"/>
      <c r="E265" s="319"/>
      <c r="F265" s="319"/>
      <c r="G265" s="320"/>
      <c r="H265" s="320"/>
      <c r="I265" s="14"/>
      <c r="J265" s="14"/>
      <c r="K265" s="14"/>
      <c r="L265" s="14"/>
      <c r="M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  <c r="AE265" s="134"/>
      <c r="AF265" s="134"/>
      <c r="AG265" s="134"/>
      <c r="AH265" s="134"/>
    </row>
    <row r="266">
      <c r="A266" s="143"/>
      <c r="B266" s="144"/>
      <c r="C266" s="319"/>
      <c r="D266" s="319"/>
      <c r="E266" s="319"/>
      <c r="F266" s="319"/>
      <c r="G266" s="320"/>
      <c r="H266" s="320"/>
      <c r="I266" s="14"/>
      <c r="J266" s="14"/>
      <c r="K266" s="14"/>
      <c r="L266" s="14"/>
      <c r="M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  <c r="AE266" s="134"/>
      <c r="AF266" s="134"/>
      <c r="AG266" s="134"/>
      <c r="AH266" s="134"/>
    </row>
    <row r="267">
      <c r="A267" s="143"/>
      <c r="B267" s="144"/>
      <c r="C267" s="319"/>
      <c r="D267" s="319"/>
      <c r="E267" s="319"/>
      <c r="F267" s="319"/>
      <c r="G267" s="320"/>
      <c r="H267" s="320"/>
      <c r="I267" s="14"/>
      <c r="J267" s="14"/>
      <c r="K267" s="14"/>
      <c r="L267" s="14"/>
      <c r="M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  <c r="AE267" s="134"/>
      <c r="AF267" s="134"/>
      <c r="AG267" s="134"/>
      <c r="AH267" s="134"/>
    </row>
    <row r="268">
      <c r="A268" s="143"/>
      <c r="B268" s="144"/>
      <c r="C268" s="319"/>
      <c r="D268" s="319"/>
      <c r="E268" s="319"/>
      <c r="F268" s="319"/>
      <c r="G268" s="320"/>
      <c r="H268" s="320"/>
      <c r="I268" s="14"/>
      <c r="J268" s="14"/>
      <c r="K268" s="14"/>
      <c r="L268" s="14"/>
      <c r="M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34"/>
    </row>
    <row r="269">
      <c r="A269" s="143"/>
      <c r="B269" s="144"/>
      <c r="C269" s="319"/>
      <c r="D269" s="319"/>
      <c r="E269" s="319"/>
      <c r="F269" s="319"/>
      <c r="G269" s="320"/>
      <c r="H269" s="320"/>
      <c r="I269" s="14"/>
      <c r="J269" s="14"/>
      <c r="K269" s="14"/>
      <c r="L269" s="14"/>
      <c r="M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  <c r="AE269" s="134"/>
      <c r="AF269" s="134"/>
      <c r="AG269" s="134"/>
      <c r="AH269" s="134"/>
    </row>
    <row r="270">
      <c r="A270" s="143"/>
      <c r="B270" s="144"/>
      <c r="C270" s="319"/>
      <c r="D270" s="319"/>
      <c r="E270" s="319"/>
      <c r="F270" s="319"/>
      <c r="G270" s="320"/>
      <c r="H270" s="320"/>
      <c r="I270" s="14"/>
      <c r="J270" s="14"/>
      <c r="K270" s="14"/>
      <c r="L270" s="14"/>
      <c r="M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  <c r="AE270" s="134"/>
      <c r="AF270" s="134"/>
      <c r="AG270" s="134"/>
      <c r="AH270" s="134"/>
    </row>
    <row r="271">
      <c r="A271" s="143"/>
      <c r="B271" s="144"/>
      <c r="C271" s="319"/>
      <c r="D271" s="319"/>
      <c r="E271" s="319"/>
      <c r="F271" s="319"/>
      <c r="G271" s="320"/>
      <c r="H271" s="320"/>
      <c r="I271" s="14"/>
      <c r="J271" s="14"/>
      <c r="K271" s="14"/>
      <c r="L271" s="14"/>
      <c r="M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4"/>
    </row>
    <row r="272">
      <c r="A272" s="143"/>
      <c r="B272" s="144"/>
      <c r="C272" s="319"/>
      <c r="D272" s="319"/>
      <c r="E272" s="319"/>
      <c r="F272" s="319"/>
      <c r="G272" s="320"/>
      <c r="H272" s="320"/>
      <c r="I272" s="14"/>
      <c r="J272" s="14"/>
      <c r="K272" s="14"/>
      <c r="L272" s="14"/>
      <c r="M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4"/>
    </row>
    <row r="273">
      <c r="A273" s="143"/>
      <c r="B273" s="144"/>
      <c r="C273" s="319"/>
      <c r="D273" s="319"/>
      <c r="E273" s="319"/>
      <c r="F273" s="319"/>
      <c r="G273" s="320"/>
      <c r="H273" s="320"/>
      <c r="I273" s="14"/>
      <c r="J273" s="14"/>
      <c r="K273" s="14"/>
      <c r="L273" s="14"/>
      <c r="M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  <c r="AE273" s="134"/>
      <c r="AF273" s="134"/>
      <c r="AG273" s="134"/>
      <c r="AH273" s="134"/>
    </row>
    <row r="274">
      <c r="A274" s="143"/>
      <c r="B274" s="144"/>
      <c r="C274" s="319"/>
      <c r="D274" s="319"/>
      <c r="E274" s="319"/>
      <c r="F274" s="319"/>
      <c r="G274" s="320"/>
      <c r="H274" s="320"/>
      <c r="I274" s="14"/>
      <c r="J274" s="14"/>
      <c r="K274" s="14"/>
      <c r="L274" s="14"/>
      <c r="M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  <c r="AE274" s="134"/>
      <c r="AF274" s="134"/>
      <c r="AG274" s="134"/>
      <c r="AH274" s="134"/>
    </row>
    <row r="275">
      <c r="A275" s="143"/>
      <c r="B275" s="144"/>
      <c r="C275" s="319"/>
      <c r="D275" s="319"/>
      <c r="E275" s="319"/>
      <c r="F275" s="319"/>
      <c r="G275" s="320"/>
      <c r="H275" s="320"/>
      <c r="I275" s="14"/>
      <c r="J275" s="14"/>
      <c r="K275" s="14"/>
      <c r="L275" s="14"/>
      <c r="M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  <c r="AE275" s="134"/>
      <c r="AF275" s="134"/>
      <c r="AG275" s="134"/>
      <c r="AH275" s="134"/>
    </row>
    <row r="276">
      <c r="A276" s="143"/>
      <c r="B276" s="144"/>
      <c r="C276" s="319"/>
      <c r="D276" s="319"/>
      <c r="E276" s="319"/>
      <c r="F276" s="319"/>
      <c r="G276" s="320"/>
      <c r="H276" s="320"/>
      <c r="I276" s="14"/>
      <c r="J276" s="14"/>
      <c r="K276" s="14"/>
      <c r="L276" s="14"/>
      <c r="M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34"/>
    </row>
    <row r="277">
      <c r="A277" s="143"/>
      <c r="B277" s="144"/>
      <c r="C277" s="319"/>
      <c r="D277" s="319"/>
      <c r="E277" s="319"/>
      <c r="F277" s="319"/>
      <c r="G277" s="320"/>
      <c r="H277" s="320"/>
      <c r="I277" s="14"/>
      <c r="J277" s="14"/>
      <c r="K277" s="14"/>
      <c r="L277" s="14"/>
      <c r="M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  <c r="AC277" s="134"/>
      <c r="AD277" s="134"/>
      <c r="AE277" s="134"/>
      <c r="AF277" s="134"/>
      <c r="AG277" s="134"/>
      <c r="AH277" s="134"/>
    </row>
    <row r="278">
      <c r="A278" s="143"/>
      <c r="B278" s="144"/>
      <c r="C278" s="319"/>
      <c r="D278" s="319"/>
      <c r="E278" s="319"/>
      <c r="F278" s="319"/>
      <c r="G278" s="320"/>
      <c r="H278" s="320"/>
      <c r="I278" s="14"/>
      <c r="J278" s="14"/>
      <c r="K278" s="14"/>
      <c r="L278" s="14"/>
      <c r="M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  <c r="AE278" s="134"/>
      <c r="AF278" s="134"/>
      <c r="AG278" s="134"/>
      <c r="AH278" s="134"/>
    </row>
    <row r="279">
      <c r="A279" s="143"/>
      <c r="B279" s="144"/>
      <c r="C279" s="319"/>
      <c r="D279" s="319"/>
      <c r="E279" s="319"/>
      <c r="F279" s="319"/>
      <c r="G279" s="320"/>
      <c r="H279" s="320"/>
      <c r="I279" s="14"/>
      <c r="J279" s="14"/>
      <c r="K279" s="14"/>
      <c r="L279" s="14"/>
      <c r="M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  <c r="AE279" s="134"/>
      <c r="AF279" s="134"/>
      <c r="AG279" s="134"/>
      <c r="AH279" s="134"/>
    </row>
    <row r="280">
      <c r="A280" s="143"/>
      <c r="B280" s="144"/>
      <c r="C280" s="319"/>
      <c r="D280" s="319"/>
      <c r="E280" s="319"/>
      <c r="F280" s="319"/>
      <c r="G280" s="320"/>
      <c r="H280" s="320"/>
      <c r="I280" s="14"/>
      <c r="J280" s="14"/>
      <c r="K280" s="14"/>
      <c r="L280" s="14"/>
      <c r="M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  <c r="AE280" s="134"/>
      <c r="AF280" s="134"/>
      <c r="AG280" s="134"/>
      <c r="AH280" s="134"/>
    </row>
    <row r="281">
      <c r="A281" s="143"/>
      <c r="B281" s="144"/>
      <c r="C281" s="319"/>
      <c r="D281" s="319"/>
      <c r="E281" s="319"/>
      <c r="F281" s="319"/>
      <c r="G281" s="320"/>
      <c r="H281" s="320"/>
      <c r="I281" s="14"/>
      <c r="J281" s="14"/>
      <c r="K281" s="14"/>
      <c r="L281" s="14"/>
      <c r="M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  <c r="AE281" s="134"/>
      <c r="AF281" s="134"/>
      <c r="AG281" s="134"/>
      <c r="AH281" s="134"/>
    </row>
    <row r="282">
      <c r="A282" s="143"/>
      <c r="B282" s="144"/>
      <c r="C282" s="319"/>
      <c r="D282" s="319"/>
      <c r="E282" s="319"/>
      <c r="F282" s="319"/>
      <c r="G282" s="320"/>
      <c r="H282" s="320"/>
      <c r="I282" s="14"/>
      <c r="J282" s="14"/>
      <c r="K282" s="14"/>
      <c r="L282" s="14"/>
      <c r="M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  <c r="AE282" s="134"/>
      <c r="AF282" s="134"/>
      <c r="AG282" s="134"/>
      <c r="AH282" s="134"/>
    </row>
    <row r="283">
      <c r="A283" s="143"/>
      <c r="B283" s="144"/>
      <c r="C283" s="319"/>
      <c r="D283" s="319"/>
      <c r="E283" s="319"/>
      <c r="F283" s="319"/>
      <c r="G283" s="320"/>
      <c r="H283" s="320"/>
      <c r="I283" s="14"/>
      <c r="J283" s="14"/>
      <c r="K283" s="14"/>
      <c r="L283" s="14"/>
      <c r="M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  <c r="AF283" s="134"/>
      <c r="AG283" s="134"/>
      <c r="AH283" s="134"/>
    </row>
    <row r="284">
      <c r="A284" s="143"/>
      <c r="B284" s="144"/>
      <c r="C284" s="319"/>
      <c r="D284" s="319"/>
      <c r="E284" s="319"/>
      <c r="F284" s="319"/>
      <c r="G284" s="320"/>
      <c r="H284" s="320"/>
      <c r="I284" s="14"/>
      <c r="J284" s="14"/>
      <c r="K284" s="14"/>
      <c r="L284" s="14"/>
      <c r="M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  <c r="AE284" s="134"/>
      <c r="AF284" s="134"/>
      <c r="AG284" s="134"/>
      <c r="AH284" s="134"/>
    </row>
    <row r="285">
      <c r="A285" s="143"/>
      <c r="B285" s="144"/>
      <c r="C285" s="319"/>
      <c r="D285" s="319"/>
      <c r="E285" s="319"/>
      <c r="F285" s="319"/>
      <c r="G285" s="320"/>
      <c r="H285" s="320"/>
      <c r="I285" s="14"/>
      <c r="J285" s="14"/>
      <c r="K285" s="14"/>
      <c r="L285" s="14"/>
      <c r="M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  <c r="AE285" s="134"/>
      <c r="AF285" s="134"/>
      <c r="AG285" s="134"/>
      <c r="AH285" s="134"/>
    </row>
    <row r="286">
      <c r="A286" s="143"/>
      <c r="B286" s="144"/>
      <c r="C286" s="319"/>
      <c r="D286" s="319"/>
      <c r="E286" s="319"/>
      <c r="F286" s="319"/>
      <c r="G286" s="320"/>
      <c r="H286" s="320"/>
      <c r="I286" s="14"/>
      <c r="J286" s="14"/>
      <c r="K286" s="14"/>
      <c r="L286" s="14"/>
      <c r="M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  <c r="AE286" s="134"/>
      <c r="AF286" s="134"/>
      <c r="AG286" s="134"/>
      <c r="AH286" s="134"/>
    </row>
    <row r="287">
      <c r="A287" s="143"/>
      <c r="B287" s="144"/>
      <c r="C287" s="319"/>
      <c r="D287" s="319"/>
      <c r="E287" s="319"/>
      <c r="F287" s="319"/>
      <c r="G287" s="320"/>
      <c r="H287" s="320"/>
      <c r="I287" s="14"/>
      <c r="J287" s="14"/>
      <c r="K287" s="14"/>
      <c r="L287" s="14"/>
      <c r="M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  <c r="AE287" s="134"/>
      <c r="AF287" s="134"/>
      <c r="AG287" s="134"/>
      <c r="AH287" s="134"/>
    </row>
    <row r="288">
      <c r="A288" s="143"/>
      <c r="B288" s="144"/>
      <c r="C288" s="319"/>
      <c r="D288" s="319"/>
      <c r="E288" s="319"/>
      <c r="F288" s="319"/>
      <c r="G288" s="320"/>
      <c r="H288" s="320"/>
      <c r="I288" s="14"/>
      <c r="J288" s="14"/>
      <c r="K288" s="14"/>
      <c r="L288" s="14"/>
      <c r="M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  <c r="AF288" s="134"/>
      <c r="AG288" s="134"/>
      <c r="AH288" s="134"/>
    </row>
    <row r="289">
      <c r="A289" s="143"/>
      <c r="B289" s="144"/>
      <c r="C289" s="319"/>
      <c r="D289" s="319"/>
      <c r="E289" s="319"/>
      <c r="F289" s="319"/>
      <c r="G289" s="320"/>
      <c r="H289" s="320"/>
      <c r="I289" s="14"/>
      <c r="J289" s="14"/>
      <c r="K289" s="14"/>
      <c r="L289" s="14"/>
      <c r="M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  <c r="AE289" s="134"/>
      <c r="AF289" s="134"/>
      <c r="AG289" s="134"/>
      <c r="AH289" s="134"/>
    </row>
    <row r="290">
      <c r="A290" s="143"/>
      <c r="B290" s="144"/>
      <c r="C290" s="319"/>
      <c r="D290" s="319"/>
      <c r="E290" s="319"/>
      <c r="F290" s="319"/>
      <c r="G290" s="320"/>
      <c r="H290" s="320"/>
      <c r="I290" s="14"/>
      <c r="J290" s="14"/>
      <c r="K290" s="14"/>
      <c r="L290" s="14"/>
      <c r="M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  <c r="AE290" s="134"/>
      <c r="AF290" s="134"/>
      <c r="AG290" s="134"/>
      <c r="AH290" s="134"/>
    </row>
    <row r="291">
      <c r="A291" s="143"/>
      <c r="B291" s="144"/>
      <c r="C291" s="319"/>
      <c r="D291" s="319"/>
      <c r="E291" s="319"/>
      <c r="F291" s="319"/>
      <c r="G291" s="320"/>
      <c r="H291" s="320"/>
      <c r="I291" s="14"/>
      <c r="J291" s="14"/>
      <c r="K291" s="14"/>
      <c r="L291" s="14"/>
      <c r="M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  <c r="AE291" s="134"/>
      <c r="AF291" s="134"/>
      <c r="AG291" s="134"/>
      <c r="AH291" s="134"/>
    </row>
    <row r="292">
      <c r="A292" s="143"/>
      <c r="B292" s="144"/>
      <c r="C292" s="319"/>
      <c r="D292" s="319"/>
      <c r="E292" s="319"/>
      <c r="F292" s="319"/>
      <c r="G292" s="320"/>
      <c r="H292" s="320"/>
      <c r="I292" s="14"/>
      <c r="J292" s="14"/>
      <c r="K292" s="14"/>
      <c r="L292" s="14"/>
      <c r="M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  <c r="AE292" s="134"/>
      <c r="AF292" s="134"/>
      <c r="AG292" s="134"/>
      <c r="AH292" s="134"/>
    </row>
    <row r="293">
      <c r="A293" s="143"/>
      <c r="B293" s="144"/>
      <c r="C293" s="319"/>
      <c r="D293" s="319"/>
      <c r="E293" s="319"/>
      <c r="F293" s="319"/>
      <c r="G293" s="320"/>
      <c r="H293" s="320"/>
      <c r="I293" s="14"/>
      <c r="J293" s="14"/>
      <c r="K293" s="14"/>
      <c r="L293" s="14"/>
      <c r="M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  <c r="AF293" s="134"/>
      <c r="AG293" s="134"/>
      <c r="AH293" s="134"/>
    </row>
    <row r="294">
      <c r="A294" s="143"/>
      <c r="B294" s="144"/>
      <c r="C294" s="319"/>
      <c r="D294" s="319"/>
      <c r="E294" s="319"/>
      <c r="F294" s="319"/>
      <c r="G294" s="320"/>
      <c r="H294" s="320"/>
      <c r="I294" s="14"/>
      <c r="J294" s="14"/>
      <c r="K294" s="14"/>
      <c r="L294" s="14"/>
      <c r="M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4"/>
      <c r="AG294" s="134"/>
      <c r="AH294" s="134"/>
    </row>
    <row r="295">
      <c r="A295" s="143"/>
      <c r="B295" s="144"/>
      <c r="C295" s="319"/>
      <c r="D295" s="319"/>
      <c r="E295" s="319"/>
      <c r="F295" s="319"/>
      <c r="G295" s="320"/>
      <c r="H295" s="320"/>
      <c r="I295" s="14"/>
      <c r="J295" s="14"/>
      <c r="K295" s="14"/>
      <c r="L295" s="14"/>
      <c r="M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  <c r="AF295" s="134"/>
      <c r="AG295" s="134"/>
      <c r="AH295" s="134"/>
    </row>
    <row r="296">
      <c r="A296" s="143"/>
      <c r="B296" s="144"/>
      <c r="C296" s="319"/>
      <c r="D296" s="319"/>
      <c r="E296" s="319"/>
      <c r="F296" s="319"/>
      <c r="G296" s="320"/>
      <c r="H296" s="320"/>
      <c r="I296" s="14"/>
      <c r="J296" s="14"/>
      <c r="K296" s="14"/>
      <c r="L296" s="14"/>
      <c r="M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  <c r="AE296" s="134"/>
      <c r="AF296" s="134"/>
      <c r="AG296" s="134"/>
      <c r="AH296" s="134"/>
    </row>
    <row r="297">
      <c r="A297" s="143"/>
      <c r="B297" s="144"/>
      <c r="C297" s="319"/>
      <c r="D297" s="319"/>
      <c r="E297" s="319"/>
      <c r="F297" s="319"/>
      <c r="G297" s="320"/>
      <c r="H297" s="320"/>
      <c r="I297" s="14"/>
      <c r="J297" s="14"/>
      <c r="K297" s="14"/>
      <c r="L297" s="14"/>
      <c r="M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  <c r="AE297" s="134"/>
      <c r="AF297" s="134"/>
      <c r="AG297" s="134"/>
      <c r="AH297" s="134"/>
    </row>
    <row r="298">
      <c r="A298" s="143"/>
      <c r="B298" s="144"/>
      <c r="C298" s="319"/>
      <c r="D298" s="319"/>
      <c r="E298" s="319"/>
      <c r="F298" s="319"/>
      <c r="G298" s="320"/>
      <c r="H298" s="320"/>
      <c r="I298" s="14"/>
      <c r="J298" s="14"/>
      <c r="K298" s="14"/>
      <c r="L298" s="14"/>
      <c r="M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  <c r="AE298" s="134"/>
      <c r="AF298" s="134"/>
      <c r="AG298" s="134"/>
      <c r="AH298" s="134"/>
    </row>
    <row r="299">
      <c r="A299" s="143"/>
      <c r="B299" s="144"/>
      <c r="C299" s="319"/>
      <c r="D299" s="319"/>
      <c r="E299" s="319"/>
      <c r="F299" s="319"/>
      <c r="G299" s="320"/>
      <c r="H299" s="320"/>
      <c r="I299" s="14"/>
      <c r="J299" s="14"/>
      <c r="K299" s="14"/>
      <c r="L299" s="14"/>
      <c r="M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  <c r="AE299" s="134"/>
      <c r="AF299" s="134"/>
      <c r="AG299" s="134"/>
      <c r="AH299" s="134"/>
    </row>
    <row r="300">
      <c r="A300" s="143"/>
      <c r="B300" s="144"/>
      <c r="C300" s="319"/>
      <c r="D300" s="319"/>
      <c r="E300" s="319"/>
      <c r="F300" s="319"/>
      <c r="G300" s="320"/>
      <c r="H300" s="320"/>
      <c r="I300" s="14"/>
      <c r="J300" s="14"/>
      <c r="K300" s="14"/>
      <c r="L300" s="14"/>
      <c r="M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  <c r="AE300" s="134"/>
      <c r="AF300" s="134"/>
      <c r="AG300" s="134"/>
      <c r="AH300" s="134"/>
    </row>
    <row r="301">
      <c r="A301" s="143"/>
      <c r="B301" s="144"/>
      <c r="C301" s="319"/>
      <c r="D301" s="319"/>
      <c r="E301" s="319"/>
      <c r="F301" s="319"/>
      <c r="G301" s="320"/>
      <c r="H301" s="320"/>
      <c r="I301" s="14"/>
      <c r="J301" s="14"/>
      <c r="K301" s="14"/>
      <c r="L301" s="14"/>
      <c r="M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  <c r="AE301" s="134"/>
      <c r="AF301" s="134"/>
      <c r="AG301" s="134"/>
      <c r="AH301" s="134"/>
    </row>
    <row r="302">
      <c r="A302" s="143"/>
      <c r="B302" s="144"/>
      <c r="C302" s="319"/>
      <c r="D302" s="319"/>
      <c r="E302" s="319"/>
      <c r="F302" s="319"/>
      <c r="G302" s="320"/>
      <c r="H302" s="320"/>
      <c r="I302" s="14"/>
      <c r="J302" s="14"/>
      <c r="K302" s="14"/>
      <c r="L302" s="14"/>
      <c r="M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  <c r="AE302" s="134"/>
      <c r="AF302" s="134"/>
      <c r="AG302" s="134"/>
      <c r="AH302" s="134"/>
    </row>
    <row r="303">
      <c r="A303" s="143"/>
      <c r="B303" s="144"/>
      <c r="C303" s="319"/>
      <c r="D303" s="319"/>
      <c r="E303" s="319"/>
      <c r="F303" s="319"/>
      <c r="G303" s="320"/>
      <c r="H303" s="320"/>
      <c r="I303" s="14"/>
      <c r="J303" s="14"/>
      <c r="K303" s="14"/>
      <c r="L303" s="14"/>
      <c r="M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  <c r="AE303" s="134"/>
      <c r="AF303" s="134"/>
      <c r="AG303" s="134"/>
      <c r="AH303" s="134"/>
    </row>
    <row r="304">
      <c r="A304" s="143"/>
      <c r="B304" s="144"/>
      <c r="C304" s="319"/>
      <c r="D304" s="319"/>
      <c r="E304" s="319"/>
      <c r="F304" s="319"/>
      <c r="G304" s="320"/>
      <c r="H304" s="320"/>
      <c r="I304" s="14"/>
      <c r="J304" s="14"/>
      <c r="K304" s="14"/>
      <c r="L304" s="14"/>
      <c r="M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  <c r="AE304" s="134"/>
      <c r="AF304" s="134"/>
      <c r="AG304" s="134"/>
      <c r="AH304" s="134"/>
    </row>
    <row r="305">
      <c r="A305" s="143"/>
      <c r="B305" s="144"/>
      <c r="C305" s="319"/>
      <c r="D305" s="319"/>
      <c r="E305" s="319"/>
      <c r="F305" s="319"/>
      <c r="G305" s="320"/>
      <c r="H305" s="320"/>
      <c r="I305" s="14"/>
      <c r="J305" s="14"/>
      <c r="K305" s="14"/>
      <c r="L305" s="14"/>
      <c r="M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  <c r="AE305" s="134"/>
      <c r="AF305" s="134"/>
      <c r="AG305" s="134"/>
      <c r="AH305" s="134"/>
    </row>
    <row r="306">
      <c r="A306" s="143"/>
      <c r="B306" s="144"/>
      <c r="C306" s="319"/>
      <c r="D306" s="319"/>
      <c r="E306" s="319"/>
      <c r="F306" s="319"/>
      <c r="G306" s="320"/>
      <c r="H306" s="320"/>
      <c r="I306" s="14"/>
      <c r="J306" s="14"/>
      <c r="K306" s="14"/>
      <c r="L306" s="14"/>
      <c r="M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  <c r="AF306" s="134"/>
      <c r="AG306" s="134"/>
      <c r="AH306" s="134"/>
    </row>
    <row r="307">
      <c r="A307" s="143"/>
      <c r="B307" s="144"/>
      <c r="C307" s="319"/>
      <c r="D307" s="319"/>
      <c r="E307" s="319"/>
      <c r="F307" s="319"/>
      <c r="G307" s="320"/>
      <c r="H307" s="320"/>
      <c r="I307" s="14"/>
      <c r="J307" s="14"/>
      <c r="K307" s="14"/>
      <c r="L307" s="14"/>
      <c r="M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  <c r="AE307" s="134"/>
      <c r="AF307" s="134"/>
      <c r="AG307" s="134"/>
      <c r="AH307" s="134"/>
    </row>
    <row r="308">
      <c r="A308" s="143"/>
      <c r="B308" s="144"/>
      <c r="C308" s="319"/>
      <c r="D308" s="319"/>
      <c r="E308" s="319"/>
      <c r="F308" s="319"/>
      <c r="G308" s="320"/>
      <c r="H308" s="320"/>
      <c r="I308" s="14"/>
      <c r="J308" s="14"/>
      <c r="K308" s="14"/>
      <c r="L308" s="14"/>
      <c r="M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  <c r="AE308" s="134"/>
      <c r="AF308" s="134"/>
      <c r="AG308" s="134"/>
      <c r="AH308" s="134"/>
    </row>
    <row r="309">
      <c r="A309" s="143"/>
      <c r="B309" s="144"/>
      <c r="C309" s="319"/>
      <c r="D309" s="319"/>
      <c r="E309" s="319"/>
      <c r="F309" s="319"/>
      <c r="G309" s="320"/>
      <c r="H309" s="320"/>
      <c r="I309" s="14"/>
      <c r="J309" s="14"/>
      <c r="K309" s="14"/>
      <c r="L309" s="14"/>
      <c r="M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  <c r="AC309" s="134"/>
      <c r="AD309" s="134"/>
      <c r="AE309" s="134"/>
      <c r="AF309" s="134"/>
      <c r="AG309" s="134"/>
      <c r="AH309" s="134"/>
    </row>
    <row r="310">
      <c r="A310" s="143"/>
      <c r="B310" s="144"/>
      <c r="C310" s="319"/>
      <c r="D310" s="319"/>
      <c r="E310" s="319"/>
      <c r="F310" s="319"/>
      <c r="G310" s="320"/>
      <c r="H310" s="320"/>
      <c r="I310" s="14"/>
      <c r="J310" s="14"/>
      <c r="K310" s="14"/>
      <c r="L310" s="14"/>
      <c r="M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  <c r="AC310" s="134"/>
      <c r="AD310" s="134"/>
      <c r="AE310" s="134"/>
      <c r="AF310" s="134"/>
      <c r="AG310" s="134"/>
      <c r="AH310" s="134"/>
    </row>
    <row r="311">
      <c r="A311" s="143"/>
      <c r="B311" s="144"/>
      <c r="C311" s="319"/>
      <c r="D311" s="319"/>
      <c r="E311" s="319"/>
      <c r="F311" s="319"/>
      <c r="G311" s="320"/>
      <c r="H311" s="320"/>
      <c r="I311" s="14"/>
      <c r="J311" s="14"/>
      <c r="K311" s="14"/>
      <c r="L311" s="14"/>
      <c r="M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  <c r="AC311" s="134"/>
      <c r="AD311" s="134"/>
      <c r="AE311" s="134"/>
      <c r="AF311" s="134"/>
      <c r="AG311" s="134"/>
      <c r="AH311" s="134"/>
    </row>
    <row r="312">
      <c r="A312" s="143"/>
      <c r="B312" s="144"/>
      <c r="C312" s="319"/>
      <c r="D312" s="319"/>
      <c r="E312" s="319"/>
      <c r="F312" s="319"/>
      <c r="G312" s="320"/>
      <c r="H312" s="320"/>
      <c r="I312" s="14"/>
      <c r="J312" s="14"/>
      <c r="K312" s="14"/>
      <c r="L312" s="14"/>
      <c r="M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  <c r="AC312" s="134"/>
      <c r="AD312" s="134"/>
      <c r="AE312" s="134"/>
      <c r="AF312" s="134"/>
      <c r="AG312" s="134"/>
      <c r="AH312" s="134"/>
    </row>
    <row r="313">
      <c r="A313" s="143"/>
      <c r="B313" s="144"/>
      <c r="C313" s="319"/>
      <c r="D313" s="319"/>
      <c r="E313" s="319"/>
      <c r="F313" s="319"/>
      <c r="G313" s="320"/>
      <c r="H313" s="320"/>
      <c r="I313" s="14"/>
      <c r="J313" s="14"/>
      <c r="K313" s="14"/>
      <c r="L313" s="14"/>
      <c r="M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  <c r="AE313" s="134"/>
      <c r="AF313" s="134"/>
      <c r="AG313" s="134"/>
      <c r="AH313" s="134"/>
    </row>
    <row r="314">
      <c r="A314" s="143"/>
      <c r="B314" s="144"/>
      <c r="C314" s="319"/>
      <c r="D314" s="319"/>
      <c r="E314" s="319"/>
      <c r="F314" s="319"/>
      <c r="G314" s="320"/>
      <c r="H314" s="320"/>
      <c r="I314" s="14"/>
      <c r="J314" s="14"/>
      <c r="K314" s="14"/>
      <c r="L314" s="14"/>
      <c r="M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  <c r="AC314" s="134"/>
      <c r="AD314" s="134"/>
      <c r="AE314" s="134"/>
      <c r="AF314" s="134"/>
      <c r="AG314" s="134"/>
      <c r="AH314" s="134"/>
    </row>
    <row r="315">
      <c r="A315" s="143"/>
      <c r="B315" s="144"/>
      <c r="C315" s="319"/>
      <c r="D315" s="319"/>
      <c r="E315" s="319"/>
      <c r="F315" s="319"/>
      <c r="G315" s="320"/>
      <c r="H315" s="320"/>
      <c r="I315" s="14"/>
      <c r="J315" s="14"/>
      <c r="K315" s="14"/>
      <c r="L315" s="14"/>
      <c r="M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  <c r="AC315" s="134"/>
      <c r="AD315" s="134"/>
      <c r="AE315" s="134"/>
      <c r="AF315" s="134"/>
      <c r="AG315" s="134"/>
      <c r="AH315" s="134"/>
    </row>
    <row r="316">
      <c r="A316" s="143"/>
      <c r="B316" s="144"/>
      <c r="C316" s="319"/>
      <c r="D316" s="319"/>
      <c r="E316" s="319"/>
      <c r="F316" s="319"/>
      <c r="G316" s="320"/>
      <c r="H316" s="320"/>
      <c r="I316" s="14"/>
      <c r="J316" s="14"/>
      <c r="K316" s="14"/>
      <c r="L316" s="14"/>
      <c r="M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  <c r="AC316" s="134"/>
      <c r="AD316" s="134"/>
      <c r="AE316" s="134"/>
      <c r="AF316" s="134"/>
      <c r="AG316" s="134"/>
      <c r="AH316" s="134"/>
    </row>
    <row r="317">
      <c r="A317" s="143"/>
      <c r="B317" s="144"/>
      <c r="C317" s="319"/>
      <c r="D317" s="319"/>
      <c r="E317" s="319"/>
      <c r="F317" s="319"/>
      <c r="G317" s="320"/>
      <c r="H317" s="320"/>
      <c r="I317" s="14"/>
      <c r="J317" s="14"/>
      <c r="K317" s="14"/>
      <c r="L317" s="14"/>
      <c r="M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  <c r="AC317" s="134"/>
      <c r="AD317" s="134"/>
      <c r="AE317" s="134"/>
      <c r="AF317" s="134"/>
      <c r="AG317" s="134"/>
      <c r="AH317" s="134"/>
    </row>
    <row r="318">
      <c r="A318" s="143"/>
      <c r="B318" s="144"/>
      <c r="C318" s="319"/>
      <c r="D318" s="319"/>
      <c r="E318" s="319"/>
      <c r="F318" s="319"/>
      <c r="G318" s="320"/>
      <c r="H318" s="320"/>
      <c r="I318" s="14"/>
      <c r="J318" s="14"/>
      <c r="K318" s="14"/>
      <c r="L318" s="14"/>
      <c r="M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  <c r="AC318" s="134"/>
      <c r="AD318" s="134"/>
      <c r="AE318" s="134"/>
      <c r="AF318" s="134"/>
      <c r="AG318" s="134"/>
      <c r="AH318" s="134"/>
    </row>
    <row r="319">
      <c r="A319" s="143"/>
      <c r="B319" s="144"/>
      <c r="C319" s="319"/>
      <c r="D319" s="319"/>
      <c r="E319" s="319"/>
      <c r="F319" s="319"/>
      <c r="G319" s="320"/>
      <c r="H319" s="320"/>
      <c r="I319" s="14"/>
      <c r="J319" s="14"/>
      <c r="K319" s="14"/>
      <c r="L319" s="14"/>
      <c r="M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  <c r="AE319" s="134"/>
      <c r="AF319" s="134"/>
      <c r="AG319" s="134"/>
      <c r="AH319" s="134"/>
    </row>
    <row r="320">
      <c r="A320" s="143"/>
      <c r="B320" s="144"/>
      <c r="C320" s="319"/>
      <c r="D320" s="319"/>
      <c r="E320" s="319"/>
      <c r="F320" s="319"/>
      <c r="G320" s="320"/>
      <c r="H320" s="320"/>
      <c r="I320" s="14"/>
      <c r="J320" s="14"/>
      <c r="K320" s="14"/>
      <c r="L320" s="14"/>
      <c r="M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  <c r="AC320" s="134"/>
      <c r="AD320" s="134"/>
      <c r="AE320" s="134"/>
      <c r="AF320" s="134"/>
      <c r="AG320" s="134"/>
      <c r="AH320" s="134"/>
    </row>
    <row r="321">
      <c r="A321" s="143"/>
      <c r="B321" s="144"/>
      <c r="C321" s="319"/>
      <c r="D321" s="319"/>
      <c r="E321" s="319"/>
      <c r="F321" s="319"/>
      <c r="G321" s="320"/>
      <c r="H321" s="320"/>
      <c r="I321" s="14"/>
      <c r="J321" s="14"/>
      <c r="K321" s="14"/>
      <c r="L321" s="14"/>
      <c r="M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  <c r="AE321" s="134"/>
      <c r="AF321" s="134"/>
      <c r="AG321" s="134"/>
      <c r="AH321" s="134"/>
    </row>
    <row r="322">
      <c r="A322" s="143"/>
      <c r="B322" s="144"/>
      <c r="C322" s="319"/>
      <c r="D322" s="319"/>
      <c r="E322" s="319"/>
      <c r="F322" s="319"/>
      <c r="G322" s="320"/>
      <c r="H322" s="320"/>
      <c r="I322" s="14"/>
      <c r="J322" s="14"/>
      <c r="K322" s="14"/>
      <c r="L322" s="14"/>
      <c r="M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  <c r="AE322" s="134"/>
      <c r="AF322" s="134"/>
      <c r="AG322" s="134"/>
      <c r="AH322" s="134"/>
    </row>
    <row r="323">
      <c r="A323" s="143"/>
      <c r="B323" s="144"/>
      <c r="C323" s="319"/>
      <c r="D323" s="319"/>
      <c r="E323" s="319"/>
      <c r="F323" s="319"/>
      <c r="G323" s="320"/>
      <c r="H323" s="320"/>
      <c r="I323" s="14"/>
      <c r="J323" s="14"/>
      <c r="K323" s="14"/>
      <c r="L323" s="14"/>
      <c r="M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  <c r="AE323" s="134"/>
      <c r="AF323" s="134"/>
      <c r="AG323" s="134"/>
      <c r="AH323" s="134"/>
    </row>
    <row r="324">
      <c r="A324" s="143"/>
      <c r="B324" s="144"/>
      <c r="C324" s="319"/>
      <c r="D324" s="319"/>
      <c r="E324" s="319"/>
      <c r="F324" s="319"/>
      <c r="G324" s="320"/>
      <c r="H324" s="320"/>
      <c r="I324" s="14"/>
      <c r="J324" s="14"/>
      <c r="K324" s="14"/>
      <c r="L324" s="14"/>
      <c r="M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  <c r="AE324" s="134"/>
      <c r="AF324" s="134"/>
      <c r="AG324" s="134"/>
      <c r="AH324" s="134"/>
    </row>
    <row r="325">
      <c r="A325" s="143"/>
      <c r="B325" s="144"/>
      <c r="C325" s="319"/>
      <c r="D325" s="319"/>
      <c r="E325" s="319"/>
      <c r="F325" s="319"/>
      <c r="G325" s="320"/>
      <c r="H325" s="320"/>
      <c r="I325" s="14"/>
      <c r="J325" s="14"/>
      <c r="K325" s="14"/>
      <c r="L325" s="14"/>
      <c r="M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</row>
    <row r="326">
      <c r="A326" s="143"/>
      <c r="B326" s="144"/>
      <c r="C326" s="319"/>
      <c r="D326" s="319"/>
      <c r="E326" s="319"/>
      <c r="F326" s="319"/>
      <c r="G326" s="320"/>
      <c r="H326" s="320"/>
      <c r="I326" s="14"/>
      <c r="J326" s="14"/>
      <c r="K326" s="14"/>
      <c r="L326" s="14"/>
      <c r="M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</row>
    <row r="327">
      <c r="A327" s="143"/>
      <c r="B327" s="144"/>
      <c r="C327" s="319"/>
      <c r="D327" s="319"/>
      <c r="E327" s="319"/>
      <c r="F327" s="319"/>
      <c r="G327" s="320"/>
      <c r="H327" s="320"/>
      <c r="I327" s="14"/>
      <c r="J327" s="14"/>
      <c r="K327" s="14"/>
      <c r="L327" s="14"/>
      <c r="M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</row>
    <row r="328">
      <c r="A328" s="143"/>
      <c r="B328" s="144"/>
      <c r="C328" s="319"/>
      <c r="D328" s="319"/>
      <c r="E328" s="319"/>
      <c r="F328" s="319"/>
      <c r="G328" s="320"/>
      <c r="H328" s="320"/>
      <c r="I328" s="14"/>
      <c r="J328" s="14"/>
      <c r="K328" s="14"/>
      <c r="L328" s="14"/>
      <c r="M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</row>
    <row r="329">
      <c r="A329" s="143"/>
      <c r="B329" s="144"/>
      <c r="C329" s="319"/>
      <c r="D329" s="319"/>
      <c r="E329" s="319"/>
      <c r="F329" s="319"/>
      <c r="G329" s="320"/>
      <c r="H329" s="320"/>
      <c r="I329" s="14"/>
      <c r="J329" s="14"/>
      <c r="K329" s="14"/>
      <c r="L329" s="14"/>
      <c r="M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</row>
    <row r="330">
      <c r="A330" s="143"/>
      <c r="B330" s="144"/>
      <c r="C330" s="319"/>
      <c r="D330" s="319"/>
      <c r="E330" s="319"/>
      <c r="F330" s="319"/>
      <c r="G330" s="320"/>
      <c r="H330" s="320"/>
      <c r="I330" s="14"/>
      <c r="J330" s="14"/>
      <c r="K330" s="14"/>
      <c r="L330" s="14"/>
      <c r="M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4"/>
    </row>
    <row r="331">
      <c r="A331" s="143"/>
      <c r="B331" s="144"/>
      <c r="C331" s="319"/>
      <c r="D331" s="319"/>
      <c r="E331" s="319"/>
      <c r="F331" s="319"/>
      <c r="G331" s="320"/>
      <c r="H331" s="320"/>
      <c r="I331" s="14"/>
      <c r="J331" s="14"/>
      <c r="K331" s="14"/>
      <c r="L331" s="14"/>
      <c r="M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4"/>
    </row>
    <row r="332">
      <c r="A332" s="143"/>
      <c r="B332" s="144"/>
      <c r="C332" s="319"/>
      <c r="D332" s="319"/>
      <c r="E332" s="319"/>
      <c r="F332" s="319"/>
      <c r="G332" s="320"/>
      <c r="H332" s="320"/>
      <c r="I332" s="14"/>
      <c r="J332" s="14"/>
      <c r="K332" s="14"/>
      <c r="L332" s="14"/>
      <c r="M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  <c r="AE332" s="134"/>
      <c r="AF332" s="134"/>
      <c r="AG332" s="134"/>
      <c r="AH332" s="134"/>
    </row>
    <row r="333">
      <c r="A333" s="143"/>
      <c r="B333" s="144"/>
      <c r="C333" s="319"/>
      <c r="D333" s="319"/>
      <c r="E333" s="319"/>
      <c r="F333" s="319"/>
      <c r="G333" s="320"/>
      <c r="H333" s="320"/>
      <c r="I333" s="14"/>
      <c r="J333" s="14"/>
      <c r="K333" s="14"/>
      <c r="L333" s="14"/>
      <c r="M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4"/>
    </row>
    <row r="334">
      <c r="A334" s="143"/>
      <c r="B334" s="144"/>
      <c r="C334" s="319"/>
      <c r="D334" s="319"/>
      <c r="E334" s="319"/>
      <c r="F334" s="319"/>
      <c r="G334" s="320"/>
      <c r="H334" s="320"/>
      <c r="I334" s="14"/>
      <c r="J334" s="14"/>
      <c r="K334" s="14"/>
      <c r="L334" s="14"/>
      <c r="M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  <c r="AE334" s="134"/>
      <c r="AF334" s="134"/>
      <c r="AG334" s="134"/>
      <c r="AH334" s="134"/>
    </row>
    <row r="335">
      <c r="A335" s="143"/>
      <c r="B335" s="144"/>
      <c r="C335" s="319"/>
      <c r="D335" s="319"/>
      <c r="E335" s="319"/>
      <c r="F335" s="319"/>
      <c r="G335" s="320"/>
      <c r="H335" s="320"/>
      <c r="I335" s="14"/>
      <c r="J335" s="14"/>
      <c r="K335" s="14"/>
      <c r="L335" s="14"/>
      <c r="M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  <c r="AE335" s="134"/>
      <c r="AF335" s="134"/>
      <c r="AG335" s="134"/>
      <c r="AH335" s="134"/>
    </row>
    <row r="336">
      <c r="A336" s="143"/>
      <c r="B336" s="144"/>
      <c r="C336" s="319"/>
      <c r="D336" s="319"/>
      <c r="E336" s="319"/>
      <c r="F336" s="319"/>
      <c r="G336" s="320"/>
      <c r="H336" s="320"/>
      <c r="I336" s="14"/>
      <c r="J336" s="14"/>
      <c r="K336" s="14"/>
      <c r="L336" s="14"/>
      <c r="M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  <c r="AE336" s="134"/>
      <c r="AF336" s="134"/>
      <c r="AG336" s="134"/>
      <c r="AH336" s="134"/>
    </row>
    <row r="337">
      <c r="A337" s="143"/>
      <c r="B337" s="144"/>
      <c r="C337" s="319"/>
      <c r="D337" s="319"/>
      <c r="E337" s="319"/>
      <c r="F337" s="319"/>
      <c r="G337" s="320"/>
      <c r="H337" s="320"/>
      <c r="I337" s="14"/>
      <c r="J337" s="14"/>
      <c r="K337" s="14"/>
      <c r="L337" s="14"/>
      <c r="M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  <c r="AE337" s="134"/>
      <c r="AF337" s="134"/>
      <c r="AG337" s="134"/>
      <c r="AH337" s="134"/>
    </row>
    <row r="338">
      <c r="A338" s="143"/>
      <c r="B338" s="144"/>
      <c r="C338" s="319"/>
      <c r="D338" s="319"/>
      <c r="E338" s="319"/>
      <c r="F338" s="319"/>
      <c r="G338" s="320"/>
      <c r="H338" s="320"/>
      <c r="I338" s="14"/>
      <c r="J338" s="14"/>
      <c r="K338" s="14"/>
      <c r="L338" s="14"/>
      <c r="M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  <c r="AE338" s="134"/>
      <c r="AF338" s="134"/>
      <c r="AG338" s="134"/>
      <c r="AH338" s="134"/>
    </row>
    <row r="339">
      <c r="A339" s="143"/>
      <c r="B339" s="144"/>
      <c r="C339" s="319"/>
      <c r="D339" s="319"/>
      <c r="E339" s="319"/>
      <c r="F339" s="319"/>
      <c r="G339" s="320"/>
      <c r="H339" s="320"/>
      <c r="I339" s="14"/>
      <c r="J339" s="14"/>
      <c r="K339" s="14"/>
      <c r="L339" s="14"/>
      <c r="M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  <c r="AG339" s="134"/>
      <c r="AH339" s="134"/>
    </row>
    <row r="340">
      <c r="A340" s="143"/>
      <c r="B340" s="144"/>
      <c r="C340" s="319"/>
      <c r="D340" s="319"/>
      <c r="E340" s="319"/>
      <c r="F340" s="319"/>
      <c r="G340" s="320"/>
      <c r="H340" s="320"/>
      <c r="I340" s="14"/>
      <c r="J340" s="14"/>
      <c r="K340" s="14"/>
      <c r="L340" s="14"/>
      <c r="M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  <c r="AE340" s="134"/>
      <c r="AF340" s="134"/>
      <c r="AG340" s="134"/>
      <c r="AH340" s="134"/>
    </row>
    <row r="341">
      <c r="A341" s="143"/>
      <c r="B341" s="144"/>
      <c r="C341" s="319"/>
      <c r="D341" s="319"/>
      <c r="E341" s="319"/>
      <c r="F341" s="319"/>
      <c r="G341" s="320"/>
      <c r="H341" s="320"/>
      <c r="I341" s="14"/>
      <c r="J341" s="14"/>
      <c r="K341" s="14"/>
      <c r="L341" s="14"/>
      <c r="M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  <c r="AE341" s="134"/>
      <c r="AF341" s="134"/>
      <c r="AG341" s="134"/>
      <c r="AH341" s="134"/>
    </row>
    <row r="342">
      <c r="A342" s="143"/>
      <c r="B342" s="144"/>
      <c r="C342" s="319"/>
      <c r="D342" s="319"/>
      <c r="E342" s="319"/>
      <c r="F342" s="319"/>
      <c r="G342" s="320"/>
      <c r="H342" s="320"/>
      <c r="I342" s="14"/>
      <c r="J342" s="14"/>
      <c r="K342" s="14"/>
      <c r="L342" s="14"/>
      <c r="M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  <c r="AC342" s="134"/>
      <c r="AD342" s="134"/>
      <c r="AE342" s="134"/>
      <c r="AF342" s="134"/>
      <c r="AG342" s="134"/>
      <c r="AH342" s="134"/>
    </row>
    <row r="343">
      <c r="A343" s="143"/>
      <c r="B343" s="144"/>
      <c r="C343" s="319"/>
      <c r="D343" s="319"/>
      <c r="E343" s="319"/>
      <c r="F343" s="319"/>
      <c r="G343" s="320"/>
      <c r="H343" s="320"/>
      <c r="I343" s="14"/>
      <c r="J343" s="14"/>
      <c r="K343" s="14"/>
      <c r="L343" s="14"/>
      <c r="M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  <c r="AE343" s="134"/>
      <c r="AF343" s="134"/>
      <c r="AG343" s="134"/>
      <c r="AH343" s="134"/>
    </row>
    <row r="344">
      <c r="A344" s="143"/>
      <c r="B344" s="144"/>
      <c r="C344" s="319"/>
      <c r="D344" s="319"/>
      <c r="E344" s="319"/>
      <c r="F344" s="319"/>
      <c r="G344" s="320"/>
      <c r="H344" s="320"/>
      <c r="I344" s="14"/>
      <c r="J344" s="14"/>
      <c r="K344" s="14"/>
      <c r="L344" s="14"/>
      <c r="M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  <c r="AC344" s="134"/>
      <c r="AD344" s="134"/>
      <c r="AE344" s="134"/>
      <c r="AF344" s="134"/>
      <c r="AG344" s="134"/>
      <c r="AH344" s="134"/>
    </row>
    <row r="345">
      <c r="A345" s="143"/>
      <c r="B345" s="144"/>
      <c r="C345" s="319"/>
      <c r="D345" s="319"/>
      <c r="E345" s="319"/>
      <c r="F345" s="319"/>
      <c r="G345" s="320"/>
      <c r="H345" s="320"/>
      <c r="I345" s="14"/>
      <c r="J345" s="14"/>
      <c r="K345" s="14"/>
      <c r="L345" s="14"/>
      <c r="M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  <c r="AE345" s="134"/>
      <c r="AF345" s="134"/>
      <c r="AG345" s="134"/>
      <c r="AH345" s="134"/>
    </row>
    <row r="346">
      <c r="A346" s="143"/>
      <c r="B346" s="144"/>
      <c r="C346" s="319"/>
      <c r="D346" s="319"/>
      <c r="E346" s="319"/>
      <c r="F346" s="319"/>
      <c r="G346" s="320"/>
      <c r="H346" s="320"/>
      <c r="I346" s="14"/>
      <c r="J346" s="14"/>
      <c r="K346" s="14"/>
      <c r="L346" s="14"/>
      <c r="M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  <c r="AE346" s="134"/>
      <c r="AF346" s="134"/>
      <c r="AG346" s="134"/>
      <c r="AH346" s="134"/>
    </row>
    <row r="347">
      <c r="A347" s="143"/>
      <c r="B347" s="144"/>
      <c r="C347" s="319"/>
      <c r="D347" s="319"/>
      <c r="E347" s="319"/>
      <c r="F347" s="319"/>
      <c r="G347" s="320"/>
      <c r="H347" s="320"/>
      <c r="I347" s="14"/>
      <c r="J347" s="14"/>
      <c r="K347" s="14"/>
      <c r="L347" s="14"/>
      <c r="M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  <c r="AE347" s="134"/>
      <c r="AF347" s="134"/>
      <c r="AG347" s="134"/>
      <c r="AH347" s="134"/>
    </row>
    <row r="348">
      <c r="A348" s="143"/>
      <c r="B348" s="144"/>
      <c r="C348" s="319"/>
      <c r="D348" s="319"/>
      <c r="E348" s="319"/>
      <c r="F348" s="319"/>
      <c r="G348" s="320"/>
      <c r="H348" s="320"/>
      <c r="I348" s="14"/>
      <c r="J348" s="14"/>
      <c r="K348" s="14"/>
      <c r="L348" s="14"/>
      <c r="M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  <c r="AE348" s="134"/>
      <c r="AF348" s="134"/>
      <c r="AG348" s="134"/>
      <c r="AH348" s="134"/>
    </row>
    <row r="349">
      <c r="A349" s="143"/>
      <c r="B349" s="144"/>
      <c r="C349" s="319"/>
      <c r="D349" s="319"/>
      <c r="E349" s="319"/>
      <c r="F349" s="319"/>
      <c r="G349" s="320"/>
      <c r="H349" s="320"/>
      <c r="I349" s="14"/>
      <c r="J349" s="14"/>
      <c r="K349" s="14"/>
      <c r="L349" s="14"/>
      <c r="M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  <c r="AE349" s="134"/>
      <c r="AF349" s="134"/>
      <c r="AG349" s="134"/>
      <c r="AH349" s="134"/>
    </row>
    <row r="350">
      <c r="A350" s="143"/>
      <c r="B350" s="144"/>
      <c r="C350" s="319"/>
      <c r="D350" s="319"/>
      <c r="E350" s="319"/>
      <c r="F350" s="319"/>
      <c r="G350" s="320"/>
      <c r="H350" s="320"/>
      <c r="I350" s="14"/>
      <c r="J350" s="14"/>
      <c r="K350" s="14"/>
      <c r="L350" s="14"/>
      <c r="M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  <c r="AE350" s="134"/>
      <c r="AF350" s="134"/>
      <c r="AG350" s="134"/>
      <c r="AH350" s="134"/>
    </row>
    <row r="351">
      <c r="A351" s="143"/>
      <c r="B351" s="144"/>
      <c r="C351" s="319"/>
      <c r="D351" s="319"/>
      <c r="E351" s="319"/>
      <c r="F351" s="319"/>
      <c r="G351" s="320"/>
      <c r="H351" s="320"/>
      <c r="I351" s="14"/>
      <c r="J351" s="14"/>
      <c r="K351" s="14"/>
      <c r="L351" s="14"/>
      <c r="M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  <c r="AE351" s="134"/>
      <c r="AF351" s="134"/>
      <c r="AG351" s="134"/>
      <c r="AH351" s="134"/>
    </row>
    <row r="352">
      <c r="A352" s="143"/>
      <c r="B352" s="144"/>
      <c r="C352" s="319"/>
      <c r="D352" s="319"/>
      <c r="E352" s="319"/>
      <c r="F352" s="319"/>
      <c r="G352" s="320"/>
      <c r="H352" s="320"/>
      <c r="I352" s="14"/>
      <c r="J352" s="14"/>
      <c r="K352" s="14"/>
      <c r="L352" s="14"/>
      <c r="M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  <c r="AE352" s="134"/>
      <c r="AF352" s="134"/>
      <c r="AG352" s="134"/>
      <c r="AH352" s="134"/>
    </row>
    <row r="353">
      <c r="A353" s="143"/>
      <c r="B353" s="144"/>
      <c r="C353" s="319"/>
      <c r="D353" s="319"/>
      <c r="E353" s="319"/>
      <c r="F353" s="319"/>
      <c r="G353" s="320"/>
      <c r="H353" s="320"/>
      <c r="I353" s="14"/>
      <c r="J353" s="14"/>
      <c r="K353" s="14"/>
      <c r="L353" s="14"/>
      <c r="M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  <c r="AE353" s="134"/>
      <c r="AF353" s="134"/>
      <c r="AG353" s="134"/>
      <c r="AH353" s="134"/>
    </row>
    <row r="354">
      <c r="A354" s="143"/>
      <c r="B354" s="144"/>
      <c r="C354" s="319"/>
      <c r="D354" s="319"/>
      <c r="E354" s="319"/>
      <c r="F354" s="319"/>
      <c r="G354" s="320"/>
      <c r="H354" s="320"/>
      <c r="I354" s="14"/>
      <c r="J354" s="14"/>
      <c r="K354" s="14"/>
      <c r="L354" s="14"/>
      <c r="M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  <c r="AE354" s="134"/>
      <c r="AF354" s="134"/>
      <c r="AG354" s="134"/>
      <c r="AH354" s="134"/>
    </row>
    <row r="355">
      <c r="A355" s="143"/>
      <c r="B355" s="144"/>
      <c r="C355" s="319"/>
      <c r="D355" s="319"/>
      <c r="E355" s="319"/>
      <c r="F355" s="319"/>
      <c r="G355" s="320"/>
      <c r="H355" s="320"/>
      <c r="I355" s="14"/>
      <c r="J355" s="14"/>
      <c r="K355" s="14"/>
      <c r="L355" s="14"/>
      <c r="M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  <c r="AE355" s="134"/>
      <c r="AF355" s="134"/>
      <c r="AG355" s="134"/>
      <c r="AH355" s="134"/>
    </row>
    <row r="356">
      <c r="A356" s="143"/>
      <c r="B356" s="144"/>
      <c r="C356" s="319"/>
      <c r="D356" s="319"/>
      <c r="E356" s="319"/>
      <c r="F356" s="319"/>
      <c r="G356" s="320"/>
      <c r="H356" s="320"/>
      <c r="I356" s="14"/>
      <c r="J356" s="14"/>
      <c r="K356" s="14"/>
      <c r="L356" s="14"/>
      <c r="M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  <c r="AE356" s="134"/>
      <c r="AF356" s="134"/>
      <c r="AG356" s="134"/>
      <c r="AH356" s="134"/>
    </row>
    <row r="357">
      <c r="A357" s="143"/>
      <c r="B357" s="144"/>
      <c r="C357" s="319"/>
      <c r="D357" s="319"/>
      <c r="E357" s="319"/>
      <c r="F357" s="319"/>
      <c r="G357" s="320"/>
      <c r="H357" s="320"/>
      <c r="I357" s="14"/>
      <c r="J357" s="14"/>
      <c r="K357" s="14"/>
      <c r="L357" s="14"/>
      <c r="M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  <c r="AE357" s="134"/>
      <c r="AF357" s="134"/>
      <c r="AG357" s="134"/>
      <c r="AH357" s="134"/>
    </row>
    <row r="358">
      <c r="A358" s="143"/>
      <c r="B358" s="144"/>
      <c r="C358" s="319"/>
      <c r="D358" s="319"/>
      <c r="E358" s="319"/>
      <c r="F358" s="319"/>
      <c r="G358" s="320"/>
      <c r="H358" s="320"/>
      <c r="I358" s="14"/>
      <c r="J358" s="14"/>
      <c r="K358" s="14"/>
      <c r="L358" s="14"/>
      <c r="M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  <c r="AE358" s="134"/>
      <c r="AF358" s="134"/>
      <c r="AG358" s="134"/>
      <c r="AH358" s="134"/>
    </row>
    <row r="359">
      <c r="A359" s="143"/>
      <c r="B359" s="144"/>
      <c r="C359" s="319"/>
      <c r="D359" s="319"/>
      <c r="E359" s="319"/>
      <c r="F359" s="319"/>
      <c r="G359" s="320"/>
      <c r="H359" s="320"/>
      <c r="I359" s="14"/>
      <c r="J359" s="14"/>
      <c r="K359" s="14"/>
      <c r="L359" s="14"/>
      <c r="M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  <c r="AE359" s="134"/>
      <c r="AF359" s="134"/>
      <c r="AG359" s="134"/>
      <c r="AH359" s="134"/>
    </row>
    <row r="360">
      <c r="A360" s="143"/>
      <c r="B360" s="144"/>
      <c r="C360" s="319"/>
      <c r="D360" s="319"/>
      <c r="E360" s="319"/>
      <c r="F360" s="319"/>
      <c r="G360" s="320"/>
      <c r="H360" s="320"/>
      <c r="I360" s="14"/>
      <c r="J360" s="14"/>
      <c r="K360" s="14"/>
      <c r="L360" s="14"/>
      <c r="M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  <c r="AE360" s="134"/>
      <c r="AF360" s="134"/>
      <c r="AG360" s="134"/>
      <c r="AH360" s="134"/>
    </row>
    <row r="361">
      <c r="A361" s="143"/>
      <c r="B361" s="144"/>
      <c r="C361" s="319"/>
      <c r="D361" s="319"/>
      <c r="E361" s="319"/>
      <c r="F361" s="319"/>
      <c r="G361" s="320"/>
      <c r="H361" s="320"/>
      <c r="I361" s="14"/>
      <c r="J361" s="14"/>
      <c r="K361" s="14"/>
      <c r="L361" s="14"/>
      <c r="M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  <c r="AE361" s="134"/>
      <c r="AF361" s="134"/>
      <c r="AG361" s="134"/>
      <c r="AH361" s="134"/>
    </row>
    <row r="362">
      <c r="A362" s="143"/>
      <c r="B362" s="144"/>
      <c r="C362" s="319"/>
      <c r="D362" s="319"/>
      <c r="E362" s="319"/>
      <c r="F362" s="319"/>
      <c r="G362" s="320"/>
      <c r="H362" s="320"/>
      <c r="I362" s="14"/>
      <c r="J362" s="14"/>
      <c r="K362" s="14"/>
      <c r="L362" s="14"/>
      <c r="M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  <c r="AE362" s="134"/>
      <c r="AF362" s="134"/>
      <c r="AG362" s="134"/>
      <c r="AH362" s="134"/>
    </row>
    <row r="363">
      <c r="A363" s="143"/>
      <c r="B363" s="144"/>
      <c r="C363" s="319"/>
      <c r="D363" s="319"/>
      <c r="E363" s="319"/>
      <c r="F363" s="319"/>
      <c r="G363" s="320"/>
      <c r="H363" s="320"/>
      <c r="I363" s="14"/>
      <c r="J363" s="14"/>
      <c r="K363" s="14"/>
      <c r="L363" s="14"/>
      <c r="M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  <c r="AE363" s="134"/>
      <c r="AF363" s="134"/>
      <c r="AG363" s="134"/>
      <c r="AH363" s="134"/>
    </row>
    <row r="364">
      <c r="A364" s="143"/>
      <c r="B364" s="144"/>
      <c r="C364" s="319"/>
      <c r="D364" s="319"/>
      <c r="E364" s="319"/>
      <c r="F364" s="319"/>
      <c r="G364" s="320"/>
      <c r="H364" s="320"/>
      <c r="I364" s="14"/>
      <c r="J364" s="14"/>
      <c r="K364" s="14"/>
      <c r="L364" s="14"/>
      <c r="M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  <c r="AE364" s="134"/>
      <c r="AF364" s="134"/>
      <c r="AG364" s="134"/>
      <c r="AH364" s="134"/>
    </row>
    <row r="365">
      <c r="A365" s="143"/>
      <c r="B365" s="144"/>
      <c r="C365" s="319"/>
      <c r="D365" s="319"/>
      <c r="E365" s="319"/>
      <c r="F365" s="319"/>
      <c r="G365" s="320"/>
      <c r="H365" s="320"/>
      <c r="I365" s="14"/>
      <c r="J365" s="14"/>
      <c r="K365" s="14"/>
      <c r="L365" s="14"/>
      <c r="M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  <c r="AE365" s="134"/>
      <c r="AF365" s="134"/>
      <c r="AG365" s="134"/>
      <c r="AH365" s="134"/>
    </row>
    <row r="366">
      <c r="A366" s="143"/>
      <c r="B366" s="144"/>
      <c r="C366" s="319"/>
      <c r="D366" s="319"/>
      <c r="E366" s="319"/>
      <c r="F366" s="319"/>
      <c r="G366" s="320"/>
      <c r="H366" s="320"/>
      <c r="I366" s="14"/>
      <c r="J366" s="14"/>
      <c r="K366" s="14"/>
      <c r="L366" s="14"/>
      <c r="M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  <c r="AE366" s="134"/>
      <c r="AF366" s="134"/>
      <c r="AG366" s="134"/>
      <c r="AH366" s="134"/>
    </row>
    <row r="367">
      <c r="A367" s="143"/>
      <c r="B367" s="144"/>
      <c r="C367" s="319"/>
      <c r="D367" s="319"/>
      <c r="E367" s="319"/>
      <c r="F367" s="319"/>
      <c r="G367" s="320"/>
      <c r="H367" s="320"/>
      <c r="I367" s="14"/>
      <c r="J367" s="14"/>
      <c r="K367" s="14"/>
      <c r="L367" s="14"/>
      <c r="M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  <c r="AE367" s="134"/>
      <c r="AF367" s="134"/>
      <c r="AG367" s="134"/>
      <c r="AH367" s="134"/>
    </row>
    <row r="368">
      <c r="A368" s="143"/>
      <c r="B368" s="144"/>
      <c r="C368" s="319"/>
      <c r="D368" s="319"/>
      <c r="E368" s="319"/>
      <c r="F368" s="319"/>
      <c r="G368" s="320"/>
      <c r="H368" s="320"/>
      <c r="I368" s="14"/>
      <c r="J368" s="14"/>
      <c r="K368" s="14"/>
      <c r="L368" s="14"/>
      <c r="M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  <c r="AE368" s="134"/>
      <c r="AF368" s="134"/>
      <c r="AG368" s="134"/>
      <c r="AH368" s="134"/>
    </row>
    <row r="369">
      <c r="A369" s="143"/>
      <c r="B369" s="144"/>
      <c r="C369" s="319"/>
      <c r="D369" s="319"/>
      <c r="E369" s="319"/>
      <c r="F369" s="319"/>
      <c r="G369" s="320"/>
      <c r="H369" s="320"/>
      <c r="I369" s="14"/>
      <c r="J369" s="14"/>
      <c r="K369" s="14"/>
      <c r="L369" s="14"/>
      <c r="M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  <c r="AE369" s="134"/>
      <c r="AF369" s="134"/>
      <c r="AG369" s="134"/>
      <c r="AH369" s="134"/>
    </row>
    <row r="370">
      <c r="A370" s="143"/>
      <c r="B370" s="144"/>
      <c r="C370" s="319"/>
      <c r="D370" s="319"/>
      <c r="E370" s="319"/>
      <c r="F370" s="319"/>
      <c r="G370" s="320"/>
      <c r="H370" s="320"/>
      <c r="I370" s="14"/>
      <c r="J370" s="14"/>
      <c r="K370" s="14"/>
      <c r="L370" s="14"/>
      <c r="M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  <c r="AE370" s="134"/>
      <c r="AF370" s="134"/>
      <c r="AG370" s="134"/>
      <c r="AH370" s="134"/>
    </row>
    <row r="371">
      <c r="A371" s="143"/>
      <c r="B371" s="144"/>
      <c r="C371" s="319"/>
      <c r="D371" s="319"/>
      <c r="E371" s="319"/>
      <c r="F371" s="319"/>
      <c r="G371" s="320"/>
      <c r="H371" s="320"/>
      <c r="I371" s="14"/>
      <c r="J371" s="14"/>
      <c r="K371" s="14"/>
      <c r="L371" s="14"/>
      <c r="M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  <c r="AE371" s="134"/>
      <c r="AF371" s="134"/>
      <c r="AG371" s="134"/>
      <c r="AH371" s="134"/>
    </row>
    <row r="372">
      <c r="A372" s="143"/>
      <c r="B372" s="144"/>
      <c r="C372" s="319"/>
      <c r="D372" s="319"/>
      <c r="E372" s="319"/>
      <c r="F372" s="319"/>
      <c r="G372" s="320"/>
      <c r="H372" s="320"/>
      <c r="I372" s="14"/>
      <c r="J372" s="14"/>
      <c r="K372" s="14"/>
      <c r="L372" s="14"/>
      <c r="M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  <c r="AF372" s="134"/>
      <c r="AG372" s="134"/>
      <c r="AH372" s="134"/>
    </row>
    <row r="373">
      <c r="A373" s="143"/>
      <c r="B373" s="144"/>
      <c r="C373" s="319"/>
      <c r="D373" s="319"/>
      <c r="E373" s="319"/>
      <c r="F373" s="319"/>
      <c r="G373" s="320"/>
      <c r="H373" s="320"/>
      <c r="I373" s="14"/>
      <c r="J373" s="14"/>
      <c r="K373" s="14"/>
      <c r="L373" s="14"/>
      <c r="M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  <c r="AF373" s="134"/>
      <c r="AG373" s="134"/>
      <c r="AH373" s="134"/>
    </row>
    <row r="374">
      <c r="A374" s="143"/>
      <c r="B374" s="144"/>
      <c r="C374" s="319"/>
      <c r="D374" s="319"/>
      <c r="E374" s="319"/>
      <c r="F374" s="319"/>
      <c r="G374" s="320"/>
      <c r="H374" s="320"/>
      <c r="I374" s="14"/>
      <c r="J374" s="14"/>
      <c r="K374" s="14"/>
      <c r="L374" s="14"/>
      <c r="M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  <c r="AE374" s="134"/>
      <c r="AF374" s="134"/>
      <c r="AG374" s="134"/>
      <c r="AH374" s="134"/>
    </row>
    <row r="375">
      <c r="A375" s="143"/>
      <c r="B375" s="144"/>
      <c r="C375" s="319"/>
      <c r="D375" s="319"/>
      <c r="E375" s="319"/>
      <c r="F375" s="319"/>
      <c r="G375" s="320"/>
      <c r="H375" s="320"/>
      <c r="I375" s="14"/>
      <c r="J375" s="14"/>
      <c r="K375" s="14"/>
      <c r="L375" s="14"/>
      <c r="M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  <c r="AE375" s="134"/>
      <c r="AF375" s="134"/>
      <c r="AG375" s="134"/>
      <c r="AH375" s="134"/>
    </row>
    <row r="376">
      <c r="A376" s="143"/>
      <c r="B376" s="144"/>
      <c r="C376" s="319"/>
      <c r="D376" s="319"/>
      <c r="E376" s="319"/>
      <c r="F376" s="319"/>
      <c r="G376" s="320"/>
      <c r="H376" s="320"/>
      <c r="I376" s="14"/>
      <c r="J376" s="14"/>
      <c r="K376" s="14"/>
      <c r="L376" s="14"/>
      <c r="M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  <c r="AE376" s="134"/>
      <c r="AF376" s="134"/>
      <c r="AG376" s="134"/>
      <c r="AH376" s="134"/>
    </row>
    <row r="377">
      <c r="A377" s="143"/>
      <c r="B377" s="144"/>
      <c r="C377" s="319"/>
      <c r="D377" s="319"/>
      <c r="E377" s="319"/>
      <c r="F377" s="319"/>
      <c r="G377" s="320"/>
      <c r="H377" s="320"/>
      <c r="I377" s="14"/>
      <c r="J377" s="14"/>
      <c r="K377" s="14"/>
      <c r="L377" s="14"/>
      <c r="M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  <c r="AF377" s="134"/>
      <c r="AG377" s="134"/>
      <c r="AH377" s="134"/>
    </row>
    <row r="378">
      <c r="A378" s="143"/>
      <c r="B378" s="144"/>
      <c r="C378" s="319"/>
      <c r="D378" s="319"/>
      <c r="E378" s="319"/>
      <c r="F378" s="319"/>
      <c r="G378" s="320"/>
      <c r="H378" s="320"/>
      <c r="I378" s="14"/>
      <c r="J378" s="14"/>
      <c r="K378" s="14"/>
      <c r="L378" s="14"/>
      <c r="M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  <c r="AE378" s="134"/>
      <c r="AF378" s="134"/>
      <c r="AG378" s="134"/>
      <c r="AH378" s="134"/>
    </row>
    <row r="379">
      <c r="A379" s="143"/>
      <c r="B379" s="144"/>
      <c r="C379" s="319"/>
      <c r="D379" s="319"/>
      <c r="E379" s="319"/>
      <c r="F379" s="319"/>
      <c r="G379" s="320"/>
      <c r="H379" s="320"/>
      <c r="I379" s="14"/>
      <c r="J379" s="14"/>
      <c r="K379" s="14"/>
      <c r="L379" s="14"/>
      <c r="M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  <c r="AF379" s="134"/>
      <c r="AG379" s="134"/>
      <c r="AH379" s="134"/>
    </row>
    <row r="380">
      <c r="A380" s="143"/>
      <c r="B380" s="144"/>
      <c r="C380" s="319"/>
      <c r="D380" s="319"/>
      <c r="E380" s="319"/>
      <c r="F380" s="319"/>
      <c r="G380" s="320"/>
      <c r="H380" s="320"/>
      <c r="I380" s="14"/>
      <c r="J380" s="14"/>
      <c r="K380" s="14"/>
      <c r="L380" s="14"/>
      <c r="M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  <c r="AE380" s="134"/>
      <c r="AF380" s="134"/>
      <c r="AG380" s="134"/>
      <c r="AH380" s="134"/>
    </row>
    <row r="381">
      <c r="A381" s="143"/>
      <c r="B381" s="144"/>
      <c r="C381" s="319"/>
      <c r="D381" s="319"/>
      <c r="E381" s="319"/>
      <c r="F381" s="319"/>
      <c r="G381" s="320"/>
      <c r="H381" s="320"/>
      <c r="I381" s="14"/>
      <c r="J381" s="14"/>
      <c r="K381" s="14"/>
      <c r="L381" s="14"/>
      <c r="M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  <c r="AE381" s="134"/>
      <c r="AF381" s="134"/>
      <c r="AG381" s="134"/>
      <c r="AH381" s="134"/>
    </row>
    <row r="382">
      <c r="A382" s="143"/>
      <c r="B382" s="144"/>
      <c r="C382" s="319"/>
      <c r="D382" s="319"/>
      <c r="E382" s="319"/>
      <c r="F382" s="319"/>
      <c r="G382" s="320"/>
      <c r="H382" s="320"/>
      <c r="I382" s="14"/>
      <c r="J382" s="14"/>
      <c r="K382" s="14"/>
      <c r="L382" s="14"/>
      <c r="M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34"/>
    </row>
    <row r="383">
      <c r="A383" s="143"/>
      <c r="B383" s="144"/>
      <c r="C383" s="319"/>
      <c r="D383" s="319"/>
      <c r="E383" s="319"/>
      <c r="F383" s="319"/>
      <c r="G383" s="320"/>
      <c r="H383" s="320"/>
      <c r="I383" s="14"/>
      <c r="J383" s="14"/>
      <c r="K383" s="14"/>
      <c r="L383" s="14"/>
      <c r="M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  <c r="AE383" s="134"/>
      <c r="AF383" s="134"/>
      <c r="AG383" s="134"/>
      <c r="AH383" s="134"/>
    </row>
    <row r="384">
      <c r="A384" s="143"/>
      <c r="B384" s="144"/>
      <c r="C384" s="319"/>
      <c r="D384" s="319"/>
      <c r="E384" s="319"/>
      <c r="F384" s="319"/>
      <c r="G384" s="320"/>
      <c r="H384" s="320"/>
      <c r="I384" s="14"/>
      <c r="J384" s="14"/>
      <c r="K384" s="14"/>
      <c r="L384" s="14"/>
      <c r="M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  <c r="AE384" s="134"/>
      <c r="AF384" s="134"/>
      <c r="AG384" s="134"/>
      <c r="AH384" s="134"/>
    </row>
    <row r="385">
      <c r="A385" s="143"/>
      <c r="B385" s="144"/>
      <c r="C385" s="319"/>
      <c r="D385" s="319"/>
      <c r="E385" s="319"/>
      <c r="F385" s="319"/>
      <c r="G385" s="320"/>
      <c r="H385" s="320"/>
      <c r="I385" s="14"/>
      <c r="J385" s="14"/>
      <c r="K385" s="14"/>
      <c r="L385" s="14"/>
      <c r="M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  <c r="AE385" s="134"/>
      <c r="AF385" s="134"/>
      <c r="AG385" s="134"/>
      <c r="AH385" s="134"/>
    </row>
    <row r="386">
      <c r="A386" s="143"/>
      <c r="B386" s="144"/>
      <c r="C386" s="319"/>
      <c r="D386" s="319"/>
      <c r="E386" s="319"/>
      <c r="F386" s="319"/>
      <c r="G386" s="320"/>
      <c r="H386" s="320"/>
      <c r="I386" s="14"/>
      <c r="J386" s="14"/>
      <c r="K386" s="14"/>
      <c r="L386" s="14"/>
      <c r="M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  <c r="AE386" s="134"/>
      <c r="AF386" s="134"/>
      <c r="AG386" s="134"/>
      <c r="AH386" s="134"/>
    </row>
    <row r="387">
      <c r="A387" s="143"/>
      <c r="B387" s="144"/>
      <c r="C387" s="319"/>
      <c r="D387" s="319"/>
      <c r="E387" s="319"/>
      <c r="F387" s="319"/>
      <c r="G387" s="320"/>
      <c r="H387" s="320"/>
      <c r="I387" s="14"/>
      <c r="J387" s="14"/>
      <c r="K387" s="14"/>
      <c r="L387" s="14"/>
      <c r="M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  <c r="AE387" s="134"/>
      <c r="AF387" s="134"/>
      <c r="AG387" s="134"/>
      <c r="AH387" s="134"/>
    </row>
    <row r="388">
      <c r="A388" s="143"/>
      <c r="B388" s="144"/>
      <c r="C388" s="319"/>
      <c r="D388" s="319"/>
      <c r="E388" s="319"/>
      <c r="F388" s="319"/>
      <c r="G388" s="320"/>
      <c r="H388" s="320"/>
      <c r="I388" s="14"/>
      <c r="J388" s="14"/>
      <c r="K388" s="14"/>
      <c r="L388" s="14"/>
      <c r="M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  <c r="AE388" s="134"/>
      <c r="AF388" s="134"/>
      <c r="AG388" s="134"/>
      <c r="AH388" s="134"/>
    </row>
    <row r="389">
      <c r="A389" s="143"/>
      <c r="B389" s="144"/>
      <c r="C389" s="319"/>
      <c r="D389" s="319"/>
      <c r="E389" s="319"/>
      <c r="F389" s="319"/>
      <c r="G389" s="320"/>
      <c r="H389" s="320"/>
      <c r="I389" s="14"/>
      <c r="J389" s="14"/>
      <c r="K389" s="14"/>
      <c r="L389" s="14"/>
      <c r="M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  <c r="AE389" s="134"/>
      <c r="AF389" s="134"/>
      <c r="AG389" s="134"/>
      <c r="AH389" s="134"/>
    </row>
    <row r="390">
      <c r="A390" s="143"/>
      <c r="B390" s="144"/>
      <c r="C390" s="319"/>
      <c r="D390" s="319"/>
      <c r="E390" s="319"/>
      <c r="F390" s="319"/>
      <c r="G390" s="320"/>
      <c r="H390" s="320"/>
      <c r="I390" s="14"/>
      <c r="J390" s="14"/>
      <c r="K390" s="14"/>
      <c r="L390" s="14"/>
      <c r="M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  <c r="AE390" s="134"/>
      <c r="AF390" s="134"/>
      <c r="AG390" s="134"/>
      <c r="AH390" s="134"/>
    </row>
    <row r="391">
      <c r="A391" s="143"/>
      <c r="B391" s="144"/>
      <c r="C391" s="319"/>
      <c r="D391" s="319"/>
      <c r="E391" s="319"/>
      <c r="F391" s="319"/>
      <c r="G391" s="320"/>
      <c r="H391" s="320"/>
      <c r="I391" s="14"/>
      <c r="J391" s="14"/>
      <c r="K391" s="14"/>
      <c r="L391" s="14"/>
      <c r="M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  <c r="AF391" s="134"/>
      <c r="AG391" s="134"/>
      <c r="AH391" s="134"/>
    </row>
    <row r="392">
      <c r="A392" s="143"/>
      <c r="B392" s="144"/>
      <c r="C392" s="319"/>
      <c r="D392" s="319"/>
      <c r="E392" s="319"/>
      <c r="F392" s="319"/>
      <c r="G392" s="320"/>
      <c r="H392" s="320"/>
      <c r="I392" s="14"/>
      <c r="J392" s="14"/>
      <c r="K392" s="14"/>
      <c r="L392" s="14"/>
      <c r="M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  <c r="AE392" s="134"/>
      <c r="AF392" s="134"/>
      <c r="AG392" s="134"/>
      <c r="AH392" s="134"/>
    </row>
    <row r="393">
      <c r="A393" s="143"/>
      <c r="B393" s="144"/>
      <c r="C393" s="319"/>
      <c r="D393" s="319"/>
      <c r="E393" s="319"/>
      <c r="F393" s="319"/>
      <c r="G393" s="320"/>
      <c r="H393" s="320"/>
      <c r="I393" s="14"/>
      <c r="J393" s="14"/>
      <c r="K393" s="14"/>
      <c r="L393" s="14"/>
      <c r="M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  <c r="AE393" s="134"/>
      <c r="AF393" s="134"/>
      <c r="AG393" s="134"/>
      <c r="AH393" s="134"/>
    </row>
    <row r="394">
      <c r="A394" s="143"/>
      <c r="B394" s="144"/>
      <c r="C394" s="319"/>
      <c r="D394" s="319"/>
      <c r="E394" s="319"/>
      <c r="F394" s="319"/>
      <c r="G394" s="320"/>
      <c r="H394" s="320"/>
      <c r="I394" s="14"/>
      <c r="J394" s="14"/>
      <c r="K394" s="14"/>
      <c r="L394" s="14"/>
      <c r="M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  <c r="AE394" s="134"/>
      <c r="AF394" s="134"/>
      <c r="AG394" s="134"/>
      <c r="AH394" s="134"/>
    </row>
    <row r="395">
      <c r="A395" s="143"/>
      <c r="B395" s="144"/>
      <c r="C395" s="319"/>
      <c r="D395" s="319"/>
      <c r="E395" s="319"/>
      <c r="F395" s="319"/>
      <c r="G395" s="320"/>
      <c r="H395" s="320"/>
      <c r="I395" s="14"/>
      <c r="J395" s="14"/>
      <c r="K395" s="14"/>
      <c r="L395" s="14"/>
      <c r="M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  <c r="AE395" s="134"/>
      <c r="AF395" s="134"/>
      <c r="AG395" s="134"/>
      <c r="AH395" s="134"/>
    </row>
    <row r="396">
      <c r="A396" s="143"/>
      <c r="B396" s="144"/>
      <c r="C396" s="319"/>
      <c r="D396" s="319"/>
      <c r="E396" s="319"/>
      <c r="F396" s="319"/>
      <c r="G396" s="320"/>
      <c r="H396" s="320"/>
      <c r="I396" s="14"/>
      <c r="J396" s="14"/>
      <c r="K396" s="14"/>
      <c r="L396" s="14"/>
      <c r="M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  <c r="AF396" s="134"/>
      <c r="AG396" s="134"/>
      <c r="AH396" s="134"/>
    </row>
    <row r="397">
      <c r="A397" s="143"/>
      <c r="B397" s="144"/>
      <c r="C397" s="319"/>
      <c r="D397" s="319"/>
      <c r="E397" s="319"/>
      <c r="F397" s="319"/>
      <c r="G397" s="320"/>
      <c r="H397" s="320"/>
      <c r="I397" s="14"/>
      <c r="J397" s="14"/>
      <c r="K397" s="14"/>
      <c r="L397" s="14"/>
      <c r="M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  <c r="AF397" s="134"/>
      <c r="AG397" s="134"/>
      <c r="AH397" s="134"/>
    </row>
    <row r="398">
      <c r="A398" s="143"/>
      <c r="B398" s="144"/>
      <c r="C398" s="319"/>
      <c r="D398" s="319"/>
      <c r="E398" s="319"/>
      <c r="F398" s="319"/>
      <c r="G398" s="320"/>
      <c r="H398" s="320"/>
      <c r="I398" s="14"/>
      <c r="J398" s="14"/>
      <c r="K398" s="14"/>
      <c r="L398" s="14"/>
      <c r="M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  <c r="AE398" s="134"/>
      <c r="AF398" s="134"/>
      <c r="AG398" s="134"/>
      <c r="AH398" s="134"/>
    </row>
    <row r="399">
      <c r="A399" s="143"/>
      <c r="B399" s="144"/>
      <c r="C399" s="319"/>
      <c r="D399" s="319"/>
      <c r="E399" s="319"/>
      <c r="F399" s="319"/>
      <c r="G399" s="320"/>
      <c r="H399" s="320"/>
      <c r="I399" s="14"/>
      <c r="J399" s="14"/>
      <c r="K399" s="14"/>
      <c r="L399" s="14"/>
      <c r="M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  <c r="AE399" s="134"/>
      <c r="AF399" s="134"/>
      <c r="AG399" s="134"/>
      <c r="AH399" s="134"/>
    </row>
    <row r="400">
      <c r="A400" s="143"/>
      <c r="B400" s="144"/>
      <c r="C400" s="319"/>
      <c r="D400" s="319"/>
      <c r="E400" s="319"/>
      <c r="F400" s="319"/>
      <c r="G400" s="320"/>
      <c r="H400" s="320"/>
      <c r="I400" s="14"/>
      <c r="J400" s="14"/>
      <c r="K400" s="14"/>
      <c r="L400" s="14"/>
      <c r="M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  <c r="AE400" s="134"/>
      <c r="AF400" s="134"/>
      <c r="AG400" s="134"/>
      <c r="AH400" s="134"/>
    </row>
    <row r="401">
      <c r="A401" s="143"/>
      <c r="B401" s="144"/>
      <c r="C401" s="319"/>
      <c r="D401" s="319"/>
      <c r="E401" s="319"/>
      <c r="F401" s="319"/>
      <c r="G401" s="320"/>
      <c r="H401" s="320"/>
      <c r="I401" s="14"/>
      <c r="J401" s="14"/>
      <c r="K401" s="14"/>
      <c r="L401" s="14"/>
      <c r="M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  <c r="AE401" s="134"/>
      <c r="AF401" s="134"/>
      <c r="AG401" s="134"/>
      <c r="AH401" s="134"/>
    </row>
    <row r="402">
      <c r="A402" s="143"/>
      <c r="B402" s="144"/>
      <c r="C402" s="319"/>
      <c r="D402" s="319"/>
      <c r="E402" s="319"/>
      <c r="F402" s="319"/>
      <c r="G402" s="320"/>
      <c r="H402" s="320"/>
      <c r="I402" s="14"/>
      <c r="J402" s="14"/>
      <c r="K402" s="14"/>
      <c r="L402" s="14"/>
      <c r="M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  <c r="AE402" s="134"/>
      <c r="AF402" s="134"/>
      <c r="AG402" s="134"/>
      <c r="AH402" s="134"/>
    </row>
    <row r="403">
      <c r="A403" s="143"/>
      <c r="B403" s="144"/>
      <c r="C403" s="319"/>
      <c r="D403" s="319"/>
      <c r="E403" s="319"/>
      <c r="F403" s="319"/>
      <c r="G403" s="320"/>
      <c r="H403" s="320"/>
      <c r="I403" s="14"/>
      <c r="J403" s="14"/>
      <c r="K403" s="14"/>
      <c r="L403" s="14"/>
      <c r="M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  <c r="AC403" s="134"/>
      <c r="AD403" s="134"/>
      <c r="AE403" s="134"/>
      <c r="AF403" s="134"/>
      <c r="AG403" s="134"/>
      <c r="AH403" s="134"/>
    </row>
    <row r="404">
      <c r="A404" s="143"/>
      <c r="B404" s="144"/>
      <c r="C404" s="319"/>
      <c r="D404" s="319"/>
      <c r="E404" s="319"/>
      <c r="F404" s="319"/>
      <c r="G404" s="320"/>
      <c r="H404" s="320"/>
      <c r="I404" s="14"/>
      <c r="J404" s="14"/>
      <c r="K404" s="14"/>
      <c r="L404" s="14"/>
      <c r="M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  <c r="AE404" s="134"/>
      <c r="AF404" s="134"/>
      <c r="AG404" s="134"/>
      <c r="AH404" s="134"/>
    </row>
    <row r="405">
      <c r="A405" s="143"/>
      <c r="B405" s="144"/>
      <c r="C405" s="319"/>
      <c r="D405" s="319"/>
      <c r="E405" s="319"/>
      <c r="F405" s="319"/>
      <c r="G405" s="320"/>
      <c r="H405" s="320"/>
      <c r="I405" s="14"/>
      <c r="J405" s="14"/>
      <c r="K405" s="14"/>
      <c r="L405" s="14"/>
      <c r="M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  <c r="AC405" s="134"/>
      <c r="AD405" s="134"/>
      <c r="AE405" s="134"/>
      <c r="AF405" s="134"/>
      <c r="AG405" s="134"/>
      <c r="AH405" s="134"/>
    </row>
    <row r="406">
      <c r="A406" s="143"/>
      <c r="B406" s="144"/>
      <c r="C406" s="319"/>
      <c r="D406" s="319"/>
      <c r="E406" s="319"/>
      <c r="F406" s="319"/>
      <c r="G406" s="320"/>
      <c r="H406" s="320"/>
      <c r="I406" s="14"/>
      <c r="J406" s="14"/>
      <c r="K406" s="14"/>
      <c r="L406" s="14"/>
      <c r="M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  <c r="AF406" s="134"/>
      <c r="AG406" s="134"/>
      <c r="AH406" s="134"/>
    </row>
    <row r="407">
      <c r="A407" s="143"/>
      <c r="B407" s="144"/>
      <c r="C407" s="319"/>
      <c r="D407" s="319"/>
      <c r="E407" s="319"/>
      <c r="F407" s="319"/>
      <c r="G407" s="320"/>
      <c r="H407" s="320"/>
      <c r="I407" s="14"/>
      <c r="J407" s="14"/>
      <c r="K407" s="14"/>
      <c r="L407" s="14"/>
      <c r="M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  <c r="AE407" s="134"/>
      <c r="AF407" s="134"/>
      <c r="AG407" s="134"/>
      <c r="AH407" s="134"/>
    </row>
    <row r="408">
      <c r="A408" s="143"/>
      <c r="B408" s="144"/>
      <c r="C408" s="319"/>
      <c r="D408" s="319"/>
      <c r="E408" s="319"/>
      <c r="F408" s="319"/>
      <c r="G408" s="320"/>
      <c r="H408" s="320"/>
      <c r="I408" s="14"/>
      <c r="J408" s="14"/>
      <c r="K408" s="14"/>
      <c r="L408" s="14"/>
      <c r="M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  <c r="AE408" s="134"/>
      <c r="AF408" s="134"/>
      <c r="AG408" s="134"/>
      <c r="AH408" s="134"/>
    </row>
    <row r="409">
      <c r="A409" s="143"/>
      <c r="B409" s="144"/>
      <c r="C409" s="319"/>
      <c r="D409" s="319"/>
      <c r="E409" s="319"/>
      <c r="F409" s="319"/>
      <c r="G409" s="320"/>
      <c r="H409" s="320"/>
      <c r="I409" s="14"/>
      <c r="J409" s="14"/>
      <c r="K409" s="14"/>
      <c r="L409" s="14"/>
      <c r="M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  <c r="AE409" s="134"/>
      <c r="AF409" s="134"/>
      <c r="AG409" s="134"/>
      <c r="AH409" s="134"/>
    </row>
    <row r="410">
      <c r="A410" s="143"/>
      <c r="B410" s="144"/>
      <c r="C410" s="319"/>
      <c r="D410" s="319"/>
      <c r="E410" s="319"/>
      <c r="F410" s="319"/>
      <c r="G410" s="320"/>
      <c r="H410" s="320"/>
      <c r="I410" s="14"/>
      <c r="J410" s="14"/>
      <c r="K410" s="14"/>
      <c r="L410" s="14"/>
      <c r="M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  <c r="AE410" s="134"/>
      <c r="AF410" s="134"/>
      <c r="AG410" s="134"/>
      <c r="AH410" s="134"/>
    </row>
    <row r="411">
      <c r="A411" s="143"/>
      <c r="B411" s="144"/>
      <c r="C411" s="319"/>
      <c r="D411" s="319"/>
      <c r="E411" s="319"/>
      <c r="F411" s="319"/>
      <c r="G411" s="320"/>
      <c r="H411" s="320"/>
      <c r="I411" s="14"/>
      <c r="J411" s="14"/>
      <c r="K411" s="14"/>
      <c r="L411" s="14"/>
      <c r="M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  <c r="AE411" s="134"/>
      <c r="AF411" s="134"/>
      <c r="AG411" s="134"/>
      <c r="AH411" s="134"/>
    </row>
    <row r="412">
      <c r="A412" s="143"/>
      <c r="B412" s="144"/>
      <c r="C412" s="319"/>
      <c r="D412" s="319"/>
      <c r="E412" s="319"/>
      <c r="F412" s="319"/>
      <c r="G412" s="320"/>
      <c r="H412" s="320"/>
      <c r="I412" s="14"/>
      <c r="J412" s="14"/>
      <c r="K412" s="14"/>
      <c r="L412" s="14"/>
      <c r="M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  <c r="AE412" s="134"/>
      <c r="AF412" s="134"/>
      <c r="AG412" s="134"/>
      <c r="AH412" s="134"/>
    </row>
    <row r="413">
      <c r="A413" s="143"/>
      <c r="B413" s="144"/>
      <c r="C413" s="319"/>
      <c r="D413" s="319"/>
      <c r="E413" s="319"/>
      <c r="F413" s="319"/>
      <c r="G413" s="320"/>
      <c r="H413" s="320"/>
      <c r="I413" s="14"/>
      <c r="J413" s="14"/>
      <c r="K413" s="14"/>
      <c r="L413" s="14"/>
      <c r="M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  <c r="AE413" s="134"/>
      <c r="AF413" s="134"/>
      <c r="AG413" s="134"/>
      <c r="AH413" s="134"/>
    </row>
    <row r="414">
      <c r="A414" s="143"/>
      <c r="B414" s="144"/>
      <c r="C414" s="319"/>
      <c r="D414" s="319"/>
      <c r="E414" s="319"/>
      <c r="F414" s="319"/>
      <c r="G414" s="320"/>
      <c r="H414" s="320"/>
      <c r="I414" s="14"/>
      <c r="J414" s="14"/>
      <c r="K414" s="14"/>
      <c r="L414" s="14"/>
      <c r="M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  <c r="AF414" s="134"/>
      <c r="AG414" s="134"/>
      <c r="AH414" s="134"/>
    </row>
    <row r="415">
      <c r="A415" s="143"/>
      <c r="B415" s="144"/>
      <c r="C415" s="319"/>
      <c r="D415" s="319"/>
      <c r="E415" s="319"/>
      <c r="F415" s="319"/>
      <c r="G415" s="320"/>
      <c r="H415" s="320"/>
      <c r="I415" s="14"/>
      <c r="J415" s="14"/>
      <c r="K415" s="14"/>
      <c r="L415" s="14"/>
      <c r="M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  <c r="AF415" s="134"/>
      <c r="AG415" s="134"/>
      <c r="AH415" s="134"/>
    </row>
    <row r="416">
      <c r="A416" s="143"/>
      <c r="B416" s="144"/>
      <c r="C416" s="319"/>
      <c r="D416" s="319"/>
      <c r="E416" s="319"/>
      <c r="F416" s="319"/>
      <c r="G416" s="320"/>
      <c r="H416" s="320"/>
      <c r="I416" s="14"/>
      <c r="J416" s="14"/>
      <c r="K416" s="14"/>
      <c r="L416" s="14"/>
      <c r="M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  <c r="AF416" s="134"/>
      <c r="AG416" s="134"/>
      <c r="AH416" s="134"/>
    </row>
    <row r="417">
      <c r="A417" s="143"/>
      <c r="B417" s="144"/>
      <c r="C417" s="319"/>
      <c r="D417" s="319"/>
      <c r="E417" s="319"/>
      <c r="F417" s="319"/>
      <c r="G417" s="320"/>
      <c r="H417" s="320"/>
      <c r="I417" s="14"/>
      <c r="J417" s="14"/>
      <c r="K417" s="14"/>
      <c r="L417" s="14"/>
      <c r="M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  <c r="AF417" s="134"/>
      <c r="AG417" s="134"/>
      <c r="AH417" s="134"/>
    </row>
    <row r="418">
      <c r="A418" s="143"/>
      <c r="B418" s="144"/>
      <c r="C418" s="319"/>
      <c r="D418" s="319"/>
      <c r="E418" s="319"/>
      <c r="F418" s="319"/>
      <c r="G418" s="320"/>
      <c r="H418" s="320"/>
      <c r="I418" s="14"/>
      <c r="J418" s="14"/>
      <c r="K418" s="14"/>
      <c r="L418" s="14"/>
      <c r="M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  <c r="AE418" s="134"/>
      <c r="AF418" s="134"/>
      <c r="AG418" s="134"/>
      <c r="AH418" s="134"/>
    </row>
    <row r="419">
      <c r="A419" s="143"/>
      <c r="B419" s="144"/>
      <c r="C419" s="319"/>
      <c r="D419" s="319"/>
      <c r="E419" s="319"/>
      <c r="F419" s="319"/>
      <c r="G419" s="320"/>
      <c r="H419" s="320"/>
      <c r="I419" s="14"/>
      <c r="J419" s="14"/>
      <c r="K419" s="14"/>
      <c r="L419" s="14"/>
      <c r="M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  <c r="AE419" s="134"/>
      <c r="AF419" s="134"/>
      <c r="AG419" s="134"/>
      <c r="AH419" s="134"/>
    </row>
    <row r="420">
      <c r="A420" s="143"/>
      <c r="B420" s="144"/>
      <c r="C420" s="319"/>
      <c r="D420" s="319"/>
      <c r="E420" s="319"/>
      <c r="F420" s="319"/>
      <c r="G420" s="320"/>
      <c r="H420" s="320"/>
      <c r="I420" s="14"/>
      <c r="J420" s="14"/>
      <c r="K420" s="14"/>
      <c r="L420" s="14"/>
      <c r="M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  <c r="AE420" s="134"/>
      <c r="AF420" s="134"/>
      <c r="AG420" s="134"/>
      <c r="AH420" s="134"/>
    </row>
    <row r="421">
      <c r="A421" s="143"/>
      <c r="B421" s="144"/>
      <c r="C421" s="319"/>
      <c r="D421" s="319"/>
      <c r="E421" s="319"/>
      <c r="F421" s="319"/>
      <c r="G421" s="320"/>
      <c r="H421" s="320"/>
      <c r="I421" s="14"/>
      <c r="J421" s="14"/>
      <c r="K421" s="14"/>
      <c r="L421" s="14"/>
      <c r="M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  <c r="AE421" s="134"/>
      <c r="AF421" s="134"/>
      <c r="AG421" s="134"/>
      <c r="AH421" s="134"/>
    </row>
    <row r="422">
      <c r="A422" s="143"/>
      <c r="B422" s="144"/>
      <c r="C422" s="319"/>
      <c r="D422" s="319"/>
      <c r="E422" s="319"/>
      <c r="F422" s="319"/>
      <c r="G422" s="320"/>
      <c r="H422" s="320"/>
      <c r="I422" s="14"/>
      <c r="J422" s="14"/>
      <c r="K422" s="14"/>
      <c r="L422" s="14"/>
      <c r="M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  <c r="AE422" s="134"/>
      <c r="AF422" s="134"/>
      <c r="AG422" s="134"/>
      <c r="AH422" s="134"/>
    </row>
    <row r="423">
      <c r="A423" s="143"/>
      <c r="B423" s="144"/>
      <c r="C423" s="319"/>
      <c r="D423" s="319"/>
      <c r="E423" s="319"/>
      <c r="F423" s="319"/>
      <c r="G423" s="320"/>
      <c r="H423" s="320"/>
      <c r="I423" s="14"/>
      <c r="J423" s="14"/>
      <c r="K423" s="14"/>
      <c r="L423" s="14"/>
      <c r="M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  <c r="AF423" s="134"/>
      <c r="AG423" s="134"/>
      <c r="AH423" s="134"/>
    </row>
    <row r="424">
      <c r="A424" s="143"/>
      <c r="B424" s="144"/>
      <c r="C424" s="319"/>
      <c r="D424" s="319"/>
      <c r="E424" s="319"/>
      <c r="F424" s="319"/>
      <c r="G424" s="320"/>
      <c r="H424" s="320"/>
      <c r="I424" s="14"/>
      <c r="J424" s="14"/>
      <c r="K424" s="14"/>
      <c r="L424" s="14"/>
      <c r="M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  <c r="AE424" s="134"/>
      <c r="AF424" s="134"/>
      <c r="AG424" s="134"/>
      <c r="AH424" s="134"/>
    </row>
    <row r="425">
      <c r="A425" s="143"/>
      <c r="B425" s="144"/>
      <c r="C425" s="319"/>
      <c r="D425" s="319"/>
      <c r="E425" s="319"/>
      <c r="F425" s="319"/>
      <c r="G425" s="320"/>
      <c r="H425" s="320"/>
      <c r="I425" s="14"/>
      <c r="J425" s="14"/>
      <c r="K425" s="14"/>
      <c r="L425" s="14"/>
      <c r="M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  <c r="AE425" s="134"/>
      <c r="AF425" s="134"/>
      <c r="AG425" s="134"/>
      <c r="AH425" s="134"/>
    </row>
    <row r="426">
      <c r="A426" s="143"/>
      <c r="B426" s="144"/>
      <c r="C426" s="319"/>
      <c r="D426" s="319"/>
      <c r="E426" s="319"/>
      <c r="F426" s="319"/>
      <c r="G426" s="320"/>
      <c r="H426" s="320"/>
      <c r="I426" s="14"/>
      <c r="J426" s="14"/>
      <c r="K426" s="14"/>
      <c r="L426" s="14"/>
      <c r="M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</row>
    <row r="427">
      <c r="A427" s="143"/>
      <c r="B427" s="144"/>
      <c r="C427" s="319"/>
      <c r="D427" s="319"/>
      <c r="E427" s="319"/>
      <c r="F427" s="319"/>
      <c r="G427" s="320"/>
      <c r="H427" s="320"/>
      <c r="I427" s="14"/>
      <c r="J427" s="14"/>
      <c r="K427" s="14"/>
      <c r="L427" s="14"/>
      <c r="M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  <c r="AE427" s="134"/>
      <c r="AF427" s="134"/>
      <c r="AG427" s="134"/>
      <c r="AH427" s="134"/>
    </row>
    <row r="428">
      <c r="A428" s="143"/>
      <c r="B428" s="144"/>
      <c r="C428" s="319"/>
      <c r="D428" s="319"/>
      <c r="E428" s="319"/>
      <c r="F428" s="319"/>
      <c r="G428" s="320"/>
      <c r="H428" s="320"/>
      <c r="I428" s="14"/>
      <c r="J428" s="14"/>
      <c r="K428" s="14"/>
      <c r="L428" s="14"/>
      <c r="M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  <c r="AE428" s="134"/>
      <c r="AF428" s="134"/>
      <c r="AG428" s="134"/>
      <c r="AH428" s="134"/>
    </row>
    <row r="429">
      <c r="A429" s="143"/>
      <c r="B429" s="144"/>
      <c r="C429" s="319"/>
      <c r="D429" s="319"/>
      <c r="E429" s="319"/>
      <c r="F429" s="319"/>
      <c r="G429" s="320"/>
      <c r="H429" s="320"/>
      <c r="I429" s="14"/>
      <c r="J429" s="14"/>
      <c r="K429" s="14"/>
      <c r="L429" s="14"/>
      <c r="M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  <c r="AE429" s="134"/>
      <c r="AF429" s="134"/>
      <c r="AG429" s="134"/>
      <c r="AH429" s="134"/>
    </row>
    <row r="430">
      <c r="A430" s="143"/>
      <c r="B430" s="144"/>
      <c r="C430" s="319"/>
      <c r="D430" s="319"/>
      <c r="E430" s="319"/>
      <c r="F430" s="319"/>
      <c r="G430" s="320"/>
      <c r="H430" s="320"/>
      <c r="I430" s="14"/>
      <c r="J430" s="14"/>
      <c r="K430" s="14"/>
      <c r="L430" s="14"/>
      <c r="M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  <c r="AE430" s="134"/>
      <c r="AF430" s="134"/>
      <c r="AG430" s="134"/>
      <c r="AH430" s="134"/>
    </row>
    <row r="431">
      <c r="A431" s="143"/>
      <c r="B431" s="144"/>
      <c r="C431" s="319"/>
      <c r="D431" s="319"/>
      <c r="E431" s="319"/>
      <c r="F431" s="319"/>
      <c r="G431" s="320"/>
      <c r="H431" s="320"/>
      <c r="I431" s="14"/>
      <c r="J431" s="14"/>
      <c r="K431" s="14"/>
      <c r="L431" s="14"/>
      <c r="M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  <c r="AF431" s="134"/>
      <c r="AG431" s="134"/>
      <c r="AH431" s="134"/>
    </row>
    <row r="432">
      <c r="A432" s="143"/>
      <c r="B432" s="144"/>
      <c r="C432" s="319"/>
      <c r="D432" s="319"/>
      <c r="E432" s="319"/>
      <c r="F432" s="319"/>
      <c r="G432" s="320"/>
      <c r="H432" s="320"/>
      <c r="I432" s="14"/>
      <c r="J432" s="14"/>
      <c r="K432" s="14"/>
      <c r="L432" s="14"/>
      <c r="M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  <c r="AE432" s="134"/>
      <c r="AF432" s="134"/>
      <c r="AG432" s="134"/>
      <c r="AH432" s="134"/>
    </row>
    <row r="433">
      <c r="A433" s="143"/>
      <c r="B433" s="144"/>
      <c r="C433" s="319"/>
      <c r="D433" s="319"/>
      <c r="E433" s="319"/>
      <c r="F433" s="319"/>
      <c r="G433" s="320"/>
      <c r="H433" s="320"/>
      <c r="I433" s="14"/>
      <c r="J433" s="14"/>
      <c r="K433" s="14"/>
      <c r="L433" s="14"/>
      <c r="M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  <c r="AE433" s="134"/>
      <c r="AF433" s="134"/>
      <c r="AG433" s="134"/>
      <c r="AH433" s="134"/>
    </row>
    <row r="434">
      <c r="A434" s="143"/>
      <c r="B434" s="144"/>
      <c r="C434" s="319"/>
      <c r="D434" s="319"/>
      <c r="E434" s="319"/>
      <c r="F434" s="319"/>
      <c r="G434" s="320"/>
      <c r="H434" s="320"/>
      <c r="I434" s="14"/>
      <c r="J434" s="14"/>
      <c r="K434" s="14"/>
      <c r="L434" s="14"/>
      <c r="M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  <c r="AE434" s="134"/>
      <c r="AF434" s="134"/>
      <c r="AG434" s="134"/>
      <c r="AH434" s="134"/>
    </row>
    <row r="435">
      <c r="A435" s="143"/>
      <c r="B435" s="144"/>
      <c r="C435" s="319"/>
      <c r="D435" s="319"/>
      <c r="E435" s="319"/>
      <c r="F435" s="319"/>
      <c r="G435" s="320"/>
      <c r="H435" s="320"/>
      <c r="I435" s="14"/>
      <c r="J435" s="14"/>
      <c r="K435" s="14"/>
      <c r="L435" s="14"/>
      <c r="M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34"/>
    </row>
    <row r="436">
      <c r="A436" s="143"/>
      <c r="B436" s="144"/>
      <c r="C436" s="319"/>
      <c r="D436" s="319"/>
      <c r="E436" s="319"/>
      <c r="F436" s="319"/>
      <c r="G436" s="320"/>
      <c r="H436" s="320"/>
      <c r="I436" s="14"/>
      <c r="J436" s="14"/>
      <c r="K436" s="14"/>
      <c r="L436" s="14"/>
      <c r="M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  <c r="AE436" s="134"/>
      <c r="AF436" s="134"/>
      <c r="AG436" s="134"/>
      <c r="AH436" s="134"/>
    </row>
    <row r="437">
      <c r="A437" s="143"/>
      <c r="B437" s="144"/>
      <c r="C437" s="319"/>
      <c r="D437" s="319"/>
      <c r="E437" s="319"/>
      <c r="F437" s="319"/>
      <c r="G437" s="320"/>
      <c r="H437" s="320"/>
      <c r="I437" s="14"/>
      <c r="J437" s="14"/>
      <c r="K437" s="14"/>
      <c r="L437" s="14"/>
      <c r="M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  <c r="AE437" s="134"/>
      <c r="AF437" s="134"/>
      <c r="AG437" s="134"/>
      <c r="AH437" s="134"/>
    </row>
    <row r="438">
      <c r="A438" s="143"/>
      <c r="B438" s="144"/>
      <c r="C438" s="319"/>
      <c r="D438" s="319"/>
      <c r="E438" s="319"/>
      <c r="F438" s="319"/>
      <c r="G438" s="320"/>
      <c r="H438" s="320"/>
      <c r="I438" s="14"/>
      <c r="J438" s="14"/>
      <c r="K438" s="14"/>
      <c r="L438" s="14"/>
      <c r="M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  <c r="AE438" s="134"/>
      <c r="AF438" s="134"/>
      <c r="AG438" s="134"/>
      <c r="AH438" s="134"/>
    </row>
    <row r="439">
      <c r="A439" s="143"/>
      <c r="B439" s="144"/>
      <c r="C439" s="319"/>
      <c r="D439" s="319"/>
      <c r="E439" s="319"/>
      <c r="F439" s="319"/>
      <c r="G439" s="320"/>
      <c r="H439" s="320"/>
      <c r="I439" s="14"/>
      <c r="J439" s="14"/>
      <c r="K439" s="14"/>
      <c r="L439" s="14"/>
      <c r="M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  <c r="AE439" s="134"/>
      <c r="AF439" s="134"/>
      <c r="AG439" s="134"/>
      <c r="AH439" s="134"/>
    </row>
    <row r="440">
      <c r="A440" s="143"/>
      <c r="B440" s="144"/>
      <c r="C440" s="319"/>
      <c r="D440" s="319"/>
      <c r="E440" s="319"/>
      <c r="F440" s="319"/>
      <c r="G440" s="320"/>
      <c r="H440" s="320"/>
      <c r="I440" s="14"/>
      <c r="J440" s="14"/>
      <c r="K440" s="14"/>
      <c r="L440" s="14"/>
      <c r="M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  <c r="AF440" s="134"/>
      <c r="AG440" s="134"/>
      <c r="AH440" s="134"/>
    </row>
    <row r="441">
      <c r="A441" s="143"/>
      <c r="B441" s="144"/>
      <c r="C441" s="319"/>
      <c r="D441" s="319"/>
      <c r="E441" s="319"/>
      <c r="F441" s="319"/>
      <c r="G441" s="320"/>
      <c r="H441" s="320"/>
      <c r="I441" s="14"/>
      <c r="J441" s="14"/>
      <c r="K441" s="14"/>
      <c r="L441" s="14"/>
      <c r="M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  <c r="AE441" s="134"/>
      <c r="AF441" s="134"/>
      <c r="AG441" s="134"/>
      <c r="AH441" s="134"/>
    </row>
    <row r="442">
      <c r="A442" s="143"/>
      <c r="B442" s="144"/>
      <c r="C442" s="319"/>
      <c r="D442" s="319"/>
      <c r="E442" s="319"/>
      <c r="F442" s="319"/>
      <c r="G442" s="320"/>
      <c r="H442" s="320"/>
      <c r="I442" s="14"/>
      <c r="J442" s="14"/>
      <c r="K442" s="14"/>
      <c r="L442" s="14"/>
      <c r="M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  <c r="AE442" s="134"/>
      <c r="AF442" s="134"/>
      <c r="AG442" s="134"/>
      <c r="AH442" s="134"/>
    </row>
    <row r="443">
      <c r="A443" s="143"/>
      <c r="B443" s="144"/>
      <c r="C443" s="319"/>
      <c r="D443" s="319"/>
      <c r="E443" s="319"/>
      <c r="F443" s="319"/>
      <c r="G443" s="320"/>
      <c r="H443" s="320"/>
      <c r="I443" s="14"/>
      <c r="J443" s="14"/>
      <c r="K443" s="14"/>
      <c r="L443" s="14"/>
      <c r="M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  <c r="AE443" s="134"/>
      <c r="AF443" s="134"/>
      <c r="AG443" s="134"/>
      <c r="AH443" s="134"/>
    </row>
    <row r="444">
      <c r="A444" s="143"/>
      <c r="B444" s="144"/>
      <c r="C444" s="319"/>
      <c r="D444" s="319"/>
      <c r="E444" s="319"/>
      <c r="F444" s="319"/>
      <c r="G444" s="320"/>
      <c r="H444" s="320"/>
      <c r="I444" s="14"/>
      <c r="J444" s="14"/>
      <c r="K444" s="14"/>
      <c r="L444" s="14"/>
      <c r="M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  <c r="AE444" s="134"/>
      <c r="AF444" s="134"/>
      <c r="AG444" s="134"/>
      <c r="AH444" s="134"/>
    </row>
    <row r="445">
      <c r="A445" s="143"/>
      <c r="B445" s="144"/>
      <c r="C445" s="319"/>
      <c r="D445" s="319"/>
      <c r="E445" s="319"/>
      <c r="F445" s="319"/>
      <c r="G445" s="320"/>
      <c r="H445" s="320"/>
      <c r="I445" s="14"/>
      <c r="J445" s="14"/>
      <c r="K445" s="14"/>
      <c r="L445" s="14"/>
      <c r="M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  <c r="AF445" s="134"/>
      <c r="AG445" s="134"/>
      <c r="AH445" s="134"/>
    </row>
    <row r="446">
      <c r="A446" s="143"/>
      <c r="B446" s="144"/>
      <c r="C446" s="319"/>
      <c r="D446" s="319"/>
      <c r="E446" s="319"/>
      <c r="F446" s="319"/>
      <c r="G446" s="320"/>
      <c r="H446" s="320"/>
      <c r="I446" s="14"/>
      <c r="J446" s="14"/>
      <c r="K446" s="14"/>
      <c r="L446" s="14"/>
      <c r="M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  <c r="AF446" s="134"/>
      <c r="AG446" s="134"/>
      <c r="AH446" s="134"/>
    </row>
    <row r="447">
      <c r="A447" s="143"/>
      <c r="B447" s="144"/>
      <c r="C447" s="319"/>
      <c r="D447" s="319"/>
      <c r="E447" s="319"/>
      <c r="F447" s="319"/>
      <c r="G447" s="320"/>
      <c r="H447" s="320"/>
      <c r="I447" s="14"/>
      <c r="J447" s="14"/>
      <c r="K447" s="14"/>
      <c r="L447" s="14"/>
      <c r="M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4"/>
      <c r="AG447" s="134"/>
      <c r="AH447" s="134"/>
    </row>
    <row r="448">
      <c r="A448" s="143"/>
      <c r="B448" s="144"/>
      <c r="C448" s="319"/>
      <c r="D448" s="319"/>
      <c r="E448" s="319"/>
      <c r="F448" s="319"/>
      <c r="G448" s="320"/>
      <c r="H448" s="320"/>
      <c r="I448" s="14"/>
      <c r="J448" s="14"/>
      <c r="K448" s="14"/>
      <c r="L448" s="14"/>
      <c r="M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  <c r="AF448" s="134"/>
      <c r="AG448" s="134"/>
      <c r="AH448" s="134"/>
    </row>
    <row r="449">
      <c r="A449" s="143"/>
      <c r="B449" s="144"/>
      <c r="C449" s="319"/>
      <c r="D449" s="319"/>
      <c r="E449" s="319"/>
      <c r="F449" s="319"/>
      <c r="G449" s="320"/>
      <c r="H449" s="320"/>
      <c r="I449" s="14"/>
      <c r="J449" s="14"/>
      <c r="K449" s="14"/>
      <c r="L449" s="14"/>
      <c r="M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  <c r="AF449" s="134"/>
      <c r="AG449" s="134"/>
      <c r="AH449" s="134"/>
    </row>
    <row r="450">
      <c r="A450" s="143"/>
      <c r="B450" s="144"/>
      <c r="C450" s="319"/>
      <c r="D450" s="319"/>
      <c r="E450" s="319"/>
      <c r="F450" s="319"/>
      <c r="G450" s="320"/>
      <c r="H450" s="320"/>
      <c r="I450" s="14"/>
      <c r="J450" s="14"/>
      <c r="K450" s="14"/>
      <c r="L450" s="14"/>
      <c r="M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</row>
    <row r="451">
      <c r="A451" s="143"/>
      <c r="B451" s="144"/>
      <c r="C451" s="319"/>
      <c r="D451" s="319"/>
      <c r="E451" s="319"/>
      <c r="F451" s="319"/>
      <c r="G451" s="320"/>
      <c r="H451" s="320"/>
      <c r="I451" s="14"/>
      <c r="J451" s="14"/>
      <c r="K451" s="14"/>
      <c r="L451" s="14"/>
      <c r="M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</row>
    <row r="452">
      <c r="A452" s="143"/>
      <c r="B452" s="144"/>
      <c r="C452" s="319"/>
      <c r="D452" s="319"/>
      <c r="E452" s="319"/>
      <c r="F452" s="319"/>
      <c r="G452" s="320"/>
      <c r="H452" s="320"/>
      <c r="I452" s="14"/>
      <c r="J452" s="14"/>
      <c r="K452" s="14"/>
      <c r="L452" s="14"/>
      <c r="M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</row>
    <row r="453">
      <c r="A453" s="143"/>
      <c r="B453" s="144"/>
      <c r="C453" s="319"/>
      <c r="D453" s="319"/>
      <c r="E453" s="319"/>
      <c r="F453" s="319"/>
      <c r="G453" s="320"/>
      <c r="H453" s="320"/>
      <c r="I453" s="14"/>
      <c r="J453" s="14"/>
      <c r="K453" s="14"/>
      <c r="L453" s="14"/>
      <c r="M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  <c r="AF453" s="134"/>
      <c r="AG453" s="134"/>
      <c r="AH453" s="134"/>
    </row>
    <row r="454">
      <c r="A454" s="143"/>
      <c r="B454" s="144"/>
      <c r="C454" s="319"/>
      <c r="D454" s="319"/>
      <c r="E454" s="319"/>
      <c r="F454" s="319"/>
      <c r="G454" s="320"/>
      <c r="H454" s="320"/>
      <c r="I454" s="14"/>
      <c r="J454" s="14"/>
      <c r="K454" s="14"/>
      <c r="L454" s="14"/>
      <c r="M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  <c r="AE454" s="134"/>
      <c r="AF454" s="134"/>
      <c r="AG454" s="134"/>
      <c r="AH454" s="134"/>
    </row>
    <row r="455">
      <c r="A455" s="143"/>
      <c r="B455" s="144"/>
      <c r="C455" s="319"/>
      <c r="D455" s="319"/>
      <c r="E455" s="319"/>
      <c r="F455" s="319"/>
      <c r="G455" s="320"/>
      <c r="H455" s="320"/>
      <c r="I455" s="14"/>
      <c r="J455" s="14"/>
      <c r="K455" s="14"/>
      <c r="L455" s="14"/>
      <c r="M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34"/>
      <c r="AH455" s="134"/>
    </row>
    <row r="456">
      <c r="A456" s="143"/>
      <c r="B456" s="144"/>
      <c r="C456" s="319"/>
      <c r="D456" s="319"/>
      <c r="E456" s="319"/>
      <c r="F456" s="319"/>
      <c r="G456" s="320"/>
      <c r="H456" s="320"/>
      <c r="I456" s="14"/>
      <c r="J456" s="14"/>
      <c r="K456" s="14"/>
      <c r="L456" s="14"/>
      <c r="M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  <c r="AE456" s="134"/>
      <c r="AF456" s="134"/>
      <c r="AG456" s="134"/>
      <c r="AH456" s="134"/>
    </row>
    <row r="457">
      <c r="A457" s="143"/>
      <c r="B457" s="144"/>
      <c r="C457" s="319"/>
      <c r="D457" s="319"/>
      <c r="E457" s="319"/>
      <c r="F457" s="319"/>
      <c r="G457" s="320"/>
      <c r="H457" s="320"/>
      <c r="I457" s="14"/>
      <c r="J457" s="14"/>
      <c r="K457" s="14"/>
      <c r="L457" s="14"/>
      <c r="M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  <c r="AE457" s="134"/>
      <c r="AF457" s="134"/>
      <c r="AG457" s="134"/>
      <c r="AH457" s="134"/>
    </row>
    <row r="458">
      <c r="A458" s="143"/>
      <c r="B458" s="144"/>
      <c r="C458" s="319"/>
      <c r="D458" s="319"/>
      <c r="E458" s="319"/>
      <c r="F458" s="319"/>
      <c r="G458" s="320"/>
      <c r="H458" s="320"/>
      <c r="I458" s="14"/>
      <c r="J458" s="14"/>
      <c r="K458" s="14"/>
      <c r="L458" s="14"/>
      <c r="M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  <c r="AE458" s="134"/>
      <c r="AF458" s="134"/>
      <c r="AG458" s="134"/>
      <c r="AH458" s="134"/>
    </row>
    <row r="459">
      <c r="A459" s="143"/>
      <c r="B459" s="144"/>
      <c r="C459" s="319"/>
      <c r="D459" s="319"/>
      <c r="E459" s="319"/>
      <c r="F459" s="319"/>
      <c r="G459" s="320"/>
      <c r="H459" s="320"/>
      <c r="I459" s="14"/>
      <c r="J459" s="14"/>
      <c r="K459" s="14"/>
      <c r="L459" s="14"/>
      <c r="M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  <c r="AE459" s="134"/>
      <c r="AF459" s="134"/>
      <c r="AG459" s="134"/>
      <c r="AH459" s="134"/>
    </row>
    <row r="460">
      <c r="A460" s="143"/>
      <c r="B460" s="144"/>
      <c r="C460" s="319"/>
      <c r="D460" s="319"/>
      <c r="E460" s="319"/>
      <c r="F460" s="319"/>
      <c r="G460" s="320"/>
      <c r="H460" s="320"/>
      <c r="I460" s="14"/>
      <c r="J460" s="14"/>
      <c r="K460" s="14"/>
      <c r="L460" s="14"/>
      <c r="M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  <c r="AE460" s="134"/>
      <c r="AF460" s="134"/>
      <c r="AG460" s="134"/>
      <c r="AH460" s="134"/>
    </row>
    <row r="461">
      <c r="A461" s="143"/>
      <c r="B461" s="144"/>
      <c r="C461" s="319"/>
      <c r="D461" s="319"/>
      <c r="E461" s="319"/>
      <c r="F461" s="319"/>
      <c r="G461" s="320"/>
      <c r="H461" s="320"/>
      <c r="I461" s="14"/>
      <c r="J461" s="14"/>
      <c r="K461" s="14"/>
      <c r="L461" s="14"/>
      <c r="M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  <c r="AE461" s="134"/>
      <c r="AF461" s="134"/>
      <c r="AG461" s="134"/>
      <c r="AH461" s="134"/>
    </row>
    <row r="462">
      <c r="A462" s="143"/>
      <c r="B462" s="144"/>
      <c r="C462" s="319"/>
      <c r="D462" s="319"/>
      <c r="E462" s="319"/>
      <c r="F462" s="319"/>
      <c r="G462" s="320"/>
      <c r="H462" s="320"/>
      <c r="I462" s="14"/>
      <c r="J462" s="14"/>
      <c r="K462" s="14"/>
      <c r="L462" s="14"/>
      <c r="M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  <c r="AE462" s="134"/>
      <c r="AF462" s="134"/>
      <c r="AG462" s="134"/>
      <c r="AH462" s="134"/>
    </row>
    <row r="463">
      <c r="A463" s="143"/>
      <c r="B463" s="144"/>
      <c r="C463" s="319"/>
      <c r="D463" s="319"/>
      <c r="E463" s="319"/>
      <c r="F463" s="319"/>
      <c r="G463" s="320"/>
      <c r="H463" s="320"/>
      <c r="I463" s="14"/>
      <c r="J463" s="14"/>
      <c r="K463" s="14"/>
      <c r="L463" s="14"/>
      <c r="M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  <c r="AE463" s="134"/>
      <c r="AF463" s="134"/>
      <c r="AG463" s="134"/>
      <c r="AH463" s="134"/>
    </row>
    <row r="464">
      <c r="A464" s="143"/>
      <c r="B464" s="144"/>
      <c r="C464" s="319"/>
      <c r="D464" s="319"/>
      <c r="E464" s="319"/>
      <c r="F464" s="319"/>
      <c r="G464" s="320"/>
      <c r="H464" s="320"/>
      <c r="I464" s="14"/>
      <c r="J464" s="14"/>
      <c r="K464" s="14"/>
      <c r="L464" s="14"/>
      <c r="M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  <c r="AE464" s="134"/>
      <c r="AF464" s="134"/>
      <c r="AG464" s="134"/>
      <c r="AH464" s="134"/>
    </row>
    <row r="465">
      <c r="A465" s="143"/>
      <c r="B465" s="144"/>
      <c r="C465" s="319"/>
      <c r="D465" s="319"/>
      <c r="E465" s="319"/>
      <c r="F465" s="319"/>
      <c r="G465" s="320"/>
      <c r="H465" s="320"/>
      <c r="I465" s="14"/>
      <c r="J465" s="14"/>
      <c r="K465" s="14"/>
      <c r="L465" s="14"/>
      <c r="M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  <c r="AE465" s="134"/>
      <c r="AF465" s="134"/>
      <c r="AG465" s="134"/>
      <c r="AH465" s="134"/>
    </row>
    <row r="466">
      <c r="A466" s="143"/>
      <c r="B466" s="144"/>
      <c r="C466" s="319"/>
      <c r="D466" s="319"/>
      <c r="E466" s="319"/>
      <c r="F466" s="319"/>
      <c r="G466" s="320"/>
      <c r="H466" s="320"/>
      <c r="I466" s="14"/>
      <c r="J466" s="14"/>
      <c r="K466" s="14"/>
      <c r="L466" s="14"/>
      <c r="M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  <c r="AE466" s="134"/>
      <c r="AF466" s="134"/>
      <c r="AG466" s="134"/>
      <c r="AH466" s="134"/>
    </row>
    <row r="467">
      <c r="A467" s="143"/>
      <c r="B467" s="144"/>
      <c r="C467" s="319"/>
      <c r="D467" s="319"/>
      <c r="E467" s="319"/>
      <c r="F467" s="319"/>
      <c r="G467" s="320"/>
      <c r="H467" s="320"/>
      <c r="I467" s="14"/>
      <c r="J467" s="14"/>
      <c r="K467" s="14"/>
      <c r="L467" s="14"/>
      <c r="M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  <c r="AE467" s="134"/>
      <c r="AF467" s="134"/>
      <c r="AG467" s="134"/>
      <c r="AH467" s="134"/>
    </row>
    <row r="468">
      <c r="A468" s="143"/>
      <c r="B468" s="144"/>
      <c r="C468" s="319"/>
      <c r="D468" s="319"/>
      <c r="E468" s="319"/>
      <c r="F468" s="319"/>
      <c r="G468" s="320"/>
      <c r="H468" s="320"/>
      <c r="I468" s="14"/>
      <c r="J468" s="14"/>
      <c r="K468" s="14"/>
      <c r="L468" s="14"/>
      <c r="M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  <c r="AE468" s="134"/>
      <c r="AF468" s="134"/>
      <c r="AG468" s="134"/>
      <c r="AH468" s="134"/>
    </row>
    <row r="469">
      <c r="A469" s="143"/>
      <c r="B469" s="144"/>
      <c r="C469" s="319"/>
      <c r="D469" s="319"/>
      <c r="E469" s="319"/>
      <c r="F469" s="319"/>
      <c r="G469" s="320"/>
      <c r="H469" s="320"/>
      <c r="I469" s="14"/>
      <c r="J469" s="14"/>
      <c r="K469" s="14"/>
      <c r="L469" s="14"/>
      <c r="M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  <c r="AE469" s="134"/>
      <c r="AF469" s="134"/>
      <c r="AG469" s="134"/>
      <c r="AH469" s="134"/>
    </row>
    <row r="470">
      <c r="A470" s="143"/>
      <c r="B470" s="144"/>
      <c r="C470" s="319"/>
      <c r="D470" s="319"/>
      <c r="E470" s="319"/>
      <c r="F470" s="319"/>
      <c r="G470" s="320"/>
      <c r="H470" s="320"/>
      <c r="I470" s="14"/>
      <c r="J470" s="14"/>
      <c r="K470" s="14"/>
      <c r="L470" s="14"/>
      <c r="M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  <c r="AE470" s="134"/>
      <c r="AF470" s="134"/>
      <c r="AG470" s="134"/>
      <c r="AH470" s="134"/>
    </row>
    <row r="471">
      <c r="A471" s="143"/>
      <c r="B471" s="144"/>
      <c r="C471" s="319"/>
      <c r="D471" s="319"/>
      <c r="E471" s="319"/>
      <c r="F471" s="319"/>
      <c r="G471" s="320"/>
      <c r="H471" s="320"/>
      <c r="I471" s="14"/>
      <c r="J471" s="14"/>
      <c r="K471" s="14"/>
      <c r="L471" s="14"/>
      <c r="M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  <c r="AE471" s="134"/>
      <c r="AF471" s="134"/>
      <c r="AG471" s="134"/>
      <c r="AH471" s="134"/>
    </row>
    <row r="472">
      <c r="A472" s="143"/>
      <c r="B472" s="144"/>
      <c r="C472" s="319"/>
      <c r="D472" s="319"/>
      <c r="E472" s="319"/>
      <c r="F472" s="319"/>
      <c r="G472" s="320"/>
      <c r="H472" s="320"/>
      <c r="I472" s="14"/>
      <c r="J472" s="14"/>
      <c r="K472" s="14"/>
      <c r="L472" s="14"/>
      <c r="M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  <c r="AE472" s="134"/>
      <c r="AF472" s="134"/>
      <c r="AG472" s="134"/>
      <c r="AH472" s="134"/>
    </row>
    <row r="473">
      <c r="A473" s="143"/>
      <c r="B473" s="144"/>
      <c r="C473" s="319"/>
      <c r="D473" s="319"/>
      <c r="E473" s="319"/>
      <c r="F473" s="319"/>
      <c r="G473" s="320"/>
      <c r="H473" s="320"/>
      <c r="I473" s="14"/>
      <c r="J473" s="14"/>
      <c r="K473" s="14"/>
      <c r="L473" s="14"/>
      <c r="M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  <c r="AE473" s="134"/>
      <c r="AF473" s="134"/>
      <c r="AG473" s="134"/>
      <c r="AH473" s="134"/>
    </row>
    <row r="474">
      <c r="A474" s="143"/>
      <c r="B474" s="144"/>
      <c r="C474" s="319"/>
      <c r="D474" s="319"/>
      <c r="E474" s="319"/>
      <c r="F474" s="319"/>
      <c r="G474" s="320"/>
      <c r="H474" s="320"/>
      <c r="I474" s="14"/>
      <c r="J474" s="14"/>
      <c r="K474" s="14"/>
      <c r="L474" s="14"/>
      <c r="M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  <c r="AE474" s="134"/>
      <c r="AF474" s="134"/>
      <c r="AG474" s="134"/>
      <c r="AH474" s="134"/>
    </row>
    <row r="475">
      <c r="A475" s="143"/>
      <c r="B475" s="144"/>
      <c r="C475" s="319"/>
      <c r="D475" s="319"/>
      <c r="E475" s="319"/>
      <c r="F475" s="319"/>
      <c r="G475" s="320"/>
      <c r="H475" s="320"/>
      <c r="I475" s="14"/>
      <c r="J475" s="14"/>
      <c r="K475" s="14"/>
      <c r="L475" s="14"/>
      <c r="M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  <c r="AE475" s="134"/>
      <c r="AF475" s="134"/>
      <c r="AG475" s="134"/>
      <c r="AH475" s="134"/>
    </row>
    <row r="476">
      <c r="A476" s="143"/>
      <c r="B476" s="144"/>
      <c r="C476" s="319"/>
      <c r="D476" s="319"/>
      <c r="E476" s="319"/>
      <c r="F476" s="319"/>
      <c r="G476" s="320"/>
      <c r="H476" s="320"/>
      <c r="I476" s="14"/>
      <c r="J476" s="14"/>
      <c r="K476" s="14"/>
      <c r="L476" s="14"/>
      <c r="M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  <c r="AE476" s="134"/>
      <c r="AF476" s="134"/>
      <c r="AG476" s="134"/>
      <c r="AH476" s="134"/>
    </row>
    <row r="477">
      <c r="A477" s="143"/>
      <c r="B477" s="144"/>
      <c r="C477" s="319"/>
      <c r="D477" s="319"/>
      <c r="E477" s="319"/>
      <c r="F477" s="319"/>
      <c r="G477" s="320"/>
      <c r="H477" s="320"/>
      <c r="I477" s="14"/>
      <c r="J477" s="14"/>
      <c r="K477" s="14"/>
      <c r="L477" s="14"/>
      <c r="M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  <c r="AE477" s="134"/>
      <c r="AF477" s="134"/>
      <c r="AG477" s="134"/>
      <c r="AH477" s="134"/>
    </row>
    <row r="478">
      <c r="A478" s="143"/>
      <c r="B478" s="144"/>
      <c r="C478" s="319"/>
      <c r="D478" s="319"/>
      <c r="E478" s="319"/>
      <c r="F478" s="319"/>
      <c r="G478" s="320"/>
      <c r="H478" s="320"/>
      <c r="I478" s="14"/>
      <c r="J478" s="14"/>
      <c r="K478" s="14"/>
      <c r="L478" s="14"/>
      <c r="M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  <c r="AE478" s="134"/>
      <c r="AF478" s="134"/>
      <c r="AG478" s="134"/>
      <c r="AH478" s="134"/>
    </row>
    <row r="479">
      <c r="A479" s="143"/>
      <c r="B479" s="144"/>
      <c r="C479" s="319"/>
      <c r="D479" s="319"/>
      <c r="E479" s="319"/>
      <c r="F479" s="319"/>
      <c r="G479" s="320"/>
      <c r="H479" s="320"/>
      <c r="I479" s="14"/>
      <c r="J479" s="14"/>
      <c r="K479" s="14"/>
      <c r="L479" s="14"/>
      <c r="M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  <c r="AF479" s="134"/>
      <c r="AG479" s="134"/>
      <c r="AH479" s="134"/>
    </row>
    <row r="480">
      <c r="A480" s="143"/>
      <c r="B480" s="144"/>
      <c r="C480" s="319"/>
      <c r="D480" s="319"/>
      <c r="E480" s="319"/>
      <c r="F480" s="319"/>
      <c r="G480" s="320"/>
      <c r="H480" s="320"/>
      <c r="I480" s="14"/>
      <c r="J480" s="14"/>
      <c r="K480" s="14"/>
      <c r="L480" s="14"/>
      <c r="M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  <c r="AE480" s="134"/>
      <c r="AF480" s="134"/>
      <c r="AG480" s="134"/>
      <c r="AH480" s="134"/>
    </row>
    <row r="481">
      <c r="A481" s="143"/>
      <c r="B481" s="144"/>
      <c r="C481" s="319"/>
      <c r="D481" s="319"/>
      <c r="E481" s="319"/>
      <c r="F481" s="319"/>
      <c r="G481" s="320"/>
      <c r="H481" s="320"/>
      <c r="I481" s="14"/>
      <c r="J481" s="14"/>
      <c r="K481" s="14"/>
      <c r="L481" s="14"/>
      <c r="M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  <c r="AE481" s="134"/>
      <c r="AF481" s="134"/>
      <c r="AG481" s="134"/>
      <c r="AH481" s="134"/>
    </row>
    <row r="482">
      <c r="A482" s="143"/>
      <c r="B482" s="144"/>
      <c r="C482" s="319"/>
      <c r="D482" s="319"/>
      <c r="E482" s="319"/>
      <c r="F482" s="319"/>
      <c r="G482" s="320"/>
      <c r="H482" s="320"/>
      <c r="I482" s="14"/>
      <c r="J482" s="14"/>
      <c r="K482" s="14"/>
      <c r="L482" s="14"/>
      <c r="M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  <c r="AE482" s="134"/>
      <c r="AF482" s="134"/>
      <c r="AG482" s="134"/>
      <c r="AH482" s="134"/>
    </row>
    <row r="483">
      <c r="A483" s="143"/>
      <c r="B483" s="144"/>
      <c r="C483" s="319"/>
      <c r="D483" s="319"/>
      <c r="E483" s="319"/>
      <c r="F483" s="319"/>
      <c r="G483" s="320"/>
      <c r="H483" s="320"/>
      <c r="I483" s="14"/>
      <c r="J483" s="14"/>
      <c r="K483" s="14"/>
      <c r="L483" s="14"/>
      <c r="M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  <c r="AE483" s="134"/>
      <c r="AF483" s="134"/>
      <c r="AG483" s="134"/>
      <c r="AH483" s="134"/>
    </row>
    <row r="484">
      <c r="A484" s="143"/>
      <c r="B484" s="144"/>
      <c r="C484" s="319"/>
      <c r="D484" s="319"/>
      <c r="E484" s="319"/>
      <c r="F484" s="319"/>
      <c r="G484" s="320"/>
      <c r="H484" s="320"/>
      <c r="I484" s="14"/>
      <c r="J484" s="14"/>
      <c r="K484" s="14"/>
      <c r="L484" s="14"/>
      <c r="M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  <c r="AE484" s="134"/>
      <c r="AF484" s="134"/>
      <c r="AG484" s="134"/>
      <c r="AH484" s="134"/>
    </row>
    <row r="485">
      <c r="A485" s="143"/>
      <c r="B485" s="144"/>
      <c r="C485" s="319"/>
      <c r="D485" s="319"/>
      <c r="E485" s="319"/>
      <c r="F485" s="319"/>
      <c r="G485" s="320"/>
      <c r="H485" s="320"/>
      <c r="I485" s="14"/>
      <c r="J485" s="14"/>
      <c r="K485" s="14"/>
      <c r="L485" s="14"/>
      <c r="M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  <c r="AE485" s="134"/>
      <c r="AF485" s="134"/>
      <c r="AG485" s="134"/>
      <c r="AH485" s="134"/>
    </row>
    <row r="486">
      <c r="A486" s="143"/>
      <c r="B486" s="144"/>
      <c r="C486" s="319"/>
      <c r="D486" s="319"/>
      <c r="E486" s="319"/>
      <c r="F486" s="319"/>
      <c r="G486" s="320"/>
      <c r="H486" s="320"/>
      <c r="I486" s="14"/>
      <c r="J486" s="14"/>
      <c r="K486" s="14"/>
      <c r="L486" s="14"/>
      <c r="M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  <c r="AE486" s="134"/>
      <c r="AF486" s="134"/>
      <c r="AG486" s="134"/>
      <c r="AH486" s="134"/>
    </row>
    <row r="487">
      <c r="A487" s="143"/>
      <c r="B487" s="144"/>
      <c r="C487" s="319"/>
      <c r="D487" s="319"/>
      <c r="E487" s="319"/>
      <c r="F487" s="319"/>
      <c r="G487" s="320"/>
      <c r="H487" s="320"/>
      <c r="I487" s="14"/>
      <c r="J487" s="14"/>
      <c r="K487" s="14"/>
      <c r="L487" s="14"/>
      <c r="M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  <c r="AE487" s="134"/>
      <c r="AF487" s="134"/>
      <c r="AG487" s="134"/>
      <c r="AH487" s="134"/>
    </row>
    <row r="488">
      <c r="A488" s="143"/>
      <c r="B488" s="144"/>
      <c r="C488" s="319"/>
      <c r="D488" s="319"/>
      <c r="E488" s="319"/>
      <c r="F488" s="319"/>
      <c r="G488" s="320"/>
      <c r="H488" s="320"/>
      <c r="I488" s="14"/>
      <c r="J488" s="14"/>
      <c r="K488" s="14"/>
      <c r="L488" s="14"/>
      <c r="M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34"/>
    </row>
    <row r="489">
      <c r="A489" s="143"/>
      <c r="B489" s="144"/>
      <c r="C489" s="319"/>
      <c r="D489" s="319"/>
      <c r="E489" s="319"/>
      <c r="F489" s="319"/>
      <c r="G489" s="320"/>
      <c r="H489" s="320"/>
      <c r="I489" s="14"/>
      <c r="J489" s="14"/>
      <c r="K489" s="14"/>
      <c r="L489" s="14"/>
      <c r="M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  <c r="AE489" s="134"/>
      <c r="AF489" s="134"/>
      <c r="AG489" s="134"/>
      <c r="AH489" s="134"/>
    </row>
    <row r="490">
      <c r="A490" s="143"/>
      <c r="B490" s="144"/>
      <c r="C490" s="319"/>
      <c r="D490" s="319"/>
      <c r="E490" s="319"/>
      <c r="F490" s="319"/>
      <c r="G490" s="320"/>
      <c r="H490" s="320"/>
      <c r="I490" s="14"/>
      <c r="J490" s="14"/>
      <c r="K490" s="14"/>
      <c r="L490" s="14"/>
      <c r="M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  <c r="AE490" s="134"/>
      <c r="AF490" s="134"/>
      <c r="AG490" s="134"/>
      <c r="AH490" s="134"/>
    </row>
    <row r="491">
      <c r="A491" s="143"/>
      <c r="B491" s="144"/>
      <c r="C491" s="319"/>
      <c r="D491" s="319"/>
      <c r="E491" s="319"/>
      <c r="F491" s="319"/>
      <c r="G491" s="320"/>
      <c r="H491" s="320"/>
      <c r="I491" s="14"/>
      <c r="J491" s="14"/>
      <c r="K491" s="14"/>
      <c r="L491" s="14"/>
      <c r="M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  <c r="AE491" s="134"/>
      <c r="AF491" s="134"/>
      <c r="AG491" s="134"/>
      <c r="AH491" s="134"/>
    </row>
    <row r="492">
      <c r="A492" s="143"/>
      <c r="B492" s="144"/>
      <c r="C492" s="319"/>
      <c r="D492" s="319"/>
      <c r="E492" s="319"/>
      <c r="F492" s="319"/>
      <c r="G492" s="320"/>
      <c r="H492" s="320"/>
      <c r="I492" s="14"/>
      <c r="J492" s="14"/>
      <c r="K492" s="14"/>
      <c r="L492" s="14"/>
      <c r="M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  <c r="AE492" s="134"/>
      <c r="AF492" s="134"/>
      <c r="AG492" s="134"/>
      <c r="AH492" s="134"/>
    </row>
    <row r="493">
      <c r="A493" s="143"/>
      <c r="B493" s="144"/>
      <c r="C493" s="319"/>
      <c r="D493" s="319"/>
      <c r="E493" s="319"/>
      <c r="F493" s="319"/>
      <c r="G493" s="320"/>
      <c r="H493" s="320"/>
      <c r="I493" s="14"/>
      <c r="J493" s="14"/>
      <c r="K493" s="14"/>
      <c r="L493" s="14"/>
      <c r="M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  <c r="AE493" s="134"/>
      <c r="AF493" s="134"/>
      <c r="AG493" s="134"/>
      <c r="AH493" s="134"/>
    </row>
    <row r="494">
      <c r="A494" s="143"/>
      <c r="B494" s="144"/>
      <c r="C494" s="319"/>
      <c r="D494" s="319"/>
      <c r="E494" s="319"/>
      <c r="F494" s="319"/>
      <c r="G494" s="320"/>
      <c r="H494" s="320"/>
      <c r="I494" s="14"/>
      <c r="J494" s="14"/>
      <c r="K494" s="14"/>
      <c r="L494" s="14"/>
      <c r="M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  <c r="AE494" s="134"/>
      <c r="AF494" s="134"/>
      <c r="AG494" s="134"/>
      <c r="AH494" s="134"/>
    </row>
    <row r="495">
      <c r="A495" s="143"/>
      <c r="B495" s="144"/>
      <c r="C495" s="319"/>
      <c r="D495" s="319"/>
      <c r="E495" s="319"/>
      <c r="F495" s="319"/>
      <c r="G495" s="320"/>
      <c r="H495" s="320"/>
      <c r="I495" s="14"/>
      <c r="J495" s="14"/>
      <c r="K495" s="14"/>
      <c r="L495" s="14"/>
      <c r="M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  <c r="AE495" s="134"/>
      <c r="AF495" s="134"/>
      <c r="AG495" s="134"/>
      <c r="AH495" s="134"/>
    </row>
    <row r="496">
      <c r="A496" s="143"/>
      <c r="B496" s="144"/>
      <c r="C496" s="319"/>
      <c r="D496" s="319"/>
      <c r="E496" s="319"/>
      <c r="F496" s="319"/>
      <c r="G496" s="320"/>
      <c r="H496" s="320"/>
      <c r="I496" s="14"/>
      <c r="J496" s="14"/>
      <c r="K496" s="14"/>
      <c r="L496" s="14"/>
      <c r="M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  <c r="AE496" s="134"/>
      <c r="AF496" s="134"/>
      <c r="AG496" s="134"/>
      <c r="AH496" s="134"/>
    </row>
    <row r="497">
      <c r="A497" s="143"/>
      <c r="B497" s="144"/>
      <c r="C497" s="319"/>
      <c r="D497" s="319"/>
      <c r="E497" s="319"/>
      <c r="F497" s="319"/>
      <c r="G497" s="320"/>
      <c r="H497" s="320"/>
      <c r="I497" s="14"/>
      <c r="J497" s="14"/>
      <c r="K497" s="14"/>
      <c r="L497" s="14"/>
      <c r="M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  <c r="AF497" s="134"/>
      <c r="AG497" s="134"/>
      <c r="AH497" s="134"/>
    </row>
    <row r="498">
      <c r="A498" s="143"/>
      <c r="B498" s="144"/>
      <c r="C498" s="319"/>
      <c r="D498" s="319"/>
      <c r="E498" s="319"/>
      <c r="F498" s="319"/>
      <c r="G498" s="320"/>
      <c r="H498" s="320"/>
      <c r="I498" s="14"/>
      <c r="J498" s="14"/>
      <c r="K498" s="14"/>
      <c r="L498" s="14"/>
      <c r="M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  <c r="AE498" s="134"/>
      <c r="AF498" s="134"/>
      <c r="AG498" s="134"/>
      <c r="AH498" s="134"/>
    </row>
    <row r="499">
      <c r="A499" s="143"/>
      <c r="B499" s="144"/>
      <c r="C499" s="319"/>
      <c r="D499" s="319"/>
      <c r="E499" s="319"/>
      <c r="F499" s="319"/>
      <c r="G499" s="320"/>
      <c r="H499" s="320"/>
      <c r="I499" s="14"/>
      <c r="J499" s="14"/>
      <c r="K499" s="14"/>
      <c r="L499" s="14"/>
      <c r="M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  <c r="AE499" s="134"/>
      <c r="AF499" s="134"/>
      <c r="AG499" s="134"/>
      <c r="AH499" s="134"/>
    </row>
    <row r="500">
      <c r="A500" s="143"/>
      <c r="B500" s="144"/>
      <c r="C500" s="319"/>
      <c r="D500" s="319"/>
      <c r="E500" s="319"/>
      <c r="F500" s="319"/>
      <c r="G500" s="320"/>
      <c r="H500" s="320"/>
      <c r="I500" s="14"/>
      <c r="J500" s="14"/>
      <c r="K500" s="14"/>
      <c r="L500" s="14"/>
      <c r="M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  <c r="AE500" s="134"/>
      <c r="AF500" s="134"/>
      <c r="AG500" s="134"/>
      <c r="AH500" s="134"/>
    </row>
    <row r="501">
      <c r="A501" s="143"/>
      <c r="B501" s="144"/>
      <c r="C501" s="319"/>
      <c r="D501" s="319"/>
      <c r="E501" s="319"/>
      <c r="F501" s="319"/>
      <c r="G501" s="320"/>
      <c r="H501" s="320"/>
      <c r="I501" s="14"/>
      <c r="J501" s="14"/>
      <c r="K501" s="14"/>
      <c r="L501" s="14"/>
      <c r="M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  <c r="AE501" s="134"/>
      <c r="AF501" s="134"/>
      <c r="AG501" s="134"/>
      <c r="AH501" s="134"/>
    </row>
    <row r="502">
      <c r="A502" s="143"/>
      <c r="B502" s="144"/>
      <c r="C502" s="319"/>
      <c r="D502" s="319"/>
      <c r="E502" s="319"/>
      <c r="F502" s="319"/>
      <c r="G502" s="320"/>
      <c r="H502" s="320"/>
      <c r="I502" s="14"/>
      <c r="J502" s="14"/>
      <c r="K502" s="14"/>
      <c r="L502" s="14"/>
      <c r="M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  <c r="AE502" s="134"/>
      <c r="AF502" s="134"/>
      <c r="AG502" s="134"/>
      <c r="AH502" s="134"/>
    </row>
    <row r="503">
      <c r="A503" s="143"/>
      <c r="B503" s="144"/>
      <c r="C503" s="319"/>
      <c r="D503" s="319"/>
      <c r="E503" s="319"/>
      <c r="F503" s="319"/>
      <c r="G503" s="320"/>
      <c r="H503" s="320"/>
      <c r="I503" s="14"/>
      <c r="J503" s="14"/>
      <c r="K503" s="14"/>
      <c r="L503" s="14"/>
      <c r="M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  <c r="AC503" s="134"/>
      <c r="AD503" s="134"/>
      <c r="AE503" s="134"/>
      <c r="AF503" s="134"/>
      <c r="AG503" s="134"/>
      <c r="AH503" s="134"/>
    </row>
    <row r="504">
      <c r="A504" s="143"/>
      <c r="B504" s="144"/>
      <c r="C504" s="319"/>
      <c r="D504" s="319"/>
      <c r="E504" s="319"/>
      <c r="F504" s="319"/>
      <c r="G504" s="320"/>
      <c r="H504" s="320"/>
      <c r="I504" s="14"/>
      <c r="J504" s="14"/>
      <c r="K504" s="14"/>
      <c r="L504" s="14"/>
      <c r="M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  <c r="AC504" s="134"/>
      <c r="AD504" s="134"/>
      <c r="AE504" s="134"/>
      <c r="AF504" s="134"/>
      <c r="AG504" s="134"/>
      <c r="AH504" s="134"/>
    </row>
    <row r="505">
      <c r="A505" s="143"/>
      <c r="B505" s="144"/>
      <c r="C505" s="319"/>
      <c r="D505" s="319"/>
      <c r="E505" s="319"/>
      <c r="F505" s="319"/>
      <c r="G505" s="320"/>
      <c r="H505" s="320"/>
      <c r="I505" s="14"/>
      <c r="J505" s="14"/>
      <c r="K505" s="14"/>
      <c r="L505" s="14"/>
      <c r="M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  <c r="AC505" s="134"/>
      <c r="AD505" s="134"/>
      <c r="AE505" s="134"/>
      <c r="AF505" s="134"/>
      <c r="AG505" s="134"/>
      <c r="AH505" s="134"/>
    </row>
    <row r="506">
      <c r="A506" s="143"/>
      <c r="B506" s="144"/>
      <c r="C506" s="319"/>
      <c r="D506" s="319"/>
      <c r="E506" s="319"/>
      <c r="F506" s="319"/>
      <c r="G506" s="320"/>
      <c r="H506" s="320"/>
      <c r="I506" s="14"/>
      <c r="J506" s="14"/>
      <c r="K506" s="14"/>
      <c r="L506" s="14"/>
      <c r="M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  <c r="AC506" s="134"/>
      <c r="AD506" s="134"/>
      <c r="AE506" s="134"/>
      <c r="AF506" s="134"/>
      <c r="AG506" s="134"/>
      <c r="AH506" s="134"/>
    </row>
    <row r="507">
      <c r="A507" s="143"/>
      <c r="B507" s="144"/>
      <c r="C507" s="319"/>
      <c r="D507" s="319"/>
      <c r="E507" s="319"/>
      <c r="F507" s="319"/>
      <c r="G507" s="320"/>
      <c r="H507" s="320"/>
      <c r="I507" s="14"/>
      <c r="J507" s="14"/>
      <c r="K507" s="14"/>
      <c r="L507" s="14"/>
      <c r="M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  <c r="AC507" s="134"/>
      <c r="AD507" s="134"/>
      <c r="AE507" s="134"/>
      <c r="AF507" s="134"/>
      <c r="AG507" s="134"/>
      <c r="AH507" s="134"/>
    </row>
    <row r="508">
      <c r="A508" s="143"/>
      <c r="B508" s="144"/>
      <c r="C508" s="319"/>
      <c r="D508" s="319"/>
      <c r="E508" s="319"/>
      <c r="F508" s="319"/>
      <c r="G508" s="320"/>
      <c r="H508" s="320"/>
      <c r="I508" s="14"/>
      <c r="J508" s="14"/>
      <c r="K508" s="14"/>
      <c r="L508" s="14"/>
      <c r="M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134"/>
      <c r="AE508" s="134"/>
      <c r="AF508" s="134"/>
      <c r="AG508" s="134"/>
      <c r="AH508" s="134"/>
    </row>
    <row r="509">
      <c r="A509" s="143"/>
      <c r="B509" s="144"/>
      <c r="C509" s="319"/>
      <c r="D509" s="319"/>
      <c r="E509" s="319"/>
      <c r="F509" s="319"/>
      <c r="G509" s="320"/>
      <c r="H509" s="320"/>
      <c r="I509" s="14"/>
      <c r="J509" s="14"/>
      <c r="K509" s="14"/>
      <c r="L509" s="14"/>
      <c r="M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  <c r="AC509" s="134"/>
      <c r="AD509" s="134"/>
      <c r="AE509" s="134"/>
      <c r="AF509" s="134"/>
      <c r="AG509" s="134"/>
      <c r="AH509" s="134"/>
    </row>
    <row r="510">
      <c r="A510" s="143"/>
      <c r="B510" s="144"/>
      <c r="C510" s="319"/>
      <c r="D510" s="319"/>
      <c r="E510" s="319"/>
      <c r="F510" s="319"/>
      <c r="G510" s="320"/>
      <c r="H510" s="320"/>
      <c r="I510" s="14"/>
      <c r="J510" s="14"/>
      <c r="K510" s="14"/>
      <c r="L510" s="14"/>
      <c r="M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  <c r="AC510" s="134"/>
      <c r="AD510" s="134"/>
      <c r="AE510" s="134"/>
      <c r="AF510" s="134"/>
      <c r="AG510" s="134"/>
      <c r="AH510" s="134"/>
    </row>
    <row r="511">
      <c r="A511" s="143"/>
      <c r="B511" s="144"/>
      <c r="C511" s="319"/>
      <c r="D511" s="319"/>
      <c r="E511" s="319"/>
      <c r="F511" s="319"/>
      <c r="G511" s="320"/>
      <c r="H511" s="320"/>
      <c r="I511" s="14"/>
      <c r="J511" s="14"/>
      <c r="K511" s="14"/>
      <c r="L511" s="14"/>
      <c r="M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  <c r="AE511" s="134"/>
      <c r="AF511" s="134"/>
      <c r="AG511" s="134"/>
      <c r="AH511" s="134"/>
    </row>
    <row r="512">
      <c r="A512" s="143"/>
      <c r="B512" s="144"/>
      <c r="C512" s="319"/>
      <c r="D512" s="319"/>
      <c r="E512" s="319"/>
      <c r="F512" s="319"/>
      <c r="G512" s="320"/>
      <c r="H512" s="320"/>
      <c r="I512" s="14"/>
      <c r="J512" s="14"/>
      <c r="K512" s="14"/>
      <c r="L512" s="14"/>
      <c r="M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  <c r="AC512" s="134"/>
      <c r="AD512" s="134"/>
      <c r="AE512" s="134"/>
      <c r="AF512" s="134"/>
      <c r="AG512" s="134"/>
      <c r="AH512" s="134"/>
    </row>
    <row r="513">
      <c r="A513" s="143"/>
      <c r="B513" s="144"/>
      <c r="C513" s="319"/>
      <c r="D513" s="319"/>
      <c r="E513" s="319"/>
      <c r="F513" s="319"/>
      <c r="G513" s="320"/>
      <c r="H513" s="320"/>
      <c r="I513" s="14"/>
      <c r="J513" s="14"/>
      <c r="K513" s="14"/>
      <c r="L513" s="14"/>
      <c r="M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  <c r="AC513" s="134"/>
      <c r="AD513" s="134"/>
      <c r="AE513" s="134"/>
      <c r="AF513" s="134"/>
      <c r="AG513" s="134"/>
      <c r="AH513" s="134"/>
    </row>
    <row r="514">
      <c r="A514" s="143"/>
      <c r="B514" s="144"/>
      <c r="C514" s="319"/>
      <c r="D514" s="319"/>
      <c r="E514" s="319"/>
      <c r="F514" s="319"/>
      <c r="G514" s="320"/>
      <c r="H514" s="320"/>
      <c r="I514" s="14"/>
      <c r="J514" s="14"/>
      <c r="K514" s="14"/>
      <c r="L514" s="14"/>
      <c r="M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  <c r="AC514" s="134"/>
      <c r="AD514" s="134"/>
      <c r="AE514" s="134"/>
      <c r="AF514" s="134"/>
      <c r="AG514" s="134"/>
      <c r="AH514" s="134"/>
    </row>
    <row r="515">
      <c r="A515" s="143"/>
      <c r="B515" s="144"/>
      <c r="C515" s="319"/>
      <c r="D515" s="319"/>
      <c r="E515" s="319"/>
      <c r="F515" s="319"/>
      <c r="G515" s="320"/>
      <c r="H515" s="320"/>
      <c r="I515" s="14"/>
      <c r="J515" s="14"/>
      <c r="K515" s="14"/>
      <c r="L515" s="14"/>
      <c r="M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  <c r="AE515" s="134"/>
      <c r="AF515" s="134"/>
      <c r="AG515" s="134"/>
      <c r="AH515" s="134"/>
    </row>
    <row r="516">
      <c r="A516" s="143"/>
      <c r="B516" s="144"/>
      <c r="C516" s="319"/>
      <c r="D516" s="319"/>
      <c r="E516" s="319"/>
      <c r="F516" s="319"/>
      <c r="G516" s="320"/>
      <c r="H516" s="320"/>
      <c r="I516" s="14"/>
      <c r="J516" s="14"/>
      <c r="K516" s="14"/>
      <c r="L516" s="14"/>
      <c r="M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  <c r="AE516" s="134"/>
      <c r="AF516" s="134"/>
      <c r="AG516" s="134"/>
      <c r="AH516" s="134"/>
    </row>
    <row r="517">
      <c r="A517" s="143"/>
      <c r="B517" s="144"/>
      <c r="C517" s="319"/>
      <c r="D517" s="319"/>
      <c r="E517" s="319"/>
      <c r="F517" s="319"/>
      <c r="G517" s="320"/>
      <c r="H517" s="320"/>
      <c r="I517" s="14"/>
      <c r="J517" s="14"/>
      <c r="K517" s="14"/>
      <c r="L517" s="14"/>
      <c r="M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  <c r="AE517" s="134"/>
      <c r="AF517" s="134"/>
      <c r="AG517" s="134"/>
      <c r="AH517" s="134"/>
    </row>
    <row r="518">
      <c r="A518" s="143"/>
      <c r="B518" s="144"/>
      <c r="C518" s="319"/>
      <c r="D518" s="319"/>
      <c r="E518" s="319"/>
      <c r="F518" s="319"/>
      <c r="G518" s="320"/>
      <c r="H518" s="320"/>
      <c r="I518" s="14"/>
      <c r="J518" s="14"/>
      <c r="K518" s="14"/>
      <c r="L518" s="14"/>
      <c r="M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  <c r="AE518" s="134"/>
      <c r="AF518" s="134"/>
      <c r="AG518" s="134"/>
      <c r="AH518" s="134"/>
    </row>
    <row r="519">
      <c r="A519" s="143"/>
      <c r="B519" s="144"/>
      <c r="C519" s="319"/>
      <c r="D519" s="319"/>
      <c r="E519" s="319"/>
      <c r="F519" s="319"/>
      <c r="G519" s="320"/>
      <c r="H519" s="320"/>
      <c r="I519" s="14"/>
      <c r="J519" s="14"/>
      <c r="K519" s="14"/>
      <c r="L519" s="14"/>
      <c r="M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  <c r="AE519" s="134"/>
      <c r="AF519" s="134"/>
      <c r="AG519" s="134"/>
      <c r="AH519" s="134"/>
    </row>
    <row r="520">
      <c r="A520" s="143"/>
      <c r="B520" s="144"/>
      <c r="C520" s="319"/>
      <c r="D520" s="319"/>
      <c r="E520" s="319"/>
      <c r="F520" s="319"/>
      <c r="G520" s="320"/>
      <c r="H520" s="320"/>
      <c r="I520" s="14"/>
      <c r="J520" s="14"/>
      <c r="K520" s="14"/>
      <c r="L520" s="14"/>
      <c r="M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  <c r="AE520" s="134"/>
      <c r="AF520" s="134"/>
      <c r="AG520" s="134"/>
      <c r="AH520" s="134"/>
    </row>
    <row r="521">
      <c r="A521" s="143"/>
      <c r="B521" s="144"/>
      <c r="C521" s="319"/>
      <c r="D521" s="319"/>
      <c r="E521" s="319"/>
      <c r="F521" s="319"/>
      <c r="G521" s="320"/>
      <c r="H521" s="320"/>
      <c r="I521" s="14"/>
      <c r="J521" s="14"/>
      <c r="K521" s="14"/>
      <c r="L521" s="14"/>
      <c r="M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  <c r="AE521" s="134"/>
      <c r="AF521" s="134"/>
      <c r="AG521" s="134"/>
      <c r="AH521" s="134"/>
    </row>
    <row r="522">
      <c r="A522" s="143"/>
      <c r="B522" s="144"/>
      <c r="C522" s="319"/>
      <c r="D522" s="319"/>
      <c r="E522" s="319"/>
      <c r="F522" s="319"/>
      <c r="G522" s="320"/>
      <c r="H522" s="320"/>
      <c r="I522" s="14"/>
      <c r="J522" s="14"/>
      <c r="K522" s="14"/>
      <c r="L522" s="14"/>
      <c r="M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  <c r="AE522" s="134"/>
      <c r="AF522" s="134"/>
      <c r="AG522" s="134"/>
      <c r="AH522" s="134"/>
    </row>
    <row r="523">
      <c r="A523" s="143"/>
      <c r="B523" s="144"/>
      <c r="C523" s="319"/>
      <c r="D523" s="319"/>
      <c r="E523" s="319"/>
      <c r="F523" s="319"/>
      <c r="G523" s="320"/>
      <c r="H523" s="320"/>
      <c r="I523" s="14"/>
      <c r="J523" s="14"/>
      <c r="K523" s="14"/>
      <c r="L523" s="14"/>
      <c r="M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  <c r="AE523" s="134"/>
      <c r="AF523" s="134"/>
      <c r="AG523" s="134"/>
      <c r="AH523" s="134"/>
    </row>
    <row r="524">
      <c r="A524" s="143"/>
      <c r="B524" s="144"/>
      <c r="C524" s="319"/>
      <c r="D524" s="319"/>
      <c r="E524" s="319"/>
      <c r="F524" s="319"/>
      <c r="G524" s="320"/>
      <c r="H524" s="320"/>
      <c r="I524" s="14"/>
      <c r="J524" s="14"/>
      <c r="K524" s="14"/>
      <c r="L524" s="14"/>
      <c r="M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  <c r="AE524" s="134"/>
      <c r="AF524" s="134"/>
      <c r="AG524" s="134"/>
      <c r="AH524" s="134"/>
    </row>
    <row r="525">
      <c r="A525" s="143"/>
      <c r="B525" s="144"/>
      <c r="C525" s="319"/>
      <c r="D525" s="319"/>
      <c r="E525" s="319"/>
      <c r="F525" s="319"/>
      <c r="G525" s="320"/>
      <c r="H525" s="320"/>
      <c r="I525" s="14"/>
      <c r="J525" s="14"/>
      <c r="K525" s="14"/>
      <c r="L525" s="14"/>
      <c r="M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  <c r="AE525" s="134"/>
      <c r="AF525" s="134"/>
      <c r="AG525" s="134"/>
      <c r="AH525" s="134"/>
    </row>
    <row r="526">
      <c r="A526" s="143"/>
      <c r="B526" s="144"/>
      <c r="C526" s="319"/>
      <c r="D526" s="319"/>
      <c r="E526" s="319"/>
      <c r="F526" s="319"/>
      <c r="G526" s="320"/>
      <c r="H526" s="320"/>
      <c r="I526" s="14"/>
      <c r="J526" s="14"/>
      <c r="K526" s="14"/>
      <c r="L526" s="14"/>
      <c r="M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  <c r="AE526" s="134"/>
      <c r="AF526" s="134"/>
      <c r="AG526" s="134"/>
      <c r="AH526" s="134"/>
    </row>
    <row r="527">
      <c r="A527" s="143"/>
      <c r="B527" s="144"/>
      <c r="C527" s="319"/>
      <c r="D527" s="319"/>
      <c r="E527" s="319"/>
      <c r="F527" s="319"/>
      <c r="G527" s="320"/>
      <c r="H527" s="320"/>
      <c r="I527" s="14"/>
      <c r="J527" s="14"/>
      <c r="K527" s="14"/>
      <c r="L527" s="14"/>
      <c r="M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  <c r="AE527" s="134"/>
      <c r="AF527" s="134"/>
      <c r="AG527" s="134"/>
      <c r="AH527" s="134"/>
    </row>
    <row r="528">
      <c r="A528" s="143"/>
      <c r="B528" s="144"/>
      <c r="C528" s="319"/>
      <c r="D528" s="319"/>
      <c r="E528" s="319"/>
      <c r="F528" s="319"/>
      <c r="G528" s="320"/>
      <c r="H528" s="320"/>
      <c r="I528" s="14"/>
      <c r="J528" s="14"/>
      <c r="K528" s="14"/>
      <c r="L528" s="14"/>
      <c r="M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  <c r="AE528" s="134"/>
      <c r="AF528" s="134"/>
      <c r="AG528" s="134"/>
      <c r="AH528" s="134"/>
    </row>
    <row r="529">
      <c r="A529" s="143"/>
      <c r="B529" s="144"/>
      <c r="C529" s="319"/>
      <c r="D529" s="319"/>
      <c r="E529" s="319"/>
      <c r="F529" s="319"/>
      <c r="G529" s="320"/>
      <c r="H529" s="320"/>
      <c r="I529" s="14"/>
      <c r="J529" s="14"/>
      <c r="K529" s="14"/>
      <c r="L529" s="14"/>
      <c r="M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  <c r="AE529" s="134"/>
      <c r="AF529" s="134"/>
      <c r="AG529" s="134"/>
      <c r="AH529" s="134"/>
    </row>
    <row r="530">
      <c r="A530" s="143"/>
      <c r="B530" s="144"/>
      <c r="C530" s="319"/>
      <c r="D530" s="319"/>
      <c r="E530" s="319"/>
      <c r="F530" s="319"/>
      <c r="G530" s="320"/>
      <c r="H530" s="320"/>
      <c r="I530" s="14"/>
      <c r="J530" s="14"/>
      <c r="K530" s="14"/>
      <c r="L530" s="14"/>
      <c r="M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  <c r="AE530" s="134"/>
      <c r="AF530" s="134"/>
      <c r="AG530" s="134"/>
      <c r="AH530" s="134"/>
    </row>
    <row r="531">
      <c r="A531" s="143"/>
      <c r="B531" s="144"/>
      <c r="C531" s="319"/>
      <c r="D531" s="319"/>
      <c r="E531" s="319"/>
      <c r="F531" s="319"/>
      <c r="G531" s="320"/>
      <c r="H531" s="320"/>
      <c r="I531" s="14"/>
      <c r="J531" s="14"/>
      <c r="K531" s="14"/>
      <c r="L531" s="14"/>
      <c r="M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  <c r="AE531" s="134"/>
      <c r="AF531" s="134"/>
      <c r="AG531" s="134"/>
      <c r="AH531" s="134"/>
    </row>
    <row r="532">
      <c r="A532" s="143"/>
      <c r="B532" s="144"/>
      <c r="C532" s="319"/>
      <c r="D532" s="319"/>
      <c r="E532" s="319"/>
      <c r="F532" s="319"/>
      <c r="G532" s="320"/>
      <c r="H532" s="320"/>
      <c r="I532" s="14"/>
      <c r="J532" s="14"/>
      <c r="K532" s="14"/>
      <c r="L532" s="14"/>
      <c r="M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  <c r="AC532" s="134"/>
      <c r="AD532" s="134"/>
      <c r="AE532" s="134"/>
      <c r="AF532" s="134"/>
      <c r="AG532" s="134"/>
      <c r="AH532" s="134"/>
    </row>
    <row r="533">
      <c r="A533" s="143"/>
      <c r="B533" s="144"/>
      <c r="C533" s="319"/>
      <c r="D533" s="319"/>
      <c r="E533" s="319"/>
      <c r="F533" s="319"/>
      <c r="G533" s="320"/>
      <c r="H533" s="320"/>
      <c r="I533" s="14"/>
      <c r="J533" s="14"/>
      <c r="K533" s="14"/>
      <c r="L533" s="14"/>
      <c r="M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  <c r="AC533" s="134"/>
      <c r="AD533" s="134"/>
      <c r="AE533" s="134"/>
      <c r="AF533" s="134"/>
      <c r="AG533" s="134"/>
      <c r="AH533" s="134"/>
    </row>
    <row r="534">
      <c r="A534" s="143"/>
      <c r="B534" s="144"/>
      <c r="C534" s="319"/>
      <c r="D534" s="319"/>
      <c r="E534" s="319"/>
      <c r="F534" s="319"/>
      <c r="G534" s="320"/>
      <c r="H534" s="320"/>
      <c r="I534" s="14"/>
      <c r="J534" s="14"/>
      <c r="K534" s="14"/>
      <c r="L534" s="14"/>
      <c r="M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  <c r="AC534" s="134"/>
      <c r="AD534" s="134"/>
      <c r="AE534" s="134"/>
      <c r="AF534" s="134"/>
      <c r="AG534" s="134"/>
      <c r="AH534" s="134"/>
    </row>
    <row r="535">
      <c r="A535" s="143"/>
      <c r="B535" s="144"/>
      <c r="C535" s="319"/>
      <c r="D535" s="319"/>
      <c r="E535" s="319"/>
      <c r="F535" s="319"/>
      <c r="G535" s="320"/>
      <c r="H535" s="320"/>
      <c r="I535" s="14"/>
      <c r="J535" s="14"/>
      <c r="K535" s="14"/>
      <c r="L535" s="14"/>
      <c r="M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  <c r="AE535" s="134"/>
      <c r="AF535" s="134"/>
      <c r="AG535" s="134"/>
      <c r="AH535" s="134"/>
    </row>
    <row r="536">
      <c r="A536" s="143"/>
      <c r="B536" s="144"/>
      <c r="C536" s="319"/>
      <c r="D536" s="319"/>
      <c r="E536" s="319"/>
      <c r="F536" s="319"/>
      <c r="G536" s="320"/>
      <c r="H536" s="320"/>
      <c r="I536" s="14"/>
      <c r="J536" s="14"/>
      <c r="K536" s="14"/>
      <c r="L536" s="14"/>
      <c r="M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  <c r="AE536" s="134"/>
      <c r="AF536" s="134"/>
      <c r="AG536" s="134"/>
      <c r="AH536" s="134"/>
    </row>
    <row r="537">
      <c r="A537" s="143"/>
      <c r="B537" s="144"/>
      <c r="C537" s="319"/>
      <c r="D537" s="319"/>
      <c r="E537" s="319"/>
      <c r="F537" s="319"/>
      <c r="G537" s="320"/>
      <c r="H537" s="320"/>
      <c r="I537" s="14"/>
      <c r="J537" s="14"/>
      <c r="K537" s="14"/>
      <c r="L537" s="14"/>
      <c r="M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  <c r="AE537" s="134"/>
      <c r="AF537" s="134"/>
      <c r="AG537" s="134"/>
      <c r="AH537" s="134"/>
    </row>
    <row r="538">
      <c r="A538" s="143"/>
      <c r="B538" s="144"/>
      <c r="C538" s="319"/>
      <c r="D538" s="319"/>
      <c r="E538" s="319"/>
      <c r="F538" s="319"/>
      <c r="G538" s="320"/>
      <c r="H538" s="320"/>
      <c r="I538" s="14"/>
      <c r="J538" s="14"/>
      <c r="K538" s="14"/>
      <c r="L538" s="14"/>
      <c r="M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  <c r="AE538" s="134"/>
      <c r="AF538" s="134"/>
      <c r="AG538" s="134"/>
      <c r="AH538" s="134"/>
    </row>
    <row r="539">
      <c r="A539" s="143"/>
      <c r="B539" s="144"/>
      <c r="C539" s="319"/>
      <c r="D539" s="319"/>
      <c r="E539" s="319"/>
      <c r="F539" s="319"/>
      <c r="G539" s="320"/>
      <c r="H539" s="320"/>
      <c r="I539" s="14"/>
      <c r="J539" s="14"/>
      <c r="K539" s="14"/>
      <c r="L539" s="14"/>
      <c r="M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  <c r="AE539" s="134"/>
      <c r="AF539" s="134"/>
      <c r="AG539" s="134"/>
      <c r="AH539" s="134"/>
    </row>
    <row r="540">
      <c r="A540" s="143"/>
      <c r="B540" s="144"/>
      <c r="C540" s="319"/>
      <c r="D540" s="319"/>
      <c r="E540" s="319"/>
      <c r="F540" s="319"/>
      <c r="G540" s="320"/>
      <c r="H540" s="320"/>
      <c r="I540" s="14"/>
      <c r="J540" s="14"/>
      <c r="K540" s="14"/>
      <c r="L540" s="14"/>
      <c r="M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  <c r="AE540" s="134"/>
      <c r="AF540" s="134"/>
      <c r="AG540" s="134"/>
      <c r="AH540" s="134"/>
    </row>
    <row r="541">
      <c r="A541" s="143"/>
      <c r="B541" s="144"/>
      <c r="C541" s="319"/>
      <c r="D541" s="319"/>
      <c r="E541" s="319"/>
      <c r="F541" s="319"/>
      <c r="G541" s="320"/>
      <c r="H541" s="320"/>
      <c r="I541" s="14"/>
      <c r="J541" s="14"/>
      <c r="K541" s="14"/>
      <c r="L541" s="14"/>
      <c r="M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34"/>
    </row>
    <row r="542">
      <c r="A542" s="143"/>
      <c r="B542" s="144"/>
      <c r="C542" s="319"/>
      <c r="D542" s="319"/>
      <c r="E542" s="319"/>
      <c r="F542" s="319"/>
      <c r="G542" s="320"/>
      <c r="H542" s="320"/>
      <c r="I542" s="14"/>
      <c r="J542" s="14"/>
      <c r="K542" s="14"/>
      <c r="L542" s="14"/>
      <c r="M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  <c r="AE542" s="134"/>
      <c r="AF542" s="134"/>
      <c r="AG542" s="134"/>
      <c r="AH542" s="134"/>
    </row>
    <row r="543">
      <c r="A543" s="143"/>
      <c r="B543" s="144"/>
      <c r="C543" s="319"/>
      <c r="D543" s="319"/>
      <c r="E543" s="319"/>
      <c r="F543" s="319"/>
      <c r="G543" s="320"/>
      <c r="H543" s="320"/>
      <c r="I543" s="14"/>
      <c r="J543" s="14"/>
      <c r="K543" s="14"/>
      <c r="L543" s="14"/>
      <c r="M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  <c r="AE543" s="134"/>
      <c r="AF543" s="134"/>
      <c r="AG543" s="134"/>
      <c r="AH543" s="134"/>
    </row>
    <row r="544">
      <c r="A544" s="143"/>
      <c r="B544" s="144"/>
      <c r="C544" s="319"/>
      <c r="D544" s="319"/>
      <c r="E544" s="319"/>
      <c r="F544" s="319"/>
      <c r="G544" s="320"/>
      <c r="H544" s="320"/>
      <c r="I544" s="14"/>
      <c r="J544" s="14"/>
      <c r="K544" s="14"/>
      <c r="L544" s="14"/>
      <c r="M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  <c r="AE544" s="134"/>
      <c r="AF544" s="134"/>
      <c r="AG544" s="134"/>
      <c r="AH544" s="134"/>
    </row>
    <row r="545">
      <c r="A545" s="143"/>
      <c r="B545" s="144"/>
      <c r="C545" s="319"/>
      <c r="D545" s="319"/>
      <c r="E545" s="319"/>
      <c r="F545" s="319"/>
      <c r="G545" s="320"/>
      <c r="H545" s="320"/>
      <c r="I545" s="14"/>
      <c r="J545" s="14"/>
      <c r="K545" s="14"/>
      <c r="L545" s="14"/>
      <c r="M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  <c r="AE545" s="134"/>
      <c r="AF545" s="134"/>
      <c r="AG545" s="134"/>
      <c r="AH545" s="134"/>
    </row>
    <row r="546">
      <c r="A546" s="143"/>
      <c r="B546" s="144"/>
      <c r="C546" s="319"/>
      <c r="D546" s="319"/>
      <c r="E546" s="319"/>
      <c r="F546" s="319"/>
      <c r="G546" s="320"/>
      <c r="H546" s="320"/>
      <c r="I546" s="14"/>
      <c r="J546" s="14"/>
      <c r="K546" s="14"/>
      <c r="L546" s="14"/>
      <c r="M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  <c r="AE546" s="134"/>
      <c r="AF546" s="134"/>
      <c r="AG546" s="134"/>
      <c r="AH546" s="134"/>
    </row>
    <row r="547">
      <c r="A547" s="143"/>
      <c r="B547" s="144"/>
      <c r="C547" s="319"/>
      <c r="D547" s="319"/>
      <c r="E547" s="319"/>
      <c r="F547" s="319"/>
      <c r="G547" s="320"/>
      <c r="H547" s="320"/>
      <c r="I547" s="14"/>
      <c r="J547" s="14"/>
      <c r="K547" s="14"/>
      <c r="L547" s="14"/>
      <c r="M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  <c r="AE547" s="134"/>
      <c r="AF547" s="134"/>
      <c r="AG547" s="134"/>
      <c r="AH547" s="134"/>
    </row>
    <row r="548">
      <c r="A548" s="143"/>
      <c r="B548" s="144"/>
      <c r="C548" s="319"/>
      <c r="D548" s="319"/>
      <c r="E548" s="319"/>
      <c r="F548" s="319"/>
      <c r="G548" s="320"/>
      <c r="H548" s="320"/>
      <c r="I548" s="14"/>
      <c r="J548" s="14"/>
      <c r="K548" s="14"/>
      <c r="L548" s="14"/>
      <c r="M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  <c r="AC548" s="134"/>
      <c r="AD548" s="134"/>
      <c r="AE548" s="134"/>
      <c r="AF548" s="134"/>
      <c r="AG548" s="134"/>
      <c r="AH548" s="134"/>
    </row>
    <row r="549">
      <c r="A549" s="143"/>
      <c r="B549" s="144"/>
      <c r="C549" s="319"/>
      <c r="D549" s="319"/>
      <c r="E549" s="319"/>
      <c r="F549" s="319"/>
      <c r="G549" s="320"/>
      <c r="H549" s="320"/>
      <c r="I549" s="14"/>
      <c r="J549" s="14"/>
      <c r="K549" s="14"/>
      <c r="L549" s="14"/>
      <c r="M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  <c r="AC549" s="134"/>
      <c r="AD549" s="134"/>
      <c r="AE549" s="134"/>
      <c r="AF549" s="134"/>
      <c r="AG549" s="134"/>
      <c r="AH549" s="134"/>
    </row>
    <row r="550">
      <c r="A550" s="143"/>
      <c r="B550" s="144"/>
      <c r="C550" s="319"/>
      <c r="D550" s="319"/>
      <c r="E550" s="319"/>
      <c r="F550" s="319"/>
      <c r="G550" s="320"/>
      <c r="H550" s="320"/>
      <c r="I550" s="14"/>
      <c r="J550" s="14"/>
      <c r="K550" s="14"/>
      <c r="L550" s="14"/>
      <c r="M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  <c r="AC550" s="134"/>
      <c r="AD550" s="134"/>
      <c r="AE550" s="134"/>
      <c r="AF550" s="134"/>
      <c r="AG550" s="134"/>
      <c r="AH550" s="134"/>
    </row>
    <row r="551">
      <c r="A551" s="143"/>
      <c r="B551" s="144"/>
      <c r="C551" s="319"/>
      <c r="D551" s="319"/>
      <c r="E551" s="319"/>
      <c r="F551" s="319"/>
      <c r="G551" s="320"/>
      <c r="H551" s="320"/>
      <c r="I551" s="14"/>
      <c r="J551" s="14"/>
      <c r="K551" s="14"/>
      <c r="L551" s="14"/>
      <c r="M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  <c r="AC551" s="134"/>
      <c r="AD551" s="134"/>
      <c r="AE551" s="134"/>
      <c r="AF551" s="134"/>
      <c r="AG551" s="134"/>
      <c r="AH551" s="134"/>
    </row>
    <row r="552">
      <c r="A552" s="143"/>
      <c r="B552" s="144"/>
      <c r="C552" s="319"/>
      <c r="D552" s="319"/>
      <c r="E552" s="319"/>
      <c r="F552" s="319"/>
      <c r="G552" s="320"/>
      <c r="H552" s="320"/>
      <c r="I552" s="14"/>
      <c r="J552" s="14"/>
      <c r="K552" s="14"/>
      <c r="L552" s="14"/>
      <c r="M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  <c r="AC552" s="134"/>
      <c r="AD552" s="134"/>
      <c r="AE552" s="134"/>
      <c r="AF552" s="134"/>
      <c r="AG552" s="134"/>
      <c r="AH552" s="134"/>
    </row>
    <row r="553">
      <c r="A553" s="143"/>
      <c r="B553" s="144"/>
      <c r="C553" s="319"/>
      <c r="D553" s="319"/>
      <c r="E553" s="319"/>
      <c r="F553" s="319"/>
      <c r="G553" s="320"/>
      <c r="H553" s="320"/>
      <c r="I553" s="14"/>
      <c r="J553" s="14"/>
      <c r="K553" s="14"/>
      <c r="L553" s="14"/>
      <c r="M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  <c r="AC553" s="134"/>
      <c r="AD553" s="134"/>
      <c r="AE553" s="134"/>
      <c r="AF553" s="134"/>
      <c r="AG553" s="134"/>
      <c r="AH553" s="134"/>
    </row>
    <row r="554">
      <c r="A554" s="143"/>
      <c r="B554" s="144"/>
      <c r="C554" s="319"/>
      <c r="D554" s="319"/>
      <c r="E554" s="319"/>
      <c r="F554" s="319"/>
      <c r="G554" s="320"/>
      <c r="H554" s="320"/>
      <c r="I554" s="14"/>
      <c r="J554" s="14"/>
      <c r="K554" s="14"/>
      <c r="L554" s="14"/>
      <c r="M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  <c r="AC554" s="134"/>
      <c r="AD554" s="134"/>
      <c r="AE554" s="134"/>
      <c r="AF554" s="134"/>
      <c r="AG554" s="134"/>
      <c r="AH554" s="134"/>
    </row>
    <row r="555">
      <c r="A555" s="143"/>
      <c r="B555" s="144"/>
      <c r="C555" s="319"/>
      <c r="D555" s="319"/>
      <c r="E555" s="319"/>
      <c r="F555" s="319"/>
      <c r="G555" s="320"/>
      <c r="H555" s="320"/>
      <c r="I555" s="14"/>
      <c r="J555" s="14"/>
      <c r="K555" s="14"/>
      <c r="L555" s="14"/>
      <c r="M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  <c r="AC555" s="134"/>
      <c r="AD555" s="134"/>
      <c r="AE555" s="134"/>
      <c r="AF555" s="134"/>
      <c r="AG555" s="134"/>
      <c r="AH555" s="134"/>
    </row>
    <row r="556">
      <c r="A556" s="143"/>
      <c r="B556" s="144"/>
      <c r="C556" s="319"/>
      <c r="D556" s="319"/>
      <c r="E556" s="319"/>
      <c r="F556" s="319"/>
      <c r="G556" s="320"/>
      <c r="H556" s="320"/>
      <c r="I556" s="14"/>
      <c r="J556" s="14"/>
      <c r="K556" s="14"/>
      <c r="L556" s="14"/>
      <c r="M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  <c r="AC556" s="134"/>
      <c r="AD556" s="134"/>
      <c r="AE556" s="134"/>
      <c r="AF556" s="134"/>
      <c r="AG556" s="134"/>
      <c r="AH556" s="134"/>
    </row>
    <row r="557">
      <c r="A557" s="143"/>
      <c r="B557" s="144"/>
      <c r="C557" s="319"/>
      <c r="D557" s="319"/>
      <c r="E557" s="319"/>
      <c r="F557" s="319"/>
      <c r="G557" s="320"/>
      <c r="H557" s="320"/>
      <c r="I557" s="14"/>
      <c r="J557" s="14"/>
      <c r="K557" s="14"/>
      <c r="L557" s="14"/>
      <c r="M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  <c r="AC557" s="134"/>
      <c r="AD557" s="134"/>
      <c r="AE557" s="134"/>
      <c r="AF557" s="134"/>
      <c r="AG557" s="134"/>
      <c r="AH557" s="134"/>
    </row>
    <row r="558">
      <c r="A558" s="143"/>
      <c r="B558" s="144"/>
      <c r="C558" s="319"/>
      <c r="D558" s="319"/>
      <c r="E558" s="319"/>
      <c r="F558" s="319"/>
      <c r="G558" s="320"/>
      <c r="H558" s="320"/>
      <c r="I558" s="14"/>
      <c r="J558" s="14"/>
      <c r="K558" s="14"/>
      <c r="L558" s="14"/>
      <c r="M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  <c r="AC558" s="134"/>
      <c r="AD558" s="134"/>
      <c r="AE558" s="134"/>
      <c r="AF558" s="134"/>
      <c r="AG558" s="134"/>
      <c r="AH558" s="134"/>
    </row>
    <row r="559">
      <c r="A559" s="143"/>
      <c r="B559" s="144"/>
      <c r="C559" s="319"/>
      <c r="D559" s="319"/>
      <c r="E559" s="319"/>
      <c r="F559" s="319"/>
      <c r="G559" s="320"/>
      <c r="H559" s="320"/>
      <c r="I559" s="14"/>
      <c r="J559" s="14"/>
      <c r="K559" s="14"/>
      <c r="L559" s="14"/>
      <c r="M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  <c r="AC559" s="134"/>
      <c r="AD559" s="134"/>
      <c r="AE559" s="134"/>
      <c r="AF559" s="134"/>
      <c r="AG559" s="134"/>
      <c r="AH559" s="134"/>
    </row>
    <row r="560">
      <c r="A560" s="143"/>
      <c r="B560" s="144"/>
      <c r="C560" s="319"/>
      <c r="D560" s="319"/>
      <c r="E560" s="319"/>
      <c r="F560" s="319"/>
      <c r="G560" s="320"/>
      <c r="H560" s="320"/>
      <c r="I560" s="14"/>
      <c r="J560" s="14"/>
      <c r="K560" s="14"/>
      <c r="L560" s="14"/>
      <c r="M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  <c r="AC560" s="134"/>
      <c r="AD560" s="134"/>
      <c r="AE560" s="134"/>
      <c r="AF560" s="134"/>
      <c r="AG560" s="134"/>
      <c r="AH560" s="134"/>
    </row>
    <row r="561">
      <c r="A561" s="143"/>
      <c r="B561" s="144"/>
      <c r="C561" s="319"/>
      <c r="D561" s="319"/>
      <c r="E561" s="319"/>
      <c r="F561" s="319"/>
      <c r="G561" s="320"/>
      <c r="H561" s="320"/>
      <c r="I561" s="14"/>
      <c r="J561" s="14"/>
      <c r="K561" s="14"/>
      <c r="L561" s="14"/>
      <c r="M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  <c r="AE561" s="134"/>
      <c r="AF561" s="134"/>
      <c r="AG561" s="134"/>
      <c r="AH561" s="134"/>
    </row>
    <row r="562">
      <c r="A562" s="143"/>
      <c r="B562" s="144"/>
      <c r="C562" s="319"/>
      <c r="D562" s="319"/>
      <c r="E562" s="319"/>
      <c r="F562" s="319"/>
      <c r="G562" s="320"/>
      <c r="H562" s="320"/>
      <c r="I562" s="14"/>
      <c r="J562" s="14"/>
      <c r="K562" s="14"/>
      <c r="L562" s="14"/>
      <c r="M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  <c r="AE562" s="134"/>
      <c r="AF562" s="134"/>
      <c r="AG562" s="134"/>
      <c r="AH562" s="134"/>
    </row>
    <row r="563">
      <c r="A563" s="143"/>
      <c r="B563" s="144"/>
      <c r="C563" s="319"/>
      <c r="D563" s="319"/>
      <c r="E563" s="319"/>
      <c r="F563" s="319"/>
      <c r="G563" s="320"/>
      <c r="H563" s="320"/>
      <c r="I563" s="14"/>
      <c r="J563" s="14"/>
      <c r="K563" s="14"/>
      <c r="L563" s="14"/>
      <c r="M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  <c r="AE563" s="134"/>
      <c r="AF563" s="134"/>
      <c r="AG563" s="134"/>
      <c r="AH563" s="134"/>
    </row>
    <row r="564">
      <c r="A564" s="143"/>
      <c r="B564" s="144"/>
      <c r="C564" s="319"/>
      <c r="D564" s="319"/>
      <c r="E564" s="319"/>
      <c r="F564" s="319"/>
      <c r="G564" s="320"/>
      <c r="H564" s="320"/>
      <c r="I564" s="14"/>
      <c r="J564" s="14"/>
      <c r="K564" s="14"/>
      <c r="L564" s="14"/>
      <c r="M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  <c r="AE564" s="134"/>
      <c r="AF564" s="134"/>
      <c r="AG564" s="134"/>
      <c r="AH564" s="134"/>
    </row>
    <row r="565">
      <c r="A565" s="143"/>
      <c r="B565" s="144"/>
      <c r="C565" s="319"/>
      <c r="D565" s="319"/>
      <c r="E565" s="319"/>
      <c r="F565" s="319"/>
      <c r="G565" s="320"/>
      <c r="H565" s="320"/>
      <c r="I565" s="14"/>
      <c r="J565" s="14"/>
      <c r="K565" s="14"/>
      <c r="L565" s="14"/>
      <c r="M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  <c r="AG565" s="134"/>
      <c r="AH565" s="134"/>
    </row>
    <row r="566">
      <c r="A566" s="143"/>
      <c r="B566" s="144"/>
      <c r="C566" s="319"/>
      <c r="D566" s="319"/>
      <c r="E566" s="319"/>
      <c r="F566" s="319"/>
      <c r="G566" s="320"/>
      <c r="H566" s="320"/>
      <c r="I566" s="14"/>
      <c r="J566" s="14"/>
      <c r="K566" s="14"/>
      <c r="L566" s="14"/>
      <c r="M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  <c r="AE566" s="134"/>
      <c r="AF566" s="134"/>
      <c r="AG566" s="134"/>
      <c r="AH566" s="134"/>
    </row>
    <row r="567">
      <c r="A567" s="143"/>
      <c r="B567" s="144"/>
      <c r="C567" s="319"/>
      <c r="D567" s="319"/>
      <c r="E567" s="319"/>
      <c r="F567" s="319"/>
      <c r="G567" s="320"/>
      <c r="H567" s="320"/>
      <c r="I567" s="14"/>
      <c r="J567" s="14"/>
      <c r="K567" s="14"/>
      <c r="L567" s="14"/>
      <c r="M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  <c r="AE567" s="134"/>
      <c r="AF567" s="134"/>
      <c r="AG567" s="134"/>
      <c r="AH567" s="134"/>
    </row>
    <row r="568">
      <c r="A568" s="143"/>
      <c r="B568" s="144"/>
      <c r="C568" s="319"/>
      <c r="D568" s="319"/>
      <c r="E568" s="319"/>
      <c r="F568" s="319"/>
      <c r="G568" s="320"/>
      <c r="H568" s="320"/>
      <c r="I568" s="14"/>
      <c r="J568" s="14"/>
      <c r="K568" s="14"/>
      <c r="L568" s="14"/>
      <c r="M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  <c r="AE568" s="134"/>
      <c r="AF568" s="134"/>
      <c r="AG568" s="134"/>
      <c r="AH568" s="134"/>
    </row>
    <row r="569">
      <c r="A569" s="143"/>
      <c r="B569" s="144"/>
      <c r="C569" s="319"/>
      <c r="D569" s="319"/>
      <c r="E569" s="319"/>
      <c r="F569" s="319"/>
      <c r="G569" s="320"/>
      <c r="H569" s="320"/>
      <c r="I569" s="14"/>
      <c r="J569" s="14"/>
      <c r="K569" s="14"/>
      <c r="L569" s="14"/>
      <c r="M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  <c r="AE569" s="134"/>
      <c r="AF569" s="134"/>
      <c r="AG569" s="134"/>
      <c r="AH569" s="134"/>
    </row>
    <row r="570">
      <c r="A570" s="143"/>
      <c r="B570" s="144"/>
      <c r="C570" s="319"/>
      <c r="D570" s="319"/>
      <c r="E570" s="319"/>
      <c r="F570" s="319"/>
      <c r="G570" s="320"/>
      <c r="H570" s="320"/>
      <c r="I570" s="14"/>
      <c r="J570" s="14"/>
      <c r="K570" s="14"/>
      <c r="L570" s="14"/>
      <c r="M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  <c r="AE570" s="134"/>
      <c r="AF570" s="134"/>
      <c r="AG570" s="134"/>
      <c r="AH570" s="134"/>
    </row>
    <row r="571">
      <c r="A571" s="143"/>
      <c r="B571" s="144"/>
      <c r="C571" s="319"/>
      <c r="D571" s="319"/>
      <c r="E571" s="319"/>
      <c r="F571" s="319"/>
      <c r="G571" s="320"/>
      <c r="H571" s="320"/>
      <c r="I571" s="14"/>
      <c r="J571" s="14"/>
      <c r="K571" s="14"/>
      <c r="L571" s="14"/>
      <c r="M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  <c r="AE571" s="134"/>
      <c r="AF571" s="134"/>
      <c r="AG571" s="134"/>
      <c r="AH571" s="134"/>
    </row>
    <row r="572">
      <c r="A572" s="143"/>
      <c r="B572" s="144"/>
      <c r="C572" s="319"/>
      <c r="D572" s="319"/>
      <c r="E572" s="319"/>
      <c r="F572" s="319"/>
      <c r="G572" s="320"/>
      <c r="H572" s="320"/>
      <c r="I572" s="14"/>
      <c r="J572" s="14"/>
      <c r="K572" s="14"/>
      <c r="L572" s="14"/>
      <c r="M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  <c r="AE572" s="134"/>
      <c r="AF572" s="134"/>
      <c r="AG572" s="134"/>
      <c r="AH572" s="134"/>
    </row>
    <row r="573">
      <c r="A573" s="143"/>
      <c r="B573" s="144"/>
      <c r="C573" s="319"/>
      <c r="D573" s="319"/>
      <c r="E573" s="319"/>
      <c r="F573" s="319"/>
      <c r="G573" s="320"/>
      <c r="H573" s="320"/>
      <c r="I573" s="14"/>
      <c r="J573" s="14"/>
      <c r="K573" s="14"/>
      <c r="L573" s="14"/>
      <c r="M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  <c r="AE573" s="134"/>
      <c r="AF573" s="134"/>
      <c r="AG573" s="134"/>
      <c r="AH573" s="134"/>
    </row>
    <row r="574">
      <c r="A574" s="143"/>
      <c r="B574" s="144"/>
      <c r="C574" s="319"/>
      <c r="D574" s="319"/>
      <c r="E574" s="319"/>
      <c r="F574" s="319"/>
      <c r="G574" s="320"/>
      <c r="H574" s="320"/>
      <c r="I574" s="14"/>
      <c r="J574" s="14"/>
      <c r="K574" s="14"/>
      <c r="L574" s="14"/>
      <c r="M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  <c r="AE574" s="134"/>
      <c r="AF574" s="134"/>
      <c r="AG574" s="134"/>
      <c r="AH574" s="134"/>
    </row>
    <row r="575">
      <c r="A575" s="143"/>
      <c r="B575" s="144"/>
      <c r="C575" s="319"/>
      <c r="D575" s="319"/>
      <c r="E575" s="319"/>
      <c r="F575" s="319"/>
      <c r="G575" s="320"/>
      <c r="H575" s="320"/>
      <c r="I575" s="14"/>
      <c r="J575" s="14"/>
      <c r="K575" s="14"/>
      <c r="L575" s="14"/>
      <c r="M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  <c r="AE575" s="134"/>
      <c r="AF575" s="134"/>
      <c r="AG575" s="134"/>
      <c r="AH575" s="134"/>
    </row>
    <row r="576">
      <c r="A576" s="143"/>
      <c r="B576" s="144"/>
      <c r="C576" s="319"/>
      <c r="D576" s="319"/>
      <c r="E576" s="319"/>
      <c r="F576" s="319"/>
      <c r="G576" s="320"/>
      <c r="H576" s="320"/>
      <c r="I576" s="14"/>
      <c r="J576" s="14"/>
      <c r="K576" s="14"/>
      <c r="L576" s="14"/>
      <c r="M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  <c r="AE576" s="134"/>
      <c r="AF576" s="134"/>
      <c r="AG576" s="134"/>
      <c r="AH576" s="134"/>
    </row>
    <row r="577">
      <c r="A577" s="143"/>
      <c r="B577" s="144"/>
      <c r="C577" s="319"/>
      <c r="D577" s="319"/>
      <c r="E577" s="319"/>
      <c r="F577" s="319"/>
      <c r="G577" s="320"/>
      <c r="H577" s="320"/>
      <c r="I577" s="14"/>
      <c r="J577" s="14"/>
      <c r="K577" s="14"/>
      <c r="L577" s="14"/>
      <c r="M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  <c r="AE577" s="134"/>
      <c r="AF577" s="134"/>
      <c r="AG577" s="134"/>
      <c r="AH577" s="134"/>
    </row>
    <row r="578">
      <c r="A578" s="143"/>
      <c r="B578" s="144"/>
      <c r="C578" s="319"/>
      <c r="D578" s="319"/>
      <c r="E578" s="319"/>
      <c r="F578" s="319"/>
      <c r="G578" s="320"/>
      <c r="H578" s="320"/>
      <c r="I578" s="14"/>
      <c r="J578" s="14"/>
      <c r="K578" s="14"/>
      <c r="L578" s="14"/>
      <c r="M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  <c r="AE578" s="134"/>
      <c r="AF578" s="134"/>
      <c r="AG578" s="134"/>
      <c r="AH578" s="134"/>
    </row>
    <row r="579">
      <c r="A579" s="143"/>
      <c r="B579" s="144"/>
      <c r="C579" s="319"/>
      <c r="D579" s="319"/>
      <c r="E579" s="319"/>
      <c r="F579" s="319"/>
      <c r="G579" s="320"/>
      <c r="H579" s="320"/>
      <c r="I579" s="14"/>
      <c r="J579" s="14"/>
      <c r="K579" s="14"/>
      <c r="L579" s="14"/>
      <c r="M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  <c r="AE579" s="134"/>
      <c r="AF579" s="134"/>
      <c r="AG579" s="134"/>
      <c r="AH579" s="134"/>
    </row>
    <row r="580">
      <c r="A580" s="143"/>
      <c r="B580" s="144"/>
      <c r="C580" s="319"/>
      <c r="D580" s="319"/>
      <c r="E580" s="319"/>
      <c r="F580" s="319"/>
      <c r="G580" s="320"/>
      <c r="H580" s="320"/>
      <c r="I580" s="14"/>
      <c r="J580" s="14"/>
      <c r="K580" s="14"/>
      <c r="L580" s="14"/>
      <c r="M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  <c r="AE580" s="134"/>
      <c r="AF580" s="134"/>
      <c r="AG580" s="134"/>
      <c r="AH580" s="134"/>
    </row>
    <row r="581">
      <c r="A581" s="143"/>
      <c r="B581" s="144"/>
      <c r="C581" s="319"/>
      <c r="D581" s="319"/>
      <c r="E581" s="319"/>
      <c r="F581" s="319"/>
      <c r="G581" s="320"/>
      <c r="H581" s="320"/>
      <c r="I581" s="14"/>
      <c r="J581" s="14"/>
      <c r="K581" s="14"/>
      <c r="L581" s="14"/>
      <c r="M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  <c r="AE581" s="134"/>
      <c r="AF581" s="134"/>
      <c r="AG581" s="134"/>
      <c r="AH581" s="134"/>
    </row>
    <row r="582">
      <c r="A582" s="143"/>
      <c r="B582" s="144"/>
      <c r="C582" s="319"/>
      <c r="D582" s="319"/>
      <c r="E582" s="319"/>
      <c r="F582" s="319"/>
      <c r="G582" s="320"/>
      <c r="H582" s="320"/>
      <c r="I582" s="14"/>
      <c r="J582" s="14"/>
      <c r="K582" s="14"/>
      <c r="L582" s="14"/>
      <c r="M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  <c r="AE582" s="134"/>
      <c r="AF582" s="134"/>
      <c r="AG582" s="134"/>
      <c r="AH582" s="134"/>
    </row>
    <row r="583">
      <c r="A583" s="143"/>
      <c r="B583" s="144"/>
      <c r="C583" s="319"/>
      <c r="D583" s="319"/>
      <c r="E583" s="319"/>
      <c r="F583" s="319"/>
      <c r="G583" s="320"/>
      <c r="H583" s="320"/>
      <c r="I583" s="14"/>
      <c r="J583" s="14"/>
      <c r="K583" s="14"/>
      <c r="L583" s="14"/>
      <c r="M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  <c r="AE583" s="134"/>
      <c r="AF583" s="134"/>
      <c r="AG583" s="134"/>
      <c r="AH583" s="134"/>
    </row>
    <row r="584">
      <c r="A584" s="143"/>
      <c r="B584" s="144"/>
      <c r="C584" s="319"/>
      <c r="D584" s="319"/>
      <c r="E584" s="319"/>
      <c r="F584" s="319"/>
      <c r="G584" s="320"/>
      <c r="H584" s="320"/>
      <c r="I584" s="14"/>
      <c r="J584" s="14"/>
      <c r="K584" s="14"/>
      <c r="L584" s="14"/>
      <c r="M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  <c r="AE584" s="134"/>
      <c r="AF584" s="134"/>
      <c r="AG584" s="134"/>
      <c r="AH584" s="134"/>
    </row>
    <row r="585">
      <c r="A585" s="143"/>
      <c r="B585" s="144"/>
      <c r="C585" s="319"/>
      <c r="D585" s="319"/>
      <c r="E585" s="319"/>
      <c r="F585" s="319"/>
      <c r="G585" s="320"/>
      <c r="H585" s="320"/>
      <c r="I585" s="14"/>
      <c r="J585" s="14"/>
      <c r="K585" s="14"/>
      <c r="L585" s="14"/>
      <c r="M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  <c r="AE585" s="134"/>
      <c r="AF585" s="134"/>
      <c r="AG585" s="134"/>
      <c r="AH585" s="134"/>
    </row>
    <row r="586">
      <c r="A586" s="143"/>
      <c r="B586" s="144"/>
      <c r="C586" s="319"/>
      <c r="D586" s="319"/>
      <c r="E586" s="319"/>
      <c r="F586" s="319"/>
      <c r="G586" s="320"/>
      <c r="H586" s="320"/>
      <c r="I586" s="14"/>
      <c r="J586" s="14"/>
      <c r="K586" s="14"/>
      <c r="L586" s="14"/>
      <c r="M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  <c r="AE586" s="134"/>
      <c r="AF586" s="134"/>
      <c r="AG586" s="134"/>
      <c r="AH586" s="134"/>
    </row>
    <row r="587">
      <c r="A587" s="143"/>
      <c r="B587" s="144"/>
      <c r="C587" s="319"/>
      <c r="D587" s="319"/>
      <c r="E587" s="319"/>
      <c r="F587" s="319"/>
      <c r="G587" s="320"/>
      <c r="H587" s="320"/>
      <c r="I587" s="14"/>
      <c r="J587" s="14"/>
      <c r="K587" s="14"/>
      <c r="L587" s="14"/>
      <c r="M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  <c r="AE587" s="134"/>
      <c r="AF587" s="134"/>
      <c r="AG587" s="134"/>
      <c r="AH587" s="134"/>
    </row>
    <row r="588">
      <c r="A588" s="143"/>
      <c r="B588" s="144"/>
      <c r="C588" s="319"/>
      <c r="D588" s="319"/>
      <c r="E588" s="319"/>
      <c r="F588" s="319"/>
      <c r="G588" s="320"/>
      <c r="H588" s="320"/>
      <c r="I588" s="14"/>
      <c r="J588" s="14"/>
      <c r="K588" s="14"/>
      <c r="L588" s="14"/>
      <c r="M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  <c r="AE588" s="134"/>
      <c r="AF588" s="134"/>
      <c r="AG588" s="134"/>
      <c r="AH588" s="134"/>
    </row>
    <row r="589">
      <c r="A589" s="143"/>
      <c r="B589" s="144"/>
      <c r="C589" s="319"/>
      <c r="D589" s="319"/>
      <c r="E589" s="319"/>
      <c r="F589" s="319"/>
      <c r="G589" s="320"/>
      <c r="H589" s="320"/>
      <c r="I589" s="14"/>
      <c r="J589" s="14"/>
      <c r="K589" s="14"/>
      <c r="L589" s="14"/>
      <c r="M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4"/>
      <c r="AG589" s="134"/>
      <c r="AH589" s="134"/>
    </row>
    <row r="590">
      <c r="A590" s="143"/>
      <c r="B590" s="144"/>
      <c r="C590" s="319"/>
      <c r="D590" s="319"/>
      <c r="E590" s="319"/>
      <c r="F590" s="319"/>
      <c r="G590" s="320"/>
      <c r="H590" s="320"/>
      <c r="I590" s="14"/>
      <c r="J590" s="14"/>
      <c r="K590" s="14"/>
      <c r="L590" s="14"/>
      <c r="M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  <c r="AE590" s="134"/>
      <c r="AF590" s="134"/>
      <c r="AG590" s="134"/>
      <c r="AH590" s="134"/>
    </row>
    <row r="591">
      <c r="A591" s="143"/>
      <c r="B591" s="144"/>
      <c r="C591" s="319"/>
      <c r="D591" s="319"/>
      <c r="E591" s="319"/>
      <c r="F591" s="319"/>
      <c r="G591" s="320"/>
      <c r="H591" s="320"/>
      <c r="I591" s="14"/>
      <c r="J591" s="14"/>
      <c r="K591" s="14"/>
      <c r="L591" s="14"/>
      <c r="M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  <c r="AE591" s="134"/>
      <c r="AF591" s="134"/>
      <c r="AG591" s="134"/>
      <c r="AH591" s="134"/>
    </row>
    <row r="592">
      <c r="A592" s="143"/>
      <c r="B592" s="144"/>
      <c r="C592" s="319"/>
      <c r="D592" s="319"/>
      <c r="E592" s="319"/>
      <c r="F592" s="319"/>
      <c r="G592" s="320"/>
      <c r="H592" s="320"/>
      <c r="I592" s="14"/>
      <c r="J592" s="14"/>
      <c r="K592" s="14"/>
      <c r="L592" s="14"/>
      <c r="M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  <c r="AE592" s="134"/>
      <c r="AF592" s="134"/>
      <c r="AG592" s="134"/>
      <c r="AH592" s="134"/>
    </row>
    <row r="593">
      <c r="A593" s="143"/>
      <c r="B593" s="144"/>
      <c r="C593" s="319"/>
      <c r="D593" s="319"/>
      <c r="E593" s="319"/>
      <c r="F593" s="319"/>
      <c r="G593" s="320"/>
      <c r="H593" s="320"/>
      <c r="I593" s="14"/>
      <c r="J593" s="14"/>
      <c r="K593" s="14"/>
      <c r="L593" s="14"/>
      <c r="M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  <c r="AE593" s="134"/>
      <c r="AF593" s="134"/>
      <c r="AG593" s="134"/>
      <c r="AH593" s="134"/>
    </row>
    <row r="594">
      <c r="A594" s="143"/>
      <c r="B594" s="144"/>
      <c r="C594" s="319"/>
      <c r="D594" s="319"/>
      <c r="E594" s="319"/>
      <c r="F594" s="319"/>
      <c r="G594" s="320"/>
      <c r="H594" s="320"/>
      <c r="I594" s="14"/>
      <c r="J594" s="14"/>
      <c r="K594" s="14"/>
      <c r="L594" s="14"/>
      <c r="M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  <c r="AE594" s="134"/>
      <c r="AF594" s="134"/>
      <c r="AG594" s="134"/>
      <c r="AH594" s="134"/>
    </row>
    <row r="595">
      <c r="A595" s="143"/>
      <c r="B595" s="144"/>
      <c r="C595" s="319"/>
      <c r="D595" s="319"/>
      <c r="E595" s="319"/>
      <c r="F595" s="319"/>
      <c r="G595" s="320"/>
      <c r="H595" s="320"/>
      <c r="I595" s="14"/>
      <c r="J595" s="14"/>
      <c r="K595" s="14"/>
      <c r="L595" s="14"/>
      <c r="M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  <c r="AC595" s="134"/>
      <c r="AD595" s="134"/>
      <c r="AE595" s="134"/>
      <c r="AF595" s="134"/>
      <c r="AG595" s="134"/>
      <c r="AH595" s="134"/>
    </row>
    <row r="596">
      <c r="A596" s="143"/>
      <c r="B596" s="144"/>
      <c r="C596" s="319"/>
      <c r="D596" s="319"/>
      <c r="E596" s="319"/>
      <c r="F596" s="319"/>
      <c r="G596" s="320"/>
      <c r="H596" s="320"/>
      <c r="I596" s="14"/>
      <c r="J596" s="14"/>
      <c r="K596" s="14"/>
      <c r="L596" s="14"/>
      <c r="M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  <c r="AE596" s="134"/>
      <c r="AF596" s="134"/>
      <c r="AG596" s="134"/>
      <c r="AH596" s="134"/>
    </row>
    <row r="597">
      <c r="A597" s="143"/>
      <c r="B597" s="144"/>
      <c r="C597" s="319"/>
      <c r="D597" s="319"/>
      <c r="E597" s="319"/>
      <c r="F597" s="319"/>
      <c r="G597" s="320"/>
      <c r="H597" s="320"/>
      <c r="I597" s="14"/>
      <c r="J597" s="14"/>
      <c r="K597" s="14"/>
      <c r="L597" s="14"/>
      <c r="M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  <c r="AE597" s="134"/>
      <c r="AF597" s="134"/>
      <c r="AG597" s="134"/>
      <c r="AH597" s="134"/>
    </row>
    <row r="598">
      <c r="A598" s="143"/>
      <c r="B598" s="144"/>
      <c r="C598" s="319"/>
      <c r="D598" s="319"/>
      <c r="E598" s="319"/>
      <c r="F598" s="319"/>
      <c r="G598" s="320"/>
      <c r="H598" s="320"/>
      <c r="I598" s="14"/>
      <c r="J598" s="14"/>
      <c r="K598" s="14"/>
      <c r="L598" s="14"/>
      <c r="M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  <c r="AE598" s="134"/>
      <c r="AF598" s="134"/>
      <c r="AG598" s="134"/>
      <c r="AH598" s="134"/>
    </row>
    <row r="599">
      <c r="A599" s="143"/>
      <c r="B599" s="144"/>
      <c r="C599" s="319"/>
      <c r="D599" s="319"/>
      <c r="E599" s="319"/>
      <c r="F599" s="319"/>
      <c r="G599" s="320"/>
      <c r="H599" s="320"/>
      <c r="I599" s="14"/>
      <c r="J599" s="14"/>
      <c r="K599" s="14"/>
      <c r="L599" s="14"/>
      <c r="M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  <c r="AE599" s="134"/>
      <c r="AF599" s="134"/>
      <c r="AG599" s="134"/>
      <c r="AH599" s="134"/>
    </row>
    <row r="600">
      <c r="A600" s="143"/>
      <c r="B600" s="144"/>
      <c r="C600" s="319"/>
      <c r="D600" s="319"/>
      <c r="E600" s="319"/>
      <c r="F600" s="319"/>
      <c r="G600" s="320"/>
      <c r="H600" s="320"/>
      <c r="I600" s="14"/>
      <c r="J600" s="14"/>
      <c r="K600" s="14"/>
      <c r="L600" s="14"/>
      <c r="M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  <c r="AE600" s="134"/>
      <c r="AF600" s="134"/>
      <c r="AG600" s="134"/>
      <c r="AH600" s="134"/>
    </row>
    <row r="601">
      <c r="A601" s="143"/>
      <c r="B601" s="144"/>
      <c r="C601" s="319"/>
      <c r="D601" s="319"/>
      <c r="E601" s="319"/>
      <c r="F601" s="319"/>
      <c r="G601" s="320"/>
      <c r="H601" s="320"/>
      <c r="I601" s="14"/>
      <c r="J601" s="14"/>
      <c r="K601" s="14"/>
      <c r="L601" s="14"/>
      <c r="M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  <c r="AE601" s="134"/>
      <c r="AF601" s="134"/>
      <c r="AG601" s="134"/>
      <c r="AH601" s="134"/>
    </row>
    <row r="602">
      <c r="A602" s="143"/>
      <c r="B602" s="144"/>
      <c r="C602" s="319"/>
      <c r="D602" s="319"/>
      <c r="E602" s="319"/>
      <c r="F602" s="319"/>
      <c r="G602" s="320"/>
      <c r="H602" s="320"/>
      <c r="I602" s="14"/>
      <c r="J602" s="14"/>
      <c r="K602" s="14"/>
      <c r="L602" s="14"/>
      <c r="M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  <c r="AE602" s="134"/>
      <c r="AF602" s="134"/>
      <c r="AG602" s="134"/>
      <c r="AH602" s="134"/>
    </row>
    <row r="603">
      <c r="A603" s="143"/>
      <c r="B603" s="144"/>
      <c r="C603" s="319"/>
      <c r="D603" s="319"/>
      <c r="E603" s="319"/>
      <c r="F603" s="319"/>
      <c r="G603" s="320"/>
      <c r="H603" s="320"/>
      <c r="I603" s="14"/>
      <c r="J603" s="14"/>
      <c r="K603" s="14"/>
      <c r="L603" s="14"/>
      <c r="M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  <c r="AE603" s="134"/>
      <c r="AF603" s="134"/>
      <c r="AG603" s="134"/>
      <c r="AH603" s="134"/>
    </row>
    <row r="604">
      <c r="A604" s="143"/>
      <c r="B604" s="144"/>
      <c r="C604" s="319"/>
      <c r="D604" s="319"/>
      <c r="E604" s="319"/>
      <c r="F604" s="319"/>
      <c r="G604" s="320"/>
      <c r="H604" s="320"/>
      <c r="I604" s="14"/>
      <c r="J604" s="14"/>
      <c r="K604" s="14"/>
      <c r="L604" s="14"/>
      <c r="M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  <c r="AE604" s="134"/>
      <c r="AF604" s="134"/>
      <c r="AG604" s="134"/>
      <c r="AH604" s="134"/>
    </row>
    <row r="605">
      <c r="A605" s="143"/>
      <c r="B605" s="144"/>
      <c r="C605" s="319"/>
      <c r="D605" s="319"/>
      <c r="E605" s="319"/>
      <c r="F605" s="319"/>
      <c r="G605" s="320"/>
      <c r="H605" s="320"/>
      <c r="I605" s="14"/>
      <c r="J605" s="14"/>
      <c r="K605" s="14"/>
      <c r="L605" s="14"/>
      <c r="M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  <c r="AE605" s="134"/>
      <c r="AF605" s="134"/>
      <c r="AG605" s="134"/>
      <c r="AH605" s="134"/>
    </row>
    <row r="606">
      <c r="A606" s="143"/>
      <c r="B606" s="144"/>
      <c r="C606" s="319"/>
      <c r="D606" s="319"/>
      <c r="E606" s="319"/>
      <c r="F606" s="319"/>
      <c r="G606" s="320"/>
      <c r="H606" s="320"/>
      <c r="I606" s="14"/>
      <c r="J606" s="14"/>
      <c r="K606" s="14"/>
      <c r="L606" s="14"/>
      <c r="M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  <c r="AE606" s="134"/>
      <c r="AF606" s="134"/>
      <c r="AG606" s="134"/>
      <c r="AH606" s="134"/>
    </row>
    <row r="607">
      <c r="A607" s="143"/>
      <c r="B607" s="144"/>
      <c r="C607" s="319"/>
      <c r="D607" s="319"/>
      <c r="E607" s="319"/>
      <c r="F607" s="319"/>
      <c r="G607" s="320"/>
      <c r="H607" s="320"/>
      <c r="I607" s="14"/>
      <c r="J607" s="14"/>
      <c r="K607" s="14"/>
      <c r="L607" s="14"/>
      <c r="M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  <c r="AE607" s="134"/>
      <c r="AF607" s="134"/>
      <c r="AG607" s="134"/>
      <c r="AH607" s="134"/>
    </row>
    <row r="608">
      <c r="A608" s="143"/>
      <c r="B608" s="144"/>
      <c r="C608" s="319"/>
      <c r="D608" s="319"/>
      <c r="E608" s="319"/>
      <c r="F608" s="319"/>
      <c r="G608" s="320"/>
      <c r="H608" s="320"/>
      <c r="I608" s="14"/>
      <c r="J608" s="14"/>
      <c r="K608" s="14"/>
      <c r="L608" s="14"/>
      <c r="M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  <c r="AE608" s="134"/>
      <c r="AF608" s="134"/>
      <c r="AG608" s="134"/>
      <c r="AH608" s="134"/>
    </row>
    <row r="609">
      <c r="A609" s="143"/>
      <c r="B609" s="144"/>
      <c r="C609" s="319"/>
      <c r="D609" s="319"/>
      <c r="E609" s="319"/>
      <c r="F609" s="319"/>
      <c r="G609" s="320"/>
      <c r="H609" s="320"/>
      <c r="I609" s="14"/>
      <c r="J609" s="14"/>
      <c r="K609" s="14"/>
      <c r="L609" s="14"/>
      <c r="M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  <c r="AE609" s="134"/>
      <c r="AF609" s="134"/>
      <c r="AG609" s="134"/>
      <c r="AH609" s="134"/>
    </row>
    <row r="610">
      <c r="A610" s="143"/>
      <c r="B610" s="144"/>
      <c r="C610" s="319"/>
      <c r="D610" s="319"/>
      <c r="E610" s="319"/>
      <c r="F610" s="319"/>
      <c r="G610" s="320"/>
      <c r="H610" s="320"/>
      <c r="I610" s="14"/>
      <c r="J610" s="14"/>
      <c r="K610" s="14"/>
      <c r="L610" s="14"/>
      <c r="M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  <c r="AE610" s="134"/>
      <c r="AF610" s="134"/>
      <c r="AG610" s="134"/>
      <c r="AH610" s="134"/>
    </row>
    <row r="611">
      <c r="A611" s="143"/>
      <c r="B611" s="144"/>
      <c r="C611" s="319"/>
      <c r="D611" s="319"/>
      <c r="E611" s="319"/>
      <c r="F611" s="319"/>
      <c r="G611" s="320"/>
      <c r="H611" s="320"/>
      <c r="I611" s="14"/>
      <c r="J611" s="14"/>
      <c r="K611" s="14"/>
      <c r="L611" s="14"/>
      <c r="M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  <c r="AE611" s="134"/>
      <c r="AF611" s="134"/>
      <c r="AG611" s="134"/>
      <c r="AH611" s="134"/>
    </row>
    <row r="612">
      <c r="A612" s="143"/>
      <c r="B612" s="144"/>
      <c r="C612" s="319"/>
      <c r="D612" s="319"/>
      <c r="E612" s="319"/>
      <c r="F612" s="319"/>
      <c r="G612" s="320"/>
      <c r="H612" s="320"/>
      <c r="I612" s="14"/>
      <c r="J612" s="14"/>
      <c r="K612" s="14"/>
      <c r="L612" s="14"/>
      <c r="M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  <c r="AE612" s="134"/>
      <c r="AF612" s="134"/>
      <c r="AG612" s="134"/>
      <c r="AH612" s="134"/>
    </row>
    <row r="613">
      <c r="A613" s="143"/>
      <c r="B613" s="144"/>
      <c r="C613" s="319"/>
      <c r="D613" s="319"/>
      <c r="E613" s="319"/>
      <c r="F613" s="319"/>
      <c r="G613" s="320"/>
      <c r="H613" s="320"/>
      <c r="I613" s="14"/>
      <c r="J613" s="14"/>
      <c r="K613" s="14"/>
      <c r="L613" s="14"/>
      <c r="M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  <c r="AE613" s="134"/>
      <c r="AF613" s="134"/>
      <c r="AG613" s="134"/>
      <c r="AH613" s="134"/>
    </row>
    <row r="614">
      <c r="A614" s="143"/>
      <c r="B614" s="144"/>
      <c r="C614" s="319"/>
      <c r="D614" s="319"/>
      <c r="E614" s="319"/>
      <c r="F614" s="319"/>
      <c r="G614" s="320"/>
      <c r="H614" s="320"/>
      <c r="I614" s="14"/>
      <c r="J614" s="14"/>
      <c r="K614" s="14"/>
      <c r="L614" s="14"/>
      <c r="M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  <c r="AE614" s="134"/>
      <c r="AF614" s="134"/>
      <c r="AG614" s="134"/>
      <c r="AH614" s="134"/>
    </row>
    <row r="615">
      <c r="A615" s="143"/>
      <c r="B615" s="144"/>
      <c r="C615" s="319"/>
      <c r="D615" s="319"/>
      <c r="E615" s="319"/>
      <c r="F615" s="319"/>
      <c r="G615" s="320"/>
      <c r="H615" s="320"/>
      <c r="I615" s="14"/>
      <c r="J615" s="14"/>
      <c r="K615" s="14"/>
      <c r="L615" s="14"/>
      <c r="M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  <c r="AE615" s="134"/>
      <c r="AF615" s="134"/>
      <c r="AG615" s="134"/>
      <c r="AH615" s="134"/>
    </row>
    <row r="616">
      <c r="A616" s="143"/>
      <c r="B616" s="144"/>
      <c r="C616" s="319"/>
      <c r="D616" s="319"/>
      <c r="E616" s="319"/>
      <c r="F616" s="319"/>
      <c r="G616" s="320"/>
      <c r="H616" s="320"/>
      <c r="I616" s="14"/>
      <c r="J616" s="14"/>
      <c r="K616" s="14"/>
      <c r="L616" s="14"/>
      <c r="M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  <c r="AE616" s="134"/>
      <c r="AF616" s="134"/>
      <c r="AG616" s="134"/>
      <c r="AH616" s="134"/>
    </row>
    <row r="617">
      <c r="A617" s="143"/>
      <c r="B617" s="144"/>
      <c r="C617" s="319"/>
      <c r="D617" s="319"/>
      <c r="E617" s="319"/>
      <c r="F617" s="319"/>
      <c r="G617" s="320"/>
      <c r="H617" s="320"/>
      <c r="I617" s="14"/>
      <c r="J617" s="14"/>
      <c r="K617" s="14"/>
      <c r="L617" s="14"/>
      <c r="M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  <c r="AE617" s="134"/>
      <c r="AF617" s="134"/>
      <c r="AG617" s="134"/>
      <c r="AH617" s="134"/>
    </row>
    <row r="618">
      <c r="A618" s="143"/>
      <c r="B618" s="144"/>
      <c r="C618" s="319"/>
      <c r="D618" s="319"/>
      <c r="E618" s="319"/>
      <c r="F618" s="319"/>
      <c r="G618" s="320"/>
      <c r="H618" s="320"/>
      <c r="I618" s="14"/>
      <c r="J618" s="14"/>
      <c r="K618" s="14"/>
      <c r="L618" s="14"/>
      <c r="M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  <c r="AE618" s="134"/>
      <c r="AF618" s="134"/>
      <c r="AG618" s="134"/>
      <c r="AH618" s="134"/>
    </row>
    <row r="619">
      <c r="A619" s="143"/>
      <c r="B619" s="144"/>
      <c r="C619" s="319"/>
      <c r="D619" s="319"/>
      <c r="E619" s="319"/>
      <c r="F619" s="319"/>
      <c r="G619" s="320"/>
      <c r="H619" s="320"/>
      <c r="I619" s="14"/>
      <c r="J619" s="14"/>
      <c r="K619" s="14"/>
      <c r="L619" s="14"/>
      <c r="M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  <c r="AE619" s="134"/>
      <c r="AF619" s="134"/>
      <c r="AG619" s="134"/>
      <c r="AH619" s="134"/>
    </row>
    <row r="620">
      <c r="A620" s="143"/>
      <c r="B620" s="144"/>
      <c r="C620" s="319"/>
      <c r="D620" s="319"/>
      <c r="E620" s="319"/>
      <c r="F620" s="319"/>
      <c r="G620" s="320"/>
      <c r="H620" s="320"/>
      <c r="I620" s="14"/>
      <c r="J620" s="14"/>
      <c r="K620" s="14"/>
      <c r="L620" s="14"/>
      <c r="M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  <c r="AE620" s="134"/>
      <c r="AF620" s="134"/>
      <c r="AG620" s="134"/>
      <c r="AH620" s="134"/>
    </row>
    <row r="621">
      <c r="A621" s="143"/>
      <c r="B621" s="144"/>
      <c r="C621" s="319"/>
      <c r="D621" s="319"/>
      <c r="E621" s="319"/>
      <c r="F621" s="319"/>
      <c r="G621" s="320"/>
      <c r="H621" s="320"/>
      <c r="I621" s="14"/>
      <c r="J621" s="14"/>
      <c r="K621" s="14"/>
      <c r="L621" s="14"/>
      <c r="M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  <c r="AE621" s="134"/>
      <c r="AF621" s="134"/>
      <c r="AG621" s="134"/>
      <c r="AH621" s="134"/>
    </row>
    <row r="622">
      <c r="A622" s="143"/>
      <c r="B622" s="144"/>
      <c r="C622" s="319"/>
      <c r="D622" s="319"/>
      <c r="E622" s="319"/>
      <c r="F622" s="319"/>
      <c r="G622" s="320"/>
      <c r="H622" s="320"/>
      <c r="I622" s="14"/>
      <c r="J622" s="14"/>
      <c r="K622" s="14"/>
      <c r="L622" s="14"/>
      <c r="M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  <c r="AE622" s="134"/>
      <c r="AF622" s="134"/>
      <c r="AG622" s="134"/>
      <c r="AH622" s="134"/>
    </row>
    <row r="623">
      <c r="A623" s="143"/>
      <c r="B623" s="144"/>
      <c r="C623" s="319"/>
      <c r="D623" s="319"/>
      <c r="E623" s="319"/>
      <c r="F623" s="319"/>
      <c r="G623" s="320"/>
      <c r="H623" s="320"/>
      <c r="I623" s="14"/>
      <c r="J623" s="14"/>
      <c r="K623" s="14"/>
      <c r="L623" s="14"/>
      <c r="M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  <c r="AE623" s="134"/>
      <c r="AF623" s="134"/>
      <c r="AG623" s="134"/>
      <c r="AH623" s="134"/>
    </row>
    <row r="624">
      <c r="A624" s="143"/>
      <c r="B624" s="144"/>
      <c r="C624" s="319"/>
      <c r="D624" s="319"/>
      <c r="E624" s="319"/>
      <c r="F624" s="319"/>
      <c r="G624" s="320"/>
      <c r="H624" s="320"/>
      <c r="I624" s="14"/>
      <c r="J624" s="14"/>
      <c r="K624" s="14"/>
      <c r="L624" s="14"/>
      <c r="M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  <c r="AE624" s="134"/>
      <c r="AF624" s="134"/>
      <c r="AG624" s="134"/>
      <c r="AH624" s="134"/>
    </row>
    <row r="625">
      <c r="A625" s="143"/>
      <c r="B625" s="144"/>
      <c r="C625" s="319"/>
      <c r="D625" s="319"/>
      <c r="E625" s="319"/>
      <c r="F625" s="319"/>
      <c r="G625" s="320"/>
      <c r="H625" s="320"/>
      <c r="I625" s="14"/>
      <c r="J625" s="14"/>
      <c r="K625" s="14"/>
      <c r="L625" s="14"/>
      <c r="M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  <c r="AE625" s="134"/>
      <c r="AF625" s="134"/>
      <c r="AG625" s="134"/>
      <c r="AH625" s="134"/>
    </row>
    <row r="626">
      <c r="A626" s="143"/>
      <c r="B626" s="144"/>
      <c r="C626" s="319"/>
      <c r="D626" s="319"/>
      <c r="E626" s="319"/>
      <c r="F626" s="319"/>
      <c r="G626" s="320"/>
      <c r="H626" s="320"/>
      <c r="I626" s="14"/>
      <c r="J626" s="14"/>
      <c r="K626" s="14"/>
      <c r="L626" s="14"/>
      <c r="M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  <c r="AE626" s="134"/>
      <c r="AF626" s="134"/>
      <c r="AG626" s="134"/>
      <c r="AH626" s="134"/>
    </row>
    <row r="627">
      <c r="A627" s="143"/>
      <c r="B627" s="144"/>
      <c r="C627" s="319"/>
      <c r="D627" s="319"/>
      <c r="E627" s="319"/>
      <c r="F627" s="319"/>
      <c r="G627" s="320"/>
      <c r="H627" s="320"/>
      <c r="I627" s="14"/>
      <c r="J627" s="14"/>
      <c r="K627" s="14"/>
      <c r="L627" s="14"/>
      <c r="M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  <c r="AE627" s="134"/>
      <c r="AF627" s="134"/>
      <c r="AG627" s="134"/>
      <c r="AH627" s="134"/>
    </row>
    <row r="628">
      <c r="A628" s="143"/>
      <c r="B628" s="144"/>
      <c r="C628" s="319"/>
      <c r="D628" s="319"/>
      <c r="E628" s="319"/>
      <c r="F628" s="319"/>
      <c r="G628" s="320"/>
      <c r="H628" s="320"/>
      <c r="I628" s="14"/>
      <c r="J628" s="14"/>
      <c r="K628" s="14"/>
      <c r="L628" s="14"/>
      <c r="M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  <c r="AE628" s="134"/>
      <c r="AF628" s="134"/>
      <c r="AG628" s="134"/>
      <c r="AH628" s="134"/>
    </row>
    <row r="629">
      <c r="A629" s="143"/>
      <c r="B629" s="144"/>
      <c r="C629" s="319"/>
      <c r="D629" s="319"/>
      <c r="E629" s="319"/>
      <c r="F629" s="319"/>
      <c r="G629" s="320"/>
      <c r="H629" s="320"/>
      <c r="I629" s="14"/>
      <c r="J629" s="14"/>
      <c r="K629" s="14"/>
      <c r="L629" s="14"/>
      <c r="M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  <c r="AE629" s="134"/>
      <c r="AF629" s="134"/>
      <c r="AG629" s="134"/>
      <c r="AH629" s="134"/>
    </row>
    <row r="630">
      <c r="A630" s="143"/>
      <c r="B630" s="144"/>
      <c r="C630" s="319"/>
      <c r="D630" s="319"/>
      <c r="E630" s="319"/>
      <c r="F630" s="319"/>
      <c r="G630" s="320"/>
      <c r="H630" s="320"/>
      <c r="I630" s="14"/>
      <c r="J630" s="14"/>
      <c r="K630" s="14"/>
      <c r="L630" s="14"/>
      <c r="M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  <c r="AE630" s="134"/>
      <c r="AF630" s="134"/>
      <c r="AG630" s="134"/>
      <c r="AH630" s="134"/>
    </row>
    <row r="631">
      <c r="A631" s="143"/>
      <c r="B631" s="144"/>
      <c r="C631" s="319"/>
      <c r="D631" s="319"/>
      <c r="E631" s="319"/>
      <c r="F631" s="319"/>
      <c r="G631" s="320"/>
      <c r="H631" s="320"/>
      <c r="I631" s="14"/>
      <c r="J631" s="14"/>
      <c r="K631" s="14"/>
      <c r="L631" s="14"/>
      <c r="M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  <c r="AE631" s="134"/>
      <c r="AF631" s="134"/>
      <c r="AG631" s="134"/>
      <c r="AH631" s="134"/>
    </row>
    <row r="632">
      <c r="A632" s="143"/>
      <c r="B632" s="144"/>
      <c r="C632" s="319"/>
      <c r="D632" s="319"/>
      <c r="E632" s="319"/>
      <c r="F632" s="319"/>
      <c r="G632" s="320"/>
      <c r="H632" s="320"/>
      <c r="I632" s="14"/>
      <c r="J632" s="14"/>
      <c r="K632" s="14"/>
      <c r="L632" s="14"/>
      <c r="M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  <c r="AE632" s="134"/>
      <c r="AF632" s="134"/>
      <c r="AG632" s="134"/>
      <c r="AH632" s="134"/>
    </row>
    <row r="633">
      <c r="A633" s="143"/>
      <c r="B633" s="144"/>
      <c r="C633" s="319"/>
      <c r="D633" s="319"/>
      <c r="E633" s="319"/>
      <c r="F633" s="319"/>
      <c r="G633" s="320"/>
      <c r="H633" s="320"/>
      <c r="I633" s="14"/>
      <c r="J633" s="14"/>
      <c r="K633" s="14"/>
      <c r="L633" s="14"/>
      <c r="M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  <c r="AE633" s="134"/>
      <c r="AF633" s="134"/>
      <c r="AG633" s="134"/>
      <c r="AH633" s="134"/>
    </row>
    <row r="634">
      <c r="A634" s="143"/>
      <c r="B634" s="144"/>
      <c r="C634" s="319"/>
      <c r="D634" s="319"/>
      <c r="E634" s="319"/>
      <c r="F634" s="319"/>
      <c r="G634" s="320"/>
      <c r="H634" s="320"/>
      <c r="I634" s="14"/>
      <c r="J634" s="14"/>
      <c r="K634" s="14"/>
      <c r="L634" s="14"/>
      <c r="M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  <c r="AE634" s="134"/>
      <c r="AF634" s="134"/>
      <c r="AG634" s="134"/>
      <c r="AH634" s="134"/>
    </row>
    <row r="635">
      <c r="A635" s="143"/>
      <c r="B635" s="144"/>
      <c r="C635" s="319"/>
      <c r="D635" s="319"/>
      <c r="E635" s="319"/>
      <c r="F635" s="319"/>
      <c r="G635" s="320"/>
      <c r="H635" s="320"/>
      <c r="I635" s="14"/>
      <c r="J635" s="14"/>
      <c r="K635" s="14"/>
      <c r="L635" s="14"/>
      <c r="M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  <c r="AE635" s="134"/>
      <c r="AF635" s="134"/>
      <c r="AG635" s="134"/>
      <c r="AH635" s="134"/>
    </row>
    <row r="636">
      <c r="A636" s="143"/>
      <c r="B636" s="144"/>
      <c r="C636" s="319"/>
      <c r="D636" s="319"/>
      <c r="E636" s="319"/>
      <c r="F636" s="319"/>
      <c r="G636" s="320"/>
      <c r="H636" s="320"/>
      <c r="I636" s="14"/>
      <c r="J636" s="14"/>
      <c r="K636" s="14"/>
      <c r="L636" s="14"/>
      <c r="M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  <c r="AE636" s="134"/>
      <c r="AF636" s="134"/>
      <c r="AG636" s="134"/>
      <c r="AH636" s="134"/>
    </row>
    <row r="637">
      <c r="A637" s="143"/>
      <c r="B637" s="144"/>
      <c r="C637" s="319"/>
      <c r="D637" s="319"/>
      <c r="E637" s="319"/>
      <c r="F637" s="319"/>
      <c r="G637" s="320"/>
      <c r="H637" s="320"/>
      <c r="I637" s="14"/>
      <c r="J637" s="14"/>
      <c r="K637" s="14"/>
      <c r="L637" s="14"/>
      <c r="M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  <c r="AE637" s="134"/>
      <c r="AF637" s="134"/>
      <c r="AG637" s="134"/>
      <c r="AH637" s="134"/>
    </row>
    <row r="638">
      <c r="A638" s="143"/>
      <c r="B638" s="144"/>
      <c r="C638" s="319"/>
      <c r="D638" s="319"/>
      <c r="E638" s="319"/>
      <c r="F638" s="319"/>
      <c r="G638" s="320"/>
      <c r="H638" s="320"/>
      <c r="I638" s="14"/>
      <c r="J638" s="14"/>
      <c r="K638" s="14"/>
      <c r="L638" s="14"/>
      <c r="M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  <c r="AE638" s="134"/>
      <c r="AF638" s="134"/>
      <c r="AG638" s="134"/>
      <c r="AH638" s="134"/>
    </row>
    <row r="639">
      <c r="A639" s="143"/>
      <c r="B639" s="144"/>
      <c r="C639" s="319"/>
      <c r="D639" s="319"/>
      <c r="E639" s="319"/>
      <c r="F639" s="319"/>
      <c r="G639" s="320"/>
      <c r="H639" s="320"/>
      <c r="I639" s="14"/>
      <c r="J639" s="14"/>
      <c r="K639" s="14"/>
      <c r="L639" s="14"/>
      <c r="M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  <c r="AE639" s="134"/>
      <c r="AF639" s="134"/>
      <c r="AG639" s="134"/>
      <c r="AH639" s="134"/>
    </row>
    <row r="640">
      <c r="A640" s="143"/>
      <c r="B640" s="144"/>
      <c r="C640" s="319"/>
      <c r="D640" s="319"/>
      <c r="E640" s="319"/>
      <c r="F640" s="319"/>
      <c r="G640" s="320"/>
      <c r="H640" s="320"/>
      <c r="I640" s="14"/>
      <c r="J640" s="14"/>
      <c r="K640" s="14"/>
      <c r="L640" s="14"/>
      <c r="M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  <c r="AE640" s="134"/>
      <c r="AF640" s="134"/>
      <c r="AG640" s="134"/>
      <c r="AH640" s="134"/>
    </row>
    <row r="641">
      <c r="A641" s="143"/>
      <c r="B641" s="144"/>
      <c r="C641" s="319"/>
      <c r="D641" s="319"/>
      <c r="E641" s="319"/>
      <c r="F641" s="319"/>
      <c r="G641" s="320"/>
      <c r="H641" s="320"/>
      <c r="I641" s="14"/>
      <c r="J641" s="14"/>
      <c r="K641" s="14"/>
      <c r="L641" s="14"/>
      <c r="M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  <c r="AE641" s="134"/>
      <c r="AF641" s="134"/>
      <c r="AG641" s="134"/>
      <c r="AH641" s="134"/>
    </row>
    <row r="642">
      <c r="A642" s="143"/>
      <c r="B642" s="144"/>
      <c r="C642" s="319"/>
      <c r="D642" s="319"/>
      <c r="E642" s="319"/>
      <c r="F642" s="319"/>
      <c r="G642" s="320"/>
      <c r="H642" s="320"/>
      <c r="I642" s="14"/>
      <c r="J642" s="14"/>
      <c r="K642" s="14"/>
      <c r="L642" s="14"/>
      <c r="M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  <c r="AE642" s="134"/>
      <c r="AF642" s="134"/>
      <c r="AG642" s="134"/>
      <c r="AH642" s="134"/>
    </row>
    <row r="643">
      <c r="A643" s="143"/>
      <c r="B643" s="144"/>
      <c r="C643" s="319"/>
      <c r="D643" s="319"/>
      <c r="E643" s="319"/>
      <c r="F643" s="319"/>
      <c r="G643" s="320"/>
      <c r="H643" s="320"/>
      <c r="I643" s="14"/>
      <c r="J643" s="14"/>
      <c r="K643" s="14"/>
      <c r="L643" s="14"/>
      <c r="M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  <c r="AE643" s="134"/>
      <c r="AF643" s="134"/>
      <c r="AG643" s="134"/>
      <c r="AH643" s="134"/>
    </row>
    <row r="644">
      <c r="A644" s="143"/>
      <c r="B644" s="144"/>
      <c r="C644" s="319"/>
      <c r="D644" s="319"/>
      <c r="E644" s="319"/>
      <c r="F644" s="319"/>
      <c r="G644" s="320"/>
      <c r="H644" s="320"/>
      <c r="I644" s="14"/>
      <c r="J644" s="14"/>
      <c r="K644" s="14"/>
      <c r="L644" s="14"/>
      <c r="M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  <c r="AE644" s="134"/>
      <c r="AF644" s="134"/>
      <c r="AG644" s="134"/>
      <c r="AH644" s="134"/>
    </row>
    <row r="645">
      <c r="A645" s="143"/>
      <c r="B645" s="144"/>
      <c r="C645" s="319"/>
      <c r="D645" s="319"/>
      <c r="E645" s="319"/>
      <c r="F645" s="319"/>
      <c r="G645" s="320"/>
      <c r="H645" s="320"/>
      <c r="I645" s="14"/>
      <c r="J645" s="14"/>
      <c r="K645" s="14"/>
      <c r="L645" s="14"/>
      <c r="M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  <c r="AE645" s="134"/>
      <c r="AF645" s="134"/>
      <c r="AG645" s="134"/>
      <c r="AH645" s="134"/>
    </row>
    <row r="646">
      <c r="A646" s="143"/>
      <c r="B646" s="144"/>
      <c r="C646" s="319"/>
      <c r="D646" s="319"/>
      <c r="E646" s="319"/>
      <c r="F646" s="319"/>
      <c r="G646" s="320"/>
      <c r="H646" s="320"/>
      <c r="I646" s="14"/>
      <c r="J646" s="14"/>
      <c r="K646" s="14"/>
      <c r="L646" s="14"/>
      <c r="M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  <c r="AE646" s="134"/>
      <c r="AF646" s="134"/>
      <c r="AG646" s="134"/>
      <c r="AH646" s="134"/>
    </row>
    <row r="647">
      <c r="A647" s="143"/>
      <c r="B647" s="144"/>
      <c r="C647" s="319"/>
      <c r="D647" s="319"/>
      <c r="E647" s="319"/>
      <c r="F647" s="319"/>
      <c r="G647" s="320"/>
      <c r="H647" s="320"/>
      <c r="I647" s="14"/>
      <c r="J647" s="14"/>
      <c r="K647" s="14"/>
      <c r="L647" s="14"/>
      <c r="M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  <c r="AE647" s="134"/>
      <c r="AF647" s="134"/>
      <c r="AG647" s="134"/>
      <c r="AH647" s="134"/>
    </row>
    <row r="648">
      <c r="A648" s="143"/>
      <c r="B648" s="144"/>
      <c r="C648" s="319"/>
      <c r="D648" s="319"/>
      <c r="E648" s="319"/>
      <c r="F648" s="319"/>
      <c r="G648" s="320"/>
      <c r="H648" s="320"/>
      <c r="I648" s="14"/>
      <c r="J648" s="14"/>
      <c r="K648" s="14"/>
      <c r="L648" s="14"/>
      <c r="M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  <c r="AE648" s="134"/>
      <c r="AF648" s="134"/>
      <c r="AG648" s="134"/>
      <c r="AH648" s="134"/>
    </row>
    <row r="649">
      <c r="A649" s="143"/>
      <c r="B649" s="144"/>
      <c r="C649" s="319"/>
      <c r="D649" s="319"/>
      <c r="E649" s="319"/>
      <c r="F649" s="319"/>
      <c r="G649" s="320"/>
      <c r="H649" s="320"/>
      <c r="I649" s="14"/>
      <c r="J649" s="14"/>
      <c r="K649" s="14"/>
      <c r="L649" s="14"/>
      <c r="M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  <c r="AE649" s="134"/>
      <c r="AF649" s="134"/>
      <c r="AG649" s="134"/>
      <c r="AH649" s="134"/>
    </row>
    <row r="650">
      <c r="A650" s="143"/>
      <c r="B650" s="144"/>
      <c r="C650" s="319"/>
      <c r="D650" s="319"/>
      <c r="E650" s="319"/>
      <c r="F650" s="319"/>
      <c r="G650" s="320"/>
      <c r="H650" s="320"/>
      <c r="I650" s="14"/>
      <c r="J650" s="14"/>
      <c r="K650" s="14"/>
      <c r="L650" s="14"/>
      <c r="M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  <c r="AE650" s="134"/>
      <c r="AF650" s="134"/>
      <c r="AG650" s="134"/>
      <c r="AH650" s="134"/>
    </row>
    <row r="651">
      <c r="A651" s="143"/>
      <c r="B651" s="144"/>
      <c r="C651" s="319"/>
      <c r="D651" s="319"/>
      <c r="E651" s="319"/>
      <c r="F651" s="319"/>
      <c r="G651" s="320"/>
      <c r="H651" s="320"/>
      <c r="I651" s="14"/>
      <c r="J651" s="14"/>
      <c r="K651" s="14"/>
      <c r="L651" s="14"/>
      <c r="M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  <c r="AE651" s="134"/>
      <c r="AF651" s="134"/>
      <c r="AG651" s="134"/>
      <c r="AH651" s="134"/>
    </row>
    <row r="652">
      <c r="A652" s="143"/>
      <c r="B652" s="144"/>
      <c r="C652" s="319"/>
      <c r="D652" s="319"/>
      <c r="E652" s="319"/>
      <c r="F652" s="319"/>
      <c r="G652" s="320"/>
      <c r="H652" s="320"/>
      <c r="I652" s="14"/>
      <c r="J652" s="14"/>
      <c r="K652" s="14"/>
      <c r="L652" s="14"/>
      <c r="M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  <c r="AE652" s="134"/>
      <c r="AF652" s="134"/>
      <c r="AG652" s="134"/>
      <c r="AH652" s="134"/>
    </row>
    <row r="653">
      <c r="A653" s="143"/>
      <c r="B653" s="144"/>
      <c r="C653" s="319"/>
      <c r="D653" s="319"/>
      <c r="E653" s="319"/>
      <c r="F653" s="319"/>
      <c r="G653" s="320"/>
      <c r="H653" s="320"/>
      <c r="I653" s="14"/>
      <c r="J653" s="14"/>
      <c r="K653" s="14"/>
      <c r="L653" s="14"/>
      <c r="M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  <c r="AE653" s="134"/>
      <c r="AF653" s="134"/>
      <c r="AG653" s="134"/>
      <c r="AH653" s="134"/>
    </row>
    <row r="654">
      <c r="A654" s="143"/>
      <c r="B654" s="144"/>
      <c r="C654" s="319"/>
      <c r="D654" s="319"/>
      <c r="E654" s="319"/>
      <c r="F654" s="319"/>
      <c r="G654" s="320"/>
      <c r="H654" s="320"/>
      <c r="I654" s="14"/>
      <c r="J654" s="14"/>
      <c r="K654" s="14"/>
      <c r="L654" s="14"/>
      <c r="M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  <c r="AE654" s="134"/>
      <c r="AF654" s="134"/>
      <c r="AG654" s="134"/>
      <c r="AH654" s="134"/>
    </row>
    <row r="655">
      <c r="A655" s="143"/>
      <c r="B655" s="144"/>
      <c r="C655" s="319"/>
      <c r="D655" s="319"/>
      <c r="E655" s="319"/>
      <c r="F655" s="319"/>
      <c r="G655" s="320"/>
      <c r="H655" s="320"/>
      <c r="I655" s="14"/>
      <c r="J655" s="14"/>
      <c r="K655" s="14"/>
      <c r="L655" s="14"/>
      <c r="M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  <c r="AE655" s="134"/>
      <c r="AF655" s="134"/>
      <c r="AG655" s="134"/>
      <c r="AH655" s="134"/>
    </row>
    <row r="656">
      <c r="A656" s="143"/>
      <c r="B656" s="144"/>
      <c r="C656" s="319"/>
      <c r="D656" s="319"/>
      <c r="E656" s="319"/>
      <c r="F656" s="319"/>
      <c r="G656" s="320"/>
      <c r="H656" s="320"/>
      <c r="I656" s="14"/>
      <c r="J656" s="14"/>
      <c r="K656" s="14"/>
      <c r="L656" s="14"/>
      <c r="M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  <c r="AE656" s="134"/>
      <c r="AF656" s="134"/>
      <c r="AG656" s="134"/>
      <c r="AH656" s="134"/>
    </row>
    <row r="657">
      <c r="A657" s="143"/>
      <c r="B657" s="144"/>
      <c r="C657" s="319"/>
      <c r="D657" s="319"/>
      <c r="E657" s="319"/>
      <c r="F657" s="319"/>
      <c r="G657" s="320"/>
      <c r="H657" s="320"/>
      <c r="I657" s="14"/>
      <c r="J657" s="14"/>
      <c r="K657" s="14"/>
      <c r="L657" s="14"/>
      <c r="M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  <c r="AE657" s="134"/>
      <c r="AF657" s="134"/>
      <c r="AG657" s="134"/>
      <c r="AH657" s="134"/>
    </row>
    <row r="658">
      <c r="A658" s="143"/>
      <c r="B658" s="144"/>
      <c r="C658" s="319"/>
      <c r="D658" s="319"/>
      <c r="E658" s="319"/>
      <c r="F658" s="319"/>
      <c r="G658" s="320"/>
      <c r="H658" s="320"/>
      <c r="I658" s="14"/>
      <c r="J658" s="14"/>
      <c r="K658" s="14"/>
      <c r="L658" s="14"/>
      <c r="M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  <c r="AE658" s="134"/>
      <c r="AF658" s="134"/>
      <c r="AG658" s="134"/>
      <c r="AH658" s="134"/>
    </row>
    <row r="659">
      <c r="A659" s="143"/>
      <c r="B659" s="144"/>
      <c r="C659" s="319"/>
      <c r="D659" s="319"/>
      <c r="E659" s="319"/>
      <c r="F659" s="319"/>
      <c r="G659" s="320"/>
      <c r="H659" s="320"/>
      <c r="I659" s="14"/>
      <c r="J659" s="14"/>
      <c r="K659" s="14"/>
      <c r="L659" s="14"/>
      <c r="M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  <c r="AE659" s="134"/>
      <c r="AF659" s="134"/>
      <c r="AG659" s="134"/>
      <c r="AH659" s="134"/>
    </row>
    <row r="660">
      <c r="A660" s="143"/>
      <c r="B660" s="144"/>
      <c r="C660" s="319"/>
      <c r="D660" s="319"/>
      <c r="E660" s="319"/>
      <c r="F660" s="319"/>
      <c r="G660" s="320"/>
      <c r="H660" s="320"/>
      <c r="I660" s="14"/>
      <c r="J660" s="14"/>
      <c r="K660" s="14"/>
      <c r="L660" s="14"/>
      <c r="M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  <c r="AE660" s="134"/>
      <c r="AF660" s="134"/>
      <c r="AG660" s="134"/>
      <c r="AH660" s="134"/>
    </row>
    <row r="661">
      <c r="A661" s="143"/>
      <c r="B661" s="144"/>
      <c r="C661" s="319"/>
      <c r="D661" s="319"/>
      <c r="E661" s="319"/>
      <c r="F661" s="319"/>
      <c r="G661" s="320"/>
      <c r="H661" s="320"/>
      <c r="I661" s="14"/>
      <c r="J661" s="14"/>
      <c r="K661" s="14"/>
      <c r="L661" s="14"/>
      <c r="M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  <c r="AE661" s="134"/>
      <c r="AF661" s="134"/>
      <c r="AG661" s="134"/>
      <c r="AH661" s="134"/>
    </row>
    <row r="662">
      <c r="A662" s="143"/>
      <c r="B662" s="144"/>
      <c r="C662" s="319"/>
      <c r="D662" s="319"/>
      <c r="E662" s="319"/>
      <c r="F662" s="319"/>
      <c r="G662" s="320"/>
      <c r="H662" s="320"/>
      <c r="I662" s="14"/>
      <c r="J662" s="14"/>
      <c r="K662" s="14"/>
      <c r="L662" s="14"/>
      <c r="M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  <c r="AE662" s="134"/>
      <c r="AF662" s="134"/>
      <c r="AG662" s="134"/>
      <c r="AH662" s="134"/>
    </row>
    <row r="663">
      <c r="A663" s="143"/>
      <c r="B663" s="144"/>
      <c r="C663" s="319"/>
      <c r="D663" s="319"/>
      <c r="E663" s="319"/>
      <c r="F663" s="319"/>
      <c r="G663" s="320"/>
      <c r="H663" s="320"/>
      <c r="I663" s="14"/>
      <c r="J663" s="14"/>
      <c r="K663" s="14"/>
      <c r="L663" s="14"/>
      <c r="M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  <c r="AG663" s="134"/>
      <c r="AH663" s="134"/>
    </row>
    <row r="664">
      <c r="A664" s="143"/>
      <c r="B664" s="144"/>
      <c r="C664" s="319"/>
      <c r="D664" s="319"/>
      <c r="E664" s="319"/>
      <c r="F664" s="319"/>
      <c r="G664" s="320"/>
      <c r="H664" s="320"/>
      <c r="I664" s="14"/>
      <c r="J664" s="14"/>
      <c r="K664" s="14"/>
      <c r="L664" s="14"/>
      <c r="M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  <c r="AE664" s="134"/>
      <c r="AF664" s="134"/>
      <c r="AG664" s="134"/>
      <c r="AH664" s="134"/>
    </row>
    <row r="665">
      <c r="A665" s="143"/>
      <c r="B665" s="144"/>
      <c r="C665" s="319"/>
      <c r="D665" s="319"/>
      <c r="E665" s="319"/>
      <c r="F665" s="319"/>
      <c r="G665" s="320"/>
      <c r="H665" s="320"/>
      <c r="I665" s="14"/>
      <c r="J665" s="14"/>
      <c r="K665" s="14"/>
      <c r="L665" s="14"/>
      <c r="M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  <c r="AE665" s="134"/>
      <c r="AF665" s="134"/>
      <c r="AG665" s="134"/>
      <c r="AH665" s="134"/>
    </row>
    <row r="666">
      <c r="A666" s="143"/>
      <c r="B666" s="144"/>
      <c r="C666" s="319"/>
      <c r="D666" s="319"/>
      <c r="E666" s="319"/>
      <c r="F666" s="319"/>
      <c r="G666" s="320"/>
      <c r="H666" s="320"/>
      <c r="I666" s="14"/>
      <c r="J666" s="14"/>
      <c r="K666" s="14"/>
      <c r="L666" s="14"/>
      <c r="M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  <c r="AE666" s="134"/>
      <c r="AF666" s="134"/>
      <c r="AG666" s="134"/>
      <c r="AH666" s="134"/>
    </row>
    <row r="667">
      <c r="A667" s="143"/>
      <c r="B667" s="144"/>
      <c r="C667" s="319"/>
      <c r="D667" s="319"/>
      <c r="E667" s="319"/>
      <c r="F667" s="319"/>
      <c r="G667" s="320"/>
      <c r="H667" s="320"/>
      <c r="I667" s="14"/>
      <c r="J667" s="14"/>
      <c r="K667" s="14"/>
      <c r="L667" s="14"/>
      <c r="M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  <c r="AE667" s="134"/>
      <c r="AF667" s="134"/>
      <c r="AG667" s="134"/>
      <c r="AH667" s="134"/>
    </row>
    <row r="668">
      <c r="A668" s="143"/>
      <c r="B668" s="144"/>
      <c r="C668" s="319"/>
      <c r="D668" s="319"/>
      <c r="E668" s="319"/>
      <c r="F668" s="319"/>
      <c r="G668" s="320"/>
      <c r="H668" s="320"/>
      <c r="I668" s="14"/>
      <c r="J668" s="14"/>
      <c r="K668" s="14"/>
      <c r="L668" s="14"/>
      <c r="M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  <c r="AE668" s="134"/>
      <c r="AF668" s="134"/>
      <c r="AG668" s="134"/>
      <c r="AH668" s="134"/>
    </row>
    <row r="669">
      <c r="A669" s="143"/>
      <c r="B669" s="144"/>
      <c r="C669" s="319"/>
      <c r="D669" s="319"/>
      <c r="E669" s="319"/>
      <c r="F669" s="319"/>
      <c r="G669" s="320"/>
      <c r="H669" s="320"/>
      <c r="I669" s="14"/>
      <c r="J669" s="14"/>
      <c r="K669" s="14"/>
      <c r="L669" s="14"/>
      <c r="M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  <c r="AE669" s="134"/>
      <c r="AF669" s="134"/>
      <c r="AG669" s="134"/>
      <c r="AH669" s="134"/>
    </row>
    <row r="670">
      <c r="A670" s="143"/>
      <c r="B670" s="144"/>
      <c r="C670" s="319"/>
      <c r="D670" s="319"/>
      <c r="E670" s="319"/>
      <c r="F670" s="319"/>
      <c r="G670" s="320"/>
      <c r="H670" s="320"/>
      <c r="I670" s="14"/>
      <c r="J670" s="14"/>
      <c r="K670" s="14"/>
      <c r="L670" s="14"/>
      <c r="M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  <c r="AE670" s="134"/>
      <c r="AF670" s="134"/>
      <c r="AG670" s="134"/>
      <c r="AH670" s="134"/>
    </row>
    <row r="671">
      <c r="A671" s="143"/>
      <c r="B671" s="144"/>
      <c r="C671" s="319"/>
      <c r="D671" s="319"/>
      <c r="E671" s="319"/>
      <c r="F671" s="319"/>
      <c r="G671" s="320"/>
      <c r="H671" s="320"/>
      <c r="I671" s="14"/>
      <c r="J671" s="14"/>
      <c r="K671" s="14"/>
      <c r="L671" s="14"/>
      <c r="M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  <c r="AE671" s="134"/>
      <c r="AF671" s="134"/>
      <c r="AG671" s="134"/>
      <c r="AH671" s="134"/>
    </row>
    <row r="672">
      <c r="A672" s="143"/>
      <c r="B672" s="144"/>
      <c r="C672" s="319"/>
      <c r="D672" s="319"/>
      <c r="E672" s="319"/>
      <c r="F672" s="319"/>
      <c r="G672" s="320"/>
      <c r="H672" s="320"/>
      <c r="I672" s="14"/>
      <c r="J672" s="14"/>
      <c r="K672" s="14"/>
      <c r="L672" s="14"/>
      <c r="M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  <c r="AE672" s="134"/>
      <c r="AF672" s="134"/>
      <c r="AG672" s="134"/>
      <c r="AH672" s="134"/>
    </row>
    <row r="673">
      <c r="A673" s="143"/>
      <c r="B673" s="144"/>
      <c r="C673" s="319"/>
      <c r="D673" s="319"/>
      <c r="E673" s="319"/>
      <c r="F673" s="319"/>
      <c r="G673" s="320"/>
      <c r="H673" s="320"/>
      <c r="I673" s="14"/>
      <c r="J673" s="14"/>
      <c r="K673" s="14"/>
      <c r="L673" s="14"/>
      <c r="M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  <c r="AE673" s="134"/>
      <c r="AF673" s="134"/>
      <c r="AG673" s="134"/>
      <c r="AH673" s="134"/>
    </row>
    <row r="674">
      <c r="A674" s="143"/>
      <c r="B674" s="144"/>
      <c r="C674" s="319"/>
      <c r="D674" s="319"/>
      <c r="E674" s="319"/>
      <c r="F674" s="319"/>
      <c r="G674" s="320"/>
      <c r="H674" s="320"/>
      <c r="I674" s="14"/>
      <c r="J674" s="14"/>
      <c r="K674" s="14"/>
      <c r="L674" s="14"/>
      <c r="M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  <c r="AE674" s="134"/>
      <c r="AF674" s="134"/>
      <c r="AG674" s="134"/>
      <c r="AH674" s="134"/>
    </row>
    <row r="675">
      <c r="A675" s="143"/>
      <c r="B675" s="144"/>
      <c r="C675" s="319"/>
      <c r="D675" s="319"/>
      <c r="E675" s="319"/>
      <c r="F675" s="319"/>
      <c r="G675" s="320"/>
      <c r="H675" s="320"/>
      <c r="I675" s="14"/>
      <c r="J675" s="14"/>
      <c r="K675" s="14"/>
      <c r="L675" s="14"/>
      <c r="M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  <c r="AE675" s="134"/>
      <c r="AF675" s="134"/>
      <c r="AG675" s="134"/>
      <c r="AH675" s="134"/>
    </row>
    <row r="676">
      <c r="A676" s="143"/>
      <c r="B676" s="144"/>
      <c r="C676" s="319"/>
      <c r="D676" s="319"/>
      <c r="E676" s="319"/>
      <c r="F676" s="319"/>
      <c r="G676" s="320"/>
      <c r="H676" s="320"/>
      <c r="I676" s="14"/>
      <c r="J676" s="14"/>
      <c r="K676" s="14"/>
      <c r="L676" s="14"/>
      <c r="M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  <c r="AE676" s="134"/>
      <c r="AF676" s="134"/>
      <c r="AG676" s="134"/>
      <c r="AH676" s="134"/>
    </row>
    <row r="677">
      <c r="A677" s="143"/>
      <c r="B677" s="144"/>
      <c r="C677" s="319"/>
      <c r="D677" s="319"/>
      <c r="E677" s="319"/>
      <c r="F677" s="319"/>
      <c r="G677" s="320"/>
      <c r="H677" s="320"/>
      <c r="I677" s="14"/>
      <c r="J677" s="14"/>
      <c r="K677" s="14"/>
      <c r="L677" s="14"/>
      <c r="M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  <c r="AE677" s="134"/>
      <c r="AF677" s="134"/>
      <c r="AG677" s="134"/>
      <c r="AH677" s="134"/>
    </row>
    <row r="678">
      <c r="A678" s="143"/>
      <c r="B678" s="144"/>
      <c r="C678" s="319"/>
      <c r="D678" s="319"/>
      <c r="E678" s="319"/>
      <c r="F678" s="319"/>
      <c r="G678" s="320"/>
      <c r="H678" s="320"/>
      <c r="I678" s="14"/>
      <c r="J678" s="14"/>
      <c r="K678" s="14"/>
      <c r="L678" s="14"/>
      <c r="M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  <c r="AE678" s="134"/>
      <c r="AF678" s="134"/>
      <c r="AG678" s="134"/>
      <c r="AH678" s="134"/>
    </row>
    <row r="679">
      <c r="A679" s="143"/>
      <c r="B679" s="144"/>
      <c r="C679" s="319"/>
      <c r="D679" s="319"/>
      <c r="E679" s="319"/>
      <c r="F679" s="319"/>
      <c r="G679" s="320"/>
      <c r="H679" s="320"/>
      <c r="I679" s="14"/>
      <c r="J679" s="14"/>
      <c r="K679" s="14"/>
      <c r="L679" s="14"/>
      <c r="M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  <c r="AE679" s="134"/>
      <c r="AF679" s="134"/>
      <c r="AG679" s="134"/>
      <c r="AH679" s="134"/>
    </row>
    <row r="680">
      <c r="A680" s="143"/>
      <c r="B680" s="144"/>
      <c r="C680" s="319"/>
      <c r="D680" s="319"/>
      <c r="E680" s="319"/>
      <c r="F680" s="319"/>
      <c r="G680" s="320"/>
      <c r="H680" s="320"/>
      <c r="I680" s="14"/>
      <c r="J680" s="14"/>
      <c r="K680" s="14"/>
      <c r="L680" s="14"/>
      <c r="M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  <c r="AE680" s="134"/>
      <c r="AF680" s="134"/>
      <c r="AG680" s="134"/>
      <c r="AH680" s="134"/>
    </row>
    <row r="681">
      <c r="A681" s="143"/>
      <c r="B681" s="144"/>
      <c r="C681" s="319"/>
      <c r="D681" s="319"/>
      <c r="E681" s="319"/>
      <c r="F681" s="319"/>
      <c r="G681" s="320"/>
      <c r="H681" s="320"/>
      <c r="I681" s="14"/>
      <c r="J681" s="14"/>
      <c r="K681" s="14"/>
      <c r="L681" s="14"/>
      <c r="M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  <c r="AE681" s="134"/>
      <c r="AF681" s="134"/>
      <c r="AG681" s="134"/>
      <c r="AH681" s="134"/>
    </row>
    <row r="682">
      <c r="A682" s="143"/>
      <c r="B682" s="144"/>
      <c r="C682" s="319"/>
      <c r="D682" s="319"/>
      <c r="E682" s="319"/>
      <c r="F682" s="319"/>
      <c r="G682" s="320"/>
      <c r="H682" s="320"/>
      <c r="I682" s="14"/>
      <c r="J682" s="14"/>
      <c r="K682" s="14"/>
      <c r="L682" s="14"/>
      <c r="M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  <c r="AE682" s="134"/>
      <c r="AF682" s="134"/>
      <c r="AG682" s="134"/>
      <c r="AH682" s="134"/>
    </row>
    <row r="683">
      <c r="A683" s="143"/>
      <c r="B683" s="144"/>
      <c r="C683" s="319"/>
      <c r="D683" s="319"/>
      <c r="E683" s="319"/>
      <c r="F683" s="319"/>
      <c r="G683" s="320"/>
      <c r="H683" s="320"/>
      <c r="I683" s="14"/>
      <c r="J683" s="14"/>
      <c r="K683" s="14"/>
      <c r="L683" s="14"/>
      <c r="M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  <c r="AE683" s="134"/>
      <c r="AF683" s="134"/>
      <c r="AG683" s="134"/>
      <c r="AH683" s="134"/>
    </row>
    <row r="684">
      <c r="A684" s="143"/>
      <c r="B684" s="144"/>
      <c r="C684" s="319"/>
      <c r="D684" s="319"/>
      <c r="E684" s="319"/>
      <c r="F684" s="319"/>
      <c r="G684" s="320"/>
      <c r="H684" s="320"/>
      <c r="I684" s="14"/>
      <c r="J684" s="14"/>
      <c r="K684" s="14"/>
      <c r="L684" s="14"/>
      <c r="M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  <c r="AE684" s="134"/>
      <c r="AF684" s="134"/>
      <c r="AG684" s="134"/>
      <c r="AH684" s="134"/>
    </row>
    <row r="685">
      <c r="A685" s="143"/>
      <c r="B685" s="144"/>
      <c r="C685" s="319"/>
      <c r="D685" s="319"/>
      <c r="E685" s="319"/>
      <c r="F685" s="319"/>
      <c r="G685" s="320"/>
      <c r="H685" s="320"/>
      <c r="I685" s="14"/>
      <c r="J685" s="14"/>
      <c r="K685" s="14"/>
      <c r="L685" s="14"/>
      <c r="M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  <c r="AE685" s="134"/>
      <c r="AF685" s="134"/>
      <c r="AG685" s="134"/>
      <c r="AH685" s="134"/>
    </row>
    <row r="686">
      <c r="A686" s="143"/>
      <c r="B686" s="144"/>
      <c r="C686" s="319"/>
      <c r="D686" s="319"/>
      <c r="E686" s="319"/>
      <c r="F686" s="319"/>
      <c r="G686" s="320"/>
      <c r="H686" s="320"/>
      <c r="I686" s="14"/>
      <c r="J686" s="14"/>
      <c r="K686" s="14"/>
      <c r="L686" s="14"/>
      <c r="M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  <c r="AE686" s="134"/>
      <c r="AF686" s="134"/>
      <c r="AG686" s="134"/>
      <c r="AH686" s="134"/>
    </row>
    <row r="687">
      <c r="A687" s="143"/>
      <c r="B687" s="144"/>
      <c r="C687" s="319"/>
      <c r="D687" s="319"/>
      <c r="E687" s="319"/>
      <c r="F687" s="319"/>
      <c r="G687" s="320"/>
      <c r="H687" s="320"/>
      <c r="I687" s="14"/>
      <c r="J687" s="14"/>
      <c r="K687" s="14"/>
      <c r="L687" s="14"/>
      <c r="M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  <c r="AE687" s="134"/>
      <c r="AF687" s="134"/>
      <c r="AG687" s="134"/>
      <c r="AH687" s="134"/>
    </row>
    <row r="688">
      <c r="A688" s="143"/>
      <c r="B688" s="144"/>
      <c r="C688" s="319"/>
      <c r="D688" s="319"/>
      <c r="E688" s="319"/>
      <c r="F688" s="319"/>
      <c r="G688" s="320"/>
      <c r="H688" s="320"/>
      <c r="I688" s="14"/>
      <c r="J688" s="14"/>
      <c r="K688" s="14"/>
      <c r="L688" s="14"/>
      <c r="M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  <c r="AE688" s="134"/>
      <c r="AF688" s="134"/>
      <c r="AG688" s="134"/>
      <c r="AH688" s="134"/>
    </row>
    <row r="689">
      <c r="A689" s="143"/>
      <c r="B689" s="144"/>
      <c r="C689" s="319"/>
      <c r="D689" s="319"/>
      <c r="E689" s="319"/>
      <c r="F689" s="319"/>
      <c r="G689" s="320"/>
      <c r="H689" s="320"/>
      <c r="I689" s="14"/>
      <c r="J689" s="14"/>
      <c r="K689" s="14"/>
      <c r="L689" s="14"/>
      <c r="M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  <c r="AE689" s="134"/>
      <c r="AF689" s="134"/>
      <c r="AG689" s="134"/>
      <c r="AH689" s="134"/>
    </row>
    <row r="690">
      <c r="A690" s="143"/>
      <c r="B690" s="144"/>
      <c r="C690" s="319"/>
      <c r="D690" s="319"/>
      <c r="E690" s="319"/>
      <c r="F690" s="319"/>
      <c r="G690" s="320"/>
      <c r="H690" s="320"/>
      <c r="I690" s="14"/>
      <c r="J690" s="14"/>
      <c r="K690" s="14"/>
      <c r="L690" s="14"/>
      <c r="M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  <c r="AE690" s="134"/>
      <c r="AF690" s="134"/>
      <c r="AG690" s="134"/>
      <c r="AH690" s="134"/>
    </row>
    <row r="691">
      <c r="A691" s="143"/>
      <c r="B691" s="144"/>
      <c r="C691" s="319"/>
      <c r="D691" s="319"/>
      <c r="E691" s="319"/>
      <c r="F691" s="319"/>
      <c r="G691" s="320"/>
      <c r="H691" s="320"/>
      <c r="I691" s="14"/>
      <c r="J691" s="14"/>
      <c r="K691" s="14"/>
      <c r="L691" s="14"/>
      <c r="M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  <c r="AE691" s="134"/>
      <c r="AF691" s="134"/>
      <c r="AG691" s="134"/>
      <c r="AH691" s="134"/>
    </row>
    <row r="692">
      <c r="A692" s="143"/>
      <c r="B692" s="144"/>
      <c r="C692" s="319"/>
      <c r="D692" s="319"/>
      <c r="E692" s="319"/>
      <c r="F692" s="319"/>
      <c r="G692" s="320"/>
      <c r="H692" s="320"/>
      <c r="I692" s="14"/>
      <c r="J692" s="14"/>
      <c r="K692" s="14"/>
      <c r="L692" s="14"/>
      <c r="M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  <c r="AE692" s="134"/>
      <c r="AF692" s="134"/>
      <c r="AG692" s="134"/>
      <c r="AH692" s="134"/>
    </row>
    <row r="693">
      <c r="A693" s="143"/>
      <c r="B693" s="144"/>
      <c r="C693" s="319"/>
      <c r="D693" s="319"/>
      <c r="E693" s="319"/>
      <c r="F693" s="319"/>
      <c r="G693" s="320"/>
      <c r="H693" s="320"/>
      <c r="I693" s="14"/>
      <c r="J693" s="14"/>
      <c r="K693" s="14"/>
      <c r="L693" s="14"/>
      <c r="M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  <c r="AE693" s="134"/>
      <c r="AF693" s="134"/>
      <c r="AG693" s="134"/>
      <c r="AH693" s="134"/>
    </row>
    <row r="694">
      <c r="A694" s="143"/>
      <c r="B694" s="144"/>
      <c r="C694" s="319"/>
      <c r="D694" s="319"/>
      <c r="E694" s="319"/>
      <c r="F694" s="319"/>
      <c r="G694" s="320"/>
      <c r="H694" s="320"/>
      <c r="I694" s="14"/>
      <c r="J694" s="14"/>
      <c r="K694" s="14"/>
      <c r="L694" s="14"/>
      <c r="M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  <c r="AE694" s="134"/>
      <c r="AF694" s="134"/>
      <c r="AG694" s="134"/>
      <c r="AH694" s="134"/>
    </row>
    <row r="695">
      <c r="A695" s="143"/>
      <c r="B695" s="144"/>
      <c r="C695" s="319"/>
      <c r="D695" s="319"/>
      <c r="E695" s="319"/>
      <c r="F695" s="319"/>
      <c r="G695" s="320"/>
      <c r="H695" s="320"/>
      <c r="I695" s="14"/>
      <c r="J695" s="14"/>
      <c r="K695" s="14"/>
      <c r="L695" s="14"/>
      <c r="M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  <c r="AE695" s="134"/>
      <c r="AF695" s="134"/>
      <c r="AG695" s="134"/>
      <c r="AH695" s="134"/>
    </row>
    <row r="696">
      <c r="A696" s="143"/>
      <c r="B696" s="144"/>
      <c r="C696" s="319"/>
      <c r="D696" s="319"/>
      <c r="E696" s="319"/>
      <c r="F696" s="319"/>
      <c r="G696" s="320"/>
      <c r="H696" s="320"/>
      <c r="I696" s="14"/>
      <c r="J696" s="14"/>
      <c r="K696" s="14"/>
      <c r="L696" s="14"/>
      <c r="M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  <c r="AE696" s="134"/>
      <c r="AF696" s="134"/>
      <c r="AG696" s="134"/>
      <c r="AH696" s="134"/>
    </row>
    <row r="697">
      <c r="A697" s="143"/>
      <c r="B697" s="144"/>
      <c r="C697" s="319"/>
      <c r="D697" s="319"/>
      <c r="E697" s="319"/>
      <c r="F697" s="319"/>
      <c r="G697" s="320"/>
      <c r="H697" s="320"/>
      <c r="I697" s="14"/>
      <c r="J697" s="14"/>
      <c r="K697" s="14"/>
      <c r="L697" s="14"/>
      <c r="M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  <c r="AE697" s="134"/>
      <c r="AF697" s="134"/>
      <c r="AG697" s="134"/>
      <c r="AH697" s="134"/>
    </row>
    <row r="698">
      <c r="A698" s="143"/>
      <c r="B698" s="144"/>
      <c r="C698" s="319"/>
      <c r="D698" s="319"/>
      <c r="E698" s="319"/>
      <c r="F698" s="319"/>
      <c r="G698" s="320"/>
      <c r="H698" s="320"/>
      <c r="I698" s="14"/>
      <c r="J698" s="14"/>
      <c r="K698" s="14"/>
      <c r="L698" s="14"/>
      <c r="M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  <c r="AE698" s="134"/>
      <c r="AF698" s="134"/>
      <c r="AG698" s="134"/>
      <c r="AH698" s="134"/>
    </row>
    <row r="699">
      <c r="A699" s="143"/>
      <c r="B699" s="144"/>
      <c r="C699" s="319"/>
      <c r="D699" s="319"/>
      <c r="E699" s="319"/>
      <c r="F699" s="319"/>
      <c r="G699" s="320"/>
      <c r="H699" s="320"/>
      <c r="I699" s="14"/>
      <c r="J699" s="14"/>
      <c r="K699" s="14"/>
      <c r="L699" s="14"/>
      <c r="M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  <c r="AE699" s="134"/>
      <c r="AF699" s="134"/>
      <c r="AG699" s="134"/>
      <c r="AH699" s="134"/>
    </row>
    <row r="700">
      <c r="A700" s="143"/>
      <c r="B700" s="144"/>
      <c r="C700" s="319"/>
      <c r="D700" s="319"/>
      <c r="E700" s="319"/>
      <c r="F700" s="319"/>
      <c r="G700" s="320"/>
      <c r="H700" s="320"/>
      <c r="I700" s="14"/>
      <c r="J700" s="14"/>
      <c r="K700" s="14"/>
      <c r="L700" s="14"/>
      <c r="M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  <c r="AE700" s="134"/>
      <c r="AF700" s="134"/>
      <c r="AG700" s="134"/>
      <c r="AH700" s="134"/>
    </row>
    <row r="701">
      <c r="A701" s="143"/>
      <c r="B701" s="144"/>
      <c r="C701" s="319"/>
      <c r="D701" s="319"/>
      <c r="E701" s="319"/>
      <c r="F701" s="319"/>
      <c r="G701" s="320"/>
      <c r="H701" s="320"/>
      <c r="I701" s="14"/>
      <c r="J701" s="14"/>
      <c r="K701" s="14"/>
      <c r="L701" s="14"/>
      <c r="M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  <c r="AE701" s="134"/>
      <c r="AF701" s="134"/>
      <c r="AG701" s="134"/>
      <c r="AH701" s="134"/>
    </row>
    <row r="702">
      <c r="A702" s="143"/>
      <c r="B702" s="144"/>
      <c r="C702" s="319"/>
      <c r="D702" s="319"/>
      <c r="E702" s="319"/>
      <c r="F702" s="319"/>
      <c r="G702" s="320"/>
      <c r="H702" s="320"/>
      <c r="I702" s="14"/>
      <c r="J702" s="14"/>
      <c r="K702" s="14"/>
      <c r="L702" s="14"/>
      <c r="M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  <c r="AE702" s="134"/>
      <c r="AF702" s="134"/>
      <c r="AG702" s="134"/>
      <c r="AH702" s="134"/>
    </row>
    <row r="703">
      <c r="A703" s="143"/>
      <c r="B703" s="144"/>
      <c r="C703" s="319"/>
      <c r="D703" s="319"/>
      <c r="E703" s="319"/>
      <c r="F703" s="319"/>
      <c r="G703" s="320"/>
      <c r="H703" s="320"/>
      <c r="I703" s="14"/>
      <c r="J703" s="14"/>
      <c r="K703" s="14"/>
      <c r="L703" s="14"/>
      <c r="M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  <c r="AE703" s="134"/>
      <c r="AF703" s="134"/>
      <c r="AG703" s="134"/>
      <c r="AH703" s="134"/>
    </row>
    <row r="704">
      <c r="A704" s="143"/>
      <c r="B704" s="144"/>
      <c r="C704" s="319"/>
      <c r="D704" s="319"/>
      <c r="E704" s="319"/>
      <c r="F704" s="319"/>
      <c r="G704" s="320"/>
      <c r="H704" s="320"/>
      <c r="I704" s="14"/>
      <c r="J704" s="14"/>
      <c r="K704" s="14"/>
      <c r="L704" s="14"/>
      <c r="M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  <c r="AE704" s="134"/>
      <c r="AF704" s="134"/>
      <c r="AG704" s="134"/>
      <c r="AH704" s="134"/>
    </row>
    <row r="705">
      <c r="A705" s="143"/>
      <c r="B705" s="144"/>
      <c r="C705" s="319"/>
      <c r="D705" s="319"/>
      <c r="E705" s="319"/>
      <c r="F705" s="319"/>
      <c r="G705" s="320"/>
      <c r="H705" s="320"/>
      <c r="I705" s="14"/>
      <c r="J705" s="14"/>
      <c r="K705" s="14"/>
      <c r="L705" s="14"/>
      <c r="M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  <c r="AE705" s="134"/>
      <c r="AF705" s="134"/>
      <c r="AG705" s="134"/>
      <c r="AH705" s="134"/>
    </row>
    <row r="706">
      <c r="A706" s="143"/>
      <c r="B706" s="144"/>
      <c r="C706" s="319"/>
      <c r="D706" s="319"/>
      <c r="E706" s="319"/>
      <c r="F706" s="319"/>
      <c r="G706" s="320"/>
      <c r="H706" s="320"/>
      <c r="I706" s="14"/>
      <c r="J706" s="14"/>
      <c r="K706" s="14"/>
      <c r="L706" s="14"/>
      <c r="M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  <c r="AE706" s="134"/>
      <c r="AF706" s="134"/>
      <c r="AG706" s="134"/>
      <c r="AH706" s="134"/>
    </row>
    <row r="707">
      <c r="A707" s="143"/>
      <c r="B707" s="144"/>
      <c r="C707" s="319"/>
      <c r="D707" s="319"/>
      <c r="E707" s="319"/>
      <c r="F707" s="319"/>
      <c r="G707" s="320"/>
      <c r="H707" s="320"/>
      <c r="I707" s="14"/>
      <c r="J707" s="14"/>
      <c r="K707" s="14"/>
      <c r="L707" s="14"/>
      <c r="M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4"/>
      <c r="AD707" s="134"/>
      <c r="AE707" s="134"/>
      <c r="AF707" s="134"/>
      <c r="AG707" s="134"/>
      <c r="AH707" s="134"/>
    </row>
    <row r="708">
      <c r="A708" s="143"/>
      <c r="B708" s="144"/>
      <c r="C708" s="319"/>
      <c r="D708" s="319"/>
      <c r="E708" s="319"/>
      <c r="F708" s="319"/>
      <c r="G708" s="320"/>
      <c r="H708" s="320"/>
      <c r="I708" s="14"/>
      <c r="J708" s="14"/>
      <c r="K708" s="14"/>
      <c r="L708" s="14"/>
      <c r="M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4"/>
      <c r="AD708" s="134"/>
      <c r="AE708" s="134"/>
      <c r="AF708" s="134"/>
      <c r="AG708" s="134"/>
      <c r="AH708" s="134"/>
    </row>
    <row r="709">
      <c r="A709" s="143"/>
      <c r="B709" s="144"/>
      <c r="C709" s="319"/>
      <c r="D709" s="319"/>
      <c r="E709" s="319"/>
      <c r="F709" s="319"/>
      <c r="G709" s="320"/>
      <c r="H709" s="320"/>
      <c r="I709" s="14"/>
      <c r="J709" s="14"/>
      <c r="K709" s="14"/>
      <c r="L709" s="14"/>
      <c r="M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4"/>
      <c r="AD709" s="134"/>
      <c r="AE709" s="134"/>
      <c r="AF709" s="134"/>
      <c r="AG709" s="134"/>
      <c r="AH709" s="134"/>
    </row>
    <row r="710">
      <c r="A710" s="143"/>
      <c r="B710" s="144"/>
      <c r="C710" s="319"/>
      <c r="D710" s="319"/>
      <c r="E710" s="319"/>
      <c r="F710" s="319"/>
      <c r="G710" s="320"/>
      <c r="H710" s="320"/>
      <c r="I710" s="14"/>
      <c r="J710" s="14"/>
      <c r="K710" s="14"/>
      <c r="L710" s="14"/>
      <c r="M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4"/>
      <c r="AD710" s="134"/>
      <c r="AE710" s="134"/>
      <c r="AF710" s="134"/>
      <c r="AG710" s="134"/>
      <c r="AH710" s="134"/>
    </row>
    <row r="711">
      <c r="A711" s="143"/>
      <c r="B711" s="144"/>
      <c r="C711" s="319"/>
      <c r="D711" s="319"/>
      <c r="E711" s="319"/>
      <c r="F711" s="319"/>
      <c r="G711" s="320"/>
      <c r="H711" s="320"/>
      <c r="I711" s="14"/>
      <c r="J711" s="14"/>
      <c r="K711" s="14"/>
      <c r="L711" s="14"/>
      <c r="M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4"/>
      <c r="AD711" s="134"/>
      <c r="AE711" s="134"/>
      <c r="AF711" s="134"/>
      <c r="AG711" s="134"/>
      <c r="AH711" s="134"/>
    </row>
    <row r="712">
      <c r="A712" s="143"/>
      <c r="B712" s="144"/>
      <c r="C712" s="319"/>
      <c r="D712" s="319"/>
      <c r="E712" s="319"/>
      <c r="F712" s="319"/>
      <c r="G712" s="320"/>
      <c r="H712" s="320"/>
      <c r="I712" s="14"/>
      <c r="J712" s="14"/>
      <c r="K712" s="14"/>
      <c r="L712" s="14"/>
      <c r="M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4"/>
      <c r="AD712" s="134"/>
      <c r="AE712" s="134"/>
      <c r="AF712" s="134"/>
      <c r="AG712" s="134"/>
      <c r="AH712" s="134"/>
    </row>
    <row r="713">
      <c r="A713" s="143"/>
      <c r="B713" s="144"/>
      <c r="C713" s="319"/>
      <c r="D713" s="319"/>
      <c r="E713" s="319"/>
      <c r="F713" s="319"/>
      <c r="G713" s="320"/>
      <c r="H713" s="320"/>
      <c r="I713" s="14"/>
      <c r="J713" s="14"/>
      <c r="K713" s="14"/>
      <c r="L713" s="14"/>
      <c r="M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4"/>
      <c r="AD713" s="134"/>
      <c r="AE713" s="134"/>
      <c r="AF713" s="134"/>
      <c r="AG713" s="134"/>
      <c r="AH713" s="134"/>
    </row>
    <row r="714">
      <c r="A714" s="143"/>
      <c r="B714" s="144"/>
      <c r="C714" s="319"/>
      <c r="D714" s="319"/>
      <c r="E714" s="319"/>
      <c r="F714" s="319"/>
      <c r="G714" s="320"/>
      <c r="H714" s="320"/>
      <c r="I714" s="14"/>
      <c r="J714" s="14"/>
      <c r="K714" s="14"/>
      <c r="L714" s="14"/>
      <c r="M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4"/>
      <c r="AD714" s="134"/>
      <c r="AE714" s="134"/>
      <c r="AF714" s="134"/>
      <c r="AG714" s="134"/>
      <c r="AH714" s="134"/>
    </row>
    <row r="715">
      <c r="A715" s="143"/>
      <c r="B715" s="144"/>
      <c r="C715" s="319"/>
      <c r="D715" s="319"/>
      <c r="E715" s="319"/>
      <c r="F715" s="319"/>
      <c r="G715" s="320"/>
      <c r="H715" s="320"/>
      <c r="I715" s="14"/>
      <c r="J715" s="14"/>
      <c r="K715" s="14"/>
      <c r="L715" s="14"/>
      <c r="M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4"/>
      <c r="AD715" s="134"/>
      <c r="AE715" s="134"/>
      <c r="AF715" s="134"/>
      <c r="AG715" s="134"/>
      <c r="AH715" s="134"/>
    </row>
    <row r="716">
      <c r="A716" s="143"/>
      <c r="B716" s="144"/>
      <c r="C716" s="319"/>
      <c r="D716" s="319"/>
      <c r="E716" s="319"/>
      <c r="F716" s="319"/>
      <c r="G716" s="320"/>
      <c r="H716" s="320"/>
      <c r="I716" s="14"/>
      <c r="J716" s="14"/>
      <c r="K716" s="14"/>
      <c r="L716" s="14"/>
      <c r="M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4"/>
      <c r="AD716" s="134"/>
      <c r="AE716" s="134"/>
      <c r="AF716" s="134"/>
      <c r="AG716" s="134"/>
      <c r="AH716" s="134"/>
    </row>
    <row r="717">
      <c r="A717" s="143"/>
      <c r="B717" s="144"/>
      <c r="C717" s="319"/>
      <c r="D717" s="319"/>
      <c r="E717" s="319"/>
      <c r="F717" s="319"/>
      <c r="G717" s="320"/>
      <c r="H717" s="320"/>
      <c r="I717" s="14"/>
      <c r="J717" s="14"/>
      <c r="K717" s="14"/>
      <c r="L717" s="14"/>
      <c r="M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4"/>
      <c r="AD717" s="134"/>
      <c r="AE717" s="134"/>
      <c r="AF717" s="134"/>
      <c r="AG717" s="134"/>
      <c r="AH717" s="134"/>
    </row>
    <row r="718">
      <c r="A718" s="143"/>
      <c r="B718" s="144"/>
      <c r="C718" s="319"/>
      <c r="D718" s="319"/>
      <c r="E718" s="319"/>
      <c r="F718" s="319"/>
      <c r="G718" s="320"/>
      <c r="H718" s="320"/>
      <c r="I718" s="14"/>
      <c r="J718" s="14"/>
      <c r="K718" s="14"/>
      <c r="L718" s="14"/>
      <c r="M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4"/>
      <c r="AD718" s="134"/>
      <c r="AE718" s="134"/>
      <c r="AF718" s="134"/>
      <c r="AG718" s="134"/>
      <c r="AH718" s="134"/>
    </row>
    <row r="719">
      <c r="A719" s="143"/>
      <c r="B719" s="144"/>
      <c r="C719" s="319"/>
      <c r="D719" s="319"/>
      <c r="E719" s="319"/>
      <c r="F719" s="319"/>
      <c r="G719" s="320"/>
      <c r="H719" s="320"/>
      <c r="I719" s="14"/>
      <c r="J719" s="14"/>
      <c r="K719" s="14"/>
      <c r="L719" s="14"/>
      <c r="M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4"/>
      <c r="AD719" s="134"/>
      <c r="AE719" s="134"/>
      <c r="AF719" s="134"/>
      <c r="AG719" s="134"/>
      <c r="AH719" s="134"/>
    </row>
    <row r="720">
      <c r="A720" s="143"/>
      <c r="B720" s="144"/>
      <c r="C720" s="319"/>
      <c r="D720" s="319"/>
      <c r="E720" s="319"/>
      <c r="F720" s="319"/>
      <c r="G720" s="320"/>
      <c r="H720" s="320"/>
      <c r="I720" s="14"/>
      <c r="J720" s="14"/>
      <c r="K720" s="14"/>
      <c r="L720" s="14"/>
      <c r="M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4"/>
      <c r="AD720" s="134"/>
      <c r="AE720" s="134"/>
      <c r="AF720" s="134"/>
      <c r="AG720" s="134"/>
      <c r="AH720" s="134"/>
    </row>
    <row r="721">
      <c r="A721" s="143"/>
      <c r="B721" s="144"/>
      <c r="C721" s="319"/>
      <c r="D721" s="319"/>
      <c r="E721" s="319"/>
      <c r="F721" s="319"/>
      <c r="G721" s="320"/>
      <c r="H721" s="320"/>
      <c r="I721" s="14"/>
      <c r="J721" s="14"/>
      <c r="K721" s="14"/>
      <c r="L721" s="14"/>
      <c r="M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4"/>
      <c r="AD721" s="134"/>
      <c r="AE721" s="134"/>
      <c r="AF721" s="134"/>
      <c r="AG721" s="134"/>
      <c r="AH721" s="134"/>
    </row>
    <row r="722">
      <c r="A722" s="143"/>
      <c r="B722" s="144"/>
      <c r="C722" s="319"/>
      <c r="D722" s="319"/>
      <c r="E722" s="319"/>
      <c r="F722" s="319"/>
      <c r="G722" s="320"/>
      <c r="H722" s="320"/>
      <c r="I722" s="14"/>
      <c r="J722" s="14"/>
      <c r="K722" s="14"/>
      <c r="L722" s="14"/>
      <c r="M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  <c r="AE722" s="134"/>
      <c r="AF722" s="134"/>
      <c r="AG722" s="134"/>
      <c r="AH722" s="134"/>
    </row>
    <row r="723">
      <c r="A723" s="143"/>
      <c r="B723" s="144"/>
      <c r="C723" s="319"/>
      <c r="D723" s="319"/>
      <c r="E723" s="319"/>
      <c r="F723" s="319"/>
      <c r="G723" s="320"/>
      <c r="H723" s="320"/>
      <c r="I723" s="14"/>
      <c r="J723" s="14"/>
      <c r="K723" s="14"/>
      <c r="L723" s="14"/>
      <c r="M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4"/>
      <c r="AD723" s="134"/>
      <c r="AE723" s="134"/>
      <c r="AF723" s="134"/>
      <c r="AG723" s="134"/>
      <c r="AH723" s="134"/>
    </row>
    <row r="724">
      <c r="A724" s="143"/>
      <c r="B724" s="144"/>
      <c r="C724" s="319"/>
      <c r="D724" s="319"/>
      <c r="E724" s="319"/>
      <c r="F724" s="319"/>
      <c r="G724" s="320"/>
      <c r="H724" s="320"/>
      <c r="I724" s="14"/>
      <c r="J724" s="14"/>
      <c r="K724" s="14"/>
      <c r="L724" s="14"/>
      <c r="M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4"/>
      <c r="AD724" s="134"/>
      <c r="AE724" s="134"/>
      <c r="AF724" s="134"/>
      <c r="AG724" s="134"/>
      <c r="AH724" s="134"/>
    </row>
    <row r="725">
      <c r="A725" s="143"/>
      <c r="B725" s="144"/>
      <c r="C725" s="319"/>
      <c r="D725" s="319"/>
      <c r="E725" s="319"/>
      <c r="F725" s="319"/>
      <c r="G725" s="320"/>
      <c r="H725" s="320"/>
      <c r="I725" s="14"/>
      <c r="J725" s="14"/>
      <c r="K725" s="14"/>
      <c r="L725" s="14"/>
      <c r="M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4"/>
      <c r="AD725" s="134"/>
      <c r="AE725" s="134"/>
      <c r="AF725" s="134"/>
      <c r="AG725" s="134"/>
      <c r="AH725" s="134"/>
    </row>
    <row r="726">
      <c r="A726" s="143"/>
      <c r="B726" s="144"/>
      <c r="C726" s="319"/>
      <c r="D726" s="319"/>
      <c r="E726" s="319"/>
      <c r="F726" s="319"/>
      <c r="G726" s="320"/>
      <c r="H726" s="320"/>
      <c r="I726" s="14"/>
      <c r="J726" s="14"/>
      <c r="K726" s="14"/>
      <c r="L726" s="14"/>
      <c r="M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4"/>
      <c r="AD726" s="134"/>
      <c r="AE726" s="134"/>
      <c r="AF726" s="134"/>
      <c r="AG726" s="134"/>
      <c r="AH726" s="134"/>
    </row>
    <row r="727">
      <c r="A727" s="143"/>
      <c r="B727" s="144"/>
      <c r="C727" s="319"/>
      <c r="D727" s="319"/>
      <c r="E727" s="319"/>
      <c r="F727" s="319"/>
      <c r="G727" s="320"/>
      <c r="H727" s="320"/>
      <c r="I727" s="14"/>
      <c r="J727" s="14"/>
      <c r="K727" s="14"/>
      <c r="L727" s="14"/>
      <c r="M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4"/>
      <c r="AD727" s="134"/>
      <c r="AE727" s="134"/>
      <c r="AF727" s="134"/>
      <c r="AG727" s="134"/>
      <c r="AH727" s="134"/>
    </row>
    <row r="728">
      <c r="A728" s="143"/>
      <c r="B728" s="144"/>
      <c r="C728" s="319"/>
      <c r="D728" s="319"/>
      <c r="E728" s="319"/>
      <c r="F728" s="319"/>
      <c r="G728" s="320"/>
      <c r="H728" s="320"/>
      <c r="I728" s="14"/>
      <c r="J728" s="14"/>
      <c r="K728" s="14"/>
      <c r="L728" s="14"/>
      <c r="M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4"/>
      <c r="AD728" s="134"/>
      <c r="AE728" s="134"/>
      <c r="AF728" s="134"/>
      <c r="AG728" s="134"/>
      <c r="AH728" s="134"/>
    </row>
    <row r="729">
      <c r="A729" s="143"/>
      <c r="B729" s="144"/>
      <c r="C729" s="319"/>
      <c r="D729" s="319"/>
      <c r="E729" s="319"/>
      <c r="F729" s="319"/>
      <c r="G729" s="320"/>
      <c r="H729" s="320"/>
      <c r="I729" s="14"/>
      <c r="J729" s="14"/>
      <c r="K729" s="14"/>
      <c r="L729" s="14"/>
      <c r="M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4"/>
      <c r="AD729" s="134"/>
      <c r="AE729" s="134"/>
      <c r="AF729" s="134"/>
      <c r="AG729" s="134"/>
      <c r="AH729" s="134"/>
    </row>
    <row r="730">
      <c r="A730" s="143"/>
      <c r="B730" s="144"/>
      <c r="C730" s="319"/>
      <c r="D730" s="319"/>
      <c r="E730" s="319"/>
      <c r="F730" s="319"/>
      <c r="G730" s="320"/>
      <c r="H730" s="320"/>
      <c r="I730" s="14"/>
      <c r="J730" s="14"/>
      <c r="K730" s="14"/>
      <c r="L730" s="14"/>
      <c r="M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4"/>
      <c r="AD730" s="134"/>
      <c r="AE730" s="134"/>
      <c r="AF730" s="134"/>
      <c r="AG730" s="134"/>
      <c r="AH730" s="134"/>
    </row>
    <row r="731">
      <c r="A731" s="143"/>
      <c r="B731" s="144"/>
      <c r="C731" s="319"/>
      <c r="D731" s="319"/>
      <c r="E731" s="319"/>
      <c r="F731" s="319"/>
      <c r="G731" s="320"/>
      <c r="H731" s="320"/>
      <c r="I731" s="14"/>
      <c r="J731" s="14"/>
      <c r="K731" s="14"/>
      <c r="L731" s="14"/>
      <c r="M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4"/>
      <c r="AD731" s="134"/>
      <c r="AE731" s="134"/>
      <c r="AF731" s="134"/>
      <c r="AG731" s="134"/>
      <c r="AH731" s="134"/>
    </row>
    <row r="732">
      <c r="A732" s="143"/>
      <c r="B732" s="144"/>
      <c r="C732" s="319"/>
      <c r="D732" s="319"/>
      <c r="E732" s="319"/>
      <c r="F732" s="319"/>
      <c r="G732" s="320"/>
      <c r="H732" s="320"/>
      <c r="I732" s="14"/>
      <c r="J732" s="14"/>
      <c r="K732" s="14"/>
      <c r="L732" s="14"/>
      <c r="M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  <c r="AE732" s="134"/>
      <c r="AF732" s="134"/>
      <c r="AG732" s="134"/>
      <c r="AH732" s="134"/>
    </row>
    <row r="733">
      <c r="A733" s="143"/>
      <c r="B733" s="144"/>
      <c r="C733" s="319"/>
      <c r="D733" s="319"/>
      <c r="E733" s="319"/>
      <c r="F733" s="319"/>
      <c r="G733" s="320"/>
      <c r="H733" s="320"/>
      <c r="I733" s="14"/>
      <c r="J733" s="14"/>
      <c r="K733" s="14"/>
      <c r="L733" s="14"/>
      <c r="M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4"/>
      <c r="AD733" s="134"/>
      <c r="AE733" s="134"/>
      <c r="AF733" s="134"/>
      <c r="AG733" s="134"/>
      <c r="AH733" s="134"/>
    </row>
    <row r="734">
      <c r="A734" s="143"/>
      <c r="B734" s="144"/>
      <c r="C734" s="319"/>
      <c r="D734" s="319"/>
      <c r="E734" s="319"/>
      <c r="F734" s="319"/>
      <c r="G734" s="320"/>
      <c r="H734" s="320"/>
      <c r="I734" s="14"/>
      <c r="J734" s="14"/>
      <c r="K734" s="14"/>
      <c r="L734" s="14"/>
      <c r="M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4"/>
      <c r="AD734" s="134"/>
      <c r="AE734" s="134"/>
      <c r="AF734" s="134"/>
      <c r="AG734" s="134"/>
      <c r="AH734" s="134"/>
    </row>
    <row r="735">
      <c r="A735" s="143"/>
      <c r="B735" s="144"/>
      <c r="C735" s="319"/>
      <c r="D735" s="319"/>
      <c r="E735" s="319"/>
      <c r="F735" s="319"/>
      <c r="G735" s="320"/>
      <c r="H735" s="320"/>
      <c r="I735" s="14"/>
      <c r="J735" s="14"/>
      <c r="K735" s="14"/>
      <c r="L735" s="14"/>
      <c r="M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  <c r="AG735" s="134"/>
      <c r="AH735" s="134"/>
    </row>
    <row r="736">
      <c r="A736" s="143"/>
      <c r="B736" s="144"/>
      <c r="C736" s="319"/>
      <c r="D736" s="319"/>
      <c r="E736" s="319"/>
      <c r="F736" s="319"/>
      <c r="G736" s="320"/>
      <c r="H736" s="320"/>
      <c r="I736" s="14"/>
      <c r="J736" s="14"/>
      <c r="K736" s="14"/>
      <c r="L736" s="14"/>
      <c r="M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4"/>
      <c r="AD736" s="134"/>
      <c r="AE736" s="134"/>
      <c r="AF736" s="134"/>
      <c r="AG736" s="134"/>
      <c r="AH736" s="134"/>
    </row>
    <row r="737">
      <c r="A737" s="143"/>
      <c r="B737" s="144"/>
      <c r="C737" s="319"/>
      <c r="D737" s="319"/>
      <c r="E737" s="319"/>
      <c r="F737" s="319"/>
      <c r="G737" s="320"/>
      <c r="H737" s="320"/>
      <c r="I737" s="14"/>
      <c r="J737" s="14"/>
      <c r="K737" s="14"/>
      <c r="L737" s="14"/>
      <c r="M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4"/>
      <c r="AD737" s="134"/>
      <c r="AE737" s="134"/>
      <c r="AF737" s="134"/>
      <c r="AG737" s="134"/>
      <c r="AH737" s="134"/>
    </row>
    <row r="738">
      <c r="A738" s="143"/>
      <c r="B738" s="144"/>
      <c r="C738" s="319"/>
      <c r="D738" s="319"/>
      <c r="E738" s="319"/>
      <c r="F738" s="319"/>
      <c r="G738" s="320"/>
      <c r="H738" s="320"/>
      <c r="I738" s="14"/>
      <c r="J738" s="14"/>
      <c r="K738" s="14"/>
      <c r="L738" s="14"/>
      <c r="M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4"/>
      <c r="AD738" s="134"/>
      <c r="AE738" s="134"/>
      <c r="AF738" s="134"/>
      <c r="AG738" s="134"/>
      <c r="AH738" s="134"/>
    </row>
    <row r="739">
      <c r="A739" s="143"/>
      <c r="B739" s="144"/>
      <c r="C739" s="319"/>
      <c r="D739" s="319"/>
      <c r="E739" s="319"/>
      <c r="F739" s="319"/>
      <c r="G739" s="320"/>
      <c r="H739" s="320"/>
      <c r="I739" s="14"/>
      <c r="J739" s="14"/>
      <c r="K739" s="14"/>
      <c r="L739" s="14"/>
      <c r="M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4"/>
      <c r="AD739" s="134"/>
      <c r="AE739" s="134"/>
      <c r="AF739" s="134"/>
      <c r="AG739" s="134"/>
      <c r="AH739" s="134"/>
    </row>
    <row r="740">
      <c r="A740" s="143"/>
      <c r="B740" s="144"/>
      <c r="C740" s="319"/>
      <c r="D740" s="319"/>
      <c r="E740" s="319"/>
      <c r="F740" s="319"/>
      <c r="G740" s="320"/>
      <c r="H740" s="320"/>
      <c r="I740" s="14"/>
      <c r="J740" s="14"/>
      <c r="K740" s="14"/>
      <c r="L740" s="14"/>
      <c r="M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4"/>
      <c r="AD740" s="134"/>
      <c r="AE740" s="134"/>
      <c r="AF740" s="134"/>
      <c r="AG740" s="134"/>
      <c r="AH740" s="134"/>
    </row>
    <row r="741">
      <c r="A741" s="143"/>
      <c r="B741" s="144"/>
      <c r="C741" s="319"/>
      <c r="D741" s="319"/>
      <c r="E741" s="319"/>
      <c r="F741" s="319"/>
      <c r="G741" s="320"/>
      <c r="H741" s="320"/>
      <c r="I741" s="14"/>
      <c r="J741" s="14"/>
      <c r="K741" s="14"/>
      <c r="L741" s="14"/>
      <c r="M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4"/>
      <c r="AD741" s="134"/>
      <c r="AE741" s="134"/>
      <c r="AF741" s="134"/>
      <c r="AG741" s="134"/>
      <c r="AH741" s="134"/>
    </row>
    <row r="742">
      <c r="A742" s="143"/>
      <c r="B742" s="144"/>
      <c r="C742" s="319"/>
      <c r="D742" s="319"/>
      <c r="E742" s="319"/>
      <c r="F742" s="319"/>
      <c r="G742" s="320"/>
      <c r="H742" s="320"/>
      <c r="I742" s="14"/>
      <c r="J742" s="14"/>
      <c r="K742" s="14"/>
      <c r="L742" s="14"/>
      <c r="M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  <c r="AE742" s="134"/>
      <c r="AF742" s="134"/>
      <c r="AG742" s="134"/>
      <c r="AH742" s="134"/>
    </row>
    <row r="743">
      <c r="A743" s="143"/>
      <c r="B743" s="144"/>
      <c r="C743" s="319"/>
      <c r="D743" s="319"/>
      <c r="E743" s="319"/>
      <c r="F743" s="319"/>
      <c r="G743" s="320"/>
      <c r="H743" s="320"/>
      <c r="I743" s="14"/>
      <c r="J743" s="14"/>
      <c r="K743" s="14"/>
      <c r="L743" s="14"/>
      <c r="M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4"/>
      <c r="AD743" s="134"/>
      <c r="AE743" s="134"/>
      <c r="AF743" s="134"/>
      <c r="AG743" s="134"/>
      <c r="AH743" s="134"/>
    </row>
    <row r="744">
      <c r="A744" s="143"/>
      <c r="B744" s="144"/>
      <c r="C744" s="319"/>
      <c r="D744" s="319"/>
      <c r="E744" s="319"/>
      <c r="F744" s="319"/>
      <c r="G744" s="320"/>
      <c r="H744" s="320"/>
      <c r="I744" s="14"/>
      <c r="J744" s="14"/>
      <c r="K744" s="14"/>
      <c r="L744" s="14"/>
      <c r="M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4"/>
      <c r="AD744" s="134"/>
      <c r="AE744" s="134"/>
      <c r="AF744" s="134"/>
      <c r="AG744" s="134"/>
      <c r="AH744" s="134"/>
    </row>
    <row r="745">
      <c r="A745" s="143"/>
      <c r="B745" s="144"/>
      <c r="C745" s="319"/>
      <c r="D745" s="319"/>
      <c r="E745" s="319"/>
      <c r="F745" s="319"/>
      <c r="G745" s="320"/>
      <c r="H745" s="320"/>
      <c r="I745" s="14"/>
      <c r="J745" s="14"/>
      <c r="K745" s="14"/>
      <c r="L745" s="14"/>
      <c r="M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4"/>
      <c r="AD745" s="134"/>
      <c r="AE745" s="134"/>
      <c r="AF745" s="134"/>
      <c r="AG745" s="134"/>
      <c r="AH745" s="134"/>
    </row>
    <row r="746">
      <c r="A746" s="143"/>
      <c r="B746" s="144"/>
      <c r="C746" s="319"/>
      <c r="D746" s="319"/>
      <c r="E746" s="319"/>
      <c r="F746" s="319"/>
      <c r="G746" s="320"/>
      <c r="H746" s="320"/>
      <c r="I746" s="14"/>
      <c r="J746" s="14"/>
      <c r="K746" s="14"/>
      <c r="L746" s="14"/>
      <c r="M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4"/>
      <c r="AD746" s="134"/>
      <c r="AE746" s="134"/>
      <c r="AF746" s="134"/>
      <c r="AG746" s="134"/>
      <c r="AH746" s="134"/>
    </row>
    <row r="747">
      <c r="A747" s="143"/>
      <c r="B747" s="144"/>
      <c r="C747" s="319"/>
      <c r="D747" s="319"/>
      <c r="E747" s="319"/>
      <c r="F747" s="319"/>
      <c r="G747" s="320"/>
      <c r="H747" s="320"/>
      <c r="I747" s="14"/>
      <c r="J747" s="14"/>
      <c r="K747" s="14"/>
      <c r="L747" s="14"/>
      <c r="M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4"/>
      <c r="AD747" s="134"/>
      <c r="AE747" s="134"/>
      <c r="AF747" s="134"/>
      <c r="AG747" s="134"/>
      <c r="AH747" s="134"/>
    </row>
    <row r="748">
      <c r="A748" s="143"/>
      <c r="B748" s="144"/>
      <c r="C748" s="319"/>
      <c r="D748" s="319"/>
      <c r="E748" s="319"/>
      <c r="F748" s="319"/>
      <c r="G748" s="320"/>
      <c r="H748" s="320"/>
      <c r="I748" s="14"/>
      <c r="J748" s="14"/>
      <c r="K748" s="14"/>
      <c r="L748" s="14"/>
      <c r="M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4"/>
      <c r="AD748" s="134"/>
      <c r="AE748" s="134"/>
      <c r="AF748" s="134"/>
      <c r="AG748" s="134"/>
      <c r="AH748" s="134"/>
    </row>
    <row r="749">
      <c r="A749" s="143"/>
      <c r="B749" s="144"/>
      <c r="C749" s="319"/>
      <c r="D749" s="319"/>
      <c r="E749" s="319"/>
      <c r="F749" s="319"/>
      <c r="G749" s="320"/>
      <c r="H749" s="320"/>
      <c r="I749" s="14"/>
      <c r="J749" s="14"/>
      <c r="K749" s="14"/>
      <c r="L749" s="14"/>
      <c r="M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4"/>
      <c r="AD749" s="134"/>
      <c r="AE749" s="134"/>
      <c r="AF749" s="134"/>
      <c r="AG749" s="134"/>
      <c r="AH749" s="134"/>
    </row>
    <row r="750">
      <c r="A750" s="143"/>
      <c r="B750" s="144"/>
      <c r="C750" s="319"/>
      <c r="D750" s="319"/>
      <c r="E750" s="319"/>
      <c r="F750" s="319"/>
      <c r="G750" s="320"/>
      <c r="H750" s="320"/>
      <c r="I750" s="14"/>
      <c r="J750" s="14"/>
      <c r="K750" s="14"/>
      <c r="L750" s="14"/>
      <c r="M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4"/>
      <c r="AD750" s="134"/>
      <c r="AE750" s="134"/>
      <c r="AF750" s="134"/>
      <c r="AG750" s="134"/>
      <c r="AH750" s="134"/>
    </row>
    <row r="751">
      <c r="A751" s="143"/>
      <c r="B751" s="144"/>
      <c r="C751" s="319"/>
      <c r="D751" s="319"/>
      <c r="E751" s="319"/>
      <c r="F751" s="319"/>
      <c r="G751" s="320"/>
      <c r="H751" s="320"/>
      <c r="I751" s="14"/>
      <c r="J751" s="14"/>
      <c r="K751" s="14"/>
      <c r="L751" s="14"/>
      <c r="M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4"/>
      <c r="AD751" s="134"/>
      <c r="AE751" s="134"/>
      <c r="AF751" s="134"/>
      <c r="AG751" s="134"/>
      <c r="AH751" s="134"/>
    </row>
    <row r="752">
      <c r="A752" s="143"/>
      <c r="B752" s="144"/>
      <c r="C752" s="319"/>
      <c r="D752" s="319"/>
      <c r="E752" s="319"/>
      <c r="F752" s="319"/>
      <c r="G752" s="320"/>
      <c r="H752" s="320"/>
      <c r="I752" s="14"/>
      <c r="J752" s="14"/>
      <c r="K752" s="14"/>
      <c r="L752" s="14"/>
      <c r="M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4"/>
      <c r="AD752" s="134"/>
      <c r="AE752" s="134"/>
      <c r="AF752" s="134"/>
      <c r="AG752" s="134"/>
      <c r="AH752" s="134"/>
    </row>
    <row r="753">
      <c r="A753" s="143"/>
      <c r="B753" s="144"/>
      <c r="C753" s="319"/>
      <c r="D753" s="319"/>
      <c r="E753" s="319"/>
      <c r="F753" s="319"/>
      <c r="G753" s="320"/>
      <c r="H753" s="320"/>
      <c r="I753" s="14"/>
      <c r="J753" s="14"/>
      <c r="K753" s="14"/>
      <c r="L753" s="14"/>
      <c r="M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4"/>
      <c r="AD753" s="134"/>
      <c r="AE753" s="134"/>
      <c r="AF753" s="134"/>
      <c r="AG753" s="134"/>
      <c r="AH753" s="134"/>
    </row>
    <row r="754">
      <c r="A754" s="143"/>
      <c r="B754" s="144"/>
      <c r="C754" s="319"/>
      <c r="D754" s="319"/>
      <c r="E754" s="319"/>
      <c r="F754" s="319"/>
      <c r="G754" s="320"/>
      <c r="H754" s="320"/>
      <c r="I754" s="14"/>
      <c r="J754" s="14"/>
      <c r="K754" s="14"/>
      <c r="L754" s="14"/>
      <c r="M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4"/>
      <c r="AD754" s="134"/>
      <c r="AE754" s="134"/>
      <c r="AF754" s="134"/>
      <c r="AG754" s="134"/>
      <c r="AH754" s="134"/>
    </row>
    <row r="755">
      <c r="A755" s="143"/>
      <c r="B755" s="144"/>
      <c r="C755" s="319"/>
      <c r="D755" s="319"/>
      <c r="E755" s="319"/>
      <c r="F755" s="319"/>
      <c r="G755" s="320"/>
      <c r="H755" s="320"/>
      <c r="I755" s="14"/>
      <c r="J755" s="14"/>
      <c r="K755" s="14"/>
      <c r="L755" s="14"/>
      <c r="M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4"/>
      <c r="AD755" s="134"/>
      <c r="AE755" s="134"/>
      <c r="AF755" s="134"/>
      <c r="AG755" s="134"/>
      <c r="AH755" s="134"/>
    </row>
    <row r="756">
      <c r="A756" s="143"/>
      <c r="B756" s="144"/>
      <c r="C756" s="319"/>
      <c r="D756" s="319"/>
      <c r="E756" s="319"/>
      <c r="F756" s="319"/>
      <c r="G756" s="320"/>
      <c r="H756" s="320"/>
      <c r="I756" s="14"/>
      <c r="J756" s="14"/>
      <c r="K756" s="14"/>
      <c r="L756" s="14"/>
      <c r="M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4"/>
      <c r="AD756" s="134"/>
      <c r="AE756" s="134"/>
      <c r="AF756" s="134"/>
      <c r="AG756" s="134"/>
      <c r="AH756" s="134"/>
    </row>
    <row r="757">
      <c r="A757" s="143"/>
      <c r="B757" s="144"/>
      <c r="C757" s="319"/>
      <c r="D757" s="319"/>
      <c r="E757" s="319"/>
      <c r="F757" s="319"/>
      <c r="G757" s="320"/>
      <c r="H757" s="320"/>
      <c r="I757" s="14"/>
      <c r="J757" s="14"/>
      <c r="K757" s="14"/>
      <c r="L757" s="14"/>
      <c r="M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4"/>
      <c r="AD757" s="134"/>
      <c r="AE757" s="134"/>
      <c r="AF757" s="134"/>
      <c r="AG757" s="134"/>
      <c r="AH757" s="134"/>
    </row>
    <row r="758">
      <c r="A758" s="143"/>
      <c r="B758" s="144"/>
      <c r="C758" s="319"/>
      <c r="D758" s="319"/>
      <c r="E758" s="319"/>
      <c r="F758" s="319"/>
      <c r="G758" s="320"/>
      <c r="H758" s="320"/>
      <c r="I758" s="14"/>
      <c r="J758" s="14"/>
      <c r="K758" s="14"/>
      <c r="L758" s="14"/>
      <c r="M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4"/>
      <c r="AD758" s="134"/>
      <c r="AE758" s="134"/>
      <c r="AF758" s="134"/>
      <c r="AG758" s="134"/>
      <c r="AH758" s="134"/>
    </row>
    <row r="759">
      <c r="A759" s="143"/>
      <c r="B759" s="144"/>
      <c r="C759" s="319"/>
      <c r="D759" s="319"/>
      <c r="E759" s="319"/>
      <c r="F759" s="319"/>
      <c r="G759" s="320"/>
      <c r="H759" s="320"/>
      <c r="I759" s="14"/>
      <c r="J759" s="14"/>
      <c r="K759" s="14"/>
      <c r="L759" s="14"/>
      <c r="M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4"/>
      <c r="AD759" s="134"/>
      <c r="AE759" s="134"/>
      <c r="AF759" s="134"/>
      <c r="AG759" s="134"/>
      <c r="AH759" s="134"/>
    </row>
    <row r="760">
      <c r="A760" s="143"/>
      <c r="B760" s="144"/>
      <c r="C760" s="319"/>
      <c r="D760" s="319"/>
      <c r="E760" s="319"/>
      <c r="F760" s="319"/>
      <c r="G760" s="320"/>
      <c r="H760" s="320"/>
      <c r="I760" s="14"/>
      <c r="J760" s="14"/>
      <c r="K760" s="14"/>
      <c r="L760" s="14"/>
      <c r="M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4"/>
      <c r="AD760" s="134"/>
      <c r="AE760" s="134"/>
      <c r="AF760" s="134"/>
      <c r="AG760" s="134"/>
      <c r="AH760" s="134"/>
    </row>
    <row r="761">
      <c r="A761" s="143"/>
      <c r="B761" s="144"/>
      <c r="C761" s="319"/>
      <c r="D761" s="319"/>
      <c r="E761" s="319"/>
      <c r="F761" s="319"/>
      <c r="G761" s="320"/>
      <c r="H761" s="320"/>
      <c r="I761" s="14"/>
      <c r="J761" s="14"/>
      <c r="K761" s="14"/>
      <c r="L761" s="14"/>
      <c r="M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4"/>
      <c r="AD761" s="134"/>
      <c r="AE761" s="134"/>
      <c r="AF761" s="134"/>
      <c r="AG761" s="134"/>
      <c r="AH761" s="134"/>
    </row>
    <row r="762">
      <c r="A762" s="143"/>
      <c r="B762" s="144"/>
      <c r="C762" s="319"/>
      <c r="D762" s="319"/>
      <c r="E762" s="319"/>
      <c r="F762" s="319"/>
      <c r="G762" s="320"/>
      <c r="H762" s="320"/>
      <c r="I762" s="14"/>
      <c r="J762" s="14"/>
      <c r="K762" s="14"/>
      <c r="L762" s="14"/>
      <c r="M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4"/>
      <c r="AD762" s="134"/>
      <c r="AE762" s="134"/>
      <c r="AF762" s="134"/>
      <c r="AG762" s="134"/>
      <c r="AH762" s="134"/>
    </row>
    <row r="763">
      <c r="A763" s="143"/>
      <c r="B763" s="144"/>
      <c r="C763" s="319"/>
      <c r="D763" s="319"/>
      <c r="E763" s="319"/>
      <c r="F763" s="319"/>
      <c r="G763" s="320"/>
      <c r="H763" s="320"/>
      <c r="I763" s="14"/>
      <c r="J763" s="14"/>
      <c r="K763" s="14"/>
      <c r="L763" s="14"/>
      <c r="M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4"/>
      <c r="AD763" s="134"/>
      <c r="AE763" s="134"/>
      <c r="AF763" s="134"/>
      <c r="AG763" s="134"/>
      <c r="AH763" s="134"/>
    </row>
    <row r="764">
      <c r="A764" s="143"/>
      <c r="B764" s="144"/>
      <c r="C764" s="319"/>
      <c r="D764" s="319"/>
      <c r="E764" s="319"/>
      <c r="F764" s="319"/>
      <c r="G764" s="320"/>
      <c r="H764" s="320"/>
      <c r="I764" s="14"/>
      <c r="J764" s="14"/>
      <c r="K764" s="14"/>
      <c r="L764" s="14"/>
      <c r="M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4"/>
      <c r="AD764" s="134"/>
      <c r="AE764" s="134"/>
      <c r="AF764" s="134"/>
      <c r="AG764" s="134"/>
      <c r="AH764" s="134"/>
    </row>
    <row r="765">
      <c r="A765" s="143"/>
      <c r="B765" s="144"/>
      <c r="C765" s="319"/>
      <c r="D765" s="319"/>
      <c r="E765" s="319"/>
      <c r="F765" s="319"/>
      <c r="G765" s="320"/>
      <c r="H765" s="320"/>
      <c r="I765" s="14"/>
      <c r="J765" s="14"/>
      <c r="K765" s="14"/>
      <c r="L765" s="14"/>
      <c r="M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4"/>
      <c r="AD765" s="134"/>
      <c r="AE765" s="134"/>
      <c r="AF765" s="134"/>
      <c r="AG765" s="134"/>
      <c r="AH765" s="134"/>
    </row>
    <row r="766">
      <c r="A766" s="143"/>
      <c r="B766" s="144"/>
      <c r="C766" s="319"/>
      <c r="D766" s="319"/>
      <c r="E766" s="319"/>
      <c r="F766" s="319"/>
      <c r="G766" s="320"/>
      <c r="H766" s="320"/>
      <c r="I766" s="14"/>
      <c r="J766" s="14"/>
      <c r="K766" s="14"/>
      <c r="L766" s="14"/>
      <c r="M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4"/>
      <c r="AD766" s="134"/>
      <c r="AE766" s="134"/>
      <c r="AF766" s="134"/>
      <c r="AG766" s="134"/>
      <c r="AH766" s="134"/>
    </row>
    <row r="767">
      <c r="A767" s="143"/>
      <c r="B767" s="144"/>
      <c r="C767" s="319"/>
      <c r="D767" s="319"/>
      <c r="E767" s="319"/>
      <c r="F767" s="319"/>
      <c r="G767" s="320"/>
      <c r="H767" s="320"/>
      <c r="I767" s="14"/>
      <c r="J767" s="14"/>
      <c r="K767" s="14"/>
      <c r="L767" s="14"/>
      <c r="M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4"/>
      <c r="AD767" s="134"/>
      <c r="AE767" s="134"/>
      <c r="AF767" s="134"/>
      <c r="AG767" s="134"/>
      <c r="AH767" s="134"/>
    </row>
    <row r="768">
      <c r="A768" s="143"/>
      <c r="B768" s="144"/>
      <c r="C768" s="319"/>
      <c r="D768" s="319"/>
      <c r="E768" s="319"/>
      <c r="F768" s="319"/>
      <c r="G768" s="320"/>
      <c r="H768" s="320"/>
      <c r="I768" s="14"/>
      <c r="J768" s="14"/>
      <c r="K768" s="14"/>
      <c r="L768" s="14"/>
      <c r="M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4"/>
      <c r="AD768" s="134"/>
      <c r="AE768" s="134"/>
      <c r="AF768" s="134"/>
      <c r="AG768" s="134"/>
      <c r="AH768" s="134"/>
    </row>
    <row r="769">
      <c r="A769" s="143"/>
      <c r="B769" s="144"/>
      <c r="C769" s="319"/>
      <c r="D769" s="319"/>
      <c r="E769" s="319"/>
      <c r="F769" s="319"/>
      <c r="G769" s="320"/>
      <c r="H769" s="320"/>
      <c r="I769" s="14"/>
      <c r="J769" s="14"/>
      <c r="K769" s="14"/>
      <c r="L769" s="14"/>
      <c r="M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4"/>
      <c r="AD769" s="134"/>
      <c r="AE769" s="134"/>
      <c r="AF769" s="134"/>
      <c r="AG769" s="134"/>
      <c r="AH769" s="134"/>
    </row>
    <row r="770">
      <c r="A770" s="143"/>
      <c r="B770" s="144"/>
      <c r="C770" s="319"/>
      <c r="D770" s="319"/>
      <c r="E770" s="319"/>
      <c r="F770" s="319"/>
      <c r="G770" s="320"/>
      <c r="H770" s="320"/>
      <c r="I770" s="14"/>
      <c r="J770" s="14"/>
      <c r="K770" s="14"/>
      <c r="L770" s="14"/>
      <c r="M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4"/>
      <c r="AD770" s="134"/>
      <c r="AE770" s="134"/>
      <c r="AF770" s="134"/>
      <c r="AG770" s="134"/>
      <c r="AH770" s="134"/>
    </row>
    <row r="771">
      <c r="A771" s="143"/>
      <c r="B771" s="144"/>
      <c r="C771" s="319"/>
      <c r="D771" s="319"/>
      <c r="E771" s="319"/>
      <c r="F771" s="319"/>
      <c r="G771" s="320"/>
      <c r="H771" s="320"/>
      <c r="I771" s="14"/>
      <c r="J771" s="14"/>
      <c r="K771" s="14"/>
      <c r="L771" s="14"/>
      <c r="M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4"/>
      <c r="AD771" s="134"/>
      <c r="AE771" s="134"/>
      <c r="AF771" s="134"/>
      <c r="AG771" s="134"/>
      <c r="AH771" s="134"/>
    </row>
    <row r="772">
      <c r="A772" s="143"/>
      <c r="B772" s="144"/>
      <c r="C772" s="319"/>
      <c r="D772" s="319"/>
      <c r="E772" s="319"/>
      <c r="F772" s="319"/>
      <c r="G772" s="320"/>
      <c r="H772" s="320"/>
      <c r="I772" s="14"/>
      <c r="J772" s="14"/>
      <c r="K772" s="14"/>
      <c r="L772" s="14"/>
      <c r="M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4"/>
      <c r="AD772" s="134"/>
      <c r="AE772" s="134"/>
      <c r="AF772" s="134"/>
      <c r="AG772" s="134"/>
      <c r="AH772" s="134"/>
    </row>
    <row r="773">
      <c r="A773" s="143"/>
      <c r="B773" s="144"/>
      <c r="C773" s="319"/>
      <c r="D773" s="319"/>
      <c r="E773" s="319"/>
      <c r="F773" s="319"/>
      <c r="G773" s="320"/>
      <c r="H773" s="320"/>
      <c r="I773" s="14"/>
      <c r="J773" s="14"/>
      <c r="K773" s="14"/>
      <c r="L773" s="14"/>
      <c r="M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4"/>
      <c r="AD773" s="134"/>
      <c r="AE773" s="134"/>
      <c r="AF773" s="134"/>
      <c r="AG773" s="134"/>
      <c r="AH773" s="134"/>
    </row>
    <row r="774">
      <c r="A774" s="143"/>
      <c r="B774" s="144"/>
      <c r="C774" s="319"/>
      <c r="D774" s="319"/>
      <c r="E774" s="319"/>
      <c r="F774" s="319"/>
      <c r="G774" s="320"/>
      <c r="H774" s="320"/>
      <c r="I774" s="14"/>
      <c r="J774" s="14"/>
      <c r="K774" s="14"/>
      <c r="L774" s="14"/>
      <c r="M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4"/>
      <c r="AD774" s="134"/>
      <c r="AE774" s="134"/>
      <c r="AF774" s="134"/>
      <c r="AG774" s="134"/>
      <c r="AH774" s="134"/>
    </row>
    <row r="775">
      <c r="A775" s="143"/>
      <c r="B775" s="144"/>
      <c r="C775" s="319"/>
      <c r="D775" s="319"/>
      <c r="E775" s="319"/>
      <c r="F775" s="319"/>
      <c r="G775" s="320"/>
      <c r="H775" s="320"/>
      <c r="I775" s="14"/>
      <c r="J775" s="14"/>
      <c r="K775" s="14"/>
      <c r="L775" s="14"/>
      <c r="M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4"/>
      <c r="AD775" s="134"/>
      <c r="AE775" s="134"/>
      <c r="AF775" s="134"/>
      <c r="AG775" s="134"/>
      <c r="AH775" s="134"/>
    </row>
    <row r="776">
      <c r="A776" s="143"/>
      <c r="B776" s="144"/>
      <c r="C776" s="319"/>
      <c r="D776" s="319"/>
      <c r="E776" s="319"/>
      <c r="F776" s="319"/>
      <c r="G776" s="320"/>
      <c r="H776" s="320"/>
      <c r="I776" s="14"/>
      <c r="J776" s="14"/>
      <c r="K776" s="14"/>
      <c r="L776" s="14"/>
      <c r="M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4"/>
      <c r="AD776" s="134"/>
      <c r="AE776" s="134"/>
      <c r="AF776" s="134"/>
      <c r="AG776" s="134"/>
      <c r="AH776" s="134"/>
    </row>
    <row r="777">
      <c r="A777" s="143"/>
      <c r="B777" s="144"/>
      <c r="C777" s="319"/>
      <c r="D777" s="319"/>
      <c r="E777" s="319"/>
      <c r="F777" s="319"/>
      <c r="G777" s="320"/>
      <c r="H777" s="320"/>
      <c r="I777" s="14"/>
      <c r="J777" s="14"/>
      <c r="K777" s="14"/>
      <c r="L777" s="14"/>
      <c r="M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4"/>
      <c r="AD777" s="134"/>
      <c r="AE777" s="134"/>
      <c r="AF777" s="134"/>
      <c r="AG777" s="134"/>
      <c r="AH777" s="134"/>
    </row>
    <row r="778">
      <c r="A778" s="143"/>
      <c r="B778" s="144"/>
      <c r="C778" s="319"/>
      <c r="D778" s="319"/>
      <c r="E778" s="319"/>
      <c r="F778" s="319"/>
      <c r="G778" s="320"/>
      <c r="H778" s="320"/>
      <c r="I778" s="14"/>
      <c r="J778" s="14"/>
      <c r="K778" s="14"/>
      <c r="L778" s="14"/>
      <c r="M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4"/>
      <c r="AD778" s="134"/>
      <c r="AE778" s="134"/>
      <c r="AF778" s="134"/>
      <c r="AG778" s="134"/>
      <c r="AH778" s="134"/>
    </row>
    <row r="779">
      <c r="A779" s="143"/>
      <c r="B779" s="144"/>
      <c r="C779" s="319"/>
      <c r="D779" s="319"/>
      <c r="E779" s="319"/>
      <c r="F779" s="319"/>
      <c r="G779" s="320"/>
      <c r="H779" s="320"/>
      <c r="I779" s="14"/>
      <c r="J779" s="14"/>
      <c r="K779" s="14"/>
      <c r="L779" s="14"/>
      <c r="M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4"/>
      <c r="AD779" s="134"/>
      <c r="AE779" s="134"/>
      <c r="AF779" s="134"/>
      <c r="AG779" s="134"/>
      <c r="AH779" s="134"/>
    </row>
    <row r="780">
      <c r="A780" s="143"/>
      <c r="B780" s="144"/>
      <c r="C780" s="319"/>
      <c r="D780" s="319"/>
      <c r="E780" s="319"/>
      <c r="F780" s="319"/>
      <c r="G780" s="320"/>
      <c r="H780" s="320"/>
      <c r="I780" s="14"/>
      <c r="J780" s="14"/>
      <c r="K780" s="14"/>
      <c r="L780" s="14"/>
      <c r="M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4"/>
      <c r="AD780" s="134"/>
      <c r="AE780" s="134"/>
      <c r="AF780" s="134"/>
      <c r="AG780" s="134"/>
      <c r="AH780" s="134"/>
    </row>
    <row r="781">
      <c r="A781" s="143"/>
      <c r="B781" s="144"/>
      <c r="C781" s="319"/>
      <c r="D781" s="319"/>
      <c r="E781" s="319"/>
      <c r="F781" s="319"/>
      <c r="G781" s="320"/>
      <c r="H781" s="320"/>
      <c r="I781" s="14"/>
      <c r="J781" s="14"/>
      <c r="K781" s="14"/>
      <c r="L781" s="14"/>
      <c r="M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  <c r="AE781" s="134"/>
      <c r="AF781" s="134"/>
      <c r="AG781" s="134"/>
      <c r="AH781" s="134"/>
    </row>
    <row r="782">
      <c r="A782" s="143"/>
      <c r="B782" s="144"/>
      <c r="C782" s="319"/>
      <c r="D782" s="319"/>
      <c r="E782" s="319"/>
      <c r="F782" s="319"/>
      <c r="G782" s="320"/>
      <c r="H782" s="320"/>
      <c r="I782" s="14"/>
      <c r="J782" s="14"/>
      <c r="K782" s="14"/>
      <c r="L782" s="14"/>
      <c r="M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  <c r="AE782" s="134"/>
      <c r="AF782" s="134"/>
      <c r="AG782" s="134"/>
      <c r="AH782" s="134"/>
    </row>
    <row r="783">
      <c r="A783" s="143"/>
      <c r="B783" s="144"/>
      <c r="C783" s="319"/>
      <c r="D783" s="319"/>
      <c r="E783" s="319"/>
      <c r="F783" s="319"/>
      <c r="G783" s="320"/>
      <c r="H783" s="320"/>
      <c r="I783" s="14"/>
      <c r="J783" s="14"/>
      <c r="K783" s="14"/>
      <c r="L783" s="14"/>
      <c r="M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  <c r="AE783" s="134"/>
      <c r="AF783" s="134"/>
      <c r="AG783" s="134"/>
      <c r="AH783" s="134"/>
    </row>
    <row r="784">
      <c r="A784" s="143"/>
      <c r="B784" s="144"/>
      <c r="C784" s="319"/>
      <c r="D784" s="319"/>
      <c r="E784" s="319"/>
      <c r="F784" s="319"/>
      <c r="G784" s="320"/>
      <c r="H784" s="320"/>
      <c r="I784" s="14"/>
      <c r="J784" s="14"/>
      <c r="K784" s="14"/>
      <c r="L784" s="14"/>
      <c r="M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  <c r="AE784" s="134"/>
      <c r="AF784" s="134"/>
      <c r="AG784" s="134"/>
      <c r="AH784" s="134"/>
    </row>
    <row r="785">
      <c r="A785" s="143"/>
      <c r="B785" s="144"/>
      <c r="C785" s="319"/>
      <c r="D785" s="319"/>
      <c r="E785" s="319"/>
      <c r="F785" s="319"/>
      <c r="G785" s="320"/>
      <c r="H785" s="320"/>
      <c r="I785" s="14"/>
      <c r="J785" s="14"/>
      <c r="K785" s="14"/>
      <c r="L785" s="14"/>
      <c r="M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  <c r="AC785" s="134"/>
      <c r="AD785" s="134"/>
      <c r="AE785" s="134"/>
      <c r="AF785" s="134"/>
      <c r="AG785" s="134"/>
      <c r="AH785" s="134"/>
    </row>
    <row r="786">
      <c r="A786" s="143"/>
      <c r="B786" s="144"/>
      <c r="C786" s="319"/>
      <c r="D786" s="319"/>
      <c r="E786" s="319"/>
      <c r="F786" s="319"/>
      <c r="G786" s="320"/>
      <c r="H786" s="320"/>
      <c r="I786" s="14"/>
      <c r="J786" s="14"/>
      <c r="K786" s="14"/>
      <c r="L786" s="14"/>
      <c r="M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  <c r="AC786" s="134"/>
      <c r="AD786" s="134"/>
      <c r="AE786" s="134"/>
      <c r="AF786" s="134"/>
      <c r="AG786" s="134"/>
      <c r="AH786" s="134"/>
    </row>
    <row r="787">
      <c r="A787" s="143"/>
      <c r="B787" s="144"/>
      <c r="C787" s="319"/>
      <c r="D787" s="319"/>
      <c r="E787" s="319"/>
      <c r="F787" s="319"/>
      <c r="G787" s="320"/>
      <c r="H787" s="320"/>
      <c r="I787" s="14"/>
      <c r="J787" s="14"/>
      <c r="K787" s="14"/>
      <c r="L787" s="14"/>
      <c r="M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4"/>
      <c r="AD787" s="134"/>
      <c r="AE787" s="134"/>
      <c r="AF787" s="134"/>
      <c r="AG787" s="134"/>
      <c r="AH787" s="134"/>
    </row>
    <row r="788">
      <c r="A788" s="143"/>
      <c r="B788" s="144"/>
      <c r="C788" s="319"/>
      <c r="D788" s="319"/>
      <c r="E788" s="319"/>
      <c r="F788" s="319"/>
      <c r="G788" s="320"/>
      <c r="H788" s="320"/>
      <c r="I788" s="14"/>
      <c r="J788" s="14"/>
      <c r="K788" s="14"/>
      <c r="L788" s="14"/>
      <c r="M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4"/>
      <c r="AD788" s="134"/>
      <c r="AE788" s="134"/>
      <c r="AF788" s="134"/>
      <c r="AG788" s="134"/>
      <c r="AH788" s="134"/>
    </row>
    <row r="789">
      <c r="A789" s="143"/>
      <c r="B789" s="144"/>
      <c r="C789" s="319"/>
      <c r="D789" s="319"/>
      <c r="E789" s="319"/>
      <c r="F789" s="319"/>
      <c r="G789" s="320"/>
      <c r="H789" s="320"/>
      <c r="I789" s="14"/>
      <c r="J789" s="14"/>
      <c r="K789" s="14"/>
      <c r="L789" s="14"/>
      <c r="M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  <c r="AE789" s="134"/>
      <c r="AF789" s="134"/>
      <c r="AG789" s="134"/>
      <c r="AH789" s="134"/>
    </row>
    <row r="790">
      <c r="A790" s="143"/>
      <c r="B790" s="144"/>
      <c r="C790" s="319"/>
      <c r="D790" s="319"/>
      <c r="E790" s="319"/>
      <c r="F790" s="319"/>
      <c r="G790" s="320"/>
      <c r="H790" s="320"/>
      <c r="I790" s="14"/>
      <c r="J790" s="14"/>
      <c r="K790" s="14"/>
      <c r="L790" s="14"/>
      <c r="M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  <c r="AE790" s="134"/>
      <c r="AF790" s="134"/>
      <c r="AG790" s="134"/>
      <c r="AH790" s="134"/>
    </row>
    <row r="791">
      <c r="A791" s="143"/>
      <c r="B791" s="144"/>
      <c r="C791" s="319"/>
      <c r="D791" s="319"/>
      <c r="E791" s="319"/>
      <c r="F791" s="319"/>
      <c r="G791" s="320"/>
      <c r="H791" s="320"/>
      <c r="I791" s="14"/>
      <c r="J791" s="14"/>
      <c r="K791" s="14"/>
      <c r="L791" s="14"/>
      <c r="M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  <c r="AE791" s="134"/>
      <c r="AF791" s="134"/>
      <c r="AG791" s="134"/>
      <c r="AH791" s="134"/>
    </row>
    <row r="792">
      <c r="A792" s="143"/>
      <c r="B792" s="144"/>
      <c r="C792" s="319"/>
      <c r="D792" s="319"/>
      <c r="E792" s="319"/>
      <c r="F792" s="319"/>
      <c r="G792" s="320"/>
      <c r="H792" s="320"/>
      <c r="I792" s="14"/>
      <c r="J792" s="14"/>
      <c r="K792" s="14"/>
      <c r="L792" s="14"/>
      <c r="M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4"/>
      <c r="AD792" s="134"/>
      <c r="AE792" s="134"/>
      <c r="AF792" s="134"/>
      <c r="AG792" s="134"/>
      <c r="AH792" s="134"/>
    </row>
    <row r="793">
      <c r="A793" s="143"/>
      <c r="B793" s="144"/>
      <c r="C793" s="319"/>
      <c r="D793" s="319"/>
      <c r="E793" s="319"/>
      <c r="F793" s="319"/>
      <c r="G793" s="320"/>
      <c r="H793" s="320"/>
      <c r="I793" s="14"/>
      <c r="J793" s="14"/>
      <c r="K793" s="14"/>
      <c r="L793" s="14"/>
      <c r="M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  <c r="AE793" s="134"/>
      <c r="AF793" s="134"/>
      <c r="AG793" s="134"/>
      <c r="AH793" s="134"/>
    </row>
    <row r="794">
      <c r="A794" s="143"/>
      <c r="B794" s="144"/>
      <c r="C794" s="319"/>
      <c r="D794" s="319"/>
      <c r="E794" s="319"/>
      <c r="F794" s="319"/>
      <c r="G794" s="320"/>
      <c r="H794" s="320"/>
      <c r="I794" s="14"/>
      <c r="J794" s="14"/>
      <c r="K794" s="14"/>
      <c r="L794" s="14"/>
      <c r="M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  <c r="AE794" s="134"/>
      <c r="AF794" s="134"/>
      <c r="AG794" s="134"/>
      <c r="AH794" s="134"/>
    </row>
    <row r="795">
      <c r="A795" s="143"/>
      <c r="B795" s="144"/>
      <c r="C795" s="319"/>
      <c r="D795" s="319"/>
      <c r="E795" s="319"/>
      <c r="F795" s="319"/>
      <c r="G795" s="320"/>
      <c r="H795" s="320"/>
      <c r="I795" s="14"/>
      <c r="J795" s="14"/>
      <c r="K795" s="14"/>
      <c r="L795" s="14"/>
      <c r="M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  <c r="AE795" s="134"/>
      <c r="AF795" s="134"/>
      <c r="AG795" s="134"/>
      <c r="AH795" s="134"/>
    </row>
    <row r="796">
      <c r="A796" s="143"/>
      <c r="B796" s="144"/>
      <c r="C796" s="319"/>
      <c r="D796" s="319"/>
      <c r="E796" s="319"/>
      <c r="F796" s="319"/>
      <c r="G796" s="320"/>
      <c r="H796" s="320"/>
      <c r="I796" s="14"/>
      <c r="J796" s="14"/>
      <c r="K796" s="14"/>
      <c r="L796" s="14"/>
      <c r="M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  <c r="AE796" s="134"/>
      <c r="AF796" s="134"/>
      <c r="AG796" s="134"/>
      <c r="AH796" s="134"/>
    </row>
    <row r="797">
      <c r="A797" s="143"/>
      <c r="B797" s="144"/>
      <c r="C797" s="319"/>
      <c r="D797" s="319"/>
      <c r="E797" s="319"/>
      <c r="F797" s="319"/>
      <c r="G797" s="320"/>
      <c r="H797" s="320"/>
      <c r="I797" s="14"/>
      <c r="J797" s="14"/>
      <c r="K797" s="14"/>
      <c r="L797" s="14"/>
      <c r="M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  <c r="AE797" s="134"/>
      <c r="AF797" s="134"/>
      <c r="AG797" s="134"/>
      <c r="AH797" s="134"/>
    </row>
    <row r="798">
      <c r="A798" s="143"/>
      <c r="B798" s="144"/>
      <c r="C798" s="319"/>
      <c r="D798" s="319"/>
      <c r="E798" s="319"/>
      <c r="F798" s="319"/>
      <c r="G798" s="320"/>
      <c r="H798" s="320"/>
      <c r="I798" s="14"/>
      <c r="J798" s="14"/>
      <c r="K798" s="14"/>
      <c r="L798" s="14"/>
      <c r="M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4"/>
      <c r="AD798" s="134"/>
      <c r="AE798" s="134"/>
      <c r="AF798" s="134"/>
      <c r="AG798" s="134"/>
      <c r="AH798" s="134"/>
    </row>
    <row r="799">
      <c r="A799" s="143"/>
      <c r="B799" s="144"/>
      <c r="C799" s="319"/>
      <c r="D799" s="319"/>
      <c r="E799" s="319"/>
      <c r="F799" s="319"/>
      <c r="G799" s="320"/>
      <c r="H799" s="320"/>
      <c r="I799" s="14"/>
      <c r="J799" s="14"/>
      <c r="K799" s="14"/>
      <c r="L799" s="14"/>
      <c r="M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4"/>
      <c r="AD799" s="134"/>
      <c r="AE799" s="134"/>
      <c r="AF799" s="134"/>
      <c r="AG799" s="134"/>
      <c r="AH799" s="134"/>
    </row>
    <row r="800">
      <c r="A800" s="143"/>
      <c r="B800" s="144"/>
      <c r="C800" s="319"/>
      <c r="D800" s="319"/>
      <c r="E800" s="319"/>
      <c r="F800" s="319"/>
      <c r="G800" s="320"/>
      <c r="H800" s="320"/>
      <c r="I800" s="14"/>
      <c r="J800" s="14"/>
      <c r="K800" s="14"/>
      <c r="L800" s="14"/>
      <c r="M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4"/>
      <c r="AD800" s="134"/>
      <c r="AE800" s="134"/>
      <c r="AF800" s="134"/>
      <c r="AG800" s="134"/>
      <c r="AH800" s="134"/>
    </row>
    <row r="801">
      <c r="A801" s="143"/>
      <c r="B801" s="144"/>
      <c r="C801" s="319"/>
      <c r="D801" s="319"/>
      <c r="E801" s="319"/>
      <c r="F801" s="319"/>
      <c r="G801" s="320"/>
      <c r="H801" s="320"/>
      <c r="I801" s="14"/>
      <c r="J801" s="14"/>
      <c r="K801" s="14"/>
      <c r="L801" s="14"/>
      <c r="M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  <c r="AE801" s="134"/>
      <c r="AF801" s="134"/>
      <c r="AG801" s="134"/>
      <c r="AH801" s="134"/>
    </row>
    <row r="802">
      <c r="A802" s="143"/>
      <c r="B802" s="144"/>
      <c r="C802" s="319"/>
      <c r="D802" s="319"/>
      <c r="E802" s="319"/>
      <c r="F802" s="319"/>
      <c r="G802" s="320"/>
      <c r="H802" s="320"/>
      <c r="I802" s="14"/>
      <c r="J802" s="14"/>
      <c r="K802" s="14"/>
      <c r="L802" s="14"/>
      <c r="M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  <c r="AE802" s="134"/>
      <c r="AF802" s="134"/>
      <c r="AG802" s="134"/>
      <c r="AH802" s="134"/>
    </row>
    <row r="803">
      <c r="A803" s="143"/>
      <c r="B803" s="144"/>
      <c r="C803" s="319"/>
      <c r="D803" s="319"/>
      <c r="E803" s="319"/>
      <c r="F803" s="319"/>
      <c r="G803" s="320"/>
      <c r="H803" s="320"/>
      <c r="I803" s="14"/>
      <c r="J803" s="14"/>
      <c r="K803" s="14"/>
      <c r="L803" s="14"/>
      <c r="M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4"/>
      <c r="AD803" s="134"/>
      <c r="AE803" s="134"/>
      <c r="AF803" s="134"/>
      <c r="AG803" s="134"/>
      <c r="AH803" s="134"/>
    </row>
    <row r="804">
      <c r="A804" s="143"/>
      <c r="B804" s="144"/>
      <c r="C804" s="319"/>
      <c r="D804" s="319"/>
      <c r="E804" s="319"/>
      <c r="F804" s="319"/>
      <c r="G804" s="320"/>
      <c r="H804" s="320"/>
      <c r="I804" s="14"/>
      <c r="J804" s="14"/>
      <c r="K804" s="14"/>
      <c r="L804" s="14"/>
      <c r="M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4"/>
      <c r="AD804" s="134"/>
      <c r="AE804" s="134"/>
      <c r="AF804" s="134"/>
      <c r="AG804" s="134"/>
      <c r="AH804" s="134"/>
    </row>
    <row r="805">
      <c r="A805" s="143"/>
      <c r="B805" s="144"/>
      <c r="C805" s="319"/>
      <c r="D805" s="319"/>
      <c r="E805" s="319"/>
      <c r="F805" s="319"/>
      <c r="G805" s="320"/>
      <c r="H805" s="320"/>
      <c r="I805" s="14"/>
      <c r="J805" s="14"/>
      <c r="K805" s="14"/>
      <c r="L805" s="14"/>
      <c r="M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4"/>
      <c r="AD805" s="134"/>
      <c r="AE805" s="134"/>
      <c r="AF805" s="134"/>
      <c r="AG805" s="134"/>
      <c r="AH805" s="134"/>
    </row>
    <row r="806">
      <c r="A806" s="143"/>
      <c r="B806" s="144"/>
      <c r="C806" s="319"/>
      <c r="D806" s="319"/>
      <c r="E806" s="319"/>
      <c r="F806" s="319"/>
      <c r="G806" s="320"/>
      <c r="H806" s="320"/>
      <c r="I806" s="14"/>
      <c r="J806" s="14"/>
      <c r="K806" s="14"/>
      <c r="L806" s="14"/>
      <c r="M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4"/>
      <c r="AD806" s="134"/>
      <c r="AE806" s="134"/>
      <c r="AF806" s="134"/>
      <c r="AG806" s="134"/>
      <c r="AH806" s="134"/>
    </row>
    <row r="807">
      <c r="A807" s="143"/>
      <c r="B807" s="144"/>
      <c r="C807" s="319"/>
      <c r="D807" s="319"/>
      <c r="E807" s="319"/>
      <c r="F807" s="319"/>
      <c r="G807" s="320"/>
      <c r="H807" s="320"/>
      <c r="I807" s="14"/>
      <c r="J807" s="14"/>
      <c r="K807" s="14"/>
      <c r="L807" s="14"/>
      <c r="M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4"/>
      <c r="AD807" s="134"/>
      <c r="AE807" s="134"/>
      <c r="AF807" s="134"/>
      <c r="AG807" s="134"/>
      <c r="AH807" s="134"/>
    </row>
    <row r="808">
      <c r="A808" s="143"/>
      <c r="B808" s="144"/>
      <c r="C808" s="319"/>
      <c r="D808" s="319"/>
      <c r="E808" s="319"/>
      <c r="F808" s="319"/>
      <c r="G808" s="320"/>
      <c r="H808" s="320"/>
      <c r="I808" s="14"/>
      <c r="J808" s="14"/>
      <c r="K808" s="14"/>
      <c r="L808" s="14"/>
      <c r="M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4"/>
      <c r="AD808" s="134"/>
      <c r="AE808" s="134"/>
      <c r="AF808" s="134"/>
      <c r="AG808" s="134"/>
      <c r="AH808" s="134"/>
    </row>
    <row r="809">
      <c r="A809" s="143"/>
      <c r="B809" s="144"/>
      <c r="C809" s="319"/>
      <c r="D809" s="319"/>
      <c r="E809" s="319"/>
      <c r="F809" s="319"/>
      <c r="G809" s="320"/>
      <c r="H809" s="320"/>
      <c r="I809" s="14"/>
      <c r="J809" s="14"/>
      <c r="K809" s="14"/>
      <c r="L809" s="14"/>
      <c r="M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4"/>
      <c r="AD809" s="134"/>
      <c r="AE809" s="134"/>
      <c r="AF809" s="134"/>
      <c r="AG809" s="134"/>
      <c r="AH809" s="134"/>
    </row>
    <row r="810">
      <c r="A810" s="143"/>
      <c r="B810" s="144"/>
      <c r="C810" s="319"/>
      <c r="D810" s="319"/>
      <c r="E810" s="319"/>
      <c r="F810" s="319"/>
      <c r="G810" s="320"/>
      <c r="H810" s="320"/>
      <c r="I810" s="14"/>
      <c r="J810" s="14"/>
      <c r="K810" s="14"/>
      <c r="L810" s="14"/>
      <c r="M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  <c r="AE810" s="134"/>
      <c r="AF810" s="134"/>
      <c r="AG810" s="134"/>
      <c r="AH810" s="134"/>
    </row>
    <row r="811">
      <c r="A811" s="143"/>
      <c r="B811" s="144"/>
      <c r="C811" s="319"/>
      <c r="D811" s="319"/>
      <c r="E811" s="319"/>
      <c r="F811" s="319"/>
      <c r="G811" s="320"/>
      <c r="H811" s="320"/>
      <c r="I811" s="14"/>
      <c r="J811" s="14"/>
      <c r="K811" s="14"/>
      <c r="L811" s="14"/>
      <c r="M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  <c r="AE811" s="134"/>
      <c r="AF811" s="134"/>
      <c r="AG811" s="134"/>
      <c r="AH811" s="134"/>
    </row>
    <row r="812">
      <c r="A812" s="143"/>
      <c r="B812" s="144"/>
      <c r="C812" s="319"/>
      <c r="D812" s="319"/>
      <c r="E812" s="319"/>
      <c r="F812" s="319"/>
      <c r="G812" s="320"/>
      <c r="H812" s="320"/>
      <c r="I812" s="14"/>
      <c r="J812" s="14"/>
      <c r="K812" s="14"/>
      <c r="L812" s="14"/>
      <c r="M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  <c r="AE812" s="134"/>
      <c r="AF812" s="134"/>
      <c r="AG812" s="134"/>
      <c r="AH812" s="134"/>
    </row>
    <row r="813">
      <c r="A813" s="143"/>
      <c r="B813" s="144"/>
      <c r="C813" s="319"/>
      <c r="D813" s="319"/>
      <c r="E813" s="319"/>
      <c r="F813" s="319"/>
      <c r="G813" s="320"/>
      <c r="H813" s="320"/>
      <c r="I813" s="14"/>
      <c r="J813" s="14"/>
      <c r="K813" s="14"/>
      <c r="L813" s="14"/>
      <c r="M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  <c r="AE813" s="134"/>
      <c r="AF813" s="134"/>
      <c r="AG813" s="134"/>
      <c r="AH813" s="134"/>
    </row>
    <row r="814">
      <c r="A814" s="143"/>
      <c r="B814" s="144"/>
      <c r="C814" s="319"/>
      <c r="D814" s="319"/>
      <c r="E814" s="319"/>
      <c r="F814" s="319"/>
      <c r="G814" s="320"/>
      <c r="H814" s="320"/>
      <c r="I814" s="14"/>
      <c r="J814" s="14"/>
      <c r="K814" s="14"/>
      <c r="L814" s="14"/>
      <c r="M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4"/>
      <c r="AD814" s="134"/>
      <c r="AE814" s="134"/>
      <c r="AF814" s="134"/>
      <c r="AG814" s="134"/>
      <c r="AH814" s="134"/>
    </row>
    <row r="815">
      <c r="A815" s="143"/>
      <c r="B815" s="144"/>
      <c r="C815" s="319"/>
      <c r="D815" s="319"/>
      <c r="E815" s="319"/>
      <c r="F815" s="319"/>
      <c r="G815" s="320"/>
      <c r="H815" s="320"/>
      <c r="I815" s="14"/>
      <c r="J815" s="14"/>
      <c r="K815" s="14"/>
      <c r="L815" s="14"/>
      <c r="M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4"/>
      <c r="AD815" s="134"/>
      <c r="AE815" s="134"/>
      <c r="AF815" s="134"/>
      <c r="AG815" s="134"/>
      <c r="AH815" s="134"/>
    </row>
    <row r="816">
      <c r="A816" s="143"/>
      <c r="B816" s="144"/>
      <c r="C816" s="319"/>
      <c r="D816" s="319"/>
      <c r="E816" s="319"/>
      <c r="F816" s="319"/>
      <c r="G816" s="320"/>
      <c r="H816" s="320"/>
      <c r="I816" s="14"/>
      <c r="J816" s="14"/>
      <c r="K816" s="14"/>
      <c r="L816" s="14"/>
      <c r="M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4"/>
      <c r="AD816" s="134"/>
      <c r="AE816" s="134"/>
      <c r="AF816" s="134"/>
      <c r="AG816" s="134"/>
      <c r="AH816" s="134"/>
    </row>
    <row r="817">
      <c r="A817" s="143"/>
      <c r="B817" s="144"/>
      <c r="C817" s="319"/>
      <c r="D817" s="319"/>
      <c r="E817" s="319"/>
      <c r="F817" s="319"/>
      <c r="G817" s="320"/>
      <c r="H817" s="320"/>
      <c r="I817" s="14"/>
      <c r="J817" s="14"/>
      <c r="K817" s="14"/>
      <c r="L817" s="14"/>
      <c r="M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4"/>
      <c r="AD817" s="134"/>
      <c r="AE817" s="134"/>
      <c r="AF817" s="134"/>
      <c r="AG817" s="134"/>
      <c r="AH817" s="134"/>
    </row>
    <row r="818">
      <c r="A818" s="143"/>
      <c r="B818" s="144"/>
      <c r="C818" s="319"/>
      <c r="D818" s="319"/>
      <c r="E818" s="319"/>
      <c r="F818" s="319"/>
      <c r="G818" s="320"/>
      <c r="H818" s="320"/>
      <c r="I818" s="14"/>
      <c r="J818" s="14"/>
      <c r="K818" s="14"/>
      <c r="L818" s="14"/>
      <c r="M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  <c r="AE818" s="134"/>
      <c r="AF818" s="134"/>
      <c r="AG818" s="134"/>
      <c r="AH818" s="134"/>
    </row>
    <row r="819">
      <c r="A819" s="143"/>
      <c r="B819" s="144"/>
      <c r="C819" s="319"/>
      <c r="D819" s="319"/>
      <c r="E819" s="319"/>
      <c r="F819" s="319"/>
      <c r="G819" s="320"/>
      <c r="H819" s="320"/>
      <c r="I819" s="14"/>
      <c r="J819" s="14"/>
      <c r="K819" s="14"/>
      <c r="L819" s="14"/>
      <c r="M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  <c r="AE819" s="134"/>
      <c r="AF819" s="134"/>
      <c r="AG819" s="134"/>
      <c r="AH819" s="134"/>
    </row>
    <row r="820">
      <c r="A820" s="143"/>
      <c r="B820" s="144"/>
      <c r="C820" s="319"/>
      <c r="D820" s="319"/>
      <c r="E820" s="319"/>
      <c r="F820" s="319"/>
      <c r="G820" s="320"/>
      <c r="H820" s="320"/>
      <c r="I820" s="14"/>
      <c r="J820" s="14"/>
      <c r="K820" s="14"/>
      <c r="L820" s="14"/>
      <c r="M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  <c r="AE820" s="134"/>
      <c r="AF820" s="134"/>
      <c r="AG820" s="134"/>
      <c r="AH820" s="134"/>
    </row>
    <row r="821">
      <c r="A821" s="143"/>
      <c r="B821" s="144"/>
      <c r="C821" s="319"/>
      <c r="D821" s="319"/>
      <c r="E821" s="319"/>
      <c r="F821" s="319"/>
      <c r="G821" s="320"/>
      <c r="H821" s="320"/>
      <c r="I821" s="14"/>
      <c r="J821" s="14"/>
      <c r="K821" s="14"/>
      <c r="L821" s="14"/>
      <c r="M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  <c r="AE821" s="134"/>
      <c r="AF821" s="134"/>
      <c r="AG821" s="134"/>
      <c r="AH821" s="134"/>
    </row>
    <row r="822">
      <c r="A822" s="143"/>
      <c r="B822" s="144"/>
      <c r="C822" s="319"/>
      <c r="D822" s="319"/>
      <c r="E822" s="319"/>
      <c r="F822" s="319"/>
      <c r="G822" s="320"/>
      <c r="H822" s="320"/>
      <c r="I822" s="14"/>
      <c r="J822" s="14"/>
      <c r="K822" s="14"/>
      <c r="L822" s="14"/>
      <c r="M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  <c r="AE822" s="134"/>
      <c r="AF822" s="134"/>
      <c r="AG822" s="134"/>
      <c r="AH822" s="134"/>
    </row>
    <row r="823">
      <c r="A823" s="143"/>
      <c r="B823" s="144"/>
      <c r="C823" s="319"/>
      <c r="D823" s="319"/>
      <c r="E823" s="319"/>
      <c r="F823" s="319"/>
      <c r="G823" s="320"/>
      <c r="H823" s="320"/>
      <c r="I823" s="14"/>
      <c r="J823" s="14"/>
      <c r="K823" s="14"/>
      <c r="L823" s="14"/>
      <c r="M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  <c r="AE823" s="134"/>
      <c r="AF823" s="134"/>
      <c r="AG823" s="134"/>
      <c r="AH823" s="134"/>
    </row>
    <row r="824">
      <c r="A824" s="143"/>
      <c r="B824" s="144"/>
      <c r="C824" s="319"/>
      <c r="D824" s="319"/>
      <c r="E824" s="319"/>
      <c r="F824" s="319"/>
      <c r="G824" s="320"/>
      <c r="H824" s="320"/>
      <c r="I824" s="14"/>
      <c r="J824" s="14"/>
      <c r="K824" s="14"/>
      <c r="L824" s="14"/>
      <c r="M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  <c r="AE824" s="134"/>
      <c r="AF824" s="134"/>
      <c r="AG824" s="134"/>
      <c r="AH824" s="134"/>
    </row>
    <row r="825">
      <c r="A825" s="143"/>
      <c r="B825" s="144"/>
      <c r="C825" s="319"/>
      <c r="D825" s="319"/>
      <c r="E825" s="319"/>
      <c r="F825" s="319"/>
      <c r="G825" s="320"/>
      <c r="H825" s="320"/>
      <c r="I825" s="14"/>
      <c r="J825" s="14"/>
      <c r="K825" s="14"/>
      <c r="L825" s="14"/>
      <c r="M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  <c r="AE825" s="134"/>
      <c r="AF825" s="134"/>
      <c r="AG825" s="134"/>
      <c r="AH825" s="134"/>
    </row>
    <row r="826">
      <c r="A826" s="143"/>
      <c r="B826" s="144"/>
      <c r="C826" s="319"/>
      <c r="D826" s="319"/>
      <c r="E826" s="319"/>
      <c r="F826" s="319"/>
      <c r="G826" s="320"/>
      <c r="H826" s="320"/>
      <c r="I826" s="14"/>
      <c r="J826" s="14"/>
      <c r="K826" s="14"/>
      <c r="L826" s="14"/>
      <c r="M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  <c r="AE826" s="134"/>
      <c r="AF826" s="134"/>
      <c r="AG826" s="134"/>
      <c r="AH826" s="134"/>
    </row>
    <row r="827">
      <c r="A827" s="143"/>
      <c r="B827" s="144"/>
      <c r="C827" s="319"/>
      <c r="D827" s="319"/>
      <c r="E827" s="319"/>
      <c r="F827" s="319"/>
      <c r="G827" s="320"/>
      <c r="H827" s="320"/>
      <c r="I827" s="14"/>
      <c r="J827" s="14"/>
      <c r="K827" s="14"/>
      <c r="L827" s="14"/>
      <c r="M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  <c r="AE827" s="134"/>
      <c r="AF827" s="134"/>
      <c r="AG827" s="134"/>
      <c r="AH827" s="134"/>
    </row>
    <row r="828">
      <c r="A828" s="143"/>
      <c r="B828" s="144"/>
      <c r="C828" s="319"/>
      <c r="D828" s="319"/>
      <c r="E828" s="319"/>
      <c r="F828" s="319"/>
      <c r="G828" s="320"/>
      <c r="H828" s="320"/>
      <c r="I828" s="14"/>
      <c r="J828" s="14"/>
      <c r="K828" s="14"/>
      <c r="L828" s="14"/>
      <c r="M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4"/>
      <c r="AD828" s="134"/>
      <c r="AE828" s="134"/>
      <c r="AF828" s="134"/>
      <c r="AG828" s="134"/>
      <c r="AH828" s="134"/>
    </row>
    <row r="829">
      <c r="A829" s="143"/>
      <c r="B829" s="144"/>
      <c r="C829" s="319"/>
      <c r="D829" s="319"/>
      <c r="E829" s="319"/>
      <c r="F829" s="319"/>
      <c r="G829" s="320"/>
      <c r="H829" s="320"/>
      <c r="I829" s="14"/>
      <c r="J829" s="14"/>
      <c r="K829" s="14"/>
      <c r="L829" s="14"/>
      <c r="M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4"/>
      <c r="AD829" s="134"/>
      <c r="AE829" s="134"/>
      <c r="AF829" s="134"/>
      <c r="AG829" s="134"/>
      <c r="AH829" s="134"/>
    </row>
    <row r="830">
      <c r="A830" s="143"/>
      <c r="B830" s="144"/>
      <c r="C830" s="319"/>
      <c r="D830" s="319"/>
      <c r="E830" s="319"/>
      <c r="F830" s="319"/>
      <c r="G830" s="320"/>
      <c r="H830" s="320"/>
      <c r="I830" s="14"/>
      <c r="J830" s="14"/>
      <c r="K830" s="14"/>
      <c r="L830" s="14"/>
      <c r="M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  <c r="AE830" s="134"/>
      <c r="AF830" s="134"/>
      <c r="AG830" s="134"/>
      <c r="AH830" s="134"/>
    </row>
    <row r="831">
      <c r="A831" s="143"/>
      <c r="B831" s="144"/>
      <c r="C831" s="319"/>
      <c r="D831" s="319"/>
      <c r="E831" s="319"/>
      <c r="F831" s="319"/>
      <c r="G831" s="320"/>
      <c r="H831" s="320"/>
      <c r="I831" s="14"/>
      <c r="J831" s="14"/>
      <c r="K831" s="14"/>
      <c r="L831" s="14"/>
      <c r="M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  <c r="AE831" s="134"/>
      <c r="AF831" s="134"/>
      <c r="AG831" s="134"/>
      <c r="AH831" s="134"/>
    </row>
    <row r="832">
      <c r="A832" s="143"/>
      <c r="B832" s="144"/>
      <c r="C832" s="319"/>
      <c r="D832" s="319"/>
      <c r="E832" s="319"/>
      <c r="F832" s="319"/>
      <c r="G832" s="320"/>
      <c r="H832" s="320"/>
      <c r="I832" s="14"/>
      <c r="J832" s="14"/>
      <c r="K832" s="14"/>
      <c r="L832" s="14"/>
      <c r="M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  <c r="AE832" s="134"/>
      <c r="AF832" s="134"/>
      <c r="AG832" s="134"/>
      <c r="AH832" s="134"/>
    </row>
    <row r="833">
      <c r="A833" s="143"/>
      <c r="B833" s="144"/>
      <c r="C833" s="319"/>
      <c r="D833" s="319"/>
      <c r="E833" s="319"/>
      <c r="F833" s="319"/>
      <c r="G833" s="320"/>
      <c r="H833" s="320"/>
      <c r="I833" s="14"/>
      <c r="J833" s="14"/>
      <c r="K833" s="14"/>
      <c r="L833" s="14"/>
      <c r="M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  <c r="AE833" s="134"/>
      <c r="AF833" s="134"/>
      <c r="AG833" s="134"/>
      <c r="AH833" s="134"/>
    </row>
    <row r="834">
      <c r="A834" s="143"/>
      <c r="B834" s="144"/>
      <c r="C834" s="319"/>
      <c r="D834" s="319"/>
      <c r="E834" s="319"/>
      <c r="F834" s="319"/>
      <c r="G834" s="320"/>
      <c r="H834" s="320"/>
      <c r="I834" s="14"/>
      <c r="J834" s="14"/>
      <c r="K834" s="14"/>
      <c r="L834" s="14"/>
      <c r="M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  <c r="AE834" s="134"/>
      <c r="AF834" s="134"/>
      <c r="AG834" s="134"/>
      <c r="AH834" s="134"/>
    </row>
    <row r="835">
      <c r="A835" s="143"/>
      <c r="B835" s="144"/>
      <c r="C835" s="319"/>
      <c r="D835" s="319"/>
      <c r="E835" s="319"/>
      <c r="F835" s="319"/>
      <c r="G835" s="320"/>
      <c r="H835" s="320"/>
      <c r="I835" s="14"/>
      <c r="J835" s="14"/>
      <c r="K835" s="14"/>
      <c r="L835" s="14"/>
      <c r="M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  <c r="AE835" s="134"/>
      <c r="AF835" s="134"/>
      <c r="AG835" s="134"/>
      <c r="AH835" s="134"/>
    </row>
    <row r="836">
      <c r="A836" s="143"/>
      <c r="B836" s="144"/>
      <c r="C836" s="319"/>
      <c r="D836" s="319"/>
      <c r="E836" s="319"/>
      <c r="F836" s="319"/>
      <c r="G836" s="320"/>
      <c r="H836" s="320"/>
      <c r="I836" s="14"/>
      <c r="J836" s="14"/>
      <c r="K836" s="14"/>
      <c r="L836" s="14"/>
      <c r="M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4"/>
      <c r="AD836" s="134"/>
      <c r="AE836" s="134"/>
      <c r="AF836" s="134"/>
      <c r="AG836" s="134"/>
      <c r="AH836" s="134"/>
    </row>
    <row r="837">
      <c r="A837" s="143"/>
      <c r="B837" s="144"/>
      <c r="C837" s="319"/>
      <c r="D837" s="319"/>
      <c r="E837" s="319"/>
      <c r="F837" s="319"/>
      <c r="G837" s="320"/>
      <c r="H837" s="320"/>
      <c r="I837" s="14"/>
      <c r="J837" s="14"/>
      <c r="K837" s="14"/>
      <c r="L837" s="14"/>
      <c r="M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4"/>
      <c r="AD837" s="134"/>
      <c r="AE837" s="134"/>
      <c r="AF837" s="134"/>
      <c r="AG837" s="134"/>
      <c r="AH837" s="134"/>
    </row>
    <row r="838">
      <c r="A838" s="143"/>
      <c r="B838" s="144"/>
      <c r="C838" s="319"/>
      <c r="D838" s="319"/>
      <c r="E838" s="319"/>
      <c r="F838" s="319"/>
      <c r="G838" s="320"/>
      <c r="H838" s="320"/>
      <c r="I838" s="14"/>
      <c r="J838" s="14"/>
      <c r="K838" s="14"/>
      <c r="L838" s="14"/>
      <c r="M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  <c r="AE838" s="134"/>
      <c r="AF838" s="134"/>
      <c r="AG838" s="134"/>
      <c r="AH838" s="134"/>
    </row>
    <row r="839">
      <c r="A839" s="143"/>
      <c r="B839" s="144"/>
      <c r="C839" s="319"/>
      <c r="D839" s="319"/>
      <c r="E839" s="319"/>
      <c r="F839" s="319"/>
      <c r="G839" s="320"/>
      <c r="H839" s="320"/>
      <c r="I839" s="14"/>
      <c r="J839" s="14"/>
      <c r="K839" s="14"/>
      <c r="L839" s="14"/>
      <c r="M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  <c r="AE839" s="134"/>
      <c r="AF839" s="134"/>
      <c r="AG839" s="134"/>
      <c r="AH839" s="134"/>
    </row>
    <row r="840">
      <c r="A840" s="143"/>
      <c r="B840" s="144"/>
      <c r="C840" s="319"/>
      <c r="D840" s="319"/>
      <c r="E840" s="319"/>
      <c r="F840" s="319"/>
      <c r="G840" s="320"/>
      <c r="H840" s="320"/>
      <c r="I840" s="14"/>
      <c r="J840" s="14"/>
      <c r="K840" s="14"/>
      <c r="L840" s="14"/>
      <c r="M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  <c r="AE840" s="134"/>
      <c r="AF840" s="134"/>
      <c r="AG840" s="134"/>
      <c r="AH840" s="134"/>
    </row>
    <row r="841">
      <c r="A841" s="143"/>
      <c r="B841" s="144"/>
      <c r="C841" s="319"/>
      <c r="D841" s="319"/>
      <c r="E841" s="319"/>
      <c r="F841" s="319"/>
      <c r="G841" s="320"/>
      <c r="H841" s="320"/>
      <c r="I841" s="14"/>
      <c r="J841" s="14"/>
      <c r="K841" s="14"/>
      <c r="L841" s="14"/>
      <c r="M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  <c r="AE841" s="134"/>
      <c r="AF841" s="134"/>
      <c r="AG841" s="134"/>
      <c r="AH841" s="134"/>
    </row>
    <row r="842">
      <c r="A842" s="143"/>
      <c r="B842" s="144"/>
      <c r="C842" s="319"/>
      <c r="D842" s="319"/>
      <c r="E842" s="319"/>
      <c r="F842" s="319"/>
      <c r="G842" s="320"/>
      <c r="H842" s="320"/>
      <c r="I842" s="14"/>
      <c r="J842" s="14"/>
      <c r="K842" s="14"/>
      <c r="L842" s="14"/>
      <c r="M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  <c r="AE842" s="134"/>
      <c r="AF842" s="134"/>
      <c r="AG842" s="134"/>
      <c r="AH842" s="134"/>
    </row>
    <row r="843">
      <c r="A843" s="143"/>
      <c r="B843" s="144"/>
      <c r="C843" s="319"/>
      <c r="D843" s="319"/>
      <c r="E843" s="319"/>
      <c r="F843" s="319"/>
      <c r="G843" s="320"/>
      <c r="H843" s="320"/>
      <c r="I843" s="14"/>
      <c r="J843" s="14"/>
      <c r="K843" s="14"/>
      <c r="L843" s="14"/>
      <c r="M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  <c r="AE843" s="134"/>
      <c r="AF843" s="134"/>
      <c r="AG843" s="134"/>
      <c r="AH843" s="134"/>
    </row>
    <row r="844">
      <c r="A844" s="143"/>
      <c r="B844" s="144"/>
      <c r="C844" s="319"/>
      <c r="D844" s="319"/>
      <c r="E844" s="319"/>
      <c r="F844" s="319"/>
      <c r="G844" s="320"/>
      <c r="H844" s="320"/>
      <c r="I844" s="14"/>
      <c r="J844" s="14"/>
      <c r="K844" s="14"/>
      <c r="L844" s="14"/>
      <c r="M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  <c r="AE844" s="134"/>
      <c r="AF844" s="134"/>
      <c r="AG844" s="134"/>
      <c r="AH844" s="134"/>
    </row>
    <row r="845">
      <c r="A845" s="143"/>
      <c r="B845" s="144"/>
      <c r="C845" s="319"/>
      <c r="D845" s="319"/>
      <c r="E845" s="319"/>
      <c r="F845" s="319"/>
      <c r="G845" s="320"/>
      <c r="H845" s="320"/>
      <c r="I845" s="14"/>
      <c r="J845" s="14"/>
      <c r="K845" s="14"/>
      <c r="L845" s="14"/>
      <c r="M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  <c r="AE845" s="134"/>
      <c r="AF845" s="134"/>
      <c r="AG845" s="134"/>
      <c r="AH845" s="134"/>
    </row>
    <row r="846">
      <c r="A846" s="143"/>
      <c r="B846" s="144"/>
      <c r="C846" s="319"/>
      <c r="D846" s="319"/>
      <c r="E846" s="319"/>
      <c r="F846" s="319"/>
      <c r="G846" s="320"/>
      <c r="H846" s="320"/>
      <c r="I846" s="14"/>
      <c r="J846" s="14"/>
      <c r="K846" s="14"/>
      <c r="L846" s="14"/>
      <c r="M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4"/>
      <c r="AD846" s="134"/>
      <c r="AE846" s="134"/>
      <c r="AF846" s="134"/>
      <c r="AG846" s="134"/>
      <c r="AH846" s="134"/>
    </row>
    <row r="847">
      <c r="A847" s="143"/>
      <c r="B847" s="144"/>
      <c r="C847" s="319"/>
      <c r="D847" s="319"/>
      <c r="E847" s="319"/>
      <c r="F847" s="319"/>
      <c r="G847" s="320"/>
      <c r="H847" s="320"/>
      <c r="I847" s="14"/>
      <c r="J847" s="14"/>
      <c r="K847" s="14"/>
      <c r="L847" s="14"/>
      <c r="M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4"/>
      <c r="AD847" s="134"/>
      <c r="AE847" s="134"/>
      <c r="AF847" s="134"/>
      <c r="AG847" s="134"/>
      <c r="AH847" s="134"/>
    </row>
    <row r="848">
      <c r="A848" s="143"/>
      <c r="B848" s="144"/>
      <c r="C848" s="319"/>
      <c r="D848" s="319"/>
      <c r="E848" s="319"/>
      <c r="F848" s="319"/>
      <c r="G848" s="320"/>
      <c r="H848" s="320"/>
      <c r="I848" s="14"/>
      <c r="J848" s="14"/>
      <c r="K848" s="14"/>
      <c r="L848" s="14"/>
      <c r="M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4"/>
      <c r="AD848" s="134"/>
      <c r="AE848" s="134"/>
      <c r="AF848" s="134"/>
      <c r="AG848" s="134"/>
      <c r="AH848" s="134"/>
    </row>
    <row r="849">
      <c r="A849" s="143"/>
      <c r="B849" s="144"/>
      <c r="C849" s="319"/>
      <c r="D849" s="319"/>
      <c r="E849" s="319"/>
      <c r="F849" s="319"/>
      <c r="G849" s="320"/>
      <c r="H849" s="320"/>
      <c r="I849" s="14"/>
      <c r="J849" s="14"/>
      <c r="K849" s="14"/>
      <c r="L849" s="14"/>
      <c r="M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4"/>
      <c r="AD849" s="134"/>
      <c r="AE849" s="134"/>
      <c r="AF849" s="134"/>
      <c r="AG849" s="134"/>
      <c r="AH849" s="134"/>
    </row>
    <row r="850">
      <c r="A850" s="143"/>
      <c r="B850" s="144"/>
      <c r="C850" s="319"/>
      <c r="D850" s="319"/>
      <c r="E850" s="319"/>
      <c r="F850" s="319"/>
      <c r="G850" s="320"/>
      <c r="H850" s="320"/>
      <c r="I850" s="14"/>
      <c r="J850" s="14"/>
      <c r="K850" s="14"/>
      <c r="L850" s="14"/>
      <c r="M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4"/>
      <c r="AD850" s="134"/>
      <c r="AE850" s="134"/>
      <c r="AF850" s="134"/>
      <c r="AG850" s="134"/>
      <c r="AH850" s="134"/>
    </row>
    <row r="851">
      <c r="A851" s="143"/>
      <c r="B851" s="144"/>
      <c r="C851" s="319"/>
      <c r="D851" s="319"/>
      <c r="E851" s="319"/>
      <c r="F851" s="319"/>
      <c r="G851" s="320"/>
      <c r="H851" s="320"/>
      <c r="I851" s="14"/>
      <c r="J851" s="14"/>
      <c r="K851" s="14"/>
      <c r="L851" s="14"/>
      <c r="M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4"/>
      <c r="AD851" s="134"/>
      <c r="AE851" s="134"/>
      <c r="AF851" s="134"/>
      <c r="AG851" s="134"/>
      <c r="AH851" s="134"/>
    </row>
    <row r="852">
      <c r="A852" s="143"/>
      <c r="B852" s="144"/>
      <c r="C852" s="319"/>
      <c r="D852" s="319"/>
      <c r="E852" s="319"/>
      <c r="F852" s="319"/>
      <c r="G852" s="320"/>
      <c r="H852" s="320"/>
      <c r="I852" s="14"/>
      <c r="J852" s="14"/>
      <c r="K852" s="14"/>
      <c r="L852" s="14"/>
      <c r="M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4"/>
      <c r="AD852" s="134"/>
      <c r="AE852" s="134"/>
      <c r="AF852" s="134"/>
      <c r="AG852" s="134"/>
      <c r="AH852" s="134"/>
    </row>
    <row r="853">
      <c r="A853" s="143"/>
      <c r="B853" s="144"/>
      <c r="C853" s="319"/>
      <c r="D853" s="319"/>
      <c r="E853" s="319"/>
      <c r="F853" s="319"/>
      <c r="G853" s="320"/>
      <c r="H853" s="320"/>
      <c r="I853" s="14"/>
      <c r="J853" s="14"/>
      <c r="K853" s="14"/>
      <c r="L853" s="14"/>
      <c r="M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4"/>
      <c r="AD853" s="134"/>
      <c r="AE853" s="134"/>
      <c r="AF853" s="134"/>
      <c r="AG853" s="134"/>
      <c r="AH853" s="134"/>
    </row>
    <row r="854">
      <c r="A854" s="143"/>
      <c r="B854" s="144"/>
      <c r="C854" s="319"/>
      <c r="D854" s="319"/>
      <c r="E854" s="319"/>
      <c r="F854" s="319"/>
      <c r="G854" s="320"/>
      <c r="H854" s="320"/>
      <c r="I854" s="14"/>
      <c r="J854" s="14"/>
      <c r="K854" s="14"/>
      <c r="L854" s="14"/>
      <c r="M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4"/>
      <c r="AD854" s="134"/>
      <c r="AE854" s="134"/>
      <c r="AF854" s="134"/>
      <c r="AG854" s="134"/>
      <c r="AH854" s="134"/>
    </row>
    <row r="855">
      <c r="A855" s="143"/>
      <c r="B855" s="144"/>
      <c r="C855" s="319"/>
      <c r="D855" s="319"/>
      <c r="E855" s="319"/>
      <c r="F855" s="319"/>
      <c r="G855" s="320"/>
      <c r="H855" s="320"/>
      <c r="I855" s="14"/>
      <c r="J855" s="14"/>
      <c r="K855" s="14"/>
      <c r="L855" s="14"/>
      <c r="M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4"/>
      <c r="AD855" s="134"/>
      <c r="AE855" s="134"/>
      <c r="AF855" s="134"/>
      <c r="AG855" s="134"/>
      <c r="AH855" s="134"/>
    </row>
    <row r="856">
      <c r="A856" s="143"/>
      <c r="B856" s="144"/>
      <c r="C856" s="319"/>
      <c r="D856" s="319"/>
      <c r="E856" s="319"/>
      <c r="F856" s="319"/>
      <c r="G856" s="320"/>
      <c r="H856" s="320"/>
      <c r="I856" s="14"/>
      <c r="J856" s="14"/>
      <c r="K856" s="14"/>
      <c r="L856" s="14"/>
      <c r="M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4"/>
      <c r="AD856" s="134"/>
      <c r="AE856" s="134"/>
      <c r="AF856" s="134"/>
      <c r="AG856" s="134"/>
      <c r="AH856" s="134"/>
    </row>
    <row r="857">
      <c r="A857" s="143"/>
      <c r="B857" s="144"/>
      <c r="C857" s="319"/>
      <c r="D857" s="319"/>
      <c r="E857" s="319"/>
      <c r="F857" s="319"/>
      <c r="G857" s="320"/>
      <c r="H857" s="320"/>
      <c r="I857" s="14"/>
      <c r="J857" s="14"/>
      <c r="K857" s="14"/>
      <c r="L857" s="14"/>
      <c r="M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4"/>
      <c r="AD857" s="134"/>
      <c r="AE857" s="134"/>
      <c r="AF857" s="134"/>
      <c r="AG857" s="134"/>
      <c r="AH857" s="134"/>
    </row>
    <row r="858">
      <c r="A858" s="143"/>
      <c r="B858" s="144"/>
      <c r="C858" s="319"/>
      <c r="D858" s="319"/>
      <c r="E858" s="319"/>
      <c r="F858" s="319"/>
      <c r="G858" s="320"/>
      <c r="H858" s="320"/>
      <c r="I858" s="14"/>
      <c r="J858" s="14"/>
      <c r="K858" s="14"/>
      <c r="L858" s="14"/>
      <c r="M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4"/>
      <c r="AD858" s="134"/>
      <c r="AE858" s="134"/>
      <c r="AF858" s="134"/>
      <c r="AG858" s="134"/>
      <c r="AH858" s="134"/>
    </row>
    <row r="859">
      <c r="A859" s="143"/>
      <c r="B859" s="144"/>
      <c r="C859" s="319"/>
      <c r="D859" s="319"/>
      <c r="E859" s="319"/>
      <c r="F859" s="319"/>
      <c r="G859" s="320"/>
      <c r="H859" s="320"/>
      <c r="I859" s="14"/>
      <c r="J859" s="14"/>
      <c r="K859" s="14"/>
      <c r="L859" s="14"/>
      <c r="M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4"/>
      <c r="AD859" s="134"/>
      <c r="AE859" s="134"/>
      <c r="AF859" s="134"/>
      <c r="AG859" s="134"/>
      <c r="AH859" s="134"/>
    </row>
    <row r="860">
      <c r="A860" s="143"/>
      <c r="B860" s="144"/>
      <c r="C860" s="319"/>
      <c r="D860" s="319"/>
      <c r="E860" s="319"/>
      <c r="F860" s="319"/>
      <c r="G860" s="320"/>
      <c r="H860" s="320"/>
      <c r="I860" s="14"/>
      <c r="J860" s="14"/>
      <c r="K860" s="14"/>
      <c r="L860" s="14"/>
      <c r="M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4"/>
      <c r="AD860" s="134"/>
      <c r="AE860" s="134"/>
      <c r="AF860" s="134"/>
      <c r="AG860" s="134"/>
      <c r="AH860" s="134"/>
    </row>
    <row r="861">
      <c r="A861" s="143"/>
      <c r="B861" s="144"/>
      <c r="C861" s="319"/>
      <c r="D861" s="319"/>
      <c r="E861" s="319"/>
      <c r="F861" s="319"/>
      <c r="G861" s="320"/>
      <c r="H861" s="320"/>
      <c r="I861" s="14"/>
      <c r="J861" s="14"/>
      <c r="K861" s="14"/>
      <c r="L861" s="14"/>
      <c r="M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4"/>
      <c r="AD861" s="134"/>
      <c r="AE861" s="134"/>
      <c r="AF861" s="134"/>
      <c r="AG861" s="134"/>
      <c r="AH861" s="134"/>
    </row>
    <row r="862">
      <c r="A862" s="143"/>
      <c r="B862" s="144"/>
      <c r="C862" s="319"/>
      <c r="D862" s="319"/>
      <c r="E862" s="319"/>
      <c r="F862" s="319"/>
      <c r="G862" s="320"/>
      <c r="H862" s="320"/>
      <c r="I862" s="14"/>
      <c r="J862" s="14"/>
      <c r="K862" s="14"/>
      <c r="L862" s="14"/>
      <c r="M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4"/>
      <c r="AD862" s="134"/>
      <c r="AE862" s="134"/>
      <c r="AF862" s="134"/>
      <c r="AG862" s="134"/>
      <c r="AH862" s="134"/>
    </row>
    <row r="863">
      <c r="A863" s="143"/>
      <c r="B863" s="144"/>
      <c r="C863" s="319"/>
      <c r="D863" s="319"/>
      <c r="E863" s="319"/>
      <c r="F863" s="319"/>
      <c r="G863" s="320"/>
      <c r="H863" s="320"/>
      <c r="I863" s="14"/>
      <c r="J863" s="14"/>
      <c r="K863" s="14"/>
      <c r="L863" s="14"/>
      <c r="M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4"/>
      <c r="AD863" s="134"/>
      <c r="AE863" s="134"/>
      <c r="AF863" s="134"/>
      <c r="AG863" s="134"/>
      <c r="AH863" s="134"/>
    </row>
    <row r="864">
      <c r="A864" s="143"/>
      <c r="B864" s="144"/>
      <c r="C864" s="319"/>
      <c r="D864" s="319"/>
      <c r="E864" s="319"/>
      <c r="F864" s="319"/>
      <c r="G864" s="320"/>
      <c r="H864" s="320"/>
      <c r="I864" s="14"/>
      <c r="J864" s="14"/>
      <c r="K864" s="14"/>
      <c r="L864" s="14"/>
      <c r="M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4"/>
      <c r="AD864" s="134"/>
      <c r="AE864" s="134"/>
      <c r="AF864" s="134"/>
      <c r="AG864" s="134"/>
      <c r="AH864" s="134"/>
    </row>
    <row r="865">
      <c r="A865" s="143"/>
      <c r="B865" s="144"/>
      <c r="C865" s="319"/>
      <c r="D865" s="319"/>
      <c r="E865" s="319"/>
      <c r="F865" s="319"/>
      <c r="G865" s="320"/>
      <c r="H865" s="320"/>
      <c r="I865" s="14"/>
      <c r="J865" s="14"/>
      <c r="K865" s="14"/>
      <c r="L865" s="14"/>
      <c r="M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4"/>
      <c r="AD865" s="134"/>
      <c r="AE865" s="134"/>
      <c r="AF865" s="134"/>
      <c r="AG865" s="134"/>
      <c r="AH865" s="134"/>
    </row>
    <row r="866">
      <c r="A866" s="143"/>
      <c r="B866" s="144"/>
      <c r="C866" s="319"/>
      <c r="D866" s="319"/>
      <c r="E866" s="319"/>
      <c r="F866" s="319"/>
      <c r="G866" s="320"/>
      <c r="H866" s="320"/>
      <c r="I866" s="14"/>
      <c r="J866" s="14"/>
      <c r="K866" s="14"/>
      <c r="L866" s="14"/>
      <c r="M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4"/>
      <c r="AD866" s="134"/>
      <c r="AE866" s="134"/>
      <c r="AF866" s="134"/>
      <c r="AG866" s="134"/>
      <c r="AH866" s="134"/>
    </row>
    <row r="867">
      <c r="A867" s="143"/>
      <c r="B867" s="144"/>
      <c r="C867" s="319"/>
      <c r="D867" s="319"/>
      <c r="E867" s="319"/>
      <c r="F867" s="319"/>
      <c r="G867" s="320"/>
      <c r="H867" s="320"/>
      <c r="I867" s="14"/>
      <c r="J867" s="14"/>
      <c r="K867" s="14"/>
      <c r="L867" s="14"/>
      <c r="M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4"/>
      <c r="AD867" s="134"/>
      <c r="AE867" s="134"/>
      <c r="AF867" s="134"/>
      <c r="AG867" s="134"/>
      <c r="AH867" s="134"/>
    </row>
    <row r="868">
      <c r="A868" s="143"/>
      <c r="B868" s="144"/>
      <c r="C868" s="319"/>
      <c r="D868" s="319"/>
      <c r="E868" s="319"/>
      <c r="F868" s="319"/>
      <c r="G868" s="320"/>
      <c r="H868" s="320"/>
      <c r="I868" s="14"/>
      <c r="J868" s="14"/>
      <c r="K868" s="14"/>
      <c r="L868" s="14"/>
      <c r="M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4"/>
      <c r="AD868" s="134"/>
      <c r="AE868" s="134"/>
      <c r="AF868" s="134"/>
      <c r="AG868" s="134"/>
      <c r="AH868" s="134"/>
    </row>
    <row r="869">
      <c r="A869" s="143"/>
      <c r="B869" s="144"/>
      <c r="C869" s="319"/>
      <c r="D869" s="319"/>
      <c r="E869" s="319"/>
      <c r="F869" s="319"/>
      <c r="G869" s="320"/>
      <c r="H869" s="320"/>
      <c r="I869" s="14"/>
      <c r="J869" s="14"/>
      <c r="K869" s="14"/>
      <c r="L869" s="14"/>
      <c r="M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4"/>
      <c r="AD869" s="134"/>
      <c r="AE869" s="134"/>
      <c r="AF869" s="134"/>
      <c r="AG869" s="134"/>
      <c r="AH869" s="134"/>
    </row>
    <row r="870">
      <c r="A870" s="143"/>
      <c r="B870" s="144"/>
      <c r="C870" s="319"/>
      <c r="D870" s="319"/>
      <c r="E870" s="319"/>
      <c r="F870" s="319"/>
      <c r="G870" s="320"/>
      <c r="H870" s="320"/>
      <c r="I870" s="14"/>
      <c r="J870" s="14"/>
      <c r="K870" s="14"/>
      <c r="L870" s="14"/>
      <c r="M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4"/>
      <c r="AD870" s="134"/>
      <c r="AE870" s="134"/>
      <c r="AF870" s="134"/>
      <c r="AG870" s="134"/>
      <c r="AH870" s="134"/>
    </row>
    <row r="871">
      <c r="A871" s="143"/>
      <c r="B871" s="144"/>
      <c r="C871" s="319"/>
      <c r="D871" s="319"/>
      <c r="E871" s="319"/>
      <c r="F871" s="319"/>
      <c r="G871" s="320"/>
      <c r="H871" s="320"/>
      <c r="I871" s="14"/>
      <c r="J871" s="14"/>
      <c r="K871" s="14"/>
      <c r="L871" s="14"/>
      <c r="M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4"/>
      <c r="AD871" s="134"/>
      <c r="AE871" s="134"/>
      <c r="AF871" s="134"/>
      <c r="AG871" s="134"/>
      <c r="AH871" s="134"/>
    </row>
    <row r="872">
      <c r="A872" s="143"/>
      <c r="B872" s="144"/>
      <c r="C872" s="319"/>
      <c r="D872" s="319"/>
      <c r="E872" s="319"/>
      <c r="F872" s="319"/>
      <c r="G872" s="320"/>
      <c r="H872" s="320"/>
      <c r="I872" s="14"/>
      <c r="J872" s="14"/>
      <c r="K872" s="14"/>
      <c r="L872" s="14"/>
      <c r="M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4"/>
      <c r="AD872" s="134"/>
      <c r="AE872" s="134"/>
      <c r="AF872" s="134"/>
      <c r="AG872" s="134"/>
      <c r="AH872" s="134"/>
    </row>
    <row r="873">
      <c r="A873" s="143"/>
      <c r="B873" s="144"/>
      <c r="C873" s="319"/>
      <c r="D873" s="319"/>
      <c r="E873" s="319"/>
      <c r="F873" s="319"/>
      <c r="G873" s="320"/>
      <c r="H873" s="320"/>
      <c r="I873" s="14"/>
      <c r="J873" s="14"/>
      <c r="K873" s="14"/>
      <c r="L873" s="14"/>
      <c r="M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4"/>
      <c r="AD873" s="134"/>
      <c r="AE873" s="134"/>
      <c r="AF873" s="134"/>
      <c r="AG873" s="134"/>
      <c r="AH873" s="134"/>
    </row>
    <row r="874">
      <c r="A874" s="143"/>
      <c r="B874" s="144"/>
      <c r="C874" s="319"/>
      <c r="D874" s="319"/>
      <c r="E874" s="319"/>
      <c r="F874" s="319"/>
      <c r="G874" s="320"/>
      <c r="H874" s="320"/>
      <c r="I874" s="14"/>
      <c r="J874" s="14"/>
      <c r="K874" s="14"/>
      <c r="L874" s="14"/>
      <c r="M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4"/>
      <c r="AD874" s="134"/>
      <c r="AE874" s="134"/>
      <c r="AF874" s="134"/>
      <c r="AG874" s="134"/>
      <c r="AH874" s="134"/>
    </row>
    <row r="875">
      <c r="A875" s="143"/>
      <c r="B875" s="144"/>
      <c r="C875" s="319"/>
      <c r="D875" s="319"/>
      <c r="E875" s="319"/>
      <c r="F875" s="319"/>
      <c r="G875" s="320"/>
      <c r="H875" s="320"/>
      <c r="I875" s="14"/>
      <c r="J875" s="14"/>
      <c r="K875" s="14"/>
      <c r="L875" s="14"/>
      <c r="M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4"/>
      <c r="AD875" s="134"/>
      <c r="AE875" s="134"/>
      <c r="AF875" s="134"/>
      <c r="AG875" s="134"/>
      <c r="AH875" s="134"/>
    </row>
    <row r="876">
      <c r="A876" s="143"/>
      <c r="B876" s="144"/>
      <c r="C876" s="319"/>
      <c r="D876" s="319"/>
      <c r="E876" s="319"/>
      <c r="F876" s="319"/>
      <c r="G876" s="320"/>
      <c r="H876" s="320"/>
      <c r="I876" s="14"/>
      <c r="J876" s="14"/>
      <c r="K876" s="14"/>
      <c r="L876" s="14"/>
      <c r="M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4"/>
      <c r="AD876" s="134"/>
      <c r="AE876" s="134"/>
      <c r="AF876" s="134"/>
      <c r="AG876" s="134"/>
      <c r="AH876" s="134"/>
    </row>
    <row r="877">
      <c r="A877" s="143"/>
      <c r="B877" s="144"/>
      <c r="C877" s="319"/>
      <c r="D877" s="319"/>
      <c r="E877" s="319"/>
      <c r="F877" s="319"/>
      <c r="G877" s="320"/>
      <c r="H877" s="320"/>
      <c r="I877" s="14"/>
      <c r="J877" s="14"/>
      <c r="K877" s="14"/>
      <c r="L877" s="14"/>
      <c r="M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4"/>
      <c r="AD877" s="134"/>
      <c r="AE877" s="134"/>
      <c r="AF877" s="134"/>
      <c r="AG877" s="134"/>
      <c r="AH877" s="134"/>
    </row>
    <row r="878">
      <c r="A878" s="143"/>
      <c r="B878" s="144"/>
      <c r="C878" s="319"/>
      <c r="D878" s="319"/>
      <c r="E878" s="319"/>
      <c r="F878" s="319"/>
      <c r="G878" s="320"/>
      <c r="H878" s="320"/>
      <c r="I878" s="14"/>
      <c r="J878" s="14"/>
      <c r="K878" s="14"/>
      <c r="L878" s="14"/>
      <c r="M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4"/>
      <c r="AD878" s="134"/>
      <c r="AE878" s="134"/>
      <c r="AF878" s="134"/>
      <c r="AG878" s="134"/>
      <c r="AH878" s="134"/>
    </row>
    <row r="879">
      <c r="A879" s="143"/>
      <c r="B879" s="144"/>
      <c r="C879" s="319"/>
      <c r="D879" s="319"/>
      <c r="E879" s="319"/>
      <c r="F879" s="319"/>
      <c r="G879" s="320"/>
      <c r="H879" s="320"/>
      <c r="I879" s="14"/>
      <c r="J879" s="14"/>
      <c r="K879" s="14"/>
      <c r="L879" s="14"/>
      <c r="M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4"/>
      <c r="AD879" s="134"/>
      <c r="AE879" s="134"/>
      <c r="AF879" s="134"/>
      <c r="AG879" s="134"/>
      <c r="AH879" s="134"/>
    </row>
    <row r="880">
      <c r="A880" s="143"/>
      <c r="B880" s="144"/>
      <c r="C880" s="319"/>
      <c r="D880" s="319"/>
      <c r="E880" s="319"/>
      <c r="F880" s="319"/>
      <c r="G880" s="320"/>
      <c r="H880" s="320"/>
      <c r="I880" s="14"/>
      <c r="J880" s="14"/>
      <c r="K880" s="14"/>
      <c r="L880" s="14"/>
      <c r="M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4"/>
      <c r="AD880" s="134"/>
      <c r="AE880" s="134"/>
      <c r="AF880" s="134"/>
      <c r="AG880" s="134"/>
      <c r="AH880" s="134"/>
    </row>
    <row r="881">
      <c r="A881" s="143"/>
      <c r="B881" s="144"/>
      <c r="C881" s="319"/>
      <c r="D881" s="319"/>
      <c r="E881" s="319"/>
      <c r="F881" s="319"/>
      <c r="G881" s="320"/>
      <c r="H881" s="320"/>
      <c r="I881" s="14"/>
      <c r="J881" s="14"/>
      <c r="K881" s="14"/>
      <c r="L881" s="14"/>
      <c r="M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4"/>
      <c r="AD881" s="134"/>
      <c r="AE881" s="134"/>
      <c r="AF881" s="134"/>
      <c r="AG881" s="134"/>
      <c r="AH881" s="134"/>
    </row>
    <row r="882">
      <c r="A882" s="143"/>
      <c r="B882" s="144"/>
      <c r="C882" s="319"/>
      <c r="D882" s="319"/>
      <c r="E882" s="319"/>
      <c r="F882" s="319"/>
      <c r="G882" s="320"/>
      <c r="H882" s="320"/>
      <c r="I882" s="14"/>
      <c r="J882" s="14"/>
      <c r="K882" s="14"/>
      <c r="L882" s="14"/>
      <c r="M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4"/>
      <c r="AD882" s="134"/>
      <c r="AE882" s="134"/>
      <c r="AF882" s="134"/>
      <c r="AG882" s="134"/>
      <c r="AH882" s="134"/>
    </row>
    <row r="883">
      <c r="A883" s="143"/>
      <c r="B883" s="144"/>
      <c r="C883" s="319"/>
      <c r="D883" s="319"/>
      <c r="E883" s="319"/>
      <c r="F883" s="319"/>
      <c r="G883" s="320"/>
      <c r="H883" s="320"/>
      <c r="I883" s="14"/>
      <c r="J883" s="14"/>
      <c r="K883" s="14"/>
      <c r="L883" s="14"/>
      <c r="M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4"/>
      <c r="AD883" s="134"/>
      <c r="AE883" s="134"/>
      <c r="AF883" s="134"/>
      <c r="AG883" s="134"/>
      <c r="AH883" s="134"/>
    </row>
    <row r="884">
      <c r="A884" s="143"/>
      <c r="B884" s="144"/>
      <c r="C884" s="319"/>
      <c r="D884" s="319"/>
      <c r="E884" s="319"/>
      <c r="F884" s="319"/>
      <c r="G884" s="320"/>
      <c r="H884" s="320"/>
      <c r="I884" s="14"/>
      <c r="J884" s="14"/>
      <c r="K884" s="14"/>
      <c r="L884" s="14"/>
      <c r="M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  <c r="AE884" s="134"/>
      <c r="AF884" s="134"/>
      <c r="AG884" s="134"/>
      <c r="AH884" s="134"/>
    </row>
    <row r="885">
      <c r="A885" s="143"/>
      <c r="B885" s="144"/>
      <c r="C885" s="319"/>
      <c r="D885" s="319"/>
      <c r="E885" s="319"/>
      <c r="F885" s="319"/>
      <c r="G885" s="320"/>
      <c r="H885" s="320"/>
      <c r="I885" s="14"/>
      <c r="J885" s="14"/>
      <c r="K885" s="14"/>
      <c r="L885" s="14"/>
      <c r="M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4"/>
      <c r="AD885" s="134"/>
      <c r="AE885" s="134"/>
      <c r="AF885" s="134"/>
      <c r="AG885" s="134"/>
      <c r="AH885" s="134"/>
    </row>
    <row r="886">
      <c r="A886" s="143"/>
      <c r="B886" s="144"/>
      <c r="C886" s="319"/>
      <c r="D886" s="319"/>
      <c r="E886" s="319"/>
      <c r="F886" s="319"/>
      <c r="G886" s="320"/>
      <c r="H886" s="320"/>
      <c r="I886" s="14"/>
      <c r="J886" s="14"/>
      <c r="K886" s="14"/>
      <c r="L886" s="14"/>
      <c r="M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4"/>
      <c r="AD886" s="134"/>
      <c r="AE886" s="134"/>
      <c r="AF886" s="134"/>
      <c r="AG886" s="134"/>
      <c r="AH886" s="134"/>
    </row>
    <row r="887">
      <c r="A887" s="143"/>
      <c r="B887" s="144"/>
      <c r="C887" s="319"/>
      <c r="D887" s="319"/>
      <c r="E887" s="319"/>
      <c r="F887" s="319"/>
      <c r="G887" s="320"/>
      <c r="H887" s="320"/>
      <c r="I887" s="14"/>
      <c r="J887" s="14"/>
      <c r="K887" s="14"/>
      <c r="L887" s="14"/>
      <c r="M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4"/>
      <c r="AD887" s="134"/>
      <c r="AE887" s="134"/>
      <c r="AF887" s="134"/>
      <c r="AG887" s="134"/>
      <c r="AH887" s="134"/>
    </row>
    <row r="888">
      <c r="A888" s="143"/>
      <c r="B888" s="144"/>
      <c r="C888" s="319"/>
      <c r="D888" s="319"/>
      <c r="E888" s="319"/>
      <c r="F888" s="319"/>
      <c r="G888" s="320"/>
      <c r="H888" s="320"/>
      <c r="I888" s="14"/>
      <c r="J888" s="14"/>
      <c r="K888" s="14"/>
      <c r="L888" s="14"/>
      <c r="M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4"/>
      <c r="AD888" s="134"/>
      <c r="AE888" s="134"/>
      <c r="AF888" s="134"/>
      <c r="AG888" s="134"/>
      <c r="AH888" s="134"/>
    </row>
    <row r="889">
      <c r="A889" s="143"/>
      <c r="B889" s="144"/>
      <c r="C889" s="319"/>
      <c r="D889" s="319"/>
      <c r="E889" s="319"/>
      <c r="F889" s="319"/>
      <c r="G889" s="320"/>
      <c r="H889" s="320"/>
      <c r="I889" s="14"/>
      <c r="J889" s="14"/>
      <c r="K889" s="14"/>
      <c r="L889" s="14"/>
      <c r="M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4"/>
      <c r="AD889" s="134"/>
      <c r="AE889" s="134"/>
      <c r="AF889" s="134"/>
      <c r="AG889" s="134"/>
      <c r="AH889" s="134"/>
    </row>
    <row r="890">
      <c r="A890" s="143"/>
      <c r="B890" s="144"/>
      <c r="C890" s="319"/>
      <c r="D890" s="319"/>
      <c r="E890" s="319"/>
      <c r="F890" s="319"/>
      <c r="G890" s="320"/>
      <c r="H890" s="320"/>
      <c r="I890" s="14"/>
      <c r="J890" s="14"/>
      <c r="K890" s="14"/>
      <c r="L890" s="14"/>
      <c r="M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4"/>
      <c r="AD890" s="134"/>
      <c r="AE890" s="134"/>
      <c r="AF890" s="134"/>
      <c r="AG890" s="134"/>
      <c r="AH890" s="134"/>
    </row>
    <row r="891">
      <c r="A891" s="143"/>
      <c r="B891" s="144"/>
      <c r="C891" s="319"/>
      <c r="D891" s="319"/>
      <c r="E891" s="319"/>
      <c r="F891" s="319"/>
      <c r="G891" s="320"/>
      <c r="H891" s="320"/>
      <c r="I891" s="14"/>
      <c r="J891" s="14"/>
      <c r="K891" s="14"/>
      <c r="L891" s="14"/>
      <c r="M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4"/>
      <c r="AD891" s="134"/>
      <c r="AE891" s="134"/>
      <c r="AF891" s="134"/>
      <c r="AG891" s="134"/>
      <c r="AH891" s="134"/>
    </row>
    <row r="892">
      <c r="A892" s="143"/>
      <c r="B892" s="144"/>
      <c r="C892" s="319"/>
      <c r="D892" s="319"/>
      <c r="E892" s="319"/>
      <c r="F892" s="319"/>
      <c r="G892" s="320"/>
      <c r="H892" s="320"/>
      <c r="I892" s="14"/>
      <c r="J892" s="14"/>
      <c r="K892" s="14"/>
      <c r="L892" s="14"/>
      <c r="M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4"/>
      <c r="AD892" s="134"/>
      <c r="AE892" s="134"/>
      <c r="AF892" s="134"/>
      <c r="AG892" s="134"/>
      <c r="AH892" s="134"/>
    </row>
    <row r="893">
      <c r="A893" s="143"/>
      <c r="B893" s="144"/>
      <c r="C893" s="319"/>
      <c r="D893" s="319"/>
      <c r="E893" s="319"/>
      <c r="F893" s="319"/>
      <c r="G893" s="320"/>
      <c r="H893" s="320"/>
      <c r="I893" s="14"/>
      <c r="J893" s="14"/>
      <c r="K893" s="14"/>
      <c r="L893" s="14"/>
      <c r="M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4"/>
      <c r="AD893" s="134"/>
      <c r="AE893" s="134"/>
      <c r="AF893" s="134"/>
      <c r="AG893" s="134"/>
      <c r="AH893" s="134"/>
    </row>
    <row r="894">
      <c r="A894" s="143"/>
      <c r="B894" s="144"/>
      <c r="C894" s="319"/>
      <c r="D894" s="319"/>
      <c r="E894" s="319"/>
      <c r="F894" s="319"/>
      <c r="G894" s="320"/>
      <c r="H894" s="320"/>
      <c r="I894" s="14"/>
      <c r="J894" s="14"/>
      <c r="K894" s="14"/>
      <c r="L894" s="14"/>
      <c r="M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4"/>
      <c r="AD894" s="134"/>
      <c r="AE894" s="134"/>
      <c r="AF894" s="134"/>
      <c r="AG894" s="134"/>
      <c r="AH894" s="134"/>
    </row>
    <row r="895">
      <c r="A895" s="143"/>
      <c r="B895" s="144"/>
      <c r="C895" s="319"/>
      <c r="D895" s="319"/>
      <c r="E895" s="319"/>
      <c r="F895" s="319"/>
      <c r="G895" s="320"/>
      <c r="H895" s="320"/>
      <c r="I895" s="14"/>
      <c r="J895" s="14"/>
      <c r="K895" s="14"/>
      <c r="L895" s="14"/>
      <c r="M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4"/>
      <c r="AD895" s="134"/>
      <c r="AE895" s="134"/>
      <c r="AF895" s="134"/>
      <c r="AG895" s="134"/>
      <c r="AH895" s="134"/>
    </row>
    <row r="896">
      <c r="A896" s="143"/>
      <c r="B896" s="144"/>
      <c r="C896" s="319"/>
      <c r="D896" s="319"/>
      <c r="E896" s="319"/>
      <c r="F896" s="319"/>
      <c r="G896" s="320"/>
      <c r="H896" s="320"/>
      <c r="I896" s="14"/>
      <c r="J896" s="14"/>
      <c r="K896" s="14"/>
      <c r="L896" s="14"/>
      <c r="M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4"/>
      <c r="AD896" s="134"/>
      <c r="AE896" s="134"/>
      <c r="AF896" s="134"/>
      <c r="AG896" s="134"/>
      <c r="AH896" s="134"/>
    </row>
    <row r="897">
      <c r="A897" s="143"/>
      <c r="B897" s="144"/>
      <c r="C897" s="319"/>
      <c r="D897" s="319"/>
      <c r="E897" s="319"/>
      <c r="F897" s="319"/>
      <c r="G897" s="320"/>
      <c r="H897" s="320"/>
      <c r="I897" s="14"/>
      <c r="J897" s="14"/>
      <c r="K897" s="14"/>
      <c r="L897" s="14"/>
      <c r="M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4"/>
      <c r="AD897" s="134"/>
      <c r="AE897" s="134"/>
      <c r="AF897" s="134"/>
      <c r="AG897" s="134"/>
      <c r="AH897" s="134"/>
    </row>
    <row r="898">
      <c r="A898" s="143"/>
      <c r="B898" s="144"/>
      <c r="C898" s="319"/>
      <c r="D898" s="319"/>
      <c r="E898" s="319"/>
      <c r="F898" s="319"/>
      <c r="G898" s="320"/>
      <c r="H898" s="320"/>
      <c r="I898" s="14"/>
      <c r="J898" s="14"/>
      <c r="K898" s="14"/>
      <c r="L898" s="14"/>
      <c r="M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4"/>
      <c r="AD898" s="134"/>
      <c r="AE898" s="134"/>
      <c r="AF898" s="134"/>
      <c r="AG898" s="134"/>
      <c r="AH898" s="134"/>
    </row>
    <row r="899">
      <c r="A899" s="143"/>
      <c r="B899" s="144"/>
      <c r="C899" s="319"/>
      <c r="D899" s="319"/>
      <c r="E899" s="319"/>
      <c r="F899" s="319"/>
      <c r="G899" s="320"/>
      <c r="H899" s="320"/>
      <c r="I899" s="14"/>
      <c r="J899" s="14"/>
      <c r="K899" s="14"/>
      <c r="L899" s="14"/>
      <c r="M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4"/>
      <c r="AD899" s="134"/>
      <c r="AE899" s="134"/>
      <c r="AF899" s="134"/>
      <c r="AG899" s="134"/>
      <c r="AH899" s="134"/>
    </row>
    <row r="900">
      <c r="A900" s="143"/>
      <c r="B900" s="144"/>
      <c r="C900" s="319"/>
      <c r="D900" s="319"/>
      <c r="E900" s="319"/>
      <c r="F900" s="319"/>
      <c r="G900" s="320"/>
      <c r="H900" s="320"/>
      <c r="I900" s="14"/>
      <c r="J900" s="14"/>
      <c r="K900" s="14"/>
      <c r="L900" s="14"/>
      <c r="M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4"/>
      <c r="AD900" s="134"/>
      <c r="AE900" s="134"/>
      <c r="AF900" s="134"/>
      <c r="AG900" s="134"/>
      <c r="AH900" s="134"/>
    </row>
    <row r="901">
      <c r="A901" s="143"/>
      <c r="B901" s="144"/>
      <c r="C901" s="319"/>
      <c r="D901" s="319"/>
      <c r="E901" s="319"/>
      <c r="F901" s="319"/>
      <c r="G901" s="320"/>
      <c r="H901" s="320"/>
      <c r="I901" s="14"/>
      <c r="J901" s="14"/>
      <c r="K901" s="14"/>
      <c r="L901" s="14"/>
      <c r="M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4"/>
      <c r="AD901" s="134"/>
      <c r="AE901" s="134"/>
      <c r="AF901" s="134"/>
      <c r="AG901" s="134"/>
      <c r="AH901" s="134"/>
    </row>
    <row r="902">
      <c r="A902" s="143"/>
      <c r="B902" s="144"/>
      <c r="C902" s="319"/>
      <c r="D902" s="319"/>
      <c r="E902" s="319"/>
      <c r="F902" s="319"/>
      <c r="G902" s="320"/>
      <c r="H902" s="320"/>
      <c r="I902" s="14"/>
      <c r="J902" s="14"/>
      <c r="K902" s="14"/>
      <c r="L902" s="14"/>
      <c r="M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4"/>
      <c r="AD902" s="134"/>
      <c r="AE902" s="134"/>
      <c r="AF902" s="134"/>
      <c r="AG902" s="134"/>
      <c r="AH902" s="134"/>
    </row>
    <row r="903">
      <c r="A903" s="143"/>
      <c r="B903" s="144"/>
      <c r="C903" s="319"/>
      <c r="D903" s="319"/>
      <c r="E903" s="319"/>
      <c r="F903" s="319"/>
      <c r="G903" s="320"/>
      <c r="H903" s="320"/>
      <c r="I903" s="14"/>
      <c r="J903" s="14"/>
      <c r="K903" s="14"/>
      <c r="L903" s="14"/>
      <c r="M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4"/>
      <c r="AD903" s="134"/>
      <c r="AE903" s="134"/>
      <c r="AF903" s="134"/>
      <c r="AG903" s="134"/>
      <c r="AH903" s="134"/>
    </row>
    <row r="904">
      <c r="A904" s="143"/>
      <c r="B904" s="144"/>
      <c r="C904" s="319"/>
      <c r="D904" s="319"/>
      <c r="E904" s="319"/>
      <c r="F904" s="319"/>
      <c r="G904" s="320"/>
      <c r="H904" s="320"/>
      <c r="I904" s="14"/>
      <c r="J904" s="14"/>
      <c r="K904" s="14"/>
      <c r="L904" s="14"/>
      <c r="M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4"/>
      <c r="AD904" s="134"/>
      <c r="AE904" s="134"/>
      <c r="AF904" s="134"/>
      <c r="AG904" s="134"/>
      <c r="AH904" s="134"/>
    </row>
    <row r="905">
      <c r="A905" s="143"/>
      <c r="B905" s="144"/>
      <c r="C905" s="319"/>
      <c r="D905" s="319"/>
      <c r="E905" s="319"/>
      <c r="F905" s="319"/>
      <c r="G905" s="320"/>
      <c r="H905" s="320"/>
      <c r="I905" s="14"/>
      <c r="J905" s="14"/>
      <c r="K905" s="14"/>
      <c r="L905" s="14"/>
      <c r="M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4"/>
      <c r="AD905" s="134"/>
      <c r="AE905" s="134"/>
      <c r="AF905" s="134"/>
      <c r="AG905" s="134"/>
      <c r="AH905" s="134"/>
    </row>
    <row r="906">
      <c r="A906" s="143"/>
      <c r="B906" s="144"/>
      <c r="C906" s="319"/>
      <c r="D906" s="319"/>
      <c r="E906" s="319"/>
      <c r="F906" s="319"/>
      <c r="G906" s="320"/>
      <c r="H906" s="320"/>
      <c r="I906" s="14"/>
      <c r="J906" s="14"/>
      <c r="K906" s="14"/>
      <c r="L906" s="14"/>
      <c r="M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4"/>
      <c r="AD906" s="134"/>
      <c r="AE906" s="134"/>
      <c r="AF906" s="134"/>
      <c r="AG906" s="134"/>
      <c r="AH906" s="134"/>
    </row>
    <row r="907">
      <c r="A907" s="143"/>
      <c r="B907" s="144"/>
      <c r="C907" s="319"/>
      <c r="D907" s="319"/>
      <c r="E907" s="319"/>
      <c r="F907" s="319"/>
      <c r="G907" s="320"/>
      <c r="H907" s="320"/>
      <c r="I907" s="14"/>
      <c r="J907" s="14"/>
      <c r="K907" s="14"/>
      <c r="L907" s="14"/>
      <c r="M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4"/>
      <c r="AD907" s="134"/>
      <c r="AE907" s="134"/>
      <c r="AF907" s="134"/>
      <c r="AG907" s="134"/>
      <c r="AH907" s="134"/>
    </row>
    <row r="908">
      <c r="A908" s="143"/>
      <c r="B908" s="144"/>
      <c r="C908" s="319"/>
      <c r="D908" s="319"/>
      <c r="E908" s="319"/>
      <c r="F908" s="319"/>
      <c r="G908" s="320"/>
      <c r="H908" s="320"/>
      <c r="I908" s="14"/>
      <c r="J908" s="14"/>
      <c r="K908" s="14"/>
      <c r="L908" s="14"/>
      <c r="M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4"/>
      <c r="AD908" s="134"/>
      <c r="AE908" s="134"/>
      <c r="AF908" s="134"/>
      <c r="AG908" s="134"/>
      <c r="AH908" s="134"/>
    </row>
    <row r="909">
      <c r="A909" s="143"/>
      <c r="B909" s="144"/>
      <c r="C909" s="319"/>
      <c r="D909" s="319"/>
      <c r="E909" s="319"/>
      <c r="F909" s="319"/>
      <c r="G909" s="320"/>
      <c r="H909" s="320"/>
      <c r="I909" s="14"/>
      <c r="J909" s="14"/>
      <c r="K909" s="14"/>
      <c r="L909" s="14"/>
      <c r="M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4"/>
      <c r="AD909" s="134"/>
      <c r="AE909" s="134"/>
      <c r="AF909" s="134"/>
      <c r="AG909" s="134"/>
      <c r="AH909" s="134"/>
    </row>
    <row r="910">
      <c r="A910" s="143"/>
      <c r="B910" s="144"/>
      <c r="C910" s="319"/>
      <c r="D910" s="319"/>
      <c r="E910" s="319"/>
      <c r="F910" s="319"/>
      <c r="G910" s="320"/>
      <c r="H910" s="320"/>
      <c r="I910" s="14"/>
      <c r="J910" s="14"/>
      <c r="K910" s="14"/>
      <c r="L910" s="14"/>
      <c r="M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4"/>
      <c r="AD910" s="134"/>
      <c r="AE910" s="134"/>
      <c r="AF910" s="134"/>
      <c r="AG910" s="134"/>
      <c r="AH910" s="134"/>
    </row>
    <row r="911">
      <c r="A911" s="143"/>
      <c r="B911" s="144"/>
      <c r="C911" s="319"/>
      <c r="D911" s="319"/>
      <c r="E911" s="319"/>
      <c r="F911" s="319"/>
      <c r="G911" s="320"/>
      <c r="H911" s="320"/>
      <c r="I911" s="14"/>
      <c r="J911" s="14"/>
      <c r="K911" s="14"/>
      <c r="L911" s="14"/>
      <c r="M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  <c r="AG911" s="134"/>
      <c r="AH911" s="134"/>
    </row>
    <row r="912">
      <c r="A912" s="143"/>
      <c r="B912" s="144"/>
      <c r="C912" s="319"/>
      <c r="D912" s="319"/>
      <c r="E912" s="319"/>
      <c r="F912" s="319"/>
      <c r="G912" s="320"/>
      <c r="H912" s="320"/>
      <c r="I912" s="14"/>
      <c r="J912" s="14"/>
      <c r="K912" s="14"/>
      <c r="L912" s="14"/>
      <c r="M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4"/>
      <c r="AD912" s="134"/>
      <c r="AE912" s="134"/>
      <c r="AF912" s="134"/>
      <c r="AG912" s="134"/>
      <c r="AH912" s="134"/>
    </row>
    <row r="913">
      <c r="A913" s="143"/>
      <c r="B913" s="144"/>
      <c r="C913" s="319"/>
      <c r="D913" s="319"/>
      <c r="E913" s="319"/>
      <c r="F913" s="319"/>
      <c r="G913" s="320"/>
      <c r="H913" s="320"/>
      <c r="I913" s="14"/>
      <c r="J913" s="14"/>
      <c r="K913" s="14"/>
      <c r="L913" s="14"/>
      <c r="M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4"/>
      <c r="AD913" s="134"/>
      <c r="AE913" s="134"/>
      <c r="AF913" s="134"/>
      <c r="AG913" s="134"/>
      <c r="AH913" s="134"/>
    </row>
    <row r="914">
      <c r="A914" s="143"/>
      <c r="B914" s="144"/>
      <c r="C914" s="319"/>
      <c r="D914" s="319"/>
      <c r="E914" s="319"/>
      <c r="F914" s="319"/>
      <c r="G914" s="320"/>
      <c r="H914" s="320"/>
      <c r="I914" s="14"/>
      <c r="J914" s="14"/>
      <c r="K914" s="14"/>
      <c r="L914" s="14"/>
      <c r="M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4"/>
      <c r="AD914" s="134"/>
      <c r="AE914" s="134"/>
      <c r="AF914" s="134"/>
      <c r="AG914" s="134"/>
      <c r="AH914" s="134"/>
    </row>
    <row r="915">
      <c r="A915" s="143"/>
      <c r="B915" s="144"/>
      <c r="C915" s="319"/>
      <c r="D915" s="319"/>
      <c r="E915" s="319"/>
      <c r="F915" s="319"/>
      <c r="G915" s="320"/>
      <c r="H915" s="320"/>
      <c r="I915" s="14"/>
      <c r="J915" s="14"/>
      <c r="K915" s="14"/>
      <c r="L915" s="14"/>
      <c r="M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4"/>
      <c r="AD915" s="134"/>
      <c r="AE915" s="134"/>
      <c r="AF915" s="134"/>
      <c r="AG915" s="134"/>
      <c r="AH915" s="134"/>
    </row>
    <row r="916">
      <c r="A916" s="143"/>
      <c r="B916" s="144"/>
      <c r="C916" s="319"/>
      <c r="D916" s="319"/>
      <c r="E916" s="319"/>
      <c r="F916" s="319"/>
      <c r="G916" s="320"/>
      <c r="H916" s="320"/>
      <c r="I916" s="14"/>
      <c r="J916" s="14"/>
      <c r="K916" s="14"/>
      <c r="L916" s="14"/>
      <c r="M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4"/>
      <c r="AD916" s="134"/>
      <c r="AE916" s="134"/>
      <c r="AF916" s="134"/>
      <c r="AG916" s="134"/>
      <c r="AH916" s="134"/>
    </row>
    <row r="917">
      <c r="A917" s="143"/>
      <c r="B917" s="144"/>
      <c r="C917" s="319"/>
      <c r="D917" s="319"/>
      <c r="E917" s="319"/>
      <c r="F917" s="319"/>
      <c r="G917" s="320"/>
      <c r="H917" s="320"/>
      <c r="I917" s="14"/>
      <c r="J917" s="14"/>
      <c r="K917" s="14"/>
      <c r="L917" s="14"/>
      <c r="M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4"/>
      <c r="AD917" s="134"/>
      <c r="AE917" s="134"/>
      <c r="AF917" s="134"/>
      <c r="AG917" s="134"/>
      <c r="AH917" s="134"/>
    </row>
    <row r="918">
      <c r="A918" s="143"/>
      <c r="B918" s="144"/>
      <c r="C918" s="319"/>
      <c r="D918" s="319"/>
      <c r="E918" s="319"/>
      <c r="F918" s="319"/>
      <c r="G918" s="320"/>
      <c r="H918" s="320"/>
      <c r="I918" s="14"/>
      <c r="J918" s="14"/>
      <c r="K918" s="14"/>
      <c r="L918" s="14"/>
      <c r="M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4"/>
      <c r="AD918" s="134"/>
      <c r="AE918" s="134"/>
      <c r="AF918" s="134"/>
      <c r="AG918" s="134"/>
      <c r="AH918" s="134"/>
    </row>
    <row r="919">
      <c r="A919" s="143"/>
      <c r="B919" s="144"/>
      <c r="C919" s="319"/>
      <c r="D919" s="319"/>
      <c r="E919" s="319"/>
      <c r="F919" s="319"/>
      <c r="G919" s="320"/>
      <c r="H919" s="320"/>
      <c r="I919" s="14"/>
      <c r="J919" s="14"/>
      <c r="K919" s="14"/>
      <c r="L919" s="14"/>
      <c r="M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4"/>
      <c r="AD919" s="134"/>
      <c r="AE919" s="134"/>
      <c r="AF919" s="134"/>
      <c r="AG919" s="134"/>
      <c r="AH919" s="134"/>
    </row>
    <row r="920">
      <c r="A920" s="143"/>
      <c r="B920" s="144"/>
      <c r="C920" s="319"/>
      <c r="D920" s="319"/>
      <c r="E920" s="319"/>
      <c r="F920" s="319"/>
      <c r="G920" s="320"/>
      <c r="H920" s="320"/>
      <c r="I920" s="14"/>
      <c r="J920" s="14"/>
      <c r="K920" s="14"/>
      <c r="L920" s="14"/>
      <c r="M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4"/>
      <c r="AD920" s="134"/>
      <c r="AE920" s="134"/>
      <c r="AF920" s="134"/>
      <c r="AG920" s="134"/>
      <c r="AH920" s="134"/>
    </row>
    <row r="921">
      <c r="A921" s="143"/>
      <c r="B921" s="144"/>
      <c r="C921" s="319"/>
      <c r="D921" s="319"/>
      <c r="E921" s="319"/>
      <c r="F921" s="319"/>
      <c r="G921" s="320"/>
      <c r="H921" s="320"/>
      <c r="I921" s="14"/>
      <c r="J921" s="14"/>
      <c r="K921" s="14"/>
      <c r="L921" s="14"/>
      <c r="M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4"/>
      <c r="AD921" s="134"/>
      <c r="AE921" s="134"/>
      <c r="AF921" s="134"/>
      <c r="AG921" s="134"/>
      <c r="AH921" s="134"/>
    </row>
    <row r="922">
      <c r="A922" s="143"/>
      <c r="B922" s="144"/>
      <c r="C922" s="319"/>
      <c r="D922" s="319"/>
      <c r="E922" s="319"/>
      <c r="F922" s="319"/>
      <c r="G922" s="320"/>
      <c r="H922" s="320"/>
      <c r="I922" s="14"/>
      <c r="J922" s="14"/>
      <c r="K922" s="14"/>
      <c r="L922" s="14"/>
      <c r="M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4"/>
      <c r="AD922" s="134"/>
      <c r="AE922" s="134"/>
      <c r="AF922" s="134"/>
      <c r="AG922" s="134"/>
      <c r="AH922" s="134"/>
    </row>
    <row r="923">
      <c r="A923" s="143"/>
      <c r="B923" s="144"/>
      <c r="C923" s="319"/>
      <c r="D923" s="319"/>
      <c r="E923" s="319"/>
      <c r="F923" s="319"/>
      <c r="G923" s="320"/>
      <c r="H923" s="320"/>
      <c r="I923" s="14"/>
      <c r="J923" s="14"/>
      <c r="K923" s="14"/>
      <c r="L923" s="14"/>
      <c r="M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4"/>
      <c r="AD923" s="134"/>
      <c r="AE923" s="134"/>
      <c r="AF923" s="134"/>
      <c r="AG923" s="134"/>
      <c r="AH923" s="134"/>
    </row>
    <row r="924">
      <c r="A924" s="143"/>
      <c r="B924" s="144"/>
      <c r="C924" s="319"/>
      <c r="D924" s="319"/>
      <c r="E924" s="319"/>
      <c r="F924" s="319"/>
      <c r="G924" s="320"/>
      <c r="H924" s="320"/>
      <c r="I924" s="14"/>
      <c r="J924" s="14"/>
      <c r="K924" s="14"/>
      <c r="L924" s="14"/>
      <c r="M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4"/>
      <c r="AD924" s="134"/>
      <c r="AE924" s="134"/>
      <c r="AF924" s="134"/>
      <c r="AG924" s="134"/>
      <c r="AH924" s="134"/>
    </row>
    <row r="925">
      <c r="A925" s="143"/>
      <c r="B925" s="144"/>
      <c r="C925" s="319"/>
      <c r="D925" s="319"/>
      <c r="E925" s="319"/>
      <c r="F925" s="319"/>
      <c r="G925" s="320"/>
      <c r="H925" s="320"/>
      <c r="I925" s="14"/>
      <c r="J925" s="14"/>
      <c r="K925" s="14"/>
      <c r="L925" s="14"/>
      <c r="M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4"/>
      <c r="AD925" s="134"/>
      <c r="AE925" s="134"/>
      <c r="AF925" s="134"/>
      <c r="AG925" s="134"/>
      <c r="AH925" s="134"/>
    </row>
    <row r="926">
      <c r="A926" s="143"/>
      <c r="B926" s="144"/>
      <c r="C926" s="319"/>
      <c r="D926" s="319"/>
      <c r="E926" s="319"/>
      <c r="F926" s="319"/>
      <c r="G926" s="320"/>
      <c r="H926" s="320"/>
      <c r="I926" s="14"/>
      <c r="J926" s="14"/>
      <c r="K926" s="14"/>
      <c r="L926" s="14"/>
      <c r="M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  <c r="AE926" s="134"/>
      <c r="AF926" s="134"/>
      <c r="AG926" s="134"/>
      <c r="AH926" s="134"/>
    </row>
    <row r="927">
      <c r="A927" s="143"/>
      <c r="B927" s="144"/>
      <c r="C927" s="319"/>
      <c r="D927" s="319"/>
      <c r="E927" s="319"/>
      <c r="F927" s="319"/>
      <c r="G927" s="320"/>
      <c r="H927" s="320"/>
      <c r="I927" s="14"/>
      <c r="J927" s="14"/>
      <c r="K927" s="14"/>
      <c r="L927" s="14"/>
      <c r="M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4"/>
      <c r="AD927" s="134"/>
      <c r="AE927" s="134"/>
      <c r="AF927" s="134"/>
      <c r="AG927" s="134"/>
      <c r="AH927" s="134"/>
    </row>
    <row r="928">
      <c r="A928" s="143"/>
      <c r="B928" s="144"/>
      <c r="C928" s="319"/>
      <c r="D928" s="319"/>
      <c r="E928" s="319"/>
      <c r="F928" s="319"/>
      <c r="G928" s="320"/>
      <c r="H928" s="320"/>
      <c r="I928" s="14"/>
      <c r="J928" s="14"/>
      <c r="K928" s="14"/>
      <c r="L928" s="14"/>
      <c r="M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4"/>
      <c r="AD928" s="134"/>
      <c r="AE928" s="134"/>
      <c r="AF928" s="134"/>
      <c r="AG928" s="134"/>
      <c r="AH928" s="134"/>
    </row>
    <row r="929">
      <c r="A929" s="143"/>
      <c r="B929" s="144"/>
      <c r="C929" s="319"/>
      <c r="D929" s="319"/>
      <c r="E929" s="319"/>
      <c r="F929" s="319"/>
      <c r="G929" s="320"/>
      <c r="H929" s="320"/>
      <c r="I929" s="14"/>
      <c r="J929" s="14"/>
      <c r="K929" s="14"/>
      <c r="L929" s="14"/>
      <c r="M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4"/>
      <c r="AD929" s="134"/>
      <c r="AE929" s="134"/>
      <c r="AF929" s="134"/>
      <c r="AG929" s="134"/>
      <c r="AH929" s="134"/>
    </row>
    <row r="930">
      <c r="A930" s="143"/>
      <c r="B930" s="144"/>
      <c r="C930" s="319"/>
      <c r="D930" s="319"/>
      <c r="E930" s="319"/>
      <c r="F930" s="319"/>
      <c r="G930" s="320"/>
      <c r="H930" s="320"/>
      <c r="I930" s="14"/>
      <c r="J930" s="14"/>
      <c r="K930" s="14"/>
      <c r="L930" s="14"/>
      <c r="M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4"/>
      <c r="AD930" s="134"/>
      <c r="AE930" s="134"/>
      <c r="AF930" s="134"/>
      <c r="AG930" s="134"/>
      <c r="AH930" s="134"/>
    </row>
    <row r="931">
      <c r="A931" s="143"/>
      <c r="B931" s="144"/>
      <c r="C931" s="319"/>
      <c r="D931" s="319"/>
      <c r="E931" s="319"/>
      <c r="F931" s="319"/>
      <c r="G931" s="320"/>
      <c r="H931" s="320"/>
      <c r="I931" s="14"/>
      <c r="J931" s="14"/>
      <c r="K931" s="14"/>
      <c r="L931" s="14"/>
      <c r="M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4"/>
      <c r="AD931" s="134"/>
      <c r="AE931" s="134"/>
      <c r="AF931" s="134"/>
      <c r="AG931" s="134"/>
      <c r="AH931" s="134"/>
    </row>
    <row r="932">
      <c r="A932" s="143"/>
      <c r="B932" s="144"/>
      <c r="C932" s="319"/>
      <c r="D932" s="319"/>
      <c r="E932" s="319"/>
      <c r="F932" s="319"/>
      <c r="G932" s="320"/>
      <c r="H932" s="320"/>
      <c r="I932" s="14"/>
      <c r="J932" s="14"/>
      <c r="K932" s="14"/>
      <c r="L932" s="14"/>
      <c r="M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4"/>
      <c r="AD932" s="134"/>
      <c r="AE932" s="134"/>
      <c r="AF932" s="134"/>
      <c r="AG932" s="134"/>
      <c r="AH932" s="134"/>
    </row>
    <row r="933">
      <c r="A933" s="143"/>
      <c r="B933" s="144"/>
      <c r="C933" s="319"/>
      <c r="D933" s="319"/>
      <c r="E933" s="319"/>
      <c r="F933" s="319"/>
      <c r="G933" s="320"/>
      <c r="H933" s="320"/>
      <c r="I933" s="14"/>
      <c r="J933" s="14"/>
      <c r="K933" s="14"/>
      <c r="L933" s="14"/>
      <c r="M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4"/>
      <c r="AD933" s="134"/>
      <c r="AE933" s="134"/>
      <c r="AF933" s="134"/>
      <c r="AG933" s="134"/>
      <c r="AH933" s="134"/>
    </row>
    <row r="934">
      <c r="A934" s="143"/>
      <c r="B934" s="144"/>
      <c r="C934" s="319"/>
      <c r="D934" s="319"/>
      <c r="E934" s="319"/>
      <c r="F934" s="319"/>
      <c r="G934" s="320"/>
      <c r="H934" s="320"/>
      <c r="I934" s="14"/>
      <c r="J934" s="14"/>
      <c r="K934" s="14"/>
      <c r="L934" s="14"/>
      <c r="M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4"/>
      <c r="AD934" s="134"/>
      <c r="AE934" s="134"/>
      <c r="AF934" s="134"/>
      <c r="AG934" s="134"/>
      <c r="AH934" s="134"/>
    </row>
    <row r="935">
      <c r="A935" s="143"/>
      <c r="B935" s="144"/>
      <c r="C935" s="319"/>
      <c r="D935" s="319"/>
      <c r="E935" s="319"/>
      <c r="F935" s="319"/>
      <c r="G935" s="320"/>
      <c r="H935" s="320"/>
      <c r="I935" s="14"/>
      <c r="J935" s="14"/>
      <c r="K935" s="14"/>
      <c r="L935" s="14"/>
      <c r="M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4"/>
      <c r="AD935" s="134"/>
      <c r="AE935" s="134"/>
      <c r="AF935" s="134"/>
      <c r="AG935" s="134"/>
      <c r="AH935" s="134"/>
    </row>
    <row r="936">
      <c r="A936" s="143"/>
      <c r="B936" s="144"/>
      <c r="C936" s="319"/>
      <c r="D936" s="319"/>
      <c r="E936" s="319"/>
      <c r="F936" s="319"/>
      <c r="G936" s="320"/>
      <c r="H936" s="320"/>
      <c r="I936" s="14"/>
      <c r="J936" s="14"/>
      <c r="K936" s="14"/>
      <c r="L936" s="14"/>
      <c r="M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4"/>
      <c r="AD936" s="134"/>
      <c r="AE936" s="134"/>
      <c r="AF936" s="134"/>
      <c r="AG936" s="134"/>
      <c r="AH936" s="134"/>
    </row>
    <row r="937">
      <c r="A937" s="143"/>
      <c r="B937" s="144"/>
      <c r="C937" s="319"/>
      <c r="D937" s="319"/>
      <c r="E937" s="319"/>
      <c r="F937" s="319"/>
      <c r="G937" s="320"/>
      <c r="H937" s="320"/>
      <c r="I937" s="14"/>
      <c r="J937" s="14"/>
      <c r="K937" s="14"/>
      <c r="L937" s="14"/>
      <c r="M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  <c r="AE937" s="134"/>
      <c r="AF937" s="134"/>
      <c r="AG937" s="134"/>
      <c r="AH937" s="134"/>
    </row>
    <row r="938">
      <c r="A938" s="143"/>
      <c r="B938" s="144"/>
      <c r="C938" s="319"/>
      <c r="D938" s="319"/>
      <c r="E938" s="319"/>
      <c r="F938" s="319"/>
      <c r="G938" s="320"/>
      <c r="H938" s="320"/>
      <c r="I938" s="14"/>
      <c r="J938" s="14"/>
      <c r="K938" s="14"/>
      <c r="L938" s="14"/>
      <c r="M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4"/>
      <c r="AD938" s="134"/>
      <c r="AE938" s="134"/>
      <c r="AF938" s="134"/>
      <c r="AG938" s="134"/>
      <c r="AH938" s="134"/>
    </row>
    <row r="939">
      <c r="A939" s="143"/>
      <c r="B939" s="144"/>
      <c r="C939" s="319"/>
      <c r="D939" s="319"/>
      <c r="E939" s="319"/>
      <c r="F939" s="319"/>
      <c r="G939" s="320"/>
      <c r="H939" s="320"/>
      <c r="I939" s="14"/>
      <c r="J939" s="14"/>
      <c r="K939" s="14"/>
      <c r="L939" s="14"/>
      <c r="M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4"/>
      <c r="AD939" s="134"/>
      <c r="AE939" s="134"/>
      <c r="AF939" s="134"/>
      <c r="AG939" s="134"/>
      <c r="AH939" s="134"/>
    </row>
    <row r="940">
      <c r="A940" s="143"/>
      <c r="B940" s="144"/>
      <c r="C940" s="319"/>
      <c r="D940" s="319"/>
      <c r="E940" s="319"/>
      <c r="F940" s="319"/>
      <c r="G940" s="320"/>
      <c r="H940" s="320"/>
      <c r="I940" s="14"/>
      <c r="J940" s="14"/>
      <c r="K940" s="14"/>
      <c r="L940" s="14"/>
      <c r="M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4"/>
      <c r="AD940" s="134"/>
      <c r="AE940" s="134"/>
      <c r="AF940" s="134"/>
      <c r="AG940" s="134"/>
      <c r="AH940" s="134"/>
    </row>
    <row r="941">
      <c r="A941" s="143"/>
      <c r="B941" s="144"/>
      <c r="C941" s="319"/>
      <c r="D941" s="319"/>
      <c r="E941" s="319"/>
      <c r="F941" s="319"/>
      <c r="G941" s="320"/>
      <c r="H941" s="320"/>
      <c r="I941" s="14"/>
      <c r="J941" s="14"/>
      <c r="K941" s="14"/>
      <c r="L941" s="14"/>
      <c r="M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4"/>
      <c r="AD941" s="134"/>
      <c r="AE941" s="134"/>
      <c r="AF941" s="134"/>
      <c r="AG941" s="134"/>
      <c r="AH941" s="134"/>
    </row>
    <row r="942">
      <c r="A942" s="143"/>
      <c r="B942" s="144"/>
      <c r="C942" s="319"/>
      <c r="D942" s="319"/>
      <c r="E942" s="319"/>
      <c r="F942" s="319"/>
      <c r="G942" s="320"/>
      <c r="H942" s="320"/>
      <c r="I942" s="14"/>
      <c r="J942" s="14"/>
      <c r="K942" s="14"/>
      <c r="L942" s="14"/>
      <c r="M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4"/>
      <c r="AD942" s="134"/>
      <c r="AE942" s="134"/>
      <c r="AF942" s="134"/>
      <c r="AG942" s="134"/>
      <c r="AH942" s="134"/>
    </row>
    <row r="943">
      <c r="A943" s="143"/>
      <c r="B943" s="144"/>
      <c r="C943" s="319"/>
      <c r="D943" s="319"/>
      <c r="E943" s="319"/>
      <c r="F943" s="319"/>
      <c r="G943" s="320"/>
      <c r="H943" s="320"/>
      <c r="I943" s="14"/>
      <c r="J943" s="14"/>
      <c r="K943" s="14"/>
      <c r="L943" s="14"/>
      <c r="M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4"/>
      <c r="AD943" s="134"/>
      <c r="AE943" s="134"/>
      <c r="AF943" s="134"/>
      <c r="AG943" s="134"/>
      <c r="AH943" s="134"/>
    </row>
    <row r="944">
      <c r="A944" s="143"/>
      <c r="B944" s="144"/>
      <c r="C944" s="319"/>
      <c r="D944" s="319"/>
      <c r="E944" s="319"/>
      <c r="F944" s="319"/>
      <c r="G944" s="320"/>
      <c r="H944" s="320"/>
      <c r="I944" s="14"/>
      <c r="J944" s="14"/>
      <c r="K944" s="14"/>
      <c r="L944" s="14"/>
      <c r="M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4"/>
      <c r="AD944" s="134"/>
      <c r="AE944" s="134"/>
      <c r="AF944" s="134"/>
      <c r="AG944" s="134"/>
      <c r="AH944" s="134"/>
    </row>
    <row r="945">
      <c r="A945" s="143"/>
      <c r="B945" s="144"/>
      <c r="C945" s="319"/>
      <c r="D945" s="319"/>
      <c r="E945" s="319"/>
      <c r="F945" s="319"/>
      <c r="G945" s="320"/>
      <c r="H945" s="320"/>
      <c r="I945" s="14"/>
      <c r="J945" s="14"/>
      <c r="K945" s="14"/>
      <c r="L945" s="14"/>
      <c r="M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4"/>
      <c r="AD945" s="134"/>
      <c r="AE945" s="134"/>
      <c r="AF945" s="134"/>
      <c r="AG945" s="134"/>
      <c r="AH945" s="134"/>
    </row>
    <row r="946">
      <c r="A946" s="143"/>
      <c r="B946" s="144"/>
      <c r="C946" s="319"/>
      <c r="D946" s="319"/>
      <c r="E946" s="319"/>
      <c r="F946" s="319"/>
      <c r="G946" s="320"/>
      <c r="H946" s="320"/>
      <c r="I946" s="14"/>
      <c r="J946" s="14"/>
      <c r="K946" s="14"/>
      <c r="L946" s="14"/>
      <c r="M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4"/>
      <c r="AD946" s="134"/>
      <c r="AE946" s="134"/>
      <c r="AF946" s="134"/>
      <c r="AG946" s="134"/>
      <c r="AH946" s="134"/>
    </row>
    <row r="947">
      <c r="A947" s="143"/>
      <c r="B947" s="144"/>
      <c r="C947" s="319"/>
      <c r="D947" s="319"/>
      <c r="E947" s="319"/>
      <c r="F947" s="319"/>
      <c r="G947" s="320"/>
      <c r="H947" s="320"/>
      <c r="I947" s="14"/>
      <c r="J947" s="14"/>
      <c r="K947" s="14"/>
      <c r="L947" s="14"/>
      <c r="M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4"/>
      <c r="AD947" s="134"/>
      <c r="AE947" s="134"/>
      <c r="AF947" s="134"/>
      <c r="AG947" s="134"/>
      <c r="AH947" s="134"/>
    </row>
    <row r="948">
      <c r="A948" s="143"/>
      <c r="B948" s="144"/>
      <c r="C948" s="319"/>
      <c r="D948" s="319"/>
      <c r="E948" s="319"/>
      <c r="F948" s="319"/>
      <c r="G948" s="320"/>
      <c r="H948" s="320"/>
      <c r="I948" s="14"/>
      <c r="J948" s="14"/>
      <c r="K948" s="14"/>
      <c r="L948" s="14"/>
      <c r="M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4"/>
      <c r="AD948" s="134"/>
      <c r="AE948" s="134"/>
      <c r="AF948" s="134"/>
      <c r="AG948" s="134"/>
      <c r="AH948" s="134"/>
    </row>
    <row r="949">
      <c r="A949" s="143"/>
      <c r="B949" s="144"/>
      <c r="C949" s="319"/>
      <c r="D949" s="319"/>
      <c r="E949" s="319"/>
      <c r="F949" s="319"/>
      <c r="G949" s="320"/>
      <c r="H949" s="320"/>
      <c r="I949" s="14"/>
      <c r="J949" s="14"/>
      <c r="K949" s="14"/>
      <c r="L949" s="14"/>
      <c r="M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4"/>
      <c r="AD949" s="134"/>
      <c r="AE949" s="134"/>
      <c r="AF949" s="134"/>
      <c r="AG949" s="134"/>
      <c r="AH949" s="134"/>
    </row>
    <row r="950">
      <c r="A950" s="143"/>
      <c r="B950" s="144"/>
      <c r="C950" s="319"/>
      <c r="D950" s="319"/>
      <c r="E950" s="319"/>
      <c r="F950" s="319"/>
      <c r="G950" s="320"/>
      <c r="H950" s="320"/>
      <c r="I950" s="14"/>
      <c r="J950" s="14"/>
      <c r="K950" s="14"/>
      <c r="L950" s="14"/>
      <c r="M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4"/>
      <c r="AD950" s="134"/>
      <c r="AE950" s="134"/>
      <c r="AF950" s="134"/>
      <c r="AG950" s="134"/>
      <c r="AH950" s="134"/>
    </row>
    <row r="951">
      <c r="A951" s="143"/>
      <c r="B951" s="144"/>
      <c r="C951" s="319"/>
      <c r="D951" s="319"/>
      <c r="E951" s="319"/>
      <c r="F951" s="319"/>
      <c r="G951" s="320"/>
      <c r="H951" s="320"/>
      <c r="I951" s="14"/>
      <c r="J951" s="14"/>
      <c r="K951" s="14"/>
      <c r="L951" s="14"/>
      <c r="M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4"/>
      <c r="AD951" s="134"/>
      <c r="AE951" s="134"/>
      <c r="AF951" s="134"/>
      <c r="AG951" s="134"/>
      <c r="AH951" s="134"/>
    </row>
    <row r="952">
      <c r="A952" s="143"/>
      <c r="B952" s="144"/>
      <c r="C952" s="319"/>
      <c r="D952" s="319"/>
      <c r="E952" s="319"/>
      <c r="F952" s="319"/>
      <c r="G952" s="320"/>
      <c r="H952" s="320"/>
      <c r="I952" s="14"/>
      <c r="J952" s="14"/>
      <c r="K952" s="14"/>
      <c r="L952" s="14"/>
      <c r="M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4"/>
      <c r="AD952" s="134"/>
      <c r="AE952" s="134"/>
      <c r="AF952" s="134"/>
      <c r="AG952" s="134"/>
      <c r="AH952" s="134"/>
    </row>
    <row r="953">
      <c r="A953" s="143"/>
      <c r="B953" s="144"/>
      <c r="C953" s="319"/>
      <c r="D953" s="319"/>
      <c r="E953" s="319"/>
      <c r="F953" s="319"/>
      <c r="G953" s="320"/>
      <c r="H953" s="320"/>
      <c r="I953" s="14"/>
      <c r="J953" s="14"/>
      <c r="K953" s="14"/>
      <c r="L953" s="14"/>
      <c r="M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4"/>
      <c r="AD953" s="134"/>
      <c r="AE953" s="134"/>
      <c r="AF953" s="134"/>
      <c r="AG953" s="134"/>
      <c r="AH953" s="134"/>
    </row>
    <row r="954">
      <c r="A954" s="143"/>
      <c r="B954" s="144"/>
      <c r="C954" s="319"/>
      <c r="D954" s="319"/>
      <c r="E954" s="319"/>
      <c r="F954" s="319"/>
      <c r="G954" s="320"/>
      <c r="H954" s="320"/>
      <c r="I954" s="14"/>
      <c r="J954" s="14"/>
      <c r="K954" s="14"/>
      <c r="L954" s="14"/>
      <c r="M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4"/>
      <c r="AD954" s="134"/>
      <c r="AE954" s="134"/>
      <c r="AF954" s="134"/>
      <c r="AG954" s="134"/>
      <c r="AH954" s="134"/>
    </row>
    <row r="955">
      <c r="A955" s="143"/>
      <c r="B955" s="144"/>
      <c r="C955" s="319"/>
      <c r="D955" s="319"/>
      <c r="E955" s="319"/>
      <c r="F955" s="319"/>
      <c r="G955" s="320"/>
      <c r="H955" s="320"/>
      <c r="I955" s="14"/>
      <c r="J955" s="14"/>
      <c r="K955" s="14"/>
      <c r="L955" s="14"/>
      <c r="M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4"/>
      <c r="AD955" s="134"/>
      <c r="AE955" s="134"/>
      <c r="AF955" s="134"/>
      <c r="AG955" s="134"/>
      <c r="AH955" s="134"/>
    </row>
    <row r="956">
      <c r="A956" s="143"/>
      <c r="B956" s="144"/>
      <c r="C956" s="319"/>
      <c r="D956" s="319"/>
      <c r="E956" s="319"/>
      <c r="F956" s="319"/>
      <c r="G956" s="320"/>
      <c r="H956" s="320"/>
      <c r="I956" s="14"/>
      <c r="J956" s="14"/>
      <c r="K956" s="14"/>
      <c r="L956" s="14"/>
      <c r="M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4"/>
      <c r="AD956" s="134"/>
      <c r="AE956" s="134"/>
      <c r="AF956" s="134"/>
      <c r="AG956" s="134"/>
      <c r="AH956" s="134"/>
    </row>
    <row r="957">
      <c r="A957" s="143"/>
      <c r="B957" s="144"/>
      <c r="C957" s="319"/>
      <c r="D957" s="319"/>
      <c r="E957" s="319"/>
      <c r="F957" s="319"/>
      <c r="G957" s="320"/>
      <c r="H957" s="320"/>
      <c r="I957" s="14"/>
      <c r="J957" s="14"/>
      <c r="K957" s="14"/>
      <c r="L957" s="14"/>
      <c r="M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4"/>
      <c r="AD957" s="134"/>
      <c r="AE957" s="134"/>
      <c r="AF957" s="134"/>
      <c r="AG957" s="134"/>
      <c r="AH957" s="134"/>
    </row>
    <row r="958">
      <c r="A958" s="143"/>
      <c r="B958" s="144"/>
      <c r="C958" s="319"/>
      <c r="D958" s="319"/>
      <c r="E958" s="319"/>
      <c r="F958" s="319"/>
      <c r="G958" s="320"/>
      <c r="H958" s="320"/>
      <c r="I958" s="14"/>
      <c r="J958" s="14"/>
      <c r="K958" s="14"/>
      <c r="L958" s="14"/>
      <c r="M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4"/>
      <c r="AD958" s="134"/>
      <c r="AE958" s="134"/>
      <c r="AF958" s="134"/>
      <c r="AG958" s="134"/>
      <c r="AH958" s="134"/>
    </row>
    <row r="959">
      <c r="A959" s="143"/>
      <c r="B959" s="144"/>
      <c r="C959" s="319"/>
      <c r="D959" s="319"/>
      <c r="E959" s="319"/>
      <c r="F959" s="319"/>
      <c r="G959" s="320"/>
      <c r="H959" s="320"/>
      <c r="I959" s="14"/>
      <c r="J959" s="14"/>
      <c r="K959" s="14"/>
      <c r="L959" s="14"/>
      <c r="M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4"/>
      <c r="AD959" s="134"/>
      <c r="AE959" s="134"/>
      <c r="AF959" s="134"/>
      <c r="AG959" s="134"/>
      <c r="AH959" s="134"/>
    </row>
    <row r="960">
      <c r="A960" s="143"/>
      <c r="B960" s="144"/>
      <c r="C960" s="319"/>
      <c r="D960" s="319"/>
      <c r="E960" s="319"/>
      <c r="F960" s="319"/>
      <c r="G960" s="320"/>
      <c r="H960" s="320"/>
      <c r="I960" s="14"/>
      <c r="J960" s="14"/>
      <c r="K960" s="14"/>
      <c r="L960" s="14"/>
      <c r="M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4"/>
      <c r="AD960" s="134"/>
      <c r="AE960" s="134"/>
      <c r="AF960" s="134"/>
      <c r="AG960" s="134"/>
      <c r="AH960" s="134"/>
    </row>
    <row r="961">
      <c r="A961" s="143"/>
      <c r="B961" s="144"/>
      <c r="C961" s="319"/>
      <c r="D961" s="319"/>
      <c r="E961" s="319"/>
      <c r="F961" s="319"/>
      <c r="G961" s="320"/>
      <c r="H961" s="320"/>
      <c r="I961" s="14"/>
      <c r="J961" s="14"/>
      <c r="K961" s="14"/>
      <c r="L961" s="14"/>
      <c r="M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4"/>
      <c r="AD961" s="134"/>
      <c r="AE961" s="134"/>
      <c r="AF961" s="134"/>
      <c r="AG961" s="134"/>
      <c r="AH961" s="134"/>
    </row>
    <row r="962">
      <c r="A962" s="143"/>
      <c r="B962" s="144"/>
      <c r="C962" s="319"/>
      <c r="D962" s="319"/>
      <c r="E962" s="319"/>
      <c r="F962" s="319"/>
      <c r="G962" s="320"/>
      <c r="H962" s="320"/>
      <c r="I962" s="14"/>
      <c r="J962" s="14"/>
      <c r="K962" s="14"/>
      <c r="L962" s="14"/>
      <c r="M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4"/>
      <c r="AD962" s="134"/>
      <c r="AE962" s="134"/>
      <c r="AF962" s="134"/>
      <c r="AG962" s="134"/>
      <c r="AH962" s="134"/>
    </row>
    <row r="963">
      <c r="A963" s="143"/>
      <c r="B963" s="144"/>
      <c r="C963" s="319"/>
      <c r="D963" s="319"/>
      <c r="E963" s="319"/>
      <c r="F963" s="319"/>
      <c r="G963" s="320"/>
      <c r="H963" s="320"/>
      <c r="I963" s="14"/>
      <c r="J963" s="14"/>
      <c r="K963" s="14"/>
      <c r="L963" s="14"/>
      <c r="M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4"/>
      <c r="AD963" s="134"/>
      <c r="AE963" s="134"/>
      <c r="AF963" s="134"/>
      <c r="AG963" s="134"/>
      <c r="AH963" s="134"/>
    </row>
    <row r="964">
      <c r="A964" s="143"/>
      <c r="B964" s="144"/>
      <c r="C964" s="319"/>
      <c r="D964" s="319"/>
      <c r="E964" s="319"/>
      <c r="F964" s="319"/>
      <c r="G964" s="320"/>
      <c r="H964" s="320"/>
      <c r="I964" s="14"/>
      <c r="J964" s="14"/>
      <c r="K964" s="14"/>
      <c r="L964" s="14"/>
      <c r="M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4"/>
      <c r="AD964" s="134"/>
      <c r="AE964" s="134"/>
      <c r="AF964" s="134"/>
      <c r="AG964" s="134"/>
      <c r="AH964" s="134"/>
    </row>
    <row r="965">
      <c r="A965" s="143"/>
      <c r="B965" s="144"/>
      <c r="C965" s="319"/>
      <c r="D965" s="319"/>
      <c r="E965" s="319"/>
      <c r="F965" s="319"/>
      <c r="G965" s="320"/>
      <c r="H965" s="320"/>
      <c r="I965" s="14"/>
      <c r="J965" s="14"/>
      <c r="K965" s="14"/>
      <c r="L965" s="14"/>
      <c r="M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4"/>
      <c r="AD965" s="134"/>
      <c r="AE965" s="134"/>
      <c r="AF965" s="134"/>
      <c r="AG965" s="134"/>
      <c r="AH965" s="134"/>
    </row>
    <row r="966">
      <c r="A966" s="143"/>
      <c r="B966" s="144"/>
      <c r="C966" s="319"/>
      <c r="D966" s="319"/>
      <c r="E966" s="319"/>
      <c r="F966" s="319"/>
      <c r="G966" s="320"/>
      <c r="H966" s="320"/>
      <c r="I966" s="14"/>
      <c r="J966" s="14"/>
      <c r="K966" s="14"/>
      <c r="L966" s="14"/>
      <c r="M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  <c r="AE966" s="134"/>
      <c r="AF966" s="134"/>
      <c r="AG966" s="134"/>
      <c r="AH966" s="134"/>
    </row>
    <row r="967">
      <c r="A967" s="143"/>
      <c r="B967" s="144"/>
      <c r="C967" s="319"/>
      <c r="D967" s="319"/>
      <c r="E967" s="319"/>
      <c r="F967" s="319"/>
      <c r="G967" s="320"/>
      <c r="H967" s="320"/>
      <c r="I967" s="14"/>
      <c r="J967" s="14"/>
      <c r="K967" s="14"/>
      <c r="L967" s="14"/>
      <c r="M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4"/>
      <c r="AD967" s="134"/>
      <c r="AE967" s="134"/>
      <c r="AF967" s="134"/>
      <c r="AG967" s="134"/>
      <c r="AH967" s="134"/>
    </row>
    <row r="968">
      <c r="A968" s="143"/>
      <c r="B968" s="144"/>
      <c r="C968" s="319"/>
      <c r="D968" s="319"/>
      <c r="E968" s="319"/>
      <c r="F968" s="319"/>
      <c r="G968" s="320"/>
      <c r="H968" s="320"/>
      <c r="I968" s="14"/>
      <c r="J968" s="14"/>
      <c r="K968" s="14"/>
      <c r="L968" s="14"/>
      <c r="M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4"/>
      <c r="AD968" s="134"/>
      <c r="AE968" s="134"/>
      <c r="AF968" s="134"/>
      <c r="AG968" s="134"/>
      <c r="AH968" s="134"/>
    </row>
    <row r="969">
      <c r="A969" s="143"/>
      <c r="B969" s="144"/>
      <c r="C969" s="319"/>
      <c r="D969" s="319"/>
      <c r="E969" s="319"/>
      <c r="F969" s="319"/>
      <c r="G969" s="320"/>
      <c r="H969" s="320"/>
      <c r="I969" s="14"/>
      <c r="J969" s="14"/>
      <c r="K969" s="14"/>
      <c r="L969" s="14"/>
      <c r="M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4"/>
      <c r="AD969" s="134"/>
      <c r="AE969" s="134"/>
      <c r="AF969" s="134"/>
      <c r="AG969" s="134"/>
      <c r="AH969" s="134"/>
    </row>
    <row r="970">
      <c r="A970" s="143"/>
      <c r="B970" s="144"/>
      <c r="C970" s="319"/>
      <c r="D970" s="319"/>
      <c r="E970" s="319"/>
      <c r="F970" s="319"/>
      <c r="G970" s="320"/>
      <c r="H970" s="320"/>
      <c r="I970" s="14"/>
      <c r="J970" s="14"/>
      <c r="K970" s="14"/>
      <c r="L970" s="14"/>
      <c r="M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4"/>
      <c r="AD970" s="134"/>
      <c r="AE970" s="134"/>
      <c r="AF970" s="134"/>
      <c r="AG970" s="134"/>
      <c r="AH970" s="134"/>
    </row>
    <row r="971">
      <c r="A971" s="143"/>
      <c r="B971" s="144"/>
      <c r="C971" s="319"/>
      <c r="D971" s="319"/>
      <c r="E971" s="319"/>
      <c r="F971" s="319"/>
      <c r="G971" s="320"/>
      <c r="H971" s="320"/>
      <c r="I971" s="14"/>
      <c r="J971" s="14"/>
      <c r="K971" s="14"/>
      <c r="L971" s="14"/>
      <c r="M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4"/>
      <c r="AD971" s="134"/>
      <c r="AE971" s="134"/>
      <c r="AF971" s="134"/>
      <c r="AG971" s="134"/>
      <c r="AH971" s="134"/>
    </row>
    <row r="972">
      <c r="A972" s="143"/>
      <c r="B972" s="144"/>
      <c r="C972" s="319"/>
      <c r="D972" s="319"/>
      <c r="E972" s="319"/>
      <c r="F972" s="319"/>
      <c r="G972" s="320"/>
      <c r="H972" s="320"/>
      <c r="I972" s="14"/>
      <c r="J972" s="14"/>
      <c r="K972" s="14"/>
      <c r="L972" s="14"/>
      <c r="M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4"/>
      <c r="AD972" s="134"/>
      <c r="AE972" s="134"/>
      <c r="AF972" s="134"/>
      <c r="AG972" s="134"/>
      <c r="AH972" s="134"/>
    </row>
    <row r="973">
      <c r="A973" s="143"/>
      <c r="B973" s="144"/>
      <c r="C973" s="319"/>
      <c r="D973" s="319"/>
      <c r="E973" s="319"/>
      <c r="F973" s="319"/>
      <c r="G973" s="320"/>
      <c r="H973" s="320"/>
      <c r="I973" s="14"/>
      <c r="J973" s="14"/>
      <c r="K973" s="14"/>
      <c r="L973" s="14"/>
      <c r="M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4"/>
      <c r="AD973" s="134"/>
      <c r="AE973" s="134"/>
      <c r="AF973" s="134"/>
      <c r="AG973" s="134"/>
      <c r="AH973" s="134"/>
    </row>
    <row r="974">
      <c r="A974" s="143"/>
      <c r="B974" s="144"/>
      <c r="C974" s="319"/>
      <c r="D974" s="319"/>
      <c r="E974" s="319"/>
      <c r="F974" s="319"/>
      <c r="G974" s="320"/>
      <c r="H974" s="320"/>
      <c r="I974" s="14"/>
      <c r="J974" s="14"/>
      <c r="K974" s="14"/>
      <c r="L974" s="14"/>
      <c r="M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4"/>
      <c r="AD974" s="134"/>
      <c r="AE974" s="134"/>
      <c r="AF974" s="134"/>
      <c r="AG974" s="134"/>
      <c r="AH974" s="134"/>
    </row>
    <row r="975">
      <c r="A975" s="143"/>
      <c r="B975" s="144"/>
      <c r="C975" s="319"/>
      <c r="D975" s="319"/>
      <c r="E975" s="319"/>
      <c r="F975" s="319"/>
      <c r="G975" s="320"/>
      <c r="H975" s="320"/>
      <c r="I975" s="14"/>
      <c r="J975" s="14"/>
      <c r="K975" s="14"/>
      <c r="L975" s="14"/>
      <c r="M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4"/>
      <c r="AD975" s="134"/>
      <c r="AE975" s="134"/>
      <c r="AF975" s="134"/>
      <c r="AG975" s="134"/>
      <c r="AH975" s="134"/>
    </row>
    <row r="976">
      <c r="A976" s="143"/>
      <c r="B976" s="144"/>
      <c r="C976" s="319"/>
      <c r="D976" s="319"/>
      <c r="E976" s="319"/>
      <c r="F976" s="319"/>
      <c r="G976" s="320"/>
      <c r="H976" s="320"/>
      <c r="I976" s="14"/>
      <c r="J976" s="14"/>
      <c r="K976" s="14"/>
      <c r="L976" s="14"/>
      <c r="M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4"/>
      <c r="AD976" s="134"/>
      <c r="AE976" s="134"/>
      <c r="AF976" s="134"/>
      <c r="AG976" s="134"/>
      <c r="AH976" s="134"/>
    </row>
    <row r="977">
      <c r="A977" s="143"/>
      <c r="B977" s="144"/>
      <c r="C977" s="319"/>
      <c r="D977" s="319"/>
      <c r="E977" s="319"/>
      <c r="F977" s="319"/>
      <c r="G977" s="320"/>
      <c r="H977" s="320"/>
      <c r="I977" s="14"/>
      <c r="J977" s="14"/>
      <c r="K977" s="14"/>
      <c r="L977" s="14"/>
      <c r="M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4"/>
      <c r="AD977" s="134"/>
      <c r="AE977" s="134"/>
      <c r="AF977" s="134"/>
      <c r="AG977" s="134"/>
      <c r="AH977" s="134"/>
    </row>
    <row r="978">
      <c r="A978" s="143"/>
      <c r="B978" s="144"/>
      <c r="C978" s="319"/>
      <c r="D978" s="319"/>
      <c r="E978" s="319"/>
      <c r="F978" s="319"/>
      <c r="G978" s="320"/>
      <c r="H978" s="320"/>
      <c r="I978" s="14"/>
      <c r="J978" s="14"/>
      <c r="K978" s="14"/>
      <c r="L978" s="14"/>
      <c r="M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4"/>
      <c r="AD978" s="134"/>
      <c r="AE978" s="134"/>
      <c r="AF978" s="134"/>
      <c r="AG978" s="134"/>
      <c r="AH978" s="134"/>
    </row>
    <row r="979">
      <c r="A979" s="143"/>
      <c r="B979" s="144"/>
      <c r="C979" s="319"/>
      <c r="D979" s="319"/>
      <c r="E979" s="319"/>
      <c r="F979" s="319"/>
      <c r="G979" s="320"/>
      <c r="H979" s="320"/>
      <c r="I979" s="14"/>
      <c r="J979" s="14"/>
      <c r="K979" s="14"/>
      <c r="L979" s="14"/>
      <c r="M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4"/>
      <c r="AD979" s="134"/>
      <c r="AE979" s="134"/>
      <c r="AF979" s="134"/>
      <c r="AG979" s="134"/>
      <c r="AH979" s="134"/>
    </row>
    <row r="980">
      <c r="A980" s="143"/>
      <c r="B980" s="144"/>
      <c r="C980" s="319"/>
      <c r="D980" s="319"/>
      <c r="E980" s="319"/>
      <c r="F980" s="319"/>
      <c r="G980" s="320"/>
      <c r="H980" s="320"/>
      <c r="I980" s="14"/>
      <c r="J980" s="14"/>
      <c r="K980" s="14"/>
      <c r="L980" s="14"/>
      <c r="M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4"/>
      <c r="AD980" s="134"/>
      <c r="AE980" s="134"/>
      <c r="AF980" s="134"/>
      <c r="AG980" s="134"/>
      <c r="AH980" s="134"/>
    </row>
    <row r="981">
      <c r="A981" s="143"/>
      <c r="B981" s="144"/>
      <c r="C981" s="319"/>
      <c r="D981" s="319"/>
      <c r="E981" s="319"/>
      <c r="F981" s="319"/>
      <c r="G981" s="320"/>
      <c r="H981" s="320"/>
      <c r="I981" s="14"/>
      <c r="J981" s="14"/>
      <c r="K981" s="14"/>
      <c r="L981" s="14"/>
      <c r="M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4"/>
      <c r="AD981" s="134"/>
      <c r="AE981" s="134"/>
      <c r="AF981" s="134"/>
      <c r="AG981" s="134"/>
      <c r="AH981" s="134"/>
    </row>
    <row r="982">
      <c r="A982" s="143"/>
      <c r="B982" s="144"/>
      <c r="C982" s="319"/>
      <c r="D982" s="319"/>
      <c r="E982" s="319"/>
      <c r="F982" s="319"/>
      <c r="G982" s="320"/>
      <c r="H982" s="320"/>
      <c r="I982" s="14"/>
      <c r="J982" s="14"/>
      <c r="K982" s="14"/>
      <c r="L982" s="14"/>
      <c r="M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4"/>
      <c r="AD982" s="134"/>
      <c r="AE982" s="134"/>
      <c r="AF982" s="134"/>
      <c r="AG982" s="134"/>
      <c r="AH982" s="134"/>
    </row>
    <row r="983">
      <c r="A983" s="143"/>
      <c r="B983" s="144"/>
      <c r="C983" s="319"/>
      <c r="D983" s="319"/>
      <c r="E983" s="319"/>
      <c r="F983" s="319"/>
      <c r="G983" s="320"/>
      <c r="H983" s="320"/>
      <c r="I983" s="14"/>
      <c r="J983" s="14"/>
      <c r="K983" s="14"/>
      <c r="L983" s="14"/>
      <c r="M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4"/>
      <c r="AD983" s="134"/>
      <c r="AE983" s="134"/>
      <c r="AF983" s="134"/>
      <c r="AG983" s="134"/>
      <c r="AH983" s="134"/>
    </row>
    <row r="984">
      <c r="A984" s="143"/>
      <c r="B984" s="144"/>
      <c r="C984" s="319"/>
      <c r="D984" s="319"/>
      <c r="E984" s="319"/>
      <c r="F984" s="319"/>
      <c r="G984" s="320"/>
      <c r="H984" s="320"/>
      <c r="I984" s="14"/>
      <c r="J984" s="14"/>
      <c r="K984" s="14"/>
      <c r="L984" s="14"/>
      <c r="M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4"/>
      <c r="AD984" s="134"/>
      <c r="AE984" s="134"/>
      <c r="AF984" s="134"/>
      <c r="AG984" s="134"/>
      <c r="AH984" s="134"/>
    </row>
    <row r="985">
      <c r="A985" s="143"/>
      <c r="B985" s="144"/>
      <c r="C985" s="319"/>
      <c r="D985" s="319"/>
      <c r="E985" s="319"/>
      <c r="F985" s="319"/>
      <c r="G985" s="320"/>
      <c r="H985" s="320"/>
      <c r="I985" s="14"/>
      <c r="J985" s="14"/>
      <c r="K985" s="14"/>
      <c r="L985" s="14"/>
      <c r="M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4"/>
      <c r="AD985" s="134"/>
      <c r="AE985" s="134"/>
      <c r="AF985" s="134"/>
      <c r="AG985" s="134"/>
      <c r="AH985" s="134"/>
    </row>
    <row r="986">
      <c r="A986" s="143"/>
      <c r="B986" s="144"/>
      <c r="C986" s="319"/>
      <c r="D986" s="319"/>
      <c r="E986" s="319"/>
      <c r="F986" s="319"/>
      <c r="G986" s="320"/>
      <c r="H986" s="320"/>
      <c r="I986" s="14"/>
      <c r="J986" s="14"/>
      <c r="K986" s="14"/>
      <c r="L986" s="14"/>
      <c r="M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4"/>
      <c r="AD986" s="134"/>
      <c r="AE986" s="134"/>
      <c r="AF986" s="134"/>
      <c r="AG986" s="134"/>
      <c r="AH986" s="134"/>
    </row>
    <row r="987">
      <c r="A987" s="143"/>
      <c r="B987" s="144"/>
      <c r="C987" s="319"/>
      <c r="D987" s="319"/>
      <c r="E987" s="319"/>
      <c r="F987" s="319"/>
      <c r="G987" s="320"/>
      <c r="H987" s="320"/>
      <c r="I987" s="14"/>
      <c r="J987" s="14"/>
      <c r="K987" s="14"/>
      <c r="L987" s="14"/>
      <c r="M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4"/>
      <c r="AD987" s="134"/>
      <c r="AE987" s="134"/>
      <c r="AF987" s="134"/>
      <c r="AG987" s="134"/>
      <c r="AH987" s="134"/>
    </row>
    <row r="988">
      <c r="A988" s="143"/>
      <c r="B988" s="144"/>
      <c r="C988" s="319"/>
      <c r="D988" s="319"/>
      <c r="E988" s="319"/>
      <c r="F988" s="319"/>
      <c r="G988" s="320"/>
      <c r="H988" s="320"/>
      <c r="I988" s="14"/>
      <c r="J988" s="14"/>
      <c r="K988" s="14"/>
      <c r="L988" s="14"/>
      <c r="M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4"/>
      <c r="AD988" s="134"/>
      <c r="AE988" s="134"/>
      <c r="AF988" s="134"/>
      <c r="AG988" s="134"/>
      <c r="AH988" s="134"/>
    </row>
    <row r="989">
      <c r="A989" s="143"/>
      <c r="B989" s="144"/>
      <c r="C989" s="319"/>
      <c r="D989" s="319"/>
      <c r="E989" s="319"/>
      <c r="F989" s="319"/>
      <c r="G989" s="320"/>
      <c r="H989" s="320"/>
      <c r="I989" s="14"/>
      <c r="J989" s="14"/>
      <c r="K989" s="14"/>
      <c r="L989" s="14"/>
      <c r="M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4"/>
      <c r="AD989" s="134"/>
      <c r="AE989" s="134"/>
      <c r="AF989" s="134"/>
      <c r="AG989" s="134"/>
      <c r="AH989" s="134"/>
    </row>
    <row r="990">
      <c r="A990" s="143"/>
      <c r="B990" s="144"/>
      <c r="C990" s="319"/>
      <c r="D990" s="319"/>
      <c r="E990" s="319"/>
      <c r="F990" s="319"/>
      <c r="G990" s="320"/>
      <c r="H990" s="320"/>
      <c r="I990" s="14"/>
      <c r="J990" s="14"/>
      <c r="K990" s="14"/>
      <c r="L990" s="14"/>
      <c r="M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4"/>
      <c r="AD990" s="134"/>
      <c r="AE990" s="134"/>
      <c r="AF990" s="134"/>
      <c r="AG990" s="134"/>
      <c r="AH990" s="134"/>
    </row>
    <row r="991">
      <c r="A991" s="143"/>
      <c r="B991" s="144"/>
      <c r="C991" s="319"/>
      <c r="D991" s="319"/>
      <c r="E991" s="319"/>
      <c r="F991" s="319"/>
      <c r="G991" s="320"/>
      <c r="H991" s="320"/>
      <c r="I991" s="14"/>
      <c r="J991" s="14"/>
      <c r="K991" s="14"/>
      <c r="L991" s="14"/>
      <c r="M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4"/>
      <c r="AD991" s="134"/>
      <c r="AE991" s="134"/>
      <c r="AF991" s="134"/>
      <c r="AG991" s="134"/>
      <c r="AH991" s="134"/>
    </row>
    <row r="992">
      <c r="A992" s="143"/>
      <c r="B992" s="144"/>
      <c r="C992" s="319"/>
      <c r="D992" s="319"/>
      <c r="E992" s="319"/>
      <c r="F992" s="319"/>
      <c r="G992" s="320"/>
      <c r="H992" s="320"/>
      <c r="I992" s="14"/>
      <c r="J992" s="14"/>
      <c r="K992" s="14"/>
      <c r="L992" s="14"/>
      <c r="M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4"/>
      <c r="AD992" s="134"/>
      <c r="AE992" s="134"/>
      <c r="AF992" s="134"/>
      <c r="AG992" s="134"/>
      <c r="AH992" s="134"/>
    </row>
    <row r="993">
      <c r="A993" s="143"/>
      <c r="B993" s="144"/>
      <c r="C993" s="319"/>
      <c r="D993" s="319"/>
      <c r="E993" s="319"/>
      <c r="F993" s="319"/>
      <c r="G993" s="320"/>
      <c r="H993" s="320"/>
      <c r="I993" s="14"/>
      <c r="J993" s="14"/>
      <c r="K993" s="14"/>
      <c r="L993" s="14"/>
      <c r="M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4"/>
      <c r="AD993" s="134"/>
      <c r="AE993" s="134"/>
      <c r="AF993" s="134"/>
      <c r="AG993" s="134"/>
      <c r="AH993" s="134"/>
    </row>
    <row r="994">
      <c r="A994" s="143"/>
      <c r="B994" s="144"/>
      <c r="C994" s="319"/>
      <c r="D994" s="319"/>
      <c r="E994" s="319"/>
      <c r="F994" s="319"/>
      <c r="G994" s="320"/>
      <c r="H994" s="320"/>
      <c r="I994" s="14"/>
      <c r="J994" s="14"/>
      <c r="K994" s="14"/>
      <c r="L994" s="14"/>
      <c r="M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  <c r="AG994" s="134"/>
      <c r="AH994" s="134"/>
    </row>
    <row r="995">
      <c r="A995" s="143"/>
      <c r="B995" s="144"/>
      <c r="C995" s="319"/>
      <c r="D995" s="319"/>
      <c r="E995" s="319"/>
      <c r="F995" s="319"/>
      <c r="G995" s="320"/>
      <c r="H995" s="320"/>
      <c r="I995" s="14"/>
      <c r="J995" s="14"/>
      <c r="K995" s="14"/>
      <c r="L995" s="14"/>
      <c r="M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4"/>
      <c r="AD995" s="134"/>
      <c r="AE995" s="134"/>
      <c r="AF995" s="134"/>
      <c r="AG995" s="134"/>
      <c r="AH995" s="134"/>
    </row>
    <row r="996">
      <c r="A996" s="143"/>
      <c r="B996" s="144"/>
      <c r="C996" s="319"/>
      <c r="D996" s="319"/>
      <c r="E996" s="319"/>
      <c r="F996" s="319"/>
      <c r="G996" s="320"/>
      <c r="H996" s="320"/>
      <c r="I996" s="14"/>
      <c r="J996" s="14"/>
      <c r="K996" s="14"/>
      <c r="L996" s="14"/>
      <c r="M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4"/>
      <c r="AD996" s="134"/>
      <c r="AE996" s="134"/>
      <c r="AF996" s="134"/>
      <c r="AG996" s="134"/>
      <c r="AH996" s="134"/>
    </row>
    <row r="997">
      <c r="A997" s="143"/>
      <c r="B997" s="144"/>
      <c r="C997" s="319"/>
      <c r="D997" s="319"/>
      <c r="E997" s="319"/>
      <c r="F997" s="319"/>
      <c r="G997" s="320"/>
      <c r="H997" s="320"/>
      <c r="I997" s="14"/>
      <c r="J997" s="14"/>
      <c r="K997" s="14"/>
      <c r="L997" s="14"/>
      <c r="M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4"/>
      <c r="AD997" s="134"/>
      <c r="AE997" s="134"/>
      <c r="AF997" s="134"/>
      <c r="AG997" s="134"/>
      <c r="AH997" s="134"/>
    </row>
    <row r="998">
      <c r="A998" s="143"/>
      <c r="B998" s="144"/>
      <c r="C998" s="319"/>
      <c r="D998" s="319"/>
      <c r="E998" s="319"/>
      <c r="F998" s="319"/>
      <c r="G998" s="320"/>
      <c r="H998" s="320"/>
      <c r="I998" s="14"/>
      <c r="J998" s="14"/>
      <c r="K998" s="14"/>
      <c r="L998" s="14"/>
      <c r="M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4"/>
      <c r="AD998" s="134"/>
      <c r="AE998" s="134"/>
      <c r="AF998" s="134"/>
      <c r="AG998" s="134"/>
      <c r="AH998" s="134"/>
    </row>
    <row r="999">
      <c r="A999" s="143"/>
      <c r="B999" s="144"/>
      <c r="C999" s="319"/>
      <c r="D999" s="319"/>
      <c r="E999" s="319"/>
      <c r="F999" s="319"/>
      <c r="G999" s="320"/>
      <c r="H999" s="320"/>
      <c r="I999" s="14"/>
      <c r="J999" s="14"/>
      <c r="K999" s="14"/>
      <c r="L999" s="14"/>
      <c r="M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4"/>
      <c r="AD999" s="134"/>
      <c r="AE999" s="134"/>
      <c r="AF999" s="134"/>
      <c r="AG999" s="134"/>
      <c r="AH999" s="134"/>
    </row>
    <row r="1000">
      <c r="A1000" s="143"/>
      <c r="B1000" s="144"/>
      <c r="C1000" s="319"/>
      <c r="D1000" s="319"/>
      <c r="E1000" s="319"/>
      <c r="F1000" s="319"/>
      <c r="G1000" s="320"/>
      <c r="H1000" s="320"/>
      <c r="I1000" s="14"/>
      <c r="J1000" s="14"/>
      <c r="K1000" s="14"/>
      <c r="L1000" s="14"/>
      <c r="M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4"/>
      <c r="AD1000" s="134"/>
      <c r="AE1000" s="134"/>
      <c r="AF1000" s="134"/>
      <c r="AG1000" s="134"/>
      <c r="AH1000" s="134"/>
    </row>
    <row r="1001">
      <c r="A1001" s="143"/>
      <c r="B1001" s="144"/>
      <c r="C1001" s="319"/>
      <c r="D1001" s="319"/>
      <c r="E1001" s="319"/>
      <c r="F1001" s="319"/>
      <c r="G1001" s="320"/>
      <c r="H1001" s="320"/>
      <c r="I1001" s="14"/>
      <c r="J1001" s="14"/>
      <c r="K1001" s="14"/>
      <c r="L1001" s="14"/>
      <c r="M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  <c r="AA1001" s="134"/>
      <c r="AB1001" s="134"/>
      <c r="AC1001" s="134"/>
      <c r="AD1001" s="134"/>
      <c r="AE1001" s="134"/>
      <c r="AF1001" s="134"/>
      <c r="AG1001" s="134"/>
      <c r="AH1001" s="134"/>
    </row>
    <row r="1002">
      <c r="A1002" s="143"/>
      <c r="B1002" s="144"/>
      <c r="C1002" s="319"/>
      <c r="D1002" s="319"/>
      <c r="E1002" s="319"/>
      <c r="F1002" s="319"/>
      <c r="G1002" s="320"/>
      <c r="H1002" s="320"/>
      <c r="I1002" s="14"/>
      <c r="J1002" s="14"/>
      <c r="K1002" s="14"/>
      <c r="L1002" s="14"/>
      <c r="M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  <c r="AA1002" s="134"/>
      <c r="AB1002" s="134"/>
      <c r="AC1002" s="134"/>
      <c r="AD1002" s="134"/>
      <c r="AE1002" s="134"/>
      <c r="AF1002" s="134"/>
      <c r="AG1002" s="134"/>
      <c r="AH1002" s="134"/>
    </row>
    <row r="1003">
      <c r="A1003" s="143"/>
      <c r="B1003" s="144"/>
      <c r="C1003" s="319"/>
      <c r="D1003" s="319"/>
      <c r="E1003" s="319"/>
      <c r="F1003" s="319"/>
      <c r="G1003" s="320"/>
      <c r="H1003" s="320"/>
      <c r="I1003" s="14"/>
      <c r="J1003" s="14"/>
      <c r="K1003" s="14"/>
      <c r="L1003" s="14"/>
      <c r="M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  <c r="AA1003" s="134"/>
      <c r="AB1003" s="134"/>
      <c r="AC1003" s="134"/>
      <c r="AD1003" s="134"/>
      <c r="AE1003" s="134"/>
      <c r="AF1003" s="134"/>
      <c r="AG1003" s="134"/>
      <c r="AH1003" s="134"/>
    </row>
    <row r="1004">
      <c r="A1004" s="143"/>
      <c r="B1004" s="144"/>
      <c r="C1004" s="319"/>
      <c r="D1004" s="319"/>
      <c r="E1004" s="319"/>
      <c r="F1004" s="319"/>
      <c r="G1004" s="320"/>
      <c r="H1004" s="320"/>
      <c r="I1004" s="14"/>
      <c r="J1004" s="14"/>
      <c r="K1004" s="14"/>
      <c r="L1004" s="14"/>
      <c r="M1004" s="134"/>
      <c r="Q1004" s="134"/>
      <c r="R1004" s="134"/>
      <c r="S1004" s="134"/>
      <c r="T1004" s="134"/>
      <c r="U1004" s="134"/>
      <c r="V1004" s="134"/>
      <c r="W1004" s="134"/>
      <c r="X1004" s="134"/>
      <c r="Y1004" s="134"/>
      <c r="Z1004" s="134"/>
      <c r="AA1004" s="134"/>
      <c r="AB1004" s="134"/>
      <c r="AC1004" s="134"/>
      <c r="AD1004" s="134"/>
      <c r="AE1004" s="134"/>
      <c r="AF1004" s="134"/>
      <c r="AG1004" s="134"/>
      <c r="AH1004" s="134"/>
    </row>
    <row r="1005">
      <c r="A1005" s="143"/>
      <c r="B1005" s="144"/>
      <c r="C1005" s="319"/>
      <c r="D1005" s="319"/>
      <c r="E1005" s="319"/>
      <c r="F1005" s="319"/>
      <c r="G1005" s="320"/>
      <c r="H1005" s="320"/>
      <c r="I1005" s="14"/>
      <c r="J1005" s="14"/>
      <c r="K1005" s="14"/>
      <c r="L1005" s="14"/>
      <c r="M1005" s="134"/>
      <c r="Q1005" s="134"/>
      <c r="R1005" s="134"/>
      <c r="S1005" s="134"/>
      <c r="T1005" s="134"/>
      <c r="U1005" s="134"/>
      <c r="V1005" s="134"/>
      <c r="W1005" s="134"/>
      <c r="X1005" s="134"/>
      <c r="Y1005" s="134"/>
      <c r="Z1005" s="134"/>
      <c r="AA1005" s="134"/>
      <c r="AB1005" s="134"/>
      <c r="AC1005" s="134"/>
      <c r="AD1005" s="134"/>
      <c r="AE1005" s="134"/>
      <c r="AF1005" s="134"/>
      <c r="AG1005" s="134"/>
      <c r="AH1005" s="134"/>
    </row>
    <row r="1006">
      <c r="A1006" s="143"/>
      <c r="B1006" s="144"/>
      <c r="C1006" s="319"/>
      <c r="D1006" s="319"/>
      <c r="E1006" s="319"/>
      <c r="F1006" s="319"/>
      <c r="G1006" s="320"/>
      <c r="H1006" s="320"/>
      <c r="I1006" s="14"/>
      <c r="J1006" s="14"/>
      <c r="K1006" s="14"/>
      <c r="L1006" s="14"/>
      <c r="M1006" s="134"/>
      <c r="Q1006" s="134"/>
      <c r="R1006" s="134"/>
      <c r="S1006" s="134"/>
      <c r="T1006" s="134"/>
      <c r="U1006" s="134"/>
      <c r="V1006" s="134"/>
      <c r="W1006" s="134"/>
      <c r="X1006" s="134"/>
      <c r="Y1006" s="134"/>
      <c r="Z1006" s="134"/>
      <c r="AA1006" s="134"/>
      <c r="AB1006" s="134"/>
      <c r="AC1006" s="134"/>
      <c r="AD1006" s="134"/>
      <c r="AE1006" s="134"/>
      <c r="AF1006" s="134"/>
      <c r="AG1006" s="134"/>
      <c r="AH1006" s="134"/>
    </row>
    <row r="1007">
      <c r="A1007" s="143"/>
      <c r="B1007" s="144"/>
      <c r="C1007" s="319"/>
      <c r="D1007" s="319"/>
      <c r="E1007" s="319"/>
      <c r="F1007" s="319"/>
      <c r="G1007" s="320"/>
      <c r="H1007" s="320"/>
      <c r="I1007" s="14"/>
      <c r="J1007" s="14"/>
      <c r="K1007" s="14"/>
      <c r="L1007" s="14"/>
      <c r="M1007" s="134"/>
      <c r="Q1007" s="134"/>
      <c r="R1007" s="134"/>
      <c r="S1007" s="134"/>
      <c r="T1007" s="134"/>
      <c r="U1007" s="134"/>
      <c r="V1007" s="134"/>
      <c r="W1007" s="134"/>
      <c r="X1007" s="134"/>
      <c r="Y1007" s="134"/>
      <c r="Z1007" s="134"/>
      <c r="AA1007" s="134"/>
      <c r="AB1007" s="134"/>
      <c r="AC1007" s="134"/>
      <c r="AD1007" s="134"/>
      <c r="AE1007" s="134"/>
      <c r="AF1007" s="134"/>
      <c r="AG1007" s="134"/>
      <c r="AH1007" s="134"/>
    </row>
    <row r="1008">
      <c r="A1008" s="143"/>
      <c r="B1008" s="144"/>
      <c r="C1008" s="319"/>
      <c r="D1008" s="319"/>
      <c r="E1008" s="319"/>
      <c r="F1008" s="319"/>
      <c r="G1008" s="320"/>
      <c r="H1008" s="320"/>
      <c r="I1008" s="14"/>
      <c r="J1008" s="14"/>
      <c r="K1008" s="14"/>
      <c r="L1008" s="14"/>
      <c r="M1008" s="134"/>
      <c r="Q1008" s="134"/>
      <c r="R1008" s="134"/>
      <c r="S1008" s="134"/>
      <c r="T1008" s="134"/>
      <c r="U1008" s="134"/>
      <c r="V1008" s="134"/>
      <c r="W1008" s="134"/>
      <c r="X1008" s="134"/>
      <c r="Y1008" s="134"/>
      <c r="Z1008" s="134"/>
      <c r="AA1008" s="134"/>
      <c r="AB1008" s="134"/>
      <c r="AC1008" s="134"/>
      <c r="AD1008" s="134"/>
      <c r="AE1008" s="134"/>
      <c r="AF1008" s="134"/>
      <c r="AG1008" s="134"/>
      <c r="AH1008" s="134"/>
    </row>
    <row r="1009">
      <c r="A1009" s="143"/>
      <c r="B1009" s="144"/>
      <c r="C1009" s="319"/>
      <c r="D1009" s="319"/>
      <c r="E1009" s="319"/>
      <c r="F1009" s="319"/>
      <c r="G1009" s="320"/>
      <c r="H1009" s="320"/>
      <c r="I1009" s="14"/>
      <c r="J1009" s="14"/>
      <c r="K1009" s="14"/>
      <c r="L1009" s="14"/>
      <c r="M1009" s="134"/>
      <c r="Q1009" s="134"/>
      <c r="R1009" s="134"/>
      <c r="S1009" s="134"/>
      <c r="T1009" s="134"/>
      <c r="U1009" s="134"/>
      <c r="V1009" s="134"/>
      <c r="W1009" s="134"/>
      <c r="X1009" s="134"/>
      <c r="Y1009" s="134"/>
      <c r="Z1009" s="134"/>
      <c r="AA1009" s="134"/>
      <c r="AB1009" s="134"/>
      <c r="AC1009" s="134"/>
      <c r="AD1009" s="134"/>
      <c r="AE1009" s="134"/>
      <c r="AF1009" s="134"/>
      <c r="AG1009" s="134"/>
      <c r="AH1009" s="134"/>
    </row>
  </sheetData>
  <mergeCells count="1">
    <mergeCell ref="A2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6" t="s">
        <v>652</v>
      </c>
      <c r="B1" s="21" t="s">
        <v>21</v>
      </c>
      <c r="C1" s="59" t="s">
        <v>653</v>
      </c>
      <c r="D1" s="59" t="s">
        <v>654</v>
      </c>
      <c r="E1" s="24" t="s">
        <v>655</v>
      </c>
      <c r="F1" s="24" t="s">
        <v>656</v>
      </c>
      <c r="G1" s="21" t="s">
        <v>657</v>
      </c>
      <c r="H1" s="127" t="s">
        <v>658</v>
      </c>
      <c r="J1" s="127" t="s">
        <v>660</v>
      </c>
      <c r="K1" s="127" t="s">
        <v>661</v>
      </c>
      <c r="L1" s="127" t="s">
        <v>662</v>
      </c>
      <c r="M1" s="127" t="s">
        <v>663</v>
      </c>
      <c r="N1" s="127" t="s">
        <v>664</v>
      </c>
      <c r="O1" s="127" t="s">
        <v>665</v>
      </c>
      <c r="P1" s="127" t="s">
        <v>666</v>
      </c>
      <c r="Q1" s="127" t="s">
        <v>667</v>
      </c>
      <c r="R1" s="127" t="s">
        <v>668</v>
      </c>
      <c r="S1" s="127" t="s">
        <v>659</v>
      </c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>
      <c r="A2" s="124" t="s">
        <v>669</v>
      </c>
      <c r="B2" s="124" t="s">
        <v>670</v>
      </c>
      <c r="C2" s="137" t="s">
        <v>671</v>
      </c>
      <c r="D2" s="124" t="s">
        <v>334</v>
      </c>
      <c r="E2" s="138">
        <v>0.0</v>
      </c>
      <c r="F2" s="138">
        <v>11.0</v>
      </c>
      <c r="G2" s="139" t="str">
        <f t="array" ref="G2">IF(H2="","",IFERROR(
  "https://sealeddeck.tech/" &amp; INDEX('Pool Changes'!F:F,
    MAX(
      ROW('Pool Changes'!A:A) *
      ('Pool Changes'!B:B=D2) *
      ('Pool Changes'!F:F&lt;&gt;"")
    )
  ),
  ""
))</f>
        <v>https://sealeddeck.tech/RQ3FEie3Fp</v>
      </c>
      <c r="H2" s="139" t="str">
        <f>IFERROR(__xludf.DUMMYFUNCTION("LET(changes,FILTER('Pool Changes'!$B:$D, 'Pool Changes'!$B:$B = $D2),added,FILTER(INDEX(changes,0,3),INDEX(changes,0,2)=""starting pool""),TRANSPOSE(IFERROR(ARRAYFORMULA(IF(added&lt;&gt;"""",""https://sealeddeck.tech/""&amp;added,"""")),"""")))"),"https://sealeddeck.tech/tnFRwCeGTe")</f>
        <v>https://sealeddeck.tech/tnFRwCeGTe</v>
      </c>
      <c r="I2" s="139" t="str">
        <f>IFERROR(__xludf.DUMMYFUNCTION("LET(changes,FILTER('Pool Changes'!$B:$D, 'Pool Changes'!$B:$B = $D2),added,FILTER(INDEX(changes,0,3),INDEX(changes,0,2)=""add pack""),IFERROR(TRANSPOSE(ARRAYFORMULA(IF(added&lt;&gt;"""",HYPERLINK(""https://sealeddeck.tech/""&amp;added,""Link""),""""))),""""))"),"Link")</f>
        <v>Link</v>
      </c>
      <c r="J2" s="139" t="str">
        <f>IFERROR(__xludf.DUMMYFUNCTION("""COMPUTED_VALUE"""),"Link")</f>
        <v>Link</v>
      </c>
      <c r="K2" s="139" t="str">
        <f>IFERROR(__xludf.DUMMYFUNCTION("""COMPUTED_VALUE"""),"Link")</f>
        <v>Link</v>
      </c>
      <c r="L2" s="139" t="str">
        <f>IFERROR(__xludf.DUMMYFUNCTION("""COMPUTED_VALUE"""),"Link")</f>
        <v>Link</v>
      </c>
      <c r="M2" s="139" t="str">
        <f>IFERROR(__xludf.DUMMYFUNCTION("""COMPUTED_VALUE"""),"Link")</f>
        <v>Link</v>
      </c>
      <c r="N2" s="139" t="str">
        <f>IFERROR(__xludf.DUMMYFUNCTION("""COMPUTED_VALUE"""),"Link")</f>
        <v>Link</v>
      </c>
      <c r="O2" s="140"/>
      <c r="P2" s="140"/>
      <c r="Q2" s="140"/>
      <c r="R2" s="140"/>
      <c r="S2" s="141" t="str">
        <f t="shared" ref="S2:S240" si="1">EXTRACT_URL(CELL("address", G2))</f>
        <v>https://sealeddeck.tech/RQ3FEie3Fp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24" t="s">
        <v>672</v>
      </c>
      <c r="B3" s="124" t="s">
        <v>673</v>
      </c>
      <c r="C3" s="137" t="s">
        <v>674</v>
      </c>
      <c r="D3" s="124" t="s">
        <v>96</v>
      </c>
      <c r="E3" s="138">
        <v>14.0</v>
      </c>
      <c r="F3" s="138">
        <v>11.0</v>
      </c>
      <c r="G3" s="139" t="str">
        <f t="array" ref="G3">IF(H3="","",IFERROR(
  "https://sealeddeck.tech/" &amp; INDEX('Pool Changes'!F:F,
    MAX(
      ROW('Pool Changes'!A:A) *
      ('Pool Changes'!B:B=D3) *
      ('Pool Changes'!F:F&lt;&gt;"")
    )
  ),
  ""
))</f>
        <v>https://sealeddeck.tech/gKHhnTj2qv</v>
      </c>
      <c r="H3" s="139" t="str">
        <f>IFERROR(__xludf.DUMMYFUNCTION("LET(changes,FILTER('Pool Changes'!$B:$D, 'Pool Changes'!$B:$B = $D3),added,FILTER(INDEX(changes,0,3),INDEX(changes,0,2)=""starting pool""),TRANSPOSE(IFERROR(ARRAYFORMULA(IF(added&lt;&gt;"""",""https://sealeddeck.tech/""&amp;added,"""")),"""")))"),"https://sealeddeck.tech/HKWtkUtzKJ")</f>
        <v>https://sealeddeck.tech/HKWtkUtzKJ</v>
      </c>
      <c r="I3" s="139" t="str">
        <f>IFERROR(__xludf.DUMMYFUNCTION("LET(changes,FILTER('Pool Changes'!$B:$D, 'Pool Changes'!$B:$B = $D3),added,FILTER(INDEX(changes,0,3),INDEX(changes,0,2)=""add pack""),IFERROR(TRANSPOSE(ARRAYFORMULA(IF(added&lt;&gt;"""",HYPERLINK(""https://sealeddeck.tech/""&amp;added,""Link""),""""))),""""))"),"Link")</f>
        <v>Link</v>
      </c>
      <c r="J3" s="139" t="str">
        <f>IFERROR(__xludf.DUMMYFUNCTION("""COMPUTED_VALUE"""),"Link")</f>
        <v>Link</v>
      </c>
      <c r="K3" s="139" t="str">
        <f>IFERROR(__xludf.DUMMYFUNCTION("""COMPUTED_VALUE"""),"Link")</f>
        <v>Link</v>
      </c>
      <c r="L3" s="139" t="str">
        <f>IFERROR(__xludf.DUMMYFUNCTION("""COMPUTED_VALUE"""),"Link")</f>
        <v>Link</v>
      </c>
      <c r="M3" s="142" t="str">
        <f>IFERROR(__xludf.DUMMYFUNCTION("""COMPUTED_VALUE"""),"Link")</f>
        <v>Link</v>
      </c>
      <c r="N3" s="142" t="str">
        <f>IFERROR(__xludf.DUMMYFUNCTION("""COMPUTED_VALUE"""),"Link")</f>
        <v>Link</v>
      </c>
      <c r="O3" s="142" t="str">
        <f>IFERROR(__xludf.DUMMYFUNCTION("""COMPUTED_VALUE"""),"Link")</f>
        <v>Link</v>
      </c>
      <c r="P3" s="139" t="str">
        <f>IFERROR(__xludf.DUMMYFUNCTION("""COMPUTED_VALUE"""),"Link")</f>
        <v>Link</v>
      </c>
      <c r="Q3" s="142" t="str">
        <f>IFERROR(__xludf.DUMMYFUNCTION("""COMPUTED_VALUE"""),"Link")</f>
        <v>Link</v>
      </c>
      <c r="R3" s="142" t="str">
        <f>IFERROR(__xludf.DUMMYFUNCTION("""COMPUTED_VALUE"""),"Link")</f>
        <v>Link</v>
      </c>
      <c r="S3" s="141" t="str">
        <f t="shared" si="1"/>
        <v>https://sealeddeck.tech/gKHhnTj2qv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24" t="s">
        <v>675</v>
      </c>
      <c r="B4" s="124" t="s">
        <v>676</v>
      </c>
      <c r="C4" s="137" t="s">
        <v>677</v>
      </c>
      <c r="D4" s="124" t="s">
        <v>409</v>
      </c>
      <c r="E4" s="138">
        <v>9.0</v>
      </c>
      <c r="F4" s="138">
        <v>11.0</v>
      </c>
      <c r="G4" s="139" t="str">
        <f t="array" ref="G4">IF(H4="","",IFERROR(
  "https://sealeddeck.tech/" &amp; INDEX('Pool Changes'!F:F,
    MAX(
      ROW('Pool Changes'!A:A) *
      ('Pool Changes'!B:B=D4) *
      ('Pool Changes'!F:F&lt;&gt;"")
    )
  ),
  ""
))</f>
        <v>https://sealeddeck.tech/szCvSywCD9</v>
      </c>
      <c r="H4" s="139" t="str">
        <f>IFERROR(__xludf.DUMMYFUNCTION("LET(changes,FILTER('Pool Changes'!$B:$D, 'Pool Changes'!$B:$B = $D4),added,FILTER(INDEX(changes,0,3),INDEX(changes,0,2)=""starting pool""),TRANSPOSE(IFERROR(ARRAYFORMULA(IF(added&lt;&gt;"""",""https://sealeddeck.tech/""&amp;added,"""")),"""")))"),"https://sealeddeck.tech/HEhZ1bPPf9")</f>
        <v>https://sealeddeck.tech/HEhZ1bPPf9</v>
      </c>
      <c r="I4" s="139" t="str">
        <f>IFERROR(__xludf.DUMMYFUNCTION("LET(changes,FILTER('Pool Changes'!$B:$D, 'Pool Changes'!$B:$B = $D4),added,FILTER(INDEX(changes,0,3),INDEX(changes,0,2)=""add pack""),IFERROR(TRANSPOSE(ARRAYFORMULA(IF(added&lt;&gt;"""",HYPERLINK(""https://sealeddeck.tech/""&amp;added,""Link""),""""))),""""))"),"Link")</f>
        <v>Link</v>
      </c>
      <c r="J4" s="139" t="str">
        <f>IFERROR(__xludf.DUMMYFUNCTION("""COMPUTED_VALUE"""),"Link")</f>
        <v>Link</v>
      </c>
      <c r="K4" s="139" t="str">
        <f>IFERROR(__xludf.DUMMYFUNCTION("""COMPUTED_VALUE"""),"Link")</f>
        <v>Link</v>
      </c>
      <c r="L4" s="139" t="str">
        <f>IFERROR(__xludf.DUMMYFUNCTION("""COMPUTED_VALUE"""),"Link")</f>
        <v>Link</v>
      </c>
      <c r="M4" s="142" t="str">
        <f>IFERROR(__xludf.DUMMYFUNCTION("""COMPUTED_VALUE"""),"Link")</f>
        <v>Link</v>
      </c>
      <c r="N4" s="142" t="str">
        <f>IFERROR(__xludf.DUMMYFUNCTION("""COMPUTED_VALUE"""),"Link")</f>
        <v>Link</v>
      </c>
      <c r="O4" s="142" t="str">
        <f>IFERROR(__xludf.DUMMYFUNCTION("""COMPUTED_VALUE"""),"Link")</f>
        <v>Link</v>
      </c>
      <c r="P4" s="139" t="str">
        <f>IFERROR(__xludf.DUMMYFUNCTION("""COMPUTED_VALUE"""),"Link")</f>
        <v>Link</v>
      </c>
      <c r="Q4" s="142" t="str">
        <f>IFERROR(__xludf.DUMMYFUNCTION("""COMPUTED_VALUE"""),"Link")</f>
        <v>Link</v>
      </c>
      <c r="R4" s="142" t="str">
        <f>IFERROR(__xludf.DUMMYFUNCTION("""COMPUTED_VALUE"""),"Link")</f>
        <v>Link</v>
      </c>
      <c r="S4" s="141" t="str">
        <f t="shared" si="1"/>
        <v>https://sealeddeck.tech/szCvSywCD9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24" t="s">
        <v>678</v>
      </c>
      <c r="B5" s="124" t="s">
        <v>679</v>
      </c>
      <c r="C5" s="137" t="s">
        <v>680</v>
      </c>
      <c r="D5" s="124" t="s">
        <v>77</v>
      </c>
      <c r="E5" s="138">
        <v>4.0</v>
      </c>
      <c r="F5" s="138">
        <v>11.0</v>
      </c>
      <c r="G5" s="139" t="str">
        <f t="array" ref="G5">IF(H5="","",IFERROR(
  "https://sealeddeck.tech/" &amp; INDEX('Pool Changes'!F:F,
    MAX(
      ROW('Pool Changes'!A:A) *
      ('Pool Changes'!B:B=D5) *
      ('Pool Changes'!F:F&lt;&gt;"")
    )
  ),
  ""
))</f>
        <v>https://sealeddeck.tech/LNz1qtXhB6</v>
      </c>
      <c r="H5" s="139" t="str">
        <f>IFERROR(__xludf.DUMMYFUNCTION("LET(changes,FILTER('Pool Changes'!$B:$D, 'Pool Changes'!$B:$B = $D5),added,FILTER(INDEX(changes,0,3),INDEX(changes,0,2)=""starting pool""),TRANSPOSE(IFERROR(ARRAYFORMULA(IF(added&lt;&gt;"""",""https://sealeddeck.tech/""&amp;added,"""")),"""")))"),"https://sealeddeck.tech/HDxSDqgQZu")</f>
        <v>https://sealeddeck.tech/HDxSDqgQZu</v>
      </c>
      <c r="I5" s="139" t="str">
        <f>IFERROR(__xludf.DUMMYFUNCTION("LET(changes,FILTER('Pool Changes'!$B:$D, 'Pool Changes'!$B:$B = $D5),added,FILTER(INDEX(changes,0,3),INDEX(changes,0,2)=""add pack""),IFERROR(TRANSPOSE(ARRAYFORMULA(IF(added&lt;&gt;"""",HYPERLINK(""https://sealeddeck.tech/""&amp;added,""Link""),""""))),""""))"),"Link")</f>
        <v>Link</v>
      </c>
      <c r="J5" s="139" t="str">
        <f>IFERROR(__xludf.DUMMYFUNCTION("""COMPUTED_VALUE"""),"Link")</f>
        <v>Link</v>
      </c>
      <c r="K5" s="139" t="str">
        <f>IFERROR(__xludf.DUMMYFUNCTION("""COMPUTED_VALUE"""),"Link")</f>
        <v>Link</v>
      </c>
      <c r="L5" s="139" t="str">
        <f>IFERROR(__xludf.DUMMYFUNCTION("""COMPUTED_VALUE"""),"Link")</f>
        <v>Link</v>
      </c>
      <c r="M5" s="142" t="str">
        <f>IFERROR(__xludf.DUMMYFUNCTION("""COMPUTED_VALUE"""),"Link")</f>
        <v>Link</v>
      </c>
      <c r="N5" s="142" t="str">
        <f>IFERROR(__xludf.DUMMYFUNCTION("""COMPUTED_VALUE"""),"Link")</f>
        <v>Link</v>
      </c>
      <c r="O5" s="142" t="str">
        <f>IFERROR(__xludf.DUMMYFUNCTION("""COMPUTED_VALUE"""),"Link")</f>
        <v>Link</v>
      </c>
      <c r="P5" s="139" t="str">
        <f>IFERROR(__xludf.DUMMYFUNCTION("""COMPUTED_VALUE"""),"Link")</f>
        <v>Link</v>
      </c>
      <c r="Q5" s="140"/>
      <c r="R5" s="140"/>
      <c r="S5" s="141" t="str">
        <f t="shared" si="1"/>
        <v>https://sealeddeck.tech/LNz1qtXhB6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24" t="s">
        <v>681</v>
      </c>
      <c r="B6" s="124" t="s">
        <v>682</v>
      </c>
      <c r="C6" s="137" t="s">
        <v>683</v>
      </c>
      <c r="D6" s="124" t="s">
        <v>238</v>
      </c>
      <c r="E6" s="138">
        <v>18.0</v>
      </c>
      <c r="F6" s="138">
        <v>11.0</v>
      </c>
      <c r="G6" s="139" t="str">
        <f t="array" ref="G6">IF(H6="","",IFERROR(
  "https://sealeddeck.tech/" &amp; INDEX('Pool Changes'!F:F,
    MAX(
      ROW('Pool Changes'!A:A) *
      ('Pool Changes'!B:B=D6) *
      ('Pool Changes'!F:F&lt;&gt;"")
    )
  ),
  ""
))</f>
        <v>https://sealeddeck.tech/AX8YL7JTtk</v>
      </c>
      <c r="H6" s="139" t="str">
        <f>IFERROR(__xludf.DUMMYFUNCTION("LET(changes,FILTER('Pool Changes'!$B:$D, 'Pool Changes'!$B:$B = $D6),added,FILTER(INDEX(changes,0,3),INDEX(changes,0,2)=""starting pool""),TRANSPOSE(IFERROR(ARRAYFORMULA(IF(added&lt;&gt;"""",""https://sealeddeck.tech/""&amp;added,"""")),"""")))"),"https://sealeddeck.tech/4JPykaNq5F")</f>
        <v>https://sealeddeck.tech/4JPykaNq5F</v>
      </c>
      <c r="I6" s="139" t="str">
        <f>IFERROR(__xludf.DUMMYFUNCTION("LET(changes,FILTER('Pool Changes'!$B:$D, 'Pool Changes'!$B:$B = $D6),added,FILTER(INDEX(changes,0,3),INDEX(changes,0,2)=""add pack""),IFERROR(TRANSPOSE(ARRAYFORMULA(IF(added&lt;&gt;"""",HYPERLINK(""https://sealeddeck.tech/""&amp;added,""Link""),""""))),""""))"),"Link")</f>
        <v>Link</v>
      </c>
      <c r="J6" s="139" t="str">
        <f>IFERROR(__xludf.DUMMYFUNCTION("""COMPUTED_VALUE"""),"Link")</f>
        <v>Link</v>
      </c>
      <c r="K6" s="139" t="str">
        <f>IFERROR(__xludf.DUMMYFUNCTION("""COMPUTED_VALUE"""),"Link")</f>
        <v>Link</v>
      </c>
      <c r="L6" s="139" t="str">
        <f>IFERROR(__xludf.DUMMYFUNCTION("""COMPUTED_VALUE"""),"Link")</f>
        <v>Link</v>
      </c>
      <c r="M6" s="142" t="str">
        <f>IFERROR(__xludf.DUMMYFUNCTION("""COMPUTED_VALUE"""),"Link")</f>
        <v>Link</v>
      </c>
      <c r="N6" s="142" t="str">
        <f>IFERROR(__xludf.DUMMYFUNCTION("""COMPUTED_VALUE"""),"Link")</f>
        <v>Link</v>
      </c>
      <c r="O6" s="142" t="str">
        <f>IFERROR(__xludf.DUMMYFUNCTION("""COMPUTED_VALUE"""),"Link")</f>
        <v>Link</v>
      </c>
      <c r="P6" s="139" t="str">
        <f>IFERROR(__xludf.DUMMYFUNCTION("""COMPUTED_VALUE"""),"Link")</f>
        <v>Link</v>
      </c>
      <c r="Q6" s="142" t="str">
        <f>IFERROR(__xludf.DUMMYFUNCTION("""COMPUTED_VALUE"""),"Link")</f>
        <v>Link</v>
      </c>
      <c r="R6" s="142" t="str">
        <f>IFERROR(__xludf.DUMMYFUNCTION("""COMPUTED_VALUE"""),"Link")</f>
        <v>Link</v>
      </c>
      <c r="S6" s="141" t="str">
        <f t="shared" si="1"/>
        <v>https://sealeddeck.tech/AX8YL7JTtk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>
      <c r="A7" s="124" t="s">
        <v>684</v>
      </c>
      <c r="B7" s="124" t="s">
        <v>685</v>
      </c>
      <c r="C7" s="137" t="s">
        <v>686</v>
      </c>
      <c r="D7" s="124" t="s">
        <v>252</v>
      </c>
      <c r="E7" s="138">
        <v>15.0</v>
      </c>
      <c r="F7" s="138">
        <v>11.0</v>
      </c>
      <c r="G7" s="139" t="str">
        <f t="array" ref="G7">IF(H7="","",IFERROR(
  "https://sealeddeck.tech/" &amp; INDEX('Pool Changes'!F:F,
    MAX(
      ROW('Pool Changes'!A:A) *
      ('Pool Changes'!B:B=D7) *
      ('Pool Changes'!F:F&lt;&gt;"")
    )
  ),
  ""
))</f>
        <v>https://sealeddeck.tech/uvswtttvQn</v>
      </c>
      <c r="H7" s="139" t="str">
        <f>IFERROR(__xludf.DUMMYFUNCTION("LET(changes,FILTER('Pool Changes'!$B:$D, 'Pool Changes'!$B:$B = $D7),added,FILTER(INDEX(changes,0,3),INDEX(changes,0,2)=""starting pool""),TRANSPOSE(IFERROR(ARRAYFORMULA(IF(added&lt;&gt;"""",""https://sealeddeck.tech/""&amp;added,"""")),"""")))"),"https://sealeddeck.tech/BA3yvfHpzc")</f>
        <v>https://sealeddeck.tech/BA3yvfHpzc</v>
      </c>
      <c r="I7" s="139" t="str">
        <f>IFERROR(__xludf.DUMMYFUNCTION("LET(changes,FILTER('Pool Changes'!$B:$D, 'Pool Changes'!$B:$B = $D7),added,FILTER(INDEX(changes,0,3),INDEX(changes,0,2)=""add pack""),IFERROR(TRANSPOSE(ARRAYFORMULA(IF(added&lt;&gt;"""",HYPERLINK(""https://sealeddeck.tech/""&amp;added,""Link""),""""))),""""))"),"Link")</f>
        <v>Link</v>
      </c>
      <c r="J7" s="139" t="str">
        <f>IFERROR(__xludf.DUMMYFUNCTION("""COMPUTED_VALUE"""),"Link")</f>
        <v>Link</v>
      </c>
      <c r="K7" s="139" t="str">
        <f>IFERROR(__xludf.DUMMYFUNCTION("""COMPUTED_VALUE"""),"Link")</f>
        <v>Link</v>
      </c>
      <c r="L7" s="139" t="str">
        <f>IFERROR(__xludf.DUMMYFUNCTION("""COMPUTED_VALUE"""),"Link")</f>
        <v>Link</v>
      </c>
      <c r="M7" s="142" t="str">
        <f>IFERROR(__xludf.DUMMYFUNCTION("""COMPUTED_VALUE"""),"Link")</f>
        <v>Link</v>
      </c>
      <c r="N7" s="142" t="str">
        <f>IFERROR(__xludf.DUMMYFUNCTION("""COMPUTED_VALUE"""),"Link")</f>
        <v>Link</v>
      </c>
      <c r="O7" s="142" t="str">
        <f>IFERROR(__xludf.DUMMYFUNCTION("""COMPUTED_VALUE"""),"Link")</f>
        <v>Link</v>
      </c>
      <c r="P7" s="139" t="str">
        <f>IFERROR(__xludf.DUMMYFUNCTION("""COMPUTED_VALUE"""),"Link")</f>
        <v>Link</v>
      </c>
      <c r="Q7" s="142" t="str">
        <f>IFERROR(__xludf.DUMMYFUNCTION("""COMPUTED_VALUE"""),"Link")</f>
        <v>Link</v>
      </c>
      <c r="R7" s="142" t="str">
        <f>IFERROR(__xludf.DUMMYFUNCTION("""COMPUTED_VALUE"""),"Link")</f>
        <v>Link</v>
      </c>
      <c r="S7" s="141" t="str">
        <f t="shared" si="1"/>
        <v>https://sealeddeck.tech/RQ3FEie3Fp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>
      <c r="A8" s="124" t="s">
        <v>687</v>
      </c>
      <c r="B8" s="124" t="s">
        <v>688</v>
      </c>
      <c r="C8" s="137" t="s">
        <v>689</v>
      </c>
      <c r="D8" s="124" t="s">
        <v>284</v>
      </c>
      <c r="E8" s="138">
        <v>17.0</v>
      </c>
      <c r="F8" s="138">
        <v>11.0</v>
      </c>
      <c r="G8" s="139" t="str">
        <f t="array" ref="G8">IF(H8="","",IFERROR(
  "https://sealeddeck.tech/" &amp; INDEX('Pool Changes'!F:F,
    MAX(
      ROW('Pool Changes'!A:A) *
      ('Pool Changes'!B:B=D8) *
      ('Pool Changes'!F:F&lt;&gt;"")
    )
  ),
  ""
))</f>
        <v>https://sealeddeck.tech/J1mVf2kiVs</v>
      </c>
      <c r="H8" s="139" t="str">
        <f>IFERROR(__xludf.DUMMYFUNCTION("LET(changes,FILTER('Pool Changes'!$B:$D, 'Pool Changes'!$B:$B = $D8),added,FILTER(INDEX(changes,0,3),INDEX(changes,0,2)=""starting pool""),TRANSPOSE(IFERROR(ARRAYFORMULA(IF(added&lt;&gt;"""",""https://sealeddeck.tech/""&amp;added,"""")),"""")))"),"https://sealeddeck.tech/GDjjzHCx7c")</f>
        <v>https://sealeddeck.tech/GDjjzHCx7c</v>
      </c>
      <c r="I8" s="139" t="str">
        <f>IFERROR(__xludf.DUMMYFUNCTION("LET(changes,FILTER('Pool Changes'!$B:$D, 'Pool Changes'!$B:$B = $D8),added,FILTER(INDEX(changes,0,3),INDEX(changes,0,2)=""add pack""),IFERROR(TRANSPOSE(ARRAYFORMULA(IF(added&lt;&gt;"""",HYPERLINK(""https://sealeddeck.tech/""&amp;added,""Link""),""""))),""""))"),"Link")</f>
        <v>Link</v>
      </c>
      <c r="J8" s="139" t="str">
        <f>IFERROR(__xludf.DUMMYFUNCTION("""COMPUTED_VALUE"""),"Link")</f>
        <v>Link</v>
      </c>
      <c r="K8" s="139" t="str">
        <f>IFERROR(__xludf.DUMMYFUNCTION("""COMPUTED_VALUE"""),"Link")</f>
        <v>Link</v>
      </c>
      <c r="L8" s="139" t="str">
        <f>IFERROR(__xludf.DUMMYFUNCTION("""COMPUTED_VALUE"""),"Link")</f>
        <v>Link</v>
      </c>
      <c r="M8" s="142" t="str">
        <f>IFERROR(__xludf.DUMMYFUNCTION("""COMPUTED_VALUE"""),"Link")</f>
        <v>Link</v>
      </c>
      <c r="N8" s="142" t="str">
        <f>IFERROR(__xludf.DUMMYFUNCTION("""COMPUTED_VALUE"""),"Link")</f>
        <v>Link</v>
      </c>
      <c r="O8" s="142" t="str">
        <f>IFERROR(__xludf.DUMMYFUNCTION("""COMPUTED_VALUE"""),"Link")</f>
        <v>Link</v>
      </c>
      <c r="P8" s="139" t="str">
        <f>IFERROR(__xludf.DUMMYFUNCTION("""COMPUTED_VALUE"""),"Link")</f>
        <v>Link</v>
      </c>
      <c r="Q8" s="142" t="str">
        <f>IFERROR(__xludf.DUMMYFUNCTION("""COMPUTED_VALUE"""),"Link")</f>
        <v>Link</v>
      </c>
      <c r="R8" s="142" t="str">
        <f>IFERROR(__xludf.DUMMYFUNCTION("""COMPUTED_VALUE"""),"Link")</f>
        <v>Link</v>
      </c>
      <c r="S8" s="141" t="str">
        <f t="shared" si="1"/>
        <v>https://sealeddeck.tech/gKHhnTj2qv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>
      <c r="A9" s="124" t="s">
        <v>690</v>
      </c>
      <c r="B9" s="124" t="s">
        <v>691</v>
      </c>
      <c r="C9" s="137" t="s">
        <v>692</v>
      </c>
      <c r="D9" s="124" t="s">
        <v>189</v>
      </c>
      <c r="E9" s="138">
        <v>12.0</v>
      </c>
      <c r="F9" s="138">
        <v>11.0</v>
      </c>
      <c r="G9" s="139" t="str">
        <f t="array" ref="G9">IF(H9="","",IFERROR(
  "https://sealeddeck.tech/" &amp; INDEX('Pool Changes'!F:F,
    MAX(
      ROW('Pool Changes'!A:A) *
      ('Pool Changes'!B:B=D9) *
      ('Pool Changes'!F:F&lt;&gt;"")
    )
  ),
  ""
))</f>
        <v>https://sealeddeck.tech/fQY8NFRm1M</v>
      </c>
      <c r="H9" s="139" t="str">
        <f>IFERROR(__xludf.DUMMYFUNCTION("LET(changes,FILTER('Pool Changes'!$B:$D, 'Pool Changes'!$B:$B = $D9),added,FILTER(INDEX(changes,0,3),INDEX(changes,0,2)=""starting pool""),TRANSPOSE(IFERROR(ARRAYFORMULA(IF(added&lt;&gt;"""",""https://sealeddeck.tech/""&amp;added,"""")),"""")))"),"https://sealeddeck.tech/pND9WiswrU")</f>
        <v>https://sealeddeck.tech/pND9WiswrU</v>
      </c>
      <c r="I9" s="139" t="str">
        <f>IFERROR(__xludf.DUMMYFUNCTION("LET(changes,FILTER('Pool Changes'!$B:$D, 'Pool Changes'!$B:$B = $D9),added,FILTER(INDEX(changes,0,3),INDEX(changes,0,2)=""add pack""),IFERROR(TRANSPOSE(ARRAYFORMULA(IF(added&lt;&gt;"""",HYPERLINK(""https://sealeddeck.tech/""&amp;added,""Link""),""""))),""""))"),"Link")</f>
        <v>Link</v>
      </c>
      <c r="J9" s="139" t="str">
        <f>IFERROR(__xludf.DUMMYFUNCTION("""COMPUTED_VALUE"""),"Link")</f>
        <v>Link</v>
      </c>
      <c r="K9" s="139" t="str">
        <f>IFERROR(__xludf.DUMMYFUNCTION("""COMPUTED_VALUE"""),"Link")</f>
        <v>Link</v>
      </c>
      <c r="L9" s="139" t="str">
        <f>IFERROR(__xludf.DUMMYFUNCTION("""COMPUTED_VALUE"""),"Link")</f>
        <v>Link</v>
      </c>
      <c r="M9" s="142" t="str">
        <f>IFERROR(__xludf.DUMMYFUNCTION("""COMPUTED_VALUE"""),"Link")</f>
        <v>Link</v>
      </c>
      <c r="N9" s="142" t="str">
        <f>IFERROR(__xludf.DUMMYFUNCTION("""COMPUTED_VALUE"""),"Link")</f>
        <v>Link</v>
      </c>
      <c r="O9" s="142" t="str">
        <f>IFERROR(__xludf.DUMMYFUNCTION("""COMPUTED_VALUE"""),"Link")</f>
        <v>Link</v>
      </c>
      <c r="P9" s="139" t="str">
        <f>IFERROR(__xludf.DUMMYFUNCTION("""COMPUTED_VALUE"""),"Link")</f>
        <v>Link</v>
      </c>
      <c r="Q9" s="142" t="str">
        <f>IFERROR(__xludf.DUMMYFUNCTION("""COMPUTED_VALUE"""),"Link")</f>
        <v>Link</v>
      </c>
      <c r="R9" s="142" t="str">
        <f>IFERROR(__xludf.DUMMYFUNCTION("""COMPUTED_VALUE"""),"Link")</f>
        <v>Link</v>
      </c>
      <c r="S9" s="141" t="str">
        <f t="shared" si="1"/>
        <v>https://sealeddeck.tech/szCvSywCD9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>
      <c r="A10" s="124" t="s">
        <v>693</v>
      </c>
      <c r="B10" s="124" t="s">
        <v>694</v>
      </c>
      <c r="C10" s="137" t="s">
        <v>695</v>
      </c>
      <c r="D10" s="124" t="s">
        <v>66</v>
      </c>
      <c r="E10" s="138">
        <v>6.0</v>
      </c>
      <c r="F10" s="138">
        <v>11.0</v>
      </c>
      <c r="G10" s="139" t="str">
        <f t="array" ref="G10">IF(H10="","",IFERROR(
  "https://sealeddeck.tech/" &amp; INDEX('Pool Changes'!F:F,
    MAX(
      ROW('Pool Changes'!A:A) *
      ('Pool Changes'!B:B=D10) *
      ('Pool Changes'!F:F&lt;&gt;"")
    )
  ),
  ""
))</f>
        <v>https://sealeddeck.tech/554raRrvAS</v>
      </c>
      <c r="H10" s="139" t="str">
        <f>IFERROR(__xludf.DUMMYFUNCTION("LET(changes,FILTER('Pool Changes'!$B:$D, 'Pool Changes'!$B:$B = $D10),added,FILTER(INDEX(changes,0,3),INDEX(changes,0,2)=""starting pool""),TRANSPOSE(IFERROR(ARRAYFORMULA(IF(added&lt;&gt;"""",""https://sealeddeck.tech/""&amp;added,"""")),"""")))"),"https://sealeddeck.tech/vobjGKJUeJ")</f>
        <v>https://sealeddeck.tech/vobjGKJUeJ</v>
      </c>
      <c r="I10" s="139" t="str">
        <f>IFERROR(__xludf.DUMMYFUNCTION("LET(changes,FILTER('Pool Changes'!$B:$D, 'Pool Changes'!$B:$B = $D10),added,FILTER(INDEX(changes,0,3),INDEX(changes,0,2)=""add pack""),IFERROR(TRANSPOSE(ARRAYFORMULA(IF(added&lt;&gt;"""",HYPERLINK(""https://sealeddeck.tech/""&amp;added,""Link""),""""))),""""))"),"Link")</f>
        <v>Link</v>
      </c>
      <c r="J10" s="139" t="str">
        <f>IFERROR(__xludf.DUMMYFUNCTION("""COMPUTED_VALUE"""),"Link")</f>
        <v>Link</v>
      </c>
      <c r="K10" s="139" t="str">
        <f>IFERROR(__xludf.DUMMYFUNCTION("""COMPUTED_VALUE"""),"Link")</f>
        <v>Link</v>
      </c>
      <c r="L10" s="139" t="str">
        <f>IFERROR(__xludf.DUMMYFUNCTION("""COMPUTED_VALUE"""),"Link")</f>
        <v>Link</v>
      </c>
      <c r="M10" s="142" t="str">
        <f>IFERROR(__xludf.DUMMYFUNCTION("""COMPUTED_VALUE"""),"Link")</f>
        <v>Link</v>
      </c>
      <c r="N10" s="142" t="str">
        <f>IFERROR(__xludf.DUMMYFUNCTION("""COMPUTED_VALUE"""),"Link")</f>
        <v>Link</v>
      </c>
      <c r="O10" s="142" t="str">
        <f>IFERROR(__xludf.DUMMYFUNCTION("""COMPUTED_VALUE"""),"Link")</f>
        <v>Link</v>
      </c>
      <c r="P10" s="139" t="str">
        <f>IFERROR(__xludf.DUMMYFUNCTION("""COMPUTED_VALUE"""),"Link")</f>
        <v>Link</v>
      </c>
      <c r="Q10" s="142" t="str">
        <f>IFERROR(__xludf.DUMMYFUNCTION("""COMPUTED_VALUE"""),"Link")</f>
        <v>Link</v>
      </c>
      <c r="R10" s="142" t="str">
        <f>IFERROR(__xludf.DUMMYFUNCTION("""COMPUTED_VALUE"""),"Link")</f>
        <v>Link</v>
      </c>
      <c r="S10" s="141" t="str">
        <f t="shared" si="1"/>
        <v>https://sealeddeck.tech/LNz1qtXhB6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>
      <c r="A11" s="124" t="s">
        <v>696</v>
      </c>
      <c r="B11" s="124" t="s">
        <v>697</v>
      </c>
      <c r="C11" s="137" t="s">
        <v>698</v>
      </c>
      <c r="D11" s="124" t="s">
        <v>350</v>
      </c>
      <c r="E11" s="138">
        <v>19.0</v>
      </c>
      <c r="F11" s="138">
        <v>11.0</v>
      </c>
      <c r="G11" s="139" t="str">
        <f t="array" ref="G11">IF(H11="","",IFERROR(
  "https://sealeddeck.tech/" &amp; INDEX('Pool Changes'!F:F,
    MAX(
      ROW('Pool Changes'!A:A) *
      ('Pool Changes'!B:B=D11) *
      ('Pool Changes'!F:F&lt;&gt;"")
    )
  ),
  ""
))</f>
        <v>https://sealeddeck.tech/zEuDZcU64B</v>
      </c>
      <c r="H11" s="139" t="str">
        <f>IFERROR(__xludf.DUMMYFUNCTION("LET(changes,FILTER('Pool Changes'!$B:$D, 'Pool Changes'!$B:$B = $D11),added,FILTER(INDEX(changes,0,3),INDEX(changes,0,2)=""starting pool""),TRANSPOSE(IFERROR(ARRAYFORMULA(IF(added&lt;&gt;"""",""https://sealeddeck.tech/""&amp;added,"""")),"""")))"),"https://sealeddeck.tech/Qv1XLmZKtX")</f>
        <v>https://sealeddeck.tech/Qv1XLmZKtX</v>
      </c>
      <c r="I11" s="139" t="str">
        <f>IFERROR(__xludf.DUMMYFUNCTION("LET(changes,FILTER('Pool Changes'!$B:$D, 'Pool Changes'!$B:$B = $D11),added,FILTER(INDEX(changes,0,3),INDEX(changes,0,2)=""add pack""),IFERROR(TRANSPOSE(ARRAYFORMULA(IF(added&lt;&gt;"""",HYPERLINK(""https://sealeddeck.tech/""&amp;added,""Link""),""""))),""""))"),"Link")</f>
        <v>Link</v>
      </c>
      <c r="J11" s="139" t="str">
        <f>IFERROR(__xludf.DUMMYFUNCTION("""COMPUTED_VALUE"""),"Link")</f>
        <v>Link</v>
      </c>
      <c r="K11" s="139" t="str">
        <f>IFERROR(__xludf.DUMMYFUNCTION("""COMPUTED_VALUE"""),"Link")</f>
        <v>Link</v>
      </c>
      <c r="L11" s="139" t="str">
        <f>IFERROR(__xludf.DUMMYFUNCTION("""COMPUTED_VALUE"""),"Link")</f>
        <v>Link</v>
      </c>
      <c r="M11" s="142" t="str">
        <f>IFERROR(__xludf.DUMMYFUNCTION("""COMPUTED_VALUE"""),"Link")</f>
        <v>Link</v>
      </c>
      <c r="N11" s="142" t="str">
        <f>IFERROR(__xludf.DUMMYFUNCTION("""COMPUTED_VALUE"""),"Link")</f>
        <v>Link</v>
      </c>
      <c r="O11" s="142" t="str">
        <f>IFERROR(__xludf.DUMMYFUNCTION("""COMPUTED_VALUE"""),"Link")</f>
        <v>Link</v>
      </c>
      <c r="P11" s="139" t="str">
        <f>IFERROR(__xludf.DUMMYFUNCTION("""COMPUTED_VALUE"""),"Link")</f>
        <v>Link</v>
      </c>
      <c r="Q11" s="142" t="str">
        <f>IFERROR(__xludf.DUMMYFUNCTION("""COMPUTED_VALUE"""),"Link")</f>
        <v>Link</v>
      </c>
      <c r="R11" s="142" t="str">
        <f>IFERROR(__xludf.DUMMYFUNCTION("""COMPUTED_VALUE"""),"Link")</f>
        <v>Link</v>
      </c>
      <c r="S11" s="141" t="str">
        <f t="shared" si="1"/>
        <v>https://sealeddeck.tech/AX8YL7JTtk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>
      <c r="A12" s="124" t="s">
        <v>699</v>
      </c>
      <c r="B12" s="124" t="s">
        <v>700</v>
      </c>
      <c r="C12" s="137" t="s">
        <v>701</v>
      </c>
      <c r="D12" s="124" t="s">
        <v>308</v>
      </c>
      <c r="E12" s="138">
        <v>5.0</v>
      </c>
      <c r="F12" s="138">
        <v>11.0</v>
      </c>
      <c r="G12" s="139" t="str">
        <f t="array" ref="G12">IF(H12="","",IFERROR(
  "https://sealeddeck.tech/" &amp; INDEX('Pool Changes'!F:F,
    MAX(
      ROW('Pool Changes'!A:A) *
      ('Pool Changes'!B:B=D12) *
      ('Pool Changes'!F:F&lt;&gt;"")
    )
  ),
  ""
))</f>
        <v>https://sealeddeck.tech/in7WLEi8fS</v>
      </c>
      <c r="H12" s="139" t="str">
        <f>IFERROR(__xludf.DUMMYFUNCTION("LET(changes,FILTER('Pool Changes'!$B:$D, 'Pool Changes'!$B:$B = $D12),added,FILTER(INDEX(changes,0,3),INDEX(changes,0,2)=""starting pool""),TRANSPOSE(IFERROR(ARRAYFORMULA(IF(added&lt;&gt;"""",""https://sealeddeck.tech/""&amp;added,"""")),"""")))"),"https://sealeddeck.tech/58hKSrjbJG")</f>
        <v>https://sealeddeck.tech/58hKSrjbJG</v>
      </c>
      <c r="I12" s="139" t="str">
        <f>IFERROR(__xludf.DUMMYFUNCTION("LET(changes,FILTER('Pool Changes'!$B:$D, 'Pool Changes'!$B:$B = $D12),added,FILTER(INDEX(changes,0,3),INDEX(changes,0,2)=""add pack""),IFERROR(TRANSPOSE(ARRAYFORMULA(IF(added&lt;&gt;"""",HYPERLINK(""https://sealeddeck.tech/""&amp;added,""Link""),""""))),""""))"),"Link")</f>
        <v>Link</v>
      </c>
      <c r="J12" s="139" t="str">
        <f>IFERROR(__xludf.DUMMYFUNCTION("""COMPUTED_VALUE"""),"Link")</f>
        <v>Link</v>
      </c>
      <c r="K12" s="139" t="str">
        <f>IFERROR(__xludf.DUMMYFUNCTION("""COMPUTED_VALUE"""),"Link")</f>
        <v>Link</v>
      </c>
      <c r="L12" s="139" t="str">
        <f>IFERROR(__xludf.DUMMYFUNCTION("""COMPUTED_VALUE"""),"Link")</f>
        <v>Link</v>
      </c>
      <c r="M12" s="142" t="str">
        <f>IFERROR(__xludf.DUMMYFUNCTION("""COMPUTED_VALUE"""),"Link")</f>
        <v>Link</v>
      </c>
      <c r="N12" s="142" t="str">
        <f>IFERROR(__xludf.DUMMYFUNCTION("""COMPUTED_VALUE"""),"Link")</f>
        <v>Link</v>
      </c>
      <c r="O12" s="142" t="str">
        <f>IFERROR(__xludf.DUMMYFUNCTION("""COMPUTED_VALUE"""),"Link")</f>
        <v>Link</v>
      </c>
      <c r="P12" s="139" t="str">
        <f>IFERROR(__xludf.DUMMYFUNCTION("""COMPUTED_VALUE"""),"Link")</f>
        <v>Link</v>
      </c>
      <c r="Q12" s="142" t="str">
        <f>IFERROR(__xludf.DUMMYFUNCTION("""COMPUTED_VALUE"""),"Link")</f>
        <v>Link</v>
      </c>
      <c r="R12" s="142" t="str">
        <f>IFERROR(__xludf.DUMMYFUNCTION("""COMPUTED_VALUE"""),"Link")</f>
        <v>Link</v>
      </c>
      <c r="S12" s="141" t="str">
        <f t="shared" si="1"/>
        <v>https://sealeddeck.tech/uvswtttvQn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24" t="s">
        <v>702</v>
      </c>
      <c r="B13" s="124" t="s">
        <v>703</v>
      </c>
      <c r="C13" s="137" t="s">
        <v>704</v>
      </c>
      <c r="D13" s="124" t="s">
        <v>344</v>
      </c>
      <c r="E13" s="138">
        <v>18.0</v>
      </c>
      <c r="F13" s="138">
        <v>11.0</v>
      </c>
      <c r="G13" s="139" t="str">
        <f t="array" ref="G13">IF(H13="","",IFERROR(
  "https://sealeddeck.tech/" &amp; INDEX('Pool Changes'!F:F,
    MAX(
      ROW('Pool Changes'!A:A) *
      ('Pool Changes'!B:B=D13) *
      ('Pool Changes'!F:F&lt;&gt;"")
    )
  ),
  ""
))</f>
        <v>https://sealeddeck.tech/wo4kCmXShe</v>
      </c>
      <c r="H13" s="139" t="str">
        <f>IFERROR(__xludf.DUMMYFUNCTION("LET(changes,FILTER('Pool Changes'!$B:$D, 'Pool Changes'!$B:$B = $D13),added,FILTER(INDEX(changes,0,3),INDEX(changes,0,2)=""starting pool""),TRANSPOSE(IFERROR(ARRAYFORMULA(IF(added&lt;&gt;"""",""https://sealeddeck.tech/""&amp;added,"""")),"""")))"),"https://sealeddeck.tech/3DbbgPhPNN")</f>
        <v>https://sealeddeck.tech/3DbbgPhPNN</v>
      </c>
      <c r="I13" s="139" t="str">
        <f>IFERROR(__xludf.DUMMYFUNCTION("LET(changes,FILTER('Pool Changes'!$B:$D, 'Pool Changes'!$B:$B = $D13),added,FILTER(INDEX(changes,0,3),INDEX(changes,0,2)=""add pack""),IFERROR(TRANSPOSE(ARRAYFORMULA(IF(added&lt;&gt;"""",HYPERLINK(""https://sealeddeck.tech/""&amp;added,""Link""),""""))),""""))"),"Link")</f>
        <v>Link</v>
      </c>
      <c r="J13" s="139" t="str">
        <f>IFERROR(__xludf.DUMMYFUNCTION("""COMPUTED_VALUE"""),"Link")</f>
        <v>Link</v>
      </c>
      <c r="K13" s="139" t="str">
        <f>IFERROR(__xludf.DUMMYFUNCTION("""COMPUTED_VALUE"""),"Link")</f>
        <v>Link</v>
      </c>
      <c r="L13" s="139" t="str">
        <f>IFERROR(__xludf.DUMMYFUNCTION("""COMPUTED_VALUE"""),"Link")</f>
        <v>Link</v>
      </c>
      <c r="M13" s="142" t="str">
        <f>IFERROR(__xludf.DUMMYFUNCTION("""COMPUTED_VALUE"""),"Link")</f>
        <v>Link</v>
      </c>
      <c r="N13" s="142" t="str">
        <f>IFERROR(__xludf.DUMMYFUNCTION("""COMPUTED_VALUE"""),"Link")</f>
        <v>Link</v>
      </c>
      <c r="O13" s="142" t="str">
        <f>IFERROR(__xludf.DUMMYFUNCTION("""COMPUTED_VALUE"""),"Link")</f>
        <v>Link</v>
      </c>
      <c r="P13" s="139" t="str">
        <f>IFERROR(__xludf.DUMMYFUNCTION("""COMPUTED_VALUE"""),"Link")</f>
        <v>Link</v>
      </c>
      <c r="Q13" s="142" t="str">
        <f>IFERROR(__xludf.DUMMYFUNCTION("""COMPUTED_VALUE"""),"Link")</f>
        <v>Link</v>
      </c>
      <c r="R13" s="142" t="str">
        <f>IFERROR(__xludf.DUMMYFUNCTION("""COMPUTED_VALUE"""),"Link")</f>
        <v>Link</v>
      </c>
      <c r="S13" s="141" t="str">
        <f t="shared" si="1"/>
        <v>https://sealeddeck.tech/J1mVf2kiVs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24" t="s">
        <v>705</v>
      </c>
      <c r="B14" s="124" t="s">
        <v>706</v>
      </c>
      <c r="C14" s="137" t="s">
        <v>707</v>
      </c>
      <c r="D14" s="124" t="s">
        <v>371</v>
      </c>
      <c r="E14" s="138">
        <v>7.0</v>
      </c>
      <c r="F14" s="138">
        <v>11.0</v>
      </c>
      <c r="G14" s="139" t="str">
        <f t="array" ref="G14">IF(H14="","",IFERROR(
  "https://sealeddeck.tech/" &amp; INDEX('Pool Changes'!F:F,
    MAX(
      ROW('Pool Changes'!A:A) *
      ('Pool Changes'!B:B=D14) *
      ('Pool Changes'!F:F&lt;&gt;"")
    )
  ),
  ""
))</f>
        <v>https://sealeddeck.tech/8f9jfani1r</v>
      </c>
      <c r="H14" s="139" t="str">
        <f>IFERROR(__xludf.DUMMYFUNCTION("LET(changes,FILTER('Pool Changes'!$B:$D, 'Pool Changes'!$B:$B = $D14),added,FILTER(INDEX(changes,0,3),INDEX(changes,0,2)=""starting pool""),TRANSPOSE(IFERROR(ARRAYFORMULA(IF(added&lt;&gt;"""",""https://sealeddeck.tech/""&amp;added,"""")),"""")))"),"https://sealeddeck.tech/oaTPo754YZ")</f>
        <v>https://sealeddeck.tech/oaTPo754YZ</v>
      </c>
      <c r="I14" s="139" t="str">
        <f>IFERROR(__xludf.DUMMYFUNCTION("LET(changes,FILTER('Pool Changes'!$B:$D, 'Pool Changes'!$B:$B = $D14),added,FILTER(INDEX(changes,0,3),INDEX(changes,0,2)=""add pack""),IFERROR(TRANSPOSE(ARRAYFORMULA(IF(added&lt;&gt;"""",HYPERLINK(""https://sealeddeck.tech/""&amp;added,""Link""),""""))),""""))"),"Link")</f>
        <v>Link</v>
      </c>
      <c r="J14" s="139" t="str">
        <f>IFERROR(__xludf.DUMMYFUNCTION("""COMPUTED_VALUE"""),"Link")</f>
        <v>Link</v>
      </c>
      <c r="K14" s="139" t="str">
        <f>IFERROR(__xludf.DUMMYFUNCTION("""COMPUTED_VALUE"""),"Link")</f>
        <v>Link</v>
      </c>
      <c r="L14" s="139" t="str">
        <f>IFERROR(__xludf.DUMMYFUNCTION("""COMPUTED_VALUE"""),"Link")</f>
        <v>Link</v>
      </c>
      <c r="M14" s="142" t="str">
        <f>IFERROR(__xludf.DUMMYFUNCTION("""COMPUTED_VALUE"""),"Link")</f>
        <v>Link</v>
      </c>
      <c r="N14" s="142" t="str">
        <f>IFERROR(__xludf.DUMMYFUNCTION("""COMPUTED_VALUE"""),"Link")</f>
        <v>Link</v>
      </c>
      <c r="O14" s="142" t="str">
        <f>IFERROR(__xludf.DUMMYFUNCTION("""COMPUTED_VALUE"""),"Link")</f>
        <v>Link</v>
      </c>
      <c r="P14" s="139" t="str">
        <f>IFERROR(__xludf.DUMMYFUNCTION("""COMPUTED_VALUE"""),"Link")</f>
        <v>Link</v>
      </c>
      <c r="Q14" s="142" t="str">
        <f>IFERROR(__xludf.DUMMYFUNCTION("""COMPUTED_VALUE"""),"Link")</f>
        <v>Link</v>
      </c>
      <c r="R14" s="142" t="str">
        <f>IFERROR(__xludf.DUMMYFUNCTION("""COMPUTED_VALUE"""),"Link")</f>
        <v>Link</v>
      </c>
      <c r="S14" s="141" t="str">
        <f t="shared" si="1"/>
        <v>https://sealeddeck.tech/fQY8NFRm1M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24" t="s">
        <v>708</v>
      </c>
      <c r="B15" s="124" t="s">
        <v>709</v>
      </c>
      <c r="C15" s="137" t="s">
        <v>710</v>
      </c>
      <c r="D15" s="124" t="s">
        <v>296</v>
      </c>
      <c r="E15" s="138">
        <v>18.0</v>
      </c>
      <c r="F15" s="138">
        <v>11.0</v>
      </c>
      <c r="G15" s="139" t="str">
        <f t="array" ref="G15">IF(H15="","",IFERROR(
  "https://sealeddeck.tech/" &amp; INDEX('Pool Changes'!F:F,
    MAX(
      ROW('Pool Changes'!A:A) *
      ('Pool Changes'!B:B=D15) *
      ('Pool Changes'!F:F&lt;&gt;"")
    )
  ),
  ""
))</f>
        <v>https://sealeddeck.tech/imP1kBiYqC</v>
      </c>
      <c r="H15" s="139" t="str">
        <f>IFERROR(__xludf.DUMMYFUNCTION("LET(changes,FILTER('Pool Changes'!$B:$D, 'Pool Changes'!$B:$B = $D15),added,FILTER(INDEX(changes,0,3),INDEX(changes,0,2)=""starting pool""),TRANSPOSE(IFERROR(ARRAYFORMULA(IF(added&lt;&gt;"""",""https://sealeddeck.tech/""&amp;added,"""")),"""")))"),"https://sealeddeck.tech/PaJdVPdSjv")</f>
        <v>https://sealeddeck.tech/PaJdVPdSjv</v>
      </c>
      <c r="I15" s="139" t="str">
        <f>IFERROR(__xludf.DUMMYFUNCTION("LET(changes,FILTER('Pool Changes'!$B:$D, 'Pool Changes'!$B:$B = $D15),added,FILTER(INDEX(changes,0,3),INDEX(changes,0,2)=""add pack""),IFERROR(TRANSPOSE(ARRAYFORMULA(IF(added&lt;&gt;"""",HYPERLINK(""https://sealeddeck.tech/""&amp;added,""Link""),""""))),""""))"),"Link")</f>
        <v>Link</v>
      </c>
      <c r="J15" s="139" t="str">
        <f>IFERROR(__xludf.DUMMYFUNCTION("""COMPUTED_VALUE"""),"Link")</f>
        <v>Link</v>
      </c>
      <c r="K15" s="139" t="str">
        <f>IFERROR(__xludf.DUMMYFUNCTION("""COMPUTED_VALUE"""),"Link")</f>
        <v>Link</v>
      </c>
      <c r="L15" s="139" t="str">
        <f>IFERROR(__xludf.DUMMYFUNCTION("""COMPUTED_VALUE"""),"Link")</f>
        <v>Link</v>
      </c>
      <c r="M15" s="142" t="str">
        <f>IFERROR(__xludf.DUMMYFUNCTION("""COMPUTED_VALUE"""),"Link")</f>
        <v>Link</v>
      </c>
      <c r="N15" s="142" t="str">
        <f>IFERROR(__xludf.DUMMYFUNCTION("""COMPUTED_VALUE"""),"Link")</f>
        <v>Link</v>
      </c>
      <c r="O15" s="142" t="str">
        <f>IFERROR(__xludf.DUMMYFUNCTION("""COMPUTED_VALUE"""),"Link")</f>
        <v>Link</v>
      </c>
      <c r="P15" s="139" t="str">
        <f>IFERROR(__xludf.DUMMYFUNCTION("""COMPUTED_VALUE"""),"Link")</f>
        <v>Link</v>
      </c>
      <c r="Q15" s="142" t="str">
        <f>IFERROR(__xludf.DUMMYFUNCTION("""COMPUTED_VALUE"""),"Link")</f>
        <v>Link</v>
      </c>
      <c r="R15" s="142" t="str">
        <f>IFERROR(__xludf.DUMMYFUNCTION("""COMPUTED_VALUE"""),"Link")</f>
        <v>Link</v>
      </c>
      <c r="S15" s="141" t="str">
        <f t="shared" si="1"/>
        <v>https://sealeddeck.tech/554raRrvAS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24" t="s">
        <v>711</v>
      </c>
      <c r="B16" s="124" t="s">
        <v>712</v>
      </c>
      <c r="C16" s="137" t="s">
        <v>713</v>
      </c>
      <c r="D16" s="124" t="s">
        <v>61</v>
      </c>
      <c r="E16" s="138">
        <v>12.0</v>
      </c>
      <c r="F16" s="138">
        <v>11.0</v>
      </c>
      <c r="G16" s="139" t="str">
        <f t="array" ref="G16">IF(H16="","",IFERROR(
  "https://sealeddeck.tech/" &amp; INDEX('Pool Changes'!F:F,
    MAX(
      ROW('Pool Changes'!A:A) *
      ('Pool Changes'!B:B=D16) *
      ('Pool Changes'!F:F&lt;&gt;"")
    )
  ),
  ""
))</f>
        <v>https://sealeddeck.tech/uDV4QNYzEj</v>
      </c>
      <c r="H16" s="139" t="str">
        <f>IFERROR(__xludf.DUMMYFUNCTION("LET(changes,FILTER('Pool Changes'!$B:$D, 'Pool Changes'!$B:$B = $D16),added,FILTER(INDEX(changes,0,3),INDEX(changes,0,2)=""starting pool""),TRANSPOSE(IFERROR(ARRAYFORMULA(IF(added&lt;&gt;"""",""https://sealeddeck.tech/""&amp;added,"""")),"""")))"),"https://sealeddeck.tech/qjLyYNLnUV")</f>
        <v>https://sealeddeck.tech/qjLyYNLnUV</v>
      </c>
      <c r="I16" s="139" t="str">
        <f>IFERROR(__xludf.DUMMYFUNCTION("LET(changes,FILTER('Pool Changes'!$B:$D, 'Pool Changes'!$B:$B = $D16),added,FILTER(INDEX(changes,0,3),INDEX(changes,0,2)=""add pack""),IFERROR(TRANSPOSE(ARRAYFORMULA(IF(added&lt;&gt;"""",HYPERLINK(""https://sealeddeck.tech/""&amp;added,""Link""),""""))),""""))"),"Link")</f>
        <v>Link</v>
      </c>
      <c r="J16" s="139" t="str">
        <f>IFERROR(__xludf.DUMMYFUNCTION("""COMPUTED_VALUE"""),"Link")</f>
        <v>Link</v>
      </c>
      <c r="K16" s="139" t="str">
        <f>IFERROR(__xludf.DUMMYFUNCTION("""COMPUTED_VALUE"""),"Link")</f>
        <v>Link</v>
      </c>
      <c r="L16" s="139" t="str">
        <f>IFERROR(__xludf.DUMMYFUNCTION("""COMPUTED_VALUE"""),"Link")</f>
        <v>Link</v>
      </c>
      <c r="M16" s="142" t="str">
        <f>IFERROR(__xludf.DUMMYFUNCTION("""COMPUTED_VALUE"""),"Link")</f>
        <v>Link</v>
      </c>
      <c r="N16" s="142" t="str">
        <f>IFERROR(__xludf.DUMMYFUNCTION("""COMPUTED_VALUE"""),"Link")</f>
        <v>Link</v>
      </c>
      <c r="O16" s="142" t="str">
        <f>IFERROR(__xludf.DUMMYFUNCTION("""COMPUTED_VALUE"""),"Link")</f>
        <v>Link</v>
      </c>
      <c r="P16" s="139" t="str">
        <f>IFERROR(__xludf.DUMMYFUNCTION("""COMPUTED_VALUE"""),"Link")</f>
        <v>Link</v>
      </c>
      <c r="Q16" s="142" t="str">
        <f>IFERROR(__xludf.DUMMYFUNCTION("""COMPUTED_VALUE"""),"Link")</f>
        <v>Link</v>
      </c>
      <c r="R16" s="142" t="str">
        <f>IFERROR(__xludf.DUMMYFUNCTION("""COMPUTED_VALUE"""),"Link")</f>
        <v>Link</v>
      </c>
      <c r="S16" s="141" t="str">
        <f t="shared" si="1"/>
        <v>https://sealeddeck.tech/zEuDZcU64B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24" t="s">
        <v>714</v>
      </c>
      <c r="B17" s="124" t="s">
        <v>715</v>
      </c>
      <c r="C17" s="137" t="s">
        <v>716</v>
      </c>
      <c r="D17" s="124" t="s">
        <v>63</v>
      </c>
      <c r="E17" s="138">
        <v>12.0</v>
      </c>
      <c r="F17" s="138">
        <v>11.0</v>
      </c>
      <c r="G17" s="139" t="str">
        <f t="array" ref="G17">IF(H17="","",IFERROR(
  "https://sealeddeck.tech/" &amp; INDEX('Pool Changes'!F:F,
    MAX(
      ROW('Pool Changes'!A:A) *
      ('Pool Changes'!B:B=D17) *
      ('Pool Changes'!F:F&lt;&gt;"")
    )
  ),
  ""
))</f>
        <v>https://sealeddeck.tech/5v42WKQ53b</v>
      </c>
      <c r="H17" s="139" t="str">
        <f>IFERROR(__xludf.DUMMYFUNCTION("LET(changes,FILTER('Pool Changes'!$B:$D, 'Pool Changes'!$B:$B = $D17),added,FILTER(INDEX(changes,0,3),INDEX(changes,0,2)=""starting pool""),TRANSPOSE(IFERROR(ARRAYFORMULA(IF(added&lt;&gt;"""",""https://sealeddeck.tech/""&amp;added,"""")),"""")))"),"https://sealeddeck.tech/pSXHjqErMK")</f>
        <v>https://sealeddeck.tech/pSXHjqErMK</v>
      </c>
      <c r="I17" s="139" t="str">
        <f>IFERROR(__xludf.DUMMYFUNCTION("LET(changes,FILTER('Pool Changes'!$B:$D, 'Pool Changes'!$B:$B = $D17),added,FILTER(INDEX(changes,0,3),INDEX(changes,0,2)=""add pack""),IFERROR(TRANSPOSE(ARRAYFORMULA(IF(added&lt;&gt;"""",HYPERLINK(""https://sealeddeck.tech/""&amp;added,""Link""),""""))),""""))"),"Link")</f>
        <v>Link</v>
      </c>
      <c r="J17" s="139" t="str">
        <f>IFERROR(__xludf.DUMMYFUNCTION("""COMPUTED_VALUE"""),"Link")</f>
        <v>Link</v>
      </c>
      <c r="K17" s="139" t="str">
        <f>IFERROR(__xludf.DUMMYFUNCTION("""COMPUTED_VALUE"""),"Link")</f>
        <v>Link</v>
      </c>
      <c r="L17" s="139" t="str">
        <f>IFERROR(__xludf.DUMMYFUNCTION("""COMPUTED_VALUE"""),"Link")</f>
        <v>Link</v>
      </c>
      <c r="M17" s="142" t="str">
        <f>IFERROR(__xludf.DUMMYFUNCTION("""COMPUTED_VALUE"""),"Link")</f>
        <v>Link</v>
      </c>
      <c r="N17" s="142" t="str">
        <f>IFERROR(__xludf.DUMMYFUNCTION("""COMPUTED_VALUE"""),"Link")</f>
        <v>Link</v>
      </c>
      <c r="O17" s="142" t="str">
        <f>IFERROR(__xludf.DUMMYFUNCTION("""COMPUTED_VALUE"""),"Link")</f>
        <v>Link</v>
      </c>
      <c r="P17" s="139" t="str">
        <f>IFERROR(__xludf.DUMMYFUNCTION("""COMPUTED_VALUE"""),"Link")</f>
        <v>Link</v>
      </c>
      <c r="Q17" s="142" t="str">
        <f>IFERROR(__xludf.DUMMYFUNCTION("""COMPUTED_VALUE"""),"Link")</f>
        <v>Link</v>
      </c>
      <c r="R17" s="142" t="str">
        <f>IFERROR(__xludf.DUMMYFUNCTION("""COMPUTED_VALUE"""),"Link")</f>
        <v>Link</v>
      </c>
      <c r="S17" s="141" t="str">
        <f t="shared" si="1"/>
        <v>https://sealeddeck.tech/in7WLEi8fS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24" t="s">
        <v>144</v>
      </c>
      <c r="B18" s="124" t="s">
        <v>145</v>
      </c>
      <c r="C18" s="137" t="s">
        <v>717</v>
      </c>
      <c r="D18" s="124" t="s">
        <v>271</v>
      </c>
      <c r="E18" s="138">
        <v>20.0</v>
      </c>
      <c r="F18" s="138">
        <v>10.0</v>
      </c>
      <c r="G18" s="139" t="str">
        <f t="array" ref="G18">IF(H18="","",IFERROR(
  "https://sealeddeck.tech/" &amp; INDEX('Pool Changes'!F:F,
    MAX(
      ROW('Pool Changes'!A:A) *
      ('Pool Changes'!B:B=D18) *
      ('Pool Changes'!F:F&lt;&gt;"")
    )
  ),
  ""
))</f>
        <v>https://sealeddeck.tech/owhjQNi2hw</v>
      </c>
      <c r="H18" s="139" t="str">
        <f>IFERROR(__xludf.DUMMYFUNCTION("LET(changes,FILTER('Pool Changes'!$B:$D, 'Pool Changes'!$B:$B = $D18),added,FILTER(INDEX(changes,0,3),INDEX(changes,0,2)=""starting pool""),TRANSPOSE(IFERROR(ARRAYFORMULA(IF(added&lt;&gt;"""",""https://sealeddeck.tech/""&amp;added,"""")),"""")))"),"https://sealeddeck.tech/5tDe1uJbeN")</f>
        <v>https://sealeddeck.tech/5tDe1uJbeN</v>
      </c>
      <c r="I18" s="139" t="str">
        <f>IFERROR(__xludf.DUMMYFUNCTION("LET(changes,FILTER('Pool Changes'!$B:$D, 'Pool Changes'!$B:$B = $D18),added,FILTER(INDEX(changes,0,3),INDEX(changes,0,2)=""add pack""),IFERROR(TRANSPOSE(ARRAYFORMULA(IF(added&lt;&gt;"""",HYPERLINK(""https://sealeddeck.tech/""&amp;added,""Link""),""""))),""""))"),"Link")</f>
        <v>Link</v>
      </c>
      <c r="J18" s="139" t="str">
        <f>IFERROR(__xludf.DUMMYFUNCTION("""COMPUTED_VALUE"""),"Link")</f>
        <v>Link</v>
      </c>
      <c r="K18" s="139" t="str">
        <f>IFERROR(__xludf.DUMMYFUNCTION("""COMPUTED_VALUE"""),"Link")</f>
        <v>Link</v>
      </c>
      <c r="L18" s="139" t="str">
        <f>IFERROR(__xludf.DUMMYFUNCTION("""COMPUTED_VALUE"""),"Link")</f>
        <v>Link</v>
      </c>
      <c r="M18" s="142" t="str">
        <f>IFERROR(__xludf.DUMMYFUNCTION("""COMPUTED_VALUE"""),"Link")</f>
        <v>Link</v>
      </c>
      <c r="N18" s="142" t="str">
        <f>IFERROR(__xludf.DUMMYFUNCTION("""COMPUTED_VALUE"""),"Link")</f>
        <v>Link</v>
      </c>
      <c r="O18" s="142" t="str">
        <f>IFERROR(__xludf.DUMMYFUNCTION("""COMPUTED_VALUE"""),"Link")</f>
        <v>Link</v>
      </c>
      <c r="P18" s="139" t="str">
        <f>IFERROR(__xludf.DUMMYFUNCTION("""COMPUTED_VALUE"""),"Link")</f>
        <v>Link</v>
      </c>
      <c r="Q18" s="142" t="str">
        <f>IFERROR(__xludf.DUMMYFUNCTION("""COMPUTED_VALUE"""),"Link")</f>
        <v>Link</v>
      </c>
      <c r="R18" s="142" t="str">
        <f>IFERROR(__xludf.DUMMYFUNCTION("""COMPUTED_VALUE"""),"Link")</f>
        <v>Link</v>
      </c>
      <c r="S18" s="141" t="str">
        <f t="shared" si="1"/>
        <v>https://sealeddeck.tech/wo4kCmXShe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24" t="s">
        <v>718</v>
      </c>
      <c r="B19" s="124" t="s">
        <v>719</v>
      </c>
      <c r="C19" s="137" t="s">
        <v>720</v>
      </c>
      <c r="D19" s="124" t="s">
        <v>369</v>
      </c>
      <c r="E19" s="138">
        <v>8.0</v>
      </c>
      <c r="F19" s="138">
        <v>11.0</v>
      </c>
      <c r="G19" s="139" t="str">
        <f t="array" ref="G19">IF(H19="","",IFERROR(
  "https://sealeddeck.tech/" &amp; INDEX('Pool Changes'!F:F,
    MAX(
      ROW('Pool Changes'!A:A) *
      ('Pool Changes'!B:B=D19) *
      ('Pool Changes'!F:F&lt;&gt;"")
    )
  ),
  ""
))</f>
        <v>https://sealeddeck.tech/tykBMRQfGJ</v>
      </c>
      <c r="H19" s="139" t="str">
        <f>IFERROR(__xludf.DUMMYFUNCTION("LET(changes,FILTER('Pool Changes'!$B:$D, 'Pool Changes'!$B:$B = $D19),added,FILTER(INDEX(changes,0,3),INDEX(changes,0,2)=""starting pool""),TRANSPOSE(IFERROR(ARRAYFORMULA(IF(added&lt;&gt;"""",""https://sealeddeck.tech/""&amp;added,"""")),"""")))"),"https://sealeddeck.tech/fKnSbECz9t")</f>
        <v>https://sealeddeck.tech/fKnSbECz9t</v>
      </c>
      <c r="I19" s="139" t="str">
        <f>IFERROR(__xludf.DUMMYFUNCTION("LET(changes,FILTER('Pool Changes'!$B:$D, 'Pool Changes'!$B:$B = $D19),added,FILTER(INDEX(changes,0,3),INDEX(changes,0,2)=""add pack""),IFERROR(TRANSPOSE(ARRAYFORMULA(IF(added&lt;&gt;"""",HYPERLINK(""https://sealeddeck.tech/""&amp;added,""Link""),""""))),""""))"),"Link")</f>
        <v>Link</v>
      </c>
      <c r="J19" s="139" t="str">
        <f>IFERROR(__xludf.DUMMYFUNCTION("""COMPUTED_VALUE"""),"Link")</f>
        <v>Link</v>
      </c>
      <c r="K19" s="139" t="str">
        <f>IFERROR(__xludf.DUMMYFUNCTION("""COMPUTED_VALUE"""),"Link")</f>
        <v>Link</v>
      </c>
      <c r="L19" s="139" t="str">
        <f>IFERROR(__xludf.DUMMYFUNCTION("""COMPUTED_VALUE"""),"Link")</f>
        <v>Link</v>
      </c>
      <c r="M19" s="142" t="str">
        <f>IFERROR(__xludf.DUMMYFUNCTION("""COMPUTED_VALUE"""),"Link")</f>
        <v>Link</v>
      </c>
      <c r="N19" s="142" t="str">
        <f>IFERROR(__xludf.DUMMYFUNCTION("""COMPUTED_VALUE"""),"Link")</f>
        <v>Link</v>
      </c>
      <c r="O19" s="142" t="str">
        <f>IFERROR(__xludf.DUMMYFUNCTION("""COMPUTED_VALUE"""),"Link")</f>
        <v>Link</v>
      </c>
      <c r="P19" s="139" t="str">
        <f>IFERROR(__xludf.DUMMYFUNCTION("""COMPUTED_VALUE"""),"Link")</f>
        <v>Link</v>
      </c>
      <c r="Q19" s="142" t="str">
        <f>IFERROR(__xludf.DUMMYFUNCTION("""COMPUTED_VALUE"""),"Link")</f>
        <v>Link</v>
      </c>
      <c r="R19" s="142" t="str">
        <f>IFERROR(__xludf.DUMMYFUNCTION("""COMPUTED_VALUE"""),"Link")</f>
        <v>Link</v>
      </c>
      <c r="S19" s="141" t="str">
        <f t="shared" si="1"/>
        <v>https://sealeddeck.tech/8f9jfani1r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24" t="s">
        <v>721</v>
      </c>
      <c r="B20" s="124" t="s">
        <v>722</v>
      </c>
      <c r="C20" s="137" t="s">
        <v>723</v>
      </c>
      <c r="D20" s="124" t="s">
        <v>401</v>
      </c>
      <c r="E20" s="138">
        <v>4.0</v>
      </c>
      <c r="F20" s="138">
        <v>11.0</v>
      </c>
      <c r="G20" s="139" t="str">
        <f t="array" ref="G20">IF(H20="","",IFERROR(
  "https://sealeddeck.tech/" &amp; INDEX('Pool Changes'!F:F,
    MAX(
      ROW('Pool Changes'!A:A) *
      ('Pool Changes'!B:B=D20) *
      ('Pool Changes'!F:F&lt;&gt;"")
    )
  ),
  ""
))</f>
        <v>https://sealeddeck.tech/8ZoCEr2BcJ</v>
      </c>
      <c r="H20" s="139" t="str">
        <f>IFERROR(__xludf.DUMMYFUNCTION("LET(changes,FILTER('Pool Changes'!$B:$D, 'Pool Changes'!$B:$B = $D20),added,FILTER(INDEX(changes,0,3),INDEX(changes,0,2)=""starting pool""),TRANSPOSE(IFERROR(ARRAYFORMULA(IF(added&lt;&gt;"""",""https://sealeddeck.tech/""&amp;added,"""")),"""")))"),"https://sealeddeck.tech/JLKwCzzpbV")</f>
        <v>https://sealeddeck.tech/JLKwCzzpbV</v>
      </c>
      <c r="I20" s="139" t="str">
        <f>IFERROR(__xludf.DUMMYFUNCTION("LET(changes,FILTER('Pool Changes'!$B:$D, 'Pool Changes'!$B:$B = $D20),added,FILTER(INDEX(changes,0,3),INDEX(changes,0,2)=""add pack""),IFERROR(TRANSPOSE(ARRAYFORMULA(IF(added&lt;&gt;"""",HYPERLINK(""https://sealeddeck.tech/""&amp;added,""Link""),""""))),""""))"),"Link")</f>
        <v>Link</v>
      </c>
      <c r="J20" s="139" t="str">
        <f>IFERROR(__xludf.DUMMYFUNCTION("""COMPUTED_VALUE"""),"Link")</f>
        <v>Link</v>
      </c>
      <c r="K20" s="139" t="str">
        <f>IFERROR(__xludf.DUMMYFUNCTION("""COMPUTED_VALUE"""),"Link")</f>
        <v>Link</v>
      </c>
      <c r="L20" s="139" t="str">
        <f>IFERROR(__xludf.DUMMYFUNCTION("""COMPUTED_VALUE"""),"Link")</f>
        <v>Link</v>
      </c>
      <c r="M20" s="142" t="str">
        <f>IFERROR(__xludf.DUMMYFUNCTION("""COMPUTED_VALUE"""),"Link")</f>
        <v>Link</v>
      </c>
      <c r="N20" s="142" t="str">
        <f>IFERROR(__xludf.DUMMYFUNCTION("""COMPUTED_VALUE"""),"Link")</f>
        <v>Link</v>
      </c>
      <c r="O20" s="142" t="str">
        <f>IFERROR(__xludf.DUMMYFUNCTION("""COMPUTED_VALUE"""),"Link")</f>
        <v>Link</v>
      </c>
      <c r="P20" s="139" t="str">
        <f>IFERROR(__xludf.DUMMYFUNCTION("""COMPUTED_VALUE"""),"Link")</f>
        <v>Link</v>
      </c>
      <c r="Q20" s="142" t="str">
        <f>IFERROR(__xludf.DUMMYFUNCTION("""COMPUTED_VALUE"""),"Link")</f>
        <v>Link</v>
      </c>
      <c r="R20" s="142" t="str">
        <f>IFERROR(__xludf.DUMMYFUNCTION("""COMPUTED_VALUE"""),"Link")</f>
        <v>Link</v>
      </c>
      <c r="S20" s="141" t="str">
        <f t="shared" si="1"/>
        <v>https://sealeddeck.tech/imP1kBiYqC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>
      <c r="A21" s="124" t="s">
        <v>724</v>
      </c>
      <c r="B21" s="124" t="s">
        <v>725</v>
      </c>
      <c r="C21" s="137" t="s">
        <v>726</v>
      </c>
      <c r="D21" s="124" t="s">
        <v>378</v>
      </c>
      <c r="E21" s="138">
        <v>4.0</v>
      </c>
      <c r="F21" s="138">
        <v>11.0</v>
      </c>
      <c r="G21" s="139" t="str">
        <f t="array" ref="G21">IF(H21="","",IFERROR(
  "https://sealeddeck.tech/" &amp; INDEX('Pool Changes'!F:F,
    MAX(
      ROW('Pool Changes'!A:A) *
      ('Pool Changes'!B:B=D21) *
      ('Pool Changes'!F:F&lt;&gt;"")
    )
  ),
  ""
))</f>
        <v>https://sealeddeck.tech/AaVm6RAVKY</v>
      </c>
      <c r="H21" s="139" t="str">
        <f>IFERROR(__xludf.DUMMYFUNCTION("LET(changes,FILTER('Pool Changes'!$B:$D, 'Pool Changes'!$B:$B = $D21),added,FILTER(INDEX(changes,0,3),INDEX(changes,0,2)=""starting pool""),TRANSPOSE(IFERROR(ARRAYFORMULA(IF(added&lt;&gt;"""",""https://sealeddeck.tech/""&amp;added,"""")),"""")))"),"https://sealeddeck.tech/VUa7EJwBT3")</f>
        <v>https://sealeddeck.tech/VUa7EJwBT3</v>
      </c>
      <c r="I21" s="139" t="str">
        <f>IFERROR(__xludf.DUMMYFUNCTION("LET(changes,FILTER('Pool Changes'!$B:$D, 'Pool Changes'!$B:$B = $D21),added,FILTER(INDEX(changes,0,3),INDEX(changes,0,2)=""add pack""),IFERROR(TRANSPOSE(ARRAYFORMULA(IF(added&lt;&gt;"""",HYPERLINK(""https://sealeddeck.tech/""&amp;added,""Link""),""""))),""""))"),"Link")</f>
        <v>Link</v>
      </c>
      <c r="J21" s="139" t="str">
        <f>IFERROR(__xludf.DUMMYFUNCTION("""COMPUTED_VALUE"""),"Link")</f>
        <v>Link</v>
      </c>
      <c r="K21" s="139" t="str">
        <f>IFERROR(__xludf.DUMMYFUNCTION("""COMPUTED_VALUE"""),"Link")</f>
        <v>Link</v>
      </c>
      <c r="L21" s="139" t="str">
        <f>IFERROR(__xludf.DUMMYFUNCTION("""COMPUTED_VALUE"""),"Link")</f>
        <v>Link</v>
      </c>
      <c r="M21" s="142" t="str">
        <f>IFERROR(__xludf.DUMMYFUNCTION("""COMPUTED_VALUE"""),"Link")</f>
        <v>Link</v>
      </c>
      <c r="N21" s="142" t="str">
        <f>IFERROR(__xludf.DUMMYFUNCTION("""COMPUTED_VALUE"""),"Link")</f>
        <v>Link</v>
      </c>
      <c r="O21" s="140"/>
      <c r="P21" s="140"/>
      <c r="Q21" s="140"/>
      <c r="R21" s="140"/>
      <c r="S21" s="141" t="str">
        <f t="shared" si="1"/>
        <v>https://sealeddeck.tech/uDV4QNYzEj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>
      <c r="A22" s="124" t="s">
        <v>727</v>
      </c>
      <c r="B22" s="124" t="s">
        <v>728</v>
      </c>
      <c r="C22" s="137" t="s">
        <v>729</v>
      </c>
      <c r="D22" s="124" t="s">
        <v>372</v>
      </c>
      <c r="E22" s="138">
        <v>1.0</v>
      </c>
      <c r="F22" s="138">
        <v>11.0</v>
      </c>
      <c r="G22" s="139" t="str">
        <f t="array" ref="G22">IF(H22="","",IFERROR(
  "https://sealeddeck.tech/" &amp; INDEX('Pool Changes'!F:F,
    MAX(
      ROW('Pool Changes'!A:A) *
      ('Pool Changes'!B:B=D22) *
      ('Pool Changes'!F:F&lt;&gt;"")
    )
  ),
  ""
))</f>
        <v>https://sealeddeck.tech/vrkwyZSDKg</v>
      </c>
      <c r="H22" s="139" t="str">
        <f>IFERROR(__xludf.DUMMYFUNCTION("LET(changes,FILTER('Pool Changes'!$B:$D, 'Pool Changes'!$B:$B = $D22),added,FILTER(INDEX(changes,0,3),INDEX(changes,0,2)=""starting pool""),TRANSPOSE(IFERROR(ARRAYFORMULA(IF(added&lt;&gt;"""",""https://sealeddeck.tech/""&amp;added,"""")),"""")))"),"https://sealeddeck.tech/7933tCNzrQ")</f>
        <v>https://sealeddeck.tech/7933tCNzrQ</v>
      </c>
      <c r="I22" s="139" t="str">
        <f>IFERROR(__xludf.DUMMYFUNCTION("LET(changes,FILTER('Pool Changes'!$B:$D, 'Pool Changes'!$B:$B = $D22),added,FILTER(INDEX(changes,0,3),INDEX(changes,0,2)=""add pack""),IFERROR(TRANSPOSE(ARRAYFORMULA(IF(added&lt;&gt;"""",HYPERLINK(""https://sealeddeck.tech/""&amp;added,""Link""),""""))),""""))"),"Link")</f>
        <v>Link</v>
      </c>
      <c r="J22" s="139" t="str">
        <f>IFERROR(__xludf.DUMMYFUNCTION("""COMPUTED_VALUE"""),"Link")</f>
        <v>Link</v>
      </c>
      <c r="K22" s="139" t="str">
        <f>IFERROR(__xludf.DUMMYFUNCTION("""COMPUTED_VALUE"""),"Link")</f>
        <v>Link</v>
      </c>
      <c r="L22" s="139" t="str">
        <f>IFERROR(__xludf.DUMMYFUNCTION("""COMPUTED_VALUE"""),"Link")</f>
        <v>Link</v>
      </c>
      <c r="M22" s="142" t="str">
        <f>IFERROR(__xludf.DUMMYFUNCTION("""COMPUTED_VALUE"""),"Link")</f>
        <v>Link</v>
      </c>
      <c r="N22" s="142" t="str">
        <f>IFERROR(__xludf.DUMMYFUNCTION("""COMPUTED_VALUE"""),"Link")</f>
        <v>Link</v>
      </c>
      <c r="O22" s="142" t="str">
        <f>IFERROR(__xludf.DUMMYFUNCTION("""COMPUTED_VALUE"""),"Link")</f>
        <v>Link</v>
      </c>
      <c r="P22" s="139" t="str">
        <f>IFERROR(__xludf.DUMMYFUNCTION("""COMPUTED_VALUE"""),"Link")</f>
        <v>Link</v>
      </c>
      <c r="Q22" s="142" t="str">
        <f>IFERROR(__xludf.DUMMYFUNCTION("""COMPUTED_VALUE"""),"Link")</f>
        <v>Link</v>
      </c>
      <c r="R22" s="142" t="str">
        <f>IFERROR(__xludf.DUMMYFUNCTION("""COMPUTED_VALUE"""),"Link")</f>
        <v>Link</v>
      </c>
      <c r="S22" s="141" t="str">
        <f t="shared" si="1"/>
        <v>https://sealeddeck.tech/5v42WKQ53b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>
      <c r="A23" s="124" t="s">
        <v>730</v>
      </c>
      <c r="B23" s="124" t="s">
        <v>731</v>
      </c>
      <c r="C23" s="137" t="s">
        <v>732</v>
      </c>
      <c r="D23" s="124" t="s">
        <v>273</v>
      </c>
      <c r="E23" s="138">
        <v>16.0</v>
      </c>
      <c r="F23" s="138">
        <v>11.0</v>
      </c>
      <c r="G23" s="139" t="str">
        <f t="array" ref="G23">IF(H23="","",IFERROR(
  "https://sealeddeck.tech/" &amp; INDEX('Pool Changes'!F:F,
    MAX(
      ROW('Pool Changes'!A:A) *
      ('Pool Changes'!B:B=D23) *
      ('Pool Changes'!F:F&lt;&gt;"")
    )
  ),
  ""
))</f>
        <v>https://sealeddeck.tech/citwTgq27w</v>
      </c>
      <c r="H23" s="139" t="str">
        <f>IFERROR(__xludf.DUMMYFUNCTION("LET(changes,FILTER('Pool Changes'!$B:$D, 'Pool Changes'!$B:$B = $D23),added,FILTER(INDEX(changes,0,3),INDEX(changes,0,2)=""starting pool""),TRANSPOSE(IFERROR(ARRAYFORMULA(IF(added&lt;&gt;"""",""https://sealeddeck.tech/""&amp;added,"""")),"""")))"),"https://sealeddeck.tech/NAJcTdqtJB")</f>
        <v>https://sealeddeck.tech/NAJcTdqtJB</v>
      </c>
      <c r="I23" s="139" t="str">
        <f>IFERROR(__xludf.DUMMYFUNCTION("LET(changes,FILTER('Pool Changes'!$B:$D, 'Pool Changes'!$B:$B = $D23),added,FILTER(INDEX(changes,0,3),INDEX(changes,0,2)=""add pack""),IFERROR(TRANSPOSE(ARRAYFORMULA(IF(added&lt;&gt;"""",HYPERLINK(""https://sealeddeck.tech/""&amp;added,""Link""),""""))),""""))"),"Link")</f>
        <v>Link</v>
      </c>
      <c r="J23" s="139" t="str">
        <f>IFERROR(__xludf.DUMMYFUNCTION("""COMPUTED_VALUE"""),"Link")</f>
        <v>Link</v>
      </c>
      <c r="K23" s="139" t="str">
        <f>IFERROR(__xludf.DUMMYFUNCTION("""COMPUTED_VALUE"""),"Link")</f>
        <v>Link</v>
      </c>
      <c r="L23" s="139" t="str">
        <f>IFERROR(__xludf.DUMMYFUNCTION("""COMPUTED_VALUE"""),"Link")</f>
        <v>Link</v>
      </c>
      <c r="M23" s="142" t="str">
        <f>IFERROR(__xludf.DUMMYFUNCTION("""COMPUTED_VALUE"""),"Link")</f>
        <v>Link</v>
      </c>
      <c r="N23" s="142" t="str">
        <f>IFERROR(__xludf.DUMMYFUNCTION("""COMPUTED_VALUE"""),"Link")</f>
        <v>Link</v>
      </c>
      <c r="O23" s="142" t="str">
        <f>IFERROR(__xludf.DUMMYFUNCTION("""COMPUTED_VALUE"""),"Link")</f>
        <v>Link</v>
      </c>
      <c r="P23" s="139" t="str">
        <f>IFERROR(__xludf.DUMMYFUNCTION("""COMPUTED_VALUE"""),"Link")</f>
        <v>Link</v>
      </c>
      <c r="Q23" s="142" t="str">
        <f>IFERROR(__xludf.DUMMYFUNCTION("""COMPUTED_VALUE"""),"Link")</f>
        <v>Link</v>
      </c>
      <c r="R23" s="142" t="str">
        <f>IFERROR(__xludf.DUMMYFUNCTION("""COMPUTED_VALUE"""),"Link")</f>
        <v>Link</v>
      </c>
      <c r="S23" s="141" t="str">
        <f t="shared" si="1"/>
        <v>https://sealeddeck.tech/owhjQNi2hw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>
      <c r="A24" s="124" t="s">
        <v>733</v>
      </c>
      <c r="B24" s="124" t="s">
        <v>734</v>
      </c>
      <c r="C24" s="137" t="s">
        <v>735</v>
      </c>
      <c r="D24" s="124" t="s">
        <v>264</v>
      </c>
      <c r="E24" s="138">
        <v>15.0</v>
      </c>
      <c r="F24" s="138">
        <v>11.0</v>
      </c>
      <c r="G24" s="139" t="str">
        <f t="array" ref="G24">IF(H24="","",IFERROR(
  "https://sealeddeck.tech/" &amp; INDEX('Pool Changes'!F:F,
    MAX(
      ROW('Pool Changes'!A:A) *
      ('Pool Changes'!B:B=D24) *
      ('Pool Changes'!F:F&lt;&gt;"")
    )
  ),
  ""
))</f>
        <v>https://sealeddeck.tech/dcd9KQXZ4j</v>
      </c>
      <c r="H24" s="139" t="str">
        <f>IFERROR(__xludf.DUMMYFUNCTION("LET(changes,FILTER('Pool Changes'!$B:$D, 'Pool Changes'!$B:$B = $D24),added,FILTER(INDEX(changes,0,3),INDEX(changes,0,2)=""starting pool""),TRANSPOSE(IFERROR(ARRAYFORMULA(IF(added&lt;&gt;"""",""https://sealeddeck.tech/""&amp;added,"""")),"""")))"),"https://sealeddeck.tech/MbN7CpER9e")</f>
        <v>https://sealeddeck.tech/MbN7CpER9e</v>
      </c>
      <c r="I24" s="139" t="str">
        <f>IFERROR(__xludf.DUMMYFUNCTION("LET(changes,FILTER('Pool Changes'!$B:$D, 'Pool Changes'!$B:$B = $D24),added,FILTER(INDEX(changes,0,3),INDEX(changes,0,2)=""add pack""),IFERROR(TRANSPOSE(ARRAYFORMULA(IF(added&lt;&gt;"""",HYPERLINK(""https://sealeddeck.tech/""&amp;added,""Link""),""""))),""""))"),"Link")</f>
        <v>Link</v>
      </c>
      <c r="J24" s="139" t="str">
        <f>IFERROR(__xludf.DUMMYFUNCTION("""COMPUTED_VALUE"""),"Link")</f>
        <v>Link</v>
      </c>
      <c r="K24" s="139" t="str">
        <f>IFERROR(__xludf.DUMMYFUNCTION("""COMPUTED_VALUE"""),"Link")</f>
        <v>Link</v>
      </c>
      <c r="L24" s="139" t="str">
        <f>IFERROR(__xludf.DUMMYFUNCTION("""COMPUTED_VALUE"""),"Link")</f>
        <v>Link</v>
      </c>
      <c r="M24" s="142" t="str">
        <f>IFERROR(__xludf.DUMMYFUNCTION("""COMPUTED_VALUE"""),"Link")</f>
        <v>Link</v>
      </c>
      <c r="N24" s="142" t="str">
        <f>IFERROR(__xludf.DUMMYFUNCTION("""COMPUTED_VALUE"""),"Link")</f>
        <v>Link</v>
      </c>
      <c r="O24" s="142" t="str">
        <f>IFERROR(__xludf.DUMMYFUNCTION("""COMPUTED_VALUE"""),"Link")</f>
        <v>Link</v>
      </c>
      <c r="P24" s="139" t="str">
        <f>IFERROR(__xludf.DUMMYFUNCTION("""COMPUTED_VALUE"""),"Link")</f>
        <v>Link</v>
      </c>
      <c r="Q24" s="142" t="str">
        <f>IFERROR(__xludf.DUMMYFUNCTION("""COMPUTED_VALUE"""),"Link")</f>
        <v>Link</v>
      </c>
      <c r="R24" s="142" t="str">
        <f>IFERROR(__xludf.DUMMYFUNCTION("""COMPUTED_VALUE"""),"Link")</f>
        <v>Link</v>
      </c>
      <c r="S24" s="141" t="str">
        <f t="shared" si="1"/>
        <v>https://sealeddeck.tech/tykBMRQfGJ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>
      <c r="A25" s="124" t="s">
        <v>736</v>
      </c>
      <c r="B25" s="124" t="s">
        <v>737</v>
      </c>
      <c r="C25" s="137" t="s">
        <v>738</v>
      </c>
      <c r="D25" s="124" t="s">
        <v>297</v>
      </c>
      <c r="E25" s="138">
        <v>11.0</v>
      </c>
      <c r="F25" s="138">
        <v>11.0</v>
      </c>
      <c r="G25" s="139" t="str">
        <f t="array" ref="G25">IF(H25="","",IFERROR(
  "https://sealeddeck.tech/" &amp; INDEX('Pool Changes'!F:F,
    MAX(
      ROW('Pool Changes'!A:A) *
      ('Pool Changes'!B:B=D25) *
      ('Pool Changes'!F:F&lt;&gt;"")
    )
  ),
  ""
))</f>
        <v>https://sealeddeck.tech/6EU6B5csoN</v>
      </c>
      <c r="H25" s="139" t="str">
        <f>IFERROR(__xludf.DUMMYFUNCTION("LET(changes,FILTER('Pool Changes'!$B:$D, 'Pool Changes'!$B:$B = $D25),added,FILTER(INDEX(changes,0,3),INDEX(changes,0,2)=""starting pool""),TRANSPOSE(IFERROR(ARRAYFORMULA(IF(added&lt;&gt;"""",""https://sealeddeck.tech/""&amp;added,"""")),"""")))"),"https://sealeddeck.tech/DbBNkNZXb8")</f>
        <v>https://sealeddeck.tech/DbBNkNZXb8</v>
      </c>
      <c r="I25" s="139" t="str">
        <f>IFERROR(__xludf.DUMMYFUNCTION("LET(changes,FILTER('Pool Changes'!$B:$D, 'Pool Changes'!$B:$B = $D25),added,FILTER(INDEX(changes,0,3),INDEX(changes,0,2)=""add pack""),IFERROR(TRANSPOSE(ARRAYFORMULA(IF(added&lt;&gt;"""",HYPERLINK(""https://sealeddeck.tech/""&amp;added,""Link""),""""))),""""))"),"Link")</f>
        <v>Link</v>
      </c>
      <c r="J25" s="139" t="str">
        <f>IFERROR(__xludf.DUMMYFUNCTION("""COMPUTED_VALUE"""),"Link")</f>
        <v>Link</v>
      </c>
      <c r="K25" s="139" t="str">
        <f>IFERROR(__xludf.DUMMYFUNCTION("""COMPUTED_VALUE"""),"Link")</f>
        <v>Link</v>
      </c>
      <c r="L25" s="139" t="str">
        <f>IFERROR(__xludf.DUMMYFUNCTION("""COMPUTED_VALUE"""),"Link")</f>
        <v>Link</v>
      </c>
      <c r="M25" s="142" t="str">
        <f>IFERROR(__xludf.DUMMYFUNCTION("""COMPUTED_VALUE"""),"Link")</f>
        <v>Link</v>
      </c>
      <c r="N25" s="142" t="str">
        <f>IFERROR(__xludf.DUMMYFUNCTION("""COMPUTED_VALUE"""),"Link")</f>
        <v>Link</v>
      </c>
      <c r="O25" s="142" t="str">
        <f>IFERROR(__xludf.DUMMYFUNCTION("""COMPUTED_VALUE"""),"Link")</f>
        <v>Link</v>
      </c>
      <c r="P25" s="139" t="str">
        <f>IFERROR(__xludf.DUMMYFUNCTION("""COMPUTED_VALUE"""),"Link")</f>
        <v>Link</v>
      </c>
      <c r="Q25" s="142" t="str">
        <f>IFERROR(__xludf.DUMMYFUNCTION("""COMPUTED_VALUE"""),"Link")</f>
        <v>Link</v>
      </c>
      <c r="R25" s="142" t="str">
        <f>IFERROR(__xludf.DUMMYFUNCTION("""COMPUTED_VALUE"""),"Link")</f>
        <v>Link</v>
      </c>
      <c r="S25" s="141" t="str">
        <f t="shared" si="1"/>
        <v>https://sealeddeck.tech/8ZoCEr2BcJ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>
      <c r="A26" s="124" t="s">
        <v>739</v>
      </c>
      <c r="B26" s="124" t="s">
        <v>740</v>
      </c>
      <c r="C26" s="137" t="s">
        <v>741</v>
      </c>
      <c r="D26" s="124" t="s">
        <v>410</v>
      </c>
      <c r="E26" s="138">
        <v>2.0</v>
      </c>
      <c r="F26" s="138">
        <v>11.0</v>
      </c>
      <c r="G26" s="139" t="str">
        <f t="array" ref="G26">IF(H26="","",IFERROR(
  "https://sealeddeck.tech/" &amp; INDEX('Pool Changes'!F:F,
    MAX(
      ROW('Pool Changes'!A:A) *
      ('Pool Changes'!B:B=D26) *
      ('Pool Changes'!F:F&lt;&gt;"")
    )
  ),
  ""
))</f>
        <v>https://sealeddeck.tech/e4STYDG37W</v>
      </c>
      <c r="H26" s="139" t="str">
        <f>IFERROR(__xludf.DUMMYFUNCTION("LET(changes,FILTER('Pool Changes'!$B:$D, 'Pool Changes'!$B:$B = $D26),added,FILTER(INDEX(changes,0,3),INDEX(changes,0,2)=""starting pool""),TRANSPOSE(IFERROR(ARRAYFORMULA(IF(added&lt;&gt;"""",""https://sealeddeck.tech/""&amp;added,"""")),"""")))"),"https://sealeddeck.tech/MHF9mPCfUD")</f>
        <v>https://sealeddeck.tech/MHF9mPCfUD</v>
      </c>
      <c r="I26" s="139" t="str">
        <f>IFERROR(__xludf.DUMMYFUNCTION("LET(changes,FILTER('Pool Changes'!$B:$D, 'Pool Changes'!$B:$B = $D26),added,FILTER(INDEX(changes,0,3),INDEX(changes,0,2)=""add pack""),IFERROR(TRANSPOSE(ARRAYFORMULA(IF(added&lt;&gt;"""",HYPERLINK(""https://sealeddeck.tech/""&amp;added,""Link""),""""))),""""))"),"Link")</f>
        <v>Link</v>
      </c>
      <c r="J26" s="139" t="str">
        <f>IFERROR(__xludf.DUMMYFUNCTION("""COMPUTED_VALUE"""),"Link")</f>
        <v>Link</v>
      </c>
      <c r="K26" s="139" t="str">
        <f>IFERROR(__xludf.DUMMYFUNCTION("""COMPUTED_VALUE"""),"Link")</f>
        <v>Link</v>
      </c>
      <c r="L26" s="139" t="str">
        <f>IFERROR(__xludf.DUMMYFUNCTION("""COMPUTED_VALUE"""),"Link")</f>
        <v>Link</v>
      </c>
      <c r="M26" s="142" t="str">
        <f>IFERROR(__xludf.DUMMYFUNCTION("""COMPUTED_VALUE"""),"Link")</f>
        <v>Link</v>
      </c>
      <c r="N26" s="142" t="str">
        <f>IFERROR(__xludf.DUMMYFUNCTION("""COMPUTED_VALUE"""),"Link")</f>
        <v>Link</v>
      </c>
      <c r="O26" s="142" t="str">
        <f>IFERROR(__xludf.DUMMYFUNCTION("""COMPUTED_VALUE"""),"Link")</f>
        <v>Link</v>
      </c>
      <c r="P26" s="139" t="str">
        <f>IFERROR(__xludf.DUMMYFUNCTION("""COMPUTED_VALUE"""),"Link")</f>
        <v>Link</v>
      </c>
      <c r="Q26" s="142" t="str">
        <f>IFERROR(__xludf.DUMMYFUNCTION("""COMPUTED_VALUE"""),"Link")</f>
        <v>Link</v>
      </c>
      <c r="R26" s="142" t="str">
        <f>IFERROR(__xludf.DUMMYFUNCTION("""COMPUTED_VALUE"""),"Link")</f>
        <v>Link</v>
      </c>
      <c r="S26" s="141" t="str">
        <f t="shared" si="1"/>
        <v>https://sealeddeck.tech/AaVm6RAVKY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>
      <c r="A27" s="124" t="s">
        <v>742</v>
      </c>
      <c r="B27" s="124" t="s">
        <v>743</v>
      </c>
      <c r="C27" s="137" t="s">
        <v>744</v>
      </c>
      <c r="D27" s="124" t="s">
        <v>261</v>
      </c>
      <c r="E27" s="138">
        <v>10.0</v>
      </c>
      <c r="F27" s="138">
        <v>11.0</v>
      </c>
      <c r="G27" s="139" t="str">
        <f t="array" ref="G27">IF(H27="","",IFERROR(
  "https://sealeddeck.tech/" &amp; INDEX('Pool Changes'!F:F,
    MAX(
      ROW('Pool Changes'!A:A) *
      ('Pool Changes'!B:B=D27) *
      ('Pool Changes'!F:F&lt;&gt;"")
    )
  ),
  ""
))</f>
        <v>https://sealeddeck.tech/jhFeq5VbQh</v>
      </c>
      <c r="H27" s="139" t="str">
        <f>IFERROR(__xludf.DUMMYFUNCTION("LET(changes,FILTER('Pool Changes'!$B:$D, 'Pool Changes'!$B:$B = $D27),added,FILTER(INDEX(changes,0,3),INDEX(changes,0,2)=""starting pool""),TRANSPOSE(IFERROR(ARRAYFORMULA(IF(added&lt;&gt;"""",""https://sealeddeck.tech/""&amp;added,"""")),"""")))"),"https://sealeddeck.tech/Rdx6YDW3Ar")</f>
        <v>https://sealeddeck.tech/Rdx6YDW3Ar</v>
      </c>
      <c r="I27" s="139" t="str">
        <f>IFERROR(__xludf.DUMMYFUNCTION("LET(changes,FILTER('Pool Changes'!$B:$D, 'Pool Changes'!$B:$B = $D27),added,FILTER(INDEX(changes,0,3),INDEX(changes,0,2)=""add pack""),IFERROR(TRANSPOSE(ARRAYFORMULA(IF(added&lt;&gt;"""",HYPERLINK(""https://sealeddeck.tech/""&amp;added,""Link""),""""))),""""))"),"Link")</f>
        <v>Link</v>
      </c>
      <c r="J27" s="139" t="str">
        <f>IFERROR(__xludf.DUMMYFUNCTION("""COMPUTED_VALUE"""),"Link")</f>
        <v>Link</v>
      </c>
      <c r="K27" s="139" t="str">
        <f>IFERROR(__xludf.DUMMYFUNCTION("""COMPUTED_VALUE"""),"Link")</f>
        <v>Link</v>
      </c>
      <c r="L27" s="139" t="str">
        <f>IFERROR(__xludf.DUMMYFUNCTION("""COMPUTED_VALUE"""),"Link")</f>
        <v>Link</v>
      </c>
      <c r="M27" s="142" t="str">
        <f>IFERROR(__xludf.DUMMYFUNCTION("""COMPUTED_VALUE"""),"Link")</f>
        <v>Link</v>
      </c>
      <c r="N27" s="142" t="str">
        <f>IFERROR(__xludf.DUMMYFUNCTION("""COMPUTED_VALUE"""),"Link")</f>
        <v>Link</v>
      </c>
      <c r="O27" s="142" t="str">
        <f>IFERROR(__xludf.DUMMYFUNCTION("""COMPUTED_VALUE"""),"Link")</f>
        <v>Link</v>
      </c>
      <c r="P27" s="139" t="str">
        <f>IFERROR(__xludf.DUMMYFUNCTION("""COMPUTED_VALUE"""),"Link")</f>
        <v>Link</v>
      </c>
      <c r="Q27" s="142" t="str">
        <f>IFERROR(__xludf.DUMMYFUNCTION("""COMPUTED_VALUE"""),"Link")</f>
        <v>Link</v>
      </c>
      <c r="R27" s="142" t="str">
        <f>IFERROR(__xludf.DUMMYFUNCTION("""COMPUTED_VALUE"""),"Link")</f>
        <v>Link</v>
      </c>
      <c r="S27" s="141" t="str">
        <f t="shared" si="1"/>
        <v>https://sealeddeck.tech/vrkwyZSDKg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>
      <c r="A28" s="124" t="s">
        <v>749</v>
      </c>
      <c r="B28" s="124" t="s">
        <v>750</v>
      </c>
      <c r="C28" s="137">
        <v>2.86117695143936E17</v>
      </c>
      <c r="D28" s="124" t="s">
        <v>291</v>
      </c>
      <c r="E28" s="138">
        <v>1.0</v>
      </c>
      <c r="F28" s="138">
        <v>11.0</v>
      </c>
      <c r="G28" s="139" t="str">
        <f t="array" ref="G28">IF(H28="","",IFERROR(
  "https://sealeddeck.tech/" &amp; INDEX('Pool Changes'!F:F,
    MAX(
      ROW('Pool Changes'!A:A) *
      ('Pool Changes'!B:B=D28) *
      ('Pool Changes'!F:F&lt;&gt;"")
    )
  ),
  ""
))</f>
        <v>https://sealeddeck.tech/yPJ6faYhHm</v>
      </c>
      <c r="H28" s="139" t="str">
        <f>IFERROR(__xludf.DUMMYFUNCTION("LET(changes,FILTER('Pool Changes'!$B:$D, 'Pool Changes'!$B:$B = $D28),added,FILTER(INDEX(changes,0,3),INDEX(changes,0,2)=""starting pool""),TRANSPOSE(IFERROR(ARRAYFORMULA(IF(added&lt;&gt;"""",""https://sealeddeck.tech/""&amp;added,"""")),"""")))"),"https://sealeddeck.tech/fqsS9iTfQM")</f>
        <v>https://sealeddeck.tech/fqsS9iTfQM</v>
      </c>
      <c r="I28" s="139" t="str">
        <f>IFERROR(__xludf.DUMMYFUNCTION("LET(changes,FILTER('Pool Changes'!$B:$D, 'Pool Changes'!$B:$B = $D28),added,FILTER(INDEX(changes,0,3),INDEX(changes,0,2)=""add pack""),IFERROR(TRANSPOSE(ARRAYFORMULA(IF(added&lt;&gt;"""",HYPERLINK(""https://sealeddeck.tech/""&amp;added,""Link""),""""))),""""))"),"Link")</f>
        <v>Link</v>
      </c>
      <c r="J28" s="139" t="str">
        <f>IFERROR(__xludf.DUMMYFUNCTION("""COMPUTED_VALUE"""),"Link")</f>
        <v>Link</v>
      </c>
      <c r="K28" s="139" t="str">
        <f>IFERROR(__xludf.DUMMYFUNCTION("""COMPUTED_VALUE"""),"Link")</f>
        <v>Link</v>
      </c>
      <c r="L28" s="139" t="str">
        <f>IFERROR(__xludf.DUMMYFUNCTION("""COMPUTED_VALUE"""),"Link")</f>
        <v>Link</v>
      </c>
      <c r="M28" s="142" t="str">
        <f>IFERROR(__xludf.DUMMYFUNCTION("""COMPUTED_VALUE"""),"Link")</f>
        <v>Link</v>
      </c>
      <c r="N28" s="142" t="str">
        <f>IFERROR(__xludf.DUMMYFUNCTION("""COMPUTED_VALUE"""),"Link")</f>
        <v>Link</v>
      </c>
      <c r="O28" s="142" t="str">
        <f>IFERROR(__xludf.DUMMYFUNCTION("""COMPUTED_VALUE"""),"Link")</f>
        <v>Link</v>
      </c>
      <c r="P28" s="139" t="str">
        <f>IFERROR(__xludf.DUMMYFUNCTION("""COMPUTED_VALUE"""),"Link")</f>
        <v>Link</v>
      </c>
      <c r="Q28" s="142" t="str">
        <f>IFERROR(__xludf.DUMMYFUNCTION("""COMPUTED_VALUE"""),"Link")</f>
        <v>Link</v>
      </c>
      <c r="R28" s="142" t="str">
        <f>IFERROR(__xludf.DUMMYFUNCTION("""COMPUTED_VALUE"""),"Link")</f>
        <v>Link</v>
      </c>
      <c r="S28" s="141" t="str">
        <f t="shared" si="1"/>
        <v>https://sealeddeck.tech/citwTgq27w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>
      <c r="A29" s="124" t="s">
        <v>761</v>
      </c>
      <c r="B29" s="124" t="s">
        <v>762</v>
      </c>
      <c r="C29" s="137" t="s">
        <v>763</v>
      </c>
      <c r="D29" s="124" t="s">
        <v>397</v>
      </c>
      <c r="E29" s="138">
        <v>14.0</v>
      </c>
      <c r="F29" s="138">
        <v>11.0</v>
      </c>
      <c r="G29" s="139" t="str">
        <f t="array" ref="G29">IF(H29="","",IFERROR(
  "https://sealeddeck.tech/" &amp; INDEX('Pool Changes'!F:F,
    MAX(
      ROW('Pool Changes'!A:A) *
      ('Pool Changes'!B:B=D29) *
      ('Pool Changes'!F:F&lt;&gt;"")
    )
  ),
  ""
))</f>
        <v>https://sealeddeck.tech/tiTz5GhgCW</v>
      </c>
      <c r="H29" s="139" t="str">
        <f>IFERROR(__xludf.DUMMYFUNCTION("LET(changes,FILTER('Pool Changes'!$B:$D, 'Pool Changes'!$B:$B = $D29),added,FILTER(INDEX(changes,0,3),INDEX(changes,0,2)=""starting pool""),TRANSPOSE(IFERROR(ARRAYFORMULA(IF(added&lt;&gt;"""",""https://sealeddeck.tech/""&amp;added,"""")),"""")))"),"https://sealeddeck.tech/Covbutu4S5")</f>
        <v>https://sealeddeck.tech/Covbutu4S5</v>
      </c>
      <c r="I29" s="139" t="str">
        <f>IFERROR(__xludf.DUMMYFUNCTION("LET(changes,FILTER('Pool Changes'!$B:$D, 'Pool Changes'!$B:$B = $D29),added,FILTER(INDEX(changes,0,3),INDEX(changes,0,2)=""add pack""),IFERROR(TRANSPOSE(ARRAYFORMULA(IF(added&lt;&gt;"""",HYPERLINK(""https://sealeddeck.tech/""&amp;added,""Link""),""""))),""""))"),"Link")</f>
        <v>Link</v>
      </c>
      <c r="J29" s="139" t="str">
        <f>IFERROR(__xludf.DUMMYFUNCTION("""COMPUTED_VALUE"""),"Link")</f>
        <v>Link</v>
      </c>
      <c r="K29" s="139" t="str">
        <f>IFERROR(__xludf.DUMMYFUNCTION("""COMPUTED_VALUE"""),"Link")</f>
        <v>Link</v>
      </c>
      <c r="L29" s="139" t="str">
        <f>IFERROR(__xludf.DUMMYFUNCTION("""COMPUTED_VALUE"""),"Link")</f>
        <v>Link</v>
      </c>
      <c r="M29" s="142" t="str">
        <f>IFERROR(__xludf.DUMMYFUNCTION("""COMPUTED_VALUE"""),"Link")</f>
        <v>Link</v>
      </c>
      <c r="N29" s="142" t="str">
        <f>IFERROR(__xludf.DUMMYFUNCTION("""COMPUTED_VALUE"""),"Link")</f>
        <v>Link</v>
      </c>
      <c r="O29" s="142" t="str">
        <f>IFERROR(__xludf.DUMMYFUNCTION("""COMPUTED_VALUE"""),"Link")</f>
        <v>Link</v>
      </c>
      <c r="P29" s="139" t="str">
        <f>IFERROR(__xludf.DUMMYFUNCTION("""COMPUTED_VALUE"""),"Link")</f>
        <v>Link</v>
      </c>
      <c r="Q29" s="142" t="str">
        <f>IFERROR(__xludf.DUMMYFUNCTION("""COMPUTED_VALUE"""),"Link")</f>
        <v>Link</v>
      </c>
      <c r="R29" s="142" t="str">
        <f>IFERROR(__xludf.DUMMYFUNCTION("""COMPUTED_VALUE"""),"Link")</f>
        <v>Link</v>
      </c>
      <c r="S29" s="141" t="str">
        <f t="shared" si="1"/>
        <v>https://sealeddeck.tech/dcd9KQXZ4j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>
      <c r="A30" s="124" t="s">
        <v>766</v>
      </c>
      <c r="B30" s="124" t="s">
        <v>767</v>
      </c>
      <c r="C30" s="137" t="s">
        <v>768</v>
      </c>
      <c r="D30" s="124" t="s">
        <v>239</v>
      </c>
      <c r="E30" s="138">
        <v>6.0</v>
      </c>
      <c r="F30" s="138">
        <v>11.0</v>
      </c>
      <c r="G30" s="139" t="str">
        <f t="array" ref="G30">IF(H30="","",IFERROR(
  "https://sealeddeck.tech/" &amp; INDEX('Pool Changes'!F:F,
    MAX(
      ROW('Pool Changes'!A:A) *
      ('Pool Changes'!B:B=D30) *
      ('Pool Changes'!F:F&lt;&gt;"")
    )
  ),
  ""
))</f>
        <v>https://sealeddeck.tech/wEufKrzLLu</v>
      </c>
      <c r="H30" s="139" t="str">
        <f>IFERROR(__xludf.DUMMYFUNCTION("LET(changes,FILTER('Pool Changes'!$B:$D, 'Pool Changes'!$B:$B = $D30),added,FILTER(INDEX(changes,0,3),INDEX(changes,0,2)=""starting pool""),TRANSPOSE(IFERROR(ARRAYFORMULA(IF(added&lt;&gt;"""",""https://sealeddeck.tech/""&amp;added,"""")),"""")))"),"https://sealeddeck.tech/ov9C9oJcS7")</f>
        <v>https://sealeddeck.tech/ov9C9oJcS7</v>
      </c>
      <c r="I30" s="139" t="str">
        <f>IFERROR(__xludf.DUMMYFUNCTION("LET(changes,FILTER('Pool Changes'!$B:$D, 'Pool Changes'!$B:$B = $D30),added,FILTER(INDEX(changes,0,3),INDEX(changes,0,2)=""add pack""),IFERROR(TRANSPOSE(ARRAYFORMULA(IF(added&lt;&gt;"""",HYPERLINK(""https://sealeddeck.tech/""&amp;added,""Link""),""""))),""""))"),"Link")</f>
        <v>Link</v>
      </c>
      <c r="J30" s="139" t="str">
        <f>IFERROR(__xludf.DUMMYFUNCTION("""COMPUTED_VALUE"""),"Link")</f>
        <v>Link</v>
      </c>
      <c r="K30" s="139" t="str">
        <f>IFERROR(__xludf.DUMMYFUNCTION("""COMPUTED_VALUE"""),"Link")</f>
        <v>Link</v>
      </c>
      <c r="L30" s="139" t="str">
        <f>IFERROR(__xludf.DUMMYFUNCTION("""COMPUTED_VALUE"""),"Link")</f>
        <v>Link</v>
      </c>
      <c r="M30" s="142" t="str">
        <f>IFERROR(__xludf.DUMMYFUNCTION("""COMPUTED_VALUE"""),"Link")</f>
        <v>Link</v>
      </c>
      <c r="N30" s="142" t="str">
        <f>IFERROR(__xludf.DUMMYFUNCTION("""COMPUTED_VALUE"""),"Link")</f>
        <v>Link</v>
      </c>
      <c r="O30" s="142" t="str">
        <f>IFERROR(__xludf.DUMMYFUNCTION("""COMPUTED_VALUE"""),"Link")</f>
        <v>Link</v>
      </c>
      <c r="P30" s="139" t="str">
        <f>IFERROR(__xludf.DUMMYFUNCTION("""COMPUTED_VALUE"""),"Link")</f>
        <v>Link</v>
      </c>
      <c r="Q30" s="142" t="str">
        <f>IFERROR(__xludf.DUMMYFUNCTION("""COMPUTED_VALUE"""),"Link")</f>
        <v>Link</v>
      </c>
      <c r="R30" s="140"/>
      <c r="S30" s="141" t="str">
        <f t="shared" si="1"/>
        <v>https://sealeddeck.tech/6EU6B5csoN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>
      <c r="A31" s="124" t="s">
        <v>771</v>
      </c>
      <c r="B31" s="124" t="s">
        <v>772</v>
      </c>
      <c r="C31" s="137" t="s">
        <v>773</v>
      </c>
      <c r="D31" s="124" t="s">
        <v>417</v>
      </c>
      <c r="E31" s="138">
        <v>8.0</v>
      </c>
      <c r="F31" s="138">
        <v>11.0</v>
      </c>
      <c r="G31" s="139" t="str">
        <f t="array" ref="G31">IF(H31="","",IFERROR(
  "https://sealeddeck.tech/" &amp; INDEX('Pool Changes'!F:F,
    MAX(
      ROW('Pool Changes'!A:A) *
      ('Pool Changes'!B:B=D31) *
      ('Pool Changes'!F:F&lt;&gt;"")
    )
  ),
  ""
))</f>
        <v>https://sealeddeck.tech/w3vcdkPcHX</v>
      </c>
      <c r="H31" s="139" t="str">
        <f>IFERROR(__xludf.DUMMYFUNCTION("LET(changes,FILTER('Pool Changes'!$B:$D, 'Pool Changes'!$B:$B = $D31),added,FILTER(INDEX(changes,0,3),INDEX(changes,0,2)=""starting pool""),TRANSPOSE(IFERROR(ARRAYFORMULA(IF(added&lt;&gt;"""",""https://sealeddeck.tech/""&amp;added,"""")),"""")))"),"https://sealeddeck.tech/atWUyWUFWd")</f>
        <v>https://sealeddeck.tech/atWUyWUFWd</v>
      </c>
      <c r="I31" s="139" t="str">
        <f>IFERROR(__xludf.DUMMYFUNCTION("LET(changes,FILTER('Pool Changes'!$B:$D, 'Pool Changes'!$B:$B = $D31),added,FILTER(INDEX(changes,0,3),INDEX(changes,0,2)=""add pack""),IFERROR(TRANSPOSE(ARRAYFORMULA(IF(added&lt;&gt;"""",HYPERLINK(""https://sealeddeck.tech/""&amp;added,""Link""),""""))),""""))"),"Link")</f>
        <v>Link</v>
      </c>
      <c r="J31" s="139" t="str">
        <f>IFERROR(__xludf.DUMMYFUNCTION("""COMPUTED_VALUE"""),"Link")</f>
        <v>Link</v>
      </c>
      <c r="K31" s="139" t="str">
        <f>IFERROR(__xludf.DUMMYFUNCTION("""COMPUTED_VALUE"""),"Link")</f>
        <v>Link</v>
      </c>
      <c r="L31" s="139" t="str">
        <f>IFERROR(__xludf.DUMMYFUNCTION("""COMPUTED_VALUE"""),"Link")</f>
        <v>Link</v>
      </c>
      <c r="M31" s="142" t="str">
        <f>IFERROR(__xludf.DUMMYFUNCTION("""COMPUTED_VALUE"""),"Link")</f>
        <v>Link</v>
      </c>
      <c r="N31" s="142" t="str">
        <f>IFERROR(__xludf.DUMMYFUNCTION("""COMPUTED_VALUE"""),"Link")</f>
        <v>Link</v>
      </c>
      <c r="O31" s="142" t="str">
        <f>IFERROR(__xludf.DUMMYFUNCTION("""COMPUTED_VALUE"""),"Link")</f>
        <v>Link</v>
      </c>
      <c r="P31" s="139" t="str">
        <f>IFERROR(__xludf.DUMMYFUNCTION("""COMPUTED_VALUE"""),"Link")</f>
        <v>Link</v>
      </c>
      <c r="Q31" s="142" t="str">
        <f>IFERROR(__xludf.DUMMYFUNCTION("""COMPUTED_VALUE"""),"Link")</f>
        <v>Link</v>
      </c>
      <c r="R31" s="142" t="str">
        <f>IFERROR(__xludf.DUMMYFUNCTION("""COMPUTED_VALUE"""),"Link")</f>
        <v>Link</v>
      </c>
      <c r="S31" s="141" t="str">
        <f t="shared" si="1"/>
        <v>https://sealeddeck.tech/e4STYDG37W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>
      <c r="A32" s="124" t="s">
        <v>777</v>
      </c>
      <c r="B32" s="124" t="s">
        <v>778</v>
      </c>
      <c r="C32" s="137" t="s">
        <v>779</v>
      </c>
      <c r="D32" s="124" t="s">
        <v>165</v>
      </c>
      <c r="E32" s="138">
        <v>13.0</v>
      </c>
      <c r="F32" s="138">
        <v>11.0</v>
      </c>
      <c r="G32" s="139" t="str">
        <f t="array" ref="G32">IF(H32="","",IFERROR(
  "https://sealeddeck.tech/" &amp; INDEX('Pool Changes'!F:F,
    MAX(
      ROW('Pool Changes'!A:A) *
      ('Pool Changes'!B:B=D32) *
      ('Pool Changes'!F:F&lt;&gt;"")
    )
  ),
  ""
))</f>
        <v>https://sealeddeck.tech/W7nXiXtuFb</v>
      </c>
      <c r="H32" s="139" t="str">
        <f>IFERROR(__xludf.DUMMYFUNCTION("LET(changes,FILTER('Pool Changes'!$B:$D, 'Pool Changes'!$B:$B = $D32),added,FILTER(INDEX(changes,0,3),INDEX(changes,0,2)=""starting pool""),TRANSPOSE(IFERROR(ARRAYFORMULA(IF(added&lt;&gt;"""",""https://sealeddeck.tech/""&amp;added,"""")),"""")))"),"https://sealeddeck.tech/29F5zzbogr")</f>
        <v>https://sealeddeck.tech/29F5zzbogr</v>
      </c>
      <c r="I32" s="139" t="str">
        <f>IFERROR(__xludf.DUMMYFUNCTION("LET(changes,FILTER('Pool Changes'!$B:$D, 'Pool Changes'!$B:$B = $D32),added,FILTER(INDEX(changes,0,3),INDEX(changes,0,2)=""add pack""),IFERROR(TRANSPOSE(ARRAYFORMULA(IF(added&lt;&gt;"""",HYPERLINK(""https://sealeddeck.tech/""&amp;added,""Link""),""""))),""""))"),"Link")</f>
        <v>Link</v>
      </c>
      <c r="J32" s="139" t="str">
        <f>IFERROR(__xludf.DUMMYFUNCTION("""COMPUTED_VALUE"""),"Link")</f>
        <v>Link</v>
      </c>
      <c r="K32" s="139" t="str">
        <f>IFERROR(__xludf.DUMMYFUNCTION("""COMPUTED_VALUE"""),"Link")</f>
        <v>Link</v>
      </c>
      <c r="L32" s="139" t="str">
        <f>IFERROR(__xludf.DUMMYFUNCTION("""COMPUTED_VALUE"""),"Link")</f>
        <v>Link</v>
      </c>
      <c r="M32" s="142" t="str">
        <f>IFERROR(__xludf.DUMMYFUNCTION("""COMPUTED_VALUE"""),"Link")</f>
        <v>Link</v>
      </c>
      <c r="N32" s="142" t="str">
        <f>IFERROR(__xludf.DUMMYFUNCTION("""COMPUTED_VALUE"""),"Link")</f>
        <v>Link</v>
      </c>
      <c r="O32" s="142" t="str">
        <f>IFERROR(__xludf.DUMMYFUNCTION("""COMPUTED_VALUE"""),"Link")</f>
        <v>Link</v>
      </c>
      <c r="P32" s="139" t="str">
        <f>IFERROR(__xludf.DUMMYFUNCTION("""COMPUTED_VALUE"""),"Link")</f>
        <v>Link</v>
      </c>
      <c r="Q32" s="142" t="str">
        <f>IFERROR(__xludf.DUMMYFUNCTION("""COMPUTED_VALUE"""),"Link")</f>
        <v>Link</v>
      </c>
      <c r="R32" s="142" t="str">
        <f>IFERROR(__xludf.DUMMYFUNCTION("""COMPUTED_VALUE"""),"Link")</f>
        <v>Link</v>
      </c>
      <c r="S32" s="141" t="str">
        <f t="shared" si="1"/>
        <v>https://sealeddeck.tech/jhFeq5VbQh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>
      <c r="A33" s="124" t="s">
        <v>780</v>
      </c>
      <c r="B33" s="124" t="s">
        <v>781</v>
      </c>
      <c r="C33" s="137" t="s">
        <v>782</v>
      </c>
      <c r="D33" s="124" t="s">
        <v>316</v>
      </c>
      <c r="E33" s="138">
        <v>8.0</v>
      </c>
      <c r="F33" s="138">
        <v>11.0</v>
      </c>
      <c r="G33" s="139" t="str">
        <f t="array" ref="G33">IF(H33="","",IFERROR(
  "https://sealeddeck.tech/" &amp; INDEX('Pool Changes'!F:F,
    MAX(
      ROW('Pool Changes'!A:A) *
      ('Pool Changes'!B:B=D33) *
      ('Pool Changes'!F:F&lt;&gt;"")
    )
  ),
  ""
))</f>
        <v>https://sealeddeck.tech/5pd53U3saj</v>
      </c>
      <c r="H33" s="139" t="str">
        <f>IFERROR(__xludf.DUMMYFUNCTION("LET(changes,FILTER('Pool Changes'!$B:$D, 'Pool Changes'!$B:$B = $D33),added,FILTER(INDEX(changes,0,3),INDEX(changes,0,2)=""starting pool""),TRANSPOSE(IFERROR(ARRAYFORMULA(IF(added&lt;&gt;"""",""https://sealeddeck.tech/""&amp;added,"""")),"""")))"),"https://sealeddeck.tech/aEF1ufg22P")</f>
        <v>https://sealeddeck.tech/aEF1ufg22P</v>
      </c>
      <c r="I33" s="139" t="str">
        <f>IFERROR(__xludf.DUMMYFUNCTION("LET(changes,FILTER('Pool Changes'!$B:$D, 'Pool Changes'!$B:$B = $D33),added,FILTER(INDEX(changes,0,3),INDEX(changes,0,2)=""add pack""),IFERROR(TRANSPOSE(ARRAYFORMULA(IF(added&lt;&gt;"""",HYPERLINK(""https://sealeddeck.tech/""&amp;added,""Link""),""""))),""""))"),"Link")</f>
        <v>Link</v>
      </c>
      <c r="J33" s="139" t="str">
        <f>IFERROR(__xludf.DUMMYFUNCTION("""COMPUTED_VALUE"""),"Link")</f>
        <v>Link</v>
      </c>
      <c r="K33" s="139" t="str">
        <f>IFERROR(__xludf.DUMMYFUNCTION("""COMPUTED_VALUE"""),"Link")</f>
        <v>Link</v>
      </c>
      <c r="L33" s="139" t="str">
        <f>IFERROR(__xludf.DUMMYFUNCTION("""COMPUTED_VALUE"""),"Link")</f>
        <v>Link</v>
      </c>
      <c r="M33" s="142" t="str">
        <f>IFERROR(__xludf.DUMMYFUNCTION("""COMPUTED_VALUE"""),"Link")</f>
        <v>Link</v>
      </c>
      <c r="N33" s="142" t="str">
        <f>IFERROR(__xludf.DUMMYFUNCTION("""COMPUTED_VALUE"""),"Link")</f>
        <v>Link</v>
      </c>
      <c r="O33" s="142" t="str">
        <f>IFERROR(__xludf.DUMMYFUNCTION("""COMPUTED_VALUE"""),"Link")</f>
        <v>Link</v>
      </c>
      <c r="P33" s="139" t="str">
        <f>IFERROR(__xludf.DUMMYFUNCTION("""COMPUTED_VALUE"""),"Link")</f>
        <v>Link</v>
      </c>
      <c r="Q33" s="142" t="str">
        <f>IFERROR(__xludf.DUMMYFUNCTION("""COMPUTED_VALUE"""),"Link")</f>
        <v>Link</v>
      </c>
      <c r="R33" s="142" t="str">
        <f>IFERROR(__xludf.DUMMYFUNCTION("""COMPUTED_VALUE"""),"Link")</f>
        <v>Link</v>
      </c>
      <c r="S33" s="141" t="str">
        <f t="shared" si="1"/>
        <v>https://sealeddeck.tech/yPJ6faYhHm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>
      <c r="A34" s="124" t="s">
        <v>784</v>
      </c>
      <c r="B34" s="124" t="s">
        <v>785</v>
      </c>
      <c r="C34" s="137" t="s">
        <v>786</v>
      </c>
      <c r="D34" s="124" t="s">
        <v>219</v>
      </c>
      <c r="E34" s="138">
        <v>11.0</v>
      </c>
      <c r="F34" s="138">
        <v>11.0</v>
      </c>
      <c r="G34" s="139" t="str">
        <f t="array" ref="G34">IF(H34="","",IFERROR(
  "https://sealeddeck.tech/" &amp; INDEX('Pool Changes'!F:F,
    MAX(
      ROW('Pool Changes'!A:A) *
      ('Pool Changes'!B:B=D34) *
      ('Pool Changes'!F:F&lt;&gt;"")
    )
  ),
  ""
))</f>
        <v>https://sealeddeck.tech/WYLHTeg19S</v>
      </c>
      <c r="H34" s="139" t="str">
        <f>IFERROR(__xludf.DUMMYFUNCTION("LET(changes,FILTER('Pool Changes'!$B:$D, 'Pool Changes'!$B:$B = $D34),added,FILTER(INDEX(changes,0,3),INDEX(changes,0,2)=""starting pool""),TRANSPOSE(IFERROR(ARRAYFORMULA(IF(added&lt;&gt;"""",""https://sealeddeck.tech/""&amp;added,"""")),"""")))"),"https://sealeddeck.tech/biV7gyrpXK")</f>
        <v>https://sealeddeck.tech/biV7gyrpXK</v>
      </c>
      <c r="I34" s="139" t="str">
        <f>IFERROR(__xludf.DUMMYFUNCTION("LET(changes,FILTER('Pool Changes'!$B:$D, 'Pool Changes'!$B:$B = $D34),added,FILTER(INDEX(changes,0,3),INDEX(changes,0,2)=""add pack""),IFERROR(TRANSPOSE(ARRAYFORMULA(IF(added&lt;&gt;"""",HYPERLINK(""https://sealeddeck.tech/""&amp;added,""Link""),""""))),""""))"),"Link")</f>
        <v>Link</v>
      </c>
      <c r="J34" s="139" t="str">
        <f>IFERROR(__xludf.DUMMYFUNCTION("""COMPUTED_VALUE"""),"Link")</f>
        <v>Link</v>
      </c>
      <c r="K34" s="139" t="str">
        <f>IFERROR(__xludf.DUMMYFUNCTION("""COMPUTED_VALUE"""),"Link")</f>
        <v>Link</v>
      </c>
      <c r="L34" s="139" t="str">
        <f>IFERROR(__xludf.DUMMYFUNCTION("""COMPUTED_VALUE"""),"Link")</f>
        <v>Link</v>
      </c>
      <c r="M34" s="142" t="str">
        <f>IFERROR(__xludf.DUMMYFUNCTION("""COMPUTED_VALUE"""),"Link")</f>
        <v>Link</v>
      </c>
      <c r="N34" s="142" t="str">
        <f>IFERROR(__xludf.DUMMYFUNCTION("""COMPUTED_VALUE"""),"Link")</f>
        <v>Link</v>
      </c>
      <c r="O34" s="142" t="str">
        <f>IFERROR(__xludf.DUMMYFUNCTION("""COMPUTED_VALUE"""),"Link")</f>
        <v>Link</v>
      </c>
      <c r="P34" s="139" t="str">
        <f>IFERROR(__xludf.DUMMYFUNCTION("""COMPUTED_VALUE"""),"Link")</f>
        <v>Link</v>
      </c>
      <c r="Q34" s="142" t="str">
        <f>IFERROR(__xludf.DUMMYFUNCTION("""COMPUTED_VALUE"""),"Link")</f>
        <v>Link</v>
      </c>
      <c r="R34" s="142" t="str">
        <f>IFERROR(__xludf.DUMMYFUNCTION("""COMPUTED_VALUE"""),"Link")</f>
        <v>Link</v>
      </c>
      <c r="S34" s="141" t="str">
        <f t="shared" si="1"/>
        <v>https://sealeddeck.tech/tiTz5GhgCW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>
      <c r="A35" s="124" t="s">
        <v>787</v>
      </c>
      <c r="B35" s="124" t="s">
        <v>788</v>
      </c>
      <c r="C35" s="137" t="s">
        <v>789</v>
      </c>
      <c r="D35" s="124" t="s">
        <v>191</v>
      </c>
      <c r="E35" s="138">
        <v>5.0</v>
      </c>
      <c r="F35" s="138">
        <v>11.0</v>
      </c>
      <c r="G35" s="139" t="str">
        <f t="array" ref="G35">IF(H35="","",IFERROR(
  "https://sealeddeck.tech/" &amp; INDEX('Pool Changes'!F:F,
    MAX(
      ROW('Pool Changes'!A:A) *
      ('Pool Changes'!B:B=D35) *
      ('Pool Changes'!F:F&lt;&gt;"")
    )
  ),
  ""
))</f>
        <v>https://sealeddeck.tech/v2aXhyL3GL</v>
      </c>
      <c r="H35" s="139" t="str">
        <f>IFERROR(__xludf.DUMMYFUNCTION("LET(changes,FILTER('Pool Changes'!$B:$D, 'Pool Changes'!$B:$B = $D35),added,FILTER(INDEX(changes,0,3),INDEX(changes,0,2)=""starting pool""),TRANSPOSE(IFERROR(ARRAYFORMULA(IF(added&lt;&gt;"""",""https://sealeddeck.tech/""&amp;added,"""")),"""")))"),"https://sealeddeck.tech/Yf8RrNsw15")</f>
        <v>https://sealeddeck.tech/Yf8RrNsw15</v>
      </c>
      <c r="I35" s="139" t="str">
        <f>IFERROR(__xludf.DUMMYFUNCTION("LET(changes,FILTER('Pool Changes'!$B:$D, 'Pool Changes'!$B:$B = $D35),added,FILTER(INDEX(changes,0,3),INDEX(changes,0,2)=""add pack""),IFERROR(TRANSPOSE(ARRAYFORMULA(IF(added&lt;&gt;"""",HYPERLINK(""https://sealeddeck.tech/""&amp;added,""Link""),""""))),""""))"),"Link")</f>
        <v>Link</v>
      </c>
      <c r="J35" s="139" t="str">
        <f>IFERROR(__xludf.DUMMYFUNCTION("""COMPUTED_VALUE"""),"Link")</f>
        <v>Link</v>
      </c>
      <c r="K35" s="139" t="str">
        <f>IFERROR(__xludf.DUMMYFUNCTION("""COMPUTED_VALUE"""),"Link")</f>
        <v>Link</v>
      </c>
      <c r="L35" s="139" t="str">
        <f>IFERROR(__xludf.DUMMYFUNCTION("""COMPUTED_VALUE"""),"Link")</f>
        <v>Link</v>
      </c>
      <c r="M35" s="142" t="str">
        <f>IFERROR(__xludf.DUMMYFUNCTION("""COMPUTED_VALUE"""),"Link")</f>
        <v>Link</v>
      </c>
      <c r="N35" s="142" t="str">
        <f>IFERROR(__xludf.DUMMYFUNCTION("""COMPUTED_VALUE"""),"Link")</f>
        <v>Link</v>
      </c>
      <c r="O35" s="142" t="str">
        <f>IFERROR(__xludf.DUMMYFUNCTION("""COMPUTED_VALUE"""),"Link")</f>
        <v>Link</v>
      </c>
      <c r="P35" s="139" t="str">
        <f>IFERROR(__xludf.DUMMYFUNCTION("""COMPUTED_VALUE"""),"Link")</f>
        <v>Link</v>
      </c>
      <c r="Q35" s="142" t="str">
        <f>IFERROR(__xludf.DUMMYFUNCTION("""COMPUTED_VALUE"""),"Link")</f>
        <v>Link</v>
      </c>
      <c r="R35" s="142" t="str">
        <f>IFERROR(__xludf.DUMMYFUNCTION("""COMPUTED_VALUE"""),"Link")</f>
        <v>Link</v>
      </c>
      <c r="S35" s="141" t="str">
        <f t="shared" si="1"/>
        <v>https://sealeddeck.tech/wEufKrzLLu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>
      <c r="A36" s="124" t="s">
        <v>791</v>
      </c>
      <c r="B36" s="124" t="s">
        <v>792</v>
      </c>
      <c r="C36" s="137" t="s">
        <v>793</v>
      </c>
      <c r="D36" s="124" t="s">
        <v>396</v>
      </c>
      <c r="E36" s="138">
        <v>5.0</v>
      </c>
      <c r="F36" s="138">
        <v>11.0</v>
      </c>
      <c r="G36" s="139" t="str">
        <f t="array" ref="G36">IF(H36="","",IFERROR(
  "https://sealeddeck.tech/" &amp; INDEX('Pool Changes'!F:F,
    MAX(
      ROW('Pool Changes'!A:A) *
      ('Pool Changes'!B:B=D36) *
      ('Pool Changes'!F:F&lt;&gt;"")
    )
  ),
  ""
))</f>
        <v>https://sealeddeck.tech/9A2QBa6zLr</v>
      </c>
      <c r="H36" s="139" t="str">
        <f>IFERROR(__xludf.DUMMYFUNCTION("LET(changes,FILTER('Pool Changes'!$B:$D, 'Pool Changes'!$B:$B = $D36),added,FILTER(INDEX(changes,0,3),INDEX(changes,0,2)=""starting pool""),TRANSPOSE(IFERROR(ARRAYFORMULA(IF(added&lt;&gt;"""",""https://sealeddeck.tech/""&amp;added,"""")),"""")))"),"https://sealeddeck.tech/AnXQq4oetn")</f>
        <v>https://sealeddeck.tech/AnXQq4oetn</v>
      </c>
      <c r="I36" s="139" t="str">
        <f>IFERROR(__xludf.DUMMYFUNCTION("LET(changes,FILTER('Pool Changes'!$B:$D, 'Pool Changes'!$B:$B = $D36),added,FILTER(INDEX(changes,0,3),INDEX(changes,0,2)=""add pack""),IFERROR(TRANSPOSE(ARRAYFORMULA(IF(added&lt;&gt;"""",HYPERLINK(""https://sealeddeck.tech/""&amp;added,""Link""),""""))),""""))"),"Link")</f>
        <v>Link</v>
      </c>
      <c r="J36" s="139" t="str">
        <f>IFERROR(__xludf.DUMMYFUNCTION("""COMPUTED_VALUE"""),"Link")</f>
        <v>Link</v>
      </c>
      <c r="K36" s="139" t="str">
        <f>IFERROR(__xludf.DUMMYFUNCTION("""COMPUTED_VALUE"""),"Link")</f>
        <v>Link</v>
      </c>
      <c r="L36" s="139" t="str">
        <f>IFERROR(__xludf.DUMMYFUNCTION("""COMPUTED_VALUE"""),"Link")</f>
        <v>Link</v>
      </c>
      <c r="M36" s="142" t="str">
        <f>IFERROR(__xludf.DUMMYFUNCTION("""COMPUTED_VALUE"""),"Link")</f>
        <v>Link</v>
      </c>
      <c r="N36" s="142" t="str">
        <f>IFERROR(__xludf.DUMMYFUNCTION("""COMPUTED_VALUE"""),"Link")</f>
        <v>Link</v>
      </c>
      <c r="O36" s="142" t="str">
        <f>IFERROR(__xludf.DUMMYFUNCTION("""COMPUTED_VALUE"""),"Link")</f>
        <v>Link</v>
      </c>
      <c r="P36" s="139" t="str">
        <f>IFERROR(__xludf.DUMMYFUNCTION("""COMPUTED_VALUE"""),"Link")</f>
        <v>Link</v>
      </c>
      <c r="Q36" s="142" t="str">
        <f>IFERROR(__xludf.DUMMYFUNCTION("""COMPUTED_VALUE"""),"Link")</f>
        <v>Link</v>
      </c>
      <c r="R36" s="142" t="str">
        <f>IFERROR(__xludf.DUMMYFUNCTION("""COMPUTED_VALUE"""),"Link")</f>
        <v>Link</v>
      </c>
      <c r="S36" s="141" t="str">
        <f t="shared" si="1"/>
        <v>https://sealeddeck.tech/w3vcdkPcHX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>
      <c r="A37" s="124" t="s">
        <v>795</v>
      </c>
      <c r="B37" s="124" t="s">
        <v>796</v>
      </c>
      <c r="C37" s="137" t="s">
        <v>797</v>
      </c>
      <c r="D37" s="124" t="s">
        <v>72</v>
      </c>
      <c r="E37" s="138">
        <v>2.0</v>
      </c>
      <c r="F37" s="138">
        <v>11.0</v>
      </c>
      <c r="G37" s="139" t="str">
        <f t="array" ref="G37">IF(H37="","",IFERROR(
  "https://sealeddeck.tech/" &amp; INDEX('Pool Changes'!F:F,
    MAX(
      ROW('Pool Changes'!A:A) *
      ('Pool Changes'!B:B=D37) *
      ('Pool Changes'!F:F&lt;&gt;"")
    )
  ),
  ""
))</f>
        <v>https://sealeddeck.tech/RJFRW9RZyi</v>
      </c>
      <c r="H37" s="139" t="str">
        <f>IFERROR(__xludf.DUMMYFUNCTION("LET(changes,FILTER('Pool Changes'!$B:$D, 'Pool Changes'!$B:$B = $D37),added,FILTER(INDEX(changes,0,3),INDEX(changes,0,2)=""starting pool""),TRANSPOSE(IFERROR(ARRAYFORMULA(IF(added&lt;&gt;"""",""https://sealeddeck.tech/""&amp;added,"""")),"""")))"),"https://sealeddeck.tech/7evUeKa7CD")</f>
        <v>https://sealeddeck.tech/7evUeKa7CD</v>
      </c>
      <c r="I37" s="139" t="str">
        <f>IFERROR(__xludf.DUMMYFUNCTION("LET(changes,FILTER('Pool Changes'!$B:$D, 'Pool Changes'!$B:$B = $D37),added,FILTER(INDEX(changes,0,3),INDEX(changes,0,2)=""add pack""),IFERROR(TRANSPOSE(ARRAYFORMULA(IF(added&lt;&gt;"""",HYPERLINK(""https://sealeddeck.tech/""&amp;added,""Link""),""""))),""""))"),"Link")</f>
        <v>Link</v>
      </c>
      <c r="J37" s="139" t="str">
        <f>IFERROR(__xludf.DUMMYFUNCTION("""COMPUTED_VALUE"""),"Link")</f>
        <v>Link</v>
      </c>
      <c r="K37" s="139" t="str">
        <f>IFERROR(__xludf.DUMMYFUNCTION("""COMPUTED_VALUE"""),"Link")</f>
        <v>Link</v>
      </c>
      <c r="L37" s="139" t="str">
        <f>IFERROR(__xludf.DUMMYFUNCTION("""COMPUTED_VALUE"""),"Link")</f>
        <v>Link</v>
      </c>
      <c r="M37" s="142" t="str">
        <f>IFERROR(__xludf.DUMMYFUNCTION("""COMPUTED_VALUE"""),"Link")</f>
        <v>Link</v>
      </c>
      <c r="N37" s="142" t="str">
        <f>IFERROR(__xludf.DUMMYFUNCTION("""COMPUTED_VALUE"""),"Link")</f>
        <v>Link</v>
      </c>
      <c r="O37" s="142" t="str">
        <f>IFERROR(__xludf.DUMMYFUNCTION("""COMPUTED_VALUE"""),"Link")</f>
        <v>Link</v>
      </c>
      <c r="P37" s="140"/>
      <c r="Q37" s="140"/>
      <c r="R37" s="140"/>
      <c r="S37" s="141" t="str">
        <f t="shared" si="1"/>
        <v>https://sealeddeck.tech/W7nXiXtuFb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>
      <c r="A38" s="124" t="s">
        <v>798</v>
      </c>
      <c r="B38" s="124" t="s">
        <v>799</v>
      </c>
      <c r="C38" s="137" t="s">
        <v>800</v>
      </c>
      <c r="D38" s="124" t="s">
        <v>202</v>
      </c>
      <c r="E38" s="138">
        <v>9.0</v>
      </c>
      <c r="F38" s="138">
        <v>11.0</v>
      </c>
      <c r="G38" s="139" t="str">
        <f t="array" ref="G38">IF(H38="","",IFERROR(
  "https://sealeddeck.tech/" &amp; INDEX('Pool Changes'!F:F,
    MAX(
      ROW('Pool Changes'!A:A) *
      ('Pool Changes'!B:B=D38) *
      ('Pool Changes'!F:F&lt;&gt;"")
    )
  ),
  ""
))</f>
        <v>https://sealeddeck.tech/QVpLJteDBm</v>
      </c>
      <c r="H38" s="139" t="str">
        <f>IFERROR(__xludf.DUMMYFUNCTION("LET(changes,FILTER('Pool Changes'!$B:$D, 'Pool Changes'!$B:$B = $D38),added,FILTER(INDEX(changes,0,3),INDEX(changes,0,2)=""starting pool""),TRANSPOSE(IFERROR(ARRAYFORMULA(IF(added&lt;&gt;"""",""https://sealeddeck.tech/""&amp;added,"""")),"""")))"),"https://sealeddeck.tech/e585oNSe5N")</f>
        <v>https://sealeddeck.tech/e585oNSe5N</v>
      </c>
      <c r="I38" s="139" t="str">
        <f>IFERROR(__xludf.DUMMYFUNCTION("LET(changes,FILTER('Pool Changes'!$B:$D, 'Pool Changes'!$B:$B = $D38),added,FILTER(INDEX(changes,0,3),INDEX(changes,0,2)=""add pack""),IFERROR(TRANSPOSE(ARRAYFORMULA(IF(added&lt;&gt;"""",HYPERLINK(""https://sealeddeck.tech/""&amp;added,""Link""),""""))),""""))"),"Link")</f>
        <v>Link</v>
      </c>
      <c r="J38" s="139" t="str">
        <f>IFERROR(__xludf.DUMMYFUNCTION("""COMPUTED_VALUE"""),"Link")</f>
        <v>Link</v>
      </c>
      <c r="K38" s="139" t="str">
        <f>IFERROR(__xludf.DUMMYFUNCTION("""COMPUTED_VALUE"""),"Link")</f>
        <v>Link</v>
      </c>
      <c r="L38" s="139" t="str">
        <f>IFERROR(__xludf.DUMMYFUNCTION("""COMPUTED_VALUE"""),"Link")</f>
        <v>Link</v>
      </c>
      <c r="M38" s="142" t="str">
        <f>IFERROR(__xludf.DUMMYFUNCTION("""COMPUTED_VALUE"""),"Link")</f>
        <v>Link</v>
      </c>
      <c r="N38" s="142" t="str">
        <f>IFERROR(__xludf.DUMMYFUNCTION("""COMPUTED_VALUE"""),"Link")</f>
        <v>Link</v>
      </c>
      <c r="O38" s="142" t="str">
        <f>IFERROR(__xludf.DUMMYFUNCTION("""COMPUTED_VALUE"""),"Link")</f>
        <v>Link</v>
      </c>
      <c r="P38" s="139" t="str">
        <f>IFERROR(__xludf.DUMMYFUNCTION("""COMPUTED_VALUE"""),"Link")</f>
        <v>Link</v>
      </c>
      <c r="Q38" s="142" t="str">
        <f>IFERROR(__xludf.DUMMYFUNCTION("""COMPUTED_VALUE"""),"Link")</f>
        <v>Link</v>
      </c>
      <c r="R38" s="140"/>
      <c r="S38" s="141" t="str">
        <f t="shared" si="1"/>
        <v>https://sealeddeck.tech/5pd53U3saj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>
      <c r="A39" s="124" t="s">
        <v>801</v>
      </c>
      <c r="B39" s="124" t="s">
        <v>802</v>
      </c>
      <c r="C39" s="137" t="s">
        <v>803</v>
      </c>
      <c r="D39" s="124" t="s">
        <v>379</v>
      </c>
      <c r="E39" s="138">
        <v>6.0</v>
      </c>
      <c r="F39" s="138">
        <v>11.0</v>
      </c>
      <c r="G39" s="139" t="str">
        <f t="array" ref="G39">IF(H39="","",IFERROR(
  "https://sealeddeck.tech/" &amp; INDEX('Pool Changes'!F:F,
    MAX(
      ROW('Pool Changes'!A:A) *
      ('Pool Changes'!B:B=D39) *
      ('Pool Changes'!F:F&lt;&gt;"")
    )
  ),
  ""
))</f>
        <v>https://sealeddeck.tech/7jx3e3Jq51</v>
      </c>
      <c r="H39" s="139" t="str">
        <f>IFERROR(__xludf.DUMMYFUNCTION("LET(changes,FILTER('Pool Changes'!$B:$D, 'Pool Changes'!$B:$B = $D39),added,FILTER(INDEX(changes,0,3),INDEX(changes,0,2)=""starting pool""),TRANSPOSE(IFERROR(ARRAYFORMULA(IF(added&lt;&gt;"""",""https://sealeddeck.tech/""&amp;added,"""")),"""")))"),"https://sealeddeck.tech/odrstusqFU")</f>
        <v>https://sealeddeck.tech/odrstusqFU</v>
      </c>
      <c r="I39" s="139" t="str">
        <f>IFERROR(__xludf.DUMMYFUNCTION("LET(changes,FILTER('Pool Changes'!$B:$D, 'Pool Changes'!$B:$B = $D39),added,FILTER(INDEX(changes,0,3),INDEX(changes,0,2)=""add pack""),IFERROR(TRANSPOSE(ARRAYFORMULA(IF(added&lt;&gt;"""",HYPERLINK(""https://sealeddeck.tech/""&amp;added,""Link""),""""))),""""))"),"Link")</f>
        <v>Link</v>
      </c>
      <c r="J39" s="139" t="str">
        <f>IFERROR(__xludf.DUMMYFUNCTION("""COMPUTED_VALUE"""),"Link")</f>
        <v>Link</v>
      </c>
      <c r="K39" s="139" t="str">
        <f>IFERROR(__xludf.DUMMYFUNCTION("""COMPUTED_VALUE"""),"Link")</f>
        <v>Link</v>
      </c>
      <c r="L39" s="139" t="str">
        <f>IFERROR(__xludf.DUMMYFUNCTION("""COMPUTED_VALUE"""),"Link")</f>
        <v>Link</v>
      </c>
      <c r="M39" s="142" t="str">
        <f>IFERROR(__xludf.DUMMYFUNCTION("""COMPUTED_VALUE"""),"Link")</f>
        <v>Link</v>
      </c>
      <c r="N39" s="142" t="str">
        <f>IFERROR(__xludf.DUMMYFUNCTION("""COMPUTED_VALUE"""),"Link")</f>
        <v>Link</v>
      </c>
      <c r="O39" s="142" t="str">
        <f>IFERROR(__xludf.DUMMYFUNCTION("""COMPUTED_VALUE"""),"Link")</f>
        <v>Link</v>
      </c>
      <c r="P39" s="139" t="str">
        <f>IFERROR(__xludf.DUMMYFUNCTION("""COMPUTED_VALUE"""),"Link")</f>
        <v>Link</v>
      </c>
      <c r="Q39" s="142" t="str">
        <f>IFERROR(__xludf.DUMMYFUNCTION("""COMPUTED_VALUE"""),"Link")</f>
        <v>Link</v>
      </c>
      <c r="R39" s="142" t="str">
        <f>IFERROR(__xludf.DUMMYFUNCTION("""COMPUTED_VALUE"""),"Link")</f>
        <v>Link</v>
      </c>
      <c r="S39" s="141" t="str">
        <f t="shared" si="1"/>
        <v>https://sealeddeck.tech/WYLHTeg19S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>
      <c r="A40" s="124" t="s">
        <v>806</v>
      </c>
      <c r="B40" s="124" t="s">
        <v>807</v>
      </c>
      <c r="C40" s="137" t="s">
        <v>808</v>
      </c>
      <c r="D40" s="124" t="s">
        <v>204</v>
      </c>
      <c r="E40" s="138">
        <v>18.0</v>
      </c>
      <c r="F40" s="138">
        <v>11.0</v>
      </c>
      <c r="G40" s="139" t="str">
        <f t="array" ref="G40">IF(H40="","",IFERROR(
  "https://sealeddeck.tech/" &amp; INDEX('Pool Changes'!F:F,
    MAX(
      ROW('Pool Changes'!A:A) *
      ('Pool Changes'!B:B=D40) *
      ('Pool Changes'!F:F&lt;&gt;"")
    )
  ),
  ""
))</f>
        <v>https://sealeddeck.tech/m1ScUdtAG9</v>
      </c>
      <c r="H40" s="139" t="str">
        <f>IFERROR(__xludf.DUMMYFUNCTION("LET(changes,FILTER('Pool Changes'!$B:$D, 'Pool Changes'!$B:$B = $D40),added,FILTER(INDEX(changes,0,3),INDEX(changes,0,2)=""starting pool""),TRANSPOSE(IFERROR(ARRAYFORMULA(IF(added&lt;&gt;"""",""https://sealeddeck.tech/""&amp;added,"""")),"""")))"),"https://sealeddeck.tech/GFiN4X5qyN")</f>
        <v>https://sealeddeck.tech/GFiN4X5qyN</v>
      </c>
      <c r="I40" s="139" t="str">
        <f>IFERROR(__xludf.DUMMYFUNCTION("LET(changes,FILTER('Pool Changes'!$B:$D, 'Pool Changes'!$B:$B = $D40),added,FILTER(INDEX(changes,0,3),INDEX(changes,0,2)=""add pack""),IFERROR(TRANSPOSE(ARRAYFORMULA(IF(added&lt;&gt;"""",HYPERLINK(""https://sealeddeck.tech/""&amp;added,""Link""),""""))),""""))"),"Link")</f>
        <v>Link</v>
      </c>
      <c r="J40" s="139" t="str">
        <f>IFERROR(__xludf.DUMMYFUNCTION("""COMPUTED_VALUE"""),"Link")</f>
        <v>Link</v>
      </c>
      <c r="K40" s="139" t="str">
        <f>IFERROR(__xludf.DUMMYFUNCTION("""COMPUTED_VALUE"""),"Link")</f>
        <v>Link</v>
      </c>
      <c r="L40" s="139" t="str">
        <f>IFERROR(__xludf.DUMMYFUNCTION("""COMPUTED_VALUE"""),"Link")</f>
        <v>Link</v>
      </c>
      <c r="M40" s="142" t="str">
        <f>IFERROR(__xludf.DUMMYFUNCTION("""COMPUTED_VALUE"""),"Link")</f>
        <v>Link</v>
      </c>
      <c r="N40" s="142" t="str">
        <f>IFERROR(__xludf.DUMMYFUNCTION("""COMPUTED_VALUE"""),"Link")</f>
        <v>Link</v>
      </c>
      <c r="O40" s="142" t="str">
        <f>IFERROR(__xludf.DUMMYFUNCTION("""COMPUTED_VALUE"""),"Link")</f>
        <v>Link</v>
      </c>
      <c r="P40" s="139" t="str">
        <f>IFERROR(__xludf.DUMMYFUNCTION("""COMPUTED_VALUE"""),"Link")</f>
        <v>Link</v>
      </c>
      <c r="Q40" s="142" t="str">
        <f>IFERROR(__xludf.DUMMYFUNCTION("""COMPUTED_VALUE"""),"Link")</f>
        <v>Link</v>
      </c>
      <c r="R40" s="142" t="str">
        <f>IFERROR(__xludf.DUMMYFUNCTION("""COMPUTED_VALUE"""),"Link")</f>
        <v>Link</v>
      </c>
      <c r="S40" s="141" t="str">
        <f t="shared" si="1"/>
        <v>https://sealeddeck.tech/v2aXhyL3GL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>
      <c r="A41" s="124" t="s">
        <v>818</v>
      </c>
      <c r="B41" s="124" t="s">
        <v>819</v>
      </c>
      <c r="C41" s="137" t="s">
        <v>820</v>
      </c>
      <c r="D41" s="124" t="s">
        <v>253</v>
      </c>
      <c r="E41" s="138">
        <v>12.0</v>
      </c>
      <c r="F41" s="138">
        <v>11.0</v>
      </c>
      <c r="G41" s="139" t="str">
        <f t="array" ref="G41">IF(H41="","",IFERROR(
  "https://sealeddeck.tech/" &amp; INDEX('Pool Changes'!F:F,
    MAX(
      ROW('Pool Changes'!A:A) *
      ('Pool Changes'!B:B=D41) *
      ('Pool Changes'!F:F&lt;&gt;"")
    )
  ),
  ""
))</f>
        <v>https://sealeddeck.tech/Z8V6m73cti</v>
      </c>
      <c r="H41" s="139" t="str">
        <f>IFERROR(__xludf.DUMMYFUNCTION("LET(changes,FILTER('Pool Changes'!$B:$D, 'Pool Changes'!$B:$B = $D41),added,FILTER(INDEX(changes,0,3),INDEX(changes,0,2)=""starting pool""),TRANSPOSE(IFERROR(ARRAYFORMULA(IF(added&lt;&gt;"""",""https://sealeddeck.tech/""&amp;added,"""")),"""")))"),"https://sealeddeck.tech/wtMcL2fY9k")</f>
        <v>https://sealeddeck.tech/wtMcL2fY9k</v>
      </c>
      <c r="I41" s="139" t="str">
        <f>IFERROR(__xludf.DUMMYFUNCTION("LET(changes,FILTER('Pool Changes'!$B:$D, 'Pool Changes'!$B:$B = $D41),added,FILTER(INDEX(changes,0,3),INDEX(changes,0,2)=""add pack""),IFERROR(TRANSPOSE(ARRAYFORMULA(IF(added&lt;&gt;"""",HYPERLINK(""https://sealeddeck.tech/""&amp;added,""Link""),""""))),""""))"),"Link")</f>
        <v>Link</v>
      </c>
      <c r="J41" s="139" t="str">
        <f>IFERROR(__xludf.DUMMYFUNCTION("""COMPUTED_VALUE"""),"Link")</f>
        <v>Link</v>
      </c>
      <c r="K41" s="139" t="str">
        <f>IFERROR(__xludf.DUMMYFUNCTION("""COMPUTED_VALUE"""),"Link")</f>
        <v>Link</v>
      </c>
      <c r="L41" s="139" t="str">
        <f>IFERROR(__xludf.DUMMYFUNCTION("""COMPUTED_VALUE"""),"Link")</f>
        <v>Link</v>
      </c>
      <c r="M41" s="142" t="str">
        <f>IFERROR(__xludf.DUMMYFUNCTION("""COMPUTED_VALUE"""),"Link")</f>
        <v>Link</v>
      </c>
      <c r="N41" s="142" t="str">
        <f>IFERROR(__xludf.DUMMYFUNCTION("""COMPUTED_VALUE"""),"Link")</f>
        <v>Link</v>
      </c>
      <c r="O41" s="142" t="str">
        <f>IFERROR(__xludf.DUMMYFUNCTION("""COMPUTED_VALUE"""),"Link")</f>
        <v>Link</v>
      </c>
      <c r="P41" s="139" t="str">
        <f>IFERROR(__xludf.DUMMYFUNCTION("""COMPUTED_VALUE"""),"Link")</f>
        <v>Link</v>
      </c>
      <c r="Q41" s="142" t="str">
        <f>IFERROR(__xludf.DUMMYFUNCTION("""COMPUTED_VALUE"""),"Link")</f>
        <v>Link</v>
      </c>
      <c r="R41" s="142" t="str">
        <f>IFERROR(__xludf.DUMMYFUNCTION("""COMPUTED_VALUE"""),"Link")</f>
        <v>Link</v>
      </c>
      <c r="S41" s="141" t="str">
        <f t="shared" si="1"/>
        <v>https://sealeddeck.tech/9A2QBa6zLr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>
      <c r="A42" s="124" t="s">
        <v>825</v>
      </c>
      <c r="B42" s="124" t="s">
        <v>826</v>
      </c>
      <c r="C42" s="137" t="s">
        <v>827</v>
      </c>
      <c r="D42" s="124" t="s">
        <v>306</v>
      </c>
      <c r="E42" s="138">
        <v>12.0</v>
      </c>
      <c r="F42" s="138">
        <v>11.0</v>
      </c>
      <c r="G42" s="139" t="str">
        <f t="array" ref="G42">IF(H42="","",IFERROR(
  "https://sealeddeck.tech/" &amp; INDEX('Pool Changes'!F:F,
    MAX(
      ROW('Pool Changes'!A:A) *
      ('Pool Changes'!B:B=D42) *
      ('Pool Changes'!F:F&lt;&gt;"")
    )
  ),
  ""
))</f>
        <v>https://sealeddeck.tech/EoCNWNkwr5</v>
      </c>
      <c r="H42" s="139" t="str">
        <f>IFERROR(__xludf.DUMMYFUNCTION("LET(changes,FILTER('Pool Changes'!$B:$D, 'Pool Changes'!$B:$B = $D42),added,FILTER(INDEX(changes,0,3),INDEX(changes,0,2)=""starting pool""),TRANSPOSE(IFERROR(ARRAYFORMULA(IF(added&lt;&gt;"""",""https://sealeddeck.tech/""&amp;added,"""")),"""")))"),"https://sealeddeck.tech/LYrskHHE5M")</f>
        <v>https://sealeddeck.tech/LYrskHHE5M</v>
      </c>
      <c r="I42" s="139" t="str">
        <f>IFERROR(__xludf.DUMMYFUNCTION("LET(changes,FILTER('Pool Changes'!$B:$D, 'Pool Changes'!$B:$B = $D42),added,FILTER(INDEX(changes,0,3),INDEX(changes,0,2)=""add pack""),IFERROR(TRANSPOSE(ARRAYFORMULA(IF(added&lt;&gt;"""",HYPERLINK(""https://sealeddeck.tech/""&amp;added,""Link""),""""))),""""))"),"Link")</f>
        <v>Link</v>
      </c>
      <c r="J42" s="139" t="str">
        <f>IFERROR(__xludf.DUMMYFUNCTION("""COMPUTED_VALUE"""),"Link")</f>
        <v>Link</v>
      </c>
      <c r="K42" s="139" t="str">
        <f>IFERROR(__xludf.DUMMYFUNCTION("""COMPUTED_VALUE"""),"Link")</f>
        <v>Link</v>
      </c>
      <c r="L42" s="139" t="str">
        <f>IFERROR(__xludf.DUMMYFUNCTION("""COMPUTED_VALUE"""),"Link")</f>
        <v>Link</v>
      </c>
      <c r="M42" s="142" t="str">
        <f>IFERROR(__xludf.DUMMYFUNCTION("""COMPUTED_VALUE"""),"Link")</f>
        <v>Link</v>
      </c>
      <c r="N42" s="142" t="str">
        <f>IFERROR(__xludf.DUMMYFUNCTION("""COMPUTED_VALUE"""),"Link")</f>
        <v>Link</v>
      </c>
      <c r="O42" s="142" t="str">
        <f>IFERROR(__xludf.DUMMYFUNCTION("""COMPUTED_VALUE"""),"Link")</f>
        <v>Link</v>
      </c>
      <c r="P42" s="139" t="str">
        <f>IFERROR(__xludf.DUMMYFUNCTION("""COMPUTED_VALUE"""),"Link")</f>
        <v>Link</v>
      </c>
      <c r="Q42" s="142" t="str">
        <f>IFERROR(__xludf.DUMMYFUNCTION("""COMPUTED_VALUE"""),"Link")</f>
        <v>Link</v>
      </c>
      <c r="R42" s="142" t="str">
        <f>IFERROR(__xludf.DUMMYFUNCTION("""COMPUTED_VALUE"""),"Link")</f>
        <v>Link</v>
      </c>
      <c r="S42" s="141" t="str">
        <f t="shared" si="1"/>
        <v>https://sealeddeck.tech/RJFRW9RZyi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>
      <c r="A43" s="124" t="s">
        <v>97</v>
      </c>
      <c r="B43" s="124" t="s">
        <v>98</v>
      </c>
      <c r="C43" s="137" t="s">
        <v>873</v>
      </c>
      <c r="D43" s="124" t="s">
        <v>229</v>
      </c>
      <c r="E43" s="138">
        <v>23.0</v>
      </c>
      <c r="F43" s="138">
        <v>7.0</v>
      </c>
      <c r="G43" s="139" t="str">
        <f t="array" ref="G43">IF(H43="","",IFERROR(
  "https://sealeddeck.tech/" &amp; INDEX('Pool Changes'!F:F,
    MAX(
      ROW('Pool Changes'!A:A) *
      ('Pool Changes'!B:B=D43) *
      ('Pool Changes'!F:F&lt;&gt;"")
    )
  ),
  ""
))</f>
        <v>https://sealeddeck.tech/cgM9vVsVDH</v>
      </c>
      <c r="H43" s="139" t="str">
        <f>IFERROR(__xludf.DUMMYFUNCTION("LET(changes,FILTER('Pool Changes'!$B:$D, 'Pool Changes'!$B:$B = $D43),added,FILTER(INDEX(changes,0,3),INDEX(changes,0,2)=""starting pool""),TRANSPOSE(IFERROR(ARRAYFORMULA(IF(added&lt;&gt;"""",""https://sealeddeck.tech/""&amp;added,"""")),"""")))"),"https://sealeddeck.tech/LXZPALiCo8")</f>
        <v>https://sealeddeck.tech/LXZPALiCo8</v>
      </c>
      <c r="I43" s="139" t="str">
        <f>IFERROR(__xludf.DUMMYFUNCTION("LET(changes,FILTER('Pool Changes'!$B:$D, 'Pool Changes'!$B:$B = $D43),added,FILTER(INDEX(changes,0,3),INDEX(changes,0,2)=""add pack""),IFERROR(TRANSPOSE(ARRAYFORMULA(IF(added&lt;&gt;"""",HYPERLINK(""https://sealeddeck.tech/""&amp;added,""Link""),""""))),""""))"),"Link")</f>
        <v>Link</v>
      </c>
      <c r="J43" s="139" t="str">
        <f>IFERROR(__xludf.DUMMYFUNCTION("""COMPUTED_VALUE"""),"Link")</f>
        <v>Link</v>
      </c>
      <c r="K43" s="139" t="str">
        <f>IFERROR(__xludf.DUMMYFUNCTION("""COMPUTED_VALUE"""),"Link")</f>
        <v>Link</v>
      </c>
      <c r="L43" s="139" t="str">
        <f>IFERROR(__xludf.DUMMYFUNCTION("""COMPUTED_VALUE"""),"Link")</f>
        <v>Link</v>
      </c>
      <c r="M43" s="142" t="str">
        <f>IFERROR(__xludf.DUMMYFUNCTION("""COMPUTED_VALUE"""),"Link")</f>
        <v>Link</v>
      </c>
      <c r="N43" s="142" t="str">
        <f>IFERROR(__xludf.DUMMYFUNCTION("""COMPUTED_VALUE"""),"Link")</f>
        <v>Link</v>
      </c>
      <c r="O43" s="140"/>
      <c r="P43" s="140"/>
      <c r="Q43" s="140"/>
      <c r="R43" s="140"/>
      <c r="S43" s="141" t="str">
        <f t="shared" si="1"/>
        <v>https://sealeddeck.tech/QVpLJteDBm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>
      <c r="A44" s="124" t="s">
        <v>884</v>
      </c>
      <c r="B44" s="124" t="s">
        <v>885</v>
      </c>
      <c r="C44" s="137" t="s">
        <v>886</v>
      </c>
      <c r="D44" s="124" t="s">
        <v>94</v>
      </c>
      <c r="E44" s="138">
        <v>9.0</v>
      </c>
      <c r="F44" s="138">
        <v>11.0</v>
      </c>
      <c r="G44" s="139" t="str">
        <f t="array" ref="G44">IF(H44="","",IFERROR(
  "https://sealeddeck.tech/" &amp; INDEX('Pool Changes'!F:F,
    MAX(
      ROW('Pool Changes'!A:A) *
      ('Pool Changes'!B:B=D44) *
      ('Pool Changes'!F:F&lt;&gt;"")
    )
  ),
  ""
))</f>
        <v>https://sealeddeck.tech/pqDzvL3TEB</v>
      </c>
      <c r="H44" s="139" t="str">
        <f>IFERROR(__xludf.DUMMYFUNCTION("LET(changes,FILTER('Pool Changes'!$B:$D, 'Pool Changes'!$B:$B = $D44),added,FILTER(INDEX(changes,0,3),INDEX(changes,0,2)=""starting pool""),TRANSPOSE(IFERROR(ARRAYFORMULA(IF(added&lt;&gt;"""",""https://sealeddeck.tech/""&amp;added,"""")),"""")))"),"https://sealeddeck.tech/CP4y6GGv7Y")</f>
        <v>https://sealeddeck.tech/CP4y6GGv7Y</v>
      </c>
      <c r="I44" s="139" t="str">
        <f>IFERROR(__xludf.DUMMYFUNCTION("LET(changes,FILTER('Pool Changes'!$B:$D, 'Pool Changes'!$B:$B = $D44),added,FILTER(INDEX(changes,0,3),INDEX(changes,0,2)=""add pack""),IFERROR(TRANSPOSE(ARRAYFORMULA(IF(added&lt;&gt;"""",HYPERLINK(""https://sealeddeck.tech/""&amp;added,""Link""),""""))),""""))"),"Link")</f>
        <v>Link</v>
      </c>
      <c r="J44" s="139" t="str">
        <f>IFERROR(__xludf.DUMMYFUNCTION("""COMPUTED_VALUE"""),"Link")</f>
        <v>Link</v>
      </c>
      <c r="K44" s="139" t="str">
        <f>IFERROR(__xludf.DUMMYFUNCTION("""COMPUTED_VALUE"""),"Link")</f>
        <v>Link</v>
      </c>
      <c r="L44" s="139" t="str">
        <f>IFERROR(__xludf.DUMMYFUNCTION("""COMPUTED_VALUE"""),"Link")</f>
        <v>Link</v>
      </c>
      <c r="M44" s="142" t="str">
        <f>IFERROR(__xludf.DUMMYFUNCTION("""COMPUTED_VALUE"""),"Link")</f>
        <v>Link</v>
      </c>
      <c r="N44" s="142" t="str">
        <f>IFERROR(__xludf.DUMMYFUNCTION("""COMPUTED_VALUE"""),"Link")</f>
        <v>Link</v>
      </c>
      <c r="O44" s="142" t="str">
        <f>IFERROR(__xludf.DUMMYFUNCTION("""COMPUTED_VALUE"""),"Link")</f>
        <v>Link</v>
      </c>
      <c r="P44" s="139" t="str">
        <f>IFERROR(__xludf.DUMMYFUNCTION("""COMPUTED_VALUE"""),"Link")</f>
        <v>Link</v>
      </c>
      <c r="Q44" s="142" t="str">
        <f>IFERROR(__xludf.DUMMYFUNCTION("""COMPUTED_VALUE"""),"Link")</f>
        <v>Link</v>
      </c>
      <c r="R44" s="142" t="str">
        <f>IFERROR(__xludf.DUMMYFUNCTION("""COMPUTED_VALUE"""),"Link")</f>
        <v>Link</v>
      </c>
      <c r="S44" s="141" t="str">
        <f t="shared" si="1"/>
        <v>https://sealeddeck.tech/7jx3e3Jq51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>
      <c r="A45" s="124" t="s">
        <v>892</v>
      </c>
      <c r="B45" s="124" t="s">
        <v>893</v>
      </c>
      <c r="C45" s="137" t="s">
        <v>894</v>
      </c>
      <c r="D45" s="124" t="s">
        <v>356</v>
      </c>
      <c r="E45" s="138">
        <v>10.0</v>
      </c>
      <c r="F45" s="138">
        <v>11.0</v>
      </c>
      <c r="G45" s="139" t="str">
        <f t="array" ref="G45">IF(H45="","",IFERROR(
  "https://sealeddeck.tech/" &amp; INDEX('Pool Changes'!F:F,
    MAX(
      ROW('Pool Changes'!A:A) *
      ('Pool Changes'!B:B=D45) *
      ('Pool Changes'!F:F&lt;&gt;"")
    )
  ),
  ""
))</f>
        <v>https://sealeddeck.tech/Ev3dXezZVN</v>
      </c>
      <c r="H45" s="139" t="str">
        <f>IFERROR(__xludf.DUMMYFUNCTION("LET(changes,FILTER('Pool Changes'!$B:$D, 'Pool Changes'!$B:$B = $D45),added,FILTER(INDEX(changes,0,3),INDEX(changes,0,2)=""starting pool""),TRANSPOSE(IFERROR(ARRAYFORMULA(IF(added&lt;&gt;"""",""https://sealeddeck.tech/""&amp;added,"""")),"""")))"),"https://sealeddeck.tech/hEZzy2ifHa")</f>
        <v>https://sealeddeck.tech/hEZzy2ifHa</v>
      </c>
      <c r="I45" s="139" t="str">
        <f>IFERROR(__xludf.DUMMYFUNCTION("LET(changes,FILTER('Pool Changes'!$B:$D, 'Pool Changes'!$B:$B = $D45),added,FILTER(INDEX(changes,0,3),INDEX(changes,0,2)=""add pack""),IFERROR(TRANSPOSE(ARRAYFORMULA(IF(added&lt;&gt;"""",HYPERLINK(""https://sealeddeck.tech/""&amp;added,""Link""),""""))),""""))"),"Link")</f>
        <v>Link</v>
      </c>
      <c r="J45" s="139" t="str">
        <f>IFERROR(__xludf.DUMMYFUNCTION("""COMPUTED_VALUE"""),"Link")</f>
        <v>Link</v>
      </c>
      <c r="K45" s="139" t="str">
        <f>IFERROR(__xludf.DUMMYFUNCTION("""COMPUTED_VALUE"""),"Link")</f>
        <v>Link</v>
      </c>
      <c r="L45" s="139" t="str">
        <f>IFERROR(__xludf.DUMMYFUNCTION("""COMPUTED_VALUE"""),"Link")</f>
        <v>Link</v>
      </c>
      <c r="M45" s="142" t="str">
        <f>IFERROR(__xludf.DUMMYFUNCTION("""COMPUTED_VALUE"""),"Link")</f>
        <v>Link</v>
      </c>
      <c r="N45" s="142" t="str">
        <f>IFERROR(__xludf.DUMMYFUNCTION("""COMPUTED_VALUE"""),"Link")</f>
        <v>Link</v>
      </c>
      <c r="O45" s="142" t="str">
        <f>IFERROR(__xludf.DUMMYFUNCTION("""COMPUTED_VALUE"""),"Link")</f>
        <v>Link</v>
      </c>
      <c r="P45" s="139" t="str">
        <f>IFERROR(__xludf.DUMMYFUNCTION("""COMPUTED_VALUE"""),"Link")</f>
        <v>Link</v>
      </c>
      <c r="Q45" s="142" t="str">
        <f>IFERROR(__xludf.DUMMYFUNCTION("""COMPUTED_VALUE"""),"Link")</f>
        <v>Link</v>
      </c>
      <c r="R45" s="142" t="str">
        <f>IFERROR(__xludf.DUMMYFUNCTION("""COMPUTED_VALUE"""),"Link")</f>
        <v>Link</v>
      </c>
      <c r="S45" s="141" t="str">
        <f t="shared" si="1"/>
        <v>https://sealeddeck.tech/m1ScUdtAG9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>
      <c r="A46" s="124" t="s">
        <v>897</v>
      </c>
      <c r="B46" s="124" t="s">
        <v>898</v>
      </c>
      <c r="C46" s="137" t="s">
        <v>899</v>
      </c>
      <c r="D46" s="124" t="s">
        <v>160</v>
      </c>
      <c r="E46" s="138">
        <v>6.0</v>
      </c>
      <c r="F46" s="138">
        <v>11.0</v>
      </c>
      <c r="G46" s="139" t="str">
        <f t="array" ref="G46">IF(H46="","",IFERROR(
  "https://sealeddeck.tech/" &amp; INDEX('Pool Changes'!F:F,
    MAX(
      ROW('Pool Changes'!A:A) *
      ('Pool Changes'!B:B=D46) *
      ('Pool Changes'!F:F&lt;&gt;"")
    )
  ),
  ""
))</f>
        <v>https://sealeddeck.tech/cfDSugppxi</v>
      </c>
      <c r="H46" s="139" t="str">
        <f>IFERROR(__xludf.DUMMYFUNCTION("LET(changes,FILTER('Pool Changes'!$B:$D, 'Pool Changes'!$B:$B = $D46),added,FILTER(INDEX(changes,0,3),INDEX(changes,0,2)=""starting pool""),TRANSPOSE(IFERROR(ARRAYFORMULA(IF(added&lt;&gt;"""",""https://sealeddeck.tech/""&amp;added,"""")),"""")))"),"https://sealeddeck.tech/4X2mppuBYM")</f>
        <v>https://sealeddeck.tech/4X2mppuBYM</v>
      </c>
      <c r="I46" s="139" t="str">
        <f>IFERROR(__xludf.DUMMYFUNCTION("LET(changes,FILTER('Pool Changes'!$B:$D, 'Pool Changes'!$B:$B = $D46),added,FILTER(INDEX(changes,0,3),INDEX(changes,0,2)=""add pack""),IFERROR(TRANSPOSE(ARRAYFORMULA(IF(added&lt;&gt;"""",HYPERLINK(""https://sealeddeck.tech/""&amp;added,""Link""),""""))),""""))"),"Link")</f>
        <v>Link</v>
      </c>
      <c r="J46" s="139" t="str">
        <f>IFERROR(__xludf.DUMMYFUNCTION("""COMPUTED_VALUE"""),"Link")</f>
        <v>Link</v>
      </c>
      <c r="K46" s="139" t="str">
        <f>IFERROR(__xludf.DUMMYFUNCTION("""COMPUTED_VALUE"""),"Link")</f>
        <v>Link</v>
      </c>
      <c r="L46" s="139" t="str">
        <f>IFERROR(__xludf.DUMMYFUNCTION("""COMPUTED_VALUE"""),"Link")</f>
        <v>Link</v>
      </c>
      <c r="M46" s="142" t="str">
        <f>IFERROR(__xludf.DUMMYFUNCTION("""COMPUTED_VALUE"""),"Link")</f>
        <v>Link</v>
      </c>
      <c r="N46" s="142" t="str">
        <f>IFERROR(__xludf.DUMMYFUNCTION("""COMPUTED_VALUE"""),"Link")</f>
        <v>Link</v>
      </c>
      <c r="O46" s="142" t="str">
        <f>IFERROR(__xludf.DUMMYFUNCTION("""COMPUTED_VALUE"""),"Link")</f>
        <v>Link</v>
      </c>
      <c r="P46" s="139" t="str">
        <f>IFERROR(__xludf.DUMMYFUNCTION("""COMPUTED_VALUE"""),"Link")</f>
        <v>Link</v>
      </c>
      <c r="Q46" s="142" t="str">
        <f>IFERROR(__xludf.DUMMYFUNCTION("""COMPUTED_VALUE"""),"Link")</f>
        <v>Link</v>
      </c>
      <c r="R46" s="142" t="str">
        <f>IFERROR(__xludf.DUMMYFUNCTION("""COMPUTED_VALUE"""),"Link")</f>
        <v>Link</v>
      </c>
      <c r="S46" s="141" t="str">
        <f t="shared" si="1"/>
        <v>https://sealeddeck.tech/Z8V6m73cti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>
      <c r="A47" s="124" t="s">
        <v>901</v>
      </c>
      <c r="B47" s="124" t="s">
        <v>902</v>
      </c>
      <c r="C47" s="137" t="s">
        <v>903</v>
      </c>
      <c r="D47" s="124" t="s">
        <v>180</v>
      </c>
      <c r="E47" s="138">
        <v>6.0</v>
      </c>
      <c r="F47" s="138">
        <v>11.0</v>
      </c>
      <c r="G47" s="139" t="str">
        <f t="array" ref="G47">IF(H47="","",IFERROR(
  "https://sealeddeck.tech/" &amp; INDEX('Pool Changes'!F:F,
    MAX(
      ROW('Pool Changes'!A:A) *
      ('Pool Changes'!B:B=D47) *
      ('Pool Changes'!F:F&lt;&gt;"")
    )
  ),
  ""
))</f>
        <v>https://sealeddeck.tech/JjiHGQ4yoT</v>
      </c>
      <c r="H47" s="139" t="str">
        <f>IFERROR(__xludf.DUMMYFUNCTION("LET(changes,FILTER('Pool Changes'!$B:$D, 'Pool Changes'!$B:$B = $D47),added,FILTER(INDEX(changes,0,3),INDEX(changes,0,2)=""starting pool""),TRANSPOSE(IFERROR(ARRAYFORMULA(IF(added&lt;&gt;"""",""https://sealeddeck.tech/""&amp;added,"""")),"""")))"),"https://sealeddeck.tech/kxvAgwc7Xj")</f>
        <v>https://sealeddeck.tech/kxvAgwc7Xj</v>
      </c>
      <c r="I47" s="139" t="str">
        <f>IFERROR(__xludf.DUMMYFUNCTION("LET(changes,FILTER('Pool Changes'!$B:$D, 'Pool Changes'!$B:$B = $D47),added,FILTER(INDEX(changes,0,3),INDEX(changes,0,2)=""add pack""),IFERROR(TRANSPOSE(ARRAYFORMULA(IF(added&lt;&gt;"""",HYPERLINK(""https://sealeddeck.tech/""&amp;added,""Link""),""""))),""""))"),"Link")</f>
        <v>Link</v>
      </c>
      <c r="J47" s="139" t="str">
        <f>IFERROR(__xludf.DUMMYFUNCTION("""COMPUTED_VALUE"""),"Link")</f>
        <v>Link</v>
      </c>
      <c r="K47" s="139" t="str">
        <f>IFERROR(__xludf.DUMMYFUNCTION("""COMPUTED_VALUE"""),"Link")</f>
        <v>Link</v>
      </c>
      <c r="L47" s="139" t="str">
        <f>IFERROR(__xludf.DUMMYFUNCTION("""COMPUTED_VALUE"""),"Link")</f>
        <v>Link</v>
      </c>
      <c r="M47" s="142" t="str">
        <f>IFERROR(__xludf.DUMMYFUNCTION("""COMPUTED_VALUE"""),"Link")</f>
        <v>Link</v>
      </c>
      <c r="N47" s="142" t="str">
        <f>IFERROR(__xludf.DUMMYFUNCTION("""COMPUTED_VALUE"""),"Link")</f>
        <v>Link</v>
      </c>
      <c r="O47" s="140"/>
      <c r="P47" s="140"/>
      <c r="Q47" s="140"/>
      <c r="R47" s="140"/>
      <c r="S47" s="141" t="str">
        <f t="shared" si="1"/>
        <v>https://sealeddeck.tech/EoCNWNkwr5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>
      <c r="A48" s="124" t="s">
        <v>904</v>
      </c>
      <c r="B48" s="124" t="s">
        <v>906</v>
      </c>
      <c r="C48" s="137" t="s">
        <v>907</v>
      </c>
      <c r="D48" s="124" t="s">
        <v>89</v>
      </c>
      <c r="E48" s="138">
        <v>14.0</v>
      </c>
      <c r="F48" s="138">
        <v>11.0</v>
      </c>
      <c r="G48" s="139" t="str">
        <f t="array" ref="G48">IF(H48="","",IFERROR(
  "https://sealeddeck.tech/" &amp; INDEX('Pool Changes'!F:F,
    MAX(
      ROW('Pool Changes'!A:A) *
      ('Pool Changes'!B:B=D48) *
      ('Pool Changes'!F:F&lt;&gt;"")
    )
  ),
  ""
))</f>
        <v>https://sealeddeck.tech/t7uc5pCbye</v>
      </c>
      <c r="H48" s="139" t="str">
        <f>IFERROR(__xludf.DUMMYFUNCTION("LET(changes,FILTER('Pool Changes'!$B:$D, 'Pool Changes'!$B:$B = $D48),added,FILTER(INDEX(changes,0,3),INDEX(changes,0,2)=""starting pool""),TRANSPOSE(IFERROR(ARRAYFORMULA(IF(added&lt;&gt;"""",""https://sealeddeck.tech/""&amp;added,"""")),"""")))"),"https://sealeddeck.tech/LPvQ4NPAC9")</f>
        <v>https://sealeddeck.tech/LPvQ4NPAC9</v>
      </c>
      <c r="I48" s="139" t="str">
        <f>IFERROR(__xludf.DUMMYFUNCTION("LET(changes,FILTER('Pool Changes'!$B:$D, 'Pool Changes'!$B:$B = $D48),added,FILTER(INDEX(changes,0,3),INDEX(changes,0,2)=""add pack""),IFERROR(TRANSPOSE(ARRAYFORMULA(IF(added&lt;&gt;"""",HYPERLINK(""https://sealeddeck.tech/""&amp;added,""Link""),""""))),""""))"),"Link")</f>
        <v>Link</v>
      </c>
      <c r="J48" s="139" t="str">
        <f>IFERROR(__xludf.DUMMYFUNCTION("""COMPUTED_VALUE"""),"Link")</f>
        <v>Link</v>
      </c>
      <c r="K48" s="139" t="str">
        <f>IFERROR(__xludf.DUMMYFUNCTION("""COMPUTED_VALUE"""),"Link")</f>
        <v>Link</v>
      </c>
      <c r="L48" s="139" t="str">
        <f>IFERROR(__xludf.DUMMYFUNCTION("""COMPUTED_VALUE"""),"Link")</f>
        <v>Link</v>
      </c>
      <c r="M48" s="142" t="str">
        <f>IFERROR(__xludf.DUMMYFUNCTION("""COMPUTED_VALUE"""),"Link")</f>
        <v>Link</v>
      </c>
      <c r="N48" s="142" t="str">
        <f>IFERROR(__xludf.DUMMYFUNCTION("""COMPUTED_VALUE"""),"Link")</f>
        <v>Link</v>
      </c>
      <c r="O48" s="142" t="str">
        <f>IFERROR(__xludf.DUMMYFUNCTION("""COMPUTED_VALUE"""),"Link")</f>
        <v>Link</v>
      </c>
      <c r="P48" s="139" t="str">
        <f>IFERROR(__xludf.DUMMYFUNCTION("""COMPUTED_VALUE"""),"Link")</f>
        <v>Link</v>
      </c>
      <c r="Q48" s="142" t="str">
        <f>IFERROR(__xludf.DUMMYFUNCTION("""COMPUTED_VALUE"""),"Link")</f>
        <v>Link</v>
      </c>
      <c r="R48" s="142" t="str">
        <f>IFERROR(__xludf.DUMMYFUNCTION("""COMPUTED_VALUE"""),"Link")</f>
        <v>Link</v>
      </c>
      <c r="S48" s="141" t="str">
        <f t="shared" si="1"/>
        <v>https://sealeddeck.tech/cgM9vVsVDH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>
      <c r="A49" s="124" t="s">
        <v>105</v>
      </c>
      <c r="B49" s="124" t="s">
        <v>106</v>
      </c>
      <c r="C49" s="137" t="s">
        <v>917</v>
      </c>
      <c r="D49" s="124" t="s">
        <v>231</v>
      </c>
      <c r="E49" s="138">
        <v>20.0</v>
      </c>
      <c r="F49" s="138">
        <v>10.0</v>
      </c>
      <c r="G49" s="139" t="str">
        <f t="array" ref="G49">IF(H49="","",IFERROR(
  "https://sealeddeck.tech/" &amp; INDEX('Pool Changes'!F:F,
    MAX(
      ROW('Pool Changes'!A:A) *
      ('Pool Changes'!B:B=D49) *
      ('Pool Changes'!F:F&lt;&gt;"")
    )
  ),
  ""
))</f>
        <v>https://sealeddeck.tech/3VuBeb4UdC</v>
      </c>
      <c r="H49" s="139" t="str">
        <f>IFERROR(__xludf.DUMMYFUNCTION("LET(changes,FILTER('Pool Changes'!$B:$D, 'Pool Changes'!$B:$B = $D49),added,FILTER(INDEX(changes,0,3),INDEX(changes,0,2)=""starting pool""),TRANSPOSE(IFERROR(ARRAYFORMULA(IF(added&lt;&gt;"""",""https://sealeddeck.tech/""&amp;added,"""")),"""")))"),"https://sealeddeck.tech/TAGT7pJFsV")</f>
        <v>https://sealeddeck.tech/TAGT7pJFsV</v>
      </c>
      <c r="I49" s="139" t="str">
        <f>IFERROR(__xludf.DUMMYFUNCTION("LET(changes,FILTER('Pool Changes'!$B:$D, 'Pool Changes'!$B:$B = $D49),added,FILTER(INDEX(changes,0,3),INDEX(changes,0,2)=""add pack""),IFERROR(TRANSPOSE(ARRAYFORMULA(IF(added&lt;&gt;"""",HYPERLINK(""https://sealeddeck.tech/""&amp;added,""Link""),""""))),""""))"),"Link")</f>
        <v>Link</v>
      </c>
      <c r="J49" s="139" t="str">
        <f>IFERROR(__xludf.DUMMYFUNCTION("""COMPUTED_VALUE"""),"Link")</f>
        <v>Link</v>
      </c>
      <c r="K49" s="139" t="str">
        <f>IFERROR(__xludf.DUMMYFUNCTION("""COMPUTED_VALUE"""),"Link")</f>
        <v>Link</v>
      </c>
      <c r="L49" s="139" t="str">
        <f>IFERROR(__xludf.DUMMYFUNCTION("""COMPUTED_VALUE"""),"Link")</f>
        <v>Link</v>
      </c>
      <c r="M49" s="142" t="str">
        <f>IFERROR(__xludf.DUMMYFUNCTION("""COMPUTED_VALUE"""),"Link")</f>
        <v>Link</v>
      </c>
      <c r="N49" s="142" t="str">
        <f>IFERROR(__xludf.DUMMYFUNCTION("""COMPUTED_VALUE"""),"Link")</f>
        <v>Link</v>
      </c>
      <c r="O49" s="142" t="str">
        <f>IFERROR(__xludf.DUMMYFUNCTION("""COMPUTED_VALUE"""),"Link")</f>
        <v>Link</v>
      </c>
      <c r="P49" s="139" t="str">
        <f>IFERROR(__xludf.DUMMYFUNCTION("""COMPUTED_VALUE"""),"Link")</f>
        <v>Link</v>
      </c>
      <c r="Q49" s="142" t="str">
        <f>IFERROR(__xludf.DUMMYFUNCTION("""COMPUTED_VALUE"""),"Link")</f>
        <v>Link</v>
      </c>
      <c r="R49" s="142" t="str">
        <f>IFERROR(__xludf.DUMMYFUNCTION("""COMPUTED_VALUE"""),"Link")</f>
        <v>Link</v>
      </c>
      <c r="S49" s="141" t="str">
        <f t="shared" si="1"/>
        <v>https://sealeddeck.tech/pqDzvL3TEB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A50" s="124" t="s">
        <v>124</v>
      </c>
      <c r="B50" s="124" t="s">
        <v>126</v>
      </c>
      <c r="C50" s="137" t="s">
        <v>919</v>
      </c>
      <c r="D50" s="124" t="s">
        <v>84</v>
      </c>
      <c r="E50" s="138">
        <v>21.0</v>
      </c>
      <c r="F50" s="138">
        <v>9.0</v>
      </c>
      <c r="G50" s="139" t="str">
        <f t="array" ref="G50">IF(H50="","",IFERROR(
  "https://sealeddeck.tech/" &amp; INDEX('Pool Changes'!F:F,
    MAX(
      ROW('Pool Changes'!A:A) *
      ('Pool Changes'!B:B=D50) *
      ('Pool Changes'!F:F&lt;&gt;"")
    )
  ),
  ""
))</f>
        <v>https://sealeddeck.tech/KTTL2ivUyZ</v>
      </c>
      <c r="H50" s="139" t="str">
        <f>IFERROR(__xludf.DUMMYFUNCTION("LET(changes,FILTER('Pool Changes'!$B:$D, 'Pool Changes'!$B:$B = $D50),added,FILTER(INDEX(changes,0,3),INDEX(changes,0,2)=""starting pool""),TRANSPOSE(IFERROR(ARRAYFORMULA(IF(added&lt;&gt;"""",""https://sealeddeck.tech/""&amp;added,"""")),"""")))"),"https://sealeddeck.tech/KjJRgibPau")</f>
        <v>https://sealeddeck.tech/KjJRgibPau</v>
      </c>
      <c r="I50" s="139" t="str">
        <f>IFERROR(__xludf.DUMMYFUNCTION("LET(changes,FILTER('Pool Changes'!$B:$D, 'Pool Changes'!$B:$B = $D50),added,FILTER(INDEX(changes,0,3),INDEX(changes,0,2)=""add pack""),IFERROR(TRANSPOSE(ARRAYFORMULA(IF(added&lt;&gt;"""",HYPERLINK(""https://sealeddeck.tech/""&amp;added,""Link""),""""))),""""))"),"Link")</f>
        <v>Link</v>
      </c>
      <c r="J50" s="139" t="str">
        <f>IFERROR(__xludf.DUMMYFUNCTION("""COMPUTED_VALUE"""),"Link")</f>
        <v>Link</v>
      </c>
      <c r="K50" s="139" t="str">
        <f>IFERROR(__xludf.DUMMYFUNCTION("""COMPUTED_VALUE"""),"Link")</f>
        <v>Link</v>
      </c>
      <c r="L50" s="139" t="str">
        <f>IFERROR(__xludf.DUMMYFUNCTION("""COMPUTED_VALUE"""),"Link")</f>
        <v>Link</v>
      </c>
      <c r="M50" s="142" t="str">
        <f>IFERROR(__xludf.DUMMYFUNCTION("""COMPUTED_VALUE"""),"Link")</f>
        <v>Link</v>
      </c>
      <c r="N50" s="142" t="str">
        <f>IFERROR(__xludf.DUMMYFUNCTION("""COMPUTED_VALUE"""),"Link")</f>
        <v>Link</v>
      </c>
      <c r="O50" s="142" t="str">
        <f>IFERROR(__xludf.DUMMYFUNCTION("""COMPUTED_VALUE"""),"Link")</f>
        <v>Link</v>
      </c>
      <c r="P50" s="139" t="str">
        <f>IFERROR(__xludf.DUMMYFUNCTION("""COMPUTED_VALUE"""),"Link")</f>
        <v>Link</v>
      </c>
      <c r="Q50" s="142" t="str">
        <f>IFERROR(__xludf.DUMMYFUNCTION("""COMPUTED_VALUE"""),"Link")</f>
        <v>Link</v>
      </c>
      <c r="R50" s="140"/>
      <c r="S50" s="141" t="str">
        <f t="shared" si="1"/>
        <v>https://sealeddeck.tech/Ev3dXezZVN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>
      <c r="A51" s="124" t="s">
        <v>921</v>
      </c>
      <c r="B51" s="124" t="s">
        <v>922</v>
      </c>
      <c r="C51" s="137" t="s">
        <v>923</v>
      </c>
      <c r="D51" s="124" t="s">
        <v>314</v>
      </c>
      <c r="E51" s="138">
        <v>4.0</v>
      </c>
      <c r="F51" s="138">
        <v>11.0</v>
      </c>
      <c r="G51" s="139" t="str">
        <f t="array" ref="G51">IF(H51="","",IFERROR(
  "https://sealeddeck.tech/" &amp; INDEX('Pool Changes'!F:F,
    MAX(
      ROW('Pool Changes'!A:A) *
      ('Pool Changes'!B:B=D51) *
      ('Pool Changes'!F:F&lt;&gt;"")
    )
  ),
  ""
))</f>
        <v>https://sealeddeck.tech/GGP7K9aMkP</v>
      </c>
      <c r="H51" s="139" t="str">
        <f>IFERROR(__xludf.DUMMYFUNCTION("LET(changes,FILTER('Pool Changes'!$B:$D, 'Pool Changes'!$B:$B = $D51),added,FILTER(INDEX(changes,0,3),INDEX(changes,0,2)=""starting pool""),TRANSPOSE(IFERROR(ARRAYFORMULA(IF(added&lt;&gt;"""",""https://sealeddeck.tech/""&amp;added,"""")),"""")))"),"https://sealeddeck.tech/gTECuNfPtR")</f>
        <v>https://sealeddeck.tech/gTECuNfPtR</v>
      </c>
      <c r="I51" s="139" t="str">
        <f>IFERROR(__xludf.DUMMYFUNCTION("LET(changes,FILTER('Pool Changes'!$B:$D, 'Pool Changes'!$B:$B = $D51),added,FILTER(INDEX(changes,0,3),INDEX(changes,0,2)=""add pack""),IFERROR(TRANSPOSE(ARRAYFORMULA(IF(added&lt;&gt;"""",HYPERLINK(""https://sealeddeck.tech/""&amp;added,""Link""),""""))),""""))"),"Link")</f>
        <v>Link</v>
      </c>
      <c r="J51" s="139" t="str">
        <f>IFERROR(__xludf.DUMMYFUNCTION("""COMPUTED_VALUE"""),"Link")</f>
        <v>Link</v>
      </c>
      <c r="K51" s="139" t="str">
        <f>IFERROR(__xludf.DUMMYFUNCTION("""COMPUTED_VALUE"""),"Link")</f>
        <v>Link</v>
      </c>
      <c r="L51" s="139" t="str">
        <f>IFERROR(__xludf.DUMMYFUNCTION("""COMPUTED_VALUE"""),"Link")</f>
        <v>Link</v>
      </c>
      <c r="M51" s="142" t="str">
        <f>IFERROR(__xludf.DUMMYFUNCTION("""COMPUTED_VALUE"""),"Link")</f>
        <v>Link</v>
      </c>
      <c r="N51" s="142" t="str">
        <f>IFERROR(__xludf.DUMMYFUNCTION("""COMPUTED_VALUE"""),"Link")</f>
        <v>Link</v>
      </c>
      <c r="O51" s="142" t="str">
        <f>IFERROR(__xludf.DUMMYFUNCTION("""COMPUTED_VALUE"""),"Link")</f>
        <v>Link</v>
      </c>
      <c r="P51" s="139" t="str">
        <f>IFERROR(__xludf.DUMMYFUNCTION("""COMPUTED_VALUE"""),"Link")</f>
        <v>Link</v>
      </c>
      <c r="Q51" s="142" t="str">
        <f>IFERROR(__xludf.DUMMYFUNCTION("""COMPUTED_VALUE"""),"Link")</f>
        <v>Link</v>
      </c>
      <c r="R51" s="142" t="str">
        <f>IFERROR(__xludf.DUMMYFUNCTION("""COMPUTED_VALUE"""),"Link")</f>
        <v>Link</v>
      </c>
      <c r="S51" s="141" t="str">
        <f t="shared" si="1"/>
        <v>https://sealeddeck.tech/cfDSugppxi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>
      <c r="A52" s="124" t="s">
        <v>924</v>
      </c>
      <c r="B52" s="124" t="s">
        <v>925</v>
      </c>
      <c r="C52" s="137" t="s">
        <v>926</v>
      </c>
      <c r="D52" s="124" t="s">
        <v>190</v>
      </c>
      <c r="E52" s="138">
        <v>13.0</v>
      </c>
      <c r="F52" s="138">
        <v>11.0</v>
      </c>
      <c r="G52" s="139" t="str">
        <f t="array" ref="G52">IF(H52="","",IFERROR(
  "https://sealeddeck.tech/" &amp; INDEX('Pool Changes'!F:F,
    MAX(
      ROW('Pool Changes'!A:A) *
      ('Pool Changes'!B:B=D52) *
      ('Pool Changes'!F:F&lt;&gt;"")
    )
  ),
  ""
))</f>
        <v>https://sealeddeck.tech/8qawEn2ZFS</v>
      </c>
      <c r="H52" s="139" t="str">
        <f>IFERROR(__xludf.DUMMYFUNCTION("LET(changes,FILTER('Pool Changes'!$B:$D, 'Pool Changes'!$B:$B = $D52),added,FILTER(INDEX(changes,0,3),INDEX(changes,0,2)=""starting pool""),TRANSPOSE(IFERROR(ARRAYFORMULA(IF(added&lt;&gt;"""",""https://sealeddeck.tech/""&amp;added,"""")),"""")))"),"https://sealeddeck.tech/hU9bphmgid")</f>
        <v>https://sealeddeck.tech/hU9bphmgid</v>
      </c>
      <c r="I52" s="139" t="str">
        <f>IFERROR(__xludf.DUMMYFUNCTION("LET(changes,FILTER('Pool Changes'!$B:$D, 'Pool Changes'!$B:$B = $D52),added,FILTER(INDEX(changes,0,3),INDEX(changes,0,2)=""add pack""),IFERROR(TRANSPOSE(ARRAYFORMULA(IF(added&lt;&gt;"""",HYPERLINK(""https://sealeddeck.tech/""&amp;added,""Link""),""""))),""""))"),"Link")</f>
        <v>Link</v>
      </c>
      <c r="J52" s="139" t="str">
        <f>IFERROR(__xludf.DUMMYFUNCTION("""COMPUTED_VALUE"""),"Link")</f>
        <v>Link</v>
      </c>
      <c r="K52" s="139" t="str">
        <f>IFERROR(__xludf.DUMMYFUNCTION("""COMPUTED_VALUE"""),"Link")</f>
        <v>Link</v>
      </c>
      <c r="L52" s="139" t="str">
        <f>IFERROR(__xludf.DUMMYFUNCTION("""COMPUTED_VALUE"""),"Link")</f>
        <v>Link</v>
      </c>
      <c r="M52" s="142" t="str">
        <f>IFERROR(__xludf.DUMMYFUNCTION("""COMPUTED_VALUE"""),"Link")</f>
        <v>Link</v>
      </c>
      <c r="N52" s="142" t="str">
        <f>IFERROR(__xludf.DUMMYFUNCTION("""COMPUTED_VALUE"""),"Link")</f>
        <v>Link</v>
      </c>
      <c r="O52" s="142" t="str">
        <f>IFERROR(__xludf.DUMMYFUNCTION("""COMPUTED_VALUE"""),"Link")</f>
        <v>Link</v>
      </c>
      <c r="P52" s="139" t="str">
        <f>IFERROR(__xludf.DUMMYFUNCTION("""COMPUTED_VALUE"""),"Link")</f>
        <v>Link</v>
      </c>
      <c r="Q52" s="142" t="str">
        <f>IFERROR(__xludf.DUMMYFUNCTION("""COMPUTED_VALUE"""),"Link")</f>
        <v>Link</v>
      </c>
      <c r="R52" s="142" t="str">
        <f>IFERROR(__xludf.DUMMYFUNCTION("""COMPUTED_VALUE"""),"Link")</f>
        <v>Link</v>
      </c>
      <c r="S52" s="141" t="str">
        <f t="shared" si="1"/>
        <v>https://sealeddeck.tech/JjiHGQ4yoT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>
      <c r="A53" s="124" t="s">
        <v>929</v>
      </c>
      <c r="B53" s="124" t="s">
        <v>930</v>
      </c>
      <c r="C53" s="137" t="s">
        <v>931</v>
      </c>
      <c r="D53" s="124" t="s">
        <v>298</v>
      </c>
      <c r="E53" s="138">
        <v>13.0</v>
      </c>
      <c r="F53" s="138">
        <v>11.0</v>
      </c>
      <c r="G53" s="139" t="str">
        <f t="array" ref="G53">IF(H53="","",IFERROR(
  "https://sealeddeck.tech/" &amp; INDEX('Pool Changes'!F:F,
    MAX(
      ROW('Pool Changes'!A:A) *
      ('Pool Changes'!B:B=D53) *
      ('Pool Changes'!F:F&lt;&gt;"")
    )
  ),
  ""
))</f>
        <v>https://sealeddeck.tech/Hrd2Mf2SkN</v>
      </c>
      <c r="H53" s="139" t="str">
        <f>IFERROR(__xludf.DUMMYFUNCTION("LET(changes,FILTER('Pool Changes'!$B:$D, 'Pool Changes'!$B:$B = $D53),added,FILTER(INDEX(changes,0,3),INDEX(changes,0,2)=""starting pool""),TRANSPOSE(IFERROR(ARRAYFORMULA(IF(added&lt;&gt;"""",""https://sealeddeck.tech/""&amp;added,"""")),"""")))"),"https://sealeddeck.tech/64KQoR752m")</f>
        <v>https://sealeddeck.tech/64KQoR752m</v>
      </c>
      <c r="I53" s="139" t="str">
        <f>IFERROR(__xludf.DUMMYFUNCTION("LET(changes,FILTER('Pool Changes'!$B:$D, 'Pool Changes'!$B:$B = $D53),added,FILTER(INDEX(changes,0,3),INDEX(changes,0,2)=""add pack""),IFERROR(TRANSPOSE(ARRAYFORMULA(IF(added&lt;&gt;"""",HYPERLINK(""https://sealeddeck.tech/""&amp;added,""Link""),""""))),""""))"),"Link")</f>
        <v>Link</v>
      </c>
      <c r="J53" s="139" t="str">
        <f>IFERROR(__xludf.DUMMYFUNCTION("""COMPUTED_VALUE"""),"Link")</f>
        <v>Link</v>
      </c>
      <c r="K53" s="139" t="str">
        <f>IFERROR(__xludf.DUMMYFUNCTION("""COMPUTED_VALUE"""),"Link")</f>
        <v>Link</v>
      </c>
      <c r="L53" s="139" t="str">
        <f>IFERROR(__xludf.DUMMYFUNCTION("""COMPUTED_VALUE"""),"Link")</f>
        <v>Link</v>
      </c>
      <c r="M53" s="142" t="str">
        <f>IFERROR(__xludf.DUMMYFUNCTION("""COMPUTED_VALUE"""),"Link")</f>
        <v>Link</v>
      </c>
      <c r="N53" s="142" t="str">
        <f>IFERROR(__xludf.DUMMYFUNCTION("""COMPUTED_VALUE"""),"Link")</f>
        <v>Link</v>
      </c>
      <c r="O53" s="142" t="str">
        <f>IFERROR(__xludf.DUMMYFUNCTION("""COMPUTED_VALUE"""),"Link")</f>
        <v>Link</v>
      </c>
      <c r="P53" s="139" t="str">
        <f>IFERROR(__xludf.DUMMYFUNCTION("""COMPUTED_VALUE"""),"Link")</f>
        <v>Link</v>
      </c>
      <c r="Q53" s="142" t="str">
        <f>IFERROR(__xludf.DUMMYFUNCTION("""COMPUTED_VALUE"""),"Link")</f>
        <v>Link</v>
      </c>
      <c r="R53" s="142" t="str">
        <f>IFERROR(__xludf.DUMMYFUNCTION("""COMPUTED_VALUE"""),"Link")</f>
        <v>Link</v>
      </c>
      <c r="S53" s="141" t="str">
        <f t="shared" si="1"/>
        <v>https://sealeddeck.tech/t7uc5pCbye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>
      <c r="A54" s="124" t="s">
        <v>932</v>
      </c>
      <c r="B54" s="124" t="s">
        <v>933</v>
      </c>
      <c r="C54" s="137" t="s">
        <v>934</v>
      </c>
      <c r="D54" s="124" t="s">
        <v>424</v>
      </c>
      <c r="E54" s="138">
        <v>6.0</v>
      </c>
      <c r="F54" s="138">
        <v>11.0</v>
      </c>
      <c r="G54" s="139" t="str">
        <f t="array" ref="G54">IF(H54="","",IFERROR(
  "https://sealeddeck.tech/" &amp; INDEX('Pool Changes'!F:F,
    MAX(
      ROW('Pool Changes'!A:A) *
      ('Pool Changes'!B:B=D54) *
      ('Pool Changes'!F:F&lt;&gt;"")
    )
  ),
  ""
))</f>
        <v>https://sealeddeck.tech/qv88oWxnwu</v>
      </c>
      <c r="H54" s="139" t="str">
        <f>IFERROR(__xludf.DUMMYFUNCTION("LET(changes,FILTER('Pool Changes'!$B:$D, 'Pool Changes'!$B:$B = $D54),added,FILTER(INDEX(changes,0,3),INDEX(changes,0,2)=""starting pool""),TRANSPOSE(IFERROR(ARRAYFORMULA(IF(added&lt;&gt;"""",""https://sealeddeck.tech/""&amp;added,"""")),"""")))"),"https://sealeddeck.tech/7dUboKXRgQ")</f>
        <v>https://sealeddeck.tech/7dUboKXRgQ</v>
      </c>
      <c r="I54" s="139" t="str">
        <f>IFERROR(__xludf.DUMMYFUNCTION("LET(changes,FILTER('Pool Changes'!$B:$D, 'Pool Changes'!$B:$B = $D54),added,FILTER(INDEX(changes,0,3),INDEX(changes,0,2)=""add pack""),IFERROR(TRANSPOSE(ARRAYFORMULA(IF(added&lt;&gt;"""",HYPERLINK(""https://sealeddeck.tech/""&amp;added,""Link""),""""))),""""))"),"Link")</f>
        <v>Link</v>
      </c>
      <c r="J54" s="139" t="str">
        <f>IFERROR(__xludf.DUMMYFUNCTION("""COMPUTED_VALUE"""),"Link")</f>
        <v>Link</v>
      </c>
      <c r="K54" s="139" t="str">
        <f>IFERROR(__xludf.DUMMYFUNCTION("""COMPUTED_VALUE"""),"Link")</f>
        <v>Link</v>
      </c>
      <c r="L54" s="139" t="str">
        <f>IFERROR(__xludf.DUMMYFUNCTION("""COMPUTED_VALUE"""),"Link")</f>
        <v>Link</v>
      </c>
      <c r="M54" s="142" t="str">
        <f>IFERROR(__xludf.DUMMYFUNCTION("""COMPUTED_VALUE"""),"Link")</f>
        <v>Link</v>
      </c>
      <c r="N54" s="142" t="str">
        <f>IFERROR(__xludf.DUMMYFUNCTION("""COMPUTED_VALUE"""),"Link")</f>
        <v>Link</v>
      </c>
      <c r="O54" s="142" t="str">
        <f>IFERROR(__xludf.DUMMYFUNCTION("""COMPUTED_VALUE"""),"Link")</f>
        <v>Link</v>
      </c>
      <c r="P54" s="139" t="str">
        <f>IFERROR(__xludf.DUMMYFUNCTION("""COMPUTED_VALUE"""),"Link")</f>
        <v>Link</v>
      </c>
      <c r="Q54" s="142" t="str">
        <f>IFERROR(__xludf.DUMMYFUNCTION("""COMPUTED_VALUE"""),"Link")</f>
        <v>Link</v>
      </c>
      <c r="R54" s="142" t="str">
        <f>IFERROR(__xludf.DUMMYFUNCTION("""COMPUTED_VALUE"""),"Link")</f>
        <v>Link</v>
      </c>
      <c r="S54" s="141" t="str">
        <f t="shared" si="1"/>
        <v>https://sealeddeck.tech/3VuBeb4UdC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>
      <c r="A55" s="124" t="s">
        <v>936</v>
      </c>
      <c r="B55" s="124" t="s">
        <v>937</v>
      </c>
      <c r="C55" s="137" t="s">
        <v>938</v>
      </c>
      <c r="D55" s="124" t="s">
        <v>100</v>
      </c>
      <c r="E55" s="138">
        <v>6.0</v>
      </c>
      <c r="F55" s="138">
        <v>11.0</v>
      </c>
      <c r="G55" s="139" t="str">
        <f t="array" ref="G55">IF(H55="","",IFERROR(
  "https://sealeddeck.tech/" &amp; INDEX('Pool Changes'!F:F,
    MAX(
      ROW('Pool Changes'!A:A) *
      ('Pool Changes'!B:B=D55) *
      ('Pool Changes'!F:F&lt;&gt;"")
    )
  ),
  ""
))</f>
        <v>https://sealeddeck.tech/L9jT4dRhFF</v>
      </c>
      <c r="H55" s="139" t="str">
        <f>IFERROR(__xludf.DUMMYFUNCTION("LET(changes,FILTER('Pool Changes'!$B:$D, 'Pool Changes'!$B:$B = $D55),added,FILTER(INDEX(changes,0,3),INDEX(changes,0,2)=""starting pool""),TRANSPOSE(IFERROR(ARRAYFORMULA(IF(added&lt;&gt;"""",""https://sealeddeck.tech/""&amp;added,"""")),"""")))"),"https://sealeddeck.tech/U95UmnhGoR")</f>
        <v>https://sealeddeck.tech/U95UmnhGoR</v>
      </c>
      <c r="I55" s="139" t="str">
        <f>IFERROR(__xludf.DUMMYFUNCTION("LET(changes,FILTER('Pool Changes'!$B:$D, 'Pool Changes'!$B:$B = $D55),added,FILTER(INDEX(changes,0,3),INDEX(changes,0,2)=""add pack""),IFERROR(TRANSPOSE(ARRAYFORMULA(IF(added&lt;&gt;"""",HYPERLINK(""https://sealeddeck.tech/""&amp;added,""Link""),""""))),""""))"),"Link")</f>
        <v>Link</v>
      </c>
      <c r="J55" s="139" t="str">
        <f>IFERROR(__xludf.DUMMYFUNCTION("""COMPUTED_VALUE"""),"Link")</f>
        <v>Link</v>
      </c>
      <c r="K55" s="139" t="str">
        <f>IFERROR(__xludf.DUMMYFUNCTION("""COMPUTED_VALUE"""),"Link")</f>
        <v>Link</v>
      </c>
      <c r="L55" s="139" t="str">
        <f>IFERROR(__xludf.DUMMYFUNCTION("""COMPUTED_VALUE"""),"Link")</f>
        <v>Link</v>
      </c>
      <c r="M55" s="142" t="str">
        <f>IFERROR(__xludf.DUMMYFUNCTION("""COMPUTED_VALUE"""),"Link")</f>
        <v>Link</v>
      </c>
      <c r="N55" s="142" t="str">
        <f>IFERROR(__xludf.DUMMYFUNCTION("""COMPUTED_VALUE"""),"Link")</f>
        <v>Link</v>
      </c>
      <c r="O55" s="142" t="str">
        <f>IFERROR(__xludf.DUMMYFUNCTION("""COMPUTED_VALUE"""),"Link")</f>
        <v>Link</v>
      </c>
      <c r="P55" s="139" t="str">
        <f>IFERROR(__xludf.DUMMYFUNCTION("""COMPUTED_VALUE"""),"Link")</f>
        <v>Link</v>
      </c>
      <c r="Q55" s="142" t="str">
        <f>IFERROR(__xludf.DUMMYFUNCTION("""COMPUTED_VALUE"""),"Link")</f>
        <v>Link</v>
      </c>
      <c r="R55" s="142" t="str">
        <f>IFERROR(__xludf.DUMMYFUNCTION("""COMPUTED_VALUE"""),"Link")</f>
        <v>Link</v>
      </c>
      <c r="S55" s="141" t="str">
        <f t="shared" si="1"/>
        <v>https://sealeddeck.tech/KTTL2ivUyZ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>
      <c r="A56" s="124" t="s">
        <v>939</v>
      </c>
      <c r="B56" s="124" t="s">
        <v>940</v>
      </c>
      <c r="C56" s="137" t="s">
        <v>941</v>
      </c>
      <c r="D56" s="124" t="s">
        <v>64</v>
      </c>
      <c r="E56" s="138">
        <v>13.0</v>
      </c>
      <c r="F56" s="138">
        <v>11.0</v>
      </c>
      <c r="G56" s="139" t="str">
        <f t="array" ref="G56">IF(H56="","",IFERROR(
  "https://sealeddeck.tech/" &amp; INDEX('Pool Changes'!F:F,
    MAX(
      ROW('Pool Changes'!A:A) *
      ('Pool Changes'!B:B=D56) *
      ('Pool Changes'!F:F&lt;&gt;"")
    )
  ),
  ""
))</f>
        <v>https://sealeddeck.tech/4CqJ4e35Vq</v>
      </c>
      <c r="H56" s="139" t="str">
        <f>IFERROR(__xludf.DUMMYFUNCTION("LET(changes,FILTER('Pool Changes'!$B:$D, 'Pool Changes'!$B:$B = $D56),added,FILTER(INDEX(changes,0,3),INDEX(changes,0,2)=""starting pool""),TRANSPOSE(IFERROR(ARRAYFORMULA(IF(added&lt;&gt;"""",""https://sealeddeck.tech/""&amp;added,"""")),"""")))"),"https://sealeddeck.tech/XxiyRBp4bT")</f>
        <v>https://sealeddeck.tech/XxiyRBp4bT</v>
      </c>
      <c r="I56" s="139" t="str">
        <f>IFERROR(__xludf.DUMMYFUNCTION("LET(changes,FILTER('Pool Changes'!$B:$D, 'Pool Changes'!$B:$B = $D56),added,FILTER(INDEX(changes,0,3),INDEX(changes,0,2)=""add pack""),IFERROR(TRANSPOSE(ARRAYFORMULA(IF(added&lt;&gt;"""",HYPERLINK(""https://sealeddeck.tech/""&amp;added,""Link""),""""))),""""))"),"Link")</f>
        <v>Link</v>
      </c>
      <c r="J56" s="139" t="str">
        <f>IFERROR(__xludf.DUMMYFUNCTION("""COMPUTED_VALUE"""),"Link")</f>
        <v>Link</v>
      </c>
      <c r="K56" s="139" t="str">
        <f>IFERROR(__xludf.DUMMYFUNCTION("""COMPUTED_VALUE"""),"Link")</f>
        <v>Link</v>
      </c>
      <c r="L56" s="139" t="str">
        <f>IFERROR(__xludf.DUMMYFUNCTION("""COMPUTED_VALUE"""),"Link")</f>
        <v>Link</v>
      </c>
      <c r="M56" s="142" t="str">
        <f>IFERROR(__xludf.DUMMYFUNCTION("""COMPUTED_VALUE"""),"Link")</f>
        <v>Link</v>
      </c>
      <c r="N56" s="142" t="str">
        <f>IFERROR(__xludf.DUMMYFUNCTION("""COMPUTED_VALUE"""),"Link")</f>
        <v>Link</v>
      </c>
      <c r="O56" s="142" t="str">
        <f>IFERROR(__xludf.DUMMYFUNCTION("""COMPUTED_VALUE"""),"Link")</f>
        <v>Link</v>
      </c>
      <c r="P56" s="139" t="str">
        <f>IFERROR(__xludf.DUMMYFUNCTION("""COMPUTED_VALUE"""),"Link")</f>
        <v>Link</v>
      </c>
      <c r="Q56" s="142" t="str">
        <f>IFERROR(__xludf.DUMMYFUNCTION("""COMPUTED_VALUE"""),"Link")</f>
        <v>Link</v>
      </c>
      <c r="R56" s="142" t="str">
        <f>IFERROR(__xludf.DUMMYFUNCTION("""COMPUTED_VALUE"""),"Link")</f>
        <v>Link</v>
      </c>
      <c r="S56" s="141" t="str">
        <f t="shared" si="1"/>
        <v>https://sealeddeck.tech/GGP7K9aMkP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>
      <c r="A57" s="124" t="s">
        <v>942</v>
      </c>
      <c r="B57" s="124" t="s">
        <v>943</v>
      </c>
      <c r="C57" s="137" t="s">
        <v>944</v>
      </c>
      <c r="D57" s="124" t="s">
        <v>186</v>
      </c>
      <c r="E57" s="138">
        <v>6.0</v>
      </c>
      <c r="F57" s="138">
        <v>11.0</v>
      </c>
      <c r="G57" s="139" t="str">
        <f t="array" ref="G57">IF(H57="","",IFERROR(
  "https://sealeddeck.tech/" &amp; INDEX('Pool Changes'!F:F,
    MAX(
      ROW('Pool Changes'!A:A) *
      ('Pool Changes'!B:B=D57) *
      ('Pool Changes'!F:F&lt;&gt;"")
    )
  ),
  ""
))</f>
        <v>https://sealeddeck.tech/nVzeGPDziF</v>
      </c>
      <c r="H57" s="139" t="str">
        <f>IFERROR(__xludf.DUMMYFUNCTION("LET(changes,FILTER('Pool Changes'!$B:$D, 'Pool Changes'!$B:$B = $D57),added,FILTER(INDEX(changes,0,3),INDEX(changes,0,2)=""starting pool""),TRANSPOSE(IFERROR(ARRAYFORMULA(IF(added&lt;&gt;"""",""https://sealeddeck.tech/""&amp;added,"""")),"""")))"),"https://sealeddeck.tech/azETdXZVgv")</f>
        <v>https://sealeddeck.tech/azETdXZVgv</v>
      </c>
      <c r="I57" s="139" t="str">
        <f>IFERROR(__xludf.DUMMYFUNCTION("LET(changes,FILTER('Pool Changes'!$B:$D, 'Pool Changes'!$B:$B = $D57),added,FILTER(INDEX(changes,0,3),INDEX(changes,0,2)=""add pack""),IFERROR(TRANSPOSE(ARRAYFORMULA(IF(added&lt;&gt;"""",HYPERLINK(""https://sealeddeck.tech/""&amp;added,""Link""),""""))),""""))"),"Link")</f>
        <v>Link</v>
      </c>
      <c r="J57" s="139" t="str">
        <f>IFERROR(__xludf.DUMMYFUNCTION("""COMPUTED_VALUE"""),"Link")</f>
        <v>Link</v>
      </c>
      <c r="K57" s="139" t="str">
        <f>IFERROR(__xludf.DUMMYFUNCTION("""COMPUTED_VALUE"""),"Link")</f>
        <v>Link</v>
      </c>
      <c r="L57" s="139" t="str">
        <f>IFERROR(__xludf.DUMMYFUNCTION("""COMPUTED_VALUE"""),"Link")</f>
        <v>Link</v>
      </c>
      <c r="M57" s="142" t="str">
        <f>IFERROR(__xludf.DUMMYFUNCTION("""COMPUTED_VALUE"""),"Link")</f>
        <v>Link</v>
      </c>
      <c r="N57" s="142" t="str">
        <f>IFERROR(__xludf.DUMMYFUNCTION("""COMPUTED_VALUE"""),"Link")</f>
        <v>Link</v>
      </c>
      <c r="O57" s="142" t="str">
        <f>IFERROR(__xludf.DUMMYFUNCTION("""COMPUTED_VALUE"""),"Link")</f>
        <v>Link</v>
      </c>
      <c r="P57" s="139" t="str">
        <f>IFERROR(__xludf.DUMMYFUNCTION("""COMPUTED_VALUE"""),"Link")</f>
        <v>Link</v>
      </c>
      <c r="Q57" s="142" t="str">
        <f>IFERROR(__xludf.DUMMYFUNCTION("""COMPUTED_VALUE"""),"Link")</f>
        <v>Link</v>
      </c>
      <c r="R57" s="142" t="str">
        <f>IFERROR(__xludf.DUMMYFUNCTION("""COMPUTED_VALUE"""),"Link")</f>
        <v>Link</v>
      </c>
      <c r="S57" s="141" t="str">
        <f t="shared" si="1"/>
        <v>https://sealeddeck.tech/8qawEn2ZFS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>
      <c r="A58" s="124" t="s">
        <v>945</v>
      </c>
      <c r="B58" s="124" t="s">
        <v>946</v>
      </c>
      <c r="C58" s="137" t="s">
        <v>947</v>
      </c>
      <c r="D58" s="124" t="s">
        <v>75</v>
      </c>
      <c r="E58" s="138">
        <v>1.0</v>
      </c>
      <c r="F58" s="138">
        <v>11.0</v>
      </c>
      <c r="G58" s="139" t="str">
        <f t="array" ref="G58">IF(H58="","",IFERROR(
  "https://sealeddeck.tech/" &amp; INDEX('Pool Changes'!F:F,
    MAX(
      ROW('Pool Changes'!A:A) *
      ('Pool Changes'!B:B=D58) *
      ('Pool Changes'!F:F&lt;&gt;"")
    )
  ),
  ""
))</f>
        <v>https://sealeddeck.tech/G1PbgnZ2Eq</v>
      </c>
      <c r="H58" s="139" t="str">
        <f>IFERROR(__xludf.DUMMYFUNCTION("LET(changes,FILTER('Pool Changes'!$B:$D, 'Pool Changes'!$B:$B = $D58),added,FILTER(INDEX(changes,0,3),INDEX(changes,0,2)=""starting pool""),TRANSPOSE(IFERROR(ARRAYFORMULA(IF(added&lt;&gt;"""",""https://sealeddeck.tech/""&amp;added,"""")),"""")))"),"https://sealeddeck.tech/AUYBFEBYip")</f>
        <v>https://sealeddeck.tech/AUYBFEBYip</v>
      </c>
      <c r="I58" s="139" t="str">
        <f>IFERROR(__xludf.DUMMYFUNCTION("LET(changes,FILTER('Pool Changes'!$B:$D, 'Pool Changes'!$B:$B = $D58),added,FILTER(INDEX(changes,0,3),INDEX(changes,0,2)=""add pack""),IFERROR(TRANSPOSE(ARRAYFORMULA(IF(added&lt;&gt;"""",HYPERLINK(""https://sealeddeck.tech/""&amp;added,""Link""),""""))),""""))"),"Link")</f>
        <v>Link</v>
      </c>
      <c r="J58" s="139" t="str">
        <f>IFERROR(__xludf.DUMMYFUNCTION("""COMPUTED_VALUE"""),"Link")</f>
        <v>Link</v>
      </c>
      <c r="K58" s="139" t="str">
        <f>IFERROR(__xludf.DUMMYFUNCTION("""COMPUTED_VALUE"""),"Link")</f>
        <v>Link</v>
      </c>
      <c r="L58" s="139" t="str">
        <f>IFERROR(__xludf.DUMMYFUNCTION("""COMPUTED_VALUE"""),"Link")</f>
        <v>Link</v>
      </c>
      <c r="M58" s="142" t="str">
        <f>IFERROR(__xludf.DUMMYFUNCTION("""COMPUTED_VALUE"""),"Link")</f>
        <v>Link</v>
      </c>
      <c r="N58" s="142" t="str">
        <f>IFERROR(__xludf.DUMMYFUNCTION("""COMPUTED_VALUE"""),"Link")</f>
        <v>Link</v>
      </c>
      <c r="O58" s="142" t="str">
        <f>IFERROR(__xludf.DUMMYFUNCTION("""COMPUTED_VALUE"""),"Link")</f>
        <v>Link</v>
      </c>
      <c r="P58" s="139" t="str">
        <f>IFERROR(__xludf.DUMMYFUNCTION("""COMPUTED_VALUE"""),"Link")</f>
        <v>Link</v>
      </c>
      <c r="Q58" s="142" t="str">
        <f>IFERROR(__xludf.DUMMYFUNCTION("""COMPUTED_VALUE"""),"Link")</f>
        <v>Link</v>
      </c>
      <c r="R58" s="142" t="str">
        <f>IFERROR(__xludf.DUMMYFUNCTION("""COMPUTED_VALUE"""),"Link")</f>
        <v>Link</v>
      </c>
      <c r="S58" s="141" t="str">
        <f t="shared" si="1"/>
        <v>https://sealeddeck.tech/Hrd2Mf2SkN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>
      <c r="A59" s="124" t="s">
        <v>948</v>
      </c>
      <c r="B59" s="124" t="s">
        <v>949</v>
      </c>
      <c r="C59" s="137" t="s">
        <v>950</v>
      </c>
      <c r="D59" s="124" t="s">
        <v>187</v>
      </c>
      <c r="E59" s="138">
        <v>11.0</v>
      </c>
      <c r="F59" s="138">
        <v>11.0</v>
      </c>
      <c r="G59" s="139" t="str">
        <f t="array" ref="G59">IF(H59="","",IFERROR(
  "https://sealeddeck.tech/" &amp; INDEX('Pool Changes'!F:F,
    MAX(
      ROW('Pool Changes'!A:A) *
      ('Pool Changes'!B:B=D59) *
      ('Pool Changes'!F:F&lt;&gt;"")
    )
  ),
  ""
))</f>
        <v>https://sealeddeck.tech/8q43G73gQp</v>
      </c>
      <c r="H59" s="139" t="str">
        <f>IFERROR(__xludf.DUMMYFUNCTION("LET(changes,FILTER('Pool Changes'!$B:$D, 'Pool Changes'!$B:$B = $D59),added,FILTER(INDEX(changes,0,3),INDEX(changes,0,2)=""starting pool""),TRANSPOSE(IFERROR(ARRAYFORMULA(IF(added&lt;&gt;"""",""https://sealeddeck.tech/""&amp;added,"""")),"""")))"),"https://sealeddeck.tech/XDb8PL78uE")</f>
        <v>https://sealeddeck.tech/XDb8PL78uE</v>
      </c>
      <c r="I59" s="139" t="str">
        <f>IFERROR(__xludf.DUMMYFUNCTION("LET(changes,FILTER('Pool Changes'!$B:$D, 'Pool Changes'!$B:$B = $D59),added,FILTER(INDEX(changes,0,3),INDEX(changes,0,2)=""add pack""),IFERROR(TRANSPOSE(ARRAYFORMULA(IF(added&lt;&gt;"""",HYPERLINK(""https://sealeddeck.tech/""&amp;added,""Link""),""""))),""""))"),"Link")</f>
        <v>Link</v>
      </c>
      <c r="J59" s="139" t="str">
        <f>IFERROR(__xludf.DUMMYFUNCTION("""COMPUTED_VALUE"""),"Link")</f>
        <v>Link</v>
      </c>
      <c r="K59" s="139" t="str">
        <f>IFERROR(__xludf.DUMMYFUNCTION("""COMPUTED_VALUE"""),"Link")</f>
        <v>Link</v>
      </c>
      <c r="L59" s="139" t="str">
        <f>IFERROR(__xludf.DUMMYFUNCTION("""COMPUTED_VALUE"""),"Link")</f>
        <v>Link</v>
      </c>
      <c r="M59" s="142" t="str">
        <f>IFERROR(__xludf.DUMMYFUNCTION("""COMPUTED_VALUE"""),"Link")</f>
        <v>Link</v>
      </c>
      <c r="N59" s="142" t="str">
        <f>IFERROR(__xludf.DUMMYFUNCTION("""COMPUTED_VALUE"""),"Link")</f>
        <v>Link</v>
      </c>
      <c r="O59" s="142" t="str">
        <f>IFERROR(__xludf.DUMMYFUNCTION("""COMPUTED_VALUE"""),"Link")</f>
        <v>Link</v>
      </c>
      <c r="P59" s="139" t="str">
        <f>IFERROR(__xludf.DUMMYFUNCTION("""COMPUTED_VALUE"""),"Link")</f>
        <v>Link</v>
      </c>
      <c r="Q59" s="142" t="str">
        <f>IFERROR(__xludf.DUMMYFUNCTION("""COMPUTED_VALUE"""),"Link")</f>
        <v>Link</v>
      </c>
      <c r="R59" s="142" t="str">
        <f>IFERROR(__xludf.DUMMYFUNCTION("""COMPUTED_VALUE"""),"Link")</f>
        <v>Link</v>
      </c>
      <c r="S59" s="141" t="str">
        <f t="shared" si="1"/>
        <v>https://sealeddeck.tech/qv88oWxnwu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>
      <c r="A60" s="124" t="s">
        <v>951</v>
      </c>
      <c r="B60" s="124" t="s">
        <v>952</v>
      </c>
      <c r="C60" s="137" t="s">
        <v>953</v>
      </c>
      <c r="D60" s="124" t="s">
        <v>81</v>
      </c>
      <c r="E60" s="138">
        <v>5.0</v>
      </c>
      <c r="F60" s="138">
        <v>11.0</v>
      </c>
      <c r="G60" s="139" t="str">
        <f t="array" ref="G60">IF(H60="","",IFERROR(
  "https://sealeddeck.tech/" &amp; INDEX('Pool Changes'!F:F,
    MAX(
      ROW('Pool Changes'!A:A) *
      ('Pool Changes'!B:B=D60) *
      ('Pool Changes'!F:F&lt;&gt;"")
    )
  ),
  ""
))</f>
        <v>https://sealeddeck.tech/3jXJZ1juNF</v>
      </c>
      <c r="H60" s="139" t="str">
        <f>IFERROR(__xludf.DUMMYFUNCTION("LET(changes,FILTER('Pool Changes'!$B:$D, 'Pool Changes'!$B:$B = $D60),added,FILTER(INDEX(changes,0,3),INDEX(changes,0,2)=""starting pool""),TRANSPOSE(IFERROR(ARRAYFORMULA(IF(added&lt;&gt;"""",""https://sealeddeck.tech/""&amp;added,"""")),"""")))"),"https://sealeddeck.tech/1LvJS7SmPd")</f>
        <v>https://sealeddeck.tech/1LvJS7SmPd</v>
      </c>
      <c r="I60" s="139" t="str">
        <f>IFERROR(__xludf.DUMMYFUNCTION("LET(changes,FILTER('Pool Changes'!$B:$D, 'Pool Changes'!$B:$B = $D60),added,FILTER(INDEX(changes,0,3),INDEX(changes,0,2)=""add pack""),IFERROR(TRANSPOSE(ARRAYFORMULA(IF(added&lt;&gt;"""",HYPERLINK(""https://sealeddeck.tech/""&amp;added,""Link""),""""))),""""))"),"Link")</f>
        <v>Link</v>
      </c>
      <c r="J60" s="139" t="str">
        <f>IFERROR(__xludf.DUMMYFUNCTION("""COMPUTED_VALUE"""),"Link")</f>
        <v>Link</v>
      </c>
      <c r="K60" s="139" t="str">
        <f>IFERROR(__xludf.DUMMYFUNCTION("""COMPUTED_VALUE"""),"Link")</f>
        <v>Link</v>
      </c>
      <c r="L60" s="139" t="str">
        <f>IFERROR(__xludf.DUMMYFUNCTION("""COMPUTED_VALUE"""),"Link")</f>
        <v>Link</v>
      </c>
      <c r="M60" s="142" t="str">
        <f>IFERROR(__xludf.DUMMYFUNCTION("""COMPUTED_VALUE"""),"Link")</f>
        <v>Link</v>
      </c>
      <c r="N60" s="142" t="str">
        <f>IFERROR(__xludf.DUMMYFUNCTION("""COMPUTED_VALUE"""),"Link")</f>
        <v>Link</v>
      </c>
      <c r="O60" s="142" t="str">
        <f>IFERROR(__xludf.DUMMYFUNCTION("""COMPUTED_VALUE"""),"Link")</f>
        <v>Link</v>
      </c>
      <c r="P60" s="139" t="str">
        <f>IFERROR(__xludf.DUMMYFUNCTION("""COMPUTED_VALUE"""),"Link")</f>
        <v>Link</v>
      </c>
      <c r="Q60" s="142" t="str">
        <f>IFERROR(__xludf.DUMMYFUNCTION("""COMPUTED_VALUE"""),"Link")</f>
        <v>Link</v>
      </c>
      <c r="R60" s="142" t="str">
        <f>IFERROR(__xludf.DUMMYFUNCTION("""COMPUTED_VALUE"""),"Link")</f>
        <v>Link</v>
      </c>
      <c r="S60" s="141" t="str">
        <f t="shared" si="1"/>
        <v>https://sealeddeck.tech/L9jT4dRhFF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>
      <c r="A61" s="124" t="s">
        <v>954</v>
      </c>
      <c r="B61" s="124" t="s">
        <v>955</v>
      </c>
      <c r="C61" s="137" t="s">
        <v>956</v>
      </c>
      <c r="D61" s="124" t="s">
        <v>83</v>
      </c>
      <c r="E61" s="138">
        <v>8.0</v>
      </c>
      <c r="F61" s="138">
        <v>11.0</v>
      </c>
      <c r="G61" s="139" t="str">
        <f t="array" ref="G61">IF(H61="","",IFERROR(
  "https://sealeddeck.tech/" &amp; INDEX('Pool Changes'!F:F,
    MAX(
      ROW('Pool Changes'!A:A) *
      ('Pool Changes'!B:B=D61) *
      ('Pool Changes'!F:F&lt;&gt;"")
    )
  ),
  ""
))</f>
        <v>https://sealeddeck.tech/JmAfq88Hye</v>
      </c>
      <c r="H61" s="139" t="str">
        <f>IFERROR(__xludf.DUMMYFUNCTION("LET(changes,FILTER('Pool Changes'!$B:$D, 'Pool Changes'!$B:$B = $D61),added,FILTER(INDEX(changes,0,3),INDEX(changes,0,2)=""starting pool""),TRANSPOSE(IFERROR(ARRAYFORMULA(IF(added&lt;&gt;"""",""https://sealeddeck.tech/""&amp;added,"""")),"""")))"),"https://sealeddeck.tech/nd8inqSj71")</f>
        <v>https://sealeddeck.tech/nd8inqSj71</v>
      </c>
      <c r="I61" s="139" t="str">
        <f>IFERROR(__xludf.DUMMYFUNCTION("LET(changes,FILTER('Pool Changes'!$B:$D, 'Pool Changes'!$B:$B = $D61),added,FILTER(INDEX(changes,0,3),INDEX(changes,0,2)=""add pack""),IFERROR(TRANSPOSE(ARRAYFORMULA(IF(added&lt;&gt;"""",HYPERLINK(""https://sealeddeck.tech/""&amp;added,""Link""),""""))),""""))"),"Link")</f>
        <v>Link</v>
      </c>
      <c r="J61" s="139" t="str">
        <f>IFERROR(__xludf.DUMMYFUNCTION("""COMPUTED_VALUE"""),"Link")</f>
        <v>Link</v>
      </c>
      <c r="K61" s="139" t="str">
        <f>IFERROR(__xludf.DUMMYFUNCTION("""COMPUTED_VALUE"""),"Link")</f>
        <v>Link</v>
      </c>
      <c r="L61" s="139" t="str">
        <f>IFERROR(__xludf.DUMMYFUNCTION("""COMPUTED_VALUE"""),"Link")</f>
        <v>Link</v>
      </c>
      <c r="M61" s="142" t="str">
        <f>IFERROR(__xludf.DUMMYFUNCTION("""COMPUTED_VALUE"""),"Link")</f>
        <v>Link</v>
      </c>
      <c r="N61" s="142" t="str">
        <f>IFERROR(__xludf.DUMMYFUNCTION("""COMPUTED_VALUE"""),"Link")</f>
        <v>Link</v>
      </c>
      <c r="O61" s="142" t="str">
        <f>IFERROR(__xludf.DUMMYFUNCTION("""COMPUTED_VALUE"""),"Link")</f>
        <v>Link</v>
      </c>
      <c r="P61" s="139" t="str">
        <f>IFERROR(__xludf.DUMMYFUNCTION("""COMPUTED_VALUE"""),"Link")</f>
        <v>Link</v>
      </c>
      <c r="Q61" s="142" t="str">
        <f>IFERROR(__xludf.DUMMYFUNCTION("""COMPUTED_VALUE"""),"Link")</f>
        <v>Link</v>
      </c>
      <c r="R61" s="142" t="str">
        <f>IFERROR(__xludf.DUMMYFUNCTION("""COMPUTED_VALUE"""),"Link")</f>
        <v>Link</v>
      </c>
      <c r="S61" s="141" t="str">
        <f t="shared" si="1"/>
        <v>https://sealeddeck.tech/4CqJ4e35Vq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>
      <c r="A62" s="124" t="s">
        <v>979</v>
      </c>
      <c r="B62" s="124" t="s">
        <v>980</v>
      </c>
      <c r="C62" s="137" t="s">
        <v>982</v>
      </c>
      <c r="D62" s="124" t="s">
        <v>322</v>
      </c>
      <c r="E62" s="138">
        <v>13.0</v>
      </c>
      <c r="F62" s="138">
        <v>11.0</v>
      </c>
      <c r="G62" s="139" t="str">
        <f t="array" ref="G62">IF(H62="","",IFERROR(
  "https://sealeddeck.tech/" &amp; INDEX('Pool Changes'!F:F,
    MAX(
      ROW('Pool Changes'!A:A) *
      ('Pool Changes'!B:B=D62) *
      ('Pool Changes'!F:F&lt;&gt;"")
    )
  ),
  ""
))</f>
        <v>https://sealeddeck.tech/Azioyx59K9</v>
      </c>
      <c r="H62" s="139" t="str">
        <f>IFERROR(__xludf.DUMMYFUNCTION("LET(changes,FILTER('Pool Changes'!$B:$D, 'Pool Changes'!$B:$B = $D62),added,FILTER(INDEX(changes,0,3),INDEX(changes,0,2)=""starting pool""),TRANSPOSE(IFERROR(ARRAYFORMULA(IF(added&lt;&gt;"""",""https://sealeddeck.tech/""&amp;added,"""")),"""")))"),"https://sealeddeck.tech/KXiYnzt7CV")</f>
        <v>https://sealeddeck.tech/KXiYnzt7CV</v>
      </c>
      <c r="I62" s="139" t="str">
        <f>IFERROR(__xludf.DUMMYFUNCTION("LET(changes,FILTER('Pool Changes'!$B:$D, 'Pool Changes'!$B:$B = $D62),added,FILTER(INDEX(changes,0,3),INDEX(changes,0,2)=""add pack""),IFERROR(TRANSPOSE(ARRAYFORMULA(IF(added&lt;&gt;"""",HYPERLINK(""https://sealeddeck.tech/""&amp;added,""Link""),""""))),""""))"),"Link")</f>
        <v>Link</v>
      </c>
      <c r="J62" s="139" t="str">
        <f>IFERROR(__xludf.DUMMYFUNCTION("""COMPUTED_VALUE"""),"Link")</f>
        <v>Link</v>
      </c>
      <c r="K62" s="139" t="str">
        <f>IFERROR(__xludf.DUMMYFUNCTION("""COMPUTED_VALUE"""),"Link")</f>
        <v>Link</v>
      </c>
      <c r="L62" s="139" t="str">
        <f>IFERROR(__xludf.DUMMYFUNCTION("""COMPUTED_VALUE"""),"Link")</f>
        <v>Link</v>
      </c>
      <c r="M62" s="142" t="str">
        <f>IFERROR(__xludf.DUMMYFUNCTION("""COMPUTED_VALUE"""),"Link")</f>
        <v>Link</v>
      </c>
      <c r="N62" s="142" t="str">
        <f>IFERROR(__xludf.DUMMYFUNCTION("""COMPUTED_VALUE"""),"Link")</f>
        <v>Link</v>
      </c>
      <c r="O62" s="142" t="str">
        <f>IFERROR(__xludf.DUMMYFUNCTION("""COMPUTED_VALUE"""),"Link")</f>
        <v>Link</v>
      </c>
      <c r="P62" s="139" t="str">
        <f>IFERROR(__xludf.DUMMYFUNCTION("""COMPUTED_VALUE"""),"Link")</f>
        <v>Link</v>
      </c>
      <c r="Q62" s="142" t="str">
        <f>IFERROR(__xludf.DUMMYFUNCTION("""COMPUTED_VALUE"""),"Link")</f>
        <v>Link</v>
      </c>
      <c r="R62" s="142" t="str">
        <f>IFERROR(__xludf.DUMMYFUNCTION("""COMPUTED_VALUE"""),"Link")</f>
        <v>Link</v>
      </c>
      <c r="S62" s="141" t="str">
        <f t="shared" si="1"/>
        <v>https://sealeddeck.tech/nVzeGPDziF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>
      <c r="A63" s="124" t="s">
        <v>1045</v>
      </c>
      <c r="B63" s="124" t="s">
        <v>1046</v>
      </c>
      <c r="C63" s="137" t="s">
        <v>1047</v>
      </c>
      <c r="D63" s="124" t="s">
        <v>393</v>
      </c>
      <c r="E63" s="138">
        <v>13.0</v>
      </c>
      <c r="F63" s="138">
        <v>11.0</v>
      </c>
      <c r="G63" s="139" t="str">
        <f t="array" ref="G63">IF(H63="","",IFERROR(
  "https://sealeddeck.tech/" &amp; INDEX('Pool Changes'!F:F,
    MAX(
      ROW('Pool Changes'!A:A) *
      ('Pool Changes'!B:B=D63) *
      ('Pool Changes'!F:F&lt;&gt;"")
    )
  ),
  ""
))</f>
        <v>https://sealeddeck.tech/W2iDdR26QW</v>
      </c>
      <c r="H63" s="139" t="str">
        <f>IFERROR(__xludf.DUMMYFUNCTION("LET(changes,FILTER('Pool Changes'!$B:$D, 'Pool Changes'!$B:$B = $D63),added,FILTER(INDEX(changes,0,3),INDEX(changes,0,2)=""starting pool""),TRANSPOSE(IFERROR(ARRAYFORMULA(IF(added&lt;&gt;"""",""https://sealeddeck.tech/""&amp;added,"""")),"""")))"),"https://sealeddeck.tech/ejPt6mQwyS")</f>
        <v>https://sealeddeck.tech/ejPt6mQwyS</v>
      </c>
      <c r="I63" s="139" t="str">
        <f>IFERROR(__xludf.DUMMYFUNCTION("LET(changes,FILTER('Pool Changes'!$B:$D, 'Pool Changes'!$B:$B = $D63),added,FILTER(INDEX(changes,0,3),INDEX(changes,0,2)=""add pack""),IFERROR(TRANSPOSE(ARRAYFORMULA(IF(added&lt;&gt;"""",HYPERLINK(""https://sealeddeck.tech/""&amp;added,""Link""),""""))),""""))"),"Link")</f>
        <v>Link</v>
      </c>
      <c r="J63" s="139" t="str">
        <f>IFERROR(__xludf.DUMMYFUNCTION("""COMPUTED_VALUE"""),"Link")</f>
        <v>Link</v>
      </c>
      <c r="K63" s="139" t="str">
        <f>IFERROR(__xludf.DUMMYFUNCTION("""COMPUTED_VALUE"""),"Link")</f>
        <v>Link</v>
      </c>
      <c r="L63" s="139" t="str">
        <f>IFERROR(__xludf.DUMMYFUNCTION("""COMPUTED_VALUE"""),"Link")</f>
        <v>Link</v>
      </c>
      <c r="M63" s="142" t="str">
        <f>IFERROR(__xludf.DUMMYFUNCTION("""COMPUTED_VALUE"""),"Link")</f>
        <v>Link</v>
      </c>
      <c r="N63" s="142" t="str">
        <f>IFERROR(__xludf.DUMMYFUNCTION("""COMPUTED_VALUE"""),"Link")</f>
        <v>Link</v>
      </c>
      <c r="O63" s="142" t="str">
        <f>IFERROR(__xludf.DUMMYFUNCTION("""COMPUTED_VALUE"""),"Link")</f>
        <v>Link</v>
      </c>
      <c r="P63" s="139" t="str">
        <f>IFERROR(__xludf.DUMMYFUNCTION("""COMPUTED_VALUE"""),"Link")</f>
        <v>Link</v>
      </c>
      <c r="Q63" s="142" t="str">
        <f>IFERROR(__xludf.DUMMYFUNCTION("""COMPUTED_VALUE"""),"Link")</f>
        <v>Link</v>
      </c>
      <c r="R63" s="142" t="str">
        <f>IFERROR(__xludf.DUMMYFUNCTION("""COMPUTED_VALUE"""),"Link")</f>
        <v>Link</v>
      </c>
      <c r="S63" s="141" t="str">
        <f t="shared" si="1"/>
        <v>https://sealeddeck.tech/G1PbgnZ2Eq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>
      <c r="A64" s="124" t="s">
        <v>1110</v>
      </c>
      <c r="B64" s="124" t="s">
        <v>1111</v>
      </c>
      <c r="C64" s="137" t="s">
        <v>1113</v>
      </c>
      <c r="D64" s="124" t="s">
        <v>208</v>
      </c>
      <c r="E64" s="138">
        <v>11.0</v>
      </c>
      <c r="F64" s="138">
        <v>11.0</v>
      </c>
      <c r="G64" s="139" t="str">
        <f t="array" ref="G64">IF(H64="","",IFERROR(
  "https://sealeddeck.tech/" &amp; INDEX('Pool Changes'!F:F,
    MAX(
      ROW('Pool Changes'!A:A) *
      ('Pool Changes'!B:B=D64) *
      ('Pool Changes'!F:F&lt;&gt;"")
    )
  ),
  ""
))</f>
        <v>https://sealeddeck.tech/5goEh9mgQF</v>
      </c>
      <c r="H64" s="139" t="str">
        <f>IFERROR(__xludf.DUMMYFUNCTION("LET(changes,FILTER('Pool Changes'!$B:$D, 'Pool Changes'!$B:$B = $D64),added,FILTER(INDEX(changes,0,3),INDEX(changes,0,2)=""starting pool""),TRANSPOSE(IFERROR(ARRAYFORMULA(IF(added&lt;&gt;"""",""https://sealeddeck.tech/""&amp;added,"""")),"""")))"),"https://sealeddeck.tech/XBBGwfi3rz")</f>
        <v>https://sealeddeck.tech/XBBGwfi3rz</v>
      </c>
      <c r="I64" s="139" t="str">
        <f>IFERROR(__xludf.DUMMYFUNCTION("LET(changes,FILTER('Pool Changes'!$B:$D, 'Pool Changes'!$B:$B = $D64),added,FILTER(INDEX(changes,0,3),INDEX(changes,0,2)=""add pack""),IFERROR(TRANSPOSE(ARRAYFORMULA(IF(added&lt;&gt;"""",HYPERLINK(""https://sealeddeck.tech/""&amp;added,""Link""),""""))),""""))"),"Link")</f>
        <v>Link</v>
      </c>
      <c r="J64" s="139" t="str">
        <f>IFERROR(__xludf.DUMMYFUNCTION("""COMPUTED_VALUE"""),"Link")</f>
        <v>Link</v>
      </c>
      <c r="K64" s="139" t="str">
        <f>IFERROR(__xludf.DUMMYFUNCTION("""COMPUTED_VALUE"""),"Link")</f>
        <v>Link</v>
      </c>
      <c r="L64" s="139" t="str">
        <f>IFERROR(__xludf.DUMMYFUNCTION("""COMPUTED_VALUE"""),"Link")</f>
        <v>Link</v>
      </c>
      <c r="M64" s="142" t="str">
        <f>IFERROR(__xludf.DUMMYFUNCTION("""COMPUTED_VALUE"""),"Link")</f>
        <v>Link</v>
      </c>
      <c r="N64" s="142" t="str">
        <f>IFERROR(__xludf.DUMMYFUNCTION("""COMPUTED_VALUE"""),"Link")</f>
        <v>Link</v>
      </c>
      <c r="O64" s="142" t="str">
        <f>IFERROR(__xludf.DUMMYFUNCTION("""COMPUTED_VALUE"""),"Link")</f>
        <v>Link</v>
      </c>
      <c r="P64" s="139" t="str">
        <f>IFERROR(__xludf.DUMMYFUNCTION("""COMPUTED_VALUE"""),"Link")</f>
        <v>Link</v>
      </c>
      <c r="Q64" s="142" t="str">
        <f>IFERROR(__xludf.DUMMYFUNCTION("""COMPUTED_VALUE"""),"Link")</f>
        <v>Link</v>
      </c>
      <c r="R64" s="142" t="str">
        <f>IFERROR(__xludf.DUMMYFUNCTION("""COMPUTED_VALUE"""),"Link")</f>
        <v>Link</v>
      </c>
      <c r="S64" s="141" t="str">
        <f t="shared" si="1"/>
        <v>https://sealeddeck.tech/8q43G73gQp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>
      <c r="A65" s="124" t="s">
        <v>1174</v>
      </c>
      <c r="B65" s="124" t="s">
        <v>1175</v>
      </c>
      <c r="C65" s="137" t="s">
        <v>1177</v>
      </c>
      <c r="D65" s="124" t="s">
        <v>161</v>
      </c>
      <c r="E65" s="138">
        <v>6.0</v>
      </c>
      <c r="F65" s="138">
        <v>11.0</v>
      </c>
      <c r="G65" s="139" t="str">
        <f t="array" ref="G65">IF(H65="","",IFERROR(
  "https://sealeddeck.tech/" &amp; INDEX('Pool Changes'!F:F,
    MAX(
      ROW('Pool Changes'!A:A) *
      ('Pool Changes'!B:B=D65) *
      ('Pool Changes'!F:F&lt;&gt;"")
    )
  ),
  ""
))</f>
        <v>https://sealeddeck.tech/wxxtTXsCNs</v>
      </c>
      <c r="H65" s="139" t="str">
        <f>IFERROR(__xludf.DUMMYFUNCTION("LET(changes,FILTER('Pool Changes'!$B:$D, 'Pool Changes'!$B:$B = $D65),added,FILTER(INDEX(changes,0,3),INDEX(changes,0,2)=""starting pool""),TRANSPOSE(IFERROR(ARRAYFORMULA(IF(added&lt;&gt;"""",""https://sealeddeck.tech/""&amp;added,"""")),"""")))"),"https://sealeddeck.tech/dxtJP4YzA2")</f>
        <v>https://sealeddeck.tech/dxtJP4YzA2</v>
      </c>
      <c r="I65" s="139" t="str">
        <f>IFERROR(__xludf.DUMMYFUNCTION("LET(changes,FILTER('Pool Changes'!$B:$D, 'Pool Changes'!$B:$B = $D65),added,FILTER(INDEX(changes,0,3),INDEX(changes,0,2)=""add pack""),IFERROR(TRANSPOSE(ARRAYFORMULA(IF(added&lt;&gt;"""",HYPERLINK(""https://sealeddeck.tech/""&amp;added,""Link""),""""))),""""))"),"Link")</f>
        <v>Link</v>
      </c>
      <c r="J65" s="139" t="str">
        <f>IFERROR(__xludf.DUMMYFUNCTION("""COMPUTED_VALUE"""),"Link")</f>
        <v>Link</v>
      </c>
      <c r="K65" s="139" t="str">
        <f>IFERROR(__xludf.DUMMYFUNCTION("""COMPUTED_VALUE"""),"Link")</f>
        <v>Link</v>
      </c>
      <c r="L65" s="139" t="str">
        <f>IFERROR(__xludf.DUMMYFUNCTION("""COMPUTED_VALUE"""),"Link")</f>
        <v>Link</v>
      </c>
      <c r="M65" s="142" t="str">
        <f>IFERROR(__xludf.DUMMYFUNCTION("""COMPUTED_VALUE"""),"Link")</f>
        <v>Link</v>
      </c>
      <c r="N65" s="142" t="str">
        <f>IFERROR(__xludf.DUMMYFUNCTION("""COMPUTED_VALUE"""),"Link")</f>
        <v>Link</v>
      </c>
      <c r="O65" s="142" t="str">
        <f>IFERROR(__xludf.DUMMYFUNCTION("""COMPUTED_VALUE"""),"Link")</f>
        <v>Link</v>
      </c>
      <c r="P65" s="139" t="str">
        <f>IFERROR(__xludf.DUMMYFUNCTION("""COMPUTED_VALUE"""),"Link")</f>
        <v>Link</v>
      </c>
      <c r="Q65" s="142" t="str">
        <f>IFERROR(__xludf.DUMMYFUNCTION("""COMPUTED_VALUE"""),"Link")</f>
        <v>Link</v>
      </c>
      <c r="R65" s="142" t="str">
        <f>IFERROR(__xludf.DUMMYFUNCTION("""COMPUTED_VALUE"""),"Link")</f>
        <v>Link</v>
      </c>
      <c r="S65" s="141" t="str">
        <f t="shared" si="1"/>
        <v>https://sealeddeck.tech/3jXJZ1juNF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>
      <c r="A66" s="124" t="s">
        <v>1239</v>
      </c>
      <c r="B66" s="124" t="s">
        <v>1241</v>
      </c>
      <c r="C66" s="137" t="s">
        <v>1242</v>
      </c>
      <c r="D66" s="124" t="s">
        <v>389</v>
      </c>
      <c r="E66" s="138">
        <v>18.0</v>
      </c>
      <c r="F66" s="138">
        <v>11.0</v>
      </c>
      <c r="G66" s="139" t="str">
        <f t="array" ref="G66">IF(H66="","",IFERROR(
  "https://sealeddeck.tech/" &amp; INDEX('Pool Changes'!F:F,
    MAX(
      ROW('Pool Changes'!A:A) *
      ('Pool Changes'!B:B=D66) *
      ('Pool Changes'!F:F&lt;&gt;"")
    )
  ),
  ""
))</f>
        <v>https://sealeddeck.tech/zbRs5dw7Nk</v>
      </c>
      <c r="H66" s="139" t="str">
        <f>IFERROR(__xludf.DUMMYFUNCTION("LET(changes,FILTER('Pool Changes'!$B:$D, 'Pool Changes'!$B:$B = $D66),added,FILTER(INDEX(changes,0,3),INDEX(changes,0,2)=""starting pool""),TRANSPOSE(IFERROR(ARRAYFORMULA(IF(added&lt;&gt;"""",""https://sealeddeck.tech/""&amp;added,"""")),"""")))"),"https://sealeddeck.tech/cTF2vd5NCK")</f>
        <v>https://sealeddeck.tech/cTF2vd5NCK</v>
      </c>
      <c r="I66" s="139" t="str">
        <f>IFERROR(__xludf.DUMMYFUNCTION("LET(changes,FILTER('Pool Changes'!$B:$D, 'Pool Changes'!$B:$B = $D66),added,FILTER(INDEX(changes,0,3),INDEX(changes,0,2)=""add pack""),IFERROR(TRANSPOSE(ARRAYFORMULA(IF(added&lt;&gt;"""",HYPERLINK(""https://sealeddeck.tech/""&amp;added,""Link""),""""))),""""))"),"Link")</f>
        <v>Link</v>
      </c>
      <c r="J66" s="139" t="str">
        <f>IFERROR(__xludf.DUMMYFUNCTION("""COMPUTED_VALUE"""),"Link")</f>
        <v>Link</v>
      </c>
      <c r="K66" s="139" t="str">
        <f>IFERROR(__xludf.DUMMYFUNCTION("""COMPUTED_VALUE"""),"Link")</f>
        <v>Link</v>
      </c>
      <c r="L66" s="139" t="str">
        <f>IFERROR(__xludf.DUMMYFUNCTION("""COMPUTED_VALUE"""),"Link")</f>
        <v>Link</v>
      </c>
      <c r="M66" s="142" t="str">
        <f>IFERROR(__xludf.DUMMYFUNCTION("""COMPUTED_VALUE"""),"Link")</f>
        <v>Link</v>
      </c>
      <c r="N66" s="142" t="str">
        <f>IFERROR(__xludf.DUMMYFUNCTION("""COMPUTED_VALUE"""),"Link")</f>
        <v>Link</v>
      </c>
      <c r="O66" s="142" t="str">
        <f>IFERROR(__xludf.DUMMYFUNCTION("""COMPUTED_VALUE"""),"Link")</f>
        <v>Link</v>
      </c>
      <c r="P66" s="139" t="str">
        <f>IFERROR(__xludf.DUMMYFUNCTION("""COMPUTED_VALUE"""),"Link")</f>
        <v>Link</v>
      </c>
      <c r="Q66" s="142" t="str">
        <f>IFERROR(__xludf.DUMMYFUNCTION("""COMPUTED_VALUE"""),"Link")</f>
        <v>Link</v>
      </c>
      <c r="R66" s="142" t="str">
        <f>IFERROR(__xludf.DUMMYFUNCTION("""COMPUTED_VALUE"""),"Link")</f>
        <v>Link</v>
      </c>
      <c r="S66" s="141" t="str">
        <f t="shared" si="1"/>
        <v>https://sealeddeck.tech/JmAfq88Hye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>
      <c r="A67" s="124" t="s">
        <v>1306</v>
      </c>
      <c r="B67" s="124" t="s">
        <v>1307</v>
      </c>
      <c r="C67" s="137" t="s">
        <v>1308</v>
      </c>
      <c r="D67" s="124" t="s">
        <v>323</v>
      </c>
      <c r="E67" s="138">
        <v>7.0</v>
      </c>
      <c r="F67" s="138">
        <v>11.0</v>
      </c>
      <c r="G67" s="139" t="str">
        <f t="array" ref="G67">IF(H67="","",IFERROR(
  "https://sealeddeck.tech/" &amp; INDEX('Pool Changes'!F:F,
    MAX(
      ROW('Pool Changes'!A:A) *
      ('Pool Changes'!B:B=D67) *
      ('Pool Changes'!F:F&lt;&gt;"")
    )
  ),
  ""
))</f>
        <v>https://sealeddeck.tech/Y3XDP8tHfh</v>
      </c>
      <c r="H67" s="139" t="str">
        <f>IFERROR(__xludf.DUMMYFUNCTION("LET(changes,FILTER('Pool Changes'!$B:$D, 'Pool Changes'!$B:$B = $D67),added,FILTER(INDEX(changes,0,3),INDEX(changes,0,2)=""starting pool""),TRANSPOSE(IFERROR(ARRAYFORMULA(IF(added&lt;&gt;"""",""https://sealeddeck.tech/""&amp;added,"""")),"""")))"),"https://sealeddeck.tech/4111onkD93")</f>
        <v>https://sealeddeck.tech/4111onkD93</v>
      </c>
      <c r="I67" s="139" t="str">
        <f>IFERROR(__xludf.DUMMYFUNCTION("LET(changes,FILTER('Pool Changes'!$B:$D, 'Pool Changes'!$B:$B = $D67),added,FILTER(INDEX(changes,0,3),INDEX(changes,0,2)=""add pack""),IFERROR(TRANSPOSE(ARRAYFORMULA(IF(added&lt;&gt;"""",HYPERLINK(""https://sealeddeck.tech/""&amp;added,""Link""),""""))),""""))"),"Link")</f>
        <v>Link</v>
      </c>
      <c r="J67" s="139" t="str">
        <f>IFERROR(__xludf.DUMMYFUNCTION("""COMPUTED_VALUE"""),"Link")</f>
        <v>Link</v>
      </c>
      <c r="K67" s="139" t="str">
        <f>IFERROR(__xludf.DUMMYFUNCTION("""COMPUTED_VALUE"""),"Link")</f>
        <v>Link</v>
      </c>
      <c r="L67" s="139" t="str">
        <f>IFERROR(__xludf.DUMMYFUNCTION("""COMPUTED_VALUE"""),"Link")</f>
        <v>Link</v>
      </c>
      <c r="M67" s="142" t="str">
        <f>IFERROR(__xludf.DUMMYFUNCTION("""COMPUTED_VALUE"""),"Link")</f>
        <v>Link</v>
      </c>
      <c r="N67" s="142" t="str">
        <f>IFERROR(__xludf.DUMMYFUNCTION("""COMPUTED_VALUE"""),"Link")</f>
        <v>Link</v>
      </c>
      <c r="O67" s="142" t="str">
        <f>IFERROR(__xludf.DUMMYFUNCTION("""COMPUTED_VALUE"""),"Link")</f>
        <v>Link</v>
      </c>
      <c r="P67" s="139" t="str">
        <f>IFERROR(__xludf.DUMMYFUNCTION("""COMPUTED_VALUE"""),"Link")</f>
        <v>Link</v>
      </c>
      <c r="Q67" s="142" t="str">
        <f>IFERROR(__xludf.DUMMYFUNCTION("""COMPUTED_VALUE"""),"Link")</f>
        <v>Link</v>
      </c>
      <c r="R67" s="142" t="str">
        <f>IFERROR(__xludf.DUMMYFUNCTION("""COMPUTED_VALUE"""),"Link")</f>
        <v>Link</v>
      </c>
      <c r="S67" s="141" t="str">
        <f t="shared" si="1"/>
        <v>https://sealeddeck.tech/Azioyx59K9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>
      <c r="A68" s="124" t="s">
        <v>1371</v>
      </c>
      <c r="B68" s="124" t="s">
        <v>1372</v>
      </c>
      <c r="C68" s="137" t="s">
        <v>1373</v>
      </c>
      <c r="D68" s="124" t="s">
        <v>250</v>
      </c>
      <c r="E68" s="138">
        <v>5.0</v>
      </c>
      <c r="F68" s="138">
        <v>11.0</v>
      </c>
      <c r="G68" s="139" t="str">
        <f t="array" ref="G68">IF(H68="","",IFERROR(
  "https://sealeddeck.tech/" &amp; INDEX('Pool Changes'!F:F,
    MAX(
      ROW('Pool Changes'!A:A) *
      ('Pool Changes'!B:B=D68) *
      ('Pool Changes'!F:F&lt;&gt;"")
    )
  ),
  ""
))</f>
        <v>https://sealeddeck.tech/NnRdEAtHdb</v>
      </c>
      <c r="H68" s="139" t="str">
        <f>IFERROR(__xludf.DUMMYFUNCTION("LET(changes,FILTER('Pool Changes'!$B:$D, 'Pool Changes'!$B:$B = $D68),added,FILTER(INDEX(changes,0,3),INDEX(changes,0,2)=""starting pool""),TRANSPOSE(IFERROR(ARRAYFORMULA(IF(added&lt;&gt;"""",""https://sealeddeck.tech/""&amp;added,"""")),"""")))"),"https://sealeddeck.tech/eGkKA8T9pz")</f>
        <v>https://sealeddeck.tech/eGkKA8T9pz</v>
      </c>
      <c r="I68" s="139" t="str">
        <f>IFERROR(__xludf.DUMMYFUNCTION("LET(changes,FILTER('Pool Changes'!$B:$D, 'Pool Changes'!$B:$B = $D68),added,FILTER(INDEX(changes,0,3),INDEX(changes,0,2)=""add pack""),IFERROR(TRANSPOSE(ARRAYFORMULA(IF(added&lt;&gt;"""",HYPERLINK(""https://sealeddeck.tech/""&amp;added,""Link""),""""))),""""))"),"Link")</f>
        <v>Link</v>
      </c>
      <c r="J68" s="139" t="str">
        <f>IFERROR(__xludf.DUMMYFUNCTION("""COMPUTED_VALUE"""),"Link")</f>
        <v>Link</v>
      </c>
      <c r="K68" s="139" t="str">
        <f>IFERROR(__xludf.DUMMYFUNCTION("""COMPUTED_VALUE"""),"Link")</f>
        <v>Link</v>
      </c>
      <c r="L68" s="139" t="str">
        <f>IFERROR(__xludf.DUMMYFUNCTION("""COMPUTED_VALUE"""),"Link")</f>
        <v>Link</v>
      </c>
      <c r="M68" s="142" t="str">
        <f>IFERROR(__xludf.DUMMYFUNCTION("""COMPUTED_VALUE"""),"Link")</f>
        <v>Link</v>
      </c>
      <c r="N68" s="142" t="str">
        <f>IFERROR(__xludf.DUMMYFUNCTION("""COMPUTED_VALUE"""),"Link")</f>
        <v>Link</v>
      </c>
      <c r="O68" s="142" t="str">
        <f>IFERROR(__xludf.DUMMYFUNCTION("""COMPUTED_VALUE"""),"Link")</f>
        <v>Link</v>
      </c>
      <c r="P68" s="139" t="str">
        <f>IFERROR(__xludf.DUMMYFUNCTION("""COMPUTED_VALUE"""),"Link")</f>
        <v>Link</v>
      </c>
      <c r="Q68" s="142" t="str">
        <f>IFERROR(__xludf.DUMMYFUNCTION("""COMPUTED_VALUE"""),"Link")</f>
        <v>Link</v>
      </c>
      <c r="R68" s="142" t="str">
        <f>IFERROR(__xludf.DUMMYFUNCTION("""COMPUTED_VALUE"""),"Link")</f>
        <v>Link</v>
      </c>
      <c r="S68" s="141" t="str">
        <f t="shared" si="1"/>
        <v>https://sealeddeck.tech/W2iDdR26QW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>
      <c r="A69" s="124" t="s">
        <v>1440</v>
      </c>
      <c r="B69" s="124" t="s">
        <v>1442</v>
      </c>
      <c r="C69" s="137" t="s">
        <v>1443</v>
      </c>
      <c r="D69" s="124" t="s">
        <v>55</v>
      </c>
      <c r="E69" s="138">
        <v>6.0</v>
      </c>
      <c r="F69" s="138">
        <v>11.0</v>
      </c>
      <c r="G69" s="139" t="str">
        <f t="array" ref="G69">IF(H69="","",IFERROR(
  "https://sealeddeck.tech/" &amp; INDEX('Pool Changes'!F:F,
    MAX(
      ROW('Pool Changes'!A:A) *
      ('Pool Changes'!B:B=D69) *
      ('Pool Changes'!F:F&lt;&gt;"")
    )
  ),
  ""
))</f>
        <v>https://sealeddeck.tech/wDyVxoubh7</v>
      </c>
      <c r="H69" s="139" t="str">
        <f>IFERROR(__xludf.DUMMYFUNCTION("LET(changes,FILTER('Pool Changes'!$B:$D, 'Pool Changes'!$B:$B = $D69),added,FILTER(INDEX(changes,0,3),INDEX(changes,0,2)=""starting pool""),TRANSPOSE(IFERROR(ARRAYFORMULA(IF(added&lt;&gt;"""",""https://sealeddeck.tech/""&amp;added,"""")),"""")))"),"https://sealeddeck.tech/e1DXpj7HCm")</f>
        <v>https://sealeddeck.tech/e1DXpj7HCm</v>
      </c>
      <c r="I69" s="139" t="str">
        <f>IFERROR(__xludf.DUMMYFUNCTION("LET(changes,FILTER('Pool Changes'!$B:$D, 'Pool Changes'!$B:$B = $D69),added,FILTER(INDEX(changes,0,3),INDEX(changes,0,2)=""add pack""),IFERROR(TRANSPOSE(ARRAYFORMULA(IF(added&lt;&gt;"""",HYPERLINK(""https://sealeddeck.tech/""&amp;added,""Link""),""""))),""""))"),"Link")</f>
        <v>Link</v>
      </c>
      <c r="J69" s="139" t="str">
        <f>IFERROR(__xludf.DUMMYFUNCTION("""COMPUTED_VALUE"""),"Link")</f>
        <v>Link</v>
      </c>
      <c r="K69" s="139" t="str">
        <f>IFERROR(__xludf.DUMMYFUNCTION("""COMPUTED_VALUE"""),"Link")</f>
        <v>Link</v>
      </c>
      <c r="L69" s="139" t="str">
        <f>IFERROR(__xludf.DUMMYFUNCTION("""COMPUTED_VALUE"""),"Link")</f>
        <v>Link</v>
      </c>
      <c r="M69" s="142" t="str">
        <f>IFERROR(__xludf.DUMMYFUNCTION("""COMPUTED_VALUE"""),"Link")</f>
        <v>Link</v>
      </c>
      <c r="N69" s="142" t="str">
        <f>IFERROR(__xludf.DUMMYFUNCTION("""COMPUTED_VALUE"""),"Link")</f>
        <v>Link</v>
      </c>
      <c r="O69" s="142" t="str">
        <f>IFERROR(__xludf.DUMMYFUNCTION("""COMPUTED_VALUE"""),"Link")</f>
        <v>Link</v>
      </c>
      <c r="P69" s="139" t="str">
        <f>IFERROR(__xludf.DUMMYFUNCTION("""COMPUTED_VALUE"""),"Link")</f>
        <v>Link</v>
      </c>
      <c r="Q69" s="142" t="str">
        <f>IFERROR(__xludf.DUMMYFUNCTION("""COMPUTED_VALUE"""),"Link")</f>
        <v>Link</v>
      </c>
      <c r="R69" s="142" t="str">
        <f>IFERROR(__xludf.DUMMYFUNCTION("""COMPUTED_VALUE"""),"Link")</f>
        <v>Link</v>
      </c>
      <c r="S69" s="141" t="str">
        <f t="shared" si="1"/>
        <v>https://sealeddeck.tech/5goEh9mgQF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>
      <c r="A70" s="124" t="s">
        <v>1537</v>
      </c>
      <c r="B70" s="124" t="s">
        <v>1539</v>
      </c>
      <c r="C70" s="137" t="s">
        <v>1540</v>
      </c>
      <c r="D70" s="124" t="s">
        <v>154</v>
      </c>
      <c r="E70" s="138">
        <v>8.0</v>
      </c>
      <c r="F70" s="138">
        <v>11.0</v>
      </c>
      <c r="G70" s="139" t="str">
        <f t="array" ref="G70">IF(H70="","",IFERROR(
  "https://sealeddeck.tech/" &amp; INDEX('Pool Changes'!F:F,
    MAX(
      ROW('Pool Changes'!A:A) *
      ('Pool Changes'!B:B=D70) *
      ('Pool Changes'!F:F&lt;&gt;"")
    )
  ),
  ""
))</f>
        <v>https://sealeddeck.tech/xo9v9mSaho</v>
      </c>
      <c r="H70" s="139" t="str">
        <f>IFERROR(__xludf.DUMMYFUNCTION("LET(changes,FILTER('Pool Changes'!$B:$D, 'Pool Changes'!$B:$B = $D70),added,FILTER(INDEX(changes,0,3),INDEX(changes,0,2)=""starting pool""),TRANSPOSE(IFERROR(ARRAYFORMULA(IF(added&lt;&gt;"""",""https://sealeddeck.tech/""&amp;added,"""")),"""")))"),"https://sealeddeck.tech/nr6u27e5hs")</f>
        <v>https://sealeddeck.tech/nr6u27e5hs</v>
      </c>
      <c r="I70" s="139" t="str">
        <f>IFERROR(__xludf.DUMMYFUNCTION("LET(changes,FILTER('Pool Changes'!$B:$D, 'Pool Changes'!$B:$B = $D70),added,FILTER(INDEX(changes,0,3),INDEX(changes,0,2)=""add pack""),IFERROR(TRANSPOSE(ARRAYFORMULA(IF(added&lt;&gt;"""",HYPERLINK(""https://sealeddeck.tech/""&amp;added,""Link""),""""))),""""))"),"Link")</f>
        <v>Link</v>
      </c>
      <c r="J70" s="139" t="str">
        <f>IFERROR(__xludf.DUMMYFUNCTION("""COMPUTED_VALUE"""),"Link")</f>
        <v>Link</v>
      </c>
      <c r="K70" s="139" t="str">
        <f>IFERROR(__xludf.DUMMYFUNCTION("""COMPUTED_VALUE"""),"Link")</f>
        <v>Link</v>
      </c>
      <c r="L70" s="139" t="str">
        <f>IFERROR(__xludf.DUMMYFUNCTION("""COMPUTED_VALUE"""),"Link")</f>
        <v>Link</v>
      </c>
      <c r="M70" s="142" t="str">
        <f>IFERROR(__xludf.DUMMYFUNCTION("""COMPUTED_VALUE"""),"Link")</f>
        <v>Link</v>
      </c>
      <c r="N70" s="142" t="str">
        <f>IFERROR(__xludf.DUMMYFUNCTION("""COMPUTED_VALUE"""),"Link")</f>
        <v>Link</v>
      </c>
      <c r="O70" s="142" t="str">
        <f>IFERROR(__xludf.DUMMYFUNCTION("""COMPUTED_VALUE"""),"Link")</f>
        <v>Link</v>
      </c>
      <c r="P70" s="139" t="str">
        <f>IFERROR(__xludf.DUMMYFUNCTION("""COMPUTED_VALUE"""),"Link")</f>
        <v>Link</v>
      </c>
      <c r="Q70" s="142" t="str">
        <f>IFERROR(__xludf.DUMMYFUNCTION("""COMPUTED_VALUE"""),"Link")</f>
        <v>Link</v>
      </c>
      <c r="R70" s="142" t="str">
        <f>IFERROR(__xludf.DUMMYFUNCTION("""COMPUTED_VALUE"""),"Link")</f>
        <v>Link</v>
      </c>
      <c r="S70" s="141" t="str">
        <f t="shared" si="1"/>
        <v>https://sealeddeck.tech/wxxtTXsCNs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>
      <c r="A71" s="124" t="s">
        <v>1657</v>
      </c>
      <c r="B71" s="124" t="s">
        <v>1659</v>
      </c>
      <c r="C71" s="137" t="s">
        <v>1660</v>
      </c>
      <c r="D71" s="124" t="s">
        <v>123</v>
      </c>
      <c r="E71" s="138">
        <v>5.0</v>
      </c>
      <c r="F71" s="138">
        <v>11.0</v>
      </c>
      <c r="G71" s="139" t="str">
        <f t="array" ref="G71">IF(H71="","",IFERROR(
  "https://sealeddeck.tech/" &amp; INDEX('Pool Changes'!F:F,
    MAX(
      ROW('Pool Changes'!A:A) *
      ('Pool Changes'!B:B=D71) *
      ('Pool Changes'!F:F&lt;&gt;"")
    )
  ),
  ""
))</f>
        <v>https://sealeddeck.tech/CEoKzN8UYz</v>
      </c>
      <c r="H71" s="139" t="str">
        <f>IFERROR(__xludf.DUMMYFUNCTION("LET(changes,FILTER('Pool Changes'!$B:$D, 'Pool Changes'!$B:$B = $D71),added,FILTER(INDEX(changes,0,3),INDEX(changes,0,2)=""starting pool""),TRANSPOSE(IFERROR(ARRAYFORMULA(IF(added&lt;&gt;"""",""https://sealeddeck.tech/""&amp;added,"""")),"""")))"),"https://sealeddeck.tech/e6ad7tjdic")</f>
        <v>https://sealeddeck.tech/e6ad7tjdic</v>
      </c>
      <c r="I71" s="139" t="str">
        <f>IFERROR(__xludf.DUMMYFUNCTION("LET(changes,FILTER('Pool Changes'!$B:$D, 'Pool Changes'!$B:$B = $D71),added,FILTER(INDEX(changes,0,3),INDEX(changes,0,2)=""add pack""),IFERROR(TRANSPOSE(ARRAYFORMULA(IF(added&lt;&gt;"""",HYPERLINK(""https://sealeddeck.tech/""&amp;added,""Link""),""""))),""""))"),"Link")</f>
        <v>Link</v>
      </c>
      <c r="J71" s="139" t="str">
        <f>IFERROR(__xludf.DUMMYFUNCTION("""COMPUTED_VALUE"""),"Link")</f>
        <v>Link</v>
      </c>
      <c r="K71" s="139" t="str">
        <f>IFERROR(__xludf.DUMMYFUNCTION("""COMPUTED_VALUE"""),"Link")</f>
        <v>Link</v>
      </c>
      <c r="L71" s="139" t="str">
        <f>IFERROR(__xludf.DUMMYFUNCTION("""COMPUTED_VALUE"""),"Link")</f>
        <v>Link</v>
      </c>
      <c r="M71" s="142" t="str">
        <f>IFERROR(__xludf.DUMMYFUNCTION("""COMPUTED_VALUE"""),"Link")</f>
        <v>Link</v>
      </c>
      <c r="N71" s="142" t="str">
        <f>IFERROR(__xludf.DUMMYFUNCTION("""COMPUTED_VALUE"""),"Link")</f>
        <v>Link</v>
      </c>
      <c r="O71" s="142" t="str">
        <f>IFERROR(__xludf.DUMMYFUNCTION("""COMPUTED_VALUE"""),"Link")</f>
        <v>Link</v>
      </c>
      <c r="P71" s="139" t="str">
        <f>IFERROR(__xludf.DUMMYFUNCTION("""COMPUTED_VALUE"""),"Link")</f>
        <v>Link</v>
      </c>
      <c r="Q71" s="142" t="str">
        <f>IFERROR(__xludf.DUMMYFUNCTION("""COMPUTED_VALUE"""),"Link")</f>
        <v>Link</v>
      </c>
      <c r="R71" s="142" t="str">
        <f>IFERROR(__xludf.DUMMYFUNCTION("""COMPUTED_VALUE"""),"Link")</f>
        <v>Link</v>
      </c>
      <c r="S71" s="141" t="str">
        <f t="shared" si="1"/>
        <v>https://sealeddeck.tech/zbRs5dw7Nk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24" t="s">
        <v>1775</v>
      </c>
      <c r="B72" s="124" t="s">
        <v>1777</v>
      </c>
      <c r="C72" s="137" t="s">
        <v>1778</v>
      </c>
      <c r="D72" s="124" t="s">
        <v>237</v>
      </c>
      <c r="E72" s="138">
        <v>11.0</v>
      </c>
      <c r="F72" s="138">
        <v>11.0</v>
      </c>
      <c r="G72" s="139" t="str">
        <f t="array" ref="G72">IF(H72="","",IFERROR(
  "https://sealeddeck.tech/" &amp; INDEX('Pool Changes'!F:F,
    MAX(
      ROW('Pool Changes'!A:A) *
      ('Pool Changes'!B:B=D72) *
      ('Pool Changes'!F:F&lt;&gt;"")
    )
  ),
  ""
))</f>
        <v>https://sealeddeck.tech/oyoyV3vaUw</v>
      </c>
      <c r="H72" s="139" t="str">
        <f>IFERROR(__xludf.DUMMYFUNCTION("LET(changes,FILTER('Pool Changes'!$B:$D, 'Pool Changes'!$B:$B = $D72),added,FILTER(INDEX(changes,0,3),INDEX(changes,0,2)=""starting pool""),TRANSPOSE(IFERROR(ARRAYFORMULA(IF(added&lt;&gt;"""",""https://sealeddeck.tech/""&amp;added,"""")),"""")))"),"https://sealeddeck.tech/VHg3Y7Zbgm")</f>
        <v>https://sealeddeck.tech/VHg3Y7Zbgm</v>
      </c>
      <c r="I72" s="139" t="str">
        <f>IFERROR(__xludf.DUMMYFUNCTION("LET(changes,FILTER('Pool Changes'!$B:$D, 'Pool Changes'!$B:$B = $D72),added,FILTER(INDEX(changes,0,3),INDEX(changes,0,2)=""add pack""),IFERROR(TRANSPOSE(ARRAYFORMULA(IF(added&lt;&gt;"""",HYPERLINK(""https://sealeddeck.tech/""&amp;added,""Link""),""""))),""""))"),"Link")</f>
        <v>Link</v>
      </c>
      <c r="J72" s="139" t="str">
        <f>IFERROR(__xludf.DUMMYFUNCTION("""COMPUTED_VALUE"""),"Link")</f>
        <v>Link</v>
      </c>
      <c r="K72" s="139" t="str">
        <f>IFERROR(__xludf.DUMMYFUNCTION("""COMPUTED_VALUE"""),"Link")</f>
        <v>Link</v>
      </c>
      <c r="L72" s="139" t="str">
        <f>IFERROR(__xludf.DUMMYFUNCTION("""COMPUTED_VALUE"""),"Link")</f>
        <v>Link</v>
      </c>
      <c r="M72" s="142" t="str">
        <f>IFERROR(__xludf.DUMMYFUNCTION("""COMPUTED_VALUE"""),"Link")</f>
        <v>Link</v>
      </c>
      <c r="N72" s="142" t="str">
        <f>IFERROR(__xludf.DUMMYFUNCTION("""COMPUTED_VALUE"""),"Link")</f>
        <v>Link</v>
      </c>
      <c r="O72" s="142" t="str">
        <f>IFERROR(__xludf.DUMMYFUNCTION("""COMPUTED_VALUE"""),"Link")</f>
        <v>Link</v>
      </c>
      <c r="P72" s="139" t="str">
        <f>IFERROR(__xludf.DUMMYFUNCTION("""COMPUTED_VALUE"""),"Link")</f>
        <v>Link</v>
      </c>
      <c r="Q72" s="142" t="str">
        <f>IFERROR(__xludf.DUMMYFUNCTION("""COMPUTED_VALUE"""),"Link")</f>
        <v>Link</v>
      </c>
      <c r="R72" s="142" t="str">
        <f>IFERROR(__xludf.DUMMYFUNCTION("""COMPUTED_VALUE"""),"Link")</f>
        <v>Link</v>
      </c>
      <c r="S72" s="141" t="str">
        <f t="shared" si="1"/>
        <v>https://sealeddeck.tech/Y3XDP8tHfh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24" t="s">
        <v>1892</v>
      </c>
      <c r="B73" s="124" t="s">
        <v>1893</v>
      </c>
      <c r="C73" s="137" t="s">
        <v>1895</v>
      </c>
      <c r="D73" s="124" t="s">
        <v>95</v>
      </c>
      <c r="E73" s="138">
        <v>14.0</v>
      </c>
      <c r="F73" s="138">
        <v>11.0</v>
      </c>
      <c r="G73" s="139" t="str">
        <f t="array" ref="G73">IF(H73="","",IFERROR(
  "https://sealeddeck.tech/" &amp; INDEX('Pool Changes'!F:F,
    MAX(
      ROW('Pool Changes'!A:A) *
      ('Pool Changes'!B:B=D73) *
      ('Pool Changes'!F:F&lt;&gt;"")
    )
  ),
  ""
))</f>
        <v>https://sealeddeck.tech/VZo3jUFaQk</v>
      </c>
      <c r="H73" s="139" t="str">
        <f>IFERROR(__xludf.DUMMYFUNCTION("LET(changes,FILTER('Pool Changes'!$B:$D, 'Pool Changes'!$B:$B = $D73),added,FILTER(INDEX(changes,0,3),INDEX(changes,0,2)=""starting pool""),TRANSPOSE(IFERROR(ARRAYFORMULA(IF(added&lt;&gt;"""",""https://sealeddeck.tech/""&amp;added,"""")),"""")))"),"https://sealeddeck.tech/JPAzJTikgq")</f>
        <v>https://sealeddeck.tech/JPAzJTikgq</v>
      </c>
      <c r="I73" s="139" t="str">
        <f>IFERROR(__xludf.DUMMYFUNCTION("LET(changes,FILTER('Pool Changes'!$B:$D, 'Pool Changes'!$B:$B = $D73),added,FILTER(INDEX(changes,0,3),INDEX(changes,0,2)=""add pack""),IFERROR(TRANSPOSE(ARRAYFORMULA(IF(added&lt;&gt;"""",HYPERLINK(""https://sealeddeck.tech/""&amp;added,""Link""),""""))),""""))"),"Link")</f>
        <v>Link</v>
      </c>
      <c r="J73" s="139" t="str">
        <f>IFERROR(__xludf.DUMMYFUNCTION("""COMPUTED_VALUE"""),"Link")</f>
        <v>Link</v>
      </c>
      <c r="K73" s="139" t="str">
        <f>IFERROR(__xludf.DUMMYFUNCTION("""COMPUTED_VALUE"""),"Link")</f>
        <v>Link</v>
      </c>
      <c r="L73" s="139" t="str">
        <f>IFERROR(__xludf.DUMMYFUNCTION("""COMPUTED_VALUE"""),"Link")</f>
        <v>Link</v>
      </c>
      <c r="M73" s="142" t="str">
        <f>IFERROR(__xludf.DUMMYFUNCTION("""COMPUTED_VALUE"""),"Link")</f>
        <v>Link</v>
      </c>
      <c r="N73" s="142" t="str">
        <f>IFERROR(__xludf.DUMMYFUNCTION("""COMPUTED_VALUE"""),"Link")</f>
        <v>Link</v>
      </c>
      <c r="O73" s="142" t="str">
        <f>IFERROR(__xludf.DUMMYFUNCTION("""COMPUTED_VALUE"""),"Link")</f>
        <v>Link</v>
      </c>
      <c r="P73" s="139" t="str">
        <f>IFERROR(__xludf.DUMMYFUNCTION("""COMPUTED_VALUE"""),"Link")</f>
        <v>Link</v>
      </c>
      <c r="Q73" s="142" t="str">
        <f>IFERROR(__xludf.DUMMYFUNCTION("""COMPUTED_VALUE"""),"Link")</f>
        <v>Link</v>
      </c>
      <c r="R73" s="142" t="str">
        <f>IFERROR(__xludf.DUMMYFUNCTION("""COMPUTED_VALUE"""),"Link")</f>
        <v>Link</v>
      </c>
      <c r="S73" s="141" t="str">
        <f t="shared" si="1"/>
        <v>https://sealeddeck.tech/NnRdEAtHdb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24" t="s">
        <v>2015</v>
      </c>
      <c r="B74" s="124" t="s">
        <v>2016</v>
      </c>
      <c r="C74" s="137" t="s">
        <v>2018</v>
      </c>
      <c r="D74" s="124" t="s">
        <v>150</v>
      </c>
      <c r="E74" s="138">
        <v>9.0</v>
      </c>
      <c r="F74" s="138">
        <v>11.0</v>
      </c>
      <c r="G74" s="139" t="str">
        <f t="array" ref="G74">IF(H74="","",IFERROR(
  "https://sealeddeck.tech/" &amp; INDEX('Pool Changes'!F:F,
    MAX(
      ROW('Pool Changes'!A:A) *
      ('Pool Changes'!B:B=D74) *
      ('Pool Changes'!F:F&lt;&gt;"")
    )
  ),
  ""
))</f>
        <v>https://sealeddeck.tech/FgcZgpNSEp</v>
      </c>
      <c r="H74" s="139" t="str">
        <f>IFERROR(__xludf.DUMMYFUNCTION("LET(changes,FILTER('Pool Changes'!$B:$D, 'Pool Changes'!$B:$B = $D74),added,FILTER(INDEX(changes,0,3),INDEX(changes,0,2)=""starting pool""),TRANSPOSE(IFERROR(ARRAYFORMULA(IF(added&lt;&gt;"""",""https://sealeddeck.tech/""&amp;added,"""")),"""")))"),"https://sealeddeck.tech/rJXdwTpT8X")</f>
        <v>https://sealeddeck.tech/rJXdwTpT8X</v>
      </c>
      <c r="I74" s="139" t="str">
        <f>IFERROR(__xludf.DUMMYFUNCTION("LET(changes,FILTER('Pool Changes'!$B:$D, 'Pool Changes'!$B:$B = $D74),added,FILTER(INDEX(changes,0,3),INDEX(changes,0,2)=""add pack""),IFERROR(TRANSPOSE(ARRAYFORMULA(IF(added&lt;&gt;"""",HYPERLINK(""https://sealeddeck.tech/""&amp;added,""Link""),""""))),""""))"),"Link")</f>
        <v>Link</v>
      </c>
      <c r="J74" s="139" t="str">
        <f>IFERROR(__xludf.DUMMYFUNCTION("""COMPUTED_VALUE"""),"Link")</f>
        <v>Link</v>
      </c>
      <c r="K74" s="139" t="str">
        <f>IFERROR(__xludf.DUMMYFUNCTION("""COMPUTED_VALUE"""),"Link")</f>
        <v>Link</v>
      </c>
      <c r="L74" s="139" t="str">
        <f>IFERROR(__xludf.DUMMYFUNCTION("""COMPUTED_VALUE"""),"Link")</f>
        <v>Link</v>
      </c>
      <c r="M74" s="142" t="str">
        <f>IFERROR(__xludf.DUMMYFUNCTION("""COMPUTED_VALUE"""),"Link")</f>
        <v>Link</v>
      </c>
      <c r="N74" s="142" t="str">
        <f>IFERROR(__xludf.DUMMYFUNCTION("""COMPUTED_VALUE"""),"Link")</f>
        <v>Link</v>
      </c>
      <c r="O74" s="142" t="str">
        <f>IFERROR(__xludf.DUMMYFUNCTION("""COMPUTED_VALUE"""),"Link")</f>
        <v>Link</v>
      </c>
      <c r="P74" s="139" t="str">
        <f>IFERROR(__xludf.DUMMYFUNCTION("""COMPUTED_VALUE"""),"Link")</f>
        <v>Link</v>
      </c>
      <c r="Q74" s="142" t="str">
        <f>IFERROR(__xludf.DUMMYFUNCTION("""COMPUTED_VALUE"""),"Link")</f>
        <v>Link</v>
      </c>
      <c r="R74" s="142" t="str">
        <f>IFERROR(__xludf.DUMMYFUNCTION("""COMPUTED_VALUE"""),"Link")</f>
        <v>Link</v>
      </c>
      <c r="S74" s="141" t="str">
        <f t="shared" si="1"/>
        <v>https://sealeddeck.tech/wDyVxoubh7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24" t="s">
        <v>2145</v>
      </c>
      <c r="B75" s="124" t="s">
        <v>2147</v>
      </c>
      <c r="C75" s="137" t="s">
        <v>2149</v>
      </c>
      <c r="D75" s="124" t="s">
        <v>85</v>
      </c>
      <c r="E75" s="138">
        <v>11.0</v>
      </c>
      <c r="F75" s="138">
        <v>11.0</v>
      </c>
      <c r="G75" s="139" t="str">
        <f t="array" ref="G75">IF(H75="","",IFERROR(
  "https://sealeddeck.tech/" &amp; INDEX('Pool Changes'!F:F,
    MAX(
      ROW('Pool Changes'!A:A) *
      ('Pool Changes'!B:B=D75) *
      ('Pool Changes'!F:F&lt;&gt;"")
    )
  ),
  ""
))</f>
        <v>https://sealeddeck.tech/pweWx3audd</v>
      </c>
      <c r="H75" s="139" t="str">
        <f>IFERROR(__xludf.DUMMYFUNCTION("LET(changes,FILTER('Pool Changes'!$B:$D, 'Pool Changes'!$B:$B = $D75),added,FILTER(INDEX(changes,0,3),INDEX(changes,0,2)=""starting pool""),TRANSPOSE(IFERROR(ARRAYFORMULA(IF(added&lt;&gt;"""",""https://sealeddeck.tech/""&amp;added,"""")),"""")))"),"https://sealeddeck.tech/2sUe7N6VNF")</f>
        <v>https://sealeddeck.tech/2sUe7N6VNF</v>
      </c>
      <c r="I75" s="139" t="str">
        <f>IFERROR(__xludf.DUMMYFUNCTION("LET(changes,FILTER('Pool Changes'!$B:$D, 'Pool Changes'!$B:$B = $D75),added,FILTER(INDEX(changes,0,3),INDEX(changes,0,2)=""add pack""),IFERROR(TRANSPOSE(ARRAYFORMULA(IF(added&lt;&gt;"""",HYPERLINK(""https://sealeddeck.tech/""&amp;added,""Link""),""""))),""""))"),"Link")</f>
        <v>Link</v>
      </c>
      <c r="J75" s="139" t="str">
        <f>IFERROR(__xludf.DUMMYFUNCTION("""COMPUTED_VALUE"""),"Link")</f>
        <v>Link</v>
      </c>
      <c r="K75" s="139" t="str">
        <f>IFERROR(__xludf.DUMMYFUNCTION("""COMPUTED_VALUE"""),"Link")</f>
        <v>Link</v>
      </c>
      <c r="L75" s="139" t="str">
        <f>IFERROR(__xludf.DUMMYFUNCTION("""COMPUTED_VALUE"""),"Link")</f>
        <v>Link</v>
      </c>
      <c r="M75" s="142" t="str">
        <f>IFERROR(__xludf.DUMMYFUNCTION("""COMPUTED_VALUE"""),"Link")</f>
        <v>Link</v>
      </c>
      <c r="N75" s="142" t="str">
        <f>IFERROR(__xludf.DUMMYFUNCTION("""COMPUTED_VALUE"""),"Link")</f>
        <v>Link</v>
      </c>
      <c r="O75" s="142" t="str">
        <f>IFERROR(__xludf.DUMMYFUNCTION("""COMPUTED_VALUE"""),"Link")</f>
        <v>Link</v>
      </c>
      <c r="P75" s="139" t="str">
        <f>IFERROR(__xludf.DUMMYFUNCTION("""COMPUTED_VALUE"""),"Link")</f>
        <v>Link</v>
      </c>
      <c r="Q75" s="142" t="str">
        <f>IFERROR(__xludf.DUMMYFUNCTION("""COMPUTED_VALUE"""),"Link")</f>
        <v>Link</v>
      </c>
      <c r="R75" s="142" t="str">
        <f>IFERROR(__xludf.DUMMYFUNCTION("""COMPUTED_VALUE"""),"Link")</f>
        <v>Link</v>
      </c>
      <c r="S75" s="141" t="str">
        <f t="shared" si="1"/>
        <v>https://sealeddeck.tech/xo9v9mSaho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24" t="s">
        <v>2277</v>
      </c>
      <c r="B76" s="124" t="s">
        <v>2279</v>
      </c>
      <c r="C76" s="137" t="s">
        <v>2280</v>
      </c>
      <c r="D76" s="124" t="s">
        <v>290</v>
      </c>
      <c r="E76" s="138">
        <v>19.0</v>
      </c>
      <c r="F76" s="138">
        <v>11.0</v>
      </c>
      <c r="G76" s="139" t="str">
        <f t="array" ref="G76">IF(H76="","",IFERROR(
  "https://sealeddeck.tech/" &amp; INDEX('Pool Changes'!F:F,
    MAX(
      ROW('Pool Changes'!A:A) *
      ('Pool Changes'!B:B=D76) *
      ('Pool Changes'!F:F&lt;&gt;"")
    )
  ),
  ""
))</f>
        <v>https://sealeddeck.tech/aLaEHPdu4x</v>
      </c>
      <c r="H76" s="139" t="str">
        <f>IFERROR(__xludf.DUMMYFUNCTION("LET(changes,FILTER('Pool Changes'!$B:$D, 'Pool Changes'!$B:$B = $D76),added,FILTER(INDEX(changes,0,3),INDEX(changes,0,2)=""starting pool""),TRANSPOSE(IFERROR(ARRAYFORMULA(IF(added&lt;&gt;"""",""https://sealeddeck.tech/""&amp;added,"""")),"""")))"),"https://sealeddeck.tech/yAKJSdBja6")</f>
        <v>https://sealeddeck.tech/yAKJSdBja6</v>
      </c>
      <c r="I76" s="139" t="str">
        <f>IFERROR(__xludf.DUMMYFUNCTION("LET(changes,FILTER('Pool Changes'!$B:$D, 'Pool Changes'!$B:$B = $D76),added,FILTER(INDEX(changes,0,3),INDEX(changes,0,2)=""add pack""),IFERROR(TRANSPOSE(ARRAYFORMULA(IF(added&lt;&gt;"""",HYPERLINK(""https://sealeddeck.tech/""&amp;added,""Link""),""""))),""""))"),"Link")</f>
        <v>Link</v>
      </c>
      <c r="J76" s="139" t="str">
        <f>IFERROR(__xludf.DUMMYFUNCTION("""COMPUTED_VALUE"""),"Link")</f>
        <v>Link</v>
      </c>
      <c r="K76" s="139" t="str">
        <f>IFERROR(__xludf.DUMMYFUNCTION("""COMPUTED_VALUE"""),"Link")</f>
        <v>Link</v>
      </c>
      <c r="L76" s="139" t="str">
        <f>IFERROR(__xludf.DUMMYFUNCTION("""COMPUTED_VALUE"""),"Link")</f>
        <v>Link</v>
      </c>
      <c r="M76" s="142" t="str">
        <f>IFERROR(__xludf.DUMMYFUNCTION("""COMPUTED_VALUE"""),"Link")</f>
        <v>Link</v>
      </c>
      <c r="N76" s="142" t="str">
        <f>IFERROR(__xludf.DUMMYFUNCTION("""COMPUTED_VALUE"""),"Link")</f>
        <v>Link</v>
      </c>
      <c r="O76" s="142" t="str">
        <f>IFERROR(__xludf.DUMMYFUNCTION("""COMPUTED_VALUE"""),"Link")</f>
        <v>Link</v>
      </c>
      <c r="P76" s="139" t="str">
        <f>IFERROR(__xludf.DUMMYFUNCTION("""COMPUTED_VALUE"""),"Link")</f>
        <v>Link</v>
      </c>
      <c r="Q76" s="142" t="str">
        <f>IFERROR(__xludf.DUMMYFUNCTION("""COMPUTED_VALUE"""),"Link")</f>
        <v>Link</v>
      </c>
      <c r="R76" s="142" t="str">
        <f>IFERROR(__xludf.DUMMYFUNCTION("""COMPUTED_VALUE"""),"Link")</f>
        <v>Link</v>
      </c>
      <c r="S76" s="141" t="str">
        <f t="shared" si="1"/>
        <v>https://sealeddeck.tech/CEoKzN8UYz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24" t="s">
        <v>2403</v>
      </c>
      <c r="B77" s="124" t="s">
        <v>2405</v>
      </c>
      <c r="C77" s="137" t="s">
        <v>2407</v>
      </c>
      <c r="D77" s="124" t="s">
        <v>404</v>
      </c>
      <c r="E77" s="138">
        <v>1.0</v>
      </c>
      <c r="F77" s="138">
        <v>11.0</v>
      </c>
      <c r="G77" s="139" t="str">
        <f t="array" ref="G77">IF(H77="","",IFERROR(
  "https://sealeddeck.tech/" &amp; INDEX('Pool Changes'!F:F,
    MAX(
      ROW('Pool Changes'!A:A) *
      ('Pool Changes'!B:B=D77) *
      ('Pool Changes'!F:F&lt;&gt;"")
    )
  ),
  ""
))</f>
        <v>https://sealeddeck.tech/VvewqdkR7a</v>
      </c>
      <c r="H77" s="139" t="str">
        <f>IFERROR(__xludf.DUMMYFUNCTION("LET(changes,FILTER('Pool Changes'!$B:$D, 'Pool Changes'!$B:$B = $D77),added,FILTER(INDEX(changes,0,3),INDEX(changes,0,2)=""starting pool""),TRANSPOSE(IFERROR(ARRAYFORMULA(IF(added&lt;&gt;"""",""https://sealeddeck.tech/""&amp;added,"""")),"""")))"),"https://sealeddeck.tech/14foNqj35f")</f>
        <v>https://sealeddeck.tech/14foNqj35f</v>
      </c>
      <c r="I77" s="139" t="str">
        <f>IFERROR(__xludf.DUMMYFUNCTION("LET(changes,FILTER('Pool Changes'!$B:$D, 'Pool Changes'!$B:$B = $D77),added,FILTER(INDEX(changes,0,3),INDEX(changes,0,2)=""add pack""),IFERROR(TRANSPOSE(ARRAYFORMULA(IF(added&lt;&gt;"""",HYPERLINK(""https://sealeddeck.tech/""&amp;added,""Link""),""""))),""""))"),"Link")</f>
        <v>Link</v>
      </c>
      <c r="J77" s="139" t="str">
        <f>IFERROR(__xludf.DUMMYFUNCTION("""COMPUTED_VALUE"""),"Link")</f>
        <v>Link</v>
      </c>
      <c r="K77" s="139" t="str">
        <f>IFERROR(__xludf.DUMMYFUNCTION("""COMPUTED_VALUE"""),"Link")</f>
        <v>Link</v>
      </c>
      <c r="L77" s="139" t="str">
        <f>IFERROR(__xludf.DUMMYFUNCTION("""COMPUTED_VALUE"""),"Link")</f>
        <v>Link</v>
      </c>
      <c r="M77" s="142" t="str">
        <f>IFERROR(__xludf.DUMMYFUNCTION("""COMPUTED_VALUE"""),"Link")</f>
        <v>Link</v>
      </c>
      <c r="N77" s="142" t="str">
        <f>IFERROR(__xludf.DUMMYFUNCTION("""COMPUTED_VALUE"""),"Link")</f>
        <v>Link</v>
      </c>
      <c r="O77" s="142" t="str">
        <f>IFERROR(__xludf.DUMMYFUNCTION("""COMPUTED_VALUE"""),"Link")</f>
        <v>Link</v>
      </c>
      <c r="P77" s="139" t="str">
        <f>IFERROR(__xludf.DUMMYFUNCTION("""COMPUTED_VALUE"""),"Link")</f>
        <v>Link</v>
      </c>
      <c r="Q77" s="142" t="str">
        <f>IFERROR(__xludf.DUMMYFUNCTION("""COMPUTED_VALUE"""),"Link")</f>
        <v>Link</v>
      </c>
      <c r="R77" s="142" t="str">
        <f>IFERROR(__xludf.DUMMYFUNCTION("""COMPUTED_VALUE"""),"Link")</f>
        <v>Link</v>
      </c>
      <c r="S77" s="141" t="str">
        <f t="shared" si="1"/>
        <v>https://sealeddeck.tech/oyoyV3vaUw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24" t="s">
        <v>2538</v>
      </c>
      <c r="B78" s="124" t="s">
        <v>2540</v>
      </c>
      <c r="C78" s="137" t="s">
        <v>2542</v>
      </c>
      <c r="D78" s="124" t="s">
        <v>103</v>
      </c>
      <c r="E78" s="138">
        <v>8.0</v>
      </c>
      <c r="F78" s="138">
        <v>11.0</v>
      </c>
      <c r="G78" s="139" t="str">
        <f t="array" ref="G78">IF(H78="","",IFERROR(
  "https://sealeddeck.tech/" &amp; INDEX('Pool Changes'!F:F,
    MAX(
      ROW('Pool Changes'!A:A) *
      ('Pool Changes'!B:B=D78) *
      ('Pool Changes'!F:F&lt;&gt;"")
    )
  ),
  ""
))</f>
        <v>https://sealeddeck.tech/RMzDJPL8F2</v>
      </c>
      <c r="H78" s="139" t="str">
        <f>IFERROR(__xludf.DUMMYFUNCTION("LET(changes,FILTER('Pool Changes'!$B:$D, 'Pool Changes'!$B:$B = $D78),added,FILTER(INDEX(changes,0,3),INDEX(changes,0,2)=""starting pool""),TRANSPOSE(IFERROR(ARRAYFORMULA(IF(added&lt;&gt;"""",""https://sealeddeck.tech/""&amp;added,"""")),"""")))"),"https://sealeddeck.tech/KTYH6JRRoF")</f>
        <v>https://sealeddeck.tech/KTYH6JRRoF</v>
      </c>
      <c r="I78" s="139" t="str">
        <f>IFERROR(__xludf.DUMMYFUNCTION("LET(changes,FILTER('Pool Changes'!$B:$D, 'Pool Changes'!$B:$B = $D78),added,FILTER(INDEX(changes,0,3),INDEX(changes,0,2)=""add pack""),IFERROR(TRANSPOSE(ARRAYFORMULA(IF(added&lt;&gt;"""",HYPERLINK(""https://sealeddeck.tech/""&amp;added,""Link""),""""))),""""))"),"Link")</f>
        <v>Link</v>
      </c>
      <c r="J78" s="139" t="str">
        <f>IFERROR(__xludf.DUMMYFUNCTION("""COMPUTED_VALUE"""),"Link")</f>
        <v>Link</v>
      </c>
      <c r="K78" s="139" t="str">
        <f>IFERROR(__xludf.DUMMYFUNCTION("""COMPUTED_VALUE"""),"Link")</f>
        <v>Link</v>
      </c>
      <c r="L78" s="139" t="str">
        <f>IFERROR(__xludf.DUMMYFUNCTION("""COMPUTED_VALUE"""),"Link")</f>
        <v>Link</v>
      </c>
      <c r="M78" s="142" t="str">
        <f>IFERROR(__xludf.DUMMYFUNCTION("""COMPUTED_VALUE"""),"Link")</f>
        <v>Link</v>
      </c>
      <c r="N78" s="142" t="str">
        <f>IFERROR(__xludf.DUMMYFUNCTION("""COMPUTED_VALUE"""),"Link")</f>
        <v>Link</v>
      </c>
      <c r="O78" s="142" t="str">
        <f>IFERROR(__xludf.DUMMYFUNCTION("""COMPUTED_VALUE"""),"Link")</f>
        <v>Link</v>
      </c>
      <c r="P78" s="139" t="str">
        <f>IFERROR(__xludf.DUMMYFUNCTION("""COMPUTED_VALUE"""),"Link")</f>
        <v>Link</v>
      </c>
      <c r="Q78" s="142" t="str">
        <f>IFERROR(__xludf.DUMMYFUNCTION("""COMPUTED_VALUE"""),"Link")</f>
        <v>Link</v>
      </c>
      <c r="R78" s="142" t="str">
        <f>IFERROR(__xludf.DUMMYFUNCTION("""COMPUTED_VALUE"""),"Link")</f>
        <v>Link</v>
      </c>
      <c r="S78" s="141" t="str">
        <f t="shared" si="1"/>
        <v>https://sealeddeck.tech/VZo3jUFaQk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24" t="s">
        <v>2671</v>
      </c>
      <c r="B79" s="124" t="s">
        <v>2673</v>
      </c>
      <c r="C79" s="137" t="s">
        <v>2674</v>
      </c>
      <c r="D79" s="124" t="s">
        <v>141</v>
      </c>
      <c r="E79" s="138">
        <v>7.0</v>
      </c>
      <c r="F79" s="138">
        <v>11.0</v>
      </c>
      <c r="G79" s="139" t="str">
        <f t="array" ref="G79">IF(H79="","",IFERROR(
  "https://sealeddeck.tech/" &amp; INDEX('Pool Changes'!F:F,
    MAX(
      ROW('Pool Changes'!A:A) *
      ('Pool Changes'!B:B=D79) *
      ('Pool Changes'!F:F&lt;&gt;"")
    )
  ),
  ""
))</f>
        <v>https://sealeddeck.tech/RGCV9vXtGP</v>
      </c>
      <c r="H79" s="139" t="str">
        <f>IFERROR(__xludf.DUMMYFUNCTION("LET(changes,FILTER('Pool Changes'!$B:$D, 'Pool Changes'!$B:$B = $D79),added,FILTER(INDEX(changes,0,3),INDEX(changes,0,2)=""starting pool""),TRANSPOSE(IFERROR(ARRAYFORMULA(IF(added&lt;&gt;"""",""https://sealeddeck.tech/""&amp;added,"""")),"""")))"),"https://sealeddeck.tech/L6vZzsPZkr")</f>
        <v>https://sealeddeck.tech/L6vZzsPZkr</v>
      </c>
      <c r="I79" s="139" t="str">
        <f>IFERROR(__xludf.DUMMYFUNCTION("LET(changes,FILTER('Pool Changes'!$B:$D, 'Pool Changes'!$B:$B = $D79),added,FILTER(INDEX(changes,0,3),INDEX(changes,0,2)=""add pack""),IFERROR(TRANSPOSE(ARRAYFORMULA(IF(added&lt;&gt;"""",HYPERLINK(""https://sealeddeck.tech/""&amp;added,""Link""),""""))),""""))"),"Link")</f>
        <v>Link</v>
      </c>
      <c r="J79" s="139" t="str">
        <f>IFERROR(__xludf.DUMMYFUNCTION("""COMPUTED_VALUE"""),"Link")</f>
        <v>Link</v>
      </c>
      <c r="K79" s="139" t="str">
        <f>IFERROR(__xludf.DUMMYFUNCTION("""COMPUTED_VALUE"""),"Link")</f>
        <v>Link</v>
      </c>
      <c r="L79" s="139" t="str">
        <f>IFERROR(__xludf.DUMMYFUNCTION("""COMPUTED_VALUE"""),"Link")</f>
        <v>Link</v>
      </c>
      <c r="M79" s="142" t="str">
        <f>IFERROR(__xludf.DUMMYFUNCTION("""COMPUTED_VALUE"""),"Link")</f>
        <v>Link</v>
      </c>
      <c r="N79" s="142" t="str">
        <f>IFERROR(__xludf.DUMMYFUNCTION("""COMPUTED_VALUE"""),"Link")</f>
        <v>Link</v>
      </c>
      <c r="O79" s="142" t="str">
        <f>IFERROR(__xludf.DUMMYFUNCTION("""COMPUTED_VALUE"""),"Link")</f>
        <v>Link</v>
      </c>
      <c r="P79" s="139" t="str">
        <f>IFERROR(__xludf.DUMMYFUNCTION("""COMPUTED_VALUE"""),"Link")</f>
        <v>Link</v>
      </c>
      <c r="Q79" s="142" t="str">
        <f>IFERROR(__xludf.DUMMYFUNCTION("""COMPUTED_VALUE"""),"Link")</f>
        <v>Link</v>
      </c>
      <c r="R79" s="140"/>
      <c r="S79" s="141" t="str">
        <f t="shared" si="1"/>
        <v>https://sealeddeck.tech/FgcZgpNSEp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24" t="s">
        <v>2791</v>
      </c>
      <c r="B80" s="124" t="s">
        <v>2793</v>
      </c>
      <c r="C80" s="137" t="s">
        <v>2794</v>
      </c>
      <c r="D80" s="124" t="s">
        <v>74</v>
      </c>
      <c r="E80" s="138">
        <v>7.0</v>
      </c>
      <c r="F80" s="138">
        <v>11.0</v>
      </c>
      <c r="G80" s="139" t="str">
        <f t="array" ref="G80">IF(H80="","",IFERROR(
  "https://sealeddeck.tech/" &amp; INDEX('Pool Changes'!F:F,
    MAX(
      ROW('Pool Changes'!A:A) *
      ('Pool Changes'!B:B=D80) *
      ('Pool Changes'!F:F&lt;&gt;"")
    )
  ),
  ""
))</f>
        <v>https://sealeddeck.tech/hY2xosYzTQ</v>
      </c>
      <c r="H80" s="139" t="str">
        <f>IFERROR(__xludf.DUMMYFUNCTION("LET(changes,FILTER('Pool Changes'!$B:$D, 'Pool Changes'!$B:$B = $D80),added,FILTER(INDEX(changes,0,3),INDEX(changes,0,2)=""starting pool""),TRANSPOSE(IFERROR(ARRAYFORMULA(IF(added&lt;&gt;"""",""https://sealeddeck.tech/""&amp;added,"""")),"""")))"),"https://sealeddeck.tech/mPvraFshUy")</f>
        <v>https://sealeddeck.tech/mPvraFshUy</v>
      </c>
      <c r="I80" s="139" t="str">
        <f>IFERROR(__xludf.DUMMYFUNCTION("LET(changes,FILTER('Pool Changes'!$B:$D, 'Pool Changes'!$B:$B = $D80),added,FILTER(INDEX(changes,0,3),INDEX(changes,0,2)=""add pack""),IFERROR(TRANSPOSE(ARRAYFORMULA(IF(added&lt;&gt;"""",HYPERLINK(""https://sealeddeck.tech/""&amp;added,""Link""),""""))),""""))"),"Link")</f>
        <v>Link</v>
      </c>
      <c r="J80" s="139" t="str">
        <f>IFERROR(__xludf.DUMMYFUNCTION("""COMPUTED_VALUE"""),"Link")</f>
        <v>Link</v>
      </c>
      <c r="K80" s="139" t="str">
        <f>IFERROR(__xludf.DUMMYFUNCTION("""COMPUTED_VALUE"""),"Link")</f>
        <v>Link</v>
      </c>
      <c r="L80" s="139" t="str">
        <f>IFERROR(__xludf.DUMMYFUNCTION("""COMPUTED_VALUE"""),"Link")</f>
        <v>Link</v>
      </c>
      <c r="M80" s="142" t="str">
        <f>IFERROR(__xludf.DUMMYFUNCTION("""COMPUTED_VALUE"""),"Link")</f>
        <v>Link</v>
      </c>
      <c r="N80" s="142" t="str">
        <f>IFERROR(__xludf.DUMMYFUNCTION("""COMPUTED_VALUE"""),"Link")</f>
        <v>Link</v>
      </c>
      <c r="O80" s="142" t="str">
        <f>IFERROR(__xludf.DUMMYFUNCTION("""COMPUTED_VALUE"""),"Link")</f>
        <v>Link</v>
      </c>
      <c r="P80" s="139" t="str">
        <f>IFERROR(__xludf.DUMMYFUNCTION("""COMPUTED_VALUE"""),"Link")</f>
        <v>Link</v>
      </c>
      <c r="Q80" s="142" t="str">
        <f>IFERROR(__xludf.DUMMYFUNCTION("""COMPUTED_VALUE"""),"Link")</f>
        <v>Link</v>
      </c>
      <c r="R80" s="142" t="str">
        <f>IFERROR(__xludf.DUMMYFUNCTION("""COMPUTED_VALUE"""),"Link")</f>
        <v>Link</v>
      </c>
      <c r="S80" s="141" t="str">
        <f t="shared" si="1"/>
        <v>https://sealeddeck.tech/pweWx3audd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24" t="s">
        <v>129</v>
      </c>
      <c r="B81" s="124" t="s">
        <v>130</v>
      </c>
      <c r="C81" s="137" t="s">
        <v>2901</v>
      </c>
      <c r="D81" s="124" t="s">
        <v>59</v>
      </c>
      <c r="E81" s="138">
        <v>21.0</v>
      </c>
      <c r="F81" s="138">
        <v>9.0</v>
      </c>
      <c r="G81" s="139" t="str">
        <f t="array" ref="G81">IF(H81="","",IFERROR(
  "https://sealeddeck.tech/" &amp; INDEX('Pool Changes'!F:F,
    MAX(
      ROW('Pool Changes'!A:A) *
      ('Pool Changes'!B:B=D81) *
      ('Pool Changes'!F:F&lt;&gt;"")
    )
  ),
  ""
))</f>
        <v>https://sealeddeck.tech/VCqcMF8e3a</v>
      </c>
      <c r="H81" s="139" t="str">
        <f>IFERROR(__xludf.DUMMYFUNCTION("LET(changes,FILTER('Pool Changes'!$B:$D, 'Pool Changes'!$B:$B = $D81),added,FILTER(INDEX(changes,0,3),INDEX(changes,0,2)=""starting pool""),TRANSPOSE(IFERROR(ARRAYFORMULA(IF(added&lt;&gt;"""",""https://sealeddeck.tech/""&amp;added,"""")),"""")))"),"https://sealeddeck.tech/iCXcPjweBr")</f>
        <v>https://sealeddeck.tech/iCXcPjweBr</v>
      </c>
      <c r="I81" s="139" t="str">
        <f>IFERROR(__xludf.DUMMYFUNCTION("LET(changes,FILTER('Pool Changes'!$B:$D, 'Pool Changes'!$B:$B = $D81),added,FILTER(INDEX(changes,0,3),INDEX(changes,0,2)=""add pack""),IFERROR(TRANSPOSE(ARRAYFORMULA(IF(added&lt;&gt;"""",HYPERLINK(""https://sealeddeck.tech/""&amp;added,""Link""),""""))),""""))"),"Link")</f>
        <v>Link</v>
      </c>
      <c r="J81" s="139" t="str">
        <f>IFERROR(__xludf.DUMMYFUNCTION("""COMPUTED_VALUE"""),"Link")</f>
        <v>Link</v>
      </c>
      <c r="K81" s="139" t="str">
        <f>IFERROR(__xludf.DUMMYFUNCTION("""COMPUTED_VALUE"""),"Link")</f>
        <v>Link</v>
      </c>
      <c r="L81" s="139" t="str">
        <f>IFERROR(__xludf.DUMMYFUNCTION("""COMPUTED_VALUE"""),"Link")</f>
        <v>Link</v>
      </c>
      <c r="M81" s="142" t="str">
        <f>IFERROR(__xludf.DUMMYFUNCTION("""COMPUTED_VALUE"""),"Link")</f>
        <v>Link</v>
      </c>
      <c r="N81" s="142" t="str">
        <f>IFERROR(__xludf.DUMMYFUNCTION("""COMPUTED_VALUE"""),"Link")</f>
        <v>Link</v>
      </c>
      <c r="O81" s="142" t="str">
        <f>IFERROR(__xludf.DUMMYFUNCTION("""COMPUTED_VALUE"""),"Link")</f>
        <v>Link</v>
      </c>
      <c r="P81" s="139" t="str">
        <f>IFERROR(__xludf.DUMMYFUNCTION("""COMPUTED_VALUE"""),"Link")</f>
        <v>Link</v>
      </c>
      <c r="Q81" s="142" t="str">
        <f>IFERROR(__xludf.DUMMYFUNCTION("""COMPUTED_VALUE"""),"Link")</f>
        <v>Link</v>
      </c>
      <c r="R81" s="140"/>
      <c r="S81" s="141" t="str">
        <f t="shared" si="1"/>
        <v>https://sealeddeck.tech/aLaEHPdu4x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24" t="s">
        <v>3012</v>
      </c>
      <c r="B82" s="124" t="s">
        <v>3013</v>
      </c>
      <c r="C82" s="137" t="s">
        <v>3015</v>
      </c>
      <c r="D82" s="124" t="s">
        <v>200</v>
      </c>
      <c r="E82" s="138">
        <v>19.0</v>
      </c>
      <c r="F82" s="138">
        <v>11.0</v>
      </c>
      <c r="G82" s="139" t="str">
        <f t="array" ref="G82">IF(H82="","",IFERROR(
  "https://sealeddeck.tech/" &amp; INDEX('Pool Changes'!F:F,
    MAX(
      ROW('Pool Changes'!A:A) *
      ('Pool Changes'!B:B=D82) *
      ('Pool Changes'!F:F&lt;&gt;"")
    )
  ),
  ""
))</f>
        <v>https://sealeddeck.tech/HZmbYSF2rK</v>
      </c>
      <c r="H82" s="139" t="str">
        <f>IFERROR(__xludf.DUMMYFUNCTION("LET(changes,FILTER('Pool Changes'!$B:$D, 'Pool Changes'!$B:$B = $D82),added,FILTER(INDEX(changes,0,3),INDEX(changes,0,2)=""starting pool""),TRANSPOSE(IFERROR(ARRAYFORMULA(IF(added&lt;&gt;"""",""https://sealeddeck.tech/""&amp;added,"""")),"""")))"),"https://sealeddeck.tech/6qU64KfqZy")</f>
        <v>https://sealeddeck.tech/6qU64KfqZy</v>
      </c>
      <c r="I82" s="139" t="str">
        <f>IFERROR(__xludf.DUMMYFUNCTION("LET(changes,FILTER('Pool Changes'!$B:$D, 'Pool Changes'!$B:$B = $D82),added,FILTER(INDEX(changes,0,3),INDEX(changes,0,2)=""add pack""),IFERROR(TRANSPOSE(ARRAYFORMULA(IF(added&lt;&gt;"""",HYPERLINK(""https://sealeddeck.tech/""&amp;added,""Link""),""""))),""""))"),"Link")</f>
        <v>Link</v>
      </c>
      <c r="J82" s="139" t="str">
        <f>IFERROR(__xludf.DUMMYFUNCTION("""COMPUTED_VALUE"""),"Link")</f>
        <v>Link</v>
      </c>
      <c r="K82" s="139" t="str">
        <f>IFERROR(__xludf.DUMMYFUNCTION("""COMPUTED_VALUE"""),"Link")</f>
        <v>Link</v>
      </c>
      <c r="L82" s="139" t="str">
        <f>IFERROR(__xludf.DUMMYFUNCTION("""COMPUTED_VALUE"""),"Link")</f>
        <v>Link</v>
      </c>
      <c r="M82" s="142" t="str">
        <f>IFERROR(__xludf.DUMMYFUNCTION("""COMPUTED_VALUE"""),"Link")</f>
        <v>Link</v>
      </c>
      <c r="N82" s="142" t="str">
        <f>IFERROR(__xludf.DUMMYFUNCTION("""COMPUTED_VALUE"""),"Link")</f>
        <v>Link</v>
      </c>
      <c r="O82" s="142" t="str">
        <f>IFERROR(__xludf.DUMMYFUNCTION("""COMPUTED_VALUE"""),"Link")</f>
        <v>Link</v>
      </c>
      <c r="P82" s="139" t="str">
        <f>IFERROR(__xludf.DUMMYFUNCTION("""COMPUTED_VALUE"""),"Link")</f>
        <v>Link</v>
      </c>
      <c r="Q82" s="142" t="str">
        <f>IFERROR(__xludf.DUMMYFUNCTION("""COMPUTED_VALUE"""),"Link")</f>
        <v>Link</v>
      </c>
      <c r="R82" s="142" t="str">
        <f>IFERROR(__xludf.DUMMYFUNCTION("""COMPUTED_VALUE"""),"Link")</f>
        <v>Link</v>
      </c>
      <c r="S82" s="141" t="str">
        <f t="shared" si="1"/>
        <v>https://sealeddeck.tech/VvewqdkR7a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24" t="s">
        <v>3090</v>
      </c>
      <c r="B83" s="124" t="s">
        <v>3093</v>
      </c>
      <c r="C83" s="137" t="s">
        <v>3095</v>
      </c>
      <c r="D83" s="124" t="s">
        <v>182</v>
      </c>
      <c r="E83" s="138">
        <v>6.0</v>
      </c>
      <c r="F83" s="138">
        <v>11.0</v>
      </c>
      <c r="G83" s="139" t="str">
        <f t="array" ref="G83">IF(H83="","",IFERROR(
  "https://sealeddeck.tech/" &amp; INDEX('Pool Changes'!F:F,
    MAX(
      ROW('Pool Changes'!A:A) *
      ('Pool Changes'!B:B=D83) *
      ('Pool Changes'!F:F&lt;&gt;"")
    )
  ),
  ""
))</f>
        <v>https://sealeddeck.tech/G9rqAUPzSk</v>
      </c>
      <c r="H83" s="139" t="str">
        <f>IFERROR(__xludf.DUMMYFUNCTION("LET(changes,FILTER('Pool Changes'!$B:$D, 'Pool Changes'!$B:$B = $D83),added,FILTER(INDEX(changes,0,3),INDEX(changes,0,2)=""starting pool""),TRANSPOSE(IFERROR(ARRAYFORMULA(IF(added&lt;&gt;"""",""https://sealeddeck.tech/""&amp;added,"""")),"""")))"),"https://sealeddeck.tech/nR1AKkZjQg")</f>
        <v>https://sealeddeck.tech/nR1AKkZjQg</v>
      </c>
      <c r="I83" s="139" t="str">
        <f>IFERROR(__xludf.DUMMYFUNCTION("LET(changes,FILTER('Pool Changes'!$B:$D, 'Pool Changes'!$B:$B = $D83),added,FILTER(INDEX(changes,0,3),INDEX(changes,0,2)=""add pack""),IFERROR(TRANSPOSE(ARRAYFORMULA(IF(added&lt;&gt;"""",HYPERLINK(""https://sealeddeck.tech/""&amp;added,""Link""),""""))),""""))"),"Link")</f>
        <v>Link</v>
      </c>
      <c r="J83" s="139" t="str">
        <f>IFERROR(__xludf.DUMMYFUNCTION("""COMPUTED_VALUE"""),"Link")</f>
        <v>Link</v>
      </c>
      <c r="K83" s="139" t="str">
        <f>IFERROR(__xludf.DUMMYFUNCTION("""COMPUTED_VALUE"""),"Link")</f>
        <v>Link</v>
      </c>
      <c r="L83" s="139" t="str">
        <f>IFERROR(__xludf.DUMMYFUNCTION("""COMPUTED_VALUE"""),"Link")</f>
        <v>Link</v>
      </c>
      <c r="M83" s="142" t="str">
        <f>IFERROR(__xludf.DUMMYFUNCTION("""COMPUTED_VALUE"""),"Link")</f>
        <v>Link</v>
      </c>
      <c r="N83" s="142" t="str">
        <f>IFERROR(__xludf.DUMMYFUNCTION("""COMPUTED_VALUE"""),"Link")</f>
        <v>Link</v>
      </c>
      <c r="O83" s="142" t="str">
        <f>IFERROR(__xludf.DUMMYFUNCTION("""COMPUTED_VALUE"""),"Link")</f>
        <v>Link</v>
      </c>
      <c r="P83" s="139" t="str">
        <f>IFERROR(__xludf.DUMMYFUNCTION("""COMPUTED_VALUE"""),"Link")</f>
        <v>Link</v>
      </c>
      <c r="Q83" s="140"/>
      <c r="R83" s="140"/>
      <c r="S83" s="141" t="str">
        <f t="shared" si="1"/>
        <v>https://sealeddeck.tech/RMzDJPL8F2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24" t="s">
        <v>3193</v>
      </c>
      <c r="B84" s="124" t="s">
        <v>3195</v>
      </c>
      <c r="C84" s="137" t="s">
        <v>3197</v>
      </c>
      <c r="D84" s="124" t="s">
        <v>333</v>
      </c>
      <c r="E84" s="138">
        <v>20.0</v>
      </c>
      <c r="F84" s="138">
        <v>10.0</v>
      </c>
      <c r="G84" s="139" t="str">
        <f t="array" ref="G84">IF(H84="","",IFERROR(
  "https://sealeddeck.tech/" &amp; INDEX('Pool Changes'!F:F,
    MAX(
      ROW('Pool Changes'!A:A) *
      ('Pool Changes'!B:B=D84) *
      ('Pool Changes'!F:F&lt;&gt;"")
    )
  ),
  ""
))</f>
        <v>https://sealeddeck.tech/GrTkobjFLF</v>
      </c>
      <c r="H84" s="139" t="str">
        <f>IFERROR(__xludf.DUMMYFUNCTION("LET(changes,FILTER('Pool Changes'!$B:$D, 'Pool Changes'!$B:$B = $D84),added,FILTER(INDEX(changes,0,3),INDEX(changes,0,2)=""starting pool""),TRANSPOSE(IFERROR(ARRAYFORMULA(IF(added&lt;&gt;"""",""https://sealeddeck.tech/""&amp;added,"""")),"""")))"),"https://sealeddeck.tech/GWdLoaFUf1")</f>
        <v>https://sealeddeck.tech/GWdLoaFUf1</v>
      </c>
      <c r="I84" s="139" t="str">
        <f>IFERROR(__xludf.DUMMYFUNCTION("LET(changes,FILTER('Pool Changes'!$B:$D, 'Pool Changes'!$B:$B = $D84),added,FILTER(INDEX(changes,0,3),INDEX(changes,0,2)=""add pack""),IFERROR(TRANSPOSE(ARRAYFORMULA(IF(added&lt;&gt;"""",HYPERLINK(""https://sealeddeck.tech/""&amp;added,""Link""),""""))),""""))"),"Link")</f>
        <v>Link</v>
      </c>
      <c r="J84" s="139" t="str">
        <f>IFERROR(__xludf.DUMMYFUNCTION("""COMPUTED_VALUE"""),"Link")</f>
        <v>Link</v>
      </c>
      <c r="K84" s="139" t="str">
        <f>IFERROR(__xludf.DUMMYFUNCTION("""COMPUTED_VALUE"""),"Link")</f>
        <v>Link</v>
      </c>
      <c r="L84" s="139" t="str">
        <f>IFERROR(__xludf.DUMMYFUNCTION("""COMPUTED_VALUE"""),"Link")</f>
        <v>Link</v>
      </c>
      <c r="M84" s="142" t="str">
        <f>IFERROR(__xludf.DUMMYFUNCTION("""COMPUTED_VALUE"""),"Link")</f>
        <v>Link</v>
      </c>
      <c r="N84" s="142" t="str">
        <f>IFERROR(__xludf.DUMMYFUNCTION("""COMPUTED_VALUE"""),"Link")</f>
        <v>Link</v>
      </c>
      <c r="O84" s="142" t="str">
        <f>IFERROR(__xludf.DUMMYFUNCTION("""COMPUTED_VALUE"""),"Link")</f>
        <v>Link</v>
      </c>
      <c r="P84" s="139" t="str">
        <f>IFERROR(__xludf.DUMMYFUNCTION("""COMPUTED_VALUE"""),"Link")</f>
        <v>Link</v>
      </c>
      <c r="Q84" s="142" t="str">
        <f>IFERROR(__xludf.DUMMYFUNCTION("""COMPUTED_VALUE"""),"Link")</f>
        <v>Link</v>
      </c>
      <c r="R84" s="142" t="str">
        <f>IFERROR(__xludf.DUMMYFUNCTION("""COMPUTED_VALUE"""),"Link")</f>
        <v>Link</v>
      </c>
      <c r="S84" s="141" t="str">
        <f t="shared" si="1"/>
        <v>https://sealeddeck.tech/RGCV9vXtGP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24" t="s">
        <v>3320</v>
      </c>
      <c r="B85" s="124" t="s">
        <v>3322</v>
      </c>
      <c r="C85" s="137" t="s">
        <v>3323</v>
      </c>
      <c r="D85" s="124" t="s">
        <v>114</v>
      </c>
      <c r="E85" s="138">
        <v>10.0</v>
      </c>
      <c r="F85" s="138">
        <v>11.0</v>
      </c>
      <c r="G85" s="139" t="str">
        <f t="array" ref="G85">IF(H85="","",IFERROR(
  "https://sealeddeck.tech/" &amp; INDEX('Pool Changes'!F:F,
    MAX(
      ROW('Pool Changes'!A:A) *
      ('Pool Changes'!B:B=D85) *
      ('Pool Changes'!F:F&lt;&gt;"")
    )
  ),
  ""
))</f>
        <v>https://sealeddeck.tech/zMoZmXpQNG</v>
      </c>
      <c r="H85" s="139" t="str">
        <f>IFERROR(__xludf.DUMMYFUNCTION("LET(changes,FILTER('Pool Changes'!$B:$D, 'Pool Changes'!$B:$B = $D85),added,FILTER(INDEX(changes,0,3),INDEX(changes,0,2)=""starting pool""),TRANSPOSE(IFERROR(ARRAYFORMULA(IF(added&lt;&gt;"""",""https://sealeddeck.tech/""&amp;added,"""")),"""")))"),"https://sealeddeck.tech/y8BN9tCPwQ")</f>
        <v>https://sealeddeck.tech/y8BN9tCPwQ</v>
      </c>
      <c r="I85" s="139" t="str">
        <f>IFERROR(__xludf.DUMMYFUNCTION("LET(changes,FILTER('Pool Changes'!$B:$D, 'Pool Changes'!$B:$B = $D85),added,FILTER(INDEX(changes,0,3),INDEX(changes,0,2)=""add pack""),IFERROR(TRANSPOSE(ARRAYFORMULA(IF(added&lt;&gt;"""",HYPERLINK(""https://sealeddeck.tech/""&amp;added,""Link""),""""))),""""))"),"Link")</f>
        <v>Link</v>
      </c>
      <c r="J85" s="139" t="str">
        <f>IFERROR(__xludf.DUMMYFUNCTION("""COMPUTED_VALUE"""),"Link")</f>
        <v>Link</v>
      </c>
      <c r="K85" s="139" t="str">
        <f>IFERROR(__xludf.DUMMYFUNCTION("""COMPUTED_VALUE"""),"Link")</f>
        <v>Link</v>
      </c>
      <c r="L85" s="139" t="str">
        <f>IFERROR(__xludf.DUMMYFUNCTION("""COMPUTED_VALUE"""),"Link")</f>
        <v>Link</v>
      </c>
      <c r="M85" s="142" t="str">
        <f>IFERROR(__xludf.DUMMYFUNCTION("""COMPUTED_VALUE"""),"Link")</f>
        <v>Link</v>
      </c>
      <c r="N85" s="142" t="str">
        <f>IFERROR(__xludf.DUMMYFUNCTION("""COMPUTED_VALUE"""),"Link")</f>
        <v>Link</v>
      </c>
      <c r="O85" s="142" t="str">
        <f>IFERROR(__xludf.DUMMYFUNCTION("""COMPUTED_VALUE"""),"Link")</f>
        <v>Link</v>
      </c>
      <c r="P85" s="139" t="str">
        <f>IFERROR(__xludf.DUMMYFUNCTION("""COMPUTED_VALUE"""),"Link")</f>
        <v>Link</v>
      </c>
      <c r="Q85" s="142" t="str">
        <f>IFERROR(__xludf.DUMMYFUNCTION("""COMPUTED_VALUE"""),"Link")</f>
        <v>Link</v>
      </c>
      <c r="R85" s="142" t="str">
        <f>IFERROR(__xludf.DUMMYFUNCTION("""COMPUTED_VALUE"""),"Link")</f>
        <v>Link</v>
      </c>
      <c r="S85" s="141" t="str">
        <f t="shared" si="1"/>
        <v>https://sealeddeck.tech/hY2xosYzTQ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24" t="s">
        <v>3444</v>
      </c>
      <c r="B86" s="124" t="s">
        <v>3445</v>
      </c>
      <c r="C86" s="137" t="s">
        <v>3447</v>
      </c>
      <c r="D86" s="124" t="s">
        <v>120</v>
      </c>
      <c r="E86" s="138">
        <v>10.0</v>
      </c>
      <c r="F86" s="138">
        <v>11.0</v>
      </c>
      <c r="G86" s="139" t="str">
        <f t="array" ref="G86">IF(H86="","",IFERROR(
  "https://sealeddeck.tech/" &amp; INDEX('Pool Changes'!F:F,
    MAX(
      ROW('Pool Changes'!A:A) *
      ('Pool Changes'!B:B=D86) *
      ('Pool Changes'!F:F&lt;&gt;"")
    )
  ),
  ""
))</f>
        <v>https://sealeddeck.tech/1hWDvYqm3z</v>
      </c>
      <c r="H86" s="139" t="str">
        <f>IFERROR(__xludf.DUMMYFUNCTION("LET(changes,FILTER('Pool Changes'!$B:$D, 'Pool Changes'!$B:$B = $D86),added,FILTER(INDEX(changes,0,3),INDEX(changes,0,2)=""starting pool""),TRANSPOSE(IFERROR(ARRAYFORMULA(IF(added&lt;&gt;"""",""https://sealeddeck.tech/""&amp;added,"""")),"""")))"),"https://sealeddeck.tech/v5tryPfrnT")</f>
        <v>https://sealeddeck.tech/v5tryPfrnT</v>
      </c>
      <c r="I86" s="139" t="str">
        <f>IFERROR(__xludf.DUMMYFUNCTION("LET(changes,FILTER('Pool Changes'!$B:$D, 'Pool Changes'!$B:$B = $D86),added,FILTER(INDEX(changes,0,3),INDEX(changes,0,2)=""add pack""),IFERROR(TRANSPOSE(ARRAYFORMULA(IF(added&lt;&gt;"""",HYPERLINK(""https://sealeddeck.tech/""&amp;added,""Link""),""""))),""""))"),"Link")</f>
        <v>Link</v>
      </c>
      <c r="J86" s="139" t="str">
        <f>IFERROR(__xludf.DUMMYFUNCTION("""COMPUTED_VALUE"""),"Link")</f>
        <v>Link</v>
      </c>
      <c r="K86" s="139" t="str">
        <f>IFERROR(__xludf.DUMMYFUNCTION("""COMPUTED_VALUE"""),"Link")</f>
        <v>Link</v>
      </c>
      <c r="L86" s="139" t="str">
        <f>IFERROR(__xludf.DUMMYFUNCTION("""COMPUTED_VALUE"""),"Link")</f>
        <v>Link</v>
      </c>
      <c r="M86" s="142" t="str">
        <f>IFERROR(__xludf.DUMMYFUNCTION("""COMPUTED_VALUE"""),"Link")</f>
        <v>Link</v>
      </c>
      <c r="N86" s="142" t="str">
        <f>IFERROR(__xludf.DUMMYFUNCTION("""COMPUTED_VALUE"""),"Link")</f>
        <v>Link</v>
      </c>
      <c r="O86" s="142" t="str">
        <f>IFERROR(__xludf.DUMMYFUNCTION("""COMPUTED_VALUE"""),"Link")</f>
        <v>Link</v>
      </c>
      <c r="P86" s="139" t="str">
        <f>IFERROR(__xludf.DUMMYFUNCTION("""COMPUTED_VALUE"""),"Link")</f>
        <v>Link</v>
      </c>
      <c r="Q86" s="142" t="str">
        <f>IFERROR(__xludf.DUMMYFUNCTION("""COMPUTED_VALUE"""),"Link")</f>
        <v>Link</v>
      </c>
      <c r="R86" s="142" t="str">
        <f>IFERROR(__xludf.DUMMYFUNCTION("""COMPUTED_VALUE"""),"Link")</f>
        <v>Link</v>
      </c>
      <c r="S86" s="141" t="str">
        <f t="shared" si="1"/>
        <v>https://sealeddeck.tech/VCqcMF8e3a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24" t="s">
        <v>3575</v>
      </c>
      <c r="B87" s="124" t="s">
        <v>3576</v>
      </c>
      <c r="C87" s="137" t="s">
        <v>3578</v>
      </c>
      <c r="D87" s="124" t="s">
        <v>133</v>
      </c>
      <c r="E87" s="138">
        <v>4.0</v>
      </c>
      <c r="F87" s="138">
        <v>11.0</v>
      </c>
      <c r="G87" s="139" t="str">
        <f t="array" ref="G87">IF(H87="","",IFERROR(
  "https://sealeddeck.tech/" &amp; INDEX('Pool Changes'!F:F,
    MAX(
      ROW('Pool Changes'!A:A) *
      ('Pool Changes'!B:B=D87) *
      ('Pool Changes'!F:F&lt;&gt;"")
    )
  ),
  ""
))</f>
        <v>https://sealeddeck.tech/uSj7JeUwzu</v>
      </c>
      <c r="H87" s="139" t="str">
        <f>IFERROR(__xludf.DUMMYFUNCTION("LET(changes,FILTER('Pool Changes'!$B:$D, 'Pool Changes'!$B:$B = $D87),added,FILTER(INDEX(changes,0,3),INDEX(changes,0,2)=""starting pool""),TRANSPOSE(IFERROR(ARRAYFORMULA(IF(added&lt;&gt;"""",""https://sealeddeck.tech/""&amp;added,"""")),"""")))"),"https://sealeddeck.tech/6PsDXU33MT")</f>
        <v>https://sealeddeck.tech/6PsDXU33MT</v>
      </c>
      <c r="I87" s="139" t="str">
        <f>IFERROR(__xludf.DUMMYFUNCTION("LET(changes,FILTER('Pool Changes'!$B:$D, 'Pool Changes'!$B:$B = $D87),added,FILTER(INDEX(changes,0,3),INDEX(changes,0,2)=""add pack""),IFERROR(TRANSPOSE(ARRAYFORMULA(IF(added&lt;&gt;"""",HYPERLINK(""https://sealeddeck.tech/""&amp;added,""Link""),""""))),""""))"),"Link")</f>
        <v>Link</v>
      </c>
      <c r="J87" s="139" t="str">
        <f>IFERROR(__xludf.DUMMYFUNCTION("""COMPUTED_VALUE"""),"Link")</f>
        <v>Link</v>
      </c>
      <c r="K87" s="139" t="str">
        <f>IFERROR(__xludf.DUMMYFUNCTION("""COMPUTED_VALUE"""),"Link")</f>
        <v>Link</v>
      </c>
      <c r="L87" s="139" t="str">
        <f>IFERROR(__xludf.DUMMYFUNCTION("""COMPUTED_VALUE"""),"Link")</f>
        <v>Link</v>
      </c>
      <c r="M87" s="142" t="str">
        <f>IFERROR(__xludf.DUMMYFUNCTION("""COMPUTED_VALUE"""),"Link")</f>
        <v>Link</v>
      </c>
      <c r="N87" s="142" t="str">
        <f>IFERROR(__xludf.DUMMYFUNCTION("""COMPUTED_VALUE"""),"Link")</f>
        <v>Link</v>
      </c>
      <c r="O87" s="142" t="str">
        <f>IFERROR(__xludf.DUMMYFUNCTION("""COMPUTED_VALUE"""),"Link")</f>
        <v>Link</v>
      </c>
      <c r="P87" s="139" t="str">
        <f>IFERROR(__xludf.DUMMYFUNCTION("""COMPUTED_VALUE"""),"Link")</f>
        <v>Link</v>
      </c>
      <c r="Q87" s="142" t="str">
        <f>IFERROR(__xludf.DUMMYFUNCTION("""COMPUTED_VALUE"""),"Link")</f>
        <v>Link</v>
      </c>
      <c r="R87" s="142" t="str">
        <f>IFERROR(__xludf.DUMMYFUNCTION("""COMPUTED_VALUE"""),"Link")</f>
        <v>Link</v>
      </c>
      <c r="S87" s="141" t="str">
        <f t="shared" si="1"/>
        <v>https://sealeddeck.tech/HZmbYSF2rK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24" t="s">
        <v>3702</v>
      </c>
      <c r="B88" s="124" t="s">
        <v>3703</v>
      </c>
      <c r="C88" s="137" t="s">
        <v>3705</v>
      </c>
      <c r="D88" s="124" t="s">
        <v>414</v>
      </c>
      <c r="E88" s="138">
        <v>11.0</v>
      </c>
      <c r="F88" s="138">
        <v>11.0</v>
      </c>
      <c r="G88" s="139" t="str">
        <f t="array" ref="G88">IF(H88="","",IFERROR(
  "https://sealeddeck.tech/" &amp; INDEX('Pool Changes'!F:F,
    MAX(
      ROW('Pool Changes'!A:A) *
      ('Pool Changes'!B:B=D88) *
      ('Pool Changes'!F:F&lt;&gt;"")
    )
  ),
  ""
))</f>
        <v>https://sealeddeck.tech/vXjSM8dxX4</v>
      </c>
      <c r="H88" s="139" t="str">
        <f>IFERROR(__xludf.DUMMYFUNCTION("LET(changes,FILTER('Pool Changes'!$B:$D, 'Pool Changes'!$B:$B = $D88),added,FILTER(INDEX(changes,0,3),INDEX(changes,0,2)=""starting pool""),TRANSPOSE(IFERROR(ARRAYFORMULA(IF(added&lt;&gt;"""",""https://sealeddeck.tech/""&amp;added,"""")),"""")))"),"https://sealeddeck.tech/u9HcWJ61ZX")</f>
        <v>https://sealeddeck.tech/u9HcWJ61ZX</v>
      </c>
      <c r="I88" s="139" t="str">
        <f>IFERROR(__xludf.DUMMYFUNCTION("LET(changes,FILTER('Pool Changes'!$B:$D, 'Pool Changes'!$B:$B = $D88),added,FILTER(INDEX(changes,0,3),INDEX(changes,0,2)=""add pack""),IFERROR(TRANSPOSE(ARRAYFORMULA(IF(added&lt;&gt;"""",HYPERLINK(""https://sealeddeck.tech/""&amp;added,""Link""),""""))),""""))"),"Link")</f>
        <v>Link</v>
      </c>
      <c r="J88" s="139" t="str">
        <f>IFERROR(__xludf.DUMMYFUNCTION("""COMPUTED_VALUE"""),"Link")</f>
        <v>Link</v>
      </c>
      <c r="K88" s="139" t="str">
        <f>IFERROR(__xludf.DUMMYFUNCTION("""COMPUTED_VALUE"""),"Link")</f>
        <v>Link</v>
      </c>
      <c r="L88" s="139" t="str">
        <f>IFERROR(__xludf.DUMMYFUNCTION("""COMPUTED_VALUE"""),"Link")</f>
        <v>Link</v>
      </c>
      <c r="M88" s="142" t="str">
        <f>IFERROR(__xludf.DUMMYFUNCTION("""COMPUTED_VALUE"""),"Link")</f>
        <v>Link</v>
      </c>
      <c r="N88" s="142" t="str">
        <f>IFERROR(__xludf.DUMMYFUNCTION("""COMPUTED_VALUE"""),"Link")</f>
        <v>Link</v>
      </c>
      <c r="O88" s="142" t="str">
        <f>IFERROR(__xludf.DUMMYFUNCTION("""COMPUTED_VALUE"""),"Link")</f>
        <v>Link</v>
      </c>
      <c r="P88" s="139" t="str">
        <f>IFERROR(__xludf.DUMMYFUNCTION("""COMPUTED_VALUE"""),"Link")</f>
        <v>Link</v>
      </c>
      <c r="Q88" s="142" t="str">
        <f>IFERROR(__xludf.DUMMYFUNCTION("""COMPUTED_VALUE"""),"Link")</f>
        <v>Link</v>
      </c>
      <c r="R88" s="142" t="str">
        <f>IFERROR(__xludf.DUMMYFUNCTION("""COMPUTED_VALUE"""),"Link")</f>
        <v>Link</v>
      </c>
      <c r="S88" s="141" t="str">
        <f t="shared" si="1"/>
        <v>https://sealeddeck.tech/G9rqAUPzSk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24" t="s">
        <v>3818</v>
      </c>
      <c r="B89" s="124" t="s">
        <v>3819</v>
      </c>
      <c r="C89" s="137" t="s">
        <v>3820</v>
      </c>
      <c r="D89" s="124" t="s">
        <v>107</v>
      </c>
      <c r="E89" s="138">
        <v>10.0</v>
      </c>
      <c r="F89" s="138">
        <v>11.0</v>
      </c>
      <c r="G89" s="139" t="str">
        <f t="array" ref="G89">IF(H89="","",IFERROR(
  "https://sealeddeck.tech/" &amp; INDEX('Pool Changes'!F:F,
    MAX(
      ROW('Pool Changes'!A:A) *
      ('Pool Changes'!B:B=D89) *
      ('Pool Changes'!F:F&lt;&gt;"")
    )
  ),
  ""
))</f>
        <v>https://sealeddeck.tech/m9yrUsscrS</v>
      </c>
      <c r="H89" s="139" t="str">
        <f>IFERROR(__xludf.DUMMYFUNCTION("LET(changes,FILTER('Pool Changes'!$B:$D, 'Pool Changes'!$B:$B = $D89),added,FILTER(INDEX(changes,0,3),INDEX(changes,0,2)=""starting pool""),TRANSPOSE(IFERROR(ARRAYFORMULA(IF(added&lt;&gt;"""",""https://sealeddeck.tech/""&amp;added,"""")),"""")))"),"https://sealeddeck.tech/2M9byv2qgc")</f>
        <v>https://sealeddeck.tech/2M9byv2qgc</v>
      </c>
      <c r="I89" s="139" t="str">
        <f>IFERROR(__xludf.DUMMYFUNCTION("LET(changes,FILTER('Pool Changes'!$B:$D, 'Pool Changes'!$B:$B = $D89),added,FILTER(INDEX(changes,0,3),INDEX(changes,0,2)=""add pack""),IFERROR(TRANSPOSE(ARRAYFORMULA(IF(added&lt;&gt;"""",HYPERLINK(""https://sealeddeck.tech/""&amp;added,""Link""),""""))),""""))"),"Link")</f>
        <v>Link</v>
      </c>
      <c r="J89" s="139" t="str">
        <f>IFERROR(__xludf.DUMMYFUNCTION("""COMPUTED_VALUE"""),"Link")</f>
        <v>Link</v>
      </c>
      <c r="K89" s="139" t="str">
        <f>IFERROR(__xludf.DUMMYFUNCTION("""COMPUTED_VALUE"""),"Link")</f>
        <v>Link</v>
      </c>
      <c r="L89" s="139" t="str">
        <f>IFERROR(__xludf.DUMMYFUNCTION("""COMPUTED_VALUE"""),"Link")</f>
        <v>Link</v>
      </c>
      <c r="M89" s="142" t="str">
        <f>IFERROR(__xludf.DUMMYFUNCTION("""COMPUTED_VALUE"""),"Link")</f>
        <v>Link</v>
      </c>
      <c r="N89" s="142" t="str">
        <f>IFERROR(__xludf.DUMMYFUNCTION("""COMPUTED_VALUE"""),"Link")</f>
        <v>Link</v>
      </c>
      <c r="O89" s="142" t="str">
        <f>IFERROR(__xludf.DUMMYFUNCTION("""COMPUTED_VALUE"""),"Link")</f>
        <v>Link</v>
      </c>
      <c r="P89" s="139" t="str">
        <f>IFERROR(__xludf.DUMMYFUNCTION("""COMPUTED_VALUE"""),"Link")</f>
        <v>Link</v>
      </c>
      <c r="Q89" s="142" t="str">
        <f>IFERROR(__xludf.DUMMYFUNCTION("""COMPUTED_VALUE"""),"Link")</f>
        <v>Link</v>
      </c>
      <c r="R89" s="142" t="str">
        <f>IFERROR(__xludf.DUMMYFUNCTION("""COMPUTED_VALUE"""),"Link")</f>
        <v>Link</v>
      </c>
      <c r="S89" s="141" t="str">
        <f t="shared" si="1"/>
        <v>https://sealeddeck.tech/GrTkobjFLF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24" t="s">
        <v>3944</v>
      </c>
      <c r="B90" s="124" t="s">
        <v>3945</v>
      </c>
      <c r="C90" s="137" t="s">
        <v>3946</v>
      </c>
      <c r="D90" s="124" t="s">
        <v>235</v>
      </c>
      <c r="E90" s="138">
        <v>3.0</v>
      </c>
      <c r="F90" s="138">
        <v>11.0</v>
      </c>
      <c r="G90" s="139" t="str">
        <f t="array" ref="G90">IF(H90="","",IFERROR(
  "https://sealeddeck.tech/" &amp; INDEX('Pool Changes'!F:F,
    MAX(
      ROW('Pool Changes'!A:A) *
      ('Pool Changes'!B:B=D90) *
      ('Pool Changes'!F:F&lt;&gt;"")
    )
  ),
  ""
))</f>
        <v>https://sealeddeck.tech/ZQT1KytC6E</v>
      </c>
      <c r="H90" s="139" t="str">
        <f>IFERROR(__xludf.DUMMYFUNCTION("LET(changes,FILTER('Pool Changes'!$B:$D, 'Pool Changes'!$B:$B = $D90),added,FILTER(INDEX(changes,0,3),INDEX(changes,0,2)=""starting pool""),TRANSPOSE(IFERROR(ARRAYFORMULA(IF(added&lt;&gt;"""",""https://sealeddeck.tech/""&amp;added,"""")),"""")))"),"https://sealeddeck.tech/FfB6L6GwV1")</f>
        <v>https://sealeddeck.tech/FfB6L6GwV1</v>
      </c>
      <c r="I90" s="139" t="str">
        <f>IFERROR(__xludf.DUMMYFUNCTION("LET(changes,FILTER('Pool Changes'!$B:$D, 'Pool Changes'!$B:$B = $D90),added,FILTER(INDEX(changes,0,3),INDEX(changes,0,2)=""add pack""),IFERROR(TRANSPOSE(ARRAYFORMULA(IF(added&lt;&gt;"""",HYPERLINK(""https://sealeddeck.tech/""&amp;added,""Link""),""""))),""""))"),"Link")</f>
        <v>Link</v>
      </c>
      <c r="J90" s="139" t="str">
        <f>IFERROR(__xludf.DUMMYFUNCTION("""COMPUTED_VALUE"""),"Link")</f>
        <v>Link</v>
      </c>
      <c r="K90" s="139" t="str">
        <f>IFERROR(__xludf.DUMMYFUNCTION("""COMPUTED_VALUE"""),"Link")</f>
        <v>Link</v>
      </c>
      <c r="L90" s="139" t="str">
        <f>IFERROR(__xludf.DUMMYFUNCTION("""COMPUTED_VALUE"""),"Link")</f>
        <v>Link</v>
      </c>
      <c r="M90" s="142" t="str">
        <f>IFERROR(__xludf.DUMMYFUNCTION("""COMPUTED_VALUE"""),"Link")</f>
        <v>Link</v>
      </c>
      <c r="N90" s="142" t="str">
        <f>IFERROR(__xludf.DUMMYFUNCTION("""COMPUTED_VALUE"""),"Link")</f>
        <v>Link</v>
      </c>
      <c r="O90" s="142" t="str">
        <f>IFERROR(__xludf.DUMMYFUNCTION("""COMPUTED_VALUE"""),"Link")</f>
        <v>Link</v>
      </c>
      <c r="P90" s="139" t="str">
        <f>IFERROR(__xludf.DUMMYFUNCTION("""COMPUTED_VALUE"""),"Link")</f>
        <v>Link</v>
      </c>
      <c r="Q90" s="142" t="str">
        <f>IFERROR(__xludf.DUMMYFUNCTION("""COMPUTED_VALUE"""),"Link")</f>
        <v>Link</v>
      </c>
      <c r="R90" s="142" t="str">
        <f>IFERROR(__xludf.DUMMYFUNCTION("""COMPUTED_VALUE"""),"Link")</f>
        <v>Link</v>
      </c>
      <c r="S90" s="141" t="str">
        <f t="shared" si="1"/>
        <v>https://sealeddeck.tech/zMoZmXpQNG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24" t="s">
        <v>4087</v>
      </c>
      <c r="B91" s="124" t="s">
        <v>4088</v>
      </c>
      <c r="C91" s="137" t="s">
        <v>4090</v>
      </c>
      <c r="D91" s="124" t="s">
        <v>243</v>
      </c>
      <c r="E91" s="138">
        <v>4.0</v>
      </c>
      <c r="F91" s="138">
        <v>11.0</v>
      </c>
      <c r="G91" s="139" t="str">
        <f t="array" ref="G91">IF(H91="","",IFERROR(
  "https://sealeddeck.tech/" &amp; INDEX('Pool Changes'!F:F,
    MAX(
      ROW('Pool Changes'!A:A) *
      ('Pool Changes'!B:B=D91) *
      ('Pool Changes'!F:F&lt;&gt;"")
    )
  ),
  ""
))</f>
        <v>https://sealeddeck.tech/SG4XDtMtUw</v>
      </c>
      <c r="H91" s="139" t="str">
        <f>IFERROR(__xludf.DUMMYFUNCTION("LET(changes,FILTER('Pool Changes'!$B:$D, 'Pool Changes'!$B:$B = $D91),added,FILTER(INDEX(changes,0,3),INDEX(changes,0,2)=""starting pool""),TRANSPOSE(IFERROR(ARRAYFORMULA(IF(added&lt;&gt;"""",""https://sealeddeck.tech/""&amp;added,"""")),"""")))"),"https://sealeddeck.tech/3qdqN97F8D")</f>
        <v>https://sealeddeck.tech/3qdqN97F8D</v>
      </c>
      <c r="I91" s="139" t="str">
        <f>IFERROR(__xludf.DUMMYFUNCTION("LET(changes,FILTER('Pool Changes'!$B:$D, 'Pool Changes'!$B:$B = $D91),added,FILTER(INDEX(changes,0,3),INDEX(changes,0,2)=""add pack""),IFERROR(TRANSPOSE(ARRAYFORMULA(IF(added&lt;&gt;"""",HYPERLINK(""https://sealeddeck.tech/""&amp;added,""Link""),""""))),""""))"),"Link")</f>
        <v>Link</v>
      </c>
      <c r="J91" s="139" t="str">
        <f>IFERROR(__xludf.DUMMYFUNCTION("""COMPUTED_VALUE"""),"Link")</f>
        <v>Link</v>
      </c>
      <c r="K91" s="139" t="str">
        <f>IFERROR(__xludf.DUMMYFUNCTION("""COMPUTED_VALUE"""),"Link")</f>
        <v>Link</v>
      </c>
      <c r="L91" s="139" t="str">
        <f>IFERROR(__xludf.DUMMYFUNCTION("""COMPUTED_VALUE"""),"Link")</f>
        <v>Link</v>
      </c>
      <c r="M91" s="142" t="str">
        <f>IFERROR(__xludf.DUMMYFUNCTION("""COMPUTED_VALUE"""),"Link")</f>
        <v>Link</v>
      </c>
      <c r="N91" s="142" t="str">
        <f>IFERROR(__xludf.DUMMYFUNCTION("""COMPUTED_VALUE"""),"Link")</f>
        <v>Link</v>
      </c>
      <c r="O91" s="142" t="str">
        <f>IFERROR(__xludf.DUMMYFUNCTION("""COMPUTED_VALUE"""),"Link")</f>
        <v>Link</v>
      </c>
      <c r="P91" s="139" t="str">
        <f>IFERROR(__xludf.DUMMYFUNCTION("""COMPUTED_VALUE"""),"Link")</f>
        <v>Link</v>
      </c>
      <c r="Q91" s="142" t="str">
        <f>IFERROR(__xludf.DUMMYFUNCTION("""COMPUTED_VALUE"""),"Link")</f>
        <v>Link</v>
      </c>
      <c r="R91" s="142" t="str">
        <f>IFERROR(__xludf.DUMMYFUNCTION("""COMPUTED_VALUE"""),"Link")</f>
        <v>Link</v>
      </c>
      <c r="S91" s="141" t="str">
        <f t="shared" si="1"/>
        <v>https://sealeddeck.tech/1hWDvYqm3z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24" t="s">
        <v>4234</v>
      </c>
      <c r="B92" s="124" t="s">
        <v>4236</v>
      </c>
      <c r="C92" s="137" t="s">
        <v>4237</v>
      </c>
      <c r="D92" s="124" t="s">
        <v>60</v>
      </c>
      <c r="E92" s="138">
        <v>9.0</v>
      </c>
      <c r="F92" s="138">
        <v>11.0</v>
      </c>
      <c r="G92" s="139" t="str">
        <f t="array" ref="G92">IF(H92="","",IFERROR(
  "https://sealeddeck.tech/" &amp; INDEX('Pool Changes'!F:F,
    MAX(
      ROW('Pool Changes'!A:A) *
      ('Pool Changes'!B:B=D92) *
      ('Pool Changes'!F:F&lt;&gt;"")
    )
  ),
  ""
))</f>
        <v>https://sealeddeck.tech/EBNYEb2FVz</v>
      </c>
      <c r="H92" s="139" t="str">
        <f>IFERROR(__xludf.DUMMYFUNCTION("LET(changes,FILTER('Pool Changes'!$B:$D, 'Pool Changes'!$B:$B = $D92),added,FILTER(INDEX(changes,0,3),INDEX(changes,0,2)=""starting pool""),TRANSPOSE(IFERROR(ARRAYFORMULA(IF(added&lt;&gt;"""",""https://sealeddeck.tech/""&amp;added,"""")),"""")))"),"https://sealeddeck.tech/fL6H8Tt46k")</f>
        <v>https://sealeddeck.tech/fL6H8Tt46k</v>
      </c>
      <c r="I92" s="139" t="str">
        <f>IFERROR(__xludf.DUMMYFUNCTION("LET(changes,FILTER('Pool Changes'!$B:$D, 'Pool Changes'!$B:$B = $D92),added,FILTER(INDEX(changes,0,3),INDEX(changes,0,2)=""add pack""),IFERROR(TRANSPOSE(ARRAYFORMULA(IF(added&lt;&gt;"""",HYPERLINK(""https://sealeddeck.tech/""&amp;added,""Link""),""""))),""""))"),"Link")</f>
        <v>Link</v>
      </c>
      <c r="J92" s="139" t="str">
        <f>IFERROR(__xludf.DUMMYFUNCTION("""COMPUTED_VALUE"""),"Link")</f>
        <v>Link</v>
      </c>
      <c r="K92" s="139" t="str">
        <f>IFERROR(__xludf.DUMMYFUNCTION("""COMPUTED_VALUE"""),"Link")</f>
        <v>Link</v>
      </c>
      <c r="L92" s="139" t="str">
        <f>IFERROR(__xludf.DUMMYFUNCTION("""COMPUTED_VALUE"""),"Link")</f>
        <v>Link</v>
      </c>
      <c r="M92" s="142" t="str">
        <f>IFERROR(__xludf.DUMMYFUNCTION("""COMPUTED_VALUE"""),"Link")</f>
        <v>Link</v>
      </c>
      <c r="N92" s="142" t="str">
        <f>IFERROR(__xludf.DUMMYFUNCTION("""COMPUTED_VALUE"""),"Link")</f>
        <v>Link</v>
      </c>
      <c r="O92" s="142" t="str">
        <f>IFERROR(__xludf.DUMMYFUNCTION("""COMPUTED_VALUE"""),"Link")</f>
        <v>Link</v>
      </c>
      <c r="P92" s="139" t="str">
        <f>IFERROR(__xludf.DUMMYFUNCTION("""COMPUTED_VALUE"""),"Link")</f>
        <v>Link</v>
      </c>
      <c r="Q92" s="142" t="str">
        <f>IFERROR(__xludf.DUMMYFUNCTION("""COMPUTED_VALUE"""),"Link")</f>
        <v>Link</v>
      </c>
      <c r="R92" s="142" t="str">
        <f>IFERROR(__xludf.DUMMYFUNCTION("""COMPUTED_VALUE"""),"Link")</f>
        <v>Link</v>
      </c>
      <c r="S92" s="141" t="str">
        <f t="shared" si="1"/>
        <v>https://sealeddeck.tech/uSj7JeUwzu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24" t="s">
        <v>4373</v>
      </c>
      <c r="B93" s="124" t="s">
        <v>4375</v>
      </c>
      <c r="C93" s="137" t="s">
        <v>4377</v>
      </c>
      <c r="D93" s="124" t="s">
        <v>402</v>
      </c>
      <c r="E93" s="138">
        <v>4.0</v>
      </c>
      <c r="F93" s="138">
        <v>11.0</v>
      </c>
      <c r="G93" s="139" t="str">
        <f t="array" ref="G93">IF(H93="","",IFERROR(
  "https://sealeddeck.tech/" &amp; INDEX('Pool Changes'!F:F,
    MAX(
      ROW('Pool Changes'!A:A) *
      ('Pool Changes'!B:B=D93) *
      ('Pool Changes'!F:F&lt;&gt;"")
    )
  ),
  ""
))</f>
        <v>https://sealeddeck.tech/ToucC3FMMb</v>
      </c>
      <c r="H93" s="139" t="str">
        <f>IFERROR(__xludf.DUMMYFUNCTION("LET(changes,FILTER('Pool Changes'!$B:$D, 'Pool Changes'!$B:$B = $D93),added,FILTER(INDEX(changes,0,3),INDEX(changes,0,2)=""starting pool""),TRANSPOSE(IFERROR(ARRAYFORMULA(IF(added&lt;&gt;"""",""https://sealeddeck.tech/""&amp;added,"""")),"""")))"),"https://sealeddeck.tech/7Fh2gaTXho")</f>
        <v>https://sealeddeck.tech/7Fh2gaTXho</v>
      </c>
      <c r="I93" s="139" t="str">
        <f>IFERROR(__xludf.DUMMYFUNCTION("LET(changes,FILTER('Pool Changes'!$B:$D, 'Pool Changes'!$B:$B = $D93),added,FILTER(INDEX(changes,0,3),INDEX(changes,0,2)=""add pack""),IFERROR(TRANSPOSE(ARRAYFORMULA(IF(added&lt;&gt;"""",HYPERLINK(""https://sealeddeck.tech/""&amp;added,""Link""),""""))),""""))"),"Link")</f>
        <v>Link</v>
      </c>
      <c r="J93" s="139" t="str">
        <f>IFERROR(__xludf.DUMMYFUNCTION("""COMPUTED_VALUE"""),"Link")</f>
        <v>Link</v>
      </c>
      <c r="K93" s="139" t="str">
        <f>IFERROR(__xludf.DUMMYFUNCTION("""COMPUTED_VALUE"""),"Link")</f>
        <v>Link</v>
      </c>
      <c r="L93" s="139" t="str">
        <f>IFERROR(__xludf.DUMMYFUNCTION("""COMPUTED_VALUE"""),"Link")</f>
        <v>Link</v>
      </c>
      <c r="M93" s="142" t="str">
        <f>IFERROR(__xludf.DUMMYFUNCTION("""COMPUTED_VALUE"""),"Link")</f>
        <v>Link</v>
      </c>
      <c r="N93" s="142" t="str">
        <f>IFERROR(__xludf.DUMMYFUNCTION("""COMPUTED_VALUE"""),"Link")</f>
        <v>Link</v>
      </c>
      <c r="O93" s="142" t="str">
        <f>IFERROR(__xludf.DUMMYFUNCTION("""COMPUTED_VALUE"""),"Link")</f>
        <v>Link</v>
      </c>
      <c r="P93" s="139" t="str">
        <f>IFERROR(__xludf.DUMMYFUNCTION("""COMPUTED_VALUE"""),"Link")</f>
        <v>Link</v>
      </c>
      <c r="Q93" s="142" t="str">
        <f>IFERROR(__xludf.DUMMYFUNCTION("""COMPUTED_VALUE"""),"Link")</f>
        <v>Link</v>
      </c>
      <c r="R93" s="142" t="str">
        <f>IFERROR(__xludf.DUMMYFUNCTION("""COMPUTED_VALUE"""),"Link")</f>
        <v>Link</v>
      </c>
      <c r="S93" s="141" t="str">
        <f t="shared" si="1"/>
        <v>https://sealeddeck.tech/vXjSM8dxX4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24" t="s">
        <v>4514</v>
      </c>
      <c r="B94" s="124" t="s">
        <v>4516</v>
      </c>
      <c r="C94" s="137" t="s">
        <v>4517</v>
      </c>
      <c r="D94" s="124" t="s">
        <v>267</v>
      </c>
      <c r="E94" s="138">
        <v>10.0</v>
      </c>
      <c r="F94" s="138">
        <v>11.0</v>
      </c>
      <c r="G94" s="139" t="str">
        <f t="array" ref="G94">IF(H94="","",IFERROR(
  "https://sealeddeck.tech/" &amp; INDEX('Pool Changes'!F:F,
    MAX(
      ROW('Pool Changes'!A:A) *
      ('Pool Changes'!B:B=D94) *
      ('Pool Changes'!F:F&lt;&gt;"")
    )
  ),
  ""
))</f>
        <v>https://sealeddeck.tech/Nqj3btNK1w</v>
      </c>
      <c r="H94" s="139" t="str">
        <f>IFERROR(__xludf.DUMMYFUNCTION("LET(changes,FILTER('Pool Changes'!$B:$D, 'Pool Changes'!$B:$B = $D94),added,FILTER(INDEX(changes,0,3),INDEX(changes,0,2)=""starting pool""),TRANSPOSE(IFERROR(ARRAYFORMULA(IF(added&lt;&gt;"""",""https://sealeddeck.tech/""&amp;added,"""")),"""")))"),"https://sealeddeck.tech/F2QWapGoHi")</f>
        <v>https://sealeddeck.tech/F2QWapGoHi</v>
      </c>
      <c r="I94" s="139" t="str">
        <f>IFERROR(__xludf.DUMMYFUNCTION("LET(changes,FILTER('Pool Changes'!$B:$D, 'Pool Changes'!$B:$B = $D94),added,FILTER(INDEX(changes,0,3),INDEX(changes,0,2)=""add pack""),IFERROR(TRANSPOSE(ARRAYFORMULA(IF(added&lt;&gt;"""",HYPERLINK(""https://sealeddeck.tech/""&amp;added,""Link""),""""))),""""))"),"Link")</f>
        <v>Link</v>
      </c>
      <c r="J94" s="139" t="str">
        <f>IFERROR(__xludf.DUMMYFUNCTION("""COMPUTED_VALUE"""),"Link")</f>
        <v>Link</v>
      </c>
      <c r="K94" s="139" t="str">
        <f>IFERROR(__xludf.DUMMYFUNCTION("""COMPUTED_VALUE"""),"Link")</f>
        <v>Link</v>
      </c>
      <c r="L94" s="139" t="str">
        <f>IFERROR(__xludf.DUMMYFUNCTION("""COMPUTED_VALUE"""),"Link")</f>
        <v>Link</v>
      </c>
      <c r="M94" s="142" t="str">
        <f>IFERROR(__xludf.DUMMYFUNCTION("""COMPUTED_VALUE"""),"Link")</f>
        <v>Link</v>
      </c>
      <c r="N94" s="142" t="str">
        <f>IFERROR(__xludf.DUMMYFUNCTION("""COMPUTED_VALUE"""),"Link")</f>
        <v>Link</v>
      </c>
      <c r="O94" s="142" t="str">
        <f>IFERROR(__xludf.DUMMYFUNCTION("""COMPUTED_VALUE"""),"Link")</f>
        <v>Link</v>
      </c>
      <c r="P94" s="139" t="str">
        <f>IFERROR(__xludf.DUMMYFUNCTION("""COMPUTED_VALUE"""),"Link")</f>
        <v>Link</v>
      </c>
      <c r="Q94" s="142" t="str">
        <f>IFERROR(__xludf.DUMMYFUNCTION("""COMPUTED_VALUE"""),"Link")</f>
        <v>Link</v>
      </c>
      <c r="R94" s="142" t="str">
        <f>IFERROR(__xludf.DUMMYFUNCTION("""COMPUTED_VALUE"""),"Link")</f>
        <v>Link</v>
      </c>
      <c r="S94" s="141" t="str">
        <f t="shared" si="1"/>
        <v>https://sealeddeck.tech/m9yrUsscrS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24" t="s">
        <v>4653</v>
      </c>
      <c r="B95" s="124" t="s">
        <v>4655</v>
      </c>
      <c r="C95" s="137" t="s">
        <v>4657</v>
      </c>
      <c r="D95" s="124" t="s">
        <v>335</v>
      </c>
      <c r="E95" s="138">
        <v>5.0</v>
      </c>
      <c r="F95" s="138">
        <v>11.0</v>
      </c>
      <c r="G95" s="139" t="str">
        <f t="array" ref="G95">IF(H95="","",IFERROR(
  "https://sealeddeck.tech/" &amp; INDEX('Pool Changes'!F:F,
    MAX(
      ROW('Pool Changes'!A:A) *
      ('Pool Changes'!B:B=D95) *
      ('Pool Changes'!F:F&lt;&gt;"")
    )
  ),
  ""
))</f>
        <v>https://sealeddeck.tech/GaJiN1Joam</v>
      </c>
      <c r="H95" s="139" t="str">
        <f>IFERROR(__xludf.DUMMYFUNCTION("LET(changes,FILTER('Pool Changes'!$B:$D, 'Pool Changes'!$B:$B = $D95),added,FILTER(INDEX(changes,0,3),INDEX(changes,0,2)=""starting pool""),TRANSPOSE(IFERROR(ARRAYFORMULA(IF(added&lt;&gt;"""",""https://sealeddeck.tech/""&amp;added,"""")),"""")))"),"https://sealeddeck.tech/EYvGoACMw5")</f>
        <v>https://sealeddeck.tech/EYvGoACMw5</v>
      </c>
      <c r="I95" s="139" t="str">
        <f>IFERROR(__xludf.DUMMYFUNCTION("LET(changes,FILTER('Pool Changes'!$B:$D, 'Pool Changes'!$B:$B = $D95),added,FILTER(INDEX(changes,0,3),INDEX(changes,0,2)=""add pack""),IFERROR(TRANSPOSE(ARRAYFORMULA(IF(added&lt;&gt;"""",HYPERLINK(""https://sealeddeck.tech/""&amp;added,""Link""),""""))),""""))"),"Link")</f>
        <v>Link</v>
      </c>
      <c r="J95" s="139" t="str">
        <f>IFERROR(__xludf.DUMMYFUNCTION("""COMPUTED_VALUE"""),"Link")</f>
        <v>Link</v>
      </c>
      <c r="K95" s="139" t="str">
        <f>IFERROR(__xludf.DUMMYFUNCTION("""COMPUTED_VALUE"""),"Link")</f>
        <v>Link</v>
      </c>
      <c r="L95" s="139" t="str">
        <f>IFERROR(__xludf.DUMMYFUNCTION("""COMPUTED_VALUE"""),"Link")</f>
        <v>Link</v>
      </c>
      <c r="M95" s="142" t="str">
        <f>IFERROR(__xludf.DUMMYFUNCTION("""COMPUTED_VALUE"""),"Link")</f>
        <v>Link</v>
      </c>
      <c r="N95" s="142" t="str">
        <f>IFERROR(__xludf.DUMMYFUNCTION("""COMPUTED_VALUE"""),"Link")</f>
        <v>Link</v>
      </c>
      <c r="O95" s="142" t="str">
        <f>IFERROR(__xludf.DUMMYFUNCTION("""COMPUTED_VALUE"""),"Link")</f>
        <v>Link</v>
      </c>
      <c r="P95" s="139" t="str">
        <f>IFERROR(__xludf.DUMMYFUNCTION("""COMPUTED_VALUE"""),"Link")</f>
        <v>Link</v>
      </c>
      <c r="Q95" s="142" t="str">
        <f>IFERROR(__xludf.DUMMYFUNCTION("""COMPUTED_VALUE"""),"Link")</f>
        <v>Link</v>
      </c>
      <c r="R95" s="142" t="str">
        <f>IFERROR(__xludf.DUMMYFUNCTION("""COMPUTED_VALUE"""),"Link")</f>
        <v>Link</v>
      </c>
      <c r="S95" s="141" t="str">
        <f t="shared" si="1"/>
        <v>https://sealeddeck.tech/ZQT1KytC6E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24" t="s">
        <v>4788</v>
      </c>
      <c r="B96" s="124" t="s">
        <v>4791</v>
      </c>
      <c r="C96" s="137" t="s">
        <v>4792</v>
      </c>
      <c r="D96" s="124" t="s">
        <v>181</v>
      </c>
      <c r="E96" s="138">
        <v>2.0</v>
      </c>
      <c r="F96" s="138">
        <v>11.0</v>
      </c>
      <c r="G96" s="139" t="str">
        <f t="array" ref="G96">IF(H96="","",IFERROR(
  "https://sealeddeck.tech/" &amp; INDEX('Pool Changes'!F:F,
    MAX(
      ROW('Pool Changes'!A:A) *
      ('Pool Changes'!B:B=D96) *
      ('Pool Changes'!F:F&lt;&gt;"")
    )
  ),
  ""
))</f>
        <v>https://sealeddeck.tech/eHAXqDbzkj</v>
      </c>
      <c r="H96" s="139" t="str">
        <f>IFERROR(__xludf.DUMMYFUNCTION("LET(changes,FILTER('Pool Changes'!$B:$D, 'Pool Changes'!$B:$B = $D96),added,FILTER(INDEX(changes,0,3),INDEX(changes,0,2)=""starting pool""),TRANSPOSE(IFERROR(ARRAYFORMULA(IF(added&lt;&gt;"""",""https://sealeddeck.tech/""&amp;added,"""")),"""")))"),"https://sealeddeck.tech/gGn8pvrPUh")</f>
        <v>https://sealeddeck.tech/gGn8pvrPUh</v>
      </c>
      <c r="I96" s="139" t="str">
        <f>IFERROR(__xludf.DUMMYFUNCTION("LET(changes,FILTER('Pool Changes'!$B:$D, 'Pool Changes'!$B:$B = $D96),added,FILTER(INDEX(changes,0,3),INDEX(changes,0,2)=""add pack""),IFERROR(TRANSPOSE(ARRAYFORMULA(IF(added&lt;&gt;"""",HYPERLINK(""https://sealeddeck.tech/""&amp;added,""Link""),""""))),""""))"),"Link")</f>
        <v>Link</v>
      </c>
      <c r="J96" s="139" t="str">
        <f>IFERROR(__xludf.DUMMYFUNCTION("""COMPUTED_VALUE"""),"Link")</f>
        <v>Link</v>
      </c>
      <c r="K96" s="139" t="str">
        <f>IFERROR(__xludf.DUMMYFUNCTION("""COMPUTED_VALUE"""),"Link")</f>
        <v>Link</v>
      </c>
      <c r="L96" s="139" t="str">
        <f>IFERROR(__xludf.DUMMYFUNCTION("""COMPUTED_VALUE"""),"Link")</f>
        <v>Link</v>
      </c>
      <c r="M96" s="142" t="str">
        <f>IFERROR(__xludf.DUMMYFUNCTION("""COMPUTED_VALUE"""),"Link")</f>
        <v>Link</v>
      </c>
      <c r="N96" s="142" t="str">
        <f>IFERROR(__xludf.DUMMYFUNCTION("""COMPUTED_VALUE"""),"Link")</f>
        <v>Link</v>
      </c>
      <c r="O96" s="142" t="str">
        <f>IFERROR(__xludf.DUMMYFUNCTION("""COMPUTED_VALUE"""),"Link")</f>
        <v>Link</v>
      </c>
      <c r="P96" s="139" t="str">
        <f>IFERROR(__xludf.DUMMYFUNCTION("""COMPUTED_VALUE"""),"Link")</f>
        <v>Link</v>
      </c>
      <c r="Q96" s="142" t="str">
        <f>IFERROR(__xludf.DUMMYFUNCTION("""COMPUTED_VALUE"""),"Link")</f>
        <v>Link</v>
      </c>
      <c r="R96" s="142" t="str">
        <f>IFERROR(__xludf.DUMMYFUNCTION("""COMPUTED_VALUE"""),"Link")</f>
        <v>Link</v>
      </c>
      <c r="S96" s="141" t="str">
        <f t="shared" si="1"/>
        <v>https://sealeddeck.tech/SG4XDtMtUw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24" t="s">
        <v>4924</v>
      </c>
      <c r="B97" s="124" t="s">
        <v>4925</v>
      </c>
      <c r="C97" s="137" t="s">
        <v>4927</v>
      </c>
      <c r="D97" s="124" t="s">
        <v>385</v>
      </c>
      <c r="E97" s="138">
        <v>10.0</v>
      </c>
      <c r="F97" s="138">
        <v>11.0</v>
      </c>
      <c r="G97" s="139" t="str">
        <f t="array" ref="G97">IF(H97="","",IFERROR(
  "https://sealeddeck.tech/" &amp; INDEX('Pool Changes'!F:F,
    MAX(
      ROW('Pool Changes'!A:A) *
      ('Pool Changes'!B:B=D97) *
      ('Pool Changes'!F:F&lt;&gt;"")
    )
  ),
  ""
))</f>
        <v>https://sealeddeck.tech/5Jty982VEm</v>
      </c>
      <c r="H97" s="139" t="str">
        <f>IFERROR(__xludf.DUMMYFUNCTION("LET(changes,FILTER('Pool Changes'!$B:$D, 'Pool Changes'!$B:$B = $D97),added,FILTER(INDEX(changes,0,3),INDEX(changes,0,2)=""starting pool""),TRANSPOSE(IFERROR(ARRAYFORMULA(IF(added&lt;&gt;"""",""https://sealeddeck.tech/""&amp;added,"""")),"""")))"),"https://sealeddeck.tech/ST7FUWfajN")</f>
        <v>https://sealeddeck.tech/ST7FUWfajN</v>
      </c>
      <c r="I97" s="139" t="str">
        <f>IFERROR(__xludf.DUMMYFUNCTION("LET(changes,FILTER('Pool Changes'!$B:$D, 'Pool Changes'!$B:$B = $D97),added,FILTER(INDEX(changes,0,3),INDEX(changes,0,2)=""add pack""),IFERROR(TRANSPOSE(ARRAYFORMULA(IF(added&lt;&gt;"""",HYPERLINK(""https://sealeddeck.tech/""&amp;added,""Link""),""""))),""""))"),"Link")</f>
        <v>Link</v>
      </c>
      <c r="J97" s="139" t="str">
        <f>IFERROR(__xludf.DUMMYFUNCTION("""COMPUTED_VALUE"""),"Link")</f>
        <v>Link</v>
      </c>
      <c r="K97" s="139" t="str">
        <f>IFERROR(__xludf.DUMMYFUNCTION("""COMPUTED_VALUE"""),"Link")</f>
        <v>Link</v>
      </c>
      <c r="L97" s="139" t="str">
        <f>IFERROR(__xludf.DUMMYFUNCTION("""COMPUTED_VALUE"""),"Link")</f>
        <v>Link</v>
      </c>
      <c r="M97" s="142" t="str">
        <f>IFERROR(__xludf.DUMMYFUNCTION("""COMPUTED_VALUE"""),"Link")</f>
        <v>Link</v>
      </c>
      <c r="N97" s="142" t="str">
        <f>IFERROR(__xludf.DUMMYFUNCTION("""COMPUTED_VALUE"""),"Link")</f>
        <v>Link</v>
      </c>
      <c r="O97" s="142" t="str">
        <f>IFERROR(__xludf.DUMMYFUNCTION("""COMPUTED_VALUE"""),"Link")</f>
        <v>Link</v>
      </c>
      <c r="P97" s="139" t="str">
        <f>IFERROR(__xludf.DUMMYFUNCTION("""COMPUTED_VALUE"""),"Link")</f>
        <v>Link</v>
      </c>
      <c r="Q97" s="142" t="str">
        <f>IFERROR(__xludf.DUMMYFUNCTION("""COMPUTED_VALUE"""),"Link")</f>
        <v>Link</v>
      </c>
      <c r="R97" s="142" t="str">
        <f>IFERROR(__xludf.DUMMYFUNCTION("""COMPUTED_VALUE"""),"Link")</f>
        <v>Link</v>
      </c>
      <c r="S97" s="141" t="str">
        <f t="shared" si="1"/>
        <v>https://sealeddeck.tech/EBNYEb2FVz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24" t="s">
        <v>5050</v>
      </c>
      <c r="B98" s="124" t="s">
        <v>5052</v>
      </c>
      <c r="C98" s="137" t="s">
        <v>5053</v>
      </c>
      <c r="D98" s="124" t="s">
        <v>192</v>
      </c>
      <c r="E98" s="138">
        <v>18.0</v>
      </c>
      <c r="F98" s="138">
        <v>11.0</v>
      </c>
      <c r="G98" s="139" t="str">
        <f t="array" ref="G98">IF(H98="","",IFERROR(
  "https://sealeddeck.tech/" &amp; INDEX('Pool Changes'!F:F,
    MAX(
      ROW('Pool Changes'!A:A) *
      ('Pool Changes'!B:B=D98) *
      ('Pool Changes'!F:F&lt;&gt;"")
    )
  ),
  ""
))</f>
        <v>https://sealeddeck.tech/bbT3csm1QD</v>
      </c>
      <c r="H98" s="139" t="str">
        <f>IFERROR(__xludf.DUMMYFUNCTION("LET(changes,FILTER('Pool Changes'!$B:$D, 'Pool Changes'!$B:$B = $D98),added,FILTER(INDEX(changes,0,3),INDEX(changes,0,2)=""starting pool""),TRANSPOSE(IFERROR(ARRAYFORMULA(IF(added&lt;&gt;"""",""https://sealeddeck.tech/""&amp;added,"""")),"""")))"),"https://sealeddeck.tech/yz37WQZUH3")</f>
        <v>https://sealeddeck.tech/yz37WQZUH3</v>
      </c>
      <c r="I98" s="139" t="str">
        <f>IFERROR(__xludf.DUMMYFUNCTION("LET(changes,FILTER('Pool Changes'!$B:$D, 'Pool Changes'!$B:$B = $D98),added,FILTER(INDEX(changes,0,3),INDEX(changes,0,2)=""add pack""),IFERROR(TRANSPOSE(ARRAYFORMULA(IF(added&lt;&gt;"""",HYPERLINK(""https://sealeddeck.tech/""&amp;added,""Link""),""""))),""""))"),"Link")</f>
        <v>Link</v>
      </c>
      <c r="J98" s="139" t="str">
        <f>IFERROR(__xludf.DUMMYFUNCTION("""COMPUTED_VALUE"""),"Link")</f>
        <v>Link</v>
      </c>
      <c r="K98" s="139" t="str">
        <f>IFERROR(__xludf.DUMMYFUNCTION("""COMPUTED_VALUE"""),"Link")</f>
        <v>Link</v>
      </c>
      <c r="L98" s="139" t="str">
        <f>IFERROR(__xludf.DUMMYFUNCTION("""COMPUTED_VALUE"""),"Link")</f>
        <v>Link</v>
      </c>
      <c r="M98" s="142" t="str">
        <f>IFERROR(__xludf.DUMMYFUNCTION("""COMPUTED_VALUE"""),"Link")</f>
        <v>Link</v>
      </c>
      <c r="N98" s="142" t="str">
        <f>IFERROR(__xludf.DUMMYFUNCTION("""COMPUTED_VALUE"""),"Link")</f>
        <v>Link</v>
      </c>
      <c r="O98" s="142" t="str">
        <f>IFERROR(__xludf.DUMMYFUNCTION("""COMPUTED_VALUE"""),"Link")</f>
        <v>Link</v>
      </c>
      <c r="P98" s="139" t="str">
        <f>IFERROR(__xludf.DUMMYFUNCTION("""COMPUTED_VALUE"""),"Link")</f>
        <v>Link</v>
      </c>
      <c r="Q98" s="142" t="str">
        <f>IFERROR(__xludf.DUMMYFUNCTION("""COMPUTED_VALUE"""),"Link")</f>
        <v>Link</v>
      </c>
      <c r="R98" s="142" t="str">
        <f>IFERROR(__xludf.DUMMYFUNCTION("""COMPUTED_VALUE"""),"Link")</f>
        <v>Link</v>
      </c>
      <c r="S98" s="141" t="str">
        <f t="shared" si="1"/>
        <v>https://sealeddeck.tech/ToucC3FMMb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24" t="s">
        <v>5169</v>
      </c>
      <c r="B99" s="124" t="s">
        <v>5171</v>
      </c>
      <c r="C99" s="137" t="s">
        <v>5173</v>
      </c>
      <c r="D99" s="124" t="s">
        <v>142</v>
      </c>
      <c r="E99" s="138">
        <v>12.0</v>
      </c>
      <c r="F99" s="138">
        <v>11.0</v>
      </c>
      <c r="G99" s="139" t="str">
        <f t="array" ref="G99">IF(H99="","",IFERROR(
  "https://sealeddeck.tech/" &amp; INDEX('Pool Changes'!F:F,
    MAX(
      ROW('Pool Changes'!A:A) *
      ('Pool Changes'!B:B=D99) *
      ('Pool Changes'!F:F&lt;&gt;"")
    )
  ),
  ""
))</f>
        <v>https://sealeddeck.tech/2tp6oV2wJU</v>
      </c>
      <c r="H99" s="139" t="str">
        <f>IFERROR(__xludf.DUMMYFUNCTION("LET(changes,FILTER('Pool Changes'!$B:$D, 'Pool Changes'!$B:$B = $D99),added,FILTER(INDEX(changes,0,3),INDEX(changes,0,2)=""starting pool""),TRANSPOSE(IFERROR(ARRAYFORMULA(IF(added&lt;&gt;"""",""https://sealeddeck.tech/""&amp;added,"""")),"""")))"),"https://sealeddeck.tech/NLkEpwYNPM")</f>
        <v>https://sealeddeck.tech/NLkEpwYNPM</v>
      </c>
      <c r="I99" s="139" t="str">
        <f>IFERROR(__xludf.DUMMYFUNCTION("LET(changes,FILTER('Pool Changes'!$B:$D, 'Pool Changes'!$B:$B = $D99),added,FILTER(INDEX(changes,0,3),INDEX(changes,0,2)=""add pack""),IFERROR(TRANSPOSE(ARRAYFORMULA(IF(added&lt;&gt;"""",HYPERLINK(""https://sealeddeck.tech/""&amp;added,""Link""),""""))),""""))"),"Link")</f>
        <v>Link</v>
      </c>
      <c r="J99" s="139" t="str">
        <f>IFERROR(__xludf.DUMMYFUNCTION("""COMPUTED_VALUE"""),"Link")</f>
        <v>Link</v>
      </c>
      <c r="K99" s="139" t="str">
        <f>IFERROR(__xludf.DUMMYFUNCTION("""COMPUTED_VALUE"""),"Link")</f>
        <v>Link</v>
      </c>
      <c r="L99" s="139" t="str">
        <f>IFERROR(__xludf.DUMMYFUNCTION("""COMPUTED_VALUE"""),"Link")</f>
        <v>Link</v>
      </c>
      <c r="M99" s="142" t="str">
        <f>IFERROR(__xludf.DUMMYFUNCTION("""COMPUTED_VALUE"""),"Link")</f>
        <v>Link</v>
      </c>
      <c r="N99" s="142" t="str">
        <f>IFERROR(__xludf.DUMMYFUNCTION("""COMPUTED_VALUE"""),"Link")</f>
        <v>Link</v>
      </c>
      <c r="O99" s="142" t="str">
        <f>IFERROR(__xludf.DUMMYFUNCTION("""COMPUTED_VALUE"""),"Link")</f>
        <v>Link</v>
      </c>
      <c r="P99" s="139" t="str">
        <f>IFERROR(__xludf.DUMMYFUNCTION("""COMPUTED_VALUE"""),"Link")</f>
        <v>Link</v>
      </c>
      <c r="Q99" s="142" t="str">
        <f>IFERROR(__xludf.DUMMYFUNCTION("""COMPUTED_VALUE"""),"Link")</f>
        <v>Link</v>
      </c>
      <c r="R99" s="142" t="str">
        <f>IFERROR(__xludf.DUMMYFUNCTION("""COMPUTED_VALUE"""),"Link")</f>
        <v>Link</v>
      </c>
      <c r="S99" s="141" t="str">
        <f t="shared" si="1"/>
        <v>https://sealeddeck.tech/Nqj3btNK1w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24" t="s">
        <v>5289</v>
      </c>
      <c r="B100" s="124" t="s">
        <v>5291</v>
      </c>
      <c r="C100" s="137" t="s">
        <v>5292</v>
      </c>
      <c r="D100" s="124" t="s">
        <v>101</v>
      </c>
      <c r="E100" s="138">
        <v>12.0</v>
      </c>
      <c r="F100" s="138">
        <v>11.0</v>
      </c>
      <c r="G100" s="139" t="str">
        <f t="array" ref="G100">IF(H100="","",IFERROR(
  "https://sealeddeck.tech/" &amp; INDEX('Pool Changes'!F:F,
    MAX(
      ROW('Pool Changes'!A:A) *
      ('Pool Changes'!B:B=D100) *
      ('Pool Changes'!F:F&lt;&gt;"")
    )
  ),
  ""
))</f>
        <v>https://sealeddeck.tech/xnNmhFw2ep</v>
      </c>
      <c r="H100" s="139" t="str">
        <f>IFERROR(__xludf.DUMMYFUNCTION("LET(changes,FILTER('Pool Changes'!$B:$D, 'Pool Changes'!$B:$B = $D100),added,FILTER(INDEX(changes,0,3),INDEX(changes,0,2)=""starting pool""),TRANSPOSE(IFERROR(ARRAYFORMULA(IF(added&lt;&gt;"""",""https://sealeddeck.tech/""&amp;added,"""")),"""")))"),"https://sealeddeck.tech/VQFhQLQA5u")</f>
        <v>https://sealeddeck.tech/VQFhQLQA5u</v>
      </c>
      <c r="I100" s="139" t="str">
        <f>IFERROR(__xludf.DUMMYFUNCTION("LET(changes,FILTER('Pool Changes'!$B:$D, 'Pool Changes'!$B:$B = $D100),added,FILTER(INDEX(changes,0,3),INDEX(changes,0,2)=""add pack""),IFERROR(TRANSPOSE(ARRAYFORMULA(IF(added&lt;&gt;"""",HYPERLINK(""https://sealeddeck.tech/""&amp;added,""Link""),""""))),""""))"),"Link")</f>
        <v>Link</v>
      </c>
      <c r="J100" s="139" t="str">
        <f>IFERROR(__xludf.DUMMYFUNCTION("""COMPUTED_VALUE"""),"Link")</f>
        <v>Link</v>
      </c>
      <c r="K100" s="139" t="str">
        <f>IFERROR(__xludf.DUMMYFUNCTION("""COMPUTED_VALUE"""),"Link")</f>
        <v>Link</v>
      </c>
      <c r="L100" s="139" t="str">
        <f>IFERROR(__xludf.DUMMYFUNCTION("""COMPUTED_VALUE"""),"Link")</f>
        <v>Link</v>
      </c>
      <c r="M100" s="142" t="str">
        <f>IFERROR(__xludf.DUMMYFUNCTION("""COMPUTED_VALUE"""),"Link")</f>
        <v>Link</v>
      </c>
      <c r="N100" s="142" t="str">
        <f>IFERROR(__xludf.DUMMYFUNCTION("""COMPUTED_VALUE"""),"Link")</f>
        <v>Link</v>
      </c>
      <c r="O100" s="142" t="str">
        <f>IFERROR(__xludf.DUMMYFUNCTION("""COMPUTED_VALUE"""),"Link")</f>
        <v>Link</v>
      </c>
      <c r="P100" s="139" t="str">
        <f>IFERROR(__xludf.DUMMYFUNCTION("""COMPUTED_VALUE"""),"Link")</f>
        <v>Link</v>
      </c>
      <c r="Q100" s="142" t="str">
        <f>IFERROR(__xludf.DUMMYFUNCTION("""COMPUTED_VALUE"""),"Link")</f>
        <v>Link</v>
      </c>
      <c r="R100" s="142" t="str">
        <f>IFERROR(__xludf.DUMMYFUNCTION("""COMPUTED_VALUE"""),"Link")</f>
        <v>Link</v>
      </c>
      <c r="S100" s="141" t="str">
        <f t="shared" si="1"/>
        <v>https://sealeddeck.tech/GaJiN1Joam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24" t="s">
        <v>5442</v>
      </c>
      <c r="B101" s="124" t="s">
        <v>5444</v>
      </c>
      <c r="C101" s="137" t="s">
        <v>5447</v>
      </c>
      <c r="D101" s="124" t="s">
        <v>115</v>
      </c>
      <c r="E101" s="138">
        <v>12.0</v>
      </c>
      <c r="F101" s="138">
        <v>11.0</v>
      </c>
      <c r="G101" s="139" t="str">
        <f t="array" ref="G101">IF(H101="","",IFERROR(
  "https://sealeddeck.tech/" &amp; INDEX('Pool Changes'!F:F,
    MAX(
      ROW('Pool Changes'!A:A) *
      ('Pool Changes'!B:B=D101) *
      ('Pool Changes'!F:F&lt;&gt;"")
    )
  ),
  ""
))</f>
        <v>https://sealeddeck.tech/j4Tv9b95mE</v>
      </c>
      <c r="H101" s="139" t="str">
        <f>IFERROR(__xludf.DUMMYFUNCTION("LET(changes,FILTER('Pool Changes'!$B:$D, 'Pool Changes'!$B:$B = $D101),added,FILTER(INDEX(changes,0,3),INDEX(changes,0,2)=""starting pool""),TRANSPOSE(IFERROR(ARRAYFORMULA(IF(added&lt;&gt;"""",""https://sealeddeck.tech/""&amp;added,"""")),"""")))"),"https://sealeddeck.tech/HHX9QVx1ii")</f>
        <v>https://sealeddeck.tech/HHX9QVx1ii</v>
      </c>
      <c r="I101" s="139" t="str">
        <f>IFERROR(__xludf.DUMMYFUNCTION("LET(changes,FILTER('Pool Changes'!$B:$D, 'Pool Changes'!$B:$B = $D101),added,FILTER(INDEX(changes,0,3),INDEX(changes,0,2)=""add pack""),IFERROR(TRANSPOSE(ARRAYFORMULA(IF(added&lt;&gt;"""",HYPERLINK(""https://sealeddeck.tech/""&amp;added,""Link""),""""))),""""))"),"Link")</f>
        <v>Link</v>
      </c>
      <c r="J101" s="139" t="str">
        <f>IFERROR(__xludf.DUMMYFUNCTION("""COMPUTED_VALUE"""),"Link")</f>
        <v>Link</v>
      </c>
      <c r="K101" s="139" t="str">
        <f>IFERROR(__xludf.DUMMYFUNCTION("""COMPUTED_VALUE"""),"Link")</f>
        <v>Link</v>
      </c>
      <c r="L101" s="139" t="str">
        <f>IFERROR(__xludf.DUMMYFUNCTION("""COMPUTED_VALUE"""),"Link")</f>
        <v>Link</v>
      </c>
      <c r="M101" s="142" t="str">
        <f>IFERROR(__xludf.DUMMYFUNCTION("""COMPUTED_VALUE"""),"Link")</f>
        <v>Link</v>
      </c>
      <c r="N101" s="142" t="str">
        <f>IFERROR(__xludf.DUMMYFUNCTION("""COMPUTED_VALUE"""),"Link")</f>
        <v>Link</v>
      </c>
      <c r="O101" s="142" t="str">
        <f>IFERROR(__xludf.DUMMYFUNCTION("""COMPUTED_VALUE"""),"Link")</f>
        <v>Link</v>
      </c>
      <c r="P101" s="139" t="str">
        <f>IFERROR(__xludf.DUMMYFUNCTION("""COMPUTED_VALUE"""),"Link")</f>
        <v>Link</v>
      </c>
      <c r="Q101" s="142" t="str">
        <f>IFERROR(__xludf.DUMMYFUNCTION("""COMPUTED_VALUE"""),"Link")</f>
        <v>Link</v>
      </c>
      <c r="R101" s="142" t="str">
        <f>IFERROR(__xludf.DUMMYFUNCTION("""COMPUTED_VALUE"""),"Link")</f>
        <v>Link</v>
      </c>
      <c r="S101" s="141" t="str">
        <f t="shared" si="1"/>
        <v>https://sealeddeck.tech/eHAXqDbzkj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24" t="s">
        <v>5589</v>
      </c>
      <c r="B102" s="124" t="s">
        <v>5591</v>
      </c>
      <c r="C102" s="137" t="s">
        <v>5593</v>
      </c>
      <c r="D102" s="124" t="s">
        <v>158</v>
      </c>
      <c r="E102" s="138">
        <v>8.0</v>
      </c>
      <c r="F102" s="138">
        <v>11.0</v>
      </c>
      <c r="G102" s="139" t="str">
        <f t="array" ref="G102">IF(H102="","",IFERROR(
  "https://sealeddeck.tech/" &amp; INDEX('Pool Changes'!F:F,
    MAX(
      ROW('Pool Changes'!A:A) *
      ('Pool Changes'!B:B=D102) *
      ('Pool Changes'!F:F&lt;&gt;"")
    )
  ),
  ""
))</f>
        <v>https://sealeddeck.tech/1DSSBX4D7G</v>
      </c>
      <c r="H102" s="139" t="str">
        <f>IFERROR(__xludf.DUMMYFUNCTION("LET(changes,FILTER('Pool Changes'!$B:$D, 'Pool Changes'!$B:$B = $D102),added,FILTER(INDEX(changes,0,3),INDEX(changes,0,2)=""starting pool""),TRANSPOSE(IFERROR(ARRAYFORMULA(IF(added&lt;&gt;"""",""https://sealeddeck.tech/""&amp;added,"""")),"""")))"),"https://sealeddeck.tech/FBAs2urGBV")</f>
        <v>https://sealeddeck.tech/FBAs2urGBV</v>
      </c>
      <c r="I102" s="139" t="str">
        <f>IFERROR(__xludf.DUMMYFUNCTION("LET(changes,FILTER('Pool Changes'!$B:$D, 'Pool Changes'!$B:$B = $D102),added,FILTER(INDEX(changes,0,3),INDEX(changes,0,2)=""add pack""),IFERROR(TRANSPOSE(ARRAYFORMULA(IF(added&lt;&gt;"""",HYPERLINK(""https://sealeddeck.tech/""&amp;added,""Link""),""""))),""""))"),"Link")</f>
        <v>Link</v>
      </c>
      <c r="J102" s="139" t="str">
        <f>IFERROR(__xludf.DUMMYFUNCTION("""COMPUTED_VALUE"""),"Link")</f>
        <v>Link</v>
      </c>
      <c r="K102" s="139" t="str">
        <f>IFERROR(__xludf.DUMMYFUNCTION("""COMPUTED_VALUE"""),"Link")</f>
        <v>Link</v>
      </c>
      <c r="L102" s="139" t="str">
        <f>IFERROR(__xludf.DUMMYFUNCTION("""COMPUTED_VALUE"""),"Link")</f>
        <v>Link</v>
      </c>
      <c r="M102" s="142" t="str">
        <f>IFERROR(__xludf.DUMMYFUNCTION("""COMPUTED_VALUE"""),"Link")</f>
        <v>Link</v>
      </c>
      <c r="N102" s="142" t="str">
        <f>IFERROR(__xludf.DUMMYFUNCTION("""COMPUTED_VALUE"""),"Link")</f>
        <v>Link</v>
      </c>
      <c r="O102" s="142" t="str">
        <f>IFERROR(__xludf.DUMMYFUNCTION("""COMPUTED_VALUE"""),"Link")</f>
        <v>Link</v>
      </c>
      <c r="P102" s="139" t="str">
        <f>IFERROR(__xludf.DUMMYFUNCTION("""COMPUTED_VALUE"""),"Link")</f>
        <v>Link</v>
      </c>
      <c r="Q102" s="142" t="str">
        <f>IFERROR(__xludf.DUMMYFUNCTION("""COMPUTED_VALUE"""),"Link")</f>
        <v>Link</v>
      </c>
      <c r="R102" s="142" t="str">
        <f>IFERROR(__xludf.DUMMYFUNCTION("""COMPUTED_VALUE"""),"Link")</f>
        <v>Link</v>
      </c>
      <c r="S102" s="141" t="str">
        <f t="shared" si="1"/>
        <v>https://sealeddeck.tech/5Jty982VEm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24" t="s">
        <v>5710</v>
      </c>
      <c r="B103" s="124" t="s">
        <v>5712</v>
      </c>
      <c r="C103" s="137" t="s">
        <v>5714</v>
      </c>
      <c r="D103" s="124" t="s">
        <v>388</v>
      </c>
      <c r="E103" s="138">
        <v>16.0</v>
      </c>
      <c r="F103" s="138">
        <v>11.0</v>
      </c>
      <c r="G103" s="139" t="str">
        <f t="array" ref="G103">IF(H103="","",IFERROR(
  "https://sealeddeck.tech/" &amp; INDEX('Pool Changes'!F:F,
    MAX(
      ROW('Pool Changes'!A:A) *
      ('Pool Changes'!B:B=D103) *
      ('Pool Changes'!F:F&lt;&gt;"")
    )
  ),
  ""
))</f>
        <v>https://sealeddeck.tech/M3gPioRAd8</v>
      </c>
      <c r="H103" s="139" t="str">
        <f>IFERROR(__xludf.DUMMYFUNCTION("LET(changes,FILTER('Pool Changes'!$B:$D, 'Pool Changes'!$B:$B = $D103),added,FILTER(INDEX(changes,0,3),INDEX(changes,0,2)=""starting pool""),TRANSPOSE(IFERROR(ARRAYFORMULA(IF(added&lt;&gt;"""",""https://sealeddeck.tech/""&amp;added,"""")),"""")))"),"https://sealeddeck.tech/jwH9gCkcLi")</f>
        <v>https://sealeddeck.tech/jwH9gCkcLi</v>
      </c>
      <c r="I103" s="139" t="str">
        <f>IFERROR(__xludf.DUMMYFUNCTION("LET(changes,FILTER('Pool Changes'!$B:$D, 'Pool Changes'!$B:$B = $D103),added,FILTER(INDEX(changes,0,3),INDEX(changes,0,2)=""add pack""),IFERROR(TRANSPOSE(ARRAYFORMULA(IF(added&lt;&gt;"""",HYPERLINK(""https://sealeddeck.tech/""&amp;added,""Link""),""""))),""""))"),"Link")</f>
        <v>Link</v>
      </c>
      <c r="J103" s="139" t="str">
        <f>IFERROR(__xludf.DUMMYFUNCTION("""COMPUTED_VALUE"""),"Link")</f>
        <v>Link</v>
      </c>
      <c r="K103" s="139" t="str">
        <f>IFERROR(__xludf.DUMMYFUNCTION("""COMPUTED_VALUE"""),"Link")</f>
        <v>Link</v>
      </c>
      <c r="L103" s="139" t="str">
        <f>IFERROR(__xludf.DUMMYFUNCTION("""COMPUTED_VALUE"""),"Link")</f>
        <v>Link</v>
      </c>
      <c r="M103" s="142" t="str">
        <f>IFERROR(__xludf.DUMMYFUNCTION("""COMPUTED_VALUE"""),"Link")</f>
        <v>Link</v>
      </c>
      <c r="N103" s="142" t="str">
        <f>IFERROR(__xludf.DUMMYFUNCTION("""COMPUTED_VALUE"""),"Link")</f>
        <v>Link</v>
      </c>
      <c r="O103" s="142" t="str">
        <f>IFERROR(__xludf.DUMMYFUNCTION("""COMPUTED_VALUE"""),"Link")</f>
        <v>Link</v>
      </c>
      <c r="P103" s="139" t="str">
        <f>IFERROR(__xludf.DUMMYFUNCTION("""COMPUTED_VALUE"""),"Link")</f>
        <v>Link</v>
      </c>
      <c r="Q103" s="142" t="str">
        <f>IFERROR(__xludf.DUMMYFUNCTION("""COMPUTED_VALUE"""),"Link")</f>
        <v>Link</v>
      </c>
      <c r="R103" s="142" t="str">
        <f>IFERROR(__xludf.DUMMYFUNCTION("""COMPUTED_VALUE"""),"Link")</f>
        <v>Link</v>
      </c>
      <c r="S103" s="141" t="str">
        <f t="shared" si="1"/>
        <v>https://sealeddeck.tech/bbT3csm1QD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24" t="s">
        <v>5844</v>
      </c>
      <c r="B104" s="124" t="s">
        <v>5845</v>
      </c>
      <c r="C104" s="137" t="s">
        <v>5847</v>
      </c>
      <c r="D104" s="124" t="s">
        <v>121</v>
      </c>
      <c r="E104" s="138">
        <v>17.0</v>
      </c>
      <c r="F104" s="138">
        <v>11.0</v>
      </c>
      <c r="G104" s="139" t="str">
        <f t="array" ref="G104">IF(H104="","",IFERROR(
  "https://sealeddeck.tech/" &amp; INDEX('Pool Changes'!F:F,
    MAX(
      ROW('Pool Changes'!A:A) *
      ('Pool Changes'!B:B=D104) *
      ('Pool Changes'!F:F&lt;&gt;"")
    )
  ),
  ""
))</f>
        <v>https://sealeddeck.tech/JNbuVRCV9j</v>
      </c>
      <c r="H104" s="139" t="str">
        <f>IFERROR(__xludf.DUMMYFUNCTION("LET(changes,FILTER('Pool Changes'!$B:$D, 'Pool Changes'!$B:$B = $D104),added,FILTER(INDEX(changes,0,3),INDEX(changes,0,2)=""starting pool""),TRANSPOSE(IFERROR(ARRAYFORMULA(IF(added&lt;&gt;"""",""https://sealeddeck.tech/""&amp;added,"""")),"""")))"),"https://sealeddeck.tech/B4L1GXJ1tz")</f>
        <v>https://sealeddeck.tech/B4L1GXJ1tz</v>
      </c>
      <c r="I104" s="139" t="str">
        <f>IFERROR(__xludf.DUMMYFUNCTION("LET(changes,FILTER('Pool Changes'!$B:$D, 'Pool Changes'!$B:$B = $D104),added,FILTER(INDEX(changes,0,3),INDEX(changes,0,2)=""add pack""),IFERROR(TRANSPOSE(ARRAYFORMULA(IF(added&lt;&gt;"""",HYPERLINK(""https://sealeddeck.tech/""&amp;added,""Link""),""""))),""""))"),"Link")</f>
        <v>Link</v>
      </c>
      <c r="J104" s="139" t="str">
        <f>IFERROR(__xludf.DUMMYFUNCTION("""COMPUTED_VALUE"""),"Link")</f>
        <v>Link</v>
      </c>
      <c r="K104" s="139" t="str">
        <f>IFERROR(__xludf.DUMMYFUNCTION("""COMPUTED_VALUE"""),"Link")</f>
        <v>Link</v>
      </c>
      <c r="L104" s="139" t="str">
        <f>IFERROR(__xludf.DUMMYFUNCTION("""COMPUTED_VALUE"""),"Link")</f>
        <v>Link</v>
      </c>
      <c r="M104" s="142" t="str">
        <f>IFERROR(__xludf.DUMMYFUNCTION("""COMPUTED_VALUE"""),"Link")</f>
        <v>Link</v>
      </c>
      <c r="N104" s="142" t="str">
        <f>IFERROR(__xludf.DUMMYFUNCTION("""COMPUTED_VALUE"""),"Link")</f>
        <v>Link</v>
      </c>
      <c r="O104" s="142" t="str">
        <f>IFERROR(__xludf.DUMMYFUNCTION("""COMPUTED_VALUE"""),"Link")</f>
        <v>Link</v>
      </c>
      <c r="P104" s="139" t="str">
        <f>IFERROR(__xludf.DUMMYFUNCTION("""COMPUTED_VALUE"""),"Link")</f>
        <v>Link</v>
      </c>
      <c r="Q104" s="142" t="str">
        <f>IFERROR(__xludf.DUMMYFUNCTION("""COMPUTED_VALUE"""),"Link")</f>
        <v>Link</v>
      </c>
      <c r="R104" s="142" t="str">
        <f>IFERROR(__xludf.DUMMYFUNCTION("""COMPUTED_VALUE"""),"Link")</f>
        <v>Link</v>
      </c>
      <c r="S104" s="141" t="str">
        <f t="shared" si="1"/>
        <v>https://sealeddeck.tech/2tp6oV2wJU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24" t="s">
        <v>5976</v>
      </c>
      <c r="B105" s="124" t="s">
        <v>5977</v>
      </c>
      <c r="C105" s="137" t="s">
        <v>5979</v>
      </c>
      <c r="D105" s="124" t="s">
        <v>312</v>
      </c>
      <c r="E105" s="138">
        <v>13.0</v>
      </c>
      <c r="F105" s="138">
        <v>11.0</v>
      </c>
      <c r="G105" s="139" t="str">
        <f t="array" ref="G105">IF(H105="","",IFERROR(
  "https://sealeddeck.tech/" &amp; INDEX('Pool Changes'!F:F,
    MAX(
      ROW('Pool Changes'!A:A) *
      ('Pool Changes'!B:B=D105) *
      ('Pool Changes'!F:F&lt;&gt;"")
    )
  ),
  ""
))</f>
        <v>https://sealeddeck.tech/hGndH46BBY</v>
      </c>
      <c r="H105" s="139" t="str">
        <f>IFERROR(__xludf.DUMMYFUNCTION("LET(changes,FILTER('Pool Changes'!$B:$D, 'Pool Changes'!$B:$B = $D105),added,FILTER(INDEX(changes,0,3),INDEX(changes,0,2)=""starting pool""),TRANSPOSE(IFERROR(ARRAYFORMULA(IF(added&lt;&gt;"""",""https://sealeddeck.tech/""&amp;added,"""")),"""")))"),"https://sealeddeck.tech/kp7nba2oJp")</f>
        <v>https://sealeddeck.tech/kp7nba2oJp</v>
      </c>
      <c r="I105" s="139" t="str">
        <f>IFERROR(__xludf.DUMMYFUNCTION("LET(changes,FILTER('Pool Changes'!$B:$D, 'Pool Changes'!$B:$B = $D105),added,FILTER(INDEX(changes,0,3),INDEX(changes,0,2)=""add pack""),IFERROR(TRANSPOSE(ARRAYFORMULA(IF(added&lt;&gt;"""",HYPERLINK(""https://sealeddeck.tech/""&amp;added,""Link""),""""))),""""))"),"Link")</f>
        <v>Link</v>
      </c>
      <c r="J105" s="139" t="str">
        <f>IFERROR(__xludf.DUMMYFUNCTION("""COMPUTED_VALUE"""),"Link")</f>
        <v>Link</v>
      </c>
      <c r="K105" s="139" t="str">
        <f>IFERROR(__xludf.DUMMYFUNCTION("""COMPUTED_VALUE"""),"Link")</f>
        <v>Link</v>
      </c>
      <c r="L105" s="139" t="str">
        <f>IFERROR(__xludf.DUMMYFUNCTION("""COMPUTED_VALUE"""),"Link")</f>
        <v>Link</v>
      </c>
      <c r="M105" s="140"/>
      <c r="N105" s="140"/>
      <c r="O105" s="140"/>
      <c r="P105" s="140"/>
      <c r="Q105" s="140"/>
      <c r="R105" s="140"/>
      <c r="S105" s="141" t="str">
        <f t="shared" si="1"/>
        <v>https://sealeddeck.tech/xnNmhFw2ep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24" t="s">
        <v>6057</v>
      </c>
      <c r="B106" s="124" t="s">
        <v>6059</v>
      </c>
      <c r="C106" s="137" t="s">
        <v>6061</v>
      </c>
      <c r="D106" s="124" t="s">
        <v>367</v>
      </c>
      <c r="E106" s="138">
        <v>7.0</v>
      </c>
      <c r="F106" s="138">
        <v>11.0</v>
      </c>
      <c r="G106" s="139" t="str">
        <f t="array" ref="G106">IF(H106="","",IFERROR(
  "https://sealeddeck.tech/" &amp; INDEX('Pool Changes'!F:F,
    MAX(
      ROW('Pool Changes'!A:A) *
      ('Pool Changes'!B:B=D106) *
      ('Pool Changes'!F:F&lt;&gt;"")
    )
  ),
  ""
))</f>
        <v>https://sealeddeck.tech/ZnA2jKcCTC</v>
      </c>
      <c r="H106" s="139" t="str">
        <f>IFERROR(__xludf.DUMMYFUNCTION("LET(changes,FILTER('Pool Changes'!$B:$D, 'Pool Changes'!$B:$B = $D106),added,FILTER(INDEX(changes,0,3),INDEX(changes,0,2)=""starting pool""),TRANSPOSE(IFERROR(ARRAYFORMULA(IF(added&lt;&gt;"""",""https://sealeddeck.tech/""&amp;added,"""")),"""")))"),"https://sealeddeck.tech/ztBsuEuvUE")</f>
        <v>https://sealeddeck.tech/ztBsuEuvUE</v>
      </c>
      <c r="I106" s="139" t="str">
        <f>IFERROR(__xludf.DUMMYFUNCTION("LET(changes,FILTER('Pool Changes'!$B:$D, 'Pool Changes'!$B:$B = $D106),added,FILTER(INDEX(changes,0,3),INDEX(changes,0,2)=""add pack""),IFERROR(TRANSPOSE(ARRAYFORMULA(IF(added&lt;&gt;"""",HYPERLINK(""https://sealeddeck.tech/""&amp;added,""Link""),""""))),""""))"),"Link")</f>
        <v>Link</v>
      </c>
      <c r="J106" s="139" t="str">
        <f>IFERROR(__xludf.DUMMYFUNCTION("""COMPUTED_VALUE"""),"Link")</f>
        <v>Link</v>
      </c>
      <c r="K106" s="139" t="str">
        <f>IFERROR(__xludf.DUMMYFUNCTION("""COMPUTED_VALUE"""),"Link")</f>
        <v>Link</v>
      </c>
      <c r="L106" s="139" t="str">
        <f>IFERROR(__xludf.DUMMYFUNCTION("""COMPUTED_VALUE"""),"Link")</f>
        <v>Link</v>
      </c>
      <c r="M106" s="142" t="str">
        <f>IFERROR(__xludf.DUMMYFUNCTION("""COMPUTED_VALUE"""),"Link")</f>
        <v>Link</v>
      </c>
      <c r="N106" s="142" t="str">
        <f>IFERROR(__xludf.DUMMYFUNCTION("""COMPUTED_VALUE"""),"Link")</f>
        <v>Link</v>
      </c>
      <c r="O106" s="140"/>
      <c r="P106" s="140"/>
      <c r="Q106" s="140"/>
      <c r="R106" s="140"/>
      <c r="S106" s="141" t="str">
        <f t="shared" si="1"/>
        <v>https://sealeddeck.tech/j4Tv9b95mE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24" t="s">
        <v>6145</v>
      </c>
      <c r="B107" s="124" t="s">
        <v>6146</v>
      </c>
      <c r="C107" s="137" t="s">
        <v>6148</v>
      </c>
      <c r="D107" s="124" t="s">
        <v>299</v>
      </c>
      <c r="E107" s="138">
        <v>12.0</v>
      </c>
      <c r="F107" s="138">
        <v>11.0</v>
      </c>
      <c r="G107" s="139" t="str">
        <f t="array" ref="G107">IF(H107="","",IFERROR(
  "https://sealeddeck.tech/" &amp; INDEX('Pool Changes'!F:F,
    MAX(
      ROW('Pool Changes'!A:A) *
      ('Pool Changes'!B:B=D107) *
      ('Pool Changes'!F:F&lt;&gt;"")
    )
  ),
  ""
))</f>
        <v>https://sealeddeck.tech/Akbx7w1faC</v>
      </c>
      <c r="H107" s="139" t="str">
        <f>IFERROR(__xludf.DUMMYFUNCTION("LET(changes,FILTER('Pool Changes'!$B:$D, 'Pool Changes'!$B:$B = $D107),added,FILTER(INDEX(changes,0,3),INDEX(changes,0,2)=""starting pool""),TRANSPOSE(IFERROR(ARRAYFORMULA(IF(added&lt;&gt;"""",""https://sealeddeck.tech/""&amp;added,"""")),"""")))"),"https://sealeddeck.tech/wUTtQ6AmfZ")</f>
        <v>https://sealeddeck.tech/wUTtQ6AmfZ</v>
      </c>
      <c r="I107" s="139" t="str">
        <f>IFERROR(__xludf.DUMMYFUNCTION("LET(changes,FILTER('Pool Changes'!$B:$D, 'Pool Changes'!$B:$B = $D107),added,FILTER(INDEX(changes,0,3),INDEX(changes,0,2)=""add pack""),IFERROR(TRANSPOSE(ARRAYFORMULA(IF(added&lt;&gt;"""",HYPERLINK(""https://sealeddeck.tech/""&amp;added,""Link""),""""))),""""))"),"Link")</f>
        <v>Link</v>
      </c>
      <c r="J107" s="139" t="str">
        <f>IFERROR(__xludf.DUMMYFUNCTION("""COMPUTED_VALUE"""),"Link")</f>
        <v>Link</v>
      </c>
      <c r="K107" s="139" t="str">
        <f>IFERROR(__xludf.DUMMYFUNCTION("""COMPUTED_VALUE"""),"Link")</f>
        <v>Link</v>
      </c>
      <c r="L107" s="139" t="str">
        <f>IFERROR(__xludf.DUMMYFUNCTION("""COMPUTED_VALUE"""),"Link")</f>
        <v>Link</v>
      </c>
      <c r="M107" s="142" t="str">
        <f>IFERROR(__xludf.DUMMYFUNCTION("""COMPUTED_VALUE"""),"Link")</f>
        <v>Link</v>
      </c>
      <c r="N107" s="142" t="str">
        <f>IFERROR(__xludf.DUMMYFUNCTION("""COMPUTED_VALUE"""),"Link")</f>
        <v>Link</v>
      </c>
      <c r="O107" s="142" t="str">
        <f>IFERROR(__xludf.DUMMYFUNCTION("""COMPUTED_VALUE"""),"Link")</f>
        <v>Link</v>
      </c>
      <c r="P107" s="139" t="str">
        <f>IFERROR(__xludf.DUMMYFUNCTION("""COMPUTED_VALUE"""),"Link")</f>
        <v>Link</v>
      </c>
      <c r="Q107" s="142" t="str">
        <f>IFERROR(__xludf.DUMMYFUNCTION("""COMPUTED_VALUE"""),"Link")</f>
        <v>Link</v>
      </c>
      <c r="R107" s="142" t="str">
        <f>IFERROR(__xludf.DUMMYFUNCTION("""COMPUTED_VALUE"""),"Link")</f>
        <v>Link</v>
      </c>
      <c r="S107" s="141" t="str">
        <f t="shared" si="1"/>
        <v>https://sealeddeck.tech/1DSSBX4D7G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24" t="s">
        <v>6305</v>
      </c>
      <c r="B108" s="124" t="s">
        <v>6307</v>
      </c>
      <c r="C108" s="137" t="s">
        <v>6309</v>
      </c>
      <c r="D108" s="124" t="s">
        <v>151</v>
      </c>
      <c r="E108" s="138">
        <v>10.0</v>
      </c>
      <c r="F108" s="138">
        <v>11.0</v>
      </c>
      <c r="G108" s="139" t="str">
        <f t="array" ref="G108">IF(H108="","",IFERROR(
  "https://sealeddeck.tech/" &amp; INDEX('Pool Changes'!F:F,
    MAX(
      ROW('Pool Changes'!A:A) *
      ('Pool Changes'!B:B=D108) *
      ('Pool Changes'!F:F&lt;&gt;"")
    )
  ),
  ""
))</f>
        <v>https://sealeddeck.tech/Pwn88jcy3r</v>
      </c>
      <c r="H108" s="139" t="str">
        <f>IFERROR(__xludf.DUMMYFUNCTION("LET(changes,FILTER('Pool Changes'!$B:$D, 'Pool Changes'!$B:$B = $D108),added,FILTER(INDEX(changes,0,3),INDEX(changes,0,2)=""starting pool""),TRANSPOSE(IFERROR(ARRAYFORMULA(IF(added&lt;&gt;"""",""https://sealeddeck.tech/""&amp;added,"""")),"""")))"),"https://sealeddeck.tech/8i6uTDjvLm")</f>
        <v>https://sealeddeck.tech/8i6uTDjvLm</v>
      </c>
      <c r="I108" s="139" t="str">
        <f>IFERROR(__xludf.DUMMYFUNCTION("LET(changes,FILTER('Pool Changes'!$B:$D, 'Pool Changes'!$B:$B = $D108),added,FILTER(INDEX(changes,0,3),INDEX(changes,0,2)=""add pack""),IFERROR(TRANSPOSE(ARRAYFORMULA(IF(added&lt;&gt;"""",HYPERLINK(""https://sealeddeck.tech/""&amp;added,""Link""),""""))),""""))"),"Link")</f>
        <v>Link</v>
      </c>
      <c r="J108" s="139" t="str">
        <f>IFERROR(__xludf.DUMMYFUNCTION("""COMPUTED_VALUE"""),"Link")</f>
        <v>Link</v>
      </c>
      <c r="K108" s="139" t="str">
        <f>IFERROR(__xludf.DUMMYFUNCTION("""COMPUTED_VALUE"""),"Link")</f>
        <v>Link</v>
      </c>
      <c r="L108" s="139" t="str">
        <f>IFERROR(__xludf.DUMMYFUNCTION("""COMPUTED_VALUE"""),"Link")</f>
        <v>Link</v>
      </c>
      <c r="M108" s="142" t="str">
        <f>IFERROR(__xludf.DUMMYFUNCTION("""COMPUTED_VALUE"""),"Link")</f>
        <v>Link</v>
      </c>
      <c r="N108" s="142" t="str">
        <f>IFERROR(__xludf.DUMMYFUNCTION("""COMPUTED_VALUE"""),"Link")</f>
        <v>Link</v>
      </c>
      <c r="O108" s="142" t="str">
        <f>IFERROR(__xludf.DUMMYFUNCTION("""COMPUTED_VALUE"""),"Link")</f>
        <v>Link</v>
      </c>
      <c r="P108" s="139" t="str">
        <f>IFERROR(__xludf.DUMMYFUNCTION("""COMPUTED_VALUE"""),"Link")</f>
        <v>Link</v>
      </c>
      <c r="Q108" s="142" t="str">
        <f>IFERROR(__xludf.DUMMYFUNCTION("""COMPUTED_VALUE"""),"Link")</f>
        <v>Link</v>
      </c>
      <c r="R108" s="142" t="str">
        <f>IFERROR(__xludf.DUMMYFUNCTION("""COMPUTED_VALUE"""),"Link")</f>
        <v>Link</v>
      </c>
      <c r="S108" s="141" t="str">
        <f t="shared" si="1"/>
        <v>https://sealeddeck.tech/M3gPioRAd8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24" t="s">
        <v>6453</v>
      </c>
      <c r="B109" s="124" t="s">
        <v>6454</v>
      </c>
      <c r="C109" s="137" t="s">
        <v>6456</v>
      </c>
      <c r="D109" s="124" t="s">
        <v>332</v>
      </c>
      <c r="E109" s="138">
        <v>12.0</v>
      </c>
      <c r="F109" s="138">
        <v>11.0</v>
      </c>
      <c r="G109" s="139" t="str">
        <f t="array" ref="G109">IF(H109="","",IFERROR(
  "https://sealeddeck.tech/" &amp; INDEX('Pool Changes'!F:F,
    MAX(
      ROW('Pool Changes'!A:A) *
      ('Pool Changes'!B:B=D109) *
      ('Pool Changes'!F:F&lt;&gt;"")
    )
  ),
  ""
))</f>
        <v>https://sealeddeck.tech/TFAxoj21VB</v>
      </c>
      <c r="H109" s="139" t="str">
        <f>IFERROR(__xludf.DUMMYFUNCTION("LET(changes,FILTER('Pool Changes'!$B:$D, 'Pool Changes'!$B:$B = $D109),added,FILTER(INDEX(changes,0,3),INDEX(changes,0,2)=""starting pool""),TRANSPOSE(IFERROR(ARRAYFORMULA(IF(added&lt;&gt;"""",""https://sealeddeck.tech/""&amp;added,"""")),"""")))"),"https://sealeddeck.tech/Nxxgw3Ama7")</f>
        <v>https://sealeddeck.tech/Nxxgw3Ama7</v>
      </c>
      <c r="I109" s="139" t="str">
        <f>IFERROR(__xludf.DUMMYFUNCTION("LET(changes,FILTER('Pool Changes'!$B:$D, 'Pool Changes'!$B:$B = $D109),added,FILTER(INDEX(changes,0,3),INDEX(changes,0,2)=""add pack""),IFERROR(TRANSPOSE(ARRAYFORMULA(IF(added&lt;&gt;"""",HYPERLINK(""https://sealeddeck.tech/""&amp;added,""Link""),""""))),""""))"),"Link")</f>
        <v>Link</v>
      </c>
      <c r="J109" s="139" t="str">
        <f>IFERROR(__xludf.DUMMYFUNCTION("""COMPUTED_VALUE"""),"Link")</f>
        <v>Link</v>
      </c>
      <c r="K109" s="139" t="str">
        <f>IFERROR(__xludf.DUMMYFUNCTION("""COMPUTED_VALUE"""),"Link")</f>
        <v>Link</v>
      </c>
      <c r="L109" s="139" t="str">
        <f>IFERROR(__xludf.DUMMYFUNCTION("""COMPUTED_VALUE"""),"Link")</f>
        <v>Link</v>
      </c>
      <c r="M109" s="142" t="str">
        <f>IFERROR(__xludf.DUMMYFUNCTION("""COMPUTED_VALUE"""),"Link")</f>
        <v>Link</v>
      </c>
      <c r="N109" s="142" t="str">
        <f>IFERROR(__xludf.DUMMYFUNCTION("""COMPUTED_VALUE"""),"Link")</f>
        <v>Link</v>
      </c>
      <c r="O109" s="142" t="str">
        <f>IFERROR(__xludf.DUMMYFUNCTION("""COMPUTED_VALUE"""),"Link")</f>
        <v>Link</v>
      </c>
      <c r="P109" s="139" t="str">
        <f>IFERROR(__xludf.DUMMYFUNCTION("""COMPUTED_VALUE"""),"Link")</f>
        <v>Link</v>
      </c>
      <c r="Q109" s="142" t="str">
        <f>IFERROR(__xludf.DUMMYFUNCTION("""COMPUTED_VALUE"""),"Link")</f>
        <v>Link</v>
      </c>
      <c r="R109" s="142" t="str">
        <f>IFERROR(__xludf.DUMMYFUNCTION("""COMPUTED_VALUE"""),"Link")</f>
        <v>Link</v>
      </c>
      <c r="S109" s="141" t="str">
        <f t="shared" si="1"/>
        <v>https://sealeddeck.tech/JNbuVRCV9j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24" t="s">
        <v>6587</v>
      </c>
      <c r="B110" s="124" t="s">
        <v>6589</v>
      </c>
      <c r="C110" s="137" t="s">
        <v>6590</v>
      </c>
      <c r="D110" s="124" t="s">
        <v>421</v>
      </c>
      <c r="E110" s="138">
        <v>10.0</v>
      </c>
      <c r="F110" s="138">
        <v>11.0</v>
      </c>
      <c r="G110" s="139" t="str">
        <f t="array" ref="G110">IF(H110="","",IFERROR(
  "https://sealeddeck.tech/" &amp; INDEX('Pool Changes'!F:F,
    MAX(
      ROW('Pool Changes'!A:A) *
      ('Pool Changes'!B:B=D110) *
      ('Pool Changes'!F:F&lt;&gt;"")
    )
  ),
  ""
))</f>
        <v>https://sealeddeck.tech/WAxfeeUkfr</v>
      </c>
      <c r="H110" s="139" t="str">
        <f>IFERROR(__xludf.DUMMYFUNCTION("LET(changes,FILTER('Pool Changes'!$B:$D, 'Pool Changes'!$B:$B = $D110),added,FILTER(INDEX(changes,0,3),INDEX(changes,0,2)=""starting pool""),TRANSPOSE(IFERROR(ARRAYFORMULA(IF(added&lt;&gt;"""",""https://sealeddeck.tech/""&amp;added,"""")),"""")))"),"https://sealeddeck.tech/UotygGzYqv")</f>
        <v>https://sealeddeck.tech/UotygGzYqv</v>
      </c>
      <c r="I110" s="139" t="str">
        <f>IFERROR(__xludf.DUMMYFUNCTION("LET(changes,FILTER('Pool Changes'!$B:$D, 'Pool Changes'!$B:$B = $D110),added,FILTER(INDEX(changes,0,3),INDEX(changes,0,2)=""add pack""),IFERROR(TRANSPOSE(ARRAYFORMULA(IF(added&lt;&gt;"""",HYPERLINK(""https://sealeddeck.tech/""&amp;added,""Link""),""""))),""""))"),"Link")</f>
        <v>Link</v>
      </c>
      <c r="J110" s="139" t="str">
        <f>IFERROR(__xludf.DUMMYFUNCTION("""COMPUTED_VALUE"""),"Link")</f>
        <v>Link</v>
      </c>
      <c r="K110" s="139" t="str">
        <f>IFERROR(__xludf.DUMMYFUNCTION("""COMPUTED_VALUE"""),"Link")</f>
        <v>Link</v>
      </c>
      <c r="L110" s="139" t="str">
        <f>IFERROR(__xludf.DUMMYFUNCTION("""COMPUTED_VALUE"""),"Link")</f>
        <v>Link</v>
      </c>
      <c r="M110" s="142" t="str">
        <f>IFERROR(__xludf.DUMMYFUNCTION("""COMPUTED_VALUE"""),"Link")</f>
        <v>Link</v>
      </c>
      <c r="N110" s="142" t="str">
        <f>IFERROR(__xludf.DUMMYFUNCTION("""COMPUTED_VALUE"""),"Link")</f>
        <v>Link</v>
      </c>
      <c r="O110" s="142" t="str">
        <f>IFERROR(__xludf.DUMMYFUNCTION("""COMPUTED_VALUE"""),"Link")</f>
        <v>Link</v>
      </c>
      <c r="P110" s="139" t="str">
        <f>IFERROR(__xludf.DUMMYFUNCTION("""COMPUTED_VALUE"""),"Link")</f>
        <v>Link</v>
      </c>
      <c r="Q110" s="142" t="str">
        <f>IFERROR(__xludf.DUMMYFUNCTION("""COMPUTED_VALUE"""),"Link")</f>
        <v>Link</v>
      </c>
      <c r="R110" s="142" t="str">
        <f>IFERROR(__xludf.DUMMYFUNCTION("""COMPUTED_VALUE"""),"Link")</f>
        <v>Link</v>
      </c>
      <c r="S110" s="141" t="str">
        <f t="shared" si="1"/>
        <v>https://sealeddeck.tech/hGndH46BBY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24" t="s">
        <v>6720</v>
      </c>
      <c r="B111" s="124" t="s">
        <v>6721</v>
      </c>
      <c r="C111" s="137" t="s">
        <v>6723</v>
      </c>
      <c r="D111" s="124" t="s">
        <v>351</v>
      </c>
      <c r="E111" s="138">
        <v>3.0</v>
      </c>
      <c r="F111" s="138">
        <v>11.0</v>
      </c>
      <c r="G111" s="139" t="str">
        <f t="array" ref="G111">IF(H111="","",IFERROR(
  "https://sealeddeck.tech/" &amp; INDEX('Pool Changes'!F:F,
    MAX(
      ROW('Pool Changes'!A:A) *
      ('Pool Changes'!B:B=D111) *
      ('Pool Changes'!F:F&lt;&gt;"")
    )
  ),
  ""
))</f>
        <v>https://sealeddeck.tech/egdW5XR5be</v>
      </c>
      <c r="H111" s="139" t="str">
        <f>IFERROR(__xludf.DUMMYFUNCTION("LET(changes,FILTER('Pool Changes'!$B:$D, 'Pool Changes'!$B:$B = $D111),added,FILTER(INDEX(changes,0,3),INDEX(changes,0,2)=""starting pool""),TRANSPOSE(IFERROR(ARRAYFORMULA(IF(added&lt;&gt;"""",""https://sealeddeck.tech/""&amp;added,"""")),"""")))"),"https://sealeddeck.tech/XJcjPzFXYe")</f>
        <v>https://sealeddeck.tech/XJcjPzFXYe</v>
      </c>
      <c r="I111" s="139" t="str">
        <f>IFERROR(__xludf.DUMMYFUNCTION("LET(changes,FILTER('Pool Changes'!$B:$D, 'Pool Changes'!$B:$B = $D111),added,FILTER(INDEX(changes,0,3),INDEX(changes,0,2)=""add pack""),IFERROR(TRANSPOSE(ARRAYFORMULA(IF(added&lt;&gt;"""",HYPERLINK(""https://sealeddeck.tech/""&amp;added,""Link""),""""))),""""))"),"Link")</f>
        <v>Link</v>
      </c>
      <c r="J111" s="139" t="str">
        <f>IFERROR(__xludf.DUMMYFUNCTION("""COMPUTED_VALUE"""),"Link")</f>
        <v>Link</v>
      </c>
      <c r="K111" s="139" t="str">
        <f>IFERROR(__xludf.DUMMYFUNCTION("""COMPUTED_VALUE"""),"Link")</f>
        <v>Link</v>
      </c>
      <c r="L111" s="139" t="str">
        <f>IFERROR(__xludf.DUMMYFUNCTION("""COMPUTED_VALUE"""),"Link")</f>
        <v>Link</v>
      </c>
      <c r="M111" s="142" t="str">
        <f>IFERROR(__xludf.DUMMYFUNCTION("""COMPUTED_VALUE"""),"Link")</f>
        <v>Link</v>
      </c>
      <c r="N111" s="142" t="str">
        <f>IFERROR(__xludf.DUMMYFUNCTION("""COMPUTED_VALUE"""),"Link")</f>
        <v>Link</v>
      </c>
      <c r="O111" s="142" t="str">
        <f>IFERROR(__xludf.DUMMYFUNCTION("""COMPUTED_VALUE"""),"Link")</f>
        <v>Link</v>
      </c>
      <c r="P111" s="139" t="str">
        <f>IFERROR(__xludf.DUMMYFUNCTION("""COMPUTED_VALUE"""),"Link")</f>
        <v>Link</v>
      </c>
      <c r="Q111" s="140"/>
      <c r="R111" s="140"/>
      <c r="S111" s="141" t="str">
        <f t="shared" si="1"/>
        <v>https://sealeddeck.tech/ZnA2jKcCTC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24" t="s">
        <v>6831</v>
      </c>
      <c r="B112" s="124" t="s">
        <v>6832</v>
      </c>
      <c r="C112" s="137" t="s">
        <v>6835</v>
      </c>
      <c r="D112" s="124" t="s">
        <v>274</v>
      </c>
      <c r="E112" s="138">
        <v>7.0</v>
      </c>
      <c r="F112" s="138">
        <v>11.0</v>
      </c>
      <c r="G112" s="139" t="str">
        <f t="array" ref="G112">IF(H112="","",IFERROR(
  "https://sealeddeck.tech/" &amp; INDEX('Pool Changes'!F:F,
    MAX(
      ROW('Pool Changes'!A:A) *
      ('Pool Changes'!B:B=D112) *
      ('Pool Changes'!F:F&lt;&gt;"")
    )
  ),
  ""
))</f>
        <v>https://sealeddeck.tech/qUhp9r6cUP</v>
      </c>
      <c r="H112" s="139" t="str">
        <f>IFERROR(__xludf.DUMMYFUNCTION("LET(changes,FILTER('Pool Changes'!$B:$D, 'Pool Changes'!$B:$B = $D112),added,FILTER(INDEX(changes,0,3),INDEX(changes,0,2)=""starting pool""),TRANSPOSE(IFERROR(ARRAYFORMULA(IF(added&lt;&gt;"""",""https://sealeddeck.tech/""&amp;added,"""")),"""")))"),"https://sealeddeck.tech/LhqwPEtt8Y")</f>
        <v>https://sealeddeck.tech/LhqwPEtt8Y</v>
      </c>
      <c r="I112" s="139" t="str">
        <f>IFERROR(__xludf.DUMMYFUNCTION("LET(changes,FILTER('Pool Changes'!$B:$D, 'Pool Changes'!$B:$B = $D112),added,FILTER(INDEX(changes,0,3),INDEX(changes,0,2)=""add pack""),IFERROR(TRANSPOSE(ARRAYFORMULA(IF(added&lt;&gt;"""",HYPERLINK(""https://sealeddeck.tech/""&amp;added,""Link""),""""))),""""))"),"Link")</f>
        <v>Link</v>
      </c>
      <c r="J112" s="139" t="str">
        <f>IFERROR(__xludf.DUMMYFUNCTION("""COMPUTED_VALUE"""),"Link")</f>
        <v>Link</v>
      </c>
      <c r="K112" s="139" t="str">
        <f>IFERROR(__xludf.DUMMYFUNCTION("""COMPUTED_VALUE"""),"Link")</f>
        <v>Link</v>
      </c>
      <c r="L112" s="139" t="str">
        <f>IFERROR(__xludf.DUMMYFUNCTION("""COMPUTED_VALUE"""),"Link")</f>
        <v>Link</v>
      </c>
      <c r="M112" s="142" t="str">
        <f>IFERROR(__xludf.DUMMYFUNCTION("""COMPUTED_VALUE"""),"Link")</f>
        <v>Link</v>
      </c>
      <c r="N112" s="142" t="str">
        <f>IFERROR(__xludf.DUMMYFUNCTION("""COMPUTED_VALUE"""),"Link")</f>
        <v>Link</v>
      </c>
      <c r="O112" s="142" t="str">
        <f>IFERROR(__xludf.DUMMYFUNCTION("""COMPUTED_VALUE"""),"Link")</f>
        <v>Link</v>
      </c>
      <c r="P112" s="139" t="str">
        <f>IFERROR(__xludf.DUMMYFUNCTION("""COMPUTED_VALUE"""),"Link")</f>
        <v>Link</v>
      </c>
      <c r="Q112" s="142" t="str">
        <f>IFERROR(__xludf.DUMMYFUNCTION("""COMPUTED_VALUE"""),"Link")</f>
        <v>Link</v>
      </c>
      <c r="R112" s="142" t="str">
        <f>IFERROR(__xludf.DUMMYFUNCTION("""COMPUTED_VALUE"""),"Link")</f>
        <v>Link</v>
      </c>
      <c r="S112" s="141" t="str">
        <f t="shared" si="1"/>
        <v>https://sealeddeck.tech/Akbx7w1faC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24" t="s">
        <v>6968</v>
      </c>
      <c r="B113" s="124" t="s">
        <v>6970</v>
      </c>
      <c r="C113" s="137" t="s">
        <v>6971</v>
      </c>
      <c r="D113" s="124" t="s">
        <v>345</v>
      </c>
      <c r="E113" s="138">
        <v>19.0</v>
      </c>
      <c r="F113" s="138">
        <v>11.0</v>
      </c>
      <c r="G113" s="139" t="str">
        <f t="array" ref="G113">IF(H113="","",IFERROR(
  "https://sealeddeck.tech/" &amp; INDEX('Pool Changes'!F:F,
    MAX(
      ROW('Pool Changes'!A:A) *
      ('Pool Changes'!B:B=D113) *
      ('Pool Changes'!F:F&lt;&gt;"")
    )
  ),
  ""
))</f>
        <v>https://sealeddeck.tech/xqMr6Jrd8J</v>
      </c>
      <c r="H113" s="139" t="str">
        <f>IFERROR(__xludf.DUMMYFUNCTION("LET(changes,FILTER('Pool Changes'!$B:$D, 'Pool Changes'!$B:$B = $D113),added,FILTER(INDEX(changes,0,3),INDEX(changes,0,2)=""starting pool""),TRANSPOSE(IFERROR(ARRAYFORMULA(IF(added&lt;&gt;"""",""https://sealeddeck.tech/""&amp;added,"""")),"""")))"),"https://sealeddeck.tech/zdJLyVBWQH")</f>
        <v>https://sealeddeck.tech/zdJLyVBWQH</v>
      </c>
      <c r="I113" s="139" t="str">
        <f>IFERROR(__xludf.DUMMYFUNCTION("LET(changes,FILTER('Pool Changes'!$B:$D, 'Pool Changes'!$B:$B = $D113),added,FILTER(INDEX(changes,0,3),INDEX(changes,0,2)=""add pack""),IFERROR(TRANSPOSE(ARRAYFORMULA(IF(added&lt;&gt;"""",HYPERLINK(""https://sealeddeck.tech/""&amp;added,""Link""),""""))),""""))"),"Link")</f>
        <v>Link</v>
      </c>
      <c r="J113" s="139" t="str">
        <f>IFERROR(__xludf.DUMMYFUNCTION("""COMPUTED_VALUE"""),"Link")</f>
        <v>Link</v>
      </c>
      <c r="K113" s="139" t="str">
        <f>IFERROR(__xludf.DUMMYFUNCTION("""COMPUTED_VALUE"""),"Link")</f>
        <v>Link</v>
      </c>
      <c r="L113" s="139" t="str">
        <f>IFERROR(__xludf.DUMMYFUNCTION("""COMPUTED_VALUE"""),"Link")</f>
        <v>Link</v>
      </c>
      <c r="M113" s="142" t="str">
        <f>IFERROR(__xludf.DUMMYFUNCTION("""COMPUTED_VALUE"""),"Link")</f>
        <v>Link</v>
      </c>
      <c r="N113" s="142" t="str">
        <f>IFERROR(__xludf.DUMMYFUNCTION("""COMPUTED_VALUE"""),"Link")</f>
        <v>Link</v>
      </c>
      <c r="O113" s="142" t="str">
        <f>IFERROR(__xludf.DUMMYFUNCTION("""COMPUTED_VALUE"""),"Link")</f>
        <v>Link</v>
      </c>
      <c r="P113" s="139" t="str">
        <f>IFERROR(__xludf.DUMMYFUNCTION("""COMPUTED_VALUE"""),"Link")</f>
        <v>Link</v>
      </c>
      <c r="Q113" s="142" t="str">
        <f>IFERROR(__xludf.DUMMYFUNCTION("""COMPUTED_VALUE"""),"Link")</f>
        <v>Link</v>
      </c>
      <c r="R113" s="142" t="str">
        <f>IFERROR(__xludf.DUMMYFUNCTION("""COMPUTED_VALUE"""),"Link")</f>
        <v>Link</v>
      </c>
      <c r="S113" s="141" t="str">
        <f t="shared" si="1"/>
        <v>https://sealeddeck.tech/Pwn88jcy3r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24" t="s">
        <v>7122</v>
      </c>
      <c r="B114" s="124" t="s">
        <v>7124</v>
      </c>
      <c r="C114" s="137" t="s">
        <v>7127</v>
      </c>
      <c r="D114" s="124" t="s">
        <v>185</v>
      </c>
      <c r="E114" s="138">
        <v>15.0</v>
      </c>
      <c r="F114" s="138">
        <v>11.0</v>
      </c>
      <c r="G114" s="139" t="str">
        <f t="array" ref="G114">IF(H114="","",IFERROR(
  "https://sealeddeck.tech/" &amp; INDEX('Pool Changes'!F:F,
    MAX(
      ROW('Pool Changes'!A:A) *
      ('Pool Changes'!B:B=D114) *
      ('Pool Changes'!F:F&lt;&gt;"")
    )
  ),
  ""
))</f>
        <v>https://sealeddeck.tech/qfFtF2ERJC</v>
      </c>
      <c r="H114" s="139" t="str">
        <f>IFERROR(__xludf.DUMMYFUNCTION("LET(changes,FILTER('Pool Changes'!$B:$D, 'Pool Changes'!$B:$B = $D114),added,FILTER(INDEX(changes,0,3),INDEX(changes,0,2)=""starting pool""),TRANSPOSE(IFERROR(ARRAYFORMULA(IF(added&lt;&gt;"""",""https://sealeddeck.tech/""&amp;added,"""")),"""")))"),"https://sealeddeck.tech/THAQeBJVd6")</f>
        <v>https://sealeddeck.tech/THAQeBJVd6</v>
      </c>
      <c r="I114" s="139" t="str">
        <f>IFERROR(__xludf.DUMMYFUNCTION("LET(changes,FILTER('Pool Changes'!$B:$D, 'Pool Changes'!$B:$B = $D114),added,FILTER(INDEX(changes,0,3),INDEX(changes,0,2)=""add pack""),IFERROR(TRANSPOSE(ARRAYFORMULA(IF(added&lt;&gt;"""",HYPERLINK(""https://sealeddeck.tech/""&amp;added,""Link""),""""))),""""))"),"Link")</f>
        <v>Link</v>
      </c>
      <c r="J114" s="139" t="str">
        <f>IFERROR(__xludf.DUMMYFUNCTION("""COMPUTED_VALUE"""),"Link")</f>
        <v>Link</v>
      </c>
      <c r="K114" s="139" t="str">
        <f>IFERROR(__xludf.DUMMYFUNCTION("""COMPUTED_VALUE"""),"Link")</f>
        <v>Link</v>
      </c>
      <c r="L114" s="139" t="str">
        <f>IFERROR(__xludf.DUMMYFUNCTION("""COMPUTED_VALUE"""),"Link")</f>
        <v>Link</v>
      </c>
      <c r="M114" s="142" t="str">
        <f>IFERROR(__xludf.DUMMYFUNCTION("""COMPUTED_VALUE"""),"Link")</f>
        <v>Link</v>
      </c>
      <c r="N114" s="142" t="str">
        <f>IFERROR(__xludf.DUMMYFUNCTION("""COMPUTED_VALUE"""),"Link")</f>
        <v>Link</v>
      </c>
      <c r="O114" s="142" t="str">
        <f>IFERROR(__xludf.DUMMYFUNCTION("""COMPUTED_VALUE"""),"Link")</f>
        <v>Link</v>
      </c>
      <c r="P114" s="139" t="str">
        <f>IFERROR(__xludf.DUMMYFUNCTION("""COMPUTED_VALUE"""),"Link")</f>
        <v>Link</v>
      </c>
      <c r="Q114" s="142" t="str">
        <f>IFERROR(__xludf.DUMMYFUNCTION("""COMPUTED_VALUE"""),"Link")</f>
        <v>Link</v>
      </c>
      <c r="R114" s="142" t="str">
        <f>IFERROR(__xludf.DUMMYFUNCTION("""COMPUTED_VALUE"""),"Link")</f>
        <v>Link</v>
      </c>
      <c r="S114" s="141" t="str">
        <f t="shared" si="1"/>
        <v>https://sealeddeck.tech/TFAxoj21VB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24" t="s">
        <v>7256</v>
      </c>
      <c r="B115" s="124" t="s">
        <v>7258</v>
      </c>
      <c r="C115" s="137" t="s">
        <v>7259</v>
      </c>
      <c r="D115" s="124" t="s">
        <v>630</v>
      </c>
      <c r="E115" s="138">
        <v>0.0</v>
      </c>
      <c r="F115" s="138">
        <v>11.0</v>
      </c>
      <c r="G115" s="139" t="str">
        <f t="array" ref="G115">IF(H115="","",IFERROR(
  "https://sealeddeck.tech/" &amp; INDEX('Pool Changes'!F:F,
    MAX(
      ROW('Pool Changes'!A:A) *
      ('Pool Changes'!B:B=D115) *
      ('Pool Changes'!F:F&lt;&gt;"")
    )
  ),
  ""
))</f>
        <v>https://sealeddeck.tech/g8BR32G1xq</v>
      </c>
      <c r="H115" s="139" t="str">
        <f>IFERROR(__xludf.DUMMYFUNCTION("LET(changes,FILTER('Pool Changes'!$B:$D, 'Pool Changes'!$B:$B = $D115),added,FILTER(INDEX(changes,0,3),INDEX(changes,0,2)=""starting pool""),TRANSPOSE(IFERROR(ARRAYFORMULA(IF(added&lt;&gt;"""",""https://sealeddeck.tech/""&amp;added,"""")),"""")))"),"https://sealeddeck.tech/g8BR32G1xq")</f>
        <v>https://sealeddeck.tech/g8BR32G1xq</v>
      </c>
      <c r="I115" s="140" t="str">
        <f>IFERROR(__xludf.DUMMYFUNCTION("LET(changes,FILTER('Pool Changes'!$B:$D, 'Pool Changes'!$B:$B = $D115),added,FILTER(INDEX(changes,0,3),INDEX(changes,0,2)=""add pack""),IFERROR(TRANSPOSE(ARRAYFORMULA(IF(added&lt;&gt;"""",HYPERLINK(""https://sealeddeck.tech/""&amp;added,""Link""),""""))),""""))"),"")</f>
        <v/>
      </c>
      <c r="J115" s="140"/>
      <c r="K115" s="140"/>
      <c r="L115" s="140"/>
      <c r="M115" s="140"/>
      <c r="N115" s="140"/>
      <c r="O115" s="140"/>
      <c r="P115" s="140"/>
      <c r="Q115" s="140"/>
      <c r="R115" s="140"/>
      <c r="S115" s="141" t="str">
        <f t="shared" si="1"/>
        <v>https://sealeddeck.tech/WAxfeeUkfr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24" t="s">
        <v>7295</v>
      </c>
      <c r="B116" s="124" t="s">
        <v>7297</v>
      </c>
      <c r="C116" s="137" t="s">
        <v>7298</v>
      </c>
      <c r="D116" s="124" t="s">
        <v>179</v>
      </c>
      <c r="E116" s="138">
        <v>1.0</v>
      </c>
      <c r="F116" s="138">
        <v>11.0</v>
      </c>
      <c r="G116" s="139" t="str">
        <f t="array" ref="G116">IF(H116="","",IFERROR(
  "https://sealeddeck.tech/" &amp; INDEX('Pool Changes'!F:F,
    MAX(
      ROW('Pool Changes'!A:A) *
      ('Pool Changes'!B:B=D116) *
      ('Pool Changes'!F:F&lt;&gt;"")
    )
  ),
  ""
))</f>
        <v>https://sealeddeck.tech/gpMTzr1CG3</v>
      </c>
      <c r="H116" s="139" t="str">
        <f>IFERROR(__xludf.DUMMYFUNCTION("LET(changes,FILTER('Pool Changes'!$B:$D, 'Pool Changes'!$B:$B = $D116),added,FILTER(INDEX(changes,0,3),INDEX(changes,0,2)=""starting pool""),TRANSPOSE(IFERROR(ARRAYFORMULA(IF(added&lt;&gt;"""",""https://sealeddeck.tech/""&amp;added,"""")),"""")))"),"https://sealeddeck.tech/x3BG8fwb7i")</f>
        <v>https://sealeddeck.tech/x3BG8fwb7i</v>
      </c>
      <c r="I116" s="139" t="str">
        <f>IFERROR(__xludf.DUMMYFUNCTION("LET(changes,FILTER('Pool Changes'!$B:$D, 'Pool Changes'!$B:$B = $D116),added,FILTER(INDEX(changes,0,3),INDEX(changes,0,2)=""add pack""),IFERROR(TRANSPOSE(ARRAYFORMULA(IF(added&lt;&gt;"""",HYPERLINK(""https://sealeddeck.tech/""&amp;added,""Link""),""""))),""""))"),"Link")</f>
        <v>Link</v>
      </c>
      <c r="J116" s="139" t="str">
        <f>IFERROR(__xludf.DUMMYFUNCTION("""COMPUTED_VALUE"""),"Link")</f>
        <v>Link</v>
      </c>
      <c r="K116" s="139" t="str">
        <f>IFERROR(__xludf.DUMMYFUNCTION("""COMPUTED_VALUE"""),"Link")</f>
        <v>Link</v>
      </c>
      <c r="L116" s="139" t="str">
        <f>IFERROR(__xludf.DUMMYFUNCTION("""COMPUTED_VALUE"""),"Link")</f>
        <v>Link</v>
      </c>
      <c r="M116" s="142" t="str">
        <f>IFERROR(__xludf.DUMMYFUNCTION("""COMPUTED_VALUE"""),"Link")</f>
        <v>Link</v>
      </c>
      <c r="N116" s="142" t="str">
        <f>IFERROR(__xludf.DUMMYFUNCTION("""COMPUTED_VALUE"""),"Link")</f>
        <v>Link</v>
      </c>
      <c r="O116" s="142" t="str">
        <f>IFERROR(__xludf.DUMMYFUNCTION("""COMPUTED_VALUE"""),"Link")</f>
        <v>Link</v>
      </c>
      <c r="P116" s="140"/>
      <c r="Q116" s="140"/>
      <c r="R116" s="140"/>
      <c r="S116" s="141" t="str">
        <f t="shared" si="1"/>
        <v>https://sealeddeck.tech/egdW5XR5be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24" t="s">
        <v>7392</v>
      </c>
      <c r="B117" s="124" t="s">
        <v>7394</v>
      </c>
      <c r="C117" s="137" t="s">
        <v>7396</v>
      </c>
      <c r="D117" s="124" t="s">
        <v>320</v>
      </c>
      <c r="E117" s="138">
        <v>12.0</v>
      </c>
      <c r="F117" s="138">
        <v>11.0</v>
      </c>
      <c r="G117" s="139" t="str">
        <f t="array" ref="G117">IF(H117="","",IFERROR(
  "https://sealeddeck.tech/" &amp; INDEX('Pool Changes'!F:F,
    MAX(
      ROW('Pool Changes'!A:A) *
      ('Pool Changes'!B:B=D117) *
      ('Pool Changes'!F:F&lt;&gt;"")
    )
  ),
  ""
))</f>
        <v>https://sealeddeck.tech/jrByLQfWZ8</v>
      </c>
      <c r="H117" s="139" t="str">
        <f>IFERROR(__xludf.DUMMYFUNCTION("LET(changes,FILTER('Pool Changes'!$B:$D, 'Pool Changes'!$B:$B = $D117),added,FILTER(INDEX(changes,0,3),INDEX(changes,0,2)=""starting pool""),TRANSPOSE(IFERROR(ARRAYFORMULA(IF(added&lt;&gt;"""",""https://sealeddeck.tech/""&amp;added,"""")),"""")))"),"https://sealeddeck.tech/3wK3vNa9PV")</f>
        <v>https://sealeddeck.tech/3wK3vNa9PV</v>
      </c>
      <c r="I117" s="139" t="str">
        <f>IFERROR(__xludf.DUMMYFUNCTION("LET(changes,FILTER('Pool Changes'!$B:$D, 'Pool Changes'!$B:$B = $D117),added,FILTER(INDEX(changes,0,3),INDEX(changes,0,2)=""add pack""),IFERROR(TRANSPOSE(ARRAYFORMULA(IF(added&lt;&gt;"""",HYPERLINK(""https://sealeddeck.tech/""&amp;added,""Link""),""""))),""""))"),"Link")</f>
        <v>Link</v>
      </c>
      <c r="J117" s="139" t="str">
        <f>IFERROR(__xludf.DUMMYFUNCTION("""COMPUTED_VALUE"""),"Link")</f>
        <v>Link</v>
      </c>
      <c r="K117" s="139" t="str">
        <f>IFERROR(__xludf.DUMMYFUNCTION("""COMPUTED_VALUE"""),"Link")</f>
        <v>Link</v>
      </c>
      <c r="L117" s="139" t="str">
        <f>IFERROR(__xludf.DUMMYFUNCTION("""COMPUTED_VALUE"""),"Link")</f>
        <v>Link</v>
      </c>
      <c r="M117" s="142" t="str">
        <f>IFERROR(__xludf.DUMMYFUNCTION("""COMPUTED_VALUE"""),"Link")</f>
        <v>Link</v>
      </c>
      <c r="N117" s="142" t="str">
        <f>IFERROR(__xludf.DUMMYFUNCTION("""COMPUTED_VALUE"""),"Link")</f>
        <v>Link</v>
      </c>
      <c r="O117" s="142" t="str">
        <f>IFERROR(__xludf.DUMMYFUNCTION("""COMPUTED_VALUE"""),"Link")</f>
        <v>Link</v>
      </c>
      <c r="P117" s="139" t="str">
        <f>IFERROR(__xludf.DUMMYFUNCTION("""COMPUTED_VALUE"""),"Link")</f>
        <v>Link</v>
      </c>
      <c r="Q117" s="142" t="str">
        <f>IFERROR(__xludf.DUMMYFUNCTION("""COMPUTED_VALUE"""),"Link")</f>
        <v>Link</v>
      </c>
      <c r="R117" s="142" t="str">
        <f>IFERROR(__xludf.DUMMYFUNCTION("""COMPUTED_VALUE"""),"Link")</f>
        <v>Link</v>
      </c>
      <c r="S117" s="141" t="str">
        <f t="shared" si="1"/>
        <v>https://sealeddeck.tech/qUhp9r6cUP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24" t="s">
        <v>7506</v>
      </c>
      <c r="B118" s="124" t="s">
        <v>7507</v>
      </c>
      <c r="C118" s="137" t="s">
        <v>7509</v>
      </c>
      <c r="D118" s="124" t="s">
        <v>205</v>
      </c>
      <c r="E118" s="138">
        <v>7.0</v>
      </c>
      <c r="F118" s="138">
        <v>11.0</v>
      </c>
      <c r="G118" s="139" t="str">
        <f t="array" ref="G118">IF(H118="","",IFERROR(
  "https://sealeddeck.tech/" &amp; INDEX('Pool Changes'!F:F,
    MAX(
      ROW('Pool Changes'!A:A) *
      ('Pool Changes'!B:B=D118) *
      ('Pool Changes'!F:F&lt;&gt;"")
    )
  ),
  ""
))</f>
        <v>https://sealeddeck.tech/yipMWkYpru</v>
      </c>
      <c r="H118" s="139" t="str">
        <f>IFERROR(__xludf.DUMMYFUNCTION("LET(changes,FILTER('Pool Changes'!$B:$D, 'Pool Changes'!$B:$B = $D118),added,FILTER(INDEX(changes,0,3),INDEX(changes,0,2)=""starting pool""),TRANSPOSE(IFERROR(ARRAYFORMULA(IF(added&lt;&gt;"""",""https://sealeddeck.tech/""&amp;added,"""")),"""")))"),"https://sealeddeck.tech/wnvfmzsbk7")</f>
        <v>https://sealeddeck.tech/wnvfmzsbk7</v>
      </c>
      <c r="I118" s="139" t="str">
        <f>IFERROR(__xludf.DUMMYFUNCTION("LET(changes,FILTER('Pool Changes'!$B:$D, 'Pool Changes'!$B:$B = $D118),added,FILTER(INDEX(changes,0,3),INDEX(changes,0,2)=""add pack""),IFERROR(TRANSPOSE(ARRAYFORMULA(IF(added&lt;&gt;"""",HYPERLINK(""https://sealeddeck.tech/""&amp;added,""Link""),""""))),""""))"),"Link")</f>
        <v>Link</v>
      </c>
      <c r="J118" s="139" t="str">
        <f>IFERROR(__xludf.DUMMYFUNCTION("""COMPUTED_VALUE"""),"Link")</f>
        <v>Link</v>
      </c>
      <c r="K118" s="139" t="str">
        <f>IFERROR(__xludf.DUMMYFUNCTION("""COMPUTED_VALUE"""),"Link")</f>
        <v>Link</v>
      </c>
      <c r="L118" s="139" t="str">
        <f>IFERROR(__xludf.DUMMYFUNCTION("""COMPUTED_VALUE"""),"Link")</f>
        <v>Link</v>
      </c>
      <c r="M118" s="142" t="str">
        <f>IFERROR(__xludf.DUMMYFUNCTION("""COMPUTED_VALUE"""),"Link")</f>
        <v>Link</v>
      </c>
      <c r="N118" s="142" t="str">
        <f>IFERROR(__xludf.DUMMYFUNCTION("""COMPUTED_VALUE"""),"Link")</f>
        <v>Link</v>
      </c>
      <c r="O118" s="142" t="str">
        <f>IFERROR(__xludf.DUMMYFUNCTION("""COMPUTED_VALUE"""),"Link")</f>
        <v>Link</v>
      </c>
      <c r="P118" s="139" t="str">
        <f>IFERROR(__xludf.DUMMYFUNCTION("""COMPUTED_VALUE"""),"Link")</f>
        <v>Link</v>
      </c>
      <c r="Q118" s="142" t="str">
        <f>IFERROR(__xludf.DUMMYFUNCTION("""COMPUTED_VALUE"""),"Link")</f>
        <v>Link</v>
      </c>
      <c r="R118" s="142" t="str">
        <f>IFERROR(__xludf.DUMMYFUNCTION("""COMPUTED_VALUE"""),"Link")</f>
        <v>Link</v>
      </c>
      <c r="S118" s="141" t="str">
        <f t="shared" si="1"/>
        <v>https://sealeddeck.tech/xqMr6Jrd8J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24" t="s">
        <v>7637</v>
      </c>
      <c r="B119" s="124" t="s">
        <v>7639</v>
      </c>
      <c r="C119" s="137" t="s">
        <v>7640</v>
      </c>
      <c r="D119" s="124" t="s">
        <v>347</v>
      </c>
      <c r="E119" s="138">
        <v>10.0</v>
      </c>
      <c r="F119" s="138">
        <v>11.0</v>
      </c>
      <c r="G119" s="139" t="str">
        <f t="array" ref="G119">IF(H119="","",IFERROR(
  "https://sealeddeck.tech/" &amp; INDEX('Pool Changes'!F:F,
    MAX(
      ROW('Pool Changes'!A:A) *
      ('Pool Changes'!B:B=D119) *
      ('Pool Changes'!F:F&lt;&gt;"")
    )
  ),
  ""
))</f>
        <v>https://sealeddeck.tech/H7YmbuGt8M</v>
      </c>
      <c r="H119" s="139" t="str">
        <f>IFERROR(__xludf.DUMMYFUNCTION("LET(changes,FILTER('Pool Changes'!$B:$D, 'Pool Changes'!$B:$B = $D119),added,FILTER(INDEX(changes,0,3),INDEX(changes,0,2)=""starting pool""),TRANSPOSE(IFERROR(ARRAYFORMULA(IF(added&lt;&gt;"""",""https://sealeddeck.tech/""&amp;added,"""")),"""")))"),"https://sealeddeck.tech/Aok6bs1yym")</f>
        <v>https://sealeddeck.tech/Aok6bs1yym</v>
      </c>
      <c r="I119" s="139" t="str">
        <f>IFERROR(__xludf.DUMMYFUNCTION("LET(changes,FILTER('Pool Changes'!$B:$D, 'Pool Changes'!$B:$B = $D119),added,FILTER(INDEX(changes,0,3),INDEX(changes,0,2)=""add pack""),IFERROR(TRANSPOSE(ARRAYFORMULA(IF(added&lt;&gt;"""",HYPERLINK(""https://sealeddeck.tech/""&amp;added,""Link""),""""))),""""))"),"Link")</f>
        <v>Link</v>
      </c>
      <c r="J119" s="139" t="str">
        <f>IFERROR(__xludf.DUMMYFUNCTION("""COMPUTED_VALUE"""),"Link")</f>
        <v>Link</v>
      </c>
      <c r="K119" s="139" t="str">
        <f>IFERROR(__xludf.DUMMYFUNCTION("""COMPUTED_VALUE"""),"Link")</f>
        <v>Link</v>
      </c>
      <c r="L119" s="139" t="str">
        <f>IFERROR(__xludf.DUMMYFUNCTION("""COMPUTED_VALUE"""),"Link")</f>
        <v>Link</v>
      </c>
      <c r="M119" s="142" t="str">
        <f>IFERROR(__xludf.DUMMYFUNCTION("""COMPUTED_VALUE"""),"Link")</f>
        <v>Link</v>
      </c>
      <c r="N119" s="142" t="str">
        <f>IFERROR(__xludf.DUMMYFUNCTION("""COMPUTED_VALUE"""),"Link")</f>
        <v>Link</v>
      </c>
      <c r="O119" s="142" t="str">
        <f>IFERROR(__xludf.DUMMYFUNCTION("""COMPUTED_VALUE"""),"Link")</f>
        <v>Link</v>
      </c>
      <c r="P119" s="139" t="str">
        <f>IFERROR(__xludf.DUMMYFUNCTION("""COMPUTED_VALUE"""),"Link")</f>
        <v>Link</v>
      </c>
      <c r="Q119" s="142" t="str">
        <f>IFERROR(__xludf.DUMMYFUNCTION("""COMPUTED_VALUE"""),"Link")</f>
        <v>Link</v>
      </c>
      <c r="R119" s="140"/>
      <c r="S119" s="141" t="str">
        <f t="shared" si="1"/>
        <v>https://sealeddeck.tech/qfFtF2ERJC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24" t="s">
        <v>7733</v>
      </c>
      <c r="B120" s="124" t="s">
        <v>7735</v>
      </c>
      <c r="C120" s="137" t="s">
        <v>7736</v>
      </c>
      <c r="D120" s="124" t="s">
        <v>109</v>
      </c>
      <c r="E120" s="138">
        <v>9.0</v>
      </c>
      <c r="F120" s="138">
        <v>11.0</v>
      </c>
      <c r="G120" s="139" t="str">
        <f t="array" ref="G120">IF(H120="","",IFERROR(
  "https://sealeddeck.tech/" &amp; INDEX('Pool Changes'!F:F,
    MAX(
      ROW('Pool Changes'!A:A) *
      ('Pool Changes'!B:B=D120) *
      ('Pool Changes'!F:F&lt;&gt;"")
    )
  ),
  ""
))</f>
        <v>https://sealeddeck.tech/WHPGkWbw7L</v>
      </c>
      <c r="H120" s="139" t="str">
        <f>IFERROR(__xludf.DUMMYFUNCTION("LET(changes,FILTER('Pool Changes'!$B:$D, 'Pool Changes'!$B:$B = $D120),added,FILTER(INDEX(changes,0,3),INDEX(changes,0,2)=""starting pool""),TRANSPOSE(IFERROR(ARRAYFORMULA(IF(added&lt;&gt;"""",""https://sealeddeck.tech/""&amp;added,"""")),"""")))"),"https://sealeddeck.tech/zjDWds9wMi")</f>
        <v>https://sealeddeck.tech/zjDWds9wMi</v>
      </c>
      <c r="I120" s="139" t="str">
        <f>IFERROR(__xludf.DUMMYFUNCTION("LET(changes,FILTER('Pool Changes'!$B:$D, 'Pool Changes'!$B:$B = $D120),added,FILTER(INDEX(changes,0,3),INDEX(changes,0,2)=""add pack""),IFERROR(TRANSPOSE(ARRAYFORMULA(IF(added&lt;&gt;"""",HYPERLINK(""https://sealeddeck.tech/""&amp;added,""Link""),""""))),""""))"),"Link")</f>
        <v>Link</v>
      </c>
      <c r="J120" s="139" t="str">
        <f>IFERROR(__xludf.DUMMYFUNCTION("""COMPUTED_VALUE"""),"Link")</f>
        <v>Link</v>
      </c>
      <c r="K120" s="139" t="str">
        <f>IFERROR(__xludf.DUMMYFUNCTION("""COMPUTED_VALUE"""),"Link")</f>
        <v>Link</v>
      </c>
      <c r="L120" s="139" t="str">
        <f>IFERROR(__xludf.DUMMYFUNCTION("""COMPUTED_VALUE"""),"Link")</f>
        <v>Link</v>
      </c>
      <c r="M120" s="142" t="str">
        <f>IFERROR(__xludf.DUMMYFUNCTION("""COMPUTED_VALUE"""),"Link")</f>
        <v>Link</v>
      </c>
      <c r="N120" s="142" t="str">
        <f>IFERROR(__xludf.DUMMYFUNCTION("""COMPUTED_VALUE"""),"Link")</f>
        <v>Link</v>
      </c>
      <c r="O120" s="142" t="str">
        <f>IFERROR(__xludf.DUMMYFUNCTION("""COMPUTED_VALUE"""),"Link")</f>
        <v>Link</v>
      </c>
      <c r="P120" s="139" t="str">
        <f>IFERROR(__xludf.DUMMYFUNCTION("""COMPUTED_VALUE"""),"Link")</f>
        <v>Link</v>
      </c>
      <c r="Q120" s="142" t="str">
        <f>IFERROR(__xludf.DUMMYFUNCTION("""COMPUTED_VALUE"""),"Link")</f>
        <v>Link</v>
      </c>
      <c r="R120" s="142" t="str">
        <f>IFERROR(__xludf.DUMMYFUNCTION("""COMPUTED_VALUE"""),"Link")</f>
        <v>Link</v>
      </c>
      <c r="S120" s="141" t="str">
        <f t="shared" si="1"/>
        <v>https://sealeddeck.tech/g8BR32G1xq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24" t="s">
        <v>111</v>
      </c>
      <c r="B121" s="124" t="s">
        <v>113</v>
      </c>
      <c r="C121" s="137" t="s">
        <v>7821</v>
      </c>
      <c r="D121" s="124" t="s">
        <v>288</v>
      </c>
      <c r="E121" s="138">
        <v>20.0</v>
      </c>
      <c r="F121" s="138">
        <v>10.0</v>
      </c>
      <c r="G121" s="139" t="str">
        <f t="array" ref="G121">IF(H121="","",IFERROR(
  "https://sealeddeck.tech/" &amp; INDEX('Pool Changes'!F:F,
    MAX(
      ROW('Pool Changes'!A:A) *
      ('Pool Changes'!B:B=D121) *
      ('Pool Changes'!F:F&lt;&gt;"")
    )
  ),
  ""
))</f>
        <v>https://sealeddeck.tech/zMePEY4frd</v>
      </c>
      <c r="H121" s="139" t="str">
        <f>IFERROR(__xludf.DUMMYFUNCTION("LET(changes,FILTER('Pool Changes'!$B:$D, 'Pool Changes'!$B:$B = $D121),added,FILTER(INDEX(changes,0,3),INDEX(changes,0,2)=""starting pool""),TRANSPOSE(IFERROR(ARRAYFORMULA(IF(added&lt;&gt;"""",""https://sealeddeck.tech/""&amp;added,"""")),"""")))"),"https://sealeddeck.tech/mAqiCw3aEz")</f>
        <v>https://sealeddeck.tech/mAqiCw3aEz</v>
      </c>
      <c r="I121" s="139" t="str">
        <f>IFERROR(__xludf.DUMMYFUNCTION("LET(changes,FILTER('Pool Changes'!$B:$D, 'Pool Changes'!$B:$B = $D121),added,FILTER(INDEX(changes,0,3),INDEX(changes,0,2)=""add pack""),IFERROR(TRANSPOSE(ARRAYFORMULA(IF(added&lt;&gt;"""",HYPERLINK(""https://sealeddeck.tech/""&amp;added,""Link""),""""))),""""))"),"Link")</f>
        <v>Link</v>
      </c>
      <c r="J121" s="139" t="str">
        <f>IFERROR(__xludf.DUMMYFUNCTION("""COMPUTED_VALUE"""),"Link")</f>
        <v>Link</v>
      </c>
      <c r="K121" s="139" t="str">
        <f>IFERROR(__xludf.DUMMYFUNCTION("""COMPUTED_VALUE"""),"Link")</f>
        <v>Link</v>
      </c>
      <c r="L121" s="139" t="str">
        <f>IFERROR(__xludf.DUMMYFUNCTION("""COMPUTED_VALUE"""),"Link")</f>
        <v>Link</v>
      </c>
      <c r="M121" s="142" t="str">
        <f>IFERROR(__xludf.DUMMYFUNCTION("""COMPUTED_VALUE"""),"Link")</f>
        <v>Link</v>
      </c>
      <c r="N121" s="142" t="str">
        <f>IFERROR(__xludf.DUMMYFUNCTION("""COMPUTED_VALUE"""),"Link")</f>
        <v>Link</v>
      </c>
      <c r="O121" s="142" t="str">
        <f>IFERROR(__xludf.DUMMYFUNCTION("""COMPUTED_VALUE"""),"Link")</f>
        <v>Link</v>
      </c>
      <c r="P121" s="139" t="str">
        <f>IFERROR(__xludf.DUMMYFUNCTION("""COMPUTED_VALUE"""),"Link")</f>
        <v>Link</v>
      </c>
      <c r="Q121" s="142" t="str">
        <f>IFERROR(__xludf.DUMMYFUNCTION("""COMPUTED_VALUE"""),"Link")</f>
        <v>Link</v>
      </c>
      <c r="R121" s="142" t="str">
        <f>IFERROR(__xludf.DUMMYFUNCTION("""COMPUTED_VALUE"""),"Link")</f>
        <v>Link</v>
      </c>
      <c r="S121" s="141" t="str">
        <f t="shared" si="1"/>
        <v>https://sealeddeck.tech/gpMTzr1CG3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24" t="s">
        <v>7928</v>
      </c>
      <c r="B122" s="124" t="s">
        <v>7930</v>
      </c>
      <c r="C122" s="137" t="s">
        <v>7932</v>
      </c>
      <c r="D122" s="124" t="s">
        <v>184</v>
      </c>
      <c r="E122" s="138">
        <v>13.0</v>
      </c>
      <c r="F122" s="138">
        <v>11.0</v>
      </c>
      <c r="G122" s="139" t="str">
        <f t="array" ref="G122">IF(H122="","",IFERROR(
  "https://sealeddeck.tech/" &amp; INDEX('Pool Changes'!F:F,
    MAX(
      ROW('Pool Changes'!A:A) *
      ('Pool Changes'!B:B=D122) *
      ('Pool Changes'!F:F&lt;&gt;"")
    )
  ),
  ""
))</f>
        <v>https://sealeddeck.tech/kUop3DQXY7</v>
      </c>
      <c r="H122" s="139" t="str">
        <f>IFERROR(__xludf.DUMMYFUNCTION("LET(changes,FILTER('Pool Changes'!$B:$D, 'Pool Changes'!$B:$B = $D122),added,FILTER(INDEX(changes,0,3),INDEX(changes,0,2)=""starting pool""),TRANSPOSE(IFERROR(ARRAYFORMULA(IF(added&lt;&gt;"""",""https://sealeddeck.tech/""&amp;added,"""")),"""")))"),"https://sealeddeck.tech/N1FNmKj6WG")</f>
        <v>https://sealeddeck.tech/N1FNmKj6WG</v>
      </c>
      <c r="I122" s="139" t="str">
        <f>IFERROR(__xludf.DUMMYFUNCTION("LET(changes,FILTER('Pool Changes'!$B:$D, 'Pool Changes'!$B:$B = $D122),added,FILTER(INDEX(changes,0,3),INDEX(changes,0,2)=""add pack""),IFERROR(TRANSPOSE(ARRAYFORMULA(IF(added&lt;&gt;"""",HYPERLINK(""https://sealeddeck.tech/""&amp;added,""Link""),""""))),""""))"),"Link")</f>
        <v>Link</v>
      </c>
      <c r="J122" s="139" t="str">
        <f>IFERROR(__xludf.DUMMYFUNCTION("""COMPUTED_VALUE"""),"Link")</f>
        <v>Link</v>
      </c>
      <c r="K122" s="139" t="str">
        <f>IFERROR(__xludf.DUMMYFUNCTION("""COMPUTED_VALUE"""),"Link")</f>
        <v>Link</v>
      </c>
      <c r="L122" s="139" t="str">
        <f>IFERROR(__xludf.DUMMYFUNCTION("""COMPUTED_VALUE"""),"Link")</f>
        <v>Link</v>
      </c>
      <c r="M122" s="142" t="str">
        <f>IFERROR(__xludf.DUMMYFUNCTION("""COMPUTED_VALUE"""),"Link")</f>
        <v>Link</v>
      </c>
      <c r="N122" s="142" t="str">
        <f>IFERROR(__xludf.DUMMYFUNCTION("""COMPUTED_VALUE"""),"Link")</f>
        <v>Link</v>
      </c>
      <c r="O122" s="142" t="str">
        <f>IFERROR(__xludf.DUMMYFUNCTION("""COMPUTED_VALUE"""),"Link")</f>
        <v>Link</v>
      </c>
      <c r="P122" s="139" t="str">
        <f>IFERROR(__xludf.DUMMYFUNCTION("""COMPUTED_VALUE"""),"Link")</f>
        <v>Link</v>
      </c>
      <c r="Q122" s="142" t="str">
        <f>IFERROR(__xludf.DUMMYFUNCTION("""COMPUTED_VALUE"""),"Link")</f>
        <v>Link</v>
      </c>
      <c r="R122" s="142" t="str">
        <f>IFERROR(__xludf.DUMMYFUNCTION("""COMPUTED_VALUE"""),"Link")</f>
        <v>Link</v>
      </c>
      <c r="S122" s="141" t="str">
        <f t="shared" si="1"/>
        <v>https://sealeddeck.tech/jrByLQfWZ8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24" t="s">
        <v>8062</v>
      </c>
      <c r="B123" s="124" t="s">
        <v>8063</v>
      </c>
      <c r="C123" s="137" t="s">
        <v>8065</v>
      </c>
      <c r="D123" s="124" t="s">
        <v>67</v>
      </c>
      <c r="E123" s="138">
        <v>5.0</v>
      </c>
      <c r="F123" s="138">
        <v>11.0</v>
      </c>
      <c r="G123" s="139" t="str">
        <f t="array" ref="G123">IF(H123="","",IFERROR(
  "https://sealeddeck.tech/" &amp; INDEX('Pool Changes'!F:F,
    MAX(
      ROW('Pool Changes'!A:A) *
      ('Pool Changes'!B:B=D123) *
      ('Pool Changes'!F:F&lt;&gt;"")
    )
  ),
  ""
))</f>
        <v>https://sealeddeck.tech/un61MYNz8Q</v>
      </c>
      <c r="H123" s="139" t="str">
        <f>IFERROR(__xludf.DUMMYFUNCTION("LET(changes,FILTER('Pool Changes'!$B:$D, 'Pool Changes'!$B:$B = $D123),added,FILTER(INDEX(changes,0,3),INDEX(changes,0,2)=""starting pool""),TRANSPOSE(IFERROR(ARRAYFORMULA(IF(added&lt;&gt;"""",""https://sealeddeck.tech/""&amp;added,"""")),"""")))"),"https://sealeddeck.tech/m4qQFKicUd")</f>
        <v>https://sealeddeck.tech/m4qQFKicUd</v>
      </c>
      <c r="I123" s="139" t="str">
        <f>IFERROR(__xludf.DUMMYFUNCTION("LET(changes,FILTER('Pool Changes'!$B:$D, 'Pool Changes'!$B:$B = $D123),added,FILTER(INDEX(changes,0,3),INDEX(changes,0,2)=""add pack""),IFERROR(TRANSPOSE(ARRAYFORMULA(IF(added&lt;&gt;"""",HYPERLINK(""https://sealeddeck.tech/""&amp;added,""Link""),""""))),""""))"),"Link")</f>
        <v>Link</v>
      </c>
      <c r="J123" s="139" t="str">
        <f>IFERROR(__xludf.DUMMYFUNCTION("""COMPUTED_VALUE"""),"Link")</f>
        <v>Link</v>
      </c>
      <c r="K123" s="139" t="str">
        <f>IFERROR(__xludf.DUMMYFUNCTION("""COMPUTED_VALUE"""),"Link")</f>
        <v>Link</v>
      </c>
      <c r="L123" s="139" t="str">
        <f>IFERROR(__xludf.DUMMYFUNCTION("""COMPUTED_VALUE"""),"Link")</f>
        <v>Link</v>
      </c>
      <c r="M123" s="142" t="str">
        <f>IFERROR(__xludf.DUMMYFUNCTION("""COMPUTED_VALUE"""),"Link")</f>
        <v>Link</v>
      </c>
      <c r="N123" s="142" t="str">
        <f>IFERROR(__xludf.DUMMYFUNCTION("""COMPUTED_VALUE"""),"Link")</f>
        <v>Link</v>
      </c>
      <c r="O123" s="142" t="str">
        <f>IFERROR(__xludf.DUMMYFUNCTION("""COMPUTED_VALUE"""),"Link")</f>
        <v>Link</v>
      </c>
      <c r="P123" s="139" t="str">
        <f>IFERROR(__xludf.DUMMYFUNCTION("""COMPUTED_VALUE"""),"Link")</f>
        <v>Link</v>
      </c>
      <c r="Q123" s="142" t="str">
        <f>IFERROR(__xludf.DUMMYFUNCTION("""COMPUTED_VALUE"""),"Link")</f>
        <v>Link</v>
      </c>
      <c r="R123" s="142" t="str">
        <f>IFERROR(__xludf.DUMMYFUNCTION("""COMPUTED_VALUE"""),"Link")</f>
        <v>Link</v>
      </c>
      <c r="S123" s="141" t="str">
        <f t="shared" si="1"/>
        <v>https://sealeddeck.tech/yipMWkYpru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24" t="s">
        <v>8194</v>
      </c>
      <c r="B124" s="124" t="s">
        <v>8196</v>
      </c>
      <c r="C124" s="137" t="s">
        <v>8198</v>
      </c>
      <c r="D124" s="124" t="s">
        <v>172</v>
      </c>
      <c r="E124" s="138">
        <v>1.0</v>
      </c>
      <c r="F124" s="138">
        <v>11.0</v>
      </c>
      <c r="G124" s="139" t="str">
        <f t="array" ref="G124">IF(H124="","",IFERROR(
  "https://sealeddeck.tech/" &amp; INDEX('Pool Changes'!F:F,
    MAX(
      ROW('Pool Changes'!A:A) *
      ('Pool Changes'!B:B=D124) *
      ('Pool Changes'!F:F&lt;&gt;"")
    )
  ),
  ""
))</f>
        <v>https://sealeddeck.tech/81yo7UezMU</v>
      </c>
      <c r="H124" s="139" t="str">
        <f>IFERROR(__xludf.DUMMYFUNCTION("LET(changes,FILTER('Pool Changes'!$B:$D, 'Pool Changes'!$B:$B = $D124),added,FILTER(INDEX(changes,0,3),INDEX(changes,0,2)=""starting pool""),TRANSPOSE(IFERROR(ARRAYFORMULA(IF(added&lt;&gt;"""",""https://sealeddeck.tech/""&amp;added,"""")),"""")))"),"https://sealeddeck.tech/pgoqpw5qdr")</f>
        <v>https://sealeddeck.tech/pgoqpw5qdr</v>
      </c>
      <c r="I124" s="139" t="str">
        <f>IFERROR(__xludf.DUMMYFUNCTION("LET(changes,FILTER('Pool Changes'!$B:$D, 'Pool Changes'!$B:$B = $D124),added,FILTER(INDEX(changes,0,3),INDEX(changes,0,2)=""add pack""),IFERROR(TRANSPOSE(ARRAYFORMULA(IF(added&lt;&gt;"""",HYPERLINK(""https://sealeddeck.tech/""&amp;added,""Link""),""""))),""""))"),"Link")</f>
        <v>Link</v>
      </c>
      <c r="J124" s="139" t="str">
        <f>IFERROR(__xludf.DUMMYFUNCTION("""COMPUTED_VALUE"""),"Link")</f>
        <v>Link</v>
      </c>
      <c r="K124" s="139" t="str">
        <f>IFERROR(__xludf.DUMMYFUNCTION("""COMPUTED_VALUE"""),"Link")</f>
        <v>Link</v>
      </c>
      <c r="L124" s="139" t="str">
        <f>IFERROR(__xludf.DUMMYFUNCTION("""COMPUTED_VALUE"""),"Link")</f>
        <v>Link</v>
      </c>
      <c r="M124" s="142" t="str">
        <f>IFERROR(__xludf.DUMMYFUNCTION("""COMPUTED_VALUE"""),"Link")</f>
        <v>Link</v>
      </c>
      <c r="N124" s="142" t="str">
        <f>IFERROR(__xludf.DUMMYFUNCTION("""COMPUTED_VALUE"""),"Link")</f>
        <v>Link</v>
      </c>
      <c r="O124" s="142" t="str">
        <f>IFERROR(__xludf.DUMMYFUNCTION("""COMPUTED_VALUE"""),"Link")</f>
        <v>Link</v>
      </c>
      <c r="P124" s="139" t="str">
        <f>IFERROR(__xludf.DUMMYFUNCTION("""COMPUTED_VALUE"""),"Link")</f>
        <v>Link</v>
      </c>
      <c r="Q124" s="142" t="str">
        <f>IFERROR(__xludf.DUMMYFUNCTION("""COMPUTED_VALUE"""),"Link")</f>
        <v>Link</v>
      </c>
      <c r="R124" s="142" t="str">
        <f>IFERROR(__xludf.DUMMYFUNCTION("""COMPUTED_VALUE"""),"Link")</f>
        <v>Link</v>
      </c>
      <c r="S124" s="141" t="str">
        <f t="shared" si="1"/>
        <v>https://sealeddeck.tech/H7YmbuGt8M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24" t="s">
        <v>8320</v>
      </c>
      <c r="B125" s="124" t="s">
        <v>8321</v>
      </c>
      <c r="C125" s="137" t="s">
        <v>8322</v>
      </c>
      <c r="D125" s="124" t="s">
        <v>399</v>
      </c>
      <c r="E125" s="138">
        <v>6.0</v>
      </c>
      <c r="F125" s="138">
        <v>11.0</v>
      </c>
      <c r="G125" s="139" t="str">
        <f t="array" ref="G125">IF(H125="","",IFERROR(
  "https://sealeddeck.tech/" &amp; INDEX('Pool Changes'!F:F,
    MAX(
      ROW('Pool Changes'!A:A) *
      ('Pool Changes'!B:B=D125) *
      ('Pool Changes'!F:F&lt;&gt;"")
    )
  ),
  ""
))</f>
        <v>https://sealeddeck.tech/wmh2ieZDRQ</v>
      </c>
      <c r="H125" s="139" t="str">
        <f>IFERROR(__xludf.DUMMYFUNCTION("LET(changes,FILTER('Pool Changes'!$B:$D, 'Pool Changes'!$B:$B = $D125),added,FILTER(INDEX(changes,0,3),INDEX(changes,0,2)=""starting pool""),TRANSPOSE(IFERROR(ARRAYFORMULA(IF(added&lt;&gt;"""",""https://sealeddeck.tech/""&amp;added,"""")),"""")))"),"https://sealeddeck.tech/v55t9umVbV")</f>
        <v>https://sealeddeck.tech/v55t9umVbV</v>
      </c>
      <c r="I125" s="139" t="str">
        <f>IFERROR(__xludf.DUMMYFUNCTION("LET(changes,FILTER('Pool Changes'!$B:$D, 'Pool Changes'!$B:$B = $D125),added,FILTER(INDEX(changes,0,3),INDEX(changes,0,2)=""add pack""),IFERROR(TRANSPOSE(ARRAYFORMULA(IF(added&lt;&gt;"""",HYPERLINK(""https://sealeddeck.tech/""&amp;added,""Link""),""""))),""""))"),"Link")</f>
        <v>Link</v>
      </c>
      <c r="J125" s="139" t="str">
        <f>IFERROR(__xludf.DUMMYFUNCTION("""COMPUTED_VALUE"""),"Link")</f>
        <v>Link</v>
      </c>
      <c r="K125" s="139" t="str">
        <f>IFERROR(__xludf.DUMMYFUNCTION("""COMPUTED_VALUE"""),"Link")</f>
        <v>Link</v>
      </c>
      <c r="L125" s="140"/>
      <c r="M125" s="140"/>
      <c r="N125" s="140"/>
      <c r="O125" s="140"/>
      <c r="P125" s="140"/>
      <c r="Q125" s="140"/>
      <c r="R125" s="140"/>
      <c r="S125" s="141" t="str">
        <f t="shared" si="1"/>
        <v>https://sealeddeck.tech/WHPGkWbw7L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24" t="s">
        <v>8332</v>
      </c>
      <c r="B126" s="124" t="s">
        <v>8334</v>
      </c>
      <c r="C126" s="137" t="s">
        <v>8335</v>
      </c>
      <c r="D126" s="124" t="s">
        <v>373</v>
      </c>
      <c r="E126" s="138">
        <v>19.0</v>
      </c>
      <c r="F126" s="138">
        <v>11.0</v>
      </c>
      <c r="G126" s="139" t="str">
        <f t="array" ref="G126">IF(H126="","",IFERROR(
  "https://sealeddeck.tech/" &amp; INDEX('Pool Changes'!F:F,
    MAX(
      ROW('Pool Changes'!A:A) *
      ('Pool Changes'!B:B=D126) *
      ('Pool Changes'!F:F&lt;&gt;"")
    )
  ),
  ""
))</f>
        <v>https://sealeddeck.tech/gGV4EeSdNA</v>
      </c>
      <c r="H126" s="139" t="str">
        <f>IFERROR(__xludf.DUMMYFUNCTION("LET(changes,FILTER('Pool Changes'!$B:$D, 'Pool Changes'!$B:$B = $D126),added,FILTER(INDEX(changes,0,3),INDEX(changes,0,2)=""starting pool""),TRANSPOSE(IFERROR(ARRAYFORMULA(IF(added&lt;&gt;"""",""https://sealeddeck.tech/""&amp;added,"""")),"""")))"),"https://sealeddeck.tech/tk38oAdycY")</f>
        <v>https://sealeddeck.tech/tk38oAdycY</v>
      </c>
      <c r="I126" s="139" t="str">
        <f>IFERROR(__xludf.DUMMYFUNCTION("LET(changes,FILTER('Pool Changes'!$B:$D, 'Pool Changes'!$B:$B = $D126),added,FILTER(INDEX(changes,0,3),INDEX(changes,0,2)=""add pack""),IFERROR(TRANSPOSE(ARRAYFORMULA(IF(added&lt;&gt;"""",HYPERLINK(""https://sealeddeck.tech/""&amp;added,""Link""),""""))),""""))"),"Link")</f>
        <v>Link</v>
      </c>
      <c r="J126" s="139" t="str">
        <f>IFERROR(__xludf.DUMMYFUNCTION("""COMPUTED_VALUE"""),"Link")</f>
        <v>Link</v>
      </c>
      <c r="K126" s="139" t="str">
        <f>IFERROR(__xludf.DUMMYFUNCTION("""COMPUTED_VALUE"""),"Link")</f>
        <v>Link</v>
      </c>
      <c r="L126" s="139" t="str">
        <f>IFERROR(__xludf.DUMMYFUNCTION("""COMPUTED_VALUE"""),"Link")</f>
        <v>Link</v>
      </c>
      <c r="M126" s="142" t="str">
        <f>IFERROR(__xludf.DUMMYFUNCTION("""COMPUTED_VALUE"""),"Link")</f>
        <v>Link</v>
      </c>
      <c r="N126" s="142" t="str">
        <f>IFERROR(__xludf.DUMMYFUNCTION("""COMPUTED_VALUE"""),"Link")</f>
        <v>Link</v>
      </c>
      <c r="O126" s="142" t="str">
        <f>IFERROR(__xludf.DUMMYFUNCTION("""COMPUTED_VALUE"""),"Link")</f>
        <v>Link</v>
      </c>
      <c r="P126" s="139" t="str">
        <f>IFERROR(__xludf.DUMMYFUNCTION("""COMPUTED_VALUE"""),"Link")</f>
        <v>Link</v>
      </c>
      <c r="Q126" s="142" t="str">
        <f>IFERROR(__xludf.DUMMYFUNCTION("""COMPUTED_VALUE"""),"Link")</f>
        <v>Link</v>
      </c>
      <c r="R126" s="142" t="str">
        <f>IFERROR(__xludf.DUMMYFUNCTION("""COMPUTED_VALUE"""),"Link")</f>
        <v>Link</v>
      </c>
      <c r="S126" s="141" t="str">
        <f t="shared" si="1"/>
        <v>https://sealeddeck.tech/zMePEY4frd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24" t="s">
        <v>8347</v>
      </c>
      <c r="B127" s="124" t="s">
        <v>8348</v>
      </c>
      <c r="C127" s="137" t="s">
        <v>8349</v>
      </c>
      <c r="D127" s="124" t="s">
        <v>217</v>
      </c>
      <c r="E127" s="138">
        <v>15.0</v>
      </c>
      <c r="F127" s="138">
        <v>11.0</v>
      </c>
      <c r="G127" s="139" t="str">
        <f t="array" ref="G127">IF(H127="","",IFERROR(
  "https://sealeddeck.tech/" &amp; INDEX('Pool Changes'!F:F,
    MAX(
      ROW('Pool Changes'!A:A) *
      ('Pool Changes'!B:B=D127) *
      ('Pool Changes'!F:F&lt;&gt;"")
    )
  ),
  ""
))</f>
        <v>https://sealeddeck.tech/zfLZjLe4SQ</v>
      </c>
      <c r="H127" s="139" t="str">
        <f>IFERROR(__xludf.DUMMYFUNCTION("LET(changes,FILTER('Pool Changes'!$B:$D, 'Pool Changes'!$B:$B = $D127),added,FILTER(INDEX(changes,0,3),INDEX(changes,0,2)=""starting pool""),TRANSPOSE(IFERROR(ARRAYFORMULA(IF(added&lt;&gt;"""",""https://sealeddeck.tech/""&amp;added,"""")),"""")))"),"https://sealeddeck.tech/a6wiiWcBTj")</f>
        <v>https://sealeddeck.tech/a6wiiWcBTj</v>
      </c>
      <c r="I127" s="139" t="str">
        <f>IFERROR(__xludf.DUMMYFUNCTION("LET(changes,FILTER('Pool Changes'!$B:$D, 'Pool Changes'!$B:$B = $D127),added,FILTER(INDEX(changes,0,3),INDEX(changes,0,2)=""add pack""),IFERROR(TRANSPOSE(ARRAYFORMULA(IF(added&lt;&gt;"""",HYPERLINK(""https://sealeddeck.tech/""&amp;added,""Link""),""""))),""""))"),"Link")</f>
        <v>Link</v>
      </c>
      <c r="J127" s="139" t="str">
        <f>IFERROR(__xludf.DUMMYFUNCTION("""COMPUTED_VALUE"""),"Link")</f>
        <v>Link</v>
      </c>
      <c r="K127" s="139" t="str">
        <f>IFERROR(__xludf.DUMMYFUNCTION("""COMPUTED_VALUE"""),"Link")</f>
        <v>Link</v>
      </c>
      <c r="L127" s="139" t="str">
        <f>IFERROR(__xludf.DUMMYFUNCTION("""COMPUTED_VALUE"""),"Link")</f>
        <v>Link</v>
      </c>
      <c r="M127" s="142" t="str">
        <f>IFERROR(__xludf.DUMMYFUNCTION("""COMPUTED_VALUE"""),"Link")</f>
        <v>Link</v>
      </c>
      <c r="N127" s="142" t="str">
        <f>IFERROR(__xludf.DUMMYFUNCTION("""COMPUTED_VALUE"""),"Link")</f>
        <v>Link</v>
      </c>
      <c r="O127" s="142" t="str">
        <f>IFERROR(__xludf.DUMMYFUNCTION("""COMPUTED_VALUE"""),"Link")</f>
        <v>Link</v>
      </c>
      <c r="P127" s="139" t="str">
        <f>IFERROR(__xludf.DUMMYFUNCTION("""COMPUTED_VALUE"""),"Link")</f>
        <v>Link</v>
      </c>
      <c r="Q127" s="142" t="str">
        <f>IFERROR(__xludf.DUMMYFUNCTION("""COMPUTED_VALUE"""),"Link")</f>
        <v>Link</v>
      </c>
      <c r="R127" s="142" t="str">
        <f>IFERROR(__xludf.DUMMYFUNCTION("""COMPUTED_VALUE"""),"Link")</f>
        <v>Link</v>
      </c>
      <c r="S127" s="141" t="str">
        <f t="shared" si="1"/>
        <v>https://sealeddeck.tech/kUop3DQXY7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24" t="s">
        <v>8350</v>
      </c>
      <c r="B128" s="124" t="s">
        <v>8351</v>
      </c>
      <c r="C128" s="137" t="s">
        <v>8352</v>
      </c>
      <c r="D128" s="124" t="s">
        <v>286</v>
      </c>
      <c r="E128" s="138">
        <v>11.0</v>
      </c>
      <c r="F128" s="138">
        <v>11.0</v>
      </c>
      <c r="G128" s="139" t="str">
        <f t="array" ref="G128">IF(H128="","",IFERROR(
  "https://sealeddeck.tech/" &amp; INDEX('Pool Changes'!F:F,
    MAX(
      ROW('Pool Changes'!A:A) *
      ('Pool Changes'!B:B=D128) *
      ('Pool Changes'!F:F&lt;&gt;"")
    )
  ),
  ""
))</f>
        <v>https://sealeddeck.tech/vgrULY2XSz</v>
      </c>
      <c r="H128" s="139" t="str">
        <f>IFERROR(__xludf.DUMMYFUNCTION("LET(changes,FILTER('Pool Changes'!$B:$D, 'Pool Changes'!$B:$B = $D128),added,FILTER(INDEX(changes,0,3),INDEX(changes,0,2)=""starting pool""),TRANSPOSE(IFERROR(ARRAYFORMULA(IF(added&lt;&gt;"""",""https://sealeddeck.tech/""&amp;added,"""")),"""")))"),"https://sealeddeck.tech/sXHLYJW8vZ")</f>
        <v>https://sealeddeck.tech/sXHLYJW8vZ</v>
      </c>
      <c r="I128" s="139" t="str">
        <f>IFERROR(__xludf.DUMMYFUNCTION("LET(changes,FILTER('Pool Changes'!$B:$D, 'Pool Changes'!$B:$B = $D128),added,FILTER(INDEX(changes,0,3),INDEX(changes,0,2)=""add pack""),IFERROR(TRANSPOSE(ARRAYFORMULA(IF(added&lt;&gt;"""",HYPERLINK(""https://sealeddeck.tech/""&amp;added,""Link""),""""))),""""))"),"Link")</f>
        <v>Link</v>
      </c>
      <c r="J128" s="139" t="str">
        <f>IFERROR(__xludf.DUMMYFUNCTION("""COMPUTED_VALUE"""),"Link")</f>
        <v>Link</v>
      </c>
      <c r="K128" s="139" t="str">
        <f>IFERROR(__xludf.DUMMYFUNCTION("""COMPUTED_VALUE"""),"Link")</f>
        <v>Link</v>
      </c>
      <c r="L128" s="139" t="str">
        <f>IFERROR(__xludf.DUMMYFUNCTION("""COMPUTED_VALUE"""),"Link")</f>
        <v>Link</v>
      </c>
      <c r="M128" s="142" t="str">
        <f>IFERROR(__xludf.DUMMYFUNCTION("""COMPUTED_VALUE"""),"Link")</f>
        <v>Link</v>
      </c>
      <c r="N128" s="142" t="str">
        <f>IFERROR(__xludf.DUMMYFUNCTION("""COMPUTED_VALUE"""),"Link")</f>
        <v>Link</v>
      </c>
      <c r="O128" s="142" t="str">
        <f>IFERROR(__xludf.DUMMYFUNCTION("""COMPUTED_VALUE"""),"Link")</f>
        <v>Link</v>
      </c>
      <c r="P128" s="139" t="str">
        <f>IFERROR(__xludf.DUMMYFUNCTION("""COMPUTED_VALUE"""),"Link")</f>
        <v>Link</v>
      </c>
      <c r="Q128" s="142" t="str">
        <f>IFERROR(__xludf.DUMMYFUNCTION("""COMPUTED_VALUE"""),"Link")</f>
        <v>Link</v>
      </c>
      <c r="R128" s="142" t="str">
        <f>IFERROR(__xludf.DUMMYFUNCTION("""COMPUTED_VALUE"""),"Link")</f>
        <v>Link</v>
      </c>
      <c r="S128" s="141" t="str">
        <f t="shared" si="1"/>
        <v>https://sealeddeck.tech/un61MYNz8Q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24" t="s">
        <v>8353</v>
      </c>
      <c r="B129" s="124" t="s">
        <v>8354</v>
      </c>
      <c r="C129" s="137" t="s">
        <v>8355</v>
      </c>
      <c r="D129" s="124" t="s">
        <v>336</v>
      </c>
      <c r="E129" s="138">
        <v>10.0</v>
      </c>
      <c r="F129" s="138">
        <v>11.0</v>
      </c>
      <c r="G129" s="139" t="str">
        <f t="array" ref="G129">IF(H129="","",IFERROR(
  "https://sealeddeck.tech/" &amp; INDEX('Pool Changes'!F:F,
    MAX(
      ROW('Pool Changes'!A:A) *
      ('Pool Changes'!B:B=D129) *
      ('Pool Changes'!F:F&lt;&gt;"")
    )
  ),
  ""
))</f>
        <v>https://sealeddeck.tech/D5scLeh4K7</v>
      </c>
      <c r="H129" s="139" t="str">
        <f>IFERROR(__xludf.DUMMYFUNCTION("LET(changes,FILTER('Pool Changes'!$B:$D, 'Pool Changes'!$B:$B = $D129),added,FILTER(INDEX(changes,0,3),INDEX(changes,0,2)=""starting pool""),TRANSPOSE(IFERROR(ARRAYFORMULA(IF(added&lt;&gt;"""",""https://sealeddeck.tech/""&amp;added,"""")),"""")))"),"https://sealeddeck.tech/mrJCauqqQs")</f>
        <v>https://sealeddeck.tech/mrJCauqqQs</v>
      </c>
      <c r="I129" s="139" t="str">
        <f>IFERROR(__xludf.DUMMYFUNCTION("LET(changes,FILTER('Pool Changes'!$B:$D, 'Pool Changes'!$B:$B = $D129),added,FILTER(INDEX(changes,0,3),INDEX(changes,0,2)=""add pack""),IFERROR(TRANSPOSE(ARRAYFORMULA(IF(added&lt;&gt;"""",HYPERLINK(""https://sealeddeck.tech/""&amp;added,""Link""),""""))),""""))"),"Link")</f>
        <v>Link</v>
      </c>
      <c r="J129" s="139" t="str">
        <f>IFERROR(__xludf.DUMMYFUNCTION("""COMPUTED_VALUE"""),"Link")</f>
        <v>Link</v>
      </c>
      <c r="K129" s="139" t="str">
        <f>IFERROR(__xludf.DUMMYFUNCTION("""COMPUTED_VALUE"""),"Link")</f>
        <v>Link</v>
      </c>
      <c r="L129" s="139" t="str">
        <f>IFERROR(__xludf.DUMMYFUNCTION("""COMPUTED_VALUE"""),"Link")</f>
        <v>Link</v>
      </c>
      <c r="M129" s="142" t="str">
        <f>IFERROR(__xludf.DUMMYFUNCTION("""COMPUTED_VALUE"""),"Link")</f>
        <v>Link</v>
      </c>
      <c r="N129" s="142" t="str">
        <f>IFERROR(__xludf.DUMMYFUNCTION("""COMPUTED_VALUE"""),"Link")</f>
        <v>Link</v>
      </c>
      <c r="O129" s="142" t="str">
        <f>IFERROR(__xludf.DUMMYFUNCTION("""COMPUTED_VALUE"""),"Link")</f>
        <v>Link</v>
      </c>
      <c r="P129" s="139" t="str">
        <f>IFERROR(__xludf.DUMMYFUNCTION("""COMPUTED_VALUE"""),"Link")</f>
        <v>Link</v>
      </c>
      <c r="Q129" s="142" t="str">
        <f>IFERROR(__xludf.DUMMYFUNCTION("""COMPUTED_VALUE"""),"Link")</f>
        <v>Link</v>
      </c>
      <c r="R129" s="142" t="str">
        <f>IFERROR(__xludf.DUMMYFUNCTION("""COMPUTED_VALUE"""),"Link")</f>
        <v>Link</v>
      </c>
      <c r="S129" s="141" t="str">
        <f t="shared" si="1"/>
        <v>https://sealeddeck.tech/81yo7UezMU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24" t="s">
        <v>8356</v>
      </c>
      <c r="B130" s="124" t="s">
        <v>8357</v>
      </c>
      <c r="C130" s="137" t="s">
        <v>8358</v>
      </c>
      <c r="D130" s="124" t="s">
        <v>281</v>
      </c>
      <c r="E130" s="138">
        <v>17.0</v>
      </c>
      <c r="F130" s="138">
        <v>11.0</v>
      </c>
      <c r="G130" s="139" t="str">
        <f t="array" ref="G130">IF(H130="","",IFERROR(
  "https://sealeddeck.tech/" &amp; INDEX('Pool Changes'!F:F,
    MAX(
      ROW('Pool Changes'!A:A) *
      ('Pool Changes'!B:B=D130) *
      ('Pool Changes'!F:F&lt;&gt;"")
    )
  ),
  ""
))</f>
        <v>https://sealeddeck.tech/3TwBD17Asj</v>
      </c>
      <c r="H130" s="139" t="str">
        <f>IFERROR(__xludf.DUMMYFUNCTION("LET(changes,FILTER('Pool Changes'!$B:$D, 'Pool Changes'!$B:$B = $D130),added,FILTER(INDEX(changes,0,3),INDEX(changes,0,2)=""starting pool""),TRANSPOSE(IFERROR(ARRAYFORMULA(IF(added&lt;&gt;"""",""https://sealeddeck.tech/""&amp;added,"""")),"""")))"),"https://sealeddeck.tech/rVL3u7maaN")</f>
        <v>https://sealeddeck.tech/rVL3u7maaN</v>
      </c>
      <c r="I130" s="139" t="str">
        <f>IFERROR(__xludf.DUMMYFUNCTION("LET(changes,FILTER('Pool Changes'!$B:$D, 'Pool Changes'!$B:$B = $D130),added,FILTER(INDEX(changes,0,3),INDEX(changes,0,2)=""add pack""),IFERROR(TRANSPOSE(ARRAYFORMULA(IF(added&lt;&gt;"""",HYPERLINK(""https://sealeddeck.tech/""&amp;added,""Link""),""""))),""""))"),"Link")</f>
        <v>Link</v>
      </c>
      <c r="J130" s="139" t="str">
        <f>IFERROR(__xludf.DUMMYFUNCTION("""COMPUTED_VALUE"""),"Link")</f>
        <v>Link</v>
      </c>
      <c r="K130" s="139" t="str">
        <f>IFERROR(__xludf.DUMMYFUNCTION("""COMPUTED_VALUE"""),"Link")</f>
        <v>Link</v>
      </c>
      <c r="L130" s="139" t="str">
        <f>IFERROR(__xludf.DUMMYFUNCTION("""COMPUTED_VALUE"""),"Link")</f>
        <v>Link</v>
      </c>
      <c r="M130" s="142" t="str">
        <f>IFERROR(__xludf.DUMMYFUNCTION("""COMPUTED_VALUE"""),"Link")</f>
        <v>Link</v>
      </c>
      <c r="N130" s="142" t="str">
        <f>IFERROR(__xludf.DUMMYFUNCTION("""COMPUTED_VALUE"""),"Link")</f>
        <v>Link</v>
      </c>
      <c r="O130" s="142" t="str">
        <f>IFERROR(__xludf.DUMMYFUNCTION("""COMPUTED_VALUE"""),"Link")</f>
        <v>Link</v>
      </c>
      <c r="P130" s="139" t="str">
        <f>IFERROR(__xludf.DUMMYFUNCTION("""COMPUTED_VALUE"""),"Link")</f>
        <v>Link</v>
      </c>
      <c r="Q130" s="142" t="str">
        <f>IFERROR(__xludf.DUMMYFUNCTION("""COMPUTED_VALUE"""),"Link")</f>
        <v>Link</v>
      </c>
      <c r="R130" s="142" t="str">
        <f>IFERROR(__xludf.DUMMYFUNCTION("""COMPUTED_VALUE"""),"Link")</f>
        <v>Link</v>
      </c>
      <c r="S130" s="141" t="str">
        <f t="shared" si="1"/>
        <v>https://sealeddeck.tech/wmh2ieZDRQ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24" t="s">
        <v>8359</v>
      </c>
      <c r="B131" s="124" t="s">
        <v>8360</v>
      </c>
      <c r="C131" s="137" t="s">
        <v>8361</v>
      </c>
      <c r="D131" s="124" t="s">
        <v>406</v>
      </c>
      <c r="E131" s="138">
        <v>1.0</v>
      </c>
      <c r="F131" s="138">
        <v>11.0</v>
      </c>
      <c r="G131" s="139" t="str">
        <f t="array" ref="G131">IF(H131="","",IFERROR(
  "https://sealeddeck.tech/" &amp; INDEX('Pool Changes'!F:F,
    MAX(
      ROW('Pool Changes'!A:A) *
      ('Pool Changes'!B:B=D131) *
      ('Pool Changes'!F:F&lt;&gt;"")
    )
  ),
  ""
))</f>
        <v>https://sealeddeck.tech/7bkaLF4jCB</v>
      </c>
      <c r="H131" s="139" t="str">
        <f>IFERROR(__xludf.DUMMYFUNCTION("LET(changes,FILTER('Pool Changes'!$B:$D, 'Pool Changes'!$B:$B = $D131),added,FILTER(INDEX(changes,0,3),INDEX(changes,0,2)=""starting pool""),TRANSPOSE(IFERROR(ARRAYFORMULA(IF(added&lt;&gt;"""",""https://sealeddeck.tech/""&amp;added,"""")),"""")))"),"https://sealeddeck.tech/eV2sBi5bNV")</f>
        <v>https://sealeddeck.tech/eV2sBi5bNV</v>
      </c>
      <c r="I131" s="139" t="str">
        <f>IFERROR(__xludf.DUMMYFUNCTION("LET(changes,FILTER('Pool Changes'!$B:$D, 'Pool Changes'!$B:$B = $D131),added,FILTER(INDEX(changes,0,3),INDEX(changes,0,2)=""add pack""),IFERROR(TRANSPOSE(ARRAYFORMULA(IF(added&lt;&gt;"""",HYPERLINK(""https://sealeddeck.tech/""&amp;added,""Link""),""""))),""""))"),"Link")</f>
        <v>Link</v>
      </c>
      <c r="J131" s="139" t="str">
        <f>IFERROR(__xludf.DUMMYFUNCTION("""COMPUTED_VALUE"""),"Link")</f>
        <v>Link</v>
      </c>
      <c r="K131" s="139" t="str">
        <f>IFERROR(__xludf.DUMMYFUNCTION("""COMPUTED_VALUE"""),"Link")</f>
        <v>Link</v>
      </c>
      <c r="L131" s="139" t="str">
        <f>IFERROR(__xludf.DUMMYFUNCTION("""COMPUTED_VALUE"""),"Link")</f>
        <v>Link</v>
      </c>
      <c r="M131" s="142" t="str">
        <f>IFERROR(__xludf.DUMMYFUNCTION("""COMPUTED_VALUE"""),"Link")</f>
        <v>Link</v>
      </c>
      <c r="N131" s="142" t="str">
        <f>IFERROR(__xludf.DUMMYFUNCTION("""COMPUTED_VALUE"""),"Link")</f>
        <v>Link</v>
      </c>
      <c r="O131" s="142" t="str">
        <f>IFERROR(__xludf.DUMMYFUNCTION("""COMPUTED_VALUE"""),"Link")</f>
        <v>Link</v>
      </c>
      <c r="P131" s="139" t="str">
        <f>IFERROR(__xludf.DUMMYFUNCTION("""COMPUTED_VALUE"""),"Link")</f>
        <v>Link</v>
      </c>
      <c r="Q131" s="140"/>
      <c r="R131" s="140"/>
      <c r="S131" s="141" t="str">
        <f t="shared" si="1"/>
        <v>https://sealeddeck.tech/gGV4EeSdNA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24" t="s">
        <v>8362</v>
      </c>
      <c r="B132" s="124" t="s">
        <v>8363</v>
      </c>
      <c r="C132" s="137" t="s">
        <v>8364</v>
      </c>
      <c r="D132" s="124" t="s">
        <v>18</v>
      </c>
      <c r="E132" s="138">
        <v>18.0</v>
      </c>
      <c r="F132" s="138">
        <v>11.0</v>
      </c>
      <c r="G132" s="139" t="str">
        <f t="array" ref="G132">IF(H132="","",IFERROR(
  "https://sealeddeck.tech/" &amp; INDEX('Pool Changes'!F:F,
    MAX(
      ROW('Pool Changes'!A:A) *
      ('Pool Changes'!B:B=D132) *
      ('Pool Changes'!F:F&lt;&gt;"")
    )
  ),
  ""
))</f>
        <v>https://sealeddeck.tech/KEr2NJcRo7</v>
      </c>
      <c r="H132" s="139" t="str">
        <f>IFERROR(__xludf.DUMMYFUNCTION("LET(changes,FILTER('Pool Changes'!$B:$D, 'Pool Changes'!$B:$B = $D132),added,FILTER(INDEX(changes,0,3),INDEX(changes,0,2)=""starting pool""),TRANSPOSE(IFERROR(ARRAYFORMULA(IF(added&lt;&gt;"""",""https://sealeddeck.tech/""&amp;added,"""")),"""")))"),"https://sealeddeck.tech/neFgLgtEZb")</f>
        <v>https://sealeddeck.tech/neFgLgtEZb</v>
      </c>
      <c r="I132" s="139" t="str">
        <f>IFERROR(__xludf.DUMMYFUNCTION("LET(changes,FILTER('Pool Changes'!$B:$D, 'Pool Changes'!$B:$B = $D132),added,FILTER(INDEX(changes,0,3),INDEX(changes,0,2)=""add pack""),IFERROR(TRANSPOSE(ARRAYFORMULA(IF(added&lt;&gt;"""",HYPERLINK(""https://sealeddeck.tech/""&amp;added,""Link""),""""))),""""))"),"Link")</f>
        <v>Link</v>
      </c>
      <c r="J132" s="139" t="str">
        <f>IFERROR(__xludf.DUMMYFUNCTION("""COMPUTED_VALUE"""),"Link")</f>
        <v>Link</v>
      </c>
      <c r="K132" s="139" t="str">
        <f>IFERROR(__xludf.DUMMYFUNCTION("""COMPUTED_VALUE"""),"Link")</f>
        <v>Link</v>
      </c>
      <c r="L132" s="139" t="str">
        <f>IFERROR(__xludf.DUMMYFUNCTION("""COMPUTED_VALUE"""),"Link")</f>
        <v>Link</v>
      </c>
      <c r="M132" s="142" t="str">
        <f>IFERROR(__xludf.DUMMYFUNCTION("""COMPUTED_VALUE"""),"Link")</f>
        <v>Link</v>
      </c>
      <c r="N132" s="142" t="str">
        <f>IFERROR(__xludf.DUMMYFUNCTION("""COMPUTED_VALUE"""),"Link")</f>
        <v>Link</v>
      </c>
      <c r="O132" s="142" t="str">
        <f>IFERROR(__xludf.DUMMYFUNCTION("""COMPUTED_VALUE"""),"Link")</f>
        <v>Link</v>
      </c>
      <c r="P132" s="139" t="str">
        <f>IFERROR(__xludf.DUMMYFUNCTION("""COMPUTED_VALUE"""),"Link")</f>
        <v>Link</v>
      </c>
      <c r="Q132" s="142" t="str">
        <f>IFERROR(__xludf.DUMMYFUNCTION("""COMPUTED_VALUE"""),"Link")</f>
        <v>Link</v>
      </c>
      <c r="R132" s="142" t="str">
        <f>IFERROR(__xludf.DUMMYFUNCTION("""COMPUTED_VALUE"""),"Link")</f>
        <v>Link</v>
      </c>
      <c r="S132" s="141" t="str">
        <f t="shared" si="1"/>
        <v>https://sealeddeck.tech/zfLZjLe4SQ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43" t="s">
        <v>8365</v>
      </c>
      <c r="B133" s="143" t="s">
        <v>8366</v>
      </c>
      <c r="C133" s="137" t="s">
        <v>8367</v>
      </c>
      <c r="D133" s="124" t="s">
        <v>278</v>
      </c>
      <c r="E133" s="138">
        <v>4.0</v>
      </c>
      <c r="F133" s="138">
        <v>11.0</v>
      </c>
      <c r="G133" s="139" t="str">
        <f t="array" ref="G133">IF(H133="","",IFERROR(
  "https://sealeddeck.tech/" &amp; INDEX('Pool Changes'!F:F,
    MAX(
      ROW('Pool Changes'!A:A) *
      ('Pool Changes'!B:B=D133) *
      ('Pool Changes'!F:F&lt;&gt;"")
    )
  ),
  ""
))</f>
        <v>https://sealeddeck.tech/63btcqYy82</v>
      </c>
      <c r="H133" s="139" t="str">
        <f>IFERROR(__xludf.DUMMYFUNCTION("LET(changes,FILTER('Pool Changes'!$B:$D, 'Pool Changes'!$B:$B = $D133),added,FILTER(INDEX(changes,0,3),INDEX(changes,0,2)=""starting pool""),TRANSPOSE(IFERROR(ARRAYFORMULA(IF(added&lt;&gt;"""",""https://sealeddeck.tech/""&amp;added,"""")),"""")))"),"https://sealeddeck.tech/jBHRBavo1E")</f>
        <v>https://sealeddeck.tech/jBHRBavo1E</v>
      </c>
      <c r="I133" s="139" t="str">
        <f>IFERROR(__xludf.DUMMYFUNCTION("LET(changes,FILTER('Pool Changes'!$B:$D, 'Pool Changes'!$B:$B = $D133),added,FILTER(INDEX(changes,0,3),INDEX(changes,0,2)=""add pack""),IFERROR(TRANSPOSE(ARRAYFORMULA(IF(added&lt;&gt;"""",HYPERLINK(""https://sealeddeck.tech/""&amp;added,""Link""),""""))),""""))"),"Link")</f>
        <v>Link</v>
      </c>
      <c r="J133" s="139" t="str">
        <f>IFERROR(__xludf.DUMMYFUNCTION("""COMPUTED_VALUE"""),"Link")</f>
        <v>Link</v>
      </c>
      <c r="K133" s="139" t="str">
        <f>IFERROR(__xludf.DUMMYFUNCTION("""COMPUTED_VALUE"""),"Link")</f>
        <v>Link</v>
      </c>
      <c r="L133" s="139" t="str">
        <f>IFERROR(__xludf.DUMMYFUNCTION("""COMPUTED_VALUE"""),"Link")</f>
        <v>Link</v>
      </c>
      <c r="M133" s="139" t="str">
        <f>IFERROR(__xludf.DUMMYFUNCTION("""COMPUTED_VALUE"""),"Link")</f>
        <v>Link</v>
      </c>
      <c r="N133" s="142" t="str">
        <f>IFERROR(__xludf.DUMMYFUNCTION("""COMPUTED_VALUE"""),"Link")</f>
        <v>Link</v>
      </c>
      <c r="O133" s="142" t="str">
        <f>IFERROR(__xludf.DUMMYFUNCTION("""COMPUTED_VALUE"""),"Link")</f>
        <v>Link</v>
      </c>
      <c r="P133" s="142" t="str">
        <f>IFERROR(__xludf.DUMMYFUNCTION("""COMPUTED_VALUE"""),"Link")</f>
        <v>Link</v>
      </c>
      <c r="Q133" s="139" t="str">
        <f>IFERROR(__xludf.DUMMYFUNCTION("""COMPUTED_VALUE"""),"Link")</f>
        <v>Link</v>
      </c>
      <c r="R133" s="139" t="str">
        <f>IFERROR(__xludf.DUMMYFUNCTION("""COMPUTED_VALUE"""),"Link")</f>
        <v>Link</v>
      </c>
      <c r="S133" s="141" t="str">
        <f t="shared" si="1"/>
        <v>https://sealeddeck.tech/vgrULY2XSz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43" t="s">
        <v>8368</v>
      </c>
      <c r="B134" s="143" t="s">
        <v>8369</v>
      </c>
      <c r="C134" s="137" t="s">
        <v>8370</v>
      </c>
      <c r="D134" s="124" t="s">
        <v>293</v>
      </c>
      <c r="E134" s="138">
        <v>2.0</v>
      </c>
      <c r="F134" s="138">
        <v>11.0</v>
      </c>
      <c r="G134" s="139" t="str">
        <f t="array" ref="G134">IF(H134="","",IFERROR(
  "https://sealeddeck.tech/" &amp; INDEX('Pool Changes'!F:F,
    MAX(
      ROW('Pool Changes'!A:A) *
      ('Pool Changes'!B:B=D134) *
      ('Pool Changes'!F:F&lt;&gt;"")
    )
  ),
  ""
))</f>
        <v>https://sealeddeck.tech/RsFikPUydb</v>
      </c>
      <c r="H134" s="139" t="str">
        <f>IFERROR(__xludf.DUMMYFUNCTION("LET(changes,FILTER('Pool Changes'!$B:$D, 'Pool Changes'!$B:$B = $D134),added,FILTER(INDEX(changes,0,3),INDEX(changes,0,2)=""starting pool""),TRANSPOSE(IFERROR(ARRAYFORMULA(IF(added&lt;&gt;"""",""https://sealeddeck.tech/""&amp;added,"""")),"""")))"),"https://sealeddeck.tech/CgJE7GdpFz")</f>
        <v>https://sealeddeck.tech/CgJE7GdpFz</v>
      </c>
      <c r="I134" s="139" t="str">
        <f>IFERROR(__xludf.DUMMYFUNCTION("LET(changes,FILTER('Pool Changes'!$B:$D, 'Pool Changes'!$B:$B = $D134),added,FILTER(INDEX(changes,0,3),INDEX(changes,0,2)=""add pack""),IFERROR(TRANSPOSE(ARRAYFORMULA(IF(added&lt;&gt;"""",HYPERLINK(""https://sealeddeck.tech/""&amp;added,""Link""),""""))),""""))"),"Link")</f>
        <v>Link</v>
      </c>
      <c r="J134" s="139" t="str">
        <f>IFERROR(__xludf.DUMMYFUNCTION("""COMPUTED_VALUE"""),"Link")</f>
        <v>Link</v>
      </c>
      <c r="K134" s="139" t="str">
        <f>IFERROR(__xludf.DUMMYFUNCTION("""COMPUTED_VALUE"""),"Link")</f>
        <v>Link</v>
      </c>
      <c r="L134" s="139" t="str">
        <f>IFERROR(__xludf.DUMMYFUNCTION("""COMPUTED_VALUE"""),"Link")</f>
        <v>Link</v>
      </c>
      <c r="M134" s="140"/>
      <c r="N134" s="140"/>
      <c r="O134" s="140"/>
      <c r="P134" s="140"/>
      <c r="Q134" s="140"/>
      <c r="R134" s="140"/>
      <c r="S134" s="141" t="str">
        <f t="shared" si="1"/>
        <v>https://sealeddeck.tech/D5scLeh4K7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43" t="s">
        <v>8371</v>
      </c>
      <c r="B135" s="143" t="s">
        <v>8372</v>
      </c>
      <c r="C135" s="137" t="s">
        <v>8373</v>
      </c>
      <c r="D135" s="124" t="s">
        <v>93</v>
      </c>
      <c r="E135" s="138">
        <v>3.0</v>
      </c>
      <c r="F135" s="138">
        <v>11.0</v>
      </c>
      <c r="G135" s="139" t="str">
        <f t="array" ref="G135">IF(H135="","",IFERROR(
  "https://sealeddeck.tech/" &amp; INDEX('Pool Changes'!F:F,
    MAX(
      ROW('Pool Changes'!A:A) *
      ('Pool Changes'!B:B=D135) *
      ('Pool Changes'!F:F&lt;&gt;"")
    )
  ),
  ""
))</f>
        <v>https://sealeddeck.tech/gKBXjfdz2T</v>
      </c>
      <c r="H135" s="139" t="str">
        <f>IFERROR(__xludf.DUMMYFUNCTION("LET(changes,FILTER('Pool Changes'!$B:$D, 'Pool Changes'!$B:$B = $D135),added,FILTER(INDEX(changes,0,3),INDEX(changes,0,2)=""starting pool""),TRANSPOSE(IFERROR(ARRAYFORMULA(IF(added&lt;&gt;"""",""https://sealeddeck.tech/""&amp;added,"""")),"""")))"),"https://sealeddeck.tech/uL7v2LoSr9")</f>
        <v>https://sealeddeck.tech/uL7v2LoSr9</v>
      </c>
      <c r="I135" s="139" t="str">
        <f>IFERROR(__xludf.DUMMYFUNCTION("LET(changes,FILTER('Pool Changes'!$B:$D, 'Pool Changes'!$B:$B = $D135),added,FILTER(INDEX(changes,0,3),INDEX(changes,0,2)=""add pack""),IFERROR(TRANSPOSE(ARRAYFORMULA(IF(added&lt;&gt;"""",HYPERLINK(""https://sealeddeck.tech/""&amp;added,""Link""),""""))),""""))"),"Link")</f>
        <v>Link</v>
      </c>
      <c r="J135" s="139" t="str">
        <f>IFERROR(__xludf.DUMMYFUNCTION("""COMPUTED_VALUE"""),"Link")</f>
        <v>Link</v>
      </c>
      <c r="K135" s="139" t="str">
        <f>IFERROR(__xludf.DUMMYFUNCTION("""COMPUTED_VALUE"""),"Link")</f>
        <v>Link</v>
      </c>
      <c r="L135" s="139" t="str">
        <f>IFERROR(__xludf.DUMMYFUNCTION("""COMPUTED_VALUE"""),"Link")</f>
        <v>Link</v>
      </c>
      <c r="M135" s="139" t="str">
        <f>IFERROR(__xludf.DUMMYFUNCTION("""COMPUTED_VALUE"""),"Link")</f>
        <v>Link</v>
      </c>
      <c r="N135" s="142" t="str">
        <f>IFERROR(__xludf.DUMMYFUNCTION("""COMPUTED_VALUE"""),"Link")</f>
        <v>Link</v>
      </c>
      <c r="O135" s="142" t="str">
        <f>IFERROR(__xludf.DUMMYFUNCTION("""COMPUTED_VALUE"""),"Link")</f>
        <v>Link</v>
      </c>
      <c r="P135" s="142" t="str">
        <f>IFERROR(__xludf.DUMMYFUNCTION("""COMPUTED_VALUE"""),"Link")</f>
        <v>Link</v>
      </c>
      <c r="Q135" s="139" t="str">
        <f>IFERROR(__xludf.DUMMYFUNCTION("""COMPUTED_VALUE"""),"Link")</f>
        <v>Link</v>
      </c>
      <c r="R135" s="139" t="str">
        <f>IFERROR(__xludf.DUMMYFUNCTION("""COMPUTED_VALUE"""),"Link")</f>
        <v>Link</v>
      </c>
      <c r="S135" s="141" t="str">
        <f t="shared" si="1"/>
        <v>https://sealeddeck.tech/3TwBD17Asj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43" t="s">
        <v>8374</v>
      </c>
      <c r="B136" s="143" t="s">
        <v>8375</v>
      </c>
      <c r="C136" s="137" t="s">
        <v>8376</v>
      </c>
      <c r="D136" s="124" t="s">
        <v>263</v>
      </c>
      <c r="E136" s="138">
        <v>17.0</v>
      </c>
      <c r="F136" s="138">
        <v>11.0</v>
      </c>
      <c r="G136" s="139" t="str">
        <f t="array" ref="G136">IF(H136="","",IFERROR(
  "https://sealeddeck.tech/" &amp; INDEX('Pool Changes'!F:F,
    MAX(
      ROW('Pool Changes'!A:A) *
      ('Pool Changes'!B:B=D136) *
      ('Pool Changes'!F:F&lt;&gt;"")
    )
  ),
  ""
))</f>
        <v>https://sealeddeck.tech/jnQGkyzf9j</v>
      </c>
      <c r="H136" s="139" t="str">
        <f>IFERROR(__xludf.DUMMYFUNCTION("LET(changes,FILTER('Pool Changes'!$B:$D, 'Pool Changes'!$B:$B = $D136),added,FILTER(INDEX(changes,0,3),INDEX(changes,0,2)=""starting pool""),TRANSPOSE(IFERROR(ARRAYFORMULA(IF(added&lt;&gt;"""",""https://sealeddeck.tech/""&amp;added,"""")),"""")))"),"https://sealeddeck.tech/YPpX6P34TU")</f>
        <v>https://sealeddeck.tech/YPpX6P34TU</v>
      </c>
      <c r="I136" s="139" t="str">
        <f>IFERROR(__xludf.DUMMYFUNCTION("LET(changes,FILTER('Pool Changes'!$B:$D, 'Pool Changes'!$B:$B = $D136),added,FILTER(INDEX(changes,0,3),INDEX(changes,0,2)=""add pack""),IFERROR(TRANSPOSE(ARRAYFORMULA(IF(added&lt;&gt;"""",HYPERLINK(""https://sealeddeck.tech/""&amp;added,""Link""),""""))),""""))"),"Link")</f>
        <v>Link</v>
      </c>
      <c r="J136" s="139" t="str">
        <f>IFERROR(__xludf.DUMMYFUNCTION("""COMPUTED_VALUE"""),"Link")</f>
        <v>Link</v>
      </c>
      <c r="K136" s="139" t="str">
        <f>IFERROR(__xludf.DUMMYFUNCTION("""COMPUTED_VALUE"""),"Link")</f>
        <v>Link</v>
      </c>
      <c r="L136" s="139" t="str">
        <f>IFERROR(__xludf.DUMMYFUNCTION("""COMPUTED_VALUE"""),"Link")</f>
        <v>Link</v>
      </c>
      <c r="M136" s="139" t="str">
        <f>IFERROR(__xludf.DUMMYFUNCTION("""COMPUTED_VALUE"""),"Link")</f>
        <v>Link</v>
      </c>
      <c r="N136" s="142" t="str">
        <f>IFERROR(__xludf.DUMMYFUNCTION("""COMPUTED_VALUE"""),"Link")</f>
        <v>Link</v>
      </c>
      <c r="O136" s="142" t="str">
        <f>IFERROR(__xludf.DUMMYFUNCTION("""COMPUTED_VALUE"""),"Link")</f>
        <v>Link</v>
      </c>
      <c r="P136" s="142" t="str">
        <f>IFERROR(__xludf.DUMMYFUNCTION("""COMPUTED_VALUE"""),"Link")</f>
        <v>Link</v>
      </c>
      <c r="Q136" s="139" t="str">
        <f>IFERROR(__xludf.DUMMYFUNCTION("""COMPUTED_VALUE"""),"Link")</f>
        <v>Link</v>
      </c>
      <c r="R136" s="139" t="str">
        <f>IFERROR(__xludf.DUMMYFUNCTION("""COMPUTED_VALUE"""),"Link")</f>
        <v>Link</v>
      </c>
      <c r="S136" s="141" t="str">
        <f t="shared" si="1"/>
        <v>https://sealeddeck.tech/7bkaLF4jCB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43" t="s">
        <v>8377</v>
      </c>
      <c r="B137" s="143" t="s">
        <v>8378</v>
      </c>
      <c r="C137" s="137" t="s">
        <v>8379</v>
      </c>
      <c r="D137" s="124" t="s">
        <v>359</v>
      </c>
      <c r="E137" s="138">
        <v>4.0</v>
      </c>
      <c r="F137" s="138">
        <v>11.0</v>
      </c>
      <c r="G137" s="139" t="str">
        <f t="array" ref="G137">IF(H137="","",IFERROR(
  "https://sealeddeck.tech/" &amp; INDEX('Pool Changes'!F:F,
    MAX(
      ROW('Pool Changes'!A:A) *
      ('Pool Changes'!B:B=D137) *
      ('Pool Changes'!F:F&lt;&gt;"")
    )
  ),
  ""
))</f>
        <v>https://sealeddeck.tech/hUV71CHJ2p</v>
      </c>
      <c r="H137" s="139" t="str">
        <f>IFERROR(__xludf.DUMMYFUNCTION("LET(changes,FILTER('Pool Changes'!$B:$D, 'Pool Changes'!$B:$B = $D137),added,FILTER(INDEX(changes,0,3),INDEX(changes,0,2)=""starting pool""),TRANSPOSE(IFERROR(ARRAYFORMULA(IF(added&lt;&gt;"""",""https://sealeddeck.tech/""&amp;added,"""")),"""")))"),"https://sealeddeck.tech/ysv3EF3Afd")</f>
        <v>https://sealeddeck.tech/ysv3EF3Afd</v>
      </c>
      <c r="I137" s="139" t="str">
        <f>IFERROR(__xludf.DUMMYFUNCTION("LET(changes,FILTER('Pool Changes'!$B:$D, 'Pool Changes'!$B:$B = $D137),added,FILTER(INDEX(changes,0,3),INDEX(changes,0,2)=""add pack""),IFERROR(TRANSPOSE(ARRAYFORMULA(IF(added&lt;&gt;"""",HYPERLINK(""https://sealeddeck.tech/""&amp;added,""Link""),""""))),""""))"),"Link")</f>
        <v>Link</v>
      </c>
      <c r="J137" s="139" t="str">
        <f>IFERROR(__xludf.DUMMYFUNCTION("""COMPUTED_VALUE"""),"Link")</f>
        <v>Link</v>
      </c>
      <c r="K137" s="139" t="str">
        <f>IFERROR(__xludf.DUMMYFUNCTION("""COMPUTED_VALUE"""),"Link")</f>
        <v>Link</v>
      </c>
      <c r="L137" s="139" t="str">
        <f>IFERROR(__xludf.DUMMYFUNCTION("""COMPUTED_VALUE"""),"Link")</f>
        <v>Link</v>
      </c>
      <c r="M137" s="139" t="str">
        <f>IFERROR(__xludf.DUMMYFUNCTION("""COMPUTED_VALUE"""),"Link")</f>
        <v>Link</v>
      </c>
      <c r="N137" s="142" t="str">
        <f>IFERROR(__xludf.DUMMYFUNCTION("""COMPUTED_VALUE"""),"Link")</f>
        <v>Link</v>
      </c>
      <c r="O137" s="142" t="str">
        <f>IFERROR(__xludf.DUMMYFUNCTION("""COMPUTED_VALUE"""),"Link")</f>
        <v>Link</v>
      </c>
      <c r="P137" s="142" t="str">
        <f>IFERROR(__xludf.DUMMYFUNCTION("""COMPUTED_VALUE"""),"Link")</f>
        <v>Link</v>
      </c>
      <c r="Q137" s="139" t="str">
        <f>IFERROR(__xludf.DUMMYFUNCTION("""COMPUTED_VALUE"""),"Link")</f>
        <v>Link</v>
      </c>
      <c r="R137" s="139" t="str">
        <f>IFERROR(__xludf.DUMMYFUNCTION("""COMPUTED_VALUE"""),"Link")</f>
        <v>Link</v>
      </c>
      <c r="S137" s="141" t="str">
        <f t="shared" si="1"/>
        <v>https://sealeddeck.tech/KEr2NJcRo7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43" t="s">
        <v>8380</v>
      </c>
      <c r="B138" s="143" t="s">
        <v>8381</v>
      </c>
      <c r="C138" s="137" t="s">
        <v>8382</v>
      </c>
      <c r="D138" s="124" t="s">
        <v>134</v>
      </c>
      <c r="E138" s="138">
        <v>5.0</v>
      </c>
      <c r="F138" s="138">
        <v>11.0</v>
      </c>
      <c r="G138" s="139" t="str">
        <f t="array" ref="G138">IF(H138="","",IFERROR(
  "https://sealeddeck.tech/" &amp; INDEX('Pool Changes'!F:F,
    MAX(
      ROW('Pool Changes'!A:A) *
      ('Pool Changes'!B:B=D138) *
      ('Pool Changes'!F:F&lt;&gt;"")
    )
  ),
  ""
))</f>
        <v>https://sealeddeck.tech/9kPk7TF5GR</v>
      </c>
      <c r="H138" s="139" t="str">
        <f>IFERROR(__xludf.DUMMYFUNCTION("LET(changes,FILTER('Pool Changes'!$B:$D, 'Pool Changes'!$B:$B = $D138),added,FILTER(INDEX(changes,0,3),INDEX(changes,0,2)=""starting pool""),TRANSPOSE(IFERROR(ARRAYFORMULA(IF(added&lt;&gt;"""",""https://sealeddeck.tech/""&amp;added,"""")),"""")))"),"https://sealeddeck.tech/yWUYdyqHNT")</f>
        <v>https://sealeddeck.tech/yWUYdyqHNT</v>
      </c>
      <c r="I138" s="139" t="str">
        <f>IFERROR(__xludf.DUMMYFUNCTION("LET(changes,FILTER('Pool Changes'!$B:$D, 'Pool Changes'!$B:$B = $D138),added,FILTER(INDEX(changes,0,3),INDEX(changes,0,2)=""add pack""),IFERROR(TRANSPOSE(ARRAYFORMULA(IF(added&lt;&gt;"""",HYPERLINK(""https://sealeddeck.tech/""&amp;added,""Link""),""""))),""""))"),"Link")</f>
        <v>Link</v>
      </c>
      <c r="J138" s="139" t="str">
        <f>IFERROR(__xludf.DUMMYFUNCTION("""COMPUTED_VALUE"""),"Link")</f>
        <v>Link</v>
      </c>
      <c r="K138" s="139" t="str">
        <f>IFERROR(__xludf.DUMMYFUNCTION("""COMPUTED_VALUE"""),"Link")</f>
        <v>Link</v>
      </c>
      <c r="L138" s="139" t="str">
        <f>IFERROR(__xludf.DUMMYFUNCTION("""COMPUTED_VALUE"""),"Link")</f>
        <v>Link</v>
      </c>
      <c r="M138" s="139" t="str">
        <f>IFERROR(__xludf.DUMMYFUNCTION("""COMPUTED_VALUE"""),"Link")</f>
        <v>Link</v>
      </c>
      <c r="N138" s="142" t="str">
        <f>IFERROR(__xludf.DUMMYFUNCTION("""COMPUTED_VALUE"""),"Link")</f>
        <v>Link</v>
      </c>
      <c r="O138" s="142" t="str">
        <f>IFERROR(__xludf.DUMMYFUNCTION("""COMPUTED_VALUE"""),"Link")</f>
        <v>Link</v>
      </c>
      <c r="P138" s="142" t="str">
        <f>IFERROR(__xludf.DUMMYFUNCTION("""COMPUTED_VALUE"""),"Link")</f>
        <v>Link</v>
      </c>
      <c r="Q138" s="139" t="str">
        <f>IFERROR(__xludf.DUMMYFUNCTION("""COMPUTED_VALUE"""),"Link")</f>
        <v>Link</v>
      </c>
      <c r="R138" s="139" t="str">
        <f>IFERROR(__xludf.DUMMYFUNCTION("""COMPUTED_VALUE"""),"Link")</f>
        <v>Link</v>
      </c>
      <c r="S138" s="141" t="str">
        <f t="shared" si="1"/>
        <v>https://sealeddeck.tech/63btcqYy82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43" t="s">
        <v>8383</v>
      </c>
      <c r="B139" s="143" t="s">
        <v>8384</v>
      </c>
      <c r="C139" s="137" t="s">
        <v>8385</v>
      </c>
      <c r="D139" s="124" t="s">
        <v>301</v>
      </c>
      <c r="E139" s="138">
        <v>7.0</v>
      </c>
      <c r="F139" s="138">
        <v>11.0</v>
      </c>
      <c r="G139" s="139" t="str">
        <f t="array" ref="G139">IF(H139="","",IFERROR(
  "https://sealeddeck.tech/" &amp; INDEX('Pool Changes'!F:F,
    MAX(
      ROW('Pool Changes'!A:A) *
      ('Pool Changes'!B:B=D139) *
      ('Pool Changes'!F:F&lt;&gt;"")
    )
  ),
  ""
))</f>
        <v>https://sealeddeck.tech/fhcB1gt4Sz</v>
      </c>
      <c r="H139" s="139" t="str">
        <f>IFERROR(__xludf.DUMMYFUNCTION("LET(changes,FILTER('Pool Changes'!$B:$D, 'Pool Changes'!$B:$B = $D139),added,FILTER(INDEX(changes,0,3),INDEX(changes,0,2)=""starting pool""),TRANSPOSE(IFERROR(ARRAYFORMULA(IF(added&lt;&gt;"""",""https://sealeddeck.tech/""&amp;added,"""")),"""")))"),"https://sealeddeck.tech/YArx1RiTN5")</f>
        <v>https://sealeddeck.tech/YArx1RiTN5</v>
      </c>
      <c r="I139" s="139" t="str">
        <f>IFERROR(__xludf.DUMMYFUNCTION("LET(changes,FILTER('Pool Changes'!$B:$D, 'Pool Changes'!$B:$B = $D139),added,FILTER(INDEX(changes,0,3),INDEX(changes,0,2)=""add pack""),IFERROR(TRANSPOSE(ARRAYFORMULA(IF(added&lt;&gt;"""",HYPERLINK(""https://sealeddeck.tech/""&amp;added,""Link""),""""))),""""))"),"Link")</f>
        <v>Link</v>
      </c>
      <c r="J139" s="139" t="str">
        <f>IFERROR(__xludf.DUMMYFUNCTION("""COMPUTED_VALUE"""),"Link")</f>
        <v>Link</v>
      </c>
      <c r="K139" s="139" t="str">
        <f>IFERROR(__xludf.DUMMYFUNCTION("""COMPUTED_VALUE"""),"Link")</f>
        <v>Link</v>
      </c>
      <c r="L139" s="139" t="str">
        <f>IFERROR(__xludf.DUMMYFUNCTION("""COMPUTED_VALUE"""),"Link")</f>
        <v>Link</v>
      </c>
      <c r="M139" s="139" t="str">
        <f>IFERROR(__xludf.DUMMYFUNCTION("""COMPUTED_VALUE"""),"Link")</f>
        <v>Link</v>
      </c>
      <c r="N139" s="142" t="str">
        <f>IFERROR(__xludf.DUMMYFUNCTION("""COMPUTED_VALUE"""),"Link")</f>
        <v>Link</v>
      </c>
      <c r="O139" s="142" t="str">
        <f>IFERROR(__xludf.DUMMYFUNCTION("""COMPUTED_VALUE"""),"Link")</f>
        <v>Link</v>
      </c>
      <c r="P139" s="142" t="str">
        <f>IFERROR(__xludf.DUMMYFUNCTION("""COMPUTED_VALUE"""),"Link")</f>
        <v>Link</v>
      </c>
      <c r="Q139" s="139" t="str">
        <f>IFERROR(__xludf.DUMMYFUNCTION("""COMPUTED_VALUE"""),"Link")</f>
        <v>Link</v>
      </c>
      <c r="R139" s="139" t="str">
        <f>IFERROR(__xludf.DUMMYFUNCTION("""COMPUTED_VALUE"""),"Link")</f>
        <v>Link</v>
      </c>
      <c r="S139" s="141" t="str">
        <f t="shared" si="1"/>
        <v>https://sealeddeck.tech/RsFikPUydb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43" t="s">
        <v>8386</v>
      </c>
      <c r="B140" s="143" t="s">
        <v>8387</v>
      </c>
      <c r="C140" s="137" t="s">
        <v>8388</v>
      </c>
      <c r="D140" s="124" t="s">
        <v>355</v>
      </c>
      <c r="E140" s="138">
        <v>5.0</v>
      </c>
      <c r="F140" s="138">
        <v>11.0</v>
      </c>
      <c r="G140" s="139" t="str">
        <f t="array" ref="G140">IF(H140="","",IFERROR(
  "https://sealeddeck.tech/" &amp; INDEX('Pool Changes'!F:F,
    MAX(
      ROW('Pool Changes'!A:A) *
      ('Pool Changes'!B:B=D140) *
      ('Pool Changes'!F:F&lt;&gt;"")
    )
  ),
  ""
))</f>
        <v>https://sealeddeck.tech/ytFhKNibPi</v>
      </c>
      <c r="H140" s="139" t="str">
        <f>IFERROR(__xludf.DUMMYFUNCTION("LET(changes,FILTER('Pool Changes'!$B:$D, 'Pool Changes'!$B:$B = $D140),added,FILTER(INDEX(changes,0,3),INDEX(changes,0,2)=""starting pool""),TRANSPOSE(IFERROR(ARRAYFORMULA(IF(added&lt;&gt;"""",""https://sealeddeck.tech/""&amp;added,"""")),"""")))"),"https://sealeddeck.tech/LWjBaxR1HE")</f>
        <v>https://sealeddeck.tech/LWjBaxR1HE</v>
      </c>
      <c r="I140" s="139" t="str">
        <f>IFERROR(__xludf.DUMMYFUNCTION("LET(changes,FILTER('Pool Changes'!$B:$D, 'Pool Changes'!$B:$B = $D140),added,FILTER(INDEX(changes,0,3),INDEX(changes,0,2)=""add pack""),IFERROR(TRANSPOSE(ARRAYFORMULA(IF(added&lt;&gt;"""",HYPERLINK(""https://sealeddeck.tech/""&amp;added,""Link""),""""))),""""))"),"Link")</f>
        <v>Link</v>
      </c>
      <c r="J140" s="139" t="str">
        <f>IFERROR(__xludf.DUMMYFUNCTION("""COMPUTED_VALUE"""),"Link")</f>
        <v>Link</v>
      </c>
      <c r="K140" s="139" t="str">
        <f>IFERROR(__xludf.DUMMYFUNCTION("""COMPUTED_VALUE"""),"Link")</f>
        <v>Link</v>
      </c>
      <c r="L140" s="139" t="str">
        <f>IFERROR(__xludf.DUMMYFUNCTION("""COMPUTED_VALUE"""),"Link")</f>
        <v>Link</v>
      </c>
      <c r="M140" s="139" t="str">
        <f>IFERROR(__xludf.DUMMYFUNCTION("""COMPUTED_VALUE"""),"Link")</f>
        <v>Link</v>
      </c>
      <c r="N140" s="142" t="str">
        <f>IFERROR(__xludf.DUMMYFUNCTION("""COMPUTED_VALUE"""),"Link")</f>
        <v>Link</v>
      </c>
      <c r="O140" s="142" t="str">
        <f>IFERROR(__xludf.DUMMYFUNCTION("""COMPUTED_VALUE"""),"Link")</f>
        <v>Link</v>
      </c>
      <c r="P140" s="142" t="str">
        <f>IFERROR(__xludf.DUMMYFUNCTION("""COMPUTED_VALUE"""),"Link")</f>
        <v>Link</v>
      </c>
      <c r="Q140" s="139" t="str">
        <f>IFERROR(__xludf.DUMMYFUNCTION("""COMPUTED_VALUE"""),"Link")</f>
        <v>Link</v>
      </c>
      <c r="R140" s="139" t="str">
        <f>IFERROR(__xludf.DUMMYFUNCTION("""COMPUTED_VALUE"""),"Link")</f>
        <v>Link</v>
      </c>
      <c r="S140" s="141" t="str">
        <f t="shared" si="1"/>
        <v>https://sealeddeck.tech/gKBXjfdz2T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43" t="s">
        <v>8389</v>
      </c>
      <c r="B141" s="143" t="s">
        <v>8390</v>
      </c>
      <c r="C141" s="137" t="s">
        <v>8391</v>
      </c>
      <c r="D141" s="124" t="s">
        <v>277</v>
      </c>
      <c r="E141" s="138">
        <v>13.0</v>
      </c>
      <c r="F141" s="138">
        <v>11.0</v>
      </c>
      <c r="G141" s="139" t="str">
        <f t="array" ref="G141">IF(H141="","",IFERROR(
  "https://sealeddeck.tech/" &amp; INDEX('Pool Changes'!F:F,
    MAX(
      ROW('Pool Changes'!A:A) *
      ('Pool Changes'!B:B=D141) *
      ('Pool Changes'!F:F&lt;&gt;"")
    )
  ),
  ""
))</f>
        <v>https://sealeddeck.tech/wbYhUFE87v</v>
      </c>
      <c r="H141" s="139" t="str">
        <f>IFERROR(__xludf.DUMMYFUNCTION("LET(changes,FILTER('Pool Changes'!$B:$D, 'Pool Changes'!$B:$B = $D141),added,FILTER(INDEX(changes,0,3),INDEX(changes,0,2)=""starting pool""),TRANSPOSE(IFERROR(ARRAYFORMULA(IF(added&lt;&gt;"""",""https://sealeddeck.tech/""&amp;added,"""")),"""")))"),"https://sealeddeck.tech/5cpDWCTrr6")</f>
        <v>https://sealeddeck.tech/5cpDWCTrr6</v>
      </c>
      <c r="I141" s="139" t="str">
        <f>IFERROR(__xludf.DUMMYFUNCTION("LET(changes,FILTER('Pool Changes'!$B:$D, 'Pool Changes'!$B:$B = $D141),added,FILTER(INDEX(changes,0,3),INDEX(changes,0,2)=""add pack""),IFERROR(TRANSPOSE(ARRAYFORMULA(IF(added&lt;&gt;"""",HYPERLINK(""https://sealeddeck.tech/""&amp;added,""Link""),""""))),""""))"),"Link")</f>
        <v>Link</v>
      </c>
      <c r="J141" s="139" t="str">
        <f>IFERROR(__xludf.DUMMYFUNCTION("""COMPUTED_VALUE"""),"Link")</f>
        <v>Link</v>
      </c>
      <c r="K141" s="139" t="str">
        <f>IFERROR(__xludf.DUMMYFUNCTION("""COMPUTED_VALUE"""),"Link")</f>
        <v>Link</v>
      </c>
      <c r="L141" s="139" t="str">
        <f>IFERROR(__xludf.DUMMYFUNCTION("""COMPUTED_VALUE"""),"Link")</f>
        <v>Link</v>
      </c>
      <c r="M141" s="139" t="str">
        <f>IFERROR(__xludf.DUMMYFUNCTION("""COMPUTED_VALUE"""),"Link")</f>
        <v>Link</v>
      </c>
      <c r="N141" s="142" t="str">
        <f>IFERROR(__xludf.DUMMYFUNCTION("""COMPUTED_VALUE"""),"Link")</f>
        <v>Link</v>
      </c>
      <c r="O141" s="142" t="str">
        <f>IFERROR(__xludf.DUMMYFUNCTION("""COMPUTED_VALUE"""),"Link")</f>
        <v>Link</v>
      </c>
      <c r="P141" s="142" t="str">
        <f>IFERROR(__xludf.DUMMYFUNCTION("""COMPUTED_VALUE"""),"Link")</f>
        <v>Link</v>
      </c>
      <c r="Q141" s="139" t="str">
        <f>IFERROR(__xludf.DUMMYFUNCTION("""COMPUTED_VALUE"""),"Link")</f>
        <v>Link</v>
      </c>
      <c r="R141" s="139" t="str">
        <f>IFERROR(__xludf.DUMMYFUNCTION("""COMPUTED_VALUE"""),"Link")</f>
        <v>Link</v>
      </c>
      <c r="S141" s="141" t="str">
        <f t="shared" si="1"/>
        <v>https://sealeddeck.tech/jnQGkyzf9j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43" t="s">
        <v>8392</v>
      </c>
      <c r="B142" s="143" t="s">
        <v>8393</v>
      </c>
      <c r="C142" s="137" t="s">
        <v>8394</v>
      </c>
      <c r="D142" s="124" t="s">
        <v>248</v>
      </c>
      <c r="E142" s="138">
        <v>1.0</v>
      </c>
      <c r="F142" s="138">
        <v>11.0</v>
      </c>
      <c r="G142" s="139" t="str">
        <f t="array" ref="G142">IF(H142="","",IFERROR(
  "https://sealeddeck.tech/" &amp; INDEX('Pool Changes'!F:F,
    MAX(
      ROW('Pool Changes'!A:A) *
      ('Pool Changes'!B:B=D142) *
      ('Pool Changes'!F:F&lt;&gt;"")
    )
  ),
  ""
))</f>
        <v>https://sealeddeck.tech/w649YpxJoF</v>
      </c>
      <c r="H142" s="139" t="str">
        <f>IFERROR(__xludf.DUMMYFUNCTION("LET(changes,FILTER('Pool Changes'!$B:$D, 'Pool Changes'!$B:$B = $D142),added,FILTER(INDEX(changes,0,3),INDEX(changes,0,2)=""starting pool""),TRANSPOSE(IFERROR(ARRAYFORMULA(IF(added&lt;&gt;"""",""https://sealeddeck.tech/""&amp;added,"""")),"""")))"),"https://sealeddeck.tech/2y9G21z9SH")</f>
        <v>https://sealeddeck.tech/2y9G21z9SH</v>
      </c>
      <c r="I142" s="139" t="str">
        <f>IFERROR(__xludf.DUMMYFUNCTION("LET(changes,FILTER('Pool Changes'!$B:$D, 'Pool Changes'!$B:$B = $D142),added,FILTER(INDEX(changes,0,3),INDEX(changes,0,2)=""add pack""),IFERROR(TRANSPOSE(ARRAYFORMULA(IF(added&lt;&gt;"""",HYPERLINK(""https://sealeddeck.tech/""&amp;added,""Link""),""""))),""""))"),"Link")</f>
        <v>Link</v>
      </c>
      <c r="J142" s="139" t="str">
        <f>IFERROR(__xludf.DUMMYFUNCTION("""COMPUTED_VALUE"""),"Link")</f>
        <v>Link</v>
      </c>
      <c r="K142" s="139" t="str">
        <f>IFERROR(__xludf.DUMMYFUNCTION("""COMPUTED_VALUE"""),"Link")</f>
        <v>Link</v>
      </c>
      <c r="L142" s="139" t="str">
        <f>IFERROR(__xludf.DUMMYFUNCTION("""COMPUTED_VALUE"""),"Link")</f>
        <v>Link</v>
      </c>
      <c r="M142" s="139" t="str">
        <f>IFERROR(__xludf.DUMMYFUNCTION("""COMPUTED_VALUE"""),"Link")</f>
        <v>Link</v>
      </c>
      <c r="N142" s="142" t="str">
        <f>IFERROR(__xludf.DUMMYFUNCTION("""COMPUTED_VALUE"""),"Link")</f>
        <v>Link</v>
      </c>
      <c r="O142" s="142" t="str">
        <f>IFERROR(__xludf.DUMMYFUNCTION("""COMPUTED_VALUE"""),"Link")</f>
        <v>Link</v>
      </c>
      <c r="P142" s="142" t="str">
        <f>IFERROR(__xludf.DUMMYFUNCTION("""COMPUTED_VALUE"""),"Link")</f>
        <v>Link</v>
      </c>
      <c r="Q142" s="139" t="str">
        <f>IFERROR(__xludf.DUMMYFUNCTION("""COMPUTED_VALUE"""),"Link")</f>
        <v>Link</v>
      </c>
      <c r="R142" s="139" t="str">
        <f>IFERROR(__xludf.DUMMYFUNCTION("""COMPUTED_VALUE"""),"Link")</f>
        <v>Link</v>
      </c>
      <c r="S142" s="141" t="str">
        <f t="shared" si="1"/>
        <v>https://sealeddeck.tech/hUV71CHJ2p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43" t="s">
        <v>8395</v>
      </c>
      <c r="B143" s="143" t="s">
        <v>8396</v>
      </c>
      <c r="C143" s="137" t="s">
        <v>8397</v>
      </c>
      <c r="D143" s="124" t="s">
        <v>79</v>
      </c>
      <c r="E143" s="138">
        <v>18.0</v>
      </c>
      <c r="F143" s="138">
        <v>11.0</v>
      </c>
      <c r="G143" s="139" t="str">
        <f t="array" ref="G143">IF(H143="","",IFERROR(
  "https://sealeddeck.tech/" &amp; INDEX('Pool Changes'!F:F,
    MAX(
      ROW('Pool Changes'!A:A) *
      ('Pool Changes'!B:B=D143) *
      ('Pool Changes'!F:F&lt;&gt;"")
    )
  ),
  ""
))</f>
        <v>https://sealeddeck.tech/hgwBCt9Bu5</v>
      </c>
      <c r="H143" s="139" t="str">
        <f>IFERROR(__xludf.DUMMYFUNCTION("LET(changes,FILTER('Pool Changes'!$B:$D, 'Pool Changes'!$B:$B = $D143),added,FILTER(INDEX(changes,0,3),INDEX(changes,0,2)=""starting pool""),TRANSPOSE(IFERROR(ARRAYFORMULA(IF(added&lt;&gt;"""",""https://sealeddeck.tech/""&amp;added,"""")),"""")))"),"https://sealeddeck.tech/BnztxeuUsn")</f>
        <v>https://sealeddeck.tech/BnztxeuUsn</v>
      </c>
      <c r="I143" s="139" t="str">
        <f>IFERROR(__xludf.DUMMYFUNCTION("LET(changes,FILTER('Pool Changes'!$B:$D, 'Pool Changes'!$B:$B = $D143),added,FILTER(INDEX(changes,0,3),INDEX(changes,0,2)=""add pack""),IFERROR(TRANSPOSE(ARRAYFORMULA(IF(added&lt;&gt;"""",HYPERLINK(""https://sealeddeck.tech/""&amp;added,""Link""),""""))),""""))"),"Link")</f>
        <v>Link</v>
      </c>
      <c r="J143" s="139" t="str">
        <f>IFERROR(__xludf.DUMMYFUNCTION("""COMPUTED_VALUE"""),"Link")</f>
        <v>Link</v>
      </c>
      <c r="K143" s="139" t="str">
        <f>IFERROR(__xludf.DUMMYFUNCTION("""COMPUTED_VALUE"""),"Link")</f>
        <v>Link</v>
      </c>
      <c r="L143" s="139" t="str">
        <f>IFERROR(__xludf.DUMMYFUNCTION("""COMPUTED_VALUE"""),"Link")</f>
        <v>Link</v>
      </c>
      <c r="M143" s="139" t="str">
        <f>IFERROR(__xludf.DUMMYFUNCTION("""COMPUTED_VALUE"""),"Link")</f>
        <v>Link</v>
      </c>
      <c r="N143" s="142" t="str">
        <f>IFERROR(__xludf.DUMMYFUNCTION("""COMPUTED_VALUE"""),"Link")</f>
        <v>Link</v>
      </c>
      <c r="O143" s="142" t="str">
        <f>IFERROR(__xludf.DUMMYFUNCTION("""COMPUTED_VALUE"""),"Link")</f>
        <v>Link</v>
      </c>
      <c r="P143" s="142" t="str">
        <f>IFERROR(__xludf.DUMMYFUNCTION("""COMPUTED_VALUE"""),"Link")</f>
        <v>Link</v>
      </c>
      <c r="Q143" s="139" t="str">
        <f>IFERROR(__xludf.DUMMYFUNCTION("""COMPUTED_VALUE"""),"Link")</f>
        <v>Link</v>
      </c>
      <c r="R143" s="139" t="str">
        <f>IFERROR(__xludf.DUMMYFUNCTION("""COMPUTED_VALUE"""),"Link")</f>
        <v>Link</v>
      </c>
      <c r="S143" s="141" t="str">
        <f t="shared" si="1"/>
        <v>https://sealeddeck.tech/9kPk7TF5GR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43" t="s">
        <v>86</v>
      </c>
      <c r="B144" s="143" t="s">
        <v>87</v>
      </c>
      <c r="C144" s="137" t="s">
        <v>8406</v>
      </c>
      <c r="D144" s="124" t="s">
        <v>342</v>
      </c>
      <c r="E144" s="138">
        <v>21.0</v>
      </c>
      <c r="F144" s="138">
        <v>9.0</v>
      </c>
      <c r="G144" s="139" t="str">
        <f t="array" ref="G144">IF(H144="","",IFERROR(
  "https://sealeddeck.tech/" &amp; INDEX('Pool Changes'!F:F,
    MAX(
      ROW('Pool Changes'!A:A) *
      ('Pool Changes'!B:B=D144) *
      ('Pool Changes'!F:F&lt;&gt;"")
    )
  ),
  ""
))</f>
        <v>https://sealeddeck.tech/r7CfiCsdro</v>
      </c>
      <c r="H144" s="139" t="str">
        <f>IFERROR(__xludf.DUMMYFUNCTION("LET(changes,FILTER('Pool Changes'!$B:$D, 'Pool Changes'!$B:$B = $D144),added,FILTER(INDEX(changes,0,3),INDEX(changes,0,2)=""starting pool""),TRANSPOSE(IFERROR(ARRAYFORMULA(IF(added&lt;&gt;"""",""https://sealeddeck.tech/""&amp;added,"""")),"""")))"),"https://sealeddeck.tech/9pBQ1kh9uA")</f>
        <v>https://sealeddeck.tech/9pBQ1kh9uA</v>
      </c>
      <c r="I144" s="139" t="str">
        <f>IFERROR(__xludf.DUMMYFUNCTION("LET(changes,FILTER('Pool Changes'!$B:$D, 'Pool Changes'!$B:$B = $D144),added,FILTER(INDEX(changes,0,3),INDEX(changes,0,2)=""add pack""),IFERROR(TRANSPOSE(ARRAYFORMULA(IF(added&lt;&gt;"""",HYPERLINK(""https://sealeddeck.tech/""&amp;added,""Link""),""""))),""""))"),"Link")</f>
        <v>Link</v>
      </c>
      <c r="J144" s="139" t="str">
        <f>IFERROR(__xludf.DUMMYFUNCTION("""COMPUTED_VALUE"""),"Link")</f>
        <v>Link</v>
      </c>
      <c r="K144" s="139" t="str">
        <f>IFERROR(__xludf.DUMMYFUNCTION("""COMPUTED_VALUE"""),"Link")</f>
        <v>Link</v>
      </c>
      <c r="L144" s="139" t="str">
        <f>IFERROR(__xludf.DUMMYFUNCTION("""COMPUTED_VALUE"""),"Link")</f>
        <v>Link</v>
      </c>
      <c r="M144" s="139" t="str">
        <f>IFERROR(__xludf.DUMMYFUNCTION("""COMPUTED_VALUE"""),"Link")</f>
        <v>Link</v>
      </c>
      <c r="N144" s="142" t="str">
        <f>IFERROR(__xludf.DUMMYFUNCTION("""COMPUTED_VALUE"""),"Link")</f>
        <v>Link</v>
      </c>
      <c r="O144" s="142" t="str">
        <f>IFERROR(__xludf.DUMMYFUNCTION("""COMPUTED_VALUE"""),"Link")</f>
        <v>Link</v>
      </c>
      <c r="P144" s="142" t="str">
        <f>IFERROR(__xludf.DUMMYFUNCTION("""COMPUTED_VALUE"""),"Link")</f>
        <v>Link</v>
      </c>
      <c r="Q144" s="139" t="str">
        <f>IFERROR(__xludf.DUMMYFUNCTION("""COMPUTED_VALUE"""),"Link")</f>
        <v>Link</v>
      </c>
      <c r="R144" s="140"/>
      <c r="S144" s="141" t="str">
        <f t="shared" si="1"/>
        <v>https://sealeddeck.tech/fhcB1gt4Sz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43" t="s">
        <v>8407</v>
      </c>
      <c r="B145" s="143" t="s">
        <v>8408</v>
      </c>
      <c r="C145" s="137" t="s">
        <v>8409</v>
      </c>
      <c r="D145" s="124" t="s">
        <v>162</v>
      </c>
      <c r="E145" s="138">
        <v>18.0</v>
      </c>
      <c r="F145" s="138">
        <v>11.0</v>
      </c>
      <c r="G145" s="139" t="str">
        <f t="array" ref="G145">IF(H145="","",IFERROR(
  "https://sealeddeck.tech/" &amp; INDEX('Pool Changes'!F:F,
    MAX(
      ROW('Pool Changes'!A:A) *
      ('Pool Changes'!B:B=D145) *
      ('Pool Changes'!F:F&lt;&gt;"")
    )
  ),
  ""
))</f>
        <v>https://sealeddeck.tech/QRMobiMMBn</v>
      </c>
      <c r="H145" s="139" t="str">
        <f>IFERROR(__xludf.DUMMYFUNCTION("LET(changes,FILTER('Pool Changes'!$B:$D, 'Pool Changes'!$B:$B = $D145),added,FILTER(INDEX(changes,0,3),INDEX(changes,0,2)=""starting pool""),TRANSPOSE(IFERROR(ARRAYFORMULA(IF(added&lt;&gt;"""",""https://sealeddeck.tech/""&amp;added,"""")),"""")))"),"https://sealeddeck.tech/MP9M5XNgJM")</f>
        <v>https://sealeddeck.tech/MP9M5XNgJM</v>
      </c>
      <c r="I145" s="139" t="str">
        <f>IFERROR(__xludf.DUMMYFUNCTION("LET(changes,FILTER('Pool Changes'!$B:$D, 'Pool Changes'!$B:$B = $D145),added,FILTER(INDEX(changes,0,3),INDEX(changes,0,2)=""add pack""),IFERROR(TRANSPOSE(ARRAYFORMULA(IF(added&lt;&gt;"""",HYPERLINK(""https://sealeddeck.tech/""&amp;added,""Link""),""""))),""""))"),"Link")</f>
        <v>Link</v>
      </c>
      <c r="J145" s="139" t="str">
        <f>IFERROR(__xludf.DUMMYFUNCTION("""COMPUTED_VALUE"""),"Link")</f>
        <v>Link</v>
      </c>
      <c r="K145" s="139" t="str">
        <f>IFERROR(__xludf.DUMMYFUNCTION("""COMPUTED_VALUE"""),"Link")</f>
        <v>Link</v>
      </c>
      <c r="L145" s="139" t="str">
        <f>IFERROR(__xludf.DUMMYFUNCTION("""COMPUTED_VALUE"""),"Link")</f>
        <v>Link</v>
      </c>
      <c r="M145" s="139" t="str">
        <f>IFERROR(__xludf.DUMMYFUNCTION("""COMPUTED_VALUE"""),"Link")</f>
        <v>Link</v>
      </c>
      <c r="N145" s="142" t="str">
        <f>IFERROR(__xludf.DUMMYFUNCTION("""COMPUTED_VALUE"""),"Link")</f>
        <v>Link</v>
      </c>
      <c r="O145" s="142" t="str">
        <f>IFERROR(__xludf.DUMMYFUNCTION("""COMPUTED_VALUE"""),"Link")</f>
        <v>Link</v>
      </c>
      <c r="P145" s="142" t="str">
        <f>IFERROR(__xludf.DUMMYFUNCTION("""COMPUTED_VALUE"""),"Link")</f>
        <v>Link</v>
      </c>
      <c r="Q145" s="139" t="str">
        <f>IFERROR(__xludf.DUMMYFUNCTION("""COMPUTED_VALUE"""),"Link")</f>
        <v>Link</v>
      </c>
      <c r="R145" s="139" t="str">
        <f>IFERROR(__xludf.DUMMYFUNCTION("""COMPUTED_VALUE"""),"Link")</f>
        <v>Link</v>
      </c>
      <c r="S145" s="141" t="str">
        <f t="shared" si="1"/>
        <v>https://sealeddeck.tech/ytFhKNibPi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43" t="s">
        <v>8410</v>
      </c>
      <c r="B146" s="143" t="s">
        <v>8411</v>
      </c>
      <c r="C146" s="137" t="s">
        <v>8412</v>
      </c>
      <c r="D146" s="124" t="s">
        <v>242</v>
      </c>
      <c r="E146" s="138">
        <v>1.0</v>
      </c>
      <c r="F146" s="138">
        <v>11.0</v>
      </c>
      <c r="G146" s="139" t="str">
        <f t="array" ref="G146">IF(H146="","",IFERROR(
  "https://sealeddeck.tech/" &amp; INDEX('Pool Changes'!F:F,
    MAX(
      ROW('Pool Changes'!A:A) *
      ('Pool Changes'!B:B=D146) *
      ('Pool Changes'!F:F&lt;&gt;"")
    )
  ),
  ""
))</f>
        <v>https://sealeddeck.tech/rJcMj4Unxz</v>
      </c>
      <c r="H146" s="139" t="str">
        <f>IFERROR(__xludf.DUMMYFUNCTION("LET(changes,FILTER('Pool Changes'!$B:$D, 'Pool Changes'!$B:$B = $D146),added,FILTER(INDEX(changes,0,3),INDEX(changes,0,2)=""starting pool""),TRANSPOSE(IFERROR(ARRAYFORMULA(IF(added&lt;&gt;"""",""https://sealeddeck.tech/""&amp;added,"""")),"""")))"),"https://sealeddeck.tech/c9qwEktoFo")</f>
        <v>https://sealeddeck.tech/c9qwEktoFo</v>
      </c>
      <c r="I146" s="139" t="str">
        <f>IFERROR(__xludf.DUMMYFUNCTION("LET(changes,FILTER('Pool Changes'!$B:$D, 'Pool Changes'!$B:$B = $D146),added,FILTER(INDEX(changes,0,3),INDEX(changes,0,2)=""add pack""),IFERROR(TRANSPOSE(ARRAYFORMULA(IF(added&lt;&gt;"""",HYPERLINK(""https://sealeddeck.tech/""&amp;added,""Link""),""""))),""""))"),"Link")</f>
        <v>Link</v>
      </c>
      <c r="J146" s="139" t="str">
        <f>IFERROR(__xludf.DUMMYFUNCTION("""COMPUTED_VALUE"""),"Link")</f>
        <v>Link</v>
      </c>
      <c r="K146" s="139" t="str">
        <f>IFERROR(__xludf.DUMMYFUNCTION("""COMPUTED_VALUE"""),"Link")</f>
        <v>Link</v>
      </c>
      <c r="L146" s="139" t="str">
        <f>IFERROR(__xludf.DUMMYFUNCTION("""COMPUTED_VALUE"""),"Link")</f>
        <v>Link</v>
      </c>
      <c r="M146" s="140"/>
      <c r="N146" s="140"/>
      <c r="O146" s="140"/>
      <c r="P146" s="140"/>
      <c r="Q146" s="140"/>
      <c r="R146" s="140"/>
      <c r="S146" s="141" t="str">
        <f t="shared" si="1"/>
        <v>https://sealeddeck.tech/wbYhUFE87v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43" t="s">
        <v>8413</v>
      </c>
      <c r="B147" s="143" t="s">
        <v>8414</v>
      </c>
      <c r="C147" s="137" t="s">
        <v>8415</v>
      </c>
      <c r="D147" s="124" t="s">
        <v>303</v>
      </c>
      <c r="E147" s="138">
        <v>6.0</v>
      </c>
      <c r="F147" s="138">
        <v>11.0</v>
      </c>
      <c r="G147" s="139" t="str">
        <f t="array" ref="G147">IF(H147="","",IFERROR(
  "https://sealeddeck.tech/" &amp; INDEX('Pool Changes'!F:F,
    MAX(
      ROW('Pool Changes'!A:A) *
      ('Pool Changes'!B:B=D147) *
      ('Pool Changes'!F:F&lt;&gt;"")
    )
  ),
  ""
))</f>
        <v>https://sealeddeck.tech/mReqoYTbwv</v>
      </c>
      <c r="H147" s="139" t="str">
        <f>IFERROR(__xludf.DUMMYFUNCTION("LET(changes,FILTER('Pool Changes'!$B:$D, 'Pool Changes'!$B:$B = $D147),added,FILTER(INDEX(changes,0,3),INDEX(changes,0,2)=""starting pool""),TRANSPOSE(IFERROR(ARRAYFORMULA(IF(added&lt;&gt;"""",""https://sealeddeck.tech/""&amp;added,"""")),"""")))"),"https://sealeddeck.tech/s233fv6o5y")</f>
        <v>https://sealeddeck.tech/s233fv6o5y</v>
      </c>
      <c r="I147" s="139" t="str">
        <f>IFERROR(__xludf.DUMMYFUNCTION("LET(changes,FILTER('Pool Changes'!$B:$D, 'Pool Changes'!$B:$B = $D147),added,FILTER(INDEX(changes,0,3),INDEX(changes,0,2)=""add pack""),IFERROR(TRANSPOSE(ARRAYFORMULA(IF(added&lt;&gt;"""",HYPERLINK(""https://sealeddeck.tech/""&amp;added,""Link""),""""))),""""))"),"Link")</f>
        <v>Link</v>
      </c>
      <c r="J147" s="139" t="str">
        <f>IFERROR(__xludf.DUMMYFUNCTION("""COMPUTED_VALUE"""),"Link")</f>
        <v>Link</v>
      </c>
      <c r="K147" s="139" t="str">
        <f>IFERROR(__xludf.DUMMYFUNCTION("""COMPUTED_VALUE"""),"Link")</f>
        <v>Link</v>
      </c>
      <c r="L147" s="139" t="str">
        <f>IFERROR(__xludf.DUMMYFUNCTION("""COMPUTED_VALUE"""),"Link")</f>
        <v>Link</v>
      </c>
      <c r="M147" s="139" t="str">
        <f>IFERROR(__xludf.DUMMYFUNCTION("""COMPUTED_VALUE"""),"Link")</f>
        <v>Link</v>
      </c>
      <c r="N147" s="142" t="str">
        <f>IFERROR(__xludf.DUMMYFUNCTION("""COMPUTED_VALUE"""),"Link")</f>
        <v>Link</v>
      </c>
      <c r="O147" s="142" t="str">
        <f>IFERROR(__xludf.DUMMYFUNCTION("""COMPUTED_VALUE"""),"Link")</f>
        <v>Link</v>
      </c>
      <c r="P147" s="142" t="str">
        <f>IFERROR(__xludf.DUMMYFUNCTION("""COMPUTED_VALUE"""),"Link")</f>
        <v>Link</v>
      </c>
      <c r="Q147" s="139" t="str">
        <f>IFERROR(__xludf.DUMMYFUNCTION("""COMPUTED_VALUE"""),"Link")</f>
        <v>Link</v>
      </c>
      <c r="R147" s="139" t="str">
        <f>IFERROR(__xludf.DUMMYFUNCTION("""COMPUTED_VALUE"""),"Link")</f>
        <v>Link</v>
      </c>
      <c r="S147" s="141" t="str">
        <f t="shared" si="1"/>
        <v>https://sealeddeck.tech/w649YpxJoF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43" t="s">
        <v>8416</v>
      </c>
      <c r="B148" s="143" t="s">
        <v>8417</v>
      </c>
      <c r="C148" s="137" t="s">
        <v>8418</v>
      </c>
      <c r="D148" s="124" t="s">
        <v>387</v>
      </c>
      <c r="E148" s="138">
        <v>11.0</v>
      </c>
      <c r="F148" s="138">
        <v>11.0</v>
      </c>
      <c r="G148" s="139" t="str">
        <f t="array" ref="G148">IF(H148="","",IFERROR(
  "https://sealeddeck.tech/" &amp; INDEX('Pool Changes'!F:F,
    MAX(
      ROW('Pool Changes'!A:A) *
      ('Pool Changes'!B:B=D148) *
      ('Pool Changes'!F:F&lt;&gt;"")
    )
  ),
  ""
))</f>
        <v>https://sealeddeck.tech/CisckGt7Mr</v>
      </c>
      <c r="H148" s="139" t="str">
        <f>IFERROR(__xludf.DUMMYFUNCTION("LET(changes,FILTER('Pool Changes'!$B:$D, 'Pool Changes'!$B:$B = $D148),added,FILTER(INDEX(changes,0,3),INDEX(changes,0,2)=""starting pool""),TRANSPOSE(IFERROR(ARRAYFORMULA(IF(added&lt;&gt;"""",""https://sealeddeck.tech/""&amp;added,"""")),"""")))"),"https://sealeddeck.tech/Xq1y7NXZ4Y")</f>
        <v>https://sealeddeck.tech/Xq1y7NXZ4Y</v>
      </c>
      <c r="I148" s="139" t="str">
        <f>IFERROR(__xludf.DUMMYFUNCTION("LET(changes,FILTER('Pool Changes'!$B:$D, 'Pool Changes'!$B:$B = $D148),added,FILTER(INDEX(changes,0,3),INDEX(changes,0,2)=""add pack""),IFERROR(TRANSPOSE(ARRAYFORMULA(IF(added&lt;&gt;"""",HYPERLINK(""https://sealeddeck.tech/""&amp;added,""Link""),""""))),""""))"),"Link")</f>
        <v>Link</v>
      </c>
      <c r="J148" s="139" t="str">
        <f>IFERROR(__xludf.DUMMYFUNCTION("""COMPUTED_VALUE"""),"Link")</f>
        <v>Link</v>
      </c>
      <c r="K148" s="139" t="str">
        <f>IFERROR(__xludf.DUMMYFUNCTION("""COMPUTED_VALUE"""),"Link")</f>
        <v>Link</v>
      </c>
      <c r="L148" s="139" t="str">
        <f>IFERROR(__xludf.DUMMYFUNCTION("""COMPUTED_VALUE"""),"Link")</f>
        <v>Link</v>
      </c>
      <c r="M148" s="139" t="str">
        <f>IFERROR(__xludf.DUMMYFUNCTION("""COMPUTED_VALUE"""),"Link")</f>
        <v>Link</v>
      </c>
      <c r="N148" s="142" t="str">
        <f>IFERROR(__xludf.DUMMYFUNCTION("""COMPUTED_VALUE"""),"Link")</f>
        <v>Link</v>
      </c>
      <c r="O148" s="142" t="str">
        <f>IFERROR(__xludf.DUMMYFUNCTION("""COMPUTED_VALUE"""),"Link")</f>
        <v>Link</v>
      </c>
      <c r="P148" s="142" t="str">
        <f>IFERROR(__xludf.DUMMYFUNCTION("""COMPUTED_VALUE"""),"Link")</f>
        <v>Link</v>
      </c>
      <c r="Q148" s="139" t="str">
        <f>IFERROR(__xludf.DUMMYFUNCTION("""COMPUTED_VALUE"""),"Link")</f>
        <v>Link</v>
      </c>
      <c r="R148" s="139" t="str">
        <f>IFERROR(__xludf.DUMMYFUNCTION("""COMPUTED_VALUE"""),"Link")</f>
        <v>Link</v>
      </c>
      <c r="S148" s="141" t="str">
        <f t="shared" si="1"/>
        <v>https://sealeddeck.tech/hgwBCt9Bu5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43" t="s">
        <v>153</v>
      </c>
      <c r="B149" s="143" t="s">
        <v>155</v>
      </c>
      <c r="C149" s="137" t="s">
        <v>8419</v>
      </c>
      <c r="D149" s="124" t="s">
        <v>143</v>
      </c>
      <c r="E149" s="138">
        <v>20.0</v>
      </c>
      <c r="F149" s="138">
        <v>10.0</v>
      </c>
      <c r="G149" s="139" t="str">
        <f t="array" ref="G149">IF(H149="","",IFERROR(
  "https://sealeddeck.tech/" &amp; INDEX('Pool Changes'!F:F,
    MAX(
      ROW('Pool Changes'!A:A) *
      ('Pool Changes'!B:B=D149) *
      ('Pool Changes'!F:F&lt;&gt;"")
    )
  ),
  ""
))</f>
        <v>https://sealeddeck.tech/pnzQXmB6As</v>
      </c>
      <c r="H149" s="139" t="str">
        <f>IFERROR(__xludf.DUMMYFUNCTION("LET(changes,FILTER('Pool Changes'!$B:$D, 'Pool Changes'!$B:$B = $D149),added,FILTER(INDEX(changes,0,3),INDEX(changes,0,2)=""starting pool""),TRANSPOSE(IFERROR(ARRAYFORMULA(IF(added&lt;&gt;"""",""https://sealeddeck.tech/""&amp;added,"""")),"""")))"),"https://sealeddeck.tech/jA7iR38VBs")</f>
        <v>https://sealeddeck.tech/jA7iR38VBs</v>
      </c>
      <c r="I149" s="139" t="str">
        <f>IFERROR(__xludf.DUMMYFUNCTION("LET(changes,FILTER('Pool Changes'!$B:$D, 'Pool Changes'!$B:$B = $D149),added,FILTER(INDEX(changes,0,3),INDEX(changes,0,2)=""add pack""),IFERROR(TRANSPOSE(ARRAYFORMULA(IF(added&lt;&gt;"""",HYPERLINK(""https://sealeddeck.tech/""&amp;added,""Link""),""""))),""""))"),"Link")</f>
        <v>Link</v>
      </c>
      <c r="J149" s="139" t="str">
        <f>IFERROR(__xludf.DUMMYFUNCTION("""COMPUTED_VALUE"""),"Link")</f>
        <v>Link</v>
      </c>
      <c r="K149" s="139" t="str">
        <f>IFERROR(__xludf.DUMMYFUNCTION("""COMPUTED_VALUE"""),"Link")</f>
        <v>Link</v>
      </c>
      <c r="L149" s="139" t="str">
        <f>IFERROR(__xludf.DUMMYFUNCTION("""COMPUTED_VALUE"""),"Link")</f>
        <v>Link</v>
      </c>
      <c r="M149" s="139" t="str">
        <f>IFERROR(__xludf.DUMMYFUNCTION("""COMPUTED_VALUE"""),"Link")</f>
        <v>Link</v>
      </c>
      <c r="N149" s="142" t="str">
        <f>IFERROR(__xludf.DUMMYFUNCTION("""COMPUTED_VALUE"""),"Link")</f>
        <v>Link</v>
      </c>
      <c r="O149" s="142" t="str">
        <f>IFERROR(__xludf.DUMMYFUNCTION("""COMPUTED_VALUE"""),"Link")</f>
        <v>Link</v>
      </c>
      <c r="P149" s="142" t="str">
        <f>IFERROR(__xludf.DUMMYFUNCTION("""COMPUTED_VALUE"""),"Link")</f>
        <v>Link</v>
      </c>
      <c r="Q149" s="139" t="str">
        <f>IFERROR(__xludf.DUMMYFUNCTION("""COMPUTED_VALUE"""),"Link")</f>
        <v>Link</v>
      </c>
      <c r="R149" s="139" t="str">
        <f>IFERROR(__xludf.DUMMYFUNCTION("""COMPUTED_VALUE"""),"Link")</f>
        <v>Link</v>
      </c>
      <c r="S149" s="141" t="str">
        <f t="shared" si="1"/>
        <v>https://sealeddeck.tech/r7CfiCsdro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43" t="s">
        <v>8420</v>
      </c>
      <c r="B150" s="143" t="s">
        <v>8421</v>
      </c>
      <c r="C150" s="137" t="s">
        <v>8422</v>
      </c>
      <c r="D150" s="124" t="s">
        <v>269</v>
      </c>
      <c r="E150" s="138">
        <v>10.0</v>
      </c>
      <c r="F150" s="138">
        <v>11.0</v>
      </c>
      <c r="G150" s="139" t="str">
        <f t="array" ref="G150">IF(H150="","",IFERROR(
  "https://sealeddeck.tech/" &amp; INDEX('Pool Changes'!F:F,
    MAX(
      ROW('Pool Changes'!A:A) *
      ('Pool Changes'!B:B=D150) *
      ('Pool Changes'!F:F&lt;&gt;"")
    )
  ),
  ""
))</f>
        <v>https://sealeddeck.tech/Wo63rBrH62</v>
      </c>
      <c r="H150" s="139" t="str">
        <f>IFERROR(__xludf.DUMMYFUNCTION("LET(changes,FILTER('Pool Changes'!$B:$D, 'Pool Changes'!$B:$B = $D150),added,FILTER(INDEX(changes,0,3),INDEX(changes,0,2)=""starting pool""),TRANSPOSE(IFERROR(ARRAYFORMULA(IF(added&lt;&gt;"""",""https://sealeddeck.tech/""&amp;added,"""")),"""")))"),"https://sealeddeck.tech/5K17pb9sSG")</f>
        <v>https://sealeddeck.tech/5K17pb9sSG</v>
      </c>
      <c r="I150" s="139" t="str">
        <f>IFERROR(__xludf.DUMMYFUNCTION("LET(changes,FILTER('Pool Changes'!$B:$D, 'Pool Changes'!$B:$B = $D150),added,FILTER(INDEX(changes,0,3),INDEX(changes,0,2)=""add pack""),IFERROR(TRANSPOSE(ARRAYFORMULA(IF(added&lt;&gt;"""",HYPERLINK(""https://sealeddeck.tech/""&amp;added,""Link""),""""))),""""))"),"Link")</f>
        <v>Link</v>
      </c>
      <c r="J150" s="139" t="str">
        <f>IFERROR(__xludf.DUMMYFUNCTION("""COMPUTED_VALUE"""),"Link")</f>
        <v>Link</v>
      </c>
      <c r="K150" s="139" t="str">
        <f>IFERROR(__xludf.DUMMYFUNCTION("""COMPUTED_VALUE"""),"Link")</f>
        <v>Link</v>
      </c>
      <c r="L150" s="139" t="str">
        <f>IFERROR(__xludf.DUMMYFUNCTION("""COMPUTED_VALUE"""),"Link")</f>
        <v>Link</v>
      </c>
      <c r="M150" s="139" t="str">
        <f>IFERROR(__xludf.DUMMYFUNCTION("""COMPUTED_VALUE"""),"Link")</f>
        <v>Link</v>
      </c>
      <c r="N150" s="142" t="str">
        <f>IFERROR(__xludf.DUMMYFUNCTION("""COMPUTED_VALUE"""),"Link")</f>
        <v>Link</v>
      </c>
      <c r="O150" s="142" t="str">
        <f>IFERROR(__xludf.DUMMYFUNCTION("""COMPUTED_VALUE"""),"Link")</f>
        <v>Link</v>
      </c>
      <c r="P150" s="142" t="str">
        <f>IFERROR(__xludf.DUMMYFUNCTION("""COMPUTED_VALUE"""),"Link")</f>
        <v>Link</v>
      </c>
      <c r="Q150" s="139" t="str">
        <f>IFERROR(__xludf.DUMMYFUNCTION("""COMPUTED_VALUE"""),"Link")</f>
        <v>Link</v>
      </c>
      <c r="R150" s="139" t="str">
        <f>IFERROR(__xludf.DUMMYFUNCTION("""COMPUTED_VALUE"""),"Link")</f>
        <v>Link</v>
      </c>
      <c r="S150" s="141" t="str">
        <f t="shared" si="1"/>
        <v>https://sealeddeck.tech/QRMobiMMBn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43" t="s">
        <v>8423</v>
      </c>
      <c r="B151" s="143" t="s">
        <v>8424</v>
      </c>
      <c r="C151" s="137" t="s">
        <v>8425</v>
      </c>
      <c r="D151" s="124" t="s">
        <v>163</v>
      </c>
      <c r="E151" s="138">
        <v>12.0</v>
      </c>
      <c r="F151" s="138">
        <v>11.0</v>
      </c>
      <c r="G151" s="139" t="str">
        <f t="array" ref="G151">IF(H151="","",IFERROR(
  "https://sealeddeck.tech/" &amp; INDEX('Pool Changes'!F:F,
    MAX(
      ROW('Pool Changes'!A:A) *
      ('Pool Changes'!B:B=D151) *
      ('Pool Changes'!F:F&lt;&gt;"")
    )
  ),
  ""
))</f>
        <v>https://sealeddeck.tech/BnA7Ge9nSj</v>
      </c>
      <c r="H151" s="139" t="str">
        <f>IFERROR(__xludf.DUMMYFUNCTION("LET(changes,FILTER('Pool Changes'!$B:$D, 'Pool Changes'!$B:$B = $D151),added,FILTER(INDEX(changes,0,3),INDEX(changes,0,2)=""starting pool""),TRANSPOSE(IFERROR(ARRAYFORMULA(IF(added&lt;&gt;"""",""https://sealeddeck.tech/""&amp;added,"""")),"""")))"),"https://sealeddeck.tech/5FESSszjDY")</f>
        <v>https://sealeddeck.tech/5FESSszjDY</v>
      </c>
      <c r="I151" s="139" t="str">
        <f>IFERROR(__xludf.DUMMYFUNCTION("LET(changes,FILTER('Pool Changes'!$B:$D, 'Pool Changes'!$B:$B = $D151),added,FILTER(INDEX(changes,0,3),INDEX(changes,0,2)=""add pack""),IFERROR(TRANSPOSE(ARRAYFORMULA(IF(added&lt;&gt;"""",HYPERLINK(""https://sealeddeck.tech/""&amp;added,""Link""),""""))),""""))"),"Link")</f>
        <v>Link</v>
      </c>
      <c r="J151" s="139" t="str">
        <f>IFERROR(__xludf.DUMMYFUNCTION("""COMPUTED_VALUE"""),"Link")</f>
        <v>Link</v>
      </c>
      <c r="K151" s="139" t="str">
        <f>IFERROR(__xludf.DUMMYFUNCTION("""COMPUTED_VALUE"""),"Link")</f>
        <v>Link</v>
      </c>
      <c r="L151" s="139" t="str">
        <f>IFERROR(__xludf.DUMMYFUNCTION("""COMPUTED_VALUE"""),"Link")</f>
        <v>Link</v>
      </c>
      <c r="M151" s="139" t="str">
        <f>IFERROR(__xludf.DUMMYFUNCTION("""COMPUTED_VALUE"""),"Link")</f>
        <v>Link</v>
      </c>
      <c r="N151" s="142" t="str">
        <f>IFERROR(__xludf.DUMMYFUNCTION("""COMPUTED_VALUE"""),"Link")</f>
        <v>Link</v>
      </c>
      <c r="O151" s="142" t="str">
        <f>IFERROR(__xludf.DUMMYFUNCTION("""COMPUTED_VALUE"""),"Link")</f>
        <v>Link</v>
      </c>
      <c r="P151" s="142" t="str">
        <f>IFERROR(__xludf.DUMMYFUNCTION("""COMPUTED_VALUE"""),"Link")</f>
        <v>Link</v>
      </c>
      <c r="Q151" s="139" t="str">
        <f>IFERROR(__xludf.DUMMYFUNCTION("""COMPUTED_VALUE"""),"Link")</f>
        <v>Link</v>
      </c>
      <c r="R151" s="139" t="str">
        <f>IFERROR(__xludf.DUMMYFUNCTION("""COMPUTED_VALUE"""),"Link")</f>
        <v>Link</v>
      </c>
      <c r="S151" s="141" t="str">
        <f t="shared" si="1"/>
        <v>https://sealeddeck.tech/rJcMj4Unxz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43" t="s">
        <v>8426</v>
      </c>
      <c r="B152" s="143" t="s">
        <v>8427</v>
      </c>
      <c r="C152" s="137" t="s">
        <v>8428</v>
      </c>
      <c r="D152" s="124" t="s">
        <v>328</v>
      </c>
      <c r="E152" s="138">
        <v>8.0</v>
      </c>
      <c r="F152" s="138">
        <v>11.0</v>
      </c>
      <c r="G152" s="139" t="str">
        <f t="array" ref="G152">IF(H152="","",IFERROR(
  "https://sealeddeck.tech/" &amp; INDEX('Pool Changes'!F:F,
    MAX(
      ROW('Pool Changes'!A:A) *
      ('Pool Changes'!B:B=D152) *
      ('Pool Changes'!F:F&lt;&gt;"")
    )
  ),
  ""
))</f>
        <v>https://sealeddeck.tech/G1vjWhSKLX</v>
      </c>
      <c r="H152" s="139" t="str">
        <f>IFERROR(__xludf.DUMMYFUNCTION("LET(changes,FILTER('Pool Changes'!$B:$D, 'Pool Changes'!$B:$B = $D152),added,FILTER(INDEX(changes,0,3),INDEX(changes,0,2)=""starting pool""),TRANSPOSE(IFERROR(ARRAYFORMULA(IF(added&lt;&gt;"""",""https://sealeddeck.tech/""&amp;added,"""")),"""")))"),"https://sealeddeck.tech/TrxLgxD6Hz")</f>
        <v>https://sealeddeck.tech/TrxLgxD6Hz</v>
      </c>
      <c r="I152" s="139" t="str">
        <f>IFERROR(__xludf.DUMMYFUNCTION("LET(changes,FILTER('Pool Changes'!$B:$D, 'Pool Changes'!$B:$B = $D152),added,FILTER(INDEX(changes,0,3),INDEX(changes,0,2)=""add pack""),IFERROR(TRANSPOSE(ARRAYFORMULA(IF(added&lt;&gt;"""",HYPERLINK(""https://sealeddeck.tech/""&amp;added,""Link""),""""))),""""))"),"Link")</f>
        <v>Link</v>
      </c>
      <c r="J152" s="139" t="str">
        <f>IFERROR(__xludf.DUMMYFUNCTION("""COMPUTED_VALUE"""),"Link")</f>
        <v>Link</v>
      </c>
      <c r="K152" s="139" t="str">
        <f>IFERROR(__xludf.DUMMYFUNCTION("""COMPUTED_VALUE"""),"Link")</f>
        <v>Link</v>
      </c>
      <c r="L152" s="139" t="str">
        <f>IFERROR(__xludf.DUMMYFUNCTION("""COMPUTED_VALUE"""),"Link")</f>
        <v>Link</v>
      </c>
      <c r="M152" s="139" t="str">
        <f>IFERROR(__xludf.DUMMYFUNCTION("""COMPUTED_VALUE"""),"Link")</f>
        <v>Link</v>
      </c>
      <c r="N152" s="142" t="str">
        <f>IFERROR(__xludf.DUMMYFUNCTION("""COMPUTED_VALUE"""),"Link")</f>
        <v>Link</v>
      </c>
      <c r="O152" s="142" t="str">
        <f>IFERROR(__xludf.DUMMYFUNCTION("""COMPUTED_VALUE"""),"Link")</f>
        <v>Link</v>
      </c>
      <c r="P152" s="142" t="str">
        <f>IFERROR(__xludf.DUMMYFUNCTION("""COMPUTED_VALUE"""),"Link")</f>
        <v>Link</v>
      </c>
      <c r="Q152" s="139" t="str">
        <f>IFERROR(__xludf.DUMMYFUNCTION("""COMPUTED_VALUE"""),"Link")</f>
        <v>Link</v>
      </c>
      <c r="R152" s="139" t="str">
        <f>IFERROR(__xludf.DUMMYFUNCTION("""COMPUTED_VALUE"""),"Link")</f>
        <v>Link</v>
      </c>
      <c r="S152" s="141" t="str">
        <f t="shared" si="1"/>
        <v>https://sealeddeck.tech/mReqoYTbwv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43" t="s">
        <v>8429</v>
      </c>
      <c r="B153" s="143" t="s">
        <v>8430</v>
      </c>
      <c r="C153" s="137" t="s">
        <v>8431</v>
      </c>
      <c r="D153" s="124" t="s">
        <v>329</v>
      </c>
      <c r="E153" s="138">
        <v>6.0</v>
      </c>
      <c r="F153" s="138">
        <v>11.0</v>
      </c>
      <c r="G153" s="139" t="str">
        <f t="array" ref="G153">IF(H153="","",IFERROR(
  "https://sealeddeck.tech/" &amp; INDEX('Pool Changes'!F:F,
    MAX(
      ROW('Pool Changes'!A:A) *
      ('Pool Changes'!B:B=D153) *
      ('Pool Changes'!F:F&lt;&gt;"")
    )
  ),
  ""
))</f>
        <v>https://sealeddeck.tech/YaN6DSTmGB</v>
      </c>
      <c r="H153" s="139" t="str">
        <f>IFERROR(__xludf.DUMMYFUNCTION("LET(changes,FILTER('Pool Changes'!$B:$D, 'Pool Changes'!$B:$B = $D153),added,FILTER(INDEX(changes,0,3),INDEX(changes,0,2)=""starting pool""),TRANSPOSE(IFERROR(ARRAYFORMULA(IF(added&lt;&gt;"""",""https://sealeddeck.tech/""&amp;added,"""")),"""")))"),"https://sealeddeck.tech/qJxUG9bte7")</f>
        <v>https://sealeddeck.tech/qJxUG9bte7</v>
      </c>
      <c r="I153" s="139" t="str">
        <f>IFERROR(__xludf.DUMMYFUNCTION("LET(changes,FILTER('Pool Changes'!$B:$D, 'Pool Changes'!$B:$B = $D153),added,FILTER(INDEX(changes,0,3),INDEX(changes,0,2)=""add pack""),IFERROR(TRANSPOSE(ARRAYFORMULA(IF(added&lt;&gt;"""",HYPERLINK(""https://sealeddeck.tech/""&amp;added,""Link""),""""))),""""))"),"Link")</f>
        <v>Link</v>
      </c>
      <c r="J153" s="139" t="str">
        <f>IFERROR(__xludf.DUMMYFUNCTION("""COMPUTED_VALUE"""),"Link")</f>
        <v>Link</v>
      </c>
      <c r="K153" s="139" t="str">
        <f>IFERROR(__xludf.DUMMYFUNCTION("""COMPUTED_VALUE"""),"Link")</f>
        <v>Link</v>
      </c>
      <c r="L153" s="139" t="str">
        <f>IFERROR(__xludf.DUMMYFUNCTION("""COMPUTED_VALUE"""),"Link")</f>
        <v>Link</v>
      </c>
      <c r="M153" s="139" t="str">
        <f>IFERROR(__xludf.DUMMYFUNCTION("""COMPUTED_VALUE"""),"Link")</f>
        <v>Link</v>
      </c>
      <c r="N153" s="142" t="str">
        <f>IFERROR(__xludf.DUMMYFUNCTION("""COMPUTED_VALUE"""),"Link")</f>
        <v>Link</v>
      </c>
      <c r="O153" s="142" t="str">
        <f>IFERROR(__xludf.DUMMYFUNCTION("""COMPUTED_VALUE"""),"Link")</f>
        <v>Link</v>
      </c>
      <c r="P153" s="142" t="str">
        <f>IFERROR(__xludf.DUMMYFUNCTION("""COMPUTED_VALUE"""),"Link")</f>
        <v>Link</v>
      </c>
      <c r="Q153" s="139" t="str">
        <f>IFERROR(__xludf.DUMMYFUNCTION("""COMPUTED_VALUE"""),"Link")</f>
        <v>Link</v>
      </c>
      <c r="R153" s="139" t="str">
        <f>IFERROR(__xludf.DUMMYFUNCTION("""COMPUTED_VALUE"""),"Link")</f>
        <v>Link</v>
      </c>
      <c r="S153" s="141" t="str">
        <f t="shared" si="1"/>
        <v>https://sealeddeck.tech/CisckGt7Mr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43" t="s">
        <v>8432</v>
      </c>
      <c r="B154" s="143" t="s">
        <v>8433</v>
      </c>
      <c r="C154" s="137" t="s">
        <v>8434</v>
      </c>
      <c r="D154" s="124" t="s">
        <v>258</v>
      </c>
      <c r="E154" s="138">
        <v>12.0</v>
      </c>
      <c r="F154" s="138">
        <v>11.0</v>
      </c>
      <c r="G154" s="139" t="str">
        <f t="array" ref="G154">IF(H154="","",IFERROR(
  "https://sealeddeck.tech/" &amp; INDEX('Pool Changes'!F:F,
    MAX(
      ROW('Pool Changes'!A:A) *
      ('Pool Changes'!B:B=D154) *
      ('Pool Changes'!F:F&lt;&gt;"")
    )
  ),
  ""
))</f>
        <v>https://sealeddeck.tech/G9F2knZzRj</v>
      </c>
      <c r="H154" s="139" t="str">
        <f>IFERROR(__xludf.DUMMYFUNCTION("LET(changes,FILTER('Pool Changes'!$B:$D, 'Pool Changes'!$B:$B = $D154),added,FILTER(INDEX(changes,0,3),INDEX(changes,0,2)=""starting pool""),TRANSPOSE(IFERROR(ARRAYFORMULA(IF(added&lt;&gt;"""",""https://sealeddeck.tech/""&amp;added,"""")),"""")))"),"https://sealeddeck.tech/YpR5TVqaKQ")</f>
        <v>https://sealeddeck.tech/YpR5TVqaKQ</v>
      </c>
      <c r="I154" s="139" t="str">
        <f>IFERROR(__xludf.DUMMYFUNCTION("LET(changes,FILTER('Pool Changes'!$B:$D, 'Pool Changes'!$B:$B = $D154),added,FILTER(INDEX(changes,0,3),INDEX(changes,0,2)=""add pack""),IFERROR(TRANSPOSE(ARRAYFORMULA(IF(added&lt;&gt;"""",HYPERLINK(""https://sealeddeck.tech/""&amp;added,""Link""),""""))),""""))"),"Link")</f>
        <v>Link</v>
      </c>
      <c r="J154" s="139" t="str">
        <f>IFERROR(__xludf.DUMMYFUNCTION("""COMPUTED_VALUE"""),"Link")</f>
        <v>Link</v>
      </c>
      <c r="K154" s="139" t="str">
        <f>IFERROR(__xludf.DUMMYFUNCTION("""COMPUTED_VALUE"""),"Link")</f>
        <v>Link</v>
      </c>
      <c r="L154" s="139" t="str">
        <f>IFERROR(__xludf.DUMMYFUNCTION("""COMPUTED_VALUE"""),"Link")</f>
        <v>Link</v>
      </c>
      <c r="M154" s="139" t="str">
        <f>IFERROR(__xludf.DUMMYFUNCTION("""COMPUTED_VALUE"""),"Link")</f>
        <v>Link</v>
      </c>
      <c r="N154" s="142" t="str">
        <f>IFERROR(__xludf.DUMMYFUNCTION("""COMPUTED_VALUE"""),"Link")</f>
        <v>Link</v>
      </c>
      <c r="O154" s="142" t="str">
        <f>IFERROR(__xludf.DUMMYFUNCTION("""COMPUTED_VALUE"""),"Link")</f>
        <v>Link</v>
      </c>
      <c r="P154" s="142" t="str">
        <f>IFERROR(__xludf.DUMMYFUNCTION("""COMPUTED_VALUE"""),"Link")</f>
        <v>Link</v>
      </c>
      <c r="Q154" s="139" t="str">
        <f>IFERROR(__xludf.DUMMYFUNCTION("""COMPUTED_VALUE"""),"Link")</f>
        <v>Link</v>
      </c>
      <c r="R154" s="139" t="str">
        <f>IFERROR(__xludf.DUMMYFUNCTION("""COMPUTED_VALUE"""),"Link")</f>
        <v>Link</v>
      </c>
      <c r="S154" s="141" t="str">
        <f t="shared" si="1"/>
        <v>https://sealeddeck.tech/pnzQXmB6As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43" t="s">
        <v>8435</v>
      </c>
      <c r="B155" s="143" t="s">
        <v>8436</v>
      </c>
      <c r="C155" s="137" t="s">
        <v>8437</v>
      </c>
      <c r="D155" s="124" t="s">
        <v>156</v>
      </c>
      <c r="E155" s="138">
        <v>0.0</v>
      </c>
      <c r="F155" s="138">
        <v>11.0</v>
      </c>
      <c r="G155" s="139" t="str">
        <f t="array" ref="G155">IF(H155="","",IFERROR(
  "https://sealeddeck.tech/" &amp; INDEX('Pool Changes'!F:F,
    MAX(
      ROW('Pool Changes'!A:A) *
      ('Pool Changes'!B:B=D155) *
      ('Pool Changes'!F:F&lt;&gt;"")
    )
  ),
  ""
))</f>
        <v>https://sealeddeck.tech/CCqNDhwZ1b</v>
      </c>
      <c r="H155" s="139" t="str">
        <f>IFERROR(__xludf.DUMMYFUNCTION("LET(changes,FILTER('Pool Changes'!$B:$D, 'Pool Changes'!$B:$B = $D155),added,FILTER(INDEX(changes,0,3),INDEX(changes,0,2)=""starting pool""),TRANSPOSE(IFERROR(ARRAYFORMULA(IF(added&lt;&gt;"""",""https://sealeddeck.tech/""&amp;added,"""")),"""")))"),"https://sealeddeck.tech/gkXVAp5nSh")</f>
        <v>https://sealeddeck.tech/gkXVAp5nSh</v>
      </c>
      <c r="I155" s="139" t="str">
        <f>IFERROR(__xludf.DUMMYFUNCTION("LET(changes,FILTER('Pool Changes'!$B:$D, 'Pool Changes'!$B:$B = $D155),added,FILTER(INDEX(changes,0,3),INDEX(changes,0,2)=""add pack""),IFERROR(TRANSPOSE(ARRAYFORMULA(IF(added&lt;&gt;"""",HYPERLINK(""https://sealeddeck.tech/""&amp;added,""Link""),""""))),""""))"),"Link")</f>
        <v>Link</v>
      </c>
      <c r="J155" s="139" t="str">
        <f>IFERROR(__xludf.DUMMYFUNCTION("""COMPUTED_VALUE"""),"Link")</f>
        <v>Link</v>
      </c>
      <c r="K155" s="139" t="str">
        <f>IFERROR(__xludf.DUMMYFUNCTION("""COMPUTED_VALUE"""),"Link")</f>
        <v>Link</v>
      </c>
      <c r="L155" s="139" t="str">
        <f>IFERROR(__xludf.DUMMYFUNCTION("""COMPUTED_VALUE"""),"Link")</f>
        <v>Link</v>
      </c>
      <c r="M155" s="139" t="str">
        <f>IFERROR(__xludf.DUMMYFUNCTION("""COMPUTED_VALUE"""),"Link")</f>
        <v>Link</v>
      </c>
      <c r="N155" s="142" t="str">
        <f>IFERROR(__xludf.DUMMYFUNCTION("""COMPUTED_VALUE"""),"Link")</f>
        <v>Link</v>
      </c>
      <c r="O155" s="140"/>
      <c r="P155" s="140"/>
      <c r="Q155" s="140"/>
      <c r="R155" s="140"/>
      <c r="S155" s="141" t="str">
        <f t="shared" si="1"/>
        <v>https://sealeddeck.tech/Wo63rBrH62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43" t="s">
        <v>8438</v>
      </c>
      <c r="B156" s="143" t="s">
        <v>8439</v>
      </c>
      <c r="C156" s="137" t="s">
        <v>8440</v>
      </c>
      <c r="D156" s="124" t="s">
        <v>394</v>
      </c>
      <c r="E156" s="138">
        <v>5.0</v>
      </c>
      <c r="F156" s="138">
        <v>11.0</v>
      </c>
      <c r="G156" s="139" t="str">
        <f t="array" ref="G156">IF(H156="","",IFERROR(
  "https://sealeddeck.tech/" &amp; INDEX('Pool Changes'!F:F,
    MAX(
      ROW('Pool Changes'!A:A) *
      ('Pool Changes'!B:B=D156) *
      ('Pool Changes'!F:F&lt;&gt;"")
    )
  ),
  ""
))</f>
        <v>https://sealeddeck.tech/naQTib5x72</v>
      </c>
      <c r="H156" s="139" t="str">
        <f>IFERROR(__xludf.DUMMYFUNCTION("LET(changes,FILTER('Pool Changes'!$B:$D, 'Pool Changes'!$B:$B = $D156),added,FILTER(INDEX(changes,0,3),INDEX(changes,0,2)=""starting pool""),TRANSPOSE(IFERROR(ARRAYFORMULA(IF(added&lt;&gt;"""",""https://sealeddeck.tech/""&amp;added,"""")),"""")))"),"https://sealeddeck.tech/Bj9UtRHPmW")</f>
        <v>https://sealeddeck.tech/Bj9UtRHPmW</v>
      </c>
      <c r="I156" s="139" t="str">
        <f>IFERROR(__xludf.DUMMYFUNCTION("LET(changes,FILTER('Pool Changes'!$B:$D, 'Pool Changes'!$B:$B = $D156),added,FILTER(INDEX(changes,0,3),INDEX(changes,0,2)=""add pack""),IFERROR(TRANSPOSE(ARRAYFORMULA(IF(added&lt;&gt;"""",HYPERLINK(""https://sealeddeck.tech/""&amp;added,""Link""),""""))),""""))"),"Link")</f>
        <v>Link</v>
      </c>
      <c r="J156" s="139" t="str">
        <f>IFERROR(__xludf.DUMMYFUNCTION("""COMPUTED_VALUE"""),"Link")</f>
        <v>Link</v>
      </c>
      <c r="K156" s="139" t="str">
        <f>IFERROR(__xludf.DUMMYFUNCTION("""COMPUTED_VALUE"""),"Link")</f>
        <v>Link</v>
      </c>
      <c r="L156" s="139" t="str">
        <f>IFERROR(__xludf.DUMMYFUNCTION("""COMPUTED_VALUE"""),"Link")</f>
        <v>Link</v>
      </c>
      <c r="M156" s="139" t="str">
        <f>IFERROR(__xludf.DUMMYFUNCTION("""COMPUTED_VALUE"""),"Link")</f>
        <v>Link</v>
      </c>
      <c r="N156" s="142" t="str">
        <f>IFERROR(__xludf.DUMMYFUNCTION("""COMPUTED_VALUE"""),"Link")</f>
        <v>Link</v>
      </c>
      <c r="O156" s="142" t="str">
        <f>IFERROR(__xludf.DUMMYFUNCTION("""COMPUTED_VALUE"""),"Link")</f>
        <v>Link</v>
      </c>
      <c r="P156" s="142" t="str">
        <f>IFERROR(__xludf.DUMMYFUNCTION("""COMPUTED_VALUE"""),"Link")</f>
        <v>Link</v>
      </c>
      <c r="Q156" s="140"/>
      <c r="R156" s="140"/>
      <c r="S156" s="141" t="str">
        <f t="shared" si="1"/>
        <v>https://sealeddeck.tech/BnA7Ge9nSj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43" t="s">
        <v>53</v>
      </c>
      <c r="B157" s="143" t="s">
        <v>56</v>
      </c>
      <c r="C157" s="137" t="s">
        <v>8441</v>
      </c>
      <c r="D157" s="124" t="s">
        <v>110</v>
      </c>
      <c r="E157" s="138">
        <v>22.0</v>
      </c>
      <c r="F157" s="138">
        <v>8.0</v>
      </c>
      <c r="G157" s="139" t="str">
        <f t="array" ref="G157">IF(H157="","",IFERROR(
  "https://sealeddeck.tech/" &amp; INDEX('Pool Changes'!F:F,
    MAX(
      ROW('Pool Changes'!A:A) *
      ('Pool Changes'!B:B=D157) *
      ('Pool Changes'!F:F&lt;&gt;"")
    )
  ),
  ""
))</f>
        <v>https://sealeddeck.tech/YfvykXXEyk</v>
      </c>
      <c r="H157" s="139" t="str">
        <f>IFERROR(__xludf.DUMMYFUNCTION("LET(changes,FILTER('Pool Changes'!$B:$D, 'Pool Changes'!$B:$B = $D157),added,FILTER(INDEX(changes,0,3),INDEX(changes,0,2)=""starting pool""),TRANSPOSE(IFERROR(ARRAYFORMULA(IF(added&lt;&gt;"""",""https://sealeddeck.tech/""&amp;added,"""")),"""")))"),"https://sealeddeck.tech/5HHabLrYJZ")</f>
        <v>https://sealeddeck.tech/5HHabLrYJZ</v>
      </c>
      <c r="I157" s="139" t="str">
        <f>IFERROR(__xludf.DUMMYFUNCTION("LET(changes,FILTER('Pool Changes'!$B:$D, 'Pool Changes'!$B:$B = $D157),added,FILTER(INDEX(changes,0,3),INDEX(changes,0,2)=""add pack""),IFERROR(TRANSPOSE(ARRAYFORMULA(IF(added&lt;&gt;"""",HYPERLINK(""https://sealeddeck.tech/""&amp;added,""Link""),""""))),""""))"),"Link")</f>
        <v>Link</v>
      </c>
      <c r="J157" s="139" t="str">
        <f>IFERROR(__xludf.DUMMYFUNCTION("""COMPUTED_VALUE"""),"Link")</f>
        <v>Link</v>
      </c>
      <c r="K157" s="139" t="str">
        <f>IFERROR(__xludf.DUMMYFUNCTION("""COMPUTED_VALUE"""),"Link")</f>
        <v>Link</v>
      </c>
      <c r="L157" s="139" t="str">
        <f>IFERROR(__xludf.DUMMYFUNCTION("""COMPUTED_VALUE"""),"Link")</f>
        <v>Link</v>
      </c>
      <c r="M157" s="139" t="str">
        <f>IFERROR(__xludf.DUMMYFUNCTION("""COMPUTED_VALUE"""),"Link")</f>
        <v>Link</v>
      </c>
      <c r="N157" s="142" t="str">
        <f>IFERROR(__xludf.DUMMYFUNCTION("""COMPUTED_VALUE"""),"Link")</f>
        <v>Link</v>
      </c>
      <c r="O157" s="142" t="str">
        <f>IFERROR(__xludf.DUMMYFUNCTION("""COMPUTED_VALUE"""),"Link")</f>
        <v>Link</v>
      </c>
      <c r="P157" s="142" t="str">
        <f>IFERROR(__xludf.DUMMYFUNCTION("""COMPUTED_VALUE"""),"Link")</f>
        <v>Link</v>
      </c>
      <c r="Q157" s="140"/>
      <c r="R157" s="140"/>
      <c r="S157" s="141" t="str">
        <f t="shared" si="1"/>
        <v>https://sealeddeck.tech/G1vjWhSKLX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43" t="s">
        <v>8442</v>
      </c>
      <c r="B158" s="143" t="s">
        <v>8443</v>
      </c>
      <c r="C158" s="137" t="s">
        <v>8444</v>
      </c>
      <c r="D158" s="124" t="s">
        <v>198</v>
      </c>
      <c r="E158" s="138">
        <v>12.0</v>
      </c>
      <c r="F158" s="138">
        <v>11.0</v>
      </c>
      <c r="G158" s="139" t="str">
        <f t="array" ref="G158">IF(H158="","",IFERROR(
  "https://sealeddeck.tech/" &amp; INDEX('Pool Changes'!F:F,
    MAX(
      ROW('Pool Changes'!A:A) *
      ('Pool Changes'!B:B=D158) *
      ('Pool Changes'!F:F&lt;&gt;"")
    )
  ),
  ""
))</f>
        <v>https://sealeddeck.tech/ByAez3LLrw</v>
      </c>
      <c r="H158" s="139" t="str">
        <f>IFERROR(__xludf.DUMMYFUNCTION("LET(changes,FILTER('Pool Changes'!$B:$D, 'Pool Changes'!$B:$B = $D158),added,FILTER(INDEX(changes,0,3),INDEX(changes,0,2)=""starting pool""),TRANSPOSE(IFERROR(ARRAYFORMULA(IF(added&lt;&gt;"""",""https://sealeddeck.tech/""&amp;added,"""")),"""")))"),"https://sealeddeck.tech/TME8DtKfyQ")</f>
        <v>https://sealeddeck.tech/TME8DtKfyQ</v>
      </c>
      <c r="I158" s="139" t="str">
        <f>IFERROR(__xludf.DUMMYFUNCTION("LET(changes,FILTER('Pool Changes'!$B:$D, 'Pool Changes'!$B:$B = $D158),added,FILTER(INDEX(changes,0,3),INDEX(changes,0,2)=""add pack""),IFERROR(TRANSPOSE(ARRAYFORMULA(IF(added&lt;&gt;"""",HYPERLINK(""https://sealeddeck.tech/""&amp;added,""Link""),""""))),""""))"),"Link")</f>
        <v>Link</v>
      </c>
      <c r="J158" s="139" t="str">
        <f>IFERROR(__xludf.DUMMYFUNCTION("""COMPUTED_VALUE"""),"Link")</f>
        <v>Link</v>
      </c>
      <c r="K158" s="139" t="str">
        <f>IFERROR(__xludf.DUMMYFUNCTION("""COMPUTED_VALUE"""),"Link")</f>
        <v>Link</v>
      </c>
      <c r="L158" s="139" t="str">
        <f>IFERROR(__xludf.DUMMYFUNCTION("""COMPUTED_VALUE"""),"Link")</f>
        <v>Link</v>
      </c>
      <c r="M158" s="139" t="str">
        <f>IFERROR(__xludf.DUMMYFUNCTION("""COMPUTED_VALUE"""),"Link")</f>
        <v>Link</v>
      </c>
      <c r="N158" s="142" t="str">
        <f>IFERROR(__xludf.DUMMYFUNCTION("""COMPUTED_VALUE"""),"Link")</f>
        <v>Link</v>
      </c>
      <c r="O158" s="142" t="str">
        <f>IFERROR(__xludf.DUMMYFUNCTION("""COMPUTED_VALUE"""),"Link")</f>
        <v>Link</v>
      </c>
      <c r="P158" s="142" t="str">
        <f>IFERROR(__xludf.DUMMYFUNCTION("""COMPUTED_VALUE"""),"Link")</f>
        <v>Link</v>
      </c>
      <c r="Q158" s="139" t="str">
        <f>IFERROR(__xludf.DUMMYFUNCTION("""COMPUTED_VALUE"""),"Link")</f>
        <v>Link</v>
      </c>
      <c r="R158" s="139" t="str">
        <f>IFERROR(__xludf.DUMMYFUNCTION("""COMPUTED_VALUE"""),"Link")</f>
        <v>Link</v>
      </c>
      <c r="S158" s="141" t="str">
        <f t="shared" si="1"/>
        <v>https://sealeddeck.tech/YaN6DSTmGB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43" t="s">
        <v>8445</v>
      </c>
      <c r="B159" s="143" t="s">
        <v>8446</v>
      </c>
      <c r="C159" s="137" t="s">
        <v>8447</v>
      </c>
      <c r="D159" s="124" t="s">
        <v>128</v>
      </c>
      <c r="E159" s="138">
        <v>10.0</v>
      </c>
      <c r="F159" s="138">
        <v>11.0</v>
      </c>
      <c r="G159" s="139" t="str">
        <f t="array" ref="G159">IF(H159="","",IFERROR(
  "https://sealeddeck.tech/" &amp; INDEX('Pool Changes'!F:F,
    MAX(
      ROW('Pool Changes'!A:A) *
      ('Pool Changes'!B:B=D159) *
      ('Pool Changes'!F:F&lt;&gt;"")
    )
  ),
  ""
))</f>
        <v>https://sealeddeck.tech/EiKymFCXv1</v>
      </c>
      <c r="H159" s="139" t="str">
        <f>IFERROR(__xludf.DUMMYFUNCTION("LET(changes,FILTER('Pool Changes'!$B:$D, 'Pool Changes'!$B:$B = $D159),added,FILTER(INDEX(changes,0,3),INDEX(changes,0,2)=""starting pool""),TRANSPOSE(IFERROR(ARRAYFORMULA(IF(added&lt;&gt;"""",""https://sealeddeck.tech/""&amp;added,"""")),"""")))"),"https://sealeddeck.tech/VJ8TWSqBsV")</f>
        <v>https://sealeddeck.tech/VJ8TWSqBsV</v>
      </c>
      <c r="I159" s="139" t="str">
        <f>IFERROR(__xludf.DUMMYFUNCTION("LET(changes,FILTER('Pool Changes'!$B:$D, 'Pool Changes'!$B:$B = $D159),added,FILTER(INDEX(changes,0,3),INDEX(changes,0,2)=""add pack""),IFERROR(TRANSPOSE(ARRAYFORMULA(IF(added&lt;&gt;"""",HYPERLINK(""https://sealeddeck.tech/""&amp;added,""Link""),""""))),""""))"),"Link")</f>
        <v>Link</v>
      </c>
      <c r="J159" s="139" t="str">
        <f>IFERROR(__xludf.DUMMYFUNCTION("""COMPUTED_VALUE"""),"Link")</f>
        <v>Link</v>
      </c>
      <c r="K159" s="139" t="str">
        <f>IFERROR(__xludf.DUMMYFUNCTION("""COMPUTED_VALUE"""),"Link")</f>
        <v>Link</v>
      </c>
      <c r="L159" s="139" t="str">
        <f>IFERROR(__xludf.DUMMYFUNCTION("""COMPUTED_VALUE"""),"Link")</f>
        <v>Link</v>
      </c>
      <c r="M159" s="139" t="str">
        <f>IFERROR(__xludf.DUMMYFUNCTION("""COMPUTED_VALUE"""),"Link")</f>
        <v>Link</v>
      </c>
      <c r="N159" s="142" t="str">
        <f>IFERROR(__xludf.DUMMYFUNCTION("""COMPUTED_VALUE"""),"Link")</f>
        <v>Link</v>
      </c>
      <c r="O159" s="142" t="str">
        <f>IFERROR(__xludf.DUMMYFUNCTION("""COMPUTED_VALUE"""),"Link")</f>
        <v>Link</v>
      </c>
      <c r="P159" s="142" t="str">
        <f>IFERROR(__xludf.DUMMYFUNCTION("""COMPUTED_VALUE"""),"Link")</f>
        <v>Link</v>
      </c>
      <c r="Q159" s="139" t="str">
        <f>IFERROR(__xludf.DUMMYFUNCTION("""COMPUTED_VALUE"""),"Link")</f>
        <v>Link</v>
      </c>
      <c r="R159" s="139" t="str">
        <f>IFERROR(__xludf.DUMMYFUNCTION("""COMPUTED_VALUE"""),"Link")</f>
        <v>Link</v>
      </c>
      <c r="S159" s="141" t="str">
        <f t="shared" si="1"/>
        <v>https://sealeddeck.tech/G9F2knZzRj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43" t="s">
        <v>8448</v>
      </c>
      <c r="B160" s="143" t="s">
        <v>8449</v>
      </c>
      <c r="C160" s="137" t="s">
        <v>8450</v>
      </c>
      <c r="D160" s="124" t="s">
        <v>167</v>
      </c>
      <c r="E160" s="138">
        <v>9.0</v>
      </c>
      <c r="F160" s="138">
        <v>11.0</v>
      </c>
      <c r="G160" s="139" t="str">
        <f t="array" ref="G160">IF(H160="","",IFERROR(
  "https://sealeddeck.tech/" &amp; INDEX('Pool Changes'!F:F,
    MAX(
      ROW('Pool Changes'!A:A) *
      ('Pool Changes'!B:B=D160) *
      ('Pool Changes'!F:F&lt;&gt;"")
    )
  ),
  ""
))</f>
        <v>https://sealeddeck.tech/aatcggxpse</v>
      </c>
      <c r="H160" s="139" t="str">
        <f>IFERROR(__xludf.DUMMYFUNCTION("LET(changes,FILTER('Pool Changes'!$B:$D, 'Pool Changes'!$B:$B = $D160),added,FILTER(INDEX(changes,0,3),INDEX(changes,0,2)=""starting pool""),TRANSPOSE(IFERROR(ARRAYFORMULA(IF(added&lt;&gt;"""",""https://sealeddeck.tech/""&amp;added,"""")),"""")))"),"https://sealeddeck.tech/m2pbTWM2QP")</f>
        <v>https://sealeddeck.tech/m2pbTWM2QP</v>
      </c>
      <c r="I160" s="139" t="str">
        <f>IFERROR(__xludf.DUMMYFUNCTION("LET(changes,FILTER('Pool Changes'!$B:$D, 'Pool Changes'!$B:$B = $D160),added,FILTER(INDEX(changes,0,3),INDEX(changes,0,2)=""add pack""),IFERROR(TRANSPOSE(ARRAYFORMULA(IF(added&lt;&gt;"""",HYPERLINK(""https://sealeddeck.tech/""&amp;added,""Link""),""""))),""""))"),"Link")</f>
        <v>Link</v>
      </c>
      <c r="J160" s="139" t="str">
        <f>IFERROR(__xludf.DUMMYFUNCTION("""COMPUTED_VALUE"""),"Link")</f>
        <v>Link</v>
      </c>
      <c r="K160" s="139" t="str">
        <f>IFERROR(__xludf.DUMMYFUNCTION("""COMPUTED_VALUE"""),"Link")</f>
        <v>Link</v>
      </c>
      <c r="L160" s="139" t="str">
        <f>IFERROR(__xludf.DUMMYFUNCTION("""COMPUTED_VALUE"""),"Link")</f>
        <v>Link</v>
      </c>
      <c r="M160" s="139" t="str">
        <f>IFERROR(__xludf.DUMMYFUNCTION("""COMPUTED_VALUE"""),"Link")</f>
        <v>Link</v>
      </c>
      <c r="N160" s="142" t="str">
        <f>IFERROR(__xludf.DUMMYFUNCTION("""COMPUTED_VALUE"""),"Link")</f>
        <v>Link</v>
      </c>
      <c r="O160" s="142" t="str">
        <f>IFERROR(__xludf.DUMMYFUNCTION("""COMPUTED_VALUE"""),"Link")</f>
        <v>Link</v>
      </c>
      <c r="P160" s="142" t="str">
        <f>IFERROR(__xludf.DUMMYFUNCTION("""COMPUTED_VALUE"""),"Link")</f>
        <v>Link</v>
      </c>
      <c r="Q160" s="139" t="str">
        <f>IFERROR(__xludf.DUMMYFUNCTION("""COMPUTED_VALUE"""),"Link")</f>
        <v>Link</v>
      </c>
      <c r="R160" s="139" t="str">
        <f>IFERROR(__xludf.DUMMYFUNCTION("""COMPUTED_VALUE"""),"Link")</f>
        <v>Link</v>
      </c>
      <c r="S160" s="141" t="str">
        <f t="shared" si="1"/>
        <v>https://sealeddeck.tech/CCqNDhwZ1b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43" t="s">
        <v>147</v>
      </c>
      <c r="B161" s="143" t="s">
        <v>148</v>
      </c>
      <c r="C161" s="137" t="s">
        <v>8451</v>
      </c>
      <c r="D161" s="124" t="s">
        <v>226</v>
      </c>
      <c r="E161" s="138">
        <v>20.0</v>
      </c>
      <c r="F161" s="138">
        <v>10.0</v>
      </c>
      <c r="G161" s="139" t="str">
        <f t="array" ref="G161">IF(H161="","",IFERROR(
  "https://sealeddeck.tech/" &amp; INDEX('Pool Changes'!F:F,
    MAX(
      ROW('Pool Changes'!A:A) *
      ('Pool Changes'!B:B=D161) *
      ('Pool Changes'!F:F&lt;&gt;"")
    )
  ),
  ""
))</f>
        <v>https://sealeddeck.tech/KNP4rQZh5Z</v>
      </c>
      <c r="H161" s="139" t="str">
        <f>IFERROR(__xludf.DUMMYFUNCTION("LET(changes,FILTER('Pool Changes'!$B:$D, 'Pool Changes'!$B:$B = $D161),added,FILTER(INDEX(changes,0,3),INDEX(changes,0,2)=""starting pool""),TRANSPOSE(IFERROR(ARRAYFORMULA(IF(added&lt;&gt;"""",""https://sealeddeck.tech/""&amp;added,"""")),"""")))"),"https://sealeddeck.tech/HVjf7Njbyr")</f>
        <v>https://sealeddeck.tech/HVjf7Njbyr</v>
      </c>
      <c r="I161" s="139" t="str">
        <f>IFERROR(__xludf.DUMMYFUNCTION("LET(changes,FILTER('Pool Changes'!$B:$D, 'Pool Changes'!$B:$B = $D161),added,FILTER(INDEX(changes,0,3),INDEX(changes,0,2)=""add pack""),IFERROR(TRANSPOSE(ARRAYFORMULA(IF(added&lt;&gt;"""",HYPERLINK(""https://sealeddeck.tech/""&amp;added,""Link""),""""))),""""))"),"Link")</f>
        <v>Link</v>
      </c>
      <c r="J161" s="139" t="str">
        <f>IFERROR(__xludf.DUMMYFUNCTION("""COMPUTED_VALUE"""),"Link")</f>
        <v>Link</v>
      </c>
      <c r="K161" s="139" t="str">
        <f>IFERROR(__xludf.DUMMYFUNCTION("""COMPUTED_VALUE"""),"Link")</f>
        <v>Link</v>
      </c>
      <c r="L161" s="139" t="str">
        <f>IFERROR(__xludf.DUMMYFUNCTION("""COMPUTED_VALUE"""),"Link")</f>
        <v>Link</v>
      </c>
      <c r="M161" s="139" t="str">
        <f>IFERROR(__xludf.DUMMYFUNCTION("""COMPUTED_VALUE"""),"Link")</f>
        <v>Link</v>
      </c>
      <c r="N161" s="142" t="str">
        <f>IFERROR(__xludf.DUMMYFUNCTION("""COMPUTED_VALUE"""),"Link")</f>
        <v>Link</v>
      </c>
      <c r="O161" s="142" t="str">
        <f>IFERROR(__xludf.DUMMYFUNCTION("""COMPUTED_VALUE"""),"Link")</f>
        <v>Link</v>
      </c>
      <c r="P161" s="142" t="str">
        <f>IFERROR(__xludf.DUMMYFUNCTION("""COMPUTED_VALUE"""),"Link")</f>
        <v>Link</v>
      </c>
      <c r="Q161" s="139" t="str">
        <f>IFERROR(__xludf.DUMMYFUNCTION("""COMPUTED_VALUE"""),"Link")</f>
        <v>Link</v>
      </c>
      <c r="R161" s="139" t="str">
        <f>IFERROR(__xludf.DUMMYFUNCTION("""COMPUTED_VALUE"""),"Link")</f>
        <v>Link</v>
      </c>
      <c r="S161" s="141" t="str">
        <f t="shared" si="1"/>
        <v>https://sealeddeck.tech/naQTib5x72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43" t="s">
        <v>8452</v>
      </c>
      <c r="B162" s="143" t="s">
        <v>8453</v>
      </c>
      <c r="C162" s="137" t="s">
        <v>8454</v>
      </c>
      <c r="D162" s="124" t="s">
        <v>376</v>
      </c>
      <c r="E162" s="138">
        <v>12.0</v>
      </c>
      <c r="F162" s="138">
        <v>11.0</v>
      </c>
      <c r="G162" s="139" t="str">
        <f t="array" ref="G162">IF(H162="","",IFERROR(
  "https://sealeddeck.tech/" &amp; INDEX('Pool Changes'!F:F,
    MAX(
      ROW('Pool Changes'!A:A) *
      ('Pool Changes'!B:B=D162) *
      ('Pool Changes'!F:F&lt;&gt;"")
    )
  ),
  ""
))</f>
        <v>https://sealeddeck.tech/WKvaZKEneb</v>
      </c>
      <c r="H162" s="139" t="str">
        <f>IFERROR(__xludf.DUMMYFUNCTION("LET(changes,FILTER('Pool Changes'!$B:$D, 'Pool Changes'!$B:$B = $D162),added,FILTER(INDEX(changes,0,3),INDEX(changes,0,2)=""starting pool""),TRANSPOSE(IFERROR(ARRAYFORMULA(IF(added&lt;&gt;"""",""https://sealeddeck.tech/""&amp;added,"""")),"""")))"),"https://sealeddeck.tech/4WKP77zmhS")</f>
        <v>https://sealeddeck.tech/4WKP77zmhS</v>
      </c>
      <c r="I162" s="139" t="str">
        <f>IFERROR(__xludf.DUMMYFUNCTION("LET(changes,FILTER('Pool Changes'!$B:$D, 'Pool Changes'!$B:$B = $D162),added,FILTER(INDEX(changes,0,3),INDEX(changes,0,2)=""add pack""),IFERROR(TRANSPOSE(ARRAYFORMULA(IF(added&lt;&gt;"""",HYPERLINK(""https://sealeddeck.tech/""&amp;added,""Link""),""""))),""""))"),"Link")</f>
        <v>Link</v>
      </c>
      <c r="J162" s="139" t="str">
        <f>IFERROR(__xludf.DUMMYFUNCTION("""COMPUTED_VALUE"""),"Link")</f>
        <v>Link</v>
      </c>
      <c r="K162" s="139" t="str">
        <f>IFERROR(__xludf.DUMMYFUNCTION("""COMPUTED_VALUE"""),"Link")</f>
        <v>Link</v>
      </c>
      <c r="L162" s="139" t="str">
        <f>IFERROR(__xludf.DUMMYFUNCTION("""COMPUTED_VALUE"""),"Link")</f>
        <v>Link</v>
      </c>
      <c r="M162" s="139" t="str">
        <f>IFERROR(__xludf.DUMMYFUNCTION("""COMPUTED_VALUE"""),"Link")</f>
        <v>Link</v>
      </c>
      <c r="N162" s="142" t="str">
        <f>IFERROR(__xludf.DUMMYFUNCTION("""COMPUTED_VALUE"""),"Link")</f>
        <v>Link</v>
      </c>
      <c r="O162" s="142" t="str">
        <f>IFERROR(__xludf.DUMMYFUNCTION("""COMPUTED_VALUE"""),"Link")</f>
        <v>Link</v>
      </c>
      <c r="P162" s="142" t="str">
        <f>IFERROR(__xludf.DUMMYFUNCTION("""COMPUTED_VALUE"""),"Link")</f>
        <v>Link</v>
      </c>
      <c r="Q162" s="139" t="str">
        <f>IFERROR(__xludf.DUMMYFUNCTION("""COMPUTED_VALUE"""),"Link")</f>
        <v>Link</v>
      </c>
      <c r="R162" s="139" t="str">
        <f>IFERROR(__xludf.DUMMYFUNCTION("""COMPUTED_VALUE"""),"Link")</f>
        <v>Link</v>
      </c>
      <c r="S162" s="141" t="str">
        <f t="shared" si="1"/>
        <v>https://sealeddeck.tech/YfvykXXEyk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43" t="s">
        <v>8455</v>
      </c>
      <c r="B163" s="143" t="s">
        <v>8456</v>
      </c>
      <c r="C163" s="137" t="s">
        <v>8457</v>
      </c>
      <c r="D163" s="124" t="s">
        <v>304</v>
      </c>
      <c r="E163" s="138">
        <v>8.0</v>
      </c>
      <c r="F163" s="138">
        <v>11.0</v>
      </c>
      <c r="G163" s="139" t="str">
        <f t="array" ref="G163">IF(H163="","",IFERROR(
  "https://sealeddeck.tech/" &amp; INDEX('Pool Changes'!F:F,
    MAX(
      ROW('Pool Changes'!A:A) *
      ('Pool Changes'!B:B=D163) *
      ('Pool Changes'!F:F&lt;&gt;"")
    )
  ),
  ""
))</f>
        <v>https://sealeddeck.tech/MWJEefj3Ak</v>
      </c>
      <c r="H163" s="139" t="str">
        <f>IFERROR(__xludf.DUMMYFUNCTION("LET(changes,FILTER('Pool Changes'!$B:$D, 'Pool Changes'!$B:$B = $D163),added,FILTER(INDEX(changes,0,3),INDEX(changes,0,2)=""starting pool""),TRANSPOSE(IFERROR(ARRAYFORMULA(IF(added&lt;&gt;"""",""https://sealeddeck.tech/""&amp;added,"""")),"""")))"),"https://sealeddeck.tech/MXDtyqEgj3")</f>
        <v>https://sealeddeck.tech/MXDtyqEgj3</v>
      </c>
      <c r="I163" s="139" t="str">
        <f>IFERROR(__xludf.DUMMYFUNCTION("LET(changes,FILTER('Pool Changes'!$B:$D, 'Pool Changes'!$B:$B = $D163),added,FILTER(INDEX(changes,0,3),INDEX(changes,0,2)=""add pack""),IFERROR(TRANSPOSE(ARRAYFORMULA(IF(added&lt;&gt;"""",HYPERLINK(""https://sealeddeck.tech/""&amp;added,""Link""),""""))),""""))"),"Link")</f>
        <v>Link</v>
      </c>
      <c r="J163" s="139" t="str">
        <f>IFERROR(__xludf.DUMMYFUNCTION("""COMPUTED_VALUE"""),"Link")</f>
        <v>Link</v>
      </c>
      <c r="K163" s="139" t="str">
        <f>IFERROR(__xludf.DUMMYFUNCTION("""COMPUTED_VALUE"""),"Link")</f>
        <v>Link</v>
      </c>
      <c r="L163" s="139" t="str">
        <f>IFERROR(__xludf.DUMMYFUNCTION("""COMPUTED_VALUE"""),"Link")</f>
        <v>Link</v>
      </c>
      <c r="M163" s="139" t="str">
        <f>IFERROR(__xludf.DUMMYFUNCTION("""COMPUTED_VALUE"""),"Link")</f>
        <v>Link</v>
      </c>
      <c r="N163" s="142" t="str">
        <f>IFERROR(__xludf.DUMMYFUNCTION("""COMPUTED_VALUE"""),"Link")</f>
        <v>Link</v>
      </c>
      <c r="O163" s="140"/>
      <c r="P163" s="140"/>
      <c r="Q163" s="140"/>
      <c r="R163" s="140"/>
      <c r="S163" s="141" t="str">
        <f t="shared" si="1"/>
        <v>https://sealeddeck.tech/ByAez3LLrw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43" t="s">
        <v>8458</v>
      </c>
      <c r="B164" s="143" t="s">
        <v>8459</v>
      </c>
      <c r="C164" s="137" t="s">
        <v>8460</v>
      </c>
      <c r="D164" s="124" t="s">
        <v>92</v>
      </c>
      <c r="E164" s="138">
        <v>15.0</v>
      </c>
      <c r="F164" s="138">
        <v>11.0</v>
      </c>
      <c r="G164" s="139" t="str">
        <f t="array" ref="G164">IF(H164="","",IFERROR(
  "https://sealeddeck.tech/" &amp; INDEX('Pool Changes'!F:F,
    MAX(
      ROW('Pool Changes'!A:A) *
      ('Pool Changes'!B:B=D164) *
      ('Pool Changes'!F:F&lt;&gt;"")
    )
  ),
  ""
))</f>
        <v>https://sealeddeck.tech/VpKuqUqJHi</v>
      </c>
      <c r="H164" s="139" t="str">
        <f>IFERROR(__xludf.DUMMYFUNCTION("LET(changes,FILTER('Pool Changes'!$B:$D, 'Pool Changes'!$B:$B = $D164),added,FILTER(INDEX(changes,0,3),INDEX(changes,0,2)=""starting pool""),TRANSPOSE(IFERROR(ARRAYFORMULA(IF(added&lt;&gt;"""",""https://sealeddeck.tech/""&amp;added,"""")),"""")))"),"https://sealeddeck.tech/FyvEtUVeir")</f>
        <v>https://sealeddeck.tech/FyvEtUVeir</v>
      </c>
      <c r="I164" s="139" t="str">
        <f>IFERROR(__xludf.DUMMYFUNCTION("LET(changes,FILTER('Pool Changes'!$B:$D, 'Pool Changes'!$B:$B = $D164),added,FILTER(INDEX(changes,0,3),INDEX(changes,0,2)=""add pack""),IFERROR(TRANSPOSE(ARRAYFORMULA(IF(added&lt;&gt;"""",HYPERLINK(""https://sealeddeck.tech/""&amp;added,""Link""),""""))),""""))"),"Link")</f>
        <v>Link</v>
      </c>
      <c r="J164" s="139" t="str">
        <f>IFERROR(__xludf.DUMMYFUNCTION("""COMPUTED_VALUE"""),"Link")</f>
        <v>Link</v>
      </c>
      <c r="K164" s="139" t="str">
        <f>IFERROR(__xludf.DUMMYFUNCTION("""COMPUTED_VALUE"""),"Link")</f>
        <v>Link</v>
      </c>
      <c r="L164" s="139" t="str">
        <f>IFERROR(__xludf.DUMMYFUNCTION("""COMPUTED_VALUE"""),"Link")</f>
        <v>Link</v>
      </c>
      <c r="M164" s="139" t="str">
        <f>IFERROR(__xludf.DUMMYFUNCTION("""COMPUTED_VALUE"""),"Link")</f>
        <v>Link</v>
      </c>
      <c r="N164" s="142" t="str">
        <f>IFERROR(__xludf.DUMMYFUNCTION("""COMPUTED_VALUE"""),"Link")</f>
        <v>Link</v>
      </c>
      <c r="O164" s="142" t="str">
        <f>IFERROR(__xludf.DUMMYFUNCTION("""COMPUTED_VALUE"""),"Link")</f>
        <v>Link</v>
      </c>
      <c r="P164" s="142" t="str">
        <f>IFERROR(__xludf.DUMMYFUNCTION("""COMPUTED_VALUE"""),"Link")</f>
        <v>Link</v>
      </c>
      <c r="Q164" s="139" t="str">
        <f>IFERROR(__xludf.DUMMYFUNCTION("""COMPUTED_VALUE"""),"Link")</f>
        <v>Link</v>
      </c>
      <c r="R164" s="139" t="str">
        <f>IFERROR(__xludf.DUMMYFUNCTION("""COMPUTED_VALUE"""),"Link")</f>
        <v>Link</v>
      </c>
      <c r="S164" s="141" t="str">
        <f t="shared" si="1"/>
        <v>https://sealeddeck.tech/EiKymFCXv1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43" t="s">
        <v>68</v>
      </c>
      <c r="B165" s="143" t="s">
        <v>69</v>
      </c>
      <c r="C165" s="137" t="s">
        <v>8461</v>
      </c>
      <c r="D165" s="124" t="s">
        <v>17</v>
      </c>
      <c r="E165" s="138">
        <v>23.0</v>
      </c>
      <c r="F165" s="138">
        <v>7.0</v>
      </c>
      <c r="G165" s="139" t="str">
        <f t="array" ref="G165">IF(H165="","",IFERROR(
  "https://sealeddeck.tech/" &amp; INDEX('Pool Changes'!F:F,
    MAX(
      ROW('Pool Changes'!A:A) *
      ('Pool Changes'!B:B=D165) *
      ('Pool Changes'!F:F&lt;&gt;"")
    )
  ),
  ""
))</f>
        <v>https://sealeddeck.tech/FFxiewA1EZ</v>
      </c>
      <c r="H165" s="139" t="str">
        <f>IFERROR(__xludf.DUMMYFUNCTION("LET(changes,FILTER('Pool Changes'!$B:$D, 'Pool Changes'!$B:$B = $D165),added,FILTER(INDEX(changes,0,3),INDEX(changes,0,2)=""starting pool""),TRANSPOSE(IFERROR(ARRAYFORMULA(IF(added&lt;&gt;"""",""https://sealeddeck.tech/""&amp;added,"""")),"""")))"),"https://sealeddeck.tech/SLyr3Ep3Mc")</f>
        <v>https://sealeddeck.tech/SLyr3Ep3Mc</v>
      </c>
      <c r="I165" s="139" t="str">
        <f>IFERROR(__xludf.DUMMYFUNCTION("LET(changes,FILTER('Pool Changes'!$B:$D, 'Pool Changes'!$B:$B = $D165),added,FILTER(INDEX(changes,0,3),INDEX(changes,0,2)=""add pack""),IFERROR(TRANSPOSE(ARRAYFORMULA(IF(added&lt;&gt;"""",HYPERLINK(""https://sealeddeck.tech/""&amp;added,""Link""),""""))),""""))"),"Link")</f>
        <v>Link</v>
      </c>
      <c r="J165" s="139" t="str">
        <f>IFERROR(__xludf.DUMMYFUNCTION("""COMPUTED_VALUE"""),"Link")</f>
        <v>Link</v>
      </c>
      <c r="K165" s="139" t="str">
        <f>IFERROR(__xludf.DUMMYFUNCTION("""COMPUTED_VALUE"""),"Link")</f>
        <v>Link</v>
      </c>
      <c r="L165" s="139" t="str">
        <f>IFERROR(__xludf.DUMMYFUNCTION("""COMPUTED_VALUE"""),"Link")</f>
        <v>Link</v>
      </c>
      <c r="M165" s="139" t="str">
        <f>IFERROR(__xludf.DUMMYFUNCTION("""COMPUTED_VALUE"""),"Link")</f>
        <v>Link</v>
      </c>
      <c r="N165" s="142" t="str">
        <f>IFERROR(__xludf.DUMMYFUNCTION("""COMPUTED_VALUE"""),"Link")</f>
        <v>Link</v>
      </c>
      <c r="O165" s="142" t="str">
        <f>IFERROR(__xludf.DUMMYFUNCTION("""COMPUTED_VALUE"""),"Link")</f>
        <v>Link</v>
      </c>
      <c r="P165" s="140"/>
      <c r="Q165" s="140"/>
      <c r="R165" s="140"/>
      <c r="S165" s="141" t="str">
        <f t="shared" si="1"/>
        <v>https://sealeddeck.tech/aatcggxpse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43" t="s">
        <v>8462</v>
      </c>
      <c r="B166" s="143" t="s">
        <v>8463</v>
      </c>
      <c r="C166" s="137" t="s">
        <v>8464</v>
      </c>
      <c r="D166" s="124" t="s">
        <v>279</v>
      </c>
      <c r="E166" s="138">
        <v>8.0</v>
      </c>
      <c r="F166" s="138">
        <v>11.0</v>
      </c>
      <c r="G166" s="139" t="str">
        <f t="array" ref="G166">IF(H166="","",IFERROR(
  "https://sealeddeck.tech/" &amp; INDEX('Pool Changes'!F:F,
    MAX(
      ROW('Pool Changes'!A:A) *
      ('Pool Changes'!B:B=D166) *
      ('Pool Changes'!F:F&lt;&gt;"")
    )
  ),
  ""
))</f>
        <v>https://sealeddeck.tech/vCSYvCGfr5</v>
      </c>
      <c r="H166" s="139" t="str">
        <f>IFERROR(__xludf.DUMMYFUNCTION("LET(changes,FILTER('Pool Changes'!$B:$D, 'Pool Changes'!$B:$B = $D166),added,FILTER(INDEX(changes,0,3),INDEX(changes,0,2)=""starting pool""),TRANSPOSE(IFERROR(ARRAYFORMULA(IF(added&lt;&gt;"""",""https://sealeddeck.tech/""&amp;added,"""")),"""")))"),"https://sealeddeck.tech/UeKPsZ8J1V")</f>
        <v>https://sealeddeck.tech/UeKPsZ8J1V</v>
      </c>
      <c r="I166" s="139" t="str">
        <f>IFERROR(__xludf.DUMMYFUNCTION("LET(changes,FILTER('Pool Changes'!$B:$D, 'Pool Changes'!$B:$B = $D166),added,FILTER(INDEX(changes,0,3),INDEX(changes,0,2)=""add pack""),IFERROR(TRANSPOSE(ARRAYFORMULA(IF(added&lt;&gt;"""",HYPERLINK(""https://sealeddeck.tech/""&amp;added,""Link""),""""))),""""))"),"Link")</f>
        <v>Link</v>
      </c>
      <c r="J166" s="139" t="str">
        <f>IFERROR(__xludf.DUMMYFUNCTION("""COMPUTED_VALUE"""),"Link")</f>
        <v>Link</v>
      </c>
      <c r="K166" s="139" t="str">
        <f>IFERROR(__xludf.DUMMYFUNCTION("""COMPUTED_VALUE"""),"Link")</f>
        <v>Link</v>
      </c>
      <c r="L166" s="139" t="str">
        <f>IFERROR(__xludf.DUMMYFUNCTION("""COMPUTED_VALUE"""),"Link")</f>
        <v>Link</v>
      </c>
      <c r="M166" s="139" t="str">
        <f>IFERROR(__xludf.DUMMYFUNCTION("""COMPUTED_VALUE"""),"Link")</f>
        <v>Link</v>
      </c>
      <c r="N166" s="142" t="str">
        <f>IFERROR(__xludf.DUMMYFUNCTION("""COMPUTED_VALUE"""),"Link")</f>
        <v>Link</v>
      </c>
      <c r="O166" s="142" t="str">
        <f>IFERROR(__xludf.DUMMYFUNCTION("""COMPUTED_VALUE"""),"Link")</f>
        <v>Link</v>
      </c>
      <c r="P166" s="142" t="str">
        <f>IFERROR(__xludf.DUMMYFUNCTION("""COMPUTED_VALUE"""),"Link")</f>
        <v>Link</v>
      </c>
      <c r="Q166" s="139" t="str">
        <f>IFERROR(__xludf.DUMMYFUNCTION("""COMPUTED_VALUE"""),"Link")</f>
        <v>Link</v>
      </c>
      <c r="R166" s="139" t="str">
        <f>IFERROR(__xludf.DUMMYFUNCTION("""COMPUTED_VALUE"""),"Link")</f>
        <v>Link</v>
      </c>
      <c r="S166" s="141" t="str">
        <f t="shared" si="1"/>
        <v>https://sealeddeck.tech/KNP4rQZh5Z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43" t="s">
        <v>8465</v>
      </c>
      <c r="B167" s="143" t="s">
        <v>8466</v>
      </c>
      <c r="C167" s="137" t="s">
        <v>8467</v>
      </c>
      <c r="D167" s="124" t="s">
        <v>88</v>
      </c>
      <c r="E167" s="138">
        <v>17.0</v>
      </c>
      <c r="F167" s="138">
        <v>11.0</v>
      </c>
      <c r="G167" s="139" t="str">
        <f t="array" ref="G167">IF(H167="","",IFERROR(
  "https://sealeddeck.tech/" &amp; INDEX('Pool Changes'!F:F,
    MAX(
      ROW('Pool Changes'!A:A) *
      ('Pool Changes'!B:B=D167) *
      ('Pool Changes'!F:F&lt;&gt;"")
    )
  ),
  ""
))</f>
        <v>https://sealeddeck.tech/wc33XRF2DH</v>
      </c>
      <c r="H167" s="139" t="str">
        <f>IFERROR(__xludf.DUMMYFUNCTION("LET(changes,FILTER('Pool Changes'!$B:$D, 'Pool Changes'!$B:$B = $D167),added,FILTER(INDEX(changes,0,3),INDEX(changes,0,2)=""starting pool""),TRANSPOSE(IFERROR(ARRAYFORMULA(IF(added&lt;&gt;"""",""https://sealeddeck.tech/""&amp;added,"""")),"""")))"),"https://sealeddeck.tech/H32dA2bWGB")</f>
        <v>https://sealeddeck.tech/H32dA2bWGB</v>
      </c>
      <c r="I167" s="139" t="str">
        <f>IFERROR(__xludf.DUMMYFUNCTION("LET(changes,FILTER('Pool Changes'!$B:$D, 'Pool Changes'!$B:$B = $D167),added,FILTER(INDEX(changes,0,3),INDEX(changes,0,2)=""add pack""),IFERROR(TRANSPOSE(ARRAYFORMULA(IF(added&lt;&gt;"""",HYPERLINK(""https://sealeddeck.tech/""&amp;added,""Link""),""""))),""""))"),"Link")</f>
        <v>Link</v>
      </c>
      <c r="J167" s="139" t="str">
        <f>IFERROR(__xludf.DUMMYFUNCTION("""COMPUTED_VALUE"""),"Link")</f>
        <v>Link</v>
      </c>
      <c r="K167" s="139" t="str">
        <f>IFERROR(__xludf.DUMMYFUNCTION("""COMPUTED_VALUE"""),"Link")</f>
        <v>Link</v>
      </c>
      <c r="L167" s="139" t="str">
        <f>IFERROR(__xludf.DUMMYFUNCTION("""COMPUTED_VALUE"""),"Link")</f>
        <v>Link</v>
      </c>
      <c r="M167" s="139" t="str">
        <f>IFERROR(__xludf.DUMMYFUNCTION("""COMPUTED_VALUE"""),"Link")</f>
        <v>Link</v>
      </c>
      <c r="N167" s="142" t="str">
        <f>IFERROR(__xludf.DUMMYFUNCTION("""COMPUTED_VALUE"""),"Link")</f>
        <v>Link</v>
      </c>
      <c r="O167" s="142" t="str">
        <f>IFERROR(__xludf.DUMMYFUNCTION("""COMPUTED_VALUE"""),"Link")</f>
        <v>Link</v>
      </c>
      <c r="P167" s="142" t="str">
        <f>IFERROR(__xludf.DUMMYFUNCTION("""COMPUTED_VALUE"""),"Link")</f>
        <v>Link</v>
      </c>
      <c r="Q167" s="139" t="str">
        <f>IFERROR(__xludf.DUMMYFUNCTION("""COMPUTED_VALUE"""),"Link")</f>
        <v>Link</v>
      </c>
      <c r="R167" s="139" t="str">
        <f>IFERROR(__xludf.DUMMYFUNCTION("""COMPUTED_VALUE"""),"Link")</f>
        <v>Link</v>
      </c>
      <c r="S167" s="141" t="str">
        <f t="shared" si="1"/>
        <v>https://sealeddeck.tech/WKvaZKEneb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43" t="s">
        <v>8468</v>
      </c>
      <c r="B168" s="143" t="s">
        <v>8469</v>
      </c>
      <c r="C168" s="137" t="s">
        <v>8470</v>
      </c>
      <c r="D168" s="124" t="s">
        <v>631</v>
      </c>
      <c r="E168" s="138">
        <v>0.0</v>
      </c>
      <c r="F168" s="138">
        <v>11.0</v>
      </c>
      <c r="G168" s="139" t="str">
        <f t="array" ref="G168">IF(H168="","",IFERROR(
  "https://sealeddeck.tech/" &amp; INDEX('Pool Changes'!F:F,
    MAX(
      ROW('Pool Changes'!A:A) *
      ('Pool Changes'!B:B=D168) *
      ('Pool Changes'!F:F&lt;&gt;"")
    )
  ),
  ""
))</f>
        <v>https://sealeddeck.tech/3yba4hzJoF</v>
      </c>
      <c r="H168" s="139" t="str">
        <f>IFERROR(__xludf.DUMMYFUNCTION("LET(changes,FILTER('Pool Changes'!$B:$D, 'Pool Changes'!$B:$B = $D168),added,FILTER(INDEX(changes,0,3),INDEX(changes,0,2)=""starting pool""),TRANSPOSE(IFERROR(ARRAYFORMULA(IF(added&lt;&gt;"""",""https://sealeddeck.tech/""&amp;added,"""")),"""")))"),"https://sealeddeck.tech/7UyzUABH1N")</f>
        <v>https://sealeddeck.tech/7UyzUABH1N</v>
      </c>
      <c r="I168" s="139" t="str">
        <f>IFERROR(__xludf.DUMMYFUNCTION("LET(changes,FILTER('Pool Changes'!$B:$D, 'Pool Changes'!$B:$B = $D168),added,FILTER(INDEX(changes,0,3),INDEX(changes,0,2)=""add pack""),IFERROR(TRANSPOSE(ARRAYFORMULA(IF(added&lt;&gt;"""",HYPERLINK(""https://sealeddeck.tech/""&amp;added,""Link""),""""))),""""))"),"Link")</f>
        <v>Link</v>
      </c>
      <c r="J168" s="139" t="str">
        <f>IFERROR(__xludf.DUMMYFUNCTION("""COMPUTED_VALUE"""),"Link")</f>
        <v>Link</v>
      </c>
      <c r="K168" s="140"/>
      <c r="L168" s="140"/>
      <c r="M168" s="140"/>
      <c r="N168" s="140"/>
      <c r="O168" s="140"/>
      <c r="P168" s="140"/>
      <c r="Q168" s="140"/>
      <c r="R168" s="140"/>
      <c r="S168" s="141" t="str">
        <f t="shared" si="1"/>
        <v>https://sealeddeck.tech/MWJEefj3Ak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43" t="s">
        <v>8471</v>
      </c>
      <c r="B169" s="143" t="s">
        <v>8472</v>
      </c>
      <c r="C169" s="137" t="s">
        <v>8473</v>
      </c>
      <c r="D169" s="124" t="s">
        <v>289</v>
      </c>
      <c r="E169" s="138">
        <v>1.0</v>
      </c>
      <c r="F169" s="138">
        <v>11.0</v>
      </c>
      <c r="G169" s="139" t="str">
        <f t="array" ref="G169">IF(H169="","",IFERROR(
  "https://sealeddeck.tech/" &amp; INDEX('Pool Changes'!F:F,
    MAX(
      ROW('Pool Changes'!A:A) *
      ('Pool Changes'!B:B=D169) *
      ('Pool Changes'!F:F&lt;&gt;"")
    )
  ),
  ""
))</f>
        <v>https://sealeddeck.tech/c2SigreidV</v>
      </c>
      <c r="H169" s="139" t="str">
        <f>IFERROR(__xludf.DUMMYFUNCTION("LET(changes,FILTER('Pool Changes'!$B:$D, 'Pool Changes'!$B:$B = $D169),added,FILTER(INDEX(changes,0,3),INDEX(changes,0,2)=""starting pool""),TRANSPOSE(IFERROR(ARRAYFORMULA(IF(added&lt;&gt;"""",""https://sealeddeck.tech/""&amp;added,"""")),"""")))"),"https://sealeddeck.tech/ZQfeKW9Pc7")</f>
        <v>https://sealeddeck.tech/ZQfeKW9Pc7</v>
      </c>
      <c r="I169" s="139" t="str">
        <f>IFERROR(__xludf.DUMMYFUNCTION("LET(changes,FILTER('Pool Changes'!$B:$D, 'Pool Changes'!$B:$B = $D169),added,FILTER(INDEX(changes,0,3),INDEX(changes,0,2)=""add pack""),IFERROR(TRANSPOSE(ARRAYFORMULA(IF(added&lt;&gt;"""",HYPERLINK(""https://sealeddeck.tech/""&amp;added,""Link""),""""))),""""))"),"Link")</f>
        <v>Link</v>
      </c>
      <c r="J169" s="139" t="str">
        <f>IFERROR(__xludf.DUMMYFUNCTION("""COMPUTED_VALUE"""),"Link")</f>
        <v>Link</v>
      </c>
      <c r="K169" s="140"/>
      <c r="L169" s="140"/>
      <c r="M169" s="140"/>
      <c r="N169" s="140"/>
      <c r="O169" s="140"/>
      <c r="P169" s="140"/>
      <c r="Q169" s="140"/>
      <c r="R169" s="140"/>
      <c r="S169" s="141" t="str">
        <f t="shared" si="1"/>
        <v>https://sealeddeck.tech/VpKuqUqJHi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43" t="s">
        <v>8474</v>
      </c>
      <c r="B170" s="143" t="s">
        <v>8475</v>
      </c>
      <c r="C170" s="137" t="s">
        <v>8476</v>
      </c>
      <c r="D170" s="124" t="s">
        <v>71</v>
      </c>
      <c r="E170" s="138">
        <v>15.0</v>
      </c>
      <c r="F170" s="138">
        <v>11.0</v>
      </c>
      <c r="G170" s="139" t="str">
        <f t="array" ref="G170">IF(H170="","",IFERROR(
  "https://sealeddeck.tech/" &amp; INDEX('Pool Changes'!F:F,
    MAX(
      ROW('Pool Changes'!A:A) *
      ('Pool Changes'!B:B=D170) *
      ('Pool Changes'!F:F&lt;&gt;"")
    )
  ),
  ""
))</f>
        <v>https://sealeddeck.tech/jbuvH1gUX4</v>
      </c>
      <c r="H170" s="139" t="str">
        <f>IFERROR(__xludf.DUMMYFUNCTION("LET(changes,FILTER('Pool Changes'!$B:$D, 'Pool Changes'!$B:$B = $D170),added,FILTER(INDEX(changes,0,3),INDEX(changes,0,2)=""starting pool""),TRANSPOSE(IFERROR(ARRAYFORMULA(IF(added&lt;&gt;"""",""https://sealeddeck.tech/""&amp;added,"""")),"""")))"),"https://sealeddeck.tech/2Dm6sAmU5R")</f>
        <v>https://sealeddeck.tech/2Dm6sAmU5R</v>
      </c>
      <c r="I170" s="139" t="str">
        <f>IFERROR(__xludf.DUMMYFUNCTION("LET(changes,FILTER('Pool Changes'!$B:$D, 'Pool Changes'!$B:$B = $D170),added,FILTER(INDEX(changes,0,3),INDEX(changes,0,2)=""add pack""),IFERROR(TRANSPOSE(ARRAYFORMULA(IF(added&lt;&gt;"""",HYPERLINK(""https://sealeddeck.tech/""&amp;added,""Link""),""""))),""""))"),"Link")</f>
        <v>Link</v>
      </c>
      <c r="J170" s="139" t="str">
        <f>IFERROR(__xludf.DUMMYFUNCTION("""COMPUTED_VALUE"""),"Link")</f>
        <v>Link</v>
      </c>
      <c r="K170" s="139" t="str">
        <f>IFERROR(__xludf.DUMMYFUNCTION("""COMPUTED_VALUE"""),"Link")</f>
        <v>Link</v>
      </c>
      <c r="L170" s="139" t="str">
        <f>IFERROR(__xludf.DUMMYFUNCTION("""COMPUTED_VALUE"""),"Link")</f>
        <v>Link</v>
      </c>
      <c r="M170" s="139" t="str">
        <f>IFERROR(__xludf.DUMMYFUNCTION("""COMPUTED_VALUE"""),"Link")</f>
        <v>Link</v>
      </c>
      <c r="N170" s="142" t="str">
        <f>IFERROR(__xludf.DUMMYFUNCTION("""COMPUTED_VALUE"""),"Link")</f>
        <v>Link</v>
      </c>
      <c r="O170" s="142" t="str">
        <f>IFERROR(__xludf.DUMMYFUNCTION("""COMPUTED_VALUE"""),"Link")</f>
        <v>Link</v>
      </c>
      <c r="P170" s="142" t="str">
        <f>IFERROR(__xludf.DUMMYFUNCTION("""COMPUTED_VALUE"""),"Link")</f>
        <v>Link</v>
      </c>
      <c r="Q170" s="139" t="str">
        <f>IFERROR(__xludf.DUMMYFUNCTION("""COMPUTED_VALUE"""),"Link")</f>
        <v>Link</v>
      </c>
      <c r="R170" s="139" t="str">
        <f>IFERROR(__xludf.DUMMYFUNCTION("""COMPUTED_VALUE"""),"Link")</f>
        <v>Link</v>
      </c>
      <c r="S170" s="141" t="str">
        <f t="shared" si="1"/>
        <v>https://sealeddeck.tech/FFxiewA1EZ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43" t="s">
        <v>8477</v>
      </c>
      <c r="B171" s="143" t="s">
        <v>8478</v>
      </c>
      <c r="C171" s="137" t="s">
        <v>8479</v>
      </c>
      <c r="D171" s="124" t="s">
        <v>348</v>
      </c>
      <c r="E171" s="138">
        <v>5.0</v>
      </c>
      <c r="F171" s="138">
        <v>11.0</v>
      </c>
      <c r="G171" s="139" t="str">
        <f t="array" ref="G171">IF(H171="","",IFERROR(
  "https://sealeddeck.tech/" &amp; INDEX('Pool Changes'!F:F,
    MAX(
      ROW('Pool Changes'!A:A) *
      ('Pool Changes'!B:B=D171) *
      ('Pool Changes'!F:F&lt;&gt;"")
    )
  ),
  ""
))</f>
        <v>https://sealeddeck.tech/xhunGeKhxX</v>
      </c>
      <c r="H171" s="139" t="str">
        <f>IFERROR(__xludf.DUMMYFUNCTION("LET(changes,FILTER('Pool Changes'!$B:$D, 'Pool Changes'!$B:$B = $D171),added,FILTER(INDEX(changes,0,3),INDEX(changes,0,2)=""starting pool""),TRANSPOSE(IFERROR(ARRAYFORMULA(IF(added&lt;&gt;"""",""https://sealeddeck.tech/""&amp;added,"""")),"""")))"),"https://sealeddeck.tech/Rc5SKTLZ6b")</f>
        <v>https://sealeddeck.tech/Rc5SKTLZ6b</v>
      </c>
      <c r="I171" s="139" t="str">
        <f>IFERROR(__xludf.DUMMYFUNCTION("LET(changes,FILTER('Pool Changes'!$B:$D, 'Pool Changes'!$B:$B = $D171),added,FILTER(INDEX(changes,0,3),INDEX(changes,0,2)=""add pack""),IFERROR(TRANSPOSE(ARRAYFORMULA(IF(added&lt;&gt;"""",HYPERLINK(""https://sealeddeck.tech/""&amp;added,""Link""),""""))),""""))"),"Link")</f>
        <v>Link</v>
      </c>
      <c r="J171" s="139" t="str">
        <f>IFERROR(__xludf.DUMMYFUNCTION("""COMPUTED_VALUE"""),"Link")</f>
        <v>Link</v>
      </c>
      <c r="K171" s="139" t="str">
        <f>IFERROR(__xludf.DUMMYFUNCTION("""COMPUTED_VALUE"""),"Link")</f>
        <v>Link</v>
      </c>
      <c r="L171" s="139" t="str">
        <f>IFERROR(__xludf.DUMMYFUNCTION("""COMPUTED_VALUE"""),"Link")</f>
        <v>Link</v>
      </c>
      <c r="M171" s="139" t="str">
        <f>IFERROR(__xludf.DUMMYFUNCTION("""COMPUTED_VALUE"""),"Link")</f>
        <v>Link</v>
      </c>
      <c r="N171" s="142" t="str">
        <f>IFERROR(__xludf.DUMMYFUNCTION("""COMPUTED_VALUE"""),"Link")</f>
        <v>Link</v>
      </c>
      <c r="O171" s="142" t="str">
        <f>IFERROR(__xludf.DUMMYFUNCTION("""COMPUTED_VALUE"""),"Link")</f>
        <v>Link</v>
      </c>
      <c r="P171" s="142" t="str">
        <f>IFERROR(__xludf.DUMMYFUNCTION("""COMPUTED_VALUE"""),"Link")</f>
        <v>Link</v>
      </c>
      <c r="Q171" s="139" t="str">
        <f>IFERROR(__xludf.DUMMYFUNCTION("""COMPUTED_VALUE"""),"Link")</f>
        <v>Link</v>
      </c>
      <c r="R171" s="139" t="str">
        <f>IFERROR(__xludf.DUMMYFUNCTION("""COMPUTED_VALUE"""),"Link")</f>
        <v>Link</v>
      </c>
      <c r="S171" s="141" t="str">
        <f t="shared" si="1"/>
        <v>https://sealeddeck.tech/vCSYvCGfr5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43" t="s">
        <v>8480</v>
      </c>
      <c r="B172" s="143" t="s">
        <v>8481</v>
      </c>
      <c r="C172" s="137" t="s">
        <v>8482</v>
      </c>
      <c r="D172" s="124" t="s">
        <v>164</v>
      </c>
      <c r="E172" s="138">
        <v>10.0</v>
      </c>
      <c r="F172" s="138">
        <v>11.0</v>
      </c>
      <c r="G172" s="139" t="str">
        <f t="array" ref="G172">IF(H172="","",IFERROR(
  "https://sealeddeck.tech/" &amp; INDEX('Pool Changes'!F:F,
    MAX(
      ROW('Pool Changes'!A:A) *
      ('Pool Changes'!B:B=D172) *
      ('Pool Changes'!F:F&lt;&gt;"")
    )
  ),
  ""
))</f>
        <v>https://sealeddeck.tech/dG23U3gumX</v>
      </c>
      <c r="H172" s="139" t="str">
        <f>IFERROR(__xludf.DUMMYFUNCTION("LET(changes,FILTER('Pool Changes'!$B:$D, 'Pool Changes'!$B:$B = $D172),added,FILTER(INDEX(changes,0,3),INDEX(changes,0,2)=""starting pool""),TRANSPOSE(IFERROR(ARRAYFORMULA(IF(added&lt;&gt;"""",""https://sealeddeck.tech/""&amp;added,"""")),"""")))"),"https://sealeddeck.tech/bJUYTFsSFp")</f>
        <v>https://sealeddeck.tech/bJUYTFsSFp</v>
      </c>
      <c r="I172" s="139" t="str">
        <f>IFERROR(__xludf.DUMMYFUNCTION("LET(changes,FILTER('Pool Changes'!$B:$D, 'Pool Changes'!$B:$B = $D172),added,FILTER(INDEX(changes,0,3),INDEX(changes,0,2)=""add pack""),IFERROR(TRANSPOSE(ARRAYFORMULA(IF(added&lt;&gt;"""",HYPERLINK(""https://sealeddeck.tech/""&amp;added,""Link""),""""))),""""))"),"Link")</f>
        <v>Link</v>
      </c>
      <c r="J172" s="139" t="str">
        <f>IFERROR(__xludf.DUMMYFUNCTION("""COMPUTED_VALUE"""),"Link")</f>
        <v>Link</v>
      </c>
      <c r="K172" s="139" t="str">
        <f>IFERROR(__xludf.DUMMYFUNCTION("""COMPUTED_VALUE"""),"Link")</f>
        <v>Link</v>
      </c>
      <c r="L172" s="139" t="str">
        <f>IFERROR(__xludf.DUMMYFUNCTION("""COMPUTED_VALUE"""),"Link")</f>
        <v>Link</v>
      </c>
      <c r="M172" s="139" t="str">
        <f>IFERROR(__xludf.DUMMYFUNCTION("""COMPUTED_VALUE"""),"Link")</f>
        <v>Link</v>
      </c>
      <c r="N172" s="142" t="str">
        <f>IFERROR(__xludf.DUMMYFUNCTION("""COMPUTED_VALUE"""),"Link")</f>
        <v>Link</v>
      </c>
      <c r="O172" s="142" t="str">
        <f>IFERROR(__xludf.DUMMYFUNCTION("""COMPUTED_VALUE"""),"Link")</f>
        <v>Link</v>
      </c>
      <c r="P172" s="142" t="str">
        <f>IFERROR(__xludf.DUMMYFUNCTION("""COMPUTED_VALUE"""),"Link")</f>
        <v>Link</v>
      </c>
      <c r="Q172" s="139" t="str">
        <f>IFERROR(__xludf.DUMMYFUNCTION("""COMPUTED_VALUE"""),"Link")</f>
        <v>Link</v>
      </c>
      <c r="R172" s="139" t="str">
        <f>IFERROR(__xludf.DUMMYFUNCTION("""COMPUTED_VALUE"""),"Link")</f>
        <v>Link</v>
      </c>
      <c r="S172" s="141" t="str">
        <f t="shared" si="1"/>
        <v>https://sealeddeck.tech/wc33XRF2DH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43" t="s">
        <v>8483</v>
      </c>
      <c r="B173" s="143" t="s">
        <v>8484</v>
      </c>
      <c r="C173" s="137" t="s">
        <v>8485</v>
      </c>
      <c r="D173" s="124" t="s">
        <v>54</v>
      </c>
      <c r="E173" s="138">
        <v>15.0</v>
      </c>
      <c r="F173" s="138">
        <v>11.0</v>
      </c>
      <c r="G173" s="139" t="str">
        <f t="array" ref="G173">IF(H173="","",IFERROR(
  "https://sealeddeck.tech/" &amp; INDEX('Pool Changes'!F:F,
    MAX(
      ROW('Pool Changes'!A:A) *
      ('Pool Changes'!B:B=D173) *
      ('Pool Changes'!F:F&lt;&gt;"")
    )
  ),
  ""
))</f>
        <v>https://sealeddeck.tech/NXsdpQ8VY4</v>
      </c>
      <c r="H173" s="139" t="str">
        <f>IFERROR(__xludf.DUMMYFUNCTION("LET(changes,FILTER('Pool Changes'!$B:$D, 'Pool Changes'!$B:$B = $D173),added,FILTER(INDEX(changes,0,3),INDEX(changes,0,2)=""starting pool""),TRANSPOSE(IFERROR(ARRAYFORMULA(IF(added&lt;&gt;"""",""https://sealeddeck.tech/""&amp;added,"""")),"""")))"),"https://sealeddeck.tech/Pk13iayBC2")</f>
        <v>https://sealeddeck.tech/Pk13iayBC2</v>
      </c>
      <c r="I173" s="139" t="str">
        <f>IFERROR(__xludf.DUMMYFUNCTION("LET(changes,FILTER('Pool Changes'!$B:$D, 'Pool Changes'!$B:$B = $D173),added,FILTER(INDEX(changes,0,3),INDEX(changes,0,2)=""add pack""),IFERROR(TRANSPOSE(ARRAYFORMULA(IF(added&lt;&gt;"""",HYPERLINK(""https://sealeddeck.tech/""&amp;added,""Link""),""""))),""""))"),"Link")</f>
        <v>Link</v>
      </c>
      <c r="J173" s="139" t="str">
        <f>IFERROR(__xludf.DUMMYFUNCTION("""COMPUTED_VALUE"""),"Link")</f>
        <v>Link</v>
      </c>
      <c r="K173" s="139" t="str">
        <f>IFERROR(__xludf.DUMMYFUNCTION("""COMPUTED_VALUE"""),"Link")</f>
        <v>Link</v>
      </c>
      <c r="L173" s="139" t="str">
        <f>IFERROR(__xludf.DUMMYFUNCTION("""COMPUTED_VALUE"""),"Link")</f>
        <v>Link</v>
      </c>
      <c r="M173" s="139" t="str">
        <f>IFERROR(__xludf.DUMMYFUNCTION("""COMPUTED_VALUE"""),"Link")</f>
        <v>Link</v>
      </c>
      <c r="N173" s="142" t="str">
        <f>IFERROR(__xludf.DUMMYFUNCTION("""COMPUTED_VALUE"""),"Link")</f>
        <v>Link</v>
      </c>
      <c r="O173" s="142" t="str">
        <f>IFERROR(__xludf.DUMMYFUNCTION("""COMPUTED_VALUE"""),"Link")</f>
        <v>Link</v>
      </c>
      <c r="P173" s="142" t="str">
        <f>IFERROR(__xludf.DUMMYFUNCTION("""COMPUTED_VALUE"""),"Link")</f>
        <v>Link</v>
      </c>
      <c r="Q173" s="139" t="str">
        <f>IFERROR(__xludf.DUMMYFUNCTION("""COMPUTED_VALUE"""),"Link")</f>
        <v>Link</v>
      </c>
      <c r="R173" s="139" t="str">
        <f>IFERROR(__xludf.DUMMYFUNCTION("""COMPUTED_VALUE"""),"Link")</f>
        <v>Link</v>
      </c>
      <c r="S173" s="141" t="str">
        <f t="shared" si="1"/>
        <v>https://sealeddeck.tech/3yba4hzJoF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43" t="s">
        <v>8486</v>
      </c>
      <c r="B174" s="143" t="s">
        <v>8487</v>
      </c>
      <c r="C174" s="137" t="s">
        <v>8488</v>
      </c>
      <c r="D174" s="124" t="s">
        <v>256</v>
      </c>
      <c r="E174" s="138">
        <v>12.0</v>
      </c>
      <c r="F174" s="138">
        <v>11.0</v>
      </c>
      <c r="G174" s="139" t="str">
        <f t="array" ref="G174">IF(H174="","",IFERROR(
  "https://sealeddeck.tech/" &amp; INDEX('Pool Changes'!F:F,
    MAX(
      ROW('Pool Changes'!A:A) *
      ('Pool Changes'!B:B=D174) *
      ('Pool Changes'!F:F&lt;&gt;"")
    )
  ),
  ""
))</f>
        <v>https://sealeddeck.tech/W76AtMQvZj</v>
      </c>
      <c r="H174" s="139" t="str">
        <f>IFERROR(__xludf.DUMMYFUNCTION("LET(changes,FILTER('Pool Changes'!$B:$D, 'Pool Changes'!$B:$B = $D174),added,FILTER(INDEX(changes,0,3),INDEX(changes,0,2)=""starting pool""),TRANSPOSE(IFERROR(ARRAYFORMULA(IF(added&lt;&gt;"""",""https://sealeddeck.tech/""&amp;added,"""")),"""")))"),"https://sealeddeck.tech/dQJfJbQKG1")</f>
        <v>https://sealeddeck.tech/dQJfJbQKG1</v>
      </c>
      <c r="I174" s="139" t="str">
        <f>IFERROR(__xludf.DUMMYFUNCTION("LET(changes,FILTER('Pool Changes'!$B:$D, 'Pool Changes'!$B:$B = $D174),added,FILTER(INDEX(changes,0,3),INDEX(changes,0,2)=""add pack""),IFERROR(TRANSPOSE(ARRAYFORMULA(IF(added&lt;&gt;"""",HYPERLINK(""https://sealeddeck.tech/""&amp;added,""Link""),""""))),""""))"),"Link")</f>
        <v>Link</v>
      </c>
      <c r="J174" s="139" t="str">
        <f>IFERROR(__xludf.DUMMYFUNCTION("""COMPUTED_VALUE"""),"Link")</f>
        <v>Link</v>
      </c>
      <c r="K174" s="139" t="str">
        <f>IFERROR(__xludf.DUMMYFUNCTION("""COMPUTED_VALUE"""),"Link")</f>
        <v>Link</v>
      </c>
      <c r="L174" s="139" t="str">
        <f>IFERROR(__xludf.DUMMYFUNCTION("""COMPUTED_VALUE"""),"Link")</f>
        <v>Link</v>
      </c>
      <c r="M174" s="139" t="str">
        <f>IFERROR(__xludf.DUMMYFUNCTION("""COMPUTED_VALUE"""),"Link")</f>
        <v>Link</v>
      </c>
      <c r="N174" s="142" t="str">
        <f>IFERROR(__xludf.DUMMYFUNCTION("""COMPUTED_VALUE"""),"Link")</f>
        <v>Link</v>
      </c>
      <c r="O174" s="142" t="str">
        <f>IFERROR(__xludf.DUMMYFUNCTION("""COMPUTED_VALUE"""),"Link")</f>
        <v>Link</v>
      </c>
      <c r="P174" s="142" t="str">
        <f>IFERROR(__xludf.DUMMYFUNCTION("""COMPUTED_VALUE"""),"Link")</f>
        <v>Link</v>
      </c>
      <c r="Q174" s="139" t="str">
        <f>IFERROR(__xludf.DUMMYFUNCTION("""COMPUTED_VALUE"""),"Link")</f>
        <v>Link</v>
      </c>
      <c r="R174" s="139" t="str">
        <f>IFERROR(__xludf.DUMMYFUNCTION("""COMPUTED_VALUE"""),"Link")</f>
        <v>Link</v>
      </c>
      <c r="S174" s="141" t="str">
        <f t="shared" si="1"/>
        <v>https://sealeddeck.tech/c2SigreidV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43" t="s">
        <v>8489</v>
      </c>
      <c r="B175" s="143" t="s">
        <v>8490</v>
      </c>
      <c r="C175" s="137" t="s">
        <v>8491</v>
      </c>
      <c r="D175" s="124" t="s">
        <v>137</v>
      </c>
      <c r="E175" s="138">
        <v>8.0</v>
      </c>
      <c r="F175" s="138">
        <v>11.0</v>
      </c>
      <c r="G175" s="139" t="str">
        <f t="array" ref="G175">IF(H175="","",IFERROR(
  "https://sealeddeck.tech/" &amp; INDEX('Pool Changes'!F:F,
    MAX(
      ROW('Pool Changes'!A:A) *
      ('Pool Changes'!B:B=D175) *
      ('Pool Changes'!F:F&lt;&gt;"")
    )
  ),
  ""
))</f>
        <v>https://sealeddeck.tech/M9CWrJWKF8</v>
      </c>
      <c r="H175" s="139" t="str">
        <f>IFERROR(__xludf.DUMMYFUNCTION("LET(changes,FILTER('Pool Changes'!$B:$D, 'Pool Changes'!$B:$B = $D175),added,FILTER(INDEX(changes,0,3),INDEX(changes,0,2)=""starting pool""),TRANSPOSE(IFERROR(ARRAYFORMULA(IF(added&lt;&gt;"""",""https://sealeddeck.tech/""&amp;added,"""")),"""")))"),"https://sealeddeck.tech/ccNofBS3Ry")</f>
        <v>https://sealeddeck.tech/ccNofBS3Ry</v>
      </c>
      <c r="I175" s="139" t="str">
        <f>IFERROR(__xludf.DUMMYFUNCTION("LET(changes,FILTER('Pool Changes'!$B:$D, 'Pool Changes'!$B:$B = $D175),added,FILTER(INDEX(changes,0,3),INDEX(changes,0,2)=""add pack""),IFERROR(TRANSPOSE(ARRAYFORMULA(IF(added&lt;&gt;"""",HYPERLINK(""https://sealeddeck.tech/""&amp;added,""Link""),""""))),""""))"),"Link")</f>
        <v>Link</v>
      </c>
      <c r="J175" s="139" t="str">
        <f>IFERROR(__xludf.DUMMYFUNCTION("""COMPUTED_VALUE"""),"Link")</f>
        <v>Link</v>
      </c>
      <c r="K175" s="139" t="str">
        <f>IFERROR(__xludf.DUMMYFUNCTION("""COMPUTED_VALUE"""),"Link")</f>
        <v>Link</v>
      </c>
      <c r="L175" s="139" t="str">
        <f>IFERROR(__xludf.DUMMYFUNCTION("""COMPUTED_VALUE"""),"Link")</f>
        <v>Link</v>
      </c>
      <c r="M175" s="139" t="str">
        <f>IFERROR(__xludf.DUMMYFUNCTION("""COMPUTED_VALUE"""),"Link")</f>
        <v>Link</v>
      </c>
      <c r="N175" s="142" t="str">
        <f>IFERROR(__xludf.DUMMYFUNCTION("""COMPUTED_VALUE"""),"Link")</f>
        <v>Link</v>
      </c>
      <c r="O175" s="142" t="str">
        <f>IFERROR(__xludf.DUMMYFUNCTION("""COMPUTED_VALUE"""),"Link")</f>
        <v>Link</v>
      </c>
      <c r="P175" s="142" t="str">
        <f>IFERROR(__xludf.DUMMYFUNCTION("""COMPUTED_VALUE"""),"Link")</f>
        <v>Link</v>
      </c>
      <c r="Q175" s="139" t="str">
        <f>IFERROR(__xludf.DUMMYFUNCTION("""COMPUTED_VALUE"""),"Link")</f>
        <v>Link</v>
      </c>
      <c r="R175" s="139" t="str">
        <f>IFERROR(__xludf.DUMMYFUNCTION("""COMPUTED_VALUE"""),"Link")</f>
        <v>Link</v>
      </c>
      <c r="S175" s="141" t="str">
        <f t="shared" si="1"/>
        <v>https://sealeddeck.tech/jbuvH1gUX4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43" t="s">
        <v>8492</v>
      </c>
      <c r="B176" s="143" t="s">
        <v>8493</v>
      </c>
      <c r="C176" s="137" t="s">
        <v>8494</v>
      </c>
      <c r="D176" s="124" t="s">
        <v>213</v>
      </c>
      <c r="E176" s="138">
        <v>15.0</v>
      </c>
      <c r="F176" s="138">
        <v>11.0</v>
      </c>
      <c r="G176" s="139" t="str">
        <f t="array" ref="G176">IF(H176="","",IFERROR(
  "https://sealeddeck.tech/" &amp; INDEX('Pool Changes'!F:F,
    MAX(
      ROW('Pool Changes'!A:A) *
      ('Pool Changes'!B:B=D176) *
      ('Pool Changes'!F:F&lt;&gt;"")
    )
  ),
  ""
))</f>
        <v>https://sealeddeck.tech/qm1BrYTcTU</v>
      </c>
      <c r="H176" s="139" t="str">
        <f>IFERROR(__xludf.DUMMYFUNCTION("LET(changes,FILTER('Pool Changes'!$B:$D, 'Pool Changes'!$B:$B = $D176),added,FILTER(INDEX(changes,0,3),INDEX(changes,0,2)=""starting pool""),TRANSPOSE(IFERROR(ARRAYFORMULA(IF(added&lt;&gt;"""",""https://sealeddeck.tech/""&amp;added,"""")),"""")))"),"https://sealeddeck.tech/6wG5pK85C7")</f>
        <v>https://sealeddeck.tech/6wG5pK85C7</v>
      </c>
      <c r="I176" s="139" t="str">
        <f>IFERROR(__xludf.DUMMYFUNCTION("LET(changes,FILTER('Pool Changes'!$B:$D, 'Pool Changes'!$B:$B = $D176),added,FILTER(INDEX(changes,0,3),INDEX(changes,0,2)=""add pack""),IFERROR(TRANSPOSE(ARRAYFORMULA(IF(added&lt;&gt;"""",HYPERLINK(""https://sealeddeck.tech/""&amp;added,""Link""),""""))),""""))"),"Link")</f>
        <v>Link</v>
      </c>
      <c r="J176" s="139" t="str">
        <f>IFERROR(__xludf.DUMMYFUNCTION("""COMPUTED_VALUE"""),"Link")</f>
        <v>Link</v>
      </c>
      <c r="K176" s="139" t="str">
        <f>IFERROR(__xludf.DUMMYFUNCTION("""COMPUTED_VALUE"""),"Link")</f>
        <v>Link</v>
      </c>
      <c r="L176" s="139" t="str">
        <f>IFERROR(__xludf.DUMMYFUNCTION("""COMPUTED_VALUE"""),"Link")</f>
        <v>Link</v>
      </c>
      <c r="M176" s="139" t="str">
        <f>IFERROR(__xludf.DUMMYFUNCTION("""COMPUTED_VALUE"""),"Link")</f>
        <v>Link</v>
      </c>
      <c r="N176" s="142" t="str">
        <f>IFERROR(__xludf.DUMMYFUNCTION("""COMPUTED_VALUE"""),"Link")</f>
        <v>Link</v>
      </c>
      <c r="O176" s="142" t="str">
        <f>IFERROR(__xludf.DUMMYFUNCTION("""COMPUTED_VALUE"""),"Link")</f>
        <v>Link</v>
      </c>
      <c r="P176" s="142" t="str">
        <f>IFERROR(__xludf.DUMMYFUNCTION("""COMPUTED_VALUE"""),"Link")</f>
        <v>Link</v>
      </c>
      <c r="Q176" s="139" t="str">
        <f>IFERROR(__xludf.DUMMYFUNCTION("""COMPUTED_VALUE"""),"Link")</f>
        <v>Link</v>
      </c>
      <c r="R176" s="139" t="str">
        <f>IFERROR(__xludf.DUMMYFUNCTION("""COMPUTED_VALUE"""),"Link")</f>
        <v>Link</v>
      </c>
      <c r="S176" s="141" t="str">
        <f t="shared" si="1"/>
        <v>https://sealeddeck.tech/xhunGeKhxX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43" t="s">
        <v>8495</v>
      </c>
      <c r="B177" s="143" t="s">
        <v>8496</v>
      </c>
      <c r="C177" s="137" t="s">
        <v>8497</v>
      </c>
      <c r="D177" s="124" t="s">
        <v>343</v>
      </c>
      <c r="E177" s="138">
        <v>11.0</v>
      </c>
      <c r="F177" s="138">
        <v>11.0</v>
      </c>
      <c r="G177" s="139" t="str">
        <f t="array" ref="G177">IF(H177="","",IFERROR(
  "https://sealeddeck.tech/" &amp; INDEX('Pool Changes'!F:F,
    MAX(
      ROW('Pool Changes'!A:A) *
      ('Pool Changes'!B:B=D177) *
      ('Pool Changes'!F:F&lt;&gt;"")
    )
  ),
  ""
))</f>
        <v>https://sealeddeck.tech/i5L4p9nxYz</v>
      </c>
      <c r="H177" s="139" t="str">
        <f>IFERROR(__xludf.DUMMYFUNCTION("LET(changes,FILTER('Pool Changes'!$B:$D, 'Pool Changes'!$B:$B = $D177),added,FILTER(INDEX(changes,0,3),INDEX(changes,0,2)=""starting pool""),TRANSPOSE(IFERROR(ARRAYFORMULA(IF(added&lt;&gt;"""",""https://sealeddeck.tech/""&amp;added,"""")),"""")))"),"https://sealeddeck.tech/aXd1NvdLQF")</f>
        <v>https://sealeddeck.tech/aXd1NvdLQF</v>
      </c>
      <c r="I177" s="139" t="str">
        <f>IFERROR(__xludf.DUMMYFUNCTION("LET(changes,FILTER('Pool Changes'!$B:$D, 'Pool Changes'!$B:$B = $D177),added,FILTER(INDEX(changes,0,3),INDEX(changes,0,2)=""add pack""),IFERROR(TRANSPOSE(ARRAYFORMULA(IF(added&lt;&gt;"""",HYPERLINK(""https://sealeddeck.tech/""&amp;added,""Link""),""""))),""""))"),"Link")</f>
        <v>Link</v>
      </c>
      <c r="J177" s="139" t="str">
        <f>IFERROR(__xludf.DUMMYFUNCTION("""COMPUTED_VALUE"""),"Link")</f>
        <v>Link</v>
      </c>
      <c r="K177" s="139" t="str">
        <f>IFERROR(__xludf.DUMMYFUNCTION("""COMPUTED_VALUE"""),"Link")</f>
        <v>Link</v>
      </c>
      <c r="L177" s="139" t="str">
        <f>IFERROR(__xludf.DUMMYFUNCTION("""COMPUTED_VALUE"""),"Link")</f>
        <v>Link</v>
      </c>
      <c r="M177" s="139" t="str">
        <f>IFERROR(__xludf.DUMMYFUNCTION("""COMPUTED_VALUE"""),"Link")</f>
        <v>Link</v>
      </c>
      <c r="N177" s="142" t="str">
        <f>IFERROR(__xludf.DUMMYFUNCTION("""COMPUTED_VALUE"""),"Link")</f>
        <v>Link</v>
      </c>
      <c r="O177" s="142" t="str">
        <f>IFERROR(__xludf.DUMMYFUNCTION("""COMPUTED_VALUE"""),"Link")</f>
        <v>Link</v>
      </c>
      <c r="P177" s="142" t="str">
        <f>IFERROR(__xludf.DUMMYFUNCTION("""COMPUTED_VALUE"""),"Link")</f>
        <v>Link</v>
      </c>
      <c r="Q177" s="139" t="str">
        <f>IFERROR(__xludf.DUMMYFUNCTION("""COMPUTED_VALUE"""),"Link")</f>
        <v>Link</v>
      </c>
      <c r="R177" s="139" t="str">
        <f>IFERROR(__xludf.DUMMYFUNCTION("""COMPUTED_VALUE"""),"Link")</f>
        <v>Link</v>
      </c>
      <c r="S177" s="141" t="str">
        <f t="shared" si="1"/>
        <v>https://sealeddeck.tech/dG23U3gumX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43" t="s">
        <v>8498</v>
      </c>
      <c r="B178" s="143" t="s">
        <v>8499</v>
      </c>
      <c r="C178" s="137" t="s">
        <v>8500</v>
      </c>
      <c r="D178" s="124" t="s">
        <v>326</v>
      </c>
      <c r="E178" s="138">
        <v>3.0</v>
      </c>
      <c r="F178" s="138">
        <v>11.0</v>
      </c>
      <c r="G178" s="139" t="str">
        <f t="array" ref="G178">IF(H178="","",IFERROR(
  "https://sealeddeck.tech/" &amp; INDEX('Pool Changes'!F:F,
    MAX(
      ROW('Pool Changes'!A:A) *
      ('Pool Changes'!B:B=D178) *
      ('Pool Changes'!F:F&lt;&gt;"")
    )
  ),
  ""
))</f>
        <v>https://sealeddeck.tech/V34y3whCnu</v>
      </c>
      <c r="H178" s="139" t="str">
        <f>IFERROR(__xludf.DUMMYFUNCTION("LET(changes,FILTER('Pool Changes'!$B:$D, 'Pool Changes'!$B:$B = $D178),added,FILTER(INDEX(changes,0,3),INDEX(changes,0,2)=""starting pool""),TRANSPOSE(IFERROR(ARRAYFORMULA(IF(added&lt;&gt;"""",""https://sealeddeck.tech/""&amp;added,"""")),"""")))"),"https://sealeddeck.tech/fBdQZ6u5gk")</f>
        <v>https://sealeddeck.tech/fBdQZ6u5gk</v>
      </c>
      <c r="I178" s="139" t="str">
        <f>IFERROR(__xludf.DUMMYFUNCTION("LET(changes,FILTER('Pool Changes'!$B:$D, 'Pool Changes'!$B:$B = $D178),added,FILTER(INDEX(changes,0,3),INDEX(changes,0,2)=""add pack""),IFERROR(TRANSPOSE(ARRAYFORMULA(IF(added&lt;&gt;"""",HYPERLINK(""https://sealeddeck.tech/""&amp;added,""Link""),""""))),""""))"),"Link")</f>
        <v>Link</v>
      </c>
      <c r="J178" s="139" t="str">
        <f>IFERROR(__xludf.DUMMYFUNCTION("""COMPUTED_VALUE"""),"Link")</f>
        <v>Link</v>
      </c>
      <c r="K178" s="139" t="str">
        <f>IFERROR(__xludf.DUMMYFUNCTION("""COMPUTED_VALUE"""),"Link")</f>
        <v>Link</v>
      </c>
      <c r="L178" s="139" t="str">
        <f>IFERROR(__xludf.DUMMYFUNCTION("""COMPUTED_VALUE"""),"Link")</f>
        <v>Link</v>
      </c>
      <c r="M178" s="139" t="str">
        <f>IFERROR(__xludf.DUMMYFUNCTION("""COMPUTED_VALUE"""),"Link")</f>
        <v>Link</v>
      </c>
      <c r="N178" s="142" t="str">
        <f>IFERROR(__xludf.DUMMYFUNCTION("""COMPUTED_VALUE"""),"Link")</f>
        <v>Link</v>
      </c>
      <c r="O178" s="142" t="str">
        <f>IFERROR(__xludf.DUMMYFUNCTION("""COMPUTED_VALUE"""),"Link")</f>
        <v>Link</v>
      </c>
      <c r="P178" s="142" t="str">
        <f>IFERROR(__xludf.DUMMYFUNCTION("""COMPUTED_VALUE"""),"Link")</f>
        <v>Link</v>
      </c>
      <c r="Q178" s="139" t="str">
        <f>IFERROR(__xludf.DUMMYFUNCTION("""COMPUTED_VALUE"""),"Link")</f>
        <v>Link</v>
      </c>
      <c r="R178" s="139" t="str">
        <f>IFERROR(__xludf.DUMMYFUNCTION("""COMPUTED_VALUE"""),"Link")</f>
        <v>Link</v>
      </c>
      <c r="S178" s="141" t="str">
        <f t="shared" si="1"/>
        <v>https://sealeddeck.tech/NXsdpQ8VY4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43" t="s">
        <v>8501</v>
      </c>
      <c r="B179" s="143" t="s">
        <v>8502</v>
      </c>
      <c r="C179" s="137" t="s">
        <v>8503</v>
      </c>
      <c r="D179" s="124" t="s">
        <v>354</v>
      </c>
      <c r="E179" s="138">
        <v>8.0</v>
      </c>
      <c r="F179" s="138">
        <v>11.0</v>
      </c>
      <c r="G179" s="139" t="str">
        <f t="array" ref="G179">IF(H179="","",IFERROR(
  "https://sealeddeck.tech/" &amp; INDEX('Pool Changes'!F:F,
    MAX(
      ROW('Pool Changes'!A:A) *
      ('Pool Changes'!B:B=D179) *
      ('Pool Changes'!F:F&lt;&gt;"")
    )
  ),
  ""
))</f>
        <v>https://sealeddeck.tech/2goPwViLKR</v>
      </c>
      <c r="H179" s="139" t="str">
        <f>IFERROR(__xludf.DUMMYFUNCTION("LET(changes,FILTER('Pool Changes'!$B:$D, 'Pool Changes'!$B:$B = $D179),added,FILTER(INDEX(changes,0,3),INDEX(changes,0,2)=""starting pool""),TRANSPOSE(IFERROR(ARRAYFORMULA(IF(added&lt;&gt;"""",""https://sealeddeck.tech/""&amp;added,"""")),"""")))"),"https://sealeddeck.tech/RSZwzMzu26")</f>
        <v>https://sealeddeck.tech/RSZwzMzu26</v>
      </c>
      <c r="I179" s="139" t="str">
        <f>IFERROR(__xludf.DUMMYFUNCTION("LET(changes,FILTER('Pool Changes'!$B:$D, 'Pool Changes'!$B:$B = $D179),added,FILTER(INDEX(changes,0,3),INDEX(changes,0,2)=""add pack""),IFERROR(TRANSPOSE(ARRAYFORMULA(IF(added&lt;&gt;"""",HYPERLINK(""https://sealeddeck.tech/""&amp;added,""Link""),""""))),""""))"),"Link")</f>
        <v>Link</v>
      </c>
      <c r="J179" s="139" t="str">
        <f>IFERROR(__xludf.DUMMYFUNCTION("""COMPUTED_VALUE"""),"Link")</f>
        <v>Link</v>
      </c>
      <c r="K179" s="139" t="str">
        <f>IFERROR(__xludf.DUMMYFUNCTION("""COMPUTED_VALUE"""),"Link")</f>
        <v>Link</v>
      </c>
      <c r="L179" s="139" t="str">
        <f>IFERROR(__xludf.DUMMYFUNCTION("""COMPUTED_VALUE"""),"Link")</f>
        <v>Link</v>
      </c>
      <c r="M179" s="139" t="str">
        <f>IFERROR(__xludf.DUMMYFUNCTION("""COMPUTED_VALUE"""),"Link")</f>
        <v>Link</v>
      </c>
      <c r="N179" s="142" t="str">
        <f>IFERROR(__xludf.DUMMYFUNCTION("""COMPUTED_VALUE"""),"Link")</f>
        <v>Link</v>
      </c>
      <c r="O179" s="142" t="str">
        <f>IFERROR(__xludf.DUMMYFUNCTION("""COMPUTED_VALUE"""),"Link")</f>
        <v>Link</v>
      </c>
      <c r="P179" s="142" t="str">
        <f>IFERROR(__xludf.DUMMYFUNCTION("""COMPUTED_VALUE"""),"Link")</f>
        <v>Link</v>
      </c>
      <c r="Q179" s="139" t="str">
        <f>IFERROR(__xludf.DUMMYFUNCTION("""COMPUTED_VALUE"""),"Link")</f>
        <v>Link</v>
      </c>
      <c r="R179" s="139" t="str">
        <f>IFERROR(__xludf.DUMMYFUNCTION("""COMPUTED_VALUE"""),"Link")</f>
        <v>Link</v>
      </c>
      <c r="S179" s="141" t="str">
        <f t="shared" si="1"/>
        <v>https://sealeddeck.tech/W76AtMQvZj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43" t="s">
        <v>8504</v>
      </c>
      <c r="B180" s="143" t="s">
        <v>8505</v>
      </c>
      <c r="C180" s="137" t="s">
        <v>8506</v>
      </c>
      <c r="D180" s="124" t="s">
        <v>157</v>
      </c>
      <c r="E180" s="138">
        <v>5.0</v>
      </c>
      <c r="F180" s="138">
        <v>11.0</v>
      </c>
      <c r="G180" s="139" t="str">
        <f t="array" ref="G180">IF(H180="","",IFERROR(
  "https://sealeddeck.tech/" &amp; INDEX('Pool Changes'!F:F,
    MAX(
      ROW('Pool Changes'!A:A) *
      ('Pool Changes'!B:B=D180) *
      ('Pool Changes'!F:F&lt;&gt;"")
    )
  ),
  ""
))</f>
        <v>https://sealeddeck.tech/1gp5BL3SPQ</v>
      </c>
      <c r="H180" s="139" t="str">
        <f>IFERROR(__xludf.DUMMYFUNCTION("LET(changes,FILTER('Pool Changes'!$B:$D, 'Pool Changes'!$B:$B = $D180),added,FILTER(INDEX(changes,0,3),INDEX(changes,0,2)=""starting pool""),TRANSPOSE(IFERROR(ARRAYFORMULA(IF(added&lt;&gt;"""",""https://sealeddeck.tech/""&amp;added,"""")),"""")))"),"https://sealeddeck.tech/SSv8sZWFh6")</f>
        <v>https://sealeddeck.tech/SSv8sZWFh6</v>
      </c>
      <c r="I180" s="139" t="str">
        <f>IFERROR(__xludf.DUMMYFUNCTION("LET(changes,FILTER('Pool Changes'!$B:$D, 'Pool Changes'!$B:$B = $D180),added,FILTER(INDEX(changes,0,3),INDEX(changes,0,2)=""add pack""),IFERROR(TRANSPOSE(ARRAYFORMULA(IF(added&lt;&gt;"""",HYPERLINK(""https://sealeddeck.tech/""&amp;added,""Link""),""""))),""""))"),"Link")</f>
        <v>Link</v>
      </c>
      <c r="J180" s="139" t="str">
        <f>IFERROR(__xludf.DUMMYFUNCTION("""COMPUTED_VALUE"""),"Link")</f>
        <v>Link</v>
      </c>
      <c r="K180" s="139" t="str">
        <f>IFERROR(__xludf.DUMMYFUNCTION("""COMPUTED_VALUE"""),"Link")</f>
        <v>Link</v>
      </c>
      <c r="L180" s="139" t="str">
        <f>IFERROR(__xludf.DUMMYFUNCTION("""COMPUTED_VALUE"""),"Link")</f>
        <v>Link</v>
      </c>
      <c r="M180" s="139" t="str">
        <f>IFERROR(__xludf.DUMMYFUNCTION("""COMPUTED_VALUE"""),"Link")</f>
        <v>Link</v>
      </c>
      <c r="N180" s="142" t="str">
        <f>IFERROR(__xludf.DUMMYFUNCTION("""COMPUTED_VALUE"""),"Link")</f>
        <v>Link</v>
      </c>
      <c r="O180" s="142" t="str">
        <f>IFERROR(__xludf.DUMMYFUNCTION("""COMPUTED_VALUE"""),"Link")</f>
        <v>Link</v>
      </c>
      <c r="P180" s="142" t="str">
        <f>IFERROR(__xludf.DUMMYFUNCTION("""COMPUTED_VALUE"""),"Link")</f>
        <v>Link</v>
      </c>
      <c r="Q180" s="140"/>
      <c r="R180" s="140"/>
      <c r="S180" s="141" t="str">
        <f t="shared" si="1"/>
        <v>https://sealeddeck.tech/M9CWrJWKF8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43" t="s">
        <v>8507</v>
      </c>
      <c r="B181" s="143" t="s">
        <v>8508</v>
      </c>
      <c r="C181" s="137" t="s">
        <v>8509</v>
      </c>
      <c r="D181" s="124" t="s">
        <v>352</v>
      </c>
      <c r="E181" s="138">
        <v>7.0</v>
      </c>
      <c r="F181" s="138">
        <v>11.0</v>
      </c>
      <c r="G181" s="139" t="str">
        <f t="array" ref="G181">IF(H181="","",IFERROR(
  "https://sealeddeck.tech/" &amp; INDEX('Pool Changes'!F:F,
    MAX(
      ROW('Pool Changes'!A:A) *
      ('Pool Changes'!B:B=D181) *
      ('Pool Changes'!F:F&lt;&gt;"")
    )
  ),
  ""
))</f>
        <v>https://sealeddeck.tech/wrBTbfVvUN</v>
      </c>
      <c r="H181" s="139" t="str">
        <f>IFERROR(__xludf.DUMMYFUNCTION("LET(changes,FILTER('Pool Changes'!$B:$D, 'Pool Changes'!$B:$B = $D181),added,FILTER(INDEX(changes,0,3),INDEX(changes,0,2)=""starting pool""),TRANSPOSE(IFERROR(ARRAYFORMULA(IF(added&lt;&gt;"""",""https://sealeddeck.tech/""&amp;added,"""")),"""")))"),"https://sealeddeck.tech/V2Tp7HcU8K")</f>
        <v>https://sealeddeck.tech/V2Tp7HcU8K</v>
      </c>
      <c r="I181" s="139" t="str">
        <f>IFERROR(__xludf.DUMMYFUNCTION("LET(changes,FILTER('Pool Changes'!$B:$D, 'Pool Changes'!$B:$B = $D181),added,FILTER(INDEX(changes,0,3),INDEX(changes,0,2)=""add pack""),IFERROR(TRANSPOSE(ARRAYFORMULA(IF(added&lt;&gt;"""",HYPERLINK(""https://sealeddeck.tech/""&amp;added,""Link""),""""))),""""))"),"Link")</f>
        <v>Link</v>
      </c>
      <c r="J181" s="139" t="str">
        <f>IFERROR(__xludf.DUMMYFUNCTION("""COMPUTED_VALUE"""),"Link")</f>
        <v>Link</v>
      </c>
      <c r="K181" s="139" t="str">
        <f>IFERROR(__xludf.DUMMYFUNCTION("""COMPUTED_VALUE"""),"Link")</f>
        <v>Link</v>
      </c>
      <c r="L181" s="139" t="str">
        <f>IFERROR(__xludf.DUMMYFUNCTION("""COMPUTED_VALUE"""),"Link")</f>
        <v>Link</v>
      </c>
      <c r="M181" s="139" t="str">
        <f>IFERROR(__xludf.DUMMYFUNCTION("""COMPUTED_VALUE"""),"Link")</f>
        <v>Link</v>
      </c>
      <c r="N181" s="142" t="str">
        <f>IFERROR(__xludf.DUMMYFUNCTION("""COMPUTED_VALUE"""),"Link")</f>
        <v>Link</v>
      </c>
      <c r="O181" s="142" t="str">
        <f>IFERROR(__xludf.DUMMYFUNCTION("""COMPUTED_VALUE"""),"Link")</f>
        <v>Link</v>
      </c>
      <c r="P181" s="142" t="str">
        <f>IFERROR(__xludf.DUMMYFUNCTION("""COMPUTED_VALUE"""),"Link")</f>
        <v>Link</v>
      </c>
      <c r="Q181" s="139" t="str">
        <f>IFERROR(__xludf.DUMMYFUNCTION("""COMPUTED_VALUE"""),"Link")</f>
        <v>Link</v>
      </c>
      <c r="R181" s="139" t="str">
        <f>IFERROR(__xludf.DUMMYFUNCTION("""COMPUTED_VALUE"""),"Link")</f>
        <v>Link</v>
      </c>
      <c r="S181" s="141" t="str">
        <f t="shared" si="1"/>
        <v>https://sealeddeck.tech/qm1BrYTcTU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43" t="s">
        <v>8510</v>
      </c>
      <c r="B182" s="143" t="s">
        <v>8511</v>
      </c>
      <c r="C182" s="137" t="s">
        <v>8512</v>
      </c>
      <c r="D182" s="124" t="s">
        <v>245</v>
      </c>
      <c r="E182" s="138">
        <v>15.0</v>
      </c>
      <c r="F182" s="138">
        <v>11.0</v>
      </c>
      <c r="G182" s="139" t="str">
        <f t="array" ref="G182">IF(H182="","",IFERROR(
  "https://sealeddeck.tech/" &amp; INDEX('Pool Changes'!F:F,
    MAX(
      ROW('Pool Changes'!A:A) *
      ('Pool Changes'!B:B=D182) *
      ('Pool Changes'!F:F&lt;&gt;"")
    )
  ),
  ""
))</f>
        <v>https://sealeddeck.tech/uM7t34ZqFD</v>
      </c>
      <c r="H182" s="139" t="str">
        <f>IFERROR(__xludf.DUMMYFUNCTION("LET(changes,FILTER('Pool Changes'!$B:$D, 'Pool Changes'!$B:$B = $D182),added,FILTER(INDEX(changes,0,3),INDEX(changes,0,2)=""starting pool""),TRANSPOSE(IFERROR(ARRAYFORMULA(IF(added&lt;&gt;"""",""https://sealeddeck.tech/""&amp;added,"""")),"""")))"),"https://sealeddeck.tech/MGnLiRAzoT")</f>
        <v>https://sealeddeck.tech/MGnLiRAzoT</v>
      </c>
      <c r="I182" s="139" t="str">
        <f>IFERROR(__xludf.DUMMYFUNCTION("LET(changes,FILTER('Pool Changes'!$B:$D, 'Pool Changes'!$B:$B = $D182),added,FILTER(INDEX(changes,0,3),INDEX(changes,0,2)=""add pack""),IFERROR(TRANSPOSE(ARRAYFORMULA(IF(added&lt;&gt;"""",HYPERLINK(""https://sealeddeck.tech/""&amp;added,""Link""),""""))),""""))"),"Link")</f>
        <v>Link</v>
      </c>
      <c r="J182" s="139" t="str">
        <f>IFERROR(__xludf.DUMMYFUNCTION("""COMPUTED_VALUE"""),"Link")</f>
        <v>Link</v>
      </c>
      <c r="K182" s="139" t="str">
        <f>IFERROR(__xludf.DUMMYFUNCTION("""COMPUTED_VALUE"""),"Link")</f>
        <v>Link</v>
      </c>
      <c r="L182" s="139" t="str">
        <f>IFERROR(__xludf.DUMMYFUNCTION("""COMPUTED_VALUE"""),"Link")</f>
        <v>Link</v>
      </c>
      <c r="M182" s="139" t="str">
        <f>IFERROR(__xludf.DUMMYFUNCTION("""COMPUTED_VALUE"""),"Link")</f>
        <v>Link</v>
      </c>
      <c r="N182" s="142" t="str">
        <f>IFERROR(__xludf.DUMMYFUNCTION("""COMPUTED_VALUE"""),"Link")</f>
        <v>Link</v>
      </c>
      <c r="O182" s="142" t="str">
        <f>IFERROR(__xludf.DUMMYFUNCTION("""COMPUTED_VALUE"""),"Link")</f>
        <v>Link</v>
      </c>
      <c r="P182" s="142" t="str">
        <f>IFERROR(__xludf.DUMMYFUNCTION("""COMPUTED_VALUE"""),"Link")</f>
        <v>Link</v>
      </c>
      <c r="Q182" s="139" t="str">
        <f>IFERROR(__xludf.DUMMYFUNCTION("""COMPUTED_VALUE"""),"Link")</f>
        <v>Link</v>
      </c>
      <c r="R182" s="139" t="str">
        <f>IFERROR(__xludf.DUMMYFUNCTION("""COMPUTED_VALUE"""),"Link")</f>
        <v>Link</v>
      </c>
      <c r="S182" s="141" t="str">
        <f t="shared" si="1"/>
        <v>https://sealeddeck.tech/i5L4p9nxYz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43" t="s">
        <v>8513</v>
      </c>
      <c r="B183" s="143" t="s">
        <v>8514</v>
      </c>
      <c r="C183" s="137" t="s">
        <v>8515</v>
      </c>
      <c r="D183" s="124" t="s">
        <v>132</v>
      </c>
      <c r="E183" s="138">
        <v>8.0</v>
      </c>
      <c r="F183" s="138">
        <v>11.0</v>
      </c>
      <c r="G183" s="139" t="str">
        <f t="array" ref="G183">IF(H183="","",IFERROR(
  "https://sealeddeck.tech/" &amp; INDEX('Pool Changes'!F:F,
    MAX(
      ROW('Pool Changes'!A:A) *
      ('Pool Changes'!B:B=D183) *
      ('Pool Changes'!F:F&lt;&gt;"")
    )
  ),
  ""
))</f>
        <v>https://sealeddeck.tech/FTSDYFK6Pa</v>
      </c>
      <c r="H183" s="139" t="str">
        <f>IFERROR(__xludf.DUMMYFUNCTION("LET(changes,FILTER('Pool Changes'!$B:$D, 'Pool Changes'!$B:$B = $D183),added,FILTER(INDEX(changes,0,3),INDEX(changes,0,2)=""starting pool""),TRANSPOSE(IFERROR(ARRAYFORMULA(IF(added&lt;&gt;"""",""https://sealeddeck.tech/""&amp;added,"""")),"""")))"),"https://sealeddeck.tech/bfrdH8qqEv")</f>
        <v>https://sealeddeck.tech/bfrdH8qqEv</v>
      </c>
      <c r="I183" s="139" t="str">
        <f>IFERROR(__xludf.DUMMYFUNCTION("LET(changes,FILTER('Pool Changes'!$B:$D, 'Pool Changes'!$B:$B = $D183),added,FILTER(INDEX(changes,0,3),INDEX(changes,0,2)=""add pack""),IFERROR(TRANSPOSE(ARRAYFORMULA(IF(added&lt;&gt;"""",HYPERLINK(""https://sealeddeck.tech/""&amp;added,""Link""),""""))),""""))"),"Link")</f>
        <v>Link</v>
      </c>
      <c r="J183" s="139" t="str">
        <f>IFERROR(__xludf.DUMMYFUNCTION("""COMPUTED_VALUE"""),"Link")</f>
        <v>Link</v>
      </c>
      <c r="K183" s="139" t="str">
        <f>IFERROR(__xludf.DUMMYFUNCTION("""COMPUTED_VALUE"""),"Link")</f>
        <v>Link</v>
      </c>
      <c r="L183" s="139" t="str">
        <f>IFERROR(__xludf.DUMMYFUNCTION("""COMPUTED_VALUE"""),"Link")</f>
        <v>Link</v>
      </c>
      <c r="M183" s="139" t="str">
        <f>IFERROR(__xludf.DUMMYFUNCTION("""COMPUTED_VALUE"""),"Link")</f>
        <v>Link</v>
      </c>
      <c r="N183" s="142" t="str">
        <f>IFERROR(__xludf.DUMMYFUNCTION("""COMPUTED_VALUE"""),"Link")</f>
        <v>Link</v>
      </c>
      <c r="O183" s="142" t="str">
        <f>IFERROR(__xludf.DUMMYFUNCTION("""COMPUTED_VALUE"""),"Link")</f>
        <v>Link</v>
      </c>
      <c r="P183" s="142" t="str">
        <f>IFERROR(__xludf.DUMMYFUNCTION("""COMPUTED_VALUE"""),"Link")</f>
        <v>Link</v>
      </c>
      <c r="Q183" s="139" t="str">
        <f>IFERROR(__xludf.DUMMYFUNCTION("""COMPUTED_VALUE"""),"Link")</f>
        <v>Link</v>
      </c>
      <c r="R183" s="139" t="str">
        <f>IFERROR(__xludf.DUMMYFUNCTION("""COMPUTED_VALUE"""),"Link")</f>
        <v>Link</v>
      </c>
      <c r="S183" s="141" t="str">
        <f t="shared" si="1"/>
        <v>https://sealeddeck.tech/V34y3whCnu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43" t="s">
        <v>8516</v>
      </c>
      <c r="B184" s="143" t="s">
        <v>8517</v>
      </c>
      <c r="C184" s="137" t="s">
        <v>8518</v>
      </c>
      <c r="D184" s="124" t="s">
        <v>331</v>
      </c>
      <c r="E184" s="138">
        <v>12.0</v>
      </c>
      <c r="F184" s="138">
        <v>11.0</v>
      </c>
      <c r="G184" s="139" t="str">
        <f t="array" ref="G184">IF(H184="","",IFERROR(
  "https://sealeddeck.tech/" &amp; INDEX('Pool Changes'!F:F,
    MAX(
      ROW('Pool Changes'!A:A) *
      ('Pool Changes'!B:B=D184) *
      ('Pool Changes'!F:F&lt;&gt;"")
    )
  ),
  ""
))</f>
        <v>https://sealeddeck.tech/S4aShCGgZ4</v>
      </c>
      <c r="H184" s="139" t="str">
        <f>IFERROR(__xludf.DUMMYFUNCTION("LET(changes,FILTER('Pool Changes'!$B:$D, 'Pool Changes'!$B:$B = $D184),added,FILTER(INDEX(changes,0,3),INDEX(changes,0,2)=""starting pool""),TRANSPOSE(IFERROR(ARRAYFORMULA(IF(added&lt;&gt;"""",""https://sealeddeck.tech/""&amp;added,"""")),"""")))"),"https://sealeddeck.tech/rberf1Us17")</f>
        <v>https://sealeddeck.tech/rberf1Us17</v>
      </c>
      <c r="I184" s="139" t="str">
        <f>IFERROR(__xludf.DUMMYFUNCTION("LET(changes,FILTER('Pool Changes'!$B:$D, 'Pool Changes'!$B:$B = $D184),added,FILTER(INDEX(changes,0,3),INDEX(changes,0,2)=""add pack""),IFERROR(TRANSPOSE(ARRAYFORMULA(IF(added&lt;&gt;"""",HYPERLINK(""https://sealeddeck.tech/""&amp;added,""Link""),""""))),""""))"),"Link")</f>
        <v>Link</v>
      </c>
      <c r="J184" s="139" t="str">
        <f>IFERROR(__xludf.DUMMYFUNCTION("""COMPUTED_VALUE"""),"Link")</f>
        <v>Link</v>
      </c>
      <c r="K184" s="139" t="str">
        <f>IFERROR(__xludf.DUMMYFUNCTION("""COMPUTED_VALUE"""),"Link")</f>
        <v>Link</v>
      </c>
      <c r="L184" s="139" t="str">
        <f>IFERROR(__xludf.DUMMYFUNCTION("""COMPUTED_VALUE"""),"Link")</f>
        <v>Link</v>
      </c>
      <c r="M184" s="139" t="str">
        <f>IFERROR(__xludf.DUMMYFUNCTION("""COMPUTED_VALUE"""),"Link")</f>
        <v>Link</v>
      </c>
      <c r="N184" s="142" t="str">
        <f>IFERROR(__xludf.DUMMYFUNCTION("""COMPUTED_VALUE"""),"Link")</f>
        <v>Link</v>
      </c>
      <c r="O184" s="142" t="str">
        <f>IFERROR(__xludf.DUMMYFUNCTION("""COMPUTED_VALUE"""),"Link")</f>
        <v>Link</v>
      </c>
      <c r="P184" s="142" t="str">
        <f>IFERROR(__xludf.DUMMYFUNCTION("""COMPUTED_VALUE"""),"Link")</f>
        <v>Link</v>
      </c>
      <c r="Q184" s="139" t="str">
        <f>IFERROR(__xludf.DUMMYFUNCTION("""COMPUTED_VALUE"""),"Link")</f>
        <v>Link</v>
      </c>
      <c r="R184" s="139" t="str">
        <f>IFERROR(__xludf.DUMMYFUNCTION("""COMPUTED_VALUE"""),"Link")</f>
        <v>Link</v>
      </c>
      <c r="S184" s="141" t="str">
        <f t="shared" si="1"/>
        <v>https://sealeddeck.tech/2goPwViLKR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43" t="s">
        <v>8519</v>
      </c>
      <c r="B185" s="143" t="s">
        <v>8520</v>
      </c>
      <c r="C185" s="137" t="s">
        <v>8521</v>
      </c>
      <c r="D185" s="124" t="s">
        <v>635</v>
      </c>
      <c r="E185" s="138">
        <v>0.0</v>
      </c>
      <c r="F185" s="138">
        <v>11.0</v>
      </c>
      <c r="G185" s="139" t="str">
        <f t="array" ref="G185">IF(H185="","",IFERROR(
  "https://sealeddeck.tech/" &amp; INDEX('Pool Changes'!F:F,
    MAX(
      ROW('Pool Changes'!A:A) *
      ('Pool Changes'!B:B=D185) *
      ('Pool Changes'!F:F&lt;&gt;"")
    )
  ),
  ""
))</f>
        <v>https://sealeddeck.tech/vR3rgKGBVm</v>
      </c>
      <c r="H185" s="139" t="str">
        <f>IFERROR(__xludf.DUMMYFUNCTION("LET(changes,FILTER('Pool Changes'!$B:$D, 'Pool Changes'!$B:$B = $D185),added,FILTER(INDEX(changes,0,3),INDEX(changes,0,2)=""starting pool""),TRANSPOSE(IFERROR(ARRAYFORMULA(IF(added&lt;&gt;"""",""https://sealeddeck.tech/""&amp;added,"""")),"""")))"),"https://sealeddeck.tech/vR3rgKGBVm")</f>
        <v>https://sealeddeck.tech/vR3rgKGBVm</v>
      </c>
      <c r="I185" s="140" t="str">
        <f>IFERROR(__xludf.DUMMYFUNCTION("LET(changes,FILTER('Pool Changes'!$B:$D, 'Pool Changes'!$B:$B = $D185),added,FILTER(INDEX(changes,0,3),INDEX(changes,0,2)=""add pack""),IFERROR(TRANSPOSE(ARRAYFORMULA(IF(added&lt;&gt;"""",HYPERLINK(""https://sealeddeck.tech/""&amp;added,""Link""),""""))),""""))"),"")</f>
        <v/>
      </c>
      <c r="J185" s="140"/>
      <c r="K185" s="140"/>
      <c r="L185" s="140"/>
      <c r="M185" s="140"/>
      <c r="N185" s="140"/>
      <c r="O185" s="140"/>
      <c r="P185" s="140"/>
      <c r="Q185" s="140"/>
      <c r="R185" s="140"/>
      <c r="S185" s="141" t="str">
        <f t="shared" si="1"/>
        <v>https://sealeddeck.tech/1gp5BL3SPQ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43" t="s">
        <v>8522</v>
      </c>
      <c r="B186" s="143" t="s">
        <v>8523</v>
      </c>
      <c r="C186" s="137" t="s">
        <v>8524</v>
      </c>
      <c r="D186" s="124" t="s">
        <v>324</v>
      </c>
      <c r="E186" s="138">
        <v>9.0</v>
      </c>
      <c r="F186" s="138">
        <v>11.0</v>
      </c>
      <c r="G186" s="139" t="str">
        <f t="array" ref="G186">IF(H186="","",IFERROR(
  "https://sealeddeck.tech/" &amp; INDEX('Pool Changes'!F:F,
    MAX(
      ROW('Pool Changes'!A:A) *
      ('Pool Changes'!B:B=D186) *
      ('Pool Changes'!F:F&lt;&gt;"")
    )
  ),
  ""
))</f>
        <v>https://sealeddeck.tech/AyBWFE3YdQ</v>
      </c>
      <c r="H186" s="139" t="str">
        <f>IFERROR(__xludf.DUMMYFUNCTION("LET(changes,FILTER('Pool Changes'!$B:$D, 'Pool Changes'!$B:$B = $D186),added,FILTER(INDEX(changes,0,3),INDEX(changes,0,2)=""starting pool""),TRANSPOSE(IFERROR(ARRAYFORMULA(IF(added&lt;&gt;"""",""https://sealeddeck.tech/""&amp;added,"""")),"""")))"),"https://sealeddeck.tech/VLX6Gm3E8F")</f>
        <v>https://sealeddeck.tech/VLX6Gm3E8F</v>
      </c>
      <c r="I186" s="139" t="str">
        <f>IFERROR(__xludf.DUMMYFUNCTION("LET(changes,FILTER('Pool Changes'!$B:$D, 'Pool Changes'!$B:$B = $D186),added,FILTER(INDEX(changes,0,3),INDEX(changes,0,2)=""add pack""),IFERROR(TRANSPOSE(ARRAYFORMULA(IF(added&lt;&gt;"""",HYPERLINK(""https://sealeddeck.tech/""&amp;added,""Link""),""""))),""""))"),"Link")</f>
        <v>Link</v>
      </c>
      <c r="J186" s="139" t="str">
        <f>IFERROR(__xludf.DUMMYFUNCTION("""COMPUTED_VALUE"""),"Link")</f>
        <v>Link</v>
      </c>
      <c r="K186" s="139" t="str">
        <f>IFERROR(__xludf.DUMMYFUNCTION("""COMPUTED_VALUE"""),"Link")</f>
        <v>Link</v>
      </c>
      <c r="L186" s="139" t="str">
        <f>IFERROR(__xludf.DUMMYFUNCTION("""COMPUTED_VALUE"""),"Link")</f>
        <v>Link</v>
      </c>
      <c r="M186" s="139" t="str">
        <f>IFERROR(__xludf.DUMMYFUNCTION("""COMPUTED_VALUE"""),"Link")</f>
        <v>Link</v>
      </c>
      <c r="N186" s="142" t="str">
        <f>IFERROR(__xludf.DUMMYFUNCTION("""COMPUTED_VALUE"""),"Link")</f>
        <v>Link</v>
      </c>
      <c r="O186" s="142" t="str">
        <f>IFERROR(__xludf.DUMMYFUNCTION("""COMPUTED_VALUE"""),"Link")</f>
        <v>Link</v>
      </c>
      <c r="P186" s="142" t="str">
        <f>IFERROR(__xludf.DUMMYFUNCTION("""COMPUTED_VALUE"""),"Link")</f>
        <v>Link</v>
      </c>
      <c r="Q186" s="139" t="str">
        <f>IFERROR(__xludf.DUMMYFUNCTION("""COMPUTED_VALUE"""),"Link")</f>
        <v>Link</v>
      </c>
      <c r="R186" s="140"/>
      <c r="S186" s="141" t="str">
        <f t="shared" si="1"/>
        <v>https://sealeddeck.tech/wrBTbfVvUN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43" t="s">
        <v>8525</v>
      </c>
      <c r="B187" s="143" t="s">
        <v>8526</v>
      </c>
      <c r="C187" s="137" t="s">
        <v>8527</v>
      </c>
      <c r="D187" s="124" t="s">
        <v>346</v>
      </c>
      <c r="E187" s="138">
        <v>14.0</v>
      </c>
      <c r="F187" s="138">
        <v>11.0</v>
      </c>
      <c r="G187" s="139" t="str">
        <f t="array" ref="G187">IF(H187="","",IFERROR(
  "https://sealeddeck.tech/" &amp; INDEX('Pool Changes'!F:F,
    MAX(
      ROW('Pool Changes'!A:A) *
      ('Pool Changes'!B:B=D187) *
      ('Pool Changes'!F:F&lt;&gt;"")
    )
  ),
  ""
))</f>
        <v>https://sealeddeck.tech/ssJ2Cdznog</v>
      </c>
      <c r="H187" s="139" t="str">
        <f>IFERROR(__xludf.DUMMYFUNCTION("LET(changes,FILTER('Pool Changes'!$B:$D, 'Pool Changes'!$B:$B = $D187),added,FILTER(INDEX(changes,0,3),INDEX(changes,0,2)=""starting pool""),TRANSPOSE(IFERROR(ARRAYFORMULA(IF(added&lt;&gt;"""",""https://sealeddeck.tech/""&amp;added,"""")),"""")))"),"https://sealeddeck.tech/P9YzUohUec")</f>
        <v>https://sealeddeck.tech/P9YzUohUec</v>
      </c>
      <c r="I187" s="139" t="str">
        <f>IFERROR(__xludf.DUMMYFUNCTION("LET(changes,FILTER('Pool Changes'!$B:$D, 'Pool Changes'!$B:$B = $D187),added,FILTER(INDEX(changes,0,3),INDEX(changes,0,2)=""add pack""),IFERROR(TRANSPOSE(ARRAYFORMULA(IF(added&lt;&gt;"""",HYPERLINK(""https://sealeddeck.tech/""&amp;added,""Link""),""""))),""""))"),"Link")</f>
        <v>Link</v>
      </c>
      <c r="J187" s="139" t="str">
        <f>IFERROR(__xludf.DUMMYFUNCTION("""COMPUTED_VALUE"""),"Link")</f>
        <v>Link</v>
      </c>
      <c r="K187" s="139" t="str">
        <f>IFERROR(__xludf.DUMMYFUNCTION("""COMPUTED_VALUE"""),"Link")</f>
        <v>Link</v>
      </c>
      <c r="L187" s="139" t="str">
        <f>IFERROR(__xludf.DUMMYFUNCTION("""COMPUTED_VALUE"""),"Link")</f>
        <v>Link</v>
      </c>
      <c r="M187" s="139" t="str">
        <f>IFERROR(__xludf.DUMMYFUNCTION("""COMPUTED_VALUE"""),"Link")</f>
        <v>Link</v>
      </c>
      <c r="N187" s="142" t="str">
        <f>IFERROR(__xludf.DUMMYFUNCTION("""COMPUTED_VALUE"""),"Link")</f>
        <v>Link</v>
      </c>
      <c r="O187" s="142" t="str">
        <f>IFERROR(__xludf.DUMMYFUNCTION("""COMPUTED_VALUE"""),"Link")</f>
        <v>Link</v>
      </c>
      <c r="P187" s="142" t="str">
        <f>IFERROR(__xludf.DUMMYFUNCTION("""COMPUTED_VALUE"""),"Link")</f>
        <v>Link</v>
      </c>
      <c r="Q187" s="139" t="str">
        <f>IFERROR(__xludf.DUMMYFUNCTION("""COMPUTED_VALUE"""),"Link")</f>
        <v>Link</v>
      </c>
      <c r="R187" s="139" t="str">
        <f>IFERROR(__xludf.DUMMYFUNCTION("""COMPUTED_VALUE"""),"Link")</f>
        <v>Link</v>
      </c>
      <c r="S187" s="141" t="str">
        <f t="shared" si="1"/>
        <v>https://sealeddeck.tech/uM7t34ZqFD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43" t="s">
        <v>8528</v>
      </c>
      <c r="B188" s="143" t="s">
        <v>8529</v>
      </c>
      <c r="C188" s="137" t="s">
        <v>8530</v>
      </c>
      <c r="D188" s="124" t="s">
        <v>125</v>
      </c>
      <c r="E188" s="138">
        <v>6.0</v>
      </c>
      <c r="F188" s="138">
        <v>11.0</v>
      </c>
      <c r="G188" s="139" t="str">
        <f t="array" ref="G188">IF(H188="","",IFERROR(
  "https://sealeddeck.tech/" &amp; INDEX('Pool Changes'!F:F,
    MAX(
      ROW('Pool Changes'!A:A) *
      ('Pool Changes'!B:B=D188) *
      ('Pool Changes'!F:F&lt;&gt;"")
    )
  ),
  ""
))</f>
        <v>https://sealeddeck.tech/YHrcJCyAnK</v>
      </c>
      <c r="H188" s="139" t="str">
        <f>IFERROR(__xludf.DUMMYFUNCTION("LET(changes,FILTER('Pool Changes'!$B:$D, 'Pool Changes'!$B:$B = $D188),added,FILTER(INDEX(changes,0,3),INDEX(changes,0,2)=""starting pool""),TRANSPOSE(IFERROR(ARRAYFORMULA(IF(added&lt;&gt;"""",""https://sealeddeck.tech/""&amp;added,"""")),"""")))"),"https://sealeddeck.tech/DQw7ACAhgs")</f>
        <v>https://sealeddeck.tech/DQw7ACAhgs</v>
      </c>
      <c r="I188" s="139" t="str">
        <f>IFERROR(__xludf.DUMMYFUNCTION("LET(changes,FILTER('Pool Changes'!$B:$D, 'Pool Changes'!$B:$B = $D188),added,FILTER(INDEX(changes,0,3),INDEX(changes,0,2)=""add pack""),IFERROR(TRANSPOSE(ARRAYFORMULA(IF(added&lt;&gt;"""",HYPERLINK(""https://sealeddeck.tech/""&amp;added,""Link""),""""))),""""))"),"Link")</f>
        <v>Link</v>
      </c>
      <c r="J188" s="139" t="str">
        <f>IFERROR(__xludf.DUMMYFUNCTION("""COMPUTED_VALUE"""),"Link")</f>
        <v>Link</v>
      </c>
      <c r="K188" s="139" t="str">
        <f>IFERROR(__xludf.DUMMYFUNCTION("""COMPUTED_VALUE"""),"Link")</f>
        <v>Link</v>
      </c>
      <c r="L188" s="139" t="str">
        <f>IFERROR(__xludf.DUMMYFUNCTION("""COMPUTED_VALUE"""),"Link")</f>
        <v>Link</v>
      </c>
      <c r="M188" s="139" t="str">
        <f>IFERROR(__xludf.DUMMYFUNCTION("""COMPUTED_VALUE"""),"Link")</f>
        <v>Link</v>
      </c>
      <c r="N188" s="142" t="str">
        <f>IFERROR(__xludf.DUMMYFUNCTION("""COMPUTED_VALUE"""),"Link")</f>
        <v>Link</v>
      </c>
      <c r="O188" s="142" t="str">
        <f>IFERROR(__xludf.DUMMYFUNCTION("""COMPUTED_VALUE"""),"Link")</f>
        <v>Link</v>
      </c>
      <c r="P188" s="142" t="str">
        <f>IFERROR(__xludf.DUMMYFUNCTION("""COMPUTED_VALUE"""),"Link")</f>
        <v>Link</v>
      </c>
      <c r="Q188" s="139" t="str">
        <f>IFERROR(__xludf.DUMMYFUNCTION("""COMPUTED_VALUE"""),"Link")</f>
        <v>Link</v>
      </c>
      <c r="R188" s="139" t="str">
        <f>IFERROR(__xludf.DUMMYFUNCTION("""COMPUTED_VALUE"""),"Link")</f>
        <v>Link</v>
      </c>
      <c r="S188" s="141" t="str">
        <f t="shared" si="1"/>
        <v>https://sealeddeck.tech/FTSDYFK6Pa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43" t="s">
        <v>8531</v>
      </c>
      <c r="B189" s="143" t="s">
        <v>8532</v>
      </c>
      <c r="C189" s="137" t="s">
        <v>8533</v>
      </c>
      <c r="D189" s="124" t="s">
        <v>215</v>
      </c>
      <c r="E189" s="138">
        <v>3.0</v>
      </c>
      <c r="F189" s="138">
        <v>11.0</v>
      </c>
      <c r="G189" s="139" t="str">
        <f t="array" ref="G189">IF(H189="","",IFERROR(
  "https://sealeddeck.tech/" &amp; INDEX('Pool Changes'!F:F,
    MAX(
      ROW('Pool Changes'!A:A) *
      ('Pool Changes'!B:B=D189) *
      ('Pool Changes'!F:F&lt;&gt;"")
    )
  ),
  ""
))</f>
        <v>https://sealeddeck.tech/XUJVnXuY6U</v>
      </c>
      <c r="H189" s="139" t="str">
        <f>IFERROR(__xludf.DUMMYFUNCTION("LET(changes,FILTER('Pool Changes'!$B:$D, 'Pool Changes'!$B:$B = $D189),added,FILTER(INDEX(changes,0,3),INDEX(changes,0,2)=""starting pool""),TRANSPOSE(IFERROR(ARRAYFORMULA(IF(added&lt;&gt;"""",""https://sealeddeck.tech/""&amp;added,"""")),"""")))"),"https://sealeddeck.tech/UEiUVrF1j2")</f>
        <v>https://sealeddeck.tech/UEiUVrF1j2</v>
      </c>
      <c r="I189" s="139" t="str">
        <f>IFERROR(__xludf.DUMMYFUNCTION("LET(changes,FILTER('Pool Changes'!$B:$D, 'Pool Changes'!$B:$B = $D189),added,FILTER(INDEX(changes,0,3),INDEX(changes,0,2)=""add pack""),IFERROR(TRANSPOSE(ARRAYFORMULA(IF(added&lt;&gt;"""",HYPERLINK(""https://sealeddeck.tech/""&amp;added,""Link""),""""))),""""))"),"Link")</f>
        <v>Link</v>
      </c>
      <c r="J189" s="139" t="str">
        <f>IFERROR(__xludf.DUMMYFUNCTION("""COMPUTED_VALUE"""),"Link")</f>
        <v>Link</v>
      </c>
      <c r="K189" s="139" t="str">
        <f>IFERROR(__xludf.DUMMYFUNCTION("""COMPUTED_VALUE"""),"Link")</f>
        <v>Link</v>
      </c>
      <c r="L189" s="139" t="str">
        <f>IFERROR(__xludf.DUMMYFUNCTION("""COMPUTED_VALUE"""),"Link")</f>
        <v>Link</v>
      </c>
      <c r="M189" s="139" t="str">
        <f>IFERROR(__xludf.DUMMYFUNCTION("""COMPUTED_VALUE"""),"Link")</f>
        <v>Link</v>
      </c>
      <c r="N189" s="142" t="str">
        <f>IFERROR(__xludf.DUMMYFUNCTION("""COMPUTED_VALUE"""),"Link")</f>
        <v>Link</v>
      </c>
      <c r="O189" s="142" t="str">
        <f>IFERROR(__xludf.DUMMYFUNCTION("""COMPUTED_VALUE"""),"Link")</f>
        <v>Link</v>
      </c>
      <c r="P189" s="142" t="str">
        <f>IFERROR(__xludf.DUMMYFUNCTION("""COMPUTED_VALUE"""),"Link")</f>
        <v>Link</v>
      </c>
      <c r="Q189" s="140"/>
      <c r="R189" s="140"/>
      <c r="S189" s="141" t="str">
        <f t="shared" si="1"/>
        <v>https://sealeddeck.tech/S4aShCGgZ4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43" t="s">
        <v>8534</v>
      </c>
      <c r="B190" s="143" t="s">
        <v>8535</v>
      </c>
      <c r="C190" s="137" t="s">
        <v>8536</v>
      </c>
      <c r="D190" s="124" t="s">
        <v>292</v>
      </c>
      <c r="E190" s="138">
        <v>2.0</v>
      </c>
      <c r="F190" s="138">
        <v>11.0</v>
      </c>
      <c r="G190" s="139" t="str">
        <f t="array" ref="G190">IF(H190="","",IFERROR(
  "https://sealeddeck.tech/" &amp; INDEX('Pool Changes'!F:F,
    MAX(
      ROW('Pool Changes'!A:A) *
      ('Pool Changes'!B:B=D190) *
      ('Pool Changes'!F:F&lt;&gt;"")
    )
  ),
  ""
))</f>
        <v>https://sealeddeck.tech/7fUYsPosoP</v>
      </c>
      <c r="H190" s="139" t="str">
        <f>IFERROR(__xludf.DUMMYFUNCTION("LET(changes,FILTER('Pool Changes'!$B:$D, 'Pool Changes'!$B:$B = $D190),added,FILTER(INDEX(changes,0,3),INDEX(changes,0,2)=""starting pool""),TRANSPOSE(IFERROR(ARRAYFORMULA(IF(added&lt;&gt;"""",""https://sealeddeck.tech/""&amp;added,"""")),"""")))"),"https://sealeddeck.tech/ritwSJSguH")</f>
        <v>https://sealeddeck.tech/ritwSJSguH</v>
      </c>
      <c r="I190" s="139" t="str">
        <f>IFERROR(__xludf.DUMMYFUNCTION("LET(changes,FILTER('Pool Changes'!$B:$D, 'Pool Changes'!$B:$B = $D190),added,FILTER(INDEX(changes,0,3),INDEX(changes,0,2)=""add pack""),IFERROR(TRANSPOSE(ARRAYFORMULA(IF(added&lt;&gt;"""",HYPERLINK(""https://sealeddeck.tech/""&amp;added,""Link""),""""))),""""))"),"Link")</f>
        <v>Link</v>
      </c>
      <c r="J190" s="139" t="str">
        <f>IFERROR(__xludf.DUMMYFUNCTION("""COMPUTED_VALUE"""),"Link")</f>
        <v>Link</v>
      </c>
      <c r="K190" s="139" t="str">
        <f>IFERROR(__xludf.DUMMYFUNCTION("""COMPUTED_VALUE"""),"Link")</f>
        <v>Link</v>
      </c>
      <c r="L190" s="140"/>
      <c r="M190" s="140"/>
      <c r="N190" s="140"/>
      <c r="O190" s="140"/>
      <c r="P190" s="140"/>
      <c r="Q190" s="140"/>
      <c r="R190" s="140"/>
      <c r="S190" s="141" t="str">
        <f t="shared" si="1"/>
        <v>https://sealeddeck.tech/vR3rgKGBVm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43" t="s">
        <v>8537</v>
      </c>
      <c r="B191" s="143" t="s">
        <v>8538</v>
      </c>
      <c r="C191" s="137" t="s">
        <v>8539</v>
      </c>
      <c r="D191" s="124" t="s">
        <v>366</v>
      </c>
      <c r="E191" s="138">
        <v>10.0</v>
      </c>
      <c r="F191" s="138">
        <v>11.0</v>
      </c>
      <c r="G191" s="139" t="str">
        <f t="array" ref="G191">IF(H191="","",IFERROR(
  "https://sealeddeck.tech/" &amp; INDEX('Pool Changes'!F:F,
    MAX(
      ROW('Pool Changes'!A:A) *
      ('Pool Changes'!B:B=D191) *
      ('Pool Changes'!F:F&lt;&gt;"")
    )
  ),
  ""
))</f>
        <v>https://sealeddeck.tech/3FhsankSLN</v>
      </c>
      <c r="H191" s="139" t="str">
        <f>IFERROR(__xludf.DUMMYFUNCTION("LET(changes,FILTER('Pool Changes'!$B:$D, 'Pool Changes'!$B:$B = $D191),added,FILTER(INDEX(changes,0,3),INDEX(changes,0,2)=""starting pool""),TRANSPOSE(IFERROR(ARRAYFORMULA(IF(added&lt;&gt;"""",""https://sealeddeck.tech/""&amp;added,"""")),"""")))"),"https://sealeddeck.tech/GyPgwKQLR1")</f>
        <v>https://sealeddeck.tech/GyPgwKQLR1</v>
      </c>
      <c r="I191" s="139" t="str">
        <f>IFERROR(__xludf.DUMMYFUNCTION("LET(changes,FILTER('Pool Changes'!$B:$D, 'Pool Changes'!$B:$B = $D191),added,FILTER(INDEX(changes,0,3),INDEX(changes,0,2)=""add pack""),IFERROR(TRANSPOSE(ARRAYFORMULA(IF(added&lt;&gt;"""",HYPERLINK(""https://sealeddeck.tech/""&amp;added,""Link""),""""))),""""))"),"Link")</f>
        <v>Link</v>
      </c>
      <c r="J191" s="139" t="str">
        <f>IFERROR(__xludf.DUMMYFUNCTION("""COMPUTED_VALUE"""),"Link")</f>
        <v>Link</v>
      </c>
      <c r="K191" s="139" t="str">
        <f>IFERROR(__xludf.DUMMYFUNCTION("""COMPUTED_VALUE"""),"Link")</f>
        <v>Link</v>
      </c>
      <c r="L191" s="139" t="str">
        <f>IFERROR(__xludf.DUMMYFUNCTION("""COMPUTED_VALUE"""),"Link")</f>
        <v>Link</v>
      </c>
      <c r="M191" s="139" t="str">
        <f>IFERROR(__xludf.DUMMYFUNCTION("""COMPUTED_VALUE"""),"Link")</f>
        <v>Link</v>
      </c>
      <c r="N191" s="142" t="str">
        <f>IFERROR(__xludf.DUMMYFUNCTION("""COMPUTED_VALUE"""),"Link")</f>
        <v>Link</v>
      </c>
      <c r="O191" s="142" t="str">
        <f>IFERROR(__xludf.DUMMYFUNCTION("""COMPUTED_VALUE"""),"Link")</f>
        <v>Link</v>
      </c>
      <c r="P191" s="142" t="str">
        <f>IFERROR(__xludf.DUMMYFUNCTION("""COMPUTED_VALUE"""),"Link")</f>
        <v>Link</v>
      </c>
      <c r="Q191" s="139" t="str">
        <f>IFERROR(__xludf.DUMMYFUNCTION("""COMPUTED_VALUE"""),"Link")</f>
        <v>Link</v>
      </c>
      <c r="R191" s="139" t="str">
        <f>IFERROR(__xludf.DUMMYFUNCTION("""COMPUTED_VALUE"""),"Link")</f>
        <v>Link</v>
      </c>
      <c r="S191" s="141" t="str">
        <f t="shared" si="1"/>
        <v>https://sealeddeck.tech/AyBWFE3YdQ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43" t="s">
        <v>49</v>
      </c>
      <c r="B192" s="143" t="s">
        <v>51</v>
      </c>
      <c r="C192" s="137" t="s">
        <v>8540</v>
      </c>
      <c r="D192" s="124" t="s">
        <v>349</v>
      </c>
      <c r="E192" s="138">
        <v>22.0</v>
      </c>
      <c r="F192" s="138">
        <v>8.0</v>
      </c>
      <c r="G192" s="139" t="str">
        <f t="array" ref="G192">IF(H192="","",IFERROR(
  "https://sealeddeck.tech/" &amp; INDEX('Pool Changes'!F:F,
    MAX(
      ROW('Pool Changes'!A:A) *
      ('Pool Changes'!B:B=D192) *
      ('Pool Changes'!F:F&lt;&gt;"")
    )
  ),
  ""
))</f>
        <v>https://sealeddeck.tech/88fuuiFbcw</v>
      </c>
      <c r="H192" s="139" t="str">
        <f>IFERROR(__xludf.DUMMYFUNCTION("LET(changes,FILTER('Pool Changes'!$B:$D, 'Pool Changes'!$B:$B = $D192),added,FILTER(INDEX(changes,0,3),INDEX(changes,0,2)=""starting pool""),TRANSPOSE(IFERROR(ARRAYFORMULA(IF(added&lt;&gt;"""",""https://sealeddeck.tech/""&amp;added,"""")),"""")))"),"https://sealeddeck.tech/iY4EzxkoVy")</f>
        <v>https://sealeddeck.tech/iY4EzxkoVy</v>
      </c>
      <c r="I192" s="139" t="str">
        <f>IFERROR(__xludf.DUMMYFUNCTION("LET(changes,FILTER('Pool Changes'!$B:$D, 'Pool Changes'!$B:$B = $D192),added,FILTER(INDEX(changes,0,3),INDEX(changes,0,2)=""add pack""),IFERROR(TRANSPOSE(ARRAYFORMULA(IF(added&lt;&gt;"""",HYPERLINK(""https://sealeddeck.tech/""&amp;added,""Link""),""""))),""""))"),"Link")</f>
        <v>Link</v>
      </c>
      <c r="J192" s="139" t="str">
        <f>IFERROR(__xludf.DUMMYFUNCTION("""COMPUTED_VALUE"""),"Link")</f>
        <v>Link</v>
      </c>
      <c r="K192" s="139" t="str">
        <f>IFERROR(__xludf.DUMMYFUNCTION("""COMPUTED_VALUE"""),"Link")</f>
        <v>Link</v>
      </c>
      <c r="L192" s="139" t="str">
        <f>IFERROR(__xludf.DUMMYFUNCTION("""COMPUTED_VALUE"""),"Link")</f>
        <v>Link</v>
      </c>
      <c r="M192" s="139" t="str">
        <f>IFERROR(__xludf.DUMMYFUNCTION("""COMPUTED_VALUE"""),"Link")</f>
        <v>Link</v>
      </c>
      <c r="N192" s="142" t="str">
        <f>IFERROR(__xludf.DUMMYFUNCTION("""COMPUTED_VALUE"""),"Link")</f>
        <v>Link</v>
      </c>
      <c r="O192" s="142" t="str">
        <f>IFERROR(__xludf.DUMMYFUNCTION("""COMPUTED_VALUE"""),"Link")</f>
        <v>Link</v>
      </c>
      <c r="P192" s="142" t="str">
        <f>IFERROR(__xludf.DUMMYFUNCTION("""COMPUTED_VALUE"""),"Link")</f>
        <v>Link</v>
      </c>
      <c r="Q192" s="140"/>
      <c r="R192" s="140"/>
      <c r="S192" s="141" t="str">
        <f t="shared" si="1"/>
        <v>https://sealeddeck.tech/ssJ2Cdznog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43" t="s">
        <v>8541</v>
      </c>
      <c r="B193" s="143" t="s">
        <v>8542</v>
      </c>
      <c r="C193" s="137" t="s">
        <v>8543</v>
      </c>
      <c r="D193" s="124" t="s">
        <v>315</v>
      </c>
      <c r="E193" s="138">
        <v>6.0</v>
      </c>
      <c r="F193" s="138">
        <v>11.0</v>
      </c>
      <c r="G193" s="139" t="str">
        <f t="array" ref="G193">IF(H193="","",IFERROR(
  "https://sealeddeck.tech/" &amp; INDEX('Pool Changes'!F:F,
    MAX(
      ROW('Pool Changes'!A:A) *
      ('Pool Changes'!B:B=D193) *
      ('Pool Changes'!F:F&lt;&gt;"")
    )
  ),
  ""
))</f>
        <v>https://sealeddeck.tech/tBYrWA1mpr</v>
      </c>
      <c r="H193" s="139" t="str">
        <f>IFERROR(__xludf.DUMMYFUNCTION("LET(changes,FILTER('Pool Changes'!$B:$D, 'Pool Changes'!$B:$B = $D193),added,FILTER(INDEX(changes,0,3),INDEX(changes,0,2)=""starting pool""),TRANSPOSE(IFERROR(ARRAYFORMULA(IF(added&lt;&gt;"""",""https://sealeddeck.tech/""&amp;added,"""")),"""")))"),"https://sealeddeck.tech/zvCT5YEpJP")</f>
        <v>https://sealeddeck.tech/zvCT5YEpJP</v>
      </c>
      <c r="I193" s="139" t="str">
        <f>IFERROR(__xludf.DUMMYFUNCTION("LET(changes,FILTER('Pool Changes'!$B:$D, 'Pool Changes'!$B:$B = $D193),added,FILTER(INDEX(changes,0,3),INDEX(changes,0,2)=""add pack""),IFERROR(TRANSPOSE(ARRAYFORMULA(IF(added&lt;&gt;"""",HYPERLINK(""https://sealeddeck.tech/""&amp;added,""Link""),""""))),""""))"),"Link")</f>
        <v>Link</v>
      </c>
      <c r="J193" s="139" t="str">
        <f>IFERROR(__xludf.DUMMYFUNCTION("""COMPUTED_VALUE"""),"Link")</f>
        <v>Link</v>
      </c>
      <c r="K193" s="139" t="str">
        <f>IFERROR(__xludf.DUMMYFUNCTION("""COMPUTED_VALUE"""),"Link")</f>
        <v>Link</v>
      </c>
      <c r="L193" s="139" t="str">
        <f>IFERROR(__xludf.DUMMYFUNCTION("""COMPUTED_VALUE"""),"Link")</f>
        <v>Link</v>
      </c>
      <c r="M193" s="139" t="str">
        <f>IFERROR(__xludf.DUMMYFUNCTION("""COMPUTED_VALUE"""),"Link")</f>
        <v>Link</v>
      </c>
      <c r="N193" s="142" t="str">
        <f>IFERROR(__xludf.DUMMYFUNCTION("""COMPUTED_VALUE"""),"Link")</f>
        <v>Link</v>
      </c>
      <c r="O193" s="142" t="str">
        <f>IFERROR(__xludf.DUMMYFUNCTION("""COMPUTED_VALUE"""),"Link")</f>
        <v>Link</v>
      </c>
      <c r="P193" s="142" t="str">
        <f>IFERROR(__xludf.DUMMYFUNCTION("""COMPUTED_VALUE"""),"Link")</f>
        <v>Link</v>
      </c>
      <c r="Q193" s="139" t="str">
        <f>IFERROR(__xludf.DUMMYFUNCTION("""COMPUTED_VALUE"""),"Link")</f>
        <v>Link</v>
      </c>
      <c r="R193" s="139" t="str">
        <f>IFERROR(__xludf.DUMMYFUNCTION("""COMPUTED_VALUE"""),"Link")</f>
        <v>Link</v>
      </c>
      <c r="S193" s="141" t="str">
        <f t="shared" si="1"/>
        <v>https://sealeddeck.tech/YHrcJCyAnK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43" t="s">
        <v>8544</v>
      </c>
      <c r="B194" s="143" t="s">
        <v>8545</v>
      </c>
      <c r="C194" s="137" t="s">
        <v>8546</v>
      </c>
      <c r="D194" s="124" t="s">
        <v>636</v>
      </c>
      <c r="E194" s="138">
        <v>0.0</v>
      </c>
      <c r="F194" s="138">
        <v>11.0</v>
      </c>
      <c r="G194" s="139" t="str">
        <f t="array" ref="G194">IF(H194="","",IFERROR(
  "https://sealeddeck.tech/" &amp; INDEX('Pool Changes'!F:F,
    MAX(
      ROW('Pool Changes'!A:A) *
      ('Pool Changes'!B:B=D194) *
      ('Pool Changes'!F:F&lt;&gt;"")
    )
  ),
  ""
))</f>
        <v>https://sealeddeck.tech/TJhRZkihwR</v>
      </c>
      <c r="H194" s="139" t="str">
        <f>IFERROR(__xludf.DUMMYFUNCTION("LET(changes,FILTER('Pool Changes'!$B:$D, 'Pool Changes'!$B:$B = $D194),added,FILTER(INDEX(changes,0,3),INDEX(changes,0,2)=""starting pool""),TRANSPOSE(IFERROR(ARRAYFORMULA(IF(added&lt;&gt;"""",""https://sealeddeck.tech/""&amp;added,"""")),"""")))"),"https://sealeddeck.tech/VvdDkQPVG2")</f>
        <v>https://sealeddeck.tech/VvdDkQPVG2</v>
      </c>
      <c r="I194" s="139" t="str">
        <f>IFERROR(__xludf.DUMMYFUNCTION("LET(changes,FILTER('Pool Changes'!$B:$D, 'Pool Changes'!$B:$B = $D194),added,FILTER(INDEX(changes,0,3),INDEX(changes,0,2)=""add pack""),IFERROR(TRANSPOSE(ARRAYFORMULA(IF(added&lt;&gt;"""",HYPERLINK(""https://sealeddeck.tech/""&amp;added,""Link""),""""))),""""))"),"Link")</f>
        <v>Link</v>
      </c>
      <c r="J194" s="139" t="str">
        <f>IFERROR(__xludf.DUMMYFUNCTION("""COMPUTED_VALUE"""),"Link")</f>
        <v>Link</v>
      </c>
      <c r="K194" s="139" t="str">
        <f>IFERROR(__xludf.DUMMYFUNCTION("""COMPUTED_VALUE"""),"Link")</f>
        <v>Link</v>
      </c>
      <c r="L194" s="139" t="str">
        <f>IFERROR(__xludf.DUMMYFUNCTION("""COMPUTED_VALUE"""),"Link")</f>
        <v>Link</v>
      </c>
      <c r="M194" s="140"/>
      <c r="N194" s="140"/>
      <c r="O194" s="140"/>
      <c r="P194" s="140"/>
      <c r="Q194" s="140"/>
      <c r="R194" s="140"/>
      <c r="S194" s="141" t="str">
        <f t="shared" si="1"/>
        <v>https://sealeddeck.tech/XUJVnXuY6U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43" t="s">
        <v>8547</v>
      </c>
      <c r="B195" s="143" t="s">
        <v>8548</v>
      </c>
      <c r="C195" s="137" t="s">
        <v>8549</v>
      </c>
      <c r="D195" s="124" t="s">
        <v>214</v>
      </c>
      <c r="E195" s="138">
        <v>10.0</v>
      </c>
      <c r="F195" s="138">
        <v>11.0</v>
      </c>
      <c r="G195" s="139" t="str">
        <f t="array" ref="G195">IF(H195="","",IFERROR(
  "https://sealeddeck.tech/" &amp; INDEX('Pool Changes'!F:F,
    MAX(
      ROW('Pool Changes'!A:A) *
      ('Pool Changes'!B:B=D195) *
      ('Pool Changes'!F:F&lt;&gt;"")
    )
  ),
  ""
))</f>
        <v>https://sealeddeck.tech/Xdcw9K3tBp</v>
      </c>
      <c r="H195" s="139" t="str">
        <f>IFERROR(__xludf.DUMMYFUNCTION("LET(changes,FILTER('Pool Changes'!$B:$D, 'Pool Changes'!$B:$B = $D195),added,FILTER(INDEX(changes,0,3),INDEX(changes,0,2)=""starting pool""),TRANSPOSE(IFERROR(ARRAYFORMULA(IF(added&lt;&gt;"""",""https://sealeddeck.tech/""&amp;added,"""")),"""")))"),"https://sealeddeck.tech/q4V9VV9kKv")</f>
        <v>https://sealeddeck.tech/q4V9VV9kKv</v>
      </c>
      <c r="I195" s="139" t="str">
        <f>IFERROR(__xludf.DUMMYFUNCTION("LET(changes,FILTER('Pool Changes'!$B:$D, 'Pool Changes'!$B:$B = $D195),added,FILTER(INDEX(changes,0,3),INDEX(changes,0,2)=""add pack""),IFERROR(TRANSPOSE(ARRAYFORMULA(IF(added&lt;&gt;"""",HYPERLINK(""https://sealeddeck.tech/""&amp;added,""Link""),""""))),""""))"),"Link")</f>
        <v>Link</v>
      </c>
      <c r="J195" s="139" t="str">
        <f>IFERROR(__xludf.DUMMYFUNCTION("""COMPUTED_VALUE"""),"Link")</f>
        <v>Link</v>
      </c>
      <c r="K195" s="139" t="str">
        <f>IFERROR(__xludf.DUMMYFUNCTION("""COMPUTED_VALUE"""),"Link")</f>
        <v>Link</v>
      </c>
      <c r="L195" s="139" t="str">
        <f>IFERROR(__xludf.DUMMYFUNCTION("""COMPUTED_VALUE"""),"Link")</f>
        <v>Link</v>
      </c>
      <c r="M195" s="139" t="str">
        <f>IFERROR(__xludf.DUMMYFUNCTION("""COMPUTED_VALUE"""),"Link")</f>
        <v>Link</v>
      </c>
      <c r="N195" s="142" t="str">
        <f>IFERROR(__xludf.DUMMYFUNCTION("""COMPUTED_VALUE"""),"Link")</f>
        <v>Link</v>
      </c>
      <c r="O195" s="142" t="str">
        <f>IFERROR(__xludf.DUMMYFUNCTION("""COMPUTED_VALUE"""),"Link")</f>
        <v>Link</v>
      </c>
      <c r="P195" s="142" t="str">
        <f>IFERROR(__xludf.DUMMYFUNCTION("""COMPUTED_VALUE"""),"Link")</f>
        <v>Link</v>
      </c>
      <c r="Q195" s="139" t="str">
        <f>IFERROR(__xludf.DUMMYFUNCTION("""COMPUTED_VALUE"""),"Link")</f>
        <v>Link</v>
      </c>
      <c r="R195" s="139" t="str">
        <f>IFERROR(__xludf.DUMMYFUNCTION("""COMPUTED_VALUE"""),"Link")</f>
        <v>Link</v>
      </c>
      <c r="S195" s="141" t="str">
        <f t="shared" si="1"/>
        <v>https://sealeddeck.tech/7fUYsPosoP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43" t="s">
        <v>8550</v>
      </c>
      <c r="B196" s="143" t="s">
        <v>8551</v>
      </c>
      <c r="C196" s="137" t="s">
        <v>8552</v>
      </c>
      <c r="D196" s="124" t="s">
        <v>228</v>
      </c>
      <c r="E196" s="138">
        <v>14.0</v>
      </c>
      <c r="F196" s="138">
        <v>11.0</v>
      </c>
      <c r="G196" s="139" t="str">
        <f t="array" ref="G196">IF(H196="","",IFERROR(
  "https://sealeddeck.tech/" &amp; INDEX('Pool Changes'!F:F,
    MAX(
      ROW('Pool Changes'!A:A) *
      ('Pool Changes'!B:B=D196) *
      ('Pool Changes'!F:F&lt;&gt;"")
    )
  ),
  ""
))</f>
        <v>https://sealeddeck.tech/qvH4ZqWTD4</v>
      </c>
      <c r="H196" s="139" t="str">
        <f>IFERROR(__xludf.DUMMYFUNCTION("LET(changes,FILTER('Pool Changes'!$B:$D, 'Pool Changes'!$B:$B = $D196),added,FILTER(INDEX(changes,0,3),INDEX(changes,0,2)=""starting pool""),TRANSPOSE(IFERROR(ARRAYFORMULA(IF(added&lt;&gt;"""",""https://sealeddeck.tech/""&amp;added,"""")),"""")))"),"https://sealeddeck.tech/ptnRvsiuqn")</f>
        <v>https://sealeddeck.tech/ptnRvsiuqn</v>
      </c>
      <c r="I196" s="139" t="str">
        <f>IFERROR(__xludf.DUMMYFUNCTION("LET(changes,FILTER('Pool Changes'!$B:$D, 'Pool Changes'!$B:$B = $D196),added,FILTER(INDEX(changes,0,3),INDEX(changes,0,2)=""add pack""),IFERROR(TRANSPOSE(ARRAYFORMULA(IF(added&lt;&gt;"""",HYPERLINK(""https://sealeddeck.tech/""&amp;added,""Link""),""""))),""""))"),"Link")</f>
        <v>Link</v>
      </c>
      <c r="J196" s="139" t="str">
        <f>IFERROR(__xludf.DUMMYFUNCTION("""COMPUTED_VALUE"""),"Link")</f>
        <v>Link</v>
      </c>
      <c r="K196" s="139" t="str">
        <f>IFERROR(__xludf.DUMMYFUNCTION("""COMPUTED_VALUE"""),"Link")</f>
        <v>Link</v>
      </c>
      <c r="L196" s="139" t="str">
        <f>IFERROR(__xludf.DUMMYFUNCTION("""COMPUTED_VALUE"""),"Link")</f>
        <v>Link</v>
      </c>
      <c r="M196" s="139" t="str">
        <f>IFERROR(__xludf.DUMMYFUNCTION("""COMPUTED_VALUE"""),"Link")</f>
        <v>Link</v>
      </c>
      <c r="N196" s="142" t="str">
        <f>IFERROR(__xludf.DUMMYFUNCTION("""COMPUTED_VALUE"""),"Link")</f>
        <v>Link</v>
      </c>
      <c r="O196" s="142" t="str">
        <f>IFERROR(__xludf.DUMMYFUNCTION("""COMPUTED_VALUE"""),"Link")</f>
        <v>Link</v>
      </c>
      <c r="P196" s="142" t="str">
        <f>IFERROR(__xludf.DUMMYFUNCTION("""COMPUTED_VALUE"""),"Link")</f>
        <v>Link</v>
      </c>
      <c r="Q196" s="139" t="str">
        <f>IFERROR(__xludf.DUMMYFUNCTION("""COMPUTED_VALUE"""),"Link")</f>
        <v>Link</v>
      </c>
      <c r="R196" s="139" t="str">
        <f>IFERROR(__xludf.DUMMYFUNCTION("""COMPUTED_VALUE"""),"Link")</f>
        <v>Link</v>
      </c>
      <c r="S196" s="141" t="str">
        <f t="shared" si="1"/>
        <v>https://sealeddeck.tech/3FhsankSLN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43" t="s">
        <v>8553</v>
      </c>
      <c r="B197" s="143" t="s">
        <v>8554</v>
      </c>
      <c r="C197" s="137" t="s">
        <v>8555</v>
      </c>
      <c r="D197" s="124" t="s">
        <v>390</v>
      </c>
      <c r="E197" s="138">
        <v>2.0</v>
      </c>
      <c r="F197" s="138">
        <v>11.0</v>
      </c>
      <c r="G197" s="139" t="str">
        <f t="array" ref="G197">IF(H197="","",IFERROR(
  "https://sealeddeck.tech/" &amp; INDEX('Pool Changes'!F:F,
    MAX(
      ROW('Pool Changes'!A:A) *
      ('Pool Changes'!B:B=D197) *
      ('Pool Changes'!F:F&lt;&gt;"")
    )
  ),
  ""
))</f>
        <v>https://sealeddeck.tech/qP53A5LiDx</v>
      </c>
      <c r="H197" s="139" t="str">
        <f>IFERROR(__xludf.DUMMYFUNCTION("LET(changes,FILTER('Pool Changes'!$B:$D, 'Pool Changes'!$B:$B = $D197),added,FILTER(INDEX(changes,0,3),INDEX(changes,0,2)=""starting pool""),TRANSPOSE(IFERROR(ARRAYFORMULA(IF(added&lt;&gt;"""",""https://sealeddeck.tech/""&amp;added,"""")),"""")))"),"https://sealeddeck.tech/8er3hg9Asr")</f>
        <v>https://sealeddeck.tech/8er3hg9Asr</v>
      </c>
      <c r="I197" s="139" t="str">
        <f>IFERROR(__xludf.DUMMYFUNCTION("LET(changes,FILTER('Pool Changes'!$B:$D, 'Pool Changes'!$B:$B = $D197),added,FILTER(INDEX(changes,0,3),INDEX(changes,0,2)=""add pack""),IFERROR(TRANSPOSE(ARRAYFORMULA(IF(added&lt;&gt;"""",HYPERLINK(""https://sealeddeck.tech/""&amp;added,""Link""),""""))),""""))"),"Link")</f>
        <v>Link</v>
      </c>
      <c r="J197" s="139" t="str">
        <f>IFERROR(__xludf.DUMMYFUNCTION("""COMPUTED_VALUE"""),"Link")</f>
        <v>Link</v>
      </c>
      <c r="K197" s="139" t="str">
        <f>IFERROR(__xludf.DUMMYFUNCTION("""COMPUTED_VALUE"""),"Link")</f>
        <v>Link</v>
      </c>
      <c r="L197" s="139" t="str">
        <f>IFERROR(__xludf.DUMMYFUNCTION("""COMPUTED_VALUE"""),"Link")</f>
        <v>Link</v>
      </c>
      <c r="M197" s="140"/>
      <c r="N197" s="140"/>
      <c r="O197" s="140"/>
      <c r="P197" s="140"/>
      <c r="Q197" s="140"/>
      <c r="R197" s="140"/>
      <c r="S197" s="141" t="str">
        <f t="shared" si="1"/>
        <v>https://sealeddeck.tech/88fuuiFbcw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43" t="s">
        <v>8556</v>
      </c>
      <c r="B198" s="143" t="s">
        <v>8557</v>
      </c>
      <c r="C198" s="137" t="s">
        <v>8558</v>
      </c>
      <c r="D198" s="124" t="s">
        <v>168</v>
      </c>
      <c r="E198" s="138">
        <v>5.0</v>
      </c>
      <c r="F198" s="138">
        <v>11.0</v>
      </c>
      <c r="G198" s="139" t="str">
        <f t="array" ref="G198">IF(H198="","",IFERROR(
  "https://sealeddeck.tech/" &amp; INDEX('Pool Changes'!F:F,
    MAX(
      ROW('Pool Changes'!A:A) *
      ('Pool Changes'!B:B=D198) *
      ('Pool Changes'!F:F&lt;&gt;"")
    )
  ),
  ""
))</f>
        <v>https://sealeddeck.tech/zMTRJwwpmQ</v>
      </c>
      <c r="H198" s="139" t="str">
        <f>IFERROR(__xludf.DUMMYFUNCTION("LET(changes,FILTER('Pool Changes'!$B:$D, 'Pool Changes'!$B:$B = $D198),added,FILTER(INDEX(changes,0,3),INDEX(changes,0,2)=""starting pool""),TRANSPOSE(IFERROR(ARRAYFORMULA(IF(added&lt;&gt;"""",""https://sealeddeck.tech/""&amp;added,"""")),"""")))"),"https://sealeddeck.tech/R6xFjGPewV")</f>
        <v>https://sealeddeck.tech/R6xFjGPewV</v>
      </c>
      <c r="I198" s="139" t="str">
        <f>IFERROR(__xludf.DUMMYFUNCTION("LET(changes,FILTER('Pool Changes'!$B:$D, 'Pool Changes'!$B:$B = $D198),added,FILTER(INDEX(changes,0,3),INDEX(changes,0,2)=""add pack""),IFERROR(TRANSPOSE(ARRAYFORMULA(IF(added&lt;&gt;"""",HYPERLINK(""https://sealeddeck.tech/""&amp;added,""Link""),""""))),""""))"),"Link")</f>
        <v>Link</v>
      </c>
      <c r="J198" s="139" t="str">
        <f>IFERROR(__xludf.DUMMYFUNCTION("""COMPUTED_VALUE"""),"Link")</f>
        <v>Link</v>
      </c>
      <c r="K198" s="139" t="str">
        <f>IFERROR(__xludf.DUMMYFUNCTION("""COMPUTED_VALUE"""),"Link")</f>
        <v>Link</v>
      </c>
      <c r="L198" s="139" t="str">
        <f>IFERROR(__xludf.DUMMYFUNCTION("""COMPUTED_VALUE"""),"Link")</f>
        <v>Link</v>
      </c>
      <c r="M198" s="139" t="str">
        <f>IFERROR(__xludf.DUMMYFUNCTION("""COMPUTED_VALUE"""),"Link")</f>
        <v>Link</v>
      </c>
      <c r="N198" s="142" t="str">
        <f>IFERROR(__xludf.DUMMYFUNCTION("""COMPUTED_VALUE"""),"Link")</f>
        <v>Link</v>
      </c>
      <c r="O198" s="142" t="str">
        <f>IFERROR(__xludf.DUMMYFUNCTION("""COMPUTED_VALUE"""),"Link")</f>
        <v>Link</v>
      </c>
      <c r="P198" s="142" t="str">
        <f>IFERROR(__xludf.DUMMYFUNCTION("""COMPUTED_VALUE"""),"Link")</f>
        <v>Link</v>
      </c>
      <c r="Q198" s="139" t="str">
        <f>IFERROR(__xludf.DUMMYFUNCTION("""COMPUTED_VALUE"""),"Link")</f>
        <v>Link</v>
      </c>
      <c r="R198" s="139" t="str">
        <f>IFERROR(__xludf.DUMMYFUNCTION("""COMPUTED_VALUE"""),"Link")</f>
        <v>Link</v>
      </c>
      <c r="S198" s="141" t="str">
        <f t="shared" si="1"/>
        <v>https://sealeddeck.tech/tBYrWA1mpr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43" t="s">
        <v>8559</v>
      </c>
      <c r="B199" s="143" t="s">
        <v>8560</v>
      </c>
      <c r="C199" s="137" t="s">
        <v>8561</v>
      </c>
      <c r="D199" s="124" t="s">
        <v>227</v>
      </c>
      <c r="E199" s="138">
        <v>16.0</v>
      </c>
      <c r="F199" s="138">
        <v>11.0</v>
      </c>
      <c r="G199" s="139" t="str">
        <f t="array" ref="G199">IF(H199="","",IFERROR(
  "https://sealeddeck.tech/" &amp; INDEX('Pool Changes'!F:F,
    MAX(
      ROW('Pool Changes'!A:A) *
      ('Pool Changes'!B:B=D199) *
      ('Pool Changes'!F:F&lt;&gt;"")
    )
  ),
  ""
))</f>
        <v>https://sealeddeck.tech/tvKhD6nA3x</v>
      </c>
      <c r="H199" s="139" t="str">
        <f>IFERROR(__xludf.DUMMYFUNCTION("LET(changes,FILTER('Pool Changes'!$B:$D, 'Pool Changes'!$B:$B = $D199),added,FILTER(INDEX(changes,0,3),INDEX(changes,0,2)=""starting pool""),TRANSPOSE(IFERROR(ARRAYFORMULA(IF(added&lt;&gt;"""",""https://sealeddeck.tech/""&amp;added,"""")),"""")))"),"https://sealeddeck.tech/oZ9Psqm9Um")</f>
        <v>https://sealeddeck.tech/oZ9Psqm9Um</v>
      </c>
      <c r="I199" s="139" t="str">
        <f>IFERROR(__xludf.DUMMYFUNCTION("LET(changes,FILTER('Pool Changes'!$B:$D, 'Pool Changes'!$B:$B = $D199),added,FILTER(INDEX(changes,0,3),INDEX(changes,0,2)=""add pack""),IFERROR(TRANSPOSE(ARRAYFORMULA(IF(added&lt;&gt;"""",HYPERLINK(""https://sealeddeck.tech/""&amp;added,""Link""),""""))),""""))"),"Link")</f>
        <v>Link</v>
      </c>
      <c r="J199" s="139" t="str">
        <f>IFERROR(__xludf.DUMMYFUNCTION("""COMPUTED_VALUE"""),"Link")</f>
        <v>Link</v>
      </c>
      <c r="K199" s="139" t="str">
        <f>IFERROR(__xludf.DUMMYFUNCTION("""COMPUTED_VALUE"""),"Link")</f>
        <v>Link</v>
      </c>
      <c r="L199" s="139" t="str">
        <f>IFERROR(__xludf.DUMMYFUNCTION("""COMPUTED_VALUE"""),"Link")</f>
        <v>Link</v>
      </c>
      <c r="M199" s="139" t="str">
        <f>IFERROR(__xludf.DUMMYFUNCTION("""COMPUTED_VALUE"""),"Link")</f>
        <v>Link</v>
      </c>
      <c r="N199" s="142" t="str">
        <f>IFERROR(__xludf.DUMMYFUNCTION("""COMPUTED_VALUE"""),"Link")</f>
        <v>Link</v>
      </c>
      <c r="O199" s="142" t="str">
        <f>IFERROR(__xludf.DUMMYFUNCTION("""COMPUTED_VALUE"""),"Link")</f>
        <v>Link</v>
      </c>
      <c r="P199" s="142" t="str">
        <f>IFERROR(__xludf.DUMMYFUNCTION("""COMPUTED_VALUE"""),"Link")</f>
        <v>Link</v>
      </c>
      <c r="Q199" s="139" t="str">
        <f>IFERROR(__xludf.DUMMYFUNCTION("""COMPUTED_VALUE"""),"Link")</f>
        <v>Link</v>
      </c>
      <c r="R199" s="139" t="str">
        <f>IFERROR(__xludf.DUMMYFUNCTION("""COMPUTED_VALUE"""),"Link")</f>
        <v>Link</v>
      </c>
      <c r="S199" s="141" t="str">
        <f t="shared" si="1"/>
        <v>https://sealeddeck.tech/TJhRZkihwR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43" t="s">
        <v>8562</v>
      </c>
      <c r="B200" s="143" t="s">
        <v>8563</v>
      </c>
      <c r="C200" s="137" t="s">
        <v>8564</v>
      </c>
      <c r="D200" s="124" t="s">
        <v>246</v>
      </c>
      <c r="E200" s="138">
        <v>3.0</v>
      </c>
      <c r="F200" s="138">
        <v>11.0</v>
      </c>
      <c r="G200" s="139" t="str">
        <f t="array" ref="G200">IF(H200="","",IFERROR(
  "https://sealeddeck.tech/" &amp; INDEX('Pool Changes'!F:F,
    MAX(
      ROW('Pool Changes'!A:A) *
      ('Pool Changes'!B:B=D200) *
      ('Pool Changes'!F:F&lt;&gt;"")
    )
  ),
  ""
))</f>
        <v>https://sealeddeck.tech/NjSD7CVxGL</v>
      </c>
      <c r="H200" s="139" t="str">
        <f>IFERROR(__xludf.DUMMYFUNCTION("LET(changes,FILTER('Pool Changes'!$B:$D, 'Pool Changes'!$B:$B = $D200),added,FILTER(INDEX(changes,0,3),INDEX(changes,0,2)=""starting pool""),TRANSPOSE(IFERROR(ARRAYFORMULA(IF(added&lt;&gt;"""",""https://sealeddeck.tech/""&amp;added,"""")),"""")))"),"https://sealeddeck.tech/FZtXyQXTKy")</f>
        <v>https://sealeddeck.tech/FZtXyQXTKy</v>
      </c>
      <c r="I200" s="139" t="str">
        <f>IFERROR(__xludf.DUMMYFUNCTION("LET(changes,FILTER('Pool Changes'!$B:$D, 'Pool Changes'!$B:$B = $D200),added,FILTER(INDEX(changes,0,3),INDEX(changes,0,2)=""add pack""),IFERROR(TRANSPOSE(ARRAYFORMULA(IF(added&lt;&gt;"""",HYPERLINK(""https://sealeddeck.tech/""&amp;added,""Link""),""""))),""""))"),"Link")</f>
        <v>Link</v>
      </c>
      <c r="J200" s="139" t="str">
        <f>IFERROR(__xludf.DUMMYFUNCTION("""COMPUTED_VALUE"""),"Link")</f>
        <v>Link</v>
      </c>
      <c r="K200" s="139" t="str">
        <f>IFERROR(__xludf.DUMMYFUNCTION("""COMPUTED_VALUE"""),"Link")</f>
        <v>Link</v>
      </c>
      <c r="L200" s="139" t="str">
        <f>IFERROR(__xludf.DUMMYFUNCTION("""COMPUTED_VALUE"""),"Link")</f>
        <v>Link</v>
      </c>
      <c r="M200" s="139" t="str">
        <f>IFERROR(__xludf.DUMMYFUNCTION("""COMPUTED_VALUE"""),"Link")</f>
        <v>Link</v>
      </c>
      <c r="N200" s="142" t="str">
        <f>IFERROR(__xludf.DUMMYFUNCTION("""COMPUTED_VALUE"""),"Link")</f>
        <v>Link</v>
      </c>
      <c r="O200" s="142" t="str">
        <f>IFERROR(__xludf.DUMMYFUNCTION("""COMPUTED_VALUE"""),"Link")</f>
        <v>Link</v>
      </c>
      <c r="P200" s="142" t="str">
        <f>IFERROR(__xludf.DUMMYFUNCTION("""COMPUTED_VALUE"""),"Link")</f>
        <v>Link</v>
      </c>
      <c r="Q200" s="139" t="str">
        <f>IFERROR(__xludf.DUMMYFUNCTION("""COMPUTED_VALUE"""),"Link")</f>
        <v>Link</v>
      </c>
      <c r="R200" s="139" t="str">
        <f>IFERROR(__xludf.DUMMYFUNCTION("""COMPUTED_VALUE"""),"Link")</f>
        <v>Link</v>
      </c>
      <c r="S200" s="141" t="str">
        <f t="shared" si="1"/>
        <v>https://sealeddeck.tech/Xdcw9K3tBp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43" t="s">
        <v>8565</v>
      </c>
      <c r="B201" s="143" t="s">
        <v>8566</v>
      </c>
      <c r="C201" s="137" t="s">
        <v>8567</v>
      </c>
      <c r="D201" s="124" t="s">
        <v>362</v>
      </c>
      <c r="E201" s="138">
        <v>4.0</v>
      </c>
      <c r="F201" s="138">
        <v>11.0</v>
      </c>
      <c r="G201" s="139" t="str">
        <f t="array" ref="G201">IF(H201="","",IFERROR(
  "https://sealeddeck.tech/" &amp; INDEX('Pool Changes'!F:F,
    MAX(
      ROW('Pool Changes'!A:A) *
      ('Pool Changes'!B:B=D201) *
      ('Pool Changes'!F:F&lt;&gt;"")
    )
  ),
  ""
))</f>
        <v>https://sealeddeck.tech/X1ukF4rzBi</v>
      </c>
      <c r="H201" s="139" t="str">
        <f>IFERROR(__xludf.DUMMYFUNCTION("LET(changes,FILTER('Pool Changes'!$B:$D, 'Pool Changes'!$B:$B = $D201),added,FILTER(INDEX(changes,0,3),INDEX(changes,0,2)=""starting pool""),TRANSPOSE(IFERROR(ARRAYFORMULA(IF(added&lt;&gt;"""",""https://sealeddeck.tech/""&amp;added,"""")),"""")))"),"https://sealeddeck.tech/pG7kVpagEY")</f>
        <v>https://sealeddeck.tech/pG7kVpagEY</v>
      </c>
      <c r="I201" s="139" t="str">
        <f>IFERROR(__xludf.DUMMYFUNCTION("LET(changes,FILTER('Pool Changes'!$B:$D, 'Pool Changes'!$B:$B = $D201),added,FILTER(INDEX(changes,0,3),INDEX(changes,0,2)=""add pack""),IFERROR(TRANSPOSE(ARRAYFORMULA(IF(added&lt;&gt;"""",HYPERLINK(""https://sealeddeck.tech/""&amp;added,""Link""),""""))),""""))"),"Link")</f>
        <v>Link</v>
      </c>
      <c r="J201" s="139" t="str">
        <f>IFERROR(__xludf.DUMMYFUNCTION("""COMPUTED_VALUE"""),"Link")</f>
        <v>Link</v>
      </c>
      <c r="K201" s="139" t="str">
        <f>IFERROR(__xludf.DUMMYFUNCTION("""COMPUTED_VALUE"""),"Link")</f>
        <v>Link</v>
      </c>
      <c r="L201" s="139" t="str">
        <f>IFERROR(__xludf.DUMMYFUNCTION("""COMPUTED_VALUE"""),"Link")</f>
        <v>Link</v>
      </c>
      <c r="M201" s="140"/>
      <c r="N201" s="140"/>
      <c r="O201" s="140"/>
      <c r="P201" s="140"/>
      <c r="Q201" s="140"/>
      <c r="R201" s="140"/>
      <c r="S201" s="141" t="str">
        <f t="shared" si="1"/>
        <v>https://sealeddeck.tech/qvH4ZqWTD4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43" t="s">
        <v>8568</v>
      </c>
      <c r="B202" s="143" t="s">
        <v>8569</v>
      </c>
      <c r="C202" s="137" t="s">
        <v>8570</v>
      </c>
      <c r="D202" s="124" t="s">
        <v>266</v>
      </c>
      <c r="E202" s="138">
        <v>9.0</v>
      </c>
      <c r="F202" s="138">
        <v>11.0</v>
      </c>
      <c r="G202" s="139" t="str">
        <f t="array" ref="G202">IF(H202="","",IFERROR(
  "https://sealeddeck.tech/" &amp; INDEX('Pool Changes'!F:F,
    MAX(
      ROW('Pool Changes'!A:A) *
      ('Pool Changes'!B:B=D202) *
      ('Pool Changes'!F:F&lt;&gt;"")
    )
  ),
  ""
))</f>
        <v>https://sealeddeck.tech/vSWxcT4QLG</v>
      </c>
      <c r="H202" s="139" t="str">
        <f>IFERROR(__xludf.DUMMYFUNCTION("LET(changes,FILTER('Pool Changes'!$B:$D, 'Pool Changes'!$B:$B = $D202),added,FILTER(INDEX(changes,0,3),INDEX(changes,0,2)=""starting pool""),TRANSPOSE(IFERROR(ARRAYFORMULA(IF(added&lt;&gt;"""",""https://sealeddeck.tech/""&amp;added,"""")),"""")))"),"https://sealeddeck.tech/Tru2k1BAFu")</f>
        <v>https://sealeddeck.tech/Tru2k1BAFu</v>
      </c>
      <c r="I202" s="139" t="str">
        <f>IFERROR(__xludf.DUMMYFUNCTION("LET(changes,FILTER('Pool Changes'!$B:$D, 'Pool Changes'!$B:$B = $D202),added,FILTER(INDEX(changes,0,3),INDEX(changes,0,2)=""add pack""),IFERROR(TRANSPOSE(ARRAYFORMULA(IF(added&lt;&gt;"""",HYPERLINK(""https://sealeddeck.tech/""&amp;added,""Link""),""""))),""""))"),"Link")</f>
        <v>Link</v>
      </c>
      <c r="J202" s="139" t="str">
        <f>IFERROR(__xludf.DUMMYFUNCTION("""COMPUTED_VALUE"""),"Link")</f>
        <v>Link</v>
      </c>
      <c r="K202" s="139" t="str">
        <f>IFERROR(__xludf.DUMMYFUNCTION("""COMPUTED_VALUE"""),"Link")</f>
        <v>Link</v>
      </c>
      <c r="L202" s="139" t="str">
        <f>IFERROR(__xludf.DUMMYFUNCTION("""COMPUTED_VALUE"""),"Link")</f>
        <v>Link</v>
      </c>
      <c r="M202" s="139" t="str">
        <f>IFERROR(__xludf.DUMMYFUNCTION("""COMPUTED_VALUE"""),"Link")</f>
        <v>Link</v>
      </c>
      <c r="N202" s="142" t="str">
        <f>IFERROR(__xludf.DUMMYFUNCTION("""COMPUTED_VALUE"""),"Link")</f>
        <v>Link</v>
      </c>
      <c r="O202" s="142" t="str">
        <f>IFERROR(__xludf.DUMMYFUNCTION("""COMPUTED_VALUE"""),"Link")</f>
        <v>Link</v>
      </c>
      <c r="P202" s="142" t="str">
        <f>IFERROR(__xludf.DUMMYFUNCTION("""COMPUTED_VALUE"""),"Link")</f>
        <v>Link</v>
      </c>
      <c r="Q202" s="139" t="str">
        <f>IFERROR(__xludf.DUMMYFUNCTION("""COMPUTED_VALUE"""),"Link")</f>
        <v>Link</v>
      </c>
      <c r="R202" s="139" t="str">
        <f>IFERROR(__xludf.DUMMYFUNCTION("""COMPUTED_VALUE"""),"Link")</f>
        <v>Link</v>
      </c>
      <c r="S202" s="141" t="str">
        <f t="shared" si="1"/>
        <v>https://sealeddeck.tech/qP53A5LiDx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43" t="s">
        <v>8571</v>
      </c>
      <c r="B203" s="143" t="s">
        <v>8572</v>
      </c>
      <c r="C203" s="137" t="s">
        <v>8573</v>
      </c>
      <c r="D203" s="124" t="s">
        <v>166</v>
      </c>
      <c r="E203" s="138">
        <v>12.0</v>
      </c>
      <c r="F203" s="138">
        <v>11.0</v>
      </c>
      <c r="G203" s="139" t="str">
        <f t="array" ref="G203">IF(H203="","",IFERROR(
  "https://sealeddeck.tech/" &amp; INDEX('Pool Changes'!F:F,
    MAX(
      ROW('Pool Changes'!A:A) *
      ('Pool Changes'!B:B=D203) *
      ('Pool Changes'!F:F&lt;&gt;"")
    )
  ),
  ""
))</f>
        <v>https://sealeddeck.tech/yPUj98aG3M</v>
      </c>
      <c r="H203" s="139" t="str">
        <f>IFERROR(__xludf.DUMMYFUNCTION("LET(changes,FILTER('Pool Changes'!$B:$D, 'Pool Changes'!$B:$B = $D203),added,FILTER(INDEX(changes,0,3),INDEX(changes,0,2)=""starting pool""),TRANSPOSE(IFERROR(ARRAYFORMULA(IF(added&lt;&gt;"""",""https://sealeddeck.tech/""&amp;added,"""")),"""")))"),"https://sealeddeck.tech/Nzy7YZmRs5")</f>
        <v>https://sealeddeck.tech/Nzy7YZmRs5</v>
      </c>
      <c r="I203" s="139" t="str">
        <f>IFERROR(__xludf.DUMMYFUNCTION("LET(changes,FILTER('Pool Changes'!$B:$D, 'Pool Changes'!$B:$B = $D203),added,FILTER(INDEX(changes,0,3),INDEX(changes,0,2)=""add pack""),IFERROR(TRANSPOSE(ARRAYFORMULA(IF(added&lt;&gt;"""",HYPERLINK(""https://sealeddeck.tech/""&amp;added,""Link""),""""))),""""))"),"Link")</f>
        <v>Link</v>
      </c>
      <c r="J203" s="139" t="str">
        <f>IFERROR(__xludf.DUMMYFUNCTION("""COMPUTED_VALUE"""),"Link")</f>
        <v>Link</v>
      </c>
      <c r="K203" s="139" t="str">
        <f>IFERROR(__xludf.DUMMYFUNCTION("""COMPUTED_VALUE"""),"Link")</f>
        <v>Link</v>
      </c>
      <c r="L203" s="139" t="str">
        <f>IFERROR(__xludf.DUMMYFUNCTION("""COMPUTED_VALUE"""),"Link")</f>
        <v>Link</v>
      </c>
      <c r="M203" s="139" t="str">
        <f>IFERROR(__xludf.DUMMYFUNCTION("""COMPUTED_VALUE"""),"Link")</f>
        <v>Link</v>
      </c>
      <c r="N203" s="142" t="str">
        <f>IFERROR(__xludf.DUMMYFUNCTION("""COMPUTED_VALUE"""),"Link")</f>
        <v>Link</v>
      </c>
      <c r="O203" s="142" t="str">
        <f>IFERROR(__xludf.DUMMYFUNCTION("""COMPUTED_VALUE"""),"Link")</f>
        <v>Link</v>
      </c>
      <c r="P203" s="142" t="str">
        <f>IFERROR(__xludf.DUMMYFUNCTION("""COMPUTED_VALUE"""),"Link")</f>
        <v>Link</v>
      </c>
      <c r="Q203" s="139" t="str">
        <f>IFERROR(__xludf.DUMMYFUNCTION("""COMPUTED_VALUE"""),"Link")</f>
        <v>Link</v>
      </c>
      <c r="R203" s="139" t="str">
        <f>IFERROR(__xludf.DUMMYFUNCTION("""COMPUTED_VALUE"""),"Link")</f>
        <v>Link</v>
      </c>
      <c r="S203" s="141" t="str">
        <f t="shared" si="1"/>
        <v>https://sealeddeck.tech/zMTRJwwpmQ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43" t="s">
        <v>8574</v>
      </c>
      <c r="B204" s="143" t="s">
        <v>8575</v>
      </c>
      <c r="C204" s="137" t="s">
        <v>8576</v>
      </c>
      <c r="D204" s="124" t="s">
        <v>131</v>
      </c>
      <c r="E204" s="138">
        <v>7.0</v>
      </c>
      <c r="F204" s="138">
        <v>11.0</v>
      </c>
      <c r="G204" s="139" t="str">
        <f t="array" ref="G204">IF(H204="","",IFERROR(
  "https://sealeddeck.tech/" &amp; INDEX('Pool Changes'!F:F,
    MAX(
      ROW('Pool Changes'!A:A) *
      ('Pool Changes'!B:B=D204) *
      ('Pool Changes'!F:F&lt;&gt;"")
    )
  ),
  ""
))</f>
        <v>https://sealeddeck.tech/hrncgjnssw</v>
      </c>
      <c r="H204" s="139" t="str">
        <f>IFERROR(__xludf.DUMMYFUNCTION("LET(changes,FILTER('Pool Changes'!$B:$D, 'Pool Changes'!$B:$B = $D204),added,FILTER(INDEX(changes,0,3),INDEX(changes,0,2)=""starting pool""),TRANSPOSE(IFERROR(ARRAYFORMULA(IF(added&lt;&gt;"""",""https://sealeddeck.tech/""&amp;added,"""")),"""")))"),"https://sealeddeck.tech/A4RvqQAALB")</f>
        <v>https://sealeddeck.tech/A4RvqQAALB</v>
      </c>
      <c r="I204" s="139" t="str">
        <f>IFERROR(__xludf.DUMMYFUNCTION("LET(changes,FILTER('Pool Changes'!$B:$D, 'Pool Changes'!$B:$B = $D204),added,FILTER(INDEX(changes,0,3),INDEX(changes,0,2)=""add pack""),IFERROR(TRANSPOSE(ARRAYFORMULA(IF(added&lt;&gt;"""",HYPERLINK(""https://sealeddeck.tech/""&amp;added,""Link""),""""))),""""))"),"Link")</f>
        <v>Link</v>
      </c>
      <c r="J204" s="139" t="str">
        <f>IFERROR(__xludf.DUMMYFUNCTION("""COMPUTED_VALUE"""),"Link")</f>
        <v>Link</v>
      </c>
      <c r="K204" s="139" t="str">
        <f>IFERROR(__xludf.DUMMYFUNCTION("""COMPUTED_VALUE"""),"Link")</f>
        <v>Link</v>
      </c>
      <c r="L204" s="139" t="str">
        <f>IFERROR(__xludf.DUMMYFUNCTION("""COMPUTED_VALUE"""),"Link")</f>
        <v>Link</v>
      </c>
      <c r="M204" s="139" t="str">
        <f>IFERROR(__xludf.DUMMYFUNCTION("""COMPUTED_VALUE"""),"Link")</f>
        <v>Link</v>
      </c>
      <c r="N204" s="142" t="str">
        <f>IFERROR(__xludf.DUMMYFUNCTION("""COMPUTED_VALUE"""),"Link")</f>
        <v>Link</v>
      </c>
      <c r="O204" s="142" t="str">
        <f>IFERROR(__xludf.DUMMYFUNCTION("""COMPUTED_VALUE"""),"Link")</f>
        <v>Link</v>
      </c>
      <c r="P204" s="142" t="str">
        <f>IFERROR(__xludf.DUMMYFUNCTION("""COMPUTED_VALUE"""),"Link")</f>
        <v>Link</v>
      </c>
      <c r="Q204" s="139" t="str">
        <f>IFERROR(__xludf.DUMMYFUNCTION("""COMPUTED_VALUE"""),"Link")</f>
        <v>Link</v>
      </c>
      <c r="R204" s="139" t="str">
        <f>IFERROR(__xludf.DUMMYFUNCTION("""COMPUTED_VALUE"""),"Link")</f>
        <v>Link</v>
      </c>
      <c r="S204" s="141" t="str">
        <f t="shared" si="1"/>
        <v>https://sealeddeck.tech/tvKhD6nA3x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43" t="s">
        <v>8577</v>
      </c>
      <c r="B205" s="143" t="s">
        <v>8578</v>
      </c>
      <c r="C205" s="137" t="s">
        <v>8579</v>
      </c>
      <c r="D205" s="124" t="s">
        <v>275</v>
      </c>
      <c r="E205" s="138">
        <v>3.0</v>
      </c>
      <c r="F205" s="138">
        <v>11.0</v>
      </c>
      <c r="G205" s="139" t="str">
        <f t="array" ref="G205">IF(H205="","",IFERROR(
  "https://sealeddeck.tech/" &amp; INDEX('Pool Changes'!F:F,
    MAX(
      ROW('Pool Changes'!A:A) *
      ('Pool Changes'!B:B=D205) *
      ('Pool Changes'!F:F&lt;&gt;"")
    )
  ),
  ""
))</f>
        <v>https://sealeddeck.tech/1uSsYqRN5y</v>
      </c>
      <c r="H205" s="139" t="str">
        <f>IFERROR(__xludf.DUMMYFUNCTION("LET(changes,FILTER('Pool Changes'!$B:$D, 'Pool Changes'!$B:$B = $D205),added,FILTER(INDEX(changes,0,3),INDEX(changes,0,2)=""starting pool""),TRANSPOSE(IFERROR(ARRAYFORMULA(IF(added&lt;&gt;"""",""https://sealeddeck.tech/""&amp;added,"""")),"""")))"),"https://sealeddeck.tech/SvDuwMkhat")</f>
        <v>https://sealeddeck.tech/SvDuwMkhat</v>
      </c>
      <c r="I205" s="139" t="str">
        <f>IFERROR(__xludf.DUMMYFUNCTION("LET(changes,FILTER('Pool Changes'!$B:$D, 'Pool Changes'!$B:$B = $D205),added,FILTER(INDEX(changes,0,3),INDEX(changes,0,2)=""add pack""),IFERROR(TRANSPOSE(ARRAYFORMULA(IF(added&lt;&gt;"""",HYPERLINK(""https://sealeddeck.tech/""&amp;added,""Link""),""""))),""""))"),"Link")</f>
        <v>Link</v>
      </c>
      <c r="J205" s="139" t="str">
        <f>IFERROR(__xludf.DUMMYFUNCTION("""COMPUTED_VALUE"""),"Link")</f>
        <v>Link</v>
      </c>
      <c r="K205" s="139" t="str">
        <f>IFERROR(__xludf.DUMMYFUNCTION("""COMPUTED_VALUE"""),"Link")</f>
        <v>Link</v>
      </c>
      <c r="L205" s="139" t="str">
        <f>IFERROR(__xludf.DUMMYFUNCTION("""COMPUTED_VALUE"""),"Link")</f>
        <v>Link</v>
      </c>
      <c r="M205" s="139" t="str">
        <f>IFERROR(__xludf.DUMMYFUNCTION("""COMPUTED_VALUE"""),"Link")</f>
        <v>Link</v>
      </c>
      <c r="N205" s="142" t="str">
        <f>IFERROR(__xludf.DUMMYFUNCTION("""COMPUTED_VALUE"""),"Link")</f>
        <v>Link</v>
      </c>
      <c r="O205" s="140"/>
      <c r="P205" s="140"/>
      <c r="Q205" s="140"/>
      <c r="R205" s="140"/>
      <c r="S205" s="141" t="str">
        <f t="shared" si="1"/>
        <v>https://sealeddeck.tech/NjSD7CVxGL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43" t="s">
        <v>8580</v>
      </c>
      <c r="B206" s="143" t="s">
        <v>8581</v>
      </c>
      <c r="C206" s="137" t="s">
        <v>8582</v>
      </c>
      <c r="D206" s="124" t="s">
        <v>300</v>
      </c>
      <c r="E206" s="138">
        <v>7.0</v>
      </c>
      <c r="F206" s="138">
        <v>11.0</v>
      </c>
      <c r="G206" s="139" t="str">
        <f t="array" ref="G206">IF(H206="","",IFERROR(
  "https://sealeddeck.tech/" &amp; INDEX('Pool Changes'!F:F,
    MAX(
      ROW('Pool Changes'!A:A) *
      ('Pool Changes'!B:B=D206) *
      ('Pool Changes'!F:F&lt;&gt;"")
    )
  ),
  ""
))</f>
        <v>https://sealeddeck.tech/iCVrJWgFng</v>
      </c>
      <c r="H206" s="139" t="str">
        <f>IFERROR(__xludf.DUMMYFUNCTION("LET(changes,FILTER('Pool Changes'!$B:$D, 'Pool Changes'!$B:$B = $D206),added,FILTER(INDEX(changes,0,3),INDEX(changes,0,2)=""starting pool""),TRANSPOSE(IFERROR(ARRAYFORMULA(IF(added&lt;&gt;"""",""https://sealeddeck.tech/""&amp;added,"""")),"""")))"),"https://sealeddeck.tech/uy5XQ7iZhZ")</f>
        <v>https://sealeddeck.tech/uy5XQ7iZhZ</v>
      </c>
      <c r="I206" s="139" t="str">
        <f>IFERROR(__xludf.DUMMYFUNCTION("LET(changes,FILTER('Pool Changes'!$B:$D, 'Pool Changes'!$B:$B = $D206),added,FILTER(INDEX(changes,0,3),INDEX(changes,0,2)=""add pack""),IFERROR(TRANSPOSE(ARRAYFORMULA(IF(added&lt;&gt;"""",HYPERLINK(""https://sealeddeck.tech/""&amp;added,""Link""),""""))),""""))"),"Link")</f>
        <v>Link</v>
      </c>
      <c r="J206" s="139" t="str">
        <f>IFERROR(__xludf.DUMMYFUNCTION("""COMPUTED_VALUE"""),"Link")</f>
        <v>Link</v>
      </c>
      <c r="K206" s="139" t="str">
        <f>IFERROR(__xludf.DUMMYFUNCTION("""COMPUTED_VALUE"""),"Link")</f>
        <v>Link</v>
      </c>
      <c r="L206" s="139" t="str">
        <f>IFERROR(__xludf.DUMMYFUNCTION("""COMPUTED_VALUE"""),"Link")</f>
        <v>Link</v>
      </c>
      <c r="M206" s="139" t="str">
        <f>IFERROR(__xludf.DUMMYFUNCTION("""COMPUTED_VALUE"""),"Link")</f>
        <v>Link</v>
      </c>
      <c r="N206" s="142" t="str">
        <f>IFERROR(__xludf.DUMMYFUNCTION("""COMPUTED_VALUE"""),"Link")</f>
        <v>Link</v>
      </c>
      <c r="O206" s="142" t="str">
        <f>IFERROR(__xludf.DUMMYFUNCTION("""COMPUTED_VALUE"""),"Link")</f>
        <v>Link</v>
      </c>
      <c r="P206" s="142" t="str">
        <f>IFERROR(__xludf.DUMMYFUNCTION("""COMPUTED_VALUE"""),"Link")</f>
        <v>Link</v>
      </c>
      <c r="Q206" s="139" t="str">
        <f>IFERROR(__xludf.DUMMYFUNCTION("""COMPUTED_VALUE"""),"Link")</f>
        <v>Link</v>
      </c>
      <c r="R206" s="139" t="str">
        <f>IFERROR(__xludf.DUMMYFUNCTION("""COMPUTED_VALUE"""),"Link")</f>
        <v>Link</v>
      </c>
      <c r="S206" s="141" t="str">
        <f t="shared" si="1"/>
        <v>https://sealeddeck.tech/X1ukF4rzBi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43" t="s">
        <v>8583</v>
      </c>
      <c r="B207" s="143" t="s">
        <v>8584</v>
      </c>
      <c r="C207" s="137" t="s">
        <v>8585</v>
      </c>
      <c r="D207" s="124" t="s">
        <v>287</v>
      </c>
      <c r="E207" s="138">
        <v>12.0</v>
      </c>
      <c r="F207" s="138">
        <v>11.0</v>
      </c>
      <c r="G207" s="139" t="str">
        <f t="array" ref="G207">IF(H207="","",IFERROR(
  "https://sealeddeck.tech/" &amp; INDEX('Pool Changes'!F:F,
    MAX(
      ROW('Pool Changes'!A:A) *
      ('Pool Changes'!B:B=D207) *
      ('Pool Changes'!F:F&lt;&gt;"")
    )
  ),
  ""
))</f>
        <v>https://sealeddeck.tech/6kiD6Mp6KG</v>
      </c>
      <c r="H207" s="139" t="str">
        <f>IFERROR(__xludf.DUMMYFUNCTION("LET(changes,FILTER('Pool Changes'!$B:$D, 'Pool Changes'!$B:$B = $D207),added,FILTER(INDEX(changes,0,3),INDEX(changes,0,2)=""starting pool""),TRANSPOSE(IFERROR(ARRAYFORMULA(IF(added&lt;&gt;"""",""https://sealeddeck.tech/""&amp;added,"""")),"""")))"),"https://sealeddeck.tech/27TxcP4VXr")</f>
        <v>https://sealeddeck.tech/27TxcP4VXr</v>
      </c>
      <c r="I207" s="139" t="str">
        <f>IFERROR(__xludf.DUMMYFUNCTION("LET(changes,FILTER('Pool Changes'!$B:$D, 'Pool Changes'!$B:$B = $D207),added,FILTER(INDEX(changes,0,3),INDEX(changes,0,2)=""add pack""),IFERROR(TRANSPOSE(ARRAYFORMULA(IF(added&lt;&gt;"""",HYPERLINK(""https://sealeddeck.tech/""&amp;added,""Link""),""""))),""""))"),"Link")</f>
        <v>Link</v>
      </c>
      <c r="J207" s="139" t="str">
        <f>IFERROR(__xludf.DUMMYFUNCTION("""COMPUTED_VALUE"""),"Link")</f>
        <v>Link</v>
      </c>
      <c r="K207" s="139" t="str">
        <f>IFERROR(__xludf.DUMMYFUNCTION("""COMPUTED_VALUE"""),"Link")</f>
        <v>Link</v>
      </c>
      <c r="L207" s="139" t="str">
        <f>IFERROR(__xludf.DUMMYFUNCTION("""COMPUTED_VALUE"""),"Link")</f>
        <v>Link</v>
      </c>
      <c r="M207" s="139" t="str">
        <f>IFERROR(__xludf.DUMMYFUNCTION("""COMPUTED_VALUE"""),"Link")</f>
        <v>Link</v>
      </c>
      <c r="N207" s="142" t="str">
        <f>IFERROR(__xludf.DUMMYFUNCTION("""COMPUTED_VALUE"""),"Link")</f>
        <v>Link</v>
      </c>
      <c r="O207" s="142" t="str">
        <f>IFERROR(__xludf.DUMMYFUNCTION("""COMPUTED_VALUE"""),"Link")</f>
        <v>Link</v>
      </c>
      <c r="P207" s="142" t="str">
        <f>IFERROR(__xludf.DUMMYFUNCTION("""COMPUTED_VALUE"""),"Link")</f>
        <v>Link</v>
      </c>
      <c r="Q207" s="139" t="str">
        <f>IFERROR(__xludf.DUMMYFUNCTION("""COMPUTED_VALUE"""),"Link")</f>
        <v>Link</v>
      </c>
      <c r="R207" s="139" t="str">
        <f>IFERROR(__xludf.DUMMYFUNCTION("""COMPUTED_VALUE"""),"Link")</f>
        <v>Link</v>
      </c>
      <c r="S207" s="141" t="str">
        <f t="shared" si="1"/>
        <v>https://sealeddeck.tech/vSWxcT4QLG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43" t="s">
        <v>8586</v>
      </c>
      <c r="B208" s="143" t="s">
        <v>8587</v>
      </c>
      <c r="C208" s="137" t="s">
        <v>8588</v>
      </c>
      <c r="D208" s="124" t="s">
        <v>254</v>
      </c>
      <c r="E208" s="138">
        <v>10.0</v>
      </c>
      <c r="F208" s="138">
        <v>11.0</v>
      </c>
      <c r="G208" s="139" t="str">
        <f t="array" ref="G208">IF(H208="","",IFERROR(
  "https://sealeddeck.tech/" &amp; INDEX('Pool Changes'!F:F,
    MAX(
      ROW('Pool Changes'!A:A) *
      ('Pool Changes'!B:B=D208) *
      ('Pool Changes'!F:F&lt;&gt;"")
    )
  ),
  ""
))</f>
        <v>https://sealeddeck.tech/oUpRBzv8Bg</v>
      </c>
      <c r="H208" s="139" t="str">
        <f>IFERROR(__xludf.DUMMYFUNCTION("LET(changes,FILTER('Pool Changes'!$B:$D, 'Pool Changes'!$B:$B = $D208),added,FILTER(INDEX(changes,0,3),INDEX(changes,0,2)=""starting pool""),TRANSPOSE(IFERROR(ARRAYFORMULA(IF(added&lt;&gt;"""",""https://sealeddeck.tech/""&amp;added,"""")),"""")))"),"https://sealeddeck.tech/G1M4eBBQbc")</f>
        <v>https://sealeddeck.tech/G1M4eBBQbc</v>
      </c>
      <c r="I208" s="139" t="str">
        <f>IFERROR(__xludf.DUMMYFUNCTION("LET(changes,FILTER('Pool Changes'!$B:$D, 'Pool Changes'!$B:$B = $D208),added,FILTER(INDEX(changes,0,3),INDEX(changes,0,2)=""add pack""),IFERROR(TRANSPOSE(ARRAYFORMULA(IF(added&lt;&gt;"""",HYPERLINK(""https://sealeddeck.tech/""&amp;added,""Link""),""""))),""""))"),"Link")</f>
        <v>Link</v>
      </c>
      <c r="J208" s="139" t="str">
        <f>IFERROR(__xludf.DUMMYFUNCTION("""COMPUTED_VALUE"""),"Link")</f>
        <v>Link</v>
      </c>
      <c r="K208" s="139" t="str">
        <f>IFERROR(__xludf.DUMMYFUNCTION("""COMPUTED_VALUE"""),"Link")</f>
        <v>Link</v>
      </c>
      <c r="L208" s="139" t="str">
        <f>IFERROR(__xludf.DUMMYFUNCTION("""COMPUTED_VALUE"""),"Link")</f>
        <v>Link</v>
      </c>
      <c r="M208" s="139" t="str">
        <f>IFERROR(__xludf.DUMMYFUNCTION("""COMPUTED_VALUE"""),"Link")</f>
        <v>Link</v>
      </c>
      <c r="N208" s="142" t="str">
        <f>IFERROR(__xludf.DUMMYFUNCTION("""COMPUTED_VALUE"""),"Link")</f>
        <v>Link</v>
      </c>
      <c r="O208" s="142" t="str">
        <f>IFERROR(__xludf.DUMMYFUNCTION("""COMPUTED_VALUE"""),"Link")</f>
        <v>Link</v>
      </c>
      <c r="P208" s="142" t="str">
        <f>IFERROR(__xludf.DUMMYFUNCTION("""COMPUTED_VALUE"""),"Link")</f>
        <v>Link</v>
      </c>
      <c r="Q208" s="139" t="str">
        <f>IFERROR(__xludf.DUMMYFUNCTION("""COMPUTED_VALUE"""),"Link")</f>
        <v>Link</v>
      </c>
      <c r="R208" s="139" t="str">
        <f>IFERROR(__xludf.DUMMYFUNCTION("""COMPUTED_VALUE"""),"Link")</f>
        <v>Link</v>
      </c>
      <c r="S208" s="141" t="str">
        <f t="shared" si="1"/>
        <v>https://sealeddeck.tech/yPUj98aG3M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43" t="s">
        <v>8589</v>
      </c>
      <c r="B209" s="143" t="s">
        <v>8590</v>
      </c>
      <c r="C209" s="137">
        <v>1.8983641030656E17</v>
      </c>
      <c r="D209" s="124" t="s">
        <v>337</v>
      </c>
      <c r="E209" s="138">
        <v>11.0</v>
      </c>
      <c r="F209" s="138">
        <v>11.0</v>
      </c>
      <c r="G209" s="139" t="str">
        <f t="array" ref="G209">IF(H209="","",IFERROR(
  "https://sealeddeck.tech/" &amp; INDEX('Pool Changes'!F:F,
    MAX(
      ROW('Pool Changes'!A:A) *
      ('Pool Changes'!B:B=D209) *
      ('Pool Changes'!F:F&lt;&gt;"")
    )
  ),
  ""
))</f>
        <v>https://sealeddeck.tech/2KwrYncKQ4</v>
      </c>
      <c r="H209" s="139" t="str">
        <f>IFERROR(__xludf.DUMMYFUNCTION("LET(changes,FILTER('Pool Changes'!$B:$D, 'Pool Changes'!$B:$B = $D209),added,FILTER(INDEX(changes,0,3),INDEX(changes,0,2)=""starting pool""),TRANSPOSE(IFERROR(ARRAYFORMULA(IF(added&lt;&gt;"""",""https://sealeddeck.tech/""&amp;added,"""")),"""")))"),"https://sealeddeck.tech/MAQ1UUHnA7")</f>
        <v>https://sealeddeck.tech/MAQ1UUHnA7</v>
      </c>
      <c r="I209" s="139" t="str">
        <f>IFERROR(__xludf.DUMMYFUNCTION("LET(changes,FILTER('Pool Changes'!$B:$D, 'Pool Changes'!$B:$B = $D209),added,FILTER(INDEX(changes,0,3),INDEX(changes,0,2)=""add pack""),IFERROR(TRANSPOSE(ARRAYFORMULA(IF(added&lt;&gt;"""",HYPERLINK(""https://sealeddeck.tech/""&amp;added,""Link""),""""))),""""))"),"Link")</f>
        <v>Link</v>
      </c>
      <c r="J209" s="139" t="str">
        <f>IFERROR(__xludf.DUMMYFUNCTION("""COMPUTED_VALUE"""),"Link")</f>
        <v>Link</v>
      </c>
      <c r="K209" s="139" t="str">
        <f>IFERROR(__xludf.DUMMYFUNCTION("""COMPUTED_VALUE"""),"Link")</f>
        <v>Link</v>
      </c>
      <c r="L209" s="139" t="str">
        <f>IFERROR(__xludf.DUMMYFUNCTION("""COMPUTED_VALUE"""),"Link")</f>
        <v>Link</v>
      </c>
      <c r="M209" s="139" t="str">
        <f>IFERROR(__xludf.DUMMYFUNCTION("""COMPUTED_VALUE"""),"Link")</f>
        <v>Link</v>
      </c>
      <c r="N209" s="142" t="str">
        <f>IFERROR(__xludf.DUMMYFUNCTION("""COMPUTED_VALUE"""),"Link")</f>
        <v>Link</v>
      </c>
      <c r="O209" s="142" t="str">
        <f>IFERROR(__xludf.DUMMYFUNCTION("""COMPUTED_VALUE"""),"Link")</f>
        <v>Link</v>
      </c>
      <c r="P209" s="142" t="str">
        <f>IFERROR(__xludf.DUMMYFUNCTION("""COMPUTED_VALUE"""),"Link")</f>
        <v>Link</v>
      </c>
      <c r="Q209" s="139" t="str">
        <f>IFERROR(__xludf.DUMMYFUNCTION("""COMPUTED_VALUE"""),"Link")</f>
        <v>Link</v>
      </c>
      <c r="R209" s="139" t="str">
        <f>IFERROR(__xludf.DUMMYFUNCTION("""COMPUTED_VALUE"""),"Link")</f>
        <v>Link</v>
      </c>
      <c r="S209" s="141" t="str">
        <f t="shared" si="1"/>
        <v>https://sealeddeck.tech/hrncgjnssw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43" t="s">
        <v>8591</v>
      </c>
      <c r="B210" s="143" t="s">
        <v>8592</v>
      </c>
      <c r="C210" s="137" t="s">
        <v>8593</v>
      </c>
      <c r="D210" s="124" t="s">
        <v>374</v>
      </c>
      <c r="E210" s="138">
        <v>8.0</v>
      </c>
      <c r="F210" s="138">
        <v>11.0</v>
      </c>
      <c r="G210" s="139" t="str">
        <f t="array" ref="G210">IF(H210="","",IFERROR(
  "https://sealeddeck.tech/" &amp; INDEX('Pool Changes'!F:F,
    MAX(
      ROW('Pool Changes'!A:A) *
      ('Pool Changes'!B:B=D210) *
      ('Pool Changes'!F:F&lt;&gt;"")
    )
  ),
  ""
))</f>
        <v>https://sealeddeck.tech/vNRKQ4aP44</v>
      </c>
      <c r="H210" s="139" t="str">
        <f>IFERROR(__xludf.DUMMYFUNCTION("LET(changes,FILTER('Pool Changes'!$B:$D, 'Pool Changes'!$B:$B = $D210),added,FILTER(INDEX(changes,0,3),INDEX(changes,0,2)=""starting pool""),TRANSPOSE(IFERROR(ARRAYFORMULA(IF(added&lt;&gt;"""",""https://sealeddeck.tech/""&amp;added,"""")),"""")))"),"https://sealeddeck.tech/rcaMqCgP3v")</f>
        <v>https://sealeddeck.tech/rcaMqCgP3v</v>
      </c>
      <c r="I210" s="139" t="str">
        <f>IFERROR(__xludf.DUMMYFUNCTION("LET(changes,FILTER('Pool Changes'!$B:$D, 'Pool Changes'!$B:$B = $D210),added,FILTER(INDEX(changes,0,3),INDEX(changes,0,2)=""add pack""),IFERROR(TRANSPOSE(ARRAYFORMULA(IF(added&lt;&gt;"""",HYPERLINK(""https://sealeddeck.tech/""&amp;added,""Link""),""""))),""""))"),"Link")</f>
        <v>Link</v>
      </c>
      <c r="J210" s="139" t="str">
        <f>IFERROR(__xludf.DUMMYFUNCTION("""COMPUTED_VALUE"""),"Link")</f>
        <v>Link</v>
      </c>
      <c r="K210" s="139" t="str">
        <f>IFERROR(__xludf.DUMMYFUNCTION("""COMPUTED_VALUE"""),"Link")</f>
        <v>Link</v>
      </c>
      <c r="L210" s="139" t="str">
        <f>IFERROR(__xludf.DUMMYFUNCTION("""COMPUTED_VALUE"""),"Link")</f>
        <v>Link</v>
      </c>
      <c r="M210" s="139" t="str">
        <f>IFERROR(__xludf.DUMMYFUNCTION("""COMPUTED_VALUE"""),"Link")</f>
        <v>Link</v>
      </c>
      <c r="N210" s="142" t="str">
        <f>IFERROR(__xludf.DUMMYFUNCTION("""COMPUTED_VALUE"""),"Link")</f>
        <v>Link</v>
      </c>
      <c r="O210" s="142" t="str">
        <f>IFERROR(__xludf.DUMMYFUNCTION("""COMPUTED_VALUE"""),"Link")</f>
        <v>Link</v>
      </c>
      <c r="P210" s="142" t="str">
        <f>IFERROR(__xludf.DUMMYFUNCTION("""COMPUTED_VALUE"""),"Link")</f>
        <v>Link</v>
      </c>
      <c r="Q210" s="139" t="str">
        <f>IFERROR(__xludf.DUMMYFUNCTION("""COMPUTED_VALUE"""),"Link")</f>
        <v>Link</v>
      </c>
      <c r="R210" s="139" t="str">
        <f>IFERROR(__xludf.DUMMYFUNCTION("""COMPUTED_VALUE"""),"Link")</f>
        <v>Link</v>
      </c>
      <c r="S210" s="141" t="str">
        <f t="shared" si="1"/>
        <v>https://sealeddeck.tech/1uSsYqRN5y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43" t="s">
        <v>8594</v>
      </c>
      <c r="B211" s="143" t="s">
        <v>8595</v>
      </c>
      <c r="C211" s="137" t="s">
        <v>8596</v>
      </c>
      <c r="D211" s="124" t="s">
        <v>318</v>
      </c>
      <c r="E211" s="138">
        <v>7.0</v>
      </c>
      <c r="F211" s="138">
        <v>11.0</v>
      </c>
      <c r="G211" s="139" t="str">
        <f t="array" ref="G211">IF(H211="","",IFERROR(
  "https://sealeddeck.tech/" &amp; INDEX('Pool Changes'!F:F,
    MAX(
      ROW('Pool Changes'!A:A) *
      ('Pool Changes'!B:B=D211) *
      ('Pool Changes'!F:F&lt;&gt;"")
    )
  ),
  ""
))</f>
        <v>https://sealeddeck.tech/tuczZ9iD3h</v>
      </c>
      <c r="H211" s="139" t="str">
        <f>IFERROR(__xludf.DUMMYFUNCTION("LET(changes,FILTER('Pool Changes'!$B:$D, 'Pool Changes'!$B:$B = $D211),added,FILTER(INDEX(changes,0,3),INDEX(changes,0,2)=""starting pool""),TRANSPOSE(IFERROR(ARRAYFORMULA(IF(added&lt;&gt;"""",""https://sealeddeck.tech/""&amp;added,"""")),"""")))"),"https://sealeddeck.tech/VyB2GwESZm")</f>
        <v>https://sealeddeck.tech/VyB2GwESZm</v>
      </c>
      <c r="I211" s="139" t="str">
        <f>IFERROR(__xludf.DUMMYFUNCTION("LET(changes,FILTER('Pool Changes'!$B:$D, 'Pool Changes'!$B:$B = $D211),added,FILTER(INDEX(changes,0,3),INDEX(changes,0,2)=""add pack""),IFERROR(TRANSPOSE(ARRAYFORMULA(IF(added&lt;&gt;"""",HYPERLINK(""https://sealeddeck.tech/""&amp;added,""Link""),""""))),""""))"),"Link")</f>
        <v>Link</v>
      </c>
      <c r="J211" s="139" t="str">
        <f>IFERROR(__xludf.DUMMYFUNCTION("""COMPUTED_VALUE"""),"Link")</f>
        <v>Link</v>
      </c>
      <c r="K211" s="139" t="str">
        <f>IFERROR(__xludf.DUMMYFUNCTION("""COMPUTED_VALUE"""),"Link")</f>
        <v>Link</v>
      </c>
      <c r="L211" s="139" t="str">
        <f>IFERROR(__xludf.DUMMYFUNCTION("""COMPUTED_VALUE"""),"Link")</f>
        <v>Link</v>
      </c>
      <c r="M211" s="139" t="str">
        <f>IFERROR(__xludf.DUMMYFUNCTION("""COMPUTED_VALUE"""),"Link")</f>
        <v>Link</v>
      </c>
      <c r="N211" s="142" t="str">
        <f>IFERROR(__xludf.DUMMYFUNCTION("""COMPUTED_VALUE"""),"Link")</f>
        <v>Link</v>
      </c>
      <c r="O211" s="142" t="str">
        <f>IFERROR(__xludf.DUMMYFUNCTION("""COMPUTED_VALUE"""),"Link")</f>
        <v>Link</v>
      </c>
      <c r="P211" s="142" t="str">
        <f>IFERROR(__xludf.DUMMYFUNCTION("""COMPUTED_VALUE"""),"Link")</f>
        <v>Link</v>
      </c>
      <c r="Q211" s="139" t="str">
        <f>IFERROR(__xludf.DUMMYFUNCTION("""COMPUTED_VALUE"""),"Link")</f>
        <v>Link</v>
      </c>
      <c r="R211" s="139" t="str">
        <f>IFERROR(__xludf.DUMMYFUNCTION("""COMPUTED_VALUE"""),"Link")</f>
        <v>Link</v>
      </c>
      <c r="S211" s="141" t="str">
        <f t="shared" si="1"/>
        <v>https://sealeddeck.tech/iCVrJWgFng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43" t="s">
        <v>8597</v>
      </c>
      <c r="B212" s="143" t="s">
        <v>8598</v>
      </c>
      <c r="C212" s="137" t="s">
        <v>8599</v>
      </c>
      <c r="D212" s="124" t="s">
        <v>259</v>
      </c>
      <c r="E212" s="138">
        <v>17.0</v>
      </c>
      <c r="F212" s="138">
        <v>11.0</v>
      </c>
      <c r="G212" s="139" t="str">
        <f t="array" ref="G212">IF(H212="","",IFERROR(
  "https://sealeddeck.tech/" &amp; INDEX('Pool Changes'!F:F,
    MAX(
      ROW('Pool Changes'!A:A) *
      ('Pool Changes'!B:B=D212) *
      ('Pool Changes'!F:F&lt;&gt;"")
    )
  ),
  ""
))</f>
        <v>https://sealeddeck.tech/M6kSKYjHKf</v>
      </c>
      <c r="H212" s="139" t="str">
        <f>IFERROR(__xludf.DUMMYFUNCTION("LET(changes,FILTER('Pool Changes'!$B:$D, 'Pool Changes'!$B:$B = $D212),added,FILTER(INDEX(changes,0,3),INDEX(changes,0,2)=""starting pool""),TRANSPOSE(IFERROR(ARRAYFORMULA(IF(added&lt;&gt;"""",""https://sealeddeck.tech/""&amp;added,"""")),"""")))"),"https://sealeddeck.tech/gp5pqBz1bR")</f>
        <v>https://sealeddeck.tech/gp5pqBz1bR</v>
      </c>
      <c r="I212" s="139" t="str">
        <f>IFERROR(__xludf.DUMMYFUNCTION("LET(changes,FILTER('Pool Changes'!$B:$D, 'Pool Changes'!$B:$B = $D212),added,FILTER(INDEX(changes,0,3),INDEX(changes,0,2)=""add pack""),IFERROR(TRANSPOSE(ARRAYFORMULA(IF(added&lt;&gt;"""",HYPERLINK(""https://sealeddeck.tech/""&amp;added,""Link""),""""))),""""))"),"Link")</f>
        <v>Link</v>
      </c>
      <c r="J212" s="139" t="str">
        <f>IFERROR(__xludf.DUMMYFUNCTION("""COMPUTED_VALUE"""),"Link")</f>
        <v>Link</v>
      </c>
      <c r="K212" s="139" t="str">
        <f>IFERROR(__xludf.DUMMYFUNCTION("""COMPUTED_VALUE"""),"Link")</f>
        <v>Link</v>
      </c>
      <c r="L212" s="139" t="str">
        <f>IFERROR(__xludf.DUMMYFUNCTION("""COMPUTED_VALUE"""),"Link")</f>
        <v>Link</v>
      </c>
      <c r="M212" s="139" t="str">
        <f>IFERROR(__xludf.DUMMYFUNCTION("""COMPUTED_VALUE"""),"Link")</f>
        <v>Link</v>
      </c>
      <c r="N212" s="142" t="str">
        <f>IFERROR(__xludf.DUMMYFUNCTION("""COMPUTED_VALUE"""),"Link")</f>
        <v>Link</v>
      </c>
      <c r="O212" s="142" t="str">
        <f>IFERROR(__xludf.DUMMYFUNCTION("""COMPUTED_VALUE"""),"Link")</f>
        <v>Link</v>
      </c>
      <c r="P212" s="142" t="str">
        <f>IFERROR(__xludf.DUMMYFUNCTION("""COMPUTED_VALUE"""),"Link")</f>
        <v>Link</v>
      </c>
      <c r="Q212" s="139" t="str">
        <f>IFERROR(__xludf.DUMMYFUNCTION("""COMPUTED_VALUE"""),"Link")</f>
        <v>Link</v>
      </c>
      <c r="R212" s="139" t="str">
        <f>IFERROR(__xludf.DUMMYFUNCTION("""COMPUTED_VALUE"""),"Link")</f>
        <v>Link</v>
      </c>
      <c r="S212" s="141" t="str">
        <f t="shared" si="1"/>
        <v>https://sealeddeck.tech/6kiD6Mp6KG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43" t="s">
        <v>8600</v>
      </c>
      <c r="B213" s="143" t="s">
        <v>8601</v>
      </c>
      <c r="C213" s="137" t="s">
        <v>8602</v>
      </c>
      <c r="D213" s="124" t="s">
        <v>280</v>
      </c>
      <c r="E213" s="138">
        <v>7.0</v>
      </c>
      <c r="F213" s="138">
        <v>11.0</v>
      </c>
      <c r="G213" s="139" t="str">
        <f t="array" ref="G213">IF(H213="","",IFERROR(
  "https://sealeddeck.tech/" &amp; INDEX('Pool Changes'!F:F,
    MAX(
      ROW('Pool Changes'!A:A) *
      ('Pool Changes'!B:B=D213) *
      ('Pool Changes'!F:F&lt;&gt;"")
    )
  ),
  ""
))</f>
        <v>https://sealeddeck.tech/4cQBkL8og3</v>
      </c>
      <c r="H213" s="139" t="str">
        <f>IFERROR(__xludf.DUMMYFUNCTION("LET(changes,FILTER('Pool Changes'!$B:$D, 'Pool Changes'!$B:$B = $D213),added,FILTER(INDEX(changes,0,3),INDEX(changes,0,2)=""starting pool""),TRANSPOSE(IFERROR(ARRAYFORMULA(IF(added&lt;&gt;"""",""https://sealeddeck.tech/""&amp;added,"""")),"""")))"),"https://sealeddeck.tech/xrsYXQvids")</f>
        <v>https://sealeddeck.tech/xrsYXQvids</v>
      </c>
      <c r="I213" s="139" t="str">
        <f>IFERROR(__xludf.DUMMYFUNCTION("LET(changes,FILTER('Pool Changes'!$B:$D, 'Pool Changes'!$B:$B = $D213),added,FILTER(INDEX(changes,0,3),INDEX(changes,0,2)=""add pack""),IFERROR(TRANSPOSE(ARRAYFORMULA(IF(added&lt;&gt;"""",HYPERLINK(""https://sealeddeck.tech/""&amp;added,""Link""),""""))),""""))"),"Link")</f>
        <v>Link</v>
      </c>
      <c r="J213" s="139" t="str">
        <f>IFERROR(__xludf.DUMMYFUNCTION("""COMPUTED_VALUE"""),"Link")</f>
        <v>Link</v>
      </c>
      <c r="K213" s="139" t="str">
        <f>IFERROR(__xludf.DUMMYFUNCTION("""COMPUTED_VALUE"""),"Link")</f>
        <v>Link</v>
      </c>
      <c r="L213" s="139" t="str">
        <f>IFERROR(__xludf.DUMMYFUNCTION("""COMPUTED_VALUE"""),"Link")</f>
        <v>Link</v>
      </c>
      <c r="M213" s="139" t="str">
        <f>IFERROR(__xludf.DUMMYFUNCTION("""COMPUTED_VALUE"""),"Link")</f>
        <v>Link</v>
      </c>
      <c r="N213" s="142" t="str">
        <f>IFERROR(__xludf.DUMMYFUNCTION("""COMPUTED_VALUE"""),"Link")</f>
        <v>Link</v>
      </c>
      <c r="O213" s="142" t="str">
        <f>IFERROR(__xludf.DUMMYFUNCTION("""COMPUTED_VALUE"""),"Link")</f>
        <v>Link</v>
      </c>
      <c r="P213" s="142" t="str">
        <f>IFERROR(__xludf.DUMMYFUNCTION("""COMPUTED_VALUE"""),"Link")</f>
        <v>Link</v>
      </c>
      <c r="Q213" s="139" t="str">
        <f>IFERROR(__xludf.DUMMYFUNCTION("""COMPUTED_VALUE"""),"Link")</f>
        <v>Link</v>
      </c>
      <c r="R213" s="139" t="str">
        <f>IFERROR(__xludf.DUMMYFUNCTION("""COMPUTED_VALUE"""),"Link")</f>
        <v>Link</v>
      </c>
      <c r="S213" s="141" t="str">
        <f t="shared" si="1"/>
        <v>https://sealeddeck.tech/oUpRBzv8Bg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43" t="s">
        <v>116</v>
      </c>
      <c r="B214" s="143" t="s">
        <v>119</v>
      </c>
      <c r="C214" s="137" t="s">
        <v>8603</v>
      </c>
      <c r="D214" s="124" t="s">
        <v>183</v>
      </c>
      <c r="E214" s="138">
        <v>22.0</v>
      </c>
      <c r="F214" s="138">
        <v>8.0</v>
      </c>
      <c r="G214" s="139" t="str">
        <f t="array" ref="G214">IF(H214="","",IFERROR(
  "https://sealeddeck.tech/" &amp; INDEX('Pool Changes'!F:F,
    MAX(
      ROW('Pool Changes'!A:A) *
      ('Pool Changes'!B:B=D214) *
      ('Pool Changes'!F:F&lt;&gt;"")
    )
  ),
  ""
))</f>
        <v>https://sealeddeck.tech/ZWCAQvp9h8</v>
      </c>
      <c r="H214" s="139" t="str">
        <f>IFERROR(__xludf.DUMMYFUNCTION("LET(changes,FILTER('Pool Changes'!$B:$D, 'Pool Changes'!$B:$B = $D214),added,FILTER(INDEX(changes,0,3),INDEX(changes,0,2)=""starting pool""),TRANSPOSE(IFERROR(ARRAYFORMULA(IF(added&lt;&gt;"""",""https://sealeddeck.tech/""&amp;added,"""")),"""")))"),"https://sealeddeck.tech/ZDzELRDitK")</f>
        <v>https://sealeddeck.tech/ZDzELRDitK</v>
      </c>
      <c r="I214" s="139" t="str">
        <f>IFERROR(__xludf.DUMMYFUNCTION("LET(changes,FILTER('Pool Changes'!$B:$D, 'Pool Changes'!$B:$B = $D214),added,FILTER(INDEX(changes,0,3),INDEX(changes,0,2)=""add pack""),IFERROR(TRANSPOSE(ARRAYFORMULA(IF(added&lt;&gt;"""",HYPERLINK(""https://sealeddeck.tech/""&amp;added,""Link""),""""))),""""))"),"Link")</f>
        <v>Link</v>
      </c>
      <c r="J214" s="139" t="str">
        <f>IFERROR(__xludf.DUMMYFUNCTION("""COMPUTED_VALUE"""),"Link")</f>
        <v>Link</v>
      </c>
      <c r="K214" s="139" t="str">
        <f>IFERROR(__xludf.DUMMYFUNCTION("""COMPUTED_VALUE"""),"Link")</f>
        <v>Link</v>
      </c>
      <c r="L214" s="139" t="str">
        <f>IFERROR(__xludf.DUMMYFUNCTION("""COMPUTED_VALUE"""),"Link")</f>
        <v>Link</v>
      </c>
      <c r="M214" s="139" t="str">
        <f>IFERROR(__xludf.DUMMYFUNCTION("""COMPUTED_VALUE"""),"Link")</f>
        <v>Link</v>
      </c>
      <c r="N214" s="142" t="str">
        <f>IFERROR(__xludf.DUMMYFUNCTION("""COMPUTED_VALUE"""),"Link")</f>
        <v>Link</v>
      </c>
      <c r="O214" s="142" t="str">
        <f>IFERROR(__xludf.DUMMYFUNCTION("""COMPUTED_VALUE"""),"Link")</f>
        <v>Link</v>
      </c>
      <c r="P214" s="142" t="str">
        <f>IFERROR(__xludf.DUMMYFUNCTION("""COMPUTED_VALUE"""),"Link")</f>
        <v>Link</v>
      </c>
      <c r="Q214" s="140"/>
      <c r="R214" s="140"/>
      <c r="S214" s="141" t="str">
        <f t="shared" si="1"/>
        <v>https://sealeddeck.tech/2KwrYncKQ4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43" t="s">
        <v>8604</v>
      </c>
      <c r="B215" s="143" t="s">
        <v>8605</v>
      </c>
      <c r="C215" s="137" t="s">
        <v>8606</v>
      </c>
      <c r="D215" s="124" t="s">
        <v>639</v>
      </c>
      <c r="E215" s="138">
        <v>0.0</v>
      </c>
      <c r="F215" s="138">
        <v>11.0</v>
      </c>
      <c r="G215" s="139" t="str">
        <f t="array" ref="G215">IF(H215="","",IFERROR(
  "https://sealeddeck.tech/" &amp; INDEX('Pool Changes'!F:F,
    MAX(
      ROW('Pool Changes'!A:A) *
      ('Pool Changes'!B:B=D215) *
      ('Pool Changes'!F:F&lt;&gt;"")
    )
  ),
  ""
))</f>
        <v>https://sealeddeck.tech/zRLpUEYwG6</v>
      </c>
      <c r="H215" s="139" t="str">
        <f>IFERROR(__xludf.DUMMYFUNCTION("LET(changes,FILTER('Pool Changes'!$B:$D, 'Pool Changes'!$B:$B = $D215),added,FILTER(INDEX(changes,0,3),INDEX(changes,0,2)=""starting pool""),TRANSPOSE(IFERROR(ARRAYFORMULA(IF(added&lt;&gt;"""",""https://sealeddeck.tech/""&amp;added,"""")),"""")))"),"https://sealeddeck.tech/zRLpUEYwG6")</f>
        <v>https://sealeddeck.tech/zRLpUEYwG6</v>
      </c>
      <c r="I215" s="140" t="str">
        <f>IFERROR(__xludf.DUMMYFUNCTION("LET(changes,FILTER('Pool Changes'!$B:$D, 'Pool Changes'!$B:$B = $D215),added,FILTER(INDEX(changes,0,3),INDEX(changes,0,2)=""add pack""),IFERROR(TRANSPOSE(ARRAYFORMULA(IF(added&lt;&gt;"""",HYPERLINK(""https://sealeddeck.tech/""&amp;added,""Link""),""""))),""""))"),"")</f>
        <v/>
      </c>
      <c r="J215" s="140"/>
      <c r="K215" s="140"/>
      <c r="L215" s="140"/>
      <c r="M215" s="140"/>
      <c r="N215" s="140"/>
      <c r="O215" s="140"/>
      <c r="P215" s="140"/>
      <c r="Q215" s="140"/>
      <c r="R215" s="140"/>
      <c r="S215" s="141" t="str">
        <f t="shared" si="1"/>
        <v>https://sealeddeck.tech/vNRKQ4aP44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43" t="s">
        <v>8607</v>
      </c>
      <c r="B216" s="143" t="s">
        <v>8608</v>
      </c>
      <c r="C216" s="137" t="s">
        <v>8609</v>
      </c>
      <c r="D216" s="124" t="s">
        <v>152</v>
      </c>
      <c r="E216" s="138">
        <v>9.0</v>
      </c>
      <c r="F216" s="138">
        <v>11.0</v>
      </c>
      <c r="G216" s="139" t="str">
        <f t="array" ref="G216">IF(H216="","",IFERROR(
  "https://sealeddeck.tech/" &amp; INDEX('Pool Changes'!F:F,
    MAX(
      ROW('Pool Changes'!A:A) *
      ('Pool Changes'!B:B=D216) *
      ('Pool Changes'!F:F&lt;&gt;"")
    )
  ),
  ""
))</f>
        <v>https://sealeddeck.tech/YiGuq3qRoB</v>
      </c>
      <c r="H216" s="139" t="str">
        <f>IFERROR(__xludf.DUMMYFUNCTION("LET(changes,FILTER('Pool Changes'!$B:$D, 'Pool Changes'!$B:$B = $D216),added,FILTER(INDEX(changes,0,3),INDEX(changes,0,2)=""starting pool""),TRANSPOSE(IFERROR(ARRAYFORMULA(IF(added&lt;&gt;"""",""https://sealeddeck.tech/""&amp;added,"""")),"""")))"),"https://sealeddeck.tech/QmmkBf2G8B")</f>
        <v>https://sealeddeck.tech/QmmkBf2G8B</v>
      </c>
      <c r="I216" s="139" t="str">
        <f>IFERROR(__xludf.DUMMYFUNCTION("LET(changes,FILTER('Pool Changes'!$B:$D, 'Pool Changes'!$B:$B = $D216),added,FILTER(INDEX(changes,0,3),INDEX(changes,0,2)=""add pack""),IFERROR(TRANSPOSE(ARRAYFORMULA(IF(added&lt;&gt;"""",HYPERLINK(""https://sealeddeck.tech/""&amp;added,""Link""),""""))),""""))"),"Link")</f>
        <v>Link</v>
      </c>
      <c r="J216" s="139" t="str">
        <f>IFERROR(__xludf.DUMMYFUNCTION("""COMPUTED_VALUE"""),"Link")</f>
        <v>Link</v>
      </c>
      <c r="K216" s="139" t="str">
        <f>IFERROR(__xludf.DUMMYFUNCTION("""COMPUTED_VALUE"""),"Link")</f>
        <v>Link</v>
      </c>
      <c r="L216" s="139" t="str">
        <f>IFERROR(__xludf.DUMMYFUNCTION("""COMPUTED_VALUE"""),"Link")</f>
        <v>Link</v>
      </c>
      <c r="M216" s="139" t="str">
        <f>IFERROR(__xludf.DUMMYFUNCTION("""COMPUTED_VALUE"""),"Link")</f>
        <v>Link</v>
      </c>
      <c r="N216" s="142" t="str">
        <f>IFERROR(__xludf.DUMMYFUNCTION("""COMPUTED_VALUE"""),"Link")</f>
        <v>Link</v>
      </c>
      <c r="O216" s="142" t="str">
        <f>IFERROR(__xludf.DUMMYFUNCTION("""COMPUTED_VALUE"""),"Link")</f>
        <v>Link</v>
      </c>
      <c r="P216" s="142" t="str">
        <f>IFERROR(__xludf.DUMMYFUNCTION("""COMPUTED_VALUE"""),"Link")</f>
        <v>Link</v>
      </c>
      <c r="Q216" s="139" t="str">
        <f>IFERROR(__xludf.DUMMYFUNCTION("""COMPUTED_VALUE"""),"Link")</f>
        <v>Link</v>
      </c>
      <c r="R216" s="139" t="str">
        <f>IFERROR(__xludf.DUMMYFUNCTION("""COMPUTED_VALUE"""),"Link")</f>
        <v>Link</v>
      </c>
      <c r="S216" s="141" t="str">
        <f t="shared" si="1"/>
        <v>https://sealeddeck.tech/tuczZ9iD3h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43" t="s">
        <v>90</v>
      </c>
      <c r="B217" s="143" t="s">
        <v>91</v>
      </c>
      <c r="C217" s="137" t="s">
        <v>8611</v>
      </c>
      <c r="D217" s="124" t="s">
        <v>218</v>
      </c>
      <c r="E217" s="138">
        <v>21.0</v>
      </c>
      <c r="F217" s="138">
        <v>9.0</v>
      </c>
      <c r="G217" s="139" t="str">
        <f t="array" ref="G217">IF(H217="","",IFERROR(
  "https://sealeddeck.tech/" &amp; INDEX('Pool Changes'!F:F,
    MAX(
      ROW('Pool Changes'!A:A) *
      ('Pool Changes'!B:B=D217) *
      ('Pool Changes'!F:F&lt;&gt;"")
    )
  ),
  ""
))</f>
        <v>https://sealeddeck.tech/i6WhfTdBFd</v>
      </c>
      <c r="H217" s="139" t="str">
        <f>IFERROR(__xludf.DUMMYFUNCTION("LET(changes,FILTER('Pool Changes'!$B:$D, 'Pool Changes'!$B:$B = $D217),added,FILTER(INDEX(changes,0,3),INDEX(changes,0,2)=""starting pool""),TRANSPOSE(IFERROR(ARRAYFORMULA(IF(added&lt;&gt;"""",""https://sealeddeck.tech/""&amp;added,"""")),"""")))"),"https://sealeddeck.tech/VttWmqkcGc")</f>
        <v>https://sealeddeck.tech/VttWmqkcGc</v>
      </c>
      <c r="I217" s="139" t="str">
        <f>IFERROR(__xludf.DUMMYFUNCTION("LET(changes,FILTER('Pool Changes'!$B:$D, 'Pool Changes'!$B:$B = $D217),added,FILTER(INDEX(changes,0,3),INDEX(changes,0,2)=""add pack""),IFERROR(TRANSPOSE(ARRAYFORMULA(IF(added&lt;&gt;"""",HYPERLINK(""https://sealeddeck.tech/""&amp;added,""Link""),""""))),""""))"),"Link")</f>
        <v>Link</v>
      </c>
      <c r="J217" s="139" t="str">
        <f>IFERROR(__xludf.DUMMYFUNCTION("""COMPUTED_VALUE"""),"Link")</f>
        <v>Link</v>
      </c>
      <c r="K217" s="139" t="str">
        <f>IFERROR(__xludf.DUMMYFUNCTION("""COMPUTED_VALUE"""),"Link")</f>
        <v>Link</v>
      </c>
      <c r="L217" s="139" t="str">
        <f>IFERROR(__xludf.DUMMYFUNCTION("""COMPUTED_VALUE"""),"Link")</f>
        <v>Link</v>
      </c>
      <c r="M217" s="139" t="str">
        <f>IFERROR(__xludf.DUMMYFUNCTION("""COMPUTED_VALUE"""),"Link")</f>
        <v>Link</v>
      </c>
      <c r="N217" s="142" t="str">
        <f>IFERROR(__xludf.DUMMYFUNCTION("""COMPUTED_VALUE"""),"Link")</f>
        <v>Link</v>
      </c>
      <c r="O217" s="142" t="str">
        <f>IFERROR(__xludf.DUMMYFUNCTION("""COMPUTED_VALUE"""),"Link")</f>
        <v>Link</v>
      </c>
      <c r="P217" s="142" t="str">
        <f>IFERROR(__xludf.DUMMYFUNCTION("""COMPUTED_VALUE"""),"Link")</f>
        <v>Link</v>
      </c>
      <c r="Q217" s="139" t="str">
        <f>IFERROR(__xludf.DUMMYFUNCTION("""COMPUTED_VALUE"""),"Link")</f>
        <v>Link</v>
      </c>
      <c r="R217" s="140"/>
      <c r="S217" s="141" t="str">
        <f t="shared" si="1"/>
        <v>https://sealeddeck.tech/M6kSKYjHKf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43" t="s">
        <v>135</v>
      </c>
      <c r="B218" s="143" t="s">
        <v>138</v>
      </c>
      <c r="C218" s="137" t="s">
        <v>8612</v>
      </c>
      <c r="D218" s="124" t="s">
        <v>76</v>
      </c>
      <c r="E218" s="138">
        <v>21.0</v>
      </c>
      <c r="F218" s="138">
        <v>9.0</v>
      </c>
      <c r="G218" s="139" t="str">
        <f t="array" ref="G218">IF(H218="","",IFERROR(
  "https://sealeddeck.tech/" &amp; INDEX('Pool Changes'!F:F,
    MAX(
      ROW('Pool Changes'!A:A) *
      ('Pool Changes'!B:B=D218) *
      ('Pool Changes'!F:F&lt;&gt;"")
    )
  ),
  ""
))</f>
        <v>https://sealeddeck.tech/Pu6udE3yBd</v>
      </c>
      <c r="H218" s="139" t="str">
        <f>IFERROR(__xludf.DUMMYFUNCTION("LET(changes,FILTER('Pool Changes'!$B:$D, 'Pool Changes'!$B:$B = $D218),added,FILTER(INDEX(changes,0,3),INDEX(changes,0,2)=""starting pool""),TRANSPOSE(IFERROR(ARRAYFORMULA(IF(added&lt;&gt;"""",""https://sealeddeck.tech/""&amp;added,"""")),"""")))"),"https://sealeddeck.tech/Hy2WtEH6Y5")</f>
        <v>https://sealeddeck.tech/Hy2WtEH6Y5</v>
      </c>
      <c r="I218" s="139" t="str">
        <f>IFERROR(__xludf.DUMMYFUNCTION("LET(changes,FILTER('Pool Changes'!$B:$D, 'Pool Changes'!$B:$B = $D218),added,FILTER(INDEX(changes,0,3),INDEX(changes,0,2)=""add pack""),IFERROR(TRANSPOSE(ARRAYFORMULA(IF(added&lt;&gt;"""",HYPERLINK(""https://sealeddeck.tech/""&amp;added,""Link""),""""))),""""))"),"Link")</f>
        <v>Link</v>
      </c>
      <c r="J218" s="139" t="str">
        <f>IFERROR(__xludf.DUMMYFUNCTION("""COMPUTED_VALUE"""),"Link")</f>
        <v>Link</v>
      </c>
      <c r="K218" s="139" t="str">
        <f>IFERROR(__xludf.DUMMYFUNCTION("""COMPUTED_VALUE"""),"Link")</f>
        <v>Link</v>
      </c>
      <c r="L218" s="139" t="str">
        <f>IFERROR(__xludf.DUMMYFUNCTION("""COMPUTED_VALUE"""),"Link")</f>
        <v>Link</v>
      </c>
      <c r="M218" s="139" t="str">
        <f>IFERROR(__xludf.DUMMYFUNCTION("""COMPUTED_VALUE"""),"Link")</f>
        <v>Link</v>
      </c>
      <c r="N218" s="142" t="str">
        <f>IFERROR(__xludf.DUMMYFUNCTION("""COMPUTED_VALUE"""),"Link")</f>
        <v>Link</v>
      </c>
      <c r="O218" s="142" t="str">
        <f>IFERROR(__xludf.DUMMYFUNCTION("""COMPUTED_VALUE"""),"Link")</f>
        <v>Link</v>
      </c>
      <c r="P218" s="142" t="str">
        <f>IFERROR(__xludf.DUMMYFUNCTION("""COMPUTED_VALUE"""),"Link")</f>
        <v>Link</v>
      </c>
      <c r="Q218" s="139" t="str">
        <f>IFERROR(__xludf.DUMMYFUNCTION("""COMPUTED_VALUE"""),"Link")</f>
        <v>Link</v>
      </c>
      <c r="R218" s="140"/>
      <c r="S218" s="141" t="str">
        <f t="shared" si="1"/>
        <v>https://sealeddeck.tech/4cQBkL8og3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43" t="s">
        <v>8613</v>
      </c>
      <c r="B219" s="143" t="s">
        <v>8614</v>
      </c>
      <c r="C219" s="137" t="s">
        <v>8615</v>
      </c>
      <c r="D219" s="124" t="s">
        <v>173</v>
      </c>
      <c r="E219" s="138">
        <v>9.0</v>
      </c>
      <c r="F219" s="138">
        <v>11.0</v>
      </c>
      <c r="G219" s="139" t="str">
        <f t="array" ref="G219">IF(H219="","",IFERROR(
  "https://sealeddeck.tech/" &amp; INDEX('Pool Changes'!F:F,
    MAX(
      ROW('Pool Changes'!A:A) *
      ('Pool Changes'!B:B=D219) *
      ('Pool Changes'!F:F&lt;&gt;"")
    )
  ),
  ""
))</f>
        <v>https://sealeddeck.tech/7GeYRH6q94</v>
      </c>
      <c r="H219" s="139" t="str">
        <f>IFERROR(__xludf.DUMMYFUNCTION("LET(changes,FILTER('Pool Changes'!$B:$D, 'Pool Changes'!$B:$B = $D219),added,FILTER(INDEX(changes,0,3),INDEX(changes,0,2)=""starting pool""),TRANSPOSE(IFERROR(ARRAYFORMULA(IF(added&lt;&gt;"""",""https://sealeddeck.tech/""&amp;added,"""")),"""")))"),"https://sealeddeck.tech/9t1tmQScFg")</f>
        <v>https://sealeddeck.tech/9t1tmQScFg</v>
      </c>
      <c r="I219" s="139" t="str">
        <f>IFERROR(__xludf.DUMMYFUNCTION("LET(changes,FILTER('Pool Changes'!$B:$D, 'Pool Changes'!$B:$B = $D219),added,FILTER(INDEX(changes,0,3),INDEX(changes,0,2)=""add pack""),IFERROR(TRANSPOSE(ARRAYFORMULA(IF(added&lt;&gt;"""",HYPERLINK(""https://sealeddeck.tech/""&amp;added,""Link""),""""))),""""))"),"Link")</f>
        <v>Link</v>
      </c>
      <c r="J219" s="139" t="str">
        <f>IFERROR(__xludf.DUMMYFUNCTION("""COMPUTED_VALUE"""),"Link")</f>
        <v>Link</v>
      </c>
      <c r="K219" s="139" t="str">
        <f>IFERROR(__xludf.DUMMYFUNCTION("""COMPUTED_VALUE"""),"Link")</f>
        <v>Link</v>
      </c>
      <c r="L219" s="139" t="str">
        <f>IFERROR(__xludf.DUMMYFUNCTION("""COMPUTED_VALUE"""),"Link")</f>
        <v>Link</v>
      </c>
      <c r="M219" s="139" t="str">
        <f>IFERROR(__xludf.DUMMYFUNCTION("""COMPUTED_VALUE"""),"Link")</f>
        <v>Link</v>
      </c>
      <c r="N219" s="142" t="str">
        <f>IFERROR(__xludf.DUMMYFUNCTION("""COMPUTED_VALUE"""),"Link")</f>
        <v>Link</v>
      </c>
      <c r="O219" s="142" t="str">
        <f>IFERROR(__xludf.DUMMYFUNCTION("""COMPUTED_VALUE"""),"Link")</f>
        <v>Link</v>
      </c>
      <c r="P219" s="142" t="str">
        <f>IFERROR(__xludf.DUMMYFUNCTION("""COMPUTED_VALUE"""),"Link")</f>
        <v>Link</v>
      </c>
      <c r="Q219" s="139" t="str">
        <f>IFERROR(__xludf.DUMMYFUNCTION("""COMPUTED_VALUE"""),"Link")</f>
        <v>Link</v>
      </c>
      <c r="R219" s="139" t="str">
        <f>IFERROR(__xludf.DUMMYFUNCTION("""COMPUTED_VALUE"""),"Link")</f>
        <v>Link</v>
      </c>
      <c r="S219" s="141" t="str">
        <f t="shared" si="1"/>
        <v>https://sealeddeck.tech/ZWCAQvp9h8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43" t="s">
        <v>8616</v>
      </c>
      <c r="B220" s="143" t="s">
        <v>8617</v>
      </c>
      <c r="C220" s="137" t="s">
        <v>8618</v>
      </c>
      <c r="D220" s="124" t="s">
        <v>224</v>
      </c>
      <c r="E220" s="138">
        <v>7.0</v>
      </c>
      <c r="F220" s="138">
        <v>11.0</v>
      </c>
      <c r="G220" s="139" t="str">
        <f t="array" ref="G220">IF(H220="","",IFERROR(
  "https://sealeddeck.tech/" &amp; INDEX('Pool Changes'!F:F,
    MAX(
      ROW('Pool Changes'!A:A) *
      ('Pool Changes'!B:B=D220) *
      ('Pool Changes'!F:F&lt;&gt;"")
    )
  ),
  ""
))</f>
        <v>https://sealeddeck.tech/tdaQM6odGT</v>
      </c>
      <c r="H220" s="139" t="str">
        <f>IFERROR(__xludf.DUMMYFUNCTION("LET(changes,FILTER('Pool Changes'!$B:$D, 'Pool Changes'!$B:$B = $D220),added,FILTER(INDEX(changes,0,3),INDEX(changes,0,2)=""starting pool""),TRANSPOSE(IFERROR(ARRAYFORMULA(IF(added&lt;&gt;"""",""https://sealeddeck.tech/""&amp;added,"""")),"""")))"),"https://sealeddeck.tech/vN2LPwLb8H")</f>
        <v>https://sealeddeck.tech/vN2LPwLb8H</v>
      </c>
      <c r="I220" s="139" t="str">
        <f>IFERROR(__xludf.DUMMYFUNCTION("LET(changes,FILTER('Pool Changes'!$B:$D, 'Pool Changes'!$B:$B = $D220),added,FILTER(INDEX(changes,0,3),INDEX(changes,0,2)=""add pack""),IFERROR(TRANSPOSE(ARRAYFORMULA(IF(added&lt;&gt;"""",HYPERLINK(""https://sealeddeck.tech/""&amp;added,""Link""),""""))),""""))"),"Link")</f>
        <v>Link</v>
      </c>
      <c r="J220" s="139" t="str">
        <f>IFERROR(__xludf.DUMMYFUNCTION("""COMPUTED_VALUE"""),"Link")</f>
        <v>Link</v>
      </c>
      <c r="K220" s="139" t="str">
        <f>IFERROR(__xludf.DUMMYFUNCTION("""COMPUTED_VALUE"""),"Link")</f>
        <v>Link</v>
      </c>
      <c r="L220" s="139" t="str">
        <f>IFERROR(__xludf.DUMMYFUNCTION("""COMPUTED_VALUE"""),"Link")</f>
        <v>Link</v>
      </c>
      <c r="M220" s="139" t="str">
        <f>IFERROR(__xludf.DUMMYFUNCTION("""COMPUTED_VALUE"""),"Link")</f>
        <v>Link</v>
      </c>
      <c r="N220" s="142" t="str">
        <f>IFERROR(__xludf.DUMMYFUNCTION("""COMPUTED_VALUE"""),"Link")</f>
        <v>Link</v>
      </c>
      <c r="O220" s="142" t="str">
        <f>IFERROR(__xludf.DUMMYFUNCTION("""COMPUTED_VALUE"""),"Link")</f>
        <v>Link</v>
      </c>
      <c r="P220" s="142" t="str">
        <f>IFERROR(__xludf.DUMMYFUNCTION("""COMPUTED_VALUE"""),"Link")</f>
        <v>Link</v>
      </c>
      <c r="Q220" s="139" t="str">
        <f>IFERROR(__xludf.DUMMYFUNCTION("""COMPUTED_VALUE"""),"Link")</f>
        <v>Link</v>
      </c>
      <c r="R220" s="139" t="str">
        <f>IFERROR(__xludf.DUMMYFUNCTION("""COMPUTED_VALUE"""),"Link")</f>
        <v>Link</v>
      </c>
      <c r="S220" s="141" t="str">
        <f t="shared" si="1"/>
        <v>https://sealeddeck.tech/zRLpUEYwG6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43" t="s">
        <v>8619</v>
      </c>
      <c r="B221" s="143" t="s">
        <v>8620</v>
      </c>
      <c r="C221" s="137" t="s">
        <v>8621</v>
      </c>
      <c r="D221" s="124" t="s">
        <v>340</v>
      </c>
      <c r="E221" s="138">
        <v>5.0</v>
      </c>
      <c r="F221" s="138">
        <v>11.0</v>
      </c>
      <c r="G221" s="139" t="str">
        <f t="array" ref="G221">IF(H221="","",IFERROR(
  "https://sealeddeck.tech/" &amp; INDEX('Pool Changes'!F:F,
    MAX(
      ROW('Pool Changes'!A:A) *
      ('Pool Changes'!B:B=D221) *
      ('Pool Changes'!F:F&lt;&gt;"")
    )
  ),
  ""
))</f>
        <v>https://sealeddeck.tech/hZhbXNJxJx</v>
      </c>
      <c r="H221" s="139" t="str">
        <f>IFERROR(__xludf.DUMMYFUNCTION("LET(changes,FILTER('Pool Changes'!$B:$D, 'Pool Changes'!$B:$B = $D221),added,FILTER(INDEX(changes,0,3),INDEX(changes,0,2)=""starting pool""),TRANSPOSE(IFERROR(ARRAYFORMULA(IF(added&lt;&gt;"""",""https://sealeddeck.tech/""&amp;added,"""")),"""")))"),"https://sealeddeck.tech/g76CRPXwU9")</f>
        <v>https://sealeddeck.tech/g76CRPXwU9</v>
      </c>
      <c r="I221" s="139" t="str">
        <f>IFERROR(__xludf.DUMMYFUNCTION("LET(changes,FILTER('Pool Changes'!$B:$D, 'Pool Changes'!$B:$B = $D221),added,FILTER(INDEX(changes,0,3),INDEX(changes,0,2)=""add pack""),IFERROR(TRANSPOSE(ARRAYFORMULA(IF(added&lt;&gt;"""",HYPERLINK(""https://sealeddeck.tech/""&amp;added,""Link""),""""))),""""))"),"Link")</f>
        <v>Link</v>
      </c>
      <c r="J221" s="139" t="str">
        <f>IFERROR(__xludf.DUMMYFUNCTION("""COMPUTED_VALUE"""),"Link")</f>
        <v>Link</v>
      </c>
      <c r="K221" s="139" t="str">
        <f>IFERROR(__xludf.DUMMYFUNCTION("""COMPUTED_VALUE"""),"Link")</f>
        <v>Link</v>
      </c>
      <c r="L221" s="139" t="str">
        <f>IFERROR(__xludf.DUMMYFUNCTION("""COMPUTED_VALUE"""),"Link")</f>
        <v>Link</v>
      </c>
      <c r="M221" s="139" t="str">
        <f>IFERROR(__xludf.DUMMYFUNCTION("""COMPUTED_VALUE"""),"Link")</f>
        <v>Link</v>
      </c>
      <c r="N221" s="142" t="str">
        <f>IFERROR(__xludf.DUMMYFUNCTION("""COMPUTED_VALUE"""),"Link")</f>
        <v>Link</v>
      </c>
      <c r="O221" s="140"/>
      <c r="P221" s="140"/>
      <c r="Q221" s="140"/>
      <c r="R221" s="140"/>
      <c r="S221" s="141" t="str">
        <f t="shared" si="1"/>
        <v>https://sealeddeck.tech/YiGuq3qRoB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43" t="s">
        <v>8622</v>
      </c>
      <c r="B222" s="143" t="s">
        <v>8623</v>
      </c>
      <c r="C222" s="137" t="s">
        <v>8624</v>
      </c>
      <c r="D222" s="124" t="s">
        <v>472</v>
      </c>
      <c r="E222" s="138">
        <v>3.0</v>
      </c>
      <c r="F222" s="138">
        <v>11.0</v>
      </c>
      <c r="G222" s="139" t="str">
        <f t="array" ref="G222">IF(H222="","",IFERROR(
  "https://sealeddeck.tech/" &amp; INDEX('Pool Changes'!F:F,
    MAX(
      ROW('Pool Changes'!A:A) *
      ('Pool Changes'!B:B=D222) *
      ('Pool Changes'!F:F&lt;&gt;"")
    )
  ),
  ""
))</f>
        <v>https://sealeddeck.tech/aXHUEw7Rfw</v>
      </c>
      <c r="H222" s="139" t="str">
        <f>IFERROR(__xludf.DUMMYFUNCTION("LET(changes,FILTER('Pool Changes'!$B:$D, 'Pool Changes'!$B:$B = $D222),added,FILTER(INDEX(changes,0,3),INDEX(changes,0,2)=""starting pool""),TRANSPOSE(IFERROR(ARRAYFORMULA(IF(added&lt;&gt;"""",""https://sealeddeck.tech/""&amp;added,"""")),"""")))"),"https://sealeddeck.tech/YPvMuXUtBi")</f>
        <v>https://sealeddeck.tech/YPvMuXUtBi</v>
      </c>
      <c r="I222" s="139" t="str">
        <f>IFERROR(__xludf.DUMMYFUNCTION("LET(changes,FILTER('Pool Changes'!$B:$D, 'Pool Changes'!$B:$B = $D222),added,FILTER(INDEX(changes,0,3),INDEX(changes,0,2)=""add pack""),IFERROR(TRANSPOSE(ARRAYFORMULA(IF(added&lt;&gt;"""",HYPERLINK(""https://sealeddeck.tech/""&amp;added,""Link""),""""))),""""))"),"Link")</f>
        <v>Link</v>
      </c>
      <c r="J222" s="139" t="str">
        <f>IFERROR(__xludf.DUMMYFUNCTION("""COMPUTED_VALUE"""),"Link")</f>
        <v>Link</v>
      </c>
      <c r="K222" s="139" t="str">
        <f>IFERROR(__xludf.DUMMYFUNCTION("""COMPUTED_VALUE"""),"Link")</f>
        <v>Link</v>
      </c>
      <c r="L222" s="139" t="str">
        <f>IFERROR(__xludf.DUMMYFUNCTION("""COMPUTED_VALUE"""),"Link")</f>
        <v>Link</v>
      </c>
      <c r="M222" s="139" t="str">
        <f>IFERROR(__xludf.DUMMYFUNCTION("""COMPUTED_VALUE"""),"Link")</f>
        <v>Link</v>
      </c>
      <c r="N222" s="142" t="str">
        <f>IFERROR(__xludf.DUMMYFUNCTION("""COMPUTED_VALUE"""),"Link")</f>
        <v>Link</v>
      </c>
      <c r="O222" s="140"/>
      <c r="P222" s="140"/>
      <c r="Q222" s="140"/>
      <c r="R222" s="140"/>
      <c r="S222" s="141" t="str">
        <f t="shared" si="1"/>
        <v>https://sealeddeck.tech/i6WhfTdBFd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43" t="s">
        <v>8626</v>
      </c>
      <c r="B223" s="143" t="s">
        <v>8627</v>
      </c>
      <c r="C223" s="137" t="s">
        <v>8628</v>
      </c>
      <c r="D223" s="124" t="s">
        <v>169</v>
      </c>
      <c r="E223" s="138">
        <v>6.0</v>
      </c>
      <c r="F223" s="138">
        <v>11.0</v>
      </c>
      <c r="G223" s="139" t="str">
        <f t="array" ref="G223">IF(H223="","",IFERROR(
  "https://sealeddeck.tech/" &amp; INDEX('Pool Changes'!F:F,
    MAX(
      ROW('Pool Changes'!A:A) *
      ('Pool Changes'!B:B=D223) *
      ('Pool Changes'!F:F&lt;&gt;"")
    )
  ),
  ""
))</f>
        <v>https://sealeddeck.tech/VytThFZvfw</v>
      </c>
      <c r="H223" s="139" t="str">
        <f>IFERROR(__xludf.DUMMYFUNCTION("LET(changes,FILTER('Pool Changes'!$B:$D, 'Pool Changes'!$B:$B = $D223),added,FILTER(INDEX(changes,0,3),INDEX(changes,0,2)=""starting pool""),TRANSPOSE(IFERROR(ARRAYFORMULA(IF(added&lt;&gt;"""",""https://sealeddeck.tech/""&amp;added,"""")),"""")))"),"https://sealeddeck.tech/sitC5cYcyp")</f>
        <v>https://sealeddeck.tech/sitC5cYcyp</v>
      </c>
      <c r="I223" s="139" t="str">
        <f>IFERROR(__xludf.DUMMYFUNCTION("LET(changes,FILTER('Pool Changes'!$B:$D, 'Pool Changes'!$B:$B = $D223),added,FILTER(INDEX(changes,0,3),INDEX(changes,0,2)=""add pack""),IFERROR(TRANSPOSE(ARRAYFORMULA(IF(added&lt;&gt;"""",HYPERLINK(""https://sealeddeck.tech/""&amp;added,""Link""),""""))),""""))"),"Link")</f>
        <v>Link</v>
      </c>
      <c r="J223" s="139" t="str">
        <f>IFERROR(__xludf.DUMMYFUNCTION("""COMPUTED_VALUE"""),"Link")</f>
        <v>Link</v>
      </c>
      <c r="K223" s="139" t="str">
        <f>IFERROR(__xludf.DUMMYFUNCTION("""COMPUTED_VALUE"""),"Link")</f>
        <v>Link</v>
      </c>
      <c r="L223" s="139" t="str">
        <f>IFERROR(__xludf.DUMMYFUNCTION("""COMPUTED_VALUE"""),"Link")</f>
        <v>Link</v>
      </c>
      <c r="M223" s="139" t="str">
        <f>IFERROR(__xludf.DUMMYFUNCTION("""COMPUTED_VALUE"""),"Link")</f>
        <v>Link</v>
      </c>
      <c r="N223" s="142" t="str">
        <f>IFERROR(__xludf.DUMMYFUNCTION("""COMPUTED_VALUE"""),"Link")</f>
        <v>Link</v>
      </c>
      <c r="O223" s="142" t="str">
        <f>IFERROR(__xludf.DUMMYFUNCTION("""COMPUTED_VALUE"""),"Link")</f>
        <v>Link</v>
      </c>
      <c r="P223" s="142" t="str">
        <f>IFERROR(__xludf.DUMMYFUNCTION("""COMPUTED_VALUE"""),"Link")</f>
        <v>Link</v>
      </c>
      <c r="Q223" s="139" t="str">
        <f>IFERROR(__xludf.DUMMYFUNCTION("""COMPUTED_VALUE"""),"Link")</f>
        <v>Link</v>
      </c>
      <c r="R223" s="139" t="str">
        <f>IFERROR(__xludf.DUMMYFUNCTION("""COMPUTED_VALUE"""),"Link")</f>
        <v>Link</v>
      </c>
      <c r="S223" s="141" t="str">
        <f t="shared" si="1"/>
        <v>https://sealeddeck.tech/Pu6udE3yBd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43" t="s">
        <v>8629</v>
      </c>
      <c r="B224" s="143" t="s">
        <v>8630</v>
      </c>
      <c r="C224" s="137" t="s">
        <v>8631</v>
      </c>
      <c r="D224" s="124" t="s">
        <v>313</v>
      </c>
      <c r="E224" s="138">
        <v>6.0</v>
      </c>
      <c r="F224" s="138">
        <v>11.0</v>
      </c>
      <c r="G224" s="139" t="str">
        <f t="array" ref="G224">IF(H224="","",IFERROR(
  "https://sealeddeck.tech/" &amp; INDEX('Pool Changes'!F:F,
    MAX(
      ROW('Pool Changes'!A:A) *
      ('Pool Changes'!B:B=D224) *
      ('Pool Changes'!F:F&lt;&gt;"")
    )
  ),
  ""
))</f>
        <v>https://sealeddeck.tech/jUEX35GQYp</v>
      </c>
      <c r="H224" s="139" t="str">
        <f>IFERROR(__xludf.DUMMYFUNCTION("LET(changes,FILTER('Pool Changes'!$B:$D, 'Pool Changes'!$B:$B = $D224),added,FILTER(INDEX(changes,0,3),INDEX(changes,0,2)=""starting pool""),TRANSPOSE(IFERROR(ARRAYFORMULA(IF(added&lt;&gt;"""",""https://sealeddeck.tech/""&amp;added,"""")),"""")))"),"https://sealeddeck.tech/fbEhsWSrbp")</f>
        <v>https://sealeddeck.tech/fbEhsWSrbp</v>
      </c>
      <c r="I224" s="139" t="str">
        <f>IFERROR(__xludf.DUMMYFUNCTION("LET(changes,FILTER('Pool Changes'!$B:$D, 'Pool Changes'!$B:$B = $D224),added,FILTER(INDEX(changes,0,3),INDEX(changes,0,2)=""add pack""),IFERROR(TRANSPOSE(ARRAYFORMULA(IF(added&lt;&gt;"""",HYPERLINK(""https://sealeddeck.tech/""&amp;added,""Link""),""""))),""""))"),"Link")</f>
        <v>Link</v>
      </c>
      <c r="J224" s="139" t="str">
        <f>IFERROR(__xludf.DUMMYFUNCTION("""COMPUTED_VALUE"""),"Link")</f>
        <v>Link</v>
      </c>
      <c r="K224" s="139" t="str">
        <f>IFERROR(__xludf.DUMMYFUNCTION("""COMPUTED_VALUE"""),"Link")</f>
        <v>Link</v>
      </c>
      <c r="L224" s="139" t="str">
        <f>IFERROR(__xludf.DUMMYFUNCTION("""COMPUTED_VALUE"""),"Link")</f>
        <v>Link</v>
      </c>
      <c r="M224" s="139" t="str">
        <f>IFERROR(__xludf.DUMMYFUNCTION("""COMPUTED_VALUE"""),"Link")</f>
        <v>Link</v>
      </c>
      <c r="N224" s="142" t="str">
        <f>IFERROR(__xludf.DUMMYFUNCTION("""COMPUTED_VALUE"""),"Link")</f>
        <v>Link</v>
      </c>
      <c r="O224" s="142" t="str">
        <f>IFERROR(__xludf.DUMMYFUNCTION("""COMPUTED_VALUE"""),"Link")</f>
        <v>Link</v>
      </c>
      <c r="P224" s="142" t="str">
        <f>IFERROR(__xludf.DUMMYFUNCTION("""COMPUTED_VALUE"""),"Link")</f>
        <v>Link</v>
      </c>
      <c r="Q224" s="139" t="str">
        <f>IFERROR(__xludf.DUMMYFUNCTION("""COMPUTED_VALUE"""),"Link")</f>
        <v>Link</v>
      </c>
      <c r="R224" s="139" t="str">
        <f>IFERROR(__xludf.DUMMYFUNCTION("""COMPUTED_VALUE"""),"Link")</f>
        <v>Link</v>
      </c>
      <c r="S224" s="141" t="str">
        <f t="shared" si="1"/>
        <v>https://sealeddeck.tech/7GeYRH6q94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43" t="s">
        <v>8632</v>
      </c>
      <c r="B225" s="143" t="s">
        <v>8633</v>
      </c>
      <c r="C225" s="137" t="s">
        <v>8634</v>
      </c>
      <c r="D225" s="124" t="s">
        <v>247</v>
      </c>
      <c r="E225" s="138">
        <v>8.0</v>
      </c>
      <c r="F225" s="138">
        <v>11.0</v>
      </c>
      <c r="G225" s="139" t="str">
        <f t="array" ref="G225">IF(H225="","",IFERROR(
  "https://sealeddeck.tech/" &amp; INDEX('Pool Changes'!F:F,
    MAX(
      ROW('Pool Changes'!A:A) *
      ('Pool Changes'!B:B=D225) *
      ('Pool Changes'!F:F&lt;&gt;"")
    )
  ),
  ""
))</f>
        <v>https://sealeddeck.tech/5KSy7aYQrk</v>
      </c>
      <c r="H225" s="139" t="str">
        <f>IFERROR(__xludf.DUMMYFUNCTION("LET(changes,FILTER('Pool Changes'!$B:$D, 'Pool Changes'!$B:$B = $D225),added,FILTER(INDEX(changes,0,3),INDEX(changes,0,2)=""starting pool""),TRANSPOSE(IFERROR(ARRAYFORMULA(IF(added&lt;&gt;"""",""https://sealeddeck.tech/""&amp;added,"""")),"""")))"),"https://sealeddeck.tech/NENTPkUBYE")</f>
        <v>https://sealeddeck.tech/NENTPkUBYE</v>
      </c>
      <c r="I225" s="139" t="str">
        <f>IFERROR(__xludf.DUMMYFUNCTION("LET(changes,FILTER('Pool Changes'!$B:$D, 'Pool Changes'!$B:$B = $D225),added,FILTER(INDEX(changes,0,3),INDEX(changes,0,2)=""add pack""),IFERROR(TRANSPOSE(ARRAYFORMULA(IF(added&lt;&gt;"""",HYPERLINK(""https://sealeddeck.tech/""&amp;added,""Link""),""""))),""""))"),"Link")</f>
        <v>Link</v>
      </c>
      <c r="J225" s="139" t="str">
        <f>IFERROR(__xludf.DUMMYFUNCTION("""COMPUTED_VALUE"""),"Link")</f>
        <v>Link</v>
      </c>
      <c r="K225" s="139" t="str">
        <f>IFERROR(__xludf.DUMMYFUNCTION("""COMPUTED_VALUE"""),"Link")</f>
        <v>Link</v>
      </c>
      <c r="L225" s="139" t="str">
        <f>IFERROR(__xludf.DUMMYFUNCTION("""COMPUTED_VALUE"""),"Link")</f>
        <v>Link</v>
      </c>
      <c r="M225" s="139" t="str">
        <f>IFERROR(__xludf.DUMMYFUNCTION("""COMPUTED_VALUE"""),"Link")</f>
        <v>Link</v>
      </c>
      <c r="N225" s="142" t="str">
        <f>IFERROR(__xludf.DUMMYFUNCTION("""COMPUTED_VALUE"""),"Link")</f>
        <v>Link</v>
      </c>
      <c r="O225" s="142" t="str">
        <f>IFERROR(__xludf.DUMMYFUNCTION("""COMPUTED_VALUE"""),"Link")</f>
        <v>Link</v>
      </c>
      <c r="P225" s="142" t="str">
        <f>IFERROR(__xludf.DUMMYFUNCTION("""COMPUTED_VALUE"""),"Link")</f>
        <v>Link</v>
      </c>
      <c r="Q225" s="140"/>
      <c r="R225" s="140"/>
      <c r="S225" s="141" t="str">
        <f t="shared" si="1"/>
        <v>https://sealeddeck.tech/tdaQM6odGT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43" t="s">
        <v>8635</v>
      </c>
      <c r="B226" s="143" t="s">
        <v>8636</v>
      </c>
      <c r="C226" s="137" t="s">
        <v>8637</v>
      </c>
      <c r="D226" s="124" t="s">
        <v>104</v>
      </c>
      <c r="E226" s="138">
        <v>13.0</v>
      </c>
      <c r="F226" s="138">
        <v>11.0</v>
      </c>
      <c r="G226" s="139" t="str">
        <f t="array" ref="G226">IF(H226="","",IFERROR(
  "https://sealeddeck.tech/" &amp; INDEX('Pool Changes'!F:F,
    MAX(
      ROW('Pool Changes'!A:A) *
      ('Pool Changes'!B:B=D226) *
      ('Pool Changes'!F:F&lt;&gt;"")
    )
  ),
  ""
))</f>
        <v>https://sealeddeck.tech/C3cL9MpQEd</v>
      </c>
      <c r="H226" s="139" t="str">
        <f>IFERROR(__xludf.DUMMYFUNCTION("LET(changes,FILTER('Pool Changes'!$B:$D, 'Pool Changes'!$B:$B = $D226),added,FILTER(INDEX(changes,0,3),INDEX(changes,0,2)=""starting pool""),TRANSPOSE(IFERROR(ARRAYFORMULA(IF(added&lt;&gt;"""",""https://sealeddeck.tech/""&amp;added,"""")),"""")))"),"https://sealeddeck.tech/qdLn7j9PQF")</f>
        <v>https://sealeddeck.tech/qdLn7j9PQF</v>
      </c>
      <c r="I226" s="139" t="str">
        <f>IFERROR(__xludf.DUMMYFUNCTION("LET(changes,FILTER('Pool Changes'!$B:$D, 'Pool Changes'!$B:$B = $D226),added,FILTER(INDEX(changes,0,3),INDEX(changes,0,2)=""add pack""),IFERROR(TRANSPOSE(ARRAYFORMULA(IF(added&lt;&gt;"""",HYPERLINK(""https://sealeddeck.tech/""&amp;added,""Link""),""""))),""""))"),"Link")</f>
        <v>Link</v>
      </c>
      <c r="J226" s="139" t="str">
        <f>IFERROR(__xludf.DUMMYFUNCTION("""COMPUTED_VALUE"""),"Link")</f>
        <v>Link</v>
      </c>
      <c r="K226" s="139" t="str">
        <f>IFERROR(__xludf.DUMMYFUNCTION("""COMPUTED_VALUE"""),"Link")</f>
        <v>Link</v>
      </c>
      <c r="L226" s="139" t="str">
        <f>IFERROR(__xludf.DUMMYFUNCTION("""COMPUTED_VALUE"""),"Link")</f>
        <v>Link</v>
      </c>
      <c r="M226" s="139" t="str">
        <f>IFERROR(__xludf.DUMMYFUNCTION("""COMPUTED_VALUE"""),"Link")</f>
        <v>Link</v>
      </c>
      <c r="N226" s="142" t="str">
        <f>IFERROR(__xludf.DUMMYFUNCTION("""COMPUTED_VALUE"""),"Link")</f>
        <v>Link</v>
      </c>
      <c r="O226" s="142" t="str">
        <f>IFERROR(__xludf.DUMMYFUNCTION("""COMPUTED_VALUE"""),"Link")</f>
        <v>Link</v>
      </c>
      <c r="P226" s="142" t="str">
        <f>IFERROR(__xludf.DUMMYFUNCTION("""COMPUTED_VALUE"""),"Link")</f>
        <v>Link</v>
      </c>
      <c r="Q226" s="139" t="str">
        <f>IFERROR(__xludf.DUMMYFUNCTION("""COMPUTED_VALUE"""),"Link")</f>
        <v>Link</v>
      </c>
      <c r="R226" s="139" t="str">
        <f>IFERROR(__xludf.DUMMYFUNCTION("""COMPUTED_VALUE"""),"Link")</f>
        <v>Link</v>
      </c>
      <c r="S226" s="141" t="str">
        <f t="shared" si="1"/>
        <v>https://sealeddeck.tech/hZhbXNJxJx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43" t="s">
        <v>8638</v>
      </c>
      <c r="B227" s="143" t="s">
        <v>8639</v>
      </c>
      <c r="C227" s="137" t="s">
        <v>8640</v>
      </c>
      <c r="D227" s="124" t="s">
        <v>249</v>
      </c>
      <c r="E227" s="138">
        <v>8.0</v>
      </c>
      <c r="F227" s="138">
        <v>11.0</v>
      </c>
      <c r="G227" s="139" t="str">
        <f t="array" ref="G227">IF(H227="","",IFERROR(
  "https://sealeddeck.tech/" &amp; INDEX('Pool Changes'!F:F,
    MAX(
      ROW('Pool Changes'!A:A) *
      ('Pool Changes'!B:B=D227) *
      ('Pool Changes'!F:F&lt;&gt;"")
    )
  ),
  ""
))</f>
        <v>https://sealeddeck.tech/spZKXMpi3t</v>
      </c>
      <c r="H227" s="139" t="str">
        <f>IFERROR(__xludf.DUMMYFUNCTION("LET(changes,FILTER('Pool Changes'!$B:$D, 'Pool Changes'!$B:$B = $D227),added,FILTER(INDEX(changes,0,3),INDEX(changes,0,2)=""starting pool""),TRANSPOSE(IFERROR(ARRAYFORMULA(IF(added&lt;&gt;"""",""https://sealeddeck.tech/""&amp;added,"""")),"""")))"),"https://sealeddeck.tech/C4iu4pvo2J")</f>
        <v>https://sealeddeck.tech/C4iu4pvo2J</v>
      </c>
      <c r="I227" s="139" t="str">
        <f>IFERROR(__xludf.DUMMYFUNCTION("LET(changes,FILTER('Pool Changes'!$B:$D, 'Pool Changes'!$B:$B = $D227),added,FILTER(INDEX(changes,0,3),INDEX(changes,0,2)=""add pack""),IFERROR(TRANSPOSE(ARRAYFORMULA(IF(added&lt;&gt;"""",HYPERLINK(""https://sealeddeck.tech/""&amp;added,""Link""),""""))),""""))"),"Link")</f>
        <v>Link</v>
      </c>
      <c r="J227" s="139" t="str">
        <f>IFERROR(__xludf.DUMMYFUNCTION("""COMPUTED_VALUE"""),"Link")</f>
        <v>Link</v>
      </c>
      <c r="K227" s="139" t="str">
        <f>IFERROR(__xludf.DUMMYFUNCTION("""COMPUTED_VALUE"""),"Link")</f>
        <v>Link</v>
      </c>
      <c r="L227" s="139" t="str">
        <f>IFERROR(__xludf.DUMMYFUNCTION("""COMPUTED_VALUE"""),"Link")</f>
        <v>Link</v>
      </c>
      <c r="M227" s="139" t="str">
        <f>IFERROR(__xludf.DUMMYFUNCTION("""COMPUTED_VALUE"""),"Link")</f>
        <v>Link</v>
      </c>
      <c r="N227" s="142" t="str">
        <f>IFERROR(__xludf.DUMMYFUNCTION("""COMPUTED_VALUE"""),"Link")</f>
        <v>Link</v>
      </c>
      <c r="O227" s="142" t="str">
        <f>IFERROR(__xludf.DUMMYFUNCTION("""COMPUTED_VALUE"""),"Link")</f>
        <v>Link</v>
      </c>
      <c r="P227" s="142" t="str">
        <f>IFERROR(__xludf.DUMMYFUNCTION("""COMPUTED_VALUE"""),"Link")</f>
        <v>Link</v>
      </c>
      <c r="Q227" s="139" t="str">
        <f>IFERROR(__xludf.DUMMYFUNCTION("""COMPUTED_VALUE"""),"Link")</f>
        <v>Link</v>
      </c>
      <c r="R227" s="139" t="str">
        <f>IFERROR(__xludf.DUMMYFUNCTION("""COMPUTED_VALUE"""),"Link")</f>
        <v>Link</v>
      </c>
      <c r="S227" s="141" t="str">
        <f t="shared" si="1"/>
        <v>https://sealeddeck.tech/aXHUEw7Rfw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43" t="s">
        <v>8641</v>
      </c>
      <c r="B228" s="143" t="s">
        <v>8642</v>
      </c>
      <c r="C228" s="137" t="s">
        <v>8643</v>
      </c>
      <c r="D228" s="124" t="s">
        <v>294</v>
      </c>
      <c r="E228" s="138">
        <v>4.0</v>
      </c>
      <c r="F228" s="138">
        <v>11.0</v>
      </c>
      <c r="G228" s="139" t="str">
        <f t="array" ref="G228">IF(H228="","",IFERROR(
  "https://sealeddeck.tech/" &amp; INDEX('Pool Changes'!F:F,
    MAX(
      ROW('Pool Changes'!A:A) *
      ('Pool Changes'!B:B=D228) *
      ('Pool Changes'!F:F&lt;&gt;"")
    )
  ),
  ""
))</f>
        <v>https://sealeddeck.tech/j8twBQdUdP</v>
      </c>
      <c r="H228" s="139" t="str">
        <f>IFERROR(__xludf.DUMMYFUNCTION("LET(changes,FILTER('Pool Changes'!$B:$D, 'Pool Changes'!$B:$B = $D228),added,FILTER(INDEX(changes,0,3),INDEX(changes,0,2)=""starting pool""),TRANSPOSE(IFERROR(ARRAYFORMULA(IF(added&lt;&gt;"""",""https://sealeddeck.tech/""&amp;added,"""")),"""")))"),"https://sealeddeck.tech/oPoMpdFRDz")</f>
        <v>https://sealeddeck.tech/oPoMpdFRDz</v>
      </c>
      <c r="I228" s="139" t="str">
        <f>IFERROR(__xludf.DUMMYFUNCTION("LET(changes,FILTER('Pool Changes'!$B:$D, 'Pool Changes'!$B:$B = $D228),added,FILTER(INDEX(changes,0,3),INDEX(changes,0,2)=""add pack""),IFERROR(TRANSPOSE(ARRAYFORMULA(IF(added&lt;&gt;"""",HYPERLINK(""https://sealeddeck.tech/""&amp;added,""Link""),""""))),""""))"),"Link")</f>
        <v>Link</v>
      </c>
      <c r="J228" s="139" t="str">
        <f>IFERROR(__xludf.DUMMYFUNCTION("""COMPUTED_VALUE"""),"Link")</f>
        <v>Link</v>
      </c>
      <c r="K228" s="139" t="str">
        <f>IFERROR(__xludf.DUMMYFUNCTION("""COMPUTED_VALUE"""),"Link")</f>
        <v>Link</v>
      </c>
      <c r="L228" s="139" t="str">
        <f>IFERROR(__xludf.DUMMYFUNCTION("""COMPUTED_VALUE"""),"Link")</f>
        <v>Link</v>
      </c>
      <c r="M228" s="139" t="str">
        <f>IFERROR(__xludf.DUMMYFUNCTION("""COMPUTED_VALUE"""),"Link")</f>
        <v>Link</v>
      </c>
      <c r="N228" s="142" t="str">
        <f>IFERROR(__xludf.DUMMYFUNCTION("""COMPUTED_VALUE"""),"Link")</f>
        <v>Link</v>
      </c>
      <c r="O228" s="142" t="str">
        <f>IFERROR(__xludf.DUMMYFUNCTION("""COMPUTED_VALUE"""),"Link")</f>
        <v>Link</v>
      </c>
      <c r="P228" s="142" t="str">
        <f>IFERROR(__xludf.DUMMYFUNCTION("""COMPUTED_VALUE"""),"Link")</f>
        <v>Link</v>
      </c>
      <c r="Q228" s="139" t="str">
        <f>IFERROR(__xludf.DUMMYFUNCTION("""COMPUTED_VALUE"""),"Link")</f>
        <v>Link</v>
      </c>
      <c r="R228" s="139" t="str">
        <f>IFERROR(__xludf.DUMMYFUNCTION("""COMPUTED_VALUE"""),"Link")</f>
        <v>Link</v>
      </c>
      <c r="S228" s="141" t="str">
        <f t="shared" si="1"/>
        <v>https://sealeddeck.tech/VytThFZvfw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43" t="s">
        <v>8644</v>
      </c>
      <c r="B229" s="143" t="s">
        <v>8645</v>
      </c>
      <c r="C229" s="137" t="s">
        <v>8646</v>
      </c>
      <c r="D229" s="124" t="s">
        <v>276</v>
      </c>
      <c r="E229" s="138">
        <v>12.0</v>
      </c>
      <c r="F229" s="138">
        <v>11.0</v>
      </c>
      <c r="G229" s="139" t="str">
        <f t="array" ref="G229">IF(H229="","",IFERROR(
  "https://sealeddeck.tech/" &amp; INDEX('Pool Changes'!F:F,
    MAX(
      ROW('Pool Changes'!A:A) *
      ('Pool Changes'!B:B=D229) *
      ('Pool Changes'!F:F&lt;&gt;"")
    )
  ),
  ""
))</f>
        <v>https://sealeddeck.tech/YmSF9qLosV</v>
      </c>
      <c r="H229" s="139" t="str">
        <f>IFERROR(__xludf.DUMMYFUNCTION("LET(changes,FILTER('Pool Changes'!$B:$D, 'Pool Changes'!$B:$B = $D229),added,FILTER(INDEX(changes,0,3),INDEX(changes,0,2)=""starting pool""),TRANSPOSE(IFERROR(ARRAYFORMULA(IF(added&lt;&gt;"""",""https://sealeddeck.tech/""&amp;added,"""")),"""")))"),"https://sealeddeck.tech/EfiLiZ3oj6")</f>
        <v>https://sealeddeck.tech/EfiLiZ3oj6</v>
      </c>
      <c r="I229" s="139" t="str">
        <f>IFERROR(__xludf.DUMMYFUNCTION("LET(changes,FILTER('Pool Changes'!$B:$D, 'Pool Changes'!$B:$B = $D229),added,FILTER(INDEX(changes,0,3),INDEX(changes,0,2)=""add pack""),IFERROR(TRANSPOSE(ARRAYFORMULA(IF(added&lt;&gt;"""",HYPERLINK(""https://sealeddeck.tech/""&amp;added,""Link""),""""))),""""))"),"Link")</f>
        <v>Link</v>
      </c>
      <c r="J229" s="139" t="str">
        <f>IFERROR(__xludf.DUMMYFUNCTION("""COMPUTED_VALUE"""),"Link")</f>
        <v>Link</v>
      </c>
      <c r="K229" s="139" t="str">
        <f>IFERROR(__xludf.DUMMYFUNCTION("""COMPUTED_VALUE"""),"Link")</f>
        <v>Link</v>
      </c>
      <c r="L229" s="139" t="str">
        <f>IFERROR(__xludf.DUMMYFUNCTION("""COMPUTED_VALUE"""),"Link")</f>
        <v>Link</v>
      </c>
      <c r="M229" s="139" t="str">
        <f>IFERROR(__xludf.DUMMYFUNCTION("""COMPUTED_VALUE"""),"Link")</f>
        <v>Link</v>
      </c>
      <c r="N229" s="142" t="str">
        <f>IFERROR(__xludf.DUMMYFUNCTION("""COMPUTED_VALUE"""),"Link")</f>
        <v>Link</v>
      </c>
      <c r="O229" s="142" t="str">
        <f>IFERROR(__xludf.DUMMYFUNCTION("""COMPUTED_VALUE"""),"Link")</f>
        <v>Link</v>
      </c>
      <c r="P229" s="142" t="str">
        <f>IFERROR(__xludf.DUMMYFUNCTION("""COMPUTED_VALUE"""),"Link")</f>
        <v>Link</v>
      </c>
      <c r="Q229" s="139" t="str">
        <f>IFERROR(__xludf.DUMMYFUNCTION("""COMPUTED_VALUE"""),"Link")</f>
        <v>Link</v>
      </c>
      <c r="R229" s="139" t="str">
        <f>IFERROR(__xludf.DUMMYFUNCTION("""COMPUTED_VALUE"""),"Link")</f>
        <v>Link</v>
      </c>
      <c r="S229" s="141" t="str">
        <f t="shared" si="1"/>
        <v>https://sealeddeck.tech/jUEX35GQYp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43" t="s">
        <v>8647</v>
      </c>
      <c r="B230" s="143" t="s">
        <v>8648</v>
      </c>
      <c r="C230" s="137" t="s">
        <v>8649</v>
      </c>
      <c r="D230" s="124" t="s">
        <v>257</v>
      </c>
      <c r="E230" s="138">
        <v>6.0</v>
      </c>
      <c r="F230" s="138">
        <v>11.0</v>
      </c>
      <c r="G230" s="139" t="str">
        <f t="array" ref="G230">IF(H230="","",IFERROR(
  "https://sealeddeck.tech/" &amp; INDEX('Pool Changes'!F:F,
    MAX(
      ROW('Pool Changes'!A:A) *
      ('Pool Changes'!B:B=D230) *
      ('Pool Changes'!F:F&lt;&gt;"")
    )
  ),
  ""
))</f>
        <v>https://sealeddeck.tech/yAwL1B9Z2y</v>
      </c>
      <c r="H230" s="139" t="str">
        <f>IFERROR(__xludf.DUMMYFUNCTION("LET(changes,FILTER('Pool Changes'!$B:$D, 'Pool Changes'!$B:$B = $D230),added,FILTER(INDEX(changes,0,3),INDEX(changes,0,2)=""starting pool""),TRANSPOSE(IFERROR(ARRAYFORMULA(IF(added&lt;&gt;"""",""https://sealeddeck.tech/""&amp;added,"""")),"""")))"),"https://sealeddeck.tech/7ReE7edNcD")</f>
        <v>https://sealeddeck.tech/7ReE7edNcD</v>
      </c>
      <c r="I230" s="139" t="str">
        <f>IFERROR(__xludf.DUMMYFUNCTION("LET(changes,FILTER('Pool Changes'!$B:$D, 'Pool Changes'!$B:$B = $D230),added,FILTER(INDEX(changes,0,3),INDEX(changes,0,2)=""add pack""),IFERROR(TRANSPOSE(ARRAYFORMULA(IF(added&lt;&gt;"""",HYPERLINK(""https://sealeddeck.tech/""&amp;added,""Link""),""""))),""""))"),"Link")</f>
        <v>Link</v>
      </c>
      <c r="J230" s="139" t="str">
        <f>IFERROR(__xludf.DUMMYFUNCTION("""COMPUTED_VALUE"""),"Link")</f>
        <v>Link</v>
      </c>
      <c r="K230" s="139" t="str">
        <f>IFERROR(__xludf.DUMMYFUNCTION("""COMPUTED_VALUE"""),"Link")</f>
        <v>Link</v>
      </c>
      <c r="L230" s="139" t="str">
        <f>IFERROR(__xludf.DUMMYFUNCTION("""COMPUTED_VALUE"""),"Link")</f>
        <v>Link</v>
      </c>
      <c r="M230" s="139" t="str">
        <f>IFERROR(__xludf.DUMMYFUNCTION("""COMPUTED_VALUE"""),"Link")</f>
        <v>Link</v>
      </c>
      <c r="N230" s="142" t="str">
        <f>IFERROR(__xludf.DUMMYFUNCTION("""COMPUTED_VALUE"""),"Link")</f>
        <v>Link</v>
      </c>
      <c r="O230" s="142" t="str">
        <f>IFERROR(__xludf.DUMMYFUNCTION("""COMPUTED_VALUE"""),"Link")</f>
        <v>Link</v>
      </c>
      <c r="P230" s="142" t="str">
        <f>IFERROR(__xludf.DUMMYFUNCTION("""COMPUTED_VALUE"""),"Link")</f>
        <v>Link</v>
      </c>
      <c r="Q230" s="139" t="str">
        <f>IFERROR(__xludf.DUMMYFUNCTION("""COMPUTED_VALUE"""),"Link")</f>
        <v>Link</v>
      </c>
      <c r="R230" s="139" t="str">
        <f>IFERROR(__xludf.DUMMYFUNCTION("""COMPUTED_VALUE"""),"Link")</f>
        <v>Link</v>
      </c>
      <c r="S230" s="141" t="str">
        <f t="shared" si="1"/>
        <v>https://sealeddeck.tech/5KSy7aYQrk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43" t="s">
        <v>8650</v>
      </c>
      <c r="B231" s="143" t="s">
        <v>8651</v>
      </c>
      <c r="C231" s="137" t="s">
        <v>8652</v>
      </c>
      <c r="D231" s="124" t="s">
        <v>195</v>
      </c>
      <c r="E231" s="138">
        <v>11.0</v>
      </c>
      <c r="F231" s="138">
        <v>11.0</v>
      </c>
      <c r="G231" s="139" t="str">
        <f t="array" ref="G231">IF(H231="","",IFERROR(
  "https://sealeddeck.tech/" &amp; INDEX('Pool Changes'!F:F,
    MAX(
      ROW('Pool Changes'!A:A) *
      ('Pool Changes'!B:B=D231) *
      ('Pool Changes'!F:F&lt;&gt;"")
    )
  ),
  ""
))</f>
        <v>https://sealeddeck.tech/AfjSVbnV3u</v>
      </c>
      <c r="H231" s="139" t="str">
        <f>IFERROR(__xludf.DUMMYFUNCTION("LET(changes,FILTER('Pool Changes'!$B:$D, 'Pool Changes'!$B:$B = $D231),added,FILTER(INDEX(changes,0,3),INDEX(changes,0,2)=""starting pool""),TRANSPOSE(IFERROR(ARRAYFORMULA(IF(added&lt;&gt;"""",""https://sealeddeck.tech/""&amp;added,"""")),"""")))"),"https://sealeddeck.tech/81aiyMvAxn")</f>
        <v>https://sealeddeck.tech/81aiyMvAxn</v>
      </c>
      <c r="I231" s="139" t="str">
        <f>IFERROR(__xludf.DUMMYFUNCTION("LET(changes,FILTER('Pool Changes'!$B:$D, 'Pool Changes'!$B:$B = $D231),added,FILTER(INDEX(changes,0,3),INDEX(changes,0,2)=""add pack""),IFERROR(TRANSPOSE(ARRAYFORMULA(IF(added&lt;&gt;"""",HYPERLINK(""https://sealeddeck.tech/""&amp;added,""Link""),""""))),""""))"),"Link")</f>
        <v>Link</v>
      </c>
      <c r="J231" s="139" t="str">
        <f>IFERROR(__xludf.DUMMYFUNCTION("""COMPUTED_VALUE"""),"Link")</f>
        <v>Link</v>
      </c>
      <c r="K231" s="139" t="str">
        <f>IFERROR(__xludf.DUMMYFUNCTION("""COMPUTED_VALUE"""),"Link")</f>
        <v>Link</v>
      </c>
      <c r="L231" s="139" t="str">
        <f>IFERROR(__xludf.DUMMYFUNCTION("""COMPUTED_VALUE"""),"Link")</f>
        <v>Link</v>
      </c>
      <c r="M231" s="139" t="str">
        <f>IFERROR(__xludf.DUMMYFUNCTION("""COMPUTED_VALUE"""),"Link")</f>
        <v>Link</v>
      </c>
      <c r="N231" s="142" t="str">
        <f>IFERROR(__xludf.DUMMYFUNCTION("""COMPUTED_VALUE"""),"Link")</f>
        <v>Link</v>
      </c>
      <c r="O231" s="142" t="str">
        <f>IFERROR(__xludf.DUMMYFUNCTION("""COMPUTED_VALUE"""),"Link")</f>
        <v>Link</v>
      </c>
      <c r="P231" s="142" t="str">
        <f>IFERROR(__xludf.DUMMYFUNCTION("""COMPUTED_VALUE"""),"Link")</f>
        <v>Link</v>
      </c>
      <c r="Q231" s="139" t="str">
        <f>IFERROR(__xludf.DUMMYFUNCTION("""COMPUTED_VALUE"""),"Link")</f>
        <v>Link</v>
      </c>
      <c r="R231" s="139" t="str">
        <f>IFERROR(__xludf.DUMMYFUNCTION("""COMPUTED_VALUE"""),"Link")</f>
        <v>Link</v>
      </c>
      <c r="S231" s="141" t="str">
        <f t="shared" si="1"/>
        <v>https://sealeddeck.tech/C3cL9MpQEd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43" t="s">
        <v>78</v>
      </c>
      <c r="B232" s="143" t="s">
        <v>82</v>
      </c>
      <c r="C232" s="137" t="s">
        <v>8653</v>
      </c>
      <c r="D232" s="124" t="s">
        <v>282</v>
      </c>
      <c r="E232" s="138">
        <v>21.0</v>
      </c>
      <c r="F232" s="138">
        <v>9.0</v>
      </c>
      <c r="G232" s="139" t="str">
        <f t="array" ref="G232">IF(H232="","",IFERROR(
  "https://sealeddeck.tech/" &amp; INDEX('Pool Changes'!F:F,
    MAX(
      ROW('Pool Changes'!A:A) *
      ('Pool Changes'!B:B=D232) *
      ('Pool Changes'!F:F&lt;&gt;"")
    )
  ),
  ""
))</f>
        <v>https://sealeddeck.tech/H9jmyjFZVG</v>
      </c>
      <c r="H232" s="139" t="str">
        <f>IFERROR(__xludf.DUMMYFUNCTION("LET(changes,FILTER('Pool Changes'!$B:$D, 'Pool Changes'!$B:$B = $D232),added,FILTER(INDEX(changes,0,3),INDEX(changes,0,2)=""starting pool""),TRANSPOSE(IFERROR(ARRAYFORMULA(IF(added&lt;&gt;"""",""https://sealeddeck.tech/""&amp;added,"""")),"""")))"),"https://sealeddeck.tech/7mEA9v9urt")</f>
        <v>https://sealeddeck.tech/7mEA9v9urt</v>
      </c>
      <c r="I232" s="139" t="str">
        <f>IFERROR(__xludf.DUMMYFUNCTION("LET(changes,FILTER('Pool Changes'!$B:$D, 'Pool Changes'!$B:$B = $D232),added,FILTER(INDEX(changes,0,3),INDEX(changes,0,2)=""add pack""),IFERROR(TRANSPOSE(ARRAYFORMULA(IF(added&lt;&gt;"""",HYPERLINK(""https://sealeddeck.tech/""&amp;added,""Link""),""""))),""""))"),"Link")</f>
        <v>Link</v>
      </c>
      <c r="J232" s="139" t="str">
        <f>IFERROR(__xludf.DUMMYFUNCTION("""COMPUTED_VALUE"""),"Link")</f>
        <v>Link</v>
      </c>
      <c r="K232" s="139" t="str">
        <f>IFERROR(__xludf.DUMMYFUNCTION("""COMPUTED_VALUE"""),"Link")</f>
        <v>Link</v>
      </c>
      <c r="L232" s="139" t="str">
        <f>IFERROR(__xludf.DUMMYFUNCTION("""COMPUTED_VALUE"""),"Link")</f>
        <v>Link</v>
      </c>
      <c r="M232" s="139" t="str">
        <f>IFERROR(__xludf.DUMMYFUNCTION("""COMPUTED_VALUE"""),"Link")</f>
        <v>Link</v>
      </c>
      <c r="N232" s="142" t="str">
        <f>IFERROR(__xludf.DUMMYFUNCTION("""COMPUTED_VALUE"""),"Link")</f>
        <v>Link</v>
      </c>
      <c r="O232" s="142" t="str">
        <f>IFERROR(__xludf.DUMMYFUNCTION("""COMPUTED_VALUE"""),"Link")</f>
        <v>Link</v>
      </c>
      <c r="P232" s="142" t="str">
        <f>IFERROR(__xludf.DUMMYFUNCTION("""COMPUTED_VALUE"""),"Link")</f>
        <v>Link</v>
      </c>
      <c r="Q232" s="140"/>
      <c r="R232" s="140"/>
      <c r="S232" s="141" t="str">
        <f t="shared" si="1"/>
        <v>https://sealeddeck.tech/spZKXMpi3t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43" t="s">
        <v>8654</v>
      </c>
      <c r="B233" s="143" t="s">
        <v>8655</v>
      </c>
      <c r="C233" s="137" t="s">
        <v>8656</v>
      </c>
      <c r="D233" s="124" t="s">
        <v>302</v>
      </c>
      <c r="E233" s="138">
        <v>13.0</v>
      </c>
      <c r="F233" s="138">
        <v>11.0</v>
      </c>
      <c r="G233" s="139" t="str">
        <f t="array" ref="G233">IF(H233="","",IFERROR(
  "https://sealeddeck.tech/" &amp; INDEX('Pool Changes'!F:F,
    MAX(
      ROW('Pool Changes'!A:A) *
      ('Pool Changes'!B:B=D233) *
      ('Pool Changes'!F:F&lt;&gt;"")
    )
  ),
  ""
))</f>
        <v>https://sealeddeck.tech/cM66BPyyNe</v>
      </c>
      <c r="H233" s="139" t="str">
        <f>IFERROR(__xludf.DUMMYFUNCTION("LET(changes,FILTER('Pool Changes'!$B:$D, 'Pool Changes'!$B:$B = $D233),added,FILTER(INDEX(changes,0,3),INDEX(changes,0,2)=""starting pool""),TRANSPOSE(IFERROR(ARRAYFORMULA(IF(added&lt;&gt;"""",""https://sealeddeck.tech/""&amp;added,"""")),"""")))"),"https://sealeddeck.tech/fppCDzFZDc")</f>
        <v>https://sealeddeck.tech/fppCDzFZDc</v>
      </c>
      <c r="I233" s="139" t="str">
        <f>IFERROR(__xludf.DUMMYFUNCTION("LET(changes,FILTER('Pool Changes'!$B:$D, 'Pool Changes'!$B:$B = $D233),added,FILTER(INDEX(changes,0,3),INDEX(changes,0,2)=""add pack""),IFERROR(TRANSPOSE(ARRAYFORMULA(IF(added&lt;&gt;"""",HYPERLINK(""https://sealeddeck.tech/""&amp;added,""Link""),""""))),""""))"),"Link")</f>
        <v>Link</v>
      </c>
      <c r="J233" s="139" t="str">
        <f>IFERROR(__xludf.DUMMYFUNCTION("""COMPUTED_VALUE"""),"Link")</f>
        <v>Link</v>
      </c>
      <c r="K233" s="139" t="str">
        <f>IFERROR(__xludf.DUMMYFUNCTION("""COMPUTED_VALUE"""),"Link")</f>
        <v>Link</v>
      </c>
      <c r="L233" s="139" t="str">
        <f>IFERROR(__xludf.DUMMYFUNCTION("""COMPUTED_VALUE"""),"Link")</f>
        <v>Link</v>
      </c>
      <c r="M233" s="139" t="str">
        <f>IFERROR(__xludf.DUMMYFUNCTION("""COMPUTED_VALUE"""),"Link")</f>
        <v>Link</v>
      </c>
      <c r="N233" s="142" t="str">
        <f>IFERROR(__xludf.DUMMYFUNCTION("""COMPUTED_VALUE"""),"Link")</f>
        <v>Link</v>
      </c>
      <c r="O233" s="142" t="str">
        <f>IFERROR(__xludf.DUMMYFUNCTION("""COMPUTED_VALUE"""),"Link")</f>
        <v>Link</v>
      </c>
      <c r="P233" s="142" t="str">
        <f>IFERROR(__xludf.DUMMYFUNCTION("""COMPUTED_VALUE"""),"Link")</f>
        <v>Link</v>
      </c>
      <c r="Q233" s="139" t="str">
        <f>IFERROR(__xludf.DUMMYFUNCTION("""COMPUTED_VALUE"""),"Link")</f>
        <v>Link</v>
      </c>
      <c r="R233" s="139" t="str">
        <f>IFERROR(__xludf.DUMMYFUNCTION("""COMPUTED_VALUE"""),"Link")</f>
        <v>Link</v>
      </c>
      <c r="S233" s="141" t="str">
        <f t="shared" si="1"/>
        <v>https://sealeddeck.tech/j8twBQdUdP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43" t="s">
        <v>8657</v>
      </c>
      <c r="B234" s="143" t="s">
        <v>8658</v>
      </c>
      <c r="C234" s="137" t="s">
        <v>8659</v>
      </c>
      <c r="D234" s="124" t="s">
        <v>174</v>
      </c>
      <c r="E234" s="138">
        <v>12.0</v>
      </c>
      <c r="F234" s="138">
        <v>11.0</v>
      </c>
      <c r="G234" s="139" t="str">
        <f t="array" ref="G234">IF(H234="","",IFERROR(
  "https://sealeddeck.tech/" &amp; INDEX('Pool Changes'!F:F,
    MAX(
      ROW('Pool Changes'!A:A) *
      ('Pool Changes'!B:B=D234) *
      ('Pool Changes'!F:F&lt;&gt;"")
    )
  ),
  ""
))</f>
        <v>https://sealeddeck.tech/sQEp9uZcYN</v>
      </c>
      <c r="H234" s="139" t="str">
        <f>IFERROR(__xludf.DUMMYFUNCTION("LET(changes,FILTER('Pool Changes'!$B:$D, 'Pool Changes'!$B:$B = $D234),added,FILTER(INDEX(changes,0,3),INDEX(changes,0,2)=""starting pool""),TRANSPOSE(IFERROR(ARRAYFORMULA(IF(added&lt;&gt;"""",""https://sealeddeck.tech/""&amp;added,"""")),"""")))"),"https://sealeddeck.tech/C6WtsYGYqg")</f>
        <v>https://sealeddeck.tech/C6WtsYGYqg</v>
      </c>
      <c r="I234" s="139" t="str">
        <f>IFERROR(__xludf.DUMMYFUNCTION("LET(changes,FILTER('Pool Changes'!$B:$D, 'Pool Changes'!$B:$B = $D234),added,FILTER(INDEX(changes,0,3),INDEX(changes,0,2)=""add pack""),IFERROR(TRANSPOSE(ARRAYFORMULA(IF(added&lt;&gt;"""",HYPERLINK(""https://sealeddeck.tech/""&amp;added,""Link""),""""))),""""))"),"Link")</f>
        <v>Link</v>
      </c>
      <c r="J234" s="139" t="str">
        <f>IFERROR(__xludf.DUMMYFUNCTION("""COMPUTED_VALUE"""),"Link")</f>
        <v>Link</v>
      </c>
      <c r="K234" s="139" t="str">
        <f>IFERROR(__xludf.DUMMYFUNCTION("""COMPUTED_VALUE"""),"Link")</f>
        <v>Link</v>
      </c>
      <c r="L234" s="139" t="str">
        <f>IFERROR(__xludf.DUMMYFUNCTION("""COMPUTED_VALUE"""),"Link")</f>
        <v>Link</v>
      </c>
      <c r="M234" s="139" t="str">
        <f>IFERROR(__xludf.DUMMYFUNCTION("""COMPUTED_VALUE"""),"Link")</f>
        <v>Link</v>
      </c>
      <c r="N234" s="142" t="str">
        <f>IFERROR(__xludf.DUMMYFUNCTION("""COMPUTED_VALUE"""),"Link")</f>
        <v>Link</v>
      </c>
      <c r="O234" s="142" t="str">
        <f>IFERROR(__xludf.DUMMYFUNCTION("""COMPUTED_VALUE"""),"Link")</f>
        <v>Link</v>
      </c>
      <c r="P234" s="142" t="str">
        <f>IFERROR(__xludf.DUMMYFUNCTION("""COMPUTED_VALUE"""),"Link")</f>
        <v>Link</v>
      </c>
      <c r="Q234" s="139" t="str">
        <f>IFERROR(__xludf.DUMMYFUNCTION("""COMPUTED_VALUE"""),"Link")</f>
        <v>Link</v>
      </c>
      <c r="R234" s="139" t="str">
        <f>IFERROR(__xludf.DUMMYFUNCTION("""COMPUTED_VALUE"""),"Link")</f>
        <v>Link</v>
      </c>
      <c r="S234" s="141" t="str">
        <f t="shared" si="1"/>
        <v>https://sealeddeck.tech/YmSF9qLosV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43" t="s">
        <v>8660</v>
      </c>
      <c r="B235" s="143" t="s">
        <v>8661</v>
      </c>
      <c r="C235" s="137" t="s">
        <v>8662</v>
      </c>
      <c r="D235" s="124" t="s">
        <v>260</v>
      </c>
      <c r="E235" s="138">
        <v>7.0</v>
      </c>
      <c r="F235" s="138">
        <v>12.0</v>
      </c>
      <c r="G235" s="139" t="str">
        <f t="array" ref="G235">IF(H235="","",IFERROR(
  "https://sealeddeck.tech/" &amp; INDEX('Pool Changes'!F:F,
    MAX(
      ROW('Pool Changes'!A:A) *
      ('Pool Changes'!B:B=D235) *
      ('Pool Changes'!F:F&lt;&gt;"")
    )
  ),
  ""
))</f>
        <v>https://sealeddeck.tech/QipaKcXpfx</v>
      </c>
      <c r="H235" s="139" t="str">
        <f>IFERROR(__xludf.DUMMYFUNCTION("LET(changes,FILTER('Pool Changes'!$B:$D, 'Pool Changes'!$B:$B = $D235),added,FILTER(INDEX(changes,0,3),INDEX(changes,0,2)=""starting pool""),TRANSPOSE(IFERROR(ARRAYFORMULA(IF(added&lt;&gt;"""",""https://sealeddeck.tech/""&amp;added,"""")),"""")))"),"https://sealeddeck.tech/zCfUm4bDE4")</f>
        <v>https://sealeddeck.tech/zCfUm4bDE4</v>
      </c>
      <c r="I235" s="139" t="str">
        <f>IFERROR(__xludf.DUMMYFUNCTION("LET(changes,FILTER('Pool Changes'!$B:$D, 'Pool Changes'!$B:$B = $D235),added,FILTER(INDEX(changes,0,3),INDEX(changes,0,2)=""add pack""),IFERROR(TRANSPOSE(ARRAYFORMULA(IF(added&lt;&gt;"""",HYPERLINK(""https://sealeddeck.tech/""&amp;added,""Link""),""""))),""""))"),"Link")</f>
        <v>Link</v>
      </c>
      <c r="J235" s="139" t="str">
        <f>IFERROR(__xludf.DUMMYFUNCTION("""COMPUTED_VALUE"""),"Link")</f>
        <v>Link</v>
      </c>
      <c r="K235" s="139" t="str">
        <f>IFERROR(__xludf.DUMMYFUNCTION("""COMPUTED_VALUE"""),"Link")</f>
        <v>Link</v>
      </c>
      <c r="L235" s="139" t="str">
        <f>IFERROR(__xludf.DUMMYFUNCTION("""COMPUTED_VALUE"""),"Link")</f>
        <v>Link</v>
      </c>
      <c r="M235" s="139" t="str">
        <f>IFERROR(__xludf.DUMMYFUNCTION("""COMPUTED_VALUE"""),"Link")</f>
        <v>Link</v>
      </c>
      <c r="N235" s="142" t="str">
        <f>IFERROR(__xludf.DUMMYFUNCTION("""COMPUTED_VALUE"""),"Link")</f>
        <v>Link</v>
      </c>
      <c r="O235" s="142" t="str">
        <f>IFERROR(__xludf.DUMMYFUNCTION("""COMPUTED_VALUE"""),"Link")</f>
        <v>Link</v>
      </c>
      <c r="P235" s="142" t="str">
        <f>IFERROR(__xludf.DUMMYFUNCTION("""COMPUTED_VALUE"""),"Link")</f>
        <v>Link</v>
      </c>
      <c r="Q235" s="139" t="str">
        <f>IFERROR(__xludf.DUMMYFUNCTION("""COMPUTED_VALUE"""),"Link")</f>
        <v>Link</v>
      </c>
      <c r="R235" s="139" t="str">
        <f>IFERROR(__xludf.DUMMYFUNCTION("""COMPUTED_VALUE"""),"Link")</f>
        <v>Link</v>
      </c>
      <c r="S235" s="141" t="str">
        <f t="shared" si="1"/>
        <v>https://sealeddeck.tech/yAwL1B9Z2y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43" t="s">
        <v>8663</v>
      </c>
      <c r="B236" s="143" t="s">
        <v>8664</v>
      </c>
      <c r="C236" s="137" t="s">
        <v>8665</v>
      </c>
      <c r="D236" s="124" t="s">
        <v>62</v>
      </c>
      <c r="E236" s="138">
        <v>12.0</v>
      </c>
      <c r="F236" s="138">
        <v>11.0</v>
      </c>
      <c r="G236" s="139" t="str">
        <f t="array" ref="G236">IF(H236="","",IFERROR(
  "https://sealeddeck.tech/" &amp; INDEX('Pool Changes'!F:F,
    MAX(
      ROW('Pool Changes'!A:A) *
      ('Pool Changes'!B:B=D236) *
      ('Pool Changes'!F:F&lt;&gt;"")
    )
  ),
  ""
))</f>
        <v>https://sealeddeck.tech/68d1by7oEi</v>
      </c>
      <c r="H236" s="139" t="str">
        <f>IFERROR(__xludf.DUMMYFUNCTION("LET(changes,FILTER('Pool Changes'!$B:$D, 'Pool Changes'!$B:$B = $D236),added,FILTER(INDEX(changes,0,3),INDEX(changes,0,2)=""starting pool""),TRANSPOSE(IFERROR(ARRAYFORMULA(IF(added&lt;&gt;"""",""https://sealeddeck.tech/""&amp;added,"""")),"""")))"),"https://sealeddeck.tech/Q6YEuTQAXR")</f>
        <v>https://sealeddeck.tech/Q6YEuTQAXR</v>
      </c>
      <c r="I236" s="139" t="str">
        <f>IFERROR(__xludf.DUMMYFUNCTION("LET(changes,FILTER('Pool Changes'!$B:$D, 'Pool Changes'!$B:$B = $D236),added,FILTER(INDEX(changes,0,3),INDEX(changes,0,2)=""add pack""),IFERROR(TRANSPOSE(ARRAYFORMULA(IF(added&lt;&gt;"""",HYPERLINK(""https://sealeddeck.tech/""&amp;added,""Link""),""""))),""""))"),"Link")</f>
        <v>Link</v>
      </c>
      <c r="J236" s="139" t="str">
        <f>IFERROR(__xludf.DUMMYFUNCTION("""COMPUTED_VALUE"""),"Link")</f>
        <v>Link</v>
      </c>
      <c r="K236" s="139" t="str">
        <f>IFERROR(__xludf.DUMMYFUNCTION("""COMPUTED_VALUE"""),"Link")</f>
        <v>Link</v>
      </c>
      <c r="L236" s="139" t="str">
        <f>IFERROR(__xludf.DUMMYFUNCTION("""COMPUTED_VALUE"""),"Link")</f>
        <v>Link</v>
      </c>
      <c r="M236" s="139" t="str">
        <f>IFERROR(__xludf.DUMMYFUNCTION("""COMPUTED_VALUE"""),"Link")</f>
        <v>Link</v>
      </c>
      <c r="N236" s="142" t="str">
        <f>IFERROR(__xludf.DUMMYFUNCTION("""COMPUTED_VALUE"""),"Link")</f>
        <v>Link</v>
      </c>
      <c r="O236" s="142" t="str">
        <f>IFERROR(__xludf.DUMMYFUNCTION("""COMPUTED_VALUE"""),"Link")</f>
        <v>Link</v>
      </c>
      <c r="P236" s="142" t="str">
        <f>IFERROR(__xludf.DUMMYFUNCTION("""COMPUTED_VALUE"""),"Link")</f>
        <v>Link</v>
      </c>
      <c r="Q236" s="139" t="str">
        <f>IFERROR(__xludf.DUMMYFUNCTION("""COMPUTED_VALUE"""),"Link")</f>
        <v>Link</v>
      </c>
      <c r="R236" s="139" t="str">
        <f>IFERROR(__xludf.DUMMYFUNCTION("""COMPUTED_VALUE"""),"Link")</f>
        <v>Link</v>
      </c>
      <c r="S236" s="141" t="str">
        <f t="shared" si="1"/>
        <v>https://sealeddeck.tech/AfjSVbnV3u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43" t="s">
        <v>8666</v>
      </c>
      <c r="B237" s="143" t="s">
        <v>8667</v>
      </c>
      <c r="C237" s="137" t="s">
        <v>8668</v>
      </c>
      <c r="D237" s="124" t="s">
        <v>233</v>
      </c>
      <c r="E237" s="138">
        <v>11.0</v>
      </c>
      <c r="F237" s="138">
        <v>11.0</v>
      </c>
      <c r="G237" s="139" t="str">
        <f t="array" ref="G237">IF(H237="","",IFERROR(
  "https://sealeddeck.tech/" &amp; INDEX('Pool Changes'!F:F,
    MAX(
      ROW('Pool Changes'!A:A) *
      ('Pool Changes'!B:B=D237) *
      ('Pool Changes'!F:F&lt;&gt;"")
    )
  ),
  ""
))</f>
        <v>https://sealeddeck.tech/aUhdQHJ8Hd</v>
      </c>
      <c r="H237" s="139" t="str">
        <f>IFERROR(__xludf.DUMMYFUNCTION("LET(changes,FILTER('Pool Changes'!$B:$D, 'Pool Changes'!$B:$B = $D237),added,FILTER(INDEX(changes,0,3),INDEX(changes,0,2)=""starting pool""),TRANSPOSE(IFERROR(ARRAYFORMULA(IF(added&lt;&gt;"""",""https://sealeddeck.tech/""&amp;added,"""")),"""")))"),"https://sealeddeck.tech/Kutv66TjeY")</f>
        <v>https://sealeddeck.tech/Kutv66TjeY</v>
      </c>
      <c r="I237" s="139" t="str">
        <f>IFERROR(__xludf.DUMMYFUNCTION("LET(changes,FILTER('Pool Changes'!$B:$D, 'Pool Changes'!$B:$B = $D237),added,FILTER(INDEX(changes,0,3),INDEX(changes,0,2)=""add pack""),IFERROR(TRANSPOSE(ARRAYFORMULA(IF(added&lt;&gt;"""",HYPERLINK(""https://sealeddeck.tech/""&amp;added,""Link""),""""))),""""))"),"Link")</f>
        <v>Link</v>
      </c>
      <c r="J237" s="139" t="str">
        <f>IFERROR(__xludf.DUMMYFUNCTION("""COMPUTED_VALUE"""),"Link")</f>
        <v>Link</v>
      </c>
      <c r="K237" s="139" t="str">
        <f>IFERROR(__xludf.DUMMYFUNCTION("""COMPUTED_VALUE"""),"Link")</f>
        <v>Link</v>
      </c>
      <c r="L237" s="139" t="str">
        <f>IFERROR(__xludf.DUMMYFUNCTION("""COMPUTED_VALUE"""),"Link")</f>
        <v>Link</v>
      </c>
      <c r="M237" s="139" t="str">
        <f>IFERROR(__xludf.DUMMYFUNCTION("""COMPUTED_VALUE"""),"Link")</f>
        <v>Link</v>
      </c>
      <c r="N237" s="142" t="str">
        <f>IFERROR(__xludf.DUMMYFUNCTION("""COMPUTED_VALUE"""),"Link")</f>
        <v>Link</v>
      </c>
      <c r="O237" s="142" t="str">
        <f>IFERROR(__xludf.DUMMYFUNCTION("""COMPUTED_VALUE"""),"Link")</f>
        <v>Link</v>
      </c>
      <c r="P237" s="142" t="str">
        <f>IFERROR(__xludf.DUMMYFUNCTION("""COMPUTED_VALUE"""),"Link")</f>
        <v>Link</v>
      </c>
      <c r="Q237" s="139" t="str">
        <f>IFERROR(__xludf.DUMMYFUNCTION("""COMPUTED_VALUE"""),"Link")</f>
        <v>Link</v>
      </c>
      <c r="R237" s="139" t="str">
        <f>IFERROR(__xludf.DUMMYFUNCTION("""COMPUTED_VALUE"""),"Link")</f>
        <v>Link</v>
      </c>
      <c r="S237" s="141" t="str">
        <f t="shared" si="1"/>
        <v>https://sealeddeck.tech/H9jmyjFZVG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43" t="s">
        <v>8669</v>
      </c>
      <c r="B238" s="143" t="s">
        <v>8670</v>
      </c>
      <c r="C238" s="137" t="s">
        <v>8671</v>
      </c>
      <c r="D238" s="124" t="s">
        <v>413</v>
      </c>
      <c r="E238" s="138">
        <v>2.0</v>
      </c>
      <c r="F238" s="138">
        <v>11.0</v>
      </c>
      <c r="G238" s="139" t="str">
        <f t="array" ref="G238">IF(H238="","",IFERROR(
  "https://sealeddeck.tech/" &amp; INDEX('Pool Changes'!F:F,
    MAX(
      ROW('Pool Changes'!A:A) *
      ('Pool Changes'!B:B=D238) *
      ('Pool Changes'!F:F&lt;&gt;"")
    )
  ),
  ""
))</f>
        <v>https://sealeddeck.tech/m7pDJQdTXC</v>
      </c>
      <c r="H238" s="139" t="str">
        <f>IFERROR(__xludf.DUMMYFUNCTION("LET(changes,FILTER('Pool Changes'!$B:$D, 'Pool Changes'!$B:$B = $D238),added,FILTER(INDEX(changes,0,3),INDEX(changes,0,2)=""starting pool""),TRANSPOSE(IFERROR(ARRAYFORMULA(IF(added&lt;&gt;"""",""https://sealeddeck.tech/""&amp;added,"""")),"""")))"),"https://sealeddeck.tech/td1X8M3T8y")</f>
        <v>https://sealeddeck.tech/td1X8M3T8y</v>
      </c>
      <c r="I238" s="139" t="str">
        <f>IFERROR(__xludf.DUMMYFUNCTION("LET(changes,FILTER('Pool Changes'!$B:$D, 'Pool Changes'!$B:$B = $D238),added,FILTER(INDEX(changes,0,3),INDEX(changes,0,2)=""add pack""),IFERROR(TRANSPOSE(ARRAYFORMULA(IF(added&lt;&gt;"""",HYPERLINK(""https://sealeddeck.tech/""&amp;added,""Link""),""""))),""""))"),"Link")</f>
        <v>Link</v>
      </c>
      <c r="J238" s="139" t="str">
        <f>IFERROR(__xludf.DUMMYFUNCTION("""COMPUTED_VALUE"""),"Link")</f>
        <v>Link</v>
      </c>
      <c r="K238" s="139" t="str">
        <f>IFERROR(__xludf.DUMMYFUNCTION("""COMPUTED_VALUE"""),"Link")</f>
        <v>Link</v>
      </c>
      <c r="L238" s="139" t="str">
        <f>IFERROR(__xludf.DUMMYFUNCTION("""COMPUTED_VALUE"""),"Link")</f>
        <v>Link</v>
      </c>
      <c r="M238" s="139" t="str">
        <f>IFERROR(__xludf.DUMMYFUNCTION("""COMPUTED_VALUE"""),"Link")</f>
        <v>Link</v>
      </c>
      <c r="N238" s="142" t="str">
        <f>IFERROR(__xludf.DUMMYFUNCTION("""COMPUTED_VALUE"""),"Link")</f>
        <v>Link</v>
      </c>
      <c r="O238" s="142" t="str">
        <f>IFERROR(__xludf.DUMMYFUNCTION("""COMPUTED_VALUE"""),"Link")</f>
        <v>Link</v>
      </c>
      <c r="P238" s="142" t="str">
        <f>IFERROR(__xludf.DUMMYFUNCTION("""COMPUTED_VALUE"""),"Link")</f>
        <v>Link</v>
      </c>
      <c r="Q238" s="139" t="str">
        <f>IFERROR(__xludf.DUMMYFUNCTION("""COMPUTED_VALUE"""),"Link")</f>
        <v>Link</v>
      </c>
      <c r="R238" s="139" t="str">
        <f>IFERROR(__xludf.DUMMYFUNCTION("""COMPUTED_VALUE"""),"Link")</f>
        <v>Link</v>
      </c>
      <c r="S238" s="141" t="str">
        <f t="shared" si="1"/>
        <v>https://sealeddeck.tech/cM66BPyyNe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43" t="s">
        <v>8672</v>
      </c>
      <c r="B239" s="143" t="s">
        <v>8673</v>
      </c>
      <c r="C239" s="137" t="s">
        <v>8674</v>
      </c>
      <c r="D239" s="124" t="s">
        <v>368</v>
      </c>
      <c r="E239" s="138">
        <v>13.0</v>
      </c>
      <c r="F239" s="138">
        <v>11.0</v>
      </c>
      <c r="G239" s="139" t="str">
        <f t="array" ref="G239">IF(H239="","",IFERROR(
  "https://sealeddeck.tech/" &amp; INDEX('Pool Changes'!F:F,
    MAX(
      ROW('Pool Changes'!A:A) *
      ('Pool Changes'!B:B=D239) *
      ('Pool Changes'!F:F&lt;&gt;"")
    )
  ),
  ""
))</f>
        <v>https://sealeddeck.tech/CkhfFFD7d8</v>
      </c>
      <c r="H239" s="139" t="str">
        <f>IFERROR(__xludf.DUMMYFUNCTION("LET(changes,FILTER('Pool Changes'!$B:$D, 'Pool Changes'!$B:$B = $D239),added,FILTER(INDEX(changes,0,3),INDEX(changes,0,2)=""starting pool""),TRANSPOSE(IFERROR(ARRAYFORMULA(IF(added&lt;&gt;"""",""https://sealeddeck.tech/""&amp;added,"""")),"""")))"),"https://sealeddeck.tech/5ZTJJEnTfx")</f>
        <v>https://sealeddeck.tech/5ZTJJEnTfx</v>
      </c>
      <c r="I239" s="139" t="str">
        <f>IFERROR(__xludf.DUMMYFUNCTION("LET(changes,FILTER('Pool Changes'!$B:$D, 'Pool Changes'!$B:$B = $D239),added,FILTER(INDEX(changes,0,3),INDEX(changes,0,2)=""add pack""),IFERROR(TRANSPOSE(ARRAYFORMULA(IF(added&lt;&gt;"""",HYPERLINK(""https://sealeddeck.tech/""&amp;added,""Link""),""""))),""""))"),"Link")</f>
        <v>Link</v>
      </c>
      <c r="J239" s="139" t="str">
        <f>IFERROR(__xludf.DUMMYFUNCTION("""COMPUTED_VALUE"""),"Link")</f>
        <v>Link</v>
      </c>
      <c r="K239" s="139" t="str">
        <f>IFERROR(__xludf.DUMMYFUNCTION("""COMPUTED_VALUE"""),"Link")</f>
        <v>Link</v>
      </c>
      <c r="L239" s="139" t="str">
        <f>IFERROR(__xludf.DUMMYFUNCTION("""COMPUTED_VALUE"""),"Link")</f>
        <v>Link</v>
      </c>
      <c r="M239" s="139" t="str">
        <f>IFERROR(__xludf.DUMMYFUNCTION("""COMPUTED_VALUE"""),"Link")</f>
        <v>Link</v>
      </c>
      <c r="N239" s="142" t="str">
        <f>IFERROR(__xludf.DUMMYFUNCTION("""COMPUTED_VALUE"""),"Link")</f>
        <v>Link</v>
      </c>
      <c r="O239" s="142" t="str">
        <f>IFERROR(__xludf.DUMMYFUNCTION("""COMPUTED_VALUE"""),"Link")</f>
        <v>Link</v>
      </c>
      <c r="P239" s="142" t="str">
        <f>IFERROR(__xludf.DUMMYFUNCTION("""COMPUTED_VALUE"""),"Link")</f>
        <v>Link</v>
      </c>
      <c r="Q239" s="139" t="str">
        <f>IFERROR(__xludf.DUMMYFUNCTION("""COMPUTED_VALUE"""),"Link")</f>
        <v>Link</v>
      </c>
      <c r="R239" s="139" t="str">
        <f>IFERROR(__xludf.DUMMYFUNCTION("""COMPUTED_VALUE"""),"Link")</f>
        <v>Link</v>
      </c>
      <c r="S239" s="141" t="str">
        <f t="shared" si="1"/>
        <v>https://sealeddeck.tech/sQEp9uZcYN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43" t="s">
        <v>8675</v>
      </c>
      <c r="B240" s="143" t="s">
        <v>8676</v>
      </c>
      <c r="C240" s="137" t="s">
        <v>8677</v>
      </c>
      <c r="D240" s="124" t="s">
        <v>139</v>
      </c>
      <c r="E240" s="138">
        <v>11.0</v>
      </c>
      <c r="F240" s="138">
        <v>11.0</v>
      </c>
      <c r="G240" s="139" t="str">
        <f t="array" ref="G240">IF(H240="","",IFERROR(
  "https://sealeddeck.tech/" &amp; INDEX('Pool Changes'!F:F,
    MAX(
      ROW('Pool Changes'!A:A) *
      ('Pool Changes'!B:B=D240) *
      ('Pool Changes'!F:F&lt;&gt;"")
    )
  ),
  ""
))</f>
        <v>https://sealeddeck.tech/YoP7etJdQq</v>
      </c>
      <c r="H240" s="139" t="str">
        <f>IFERROR(__xludf.DUMMYFUNCTION("LET(changes,FILTER('Pool Changes'!$B:$D, 'Pool Changes'!$B:$B = $D240),added,FILTER(INDEX(changes,0,3),INDEX(changes,0,2)=""starting pool""),TRANSPOSE(IFERROR(ARRAYFORMULA(IF(added&lt;&gt;"""",""https://sealeddeck.tech/""&amp;added,"""")),"""")))"),"https://sealeddeck.tech/e3rytqzmrm")</f>
        <v>https://sealeddeck.tech/e3rytqzmrm</v>
      </c>
      <c r="I240" s="139" t="str">
        <f>IFERROR(__xludf.DUMMYFUNCTION("LET(changes,FILTER('Pool Changes'!$B:$D, 'Pool Changes'!$B:$B = $D240),added,FILTER(INDEX(changes,0,3),INDEX(changes,0,2)=""add pack""),IFERROR(TRANSPOSE(ARRAYFORMULA(IF(added&lt;&gt;"""",HYPERLINK(""https://sealeddeck.tech/""&amp;added,""Link""),""""))),""""))"),"Link")</f>
        <v>Link</v>
      </c>
      <c r="J240" s="139" t="str">
        <f>IFERROR(__xludf.DUMMYFUNCTION("""COMPUTED_VALUE"""),"Link")</f>
        <v>Link</v>
      </c>
      <c r="K240" s="139" t="str">
        <f>IFERROR(__xludf.DUMMYFUNCTION("""COMPUTED_VALUE"""),"Link")</f>
        <v>Link</v>
      </c>
      <c r="L240" s="139" t="str">
        <f>IFERROR(__xludf.DUMMYFUNCTION("""COMPUTED_VALUE"""),"Link")</f>
        <v>Link</v>
      </c>
      <c r="M240" s="139" t="str">
        <f>IFERROR(__xludf.DUMMYFUNCTION("""COMPUTED_VALUE"""),"Link")</f>
        <v>Link</v>
      </c>
      <c r="N240" s="142" t="str">
        <f>IFERROR(__xludf.DUMMYFUNCTION("""COMPUTED_VALUE"""),"Link")</f>
        <v>Link</v>
      </c>
      <c r="O240" s="142" t="str">
        <f>IFERROR(__xludf.DUMMYFUNCTION("""COMPUTED_VALUE"""),"Link")</f>
        <v>Link</v>
      </c>
      <c r="P240" s="142" t="str">
        <f>IFERROR(__xludf.DUMMYFUNCTION("""COMPUTED_VALUE"""),"Link")</f>
        <v>Link</v>
      </c>
      <c r="Q240" s="139" t="str">
        <f>IFERROR(__xludf.DUMMYFUNCTION("""COMPUTED_VALUE"""),"Link")</f>
        <v>Link</v>
      </c>
      <c r="R240" s="139" t="str">
        <f>IFERROR(__xludf.DUMMYFUNCTION("""COMPUTED_VALUE"""),"Link")</f>
        <v>Link</v>
      </c>
      <c r="S240" s="141" t="str">
        <f t="shared" si="1"/>
        <v>https://sealeddeck.tech/QipaKcXpfx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65"/>
      <c r="B241" s="65"/>
      <c r="C241" s="65"/>
      <c r="D241" s="65"/>
      <c r="E241" s="65"/>
      <c r="F241" s="6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65"/>
      <c r="B242" s="65"/>
      <c r="C242" s="65"/>
      <c r="D242" s="65"/>
      <c r="E242" s="65"/>
      <c r="F242" s="6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65"/>
      <c r="B243" s="65"/>
      <c r="C243" s="65"/>
      <c r="D243" s="65"/>
      <c r="E243" s="65"/>
      <c r="F243" s="6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65"/>
      <c r="B244" s="65"/>
      <c r="C244" s="65"/>
      <c r="D244" s="65"/>
      <c r="E244" s="65"/>
      <c r="F244" s="6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65"/>
      <c r="B245" s="65"/>
      <c r="C245" s="65"/>
      <c r="D245" s="65"/>
      <c r="E245" s="65"/>
      <c r="F245" s="6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65"/>
      <c r="B246" s="65"/>
      <c r="C246" s="65"/>
      <c r="D246" s="65"/>
      <c r="E246" s="65"/>
      <c r="F246" s="6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65"/>
      <c r="B247" s="65"/>
      <c r="C247" s="65"/>
      <c r="D247" s="65"/>
      <c r="E247" s="65"/>
      <c r="F247" s="6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65"/>
      <c r="B248" s="65"/>
      <c r="C248" s="65"/>
      <c r="D248" s="65"/>
      <c r="E248" s="65"/>
      <c r="F248" s="6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65"/>
      <c r="B249" s="65"/>
      <c r="C249" s="65"/>
      <c r="D249" s="65"/>
      <c r="E249" s="65"/>
      <c r="F249" s="6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65"/>
      <c r="B250" s="65"/>
      <c r="C250" s="65"/>
      <c r="D250" s="65"/>
      <c r="E250" s="65"/>
      <c r="F250" s="6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65"/>
      <c r="B251" s="65"/>
      <c r="C251" s="65"/>
      <c r="D251" s="65"/>
      <c r="E251" s="65"/>
      <c r="F251" s="6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65"/>
      <c r="B252" s="65"/>
      <c r="C252" s="65"/>
      <c r="D252" s="65"/>
      <c r="E252" s="65"/>
      <c r="F252" s="6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65"/>
      <c r="B253" s="65"/>
      <c r="C253" s="65"/>
      <c r="D253" s="65"/>
      <c r="E253" s="65"/>
      <c r="F253" s="6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65"/>
      <c r="B254" s="65"/>
      <c r="C254" s="65"/>
      <c r="D254" s="65"/>
      <c r="E254" s="65"/>
      <c r="F254" s="6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65"/>
      <c r="B255" s="65"/>
      <c r="C255" s="65"/>
      <c r="D255" s="65"/>
      <c r="E255" s="65"/>
      <c r="F255" s="6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65"/>
      <c r="B256" s="65"/>
      <c r="C256" s="65"/>
      <c r="D256" s="65"/>
      <c r="E256" s="65"/>
      <c r="F256" s="6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65"/>
      <c r="B257" s="65"/>
      <c r="C257" s="65"/>
      <c r="D257" s="65"/>
      <c r="E257" s="65"/>
      <c r="F257" s="6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65"/>
      <c r="B258" s="65"/>
      <c r="C258" s="65"/>
      <c r="D258" s="65"/>
      <c r="E258" s="65"/>
      <c r="F258" s="6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65"/>
      <c r="B259" s="65"/>
      <c r="C259" s="65"/>
      <c r="D259" s="65"/>
      <c r="E259" s="65"/>
      <c r="F259" s="6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65"/>
      <c r="B260" s="65"/>
      <c r="C260" s="65"/>
      <c r="D260" s="65"/>
      <c r="E260" s="65"/>
      <c r="F260" s="6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65"/>
      <c r="B261" s="65"/>
      <c r="C261" s="65"/>
      <c r="D261" s="65"/>
      <c r="E261" s="65"/>
      <c r="F261" s="6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65"/>
      <c r="B262" s="65"/>
      <c r="C262" s="65"/>
      <c r="D262" s="65"/>
      <c r="E262" s="65"/>
      <c r="F262" s="6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65"/>
      <c r="B263" s="65"/>
      <c r="C263" s="65"/>
      <c r="D263" s="65"/>
      <c r="E263" s="65"/>
      <c r="F263" s="6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65"/>
      <c r="B264" s="65"/>
      <c r="C264" s="65"/>
      <c r="D264" s="65"/>
      <c r="E264" s="65"/>
      <c r="F264" s="6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65"/>
      <c r="B265" s="65"/>
      <c r="C265" s="65"/>
      <c r="D265" s="65"/>
      <c r="E265" s="65"/>
      <c r="F265" s="6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65"/>
      <c r="B266" s="65"/>
      <c r="C266" s="65"/>
      <c r="D266" s="65"/>
      <c r="E266" s="65"/>
      <c r="F266" s="6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65"/>
      <c r="B267" s="65"/>
      <c r="C267" s="65"/>
      <c r="D267" s="65"/>
      <c r="E267" s="65"/>
      <c r="F267" s="6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65"/>
      <c r="B268" s="65"/>
      <c r="C268" s="65"/>
      <c r="D268" s="65"/>
      <c r="E268" s="65"/>
      <c r="F268" s="6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65"/>
      <c r="B269" s="65"/>
      <c r="C269" s="65"/>
      <c r="D269" s="65"/>
      <c r="E269" s="65"/>
      <c r="F269" s="6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65"/>
      <c r="B270" s="65"/>
      <c r="C270" s="65"/>
      <c r="D270" s="65"/>
      <c r="E270" s="65"/>
      <c r="F270" s="6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65"/>
      <c r="B271" s="65"/>
      <c r="C271" s="65"/>
      <c r="D271" s="65"/>
      <c r="E271" s="65"/>
      <c r="F271" s="6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65"/>
      <c r="B272" s="65"/>
      <c r="C272" s="65"/>
      <c r="D272" s="65"/>
      <c r="E272" s="65"/>
      <c r="F272" s="6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65"/>
      <c r="B273" s="65"/>
      <c r="C273" s="65"/>
      <c r="D273" s="65"/>
      <c r="E273" s="65"/>
      <c r="F273" s="6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65"/>
      <c r="B274" s="65"/>
      <c r="C274" s="65"/>
      <c r="D274" s="65"/>
      <c r="E274" s="65"/>
      <c r="F274" s="6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65"/>
      <c r="B275" s="65"/>
      <c r="C275" s="65"/>
      <c r="D275" s="65"/>
      <c r="E275" s="65"/>
      <c r="F275" s="6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65"/>
      <c r="B276" s="65"/>
      <c r="C276" s="65"/>
      <c r="D276" s="65"/>
      <c r="E276" s="65"/>
      <c r="F276" s="6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65"/>
      <c r="B277" s="65"/>
      <c r="C277" s="65"/>
      <c r="D277" s="65"/>
      <c r="E277" s="65"/>
      <c r="F277" s="6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65"/>
      <c r="B278" s="65"/>
      <c r="C278" s="65"/>
      <c r="D278" s="65"/>
      <c r="E278" s="65"/>
      <c r="F278" s="6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65"/>
      <c r="B279" s="65"/>
      <c r="C279" s="65"/>
      <c r="D279" s="65"/>
      <c r="E279" s="65"/>
      <c r="F279" s="6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65"/>
      <c r="B280" s="65"/>
      <c r="C280" s="65"/>
      <c r="D280" s="65"/>
      <c r="E280" s="65"/>
      <c r="F280" s="6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65"/>
      <c r="B281" s="65"/>
      <c r="C281" s="65"/>
      <c r="D281" s="65"/>
      <c r="E281" s="65"/>
      <c r="F281" s="6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65"/>
      <c r="B282" s="65"/>
      <c r="C282" s="65"/>
      <c r="D282" s="65"/>
      <c r="E282" s="65"/>
      <c r="F282" s="6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65"/>
      <c r="B283" s="65"/>
      <c r="C283" s="65"/>
      <c r="D283" s="65"/>
      <c r="E283" s="65"/>
      <c r="F283" s="6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65"/>
      <c r="B284" s="65"/>
      <c r="C284" s="65"/>
      <c r="D284" s="65"/>
      <c r="E284" s="65"/>
      <c r="F284" s="6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65"/>
      <c r="B285" s="65"/>
      <c r="C285" s="65"/>
      <c r="D285" s="65"/>
      <c r="E285" s="65"/>
      <c r="F285" s="6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65"/>
      <c r="B286" s="65"/>
      <c r="C286" s="65"/>
      <c r="D286" s="65"/>
      <c r="E286" s="65"/>
      <c r="F286" s="6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65"/>
      <c r="B287" s="65"/>
      <c r="C287" s="65"/>
      <c r="D287" s="65"/>
      <c r="E287" s="65"/>
      <c r="F287" s="6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65"/>
      <c r="B288" s="65"/>
      <c r="C288" s="65"/>
      <c r="D288" s="65"/>
      <c r="E288" s="65"/>
      <c r="F288" s="6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65"/>
      <c r="B289" s="65"/>
      <c r="C289" s="65"/>
      <c r="D289" s="65"/>
      <c r="E289" s="65"/>
      <c r="F289" s="6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65"/>
      <c r="B290" s="65"/>
      <c r="C290" s="65"/>
      <c r="D290" s="65"/>
      <c r="E290" s="65"/>
      <c r="F290" s="6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65"/>
      <c r="B291" s="65"/>
      <c r="C291" s="65"/>
      <c r="D291" s="65"/>
      <c r="E291" s="65"/>
      <c r="F291" s="6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65"/>
      <c r="B292" s="65"/>
      <c r="C292" s="65"/>
      <c r="D292" s="65"/>
      <c r="E292" s="65"/>
      <c r="F292" s="6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65"/>
      <c r="B293" s="65"/>
      <c r="C293" s="65"/>
      <c r="D293" s="65"/>
      <c r="E293" s="65"/>
      <c r="F293" s="6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65"/>
      <c r="B294" s="65"/>
      <c r="C294" s="65"/>
      <c r="D294" s="65"/>
      <c r="E294" s="65"/>
      <c r="F294" s="6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65"/>
      <c r="B295" s="65"/>
      <c r="C295" s="65"/>
      <c r="D295" s="65"/>
      <c r="E295" s="65"/>
      <c r="F295" s="6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65"/>
      <c r="B296" s="65"/>
      <c r="C296" s="65"/>
      <c r="D296" s="65"/>
      <c r="E296" s="65"/>
      <c r="F296" s="6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65"/>
      <c r="B297" s="65"/>
      <c r="C297" s="65"/>
      <c r="D297" s="65"/>
      <c r="E297" s="65"/>
      <c r="F297" s="6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65"/>
      <c r="B298" s="65"/>
      <c r="C298" s="65"/>
      <c r="D298" s="65"/>
      <c r="E298" s="65"/>
      <c r="F298" s="6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65"/>
      <c r="B299" s="65"/>
      <c r="C299" s="65"/>
      <c r="D299" s="65"/>
      <c r="E299" s="65"/>
      <c r="F299" s="6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65"/>
      <c r="B300" s="65"/>
      <c r="C300" s="65"/>
      <c r="D300" s="65"/>
      <c r="E300" s="65"/>
      <c r="F300" s="6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65"/>
      <c r="B301" s="65"/>
      <c r="C301" s="65"/>
      <c r="D301" s="65"/>
      <c r="E301" s="65"/>
      <c r="F301" s="6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65"/>
      <c r="B302" s="65"/>
      <c r="C302" s="65"/>
      <c r="D302" s="65"/>
      <c r="E302" s="65"/>
      <c r="F302" s="6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65"/>
      <c r="B303" s="65"/>
      <c r="C303" s="65"/>
      <c r="D303" s="65"/>
      <c r="E303" s="65"/>
      <c r="F303" s="6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65"/>
      <c r="B304" s="65"/>
      <c r="C304" s="65"/>
      <c r="D304" s="65"/>
      <c r="E304" s="65"/>
      <c r="F304" s="6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65"/>
      <c r="B305" s="65"/>
      <c r="C305" s="65"/>
      <c r="D305" s="65"/>
      <c r="E305" s="65"/>
      <c r="F305" s="6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65"/>
      <c r="B306" s="65"/>
      <c r="C306" s="65"/>
      <c r="D306" s="65"/>
      <c r="E306" s="65"/>
      <c r="F306" s="6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65"/>
      <c r="B307" s="65"/>
      <c r="C307" s="65"/>
      <c r="D307" s="65"/>
      <c r="E307" s="65"/>
      <c r="F307" s="6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65"/>
      <c r="B308" s="65"/>
      <c r="C308" s="65"/>
      <c r="D308" s="65"/>
      <c r="E308" s="65"/>
      <c r="F308" s="6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65"/>
      <c r="B309" s="65"/>
      <c r="C309" s="65"/>
      <c r="D309" s="65"/>
      <c r="E309" s="65"/>
      <c r="F309" s="6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65"/>
      <c r="B310" s="65"/>
      <c r="C310" s="65"/>
      <c r="D310" s="65"/>
      <c r="E310" s="65"/>
      <c r="F310" s="6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65"/>
      <c r="B311" s="65"/>
      <c r="C311" s="65"/>
      <c r="D311" s="65"/>
      <c r="E311" s="65"/>
      <c r="F311" s="6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65"/>
      <c r="B312" s="65"/>
      <c r="C312" s="65"/>
      <c r="D312" s="65"/>
      <c r="E312" s="65"/>
      <c r="F312" s="6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65"/>
      <c r="B313" s="65"/>
      <c r="C313" s="65"/>
      <c r="D313" s="65"/>
      <c r="E313" s="65"/>
      <c r="F313" s="6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65"/>
      <c r="B314" s="65"/>
      <c r="C314" s="65"/>
      <c r="D314" s="65"/>
      <c r="E314" s="65"/>
      <c r="F314" s="6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65"/>
      <c r="B315" s="65"/>
      <c r="C315" s="65"/>
      <c r="D315" s="65"/>
      <c r="E315" s="65"/>
      <c r="F315" s="6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65"/>
      <c r="B316" s="65"/>
      <c r="C316" s="65"/>
      <c r="D316" s="65"/>
      <c r="E316" s="65"/>
      <c r="F316" s="6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65"/>
      <c r="B317" s="65"/>
      <c r="C317" s="65"/>
      <c r="D317" s="65"/>
      <c r="E317" s="65"/>
      <c r="F317" s="6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65"/>
      <c r="B318" s="65"/>
      <c r="C318" s="65"/>
      <c r="D318" s="65"/>
      <c r="E318" s="65"/>
      <c r="F318" s="6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65"/>
      <c r="B319" s="65"/>
      <c r="C319" s="65"/>
      <c r="D319" s="65"/>
      <c r="E319" s="65"/>
      <c r="F319" s="6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65"/>
      <c r="B320" s="65"/>
      <c r="C320" s="65"/>
      <c r="D320" s="65"/>
      <c r="E320" s="65"/>
      <c r="F320" s="6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65"/>
      <c r="B321" s="65"/>
      <c r="C321" s="65"/>
      <c r="D321" s="65"/>
      <c r="E321" s="65"/>
      <c r="F321" s="6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65"/>
      <c r="B322" s="65"/>
      <c r="C322" s="65"/>
      <c r="D322" s="65"/>
      <c r="E322" s="65"/>
      <c r="F322" s="6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65"/>
      <c r="B323" s="65"/>
      <c r="C323" s="65"/>
      <c r="D323" s="65"/>
      <c r="E323" s="65"/>
      <c r="F323" s="6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65"/>
      <c r="B324" s="65"/>
      <c r="C324" s="65"/>
      <c r="D324" s="65"/>
      <c r="E324" s="65"/>
      <c r="F324" s="6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65"/>
      <c r="B325" s="65"/>
      <c r="C325" s="65"/>
      <c r="D325" s="65"/>
      <c r="E325" s="65"/>
      <c r="F325" s="6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65"/>
      <c r="B326" s="65"/>
      <c r="C326" s="65"/>
      <c r="D326" s="65"/>
      <c r="E326" s="65"/>
      <c r="F326" s="6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65"/>
      <c r="B327" s="65"/>
      <c r="C327" s="65"/>
      <c r="D327" s="65"/>
      <c r="E327" s="65"/>
      <c r="F327" s="6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65"/>
      <c r="B328" s="65"/>
      <c r="C328" s="65"/>
      <c r="D328" s="65"/>
      <c r="E328" s="65"/>
      <c r="F328" s="6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65"/>
      <c r="B329" s="65"/>
      <c r="C329" s="65"/>
      <c r="D329" s="65"/>
      <c r="E329" s="65"/>
      <c r="F329" s="6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65"/>
      <c r="B330" s="65"/>
      <c r="C330" s="65"/>
      <c r="D330" s="65"/>
      <c r="E330" s="65"/>
      <c r="F330" s="6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65"/>
      <c r="B331" s="65"/>
      <c r="C331" s="65"/>
      <c r="D331" s="65"/>
      <c r="E331" s="65"/>
      <c r="F331" s="6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65"/>
      <c r="B332" s="65"/>
      <c r="C332" s="65"/>
      <c r="D332" s="65"/>
      <c r="E332" s="65"/>
      <c r="F332" s="6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65"/>
      <c r="B333" s="65"/>
      <c r="C333" s="65"/>
      <c r="D333" s="65"/>
      <c r="E333" s="65"/>
      <c r="F333" s="6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65"/>
      <c r="B334" s="65"/>
      <c r="C334" s="65"/>
      <c r="D334" s="65"/>
      <c r="E334" s="65"/>
      <c r="F334" s="6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65"/>
      <c r="B335" s="65"/>
      <c r="C335" s="65"/>
      <c r="D335" s="65"/>
      <c r="E335" s="65"/>
      <c r="F335" s="6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65"/>
      <c r="B336" s="65"/>
      <c r="C336" s="65"/>
      <c r="D336" s="65"/>
      <c r="E336" s="65"/>
      <c r="F336" s="6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65"/>
      <c r="B337" s="65"/>
      <c r="C337" s="65"/>
      <c r="D337" s="65"/>
      <c r="E337" s="65"/>
      <c r="F337" s="6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65"/>
      <c r="B338" s="65"/>
      <c r="C338" s="65"/>
      <c r="D338" s="65"/>
      <c r="E338" s="65"/>
      <c r="F338" s="6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65"/>
      <c r="B339" s="65"/>
      <c r="C339" s="65"/>
      <c r="D339" s="65"/>
      <c r="E339" s="65"/>
      <c r="F339" s="6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65"/>
      <c r="B340" s="65"/>
      <c r="C340" s="65"/>
      <c r="D340" s="65"/>
      <c r="E340" s="65"/>
      <c r="F340" s="6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65"/>
      <c r="B341" s="65"/>
      <c r="C341" s="65"/>
      <c r="D341" s="65"/>
      <c r="E341" s="65"/>
      <c r="F341" s="6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65"/>
      <c r="B342" s="65"/>
      <c r="C342" s="65"/>
      <c r="D342" s="65"/>
      <c r="E342" s="65"/>
      <c r="F342" s="6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65"/>
      <c r="B343" s="65"/>
      <c r="C343" s="65"/>
      <c r="D343" s="65"/>
      <c r="E343" s="65"/>
      <c r="F343" s="6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65"/>
      <c r="B344" s="65"/>
      <c r="C344" s="65"/>
      <c r="D344" s="65"/>
      <c r="E344" s="65"/>
      <c r="F344" s="6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65"/>
      <c r="B345" s="65"/>
      <c r="C345" s="65"/>
      <c r="D345" s="65"/>
      <c r="E345" s="65"/>
      <c r="F345" s="6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65"/>
      <c r="B346" s="65"/>
      <c r="C346" s="65"/>
      <c r="D346" s="65"/>
      <c r="E346" s="65"/>
      <c r="F346" s="6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65"/>
      <c r="B347" s="65"/>
      <c r="C347" s="65"/>
      <c r="D347" s="65"/>
      <c r="E347" s="65"/>
      <c r="F347" s="6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65"/>
      <c r="B348" s="65"/>
      <c r="C348" s="65"/>
      <c r="D348" s="65"/>
      <c r="E348" s="65"/>
      <c r="F348" s="6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65"/>
      <c r="B349" s="65"/>
      <c r="C349" s="65"/>
      <c r="D349" s="65"/>
      <c r="E349" s="65"/>
      <c r="F349" s="6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65"/>
      <c r="B350" s="65"/>
      <c r="C350" s="65"/>
      <c r="D350" s="65"/>
      <c r="E350" s="65"/>
      <c r="F350" s="6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65"/>
      <c r="B351" s="65"/>
      <c r="C351" s="65"/>
      <c r="D351" s="65"/>
      <c r="E351" s="65"/>
      <c r="F351" s="6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65"/>
      <c r="B352" s="65"/>
      <c r="C352" s="65"/>
      <c r="D352" s="65"/>
      <c r="E352" s="65"/>
      <c r="F352" s="6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65"/>
      <c r="B353" s="65"/>
      <c r="C353" s="65"/>
      <c r="D353" s="65"/>
      <c r="E353" s="65"/>
      <c r="F353" s="6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65"/>
      <c r="B354" s="65"/>
      <c r="C354" s="65"/>
      <c r="D354" s="65"/>
      <c r="E354" s="65"/>
      <c r="F354" s="6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65"/>
      <c r="B355" s="65"/>
      <c r="C355" s="65"/>
      <c r="D355" s="65"/>
      <c r="E355" s="65"/>
      <c r="F355" s="6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65"/>
      <c r="B356" s="65"/>
      <c r="C356" s="65"/>
      <c r="D356" s="65"/>
      <c r="E356" s="65"/>
      <c r="F356" s="6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65"/>
      <c r="B357" s="65"/>
      <c r="C357" s="65"/>
      <c r="D357" s="65"/>
      <c r="E357" s="65"/>
      <c r="F357" s="6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65"/>
      <c r="B358" s="65"/>
      <c r="C358" s="65"/>
      <c r="D358" s="65"/>
      <c r="E358" s="65"/>
      <c r="F358" s="6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65"/>
      <c r="B359" s="65"/>
      <c r="C359" s="65"/>
      <c r="D359" s="65"/>
      <c r="E359" s="65"/>
      <c r="F359" s="6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65"/>
      <c r="B360" s="65"/>
      <c r="C360" s="65"/>
      <c r="D360" s="65"/>
      <c r="E360" s="65"/>
      <c r="F360" s="6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65"/>
      <c r="B361" s="65"/>
      <c r="C361" s="65"/>
      <c r="D361" s="65"/>
      <c r="E361" s="65"/>
      <c r="F361" s="6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65"/>
      <c r="B362" s="65"/>
      <c r="C362" s="65"/>
      <c r="D362" s="65"/>
      <c r="E362" s="65"/>
      <c r="F362" s="6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65"/>
      <c r="B363" s="65"/>
      <c r="C363" s="65"/>
      <c r="D363" s="65"/>
      <c r="E363" s="65"/>
      <c r="F363" s="6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65"/>
      <c r="B364" s="65"/>
      <c r="C364" s="65"/>
      <c r="D364" s="65"/>
      <c r="E364" s="65"/>
      <c r="F364" s="6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65"/>
      <c r="B365" s="65"/>
      <c r="C365" s="65"/>
      <c r="D365" s="65"/>
      <c r="E365" s="65"/>
      <c r="F365" s="6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65"/>
      <c r="B366" s="65"/>
      <c r="C366" s="65"/>
      <c r="D366" s="65"/>
      <c r="E366" s="65"/>
      <c r="F366" s="6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65"/>
      <c r="B367" s="65"/>
      <c r="C367" s="65"/>
      <c r="D367" s="65"/>
      <c r="E367" s="65"/>
      <c r="F367" s="6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65"/>
      <c r="B368" s="65"/>
      <c r="C368" s="65"/>
      <c r="D368" s="65"/>
      <c r="E368" s="65"/>
      <c r="F368" s="6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65"/>
      <c r="B369" s="65"/>
      <c r="C369" s="65"/>
      <c r="D369" s="65"/>
      <c r="E369" s="65"/>
      <c r="F369" s="6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65"/>
      <c r="B370" s="65"/>
      <c r="C370" s="65"/>
      <c r="D370" s="65"/>
      <c r="E370" s="65"/>
      <c r="F370" s="6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65"/>
      <c r="B371" s="65"/>
      <c r="C371" s="65"/>
      <c r="D371" s="65"/>
      <c r="E371" s="65"/>
      <c r="F371" s="6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65"/>
      <c r="B372" s="65"/>
      <c r="C372" s="65"/>
      <c r="D372" s="65"/>
      <c r="E372" s="65"/>
      <c r="F372" s="6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65"/>
      <c r="B373" s="65"/>
      <c r="C373" s="65"/>
      <c r="D373" s="65"/>
      <c r="E373" s="65"/>
      <c r="F373" s="6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65"/>
      <c r="B374" s="65"/>
      <c r="C374" s="65"/>
      <c r="D374" s="65"/>
      <c r="E374" s="65"/>
      <c r="F374" s="6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65"/>
      <c r="B375" s="65"/>
      <c r="C375" s="65"/>
      <c r="D375" s="65"/>
      <c r="E375" s="65"/>
      <c r="F375" s="6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65"/>
      <c r="B376" s="65"/>
      <c r="C376" s="65"/>
      <c r="D376" s="65"/>
      <c r="E376" s="65"/>
      <c r="F376" s="6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65"/>
      <c r="B377" s="65"/>
      <c r="C377" s="65"/>
      <c r="D377" s="65"/>
      <c r="E377" s="65"/>
      <c r="F377" s="6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65"/>
      <c r="B378" s="65"/>
      <c r="C378" s="65"/>
      <c r="D378" s="65"/>
      <c r="E378" s="65"/>
      <c r="F378" s="6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65"/>
      <c r="B379" s="65"/>
      <c r="C379" s="65"/>
      <c r="D379" s="65"/>
      <c r="E379" s="65"/>
      <c r="F379" s="6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65"/>
      <c r="B380" s="65"/>
      <c r="C380" s="65"/>
      <c r="D380" s="65"/>
      <c r="E380" s="65"/>
      <c r="F380" s="6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65"/>
      <c r="B381" s="65"/>
      <c r="C381" s="65"/>
      <c r="D381" s="65"/>
      <c r="E381" s="65"/>
      <c r="F381" s="6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65"/>
      <c r="B382" s="65"/>
      <c r="C382" s="65"/>
      <c r="D382" s="65"/>
      <c r="E382" s="65"/>
      <c r="F382" s="6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65"/>
      <c r="B383" s="65"/>
      <c r="C383" s="65"/>
      <c r="D383" s="65"/>
      <c r="E383" s="65"/>
      <c r="F383" s="6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65"/>
      <c r="B384" s="65"/>
      <c r="C384" s="65"/>
      <c r="D384" s="65"/>
      <c r="E384" s="65"/>
      <c r="F384" s="6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65"/>
      <c r="B385" s="65"/>
      <c r="C385" s="65"/>
      <c r="D385" s="65"/>
      <c r="E385" s="65"/>
      <c r="F385" s="6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65"/>
      <c r="B386" s="65"/>
      <c r="C386" s="65"/>
      <c r="D386" s="65"/>
      <c r="E386" s="65"/>
      <c r="F386" s="6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65"/>
      <c r="B387" s="65"/>
      <c r="C387" s="65"/>
      <c r="D387" s="65"/>
      <c r="E387" s="65"/>
      <c r="F387" s="6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65"/>
      <c r="B388" s="65"/>
      <c r="C388" s="65"/>
      <c r="D388" s="65"/>
      <c r="E388" s="65"/>
      <c r="F388" s="6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65"/>
      <c r="B389" s="65"/>
      <c r="C389" s="65"/>
      <c r="D389" s="65"/>
      <c r="E389" s="65"/>
      <c r="F389" s="6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65"/>
      <c r="B390" s="65"/>
      <c r="C390" s="65"/>
      <c r="D390" s="65"/>
      <c r="E390" s="65"/>
      <c r="F390" s="6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65"/>
      <c r="B391" s="65"/>
      <c r="C391" s="65"/>
      <c r="D391" s="65"/>
      <c r="E391" s="65"/>
      <c r="F391" s="6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65"/>
      <c r="B392" s="65"/>
      <c r="C392" s="65"/>
      <c r="D392" s="65"/>
      <c r="E392" s="65"/>
      <c r="F392" s="6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65"/>
      <c r="B393" s="65"/>
      <c r="C393" s="65"/>
      <c r="D393" s="65"/>
      <c r="E393" s="65"/>
      <c r="F393" s="6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65"/>
      <c r="B394" s="65"/>
      <c r="C394" s="65"/>
      <c r="D394" s="65"/>
      <c r="E394" s="65"/>
      <c r="F394" s="6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65"/>
      <c r="B395" s="65"/>
      <c r="C395" s="65"/>
      <c r="D395" s="65"/>
      <c r="E395" s="65"/>
      <c r="F395" s="6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65"/>
      <c r="B396" s="65"/>
      <c r="C396" s="65"/>
      <c r="D396" s="65"/>
      <c r="E396" s="65"/>
      <c r="F396" s="6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65"/>
      <c r="B397" s="65"/>
      <c r="C397" s="65"/>
      <c r="D397" s="65"/>
      <c r="E397" s="65"/>
      <c r="F397" s="6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65"/>
      <c r="B398" s="65"/>
      <c r="C398" s="65"/>
      <c r="D398" s="65"/>
      <c r="E398" s="65"/>
      <c r="F398" s="6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65"/>
      <c r="B399" s="65"/>
      <c r="C399" s="65"/>
      <c r="D399" s="65"/>
      <c r="E399" s="65"/>
      <c r="F399" s="6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65"/>
      <c r="B400" s="65"/>
      <c r="C400" s="65"/>
      <c r="D400" s="65"/>
      <c r="E400" s="65"/>
      <c r="F400" s="6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65"/>
      <c r="B401" s="65"/>
      <c r="C401" s="65"/>
      <c r="D401" s="65"/>
      <c r="E401" s="65"/>
      <c r="F401" s="6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65"/>
      <c r="B402" s="65"/>
      <c r="C402" s="65"/>
      <c r="D402" s="65"/>
      <c r="E402" s="65"/>
      <c r="F402" s="6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65"/>
      <c r="B403" s="65"/>
      <c r="C403" s="65"/>
      <c r="D403" s="65"/>
      <c r="E403" s="65"/>
      <c r="F403" s="6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65"/>
      <c r="B404" s="65"/>
      <c r="C404" s="65"/>
      <c r="D404" s="65"/>
      <c r="E404" s="65"/>
      <c r="F404" s="6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65"/>
      <c r="B405" s="65"/>
      <c r="C405" s="65"/>
      <c r="D405" s="65"/>
      <c r="E405" s="65"/>
      <c r="F405" s="6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65"/>
      <c r="B406" s="65"/>
      <c r="C406" s="65"/>
      <c r="D406" s="65"/>
      <c r="E406" s="65"/>
      <c r="F406" s="6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65"/>
      <c r="B407" s="65"/>
      <c r="C407" s="65"/>
      <c r="D407" s="65"/>
      <c r="E407" s="65"/>
      <c r="F407" s="6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65"/>
      <c r="B408" s="65"/>
      <c r="C408" s="65"/>
      <c r="D408" s="65"/>
      <c r="E408" s="65"/>
      <c r="F408" s="6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65"/>
      <c r="B409" s="65"/>
      <c r="C409" s="65"/>
      <c r="D409" s="65"/>
      <c r="E409" s="65"/>
      <c r="F409" s="6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65"/>
      <c r="B410" s="65"/>
      <c r="C410" s="65"/>
      <c r="D410" s="65"/>
      <c r="E410" s="65"/>
      <c r="F410" s="6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65"/>
      <c r="B411" s="65"/>
      <c r="C411" s="65"/>
      <c r="D411" s="65"/>
      <c r="E411" s="65"/>
      <c r="F411" s="6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65"/>
      <c r="B412" s="65"/>
      <c r="C412" s="65"/>
      <c r="D412" s="65"/>
      <c r="E412" s="65"/>
      <c r="F412" s="6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65"/>
      <c r="B413" s="65"/>
      <c r="C413" s="65"/>
      <c r="D413" s="65"/>
      <c r="E413" s="65"/>
      <c r="F413" s="6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65"/>
      <c r="B414" s="65"/>
      <c r="C414" s="65"/>
      <c r="D414" s="65"/>
      <c r="E414" s="65"/>
      <c r="F414" s="6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65"/>
      <c r="B415" s="65"/>
      <c r="C415" s="65"/>
      <c r="D415" s="65"/>
      <c r="E415" s="65"/>
      <c r="F415" s="6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65"/>
      <c r="B416" s="65"/>
      <c r="C416" s="65"/>
      <c r="D416" s="65"/>
      <c r="E416" s="65"/>
      <c r="F416" s="6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65"/>
      <c r="B417" s="65"/>
      <c r="C417" s="65"/>
      <c r="D417" s="65"/>
      <c r="E417" s="65"/>
      <c r="F417" s="6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65"/>
      <c r="B418" s="65"/>
      <c r="C418" s="65"/>
      <c r="D418" s="65"/>
      <c r="E418" s="65"/>
      <c r="F418" s="6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65"/>
      <c r="B419" s="65"/>
      <c r="C419" s="65"/>
      <c r="D419" s="65"/>
      <c r="E419" s="65"/>
      <c r="F419" s="6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65"/>
      <c r="B420" s="65"/>
      <c r="C420" s="65"/>
      <c r="D420" s="65"/>
      <c r="E420" s="65"/>
      <c r="F420" s="6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65"/>
      <c r="B421" s="65"/>
      <c r="C421" s="65"/>
      <c r="D421" s="65"/>
      <c r="E421" s="65"/>
      <c r="F421" s="6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65"/>
      <c r="B422" s="65"/>
      <c r="C422" s="65"/>
      <c r="D422" s="65"/>
      <c r="E422" s="65"/>
      <c r="F422" s="6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65"/>
      <c r="B423" s="65"/>
      <c r="C423" s="65"/>
      <c r="D423" s="65"/>
      <c r="E423" s="65"/>
      <c r="F423" s="6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65"/>
      <c r="B424" s="65"/>
      <c r="C424" s="65"/>
      <c r="D424" s="65"/>
      <c r="E424" s="65"/>
      <c r="F424" s="6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65"/>
      <c r="B425" s="65"/>
      <c r="C425" s="65"/>
      <c r="D425" s="65"/>
      <c r="E425" s="65"/>
      <c r="F425" s="6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65"/>
      <c r="B426" s="65"/>
      <c r="C426" s="65"/>
      <c r="D426" s="65"/>
      <c r="E426" s="65"/>
      <c r="F426" s="6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65"/>
      <c r="B427" s="65"/>
      <c r="C427" s="65"/>
      <c r="D427" s="65"/>
      <c r="E427" s="65"/>
      <c r="F427" s="6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65"/>
      <c r="B428" s="65"/>
      <c r="C428" s="65"/>
      <c r="D428" s="65"/>
      <c r="E428" s="65"/>
      <c r="F428" s="6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65"/>
      <c r="B429" s="65"/>
      <c r="C429" s="65"/>
      <c r="D429" s="65"/>
      <c r="E429" s="65"/>
      <c r="F429" s="6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65"/>
      <c r="B430" s="65"/>
      <c r="C430" s="65"/>
      <c r="D430" s="65"/>
      <c r="E430" s="65"/>
      <c r="F430" s="6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65"/>
      <c r="B431" s="65"/>
      <c r="C431" s="65"/>
      <c r="D431" s="65"/>
      <c r="E431" s="65"/>
      <c r="F431" s="6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65"/>
      <c r="B432" s="65"/>
      <c r="C432" s="65"/>
      <c r="D432" s="65"/>
      <c r="E432" s="65"/>
      <c r="F432" s="6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65"/>
      <c r="B433" s="65"/>
      <c r="C433" s="65"/>
      <c r="D433" s="65"/>
      <c r="E433" s="65"/>
      <c r="F433" s="6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65"/>
      <c r="B434" s="65"/>
      <c r="C434" s="65"/>
      <c r="D434" s="65"/>
      <c r="E434" s="65"/>
      <c r="F434" s="6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65"/>
      <c r="B435" s="65"/>
      <c r="C435" s="65"/>
      <c r="D435" s="65"/>
      <c r="E435" s="65"/>
      <c r="F435" s="6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65"/>
      <c r="B436" s="65"/>
      <c r="C436" s="65"/>
      <c r="D436" s="65"/>
      <c r="E436" s="65"/>
      <c r="F436" s="6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65"/>
      <c r="B437" s="65"/>
      <c r="C437" s="65"/>
      <c r="D437" s="65"/>
      <c r="E437" s="65"/>
      <c r="F437" s="6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65"/>
      <c r="B438" s="65"/>
      <c r="C438" s="65"/>
      <c r="D438" s="65"/>
      <c r="E438" s="65"/>
      <c r="F438" s="6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65"/>
      <c r="B439" s="65"/>
      <c r="C439" s="65"/>
      <c r="D439" s="65"/>
      <c r="E439" s="65"/>
      <c r="F439" s="6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65"/>
      <c r="B440" s="65"/>
      <c r="C440" s="65"/>
      <c r="D440" s="65"/>
      <c r="E440" s="65"/>
      <c r="F440" s="6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65"/>
      <c r="B441" s="65"/>
      <c r="C441" s="65"/>
      <c r="D441" s="65"/>
      <c r="E441" s="65"/>
      <c r="F441" s="6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65"/>
      <c r="B442" s="65"/>
      <c r="C442" s="65"/>
      <c r="D442" s="65"/>
      <c r="E442" s="65"/>
      <c r="F442" s="6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65"/>
      <c r="B443" s="65"/>
      <c r="C443" s="65"/>
      <c r="D443" s="65"/>
      <c r="E443" s="65"/>
      <c r="F443" s="6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65"/>
      <c r="B444" s="65"/>
      <c r="C444" s="65"/>
      <c r="D444" s="65"/>
      <c r="E444" s="65"/>
      <c r="F444" s="6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65"/>
      <c r="B445" s="65"/>
      <c r="C445" s="65"/>
      <c r="D445" s="65"/>
      <c r="E445" s="65"/>
      <c r="F445" s="6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65"/>
      <c r="B446" s="65"/>
      <c r="C446" s="65"/>
      <c r="D446" s="65"/>
      <c r="E446" s="65"/>
      <c r="F446" s="6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65"/>
      <c r="B447" s="65"/>
      <c r="C447" s="65"/>
      <c r="D447" s="65"/>
      <c r="E447" s="65"/>
      <c r="F447" s="6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65"/>
      <c r="B448" s="65"/>
      <c r="C448" s="65"/>
      <c r="D448" s="65"/>
      <c r="E448" s="65"/>
      <c r="F448" s="6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65"/>
      <c r="B449" s="65"/>
      <c r="C449" s="65"/>
      <c r="D449" s="65"/>
      <c r="E449" s="65"/>
      <c r="F449" s="6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65"/>
      <c r="B450" s="65"/>
      <c r="C450" s="65"/>
      <c r="D450" s="65"/>
      <c r="E450" s="65"/>
      <c r="F450" s="6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65"/>
      <c r="B451" s="65"/>
      <c r="C451" s="65"/>
      <c r="D451" s="65"/>
      <c r="E451" s="65"/>
      <c r="F451" s="6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65"/>
      <c r="B452" s="65"/>
      <c r="C452" s="65"/>
      <c r="D452" s="65"/>
      <c r="E452" s="65"/>
      <c r="F452" s="6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65"/>
      <c r="B453" s="65"/>
      <c r="C453" s="65"/>
      <c r="D453" s="65"/>
      <c r="E453" s="65"/>
      <c r="F453" s="6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65"/>
      <c r="B454" s="65"/>
      <c r="C454" s="65"/>
      <c r="D454" s="65"/>
      <c r="E454" s="65"/>
      <c r="F454" s="6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65"/>
      <c r="B455" s="65"/>
      <c r="C455" s="65"/>
      <c r="D455" s="65"/>
      <c r="E455" s="65"/>
      <c r="F455" s="6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65"/>
      <c r="B456" s="65"/>
      <c r="C456" s="65"/>
      <c r="D456" s="65"/>
      <c r="E456" s="65"/>
      <c r="F456" s="6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65"/>
      <c r="B457" s="65"/>
      <c r="C457" s="65"/>
      <c r="D457" s="65"/>
      <c r="E457" s="65"/>
      <c r="F457" s="6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65"/>
      <c r="B458" s="65"/>
      <c r="C458" s="65"/>
      <c r="D458" s="65"/>
      <c r="E458" s="65"/>
      <c r="F458" s="6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65"/>
      <c r="B459" s="65"/>
      <c r="C459" s="65"/>
      <c r="D459" s="65"/>
      <c r="E459" s="65"/>
      <c r="F459" s="6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65"/>
      <c r="B460" s="65"/>
      <c r="C460" s="65"/>
      <c r="D460" s="65"/>
      <c r="E460" s="65"/>
      <c r="F460" s="6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65"/>
      <c r="B461" s="65"/>
      <c r="C461" s="65"/>
      <c r="D461" s="65"/>
      <c r="E461" s="65"/>
      <c r="F461" s="6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65"/>
      <c r="B462" s="65"/>
      <c r="C462" s="65"/>
      <c r="D462" s="65"/>
      <c r="E462" s="65"/>
      <c r="F462" s="6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65"/>
      <c r="B463" s="65"/>
      <c r="C463" s="65"/>
      <c r="D463" s="65"/>
      <c r="E463" s="65"/>
      <c r="F463" s="6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65"/>
      <c r="B464" s="65"/>
      <c r="C464" s="65"/>
      <c r="D464" s="65"/>
      <c r="E464" s="65"/>
      <c r="F464" s="6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65"/>
      <c r="B465" s="65"/>
      <c r="C465" s="65"/>
      <c r="D465" s="65"/>
      <c r="E465" s="65"/>
      <c r="F465" s="6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65"/>
      <c r="B466" s="65"/>
      <c r="C466" s="65"/>
      <c r="D466" s="65"/>
      <c r="E466" s="65"/>
      <c r="F466" s="6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65"/>
      <c r="B467" s="65"/>
      <c r="C467" s="65"/>
      <c r="D467" s="65"/>
      <c r="E467" s="65"/>
      <c r="F467" s="6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65"/>
      <c r="B468" s="65"/>
      <c r="C468" s="65"/>
      <c r="D468" s="65"/>
      <c r="E468" s="65"/>
      <c r="F468" s="6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65"/>
      <c r="B469" s="65"/>
      <c r="C469" s="65"/>
      <c r="D469" s="65"/>
      <c r="E469" s="65"/>
      <c r="F469" s="6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65"/>
      <c r="B470" s="65"/>
      <c r="C470" s="65"/>
      <c r="D470" s="65"/>
      <c r="E470" s="65"/>
      <c r="F470" s="6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65"/>
      <c r="B471" s="65"/>
      <c r="C471" s="65"/>
      <c r="D471" s="65"/>
      <c r="E471" s="65"/>
      <c r="F471" s="6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65"/>
      <c r="B472" s="65"/>
      <c r="C472" s="65"/>
      <c r="D472" s="65"/>
      <c r="E472" s="65"/>
      <c r="F472" s="6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65"/>
      <c r="B473" s="65"/>
      <c r="C473" s="65"/>
      <c r="D473" s="65"/>
      <c r="E473" s="65"/>
      <c r="F473" s="6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65"/>
      <c r="B474" s="65"/>
      <c r="C474" s="65"/>
      <c r="D474" s="65"/>
      <c r="E474" s="65"/>
      <c r="F474" s="6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65"/>
      <c r="B475" s="65"/>
      <c r="C475" s="65"/>
      <c r="D475" s="65"/>
      <c r="E475" s="65"/>
      <c r="F475" s="6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65"/>
      <c r="B476" s="65"/>
      <c r="C476" s="65"/>
      <c r="D476" s="65"/>
      <c r="E476" s="65"/>
      <c r="F476" s="6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65"/>
      <c r="B477" s="65"/>
      <c r="C477" s="65"/>
      <c r="D477" s="65"/>
      <c r="E477" s="65"/>
      <c r="F477" s="6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65"/>
      <c r="B478" s="65"/>
      <c r="C478" s="65"/>
      <c r="D478" s="65"/>
      <c r="E478" s="65"/>
      <c r="F478" s="6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65"/>
      <c r="B479" s="65"/>
      <c r="C479" s="65"/>
      <c r="D479" s="65"/>
      <c r="E479" s="65"/>
      <c r="F479" s="6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65"/>
      <c r="B480" s="65"/>
      <c r="C480" s="65"/>
      <c r="D480" s="65"/>
      <c r="E480" s="65"/>
      <c r="F480" s="6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65"/>
      <c r="B481" s="65"/>
      <c r="C481" s="65"/>
      <c r="D481" s="65"/>
      <c r="E481" s="65"/>
      <c r="F481" s="6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65"/>
      <c r="B482" s="65"/>
      <c r="C482" s="65"/>
      <c r="D482" s="65"/>
      <c r="E482" s="65"/>
      <c r="F482" s="6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65"/>
      <c r="B483" s="65"/>
      <c r="C483" s="65"/>
      <c r="D483" s="65"/>
      <c r="E483" s="65"/>
      <c r="F483" s="6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65"/>
      <c r="B484" s="65"/>
      <c r="C484" s="65"/>
      <c r="D484" s="65"/>
      <c r="E484" s="65"/>
      <c r="F484" s="6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65"/>
      <c r="B485" s="65"/>
      <c r="C485" s="65"/>
      <c r="D485" s="65"/>
      <c r="E485" s="65"/>
      <c r="F485" s="6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65"/>
      <c r="B486" s="65"/>
      <c r="C486" s="65"/>
      <c r="D486" s="65"/>
      <c r="E486" s="65"/>
      <c r="F486" s="6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65"/>
      <c r="B487" s="65"/>
      <c r="C487" s="65"/>
      <c r="D487" s="65"/>
      <c r="E487" s="65"/>
      <c r="F487" s="6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65"/>
      <c r="B488" s="65"/>
      <c r="C488" s="65"/>
      <c r="D488" s="65"/>
      <c r="E488" s="65"/>
      <c r="F488" s="6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65"/>
      <c r="B489" s="65"/>
      <c r="C489" s="65"/>
      <c r="D489" s="65"/>
      <c r="E489" s="65"/>
      <c r="F489" s="6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65"/>
      <c r="B490" s="65"/>
      <c r="C490" s="65"/>
      <c r="D490" s="65"/>
      <c r="E490" s="65"/>
      <c r="F490" s="6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65"/>
      <c r="B491" s="65"/>
      <c r="C491" s="65"/>
      <c r="D491" s="65"/>
      <c r="E491" s="65"/>
      <c r="F491" s="6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65"/>
      <c r="B492" s="65"/>
      <c r="C492" s="65"/>
      <c r="D492" s="65"/>
      <c r="E492" s="65"/>
      <c r="F492" s="6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65"/>
      <c r="B493" s="65"/>
      <c r="C493" s="65"/>
      <c r="D493" s="65"/>
      <c r="E493" s="65"/>
      <c r="F493" s="6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65"/>
      <c r="B494" s="65"/>
      <c r="C494" s="65"/>
      <c r="D494" s="65"/>
      <c r="E494" s="65"/>
      <c r="F494" s="6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65"/>
      <c r="B495" s="65"/>
      <c r="C495" s="65"/>
      <c r="D495" s="65"/>
      <c r="E495" s="65"/>
      <c r="F495" s="6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65"/>
      <c r="B496" s="65"/>
      <c r="C496" s="65"/>
      <c r="D496" s="65"/>
      <c r="E496" s="65"/>
      <c r="F496" s="6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65"/>
      <c r="B497" s="65"/>
      <c r="C497" s="65"/>
      <c r="D497" s="65"/>
      <c r="E497" s="65"/>
      <c r="F497" s="6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65"/>
      <c r="B498" s="65"/>
      <c r="C498" s="65"/>
      <c r="D498" s="65"/>
      <c r="E498" s="65"/>
      <c r="F498" s="6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65"/>
      <c r="B499" s="65"/>
      <c r="C499" s="65"/>
      <c r="D499" s="65"/>
      <c r="E499" s="65"/>
      <c r="F499" s="6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65"/>
      <c r="B500" s="65"/>
      <c r="C500" s="65"/>
      <c r="D500" s="65"/>
      <c r="E500" s="65"/>
      <c r="F500" s="6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65"/>
      <c r="B501" s="65"/>
      <c r="C501" s="65"/>
      <c r="D501" s="65"/>
      <c r="E501" s="65"/>
      <c r="F501" s="6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65"/>
      <c r="B502" s="65"/>
      <c r="C502" s="65"/>
      <c r="D502" s="65"/>
      <c r="E502" s="65"/>
      <c r="F502" s="6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65"/>
      <c r="B503" s="65"/>
      <c r="C503" s="65"/>
      <c r="D503" s="65"/>
      <c r="E503" s="65"/>
      <c r="F503" s="6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65"/>
      <c r="B504" s="65"/>
      <c r="C504" s="65"/>
      <c r="D504" s="65"/>
      <c r="E504" s="65"/>
      <c r="F504" s="6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65"/>
      <c r="B505" s="65"/>
      <c r="C505" s="65"/>
      <c r="D505" s="65"/>
      <c r="E505" s="65"/>
      <c r="F505" s="6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65"/>
      <c r="B506" s="65"/>
      <c r="C506" s="65"/>
      <c r="D506" s="65"/>
      <c r="E506" s="65"/>
      <c r="F506" s="6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65"/>
      <c r="B507" s="65"/>
      <c r="C507" s="65"/>
      <c r="D507" s="65"/>
      <c r="E507" s="65"/>
      <c r="F507" s="6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65"/>
      <c r="B508" s="65"/>
      <c r="C508" s="65"/>
      <c r="D508" s="65"/>
      <c r="E508" s="65"/>
      <c r="F508" s="6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65"/>
      <c r="B509" s="65"/>
      <c r="C509" s="65"/>
      <c r="D509" s="65"/>
      <c r="E509" s="65"/>
      <c r="F509" s="6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65"/>
      <c r="B510" s="65"/>
      <c r="C510" s="65"/>
      <c r="D510" s="65"/>
      <c r="E510" s="65"/>
      <c r="F510" s="6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65"/>
      <c r="B511" s="65"/>
      <c r="C511" s="65"/>
      <c r="D511" s="65"/>
      <c r="E511" s="65"/>
      <c r="F511" s="6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65"/>
      <c r="B512" s="65"/>
      <c r="C512" s="65"/>
      <c r="D512" s="65"/>
      <c r="E512" s="65"/>
      <c r="F512" s="6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65"/>
      <c r="B513" s="65"/>
      <c r="C513" s="65"/>
      <c r="D513" s="65"/>
      <c r="E513" s="65"/>
      <c r="F513" s="6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65"/>
      <c r="B514" s="65"/>
      <c r="C514" s="65"/>
      <c r="D514" s="65"/>
      <c r="E514" s="65"/>
      <c r="F514" s="6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65"/>
      <c r="B515" s="65"/>
      <c r="C515" s="65"/>
      <c r="D515" s="65"/>
      <c r="E515" s="65"/>
      <c r="F515" s="6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65"/>
      <c r="B516" s="65"/>
      <c r="C516" s="65"/>
      <c r="D516" s="65"/>
      <c r="E516" s="65"/>
      <c r="F516" s="6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65"/>
      <c r="B517" s="65"/>
      <c r="C517" s="65"/>
      <c r="D517" s="65"/>
      <c r="E517" s="65"/>
      <c r="F517" s="6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65"/>
      <c r="B518" s="65"/>
      <c r="C518" s="65"/>
      <c r="D518" s="65"/>
      <c r="E518" s="65"/>
      <c r="F518" s="6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65"/>
      <c r="B519" s="65"/>
      <c r="C519" s="65"/>
      <c r="D519" s="65"/>
      <c r="E519" s="65"/>
      <c r="F519" s="6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65"/>
      <c r="B520" s="65"/>
      <c r="C520" s="65"/>
      <c r="D520" s="65"/>
      <c r="E520" s="65"/>
      <c r="F520" s="6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65"/>
      <c r="B521" s="65"/>
      <c r="C521" s="65"/>
      <c r="D521" s="65"/>
      <c r="E521" s="65"/>
      <c r="F521" s="6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65"/>
      <c r="B522" s="65"/>
      <c r="C522" s="65"/>
      <c r="D522" s="65"/>
      <c r="E522" s="65"/>
      <c r="F522" s="6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65"/>
      <c r="B523" s="65"/>
      <c r="C523" s="65"/>
      <c r="D523" s="65"/>
      <c r="E523" s="65"/>
      <c r="F523" s="6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65"/>
      <c r="B524" s="65"/>
      <c r="C524" s="65"/>
      <c r="D524" s="65"/>
      <c r="E524" s="65"/>
      <c r="F524" s="6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65"/>
      <c r="B525" s="65"/>
      <c r="C525" s="65"/>
      <c r="D525" s="65"/>
      <c r="E525" s="65"/>
      <c r="F525" s="6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65"/>
      <c r="B526" s="65"/>
      <c r="C526" s="65"/>
      <c r="D526" s="65"/>
      <c r="E526" s="65"/>
      <c r="F526" s="6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65"/>
      <c r="B527" s="65"/>
      <c r="C527" s="65"/>
      <c r="D527" s="65"/>
      <c r="E527" s="65"/>
      <c r="F527" s="6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65"/>
      <c r="B528" s="65"/>
      <c r="C528" s="65"/>
      <c r="D528" s="65"/>
      <c r="E528" s="65"/>
      <c r="F528" s="6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65"/>
      <c r="B529" s="65"/>
      <c r="C529" s="65"/>
      <c r="D529" s="65"/>
      <c r="E529" s="65"/>
      <c r="F529" s="6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65"/>
      <c r="B530" s="65"/>
      <c r="C530" s="65"/>
      <c r="D530" s="65"/>
      <c r="E530" s="65"/>
      <c r="F530" s="6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65"/>
      <c r="B531" s="65"/>
      <c r="C531" s="65"/>
      <c r="D531" s="65"/>
      <c r="E531" s="65"/>
      <c r="F531" s="6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65"/>
      <c r="B532" s="65"/>
      <c r="C532" s="65"/>
      <c r="D532" s="65"/>
      <c r="E532" s="65"/>
      <c r="F532" s="6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65"/>
      <c r="B533" s="65"/>
      <c r="C533" s="65"/>
      <c r="D533" s="65"/>
      <c r="E533" s="65"/>
      <c r="F533" s="6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65"/>
      <c r="B534" s="65"/>
      <c r="C534" s="65"/>
      <c r="D534" s="65"/>
      <c r="E534" s="65"/>
      <c r="F534" s="6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65"/>
      <c r="B535" s="65"/>
      <c r="C535" s="65"/>
      <c r="D535" s="65"/>
      <c r="E535" s="65"/>
      <c r="F535" s="6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65"/>
      <c r="B536" s="65"/>
      <c r="C536" s="65"/>
      <c r="D536" s="65"/>
      <c r="E536" s="65"/>
      <c r="F536" s="6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65"/>
      <c r="B537" s="65"/>
      <c r="C537" s="65"/>
      <c r="D537" s="65"/>
      <c r="E537" s="65"/>
      <c r="F537" s="6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65"/>
      <c r="B538" s="65"/>
      <c r="C538" s="65"/>
      <c r="D538" s="65"/>
      <c r="E538" s="65"/>
      <c r="F538" s="6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65"/>
      <c r="B539" s="65"/>
      <c r="C539" s="65"/>
      <c r="D539" s="65"/>
      <c r="E539" s="65"/>
      <c r="F539" s="6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65"/>
      <c r="B540" s="65"/>
      <c r="C540" s="65"/>
      <c r="D540" s="65"/>
      <c r="E540" s="65"/>
      <c r="F540" s="6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65"/>
      <c r="B541" s="65"/>
      <c r="C541" s="65"/>
      <c r="D541" s="65"/>
      <c r="E541" s="65"/>
      <c r="F541" s="6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65"/>
      <c r="B542" s="65"/>
      <c r="C542" s="65"/>
      <c r="D542" s="65"/>
      <c r="E542" s="65"/>
      <c r="F542" s="6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65"/>
      <c r="B543" s="65"/>
      <c r="C543" s="65"/>
      <c r="D543" s="65"/>
      <c r="E543" s="65"/>
      <c r="F543" s="6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65"/>
      <c r="B544" s="65"/>
      <c r="C544" s="65"/>
      <c r="D544" s="65"/>
      <c r="E544" s="65"/>
      <c r="F544" s="6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65"/>
      <c r="B545" s="65"/>
      <c r="C545" s="65"/>
      <c r="D545" s="65"/>
      <c r="E545" s="65"/>
      <c r="F545" s="6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65"/>
      <c r="B546" s="65"/>
      <c r="C546" s="65"/>
      <c r="D546" s="65"/>
      <c r="E546" s="65"/>
      <c r="F546" s="6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65"/>
      <c r="B547" s="65"/>
      <c r="C547" s="65"/>
      <c r="D547" s="65"/>
      <c r="E547" s="65"/>
      <c r="F547" s="6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65"/>
      <c r="B548" s="65"/>
      <c r="C548" s="65"/>
      <c r="D548" s="65"/>
      <c r="E548" s="65"/>
      <c r="F548" s="6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65"/>
      <c r="B549" s="65"/>
      <c r="C549" s="65"/>
      <c r="D549" s="65"/>
      <c r="E549" s="65"/>
      <c r="F549" s="6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65"/>
      <c r="B550" s="65"/>
      <c r="C550" s="65"/>
      <c r="D550" s="65"/>
      <c r="E550" s="65"/>
      <c r="F550" s="6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65"/>
      <c r="B551" s="65"/>
      <c r="C551" s="65"/>
      <c r="D551" s="65"/>
      <c r="E551" s="65"/>
      <c r="F551" s="6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65"/>
      <c r="B552" s="65"/>
      <c r="C552" s="65"/>
      <c r="D552" s="65"/>
      <c r="E552" s="65"/>
      <c r="F552" s="6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65"/>
      <c r="B553" s="65"/>
      <c r="C553" s="65"/>
      <c r="D553" s="65"/>
      <c r="E553" s="65"/>
      <c r="F553" s="6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65"/>
      <c r="B554" s="65"/>
      <c r="C554" s="65"/>
      <c r="D554" s="65"/>
      <c r="E554" s="65"/>
      <c r="F554" s="6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65"/>
      <c r="B555" s="65"/>
      <c r="C555" s="65"/>
      <c r="D555" s="65"/>
      <c r="E555" s="65"/>
      <c r="F555" s="6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65"/>
      <c r="B556" s="65"/>
      <c r="C556" s="65"/>
      <c r="D556" s="65"/>
      <c r="E556" s="65"/>
      <c r="F556" s="6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65"/>
      <c r="B557" s="65"/>
      <c r="C557" s="65"/>
      <c r="D557" s="65"/>
      <c r="E557" s="65"/>
      <c r="F557" s="6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65"/>
      <c r="B558" s="65"/>
      <c r="C558" s="65"/>
      <c r="D558" s="65"/>
      <c r="E558" s="65"/>
      <c r="F558" s="6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65"/>
      <c r="B559" s="65"/>
      <c r="C559" s="65"/>
      <c r="D559" s="65"/>
      <c r="E559" s="65"/>
      <c r="F559" s="6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65"/>
      <c r="B560" s="65"/>
      <c r="C560" s="65"/>
      <c r="D560" s="65"/>
      <c r="E560" s="65"/>
      <c r="F560" s="6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65"/>
      <c r="B561" s="65"/>
      <c r="C561" s="65"/>
      <c r="D561" s="65"/>
      <c r="E561" s="65"/>
      <c r="F561" s="6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65"/>
      <c r="B562" s="65"/>
      <c r="C562" s="65"/>
      <c r="D562" s="65"/>
      <c r="E562" s="65"/>
      <c r="F562" s="6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65"/>
      <c r="B563" s="65"/>
      <c r="C563" s="65"/>
      <c r="D563" s="65"/>
      <c r="E563" s="65"/>
      <c r="F563" s="6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65"/>
      <c r="B564" s="65"/>
      <c r="C564" s="65"/>
      <c r="D564" s="65"/>
      <c r="E564" s="65"/>
      <c r="F564" s="6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65"/>
      <c r="B565" s="65"/>
      <c r="C565" s="65"/>
      <c r="D565" s="65"/>
      <c r="E565" s="65"/>
      <c r="F565" s="6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65"/>
      <c r="B566" s="65"/>
      <c r="C566" s="65"/>
      <c r="D566" s="65"/>
      <c r="E566" s="65"/>
      <c r="F566" s="6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65"/>
      <c r="B567" s="65"/>
      <c r="C567" s="65"/>
      <c r="D567" s="65"/>
      <c r="E567" s="65"/>
      <c r="F567" s="6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65"/>
      <c r="B568" s="65"/>
      <c r="C568" s="65"/>
      <c r="D568" s="65"/>
      <c r="E568" s="65"/>
      <c r="F568" s="6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65"/>
      <c r="B569" s="65"/>
      <c r="C569" s="65"/>
      <c r="D569" s="65"/>
      <c r="E569" s="65"/>
      <c r="F569" s="6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65"/>
      <c r="B570" s="65"/>
      <c r="C570" s="65"/>
      <c r="D570" s="65"/>
      <c r="E570" s="65"/>
      <c r="F570" s="6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65"/>
      <c r="B571" s="65"/>
      <c r="C571" s="65"/>
      <c r="D571" s="65"/>
      <c r="E571" s="65"/>
      <c r="F571" s="6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65"/>
      <c r="B572" s="65"/>
      <c r="C572" s="65"/>
      <c r="D572" s="65"/>
      <c r="E572" s="65"/>
      <c r="F572" s="6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65"/>
      <c r="B573" s="65"/>
      <c r="C573" s="65"/>
      <c r="D573" s="65"/>
      <c r="E573" s="65"/>
      <c r="F573" s="6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65"/>
      <c r="B574" s="65"/>
      <c r="C574" s="65"/>
      <c r="D574" s="65"/>
      <c r="E574" s="65"/>
      <c r="F574" s="6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65"/>
      <c r="B575" s="65"/>
      <c r="C575" s="65"/>
      <c r="D575" s="65"/>
      <c r="E575" s="65"/>
      <c r="F575" s="6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65"/>
      <c r="B576" s="65"/>
      <c r="C576" s="65"/>
      <c r="D576" s="65"/>
      <c r="E576" s="65"/>
      <c r="F576" s="6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65"/>
      <c r="B577" s="65"/>
      <c r="C577" s="65"/>
      <c r="D577" s="65"/>
      <c r="E577" s="65"/>
      <c r="F577" s="6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65"/>
      <c r="B578" s="65"/>
      <c r="C578" s="65"/>
      <c r="D578" s="65"/>
      <c r="E578" s="65"/>
      <c r="F578" s="6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65"/>
      <c r="B579" s="65"/>
      <c r="C579" s="65"/>
      <c r="D579" s="65"/>
      <c r="E579" s="65"/>
      <c r="F579" s="6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65"/>
      <c r="B580" s="65"/>
      <c r="C580" s="65"/>
      <c r="D580" s="65"/>
      <c r="E580" s="65"/>
      <c r="F580" s="6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65"/>
      <c r="B581" s="65"/>
      <c r="C581" s="65"/>
      <c r="D581" s="65"/>
      <c r="E581" s="65"/>
      <c r="F581" s="6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65"/>
      <c r="B582" s="65"/>
      <c r="C582" s="65"/>
      <c r="D582" s="65"/>
      <c r="E582" s="65"/>
      <c r="F582" s="6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65"/>
      <c r="B583" s="65"/>
      <c r="C583" s="65"/>
      <c r="D583" s="65"/>
      <c r="E583" s="65"/>
      <c r="F583" s="6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65"/>
      <c r="B584" s="65"/>
      <c r="C584" s="65"/>
      <c r="D584" s="65"/>
      <c r="E584" s="65"/>
      <c r="F584" s="6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65"/>
      <c r="B585" s="65"/>
      <c r="C585" s="65"/>
      <c r="D585" s="65"/>
      <c r="E585" s="65"/>
      <c r="F585" s="6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65"/>
      <c r="B586" s="65"/>
      <c r="C586" s="65"/>
      <c r="D586" s="65"/>
      <c r="E586" s="65"/>
      <c r="F586" s="6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65"/>
      <c r="B587" s="65"/>
      <c r="C587" s="65"/>
      <c r="D587" s="65"/>
      <c r="E587" s="65"/>
      <c r="F587" s="6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65"/>
      <c r="B588" s="65"/>
      <c r="C588" s="65"/>
      <c r="D588" s="65"/>
      <c r="E588" s="65"/>
      <c r="F588" s="6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65"/>
      <c r="B589" s="65"/>
      <c r="C589" s="65"/>
      <c r="D589" s="65"/>
      <c r="E589" s="65"/>
      <c r="F589" s="6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65"/>
      <c r="B590" s="65"/>
      <c r="C590" s="65"/>
      <c r="D590" s="65"/>
      <c r="E590" s="65"/>
      <c r="F590" s="6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65"/>
      <c r="B591" s="65"/>
      <c r="C591" s="65"/>
      <c r="D591" s="65"/>
      <c r="E591" s="65"/>
      <c r="F591" s="6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65"/>
      <c r="B592" s="65"/>
      <c r="C592" s="65"/>
      <c r="D592" s="65"/>
      <c r="E592" s="65"/>
      <c r="F592" s="6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65"/>
      <c r="B593" s="65"/>
      <c r="C593" s="65"/>
      <c r="D593" s="65"/>
      <c r="E593" s="65"/>
      <c r="F593" s="6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65"/>
      <c r="B594" s="65"/>
      <c r="C594" s="65"/>
      <c r="D594" s="65"/>
      <c r="E594" s="65"/>
      <c r="F594" s="6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65"/>
      <c r="B595" s="65"/>
      <c r="C595" s="65"/>
      <c r="D595" s="65"/>
      <c r="E595" s="65"/>
      <c r="F595" s="6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65"/>
      <c r="B596" s="65"/>
      <c r="C596" s="65"/>
      <c r="D596" s="65"/>
      <c r="E596" s="65"/>
      <c r="F596" s="6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65"/>
      <c r="B597" s="65"/>
      <c r="C597" s="65"/>
      <c r="D597" s="65"/>
      <c r="E597" s="65"/>
      <c r="F597" s="6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65"/>
      <c r="B598" s="65"/>
      <c r="C598" s="65"/>
      <c r="D598" s="65"/>
      <c r="E598" s="65"/>
      <c r="F598" s="6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65"/>
      <c r="B599" s="65"/>
      <c r="C599" s="65"/>
      <c r="D599" s="65"/>
      <c r="E599" s="65"/>
      <c r="F599" s="6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65"/>
      <c r="B600" s="65"/>
      <c r="C600" s="65"/>
      <c r="D600" s="65"/>
      <c r="E600" s="65"/>
      <c r="F600" s="6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65"/>
      <c r="B601" s="65"/>
      <c r="C601" s="65"/>
      <c r="D601" s="65"/>
      <c r="E601" s="65"/>
      <c r="F601" s="6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65"/>
      <c r="B602" s="65"/>
      <c r="C602" s="65"/>
      <c r="D602" s="65"/>
      <c r="E602" s="65"/>
      <c r="F602" s="6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65"/>
      <c r="B603" s="65"/>
      <c r="C603" s="65"/>
      <c r="D603" s="65"/>
      <c r="E603" s="65"/>
      <c r="F603" s="6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65"/>
      <c r="B604" s="65"/>
      <c r="C604" s="65"/>
      <c r="D604" s="65"/>
      <c r="E604" s="65"/>
      <c r="F604" s="6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65"/>
      <c r="B605" s="65"/>
      <c r="C605" s="65"/>
      <c r="D605" s="65"/>
      <c r="E605" s="65"/>
      <c r="F605" s="6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65"/>
      <c r="B606" s="65"/>
      <c r="C606" s="65"/>
      <c r="D606" s="65"/>
      <c r="E606" s="65"/>
      <c r="F606" s="6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65"/>
      <c r="B607" s="65"/>
      <c r="C607" s="65"/>
      <c r="D607" s="65"/>
      <c r="E607" s="65"/>
      <c r="F607" s="6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65"/>
      <c r="B608" s="65"/>
      <c r="C608" s="65"/>
      <c r="D608" s="65"/>
      <c r="E608" s="65"/>
      <c r="F608" s="6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65"/>
      <c r="B609" s="65"/>
      <c r="C609" s="65"/>
      <c r="D609" s="65"/>
      <c r="E609" s="65"/>
      <c r="F609" s="6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65"/>
      <c r="B610" s="65"/>
      <c r="C610" s="65"/>
      <c r="D610" s="65"/>
      <c r="E610" s="65"/>
      <c r="F610" s="6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65"/>
      <c r="B611" s="65"/>
      <c r="C611" s="65"/>
      <c r="D611" s="65"/>
      <c r="E611" s="65"/>
      <c r="F611" s="6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65"/>
      <c r="B612" s="65"/>
      <c r="C612" s="65"/>
      <c r="D612" s="65"/>
      <c r="E612" s="65"/>
      <c r="F612" s="6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65"/>
      <c r="B613" s="65"/>
      <c r="C613" s="65"/>
      <c r="D613" s="65"/>
      <c r="E613" s="65"/>
      <c r="F613" s="6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65"/>
      <c r="B614" s="65"/>
      <c r="C614" s="65"/>
      <c r="D614" s="65"/>
      <c r="E614" s="65"/>
      <c r="F614" s="6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65"/>
      <c r="B615" s="65"/>
      <c r="C615" s="65"/>
      <c r="D615" s="65"/>
      <c r="E615" s="65"/>
      <c r="F615" s="6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65"/>
      <c r="B616" s="65"/>
      <c r="C616" s="65"/>
      <c r="D616" s="65"/>
      <c r="E616" s="65"/>
      <c r="F616" s="6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65"/>
      <c r="B617" s="65"/>
      <c r="C617" s="65"/>
      <c r="D617" s="65"/>
      <c r="E617" s="65"/>
      <c r="F617" s="6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65"/>
      <c r="B618" s="65"/>
      <c r="C618" s="65"/>
      <c r="D618" s="65"/>
      <c r="E618" s="65"/>
      <c r="F618" s="6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65"/>
      <c r="B619" s="65"/>
      <c r="C619" s="65"/>
      <c r="D619" s="65"/>
      <c r="E619" s="65"/>
      <c r="F619" s="6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65"/>
      <c r="B620" s="65"/>
      <c r="C620" s="65"/>
      <c r="D620" s="65"/>
      <c r="E620" s="65"/>
      <c r="F620" s="6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65"/>
      <c r="B621" s="65"/>
      <c r="C621" s="65"/>
      <c r="D621" s="65"/>
      <c r="E621" s="65"/>
      <c r="F621" s="6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65"/>
      <c r="B622" s="65"/>
      <c r="C622" s="65"/>
      <c r="D622" s="65"/>
      <c r="E622" s="65"/>
      <c r="F622" s="6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65"/>
      <c r="B623" s="65"/>
      <c r="C623" s="65"/>
      <c r="D623" s="65"/>
      <c r="E623" s="65"/>
      <c r="F623" s="6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65"/>
      <c r="B624" s="65"/>
      <c r="C624" s="65"/>
      <c r="D624" s="65"/>
      <c r="E624" s="65"/>
      <c r="F624" s="6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65"/>
      <c r="B625" s="65"/>
      <c r="C625" s="65"/>
      <c r="D625" s="65"/>
      <c r="E625" s="65"/>
      <c r="F625" s="6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65"/>
      <c r="B626" s="65"/>
      <c r="C626" s="65"/>
      <c r="D626" s="65"/>
      <c r="E626" s="65"/>
      <c r="F626" s="6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65"/>
      <c r="B627" s="65"/>
      <c r="C627" s="65"/>
      <c r="D627" s="65"/>
      <c r="E627" s="65"/>
      <c r="F627" s="6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65"/>
      <c r="B628" s="65"/>
      <c r="C628" s="65"/>
      <c r="D628" s="65"/>
      <c r="E628" s="65"/>
      <c r="F628" s="6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65"/>
      <c r="B629" s="65"/>
      <c r="C629" s="65"/>
      <c r="D629" s="65"/>
      <c r="E629" s="65"/>
      <c r="F629" s="6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65"/>
      <c r="B630" s="65"/>
      <c r="C630" s="65"/>
      <c r="D630" s="65"/>
      <c r="E630" s="65"/>
      <c r="F630" s="6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65"/>
      <c r="B631" s="65"/>
      <c r="C631" s="65"/>
      <c r="D631" s="65"/>
      <c r="E631" s="65"/>
      <c r="F631" s="6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65"/>
      <c r="B632" s="65"/>
      <c r="C632" s="65"/>
      <c r="D632" s="65"/>
      <c r="E632" s="65"/>
      <c r="F632" s="6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65"/>
      <c r="B633" s="65"/>
      <c r="C633" s="65"/>
      <c r="D633" s="65"/>
      <c r="E633" s="65"/>
      <c r="F633" s="6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65"/>
      <c r="B634" s="65"/>
      <c r="C634" s="65"/>
      <c r="D634" s="65"/>
      <c r="E634" s="65"/>
      <c r="F634" s="6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65"/>
      <c r="B635" s="65"/>
      <c r="C635" s="65"/>
      <c r="D635" s="65"/>
      <c r="E635" s="65"/>
      <c r="F635" s="6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65"/>
      <c r="B636" s="65"/>
      <c r="C636" s="65"/>
      <c r="D636" s="65"/>
      <c r="E636" s="65"/>
      <c r="F636" s="6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65"/>
      <c r="B637" s="65"/>
      <c r="C637" s="65"/>
      <c r="D637" s="65"/>
      <c r="E637" s="65"/>
      <c r="F637" s="6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65"/>
      <c r="B638" s="65"/>
      <c r="C638" s="65"/>
      <c r="D638" s="65"/>
      <c r="E638" s="65"/>
      <c r="F638" s="6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65"/>
      <c r="B639" s="65"/>
      <c r="C639" s="65"/>
      <c r="D639" s="65"/>
      <c r="E639" s="65"/>
      <c r="F639" s="6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65"/>
      <c r="B640" s="65"/>
      <c r="C640" s="65"/>
      <c r="D640" s="65"/>
      <c r="E640" s="65"/>
      <c r="F640" s="6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65"/>
      <c r="B641" s="65"/>
      <c r="C641" s="65"/>
      <c r="D641" s="65"/>
      <c r="E641" s="65"/>
      <c r="F641" s="6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65"/>
      <c r="B642" s="65"/>
      <c r="C642" s="65"/>
      <c r="D642" s="65"/>
      <c r="E642" s="65"/>
      <c r="F642" s="6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65"/>
      <c r="B643" s="65"/>
      <c r="C643" s="65"/>
      <c r="D643" s="65"/>
      <c r="E643" s="65"/>
      <c r="F643" s="6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65"/>
      <c r="B644" s="65"/>
      <c r="C644" s="65"/>
      <c r="D644" s="65"/>
      <c r="E644" s="65"/>
      <c r="F644" s="6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65"/>
      <c r="B645" s="65"/>
      <c r="C645" s="65"/>
      <c r="D645" s="65"/>
      <c r="E645" s="65"/>
      <c r="F645" s="6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65"/>
      <c r="B646" s="65"/>
      <c r="C646" s="65"/>
      <c r="D646" s="65"/>
      <c r="E646" s="65"/>
      <c r="F646" s="6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65"/>
      <c r="B647" s="65"/>
      <c r="C647" s="65"/>
      <c r="D647" s="65"/>
      <c r="E647" s="65"/>
      <c r="F647" s="6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65"/>
      <c r="B648" s="65"/>
      <c r="C648" s="65"/>
      <c r="D648" s="65"/>
      <c r="E648" s="65"/>
      <c r="F648" s="6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65"/>
      <c r="B649" s="65"/>
      <c r="C649" s="65"/>
      <c r="D649" s="65"/>
      <c r="E649" s="65"/>
      <c r="F649" s="6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65"/>
      <c r="B650" s="65"/>
      <c r="C650" s="65"/>
      <c r="D650" s="65"/>
      <c r="E650" s="65"/>
      <c r="F650" s="6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65"/>
      <c r="B651" s="65"/>
      <c r="C651" s="65"/>
      <c r="D651" s="65"/>
      <c r="E651" s="65"/>
      <c r="F651" s="6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65"/>
      <c r="B652" s="65"/>
      <c r="C652" s="65"/>
      <c r="D652" s="65"/>
      <c r="E652" s="65"/>
      <c r="F652" s="6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65"/>
      <c r="B653" s="65"/>
      <c r="C653" s="65"/>
      <c r="D653" s="65"/>
      <c r="E653" s="65"/>
      <c r="F653" s="6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65"/>
      <c r="B654" s="65"/>
      <c r="C654" s="65"/>
      <c r="D654" s="65"/>
      <c r="E654" s="65"/>
      <c r="F654" s="6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65"/>
      <c r="B655" s="65"/>
      <c r="C655" s="65"/>
      <c r="D655" s="65"/>
      <c r="E655" s="65"/>
      <c r="F655" s="6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65"/>
      <c r="B656" s="65"/>
      <c r="C656" s="65"/>
      <c r="D656" s="65"/>
      <c r="E656" s="65"/>
      <c r="F656" s="6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65"/>
      <c r="B657" s="65"/>
      <c r="C657" s="65"/>
      <c r="D657" s="65"/>
      <c r="E657" s="65"/>
      <c r="F657" s="6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65"/>
      <c r="B658" s="65"/>
      <c r="C658" s="65"/>
      <c r="D658" s="65"/>
      <c r="E658" s="65"/>
      <c r="F658" s="6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65"/>
      <c r="B659" s="65"/>
      <c r="C659" s="65"/>
      <c r="D659" s="65"/>
      <c r="E659" s="65"/>
      <c r="F659" s="6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65"/>
      <c r="B660" s="65"/>
      <c r="C660" s="65"/>
      <c r="D660" s="65"/>
      <c r="E660" s="65"/>
      <c r="F660" s="6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65"/>
      <c r="B661" s="65"/>
      <c r="C661" s="65"/>
      <c r="D661" s="65"/>
      <c r="E661" s="65"/>
      <c r="F661" s="6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65"/>
      <c r="B662" s="65"/>
      <c r="C662" s="65"/>
      <c r="D662" s="65"/>
      <c r="E662" s="65"/>
      <c r="F662" s="6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65"/>
      <c r="B663" s="65"/>
      <c r="C663" s="65"/>
      <c r="D663" s="65"/>
      <c r="E663" s="65"/>
      <c r="F663" s="6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65"/>
      <c r="B664" s="65"/>
      <c r="C664" s="65"/>
      <c r="D664" s="65"/>
      <c r="E664" s="65"/>
      <c r="F664" s="6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65"/>
      <c r="B665" s="65"/>
      <c r="C665" s="65"/>
      <c r="D665" s="65"/>
      <c r="E665" s="65"/>
      <c r="F665" s="6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65"/>
      <c r="B666" s="65"/>
      <c r="C666" s="65"/>
      <c r="D666" s="65"/>
      <c r="E666" s="65"/>
      <c r="F666" s="6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65"/>
      <c r="B667" s="65"/>
      <c r="C667" s="65"/>
      <c r="D667" s="65"/>
      <c r="E667" s="65"/>
      <c r="F667" s="6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65"/>
      <c r="B668" s="65"/>
      <c r="C668" s="65"/>
      <c r="D668" s="65"/>
      <c r="E668" s="65"/>
      <c r="F668" s="6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65"/>
      <c r="B669" s="65"/>
      <c r="C669" s="65"/>
      <c r="D669" s="65"/>
      <c r="E669" s="65"/>
      <c r="F669" s="6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65"/>
      <c r="B670" s="65"/>
      <c r="C670" s="65"/>
      <c r="D670" s="65"/>
      <c r="E670" s="65"/>
      <c r="F670" s="6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65"/>
      <c r="B671" s="65"/>
      <c r="C671" s="65"/>
      <c r="D671" s="65"/>
      <c r="E671" s="65"/>
      <c r="F671" s="6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65"/>
      <c r="B672" s="65"/>
      <c r="C672" s="65"/>
      <c r="D672" s="65"/>
      <c r="E672" s="65"/>
      <c r="F672" s="6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65"/>
      <c r="B673" s="65"/>
      <c r="C673" s="65"/>
      <c r="D673" s="65"/>
      <c r="E673" s="65"/>
      <c r="F673" s="6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65"/>
      <c r="B674" s="65"/>
      <c r="C674" s="65"/>
      <c r="D674" s="65"/>
      <c r="E674" s="65"/>
      <c r="F674" s="6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65"/>
      <c r="B675" s="65"/>
      <c r="C675" s="65"/>
      <c r="D675" s="65"/>
      <c r="E675" s="65"/>
      <c r="F675" s="6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65"/>
      <c r="B676" s="65"/>
      <c r="C676" s="65"/>
      <c r="D676" s="65"/>
      <c r="E676" s="65"/>
      <c r="F676" s="6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65"/>
      <c r="B677" s="65"/>
      <c r="C677" s="65"/>
      <c r="D677" s="65"/>
      <c r="E677" s="65"/>
      <c r="F677" s="6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65"/>
      <c r="B678" s="65"/>
      <c r="C678" s="65"/>
      <c r="D678" s="65"/>
      <c r="E678" s="65"/>
      <c r="F678" s="6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65"/>
      <c r="B679" s="65"/>
      <c r="C679" s="65"/>
      <c r="D679" s="65"/>
      <c r="E679" s="65"/>
      <c r="F679" s="6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65"/>
      <c r="B680" s="65"/>
      <c r="C680" s="65"/>
      <c r="D680" s="65"/>
      <c r="E680" s="65"/>
      <c r="F680" s="6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65"/>
      <c r="B681" s="65"/>
      <c r="C681" s="65"/>
      <c r="D681" s="65"/>
      <c r="E681" s="65"/>
      <c r="F681" s="6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65"/>
      <c r="B682" s="65"/>
      <c r="C682" s="65"/>
      <c r="D682" s="65"/>
      <c r="E682" s="65"/>
      <c r="F682" s="6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65"/>
      <c r="B683" s="65"/>
      <c r="C683" s="65"/>
      <c r="D683" s="65"/>
      <c r="E683" s="65"/>
      <c r="F683" s="6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65"/>
      <c r="B684" s="65"/>
      <c r="C684" s="65"/>
      <c r="D684" s="65"/>
      <c r="E684" s="65"/>
      <c r="F684" s="6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65"/>
      <c r="B685" s="65"/>
      <c r="C685" s="65"/>
      <c r="D685" s="65"/>
      <c r="E685" s="65"/>
      <c r="F685" s="6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65"/>
      <c r="B686" s="65"/>
      <c r="C686" s="65"/>
      <c r="D686" s="65"/>
      <c r="E686" s="65"/>
      <c r="F686" s="6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65"/>
      <c r="B687" s="65"/>
      <c r="C687" s="65"/>
      <c r="D687" s="65"/>
      <c r="E687" s="65"/>
      <c r="F687" s="6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65"/>
      <c r="B688" s="65"/>
      <c r="C688" s="65"/>
      <c r="D688" s="65"/>
      <c r="E688" s="65"/>
      <c r="F688" s="6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65"/>
      <c r="B689" s="65"/>
      <c r="C689" s="65"/>
      <c r="D689" s="65"/>
      <c r="E689" s="65"/>
      <c r="F689" s="6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65"/>
      <c r="B690" s="65"/>
      <c r="C690" s="65"/>
      <c r="D690" s="65"/>
      <c r="E690" s="65"/>
      <c r="F690" s="6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65"/>
      <c r="B691" s="65"/>
      <c r="C691" s="65"/>
      <c r="D691" s="65"/>
      <c r="E691" s="65"/>
      <c r="F691" s="6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65"/>
      <c r="B692" s="65"/>
      <c r="C692" s="65"/>
      <c r="D692" s="65"/>
      <c r="E692" s="65"/>
      <c r="F692" s="6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65"/>
      <c r="B693" s="65"/>
      <c r="C693" s="65"/>
      <c r="D693" s="65"/>
      <c r="E693" s="65"/>
      <c r="F693" s="6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65"/>
      <c r="B694" s="65"/>
      <c r="C694" s="65"/>
      <c r="D694" s="65"/>
      <c r="E694" s="65"/>
      <c r="F694" s="6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65"/>
      <c r="B695" s="65"/>
      <c r="C695" s="65"/>
      <c r="D695" s="65"/>
      <c r="E695" s="65"/>
      <c r="F695" s="6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65"/>
      <c r="B696" s="65"/>
      <c r="C696" s="65"/>
      <c r="D696" s="65"/>
      <c r="E696" s="65"/>
      <c r="F696" s="6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65"/>
      <c r="B697" s="65"/>
      <c r="C697" s="65"/>
      <c r="D697" s="65"/>
      <c r="E697" s="65"/>
      <c r="F697" s="6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65"/>
      <c r="B698" s="65"/>
      <c r="C698" s="65"/>
      <c r="D698" s="65"/>
      <c r="E698" s="65"/>
      <c r="F698" s="6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65"/>
      <c r="B699" s="65"/>
      <c r="C699" s="65"/>
      <c r="D699" s="65"/>
      <c r="E699" s="65"/>
      <c r="F699" s="6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65"/>
      <c r="B700" s="65"/>
      <c r="C700" s="65"/>
      <c r="D700" s="65"/>
      <c r="E700" s="65"/>
      <c r="F700" s="6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65"/>
      <c r="B701" s="65"/>
      <c r="C701" s="65"/>
      <c r="D701" s="65"/>
      <c r="E701" s="65"/>
      <c r="F701" s="6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65"/>
      <c r="B702" s="65"/>
      <c r="C702" s="65"/>
      <c r="D702" s="65"/>
      <c r="E702" s="65"/>
      <c r="F702" s="6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65"/>
      <c r="B703" s="65"/>
      <c r="C703" s="65"/>
      <c r="D703" s="65"/>
      <c r="E703" s="65"/>
      <c r="F703" s="6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65"/>
      <c r="B704" s="65"/>
      <c r="C704" s="65"/>
      <c r="D704" s="65"/>
      <c r="E704" s="65"/>
      <c r="F704" s="6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65"/>
      <c r="B705" s="65"/>
      <c r="C705" s="65"/>
      <c r="D705" s="65"/>
      <c r="E705" s="65"/>
      <c r="F705" s="6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65"/>
      <c r="B706" s="65"/>
      <c r="C706" s="65"/>
      <c r="D706" s="65"/>
      <c r="E706" s="65"/>
      <c r="F706" s="6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65"/>
      <c r="B707" s="65"/>
      <c r="C707" s="65"/>
      <c r="D707" s="65"/>
      <c r="E707" s="65"/>
      <c r="F707" s="6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65"/>
      <c r="B708" s="65"/>
      <c r="C708" s="65"/>
      <c r="D708" s="65"/>
      <c r="E708" s="65"/>
      <c r="F708" s="6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65"/>
      <c r="B709" s="65"/>
      <c r="C709" s="65"/>
      <c r="D709" s="65"/>
      <c r="E709" s="65"/>
      <c r="F709" s="6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65"/>
      <c r="B710" s="65"/>
      <c r="C710" s="65"/>
      <c r="D710" s="65"/>
      <c r="E710" s="65"/>
      <c r="F710" s="6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65"/>
      <c r="B711" s="65"/>
      <c r="C711" s="65"/>
      <c r="D711" s="65"/>
      <c r="E711" s="65"/>
      <c r="F711" s="6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65"/>
      <c r="B712" s="65"/>
      <c r="C712" s="65"/>
      <c r="D712" s="65"/>
      <c r="E712" s="65"/>
      <c r="F712" s="6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65"/>
      <c r="B713" s="65"/>
      <c r="C713" s="65"/>
      <c r="D713" s="65"/>
      <c r="E713" s="65"/>
      <c r="F713" s="6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65"/>
      <c r="B714" s="65"/>
      <c r="C714" s="65"/>
      <c r="D714" s="65"/>
      <c r="E714" s="65"/>
      <c r="F714" s="6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65"/>
      <c r="B715" s="65"/>
      <c r="C715" s="65"/>
      <c r="D715" s="65"/>
      <c r="E715" s="65"/>
      <c r="F715" s="6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65"/>
      <c r="B716" s="65"/>
      <c r="C716" s="65"/>
      <c r="D716" s="65"/>
      <c r="E716" s="65"/>
      <c r="F716" s="6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65"/>
      <c r="B717" s="65"/>
      <c r="C717" s="65"/>
      <c r="D717" s="65"/>
      <c r="E717" s="65"/>
      <c r="F717" s="6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65"/>
      <c r="B718" s="65"/>
      <c r="C718" s="65"/>
      <c r="D718" s="65"/>
      <c r="E718" s="65"/>
      <c r="F718" s="6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65"/>
      <c r="B719" s="65"/>
      <c r="C719" s="65"/>
      <c r="D719" s="65"/>
      <c r="E719" s="65"/>
      <c r="F719" s="6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65"/>
      <c r="B720" s="65"/>
      <c r="C720" s="65"/>
      <c r="D720" s="65"/>
      <c r="E720" s="65"/>
      <c r="F720" s="6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65"/>
      <c r="B721" s="65"/>
      <c r="C721" s="65"/>
      <c r="D721" s="65"/>
      <c r="E721" s="65"/>
      <c r="F721" s="6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65"/>
      <c r="B722" s="65"/>
      <c r="C722" s="65"/>
      <c r="D722" s="65"/>
      <c r="E722" s="65"/>
      <c r="F722" s="6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65"/>
      <c r="B723" s="65"/>
      <c r="C723" s="65"/>
      <c r="D723" s="65"/>
      <c r="E723" s="65"/>
      <c r="F723" s="6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65"/>
      <c r="B724" s="65"/>
      <c r="C724" s="65"/>
      <c r="D724" s="65"/>
      <c r="E724" s="65"/>
      <c r="F724" s="6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65"/>
      <c r="B725" s="65"/>
      <c r="C725" s="65"/>
      <c r="D725" s="65"/>
      <c r="E725" s="65"/>
      <c r="F725" s="6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65"/>
      <c r="B726" s="65"/>
      <c r="C726" s="65"/>
      <c r="D726" s="65"/>
      <c r="E726" s="65"/>
      <c r="F726" s="6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65"/>
      <c r="B727" s="65"/>
      <c r="C727" s="65"/>
      <c r="D727" s="65"/>
      <c r="E727" s="65"/>
      <c r="F727" s="6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65"/>
      <c r="B728" s="65"/>
      <c r="C728" s="65"/>
      <c r="D728" s="65"/>
      <c r="E728" s="65"/>
      <c r="F728" s="6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65"/>
      <c r="B729" s="65"/>
      <c r="C729" s="65"/>
      <c r="D729" s="65"/>
      <c r="E729" s="65"/>
      <c r="F729" s="6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65"/>
      <c r="B730" s="65"/>
      <c r="C730" s="65"/>
      <c r="D730" s="65"/>
      <c r="E730" s="65"/>
      <c r="F730" s="6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65"/>
      <c r="B731" s="65"/>
      <c r="C731" s="65"/>
      <c r="D731" s="65"/>
      <c r="E731" s="65"/>
      <c r="F731" s="6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65"/>
      <c r="B732" s="65"/>
      <c r="C732" s="65"/>
      <c r="D732" s="65"/>
      <c r="E732" s="65"/>
      <c r="F732" s="6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65"/>
      <c r="B733" s="65"/>
      <c r="C733" s="65"/>
      <c r="D733" s="65"/>
      <c r="E733" s="65"/>
      <c r="F733" s="6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65"/>
      <c r="B734" s="65"/>
      <c r="C734" s="65"/>
      <c r="D734" s="65"/>
      <c r="E734" s="65"/>
      <c r="F734" s="6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65"/>
      <c r="B735" s="65"/>
      <c r="C735" s="65"/>
      <c r="D735" s="65"/>
      <c r="E735" s="65"/>
      <c r="F735" s="6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65"/>
      <c r="B736" s="65"/>
      <c r="C736" s="65"/>
      <c r="D736" s="65"/>
      <c r="E736" s="65"/>
      <c r="F736" s="6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65"/>
      <c r="B737" s="65"/>
      <c r="C737" s="65"/>
      <c r="D737" s="65"/>
      <c r="E737" s="65"/>
      <c r="F737" s="6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65"/>
      <c r="B738" s="65"/>
      <c r="C738" s="65"/>
      <c r="D738" s="65"/>
      <c r="E738" s="65"/>
      <c r="F738" s="6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65"/>
      <c r="B739" s="65"/>
      <c r="C739" s="65"/>
      <c r="D739" s="65"/>
      <c r="E739" s="65"/>
      <c r="F739" s="6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65"/>
      <c r="B740" s="65"/>
      <c r="C740" s="65"/>
      <c r="D740" s="65"/>
      <c r="E740" s="65"/>
      <c r="F740" s="6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65"/>
      <c r="B741" s="65"/>
      <c r="C741" s="65"/>
      <c r="D741" s="65"/>
      <c r="E741" s="65"/>
      <c r="F741" s="6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65"/>
      <c r="B742" s="65"/>
      <c r="C742" s="65"/>
      <c r="D742" s="65"/>
      <c r="E742" s="65"/>
      <c r="F742" s="6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65"/>
      <c r="B743" s="65"/>
      <c r="C743" s="65"/>
      <c r="D743" s="65"/>
      <c r="E743" s="65"/>
      <c r="F743" s="6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65"/>
      <c r="B744" s="65"/>
      <c r="C744" s="65"/>
      <c r="D744" s="65"/>
      <c r="E744" s="65"/>
      <c r="F744" s="6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65"/>
      <c r="B745" s="65"/>
      <c r="C745" s="65"/>
      <c r="D745" s="65"/>
      <c r="E745" s="65"/>
      <c r="F745" s="6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65"/>
      <c r="B746" s="65"/>
      <c r="C746" s="65"/>
      <c r="D746" s="65"/>
      <c r="E746" s="65"/>
      <c r="F746" s="6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65"/>
      <c r="B747" s="65"/>
      <c r="C747" s="65"/>
      <c r="D747" s="65"/>
      <c r="E747" s="65"/>
      <c r="F747" s="6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65"/>
      <c r="B748" s="65"/>
      <c r="C748" s="65"/>
      <c r="D748" s="65"/>
      <c r="E748" s="65"/>
      <c r="F748" s="6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65"/>
      <c r="B749" s="65"/>
      <c r="C749" s="65"/>
      <c r="D749" s="65"/>
      <c r="E749" s="65"/>
      <c r="F749" s="6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65"/>
      <c r="B750" s="65"/>
      <c r="C750" s="65"/>
      <c r="D750" s="65"/>
      <c r="E750" s="65"/>
      <c r="F750" s="6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65"/>
      <c r="B751" s="65"/>
      <c r="C751" s="65"/>
      <c r="D751" s="65"/>
      <c r="E751" s="65"/>
      <c r="F751" s="6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65"/>
      <c r="B752" s="65"/>
      <c r="C752" s="65"/>
      <c r="D752" s="65"/>
      <c r="E752" s="65"/>
      <c r="F752" s="6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65"/>
      <c r="B753" s="65"/>
      <c r="C753" s="65"/>
      <c r="D753" s="65"/>
      <c r="E753" s="65"/>
      <c r="F753" s="6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65"/>
      <c r="B754" s="65"/>
      <c r="C754" s="65"/>
      <c r="D754" s="65"/>
      <c r="E754" s="65"/>
      <c r="F754" s="6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65"/>
      <c r="B755" s="65"/>
      <c r="C755" s="65"/>
      <c r="D755" s="65"/>
      <c r="E755" s="65"/>
      <c r="F755" s="6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65"/>
      <c r="B756" s="65"/>
      <c r="C756" s="65"/>
      <c r="D756" s="65"/>
      <c r="E756" s="65"/>
      <c r="F756" s="6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65"/>
      <c r="B757" s="65"/>
      <c r="C757" s="65"/>
      <c r="D757" s="65"/>
      <c r="E757" s="65"/>
      <c r="F757" s="6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65"/>
      <c r="B758" s="65"/>
      <c r="C758" s="65"/>
      <c r="D758" s="65"/>
      <c r="E758" s="65"/>
      <c r="F758" s="6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65"/>
      <c r="B759" s="65"/>
      <c r="C759" s="65"/>
      <c r="D759" s="65"/>
      <c r="E759" s="65"/>
      <c r="F759" s="6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65"/>
      <c r="B760" s="65"/>
      <c r="C760" s="65"/>
      <c r="D760" s="65"/>
      <c r="E760" s="65"/>
      <c r="F760" s="6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65"/>
      <c r="B761" s="65"/>
      <c r="C761" s="65"/>
      <c r="D761" s="65"/>
      <c r="E761" s="65"/>
      <c r="F761" s="6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65"/>
      <c r="B762" s="65"/>
      <c r="C762" s="65"/>
      <c r="D762" s="65"/>
      <c r="E762" s="65"/>
      <c r="F762" s="6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65"/>
      <c r="B763" s="65"/>
      <c r="C763" s="65"/>
      <c r="D763" s="65"/>
      <c r="E763" s="65"/>
      <c r="F763" s="6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65"/>
      <c r="B764" s="65"/>
      <c r="C764" s="65"/>
      <c r="D764" s="65"/>
      <c r="E764" s="65"/>
      <c r="F764" s="6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65"/>
      <c r="B765" s="65"/>
      <c r="C765" s="65"/>
      <c r="D765" s="65"/>
      <c r="E765" s="65"/>
      <c r="F765" s="6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65"/>
      <c r="B766" s="65"/>
      <c r="C766" s="65"/>
      <c r="D766" s="65"/>
      <c r="E766" s="65"/>
      <c r="F766" s="6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65"/>
      <c r="B767" s="65"/>
      <c r="C767" s="65"/>
      <c r="D767" s="65"/>
      <c r="E767" s="65"/>
      <c r="F767" s="6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65"/>
      <c r="B768" s="65"/>
      <c r="C768" s="65"/>
      <c r="D768" s="65"/>
      <c r="E768" s="65"/>
      <c r="F768" s="6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65"/>
      <c r="B769" s="65"/>
      <c r="C769" s="65"/>
      <c r="D769" s="65"/>
      <c r="E769" s="65"/>
      <c r="F769" s="6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65"/>
      <c r="B770" s="65"/>
      <c r="C770" s="65"/>
      <c r="D770" s="65"/>
      <c r="E770" s="65"/>
      <c r="F770" s="6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65"/>
      <c r="B771" s="65"/>
      <c r="C771" s="65"/>
      <c r="D771" s="65"/>
      <c r="E771" s="65"/>
      <c r="F771" s="6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65"/>
      <c r="B772" s="65"/>
      <c r="C772" s="65"/>
      <c r="D772" s="65"/>
      <c r="E772" s="65"/>
      <c r="F772" s="6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65"/>
      <c r="B773" s="65"/>
      <c r="C773" s="65"/>
      <c r="D773" s="65"/>
      <c r="E773" s="65"/>
      <c r="F773" s="6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65"/>
      <c r="B774" s="65"/>
      <c r="C774" s="65"/>
      <c r="D774" s="65"/>
      <c r="E774" s="65"/>
      <c r="F774" s="6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65"/>
      <c r="B775" s="65"/>
      <c r="C775" s="65"/>
      <c r="D775" s="65"/>
      <c r="E775" s="65"/>
      <c r="F775" s="6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65"/>
      <c r="B776" s="65"/>
      <c r="C776" s="65"/>
      <c r="D776" s="65"/>
      <c r="E776" s="65"/>
      <c r="F776" s="6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65"/>
      <c r="B777" s="65"/>
      <c r="C777" s="65"/>
      <c r="D777" s="65"/>
      <c r="E777" s="65"/>
      <c r="F777" s="6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65"/>
      <c r="B778" s="65"/>
      <c r="C778" s="65"/>
      <c r="D778" s="65"/>
      <c r="E778" s="65"/>
      <c r="F778" s="6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65"/>
      <c r="B779" s="65"/>
      <c r="C779" s="65"/>
      <c r="D779" s="65"/>
      <c r="E779" s="65"/>
      <c r="F779" s="6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65"/>
      <c r="B780" s="65"/>
      <c r="C780" s="65"/>
      <c r="D780" s="65"/>
      <c r="E780" s="65"/>
      <c r="F780" s="6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65"/>
      <c r="B781" s="65"/>
      <c r="C781" s="65"/>
      <c r="D781" s="65"/>
      <c r="E781" s="65"/>
      <c r="F781" s="6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65"/>
      <c r="B782" s="65"/>
      <c r="C782" s="65"/>
      <c r="D782" s="65"/>
      <c r="E782" s="65"/>
      <c r="F782" s="6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65"/>
      <c r="B783" s="65"/>
      <c r="C783" s="65"/>
      <c r="D783" s="65"/>
      <c r="E783" s="65"/>
      <c r="F783" s="6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65"/>
      <c r="B784" s="65"/>
      <c r="C784" s="65"/>
      <c r="D784" s="65"/>
      <c r="E784" s="65"/>
      <c r="F784" s="6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65"/>
      <c r="B785" s="65"/>
      <c r="C785" s="65"/>
      <c r="D785" s="65"/>
      <c r="E785" s="65"/>
      <c r="F785" s="6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65"/>
      <c r="B786" s="65"/>
      <c r="C786" s="65"/>
      <c r="D786" s="65"/>
      <c r="E786" s="65"/>
      <c r="F786" s="6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65"/>
      <c r="B787" s="65"/>
      <c r="C787" s="65"/>
      <c r="D787" s="65"/>
      <c r="E787" s="65"/>
      <c r="F787" s="6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65"/>
      <c r="B788" s="65"/>
      <c r="C788" s="65"/>
      <c r="D788" s="65"/>
      <c r="E788" s="65"/>
      <c r="F788" s="6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65"/>
      <c r="B789" s="65"/>
      <c r="C789" s="65"/>
      <c r="D789" s="65"/>
      <c r="E789" s="65"/>
      <c r="F789" s="6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65"/>
      <c r="B790" s="65"/>
      <c r="C790" s="65"/>
      <c r="D790" s="65"/>
      <c r="E790" s="65"/>
      <c r="F790" s="6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65"/>
      <c r="B791" s="65"/>
      <c r="C791" s="65"/>
      <c r="D791" s="65"/>
      <c r="E791" s="65"/>
      <c r="F791" s="6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65"/>
      <c r="B792" s="65"/>
      <c r="C792" s="65"/>
      <c r="D792" s="65"/>
      <c r="E792" s="65"/>
      <c r="F792" s="6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65"/>
      <c r="B793" s="65"/>
      <c r="C793" s="65"/>
      <c r="D793" s="65"/>
      <c r="E793" s="65"/>
      <c r="F793" s="6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65"/>
      <c r="B794" s="65"/>
      <c r="C794" s="65"/>
      <c r="D794" s="65"/>
      <c r="E794" s="65"/>
      <c r="F794" s="6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65"/>
      <c r="B795" s="65"/>
      <c r="C795" s="65"/>
      <c r="D795" s="65"/>
      <c r="E795" s="65"/>
      <c r="F795" s="6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65"/>
      <c r="B796" s="65"/>
      <c r="C796" s="65"/>
      <c r="D796" s="65"/>
      <c r="E796" s="65"/>
      <c r="F796" s="6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65"/>
      <c r="B797" s="65"/>
      <c r="C797" s="65"/>
      <c r="D797" s="65"/>
      <c r="E797" s="65"/>
      <c r="F797" s="6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65"/>
      <c r="B798" s="65"/>
      <c r="C798" s="65"/>
      <c r="D798" s="65"/>
      <c r="E798" s="65"/>
      <c r="F798" s="6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65"/>
      <c r="B799" s="65"/>
      <c r="C799" s="65"/>
      <c r="D799" s="65"/>
      <c r="E799" s="65"/>
      <c r="F799" s="6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65"/>
      <c r="B800" s="65"/>
      <c r="C800" s="65"/>
      <c r="D800" s="65"/>
      <c r="E800" s="65"/>
      <c r="F800" s="6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65"/>
      <c r="B801" s="65"/>
      <c r="C801" s="65"/>
      <c r="D801" s="65"/>
      <c r="E801" s="65"/>
      <c r="F801" s="6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65"/>
      <c r="B802" s="65"/>
      <c r="C802" s="65"/>
      <c r="D802" s="65"/>
      <c r="E802" s="65"/>
      <c r="F802" s="6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65"/>
      <c r="B803" s="65"/>
      <c r="C803" s="65"/>
      <c r="D803" s="65"/>
      <c r="E803" s="65"/>
      <c r="F803" s="6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65"/>
      <c r="B804" s="65"/>
      <c r="C804" s="65"/>
      <c r="D804" s="65"/>
      <c r="E804" s="65"/>
      <c r="F804" s="6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65"/>
      <c r="B805" s="65"/>
      <c r="C805" s="65"/>
      <c r="D805" s="65"/>
      <c r="E805" s="65"/>
      <c r="F805" s="6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65"/>
      <c r="B806" s="65"/>
      <c r="C806" s="65"/>
      <c r="D806" s="65"/>
      <c r="E806" s="65"/>
      <c r="F806" s="6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65"/>
      <c r="B807" s="65"/>
      <c r="C807" s="65"/>
      <c r="D807" s="65"/>
      <c r="E807" s="65"/>
      <c r="F807" s="6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65"/>
      <c r="B808" s="65"/>
      <c r="C808" s="65"/>
      <c r="D808" s="65"/>
      <c r="E808" s="65"/>
      <c r="F808" s="6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65"/>
      <c r="B809" s="65"/>
      <c r="C809" s="65"/>
      <c r="D809" s="65"/>
      <c r="E809" s="65"/>
      <c r="F809" s="6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65"/>
      <c r="B810" s="65"/>
      <c r="C810" s="65"/>
      <c r="D810" s="65"/>
      <c r="E810" s="65"/>
      <c r="F810" s="6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65"/>
      <c r="B811" s="65"/>
      <c r="C811" s="65"/>
      <c r="D811" s="65"/>
      <c r="E811" s="65"/>
      <c r="F811" s="6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65"/>
      <c r="B812" s="65"/>
      <c r="C812" s="65"/>
      <c r="D812" s="65"/>
      <c r="E812" s="65"/>
      <c r="F812" s="6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65"/>
      <c r="B813" s="65"/>
      <c r="C813" s="65"/>
      <c r="D813" s="65"/>
      <c r="E813" s="65"/>
      <c r="F813" s="6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65"/>
      <c r="B814" s="65"/>
      <c r="C814" s="65"/>
      <c r="D814" s="65"/>
      <c r="E814" s="65"/>
      <c r="F814" s="6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65"/>
      <c r="B815" s="65"/>
      <c r="C815" s="65"/>
      <c r="D815" s="65"/>
      <c r="E815" s="65"/>
      <c r="F815" s="6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65"/>
      <c r="B816" s="65"/>
      <c r="C816" s="65"/>
      <c r="D816" s="65"/>
      <c r="E816" s="65"/>
      <c r="F816" s="6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65"/>
      <c r="B817" s="65"/>
      <c r="C817" s="65"/>
      <c r="D817" s="65"/>
      <c r="E817" s="65"/>
      <c r="F817" s="6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65"/>
      <c r="B818" s="65"/>
      <c r="C818" s="65"/>
      <c r="D818" s="65"/>
      <c r="E818" s="65"/>
      <c r="F818" s="6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65"/>
      <c r="B819" s="65"/>
      <c r="C819" s="65"/>
      <c r="D819" s="65"/>
      <c r="E819" s="65"/>
      <c r="F819" s="6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65"/>
      <c r="B820" s="65"/>
      <c r="C820" s="65"/>
      <c r="D820" s="65"/>
      <c r="E820" s="65"/>
      <c r="F820" s="6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65"/>
      <c r="B821" s="65"/>
      <c r="C821" s="65"/>
      <c r="D821" s="65"/>
      <c r="E821" s="65"/>
      <c r="F821" s="6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65"/>
      <c r="B822" s="65"/>
      <c r="C822" s="65"/>
      <c r="D822" s="65"/>
      <c r="E822" s="65"/>
      <c r="F822" s="6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65"/>
      <c r="B823" s="65"/>
      <c r="C823" s="65"/>
      <c r="D823" s="65"/>
      <c r="E823" s="65"/>
      <c r="F823" s="6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65"/>
      <c r="B824" s="65"/>
      <c r="C824" s="65"/>
      <c r="D824" s="65"/>
      <c r="E824" s="65"/>
      <c r="F824" s="6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65"/>
      <c r="B825" s="65"/>
      <c r="C825" s="65"/>
      <c r="D825" s="65"/>
      <c r="E825" s="65"/>
      <c r="F825" s="6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65"/>
      <c r="B826" s="65"/>
      <c r="C826" s="65"/>
      <c r="D826" s="65"/>
      <c r="E826" s="65"/>
      <c r="F826" s="6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65"/>
      <c r="B827" s="65"/>
      <c r="C827" s="65"/>
      <c r="D827" s="65"/>
      <c r="E827" s="65"/>
      <c r="F827" s="6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65"/>
      <c r="B828" s="65"/>
      <c r="C828" s="65"/>
      <c r="D828" s="65"/>
      <c r="E828" s="65"/>
      <c r="F828" s="6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65"/>
      <c r="B829" s="65"/>
      <c r="C829" s="65"/>
      <c r="D829" s="65"/>
      <c r="E829" s="65"/>
      <c r="F829" s="6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65"/>
      <c r="B830" s="65"/>
      <c r="C830" s="65"/>
      <c r="D830" s="65"/>
      <c r="E830" s="65"/>
      <c r="F830" s="6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65"/>
      <c r="B831" s="65"/>
      <c r="C831" s="65"/>
      <c r="D831" s="65"/>
      <c r="E831" s="65"/>
      <c r="F831" s="6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65"/>
      <c r="B832" s="65"/>
      <c r="C832" s="65"/>
      <c r="D832" s="65"/>
      <c r="E832" s="65"/>
      <c r="F832" s="6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65"/>
      <c r="B833" s="65"/>
      <c r="C833" s="65"/>
      <c r="D833" s="65"/>
      <c r="E833" s="65"/>
      <c r="F833" s="6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65"/>
      <c r="B834" s="65"/>
      <c r="C834" s="65"/>
      <c r="D834" s="65"/>
      <c r="E834" s="65"/>
      <c r="F834" s="6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65"/>
      <c r="B835" s="65"/>
      <c r="C835" s="65"/>
      <c r="D835" s="65"/>
      <c r="E835" s="65"/>
      <c r="F835" s="6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65"/>
      <c r="B836" s="65"/>
      <c r="C836" s="65"/>
      <c r="D836" s="65"/>
      <c r="E836" s="65"/>
      <c r="F836" s="6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65"/>
      <c r="B837" s="65"/>
      <c r="C837" s="65"/>
      <c r="D837" s="65"/>
      <c r="E837" s="65"/>
      <c r="F837" s="6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65"/>
      <c r="B838" s="65"/>
      <c r="C838" s="65"/>
      <c r="D838" s="65"/>
      <c r="E838" s="65"/>
      <c r="F838" s="6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65"/>
      <c r="B839" s="65"/>
      <c r="C839" s="65"/>
      <c r="D839" s="65"/>
      <c r="E839" s="65"/>
      <c r="F839" s="6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65"/>
      <c r="B840" s="65"/>
      <c r="C840" s="65"/>
      <c r="D840" s="65"/>
      <c r="E840" s="65"/>
      <c r="F840" s="6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65"/>
      <c r="B841" s="65"/>
      <c r="C841" s="65"/>
      <c r="D841" s="65"/>
      <c r="E841" s="65"/>
      <c r="F841" s="6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65"/>
      <c r="B842" s="65"/>
      <c r="C842" s="65"/>
      <c r="D842" s="65"/>
      <c r="E842" s="65"/>
      <c r="F842" s="6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65"/>
      <c r="B843" s="65"/>
      <c r="C843" s="65"/>
      <c r="D843" s="65"/>
      <c r="E843" s="65"/>
      <c r="F843" s="6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65"/>
      <c r="B844" s="65"/>
      <c r="C844" s="65"/>
      <c r="D844" s="65"/>
      <c r="E844" s="65"/>
      <c r="F844" s="6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65"/>
      <c r="B845" s="65"/>
      <c r="C845" s="65"/>
      <c r="D845" s="65"/>
      <c r="E845" s="65"/>
      <c r="F845" s="6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65"/>
      <c r="B846" s="65"/>
      <c r="C846" s="65"/>
      <c r="D846" s="65"/>
      <c r="E846" s="65"/>
      <c r="F846" s="6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65"/>
      <c r="B847" s="65"/>
      <c r="C847" s="65"/>
      <c r="D847" s="65"/>
      <c r="E847" s="65"/>
      <c r="F847" s="6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65"/>
      <c r="B848" s="65"/>
      <c r="C848" s="65"/>
      <c r="D848" s="65"/>
      <c r="E848" s="65"/>
      <c r="F848" s="6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65"/>
      <c r="B849" s="65"/>
      <c r="C849" s="65"/>
      <c r="D849" s="65"/>
      <c r="E849" s="65"/>
      <c r="F849" s="6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65"/>
      <c r="B850" s="65"/>
      <c r="C850" s="65"/>
      <c r="D850" s="65"/>
      <c r="E850" s="65"/>
      <c r="F850" s="6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65"/>
      <c r="B851" s="65"/>
      <c r="C851" s="65"/>
      <c r="D851" s="65"/>
      <c r="E851" s="65"/>
      <c r="F851" s="6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65"/>
      <c r="B852" s="65"/>
      <c r="C852" s="65"/>
      <c r="D852" s="65"/>
      <c r="E852" s="65"/>
      <c r="F852" s="6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65"/>
      <c r="B853" s="65"/>
      <c r="C853" s="65"/>
      <c r="D853" s="65"/>
      <c r="E853" s="65"/>
      <c r="F853" s="6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65"/>
      <c r="B854" s="65"/>
      <c r="C854" s="65"/>
      <c r="D854" s="65"/>
      <c r="E854" s="65"/>
      <c r="F854" s="6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65"/>
      <c r="B855" s="65"/>
      <c r="C855" s="65"/>
      <c r="D855" s="65"/>
      <c r="E855" s="65"/>
      <c r="F855" s="6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65"/>
      <c r="B856" s="65"/>
      <c r="C856" s="65"/>
      <c r="D856" s="65"/>
      <c r="E856" s="65"/>
      <c r="F856" s="6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65"/>
      <c r="B857" s="65"/>
      <c r="C857" s="65"/>
      <c r="D857" s="65"/>
      <c r="E857" s="65"/>
      <c r="F857" s="6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65"/>
      <c r="B858" s="65"/>
      <c r="C858" s="65"/>
      <c r="D858" s="65"/>
      <c r="E858" s="65"/>
      <c r="F858" s="6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65"/>
      <c r="B859" s="65"/>
      <c r="C859" s="65"/>
      <c r="D859" s="65"/>
      <c r="E859" s="65"/>
      <c r="F859" s="6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65"/>
      <c r="B860" s="65"/>
      <c r="C860" s="65"/>
      <c r="D860" s="65"/>
      <c r="E860" s="65"/>
      <c r="F860" s="6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65"/>
      <c r="B861" s="65"/>
      <c r="C861" s="65"/>
      <c r="D861" s="65"/>
      <c r="E861" s="65"/>
      <c r="F861" s="6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65"/>
      <c r="B862" s="65"/>
      <c r="C862" s="65"/>
      <c r="D862" s="65"/>
      <c r="E862" s="65"/>
      <c r="F862" s="6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65"/>
      <c r="B863" s="65"/>
      <c r="C863" s="65"/>
      <c r="D863" s="65"/>
      <c r="E863" s="65"/>
      <c r="F863" s="6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65"/>
      <c r="B864" s="65"/>
      <c r="C864" s="65"/>
      <c r="D864" s="65"/>
      <c r="E864" s="65"/>
      <c r="F864" s="6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65"/>
      <c r="B865" s="65"/>
      <c r="C865" s="65"/>
      <c r="D865" s="65"/>
      <c r="E865" s="65"/>
      <c r="F865" s="6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65"/>
      <c r="B866" s="65"/>
      <c r="C866" s="65"/>
      <c r="D866" s="65"/>
      <c r="E866" s="65"/>
      <c r="F866" s="6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65"/>
      <c r="B867" s="65"/>
      <c r="C867" s="65"/>
      <c r="D867" s="65"/>
      <c r="E867" s="65"/>
      <c r="F867" s="6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65"/>
      <c r="B868" s="65"/>
      <c r="C868" s="65"/>
      <c r="D868" s="65"/>
      <c r="E868" s="65"/>
      <c r="F868" s="6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65"/>
      <c r="B869" s="65"/>
      <c r="C869" s="65"/>
      <c r="D869" s="65"/>
      <c r="E869" s="65"/>
      <c r="F869" s="6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65"/>
      <c r="B870" s="65"/>
      <c r="C870" s="65"/>
      <c r="D870" s="65"/>
      <c r="E870" s="65"/>
      <c r="F870" s="6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65"/>
      <c r="B871" s="65"/>
      <c r="C871" s="65"/>
      <c r="D871" s="65"/>
      <c r="E871" s="65"/>
      <c r="F871" s="6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65"/>
      <c r="B872" s="65"/>
      <c r="C872" s="65"/>
      <c r="D872" s="65"/>
      <c r="E872" s="65"/>
      <c r="F872" s="6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65"/>
      <c r="B873" s="65"/>
      <c r="C873" s="65"/>
      <c r="D873" s="65"/>
      <c r="E873" s="65"/>
      <c r="F873" s="6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65"/>
      <c r="B874" s="65"/>
      <c r="C874" s="65"/>
      <c r="D874" s="65"/>
      <c r="E874" s="65"/>
      <c r="F874" s="6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65"/>
      <c r="B875" s="65"/>
      <c r="C875" s="65"/>
      <c r="D875" s="65"/>
      <c r="E875" s="65"/>
      <c r="F875" s="6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65"/>
      <c r="B876" s="65"/>
      <c r="C876" s="65"/>
      <c r="D876" s="65"/>
      <c r="E876" s="65"/>
      <c r="F876" s="6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65"/>
      <c r="B877" s="65"/>
      <c r="C877" s="65"/>
      <c r="D877" s="65"/>
      <c r="E877" s="65"/>
      <c r="F877" s="6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65"/>
      <c r="B878" s="65"/>
      <c r="C878" s="65"/>
      <c r="D878" s="65"/>
      <c r="E878" s="65"/>
      <c r="F878" s="6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65"/>
      <c r="B879" s="65"/>
      <c r="C879" s="65"/>
      <c r="D879" s="65"/>
      <c r="E879" s="65"/>
      <c r="F879" s="6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65"/>
      <c r="B880" s="65"/>
      <c r="C880" s="65"/>
      <c r="D880" s="65"/>
      <c r="E880" s="65"/>
      <c r="F880" s="6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65"/>
      <c r="B881" s="65"/>
      <c r="C881" s="65"/>
      <c r="D881" s="65"/>
      <c r="E881" s="65"/>
      <c r="F881" s="6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65"/>
      <c r="B882" s="65"/>
      <c r="C882" s="65"/>
      <c r="D882" s="65"/>
      <c r="E882" s="65"/>
      <c r="F882" s="6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65"/>
      <c r="B883" s="65"/>
      <c r="C883" s="65"/>
      <c r="D883" s="65"/>
      <c r="E883" s="65"/>
      <c r="F883" s="6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65"/>
      <c r="B884" s="65"/>
      <c r="C884" s="65"/>
      <c r="D884" s="65"/>
      <c r="E884" s="65"/>
      <c r="F884" s="6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65"/>
      <c r="B885" s="65"/>
      <c r="C885" s="65"/>
      <c r="D885" s="65"/>
      <c r="E885" s="65"/>
      <c r="F885" s="6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65"/>
      <c r="B886" s="65"/>
      <c r="C886" s="65"/>
      <c r="D886" s="65"/>
      <c r="E886" s="65"/>
      <c r="F886" s="6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65"/>
      <c r="B887" s="65"/>
      <c r="C887" s="65"/>
      <c r="D887" s="65"/>
      <c r="E887" s="65"/>
      <c r="F887" s="6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65"/>
      <c r="B888" s="65"/>
      <c r="C888" s="65"/>
      <c r="D888" s="65"/>
      <c r="E888" s="65"/>
      <c r="F888" s="6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65"/>
      <c r="B889" s="65"/>
      <c r="C889" s="65"/>
      <c r="D889" s="65"/>
      <c r="E889" s="65"/>
      <c r="F889" s="6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65"/>
      <c r="B890" s="65"/>
      <c r="C890" s="65"/>
      <c r="D890" s="65"/>
      <c r="E890" s="65"/>
      <c r="F890" s="6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65"/>
      <c r="B891" s="65"/>
      <c r="C891" s="65"/>
      <c r="D891" s="65"/>
      <c r="E891" s="65"/>
      <c r="F891" s="6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65"/>
      <c r="B892" s="65"/>
      <c r="C892" s="65"/>
      <c r="D892" s="65"/>
      <c r="E892" s="65"/>
      <c r="F892" s="6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65"/>
      <c r="B893" s="65"/>
      <c r="C893" s="65"/>
      <c r="D893" s="65"/>
      <c r="E893" s="65"/>
      <c r="F893" s="6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65"/>
      <c r="B894" s="65"/>
      <c r="C894" s="65"/>
      <c r="D894" s="65"/>
      <c r="E894" s="65"/>
      <c r="F894" s="6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65"/>
      <c r="B895" s="65"/>
      <c r="C895" s="65"/>
      <c r="D895" s="65"/>
      <c r="E895" s="65"/>
      <c r="F895" s="6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65"/>
      <c r="B896" s="65"/>
      <c r="C896" s="65"/>
      <c r="D896" s="65"/>
      <c r="E896" s="65"/>
      <c r="F896" s="6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65"/>
      <c r="B897" s="65"/>
      <c r="C897" s="65"/>
      <c r="D897" s="65"/>
      <c r="E897" s="65"/>
      <c r="F897" s="6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65"/>
      <c r="B898" s="65"/>
      <c r="C898" s="65"/>
      <c r="D898" s="65"/>
      <c r="E898" s="65"/>
      <c r="F898" s="6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65"/>
      <c r="B899" s="65"/>
      <c r="C899" s="65"/>
      <c r="D899" s="65"/>
      <c r="E899" s="65"/>
      <c r="F899" s="6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65"/>
      <c r="B900" s="65"/>
      <c r="C900" s="65"/>
      <c r="D900" s="65"/>
      <c r="E900" s="65"/>
      <c r="F900" s="6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65"/>
      <c r="B901" s="65"/>
      <c r="C901" s="65"/>
      <c r="D901" s="65"/>
      <c r="E901" s="65"/>
      <c r="F901" s="6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65"/>
      <c r="B902" s="65"/>
      <c r="C902" s="65"/>
      <c r="D902" s="65"/>
      <c r="E902" s="65"/>
      <c r="F902" s="6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65"/>
      <c r="B903" s="65"/>
      <c r="C903" s="65"/>
      <c r="D903" s="65"/>
      <c r="E903" s="65"/>
      <c r="F903" s="6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65"/>
      <c r="B904" s="65"/>
      <c r="C904" s="65"/>
      <c r="D904" s="65"/>
      <c r="E904" s="65"/>
      <c r="F904" s="6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65"/>
      <c r="B905" s="65"/>
      <c r="C905" s="65"/>
      <c r="D905" s="65"/>
      <c r="E905" s="65"/>
      <c r="F905" s="6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65"/>
      <c r="B906" s="65"/>
      <c r="C906" s="65"/>
      <c r="D906" s="65"/>
      <c r="E906" s="65"/>
      <c r="F906" s="6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65"/>
      <c r="B907" s="65"/>
      <c r="C907" s="65"/>
      <c r="D907" s="65"/>
      <c r="E907" s="65"/>
      <c r="F907" s="6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65"/>
      <c r="B908" s="65"/>
      <c r="C908" s="65"/>
      <c r="D908" s="65"/>
      <c r="E908" s="65"/>
      <c r="F908" s="6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65"/>
      <c r="B909" s="65"/>
      <c r="C909" s="65"/>
      <c r="D909" s="65"/>
      <c r="E909" s="65"/>
      <c r="F909" s="6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65"/>
      <c r="B910" s="65"/>
      <c r="C910" s="65"/>
      <c r="D910" s="65"/>
      <c r="E910" s="65"/>
      <c r="F910" s="6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65"/>
      <c r="B911" s="65"/>
      <c r="C911" s="65"/>
      <c r="D911" s="65"/>
      <c r="E911" s="65"/>
      <c r="F911" s="6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65"/>
      <c r="B912" s="65"/>
      <c r="C912" s="65"/>
      <c r="D912" s="65"/>
      <c r="E912" s="65"/>
      <c r="F912" s="6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65"/>
      <c r="B913" s="65"/>
      <c r="C913" s="65"/>
      <c r="D913" s="65"/>
      <c r="E913" s="65"/>
      <c r="F913" s="6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65"/>
      <c r="B914" s="65"/>
      <c r="C914" s="65"/>
      <c r="D914" s="65"/>
      <c r="E914" s="65"/>
      <c r="F914" s="6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65"/>
      <c r="B915" s="65"/>
      <c r="C915" s="65"/>
      <c r="D915" s="65"/>
      <c r="E915" s="65"/>
      <c r="F915" s="6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65"/>
      <c r="B916" s="65"/>
      <c r="C916" s="65"/>
      <c r="D916" s="65"/>
      <c r="E916" s="65"/>
      <c r="F916" s="6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65"/>
      <c r="B917" s="65"/>
      <c r="C917" s="65"/>
      <c r="D917" s="65"/>
      <c r="E917" s="65"/>
      <c r="F917" s="6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65"/>
      <c r="B918" s="65"/>
      <c r="C918" s="65"/>
      <c r="D918" s="65"/>
      <c r="E918" s="65"/>
      <c r="F918" s="6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65"/>
      <c r="B919" s="65"/>
      <c r="C919" s="65"/>
      <c r="D919" s="65"/>
      <c r="E919" s="65"/>
      <c r="F919" s="6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65"/>
      <c r="B920" s="65"/>
      <c r="C920" s="65"/>
      <c r="D920" s="65"/>
      <c r="E920" s="65"/>
      <c r="F920" s="6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65"/>
      <c r="B921" s="65"/>
      <c r="C921" s="65"/>
      <c r="D921" s="65"/>
      <c r="E921" s="65"/>
      <c r="F921" s="6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65"/>
      <c r="B922" s="65"/>
      <c r="C922" s="65"/>
      <c r="D922" s="65"/>
      <c r="E922" s="65"/>
      <c r="F922" s="6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65"/>
      <c r="B923" s="65"/>
      <c r="C923" s="65"/>
      <c r="D923" s="65"/>
      <c r="E923" s="65"/>
      <c r="F923" s="6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65"/>
      <c r="B924" s="65"/>
      <c r="C924" s="65"/>
      <c r="D924" s="65"/>
      <c r="E924" s="65"/>
      <c r="F924" s="6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65"/>
      <c r="B925" s="65"/>
      <c r="C925" s="65"/>
      <c r="D925" s="65"/>
      <c r="E925" s="65"/>
      <c r="F925" s="6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65"/>
      <c r="B926" s="65"/>
      <c r="C926" s="65"/>
      <c r="D926" s="65"/>
      <c r="E926" s="65"/>
      <c r="F926" s="6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65"/>
      <c r="B927" s="65"/>
      <c r="C927" s="65"/>
      <c r="D927" s="65"/>
      <c r="E927" s="65"/>
      <c r="F927" s="6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65"/>
      <c r="B928" s="65"/>
      <c r="C928" s="65"/>
      <c r="D928" s="65"/>
      <c r="E928" s="65"/>
      <c r="F928" s="6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65"/>
      <c r="B929" s="65"/>
      <c r="C929" s="65"/>
      <c r="D929" s="65"/>
      <c r="E929" s="65"/>
      <c r="F929" s="6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65"/>
      <c r="B930" s="65"/>
      <c r="C930" s="65"/>
      <c r="D930" s="65"/>
      <c r="E930" s="65"/>
      <c r="F930" s="6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65"/>
      <c r="B931" s="65"/>
      <c r="C931" s="65"/>
      <c r="D931" s="65"/>
      <c r="E931" s="65"/>
      <c r="F931" s="6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65"/>
      <c r="B932" s="65"/>
      <c r="C932" s="65"/>
      <c r="D932" s="65"/>
      <c r="E932" s="65"/>
      <c r="F932" s="6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65"/>
      <c r="B933" s="65"/>
      <c r="C933" s="65"/>
      <c r="D933" s="65"/>
      <c r="E933" s="65"/>
      <c r="F933" s="6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65"/>
      <c r="B934" s="65"/>
      <c r="C934" s="65"/>
      <c r="D934" s="65"/>
      <c r="E934" s="65"/>
      <c r="F934" s="6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65"/>
      <c r="B935" s="65"/>
      <c r="C935" s="65"/>
      <c r="D935" s="65"/>
      <c r="E935" s="65"/>
      <c r="F935" s="6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65"/>
      <c r="B936" s="65"/>
      <c r="C936" s="65"/>
      <c r="D936" s="65"/>
      <c r="E936" s="65"/>
      <c r="F936" s="6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65"/>
      <c r="B937" s="65"/>
      <c r="C937" s="65"/>
      <c r="D937" s="65"/>
      <c r="E937" s="65"/>
      <c r="F937" s="6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65"/>
      <c r="B938" s="65"/>
      <c r="C938" s="65"/>
      <c r="D938" s="65"/>
      <c r="E938" s="65"/>
      <c r="F938" s="6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65"/>
      <c r="B939" s="65"/>
      <c r="C939" s="65"/>
      <c r="D939" s="65"/>
      <c r="E939" s="65"/>
      <c r="F939" s="6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65"/>
      <c r="B940" s="65"/>
      <c r="C940" s="65"/>
      <c r="D940" s="65"/>
      <c r="E940" s="65"/>
      <c r="F940" s="6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65"/>
      <c r="B941" s="65"/>
      <c r="C941" s="65"/>
      <c r="D941" s="65"/>
      <c r="E941" s="65"/>
      <c r="F941" s="6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65"/>
      <c r="B942" s="65"/>
      <c r="C942" s="65"/>
      <c r="D942" s="65"/>
      <c r="E942" s="65"/>
      <c r="F942" s="6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65"/>
      <c r="B943" s="65"/>
      <c r="C943" s="65"/>
      <c r="D943" s="65"/>
      <c r="E943" s="65"/>
      <c r="F943" s="6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65"/>
      <c r="B944" s="65"/>
      <c r="C944" s="65"/>
      <c r="D944" s="65"/>
      <c r="E944" s="65"/>
      <c r="F944" s="6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65"/>
      <c r="B945" s="65"/>
      <c r="C945" s="65"/>
      <c r="D945" s="65"/>
      <c r="E945" s="65"/>
      <c r="F945" s="6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65"/>
      <c r="B946" s="65"/>
      <c r="C946" s="65"/>
      <c r="D946" s="65"/>
      <c r="E946" s="65"/>
      <c r="F946" s="6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65"/>
      <c r="B947" s="65"/>
      <c r="C947" s="65"/>
      <c r="D947" s="65"/>
      <c r="E947" s="65"/>
      <c r="F947" s="6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65"/>
      <c r="B948" s="65"/>
      <c r="C948" s="65"/>
      <c r="D948" s="65"/>
      <c r="E948" s="65"/>
      <c r="F948" s="6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65"/>
      <c r="B949" s="65"/>
      <c r="C949" s="65"/>
      <c r="D949" s="65"/>
      <c r="E949" s="65"/>
      <c r="F949" s="6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65"/>
      <c r="B950" s="65"/>
      <c r="C950" s="65"/>
      <c r="D950" s="65"/>
      <c r="E950" s="65"/>
      <c r="F950" s="6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65"/>
      <c r="B951" s="65"/>
      <c r="C951" s="65"/>
      <c r="D951" s="65"/>
      <c r="E951" s="65"/>
      <c r="F951" s="6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65"/>
      <c r="B952" s="65"/>
      <c r="C952" s="65"/>
      <c r="D952" s="65"/>
      <c r="E952" s="65"/>
      <c r="F952" s="6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65"/>
      <c r="B953" s="65"/>
      <c r="C953" s="65"/>
      <c r="D953" s="65"/>
      <c r="E953" s="65"/>
      <c r="F953" s="6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65"/>
      <c r="B954" s="65"/>
      <c r="C954" s="65"/>
      <c r="D954" s="65"/>
      <c r="E954" s="65"/>
      <c r="F954" s="6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65"/>
      <c r="B955" s="65"/>
      <c r="C955" s="65"/>
      <c r="D955" s="65"/>
      <c r="E955" s="65"/>
      <c r="F955" s="6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65"/>
      <c r="B956" s="65"/>
      <c r="C956" s="65"/>
      <c r="D956" s="65"/>
      <c r="E956" s="65"/>
      <c r="F956" s="6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65"/>
      <c r="B957" s="65"/>
      <c r="C957" s="65"/>
      <c r="D957" s="65"/>
      <c r="E957" s="65"/>
      <c r="F957" s="6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65"/>
      <c r="B958" s="65"/>
      <c r="C958" s="65"/>
      <c r="D958" s="65"/>
      <c r="E958" s="65"/>
      <c r="F958" s="6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65"/>
      <c r="B959" s="65"/>
      <c r="C959" s="65"/>
      <c r="D959" s="65"/>
      <c r="E959" s="65"/>
      <c r="F959" s="6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65"/>
      <c r="B960" s="65"/>
      <c r="C960" s="65"/>
      <c r="D960" s="65"/>
      <c r="E960" s="65"/>
      <c r="F960" s="6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65"/>
      <c r="B961" s="65"/>
      <c r="C961" s="65"/>
      <c r="D961" s="65"/>
      <c r="E961" s="65"/>
      <c r="F961" s="6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65"/>
      <c r="B962" s="65"/>
      <c r="C962" s="65"/>
      <c r="D962" s="65"/>
      <c r="E962" s="65"/>
      <c r="F962" s="6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65"/>
      <c r="B963" s="65"/>
      <c r="C963" s="65"/>
      <c r="D963" s="65"/>
      <c r="E963" s="65"/>
      <c r="F963" s="6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65"/>
      <c r="B964" s="65"/>
      <c r="C964" s="65"/>
      <c r="D964" s="65"/>
      <c r="E964" s="65"/>
      <c r="F964" s="6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65"/>
      <c r="B965" s="65"/>
      <c r="C965" s="65"/>
      <c r="D965" s="65"/>
      <c r="E965" s="65"/>
      <c r="F965" s="6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65"/>
      <c r="B966" s="65"/>
      <c r="C966" s="65"/>
      <c r="D966" s="65"/>
      <c r="E966" s="65"/>
      <c r="F966" s="6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65"/>
      <c r="B967" s="65"/>
      <c r="C967" s="65"/>
      <c r="D967" s="65"/>
      <c r="E967" s="65"/>
      <c r="F967" s="6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65"/>
      <c r="B968" s="65"/>
      <c r="C968" s="65"/>
      <c r="D968" s="65"/>
      <c r="E968" s="65"/>
      <c r="F968" s="6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65"/>
      <c r="B969" s="65"/>
      <c r="C969" s="65"/>
      <c r="D969" s="65"/>
      <c r="E969" s="65"/>
      <c r="F969" s="6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65"/>
      <c r="B970" s="65"/>
      <c r="C970" s="65"/>
      <c r="D970" s="65"/>
      <c r="E970" s="65"/>
      <c r="F970" s="6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65"/>
      <c r="B971" s="65"/>
      <c r="C971" s="65"/>
      <c r="D971" s="65"/>
      <c r="E971" s="65"/>
      <c r="F971" s="6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65"/>
      <c r="B972" s="65"/>
      <c r="C972" s="65"/>
      <c r="D972" s="65"/>
      <c r="E972" s="65"/>
      <c r="F972" s="6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65"/>
      <c r="B973" s="65"/>
      <c r="C973" s="65"/>
      <c r="D973" s="65"/>
      <c r="E973" s="65"/>
      <c r="F973" s="6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65"/>
      <c r="B974" s="65"/>
      <c r="C974" s="65"/>
      <c r="D974" s="65"/>
      <c r="E974" s="65"/>
      <c r="F974" s="6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65"/>
      <c r="B975" s="65"/>
      <c r="C975" s="65"/>
      <c r="D975" s="65"/>
      <c r="E975" s="65"/>
      <c r="F975" s="6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65"/>
      <c r="B976" s="65"/>
      <c r="C976" s="65"/>
      <c r="D976" s="65"/>
      <c r="E976" s="65"/>
      <c r="F976" s="6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65"/>
      <c r="B977" s="65"/>
      <c r="C977" s="65"/>
      <c r="D977" s="65"/>
      <c r="E977" s="65"/>
      <c r="F977" s="6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65"/>
      <c r="B978" s="65"/>
      <c r="C978" s="65"/>
      <c r="D978" s="65"/>
      <c r="E978" s="65"/>
      <c r="F978" s="6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65"/>
      <c r="B979" s="65"/>
      <c r="C979" s="65"/>
      <c r="D979" s="65"/>
      <c r="E979" s="65"/>
      <c r="F979" s="6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65"/>
      <c r="B980" s="65"/>
      <c r="C980" s="65"/>
      <c r="D980" s="65"/>
      <c r="E980" s="65"/>
      <c r="F980" s="6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65"/>
      <c r="B981" s="65"/>
      <c r="C981" s="65"/>
      <c r="D981" s="65"/>
      <c r="E981" s="65"/>
      <c r="F981" s="6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65"/>
      <c r="B982" s="65"/>
      <c r="C982" s="65"/>
      <c r="D982" s="65"/>
      <c r="E982" s="65"/>
      <c r="F982" s="6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65"/>
      <c r="B983" s="65"/>
      <c r="C983" s="65"/>
      <c r="D983" s="65"/>
      <c r="E983" s="65"/>
      <c r="F983" s="6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65"/>
      <c r="B984" s="65"/>
      <c r="C984" s="65"/>
      <c r="D984" s="65"/>
      <c r="E984" s="65"/>
      <c r="F984" s="6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65"/>
      <c r="B985" s="65"/>
      <c r="C985" s="65"/>
      <c r="D985" s="65"/>
      <c r="E985" s="65"/>
      <c r="F985" s="6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65"/>
      <c r="B986" s="65"/>
      <c r="C986" s="65"/>
      <c r="D986" s="65"/>
      <c r="E986" s="65"/>
      <c r="F986" s="6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65"/>
      <c r="B987" s="65"/>
      <c r="C987" s="65"/>
      <c r="D987" s="65"/>
      <c r="E987" s="65"/>
      <c r="F987" s="6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65"/>
      <c r="B988" s="65"/>
      <c r="C988" s="65"/>
      <c r="D988" s="65"/>
      <c r="E988" s="65"/>
      <c r="F988" s="6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65"/>
      <c r="B989" s="65"/>
      <c r="C989" s="65"/>
      <c r="D989" s="65"/>
      <c r="E989" s="65"/>
      <c r="F989" s="6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65"/>
      <c r="B990" s="65"/>
      <c r="C990" s="65"/>
      <c r="D990" s="65"/>
      <c r="E990" s="65"/>
      <c r="F990" s="6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65"/>
      <c r="B991" s="65"/>
      <c r="C991" s="65"/>
      <c r="D991" s="65"/>
      <c r="E991" s="65"/>
      <c r="F991" s="6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65"/>
      <c r="B992" s="65"/>
      <c r="C992" s="65"/>
      <c r="D992" s="65"/>
      <c r="E992" s="65"/>
      <c r="F992" s="6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65"/>
      <c r="B993" s="65"/>
      <c r="C993" s="65"/>
      <c r="D993" s="65"/>
      <c r="E993" s="65"/>
      <c r="F993" s="6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65"/>
      <c r="B994" s="65"/>
      <c r="C994" s="65"/>
      <c r="D994" s="65"/>
      <c r="E994" s="65"/>
      <c r="F994" s="6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65"/>
      <c r="B995" s="65"/>
      <c r="C995" s="65"/>
      <c r="D995" s="65"/>
      <c r="E995" s="65"/>
      <c r="F995" s="6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65"/>
      <c r="B996" s="65"/>
      <c r="C996" s="65"/>
      <c r="D996" s="65"/>
      <c r="E996" s="65"/>
      <c r="F996" s="6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65"/>
      <c r="B997" s="65"/>
      <c r="C997" s="65"/>
      <c r="D997" s="65"/>
      <c r="E997" s="65"/>
      <c r="F997" s="6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65"/>
      <c r="B998" s="65"/>
      <c r="C998" s="65"/>
      <c r="D998" s="65"/>
      <c r="E998" s="65"/>
      <c r="F998" s="6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65"/>
      <c r="B999" s="65"/>
      <c r="C999" s="65"/>
      <c r="D999" s="65"/>
      <c r="E999" s="65"/>
      <c r="F999" s="6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>
      <c r="A1000" s="65"/>
      <c r="B1000" s="65"/>
      <c r="C1000" s="65"/>
      <c r="D1000" s="65"/>
      <c r="E1000" s="65"/>
      <c r="F1000" s="6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>
      <c r="A1001" s="65"/>
      <c r="B1001" s="65"/>
      <c r="C1001" s="65"/>
      <c r="D1001" s="65"/>
      <c r="E1001" s="65"/>
      <c r="F1001" s="6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>
      <c r="A1002" s="65"/>
      <c r="B1002" s="65"/>
      <c r="C1002" s="65"/>
      <c r="D1002" s="65"/>
      <c r="E1002" s="65"/>
      <c r="F1002" s="65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>
      <c r="A1003" s="65"/>
      <c r="B1003" s="65"/>
      <c r="C1003" s="65"/>
      <c r="D1003" s="65"/>
      <c r="E1003" s="65"/>
      <c r="F1003" s="65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>
      <c r="A1004" s="65"/>
      <c r="B1004" s="65"/>
      <c r="C1004" s="65"/>
      <c r="D1004" s="65"/>
      <c r="E1004" s="65"/>
      <c r="F1004" s="65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</sheetData>
  <hyperlinks>
    <hyperlink r:id="rId1" ref="J2"/>
    <hyperlink r:id="rId2" ref="K2"/>
    <hyperlink r:id="rId3" ref="L2"/>
    <hyperlink r:id="rId4" ref="M2"/>
    <hyperlink r:id="rId5" ref="N2"/>
    <hyperlink r:id="rId6" ref="J3"/>
    <hyperlink r:id="rId7" ref="K3"/>
    <hyperlink r:id="rId8" ref="L3"/>
    <hyperlink r:id="rId9" ref="M3"/>
    <hyperlink r:id="rId10" ref="N3"/>
    <hyperlink r:id="rId11" ref="O3"/>
    <hyperlink r:id="rId12" ref="P3"/>
    <hyperlink r:id="rId13" ref="Q3"/>
    <hyperlink r:id="rId14" ref="R3"/>
    <hyperlink r:id="rId15" ref="J4"/>
    <hyperlink r:id="rId16" ref="K4"/>
    <hyperlink r:id="rId17" ref="L4"/>
    <hyperlink r:id="rId18" ref="M4"/>
    <hyperlink r:id="rId19" ref="N4"/>
    <hyperlink r:id="rId20" ref="O4"/>
    <hyperlink r:id="rId21" ref="P4"/>
    <hyperlink r:id="rId22" ref="Q4"/>
    <hyperlink r:id="rId23" ref="R4"/>
    <hyperlink r:id="rId24" ref="J5"/>
    <hyperlink r:id="rId25" ref="K5"/>
    <hyperlink r:id="rId26" ref="L5"/>
    <hyperlink r:id="rId27" ref="M5"/>
    <hyperlink r:id="rId28" ref="N5"/>
    <hyperlink r:id="rId29" ref="O5"/>
    <hyperlink r:id="rId30" ref="P5"/>
    <hyperlink r:id="rId31" ref="J6"/>
    <hyperlink r:id="rId32" ref="K6"/>
    <hyperlink r:id="rId33" ref="L6"/>
    <hyperlink r:id="rId34" ref="M6"/>
    <hyperlink r:id="rId35" ref="N6"/>
    <hyperlink r:id="rId36" ref="O6"/>
    <hyperlink r:id="rId37" ref="P6"/>
    <hyperlink r:id="rId38" ref="Q6"/>
    <hyperlink r:id="rId39" ref="R6"/>
    <hyperlink r:id="rId40" ref="J7"/>
    <hyperlink r:id="rId41" ref="K7"/>
    <hyperlink r:id="rId42" ref="L7"/>
    <hyperlink r:id="rId43" ref="M7"/>
    <hyperlink r:id="rId44" ref="N7"/>
    <hyperlink r:id="rId45" ref="O7"/>
    <hyperlink r:id="rId46" ref="P7"/>
    <hyperlink r:id="rId47" ref="Q7"/>
    <hyperlink r:id="rId48" ref="R7"/>
    <hyperlink r:id="rId49" ref="J8"/>
    <hyperlink r:id="rId50" ref="K8"/>
    <hyperlink r:id="rId51" ref="L8"/>
    <hyperlink r:id="rId52" ref="M8"/>
    <hyperlink r:id="rId53" ref="N8"/>
    <hyperlink r:id="rId54" ref="O8"/>
    <hyperlink r:id="rId55" ref="P8"/>
    <hyperlink r:id="rId56" ref="Q8"/>
    <hyperlink r:id="rId57" ref="R8"/>
    <hyperlink r:id="rId58" ref="J9"/>
    <hyperlink r:id="rId59" ref="K9"/>
    <hyperlink r:id="rId60" ref="L9"/>
    <hyperlink r:id="rId61" ref="M9"/>
    <hyperlink r:id="rId62" ref="N9"/>
    <hyperlink r:id="rId63" ref="O9"/>
    <hyperlink r:id="rId64" ref="P9"/>
    <hyperlink r:id="rId65" ref="Q9"/>
    <hyperlink r:id="rId66" ref="R9"/>
    <hyperlink r:id="rId67" ref="J10"/>
    <hyperlink r:id="rId68" ref="K10"/>
    <hyperlink r:id="rId69" ref="L10"/>
    <hyperlink r:id="rId70" ref="M10"/>
    <hyperlink r:id="rId71" ref="N10"/>
    <hyperlink r:id="rId72" ref="O10"/>
    <hyperlink r:id="rId73" ref="P10"/>
    <hyperlink r:id="rId74" ref="Q10"/>
    <hyperlink r:id="rId75" ref="R10"/>
    <hyperlink r:id="rId76" ref="J11"/>
    <hyperlink r:id="rId77" ref="K11"/>
    <hyperlink r:id="rId78" ref="L11"/>
    <hyperlink r:id="rId79" ref="M11"/>
    <hyperlink r:id="rId80" ref="N11"/>
    <hyperlink r:id="rId81" ref="O11"/>
    <hyperlink r:id="rId82" ref="P11"/>
    <hyperlink r:id="rId83" ref="Q11"/>
    <hyperlink r:id="rId84" ref="R11"/>
    <hyperlink r:id="rId85" ref="J12"/>
    <hyperlink r:id="rId86" ref="K12"/>
    <hyperlink r:id="rId87" ref="L12"/>
    <hyperlink r:id="rId88" ref="M12"/>
    <hyperlink r:id="rId89" ref="N12"/>
    <hyperlink r:id="rId90" ref="O12"/>
    <hyperlink r:id="rId91" ref="P12"/>
    <hyperlink r:id="rId92" ref="Q12"/>
    <hyperlink r:id="rId93" ref="R12"/>
    <hyperlink r:id="rId94" ref="J13"/>
    <hyperlink r:id="rId95" ref="K13"/>
    <hyperlink r:id="rId96" ref="L13"/>
    <hyperlink r:id="rId97" ref="M13"/>
    <hyperlink r:id="rId98" ref="N13"/>
    <hyperlink r:id="rId99" ref="O13"/>
    <hyperlink r:id="rId100" ref="P13"/>
    <hyperlink r:id="rId101" ref="Q13"/>
    <hyperlink r:id="rId102" ref="R13"/>
    <hyperlink r:id="rId103" ref="J14"/>
    <hyperlink r:id="rId104" ref="K14"/>
    <hyperlink r:id="rId105" ref="L14"/>
    <hyperlink r:id="rId106" ref="M14"/>
    <hyperlink r:id="rId107" ref="N14"/>
    <hyperlink r:id="rId108" ref="O14"/>
    <hyperlink r:id="rId109" ref="P14"/>
    <hyperlink r:id="rId110" ref="Q14"/>
    <hyperlink r:id="rId111" ref="R14"/>
    <hyperlink r:id="rId112" ref="J15"/>
    <hyperlink r:id="rId113" ref="K15"/>
    <hyperlink r:id="rId114" ref="L15"/>
    <hyperlink r:id="rId115" ref="M15"/>
    <hyperlink r:id="rId116" ref="N15"/>
    <hyperlink r:id="rId117" ref="O15"/>
    <hyperlink r:id="rId118" ref="P15"/>
    <hyperlink r:id="rId119" ref="Q15"/>
    <hyperlink r:id="rId120" ref="R15"/>
    <hyperlink r:id="rId121" ref="J16"/>
    <hyperlink r:id="rId122" ref="K16"/>
    <hyperlink r:id="rId123" ref="L16"/>
    <hyperlink r:id="rId124" ref="M16"/>
    <hyperlink r:id="rId125" ref="N16"/>
    <hyperlink r:id="rId126" ref="O16"/>
    <hyperlink r:id="rId127" ref="P16"/>
    <hyperlink r:id="rId128" ref="Q16"/>
    <hyperlink r:id="rId129" ref="R16"/>
    <hyperlink r:id="rId130" ref="J17"/>
    <hyperlink r:id="rId131" ref="K17"/>
    <hyperlink r:id="rId132" ref="L17"/>
    <hyperlink r:id="rId133" ref="M17"/>
    <hyperlink r:id="rId134" ref="N17"/>
    <hyperlink r:id="rId135" ref="O17"/>
    <hyperlink r:id="rId136" ref="P17"/>
    <hyperlink r:id="rId137" ref="Q17"/>
    <hyperlink r:id="rId138" ref="R17"/>
    <hyperlink r:id="rId139" ref="J18"/>
    <hyperlink r:id="rId140" ref="K18"/>
    <hyperlink r:id="rId141" ref="L18"/>
    <hyperlink r:id="rId142" ref="M18"/>
    <hyperlink r:id="rId143" ref="N18"/>
    <hyperlink r:id="rId144" ref="O18"/>
    <hyperlink r:id="rId145" ref="P18"/>
    <hyperlink r:id="rId146" ref="Q18"/>
    <hyperlink r:id="rId147" ref="R18"/>
    <hyperlink r:id="rId148" ref="J19"/>
    <hyperlink r:id="rId149" ref="K19"/>
    <hyperlink r:id="rId150" ref="L19"/>
    <hyperlink r:id="rId151" ref="M19"/>
    <hyperlink r:id="rId152" ref="N19"/>
    <hyperlink r:id="rId153" ref="O19"/>
    <hyperlink r:id="rId154" ref="P19"/>
    <hyperlink r:id="rId155" ref="Q19"/>
    <hyperlink r:id="rId156" ref="R19"/>
    <hyperlink r:id="rId157" ref="J20"/>
    <hyperlink r:id="rId158" ref="K20"/>
    <hyperlink r:id="rId159" ref="L20"/>
    <hyperlink r:id="rId160" ref="M20"/>
    <hyperlink r:id="rId161" ref="N20"/>
    <hyperlink r:id="rId162" ref="O20"/>
    <hyperlink r:id="rId163" ref="P20"/>
    <hyperlink r:id="rId164" ref="Q20"/>
    <hyperlink r:id="rId165" ref="R20"/>
    <hyperlink r:id="rId166" ref="J21"/>
    <hyperlink r:id="rId167" ref="K21"/>
    <hyperlink r:id="rId168" ref="L21"/>
    <hyperlink r:id="rId169" ref="M21"/>
    <hyperlink r:id="rId170" ref="N21"/>
    <hyperlink r:id="rId171" ref="J22"/>
    <hyperlink r:id="rId172" ref="K22"/>
    <hyperlink r:id="rId173" ref="L22"/>
    <hyperlink r:id="rId174" ref="M22"/>
    <hyperlink r:id="rId175" ref="N22"/>
    <hyperlink r:id="rId176" ref="O22"/>
    <hyperlink r:id="rId177" ref="P22"/>
    <hyperlink r:id="rId178" ref="Q22"/>
    <hyperlink r:id="rId179" ref="R22"/>
    <hyperlink r:id="rId180" ref="J23"/>
    <hyperlink r:id="rId181" ref="K23"/>
    <hyperlink r:id="rId182" ref="L23"/>
    <hyperlink r:id="rId183" ref="M23"/>
    <hyperlink r:id="rId184" ref="N23"/>
    <hyperlink r:id="rId185" ref="O23"/>
    <hyperlink r:id="rId186" ref="P23"/>
    <hyperlink r:id="rId187" ref="Q23"/>
    <hyperlink r:id="rId188" ref="R23"/>
    <hyperlink r:id="rId189" ref="J24"/>
    <hyperlink r:id="rId190" ref="K24"/>
    <hyperlink r:id="rId191" ref="L24"/>
    <hyperlink r:id="rId192" ref="M24"/>
    <hyperlink r:id="rId193" ref="N24"/>
    <hyperlink r:id="rId194" ref="O24"/>
    <hyperlink r:id="rId195" ref="P24"/>
    <hyperlink r:id="rId196" ref="Q24"/>
    <hyperlink r:id="rId197" ref="R24"/>
    <hyperlink r:id="rId198" ref="J25"/>
    <hyperlink r:id="rId199" ref="K25"/>
    <hyperlink r:id="rId200" ref="L25"/>
    <hyperlink r:id="rId201" ref="M25"/>
    <hyperlink r:id="rId202" ref="N25"/>
    <hyperlink r:id="rId203" ref="O25"/>
    <hyperlink r:id="rId204" ref="P25"/>
    <hyperlink r:id="rId205" ref="Q25"/>
    <hyperlink r:id="rId206" ref="R25"/>
    <hyperlink r:id="rId207" ref="J26"/>
    <hyperlink r:id="rId208" ref="K26"/>
    <hyperlink r:id="rId209" ref="L26"/>
    <hyperlink r:id="rId210" ref="M26"/>
    <hyperlink r:id="rId211" ref="N26"/>
    <hyperlink r:id="rId212" ref="O26"/>
    <hyperlink r:id="rId213" ref="P26"/>
    <hyperlink r:id="rId214" ref="Q26"/>
    <hyperlink r:id="rId215" ref="R26"/>
    <hyperlink r:id="rId216" ref="J27"/>
    <hyperlink r:id="rId217" ref="K27"/>
    <hyperlink r:id="rId218" ref="L27"/>
    <hyperlink r:id="rId219" ref="M27"/>
    <hyperlink r:id="rId220" ref="N27"/>
    <hyperlink r:id="rId221" ref="O27"/>
    <hyperlink r:id="rId222" ref="P27"/>
    <hyperlink r:id="rId223" ref="Q27"/>
    <hyperlink r:id="rId224" ref="R27"/>
    <hyperlink r:id="rId225" ref="J28"/>
    <hyperlink r:id="rId226" ref="K28"/>
    <hyperlink r:id="rId227" ref="L28"/>
    <hyperlink r:id="rId228" ref="M28"/>
    <hyperlink r:id="rId229" ref="N28"/>
    <hyperlink r:id="rId230" ref="O28"/>
    <hyperlink r:id="rId231" ref="P28"/>
    <hyperlink r:id="rId232" ref="Q28"/>
    <hyperlink r:id="rId233" ref="R28"/>
    <hyperlink r:id="rId234" ref="J29"/>
    <hyperlink r:id="rId235" ref="K29"/>
    <hyperlink r:id="rId236" ref="L29"/>
    <hyperlink r:id="rId237" ref="M29"/>
    <hyperlink r:id="rId238" ref="N29"/>
    <hyperlink r:id="rId239" ref="O29"/>
    <hyperlink r:id="rId240" ref="P29"/>
    <hyperlink r:id="rId241" ref="Q29"/>
    <hyperlink r:id="rId242" ref="R29"/>
    <hyperlink r:id="rId243" ref="J30"/>
    <hyperlink r:id="rId244" ref="K30"/>
    <hyperlink r:id="rId245" ref="L30"/>
    <hyperlink r:id="rId246" ref="M30"/>
    <hyperlink r:id="rId247" ref="N30"/>
    <hyperlink r:id="rId248" ref="O30"/>
    <hyperlink r:id="rId249" ref="P30"/>
    <hyperlink r:id="rId250" ref="Q30"/>
    <hyperlink r:id="rId251" ref="J31"/>
    <hyperlink r:id="rId252" ref="K31"/>
    <hyperlink r:id="rId253" ref="L31"/>
    <hyperlink r:id="rId254" ref="M31"/>
    <hyperlink r:id="rId255" ref="N31"/>
    <hyperlink r:id="rId256" ref="O31"/>
    <hyperlink r:id="rId257" ref="P31"/>
    <hyperlink r:id="rId258" ref="Q31"/>
    <hyperlink r:id="rId259" ref="R31"/>
    <hyperlink r:id="rId260" ref="J32"/>
    <hyperlink r:id="rId261" ref="K32"/>
    <hyperlink r:id="rId262" ref="L32"/>
    <hyperlink r:id="rId263" ref="M32"/>
    <hyperlink r:id="rId264" ref="N32"/>
    <hyperlink r:id="rId265" ref="O32"/>
    <hyperlink r:id="rId266" ref="P32"/>
    <hyperlink r:id="rId267" ref="Q32"/>
    <hyperlink r:id="rId268" ref="R32"/>
    <hyperlink r:id="rId269" ref="J33"/>
    <hyperlink r:id="rId270" ref="K33"/>
    <hyperlink r:id="rId271" ref="L33"/>
    <hyperlink r:id="rId272" ref="M33"/>
    <hyperlink r:id="rId273" ref="N33"/>
    <hyperlink r:id="rId274" ref="O33"/>
    <hyperlink r:id="rId275" ref="P33"/>
    <hyperlink r:id="rId276" ref="Q33"/>
    <hyperlink r:id="rId277" ref="R33"/>
    <hyperlink r:id="rId278" ref="J34"/>
    <hyperlink r:id="rId279" ref="K34"/>
    <hyperlink r:id="rId280" ref="L34"/>
    <hyperlink r:id="rId281" ref="M34"/>
    <hyperlink r:id="rId282" ref="N34"/>
    <hyperlink r:id="rId283" ref="O34"/>
    <hyperlink r:id="rId284" ref="P34"/>
    <hyperlink r:id="rId285" ref="Q34"/>
    <hyperlink r:id="rId286" ref="R34"/>
    <hyperlink r:id="rId287" ref="J35"/>
    <hyperlink r:id="rId288" ref="K35"/>
    <hyperlink r:id="rId289" ref="L35"/>
    <hyperlink r:id="rId290" ref="M35"/>
    <hyperlink r:id="rId291" ref="N35"/>
    <hyperlink r:id="rId292" ref="O35"/>
    <hyperlink r:id="rId293" ref="P35"/>
    <hyperlink r:id="rId294" ref="Q35"/>
    <hyperlink r:id="rId295" ref="R35"/>
    <hyperlink r:id="rId296" ref="J36"/>
    <hyperlink r:id="rId297" ref="K36"/>
    <hyperlink r:id="rId298" ref="L36"/>
    <hyperlink r:id="rId299" ref="M36"/>
    <hyperlink r:id="rId300" ref="N36"/>
    <hyperlink r:id="rId301" ref="O36"/>
    <hyperlink r:id="rId302" ref="P36"/>
    <hyperlink r:id="rId303" ref="Q36"/>
    <hyperlink r:id="rId304" ref="R36"/>
    <hyperlink r:id="rId305" ref="J37"/>
    <hyperlink r:id="rId306" ref="K37"/>
    <hyperlink r:id="rId307" ref="L37"/>
    <hyperlink r:id="rId308" ref="M37"/>
    <hyperlink r:id="rId309" ref="N37"/>
    <hyperlink r:id="rId310" ref="O37"/>
    <hyperlink r:id="rId311" ref="J38"/>
    <hyperlink r:id="rId312" ref="K38"/>
    <hyperlink r:id="rId313" ref="L38"/>
    <hyperlink r:id="rId314" ref="M38"/>
    <hyperlink r:id="rId315" ref="N38"/>
    <hyperlink r:id="rId316" ref="O38"/>
    <hyperlink r:id="rId317" ref="P38"/>
    <hyperlink r:id="rId318" ref="Q38"/>
    <hyperlink r:id="rId319" ref="J39"/>
    <hyperlink r:id="rId320" ref="K39"/>
    <hyperlink r:id="rId321" ref="L39"/>
    <hyperlink r:id="rId322" ref="M39"/>
    <hyperlink r:id="rId323" ref="N39"/>
    <hyperlink r:id="rId324" ref="O39"/>
    <hyperlink r:id="rId325" ref="P39"/>
    <hyperlink r:id="rId326" ref="Q39"/>
    <hyperlink r:id="rId327" ref="R39"/>
    <hyperlink r:id="rId328" ref="J40"/>
    <hyperlink r:id="rId329" ref="K40"/>
    <hyperlink r:id="rId330" ref="L40"/>
    <hyperlink r:id="rId331" ref="M40"/>
    <hyperlink r:id="rId332" ref="N40"/>
    <hyperlink r:id="rId333" ref="O40"/>
    <hyperlink r:id="rId334" ref="P40"/>
    <hyperlink r:id="rId335" ref="Q40"/>
    <hyperlink r:id="rId336" ref="R40"/>
    <hyperlink r:id="rId337" ref="J41"/>
    <hyperlink r:id="rId338" ref="K41"/>
    <hyperlink r:id="rId339" ref="L41"/>
    <hyperlink r:id="rId340" ref="M41"/>
    <hyperlink r:id="rId341" ref="N41"/>
    <hyperlink r:id="rId342" ref="O41"/>
    <hyperlink r:id="rId343" ref="P41"/>
    <hyperlink r:id="rId344" ref="Q41"/>
    <hyperlink r:id="rId345" ref="R41"/>
    <hyperlink r:id="rId346" ref="J42"/>
    <hyperlink r:id="rId347" ref="K42"/>
    <hyperlink r:id="rId348" ref="L42"/>
    <hyperlink r:id="rId349" ref="M42"/>
    <hyperlink r:id="rId350" ref="N42"/>
    <hyperlink r:id="rId351" ref="O42"/>
    <hyperlink r:id="rId352" ref="P42"/>
    <hyperlink r:id="rId353" ref="Q42"/>
    <hyperlink r:id="rId354" ref="R42"/>
    <hyperlink r:id="rId355" ref="J43"/>
    <hyperlink r:id="rId356" ref="K43"/>
    <hyperlink r:id="rId357" ref="L43"/>
    <hyperlink r:id="rId358" ref="M43"/>
    <hyperlink r:id="rId359" ref="N43"/>
    <hyperlink r:id="rId360" ref="J44"/>
    <hyperlink r:id="rId361" ref="K44"/>
    <hyperlink r:id="rId362" ref="L44"/>
    <hyperlink r:id="rId363" ref="M44"/>
    <hyperlink r:id="rId364" ref="N44"/>
    <hyperlink r:id="rId365" ref="O44"/>
    <hyperlink r:id="rId366" ref="P44"/>
    <hyperlink r:id="rId367" ref="Q44"/>
    <hyperlink r:id="rId368" ref="R44"/>
    <hyperlink r:id="rId369" ref="J45"/>
    <hyperlink r:id="rId370" ref="K45"/>
    <hyperlink r:id="rId371" ref="L45"/>
    <hyperlink r:id="rId372" ref="M45"/>
    <hyperlink r:id="rId373" ref="N45"/>
    <hyperlink r:id="rId374" ref="O45"/>
    <hyperlink r:id="rId375" ref="P45"/>
    <hyperlink r:id="rId376" ref="Q45"/>
    <hyperlink r:id="rId377" ref="R45"/>
    <hyperlink r:id="rId378" ref="J46"/>
    <hyperlink r:id="rId379" ref="K46"/>
    <hyperlink r:id="rId380" ref="L46"/>
    <hyperlink r:id="rId381" ref="M46"/>
    <hyperlink r:id="rId382" ref="N46"/>
    <hyperlink r:id="rId383" ref="O46"/>
    <hyperlink r:id="rId384" ref="P46"/>
    <hyperlink r:id="rId385" ref="Q46"/>
    <hyperlink r:id="rId386" ref="R46"/>
    <hyperlink r:id="rId387" ref="J47"/>
    <hyperlink r:id="rId388" ref="K47"/>
    <hyperlink r:id="rId389" ref="L47"/>
    <hyperlink r:id="rId390" ref="M47"/>
    <hyperlink r:id="rId391" ref="N47"/>
    <hyperlink r:id="rId392" ref="J48"/>
    <hyperlink r:id="rId393" ref="K48"/>
    <hyperlink r:id="rId394" ref="L48"/>
    <hyperlink r:id="rId395" ref="M48"/>
    <hyperlink r:id="rId396" ref="N48"/>
    <hyperlink r:id="rId397" ref="O48"/>
    <hyperlink r:id="rId398" ref="P48"/>
    <hyperlink r:id="rId399" ref="Q48"/>
    <hyperlink r:id="rId400" ref="R48"/>
    <hyperlink r:id="rId401" ref="J49"/>
    <hyperlink r:id="rId402" ref="K49"/>
    <hyperlink r:id="rId403" ref="L49"/>
    <hyperlink r:id="rId404" ref="M49"/>
    <hyperlink r:id="rId405" ref="N49"/>
    <hyperlink r:id="rId406" ref="O49"/>
    <hyperlink r:id="rId407" ref="P49"/>
    <hyperlink r:id="rId408" ref="Q49"/>
    <hyperlink r:id="rId409" ref="R49"/>
    <hyperlink r:id="rId410" ref="J50"/>
    <hyperlink r:id="rId411" ref="K50"/>
    <hyperlink r:id="rId412" ref="L50"/>
    <hyperlink r:id="rId413" ref="M50"/>
    <hyperlink r:id="rId414" ref="N50"/>
    <hyperlink r:id="rId415" ref="O50"/>
    <hyperlink r:id="rId416" ref="P50"/>
    <hyperlink r:id="rId417" ref="Q50"/>
    <hyperlink r:id="rId418" ref="J51"/>
    <hyperlink r:id="rId419" ref="K51"/>
    <hyperlink r:id="rId420" ref="L51"/>
    <hyperlink r:id="rId421" ref="M51"/>
    <hyperlink r:id="rId422" ref="N51"/>
    <hyperlink r:id="rId423" ref="O51"/>
    <hyperlink r:id="rId424" ref="P51"/>
    <hyperlink r:id="rId425" ref="Q51"/>
    <hyperlink r:id="rId426" ref="R51"/>
    <hyperlink r:id="rId427" ref="J52"/>
    <hyperlink r:id="rId428" ref="K52"/>
    <hyperlink r:id="rId429" ref="L52"/>
    <hyperlink r:id="rId430" ref="M52"/>
    <hyperlink r:id="rId431" ref="N52"/>
    <hyperlink r:id="rId432" ref="O52"/>
    <hyperlink r:id="rId433" ref="P52"/>
    <hyperlink r:id="rId434" ref="Q52"/>
    <hyperlink r:id="rId435" ref="R52"/>
    <hyperlink r:id="rId436" ref="J53"/>
    <hyperlink r:id="rId437" ref="K53"/>
    <hyperlink r:id="rId438" ref="L53"/>
    <hyperlink r:id="rId439" ref="M53"/>
    <hyperlink r:id="rId440" ref="N53"/>
    <hyperlink r:id="rId441" ref="O53"/>
    <hyperlink r:id="rId442" ref="P53"/>
    <hyperlink r:id="rId443" ref="Q53"/>
    <hyperlink r:id="rId444" ref="R53"/>
    <hyperlink r:id="rId445" ref="J54"/>
    <hyperlink r:id="rId446" ref="K54"/>
    <hyperlink r:id="rId447" ref="L54"/>
    <hyperlink r:id="rId448" ref="M54"/>
    <hyperlink r:id="rId449" ref="N54"/>
    <hyperlink r:id="rId450" ref="O54"/>
    <hyperlink r:id="rId451" ref="P54"/>
    <hyperlink r:id="rId452" ref="Q54"/>
    <hyperlink r:id="rId453" ref="R54"/>
    <hyperlink r:id="rId454" ref="J55"/>
    <hyperlink r:id="rId455" ref="K55"/>
    <hyperlink r:id="rId456" ref="L55"/>
    <hyperlink r:id="rId457" ref="M55"/>
    <hyperlink r:id="rId458" ref="N55"/>
    <hyperlink r:id="rId459" ref="O55"/>
    <hyperlink r:id="rId460" ref="P55"/>
    <hyperlink r:id="rId461" ref="Q55"/>
    <hyperlink r:id="rId462" ref="R55"/>
    <hyperlink r:id="rId463" ref="J56"/>
    <hyperlink r:id="rId464" ref="K56"/>
    <hyperlink r:id="rId465" ref="L56"/>
    <hyperlink r:id="rId466" ref="M56"/>
    <hyperlink r:id="rId467" ref="N56"/>
    <hyperlink r:id="rId468" ref="O56"/>
    <hyperlink r:id="rId469" ref="P56"/>
    <hyperlink r:id="rId470" ref="Q56"/>
    <hyperlink r:id="rId471" ref="R56"/>
    <hyperlink r:id="rId472" ref="J57"/>
    <hyperlink r:id="rId473" ref="K57"/>
    <hyperlink r:id="rId474" ref="L57"/>
    <hyperlink r:id="rId475" ref="M57"/>
    <hyperlink r:id="rId476" ref="N57"/>
    <hyperlink r:id="rId477" ref="O57"/>
    <hyperlink r:id="rId478" ref="P57"/>
    <hyperlink r:id="rId479" ref="Q57"/>
    <hyperlink r:id="rId480" ref="R57"/>
    <hyperlink r:id="rId481" ref="J58"/>
    <hyperlink r:id="rId482" ref="K58"/>
    <hyperlink r:id="rId483" ref="L58"/>
    <hyperlink r:id="rId484" ref="M58"/>
    <hyperlink r:id="rId485" ref="N58"/>
    <hyperlink r:id="rId486" ref="O58"/>
    <hyperlink r:id="rId487" ref="P58"/>
    <hyperlink r:id="rId488" ref="Q58"/>
    <hyperlink r:id="rId489" ref="R58"/>
    <hyperlink r:id="rId490" ref="J59"/>
    <hyperlink r:id="rId491" ref="K59"/>
    <hyperlink r:id="rId492" ref="L59"/>
    <hyperlink r:id="rId493" ref="M59"/>
    <hyperlink r:id="rId494" ref="N59"/>
    <hyperlink r:id="rId495" ref="O59"/>
    <hyperlink r:id="rId496" ref="P59"/>
    <hyperlink r:id="rId497" ref="Q59"/>
    <hyperlink r:id="rId498" ref="R59"/>
    <hyperlink r:id="rId499" ref="J60"/>
    <hyperlink r:id="rId500" ref="K60"/>
    <hyperlink r:id="rId501" ref="L60"/>
    <hyperlink r:id="rId502" ref="M60"/>
    <hyperlink r:id="rId503" ref="N60"/>
    <hyperlink r:id="rId504" ref="O60"/>
    <hyperlink r:id="rId505" ref="P60"/>
    <hyperlink r:id="rId506" ref="Q60"/>
    <hyperlink r:id="rId507" ref="R60"/>
    <hyperlink r:id="rId508" ref="J61"/>
    <hyperlink r:id="rId509" ref="K61"/>
    <hyperlink r:id="rId510" ref="L61"/>
    <hyperlink r:id="rId511" ref="M61"/>
    <hyperlink r:id="rId512" ref="N61"/>
    <hyperlink r:id="rId513" ref="O61"/>
    <hyperlink r:id="rId514" ref="P61"/>
    <hyperlink r:id="rId515" ref="Q61"/>
    <hyperlink r:id="rId516" ref="R61"/>
    <hyperlink r:id="rId517" ref="J62"/>
    <hyperlink r:id="rId518" ref="K62"/>
    <hyperlink r:id="rId519" ref="L62"/>
    <hyperlink r:id="rId520" ref="M62"/>
    <hyperlink r:id="rId521" ref="N62"/>
    <hyperlink r:id="rId522" ref="O62"/>
    <hyperlink r:id="rId523" ref="P62"/>
    <hyperlink r:id="rId524" ref="Q62"/>
    <hyperlink r:id="rId525" ref="R62"/>
    <hyperlink r:id="rId526" ref="J63"/>
    <hyperlink r:id="rId527" ref="K63"/>
    <hyperlink r:id="rId528" ref="L63"/>
    <hyperlink r:id="rId529" ref="M63"/>
    <hyperlink r:id="rId530" ref="N63"/>
    <hyperlink r:id="rId531" ref="O63"/>
    <hyperlink r:id="rId532" ref="P63"/>
    <hyperlink r:id="rId533" ref="Q63"/>
    <hyperlink r:id="rId534" ref="R63"/>
    <hyperlink r:id="rId535" ref="J64"/>
    <hyperlink r:id="rId536" ref="K64"/>
    <hyperlink r:id="rId537" ref="L64"/>
    <hyperlink r:id="rId538" ref="M64"/>
    <hyperlink r:id="rId539" ref="N64"/>
    <hyperlink r:id="rId540" ref="O64"/>
    <hyperlink r:id="rId541" ref="P64"/>
    <hyperlink r:id="rId542" ref="Q64"/>
    <hyperlink r:id="rId543" ref="R64"/>
    <hyperlink r:id="rId544" ref="J65"/>
    <hyperlink r:id="rId545" ref="K65"/>
    <hyperlink r:id="rId546" ref="L65"/>
    <hyperlink r:id="rId547" ref="M65"/>
    <hyperlink r:id="rId548" ref="N65"/>
    <hyperlink r:id="rId549" ref="O65"/>
    <hyperlink r:id="rId550" ref="P65"/>
    <hyperlink r:id="rId551" ref="Q65"/>
    <hyperlink r:id="rId552" ref="R65"/>
    <hyperlink r:id="rId553" ref="J66"/>
    <hyperlink r:id="rId554" ref="K66"/>
    <hyperlink r:id="rId555" ref="L66"/>
    <hyperlink r:id="rId556" ref="M66"/>
    <hyperlink r:id="rId557" ref="N66"/>
    <hyperlink r:id="rId558" ref="O66"/>
    <hyperlink r:id="rId559" ref="P66"/>
    <hyperlink r:id="rId560" ref="Q66"/>
    <hyperlink r:id="rId561" ref="R66"/>
    <hyperlink r:id="rId562" ref="J67"/>
    <hyperlink r:id="rId563" ref="K67"/>
    <hyperlink r:id="rId564" ref="L67"/>
    <hyperlink r:id="rId565" ref="M67"/>
    <hyperlink r:id="rId566" ref="N67"/>
    <hyperlink r:id="rId567" ref="O67"/>
    <hyperlink r:id="rId568" ref="P67"/>
    <hyperlink r:id="rId569" ref="Q67"/>
    <hyperlink r:id="rId570" ref="R67"/>
    <hyperlink r:id="rId571" ref="J68"/>
    <hyperlink r:id="rId572" ref="K68"/>
    <hyperlink r:id="rId573" ref="L68"/>
    <hyperlink r:id="rId574" ref="M68"/>
    <hyperlink r:id="rId575" ref="N68"/>
    <hyperlink r:id="rId576" ref="O68"/>
    <hyperlink r:id="rId577" ref="P68"/>
    <hyperlink r:id="rId578" ref="Q68"/>
    <hyperlink r:id="rId579" ref="R68"/>
    <hyperlink r:id="rId580" ref="J69"/>
    <hyperlink r:id="rId581" ref="K69"/>
    <hyperlink r:id="rId582" ref="L69"/>
    <hyperlink r:id="rId583" ref="M69"/>
    <hyperlink r:id="rId584" ref="N69"/>
    <hyperlink r:id="rId585" ref="O69"/>
    <hyperlink r:id="rId586" ref="P69"/>
    <hyperlink r:id="rId587" ref="Q69"/>
    <hyperlink r:id="rId588" ref="R69"/>
    <hyperlink r:id="rId589" ref="J70"/>
    <hyperlink r:id="rId590" ref="K70"/>
    <hyperlink r:id="rId591" ref="L70"/>
    <hyperlink r:id="rId592" ref="M70"/>
    <hyperlink r:id="rId593" ref="N70"/>
    <hyperlink r:id="rId594" ref="O70"/>
    <hyperlink r:id="rId595" ref="P70"/>
    <hyperlink r:id="rId596" ref="Q70"/>
    <hyperlink r:id="rId597" ref="R70"/>
    <hyperlink r:id="rId598" ref="J71"/>
    <hyperlink r:id="rId599" ref="K71"/>
    <hyperlink r:id="rId600" ref="L71"/>
    <hyperlink r:id="rId601" ref="M71"/>
    <hyperlink r:id="rId602" ref="N71"/>
    <hyperlink r:id="rId603" ref="O71"/>
    <hyperlink r:id="rId604" ref="P71"/>
    <hyperlink r:id="rId605" ref="Q71"/>
    <hyperlink r:id="rId606" ref="R71"/>
    <hyperlink r:id="rId607" ref="J72"/>
    <hyperlink r:id="rId608" ref="K72"/>
    <hyperlink r:id="rId609" ref="L72"/>
    <hyperlink r:id="rId610" ref="M72"/>
    <hyperlink r:id="rId611" ref="N72"/>
    <hyperlink r:id="rId612" ref="O72"/>
    <hyperlink r:id="rId613" ref="P72"/>
    <hyperlink r:id="rId614" ref="Q72"/>
    <hyperlink r:id="rId615" ref="R72"/>
    <hyperlink r:id="rId616" ref="J73"/>
    <hyperlink r:id="rId617" ref="K73"/>
    <hyperlink r:id="rId618" ref="L73"/>
    <hyperlink r:id="rId619" ref="M73"/>
    <hyperlink r:id="rId620" ref="N73"/>
    <hyperlink r:id="rId621" ref="O73"/>
    <hyperlink r:id="rId622" ref="P73"/>
    <hyperlink r:id="rId623" ref="Q73"/>
    <hyperlink r:id="rId624" ref="R73"/>
    <hyperlink r:id="rId625" ref="J74"/>
    <hyperlink r:id="rId626" ref="K74"/>
    <hyperlink r:id="rId627" ref="L74"/>
    <hyperlink r:id="rId628" ref="M74"/>
    <hyperlink r:id="rId629" ref="N74"/>
    <hyperlink r:id="rId630" ref="O74"/>
    <hyperlink r:id="rId631" ref="P74"/>
    <hyperlink r:id="rId632" ref="Q74"/>
    <hyperlink r:id="rId633" ref="R74"/>
    <hyperlink r:id="rId634" ref="J75"/>
    <hyperlink r:id="rId635" ref="K75"/>
    <hyperlink r:id="rId636" ref="L75"/>
    <hyperlink r:id="rId637" ref="M75"/>
    <hyperlink r:id="rId638" ref="N75"/>
    <hyperlink r:id="rId639" ref="O75"/>
    <hyperlink r:id="rId640" ref="P75"/>
    <hyperlink r:id="rId641" ref="Q75"/>
    <hyperlink r:id="rId642" ref="R75"/>
    <hyperlink r:id="rId643" ref="J76"/>
    <hyperlink r:id="rId644" ref="K76"/>
    <hyperlink r:id="rId645" ref="L76"/>
    <hyperlink r:id="rId646" ref="M76"/>
    <hyperlink r:id="rId647" ref="N76"/>
    <hyperlink r:id="rId648" ref="O76"/>
    <hyperlink r:id="rId649" ref="P76"/>
    <hyperlink r:id="rId650" ref="Q76"/>
    <hyperlink r:id="rId651" ref="R76"/>
    <hyperlink r:id="rId652" ref="J77"/>
    <hyperlink r:id="rId653" ref="K77"/>
    <hyperlink r:id="rId654" ref="L77"/>
    <hyperlink r:id="rId655" ref="M77"/>
    <hyperlink r:id="rId656" ref="N77"/>
    <hyperlink r:id="rId657" ref="O77"/>
    <hyperlink r:id="rId658" ref="P77"/>
    <hyperlink r:id="rId659" ref="Q77"/>
    <hyperlink r:id="rId660" ref="R77"/>
    <hyperlink r:id="rId661" ref="J78"/>
    <hyperlink r:id="rId662" ref="K78"/>
    <hyperlink r:id="rId663" ref="L78"/>
    <hyperlink r:id="rId664" ref="M78"/>
    <hyperlink r:id="rId665" ref="N78"/>
    <hyperlink r:id="rId666" ref="O78"/>
    <hyperlink r:id="rId667" ref="P78"/>
    <hyperlink r:id="rId668" ref="Q78"/>
    <hyperlink r:id="rId669" ref="R78"/>
    <hyperlink r:id="rId670" ref="J79"/>
    <hyperlink r:id="rId671" ref="K79"/>
    <hyperlink r:id="rId672" ref="L79"/>
    <hyperlink r:id="rId673" ref="M79"/>
    <hyperlink r:id="rId674" ref="N79"/>
    <hyperlink r:id="rId675" ref="O79"/>
    <hyperlink r:id="rId676" ref="P79"/>
    <hyperlink r:id="rId677" ref="Q79"/>
    <hyperlink r:id="rId678" ref="J80"/>
    <hyperlink r:id="rId679" ref="K80"/>
    <hyperlink r:id="rId680" ref="L80"/>
    <hyperlink r:id="rId681" ref="M80"/>
    <hyperlink r:id="rId682" ref="N80"/>
    <hyperlink r:id="rId683" ref="O80"/>
    <hyperlink r:id="rId684" ref="P80"/>
    <hyperlink r:id="rId685" ref="Q80"/>
    <hyperlink r:id="rId686" ref="R80"/>
    <hyperlink r:id="rId687" ref="J81"/>
    <hyperlink r:id="rId688" ref="K81"/>
    <hyperlink r:id="rId689" ref="L81"/>
    <hyperlink r:id="rId690" ref="M81"/>
    <hyperlink r:id="rId691" ref="N81"/>
    <hyperlink r:id="rId692" ref="O81"/>
    <hyperlink r:id="rId693" ref="P81"/>
    <hyperlink r:id="rId694" ref="Q81"/>
    <hyperlink r:id="rId695" ref="J82"/>
    <hyperlink r:id="rId696" ref="K82"/>
    <hyperlink r:id="rId697" ref="L82"/>
    <hyperlink r:id="rId698" ref="M82"/>
    <hyperlink r:id="rId699" ref="N82"/>
    <hyperlink r:id="rId700" ref="O82"/>
    <hyperlink r:id="rId701" ref="P82"/>
    <hyperlink r:id="rId702" ref="Q82"/>
    <hyperlink r:id="rId703" ref="R82"/>
    <hyperlink r:id="rId704" ref="J83"/>
    <hyperlink r:id="rId705" ref="K83"/>
    <hyperlink r:id="rId706" ref="L83"/>
    <hyperlink r:id="rId707" ref="M83"/>
    <hyperlink r:id="rId708" ref="N83"/>
    <hyperlink r:id="rId709" ref="O83"/>
    <hyperlink r:id="rId710" ref="P83"/>
    <hyperlink r:id="rId711" ref="J84"/>
    <hyperlink r:id="rId712" ref="K84"/>
    <hyperlink r:id="rId713" ref="L84"/>
    <hyperlink r:id="rId714" ref="M84"/>
    <hyperlink r:id="rId715" ref="N84"/>
    <hyperlink r:id="rId716" ref="O84"/>
    <hyperlink r:id="rId717" ref="P84"/>
    <hyperlink r:id="rId718" ref="Q84"/>
    <hyperlink r:id="rId719" ref="R84"/>
    <hyperlink r:id="rId720" ref="J85"/>
    <hyperlink r:id="rId721" ref="K85"/>
    <hyperlink r:id="rId722" ref="L85"/>
    <hyperlink r:id="rId723" ref="M85"/>
    <hyperlink r:id="rId724" ref="N85"/>
    <hyperlink r:id="rId725" ref="O85"/>
    <hyperlink r:id="rId726" ref="P85"/>
    <hyperlink r:id="rId727" ref="Q85"/>
    <hyperlink r:id="rId728" ref="R85"/>
    <hyperlink r:id="rId729" ref="J86"/>
    <hyperlink r:id="rId730" ref="K86"/>
    <hyperlink r:id="rId731" ref="L86"/>
    <hyperlink r:id="rId732" ref="M86"/>
    <hyperlink r:id="rId733" ref="N86"/>
    <hyperlink r:id="rId734" ref="O86"/>
    <hyperlink r:id="rId735" ref="P86"/>
    <hyperlink r:id="rId736" ref="Q86"/>
    <hyperlink r:id="rId737" ref="R86"/>
    <hyperlink r:id="rId738" ref="J87"/>
    <hyperlink r:id="rId739" ref="K87"/>
    <hyperlink r:id="rId740" ref="L87"/>
    <hyperlink r:id="rId741" ref="M87"/>
    <hyperlink r:id="rId742" ref="N87"/>
    <hyperlink r:id="rId743" ref="O87"/>
    <hyperlink r:id="rId744" ref="P87"/>
    <hyperlink r:id="rId745" ref="Q87"/>
    <hyperlink r:id="rId746" ref="R87"/>
    <hyperlink r:id="rId747" ref="J88"/>
    <hyperlink r:id="rId748" ref="K88"/>
    <hyperlink r:id="rId749" ref="L88"/>
    <hyperlink r:id="rId750" ref="M88"/>
    <hyperlink r:id="rId751" ref="N88"/>
    <hyperlink r:id="rId752" ref="O88"/>
    <hyperlink r:id="rId753" ref="P88"/>
    <hyperlink r:id="rId754" ref="Q88"/>
    <hyperlink r:id="rId755" ref="R88"/>
    <hyperlink r:id="rId756" ref="J89"/>
    <hyperlink r:id="rId757" ref="K89"/>
    <hyperlink r:id="rId758" ref="L89"/>
    <hyperlink r:id="rId759" ref="M89"/>
    <hyperlink r:id="rId760" ref="N89"/>
    <hyperlink r:id="rId761" ref="O89"/>
    <hyperlink r:id="rId762" ref="P89"/>
    <hyperlink r:id="rId763" ref="Q89"/>
    <hyperlink r:id="rId764" ref="R89"/>
    <hyperlink r:id="rId765" ref="J90"/>
    <hyperlink r:id="rId766" ref="K90"/>
    <hyperlink r:id="rId767" ref="L90"/>
    <hyperlink r:id="rId768" ref="M90"/>
    <hyperlink r:id="rId769" ref="N90"/>
    <hyperlink r:id="rId770" ref="O90"/>
    <hyperlink r:id="rId771" ref="P90"/>
    <hyperlink r:id="rId772" ref="Q90"/>
    <hyperlink r:id="rId773" ref="R90"/>
    <hyperlink r:id="rId774" ref="J91"/>
    <hyperlink r:id="rId775" ref="K91"/>
    <hyperlink r:id="rId776" ref="L91"/>
    <hyperlink r:id="rId777" ref="M91"/>
    <hyperlink r:id="rId778" ref="N91"/>
    <hyperlink r:id="rId779" ref="O91"/>
    <hyperlink r:id="rId780" ref="P91"/>
    <hyperlink r:id="rId781" ref="Q91"/>
    <hyperlink r:id="rId782" ref="R91"/>
    <hyperlink r:id="rId783" ref="J92"/>
    <hyperlink r:id="rId784" ref="K92"/>
    <hyperlink r:id="rId785" ref="L92"/>
    <hyperlink r:id="rId786" ref="M92"/>
    <hyperlink r:id="rId787" ref="N92"/>
    <hyperlink r:id="rId788" ref="O92"/>
    <hyperlink r:id="rId789" ref="P92"/>
    <hyperlink r:id="rId790" ref="Q92"/>
    <hyperlink r:id="rId791" ref="R92"/>
    <hyperlink r:id="rId792" ref="J93"/>
    <hyperlink r:id="rId793" ref="K93"/>
    <hyperlink r:id="rId794" ref="L93"/>
    <hyperlink r:id="rId795" ref="M93"/>
    <hyperlink r:id="rId796" ref="N93"/>
    <hyperlink r:id="rId797" ref="O93"/>
    <hyperlink r:id="rId798" ref="P93"/>
    <hyperlink r:id="rId799" ref="Q93"/>
    <hyperlink r:id="rId800" ref="R93"/>
    <hyperlink r:id="rId801" ref="J94"/>
    <hyperlink r:id="rId802" ref="K94"/>
    <hyperlink r:id="rId803" ref="L94"/>
    <hyperlink r:id="rId804" ref="M94"/>
    <hyperlink r:id="rId805" ref="N94"/>
    <hyperlink r:id="rId806" ref="O94"/>
    <hyperlink r:id="rId807" ref="P94"/>
    <hyperlink r:id="rId808" ref="Q94"/>
    <hyperlink r:id="rId809" ref="R94"/>
    <hyperlink r:id="rId810" ref="J95"/>
    <hyperlink r:id="rId811" ref="K95"/>
    <hyperlink r:id="rId812" ref="L95"/>
    <hyperlink r:id="rId813" ref="M95"/>
    <hyperlink r:id="rId814" ref="N95"/>
    <hyperlink r:id="rId815" ref="O95"/>
    <hyperlink r:id="rId816" ref="P95"/>
    <hyperlink r:id="rId817" ref="Q95"/>
    <hyperlink r:id="rId818" ref="R95"/>
    <hyperlink r:id="rId819" ref="J96"/>
    <hyperlink r:id="rId820" ref="K96"/>
    <hyperlink r:id="rId821" ref="L96"/>
    <hyperlink r:id="rId822" ref="M96"/>
    <hyperlink r:id="rId823" ref="N96"/>
    <hyperlink r:id="rId824" ref="O96"/>
    <hyperlink r:id="rId825" ref="P96"/>
    <hyperlink r:id="rId826" ref="Q96"/>
    <hyperlink r:id="rId827" ref="R96"/>
    <hyperlink r:id="rId828" ref="J97"/>
    <hyperlink r:id="rId829" ref="K97"/>
    <hyperlink r:id="rId830" ref="L97"/>
    <hyperlink r:id="rId831" ref="M97"/>
    <hyperlink r:id="rId832" ref="N97"/>
    <hyperlink r:id="rId833" ref="O97"/>
    <hyperlink r:id="rId834" ref="P97"/>
    <hyperlink r:id="rId835" ref="Q97"/>
    <hyperlink r:id="rId836" ref="R97"/>
    <hyperlink r:id="rId837" ref="J98"/>
    <hyperlink r:id="rId838" ref="K98"/>
    <hyperlink r:id="rId839" ref="L98"/>
    <hyperlink r:id="rId840" ref="M98"/>
    <hyperlink r:id="rId841" ref="N98"/>
    <hyperlink r:id="rId842" ref="O98"/>
    <hyperlink r:id="rId843" ref="P98"/>
    <hyperlink r:id="rId844" ref="Q98"/>
    <hyperlink r:id="rId845" ref="R98"/>
    <hyperlink r:id="rId846" ref="J99"/>
    <hyperlink r:id="rId847" ref="K99"/>
    <hyperlink r:id="rId848" ref="L99"/>
    <hyperlink r:id="rId849" ref="M99"/>
    <hyperlink r:id="rId850" ref="N99"/>
    <hyperlink r:id="rId851" ref="O99"/>
    <hyperlink r:id="rId852" ref="P99"/>
    <hyperlink r:id="rId853" ref="Q99"/>
    <hyperlink r:id="rId854" ref="R99"/>
    <hyperlink r:id="rId855" ref="J100"/>
    <hyperlink r:id="rId856" ref="K100"/>
    <hyperlink r:id="rId857" ref="L100"/>
    <hyperlink r:id="rId858" ref="M100"/>
    <hyperlink r:id="rId859" ref="N100"/>
    <hyperlink r:id="rId860" ref="O100"/>
    <hyperlink r:id="rId861" ref="P100"/>
    <hyperlink r:id="rId862" ref="Q100"/>
    <hyperlink r:id="rId863" ref="R100"/>
    <hyperlink r:id="rId864" ref="J101"/>
    <hyperlink r:id="rId865" ref="K101"/>
    <hyperlink r:id="rId866" ref="L101"/>
    <hyperlink r:id="rId867" ref="M101"/>
    <hyperlink r:id="rId868" ref="N101"/>
    <hyperlink r:id="rId869" ref="O101"/>
    <hyperlink r:id="rId870" ref="P101"/>
    <hyperlink r:id="rId871" ref="Q101"/>
    <hyperlink r:id="rId872" ref="R101"/>
    <hyperlink r:id="rId873" ref="J102"/>
    <hyperlink r:id="rId874" ref="K102"/>
    <hyperlink r:id="rId875" ref="L102"/>
    <hyperlink r:id="rId876" ref="M102"/>
    <hyperlink r:id="rId877" ref="N102"/>
    <hyperlink r:id="rId878" ref="O102"/>
    <hyperlink r:id="rId879" ref="P102"/>
    <hyperlink r:id="rId880" ref="Q102"/>
    <hyperlink r:id="rId881" ref="R102"/>
    <hyperlink r:id="rId882" ref="J103"/>
    <hyperlink r:id="rId883" ref="K103"/>
    <hyperlink r:id="rId884" ref="L103"/>
    <hyperlink r:id="rId885" ref="M103"/>
    <hyperlink r:id="rId886" ref="N103"/>
    <hyperlink r:id="rId887" ref="O103"/>
    <hyperlink r:id="rId888" ref="P103"/>
    <hyperlink r:id="rId889" ref="Q103"/>
    <hyperlink r:id="rId890" ref="R103"/>
    <hyperlink r:id="rId891" ref="J104"/>
    <hyperlink r:id="rId892" ref="K104"/>
    <hyperlink r:id="rId893" ref="L104"/>
    <hyperlink r:id="rId894" ref="M104"/>
    <hyperlink r:id="rId895" ref="N104"/>
    <hyperlink r:id="rId896" ref="O104"/>
    <hyperlink r:id="rId897" ref="P104"/>
    <hyperlink r:id="rId898" ref="Q104"/>
    <hyperlink r:id="rId899" ref="R104"/>
    <hyperlink r:id="rId900" ref="J105"/>
    <hyperlink r:id="rId901" ref="K105"/>
    <hyperlink r:id="rId902" ref="L105"/>
    <hyperlink r:id="rId903" ref="J106"/>
    <hyperlink r:id="rId904" ref="K106"/>
    <hyperlink r:id="rId905" ref="L106"/>
    <hyperlink r:id="rId906" ref="M106"/>
    <hyperlink r:id="rId907" ref="N106"/>
    <hyperlink r:id="rId908" ref="J107"/>
    <hyperlink r:id="rId909" ref="K107"/>
    <hyperlink r:id="rId910" ref="L107"/>
    <hyperlink r:id="rId911" ref="M107"/>
    <hyperlink r:id="rId912" ref="N107"/>
    <hyperlink r:id="rId913" ref="O107"/>
    <hyperlink r:id="rId914" ref="P107"/>
    <hyperlink r:id="rId915" ref="Q107"/>
    <hyperlink r:id="rId916" ref="R107"/>
    <hyperlink r:id="rId917" ref="J108"/>
    <hyperlink r:id="rId918" ref="K108"/>
    <hyperlink r:id="rId919" ref="L108"/>
    <hyperlink r:id="rId920" ref="M108"/>
    <hyperlink r:id="rId921" ref="N108"/>
    <hyperlink r:id="rId922" ref="O108"/>
    <hyperlink r:id="rId923" ref="P108"/>
    <hyperlink r:id="rId924" ref="Q108"/>
    <hyperlink r:id="rId925" ref="R108"/>
    <hyperlink r:id="rId926" ref="J109"/>
    <hyperlink r:id="rId927" ref="K109"/>
    <hyperlink r:id="rId928" ref="L109"/>
    <hyperlink r:id="rId929" ref="M109"/>
    <hyperlink r:id="rId930" ref="N109"/>
    <hyperlink r:id="rId931" ref="O109"/>
    <hyperlink r:id="rId932" ref="P109"/>
    <hyperlink r:id="rId933" ref="Q109"/>
    <hyperlink r:id="rId934" ref="R109"/>
    <hyperlink r:id="rId935" ref="J110"/>
    <hyperlink r:id="rId936" ref="K110"/>
    <hyperlink r:id="rId937" ref="L110"/>
    <hyperlink r:id="rId938" ref="M110"/>
    <hyperlink r:id="rId939" ref="N110"/>
    <hyperlink r:id="rId940" ref="O110"/>
    <hyperlink r:id="rId941" ref="P110"/>
    <hyperlink r:id="rId942" ref="Q110"/>
    <hyperlink r:id="rId943" ref="R110"/>
    <hyperlink r:id="rId944" ref="J111"/>
    <hyperlink r:id="rId945" ref="K111"/>
    <hyperlink r:id="rId946" ref="L111"/>
    <hyperlink r:id="rId947" ref="M111"/>
    <hyperlink r:id="rId948" ref="N111"/>
    <hyperlink r:id="rId949" ref="O111"/>
    <hyperlink r:id="rId950" ref="P111"/>
    <hyperlink r:id="rId951" ref="J112"/>
    <hyperlink r:id="rId952" ref="K112"/>
    <hyperlink r:id="rId953" ref="L112"/>
    <hyperlink r:id="rId954" ref="M112"/>
    <hyperlink r:id="rId955" ref="N112"/>
    <hyperlink r:id="rId956" ref="O112"/>
    <hyperlink r:id="rId957" ref="P112"/>
    <hyperlink r:id="rId958" ref="Q112"/>
    <hyperlink r:id="rId959" ref="R112"/>
    <hyperlink r:id="rId960" ref="J113"/>
    <hyperlink r:id="rId961" ref="K113"/>
    <hyperlink r:id="rId962" ref="L113"/>
    <hyperlink r:id="rId963" ref="M113"/>
    <hyperlink r:id="rId964" ref="N113"/>
    <hyperlink r:id="rId965" ref="O113"/>
    <hyperlink r:id="rId966" ref="P113"/>
    <hyperlink r:id="rId967" ref="Q113"/>
    <hyperlink r:id="rId968" ref="R113"/>
    <hyperlink r:id="rId969" ref="J114"/>
    <hyperlink r:id="rId970" ref="K114"/>
    <hyperlink r:id="rId971" ref="L114"/>
    <hyperlink r:id="rId972" ref="M114"/>
    <hyperlink r:id="rId973" ref="N114"/>
    <hyperlink r:id="rId974" ref="O114"/>
    <hyperlink r:id="rId975" ref="P114"/>
    <hyperlink r:id="rId976" ref="Q114"/>
    <hyperlink r:id="rId977" ref="R114"/>
    <hyperlink r:id="rId978" ref="J116"/>
    <hyperlink r:id="rId979" ref="K116"/>
    <hyperlink r:id="rId980" ref="L116"/>
    <hyperlink r:id="rId981" ref="M116"/>
    <hyperlink r:id="rId982" ref="N116"/>
    <hyperlink r:id="rId983" ref="O116"/>
    <hyperlink r:id="rId984" ref="J117"/>
    <hyperlink r:id="rId985" ref="K117"/>
    <hyperlink r:id="rId986" ref="L117"/>
    <hyperlink r:id="rId987" ref="M117"/>
    <hyperlink r:id="rId988" ref="N117"/>
    <hyperlink r:id="rId989" ref="O117"/>
    <hyperlink r:id="rId990" ref="P117"/>
    <hyperlink r:id="rId991" ref="Q117"/>
    <hyperlink r:id="rId992" ref="R117"/>
    <hyperlink r:id="rId993" ref="J118"/>
    <hyperlink r:id="rId994" ref="K118"/>
    <hyperlink r:id="rId995" ref="L118"/>
    <hyperlink r:id="rId996" ref="M118"/>
    <hyperlink r:id="rId997" ref="N118"/>
    <hyperlink r:id="rId998" ref="O118"/>
    <hyperlink r:id="rId999" ref="P118"/>
    <hyperlink r:id="rId1000" ref="Q118"/>
    <hyperlink r:id="rId1001" ref="R118"/>
    <hyperlink r:id="rId1002" ref="J119"/>
    <hyperlink r:id="rId1003" ref="K119"/>
    <hyperlink r:id="rId1004" ref="L119"/>
    <hyperlink r:id="rId1005" ref="M119"/>
    <hyperlink r:id="rId1006" ref="N119"/>
    <hyperlink r:id="rId1007" ref="O119"/>
    <hyperlink r:id="rId1008" ref="P119"/>
    <hyperlink r:id="rId1009" ref="Q119"/>
    <hyperlink r:id="rId1010" ref="J120"/>
    <hyperlink r:id="rId1011" ref="K120"/>
    <hyperlink r:id="rId1012" ref="L120"/>
    <hyperlink r:id="rId1013" ref="M120"/>
    <hyperlink r:id="rId1014" ref="N120"/>
    <hyperlink r:id="rId1015" ref="O120"/>
    <hyperlink r:id="rId1016" ref="P120"/>
    <hyperlink r:id="rId1017" ref="Q120"/>
    <hyperlink r:id="rId1018" ref="R120"/>
    <hyperlink r:id="rId1019" ref="J121"/>
    <hyperlink r:id="rId1020" ref="K121"/>
    <hyperlink r:id="rId1021" ref="L121"/>
    <hyperlink r:id="rId1022" ref="M121"/>
    <hyperlink r:id="rId1023" ref="N121"/>
    <hyperlink r:id="rId1024" ref="O121"/>
    <hyperlink r:id="rId1025" ref="P121"/>
    <hyperlink r:id="rId1026" ref="Q121"/>
    <hyperlink r:id="rId1027" ref="R121"/>
    <hyperlink r:id="rId1028" ref="J122"/>
    <hyperlink r:id="rId1029" ref="K122"/>
    <hyperlink r:id="rId1030" ref="L122"/>
    <hyperlink r:id="rId1031" ref="M122"/>
    <hyperlink r:id="rId1032" ref="N122"/>
    <hyperlink r:id="rId1033" ref="O122"/>
    <hyperlink r:id="rId1034" ref="P122"/>
    <hyperlink r:id="rId1035" ref="Q122"/>
    <hyperlink r:id="rId1036" ref="R122"/>
    <hyperlink r:id="rId1037" ref="J123"/>
    <hyperlink r:id="rId1038" ref="K123"/>
    <hyperlink r:id="rId1039" ref="L123"/>
    <hyperlink r:id="rId1040" ref="M123"/>
    <hyperlink r:id="rId1041" ref="N123"/>
    <hyperlink r:id="rId1042" ref="O123"/>
    <hyperlink r:id="rId1043" ref="P123"/>
    <hyperlink r:id="rId1044" ref="Q123"/>
    <hyperlink r:id="rId1045" ref="R123"/>
    <hyperlink r:id="rId1046" ref="J124"/>
    <hyperlink r:id="rId1047" ref="K124"/>
    <hyperlink r:id="rId1048" ref="L124"/>
    <hyperlink r:id="rId1049" ref="M124"/>
    <hyperlink r:id="rId1050" ref="N124"/>
    <hyperlink r:id="rId1051" ref="O124"/>
    <hyperlink r:id="rId1052" ref="P124"/>
    <hyperlink r:id="rId1053" ref="Q124"/>
    <hyperlink r:id="rId1054" ref="R124"/>
    <hyperlink r:id="rId1055" ref="J125"/>
    <hyperlink r:id="rId1056" ref="K125"/>
    <hyperlink r:id="rId1057" ref="J126"/>
    <hyperlink r:id="rId1058" ref="K126"/>
    <hyperlink r:id="rId1059" ref="L126"/>
    <hyperlink r:id="rId1060" ref="M126"/>
    <hyperlink r:id="rId1061" ref="N126"/>
    <hyperlink r:id="rId1062" ref="O126"/>
    <hyperlink r:id="rId1063" ref="P126"/>
    <hyperlink r:id="rId1064" ref="Q126"/>
    <hyperlink r:id="rId1065" ref="R126"/>
    <hyperlink r:id="rId1066" ref="J127"/>
    <hyperlink r:id="rId1067" ref="K127"/>
    <hyperlink r:id="rId1068" ref="L127"/>
    <hyperlink r:id="rId1069" ref="M127"/>
    <hyperlink r:id="rId1070" ref="N127"/>
    <hyperlink r:id="rId1071" ref="O127"/>
    <hyperlink r:id="rId1072" ref="P127"/>
    <hyperlink r:id="rId1073" ref="Q127"/>
    <hyperlink r:id="rId1074" ref="R127"/>
    <hyperlink r:id="rId1075" ref="J128"/>
    <hyperlink r:id="rId1076" ref="K128"/>
    <hyperlink r:id="rId1077" ref="L128"/>
    <hyperlink r:id="rId1078" ref="M128"/>
    <hyperlink r:id="rId1079" ref="N128"/>
    <hyperlink r:id="rId1080" ref="O128"/>
    <hyperlink r:id="rId1081" ref="P128"/>
    <hyperlink r:id="rId1082" ref="Q128"/>
    <hyperlink r:id="rId1083" ref="R128"/>
    <hyperlink r:id="rId1084" ref="J129"/>
    <hyperlink r:id="rId1085" ref="K129"/>
    <hyperlink r:id="rId1086" ref="L129"/>
    <hyperlink r:id="rId1087" ref="M129"/>
    <hyperlink r:id="rId1088" ref="N129"/>
    <hyperlink r:id="rId1089" ref="O129"/>
    <hyperlink r:id="rId1090" ref="P129"/>
    <hyperlink r:id="rId1091" ref="Q129"/>
    <hyperlink r:id="rId1092" ref="R129"/>
    <hyperlink r:id="rId1093" ref="J130"/>
    <hyperlink r:id="rId1094" ref="K130"/>
    <hyperlink r:id="rId1095" ref="L130"/>
    <hyperlink r:id="rId1096" ref="M130"/>
    <hyperlink r:id="rId1097" ref="N130"/>
    <hyperlink r:id="rId1098" ref="O130"/>
    <hyperlink r:id="rId1099" ref="P130"/>
    <hyperlink r:id="rId1100" ref="Q130"/>
    <hyperlink r:id="rId1101" ref="R130"/>
    <hyperlink r:id="rId1102" ref="J131"/>
    <hyperlink r:id="rId1103" ref="K131"/>
    <hyperlink r:id="rId1104" ref="L131"/>
    <hyperlink r:id="rId1105" ref="M131"/>
    <hyperlink r:id="rId1106" ref="N131"/>
    <hyperlink r:id="rId1107" ref="O131"/>
    <hyperlink r:id="rId1108" ref="P131"/>
    <hyperlink r:id="rId1109" ref="J132"/>
    <hyperlink r:id="rId1110" ref="K132"/>
    <hyperlink r:id="rId1111" ref="L132"/>
    <hyperlink r:id="rId1112" ref="M132"/>
    <hyperlink r:id="rId1113" ref="N132"/>
    <hyperlink r:id="rId1114" ref="O132"/>
    <hyperlink r:id="rId1115" ref="P132"/>
    <hyperlink r:id="rId1116" ref="Q132"/>
    <hyperlink r:id="rId1117" ref="R132"/>
    <hyperlink r:id="rId1118" ref="J133"/>
    <hyperlink r:id="rId1119" ref="K133"/>
    <hyperlink r:id="rId1120" ref="L133"/>
    <hyperlink r:id="rId1121" ref="M133"/>
    <hyperlink r:id="rId1122" ref="N133"/>
    <hyperlink r:id="rId1123" ref="O133"/>
    <hyperlink r:id="rId1124" ref="P133"/>
    <hyperlink r:id="rId1125" ref="Q133"/>
    <hyperlink r:id="rId1126" ref="R133"/>
    <hyperlink r:id="rId1127" ref="J134"/>
    <hyperlink r:id="rId1128" ref="K134"/>
    <hyperlink r:id="rId1129" ref="L134"/>
    <hyperlink r:id="rId1130" ref="J135"/>
    <hyperlink r:id="rId1131" ref="K135"/>
    <hyperlink r:id="rId1132" ref="L135"/>
    <hyperlink r:id="rId1133" ref="M135"/>
    <hyperlink r:id="rId1134" ref="N135"/>
    <hyperlink r:id="rId1135" ref="O135"/>
    <hyperlink r:id="rId1136" ref="P135"/>
    <hyperlink r:id="rId1137" ref="Q135"/>
    <hyperlink r:id="rId1138" ref="R135"/>
    <hyperlink r:id="rId1139" ref="J136"/>
    <hyperlink r:id="rId1140" ref="K136"/>
    <hyperlink r:id="rId1141" ref="L136"/>
    <hyperlink r:id="rId1142" ref="M136"/>
    <hyperlink r:id="rId1143" ref="N136"/>
    <hyperlink r:id="rId1144" ref="O136"/>
    <hyperlink r:id="rId1145" ref="P136"/>
    <hyperlink r:id="rId1146" ref="Q136"/>
    <hyperlink r:id="rId1147" ref="R136"/>
    <hyperlink r:id="rId1148" ref="J137"/>
    <hyperlink r:id="rId1149" ref="K137"/>
    <hyperlink r:id="rId1150" ref="L137"/>
    <hyperlink r:id="rId1151" ref="M137"/>
    <hyperlink r:id="rId1152" ref="N137"/>
    <hyperlink r:id="rId1153" ref="O137"/>
    <hyperlink r:id="rId1154" ref="P137"/>
    <hyperlink r:id="rId1155" ref="Q137"/>
    <hyperlink r:id="rId1156" ref="R137"/>
    <hyperlink r:id="rId1157" ref="J138"/>
    <hyperlink r:id="rId1158" ref="K138"/>
    <hyperlink r:id="rId1159" ref="L138"/>
    <hyperlink r:id="rId1160" ref="M138"/>
    <hyperlink r:id="rId1161" ref="N138"/>
    <hyperlink r:id="rId1162" ref="O138"/>
    <hyperlink r:id="rId1163" ref="P138"/>
    <hyperlink r:id="rId1164" ref="Q138"/>
    <hyperlink r:id="rId1165" ref="R138"/>
    <hyperlink r:id="rId1166" ref="J139"/>
    <hyperlink r:id="rId1167" ref="K139"/>
    <hyperlink r:id="rId1168" ref="L139"/>
    <hyperlink r:id="rId1169" ref="M139"/>
    <hyperlink r:id="rId1170" ref="N139"/>
    <hyperlink r:id="rId1171" ref="O139"/>
    <hyperlink r:id="rId1172" ref="P139"/>
    <hyperlink r:id="rId1173" ref="Q139"/>
    <hyperlink r:id="rId1174" ref="R139"/>
    <hyperlink r:id="rId1175" ref="J140"/>
    <hyperlink r:id="rId1176" ref="K140"/>
    <hyperlink r:id="rId1177" ref="L140"/>
    <hyperlink r:id="rId1178" ref="M140"/>
    <hyperlink r:id="rId1179" ref="N140"/>
    <hyperlink r:id="rId1180" ref="O140"/>
    <hyperlink r:id="rId1181" ref="P140"/>
    <hyperlink r:id="rId1182" ref="Q140"/>
    <hyperlink r:id="rId1183" ref="R140"/>
    <hyperlink r:id="rId1184" ref="J141"/>
    <hyperlink r:id="rId1185" ref="K141"/>
    <hyperlink r:id="rId1186" ref="L141"/>
    <hyperlink r:id="rId1187" ref="M141"/>
    <hyperlink r:id="rId1188" ref="N141"/>
    <hyperlink r:id="rId1189" ref="O141"/>
    <hyperlink r:id="rId1190" ref="P141"/>
    <hyperlink r:id="rId1191" ref="Q141"/>
    <hyperlink r:id="rId1192" ref="R141"/>
    <hyperlink r:id="rId1193" ref="J142"/>
    <hyperlink r:id="rId1194" ref="K142"/>
    <hyperlink r:id="rId1195" ref="L142"/>
    <hyperlink r:id="rId1196" ref="M142"/>
    <hyperlink r:id="rId1197" ref="N142"/>
    <hyperlink r:id="rId1198" ref="O142"/>
    <hyperlink r:id="rId1199" ref="P142"/>
    <hyperlink r:id="rId1200" ref="Q142"/>
    <hyperlink r:id="rId1201" ref="R142"/>
    <hyperlink r:id="rId1202" ref="J143"/>
    <hyperlink r:id="rId1203" ref="K143"/>
    <hyperlink r:id="rId1204" ref="L143"/>
    <hyperlink r:id="rId1205" ref="M143"/>
    <hyperlink r:id="rId1206" ref="N143"/>
    <hyperlink r:id="rId1207" ref="O143"/>
    <hyperlink r:id="rId1208" ref="P143"/>
    <hyperlink r:id="rId1209" ref="Q143"/>
    <hyperlink r:id="rId1210" ref="R143"/>
    <hyperlink r:id="rId1211" ref="J144"/>
    <hyperlink r:id="rId1212" ref="K144"/>
    <hyperlink r:id="rId1213" ref="L144"/>
    <hyperlink r:id="rId1214" ref="M144"/>
    <hyperlink r:id="rId1215" ref="N144"/>
    <hyperlink r:id="rId1216" ref="O144"/>
    <hyperlink r:id="rId1217" ref="P144"/>
    <hyperlink r:id="rId1218" ref="Q144"/>
    <hyperlink r:id="rId1219" ref="J145"/>
    <hyperlink r:id="rId1220" ref="K145"/>
    <hyperlink r:id="rId1221" ref="L145"/>
    <hyperlink r:id="rId1222" ref="M145"/>
    <hyperlink r:id="rId1223" ref="N145"/>
    <hyperlink r:id="rId1224" ref="O145"/>
    <hyperlink r:id="rId1225" ref="P145"/>
    <hyperlink r:id="rId1226" ref="Q145"/>
    <hyperlink r:id="rId1227" ref="R145"/>
    <hyperlink r:id="rId1228" ref="J146"/>
    <hyperlink r:id="rId1229" ref="K146"/>
    <hyperlink r:id="rId1230" ref="L146"/>
    <hyperlink r:id="rId1231" ref="J147"/>
    <hyperlink r:id="rId1232" ref="K147"/>
    <hyperlink r:id="rId1233" ref="L147"/>
    <hyperlink r:id="rId1234" ref="M147"/>
    <hyperlink r:id="rId1235" ref="N147"/>
    <hyperlink r:id="rId1236" ref="O147"/>
    <hyperlink r:id="rId1237" ref="P147"/>
    <hyperlink r:id="rId1238" ref="Q147"/>
    <hyperlink r:id="rId1239" ref="R147"/>
    <hyperlink r:id="rId1240" ref="J148"/>
    <hyperlink r:id="rId1241" ref="K148"/>
    <hyperlink r:id="rId1242" ref="L148"/>
    <hyperlink r:id="rId1243" ref="M148"/>
    <hyperlink r:id="rId1244" ref="N148"/>
    <hyperlink r:id="rId1245" ref="O148"/>
    <hyperlink r:id="rId1246" ref="P148"/>
    <hyperlink r:id="rId1247" ref="Q148"/>
    <hyperlink r:id="rId1248" ref="R148"/>
    <hyperlink r:id="rId1249" ref="J149"/>
    <hyperlink r:id="rId1250" ref="K149"/>
    <hyperlink r:id="rId1251" ref="L149"/>
    <hyperlink r:id="rId1252" ref="M149"/>
    <hyperlink r:id="rId1253" ref="N149"/>
    <hyperlink r:id="rId1254" ref="O149"/>
    <hyperlink r:id="rId1255" ref="P149"/>
    <hyperlink r:id="rId1256" ref="Q149"/>
    <hyperlink r:id="rId1257" ref="R149"/>
    <hyperlink r:id="rId1258" ref="J150"/>
    <hyperlink r:id="rId1259" ref="K150"/>
    <hyperlink r:id="rId1260" ref="L150"/>
    <hyperlink r:id="rId1261" ref="M150"/>
    <hyperlink r:id="rId1262" ref="N150"/>
    <hyperlink r:id="rId1263" ref="O150"/>
    <hyperlink r:id="rId1264" ref="P150"/>
    <hyperlink r:id="rId1265" ref="Q150"/>
    <hyperlink r:id="rId1266" ref="R150"/>
    <hyperlink r:id="rId1267" ref="J151"/>
    <hyperlink r:id="rId1268" ref="K151"/>
    <hyperlink r:id="rId1269" ref="L151"/>
    <hyperlink r:id="rId1270" ref="M151"/>
    <hyperlink r:id="rId1271" ref="N151"/>
    <hyperlink r:id="rId1272" ref="O151"/>
    <hyperlink r:id="rId1273" ref="P151"/>
    <hyperlink r:id="rId1274" ref="Q151"/>
    <hyperlink r:id="rId1275" ref="R151"/>
    <hyperlink r:id="rId1276" ref="J152"/>
    <hyperlink r:id="rId1277" ref="K152"/>
    <hyperlink r:id="rId1278" ref="L152"/>
    <hyperlink r:id="rId1279" ref="M152"/>
    <hyperlink r:id="rId1280" ref="N152"/>
    <hyperlink r:id="rId1281" ref="O152"/>
    <hyperlink r:id="rId1282" ref="P152"/>
    <hyperlink r:id="rId1283" ref="Q152"/>
    <hyperlink r:id="rId1284" ref="R152"/>
    <hyperlink r:id="rId1285" ref="J153"/>
    <hyperlink r:id="rId1286" ref="K153"/>
    <hyperlink r:id="rId1287" ref="L153"/>
    <hyperlink r:id="rId1288" ref="M153"/>
    <hyperlink r:id="rId1289" ref="N153"/>
    <hyperlink r:id="rId1290" ref="O153"/>
    <hyperlink r:id="rId1291" ref="P153"/>
    <hyperlink r:id="rId1292" ref="Q153"/>
    <hyperlink r:id="rId1293" ref="R153"/>
    <hyperlink r:id="rId1294" ref="J154"/>
    <hyperlink r:id="rId1295" ref="K154"/>
    <hyperlink r:id="rId1296" ref="L154"/>
    <hyperlink r:id="rId1297" ref="M154"/>
    <hyperlink r:id="rId1298" ref="N154"/>
    <hyperlink r:id="rId1299" ref="O154"/>
    <hyperlink r:id="rId1300" ref="P154"/>
    <hyperlink r:id="rId1301" ref="Q154"/>
    <hyperlink r:id="rId1302" ref="R154"/>
    <hyperlink r:id="rId1303" ref="J155"/>
    <hyperlink r:id="rId1304" ref="K155"/>
    <hyperlink r:id="rId1305" ref="L155"/>
    <hyperlink r:id="rId1306" ref="M155"/>
    <hyperlink r:id="rId1307" ref="N155"/>
    <hyperlink r:id="rId1308" ref="J156"/>
    <hyperlink r:id="rId1309" ref="K156"/>
    <hyperlink r:id="rId1310" ref="L156"/>
    <hyperlink r:id="rId1311" ref="M156"/>
    <hyperlink r:id="rId1312" ref="N156"/>
    <hyperlink r:id="rId1313" ref="O156"/>
    <hyperlink r:id="rId1314" ref="P156"/>
    <hyperlink r:id="rId1315" ref="J157"/>
    <hyperlink r:id="rId1316" ref="K157"/>
    <hyperlink r:id="rId1317" ref="L157"/>
    <hyperlink r:id="rId1318" ref="M157"/>
    <hyperlink r:id="rId1319" ref="N157"/>
    <hyperlink r:id="rId1320" ref="O157"/>
    <hyperlink r:id="rId1321" ref="P157"/>
    <hyperlink r:id="rId1322" ref="J158"/>
    <hyperlink r:id="rId1323" ref="K158"/>
    <hyperlink r:id="rId1324" ref="L158"/>
    <hyperlink r:id="rId1325" ref="M158"/>
    <hyperlink r:id="rId1326" ref="N158"/>
    <hyperlink r:id="rId1327" ref="O158"/>
    <hyperlink r:id="rId1328" ref="P158"/>
    <hyperlink r:id="rId1329" ref="Q158"/>
    <hyperlink r:id="rId1330" ref="R158"/>
    <hyperlink r:id="rId1331" ref="J159"/>
    <hyperlink r:id="rId1332" ref="K159"/>
    <hyperlink r:id="rId1333" ref="L159"/>
    <hyperlink r:id="rId1334" ref="M159"/>
    <hyperlink r:id="rId1335" ref="N159"/>
    <hyperlink r:id="rId1336" ref="O159"/>
    <hyperlink r:id="rId1337" ref="P159"/>
    <hyperlink r:id="rId1338" ref="Q159"/>
    <hyperlink r:id="rId1339" ref="R159"/>
    <hyperlink r:id="rId1340" ref="J160"/>
    <hyperlink r:id="rId1341" ref="K160"/>
    <hyperlink r:id="rId1342" ref="L160"/>
    <hyperlink r:id="rId1343" ref="M160"/>
    <hyperlink r:id="rId1344" ref="N160"/>
    <hyperlink r:id="rId1345" ref="O160"/>
    <hyperlink r:id="rId1346" ref="P160"/>
    <hyperlink r:id="rId1347" ref="Q160"/>
    <hyperlink r:id="rId1348" ref="R160"/>
    <hyperlink r:id="rId1349" ref="J161"/>
    <hyperlink r:id="rId1350" ref="K161"/>
    <hyperlink r:id="rId1351" ref="L161"/>
    <hyperlink r:id="rId1352" ref="M161"/>
    <hyperlink r:id="rId1353" ref="N161"/>
    <hyperlink r:id="rId1354" ref="O161"/>
    <hyperlink r:id="rId1355" ref="P161"/>
    <hyperlink r:id="rId1356" ref="Q161"/>
    <hyperlink r:id="rId1357" ref="R161"/>
    <hyperlink r:id="rId1358" ref="J162"/>
    <hyperlink r:id="rId1359" ref="K162"/>
    <hyperlink r:id="rId1360" ref="L162"/>
    <hyperlink r:id="rId1361" ref="M162"/>
    <hyperlink r:id="rId1362" ref="N162"/>
    <hyperlink r:id="rId1363" ref="O162"/>
    <hyperlink r:id="rId1364" ref="P162"/>
    <hyperlink r:id="rId1365" ref="Q162"/>
    <hyperlink r:id="rId1366" ref="R162"/>
    <hyperlink r:id="rId1367" ref="J163"/>
    <hyperlink r:id="rId1368" ref="K163"/>
    <hyperlink r:id="rId1369" ref="L163"/>
    <hyperlink r:id="rId1370" ref="M163"/>
    <hyperlink r:id="rId1371" ref="N163"/>
    <hyperlink r:id="rId1372" ref="J164"/>
    <hyperlink r:id="rId1373" ref="K164"/>
    <hyperlink r:id="rId1374" ref="L164"/>
    <hyperlink r:id="rId1375" ref="M164"/>
    <hyperlink r:id="rId1376" ref="N164"/>
    <hyperlink r:id="rId1377" ref="O164"/>
    <hyperlink r:id="rId1378" ref="P164"/>
    <hyperlink r:id="rId1379" ref="Q164"/>
    <hyperlink r:id="rId1380" ref="R164"/>
    <hyperlink r:id="rId1381" ref="J165"/>
    <hyperlink r:id="rId1382" ref="K165"/>
    <hyperlink r:id="rId1383" ref="L165"/>
    <hyperlink r:id="rId1384" ref="M165"/>
    <hyperlink r:id="rId1385" ref="N165"/>
    <hyperlink r:id="rId1386" ref="O165"/>
    <hyperlink r:id="rId1387" ref="J166"/>
    <hyperlink r:id="rId1388" ref="K166"/>
    <hyperlink r:id="rId1389" ref="L166"/>
    <hyperlink r:id="rId1390" ref="M166"/>
    <hyperlink r:id="rId1391" ref="N166"/>
    <hyperlink r:id="rId1392" ref="O166"/>
    <hyperlink r:id="rId1393" ref="P166"/>
    <hyperlink r:id="rId1394" ref="Q166"/>
    <hyperlink r:id="rId1395" ref="R166"/>
    <hyperlink r:id="rId1396" ref="J167"/>
    <hyperlink r:id="rId1397" ref="K167"/>
    <hyperlink r:id="rId1398" ref="L167"/>
    <hyperlink r:id="rId1399" ref="M167"/>
    <hyperlink r:id="rId1400" ref="N167"/>
    <hyperlink r:id="rId1401" ref="O167"/>
    <hyperlink r:id="rId1402" ref="P167"/>
    <hyperlink r:id="rId1403" ref="Q167"/>
    <hyperlink r:id="rId1404" ref="R167"/>
    <hyperlink r:id="rId1405" ref="J168"/>
    <hyperlink r:id="rId1406" ref="J169"/>
    <hyperlink r:id="rId1407" ref="J170"/>
    <hyperlink r:id="rId1408" ref="K170"/>
    <hyperlink r:id="rId1409" ref="L170"/>
    <hyperlink r:id="rId1410" ref="M170"/>
    <hyperlink r:id="rId1411" ref="N170"/>
    <hyperlink r:id="rId1412" ref="O170"/>
    <hyperlink r:id="rId1413" ref="P170"/>
    <hyperlink r:id="rId1414" ref="Q170"/>
    <hyperlink r:id="rId1415" ref="R170"/>
    <hyperlink r:id="rId1416" ref="J171"/>
    <hyperlink r:id="rId1417" ref="K171"/>
    <hyperlink r:id="rId1418" ref="L171"/>
    <hyperlink r:id="rId1419" ref="M171"/>
    <hyperlink r:id="rId1420" ref="N171"/>
    <hyperlink r:id="rId1421" ref="O171"/>
    <hyperlink r:id="rId1422" ref="P171"/>
    <hyperlink r:id="rId1423" ref="Q171"/>
    <hyperlink r:id="rId1424" ref="R171"/>
    <hyperlink r:id="rId1425" ref="J172"/>
    <hyperlink r:id="rId1426" ref="K172"/>
    <hyperlink r:id="rId1427" ref="L172"/>
    <hyperlink r:id="rId1428" ref="M172"/>
    <hyperlink r:id="rId1429" ref="N172"/>
    <hyperlink r:id="rId1430" ref="O172"/>
    <hyperlink r:id="rId1431" ref="P172"/>
    <hyperlink r:id="rId1432" ref="Q172"/>
    <hyperlink r:id="rId1433" ref="R172"/>
    <hyperlink r:id="rId1434" ref="J173"/>
    <hyperlink r:id="rId1435" ref="K173"/>
    <hyperlink r:id="rId1436" ref="L173"/>
    <hyperlink r:id="rId1437" ref="M173"/>
    <hyperlink r:id="rId1438" ref="N173"/>
    <hyperlink r:id="rId1439" ref="O173"/>
    <hyperlink r:id="rId1440" ref="P173"/>
    <hyperlink r:id="rId1441" ref="Q173"/>
    <hyperlink r:id="rId1442" ref="R173"/>
    <hyperlink r:id="rId1443" ref="J174"/>
    <hyperlink r:id="rId1444" ref="K174"/>
    <hyperlink r:id="rId1445" ref="L174"/>
    <hyperlink r:id="rId1446" ref="M174"/>
    <hyperlink r:id="rId1447" ref="N174"/>
    <hyperlink r:id="rId1448" ref="O174"/>
    <hyperlink r:id="rId1449" ref="P174"/>
    <hyperlink r:id="rId1450" ref="Q174"/>
    <hyperlink r:id="rId1451" ref="R174"/>
    <hyperlink r:id="rId1452" ref="J175"/>
    <hyperlink r:id="rId1453" ref="K175"/>
    <hyperlink r:id="rId1454" ref="L175"/>
    <hyperlink r:id="rId1455" ref="M175"/>
    <hyperlink r:id="rId1456" ref="N175"/>
    <hyperlink r:id="rId1457" ref="O175"/>
    <hyperlink r:id="rId1458" ref="P175"/>
    <hyperlink r:id="rId1459" ref="Q175"/>
    <hyperlink r:id="rId1460" ref="R175"/>
    <hyperlink r:id="rId1461" ref="J176"/>
    <hyperlink r:id="rId1462" ref="K176"/>
    <hyperlink r:id="rId1463" ref="L176"/>
    <hyperlink r:id="rId1464" ref="M176"/>
    <hyperlink r:id="rId1465" ref="N176"/>
    <hyperlink r:id="rId1466" ref="O176"/>
    <hyperlink r:id="rId1467" ref="P176"/>
    <hyperlink r:id="rId1468" ref="Q176"/>
    <hyperlink r:id="rId1469" ref="R176"/>
    <hyperlink r:id="rId1470" ref="J177"/>
    <hyperlink r:id="rId1471" ref="K177"/>
    <hyperlink r:id="rId1472" ref="L177"/>
    <hyperlink r:id="rId1473" ref="M177"/>
    <hyperlink r:id="rId1474" ref="N177"/>
    <hyperlink r:id="rId1475" ref="O177"/>
    <hyperlink r:id="rId1476" ref="P177"/>
    <hyperlink r:id="rId1477" ref="Q177"/>
    <hyperlink r:id="rId1478" ref="R177"/>
    <hyperlink r:id="rId1479" ref="J178"/>
    <hyperlink r:id="rId1480" ref="K178"/>
    <hyperlink r:id="rId1481" ref="L178"/>
    <hyperlink r:id="rId1482" ref="M178"/>
    <hyperlink r:id="rId1483" ref="N178"/>
    <hyperlink r:id="rId1484" ref="O178"/>
    <hyperlink r:id="rId1485" ref="P178"/>
    <hyperlink r:id="rId1486" ref="Q178"/>
    <hyperlink r:id="rId1487" ref="R178"/>
    <hyperlink r:id="rId1488" ref="J179"/>
    <hyperlink r:id="rId1489" ref="K179"/>
    <hyperlink r:id="rId1490" ref="L179"/>
    <hyperlink r:id="rId1491" ref="M179"/>
    <hyperlink r:id="rId1492" ref="N179"/>
    <hyperlink r:id="rId1493" ref="O179"/>
    <hyperlink r:id="rId1494" ref="P179"/>
    <hyperlink r:id="rId1495" ref="Q179"/>
    <hyperlink r:id="rId1496" ref="R179"/>
    <hyperlink r:id="rId1497" ref="J180"/>
    <hyperlink r:id="rId1498" ref="K180"/>
    <hyperlink r:id="rId1499" ref="L180"/>
    <hyperlink r:id="rId1500" ref="M180"/>
    <hyperlink r:id="rId1501" ref="N180"/>
    <hyperlink r:id="rId1502" ref="O180"/>
    <hyperlink r:id="rId1503" ref="P180"/>
    <hyperlink r:id="rId1504" ref="J181"/>
    <hyperlink r:id="rId1505" ref="K181"/>
    <hyperlink r:id="rId1506" ref="L181"/>
    <hyperlink r:id="rId1507" ref="M181"/>
    <hyperlink r:id="rId1508" ref="N181"/>
    <hyperlink r:id="rId1509" ref="O181"/>
    <hyperlink r:id="rId1510" ref="P181"/>
    <hyperlink r:id="rId1511" ref="Q181"/>
    <hyperlink r:id="rId1512" ref="R181"/>
    <hyperlink r:id="rId1513" ref="J182"/>
    <hyperlink r:id="rId1514" ref="K182"/>
    <hyperlink r:id="rId1515" ref="L182"/>
    <hyperlink r:id="rId1516" ref="M182"/>
    <hyperlink r:id="rId1517" ref="N182"/>
    <hyperlink r:id="rId1518" ref="O182"/>
    <hyperlink r:id="rId1519" ref="P182"/>
    <hyperlink r:id="rId1520" ref="Q182"/>
    <hyperlink r:id="rId1521" ref="R182"/>
    <hyperlink r:id="rId1522" ref="J183"/>
    <hyperlink r:id="rId1523" ref="K183"/>
    <hyperlink r:id="rId1524" ref="L183"/>
    <hyperlink r:id="rId1525" ref="M183"/>
    <hyperlink r:id="rId1526" ref="N183"/>
    <hyperlink r:id="rId1527" ref="O183"/>
    <hyperlink r:id="rId1528" ref="P183"/>
    <hyperlink r:id="rId1529" ref="Q183"/>
    <hyperlink r:id="rId1530" ref="R183"/>
    <hyperlink r:id="rId1531" ref="J184"/>
    <hyperlink r:id="rId1532" ref="K184"/>
    <hyperlink r:id="rId1533" ref="L184"/>
    <hyperlink r:id="rId1534" ref="M184"/>
    <hyperlink r:id="rId1535" ref="N184"/>
    <hyperlink r:id="rId1536" ref="O184"/>
    <hyperlink r:id="rId1537" ref="P184"/>
    <hyperlink r:id="rId1538" ref="Q184"/>
    <hyperlink r:id="rId1539" ref="R184"/>
    <hyperlink r:id="rId1540" ref="J186"/>
    <hyperlink r:id="rId1541" ref="K186"/>
    <hyperlink r:id="rId1542" ref="L186"/>
    <hyperlink r:id="rId1543" ref="M186"/>
    <hyperlink r:id="rId1544" ref="N186"/>
    <hyperlink r:id="rId1545" ref="O186"/>
    <hyperlink r:id="rId1546" ref="P186"/>
    <hyperlink r:id="rId1547" ref="Q186"/>
    <hyperlink r:id="rId1548" ref="J187"/>
    <hyperlink r:id="rId1549" ref="K187"/>
    <hyperlink r:id="rId1550" ref="L187"/>
    <hyperlink r:id="rId1551" ref="M187"/>
    <hyperlink r:id="rId1552" ref="N187"/>
    <hyperlink r:id="rId1553" ref="O187"/>
    <hyperlink r:id="rId1554" ref="P187"/>
    <hyperlink r:id="rId1555" ref="Q187"/>
    <hyperlink r:id="rId1556" ref="R187"/>
    <hyperlink r:id="rId1557" ref="J188"/>
    <hyperlink r:id="rId1558" ref="K188"/>
    <hyperlink r:id="rId1559" ref="L188"/>
    <hyperlink r:id="rId1560" ref="M188"/>
    <hyperlink r:id="rId1561" ref="N188"/>
    <hyperlink r:id="rId1562" ref="O188"/>
    <hyperlink r:id="rId1563" ref="P188"/>
    <hyperlink r:id="rId1564" ref="Q188"/>
    <hyperlink r:id="rId1565" ref="R188"/>
    <hyperlink r:id="rId1566" ref="J189"/>
    <hyperlink r:id="rId1567" ref="K189"/>
    <hyperlink r:id="rId1568" ref="L189"/>
    <hyperlink r:id="rId1569" ref="M189"/>
    <hyperlink r:id="rId1570" ref="N189"/>
    <hyperlink r:id="rId1571" ref="O189"/>
    <hyperlink r:id="rId1572" ref="P189"/>
    <hyperlink r:id="rId1573" ref="J190"/>
    <hyperlink r:id="rId1574" ref="K190"/>
    <hyperlink r:id="rId1575" ref="J191"/>
    <hyperlink r:id="rId1576" ref="K191"/>
    <hyperlink r:id="rId1577" ref="L191"/>
    <hyperlink r:id="rId1578" ref="M191"/>
    <hyperlink r:id="rId1579" ref="N191"/>
    <hyperlink r:id="rId1580" ref="O191"/>
    <hyperlink r:id="rId1581" ref="P191"/>
    <hyperlink r:id="rId1582" ref="Q191"/>
    <hyperlink r:id="rId1583" ref="R191"/>
    <hyperlink r:id="rId1584" ref="J192"/>
    <hyperlink r:id="rId1585" ref="K192"/>
    <hyperlink r:id="rId1586" ref="L192"/>
    <hyperlink r:id="rId1587" ref="M192"/>
    <hyperlink r:id="rId1588" ref="N192"/>
    <hyperlink r:id="rId1589" ref="O192"/>
    <hyperlink r:id="rId1590" ref="P192"/>
    <hyperlink r:id="rId1591" ref="J193"/>
    <hyperlink r:id="rId1592" ref="K193"/>
    <hyperlink r:id="rId1593" ref="L193"/>
    <hyperlink r:id="rId1594" ref="M193"/>
    <hyperlink r:id="rId1595" ref="N193"/>
    <hyperlink r:id="rId1596" ref="O193"/>
    <hyperlink r:id="rId1597" ref="P193"/>
    <hyperlink r:id="rId1598" ref="Q193"/>
    <hyperlink r:id="rId1599" ref="R193"/>
    <hyperlink r:id="rId1600" ref="J194"/>
    <hyperlink r:id="rId1601" ref="K194"/>
    <hyperlink r:id="rId1602" ref="L194"/>
    <hyperlink r:id="rId1603" ref="J195"/>
    <hyperlink r:id="rId1604" ref="K195"/>
    <hyperlink r:id="rId1605" ref="L195"/>
    <hyperlink r:id="rId1606" ref="M195"/>
    <hyperlink r:id="rId1607" ref="N195"/>
    <hyperlink r:id="rId1608" ref="O195"/>
    <hyperlink r:id="rId1609" ref="P195"/>
    <hyperlink r:id="rId1610" ref="Q195"/>
    <hyperlink r:id="rId1611" ref="R195"/>
    <hyperlink r:id="rId1612" ref="J196"/>
    <hyperlink r:id="rId1613" ref="K196"/>
    <hyperlink r:id="rId1614" ref="L196"/>
    <hyperlink r:id="rId1615" ref="M196"/>
    <hyperlink r:id="rId1616" ref="N196"/>
    <hyperlink r:id="rId1617" ref="O196"/>
    <hyperlink r:id="rId1618" ref="P196"/>
    <hyperlink r:id="rId1619" ref="Q196"/>
    <hyperlink r:id="rId1620" ref="R196"/>
    <hyperlink r:id="rId1621" ref="J197"/>
    <hyperlink r:id="rId1622" ref="K197"/>
    <hyperlink r:id="rId1623" ref="L197"/>
    <hyperlink r:id="rId1624" ref="J198"/>
    <hyperlink r:id="rId1625" ref="K198"/>
    <hyperlink r:id="rId1626" ref="L198"/>
    <hyperlink r:id="rId1627" ref="M198"/>
    <hyperlink r:id="rId1628" ref="N198"/>
    <hyperlink r:id="rId1629" ref="O198"/>
    <hyperlink r:id="rId1630" ref="P198"/>
    <hyperlink r:id="rId1631" ref="Q198"/>
    <hyperlink r:id="rId1632" ref="R198"/>
    <hyperlink r:id="rId1633" ref="J199"/>
    <hyperlink r:id="rId1634" ref="K199"/>
    <hyperlink r:id="rId1635" ref="L199"/>
    <hyperlink r:id="rId1636" ref="M199"/>
    <hyperlink r:id="rId1637" ref="N199"/>
    <hyperlink r:id="rId1638" ref="O199"/>
    <hyperlink r:id="rId1639" ref="P199"/>
    <hyperlink r:id="rId1640" ref="Q199"/>
    <hyperlink r:id="rId1641" ref="R199"/>
    <hyperlink r:id="rId1642" ref="J200"/>
    <hyperlink r:id="rId1643" ref="K200"/>
    <hyperlink r:id="rId1644" ref="L200"/>
    <hyperlink r:id="rId1645" ref="M200"/>
    <hyperlink r:id="rId1646" ref="N200"/>
    <hyperlink r:id="rId1647" ref="O200"/>
    <hyperlink r:id="rId1648" ref="P200"/>
    <hyperlink r:id="rId1649" ref="Q200"/>
    <hyperlink r:id="rId1650" ref="R200"/>
    <hyperlink r:id="rId1651" ref="J201"/>
    <hyperlink r:id="rId1652" ref="K201"/>
    <hyperlink r:id="rId1653" ref="L201"/>
    <hyperlink r:id="rId1654" ref="J202"/>
    <hyperlink r:id="rId1655" ref="K202"/>
    <hyperlink r:id="rId1656" ref="L202"/>
    <hyperlink r:id="rId1657" ref="M202"/>
    <hyperlink r:id="rId1658" ref="N202"/>
    <hyperlink r:id="rId1659" ref="O202"/>
    <hyperlink r:id="rId1660" ref="P202"/>
    <hyperlink r:id="rId1661" ref="Q202"/>
    <hyperlink r:id="rId1662" ref="R202"/>
    <hyperlink r:id="rId1663" ref="J203"/>
    <hyperlink r:id="rId1664" ref="K203"/>
    <hyperlink r:id="rId1665" ref="L203"/>
    <hyperlink r:id="rId1666" ref="M203"/>
    <hyperlink r:id="rId1667" ref="N203"/>
    <hyperlink r:id="rId1668" ref="O203"/>
    <hyperlink r:id="rId1669" ref="P203"/>
    <hyperlink r:id="rId1670" ref="Q203"/>
    <hyperlink r:id="rId1671" ref="R203"/>
    <hyperlink r:id="rId1672" ref="J204"/>
    <hyperlink r:id="rId1673" ref="K204"/>
    <hyperlink r:id="rId1674" ref="L204"/>
    <hyperlink r:id="rId1675" ref="M204"/>
    <hyperlink r:id="rId1676" ref="N204"/>
    <hyperlink r:id="rId1677" ref="O204"/>
    <hyperlink r:id="rId1678" ref="P204"/>
    <hyperlink r:id="rId1679" ref="Q204"/>
    <hyperlink r:id="rId1680" ref="R204"/>
    <hyperlink r:id="rId1681" ref="J205"/>
    <hyperlink r:id="rId1682" ref="K205"/>
    <hyperlink r:id="rId1683" ref="L205"/>
    <hyperlink r:id="rId1684" ref="M205"/>
    <hyperlink r:id="rId1685" ref="N205"/>
    <hyperlink r:id="rId1686" ref="J206"/>
    <hyperlink r:id="rId1687" ref="K206"/>
    <hyperlink r:id="rId1688" ref="L206"/>
    <hyperlink r:id="rId1689" ref="M206"/>
    <hyperlink r:id="rId1690" ref="N206"/>
    <hyperlink r:id="rId1691" ref="O206"/>
    <hyperlink r:id="rId1692" ref="P206"/>
    <hyperlink r:id="rId1693" ref="Q206"/>
    <hyperlink r:id="rId1694" ref="R206"/>
    <hyperlink r:id="rId1695" ref="J207"/>
    <hyperlink r:id="rId1696" ref="K207"/>
    <hyperlink r:id="rId1697" ref="L207"/>
    <hyperlink r:id="rId1698" ref="M207"/>
    <hyperlink r:id="rId1699" ref="N207"/>
    <hyperlink r:id="rId1700" ref="O207"/>
    <hyperlink r:id="rId1701" ref="P207"/>
    <hyperlink r:id="rId1702" ref="Q207"/>
    <hyperlink r:id="rId1703" ref="R207"/>
    <hyperlink r:id="rId1704" ref="J208"/>
    <hyperlink r:id="rId1705" ref="K208"/>
    <hyperlink r:id="rId1706" ref="L208"/>
    <hyperlink r:id="rId1707" ref="M208"/>
    <hyperlink r:id="rId1708" ref="N208"/>
    <hyperlink r:id="rId1709" ref="O208"/>
    <hyperlink r:id="rId1710" ref="P208"/>
    <hyperlink r:id="rId1711" ref="Q208"/>
    <hyperlink r:id="rId1712" ref="R208"/>
    <hyperlink r:id="rId1713" ref="J209"/>
    <hyperlink r:id="rId1714" ref="K209"/>
    <hyperlink r:id="rId1715" ref="L209"/>
    <hyperlink r:id="rId1716" ref="M209"/>
    <hyperlink r:id="rId1717" ref="N209"/>
    <hyperlink r:id="rId1718" ref="O209"/>
    <hyperlink r:id="rId1719" ref="P209"/>
    <hyperlink r:id="rId1720" ref="Q209"/>
    <hyperlink r:id="rId1721" ref="R209"/>
    <hyperlink r:id="rId1722" ref="J210"/>
    <hyperlink r:id="rId1723" ref="K210"/>
    <hyperlink r:id="rId1724" ref="L210"/>
    <hyperlink r:id="rId1725" ref="M210"/>
    <hyperlink r:id="rId1726" ref="N210"/>
    <hyperlink r:id="rId1727" ref="O210"/>
    <hyperlink r:id="rId1728" ref="P210"/>
    <hyperlink r:id="rId1729" ref="Q210"/>
    <hyperlink r:id="rId1730" ref="R210"/>
    <hyperlink r:id="rId1731" ref="J211"/>
    <hyperlink r:id="rId1732" ref="K211"/>
    <hyperlink r:id="rId1733" ref="L211"/>
    <hyperlink r:id="rId1734" ref="M211"/>
    <hyperlink r:id="rId1735" ref="N211"/>
    <hyperlink r:id="rId1736" ref="O211"/>
    <hyperlink r:id="rId1737" ref="P211"/>
    <hyperlink r:id="rId1738" ref="Q211"/>
    <hyperlink r:id="rId1739" ref="R211"/>
    <hyperlink r:id="rId1740" ref="J212"/>
    <hyperlink r:id="rId1741" ref="K212"/>
    <hyperlink r:id="rId1742" ref="L212"/>
    <hyperlink r:id="rId1743" ref="M212"/>
    <hyperlink r:id="rId1744" ref="N212"/>
    <hyperlink r:id="rId1745" ref="O212"/>
    <hyperlink r:id="rId1746" ref="P212"/>
    <hyperlink r:id="rId1747" ref="Q212"/>
    <hyperlink r:id="rId1748" ref="R212"/>
    <hyperlink r:id="rId1749" ref="J213"/>
    <hyperlink r:id="rId1750" ref="K213"/>
    <hyperlink r:id="rId1751" ref="L213"/>
    <hyperlink r:id="rId1752" ref="M213"/>
    <hyperlink r:id="rId1753" ref="N213"/>
    <hyperlink r:id="rId1754" ref="O213"/>
    <hyperlink r:id="rId1755" ref="P213"/>
    <hyperlink r:id="rId1756" ref="Q213"/>
    <hyperlink r:id="rId1757" ref="R213"/>
    <hyperlink r:id="rId1758" ref="J214"/>
    <hyperlink r:id="rId1759" ref="K214"/>
    <hyperlink r:id="rId1760" ref="L214"/>
    <hyperlink r:id="rId1761" ref="M214"/>
    <hyperlink r:id="rId1762" ref="N214"/>
    <hyperlink r:id="rId1763" ref="O214"/>
    <hyperlink r:id="rId1764" ref="P214"/>
    <hyperlink r:id="rId1765" ref="J216"/>
    <hyperlink r:id="rId1766" ref="K216"/>
    <hyperlink r:id="rId1767" ref="L216"/>
    <hyperlink r:id="rId1768" ref="M216"/>
    <hyperlink r:id="rId1769" ref="N216"/>
    <hyperlink r:id="rId1770" ref="O216"/>
    <hyperlink r:id="rId1771" ref="P216"/>
    <hyperlink r:id="rId1772" ref="Q216"/>
    <hyperlink r:id="rId1773" ref="R216"/>
    <hyperlink r:id="rId1774" ref="J217"/>
    <hyperlink r:id="rId1775" ref="K217"/>
    <hyperlink r:id="rId1776" ref="L217"/>
    <hyperlink r:id="rId1777" ref="M217"/>
    <hyperlink r:id="rId1778" ref="N217"/>
    <hyperlink r:id="rId1779" ref="O217"/>
    <hyperlink r:id="rId1780" ref="P217"/>
    <hyperlink r:id="rId1781" ref="Q217"/>
    <hyperlink r:id="rId1782" ref="J218"/>
    <hyperlink r:id="rId1783" ref="K218"/>
    <hyperlink r:id="rId1784" ref="L218"/>
    <hyperlink r:id="rId1785" ref="M218"/>
    <hyperlink r:id="rId1786" ref="N218"/>
    <hyperlink r:id="rId1787" ref="O218"/>
    <hyperlink r:id="rId1788" ref="P218"/>
    <hyperlink r:id="rId1789" ref="Q218"/>
    <hyperlink r:id="rId1790" ref="J219"/>
    <hyperlink r:id="rId1791" ref="K219"/>
    <hyperlink r:id="rId1792" ref="L219"/>
    <hyperlink r:id="rId1793" ref="M219"/>
    <hyperlink r:id="rId1794" ref="N219"/>
    <hyperlink r:id="rId1795" ref="O219"/>
    <hyperlink r:id="rId1796" ref="P219"/>
    <hyperlink r:id="rId1797" ref="Q219"/>
    <hyperlink r:id="rId1798" ref="R219"/>
    <hyperlink r:id="rId1799" ref="J220"/>
    <hyperlink r:id="rId1800" ref="K220"/>
    <hyperlink r:id="rId1801" ref="L220"/>
    <hyperlink r:id="rId1802" ref="M220"/>
    <hyperlink r:id="rId1803" ref="N220"/>
    <hyperlink r:id="rId1804" ref="O220"/>
    <hyperlink r:id="rId1805" ref="P220"/>
    <hyperlink r:id="rId1806" ref="Q220"/>
    <hyperlink r:id="rId1807" ref="R220"/>
    <hyperlink r:id="rId1808" ref="J221"/>
    <hyperlink r:id="rId1809" ref="K221"/>
    <hyperlink r:id="rId1810" ref="L221"/>
    <hyperlink r:id="rId1811" ref="M221"/>
    <hyperlink r:id="rId1812" ref="N221"/>
    <hyperlink r:id="rId1813" ref="J222"/>
    <hyperlink r:id="rId1814" ref="K222"/>
    <hyperlink r:id="rId1815" ref="L222"/>
    <hyperlink r:id="rId1816" ref="M222"/>
    <hyperlink r:id="rId1817" ref="N222"/>
    <hyperlink r:id="rId1818" ref="J223"/>
    <hyperlink r:id="rId1819" ref="K223"/>
    <hyperlink r:id="rId1820" ref="L223"/>
    <hyperlink r:id="rId1821" ref="M223"/>
    <hyperlink r:id="rId1822" ref="N223"/>
    <hyperlink r:id="rId1823" ref="O223"/>
    <hyperlink r:id="rId1824" ref="P223"/>
    <hyperlink r:id="rId1825" ref="Q223"/>
    <hyperlink r:id="rId1826" ref="R223"/>
    <hyperlink r:id="rId1827" ref="J224"/>
    <hyperlink r:id="rId1828" ref="K224"/>
    <hyperlink r:id="rId1829" ref="L224"/>
    <hyperlink r:id="rId1830" ref="M224"/>
    <hyperlink r:id="rId1831" ref="N224"/>
    <hyperlink r:id="rId1832" ref="O224"/>
    <hyperlink r:id="rId1833" ref="P224"/>
    <hyperlink r:id="rId1834" ref="Q224"/>
    <hyperlink r:id="rId1835" ref="R224"/>
    <hyperlink r:id="rId1836" ref="J225"/>
    <hyperlink r:id="rId1837" ref="K225"/>
    <hyperlink r:id="rId1838" ref="L225"/>
    <hyperlink r:id="rId1839" ref="M225"/>
    <hyperlink r:id="rId1840" ref="N225"/>
    <hyperlink r:id="rId1841" ref="O225"/>
    <hyperlink r:id="rId1842" ref="P225"/>
    <hyperlink r:id="rId1843" ref="J226"/>
    <hyperlink r:id="rId1844" ref="K226"/>
    <hyperlink r:id="rId1845" ref="L226"/>
    <hyperlink r:id="rId1846" ref="M226"/>
    <hyperlink r:id="rId1847" ref="N226"/>
    <hyperlink r:id="rId1848" ref="O226"/>
    <hyperlink r:id="rId1849" ref="P226"/>
    <hyperlink r:id="rId1850" ref="Q226"/>
    <hyperlink r:id="rId1851" ref="R226"/>
    <hyperlink r:id="rId1852" ref="J227"/>
    <hyperlink r:id="rId1853" ref="K227"/>
    <hyperlink r:id="rId1854" ref="L227"/>
    <hyperlink r:id="rId1855" ref="M227"/>
    <hyperlink r:id="rId1856" ref="N227"/>
    <hyperlink r:id="rId1857" ref="O227"/>
    <hyperlink r:id="rId1858" ref="P227"/>
    <hyperlink r:id="rId1859" ref="Q227"/>
    <hyperlink r:id="rId1860" ref="R227"/>
    <hyperlink r:id="rId1861" ref="J228"/>
    <hyperlink r:id="rId1862" ref="K228"/>
    <hyperlink r:id="rId1863" ref="L228"/>
    <hyperlink r:id="rId1864" ref="M228"/>
    <hyperlink r:id="rId1865" ref="N228"/>
    <hyperlink r:id="rId1866" ref="O228"/>
    <hyperlink r:id="rId1867" ref="P228"/>
    <hyperlink r:id="rId1868" ref="Q228"/>
    <hyperlink r:id="rId1869" ref="R228"/>
    <hyperlink r:id="rId1870" ref="J229"/>
    <hyperlink r:id="rId1871" ref="K229"/>
    <hyperlink r:id="rId1872" ref="L229"/>
    <hyperlink r:id="rId1873" ref="M229"/>
    <hyperlink r:id="rId1874" ref="N229"/>
    <hyperlink r:id="rId1875" ref="O229"/>
    <hyperlink r:id="rId1876" ref="P229"/>
    <hyperlink r:id="rId1877" ref="Q229"/>
    <hyperlink r:id="rId1878" ref="R229"/>
    <hyperlink r:id="rId1879" ref="J230"/>
    <hyperlink r:id="rId1880" ref="K230"/>
    <hyperlink r:id="rId1881" ref="L230"/>
    <hyperlink r:id="rId1882" ref="M230"/>
    <hyperlink r:id="rId1883" ref="N230"/>
    <hyperlink r:id="rId1884" ref="O230"/>
    <hyperlink r:id="rId1885" ref="P230"/>
    <hyperlink r:id="rId1886" ref="Q230"/>
    <hyperlink r:id="rId1887" ref="R230"/>
    <hyperlink r:id="rId1888" ref="J231"/>
    <hyperlink r:id="rId1889" ref="K231"/>
    <hyperlink r:id="rId1890" ref="L231"/>
    <hyperlink r:id="rId1891" ref="M231"/>
    <hyperlink r:id="rId1892" ref="N231"/>
    <hyperlink r:id="rId1893" ref="O231"/>
    <hyperlink r:id="rId1894" ref="P231"/>
    <hyperlink r:id="rId1895" ref="Q231"/>
    <hyperlink r:id="rId1896" ref="R231"/>
    <hyperlink r:id="rId1897" ref="J232"/>
    <hyperlink r:id="rId1898" ref="K232"/>
    <hyperlink r:id="rId1899" ref="L232"/>
    <hyperlink r:id="rId1900" ref="M232"/>
    <hyperlink r:id="rId1901" ref="N232"/>
    <hyperlink r:id="rId1902" ref="O232"/>
    <hyperlink r:id="rId1903" ref="P232"/>
    <hyperlink r:id="rId1904" ref="J233"/>
    <hyperlink r:id="rId1905" ref="K233"/>
    <hyperlink r:id="rId1906" ref="L233"/>
    <hyperlink r:id="rId1907" ref="M233"/>
    <hyperlink r:id="rId1908" ref="N233"/>
    <hyperlink r:id="rId1909" ref="O233"/>
    <hyperlink r:id="rId1910" ref="P233"/>
    <hyperlink r:id="rId1911" ref="Q233"/>
    <hyperlink r:id="rId1912" ref="R233"/>
    <hyperlink r:id="rId1913" ref="J234"/>
    <hyperlink r:id="rId1914" ref="K234"/>
    <hyperlink r:id="rId1915" ref="L234"/>
    <hyperlink r:id="rId1916" ref="M234"/>
    <hyperlink r:id="rId1917" ref="N234"/>
    <hyperlink r:id="rId1918" ref="O234"/>
    <hyperlink r:id="rId1919" ref="P234"/>
    <hyperlink r:id="rId1920" ref="Q234"/>
    <hyperlink r:id="rId1921" ref="R234"/>
    <hyperlink r:id="rId1922" ref="J235"/>
    <hyperlink r:id="rId1923" ref="K235"/>
    <hyperlink r:id="rId1924" ref="L235"/>
    <hyperlink r:id="rId1925" ref="M235"/>
    <hyperlink r:id="rId1926" ref="N235"/>
    <hyperlink r:id="rId1927" ref="O235"/>
    <hyperlink r:id="rId1928" ref="P235"/>
    <hyperlink r:id="rId1929" ref="Q235"/>
    <hyperlink r:id="rId1930" ref="R235"/>
    <hyperlink r:id="rId1931" ref="J236"/>
    <hyperlink r:id="rId1932" ref="K236"/>
    <hyperlink r:id="rId1933" ref="L236"/>
    <hyperlink r:id="rId1934" ref="M236"/>
    <hyperlink r:id="rId1935" ref="N236"/>
    <hyperlink r:id="rId1936" ref="O236"/>
    <hyperlink r:id="rId1937" ref="P236"/>
    <hyperlink r:id="rId1938" ref="Q236"/>
    <hyperlink r:id="rId1939" ref="R236"/>
    <hyperlink r:id="rId1940" ref="J237"/>
    <hyperlink r:id="rId1941" ref="K237"/>
    <hyperlink r:id="rId1942" ref="L237"/>
    <hyperlink r:id="rId1943" ref="M237"/>
    <hyperlink r:id="rId1944" ref="N237"/>
    <hyperlink r:id="rId1945" ref="O237"/>
    <hyperlink r:id="rId1946" ref="P237"/>
    <hyperlink r:id="rId1947" ref="Q237"/>
    <hyperlink r:id="rId1948" ref="R237"/>
    <hyperlink r:id="rId1949" ref="J238"/>
    <hyperlink r:id="rId1950" ref="K238"/>
    <hyperlink r:id="rId1951" ref="L238"/>
    <hyperlink r:id="rId1952" ref="M238"/>
    <hyperlink r:id="rId1953" ref="N238"/>
    <hyperlink r:id="rId1954" ref="O238"/>
    <hyperlink r:id="rId1955" ref="P238"/>
    <hyperlink r:id="rId1956" ref="Q238"/>
    <hyperlink r:id="rId1957" ref="R238"/>
    <hyperlink r:id="rId1958" ref="J239"/>
    <hyperlink r:id="rId1959" ref="K239"/>
    <hyperlink r:id="rId1960" ref="L239"/>
    <hyperlink r:id="rId1961" ref="M239"/>
    <hyperlink r:id="rId1962" ref="N239"/>
    <hyperlink r:id="rId1963" ref="O239"/>
    <hyperlink r:id="rId1964" ref="P239"/>
    <hyperlink r:id="rId1965" ref="Q239"/>
    <hyperlink r:id="rId1966" ref="R239"/>
    <hyperlink r:id="rId1967" ref="J240"/>
    <hyperlink r:id="rId1968" ref="K240"/>
    <hyperlink r:id="rId1969" ref="L240"/>
    <hyperlink r:id="rId1970" ref="M240"/>
    <hyperlink r:id="rId1971" ref="N240"/>
    <hyperlink r:id="rId1972" ref="O240"/>
    <hyperlink r:id="rId1973" ref="P240"/>
    <hyperlink r:id="rId1974" ref="Q240"/>
    <hyperlink r:id="rId1975" ref="R240"/>
  </hyperlinks>
  <drawing r:id="rId197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hidden="1" min="7" max="8" width="12.63"/>
  </cols>
  <sheetData>
    <row r="1">
      <c r="D1" s="61"/>
      <c r="E1" s="61"/>
      <c r="F1" s="61"/>
      <c r="G1" s="61"/>
      <c r="H1" s="61"/>
      <c r="I1" s="61"/>
      <c r="J1" s="61"/>
      <c r="K1" s="61"/>
    </row>
    <row r="2">
      <c r="C2" s="145" t="s">
        <v>745</v>
      </c>
      <c r="D2" s="146"/>
      <c r="E2" s="146"/>
      <c r="F2" s="146"/>
      <c r="G2" s="147"/>
      <c r="H2" s="147"/>
      <c r="I2" s="61"/>
      <c r="K2" s="61"/>
    </row>
    <row r="3">
      <c r="C3" s="148" t="s">
        <v>746</v>
      </c>
      <c r="D3" s="149" t="s">
        <v>30</v>
      </c>
      <c r="E3" s="63"/>
      <c r="F3" s="150" t="s">
        <v>747</v>
      </c>
      <c r="I3" s="151"/>
      <c r="J3" s="152"/>
    </row>
    <row r="4">
      <c r="C4" s="153">
        <f t="shared" ref="C4:C8" si="1">IFERROR(RANK(F4, $F$4:$F$8, FALSE), "")</f>
        <v>1</v>
      </c>
      <c r="D4" s="154" t="str">
        <f>IFERROR(__xludf.DUMMYFUNCTION("QUERY($B$49:$J$53,""Select B Order by J Desc"")"),"Lorehold")</f>
        <v>Lorehold</v>
      </c>
      <c r="E4" s="63"/>
      <c r="F4" s="155">
        <f>IFERROR(__xludf.DUMMYFUNCTION("QUERY($B$49:$J$53,""Select J Order by J Desc"")"),0.5607476635514018)</f>
        <v>0.5607476636</v>
      </c>
      <c r="I4" s="152"/>
      <c r="J4" s="152"/>
    </row>
    <row r="5">
      <c r="C5" s="153">
        <f t="shared" si="1"/>
        <v>2</v>
      </c>
      <c r="D5" s="156" t="str">
        <f>IFERROR(__xludf.DUMMYFUNCTION("""COMPUTED_VALUE"""),"Witherbloom")</f>
        <v>Witherbloom</v>
      </c>
      <c r="E5" s="63"/>
      <c r="F5" s="155">
        <f>IFERROR(__xludf.DUMMYFUNCTION("""COMPUTED_VALUE"""),0.507177033492823)</f>
        <v>0.5071770335</v>
      </c>
      <c r="I5" s="152"/>
      <c r="J5" s="152"/>
    </row>
    <row r="6">
      <c r="C6" s="153">
        <f t="shared" si="1"/>
        <v>3</v>
      </c>
      <c r="D6" s="157" t="str">
        <f>IFERROR(__xludf.DUMMYFUNCTION("""COMPUTED_VALUE"""),"Silverquill")</f>
        <v>Silverquill</v>
      </c>
      <c r="E6" s="63"/>
      <c r="F6" s="155">
        <f>IFERROR(__xludf.DUMMYFUNCTION("""COMPUTED_VALUE"""),0.4827586206896552)</f>
        <v>0.4827586207</v>
      </c>
      <c r="I6" s="152"/>
      <c r="J6" s="152"/>
    </row>
    <row r="7">
      <c r="C7" s="153">
        <f t="shared" si="1"/>
        <v>4</v>
      </c>
      <c r="D7" s="158" t="str">
        <f>IFERROR(__xludf.DUMMYFUNCTION("""COMPUTED_VALUE"""),"Quandrix")</f>
        <v>Quandrix</v>
      </c>
      <c r="E7" s="63"/>
      <c r="F7" s="155">
        <f>IFERROR(__xludf.DUMMYFUNCTION("""COMPUTED_VALUE"""),0.4540540540540541)</f>
        <v>0.4540540541</v>
      </c>
      <c r="I7" s="152"/>
      <c r="J7" s="152"/>
    </row>
    <row r="8">
      <c r="C8" s="153">
        <f t="shared" si="1"/>
        <v>5</v>
      </c>
      <c r="D8" s="159" t="str">
        <f>IFERROR(__xludf.DUMMYFUNCTION("""COMPUTED_VALUE"""),"Prismari")</f>
        <v>Prismari</v>
      </c>
      <c r="E8" s="63"/>
      <c r="F8" s="155">
        <f>IFERROR(__xludf.DUMMYFUNCTION("""COMPUTED_VALUE"""),0.3974358974358974)</f>
        <v>0.3974358974</v>
      </c>
      <c r="I8" s="152"/>
      <c r="J8" s="152"/>
    </row>
    <row r="9">
      <c r="B9" s="160"/>
      <c r="C9" s="160"/>
      <c r="D9" s="160"/>
      <c r="E9" s="160"/>
      <c r="F9" s="160"/>
      <c r="G9" s="160"/>
      <c r="H9" s="160"/>
      <c r="I9" s="160"/>
      <c r="J9" s="160"/>
      <c r="K9" s="160"/>
    </row>
    <row r="10">
      <c r="B10" s="160"/>
      <c r="C10" s="145" t="s">
        <v>748</v>
      </c>
      <c r="D10" s="146"/>
      <c r="E10" s="146"/>
      <c r="F10" s="146"/>
      <c r="G10" s="160"/>
      <c r="H10" s="160"/>
      <c r="I10" s="160"/>
      <c r="J10" s="160"/>
      <c r="K10" s="160"/>
    </row>
    <row r="11">
      <c r="B11" s="160"/>
      <c r="C11" s="148" t="s">
        <v>746</v>
      </c>
      <c r="D11" s="149" t="s">
        <v>30</v>
      </c>
      <c r="E11" s="63"/>
      <c r="F11" s="150" t="s">
        <v>747</v>
      </c>
      <c r="G11" s="160"/>
      <c r="H11" s="160"/>
      <c r="I11" s="161"/>
      <c r="J11" s="160"/>
      <c r="K11" s="160"/>
    </row>
    <row r="12">
      <c r="B12" s="160"/>
      <c r="C12" s="153">
        <f t="shared" ref="C12:C16" si="2">IFERROR(RANK(F12, $F$12:$F$16, FALSE), "")</f>
        <v>1</v>
      </c>
      <c r="D12" s="154" t="str">
        <f>IFERROR(__xludf.DUMMYFUNCTION("QUERY($B$56:$J$60,""Select B Order by J Desc"")"),"Witherbloom")</f>
        <v>Witherbloom</v>
      </c>
      <c r="E12" s="63"/>
      <c r="F12" s="155">
        <f>IFERROR(__xludf.DUMMYFUNCTION("QUERY($B$56:$J$60,""Select J Order by J Desc"")"),0.5177383592017738)</f>
        <v>0.5177383592</v>
      </c>
      <c r="G12" s="160"/>
      <c r="H12" s="160"/>
      <c r="I12" s="160"/>
      <c r="J12" s="160"/>
      <c r="K12" s="160"/>
    </row>
    <row r="13">
      <c r="B13" s="160"/>
      <c r="C13" s="153">
        <f t="shared" si="2"/>
        <v>2</v>
      </c>
      <c r="D13" s="156" t="str">
        <f>IFERROR(__xludf.DUMMYFUNCTION("""COMPUTED_VALUE"""),"Lorehold")</f>
        <v>Lorehold</v>
      </c>
      <c r="E13" s="63"/>
      <c r="F13" s="155">
        <f>IFERROR(__xludf.DUMMYFUNCTION("""COMPUTED_VALUE"""),0.5162337662337663)</f>
        <v>0.5162337662</v>
      </c>
      <c r="G13" s="160"/>
      <c r="H13" s="160"/>
      <c r="I13" s="160"/>
      <c r="J13" s="160"/>
      <c r="K13" s="160"/>
    </row>
    <row r="14">
      <c r="B14" s="160"/>
      <c r="C14" s="153">
        <f t="shared" si="2"/>
        <v>3</v>
      </c>
      <c r="D14" s="157" t="str">
        <f>IFERROR(__xludf.DUMMYFUNCTION("""COMPUTED_VALUE"""),"Prismari")</f>
        <v>Prismari</v>
      </c>
      <c r="E14" s="63"/>
      <c r="F14" s="155">
        <f>IFERROR(__xludf.DUMMYFUNCTION("""COMPUTED_VALUE"""),0.4959349593495935)</f>
        <v>0.4959349593</v>
      </c>
      <c r="G14" s="160"/>
      <c r="H14" s="160"/>
      <c r="I14" s="160"/>
      <c r="J14" s="160"/>
      <c r="K14" s="160"/>
    </row>
    <row r="15">
      <c r="B15" s="160"/>
      <c r="C15" s="153">
        <f t="shared" si="2"/>
        <v>4</v>
      </c>
      <c r="D15" s="158" t="str">
        <f>IFERROR(__xludf.DUMMYFUNCTION("""COMPUTED_VALUE"""),"Quandrix")</f>
        <v>Quandrix</v>
      </c>
      <c r="E15" s="63"/>
      <c r="F15" s="155">
        <f>IFERROR(__xludf.DUMMYFUNCTION("""COMPUTED_VALUE"""),0.4888888888888889)</f>
        <v>0.4888888889</v>
      </c>
      <c r="G15" s="160"/>
      <c r="H15" s="160"/>
      <c r="I15" s="160"/>
      <c r="J15" s="160"/>
      <c r="K15" s="160"/>
    </row>
    <row r="16">
      <c r="B16" s="160"/>
      <c r="C16" s="153">
        <f t="shared" si="2"/>
        <v>5</v>
      </c>
      <c r="D16" s="159" t="str">
        <f>IFERROR(__xludf.DUMMYFUNCTION("""COMPUTED_VALUE"""),"Silverquill")</f>
        <v>Silverquill</v>
      </c>
      <c r="E16" s="63"/>
      <c r="F16" s="155">
        <f>IFERROR(__xludf.DUMMYFUNCTION("""COMPUTED_VALUE"""),0.4827175208581645)</f>
        <v>0.4827175209</v>
      </c>
      <c r="G16" s="160"/>
      <c r="H16" s="160"/>
      <c r="I16" s="160"/>
      <c r="J16" s="160"/>
      <c r="K16" s="160"/>
    </row>
    <row r="17">
      <c r="B17" s="160"/>
      <c r="C17" s="160"/>
      <c r="D17" s="160"/>
      <c r="E17" s="160"/>
      <c r="F17" s="160"/>
      <c r="G17" s="160"/>
      <c r="H17" s="160"/>
      <c r="I17" s="160"/>
      <c r="J17" s="160"/>
      <c r="K17" s="160"/>
    </row>
    <row r="18">
      <c r="B18" s="145" t="s">
        <v>751</v>
      </c>
      <c r="C18" s="146"/>
      <c r="D18" s="146"/>
      <c r="E18" s="146"/>
      <c r="F18" s="146"/>
      <c r="G18" s="146"/>
      <c r="H18" s="146"/>
      <c r="I18" s="146"/>
      <c r="J18" s="162"/>
      <c r="K18" s="61"/>
    </row>
    <row r="19">
      <c r="B19" s="163"/>
      <c r="C19" s="164"/>
      <c r="D19" s="164"/>
      <c r="E19" s="164"/>
      <c r="F19" s="164"/>
      <c r="G19" s="164"/>
      <c r="H19" s="164"/>
      <c r="I19" s="164"/>
      <c r="J19" s="78"/>
      <c r="K19" s="61"/>
    </row>
    <row r="20">
      <c r="B20" s="165" t="s">
        <v>752</v>
      </c>
      <c r="C20" s="153" t="s">
        <v>746</v>
      </c>
      <c r="D20" s="153" t="s">
        <v>753</v>
      </c>
      <c r="E20" s="153" t="s">
        <v>754</v>
      </c>
      <c r="F20" s="153" t="s">
        <v>755</v>
      </c>
      <c r="G20" s="153" t="s">
        <v>756</v>
      </c>
      <c r="H20" s="153" t="s">
        <v>757</v>
      </c>
      <c r="I20" s="153" t="s">
        <v>758</v>
      </c>
      <c r="J20" s="153" t="s">
        <v>759</v>
      </c>
    </row>
    <row r="21">
      <c r="B21" s="166" t="s">
        <v>760</v>
      </c>
      <c r="C21" s="167">
        <f t="shared" ref="C21:C25" si="3">IFERROR(RANK(J21,$J$21:$J$25),"")</f>
        <v>3</v>
      </c>
      <c r="D21" s="168">
        <f t="shared" ref="D21:D25" si="4">F21+E21</f>
        <v>225</v>
      </c>
      <c r="E21" s="168">
        <f>SUMIFS('Players by Week'!$F$2:$F$2000,'Players by Week'!$C$2:$C$2000,$B21,'Players by Week'!$B$2:$B$2000,1)</f>
        <v>115</v>
      </c>
      <c r="F21" s="169">
        <f>SUMIFS('Players by Week'!$G$2:$G$2000,'Players by Week'!$C$2:$C$2000,$B21,'Players by Week'!$B$2:$B$2000,1)</f>
        <v>110</v>
      </c>
      <c r="G21" s="168">
        <f>SUMIFS('Players by Week'!$N$2:$N$2000,'Players by Week'!$C$2:$C$2000,$B21,'Players by Week'!$B$2:$B$2000,1)</f>
        <v>5</v>
      </c>
      <c r="H21" s="168">
        <f>COUNTIFS(Matches!$H$1:$H61,B21,Matches!$I$1:$I61,B21,Matches!$A$1:$A61,CONCAT("&gt;",Quotas!$B$9),Matches!$A$1:$A61,CONCAT("&lt;",Quotas!$C$9))</f>
        <v>0</v>
      </c>
      <c r="I21" s="170">
        <f t="shared" ref="I21:I25" si="5">IFERROR(E21/(E21+F21),"")</f>
        <v>0.5111111111</v>
      </c>
      <c r="J21" s="170">
        <f t="shared" ref="J21:J25" si="6">IFERROR((E21-H21)/(E21+F21+G21+H21),"")</f>
        <v>0.5</v>
      </c>
    </row>
    <row r="22">
      <c r="B22" s="171" t="s">
        <v>764</v>
      </c>
      <c r="C22" s="167">
        <f t="shared" si="3"/>
        <v>2</v>
      </c>
      <c r="D22" s="168">
        <f t="shared" si="4"/>
        <v>216</v>
      </c>
      <c r="E22" s="168">
        <f>SUMIFS('Players by Week'!$F$2:$F$2000,'Players by Week'!$C$2:$C$2000,$B22,'Players by Week'!$B$2:$B$2000,1)</f>
        <v>112</v>
      </c>
      <c r="F22" s="169">
        <f>SUMIFS('Players by Week'!$G$2:$G$2000,'Players by Week'!$C$2:$C$2000,$B22,'Players by Week'!$B$2:$B$2000,1)</f>
        <v>104</v>
      </c>
      <c r="G22" s="168">
        <f>SUMIFS('Players by Week'!$N$2:$N$2000,'Players by Week'!$C$2:$C$2000,$B22,'Players by Week'!$B$2:$B$2000,1)</f>
        <v>7</v>
      </c>
      <c r="H22" s="168">
        <f>COUNTIFS(Matches!$H$1:$H61,B22,Matches!$I$1:$I61,B22,Matches!$A$1:$A61,CONCAT("&gt;",Quotas!$B$9),Matches!$A$1:$A61,CONCAT("&lt;",Quotas!$C$9))</f>
        <v>0</v>
      </c>
      <c r="I22" s="170">
        <f t="shared" si="5"/>
        <v>0.5185185185</v>
      </c>
      <c r="J22" s="170">
        <f t="shared" si="6"/>
        <v>0.5022421525</v>
      </c>
    </row>
    <row r="23">
      <c r="B23" s="172" t="s">
        <v>765</v>
      </c>
      <c r="C23" s="167">
        <f t="shared" si="3"/>
        <v>1</v>
      </c>
      <c r="D23" s="168">
        <f t="shared" si="4"/>
        <v>238</v>
      </c>
      <c r="E23" s="168">
        <f>SUMIFS('Players by Week'!$F$2:$F$2000,'Players by Week'!$C$2:$C$2000,$B23,'Players by Week'!$B$2:$B$2000,1)</f>
        <v>125</v>
      </c>
      <c r="F23" s="169">
        <f>SUMIFS('Players by Week'!$G$2:$G$2000,'Players by Week'!$C$2:$C$2000,$B23,'Players by Week'!$B$2:$B$2000,1)</f>
        <v>113</v>
      </c>
      <c r="G23" s="168">
        <f>SUMIFS('Players by Week'!$N$2:$N$2000,'Players by Week'!$C$2:$C$2000,$B23,'Players by Week'!$B$2:$B$2000,1)</f>
        <v>1</v>
      </c>
      <c r="H23" s="168">
        <f>COUNTIFS(Matches!$H$1:$H61,B23,Matches!$I$1:$I61,B23,Matches!$A$1:$A61,CONCAT("&gt;",Quotas!$B$9),Matches!$A$1:$A61,CONCAT("&lt;",Quotas!$C$9))</f>
        <v>0</v>
      </c>
      <c r="I23" s="170">
        <f t="shared" si="5"/>
        <v>0.525210084</v>
      </c>
      <c r="J23" s="170">
        <f t="shared" si="6"/>
        <v>0.5230125523</v>
      </c>
    </row>
    <row r="24">
      <c r="B24" s="173" t="s">
        <v>769</v>
      </c>
      <c r="C24" s="167">
        <f t="shared" si="3"/>
        <v>5</v>
      </c>
      <c r="D24" s="168">
        <f t="shared" si="4"/>
        <v>208</v>
      </c>
      <c r="E24" s="168">
        <f>SUMIFS('Players by Week'!$F$2:$F$2000,'Players by Week'!$C$2:$C$2000,$B24,'Players by Week'!$B$2:$B$2000,1)</f>
        <v>94</v>
      </c>
      <c r="F24" s="169">
        <f>SUMIFS('Players by Week'!$G$2:$G$2000,'Players by Week'!$C$2:$C$2000,$B24,'Players by Week'!$B$2:$B$2000,1)</f>
        <v>114</v>
      </c>
      <c r="G24" s="168">
        <f>SUMIFS('Players by Week'!$N$2:$N$2000,'Players by Week'!$C$2:$C$2000,$B24,'Players by Week'!$B$2:$B$2000,1)</f>
        <v>8</v>
      </c>
      <c r="H24" s="168">
        <f>COUNTIFS(Matches!$H$1:$H61,B24,Matches!$I$1:$I61,B24,Matches!$A$1:$A61,CONCAT("&gt;",Quotas!$B$9),Matches!$A$1:$A61,CONCAT("&lt;",Quotas!$C$9))</f>
        <v>0</v>
      </c>
      <c r="I24" s="170">
        <f t="shared" si="5"/>
        <v>0.4519230769</v>
      </c>
      <c r="J24" s="170">
        <f t="shared" si="6"/>
        <v>0.4351851852</v>
      </c>
    </row>
    <row r="25">
      <c r="B25" s="174" t="s">
        <v>770</v>
      </c>
      <c r="C25" s="167">
        <f t="shared" si="3"/>
        <v>4</v>
      </c>
      <c r="D25" s="168">
        <f t="shared" si="4"/>
        <v>212</v>
      </c>
      <c r="E25" s="168">
        <f>SUMIFS('Players by Week'!$F$2:$F$2000,'Players by Week'!$C$2:$C$2000,$B25,'Players by Week'!$B$2:$B$2000,1)</f>
        <v>106</v>
      </c>
      <c r="F25" s="168">
        <f>SUMIFS('Players by Week'!$G$2:$G$2000,'Players by Week'!$C$2:$C$2000,$B25,'Players by Week'!$B$2:$B$2000,1)</f>
        <v>106</v>
      </c>
      <c r="G25" s="168">
        <f>SUMIFS('Players by Week'!$N$2:$N$2000,'Players by Week'!$C$2:$C$2000,$B25,'Players by Week'!$B$2:$B$2000,1)</f>
        <v>9</v>
      </c>
      <c r="H25" s="168">
        <f>COUNTIFS(Matches!$H$1:$H61,B25,Matches!$I$1:$I61,B25,Matches!$A$1:$A61,CONCAT("&gt;",Quotas!$B$9),Matches!$A$1:$A61,CONCAT("&lt;",Quotas!$C$9))</f>
        <v>0</v>
      </c>
      <c r="I25" s="170">
        <f t="shared" si="5"/>
        <v>0.5</v>
      </c>
      <c r="J25" s="170">
        <f t="shared" si="6"/>
        <v>0.479638009</v>
      </c>
    </row>
    <row r="26">
      <c r="B26" s="160"/>
      <c r="C26" s="160"/>
      <c r="D26" s="160"/>
      <c r="E26" s="160"/>
      <c r="F26" s="160"/>
      <c r="G26" s="160"/>
      <c r="H26" s="160"/>
      <c r="I26" s="160"/>
      <c r="J26" s="160"/>
    </row>
    <row r="27">
      <c r="B27" s="165" t="s">
        <v>774</v>
      </c>
      <c r="C27" s="153" t="s">
        <v>746</v>
      </c>
      <c r="D27" s="153" t="s">
        <v>775</v>
      </c>
      <c r="E27" s="153" t="s">
        <v>754</v>
      </c>
      <c r="F27" s="153" t="s">
        <v>755</v>
      </c>
      <c r="G27" s="153" t="s">
        <v>756</v>
      </c>
      <c r="H27" s="153" t="s">
        <v>757</v>
      </c>
      <c r="I27" s="153" t="s">
        <v>776</v>
      </c>
      <c r="J27" s="153" t="s">
        <v>759</v>
      </c>
    </row>
    <row r="28">
      <c r="B28" s="166" t="s">
        <v>760</v>
      </c>
      <c r="C28" s="167">
        <f t="shared" ref="C28:C32" si="7">IFERROR(RANK(J28,$J$28:$J$32),"")</f>
        <v>5</v>
      </c>
      <c r="D28" s="168">
        <f t="shared" ref="D28:D32" si="8">F28+E28</f>
        <v>215</v>
      </c>
      <c r="E28" s="168">
        <f>SUMIFS('Players by Week'!$F$2:$F$2000,'Players by Week'!$C$2:$C$2000,$B28,'Players by Week'!$B$2:$B$2000,2)</f>
        <v>99</v>
      </c>
      <c r="F28" s="168">
        <f>SUMIFS('Players by Week'!$G$2:$G$2000,'Players by Week'!$C$2:$C$2000,$B28,'Players by Week'!$B$2:$B$2000,2)</f>
        <v>116</v>
      </c>
      <c r="G28" s="168">
        <f>SUMIFS('Players by Week'!$N$2:$N$2000,'Players by Week'!$C$2:$C$2000,$B28,'Players by Week'!$B$2:$B$2000,2)</f>
        <v>11</v>
      </c>
      <c r="H28" s="168">
        <f>COUNTIFS(Matches!$H$1:$H61,B28,Matches!$I$1:$I61,B28,Matches!$A$1:$A61,CONCAT("&gt;",Quotas!$B$10),Matches!$A$1:$A61,CONCAT("&lt;",Quotas!$C$10))</f>
        <v>0</v>
      </c>
      <c r="I28" s="170">
        <f t="shared" ref="I28:I32" si="9">IFERROR(E28/(E28+F28),"")</f>
        <v>0.4604651163</v>
      </c>
      <c r="J28" s="170">
        <f t="shared" ref="J28:J32" si="10">IFERROR((E28-H28)/(E28+F28+G28+H28),"")</f>
        <v>0.4380530973</v>
      </c>
    </row>
    <row r="29">
      <c r="B29" s="171" t="s">
        <v>764</v>
      </c>
      <c r="C29" s="167">
        <f t="shared" si="7"/>
        <v>2</v>
      </c>
      <c r="D29" s="168">
        <f t="shared" si="8"/>
        <v>212</v>
      </c>
      <c r="E29" s="168">
        <f>SUMIFS('Players by Week'!$F$2:$F$2000,'Players by Week'!$C$2:$C$2000,$B29,'Players by Week'!$B$2:$B$2000,2)</f>
        <v>118</v>
      </c>
      <c r="F29" s="168">
        <f>SUMIFS('Players by Week'!$G$2:$G$2000,'Players by Week'!$C$2:$C$2000,$B29,'Players by Week'!$B$2:$B$2000,2)</f>
        <v>94</v>
      </c>
      <c r="G29" s="168">
        <f>SUMIFS('Players by Week'!$N$2:$N$2000,'Players by Week'!$C$2:$C$2000,$B29,'Players by Week'!$B$2:$B$2000,2)</f>
        <v>13</v>
      </c>
      <c r="H29" s="168">
        <f>COUNTIFS(Matches!$H$1:$H61,B29,Matches!$I$1:$I61,B29,Matches!$A$1:$A61,CONCAT("&gt;",Quotas!$B$10),Matches!$A$1:$A61,CONCAT("&lt;",Quotas!$C$10))</f>
        <v>0</v>
      </c>
      <c r="I29" s="170">
        <f t="shared" si="9"/>
        <v>0.5566037736</v>
      </c>
      <c r="J29" s="170">
        <f t="shared" si="10"/>
        <v>0.5244444444</v>
      </c>
    </row>
    <row r="30">
      <c r="B30" s="172" t="s">
        <v>765</v>
      </c>
      <c r="C30" s="167">
        <f t="shared" si="7"/>
        <v>1</v>
      </c>
      <c r="D30" s="168">
        <f t="shared" si="8"/>
        <v>229</v>
      </c>
      <c r="E30" s="168">
        <f>SUMIFS('Players by Week'!$F$2:$F$2000,'Players by Week'!$C$2:$C$2000,$B30,'Players by Week'!$B$2:$B$2000,2)</f>
        <v>122</v>
      </c>
      <c r="F30" s="168">
        <f>SUMIFS('Players by Week'!$G$2:$G$2000,'Players by Week'!$C$2:$C$2000,$B30,'Players by Week'!$B$2:$B$2000,2)</f>
        <v>107</v>
      </c>
      <c r="G30" s="168">
        <f>SUMIFS('Players by Week'!$N$2:$N$2000,'Players by Week'!$C$2:$C$2000,$B30,'Players by Week'!$B$2:$B$2000,2)</f>
        <v>3.5</v>
      </c>
      <c r="H30" s="168">
        <f>COUNTIFS(Matches!$H$1:$H61,B30,Matches!$I$1:$I61,B30,Matches!$A$1:$A61,CONCAT("&gt;",Quotas!$B$10),Matches!$A$1:$A61,CONCAT("&lt;",Quotas!$C$10))</f>
        <v>0</v>
      </c>
      <c r="I30" s="170">
        <f t="shared" si="9"/>
        <v>0.5327510917</v>
      </c>
      <c r="J30" s="170">
        <f t="shared" si="10"/>
        <v>0.5247311828</v>
      </c>
    </row>
    <row r="31">
      <c r="B31" s="173" t="s">
        <v>769</v>
      </c>
      <c r="C31" s="167">
        <f t="shared" si="7"/>
        <v>4</v>
      </c>
      <c r="D31" s="168">
        <f t="shared" si="8"/>
        <v>208</v>
      </c>
      <c r="E31" s="168">
        <f>SUMIFS('Players by Week'!$F$2:$F$2000,'Players by Week'!$C$2:$C$2000,$B31,'Players by Week'!$B$2:$B$2000,2)</f>
        <v>96</v>
      </c>
      <c r="F31" s="168">
        <f>SUMIFS('Players by Week'!$G$2:$G$2000,'Players by Week'!$C$2:$C$2000,$B31,'Players by Week'!$B$2:$B$2000,2)</f>
        <v>112</v>
      </c>
      <c r="G31" s="168">
        <f>SUMIFS('Players by Week'!$N$2:$N$2000,'Players by Week'!$C$2:$C$2000,$B31,'Players by Week'!$B$2:$B$2000,2)</f>
        <v>10</v>
      </c>
      <c r="H31" s="168">
        <f>COUNTIFS(Matches!$H$1:$H61,B31,Matches!$I$1:$I61,B31,Matches!$A$1:$A61,CONCAT("&gt;",Quotas!$B$10),Matches!$A$1:$A61,CONCAT("&lt;",Quotas!$C$10))</f>
        <v>0</v>
      </c>
      <c r="I31" s="170">
        <f t="shared" si="9"/>
        <v>0.4615384615</v>
      </c>
      <c r="J31" s="170">
        <f t="shared" si="10"/>
        <v>0.4403669725</v>
      </c>
    </row>
    <row r="32">
      <c r="B32" s="174" t="s">
        <v>770</v>
      </c>
      <c r="C32" s="167">
        <f t="shared" si="7"/>
        <v>3</v>
      </c>
      <c r="D32" s="168">
        <f t="shared" si="8"/>
        <v>213</v>
      </c>
      <c r="E32" s="168">
        <f>SUMIFS('Players by Week'!$F$2:$F$2000,'Players by Week'!$C$2:$C$2000,$B32,'Players by Week'!$B$2:$B$2000,2)</f>
        <v>103</v>
      </c>
      <c r="F32" s="168">
        <f>SUMIFS('Players by Week'!$G$2:$G$2000,'Players by Week'!$C$2:$C$2000,$B32,'Players by Week'!$B$2:$B$2000,2)</f>
        <v>110</v>
      </c>
      <c r="G32" s="168">
        <f>SUMIFS('Players by Week'!$N$2:$N$2000,'Players by Week'!$C$2:$C$2000,$B32,'Players by Week'!$B$2:$B$2000,2)</f>
        <v>11.5</v>
      </c>
      <c r="H32" s="168">
        <f>COUNTIFS(Matches!$H$1:$H61,B32,Matches!$I$1:$I61,B32,Matches!$A$1:$A61,CONCAT("&gt;",Quotas!$B$10),Matches!$A$1:$A61,CONCAT("&lt;",Quotas!$C$10))</f>
        <v>0</v>
      </c>
      <c r="I32" s="170">
        <f t="shared" si="9"/>
        <v>0.4835680751</v>
      </c>
      <c r="J32" s="170">
        <f t="shared" si="10"/>
        <v>0.4587973274</v>
      </c>
    </row>
    <row r="33">
      <c r="B33" s="160"/>
      <c r="C33" s="160"/>
      <c r="D33" s="160"/>
      <c r="E33" s="160"/>
      <c r="F33" s="160"/>
      <c r="G33" s="160"/>
      <c r="H33" s="160"/>
      <c r="I33" s="160"/>
      <c r="J33" s="160"/>
    </row>
    <row r="34">
      <c r="B34" s="165" t="s">
        <v>783</v>
      </c>
      <c r="C34" s="153" t="s">
        <v>746</v>
      </c>
      <c r="D34" s="153" t="s">
        <v>753</v>
      </c>
      <c r="E34" s="153" t="s">
        <v>754</v>
      </c>
      <c r="F34" s="153" t="s">
        <v>755</v>
      </c>
      <c r="G34" s="153" t="s">
        <v>756</v>
      </c>
      <c r="H34" s="153" t="s">
        <v>757</v>
      </c>
      <c r="I34" s="153" t="s">
        <v>758</v>
      </c>
      <c r="J34" s="153" t="s">
        <v>759</v>
      </c>
    </row>
    <row r="35">
      <c r="B35" s="166" t="s">
        <v>760</v>
      </c>
      <c r="C35" s="167">
        <f t="shared" ref="C35:C39" si="11">IFERROR(RANK(J35,$J$35:$J$39),"")</f>
        <v>1</v>
      </c>
      <c r="D35" s="168">
        <f t="shared" ref="D35:D39" si="12">F35+E35</f>
        <v>210</v>
      </c>
      <c r="E35" s="168">
        <f>SUMIFS('Players by Week'!$F$2:$F$2000,'Players by Week'!$C$2:$C$2000,$B35,'Players by Week'!$B$2:$B$2000,3) - 1</f>
        <v>119</v>
      </c>
      <c r="F35" s="168">
        <f>SUMIFS('Players by Week'!$G$2:$G$2000,'Players by Week'!$C$2:$C$2000,$B35,'Players by Week'!$B$2:$B$2000,3)</f>
        <v>91</v>
      </c>
      <c r="G35" s="168">
        <f>SUMIFS('Players by Week'!$N$2:$N$2000,'Players by Week'!$C$2:$C$2000,$B35,'Players by Week'!$B$2:$B$2000,3)</f>
        <v>8</v>
      </c>
      <c r="H35" s="168">
        <f>COUNTIFS(Matches!$H$1:$H61,B35,Matches!$I$1:$I61,B35,Matches!$A$1:$A61,CONCAT("&gt;",Quotas!$B$11),Matches!$A$1:$A61,CONCAT("&lt;",Quotas!$C$11))</f>
        <v>0</v>
      </c>
      <c r="I35" s="170">
        <f t="shared" ref="I35:I39" si="13">IFERROR(E35/(E35+F35),"")</f>
        <v>0.5666666667</v>
      </c>
      <c r="J35" s="170">
        <f t="shared" ref="J35:J39" si="14">IFERROR((E35-H35)/(E35+F35+G35+H35),"")</f>
        <v>0.5458715596</v>
      </c>
    </row>
    <row r="36">
      <c r="B36" s="171" t="s">
        <v>764</v>
      </c>
      <c r="C36" s="167">
        <f t="shared" si="11"/>
        <v>5</v>
      </c>
      <c r="D36" s="168">
        <f t="shared" si="12"/>
        <v>204</v>
      </c>
      <c r="E36" s="168">
        <f>SUMIFS('Players by Week'!$F$2:$F$2000,'Players by Week'!$C$2:$C$2000,$B36,'Players by Week'!$B$2:$B$2000,3)</f>
        <v>91</v>
      </c>
      <c r="F36" s="168">
        <f>SUMIFS('Players by Week'!$G$2:$G$2000,'Players by Week'!$C$2:$C$2000,$B36,'Players by Week'!$B$2:$B$2000,3)</f>
        <v>113</v>
      </c>
      <c r="G36" s="168">
        <f>SUMIFS('Players by Week'!$N$2:$N$2000,'Players by Week'!$C$2:$C$2000,$B36,'Players by Week'!$B$2:$B$2000,3)</f>
        <v>14.5</v>
      </c>
      <c r="H36" s="168">
        <f>COUNTIFS(Matches!$H$1:$H61,B36,Matches!$I$1:$I61,B36,Matches!$A$1:$A61,CONCAT("&gt;",Quotas!$B$11),Matches!$A$1:$A61,CONCAT("&lt;",Quotas!$C$11))</f>
        <v>0</v>
      </c>
      <c r="I36" s="170">
        <f t="shared" si="13"/>
        <v>0.4460784314</v>
      </c>
      <c r="J36" s="170">
        <f t="shared" si="14"/>
        <v>0.4164759725</v>
      </c>
    </row>
    <row r="37">
      <c r="B37" s="172" t="s">
        <v>765</v>
      </c>
      <c r="C37" s="167">
        <f t="shared" si="11"/>
        <v>4</v>
      </c>
      <c r="D37" s="168">
        <f t="shared" si="12"/>
        <v>217</v>
      </c>
      <c r="E37" s="168">
        <f>SUMIFS('Players by Week'!$F$2:$F$2000,'Players by Week'!$C$2:$C$2000,$B37,'Players by Week'!$B$2:$B$2000,3)</f>
        <v>96</v>
      </c>
      <c r="F37" s="168">
        <f>SUMIFS('Players by Week'!$G$2:$G$2000,'Players by Week'!$C$2:$C$2000,$B37,'Players by Week'!$B$2:$B$2000,3)</f>
        <v>121</v>
      </c>
      <c r="G37" s="168">
        <f>SUMIFS('Players by Week'!$N$2:$N$2000,'Players by Week'!$C$2:$C$2000,$B37,'Players by Week'!$B$2:$B$2000,3)</f>
        <v>9.5</v>
      </c>
      <c r="H37" s="168">
        <f>COUNTIFS(Matches!$H$1:$H61,B37,Matches!$I$1:$I61,B37,Matches!$A$1:$A61,CONCAT("&gt;",Quotas!$B$11),Matches!$A$1:$A61,CONCAT("&lt;",Quotas!$C$11))</f>
        <v>0</v>
      </c>
      <c r="I37" s="170">
        <f t="shared" si="13"/>
        <v>0.4423963134</v>
      </c>
      <c r="J37" s="170">
        <f t="shared" si="14"/>
        <v>0.4238410596</v>
      </c>
    </row>
    <row r="38">
      <c r="B38" s="173" t="s">
        <v>769</v>
      </c>
      <c r="C38" s="167">
        <f t="shared" si="11"/>
        <v>3</v>
      </c>
      <c r="D38" s="168">
        <f t="shared" si="12"/>
        <v>196</v>
      </c>
      <c r="E38" s="168">
        <f>SUMIFS('Players by Week'!$F$2:$F$2000,'Players by Week'!$C$2:$C$2000,$B38,'Players by Week'!$B$2:$B$2000,3)</f>
        <v>96</v>
      </c>
      <c r="F38" s="168">
        <f>SUMIFS('Players by Week'!$G$2:$G$2000,'Players by Week'!$C$2:$C$2000,$B38,'Players by Week'!$B$2:$B$2000,3)</f>
        <v>100</v>
      </c>
      <c r="G38" s="168">
        <f>SUMIFS('Players by Week'!$N$2:$N$2000,'Players by Week'!$C$2:$C$2000,$B38,'Players by Week'!$B$2:$B$2000,3)</f>
        <v>14.5</v>
      </c>
      <c r="H38" s="168">
        <f>COUNTIFS(Matches!$H$1:$H61,B38,Matches!$I$1:$I61,B38,Matches!$A$1:$A61,CONCAT("&gt;",Quotas!$B$11),Matches!$A$1:$A61,CONCAT("&lt;",Quotas!$C$11))</f>
        <v>0</v>
      </c>
      <c r="I38" s="170">
        <f t="shared" si="13"/>
        <v>0.4897959184</v>
      </c>
      <c r="J38" s="170">
        <f t="shared" si="14"/>
        <v>0.4560570071</v>
      </c>
    </row>
    <row r="39">
      <c r="B39" s="174" t="s">
        <v>770</v>
      </c>
      <c r="C39" s="167">
        <f t="shared" si="11"/>
        <v>2</v>
      </c>
      <c r="D39" s="168">
        <f t="shared" si="12"/>
        <v>206</v>
      </c>
      <c r="E39" s="168">
        <f>SUMIFS('Players by Week'!$F$2:$F$2000,'Players by Week'!$C$2:$C$2000,$B39,'Players by Week'!$B$2:$B$2000,3) - 2</f>
        <v>114</v>
      </c>
      <c r="F39" s="168">
        <f>SUMIFS('Players by Week'!$G$2:$G$2000,'Players by Week'!$C$2:$C$2000,$B39,'Players by Week'!$B$2:$B$2000,3) - 1</f>
        <v>92</v>
      </c>
      <c r="G39" s="168">
        <f>SUMIFS('Players by Week'!$N$2:$N$2000,'Players by Week'!$C$2:$C$2000,$B39,'Players by Week'!$B$2:$B$2000,3)</f>
        <v>8.5</v>
      </c>
      <c r="H39" s="168">
        <f>COUNTIFS(Matches!$H$1:$H61,B39,Matches!$I$1:$I61,B39,Matches!$A$1:$A61,CONCAT("&gt;",Quotas!$B$11),Matches!$A$1:$A61,CONCAT("&lt;",Quotas!$C$11))</f>
        <v>0</v>
      </c>
      <c r="I39" s="170">
        <f t="shared" si="13"/>
        <v>0.5533980583</v>
      </c>
      <c r="J39" s="170">
        <f t="shared" si="14"/>
        <v>0.5314685315</v>
      </c>
    </row>
    <row r="40">
      <c r="B40" s="160"/>
      <c r="C40" s="160"/>
      <c r="D40" s="160"/>
      <c r="E40" s="160"/>
      <c r="F40" s="160"/>
      <c r="G40" s="160"/>
      <c r="H40" s="160"/>
      <c r="I40" s="160"/>
      <c r="J40" s="160"/>
    </row>
    <row r="41">
      <c r="B41" s="165" t="s">
        <v>790</v>
      </c>
      <c r="C41" s="153" t="s">
        <v>746</v>
      </c>
      <c r="D41" s="153" t="s">
        <v>753</v>
      </c>
      <c r="E41" s="153" t="s">
        <v>754</v>
      </c>
      <c r="F41" s="153" t="s">
        <v>755</v>
      </c>
      <c r="G41" s="153" t="s">
        <v>756</v>
      </c>
      <c r="H41" s="153" t="s">
        <v>757</v>
      </c>
      <c r="I41" s="153" t="s">
        <v>758</v>
      </c>
      <c r="J41" s="153" t="s">
        <v>759</v>
      </c>
    </row>
    <row r="42">
      <c r="B42" s="166" t="s">
        <v>760</v>
      </c>
      <c r="C42" s="167">
        <f t="shared" ref="C42:C46" si="15">IFERROR(RANK(J42,$J$42:$J$46),"")</f>
        <v>3</v>
      </c>
      <c r="D42" s="168">
        <f t="shared" ref="D42:D46" si="16">F42+E42</f>
        <v>169</v>
      </c>
      <c r="E42" s="168">
        <f>SUMIFS('Players by Week'!$F$2:$F$2000,'Players by Week'!$C$2:$C$2000,$B42,'Players by Week'!$B$2:$B$2000,4) + 1</f>
        <v>84</v>
      </c>
      <c r="F42" s="168">
        <f>SUMIFS('Players by Week'!$G$2:$G$2000,'Players by Week'!$C$2:$C$2000,$B42,'Players by Week'!$B$2:$B$2000,4)</f>
        <v>85</v>
      </c>
      <c r="G42" s="168">
        <f>SUMIFS('Players by Week'!$N$2:$N$2000,'Players by Week'!$C$2:$C$2000,$B42,'Players by Week'!$B$2:$B$2000,4)</f>
        <v>9</v>
      </c>
      <c r="H42" s="168">
        <f>COUNTIFS(Matches!$H$1:$H61,B42,Matches!$I$1:$I61,B42,Matches!$A$1:$A61,CONCAT("&gt;",Quotas!$B$12),Matches!$A$1:$A61,CONCAT("&lt;",Quotas!$C$12))</f>
        <v>0</v>
      </c>
      <c r="I42" s="170">
        <f t="shared" ref="I42:I46" si="17">IFERROR(E42/(E42+F42),"")</f>
        <v>0.4970414201</v>
      </c>
      <c r="J42" s="170">
        <f t="shared" ref="J42:J46" si="18">IFERROR((E42-H42)/(E42+F42+G42+H42),"")</f>
        <v>0.4719101124</v>
      </c>
    </row>
    <row r="43">
      <c r="B43" s="171" t="s">
        <v>764</v>
      </c>
      <c r="C43" s="167">
        <f t="shared" si="15"/>
        <v>4</v>
      </c>
      <c r="D43" s="168">
        <f t="shared" si="16"/>
        <v>155</v>
      </c>
      <c r="E43" s="168">
        <f>SUMIFS('Players by Week'!$F$2:$F$2000,'Players by Week'!$C$2:$C$2000,$B43,'Players by Week'!$B$2:$B$2000,4)</f>
        <v>75</v>
      </c>
      <c r="F43" s="168">
        <f>SUMIFS('Players by Week'!$G$2:$G$2000,'Players by Week'!$C$2:$C$2000,$B43,'Players by Week'!$B$2:$B$2000,4) - 1</f>
        <v>80</v>
      </c>
      <c r="G43" s="168">
        <f>SUMIFS('Players by Week'!$N$2:$N$2000,'Players by Week'!$C$2:$C$2000,$B43,'Players by Week'!$B$2:$B$2000,4)</f>
        <v>11.5</v>
      </c>
      <c r="H43" s="168">
        <f>COUNTIFS(Matches!$H$1:$H61,B43,Matches!$I$1:$I61,B43,Matches!$A$1:$A61,CONCAT("&gt;",Quotas!$B$12),Matches!$A$1:$A61,CONCAT("&lt;",Quotas!$C$12))</f>
        <v>0</v>
      </c>
      <c r="I43" s="170">
        <f t="shared" si="17"/>
        <v>0.4838709677</v>
      </c>
      <c r="J43" s="170">
        <f t="shared" si="18"/>
        <v>0.4504504505</v>
      </c>
    </row>
    <row r="44">
      <c r="B44" s="172" t="s">
        <v>765</v>
      </c>
      <c r="C44" s="167">
        <f t="shared" si="15"/>
        <v>5</v>
      </c>
      <c r="D44" s="168">
        <f t="shared" si="16"/>
        <v>171</v>
      </c>
      <c r="E44" s="168">
        <f>SUMIFS('Players by Week'!$F$2:$F$2000,'Players by Week'!$C$2:$C$2000,$B44,'Players by Week'!$B$2:$B$2000,4)</f>
        <v>77</v>
      </c>
      <c r="F44" s="168">
        <f>SUMIFS('Players by Week'!$G$2:$G$2000,'Players by Week'!$C$2:$C$2000,$B44,'Players by Week'!$B$2:$B$2000,4)</f>
        <v>94</v>
      </c>
      <c r="G44" s="168">
        <f>SUMIFS('Players by Week'!$N$2:$N$2000,'Players by Week'!$C$2:$C$2000,$B44,'Players by Week'!$B$2:$B$2000,4)</f>
        <v>6</v>
      </c>
      <c r="H44" s="168">
        <f>COUNTIFS(Matches!$H$1:$H61,B44,Matches!$I$1:$I61,B44,Matches!$A$1:$A61,CONCAT("&gt;",Quotas!$B$12),Matches!$A$1:$A61,CONCAT("&lt;",Quotas!$C$12))</f>
        <v>0</v>
      </c>
      <c r="I44" s="170">
        <f t="shared" si="17"/>
        <v>0.4502923977</v>
      </c>
      <c r="J44" s="170">
        <f t="shared" si="18"/>
        <v>0.4350282486</v>
      </c>
    </row>
    <row r="45">
      <c r="B45" s="173" t="s">
        <v>769</v>
      </c>
      <c r="C45" s="167">
        <f t="shared" si="15"/>
        <v>2</v>
      </c>
      <c r="D45" s="168">
        <f t="shared" si="16"/>
        <v>156</v>
      </c>
      <c r="E45" s="168">
        <f>SUMIFS('Players by Week'!$F$2:$F$2000,'Players by Week'!$C$2:$C$2000,$B45,'Players by Week'!$B$2:$B$2000,4)</f>
        <v>84</v>
      </c>
      <c r="F45" s="168">
        <f>SUMIFS('Players by Week'!$G$2:$G$2000,'Players by Week'!$C$2:$C$2000,$B45,'Players by Week'!$B$2:$B$2000,4)</f>
        <v>72</v>
      </c>
      <c r="G45" s="168">
        <f>SUMIFS('Players by Week'!$N$2:$N$2000,'Players by Week'!$C$2:$C$2000,$B45,'Players by Week'!$B$2:$B$2000,4)</f>
        <v>4</v>
      </c>
      <c r="H45" s="168">
        <f>COUNTIFS(Matches!$H$1:$H61,B45,Matches!$I$1:$I61,B45,Matches!$A$1:$A61,CONCAT("&gt;",Quotas!$B$12),Matches!$A$1:$A61,CONCAT("&lt;",Quotas!$C$12))</f>
        <v>0</v>
      </c>
      <c r="I45" s="170">
        <f t="shared" si="17"/>
        <v>0.5384615385</v>
      </c>
      <c r="J45" s="170">
        <f t="shared" si="18"/>
        <v>0.525</v>
      </c>
    </row>
    <row r="46">
      <c r="B46" s="174" t="s">
        <v>770</v>
      </c>
      <c r="C46" s="167">
        <f t="shared" si="15"/>
        <v>1</v>
      </c>
      <c r="D46" s="168">
        <f t="shared" si="16"/>
        <v>168</v>
      </c>
      <c r="E46" s="168">
        <f>SUMIFS('Players by Week'!$F$2:$F$2000,'Players by Week'!$C$2:$C$2000,$B46,'Players by Week'!$B$2:$B$2000,4) + 2</f>
        <v>91</v>
      </c>
      <c r="F46" s="168">
        <f>SUMIFS('Players by Week'!$G$2:$G$2000,'Players by Week'!$C$2:$C$2000,$B46,'Players by Week'!$B$2:$B$2000,4) + 1</f>
        <v>77</v>
      </c>
      <c r="G46" s="168">
        <f>SUMIFS('Players by Week'!$N$2:$N$2000,'Players by Week'!$C$2:$C$2000,$B46,'Players by Week'!$B$2:$B$2000,4)</f>
        <v>1.5</v>
      </c>
      <c r="H46" s="168">
        <f>COUNTIFS(Matches!$H$1:$H61,B46,Matches!$I$1:$I61,B46,Matches!$A$1:$A61,CONCAT("&gt;",Quotas!$B$12),Matches!$A$1:$A61,CONCAT("&lt;",Quotas!$C$12))</f>
        <v>0</v>
      </c>
      <c r="I46" s="170">
        <f t="shared" si="17"/>
        <v>0.5416666667</v>
      </c>
      <c r="J46" s="170">
        <f t="shared" si="18"/>
        <v>0.5368731563</v>
      </c>
    </row>
    <row r="47">
      <c r="B47" s="160"/>
      <c r="C47" s="160"/>
      <c r="D47" s="160"/>
      <c r="E47" s="160"/>
      <c r="F47" s="160"/>
      <c r="G47" s="160"/>
      <c r="H47" s="160"/>
      <c r="I47" s="160"/>
      <c r="J47" s="160"/>
    </row>
    <row r="48">
      <c r="B48" s="165" t="s">
        <v>794</v>
      </c>
      <c r="C48" s="153" t="s">
        <v>746</v>
      </c>
      <c r="D48" s="153" t="s">
        <v>753</v>
      </c>
      <c r="E48" s="153" t="s">
        <v>754</v>
      </c>
      <c r="F48" s="153" t="s">
        <v>755</v>
      </c>
      <c r="G48" s="153" t="s">
        <v>756</v>
      </c>
      <c r="H48" s="153" t="s">
        <v>757</v>
      </c>
      <c r="I48" s="153" t="s">
        <v>758</v>
      </c>
      <c r="J48" s="153" t="s">
        <v>759</v>
      </c>
    </row>
    <row r="49">
      <c r="B49" s="166" t="s">
        <v>760</v>
      </c>
      <c r="C49" s="167">
        <f t="shared" ref="C49:C53" si="19">IFERROR(RANK(J49,$J$49:$J$53),"")</f>
        <v>1</v>
      </c>
      <c r="D49" s="168">
        <f t="shared" ref="D49:D53" si="20">F49+E49</f>
        <v>105</v>
      </c>
      <c r="E49" s="168">
        <f>SUMIFS('Players by Week'!$F$2:$F$2000,'Players by Week'!$C$2:$C$2000,$B49,'Players by Week'!$B$2:$B$2000,5)</f>
        <v>60</v>
      </c>
      <c r="F49" s="168">
        <f>SUMIFS('Players by Week'!$G$2:$G$2000,'Players by Week'!$C$2:$C$2000,$B49,'Players by Week'!$B$2:$B$2000,5)</f>
        <v>45</v>
      </c>
      <c r="G49" s="168">
        <f>SUMIFS('Players by Week'!$N$2:$N$2000,'Players by Week'!$C$2:$C$2000,$B49,'Players by Week'!$B$2:$B$2000,5)</f>
        <v>2</v>
      </c>
      <c r="H49" s="168">
        <f>COUNTIFS(Matches!$H$1:$H61,B49,Matches!$I$1:$I61,B49,Matches!$A$1:$A61,CONCAT("&gt;",Quotas!$B$13),Matches!$A$1:$A61,CONCAT("&lt;",Quotas!$C$13))</f>
        <v>0</v>
      </c>
      <c r="I49" s="170">
        <f t="shared" ref="I49:I53" si="21">IFERROR(E49/(E49+F49),"")</f>
        <v>0.5714285714</v>
      </c>
      <c r="J49" s="170">
        <f t="shared" ref="J49:J53" si="22">IFERROR((E49-H49)/(E49+F49+G49+H49),"")</f>
        <v>0.5607476636</v>
      </c>
    </row>
    <row r="50">
      <c r="B50" s="171" t="s">
        <v>764</v>
      </c>
      <c r="C50" s="167">
        <f t="shared" si="19"/>
        <v>5</v>
      </c>
      <c r="D50" s="168">
        <f t="shared" si="20"/>
        <v>74</v>
      </c>
      <c r="E50" s="168">
        <f>SUMIFS('Players by Week'!$F$2:$F$2000,'Players by Week'!$C$2:$C$2000,$B50,'Players by Week'!$B$2:$B$2000,5)</f>
        <v>31</v>
      </c>
      <c r="F50" s="168">
        <f>SUMIFS('Players by Week'!$G$2:$G$2000,'Players by Week'!$C$2:$C$2000,$B50,'Players by Week'!$B$2:$B$2000,5) + 1</f>
        <v>43</v>
      </c>
      <c r="G50" s="168">
        <f>SUMIFS('Players by Week'!$N$2:$N$2000,'Players by Week'!$C$2:$C$2000,$B50,'Players by Week'!$B$2:$B$2000,5)</f>
        <v>4</v>
      </c>
      <c r="H50" s="168">
        <f>COUNTIFS(Matches!$H$1:$H61,B50,Matches!$I$1:$I61,B50,Matches!$A$1:$A61,CONCAT("&gt;",Quotas!$B$13),Matches!$A$1:$A61,CONCAT("&lt;",Quotas!$C$13))</f>
        <v>0</v>
      </c>
      <c r="I50" s="170">
        <f t="shared" si="21"/>
        <v>0.4189189189</v>
      </c>
      <c r="J50" s="170">
        <f t="shared" si="22"/>
        <v>0.3974358974</v>
      </c>
    </row>
    <row r="51">
      <c r="B51" s="172" t="s">
        <v>765</v>
      </c>
      <c r="C51" s="167">
        <f t="shared" si="19"/>
        <v>4</v>
      </c>
      <c r="D51" s="168">
        <f t="shared" si="20"/>
        <v>90</v>
      </c>
      <c r="E51" s="168">
        <f>SUMIFS('Players by Week'!$F$2:$F$2000,'Players by Week'!$C$2:$C$2000,$B51,'Players by Week'!$B$2:$B$2000,5)</f>
        <v>42</v>
      </c>
      <c r="F51" s="168">
        <f>SUMIFS('Players by Week'!$G$2:$G$2000,'Players by Week'!$C$2:$C$2000,$B51,'Players by Week'!$B$2:$B$2000,5)</f>
        <v>48</v>
      </c>
      <c r="G51" s="168">
        <f>SUMIFS('Players by Week'!$N$2:$N$2000,'Players by Week'!$C$2:$C$2000,$B51,'Players by Week'!$B$2:$B$2000,5)</f>
        <v>2.5</v>
      </c>
      <c r="H51" s="168">
        <f>COUNTIFS(Matches!$H$1:$H61,B51,Matches!$I$1:$I61,B51,Matches!$A$1:$A61,CONCAT("&gt;",Quotas!$B$13),Matches!$A$1:$A61,CONCAT("&lt;",Quotas!$C$13))</f>
        <v>0</v>
      </c>
      <c r="I51" s="170">
        <f t="shared" si="21"/>
        <v>0.4666666667</v>
      </c>
      <c r="J51" s="170">
        <f t="shared" si="22"/>
        <v>0.4540540541</v>
      </c>
    </row>
    <row r="52">
      <c r="B52" s="173" t="s">
        <v>769</v>
      </c>
      <c r="C52" s="167">
        <f t="shared" si="19"/>
        <v>3</v>
      </c>
      <c r="D52" s="168">
        <f t="shared" si="20"/>
        <v>71</v>
      </c>
      <c r="E52" s="168">
        <f>SUMIFS('Players by Week'!$F$2:$F$2000,'Players by Week'!$C$2:$C$2000,$B52,'Players by Week'!$B$2:$B$2000,5)</f>
        <v>35</v>
      </c>
      <c r="F52" s="168">
        <f>SUMIFS('Players by Week'!$G$2:$G$2000,'Players by Week'!$C$2:$C$2000,$B52,'Players by Week'!$B$2:$B$2000,5)</f>
        <v>36</v>
      </c>
      <c r="G52" s="168">
        <f>SUMIFS('Players by Week'!$N$2:$N$2000,'Players by Week'!$C$2:$C$2000,$B52,'Players by Week'!$B$2:$B$2000,5)</f>
        <v>1.5</v>
      </c>
      <c r="H52" s="168">
        <f>COUNTIFS(Matches!$H$1:$H61,B52,Matches!$I$1:$I61,B52,Matches!$A$1:$A61,CONCAT("&gt;",Quotas!$B$13),Matches!$A$1:$A61,CONCAT("&lt;",Quotas!$C$13))</f>
        <v>0</v>
      </c>
      <c r="I52" s="170">
        <f t="shared" si="21"/>
        <v>0.4929577465</v>
      </c>
      <c r="J52" s="170">
        <f t="shared" si="22"/>
        <v>0.4827586207</v>
      </c>
    </row>
    <row r="53">
      <c r="B53" s="174" t="s">
        <v>770</v>
      </c>
      <c r="C53" s="167">
        <f t="shared" si="19"/>
        <v>2</v>
      </c>
      <c r="D53" s="168">
        <f t="shared" si="20"/>
        <v>103</v>
      </c>
      <c r="E53" s="168">
        <f>SUMIFS('Players by Week'!$F$2:$F$2000,'Players by Week'!$C$2:$C$2000,$B53,'Players by Week'!$B$2:$B$2000,5)</f>
        <v>53</v>
      </c>
      <c r="F53" s="168">
        <f>SUMIFS('Players by Week'!$G$2:$G$2000,'Players by Week'!$C$2:$C$2000,$B53,'Players by Week'!$B$2:$B$2000,5)</f>
        <v>50</v>
      </c>
      <c r="G53" s="168">
        <f>SUMIFS('Players by Week'!$N$2:$N$2000,'Players by Week'!$C$2:$C$2000,$B53,'Players by Week'!$B$2:$B$2000,5)</f>
        <v>1.5</v>
      </c>
      <c r="H53" s="168">
        <f>COUNTIFS(Matches!$H$1:$H61,B53,Matches!$I$1:$I61,B53,Matches!$A$1:$A61,CONCAT("&gt;",Quotas!$B$13),Matches!$A$1:$A61,CONCAT("&lt;",Quotas!$C$13))</f>
        <v>0</v>
      </c>
      <c r="I53" s="170">
        <f t="shared" si="21"/>
        <v>0.5145631068</v>
      </c>
      <c r="J53" s="170">
        <f t="shared" si="22"/>
        <v>0.5071770335</v>
      </c>
    </row>
    <row r="55">
      <c r="B55" s="176" t="s">
        <v>804</v>
      </c>
      <c r="C55" s="153" t="s">
        <v>746</v>
      </c>
      <c r="D55" s="153" t="s">
        <v>753</v>
      </c>
      <c r="E55" s="153" t="s">
        <v>754</v>
      </c>
      <c r="F55" s="153" t="s">
        <v>755</v>
      </c>
      <c r="G55" s="153" t="s">
        <v>756</v>
      </c>
      <c r="H55" s="153" t="s">
        <v>757</v>
      </c>
      <c r="I55" s="153" t="s">
        <v>758</v>
      </c>
      <c r="J55" s="153" t="s">
        <v>759</v>
      </c>
    </row>
    <row r="56">
      <c r="B56" s="166" t="s">
        <v>760</v>
      </c>
      <c r="C56" s="167">
        <f t="shared" ref="C56:C60" si="24">IFERROR(RANK(J56,$J$56:$J$60),"")</f>
        <v>2</v>
      </c>
      <c r="D56" s="168">
        <f t="shared" ref="D56:H56" si="23">SUM(D21,D28,D35,D42,D49)</f>
        <v>924</v>
      </c>
      <c r="E56" s="168">
        <f t="shared" si="23"/>
        <v>477</v>
      </c>
      <c r="F56" s="168">
        <f t="shared" si="23"/>
        <v>447</v>
      </c>
      <c r="G56" s="168">
        <f t="shared" si="23"/>
        <v>35</v>
      </c>
      <c r="H56" s="168">
        <f t="shared" si="23"/>
        <v>0</v>
      </c>
      <c r="I56" s="170">
        <f t="shared" ref="I56:I60" si="26">IFERROR(E56/(E56+F56),"")</f>
        <v>0.5162337662</v>
      </c>
      <c r="J56" s="170">
        <f t="shared" ref="J56:J60" si="27">IFERROR((E56-H56)/(E56+F56+H56),"")</f>
        <v>0.5162337662</v>
      </c>
    </row>
    <row r="57">
      <c r="B57" s="171" t="s">
        <v>764</v>
      </c>
      <c r="C57" s="167">
        <f t="shared" si="24"/>
        <v>3</v>
      </c>
      <c r="D57" s="168">
        <f t="shared" ref="D57:H57" si="25">SUM(D22,D29,D36,D43,D50)</f>
        <v>861</v>
      </c>
      <c r="E57" s="168">
        <f t="shared" si="25"/>
        <v>427</v>
      </c>
      <c r="F57" s="168">
        <f t="shared" si="25"/>
        <v>434</v>
      </c>
      <c r="G57" s="168">
        <f t="shared" si="25"/>
        <v>50</v>
      </c>
      <c r="H57" s="168">
        <f t="shared" si="25"/>
        <v>0</v>
      </c>
      <c r="I57" s="170">
        <f t="shared" si="26"/>
        <v>0.4959349593</v>
      </c>
      <c r="J57" s="170">
        <f t="shared" si="27"/>
        <v>0.4959349593</v>
      </c>
    </row>
    <row r="58">
      <c r="B58" s="172" t="s">
        <v>765</v>
      </c>
      <c r="C58" s="167">
        <f t="shared" si="24"/>
        <v>4</v>
      </c>
      <c r="D58" s="168">
        <f t="shared" ref="D58:H58" si="28">SUM(D23,D30,D37,D44,D51)</f>
        <v>945</v>
      </c>
      <c r="E58" s="168">
        <f t="shared" si="28"/>
        <v>462</v>
      </c>
      <c r="F58" s="168">
        <f t="shared" si="28"/>
        <v>483</v>
      </c>
      <c r="G58" s="168">
        <f t="shared" si="28"/>
        <v>22.5</v>
      </c>
      <c r="H58" s="168">
        <f t="shared" si="28"/>
        <v>0</v>
      </c>
      <c r="I58" s="170">
        <f t="shared" si="26"/>
        <v>0.4888888889</v>
      </c>
      <c r="J58" s="170">
        <f t="shared" si="27"/>
        <v>0.4888888889</v>
      </c>
    </row>
    <row r="59">
      <c r="B59" s="173" t="s">
        <v>769</v>
      </c>
      <c r="C59" s="167">
        <f t="shared" si="24"/>
        <v>5</v>
      </c>
      <c r="D59" s="168">
        <f t="shared" ref="D59:H59" si="29">SUM(D24,D31,D38,D45,D52)</f>
        <v>839</v>
      </c>
      <c r="E59" s="168">
        <f t="shared" si="29"/>
        <v>405</v>
      </c>
      <c r="F59" s="168">
        <f t="shared" si="29"/>
        <v>434</v>
      </c>
      <c r="G59" s="168">
        <f t="shared" si="29"/>
        <v>38</v>
      </c>
      <c r="H59" s="168">
        <f t="shared" si="29"/>
        <v>0</v>
      </c>
      <c r="I59" s="170">
        <f t="shared" si="26"/>
        <v>0.4827175209</v>
      </c>
      <c r="J59" s="170">
        <f t="shared" si="27"/>
        <v>0.4827175209</v>
      </c>
    </row>
    <row r="60">
      <c r="B60" s="174" t="s">
        <v>770</v>
      </c>
      <c r="C60" s="167">
        <f t="shared" si="24"/>
        <v>1</v>
      </c>
      <c r="D60" s="168">
        <f t="shared" ref="D60:H60" si="30">SUM(D25,D32,D39,D46,D53)</f>
        <v>902</v>
      </c>
      <c r="E60" s="168">
        <f t="shared" si="30"/>
        <v>467</v>
      </c>
      <c r="F60" s="168">
        <f t="shared" si="30"/>
        <v>435</v>
      </c>
      <c r="G60" s="168">
        <f t="shared" si="30"/>
        <v>32</v>
      </c>
      <c r="H60" s="168">
        <f t="shared" si="30"/>
        <v>0</v>
      </c>
      <c r="I60" s="170">
        <f t="shared" si="26"/>
        <v>0.5177383592</v>
      </c>
      <c r="J60" s="170">
        <f t="shared" si="27"/>
        <v>0.5177383592</v>
      </c>
    </row>
  </sheetData>
  <mergeCells count="15">
    <mergeCell ref="C10:F10"/>
    <mergeCell ref="D11:E11"/>
    <mergeCell ref="D12:E12"/>
    <mergeCell ref="D13:E13"/>
    <mergeCell ref="D14:E14"/>
    <mergeCell ref="D15:E15"/>
    <mergeCell ref="D16:E16"/>
    <mergeCell ref="B18:J19"/>
    <mergeCell ref="C2:F2"/>
    <mergeCell ref="D3:E3"/>
    <mergeCell ref="D4:E4"/>
    <mergeCell ref="D5:E5"/>
    <mergeCell ref="D6:E6"/>
    <mergeCell ref="D7:E7"/>
    <mergeCell ref="D8:E8"/>
  </mergeCells>
  <conditionalFormatting sqref="C21:C25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28:C32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5:C3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2:C46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9:C53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6:C60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4:E8 D12:E16">
    <cfRule type="cellIs" dxfId="1" priority="7" operator="equal">
      <formula>"Lorehold"</formula>
    </cfRule>
  </conditionalFormatting>
  <conditionalFormatting sqref="D4:E8 D12:E16">
    <cfRule type="cellIs" dxfId="2" priority="8" operator="equal">
      <formula>"Prismari"</formula>
    </cfRule>
  </conditionalFormatting>
  <conditionalFormatting sqref="D4:E8 D12:E16">
    <cfRule type="cellIs" dxfId="3" priority="9" operator="equal">
      <formula>"Quandrix"</formula>
    </cfRule>
  </conditionalFormatting>
  <conditionalFormatting sqref="D4:E8 D12:E16">
    <cfRule type="cellIs" dxfId="4" priority="10" operator="equal">
      <formula>"Silverquill"</formula>
    </cfRule>
  </conditionalFormatting>
  <conditionalFormatting sqref="D4:E8 D12:E16">
    <cfRule type="cellIs" dxfId="5" priority="11" operator="equal">
      <formula>"Witherbloom"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6.38"/>
    <col customWidth="1" hidden="1" min="4" max="4" width="5.5"/>
    <col customWidth="1" min="5" max="5" width="3.13"/>
    <col customWidth="1" min="6" max="6" width="12.63"/>
    <col customWidth="1" min="7" max="8" width="6.38"/>
    <col customWidth="1" hidden="1" min="9" max="9" width="5.5"/>
    <col customWidth="1" min="10" max="10" width="3.13"/>
    <col customWidth="1" min="11" max="11" width="12.63"/>
    <col customWidth="1" min="12" max="13" width="6.38"/>
    <col customWidth="1" hidden="1" min="14" max="14" width="5.5"/>
    <col customWidth="1" min="15" max="15" width="3.13"/>
    <col customWidth="1" min="16" max="16" width="12.63"/>
    <col customWidth="1" min="17" max="18" width="6.38"/>
    <col customWidth="1" hidden="1" min="19" max="19" width="5.5"/>
    <col customWidth="1" min="20" max="20" width="3.13"/>
    <col customWidth="1" min="21" max="21" width="12.63"/>
    <col customWidth="1" min="22" max="23" width="6.38"/>
    <col customWidth="1" hidden="1" min="24" max="24" width="5.5"/>
    <col customWidth="1" min="26" max="26" width="16.63"/>
    <col hidden="1" min="36" max="43" width="12.63"/>
  </cols>
  <sheetData>
    <row r="1">
      <c r="A1" s="219" t="s">
        <v>823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220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1"/>
      <c r="AK1" s="1"/>
      <c r="AL1" s="1"/>
      <c r="AM1" s="1"/>
      <c r="AN1" s="1"/>
      <c r="AO1" s="1"/>
      <c r="AP1" s="1"/>
      <c r="AQ1" s="1"/>
    </row>
    <row r="2">
      <c r="A2" s="219" t="s">
        <v>824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1"/>
      <c r="AK2" s="1"/>
      <c r="AL2" s="1"/>
      <c r="AM2" s="1"/>
      <c r="AN2" s="1"/>
      <c r="AO2" s="1"/>
      <c r="AP2" s="1"/>
      <c r="AQ2" s="1"/>
    </row>
    <row r="3">
      <c r="A3" s="17"/>
      <c r="B3" s="17"/>
      <c r="C3" s="17"/>
      <c r="D3" s="1"/>
      <c r="E3" s="1"/>
      <c r="F3" s="17"/>
      <c r="G3" s="17"/>
      <c r="H3" s="17"/>
      <c r="I3" s="1"/>
      <c r="J3" s="1"/>
      <c r="K3" s="17"/>
      <c r="L3" s="17"/>
      <c r="M3" s="17"/>
      <c r="N3" s="1"/>
      <c r="O3" s="1"/>
      <c r="P3" s="17"/>
      <c r="Q3" s="17"/>
      <c r="R3" s="17"/>
      <c r="S3" s="1"/>
      <c r="T3" s="1"/>
      <c r="U3" s="17"/>
      <c r="V3" s="17"/>
      <c r="W3" s="17"/>
      <c r="X3" s="1"/>
      <c r="Y3" s="1"/>
      <c r="Z3" s="1"/>
      <c r="AA3" s="17"/>
      <c r="AB3" s="17"/>
      <c r="AC3" s="17"/>
      <c r="AD3" s="17"/>
      <c r="AE3" s="17"/>
      <c r="AF3" s="17"/>
      <c r="AG3" s="17"/>
      <c r="AH3" s="17"/>
      <c r="AI3" s="1"/>
      <c r="AJ3" s="1"/>
      <c r="AK3" s="17"/>
      <c r="AL3" s="17"/>
      <c r="AM3" s="17"/>
      <c r="AN3" s="17"/>
      <c r="AO3" s="17"/>
      <c r="AP3" s="17"/>
      <c r="AQ3" s="1"/>
    </row>
    <row r="4">
      <c r="A4" s="221" t="s">
        <v>760</v>
      </c>
      <c r="C4" s="222"/>
      <c r="D4" s="223"/>
      <c r="E4" s="224"/>
      <c r="F4" s="225" t="s">
        <v>764</v>
      </c>
      <c r="H4" s="222"/>
      <c r="I4" s="226"/>
      <c r="J4" s="224"/>
      <c r="K4" s="227" t="s">
        <v>765</v>
      </c>
      <c r="M4" s="222"/>
      <c r="N4" s="228"/>
      <c r="O4" s="224"/>
      <c r="P4" s="229" t="s">
        <v>769</v>
      </c>
      <c r="R4" s="222"/>
      <c r="S4" s="230"/>
      <c r="T4" s="224"/>
      <c r="U4" s="231" t="s">
        <v>770</v>
      </c>
      <c r="W4" s="222"/>
      <c r="X4" s="233"/>
      <c r="Y4" s="1"/>
      <c r="Z4" s="235" t="s">
        <v>829</v>
      </c>
      <c r="AA4" s="164"/>
      <c r="AB4" s="164"/>
      <c r="AC4" s="164"/>
      <c r="AD4" s="164"/>
      <c r="AE4" s="164"/>
      <c r="AF4" s="164"/>
      <c r="AG4" s="164"/>
      <c r="AH4" s="78"/>
      <c r="AJ4" s="237" t="s">
        <v>835</v>
      </c>
      <c r="AK4" s="164"/>
      <c r="AL4" s="164"/>
      <c r="AM4" s="164"/>
      <c r="AN4" s="164"/>
      <c r="AO4" s="78"/>
      <c r="AP4" s="1"/>
    </row>
    <row r="5">
      <c r="A5" s="163"/>
      <c r="B5" s="164"/>
      <c r="C5" s="78"/>
      <c r="D5" s="223"/>
      <c r="E5" s="238"/>
      <c r="F5" s="164"/>
      <c r="G5" s="164"/>
      <c r="H5" s="78"/>
      <c r="I5" s="226"/>
      <c r="J5" s="238"/>
      <c r="K5" s="164"/>
      <c r="L5" s="164"/>
      <c r="M5" s="78"/>
      <c r="N5" s="228"/>
      <c r="O5" s="238"/>
      <c r="P5" s="164"/>
      <c r="Q5" s="164"/>
      <c r="R5" s="78"/>
      <c r="S5" s="230"/>
      <c r="T5" s="238"/>
      <c r="U5" s="164"/>
      <c r="V5" s="164"/>
      <c r="W5" s="78"/>
      <c r="X5" s="233"/>
      <c r="Y5" s="19"/>
      <c r="Z5" s="236" t="s">
        <v>30</v>
      </c>
      <c r="AA5" s="239" t="s">
        <v>841</v>
      </c>
      <c r="AB5" s="239" t="s">
        <v>842</v>
      </c>
      <c r="AC5" s="239" t="s">
        <v>843</v>
      </c>
      <c r="AD5" s="239" t="s">
        <v>844</v>
      </c>
      <c r="AE5" s="239" t="s">
        <v>845</v>
      </c>
      <c r="AF5" s="239" t="s">
        <v>846</v>
      </c>
      <c r="AG5" s="239" t="s">
        <v>847</v>
      </c>
      <c r="AH5" s="239" t="s">
        <v>848</v>
      </c>
      <c r="AI5" s="61"/>
      <c r="AJ5" s="240" t="s">
        <v>849</v>
      </c>
      <c r="AK5" s="240" t="s">
        <v>842</v>
      </c>
      <c r="AL5" s="240" t="s">
        <v>843</v>
      </c>
      <c r="AM5" s="240" t="s">
        <v>844</v>
      </c>
      <c r="AN5" s="240" t="s">
        <v>848</v>
      </c>
      <c r="AO5" s="240" t="s">
        <v>850</v>
      </c>
      <c r="AP5" s="1"/>
    </row>
    <row r="6">
      <c r="A6" s="241" t="s">
        <v>26</v>
      </c>
      <c r="B6" s="242" t="s">
        <v>746</v>
      </c>
      <c r="C6" s="242" t="s">
        <v>851</v>
      </c>
      <c r="D6" s="243"/>
      <c r="E6" s="238"/>
      <c r="F6" s="244" t="s">
        <v>26</v>
      </c>
      <c r="G6" s="244" t="s">
        <v>746</v>
      </c>
      <c r="H6" s="244" t="s">
        <v>851</v>
      </c>
      <c r="I6" s="245"/>
      <c r="J6" s="238"/>
      <c r="K6" s="246" t="s">
        <v>26</v>
      </c>
      <c r="L6" s="246" t="s">
        <v>746</v>
      </c>
      <c r="M6" s="246" t="s">
        <v>851</v>
      </c>
      <c r="N6" s="247"/>
      <c r="O6" s="238"/>
      <c r="P6" s="248" t="s">
        <v>26</v>
      </c>
      <c r="Q6" s="248" t="s">
        <v>746</v>
      </c>
      <c r="R6" s="248" t="s">
        <v>851</v>
      </c>
      <c r="S6" s="249"/>
      <c r="T6" s="238"/>
      <c r="U6" s="250" t="s">
        <v>26</v>
      </c>
      <c r="V6" s="250" t="s">
        <v>746</v>
      </c>
      <c r="W6" s="250" t="s">
        <v>851</v>
      </c>
      <c r="X6" s="251"/>
      <c r="Y6" s="19"/>
      <c r="Z6" s="252" t="s">
        <v>760</v>
      </c>
      <c r="AA6" s="253">
        <f>sumif('Player Database'!$AE$2:$AE57, Z6, 'Player Database'!$H$2:$H57) - AH6</f>
        <v>0</v>
      </c>
      <c r="AB6" s="253">
        <f>sumif('Player Database'!$AE$2:$AE57, Z6, 'Player Database'!$I$2:$I57)</f>
        <v>0</v>
      </c>
      <c r="AC6" s="253">
        <f t="shared" ref="AC6:AC10" si="1">AA6-AB6</f>
        <v>0</v>
      </c>
      <c r="AD6" s="254" t="str">
        <f t="shared" ref="AD6:AD10" si="2">AB6/AA6</f>
        <v>#DIV/0!</v>
      </c>
      <c r="AE6" s="253">
        <f>sumif(Standings!$G$5:$G$242,"Lorehold",Standings!$I$5:$I$242)</f>
        <v>0</v>
      </c>
      <c r="AF6" s="253">
        <f t="shared" ref="AF6:AF9" si="3">48-AG6</f>
        <v>48</v>
      </c>
      <c r="AG6" s="253">
        <f>COUNTIFS(Standings!$G$5:$G$242,"Lorehold",Standings!$L$5:$L$242,"Eliminated")</f>
        <v>0</v>
      </c>
      <c r="AH6" s="253">
        <f>sumif('Player Database'!$AE$2:$AE57, Z6, 'Player Database'!$L$2:$L57)</f>
        <v>0</v>
      </c>
      <c r="AJ6" s="255" t="str">
        <f>sumif(Standings!$E$6:$E$117,$A$5,Standings!$J$6:$J$117)-AN6</f>
        <v>#REF!</v>
      </c>
      <c r="AK6" s="255">
        <f>sumif(Standings!$E$6:$E$117,$A$5,Standings!$G$6:$G$117)</f>
        <v>0</v>
      </c>
      <c r="AL6" s="255" t="str">
        <f t="shared" ref="AL6:AL10" si="4">sum(#REF!)</f>
        <v>#REF!</v>
      </c>
      <c r="AM6" s="255" t="str">
        <f t="shared" ref="AM6:AM10" si="5">AK6/AJ6</f>
        <v>#REF!</v>
      </c>
      <c r="AN6" s="255" t="str">
        <f t="shared" ref="AN6:AN10" si="6">AC6-AL6</f>
        <v>#REF!</v>
      </c>
      <c r="AO6" s="255">
        <f>sumif(Standings!$E$6:$E$117,$A$5,Standings!$O$6:$O$117)/16</f>
        <v>0</v>
      </c>
      <c r="AP6" s="1"/>
    </row>
    <row r="7">
      <c r="A7" s="256" t="str">
        <f>IFERROR(__xludf.DUMMYFUNCTION("QUERY(Standings!A4:M244, ""Select A,D,F Where G ='Lorehold' Order by D Asc"")"),"#N/A")</f>
        <v>#N/A</v>
      </c>
      <c r="B7" s="257"/>
      <c r="C7" s="258"/>
      <c r="D7" s="259"/>
      <c r="E7" s="260"/>
      <c r="F7" s="261" t="str">
        <f>IFERROR(__xludf.DUMMYFUNCTION("QUERY(Standings!A4:M244, ""Select A,D,F Where G ='Prismari' Order by D Asc"")"),"#N/A")</f>
        <v>#N/A</v>
      </c>
      <c r="G7" s="262"/>
      <c r="H7" s="261"/>
      <c r="I7" s="263"/>
      <c r="J7" s="260"/>
      <c r="K7" s="264" t="str">
        <f>IFERROR(__xludf.DUMMYFUNCTION("QUERY(Standings!A4:M244, ""Select A,D,F Where G ='Quandrix' Order by D Asc"")"),"#N/A")</f>
        <v>#N/A</v>
      </c>
      <c r="L7" s="265"/>
      <c r="M7" s="264"/>
      <c r="N7" s="266"/>
      <c r="O7" s="260"/>
      <c r="P7" s="267" t="str">
        <f>IFERROR(__xludf.DUMMYFUNCTION("QUERY(Standings!A4:M244, ""Select A,D,F Where G ='Silverquill' Order by D Asc"")"),"#N/A")</f>
        <v>#N/A</v>
      </c>
      <c r="Q7" s="268"/>
      <c r="R7" s="267"/>
      <c r="S7" s="269"/>
      <c r="T7" s="260"/>
      <c r="U7" s="270" t="str">
        <f>IFERROR(__xludf.DUMMYFUNCTION("QUERY(Standings!A4:M244, ""Select A,D,F Where G ='Witherbloom' Order by D Asc"")"),"#N/A")</f>
        <v>#N/A</v>
      </c>
      <c r="V7" s="272"/>
      <c r="W7" s="270"/>
      <c r="X7" s="273"/>
      <c r="Y7" s="19"/>
      <c r="Z7" s="274" t="s">
        <v>764</v>
      </c>
      <c r="AA7" s="275">
        <f>sumif('Player Database'!$AE$2:$AE57, Z7, 'Player Database'!$H$2:$H57) - AH7</f>
        <v>0</v>
      </c>
      <c r="AB7" s="275">
        <f>sumif('Player Database'!$AE$2:$AE57, Z7, 'Player Database'!$I$2:$I57)</f>
        <v>0</v>
      </c>
      <c r="AC7" s="275">
        <f t="shared" si="1"/>
        <v>0</v>
      </c>
      <c r="AD7" s="276" t="str">
        <f t="shared" si="2"/>
        <v>#DIV/0!</v>
      </c>
      <c r="AE7" s="275">
        <f>sumif(Standings!$G$5:$G$242,"Prismari",Standings!$I$5:$I$242)</f>
        <v>0</v>
      </c>
      <c r="AF7" s="275">
        <f t="shared" si="3"/>
        <v>48</v>
      </c>
      <c r="AG7" s="275">
        <f>COUNTIFS(Standings!$G$5:$G$242,"Prismari",Standings!$L$5:$L$242,"Eliminated")</f>
        <v>0</v>
      </c>
      <c r="AH7" s="275">
        <f>sumif('Player Database'!$AE$2:$AE57, Z7, 'Player Database'!$L$2:$L57)</f>
        <v>0</v>
      </c>
      <c r="AJ7" s="277" t="str">
        <f>sumif(Standings!$E$6:$E$117,$F$5,Standings!$J$6:$J$117)-AN7</f>
        <v>#REF!</v>
      </c>
      <c r="AK7" s="277">
        <f>sumif(Standings!$E$6:$E$117,$F$5,Standings!$G$6:$G$117)</f>
        <v>0</v>
      </c>
      <c r="AL7" s="277" t="str">
        <f t="shared" si="4"/>
        <v>#REF!</v>
      </c>
      <c r="AM7" s="277" t="str">
        <f t="shared" si="5"/>
        <v>#REF!</v>
      </c>
      <c r="AN7" s="277" t="str">
        <f t="shared" si="6"/>
        <v>#REF!</v>
      </c>
      <c r="AO7" s="277">
        <f>sumif(Standings!$E$6:$E$117,$F$5,Standings!$O$6:$O$117)/16</f>
        <v>0</v>
      </c>
      <c r="AP7" s="1"/>
    </row>
    <row r="8">
      <c r="A8" s="256"/>
      <c r="B8" s="257"/>
      <c r="C8" s="258"/>
      <c r="D8" s="259"/>
      <c r="E8" s="260"/>
      <c r="F8" s="261"/>
      <c r="G8" s="262"/>
      <c r="H8" s="261"/>
      <c r="I8" s="263"/>
      <c r="J8" s="260"/>
      <c r="K8" s="264"/>
      <c r="L8" s="265"/>
      <c r="M8" s="264"/>
      <c r="N8" s="266"/>
      <c r="O8" s="260"/>
      <c r="P8" s="267"/>
      <c r="Q8" s="268"/>
      <c r="R8" s="267"/>
      <c r="S8" s="269"/>
      <c r="T8" s="260"/>
      <c r="U8" s="270"/>
      <c r="V8" s="272"/>
      <c r="W8" s="270"/>
      <c r="X8" s="273"/>
      <c r="Y8" s="19"/>
      <c r="Z8" s="278" t="s">
        <v>765</v>
      </c>
      <c r="AA8" s="279">
        <f>sumif('Player Database'!$AE$2:$AE57, Z8, 'Player Database'!$H$2:$H57) - AH8</f>
        <v>0</v>
      </c>
      <c r="AB8" s="279">
        <f>sumif('Player Database'!$AE$2:$AE57, Z8, 'Player Database'!$I$2:$I57)</f>
        <v>0</v>
      </c>
      <c r="AC8" s="279">
        <f t="shared" si="1"/>
        <v>0</v>
      </c>
      <c r="AD8" s="280" t="str">
        <f t="shared" si="2"/>
        <v>#DIV/0!</v>
      </c>
      <c r="AE8" s="279">
        <f>sumif(Standings!$G$5:$G$242,"Quandrix",Standings!$I$5:$I$242)</f>
        <v>0</v>
      </c>
      <c r="AF8" s="279">
        <f t="shared" si="3"/>
        <v>48</v>
      </c>
      <c r="AG8" s="279">
        <f>COUNTIFS(Standings!$G$5:$G$242,"Quandrix",Standings!$L$5:$L$242,"Eliminated")</f>
        <v>0</v>
      </c>
      <c r="AH8" s="279">
        <f>sumif('Player Database'!$AE$2:$AE57, Z8, 'Player Database'!$L$2:$L57)</f>
        <v>0</v>
      </c>
      <c r="AJ8" s="281" t="str">
        <f>sumif(Standings!$E$6:$E$117,$K$5,Standings!$J$6:$J$117)-AN8</f>
        <v>#REF!</v>
      </c>
      <c r="AK8" s="281">
        <f>sumif(Standings!$E$6:$E$117,$K$5,Standings!$G$6:$G$117)</f>
        <v>0</v>
      </c>
      <c r="AL8" s="281" t="str">
        <f t="shared" si="4"/>
        <v>#REF!</v>
      </c>
      <c r="AM8" s="281" t="str">
        <f t="shared" si="5"/>
        <v>#REF!</v>
      </c>
      <c r="AN8" s="281" t="str">
        <f t="shared" si="6"/>
        <v>#REF!</v>
      </c>
      <c r="AO8" s="281">
        <f>sumif(Standings!$E$6:$E$117,$K$5,Standings!$O$6:$O$117)/16</f>
        <v>0</v>
      </c>
      <c r="AP8" s="1"/>
    </row>
    <row r="9">
      <c r="A9" s="256"/>
      <c r="B9" s="257"/>
      <c r="C9" s="258"/>
      <c r="D9" s="259"/>
      <c r="E9" s="260"/>
      <c r="F9" s="261"/>
      <c r="G9" s="262"/>
      <c r="H9" s="261"/>
      <c r="I9" s="263"/>
      <c r="J9" s="260"/>
      <c r="K9" s="264"/>
      <c r="L9" s="265"/>
      <c r="M9" s="264"/>
      <c r="N9" s="266"/>
      <c r="O9" s="260"/>
      <c r="P9" s="267"/>
      <c r="Q9" s="268"/>
      <c r="R9" s="267"/>
      <c r="S9" s="269"/>
      <c r="T9" s="260"/>
      <c r="U9" s="270"/>
      <c r="V9" s="272"/>
      <c r="W9" s="270"/>
      <c r="X9" s="273"/>
      <c r="Y9" s="19"/>
      <c r="Z9" s="282" t="s">
        <v>769</v>
      </c>
      <c r="AA9" s="283">
        <f>sumif('Player Database'!$AE$2:$AE57, Z9, 'Player Database'!$H$2:$H57) - AH9</f>
        <v>0</v>
      </c>
      <c r="AB9" s="283">
        <f>sumif('Player Database'!$AE$2:$AE57, Z9, 'Player Database'!$I$2:$I57)</f>
        <v>0</v>
      </c>
      <c r="AC9" s="283">
        <f t="shared" si="1"/>
        <v>0</v>
      </c>
      <c r="AD9" s="284" t="str">
        <f t="shared" si="2"/>
        <v>#DIV/0!</v>
      </c>
      <c r="AE9" s="283">
        <f>sumif(Standings!$G$5:$G$242,"Silverquill",Standings!$I$5:$I$242)</f>
        <v>0</v>
      </c>
      <c r="AF9" s="283">
        <f t="shared" si="3"/>
        <v>48</v>
      </c>
      <c r="AG9" s="283">
        <f>COUNTIFS(Standings!$G$5:$G$242,"Silverquill",Standings!$L$5:$L$242,"Eliminated")</f>
        <v>0</v>
      </c>
      <c r="AH9" s="283">
        <f>sumif('Player Database'!$AE$2:$AE57, Z9, 'Player Database'!$L$2:$L57)</f>
        <v>0</v>
      </c>
      <c r="AJ9" s="285" t="str">
        <f>sumif(Standings!$E$6:$E$117,$P$5,Standings!$J$6:$J$117)-AN9</f>
        <v>#REF!</v>
      </c>
      <c r="AK9" s="285">
        <f>sumif(Standings!$E$6:$E$117,$P$5,Standings!$G$6:$G$117)</f>
        <v>0</v>
      </c>
      <c r="AL9" s="285" t="str">
        <f t="shared" si="4"/>
        <v>#REF!</v>
      </c>
      <c r="AM9" s="285" t="str">
        <f t="shared" si="5"/>
        <v>#REF!</v>
      </c>
      <c r="AN9" s="285" t="str">
        <f t="shared" si="6"/>
        <v>#REF!</v>
      </c>
      <c r="AO9" s="285">
        <f>sumif(Standings!$E$6:$E$117,$P$5,Standings!$O$6:$O$117)/16</f>
        <v>0</v>
      </c>
      <c r="AP9" s="1"/>
    </row>
    <row r="10">
      <c r="A10" s="256"/>
      <c r="B10" s="257"/>
      <c r="C10" s="258"/>
      <c r="D10" s="259"/>
      <c r="E10" s="260"/>
      <c r="F10" s="261"/>
      <c r="G10" s="262"/>
      <c r="H10" s="261"/>
      <c r="I10" s="263"/>
      <c r="J10" s="260"/>
      <c r="K10" s="264"/>
      <c r="L10" s="265"/>
      <c r="M10" s="264"/>
      <c r="N10" s="266"/>
      <c r="O10" s="260"/>
      <c r="P10" s="267"/>
      <c r="Q10" s="268"/>
      <c r="R10" s="267"/>
      <c r="S10" s="269"/>
      <c r="T10" s="260"/>
      <c r="U10" s="270"/>
      <c r="V10" s="272"/>
      <c r="W10" s="270"/>
      <c r="X10" s="273"/>
      <c r="Y10" s="19"/>
      <c r="Z10" s="286" t="s">
        <v>770</v>
      </c>
      <c r="AA10" s="287">
        <f>sumif('Player Database'!$AE$2:$AE57, Z10, 'Player Database'!$H$2:$H57) - AH10</f>
        <v>0</v>
      </c>
      <c r="AB10" s="287">
        <f>sumif('Player Database'!$AE$2:$AE57, Z10, 'Player Database'!$I$2:$I57)</f>
        <v>0</v>
      </c>
      <c r="AC10" s="287">
        <f t="shared" si="1"/>
        <v>0</v>
      </c>
      <c r="AD10" s="288" t="str">
        <f t="shared" si="2"/>
        <v>#DIV/0!</v>
      </c>
      <c r="AE10" s="287">
        <f>sumif(Standings!$G$5:$G$242,"Witherbloom",Standings!$I$5:$I$242)</f>
        <v>0</v>
      </c>
      <c r="AF10" s="287">
        <f>47-AG10</f>
        <v>47</v>
      </c>
      <c r="AG10" s="287">
        <f>COUNTIFS(Standings!$G$5:$G$242,"Witherbloom",Standings!$L$5:$L$242,"Eliminated")</f>
        <v>0</v>
      </c>
      <c r="AH10" s="287">
        <f>sumif('Player Database'!$AE$2:$AE57, Z10, 'Player Database'!$L$2:$L57)</f>
        <v>0</v>
      </c>
      <c r="AJ10" s="289" t="str">
        <f>sumif(Standings!$E$6:$E$117,$U$5,Standings!$J$6:$J$117)-AN10</f>
        <v>#REF!</v>
      </c>
      <c r="AK10" s="289">
        <f>sumif(Standings!$E$6:$E$117,$U$5,Standings!$G$6:$G$117)</f>
        <v>0</v>
      </c>
      <c r="AL10" s="289" t="str">
        <f t="shared" si="4"/>
        <v>#REF!</v>
      </c>
      <c r="AM10" s="289" t="str">
        <f t="shared" si="5"/>
        <v>#REF!</v>
      </c>
      <c r="AN10" s="289" t="str">
        <f t="shared" si="6"/>
        <v>#REF!</v>
      </c>
      <c r="AO10" s="289">
        <f>sumif(Standings!$E$6:$E$117,$U$5,Standings!$O$6:$O$117)/16</f>
        <v>0</v>
      </c>
      <c r="AP10" s="1"/>
    </row>
    <row r="11">
      <c r="A11" s="256"/>
      <c r="B11" s="257"/>
      <c r="C11" s="258"/>
      <c r="D11" s="259"/>
      <c r="E11" s="260"/>
      <c r="F11" s="261"/>
      <c r="G11" s="262"/>
      <c r="H11" s="261"/>
      <c r="I11" s="263"/>
      <c r="J11" s="260"/>
      <c r="K11" s="264"/>
      <c r="L11" s="265"/>
      <c r="M11" s="264"/>
      <c r="N11" s="266"/>
      <c r="O11" s="260"/>
      <c r="P11" s="267"/>
      <c r="Q11" s="268"/>
      <c r="R11" s="267"/>
      <c r="S11" s="269"/>
      <c r="T11" s="260"/>
      <c r="U11" s="270"/>
      <c r="V11" s="272"/>
      <c r="W11" s="270"/>
      <c r="X11" s="273"/>
      <c r="Y11" s="1"/>
      <c r="Z11" s="290"/>
      <c r="AA11" s="291" t="s">
        <v>905</v>
      </c>
      <c r="AB11" s="4"/>
      <c r="AC11" s="4"/>
      <c r="AD11" s="4"/>
      <c r="AE11" s="4"/>
      <c r="AF11" s="4"/>
      <c r="AG11" s="4"/>
      <c r="AH11" s="4"/>
      <c r="AI11" s="1"/>
      <c r="AJ11" s="1"/>
      <c r="AK11" s="292" t="s">
        <v>908</v>
      </c>
      <c r="AL11" s="1"/>
      <c r="AM11" s="1"/>
      <c r="AN11" s="1"/>
      <c r="AO11" s="1"/>
      <c r="AP11" s="1"/>
      <c r="AQ11" s="1"/>
    </row>
    <row r="12">
      <c r="A12" s="256"/>
      <c r="B12" s="257"/>
      <c r="C12" s="258"/>
      <c r="D12" s="259"/>
      <c r="E12" s="260"/>
      <c r="F12" s="261"/>
      <c r="G12" s="262"/>
      <c r="H12" s="261"/>
      <c r="I12" s="263"/>
      <c r="J12" s="260"/>
      <c r="K12" s="264"/>
      <c r="L12" s="265"/>
      <c r="M12" s="264"/>
      <c r="N12" s="266"/>
      <c r="O12" s="260"/>
      <c r="P12" s="267"/>
      <c r="Q12" s="268"/>
      <c r="R12" s="267"/>
      <c r="S12" s="269"/>
      <c r="T12" s="260"/>
      <c r="U12" s="270"/>
      <c r="V12" s="272"/>
      <c r="W12" s="270"/>
      <c r="X12" s="273"/>
      <c r="Y12" s="1"/>
      <c r="Z12" s="4"/>
      <c r="AA12" s="4"/>
      <c r="AB12" s="4"/>
      <c r="AC12" s="4"/>
      <c r="AD12" s="4"/>
      <c r="AE12" s="4"/>
      <c r="AF12" s="4"/>
      <c r="AG12" s="4"/>
      <c r="AH12" s="4"/>
      <c r="AI12" s="1"/>
      <c r="AJ12" s="1"/>
      <c r="AK12" s="17"/>
      <c r="AL12" s="17"/>
      <c r="AM12" s="17"/>
      <c r="AN12" s="17"/>
      <c r="AO12" s="17"/>
      <c r="AP12" s="1"/>
      <c r="AQ12" s="1"/>
    </row>
    <row r="13">
      <c r="A13" s="256"/>
      <c r="B13" s="257"/>
      <c r="C13" s="258"/>
      <c r="D13" s="259"/>
      <c r="E13" s="260"/>
      <c r="F13" s="261"/>
      <c r="G13" s="262"/>
      <c r="H13" s="261"/>
      <c r="I13" s="263"/>
      <c r="J13" s="260"/>
      <c r="K13" s="264"/>
      <c r="L13" s="265"/>
      <c r="M13" s="264"/>
      <c r="N13" s="266"/>
      <c r="O13" s="260"/>
      <c r="P13" s="267"/>
      <c r="Q13" s="268"/>
      <c r="R13" s="267"/>
      <c r="S13" s="269"/>
      <c r="T13" s="260"/>
      <c r="U13" s="270"/>
      <c r="V13" s="272"/>
      <c r="W13" s="270"/>
      <c r="X13" s="273"/>
      <c r="Y13" s="1"/>
      <c r="Z13" s="293" t="s">
        <v>909</v>
      </c>
      <c r="AA13" s="164"/>
      <c r="AB13" s="164"/>
      <c r="AC13" s="164"/>
      <c r="AD13" s="164"/>
      <c r="AE13" s="164"/>
      <c r="AF13" s="78"/>
      <c r="AG13" s="294"/>
      <c r="AH13" s="4"/>
      <c r="AI13" s="1"/>
      <c r="AJ13" s="1"/>
      <c r="AK13" s="237" t="s">
        <v>910</v>
      </c>
      <c r="AL13" s="164"/>
      <c r="AM13" s="164"/>
      <c r="AN13" s="164"/>
      <c r="AO13" s="78"/>
      <c r="AP13" s="1"/>
      <c r="AQ13" s="1"/>
    </row>
    <row r="14">
      <c r="A14" s="256"/>
      <c r="B14" s="257"/>
      <c r="C14" s="258"/>
      <c r="D14" s="259"/>
      <c r="E14" s="260"/>
      <c r="F14" s="261"/>
      <c r="G14" s="262"/>
      <c r="H14" s="261"/>
      <c r="I14" s="263"/>
      <c r="J14" s="260"/>
      <c r="K14" s="264"/>
      <c r="L14" s="265"/>
      <c r="M14" s="264"/>
      <c r="N14" s="266"/>
      <c r="O14" s="260"/>
      <c r="P14" s="267"/>
      <c r="Q14" s="268"/>
      <c r="R14" s="267"/>
      <c r="S14" s="269"/>
      <c r="T14" s="260"/>
      <c r="U14" s="270"/>
      <c r="V14" s="272"/>
      <c r="W14" s="270"/>
      <c r="X14" s="273"/>
      <c r="Y14" s="1"/>
      <c r="Z14" s="295" t="s">
        <v>13</v>
      </c>
      <c r="AA14" s="296" t="s">
        <v>760</v>
      </c>
      <c r="AB14" s="296" t="s">
        <v>764</v>
      </c>
      <c r="AC14" s="296" t="s">
        <v>765</v>
      </c>
      <c r="AD14" s="296" t="s">
        <v>769</v>
      </c>
      <c r="AE14" s="296" t="s">
        <v>770</v>
      </c>
      <c r="AF14" s="297" t="s">
        <v>911</v>
      </c>
      <c r="AG14" s="294"/>
      <c r="AH14" s="4"/>
      <c r="AI14" s="1"/>
      <c r="AJ14" s="1"/>
      <c r="AK14" s="298" t="s">
        <v>912</v>
      </c>
      <c r="AL14" s="298" t="s">
        <v>913</v>
      </c>
      <c r="AM14" s="298" t="s">
        <v>914</v>
      </c>
      <c r="AN14" s="298" t="s">
        <v>915</v>
      </c>
      <c r="AO14" s="298" t="s">
        <v>916</v>
      </c>
      <c r="AP14" s="1"/>
      <c r="AQ14" s="1"/>
    </row>
    <row r="15">
      <c r="A15" s="256"/>
      <c r="B15" s="257"/>
      <c r="C15" s="258"/>
      <c r="D15" s="259"/>
      <c r="E15" s="260"/>
      <c r="F15" s="261"/>
      <c r="G15" s="262"/>
      <c r="H15" s="261"/>
      <c r="I15" s="263"/>
      <c r="J15" s="260"/>
      <c r="K15" s="264"/>
      <c r="L15" s="265"/>
      <c r="M15" s="264"/>
      <c r="N15" s="266"/>
      <c r="O15" s="260"/>
      <c r="P15" s="267"/>
      <c r="Q15" s="268"/>
      <c r="R15" s="267"/>
      <c r="S15" s="269"/>
      <c r="T15" s="260"/>
      <c r="U15" s="270"/>
      <c r="V15" s="272"/>
      <c r="W15" s="270"/>
      <c r="X15" s="273"/>
      <c r="Y15" s="1"/>
      <c r="Z15" s="252" t="s">
        <v>760</v>
      </c>
      <c r="AA15" s="253">
        <f>COUNTIFS(Matches!$H$1:$H57,$Z15,Matches!$I$1:$I57,AA$14)</f>
        <v>0</v>
      </c>
      <c r="AB15" s="253">
        <f>COUNTIFS(Matches!$H$1:$H57,$Z15,Matches!$I$1:$I57,AB$14)</f>
        <v>0</v>
      </c>
      <c r="AC15" s="253">
        <f>COUNTIFS(Matches!$H$1:$H57,$Z15,Matches!$I$1:$I57,AC$14)</f>
        <v>0</v>
      </c>
      <c r="AD15" s="253">
        <f>COUNTIFS(Matches!$H$1:$H57,$Z15,Matches!$I$1:$I57,AD$14)</f>
        <v>0</v>
      </c>
      <c r="AE15" s="253">
        <f>COUNTIFS(Matches!$H$1:$H57,$Z15,Matches!$I$1:$I57,AE$14)</f>
        <v>0</v>
      </c>
      <c r="AF15" s="253">
        <f t="shared" ref="AF15:AF19" si="8">SUM(AA15:AE15)</f>
        <v>0</v>
      </c>
      <c r="AG15" s="294"/>
      <c r="AH15" s="4"/>
      <c r="AI15" s="1"/>
      <c r="AJ15" s="1"/>
      <c r="AK15" s="255" t="str">
        <f>iferror(#REF!/(#REF!+#REF!),"N/A")</f>
        <v>N/A</v>
      </c>
      <c r="AL15" s="255" t="str">
        <f t="shared" ref="AL15:AO15" si="7">#REF!/(#REF!+#REF!)</f>
        <v>#REF!</v>
      </c>
      <c r="AM15" s="255" t="str">
        <f t="shared" si="7"/>
        <v>#REF!</v>
      </c>
      <c r="AN15" s="255" t="str">
        <f t="shared" si="7"/>
        <v>#REF!</v>
      </c>
      <c r="AO15" s="255" t="str">
        <f t="shared" si="7"/>
        <v>#REF!</v>
      </c>
      <c r="AP15" s="1"/>
      <c r="AQ15" s="1"/>
    </row>
    <row r="16">
      <c r="A16" s="256"/>
      <c r="B16" s="257"/>
      <c r="C16" s="258"/>
      <c r="D16" s="259"/>
      <c r="E16" s="260"/>
      <c r="F16" s="261"/>
      <c r="G16" s="262"/>
      <c r="H16" s="261"/>
      <c r="I16" s="263"/>
      <c r="J16" s="260"/>
      <c r="K16" s="264"/>
      <c r="L16" s="265"/>
      <c r="M16" s="264"/>
      <c r="N16" s="266"/>
      <c r="O16" s="260"/>
      <c r="P16" s="267"/>
      <c r="Q16" s="268"/>
      <c r="R16" s="267"/>
      <c r="S16" s="269"/>
      <c r="T16" s="260"/>
      <c r="U16" s="270"/>
      <c r="V16" s="272"/>
      <c r="W16" s="270"/>
      <c r="X16" s="273"/>
      <c r="Y16" s="1"/>
      <c r="Z16" s="274" t="s">
        <v>764</v>
      </c>
      <c r="AA16" s="275">
        <f>COUNTIFS(Matches!$H$1:$H57,$Z16,Matches!$I$1:$I57,AA$14)</f>
        <v>0</v>
      </c>
      <c r="AB16" s="275">
        <f>COUNTIFS(Matches!$H$1:$H57,$Z16,Matches!$I$1:$I57,AB$14)</f>
        <v>0</v>
      </c>
      <c r="AC16" s="275">
        <f>COUNTIFS(Matches!$H$1:$H57,$Z16,Matches!$I$1:$I57,AC$14)</f>
        <v>0</v>
      </c>
      <c r="AD16" s="275">
        <f>COUNTIFS(Matches!$H$1:$H57,$Z16,Matches!$I$1:$I57,AD$14)</f>
        <v>0</v>
      </c>
      <c r="AE16" s="275">
        <f>COUNTIFS(Matches!$H$1:$H57,$Z16,Matches!$I$1:$I57,AE$14)</f>
        <v>0</v>
      </c>
      <c r="AF16" s="275">
        <f t="shared" si="8"/>
        <v>0</v>
      </c>
      <c r="AG16" s="294"/>
      <c r="AH16" s="4"/>
      <c r="AI16" s="1"/>
      <c r="AJ16" s="1"/>
      <c r="AK16" s="277" t="str">
        <f t="shared" ref="AK16:AK19" si="10">#REF!/(#REF!+#REF!)</f>
        <v>#REF!</v>
      </c>
      <c r="AL16" s="277" t="str">
        <f>iferror(#REF!/(#REF!+#REF!),"N/A")</f>
        <v>N/A</v>
      </c>
      <c r="AM16" s="277" t="str">
        <f t="shared" ref="AM16:AO16" si="9">#REF!/(#REF!+#REF!)</f>
        <v>#REF!</v>
      </c>
      <c r="AN16" s="277" t="str">
        <f t="shared" si="9"/>
        <v>#REF!</v>
      </c>
      <c r="AO16" s="277" t="str">
        <f t="shared" si="9"/>
        <v>#REF!</v>
      </c>
      <c r="AP16" s="1"/>
      <c r="AQ16" s="1"/>
    </row>
    <row r="17">
      <c r="A17" s="256"/>
      <c r="B17" s="257"/>
      <c r="C17" s="258"/>
      <c r="D17" s="259"/>
      <c r="E17" s="260"/>
      <c r="F17" s="261"/>
      <c r="G17" s="262"/>
      <c r="H17" s="261"/>
      <c r="I17" s="263"/>
      <c r="J17" s="260"/>
      <c r="K17" s="264"/>
      <c r="L17" s="265"/>
      <c r="M17" s="264"/>
      <c r="N17" s="266"/>
      <c r="O17" s="260"/>
      <c r="P17" s="267"/>
      <c r="Q17" s="268"/>
      <c r="R17" s="267"/>
      <c r="S17" s="269"/>
      <c r="T17" s="260"/>
      <c r="U17" s="270"/>
      <c r="V17" s="272"/>
      <c r="W17" s="270"/>
      <c r="X17" s="273"/>
      <c r="Y17" s="1"/>
      <c r="Z17" s="278" t="s">
        <v>765</v>
      </c>
      <c r="AA17" s="279">
        <f>COUNTIFS(Matches!$H$1:$H57,$Z17,Matches!$I$1:$I57,AA$14)</f>
        <v>0</v>
      </c>
      <c r="AB17" s="279">
        <f>COUNTIFS(Matches!$H$1:$H57,$Z17,Matches!$I$1:$I57,AB$14)</f>
        <v>0</v>
      </c>
      <c r="AC17" s="279">
        <f>COUNTIFS(Matches!$H$1:$H57,$Z17,Matches!$I$1:$I57,AC$14)</f>
        <v>0</v>
      </c>
      <c r="AD17" s="279">
        <f>COUNTIFS(Matches!$H$1:$H57,$Z17,Matches!$I$1:$I57,AD$14)</f>
        <v>0</v>
      </c>
      <c r="AE17" s="279">
        <f>COUNTIFS(Matches!$H$1:$H57,$Z17,Matches!$I$1:$I57,AE$14)</f>
        <v>0</v>
      </c>
      <c r="AF17" s="279">
        <f t="shared" si="8"/>
        <v>0</v>
      </c>
      <c r="AG17" s="294"/>
      <c r="AH17" s="294"/>
      <c r="AJ17" s="1"/>
      <c r="AK17" s="281" t="str">
        <f t="shared" si="10"/>
        <v>#REF!</v>
      </c>
      <c r="AL17" s="281" t="str">
        <f t="shared" ref="AL17:AL19" si="12">#REF!/(#REF!+#REF!)</f>
        <v>#REF!</v>
      </c>
      <c r="AM17" s="281" t="str">
        <f>iferror(#REF!/(#REF!+#REF!),"N/A")</f>
        <v>N/A</v>
      </c>
      <c r="AN17" s="281" t="str">
        <f t="shared" ref="AN17:AO17" si="11">#REF!/(#REF!+#REF!)</f>
        <v>#REF!</v>
      </c>
      <c r="AO17" s="281" t="str">
        <f t="shared" si="11"/>
        <v>#REF!</v>
      </c>
      <c r="AP17" s="1"/>
      <c r="AQ17" s="1"/>
    </row>
    <row r="18">
      <c r="A18" s="256"/>
      <c r="B18" s="257"/>
      <c r="C18" s="258"/>
      <c r="D18" s="259"/>
      <c r="E18" s="260"/>
      <c r="F18" s="261"/>
      <c r="G18" s="262"/>
      <c r="H18" s="261"/>
      <c r="I18" s="263"/>
      <c r="J18" s="260"/>
      <c r="K18" s="264"/>
      <c r="L18" s="265"/>
      <c r="M18" s="264"/>
      <c r="N18" s="266"/>
      <c r="O18" s="260"/>
      <c r="P18" s="267"/>
      <c r="Q18" s="268"/>
      <c r="R18" s="267"/>
      <c r="S18" s="269"/>
      <c r="T18" s="260"/>
      <c r="U18" s="270"/>
      <c r="V18" s="272"/>
      <c r="W18" s="270"/>
      <c r="X18" s="273"/>
      <c r="Y18" s="1"/>
      <c r="Z18" s="282" t="s">
        <v>769</v>
      </c>
      <c r="AA18" s="283">
        <f>COUNTIFS(Matches!$H$1:$H57,$Z18,Matches!$I$1:$I57,AA$14)</f>
        <v>0</v>
      </c>
      <c r="AB18" s="283">
        <f>COUNTIFS(Matches!$H$1:$H57,$Z18,Matches!$I$1:$I57,AB$14)</f>
        <v>0</v>
      </c>
      <c r="AC18" s="283">
        <f>COUNTIFS(Matches!$H$1:$H57,$Z18,Matches!$I$1:$I57,AC$14)</f>
        <v>0</v>
      </c>
      <c r="AD18" s="283">
        <f>COUNTIFS(Matches!$H$1:$H57,$Z18,Matches!$I$1:$I57,AD$14)</f>
        <v>0</v>
      </c>
      <c r="AE18" s="283">
        <f>COUNTIFS(Matches!$H$1:$H57,$Z18,Matches!$I$1:$I57,AE$14)</f>
        <v>0</v>
      </c>
      <c r="AF18" s="283">
        <f t="shared" si="8"/>
        <v>0</v>
      </c>
      <c r="AG18" s="294"/>
      <c r="AH18" s="294"/>
      <c r="AJ18" s="1"/>
      <c r="AK18" s="285" t="str">
        <f t="shared" si="10"/>
        <v>#REF!</v>
      </c>
      <c r="AL18" s="285" t="str">
        <f t="shared" si="12"/>
        <v>#REF!</v>
      </c>
      <c r="AM18" s="285" t="str">
        <f t="shared" ref="AM18:AM19" si="13">#REF!/(#REF!+#REF!)</f>
        <v>#REF!</v>
      </c>
      <c r="AN18" s="285" t="str">
        <f>iferror(#REF!/(#REF!+#REF!),"N/A")</f>
        <v>N/A</v>
      </c>
      <c r="AO18" s="285" t="str">
        <f>#REF!/(#REF!+#REF!)</f>
        <v>#REF!</v>
      </c>
      <c r="AP18" s="1"/>
      <c r="AQ18" s="1"/>
    </row>
    <row r="19">
      <c r="A19" s="256"/>
      <c r="B19" s="257"/>
      <c r="C19" s="258"/>
      <c r="D19" s="259"/>
      <c r="E19" s="260"/>
      <c r="F19" s="261"/>
      <c r="G19" s="262"/>
      <c r="H19" s="261"/>
      <c r="I19" s="263"/>
      <c r="J19" s="260"/>
      <c r="K19" s="264"/>
      <c r="L19" s="265"/>
      <c r="M19" s="264"/>
      <c r="N19" s="266"/>
      <c r="O19" s="260"/>
      <c r="P19" s="267"/>
      <c r="Q19" s="268"/>
      <c r="R19" s="267"/>
      <c r="S19" s="269"/>
      <c r="T19" s="260"/>
      <c r="U19" s="270"/>
      <c r="V19" s="272"/>
      <c r="W19" s="270"/>
      <c r="X19" s="273"/>
      <c r="Y19" s="1"/>
      <c r="Z19" s="286" t="s">
        <v>770</v>
      </c>
      <c r="AA19" s="287">
        <f>COUNTIFS(Matches!$H$1:$H57,$Z19,Matches!$I$1:$I57,AA$14)</f>
        <v>0</v>
      </c>
      <c r="AB19" s="287">
        <f>COUNTIFS(Matches!$H$1:$H57,$Z19,Matches!$I$1:$I57,AB$14)</f>
        <v>0</v>
      </c>
      <c r="AC19" s="287">
        <f>COUNTIFS(Matches!$H$1:$H57,$Z19,Matches!$I$1:$I57,AC$14)</f>
        <v>0</v>
      </c>
      <c r="AD19" s="287">
        <f>COUNTIFS(Matches!$H$1:$H57,$Z19,Matches!$I$1:$I57,AD$14)</f>
        <v>0</v>
      </c>
      <c r="AE19" s="287">
        <f>COUNTIFS(Matches!$H$1:$H57,$Z19,Matches!$I$1:$I57,AE$14)</f>
        <v>0</v>
      </c>
      <c r="AF19" s="287">
        <f t="shared" si="8"/>
        <v>0</v>
      </c>
      <c r="AG19" s="294"/>
      <c r="AH19" s="294"/>
      <c r="AJ19" s="1"/>
      <c r="AK19" s="289" t="str">
        <f t="shared" si="10"/>
        <v>#REF!</v>
      </c>
      <c r="AL19" s="289" t="str">
        <f t="shared" si="12"/>
        <v>#REF!</v>
      </c>
      <c r="AM19" s="289" t="str">
        <f t="shared" si="13"/>
        <v>#REF!</v>
      </c>
      <c r="AN19" s="289" t="str">
        <f>#REF!/(#REF!+#REF!)</f>
        <v>#REF!</v>
      </c>
      <c r="AO19" s="289" t="str">
        <f>iferror(#REF!/(#REF!+#REF!),"N/A")</f>
        <v>N/A</v>
      </c>
      <c r="AP19" s="1"/>
      <c r="AQ19" s="1"/>
    </row>
    <row r="20">
      <c r="A20" s="256"/>
      <c r="B20" s="257"/>
      <c r="C20" s="258"/>
      <c r="D20" s="259"/>
      <c r="E20" s="260"/>
      <c r="F20" s="261"/>
      <c r="G20" s="262"/>
      <c r="H20" s="261"/>
      <c r="I20" s="263"/>
      <c r="J20" s="260"/>
      <c r="K20" s="264"/>
      <c r="L20" s="265"/>
      <c r="M20" s="264"/>
      <c r="N20" s="266"/>
      <c r="O20" s="260"/>
      <c r="P20" s="267"/>
      <c r="Q20" s="268"/>
      <c r="R20" s="267"/>
      <c r="S20" s="269"/>
      <c r="T20" s="260"/>
      <c r="U20" s="270"/>
      <c r="V20" s="272"/>
      <c r="W20" s="270"/>
      <c r="X20" s="273"/>
      <c r="Y20" s="1"/>
      <c r="Z20" s="299" t="s">
        <v>911</v>
      </c>
      <c r="AA20" s="299">
        <f t="shared" ref="AA20:AF20" si="14">SUM(AA15:AA19)</f>
        <v>0</v>
      </c>
      <c r="AB20" s="299">
        <f t="shared" si="14"/>
        <v>0</v>
      </c>
      <c r="AC20" s="299">
        <f t="shared" si="14"/>
        <v>0</v>
      </c>
      <c r="AD20" s="299">
        <f t="shared" si="14"/>
        <v>0</v>
      </c>
      <c r="AE20" s="299">
        <f t="shared" si="14"/>
        <v>0</v>
      </c>
      <c r="AF20" s="299">
        <f t="shared" si="14"/>
        <v>0</v>
      </c>
      <c r="AG20" s="294"/>
      <c r="AH20" s="300"/>
      <c r="AI20" s="301"/>
      <c r="AJ20" s="1"/>
      <c r="AK20" s="290" t="s">
        <v>927</v>
      </c>
      <c r="AL20" s="1"/>
      <c r="AM20" s="1"/>
      <c r="AN20" s="1"/>
      <c r="AO20" s="1"/>
      <c r="AP20" s="1"/>
      <c r="AQ20" s="1"/>
    </row>
    <row r="21">
      <c r="A21" s="256"/>
      <c r="B21" s="257"/>
      <c r="C21" s="258"/>
      <c r="D21" s="259"/>
      <c r="E21" s="260"/>
      <c r="F21" s="261"/>
      <c r="G21" s="262"/>
      <c r="H21" s="261"/>
      <c r="I21" s="263"/>
      <c r="J21" s="260"/>
      <c r="K21" s="264"/>
      <c r="L21" s="265"/>
      <c r="M21" s="264"/>
      <c r="N21" s="266"/>
      <c r="O21" s="260"/>
      <c r="P21" s="267"/>
      <c r="Q21" s="268"/>
      <c r="R21" s="267"/>
      <c r="S21" s="269"/>
      <c r="T21" s="260"/>
      <c r="U21" s="270"/>
      <c r="V21" s="272"/>
      <c r="W21" s="270"/>
      <c r="X21" s="273"/>
      <c r="Y21" s="1"/>
      <c r="Z21" s="300"/>
      <c r="AA21" s="300"/>
      <c r="AB21" s="300"/>
      <c r="AC21" s="300"/>
      <c r="AD21" s="300"/>
      <c r="AE21" s="300"/>
      <c r="AF21" s="300"/>
      <c r="AG21" s="300"/>
      <c r="AH21" s="300"/>
      <c r="AI21" s="301"/>
      <c r="AJ21" s="1"/>
      <c r="AK21" s="292"/>
      <c r="AL21" s="1"/>
      <c r="AM21" s="1"/>
      <c r="AN21" s="1"/>
      <c r="AO21" s="1"/>
      <c r="AP21" s="1"/>
      <c r="AQ21" s="1"/>
    </row>
    <row r="22">
      <c r="A22" s="256"/>
      <c r="B22" s="257"/>
      <c r="C22" s="258"/>
      <c r="D22" s="259"/>
      <c r="E22" s="260"/>
      <c r="F22" s="261"/>
      <c r="G22" s="262"/>
      <c r="H22" s="261"/>
      <c r="I22" s="263"/>
      <c r="J22" s="260"/>
      <c r="K22" s="264"/>
      <c r="L22" s="265"/>
      <c r="M22" s="264"/>
      <c r="N22" s="266"/>
      <c r="O22" s="260"/>
      <c r="P22" s="267"/>
      <c r="Q22" s="268"/>
      <c r="R22" s="267"/>
      <c r="S22" s="269"/>
      <c r="T22" s="260"/>
      <c r="U22" s="270"/>
      <c r="V22" s="272"/>
      <c r="W22" s="270"/>
      <c r="X22" s="273"/>
      <c r="Y22" s="1"/>
      <c r="Z22" s="294"/>
      <c r="AA22" s="294"/>
      <c r="AB22" s="294"/>
      <c r="AC22" s="294"/>
      <c r="AD22" s="294"/>
      <c r="AE22" s="294"/>
      <c r="AF22" s="294"/>
      <c r="AG22" s="294"/>
      <c r="AH22" s="294"/>
      <c r="AJ22" s="1"/>
      <c r="AK22" s="292"/>
      <c r="AL22" s="1"/>
      <c r="AM22" s="1"/>
      <c r="AN22" s="1"/>
      <c r="AO22" s="1"/>
      <c r="AP22" s="1"/>
      <c r="AQ22" s="1"/>
    </row>
    <row r="23">
      <c r="A23" s="256"/>
      <c r="B23" s="257"/>
      <c r="C23" s="258"/>
      <c r="D23" s="259"/>
      <c r="E23" s="260"/>
      <c r="F23" s="261"/>
      <c r="G23" s="262"/>
      <c r="H23" s="261"/>
      <c r="I23" s="263"/>
      <c r="J23" s="260"/>
      <c r="K23" s="264"/>
      <c r="L23" s="265"/>
      <c r="M23" s="264"/>
      <c r="N23" s="266"/>
      <c r="O23" s="260"/>
      <c r="P23" s="267"/>
      <c r="Q23" s="268"/>
      <c r="R23" s="267"/>
      <c r="S23" s="269"/>
      <c r="T23" s="260"/>
      <c r="U23" s="270"/>
      <c r="V23" s="272"/>
      <c r="W23" s="270"/>
      <c r="X23" s="273"/>
      <c r="Y23" s="1"/>
      <c r="Z23" s="293" t="s">
        <v>928</v>
      </c>
      <c r="AA23" s="164"/>
      <c r="AB23" s="164"/>
      <c r="AC23" s="164"/>
      <c r="AD23" s="164"/>
      <c r="AE23" s="164"/>
      <c r="AF23" s="78"/>
      <c r="AG23" s="294"/>
      <c r="AH23" s="294"/>
      <c r="AJ23" s="1"/>
      <c r="AK23" s="1"/>
      <c r="AL23" s="1"/>
      <c r="AM23" s="1"/>
      <c r="AN23" s="1"/>
      <c r="AO23" s="1"/>
      <c r="AP23" s="1"/>
      <c r="AQ23" s="1"/>
    </row>
    <row r="24">
      <c r="A24" s="302"/>
      <c r="B24" s="303"/>
      <c r="C24" s="302"/>
      <c r="D24" s="259"/>
      <c r="E24" s="4"/>
      <c r="F24" s="304"/>
      <c r="G24" s="305"/>
      <c r="H24" s="304"/>
      <c r="I24" s="263"/>
      <c r="J24" s="4"/>
      <c r="K24" s="306"/>
      <c r="L24" s="307"/>
      <c r="M24" s="306"/>
      <c r="N24" s="266"/>
      <c r="O24" s="4"/>
      <c r="P24" s="308"/>
      <c r="Q24" s="309"/>
      <c r="R24" s="308"/>
      <c r="S24" s="269"/>
      <c r="T24" s="4"/>
      <c r="U24" s="310"/>
      <c r="V24" s="311"/>
      <c r="W24" s="310"/>
      <c r="X24" s="273"/>
      <c r="Y24" s="1"/>
      <c r="Z24" s="295" t="s">
        <v>13</v>
      </c>
      <c r="AA24" s="296" t="s">
        <v>760</v>
      </c>
      <c r="AB24" s="296" t="s">
        <v>764</v>
      </c>
      <c r="AC24" s="296" t="s">
        <v>765</v>
      </c>
      <c r="AD24" s="296" t="s">
        <v>769</v>
      </c>
      <c r="AE24" s="296" t="s">
        <v>770</v>
      </c>
      <c r="AF24" s="297" t="s">
        <v>911</v>
      </c>
      <c r="AG24" s="294"/>
      <c r="AH24" s="294"/>
      <c r="AJ24" s="1"/>
      <c r="AK24" s="1"/>
      <c r="AL24" s="1"/>
      <c r="AM24" s="1"/>
      <c r="AN24" s="1"/>
      <c r="AO24" s="1"/>
      <c r="AP24" s="1"/>
      <c r="AQ24" s="1"/>
    </row>
    <row r="25">
      <c r="A25" s="302"/>
      <c r="B25" s="303"/>
      <c r="C25" s="302"/>
      <c r="D25" s="259"/>
      <c r="E25" s="4"/>
      <c r="F25" s="304"/>
      <c r="G25" s="305"/>
      <c r="H25" s="304"/>
      <c r="I25" s="263"/>
      <c r="J25" s="4"/>
      <c r="K25" s="306"/>
      <c r="L25" s="307"/>
      <c r="M25" s="306"/>
      <c r="N25" s="266"/>
      <c r="O25" s="4"/>
      <c r="P25" s="308"/>
      <c r="Q25" s="309"/>
      <c r="R25" s="308"/>
      <c r="S25" s="269"/>
      <c r="T25" s="4"/>
      <c r="U25" s="310"/>
      <c r="V25" s="311"/>
      <c r="W25" s="310"/>
      <c r="X25" s="273"/>
      <c r="Y25" s="1"/>
      <c r="Z25" s="252" t="s">
        <v>760</v>
      </c>
      <c r="AA25" s="254" t="str">
        <f>if(AA15=0, "N/A", AA15/(AA15+AA15))</f>
        <v>N/A</v>
      </c>
      <c r="AB25" s="254" t="str">
        <f>AB15/(AA16+AB15)</f>
        <v>#DIV/0!</v>
      </c>
      <c r="AC25" s="254" t="str">
        <f>AC15/(AC15+AA17)</f>
        <v>#DIV/0!</v>
      </c>
      <c r="AD25" s="254" t="str">
        <f>AD15/(AD15+AA18)</f>
        <v>#DIV/0!</v>
      </c>
      <c r="AE25" s="254" t="str">
        <f>AE15/(AE15+AA19)</f>
        <v>#DIV/0!</v>
      </c>
      <c r="AF25" s="254" t="str">
        <f>AF15/(AF15+AA20)</f>
        <v>#DIV/0!</v>
      </c>
      <c r="AG25" s="294"/>
      <c r="AH25" s="294"/>
      <c r="AJ25" s="1"/>
      <c r="AK25" s="1"/>
      <c r="AL25" s="1"/>
      <c r="AM25" s="1"/>
      <c r="AN25" s="1"/>
      <c r="AO25" s="1"/>
      <c r="AP25" s="1"/>
      <c r="AQ25" s="1"/>
    </row>
    <row r="26">
      <c r="A26" s="302"/>
      <c r="B26" s="303"/>
      <c r="C26" s="302"/>
      <c r="D26" s="259"/>
      <c r="E26" s="4"/>
      <c r="F26" s="304"/>
      <c r="G26" s="305"/>
      <c r="H26" s="304"/>
      <c r="I26" s="263"/>
      <c r="J26" s="4"/>
      <c r="K26" s="306"/>
      <c r="L26" s="307"/>
      <c r="M26" s="306"/>
      <c r="N26" s="266"/>
      <c r="O26" s="4"/>
      <c r="P26" s="308"/>
      <c r="Q26" s="309"/>
      <c r="R26" s="308"/>
      <c r="S26" s="269"/>
      <c r="T26" s="4"/>
      <c r="U26" s="310"/>
      <c r="V26" s="311"/>
      <c r="W26" s="310"/>
      <c r="X26" s="273"/>
      <c r="Y26" s="1"/>
      <c r="Z26" s="274" t="s">
        <v>764</v>
      </c>
      <c r="AA26" s="276" t="str">
        <f>AA16/(AA16+AB15)</f>
        <v>#DIV/0!</v>
      </c>
      <c r="AB26" s="276" t="str">
        <f>if(AB16=0, "N/A", AB16/(AB16+AB16))</f>
        <v>N/A</v>
      </c>
      <c r="AC26" s="276" t="str">
        <f>AC16/(AC16+AB17)</f>
        <v>#DIV/0!</v>
      </c>
      <c r="AD26" s="276" t="str">
        <f>AD16/(AD16+AB18)</f>
        <v>#DIV/0!</v>
      </c>
      <c r="AE26" s="276" t="str">
        <f>AE16/(AE16+AB19)</f>
        <v>#DIV/0!</v>
      </c>
      <c r="AF26" s="276" t="str">
        <f>AF16/(AF16+AB20)</f>
        <v>#DIV/0!</v>
      </c>
      <c r="AG26" s="294"/>
      <c r="AH26" s="294"/>
      <c r="AJ26" s="1"/>
      <c r="AK26" s="1"/>
      <c r="AL26" s="1"/>
      <c r="AM26" s="1"/>
      <c r="AN26" s="1"/>
      <c r="AO26" s="1"/>
      <c r="AP26" s="1"/>
      <c r="AQ26" s="1"/>
    </row>
    <row r="27">
      <c r="A27" s="302"/>
      <c r="B27" s="303"/>
      <c r="C27" s="302"/>
      <c r="D27" s="259"/>
      <c r="E27" s="4"/>
      <c r="F27" s="304"/>
      <c r="G27" s="305"/>
      <c r="H27" s="304"/>
      <c r="I27" s="263"/>
      <c r="J27" s="4"/>
      <c r="K27" s="306"/>
      <c r="L27" s="307"/>
      <c r="M27" s="306"/>
      <c r="N27" s="266"/>
      <c r="O27" s="4"/>
      <c r="P27" s="308"/>
      <c r="Q27" s="309"/>
      <c r="R27" s="308"/>
      <c r="S27" s="269"/>
      <c r="T27" s="4"/>
      <c r="U27" s="310"/>
      <c r="V27" s="311"/>
      <c r="W27" s="310"/>
      <c r="X27" s="273"/>
      <c r="Y27" s="1"/>
      <c r="Z27" s="278" t="s">
        <v>765</v>
      </c>
      <c r="AA27" s="280" t="str">
        <f>AA17/(AA17+AC15)</f>
        <v>#DIV/0!</v>
      </c>
      <c r="AB27" s="280" t="str">
        <f>AB17/(AB17+AC16)</f>
        <v>#DIV/0!</v>
      </c>
      <c r="AC27" s="280" t="str">
        <f>if(AC17=0, "N/A", AC17/(AC17+AC17))</f>
        <v>N/A</v>
      </c>
      <c r="AD27" s="280" t="str">
        <f>AD17/(AD17+AC18)</f>
        <v>#DIV/0!</v>
      </c>
      <c r="AE27" s="280" t="str">
        <f>AE17/(AE17+AC19)</f>
        <v>#DIV/0!</v>
      </c>
      <c r="AF27" s="280" t="str">
        <f>AF17/(AF17+AC20)</f>
        <v>#DIV/0!</v>
      </c>
      <c r="AG27" s="294"/>
      <c r="AH27" s="294"/>
      <c r="AJ27" s="1"/>
      <c r="AK27" s="1"/>
      <c r="AL27" s="1"/>
      <c r="AM27" s="1"/>
      <c r="AN27" s="1"/>
      <c r="AO27" s="1"/>
      <c r="AP27" s="1"/>
      <c r="AQ27" s="1"/>
    </row>
    <row r="28">
      <c r="A28" s="302"/>
      <c r="B28" s="303"/>
      <c r="C28" s="302"/>
      <c r="D28" s="259"/>
      <c r="E28" s="4"/>
      <c r="F28" s="304"/>
      <c r="G28" s="305"/>
      <c r="H28" s="304"/>
      <c r="I28" s="263"/>
      <c r="J28" s="4"/>
      <c r="K28" s="306"/>
      <c r="L28" s="307"/>
      <c r="M28" s="306"/>
      <c r="N28" s="266"/>
      <c r="O28" s="4"/>
      <c r="P28" s="308"/>
      <c r="Q28" s="309"/>
      <c r="R28" s="308"/>
      <c r="S28" s="269"/>
      <c r="T28" s="4"/>
      <c r="U28" s="310"/>
      <c r="V28" s="311"/>
      <c r="W28" s="310"/>
      <c r="X28" s="273"/>
      <c r="Y28" s="1"/>
      <c r="Z28" s="282" t="s">
        <v>769</v>
      </c>
      <c r="AA28" s="284" t="str">
        <f>AA18/(AA18+AD15)</f>
        <v>#DIV/0!</v>
      </c>
      <c r="AB28" s="284" t="str">
        <f>AB18/(AB18+AD16)</f>
        <v>#DIV/0!</v>
      </c>
      <c r="AC28" s="284" t="str">
        <f>AC18/(AC18+AD17)</f>
        <v>#DIV/0!</v>
      </c>
      <c r="AD28" s="284" t="str">
        <f>if(AD18=0, "N/A", AD18/(AD18+AD18))</f>
        <v>N/A</v>
      </c>
      <c r="AE28" s="284" t="str">
        <f>AE18/(AE18+AD19)</f>
        <v>#DIV/0!</v>
      </c>
      <c r="AF28" s="284" t="str">
        <f>AF18/(AF18+AD20)</f>
        <v>#DIV/0!</v>
      </c>
      <c r="AG28" s="294"/>
      <c r="AH28" s="294"/>
      <c r="AJ28" s="1"/>
      <c r="AK28" s="1"/>
      <c r="AL28" s="1"/>
      <c r="AM28" s="1"/>
      <c r="AN28" s="1"/>
      <c r="AO28" s="1"/>
      <c r="AP28" s="1"/>
      <c r="AQ28" s="1"/>
    </row>
    <row r="29">
      <c r="A29" s="302"/>
      <c r="B29" s="303"/>
      <c r="C29" s="302"/>
      <c r="D29" s="259"/>
      <c r="E29" s="4"/>
      <c r="F29" s="304"/>
      <c r="G29" s="305"/>
      <c r="H29" s="304"/>
      <c r="I29" s="263"/>
      <c r="J29" s="4"/>
      <c r="K29" s="306"/>
      <c r="L29" s="307"/>
      <c r="M29" s="306"/>
      <c r="N29" s="266"/>
      <c r="O29" s="4"/>
      <c r="P29" s="308"/>
      <c r="Q29" s="309"/>
      <c r="R29" s="308"/>
      <c r="S29" s="269"/>
      <c r="T29" s="4"/>
      <c r="U29" s="310"/>
      <c r="V29" s="311"/>
      <c r="W29" s="310"/>
      <c r="X29" s="273"/>
      <c r="Y29" s="1"/>
      <c r="Z29" s="286" t="s">
        <v>770</v>
      </c>
      <c r="AA29" s="288" t="str">
        <f>AA19/(AA19+AE15)</f>
        <v>#DIV/0!</v>
      </c>
      <c r="AB29" s="288" t="str">
        <f>AB19/(AB19+AE16)</f>
        <v>#DIV/0!</v>
      </c>
      <c r="AC29" s="288" t="str">
        <f>AC19/(AC19+AE17)</f>
        <v>#DIV/0!</v>
      </c>
      <c r="AD29" s="288" t="str">
        <f>AD19/(AD19+AE18)</f>
        <v>#DIV/0!</v>
      </c>
      <c r="AE29" s="288" t="str">
        <f>if(AE19=0, "N/A", AE19/(AE19+AE19))</f>
        <v>N/A</v>
      </c>
      <c r="AF29" s="288" t="str">
        <f>AF19/(AF19+AE20)</f>
        <v>#DIV/0!</v>
      </c>
      <c r="AG29" s="294"/>
      <c r="AH29" s="294"/>
      <c r="AJ29" s="1"/>
      <c r="AK29" s="1"/>
      <c r="AL29" s="1"/>
      <c r="AM29" s="1"/>
      <c r="AN29" s="1"/>
      <c r="AO29" s="1"/>
      <c r="AP29" s="1"/>
      <c r="AQ29" s="1"/>
    </row>
    <row r="30">
      <c r="A30" s="302"/>
      <c r="B30" s="303"/>
      <c r="C30" s="302"/>
      <c r="D30" s="259"/>
      <c r="E30" s="4"/>
      <c r="F30" s="304"/>
      <c r="G30" s="305"/>
      <c r="H30" s="304"/>
      <c r="I30" s="263"/>
      <c r="J30" s="4"/>
      <c r="K30" s="306"/>
      <c r="L30" s="307"/>
      <c r="M30" s="306"/>
      <c r="N30" s="266"/>
      <c r="O30" s="4"/>
      <c r="P30" s="308"/>
      <c r="Q30" s="309"/>
      <c r="R30" s="308"/>
      <c r="S30" s="269"/>
      <c r="T30" s="4"/>
      <c r="U30" s="310"/>
      <c r="V30" s="311"/>
      <c r="W30" s="310"/>
      <c r="X30" s="273"/>
      <c r="Y30" s="1"/>
      <c r="AG30" s="294"/>
      <c r="AH30" s="294"/>
      <c r="AJ30" s="1"/>
      <c r="AK30" s="1"/>
      <c r="AL30" s="1"/>
      <c r="AM30" s="1"/>
      <c r="AN30" s="1"/>
      <c r="AO30" s="1"/>
      <c r="AP30" s="1"/>
      <c r="AQ30" s="1"/>
    </row>
    <row r="31">
      <c r="A31" s="302"/>
      <c r="B31" s="303"/>
      <c r="C31" s="302"/>
      <c r="D31" s="259"/>
      <c r="E31" s="4"/>
      <c r="F31" s="304"/>
      <c r="G31" s="305"/>
      <c r="H31" s="304"/>
      <c r="I31" s="263"/>
      <c r="J31" s="4"/>
      <c r="K31" s="306"/>
      <c r="L31" s="307"/>
      <c r="M31" s="306"/>
      <c r="N31" s="266"/>
      <c r="O31" s="4"/>
      <c r="P31" s="308"/>
      <c r="Q31" s="309"/>
      <c r="R31" s="308"/>
      <c r="S31" s="269"/>
      <c r="T31" s="4"/>
      <c r="U31" s="310"/>
      <c r="V31" s="311"/>
      <c r="W31" s="310"/>
      <c r="X31" s="273"/>
      <c r="Y31" s="1"/>
      <c r="AJ31" s="1"/>
      <c r="AK31" s="1"/>
      <c r="AL31" s="1"/>
      <c r="AM31" s="1"/>
      <c r="AN31" s="1"/>
      <c r="AO31" s="1"/>
      <c r="AP31" s="1"/>
      <c r="AQ31" s="1"/>
    </row>
    <row r="32">
      <c r="A32" s="302"/>
      <c r="B32" s="303"/>
      <c r="C32" s="302"/>
      <c r="D32" s="259"/>
      <c r="E32" s="4"/>
      <c r="F32" s="304"/>
      <c r="G32" s="305"/>
      <c r="H32" s="304"/>
      <c r="I32" s="263"/>
      <c r="J32" s="4"/>
      <c r="K32" s="306"/>
      <c r="L32" s="307"/>
      <c r="M32" s="306"/>
      <c r="N32" s="266"/>
      <c r="O32" s="4"/>
      <c r="P32" s="308"/>
      <c r="Q32" s="309"/>
      <c r="R32" s="308"/>
      <c r="S32" s="269"/>
      <c r="T32" s="4"/>
      <c r="U32" s="310"/>
      <c r="V32" s="311"/>
      <c r="W32" s="310"/>
      <c r="X32" s="273"/>
      <c r="Y32" s="1"/>
      <c r="AJ32" s="1"/>
      <c r="AK32" s="1"/>
      <c r="AL32" s="1"/>
      <c r="AM32" s="1"/>
      <c r="AN32" s="1"/>
      <c r="AO32" s="1"/>
      <c r="AP32" s="1"/>
      <c r="AQ32" s="1"/>
    </row>
    <row r="33">
      <c r="A33" s="302"/>
      <c r="B33" s="303"/>
      <c r="C33" s="302"/>
      <c r="D33" s="259"/>
      <c r="E33" s="4"/>
      <c r="F33" s="304"/>
      <c r="G33" s="305"/>
      <c r="H33" s="304"/>
      <c r="I33" s="263"/>
      <c r="J33" s="4"/>
      <c r="K33" s="306"/>
      <c r="L33" s="307"/>
      <c r="M33" s="306"/>
      <c r="N33" s="266"/>
      <c r="O33" s="4"/>
      <c r="P33" s="308"/>
      <c r="Q33" s="309"/>
      <c r="R33" s="308"/>
      <c r="S33" s="269"/>
      <c r="T33" s="4"/>
      <c r="U33" s="310"/>
      <c r="V33" s="311"/>
      <c r="W33" s="310"/>
      <c r="X33" s="273"/>
      <c r="Y33" s="1"/>
      <c r="AJ33" s="1"/>
      <c r="AK33" s="1"/>
      <c r="AL33" s="1"/>
      <c r="AM33" s="1"/>
      <c r="AN33" s="1"/>
      <c r="AO33" s="1"/>
      <c r="AP33" s="1"/>
      <c r="AQ33" s="1"/>
    </row>
    <row r="34">
      <c r="A34" s="302"/>
      <c r="B34" s="303"/>
      <c r="C34" s="302"/>
      <c r="D34" s="259"/>
      <c r="E34" s="4"/>
      <c r="F34" s="304"/>
      <c r="G34" s="305"/>
      <c r="H34" s="304"/>
      <c r="I34" s="263"/>
      <c r="J34" s="4"/>
      <c r="K34" s="306"/>
      <c r="L34" s="307"/>
      <c r="M34" s="306"/>
      <c r="N34" s="266"/>
      <c r="O34" s="4"/>
      <c r="P34" s="308"/>
      <c r="Q34" s="309"/>
      <c r="R34" s="308"/>
      <c r="S34" s="269"/>
      <c r="T34" s="4"/>
      <c r="U34" s="310"/>
      <c r="V34" s="311"/>
      <c r="W34" s="310"/>
      <c r="X34" s="273"/>
      <c r="Y34" s="1"/>
      <c r="AJ34" s="1"/>
      <c r="AK34" s="1"/>
      <c r="AL34" s="1"/>
      <c r="AM34" s="1"/>
      <c r="AN34" s="1"/>
      <c r="AO34" s="1"/>
      <c r="AP34" s="1"/>
      <c r="AQ34" s="1"/>
    </row>
    <row r="35">
      <c r="A35" s="302"/>
      <c r="B35" s="303"/>
      <c r="C35" s="302"/>
      <c r="D35" s="259"/>
      <c r="E35" s="4"/>
      <c r="F35" s="304"/>
      <c r="G35" s="305"/>
      <c r="H35" s="304"/>
      <c r="I35" s="263"/>
      <c r="J35" s="4"/>
      <c r="K35" s="306"/>
      <c r="L35" s="307"/>
      <c r="M35" s="306"/>
      <c r="N35" s="266"/>
      <c r="O35" s="4"/>
      <c r="P35" s="308"/>
      <c r="Q35" s="309"/>
      <c r="R35" s="308"/>
      <c r="S35" s="269"/>
      <c r="T35" s="4"/>
      <c r="U35" s="310"/>
      <c r="V35" s="311"/>
      <c r="W35" s="310"/>
      <c r="X35" s="273"/>
      <c r="Y35" s="1"/>
      <c r="AJ35" s="1"/>
      <c r="AK35" s="1"/>
      <c r="AL35" s="1"/>
      <c r="AM35" s="1"/>
      <c r="AN35" s="1"/>
      <c r="AO35" s="1"/>
      <c r="AP35" s="1"/>
      <c r="AQ35" s="1"/>
    </row>
    <row r="36">
      <c r="A36" s="302"/>
      <c r="B36" s="303"/>
      <c r="C36" s="302"/>
      <c r="D36" s="259"/>
      <c r="E36" s="4"/>
      <c r="F36" s="304"/>
      <c r="G36" s="305"/>
      <c r="H36" s="304"/>
      <c r="I36" s="263"/>
      <c r="J36" s="4"/>
      <c r="K36" s="306"/>
      <c r="L36" s="307"/>
      <c r="M36" s="306"/>
      <c r="N36" s="266"/>
      <c r="O36" s="4"/>
      <c r="P36" s="308"/>
      <c r="Q36" s="309"/>
      <c r="R36" s="308"/>
      <c r="S36" s="269"/>
      <c r="T36" s="4"/>
      <c r="U36" s="310"/>
      <c r="V36" s="311"/>
      <c r="W36" s="310"/>
      <c r="X36" s="273"/>
      <c r="Y36" s="1"/>
      <c r="AJ36" s="1"/>
      <c r="AK36" s="1"/>
      <c r="AL36" s="1"/>
      <c r="AM36" s="1"/>
      <c r="AN36" s="1"/>
      <c r="AO36" s="1"/>
      <c r="AP36" s="1"/>
      <c r="AQ36" s="1"/>
    </row>
    <row r="37">
      <c r="A37" s="302"/>
      <c r="B37" s="303"/>
      <c r="C37" s="302"/>
      <c r="D37" s="259"/>
      <c r="E37" s="4"/>
      <c r="F37" s="304"/>
      <c r="G37" s="305"/>
      <c r="H37" s="304"/>
      <c r="I37" s="263"/>
      <c r="J37" s="4"/>
      <c r="K37" s="306"/>
      <c r="L37" s="307"/>
      <c r="M37" s="306"/>
      <c r="N37" s="266"/>
      <c r="O37" s="4"/>
      <c r="P37" s="308"/>
      <c r="Q37" s="309"/>
      <c r="R37" s="308"/>
      <c r="S37" s="269"/>
      <c r="T37" s="4"/>
      <c r="U37" s="310"/>
      <c r="V37" s="311"/>
      <c r="W37" s="310"/>
      <c r="X37" s="273"/>
      <c r="Y37" s="1"/>
      <c r="AJ37" s="1"/>
      <c r="AK37" s="1"/>
      <c r="AL37" s="1"/>
      <c r="AM37" s="1"/>
      <c r="AN37" s="1"/>
      <c r="AO37" s="1"/>
      <c r="AP37" s="1"/>
      <c r="AQ37" s="1"/>
    </row>
    <row r="38">
      <c r="A38" s="302"/>
      <c r="B38" s="303"/>
      <c r="C38" s="302"/>
      <c r="D38" s="259"/>
      <c r="E38" s="4"/>
      <c r="F38" s="304"/>
      <c r="G38" s="305"/>
      <c r="H38" s="304"/>
      <c r="I38" s="263"/>
      <c r="J38" s="4"/>
      <c r="K38" s="306"/>
      <c r="L38" s="307"/>
      <c r="M38" s="306"/>
      <c r="N38" s="266"/>
      <c r="O38" s="4"/>
      <c r="P38" s="308"/>
      <c r="Q38" s="309"/>
      <c r="R38" s="308"/>
      <c r="S38" s="269"/>
      <c r="T38" s="4"/>
      <c r="U38" s="310"/>
      <c r="V38" s="311"/>
      <c r="W38" s="310"/>
      <c r="X38" s="273"/>
      <c r="Y38" s="1"/>
      <c r="AJ38" s="1"/>
      <c r="AK38" s="1"/>
      <c r="AL38" s="1"/>
      <c r="AM38" s="1"/>
      <c r="AN38" s="1"/>
      <c r="AO38" s="1"/>
      <c r="AP38" s="1"/>
      <c r="AQ38" s="1"/>
    </row>
    <row r="39">
      <c r="A39" s="302"/>
      <c r="B39" s="303"/>
      <c r="C39" s="302"/>
      <c r="D39" s="259"/>
      <c r="E39" s="4"/>
      <c r="F39" s="304"/>
      <c r="G39" s="305"/>
      <c r="H39" s="304"/>
      <c r="I39" s="263"/>
      <c r="J39" s="4"/>
      <c r="K39" s="306"/>
      <c r="L39" s="307"/>
      <c r="M39" s="306"/>
      <c r="N39" s="266"/>
      <c r="O39" s="4"/>
      <c r="P39" s="308"/>
      <c r="Q39" s="309"/>
      <c r="R39" s="308"/>
      <c r="S39" s="269"/>
      <c r="T39" s="4"/>
      <c r="U39" s="310"/>
      <c r="V39" s="311"/>
      <c r="W39" s="310"/>
      <c r="X39" s="273"/>
      <c r="Y39" s="1"/>
      <c r="AJ39" s="1"/>
      <c r="AK39" s="1"/>
      <c r="AL39" s="1"/>
      <c r="AM39" s="1"/>
      <c r="AN39" s="1"/>
      <c r="AO39" s="1"/>
      <c r="AP39" s="1"/>
      <c r="AQ39" s="1"/>
    </row>
    <row r="40">
      <c r="A40" s="302"/>
      <c r="B40" s="303"/>
      <c r="C40" s="302"/>
      <c r="D40" s="259"/>
      <c r="E40" s="4"/>
      <c r="F40" s="304"/>
      <c r="G40" s="305"/>
      <c r="H40" s="304"/>
      <c r="I40" s="263"/>
      <c r="J40" s="4"/>
      <c r="K40" s="306"/>
      <c r="L40" s="307"/>
      <c r="M40" s="306"/>
      <c r="N40" s="266"/>
      <c r="O40" s="4"/>
      <c r="P40" s="308"/>
      <c r="Q40" s="309"/>
      <c r="R40" s="308"/>
      <c r="S40" s="269"/>
      <c r="T40" s="4"/>
      <c r="U40" s="310"/>
      <c r="V40" s="311"/>
      <c r="W40" s="310"/>
      <c r="X40" s="273"/>
      <c r="Y40" s="1"/>
      <c r="AJ40" s="1"/>
      <c r="AK40" s="1"/>
      <c r="AL40" s="1"/>
      <c r="AM40" s="1"/>
      <c r="AN40" s="1"/>
      <c r="AO40" s="1"/>
      <c r="AP40" s="1"/>
      <c r="AQ40" s="1"/>
    </row>
    <row r="41">
      <c r="A41" s="302"/>
      <c r="B41" s="303"/>
      <c r="C41" s="302"/>
      <c r="D41" s="259"/>
      <c r="E41" s="4"/>
      <c r="F41" s="304"/>
      <c r="G41" s="305"/>
      <c r="H41" s="304"/>
      <c r="I41" s="263"/>
      <c r="J41" s="4"/>
      <c r="K41" s="306"/>
      <c r="L41" s="307"/>
      <c r="M41" s="306"/>
      <c r="N41" s="266"/>
      <c r="O41" s="4"/>
      <c r="P41" s="308"/>
      <c r="Q41" s="309"/>
      <c r="R41" s="308"/>
      <c r="S41" s="269"/>
      <c r="T41" s="4"/>
      <c r="U41" s="310"/>
      <c r="V41" s="311"/>
      <c r="W41" s="310"/>
      <c r="X41" s="273"/>
      <c r="Y41" s="1"/>
      <c r="AJ41" s="1"/>
      <c r="AK41" s="1"/>
      <c r="AL41" s="1"/>
      <c r="AM41" s="1"/>
      <c r="AN41" s="1"/>
      <c r="AO41" s="1"/>
      <c r="AP41" s="1"/>
      <c r="AQ41" s="1"/>
    </row>
    <row r="42">
      <c r="A42" s="302"/>
      <c r="B42" s="303"/>
      <c r="C42" s="302"/>
      <c r="D42" s="259"/>
      <c r="E42" s="4"/>
      <c r="F42" s="304"/>
      <c r="G42" s="305"/>
      <c r="H42" s="304"/>
      <c r="I42" s="263"/>
      <c r="J42" s="4"/>
      <c r="K42" s="306"/>
      <c r="L42" s="306"/>
      <c r="M42" s="306"/>
      <c r="N42" s="266"/>
      <c r="O42" s="4"/>
      <c r="P42" s="308"/>
      <c r="Q42" s="309"/>
      <c r="R42" s="308"/>
      <c r="S42" s="269"/>
      <c r="T42" s="4"/>
      <c r="U42" s="310"/>
      <c r="V42" s="311"/>
      <c r="W42" s="310"/>
      <c r="X42" s="273"/>
      <c r="Y42" s="1"/>
      <c r="AJ42" s="1"/>
      <c r="AK42" s="1"/>
      <c r="AL42" s="1"/>
      <c r="AM42" s="1"/>
      <c r="AN42" s="1"/>
      <c r="AO42" s="1"/>
      <c r="AP42" s="1"/>
      <c r="AQ42" s="1"/>
    </row>
    <row r="43">
      <c r="A43" s="302"/>
      <c r="B43" s="302"/>
      <c r="C43" s="302"/>
      <c r="D43" s="259"/>
      <c r="E43" s="4"/>
      <c r="F43" s="304"/>
      <c r="G43" s="304"/>
      <c r="H43" s="304"/>
      <c r="I43" s="263"/>
      <c r="J43" s="4"/>
      <c r="K43" s="312"/>
      <c r="L43" s="312"/>
      <c r="M43" s="312"/>
      <c r="N43" s="266"/>
      <c r="O43" s="4"/>
      <c r="P43" s="308"/>
      <c r="Q43" s="308"/>
      <c r="R43" s="308"/>
      <c r="S43" s="269"/>
      <c r="T43" s="4"/>
      <c r="U43" s="310"/>
      <c r="V43" s="311"/>
      <c r="W43" s="310"/>
      <c r="X43" s="273"/>
      <c r="Y43" s="1"/>
      <c r="AJ43" s="1"/>
      <c r="AK43" s="1"/>
      <c r="AL43" s="1"/>
      <c r="AM43" s="1"/>
      <c r="AN43" s="1"/>
      <c r="AO43" s="1"/>
      <c r="AP43" s="1"/>
      <c r="AQ43" s="1"/>
    </row>
    <row r="44">
      <c r="A44" s="313"/>
      <c r="B44" s="313"/>
      <c r="C44" s="313"/>
      <c r="D44" s="259"/>
      <c r="E44" s="4"/>
      <c r="F44" s="314"/>
      <c r="G44" s="314"/>
      <c r="H44" s="314"/>
      <c r="I44" s="263"/>
      <c r="J44" s="4"/>
      <c r="K44" s="312"/>
      <c r="L44" s="312"/>
      <c r="M44" s="312"/>
      <c r="N44" s="266"/>
      <c r="O44" s="4"/>
      <c r="P44" s="315"/>
      <c r="Q44" s="315"/>
      <c r="R44" s="315"/>
      <c r="S44" s="269"/>
      <c r="T44" s="4"/>
      <c r="U44" s="316"/>
      <c r="V44" s="316"/>
      <c r="W44" s="316"/>
      <c r="X44" s="273"/>
      <c r="Y44" s="1"/>
      <c r="AJ44" s="1"/>
      <c r="AK44" s="1"/>
      <c r="AL44" s="1"/>
      <c r="AM44" s="1"/>
      <c r="AN44" s="1"/>
      <c r="AO44" s="1"/>
      <c r="AP44" s="1"/>
      <c r="AQ44" s="1"/>
    </row>
    <row r="45">
      <c r="A45" s="313"/>
      <c r="B45" s="313"/>
      <c r="C45" s="313"/>
      <c r="D45" s="259"/>
      <c r="E45" s="4"/>
      <c r="F45" s="314"/>
      <c r="G45" s="314"/>
      <c r="H45" s="314"/>
      <c r="I45" s="263"/>
      <c r="J45" s="4"/>
      <c r="K45" s="312"/>
      <c r="L45" s="312"/>
      <c r="M45" s="312"/>
      <c r="N45" s="266"/>
      <c r="O45" s="4"/>
      <c r="P45" s="315"/>
      <c r="Q45" s="315"/>
      <c r="R45" s="315"/>
      <c r="S45" s="269"/>
      <c r="T45" s="4"/>
      <c r="U45" s="316"/>
      <c r="V45" s="316"/>
      <c r="W45" s="316"/>
      <c r="X45" s="273"/>
      <c r="Y45" s="1"/>
      <c r="AJ45" s="1"/>
      <c r="AK45" s="1"/>
      <c r="AL45" s="1"/>
      <c r="AM45" s="1"/>
      <c r="AN45" s="1"/>
      <c r="AO45" s="1"/>
      <c r="AP45" s="1"/>
      <c r="AQ45" s="1"/>
    </row>
    <row r="46">
      <c r="A46" s="313"/>
      <c r="B46" s="313"/>
      <c r="C46" s="313"/>
      <c r="D46" s="259"/>
      <c r="E46" s="4"/>
      <c r="F46" s="314"/>
      <c r="G46" s="314"/>
      <c r="H46" s="314"/>
      <c r="I46" s="263"/>
      <c r="J46" s="4"/>
      <c r="K46" s="312"/>
      <c r="L46" s="312"/>
      <c r="M46" s="312"/>
      <c r="N46" s="266"/>
      <c r="O46" s="4"/>
      <c r="P46" s="315"/>
      <c r="Q46" s="315"/>
      <c r="R46" s="315"/>
      <c r="S46" s="269"/>
      <c r="T46" s="4"/>
      <c r="U46" s="316"/>
      <c r="V46" s="316"/>
      <c r="W46" s="316"/>
      <c r="X46" s="273"/>
      <c r="Y46" s="1"/>
      <c r="AJ46" s="1"/>
      <c r="AK46" s="1"/>
      <c r="AL46" s="1"/>
      <c r="AM46" s="1"/>
      <c r="AN46" s="1"/>
      <c r="AO46" s="1"/>
      <c r="AP46" s="1"/>
      <c r="AQ46" s="1"/>
    </row>
    <row r="47">
      <c r="A47" s="317"/>
      <c r="B47" s="313"/>
      <c r="C47" s="313"/>
      <c r="D47" s="294"/>
      <c r="E47" s="294"/>
      <c r="F47" s="314"/>
      <c r="G47" s="314"/>
      <c r="H47" s="314"/>
      <c r="I47" s="318"/>
      <c r="J47" s="4"/>
      <c r="K47" s="306"/>
      <c r="L47" s="306"/>
      <c r="M47" s="306"/>
      <c r="N47" s="4"/>
      <c r="O47" s="4"/>
      <c r="P47" s="308"/>
      <c r="Q47" s="308"/>
      <c r="R47" s="308"/>
      <c r="S47" s="4"/>
      <c r="T47" s="4"/>
      <c r="U47" s="310"/>
      <c r="V47" s="310"/>
      <c r="W47" s="310"/>
      <c r="X47" s="1"/>
      <c r="Y47" s="1"/>
      <c r="AJ47" s="1"/>
      <c r="AK47" s="1"/>
      <c r="AL47" s="1"/>
      <c r="AM47" s="1"/>
      <c r="AN47" s="1"/>
      <c r="AO47" s="1"/>
      <c r="AP47" s="1"/>
      <c r="AQ47" s="1"/>
    </row>
    <row r="48">
      <c r="A48" s="317"/>
      <c r="B48" s="313"/>
      <c r="C48" s="313"/>
      <c r="D48" s="294"/>
      <c r="E48" s="294"/>
      <c r="F48" s="314"/>
      <c r="G48" s="314"/>
      <c r="H48" s="314"/>
      <c r="I48" s="318"/>
      <c r="J48" s="4"/>
      <c r="K48" s="306"/>
      <c r="L48" s="306"/>
      <c r="M48" s="306"/>
      <c r="N48" s="4"/>
      <c r="O48" s="4"/>
      <c r="P48" s="308"/>
      <c r="Q48" s="308"/>
      <c r="R48" s="308"/>
      <c r="S48" s="4"/>
      <c r="T48" s="4"/>
      <c r="U48" s="310"/>
      <c r="V48" s="310"/>
      <c r="W48" s="310"/>
      <c r="X48" s="1"/>
      <c r="Y48" s="1"/>
      <c r="AJ48" s="1"/>
      <c r="AK48" s="1"/>
      <c r="AL48" s="1"/>
      <c r="AM48" s="1"/>
      <c r="AN48" s="1"/>
      <c r="AO48" s="1"/>
      <c r="AP48" s="1"/>
      <c r="AQ48" s="1"/>
    </row>
    <row r="49">
      <c r="A49" s="317"/>
      <c r="B49" s="313"/>
      <c r="C49" s="313"/>
      <c r="D49" s="294"/>
      <c r="E49" s="294"/>
      <c r="F49" s="314"/>
      <c r="G49" s="314"/>
      <c r="H49" s="314"/>
      <c r="I49" s="318"/>
      <c r="J49" s="4"/>
      <c r="K49" s="306"/>
      <c r="L49" s="306"/>
      <c r="M49" s="306"/>
      <c r="N49" s="4"/>
      <c r="O49" s="4"/>
      <c r="P49" s="308"/>
      <c r="Q49" s="308"/>
      <c r="R49" s="308"/>
      <c r="S49" s="4"/>
      <c r="T49" s="4"/>
      <c r="U49" s="310"/>
      <c r="V49" s="310"/>
      <c r="W49" s="310"/>
      <c r="X49" s="1"/>
      <c r="Y49" s="1"/>
      <c r="AJ49" s="1"/>
      <c r="AK49" s="1"/>
      <c r="AL49" s="1"/>
      <c r="AM49" s="1"/>
      <c r="AN49" s="1"/>
      <c r="AO49" s="1"/>
      <c r="AP49" s="1"/>
      <c r="AQ49" s="1"/>
    </row>
    <row r="50">
      <c r="A50" s="317"/>
      <c r="B50" s="313"/>
      <c r="C50" s="313"/>
      <c r="D50" s="294"/>
      <c r="E50" s="294"/>
      <c r="F50" s="314"/>
      <c r="G50" s="314"/>
      <c r="H50" s="314"/>
      <c r="I50" s="318"/>
      <c r="J50" s="4"/>
      <c r="K50" s="306"/>
      <c r="L50" s="306"/>
      <c r="M50" s="306"/>
      <c r="N50" s="4"/>
      <c r="O50" s="4"/>
      <c r="P50" s="308"/>
      <c r="Q50" s="308"/>
      <c r="R50" s="308"/>
      <c r="S50" s="4"/>
      <c r="T50" s="4"/>
      <c r="U50" s="310"/>
      <c r="V50" s="310"/>
      <c r="W50" s="310"/>
      <c r="X50" s="1"/>
      <c r="Y50" s="1"/>
      <c r="AJ50" s="1"/>
      <c r="AK50" s="1"/>
      <c r="AL50" s="1"/>
      <c r="AM50" s="1"/>
      <c r="AN50" s="1"/>
      <c r="AO50" s="1"/>
      <c r="AP50" s="1"/>
      <c r="AQ50" s="1"/>
    </row>
    <row r="51">
      <c r="A51" s="317"/>
      <c r="B51" s="313"/>
      <c r="C51" s="313"/>
      <c r="D51" s="294"/>
      <c r="E51" s="294"/>
      <c r="F51" s="314"/>
      <c r="G51" s="314"/>
      <c r="H51" s="314"/>
      <c r="I51" s="318"/>
      <c r="J51" s="4"/>
      <c r="K51" s="306"/>
      <c r="L51" s="306"/>
      <c r="M51" s="306"/>
      <c r="N51" s="4"/>
      <c r="O51" s="4"/>
      <c r="P51" s="308"/>
      <c r="Q51" s="308"/>
      <c r="R51" s="308"/>
      <c r="S51" s="4"/>
      <c r="T51" s="4"/>
      <c r="U51" s="310"/>
      <c r="V51" s="310"/>
      <c r="W51" s="310"/>
      <c r="X51" s="1"/>
      <c r="Y51" s="1"/>
      <c r="AJ51" s="1"/>
      <c r="AK51" s="1"/>
      <c r="AL51" s="1"/>
      <c r="AM51" s="1"/>
      <c r="AN51" s="1"/>
      <c r="AO51" s="1"/>
      <c r="AP51" s="1"/>
      <c r="AQ51" s="1"/>
    </row>
    <row r="52">
      <c r="A52" s="317"/>
      <c r="B52" s="313"/>
      <c r="C52" s="313"/>
      <c r="D52" s="294"/>
      <c r="E52" s="294"/>
      <c r="F52" s="314"/>
      <c r="G52" s="314"/>
      <c r="H52" s="314"/>
      <c r="I52" s="318"/>
      <c r="J52" s="4"/>
      <c r="K52" s="306"/>
      <c r="L52" s="306"/>
      <c r="M52" s="306"/>
      <c r="N52" s="4"/>
      <c r="O52" s="4"/>
      <c r="P52" s="308"/>
      <c r="Q52" s="308"/>
      <c r="R52" s="308"/>
      <c r="S52" s="4"/>
      <c r="T52" s="4"/>
      <c r="U52" s="310"/>
      <c r="V52" s="310"/>
      <c r="W52" s="310"/>
      <c r="X52" s="1"/>
      <c r="Y52" s="1"/>
      <c r="AJ52" s="1"/>
      <c r="AK52" s="1"/>
      <c r="AL52" s="1"/>
      <c r="AM52" s="1"/>
      <c r="AN52" s="1"/>
      <c r="AO52" s="1"/>
      <c r="AP52" s="1"/>
      <c r="AQ52" s="1"/>
    </row>
    <row r="53">
      <c r="A53" s="317"/>
      <c r="B53" s="313"/>
      <c r="C53" s="313"/>
      <c r="D53" s="294"/>
      <c r="E53" s="294"/>
      <c r="F53" s="314"/>
      <c r="G53" s="314"/>
      <c r="H53" s="314"/>
      <c r="I53" s="318"/>
      <c r="J53" s="4"/>
      <c r="K53" s="306"/>
      <c r="L53" s="306"/>
      <c r="M53" s="306"/>
      <c r="N53" s="4"/>
      <c r="O53" s="4"/>
      <c r="P53" s="308"/>
      <c r="Q53" s="308"/>
      <c r="R53" s="308"/>
      <c r="S53" s="4"/>
      <c r="T53" s="4"/>
      <c r="U53" s="310"/>
      <c r="V53" s="310"/>
      <c r="W53" s="310"/>
      <c r="X53" s="1"/>
      <c r="Y53" s="1"/>
      <c r="AJ53" s="1"/>
      <c r="AK53" s="1"/>
      <c r="AL53" s="1"/>
      <c r="AM53" s="1"/>
      <c r="AN53" s="1"/>
      <c r="AO53" s="1"/>
      <c r="AP53" s="1"/>
      <c r="AQ53" s="1"/>
    </row>
    <row r="54">
      <c r="A54" s="317"/>
      <c r="B54" s="313"/>
      <c r="C54" s="313"/>
      <c r="D54" s="294"/>
      <c r="E54" s="294"/>
      <c r="F54" s="314"/>
      <c r="G54" s="314"/>
      <c r="H54" s="314"/>
      <c r="I54" s="318"/>
      <c r="J54" s="4"/>
      <c r="K54" s="306"/>
      <c r="L54" s="306"/>
      <c r="M54" s="306"/>
      <c r="N54" s="4"/>
      <c r="O54" s="4"/>
      <c r="P54" s="308"/>
      <c r="Q54" s="308"/>
      <c r="R54" s="308"/>
      <c r="S54" s="4"/>
      <c r="T54" s="4"/>
      <c r="U54" s="4"/>
      <c r="V54" s="4"/>
      <c r="W54" s="4"/>
      <c r="X54" s="1"/>
      <c r="Y54" s="1"/>
      <c r="AJ54" s="1"/>
      <c r="AK54" s="1"/>
      <c r="AL54" s="1"/>
      <c r="AM54" s="1"/>
      <c r="AN54" s="1"/>
      <c r="AO54" s="1"/>
      <c r="AP54" s="1"/>
      <c r="AQ54" s="1"/>
    </row>
    <row r="55">
      <c r="A55" s="61"/>
      <c r="I55" s="32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AJ55" s="1"/>
      <c r="AK55" s="1"/>
      <c r="AL55" s="1"/>
      <c r="AM55" s="1"/>
      <c r="AN55" s="1"/>
      <c r="AO55" s="1"/>
      <c r="AP55" s="1"/>
      <c r="AQ55" s="1"/>
    </row>
    <row r="56">
      <c r="A56" s="61"/>
      <c r="I56" s="32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AJ56" s="1"/>
      <c r="AK56" s="1"/>
      <c r="AL56" s="1"/>
      <c r="AM56" s="1"/>
      <c r="AN56" s="1"/>
      <c r="AO56" s="1"/>
      <c r="AP56" s="1"/>
      <c r="AQ56" s="1"/>
    </row>
    <row r="57">
      <c r="A57" s="61"/>
      <c r="I57" s="32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AJ57" s="1"/>
      <c r="AK57" s="1"/>
      <c r="AL57" s="1"/>
      <c r="AM57" s="1"/>
      <c r="AN57" s="1"/>
      <c r="AO57" s="1"/>
      <c r="AP57" s="1"/>
      <c r="AQ57" s="1"/>
    </row>
  </sheetData>
  <mergeCells count="10">
    <mergeCell ref="Z13:AF13"/>
    <mergeCell ref="AK13:AO13"/>
    <mergeCell ref="Z23:AF23"/>
    <mergeCell ref="A4:C5"/>
    <mergeCell ref="F4:H5"/>
    <mergeCell ref="K4:M5"/>
    <mergeCell ref="P4:R5"/>
    <mergeCell ref="U4:W5"/>
    <mergeCell ref="Z4:AH4"/>
    <mergeCell ref="AJ4:AO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25"/>
    <col customWidth="1" min="3" max="4" width="27.63"/>
    <col customWidth="1" min="5" max="5" width="28.38"/>
    <col customWidth="1" min="6" max="6" width="10.25"/>
    <col customWidth="1" min="7" max="12" width="18.88"/>
  </cols>
  <sheetData>
    <row r="1">
      <c r="A1" s="232" t="s">
        <v>3</v>
      </c>
      <c r="B1" s="234" t="s">
        <v>828</v>
      </c>
      <c r="C1" s="234" t="s">
        <v>830</v>
      </c>
      <c r="D1" s="234" t="s">
        <v>831</v>
      </c>
      <c r="E1" s="234" t="s">
        <v>832</v>
      </c>
      <c r="F1" s="234" t="s">
        <v>833</v>
      </c>
      <c r="G1" s="236" t="s">
        <v>834</v>
      </c>
      <c r="H1" s="9" t="s">
        <v>836</v>
      </c>
    </row>
    <row r="2">
      <c r="A2" s="11">
        <v>46134.980088854165</v>
      </c>
      <c r="B2" s="9" t="s">
        <v>132</v>
      </c>
      <c r="C2" s="9" t="s">
        <v>837</v>
      </c>
      <c r="D2" s="9" t="s">
        <v>838</v>
      </c>
      <c r="E2" s="9" t="s">
        <v>839</v>
      </c>
      <c r="F2" s="9" t="s">
        <v>840</v>
      </c>
      <c r="G2" s="9" t="s">
        <v>649</v>
      </c>
      <c r="H2" s="31">
        <f t="array" ref="H2:H1407">IF((B2:B1407="")+(G2:G1407&lt;&gt;""),, COUNTIFS(B2:B1407, B2:B1407, ROW(B2:B1407), "&lt;="&amp;ROW(B2:B1407), G2:G1407, ""))</f>
        <v>1</v>
      </c>
    </row>
    <row r="3">
      <c r="A3" s="11">
        <v>46134.98402618055</v>
      </c>
      <c r="B3" s="9" t="s">
        <v>184</v>
      </c>
      <c r="C3" s="9" t="s">
        <v>852</v>
      </c>
      <c r="D3" s="9" t="s">
        <v>853</v>
      </c>
      <c r="E3" s="9" t="s">
        <v>837</v>
      </c>
      <c r="F3" s="9" t="s">
        <v>840</v>
      </c>
      <c r="H3" s="31">
        <v>1.0</v>
      </c>
    </row>
    <row r="4">
      <c r="A4" s="11">
        <v>46134.986669872684</v>
      </c>
      <c r="B4" s="9" t="s">
        <v>372</v>
      </c>
      <c r="C4" s="9" t="s">
        <v>854</v>
      </c>
      <c r="D4" s="9" t="s">
        <v>855</v>
      </c>
      <c r="E4" s="9" t="s">
        <v>856</v>
      </c>
      <c r="F4" s="9" t="s">
        <v>840</v>
      </c>
      <c r="G4" s="9" t="s">
        <v>649</v>
      </c>
      <c r="H4" s="31">
        <v>1.0</v>
      </c>
    </row>
    <row r="5">
      <c r="A5" s="11">
        <v>46134.98673605324</v>
      </c>
      <c r="B5" s="9" t="s">
        <v>189</v>
      </c>
      <c r="C5" s="9" t="s">
        <v>857</v>
      </c>
      <c r="D5" s="9" t="s">
        <v>858</v>
      </c>
      <c r="E5" s="9" t="s">
        <v>859</v>
      </c>
      <c r="F5" s="9" t="s">
        <v>840</v>
      </c>
      <c r="G5" s="9" t="s">
        <v>860</v>
      </c>
      <c r="H5" s="31"/>
    </row>
    <row r="6">
      <c r="A6" s="11">
        <v>46135.00081398148</v>
      </c>
      <c r="B6" s="9" t="s">
        <v>89</v>
      </c>
      <c r="C6" s="9" t="s">
        <v>861</v>
      </c>
      <c r="D6" s="9" t="s">
        <v>852</v>
      </c>
      <c r="E6" s="9" t="s">
        <v>862</v>
      </c>
      <c r="F6" s="9" t="s">
        <v>840</v>
      </c>
      <c r="H6" s="31">
        <v>1.0</v>
      </c>
    </row>
    <row r="7">
      <c r="A7" s="11">
        <v>46135.00173498843</v>
      </c>
      <c r="B7" s="9" t="s">
        <v>280</v>
      </c>
      <c r="C7" s="9" t="s">
        <v>853</v>
      </c>
      <c r="D7" s="9" t="s">
        <v>863</v>
      </c>
      <c r="E7" s="9" t="s">
        <v>864</v>
      </c>
      <c r="F7" s="9" t="s">
        <v>840</v>
      </c>
      <c r="G7" s="9" t="s">
        <v>649</v>
      </c>
      <c r="H7" s="31">
        <v>1.0</v>
      </c>
    </row>
    <row r="8">
      <c r="A8" s="11">
        <v>46135.002623333334</v>
      </c>
      <c r="B8" s="9" t="s">
        <v>253</v>
      </c>
      <c r="C8" s="9" t="s">
        <v>864</v>
      </c>
      <c r="D8" s="9" t="s">
        <v>865</v>
      </c>
      <c r="E8" s="9" t="s">
        <v>866</v>
      </c>
      <c r="F8" s="9" t="s">
        <v>840</v>
      </c>
      <c r="H8" s="31">
        <v>1.0</v>
      </c>
    </row>
    <row r="9">
      <c r="A9" s="11">
        <v>46135.007735011575</v>
      </c>
      <c r="B9" s="9" t="s">
        <v>163</v>
      </c>
      <c r="C9" s="9" t="s">
        <v>858</v>
      </c>
      <c r="D9" s="9" t="s">
        <v>853</v>
      </c>
      <c r="E9" s="9" t="s">
        <v>867</v>
      </c>
      <c r="F9" s="9" t="s">
        <v>840</v>
      </c>
      <c r="G9" s="9" t="s">
        <v>860</v>
      </c>
      <c r="H9" s="31"/>
    </row>
    <row r="10">
      <c r="A10" s="11">
        <v>46135.013244560185</v>
      </c>
      <c r="B10" s="9" t="s">
        <v>60</v>
      </c>
      <c r="C10" s="9" t="s">
        <v>853</v>
      </c>
      <c r="D10" s="9" t="s">
        <v>852</v>
      </c>
      <c r="E10" s="9" t="s">
        <v>837</v>
      </c>
      <c r="F10" s="9" t="s">
        <v>840</v>
      </c>
      <c r="G10" s="9" t="s">
        <v>649</v>
      </c>
      <c r="H10" s="31">
        <v>1.0</v>
      </c>
    </row>
    <row r="11">
      <c r="A11" s="11">
        <v>46135.0199337963</v>
      </c>
      <c r="B11" s="9" t="s">
        <v>235</v>
      </c>
      <c r="C11" s="9" t="s">
        <v>852</v>
      </c>
      <c r="D11" s="9" t="s">
        <v>868</v>
      </c>
      <c r="E11" s="9" t="s">
        <v>869</v>
      </c>
      <c r="F11" s="9" t="s">
        <v>840</v>
      </c>
      <c r="G11" s="9" t="s">
        <v>649</v>
      </c>
      <c r="H11" s="31">
        <v>1.0</v>
      </c>
    </row>
    <row r="12">
      <c r="A12" s="11">
        <v>46135.022163437505</v>
      </c>
      <c r="B12" s="9" t="s">
        <v>120</v>
      </c>
      <c r="C12" s="9" t="s">
        <v>870</v>
      </c>
      <c r="D12" s="9" t="s">
        <v>852</v>
      </c>
      <c r="E12" s="9" t="s">
        <v>871</v>
      </c>
      <c r="F12" s="9" t="s">
        <v>840</v>
      </c>
      <c r="G12" s="9" t="s">
        <v>649</v>
      </c>
      <c r="H12" s="31">
        <v>1.0</v>
      </c>
    </row>
    <row r="13">
      <c r="A13" s="11">
        <v>46135.02255302083</v>
      </c>
      <c r="B13" s="9" t="s">
        <v>187</v>
      </c>
      <c r="C13" s="9" t="s">
        <v>868</v>
      </c>
      <c r="D13" s="9" t="s">
        <v>837</v>
      </c>
      <c r="E13" s="9" t="s">
        <v>853</v>
      </c>
      <c r="F13" s="9" t="s">
        <v>840</v>
      </c>
      <c r="G13" s="9" t="s">
        <v>649</v>
      </c>
      <c r="H13" s="31">
        <v>1.0</v>
      </c>
    </row>
    <row r="14">
      <c r="A14" s="11">
        <v>46135.04055989583</v>
      </c>
      <c r="B14" s="9" t="s">
        <v>185</v>
      </c>
      <c r="C14" s="9" t="s">
        <v>853</v>
      </c>
      <c r="D14" s="9" t="s">
        <v>867</v>
      </c>
      <c r="E14" s="9" t="s">
        <v>837</v>
      </c>
      <c r="F14" s="9" t="s">
        <v>840</v>
      </c>
      <c r="G14" s="9" t="s">
        <v>649</v>
      </c>
      <c r="H14" s="31">
        <v>1.0</v>
      </c>
    </row>
    <row r="15">
      <c r="A15" s="11">
        <v>46135.04686782407</v>
      </c>
      <c r="B15" s="9" t="s">
        <v>324</v>
      </c>
      <c r="C15" s="9" t="s">
        <v>837</v>
      </c>
      <c r="D15" s="9" t="s">
        <v>872</v>
      </c>
      <c r="E15" s="9" t="s">
        <v>852</v>
      </c>
      <c r="F15" s="9" t="s">
        <v>840</v>
      </c>
      <c r="G15" s="9" t="s">
        <v>649</v>
      </c>
      <c r="H15" s="31">
        <v>1.0</v>
      </c>
    </row>
    <row r="16">
      <c r="A16" s="11">
        <v>46135.04999489583</v>
      </c>
      <c r="B16" s="9" t="s">
        <v>101</v>
      </c>
      <c r="C16" s="9" t="s">
        <v>874</v>
      </c>
      <c r="D16" s="9" t="s">
        <v>875</v>
      </c>
      <c r="E16" s="9" t="s">
        <v>837</v>
      </c>
      <c r="F16" s="9" t="s">
        <v>840</v>
      </c>
      <c r="G16" s="9" t="s">
        <v>649</v>
      </c>
      <c r="H16" s="31">
        <v>1.0</v>
      </c>
    </row>
    <row r="17">
      <c r="A17" s="11">
        <v>46135.10310604167</v>
      </c>
      <c r="B17" s="9" t="s">
        <v>379</v>
      </c>
      <c r="C17" s="9" t="s">
        <v>852</v>
      </c>
      <c r="D17" s="9" t="s">
        <v>853</v>
      </c>
      <c r="E17" s="9" t="s">
        <v>859</v>
      </c>
      <c r="F17" s="9" t="s">
        <v>840</v>
      </c>
      <c r="G17" s="9" t="s">
        <v>649</v>
      </c>
      <c r="H17" s="31">
        <v>1.0</v>
      </c>
    </row>
    <row r="18">
      <c r="A18" s="11">
        <v>46135.11948642361</v>
      </c>
      <c r="B18" s="9" t="s">
        <v>388</v>
      </c>
      <c r="C18" s="9" t="s">
        <v>837</v>
      </c>
      <c r="D18" s="9" t="s">
        <v>852</v>
      </c>
      <c r="E18" s="9" t="s">
        <v>858</v>
      </c>
      <c r="F18" s="9" t="s">
        <v>840</v>
      </c>
      <c r="G18" s="9" t="s">
        <v>649</v>
      </c>
      <c r="H18" s="31">
        <v>1.0</v>
      </c>
    </row>
    <row r="19">
      <c r="A19" s="11">
        <v>46135.128238564816</v>
      </c>
      <c r="B19" s="9" t="s">
        <v>104</v>
      </c>
      <c r="C19" s="9" t="s">
        <v>837</v>
      </c>
      <c r="D19" s="9" t="s">
        <v>852</v>
      </c>
      <c r="E19" s="9" t="s">
        <v>872</v>
      </c>
      <c r="F19" s="9" t="s">
        <v>840</v>
      </c>
      <c r="G19" s="9" t="s">
        <v>649</v>
      </c>
      <c r="H19" s="31">
        <v>1.0</v>
      </c>
    </row>
    <row r="20">
      <c r="A20" s="11">
        <v>46135.13863983796</v>
      </c>
      <c r="B20" s="9" t="s">
        <v>156</v>
      </c>
      <c r="C20" s="9" t="s">
        <v>838</v>
      </c>
      <c r="D20" s="9" t="s">
        <v>876</v>
      </c>
      <c r="E20" s="9" t="s">
        <v>852</v>
      </c>
      <c r="F20" s="9" t="s">
        <v>840</v>
      </c>
      <c r="G20" s="9" t="s">
        <v>649</v>
      </c>
      <c r="H20" s="31">
        <v>1.0</v>
      </c>
    </row>
    <row r="21">
      <c r="A21" s="11">
        <v>46135.1702728588</v>
      </c>
      <c r="B21" s="9" t="s">
        <v>152</v>
      </c>
      <c r="C21" s="9" t="s">
        <v>864</v>
      </c>
      <c r="D21" s="9" t="s">
        <v>869</v>
      </c>
      <c r="E21" s="9" t="s">
        <v>852</v>
      </c>
      <c r="F21" s="9" t="s">
        <v>840</v>
      </c>
      <c r="H21" s="31">
        <v>1.0</v>
      </c>
    </row>
    <row r="22">
      <c r="A22" s="11">
        <v>46135.27772357639</v>
      </c>
      <c r="B22" s="9" t="s">
        <v>72</v>
      </c>
      <c r="C22" s="9" t="s">
        <v>877</v>
      </c>
      <c r="D22" s="9" t="s">
        <v>864</v>
      </c>
      <c r="E22" s="9" t="s">
        <v>878</v>
      </c>
      <c r="F22" s="9" t="s">
        <v>840</v>
      </c>
      <c r="G22" s="9" t="s">
        <v>649</v>
      </c>
      <c r="H22" s="31">
        <v>1.0</v>
      </c>
    </row>
    <row r="23">
      <c r="A23" s="11">
        <v>46135.29377251158</v>
      </c>
      <c r="B23" s="9" t="s">
        <v>134</v>
      </c>
      <c r="C23" s="9" t="s">
        <v>861</v>
      </c>
      <c r="D23" s="9" t="s">
        <v>866</v>
      </c>
      <c r="E23" s="9" t="s">
        <v>852</v>
      </c>
      <c r="F23" s="9" t="s">
        <v>840</v>
      </c>
      <c r="H23" s="31">
        <v>1.0</v>
      </c>
    </row>
    <row r="24">
      <c r="A24" s="11">
        <v>46135.37227157407</v>
      </c>
      <c r="B24" s="9" t="s">
        <v>328</v>
      </c>
      <c r="C24" s="9" t="s">
        <v>864</v>
      </c>
      <c r="D24" s="9" t="s">
        <v>879</v>
      </c>
      <c r="E24" s="9" t="s">
        <v>880</v>
      </c>
      <c r="F24" s="9" t="s">
        <v>840</v>
      </c>
      <c r="G24" s="9" t="s">
        <v>649</v>
      </c>
      <c r="H24" s="31">
        <v>1.0</v>
      </c>
    </row>
    <row r="25">
      <c r="A25" s="11">
        <v>46135.416100381946</v>
      </c>
      <c r="B25" s="9" t="s">
        <v>110</v>
      </c>
      <c r="C25" s="9" t="s">
        <v>859</v>
      </c>
      <c r="D25" s="9" t="s">
        <v>857</v>
      </c>
      <c r="E25" s="9" t="s">
        <v>880</v>
      </c>
      <c r="F25" s="9" t="s">
        <v>840</v>
      </c>
      <c r="H25" s="31">
        <v>1.0</v>
      </c>
    </row>
    <row r="26">
      <c r="A26" s="11">
        <v>46135.42119310185</v>
      </c>
      <c r="B26" s="9" t="s">
        <v>213</v>
      </c>
      <c r="C26" s="9" t="s">
        <v>855</v>
      </c>
      <c r="D26" s="9" t="s">
        <v>839</v>
      </c>
      <c r="E26" s="9" t="s">
        <v>854</v>
      </c>
      <c r="F26" s="9" t="s">
        <v>840</v>
      </c>
      <c r="H26" s="31">
        <v>1.0</v>
      </c>
    </row>
    <row r="27">
      <c r="A27" s="11">
        <v>46135.45341202546</v>
      </c>
      <c r="B27" s="9" t="s">
        <v>174</v>
      </c>
      <c r="C27" s="9" t="s">
        <v>852</v>
      </c>
      <c r="D27" s="9" t="s">
        <v>837</v>
      </c>
      <c r="E27" s="9" t="s">
        <v>868</v>
      </c>
      <c r="F27" s="9" t="s">
        <v>840</v>
      </c>
      <c r="G27" s="9" t="s">
        <v>649</v>
      </c>
      <c r="H27" s="31">
        <v>1.0</v>
      </c>
    </row>
    <row r="28">
      <c r="A28" s="11">
        <v>46135.47149548611</v>
      </c>
      <c r="B28" s="9" t="s">
        <v>151</v>
      </c>
      <c r="C28" s="9" t="s">
        <v>854</v>
      </c>
      <c r="D28" s="9" t="s">
        <v>852</v>
      </c>
      <c r="E28" s="9" t="s">
        <v>855</v>
      </c>
      <c r="F28" s="9" t="s">
        <v>840</v>
      </c>
      <c r="G28" s="9" t="s">
        <v>860</v>
      </c>
      <c r="H28" s="31"/>
    </row>
    <row r="29">
      <c r="A29" s="11">
        <v>46135.48635702547</v>
      </c>
      <c r="B29" s="9" t="s">
        <v>231</v>
      </c>
      <c r="C29" s="9" t="s">
        <v>876</v>
      </c>
      <c r="D29" s="9" t="s">
        <v>869</v>
      </c>
      <c r="E29" s="9" t="s">
        <v>852</v>
      </c>
      <c r="F29" s="9" t="s">
        <v>840</v>
      </c>
      <c r="G29" s="9" t="s">
        <v>860</v>
      </c>
      <c r="H29" s="31"/>
    </row>
    <row r="30">
      <c r="A30" s="11">
        <v>46135.567981817134</v>
      </c>
      <c r="B30" s="9" t="s">
        <v>401</v>
      </c>
      <c r="C30" s="9" t="s">
        <v>852</v>
      </c>
      <c r="D30" s="9" t="s">
        <v>876</v>
      </c>
      <c r="E30" s="9" t="s">
        <v>869</v>
      </c>
      <c r="F30" s="9" t="s">
        <v>840</v>
      </c>
      <c r="G30" s="9" t="s">
        <v>649</v>
      </c>
      <c r="H30" s="31">
        <v>1.0</v>
      </c>
    </row>
    <row r="31">
      <c r="A31" s="11">
        <v>46135.58747953703</v>
      </c>
      <c r="B31" s="9" t="s">
        <v>182</v>
      </c>
      <c r="C31" s="9" t="s">
        <v>876</v>
      </c>
      <c r="D31" s="9" t="s">
        <v>864</v>
      </c>
      <c r="E31" s="9" t="s">
        <v>881</v>
      </c>
      <c r="F31" s="9" t="s">
        <v>840</v>
      </c>
      <c r="G31" s="9" t="s">
        <v>649</v>
      </c>
      <c r="H31" s="31">
        <v>1.0</v>
      </c>
    </row>
    <row r="32">
      <c r="A32" s="11">
        <v>46135.61854427084</v>
      </c>
      <c r="B32" s="9" t="s">
        <v>17</v>
      </c>
      <c r="C32" s="9" t="s">
        <v>856</v>
      </c>
      <c r="D32" s="9" t="s">
        <v>852</v>
      </c>
      <c r="E32" s="9" t="s">
        <v>855</v>
      </c>
      <c r="F32" s="9" t="s">
        <v>840</v>
      </c>
      <c r="G32" s="9" t="s">
        <v>860</v>
      </c>
      <c r="H32" s="31"/>
    </row>
    <row r="33">
      <c r="A33" s="11">
        <v>46135.63327515047</v>
      </c>
      <c r="B33" s="9" t="s">
        <v>302</v>
      </c>
      <c r="C33" s="9" t="s">
        <v>852</v>
      </c>
      <c r="D33" s="9" t="s">
        <v>859</v>
      </c>
      <c r="E33" s="9" t="s">
        <v>869</v>
      </c>
      <c r="F33" s="9" t="s">
        <v>840</v>
      </c>
      <c r="G33" s="9" t="s">
        <v>649</v>
      </c>
      <c r="H33" s="31">
        <v>1.0</v>
      </c>
    </row>
    <row r="34">
      <c r="A34" s="11">
        <v>46135.633633634265</v>
      </c>
      <c r="B34" s="9" t="s">
        <v>93</v>
      </c>
      <c r="C34" s="9" t="s">
        <v>852</v>
      </c>
      <c r="D34" s="9" t="s">
        <v>837</v>
      </c>
      <c r="E34" s="9" t="s">
        <v>880</v>
      </c>
      <c r="F34" s="9" t="s">
        <v>840</v>
      </c>
      <c r="G34" s="9" t="s">
        <v>649</v>
      </c>
      <c r="H34" s="31">
        <v>1.0</v>
      </c>
    </row>
    <row r="35">
      <c r="A35" s="11">
        <v>46135.63722059027</v>
      </c>
      <c r="B35" s="9" t="s">
        <v>164</v>
      </c>
      <c r="C35" s="9" t="s">
        <v>852</v>
      </c>
      <c r="D35" s="9" t="s">
        <v>854</v>
      </c>
      <c r="E35" s="9" t="s">
        <v>882</v>
      </c>
      <c r="F35" s="9" t="s">
        <v>840</v>
      </c>
      <c r="G35" s="9" t="s">
        <v>649</v>
      </c>
      <c r="H35" s="31">
        <v>1.0</v>
      </c>
    </row>
    <row r="36">
      <c r="A36" s="11">
        <v>46135.654554594905</v>
      </c>
      <c r="B36" s="9" t="s">
        <v>133</v>
      </c>
      <c r="C36" s="9" t="s">
        <v>876</v>
      </c>
      <c r="D36" s="9" t="s">
        <v>883</v>
      </c>
      <c r="E36" s="9" t="s">
        <v>839</v>
      </c>
      <c r="F36" s="9" t="s">
        <v>840</v>
      </c>
      <c r="G36" s="9" t="s">
        <v>649</v>
      </c>
      <c r="H36" s="31">
        <v>1.0</v>
      </c>
    </row>
    <row r="37">
      <c r="A37" s="11">
        <v>46135.66455081019</v>
      </c>
      <c r="B37" s="9" t="s">
        <v>121</v>
      </c>
      <c r="C37" s="9" t="s">
        <v>837</v>
      </c>
      <c r="D37" s="9" t="s">
        <v>852</v>
      </c>
      <c r="E37" s="9" t="s">
        <v>880</v>
      </c>
      <c r="F37" s="9" t="s">
        <v>840</v>
      </c>
      <c r="H37" s="31">
        <v>1.0</v>
      </c>
    </row>
    <row r="38">
      <c r="A38" s="11">
        <v>46135.68090712963</v>
      </c>
      <c r="B38" s="9" t="s">
        <v>115</v>
      </c>
      <c r="C38" s="9" t="s">
        <v>852</v>
      </c>
      <c r="D38" s="9" t="s">
        <v>861</v>
      </c>
      <c r="E38" s="9" t="s">
        <v>869</v>
      </c>
      <c r="F38" s="9" t="s">
        <v>840</v>
      </c>
      <c r="G38" s="9" t="s">
        <v>649</v>
      </c>
      <c r="H38" s="31">
        <v>1.0</v>
      </c>
    </row>
    <row r="39">
      <c r="A39" s="11">
        <v>46135.68885258102</v>
      </c>
      <c r="B39" s="9" t="s">
        <v>75</v>
      </c>
      <c r="C39" s="9" t="s">
        <v>869</v>
      </c>
      <c r="D39" s="9" t="s">
        <v>864</v>
      </c>
      <c r="E39" s="9" t="s">
        <v>880</v>
      </c>
      <c r="F39" s="9" t="s">
        <v>840</v>
      </c>
      <c r="G39" s="9" t="s">
        <v>649</v>
      </c>
      <c r="H39" s="31">
        <v>1.0</v>
      </c>
    </row>
    <row r="40">
      <c r="A40" s="11">
        <v>46135.71940905093</v>
      </c>
      <c r="B40" s="9" t="s">
        <v>173</v>
      </c>
      <c r="C40" s="9" t="s">
        <v>861</v>
      </c>
      <c r="D40" s="9" t="s">
        <v>866</v>
      </c>
      <c r="E40" s="9" t="s">
        <v>838</v>
      </c>
      <c r="F40" s="9" t="s">
        <v>840</v>
      </c>
      <c r="G40" s="9" t="s">
        <v>649</v>
      </c>
      <c r="H40" s="31">
        <v>1.0</v>
      </c>
    </row>
    <row r="41">
      <c r="A41" s="11">
        <v>46135.73273027778</v>
      </c>
      <c r="B41" s="9" t="s">
        <v>356</v>
      </c>
      <c r="C41" s="9" t="s">
        <v>876</v>
      </c>
      <c r="D41" s="9" t="s">
        <v>863</v>
      </c>
      <c r="E41" s="9" t="s">
        <v>861</v>
      </c>
      <c r="F41" s="9" t="s">
        <v>840</v>
      </c>
      <c r="G41" s="9" t="s">
        <v>649</v>
      </c>
      <c r="H41" s="31">
        <v>1.0</v>
      </c>
    </row>
    <row r="42">
      <c r="A42" s="11">
        <v>46135.74548197917</v>
      </c>
      <c r="B42" s="9" t="s">
        <v>85</v>
      </c>
      <c r="C42" s="9" t="s">
        <v>837</v>
      </c>
      <c r="D42" s="9" t="s">
        <v>852</v>
      </c>
      <c r="E42" s="9" t="s">
        <v>877</v>
      </c>
      <c r="F42" s="9" t="s">
        <v>840</v>
      </c>
      <c r="G42" s="9" t="s">
        <v>649</v>
      </c>
      <c r="H42" s="31">
        <v>1.0</v>
      </c>
    </row>
    <row r="43">
      <c r="A43" s="11">
        <v>46135.85471329861</v>
      </c>
      <c r="B43" s="9" t="s">
        <v>239</v>
      </c>
      <c r="C43" s="9" t="s">
        <v>852</v>
      </c>
      <c r="D43" s="9" t="s">
        <v>853</v>
      </c>
      <c r="E43" s="9" t="s">
        <v>867</v>
      </c>
      <c r="F43" s="9" t="s">
        <v>840</v>
      </c>
      <c r="G43" s="9" t="s">
        <v>649</v>
      </c>
      <c r="H43" s="31">
        <v>1.0</v>
      </c>
    </row>
    <row r="44">
      <c r="A44" s="11">
        <v>46135.88568730324</v>
      </c>
      <c r="B44" s="9" t="s">
        <v>143</v>
      </c>
      <c r="C44" s="9" t="s">
        <v>852</v>
      </c>
      <c r="D44" s="9" t="s">
        <v>882</v>
      </c>
      <c r="E44" s="9" t="s">
        <v>854</v>
      </c>
      <c r="F44" s="9" t="s">
        <v>840</v>
      </c>
      <c r="G44" s="9" t="s">
        <v>649</v>
      </c>
      <c r="H44" s="31">
        <v>1.0</v>
      </c>
    </row>
    <row r="45">
      <c r="A45" s="11">
        <v>46135.89495310185</v>
      </c>
      <c r="B45" s="9" t="s">
        <v>55</v>
      </c>
      <c r="C45" s="9" t="s">
        <v>852</v>
      </c>
      <c r="D45" s="9" t="s">
        <v>837</v>
      </c>
      <c r="E45" s="9" t="s">
        <v>859</v>
      </c>
      <c r="F45" s="9" t="s">
        <v>840</v>
      </c>
      <c r="G45" s="9" t="s">
        <v>649</v>
      </c>
      <c r="H45" s="31">
        <v>1.0</v>
      </c>
    </row>
    <row r="46">
      <c r="A46" s="11">
        <v>46135.965360243055</v>
      </c>
      <c r="B46" s="9" t="s">
        <v>198</v>
      </c>
      <c r="C46" s="9" t="s">
        <v>865</v>
      </c>
      <c r="D46" s="9" t="s">
        <v>864</v>
      </c>
      <c r="E46" s="9" t="s">
        <v>881</v>
      </c>
      <c r="F46" s="9" t="s">
        <v>840</v>
      </c>
      <c r="G46" s="9" t="s">
        <v>649</v>
      </c>
      <c r="H46" s="31">
        <v>1.0</v>
      </c>
    </row>
    <row r="47">
      <c r="A47" s="11">
        <v>46135.99171425926</v>
      </c>
      <c r="B47" s="9" t="s">
        <v>371</v>
      </c>
      <c r="C47" s="9" t="s">
        <v>839</v>
      </c>
      <c r="D47" s="9" t="s">
        <v>854</v>
      </c>
      <c r="E47" s="9" t="s">
        <v>852</v>
      </c>
      <c r="F47" s="9" t="s">
        <v>840</v>
      </c>
      <c r="G47" s="9" t="s">
        <v>649</v>
      </c>
      <c r="H47" s="31">
        <v>1.0</v>
      </c>
    </row>
    <row r="48">
      <c r="A48" s="11">
        <v>46136.00680736111</v>
      </c>
      <c r="B48" s="9" t="s">
        <v>128</v>
      </c>
      <c r="C48" s="9" t="s">
        <v>862</v>
      </c>
      <c r="D48" s="9" t="s">
        <v>854</v>
      </c>
      <c r="E48" s="9" t="s">
        <v>839</v>
      </c>
      <c r="F48" s="9" t="s">
        <v>840</v>
      </c>
      <c r="G48" s="9" t="s">
        <v>649</v>
      </c>
      <c r="H48" s="31">
        <v>1.0</v>
      </c>
    </row>
    <row r="49">
      <c r="A49" s="11">
        <v>46136.02203083334</v>
      </c>
      <c r="B49" s="9" t="s">
        <v>169</v>
      </c>
      <c r="C49" s="9" t="s">
        <v>852</v>
      </c>
      <c r="D49" s="9" t="s">
        <v>887</v>
      </c>
      <c r="E49" s="9" t="s">
        <v>837</v>
      </c>
      <c r="F49" s="9" t="s">
        <v>840</v>
      </c>
      <c r="G49" s="9" t="s">
        <v>649</v>
      </c>
      <c r="H49" s="31">
        <v>1.0</v>
      </c>
    </row>
    <row r="50">
      <c r="A50" s="11">
        <v>46136.08194954861</v>
      </c>
      <c r="B50" s="9" t="s">
        <v>158</v>
      </c>
      <c r="C50" s="9" t="s">
        <v>880</v>
      </c>
      <c r="D50" s="9" t="s">
        <v>853</v>
      </c>
      <c r="E50" s="9" t="s">
        <v>874</v>
      </c>
      <c r="F50" s="9" t="s">
        <v>840</v>
      </c>
      <c r="G50" s="9" t="s">
        <v>649</v>
      </c>
      <c r="H50" s="31">
        <v>1.0</v>
      </c>
    </row>
    <row r="51">
      <c r="A51" s="11">
        <v>46136.10451978009</v>
      </c>
      <c r="B51" s="9" t="s">
        <v>17</v>
      </c>
      <c r="C51" s="9" t="s">
        <v>869</v>
      </c>
      <c r="D51" s="9" t="s">
        <v>856</v>
      </c>
      <c r="E51" s="9" t="s">
        <v>855</v>
      </c>
      <c r="F51" s="9" t="s">
        <v>840</v>
      </c>
      <c r="G51" s="9" t="s">
        <v>649</v>
      </c>
      <c r="H51" s="31">
        <v>1.0</v>
      </c>
    </row>
    <row r="52">
      <c r="A52" s="11">
        <v>46136.18596239583</v>
      </c>
      <c r="B52" s="9" t="s">
        <v>256</v>
      </c>
      <c r="C52" s="9" t="s">
        <v>852</v>
      </c>
      <c r="D52" s="9" t="s">
        <v>837</v>
      </c>
      <c r="E52" s="9" t="s">
        <v>880</v>
      </c>
      <c r="F52" s="9" t="s">
        <v>840</v>
      </c>
      <c r="G52" s="9" t="s">
        <v>649</v>
      </c>
      <c r="H52" s="31">
        <v>1.0</v>
      </c>
    </row>
    <row r="53">
      <c r="A53" s="11">
        <v>46136.20850208333</v>
      </c>
      <c r="B53" s="9" t="s">
        <v>888</v>
      </c>
      <c r="C53" s="9" t="s">
        <v>837</v>
      </c>
      <c r="D53" s="9" t="s">
        <v>852</v>
      </c>
      <c r="E53" s="9" t="s">
        <v>880</v>
      </c>
      <c r="F53" s="9" t="s">
        <v>840</v>
      </c>
      <c r="G53" s="9" t="s">
        <v>649</v>
      </c>
      <c r="H53" s="31">
        <v>1.0</v>
      </c>
      <c r="I53" s="271"/>
    </row>
    <row r="54">
      <c r="A54" s="11">
        <v>46136.26600280093</v>
      </c>
      <c r="B54" s="9" t="s">
        <v>141</v>
      </c>
      <c r="C54" s="9" t="s">
        <v>837</v>
      </c>
      <c r="D54" s="9" t="s">
        <v>874</v>
      </c>
      <c r="E54" s="9" t="s">
        <v>872</v>
      </c>
      <c r="F54" s="9" t="s">
        <v>840</v>
      </c>
      <c r="G54" s="9" t="s">
        <v>649</v>
      </c>
      <c r="H54" s="31">
        <v>1.0</v>
      </c>
      <c r="I54" s="271"/>
    </row>
    <row r="55">
      <c r="A55" s="11">
        <v>46136.368029907404</v>
      </c>
      <c r="B55" s="9" t="s">
        <v>237</v>
      </c>
      <c r="C55" s="9" t="s">
        <v>855</v>
      </c>
      <c r="D55" s="9" t="s">
        <v>871</v>
      </c>
      <c r="E55" s="9" t="s">
        <v>854</v>
      </c>
      <c r="F55" s="9" t="s">
        <v>840</v>
      </c>
      <c r="H55" s="31">
        <v>1.0</v>
      </c>
      <c r="I55" s="271"/>
    </row>
    <row r="56">
      <c r="A56" s="11">
        <v>46136.39404435185</v>
      </c>
      <c r="B56" s="9" t="s">
        <v>88</v>
      </c>
      <c r="C56" s="9" t="s">
        <v>837</v>
      </c>
      <c r="D56" s="9" t="s">
        <v>852</v>
      </c>
      <c r="E56" s="9" t="s">
        <v>880</v>
      </c>
      <c r="F56" s="9" t="s">
        <v>840</v>
      </c>
      <c r="H56" s="31">
        <v>1.0</v>
      </c>
      <c r="I56" s="271"/>
    </row>
    <row r="57">
      <c r="A57" s="11">
        <v>46136.420512083336</v>
      </c>
      <c r="B57" s="9" t="s">
        <v>151</v>
      </c>
      <c r="C57" s="9" t="s">
        <v>864</v>
      </c>
      <c r="D57" s="9" t="s">
        <v>865</v>
      </c>
      <c r="E57" s="9" t="s">
        <v>852</v>
      </c>
      <c r="F57" s="9" t="s">
        <v>840</v>
      </c>
      <c r="G57" s="9" t="s">
        <v>860</v>
      </c>
      <c r="H57" s="31"/>
      <c r="I57" s="271"/>
    </row>
    <row r="58">
      <c r="A58" s="11">
        <v>46136.44068640046</v>
      </c>
      <c r="B58" s="9" t="s">
        <v>163</v>
      </c>
      <c r="C58" s="9" t="s">
        <v>852</v>
      </c>
      <c r="D58" s="9" t="s">
        <v>837</v>
      </c>
      <c r="E58" s="9" t="s">
        <v>867</v>
      </c>
      <c r="F58" s="9" t="s">
        <v>840</v>
      </c>
      <c r="G58" s="9" t="s">
        <v>649</v>
      </c>
      <c r="H58" s="31">
        <v>1.0</v>
      </c>
      <c r="I58" s="271"/>
    </row>
    <row r="59">
      <c r="A59" s="11">
        <v>46136.449181805554</v>
      </c>
      <c r="B59" s="9" t="s">
        <v>54</v>
      </c>
      <c r="C59" s="9" t="s">
        <v>852</v>
      </c>
      <c r="D59" s="9" t="s">
        <v>837</v>
      </c>
      <c r="E59" s="9" t="s">
        <v>857</v>
      </c>
      <c r="F59" s="9" t="s">
        <v>840</v>
      </c>
      <c r="G59" s="9" t="s">
        <v>649</v>
      </c>
      <c r="H59" s="31">
        <v>1.0</v>
      </c>
      <c r="I59" s="271"/>
    </row>
    <row r="60">
      <c r="A60" s="11">
        <v>46136.45380020833</v>
      </c>
      <c r="B60" s="9" t="s">
        <v>94</v>
      </c>
      <c r="C60" s="9" t="s">
        <v>852</v>
      </c>
      <c r="D60" s="9" t="s">
        <v>868</v>
      </c>
      <c r="E60" s="9" t="s">
        <v>869</v>
      </c>
      <c r="F60" s="9" t="s">
        <v>840</v>
      </c>
      <c r="G60" s="9" t="s">
        <v>649</v>
      </c>
      <c r="H60" s="31">
        <v>1.0</v>
      </c>
    </row>
    <row r="61">
      <c r="A61" s="11">
        <v>46136.46873946759</v>
      </c>
      <c r="B61" s="9" t="s">
        <v>200</v>
      </c>
      <c r="C61" s="9" t="s">
        <v>852</v>
      </c>
      <c r="D61" s="9" t="s">
        <v>837</v>
      </c>
      <c r="E61" s="9" t="s">
        <v>867</v>
      </c>
      <c r="F61" s="9" t="s">
        <v>840</v>
      </c>
      <c r="G61" s="9" t="s">
        <v>649</v>
      </c>
      <c r="H61" s="31">
        <v>1.0</v>
      </c>
    </row>
    <row r="62">
      <c r="A62" s="11">
        <v>46136.47343195602</v>
      </c>
      <c r="B62" s="9" t="s">
        <v>151</v>
      </c>
      <c r="C62" s="9" t="s">
        <v>864</v>
      </c>
      <c r="D62" s="9" t="s">
        <v>852</v>
      </c>
      <c r="E62" s="9" t="s">
        <v>865</v>
      </c>
      <c r="F62" s="9" t="s">
        <v>840</v>
      </c>
      <c r="G62" s="9" t="s">
        <v>649</v>
      </c>
      <c r="H62" s="31">
        <v>1.0</v>
      </c>
    </row>
    <row r="63">
      <c r="A63" s="11">
        <v>46136.55702674769</v>
      </c>
      <c r="B63" s="9" t="s">
        <v>331</v>
      </c>
      <c r="C63" s="9" t="s">
        <v>864</v>
      </c>
      <c r="D63" s="9" t="s">
        <v>869</v>
      </c>
      <c r="E63" s="9" t="s">
        <v>852</v>
      </c>
      <c r="F63" s="9" t="s">
        <v>840</v>
      </c>
      <c r="H63" s="31">
        <v>1.0</v>
      </c>
    </row>
    <row r="64">
      <c r="A64" s="11">
        <v>46136.56943256945</v>
      </c>
      <c r="B64" s="9" t="s">
        <v>297</v>
      </c>
      <c r="C64" s="9" t="s">
        <v>852</v>
      </c>
      <c r="D64" s="9" t="s">
        <v>837</v>
      </c>
      <c r="E64" s="9" t="s">
        <v>867</v>
      </c>
      <c r="F64" s="9" t="s">
        <v>840</v>
      </c>
      <c r="G64" s="9" t="s">
        <v>649</v>
      </c>
      <c r="H64" s="31">
        <v>1.0</v>
      </c>
    </row>
    <row r="65">
      <c r="A65" s="11">
        <v>46136.57302099537</v>
      </c>
      <c r="B65" s="9" t="s">
        <v>204</v>
      </c>
      <c r="C65" s="9" t="s">
        <v>887</v>
      </c>
      <c r="D65" s="9" t="s">
        <v>852</v>
      </c>
      <c r="E65" s="9" t="s">
        <v>868</v>
      </c>
      <c r="F65" s="9" t="s">
        <v>840</v>
      </c>
      <c r="H65" s="31">
        <v>1.0</v>
      </c>
    </row>
    <row r="66">
      <c r="A66" s="11">
        <v>46136.590139004635</v>
      </c>
      <c r="B66" s="9" t="s">
        <v>76</v>
      </c>
      <c r="C66" s="9" t="s">
        <v>837</v>
      </c>
      <c r="D66" s="9" t="s">
        <v>852</v>
      </c>
      <c r="E66" s="9" t="s">
        <v>877</v>
      </c>
      <c r="F66" s="9" t="s">
        <v>840</v>
      </c>
      <c r="G66" s="9" t="s">
        <v>649</v>
      </c>
      <c r="H66" s="31">
        <v>1.0</v>
      </c>
    </row>
    <row r="67">
      <c r="A67" s="11">
        <v>46136.61399140046</v>
      </c>
      <c r="B67" s="9" t="s">
        <v>166</v>
      </c>
      <c r="C67" s="9" t="s">
        <v>880</v>
      </c>
      <c r="D67" s="9" t="s">
        <v>852</v>
      </c>
      <c r="E67" s="9" t="s">
        <v>889</v>
      </c>
      <c r="F67" s="9" t="s">
        <v>840</v>
      </c>
      <c r="G67" s="9" t="s">
        <v>649</v>
      </c>
      <c r="H67" s="31">
        <v>1.0</v>
      </c>
    </row>
    <row r="68">
      <c r="A68" s="11">
        <v>46136.61727596065</v>
      </c>
      <c r="B68" s="9" t="s">
        <v>81</v>
      </c>
      <c r="C68" s="9" t="s">
        <v>890</v>
      </c>
      <c r="D68" s="9" t="s">
        <v>857</v>
      </c>
      <c r="E68" s="9" t="s">
        <v>887</v>
      </c>
      <c r="F68" s="9" t="s">
        <v>840</v>
      </c>
      <c r="G68" s="9" t="s">
        <v>649</v>
      </c>
      <c r="H68" s="31">
        <v>1.0</v>
      </c>
    </row>
    <row r="69">
      <c r="A69" s="11">
        <v>46136.6258728588</v>
      </c>
      <c r="B69" s="9" t="s">
        <v>77</v>
      </c>
      <c r="C69" s="9" t="s">
        <v>858</v>
      </c>
      <c r="D69" s="9" t="s">
        <v>877</v>
      </c>
      <c r="E69" s="9" t="s">
        <v>852</v>
      </c>
      <c r="F69" s="9" t="s">
        <v>840</v>
      </c>
      <c r="G69" s="9" t="s">
        <v>649</v>
      </c>
      <c r="H69" s="31">
        <v>1.0</v>
      </c>
    </row>
    <row r="70">
      <c r="A70" s="11">
        <v>46136.6420493287</v>
      </c>
      <c r="B70" s="9" t="s">
        <v>63</v>
      </c>
      <c r="C70" s="9" t="s">
        <v>852</v>
      </c>
      <c r="D70" s="9" t="s">
        <v>839</v>
      </c>
      <c r="E70" s="9" t="s">
        <v>868</v>
      </c>
      <c r="F70" s="9" t="s">
        <v>840</v>
      </c>
      <c r="G70" s="9" t="s">
        <v>649</v>
      </c>
      <c r="H70" s="31">
        <v>1.0</v>
      </c>
    </row>
    <row r="71">
      <c r="A71" s="11">
        <v>46136.65001560185</v>
      </c>
      <c r="B71" s="9" t="s">
        <v>67</v>
      </c>
      <c r="C71" s="9" t="s">
        <v>868</v>
      </c>
      <c r="D71" s="9" t="s">
        <v>837</v>
      </c>
      <c r="E71" s="9" t="s">
        <v>874</v>
      </c>
      <c r="F71" s="9" t="s">
        <v>840</v>
      </c>
      <c r="G71" s="9" t="s">
        <v>649</v>
      </c>
      <c r="H71" s="31">
        <v>1.0</v>
      </c>
    </row>
    <row r="72">
      <c r="A72" s="11">
        <v>46136.664973680556</v>
      </c>
      <c r="B72" s="9" t="s">
        <v>263</v>
      </c>
      <c r="C72" s="9" t="s">
        <v>852</v>
      </c>
      <c r="D72" s="9" t="s">
        <v>878</v>
      </c>
      <c r="E72" s="9" t="s">
        <v>837</v>
      </c>
      <c r="F72" s="9" t="s">
        <v>840</v>
      </c>
      <c r="G72" s="9" t="s">
        <v>649</v>
      </c>
      <c r="H72" s="31">
        <v>1.0</v>
      </c>
    </row>
    <row r="73">
      <c r="A73" s="11">
        <v>46136.674997291666</v>
      </c>
      <c r="B73" s="9" t="s">
        <v>269</v>
      </c>
      <c r="C73" s="9" t="s">
        <v>852</v>
      </c>
      <c r="D73" s="9" t="s">
        <v>837</v>
      </c>
      <c r="E73" s="9" t="s">
        <v>891</v>
      </c>
      <c r="F73" s="9" t="s">
        <v>840</v>
      </c>
      <c r="G73" s="9" t="s">
        <v>649</v>
      </c>
      <c r="H73" s="31">
        <v>1.0</v>
      </c>
    </row>
    <row r="74">
      <c r="A74" s="11">
        <v>46136.67510791667</v>
      </c>
      <c r="B74" s="9" t="s">
        <v>71</v>
      </c>
      <c r="C74" s="9" t="s">
        <v>890</v>
      </c>
      <c r="D74" s="9" t="s">
        <v>861</v>
      </c>
      <c r="E74" s="9" t="s">
        <v>887</v>
      </c>
      <c r="F74" s="9" t="s">
        <v>840</v>
      </c>
      <c r="H74" s="31">
        <v>1.0</v>
      </c>
    </row>
    <row r="75">
      <c r="A75" s="11">
        <v>46136.68472942129</v>
      </c>
      <c r="B75" s="9" t="s">
        <v>62</v>
      </c>
      <c r="C75" s="9" t="s">
        <v>837</v>
      </c>
      <c r="D75" s="9" t="s">
        <v>839</v>
      </c>
      <c r="E75" s="9" t="s">
        <v>878</v>
      </c>
      <c r="F75" s="9" t="s">
        <v>840</v>
      </c>
      <c r="G75" s="9" t="s">
        <v>649</v>
      </c>
      <c r="H75" s="31">
        <v>1.0</v>
      </c>
    </row>
    <row r="76">
      <c r="A76" s="11">
        <v>46136.68724092592</v>
      </c>
      <c r="B76" s="9" t="s">
        <v>228</v>
      </c>
      <c r="C76" s="9" t="s">
        <v>852</v>
      </c>
      <c r="D76" s="9" t="s">
        <v>871</v>
      </c>
      <c r="E76" s="9" t="s">
        <v>853</v>
      </c>
      <c r="F76" s="9" t="s">
        <v>840</v>
      </c>
      <c r="G76" s="9" t="s">
        <v>649</v>
      </c>
      <c r="H76" s="31">
        <v>1.0</v>
      </c>
    </row>
    <row r="77">
      <c r="A77" s="11">
        <v>46136.69818543982</v>
      </c>
      <c r="B77" s="9" t="s">
        <v>18</v>
      </c>
      <c r="C77" s="9" t="s">
        <v>869</v>
      </c>
      <c r="D77" s="9" t="s">
        <v>879</v>
      </c>
      <c r="E77" s="9" t="s">
        <v>880</v>
      </c>
      <c r="F77" s="9" t="s">
        <v>840</v>
      </c>
      <c r="G77" s="9" t="s">
        <v>649</v>
      </c>
      <c r="H77" s="31">
        <v>1.0</v>
      </c>
    </row>
    <row r="78">
      <c r="A78" s="11">
        <v>46136.71155063657</v>
      </c>
      <c r="B78" s="9" t="s">
        <v>165</v>
      </c>
      <c r="C78" s="9" t="s">
        <v>878</v>
      </c>
      <c r="D78" s="9" t="s">
        <v>852</v>
      </c>
      <c r="E78" s="9" t="s">
        <v>880</v>
      </c>
      <c r="F78" s="9" t="s">
        <v>840</v>
      </c>
      <c r="H78" s="31">
        <v>1.0</v>
      </c>
    </row>
    <row r="79">
      <c r="A79" s="11">
        <v>46136.71570872686</v>
      </c>
      <c r="B79" s="9" t="s">
        <v>337</v>
      </c>
      <c r="C79" s="9" t="s">
        <v>837</v>
      </c>
      <c r="D79" s="9" t="s">
        <v>852</v>
      </c>
      <c r="E79" s="9" t="s">
        <v>858</v>
      </c>
      <c r="F79" s="9" t="s">
        <v>840</v>
      </c>
      <c r="G79" s="9" t="s">
        <v>649</v>
      </c>
      <c r="H79" s="31">
        <v>1.0</v>
      </c>
    </row>
    <row r="80">
      <c r="A80" s="11">
        <v>46136.7207444213</v>
      </c>
      <c r="B80" s="9" t="s">
        <v>294</v>
      </c>
      <c r="C80" s="9" t="s">
        <v>864</v>
      </c>
      <c r="D80" s="9" t="s">
        <v>838</v>
      </c>
      <c r="E80" s="9" t="s">
        <v>868</v>
      </c>
      <c r="F80" s="9" t="s">
        <v>840</v>
      </c>
      <c r="G80" s="9" t="s">
        <v>649</v>
      </c>
      <c r="H80" s="31">
        <v>1.0</v>
      </c>
    </row>
    <row r="81">
      <c r="A81" s="11">
        <v>46136.721176921295</v>
      </c>
      <c r="B81" s="9" t="s">
        <v>74</v>
      </c>
      <c r="C81" s="9" t="s">
        <v>852</v>
      </c>
      <c r="D81" s="9" t="s">
        <v>859</v>
      </c>
      <c r="E81" s="9" t="s">
        <v>839</v>
      </c>
      <c r="F81" s="9" t="s">
        <v>840</v>
      </c>
      <c r="G81" s="9" t="s">
        <v>649</v>
      </c>
      <c r="H81" s="31">
        <v>1.0</v>
      </c>
    </row>
    <row r="82">
      <c r="A82" s="11">
        <v>46136.721926087965</v>
      </c>
      <c r="B82" s="9" t="s">
        <v>84</v>
      </c>
      <c r="C82" s="9" t="s">
        <v>852</v>
      </c>
      <c r="D82" s="9" t="s">
        <v>877</v>
      </c>
      <c r="E82" s="9" t="s">
        <v>853</v>
      </c>
      <c r="F82" s="9" t="s">
        <v>840</v>
      </c>
      <c r="G82" s="9" t="s">
        <v>649</v>
      </c>
      <c r="H82" s="31">
        <v>1.0</v>
      </c>
    </row>
    <row r="83">
      <c r="A83" s="11">
        <v>46136.72481083333</v>
      </c>
      <c r="B83" s="9" t="s">
        <v>248</v>
      </c>
      <c r="C83" s="9" t="s">
        <v>852</v>
      </c>
      <c r="D83" s="9" t="s">
        <v>853</v>
      </c>
      <c r="E83" s="9" t="s">
        <v>867</v>
      </c>
      <c r="F83" s="9" t="s">
        <v>840</v>
      </c>
      <c r="G83" s="9" t="s">
        <v>649</v>
      </c>
      <c r="H83" s="31">
        <v>1.0</v>
      </c>
    </row>
    <row r="84">
      <c r="A84" s="11">
        <v>46136.72755131945</v>
      </c>
      <c r="B84" s="9" t="s">
        <v>96</v>
      </c>
      <c r="C84" s="9" t="s">
        <v>857</v>
      </c>
      <c r="D84" s="9" t="s">
        <v>867</v>
      </c>
      <c r="E84" s="9" t="s">
        <v>853</v>
      </c>
      <c r="F84" s="9" t="s">
        <v>840</v>
      </c>
      <c r="H84" s="31">
        <v>1.0</v>
      </c>
    </row>
    <row r="85">
      <c r="A85" s="11">
        <v>46136.72881547453</v>
      </c>
      <c r="B85" s="9" t="s">
        <v>289</v>
      </c>
      <c r="C85" s="9" t="s">
        <v>859</v>
      </c>
      <c r="D85" s="9" t="s">
        <v>872</v>
      </c>
      <c r="E85" s="9" t="s">
        <v>838</v>
      </c>
      <c r="F85" s="9" t="s">
        <v>840</v>
      </c>
      <c r="G85" s="9" t="s">
        <v>649</v>
      </c>
      <c r="H85" s="31">
        <v>1.0</v>
      </c>
    </row>
    <row r="86">
      <c r="A86" s="11">
        <v>46136.74088409722</v>
      </c>
      <c r="B86" s="9" t="s">
        <v>83</v>
      </c>
      <c r="C86" s="9" t="s">
        <v>864</v>
      </c>
      <c r="D86" s="9" t="s">
        <v>877</v>
      </c>
      <c r="E86" s="9" t="s">
        <v>838</v>
      </c>
      <c r="F86" s="9" t="s">
        <v>840</v>
      </c>
      <c r="G86" s="9" t="s">
        <v>649</v>
      </c>
      <c r="H86" s="31">
        <v>1.0</v>
      </c>
    </row>
    <row r="87">
      <c r="A87" s="11">
        <v>46136.75930327547</v>
      </c>
      <c r="B87" s="9" t="s">
        <v>162</v>
      </c>
      <c r="C87" s="9" t="s">
        <v>864</v>
      </c>
      <c r="D87" s="9" t="s">
        <v>852</v>
      </c>
      <c r="E87" s="9" t="s">
        <v>869</v>
      </c>
      <c r="F87" s="9" t="s">
        <v>840</v>
      </c>
      <c r="H87" s="31">
        <v>1.0</v>
      </c>
    </row>
    <row r="88">
      <c r="A88" s="11">
        <v>46136.76087938657</v>
      </c>
      <c r="B88" s="9" t="s">
        <v>335</v>
      </c>
      <c r="C88" s="9" t="s">
        <v>858</v>
      </c>
      <c r="D88" s="9" t="s">
        <v>837</v>
      </c>
      <c r="E88" s="9" t="s">
        <v>852</v>
      </c>
      <c r="F88" s="9" t="s">
        <v>840</v>
      </c>
      <c r="G88" s="9" t="s">
        <v>649</v>
      </c>
      <c r="H88" s="31">
        <v>1.0</v>
      </c>
    </row>
    <row r="89">
      <c r="A89" s="11">
        <v>46136.77306921296</v>
      </c>
      <c r="B89" s="9" t="s">
        <v>107</v>
      </c>
      <c r="C89" s="9" t="s">
        <v>852</v>
      </c>
      <c r="D89" s="9" t="s">
        <v>870</v>
      </c>
      <c r="E89" s="9" t="s">
        <v>871</v>
      </c>
      <c r="F89" s="9" t="s">
        <v>840</v>
      </c>
      <c r="H89" s="31">
        <v>1.0</v>
      </c>
    </row>
    <row r="90">
      <c r="A90" s="11">
        <v>46136.777051122684</v>
      </c>
      <c r="B90" s="9" t="s">
        <v>109</v>
      </c>
      <c r="C90" s="9" t="s">
        <v>869</v>
      </c>
      <c r="D90" s="9" t="s">
        <v>864</v>
      </c>
      <c r="E90" s="9" t="s">
        <v>852</v>
      </c>
      <c r="F90" s="9" t="s">
        <v>840</v>
      </c>
      <c r="G90" s="9" t="s">
        <v>649</v>
      </c>
      <c r="H90" s="31">
        <v>1.0</v>
      </c>
    </row>
    <row r="91">
      <c r="A91" s="11">
        <v>46136.778548483795</v>
      </c>
      <c r="B91" s="9" t="s">
        <v>61</v>
      </c>
      <c r="C91" s="9" t="s">
        <v>852</v>
      </c>
      <c r="D91" s="9" t="s">
        <v>895</v>
      </c>
      <c r="E91" s="9" t="s">
        <v>877</v>
      </c>
      <c r="F91" s="9" t="s">
        <v>840</v>
      </c>
      <c r="H91" s="31">
        <v>1.0</v>
      </c>
    </row>
    <row r="92">
      <c r="A92" s="11">
        <v>46136.78009690972</v>
      </c>
      <c r="B92" s="9" t="s">
        <v>66</v>
      </c>
      <c r="C92" s="9" t="s">
        <v>864</v>
      </c>
      <c r="D92" s="9" t="s">
        <v>865</v>
      </c>
      <c r="E92" s="9" t="s">
        <v>889</v>
      </c>
      <c r="F92" s="9" t="s">
        <v>840</v>
      </c>
      <c r="H92" s="31">
        <v>1.0</v>
      </c>
    </row>
    <row r="93">
      <c r="A93" s="11">
        <v>46136.78557165509</v>
      </c>
      <c r="B93" s="9" t="s">
        <v>123</v>
      </c>
      <c r="C93" s="9" t="s">
        <v>877</v>
      </c>
      <c r="D93" s="9" t="s">
        <v>878</v>
      </c>
      <c r="E93" s="9" t="s">
        <v>896</v>
      </c>
      <c r="F93" s="9" t="s">
        <v>840</v>
      </c>
      <c r="G93" s="9" t="s">
        <v>649</v>
      </c>
      <c r="H93" s="31">
        <v>1.0</v>
      </c>
    </row>
    <row r="94">
      <c r="A94" s="11">
        <v>46136.791227256945</v>
      </c>
      <c r="B94" s="9" t="s">
        <v>62</v>
      </c>
      <c r="C94" s="9" t="s">
        <v>870</v>
      </c>
      <c r="D94" s="9" t="s">
        <v>868</v>
      </c>
      <c r="E94" s="9" t="s">
        <v>880</v>
      </c>
      <c r="F94" s="9" t="s">
        <v>840</v>
      </c>
      <c r="G94" s="9" t="s">
        <v>649</v>
      </c>
      <c r="H94" s="31">
        <v>2.0</v>
      </c>
    </row>
    <row r="95">
      <c r="A95" s="11">
        <v>46136.79975866898</v>
      </c>
      <c r="B95" s="9" t="s">
        <v>114</v>
      </c>
      <c r="C95" s="9" t="s">
        <v>869</v>
      </c>
      <c r="D95" s="9" t="s">
        <v>864</v>
      </c>
      <c r="E95" s="9" t="s">
        <v>837</v>
      </c>
      <c r="F95" s="9" t="s">
        <v>840</v>
      </c>
      <c r="H95" s="31">
        <v>1.0</v>
      </c>
    </row>
    <row r="96">
      <c r="A96" s="11">
        <v>46136.80036501157</v>
      </c>
      <c r="B96" s="9" t="s">
        <v>59</v>
      </c>
      <c r="C96" s="9" t="s">
        <v>838</v>
      </c>
      <c r="D96" s="9" t="s">
        <v>869</v>
      </c>
      <c r="E96" s="9" t="s">
        <v>864</v>
      </c>
      <c r="F96" s="9" t="s">
        <v>840</v>
      </c>
      <c r="H96" s="31">
        <v>1.0</v>
      </c>
    </row>
    <row r="97">
      <c r="A97" s="11">
        <v>46136.80374503472</v>
      </c>
      <c r="B97" s="9" t="s">
        <v>125</v>
      </c>
      <c r="C97" s="9" t="s">
        <v>864</v>
      </c>
      <c r="D97" s="9" t="s">
        <v>877</v>
      </c>
      <c r="E97" s="9" t="s">
        <v>837</v>
      </c>
      <c r="F97" s="9" t="s">
        <v>840</v>
      </c>
      <c r="G97" s="9" t="s">
        <v>649</v>
      </c>
      <c r="H97" s="31">
        <v>1.0</v>
      </c>
    </row>
    <row r="98">
      <c r="A98" s="11">
        <v>46136.80857695602</v>
      </c>
      <c r="B98" s="9" t="s">
        <v>64</v>
      </c>
      <c r="C98" s="9" t="s">
        <v>867</v>
      </c>
      <c r="D98" s="9" t="s">
        <v>872</v>
      </c>
      <c r="E98" s="9" t="s">
        <v>875</v>
      </c>
      <c r="F98" s="9" t="s">
        <v>840</v>
      </c>
      <c r="G98" s="9" t="s">
        <v>649</v>
      </c>
      <c r="H98" s="31">
        <v>1.0</v>
      </c>
    </row>
    <row r="99">
      <c r="A99" s="11">
        <v>46136.811371620366</v>
      </c>
      <c r="B99" s="9" t="s">
        <v>92</v>
      </c>
      <c r="C99" s="9" t="s">
        <v>852</v>
      </c>
      <c r="D99" s="9" t="s">
        <v>869</v>
      </c>
      <c r="E99" s="9" t="s">
        <v>890</v>
      </c>
      <c r="F99" s="9" t="s">
        <v>840</v>
      </c>
      <c r="H99" s="31">
        <v>1.0</v>
      </c>
    </row>
    <row r="100">
      <c r="A100" s="11">
        <v>46136.82887945602</v>
      </c>
      <c r="B100" s="9" t="s">
        <v>55</v>
      </c>
      <c r="C100" s="9" t="s">
        <v>877</v>
      </c>
      <c r="D100" s="9" t="s">
        <v>878</v>
      </c>
      <c r="E100" s="9" t="s">
        <v>838</v>
      </c>
      <c r="F100" s="9" t="s">
        <v>840</v>
      </c>
      <c r="G100" s="9" t="s">
        <v>649</v>
      </c>
      <c r="H100" s="31">
        <v>2.0</v>
      </c>
    </row>
    <row r="101">
      <c r="A101" s="11">
        <v>46136.837146122685</v>
      </c>
      <c r="B101" s="9" t="s">
        <v>137</v>
      </c>
      <c r="C101" s="9" t="s">
        <v>855</v>
      </c>
      <c r="D101" s="9" t="s">
        <v>869</v>
      </c>
      <c r="E101" s="9" t="s">
        <v>859</v>
      </c>
      <c r="F101" s="9" t="s">
        <v>840</v>
      </c>
      <c r="G101" s="9" t="s">
        <v>649</v>
      </c>
      <c r="H101" s="31">
        <v>1.0</v>
      </c>
    </row>
    <row r="102">
      <c r="A102" s="11">
        <v>46136.84837472222</v>
      </c>
      <c r="B102" s="9" t="s">
        <v>67</v>
      </c>
      <c r="C102" s="9" t="s">
        <v>880</v>
      </c>
      <c r="D102" s="9" t="s">
        <v>872</v>
      </c>
      <c r="E102" s="9" t="s">
        <v>891</v>
      </c>
      <c r="F102" s="9" t="s">
        <v>840</v>
      </c>
      <c r="G102" s="9" t="s">
        <v>649</v>
      </c>
      <c r="H102" s="31">
        <v>2.0</v>
      </c>
    </row>
    <row r="103">
      <c r="A103" s="11">
        <v>46136.85613128472</v>
      </c>
      <c r="B103" s="9" t="s">
        <v>81</v>
      </c>
      <c r="C103" s="9" t="s">
        <v>855</v>
      </c>
      <c r="D103" s="9" t="s">
        <v>872</v>
      </c>
      <c r="E103" s="9" t="s">
        <v>859</v>
      </c>
      <c r="F103" s="9" t="s">
        <v>840</v>
      </c>
      <c r="G103" s="9" t="s">
        <v>649</v>
      </c>
      <c r="H103" s="31">
        <v>2.0</v>
      </c>
    </row>
    <row r="104">
      <c r="A104" s="11">
        <v>46136.862000810186</v>
      </c>
      <c r="B104" s="9" t="s">
        <v>75</v>
      </c>
      <c r="C104" s="9" t="s">
        <v>839</v>
      </c>
      <c r="D104" s="9" t="s">
        <v>856</v>
      </c>
      <c r="E104" s="9" t="s">
        <v>890</v>
      </c>
      <c r="F104" s="9" t="s">
        <v>840</v>
      </c>
      <c r="G104" s="9" t="s">
        <v>649</v>
      </c>
      <c r="H104" s="31">
        <v>2.0</v>
      </c>
    </row>
    <row r="105">
      <c r="A105" s="11">
        <v>46136.86714766204</v>
      </c>
      <c r="B105" s="9" t="s">
        <v>76</v>
      </c>
      <c r="C105" s="9" t="s">
        <v>861</v>
      </c>
      <c r="D105" s="9" t="s">
        <v>881</v>
      </c>
      <c r="E105" s="9" t="s">
        <v>878</v>
      </c>
      <c r="F105" s="9" t="s">
        <v>840</v>
      </c>
      <c r="G105" s="9" t="s">
        <v>860</v>
      </c>
      <c r="H105" s="31"/>
    </row>
    <row r="106">
      <c r="A106" s="11">
        <v>46136.87125539352</v>
      </c>
      <c r="B106" s="9" t="s">
        <v>150</v>
      </c>
      <c r="C106" s="9" t="s">
        <v>887</v>
      </c>
      <c r="D106" s="9" t="s">
        <v>852</v>
      </c>
      <c r="E106" s="9" t="s">
        <v>869</v>
      </c>
      <c r="F106" s="9" t="s">
        <v>840</v>
      </c>
      <c r="G106" s="9" t="s">
        <v>649</v>
      </c>
      <c r="H106" s="31">
        <v>1.0</v>
      </c>
    </row>
    <row r="107">
      <c r="A107" s="11">
        <v>46136.8718441088</v>
      </c>
      <c r="B107" s="9" t="s">
        <v>142</v>
      </c>
      <c r="C107" s="9" t="s">
        <v>857</v>
      </c>
      <c r="D107" s="9" t="s">
        <v>877</v>
      </c>
      <c r="E107" s="9" t="s">
        <v>895</v>
      </c>
      <c r="F107" s="9" t="s">
        <v>840</v>
      </c>
      <c r="G107" s="9" t="s">
        <v>649</v>
      </c>
      <c r="H107" s="31">
        <v>1.0</v>
      </c>
    </row>
    <row r="108">
      <c r="A108" s="11">
        <v>46136.87896107639</v>
      </c>
      <c r="B108" s="9" t="s">
        <v>359</v>
      </c>
      <c r="C108" s="9" t="s">
        <v>864</v>
      </c>
      <c r="D108" s="9" t="s">
        <v>877</v>
      </c>
      <c r="E108" s="9" t="s">
        <v>852</v>
      </c>
      <c r="F108" s="9" t="s">
        <v>840</v>
      </c>
      <c r="G108" s="9" t="s">
        <v>649</v>
      </c>
      <c r="H108" s="31">
        <v>1.0</v>
      </c>
    </row>
    <row r="109">
      <c r="A109" s="11">
        <v>46136.88348917824</v>
      </c>
      <c r="B109" s="9" t="s">
        <v>123</v>
      </c>
      <c r="C109" s="9" t="s">
        <v>869</v>
      </c>
      <c r="D109" s="9" t="s">
        <v>870</v>
      </c>
      <c r="E109" s="9" t="s">
        <v>858</v>
      </c>
      <c r="F109" s="9" t="s">
        <v>840</v>
      </c>
      <c r="G109" s="9" t="s">
        <v>649</v>
      </c>
      <c r="H109" s="31">
        <v>2.0</v>
      </c>
    </row>
    <row r="110">
      <c r="A110" s="11">
        <v>46136.88607525463</v>
      </c>
      <c r="B110" s="9" t="s">
        <v>72</v>
      </c>
      <c r="C110" s="9" t="s">
        <v>853</v>
      </c>
      <c r="D110" s="9" t="s">
        <v>880</v>
      </c>
      <c r="E110" s="9" t="s">
        <v>869</v>
      </c>
      <c r="F110" s="9" t="s">
        <v>840</v>
      </c>
      <c r="G110" s="9" t="s">
        <v>649</v>
      </c>
      <c r="H110" s="31">
        <v>2.0</v>
      </c>
    </row>
    <row r="111">
      <c r="A111" s="11">
        <v>46136.88756042824</v>
      </c>
      <c r="B111" s="9" t="s">
        <v>167</v>
      </c>
      <c r="C111" s="9" t="s">
        <v>882</v>
      </c>
      <c r="D111" s="9" t="s">
        <v>852</v>
      </c>
      <c r="E111" s="9" t="s">
        <v>895</v>
      </c>
      <c r="F111" s="9" t="s">
        <v>840</v>
      </c>
      <c r="G111" s="9" t="s">
        <v>649</v>
      </c>
      <c r="H111" s="31">
        <v>1.0</v>
      </c>
    </row>
    <row r="112">
      <c r="A112" s="11">
        <v>46136.891463796295</v>
      </c>
      <c r="B112" s="9" t="s">
        <v>100</v>
      </c>
      <c r="C112" s="9" t="s">
        <v>887</v>
      </c>
      <c r="D112" s="9" t="s">
        <v>837</v>
      </c>
      <c r="E112" s="9" t="s">
        <v>857</v>
      </c>
      <c r="F112" s="9" t="s">
        <v>840</v>
      </c>
      <c r="H112" s="31">
        <v>1.0</v>
      </c>
    </row>
    <row r="113">
      <c r="A113" s="11">
        <v>46136.90660165509</v>
      </c>
      <c r="B113" s="9" t="s">
        <v>131</v>
      </c>
      <c r="C113" s="9" t="s">
        <v>853</v>
      </c>
      <c r="D113" s="9" t="s">
        <v>872</v>
      </c>
      <c r="E113" s="9" t="s">
        <v>891</v>
      </c>
      <c r="F113" s="9" t="s">
        <v>840</v>
      </c>
      <c r="G113" s="9" t="s">
        <v>649</v>
      </c>
      <c r="H113" s="31">
        <v>1.0</v>
      </c>
    </row>
    <row r="114">
      <c r="A114" s="11">
        <v>46136.915256319444</v>
      </c>
      <c r="B114" s="9" t="s">
        <v>128</v>
      </c>
      <c r="C114" s="9" t="s">
        <v>872</v>
      </c>
      <c r="D114" s="9" t="s">
        <v>852</v>
      </c>
      <c r="E114" s="9" t="s">
        <v>868</v>
      </c>
      <c r="F114" s="9" t="s">
        <v>840</v>
      </c>
      <c r="G114" s="9" t="s">
        <v>649</v>
      </c>
      <c r="H114" s="31">
        <v>2.0</v>
      </c>
    </row>
    <row r="115">
      <c r="A115" s="11">
        <v>46136.91772449074</v>
      </c>
      <c r="B115" s="9" t="s">
        <v>409</v>
      </c>
      <c r="C115" s="9" t="s">
        <v>878</v>
      </c>
      <c r="D115" s="9" t="s">
        <v>870</v>
      </c>
      <c r="E115" s="9" t="s">
        <v>877</v>
      </c>
      <c r="F115" s="9" t="s">
        <v>840</v>
      </c>
      <c r="G115" s="9" t="s">
        <v>649</v>
      </c>
      <c r="H115" s="31">
        <v>1.0</v>
      </c>
    </row>
    <row r="116">
      <c r="A116" s="11">
        <v>46136.93338266204</v>
      </c>
      <c r="B116" s="9" t="s">
        <v>157</v>
      </c>
      <c r="C116" s="9" t="s">
        <v>857</v>
      </c>
      <c r="D116" s="9" t="s">
        <v>853</v>
      </c>
      <c r="E116" s="9" t="s">
        <v>859</v>
      </c>
      <c r="F116" s="9" t="s">
        <v>840</v>
      </c>
      <c r="G116" s="9" t="s">
        <v>649</v>
      </c>
      <c r="H116" s="31">
        <v>1.0</v>
      </c>
    </row>
    <row r="117">
      <c r="A117" s="11">
        <v>46136.93930236111</v>
      </c>
      <c r="B117" s="9" t="s">
        <v>154</v>
      </c>
      <c r="C117" s="9" t="s">
        <v>876</v>
      </c>
      <c r="D117" s="9" t="s">
        <v>863</v>
      </c>
      <c r="E117" s="9" t="s">
        <v>852</v>
      </c>
      <c r="F117" s="9" t="s">
        <v>840</v>
      </c>
      <c r="G117" s="9" t="s">
        <v>649</v>
      </c>
      <c r="H117" s="31">
        <v>1.0</v>
      </c>
    </row>
    <row r="118">
      <c r="A118" s="11">
        <v>46136.94750126157</v>
      </c>
      <c r="B118" s="9" t="s">
        <v>160</v>
      </c>
      <c r="C118" s="9" t="s">
        <v>853</v>
      </c>
      <c r="D118" s="9" t="s">
        <v>867</v>
      </c>
      <c r="E118" s="9" t="s">
        <v>854</v>
      </c>
      <c r="F118" s="9" t="s">
        <v>840</v>
      </c>
      <c r="G118" s="9" t="s">
        <v>649</v>
      </c>
      <c r="H118" s="31">
        <v>1.0</v>
      </c>
    </row>
    <row r="119">
      <c r="A119" s="11">
        <v>46136.95623015046</v>
      </c>
      <c r="B119" s="9" t="s">
        <v>346</v>
      </c>
      <c r="C119" s="9" t="s">
        <v>877</v>
      </c>
      <c r="D119" s="9" t="s">
        <v>861</v>
      </c>
      <c r="E119" s="9" t="s">
        <v>868</v>
      </c>
      <c r="F119" s="9" t="s">
        <v>840</v>
      </c>
      <c r="G119" s="9" t="s">
        <v>649</v>
      </c>
      <c r="H119" s="31">
        <v>1.0</v>
      </c>
    </row>
    <row r="120">
      <c r="A120" s="11">
        <v>46136.95788980324</v>
      </c>
      <c r="B120" s="9" t="s">
        <v>139</v>
      </c>
      <c r="C120" s="9" t="s">
        <v>837</v>
      </c>
      <c r="D120" s="9" t="s">
        <v>852</v>
      </c>
      <c r="E120" s="9" t="s">
        <v>889</v>
      </c>
      <c r="F120" s="9" t="s">
        <v>840</v>
      </c>
      <c r="H120" s="31">
        <v>1.0</v>
      </c>
    </row>
    <row r="121">
      <c r="A121" s="11">
        <v>46136.95923025463</v>
      </c>
      <c r="B121" s="9" t="s">
        <v>168</v>
      </c>
      <c r="C121" s="9" t="s">
        <v>837</v>
      </c>
      <c r="D121" s="9" t="s">
        <v>852</v>
      </c>
      <c r="E121" s="9" t="s">
        <v>891</v>
      </c>
      <c r="F121" s="9" t="s">
        <v>840</v>
      </c>
      <c r="G121" s="9" t="s">
        <v>649</v>
      </c>
      <c r="H121" s="31">
        <v>1.0</v>
      </c>
    </row>
    <row r="122">
      <c r="A122" s="11">
        <v>46136.959854664354</v>
      </c>
      <c r="B122" s="9" t="s">
        <v>161</v>
      </c>
      <c r="C122" s="9" t="s">
        <v>853</v>
      </c>
      <c r="D122" s="9" t="s">
        <v>839</v>
      </c>
      <c r="E122" s="9" t="s">
        <v>837</v>
      </c>
      <c r="F122" s="9" t="s">
        <v>840</v>
      </c>
      <c r="G122" s="9" t="s">
        <v>649</v>
      </c>
      <c r="H122" s="31">
        <v>1.0</v>
      </c>
    </row>
    <row r="123">
      <c r="A123" s="11">
        <v>46136.976944560185</v>
      </c>
      <c r="B123" s="9" t="s">
        <v>81</v>
      </c>
      <c r="C123" s="9" t="s">
        <v>865</v>
      </c>
      <c r="D123" s="9" t="s">
        <v>866</v>
      </c>
      <c r="E123" s="9" t="s">
        <v>881</v>
      </c>
      <c r="F123" s="9" t="s">
        <v>840</v>
      </c>
      <c r="G123" s="9" t="s">
        <v>649</v>
      </c>
      <c r="H123" s="31">
        <v>3.0</v>
      </c>
    </row>
    <row r="124">
      <c r="A124" s="11">
        <v>46136.97911478009</v>
      </c>
      <c r="B124" s="9" t="s">
        <v>231</v>
      </c>
      <c r="C124" s="9" t="s">
        <v>876</v>
      </c>
      <c r="D124" s="9" t="s">
        <v>890</v>
      </c>
      <c r="E124" s="9" t="s">
        <v>852</v>
      </c>
      <c r="F124" s="9" t="s">
        <v>840</v>
      </c>
      <c r="G124" s="9" t="s">
        <v>649</v>
      </c>
      <c r="H124" s="31">
        <v>1.0</v>
      </c>
    </row>
    <row r="125">
      <c r="A125" s="11">
        <v>46136.991336736115</v>
      </c>
      <c r="B125" s="9" t="s">
        <v>60</v>
      </c>
      <c r="C125" s="9" t="s">
        <v>882</v>
      </c>
      <c r="D125" s="9" t="s">
        <v>891</v>
      </c>
      <c r="E125" s="9" t="s">
        <v>878</v>
      </c>
      <c r="F125" s="9" t="s">
        <v>840</v>
      </c>
      <c r="G125" s="9" t="s">
        <v>649</v>
      </c>
      <c r="H125" s="31">
        <v>2.0</v>
      </c>
    </row>
    <row r="126">
      <c r="A126" s="11">
        <v>46136.9973044213</v>
      </c>
      <c r="B126" s="9" t="s">
        <v>179</v>
      </c>
      <c r="C126" s="9" t="s">
        <v>865</v>
      </c>
      <c r="D126" s="9" t="s">
        <v>864</v>
      </c>
      <c r="E126" s="9" t="s">
        <v>869</v>
      </c>
      <c r="F126" s="9" t="s">
        <v>840</v>
      </c>
      <c r="G126" s="9" t="s">
        <v>649</v>
      </c>
      <c r="H126" s="31">
        <v>1.0</v>
      </c>
    </row>
    <row r="127">
      <c r="A127" s="11">
        <v>46137.00322690972</v>
      </c>
      <c r="B127" s="9" t="s">
        <v>133</v>
      </c>
      <c r="C127" s="9" t="s">
        <v>900</v>
      </c>
      <c r="D127" s="9" t="s">
        <v>852</v>
      </c>
      <c r="E127" s="9" t="s">
        <v>880</v>
      </c>
      <c r="F127" s="9" t="s">
        <v>840</v>
      </c>
      <c r="G127" s="9" t="s">
        <v>649</v>
      </c>
      <c r="H127" s="31">
        <v>2.0</v>
      </c>
    </row>
    <row r="128">
      <c r="A128" s="11">
        <v>46137.014159432874</v>
      </c>
      <c r="B128" s="9" t="s">
        <v>131</v>
      </c>
      <c r="C128" s="9" t="s">
        <v>853</v>
      </c>
      <c r="D128" s="9" t="s">
        <v>872</v>
      </c>
      <c r="E128" s="9" t="s">
        <v>891</v>
      </c>
      <c r="F128" s="9" t="s">
        <v>840</v>
      </c>
      <c r="G128" s="9" t="s">
        <v>834</v>
      </c>
      <c r="H128" s="31"/>
    </row>
    <row r="129">
      <c r="A129" s="11">
        <v>46137.01707164352</v>
      </c>
      <c r="B129" s="9" t="s">
        <v>189</v>
      </c>
      <c r="C129" s="9" t="s">
        <v>852</v>
      </c>
      <c r="D129" s="9" t="s">
        <v>858</v>
      </c>
      <c r="E129" s="9" t="s">
        <v>859</v>
      </c>
      <c r="F129" s="9" t="s">
        <v>840</v>
      </c>
      <c r="G129" s="9" t="s">
        <v>860</v>
      </c>
      <c r="H129" s="31"/>
    </row>
    <row r="130">
      <c r="A130" s="11">
        <v>46137.01849947916</v>
      </c>
      <c r="B130" s="9" t="s">
        <v>189</v>
      </c>
      <c r="C130" s="9" t="s">
        <v>857</v>
      </c>
      <c r="D130" s="9" t="s">
        <v>859</v>
      </c>
      <c r="E130" s="9" t="s">
        <v>858</v>
      </c>
      <c r="F130" s="9" t="s">
        <v>840</v>
      </c>
      <c r="G130" s="9" t="s">
        <v>649</v>
      </c>
      <c r="H130" s="31">
        <v>1.0</v>
      </c>
    </row>
    <row r="131">
      <c r="A131" s="11">
        <v>46137.02061504629</v>
      </c>
      <c r="B131" s="9" t="s">
        <v>186</v>
      </c>
      <c r="C131" s="9" t="s">
        <v>853</v>
      </c>
      <c r="D131" s="9" t="s">
        <v>868</v>
      </c>
      <c r="E131" s="9" t="s">
        <v>839</v>
      </c>
      <c r="F131" s="9" t="s">
        <v>840</v>
      </c>
      <c r="G131" s="9" t="s">
        <v>649</v>
      </c>
      <c r="H131" s="31">
        <v>1.0</v>
      </c>
    </row>
    <row r="132">
      <c r="A132" s="11">
        <v>46137.025133159725</v>
      </c>
      <c r="B132" s="9" t="s">
        <v>131</v>
      </c>
      <c r="C132" s="9" t="s">
        <v>867</v>
      </c>
      <c r="D132" s="9" t="s">
        <v>874</v>
      </c>
      <c r="E132" s="9" t="s">
        <v>875</v>
      </c>
      <c r="F132" s="9" t="s">
        <v>840</v>
      </c>
      <c r="G132" s="9" t="s">
        <v>649</v>
      </c>
      <c r="H132" s="31">
        <v>2.0</v>
      </c>
    </row>
    <row r="133">
      <c r="A133" s="11">
        <v>46137.028795949074</v>
      </c>
      <c r="B133" s="9" t="s">
        <v>183</v>
      </c>
      <c r="C133" s="9" t="s">
        <v>867</v>
      </c>
      <c r="D133" s="9" t="s">
        <v>878</v>
      </c>
      <c r="E133" s="9" t="s">
        <v>837</v>
      </c>
      <c r="F133" s="9" t="s">
        <v>840</v>
      </c>
      <c r="G133" s="9" t="s">
        <v>649</v>
      </c>
      <c r="H133" s="31">
        <v>1.0</v>
      </c>
    </row>
    <row r="134">
      <c r="A134" s="11">
        <v>46137.043784849535</v>
      </c>
      <c r="B134" s="9" t="s">
        <v>195</v>
      </c>
      <c r="C134" s="9" t="s">
        <v>869</v>
      </c>
      <c r="D134" s="9" t="s">
        <v>861</v>
      </c>
      <c r="E134" s="9" t="s">
        <v>866</v>
      </c>
      <c r="F134" s="9" t="s">
        <v>840</v>
      </c>
      <c r="G134" s="9" t="s">
        <v>649</v>
      </c>
      <c r="H134" s="31">
        <v>1.0</v>
      </c>
    </row>
    <row r="135">
      <c r="A135" s="11">
        <v>46137.04648667824</v>
      </c>
      <c r="B135" s="9" t="s">
        <v>190</v>
      </c>
      <c r="C135" s="9" t="s">
        <v>877</v>
      </c>
      <c r="D135" s="9" t="s">
        <v>864</v>
      </c>
      <c r="E135" s="9" t="s">
        <v>852</v>
      </c>
      <c r="F135" s="9" t="s">
        <v>840</v>
      </c>
      <c r="G135" s="9" t="s">
        <v>649</v>
      </c>
      <c r="H135" s="31">
        <v>1.0</v>
      </c>
    </row>
    <row r="136">
      <c r="A136" s="11">
        <v>46137.04682841436</v>
      </c>
      <c r="B136" s="9" t="s">
        <v>66</v>
      </c>
      <c r="C136" s="9" t="s">
        <v>854</v>
      </c>
      <c r="D136" s="9" t="s">
        <v>882</v>
      </c>
      <c r="E136" s="9" t="s">
        <v>855</v>
      </c>
      <c r="F136" s="9" t="s">
        <v>840</v>
      </c>
      <c r="H136" s="31">
        <v>2.0</v>
      </c>
    </row>
    <row r="137">
      <c r="A137" s="11">
        <v>46137.0578555324</v>
      </c>
      <c r="B137" s="9" t="s">
        <v>191</v>
      </c>
      <c r="C137" s="9" t="s">
        <v>853</v>
      </c>
      <c r="D137" s="9" t="s">
        <v>875</v>
      </c>
      <c r="E137" s="9" t="s">
        <v>891</v>
      </c>
      <c r="F137" s="9" t="s">
        <v>840</v>
      </c>
      <c r="G137" s="9" t="s">
        <v>649</v>
      </c>
      <c r="H137" s="31">
        <v>1.0</v>
      </c>
    </row>
    <row r="138">
      <c r="A138" s="11">
        <v>46137.06443484954</v>
      </c>
      <c r="B138" s="9" t="s">
        <v>182</v>
      </c>
      <c r="C138" s="9" t="s">
        <v>876</v>
      </c>
      <c r="D138" s="9" t="s">
        <v>864</v>
      </c>
      <c r="E138" s="9" t="s">
        <v>865</v>
      </c>
      <c r="F138" s="9" t="s">
        <v>840</v>
      </c>
      <c r="G138" s="9" t="s">
        <v>834</v>
      </c>
      <c r="H138" s="31"/>
    </row>
    <row r="139">
      <c r="A139" s="11">
        <v>46137.065146134264</v>
      </c>
      <c r="B139" s="9" t="s">
        <v>192</v>
      </c>
      <c r="C139" s="9" t="s">
        <v>837</v>
      </c>
      <c r="D139" s="9" t="s">
        <v>852</v>
      </c>
      <c r="E139" s="9" t="s">
        <v>869</v>
      </c>
      <c r="F139" s="9" t="s">
        <v>840</v>
      </c>
      <c r="H139" s="31">
        <v>1.0</v>
      </c>
    </row>
    <row r="140">
      <c r="A140" s="11">
        <v>46137.06620912037</v>
      </c>
      <c r="B140" s="9" t="s">
        <v>88</v>
      </c>
      <c r="C140" s="9" t="s">
        <v>878</v>
      </c>
      <c r="D140" s="9" t="s">
        <v>889</v>
      </c>
      <c r="E140" s="9" t="s">
        <v>887</v>
      </c>
      <c r="F140" s="9" t="s">
        <v>840</v>
      </c>
      <c r="H140" s="31">
        <v>2.0</v>
      </c>
    </row>
    <row r="141">
      <c r="A141" s="11">
        <v>46137.066837280094</v>
      </c>
      <c r="B141" s="9" t="s">
        <v>182</v>
      </c>
      <c r="C141" s="9" t="s">
        <v>865</v>
      </c>
      <c r="D141" s="9" t="s">
        <v>876</v>
      </c>
      <c r="E141" s="9" t="s">
        <v>863</v>
      </c>
      <c r="F141" s="9" t="s">
        <v>840</v>
      </c>
      <c r="G141" s="9" t="s">
        <v>834</v>
      </c>
      <c r="H141" s="31"/>
    </row>
    <row r="142">
      <c r="A142" s="11">
        <v>46137.068631585644</v>
      </c>
      <c r="B142" s="9" t="s">
        <v>293</v>
      </c>
      <c r="C142" s="9" t="s">
        <v>852</v>
      </c>
      <c r="D142" s="9" t="s">
        <v>864</v>
      </c>
      <c r="E142" s="9" t="s">
        <v>887</v>
      </c>
      <c r="F142" s="9" t="s">
        <v>840</v>
      </c>
      <c r="G142" s="9" t="s">
        <v>649</v>
      </c>
      <c r="H142" s="31">
        <v>1.0</v>
      </c>
    </row>
    <row r="143">
      <c r="A143" s="11">
        <v>46137.097599120374</v>
      </c>
      <c r="B143" s="9" t="s">
        <v>186</v>
      </c>
      <c r="C143" s="9" t="s">
        <v>876</v>
      </c>
      <c r="D143" s="9" t="s">
        <v>861</v>
      </c>
      <c r="E143" s="9" t="s">
        <v>890</v>
      </c>
      <c r="F143" s="9" t="s">
        <v>840</v>
      </c>
      <c r="G143" s="9" t="s">
        <v>649</v>
      </c>
      <c r="H143" s="31">
        <v>2.0</v>
      </c>
    </row>
    <row r="144">
      <c r="A144" s="11">
        <v>46137.16759491898</v>
      </c>
      <c r="B144" s="9" t="s">
        <v>396</v>
      </c>
      <c r="C144" s="9" t="s">
        <v>876</v>
      </c>
      <c r="D144" s="9" t="s">
        <v>863</v>
      </c>
      <c r="E144" s="9" t="s">
        <v>869</v>
      </c>
      <c r="F144" s="9" t="s">
        <v>840</v>
      </c>
      <c r="G144" s="9" t="s">
        <v>860</v>
      </c>
      <c r="H144" s="31"/>
    </row>
    <row r="145">
      <c r="A145" s="11">
        <v>46137.277728981484</v>
      </c>
      <c r="B145" s="9" t="s">
        <v>156</v>
      </c>
      <c r="C145" s="9" t="s">
        <v>854</v>
      </c>
      <c r="D145" s="9" t="s">
        <v>858</v>
      </c>
      <c r="E145" s="9" t="s">
        <v>900</v>
      </c>
      <c r="F145" s="9" t="s">
        <v>840</v>
      </c>
      <c r="G145" s="9" t="s">
        <v>649</v>
      </c>
      <c r="H145" s="31">
        <v>2.0</v>
      </c>
    </row>
    <row r="146">
      <c r="A146" s="11">
        <v>46137.28059497685</v>
      </c>
      <c r="B146" s="9" t="s">
        <v>202</v>
      </c>
      <c r="C146" s="9" t="s">
        <v>852</v>
      </c>
      <c r="D146" s="9" t="s">
        <v>869</v>
      </c>
      <c r="E146" s="9" t="s">
        <v>890</v>
      </c>
      <c r="F146" s="9" t="s">
        <v>840</v>
      </c>
      <c r="G146" s="9" t="s">
        <v>649</v>
      </c>
      <c r="H146" s="31">
        <v>1.0</v>
      </c>
    </row>
    <row r="147">
      <c r="A147" s="11">
        <v>46137.31854743056</v>
      </c>
      <c r="B147" s="9" t="s">
        <v>205</v>
      </c>
      <c r="C147" s="9" t="s">
        <v>883</v>
      </c>
      <c r="D147" s="9" t="s">
        <v>870</v>
      </c>
      <c r="E147" s="9" t="s">
        <v>858</v>
      </c>
      <c r="F147" s="9" t="s">
        <v>840</v>
      </c>
      <c r="G147" s="9" t="s">
        <v>649</v>
      </c>
      <c r="H147" s="31">
        <v>1.0</v>
      </c>
    </row>
    <row r="148">
      <c r="A148" s="11">
        <v>46137.32657282407</v>
      </c>
      <c r="B148" s="9" t="s">
        <v>208</v>
      </c>
      <c r="C148" s="9" t="s">
        <v>852</v>
      </c>
      <c r="D148" s="9" t="s">
        <v>859</v>
      </c>
      <c r="E148" s="9" t="s">
        <v>854</v>
      </c>
      <c r="F148" s="9" t="s">
        <v>840</v>
      </c>
      <c r="G148" s="9" t="s">
        <v>649</v>
      </c>
      <c r="H148" s="31">
        <v>1.0</v>
      </c>
    </row>
    <row r="149">
      <c r="A149" s="11">
        <v>46137.370891342594</v>
      </c>
      <c r="B149" s="9" t="s">
        <v>214</v>
      </c>
      <c r="C149" s="9" t="s">
        <v>837</v>
      </c>
      <c r="D149" s="9" t="s">
        <v>852</v>
      </c>
      <c r="E149" s="9" t="s">
        <v>867</v>
      </c>
      <c r="F149" s="9" t="s">
        <v>840</v>
      </c>
      <c r="G149" s="9" t="s">
        <v>649</v>
      </c>
      <c r="H149" s="31">
        <v>1.0</v>
      </c>
    </row>
    <row r="150">
      <c r="A150" s="11">
        <v>46137.395376886576</v>
      </c>
      <c r="B150" s="9" t="s">
        <v>156</v>
      </c>
      <c r="C150" s="9" t="s">
        <v>855</v>
      </c>
      <c r="D150" s="9" t="s">
        <v>880</v>
      </c>
      <c r="E150" s="9" t="s">
        <v>896</v>
      </c>
      <c r="F150" s="9" t="s">
        <v>840</v>
      </c>
      <c r="G150" s="9" t="s">
        <v>649</v>
      </c>
      <c r="H150" s="31">
        <v>3.0</v>
      </c>
    </row>
    <row r="151">
      <c r="A151" s="11">
        <v>46137.403632291665</v>
      </c>
      <c r="B151" s="9" t="s">
        <v>217</v>
      </c>
      <c r="C151" s="9" t="s">
        <v>852</v>
      </c>
      <c r="D151" s="9" t="s">
        <v>878</v>
      </c>
      <c r="E151" s="9" t="s">
        <v>877</v>
      </c>
      <c r="F151" s="9" t="s">
        <v>840</v>
      </c>
      <c r="G151" s="9" t="s">
        <v>649</v>
      </c>
      <c r="H151" s="31">
        <v>1.0</v>
      </c>
    </row>
    <row r="152">
      <c r="A152" s="11">
        <v>46137.42538476852</v>
      </c>
      <c r="B152" s="9" t="s">
        <v>284</v>
      </c>
      <c r="C152" s="9" t="s">
        <v>861</v>
      </c>
      <c r="D152" s="9" t="s">
        <v>869</v>
      </c>
      <c r="E152" s="9" t="s">
        <v>852</v>
      </c>
      <c r="F152" s="9" t="s">
        <v>840</v>
      </c>
      <c r="G152" s="9" t="s">
        <v>649</v>
      </c>
      <c r="H152" s="31">
        <v>1.0</v>
      </c>
    </row>
    <row r="153">
      <c r="A153" s="11">
        <v>46137.43860740741</v>
      </c>
      <c r="B153" s="9" t="s">
        <v>224</v>
      </c>
      <c r="C153" s="9" t="s">
        <v>852</v>
      </c>
      <c r="D153" s="9" t="s">
        <v>864</v>
      </c>
      <c r="E153" s="9" t="s">
        <v>861</v>
      </c>
      <c r="F153" s="9" t="s">
        <v>840</v>
      </c>
      <c r="G153" s="9" t="s">
        <v>649</v>
      </c>
      <c r="H153" s="31">
        <v>1.0</v>
      </c>
    </row>
    <row r="154">
      <c r="A154" s="11">
        <v>46137.44773140046</v>
      </c>
      <c r="B154" s="9" t="s">
        <v>174</v>
      </c>
      <c r="C154" s="9" t="s">
        <v>863</v>
      </c>
      <c r="D154" s="9" t="s">
        <v>869</v>
      </c>
      <c r="E154" s="9" t="s">
        <v>866</v>
      </c>
      <c r="F154" s="9" t="s">
        <v>840</v>
      </c>
      <c r="G154" s="9" t="s">
        <v>649</v>
      </c>
      <c r="H154" s="31">
        <v>2.0</v>
      </c>
    </row>
    <row r="155">
      <c r="A155" s="11">
        <v>46137.493182453705</v>
      </c>
      <c r="B155" s="9" t="s">
        <v>179</v>
      </c>
      <c r="C155" s="9" t="s">
        <v>879</v>
      </c>
      <c r="D155" s="9" t="s">
        <v>870</v>
      </c>
      <c r="E155" s="9" t="s">
        <v>872</v>
      </c>
      <c r="F155" s="9" t="s">
        <v>840</v>
      </c>
      <c r="G155" s="9" t="s">
        <v>649</v>
      </c>
      <c r="H155" s="31">
        <v>2.0</v>
      </c>
    </row>
    <row r="156">
      <c r="A156" s="11">
        <v>46137.49711678241</v>
      </c>
      <c r="B156" s="9" t="s">
        <v>94</v>
      </c>
      <c r="C156" s="9" t="s">
        <v>874</v>
      </c>
      <c r="D156" s="9" t="s">
        <v>861</v>
      </c>
      <c r="E156" s="9" t="s">
        <v>838</v>
      </c>
      <c r="F156" s="9" t="s">
        <v>840</v>
      </c>
      <c r="G156" s="9" t="s">
        <v>649</v>
      </c>
      <c r="H156" s="31">
        <v>2.0</v>
      </c>
    </row>
    <row r="157">
      <c r="A157" s="11">
        <v>46137.49876266204</v>
      </c>
      <c r="B157" s="9" t="s">
        <v>114</v>
      </c>
      <c r="C157" s="9" t="s">
        <v>852</v>
      </c>
      <c r="D157" s="9" t="s">
        <v>866</v>
      </c>
      <c r="E157" s="9" t="s">
        <v>890</v>
      </c>
      <c r="F157" s="9" t="s">
        <v>840</v>
      </c>
      <c r="H157" s="31">
        <v>2.0</v>
      </c>
    </row>
    <row r="158">
      <c r="A158" s="11">
        <v>46137.5155046875</v>
      </c>
      <c r="B158" s="9" t="s">
        <v>227</v>
      </c>
      <c r="C158" s="9" t="s">
        <v>839</v>
      </c>
      <c r="D158" s="9" t="s">
        <v>852</v>
      </c>
      <c r="E158" s="9" t="s">
        <v>868</v>
      </c>
      <c r="F158" s="9" t="s">
        <v>840</v>
      </c>
      <c r="G158" s="9" t="s">
        <v>649</v>
      </c>
      <c r="H158" s="31">
        <v>1.0</v>
      </c>
    </row>
    <row r="159">
      <c r="A159" s="11">
        <v>46137.52681697917</v>
      </c>
      <c r="B159" s="9" t="s">
        <v>158</v>
      </c>
      <c r="C159" s="9" t="s">
        <v>861</v>
      </c>
      <c r="D159" s="9" t="s">
        <v>837</v>
      </c>
      <c r="E159" s="9" t="s">
        <v>852</v>
      </c>
      <c r="F159" s="9" t="s">
        <v>840</v>
      </c>
      <c r="G159" s="9" t="s">
        <v>649</v>
      </c>
      <c r="H159" s="31">
        <v>2.0</v>
      </c>
    </row>
    <row r="160">
      <c r="A160" s="11">
        <v>46137.52827819444</v>
      </c>
      <c r="B160" s="9" t="s">
        <v>160</v>
      </c>
      <c r="C160" s="9" t="s">
        <v>874</v>
      </c>
      <c r="D160" s="9" t="s">
        <v>875</v>
      </c>
      <c r="E160" s="9" t="s">
        <v>872</v>
      </c>
      <c r="F160" s="9" t="s">
        <v>840</v>
      </c>
      <c r="G160" s="9" t="s">
        <v>649</v>
      </c>
      <c r="H160" s="31">
        <v>2.0</v>
      </c>
    </row>
    <row r="161">
      <c r="A161" s="11">
        <v>46137.53693717593</v>
      </c>
      <c r="B161" s="9" t="s">
        <v>233</v>
      </c>
      <c r="C161" s="9" t="s">
        <v>857</v>
      </c>
      <c r="D161" s="9" t="s">
        <v>837</v>
      </c>
      <c r="E161" s="9" t="s">
        <v>877</v>
      </c>
      <c r="F161" s="9" t="s">
        <v>840</v>
      </c>
      <c r="G161" s="9" t="s">
        <v>649</v>
      </c>
      <c r="H161" s="31">
        <v>1.0</v>
      </c>
    </row>
    <row r="162">
      <c r="A162" s="11">
        <v>46137.56563412037</v>
      </c>
      <c r="B162" s="9" t="s">
        <v>229</v>
      </c>
      <c r="C162" s="9" t="s">
        <v>852</v>
      </c>
      <c r="D162" s="9" t="s">
        <v>869</v>
      </c>
      <c r="E162" s="9" t="s">
        <v>890</v>
      </c>
      <c r="F162" s="9" t="s">
        <v>840</v>
      </c>
      <c r="G162" s="9" t="s">
        <v>834</v>
      </c>
      <c r="H162" s="31"/>
    </row>
    <row r="163">
      <c r="A163" s="11">
        <v>46137.59220728009</v>
      </c>
      <c r="B163" s="9" t="s">
        <v>238</v>
      </c>
      <c r="C163" s="9" t="s">
        <v>864</v>
      </c>
      <c r="D163" s="9" t="s">
        <v>866</v>
      </c>
      <c r="E163" s="9" t="s">
        <v>856</v>
      </c>
      <c r="F163" s="9" t="s">
        <v>840</v>
      </c>
      <c r="H163" s="31">
        <v>1.0</v>
      </c>
    </row>
    <row r="164">
      <c r="A164" s="11">
        <v>46137.60707574074</v>
      </c>
      <c r="B164" s="9" t="s">
        <v>243</v>
      </c>
      <c r="C164" s="9" t="s">
        <v>853</v>
      </c>
      <c r="D164" s="9" t="s">
        <v>837</v>
      </c>
      <c r="E164" s="9" t="s">
        <v>852</v>
      </c>
      <c r="F164" s="9" t="s">
        <v>840</v>
      </c>
      <c r="G164" s="9" t="s">
        <v>649</v>
      </c>
      <c r="H164" s="31">
        <v>1.0</v>
      </c>
    </row>
    <row r="165">
      <c r="A165" s="11">
        <v>46137.615369583335</v>
      </c>
      <c r="B165" s="9" t="s">
        <v>316</v>
      </c>
      <c r="C165" s="9" t="s">
        <v>869</v>
      </c>
      <c r="D165" s="9" t="s">
        <v>852</v>
      </c>
      <c r="E165" s="9" t="s">
        <v>864</v>
      </c>
      <c r="F165" s="9" t="s">
        <v>840</v>
      </c>
      <c r="G165" s="9" t="s">
        <v>649</v>
      </c>
      <c r="H165" s="31">
        <v>1.0</v>
      </c>
    </row>
    <row r="166">
      <c r="A166" s="11">
        <v>46137.61934986111</v>
      </c>
      <c r="B166" s="9" t="s">
        <v>172</v>
      </c>
      <c r="C166" s="9" t="s">
        <v>867</v>
      </c>
      <c r="D166" s="9" t="s">
        <v>853</v>
      </c>
      <c r="E166" s="9" t="s">
        <v>900</v>
      </c>
      <c r="F166" s="9" t="s">
        <v>840</v>
      </c>
      <c r="G166" s="9" t="s">
        <v>649</v>
      </c>
      <c r="H166" s="31">
        <v>1.0</v>
      </c>
    </row>
    <row r="167">
      <c r="A167" s="11">
        <v>46137.62458649305</v>
      </c>
      <c r="B167" s="9" t="s">
        <v>235</v>
      </c>
      <c r="C167" s="9" t="s">
        <v>837</v>
      </c>
      <c r="D167" s="9" t="s">
        <v>872</v>
      </c>
      <c r="E167" s="9" t="s">
        <v>867</v>
      </c>
      <c r="F167" s="9" t="s">
        <v>840</v>
      </c>
      <c r="G167" s="9" t="s">
        <v>649</v>
      </c>
      <c r="H167" s="31">
        <v>2.0</v>
      </c>
    </row>
    <row r="168">
      <c r="A168" s="11">
        <v>46137.625647974535</v>
      </c>
      <c r="B168" s="9" t="s">
        <v>219</v>
      </c>
      <c r="C168" s="9" t="s">
        <v>837</v>
      </c>
      <c r="D168" s="9" t="s">
        <v>864</v>
      </c>
      <c r="E168" s="9" t="s">
        <v>877</v>
      </c>
      <c r="F168" s="9" t="s">
        <v>840</v>
      </c>
      <c r="G168" s="9" t="s">
        <v>649</v>
      </c>
      <c r="H168" s="31">
        <v>1.0</v>
      </c>
    </row>
    <row r="169">
      <c r="A169" s="11">
        <v>46137.62962969908</v>
      </c>
      <c r="B169" s="9" t="s">
        <v>247</v>
      </c>
      <c r="C169" s="9" t="s">
        <v>837</v>
      </c>
      <c r="D169" s="9" t="s">
        <v>852</v>
      </c>
      <c r="E169" s="9" t="s">
        <v>896</v>
      </c>
      <c r="F169" s="9" t="s">
        <v>840</v>
      </c>
      <c r="G169" s="9" t="s">
        <v>649</v>
      </c>
      <c r="H169" s="31">
        <v>1.0</v>
      </c>
    </row>
    <row r="170">
      <c r="A170" s="11">
        <v>46137.63818671297</v>
      </c>
      <c r="B170" s="9" t="s">
        <v>182</v>
      </c>
      <c r="C170" s="9" t="s">
        <v>863</v>
      </c>
      <c r="D170" s="9" t="s">
        <v>865</v>
      </c>
      <c r="E170" s="9" t="s">
        <v>876</v>
      </c>
      <c r="F170" s="9" t="s">
        <v>840</v>
      </c>
      <c r="G170" s="9" t="s">
        <v>834</v>
      </c>
      <c r="H170" s="31"/>
    </row>
    <row r="171">
      <c r="A171" s="11">
        <v>46137.6429874537</v>
      </c>
      <c r="B171" s="9" t="s">
        <v>205</v>
      </c>
      <c r="C171" s="9" t="s">
        <v>878</v>
      </c>
      <c r="D171" s="9" t="s">
        <v>852</v>
      </c>
      <c r="E171" s="9" t="s">
        <v>878</v>
      </c>
      <c r="F171" s="9" t="s">
        <v>840</v>
      </c>
      <c r="G171" s="9" t="s">
        <v>834</v>
      </c>
      <c r="H171" s="31"/>
    </row>
    <row r="172">
      <c r="A172" s="11">
        <v>46137.643391875</v>
      </c>
      <c r="B172" s="9" t="s">
        <v>250</v>
      </c>
      <c r="C172" s="9" t="s">
        <v>852</v>
      </c>
      <c r="D172" s="9" t="s">
        <v>837</v>
      </c>
      <c r="E172" s="9" t="s">
        <v>869</v>
      </c>
      <c r="F172" s="9" t="s">
        <v>840</v>
      </c>
      <c r="G172" s="9" t="s">
        <v>649</v>
      </c>
      <c r="H172" s="31">
        <v>1.0</v>
      </c>
    </row>
    <row r="173">
      <c r="A173" s="11">
        <v>46137.649676608795</v>
      </c>
      <c r="B173" s="9" t="s">
        <v>242</v>
      </c>
      <c r="C173" s="9" t="s">
        <v>881</v>
      </c>
      <c r="D173" s="9" t="s">
        <v>837</v>
      </c>
      <c r="E173" s="9" t="s">
        <v>838</v>
      </c>
      <c r="F173" s="9" t="s">
        <v>840</v>
      </c>
      <c r="G173" s="9" t="s">
        <v>860</v>
      </c>
      <c r="H173" s="31"/>
    </row>
    <row r="174">
      <c r="A174" s="11">
        <v>46137.65456472222</v>
      </c>
      <c r="B174" s="9" t="s">
        <v>246</v>
      </c>
      <c r="C174" s="9" t="s">
        <v>852</v>
      </c>
      <c r="D174" s="9" t="s">
        <v>855</v>
      </c>
      <c r="E174" s="9" t="s">
        <v>854</v>
      </c>
      <c r="F174" s="9" t="s">
        <v>840</v>
      </c>
      <c r="G174" s="9" t="s">
        <v>649</v>
      </c>
      <c r="H174" s="31">
        <v>1.0</v>
      </c>
    </row>
    <row r="175">
      <c r="A175" s="11">
        <v>46137.658147256945</v>
      </c>
      <c r="B175" s="9" t="s">
        <v>169</v>
      </c>
      <c r="C175" s="9" t="s">
        <v>874</v>
      </c>
      <c r="D175" s="9" t="s">
        <v>865</v>
      </c>
      <c r="E175" s="9" t="s">
        <v>864</v>
      </c>
      <c r="F175" s="9" t="s">
        <v>840</v>
      </c>
      <c r="G175" s="9" t="s">
        <v>649</v>
      </c>
      <c r="H175" s="31">
        <v>2.0</v>
      </c>
    </row>
    <row r="176">
      <c r="A176" s="11">
        <v>46137.65943587963</v>
      </c>
      <c r="B176" s="9" t="s">
        <v>257</v>
      </c>
      <c r="C176" s="9" t="s">
        <v>895</v>
      </c>
      <c r="D176" s="9" t="s">
        <v>876</v>
      </c>
      <c r="E176" s="9" t="s">
        <v>861</v>
      </c>
      <c r="F176" s="9" t="s">
        <v>840</v>
      </c>
      <c r="G176" s="9" t="s">
        <v>649</v>
      </c>
      <c r="H176" s="31">
        <v>1.0</v>
      </c>
    </row>
    <row r="177">
      <c r="A177" s="11">
        <v>46137.686305208335</v>
      </c>
      <c r="B177" s="9" t="s">
        <v>142</v>
      </c>
      <c r="C177" s="9" t="s">
        <v>858</v>
      </c>
      <c r="D177" s="9" t="s">
        <v>853</v>
      </c>
      <c r="E177" s="9" t="s">
        <v>872</v>
      </c>
      <c r="F177" s="9" t="s">
        <v>840</v>
      </c>
      <c r="G177" s="9" t="s">
        <v>649</v>
      </c>
      <c r="H177" s="31">
        <v>2.0</v>
      </c>
    </row>
    <row r="178">
      <c r="A178" s="11">
        <v>46137.68838519676</v>
      </c>
      <c r="B178" s="9" t="s">
        <v>214</v>
      </c>
      <c r="C178" s="9" t="s">
        <v>858</v>
      </c>
      <c r="D178" s="9" t="s">
        <v>857</v>
      </c>
      <c r="E178" s="9" t="s">
        <v>900</v>
      </c>
      <c r="F178" s="9" t="s">
        <v>840</v>
      </c>
      <c r="G178" s="9" t="s">
        <v>649</v>
      </c>
      <c r="H178" s="31">
        <v>2.0</v>
      </c>
    </row>
    <row r="179">
      <c r="A179" s="11">
        <v>46137.68927931713</v>
      </c>
      <c r="B179" s="9" t="s">
        <v>254</v>
      </c>
      <c r="C179" s="9" t="s">
        <v>867</v>
      </c>
      <c r="D179" s="9" t="s">
        <v>870</v>
      </c>
      <c r="E179" s="9" t="s">
        <v>895</v>
      </c>
      <c r="F179" s="9" t="s">
        <v>840</v>
      </c>
      <c r="G179" s="9" t="s">
        <v>649</v>
      </c>
      <c r="H179" s="31">
        <v>1.0</v>
      </c>
    </row>
    <row r="180">
      <c r="A180" s="11">
        <v>46137.69254261574</v>
      </c>
      <c r="B180" s="9" t="s">
        <v>100</v>
      </c>
      <c r="C180" s="9" t="s">
        <v>852</v>
      </c>
      <c r="D180" s="9" t="s">
        <v>868</v>
      </c>
      <c r="E180" s="9" t="s">
        <v>867</v>
      </c>
      <c r="F180" s="9" t="s">
        <v>840</v>
      </c>
      <c r="H180" s="31">
        <v>2.0</v>
      </c>
    </row>
    <row r="181">
      <c r="A181" s="11">
        <v>46137.70087446759</v>
      </c>
      <c r="B181" s="9" t="s">
        <v>259</v>
      </c>
      <c r="C181" s="9" t="s">
        <v>837</v>
      </c>
      <c r="D181" s="9" t="s">
        <v>859</v>
      </c>
      <c r="E181" s="9" t="s">
        <v>852</v>
      </c>
      <c r="F181" s="9" t="s">
        <v>840</v>
      </c>
      <c r="G181" s="9" t="s">
        <v>649</v>
      </c>
      <c r="H181" s="31">
        <v>1.0</v>
      </c>
    </row>
    <row r="182">
      <c r="A182" s="11">
        <v>46137.71453059028</v>
      </c>
      <c r="B182" s="9" t="s">
        <v>301</v>
      </c>
      <c r="C182" s="9" t="s">
        <v>853</v>
      </c>
      <c r="D182" s="9" t="s">
        <v>867</v>
      </c>
      <c r="E182" s="9" t="s">
        <v>852</v>
      </c>
      <c r="F182" s="9" t="s">
        <v>840</v>
      </c>
      <c r="G182" s="9" t="s">
        <v>649</v>
      </c>
      <c r="H182" s="31">
        <v>1.0</v>
      </c>
    </row>
    <row r="183">
      <c r="A183" s="11">
        <v>46137.71651084491</v>
      </c>
      <c r="B183" s="9" t="s">
        <v>246</v>
      </c>
      <c r="C183" s="9" t="s">
        <v>869</v>
      </c>
      <c r="D183" s="9" t="s">
        <v>890</v>
      </c>
      <c r="E183" s="9" t="s">
        <v>883</v>
      </c>
      <c r="F183" s="9" t="s">
        <v>840</v>
      </c>
      <c r="G183" s="9" t="s">
        <v>649</v>
      </c>
      <c r="H183" s="31">
        <v>2.0</v>
      </c>
    </row>
    <row r="184">
      <c r="A184" s="11">
        <v>46137.71972068287</v>
      </c>
      <c r="B184" s="9" t="s">
        <v>245</v>
      </c>
      <c r="C184" s="9" t="s">
        <v>852</v>
      </c>
      <c r="D184" s="9" t="s">
        <v>871</v>
      </c>
      <c r="E184" s="9" t="s">
        <v>854</v>
      </c>
      <c r="F184" s="9" t="s">
        <v>840</v>
      </c>
      <c r="G184" s="9" t="s">
        <v>649</v>
      </c>
      <c r="H184" s="31">
        <v>1.0</v>
      </c>
    </row>
    <row r="185">
      <c r="A185" s="11">
        <v>46137.7199869676</v>
      </c>
      <c r="B185" s="9" t="s">
        <v>261</v>
      </c>
      <c r="C185" s="9" t="s">
        <v>852</v>
      </c>
      <c r="D185" s="9" t="s">
        <v>837</v>
      </c>
      <c r="E185" s="9" t="s">
        <v>869</v>
      </c>
      <c r="F185" s="9" t="s">
        <v>840</v>
      </c>
      <c r="G185" s="9" t="s">
        <v>649</v>
      </c>
      <c r="H185" s="31">
        <v>1.0</v>
      </c>
    </row>
    <row r="186">
      <c r="A186" s="11">
        <v>46137.73121158565</v>
      </c>
      <c r="B186" s="9" t="s">
        <v>163</v>
      </c>
      <c r="C186" s="9" t="s">
        <v>891</v>
      </c>
      <c r="D186" s="9" t="s">
        <v>872</v>
      </c>
      <c r="E186" s="9" t="s">
        <v>875</v>
      </c>
      <c r="F186" s="9" t="s">
        <v>840</v>
      </c>
      <c r="G186" s="9" t="s">
        <v>860</v>
      </c>
      <c r="H186" s="31"/>
    </row>
    <row r="187">
      <c r="A187" s="11">
        <v>46137.74007197916</v>
      </c>
      <c r="B187" s="9" t="s">
        <v>260</v>
      </c>
      <c r="C187" s="9" t="s">
        <v>852</v>
      </c>
      <c r="D187" s="9" t="s">
        <v>853</v>
      </c>
      <c r="E187" s="9" t="s">
        <v>837</v>
      </c>
      <c r="F187" s="9" t="s">
        <v>840</v>
      </c>
      <c r="G187" s="9" t="s">
        <v>649</v>
      </c>
      <c r="H187" s="31">
        <v>1.0</v>
      </c>
    </row>
    <row r="188">
      <c r="A188" s="11">
        <v>46137.745040995374</v>
      </c>
      <c r="B188" s="9" t="s">
        <v>226</v>
      </c>
      <c r="C188" s="9" t="s">
        <v>875</v>
      </c>
      <c r="D188" s="9" t="s">
        <v>858</v>
      </c>
      <c r="E188" s="9" t="s">
        <v>872</v>
      </c>
      <c r="F188" s="9" t="s">
        <v>840</v>
      </c>
      <c r="G188" s="9" t="s">
        <v>649</v>
      </c>
      <c r="H188" s="31">
        <v>1.0</v>
      </c>
    </row>
    <row r="189">
      <c r="A189" s="11">
        <v>46137.78929390047</v>
      </c>
      <c r="B189" s="9" t="s">
        <v>94</v>
      </c>
      <c r="C189" s="9" t="s">
        <v>900</v>
      </c>
      <c r="D189" s="9" t="s">
        <v>859</v>
      </c>
      <c r="E189" s="9" t="s">
        <v>891</v>
      </c>
      <c r="F189" s="9" t="s">
        <v>840</v>
      </c>
      <c r="G189" s="9" t="s">
        <v>649</v>
      </c>
      <c r="H189" s="31">
        <v>3.0</v>
      </c>
    </row>
    <row r="190">
      <c r="A190" s="11">
        <v>46137.792740000004</v>
      </c>
      <c r="B190" s="9" t="s">
        <v>266</v>
      </c>
      <c r="C190" s="9" t="s">
        <v>852</v>
      </c>
      <c r="D190" s="9" t="s">
        <v>855</v>
      </c>
      <c r="E190" s="9" t="s">
        <v>869</v>
      </c>
      <c r="F190" s="9" t="s">
        <v>840</v>
      </c>
      <c r="G190" s="9" t="s">
        <v>649</v>
      </c>
      <c r="H190" s="31">
        <v>1.0</v>
      </c>
    </row>
    <row r="191">
      <c r="A191" s="11">
        <v>46137.794833912034</v>
      </c>
      <c r="B191" s="9" t="s">
        <v>257</v>
      </c>
      <c r="C191" s="9" t="s">
        <v>838</v>
      </c>
      <c r="D191" s="9" t="s">
        <v>866</v>
      </c>
      <c r="E191" s="9" t="s">
        <v>869</v>
      </c>
      <c r="F191" s="9" t="s">
        <v>840</v>
      </c>
      <c r="G191" s="9" t="s">
        <v>649</v>
      </c>
      <c r="H191" s="31">
        <v>2.0</v>
      </c>
    </row>
    <row r="192">
      <c r="A192" s="11">
        <v>46137.80762600694</v>
      </c>
      <c r="B192" s="9" t="s">
        <v>264</v>
      </c>
      <c r="C192" s="9" t="s">
        <v>852</v>
      </c>
      <c r="D192" s="9" t="s">
        <v>864</v>
      </c>
      <c r="E192" s="9" t="s">
        <v>861</v>
      </c>
      <c r="F192" s="9" t="s">
        <v>840</v>
      </c>
      <c r="G192" s="9" t="s">
        <v>649</v>
      </c>
      <c r="H192" s="31">
        <v>1.0</v>
      </c>
    </row>
    <row r="193">
      <c r="A193" s="11">
        <v>46137.82356767361</v>
      </c>
      <c r="B193" s="9" t="s">
        <v>267</v>
      </c>
      <c r="C193" s="9" t="s">
        <v>881</v>
      </c>
      <c r="D193" s="9" t="s">
        <v>838</v>
      </c>
      <c r="E193" s="9" t="s">
        <v>865</v>
      </c>
      <c r="F193" s="9" t="s">
        <v>840</v>
      </c>
      <c r="G193" s="9" t="s">
        <v>649</v>
      </c>
      <c r="H193" s="31">
        <v>1.0</v>
      </c>
    </row>
    <row r="194">
      <c r="A194" s="11">
        <v>46137.90270900463</v>
      </c>
      <c r="B194" s="9" t="s">
        <v>152</v>
      </c>
      <c r="C194" s="9" t="s">
        <v>837</v>
      </c>
      <c r="D194" s="9" t="s">
        <v>877</v>
      </c>
      <c r="E194" s="9" t="s">
        <v>878</v>
      </c>
      <c r="F194" s="9" t="s">
        <v>840</v>
      </c>
      <c r="H194" s="31">
        <v>2.0</v>
      </c>
    </row>
    <row r="195">
      <c r="A195" s="11">
        <v>46137.90336729167</v>
      </c>
      <c r="B195" s="9" t="s">
        <v>186</v>
      </c>
      <c r="C195" s="9" t="s">
        <v>864</v>
      </c>
      <c r="D195" s="9" t="s">
        <v>838</v>
      </c>
      <c r="E195" s="9" t="s">
        <v>865</v>
      </c>
      <c r="F195" s="9" t="s">
        <v>840</v>
      </c>
      <c r="G195" s="9" t="s">
        <v>834</v>
      </c>
      <c r="H195" s="31"/>
    </row>
    <row r="196">
      <c r="A196" s="11">
        <v>46137.91350086806</v>
      </c>
      <c r="B196" s="9" t="s">
        <v>275</v>
      </c>
      <c r="C196" s="9" t="s">
        <v>852</v>
      </c>
      <c r="D196" s="9" t="s">
        <v>896</v>
      </c>
      <c r="E196" s="9" t="s">
        <v>877</v>
      </c>
      <c r="F196" s="9" t="s">
        <v>840</v>
      </c>
      <c r="G196" s="9" t="s">
        <v>649</v>
      </c>
      <c r="H196" s="31">
        <v>1.0</v>
      </c>
    </row>
    <row r="197">
      <c r="A197" s="11">
        <v>46137.91478313657</v>
      </c>
      <c r="B197" s="9" t="s">
        <v>318</v>
      </c>
      <c r="C197" s="9" t="s">
        <v>852</v>
      </c>
      <c r="D197" s="9" t="s">
        <v>837</v>
      </c>
      <c r="E197" s="9" t="s">
        <v>887</v>
      </c>
      <c r="F197" s="9" t="s">
        <v>840</v>
      </c>
      <c r="H197" s="31">
        <v>1.0</v>
      </c>
    </row>
    <row r="198">
      <c r="A198" s="11">
        <v>46137.93178155093</v>
      </c>
      <c r="B198" s="9" t="s">
        <v>261</v>
      </c>
      <c r="C198" s="9" t="s">
        <v>878</v>
      </c>
      <c r="D198" s="9" t="s">
        <v>865</v>
      </c>
      <c r="E198" s="9" t="s">
        <v>889</v>
      </c>
      <c r="F198" s="9" t="s">
        <v>840</v>
      </c>
      <c r="G198" s="9" t="s">
        <v>649</v>
      </c>
      <c r="H198" s="31">
        <v>2.0</v>
      </c>
    </row>
    <row r="199">
      <c r="A199" s="11">
        <v>46137.93317709491</v>
      </c>
      <c r="B199" s="9" t="s">
        <v>274</v>
      </c>
      <c r="C199" s="9" t="s">
        <v>853</v>
      </c>
      <c r="D199" s="9" t="s">
        <v>867</v>
      </c>
      <c r="E199" s="9" t="s">
        <v>877</v>
      </c>
      <c r="F199" s="9" t="s">
        <v>840</v>
      </c>
      <c r="G199" s="9" t="s">
        <v>649</v>
      </c>
      <c r="H199" s="31">
        <v>1.0</v>
      </c>
    </row>
    <row r="200">
      <c r="A200" s="11">
        <v>46137.93894385417</v>
      </c>
      <c r="B200" s="9" t="s">
        <v>154</v>
      </c>
      <c r="C200" s="9" t="s">
        <v>869</v>
      </c>
      <c r="D200" s="9" t="s">
        <v>868</v>
      </c>
      <c r="E200" s="9" t="s">
        <v>862</v>
      </c>
      <c r="F200" s="9" t="s">
        <v>840</v>
      </c>
      <c r="G200" s="9" t="s">
        <v>649</v>
      </c>
      <c r="H200" s="31">
        <v>2.0</v>
      </c>
    </row>
    <row r="201">
      <c r="A201" s="11">
        <v>46137.94775224537</v>
      </c>
      <c r="B201" s="9" t="s">
        <v>277</v>
      </c>
      <c r="C201" s="9" t="s">
        <v>882</v>
      </c>
      <c r="D201" s="9" t="s">
        <v>854</v>
      </c>
      <c r="E201" s="9" t="s">
        <v>852</v>
      </c>
      <c r="F201" s="9" t="s">
        <v>840</v>
      </c>
      <c r="G201" s="9" t="s">
        <v>649</v>
      </c>
      <c r="H201" s="31">
        <v>1.0</v>
      </c>
    </row>
    <row r="202">
      <c r="A202" s="11">
        <v>46137.958516921295</v>
      </c>
      <c r="B202" s="9" t="s">
        <v>276</v>
      </c>
      <c r="C202" s="9" t="s">
        <v>852</v>
      </c>
      <c r="D202" s="9" t="s">
        <v>868</v>
      </c>
      <c r="E202" s="9" t="s">
        <v>837</v>
      </c>
      <c r="F202" s="9" t="s">
        <v>840</v>
      </c>
      <c r="G202" s="9" t="s">
        <v>649</v>
      </c>
      <c r="H202" s="31">
        <v>1.0</v>
      </c>
    </row>
    <row r="203">
      <c r="A203" s="11">
        <v>46137.96246119213</v>
      </c>
      <c r="B203" s="9" t="s">
        <v>278</v>
      </c>
      <c r="C203" s="9" t="s">
        <v>900</v>
      </c>
      <c r="D203" s="9" t="s">
        <v>856</v>
      </c>
      <c r="E203" s="9" t="s">
        <v>871</v>
      </c>
      <c r="F203" s="9" t="s">
        <v>840</v>
      </c>
      <c r="G203" s="9" t="s">
        <v>649</v>
      </c>
      <c r="H203" s="31">
        <v>1.0</v>
      </c>
    </row>
    <row r="204">
      <c r="A204" s="11">
        <v>46137.96527804398</v>
      </c>
      <c r="B204" s="9" t="s">
        <v>273</v>
      </c>
      <c r="C204" s="9" t="s">
        <v>839</v>
      </c>
      <c r="D204" s="9" t="s">
        <v>854</v>
      </c>
      <c r="E204" s="9" t="s">
        <v>882</v>
      </c>
      <c r="F204" s="9" t="s">
        <v>840</v>
      </c>
      <c r="G204" s="9" t="s">
        <v>649</v>
      </c>
      <c r="H204" s="31">
        <v>1.0</v>
      </c>
    </row>
    <row r="205">
      <c r="A205" s="11">
        <v>46138.085884224536</v>
      </c>
      <c r="B205" s="9" t="s">
        <v>396</v>
      </c>
      <c r="C205" s="9" t="s">
        <v>852</v>
      </c>
      <c r="D205" s="9" t="s">
        <v>863</v>
      </c>
      <c r="E205" s="9" t="s">
        <v>876</v>
      </c>
      <c r="F205" s="9" t="s">
        <v>840</v>
      </c>
      <c r="G205" s="9" t="s">
        <v>649</v>
      </c>
      <c r="H205" s="31">
        <v>1.0</v>
      </c>
    </row>
    <row r="206">
      <c r="A206" s="11">
        <v>46138.08647659722</v>
      </c>
      <c r="B206" s="9" t="s">
        <v>281</v>
      </c>
      <c r="C206" s="9" t="s">
        <v>852</v>
      </c>
      <c r="D206" s="9" t="s">
        <v>877</v>
      </c>
      <c r="E206" s="9" t="s">
        <v>861</v>
      </c>
      <c r="F206" s="9" t="s">
        <v>840</v>
      </c>
      <c r="G206" s="9" t="s">
        <v>649</v>
      </c>
      <c r="H206" s="31">
        <v>1.0</v>
      </c>
    </row>
    <row r="207">
      <c r="A207" s="11">
        <v>46138.089908344904</v>
      </c>
      <c r="B207" s="9" t="s">
        <v>95</v>
      </c>
      <c r="C207" s="9" t="s">
        <v>852</v>
      </c>
      <c r="D207" s="9" t="s">
        <v>869</v>
      </c>
      <c r="E207" s="9" t="s">
        <v>871</v>
      </c>
      <c r="F207" s="9" t="s">
        <v>840</v>
      </c>
      <c r="G207" s="9" t="s">
        <v>649</v>
      </c>
      <c r="H207" s="31">
        <v>1.0</v>
      </c>
    </row>
    <row r="208">
      <c r="A208" s="11">
        <v>46138.1398371875</v>
      </c>
      <c r="B208" s="9" t="s">
        <v>213</v>
      </c>
      <c r="C208" s="9" t="s">
        <v>852</v>
      </c>
      <c r="D208" s="9" t="s">
        <v>862</v>
      </c>
      <c r="E208" s="9" t="s">
        <v>863</v>
      </c>
      <c r="F208" s="9" t="s">
        <v>840</v>
      </c>
      <c r="H208" s="31">
        <v>2.0</v>
      </c>
    </row>
    <row r="209">
      <c r="A209" s="11">
        <v>46138.16976856481</v>
      </c>
      <c r="B209" s="9" t="s">
        <v>79</v>
      </c>
      <c r="C209" s="9" t="s">
        <v>852</v>
      </c>
      <c r="D209" s="9" t="s">
        <v>896</v>
      </c>
      <c r="E209" s="9" t="s">
        <v>877</v>
      </c>
      <c r="F209" s="9" t="s">
        <v>840</v>
      </c>
      <c r="H209" s="31">
        <v>1.0</v>
      </c>
    </row>
    <row r="210">
      <c r="A210" s="11">
        <v>46138.18152385417</v>
      </c>
      <c r="B210" s="9" t="s">
        <v>282</v>
      </c>
      <c r="C210" s="9" t="s">
        <v>857</v>
      </c>
      <c r="D210" s="9" t="s">
        <v>887</v>
      </c>
      <c r="E210" s="9" t="s">
        <v>852</v>
      </c>
      <c r="F210" s="9" t="s">
        <v>840</v>
      </c>
      <c r="G210" s="9" t="s">
        <v>649</v>
      </c>
      <c r="H210" s="31">
        <v>1.0</v>
      </c>
    </row>
    <row r="211">
      <c r="A211" s="11">
        <v>46138.27033296296</v>
      </c>
      <c r="B211" s="9" t="s">
        <v>55</v>
      </c>
      <c r="C211" s="9" t="s">
        <v>896</v>
      </c>
      <c r="D211" s="9" t="s">
        <v>870</v>
      </c>
      <c r="E211" s="9" t="s">
        <v>872</v>
      </c>
      <c r="F211" s="9" t="s">
        <v>840</v>
      </c>
      <c r="G211" s="9" t="s">
        <v>649</v>
      </c>
      <c r="H211" s="31">
        <v>3.0</v>
      </c>
    </row>
    <row r="212">
      <c r="A212" s="11">
        <v>46138.29325212963</v>
      </c>
      <c r="B212" s="9" t="s">
        <v>286</v>
      </c>
      <c r="C212" s="9" t="s">
        <v>837</v>
      </c>
      <c r="D212" s="9" t="s">
        <v>857</v>
      </c>
      <c r="E212" s="9" t="s">
        <v>896</v>
      </c>
      <c r="F212" s="9" t="s">
        <v>840</v>
      </c>
      <c r="G212" s="9" t="s">
        <v>649</v>
      </c>
      <c r="H212" s="31">
        <v>1.0</v>
      </c>
    </row>
    <row r="213">
      <c r="A213" s="11">
        <v>46138.33607427083</v>
      </c>
      <c r="B213" s="9" t="s">
        <v>61</v>
      </c>
      <c r="C213" s="9" t="s">
        <v>857</v>
      </c>
      <c r="D213" s="9" t="s">
        <v>872</v>
      </c>
      <c r="E213" s="9" t="s">
        <v>853</v>
      </c>
      <c r="F213" s="9" t="s">
        <v>840</v>
      </c>
      <c r="H213" s="31">
        <v>2.0</v>
      </c>
    </row>
    <row r="214">
      <c r="A214" s="11">
        <v>46138.34204765046</v>
      </c>
      <c r="B214" s="9" t="s">
        <v>134</v>
      </c>
      <c r="C214" s="9" t="s">
        <v>868</v>
      </c>
      <c r="D214" s="9" t="s">
        <v>881</v>
      </c>
      <c r="E214" s="9" t="s">
        <v>879</v>
      </c>
      <c r="F214" s="9" t="s">
        <v>840</v>
      </c>
      <c r="H214" s="31">
        <v>2.0</v>
      </c>
    </row>
    <row r="215">
      <c r="A215" s="11">
        <v>46138.34568263889</v>
      </c>
      <c r="B215" s="9" t="s">
        <v>287</v>
      </c>
      <c r="C215" s="9" t="s">
        <v>852</v>
      </c>
      <c r="D215" s="9" t="s">
        <v>869</v>
      </c>
      <c r="E215" s="9" t="s">
        <v>887</v>
      </c>
      <c r="F215" s="9" t="s">
        <v>840</v>
      </c>
      <c r="H215" s="31">
        <v>1.0</v>
      </c>
    </row>
    <row r="216">
      <c r="A216" s="11">
        <v>46138.412255312505</v>
      </c>
      <c r="B216" s="9" t="s">
        <v>288</v>
      </c>
      <c r="C216" s="9" t="s">
        <v>864</v>
      </c>
      <c r="D216" s="9" t="s">
        <v>869</v>
      </c>
      <c r="E216" s="9" t="s">
        <v>852</v>
      </c>
      <c r="F216" s="9" t="s">
        <v>840</v>
      </c>
      <c r="H216" s="31">
        <v>1.0</v>
      </c>
    </row>
    <row r="217">
      <c r="A217" s="11">
        <v>46138.42007998843</v>
      </c>
      <c r="B217" s="9" t="s">
        <v>279</v>
      </c>
      <c r="C217" s="9" t="s">
        <v>878</v>
      </c>
      <c r="D217" s="9" t="s">
        <v>858</v>
      </c>
      <c r="E217" s="9" t="s">
        <v>877</v>
      </c>
      <c r="F217" s="9" t="s">
        <v>840</v>
      </c>
      <c r="G217" s="9" t="s">
        <v>649</v>
      </c>
      <c r="H217" s="31">
        <v>1.0</v>
      </c>
    </row>
    <row r="218">
      <c r="A218" s="11">
        <v>46138.44695940972</v>
      </c>
      <c r="B218" s="9" t="s">
        <v>166</v>
      </c>
      <c r="C218" s="9" t="s">
        <v>838</v>
      </c>
      <c r="D218" s="9" t="s">
        <v>864</v>
      </c>
      <c r="E218" s="9" t="s">
        <v>895</v>
      </c>
      <c r="F218" s="9" t="s">
        <v>840</v>
      </c>
      <c r="G218" s="9" t="s">
        <v>649</v>
      </c>
      <c r="H218" s="31">
        <v>2.0</v>
      </c>
    </row>
    <row r="219">
      <c r="A219" s="11">
        <v>46138.44779131944</v>
      </c>
      <c r="B219" s="9" t="s">
        <v>636</v>
      </c>
      <c r="C219" s="9" t="s">
        <v>869</v>
      </c>
      <c r="D219" s="9" t="s">
        <v>891</v>
      </c>
      <c r="E219" s="9" t="s">
        <v>864</v>
      </c>
      <c r="F219" s="9" t="s">
        <v>840</v>
      </c>
      <c r="G219" s="9" t="s">
        <v>649</v>
      </c>
      <c r="H219" s="31">
        <v>1.0</v>
      </c>
    </row>
    <row r="220">
      <c r="A220" s="11">
        <v>46138.45391303241</v>
      </c>
      <c r="B220" s="9" t="s">
        <v>274</v>
      </c>
      <c r="C220" s="9" t="s">
        <v>896</v>
      </c>
      <c r="D220" s="9" t="s">
        <v>852</v>
      </c>
      <c r="E220" s="9" t="s">
        <v>870</v>
      </c>
      <c r="F220" s="9" t="s">
        <v>840</v>
      </c>
      <c r="G220" s="9" t="s">
        <v>649</v>
      </c>
      <c r="H220" s="31">
        <v>2.0</v>
      </c>
    </row>
    <row r="221">
      <c r="A221" s="11">
        <v>46138.45693189815</v>
      </c>
      <c r="B221" s="9" t="s">
        <v>239</v>
      </c>
      <c r="C221" s="9" t="s">
        <v>875</v>
      </c>
      <c r="D221" s="9" t="s">
        <v>839</v>
      </c>
      <c r="E221" s="9" t="s">
        <v>870</v>
      </c>
      <c r="F221" s="9" t="s">
        <v>840</v>
      </c>
      <c r="G221" s="9" t="s">
        <v>649</v>
      </c>
      <c r="H221" s="31">
        <v>2.0</v>
      </c>
    </row>
    <row r="222">
      <c r="A222" s="11">
        <v>46138.4607046412</v>
      </c>
      <c r="B222" s="9" t="s">
        <v>277</v>
      </c>
      <c r="C222" s="9" t="s">
        <v>876</v>
      </c>
      <c r="D222" s="9" t="s">
        <v>861</v>
      </c>
      <c r="E222" s="9" t="s">
        <v>872</v>
      </c>
      <c r="F222" s="9" t="s">
        <v>840</v>
      </c>
      <c r="G222" s="9" t="s">
        <v>649</v>
      </c>
      <c r="H222" s="31">
        <v>2.0</v>
      </c>
    </row>
    <row r="223">
      <c r="A223" s="11">
        <v>46138.46330134259</v>
      </c>
      <c r="B223" s="9" t="s">
        <v>204</v>
      </c>
      <c r="C223" s="9" t="s">
        <v>863</v>
      </c>
      <c r="D223" s="9" t="s">
        <v>861</v>
      </c>
      <c r="E223" s="9" t="s">
        <v>869</v>
      </c>
      <c r="F223" s="9" t="s">
        <v>840</v>
      </c>
      <c r="H223" s="31">
        <v>2.0</v>
      </c>
    </row>
    <row r="224">
      <c r="A224" s="11">
        <v>46138.49727953704</v>
      </c>
      <c r="B224" s="9" t="s">
        <v>290</v>
      </c>
      <c r="C224" s="9" t="s">
        <v>852</v>
      </c>
      <c r="D224" s="9" t="s">
        <v>869</v>
      </c>
      <c r="E224" s="9" t="s">
        <v>864</v>
      </c>
      <c r="F224" s="9" t="s">
        <v>840</v>
      </c>
      <c r="G224" s="9" t="s">
        <v>649</v>
      </c>
      <c r="H224" s="31">
        <v>1.0</v>
      </c>
    </row>
    <row r="225">
      <c r="A225" s="11">
        <v>46138.506936377315</v>
      </c>
      <c r="B225" s="9" t="s">
        <v>918</v>
      </c>
      <c r="C225" s="9" t="s">
        <v>863</v>
      </c>
      <c r="D225" s="9" t="s">
        <v>852</v>
      </c>
      <c r="E225" s="9" t="s">
        <v>861</v>
      </c>
      <c r="F225" s="9" t="s">
        <v>840</v>
      </c>
      <c r="G225" s="9" t="s">
        <v>649</v>
      </c>
      <c r="H225" s="31">
        <v>1.0</v>
      </c>
    </row>
    <row r="226">
      <c r="A226" s="11">
        <v>46138.552029768514</v>
      </c>
      <c r="B226" s="9" t="s">
        <v>292</v>
      </c>
      <c r="C226" s="9" t="s">
        <v>887</v>
      </c>
      <c r="D226" s="9" t="s">
        <v>874</v>
      </c>
      <c r="E226" s="9" t="s">
        <v>877</v>
      </c>
      <c r="F226" s="9" t="s">
        <v>840</v>
      </c>
      <c r="G226" s="9" t="s">
        <v>834</v>
      </c>
      <c r="H226" s="31"/>
    </row>
    <row r="227">
      <c r="A227" s="11">
        <v>46138.55535472222</v>
      </c>
      <c r="B227" s="9" t="s">
        <v>291</v>
      </c>
      <c r="C227" s="9" t="s">
        <v>876</v>
      </c>
      <c r="D227" s="9" t="s">
        <v>861</v>
      </c>
      <c r="E227" s="9" t="s">
        <v>863</v>
      </c>
      <c r="F227" s="9" t="s">
        <v>840</v>
      </c>
      <c r="G227" s="9" t="s">
        <v>649</v>
      </c>
      <c r="H227" s="31">
        <v>1.0</v>
      </c>
    </row>
    <row r="228">
      <c r="A228" s="11">
        <v>46138.56545085648</v>
      </c>
      <c r="B228" s="9" t="s">
        <v>205</v>
      </c>
      <c r="C228" s="9" t="s">
        <v>858</v>
      </c>
      <c r="D228" s="9" t="s">
        <v>867</v>
      </c>
      <c r="E228" s="9" t="s">
        <v>859</v>
      </c>
      <c r="F228" s="9" t="s">
        <v>840</v>
      </c>
      <c r="G228" s="9" t="s">
        <v>834</v>
      </c>
      <c r="H228" s="31"/>
    </row>
    <row r="229">
      <c r="A229" s="11">
        <v>46138.602120138894</v>
      </c>
      <c r="B229" s="9" t="s">
        <v>261</v>
      </c>
      <c r="C229" s="9" t="s">
        <v>890</v>
      </c>
      <c r="D229" s="9" t="s">
        <v>887</v>
      </c>
      <c r="E229" s="9" t="s">
        <v>863</v>
      </c>
      <c r="F229" s="9" t="s">
        <v>840</v>
      </c>
      <c r="G229" s="9" t="s">
        <v>649</v>
      </c>
      <c r="H229" s="31">
        <v>3.0</v>
      </c>
    </row>
    <row r="230">
      <c r="A230" s="11">
        <v>46138.61102469907</v>
      </c>
      <c r="B230" s="9" t="s">
        <v>247</v>
      </c>
      <c r="C230" s="9" t="s">
        <v>870</v>
      </c>
      <c r="D230" s="9" t="s">
        <v>853</v>
      </c>
      <c r="E230" s="9" t="s">
        <v>877</v>
      </c>
      <c r="F230" s="9" t="s">
        <v>840</v>
      </c>
      <c r="G230" s="9" t="s">
        <v>649</v>
      </c>
      <c r="H230" s="31">
        <v>2.0</v>
      </c>
    </row>
    <row r="231">
      <c r="A231" s="11">
        <v>46138.63410924769</v>
      </c>
      <c r="B231" s="9" t="s">
        <v>329</v>
      </c>
      <c r="C231" s="9" t="s">
        <v>890</v>
      </c>
      <c r="D231" s="9" t="s">
        <v>869</v>
      </c>
      <c r="E231" s="9" t="s">
        <v>852</v>
      </c>
      <c r="F231" s="9" t="s">
        <v>840</v>
      </c>
      <c r="G231" s="9" t="s">
        <v>649</v>
      </c>
      <c r="H231" s="31">
        <v>1.0</v>
      </c>
    </row>
    <row r="232">
      <c r="A232" s="11">
        <v>46138.64808111111</v>
      </c>
      <c r="B232" s="9" t="s">
        <v>294</v>
      </c>
      <c r="C232" s="9" t="s">
        <v>881</v>
      </c>
      <c r="D232" s="9" t="s">
        <v>838</v>
      </c>
      <c r="E232" s="9" t="s">
        <v>896</v>
      </c>
      <c r="F232" s="9" t="s">
        <v>840</v>
      </c>
      <c r="G232" s="9" t="s">
        <v>834</v>
      </c>
      <c r="H232" s="31"/>
    </row>
    <row r="233">
      <c r="A233" s="11">
        <v>46138.6511712037</v>
      </c>
      <c r="B233" s="9" t="s">
        <v>288</v>
      </c>
      <c r="C233" s="9" t="s">
        <v>880</v>
      </c>
      <c r="D233" s="9" t="s">
        <v>866</v>
      </c>
      <c r="E233" s="9" t="s">
        <v>865</v>
      </c>
      <c r="F233" s="9" t="s">
        <v>840</v>
      </c>
      <c r="H233" s="31">
        <v>2.0</v>
      </c>
    </row>
    <row r="234">
      <c r="A234" s="11">
        <v>46138.65935667824</v>
      </c>
      <c r="B234" s="9" t="s">
        <v>312</v>
      </c>
      <c r="C234" s="9" t="s">
        <v>852</v>
      </c>
      <c r="D234" s="9" t="s">
        <v>864</v>
      </c>
      <c r="E234" s="9" t="s">
        <v>869</v>
      </c>
      <c r="F234" s="9" t="s">
        <v>840</v>
      </c>
      <c r="G234" s="9" t="s">
        <v>649</v>
      </c>
      <c r="H234" s="31">
        <v>1.0</v>
      </c>
    </row>
    <row r="235">
      <c r="A235" s="11">
        <v>46138.66067612269</v>
      </c>
      <c r="B235" s="9" t="s">
        <v>308</v>
      </c>
      <c r="C235" s="9" t="s">
        <v>852</v>
      </c>
      <c r="D235" s="9" t="s">
        <v>890</v>
      </c>
      <c r="E235" s="9" t="s">
        <v>864</v>
      </c>
      <c r="F235" s="9" t="s">
        <v>840</v>
      </c>
      <c r="G235" s="9" t="s">
        <v>649</v>
      </c>
      <c r="H235" s="31">
        <v>1.0</v>
      </c>
    </row>
    <row r="236">
      <c r="A236" s="11">
        <v>46138.67280403935</v>
      </c>
      <c r="B236" s="9" t="s">
        <v>250</v>
      </c>
      <c r="C236" s="9" t="s">
        <v>876</v>
      </c>
      <c r="D236" s="9" t="s">
        <v>863</v>
      </c>
      <c r="E236" s="9" t="s">
        <v>887</v>
      </c>
      <c r="F236" s="9" t="s">
        <v>840</v>
      </c>
      <c r="G236" s="9" t="s">
        <v>649</v>
      </c>
      <c r="H236" s="31">
        <v>2.0</v>
      </c>
    </row>
    <row r="237">
      <c r="A237" s="11">
        <v>46138.68925072916</v>
      </c>
      <c r="B237" s="9" t="s">
        <v>190</v>
      </c>
      <c r="C237" s="9" t="s">
        <v>878</v>
      </c>
      <c r="D237" s="9" t="s">
        <v>857</v>
      </c>
      <c r="E237" s="9" t="s">
        <v>869</v>
      </c>
      <c r="F237" s="9" t="s">
        <v>840</v>
      </c>
      <c r="G237" s="9" t="s">
        <v>649</v>
      </c>
      <c r="H237" s="31">
        <v>2.0</v>
      </c>
    </row>
    <row r="238">
      <c r="A238" s="11">
        <v>46138.69736372685</v>
      </c>
      <c r="B238" s="9" t="s">
        <v>173</v>
      </c>
      <c r="C238" s="9" t="s">
        <v>890</v>
      </c>
      <c r="D238" s="9" t="s">
        <v>882</v>
      </c>
      <c r="E238" s="9" t="s">
        <v>876</v>
      </c>
      <c r="F238" s="9" t="s">
        <v>840</v>
      </c>
      <c r="G238" s="9" t="s">
        <v>649</v>
      </c>
      <c r="H238" s="31">
        <v>2.0</v>
      </c>
    </row>
    <row r="239">
      <c r="A239" s="11">
        <v>46138.712761874995</v>
      </c>
      <c r="B239" s="9" t="s">
        <v>298</v>
      </c>
      <c r="C239" s="9" t="s">
        <v>852</v>
      </c>
      <c r="D239" s="9" t="s">
        <v>887</v>
      </c>
      <c r="E239" s="9" t="s">
        <v>878</v>
      </c>
      <c r="F239" s="9" t="s">
        <v>840</v>
      </c>
      <c r="G239" s="9" t="s">
        <v>649</v>
      </c>
      <c r="H239" s="31">
        <v>1.0</v>
      </c>
    </row>
    <row r="240">
      <c r="A240" s="11">
        <v>46138.73045986111</v>
      </c>
      <c r="B240" s="9" t="s">
        <v>278</v>
      </c>
      <c r="C240" s="9" t="s">
        <v>861</v>
      </c>
      <c r="D240" s="9" t="s">
        <v>839</v>
      </c>
      <c r="E240" s="9" t="s">
        <v>872</v>
      </c>
      <c r="F240" s="9" t="s">
        <v>840</v>
      </c>
      <c r="G240" s="9" t="s">
        <v>649</v>
      </c>
      <c r="H240" s="31">
        <v>2.0</v>
      </c>
    </row>
    <row r="241">
      <c r="A241" s="11">
        <v>46138.73146038194</v>
      </c>
      <c r="B241" s="9" t="s">
        <v>101</v>
      </c>
      <c r="C241" s="9" t="s">
        <v>852</v>
      </c>
      <c r="D241" s="9" t="s">
        <v>872</v>
      </c>
      <c r="E241" s="9" t="s">
        <v>870</v>
      </c>
      <c r="F241" s="9" t="s">
        <v>840</v>
      </c>
      <c r="G241" s="9" t="s">
        <v>649</v>
      </c>
      <c r="H241" s="31">
        <v>2.0</v>
      </c>
    </row>
    <row r="242">
      <c r="A242" s="11">
        <v>46138.73318553241</v>
      </c>
      <c r="B242" s="9" t="s">
        <v>83</v>
      </c>
      <c r="C242" s="9" t="s">
        <v>853</v>
      </c>
      <c r="D242" s="9" t="s">
        <v>859</v>
      </c>
      <c r="E242" s="9" t="s">
        <v>837</v>
      </c>
      <c r="F242" s="9" t="s">
        <v>840</v>
      </c>
      <c r="G242" s="9" t="s">
        <v>649</v>
      </c>
      <c r="H242" s="31">
        <v>2.0</v>
      </c>
    </row>
    <row r="243">
      <c r="A243" s="11">
        <v>46138.73461428241</v>
      </c>
      <c r="B243" s="9" t="s">
        <v>300</v>
      </c>
      <c r="C243" s="9" t="s">
        <v>865</v>
      </c>
      <c r="D243" s="9" t="s">
        <v>864</v>
      </c>
      <c r="E243" s="9" t="s">
        <v>866</v>
      </c>
      <c r="F243" s="9" t="s">
        <v>840</v>
      </c>
      <c r="G243" s="9" t="s">
        <v>649</v>
      </c>
      <c r="H243" s="31">
        <v>1.0</v>
      </c>
    </row>
    <row r="244">
      <c r="A244" s="11">
        <v>46138.738902048615</v>
      </c>
      <c r="B244" s="9" t="s">
        <v>294</v>
      </c>
      <c r="C244" s="9" t="s">
        <v>865</v>
      </c>
      <c r="D244" s="9" t="s">
        <v>852</v>
      </c>
      <c r="E244" s="9" t="s">
        <v>881</v>
      </c>
      <c r="F244" s="9" t="s">
        <v>840</v>
      </c>
      <c r="G244" s="9" t="s">
        <v>649</v>
      </c>
      <c r="H244" s="31">
        <v>2.0</v>
      </c>
    </row>
    <row r="245">
      <c r="A245" s="11">
        <v>46138.76811762732</v>
      </c>
      <c r="B245" s="9" t="s">
        <v>306</v>
      </c>
      <c r="C245" s="9" t="s">
        <v>852</v>
      </c>
      <c r="D245" s="9" t="s">
        <v>839</v>
      </c>
      <c r="E245" s="9" t="s">
        <v>868</v>
      </c>
      <c r="F245" s="9" t="s">
        <v>840</v>
      </c>
      <c r="G245" s="9" t="s">
        <v>649</v>
      </c>
      <c r="H245" s="31">
        <v>1.0</v>
      </c>
    </row>
    <row r="246">
      <c r="A246" s="11">
        <v>46138.7821465625</v>
      </c>
      <c r="B246" s="9" t="s">
        <v>918</v>
      </c>
      <c r="C246" s="9" t="s">
        <v>863</v>
      </c>
      <c r="D246" s="9" t="s">
        <v>882</v>
      </c>
      <c r="E246" s="9" t="s">
        <v>858</v>
      </c>
      <c r="F246" s="9" t="s">
        <v>840</v>
      </c>
      <c r="G246" s="9" t="s">
        <v>834</v>
      </c>
      <c r="H246" s="31"/>
    </row>
    <row r="247">
      <c r="A247" s="11">
        <v>46138.788980428246</v>
      </c>
      <c r="B247" s="9" t="s">
        <v>224</v>
      </c>
      <c r="C247" s="9" t="s">
        <v>837</v>
      </c>
      <c r="D247" s="9" t="s">
        <v>853</v>
      </c>
      <c r="E247" s="9" t="s">
        <v>867</v>
      </c>
      <c r="F247" s="9" t="s">
        <v>840</v>
      </c>
      <c r="G247" s="9" t="s">
        <v>649</v>
      </c>
      <c r="H247" s="31">
        <v>2.0</v>
      </c>
    </row>
    <row r="248">
      <c r="A248" s="11">
        <v>46138.79573028935</v>
      </c>
      <c r="B248" s="9" t="s">
        <v>299</v>
      </c>
      <c r="C248" s="9" t="s">
        <v>852</v>
      </c>
      <c r="D248" s="9" t="s">
        <v>854</v>
      </c>
      <c r="E248" s="9" t="s">
        <v>882</v>
      </c>
      <c r="F248" s="9" t="s">
        <v>840</v>
      </c>
      <c r="G248" s="9" t="s">
        <v>649</v>
      </c>
      <c r="H248" s="31">
        <v>1.0</v>
      </c>
    </row>
    <row r="249">
      <c r="A249" s="11">
        <v>46138.81410422454</v>
      </c>
      <c r="B249" s="9" t="s">
        <v>304</v>
      </c>
      <c r="C249" s="9" t="s">
        <v>852</v>
      </c>
      <c r="D249" s="9" t="s">
        <v>882</v>
      </c>
      <c r="E249" s="9" t="s">
        <v>854</v>
      </c>
      <c r="F249" s="9" t="s">
        <v>840</v>
      </c>
      <c r="H249" s="31">
        <v>1.0</v>
      </c>
    </row>
    <row r="250">
      <c r="A250" s="11">
        <v>46138.8206675</v>
      </c>
      <c r="B250" s="9" t="s">
        <v>303</v>
      </c>
      <c r="C250" s="9" t="s">
        <v>852</v>
      </c>
      <c r="D250" s="9" t="s">
        <v>867</v>
      </c>
      <c r="E250" s="9" t="s">
        <v>891</v>
      </c>
      <c r="F250" s="9" t="s">
        <v>840</v>
      </c>
      <c r="G250" s="9" t="s">
        <v>649</v>
      </c>
      <c r="H250" s="31">
        <v>1.0</v>
      </c>
    </row>
    <row r="251">
      <c r="A251" s="11">
        <v>46138.87551543981</v>
      </c>
      <c r="B251" s="9" t="s">
        <v>918</v>
      </c>
      <c r="C251" s="9" t="s">
        <v>882</v>
      </c>
      <c r="D251" s="9" t="s">
        <v>858</v>
      </c>
      <c r="E251" s="9" t="s">
        <v>876</v>
      </c>
      <c r="F251" s="9" t="s">
        <v>840</v>
      </c>
      <c r="G251" s="9" t="s">
        <v>649</v>
      </c>
      <c r="H251" s="31">
        <v>2.0</v>
      </c>
    </row>
    <row r="252">
      <c r="A252" s="11">
        <v>46138.88351616898</v>
      </c>
      <c r="B252" s="9" t="s">
        <v>301</v>
      </c>
      <c r="C252" s="9" t="s">
        <v>871</v>
      </c>
      <c r="D252" s="9" t="s">
        <v>874</v>
      </c>
      <c r="E252" s="9" t="s">
        <v>859</v>
      </c>
      <c r="F252" s="9" t="s">
        <v>840</v>
      </c>
      <c r="G252" s="9" t="s">
        <v>649</v>
      </c>
      <c r="H252" s="31">
        <v>2.0</v>
      </c>
    </row>
    <row r="253">
      <c r="A253" s="11">
        <v>46138.888273819444</v>
      </c>
      <c r="B253" s="9" t="s">
        <v>920</v>
      </c>
      <c r="C253" s="9" t="s">
        <v>864</v>
      </c>
      <c r="D253" s="9" t="s">
        <v>866</v>
      </c>
      <c r="E253" s="9" t="s">
        <v>869</v>
      </c>
      <c r="F253" s="9" t="s">
        <v>840</v>
      </c>
      <c r="G253" s="9" t="s">
        <v>649</v>
      </c>
      <c r="H253" s="31">
        <v>1.0</v>
      </c>
    </row>
    <row r="254">
      <c r="A254" s="11">
        <v>46138.8919391088</v>
      </c>
      <c r="B254" s="9" t="s">
        <v>109</v>
      </c>
      <c r="C254" s="9" t="s">
        <v>837</v>
      </c>
      <c r="D254" s="9" t="s">
        <v>858</v>
      </c>
      <c r="E254" s="9" t="s">
        <v>881</v>
      </c>
      <c r="F254" s="9" t="s">
        <v>840</v>
      </c>
      <c r="G254" s="9" t="s">
        <v>649</v>
      </c>
      <c r="H254" s="31">
        <v>2.0</v>
      </c>
    </row>
    <row r="255">
      <c r="A255" s="11">
        <v>46138.90302251157</v>
      </c>
      <c r="B255" s="9" t="s">
        <v>314</v>
      </c>
      <c r="C255" s="9" t="s">
        <v>837</v>
      </c>
      <c r="D255" s="9" t="s">
        <v>852</v>
      </c>
      <c r="E255" s="9" t="s">
        <v>869</v>
      </c>
      <c r="F255" s="9" t="s">
        <v>840</v>
      </c>
      <c r="G255" s="9" t="s">
        <v>649</v>
      </c>
      <c r="H255" s="31">
        <v>1.0</v>
      </c>
    </row>
    <row r="256">
      <c r="A256" s="11">
        <v>46138.90467954861</v>
      </c>
      <c r="B256" s="9" t="s">
        <v>308</v>
      </c>
      <c r="C256" s="9" t="s">
        <v>864</v>
      </c>
      <c r="D256" s="9" t="s">
        <v>866</v>
      </c>
      <c r="E256" s="9" t="s">
        <v>852</v>
      </c>
      <c r="F256" s="9" t="s">
        <v>840</v>
      </c>
      <c r="G256" s="9" t="s">
        <v>834</v>
      </c>
      <c r="H256" s="31"/>
    </row>
    <row r="257">
      <c r="A257" s="11">
        <v>46138.91690225694</v>
      </c>
      <c r="B257" s="9" t="s">
        <v>394</v>
      </c>
      <c r="C257" s="9" t="s">
        <v>852</v>
      </c>
      <c r="D257" s="9" t="s">
        <v>880</v>
      </c>
      <c r="E257" s="9" t="s">
        <v>878</v>
      </c>
      <c r="F257" s="9" t="s">
        <v>840</v>
      </c>
      <c r="G257" s="9" t="s">
        <v>649</v>
      </c>
      <c r="H257" s="31">
        <v>1.0</v>
      </c>
    </row>
    <row r="258">
      <c r="A258" s="11">
        <v>46138.921616886575</v>
      </c>
      <c r="B258" s="9" t="s">
        <v>298</v>
      </c>
      <c r="C258" s="9" t="s">
        <v>837</v>
      </c>
      <c r="D258" s="9" t="s">
        <v>858</v>
      </c>
      <c r="E258" s="9" t="s">
        <v>838</v>
      </c>
      <c r="F258" s="9" t="s">
        <v>840</v>
      </c>
      <c r="G258" s="9" t="s">
        <v>649</v>
      </c>
      <c r="H258" s="31">
        <v>2.0</v>
      </c>
    </row>
    <row r="259">
      <c r="A259" s="11">
        <v>46138.95448181713</v>
      </c>
      <c r="B259" s="9" t="s">
        <v>172</v>
      </c>
      <c r="C259" s="9" t="s">
        <v>900</v>
      </c>
      <c r="D259" s="9" t="s">
        <v>867</v>
      </c>
      <c r="E259" s="9" t="s">
        <v>853</v>
      </c>
      <c r="F259" s="9" t="s">
        <v>840</v>
      </c>
      <c r="G259" s="9" t="s">
        <v>834</v>
      </c>
      <c r="H259" s="31"/>
    </row>
    <row r="260">
      <c r="A260" s="11">
        <v>46138.964011944445</v>
      </c>
      <c r="B260" s="9" t="s">
        <v>281</v>
      </c>
      <c r="C260" s="9" t="s">
        <v>864</v>
      </c>
      <c r="D260" s="9" t="s">
        <v>838</v>
      </c>
      <c r="E260" s="9" t="s">
        <v>890</v>
      </c>
      <c r="F260" s="9" t="s">
        <v>840</v>
      </c>
      <c r="G260" s="9" t="s">
        <v>649</v>
      </c>
      <c r="H260" s="31">
        <v>2.0</v>
      </c>
    </row>
    <row r="261">
      <c r="A261" s="11">
        <v>46138.99425675926</v>
      </c>
      <c r="B261" s="9" t="s">
        <v>320</v>
      </c>
      <c r="C261" s="9" t="s">
        <v>837</v>
      </c>
      <c r="D261" s="9" t="s">
        <v>852</v>
      </c>
      <c r="E261" s="9" t="s">
        <v>858</v>
      </c>
      <c r="F261" s="9" t="s">
        <v>840</v>
      </c>
      <c r="H261" s="31">
        <v>1.0</v>
      </c>
    </row>
    <row r="262">
      <c r="A262" s="11">
        <v>46138.99456478009</v>
      </c>
      <c r="B262" s="9" t="s">
        <v>314</v>
      </c>
      <c r="C262" s="9" t="s">
        <v>864</v>
      </c>
      <c r="D262" s="9" t="s">
        <v>866</v>
      </c>
      <c r="E262" s="9" t="s">
        <v>877</v>
      </c>
      <c r="F262" s="9" t="s">
        <v>840</v>
      </c>
      <c r="G262" s="9" t="s">
        <v>649</v>
      </c>
      <c r="H262" s="31">
        <v>2.0</v>
      </c>
    </row>
    <row r="263">
      <c r="A263" s="11">
        <v>46139.02880630787</v>
      </c>
      <c r="B263" s="9" t="s">
        <v>322</v>
      </c>
      <c r="C263" s="9" t="s">
        <v>852</v>
      </c>
      <c r="D263" s="9" t="s">
        <v>854</v>
      </c>
      <c r="E263" s="9" t="s">
        <v>855</v>
      </c>
      <c r="F263" s="9" t="s">
        <v>840</v>
      </c>
      <c r="G263" s="9" t="s">
        <v>649</v>
      </c>
      <c r="H263" s="31">
        <v>1.0</v>
      </c>
    </row>
    <row r="264">
      <c r="A264" s="11">
        <v>46139.03838737268</v>
      </c>
      <c r="B264" s="9" t="s">
        <v>306</v>
      </c>
      <c r="C264" s="9" t="s">
        <v>861</v>
      </c>
      <c r="D264" s="9" t="s">
        <v>869</v>
      </c>
      <c r="E264" s="9" t="s">
        <v>866</v>
      </c>
      <c r="F264" s="9" t="s">
        <v>840</v>
      </c>
      <c r="G264" s="9" t="s">
        <v>649</v>
      </c>
      <c r="H264" s="31">
        <v>2.0</v>
      </c>
    </row>
    <row r="265">
      <c r="A265" s="11">
        <v>46139.054421574074</v>
      </c>
      <c r="B265" s="9" t="s">
        <v>414</v>
      </c>
      <c r="C265" s="9" t="s">
        <v>837</v>
      </c>
      <c r="D265" s="9" t="s">
        <v>852</v>
      </c>
      <c r="E265" s="9" t="s">
        <v>871</v>
      </c>
      <c r="F265" s="9" t="s">
        <v>840</v>
      </c>
      <c r="G265" s="9" t="s">
        <v>649</v>
      </c>
      <c r="H265" s="31">
        <v>1.0</v>
      </c>
    </row>
    <row r="266">
      <c r="A266" s="11">
        <v>46139.06646768519</v>
      </c>
      <c r="B266" s="9" t="s">
        <v>323</v>
      </c>
      <c r="C266" s="9" t="s">
        <v>852</v>
      </c>
      <c r="D266" s="9" t="s">
        <v>872</v>
      </c>
      <c r="E266" s="9" t="s">
        <v>861</v>
      </c>
      <c r="F266" s="9" t="s">
        <v>840</v>
      </c>
      <c r="G266" s="9" t="s">
        <v>649</v>
      </c>
      <c r="H266" s="31">
        <v>1.0</v>
      </c>
    </row>
    <row r="267">
      <c r="A267" s="11">
        <v>46139.06978910879</v>
      </c>
      <c r="B267" s="9" t="s">
        <v>187</v>
      </c>
      <c r="C267" s="9" t="s">
        <v>872</v>
      </c>
      <c r="D267" s="9" t="s">
        <v>875</v>
      </c>
      <c r="E267" s="9" t="s">
        <v>867</v>
      </c>
      <c r="F267" s="9" t="s">
        <v>840</v>
      </c>
      <c r="G267" s="9" t="s">
        <v>649</v>
      </c>
      <c r="H267" s="31">
        <v>2.0</v>
      </c>
    </row>
    <row r="268">
      <c r="A268" s="11">
        <v>46139.07192306713</v>
      </c>
      <c r="B268" s="9" t="s">
        <v>347</v>
      </c>
      <c r="C268" s="9" t="s">
        <v>852</v>
      </c>
      <c r="D268" s="9" t="s">
        <v>837</v>
      </c>
      <c r="E268" s="9" t="s">
        <v>857</v>
      </c>
      <c r="F268" s="9" t="s">
        <v>840</v>
      </c>
      <c r="G268" s="9" t="s">
        <v>649</v>
      </c>
      <c r="H268" s="31">
        <v>1.0</v>
      </c>
    </row>
    <row r="269">
      <c r="A269" s="11">
        <v>46139.17779248842</v>
      </c>
      <c r="B269" s="9" t="s">
        <v>215</v>
      </c>
      <c r="C269" s="9" t="s">
        <v>864</v>
      </c>
      <c r="D269" s="9" t="s">
        <v>869</v>
      </c>
      <c r="E269" s="9" t="s">
        <v>881</v>
      </c>
      <c r="F269" s="9" t="s">
        <v>840</v>
      </c>
      <c r="G269" s="9" t="s">
        <v>649</v>
      </c>
      <c r="H269" s="31">
        <v>1.0</v>
      </c>
    </row>
    <row r="270">
      <c r="A270" s="11">
        <v>46139.30283503472</v>
      </c>
      <c r="B270" s="9" t="s">
        <v>313</v>
      </c>
      <c r="C270" s="9" t="s">
        <v>854</v>
      </c>
      <c r="D270" s="9" t="s">
        <v>883</v>
      </c>
      <c r="E270" s="9" t="s">
        <v>859</v>
      </c>
      <c r="F270" s="9" t="s">
        <v>840</v>
      </c>
      <c r="G270" s="9" t="s">
        <v>649</v>
      </c>
      <c r="H270" s="31">
        <v>1.0</v>
      </c>
    </row>
    <row r="271">
      <c r="A271" s="11">
        <v>46139.36066585648</v>
      </c>
      <c r="B271" s="9" t="s">
        <v>107</v>
      </c>
      <c r="C271" s="9" t="s">
        <v>864</v>
      </c>
      <c r="D271" s="9" t="s">
        <v>866</v>
      </c>
      <c r="E271" s="9" t="s">
        <v>881</v>
      </c>
      <c r="F271" s="9" t="s">
        <v>840</v>
      </c>
      <c r="H271" s="31">
        <v>2.0</v>
      </c>
    </row>
    <row r="272">
      <c r="A272" s="11">
        <v>46139.383356817125</v>
      </c>
      <c r="B272" s="9" t="s">
        <v>354</v>
      </c>
      <c r="C272" s="9" t="s">
        <v>857</v>
      </c>
      <c r="D272" s="9" t="s">
        <v>874</v>
      </c>
      <c r="E272" s="9" t="s">
        <v>878</v>
      </c>
      <c r="F272" s="9" t="s">
        <v>840</v>
      </c>
      <c r="G272" s="9" t="s">
        <v>649</v>
      </c>
      <c r="H272" s="31">
        <v>1.0</v>
      </c>
    </row>
    <row r="273">
      <c r="A273" s="11">
        <v>46139.41605659723</v>
      </c>
      <c r="B273" s="9" t="s">
        <v>292</v>
      </c>
      <c r="C273" s="9" t="s">
        <v>867</v>
      </c>
      <c r="D273" s="9" t="s">
        <v>900</v>
      </c>
      <c r="E273" s="9" t="s">
        <v>859</v>
      </c>
      <c r="F273" s="9" t="s">
        <v>840</v>
      </c>
      <c r="G273" s="9" t="s">
        <v>834</v>
      </c>
      <c r="H273" s="31"/>
    </row>
    <row r="274">
      <c r="A274" s="11">
        <v>46139.45308320602</v>
      </c>
      <c r="B274" s="9" t="s">
        <v>390</v>
      </c>
      <c r="C274" s="9" t="s">
        <v>852</v>
      </c>
      <c r="D274" s="9" t="s">
        <v>864</v>
      </c>
      <c r="E274" s="9" t="s">
        <v>853</v>
      </c>
      <c r="F274" s="9" t="s">
        <v>840</v>
      </c>
      <c r="G274" s="9" t="s">
        <v>649</v>
      </c>
      <c r="H274" s="31">
        <v>1.0</v>
      </c>
    </row>
    <row r="275">
      <c r="A275" s="11">
        <v>46139.45446003472</v>
      </c>
      <c r="B275" s="9" t="s">
        <v>260</v>
      </c>
      <c r="C275" s="9" t="s">
        <v>895</v>
      </c>
      <c r="D275" s="9" t="s">
        <v>858</v>
      </c>
      <c r="E275" s="9" t="s">
        <v>868</v>
      </c>
      <c r="F275" s="9" t="s">
        <v>840</v>
      </c>
      <c r="G275" s="9" t="s">
        <v>649</v>
      </c>
      <c r="H275" s="31">
        <v>2.0</v>
      </c>
    </row>
    <row r="276">
      <c r="A276" s="11">
        <v>46139.46426403935</v>
      </c>
      <c r="B276" s="9" t="s">
        <v>332</v>
      </c>
      <c r="C276" s="9" t="s">
        <v>852</v>
      </c>
      <c r="D276" s="9" t="s">
        <v>877</v>
      </c>
      <c r="E276" s="9" t="s">
        <v>858</v>
      </c>
      <c r="F276" s="9" t="s">
        <v>840</v>
      </c>
      <c r="G276" s="9" t="s">
        <v>649</v>
      </c>
      <c r="H276" s="31">
        <v>1.0</v>
      </c>
    </row>
    <row r="277">
      <c r="A277" s="11">
        <v>46139.50359759259</v>
      </c>
      <c r="B277" s="9" t="s">
        <v>229</v>
      </c>
      <c r="C277" s="9" t="s">
        <v>837</v>
      </c>
      <c r="D277" s="9" t="s">
        <v>856</v>
      </c>
      <c r="E277" s="9" t="s">
        <v>870</v>
      </c>
      <c r="F277" s="9" t="s">
        <v>840</v>
      </c>
      <c r="G277" s="9" t="s">
        <v>834</v>
      </c>
      <c r="H277" s="31"/>
    </row>
    <row r="278">
      <c r="A278" s="11">
        <v>46139.50454260416</v>
      </c>
      <c r="B278" s="9" t="s">
        <v>326</v>
      </c>
      <c r="C278" s="9" t="s">
        <v>852</v>
      </c>
      <c r="D278" s="9" t="s">
        <v>877</v>
      </c>
      <c r="E278" s="9" t="s">
        <v>837</v>
      </c>
      <c r="F278" s="9" t="s">
        <v>840</v>
      </c>
      <c r="G278" s="9" t="s">
        <v>649</v>
      </c>
      <c r="H278" s="31">
        <v>1.0</v>
      </c>
    </row>
    <row r="279">
      <c r="A279" s="11">
        <v>46139.587960046294</v>
      </c>
      <c r="B279" s="9" t="s">
        <v>172</v>
      </c>
      <c r="C279" s="9" t="s">
        <v>867</v>
      </c>
      <c r="D279" s="9" t="s">
        <v>853</v>
      </c>
      <c r="E279" s="9" t="s">
        <v>900</v>
      </c>
      <c r="F279" s="9" t="s">
        <v>840</v>
      </c>
      <c r="G279" s="9" t="s">
        <v>834</v>
      </c>
      <c r="H279" s="31"/>
    </row>
    <row r="280">
      <c r="A280" s="11">
        <v>46139.59260613426</v>
      </c>
      <c r="B280" s="9" t="s">
        <v>172</v>
      </c>
      <c r="C280" s="9" t="s">
        <v>872</v>
      </c>
      <c r="D280" s="9" t="s">
        <v>889</v>
      </c>
      <c r="E280" s="9" t="s">
        <v>870</v>
      </c>
      <c r="F280" s="9" t="s">
        <v>840</v>
      </c>
      <c r="G280" s="9" t="s">
        <v>649</v>
      </c>
      <c r="H280" s="31">
        <v>2.0</v>
      </c>
    </row>
    <row r="281">
      <c r="A281" s="11">
        <v>46139.649696782406</v>
      </c>
      <c r="B281" s="9" t="s">
        <v>205</v>
      </c>
      <c r="C281" s="9" t="s">
        <v>867</v>
      </c>
      <c r="D281" s="9" t="s">
        <v>890</v>
      </c>
      <c r="E281" s="9" t="s">
        <v>900</v>
      </c>
      <c r="F281" s="9" t="s">
        <v>840</v>
      </c>
      <c r="G281" s="9" t="s">
        <v>649</v>
      </c>
      <c r="H281" s="31">
        <v>2.0</v>
      </c>
    </row>
    <row r="282">
      <c r="A282" s="11">
        <v>46139.706588877314</v>
      </c>
      <c r="B282" s="9" t="s">
        <v>348</v>
      </c>
      <c r="C282" s="9" t="s">
        <v>852</v>
      </c>
      <c r="D282" s="9" t="s">
        <v>868</v>
      </c>
      <c r="E282" s="9" t="s">
        <v>869</v>
      </c>
      <c r="F282" s="9" t="s">
        <v>840</v>
      </c>
      <c r="G282" s="9" t="s">
        <v>649</v>
      </c>
      <c r="H282" s="31">
        <v>1.0</v>
      </c>
    </row>
    <row r="283">
      <c r="A283" s="11">
        <v>46139.732611562504</v>
      </c>
      <c r="B283" s="9" t="s">
        <v>334</v>
      </c>
      <c r="C283" s="9" t="s">
        <v>895</v>
      </c>
      <c r="D283" s="9" t="s">
        <v>852</v>
      </c>
      <c r="E283" s="9" t="s">
        <v>868</v>
      </c>
      <c r="F283" s="9" t="s">
        <v>840</v>
      </c>
      <c r="G283" s="9" t="s">
        <v>649</v>
      </c>
      <c r="H283" s="31">
        <v>1.0</v>
      </c>
    </row>
    <row r="284">
      <c r="A284" s="11">
        <v>46139.74183186343</v>
      </c>
      <c r="B284" s="9" t="s">
        <v>258</v>
      </c>
      <c r="C284" s="9" t="s">
        <v>852</v>
      </c>
      <c r="D284" s="9" t="s">
        <v>853</v>
      </c>
      <c r="E284" s="9" t="s">
        <v>878</v>
      </c>
      <c r="F284" s="9" t="s">
        <v>840</v>
      </c>
      <c r="H284" s="31">
        <v>1.0</v>
      </c>
    </row>
    <row r="285">
      <c r="A285" s="11">
        <v>46139.78583332176</v>
      </c>
      <c r="B285" s="9" t="s">
        <v>336</v>
      </c>
      <c r="C285" s="9" t="s">
        <v>855</v>
      </c>
      <c r="D285" s="9" t="s">
        <v>876</v>
      </c>
      <c r="E285" s="9" t="s">
        <v>863</v>
      </c>
      <c r="F285" s="9" t="s">
        <v>840</v>
      </c>
      <c r="G285" s="9" t="s">
        <v>860</v>
      </c>
      <c r="H285" s="31"/>
    </row>
    <row r="286">
      <c r="A286" s="11">
        <v>46139.78952586805</v>
      </c>
      <c r="B286" s="9" t="s">
        <v>336</v>
      </c>
      <c r="C286" s="9" t="s">
        <v>855</v>
      </c>
      <c r="D286" s="9" t="s">
        <v>876</v>
      </c>
      <c r="E286" s="9" t="s">
        <v>890</v>
      </c>
      <c r="F286" s="9" t="s">
        <v>840</v>
      </c>
      <c r="H286" s="31">
        <v>1.0</v>
      </c>
    </row>
    <row r="287">
      <c r="A287" s="11">
        <v>46139.854459571754</v>
      </c>
      <c r="B287" s="9" t="s">
        <v>252</v>
      </c>
      <c r="C287" s="9" t="s">
        <v>869</v>
      </c>
      <c r="D287" s="9" t="s">
        <v>863</v>
      </c>
      <c r="E287" s="9" t="s">
        <v>876</v>
      </c>
      <c r="F287" s="9" t="s">
        <v>840</v>
      </c>
      <c r="G287" s="9" t="s">
        <v>649</v>
      </c>
      <c r="H287" s="31">
        <v>1.0</v>
      </c>
    </row>
    <row r="288">
      <c r="A288" s="11">
        <v>46139.87166053241</v>
      </c>
      <c r="B288" s="9" t="s">
        <v>125</v>
      </c>
      <c r="C288" s="9" t="s">
        <v>869</v>
      </c>
      <c r="D288" s="9" t="s">
        <v>889</v>
      </c>
      <c r="E288" s="9" t="s">
        <v>881</v>
      </c>
      <c r="F288" s="9" t="s">
        <v>840</v>
      </c>
      <c r="G288" s="9" t="s">
        <v>649</v>
      </c>
      <c r="H288" s="31">
        <v>2.0</v>
      </c>
    </row>
    <row r="289">
      <c r="A289" s="11">
        <v>46139.876970509256</v>
      </c>
      <c r="B289" s="9" t="s">
        <v>293</v>
      </c>
      <c r="C289" s="9" t="s">
        <v>869</v>
      </c>
      <c r="D289" s="9" t="s">
        <v>890</v>
      </c>
      <c r="E289" s="9" t="s">
        <v>865</v>
      </c>
      <c r="F289" s="9" t="s">
        <v>840</v>
      </c>
      <c r="G289" s="9" t="s">
        <v>649</v>
      </c>
      <c r="H289" s="31">
        <v>2.0</v>
      </c>
    </row>
    <row r="290">
      <c r="A290" s="11">
        <v>46139.891219074074</v>
      </c>
      <c r="B290" s="9" t="s">
        <v>344</v>
      </c>
      <c r="C290" s="9" t="s">
        <v>852</v>
      </c>
      <c r="D290" s="9" t="s">
        <v>837</v>
      </c>
      <c r="E290" s="9" t="s">
        <v>877</v>
      </c>
      <c r="F290" s="9" t="s">
        <v>840</v>
      </c>
      <c r="G290" s="9" t="s">
        <v>649</v>
      </c>
      <c r="H290" s="31">
        <v>1.0</v>
      </c>
    </row>
    <row r="291">
      <c r="A291" s="11">
        <v>46139.90016489584</v>
      </c>
      <c r="B291" s="9" t="s">
        <v>340</v>
      </c>
      <c r="C291" s="9" t="s">
        <v>837</v>
      </c>
      <c r="D291" s="9" t="s">
        <v>877</v>
      </c>
      <c r="E291" s="9" t="s">
        <v>880</v>
      </c>
      <c r="F291" s="9" t="s">
        <v>840</v>
      </c>
      <c r="G291" s="9" t="s">
        <v>649</v>
      </c>
      <c r="H291" s="31">
        <v>1.0</v>
      </c>
    </row>
    <row r="292">
      <c r="A292" s="11">
        <v>46139.9167655787</v>
      </c>
      <c r="B292" s="9" t="s">
        <v>152</v>
      </c>
      <c r="C292" s="9" t="s">
        <v>853</v>
      </c>
      <c r="D292" s="9" t="s">
        <v>867</v>
      </c>
      <c r="E292" s="9" t="s">
        <v>874</v>
      </c>
      <c r="F292" s="9" t="s">
        <v>840</v>
      </c>
      <c r="H292" s="31">
        <v>3.0</v>
      </c>
    </row>
    <row r="293">
      <c r="A293" s="11">
        <v>46139.919431435184</v>
      </c>
      <c r="B293" s="9" t="s">
        <v>180</v>
      </c>
      <c r="C293" s="9" t="s">
        <v>837</v>
      </c>
      <c r="D293" s="9" t="s">
        <v>877</v>
      </c>
      <c r="E293" s="9" t="s">
        <v>852</v>
      </c>
      <c r="F293" s="9" t="s">
        <v>840</v>
      </c>
      <c r="G293" s="9" t="s">
        <v>649</v>
      </c>
      <c r="H293" s="31">
        <v>1.0</v>
      </c>
    </row>
    <row r="294">
      <c r="A294" s="11">
        <v>46139.93635967592</v>
      </c>
      <c r="B294" s="9" t="s">
        <v>318</v>
      </c>
      <c r="C294" s="9" t="s">
        <v>878</v>
      </c>
      <c r="D294" s="9" t="s">
        <v>857</v>
      </c>
      <c r="E294" s="9" t="s">
        <v>861</v>
      </c>
      <c r="F294" s="9" t="s">
        <v>840</v>
      </c>
      <c r="H294" s="31">
        <v>2.0</v>
      </c>
    </row>
    <row r="295">
      <c r="A295" s="11">
        <v>46139.944041932875</v>
      </c>
      <c r="B295" s="9" t="s">
        <v>920</v>
      </c>
      <c r="C295" s="9" t="s">
        <v>869</v>
      </c>
      <c r="D295" s="9" t="s">
        <v>864</v>
      </c>
      <c r="E295" s="9" t="s">
        <v>866</v>
      </c>
      <c r="F295" s="9" t="s">
        <v>840</v>
      </c>
      <c r="G295" s="9" t="s">
        <v>834</v>
      </c>
      <c r="H295" s="31"/>
    </row>
    <row r="296">
      <c r="A296" s="11">
        <v>46139.94704962963</v>
      </c>
      <c r="B296" s="9" t="s">
        <v>920</v>
      </c>
      <c r="C296" s="9" t="s">
        <v>865</v>
      </c>
      <c r="D296" s="9" t="s">
        <v>881</v>
      </c>
      <c r="E296" s="9" t="s">
        <v>889</v>
      </c>
      <c r="F296" s="9" t="s">
        <v>840</v>
      </c>
      <c r="G296" s="9" t="s">
        <v>649</v>
      </c>
      <c r="H296" s="31">
        <v>2.0</v>
      </c>
    </row>
    <row r="297">
      <c r="A297" s="11">
        <v>46139.94829202547</v>
      </c>
      <c r="B297" s="9" t="s">
        <v>329</v>
      </c>
      <c r="C297" s="9" t="s">
        <v>870</v>
      </c>
      <c r="D297" s="9" t="s">
        <v>868</v>
      </c>
      <c r="E297" s="9" t="s">
        <v>872</v>
      </c>
      <c r="F297" s="9" t="s">
        <v>840</v>
      </c>
      <c r="G297" s="9" t="s">
        <v>649</v>
      </c>
      <c r="H297" s="31">
        <v>2.0</v>
      </c>
    </row>
    <row r="298">
      <c r="A298" s="11">
        <v>46139.965500335646</v>
      </c>
      <c r="B298" s="9" t="s">
        <v>340</v>
      </c>
      <c r="C298" s="9" t="s">
        <v>837</v>
      </c>
      <c r="D298" s="9" t="s">
        <v>877</v>
      </c>
      <c r="E298" s="9" t="s">
        <v>880</v>
      </c>
      <c r="F298" s="9" t="s">
        <v>840</v>
      </c>
      <c r="G298" s="9" t="s">
        <v>834</v>
      </c>
      <c r="H298" s="31"/>
    </row>
    <row r="299">
      <c r="A299" s="11">
        <v>46139.9666459375</v>
      </c>
      <c r="B299" s="9" t="s">
        <v>349</v>
      </c>
      <c r="C299" s="9" t="s">
        <v>857</v>
      </c>
      <c r="D299" s="9" t="s">
        <v>874</v>
      </c>
      <c r="E299" s="9" t="s">
        <v>853</v>
      </c>
      <c r="F299" s="9" t="s">
        <v>840</v>
      </c>
      <c r="G299" s="9" t="s">
        <v>649</v>
      </c>
      <c r="H299" s="31">
        <v>1.0</v>
      </c>
    </row>
    <row r="300">
      <c r="A300" s="11">
        <v>46139.96679070602</v>
      </c>
      <c r="B300" s="9" t="s">
        <v>342</v>
      </c>
      <c r="C300" s="9" t="s">
        <v>852</v>
      </c>
      <c r="D300" s="9" t="s">
        <v>837</v>
      </c>
      <c r="E300" s="9" t="s">
        <v>871</v>
      </c>
      <c r="F300" s="9" t="s">
        <v>840</v>
      </c>
      <c r="H300" s="31">
        <v>1.0</v>
      </c>
    </row>
    <row r="301">
      <c r="A301" s="11">
        <v>46139.96694915509</v>
      </c>
      <c r="B301" s="9" t="s">
        <v>76</v>
      </c>
      <c r="C301" s="9" t="s">
        <v>876</v>
      </c>
      <c r="D301" s="9" t="s">
        <v>863</v>
      </c>
      <c r="E301" s="9" t="s">
        <v>854</v>
      </c>
      <c r="F301" s="9" t="s">
        <v>840</v>
      </c>
      <c r="G301" s="9" t="s">
        <v>860</v>
      </c>
      <c r="H301" s="31"/>
    </row>
    <row r="302">
      <c r="A302" s="11">
        <v>46139.97539482639</v>
      </c>
      <c r="B302" s="9" t="s">
        <v>96</v>
      </c>
      <c r="C302" s="9" t="s">
        <v>891</v>
      </c>
      <c r="D302" s="9" t="s">
        <v>838</v>
      </c>
      <c r="E302" s="9" t="s">
        <v>895</v>
      </c>
      <c r="F302" s="9" t="s">
        <v>840</v>
      </c>
      <c r="H302" s="31">
        <v>2.0</v>
      </c>
    </row>
    <row r="303">
      <c r="A303" s="11">
        <v>46139.98105528935</v>
      </c>
      <c r="B303" s="9" t="s">
        <v>184</v>
      </c>
      <c r="C303" s="9" t="s">
        <v>859</v>
      </c>
      <c r="D303" s="9" t="s">
        <v>872</v>
      </c>
      <c r="E303" s="9" t="s">
        <v>881</v>
      </c>
      <c r="F303" s="9" t="s">
        <v>840</v>
      </c>
      <c r="H303" s="31">
        <v>2.0</v>
      </c>
    </row>
    <row r="304">
      <c r="A304" s="11">
        <v>46139.99336954861</v>
      </c>
      <c r="B304" s="9" t="s">
        <v>303</v>
      </c>
      <c r="C304" s="9" t="s">
        <v>853</v>
      </c>
      <c r="D304" s="9" t="s">
        <v>854</v>
      </c>
      <c r="E304" s="9" t="s">
        <v>872</v>
      </c>
      <c r="F304" s="9" t="s">
        <v>840</v>
      </c>
      <c r="G304" s="9" t="s">
        <v>649</v>
      </c>
      <c r="H304" s="31">
        <v>2.0</v>
      </c>
    </row>
    <row r="305">
      <c r="A305" s="11">
        <v>46140.03007814815</v>
      </c>
      <c r="B305" s="9" t="s">
        <v>252</v>
      </c>
      <c r="C305" s="9" t="s">
        <v>890</v>
      </c>
      <c r="D305" s="9" t="s">
        <v>838</v>
      </c>
      <c r="E305" s="9" t="s">
        <v>868</v>
      </c>
      <c r="F305" s="9" t="s">
        <v>840</v>
      </c>
      <c r="G305" s="9" t="s">
        <v>649</v>
      </c>
      <c r="H305" s="31">
        <v>2.0</v>
      </c>
    </row>
    <row r="306">
      <c r="A306" s="11">
        <v>46140.32863004629</v>
      </c>
      <c r="B306" s="9" t="s">
        <v>389</v>
      </c>
      <c r="C306" s="9" t="s">
        <v>852</v>
      </c>
      <c r="D306" s="9" t="s">
        <v>837</v>
      </c>
      <c r="E306" s="9" t="s">
        <v>878</v>
      </c>
      <c r="F306" s="9" t="s">
        <v>840</v>
      </c>
      <c r="G306" s="9" t="s">
        <v>649</v>
      </c>
      <c r="H306" s="31">
        <v>1.0</v>
      </c>
    </row>
    <row r="307">
      <c r="A307" s="11">
        <v>46140.375739675925</v>
      </c>
      <c r="B307" s="9" t="s">
        <v>352</v>
      </c>
      <c r="C307" s="9" t="s">
        <v>854</v>
      </c>
      <c r="D307" s="9" t="s">
        <v>868</v>
      </c>
      <c r="E307" s="9" t="s">
        <v>855</v>
      </c>
      <c r="F307" s="9" t="s">
        <v>840</v>
      </c>
      <c r="G307" s="9" t="s">
        <v>649</v>
      </c>
      <c r="H307" s="31">
        <v>1.0</v>
      </c>
    </row>
    <row r="308">
      <c r="A308" s="11">
        <v>46140.40777046296</v>
      </c>
      <c r="B308" s="9" t="s">
        <v>351</v>
      </c>
      <c r="C308" s="9" t="s">
        <v>837</v>
      </c>
      <c r="D308" s="9" t="s">
        <v>896</v>
      </c>
      <c r="E308" s="9" t="s">
        <v>870</v>
      </c>
      <c r="F308" s="9" t="s">
        <v>840</v>
      </c>
      <c r="G308" s="9" t="s">
        <v>649</v>
      </c>
      <c r="H308" s="31">
        <v>1.0</v>
      </c>
    </row>
    <row r="309">
      <c r="A309" s="11">
        <v>46140.48552689815</v>
      </c>
      <c r="B309" s="9" t="s">
        <v>77</v>
      </c>
      <c r="C309" s="9" t="s">
        <v>867</v>
      </c>
      <c r="D309" s="9" t="s">
        <v>874</v>
      </c>
      <c r="E309" s="9" t="s">
        <v>852</v>
      </c>
      <c r="F309" s="9" t="s">
        <v>840</v>
      </c>
      <c r="G309" s="9" t="s">
        <v>834</v>
      </c>
      <c r="H309" s="31"/>
    </row>
    <row r="310">
      <c r="A310" s="11">
        <v>46140.487627118055</v>
      </c>
      <c r="B310" s="9" t="s">
        <v>326</v>
      </c>
      <c r="C310" s="9" t="s">
        <v>858</v>
      </c>
      <c r="D310" s="9" t="s">
        <v>838</v>
      </c>
      <c r="E310" s="9" t="s">
        <v>889</v>
      </c>
      <c r="F310" s="9" t="s">
        <v>840</v>
      </c>
      <c r="G310" s="9" t="s">
        <v>834</v>
      </c>
      <c r="H310" s="31"/>
    </row>
    <row r="311">
      <c r="A311" s="11">
        <v>46140.53789349537</v>
      </c>
      <c r="B311" s="9" t="s">
        <v>350</v>
      </c>
      <c r="C311" s="9" t="s">
        <v>852</v>
      </c>
      <c r="D311" s="9" t="s">
        <v>869</v>
      </c>
      <c r="E311" s="9" t="s">
        <v>854</v>
      </c>
      <c r="F311" s="9" t="s">
        <v>840</v>
      </c>
      <c r="G311" s="9" t="s">
        <v>649</v>
      </c>
      <c r="H311" s="31">
        <v>1.0</v>
      </c>
    </row>
    <row r="312">
      <c r="A312" s="11">
        <v>46140.54551380787</v>
      </c>
      <c r="B312" s="9" t="s">
        <v>191</v>
      </c>
      <c r="C312" s="9" t="s">
        <v>853</v>
      </c>
      <c r="D312" s="9" t="s">
        <v>875</v>
      </c>
      <c r="E312" s="9" t="s">
        <v>872</v>
      </c>
      <c r="F312" s="9" t="s">
        <v>840</v>
      </c>
      <c r="G312" s="9" t="s">
        <v>834</v>
      </c>
      <c r="H312" s="31"/>
    </row>
    <row r="313">
      <c r="A313" s="11">
        <v>46140.58624697917</v>
      </c>
      <c r="B313" s="9" t="s">
        <v>355</v>
      </c>
      <c r="C313" s="9" t="s">
        <v>853</v>
      </c>
      <c r="D313" s="9" t="s">
        <v>854</v>
      </c>
      <c r="E313" s="9" t="s">
        <v>882</v>
      </c>
      <c r="F313" s="9" t="s">
        <v>840</v>
      </c>
      <c r="G313" s="9" t="s">
        <v>649</v>
      </c>
      <c r="H313" s="31">
        <v>1.0</v>
      </c>
    </row>
    <row r="314">
      <c r="A314" s="11">
        <v>46140.59829006944</v>
      </c>
      <c r="B314" s="9" t="s">
        <v>191</v>
      </c>
      <c r="C314" s="9" t="s">
        <v>853</v>
      </c>
      <c r="D314" s="9" t="s">
        <v>875</v>
      </c>
      <c r="E314" s="9" t="s">
        <v>872</v>
      </c>
      <c r="F314" s="9" t="s">
        <v>840</v>
      </c>
      <c r="G314" s="9" t="s">
        <v>834</v>
      </c>
      <c r="H314" s="31"/>
    </row>
    <row r="315">
      <c r="A315" s="11">
        <v>46140.60231386574</v>
      </c>
      <c r="B315" s="9" t="s">
        <v>191</v>
      </c>
      <c r="C315" s="9" t="s">
        <v>867</v>
      </c>
      <c r="D315" s="9" t="s">
        <v>859</v>
      </c>
      <c r="E315" s="9" t="s">
        <v>900</v>
      </c>
      <c r="F315" s="9" t="s">
        <v>840</v>
      </c>
      <c r="G315" s="9" t="s">
        <v>649</v>
      </c>
      <c r="H315" s="31">
        <v>2.0</v>
      </c>
    </row>
    <row r="316">
      <c r="A316" s="11">
        <v>46140.621891319446</v>
      </c>
      <c r="B316" s="9" t="s">
        <v>286</v>
      </c>
      <c r="C316" s="9" t="s">
        <v>868</v>
      </c>
      <c r="D316" s="9" t="s">
        <v>867</v>
      </c>
      <c r="E316" s="9" t="s">
        <v>852</v>
      </c>
      <c r="F316" s="9" t="s">
        <v>840</v>
      </c>
      <c r="G316" s="9" t="s">
        <v>649</v>
      </c>
      <c r="H316" s="31">
        <v>2.0</v>
      </c>
    </row>
    <row r="317">
      <c r="A317" s="11">
        <v>46140.67735680555</v>
      </c>
      <c r="B317" s="9" t="s">
        <v>313</v>
      </c>
      <c r="C317" s="9" t="s">
        <v>882</v>
      </c>
      <c r="D317" s="9" t="s">
        <v>855</v>
      </c>
      <c r="E317" s="9" t="s">
        <v>856</v>
      </c>
      <c r="F317" s="9" t="s">
        <v>840</v>
      </c>
      <c r="G317" s="9" t="s">
        <v>649</v>
      </c>
      <c r="H317" s="31">
        <v>2.0</v>
      </c>
    </row>
    <row r="318">
      <c r="A318" s="11">
        <v>46140.67741584491</v>
      </c>
      <c r="B318" s="9" t="s">
        <v>296</v>
      </c>
      <c r="C318" s="9" t="s">
        <v>852</v>
      </c>
      <c r="D318" s="9" t="s">
        <v>869</v>
      </c>
      <c r="E318" s="9" t="s">
        <v>887</v>
      </c>
      <c r="F318" s="9" t="s">
        <v>840</v>
      </c>
      <c r="H318" s="31">
        <v>1.0</v>
      </c>
    </row>
    <row r="319">
      <c r="A319" s="11">
        <v>46140.72502324074</v>
      </c>
      <c r="B319" s="9" t="s">
        <v>378</v>
      </c>
      <c r="C319" s="9" t="s">
        <v>869</v>
      </c>
      <c r="D319" s="9" t="s">
        <v>876</v>
      </c>
      <c r="E319" s="9" t="s">
        <v>855</v>
      </c>
      <c r="F319" s="9" t="s">
        <v>840</v>
      </c>
      <c r="G319" s="9" t="s">
        <v>649</v>
      </c>
      <c r="H319" s="31">
        <v>1.0</v>
      </c>
    </row>
    <row r="320">
      <c r="A320" s="11">
        <v>46140.72977493056</v>
      </c>
      <c r="B320" s="9" t="s">
        <v>248</v>
      </c>
      <c r="C320" s="9" t="s">
        <v>837</v>
      </c>
      <c r="D320" s="9" t="s">
        <v>870</v>
      </c>
      <c r="E320" s="9" t="s">
        <v>896</v>
      </c>
      <c r="F320" s="9" t="s">
        <v>840</v>
      </c>
      <c r="G320" s="9" t="s">
        <v>649</v>
      </c>
      <c r="H320" s="31">
        <v>2.0</v>
      </c>
    </row>
    <row r="321">
      <c r="A321" s="11">
        <v>46140.73714175926</v>
      </c>
      <c r="B321" s="9" t="s">
        <v>362</v>
      </c>
      <c r="C321" s="9" t="s">
        <v>865</v>
      </c>
      <c r="D321" s="9" t="s">
        <v>864</v>
      </c>
      <c r="E321" s="9" t="s">
        <v>869</v>
      </c>
      <c r="F321" s="9" t="s">
        <v>840</v>
      </c>
      <c r="G321" s="9" t="s">
        <v>649</v>
      </c>
      <c r="H321" s="31">
        <v>1.0</v>
      </c>
    </row>
    <row r="322">
      <c r="A322" s="11">
        <v>46140.7422319676</v>
      </c>
      <c r="B322" s="9" t="s">
        <v>249</v>
      </c>
      <c r="C322" s="9" t="s">
        <v>876</v>
      </c>
      <c r="D322" s="9" t="s">
        <v>863</v>
      </c>
      <c r="E322" s="9" t="s">
        <v>895</v>
      </c>
      <c r="F322" s="9" t="s">
        <v>840</v>
      </c>
      <c r="G322" s="9" t="s">
        <v>649</v>
      </c>
      <c r="H322" s="31">
        <v>1.0</v>
      </c>
    </row>
    <row r="323">
      <c r="A323" s="11">
        <v>46140.74586177083</v>
      </c>
      <c r="B323" s="9" t="s">
        <v>333</v>
      </c>
      <c r="C323" s="9" t="s">
        <v>890</v>
      </c>
      <c r="D323" s="9" t="s">
        <v>876</v>
      </c>
      <c r="E323" s="9" t="s">
        <v>869</v>
      </c>
      <c r="F323" s="9" t="s">
        <v>840</v>
      </c>
      <c r="H323" s="31">
        <v>1.0</v>
      </c>
    </row>
    <row r="324">
      <c r="A324" s="11">
        <v>46140.855752777774</v>
      </c>
      <c r="B324" s="9" t="s">
        <v>368</v>
      </c>
      <c r="C324" s="9" t="s">
        <v>852</v>
      </c>
      <c r="D324" s="9" t="s">
        <v>868</v>
      </c>
      <c r="E324" s="9" t="s">
        <v>895</v>
      </c>
      <c r="F324" s="9" t="s">
        <v>840</v>
      </c>
      <c r="G324" s="9" t="s">
        <v>649</v>
      </c>
      <c r="H324" s="31">
        <v>1.0</v>
      </c>
    </row>
    <row r="325">
      <c r="A325" s="11">
        <v>46140.85804474537</v>
      </c>
      <c r="B325" s="9" t="s">
        <v>249</v>
      </c>
      <c r="C325" s="9" t="s">
        <v>869</v>
      </c>
      <c r="D325" s="9" t="s">
        <v>861</v>
      </c>
      <c r="E325" s="9" t="s">
        <v>890</v>
      </c>
      <c r="F325" s="9" t="s">
        <v>840</v>
      </c>
      <c r="G325" s="9" t="s">
        <v>649</v>
      </c>
      <c r="H325" s="31">
        <v>2.0</v>
      </c>
    </row>
    <row r="326">
      <c r="A326" s="11">
        <v>46140.860362465275</v>
      </c>
      <c r="B326" s="9" t="s">
        <v>366</v>
      </c>
      <c r="C326" s="9" t="s">
        <v>869</v>
      </c>
      <c r="D326" s="9" t="s">
        <v>880</v>
      </c>
      <c r="E326" s="9" t="s">
        <v>864</v>
      </c>
      <c r="F326" s="9" t="s">
        <v>840</v>
      </c>
      <c r="G326" s="9" t="s">
        <v>649</v>
      </c>
      <c r="H326" s="31">
        <v>1.0</v>
      </c>
    </row>
    <row r="327">
      <c r="A327" s="11">
        <v>46140.92007681713</v>
      </c>
      <c r="B327" s="9" t="s">
        <v>369</v>
      </c>
      <c r="C327" s="9" t="s">
        <v>852</v>
      </c>
      <c r="D327" s="9" t="s">
        <v>853</v>
      </c>
      <c r="E327" s="9" t="s">
        <v>875</v>
      </c>
      <c r="F327" s="9" t="s">
        <v>840</v>
      </c>
      <c r="G327" s="9" t="s">
        <v>649</v>
      </c>
      <c r="H327" s="31">
        <v>1.0</v>
      </c>
    </row>
    <row r="328">
      <c r="A328" s="11">
        <v>46140.92600197917</v>
      </c>
      <c r="B328" s="9" t="s">
        <v>373</v>
      </c>
      <c r="C328" s="9" t="s">
        <v>852</v>
      </c>
      <c r="D328" s="9" t="s">
        <v>853</v>
      </c>
      <c r="E328" s="9" t="s">
        <v>874</v>
      </c>
      <c r="F328" s="9" t="s">
        <v>840</v>
      </c>
      <c r="H328" s="31">
        <v>1.0</v>
      </c>
    </row>
    <row r="329">
      <c r="A329" s="11">
        <v>46140.95958546296</v>
      </c>
      <c r="B329" s="9" t="s">
        <v>161</v>
      </c>
      <c r="C329" s="9" t="s">
        <v>859</v>
      </c>
      <c r="D329" s="9" t="s">
        <v>875</v>
      </c>
      <c r="E329" s="9" t="s">
        <v>891</v>
      </c>
      <c r="F329" s="9" t="s">
        <v>840</v>
      </c>
      <c r="G329" s="9" t="s">
        <v>649</v>
      </c>
      <c r="H329" s="31">
        <v>2.0</v>
      </c>
    </row>
    <row r="330">
      <c r="A330" s="11">
        <v>46141.02557153935</v>
      </c>
      <c r="B330" s="9" t="s">
        <v>373</v>
      </c>
      <c r="C330" s="9" t="s">
        <v>837</v>
      </c>
      <c r="D330" s="9" t="s">
        <v>875</v>
      </c>
      <c r="E330" s="9" t="s">
        <v>867</v>
      </c>
      <c r="F330" s="9" t="s">
        <v>840</v>
      </c>
      <c r="H330" s="31">
        <v>2.0</v>
      </c>
    </row>
    <row r="331">
      <c r="A331" s="11">
        <v>46141.03102490741</v>
      </c>
      <c r="B331" s="9" t="s">
        <v>376</v>
      </c>
      <c r="C331" s="9" t="s">
        <v>837</v>
      </c>
      <c r="D331" s="9" t="s">
        <v>852</v>
      </c>
      <c r="E331" s="9" t="s">
        <v>872</v>
      </c>
      <c r="F331" s="9" t="s">
        <v>840</v>
      </c>
      <c r="H331" s="31">
        <v>1.0</v>
      </c>
    </row>
    <row r="332">
      <c r="A332" s="11">
        <v>46141.03136594908</v>
      </c>
      <c r="B332" s="9" t="s">
        <v>323</v>
      </c>
      <c r="C332" s="9" t="s">
        <v>852</v>
      </c>
      <c r="D332" s="9" t="s">
        <v>859</v>
      </c>
      <c r="E332" s="9" t="s">
        <v>876</v>
      </c>
      <c r="F332" s="9" t="s">
        <v>840</v>
      </c>
      <c r="G332" s="9" t="s">
        <v>834</v>
      </c>
      <c r="H332" s="31"/>
    </row>
    <row r="333">
      <c r="A333" s="11">
        <v>46141.03322751157</v>
      </c>
      <c r="B333" s="9" t="s">
        <v>323</v>
      </c>
      <c r="C333" s="9" t="s">
        <v>852</v>
      </c>
      <c r="D333" s="9" t="s">
        <v>859</v>
      </c>
      <c r="E333" s="9" t="s">
        <v>876</v>
      </c>
      <c r="F333" s="9" t="s">
        <v>840</v>
      </c>
      <c r="G333" s="9" t="s">
        <v>834</v>
      </c>
      <c r="H333" s="31"/>
    </row>
    <row r="334">
      <c r="A334" s="11">
        <v>46141.04035940972</v>
      </c>
      <c r="B334" s="9" t="s">
        <v>323</v>
      </c>
      <c r="C334" s="9" t="s">
        <v>876</v>
      </c>
      <c r="D334" s="9" t="s">
        <v>859</v>
      </c>
      <c r="E334" s="9" t="s">
        <v>861</v>
      </c>
      <c r="F334" s="9" t="s">
        <v>840</v>
      </c>
      <c r="G334" s="9" t="s">
        <v>834</v>
      </c>
      <c r="H334" s="31"/>
    </row>
    <row r="335">
      <c r="A335" s="11">
        <v>46141.04486040509</v>
      </c>
      <c r="B335" s="9" t="s">
        <v>323</v>
      </c>
      <c r="C335" s="9" t="s">
        <v>859</v>
      </c>
      <c r="D335" s="9" t="s">
        <v>876</v>
      </c>
      <c r="E335" s="9" t="s">
        <v>887</v>
      </c>
      <c r="F335" s="9" t="s">
        <v>840</v>
      </c>
      <c r="G335" s="9" t="s">
        <v>649</v>
      </c>
      <c r="H335" s="31">
        <v>2.0</v>
      </c>
    </row>
    <row r="336">
      <c r="A336" s="11">
        <v>46141.0479871875</v>
      </c>
      <c r="B336" s="9" t="s">
        <v>374</v>
      </c>
      <c r="C336" s="9" t="s">
        <v>864</v>
      </c>
      <c r="D336" s="9" t="s">
        <v>869</v>
      </c>
      <c r="E336" s="9" t="s">
        <v>879</v>
      </c>
      <c r="F336" s="9" t="s">
        <v>840</v>
      </c>
      <c r="G336" s="9" t="s">
        <v>649</v>
      </c>
      <c r="H336" s="31">
        <v>1.0</v>
      </c>
    </row>
    <row r="337">
      <c r="A337" s="11">
        <v>46141.1106728125</v>
      </c>
      <c r="B337" s="9" t="s">
        <v>372</v>
      </c>
      <c r="C337" s="9" t="s">
        <v>854</v>
      </c>
      <c r="D337" s="9" t="s">
        <v>882</v>
      </c>
      <c r="E337" s="9" t="s">
        <v>867</v>
      </c>
      <c r="F337" s="9" t="s">
        <v>840</v>
      </c>
      <c r="G337" s="9" t="s">
        <v>834</v>
      </c>
      <c r="H337" s="31"/>
    </row>
    <row r="338">
      <c r="A338" s="11">
        <v>46141.36609324074</v>
      </c>
      <c r="B338" s="9" t="s">
        <v>406</v>
      </c>
      <c r="C338" s="9" t="s">
        <v>871</v>
      </c>
      <c r="D338" s="9" t="s">
        <v>854</v>
      </c>
      <c r="E338" s="9" t="s">
        <v>859</v>
      </c>
      <c r="F338" s="9" t="s">
        <v>840</v>
      </c>
      <c r="G338" s="9" t="s">
        <v>649</v>
      </c>
      <c r="H338" s="31">
        <v>1.0</v>
      </c>
    </row>
    <row r="339">
      <c r="A339" s="11">
        <v>46141.50271223379</v>
      </c>
      <c r="B339" s="9" t="s">
        <v>417</v>
      </c>
      <c r="C339" s="9" t="s">
        <v>857</v>
      </c>
      <c r="D339" s="9" t="s">
        <v>878</v>
      </c>
      <c r="E339" s="9" t="s">
        <v>874</v>
      </c>
      <c r="F339" s="9" t="s">
        <v>840</v>
      </c>
      <c r="G339" s="9" t="s">
        <v>649</v>
      </c>
      <c r="H339" s="31">
        <v>1.0</v>
      </c>
    </row>
    <row r="340">
      <c r="A340" s="11">
        <v>46141.50501979167</v>
      </c>
      <c r="B340" s="9" t="s">
        <v>344</v>
      </c>
      <c r="C340" s="9" t="s">
        <v>869</v>
      </c>
      <c r="D340" s="9" t="s">
        <v>838</v>
      </c>
      <c r="E340" s="9" t="s">
        <v>881</v>
      </c>
      <c r="F340" s="9" t="s">
        <v>840</v>
      </c>
      <c r="G340" s="9" t="s">
        <v>649</v>
      </c>
      <c r="H340" s="31">
        <v>2.0</v>
      </c>
    </row>
    <row r="341">
      <c r="A341" s="11">
        <v>46141.52334856481</v>
      </c>
      <c r="B341" s="9" t="s">
        <v>379</v>
      </c>
      <c r="C341" s="9" t="s">
        <v>853</v>
      </c>
      <c r="D341" s="9" t="s">
        <v>867</v>
      </c>
      <c r="E341" s="9" t="s">
        <v>900</v>
      </c>
      <c r="F341" s="9" t="s">
        <v>840</v>
      </c>
      <c r="G341" s="9" t="s">
        <v>834</v>
      </c>
      <c r="H341" s="31"/>
    </row>
    <row r="342">
      <c r="A342" s="11">
        <v>46141.527095613426</v>
      </c>
      <c r="B342" s="9" t="s">
        <v>379</v>
      </c>
      <c r="C342" s="9" t="s">
        <v>837</v>
      </c>
      <c r="D342" s="9" t="s">
        <v>880</v>
      </c>
      <c r="E342" s="9" t="s">
        <v>900</v>
      </c>
      <c r="F342" s="9" t="s">
        <v>840</v>
      </c>
      <c r="G342" s="9" t="s">
        <v>649</v>
      </c>
      <c r="H342" s="31">
        <v>2.0</v>
      </c>
    </row>
    <row r="343">
      <c r="A343" s="11">
        <v>46141.53254201389</v>
      </c>
      <c r="B343" s="9" t="s">
        <v>67</v>
      </c>
      <c r="C343" s="9" t="s">
        <v>855</v>
      </c>
      <c r="D343" s="9" t="s">
        <v>871</v>
      </c>
      <c r="E343" s="9" t="s">
        <v>883</v>
      </c>
      <c r="F343" s="9" t="s">
        <v>840</v>
      </c>
      <c r="G343" s="9" t="s">
        <v>649</v>
      </c>
      <c r="H343" s="31">
        <v>3.0</v>
      </c>
    </row>
    <row r="344">
      <c r="A344" s="11">
        <v>46141.55771753472</v>
      </c>
      <c r="B344" s="9" t="s">
        <v>326</v>
      </c>
      <c r="C344" s="9" t="s">
        <v>858</v>
      </c>
      <c r="D344" s="9" t="s">
        <v>838</v>
      </c>
      <c r="E344" s="9" t="s">
        <v>889</v>
      </c>
      <c r="F344" s="9" t="s">
        <v>840</v>
      </c>
      <c r="G344" s="9" t="s">
        <v>649</v>
      </c>
      <c r="H344" s="31">
        <v>2.0</v>
      </c>
    </row>
    <row r="345">
      <c r="A345" s="11">
        <v>46141.56952193287</v>
      </c>
      <c r="B345" s="9" t="s">
        <v>367</v>
      </c>
      <c r="C345" s="9" t="s">
        <v>852</v>
      </c>
      <c r="D345" s="9" t="s">
        <v>877</v>
      </c>
      <c r="E345" s="9" t="s">
        <v>880</v>
      </c>
      <c r="F345" s="9" t="s">
        <v>840</v>
      </c>
      <c r="G345" s="9" t="s">
        <v>649</v>
      </c>
      <c r="H345" s="31">
        <v>1.0</v>
      </c>
    </row>
    <row r="346">
      <c r="A346" s="11">
        <v>46141.629644560184</v>
      </c>
      <c r="B346" s="9" t="s">
        <v>326</v>
      </c>
      <c r="C346" s="9" t="s">
        <v>887</v>
      </c>
      <c r="D346" s="9" t="s">
        <v>878</v>
      </c>
      <c r="E346" s="9" t="s">
        <v>880</v>
      </c>
      <c r="F346" s="9" t="s">
        <v>840</v>
      </c>
      <c r="G346" s="9" t="s">
        <v>649</v>
      </c>
      <c r="H346" s="31">
        <v>3.0</v>
      </c>
    </row>
    <row r="347">
      <c r="A347" s="11">
        <v>46141.64209393518</v>
      </c>
      <c r="B347" s="9" t="s">
        <v>355</v>
      </c>
      <c r="C347" s="9" t="s">
        <v>854</v>
      </c>
      <c r="D347" s="9" t="s">
        <v>853</v>
      </c>
      <c r="E347" s="9" t="s">
        <v>858</v>
      </c>
      <c r="F347" s="9" t="s">
        <v>840</v>
      </c>
      <c r="G347" s="9" t="s">
        <v>834</v>
      </c>
      <c r="H347" s="31"/>
    </row>
    <row r="348">
      <c r="A348" s="11">
        <v>46141.64721115741</v>
      </c>
      <c r="B348" s="9" t="s">
        <v>355</v>
      </c>
      <c r="C348" s="9" t="s">
        <v>876</v>
      </c>
      <c r="D348" s="9" t="s">
        <v>839</v>
      </c>
      <c r="E348" s="9" t="s">
        <v>858</v>
      </c>
      <c r="F348" s="9" t="s">
        <v>840</v>
      </c>
      <c r="G348" s="9" t="s">
        <v>649</v>
      </c>
      <c r="H348" s="31">
        <v>2.0</v>
      </c>
    </row>
    <row r="349">
      <c r="A349" s="11">
        <v>46141.653542280095</v>
      </c>
      <c r="B349" s="9" t="s">
        <v>337</v>
      </c>
      <c r="C349" s="9" t="s">
        <v>862</v>
      </c>
      <c r="D349" s="9" t="s">
        <v>853</v>
      </c>
      <c r="E349" s="9" t="s">
        <v>872</v>
      </c>
      <c r="F349" s="9" t="s">
        <v>840</v>
      </c>
      <c r="G349" s="9" t="s">
        <v>649</v>
      </c>
      <c r="H349" s="31">
        <v>2.0</v>
      </c>
    </row>
    <row r="350">
      <c r="A350" s="11">
        <v>46141.722527743055</v>
      </c>
      <c r="B350" s="9" t="s">
        <v>387</v>
      </c>
      <c r="C350" s="9" t="s">
        <v>852</v>
      </c>
      <c r="D350" s="9" t="s">
        <v>837</v>
      </c>
      <c r="E350" s="9" t="s">
        <v>887</v>
      </c>
      <c r="F350" s="9" t="s">
        <v>840</v>
      </c>
      <c r="G350" s="9" t="s">
        <v>649</v>
      </c>
      <c r="H350" s="31">
        <v>1.0</v>
      </c>
    </row>
    <row r="351">
      <c r="A351" s="11">
        <v>46141.79904863426</v>
      </c>
      <c r="B351" s="9" t="s">
        <v>164</v>
      </c>
      <c r="C351" s="9" t="s">
        <v>883</v>
      </c>
      <c r="D351" s="9" t="s">
        <v>871</v>
      </c>
      <c r="E351" s="9" t="s">
        <v>855</v>
      </c>
      <c r="F351" s="9" t="s">
        <v>840</v>
      </c>
      <c r="G351" s="9" t="s">
        <v>649</v>
      </c>
      <c r="H351" s="31">
        <v>2.0</v>
      </c>
    </row>
    <row r="352">
      <c r="A352" s="11">
        <v>46141.82322152778</v>
      </c>
      <c r="B352" s="9" t="s">
        <v>243</v>
      </c>
      <c r="C352" s="9" t="s">
        <v>867</v>
      </c>
      <c r="D352" s="9" t="s">
        <v>872</v>
      </c>
      <c r="E352" s="9" t="s">
        <v>877</v>
      </c>
      <c r="F352" s="9" t="s">
        <v>840</v>
      </c>
      <c r="G352" s="9" t="s">
        <v>649</v>
      </c>
      <c r="H352" s="31">
        <v>2.0</v>
      </c>
    </row>
    <row r="353">
      <c r="A353" s="11">
        <v>46141.82372408565</v>
      </c>
      <c r="B353" s="9" t="s">
        <v>141</v>
      </c>
      <c r="C353" s="9" t="s">
        <v>877</v>
      </c>
      <c r="D353" s="9" t="s">
        <v>857</v>
      </c>
      <c r="E353" s="9" t="s">
        <v>900</v>
      </c>
      <c r="F353" s="9" t="s">
        <v>840</v>
      </c>
      <c r="G353" s="9" t="s">
        <v>649</v>
      </c>
      <c r="H353" s="31">
        <v>2.0</v>
      </c>
    </row>
    <row r="354">
      <c r="A354" s="11">
        <v>46141.829412129635</v>
      </c>
      <c r="B354" s="9" t="s">
        <v>322</v>
      </c>
      <c r="C354" s="9" t="s">
        <v>854</v>
      </c>
      <c r="D354" s="9" t="s">
        <v>891</v>
      </c>
      <c r="E354" s="9" t="s">
        <v>861</v>
      </c>
      <c r="F354" s="9" t="s">
        <v>840</v>
      </c>
      <c r="G354" s="9" t="s">
        <v>834</v>
      </c>
      <c r="H354" s="31"/>
    </row>
    <row r="355">
      <c r="A355" s="11">
        <v>46141.83103230324</v>
      </c>
      <c r="B355" s="9" t="s">
        <v>322</v>
      </c>
      <c r="C355" s="9" t="s">
        <v>861</v>
      </c>
      <c r="D355" s="9" t="s">
        <v>891</v>
      </c>
      <c r="E355" s="9" t="s">
        <v>869</v>
      </c>
      <c r="F355" s="9" t="s">
        <v>840</v>
      </c>
      <c r="G355" s="9" t="s">
        <v>649</v>
      </c>
      <c r="H355" s="31">
        <v>2.0</v>
      </c>
    </row>
    <row r="356">
      <c r="A356" s="11">
        <v>46141.83175976852</v>
      </c>
      <c r="B356" s="9" t="s">
        <v>372</v>
      </c>
      <c r="C356" s="9" t="s">
        <v>854</v>
      </c>
      <c r="D356" s="9" t="s">
        <v>882</v>
      </c>
      <c r="E356" s="9" t="s">
        <v>867</v>
      </c>
      <c r="F356" s="9" t="s">
        <v>840</v>
      </c>
      <c r="G356" s="9" t="s">
        <v>834</v>
      </c>
      <c r="H356" s="31"/>
    </row>
    <row r="357">
      <c r="A357" s="11">
        <v>46141.83403799769</v>
      </c>
      <c r="B357" s="9" t="s">
        <v>316</v>
      </c>
      <c r="C357" s="9" t="s">
        <v>837</v>
      </c>
      <c r="D357" s="9" t="s">
        <v>877</v>
      </c>
      <c r="E357" s="9" t="s">
        <v>880</v>
      </c>
      <c r="F357" s="9" t="s">
        <v>840</v>
      </c>
      <c r="G357" s="9" t="s">
        <v>649</v>
      </c>
      <c r="H357" s="31">
        <v>2.0</v>
      </c>
    </row>
    <row r="358">
      <c r="A358" s="11">
        <v>46141.8392584838</v>
      </c>
      <c r="B358" s="9" t="s">
        <v>372</v>
      </c>
      <c r="C358" s="9" t="s">
        <v>861</v>
      </c>
      <c r="D358" s="9" t="s">
        <v>864</v>
      </c>
      <c r="E358" s="9" t="s">
        <v>853</v>
      </c>
      <c r="F358" s="9" t="s">
        <v>840</v>
      </c>
      <c r="G358" s="9" t="s">
        <v>649</v>
      </c>
      <c r="H358" s="31">
        <v>2.0</v>
      </c>
    </row>
    <row r="359">
      <c r="A359" s="11">
        <v>46141.84553261574</v>
      </c>
      <c r="B359" s="9" t="s">
        <v>227</v>
      </c>
      <c r="C359" s="9" t="s">
        <v>856</v>
      </c>
      <c r="D359" s="9" t="s">
        <v>882</v>
      </c>
      <c r="E359" s="9" t="s">
        <v>871</v>
      </c>
      <c r="F359" s="9" t="s">
        <v>840</v>
      </c>
      <c r="G359" s="9" t="s">
        <v>649</v>
      </c>
      <c r="H359" s="31">
        <v>2.0</v>
      </c>
    </row>
    <row r="360">
      <c r="A360" s="11">
        <v>46141.880151840276</v>
      </c>
      <c r="B360" s="9" t="s">
        <v>312</v>
      </c>
      <c r="C360" s="9" t="s">
        <v>837</v>
      </c>
      <c r="D360" s="9" t="s">
        <v>865</v>
      </c>
      <c r="E360" s="9" t="s">
        <v>880</v>
      </c>
      <c r="F360" s="9" t="s">
        <v>840</v>
      </c>
      <c r="G360" s="9" t="s">
        <v>860</v>
      </c>
      <c r="H360" s="31"/>
    </row>
    <row r="361">
      <c r="A361" s="11">
        <v>46141.89087420139</v>
      </c>
      <c r="B361" s="9" t="s">
        <v>366</v>
      </c>
      <c r="C361" s="9" t="s">
        <v>866</v>
      </c>
      <c r="D361" s="9" t="s">
        <v>839</v>
      </c>
      <c r="E361" s="9" t="s">
        <v>868</v>
      </c>
      <c r="F361" s="9" t="s">
        <v>840</v>
      </c>
      <c r="G361" s="9" t="s">
        <v>649</v>
      </c>
      <c r="H361" s="31">
        <v>2.0</v>
      </c>
    </row>
    <row r="362">
      <c r="A362" s="11">
        <v>46141.89825925926</v>
      </c>
      <c r="B362" s="9" t="s">
        <v>359</v>
      </c>
      <c r="C362" s="9" t="s">
        <v>865</v>
      </c>
      <c r="D362" s="9" t="s">
        <v>880</v>
      </c>
      <c r="E362" s="9" t="s">
        <v>881</v>
      </c>
      <c r="F362" s="9" t="s">
        <v>840</v>
      </c>
      <c r="G362" s="9" t="s">
        <v>649</v>
      </c>
      <c r="H362" s="31">
        <v>2.0</v>
      </c>
    </row>
    <row r="363">
      <c r="A363" s="11">
        <v>46141.928720763884</v>
      </c>
      <c r="B363" s="9" t="s">
        <v>345</v>
      </c>
      <c r="C363" s="9" t="s">
        <v>852</v>
      </c>
      <c r="D363" s="9" t="s">
        <v>861</v>
      </c>
      <c r="E363" s="9" t="s">
        <v>863</v>
      </c>
      <c r="F363" s="9" t="s">
        <v>840</v>
      </c>
      <c r="G363" s="9" t="s">
        <v>649</v>
      </c>
      <c r="H363" s="31">
        <v>1.0</v>
      </c>
    </row>
    <row r="364">
      <c r="A364" s="11">
        <v>46142.00172680555</v>
      </c>
      <c r="B364" s="9" t="s">
        <v>348</v>
      </c>
      <c r="C364" s="9" t="s">
        <v>876</v>
      </c>
      <c r="D364" s="9" t="s">
        <v>861</v>
      </c>
      <c r="E364" s="9" t="s">
        <v>887</v>
      </c>
      <c r="F364" s="9" t="s">
        <v>840</v>
      </c>
      <c r="G364" s="9" t="s">
        <v>649</v>
      </c>
      <c r="H364" s="31">
        <v>2.0</v>
      </c>
    </row>
    <row r="365">
      <c r="A365" s="11">
        <v>46142.037704490736</v>
      </c>
      <c r="B365" s="9" t="s">
        <v>397</v>
      </c>
      <c r="C365" s="9" t="s">
        <v>858</v>
      </c>
      <c r="D365" s="9" t="s">
        <v>852</v>
      </c>
      <c r="E365" s="9" t="s">
        <v>853</v>
      </c>
      <c r="F365" s="9" t="s">
        <v>840</v>
      </c>
      <c r="G365" s="9" t="s">
        <v>860</v>
      </c>
      <c r="H365" s="31"/>
    </row>
    <row r="366">
      <c r="A366" s="11">
        <v>46142.09746012732</v>
      </c>
      <c r="B366" s="9" t="s">
        <v>397</v>
      </c>
      <c r="C366" s="9" t="s">
        <v>853</v>
      </c>
      <c r="D366" s="9" t="s">
        <v>852</v>
      </c>
      <c r="E366" s="9" t="s">
        <v>875</v>
      </c>
      <c r="F366" s="9" t="s">
        <v>840</v>
      </c>
      <c r="G366" s="9" t="s">
        <v>649</v>
      </c>
      <c r="H366" s="31">
        <v>1.0</v>
      </c>
    </row>
    <row r="367">
      <c r="A367" s="11">
        <v>46142.14654407407</v>
      </c>
      <c r="B367" s="9" t="s">
        <v>291</v>
      </c>
      <c r="C367" s="9" t="s">
        <v>852</v>
      </c>
      <c r="D367" s="9" t="s">
        <v>881</v>
      </c>
      <c r="E367" s="9" t="s">
        <v>890</v>
      </c>
      <c r="F367" s="9" t="s">
        <v>840</v>
      </c>
      <c r="G367" s="9" t="s">
        <v>649</v>
      </c>
      <c r="H367" s="31">
        <v>2.0</v>
      </c>
    </row>
    <row r="368">
      <c r="A368" s="11">
        <v>46142.203358831015</v>
      </c>
      <c r="B368" s="9" t="s">
        <v>93</v>
      </c>
      <c r="C368" s="9" t="s">
        <v>889</v>
      </c>
      <c r="D368" s="9" t="s">
        <v>879</v>
      </c>
      <c r="E368" s="9" t="s">
        <v>839</v>
      </c>
      <c r="F368" s="9" t="s">
        <v>840</v>
      </c>
      <c r="G368" s="9" t="s">
        <v>649</v>
      </c>
      <c r="H368" s="31">
        <v>2.0</v>
      </c>
    </row>
    <row r="369">
      <c r="A369" s="11">
        <v>46142.21255347222</v>
      </c>
      <c r="B369" s="9" t="s">
        <v>291</v>
      </c>
      <c r="C369" s="9" t="s">
        <v>837</v>
      </c>
      <c r="D369" s="9" t="s">
        <v>878</v>
      </c>
      <c r="E369" s="9" t="s">
        <v>877</v>
      </c>
      <c r="F369" s="9" t="s">
        <v>840</v>
      </c>
      <c r="G369" s="9" t="s">
        <v>649</v>
      </c>
      <c r="H369" s="31">
        <v>3.0</v>
      </c>
    </row>
    <row r="370">
      <c r="A370" s="11">
        <v>46142.39842806713</v>
      </c>
      <c r="B370" s="9" t="s">
        <v>202</v>
      </c>
      <c r="C370" s="9" t="s">
        <v>864</v>
      </c>
      <c r="D370" s="9" t="s">
        <v>876</v>
      </c>
      <c r="E370" s="9" t="s">
        <v>895</v>
      </c>
      <c r="F370" s="9" t="s">
        <v>840</v>
      </c>
      <c r="G370" s="9" t="s">
        <v>649</v>
      </c>
      <c r="H370" s="31">
        <v>2.0</v>
      </c>
    </row>
    <row r="371">
      <c r="A371" s="11">
        <v>46142.50254443287</v>
      </c>
      <c r="B371" s="9" t="s">
        <v>300</v>
      </c>
      <c r="C371" s="9" t="s">
        <v>837</v>
      </c>
      <c r="D371" s="9" t="s">
        <v>852</v>
      </c>
      <c r="E371" s="9" t="s">
        <v>869</v>
      </c>
      <c r="F371" s="9" t="s">
        <v>840</v>
      </c>
      <c r="G371" s="9" t="s">
        <v>649</v>
      </c>
      <c r="H371" s="31">
        <v>2.0</v>
      </c>
    </row>
    <row r="372">
      <c r="A372" s="11">
        <v>46142.503072962965</v>
      </c>
      <c r="B372" s="9" t="s">
        <v>385</v>
      </c>
      <c r="C372" s="9" t="s">
        <v>852</v>
      </c>
      <c r="D372" s="9" t="s">
        <v>869</v>
      </c>
      <c r="E372" s="9" t="s">
        <v>863</v>
      </c>
      <c r="F372" s="9" t="s">
        <v>840</v>
      </c>
      <c r="G372" s="9" t="s">
        <v>649</v>
      </c>
      <c r="H372" s="31">
        <v>1.0</v>
      </c>
    </row>
    <row r="373">
      <c r="A373" s="11">
        <v>46142.53032520833</v>
      </c>
      <c r="B373" s="9" t="s">
        <v>378</v>
      </c>
      <c r="C373" s="9" t="s">
        <v>876</v>
      </c>
      <c r="D373" s="9" t="s">
        <v>869</v>
      </c>
      <c r="E373" s="9" t="s">
        <v>839</v>
      </c>
      <c r="F373" s="9" t="s">
        <v>840</v>
      </c>
      <c r="G373" s="9" t="s">
        <v>834</v>
      </c>
      <c r="H373" s="31"/>
    </row>
    <row r="374">
      <c r="A374" s="11">
        <v>46142.531785</v>
      </c>
      <c r="B374" s="9" t="s">
        <v>378</v>
      </c>
      <c r="C374" s="9" t="s">
        <v>839</v>
      </c>
      <c r="D374" s="9" t="s">
        <v>863</v>
      </c>
      <c r="E374" s="9" t="s">
        <v>861</v>
      </c>
      <c r="F374" s="9" t="s">
        <v>840</v>
      </c>
      <c r="G374" s="9" t="s">
        <v>649</v>
      </c>
      <c r="H374" s="31">
        <v>2.0</v>
      </c>
    </row>
    <row r="375">
      <c r="A375" s="11">
        <v>46142.57099761574</v>
      </c>
      <c r="B375" s="9" t="s">
        <v>397</v>
      </c>
      <c r="C375" s="9" t="s">
        <v>858</v>
      </c>
      <c r="D375" s="9" t="s">
        <v>837</v>
      </c>
      <c r="E375" s="9" t="s">
        <v>872</v>
      </c>
      <c r="F375" s="9" t="s">
        <v>840</v>
      </c>
      <c r="G375" s="9" t="s">
        <v>649</v>
      </c>
      <c r="H375" s="31">
        <v>2.0</v>
      </c>
    </row>
    <row r="376">
      <c r="A376" s="11">
        <v>46142.601670289354</v>
      </c>
      <c r="B376" s="9" t="s">
        <v>399</v>
      </c>
      <c r="C376" s="9" t="s">
        <v>852</v>
      </c>
      <c r="D376" s="9" t="s">
        <v>837</v>
      </c>
      <c r="E376" s="9" t="s">
        <v>887</v>
      </c>
      <c r="F376" s="9" t="s">
        <v>840</v>
      </c>
      <c r="G376" s="9" t="s">
        <v>649</v>
      </c>
      <c r="H376" s="31">
        <v>1.0</v>
      </c>
    </row>
    <row r="377">
      <c r="A377" s="11">
        <v>46142.61846185185</v>
      </c>
      <c r="B377" s="9" t="s">
        <v>163</v>
      </c>
      <c r="C377" s="9" t="s">
        <v>872</v>
      </c>
      <c r="D377" s="9" t="s">
        <v>891</v>
      </c>
      <c r="E377" s="9" t="s">
        <v>868</v>
      </c>
      <c r="F377" s="9" t="s">
        <v>840</v>
      </c>
      <c r="G377" s="9" t="s">
        <v>649</v>
      </c>
      <c r="H377" s="31">
        <v>2.0</v>
      </c>
    </row>
    <row r="378">
      <c r="A378" s="11">
        <v>46142.648926469905</v>
      </c>
      <c r="B378" s="9" t="s">
        <v>935</v>
      </c>
      <c r="C378" s="9" t="s">
        <v>863</v>
      </c>
      <c r="D378" s="9" t="s">
        <v>862</v>
      </c>
      <c r="E378" s="9" t="s">
        <v>882</v>
      </c>
      <c r="F378" s="9" t="s">
        <v>840</v>
      </c>
      <c r="G378" s="9" t="s">
        <v>649</v>
      </c>
      <c r="H378" s="31">
        <v>1.0</v>
      </c>
    </row>
    <row r="379">
      <c r="A379" s="11">
        <v>46142.67748190972</v>
      </c>
      <c r="B379" s="9" t="s">
        <v>404</v>
      </c>
      <c r="C379" s="9" t="s">
        <v>864</v>
      </c>
      <c r="D379" s="9" t="s">
        <v>869</v>
      </c>
      <c r="E379" s="9" t="s">
        <v>866</v>
      </c>
      <c r="F379" s="9" t="s">
        <v>840</v>
      </c>
      <c r="G379" s="9" t="s">
        <v>649</v>
      </c>
      <c r="H379" s="31">
        <v>1.0</v>
      </c>
    </row>
    <row r="380">
      <c r="A380" s="11">
        <v>46142.69026752315</v>
      </c>
      <c r="B380" s="9" t="s">
        <v>173</v>
      </c>
      <c r="C380" s="9" t="s">
        <v>852</v>
      </c>
      <c r="D380" s="9" t="s">
        <v>869</v>
      </c>
      <c r="E380" s="9" t="s">
        <v>882</v>
      </c>
      <c r="F380" s="9" t="s">
        <v>840</v>
      </c>
      <c r="G380" s="9" t="s">
        <v>834</v>
      </c>
      <c r="H380" s="31"/>
    </row>
    <row r="381">
      <c r="A381" s="11">
        <v>46142.6949925463</v>
      </c>
      <c r="B381" s="9" t="s">
        <v>308</v>
      </c>
      <c r="C381" s="9" t="s">
        <v>852</v>
      </c>
      <c r="D381" s="9" t="s">
        <v>854</v>
      </c>
      <c r="E381" s="9" t="s">
        <v>871</v>
      </c>
      <c r="F381" s="9" t="s">
        <v>840</v>
      </c>
      <c r="G381" s="9" t="s">
        <v>834</v>
      </c>
      <c r="H381" s="31"/>
    </row>
    <row r="382">
      <c r="A382" s="11">
        <v>46142.69697658565</v>
      </c>
      <c r="B382" s="9" t="s">
        <v>308</v>
      </c>
      <c r="C382" s="9" t="s">
        <v>854</v>
      </c>
      <c r="D382" s="9" t="s">
        <v>871</v>
      </c>
      <c r="E382" s="9" t="s">
        <v>855</v>
      </c>
      <c r="F382" s="9" t="s">
        <v>840</v>
      </c>
      <c r="G382" s="9" t="s">
        <v>649</v>
      </c>
      <c r="H382" s="31">
        <v>2.0</v>
      </c>
    </row>
    <row r="383">
      <c r="A383" s="11">
        <v>46142.72410756945</v>
      </c>
      <c r="B383" s="9" t="s">
        <v>104</v>
      </c>
      <c r="C383" s="9" t="s">
        <v>877</v>
      </c>
      <c r="D383" s="9" t="s">
        <v>853</v>
      </c>
      <c r="E383" s="9" t="s">
        <v>895</v>
      </c>
      <c r="F383" s="9" t="s">
        <v>840</v>
      </c>
      <c r="H383" s="31">
        <v>2.0</v>
      </c>
    </row>
    <row r="384">
      <c r="A384" s="11">
        <v>46142.74862200231</v>
      </c>
      <c r="B384" s="9" t="s">
        <v>85</v>
      </c>
      <c r="C384" s="9" t="s">
        <v>868</v>
      </c>
      <c r="D384" s="9" t="s">
        <v>880</v>
      </c>
      <c r="E384" s="9" t="s">
        <v>869</v>
      </c>
      <c r="F384" s="9" t="s">
        <v>840</v>
      </c>
      <c r="G384" s="9" t="s">
        <v>649</v>
      </c>
      <c r="H384" s="31">
        <v>2.0</v>
      </c>
    </row>
    <row r="385">
      <c r="A385" s="11">
        <v>46142.77667258102</v>
      </c>
      <c r="B385" s="9" t="s">
        <v>173</v>
      </c>
      <c r="C385" s="9" t="s">
        <v>852</v>
      </c>
      <c r="D385" s="9" t="s">
        <v>869</v>
      </c>
      <c r="E385" s="9" t="s">
        <v>880</v>
      </c>
      <c r="F385" s="9" t="s">
        <v>840</v>
      </c>
      <c r="G385" s="9" t="s">
        <v>649</v>
      </c>
      <c r="H385" s="31">
        <v>3.0</v>
      </c>
    </row>
    <row r="386">
      <c r="A386" s="11">
        <v>46142.84651177083</v>
      </c>
      <c r="B386" s="9" t="s">
        <v>256</v>
      </c>
      <c r="C386" s="9" t="s">
        <v>889</v>
      </c>
      <c r="D386" s="9" t="s">
        <v>838</v>
      </c>
      <c r="E386" s="9" t="s">
        <v>896</v>
      </c>
      <c r="F386" s="9" t="s">
        <v>840</v>
      </c>
      <c r="G386" s="9" t="s">
        <v>649</v>
      </c>
      <c r="H386" s="31">
        <v>2.0</v>
      </c>
    </row>
    <row r="387">
      <c r="A387" s="11">
        <v>46142.86936457176</v>
      </c>
      <c r="B387" s="9" t="s">
        <v>410</v>
      </c>
      <c r="C387" s="9" t="s">
        <v>852</v>
      </c>
      <c r="D387" s="9" t="s">
        <v>868</v>
      </c>
      <c r="E387" s="9" t="s">
        <v>877</v>
      </c>
      <c r="F387" s="9" t="s">
        <v>840</v>
      </c>
      <c r="G387" s="9" t="s">
        <v>649</v>
      </c>
      <c r="H387" s="31">
        <v>1.0</v>
      </c>
    </row>
    <row r="388">
      <c r="A388" s="11">
        <v>46142.885571273146</v>
      </c>
      <c r="B388" s="9" t="s">
        <v>393</v>
      </c>
      <c r="C388" s="9" t="s">
        <v>852</v>
      </c>
      <c r="D388" s="9" t="s">
        <v>837</v>
      </c>
      <c r="E388" s="9" t="s">
        <v>838</v>
      </c>
      <c r="F388" s="9" t="s">
        <v>840</v>
      </c>
      <c r="G388" s="9" t="s">
        <v>649</v>
      </c>
      <c r="H388" s="31">
        <v>1.0</v>
      </c>
    </row>
    <row r="389">
      <c r="A389" s="11">
        <v>46142.931929513885</v>
      </c>
      <c r="B389" s="9" t="s">
        <v>278</v>
      </c>
      <c r="C389" s="9" t="s">
        <v>852</v>
      </c>
      <c r="D389" s="9" t="s">
        <v>869</v>
      </c>
      <c r="E389" s="9" t="s">
        <v>868</v>
      </c>
      <c r="F389" s="9" t="s">
        <v>840</v>
      </c>
      <c r="G389" s="9" t="s">
        <v>649</v>
      </c>
      <c r="H389" s="31">
        <v>3.0</v>
      </c>
    </row>
    <row r="390">
      <c r="A390" s="11">
        <v>46142.94601251157</v>
      </c>
      <c r="B390" s="9" t="s">
        <v>150</v>
      </c>
      <c r="C390" s="9" t="s">
        <v>837</v>
      </c>
      <c r="D390" s="9" t="s">
        <v>881</v>
      </c>
      <c r="E390" s="9" t="s">
        <v>880</v>
      </c>
      <c r="F390" s="9" t="s">
        <v>840</v>
      </c>
      <c r="G390" s="9" t="s">
        <v>649</v>
      </c>
      <c r="H390" s="31">
        <v>2.0</v>
      </c>
    </row>
    <row r="391">
      <c r="A391" s="11">
        <v>46142.94807452546</v>
      </c>
      <c r="B391" s="9" t="s">
        <v>142</v>
      </c>
      <c r="C391" s="9" t="s">
        <v>896</v>
      </c>
      <c r="D391" s="9" t="s">
        <v>878</v>
      </c>
      <c r="E391" s="9" t="s">
        <v>867</v>
      </c>
      <c r="F391" s="9" t="s">
        <v>840</v>
      </c>
      <c r="G391" s="9" t="s">
        <v>649</v>
      </c>
      <c r="H391" s="31">
        <v>3.0</v>
      </c>
    </row>
    <row r="392">
      <c r="A392" s="11">
        <v>46142.951556388885</v>
      </c>
      <c r="B392" s="9" t="s">
        <v>413</v>
      </c>
      <c r="C392" s="9" t="s">
        <v>837</v>
      </c>
      <c r="D392" s="9" t="s">
        <v>852</v>
      </c>
      <c r="E392" s="9" t="s">
        <v>869</v>
      </c>
      <c r="F392" s="9" t="s">
        <v>840</v>
      </c>
      <c r="G392" s="9" t="s">
        <v>649</v>
      </c>
      <c r="H392" s="31">
        <v>1.0</v>
      </c>
    </row>
    <row r="393">
      <c r="A393" s="11">
        <v>46142.96295826389</v>
      </c>
      <c r="B393" s="9" t="s">
        <v>297</v>
      </c>
      <c r="C393" s="9" t="s">
        <v>869</v>
      </c>
      <c r="D393" s="9" t="s">
        <v>865</v>
      </c>
      <c r="E393" s="9" t="s">
        <v>866</v>
      </c>
      <c r="F393" s="9" t="s">
        <v>840</v>
      </c>
      <c r="G393" s="9" t="s">
        <v>649</v>
      </c>
      <c r="H393" s="31">
        <v>2.0</v>
      </c>
    </row>
    <row r="394">
      <c r="A394" s="11">
        <v>46142.99164216435</v>
      </c>
      <c r="B394" s="9" t="s">
        <v>404</v>
      </c>
      <c r="C394" s="9" t="s">
        <v>864</v>
      </c>
      <c r="D394" s="9" t="s">
        <v>852</v>
      </c>
      <c r="E394" s="9" t="s">
        <v>853</v>
      </c>
      <c r="F394" s="9" t="s">
        <v>840</v>
      </c>
      <c r="G394" s="9" t="s">
        <v>834</v>
      </c>
      <c r="H394" s="31"/>
    </row>
    <row r="395">
      <c r="A395" s="11">
        <v>46142.995420798616</v>
      </c>
      <c r="B395" s="9" t="s">
        <v>404</v>
      </c>
      <c r="C395" s="9" t="s">
        <v>852</v>
      </c>
      <c r="D395" s="9" t="s">
        <v>853</v>
      </c>
      <c r="E395" s="9" t="s">
        <v>877</v>
      </c>
      <c r="F395" s="9" t="s">
        <v>840</v>
      </c>
      <c r="G395" s="9" t="s">
        <v>649</v>
      </c>
      <c r="H395" s="31">
        <v>2.0</v>
      </c>
    </row>
    <row r="396">
      <c r="A396" s="11">
        <v>46143.014488333334</v>
      </c>
      <c r="B396" s="9" t="s">
        <v>343</v>
      </c>
      <c r="C396" s="9" t="s">
        <v>852</v>
      </c>
      <c r="D396" s="9" t="s">
        <v>868</v>
      </c>
      <c r="E396" s="9" t="s">
        <v>896</v>
      </c>
      <c r="F396" s="9" t="s">
        <v>840</v>
      </c>
      <c r="H396" s="31">
        <v>1.0</v>
      </c>
    </row>
    <row r="397">
      <c r="A397" s="11">
        <v>46143.034257673615</v>
      </c>
      <c r="B397" s="9" t="s">
        <v>394</v>
      </c>
      <c r="C397" s="9" t="s">
        <v>877</v>
      </c>
      <c r="D397" s="9" t="s">
        <v>896</v>
      </c>
      <c r="E397" s="9" t="s">
        <v>858</v>
      </c>
      <c r="F397" s="9" t="s">
        <v>840</v>
      </c>
      <c r="G397" s="9" t="s">
        <v>649</v>
      </c>
      <c r="H397" s="31">
        <v>2.0</v>
      </c>
    </row>
    <row r="398">
      <c r="A398" s="11">
        <v>46143.04147636574</v>
      </c>
      <c r="B398" s="9" t="s">
        <v>413</v>
      </c>
      <c r="C398" s="9" t="s">
        <v>878</v>
      </c>
      <c r="D398" s="9" t="s">
        <v>865</v>
      </c>
      <c r="E398" s="9" t="s">
        <v>880</v>
      </c>
      <c r="F398" s="9" t="s">
        <v>840</v>
      </c>
      <c r="G398" s="9" t="s">
        <v>649</v>
      </c>
      <c r="H398" s="31">
        <v>2.0</v>
      </c>
    </row>
    <row r="399">
      <c r="A399" s="11">
        <v>46143.04615688657</v>
      </c>
      <c r="B399" s="9" t="s">
        <v>410</v>
      </c>
      <c r="C399" s="9" t="s">
        <v>864</v>
      </c>
      <c r="D399" s="9" t="s">
        <v>865</v>
      </c>
      <c r="E399" s="9" t="s">
        <v>869</v>
      </c>
      <c r="F399" s="9" t="s">
        <v>840</v>
      </c>
      <c r="G399" s="9" t="s">
        <v>649</v>
      </c>
      <c r="H399" s="31">
        <v>2.0</v>
      </c>
    </row>
    <row r="400">
      <c r="A400" s="11">
        <v>46143.10944320602</v>
      </c>
      <c r="B400" s="9" t="s">
        <v>335</v>
      </c>
      <c r="C400" s="9" t="s">
        <v>878</v>
      </c>
      <c r="D400" s="9" t="s">
        <v>896</v>
      </c>
      <c r="E400" s="9" t="s">
        <v>881</v>
      </c>
      <c r="F400" s="9" t="s">
        <v>840</v>
      </c>
      <c r="G400" s="9" t="s">
        <v>649</v>
      </c>
      <c r="H400" s="31">
        <v>2.0</v>
      </c>
    </row>
    <row r="401">
      <c r="A401" s="11">
        <v>46143.26769443287</v>
      </c>
      <c r="B401" s="9" t="s">
        <v>406</v>
      </c>
      <c r="C401" s="9" t="s">
        <v>883</v>
      </c>
      <c r="D401" s="9" t="s">
        <v>855</v>
      </c>
      <c r="E401" s="9" t="s">
        <v>839</v>
      </c>
      <c r="F401" s="9" t="s">
        <v>840</v>
      </c>
      <c r="G401" s="9" t="s">
        <v>649</v>
      </c>
      <c r="H401" s="31">
        <v>2.0</v>
      </c>
    </row>
    <row r="402">
      <c r="A402" s="11">
        <v>46143.29796094907</v>
      </c>
      <c r="B402" s="9" t="s">
        <v>401</v>
      </c>
      <c r="C402" s="9" t="s">
        <v>868</v>
      </c>
      <c r="D402" s="9" t="s">
        <v>854</v>
      </c>
      <c r="E402" s="9" t="s">
        <v>863</v>
      </c>
      <c r="F402" s="9" t="s">
        <v>840</v>
      </c>
      <c r="G402" s="9" t="s">
        <v>649</v>
      </c>
      <c r="H402" s="31">
        <v>2.0</v>
      </c>
    </row>
    <row r="403">
      <c r="A403" s="11">
        <v>46143.335254791666</v>
      </c>
      <c r="B403" s="9" t="s">
        <v>399</v>
      </c>
      <c r="C403" s="9" t="s">
        <v>864</v>
      </c>
      <c r="D403" s="9" t="s">
        <v>877</v>
      </c>
      <c r="E403" s="9" t="s">
        <v>890</v>
      </c>
      <c r="F403" s="9" t="s">
        <v>840</v>
      </c>
      <c r="G403" s="9" t="s">
        <v>649</v>
      </c>
      <c r="H403" s="31">
        <v>2.0</v>
      </c>
    </row>
    <row r="404">
      <c r="A404" s="11">
        <v>46143.46971805555</v>
      </c>
      <c r="B404" s="9" t="s">
        <v>417</v>
      </c>
      <c r="C404" s="9" t="s">
        <v>872</v>
      </c>
      <c r="D404" s="9" t="s">
        <v>895</v>
      </c>
      <c r="E404" s="9" t="s">
        <v>891</v>
      </c>
      <c r="F404" s="9" t="s">
        <v>840</v>
      </c>
      <c r="G404" s="9" t="s">
        <v>649</v>
      </c>
      <c r="H404" s="31">
        <v>2.0</v>
      </c>
    </row>
    <row r="405">
      <c r="A405" s="11">
        <v>46143.52706748842</v>
      </c>
      <c r="B405" s="9" t="s">
        <v>421</v>
      </c>
      <c r="C405" s="9" t="s">
        <v>854</v>
      </c>
      <c r="D405" s="9" t="s">
        <v>871</v>
      </c>
      <c r="E405" s="9" t="s">
        <v>859</v>
      </c>
      <c r="F405" s="9" t="s">
        <v>840</v>
      </c>
      <c r="G405" s="9" t="s">
        <v>649</v>
      </c>
      <c r="H405" s="31">
        <v>1.0</v>
      </c>
    </row>
    <row r="406">
      <c r="A406" s="11">
        <v>46143.5370858449</v>
      </c>
      <c r="B406" s="9" t="s">
        <v>169</v>
      </c>
      <c r="C406" s="9" t="s">
        <v>861</v>
      </c>
      <c r="D406" s="9" t="s">
        <v>880</v>
      </c>
      <c r="E406" s="9" t="s">
        <v>891</v>
      </c>
      <c r="F406" s="9" t="s">
        <v>840</v>
      </c>
      <c r="G406" s="9" t="s">
        <v>649</v>
      </c>
      <c r="H406" s="31">
        <v>3.0</v>
      </c>
    </row>
    <row r="407">
      <c r="A407" s="11">
        <v>46143.56254835648</v>
      </c>
      <c r="B407" s="9" t="s">
        <v>424</v>
      </c>
      <c r="C407" s="9" t="s">
        <v>876</v>
      </c>
      <c r="D407" s="9" t="s">
        <v>852</v>
      </c>
      <c r="E407" s="9" t="s">
        <v>861</v>
      </c>
      <c r="F407" s="9" t="s">
        <v>840</v>
      </c>
      <c r="G407" s="9" t="s">
        <v>649</v>
      </c>
      <c r="H407" s="31">
        <v>1.0</v>
      </c>
    </row>
    <row r="408">
      <c r="A408" s="11">
        <v>46143.58372403935</v>
      </c>
      <c r="B408" s="9" t="s">
        <v>103</v>
      </c>
      <c r="C408" s="9" t="s">
        <v>864</v>
      </c>
      <c r="D408" s="9" t="s">
        <v>887</v>
      </c>
      <c r="E408" s="9" t="s">
        <v>865</v>
      </c>
      <c r="F408" s="9" t="s">
        <v>840</v>
      </c>
      <c r="G408" s="9" t="s">
        <v>649</v>
      </c>
      <c r="H408" s="31">
        <v>1.0</v>
      </c>
    </row>
    <row r="409">
      <c r="A409" s="11">
        <v>46143.63996519676</v>
      </c>
      <c r="B409" s="9" t="s">
        <v>157</v>
      </c>
      <c r="C409" s="9" t="s">
        <v>858</v>
      </c>
      <c r="D409" s="9" t="s">
        <v>857</v>
      </c>
      <c r="E409" s="9" t="s">
        <v>852</v>
      </c>
      <c r="F409" s="9" t="s">
        <v>840</v>
      </c>
      <c r="G409" s="9" t="s">
        <v>834</v>
      </c>
      <c r="H409" s="31"/>
    </row>
    <row r="410">
      <c r="A410" s="11">
        <v>46143.64716787037</v>
      </c>
      <c r="B410" s="9" t="s">
        <v>157</v>
      </c>
      <c r="C410" s="9" t="s">
        <v>858</v>
      </c>
      <c r="D410" s="9" t="s">
        <v>889</v>
      </c>
      <c r="E410" s="9" t="s">
        <v>852</v>
      </c>
      <c r="F410" s="9" t="s">
        <v>840</v>
      </c>
      <c r="G410" s="9" t="s">
        <v>649</v>
      </c>
      <c r="H410" s="31">
        <v>2.0</v>
      </c>
    </row>
    <row r="411">
      <c r="A411" s="11">
        <v>46143.664489456016</v>
      </c>
      <c r="B411" s="9" t="s">
        <v>95</v>
      </c>
      <c r="C411" s="9" t="s">
        <v>864</v>
      </c>
      <c r="D411" s="9" t="s">
        <v>877</v>
      </c>
      <c r="E411" s="9" t="s">
        <v>866</v>
      </c>
      <c r="F411" s="9" t="s">
        <v>840</v>
      </c>
      <c r="G411" s="9" t="s">
        <v>649</v>
      </c>
      <c r="H411" s="31">
        <v>2.0</v>
      </c>
    </row>
    <row r="412">
      <c r="A412" s="11">
        <v>46143.691042175924</v>
      </c>
      <c r="B412" s="9" t="s">
        <v>424</v>
      </c>
      <c r="C412" s="9" t="s">
        <v>887</v>
      </c>
      <c r="D412" s="9" t="s">
        <v>869</v>
      </c>
      <c r="E412" s="9" t="s">
        <v>855</v>
      </c>
      <c r="F412" s="9" t="s">
        <v>840</v>
      </c>
      <c r="G412" s="9" t="s">
        <v>649</v>
      </c>
      <c r="H412" s="31">
        <v>2.0</v>
      </c>
    </row>
    <row r="413">
      <c r="A413" s="11">
        <v>46143.69567162037</v>
      </c>
      <c r="B413" s="9" t="s">
        <v>385</v>
      </c>
      <c r="C413" s="9" t="s">
        <v>837</v>
      </c>
      <c r="D413" s="9" t="s">
        <v>872</v>
      </c>
      <c r="E413" s="9" t="s">
        <v>875</v>
      </c>
      <c r="F413" s="9" t="s">
        <v>840</v>
      </c>
      <c r="G413" s="9" t="s">
        <v>649</v>
      </c>
      <c r="H413" s="31">
        <v>2.0</v>
      </c>
    </row>
    <row r="414">
      <c r="A414" s="11">
        <v>46143.70346655093</v>
      </c>
      <c r="B414" s="9" t="s">
        <v>62</v>
      </c>
      <c r="C414" s="9" t="s">
        <v>881</v>
      </c>
      <c r="D414" s="9" t="s">
        <v>879</v>
      </c>
      <c r="E414" s="9" t="s">
        <v>858</v>
      </c>
      <c r="F414" s="9" t="s">
        <v>840</v>
      </c>
      <c r="G414" s="9" t="s">
        <v>649</v>
      </c>
      <c r="H414" s="31">
        <v>3.0</v>
      </c>
    </row>
    <row r="415">
      <c r="A415" s="11">
        <v>46143.722343263886</v>
      </c>
      <c r="B415" s="9" t="s">
        <v>72</v>
      </c>
      <c r="C415" s="9" t="s">
        <v>852</v>
      </c>
      <c r="D415" s="9" t="s">
        <v>875</v>
      </c>
      <c r="E415" s="9" t="s">
        <v>900</v>
      </c>
      <c r="F415" s="9" t="s">
        <v>840</v>
      </c>
      <c r="G415" s="9" t="s">
        <v>649</v>
      </c>
      <c r="H415" s="31">
        <v>3.0</v>
      </c>
    </row>
    <row r="416">
      <c r="A416" s="11">
        <v>46143.73180835648</v>
      </c>
      <c r="B416" s="9" t="s">
        <v>100</v>
      </c>
      <c r="C416" s="9" t="s">
        <v>861</v>
      </c>
      <c r="D416" s="9" t="s">
        <v>859</v>
      </c>
      <c r="E416" s="9" t="s">
        <v>900</v>
      </c>
      <c r="F416" s="9" t="s">
        <v>840</v>
      </c>
      <c r="H416" s="31">
        <v>3.0</v>
      </c>
    </row>
    <row r="417">
      <c r="A417" s="11">
        <v>46143.73946921296</v>
      </c>
      <c r="B417" s="9" t="s">
        <v>66</v>
      </c>
      <c r="C417" s="9" t="s">
        <v>838</v>
      </c>
      <c r="D417" s="9" t="s">
        <v>881</v>
      </c>
      <c r="E417" s="9" t="s">
        <v>869</v>
      </c>
      <c r="F417" s="9" t="s">
        <v>840</v>
      </c>
      <c r="H417" s="31">
        <v>3.0</v>
      </c>
    </row>
    <row r="418">
      <c r="A418" s="11">
        <v>46143.74813605324</v>
      </c>
      <c r="B418" s="9" t="s">
        <v>259</v>
      </c>
      <c r="C418" s="9" t="s">
        <v>869</v>
      </c>
      <c r="D418" s="9" t="s">
        <v>896</v>
      </c>
      <c r="E418" s="9" t="s">
        <v>872</v>
      </c>
      <c r="F418" s="9" t="s">
        <v>840</v>
      </c>
      <c r="G418" s="9" t="s">
        <v>649</v>
      </c>
      <c r="H418" s="31">
        <v>2.0</v>
      </c>
    </row>
    <row r="419">
      <c r="A419" s="11">
        <v>46143.758201770834</v>
      </c>
      <c r="B419" s="9" t="s">
        <v>71</v>
      </c>
      <c r="C419" s="9" t="s">
        <v>863</v>
      </c>
      <c r="D419" s="9" t="s">
        <v>876</v>
      </c>
      <c r="E419" s="9" t="s">
        <v>852</v>
      </c>
      <c r="F419" s="9" t="s">
        <v>840</v>
      </c>
      <c r="H419" s="31">
        <v>2.0</v>
      </c>
    </row>
    <row r="420">
      <c r="A420" s="11">
        <v>46143.76470013889</v>
      </c>
      <c r="B420" s="9" t="s">
        <v>264</v>
      </c>
      <c r="C420" s="9" t="s">
        <v>837</v>
      </c>
      <c r="D420" s="9" t="s">
        <v>871</v>
      </c>
      <c r="E420" s="9" t="s">
        <v>853</v>
      </c>
      <c r="F420" s="9" t="s">
        <v>840</v>
      </c>
      <c r="G420" s="9" t="s">
        <v>649</v>
      </c>
      <c r="H420" s="31">
        <v>2.0</v>
      </c>
    </row>
    <row r="421">
      <c r="A421" s="11">
        <v>46143.77869199074</v>
      </c>
      <c r="B421" s="9" t="s">
        <v>337</v>
      </c>
      <c r="C421" s="9" t="s">
        <v>871</v>
      </c>
      <c r="D421" s="9" t="s">
        <v>854</v>
      </c>
      <c r="E421" s="9" t="s">
        <v>891</v>
      </c>
      <c r="F421" s="9" t="s">
        <v>840</v>
      </c>
      <c r="G421" s="9" t="s">
        <v>649</v>
      </c>
      <c r="H421" s="31">
        <v>3.0</v>
      </c>
    </row>
    <row r="422">
      <c r="A422" s="11">
        <v>46143.78799019676</v>
      </c>
      <c r="B422" s="9" t="s">
        <v>133</v>
      </c>
      <c r="C422" s="9" t="s">
        <v>869</v>
      </c>
      <c r="D422" s="9" t="s">
        <v>868</v>
      </c>
      <c r="E422" s="9" t="s">
        <v>887</v>
      </c>
      <c r="F422" s="9" t="s">
        <v>840</v>
      </c>
      <c r="G422" s="9" t="s">
        <v>649</v>
      </c>
      <c r="H422" s="31">
        <v>3.0</v>
      </c>
    </row>
    <row r="423">
      <c r="A423" s="11">
        <v>46143.78981587963</v>
      </c>
      <c r="B423" s="9" t="s">
        <v>219</v>
      </c>
      <c r="C423" s="9" t="s">
        <v>866</v>
      </c>
      <c r="D423" s="9" t="s">
        <v>880</v>
      </c>
      <c r="E423" s="9" t="s">
        <v>890</v>
      </c>
      <c r="F423" s="9" t="s">
        <v>840</v>
      </c>
      <c r="G423" s="9" t="s">
        <v>649</v>
      </c>
      <c r="H423" s="31">
        <v>2.0</v>
      </c>
    </row>
    <row r="424">
      <c r="A424" s="11">
        <v>46143.80281787037</v>
      </c>
      <c r="B424" s="9" t="s">
        <v>115</v>
      </c>
      <c r="C424" s="9" t="s">
        <v>876</v>
      </c>
      <c r="D424" s="9" t="s">
        <v>856</v>
      </c>
      <c r="E424" s="9" t="s">
        <v>863</v>
      </c>
      <c r="F424" s="9" t="s">
        <v>840</v>
      </c>
      <c r="H424" s="31">
        <v>2.0</v>
      </c>
    </row>
    <row r="425">
      <c r="A425" s="11">
        <v>46143.803217939814</v>
      </c>
      <c r="B425" s="9" t="s">
        <v>60</v>
      </c>
      <c r="C425" s="9" t="s">
        <v>891</v>
      </c>
      <c r="D425" s="9" t="s">
        <v>837</v>
      </c>
      <c r="E425" s="9" t="s">
        <v>872</v>
      </c>
      <c r="F425" s="9" t="s">
        <v>840</v>
      </c>
      <c r="G425" s="9" t="s">
        <v>834</v>
      </c>
      <c r="H425" s="31"/>
    </row>
    <row r="426">
      <c r="A426" s="11">
        <v>46143.80468556713</v>
      </c>
      <c r="B426" s="9" t="s">
        <v>60</v>
      </c>
      <c r="C426" s="9" t="s">
        <v>872</v>
      </c>
      <c r="D426" s="9" t="s">
        <v>900</v>
      </c>
      <c r="E426" s="9" t="s">
        <v>868</v>
      </c>
      <c r="F426" s="9" t="s">
        <v>840</v>
      </c>
      <c r="G426" s="9" t="s">
        <v>649</v>
      </c>
      <c r="H426" s="31">
        <v>3.0</v>
      </c>
    </row>
    <row r="427">
      <c r="A427" s="11">
        <v>46143.82143217593</v>
      </c>
      <c r="B427" s="9" t="s">
        <v>260</v>
      </c>
      <c r="C427" s="9" t="s">
        <v>857</v>
      </c>
      <c r="D427" s="9" t="s">
        <v>875</v>
      </c>
      <c r="E427" s="9" t="s">
        <v>874</v>
      </c>
      <c r="F427" s="9" t="s">
        <v>840</v>
      </c>
      <c r="G427" s="9" t="s">
        <v>649</v>
      </c>
      <c r="H427" s="31">
        <v>3.0</v>
      </c>
    </row>
    <row r="428">
      <c r="A428" s="11">
        <v>46143.830611087964</v>
      </c>
      <c r="B428" s="9" t="s">
        <v>347</v>
      </c>
      <c r="C428" s="9" t="s">
        <v>872</v>
      </c>
      <c r="D428" s="9" t="s">
        <v>867</v>
      </c>
      <c r="E428" s="9" t="s">
        <v>900</v>
      </c>
      <c r="F428" s="9" t="s">
        <v>840</v>
      </c>
      <c r="G428" s="9" t="s">
        <v>649</v>
      </c>
      <c r="H428" s="31">
        <v>2.0</v>
      </c>
    </row>
    <row r="429">
      <c r="A429" s="11">
        <v>46143.835047685185</v>
      </c>
      <c r="B429" s="9" t="s">
        <v>142</v>
      </c>
      <c r="C429" s="9" t="s">
        <v>852</v>
      </c>
      <c r="D429" s="9" t="s">
        <v>870</v>
      </c>
      <c r="E429" s="9" t="s">
        <v>856</v>
      </c>
      <c r="F429" s="9" t="s">
        <v>840</v>
      </c>
      <c r="G429" s="9" t="s">
        <v>649</v>
      </c>
      <c r="H429" s="31">
        <v>4.0</v>
      </c>
    </row>
    <row r="430">
      <c r="A430" s="11">
        <v>46143.867601342594</v>
      </c>
      <c r="B430" s="9" t="s">
        <v>180</v>
      </c>
      <c r="C430" s="9" t="s">
        <v>865</v>
      </c>
      <c r="D430" s="9" t="s">
        <v>858</v>
      </c>
      <c r="E430" s="9" t="s">
        <v>880</v>
      </c>
      <c r="F430" s="9" t="s">
        <v>840</v>
      </c>
      <c r="G430" s="9" t="s">
        <v>649</v>
      </c>
      <c r="H430" s="31">
        <v>2.0</v>
      </c>
    </row>
    <row r="431">
      <c r="A431" s="11">
        <v>46143.87255465278</v>
      </c>
      <c r="B431" s="9" t="s">
        <v>172</v>
      </c>
      <c r="C431" s="9" t="s">
        <v>852</v>
      </c>
      <c r="D431" s="9" t="s">
        <v>837</v>
      </c>
      <c r="E431" s="9" t="s">
        <v>855</v>
      </c>
      <c r="F431" s="9" t="s">
        <v>840</v>
      </c>
      <c r="G431" s="9" t="s">
        <v>649</v>
      </c>
      <c r="H431" s="31">
        <v>3.0</v>
      </c>
    </row>
    <row r="432">
      <c r="A432" s="11">
        <v>46143.92171299769</v>
      </c>
      <c r="B432" s="9" t="s">
        <v>134</v>
      </c>
      <c r="C432" s="9" t="s">
        <v>882</v>
      </c>
      <c r="D432" s="9" t="s">
        <v>883</v>
      </c>
      <c r="E432" s="9" t="s">
        <v>862</v>
      </c>
      <c r="F432" s="9" t="s">
        <v>840</v>
      </c>
      <c r="H432" s="31">
        <v>3.0</v>
      </c>
    </row>
    <row r="433">
      <c r="A433" s="11">
        <v>46143.949624953704</v>
      </c>
      <c r="B433" s="9" t="s">
        <v>168</v>
      </c>
      <c r="C433" s="9" t="s">
        <v>878</v>
      </c>
      <c r="D433" s="9" t="s">
        <v>875</v>
      </c>
      <c r="E433" s="9" t="s">
        <v>858</v>
      </c>
      <c r="F433" s="9" t="s">
        <v>840</v>
      </c>
      <c r="G433" s="9" t="s">
        <v>649</v>
      </c>
      <c r="H433" s="31">
        <v>2.0</v>
      </c>
    </row>
    <row r="434">
      <c r="A434" s="11">
        <v>46143.95440953704</v>
      </c>
      <c r="B434" s="9" t="s">
        <v>61</v>
      </c>
      <c r="C434" s="9" t="s">
        <v>838</v>
      </c>
      <c r="D434" s="9" t="s">
        <v>867</v>
      </c>
      <c r="E434" s="9" t="s">
        <v>870</v>
      </c>
      <c r="F434" s="9" t="s">
        <v>840</v>
      </c>
      <c r="H434" s="31">
        <v>3.0</v>
      </c>
    </row>
    <row r="435">
      <c r="A435" s="11">
        <v>46143.9560050463</v>
      </c>
      <c r="B435" s="9" t="s">
        <v>329</v>
      </c>
      <c r="C435" s="9" t="s">
        <v>856</v>
      </c>
      <c r="D435" s="9" t="s">
        <v>862</v>
      </c>
      <c r="E435" s="9" t="s">
        <v>868</v>
      </c>
      <c r="F435" s="9" t="s">
        <v>840</v>
      </c>
      <c r="G435" s="9" t="s">
        <v>834</v>
      </c>
      <c r="H435" s="31"/>
    </row>
    <row r="436">
      <c r="A436" s="11">
        <v>46143.959586365745</v>
      </c>
      <c r="B436" s="9" t="s">
        <v>329</v>
      </c>
      <c r="C436" s="9" t="s">
        <v>856</v>
      </c>
      <c r="D436" s="9" t="s">
        <v>855</v>
      </c>
      <c r="E436" s="9" t="s">
        <v>870</v>
      </c>
      <c r="F436" s="9" t="s">
        <v>840</v>
      </c>
      <c r="G436" s="9" t="s">
        <v>834</v>
      </c>
      <c r="H436" s="31"/>
    </row>
    <row r="437">
      <c r="A437" s="11">
        <v>46143.96036141204</v>
      </c>
      <c r="B437" s="9" t="s">
        <v>329</v>
      </c>
      <c r="C437" s="9" t="s">
        <v>855</v>
      </c>
      <c r="D437" s="9" t="s">
        <v>856</v>
      </c>
      <c r="E437" s="9" t="s">
        <v>862</v>
      </c>
      <c r="F437" s="9" t="s">
        <v>840</v>
      </c>
      <c r="G437" s="9" t="s">
        <v>649</v>
      </c>
      <c r="H437" s="31">
        <v>3.0</v>
      </c>
    </row>
    <row r="438">
      <c r="A438" s="11">
        <v>46143.97204523148</v>
      </c>
      <c r="B438" s="9" t="s">
        <v>120</v>
      </c>
      <c r="C438" s="9" t="s">
        <v>872</v>
      </c>
      <c r="D438" s="9" t="s">
        <v>856</v>
      </c>
      <c r="E438" s="9" t="s">
        <v>875</v>
      </c>
      <c r="F438" s="9" t="s">
        <v>840</v>
      </c>
      <c r="G438" s="9" t="s">
        <v>649</v>
      </c>
      <c r="H438" s="31">
        <v>2.0</v>
      </c>
    </row>
    <row r="439">
      <c r="A439" s="11">
        <v>46143.97293171297</v>
      </c>
      <c r="B439" s="9" t="s">
        <v>165</v>
      </c>
      <c r="C439" s="9" t="s">
        <v>871</v>
      </c>
      <c r="D439" s="9" t="s">
        <v>837</v>
      </c>
      <c r="E439" s="9" t="s">
        <v>870</v>
      </c>
      <c r="F439" s="9" t="s">
        <v>840</v>
      </c>
      <c r="H439" s="31">
        <v>2.0</v>
      </c>
    </row>
    <row r="440">
      <c r="A440" s="11">
        <v>46143.98010527778</v>
      </c>
      <c r="B440" s="9" t="s">
        <v>280</v>
      </c>
      <c r="C440" s="9" t="s">
        <v>876</v>
      </c>
      <c r="D440" s="9" t="s">
        <v>869</v>
      </c>
      <c r="E440" s="9" t="s">
        <v>863</v>
      </c>
      <c r="F440" s="9" t="s">
        <v>840</v>
      </c>
      <c r="G440" s="9" t="s">
        <v>834</v>
      </c>
      <c r="H440" s="31"/>
    </row>
    <row r="441">
      <c r="A441" s="11">
        <v>46143.981660324076</v>
      </c>
      <c r="B441" s="9" t="s">
        <v>280</v>
      </c>
      <c r="C441" s="9" t="s">
        <v>876</v>
      </c>
      <c r="D441" s="9" t="s">
        <v>869</v>
      </c>
      <c r="E441" s="9" t="s">
        <v>862</v>
      </c>
      <c r="F441" s="9" t="s">
        <v>840</v>
      </c>
      <c r="G441" s="9" t="s">
        <v>649</v>
      </c>
      <c r="H441" s="31">
        <v>2.0</v>
      </c>
    </row>
    <row r="442">
      <c r="A442" s="11">
        <v>46143.98180384259</v>
      </c>
      <c r="B442" s="9" t="s">
        <v>17</v>
      </c>
      <c r="C442" s="9" t="s">
        <v>872</v>
      </c>
      <c r="D442" s="9" t="s">
        <v>890</v>
      </c>
      <c r="E442" s="9" t="s">
        <v>868</v>
      </c>
      <c r="F442" s="9" t="s">
        <v>840</v>
      </c>
      <c r="G442" s="9" t="s">
        <v>649</v>
      </c>
      <c r="H442" s="31">
        <v>2.0</v>
      </c>
    </row>
    <row r="443">
      <c r="A443" s="11">
        <v>46143.98892186343</v>
      </c>
      <c r="B443" s="9" t="s">
        <v>218</v>
      </c>
      <c r="C443" s="9" t="s">
        <v>872</v>
      </c>
      <c r="D443" s="9" t="s">
        <v>868</v>
      </c>
      <c r="E443" s="9" t="s">
        <v>852</v>
      </c>
      <c r="F443" s="9" t="s">
        <v>840</v>
      </c>
      <c r="G443" s="9" t="s">
        <v>649</v>
      </c>
      <c r="H443" s="31">
        <v>1.0</v>
      </c>
    </row>
    <row r="444">
      <c r="A444" s="11">
        <v>46144.03063167824</v>
      </c>
      <c r="B444" s="9" t="s">
        <v>301</v>
      </c>
      <c r="C444" s="9" t="s">
        <v>895</v>
      </c>
      <c r="D444" s="9" t="s">
        <v>887</v>
      </c>
      <c r="E444" s="9" t="s">
        <v>861</v>
      </c>
      <c r="F444" s="9" t="s">
        <v>840</v>
      </c>
      <c r="G444" s="9" t="s">
        <v>649</v>
      </c>
      <c r="H444" s="31">
        <v>3.0</v>
      </c>
    </row>
    <row r="445">
      <c r="A445" s="11">
        <v>46144.06479287037</v>
      </c>
      <c r="B445" s="9" t="s">
        <v>133</v>
      </c>
      <c r="C445" s="9" t="s">
        <v>896</v>
      </c>
      <c r="D445" s="9" t="s">
        <v>838</v>
      </c>
      <c r="E445" s="9" t="s">
        <v>875</v>
      </c>
      <c r="F445" s="9" t="s">
        <v>840</v>
      </c>
      <c r="G445" s="9" t="s">
        <v>649</v>
      </c>
      <c r="H445" s="31">
        <v>4.0</v>
      </c>
    </row>
    <row r="446">
      <c r="A446" s="11">
        <v>46144.076457442134</v>
      </c>
      <c r="B446" s="9" t="s">
        <v>121</v>
      </c>
      <c r="C446" s="9" t="s">
        <v>868</v>
      </c>
      <c r="D446" s="9" t="s">
        <v>854</v>
      </c>
      <c r="E446" s="9" t="s">
        <v>855</v>
      </c>
      <c r="F446" s="9" t="s">
        <v>840</v>
      </c>
      <c r="H446" s="31">
        <v>2.0</v>
      </c>
    </row>
    <row r="447">
      <c r="A447" s="11">
        <v>46144.15256998842</v>
      </c>
      <c r="B447" s="9" t="s">
        <v>266</v>
      </c>
      <c r="C447" s="9" t="s">
        <v>864</v>
      </c>
      <c r="D447" s="9" t="s">
        <v>857</v>
      </c>
      <c r="E447" s="9" t="s">
        <v>895</v>
      </c>
      <c r="F447" s="9" t="s">
        <v>840</v>
      </c>
      <c r="G447" s="9" t="s">
        <v>649</v>
      </c>
      <c r="H447" s="31">
        <v>2.0</v>
      </c>
    </row>
    <row r="448">
      <c r="A448" s="11">
        <v>46144.16490836805</v>
      </c>
      <c r="B448" s="9" t="s">
        <v>291</v>
      </c>
      <c r="C448" s="9" t="s">
        <v>891</v>
      </c>
      <c r="D448" s="9" t="s">
        <v>900</v>
      </c>
      <c r="E448" s="9" t="s">
        <v>872</v>
      </c>
      <c r="F448" s="9" t="s">
        <v>840</v>
      </c>
      <c r="G448" s="9" t="s">
        <v>649</v>
      </c>
      <c r="H448" s="31">
        <v>4.0</v>
      </c>
    </row>
    <row r="449">
      <c r="A449" s="11">
        <v>46144.187319097226</v>
      </c>
      <c r="B449" s="9" t="s">
        <v>352</v>
      </c>
      <c r="C449" s="9" t="s">
        <v>852</v>
      </c>
      <c r="D449" s="9" t="s">
        <v>883</v>
      </c>
      <c r="E449" s="9" t="s">
        <v>858</v>
      </c>
      <c r="F449" s="9" t="s">
        <v>840</v>
      </c>
      <c r="G449" s="9" t="s">
        <v>649</v>
      </c>
      <c r="H449" s="31">
        <v>2.0</v>
      </c>
    </row>
    <row r="450">
      <c r="A450" s="11">
        <v>46144.199425659725</v>
      </c>
      <c r="B450" s="9" t="s">
        <v>215</v>
      </c>
      <c r="C450" s="9" t="s">
        <v>852</v>
      </c>
      <c r="D450" s="9" t="s">
        <v>879</v>
      </c>
      <c r="E450" s="9" t="s">
        <v>864</v>
      </c>
      <c r="F450" s="9" t="s">
        <v>840</v>
      </c>
      <c r="G450" s="9" t="s">
        <v>834</v>
      </c>
      <c r="H450" s="31"/>
    </row>
    <row r="451">
      <c r="A451" s="11">
        <v>46144.20051002315</v>
      </c>
      <c r="B451" s="9" t="s">
        <v>215</v>
      </c>
      <c r="C451" s="9" t="s">
        <v>852</v>
      </c>
      <c r="D451" s="9" t="s">
        <v>865</v>
      </c>
      <c r="E451" s="9" t="s">
        <v>879</v>
      </c>
      <c r="F451" s="9" t="s">
        <v>840</v>
      </c>
      <c r="G451" s="9" t="s">
        <v>649</v>
      </c>
      <c r="H451" s="31">
        <v>2.0</v>
      </c>
    </row>
    <row r="452">
      <c r="A452" s="11">
        <v>46144.20109949074</v>
      </c>
      <c r="B452" s="9" t="s">
        <v>302</v>
      </c>
      <c r="C452" s="9" t="s">
        <v>838</v>
      </c>
      <c r="D452" s="9" t="s">
        <v>891</v>
      </c>
      <c r="E452" s="9" t="s">
        <v>861</v>
      </c>
      <c r="F452" s="9" t="s">
        <v>840</v>
      </c>
      <c r="G452" s="9" t="s">
        <v>649</v>
      </c>
      <c r="H452" s="31">
        <v>2.0</v>
      </c>
    </row>
    <row r="453">
      <c r="A453" s="11">
        <v>46144.24253398148</v>
      </c>
      <c r="B453" s="9" t="s">
        <v>63</v>
      </c>
      <c r="C453" s="9" t="s">
        <v>863</v>
      </c>
      <c r="D453" s="9" t="s">
        <v>882</v>
      </c>
      <c r="E453" s="9" t="s">
        <v>861</v>
      </c>
      <c r="F453" s="9" t="s">
        <v>840</v>
      </c>
      <c r="G453" s="9" t="s">
        <v>649</v>
      </c>
      <c r="H453" s="31">
        <v>2.0</v>
      </c>
    </row>
    <row r="454">
      <c r="A454" s="11">
        <v>46144.279297280096</v>
      </c>
      <c r="B454" s="9" t="s">
        <v>354</v>
      </c>
      <c r="C454" s="9" t="s">
        <v>889</v>
      </c>
      <c r="D454" s="9" t="s">
        <v>877</v>
      </c>
      <c r="E454" s="9" t="s">
        <v>867</v>
      </c>
      <c r="F454" s="9" t="s">
        <v>840</v>
      </c>
      <c r="G454" s="9" t="s">
        <v>649</v>
      </c>
      <c r="H454" s="31">
        <v>2.0</v>
      </c>
    </row>
    <row r="455">
      <c r="A455" s="11">
        <v>46144.28789121528</v>
      </c>
      <c r="B455" s="9" t="s">
        <v>152</v>
      </c>
      <c r="C455" s="9" t="s">
        <v>868</v>
      </c>
      <c r="D455" s="9" t="s">
        <v>872</v>
      </c>
      <c r="E455" s="9" t="s">
        <v>870</v>
      </c>
      <c r="F455" s="9" t="s">
        <v>840</v>
      </c>
      <c r="H455" s="31">
        <v>4.0</v>
      </c>
    </row>
    <row r="456">
      <c r="A456" s="11">
        <v>46144.33332710648</v>
      </c>
      <c r="B456" s="9" t="s">
        <v>352</v>
      </c>
      <c r="C456" s="9" t="s">
        <v>881</v>
      </c>
      <c r="D456" s="9" t="s">
        <v>877</v>
      </c>
      <c r="E456" s="9" t="s">
        <v>837</v>
      </c>
      <c r="F456" s="9" t="s">
        <v>840</v>
      </c>
      <c r="G456" s="9" t="s">
        <v>649</v>
      </c>
      <c r="H456" s="31">
        <v>3.0</v>
      </c>
    </row>
    <row r="457">
      <c r="A457" s="11">
        <v>46144.34397667824</v>
      </c>
      <c r="B457" s="9" t="s">
        <v>217</v>
      </c>
      <c r="C457" s="9" t="s">
        <v>837</v>
      </c>
      <c r="D457" s="9" t="s">
        <v>853</v>
      </c>
      <c r="E457" s="9" t="s">
        <v>867</v>
      </c>
      <c r="F457" s="9" t="s">
        <v>840</v>
      </c>
      <c r="G457" s="9" t="s">
        <v>649</v>
      </c>
      <c r="H457" s="31">
        <v>2.0</v>
      </c>
    </row>
    <row r="458">
      <c r="A458" s="11">
        <v>46144.36974761574</v>
      </c>
      <c r="B458" s="9" t="s">
        <v>284</v>
      </c>
      <c r="C458" s="9" t="s">
        <v>855</v>
      </c>
      <c r="D458" s="9" t="s">
        <v>862</v>
      </c>
      <c r="E458" s="9" t="s">
        <v>883</v>
      </c>
      <c r="F458" s="9" t="s">
        <v>840</v>
      </c>
      <c r="G458" s="9" t="s">
        <v>649</v>
      </c>
      <c r="H458" s="31">
        <v>2.0</v>
      </c>
    </row>
    <row r="459">
      <c r="A459" s="11">
        <v>46144.42979005787</v>
      </c>
      <c r="B459" s="9" t="s">
        <v>406</v>
      </c>
      <c r="C459" s="9" t="s">
        <v>861</v>
      </c>
      <c r="D459" s="9" t="s">
        <v>882</v>
      </c>
      <c r="E459" s="9" t="s">
        <v>863</v>
      </c>
      <c r="F459" s="9" t="s">
        <v>840</v>
      </c>
      <c r="G459" s="9" t="s">
        <v>649</v>
      </c>
      <c r="H459" s="31">
        <v>3.0</v>
      </c>
    </row>
    <row r="460">
      <c r="A460" s="11">
        <v>46144.44931552083</v>
      </c>
      <c r="B460" s="9" t="s">
        <v>101</v>
      </c>
      <c r="C460" s="9" t="s">
        <v>857</v>
      </c>
      <c r="D460" s="9" t="s">
        <v>861</v>
      </c>
      <c r="E460" s="9" t="s">
        <v>895</v>
      </c>
      <c r="F460" s="9" t="s">
        <v>840</v>
      </c>
      <c r="G460" s="9" t="s">
        <v>649</v>
      </c>
      <c r="H460" s="31">
        <v>3.0</v>
      </c>
    </row>
    <row r="461">
      <c r="A461" s="11">
        <v>46144.46258129629</v>
      </c>
      <c r="B461" s="9" t="s">
        <v>260</v>
      </c>
      <c r="C461" s="9" t="s">
        <v>870</v>
      </c>
      <c r="D461" s="9" t="s">
        <v>871</v>
      </c>
      <c r="E461" s="9" t="s">
        <v>872</v>
      </c>
      <c r="F461" s="9" t="s">
        <v>840</v>
      </c>
      <c r="G461" s="9" t="s">
        <v>649</v>
      </c>
      <c r="H461" s="31">
        <v>4.0</v>
      </c>
    </row>
    <row r="462">
      <c r="A462" s="11">
        <v>46144.466118275464</v>
      </c>
      <c r="B462" s="9" t="s">
        <v>189</v>
      </c>
      <c r="C462" s="9" t="s">
        <v>889</v>
      </c>
      <c r="D462" s="9" t="s">
        <v>852</v>
      </c>
      <c r="E462" s="9" t="s">
        <v>900</v>
      </c>
      <c r="F462" s="9" t="s">
        <v>840</v>
      </c>
      <c r="G462" s="9" t="s">
        <v>649</v>
      </c>
      <c r="H462" s="31">
        <v>2.0</v>
      </c>
    </row>
    <row r="463">
      <c r="A463" s="11">
        <v>46144.48193100694</v>
      </c>
      <c r="B463" s="9" t="s">
        <v>231</v>
      </c>
      <c r="C463" s="9" t="s">
        <v>863</v>
      </c>
      <c r="D463" s="9" t="s">
        <v>869</v>
      </c>
      <c r="E463" s="9" t="s">
        <v>868</v>
      </c>
      <c r="F463" s="9" t="s">
        <v>840</v>
      </c>
      <c r="G463" s="9" t="s">
        <v>649</v>
      </c>
      <c r="H463" s="31">
        <v>2.0</v>
      </c>
    </row>
    <row r="464">
      <c r="A464" s="11">
        <v>46144.48215685185</v>
      </c>
      <c r="B464" s="9" t="s">
        <v>54</v>
      </c>
      <c r="C464" s="9" t="s">
        <v>853</v>
      </c>
      <c r="D464" s="9" t="s">
        <v>891</v>
      </c>
      <c r="E464" s="9" t="s">
        <v>872</v>
      </c>
      <c r="F464" s="9" t="s">
        <v>840</v>
      </c>
      <c r="H464" s="31">
        <v>2.0</v>
      </c>
    </row>
    <row r="465">
      <c r="A465" s="11">
        <v>46144.4844787037</v>
      </c>
      <c r="B465" s="9" t="s">
        <v>60</v>
      </c>
      <c r="C465" s="9" t="s">
        <v>875</v>
      </c>
      <c r="D465" s="9" t="s">
        <v>896</v>
      </c>
      <c r="E465" s="9" t="s">
        <v>882</v>
      </c>
      <c r="F465" s="9" t="s">
        <v>840</v>
      </c>
      <c r="G465" s="9" t="s">
        <v>834</v>
      </c>
      <c r="H465" s="31"/>
    </row>
    <row r="466">
      <c r="A466" s="11">
        <v>46144.486901875</v>
      </c>
      <c r="B466" s="9" t="s">
        <v>60</v>
      </c>
      <c r="C466" s="9" t="s">
        <v>878</v>
      </c>
      <c r="D466" s="9" t="s">
        <v>896</v>
      </c>
      <c r="E466" s="9" t="s">
        <v>858</v>
      </c>
      <c r="F466" s="9" t="s">
        <v>840</v>
      </c>
      <c r="G466" s="9" t="s">
        <v>834</v>
      </c>
      <c r="H466" s="31"/>
    </row>
    <row r="467">
      <c r="A467" s="11">
        <v>46144.48846079861</v>
      </c>
      <c r="B467" s="9" t="s">
        <v>191</v>
      </c>
      <c r="C467" s="9" t="s">
        <v>854</v>
      </c>
      <c r="D467" s="9" t="s">
        <v>882</v>
      </c>
      <c r="E467" s="9" t="s">
        <v>855</v>
      </c>
      <c r="F467" s="9" t="s">
        <v>840</v>
      </c>
      <c r="G467" s="9" t="s">
        <v>649</v>
      </c>
      <c r="H467" s="31">
        <v>3.0</v>
      </c>
    </row>
    <row r="468">
      <c r="A468" s="11">
        <v>46144.48892649305</v>
      </c>
      <c r="B468" s="9" t="s">
        <v>60</v>
      </c>
      <c r="C468" s="9" t="s">
        <v>896</v>
      </c>
      <c r="D468" s="9" t="s">
        <v>858</v>
      </c>
      <c r="E468" s="9" t="s">
        <v>870</v>
      </c>
      <c r="F468" s="9" t="s">
        <v>840</v>
      </c>
      <c r="G468" s="9" t="s">
        <v>649</v>
      </c>
      <c r="H468" s="31">
        <v>4.0</v>
      </c>
    </row>
    <row r="469">
      <c r="A469" s="11">
        <v>46144.48935819445</v>
      </c>
      <c r="B469" s="9" t="s">
        <v>109</v>
      </c>
      <c r="C469" s="9" t="s">
        <v>854</v>
      </c>
      <c r="D469" s="9" t="s">
        <v>882</v>
      </c>
      <c r="E469" s="9" t="s">
        <v>863</v>
      </c>
      <c r="F469" s="9" t="s">
        <v>840</v>
      </c>
      <c r="G469" s="9" t="s">
        <v>649</v>
      </c>
      <c r="H469" s="31">
        <v>3.0</v>
      </c>
    </row>
    <row r="470">
      <c r="A470" s="11">
        <v>46144.51834520833</v>
      </c>
      <c r="B470" s="9" t="s">
        <v>63</v>
      </c>
      <c r="C470" s="9" t="s">
        <v>876</v>
      </c>
      <c r="D470" s="9" t="s">
        <v>869</v>
      </c>
      <c r="E470" s="9" t="s">
        <v>890</v>
      </c>
      <c r="F470" s="9" t="s">
        <v>840</v>
      </c>
      <c r="G470" s="9" t="s">
        <v>649</v>
      </c>
      <c r="H470" s="31">
        <v>3.0</v>
      </c>
    </row>
    <row r="471">
      <c r="A471" s="11">
        <v>46144.52130865741</v>
      </c>
      <c r="B471" s="9" t="s">
        <v>89</v>
      </c>
      <c r="C471" s="9" t="s">
        <v>890</v>
      </c>
      <c r="D471" s="9" t="s">
        <v>887</v>
      </c>
      <c r="E471" s="9" t="s">
        <v>869</v>
      </c>
      <c r="F471" s="9" t="s">
        <v>840</v>
      </c>
      <c r="H471" s="31">
        <v>2.0</v>
      </c>
    </row>
    <row r="472">
      <c r="A472" s="11">
        <v>46144.52747194444</v>
      </c>
      <c r="B472" s="9" t="s">
        <v>239</v>
      </c>
      <c r="C472" s="9" t="s">
        <v>857</v>
      </c>
      <c r="D472" s="9" t="s">
        <v>858</v>
      </c>
      <c r="E472" s="9" t="s">
        <v>859</v>
      </c>
      <c r="F472" s="9" t="s">
        <v>840</v>
      </c>
      <c r="G472" s="9" t="s">
        <v>649</v>
      </c>
      <c r="H472" s="31">
        <v>3.0</v>
      </c>
    </row>
    <row r="473">
      <c r="A473" s="11">
        <v>46144.52785737268</v>
      </c>
      <c r="B473" s="9" t="s">
        <v>229</v>
      </c>
      <c r="C473" s="9" t="s">
        <v>863</v>
      </c>
      <c r="D473" s="9" t="s">
        <v>876</v>
      </c>
      <c r="E473" s="9" t="s">
        <v>855</v>
      </c>
      <c r="F473" s="9" t="s">
        <v>840</v>
      </c>
      <c r="G473" s="9" t="s">
        <v>834</v>
      </c>
      <c r="H473" s="31"/>
    </row>
    <row r="474">
      <c r="A474" s="11">
        <v>46144.53997096065</v>
      </c>
      <c r="B474" s="9" t="s">
        <v>92</v>
      </c>
      <c r="C474" s="9" t="s">
        <v>887</v>
      </c>
      <c r="D474" s="9" t="s">
        <v>855</v>
      </c>
      <c r="E474" s="9" t="s">
        <v>872</v>
      </c>
      <c r="F474" s="9" t="s">
        <v>840</v>
      </c>
      <c r="H474" s="31">
        <v>2.0</v>
      </c>
    </row>
    <row r="475">
      <c r="A475" s="11">
        <v>46144.54344976852</v>
      </c>
      <c r="B475" s="9" t="s">
        <v>291</v>
      </c>
      <c r="C475" s="9" t="s">
        <v>857</v>
      </c>
      <c r="D475" s="9" t="s">
        <v>887</v>
      </c>
      <c r="E475" s="9" t="s">
        <v>880</v>
      </c>
      <c r="F475" s="9" t="s">
        <v>840</v>
      </c>
      <c r="G475" s="9" t="s">
        <v>649</v>
      </c>
      <c r="H475" s="31">
        <v>5.0</v>
      </c>
    </row>
    <row r="476">
      <c r="A476" s="11">
        <v>46144.555847905096</v>
      </c>
      <c r="B476" s="9" t="s">
        <v>273</v>
      </c>
      <c r="C476" s="9" t="s">
        <v>876</v>
      </c>
      <c r="D476" s="9" t="s">
        <v>890</v>
      </c>
      <c r="E476" s="9" t="s">
        <v>863</v>
      </c>
      <c r="F476" s="9" t="s">
        <v>840</v>
      </c>
      <c r="G476" s="9" t="s">
        <v>649</v>
      </c>
      <c r="H476" s="31">
        <v>2.0</v>
      </c>
    </row>
    <row r="477">
      <c r="A477" s="11">
        <v>46144.56371229167</v>
      </c>
      <c r="B477" s="9" t="s">
        <v>154</v>
      </c>
      <c r="C477" s="9" t="s">
        <v>866</v>
      </c>
      <c r="D477" s="9" t="s">
        <v>864</v>
      </c>
      <c r="E477" s="9" t="s">
        <v>865</v>
      </c>
      <c r="F477" s="9" t="s">
        <v>840</v>
      </c>
      <c r="G477" s="9" t="s">
        <v>649</v>
      </c>
      <c r="H477" s="31">
        <v>3.0</v>
      </c>
    </row>
    <row r="478">
      <c r="A478" s="11">
        <v>46144.57261673611</v>
      </c>
      <c r="B478" s="9" t="s">
        <v>123</v>
      </c>
      <c r="C478" s="9" t="s">
        <v>881</v>
      </c>
      <c r="D478" s="9" t="s">
        <v>838</v>
      </c>
      <c r="E478" s="9" t="s">
        <v>837</v>
      </c>
      <c r="F478" s="9" t="s">
        <v>840</v>
      </c>
      <c r="G478" s="9" t="s">
        <v>649</v>
      </c>
      <c r="H478" s="31">
        <v>3.0</v>
      </c>
    </row>
    <row r="479">
      <c r="A479" s="11">
        <v>46144.58636168981</v>
      </c>
      <c r="B479" s="9" t="s">
        <v>208</v>
      </c>
      <c r="C479" s="9" t="s">
        <v>863</v>
      </c>
      <c r="D479" s="9" t="s">
        <v>869</v>
      </c>
      <c r="E479" s="9" t="s">
        <v>880</v>
      </c>
      <c r="F479" s="9" t="s">
        <v>840</v>
      </c>
      <c r="G479" s="9" t="s">
        <v>649</v>
      </c>
      <c r="H479" s="31">
        <v>2.0</v>
      </c>
    </row>
    <row r="480">
      <c r="A480" s="11">
        <v>46144.58865517361</v>
      </c>
      <c r="B480" s="9" t="s">
        <v>935</v>
      </c>
      <c r="C480" s="9" t="s">
        <v>876</v>
      </c>
      <c r="D480" s="9" t="s">
        <v>863</v>
      </c>
      <c r="E480" s="9" t="s">
        <v>862</v>
      </c>
      <c r="F480" s="9" t="s">
        <v>840</v>
      </c>
      <c r="G480" s="9" t="s">
        <v>834</v>
      </c>
      <c r="H480" s="31"/>
    </row>
    <row r="481">
      <c r="A481" s="11">
        <v>46144.59668347222</v>
      </c>
      <c r="B481" s="9" t="s">
        <v>409</v>
      </c>
      <c r="C481" s="9" t="s">
        <v>889</v>
      </c>
      <c r="D481" s="9" t="s">
        <v>881</v>
      </c>
      <c r="E481" s="9" t="s">
        <v>858</v>
      </c>
      <c r="F481" s="9" t="s">
        <v>840</v>
      </c>
      <c r="G481" s="9" t="s">
        <v>649</v>
      </c>
      <c r="H481" s="31">
        <v>2.0</v>
      </c>
    </row>
    <row r="482">
      <c r="A482" s="11">
        <v>46144.62828719907</v>
      </c>
      <c r="B482" s="9" t="s">
        <v>344</v>
      </c>
      <c r="C482" s="9" t="s">
        <v>862</v>
      </c>
      <c r="D482" s="9" t="s">
        <v>839</v>
      </c>
      <c r="E482" s="9" t="s">
        <v>868</v>
      </c>
      <c r="F482" s="9" t="s">
        <v>840</v>
      </c>
      <c r="G482" s="9" t="s">
        <v>649</v>
      </c>
      <c r="H482" s="31">
        <v>3.0</v>
      </c>
    </row>
    <row r="483">
      <c r="A483" s="11">
        <v>46144.638933877315</v>
      </c>
      <c r="B483" s="9" t="s">
        <v>96</v>
      </c>
      <c r="C483" s="9" t="s">
        <v>861</v>
      </c>
      <c r="D483" s="9" t="s">
        <v>881</v>
      </c>
      <c r="E483" s="9" t="s">
        <v>858</v>
      </c>
      <c r="F483" s="9" t="s">
        <v>840</v>
      </c>
      <c r="H483" s="31">
        <v>3.0</v>
      </c>
    </row>
    <row r="484">
      <c r="A484" s="11">
        <v>46144.69855714121</v>
      </c>
      <c r="B484" s="9" t="s">
        <v>253</v>
      </c>
      <c r="C484" s="9" t="s">
        <v>880</v>
      </c>
      <c r="D484" s="9" t="s">
        <v>869</v>
      </c>
      <c r="E484" s="9" t="s">
        <v>881</v>
      </c>
      <c r="F484" s="9" t="s">
        <v>840</v>
      </c>
      <c r="H484" s="31">
        <v>2.0</v>
      </c>
    </row>
    <row r="485">
      <c r="A485" s="11">
        <v>46144.70391556713</v>
      </c>
      <c r="B485" s="9" t="s">
        <v>76</v>
      </c>
      <c r="C485" s="9" t="s">
        <v>876</v>
      </c>
      <c r="D485" s="9" t="s">
        <v>863</v>
      </c>
      <c r="E485" s="9" t="s">
        <v>864</v>
      </c>
      <c r="F485" s="9" t="s">
        <v>840</v>
      </c>
      <c r="G485" s="9" t="s">
        <v>649</v>
      </c>
      <c r="H485" s="31">
        <v>2.0</v>
      </c>
    </row>
    <row r="486">
      <c r="A486" s="11">
        <v>46144.71235984954</v>
      </c>
      <c r="B486" s="9" t="s">
        <v>379</v>
      </c>
      <c r="C486" s="9" t="s">
        <v>876</v>
      </c>
      <c r="D486" s="9" t="s">
        <v>863</v>
      </c>
      <c r="E486" s="9" t="s">
        <v>887</v>
      </c>
      <c r="F486" s="9" t="s">
        <v>840</v>
      </c>
      <c r="G486" s="9" t="s">
        <v>649</v>
      </c>
      <c r="H486" s="31">
        <v>3.0</v>
      </c>
    </row>
    <row r="487">
      <c r="A487" s="11">
        <v>46144.717866666666</v>
      </c>
      <c r="B487" s="9" t="s">
        <v>393</v>
      </c>
      <c r="C487" s="9" t="s">
        <v>878</v>
      </c>
      <c r="D487" s="9" t="s">
        <v>867</v>
      </c>
      <c r="E487" s="9" t="s">
        <v>874</v>
      </c>
      <c r="F487" s="9" t="s">
        <v>840</v>
      </c>
      <c r="G487" s="9" t="s">
        <v>649</v>
      </c>
      <c r="H487" s="31">
        <v>2.0</v>
      </c>
    </row>
    <row r="488">
      <c r="A488" s="11">
        <v>46144.73465275463</v>
      </c>
      <c r="B488" s="9" t="s">
        <v>274</v>
      </c>
      <c r="C488" s="9" t="s">
        <v>900</v>
      </c>
      <c r="D488" s="9" t="s">
        <v>872</v>
      </c>
      <c r="E488" s="9" t="s">
        <v>878</v>
      </c>
      <c r="F488" s="9" t="s">
        <v>840</v>
      </c>
      <c r="G488" s="9" t="s">
        <v>649</v>
      </c>
      <c r="H488" s="31">
        <v>3.0</v>
      </c>
    </row>
    <row r="489">
      <c r="A489" s="11">
        <v>46144.73758784722</v>
      </c>
      <c r="B489" s="9" t="s">
        <v>409</v>
      </c>
      <c r="C489" s="9" t="s">
        <v>839</v>
      </c>
      <c r="D489" s="9" t="s">
        <v>852</v>
      </c>
      <c r="E489" s="9" t="s">
        <v>866</v>
      </c>
      <c r="F489" s="9" t="s">
        <v>840</v>
      </c>
      <c r="G489" s="9" t="s">
        <v>649</v>
      </c>
      <c r="H489" s="31">
        <v>3.0</v>
      </c>
    </row>
    <row r="490">
      <c r="A490" s="11">
        <v>46144.74438005787</v>
      </c>
      <c r="B490" s="9" t="s">
        <v>64</v>
      </c>
      <c r="C490" s="9" t="s">
        <v>853</v>
      </c>
      <c r="D490" s="9" t="s">
        <v>852</v>
      </c>
      <c r="E490" s="9" t="s">
        <v>891</v>
      </c>
      <c r="F490" s="9" t="s">
        <v>840</v>
      </c>
      <c r="G490" s="9" t="s">
        <v>649</v>
      </c>
      <c r="H490" s="31">
        <v>2.0</v>
      </c>
    </row>
    <row r="491">
      <c r="A491" s="11">
        <v>46144.763975752314</v>
      </c>
      <c r="B491" s="9" t="s">
        <v>393</v>
      </c>
      <c r="C491" s="9" t="s">
        <v>891</v>
      </c>
      <c r="D491" s="9" t="s">
        <v>875</v>
      </c>
      <c r="E491" s="9" t="s">
        <v>900</v>
      </c>
      <c r="F491" s="9" t="s">
        <v>840</v>
      </c>
      <c r="G491" s="9" t="s">
        <v>649</v>
      </c>
      <c r="H491" s="31">
        <v>3.0</v>
      </c>
    </row>
    <row r="492">
      <c r="A492" s="11">
        <v>46144.774836122684</v>
      </c>
      <c r="B492" s="9" t="s">
        <v>248</v>
      </c>
      <c r="C492" s="9" t="s">
        <v>858</v>
      </c>
      <c r="D492" s="9" t="s">
        <v>839</v>
      </c>
      <c r="E492" s="9" t="s">
        <v>895</v>
      </c>
      <c r="F492" s="9" t="s">
        <v>840</v>
      </c>
      <c r="G492" s="9" t="s">
        <v>649</v>
      </c>
      <c r="H492" s="31">
        <v>3.0</v>
      </c>
    </row>
    <row r="493">
      <c r="A493" s="11">
        <v>46144.80241266204</v>
      </c>
      <c r="B493" s="9" t="s">
        <v>134</v>
      </c>
      <c r="C493" s="9" t="s">
        <v>896</v>
      </c>
      <c r="D493" s="9" t="s">
        <v>837</v>
      </c>
      <c r="E493" s="9" t="s">
        <v>880</v>
      </c>
      <c r="F493" s="9" t="s">
        <v>840</v>
      </c>
      <c r="H493" s="31">
        <v>4.0</v>
      </c>
    </row>
    <row r="494">
      <c r="A494" s="11">
        <v>46144.80569487269</v>
      </c>
      <c r="B494" s="9" t="s">
        <v>132</v>
      </c>
      <c r="C494" s="9" t="s">
        <v>858</v>
      </c>
      <c r="D494" s="9" t="s">
        <v>866</v>
      </c>
      <c r="E494" s="9" t="s">
        <v>839</v>
      </c>
      <c r="F494" s="9" t="s">
        <v>840</v>
      </c>
      <c r="G494" s="9" t="s">
        <v>834</v>
      </c>
      <c r="H494" s="31"/>
    </row>
    <row r="495">
      <c r="A495" s="11">
        <v>46144.80739980324</v>
      </c>
      <c r="B495" s="9" t="s">
        <v>132</v>
      </c>
      <c r="C495" s="9" t="s">
        <v>858</v>
      </c>
      <c r="D495" s="9" t="s">
        <v>866</v>
      </c>
      <c r="E495" s="9" t="s">
        <v>879</v>
      </c>
      <c r="F495" s="9" t="s">
        <v>840</v>
      </c>
      <c r="G495" s="9" t="s">
        <v>649</v>
      </c>
      <c r="H495" s="31">
        <v>2.0</v>
      </c>
    </row>
    <row r="496">
      <c r="A496" s="11">
        <v>46144.81182357639</v>
      </c>
      <c r="B496" s="9" t="s">
        <v>302</v>
      </c>
      <c r="C496" s="9" t="s">
        <v>865</v>
      </c>
      <c r="D496" s="9" t="s">
        <v>880</v>
      </c>
      <c r="E496" s="9" t="s">
        <v>872</v>
      </c>
      <c r="F496" s="9" t="s">
        <v>840</v>
      </c>
      <c r="G496" s="9" t="s">
        <v>649</v>
      </c>
      <c r="H496" s="31">
        <v>3.0</v>
      </c>
    </row>
    <row r="497">
      <c r="A497" s="11">
        <v>46144.8122821412</v>
      </c>
      <c r="B497" s="9" t="s">
        <v>257</v>
      </c>
      <c r="C497" s="9" t="s">
        <v>852</v>
      </c>
      <c r="D497" s="9" t="s">
        <v>864</v>
      </c>
      <c r="E497" s="9" t="s">
        <v>881</v>
      </c>
      <c r="F497" s="9" t="s">
        <v>840</v>
      </c>
      <c r="G497" s="9" t="s">
        <v>649</v>
      </c>
      <c r="H497" s="31">
        <v>3.0</v>
      </c>
    </row>
    <row r="498">
      <c r="A498" s="11">
        <v>46144.87399337963</v>
      </c>
      <c r="B498" s="9" t="s">
        <v>128</v>
      </c>
      <c r="C498" s="9" t="s">
        <v>875</v>
      </c>
      <c r="D498" s="9" t="s">
        <v>891</v>
      </c>
      <c r="E498" s="9" t="s">
        <v>872</v>
      </c>
      <c r="F498" s="9" t="s">
        <v>840</v>
      </c>
      <c r="G498" s="9" t="s">
        <v>834</v>
      </c>
      <c r="H498" s="31"/>
    </row>
    <row r="499">
      <c r="A499" s="11">
        <v>46144.875076944445</v>
      </c>
      <c r="B499" s="9" t="s">
        <v>128</v>
      </c>
      <c r="C499" s="9" t="s">
        <v>875</v>
      </c>
      <c r="D499" s="9" t="s">
        <v>891</v>
      </c>
      <c r="E499" s="9" t="s">
        <v>853</v>
      </c>
      <c r="F499" s="9" t="s">
        <v>840</v>
      </c>
      <c r="G499" s="9" t="s">
        <v>649</v>
      </c>
      <c r="H499" s="31">
        <v>3.0</v>
      </c>
    </row>
    <row r="500">
      <c r="A500" s="11">
        <v>46144.88452237268</v>
      </c>
      <c r="B500" s="9" t="s">
        <v>379</v>
      </c>
      <c r="C500" s="9" t="s">
        <v>872</v>
      </c>
      <c r="D500" s="9" t="s">
        <v>877</v>
      </c>
      <c r="E500" s="9" t="s">
        <v>878</v>
      </c>
      <c r="F500" s="9" t="s">
        <v>840</v>
      </c>
      <c r="G500" s="9" t="s">
        <v>649</v>
      </c>
      <c r="H500" s="31">
        <v>4.0</v>
      </c>
    </row>
    <row r="501">
      <c r="A501" s="11">
        <v>46144.899063784724</v>
      </c>
      <c r="B501" s="9" t="s">
        <v>918</v>
      </c>
      <c r="C501" s="9" t="s">
        <v>867</v>
      </c>
      <c r="D501" s="9" t="s">
        <v>853</v>
      </c>
      <c r="E501" s="9" t="s">
        <v>891</v>
      </c>
      <c r="F501" s="9" t="s">
        <v>840</v>
      </c>
      <c r="G501" s="9" t="s">
        <v>649</v>
      </c>
      <c r="H501" s="31">
        <v>3.0</v>
      </c>
    </row>
    <row r="502">
      <c r="A502" s="11">
        <v>46144.95569729166</v>
      </c>
      <c r="B502" s="9" t="s">
        <v>345</v>
      </c>
      <c r="C502" s="9" t="s">
        <v>890</v>
      </c>
      <c r="D502" s="9" t="s">
        <v>868</v>
      </c>
      <c r="E502" s="9" t="s">
        <v>859</v>
      </c>
      <c r="F502" s="9" t="s">
        <v>840</v>
      </c>
      <c r="G502" s="9" t="s">
        <v>649</v>
      </c>
      <c r="H502" s="31">
        <v>2.0</v>
      </c>
    </row>
    <row r="503">
      <c r="A503" s="11">
        <v>46144.96166931713</v>
      </c>
      <c r="B503" s="9" t="s">
        <v>279</v>
      </c>
      <c r="C503" s="9" t="s">
        <v>838</v>
      </c>
      <c r="D503" s="9" t="s">
        <v>879</v>
      </c>
      <c r="E503" s="9" t="s">
        <v>881</v>
      </c>
      <c r="F503" s="9" t="s">
        <v>840</v>
      </c>
      <c r="G503" s="9" t="s">
        <v>649</v>
      </c>
      <c r="H503" s="31">
        <v>2.0</v>
      </c>
    </row>
    <row r="504">
      <c r="A504" s="11">
        <v>46144.9925015162</v>
      </c>
      <c r="B504" s="9" t="s">
        <v>77</v>
      </c>
      <c r="C504" s="9" t="s">
        <v>874</v>
      </c>
      <c r="D504" s="9" t="s">
        <v>853</v>
      </c>
      <c r="E504" s="9" t="s">
        <v>878</v>
      </c>
      <c r="F504" s="9" t="s">
        <v>840</v>
      </c>
      <c r="G504" s="9" t="s">
        <v>649</v>
      </c>
      <c r="H504" s="31">
        <v>2.0</v>
      </c>
    </row>
    <row r="505">
      <c r="A505" s="11">
        <v>46144.99389971065</v>
      </c>
      <c r="B505" s="9" t="s">
        <v>359</v>
      </c>
      <c r="C505" s="9" t="s">
        <v>866</v>
      </c>
      <c r="D505" s="9" t="s">
        <v>838</v>
      </c>
      <c r="E505" s="9" t="s">
        <v>896</v>
      </c>
      <c r="F505" s="9" t="s">
        <v>840</v>
      </c>
      <c r="G505" s="9" t="s">
        <v>649</v>
      </c>
      <c r="H505" s="31">
        <v>3.0</v>
      </c>
    </row>
    <row r="506">
      <c r="A506" s="11">
        <v>46145.007981041665</v>
      </c>
      <c r="B506" s="9" t="s">
        <v>191</v>
      </c>
      <c r="C506" s="9" t="s">
        <v>839</v>
      </c>
      <c r="D506" s="9" t="s">
        <v>868</v>
      </c>
      <c r="E506" s="9" t="s">
        <v>856</v>
      </c>
      <c r="F506" s="9" t="s">
        <v>840</v>
      </c>
      <c r="G506" s="9" t="s">
        <v>649</v>
      </c>
      <c r="H506" s="31">
        <v>4.0</v>
      </c>
    </row>
    <row r="507">
      <c r="A507" s="11">
        <v>46145.019167210645</v>
      </c>
      <c r="B507" s="9" t="s">
        <v>636</v>
      </c>
      <c r="C507" s="9" t="s">
        <v>891</v>
      </c>
      <c r="D507" s="9" t="s">
        <v>864</v>
      </c>
      <c r="E507" s="9" t="s">
        <v>876</v>
      </c>
      <c r="F507" s="9" t="s">
        <v>840</v>
      </c>
      <c r="G507" s="9" t="s">
        <v>834</v>
      </c>
      <c r="H507" s="31"/>
    </row>
    <row r="508">
      <c r="A508" s="11">
        <v>46145.02063457176</v>
      </c>
      <c r="B508" s="9" t="s">
        <v>636</v>
      </c>
      <c r="C508" s="9" t="s">
        <v>865</v>
      </c>
      <c r="D508" s="9" t="s">
        <v>881</v>
      </c>
      <c r="E508" s="9" t="s">
        <v>889</v>
      </c>
      <c r="F508" s="9" t="s">
        <v>840</v>
      </c>
      <c r="G508" s="9" t="s">
        <v>649</v>
      </c>
      <c r="H508" s="31">
        <v>2.0</v>
      </c>
    </row>
    <row r="509">
      <c r="A509" s="11">
        <v>46145.038444861115</v>
      </c>
      <c r="B509" s="9" t="s">
        <v>75</v>
      </c>
      <c r="C509" s="9" t="s">
        <v>876</v>
      </c>
      <c r="D509" s="9" t="s">
        <v>839</v>
      </c>
      <c r="E509" s="9" t="s">
        <v>891</v>
      </c>
      <c r="F509" s="9" t="s">
        <v>840</v>
      </c>
      <c r="G509" s="9" t="s">
        <v>834</v>
      </c>
      <c r="H509" s="31"/>
    </row>
    <row r="510">
      <c r="A510" s="11">
        <v>46145.039162905094</v>
      </c>
      <c r="B510" s="9" t="s">
        <v>75</v>
      </c>
      <c r="C510" s="9" t="s">
        <v>876</v>
      </c>
      <c r="D510" s="9" t="s">
        <v>891</v>
      </c>
      <c r="E510" s="9" t="s">
        <v>868</v>
      </c>
      <c r="F510" s="9" t="s">
        <v>840</v>
      </c>
      <c r="G510" s="9" t="s">
        <v>649</v>
      </c>
      <c r="H510" s="31">
        <v>3.0</v>
      </c>
    </row>
    <row r="511">
      <c r="A511" s="11">
        <v>46145.29228768518</v>
      </c>
      <c r="B511" s="9" t="s">
        <v>75</v>
      </c>
      <c r="C511" s="9" t="s">
        <v>863</v>
      </c>
      <c r="D511" s="9" t="s">
        <v>865</v>
      </c>
      <c r="E511" s="9" t="s">
        <v>861</v>
      </c>
      <c r="F511" s="9" t="s">
        <v>840</v>
      </c>
      <c r="G511" s="9" t="s">
        <v>649</v>
      </c>
      <c r="H511" s="31">
        <v>4.0</v>
      </c>
    </row>
    <row r="512">
      <c r="A512" s="11">
        <v>46145.38099820602</v>
      </c>
      <c r="B512" s="9" t="s">
        <v>336</v>
      </c>
      <c r="C512" s="9" t="s">
        <v>852</v>
      </c>
      <c r="D512" s="9" t="s">
        <v>869</v>
      </c>
      <c r="E512" s="9" t="s">
        <v>887</v>
      </c>
      <c r="F512" s="9" t="s">
        <v>840</v>
      </c>
      <c r="H512" s="31">
        <v>2.0</v>
      </c>
    </row>
    <row r="513">
      <c r="A513" s="11">
        <v>46145.43472045139</v>
      </c>
      <c r="B513" s="9" t="s">
        <v>250</v>
      </c>
      <c r="C513" s="9" t="s">
        <v>839</v>
      </c>
      <c r="D513" s="9" t="s">
        <v>868</v>
      </c>
      <c r="E513" s="9" t="s">
        <v>854</v>
      </c>
      <c r="F513" s="9" t="s">
        <v>840</v>
      </c>
      <c r="G513" s="9" t="s">
        <v>649</v>
      </c>
      <c r="H513" s="31">
        <v>3.0</v>
      </c>
    </row>
    <row r="514">
      <c r="A514" s="11">
        <v>46145.43868212963</v>
      </c>
      <c r="B514" s="9" t="s">
        <v>208</v>
      </c>
      <c r="C514" s="9" t="s">
        <v>855</v>
      </c>
      <c r="D514" s="9" t="s">
        <v>882</v>
      </c>
      <c r="E514" s="9" t="s">
        <v>870</v>
      </c>
      <c r="F514" s="9" t="s">
        <v>840</v>
      </c>
      <c r="G514" s="9" t="s">
        <v>649</v>
      </c>
      <c r="H514" s="31">
        <v>3.0</v>
      </c>
    </row>
    <row r="515">
      <c r="A515" s="11">
        <v>46145.44123211806</v>
      </c>
      <c r="B515" s="9" t="s">
        <v>150</v>
      </c>
      <c r="C515" s="9" t="s">
        <v>889</v>
      </c>
      <c r="D515" s="9" t="s">
        <v>896</v>
      </c>
      <c r="E515" s="9" t="s">
        <v>866</v>
      </c>
      <c r="F515" s="9" t="s">
        <v>840</v>
      </c>
      <c r="G515" s="9" t="s">
        <v>649</v>
      </c>
      <c r="H515" s="31">
        <v>3.0</v>
      </c>
    </row>
    <row r="516">
      <c r="A516" s="11">
        <v>46145.45371618056</v>
      </c>
      <c r="B516" s="9" t="s">
        <v>279</v>
      </c>
      <c r="C516" s="9" t="s">
        <v>837</v>
      </c>
      <c r="D516" s="9" t="s">
        <v>864</v>
      </c>
      <c r="E516" s="9" t="s">
        <v>869</v>
      </c>
      <c r="F516" s="9" t="s">
        <v>840</v>
      </c>
      <c r="G516" s="9" t="s">
        <v>649</v>
      </c>
      <c r="H516" s="31">
        <v>3.0</v>
      </c>
    </row>
    <row r="517">
      <c r="A517" s="11">
        <v>46145.45807512732</v>
      </c>
      <c r="B517" s="9" t="s">
        <v>238</v>
      </c>
      <c r="C517" s="9" t="s">
        <v>869</v>
      </c>
      <c r="D517" s="9" t="s">
        <v>876</v>
      </c>
      <c r="E517" s="9" t="s">
        <v>887</v>
      </c>
      <c r="F517" s="9" t="s">
        <v>840</v>
      </c>
      <c r="H517" s="31">
        <v>2.0</v>
      </c>
    </row>
    <row r="518">
      <c r="A518" s="11">
        <v>46145.51590938657</v>
      </c>
      <c r="B518" s="9" t="s">
        <v>123</v>
      </c>
      <c r="C518" s="9" t="s">
        <v>880</v>
      </c>
      <c r="D518" s="9" t="s">
        <v>839</v>
      </c>
      <c r="E518" s="9" t="s">
        <v>868</v>
      </c>
      <c r="F518" s="9" t="s">
        <v>840</v>
      </c>
      <c r="G518" s="9" t="s">
        <v>649</v>
      </c>
      <c r="H518" s="31">
        <v>4.0</v>
      </c>
    </row>
    <row r="519">
      <c r="A519" s="11">
        <v>46145.553974780094</v>
      </c>
      <c r="B519" s="9" t="s">
        <v>331</v>
      </c>
      <c r="C519" s="9" t="s">
        <v>890</v>
      </c>
      <c r="D519" s="9" t="s">
        <v>838</v>
      </c>
      <c r="E519" s="9" t="s">
        <v>881</v>
      </c>
      <c r="F519" s="9" t="s">
        <v>840</v>
      </c>
      <c r="H519" s="31">
        <v>2.0</v>
      </c>
    </row>
    <row r="520">
      <c r="A520" s="11">
        <v>46145.5884663426</v>
      </c>
      <c r="B520" s="9" t="s">
        <v>348</v>
      </c>
      <c r="C520" s="9" t="s">
        <v>866</v>
      </c>
      <c r="D520" s="9" t="s">
        <v>863</v>
      </c>
      <c r="E520" s="9" t="s">
        <v>862</v>
      </c>
      <c r="F520" s="9" t="s">
        <v>840</v>
      </c>
      <c r="G520" s="9" t="s">
        <v>649</v>
      </c>
      <c r="H520" s="31">
        <v>3.0</v>
      </c>
    </row>
    <row r="521">
      <c r="A521" s="11">
        <v>46145.59896863426</v>
      </c>
      <c r="B521" s="9" t="s">
        <v>231</v>
      </c>
      <c r="C521" s="9" t="s">
        <v>861</v>
      </c>
      <c r="D521" s="9" t="s">
        <v>887</v>
      </c>
      <c r="E521" s="9" t="s">
        <v>862</v>
      </c>
      <c r="F521" s="9" t="s">
        <v>840</v>
      </c>
      <c r="G521" s="9" t="s">
        <v>649</v>
      </c>
      <c r="H521" s="31">
        <v>3.0</v>
      </c>
    </row>
    <row r="522">
      <c r="A522" s="11">
        <v>46145.60842583333</v>
      </c>
      <c r="B522" s="9" t="s">
        <v>168</v>
      </c>
      <c r="C522" s="9" t="s">
        <v>869</v>
      </c>
      <c r="D522" s="9" t="s">
        <v>881</v>
      </c>
      <c r="E522" s="9" t="s">
        <v>857</v>
      </c>
      <c r="F522" s="9" t="s">
        <v>840</v>
      </c>
      <c r="G522" s="9" t="s">
        <v>649</v>
      </c>
      <c r="H522" s="31">
        <v>3.0</v>
      </c>
    </row>
    <row r="523">
      <c r="A523" s="11">
        <v>46145.6194925</v>
      </c>
      <c r="B523" s="9" t="s">
        <v>258</v>
      </c>
      <c r="C523" s="9" t="s">
        <v>858</v>
      </c>
      <c r="D523" s="9" t="s">
        <v>877</v>
      </c>
      <c r="E523" s="9" t="s">
        <v>838</v>
      </c>
      <c r="F523" s="9" t="s">
        <v>840</v>
      </c>
      <c r="H523" s="31">
        <v>2.0</v>
      </c>
    </row>
    <row r="524">
      <c r="A524" s="11">
        <v>46145.62591986111</v>
      </c>
      <c r="B524" s="9" t="s">
        <v>281</v>
      </c>
      <c r="C524" s="9" t="s">
        <v>896</v>
      </c>
      <c r="D524" s="9" t="s">
        <v>878</v>
      </c>
      <c r="E524" s="9" t="s">
        <v>865</v>
      </c>
      <c r="F524" s="9" t="s">
        <v>840</v>
      </c>
      <c r="G524" s="9" t="s">
        <v>649</v>
      </c>
      <c r="H524" s="31">
        <v>3.0</v>
      </c>
    </row>
    <row r="525">
      <c r="A525" s="11">
        <v>46145.64059465278</v>
      </c>
      <c r="B525" s="9" t="s">
        <v>92</v>
      </c>
      <c r="C525" s="9" t="s">
        <v>876</v>
      </c>
      <c r="D525" s="9" t="s">
        <v>863</v>
      </c>
      <c r="E525" s="9" t="s">
        <v>868</v>
      </c>
      <c r="F525" s="9" t="s">
        <v>840</v>
      </c>
      <c r="H525" s="31">
        <v>3.0</v>
      </c>
    </row>
    <row r="526">
      <c r="A526" s="11">
        <v>46145.64603733797</v>
      </c>
      <c r="B526" s="9" t="s">
        <v>292</v>
      </c>
      <c r="C526" s="9" t="s">
        <v>864</v>
      </c>
      <c r="D526" s="9" t="s">
        <v>881</v>
      </c>
      <c r="E526" s="9" t="s">
        <v>872</v>
      </c>
      <c r="F526" s="9" t="s">
        <v>840</v>
      </c>
      <c r="G526" s="9" t="s">
        <v>649</v>
      </c>
      <c r="H526" s="31">
        <v>1.0</v>
      </c>
    </row>
    <row r="527">
      <c r="A527" s="11">
        <v>46145.71957534722</v>
      </c>
      <c r="B527" s="9" t="s">
        <v>224</v>
      </c>
      <c r="C527" s="9" t="s">
        <v>880</v>
      </c>
      <c r="D527" s="9" t="s">
        <v>896</v>
      </c>
      <c r="E527" s="9" t="s">
        <v>868</v>
      </c>
      <c r="F527" s="9" t="s">
        <v>840</v>
      </c>
      <c r="G527" s="9" t="s">
        <v>649</v>
      </c>
      <c r="H527" s="31">
        <v>3.0</v>
      </c>
    </row>
    <row r="528">
      <c r="A528" s="11">
        <v>46145.736190509255</v>
      </c>
      <c r="B528" s="9" t="s">
        <v>888</v>
      </c>
      <c r="C528" s="9" t="s">
        <v>864</v>
      </c>
      <c r="D528" s="9" t="s">
        <v>865</v>
      </c>
      <c r="E528" s="9" t="s">
        <v>889</v>
      </c>
      <c r="F528" s="9" t="s">
        <v>840</v>
      </c>
      <c r="G528" s="9" t="s">
        <v>649</v>
      </c>
      <c r="H528" s="31">
        <v>2.0</v>
      </c>
    </row>
    <row r="529">
      <c r="A529" s="11">
        <v>46145.75252491898</v>
      </c>
      <c r="B529" s="9" t="s">
        <v>333</v>
      </c>
      <c r="C529" s="9" t="s">
        <v>838</v>
      </c>
      <c r="D529" s="9" t="s">
        <v>864</v>
      </c>
      <c r="E529" s="9" t="s">
        <v>861</v>
      </c>
      <c r="F529" s="9" t="s">
        <v>840</v>
      </c>
      <c r="H529" s="31">
        <v>2.0</v>
      </c>
    </row>
    <row r="530">
      <c r="A530" s="11">
        <v>46145.77968795139</v>
      </c>
      <c r="B530" s="9" t="s">
        <v>67</v>
      </c>
      <c r="C530" s="9" t="s">
        <v>852</v>
      </c>
      <c r="D530" s="9" t="s">
        <v>863</v>
      </c>
      <c r="E530" s="9" t="s">
        <v>882</v>
      </c>
      <c r="F530" s="9" t="s">
        <v>840</v>
      </c>
      <c r="G530" s="9" t="s">
        <v>649</v>
      </c>
      <c r="H530" s="31">
        <v>4.0</v>
      </c>
    </row>
    <row r="531">
      <c r="A531" s="11">
        <v>46145.79124892361</v>
      </c>
      <c r="B531" s="9" t="s">
        <v>167</v>
      </c>
      <c r="C531" s="9" t="s">
        <v>854</v>
      </c>
      <c r="D531" s="9" t="s">
        <v>870</v>
      </c>
      <c r="E531" s="9" t="s">
        <v>880</v>
      </c>
      <c r="F531" s="9" t="s">
        <v>840</v>
      </c>
      <c r="G531" s="9" t="s">
        <v>649</v>
      </c>
      <c r="H531" s="31">
        <v>2.0</v>
      </c>
    </row>
    <row r="532">
      <c r="A532" s="11">
        <v>46145.804397025466</v>
      </c>
      <c r="B532" s="9" t="s">
        <v>297</v>
      </c>
      <c r="C532" s="9" t="s">
        <v>855</v>
      </c>
      <c r="D532" s="9" t="s">
        <v>839</v>
      </c>
      <c r="E532" s="9" t="s">
        <v>857</v>
      </c>
      <c r="F532" s="9" t="s">
        <v>840</v>
      </c>
      <c r="G532" s="9" t="s">
        <v>649</v>
      </c>
      <c r="H532" s="31">
        <v>3.0</v>
      </c>
    </row>
    <row r="533">
      <c r="A533" s="11">
        <v>46145.826805358796</v>
      </c>
      <c r="B533" s="9" t="s">
        <v>83</v>
      </c>
      <c r="C533" s="9" t="s">
        <v>865</v>
      </c>
      <c r="D533" s="9" t="s">
        <v>866</v>
      </c>
      <c r="E533" s="9" t="s">
        <v>879</v>
      </c>
      <c r="F533" s="9" t="s">
        <v>840</v>
      </c>
      <c r="G533" s="9" t="s">
        <v>649</v>
      </c>
      <c r="H533" s="31">
        <v>3.0</v>
      </c>
    </row>
    <row r="534">
      <c r="A534" s="11">
        <v>46145.82814974537</v>
      </c>
      <c r="B534" s="9" t="s">
        <v>304</v>
      </c>
      <c r="C534" s="9" t="s">
        <v>882</v>
      </c>
      <c r="D534" s="9" t="s">
        <v>883</v>
      </c>
      <c r="E534" s="9" t="s">
        <v>871</v>
      </c>
      <c r="F534" s="9" t="s">
        <v>840</v>
      </c>
      <c r="G534" s="9" t="s">
        <v>834</v>
      </c>
      <c r="H534" s="31"/>
    </row>
    <row r="535">
      <c r="A535" s="11">
        <v>46145.8290771412</v>
      </c>
      <c r="B535" s="9" t="s">
        <v>304</v>
      </c>
      <c r="C535" s="9" t="s">
        <v>871</v>
      </c>
      <c r="D535" s="9" t="s">
        <v>883</v>
      </c>
      <c r="E535" s="9" t="s">
        <v>876</v>
      </c>
      <c r="F535" s="9" t="s">
        <v>840</v>
      </c>
      <c r="H535" s="31">
        <v>2.0</v>
      </c>
    </row>
    <row r="536">
      <c r="A536" s="11">
        <v>46145.850194803235</v>
      </c>
      <c r="B536" s="9" t="s">
        <v>167</v>
      </c>
      <c r="C536" s="9" t="s">
        <v>837</v>
      </c>
      <c r="D536" s="9" t="s">
        <v>838</v>
      </c>
      <c r="E536" s="9" t="s">
        <v>881</v>
      </c>
      <c r="F536" s="9" t="s">
        <v>840</v>
      </c>
      <c r="G536" s="9" t="s">
        <v>649</v>
      </c>
      <c r="H536" s="31">
        <v>3.0</v>
      </c>
    </row>
    <row r="537">
      <c r="A537" s="11">
        <v>46145.88560381945</v>
      </c>
      <c r="B537" s="9" t="s">
        <v>83</v>
      </c>
      <c r="C537" s="9" t="s">
        <v>876</v>
      </c>
      <c r="D537" s="9" t="s">
        <v>863</v>
      </c>
      <c r="E537" s="9" t="s">
        <v>861</v>
      </c>
      <c r="F537" s="9" t="s">
        <v>840</v>
      </c>
      <c r="G537" s="9" t="s">
        <v>649</v>
      </c>
      <c r="H537" s="31">
        <v>4.0</v>
      </c>
    </row>
    <row r="538">
      <c r="A538" s="11">
        <v>46145.93231199074</v>
      </c>
      <c r="B538" s="9" t="s">
        <v>318</v>
      </c>
      <c r="C538" s="9" t="s">
        <v>890</v>
      </c>
      <c r="D538" s="9" t="s">
        <v>863</v>
      </c>
      <c r="E538" s="9" t="s">
        <v>895</v>
      </c>
      <c r="F538" s="9" t="s">
        <v>840</v>
      </c>
      <c r="H538" s="31">
        <v>3.0</v>
      </c>
    </row>
    <row r="539">
      <c r="A539" s="11">
        <v>46145.95296011574</v>
      </c>
      <c r="B539" s="9" t="s">
        <v>280</v>
      </c>
      <c r="C539" s="9" t="s">
        <v>890</v>
      </c>
      <c r="D539" s="9" t="s">
        <v>861</v>
      </c>
      <c r="E539" s="9" t="s">
        <v>852</v>
      </c>
      <c r="F539" s="9" t="s">
        <v>840</v>
      </c>
      <c r="G539" s="9" t="s">
        <v>649</v>
      </c>
      <c r="H539" s="31">
        <v>3.0</v>
      </c>
    </row>
    <row r="540">
      <c r="A540" s="11">
        <v>46145.963602592594</v>
      </c>
      <c r="B540" s="9" t="s">
        <v>179</v>
      </c>
      <c r="C540" s="9" t="s">
        <v>865</v>
      </c>
      <c r="D540" s="9" t="s">
        <v>838</v>
      </c>
      <c r="E540" s="9" t="s">
        <v>869</v>
      </c>
      <c r="F540" s="9" t="s">
        <v>840</v>
      </c>
      <c r="G540" s="9" t="s">
        <v>834</v>
      </c>
      <c r="H540" s="31"/>
    </row>
    <row r="541">
      <c r="A541" s="11">
        <v>46145.9636171412</v>
      </c>
      <c r="B541" s="9" t="s">
        <v>320</v>
      </c>
      <c r="C541" s="9" t="s">
        <v>878</v>
      </c>
      <c r="D541" s="9" t="s">
        <v>867</v>
      </c>
      <c r="E541" s="9" t="s">
        <v>857</v>
      </c>
      <c r="F541" s="9" t="s">
        <v>840</v>
      </c>
      <c r="H541" s="31">
        <v>2.0</v>
      </c>
    </row>
    <row r="542">
      <c r="A542" s="11">
        <v>46145.96593604167</v>
      </c>
      <c r="B542" s="9" t="s">
        <v>179</v>
      </c>
      <c r="C542" s="9" t="s">
        <v>838</v>
      </c>
      <c r="D542" s="9" t="s">
        <v>871</v>
      </c>
      <c r="E542" s="9" t="s">
        <v>866</v>
      </c>
      <c r="F542" s="9" t="s">
        <v>840</v>
      </c>
      <c r="G542" s="9" t="s">
        <v>649</v>
      </c>
      <c r="H542" s="31">
        <v>3.0</v>
      </c>
    </row>
    <row r="543">
      <c r="A543" s="11">
        <v>46145.97363778936</v>
      </c>
      <c r="B543" s="9" t="s">
        <v>182</v>
      </c>
      <c r="C543" s="9" t="s">
        <v>863</v>
      </c>
      <c r="D543" s="9" t="s">
        <v>865</v>
      </c>
      <c r="E543" s="9" t="s">
        <v>852</v>
      </c>
      <c r="F543" s="9" t="s">
        <v>840</v>
      </c>
      <c r="G543" s="9" t="s">
        <v>649</v>
      </c>
      <c r="H543" s="31">
        <v>2.0</v>
      </c>
    </row>
    <row r="544">
      <c r="A544" s="11">
        <v>46145.99158452546</v>
      </c>
      <c r="B544" s="9" t="s">
        <v>277</v>
      </c>
      <c r="C544" s="9" t="s">
        <v>877</v>
      </c>
      <c r="D544" s="9" t="s">
        <v>837</v>
      </c>
      <c r="E544" s="9" t="s">
        <v>858</v>
      </c>
      <c r="F544" s="9" t="s">
        <v>840</v>
      </c>
      <c r="G544" s="9" t="s">
        <v>649</v>
      </c>
      <c r="H544" s="31">
        <v>3.0</v>
      </c>
    </row>
    <row r="545">
      <c r="A545" s="11">
        <v>46145.996611875</v>
      </c>
      <c r="B545" s="9" t="s">
        <v>75</v>
      </c>
      <c r="C545" s="9" t="s">
        <v>887</v>
      </c>
      <c r="D545" s="9" t="s">
        <v>881</v>
      </c>
      <c r="E545" s="9" t="s">
        <v>895</v>
      </c>
      <c r="F545" s="9" t="s">
        <v>840</v>
      </c>
      <c r="G545" s="9" t="s">
        <v>649</v>
      </c>
      <c r="H545" s="31">
        <v>5.0</v>
      </c>
    </row>
    <row r="546">
      <c r="A546" s="11">
        <v>46146.429742685184</v>
      </c>
      <c r="B546" s="9" t="s">
        <v>287</v>
      </c>
      <c r="C546" s="9" t="s">
        <v>837</v>
      </c>
      <c r="D546" s="9" t="s">
        <v>864</v>
      </c>
      <c r="E546" s="9" t="s">
        <v>877</v>
      </c>
      <c r="F546" s="9" t="s">
        <v>840</v>
      </c>
      <c r="H546" s="31">
        <v>2.0</v>
      </c>
    </row>
    <row r="547">
      <c r="A547" s="11">
        <v>46146.578269652775</v>
      </c>
      <c r="B547" s="9" t="s">
        <v>162</v>
      </c>
      <c r="C547" s="9" t="s">
        <v>865</v>
      </c>
      <c r="D547" s="9" t="s">
        <v>880</v>
      </c>
      <c r="E547" s="9" t="s">
        <v>861</v>
      </c>
      <c r="F547" s="9" t="s">
        <v>840</v>
      </c>
      <c r="H547" s="31">
        <v>2.0</v>
      </c>
    </row>
    <row r="548">
      <c r="A548" s="11">
        <v>46146.60139707176</v>
      </c>
      <c r="B548" s="9" t="s">
        <v>84</v>
      </c>
      <c r="C548" s="9" t="s">
        <v>864</v>
      </c>
      <c r="D548" s="9" t="s">
        <v>869</v>
      </c>
      <c r="E548" s="9" t="s">
        <v>837</v>
      </c>
      <c r="F548" s="9" t="s">
        <v>840</v>
      </c>
      <c r="G548" s="9" t="s">
        <v>649</v>
      </c>
      <c r="H548" s="31">
        <v>2.0</v>
      </c>
    </row>
    <row r="549">
      <c r="A549" s="11">
        <v>46146.68267222222</v>
      </c>
      <c r="B549" s="9" t="s">
        <v>376</v>
      </c>
      <c r="C549" s="9" t="s">
        <v>877</v>
      </c>
      <c r="D549" s="9" t="s">
        <v>878</v>
      </c>
      <c r="E549" s="9" t="s">
        <v>887</v>
      </c>
      <c r="F549" s="9" t="s">
        <v>840</v>
      </c>
      <c r="H549" s="31">
        <v>2.0</v>
      </c>
    </row>
    <row r="550">
      <c r="A550" s="11">
        <v>46146.72816825232</v>
      </c>
      <c r="B550" s="9" t="s">
        <v>328</v>
      </c>
      <c r="C550" s="9" t="s">
        <v>877</v>
      </c>
      <c r="D550" s="9" t="s">
        <v>870</v>
      </c>
      <c r="E550" s="9" t="s">
        <v>858</v>
      </c>
      <c r="F550" s="9" t="s">
        <v>840</v>
      </c>
      <c r="G550" s="9" t="s">
        <v>649</v>
      </c>
      <c r="H550" s="31">
        <v>2.0</v>
      </c>
    </row>
    <row r="551">
      <c r="A551" s="11">
        <v>46146.787423263886</v>
      </c>
      <c r="B551" s="9" t="s">
        <v>107</v>
      </c>
      <c r="C551" s="9" t="s">
        <v>869</v>
      </c>
      <c r="D551" s="9" t="s">
        <v>896</v>
      </c>
      <c r="E551" s="9" t="s">
        <v>838</v>
      </c>
      <c r="F551" s="9" t="s">
        <v>840</v>
      </c>
      <c r="H551" s="31">
        <v>3.0</v>
      </c>
    </row>
    <row r="552">
      <c r="A552" s="11">
        <v>46146.80531491898</v>
      </c>
      <c r="B552" s="9" t="s">
        <v>183</v>
      </c>
      <c r="C552" s="9" t="s">
        <v>896</v>
      </c>
      <c r="D552" s="9" t="s">
        <v>852</v>
      </c>
      <c r="E552" s="9" t="s">
        <v>877</v>
      </c>
      <c r="F552" s="9" t="s">
        <v>840</v>
      </c>
      <c r="G552" s="9" t="s">
        <v>649</v>
      </c>
      <c r="H552" s="31">
        <v>2.0</v>
      </c>
    </row>
    <row r="553">
      <c r="A553" s="11">
        <v>46146.84003547454</v>
      </c>
      <c r="B553" s="9" t="s">
        <v>18</v>
      </c>
      <c r="C553" s="9" t="s">
        <v>852</v>
      </c>
      <c r="D553" s="9" t="s">
        <v>881</v>
      </c>
      <c r="E553" s="9" t="s">
        <v>837</v>
      </c>
      <c r="F553" s="9" t="s">
        <v>840</v>
      </c>
      <c r="G553" s="9" t="s">
        <v>649</v>
      </c>
      <c r="H553" s="31">
        <v>2.0</v>
      </c>
    </row>
    <row r="554">
      <c r="A554" s="11">
        <v>46146.872245879626</v>
      </c>
      <c r="B554" s="9" t="s">
        <v>336</v>
      </c>
      <c r="C554" s="9" t="s">
        <v>887</v>
      </c>
      <c r="D554" s="9" t="s">
        <v>869</v>
      </c>
      <c r="E554" s="9" t="s">
        <v>852</v>
      </c>
      <c r="F554" s="9" t="s">
        <v>840</v>
      </c>
      <c r="G554" s="9" t="s">
        <v>834</v>
      </c>
      <c r="H554" s="31"/>
    </row>
    <row r="555">
      <c r="A555" s="11">
        <v>46146.87593548611</v>
      </c>
      <c r="B555" s="9" t="s">
        <v>336</v>
      </c>
      <c r="C555" s="9" t="s">
        <v>889</v>
      </c>
      <c r="D555" s="9" t="s">
        <v>866</v>
      </c>
      <c r="E555" s="9" t="s">
        <v>863</v>
      </c>
      <c r="F555" s="9" t="s">
        <v>840</v>
      </c>
      <c r="H555" s="31">
        <v>3.0</v>
      </c>
    </row>
    <row r="556">
      <c r="A556" s="11">
        <v>46146.90903090278</v>
      </c>
      <c r="B556" s="9" t="s">
        <v>269</v>
      </c>
      <c r="C556" s="9" t="s">
        <v>867</v>
      </c>
      <c r="D556" s="9" t="s">
        <v>854</v>
      </c>
      <c r="E556" s="9" t="s">
        <v>870</v>
      </c>
      <c r="F556" s="9" t="s">
        <v>840</v>
      </c>
      <c r="G556" s="9" t="s">
        <v>649</v>
      </c>
      <c r="H556" s="31">
        <v>2.0</v>
      </c>
    </row>
    <row r="557">
      <c r="A557" s="11">
        <v>46146.92726729167</v>
      </c>
      <c r="B557" s="9" t="s">
        <v>276</v>
      </c>
      <c r="C557" s="9" t="s">
        <v>867</v>
      </c>
      <c r="D557" s="9" t="s">
        <v>887</v>
      </c>
      <c r="E557" s="9" t="s">
        <v>866</v>
      </c>
      <c r="F557" s="9" t="s">
        <v>840</v>
      </c>
      <c r="G557" s="9" t="s">
        <v>649</v>
      </c>
      <c r="H557" s="31">
        <v>2.0</v>
      </c>
    </row>
    <row r="558">
      <c r="A558" s="11">
        <v>46146.93709225694</v>
      </c>
      <c r="B558" s="9" t="s">
        <v>186</v>
      </c>
      <c r="C558" s="9" t="s">
        <v>876</v>
      </c>
      <c r="D558" s="9" t="s">
        <v>857</v>
      </c>
      <c r="E558" s="9" t="s">
        <v>852</v>
      </c>
      <c r="F558" s="9" t="s">
        <v>840</v>
      </c>
      <c r="G558" s="9" t="s">
        <v>834</v>
      </c>
      <c r="H558" s="31"/>
    </row>
    <row r="559">
      <c r="A559" s="11">
        <v>46146.93832084491</v>
      </c>
      <c r="B559" s="9" t="s">
        <v>186</v>
      </c>
      <c r="C559" s="9" t="s">
        <v>857</v>
      </c>
      <c r="D559" s="9" t="s">
        <v>852</v>
      </c>
      <c r="E559" s="9" t="s">
        <v>854</v>
      </c>
      <c r="F559" s="9" t="s">
        <v>840</v>
      </c>
      <c r="G559" s="9" t="s">
        <v>649</v>
      </c>
      <c r="H559" s="31">
        <v>3.0</v>
      </c>
    </row>
    <row r="560">
      <c r="A560" s="11">
        <v>46146.97660197917</v>
      </c>
      <c r="B560" s="9" t="s">
        <v>174</v>
      </c>
      <c r="C560" s="9" t="s">
        <v>861</v>
      </c>
      <c r="D560" s="9" t="s">
        <v>855</v>
      </c>
      <c r="E560" s="9" t="s">
        <v>871</v>
      </c>
      <c r="F560" s="9" t="s">
        <v>840</v>
      </c>
      <c r="G560" s="9" t="s">
        <v>649</v>
      </c>
      <c r="H560" s="31">
        <v>3.0</v>
      </c>
    </row>
    <row r="561">
      <c r="A561" s="11">
        <v>46147.005834641204</v>
      </c>
      <c r="B561" s="9" t="s">
        <v>335</v>
      </c>
      <c r="C561" s="9" t="s">
        <v>839</v>
      </c>
      <c r="D561" s="9" t="s">
        <v>868</v>
      </c>
      <c r="E561" s="9" t="s">
        <v>872</v>
      </c>
      <c r="F561" s="9" t="s">
        <v>840</v>
      </c>
      <c r="G561" s="9" t="s">
        <v>649</v>
      </c>
      <c r="H561" s="31">
        <v>3.0</v>
      </c>
    </row>
    <row r="562">
      <c r="A562" s="11">
        <v>46147.00699596065</v>
      </c>
      <c r="B562" s="9" t="s">
        <v>245</v>
      </c>
      <c r="C562" s="9" t="s">
        <v>855</v>
      </c>
      <c r="D562" s="9" t="s">
        <v>882</v>
      </c>
      <c r="E562" s="9" t="s">
        <v>859</v>
      </c>
      <c r="F562" s="9" t="s">
        <v>840</v>
      </c>
      <c r="G562" s="9" t="s">
        <v>649</v>
      </c>
      <c r="H562" s="31">
        <v>2.0</v>
      </c>
    </row>
    <row r="563">
      <c r="A563" s="11">
        <v>46147.05984666667</v>
      </c>
      <c r="B563" s="9" t="s">
        <v>323</v>
      </c>
      <c r="C563" s="9" t="s">
        <v>876</v>
      </c>
      <c r="D563" s="9" t="s">
        <v>890</v>
      </c>
      <c r="E563" s="9" t="s">
        <v>862</v>
      </c>
      <c r="F563" s="9" t="s">
        <v>840</v>
      </c>
      <c r="G563" s="9" t="s">
        <v>834</v>
      </c>
      <c r="H563" s="31"/>
    </row>
    <row r="564">
      <c r="A564" s="11">
        <v>46147.06103164352</v>
      </c>
      <c r="B564" s="9" t="s">
        <v>323</v>
      </c>
      <c r="C564" s="9" t="s">
        <v>890</v>
      </c>
      <c r="D564" s="9" t="s">
        <v>861</v>
      </c>
      <c r="E564" s="9" t="s">
        <v>862</v>
      </c>
      <c r="F564" s="9" t="s">
        <v>840</v>
      </c>
      <c r="G564" s="9" t="s">
        <v>834</v>
      </c>
      <c r="H564" s="31"/>
    </row>
    <row r="565">
      <c r="A565" s="11">
        <v>46147.06174140047</v>
      </c>
      <c r="B565" s="9" t="s">
        <v>323</v>
      </c>
      <c r="C565" s="9" t="s">
        <v>862</v>
      </c>
      <c r="D565" s="9" t="s">
        <v>857</v>
      </c>
      <c r="E565" s="9" t="s">
        <v>895</v>
      </c>
      <c r="F565" s="9" t="s">
        <v>840</v>
      </c>
      <c r="G565" s="9" t="s">
        <v>649</v>
      </c>
      <c r="H565" s="31">
        <v>3.0</v>
      </c>
    </row>
    <row r="566">
      <c r="A566" s="11">
        <v>46147.09376561343</v>
      </c>
      <c r="B566" s="9" t="s">
        <v>355</v>
      </c>
      <c r="C566" s="9" t="s">
        <v>876</v>
      </c>
      <c r="D566" s="9" t="s">
        <v>863</v>
      </c>
      <c r="E566" s="9" t="s">
        <v>882</v>
      </c>
      <c r="F566" s="9" t="s">
        <v>840</v>
      </c>
      <c r="G566" s="9" t="s">
        <v>834</v>
      </c>
      <c r="H566" s="31"/>
    </row>
    <row r="567">
      <c r="A567" s="11">
        <v>46147.09598408565</v>
      </c>
      <c r="B567" s="9" t="s">
        <v>355</v>
      </c>
      <c r="C567" s="9" t="s">
        <v>863</v>
      </c>
      <c r="D567" s="9" t="s">
        <v>861</v>
      </c>
      <c r="E567" s="9" t="s">
        <v>869</v>
      </c>
      <c r="F567" s="9" t="s">
        <v>840</v>
      </c>
      <c r="G567" s="9" t="s">
        <v>649</v>
      </c>
      <c r="H567" s="31">
        <v>3.0</v>
      </c>
    </row>
    <row r="568">
      <c r="A568" s="11">
        <v>46147.32295728009</v>
      </c>
      <c r="B568" s="9" t="s">
        <v>368</v>
      </c>
      <c r="C568" s="9" t="s">
        <v>869</v>
      </c>
      <c r="D568" s="9" t="s">
        <v>838</v>
      </c>
      <c r="E568" s="9" t="s">
        <v>880</v>
      </c>
      <c r="F568" s="9" t="s">
        <v>840</v>
      </c>
      <c r="G568" s="9" t="s">
        <v>649</v>
      </c>
      <c r="H568" s="31">
        <v>2.0</v>
      </c>
    </row>
    <row r="569">
      <c r="A569" s="11">
        <v>46147.33355512732</v>
      </c>
      <c r="B569" s="9" t="s">
        <v>167</v>
      </c>
      <c r="C569" s="9" t="s">
        <v>887</v>
      </c>
      <c r="D569" s="9" t="s">
        <v>889</v>
      </c>
      <c r="E569" s="9" t="s">
        <v>838</v>
      </c>
      <c r="F569" s="9" t="s">
        <v>840</v>
      </c>
      <c r="G569" s="9" t="s">
        <v>834</v>
      </c>
      <c r="H569" s="31"/>
    </row>
    <row r="570">
      <c r="A570" s="11">
        <v>46147.33509599537</v>
      </c>
      <c r="B570" s="9" t="s">
        <v>167</v>
      </c>
      <c r="C570" s="9" t="s">
        <v>887</v>
      </c>
      <c r="D570" s="9" t="s">
        <v>889</v>
      </c>
      <c r="E570" s="9" t="s">
        <v>896</v>
      </c>
      <c r="F570" s="9" t="s">
        <v>840</v>
      </c>
      <c r="G570" s="9" t="s">
        <v>649</v>
      </c>
      <c r="H570" s="31">
        <v>4.0</v>
      </c>
    </row>
    <row r="571">
      <c r="A571" s="11">
        <v>46147.48698260417</v>
      </c>
      <c r="B571" s="9" t="s">
        <v>631</v>
      </c>
      <c r="C571" s="9" t="s">
        <v>852</v>
      </c>
      <c r="D571" s="9" t="s">
        <v>876</v>
      </c>
      <c r="E571" s="9" t="s">
        <v>838</v>
      </c>
      <c r="F571" s="9" t="s">
        <v>840</v>
      </c>
      <c r="G571" s="9" t="s">
        <v>649</v>
      </c>
      <c r="H571" s="31">
        <v>1.0</v>
      </c>
    </row>
    <row r="572">
      <c r="A572" s="11">
        <v>46147.52050493055</v>
      </c>
      <c r="B572" s="9" t="s">
        <v>303</v>
      </c>
      <c r="C572" s="9" t="s">
        <v>859</v>
      </c>
      <c r="D572" s="9" t="s">
        <v>838</v>
      </c>
      <c r="E572" s="9" t="s">
        <v>895</v>
      </c>
      <c r="F572" s="9" t="s">
        <v>840</v>
      </c>
      <c r="G572" s="9" t="s">
        <v>649</v>
      </c>
      <c r="H572" s="31">
        <v>3.0</v>
      </c>
    </row>
    <row r="573">
      <c r="A573" s="11">
        <v>46147.526480162036</v>
      </c>
      <c r="B573" s="9" t="s">
        <v>245</v>
      </c>
      <c r="C573" s="9" t="s">
        <v>868</v>
      </c>
      <c r="D573" s="9" t="s">
        <v>883</v>
      </c>
      <c r="E573" s="9" t="s">
        <v>874</v>
      </c>
      <c r="F573" s="9" t="s">
        <v>840</v>
      </c>
      <c r="G573" s="9" t="s">
        <v>649</v>
      </c>
      <c r="H573" s="31">
        <v>3.0</v>
      </c>
    </row>
    <row r="574">
      <c r="A574" s="11">
        <v>46147.563396701385</v>
      </c>
      <c r="B574" s="9" t="s">
        <v>77</v>
      </c>
      <c r="C574" s="9" t="s">
        <v>867</v>
      </c>
      <c r="D574" s="9" t="s">
        <v>855</v>
      </c>
      <c r="E574" s="9" t="s">
        <v>874</v>
      </c>
      <c r="F574" s="9" t="s">
        <v>840</v>
      </c>
      <c r="G574" s="9" t="s">
        <v>834</v>
      </c>
      <c r="H574" s="31"/>
    </row>
    <row r="575">
      <c r="A575" s="11">
        <v>46147.564527106486</v>
      </c>
      <c r="B575" s="9" t="s">
        <v>77</v>
      </c>
      <c r="C575" s="9" t="s">
        <v>853</v>
      </c>
      <c r="D575" s="9" t="s">
        <v>859</v>
      </c>
      <c r="E575" s="9" t="s">
        <v>896</v>
      </c>
      <c r="F575" s="9" t="s">
        <v>840</v>
      </c>
      <c r="G575" s="9" t="s">
        <v>834</v>
      </c>
      <c r="H575" s="31"/>
    </row>
    <row r="576">
      <c r="A576" s="11">
        <v>46147.56531126157</v>
      </c>
      <c r="B576" s="9" t="s">
        <v>77</v>
      </c>
      <c r="C576" s="9" t="s">
        <v>887</v>
      </c>
      <c r="D576" s="9" t="s">
        <v>895</v>
      </c>
      <c r="E576" s="9" t="s">
        <v>879</v>
      </c>
      <c r="F576" s="9" t="s">
        <v>840</v>
      </c>
      <c r="G576" s="9" t="s">
        <v>860</v>
      </c>
      <c r="H576" s="31"/>
    </row>
    <row r="577">
      <c r="A577" s="11">
        <v>46147.60266005787</v>
      </c>
      <c r="B577" s="9" t="s">
        <v>256</v>
      </c>
      <c r="C577" s="9" t="s">
        <v>861</v>
      </c>
      <c r="D577" s="9" t="s">
        <v>895</v>
      </c>
      <c r="E577" s="9" t="s">
        <v>870</v>
      </c>
      <c r="F577" s="9" t="s">
        <v>840</v>
      </c>
      <c r="G577" s="9" t="s">
        <v>649</v>
      </c>
      <c r="H577" s="31">
        <v>3.0</v>
      </c>
    </row>
    <row r="578">
      <c r="A578" s="11">
        <v>46147.604012662036</v>
      </c>
      <c r="B578" s="9" t="s">
        <v>205</v>
      </c>
      <c r="C578" s="9" t="s">
        <v>891</v>
      </c>
      <c r="D578" s="9" t="s">
        <v>838</v>
      </c>
      <c r="E578" s="9" t="s">
        <v>866</v>
      </c>
      <c r="F578" s="9" t="s">
        <v>840</v>
      </c>
      <c r="G578" s="9" t="s">
        <v>649</v>
      </c>
      <c r="H578" s="31">
        <v>3.0</v>
      </c>
    </row>
    <row r="579">
      <c r="A579" s="11">
        <v>46147.60964909723</v>
      </c>
      <c r="B579" s="9" t="s">
        <v>198</v>
      </c>
      <c r="C579" s="9" t="s">
        <v>890</v>
      </c>
      <c r="D579" s="9" t="s">
        <v>866</v>
      </c>
      <c r="E579" s="9" t="s">
        <v>879</v>
      </c>
      <c r="F579" s="9" t="s">
        <v>840</v>
      </c>
      <c r="G579" s="9" t="s">
        <v>649</v>
      </c>
      <c r="H579" s="31">
        <v>2.0</v>
      </c>
    </row>
    <row r="580">
      <c r="A580" s="11">
        <v>46147.62121114583</v>
      </c>
      <c r="B580" s="9" t="s">
        <v>354</v>
      </c>
      <c r="C580" s="9" t="s">
        <v>837</v>
      </c>
      <c r="D580" s="9" t="s">
        <v>896</v>
      </c>
      <c r="E580" s="9" t="s">
        <v>882</v>
      </c>
      <c r="F580" s="9" t="s">
        <v>840</v>
      </c>
      <c r="G580" s="9" t="s">
        <v>649</v>
      </c>
      <c r="H580" s="31">
        <v>3.0</v>
      </c>
    </row>
    <row r="581">
      <c r="A581" s="11">
        <v>46147.63239327546</v>
      </c>
      <c r="B581" s="9" t="s">
        <v>366</v>
      </c>
      <c r="C581" s="9" t="s">
        <v>852</v>
      </c>
      <c r="D581" s="9" t="s">
        <v>838</v>
      </c>
      <c r="E581" s="9" t="s">
        <v>855</v>
      </c>
      <c r="F581" s="9" t="s">
        <v>840</v>
      </c>
      <c r="G581" s="9" t="s">
        <v>649</v>
      </c>
      <c r="H581" s="31">
        <v>3.0</v>
      </c>
    </row>
    <row r="582">
      <c r="A582" s="11">
        <v>46147.63516315972</v>
      </c>
      <c r="B582" s="9" t="s">
        <v>332</v>
      </c>
      <c r="C582" s="9" t="s">
        <v>896</v>
      </c>
      <c r="D582" s="9" t="s">
        <v>869</v>
      </c>
      <c r="E582" s="9" t="s">
        <v>864</v>
      </c>
      <c r="F582" s="9" t="s">
        <v>840</v>
      </c>
      <c r="G582" s="9" t="s">
        <v>649</v>
      </c>
      <c r="H582" s="31">
        <v>2.0</v>
      </c>
    </row>
    <row r="583">
      <c r="A583" s="11">
        <v>46147.63917601852</v>
      </c>
      <c r="B583" s="9" t="s">
        <v>347</v>
      </c>
      <c r="C583" s="9" t="s">
        <v>869</v>
      </c>
      <c r="D583" s="9" t="s">
        <v>865</v>
      </c>
      <c r="E583" s="9" t="s">
        <v>866</v>
      </c>
      <c r="F583" s="9" t="s">
        <v>840</v>
      </c>
      <c r="G583" s="9" t="s">
        <v>649</v>
      </c>
      <c r="H583" s="31">
        <v>3.0</v>
      </c>
    </row>
    <row r="584">
      <c r="A584" s="11">
        <v>46147.6701465625</v>
      </c>
      <c r="B584" s="9" t="s">
        <v>359</v>
      </c>
      <c r="C584" s="9" t="s">
        <v>868</v>
      </c>
      <c r="D584" s="9" t="s">
        <v>883</v>
      </c>
      <c r="E584" s="9" t="s">
        <v>839</v>
      </c>
      <c r="F584" s="9" t="s">
        <v>840</v>
      </c>
      <c r="G584" s="9" t="s">
        <v>649</v>
      </c>
      <c r="H584" s="31">
        <v>4.0</v>
      </c>
    </row>
    <row r="585">
      <c r="A585" s="11">
        <v>46147.67629350694</v>
      </c>
      <c r="B585" s="9" t="s">
        <v>218</v>
      </c>
      <c r="C585" s="9" t="s">
        <v>874</v>
      </c>
      <c r="D585" s="9" t="s">
        <v>857</v>
      </c>
      <c r="E585" s="9" t="s">
        <v>863</v>
      </c>
      <c r="F585" s="9" t="s">
        <v>840</v>
      </c>
      <c r="G585" s="9" t="s">
        <v>649</v>
      </c>
      <c r="H585" s="31">
        <v>2.0</v>
      </c>
    </row>
    <row r="586">
      <c r="A586" s="11">
        <v>46147.706160208334</v>
      </c>
      <c r="B586" s="9" t="s">
        <v>235</v>
      </c>
      <c r="C586" s="9" t="s">
        <v>880</v>
      </c>
      <c r="D586" s="9" t="s">
        <v>839</v>
      </c>
      <c r="E586" s="9" t="s">
        <v>853</v>
      </c>
      <c r="F586" s="9" t="s">
        <v>840</v>
      </c>
      <c r="G586" s="9" t="s">
        <v>649</v>
      </c>
      <c r="H586" s="31">
        <v>3.0</v>
      </c>
    </row>
    <row r="587">
      <c r="A587" s="11">
        <v>46147.72176252315</v>
      </c>
      <c r="B587" s="9" t="s">
        <v>294</v>
      </c>
      <c r="C587" s="9" t="s">
        <v>880</v>
      </c>
      <c r="D587" s="9" t="s">
        <v>837</v>
      </c>
      <c r="E587" s="9" t="s">
        <v>896</v>
      </c>
      <c r="F587" s="9" t="s">
        <v>840</v>
      </c>
      <c r="G587" s="9" t="s">
        <v>649</v>
      </c>
      <c r="H587" s="31">
        <v>3.0</v>
      </c>
    </row>
    <row r="588">
      <c r="A588" s="11">
        <v>46147.743583449075</v>
      </c>
      <c r="B588" s="9" t="s">
        <v>350</v>
      </c>
      <c r="C588" s="9" t="s">
        <v>876</v>
      </c>
      <c r="D588" s="9" t="s">
        <v>855</v>
      </c>
      <c r="E588" s="9" t="s">
        <v>858</v>
      </c>
      <c r="F588" s="9" t="s">
        <v>840</v>
      </c>
      <c r="G588" s="9" t="s">
        <v>649</v>
      </c>
      <c r="H588" s="31">
        <v>2.0</v>
      </c>
    </row>
    <row r="589">
      <c r="A589" s="11">
        <v>46147.74880059028</v>
      </c>
      <c r="B589" s="9" t="s">
        <v>94</v>
      </c>
      <c r="C589" s="9" t="s">
        <v>879</v>
      </c>
      <c r="D589" s="9" t="s">
        <v>866</v>
      </c>
      <c r="E589" s="9" t="s">
        <v>881</v>
      </c>
      <c r="F589" s="9" t="s">
        <v>840</v>
      </c>
      <c r="G589" s="9" t="s">
        <v>649</v>
      </c>
      <c r="H589" s="31">
        <v>4.0</v>
      </c>
    </row>
    <row r="590">
      <c r="A590" s="11">
        <v>46147.780591284725</v>
      </c>
      <c r="B590" s="9" t="s">
        <v>55</v>
      </c>
      <c r="C590" s="9" t="s">
        <v>876</v>
      </c>
      <c r="D590" s="9" t="s">
        <v>890</v>
      </c>
      <c r="E590" s="9" t="s">
        <v>869</v>
      </c>
      <c r="F590" s="9" t="s">
        <v>840</v>
      </c>
      <c r="G590" s="9" t="s">
        <v>649</v>
      </c>
      <c r="H590" s="31">
        <v>4.0</v>
      </c>
    </row>
    <row r="591">
      <c r="A591" s="11">
        <v>46147.835200312504</v>
      </c>
      <c r="B591" s="9" t="s">
        <v>214</v>
      </c>
      <c r="C591" s="9" t="s">
        <v>872</v>
      </c>
      <c r="D591" s="9" t="s">
        <v>854</v>
      </c>
      <c r="E591" s="9" t="s">
        <v>882</v>
      </c>
      <c r="F591" s="9" t="s">
        <v>840</v>
      </c>
      <c r="G591" s="9" t="s">
        <v>649</v>
      </c>
      <c r="H591" s="31">
        <v>3.0</v>
      </c>
    </row>
    <row r="592">
      <c r="A592" s="11">
        <v>46147.88210783565</v>
      </c>
      <c r="B592" s="9" t="s">
        <v>226</v>
      </c>
      <c r="C592" s="9" t="s">
        <v>853</v>
      </c>
      <c r="D592" s="9" t="s">
        <v>867</v>
      </c>
      <c r="E592" s="9" t="s">
        <v>852</v>
      </c>
      <c r="F592" s="9" t="s">
        <v>840</v>
      </c>
      <c r="G592" s="9" t="s">
        <v>649</v>
      </c>
      <c r="H592" s="31">
        <v>2.0</v>
      </c>
    </row>
    <row r="593">
      <c r="A593" s="11">
        <v>46147.882650300926</v>
      </c>
      <c r="B593" s="9" t="s">
        <v>346</v>
      </c>
      <c r="C593" s="9" t="s">
        <v>864</v>
      </c>
      <c r="D593" s="9" t="s">
        <v>854</v>
      </c>
      <c r="E593" s="9" t="s">
        <v>858</v>
      </c>
      <c r="F593" s="9" t="s">
        <v>840</v>
      </c>
      <c r="G593" s="9" t="s">
        <v>649</v>
      </c>
      <c r="H593" s="31">
        <v>2.0</v>
      </c>
    </row>
    <row r="594">
      <c r="A594" s="11">
        <v>46147.89407581018</v>
      </c>
      <c r="B594" s="9" t="s">
        <v>300</v>
      </c>
      <c r="C594" s="9" t="s">
        <v>838</v>
      </c>
      <c r="D594" s="9" t="s">
        <v>861</v>
      </c>
      <c r="E594" s="9" t="s">
        <v>868</v>
      </c>
      <c r="F594" s="9" t="s">
        <v>840</v>
      </c>
      <c r="G594" s="9" t="s">
        <v>649</v>
      </c>
      <c r="H594" s="31">
        <v>3.0</v>
      </c>
    </row>
    <row r="595">
      <c r="A595" s="11">
        <v>46147.89567278935</v>
      </c>
      <c r="B595" s="9" t="s">
        <v>143</v>
      </c>
      <c r="C595" s="9" t="s">
        <v>863</v>
      </c>
      <c r="D595" s="9" t="s">
        <v>872</v>
      </c>
      <c r="E595" s="9" t="s">
        <v>867</v>
      </c>
      <c r="F595" s="9" t="s">
        <v>840</v>
      </c>
      <c r="G595" s="9" t="s">
        <v>649</v>
      </c>
      <c r="H595" s="31">
        <v>2.0</v>
      </c>
    </row>
    <row r="596">
      <c r="A596" s="11">
        <v>46147.91651576389</v>
      </c>
      <c r="B596" s="9" t="s">
        <v>257</v>
      </c>
      <c r="C596" s="9" t="s">
        <v>863</v>
      </c>
      <c r="D596" s="9" t="s">
        <v>883</v>
      </c>
      <c r="E596" s="9" t="s">
        <v>865</v>
      </c>
      <c r="F596" s="9" t="s">
        <v>840</v>
      </c>
      <c r="G596" s="9" t="s">
        <v>649</v>
      </c>
      <c r="H596" s="31">
        <v>4.0</v>
      </c>
    </row>
    <row r="597">
      <c r="A597" s="11">
        <v>46147.917609027776</v>
      </c>
      <c r="B597" s="9" t="s">
        <v>137</v>
      </c>
      <c r="C597" s="9" t="s">
        <v>861</v>
      </c>
      <c r="D597" s="9" t="s">
        <v>856</v>
      </c>
      <c r="E597" s="9" t="s">
        <v>900</v>
      </c>
      <c r="F597" s="9" t="s">
        <v>840</v>
      </c>
      <c r="G597" s="9" t="s">
        <v>649</v>
      </c>
      <c r="H597" s="31">
        <v>2.0</v>
      </c>
    </row>
    <row r="598">
      <c r="A598" s="11">
        <v>46147.93741416666</v>
      </c>
      <c r="B598" s="9" t="s">
        <v>318</v>
      </c>
      <c r="C598" s="9" t="s">
        <v>880</v>
      </c>
      <c r="D598" s="9" t="s">
        <v>872</v>
      </c>
      <c r="E598" s="9" t="s">
        <v>874</v>
      </c>
      <c r="F598" s="9" t="s">
        <v>840</v>
      </c>
      <c r="H598" s="31">
        <v>4.0</v>
      </c>
    </row>
    <row r="599">
      <c r="A599" s="11">
        <v>46147.937669907406</v>
      </c>
      <c r="B599" s="9" t="s">
        <v>259</v>
      </c>
      <c r="C599" s="9" t="s">
        <v>874</v>
      </c>
      <c r="D599" s="9" t="s">
        <v>875</v>
      </c>
      <c r="E599" s="9" t="s">
        <v>871</v>
      </c>
      <c r="F599" s="9" t="s">
        <v>840</v>
      </c>
      <c r="G599" s="9" t="s">
        <v>649</v>
      </c>
      <c r="H599" s="31">
        <v>3.0</v>
      </c>
    </row>
    <row r="600">
      <c r="A600" s="11">
        <v>46147.95534730324</v>
      </c>
      <c r="B600" s="9" t="s">
        <v>235</v>
      </c>
      <c r="C600" s="9" t="s">
        <v>878</v>
      </c>
      <c r="D600" s="9" t="s">
        <v>877</v>
      </c>
      <c r="E600" s="9" t="s">
        <v>874</v>
      </c>
      <c r="F600" s="9" t="s">
        <v>840</v>
      </c>
      <c r="G600" s="9" t="s">
        <v>649</v>
      </c>
      <c r="H600" s="31">
        <v>4.0</v>
      </c>
    </row>
    <row r="601">
      <c r="A601" s="11">
        <v>46147.975646527775</v>
      </c>
      <c r="B601" s="9" t="s">
        <v>290</v>
      </c>
      <c r="C601" s="9" t="s">
        <v>876</v>
      </c>
      <c r="D601" s="9" t="s">
        <v>861</v>
      </c>
      <c r="E601" s="9" t="s">
        <v>866</v>
      </c>
      <c r="F601" s="9" t="s">
        <v>840</v>
      </c>
      <c r="G601" s="9" t="s">
        <v>649</v>
      </c>
      <c r="H601" s="31">
        <v>2.0</v>
      </c>
    </row>
    <row r="602">
      <c r="A602" s="11">
        <v>46147.983037708334</v>
      </c>
      <c r="B602" s="9" t="s">
        <v>326</v>
      </c>
      <c r="C602" s="9" t="s">
        <v>882</v>
      </c>
      <c r="D602" s="9" t="s">
        <v>854</v>
      </c>
      <c r="E602" s="9" t="s">
        <v>839</v>
      </c>
      <c r="F602" s="9" t="s">
        <v>840</v>
      </c>
      <c r="G602" s="9" t="s">
        <v>649</v>
      </c>
      <c r="H602" s="31">
        <v>4.0</v>
      </c>
    </row>
    <row r="603">
      <c r="A603" s="11">
        <v>46147.99930408565</v>
      </c>
      <c r="B603" s="9" t="s">
        <v>233</v>
      </c>
      <c r="C603" s="9" t="s">
        <v>878</v>
      </c>
      <c r="D603" s="9" t="s">
        <v>864</v>
      </c>
      <c r="E603" s="9" t="s">
        <v>865</v>
      </c>
      <c r="F603" s="9" t="s">
        <v>840</v>
      </c>
      <c r="G603" s="9" t="s">
        <v>649</v>
      </c>
      <c r="H603" s="31">
        <v>2.0</v>
      </c>
    </row>
    <row r="604">
      <c r="A604" s="11">
        <v>46148.02959979167</v>
      </c>
      <c r="B604" s="9" t="s">
        <v>389</v>
      </c>
      <c r="C604" s="9" t="s">
        <v>869</v>
      </c>
      <c r="D604" s="9" t="s">
        <v>864</v>
      </c>
      <c r="E604" s="9" t="s">
        <v>880</v>
      </c>
      <c r="F604" s="9" t="s">
        <v>840</v>
      </c>
      <c r="G604" s="9" t="s">
        <v>649</v>
      </c>
      <c r="H604" s="31">
        <v>2.0</v>
      </c>
    </row>
    <row r="605">
      <c r="A605" s="11">
        <v>46148.29523138889</v>
      </c>
      <c r="B605" s="9" t="s">
        <v>160</v>
      </c>
      <c r="C605" s="9" t="s">
        <v>862</v>
      </c>
      <c r="D605" s="9" t="s">
        <v>871</v>
      </c>
      <c r="E605" s="9" t="s">
        <v>868</v>
      </c>
      <c r="F605" s="9" t="s">
        <v>840</v>
      </c>
      <c r="G605" s="9" t="s">
        <v>649</v>
      </c>
      <c r="H605" s="31">
        <v>3.0</v>
      </c>
    </row>
    <row r="606">
      <c r="A606" s="11">
        <v>46148.334209560184</v>
      </c>
      <c r="B606" s="9" t="s">
        <v>215</v>
      </c>
      <c r="C606" s="9" t="s">
        <v>853</v>
      </c>
      <c r="D606" s="9" t="s">
        <v>872</v>
      </c>
      <c r="E606" s="9" t="s">
        <v>891</v>
      </c>
      <c r="F606" s="9" t="s">
        <v>840</v>
      </c>
      <c r="G606" s="9" t="s">
        <v>649</v>
      </c>
      <c r="H606" s="31">
        <v>3.0</v>
      </c>
    </row>
    <row r="607">
      <c r="A607" s="11">
        <v>46148.378767372684</v>
      </c>
      <c r="B607" s="9" t="s">
        <v>333</v>
      </c>
      <c r="C607" s="9" t="s">
        <v>854</v>
      </c>
      <c r="D607" s="9" t="s">
        <v>855</v>
      </c>
      <c r="E607" s="9" t="s">
        <v>856</v>
      </c>
      <c r="F607" s="9" t="s">
        <v>840</v>
      </c>
      <c r="H607" s="31">
        <v>3.0</v>
      </c>
    </row>
    <row r="608">
      <c r="A608" s="11">
        <v>46148.43333025463</v>
      </c>
      <c r="B608" s="9" t="s">
        <v>166</v>
      </c>
      <c r="C608" s="9" t="s">
        <v>866</v>
      </c>
      <c r="D608" s="9" t="s">
        <v>896</v>
      </c>
      <c r="E608" s="9" t="s">
        <v>887</v>
      </c>
      <c r="F608" s="9" t="s">
        <v>840</v>
      </c>
      <c r="G608" s="9" t="s">
        <v>649</v>
      </c>
      <c r="H608" s="31">
        <v>3.0</v>
      </c>
    </row>
    <row r="609">
      <c r="A609" s="11">
        <v>46148.464238518514</v>
      </c>
      <c r="B609" s="9" t="s">
        <v>160</v>
      </c>
      <c r="C609" s="9" t="s">
        <v>876</v>
      </c>
      <c r="D609" s="9" t="s">
        <v>863</v>
      </c>
      <c r="E609" s="9" t="s">
        <v>861</v>
      </c>
      <c r="F609" s="9" t="s">
        <v>840</v>
      </c>
      <c r="G609" s="9" t="s">
        <v>649</v>
      </c>
      <c r="H609" s="31">
        <v>4.0</v>
      </c>
    </row>
    <row r="610">
      <c r="A610" s="11">
        <v>46148.473492164354</v>
      </c>
      <c r="B610" s="9" t="s">
        <v>320</v>
      </c>
      <c r="C610" s="9" t="s">
        <v>875</v>
      </c>
      <c r="D610" s="9" t="s">
        <v>895</v>
      </c>
      <c r="E610" s="9" t="s">
        <v>889</v>
      </c>
      <c r="F610" s="9" t="s">
        <v>840</v>
      </c>
      <c r="H610" s="31">
        <v>3.0</v>
      </c>
    </row>
    <row r="611">
      <c r="A611" s="11">
        <v>46148.50662395833</v>
      </c>
      <c r="B611" s="9" t="s">
        <v>74</v>
      </c>
      <c r="C611" s="9" t="s">
        <v>837</v>
      </c>
      <c r="D611" s="9" t="s">
        <v>890</v>
      </c>
      <c r="E611" s="9" t="s">
        <v>857</v>
      </c>
      <c r="F611" s="9" t="s">
        <v>840</v>
      </c>
      <c r="G611" s="9" t="s">
        <v>649</v>
      </c>
      <c r="H611" s="31">
        <v>2.0</v>
      </c>
    </row>
    <row r="612">
      <c r="A612" s="11">
        <v>46148.510319629626</v>
      </c>
      <c r="B612" s="9" t="s">
        <v>81</v>
      </c>
      <c r="C612" s="9" t="s">
        <v>861</v>
      </c>
      <c r="D612" s="9" t="s">
        <v>883</v>
      </c>
      <c r="E612" s="9" t="s">
        <v>891</v>
      </c>
      <c r="F612" s="9" t="s">
        <v>840</v>
      </c>
      <c r="G612" s="9" t="s">
        <v>649</v>
      </c>
      <c r="H612" s="31">
        <v>4.0</v>
      </c>
    </row>
    <row r="613">
      <c r="A613" s="11">
        <v>46148.51608739584</v>
      </c>
      <c r="B613" s="9" t="s">
        <v>387</v>
      </c>
      <c r="C613" s="9" t="s">
        <v>900</v>
      </c>
      <c r="D613" s="9" t="s">
        <v>859</v>
      </c>
      <c r="E613" s="9" t="s">
        <v>878</v>
      </c>
      <c r="F613" s="9" t="s">
        <v>840</v>
      </c>
      <c r="G613" s="9" t="s">
        <v>649</v>
      </c>
      <c r="H613" s="31">
        <v>2.0</v>
      </c>
    </row>
    <row r="614">
      <c r="A614" s="11">
        <v>46148.54138384259</v>
      </c>
      <c r="B614" s="9" t="s">
        <v>313</v>
      </c>
      <c r="C614" s="9" t="s">
        <v>880</v>
      </c>
      <c r="D614" s="9" t="s">
        <v>878</v>
      </c>
      <c r="E614" s="9" t="s">
        <v>852</v>
      </c>
      <c r="F614" s="9" t="s">
        <v>840</v>
      </c>
      <c r="G614" s="9" t="s">
        <v>649</v>
      </c>
      <c r="H614" s="31">
        <v>3.0</v>
      </c>
    </row>
    <row r="615">
      <c r="A615" s="11">
        <v>46148.614234085646</v>
      </c>
      <c r="B615" s="9" t="s">
        <v>314</v>
      </c>
      <c r="C615" s="9" t="s">
        <v>881</v>
      </c>
      <c r="D615" s="9" t="s">
        <v>889</v>
      </c>
      <c r="E615" s="9" t="s">
        <v>838</v>
      </c>
      <c r="F615" s="9" t="s">
        <v>840</v>
      </c>
      <c r="G615" s="9" t="s">
        <v>649</v>
      </c>
      <c r="H615" s="31">
        <v>3.0</v>
      </c>
    </row>
    <row r="616">
      <c r="A616" s="11">
        <v>46148.6395028588</v>
      </c>
      <c r="B616" s="9" t="s">
        <v>85</v>
      </c>
      <c r="C616" s="9" t="s">
        <v>871</v>
      </c>
      <c r="D616" s="9" t="s">
        <v>853</v>
      </c>
      <c r="E616" s="9" t="s">
        <v>875</v>
      </c>
      <c r="F616" s="9" t="s">
        <v>840</v>
      </c>
      <c r="G616" s="9" t="s">
        <v>649</v>
      </c>
      <c r="H616" s="31">
        <v>3.0</v>
      </c>
    </row>
    <row r="617">
      <c r="A617" s="11">
        <v>46148.66217916667</v>
      </c>
      <c r="B617" s="9" t="s">
        <v>100</v>
      </c>
      <c r="C617" s="9" t="s">
        <v>889</v>
      </c>
      <c r="D617" s="9" t="s">
        <v>877</v>
      </c>
      <c r="E617" s="9" t="s">
        <v>854</v>
      </c>
      <c r="F617" s="9" t="s">
        <v>840</v>
      </c>
      <c r="H617" s="31">
        <v>4.0</v>
      </c>
    </row>
    <row r="618">
      <c r="A618" s="11">
        <v>46148.67546395834</v>
      </c>
      <c r="B618" s="9" t="s">
        <v>164</v>
      </c>
      <c r="C618" s="9" t="s">
        <v>839</v>
      </c>
      <c r="D618" s="9" t="s">
        <v>868</v>
      </c>
      <c r="E618" s="9" t="s">
        <v>880</v>
      </c>
      <c r="F618" s="9" t="s">
        <v>840</v>
      </c>
      <c r="G618" s="9" t="s">
        <v>649</v>
      </c>
      <c r="H618" s="31">
        <v>3.0</v>
      </c>
    </row>
    <row r="619">
      <c r="A619" s="11">
        <v>46148.69076489583</v>
      </c>
      <c r="B619" s="9" t="s">
        <v>242</v>
      </c>
      <c r="C619" s="9" t="s">
        <v>857</v>
      </c>
      <c r="D619" s="9" t="s">
        <v>858</v>
      </c>
      <c r="E619" s="9" t="s">
        <v>852</v>
      </c>
      <c r="F619" s="9" t="s">
        <v>840</v>
      </c>
      <c r="G619" s="9" t="s">
        <v>649</v>
      </c>
      <c r="H619" s="31">
        <v>1.0</v>
      </c>
    </row>
    <row r="620">
      <c r="A620" s="11">
        <v>46148.69285049768</v>
      </c>
      <c r="B620" s="9" t="s">
        <v>387</v>
      </c>
      <c r="C620" s="9" t="s">
        <v>876</v>
      </c>
      <c r="D620" s="9" t="s">
        <v>861</v>
      </c>
      <c r="E620" s="9" t="s">
        <v>839</v>
      </c>
      <c r="F620" s="9" t="s">
        <v>840</v>
      </c>
      <c r="G620" s="9" t="s">
        <v>649</v>
      </c>
      <c r="H620" s="31">
        <v>3.0</v>
      </c>
    </row>
    <row r="621">
      <c r="A621" s="11">
        <v>46148.70943398148</v>
      </c>
      <c r="B621" s="9" t="s">
        <v>237</v>
      </c>
      <c r="C621" s="9" t="s">
        <v>852</v>
      </c>
      <c r="D621" s="9" t="s">
        <v>864</v>
      </c>
      <c r="E621" s="9" t="s">
        <v>865</v>
      </c>
      <c r="F621" s="9" t="s">
        <v>840</v>
      </c>
      <c r="H621" s="31">
        <v>2.0</v>
      </c>
    </row>
    <row r="622">
      <c r="A622" s="11">
        <v>46148.71859773148</v>
      </c>
      <c r="B622" s="9" t="s">
        <v>267</v>
      </c>
      <c r="C622" s="9" t="s">
        <v>866</v>
      </c>
      <c r="D622" s="9" t="s">
        <v>869</v>
      </c>
      <c r="E622" s="9" t="s">
        <v>880</v>
      </c>
      <c r="F622" s="9" t="s">
        <v>840</v>
      </c>
      <c r="G622" s="9" t="s">
        <v>649</v>
      </c>
      <c r="H622" s="31">
        <v>2.0</v>
      </c>
    </row>
    <row r="623">
      <c r="A623" s="11">
        <v>46148.723603136576</v>
      </c>
      <c r="B623" s="9" t="s">
        <v>224</v>
      </c>
      <c r="C623" s="9" t="s">
        <v>838</v>
      </c>
      <c r="D623" s="9" t="s">
        <v>887</v>
      </c>
      <c r="E623" s="9" t="s">
        <v>857</v>
      </c>
      <c r="F623" s="9" t="s">
        <v>840</v>
      </c>
      <c r="G623" s="9" t="s">
        <v>649</v>
      </c>
      <c r="H623" s="31">
        <v>4.0</v>
      </c>
    </row>
    <row r="624">
      <c r="A624" s="11">
        <v>46148.794972233794</v>
      </c>
      <c r="B624" s="9" t="s">
        <v>114</v>
      </c>
      <c r="C624" s="9" t="s">
        <v>865</v>
      </c>
      <c r="D624" s="9" t="s">
        <v>887</v>
      </c>
      <c r="E624" s="9" t="s">
        <v>861</v>
      </c>
      <c r="F624" s="9" t="s">
        <v>840</v>
      </c>
      <c r="H624" s="31">
        <v>3.0</v>
      </c>
    </row>
    <row r="625">
      <c r="A625" s="11">
        <v>46148.79805979166</v>
      </c>
      <c r="B625" s="9" t="s">
        <v>243</v>
      </c>
      <c r="C625" s="9" t="s">
        <v>868</v>
      </c>
      <c r="D625" s="9" t="s">
        <v>878</v>
      </c>
      <c r="E625" s="9" t="s">
        <v>859</v>
      </c>
      <c r="F625" s="9" t="s">
        <v>840</v>
      </c>
      <c r="G625" s="9" t="s">
        <v>649</v>
      </c>
      <c r="H625" s="31">
        <v>3.0</v>
      </c>
    </row>
    <row r="626">
      <c r="A626" s="11">
        <v>46148.81571445602</v>
      </c>
      <c r="B626" s="9" t="s">
        <v>316</v>
      </c>
      <c r="C626" s="9" t="s">
        <v>866</v>
      </c>
      <c r="D626" s="9" t="s">
        <v>870</v>
      </c>
      <c r="E626" s="9" t="s">
        <v>838</v>
      </c>
      <c r="F626" s="9" t="s">
        <v>840</v>
      </c>
      <c r="G626" s="9" t="s">
        <v>649</v>
      </c>
      <c r="H626" s="31">
        <v>3.0</v>
      </c>
    </row>
    <row r="627">
      <c r="A627" s="11">
        <v>46148.827853298615</v>
      </c>
      <c r="B627" s="9" t="s">
        <v>243</v>
      </c>
      <c r="C627" s="9" t="s">
        <v>870</v>
      </c>
      <c r="D627" s="9" t="s">
        <v>900</v>
      </c>
      <c r="E627" s="9" t="s">
        <v>889</v>
      </c>
      <c r="F627" s="9" t="s">
        <v>840</v>
      </c>
      <c r="G627" s="9" t="s">
        <v>649</v>
      </c>
      <c r="H627" s="31">
        <v>4.0</v>
      </c>
    </row>
    <row r="628">
      <c r="A628" s="11">
        <v>46148.846987233796</v>
      </c>
      <c r="B628" s="9" t="s">
        <v>388</v>
      </c>
      <c r="C628" s="9" t="s">
        <v>877</v>
      </c>
      <c r="D628" s="9" t="s">
        <v>868</v>
      </c>
      <c r="E628" s="9" t="s">
        <v>872</v>
      </c>
      <c r="F628" s="9" t="s">
        <v>840</v>
      </c>
      <c r="G628" s="9" t="s">
        <v>649</v>
      </c>
      <c r="H628" s="31">
        <v>2.0</v>
      </c>
    </row>
    <row r="629">
      <c r="A629" s="11">
        <v>46148.86614050926</v>
      </c>
      <c r="B629" s="9" t="s">
        <v>371</v>
      </c>
      <c r="C629" s="9" t="s">
        <v>875</v>
      </c>
      <c r="D629" s="9" t="s">
        <v>872</v>
      </c>
      <c r="E629" s="9" t="s">
        <v>868</v>
      </c>
      <c r="F629" s="9" t="s">
        <v>840</v>
      </c>
      <c r="G629" s="9" t="s">
        <v>649</v>
      </c>
      <c r="H629" s="31">
        <v>2.0</v>
      </c>
    </row>
    <row r="630">
      <c r="A630" s="11">
        <v>46148.87151790509</v>
      </c>
      <c r="B630" s="9" t="s">
        <v>161</v>
      </c>
      <c r="C630" s="9" t="s">
        <v>861</v>
      </c>
      <c r="D630" s="9" t="s">
        <v>858</v>
      </c>
      <c r="E630" s="9" t="s">
        <v>868</v>
      </c>
      <c r="F630" s="9" t="s">
        <v>840</v>
      </c>
      <c r="G630" s="9" t="s">
        <v>649</v>
      </c>
      <c r="H630" s="31">
        <v>3.0</v>
      </c>
    </row>
    <row r="631">
      <c r="A631" s="11">
        <v>46148.87449405092</v>
      </c>
      <c r="B631" s="9" t="s">
        <v>93</v>
      </c>
      <c r="C631" s="9" t="s">
        <v>861</v>
      </c>
      <c r="D631" s="9" t="s">
        <v>890</v>
      </c>
      <c r="E631" s="9" t="s">
        <v>880</v>
      </c>
      <c r="F631" s="9" t="s">
        <v>840</v>
      </c>
      <c r="G631" s="9" t="s">
        <v>834</v>
      </c>
      <c r="H631" s="31"/>
    </row>
    <row r="632">
      <c r="A632" s="11">
        <v>46148.875695462964</v>
      </c>
      <c r="B632" s="9" t="s">
        <v>93</v>
      </c>
      <c r="C632" s="9" t="s">
        <v>861</v>
      </c>
      <c r="D632" s="9" t="s">
        <v>890</v>
      </c>
      <c r="E632" s="9" t="s">
        <v>895</v>
      </c>
      <c r="F632" s="9" t="s">
        <v>840</v>
      </c>
      <c r="G632" s="9" t="s">
        <v>649</v>
      </c>
      <c r="H632" s="31">
        <v>3.0</v>
      </c>
    </row>
    <row r="633">
      <c r="A633" s="11">
        <v>46148.903854386575</v>
      </c>
      <c r="B633" s="9" t="s">
        <v>275</v>
      </c>
      <c r="C633" s="9" t="s">
        <v>837</v>
      </c>
      <c r="D633" s="9" t="s">
        <v>881</v>
      </c>
      <c r="E633" s="9" t="s">
        <v>880</v>
      </c>
      <c r="F633" s="9" t="s">
        <v>840</v>
      </c>
      <c r="G633" s="9" t="s">
        <v>649</v>
      </c>
      <c r="H633" s="31">
        <v>2.0</v>
      </c>
    </row>
    <row r="634">
      <c r="A634" s="11">
        <v>46148.912371342594</v>
      </c>
      <c r="B634" s="9" t="s">
        <v>282</v>
      </c>
      <c r="C634" s="9" t="s">
        <v>853</v>
      </c>
      <c r="D634" s="9" t="s">
        <v>874</v>
      </c>
      <c r="E634" s="9" t="s">
        <v>837</v>
      </c>
      <c r="F634" s="9" t="s">
        <v>840</v>
      </c>
      <c r="G634" s="9" t="s">
        <v>649</v>
      </c>
      <c r="H634" s="31">
        <v>2.0</v>
      </c>
    </row>
    <row r="635">
      <c r="A635" s="11">
        <v>46148.92187203704</v>
      </c>
      <c r="B635" s="9" t="s">
        <v>335</v>
      </c>
      <c r="C635" s="9" t="s">
        <v>882</v>
      </c>
      <c r="D635" s="9" t="s">
        <v>871</v>
      </c>
      <c r="E635" s="9" t="s">
        <v>883</v>
      </c>
      <c r="F635" s="9" t="s">
        <v>840</v>
      </c>
      <c r="G635" s="9" t="s">
        <v>649</v>
      </c>
      <c r="H635" s="31">
        <v>4.0</v>
      </c>
    </row>
    <row r="636">
      <c r="A636" s="11">
        <v>46148.9244712963</v>
      </c>
      <c r="B636" s="9" t="s">
        <v>301</v>
      </c>
      <c r="C636" s="9" t="s">
        <v>857</v>
      </c>
      <c r="D636" s="9" t="s">
        <v>868</v>
      </c>
      <c r="E636" s="9" t="s">
        <v>838</v>
      </c>
      <c r="F636" s="9" t="s">
        <v>840</v>
      </c>
      <c r="G636" s="9" t="s">
        <v>649</v>
      </c>
      <c r="H636" s="31">
        <v>4.0</v>
      </c>
    </row>
    <row r="637">
      <c r="A637" s="11">
        <v>46148.93088263889</v>
      </c>
      <c r="B637" s="9" t="s">
        <v>179</v>
      </c>
      <c r="C637" s="9" t="s">
        <v>887</v>
      </c>
      <c r="D637" s="9" t="s">
        <v>889</v>
      </c>
      <c r="E637" s="9" t="s">
        <v>862</v>
      </c>
      <c r="F637" s="9" t="s">
        <v>840</v>
      </c>
      <c r="G637" s="9" t="s">
        <v>649</v>
      </c>
      <c r="H637" s="31">
        <v>4.0</v>
      </c>
    </row>
    <row r="638">
      <c r="A638" s="11">
        <v>46148.94989377315</v>
      </c>
      <c r="B638" s="9" t="s">
        <v>278</v>
      </c>
      <c r="C638" s="9" t="s">
        <v>859</v>
      </c>
      <c r="D638" s="9" t="s">
        <v>874</v>
      </c>
      <c r="E638" s="9" t="s">
        <v>857</v>
      </c>
      <c r="F638" s="9" t="s">
        <v>840</v>
      </c>
      <c r="G638" s="9" t="s">
        <v>649</v>
      </c>
      <c r="H638" s="31">
        <v>4.0</v>
      </c>
    </row>
    <row r="639">
      <c r="A639" s="11">
        <v>46148.95317152778</v>
      </c>
      <c r="B639" s="9" t="s">
        <v>920</v>
      </c>
      <c r="C639" s="9" t="s">
        <v>869</v>
      </c>
      <c r="D639" s="9" t="s">
        <v>864</v>
      </c>
      <c r="E639" s="9" t="s">
        <v>852</v>
      </c>
      <c r="F639" s="9" t="s">
        <v>840</v>
      </c>
      <c r="G639" s="9" t="s">
        <v>834</v>
      </c>
      <c r="H639" s="31"/>
    </row>
    <row r="640">
      <c r="A640" s="11">
        <v>46148.96571208333</v>
      </c>
      <c r="B640" s="9" t="s">
        <v>346</v>
      </c>
      <c r="C640" s="9" t="s">
        <v>852</v>
      </c>
      <c r="D640" s="9" t="s">
        <v>837</v>
      </c>
      <c r="E640" s="9" t="s">
        <v>896</v>
      </c>
      <c r="F640" s="9" t="s">
        <v>840</v>
      </c>
      <c r="G640" s="9" t="s">
        <v>649</v>
      </c>
      <c r="H640" s="31">
        <v>3.0</v>
      </c>
    </row>
    <row r="641">
      <c r="A641" s="11">
        <v>46148.98139912037</v>
      </c>
      <c r="B641" s="9" t="s">
        <v>396</v>
      </c>
      <c r="C641" s="9" t="s">
        <v>869</v>
      </c>
      <c r="D641" s="9" t="s">
        <v>861</v>
      </c>
      <c r="E641" s="9" t="s">
        <v>862</v>
      </c>
      <c r="F641" s="9" t="s">
        <v>840</v>
      </c>
      <c r="G641" s="9" t="s">
        <v>649</v>
      </c>
      <c r="H641" s="31">
        <v>2.0</v>
      </c>
    </row>
    <row r="642">
      <c r="A642" s="11">
        <v>46148.98244493056</v>
      </c>
      <c r="B642" s="9" t="s">
        <v>227</v>
      </c>
      <c r="C642" s="9" t="s">
        <v>854</v>
      </c>
      <c r="D642" s="9" t="s">
        <v>855</v>
      </c>
      <c r="E642" s="9" t="s">
        <v>900</v>
      </c>
      <c r="F642" s="9" t="s">
        <v>840</v>
      </c>
      <c r="G642" s="9" t="s">
        <v>649</v>
      </c>
      <c r="H642" s="31">
        <v>3.0</v>
      </c>
    </row>
    <row r="643">
      <c r="A643" s="11">
        <v>46149.024309479166</v>
      </c>
      <c r="B643" s="9" t="s">
        <v>299</v>
      </c>
      <c r="C643" s="9" t="s">
        <v>852</v>
      </c>
      <c r="D643" s="9" t="s">
        <v>854</v>
      </c>
      <c r="E643" s="9" t="s">
        <v>882</v>
      </c>
      <c r="F643" s="9" t="s">
        <v>840</v>
      </c>
      <c r="G643" s="9" t="s">
        <v>834</v>
      </c>
      <c r="H643" s="31"/>
    </row>
    <row r="644">
      <c r="A644" s="11">
        <v>46149.04934423611</v>
      </c>
      <c r="B644" s="9" t="s">
        <v>343</v>
      </c>
      <c r="C644" s="9" t="s">
        <v>838</v>
      </c>
      <c r="D644" s="9" t="s">
        <v>878</v>
      </c>
      <c r="E644" s="9" t="s">
        <v>883</v>
      </c>
      <c r="F644" s="9" t="s">
        <v>840</v>
      </c>
      <c r="H644" s="31">
        <v>2.0</v>
      </c>
    </row>
    <row r="645">
      <c r="A645" s="11">
        <v>46149.36448466435</v>
      </c>
      <c r="B645" s="9" t="s">
        <v>390</v>
      </c>
      <c r="C645" s="9" t="s">
        <v>854</v>
      </c>
      <c r="D645" s="9" t="s">
        <v>868</v>
      </c>
      <c r="E645" s="9" t="s">
        <v>852</v>
      </c>
      <c r="F645" s="9" t="s">
        <v>840</v>
      </c>
      <c r="G645" s="9" t="s">
        <v>834</v>
      </c>
      <c r="H645" s="31"/>
    </row>
    <row r="646">
      <c r="A646" s="11">
        <v>46149.3653130787</v>
      </c>
      <c r="B646" s="9" t="s">
        <v>390</v>
      </c>
      <c r="C646" s="9" t="s">
        <v>854</v>
      </c>
      <c r="D646" s="9" t="s">
        <v>859</v>
      </c>
      <c r="E646" s="9" t="s">
        <v>890</v>
      </c>
      <c r="F646" s="9" t="s">
        <v>840</v>
      </c>
      <c r="G646" s="9" t="s">
        <v>649</v>
      </c>
      <c r="H646" s="31">
        <v>2.0</v>
      </c>
    </row>
    <row r="647">
      <c r="A647" s="11">
        <v>46149.37168503473</v>
      </c>
      <c r="B647" s="9" t="s">
        <v>298</v>
      </c>
      <c r="C647" s="9" t="s">
        <v>869</v>
      </c>
      <c r="D647" s="9" t="s">
        <v>866</v>
      </c>
      <c r="E647" s="9" t="s">
        <v>900</v>
      </c>
      <c r="F647" s="9" t="s">
        <v>840</v>
      </c>
      <c r="G647" s="9" t="s">
        <v>649</v>
      </c>
      <c r="H647" s="31">
        <v>3.0</v>
      </c>
    </row>
    <row r="648">
      <c r="A648" s="11">
        <v>46149.48914556713</v>
      </c>
      <c r="B648" s="9" t="s">
        <v>139</v>
      </c>
      <c r="C648" s="9" t="s">
        <v>874</v>
      </c>
      <c r="D648" s="9" t="s">
        <v>859</v>
      </c>
      <c r="E648" s="9" t="s">
        <v>887</v>
      </c>
      <c r="F648" s="9" t="s">
        <v>840</v>
      </c>
      <c r="H648" s="31">
        <v>2.0</v>
      </c>
    </row>
    <row r="649">
      <c r="A649" s="11">
        <v>46149.54186168981</v>
      </c>
      <c r="B649" s="9" t="s">
        <v>378</v>
      </c>
      <c r="C649" s="9" t="s">
        <v>871</v>
      </c>
      <c r="D649" s="9" t="s">
        <v>855</v>
      </c>
      <c r="E649" s="9" t="s">
        <v>856</v>
      </c>
      <c r="F649" s="9" t="s">
        <v>840</v>
      </c>
      <c r="G649" s="9" t="s">
        <v>834</v>
      </c>
      <c r="H649" s="31"/>
    </row>
    <row r="650">
      <c r="A650" s="11">
        <v>46149.54368915509</v>
      </c>
      <c r="B650" s="9" t="s">
        <v>378</v>
      </c>
      <c r="C650" s="9" t="s">
        <v>871</v>
      </c>
      <c r="D650" s="9" t="s">
        <v>856</v>
      </c>
      <c r="E650" s="9" t="s">
        <v>883</v>
      </c>
      <c r="F650" s="9" t="s">
        <v>840</v>
      </c>
      <c r="G650" s="9" t="s">
        <v>649</v>
      </c>
      <c r="H650" s="31">
        <v>3.0</v>
      </c>
    </row>
    <row r="651">
      <c r="A651" s="11">
        <v>46149.554226747685</v>
      </c>
      <c r="B651" s="9" t="s">
        <v>190</v>
      </c>
      <c r="C651" s="9" t="s">
        <v>880</v>
      </c>
      <c r="D651" s="9" t="s">
        <v>896</v>
      </c>
      <c r="E651" s="9" t="s">
        <v>887</v>
      </c>
      <c r="F651" s="9" t="s">
        <v>840</v>
      </c>
      <c r="G651" s="9" t="s">
        <v>649</v>
      </c>
      <c r="H651" s="31">
        <v>3.0</v>
      </c>
    </row>
    <row r="652">
      <c r="A652" s="11">
        <v>46149.58526653935</v>
      </c>
      <c r="B652" s="9" t="s">
        <v>401</v>
      </c>
      <c r="C652" s="9" t="s">
        <v>882</v>
      </c>
      <c r="D652" s="9" t="s">
        <v>861</v>
      </c>
      <c r="E652" s="9" t="s">
        <v>895</v>
      </c>
      <c r="F652" s="9" t="s">
        <v>840</v>
      </c>
      <c r="G652" s="9" t="s">
        <v>649</v>
      </c>
      <c r="H652" s="31">
        <v>3.0</v>
      </c>
    </row>
    <row r="653">
      <c r="A653" s="11">
        <v>46149.61731721065</v>
      </c>
      <c r="B653" s="9" t="s">
        <v>89</v>
      </c>
      <c r="C653" s="9" t="s">
        <v>857</v>
      </c>
      <c r="D653" s="9" t="s">
        <v>880</v>
      </c>
      <c r="E653" s="9" t="s">
        <v>858</v>
      </c>
      <c r="F653" s="9" t="s">
        <v>840</v>
      </c>
      <c r="H653" s="31">
        <v>3.0</v>
      </c>
    </row>
    <row r="654">
      <c r="A654" s="11">
        <v>46149.63641171296</v>
      </c>
      <c r="B654" s="9" t="s">
        <v>356</v>
      </c>
      <c r="C654" s="9" t="s">
        <v>855</v>
      </c>
      <c r="D654" s="9" t="s">
        <v>882</v>
      </c>
      <c r="E654" s="9" t="s">
        <v>868</v>
      </c>
      <c r="F654" s="9" t="s">
        <v>840</v>
      </c>
      <c r="G654" s="9" t="s">
        <v>649</v>
      </c>
      <c r="H654" s="31">
        <v>2.0</v>
      </c>
    </row>
    <row r="655">
      <c r="A655" s="11">
        <v>46149.64016792824</v>
      </c>
      <c r="B655" s="9" t="s">
        <v>104</v>
      </c>
      <c r="C655" s="9" t="s">
        <v>880</v>
      </c>
      <c r="D655" s="9" t="s">
        <v>891</v>
      </c>
      <c r="E655" s="9" t="s">
        <v>896</v>
      </c>
      <c r="F655" s="9" t="s">
        <v>840</v>
      </c>
      <c r="H655" s="31">
        <v>3.0</v>
      </c>
    </row>
    <row r="656">
      <c r="A656" s="11">
        <v>46149.68551119213</v>
      </c>
      <c r="B656" s="9" t="s">
        <v>385</v>
      </c>
      <c r="C656" s="9" t="s">
        <v>876</v>
      </c>
      <c r="D656" s="9" t="s">
        <v>856</v>
      </c>
      <c r="E656" s="9" t="s">
        <v>890</v>
      </c>
      <c r="F656" s="9" t="s">
        <v>840</v>
      </c>
      <c r="G656" s="9" t="s">
        <v>649</v>
      </c>
      <c r="H656" s="31">
        <v>3.0</v>
      </c>
    </row>
    <row r="657">
      <c r="A657" s="11">
        <v>46149.7043637037</v>
      </c>
      <c r="B657" s="9" t="s">
        <v>72</v>
      </c>
      <c r="C657" s="9" t="s">
        <v>861</v>
      </c>
      <c r="D657" s="9" t="s">
        <v>837</v>
      </c>
      <c r="E657" s="9" t="s">
        <v>868</v>
      </c>
      <c r="F657" s="9" t="s">
        <v>840</v>
      </c>
      <c r="G657" s="9" t="s">
        <v>649</v>
      </c>
      <c r="H657" s="31">
        <v>4.0</v>
      </c>
    </row>
    <row r="658">
      <c r="A658" s="11">
        <v>46149.72423694444</v>
      </c>
      <c r="B658" s="9" t="s">
        <v>258</v>
      </c>
      <c r="C658" s="9" t="s">
        <v>881</v>
      </c>
      <c r="D658" s="9" t="s">
        <v>837</v>
      </c>
      <c r="E658" s="9" t="s">
        <v>887</v>
      </c>
      <c r="F658" s="9" t="s">
        <v>840</v>
      </c>
      <c r="H658" s="31">
        <v>3.0</v>
      </c>
    </row>
    <row r="659">
      <c r="A659" s="11">
        <v>46149.75642857639</v>
      </c>
      <c r="B659" s="9" t="s">
        <v>472</v>
      </c>
      <c r="C659" s="9" t="s">
        <v>854</v>
      </c>
      <c r="D659" s="9" t="s">
        <v>882</v>
      </c>
      <c r="E659" s="9" t="s">
        <v>853</v>
      </c>
      <c r="F659" s="9" t="s">
        <v>840</v>
      </c>
      <c r="G659" s="9" t="s">
        <v>649</v>
      </c>
      <c r="H659" s="31">
        <v>1.0</v>
      </c>
    </row>
    <row r="660">
      <c r="A660" s="11">
        <v>46149.773661087966</v>
      </c>
      <c r="B660" s="9" t="s">
        <v>74</v>
      </c>
      <c r="C660" s="9" t="s">
        <v>872</v>
      </c>
      <c r="D660" s="9" t="s">
        <v>867</v>
      </c>
      <c r="E660" s="9" t="s">
        <v>878</v>
      </c>
      <c r="F660" s="9" t="s">
        <v>840</v>
      </c>
      <c r="G660" s="9" t="s">
        <v>649</v>
      </c>
      <c r="H660" s="31">
        <v>3.0</v>
      </c>
    </row>
    <row r="661">
      <c r="A661" s="11">
        <v>46149.77858780093</v>
      </c>
      <c r="B661" s="9" t="s">
        <v>200</v>
      </c>
      <c r="C661" s="9" t="s">
        <v>839</v>
      </c>
      <c r="D661" s="9" t="s">
        <v>854</v>
      </c>
      <c r="E661" s="9" t="s">
        <v>900</v>
      </c>
      <c r="F661" s="9" t="s">
        <v>840</v>
      </c>
      <c r="G661" s="9" t="s">
        <v>649</v>
      </c>
      <c r="H661" s="31">
        <v>2.0</v>
      </c>
    </row>
    <row r="662">
      <c r="A662" s="11">
        <v>46149.795989861115</v>
      </c>
      <c r="B662" s="9" t="s">
        <v>334</v>
      </c>
      <c r="C662" s="9" t="s">
        <v>853</v>
      </c>
      <c r="D662" s="9" t="s">
        <v>867</v>
      </c>
      <c r="E662" s="9" t="s">
        <v>837</v>
      </c>
      <c r="F662" s="9" t="s">
        <v>840</v>
      </c>
      <c r="G662" s="9" t="s">
        <v>649</v>
      </c>
      <c r="H662" s="31">
        <v>2.0</v>
      </c>
    </row>
    <row r="663">
      <c r="A663" s="11">
        <v>46149.80068305555</v>
      </c>
      <c r="B663" s="9" t="s">
        <v>472</v>
      </c>
      <c r="C663" s="9" t="s">
        <v>883</v>
      </c>
      <c r="D663" s="9" t="s">
        <v>871</v>
      </c>
      <c r="E663" s="9" t="s">
        <v>855</v>
      </c>
      <c r="F663" s="9" t="s">
        <v>840</v>
      </c>
      <c r="G663" s="9" t="s">
        <v>649</v>
      </c>
      <c r="H663" s="31">
        <v>2.0</v>
      </c>
    </row>
    <row r="664">
      <c r="A664" s="11">
        <v>46149.82020511574</v>
      </c>
      <c r="B664" s="9" t="s">
        <v>404</v>
      </c>
      <c r="C664" s="9" t="s">
        <v>838</v>
      </c>
      <c r="D664" s="9" t="s">
        <v>881</v>
      </c>
      <c r="E664" s="9" t="s">
        <v>887</v>
      </c>
      <c r="F664" s="9" t="s">
        <v>840</v>
      </c>
      <c r="G664" s="9" t="s">
        <v>649</v>
      </c>
      <c r="H664" s="31">
        <v>3.0</v>
      </c>
    </row>
    <row r="665">
      <c r="A665" s="11">
        <v>46149.855049571765</v>
      </c>
      <c r="B665" s="9" t="s">
        <v>334</v>
      </c>
      <c r="C665" s="9" t="s">
        <v>839</v>
      </c>
      <c r="D665" s="9" t="s">
        <v>868</v>
      </c>
      <c r="E665" s="9" t="s">
        <v>858</v>
      </c>
      <c r="F665" s="9" t="s">
        <v>840</v>
      </c>
      <c r="G665" s="9" t="s">
        <v>834</v>
      </c>
      <c r="H665" s="31"/>
    </row>
    <row r="666">
      <c r="A666" s="11">
        <v>46149.85593630787</v>
      </c>
      <c r="B666" s="9" t="s">
        <v>334</v>
      </c>
      <c r="C666" s="9" t="s">
        <v>839</v>
      </c>
      <c r="D666" s="9" t="s">
        <v>858</v>
      </c>
      <c r="E666" s="9" t="s">
        <v>870</v>
      </c>
      <c r="F666" s="9" t="s">
        <v>840</v>
      </c>
      <c r="G666" s="9" t="s">
        <v>649</v>
      </c>
      <c r="H666" s="31">
        <v>3.0</v>
      </c>
    </row>
    <row r="667">
      <c r="A667" s="11">
        <v>46149.85810012731</v>
      </c>
      <c r="B667" s="9" t="s">
        <v>299</v>
      </c>
      <c r="C667" s="9" t="s">
        <v>871</v>
      </c>
      <c r="D667" s="9" t="s">
        <v>838</v>
      </c>
      <c r="E667" s="9" t="s">
        <v>856</v>
      </c>
      <c r="F667" s="9" t="s">
        <v>840</v>
      </c>
      <c r="G667" s="9" t="s">
        <v>649</v>
      </c>
      <c r="H667" s="31">
        <v>2.0</v>
      </c>
    </row>
    <row r="668">
      <c r="A668" s="11">
        <v>46149.890265381946</v>
      </c>
      <c r="B668" s="9" t="s">
        <v>376</v>
      </c>
      <c r="C668" s="9" t="s">
        <v>838</v>
      </c>
      <c r="D668" s="9" t="s">
        <v>895</v>
      </c>
      <c r="E668" s="9" t="s">
        <v>862</v>
      </c>
      <c r="F668" s="9" t="s">
        <v>840</v>
      </c>
      <c r="H668" s="31">
        <v>3.0</v>
      </c>
    </row>
    <row r="669">
      <c r="A669" s="11">
        <v>46149.89305273148</v>
      </c>
      <c r="B669" s="9" t="s">
        <v>404</v>
      </c>
      <c r="C669" s="9" t="s">
        <v>861</v>
      </c>
      <c r="D669" s="9" t="s">
        <v>889</v>
      </c>
      <c r="E669" s="9" t="s">
        <v>896</v>
      </c>
      <c r="F669" s="9" t="s">
        <v>840</v>
      </c>
      <c r="G669" s="9" t="s">
        <v>649</v>
      </c>
      <c r="H669" s="31">
        <v>4.0</v>
      </c>
    </row>
    <row r="670">
      <c r="A670" s="11">
        <v>46149.914793125005</v>
      </c>
      <c r="B670" s="9" t="s">
        <v>369</v>
      </c>
      <c r="C670" s="9" t="s">
        <v>877</v>
      </c>
      <c r="D670" s="9" t="s">
        <v>852</v>
      </c>
      <c r="E670" s="9" t="s">
        <v>865</v>
      </c>
      <c r="F670" s="9" t="s">
        <v>840</v>
      </c>
      <c r="G670" s="9" t="s">
        <v>834</v>
      </c>
      <c r="H670" s="31"/>
    </row>
    <row r="671">
      <c r="A671" s="11">
        <v>46149.91489262732</v>
      </c>
      <c r="B671" s="9" t="s">
        <v>275</v>
      </c>
      <c r="C671" s="9" t="s">
        <v>876</v>
      </c>
      <c r="D671" s="9" t="s">
        <v>862</v>
      </c>
      <c r="E671" s="9" t="s">
        <v>890</v>
      </c>
      <c r="F671" s="9" t="s">
        <v>840</v>
      </c>
      <c r="G671" s="9" t="s">
        <v>649</v>
      </c>
      <c r="H671" s="31">
        <v>3.0</v>
      </c>
    </row>
    <row r="672">
      <c r="A672" s="11">
        <v>46149.91581655093</v>
      </c>
      <c r="B672" s="9" t="s">
        <v>369</v>
      </c>
      <c r="C672" s="9" t="s">
        <v>877</v>
      </c>
      <c r="D672" s="9" t="s">
        <v>865</v>
      </c>
      <c r="E672" s="9" t="s">
        <v>879</v>
      </c>
      <c r="F672" s="9" t="s">
        <v>840</v>
      </c>
      <c r="G672" s="9" t="s">
        <v>649</v>
      </c>
      <c r="H672" s="31">
        <v>2.0</v>
      </c>
    </row>
    <row r="673">
      <c r="A673" s="11">
        <v>46149.927813437505</v>
      </c>
      <c r="B673" s="9" t="s">
        <v>286</v>
      </c>
      <c r="C673" s="9" t="s">
        <v>865</v>
      </c>
      <c r="D673" s="9" t="s">
        <v>869</v>
      </c>
      <c r="E673" s="9" t="s">
        <v>866</v>
      </c>
      <c r="F673" s="9" t="s">
        <v>840</v>
      </c>
      <c r="G673" s="9" t="s">
        <v>649</v>
      </c>
      <c r="H673" s="31">
        <v>3.0</v>
      </c>
    </row>
    <row r="674">
      <c r="A674" s="11">
        <v>46149.94739570602</v>
      </c>
      <c r="B674" s="9" t="s">
        <v>77</v>
      </c>
      <c r="C674" s="9" t="s">
        <v>895</v>
      </c>
      <c r="D674" s="9" t="s">
        <v>861</v>
      </c>
      <c r="E674" s="9" t="s">
        <v>889</v>
      </c>
      <c r="F674" s="9" t="s">
        <v>840</v>
      </c>
      <c r="G674" s="9" t="s">
        <v>649</v>
      </c>
      <c r="H674" s="31">
        <v>3.0</v>
      </c>
    </row>
    <row r="675">
      <c r="A675" s="11">
        <v>46149.949351793985</v>
      </c>
      <c r="B675" s="9" t="s">
        <v>394</v>
      </c>
      <c r="C675" s="9" t="s">
        <v>837</v>
      </c>
      <c r="D675" s="9" t="s">
        <v>889</v>
      </c>
      <c r="E675" s="9" t="s">
        <v>895</v>
      </c>
      <c r="F675" s="9" t="s">
        <v>840</v>
      </c>
      <c r="G675" s="9" t="s">
        <v>649</v>
      </c>
      <c r="H675" s="31">
        <v>3.0</v>
      </c>
    </row>
    <row r="676">
      <c r="A676" s="11">
        <v>46149.96685010417</v>
      </c>
      <c r="B676" s="9" t="s">
        <v>184</v>
      </c>
      <c r="C676" s="9" t="s">
        <v>857</v>
      </c>
      <c r="D676" s="9" t="s">
        <v>874</v>
      </c>
      <c r="E676" s="9" t="s">
        <v>891</v>
      </c>
      <c r="F676" s="9" t="s">
        <v>840</v>
      </c>
      <c r="H676" s="31">
        <v>3.0</v>
      </c>
    </row>
    <row r="677">
      <c r="A677" s="11">
        <v>46149.96712901621</v>
      </c>
      <c r="B677" s="9" t="s">
        <v>77</v>
      </c>
      <c r="C677" s="9" t="s">
        <v>887</v>
      </c>
      <c r="D677" s="9" t="s">
        <v>881</v>
      </c>
      <c r="E677" s="9" t="s">
        <v>869</v>
      </c>
      <c r="F677" s="9" t="s">
        <v>840</v>
      </c>
      <c r="G677" s="9" t="s">
        <v>834</v>
      </c>
      <c r="H677" s="31"/>
    </row>
    <row r="678">
      <c r="A678" s="11">
        <v>46150.00229394676</v>
      </c>
      <c r="B678" s="9" t="s">
        <v>413</v>
      </c>
      <c r="C678" s="9" t="s">
        <v>861</v>
      </c>
      <c r="D678" s="9" t="s">
        <v>838</v>
      </c>
      <c r="E678" s="9" t="s">
        <v>858</v>
      </c>
      <c r="F678" s="9" t="s">
        <v>840</v>
      </c>
      <c r="G678" s="9" t="s">
        <v>649</v>
      </c>
      <c r="H678" s="31">
        <v>3.0</v>
      </c>
    </row>
    <row r="679">
      <c r="A679" s="11">
        <v>46150.003792256946</v>
      </c>
      <c r="B679" s="9" t="s">
        <v>369</v>
      </c>
      <c r="C679" s="9" t="s">
        <v>870</v>
      </c>
      <c r="D679" s="9" t="s">
        <v>837</v>
      </c>
      <c r="E679" s="9" t="s">
        <v>880</v>
      </c>
      <c r="F679" s="9" t="s">
        <v>840</v>
      </c>
      <c r="G679" s="9" t="s">
        <v>649</v>
      </c>
      <c r="H679" s="31">
        <v>3.0</v>
      </c>
    </row>
    <row r="680">
      <c r="A680" s="11">
        <v>46150.00433655093</v>
      </c>
      <c r="B680" s="9" t="s">
        <v>374</v>
      </c>
      <c r="C680" s="9" t="s">
        <v>880</v>
      </c>
      <c r="D680" s="9" t="s">
        <v>837</v>
      </c>
      <c r="E680" s="9" t="s">
        <v>838</v>
      </c>
      <c r="F680" s="9" t="s">
        <v>840</v>
      </c>
      <c r="G680" s="9" t="s">
        <v>649</v>
      </c>
      <c r="H680" s="31">
        <v>2.0</v>
      </c>
    </row>
    <row r="681">
      <c r="A681" s="11">
        <v>46150.00476596065</v>
      </c>
      <c r="B681" s="9" t="s">
        <v>369</v>
      </c>
      <c r="C681" s="9" t="s">
        <v>891</v>
      </c>
      <c r="D681" s="9" t="s">
        <v>872</v>
      </c>
      <c r="E681" s="9" t="s">
        <v>887</v>
      </c>
      <c r="F681" s="9" t="s">
        <v>840</v>
      </c>
      <c r="G681" s="9" t="s">
        <v>834</v>
      </c>
      <c r="H681" s="31"/>
    </row>
    <row r="682">
      <c r="A682" s="11">
        <v>46150.01184103009</v>
      </c>
      <c r="B682" s="9" t="s">
        <v>303</v>
      </c>
      <c r="C682" s="9" t="s">
        <v>865</v>
      </c>
      <c r="D682" s="9" t="s">
        <v>878</v>
      </c>
      <c r="E682" s="9" t="s">
        <v>858</v>
      </c>
      <c r="F682" s="9" t="s">
        <v>840</v>
      </c>
      <c r="G682" s="9" t="s">
        <v>649</v>
      </c>
      <c r="H682" s="31">
        <v>4.0</v>
      </c>
    </row>
    <row r="683">
      <c r="A683" s="11">
        <v>46150.02278663195</v>
      </c>
      <c r="B683" s="9" t="s">
        <v>308</v>
      </c>
      <c r="C683" s="9" t="s">
        <v>876</v>
      </c>
      <c r="D683" s="9" t="s">
        <v>872</v>
      </c>
      <c r="E683" s="9" t="s">
        <v>882</v>
      </c>
      <c r="F683" s="9" t="s">
        <v>840</v>
      </c>
      <c r="G683" s="9" t="s">
        <v>649</v>
      </c>
      <c r="H683" s="31">
        <v>3.0</v>
      </c>
    </row>
    <row r="684">
      <c r="A684" s="11">
        <v>46150.033823564816</v>
      </c>
      <c r="B684" s="9" t="s">
        <v>59</v>
      </c>
      <c r="C684" s="9" t="s">
        <v>877</v>
      </c>
      <c r="D684" s="9" t="s">
        <v>837</v>
      </c>
      <c r="E684" s="9" t="s">
        <v>852</v>
      </c>
      <c r="F684" s="9" t="s">
        <v>840</v>
      </c>
      <c r="G684" s="9" t="s">
        <v>860</v>
      </c>
      <c r="H684" s="31"/>
    </row>
    <row r="685">
      <c r="A685" s="11">
        <v>46150.05530876157</v>
      </c>
      <c r="B685" s="9" t="s">
        <v>413</v>
      </c>
      <c r="C685" s="9" t="s">
        <v>887</v>
      </c>
      <c r="D685" s="9" t="s">
        <v>866</v>
      </c>
      <c r="E685" s="9" t="s">
        <v>856</v>
      </c>
      <c r="F685" s="9" t="s">
        <v>840</v>
      </c>
      <c r="G685" s="9" t="s">
        <v>649</v>
      </c>
      <c r="H685" s="31">
        <v>4.0</v>
      </c>
    </row>
    <row r="686">
      <c r="A686" s="11">
        <v>46150.08642482639</v>
      </c>
      <c r="B686" s="9" t="s">
        <v>323</v>
      </c>
      <c r="C686" s="9" t="s">
        <v>863</v>
      </c>
      <c r="D686" s="9" t="s">
        <v>869</v>
      </c>
      <c r="E686" s="9" t="s">
        <v>837</v>
      </c>
      <c r="F686" s="9" t="s">
        <v>840</v>
      </c>
      <c r="G686" s="9" t="s">
        <v>649</v>
      </c>
      <c r="H686" s="31">
        <v>4.0</v>
      </c>
    </row>
    <row r="687">
      <c r="A687" s="11">
        <v>46150.08737282407</v>
      </c>
      <c r="B687" s="9" t="s">
        <v>372</v>
      </c>
      <c r="C687" s="9" t="s">
        <v>883</v>
      </c>
      <c r="D687" s="9" t="s">
        <v>856</v>
      </c>
      <c r="E687" s="9" t="s">
        <v>855</v>
      </c>
      <c r="F687" s="9" t="s">
        <v>840</v>
      </c>
      <c r="G687" s="9" t="s">
        <v>834</v>
      </c>
      <c r="H687" s="31"/>
    </row>
    <row r="688">
      <c r="A688" s="11">
        <v>46150.08926689815</v>
      </c>
      <c r="B688" s="9" t="s">
        <v>372</v>
      </c>
      <c r="C688" s="9" t="s">
        <v>855</v>
      </c>
      <c r="D688" s="9" t="s">
        <v>883</v>
      </c>
      <c r="E688" s="9" t="s">
        <v>871</v>
      </c>
      <c r="F688" s="9" t="s">
        <v>840</v>
      </c>
      <c r="G688" s="9" t="s">
        <v>834</v>
      </c>
      <c r="H688" s="31"/>
    </row>
    <row r="689">
      <c r="A689" s="11">
        <v>46150.09378998843</v>
      </c>
      <c r="B689" s="9" t="s">
        <v>372</v>
      </c>
      <c r="C689" s="9" t="s">
        <v>864</v>
      </c>
      <c r="D689" s="9" t="s">
        <v>883</v>
      </c>
      <c r="E689" s="9" t="s">
        <v>871</v>
      </c>
      <c r="F689" s="9" t="s">
        <v>840</v>
      </c>
      <c r="G689" s="9" t="s">
        <v>834</v>
      </c>
      <c r="H689" s="31"/>
    </row>
    <row r="690">
      <c r="A690" s="11">
        <v>46150.09719818287</v>
      </c>
      <c r="B690" s="9" t="s">
        <v>372</v>
      </c>
      <c r="C690" s="9" t="s">
        <v>883</v>
      </c>
      <c r="D690" s="9" t="s">
        <v>866</v>
      </c>
      <c r="E690" s="9" t="s">
        <v>871</v>
      </c>
      <c r="F690" s="9" t="s">
        <v>840</v>
      </c>
      <c r="G690" s="9" t="s">
        <v>649</v>
      </c>
      <c r="H690" s="31">
        <v>3.0</v>
      </c>
    </row>
    <row r="691">
      <c r="A691" s="11">
        <v>46150.30069682871</v>
      </c>
      <c r="B691" s="9" t="s">
        <v>406</v>
      </c>
      <c r="C691" s="9" t="s">
        <v>876</v>
      </c>
      <c r="D691" s="9" t="s">
        <v>900</v>
      </c>
      <c r="E691" s="9" t="s">
        <v>880</v>
      </c>
      <c r="F691" s="9" t="s">
        <v>840</v>
      </c>
      <c r="G691" s="9" t="s">
        <v>649</v>
      </c>
      <c r="H691" s="31">
        <v>4.0</v>
      </c>
    </row>
    <row r="692">
      <c r="A692" s="11">
        <v>46150.34095778935</v>
      </c>
      <c r="B692" s="9" t="s">
        <v>172</v>
      </c>
      <c r="C692" s="9" t="s">
        <v>868</v>
      </c>
      <c r="D692" s="9" t="s">
        <v>839</v>
      </c>
      <c r="E692" s="9" t="s">
        <v>856</v>
      </c>
      <c r="F692" s="9" t="s">
        <v>840</v>
      </c>
      <c r="G692" s="9" t="s">
        <v>649</v>
      </c>
      <c r="H692" s="31">
        <v>4.0</v>
      </c>
    </row>
    <row r="693">
      <c r="A693" s="11">
        <v>46150.36575157408</v>
      </c>
      <c r="B693" s="9" t="s">
        <v>351</v>
      </c>
      <c r="C693" s="9" t="s">
        <v>867</v>
      </c>
      <c r="D693" s="9" t="s">
        <v>877</v>
      </c>
      <c r="E693" s="9" t="s">
        <v>870</v>
      </c>
      <c r="F693" s="9" t="s">
        <v>840</v>
      </c>
      <c r="G693" s="9" t="s">
        <v>834</v>
      </c>
      <c r="H693" s="31"/>
    </row>
    <row r="694">
      <c r="A694" s="11">
        <v>46150.36674038194</v>
      </c>
      <c r="B694" s="9" t="s">
        <v>351</v>
      </c>
      <c r="C694" s="9" t="s">
        <v>853</v>
      </c>
      <c r="D694" s="9" t="s">
        <v>877</v>
      </c>
      <c r="E694" s="9" t="s">
        <v>880</v>
      </c>
      <c r="F694" s="9" t="s">
        <v>840</v>
      </c>
      <c r="G694" s="9" t="s">
        <v>649</v>
      </c>
      <c r="H694" s="31">
        <v>2.0</v>
      </c>
    </row>
    <row r="695">
      <c r="A695" s="11">
        <v>46150.422147523146</v>
      </c>
      <c r="B695" s="9" t="s">
        <v>300</v>
      </c>
      <c r="C695" s="9" t="s">
        <v>872</v>
      </c>
      <c r="D695" s="9" t="s">
        <v>880</v>
      </c>
      <c r="E695" s="9" t="s">
        <v>853</v>
      </c>
      <c r="F695" s="9" t="s">
        <v>840</v>
      </c>
      <c r="G695" s="9" t="s">
        <v>649</v>
      </c>
      <c r="H695" s="31">
        <v>4.0</v>
      </c>
    </row>
    <row r="696">
      <c r="A696" s="11">
        <v>46150.43201208333</v>
      </c>
      <c r="B696" s="9" t="s">
        <v>351</v>
      </c>
      <c r="C696" s="9" t="s">
        <v>900</v>
      </c>
      <c r="D696" s="9" t="s">
        <v>880</v>
      </c>
      <c r="E696" s="9" t="s">
        <v>853</v>
      </c>
      <c r="F696" s="9" t="s">
        <v>840</v>
      </c>
      <c r="G696" s="9" t="s">
        <v>834</v>
      </c>
      <c r="H696" s="31"/>
    </row>
    <row r="697">
      <c r="A697" s="11">
        <v>46150.43291546297</v>
      </c>
      <c r="B697" s="9" t="s">
        <v>351</v>
      </c>
      <c r="C697" s="9" t="s">
        <v>900</v>
      </c>
      <c r="D697" s="9" t="s">
        <v>872</v>
      </c>
      <c r="E697" s="9" t="s">
        <v>867</v>
      </c>
      <c r="F697" s="9" t="s">
        <v>840</v>
      </c>
      <c r="G697" s="9" t="s">
        <v>649</v>
      </c>
      <c r="H697" s="31">
        <v>3.0</v>
      </c>
    </row>
    <row r="698">
      <c r="A698" s="11">
        <v>46150.4332262963</v>
      </c>
      <c r="B698" s="9" t="s">
        <v>103</v>
      </c>
      <c r="C698" s="9" t="s">
        <v>837</v>
      </c>
      <c r="D698" s="9" t="s">
        <v>852</v>
      </c>
      <c r="E698" s="9" t="s">
        <v>878</v>
      </c>
      <c r="F698" s="9" t="s">
        <v>840</v>
      </c>
      <c r="G698" s="9" t="s">
        <v>649</v>
      </c>
      <c r="H698" s="31">
        <v>2.0</v>
      </c>
    </row>
    <row r="699">
      <c r="A699" s="11">
        <v>46150.433342442135</v>
      </c>
      <c r="B699" s="9" t="s">
        <v>421</v>
      </c>
      <c r="C699" s="9" t="s">
        <v>900</v>
      </c>
      <c r="D699" s="9" t="s">
        <v>882</v>
      </c>
      <c r="E699" s="9" t="s">
        <v>868</v>
      </c>
      <c r="F699" s="9" t="s">
        <v>840</v>
      </c>
      <c r="G699" s="9" t="s">
        <v>649</v>
      </c>
      <c r="H699" s="31">
        <v>2.0</v>
      </c>
    </row>
    <row r="700">
      <c r="A700" s="11">
        <v>46150.44660962963</v>
      </c>
      <c r="B700" s="9" t="s">
        <v>158</v>
      </c>
      <c r="C700" s="9" t="s">
        <v>866</v>
      </c>
      <c r="D700" s="9" t="s">
        <v>887</v>
      </c>
      <c r="E700" s="9" t="s">
        <v>863</v>
      </c>
      <c r="F700" s="9" t="s">
        <v>840</v>
      </c>
      <c r="G700" s="9" t="s">
        <v>649</v>
      </c>
      <c r="H700" s="31">
        <v>3.0</v>
      </c>
    </row>
    <row r="701">
      <c r="A701" s="11">
        <v>46150.45104302083</v>
      </c>
      <c r="B701" s="9" t="s">
        <v>131</v>
      </c>
      <c r="C701" s="9" t="s">
        <v>869</v>
      </c>
      <c r="D701" s="9" t="s">
        <v>864</v>
      </c>
      <c r="E701" s="9" t="s">
        <v>865</v>
      </c>
      <c r="F701" s="9" t="s">
        <v>840</v>
      </c>
      <c r="G701" s="9" t="s">
        <v>649</v>
      </c>
      <c r="H701" s="31">
        <v>3.0</v>
      </c>
    </row>
    <row r="702">
      <c r="A702" s="11">
        <v>46150.508687430556</v>
      </c>
      <c r="B702" s="9" t="s">
        <v>367</v>
      </c>
      <c r="C702" s="9" t="s">
        <v>861</v>
      </c>
      <c r="D702" s="9" t="s">
        <v>858</v>
      </c>
      <c r="E702" s="9" t="s">
        <v>837</v>
      </c>
      <c r="F702" s="9" t="s">
        <v>840</v>
      </c>
      <c r="G702" s="9" t="s">
        <v>649</v>
      </c>
      <c r="H702" s="31">
        <v>2.0</v>
      </c>
    </row>
    <row r="703">
      <c r="A703" s="11">
        <v>46150.519935185184</v>
      </c>
      <c r="B703" s="9" t="s">
        <v>195</v>
      </c>
      <c r="C703" s="9" t="s">
        <v>852</v>
      </c>
      <c r="D703" s="9" t="s">
        <v>872</v>
      </c>
      <c r="E703" s="9" t="s">
        <v>837</v>
      </c>
      <c r="F703" s="9" t="s">
        <v>840</v>
      </c>
      <c r="G703" s="9" t="s">
        <v>649</v>
      </c>
      <c r="H703" s="31">
        <v>2.0</v>
      </c>
    </row>
    <row r="704">
      <c r="A704" s="11">
        <v>46150.53128420139</v>
      </c>
      <c r="B704" s="9" t="s">
        <v>324</v>
      </c>
      <c r="C704" s="9" t="s">
        <v>880</v>
      </c>
      <c r="D704" s="9" t="s">
        <v>861</v>
      </c>
      <c r="E704" s="9" t="s">
        <v>891</v>
      </c>
      <c r="F704" s="9" t="s">
        <v>840</v>
      </c>
      <c r="G704" s="9" t="s">
        <v>649</v>
      </c>
      <c r="H704" s="31">
        <v>2.0</v>
      </c>
    </row>
    <row r="705">
      <c r="A705" s="11">
        <v>46150.54076525463</v>
      </c>
      <c r="B705" s="9" t="s">
        <v>173</v>
      </c>
      <c r="C705" s="9" t="s">
        <v>889</v>
      </c>
      <c r="D705" s="9" t="s">
        <v>881</v>
      </c>
      <c r="E705" s="9" t="s">
        <v>868</v>
      </c>
      <c r="F705" s="9" t="s">
        <v>840</v>
      </c>
      <c r="G705" s="9" t="s">
        <v>834</v>
      </c>
      <c r="H705" s="31"/>
    </row>
    <row r="706">
      <c r="A706" s="11">
        <v>46150.54111847222</v>
      </c>
      <c r="B706" s="9" t="s">
        <v>157</v>
      </c>
      <c r="C706" s="9" t="s">
        <v>854</v>
      </c>
      <c r="D706" s="9" t="s">
        <v>882</v>
      </c>
      <c r="E706" s="9" t="s">
        <v>861</v>
      </c>
      <c r="F706" s="9" t="s">
        <v>840</v>
      </c>
      <c r="G706" s="9" t="s">
        <v>649</v>
      </c>
      <c r="H706" s="31">
        <v>3.0</v>
      </c>
    </row>
    <row r="707">
      <c r="A707" s="11">
        <v>46150.547896874996</v>
      </c>
      <c r="B707" s="9" t="s">
        <v>313</v>
      </c>
      <c r="C707" s="9" t="s">
        <v>838</v>
      </c>
      <c r="D707" s="9" t="s">
        <v>889</v>
      </c>
      <c r="E707" s="9" t="s">
        <v>864</v>
      </c>
      <c r="F707" s="9" t="s">
        <v>840</v>
      </c>
      <c r="G707" s="9" t="s">
        <v>649</v>
      </c>
      <c r="H707" s="31">
        <v>4.0</v>
      </c>
    </row>
    <row r="708">
      <c r="A708" s="11">
        <v>46150.555560671295</v>
      </c>
      <c r="B708" s="9" t="s">
        <v>362</v>
      </c>
      <c r="C708" s="9" t="s">
        <v>864</v>
      </c>
      <c r="D708" s="9" t="s">
        <v>869</v>
      </c>
      <c r="E708" s="9" t="s">
        <v>865</v>
      </c>
      <c r="F708" s="9" t="s">
        <v>840</v>
      </c>
      <c r="G708" s="9" t="s">
        <v>834</v>
      </c>
      <c r="H708" s="31"/>
    </row>
    <row r="709">
      <c r="A709" s="11">
        <v>46150.556894594905</v>
      </c>
      <c r="B709" s="9" t="s">
        <v>362</v>
      </c>
      <c r="C709" s="9" t="s">
        <v>878</v>
      </c>
      <c r="D709" s="9" t="s">
        <v>877</v>
      </c>
      <c r="E709" s="9" t="s">
        <v>867</v>
      </c>
      <c r="F709" s="9" t="s">
        <v>840</v>
      </c>
      <c r="G709" s="9" t="s">
        <v>649</v>
      </c>
      <c r="H709" s="31">
        <v>2.0</v>
      </c>
    </row>
    <row r="710">
      <c r="A710" s="11">
        <v>46150.57348951389</v>
      </c>
      <c r="B710" s="9" t="s">
        <v>371</v>
      </c>
      <c r="C710" s="9" t="s">
        <v>871</v>
      </c>
      <c r="D710" s="9" t="s">
        <v>853</v>
      </c>
      <c r="E710" s="9" t="s">
        <v>856</v>
      </c>
      <c r="F710" s="9" t="s">
        <v>840</v>
      </c>
      <c r="G710" s="9" t="s">
        <v>649</v>
      </c>
      <c r="H710" s="31">
        <v>3.0</v>
      </c>
    </row>
    <row r="711">
      <c r="A711" s="11">
        <v>46150.59739675926</v>
      </c>
      <c r="B711" s="9" t="s">
        <v>246</v>
      </c>
      <c r="C711" s="9" t="s">
        <v>891</v>
      </c>
      <c r="D711" s="9" t="s">
        <v>853</v>
      </c>
      <c r="E711" s="9" t="s">
        <v>874</v>
      </c>
      <c r="F711" s="9" t="s">
        <v>840</v>
      </c>
      <c r="G711" s="9" t="s">
        <v>649</v>
      </c>
      <c r="H711" s="31">
        <v>3.0</v>
      </c>
    </row>
    <row r="712">
      <c r="A712" s="11">
        <v>46150.61125136574</v>
      </c>
      <c r="B712" s="9" t="s">
        <v>304</v>
      </c>
      <c r="C712" s="9" t="s">
        <v>855</v>
      </c>
      <c r="D712" s="9" t="s">
        <v>839</v>
      </c>
      <c r="E712" s="9" t="s">
        <v>863</v>
      </c>
      <c r="F712" s="9" t="s">
        <v>840</v>
      </c>
      <c r="H712" s="31">
        <v>3.0</v>
      </c>
    </row>
    <row r="713">
      <c r="A713" s="11">
        <v>46150.613359062496</v>
      </c>
      <c r="B713" s="9" t="s">
        <v>935</v>
      </c>
      <c r="C713" s="9" t="s">
        <v>876</v>
      </c>
      <c r="D713" s="9" t="s">
        <v>863</v>
      </c>
      <c r="E713" s="9" t="s">
        <v>862</v>
      </c>
      <c r="F713" s="9" t="s">
        <v>840</v>
      </c>
      <c r="G713" s="9" t="s">
        <v>834</v>
      </c>
      <c r="H713" s="31"/>
    </row>
    <row r="714">
      <c r="A714" s="11">
        <v>46150.619092650464</v>
      </c>
      <c r="B714" s="9" t="s">
        <v>935</v>
      </c>
      <c r="C714" s="9" t="s">
        <v>876</v>
      </c>
      <c r="D714" s="9" t="s">
        <v>854</v>
      </c>
      <c r="E714" s="9" t="s">
        <v>868</v>
      </c>
      <c r="F714" s="9" t="s">
        <v>840</v>
      </c>
      <c r="G714" s="9" t="s">
        <v>649</v>
      </c>
      <c r="H714" s="31">
        <v>2.0</v>
      </c>
    </row>
    <row r="715">
      <c r="A715" s="11">
        <v>46150.63553679398</v>
      </c>
      <c r="B715" s="9" t="s">
        <v>374</v>
      </c>
      <c r="C715" s="9" t="s">
        <v>896</v>
      </c>
      <c r="D715" s="9" t="s">
        <v>861</v>
      </c>
      <c r="E715" s="9" t="s">
        <v>890</v>
      </c>
      <c r="F715" s="9" t="s">
        <v>840</v>
      </c>
      <c r="G715" s="9" t="s">
        <v>649</v>
      </c>
      <c r="H715" s="31">
        <v>3.0</v>
      </c>
    </row>
    <row r="716">
      <c r="A716" s="11">
        <v>46150.66297960648</v>
      </c>
      <c r="B716" s="9" t="s">
        <v>59</v>
      </c>
      <c r="C716" s="9" t="s">
        <v>861</v>
      </c>
      <c r="D716" s="9" t="s">
        <v>852</v>
      </c>
      <c r="E716" s="9" t="s">
        <v>889</v>
      </c>
      <c r="F716" s="9" t="s">
        <v>840</v>
      </c>
      <c r="H716" s="31">
        <v>2.0</v>
      </c>
    </row>
    <row r="717">
      <c r="A717" s="11">
        <v>46150.69226548611</v>
      </c>
      <c r="B717" s="9" t="s">
        <v>424</v>
      </c>
      <c r="C717" s="9" t="s">
        <v>882</v>
      </c>
      <c r="D717" s="9" t="s">
        <v>868</v>
      </c>
      <c r="E717" s="9" t="s">
        <v>880</v>
      </c>
      <c r="F717" s="9" t="s">
        <v>840</v>
      </c>
      <c r="G717" s="9" t="s">
        <v>649</v>
      </c>
      <c r="H717" s="31">
        <v>3.0</v>
      </c>
    </row>
    <row r="718">
      <c r="A718" s="11">
        <v>46150.712655625</v>
      </c>
      <c r="B718" s="9" t="s">
        <v>71</v>
      </c>
      <c r="C718" s="9" t="s">
        <v>895</v>
      </c>
      <c r="D718" s="9" t="s">
        <v>869</v>
      </c>
      <c r="E718" s="9" t="s">
        <v>866</v>
      </c>
      <c r="F718" s="9" t="s">
        <v>840</v>
      </c>
      <c r="H718" s="31">
        <v>3.0</v>
      </c>
    </row>
    <row r="719">
      <c r="A719" s="11">
        <v>46150.721910127315</v>
      </c>
      <c r="B719" s="9" t="s">
        <v>109</v>
      </c>
      <c r="C719" s="9" t="s">
        <v>870</v>
      </c>
      <c r="D719" s="9" t="s">
        <v>866</v>
      </c>
      <c r="E719" s="9" t="s">
        <v>895</v>
      </c>
      <c r="F719" s="9" t="s">
        <v>840</v>
      </c>
      <c r="G719" s="9" t="s">
        <v>649</v>
      </c>
      <c r="H719" s="31">
        <v>4.0</v>
      </c>
    </row>
    <row r="720">
      <c r="A720" s="11">
        <v>46150.72280150463</v>
      </c>
      <c r="B720" s="9" t="s">
        <v>248</v>
      </c>
      <c r="C720" s="9" t="s">
        <v>864</v>
      </c>
      <c r="D720" s="9" t="s">
        <v>866</v>
      </c>
      <c r="E720" s="9" t="s">
        <v>900</v>
      </c>
      <c r="F720" s="9" t="s">
        <v>840</v>
      </c>
      <c r="G720" s="9" t="s">
        <v>649</v>
      </c>
      <c r="H720" s="31">
        <v>4.0</v>
      </c>
    </row>
    <row r="721">
      <c r="A721" s="11">
        <v>46150.72451108796</v>
      </c>
      <c r="B721" s="9" t="s">
        <v>88</v>
      </c>
      <c r="C721" s="9" t="s">
        <v>861</v>
      </c>
      <c r="D721" s="9" t="s">
        <v>890</v>
      </c>
      <c r="E721" s="9" t="s">
        <v>869</v>
      </c>
      <c r="F721" s="9" t="s">
        <v>840</v>
      </c>
      <c r="H721" s="31">
        <v>3.0</v>
      </c>
    </row>
    <row r="722">
      <c r="A722" s="11">
        <v>46150.73093913194</v>
      </c>
      <c r="B722" s="9" t="s">
        <v>340</v>
      </c>
      <c r="C722" s="9" t="s">
        <v>852</v>
      </c>
      <c r="D722" s="9" t="s">
        <v>865</v>
      </c>
      <c r="E722" s="9" t="s">
        <v>877</v>
      </c>
      <c r="F722" s="9" t="s">
        <v>840</v>
      </c>
      <c r="G722" s="9" t="s">
        <v>834</v>
      </c>
      <c r="H722" s="31"/>
    </row>
    <row r="723">
      <c r="A723" s="11">
        <v>46150.732804375</v>
      </c>
      <c r="B723" s="9" t="s">
        <v>340</v>
      </c>
      <c r="C723" s="9" t="s">
        <v>864</v>
      </c>
      <c r="D723" s="9" t="s">
        <v>878</v>
      </c>
      <c r="E723" s="9" t="s">
        <v>852</v>
      </c>
      <c r="F723" s="9" t="s">
        <v>840</v>
      </c>
      <c r="G723" s="9" t="s">
        <v>649</v>
      </c>
      <c r="H723" s="31">
        <v>2.0</v>
      </c>
    </row>
    <row r="724">
      <c r="A724" s="11">
        <v>46150.73384998842</v>
      </c>
      <c r="B724" s="9" t="s">
        <v>125</v>
      </c>
      <c r="C724" s="9" t="s">
        <v>876</v>
      </c>
      <c r="D724" s="9" t="s">
        <v>863</v>
      </c>
      <c r="E724" s="9" t="s">
        <v>887</v>
      </c>
      <c r="F724" s="9" t="s">
        <v>840</v>
      </c>
      <c r="G724" s="9" t="s">
        <v>649</v>
      </c>
      <c r="H724" s="31">
        <v>3.0</v>
      </c>
    </row>
    <row r="725">
      <c r="A725" s="11">
        <v>46150.735894259255</v>
      </c>
      <c r="B725" s="9" t="s">
        <v>95</v>
      </c>
      <c r="C725" s="9" t="s">
        <v>890</v>
      </c>
      <c r="D725" s="9" t="s">
        <v>861</v>
      </c>
      <c r="E725" s="9" t="s">
        <v>837</v>
      </c>
      <c r="F725" s="9" t="s">
        <v>840</v>
      </c>
      <c r="G725" s="9" t="s">
        <v>649</v>
      </c>
      <c r="H725" s="31">
        <v>3.0</v>
      </c>
    </row>
    <row r="726">
      <c r="A726" s="11">
        <v>46150.738347384264</v>
      </c>
      <c r="B726" s="9" t="s">
        <v>120</v>
      </c>
      <c r="C726" s="9" t="s">
        <v>882</v>
      </c>
      <c r="D726" s="9" t="s">
        <v>883</v>
      </c>
      <c r="E726" s="9" t="s">
        <v>868</v>
      </c>
      <c r="F726" s="9" t="s">
        <v>840</v>
      </c>
      <c r="G726" s="9" t="s">
        <v>649</v>
      </c>
      <c r="H726" s="31">
        <v>3.0</v>
      </c>
    </row>
    <row r="727">
      <c r="A727" s="11">
        <v>46150.75258929398</v>
      </c>
      <c r="B727" s="9" t="s">
        <v>249</v>
      </c>
      <c r="C727" s="9" t="s">
        <v>852</v>
      </c>
      <c r="D727" s="9" t="s">
        <v>880</v>
      </c>
      <c r="E727" s="9" t="s">
        <v>864</v>
      </c>
      <c r="F727" s="9" t="s">
        <v>840</v>
      </c>
      <c r="G727" s="9" t="s">
        <v>649</v>
      </c>
      <c r="H727" s="31">
        <v>3.0</v>
      </c>
    </row>
    <row r="728">
      <c r="A728" s="11">
        <v>46150.7615775</v>
      </c>
      <c r="B728" s="9" t="s">
        <v>367</v>
      </c>
      <c r="C728" s="9" t="s">
        <v>887</v>
      </c>
      <c r="D728" s="9" t="s">
        <v>853</v>
      </c>
      <c r="E728" s="9" t="s">
        <v>867</v>
      </c>
      <c r="F728" s="9" t="s">
        <v>840</v>
      </c>
      <c r="G728" s="9" t="s">
        <v>649</v>
      </c>
      <c r="H728" s="31">
        <v>3.0</v>
      </c>
    </row>
    <row r="729">
      <c r="A729" s="11">
        <v>46150.76491362268</v>
      </c>
      <c r="B729" s="9" t="s">
        <v>163</v>
      </c>
      <c r="C729" s="9" t="s">
        <v>854</v>
      </c>
      <c r="D729" s="9" t="s">
        <v>853</v>
      </c>
      <c r="E729" s="9" t="s">
        <v>882</v>
      </c>
      <c r="F729" s="9" t="s">
        <v>840</v>
      </c>
      <c r="G729" s="9" t="s">
        <v>649</v>
      </c>
      <c r="H729" s="31">
        <v>3.0</v>
      </c>
    </row>
    <row r="730">
      <c r="A730" s="11">
        <v>46150.777027337965</v>
      </c>
      <c r="B730" s="9" t="s">
        <v>472</v>
      </c>
      <c r="C730" s="9" t="s">
        <v>859</v>
      </c>
      <c r="D730" s="9" t="s">
        <v>867</v>
      </c>
      <c r="E730" s="9" t="s">
        <v>883</v>
      </c>
      <c r="F730" s="9" t="s">
        <v>840</v>
      </c>
      <c r="G730" s="9" t="s">
        <v>834</v>
      </c>
      <c r="H730" s="31"/>
    </row>
    <row r="731">
      <c r="A731" s="11">
        <v>46150.782496597225</v>
      </c>
      <c r="B731" s="9" t="s">
        <v>71</v>
      </c>
      <c r="C731" s="9" t="s">
        <v>869</v>
      </c>
      <c r="D731" s="9" t="s">
        <v>868</v>
      </c>
      <c r="E731" s="9" t="s">
        <v>838</v>
      </c>
      <c r="F731" s="9" t="s">
        <v>840</v>
      </c>
      <c r="G731" s="9" t="s">
        <v>834</v>
      </c>
      <c r="H731" s="31"/>
    </row>
    <row r="732">
      <c r="A732" s="11">
        <v>46150.784473761574</v>
      </c>
      <c r="B732" s="9" t="s">
        <v>71</v>
      </c>
      <c r="C732" s="9" t="s">
        <v>868</v>
      </c>
      <c r="D732" s="9" t="s">
        <v>839</v>
      </c>
      <c r="E732" s="9" t="s">
        <v>838</v>
      </c>
      <c r="F732" s="9" t="s">
        <v>840</v>
      </c>
      <c r="G732" s="9" t="s">
        <v>860</v>
      </c>
      <c r="H732" s="31"/>
    </row>
    <row r="733">
      <c r="A733" s="11">
        <v>46150.789812766205</v>
      </c>
      <c r="B733" s="9" t="s">
        <v>337</v>
      </c>
      <c r="C733" s="9" t="s">
        <v>877</v>
      </c>
      <c r="D733" s="9" t="s">
        <v>859</v>
      </c>
      <c r="E733" s="9" t="s">
        <v>867</v>
      </c>
      <c r="F733" s="9" t="s">
        <v>840</v>
      </c>
      <c r="G733" s="9" t="s">
        <v>649</v>
      </c>
      <c r="H733" s="31">
        <v>4.0</v>
      </c>
    </row>
    <row r="734">
      <c r="A734" s="11">
        <v>46150.792412800925</v>
      </c>
      <c r="B734" s="9" t="s">
        <v>248</v>
      </c>
      <c r="C734" s="9" t="s">
        <v>875</v>
      </c>
      <c r="D734" s="9" t="s">
        <v>838</v>
      </c>
      <c r="E734" s="9" t="s">
        <v>881</v>
      </c>
      <c r="F734" s="9" t="s">
        <v>840</v>
      </c>
      <c r="G734" s="9" t="s">
        <v>649</v>
      </c>
      <c r="H734" s="31">
        <v>5.0</v>
      </c>
    </row>
    <row r="735">
      <c r="A735" s="11">
        <v>46150.813436331024</v>
      </c>
      <c r="B735" s="9" t="s">
        <v>110</v>
      </c>
      <c r="C735" s="9" t="s">
        <v>854</v>
      </c>
      <c r="D735" s="9" t="s">
        <v>872</v>
      </c>
      <c r="E735" s="9" t="s">
        <v>856</v>
      </c>
      <c r="F735" s="9" t="s">
        <v>840</v>
      </c>
      <c r="H735" s="31">
        <v>2.0</v>
      </c>
    </row>
    <row r="736">
      <c r="A736" s="11">
        <v>46150.82804960648</v>
      </c>
      <c r="B736" s="9" t="s">
        <v>472</v>
      </c>
      <c r="C736" s="9" t="s">
        <v>868</v>
      </c>
      <c r="D736" s="9" t="s">
        <v>856</v>
      </c>
      <c r="E736" s="9" t="s">
        <v>867</v>
      </c>
      <c r="F736" s="9" t="s">
        <v>840</v>
      </c>
      <c r="G736" s="9" t="s">
        <v>649</v>
      </c>
      <c r="H736" s="31">
        <v>3.0</v>
      </c>
    </row>
    <row r="737">
      <c r="A737" s="11">
        <v>46150.83284890046</v>
      </c>
      <c r="B737" s="9" t="s">
        <v>183</v>
      </c>
      <c r="C737" s="9" t="s">
        <v>858</v>
      </c>
      <c r="D737" s="9" t="s">
        <v>880</v>
      </c>
      <c r="E737" s="9" t="s">
        <v>870</v>
      </c>
      <c r="F737" s="9" t="s">
        <v>840</v>
      </c>
      <c r="G737" s="9" t="s">
        <v>649</v>
      </c>
      <c r="H737" s="31">
        <v>3.0</v>
      </c>
    </row>
    <row r="738">
      <c r="A738" s="11">
        <v>46150.83986929398</v>
      </c>
      <c r="B738" s="9" t="s">
        <v>103</v>
      </c>
      <c r="C738" s="9" t="s">
        <v>861</v>
      </c>
      <c r="D738" s="9" t="s">
        <v>869</v>
      </c>
      <c r="E738" s="9" t="s">
        <v>857</v>
      </c>
      <c r="F738" s="9" t="s">
        <v>840</v>
      </c>
      <c r="G738" s="9" t="s">
        <v>649</v>
      </c>
      <c r="H738" s="31">
        <v>3.0</v>
      </c>
    </row>
    <row r="739">
      <c r="A739" s="11">
        <v>46150.84258466435</v>
      </c>
      <c r="B739" s="9" t="s">
        <v>163</v>
      </c>
      <c r="C739" s="9" t="s">
        <v>858</v>
      </c>
      <c r="D739" s="9" t="s">
        <v>880</v>
      </c>
      <c r="E739" s="9" t="s">
        <v>875</v>
      </c>
      <c r="F739" s="9" t="s">
        <v>840</v>
      </c>
      <c r="G739" s="9" t="s">
        <v>649</v>
      </c>
      <c r="H739" s="31">
        <v>4.0</v>
      </c>
    </row>
    <row r="740">
      <c r="A740" s="11">
        <v>46150.86025982639</v>
      </c>
      <c r="B740" s="9" t="s">
        <v>368</v>
      </c>
      <c r="C740" s="9" t="s">
        <v>889</v>
      </c>
      <c r="D740" s="9" t="s">
        <v>857</v>
      </c>
      <c r="E740" s="9" t="s">
        <v>896</v>
      </c>
      <c r="F740" s="9" t="s">
        <v>840</v>
      </c>
      <c r="G740" s="9" t="s">
        <v>649</v>
      </c>
      <c r="H740" s="31">
        <v>3.0</v>
      </c>
    </row>
    <row r="741">
      <c r="A741" s="11">
        <v>46150.87212701389</v>
      </c>
      <c r="B741" s="9" t="s">
        <v>231</v>
      </c>
      <c r="C741" s="9" t="s">
        <v>864</v>
      </c>
      <c r="D741" s="9" t="s">
        <v>865</v>
      </c>
      <c r="E741" s="9" t="s">
        <v>838</v>
      </c>
      <c r="F741" s="9" t="s">
        <v>840</v>
      </c>
      <c r="G741" s="9" t="s">
        <v>649</v>
      </c>
      <c r="H741" s="31">
        <v>4.0</v>
      </c>
    </row>
    <row r="742">
      <c r="A742" s="11">
        <v>46150.883198344905</v>
      </c>
      <c r="B742" s="9" t="s">
        <v>239</v>
      </c>
      <c r="C742" s="9" t="s">
        <v>895</v>
      </c>
      <c r="D742" s="9" t="s">
        <v>868</v>
      </c>
      <c r="E742" s="9" t="s">
        <v>872</v>
      </c>
      <c r="F742" s="9" t="s">
        <v>840</v>
      </c>
      <c r="G742" s="9" t="s">
        <v>649</v>
      </c>
      <c r="H742" s="31">
        <v>4.0</v>
      </c>
    </row>
    <row r="743">
      <c r="A743" s="11">
        <v>46150.88382449074</v>
      </c>
      <c r="B743" s="9" t="s">
        <v>267</v>
      </c>
      <c r="C743" s="9" t="s">
        <v>839</v>
      </c>
      <c r="D743" s="9" t="s">
        <v>868</v>
      </c>
      <c r="E743" s="9" t="s">
        <v>852</v>
      </c>
      <c r="F743" s="9" t="s">
        <v>840</v>
      </c>
      <c r="G743" s="9" t="s">
        <v>649</v>
      </c>
      <c r="H743" s="31">
        <v>3.0</v>
      </c>
    </row>
    <row r="744">
      <c r="A744" s="11">
        <v>46150.91953241898</v>
      </c>
      <c r="B744" s="9" t="s">
        <v>888</v>
      </c>
      <c r="C744" s="9" t="s">
        <v>881</v>
      </c>
      <c r="D744" s="9" t="s">
        <v>877</v>
      </c>
      <c r="E744" s="9" t="s">
        <v>887</v>
      </c>
      <c r="F744" s="9" t="s">
        <v>840</v>
      </c>
      <c r="G744" s="9" t="s">
        <v>649</v>
      </c>
      <c r="H744" s="31">
        <v>3.0</v>
      </c>
    </row>
    <row r="745">
      <c r="A745" s="11">
        <v>46150.92572863426</v>
      </c>
      <c r="B745" s="9" t="s">
        <v>151</v>
      </c>
      <c r="C745" s="9" t="s">
        <v>881</v>
      </c>
      <c r="D745" s="9" t="s">
        <v>880</v>
      </c>
      <c r="E745" s="9" t="s">
        <v>869</v>
      </c>
      <c r="F745" s="9" t="s">
        <v>840</v>
      </c>
      <c r="G745" s="9" t="s">
        <v>649</v>
      </c>
      <c r="H745" s="31">
        <v>2.0</v>
      </c>
    </row>
    <row r="746">
      <c r="A746" s="11">
        <v>46150.93428269676</v>
      </c>
      <c r="B746" s="9" t="s">
        <v>77</v>
      </c>
      <c r="C746" s="9" t="s">
        <v>837</v>
      </c>
      <c r="D746" s="9" t="s">
        <v>864</v>
      </c>
      <c r="E746" s="9" t="s">
        <v>868</v>
      </c>
      <c r="F746" s="9" t="s">
        <v>840</v>
      </c>
      <c r="G746" s="9" t="s">
        <v>649</v>
      </c>
      <c r="H746" s="31">
        <v>4.0</v>
      </c>
    </row>
    <row r="747">
      <c r="A747" s="11">
        <v>46150.9447431713</v>
      </c>
      <c r="B747" s="9" t="s">
        <v>128</v>
      </c>
      <c r="C747" s="9" t="s">
        <v>874</v>
      </c>
      <c r="D747" s="9" t="s">
        <v>859</v>
      </c>
      <c r="E747" s="9" t="s">
        <v>882</v>
      </c>
      <c r="F747" s="9" t="s">
        <v>840</v>
      </c>
      <c r="G747" s="9" t="s">
        <v>649</v>
      </c>
      <c r="H747" s="31">
        <v>4.0</v>
      </c>
    </row>
    <row r="748">
      <c r="A748" s="11">
        <v>46150.95488189815</v>
      </c>
      <c r="B748" s="9" t="s">
        <v>342</v>
      </c>
      <c r="C748" s="9" t="s">
        <v>869</v>
      </c>
      <c r="D748" s="9" t="s">
        <v>864</v>
      </c>
      <c r="E748" s="9" t="s">
        <v>865</v>
      </c>
      <c r="F748" s="9" t="s">
        <v>840</v>
      </c>
      <c r="H748" s="31">
        <v>2.0</v>
      </c>
    </row>
    <row r="749">
      <c r="A749" s="11">
        <v>46150.96722056713</v>
      </c>
      <c r="B749" s="9" t="s">
        <v>274</v>
      </c>
      <c r="C749" s="9" t="s">
        <v>858</v>
      </c>
      <c r="D749" s="9" t="s">
        <v>859</v>
      </c>
      <c r="E749" s="9" t="s">
        <v>891</v>
      </c>
      <c r="F749" s="9" t="s">
        <v>840</v>
      </c>
      <c r="G749" s="9" t="s">
        <v>649</v>
      </c>
      <c r="H749" s="31">
        <v>4.0</v>
      </c>
    </row>
    <row r="750">
      <c r="A750" s="11">
        <v>46150.96914796296</v>
      </c>
      <c r="B750" s="9" t="s">
        <v>345</v>
      </c>
      <c r="C750" s="9" t="s">
        <v>877</v>
      </c>
      <c r="D750" s="9" t="s">
        <v>864</v>
      </c>
      <c r="E750" s="9" t="s">
        <v>868</v>
      </c>
      <c r="F750" s="9" t="s">
        <v>840</v>
      </c>
      <c r="G750" s="9" t="s">
        <v>834</v>
      </c>
      <c r="H750" s="31"/>
    </row>
    <row r="751">
      <c r="A751" s="11">
        <v>46150.970308460644</v>
      </c>
      <c r="B751" s="9" t="s">
        <v>345</v>
      </c>
      <c r="C751" s="9" t="s">
        <v>864</v>
      </c>
      <c r="D751" s="9" t="s">
        <v>877</v>
      </c>
      <c r="E751" s="9" t="s">
        <v>839</v>
      </c>
      <c r="F751" s="9" t="s">
        <v>840</v>
      </c>
      <c r="G751" s="9" t="s">
        <v>649</v>
      </c>
      <c r="H751" s="31">
        <v>3.0</v>
      </c>
    </row>
    <row r="752">
      <c r="A752" s="11">
        <v>46150.9768190162</v>
      </c>
      <c r="B752" s="9" t="s">
        <v>169</v>
      </c>
      <c r="C752" s="9" t="s">
        <v>869</v>
      </c>
      <c r="D752" s="9" t="s">
        <v>856</v>
      </c>
      <c r="E752" s="9" t="s">
        <v>871</v>
      </c>
      <c r="F752" s="9" t="s">
        <v>840</v>
      </c>
      <c r="G752" s="9" t="s">
        <v>649</v>
      </c>
      <c r="H752" s="31">
        <v>4.0</v>
      </c>
    </row>
    <row r="753">
      <c r="A753" s="11">
        <v>46150.98902138889</v>
      </c>
      <c r="B753" s="9" t="s">
        <v>396</v>
      </c>
      <c r="C753" s="9" t="s">
        <v>839</v>
      </c>
      <c r="D753" s="9" t="s">
        <v>868</v>
      </c>
      <c r="E753" s="9" t="s">
        <v>900</v>
      </c>
      <c r="F753" s="9" t="s">
        <v>840</v>
      </c>
      <c r="G753" s="9" t="s">
        <v>649</v>
      </c>
      <c r="H753" s="31">
        <v>3.0</v>
      </c>
    </row>
    <row r="754">
      <c r="A754" s="11">
        <v>46151.06212199074</v>
      </c>
      <c r="B754" s="9" t="s">
        <v>88</v>
      </c>
      <c r="C754" s="9" t="s">
        <v>895</v>
      </c>
      <c r="D754" s="9" t="s">
        <v>838</v>
      </c>
      <c r="E754" s="9" t="s">
        <v>868</v>
      </c>
      <c r="F754" s="9" t="s">
        <v>840</v>
      </c>
      <c r="H754" s="31">
        <v>4.0</v>
      </c>
    </row>
    <row r="755">
      <c r="A755" s="11">
        <v>46151.123153981476</v>
      </c>
      <c r="B755" s="9" t="s">
        <v>198</v>
      </c>
      <c r="C755" s="9" t="s">
        <v>854</v>
      </c>
      <c r="D755" s="9" t="s">
        <v>882</v>
      </c>
      <c r="E755" s="9" t="s">
        <v>856</v>
      </c>
      <c r="F755" s="9" t="s">
        <v>840</v>
      </c>
      <c r="G755" s="9" t="s">
        <v>649</v>
      </c>
      <c r="H755" s="31">
        <v>3.0</v>
      </c>
    </row>
    <row r="756">
      <c r="A756" s="11">
        <v>46151.15503297454</v>
      </c>
      <c r="B756" s="9" t="s">
        <v>100</v>
      </c>
      <c r="C756" s="9" t="s">
        <v>853</v>
      </c>
      <c r="D756" s="9" t="s">
        <v>874</v>
      </c>
      <c r="E756" s="9" t="s">
        <v>875</v>
      </c>
      <c r="F756" s="9" t="s">
        <v>840</v>
      </c>
      <c r="H756" s="31">
        <v>5.0</v>
      </c>
    </row>
    <row r="757">
      <c r="A757" s="11">
        <v>46151.18562478009</v>
      </c>
      <c r="B757" s="9" t="s">
        <v>189</v>
      </c>
      <c r="C757" s="9" t="s">
        <v>853</v>
      </c>
      <c r="D757" s="9" t="s">
        <v>867</v>
      </c>
      <c r="E757" s="9" t="s">
        <v>854</v>
      </c>
      <c r="F757" s="9" t="s">
        <v>840</v>
      </c>
      <c r="G757" s="9" t="s">
        <v>649</v>
      </c>
      <c r="H757" s="31">
        <v>3.0</v>
      </c>
    </row>
    <row r="758">
      <c r="A758" s="11">
        <v>46151.34855163195</v>
      </c>
      <c r="B758" s="9" t="s">
        <v>237</v>
      </c>
      <c r="C758" s="9" t="s">
        <v>861</v>
      </c>
      <c r="D758" s="9" t="s">
        <v>869</v>
      </c>
      <c r="E758" s="9" t="s">
        <v>838</v>
      </c>
      <c r="F758" s="9" t="s">
        <v>840</v>
      </c>
      <c r="H758" s="31">
        <v>3.0</v>
      </c>
    </row>
    <row r="759">
      <c r="A759" s="11">
        <v>46151.386524814814</v>
      </c>
      <c r="B759" s="9" t="s">
        <v>217</v>
      </c>
      <c r="C759" s="9" t="s">
        <v>864</v>
      </c>
      <c r="D759" s="9" t="s">
        <v>865</v>
      </c>
      <c r="E759" s="9" t="s">
        <v>887</v>
      </c>
      <c r="F759" s="9" t="s">
        <v>840</v>
      </c>
      <c r="G759" s="9" t="s">
        <v>649</v>
      </c>
      <c r="H759" s="31">
        <v>3.0</v>
      </c>
    </row>
    <row r="760">
      <c r="A760" s="11">
        <v>46151.40262717592</v>
      </c>
      <c r="B760" s="9" t="s">
        <v>134</v>
      </c>
      <c r="C760" s="9" t="s">
        <v>864</v>
      </c>
      <c r="D760" s="9" t="s">
        <v>865</v>
      </c>
      <c r="E760" s="9" t="s">
        <v>890</v>
      </c>
      <c r="F760" s="9" t="s">
        <v>840</v>
      </c>
      <c r="H760" s="31">
        <v>5.0</v>
      </c>
    </row>
    <row r="761">
      <c r="A761" s="11">
        <v>46151.43818857639</v>
      </c>
      <c r="B761" s="9" t="s">
        <v>63</v>
      </c>
      <c r="C761" s="9" t="s">
        <v>855</v>
      </c>
      <c r="D761" s="9" t="s">
        <v>883</v>
      </c>
      <c r="E761" s="9" t="s">
        <v>854</v>
      </c>
      <c r="F761" s="9" t="s">
        <v>840</v>
      </c>
      <c r="G761" s="9" t="s">
        <v>649</v>
      </c>
      <c r="H761" s="31">
        <v>4.0</v>
      </c>
    </row>
    <row r="762">
      <c r="A762" s="11">
        <v>46151.45636704861</v>
      </c>
      <c r="B762" s="9" t="s">
        <v>261</v>
      </c>
      <c r="C762" s="9" t="s">
        <v>881</v>
      </c>
      <c r="D762" s="9" t="s">
        <v>861</v>
      </c>
      <c r="E762" s="9" t="s">
        <v>838</v>
      </c>
      <c r="F762" s="9" t="s">
        <v>840</v>
      </c>
      <c r="G762" s="9" t="s">
        <v>649</v>
      </c>
      <c r="H762" s="31">
        <v>4.0</v>
      </c>
    </row>
    <row r="763">
      <c r="A763" s="11">
        <v>46151.46219997686</v>
      </c>
      <c r="B763" s="9" t="s">
        <v>273</v>
      </c>
      <c r="C763" s="9" t="s">
        <v>876</v>
      </c>
      <c r="D763" s="9" t="s">
        <v>863</v>
      </c>
      <c r="E763" s="9" t="s">
        <v>890</v>
      </c>
      <c r="F763" s="9" t="s">
        <v>840</v>
      </c>
      <c r="G763" s="9" t="s">
        <v>834</v>
      </c>
      <c r="H763" s="31"/>
    </row>
    <row r="764">
      <c r="A764" s="11">
        <v>46151.465477314814</v>
      </c>
      <c r="B764" s="9" t="s">
        <v>273</v>
      </c>
      <c r="C764" s="9" t="s">
        <v>869</v>
      </c>
      <c r="D764" s="9" t="s">
        <v>855</v>
      </c>
      <c r="E764" s="9" t="s">
        <v>861</v>
      </c>
      <c r="F764" s="9" t="s">
        <v>840</v>
      </c>
      <c r="G764" s="9" t="s">
        <v>649</v>
      </c>
      <c r="H764" s="31">
        <v>3.0</v>
      </c>
    </row>
    <row r="765">
      <c r="A765" s="11">
        <v>46151.47471361111</v>
      </c>
      <c r="B765" s="9" t="s">
        <v>109</v>
      </c>
      <c r="C765" s="9" t="s">
        <v>877</v>
      </c>
      <c r="D765" s="9" t="s">
        <v>855</v>
      </c>
      <c r="E765" s="9" t="s">
        <v>887</v>
      </c>
      <c r="F765" s="9" t="s">
        <v>840</v>
      </c>
      <c r="G765" s="9" t="s">
        <v>649</v>
      </c>
      <c r="H765" s="31">
        <v>5.0</v>
      </c>
    </row>
    <row r="766">
      <c r="A766" s="11">
        <v>46151.475655625</v>
      </c>
      <c r="B766" s="9" t="s">
        <v>79</v>
      </c>
      <c r="C766" s="9" t="s">
        <v>879</v>
      </c>
      <c r="D766" s="9" t="s">
        <v>858</v>
      </c>
      <c r="E766" s="9" t="s">
        <v>857</v>
      </c>
      <c r="F766" s="9" t="s">
        <v>840</v>
      </c>
      <c r="H766" s="31">
        <v>2.0</v>
      </c>
    </row>
    <row r="767">
      <c r="A767" s="11">
        <v>46151.49461978009</v>
      </c>
      <c r="B767" s="9" t="s">
        <v>239</v>
      </c>
      <c r="C767" s="9" t="s">
        <v>857</v>
      </c>
      <c r="D767" s="9" t="s">
        <v>880</v>
      </c>
      <c r="E767" s="9" t="s">
        <v>883</v>
      </c>
      <c r="F767" s="9" t="s">
        <v>840</v>
      </c>
      <c r="G767" s="9" t="s">
        <v>834</v>
      </c>
      <c r="H767" s="31"/>
    </row>
    <row r="768">
      <c r="A768" s="11">
        <v>46151.496201076385</v>
      </c>
      <c r="B768" s="9" t="s">
        <v>239</v>
      </c>
      <c r="C768" s="9" t="s">
        <v>889</v>
      </c>
      <c r="D768" s="9" t="s">
        <v>883</v>
      </c>
      <c r="E768" s="9" t="s">
        <v>871</v>
      </c>
      <c r="F768" s="9" t="s">
        <v>840</v>
      </c>
      <c r="G768" s="9" t="s">
        <v>649</v>
      </c>
      <c r="H768" s="31">
        <v>5.0</v>
      </c>
    </row>
    <row r="769">
      <c r="A769" s="11">
        <v>46151.51336513889</v>
      </c>
      <c r="B769" s="9" t="s">
        <v>109</v>
      </c>
      <c r="C769" s="9" t="s">
        <v>876</v>
      </c>
      <c r="D769" s="9" t="s">
        <v>900</v>
      </c>
      <c r="E769" s="9" t="s">
        <v>889</v>
      </c>
      <c r="F769" s="9" t="s">
        <v>840</v>
      </c>
      <c r="G769" s="9" t="s">
        <v>834</v>
      </c>
      <c r="H769" s="31"/>
    </row>
    <row r="770">
      <c r="A770" s="11">
        <v>46151.51710493056</v>
      </c>
      <c r="B770" s="9" t="s">
        <v>109</v>
      </c>
      <c r="C770" s="9" t="s">
        <v>877</v>
      </c>
      <c r="D770" s="9" t="s">
        <v>855</v>
      </c>
      <c r="E770" s="9" t="s">
        <v>887</v>
      </c>
      <c r="F770" s="9" t="s">
        <v>840</v>
      </c>
      <c r="G770" s="9" t="s">
        <v>834</v>
      </c>
      <c r="H770" s="31"/>
    </row>
    <row r="771">
      <c r="A771" s="11">
        <v>46151.531071157406</v>
      </c>
      <c r="B771" s="9" t="s">
        <v>261</v>
      </c>
      <c r="C771" s="9" t="s">
        <v>876</v>
      </c>
      <c r="D771" s="9" t="s">
        <v>864</v>
      </c>
      <c r="E771" s="9" t="s">
        <v>866</v>
      </c>
      <c r="F771" s="9" t="s">
        <v>840</v>
      </c>
      <c r="G771" s="9" t="s">
        <v>649</v>
      </c>
      <c r="H771" s="31">
        <v>5.0</v>
      </c>
    </row>
    <row r="772">
      <c r="A772" s="11">
        <v>46151.53252260417</v>
      </c>
      <c r="B772" s="9" t="s">
        <v>121</v>
      </c>
      <c r="C772" s="9" t="s">
        <v>869</v>
      </c>
      <c r="D772" s="9" t="s">
        <v>839</v>
      </c>
      <c r="E772" s="9" t="s">
        <v>856</v>
      </c>
      <c r="F772" s="9" t="s">
        <v>840</v>
      </c>
      <c r="H772" s="31">
        <v>3.0</v>
      </c>
    </row>
    <row r="773">
      <c r="A773" s="11">
        <v>46151.5365031713</v>
      </c>
      <c r="B773" s="9" t="s">
        <v>233</v>
      </c>
      <c r="C773" s="9" t="s">
        <v>869</v>
      </c>
      <c r="D773" s="9" t="s">
        <v>852</v>
      </c>
      <c r="E773" s="9" t="s">
        <v>858</v>
      </c>
      <c r="F773" s="9" t="s">
        <v>840</v>
      </c>
      <c r="G773" s="9" t="s">
        <v>649</v>
      </c>
      <c r="H773" s="31">
        <v>3.0</v>
      </c>
    </row>
    <row r="774">
      <c r="A774" s="11">
        <v>46151.55397763889</v>
      </c>
      <c r="B774" s="9" t="s">
        <v>152</v>
      </c>
      <c r="C774" s="9" t="s">
        <v>858</v>
      </c>
      <c r="D774" s="9" t="s">
        <v>870</v>
      </c>
      <c r="E774" s="9" t="s">
        <v>881</v>
      </c>
      <c r="F774" s="9" t="s">
        <v>840</v>
      </c>
      <c r="G774" s="9" t="s">
        <v>834</v>
      </c>
      <c r="H774" s="31"/>
    </row>
    <row r="775">
      <c r="A775" s="11">
        <v>46151.59236998843</v>
      </c>
      <c r="B775" s="9" t="s">
        <v>247</v>
      </c>
      <c r="C775" s="9" t="s">
        <v>880</v>
      </c>
      <c r="D775" s="9" t="s">
        <v>867</v>
      </c>
      <c r="E775" s="9" t="s">
        <v>878</v>
      </c>
      <c r="F775" s="9" t="s">
        <v>840</v>
      </c>
      <c r="G775" s="9" t="s">
        <v>649</v>
      </c>
      <c r="H775" s="31">
        <v>3.0</v>
      </c>
    </row>
    <row r="776">
      <c r="A776" s="11">
        <v>46151.61866800926</v>
      </c>
      <c r="B776" s="9" t="s">
        <v>151</v>
      </c>
      <c r="C776" s="9" t="s">
        <v>887</v>
      </c>
      <c r="D776" s="9" t="s">
        <v>861</v>
      </c>
      <c r="E776" s="9" t="s">
        <v>896</v>
      </c>
      <c r="F776" s="9" t="s">
        <v>840</v>
      </c>
      <c r="G776" s="9" t="s">
        <v>649</v>
      </c>
      <c r="H776" s="31">
        <v>3.0</v>
      </c>
    </row>
    <row r="777">
      <c r="A777" s="11">
        <v>46151.63283894676</v>
      </c>
      <c r="B777" s="9" t="s">
        <v>174</v>
      </c>
      <c r="C777" s="9" t="s">
        <v>880</v>
      </c>
      <c r="D777" s="9" t="s">
        <v>865</v>
      </c>
      <c r="E777" s="9" t="s">
        <v>858</v>
      </c>
      <c r="F777" s="9" t="s">
        <v>840</v>
      </c>
      <c r="G777" s="9" t="s">
        <v>649</v>
      </c>
      <c r="H777" s="31">
        <v>4.0</v>
      </c>
    </row>
    <row r="778">
      <c r="A778" s="11">
        <v>46151.635050439814</v>
      </c>
      <c r="B778" s="9" t="s">
        <v>187</v>
      </c>
      <c r="C778" s="9" t="s">
        <v>852</v>
      </c>
      <c r="D778" s="9" t="s">
        <v>889</v>
      </c>
      <c r="E778" s="9" t="s">
        <v>871</v>
      </c>
      <c r="F778" s="9" t="s">
        <v>840</v>
      </c>
      <c r="G778" s="9" t="s">
        <v>649</v>
      </c>
      <c r="H778" s="31">
        <v>3.0</v>
      </c>
    </row>
    <row r="779">
      <c r="A779" s="11">
        <v>46151.63768670139</v>
      </c>
      <c r="B779" s="9" t="s">
        <v>195</v>
      </c>
      <c r="C779" s="9" t="s">
        <v>875</v>
      </c>
      <c r="D779" s="9" t="s">
        <v>870</v>
      </c>
      <c r="E779" s="9" t="s">
        <v>896</v>
      </c>
      <c r="F779" s="9" t="s">
        <v>840</v>
      </c>
      <c r="G779" s="9" t="s">
        <v>649</v>
      </c>
      <c r="H779" s="31">
        <v>3.0</v>
      </c>
    </row>
    <row r="780">
      <c r="A780" s="11">
        <v>46151.63789334491</v>
      </c>
      <c r="B780" s="9" t="s">
        <v>284</v>
      </c>
      <c r="C780" s="9" t="s">
        <v>864</v>
      </c>
      <c r="D780" s="9" t="s">
        <v>865</v>
      </c>
      <c r="E780" s="9" t="s">
        <v>866</v>
      </c>
      <c r="F780" s="9" t="s">
        <v>840</v>
      </c>
      <c r="G780" s="9" t="s">
        <v>649</v>
      </c>
      <c r="H780" s="31">
        <v>3.0</v>
      </c>
    </row>
    <row r="781">
      <c r="A781" s="11">
        <v>46151.64696790509</v>
      </c>
      <c r="B781" s="9" t="s">
        <v>417</v>
      </c>
      <c r="C781" s="9" t="s">
        <v>854</v>
      </c>
      <c r="D781" s="9" t="s">
        <v>900</v>
      </c>
      <c r="E781" s="9" t="s">
        <v>852</v>
      </c>
      <c r="F781" s="9" t="s">
        <v>840</v>
      </c>
      <c r="G781" s="9" t="s">
        <v>649</v>
      </c>
      <c r="H781" s="31">
        <v>3.0</v>
      </c>
    </row>
    <row r="782">
      <c r="A782" s="11">
        <v>46151.654044027775</v>
      </c>
      <c r="B782" s="9" t="s">
        <v>185</v>
      </c>
      <c r="C782" s="9" t="s">
        <v>867</v>
      </c>
      <c r="D782" s="9" t="s">
        <v>853</v>
      </c>
      <c r="E782" s="9" t="s">
        <v>900</v>
      </c>
      <c r="F782" s="9" t="s">
        <v>840</v>
      </c>
      <c r="G782" s="9" t="s">
        <v>834</v>
      </c>
      <c r="H782" s="31"/>
    </row>
    <row r="783">
      <c r="A783" s="11">
        <v>46151.65887</v>
      </c>
      <c r="B783" s="9" t="s">
        <v>414</v>
      </c>
      <c r="C783" s="9" t="s">
        <v>854</v>
      </c>
      <c r="D783" s="9" t="s">
        <v>855</v>
      </c>
      <c r="E783" s="9" t="s">
        <v>882</v>
      </c>
      <c r="F783" s="9" t="s">
        <v>840</v>
      </c>
      <c r="G783" s="9" t="s">
        <v>649</v>
      </c>
      <c r="H783" s="31">
        <v>2.0</v>
      </c>
    </row>
    <row r="784">
      <c r="A784" s="11">
        <v>46151.65957797454</v>
      </c>
      <c r="B784" s="9" t="s">
        <v>185</v>
      </c>
      <c r="C784" s="9" t="s">
        <v>874</v>
      </c>
      <c r="D784" s="9" t="s">
        <v>900</v>
      </c>
      <c r="E784" s="9" t="s">
        <v>838</v>
      </c>
      <c r="F784" s="9" t="s">
        <v>840</v>
      </c>
      <c r="G784" s="9" t="s">
        <v>649</v>
      </c>
      <c r="H784" s="31">
        <v>2.0</v>
      </c>
    </row>
    <row r="785">
      <c r="A785" s="11">
        <v>46151.68230230324</v>
      </c>
      <c r="B785" s="9" t="s">
        <v>228</v>
      </c>
      <c r="C785" s="9" t="s">
        <v>872</v>
      </c>
      <c r="D785" s="9" t="s">
        <v>891</v>
      </c>
      <c r="E785" s="9" t="s">
        <v>883</v>
      </c>
      <c r="F785" s="9" t="s">
        <v>840</v>
      </c>
      <c r="G785" s="9" t="s">
        <v>649</v>
      </c>
      <c r="H785" s="31">
        <v>2.0</v>
      </c>
    </row>
    <row r="786">
      <c r="A786" s="11">
        <v>46151.687635740745</v>
      </c>
      <c r="B786" s="9" t="s">
        <v>266</v>
      </c>
      <c r="C786" s="9" t="s">
        <v>879</v>
      </c>
      <c r="D786" s="9" t="s">
        <v>871</v>
      </c>
      <c r="E786" s="9" t="s">
        <v>858</v>
      </c>
      <c r="F786" s="9" t="s">
        <v>840</v>
      </c>
      <c r="G786" s="9" t="s">
        <v>649</v>
      </c>
      <c r="H786" s="31">
        <v>3.0</v>
      </c>
    </row>
    <row r="787">
      <c r="A787" s="11">
        <v>46151.68885184028</v>
      </c>
      <c r="B787" s="9" t="s">
        <v>162</v>
      </c>
      <c r="C787" s="9" t="s">
        <v>876</v>
      </c>
      <c r="D787" s="9" t="s">
        <v>863</v>
      </c>
      <c r="E787" s="9" t="s">
        <v>879</v>
      </c>
      <c r="F787" s="9" t="s">
        <v>840</v>
      </c>
      <c r="H787" s="31">
        <v>3.0</v>
      </c>
    </row>
    <row r="788">
      <c r="A788" s="11">
        <v>46151.68903039352</v>
      </c>
      <c r="B788" s="9" t="s">
        <v>96</v>
      </c>
      <c r="C788" s="9" t="s">
        <v>871</v>
      </c>
      <c r="D788" s="9" t="s">
        <v>875</v>
      </c>
      <c r="E788" s="9" t="s">
        <v>874</v>
      </c>
      <c r="F788" s="9" t="s">
        <v>840</v>
      </c>
      <c r="H788" s="31">
        <v>4.0</v>
      </c>
    </row>
    <row r="789">
      <c r="A789" s="11">
        <v>46151.70058203704</v>
      </c>
      <c r="B789" s="9" t="s">
        <v>133</v>
      </c>
      <c r="C789" s="9" t="s">
        <v>889</v>
      </c>
      <c r="D789" s="9" t="s">
        <v>853</v>
      </c>
      <c r="E789" s="9" t="s">
        <v>867</v>
      </c>
      <c r="F789" s="9" t="s">
        <v>840</v>
      </c>
      <c r="G789" s="9" t="s">
        <v>649</v>
      </c>
      <c r="H789" s="31">
        <v>5.0</v>
      </c>
    </row>
    <row r="790">
      <c r="A790" s="11">
        <v>46151.71991475695</v>
      </c>
      <c r="B790" s="9" t="s">
        <v>142</v>
      </c>
      <c r="C790" s="9" t="s">
        <v>872</v>
      </c>
      <c r="D790" s="9" t="s">
        <v>887</v>
      </c>
      <c r="E790" s="9" t="s">
        <v>879</v>
      </c>
      <c r="F790" s="9" t="s">
        <v>840</v>
      </c>
      <c r="G790" s="9" t="s">
        <v>834</v>
      </c>
      <c r="H790" s="31"/>
    </row>
    <row r="791">
      <c r="A791" s="11">
        <v>46151.72489099537</v>
      </c>
      <c r="B791" s="9" t="s">
        <v>142</v>
      </c>
      <c r="C791" s="9" t="s">
        <v>887</v>
      </c>
      <c r="D791" s="9" t="s">
        <v>879</v>
      </c>
      <c r="E791" s="9" t="s">
        <v>870</v>
      </c>
      <c r="F791" s="9" t="s">
        <v>840</v>
      </c>
      <c r="G791" s="9" t="s">
        <v>834</v>
      </c>
      <c r="H791" s="31"/>
    </row>
    <row r="792">
      <c r="A792" s="11">
        <v>46151.72496324074</v>
      </c>
      <c r="B792" s="9" t="s">
        <v>195</v>
      </c>
      <c r="C792" s="9" t="s">
        <v>874</v>
      </c>
      <c r="D792" s="9" t="s">
        <v>859</v>
      </c>
      <c r="E792" s="9" t="s">
        <v>891</v>
      </c>
      <c r="F792" s="9" t="s">
        <v>840</v>
      </c>
      <c r="G792" s="9" t="s">
        <v>649</v>
      </c>
      <c r="H792" s="31">
        <v>4.0</v>
      </c>
    </row>
    <row r="793">
      <c r="A793" s="11">
        <v>46151.7271312963</v>
      </c>
      <c r="B793" s="9" t="s">
        <v>142</v>
      </c>
      <c r="C793" s="9" t="s">
        <v>879</v>
      </c>
      <c r="D793" s="9" t="s">
        <v>887</v>
      </c>
      <c r="E793" s="9" t="s">
        <v>878</v>
      </c>
      <c r="F793" s="9" t="s">
        <v>840</v>
      </c>
      <c r="G793" s="9" t="s">
        <v>834</v>
      </c>
      <c r="H793" s="31"/>
    </row>
    <row r="794">
      <c r="A794" s="11">
        <v>46151.7276625463</v>
      </c>
      <c r="B794" s="9" t="s">
        <v>410</v>
      </c>
      <c r="C794" s="9" t="s">
        <v>866</v>
      </c>
      <c r="D794" s="9" t="s">
        <v>889</v>
      </c>
      <c r="E794" s="9" t="s">
        <v>881</v>
      </c>
      <c r="F794" s="9" t="s">
        <v>840</v>
      </c>
      <c r="G794" s="9" t="s">
        <v>649</v>
      </c>
      <c r="H794" s="31">
        <v>3.0</v>
      </c>
    </row>
    <row r="795">
      <c r="A795" s="11">
        <v>46151.73012949074</v>
      </c>
      <c r="B795" s="9" t="s">
        <v>142</v>
      </c>
      <c r="C795" s="9" t="s">
        <v>879</v>
      </c>
      <c r="D795" s="9" t="s">
        <v>887</v>
      </c>
      <c r="E795" s="9" t="s">
        <v>867</v>
      </c>
      <c r="F795" s="9" t="s">
        <v>840</v>
      </c>
      <c r="G795" s="9" t="s">
        <v>834</v>
      </c>
      <c r="H795" s="31"/>
    </row>
    <row r="796">
      <c r="A796" s="11">
        <v>46151.73126023148</v>
      </c>
      <c r="B796" s="9" t="s">
        <v>142</v>
      </c>
      <c r="C796" s="9" t="s">
        <v>879</v>
      </c>
      <c r="D796" s="9" t="s">
        <v>887</v>
      </c>
      <c r="E796" s="9" t="s">
        <v>862</v>
      </c>
      <c r="F796" s="9" t="s">
        <v>840</v>
      </c>
      <c r="G796" s="9" t="s">
        <v>649</v>
      </c>
      <c r="H796" s="31">
        <v>5.0</v>
      </c>
    </row>
    <row r="797">
      <c r="A797" s="11">
        <v>46151.73226131944</v>
      </c>
      <c r="B797" s="9" t="s">
        <v>410</v>
      </c>
      <c r="C797" s="9" t="s">
        <v>880</v>
      </c>
      <c r="D797" s="9" t="s">
        <v>890</v>
      </c>
      <c r="E797" s="9" t="s">
        <v>838</v>
      </c>
      <c r="F797" s="9" t="s">
        <v>840</v>
      </c>
      <c r="G797" s="9" t="s">
        <v>649</v>
      </c>
      <c r="H797" s="31">
        <v>4.0</v>
      </c>
    </row>
    <row r="798">
      <c r="A798" s="11">
        <v>46151.75549693287</v>
      </c>
      <c r="B798" s="9" t="s">
        <v>253</v>
      </c>
      <c r="C798" s="9" t="s">
        <v>876</v>
      </c>
      <c r="D798" s="9" t="s">
        <v>863</v>
      </c>
      <c r="E798" s="9" t="s">
        <v>890</v>
      </c>
      <c r="F798" s="9" t="s">
        <v>840</v>
      </c>
      <c r="H798" s="31">
        <v>3.0</v>
      </c>
    </row>
    <row r="799">
      <c r="A799" s="11">
        <v>46151.75772972222</v>
      </c>
      <c r="B799" s="9" t="s">
        <v>294</v>
      </c>
      <c r="C799" s="9" t="s">
        <v>861</v>
      </c>
      <c r="D799" s="9" t="s">
        <v>869</v>
      </c>
      <c r="E799" s="9" t="s">
        <v>877</v>
      </c>
      <c r="F799" s="9" t="s">
        <v>840</v>
      </c>
      <c r="G799" s="9" t="s">
        <v>649</v>
      </c>
      <c r="H799" s="31">
        <v>4.0</v>
      </c>
    </row>
    <row r="800">
      <c r="A800" s="11">
        <v>46151.78155395833</v>
      </c>
      <c r="B800" s="9" t="s">
        <v>114</v>
      </c>
      <c r="C800" s="9" t="s">
        <v>877</v>
      </c>
      <c r="D800" s="9" t="s">
        <v>857</v>
      </c>
      <c r="E800" s="9" t="s">
        <v>838</v>
      </c>
      <c r="F800" s="9" t="s">
        <v>840</v>
      </c>
      <c r="H800" s="31">
        <v>4.0</v>
      </c>
    </row>
    <row r="801">
      <c r="A801" s="11">
        <v>46151.78493072916</v>
      </c>
      <c r="B801" s="9" t="s">
        <v>235</v>
      </c>
      <c r="C801" s="9" t="s">
        <v>876</v>
      </c>
      <c r="D801" s="9" t="s">
        <v>887</v>
      </c>
      <c r="E801" s="9" t="s">
        <v>871</v>
      </c>
      <c r="F801" s="9" t="s">
        <v>840</v>
      </c>
      <c r="G801" s="9" t="s">
        <v>649</v>
      </c>
      <c r="H801" s="31">
        <v>5.0</v>
      </c>
    </row>
    <row r="802">
      <c r="A802" s="11">
        <v>46151.78953274306</v>
      </c>
      <c r="B802" s="9" t="s">
        <v>214</v>
      </c>
      <c r="C802" s="9" t="s">
        <v>862</v>
      </c>
      <c r="D802" s="9" t="s">
        <v>883</v>
      </c>
      <c r="E802" s="9" t="s">
        <v>871</v>
      </c>
      <c r="F802" s="9" t="s">
        <v>840</v>
      </c>
      <c r="G802" s="9" t="s">
        <v>649</v>
      </c>
      <c r="H802" s="31">
        <v>4.0</v>
      </c>
    </row>
    <row r="803">
      <c r="A803" s="11">
        <v>46151.79179616898</v>
      </c>
      <c r="B803" s="9" t="s">
        <v>66</v>
      </c>
      <c r="C803" s="9" t="s">
        <v>852</v>
      </c>
      <c r="D803" s="9" t="s">
        <v>871</v>
      </c>
      <c r="E803" s="9" t="s">
        <v>895</v>
      </c>
      <c r="F803" s="9" t="s">
        <v>840</v>
      </c>
      <c r="H803" s="31">
        <v>4.0</v>
      </c>
    </row>
    <row r="804">
      <c r="A804" s="11">
        <v>46151.816820486114</v>
      </c>
      <c r="B804" s="9" t="s">
        <v>152</v>
      </c>
      <c r="C804" s="9" t="s">
        <v>896</v>
      </c>
      <c r="D804" s="9" t="s">
        <v>895</v>
      </c>
      <c r="E804" s="9" t="s">
        <v>889</v>
      </c>
      <c r="F804" s="9" t="s">
        <v>840</v>
      </c>
      <c r="H804" s="31">
        <v>5.0</v>
      </c>
    </row>
    <row r="805">
      <c r="A805" s="11">
        <v>46151.86284450231</v>
      </c>
      <c r="B805" s="9" t="s">
        <v>344</v>
      </c>
      <c r="C805" s="9" t="s">
        <v>883</v>
      </c>
      <c r="D805" s="9" t="s">
        <v>859</v>
      </c>
      <c r="E805" s="9" t="s">
        <v>874</v>
      </c>
      <c r="F805" s="9" t="s">
        <v>840</v>
      </c>
      <c r="G805" s="9" t="s">
        <v>649</v>
      </c>
      <c r="H805" s="31">
        <v>4.0</v>
      </c>
    </row>
    <row r="806">
      <c r="A806" s="11">
        <v>46151.87208909722</v>
      </c>
      <c r="B806" s="9" t="s">
        <v>219</v>
      </c>
      <c r="C806" s="9" t="s">
        <v>869</v>
      </c>
      <c r="D806" s="9" t="s">
        <v>866</v>
      </c>
      <c r="E806" s="9" t="s">
        <v>880</v>
      </c>
      <c r="F806" s="9" t="s">
        <v>840</v>
      </c>
      <c r="G806" s="9" t="s">
        <v>834</v>
      </c>
      <c r="H806" s="31"/>
    </row>
    <row r="807">
      <c r="A807" s="11">
        <v>46151.8737371875</v>
      </c>
      <c r="B807" s="9" t="s">
        <v>219</v>
      </c>
      <c r="C807" s="9" t="s">
        <v>852</v>
      </c>
      <c r="D807" s="9" t="s">
        <v>869</v>
      </c>
      <c r="E807" s="9" t="s">
        <v>877</v>
      </c>
      <c r="F807" s="9" t="s">
        <v>840</v>
      </c>
      <c r="G807" s="9" t="s">
        <v>834</v>
      </c>
      <c r="H807" s="31"/>
    </row>
    <row r="808">
      <c r="A808" s="11">
        <v>46151.875061134255</v>
      </c>
      <c r="B808" s="9" t="s">
        <v>219</v>
      </c>
      <c r="C808" s="9" t="s">
        <v>869</v>
      </c>
      <c r="D808" s="9" t="s">
        <v>852</v>
      </c>
      <c r="E808" s="9" t="s">
        <v>881</v>
      </c>
      <c r="F808" s="9" t="s">
        <v>840</v>
      </c>
      <c r="G808" s="9" t="s">
        <v>649</v>
      </c>
      <c r="H808" s="31">
        <v>3.0</v>
      </c>
    </row>
    <row r="809">
      <c r="A809" s="11">
        <v>46151.9026225</v>
      </c>
      <c r="B809" s="9" t="s">
        <v>409</v>
      </c>
      <c r="C809" s="9" t="s">
        <v>853</v>
      </c>
      <c r="D809" s="9" t="s">
        <v>900</v>
      </c>
      <c r="E809" s="9" t="s">
        <v>861</v>
      </c>
      <c r="F809" s="9" t="s">
        <v>840</v>
      </c>
      <c r="G809" s="9" t="s">
        <v>649</v>
      </c>
      <c r="H809" s="31">
        <v>4.0</v>
      </c>
    </row>
    <row r="810">
      <c r="A810" s="11">
        <v>46151.93396725695</v>
      </c>
      <c r="B810" s="9" t="s">
        <v>277</v>
      </c>
      <c r="C810" s="9" t="s">
        <v>889</v>
      </c>
      <c r="D810" s="9" t="s">
        <v>838</v>
      </c>
      <c r="E810" s="9" t="s">
        <v>881</v>
      </c>
      <c r="F810" s="9" t="s">
        <v>840</v>
      </c>
      <c r="G810" s="9" t="s">
        <v>649</v>
      </c>
      <c r="H810" s="31">
        <v>4.0</v>
      </c>
    </row>
    <row r="811">
      <c r="A811" s="11">
        <v>46151.94931121528</v>
      </c>
      <c r="B811" s="9" t="s">
        <v>918</v>
      </c>
      <c r="C811" s="9" t="s">
        <v>900</v>
      </c>
      <c r="D811" s="9" t="s">
        <v>859</v>
      </c>
      <c r="E811" s="9" t="s">
        <v>872</v>
      </c>
      <c r="F811" s="9" t="s">
        <v>840</v>
      </c>
      <c r="G811" s="9" t="s">
        <v>649</v>
      </c>
      <c r="H811" s="31">
        <v>4.0</v>
      </c>
    </row>
    <row r="812">
      <c r="A812" s="11">
        <v>46151.962046493056</v>
      </c>
      <c r="B812" s="9" t="s">
        <v>233</v>
      </c>
      <c r="C812" s="9" t="s">
        <v>890</v>
      </c>
      <c r="D812" s="9" t="s">
        <v>861</v>
      </c>
      <c r="E812" s="9" t="s">
        <v>887</v>
      </c>
      <c r="F812" s="9" t="s">
        <v>840</v>
      </c>
      <c r="G812" s="9" t="s">
        <v>649</v>
      </c>
      <c r="H812" s="31">
        <v>4.0</v>
      </c>
    </row>
    <row r="813">
      <c r="A813" s="11">
        <v>46151.97863034722</v>
      </c>
      <c r="B813" s="9" t="s">
        <v>269</v>
      </c>
      <c r="C813" s="9" t="s">
        <v>874</v>
      </c>
      <c r="D813" s="9" t="s">
        <v>872</v>
      </c>
      <c r="E813" s="9" t="s">
        <v>859</v>
      </c>
      <c r="F813" s="9" t="s">
        <v>840</v>
      </c>
      <c r="G813" s="9" t="s">
        <v>649</v>
      </c>
      <c r="H813" s="31">
        <v>3.0</v>
      </c>
    </row>
    <row r="814">
      <c r="A814" s="11">
        <v>46151.98530233796</v>
      </c>
      <c r="B814" s="9" t="s">
        <v>190</v>
      </c>
      <c r="C814" s="9" t="s">
        <v>890</v>
      </c>
      <c r="D814" s="9" t="s">
        <v>861</v>
      </c>
      <c r="E814" s="9" t="s">
        <v>853</v>
      </c>
      <c r="F814" s="9" t="s">
        <v>840</v>
      </c>
      <c r="G814" s="9" t="s">
        <v>649</v>
      </c>
      <c r="H814" s="31">
        <v>4.0</v>
      </c>
    </row>
    <row r="815">
      <c r="A815" s="11">
        <v>46152.05638517361</v>
      </c>
      <c r="B815" s="9" t="s">
        <v>308</v>
      </c>
      <c r="C815" s="9" t="s">
        <v>871</v>
      </c>
      <c r="D815" s="9" t="s">
        <v>863</v>
      </c>
      <c r="E815" s="9" t="s">
        <v>889</v>
      </c>
      <c r="F815" s="9" t="s">
        <v>840</v>
      </c>
      <c r="G815" s="9" t="s">
        <v>834</v>
      </c>
      <c r="H815" s="31"/>
    </row>
    <row r="816">
      <c r="A816" s="11">
        <v>46152.057898645835</v>
      </c>
      <c r="B816" s="9" t="s">
        <v>308</v>
      </c>
      <c r="C816" s="9" t="s">
        <v>863</v>
      </c>
      <c r="D816" s="9" t="s">
        <v>889</v>
      </c>
      <c r="E816" s="9" t="s">
        <v>883</v>
      </c>
      <c r="F816" s="9" t="s">
        <v>840</v>
      </c>
      <c r="G816" s="9" t="s">
        <v>649</v>
      </c>
      <c r="H816" s="31">
        <v>4.0</v>
      </c>
    </row>
    <row r="817">
      <c r="A817" s="11">
        <v>46152.06723884259</v>
      </c>
      <c r="B817" s="9" t="s">
        <v>249</v>
      </c>
      <c r="C817" s="9" t="s">
        <v>864</v>
      </c>
      <c r="D817" s="9" t="s">
        <v>889</v>
      </c>
      <c r="E817" s="9" t="s">
        <v>895</v>
      </c>
      <c r="F817" s="9" t="s">
        <v>840</v>
      </c>
      <c r="G817" s="9" t="s">
        <v>834</v>
      </c>
      <c r="H817" s="31"/>
    </row>
    <row r="818">
      <c r="A818" s="11">
        <v>46152.072652766205</v>
      </c>
      <c r="B818" s="9" t="s">
        <v>249</v>
      </c>
      <c r="C818" s="9" t="s">
        <v>865</v>
      </c>
      <c r="D818" s="9" t="s">
        <v>889</v>
      </c>
      <c r="E818" s="9" t="s">
        <v>839</v>
      </c>
      <c r="F818" s="9" t="s">
        <v>840</v>
      </c>
      <c r="G818" s="9" t="s">
        <v>649</v>
      </c>
      <c r="H818" s="31">
        <v>4.0</v>
      </c>
    </row>
    <row r="819">
      <c r="A819" s="11">
        <v>46152.09135524306</v>
      </c>
      <c r="B819" s="9" t="s">
        <v>287</v>
      </c>
      <c r="C819" s="9" t="s">
        <v>861</v>
      </c>
      <c r="D819" s="9" t="s">
        <v>880</v>
      </c>
      <c r="E819" s="9" t="s">
        <v>838</v>
      </c>
      <c r="F819" s="9" t="s">
        <v>840</v>
      </c>
      <c r="H819" s="31">
        <v>3.0</v>
      </c>
    </row>
    <row r="820">
      <c r="A820" s="11">
        <v>46152.1427972338</v>
      </c>
      <c r="B820" s="9" t="s">
        <v>54</v>
      </c>
      <c r="C820" s="9" t="s">
        <v>874</v>
      </c>
      <c r="D820" s="9" t="s">
        <v>867</v>
      </c>
      <c r="E820" s="9" t="s">
        <v>868</v>
      </c>
      <c r="F820" s="9" t="s">
        <v>840</v>
      </c>
      <c r="H820" s="31">
        <v>3.0</v>
      </c>
    </row>
    <row r="821">
      <c r="A821" s="11">
        <v>46152.37546800926</v>
      </c>
      <c r="B821" s="9" t="s">
        <v>94</v>
      </c>
      <c r="C821" s="9" t="s">
        <v>876</v>
      </c>
      <c r="D821" s="9" t="s">
        <v>863</v>
      </c>
      <c r="E821" s="9" t="s">
        <v>887</v>
      </c>
      <c r="F821" s="9" t="s">
        <v>840</v>
      </c>
      <c r="G821" s="9" t="s">
        <v>649</v>
      </c>
      <c r="H821" s="31">
        <v>5.0</v>
      </c>
    </row>
    <row r="822">
      <c r="A822" s="11">
        <v>46152.44736884259</v>
      </c>
      <c r="B822" s="9" t="s">
        <v>288</v>
      </c>
      <c r="C822" s="9" t="s">
        <v>879</v>
      </c>
      <c r="D822" s="9" t="s">
        <v>880</v>
      </c>
      <c r="E822" s="9" t="s">
        <v>838</v>
      </c>
      <c r="F822" s="9" t="s">
        <v>840</v>
      </c>
      <c r="G822" s="9" t="s">
        <v>834</v>
      </c>
      <c r="H822" s="31"/>
    </row>
    <row r="823">
      <c r="A823" s="11">
        <v>46152.44977825231</v>
      </c>
      <c r="B823" s="9" t="s">
        <v>288</v>
      </c>
      <c r="C823" s="9" t="s">
        <v>879</v>
      </c>
      <c r="D823" s="9" t="s">
        <v>838</v>
      </c>
      <c r="E823" s="9" t="s">
        <v>890</v>
      </c>
      <c r="F823" s="9" t="s">
        <v>840</v>
      </c>
      <c r="H823" s="31">
        <v>3.0</v>
      </c>
    </row>
    <row r="824">
      <c r="A824" s="11">
        <v>46152.47068950231</v>
      </c>
      <c r="B824" s="9" t="s">
        <v>254</v>
      </c>
      <c r="C824" s="9" t="s">
        <v>852</v>
      </c>
      <c r="D824" s="9" t="s">
        <v>878</v>
      </c>
      <c r="E824" s="9" t="s">
        <v>891</v>
      </c>
      <c r="F824" s="9" t="s">
        <v>840</v>
      </c>
      <c r="G824" s="9" t="s">
        <v>649</v>
      </c>
      <c r="H824" s="31">
        <v>2.0</v>
      </c>
    </row>
    <row r="825">
      <c r="A825" s="11">
        <v>46152.47861359954</v>
      </c>
      <c r="B825" s="9" t="s">
        <v>354</v>
      </c>
      <c r="C825" s="9" t="s">
        <v>859</v>
      </c>
      <c r="D825" s="9" t="s">
        <v>900</v>
      </c>
      <c r="E825" s="9" t="s">
        <v>853</v>
      </c>
      <c r="F825" s="9" t="s">
        <v>840</v>
      </c>
      <c r="G825" s="9" t="s">
        <v>649</v>
      </c>
      <c r="H825" s="31">
        <v>4.0</v>
      </c>
    </row>
    <row r="826">
      <c r="A826" s="11">
        <v>46152.4974847338</v>
      </c>
      <c r="B826" s="9" t="s">
        <v>410</v>
      </c>
      <c r="C826" s="9" t="s">
        <v>896</v>
      </c>
      <c r="D826" s="9" t="s">
        <v>866</v>
      </c>
      <c r="E826" s="9" t="s">
        <v>879</v>
      </c>
      <c r="F826" s="9" t="s">
        <v>840</v>
      </c>
      <c r="G826" s="9" t="s">
        <v>834</v>
      </c>
      <c r="H826" s="31"/>
    </row>
    <row r="827">
      <c r="A827" s="11">
        <v>46152.49842130787</v>
      </c>
      <c r="B827" s="9" t="s">
        <v>410</v>
      </c>
      <c r="C827" s="9" t="s">
        <v>896</v>
      </c>
      <c r="D827" s="9" t="s">
        <v>879</v>
      </c>
      <c r="E827" s="9" t="s">
        <v>887</v>
      </c>
      <c r="F827" s="9" t="s">
        <v>840</v>
      </c>
      <c r="G827" s="9" t="s">
        <v>649</v>
      </c>
      <c r="H827" s="31">
        <v>5.0</v>
      </c>
    </row>
    <row r="828">
      <c r="A828" s="11">
        <v>46152.50896427083</v>
      </c>
      <c r="B828" s="9" t="s">
        <v>205</v>
      </c>
      <c r="C828" s="9" t="s">
        <v>876</v>
      </c>
      <c r="D828" s="9" t="s">
        <v>857</v>
      </c>
      <c r="E828" s="9" t="s">
        <v>861</v>
      </c>
      <c r="F828" s="9" t="s">
        <v>840</v>
      </c>
      <c r="G828" s="9" t="s">
        <v>649</v>
      </c>
      <c r="H828" s="31">
        <v>4.0</v>
      </c>
    </row>
    <row r="829">
      <c r="A829" s="11">
        <v>46152.53080267362</v>
      </c>
      <c r="B829" s="9" t="s">
        <v>180</v>
      </c>
      <c r="C829" s="9" t="s">
        <v>870</v>
      </c>
      <c r="D829" s="9" t="s">
        <v>867</v>
      </c>
      <c r="E829" s="9" t="s">
        <v>853</v>
      </c>
      <c r="F829" s="9" t="s">
        <v>840</v>
      </c>
      <c r="G829" s="9" t="s">
        <v>649</v>
      </c>
      <c r="H829" s="31">
        <v>3.0</v>
      </c>
    </row>
    <row r="830">
      <c r="A830" s="11">
        <v>46152.56612099537</v>
      </c>
      <c r="B830" s="9" t="s">
        <v>89</v>
      </c>
      <c r="C830" s="9" t="s">
        <v>895</v>
      </c>
      <c r="D830" s="9" t="s">
        <v>838</v>
      </c>
      <c r="E830" s="9" t="s">
        <v>881</v>
      </c>
      <c r="F830" s="9" t="s">
        <v>840</v>
      </c>
      <c r="H830" s="31">
        <v>4.0</v>
      </c>
    </row>
    <row r="831">
      <c r="A831" s="11">
        <v>46152.57194961805</v>
      </c>
      <c r="B831" s="9" t="s">
        <v>259</v>
      </c>
      <c r="C831" s="9" t="s">
        <v>858</v>
      </c>
      <c r="D831" s="9" t="s">
        <v>887</v>
      </c>
      <c r="E831" s="9" t="s">
        <v>880</v>
      </c>
      <c r="F831" s="9" t="s">
        <v>840</v>
      </c>
      <c r="G831" s="9" t="s">
        <v>649</v>
      </c>
      <c r="H831" s="31">
        <v>4.0</v>
      </c>
    </row>
    <row r="832">
      <c r="A832" s="11">
        <v>46152.57521289352</v>
      </c>
      <c r="B832" s="9" t="s">
        <v>214</v>
      </c>
      <c r="C832" s="9" t="s">
        <v>856</v>
      </c>
      <c r="D832" s="9" t="s">
        <v>853</v>
      </c>
      <c r="E832" s="9" t="s">
        <v>859</v>
      </c>
      <c r="F832" s="9" t="s">
        <v>840</v>
      </c>
      <c r="G832" s="9" t="s">
        <v>649</v>
      </c>
      <c r="H832" s="31">
        <v>5.0</v>
      </c>
    </row>
    <row r="833">
      <c r="A833" s="11">
        <v>46152.71931601852</v>
      </c>
      <c r="B833" s="9" t="s">
        <v>352</v>
      </c>
      <c r="C833" s="9" t="s">
        <v>857</v>
      </c>
      <c r="D833" s="9" t="s">
        <v>853</v>
      </c>
      <c r="E833" s="9" t="s">
        <v>872</v>
      </c>
      <c r="F833" s="9" t="s">
        <v>840</v>
      </c>
      <c r="G833" s="9" t="s">
        <v>649</v>
      </c>
      <c r="H833" s="31">
        <v>4.0</v>
      </c>
    </row>
    <row r="834">
      <c r="A834" s="11">
        <v>46152.78966809028</v>
      </c>
      <c r="B834" s="9" t="s">
        <v>312</v>
      </c>
      <c r="C834" s="9" t="s">
        <v>865</v>
      </c>
      <c r="D834" s="9" t="s">
        <v>838</v>
      </c>
      <c r="E834" s="9" t="s">
        <v>896</v>
      </c>
      <c r="F834" s="9" t="s">
        <v>840</v>
      </c>
      <c r="G834" s="9" t="s">
        <v>860</v>
      </c>
      <c r="H834" s="31"/>
    </row>
    <row r="835">
      <c r="A835" s="11">
        <v>46152.821645034724</v>
      </c>
      <c r="B835" s="9" t="s">
        <v>409</v>
      </c>
      <c r="C835" s="9" t="s">
        <v>864</v>
      </c>
      <c r="D835" s="9" t="s">
        <v>838</v>
      </c>
      <c r="E835" s="9" t="s">
        <v>896</v>
      </c>
      <c r="F835" s="9" t="s">
        <v>840</v>
      </c>
      <c r="G835" s="9" t="s">
        <v>649</v>
      </c>
      <c r="H835" s="31">
        <v>5.0</v>
      </c>
    </row>
    <row r="836">
      <c r="A836" s="11">
        <v>46152.838969062504</v>
      </c>
      <c r="B836" s="9" t="s">
        <v>312</v>
      </c>
      <c r="C836" s="9" t="s">
        <v>865</v>
      </c>
      <c r="D836" s="9" t="s">
        <v>838</v>
      </c>
      <c r="E836" s="9" t="s">
        <v>896</v>
      </c>
      <c r="F836" s="9" t="s">
        <v>840</v>
      </c>
      <c r="G836" s="9" t="s">
        <v>649</v>
      </c>
      <c r="H836" s="31">
        <v>2.0</v>
      </c>
    </row>
    <row r="837">
      <c r="A837" s="11">
        <v>46152.90154104166</v>
      </c>
      <c r="B837" s="9" t="s">
        <v>168</v>
      </c>
      <c r="C837" s="9" t="s">
        <v>864</v>
      </c>
      <c r="D837" s="9" t="s">
        <v>877</v>
      </c>
      <c r="E837" s="9" t="s">
        <v>878</v>
      </c>
      <c r="F837" s="9" t="s">
        <v>840</v>
      </c>
      <c r="G837" s="9" t="s">
        <v>834</v>
      </c>
      <c r="H837" s="31"/>
    </row>
    <row r="838">
      <c r="A838" s="11">
        <v>46152.90606795139</v>
      </c>
      <c r="B838" s="9" t="s">
        <v>168</v>
      </c>
      <c r="C838" s="9" t="s">
        <v>864</v>
      </c>
      <c r="D838" s="9" t="s">
        <v>877</v>
      </c>
      <c r="E838" s="9" t="s">
        <v>865</v>
      </c>
      <c r="F838" s="9" t="s">
        <v>840</v>
      </c>
      <c r="G838" s="9" t="s">
        <v>649</v>
      </c>
      <c r="H838" s="31">
        <v>4.0</v>
      </c>
    </row>
    <row r="839">
      <c r="A839" s="11">
        <v>46152.90694675926</v>
      </c>
      <c r="B839" s="9" t="s">
        <v>168</v>
      </c>
      <c r="C839" s="9" t="s">
        <v>864</v>
      </c>
      <c r="D839" s="9" t="s">
        <v>877</v>
      </c>
      <c r="E839" s="9" t="s">
        <v>896</v>
      </c>
      <c r="F839" s="9" t="s">
        <v>840</v>
      </c>
      <c r="G839" s="9" t="s">
        <v>834</v>
      </c>
      <c r="H839" s="31"/>
    </row>
    <row r="840">
      <c r="A840" s="11">
        <v>46152.91189574074</v>
      </c>
      <c r="B840" s="9" t="s">
        <v>186</v>
      </c>
      <c r="C840" s="9" t="s">
        <v>854</v>
      </c>
      <c r="D840" s="9" t="s">
        <v>883</v>
      </c>
      <c r="E840" s="9" t="s">
        <v>839</v>
      </c>
      <c r="F840" s="9" t="s">
        <v>840</v>
      </c>
      <c r="G840" s="9" t="s">
        <v>834</v>
      </c>
      <c r="H840" s="31"/>
    </row>
    <row r="841">
      <c r="A841" s="11">
        <v>46152.91322609954</v>
      </c>
      <c r="B841" s="9" t="s">
        <v>186</v>
      </c>
      <c r="C841" s="9" t="s">
        <v>883</v>
      </c>
      <c r="D841" s="9" t="s">
        <v>882</v>
      </c>
      <c r="E841" s="9" t="s">
        <v>854</v>
      </c>
      <c r="F841" s="9" t="s">
        <v>840</v>
      </c>
      <c r="G841" s="9" t="s">
        <v>834</v>
      </c>
      <c r="H841" s="31"/>
    </row>
    <row r="842">
      <c r="A842" s="11">
        <v>46152.92419207176</v>
      </c>
      <c r="B842" s="9" t="s">
        <v>186</v>
      </c>
      <c r="C842" s="9" t="s">
        <v>882</v>
      </c>
      <c r="D842" s="9" t="s">
        <v>900</v>
      </c>
      <c r="E842" s="9" t="s">
        <v>883</v>
      </c>
      <c r="F842" s="9" t="s">
        <v>840</v>
      </c>
      <c r="G842" s="9" t="s">
        <v>649</v>
      </c>
      <c r="H842" s="31">
        <v>4.0</v>
      </c>
    </row>
    <row r="843">
      <c r="A843" s="11">
        <v>46152.92470744213</v>
      </c>
      <c r="B843" s="9" t="s">
        <v>306</v>
      </c>
      <c r="C843" s="9" t="s">
        <v>879</v>
      </c>
      <c r="D843" s="9" t="s">
        <v>855</v>
      </c>
      <c r="E843" s="9" t="s">
        <v>880</v>
      </c>
      <c r="F843" s="9" t="s">
        <v>840</v>
      </c>
      <c r="G843" s="9" t="s">
        <v>649</v>
      </c>
      <c r="H843" s="31">
        <v>3.0</v>
      </c>
    </row>
    <row r="844">
      <c r="A844" s="11">
        <v>46152.94041592593</v>
      </c>
      <c r="B844" s="9" t="s">
        <v>349</v>
      </c>
      <c r="C844" s="9" t="s">
        <v>858</v>
      </c>
      <c r="D844" s="9" t="s">
        <v>872</v>
      </c>
      <c r="E844" s="9" t="s">
        <v>852</v>
      </c>
      <c r="F844" s="9" t="s">
        <v>840</v>
      </c>
      <c r="G844" s="9" t="s">
        <v>649</v>
      </c>
      <c r="H844" s="31">
        <v>2.0</v>
      </c>
    </row>
    <row r="845">
      <c r="A845" s="11">
        <v>46152.96551599537</v>
      </c>
      <c r="B845" s="9" t="s">
        <v>314</v>
      </c>
      <c r="C845" s="9" t="s">
        <v>858</v>
      </c>
      <c r="D845" s="9" t="s">
        <v>889</v>
      </c>
      <c r="E845" s="9" t="s">
        <v>866</v>
      </c>
      <c r="F845" s="9" t="s">
        <v>840</v>
      </c>
      <c r="G845" s="9" t="s">
        <v>834</v>
      </c>
      <c r="H845" s="31"/>
    </row>
    <row r="846">
      <c r="A846" s="11">
        <v>46152.96706098379</v>
      </c>
      <c r="B846" s="9" t="s">
        <v>314</v>
      </c>
      <c r="C846" s="9" t="s">
        <v>876</v>
      </c>
      <c r="D846" s="9" t="s">
        <v>861</v>
      </c>
      <c r="E846" s="9" t="s">
        <v>863</v>
      </c>
      <c r="F846" s="9" t="s">
        <v>840</v>
      </c>
      <c r="G846" s="9" t="s">
        <v>649</v>
      </c>
      <c r="H846" s="31">
        <v>4.0</v>
      </c>
    </row>
    <row r="847">
      <c r="A847" s="11">
        <v>46152.97206303241</v>
      </c>
      <c r="B847" s="9" t="s">
        <v>279</v>
      </c>
      <c r="C847" s="9" t="s">
        <v>863</v>
      </c>
      <c r="D847" s="9" t="s">
        <v>865</v>
      </c>
      <c r="E847" s="9" t="s">
        <v>864</v>
      </c>
      <c r="F847" s="9" t="s">
        <v>840</v>
      </c>
      <c r="G847" s="9" t="s">
        <v>834</v>
      </c>
      <c r="H847" s="31"/>
    </row>
    <row r="848">
      <c r="A848" s="11">
        <v>46152.97279465278</v>
      </c>
      <c r="B848" s="9" t="s">
        <v>279</v>
      </c>
      <c r="C848" s="9" t="s">
        <v>863</v>
      </c>
      <c r="D848" s="9" t="s">
        <v>876</v>
      </c>
      <c r="E848" s="9" t="s">
        <v>865</v>
      </c>
      <c r="F848" s="9" t="s">
        <v>840</v>
      </c>
      <c r="G848" s="9" t="s">
        <v>649</v>
      </c>
      <c r="H848" s="31">
        <v>4.0</v>
      </c>
    </row>
    <row r="849">
      <c r="A849" s="11">
        <v>46152.97966694445</v>
      </c>
      <c r="B849" s="9" t="s">
        <v>340</v>
      </c>
      <c r="C849" s="9" t="s">
        <v>869</v>
      </c>
      <c r="D849" s="9" t="s">
        <v>838</v>
      </c>
      <c r="E849" s="9" t="s">
        <v>866</v>
      </c>
      <c r="F849" s="9" t="s">
        <v>840</v>
      </c>
      <c r="G849" s="9" t="s">
        <v>649</v>
      </c>
      <c r="H849" s="31">
        <v>3.0</v>
      </c>
    </row>
    <row r="850">
      <c r="A850" s="11">
        <v>46152.99955828703</v>
      </c>
      <c r="B850" s="9" t="s">
        <v>329</v>
      </c>
      <c r="C850" s="9" t="s">
        <v>863</v>
      </c>
      <c r="D850" s="9" t="s">
        <v>866</v>
      </c>
      <c r="E850" s="9" t="s">
        <v>882</v>
      </c>
      <c r="F850" s="9" t="s">
        <v>840</v>
      </c>
      <c r="G850" s="9" t="s">
        <v>649</v>
      </c>
      <c r="H850" s="31">
        <v>4.0</v>
      </c>
    </row>
    <row r="851">
      <c r="A851" s="11">
        <v>46153.005847928245</v>
      </c>
      <c r="B851" s="9" t="s">
        <v>324</v>
      </c>
      <c r="C851" s="9" t="s">
        <v>881</v>
      </c>
      <c r="D851" s="9" t="s">
        <v>865</v>
      </c>
      <c r="E851" s="9" t="s">
        <v>878</v>
      </c>
      <c r="F851" s="9" t="s">
        <v>840</v>
      </c>
      <c r="G851" s="9" t="s">
        <v>649</v>
      </c>
      <c r="H851" s="31">
        <v>3.0</v>
      </c>
    </row>
    <row r="852">
      <c r="A852" s="11">
        <v>46153.11035872685</v>
      </c>
      <c r="B852" s="9" t="s">
        <v>299</v>
      </c>
      <c r="C852" s="9" t="s">
        <v>877</v>
      </c>
      <c r="D852" s="9" t="s">
        <v>858</v>
      </c>
      <c r="E852" s="9" t="s">
        <v>895</v>
      </c>
      <c r="F852" s="9" t="s">
        <v>840</v>
      </c>
      <c r="G852" s="9" t="s">
        <v>649</v>
      </c>
      <c r="H852" s="31">
        <v>3.0</v>
      </c>
    </row>
    <row r="853">
      <c r="A853" s="11">
        <v>46153.416840949074</v>
      </c>
      <c r="B853" s="9" t="s">
        <v>351</v>
      </c>
      <c r="C853" s="9" t="s">
        <v>871</v>
      </c>
      <c r="D853" s="9" t="s">
        <v>854</v>
      </c>
      <c r="E853" s="9" t="s">
        <v>883</v>
      </c>
      <c r="F853" s="9" t="s">
        <v>840</v>
      </c>
      <c r="G853" s="9" t="s">
        <v>649</v>
      </c>
      <c r="H853" s="31">
        <v>4.0</v>
      </c>
    </row>
    <row r="854">
      <c r="A854" s="11">
        <v>46153.45682547454</v>
      </c>
      <c r="B854" s="9" t="s">
        <v>208</v>
      </c>
      <c r="C854" s="9" t="s">
        <v>880</v>
      </c>
      <c r="D854" s="9" t="s">
        <v>900</v>
      </c>
      <c r="E854" s="9" t="s">
        <v>896</v>
      </c>
      <c r="F854" s="9" t="s">
        <v>840</v>
      </c>
      <c r="G854" s="9" t="s">
        <v>834</v>
      </c>
      <c r="H854" s="31"/>
    </row>
    <row r="855">
      <c r="A855" s="11">
        <v>46153.45815280093</v>
      </c>
      <c r="B855" s="9" t="s">
        <v>208</v>
      </c>
      <c r="C855" s="9" t="s">
        <v>900</v>
      </c>
      <c r="D855" s="9" t="s">
        <v>896</v>
      </c>
      <c r="E855" s="9" t="s">
        <v>858</v>
      </c>
      <c r="F855" s="9" t="s">
        <v>840</v>
      </c>
      <c r="G855" s="9" t="s">
        <v>649</v>
      </c>
      <c r="H855" s="31">
        <v>4.0</v>
      </c>
    </row>
    <row r="856">
      <c r="A856" s="11">
        <v>46153.46608909722</v>
      </c>
      <c r="B856" s="9" t="s">
        <v>165</v>
      </c>
      <c r="C856" s="9" t="s">
        <v>877</v>
      </c>
      <c r="D856" s="9" t="s">
        <v>896</v>
      </c>
      <c r="E856" s="9" t="s">
        <v>874</v>
      </c>
      <c r="F856" s="9" t="s">
        <v>840</v>
      </c>
      <c r="H856" s="31">
        <v>3.0</v>
      </c>
    </row>
    <row r="857">
      <c r="A857" s="11">
        <v>46153.48192003473</v>
      </c>
      <c r="B857" s="9" t="s">
        <v>328</v>
      </c>
      <c r="C857" s="9" t="s">
        <v>857</v>
      </c>
      <c r="D857" s="9" t="s">
        <v>862</v>
      </c>
      <c r="E857" s="9" t="s">
        <v>876</v>
      </c>
      <c r="F857" s="9" t="s">
        <v>840</v>
      </c>
      <c r="G857" s="9" t="s">
        <v>649</v>
      </c>
      <c r="H857" s="31">
        <v>3.0</v>
      </c>
    </row>
    <row r="858">
      <c r="A858" s="11">
        <v>46153.51318212963</v>
      </c>
      <c r="B858" s="9" t="s">
        <v>208</v>
      </c>
      <c r="C858" s="9" t="s">
        <v>839</v>
      </c>
      <c r="D858" s="9" t="s">
        <v>868</v>
      </c>
      <c r="E858" s="9" t="s">
        <v>854</v>
      </c>
      <c r="F858" s="9" t="s">
        <v>840</v>
      </c>
      <c r="G858" s="9" t="s">
        <v>834</v>
      </c>
      <c r="H858" s="31"/>
    </row>
    <row r="859">
      <c r="A859" s="11">
        <v>46153.514721851854</v>
      </c>
      <c r="B859" s="9" t="s">
        <v>208</v>
      </c>
      <c r="C859" s="9" t="s">
        <v>839</v>
      </c>
      <c r="D859" s="9" t="s">
        <v>868</v>
      </c>
      <c r="E859" s="9" t="s">
        <v>882</v>
      </c>
      <c r="F859" s="9" t="s">
        <v>840</v>
      </c>
      <c r="G859" s="9" t="s">
        <v>834</v>
      </c>
      <c r="H859" s="31"/>
    </row>
    <row r="860">
      <c r="A860" s="11">
        <v>46153.51560701389</v>
      </c>
      <c r="B860" s="9" t="s">
        <v>208</v>
      </c>
      <c r="C860" s="9" t="s">
        <v>839</v>
      </c>
      <c r="D860" s="9" t="s">
        <v>868</v>
      </c>
      <c r="E860" s="9" t="s">
        <v>856</v>
      </c>
      <c r="F860" s="9" t="s">
        <v>840</v>
      </c>
      <c r="G860" s="9" t="s">
        <v>649</v>
      </c>
      <c r="H860" s="31">
        <v>5.0</v>
      </c>
    </row>
    <row r="861">
      <c r="A861" s="11">
        <v>46153.55052430555</v>
      </c>
      <c r="B861" s="9" t="s">
        <v>414</v>
      </c>
      <c r="C861" s="9" t="s">
        <v>877</v>
      </c>
      <c r="D861" s="9" t="s">
        <v>878</v>
      </c>
      <c r="E861" s="9" t="s">
        <v>896</v>
      </c>
      <c r="F861" s="9" t="s">
        <v>840</v>
      </c>
      <c r="G861" s="9" t="s">
        <v>649</v>
      </c>
      <c r="H861" s="31">
        <v>3.0</v>
      </c>
    </row>
    <row r="862">
      <c r="A862" s="11">
        <v>46153.55316833333</v>
      </c>
      <c r="B862" s="9" t="s">
        <v>372</v>
      </c>
      <c r="C862" s="9" t="s">
        <v>891</v>
      </c>
      <c r="D862" s="9" t="s">
        <v>837</v>
      </c>
      <c r="E862" s="9" t="s">
        <v>859</v>
      </c>
      <c r="F862" s="9" t="s">
        <v>840</v>
      </c>
      <c r="G862" s="9" t="s">
        <v>649</v>
      </c>
      <c r="H862" s="31">
        <v>4.0</v>
      </c>
    </row>
    <row r="863">
      <c r="A863" s="11">
        <v>46153.567533877314</v>
      </c>
      <c r="B863" s="9" t="s">
        <v>172</v>
      </c>
      <c r="C863" s="9" t="s">
        <v>891</v>
      </c>
      <c r="D863" s="9" t="s">
        <v>880</v>
      </c>
      <c r="E863" s="9" t="s">
        <v>882</v>
      </c>
      <c r="F863" s="9" t="s">
        <v>840</v>
      </c>
      <c r="G863" s="9" t="s">
        <v>649</v>
      </c>
      <c r="H863" s="31">
        <v>5.0</v>
      </c>
    </row>
    <row r="864">
      <c r="A864" s="11">
        <v>46153.56965373842</v>
      </c>
      <c r="B864" s="9" t="s">
        <v>192</v>
      </c>
      <c r="C864" s="9" t="s">
        <v>877</v>
      </c>
      <c r="D864" s="9" t="s">
        <v>881</v>
      </c>
      <c r="E864" s="9" t="s">
        <v>887</v>
      </c>
      <c r="F864" s="9" t="s">
        <v>840</v>
      </c>
      <c r="H864" s="31">
        <v>2.0</v>
      </c>
    </row>
    <row r="865">
      <c r="A865" s="11">
        <v>46153.570507881945</v>
      </c>
      <c r="B865" s="9" t="s">
        <v>198</v>
      </c>
      <c r="C865" s="9" t="s">
        <v>877</v>
      </c>
      <c r="D865" s="9" t="s">
        <v>837</v>
      </c>
      <c r="E865" s="9" t="s">
        <v>878</v>
      </c>
      <c r="F865" s="9" t="s">
        <v>840</v>
      </c>
      <c r="G865" s="9" t="s">
        <v>649</v>
      </c>
      <c r="H865" s="31">
        <v>4.0</v>
      </c>
    </row>
    <row r="866">
      <c r="A866" s="11">
        <v>46153.58882387732</v>
      </c>
      <c r="B866" s="9" t="s">
        <v>66</v>
      </c>
      <c r="C866" s="9" t="s">
        <v>879</v>
      </c>
      <c r="D866" s="9" t="s">
        <v>890</v>
      </c>
      <c r="E866" s="9" t="s">
        <v>880</v>
      </c>
      <c r="F866" s="9" t="s">
        <v>840</v>
      </c>
      <c r="H866" s="31">
        <v>5.0</v>
      </c>
    </row>
    <row r="867">
      <c r="A867" s="11">
        <v>46153.6197487037</v>
      </c>
      <c r="B867" s="9" t="s">
        <v>213</v>
      </c>
      <c r="C867" s="9" t="s">
        <v>872</v>
      </c>
      <c r="D867" s="9" t="s">
        <v>891</v>
      </c>
      <c r="E867" s="9" t="s">
        <v>871</v>
      </c>
      <c r="F867" s="9" t="s">
        <v>840</v>
      </c>
      <c r="H867" s="31">
        <v>3.0</v>
      </c>
    </row>
    <row r="868">
      <c r="A868" s="11">
        <v>46153.62983899306</v>
      </c>
      <c r="B868" s="9" t="s">
        <v>333</v>
      </c>
      <c r="C868" s="9" t="s">
        <v>859</v>
      </c>
      <c r="D868" s="9" t="s">
        <v>872</v>
      </c>
      <c r="E868" s="9" t="s">
        <v>871</v>
      </c>
      <c r="F868" s="9" t="s">
        <v>840</v>
      </c>
      <c r="G868" s="9" t="s">
        <v>860</v>
      </c>
      <c r="H868" s="31"/>
    </row>
    <row r="869">
      <c r="A869" s="11">
        <v>46153.658769155096</v>
      </c>
      <c r="B869" s="9" t="s">
        <v>186</v>
      </c>
      <c r="C869" s="9" t="s">
        <v>866</v>
      </c>
      <c r="D869" s="9" t="s">
        <v>861</v>
      </c>
      <c r="E869" s="9" t="s">
        <v>871</v>
      </c>
      <c r="F869" s="9" t="s">
        <v>840</v>
      </c>
      <c r="G869" s="9" t="s">
        <v>834</v>
      </c>
      <c r="H869" s="31"/>
    </row>
    <row r="870">
      <c r="A870" s="11">
        <v>46153.65988112269</v>
      </c>
      <c r="B870" s="9" t="s">
        <v>186</v>
      </c>
      <c r="C870" s="9" t="s">
        <v>866</v>
      </c>
      <c r="D870" s="9" t="s">
        <v>858</v>
      </c>
      <c r="E870" s="9" t="s">
        <v>871</v>
      </c>
      <c r="F870" s="9" t="s">
        <v>840</v>
      </c>
      <c r="G870" s="9" t="s">
        <v>649</v>
      </c>
      <c r="H870" s="31">
        <v>5.0</v>
      </c>
    </row>
    <row r="871">
      <c r="A871" s="11">
        <v>46153.693212708335</v>
      </c>
      <c r="B871" s="9" t="s">
        <v>85</v>
      </c>
      <c r="C871" s="9" t="s">
        <v>891</v>
      </c>
      <c r="D871" s="9" t="s">
        <v>900</v>
      </c>
      <c r="E871" s="9" t="s">
        <v>870</v>
      </c>
      <c r="F871" s="9" t="s">
        <v>840</v>
      </c>
      <c r="G871" s="9" t="s">
        <v>649</v>
      </c>
      <c r="H871" s="31">
        <v>4.0</v>
      </c>
    </row>
    <row r="872">
      <c r="A872" s="11">
        <v>46153.69425476852</v>
      </c>
      <c r="B872" s="9" t="s">
        <v>81</v>
      </c>
      <c r="C872" s="9" t="s">
        <v>861</v>
      </c>
      <c r="D872" s="9" t="s">
        <v>895</v>
      </c>
      <c r="E872" s="9" t="s">
        <v>869</v>
      </c>
      <c r="F872" s="9" t="s">
        <v>840</v>
      </c>
      <c r="G872" s="9" t="s">
        <v>834</v>
      </c>
      <c r="H872" s="31"/>
    </row>
    <row r="873">
      <c r="A873" s="11">
        <v>46153.69618425926</v>
      </c>
      <c r="B873" s="9" t="s">
        <v>81</v>
      </c>
      <c r="C873" s="9" t="s">
        <v>895</v>
      </c>
      <c r="D873" s="9" t="s">
        <v>869</v>
      </c>
      <c r="E873" s="9" t="s">
        <v>870</v>
      </c>
      <c r="F873" s="9" t="s">
        <v>840</v>
      </c>
      <c r="G873" s="9" t="s">
        <v>649</v>
      </c>
      <c r="H873" s="31">
        <v>5.0</v>
      </c>
    </row>
    <row r="874">
      <c r="A874" s="11">
        <v>46153.74133138889</v>
      </c>
      <c r="B874" s="9" t="s">
        <v>182</v>
      </c>
      <c r="C874" s="9" t="s">
        <v>852</v>
      </c>
      <c r="D874" s="9" t="s">
        <v>877</v>
      </c>
      <c r="E874" s="9" t="s">
        <v>855</v>
      </c>
      <c r="F874" s="9" t="s">
        <v>840</v>
      </c>
      <c r="G874" s="9" t="s">
        <v>834</v>
      </c>
      <c r="H874" s="31"/>
    </row>
    <row r="875">
      <c r="A875" s="11">
        <v>46153.743108553244</v>
      </c>
      <c r="B875" s="9" t="s">
        <v>182</v>
      </c>
      <c r="C875" s="9" t="s">
        <v>837</v>
      </c>
      <c r="D875" s="9" t="s">
        <v>838</v>
      </c>
      <c r="E875" s="9" t="s">
        <v>874</v>
      </c>
      <c r="F875" s="9" t="s">
        <v>840</v>
      </c>
      <c r="G875" s="9" t="s">
        <v>649</v>
      </c>
      <c r="H875" s="31">
        <v>3.0</v>
      </c>
    </row>
    <row r="876">
      <c r="A876" s="11">
        <v>46153.77039590278</v>
      </c>
      <c r="B876" s="9" t="s">
        <v>132</v>
      </c>
      <c r="C876" s="9" t="s">
        <v>877</v>
      </c>
      <c r="D876" s="9" t="s">
        <v>896</v>
      </c>
      <c r="E876" s="9" t="s">
        <v>839</v>
      </c>
      <c r="F876" s="9" t="s">
        <v>840</v>
      </c>
      <c r="G876" s="9" t="s">
        <v>834</v>
      </c>
      <c r="H876" s="31"/>
    </row>
    <row r="877">
      <c r="A877" s="11">
        <v>46153.771209432874</v>
      </c>
      <c r="B877" s="9" t="s">
        <v>132</v>
      </c>
      <c r="C877" s="9" t="s">
        <v>877</v>
      </c>
      <c r="D877" s="9" t="s">
        <v>896</v>
      </c>
      <c r="E877" s="9" t="s">
        <v>868</v>
      </c>
      <c r="F877" s="9" t="s">
        <v>840</v>
      </c>
      <c r="G877" s="9" t="s">
        <v>649</v>
      </c>
      <c r="H877" s="31">
        <v>3.0</v>
      </c>
    </row>
    <row r="878">
      <c r="A878" s="11">
        <v>46153.817580312505</v>
      </c>
      <c r="B878" s="9" t="s">
        <v>67</v>
      </c>
      <c r="C878" s="9" t="s">
        <v>854</v>
      </c>
      <c r="D878" s="9" t="s">
        <v>859</v>
      </c>
      <c r="E878" s="9" t="s">
        <v>856</v>
      </c>
      <c r="F878" s="9" t="s">
        <v>840</v>
      </c>
      <c r="G878" s="9" t="s">
        <v>649</v>
      </c>
      <c r="H878" s="31">
        <v>5.0</v>
      </c>
    </row>
    <row r="879">
      <c r="A879" s="11">
        <v>46153.8197234375</v>
      </c>
      <c r="B879" s="9" t="s">
        <v>107</v>
      </c>
      <c r="C879" s="9" t="s">
        <v>880</v>
      </c>
      <c r="D879" s="9" t="s">
        <v>861</v>
      </c>
      <c r="E879" s="9" t="s">
        <v>887</v>
      </c>
      <c r="F879" s="9" t="s">
        <v>840</v>
      </c>
      <c r="H879" s="31">
        <v>4.0</v>
      </c>
    </row>
    <row r="880">
      <c r="A880" s="11">
        <v>46153.8215315625</v>
      </c>
      <c r="B880" s="9" t="s">
        <v>322</v>
      </c>
      <c r="C880" s="9" t="s">
        <v>869</v>
      </c>
      <c r="D880" s="9" t="s">
        <v>864</v>
      </c>
      <c r="E880" s="9" t="s">
        <v>895</v>
      </c>
      <c r="F880" s="9" t="s">
        <v>840</v>
      </c>
      <c r="G880" s="9" t="s">
        <v>834</v>
      </c>
      <c r="H880" s="31"/>
    </row>
    <row r="881">
      <c r="A881" s="11">
        <v>46153.825703298615</v>
      </c>
      <c r="B881" s="9" t="s">
        <v>322</v>
      </c>
      <c r="C881" s="9" t="s">
        <v>895</v>
      </c>
      <c r="D881" s="9" t="s">
        <v>864</v>
      </c>
      <c r="E881" s="9" t="s">
        <v>838</v>
      </c>
      <c r="F881" s="9" t="s">
        <v>840</v>
      </c>
      <c r="G881" s="9" t="s">
        <v>649</v>
      </c>
      <c r="H881" s="31">
        <v>3.0</v>
      </c>
    </row>
    <row r="882">
      <c r="A882" s="11">
        <v>46153.83972037037</v>
      </c>
      <c r="B882" s="9" t="s">
        <v>64</v>
      </c>
      <c r="C882" s="9" t="s">
        <v>854</v>
      </c>
      <c r="D882" s="9" t="s">
        <v>882</v>
      </c>
      <c r="E882" s="9" t="s">
        <v>868</v>
      </c>
      <c r="F882" s="9" t="s">
        <v>840</v>
      </c>
      <c r="G882" s="9" t="s">
        <v>649</v>
      </c>
      <c r="H882" s="31">
        <v>3.0</v>
      </c>
    </row>
    <row r="883">
      <c r="A883" s="11">
        <v>46153.8448464699</v>
      </c>
      <c r="B883" s="9" t="s">
        <v>303</v>
      </c>
      <c r="C883" s="9" t="s">
        <v>882</v>
      </c>
      <c r="D883" s="9" t="s">
        <v>868</v>
      </c>
      <c r="E883" s="9" t="s">
        <v>862</v>
      </c>
      <c r="F883" s="9" t="s">
        <v>840</v>
      </c>
      <c r="G883" s="9" t="s">
        <v>649</v>
      </c>
      <c r="H883" s="31">
        <v>5.0</v>
      </c>
    </row>
    <row r="884">
      <c r="A884" s="11">
        <v>46153.89881114583</v>
      </c>
      <c r="B884" s="9" t="s">
        <v>192</v>
      </c>
      <c r="C884" s="9" t="s">
        <v>854</v>
      </c>
      <c r="D884" s="9" t="s">
        <v>855</v>
      </c>
      <c r="E884" s="9" t="s">
        <v>868</v>
      </c>
      <c r="F884" s="9" t="s">
        <v>840</v>
      </c>
      <c r="H884" s="31">
        <v>3.0</v>
      </c>
    </row>
    <row r="885">
      <c r="A885" s="11">
        <v>46153.96330469908</v>
      </c>
      <c r="B885" s="9" t="s">
        <v>276</v>
      </c>
      <c r="C885" s="9" t="s">
        <v>839</v>
      </c>
      <c r="D885" s="9" t="s">
        <v>880</v>
      </c>
      <c r="E885" s="9" t="s">
        <v>896</v>
      </c>
      <c r="F885" s="9" t="s">
        <v>840</v>
      </c>
      <c r="G885" s="9" t="s">
        <v>649</v>
      </c>
      <c r="H885" s="31">
        <v>3.0</v>
      </c>
    </row>
    <row r="886">
      <c r="A886" s="11">
        <v>46153.96657798611</v>
      </c>
      <c r="B886" s="9" t="s">
        <v>918</v>
      </c>
      <c r="C886" s="9" t="s">
        <v>872</v>
      </c>
      <c r="D886" s="9" t="s">
        <v>875</v>
      </c>
      <c r="E886" s="9" t="s">
        <v>874</v>
      </c>
      <c r="F886" s="9" t="s">
        <v>840</v>
      </c>
      <c r="G886" s="9" t="s">
        <v>834</v>
      </c>
      <c r="H886" s="31"/>
    </row>
    <row r="887">
      <c r="A887" s="11">
        <v>46153.97285721065</v>
      </c>
      <c r="B887" s="9" t="s">
        <v>263</v>
      </c>
      <c r="C887" s="9" t="s">
        <v>869</v>
      </c>
      <c r="D887" s="9" t="s">
        <v>877</v>
      </c>
      <c r="E887" s="9" t="s">
        <v>864</v>
      </c>
      <c r="F887" s="9" t="s">
        <v>840</v>
      </c>
      <c r="G887" s="9" t="s">
        <v>649</v>
      </c>
      <c r="H887" s="31">
        <v>2.0</v>
      </c>
    </row>
    <row r="888">
      <c r="A888" s="11">
        <v>46153.98749025463</v>
      </c>
      <c r="B888" s="9" t="s">
        <v>359</v>
      </c>
      <c r="C888" s="9" t="s">
        <v>869</v>
      </c>
      <c r="D888" s="9" t="s">
        <v>879</v>
      </c>
      <c r="E888" s="9" t="s">
        <v>838</v>
      </c>
      <c r="F888" s="9" t="s">
        <v>840</v>
      </c>
      <c r="G888" s="9" t="s">
        <v>834</v>
      </c>
      <c r="H888" s="31"/>
    </row>
    <row r="889">
      <c r="A889" s="11">
        <v>46153.990264004635</v>
      </c>
      <c r="B889" s="9" t="s">
        <v>18</v>
      </c>
      <c r="C889" s="9" t="s">
        <v>839</v>
      </c>
      <c r="D889" s="9" t="s">
        <v>868</v>
      </c>
      <c r="E889" s="9" t="s">
        <v>882</v>
      </c>
      <c r="F889" s="9" t="s">
        <v>840</v>
      </c>
      <c r="G889" s="9" t="s">
        <v>649</v>
      </c>
      <c r="H889" s="31">
        <v>3.0</v>
      </c>
    </row>
    <row r="890">
      <c r="A890" s="11">
        <v>46153.992554027776</v>
      </c>
      <c r="B890" s="9" t="s">
        <v>359</v>
      </c>
      <c r="C890" s="9" t="s">
        <v>869</v>
      </c>
      <c r="D890" s="9" t="s">
        <v>879</v>
      </c>
      <c r="E890" s="9" t="s">
        <v>861</v>
      </c>
      <c r="F890" s="9" t="s">
        <v>840</v>
      </c>
      <c r="G890" s="9" t="s">
        <v>649</v>
      </c>
      <c r="H890" s="31">
        <v>5.0</v>
      </c>
    </row>
    <row r="891">
      <c r="A891" s="11">
        <v>46154.009804953705</v>
      </c>
      <c r="B891" s="9" t="s">
        <v>290</v>
      </c>
      <c r="C891" s="9" t="s">
        <v>863</v>
      </c>
      <c r="D891" s="9" t="s">
        <v>883</v>
      </c>
      <c r="E891" s="9" t="s">
        <v>855</v>
      </c>
      <c r="F891" s="9" t="s">
        <v>840</v>
      </c>
      <c r="G891" s="9" t="s">
        <v>649</v>
      </c>
      <c r="H891" s="31">
        <v>3.0</v>
      </c>
    </row>
    <row r="892">
      <c r="A892" s="11">
        <v>46154.01064898148</v>
      </c>
      <c r="B892" s="9" t="s">
        <v>101</v>
      </c>
      <c r="C892" s="9" t="s">
        <v>889</v>
      </c>
      <c r="D892" s="9" t="s">
        <v>858</v>
      </c>
      <c r="E892" s="9" t="s">
        <v>867</v>
      </c>
      <c r="F892" s="9" t="s">
        <v>840</v>
      </c>
      <c r="G892" s="9" t="s">
        <v>649</v>
      </c>
      <c r="H892" s="31">
        <v>4.0</v>
      </c>
    </row>
    <row r="893">
      <c r="A893" s="11">
        <v>46154.0303540162</v>
      </c>
      <c r="B893" s="9" t="s">
        <v>354</v>
      </c>
      <c r="C893" s="9" t="s">
        <v>861</v>
      </c>
      <c r="D893" s="9" t="s">
        <v>858</v>
      </c>
      <c r="E893" s="9" t="s">
        <v>875</v>
      </c>
      <c r="F893" s="9" t="s">
        <v>840</v>
      </c>
      <c r="G893" s="9" t="s">
        <v>649</v>
      </c>
      <c r="H893" s="31">
        <v>5.0</v>
      </c>
    </row>
    <row r="894">
      <c r="A894" s="11">
        <v>46154.35417694444</v>
      </c>
      <c r="B894" s="9" t="s">
        <v>372</v>
      </c>
      <c r="C894" s="9" t="s">
        <v>870</v>
      </c>
      <c r="D894" s="9" t="s">
        <v>896</v>
      </c>
      <c r="E894" s="9" t="s">
        <v>877</v>
      </c>
      <c r="F894" s="9" t="s">
        <v>840</v>
      </c>
      <c r="G894" s="9" t="s">
        <v>649</v>
      </c>
      <c r="H894" s="31">
        <v>5.0</v>
      </c>
    </row>
    <row r="895">
      <c r="A895" s="11">
        <v>46154.44297495371</v>
      </c>
      <c r="B895" s="9" t="s">
        <v>219</v>
      </c>
      <c r="C895" s="9" t="s">
        <v>887</v>
      </c>
      <c r="D895" s="9" t="s">
        <v>890</v>
      </c>
      <c r="E895" s="9" t="s">
        <v>838</v>
      </c>
      <c r="F895" s="9" t="s">
        <v>840</v>
      </c>
      <c r="G895" s="9" t="s">
        <v>834</v>
      </c>
      <c r="H895" s="31"/>
    </row>
    <row r="896">
      <c r="A896" s="11">
        <v>46154.44489929398</v>
      </c>
      <c r="B896" s="9" t="s">
        <v>219</v>
      </c>
      <c r="C896" s="9" t="s">
        <v>865</v>
      </c>
      <c r="D896" s="9" t="s">
        <v>838</v>
      </c>
      <c r="E896" s="9" t="s">
        <v>890</v>
      </c>
      <c r="F896" s="9" t="s">
        <v>840</v>
      </c>
      <c r="G896" s="9" t="s">
        <v>834</v>
      </c>
      <c r="H896" s="31"/>
    </row>
    <row r="897">
      <c r="A897" s="11">
        <v>46154.445397812495</v>
      </c>
      <c r="B897" s="9" t="s">
        <v>219</v>
      </c>
      <c r="C897" s="9" t="s">
        <v>887</v>
      </c>
      <c r="D897" s="9" t="s">
        <v>865</v>
      </c>
      <c r="E897" s="9" t="s">
        <v>838</v>
      </c>
      <c r="F897" s="9" t="s">
        <v>840</v>
      </c>
      <c r="G897" s="9" t="s">
        <v>649</v>
      </c>
      <c r="H897" s="31">
        <v>4.0</v>
      </c>
    </row>
    <row r="898">
      <c r="A898" s="11">
        <v>46154.47334087963</v>
      </c>
      <c r="B898" s="9" t="s">
        <v>260</v>
      </c>
      <c r="C898" s="9" t="s">
        <v>878</v>
      </c>
      <c r="D898" s="9" t="s">
        <v>859</v>
      </c>
      <c r="E898" s="9" t="s">
        <v>896</v>
      </c>
      <c r="F898" s="9" t="s">
        <v>840</v>
      </c>
      <c r="G898" s="9" t="s">
        <v>649</v>
      </c>
      <c r="H898" s="31">
        <v>5.0</v>
      </c>
    </row>
    <row r="899">
      <c r="A899" s="11">
        <v>46154.541233310185</v>
      </c>
      <c r="B899" s="9" t="s">
        <v>328</v>
      </c>
      <c r="C899" s="9" t="s">
        <v>876</v>
      </c>
      <c r="D899" s="9" t="s">
        <v>861</v>
      </c>
      <c r="E899" s="9" t="s">
        <v>890</v>
      </c>
      <c r="F899" s="9" t="s">
        <v>840</v>
      </c>
      <c r="G899" s="9" t="s">
        <v>834</v>
      </c>
      <c r="H899" s="31"/>
    </row>
    <row r="900">
      <c r="A900" s="11">
        <v>46154.5415640625</v>
      </c>
      <c r="B900" s="9" t="s">
        <v>84</v>
      </c>
      <c r="C900" s="9" t="s">
        <v>895</v>
      </c>
      <c r="D900" s="9" t="s">
        <v>861</v>
      </c>
      <c r="E900" s="9" t="s">
        <v>890</v>
      </c>
      <c r="F900" s="9" t="s">
        <v>840</v>
      </c>
      <c r="G900" s="9" t="s">
        <v>649</v>
      </c>
      <c r="H900" s="31">
        <v>3.0</v>
      </c>
    </row>
    <row r="901">
      <c r="A901" s="11">
        <v>46154.54260019676</v>
      </c>
      <c r="B901" s="9" t="s">
        <v>328</v>
      </c>
      <c r="C901" s="9" t="s">
        <v>861</v>
      </c>
      <c r="D901" s="9" t="s">
        <v>895</v>
      </c>
      <c r="E901" s="9" t="s">
        <v>890</v>
      </c>
      <c r="F901" s="9" t="s">
        <v>840</v>
      </c>
      <c r="G901" s="9" t="s">
        <v>649</v>
      </c>
      <c r="H901" s="31">
        <v>4.0</v>
      </c>
    </row>
    <row r="902">
      <c r="A902" s="11">
        <v>46154.58691899305</v>
      </c>
      <c r="B902" s="9" t="s">
        <v>355</v>
      </c>
      <c r="C902" s="9" t="s">
        <v>890</v>
      </c>
      <c r="D902" s="9" t="s">
        <v>870</v>
      </c>
      <c r="E902" s="9" t="s">
        <v>839</v>
      </c>
      <c r="F902" s="9" t="s">
        <v>840</v>
      </c>
      <c r="G902" s="9" t="s">
        <v>834</v>
      </c>
      <c r="H902" s="31"/>
    </row>
    <row r="903">
      <c r="A903" s="11">
        <v>46154.58907177083</v>
      </c>
      <c r="B903" s="9" t="s">
        <v>355</v>
      </c>
      <c r="C903" s="9" t="s">
        <v>855</v>
      </c>
      <c r="D903" s="9" t="s">
        <v>861</v>
      </c>
      <c r="E903" s="9" t="s">
        <v>862</v>
      </c>
      <c r="F903" s="9" t="s">
        <v>840</v>
      </c>
      <c r="G903" s="9" t="s">
        <v>834</v>
      </c>
      <c r="H903" s="31"/>
    </row>
    <row r="904">
      <c r="A904" s="11">
        <v>46154.590851388886</v>
      </c>
      <c r="B904" s="9" t="s">
        <v>355</v>
      </c>
      <c r="C904" s="9" t="s">
        <v>855</v>
      </c>
      <c r="D904" s="9" t="s">
        <v>862</v>
      </c>
      <c r="E904" s="9" t="s">
        <v>890</v>
      </c>
      <c r="F904" s="9" t="s">
        <v>840</v>
      </c>
      <c r="G904" s="9" t="s">
        <v>649</v>
      </c>
      <c r="H904" s="31">
        <v>4.0</v>
      </c>
    </row>
    <row r="905">
      <c r="A905" s="11">
        <v>46154.618108993054</v>
      </c>
      <c r="B905" s="9" t="s">
        <v>115</v>
      </c>
      <c r="C905" s="9" t="s">
        <v>866</v>
      </c>
      <c r="D905" s="9" t="s">
        <v>890</v>
      </c>
      <c r="E905" s="9" t="s">
        <v>855</v>
      </c>
      <c r="F905" s="9" t="s">
        <v>840</v>
      </c>
      <c r="H905" s="31">
        <v>3.0</v>
      </c>
    </row>
    <row r="906">
      <c r="A906" s="11">
        <v>46154.61897815972</v>
      </c>
      <c r="B906" s="9" t="s">
        <v>139</v>
      </c>
      <c r="C906" s="9" t="s">
        <v>872</v>
      </c>
      <c r="D906" s="9" t="s">
        <v>858</v>
      </c>
      <c r="E906" s="9" t="s">
        <v>861</v>
      </c>
      <c r="F906" s="9" t="s">
        <v>840</v>
      </c>
      <c r="H906" s="31">
        <v>3.0</v>
      </c>
    </row>
    <row r="907">
      <c r="A907" s="11">
        <v>46154.641582013894</v>
      </c>
      <c r="B907" s="9" t="s">
        <v>256</v>
      </c>
      <c r="C907" s="9" t="s">
        <v>876</v>
      </c>
      <c r="D907" s="9" t="s">
        <v>869</v>
      </c>
      <c r="E907" s="9" t="s">
        <v>883</v>
      </c>
      <c r="F907" s="9" t="s">
        <v>840</v>
      </c>
      <c r="G907" s="9" t="s">
        <v>649</v>
      </c>
      <c r="H907" s="31">
        <v>4.0</v>
      </c>
    </row>
    <row r="908">
      <c r="A908" s="11">
        <v>46154.654741527775</v>
      </c>
      <c r="B908" s="9" t="s">
        <v>335</v>
      </c>
      <c r="C908" s="9" t="s">
        <v>864</v>
      </c>
      <c r="D908" s="9" t="s">
        <v>877</v>
      </c>
      <c r="E908" s="9" t="s">
        <v>865</v>
      </c>
      <c r="F908" s="9" t="s">
        <v>840</v>
      </c>
      <c r="G908" s="9" t="s">
        <v>649</v>
      </c>
      <c r="H908" s="31">
        <v>5.0</v>
      </c>
    </row>
    <row r="909">
      <c r="A909" s="11">
        <v>46154.6586202662</v>
      </c>
      <c r="B909" s="9" t="s">
        <v>333</v>
      </c>
      <c r="C909" s="9" t="s">
        <v>900</v>
      </c>
      <c r="D909" s="9" t="s">
        <v>871</v>
      </c>
      <c r="E909" s="9" t="s">
        <v>887</v>
      </c>
      <c r="F909" s="9" t="s">
        <v>840</v>
      </c>
      <c r="H909" s="31">
        <v>4.0</v>
      </c>
    </row>
    <row r="910">
      <c r="A910" s="11">
        <v>46154.6789125</v>
      </c>
      <c r="B910" s="9" t="s">
        <v>182</v>
      </c>
      <c r="C910" s="9" t="s">
        <v>872</v>
      </c>
      <c r="D910" s="9" t="s">
        <v>868</v>
      </c>
      <c r="E910" s="9" t="s">
        <v>862</v>
      </c>
      <c r="F910" s="9" t="s">
        <v>840</v>
      </c>
      <c r="G910" s="9" t="s">
        <v>649</v>
      </c>
      <c r="H910" s="31">
        <v>4.0</v>
      </c>
    </row>
    <row r="911">
      <c r="A911" s="11">
        <v>46154.67927804399</v>
      </c>
      <c r="B911" s="9" t="s">
        <v>920</v>
      </c>
      <c r="C911" s="9" t="s">
        <v>881</v>
      </c>
      <c r="D911" s="9" t="s">
        <v>866</v>
      </c>
      <c r="E911" s="9" t="s">
        <v>838</v>
      </c>
      <c r="F911" s="9" t="s">
        <v>840</v>
      </c>
      <c r="G911" s="9" t="s">
        <v>834</v>
      </c>
      <c r="H911" s="31"/>
    </row>
    <row r="912">
      <c r="A912" s="11">
        <v>46154.6871158912</v>
      </c>
      <c r="B912" s="9" t="s">
        <v>256</v>
      </c>
      <c r="C912" s="9" t="s">
        <v>863</v>
      </c>
      <c r="D912" s="9" t="s">
        <v>871</v>
      </c>
      <c r="E912" s="9" t="s">
        <v>862</v>
      </c>
      <c r="F912" s="9" t="s">
        <v>840</v>
      </c>
      <c r="G912" s="9" t="s">
        <v>649</v>
      </c>
      <c r="H912" s="31">
        <v>5.0</v>
      </c>
    </row>
    <row r="913">
      <c r="A913" s="11">
        <v>46154.692447546295</v>
      </c>
      <c r="B913" s="9" t="s">
        <v>424</v>
      </c>
      <c r="C913" s="9" t="s">
        <v>838</v>
      </c>
      <c r="D913" s="9" t="s">
        <v>858</v>
      </c>
      <c r="E913" s="9" t="s">
        <v>891</v>
      </c>
      <c r="F913" s="9" t="s">
        <v>840</v>
      </c>
      <c r="G913" s="9" t="s">
        <v>649</v>
      </c>
      <c r="H913" s="31">
        <v>4.0</v>
      </c>
    </row>
    <row r="914">
      <c r="A914" s="11">
        <v>46154.72389337963</v>
      </c>
      <c r="B914" s="9" t="s">
        <v>104</v>
      </c>
      <c r="C914" s="9" t="s">
        <v>839</v>
      </c>
      <c r="D914" s="9" t="s">
        <v>891</v>
      </c>
      <c r="E914" s="9" t="s">
        <v>871</v>
      </c>
      <c r="F914" s="9" t="s">
        <v>840</v>
      </c>
      <c r="G914" s="9" t="s">
        <v>834</v>
      </c>
      <c r="H914" s="31"/>
    </row>
    <row r="915">
      <c r="A915" s="11">
        <v>46154.724789942135</v>
      </c>
      <c r="B915" s="9" t="s">
        <v>104</v>
      </c>
      <c r="C915" s="9" t="s">
        <v>839</v>
      </c>
      <c r="D915" s="9" t="s">
        <v>871</v>
      </c>
      <c r="E915" s="9" t="s">
        <v>868</v>
      </c>
      <c r="F915" s="9" t="s">
        <v>840</v>
      </c>
      <c r="G915" s="9" t="s">
        <v>649</v>
      </c>
      <c r="H915" s="31">
        <v>4.0</v>
      </c>
    </row>
    <row r="916">
      <c r="A916" s="11">
        <v>46154.74788601852</v>
      </c>
      <c r="B916" s="9" t="s">
        <v>254</v>
      </c>
      <c r="C916" s="9" t="s">
        <v>872</v>
      </c>
      <c r="D916" s="9" t="s">
        <v>877</v>
      </c>
      <c r="E916" s="9" t="s">
        <v>838</v>
      </c>
      <c r="F916" s="9" t="s">
        <v>840</v>
      </c>
      <c r="G916" s="9" t="s">
        <v>649</v>
      </c>
      <c r="H916" s="31">
        <v>3.0</v>
      </c>
    </row>
    <row r="917">
      <c r="A917" s="11">
        <v>46154.78124546296</v>
      </c>
      <c r="B917" s="9" t="s">
        <v>224</v>
      </c>
      <c r="C917" s="9" t="s">
        <v>895</v>
      </c>
      <c r="D917" s="9" t="s">
        <v>889</v>
      </c>
      <c r="E917" s="9" t="s">
        <v>878</v>
      </c>
      <c r="F917" s="9" t="s">
        <v>840</v>
      </c>
      <c r="G917" s="9" t="s">
        <v>649</v>
      </c>
      <c r="H917" s="31">
        <v>5.0</v>
      </c>
    </row>
    <row r="918">
      <c r="A918" s="11">
        <v>46154.80527527777</v>
      </c>
      <c r="B918" s="9" t="s">
        <v>161</v>
      </c>
      <c r="C918" s="9" t="s">
        <v>883</v>
      </c>
      <c r="D918" s="9" t="s">
        <v>866</v>
      </c>
      <c r="E918" s="9" t="s">
        <v>895</v>
      </c>
      <c r="F918" s="9" t="s">
        <v>840</v>
      </c>
      <c r="G918" s="9" t="s">
        <v>649</v>
      </c>
      <c r="H918" s="31">
        <v>4.0</v>
      </c>
    </row>
    <row r="919">
      <c r="A919" s="11">
        <v>46154.838939814814</v>
      </c>
      <c r="B919" s="9" t="s">
        <v>121</v>
      </c>
      <c r="C919" s="9" t="s">
        <v>863</v>
      </c>
      <c r="D919" s="9" t="s">
        <v>857</v>
      </c>
      <c r="E919" s="9" t="s">
        <v>862</v>
      </c>
      <c r="F919" s="9" t="s">
        <v>840</v>
      </c>
      <c r="H919" s="31">
        <v>4.0</v>
      </c>
    </row>
    <row r="920">
      <c r="A920" s="11">
        <v>46154.85205356481</v>
      </c>
      <c r="B920" s="9" t="s">
        <v>297</v>
      </c>
      <c r="C920" s="9" t="s">
        <v>887</v>
      </c>
      <c r="D920" s="9" t="s">
        <v>838</v>
      </c>
      <c r="E920" s="9" t="s">
        <v>859</v>
      </c>
      <c r="F920" s="9" t="s">
        <v>840</v>
      </c>
      <c r="G920" s="9" t="s">
        <v>649</v>
      </c>
      <c r="H920" s="31">
        <v>4.0</v>
      </c>
    </row>
    <row r="921">
      <c r="A921" s="11">
        <v>46154.87132611111</v>
      </c>
      <c r="B921" s="9" t="s">
        <v>404</v>
      </c>
      <c r="C921" s="9" t="s">
        <v>854</v>
      </c>
      <c r="D921" s="9" t="s">
        <v>872</v>
      </c>
      <c r="E921" s="9" t="s">
        <v>853</v>
      </c>
      <c r="F921" s="9" t="s">
        <v>840</v>
      </c>
      <c r="G921" s="9" t="s">
        <v>834</v>
      </c>
      <c r="H921" s="31"/>
    </row>
    <row r="922">
      <c r="A922" s="11">
        <v>46154.872860069445</v>
      </c>
      <c r="B922" s="9" t="s">
        <v>404</v>
      </c>
      <c r="C922" s="9" t="s">
        <v>854</v>
      </c>
      <c r="D922" s="9" t="s">
        <v>872</v>
      </c>
      <c r="E922" s="9" t="s">
        <v>874</v>
      </c>
      <c r="F922" s="9" t="s">
        <v>840</v>
      </c>
      <c r="G922" s="9" t="s">
        <v>649</v>
      </c>
      <c r="H922" s="31">
        <v>5.0</v>
      </c>
    </row>
    <row r="923">
      <c r="A923" s="11">
        <v>46154.88508583333</v>
      </c>
      <c r="B923" s="9" t="s">
        <v>331</v>
      </c>
      <c r="C923" s="9" t="s">
        <v>887</v>
      </c>
      <c r="D923" s="9" t="s">
        <v>858</v>
      </c>
      <c r="E923" s="9" t="s">
        <v>896</v>
      </c>
      <c r="F923" s="9" t="s">
        <v>840</v>
      </c>
      <c r="H923" s="31">
        <v>3.0</v>
      </c>
    </row>
    <row r="924">
      <c r="A924" s="11">
        <v>46154.88886099537</v>
      </c>
      <c r="B924" s="9" t="s">
        <v>154</v>
      </c>
      <c r="C924" s="9" t="s">
        <v>864</v>
      </c>
      <c r="D924" s="9" t="s">
        <v>865</v>
      </c>
      <c r="E924" s="9" t="s">
        <v>880</v>
      </c>
      <c r="F924" s="9" t="s">
        <v>840</v>
      </c>
      <c r="G924" s="9" t="s">
        <v>834</v>
      </c>
      <c r="H924" s="31"/>
    </row>
    <row r="925">
      <c r="A925" s="11">
        <v>46154.89117446759</v>
      </c>
      <c r="B925" s="9" t="s">
        <v>154</v>
      </c>
      <c r="C925" s="9" t="s">
        <v>880</v>
      </c>
      <c r="D925" s="9" t="s">
        <v>883</v>
      </c>
      <c r="E925" s="9" t="s">
        <v>871</v>
      </c>
      <c r="F925" s="9" t="s">
        <v>840</v>
      </c>
      <c r="G925" s="9" t="s">
        <v>649</v>
      </c>
      <c r="H925" s="31">
        <v>4.0</v>
      </c>
    </row>
    <row r="926">
      <c r="A926" s="11">
        <v>46154.924030891205</v>
      </c>
      <c r="B926" s="9" t="s">
        <v>920</v>
      </c>
      <c r="C926" s="9" t="s">
        <v>880</v>
      </c>
      <c r="D926" s="9" t="s">
        <v>838</v>
      </c>
      <c r="E926" s="9" t="s">
        <v>852</v>
      </c>
      <c r="F926" s="9" t="s">
        <v>840</v>
      </c>
      <c r="G926" s="9" t="s">
        <v>649</v>
      </c>
      <c r="H926" s="31">
        <v>3.0</v>
      </c>
    </row>
    <row r="927">
      <c r="A927" s="11">
        <v>46154.992617870375</v>
      </c>
      <c r="B927" s="9" t="s">
        <v>348</v>
      </c>
      <c r="C927" s="9" t="s">
        <v>864</v>
      </c>
      <c r="D927" s="9" t="s">
        <v>879</v>
      </c>
      <c r="E927" s="9" t="s">
        <v>865</v>
      </c>
      <c r="F927" s="9" t="s">
        <v>840</v>
      </c>
      <c r="G927" s="9" t="s">
        <v>649</v>
      </c>
      <c r="H927" s="31">
        <v>4.0</v>
      </c>
    </row>
    <row r="928">
      <c r="A928" s="11">
        <v>46155.003877951385</v>
      </c>
      <c r="B928" s="9" t="s">
        <v>252</v>
      </c>
      <c r="C928" s="9" t="s">
        <v>839</v>
      </c>
      <c r="D928" s="9" t="s">
        <v>883</v>
      </c>
      <c r="E928" s="9" t="s">
        <v>871</v>
      </c>
      <c r="F928" s="9" t="s">
        <v>840</v>
      </c>
      <c r="G928" s="9" t="s">
        <v>649</v>
      </c>
      <c r="H928" s="31">
        <v>3.0</v>
      </c>
    </row>
    <row r="929">
      <c r="A929" s="11">
        <v>46155.02850326389</v>
      </c>
      <c r="B929" s="9" t="s">
        <v>343</v>
      </c>
      <c r="C929" s="9" t="s">
        <v>881</v>
      </c>
      <c r="D929" s="9" t="s">
        <v>853</v>
      </c>
      <c r="E929" s="9" t="s">
        <v>875</v>
      </c>
      <c r="F929" s="9" t="s">
        <v>840</v>
      </c>
      <c r="H929" s="31">
        <v>3.0</v>
      </c>
    </row>
    <row r="930">
      <c r="A930" s="11">
        <v>46155.05498840278</v>
      </c>
      <c r="B930" s="9" t="s">
        <v>337</v>
      </c>
      <c r="C930" s="9" t="s">
        <v>855</v>
      </c>
      <c r="D930" s="9" t="s">
        <v>868</v>
      </c>
      <c r="E930" s="9" t="s">
        <v>889</v>
      </c>
      <c r="F930" s="9" t="s">
        <v>840</v>
      </c>
      <c r="G930" s="9" t="s">
        <v>649</v>
      </c>
      <c r="H930" s="31">
        <v>5.0</v>
      </c>
    </row>
    <row r="931">
      <c r="A931" s="11">
        <v>46155.29080192129</v>
      </c>
      <c r="B931" s="9" t="s">
        <v>215</v>
      </c>
      <c r="C931" s="9" t="s">
        <v>867</v>
      </c>
      <c r="D931" s="9" t="s">
        <v>895</v>
      </c>
      <c r="E931" s="9" t="s">
        <v>858</v>
      </c>
      <c r="F931" s="9" t="s">
        <v>840</v>
      </c>
      <c r="G931" s="9" t="s">
        <v>649</v>
      </c>
      <c r="H931" s="31">
        <v>4.0</v>
      </c>
    </row>
    <row r="932">
      <c r="A932" s="11">
        <v>46155.34528178241</v>
      </c>
      <c r="B932" s="9" t="s">
        <v>336</v>
      </c>
      <c r="C932" s="9" t="s">
        <v>854</v>
      </c>
      <c r="D932" s="9" t="s">
        <v>839</v>
      </c>
      <c r="E932" s="9" t="s">
        <v>882</v>
      </c>
      <c r="F932" s="9" t="s">
        <v>840</v>
      </c>
      <c r="H932" s="31">
        <v>4.0</v>
      </c>
    </row>
    <row r="933">
      <c r="A933" s="11">
        <v>46155.41867673611</v>
      </c>
      <c r="B933" s="9" t="s">
        <v>352</v>
      </c>
      <c r="C933" s="9" t="s">
        <v>879</v>
      </c>
      <c r="D933" s="9" t="s">
        <v>874</v>
      </c>
      <c r="E933" s="9" t="s">
        <v>891</v>
      </c>
      <c r="F933" s="9" t="s">
        <v>840</v>
      </c>
      <c r="G933" s="9" t="s">
        <v>649</v>
      </c>
      <c r="H933" s="31">
        <v>5.0</v>
      </c>
    </row>
    <row r="934">
      <c r="A934" s="11">
        <v>46155.425408298615</v>
      </c>
      <c r="B934" s="9" t="s">
        <v>318</v>
      </c>
      <c r="C934" s="9" t="s">
        <v>877</v>
      </c>
      <c r="D934" s="9" t="s">
        <v>858</v>
      </c>
      <c r="E934" s="9" t="s">
        <v>896</v>
      </c>
      <c r="F934" s="9" t="s">
        <v>840</v>
      </c>
      <c r="H934" s="31">
        <v>5.0</v>
      </c>
    </row>
    <row r="935">
      <c r="A935" s="11">
        <v>46155.53978665509</v>
      </c>
      <c r="B935" s="9" t="s">
        <v>328</v>
      </c>
      <c r="C935" s="9" t="s">
        <v>883</v>
      </c>
      <c r="D935" s="9" t="s">
        <v>856</v>
      </c>
      <c r="E935" s="9" t="s">
        <v>882</v>
      </c>
      <c r="F935" s="9" t="s">
        <v>840</v>
      </c>
      <c r="G935" s="9" t="s">
        <v>649</v>
      </c>
      <c r="H935" s="31">
        <v>5.0</v>
      </c>
    </row>
    <row r="936">
      <c r="A936" s="11">
        <v>46155.567853043976</v>
      </c>
      <c r="B936" s="9" t="s">
        <v>250</v>
      </c>
      <c r="C936" s="9" t="s">
        <v>880</v>
      </c>
      <c r="D936" s="9" t="s">
        <v>878</v>
      </c>
      <c r="E936" s="9" t="s">
        <v>896</v>
      </c>
      <c r="F936" s="9" t="s">
        <v>840</v>
      </c>
      <c r="G936" s="9" t="s">
        <v>649</v>
      </c>
      <c r="H936" s="31">
        <v>4.0</v>
      </c>
    </row>
    <row r="937">
      <c r="A937" s="11">
        <v>46155.617296701384</v>
      </c>
      <c r="B937" s="9" t="s">
        <v>329</v>
      </c>
      <c r="C937" s="9" t="s">
        <v>876</v>
      </c>
      <c r="D937" s="9" t="s">
        <v>854</v>
      </c>
      <c r="E937" s="9" t="s">
        <v>871</v>
      </c>
      <c r="F937" s="9" t="s">
        <v>840</v>
      </c>
      <c r="G937" s="9" t="s">
        <v>649</v>
      </c>
      <c r="H937" s="31">
        <v>5.0</v>
      </c>
    </row>
    <row r="938">
      <c r="A938" s="11">
        <v>46155.70630174769</v>
      </c>
      <c r="B938" s="9" t="s">
        <v>332</v>
      </c>
      <c r="C938" s="9" t="s">
        <v>889</v>
      </c>
      <c r="D938" s="9" t="s">
        <v>866</v>
      </c>
      <c r="E938" s="9" t="s">
        <v>838</v>
      </c>
      <c r="F938" s="9" t="s">
        <v>840</v>
      </c>
      <c r="G938" s="9" t="s">
        <v>649</v>
      </c>
      <c r="H938" s="31">
        <v>3.0</v>
      </c>
    </row>
    <row r="939">
      <c r="A939" s="11">
        <v>46155.73057439815</v>
      </c>
      <c r="B939" s="9" t="s">
        <v>294</v>
      </c>
      <c r="C939" s="9" t="s">
        <v>876</v>
      </c>
      <c r="D939" s="9" t="s">
        <v>890</v>
      </c>
      <c r="E939" s="9" t="s">
        <v>863</v>
      </c>
      <c r="F939" s="9" t="s">
        <v>840</v>
      </c>
      <c r="G939" s="9" t="s">
        <v>649</v>
      </c>
      <c r="H939" s="31">
        <v>5.0</v>
      </c>
    </row>
    <row r="940">
      <c r="A940" s="11">
        <v>46155.74012563657</v>
      </c>
      <c r="B940" s="9" t="s">
        <v>269</v>
      </c>
      <c r="C940" s="9" t="s">
        <v>887</v>
      </c>
      <c r="D940" s="9" t="s">
        <v>869</v>
      </c>
      <c r="E940" s="9" t="s">
        <v>839</v>
      </c>
      <c r="F940" s="9" t="s">
        <v>840</v>
      </c>
      <c r="G940" s="9" t="s">
        <v>649</v>
      </c>
      <c r="H940" s="31">
        <v>4.0</v>
      </c>
    </row>
    <row r="941">
      <c r="A941" s="11">
        <v>46155.75260694444</v>
      </c>
      <c r="B941" s="9" t="s">
        <v>424</v>
      </c>
      <c r="C941" s="9" t="s">
        <v>890</v>
      </c>
      <c r="D941" s="9" t="s">
        <v>866</v>
      </c>
      <c r="E941" s="9" t="s">
        <v>863</v>
      </c>
      <c r="F941" s="9" t="s">
        <v>840</v>
      </c>
      <c r="G941" s="9" t="s">
        <v>649</v>
      </c>
      <c r="H941" s="31">
        <v>5.0</v>
      </c>
    </row>
    <row r="942">
      <c r="A942" s="11">
        <v>46155.77289710648</v>
      </c>
      <c r="B942" s="9" t="s">
        <v>296</v>
      </c>
      <c r="C942" s="9" t="s">
        <v>864</v>
      </c>
      <c r="D942" s="9" t="s">
        <v>866</v>
      </c>
      <c r="E942" s="9" t="s">
        <v>881</v>
      </c>
      <c r="F942" s="9" t="s">
        <v>840</v>
      </c>
      <c r="H942" s="31">
        <v>2.0</v>
      </c>
    </row>
    <row r="943">
      <c r="A943" s="11">
        <v>46155.783453703705</v>
      </c>
      <c r="B943" s="9" t="s">
        <v>173</v>
      </c>
      <c r="C943" s="9" t="s">
        <v>889</v>
      </c>
      <c r="D943" s="9" t="s">
        <v>881</v>
      </c>
      <c r="E943" s="9" t="s">
        <v>868</v>
      </c>
      <c r="F943" s="9" t="s">
        <v>840</v>
      </c>
      <c r="G943" s="9" t="s">
        <v>649</v>
      </c>
      <c r="H943" s="31">
        <v>4.0</v>
      </c>
    </row>
    <row r="944">
      <c r="A944" s="11">
        <v>46155.80151347222</v>
      </c>
      <c r="B944" s="9" t="s">
        <v>238</v>
      </c>
      <c r="C944" s="9" t="s">
        <v>858</v>
      </c>
      <c r="D944" s="9" t="s">
        <v>868</v>
      </c>
      <c r="E944" s="9" t="s">
        <v>852</v>
      </c>
      <c r="F944" s="9" t="s">
        <v>840</v>
      </c>
      <c r="H944" s="31">
        <v>3.0</v>
      </c>
    </row>
    <row r="945">
      <c r="A945" s="11">
        <v>46155.808581550926</v>
      </c>
      <c r="B945" s="9" t="s">
        <v>356</v>
      </c>
      <c r="C945" s="9" t="s">
        <v>854</v>
      </c>
      <c r="D945" s="9" t="s">
        <v>891</v>
      </c>
      <c r="E945" s="9" t="s">
        <v>872</v>
      </c>
      <c r="F945" s="9" t="s">
        <v>840</v>
      </c>
      <c r="G945" s="9" t="s">
        <v>649</v>
      </c>
      <c r="H945" s="31">
        <v>3.0</v>
      </c>
    </row>
    <row r="946">
      <c r="A946" s="11">
        <v>46155.84811090278</v>
      </c>
      <c r="B946" s="9" t="s">
        <v>243</v>
      </c>
      <c r="C946" s="9" t="s">
        <v>858</v>
      </c>
      <c r="D946" s="9" t="s">
        <v>891</v>
      </c>
      <c r="E946" s="9" t="s">
        <v>880</v>
      </c>
      <c r="F946" s="9" t="s">
        <v>840</v>
      </c>
      <c r="G946" s="9" t="s">
        <v>649</v>
      </c>
      <c r="H946" s="31">
        <v>5.0</v>
      </c>
    </row>
    <row r="947">
      <c r="A947" s="11">
        <v>46155.888859618055</v>
      </c>
      <c r="B947" s="9" t="s">
        <v>366</v>
      </c>
      <c r="C947" s="9" t="s">
        <v>890</v>
      </c>
      <c r="D947" s="9" t="s">
        <v>861</v>
      </c>
      <c r="E947" s="9" t="s">
        <v>887</v>
      </c>
      <c r="F947" s="9" t="s">
        <v>840</v>
      </c>
      <c r="G947" s="9" t="s">
        <v>649</v>
      </c>
      <c r="H947" s="31">
        <v>4.0</v>
      </c>
    </row>
    <row r="948">
      <c r="A948" s="11">
        <v>46155.894562581016</v>
      </c>
      <c r="B948" s="9" t="s">
        <v>373</v>
      </c>
      <c r="C948" s="9" t="s">
        <v>839</v>
      </c>
      <c r="D948" s="9" t="s">
        <v>868</v>
      </c>
      <c r="E948" s="9" t="s">
        <v>900</v>
      </c>
      <c r="F948" s="9" t="s">
        <v>840</v>
      </c>
      <c r="H948" s="31">
        <v>3.0</v>
      </c>
    </row>
    <row r="949">
      <c r="A949" s="11">
        <v>46155.89691438657</v>
      </c>
      <c r="B949" s="9" t="s">
        <v>369</v>
      </c>
      <c r="C949" s="9" t="s">
        <v>866</v>
      </c>
      <c r="D949" s="9" t="s">
        <v>864</v>
      </c>
      <c r="E949" s="9" t="s">
        <v>883</v>
      </c>
      <c r="F949" s="9" t="s">
        <v>840</v>
      </c>
      <c r="G949" s="9" t="s">
        <v>649</v>
      </c>
      <c r="H949" s="31">
        <v>4.0</v>
      </c>
    </row>
    <row r="950">
      <c r="A950" s="11">
        <v>46155.91954190972</v>
      </c>
      <c r="B950" s="9" t="s">
        <v>394</v>
      </c>
      <c r="C950" s="9" t="s">
        <v>870</v>
      </c>
      <c r="D950" s="9" t="s">
        <v>887</v>
      </c>
      <c r="E950" s="9" t="s">
        <v>866</v>
      </c>
      <c r="F950" s="9" t="s">
        <v>840</v>
      </c>
      <c r="G950" s="9" t="s">
        <v>649</v>
      </c>
      <c r="H950" s="31">
        <v>4.0</v>
      </c>
    </row>
    <row r="951">
      <c r="A951" s="11">
        <v>46155.924253379635</v>
      </c>
      <c r="B951" s="9" t="s">
        <v>316</v>
      </c>
      <c r="C951" s="9" t="s">
        <v>865</v>
      </c>
      <c r="D951" s="9" t="s">
        <v>879</v>
      </c>
      <c r="E951" s="9" t="s">
        <v>878</v>
      </c>
      <c r="F951" s="9" t="s">
        <v>840</v>
      </c>
      <c r="G951" s="9" t="s">
        <v>649</v>
      </c>
      <c r="H951" s="31">
        <v>4.0</v>
      </c>
    </row>
    <row r="952">
      <c r="A952" s="11">
        <v>46155.95063341435</v>
      </c>
      <c r="B952" s="9" t="s">
        <v>300</v>
      </c>
      <c r="C952" s="9" t="s">
        <v>856</v>
      </c>
      <c r="D952" s="9" t="s">
        <v>854</v>
      </c>
      <c r="E952" s="9" t="s">
        <v>882</v>
      </c>
      <c r="F952" s="9" t="s">
        <v>840</v>
      </c>
      <c r="G952" s="9" t="s">
        <v>649</v>
      </c>
      <c r="H952" s="31">
        <v>5.0</v>
      </c>
    </row>
    <row r="953">
      <c r="A953" s="11">
        <v>46155.966692118054</v>
      </c>
      <c r="B953" s="9" t="s">
        <v>320</v>
      </c>
      <c r="C953" s="9" t="s">
        <v>839</v>
      </c>
      <c r="D953" s="9" t="s">
        <v>896</v>
      </c>
      <c r="E953" s="9" t="s">
        <v>859</v>
      </c>
      <c r="F953" s="9" t="s">
        <v>840</v>
      </c>
      <c r="H953" s="31">
        <v>4.0</v>
      </c>
    </row>
    <row r="954">
      <c r="A954" s="11">
        <v>46155.979017314814</v>
      </c>
      <c r="B954" s="9" t="s">
        <v>316</v>
      </c>
      <c r="C954" s="9" t="s">
        <v>896</v>
      </c>
      <c r="D954" s="9" t="s">
        <v>881</v>
      </c>
      <c r="E954" s="9" t="s">
        <v>889</v>
      </c>
      <c r="F954" s="9" t="s">
        <v>840</v>
      </c>
      <c r="G954" s="9" t="s">
        <v>649</v>
      </c>
      <c r="H954" s="31">
        <v>5.0</v>
      </c>
    </row>
    <row r="955">
      <c r="A955" s="11">
        <v>46155.99508959491</v>
      </c>
      <c r="B955" s="9" t="s">
        <v>257</v>
      </c>
      <c r="C955" s="9" t="s">
        <v>868</v>
      </c>
      <c r="D955" s="9" t="s">
        <v>871</v>
      </c>
      <c r="E955" s="9" t="s">
        <v>856</v>
      </c>
      <c r="F955" s="9" t="s">
        <v>840</v>
      </c>
      <c r="G955" s="9" t="s">
        <v>649</v>
      </c>
      <c r="H955" s="31">
        <v>5.0</v>
      </c>
    </row>
    <row r="956">
      <c r="A956" s="11">
        <v>46156.01300594908</v>
      </c>
      <c r="B956" s="9" t="s">
        <v>301</v>
      </c>
      <c r="C956" s="9" t="s">
        <v>837</v>
      </c>
      <c r="D956" s="9" t="s">
        <v>880</v>
      </c>
      <c r="E956" s="9" t="s">
        <v>858</v>
      </c>
      <c r="F956" s="9" t="s">
        <v>840</v>
      </c>
      <c r="G956" s="9" t="s">
        <v>649</v>
      </c>
      <c r="H956" s="31">
        <v>5.0</v>
      </c>
    </row>
    <row r="957">
      <c r="A957" s="11">
        <v>46156.03188775463</v>
      </c>
      <c r="B957" s="9" t="s">
        <v>355</v>
      </c>
      <c r="C957" s="9" t="s">
        <v>856</v>
      </c>
      <c r="D957" s="9" t="s">
        <v>868</v>
      </c>
      <c r="E957" s="9" t="s">
        <v>855</v>
      </c>
      <c r="F957" s="9" t="s">
        <v>840</v>
      </c>
      <c r="G957" s="9" t="s">
        <v>834</v>
      </c>
      <c r="H957" s="31"/>
    </row>
    <row r="958">
      <c r="A958" s="11">
        <v>46156.033862488424</v>
      </c>
      <c r="B958" s="9" t="s">
        <v>355</v>
      </c>
      <c r="C958" s="9" t="s">
        <v>856</v>
      </c>
      <c r="D958" s="9" t="s">
        <v>868</v>
      </c>
      <c r="E958" s="9" t="s">
        <v>891</v>
      </c>
      <c r="F958" s="9" t="s">
        <v>840</v>
      </c>
      <c r="G958" s="9" t="s">
        <v>649</v>
      </c>
      <c r="H958" s="31">
        <v>5.0</v>
      </c>
    </row>
    <row r="959">
      <c r="A959" s="11">
        <v>46156.037343020835</v>
      </c>
      <c r="B959" s="9" t="s">
        <v>306</v>
      </c>
      <c r="C959" s="9" t="s">
        <v>865</v>
      </c>
      <c r="D959" s="9" t="s">
        <v>881</v>
      </c>
      <c r="E959" s="9" t="s">
        <v>895</v>
      </c>
      <c r="F959" s="9" t="s">
        <v>840</v>
      </c>
      <c r="G959" s="9" t="s">
        <v>649</v>
      </c>
      <c r="H959" s="31">
        <v>4.0</v>
      </c>
    </row>
    <row r="960">
      <c r="A960" s="11">
        <v>46156.15884684028</v>
      </c>
      <c r="B960" s="9" t="s">
        <v>202</v>
      </c>
      <c r="C960" s="9" t="s">
        <v>863</v>
      </c>
      <c r="D960" s="9" t="s">
        <v>865</v>
      </c>
      <c r="E960" s="9" t="s">
        <v>838</v>
      </c>
      <c r="F960" s="9" t="s">
        <v>840</v>
      </c>
      <c r="G960" s="9" t="s">
        <v>649</v>
      </c>
      <c r="H960" s="31">
        <v>3.0</v>
      </c>
    </row>
    <row r="961">
      <c r="A961" s="11">
        <v>46156.19026231482</v>
      </c>
      <c r="B961" s="9" t="s">
        <v>414</v>
      </c>
      <c r="C961" s="9" t="s">
        <v>868</v>
      </c>
      <c r="D961" s="9" t="s">
        <v>883</v>
      </c>
      <c r="E961" s="9" t="s">
        <v>858</v>
      </c>
      <c r="F961" s="9" t="s">
        <v>840</v>
      </c>
      <c r="G961" s="9" t="s">
        <v>649</v>
      </c>
      <c r="H961" s="31">
        <v>4.0</v>
      </c>
    </row>
    <row r="962">
      <c r="A962" s="11">
        <v>46156.2058634375</v>
      </c>
      <c r="B962" s="9" t="s">
        <v>302</v>
      </c>
      <c r="C962" s="9" t="s">
        <v>864</v>
      </c>
      <c r="D962" s="9" t="s">
        <v>877</v>
      </c>
      <c r="E962" s="9" t="s">
        <v>896</v>
      </c>
      <c r="F962" s="9" t="s">
        <v>840</v>
      </c>
      <c r="G962" s="9" t="s">
        <v>649</v>
      </c>
      <c r="H962" s="31">
        <v>4.0</v>
      </c>
    </row>
    <row r="963">
      <c r="A963" s="11">
        <v>46156.34681820602</v>
      </c>
      <c r="B963" s="9" t="s">
        <v>161</v>
      </c>
      <c r="C963" s="9" t="s">
        <v>874</v>
      </c>
      <c r="D963" s="9" t="s">
        <v>870</v>
      </c>
      <c r="E963" s="9" t="s">
        <v>896</v>
      </c>
      <c r="F963" s="9" t="s">
        <v>840</v>
      </c>
      <c r="G963" s="9" t="s">
        <v>649</v>
      </c>
      <c r="H963" s="31">
        <v>5.0</v>
      </c>
    </row>
    <row r="964">
      <c r="A964" s="11">
        <v>46156.40987019676</v>
      </c>
      <c r="B964" s="9" t="s">
        <v>160</v>
      </c>
      <c r="C964" s="9" t="s">
        <v>882</v>
      </c>
      <c r="D964" s="9" t="s">
        <v>839</v>
      </c>
      <c r="E964" s="9" t="s">
        <v>868</v>
      </c>
      <c r="F964" s="9" t="s">
        <v>840</v>
      </c>
      <c r="G964" s="9" t="s">
        <v>834</v>
      </c>
      <c r="H964" s="31"/>
    </row>
    <row r="965">
      <c r="A965" s="11">
        <v>46156.41221282407</v>
      </c>
      <c r="B965" s="9" t="s">
        <v>160</v>
      </c>
      <c r="C965" s="9" t="s">
        <v>856</v>
      </c>
      <c r="D965" s="9" t="s">
        <v>883</v>
      </c>
      <c r="E965" s="9" t="s">
        <v>855</v>
      </c>
      <c r="F965" s="9" t="s">
        <v>840</v>
      </c>
      <c r="G965" s="9" t="s">
        <v>649</v>
      </c>
      <c r="H965" s="31">
        <v>5.0</v>
      </c>
    </row>
    <row r="966">
      <c r="A966" s="11">
        <v>46156.47429116898</v>
      </c>
      <c r="B966" s="9" t="s">
        <v>397</v>
      </c>
      <c r="C966" s="9" t="s">
        <v>867</v>
      </c>
      <c r="D966" s="9" t="s">
        <v>887</v>
      </c>
      <c r="E966" s="9" t="s">
        <v>874</v>
      </c>
      <c r="F966" s="9" t="s">
        <v>840</v>
      </c>
      <c r="G966" s="9" t="s">
        <v>649</v>
      </c>
      <c r="H966" s="31">
        <v>3.0</v>
      </c>
    </row>
    <row r="967">
      <c r="A967" s="11">
        <v>46156.4965605787</v>
      </c>
      <c r="B967" s="9" t="s">
        <v>379</v>
      </c>
      <c r="C967" s="9" t="s">
        <v>896</v>
      </c>
      <c r="D967" s="9" t="s">
        <v>858</v>
      </c>
      <c r="E967" s="9" t="s">
        <v>881</v>
      </c>
      <c r="F967" s="9" t="s">
        <v>840</v>
      </c>
      <c r="G967" s="9" t="s">
        <v>649</v>
      </c>
      <c r="H967" s="31">
        <v>5.0</v>
      </c>
    </row>
    <row r="968">
      <c r="A968" s="11">
        <v>46156.53255554398</v>
      </c>
      <c r="B968" s="9" t="s">
        <v>164</v>
      </c>
      <c r="C968" s="9" t="s">
        <v>856</v>
      </c>
      <c r="D968" s="9" t="s">
        <v>858</v>
      </c>
      <c r="E968" s="9" t="s">
        <v>838</v>
      </c>
      <c r="F968" s="9" t="s">
        <v>840</v>
      </c>
      <c r="G968" s="9" t="s">
        <v>649</v>
      </c>
      <c r="H968" s="31">
        <v>4.0</v>
      </c>
    </row>
    <row r="969">
      <c r="A969" s="11">
        <v>46156.571976493055</v>
      </c>
      <c r="B969" s="9" t="s">
        <v>55</v>
      </c>
      <c r="C969" s="9" t="s">
        <v>862</v>
      </c>
      <c r="D969" s="9" t="s">
        <v>887</v>
      </c>
      <c r="E969" s="9" t="s">
        <v>868</v>
      </c>
      <c r="F969" s="9" t="s">
        <v>840</v>
      </c>
      <c r="G969" s="9" t="s">
        <v>649</v>
      </c>
      <c r="H969" s="31">
        <v>5.0</v>
      </c>
    </row>
    <row r="970">
      <c r="A970" s="11">
        <v>46156.57763451389</v>
      </c>
      <c r="B970" s="9" t="s">
        <v>401</v>
      </c>
      <c r="C970" s="9" t="s">
        <v>866</v>
      </c>
      <c r="D970" s="9" t="s">
        <v>871</v>
      </c>
      <c r="E970" s="9" t="s">
        <v>856</v>
      </c>
      <c r="F970" s="9" t="s">
        <v>840</v>
      </c>
      <c r="G970" s="9" t="s">
        <v>649</v>
      </c>
      <c r="H970" s="31">
        <v>4.0</v>
      </c>
    </row>
    <row r="971">
      <c r="A971" s="11">
        <v>46156.655101006945</v>
      </c>
      <c r="B971" s="9" t="s">
        <v>227</v>
      </c>
      <c r="C971" s="9" t="s">
        <v>895</v>
      </c>
      <c r="D971" s="9" t="s">
        <v>887</v>
      </c>
      <c r="E971" s="9" t="s">
        <v>862</v>
      </c>
      <c r="F971" s="9" t="s">
        <v>840</v>
      </c>
      <c r="G971" s="9" t="s">
        <v>649</v>
      </c>
      <c r="H971" s="31">
        <v>4.0</v>
      </c>
    </row>
    <row r="972">
      <c r="A972" s="11">
        <v>46156.684473217596</v>
      </c>
      <c r="B972" s="9" t="s">
        <v>376</v>
      </c>
      <c r="C972" s="9" t="s">
        <v>858</v>
      </c>
      <c r="D972" s="9" t="s">
        <v>889</v>
      </c>
      <c r="E972" s="9" t="s">
        <v>881</v>
      </c>
      <c r="F972" s="9" t="s">
        <v>840</v>
      </c>
      <c r="H972" s="31">
        <v>4.0</v>
      </c>
    </row>
    <row r="973">
      <c r="A973" s="11">
        <v>46156.69248331018</v>
      </c>
      <c r="B973" s="9" t="s">
        <v>93</v>
      </c>
      <c r="C973" s="9" t="s">
        <v>864</v>
      </c>
      <c r="D973" s="9" t="s">
        <v>877</v>
      </c>
      <c r="E973" s="9" t="s">
        <v>872</v>
      </c>
      <c r="F973" s="9" t="s">
        <v>840</v>
      </c>
      <c r="G973" s="9" t="s">
        <v>649</v>
      </c>
      <c r="H973" s="31">
        <v>4.0</v>
      </c>
    </row>
    <row r="974">
      <c r="A974" s="11">
        <v>46156.69418398148</v>
      </c>
      <c r="B974" s="9" t="s">
        <v>246</v>
      </c>
      <c r="C974" s="9" t="s">
        <v>871</v>
      </c>
      <c r="D974" s="9" t="s">
        <v>882</v>
      </c>
      <c r="E974" s="9" t="s">
        <v>868</v>
      </c>
      <c r="F974" s="9" t="s">
        <v>840</v>
      </c>
      <c r="G974" s="9" t="s">
        <v>649</v>
      </c>
      <c r="H974" s="31">
        <v>4.0</v>
      </c>
    </row>
    <row r="975">
      <c r="A975" s="11">
        <v>46156.72444578704</v>
      </c>
      <c r="B975" s="9" t="s">
        <v>83</v>
      </c>
      <c r="C975" s="9" t="s">
        <v>900</v>
      </c>
      <c r="D975" s="9" t="s">
        <v>858</v>
      </c>
      <c r="E975" s="9" t="s">
        <v>889</v>
      </c>
      <c r="F975" s="9" t="s">
        <v>840</v>
      </c>
      <c r="G975" s="9" t="s">
        <v>649</v>
      </c>
      <c r="H975" s="31">
        <v>5.0</v>
      </c>
    </row>
    <row r="976">
      <c r="A976" s="11">
        <v>46156.747296319445</v>
      </c>
      <c r="B976" s="9" t="s">
        <v>74</v>
      </c>
      <c r="C976" s="9" t="s">
        <v>877</v>
      </c>
      <c r="D976" s="9" t="s">
        <v>853</v>
      </c>
      <c r="E976" s="9" t="s">
        <v>838</v>
      </c>
      <c r="F976" s="9" t="s">
        <v>840</v>
      </c>
      <c r="G976" s="9" t="s">
        <v>649</v>
      </c>
      <c r="H976" s="31">
        <v>4.0</v>
      </c>
    </row>
    <row r="977">
      <c r="A977" s="11">
        <v>46156.78741952546</v>
      </c>
      <c r="B977" s="9" t="s">
        <v>246</v>
      </c>
      <c r="C977" s="9" t="s">
        <v>839</v>
      </c>
      <c r="D977" s="9" t="s">
        <v>856</v>
      </c>
      <c r="E977" s="9" t="s">
        <v>855</v>
      </c>
      <c r="F977" s="9" t="s">
        <v>840</v>
      </c>
      <c r="G977" s="9" t="s">
        <v>834</v>
      </c>
      <c r="H977" s="31"/>
    </row>
    <row r="978">
      <c r="A978" s="11">
        <v>46156.788631076386</v>
      </c>
      <c r="B978" s="9" t="s">
        <v>246</v>
      </c>
      <c r="C978" s="9" t="s">
        <v>839</v>
      </c>
      <c r="D978" s="9" t="s">
        <v>856</v>
      </c>
      <c r="E978" s="9" t="s">
        <v>891</v>
      </c>
      <c r="F978" s="9" t="s">
        <v>840</v>
      </c>
      <c r="G978" s="9" t="s">
        <v>834</v>
      </c>
      <c r="H978" s="31"/>
    </row>
    <row r="979">
      <c r="A979" s="11">
        <v>46156.78897126157</v>
      </c>
      <c r="B979" s="9" t="s">
        <v>246</v>
      </c>
      <c r="C979" s="9" t="s">
        <v>876</v>
      </c>
      <c r="D979" s="9" t="s">
        <v>863</v>
      </c>
      <c r="E979" s="9" t="s">
        <v>839</v>
      </c>
      <c r="F979" s="9" t="s">
        <v>840</v>
      </c>
      <c r="G979" s="9" t="s">
        <v>649</v>
      </c>
      <c r="H979" s="31">
        <v>5.0</v>
      </c>
    </row>
    <row r="980">
      <c r="A980" s="11">
        <v>46156.861557592594</v>
      </c>
      <c r="B980" s="9" t="s">
        <v>298</v>
      </c>
      <c r="C980" s="9" t="s">
        <v>861</v>
      </c>
      <c r="D980" s="9" t="s">
        <v>863</v>
      </c>
      <c r="E980" s="9" t="s">
        <v>881</v>
      </c>
      <c r="F980" s="9" t="s">
        <v>840</v>
      </c>
      <c r="G980" s="9" t="s">
        <v>649</v>
      </c>
      <c r="H980" s="31">
        <v>4.0</v>
      </c>
    </row>
    <row r="981">
      <c r="A981" s="11">
        <v>46156.86687834491</v>
      </c>
      <c r="B981" s="9" t="s">
        <v>421</v>
      </c>
      <c r="C981" s="9" t="s">
        <v>875</v>
      </c>
      <c r="D981" s="9" t="s">
        <v>856</v>
      </c>
      <c r="E981" s="9" t="s">
        <v>858</v>
      </c>
      <c r="F981" s="9" t="s">
        <v>840</v>
      </c>
      <c r="G981" s="9" t="s">
        <v>649</v>
      </c>
      <c r="H981" s="31">
        <v>3.0</v>
      </c>
    </row>
    <row r="982">
      <c r="A982" s="11">
        <v>46156.877452789355</v>
      </c>
      <c r="B982" s="9" t="s">
        <v>137</v>
      </c>
      <c r="C982" s="9" t="s">
        <v>863</v>
      </c>
      <c r="D982" s="9" t="s">
        <v>872</v>
      </c>
      <c r="E982" s="9" t="s">
        <v>882</v>
      </c>
      <c r="F982" s="9" t="s">
        <v>840</v>
      </c>
      <c r="G982" s="9" t="s">
        <v>649</v>
      </c>
      <c r="H982" s="31">
        <v>3.0</v>
      </c>
    </row>
    <row r="983">
      <c r="A983" s="11">
        <v>46156.88897799769</v>
      </c>
      <c r="B983" s="9" t="s">
        <v>935</v>
      </c>
      <c r="C983" s="9" t="s">
        <v>876</v>
      </c>
      <c r="D983" s="9" t="s">
        <v>863</v>
      </c>
      <c r="E983" s="9" t="s">
        <v>871</v>
      </c>
      <c r="F983" s="9" t="s">
        <v>840</v>
      </c>
      <c r="G983" s="9" t="s">
        <v>834</v>
      </c>
      <c r="H983" s="31"/>
    </row>
    <row r="984">
      <c r="A984" s="11">
        <v>46156.89925248842</v>
      </c>
      <c r="B984" s="9" t="s">
        <v>918</v>
      </c>
      <c r="C984" s="9" t="s">
        <v>891</v>
      </c>
      <c r="D984" s="9" t="s">
        <v>872</v>
      </c>
      <c r="E984" s="9" t="s">
        <v>883</v>
      </c>
      <c r="F984" s="9" t="s">
        <v>840</v>
      </c>
      <c r="G984" s="9" t="s">
        <v>834</v>
      </c>
      <c r="H984" s="31"/>
    </row>
    <row r="985">
      <c r="A985" s="11">
        <v>46156.902868668985</v>
      </c>
      <c r="B985" s="9" t="s">
        <v>143</v>
      </c>
      <c r="C985" s="9" t="s">
        <v>859</v>
      </c>
      <c r="D985" s="9" t="s">
        <v>874</v>
      </c>
      <c r="E985" s="9" t="s">
        <v>868</v>
      </c>
      <c r="F985" s="9" t="s">
        <v>840</v>
      </c>
      <c r="G985" s="9" t="s">
        <v>649</v>
      </c>
      <c r="H985" s="31">
        <v>3.0</v>
      </c>
    </row>
    <row r="986">
      <c r="A986" s="11">
        <v>46156.90301765046</v>
      </c>
      <c r="B986" s="9" t="s">
        <v>935</v>
      </c>
      <c r="C986" s="9" t="s">
        <v>890</v>
      </c>
      <c r="D986" s="9" t="s">
        <v>857</v>
      </c>
      <c r="E986" s="9" t="s">
        <v>861</v>
      </c>
      <c r="F986" s="9" t="s">
        <v>840</v>
      </c>
      <c r="G986" s="9" t="s">
        <v>649</v>
      </c>
      <c r="H986" s="31">
        <v>3.0</v>
      </c>
    </row>
    <row r="987">
      <c r="A987" s="11">
        <v>46156.926489722224</v>
      </c>
      <c r="B987" s="9" t="s">
        <v>918</v>
      </c>
      <c r="C987" s="9" t="s">
        <v>854</v>
      </c>
      <c r="D987" s="9" t="s">
        <v>880</v>
      </c>
      <c r="E987" s="9" t="s">
        <v>870</v>
      </c>
      <c r="F987" s="9" t="s">
        <v>840</v>
      </c>
      <c r="G987" s="9" t="s">
        <v>649</v>
      </c>
      <c r="H987" s="31">
        <v>5.0</v>
      </c>
    </row>
    <row r="988">
      <c r="A988" s="11">
        <v>46156.92878149306</v>
      </c>
      <c r="B988" s="9" t="s">
        <v>278</v>
      </c>
      <c r="C988" s="9" t="s">
        <v>866</v>
      </c>
      <c r="D988" s="9" t="s">
        <v>838</v>
      </c>
      <c r="E988" s="9" t="s">
        <v>881</v>
      </c>
      <c r="F988" s="9" t="s">
        <v>840</v>
      </c>
      <c r="G988" s="9" t="s">
        <v>649</v>
      </c>
      <c r="H988" s="31">
        <v>5.0</v>
      </c>
    </row>
    <row r="989">
      <c r="A989" s="11">
        <v>46156.94966247685</v>
      </c>
      <c r="B989" s="9" t="s">
        <v>150</v>
      </c>
      <c r="C989" s="9" t="s">
        <v>864</v>
      </c>
      <c r="D989" s="9" t="s">
        <v>877</v>
      </c>
      <c r="E989" s="9" t="s">
        <v>858</v>
      </c>
      <c r="F989" s="9" t="s">
        <v>840</v>
      </c>
      <c r="G989" s="9" t="s">
        <v>649</v>
      </c>
      <c r="H989" s="31">
        <v>4.0</v>
      </c>
    </row>
    <row r="990">
      <c r="A990" s="11">
        <v>46156.95629185185</v>
      </c>
      <c r="B990" s="9" t="s">
        <v>935</v>
      </c>
      <c r="C990" s="9" t="s">
        <v>895</v>
      </c>
      <c r="D990" s="9" t="s">
        <v>887</v>
      </c>
      <c r="E990" s="9" t="s">
        <v>869</v>
      </c>
      <c r="F990" s="9" t="s">
        <v>840</v>
      </c>
      <c r="G990" s="9" t="s">
        <v>649</v>
      </c>
      <c r="H990" s="31">
        <v>4.0</v>
      </c>
    </row>
    <row r="991">
      <c r="A991" s="11">
        <v>46156.96831699074</v>
      </c>
      <c r="B991" s="9" t="s">
        <v>200</v>
      </c>
      <c r="C991" s="9" t="s">
        <v>868</v>
      </c>
      <c r="D991" s="9" t="s">
        <v>889</v>
      </c>
      <c r="E991" s="9" t="s">
        <v>883</v>
      </c>
      <c r="F991" s="9" t="s">
        <v>840</v>
      </c>
      <c r="G991" s="9" t="s">
        <v>649</v>
      </c>
      <c r="H991" s="31">
        <v>3.0</v>
      </c>
    </row>
    <row r="992">
      <c r="A992" s="11">
        <v>46156.97165574074</v>
      </c>
      <c r="B992" s="9" t="s">
        <v>371</v>
      </c>
      <c r="C992" s="9" t="s">
        <v>867</v>
      </c>
      <c r="D992" s="9" t="s">
        <v>874</v>
      </c>
      <c r="E992" s="9" t="s">
        <v>859</v>
      </c>
      <c r="F992" s="9" t="s">
        <v>840</v>
      </c>
      <c r="G992" s="9" t="s">
        <v>649</v>
      </c>
      <c r="H992" s="31">
        <v>4.0</v>
      </c>
    </row>
    <row r="993">
      <c r="A993" s="11">
        <v>46157.03086783565</v>
      </c>
      <c r="B993" s="9" t="s">
        <v>280</v>
      </c>
      <c r="C993" s="9" t="s">
        <v>890</v>
      </c>
      <c r="D993" s="9" t="s">
        <v>866</v>
      </c>
      <c r="E993" s="9" t="s">
        <v>883</v>
      </c>
      <c r="F993" s="9" t="s">
        <v>840</v>
      </c>
      <c r="G993" s="9" t="s">
        <v>834</v>
      </c>
      <c r="H993" s="31"/>
    </row>
    <row r="994">
      <c r="A994" s="11">
        <v>46157.03196922454</v>
      </c>
      <c r="B994" s="9" t="s">
        <v>280</v>
      </c>
      <c r="C994" s="9" t="s">
        <v>890</v>
      </c>
      <c r="D994" s="9" t="s">
        <v>883</v>
      </c>
      <c r="E994" s="9" t="s">
        <v>891</v>
      </c>
      <c r="F994" s="9" t="s">
        <v>840</v>
      </c>
      <c r="G994" s="9" t="s">
        <v>834</v>
      </c>
      <c r="H994" s="31"/>
    </row>
    <row r="995">
      <c r="A995" s="11">
        <v>46157.03331554398</v>
      </c>
      <c r="B995" s="9" t="s">
        <v>280</v>
      </c>
      <c r="C995" s="9" t="s">
        <v>866</v>
      </c>
      <c r="D995" s="9" t="s">
        <v>881</v>
      </c>
      <c r="E995" s="9" t="s">
        <v>883</v>
      </c>
      <c r="F995" s="9" t="s">
        <v>840</v>
      </c>
      <c r="G995" s="9" t="s">
        <v>649</v>
      </c>
      <c r="H995" s="31">
        <v>4.0</v>
      </c>
    </row>
    <row r="996">
      <c r="A996" s="11">
        <v>46157.04802307871</v>
      </c>
      <c r="B996" s="9" t="s">
        <v>413</v>
      </c>
      <c r="C996" s="9" t="s">
        <v>864</v>
      </c>
      <c r="D996" s="9" t="s">
        <v>877</v>
      </c>
      <c r="E996" s="9" t="s">
        <v>896</v>
      </c>
      <c r="F996" s="9" t="s">
        <v>840</v>
      </c>
      <c r="G996" s="9" t="s">
        <v>649</v>
      </c>
      <c r="H996" s="31">
        <v>5.0</v>
      </c>
    </row>
    <row r="997">
      <c r="A997" s="11">
        <v>46157.048333495375</v>
      </c>
      <c r="B997" s="9" t="s">
        <v>348</v>
      </c>
      <c r="C997" s="9" t="s">
        <v>881</v>
      </c>
      <c r="D997" s="9" t="s">
        <v>896</v>
      </c>
      <c r="E997" s="9" t="s">
        <v>838</v>
      </c>
      <c r="F997" s="9" t="s">
        <v>840</v>
      </c>
      <c r="G997" s="9" t="s">
        <v>649</v>
      </c>
      <c r="H997" s="31">
        <v>5.0</v>
      </c>
    </row>
    <row r="998">
      <c r="A998" s="11">
        <v>46157.04849621528</v>
      </c>
      <c r="B998" s="9" t="s">
        <v>266</v>
      </c>
      <c r="C998" s="9" t="s">
        <v>854</v>
      </c>
      <c r="D998" s="9" t="s">
        <v>868</v>
      </c>
      <c r="E998" s="9" t="s">
        <v>882</v>
      </c>
      <c r="F998" s="9" t="s">
        <v>840</v>
      </c>
      <c r="G998" s="9" t="s">
        <v>649</v>
      </c>
      <c r="H998" s="31">
        <v>4.0</v>
      </c>
    </row>
    <row r="999">
      <c r="A999" s="11">
        <v>46157.06899855324</v>
      </c>
      <c r="B999" s="9" t="s">
        <v>323</v>
      </c>
      <c r="C999" s="9" t="s">
        <v>881</v>
      </c>
      <c r="D999" s="9" t="s">
        <v>855</v>
      </c>
      <c r="E999" s="9" t="s">
        <v>865</v>
      </c>
      <c r="F999" s="9" t="s">
        <v>840</v>
      </c>
      <c r="G999" s="9" t="s">
        <v>649</v>
      </c>
      <c r="H999" s="31">
        <v>5.0</v>
      </c>
    </row>
    <row r="1000">
      <c r="A1000" s="11">
        <v>46157.081201354165</v>
      </c>
      <c r="B1000" s="9" t="s">
        <v>396</v>
      </c>
      <c r="C1000" s="9" t="s">
        <v>891</v>
      </c>
      <c r="D1000" s="9" t="s">
        <v>872</v>
      </c>
      <c r="E1000" s="9" t="s">
        <v>879</v>
      </c>
      <c r="F1000" s="9" t="s">
        <v>840</v>
      </c>
      <c r="G1000" s="9" t="s">
        <v>649</v>
      </c>
      <c r="H1000" s="31">
        <v>4.0</v>
      </c>
    </row>
    <row r="1001">
      <c r="A1001" s="11">
        <v>46157.26288425926</v>
      </c>
      <c r="B1001" s="9" t="s">
        <v>141</v>
      </c>
      <c r="C1001" s="9" t="s">
        <v>859</v>
      </c>
      <c r="D1001" s="9" t="s">
        <v>878</v>
      </c>
      <c r="E1001" s="9" t="s">
        <v>867</v>
      </c>
      <c r="F1001" s="9" t="s">
        <v>840</v>
      </c>
      <c r="G1001" s="9" t="s">
        <v>649</v>
      </c>
      <c r="H1001" s="31">
        <v>3.0</v>
      </c>
    </row>
    <row r="1002">
      <c r="A1002" s="11">
        <v>46157.29438337963</v>
      </c>
      <c r="B1002" s="9" t="s">
        <v>401</v>
      </c>
      <c r="C1002" s="9" t="s">
        <v>855</v>
      </c>
      <c r="D1002" s="9" t="s">
        <v>889</v>
      </c>
      <c r="E1002" s="9" t="s">
        <v>859</v>
      </c>
      <c r="F1002" s="9" t="s">
        <v>840</v>
      </c>
      <c r="G1002" s="9" t="s">
        <v>649</v>
      </c>
      <c r="H1002" s="31">
        <v>5.0</v>
      </c>
    </row>
    <row r="1003">
      <c r="A1003" s="11">
        <v>46157.379863263894</v>
      </c>
      <c r="B1003" s="9" t="s">
        <v>166</v>
      </c>
      <c r="C1003" s="9" t="s">
        <v>876</v>
      </c>
      <c r="D1003" s="9" t="s">
        <v>877</v>
      </c>
      <c r="E1003" s="9" t="s">
        <v>865</v>
      </c>
      <c r="F1003" s="9" t="s">
        <v>840</v>
      </c>
      <c r="G1003" s="9" t="s">
        <v>649</v>
      </c>
      <c r="H1003" s="31">
        <v>4.0</v>
      </c>
    </row>
    <row r="1004">
      <c r="A1004" s="11">
        <v>46157.38777325231</v>
      </c>
      <c r="B1004" s="9" t="s">
        <v>158</v>
      </c>
      <c r="C1004" s="9" t="s">
        <v>839</v>
      </c>
      <c r="D1004" s="9" t="s">
        <v>868</v>
      </c>
      <c r="E1004" s="9" t="s">
        <v>900</v>
      </c>
      <c r="F1004" s="9" t="s">
        <v>840</v>
      </c>
      <c r="G1004" s="9" t="s">
        <v>649</v>
      </c>
      <c r="H1004" s="31">
        <v>4.0</v>
      </c>
    </row>
    <row r="1005">
      <c r="A1005" s="11">
        <v>46157.41748089121</v>
      </c>
      <c r="B1005" s="9" t="s">
        <v>417</v>
      </c>
      <c r="C1005" s="9" t="s">
        <v>896</v>
      </c>
      <c r="D1005" s="9" t="s">
        <v>861</v>
      </c>
      <c r="E1005" s="9" t="s">
        <v>870</v>
      </c>
      <c r="F1005" s="9" t="s">
        <v>840</v>
      </c>
      <c r="G1005" s="9" t="s">
        <v>649</v>
      </c>
      <c r="H1005" s="31">
        <v>4.0</v>
      </c>
    </row>
    <row r="1006">
      <c r="A1006" s="11">
        <v>46157.45085729167</v>
      </c>
      <c r="B1006" s="9" t="s">
        <v>168</v>
      </c>
      <c r="C1006" s="9" t="s">
        <v>879</v>
      </c>
      <c r="D1006" s="9" t="s">
        <v>838</v>
      </c>
      <c r="E1006" s="9" t="s">
        <v>887</v>
      </c>
      <c r="F1006" s="9" t="s">
        <v>840</v>
      </c>
      <c r="G1006" s="9" t="s">
        <v>649</v>
      </c>
      <c r="H1006" s="31">
        <v>5.0</v>
      </c>
    </row>
    <row r="1007">
      <c r="A1007" s="11">
        <v>46157.46401657407</v>
      </c>
      <c r="B1007" s="9" t="s">
        <v>191</v>
      </c>
      <c r="C1007" s="9" t="s">
        <v>883</v>
      </c>
      <c r="D1007" s="9" t="s">
        <v>871</v>
      </c>
      <c r="E1007" s="9" t="s">
        <v>863</v>
      </c>
      <c r="F1007" s="9" t="s">
        <v>840</v>
      </c>
      <c r="G1007" s="9" t="s">
        <v>649</v>
      </c>
      <c r="H1007" s="31">
        <v>5.0</v>
      </c>
    </row>
    <row r="1008">
      <c r="A1008" s="11">
        <v>46157.500943113424</v>
      </c>
      <c r="B1008" s="9" t="s">
        <v>280</v>
      </c>
      <c r="C1008" s="9" t="s">
        <v>895</v>
      </c>
      <c r="D1008" s="9" t="s">
        <v>889</v>
      </c>
      <c r="E1008" s="9" t="s">
        <v>871</v>
      </c>
      <c r="F1008" s="9" t="s">
        <v>840</v>
      </c>
      <c r="G1008" s="9" t="s">
        <v>649</v>
      </c>
      <c r="H1008" s="31">
        <v>5.0</v>
      </c>
    </row>
    <row r="1009">
      <c r="A1009" s="11">
        <v>46157.51871582176</v>
      </c>
      <c r="B1009" s="9" t="s">
        <v>417</v>
      </c>
      <c r="C1009" s="9" t="s">
        <v>875</v>
      </c>
      <c r="D1009" s="9" t="s">
        <v>867</v>
      </c>
      <c r="E1009" s="9" t="s">
        <v>853</v>
      </c>
      <c r="F1009" s="9" t="s">
        <v>840</v>
      </c>
      <c r="G1009" s="9" t="s">
        <v>649</v>
      </c>
      <c r="H1009" s="31">
        <v>5.0</v>
      </c>
    </row>
    <row r="1010">
      <c r="A1010" s="11">
        <v>46157.563896168984</v>
      </c>
      <c r="B1010" s="9" t="s">
        <v>374</v>
      </c>
      <c r="C1010" s="9" t="s">
        <v>883</v>
      </c>
      <c r="D1010" s="9" t="s">
        <v>856</v>
      </c>
      <c r="E1010" s="9" t="s">
        <v>866</v>
      </c>
      <c r="F1010" s="9" t="s">
        <v>840</v>
      </c>
      <c r="G1010" s="9" t="s">
        <v>649</v>
      </c>
      <c r="H1010" s="31">
        <v>4.0</v>
      </c>
    </row>
    <row r="1011">
      <c r="A1011" s="11">
        <v>46157.58329850694</v>
      </c>
      <c r="B1011" s="9" t="s">
        <v>157</v>
      </c>
      <c r="C1011" s="9" t="s">
        <v>869</v>
      </c>
      <c r="D1011" s="9" t="s">
        <v>864</v>
      </c>
      <c r="E1011" s="9" t="s">
        <v>865</v>
      </c>
      <c r="F1011" s="9" t="s">
        <v>840</v>
      </c>
      <c r="G1011" s="9" t="s">
        <v>649</v>
      </c>
      <c r="H1011" s="31">
        <v>4.0</v>
      </c>
    </row>
    <row r="1012">
      <c r="A1012" s="11">
        <v>46157.601247557875</v>
      </c>
      <c r="B1012" s="9" t="s">
        <v>158</v>
      </c>
      <c r="C1012" s="9" t="s">
        <v>876</v>
      </c>
      <c r="D1012" s="9" t="s">
        <v>872</v>
      </c>
      <c r="E1012" s="9" t="s">
        <v>869</v>
      </c>
      <c r="F1012" s="9" t="s">
        <v>840</v>
      </c>
      <c r="G1012" s="9" t="s">
        <v>649</v>
      </c>
      <c r="H1012" s="31">
        <v>5.0</v>
      </c>
    </row>
    <row r="1013">
      <c r="A1013" s="11">
        <v>46157.60275694444</v>
      </c>
      <c r="B1013" s="9" t="s">
        <v>139</v>
      </c>
      <c r="C1013" s="9" t="s">
        <v>896</v>
      </c>
      <c r="D1013" s="9" t="s">
        <v>839</v>
      </c>
      <c r="E1013" s="9" t="s">
        <v>868</v>
      </c>
      <c r="F1013" s="9" t="s">
        <v>840</v>
      </c>
      <c r="H1013" s="31">
        <v>4.0</v>
      </c>
    </row>
    <row r="1014">
      <c r="A1014" s="11">
        <v>46157.611628784725</v>
      </c>
      <c r="B1014" s="9" t="s">
        <v>313</v>
      </c>
      <c r="C1014" s="9" t="s">
        <v>865</v>
      </c>
      <c r="D1014" s="9" t="s">
        <v>869</v>
      </c>
      <c r="E1014" s="9" t="s">
        <v>864</v>
      </c>
      <c r="F1014" s="9" t="s">
        <v>840</v>
      </c>
      <c r="G1014" s="9" t="s">
        <v>834</v>
      </c>
      <c r="H1014" s="31"/>
    </row>
    <row r="1015">
      <c r="A1015" s="11">
        <v>46157.61233123843</v>
      </c>
      <c r="B1015" s="9" t="s">
        <v>313</v>
      </c>
      <c r="C1015" s="9" t="s">
        <v>865</v>
      </c>
      <c r="D1015" s="9" t="s">
        <v>869</v>
      </c>
      <c r="E1015" s="9" t="s">
        <v>855</v>
      </c>
      <c r="F1015" s="9" t="s">
        <v>840</v>
      </c>
      <c r="G1015" s="9" t="s">
        <v>834</v>
      </c>
      <c r="H1015" s="31"/>
    </row>
    <row r="1016">
      <c r="A1016" s="11">
        <v>46157.6145371412</v>
      </c>
      <c r="B1016" s="9" t="s">
        <v>313</v>
      </c>
      <c r="C1016" s="9" t="s">
        <v>865</v>
      </c>
      <c r="D1016" s="9" t="s">
        <v>869</v>
      </c>
      <c r="E1016" s="9" t="s">
        <v>881</v>
      </c>
      <c r="F1016" s="9" t="s">
        <v>840</v>
      </c>
      <c r="G1016" s="9" t="s">
        <v>649</v>
      </c>
      <c r="H1016" s="31">
        <v>5.0</v>
      </c>
    </row>
    <row r="1017">
      <c r="A1017" s="11">
        <v>46157.6378543287</v>
      </c>
      <c r="B1017" s="9" t="s">
        <v>326</v>
      </c>
      <c r="C1017" s="9" t="s">
        <v>868</v>
      </c>
      <c r="D1017" s="9" t="s">
        <v>871</v>
      </c>
      <c r="E1017" s="9" t="s">
        <v>883</v>
      </c>
      <c r="F1017" s="9" t="s">
        <v>840</v>
      </c>
      <c r="G1017" s="9" t="s">
        <v>649</v>
      </c>
      <c r="H1017" s="31">
        <v>5.0</v>
      </c>
    </row>
    <row r="1018">
      <c r="A1018" s="11">
        <v>46157.63943545139</v>
      </c>
      <c r="B1018" s="9" t="s">
        <v>173</v>
      </c>
      <c r="C1018" s="9" t="s">
        <v>866</v>
      </c>
      <c r="D1018" s="9" t="s">
        <v>839</v>
      </c>
      <c r="E1018" s="9" t="s">
        <v>861</v>
      </c>
      <c r="F1018" s="9" t="s">
        <v>840</v>
      </c>
      <c r="G1018" s="9" t="s">
        <v>834</v>
      </c>
      <c r="H1018" s="31"/>
    </row>
    <row r="1019">
      <c r="A1019" s="11">
        <v>46157.64337716435</v>
      </c>
      <c r="B1019" s="9" t="s">
        <v>173</v>
      </c>
      <c r="C1019" s="9" t="s">
        <v>839</v>
      </c>
      <c r="D1019" s="9" t="s">
        <v>887</v>
      </c>
      <c r="E1019" s="9" t="s">
        <v>864</v>
      </c>
      <c r="F1019" s="9" t="s">
        <v>840</v>
      </c>
      <c r="G1019" s="9" t="s">
        <v>649</v>
      </c>
      <c r="H1019" s="31">
        <v>5.0</v>
      </c>
    </row>
    <row r="1020">
      <c r="A1020" s="11">
        <v>46157.65501918981</v>
      </c>
      <c r="B1020" s="9" t="s">
        <v>237</v>
      </c>
      <c r="C1020" s="9" t="s">
        <v>868</v>
      </c>
      <c r="D1020" s="9" t="s">
        <v>866</v>
      </c>
      <c r="E1020" s="9" t="s">
        <v>881</v>
      </c>
      <c r="F1020" s="9" t="s">
        <v>840</v>
      </c>
      <c r="H1020" s="31">
        <v>4.0</v>
      </c>
    </row>
    <row r="1021">
      <c r="A1021" s="11">
        <v>46157.68086811343</v>
      </c>
      <c r="B1021" s="9" t="s">
        <v>396</v>
      </c>
      <c r="C1021" s="9" t="s">
        <v>858</v>
      </c>
      <c r="D1021" s="9" t="s">
        <v>881</v>
      </c>
      <c r="E1021" s="9" t="s">
        <v>900</v>
      </c>
      <c r="F1021" s="9" t="s">
        <v>840</v>
      </c>
      <c r="G1021" s="9" t="s">
        <v>834</v>
      </c>
      <c r="H1021" s="31"/>
    </row>
    <row r="1022">
      <c r="A1022" s="11">
        <v>46157.68378474537</v>
      </c>
      <c r="B1022" s="9" t="s">
        <v>396</v>
      </c>
      <c r="C1022" s="9" t="s">
        <v>858</v>
      </c>
      <c r="D1022" s="9" t="s">
        <v>881</v>
      </c>
      <c r="E1022" s="9" t="s">
        <v>887</v>
      </c>
      <c r="F1022" s="9" t="s">
        <v>840</v>
      </c>
      <c r="G1022" s="9" t="s">
        <v>649</v>
      </c>
      <c r="H1022" s="31">
        <v>5.0</v>
      </c>
    </row>
    <row r="1023">
      <c r="A1023" s="11">
        <v>46157.69313756944</v>
      </c>
      <c r="B1023" s="9" t="s">
        <v>935</v>
      </c>
      <c r="C1023" s="9" t="s">
        <v>866</v>
      </c>
      <c r="D1023" s="9" t="s">
        <v>879</v>
      </c>
      <c r="E1023" s="9" t="s">
        <v>838</v>
      </c>
      <c r="F1023" s="9" t="s">
        <v>840</v>
      </c>
      <c r="G1023" s="9" t="s">
        <v>649</v>
      </c>
      <c r="H1023" s="31">
        <v>5.0</v>
      </c>
    </row>
    <row r="1024">
      <c r="A1024" s="11">
        <v>46157.69506466435</v>
      </c>
      <c r="B1024" s="9" t="s">
        <v>314</v>
      </c>
      <c r="C1024" s="9" t="s">
        <v>864</v>
      </c>
      <c r="D1024" s="9" t="s">
        <v>877</v>
      </c>
      <c r="E1024" s="9" t="s">
        <v>858</v>
      </c>
      <c r="F1024" s="9" t="s">
        <v>840</v>
      </c>
      <c r="G1024" s="9" t="s">
        <v>834</v>
      </c>
      <c r="H1024" s="31"/>
    </row>
    <row r="1025">
      <c r="A1025" s="11">
        <v>46157.69671346065</v>
      </c>
      <c r="B1025" s="9" t="s">
        <v>314</v>
      </c>
      <c r="C1025" s="9" t="s">
        <v>896</v>
      </c>
      <c r="D1025" s="9" t="s">
        <v>858</v>
      </c>
      <c r="E1025" s="9" t="s">
        <v>870</v>
      </c>
      <c r="F1025" s="9" t="s">
        <v>840</v>
      </c>
      <c r="G1025" s="9" t="s">
        <v>649</v>
      </c>
      <c r="H1025" s="31">
        <v>5.0</v>
      </c>
    </row>
    <row r="1026">
      <c r="A1026" s="11">
        <v>46157.697791805556</v>
      </c>
      <c r="B1026" s="9" t="s">
        <v>62</v>
      </c>
      <c r="C1026" s="9" t="s">
        <v>852</v>
      </c>
      <c r="D1026" s="9" t="s">
        <v>896</v>
      </c>
      <c r="E1026" s="9" t="s">
        <v>861</v>
      </c>
      <c r="F1026" s="9" t="s">
        <v>840</v>
      </c>
      <c r="G1026" s="9" t="s">
        <v>649</v>
      </c>
      <c r="H1026" s="31">
        <v>4.0</v>
      </c>
    </row>
    <row r="1027">
      <c r="A1027" s="11">
        <v>46157.71487174768</v>
      </c>
      <c r="B1027" s="9" t="s">
        <v>93</v>
      </c>
      <c r="C1027" s="9" t="s">
        <v>881</v>
      </c>
      <c r="D1027" s="9" t="s">
        <v>869</v>
      </c>
      <c r="E1027" s="9" t="s">
        <v>856</v>
      </c>
      <c r="F1027" s="9" t="s">
        <v>840</v>
      </c>
      <c r="G1027" s="9" t="s">
        <v>649</v>
      </c>
      <c r="H1027" s="31">
        <v>5.0</v>
      </c>
    </row>
    <row r="1028">
      <c r="A1028" s="11">
        <v>46157.722175393515</v>
      </c>
      <c r="B1028" s="9" t="s">
        <v>71</v>
      </c>
      <c r="C1028" s="9" t="s">
        <v>862</v>
      </c>
      <c r="D1028" s="9" t="s">
        <v>859</v>
      </c>
      <c r="E1028" s="9" t="s">
        <v>855</v>
      </c>
      <c r="F1028" s="9" t="s">
        <v>840</v>
      </c>
      <c r="H1028" s="31">
        <v>4.0</v>
      </c>
    </row>
    <row r="1029">
      <c r="A1029" s="11">
        <v>46157.72365359953</v>
      </c>
      <c r="B1029" s="9" t="s">
        <v>120</v>
      </c>
      <c r="C1029" s="9" t="s">
        <v>878</v>
      </c>
      <c r="D1029" s="9" t="s">
        <v>839</v>
      </c>
      <c r="E1029" s="9" t="s">
        <v>837</v>
      </c>
      <c r="F1029" s="9" t="s">
        <v>840</v>
      </c>
      <c r="G1029" s="9" t="s">
        <v>649</v>
      </c>
      <c r="H1029" s="31">
        <v>4.0</v>
      </c>
    </row>
    <row r="1030">
      <c r="A1030" s="11">
        <v>46157.737551631944</v>
      </c>
      <c r="B1030" s="9" t="s">
        <v>60</v>
      </c>
      <c r="C1030" s="9" t="s">
        <v>867</v>
      </c>
      <c r="D1030" s="9" t="s">
        <v>874</v>
      </c>
      <c r="E1030" s="9" t="s">
        <v>875</v>
      </c>
      <c r="F1030" s="9" t="s">
        <v>840</v>
      </c>
      <c r="G1030" s="9" t="s">
        <v>649</v>
      </c>
      <c r="H1030" s="31">
        <v>5.0</v>
      </c>
    </row>
    <row r="1031">
      <c r="A1031" s="11">
        <v>46157.74703629629</v>
      </c>
      <c r="B1031" s="9" t="s">
        <v>174</v>
      </c>
      <c r="C1031" s="9" t="s">
        <v>877</v>
      </c>
      <c r="D1031" s="9" t="s">
        <v>853</v>
      </c>
      <c r="E1031" s="9" t="s">
        <v>881</v>
      </c>
      <c r="F1031" s="9" t="s">
        <v>840</v>
      </c>
      <c r="G1031" s="9" t="s">
        <v>649</v>
      </c>
      <c r="H1031" s="31">
        <v>5.0</v>
      </c>
    </row>
    <row r="1032">
      <c r="A1032" s="11">
        <v>46157.748756284724</v>
      </c>
      <c r="B1032" s="9" t="s">
        <v>935</v>
      </c>
      <c r="C1032" s="9" t="s">
        <v>853</v>
      </c>
      <c r="D1032" s="9" t="s">
        <v>867</v>
      </c>
      <c r="E1032" s="9" t="s">
        <v>859</v>
      </c>
      <c r="F1032" s="9" t="s">
        <v>840</v>
      </c>
      <c r="G1032" s="9" t="s">
        <v>649</v>
      </c>
      <c r="H1032" s="31">
        <v>6.0</v>
      </c>
    </row>
    <row r="1033">
      <c r="A1033" s="11">
        <v>46157.76111791667</v>
      </c>
      <c r="B1033" s="9" t="s">
        <v>74</v>
      </c>
      <c r="C1033" s="9" t="s">
        <v>855</v>
      </c>
      <c r="D1033" s="9" t="s">
        <v>875</v>
      </c>
      <c r="E1033" s="9" t="s">
        <v>874</v>
      </c>
      <c r="F1033" s="9" t="s">
        <v>840</v>
      </c>
      <c r="G1033" s="9" t="s">
        <v>649</v>
      </c>
      <c r="H1033" s="31">
        <v>5.0</v>
      </c>
    </row>
    <row r="1034">
      <c r="A1034" s="11">
        <v>46157.768749571755</v>
      </c>
      <c r="B1034" s="9" t="s">
        <v>228</v>
      </c>
      <c r="C1034" s="9" t="s">
        <v>875</v>
      </c>
      <c r="D1034" s="9" t="s">
        <v>878</v>
      </c>
      <c r="E1034" s="9" t="s">
        <v>895</v>
      </c>
      <c r="F1034" s="9" t="s">
        <v>840</v>
      </c>
      <c r="G1034" s="9" t="s">
        <v>649</v>
      </c>
      <c r="H1034" s="31">
        <v>3.0</v>
      </c>
    </row>
    <row r="1035">
      <c r="A1035" s="11">
        <v>46157.788562256945</v>
      </c>
      <c r="B1035" s="9" t="s">
        <v>120</v>
      </c>
      <c r="C1035" s="9" t="s">
        <v>853</v>
      </c>
      <c r="D1035" s="9" t="s">
        <v>854</v>
      </c>
      <c r="E1035" s="9" t="s">
        <v>900</v>
      </c>
      <c r="F1035" s="9" t="s">
        <v>840</v>
      </c>
      <c r="G1035" s="9" t="s">
        <v>649</v>
      </c>
      <c r="H1035" s="31">
        <v>5.0</v>
      </c>
    </row>
    <row r="1036">
      <c r="A1036" s="11">
        <v>46157.78874390046</v>
      </c>
      <c r="B1036" s="9" t="s">
        <v>252</v>
      </c>
      <c r="C1036" s="9" t="s">
        <v>862</v>
      </c>
      <c r="D1036" s="9" t="s">
        <v>880</v>
      </c>
      <c r="E1036" s="9" t="s">
        <v>891</v>
      </c>
      <c r="F1036" s="9" t="s">
        <v>840</v>
      </c>
      <c r="G1036" s="9" t="s">
        <v>649</v>
      </c>
      <c r="H1036" s="31">
        <v>4.0</v>
      </c>
    </row>
    <row r="1037">
      <c r="A1037" s="11">
        <v>46157.7940890162</v>
      </c>
      <c r="B1037" s="9" t="s">
        <v>150</v>
      </c>
      <c r="C1037" s="9" t="s">
        <v>891</v>
      </c>
      <c r="D1037" s="9" t="s">
        <v>872</v>
      </c>
      <c r="E1037" s="9" t="s">
        <v>867</v>
      </c>
      <c r="F1037" s="9" t="s">
        <v>840</v>
      </c>
      <c r="G1037" s="9" t="s">
        <v>649</v>
      </c>
      <c r="H1037" s="31">
        <v>5.0</v>
      </c>
    </row>
    <row r="1038">
      <c r="A1038" s="11">
        <v>46157.794401203704</v>
      </c>
      <c r="B1038" s="9" t="s">
        <v>350</v>
      </c>
      <c r="C1038" s="9" t="s">
        <v>876</v>
      </c>
      <c r="D1038" s="9" t="s">
        <v>856</v>
      </c>
      <c r="E1038" s="9" t="s">
        <v>889</v>
      </c>
      <c r="F1038" s="9" t="s">
        <v>840</v>
      </c>
      <c r="G1038" s="9" t="s">
        <v>834</v>
      </c>
      <c r="H1038" s="31"/>
    </row>
    <row r="1039">
      <c r="A1039" s="11">
        <v>46157.79654289351</v>
      </c>
      <c r="B1039" s="9" t="s">
        <v>350</v>
      </c>
      <c r="C1039" s="9" t="s">
        <v>889</v>
      </c>
      <c r="D1039" s="9" t="s">
        <v>856</v>
      </c>
      <c r="E1039" s="9" t="s">
        <v>895</v>
      </c>
      <c r="F1039" s="9" t="s">
        <v>840</v>
      </c>
      <c r="G1039" s="9" t="s">
        <v>649</v>
      </c>
      <c r="H1039" s="31">
        <v>3.0</v>
      </c>
    </row>
    <row r="1040">
      <c r="A1040" s="11">
        <v>46157.798266620375</v>
      </c>
      <c r="B1040" s="9" t="s">
        <v>187</v>
      </c>
      <c r="C1040" s="9" t="s">
        <v>891</v>
      </c>
      <c r="D1040" s="9" t="s">
        <v>854</v>
      </c>
      <c r="E1040" s="9" t="s">
        <v>883</v>
      </c>
      <c r="F1040" s="9" t="s">
        <v>840</v>
      </c>
      <c r="G1040" s="9" t="s">
        <v>649</v>
      </c>
      <c r="H1040" s="31">
        <v>4.0</v>
      </c>
    </row>
    <row r="1041">
      <c r="A1041" s="11">
        <v>46157.843261875</v>
      </c>
      <c r="B1041" s="9" t="s">
        <v>276</v>
      </c>
      <c r="C1041" s="9" t="s">
        <v>865</v>
      </c>
      <c r="D1041" s="9" t="s">
        <v>864</v>
      </c>
      <c r="E1041" s="9" t="s">
        <v>889</v>
      </c>
      <c r="F1041" s="9" t="s">
        <v>840</v>
      </c>
      <c r="G1041" s="9" t="s">
        <v>649</v>
      </c>
      <c r="H1041" s="31">
        <v>4.0</v>
      </c>
    </row>
    <row r="1042">
      <c r="A1042" s="11">
        <v>46157.85319173611</v>
      </c>
      <c r="B1042" s="9" t="s">
        <v>96</v>
      </c>
      <c r="C1042" s="9" t="s">
        <v>854</v>
      </c>
      <c r="D1042" s="9" t="s">
        <v>872</v>
      </c>
      <c r="E1042" s="9" t="s">
        <v>859</v>
      </c>
      <c r="F1042" s="9" t="s">
        <v>840</v>
      </c>
      <c r="H1042" s="31">
        <v>5.0</v>
      </c>
    </row>
    <row r="1043">
      <c r="A1043" s="11">
        <v>46157.87276806713</v>
      </c>
      <c r="B1043" s="9" t="s">
        <v>183</v>
      </c>
      <c r="C1043" s="9" t="s">
        <v>857</v>
      </c>
      <c r="D1043" s="9" t="s">
        <v>872</v>
      </c>
      <c r="E1043" s="9" t="s">
        <v>891</v>
      </c>
      <c r="F1043" s="9" t="s">
        <v>840</v>
      </c>
      <c r="G1043" s="9" t="s">
        <v>649</v>
      </c>
      <c r="H1043" s="31">
        <v>4.0</v>
      </c>
    </row>
    <row r="1044">
      <c r="A1044" s="11">
        <v>46157.88250070602</v>
      </c>
      <c r="B1044" s="9" t="s">
        <v>59</v>
      </c>
      <c r="C1044" s="9" t="s">
        <v>876</v>
      </c>
      <c r="D1044" s="9" t="s">
        <v>865</v>
      </c>
      <c r="E1044" s="9" t="s">
        <v>868</v>
      </c>
      <c r="F1044" s="9" t="s">
        <v>840</v>
      </c>
      <c r="H1044" s="31">
        <v>3.0</v>
      </c>
    </row>
    <row r="1045">
      <c r="A1045" s="11">
        <v>46157.898217071765</v>
      </c>
      <c r="B1045" s="9" t="s">
        <v>219</v>
      </c>
      <c r="C1045" s="9" t="s">
        <v>864</v>
      </c>
      <c r="D1045" s="9" t="s">
        <v>865</v>
      </c>
      <c r="E1045" s="9" t="s">
        <v>866</v>
      </c>
      <c r="F1045" s="9" t="s">
        <v>840</v>
      </c>
      <c r="G1045" s="9" t="s">
        <v>834</v>
      </c>
      <c r="H1045" s="31"/>
    </row>
    <row r="1046">
      <c r="A1046" s="11">
        <v>46157.92243315972</v>
      </c>
      <c r="B1046" s="9" t="s">
        <v>219</v>
      </c>
      <c r="C1046" s="9" t="s">
        <v>839</v>
      </c>
      <c r="D1046" s="9" t="s">
        <v>868</v>
      </c>
      <c r="E1046" s="9" t="s">
        <v>855</v>
      </c>
      <c r="F1046" s="9" t="s">
        <v>840</v>
      </c>
      <c r="G1046" s="9" t="s">
        <v>649</v>
      </c>
      <c r="H1046" s="31">
        <v>5.0</v>
      </c>
    </row>
    <row r="1047">
      <c r="A1047" s="11">
        <v>46157.93897809028</v>
      </c>
      <c r="B1047" s="9" t="s">
        <v>154</v>
      </c>
      <c r="C1047" s="9" t="s">
        <v>855</v>
      </c>
      <c r="D1047" s="9" t="s">
        <v>889</v>
      </c>
      <c r="E1047" s="9" t="s">
        <v>890</v>
      </c>
      <c r="F1047" s="9" t="s">
        <v>840</v>
      </c>
      <c r="G1047" s="9" t="s">
        <v>649</v>
      </c>
      <c r="H1047" s="31">
        <v>5.0</v>
      </c>
    </row>
    <row r="1048">
      <c r="A1048" s="11">
        <v>46157.957223935184</v>
      </c>
      <c r="B1048" s="9" t="s">
        <v>101</v>
      </c>
      <c r="C1048" s="9" t="s">
        <v>859</v>
      </c>
      <c r="D1048" s="9" t="s">
        <v>882</v>
      </c>
      <c r="E1048" s="9" t="s">
        <v>853</v>
      </c>
      <c r="F1048" s="9" t="s">
        <v>840</v>
      </c>
      <c r="G1048" s="9" t="s">
        <v>649</v>
      </c>
      <c r="H1048" s="31">
        <v>5.0</v>
      </c>
    </row>
    <row r="1049">
      <c r="A1049" s="11">
        <v>46157.96446405092</v>
      </c>
      <c r="B1049" s="9" t="s">
        <v>347</v>
      </c>
      <c r="C1049" s="9" t="s">
        <v>864</v>
      </c>
      <c r="D1049" s="9" t="s">
        <v>889</v>
      </c>
      <c r="E1049" s="9" t="s">
        <v>861</v>
      </c>
      <c r="F1049" s="9" t="s">
        <v>840</v>
      </c>
      <c r="G1049" s="9" t="s">
        <v>649</v>
      </c>
      <c r="H1049" s="31">
        <v>4.0</v>
      </c>
    </row>
    <row r="1050">
      <c r="A1050" s="11">
        <v>46157.99266899306</v>
      </c>
      <c r="B1050" s="9" t="s">
        <v>347</v>
      </c>
      <c r="C1050" s="9" t="s">
        <v>879</v>
      </c>
      <c r="D1050" s="9" t="s">
        <v>881</v>
      </c>
      <c r="E1050" s="9" t="s">
        <v>838</v>
      </c>
      <c r="F1050" s="9" t="s">
        <v>840</v>
      </c>
      <c r="G1050" s="9" t="s">
        <v>649</v>
      </c>
      <c r="H1050" s="31">
        <v>5.0</v>
      </c>
    </row>
    <row r="1051">
      <c r="A1051" s="11">
        <v>46158.02888592593</v>
      </c>
      <c r="B1051" s="9" t="s">
        <v>185</v>
      </c>
      <c r="C1051" s="9" t="s">
        <v>839</v>
      </c>
      <c r="D1051" s="9" t="s">
        <v>837</v>
      </c>
      <c r="E1051" s="9" t="s">
        <v>872</v>
      </c>
      <c r="F1051" s="9" t="s">
        <v>840</v>
      </c>
      <c r="G1051" s="9" t="s">
        <v>834</v>
      </c>
      <c r="H1051" s="31"/>
    </row>
    <row r="1052">
      <c r="A1052" s="11">
        <v>46158.030694953704</v>
      </c>
      <c r="B1052" s="9" t="s">
        <v>185</v>
      </c>
      <c r="C1052" s="9" t="s">
        <v>839</v>
      </c>
      <c r="D1052" s="9" t="s">
        <v>868</v>
      </c>
      <c r="E1052" s="9" t="s">
        <v>852</v>
      </c>
      <c r="F1052" s="9" t="s">
        <v>840</v>
      </c>
      <c r="G1052" s="9" t="s">
        <v>649</v>
      </c>
      <c r="H1052" s="31">
        <v>3.0</v>
      </c>
    </row>
    <row r="1053">
      <c r="A1053" s="11">
        <v>46158.08250265046</v>
      </c>
      <c r="B1053" s="9" t="s">
        <v>344</v>
      </c>
      <c r="C1053" s="9" t="s">
        <v>854</v>
      </c>
      <c r="D1053" s="9" t="s">
        <v>882</v>
      </c>
      <c r="E1053" s="9" t="s">
        <v>871</v>
      </c>
      <c r="F1053" s="9" t="s">
        <v>840</v>
      </c>
      <c r="G1053" s="9" t="s">
        <v>649</v>
      </c>
      <c r="H1053" s="31">
        <v>5.0</v>
      </c>
    </row>
    <row r="1054">
      <c r="A1054" s="11">
        <v>46158.27197512731</v>
      </c>
      <c r="B1054" s="9" t="s">
        <v>92</v>
      </c>
      <c r="C1054" s="9" t="s">
        <v>839</v>
      </c>
      <c r="D1054" s="9" t="s">
        <v>900</v>
      </c>
      <c r="E1054" s="9" t="s">
        <v>856</v>
      </c>
      <c r="F1054" s="9" t="s">
        <v>840</v>
      </c>
      <c r="H1054" s="31">
        <v>4.0</v>
      </c>
    </row>
    <row r="1055">
      <c r="A1055" s="11">
        <v>46158.27836956018</v>
      </c>
      <c r="B1055" s="9" t="s">
        <v>63</v>
      </c>
      <c r="C1055" s="9" t="s">
        <v>889</v>
      </c>
      <c r="D1055" s="9" t="s">
        <v>864</v>
      </c>
      <c r="E1055" s="9" t="s">
        <v>865</v>
      </c>
      <c r="F1055" s="9" t="s">
        <v>840</v>
      </c>
      <c r="G1055" s="9" t="s">
        <v>649</v>
      </c>
      <c r="H1055" s="31">
        <v>5.0</v>
      </c>
    </row>
    <row r="1056">
      <c r="A1056" s="11">
        <v>46158.2803771412</v>
      </c>
      <c r="B1056" s="9" t="s">
        <v>287</v>
      </c>
      <c r="C1056" s="9" t="s">
        <v>895</v>
      </c>
      <c r="D1056" s="9" t="s">
        <v>876</v>
      </c>
      <c r="E1056" s="9" t="s">
        <v>881</v>
      </c>
      <c r="F1056" s="9" t="s">
        <v>840</v>
      </c>
      <c r="H1056" s="31">
        <v>4.0</v>
      </c>
    </row>
    <row r="1057">
      <c r="A1057" s="11">
        <v>46158.33533760416</v>
      </c>
      <c r="B1057" s="9" t="s">
        <v>204</v>
      </c>
      <c r="C1057" s="9" t="s">
        <v>876</v>
      </c>
      <c r="D1057" s="9" t="s">
        <v>890</v>
      </c>
      <c r="E1057" s="9" t="s">
        <v>881</v>
      </c>
      <c r="F1057" s="9" t="s">
        <v>840</v>
      </c>
      <c r="H1057" s="31">
        <v>3.0</v>
      </c>
    </row>
    <row r="1058">
      <c r="A1058" s="11">
        <v>46158.44996056713</v>
      </c>
      <c r="B1058" s="9" t="s">
        <v>342</v>
      </c>
      <c r="C1058" s="9" t="s">
        <v>881</v>
      </c>
      <c r="D1058" s="9" t="s">
        <v>858</v>
      </c>
      <c r="E1058" s="9" t="s">
        <v>861</v>
      </c>
      <c r="F1058" s="9" t="s">
        <v>840</v>
      </c>
      <c r="H1058" s="31">
        <v>3.0</v>
      </c>
    </row>
    <row r="1059">
      <c r="A1059" s="11">
        <v>46158.481267650466</v>
      </c>
      <c r="B1059" s="9" t="s">
        <v>76</v>
      </c>
      <c r="C1059" s="9" t="s">
        <v>861</v>
      </c>
      <c r="D1059" s="9" t="s">
        <v>869</v>
      </c>
      <c r="E1059" s="9" t="s">
        <v>865</v>
      </c>
      <c r="F1059" s="9" t="s">
        <v>840</v>
      </c>
      <c r="G1059" s="9" t="s">
        <v>649</v>
      </c>
      <c r="H1059" s="31">
        <v>3.0</v>
      </c>
    </row>
    <row r="1060">
      <c r="A1060" s="11">
        <v>46158.52913407407</v>
      </c>
      <c r="B1060" s="9" t="s">
        <v>123</v>
      </c>
      <c r="C1060" s="9" t="s">
        <v>879</v>
      </c>
      <c r="D1060" s="9" t="s">
        <v>866</v>
      </c>
      <c r="E1060" s="9" t="s">
        <v>855</v>
      </c>
      <c r="F1060" s="9" t="s">
        <v>840</v>
      </c>
      <c r="G1060" s="9" t="s">
        <v>649</v>
      </c>
      <c r="H1060" s="31">
        <v>5.0</v>
      </c>
    </row>
    <row r="1061">
      <c r="A1061" s="11">
        <v>46158.53891171297</v>
      </c>
      <c r="B1061" s="9" t="s">
        <v>273</v>
      </c>
      <c r="C1061" s="9" t="s">
        <v>857</v>
      </c>
      <c r="D1061" s="9" t="s">
        <v>852</v>
      </c>
      <c r="E1061" s="9" t="s">
        <v>883</v>
      </c>
      <c r="F1061" s="9" t="s">
        <v>840</v>
      </c>
      <c r="G1061" s="9" t="s">
        <v>649</v>
      </c>
      <c r="H1061" s="31">
        <v>4.0</v>
      </c>
    </row>
    <row r="1062">
      <c r="A1062" s="11">
        <v>46158.54513039352</v>
      </c>
      <c r="B1062" s="9" t="s">
        <v>274</v>
      </c>
      <c r="C1062" s="9" t="s">
        <v>875</v>
      </c>
      <c r="D1062" s="9" t="s">
        <v>874</v>
      </c>
      <c r="E1062" s="9" t="s">
        <v>880</v>
      </c>
      <c r="F1062" s="9" t="s">
        <v>840</v>
      </c>
      <c r="G1062" s="9" t="s">
        <v>649</v>
      </c>
      <c r="H1062" s="31">
        <v>5.0</v>
      </c>
    </row>
    <row r="1063">
      <c r="A1063" s="11">
        <v>46158.578576562504</v>
      </c>
      <c r="B1063" s="9" t="s">
        <v>61</v>
      </c>
      <c r="C1063" s="9" t="s">
        <v>874</v>
      </c>
      <c r="D1063" s="9" t="s">
        <v>875</v>
      </c>
      <c r="E1063" s="9" t="s">
        <v>891</v>
      </c>
      <c r="F1063" s="9" t="s">
        <v>840</v>
      </c>
      <c r="H1063" s="31">
        <v>4.0</v>
      </c>
    </row>
    <row r="1064">
      <c r="A1064" s="11">
        <v>46158.58523027778</v>
      </c>
      <c r="B1064" s="9" t="s">
        <v>165</v>
      </c>
      <c r="C1064" s="9" t="s">
        <v>867</v>
      </c>
      <c r="D1064" s="9" t="s">
        <v>853</v>
      </c>
      <c r="E1064" s="9" t="s">
        <v>872</v>
      </c>
      <c r="F1064" s="9" t="s">
        <v>840</v>
      </c>
      <c r="H1064" s="31">
        <v>4.0</v>
      </c>
    </row>
    <row r="1065">
      <c r="A1065" s="11">
        <v>46158.59131074074</v>
      </c>
      <c r="B1065" s="9" t="s">
        <v>151</v>
      </c>
      <c r="C1065" s="9" t="s">
        <v>863</v>
      </c>
      <c r="D1065" s="9" t="s">
        <v>876</v>
      </c>
      <c r="E1065" s="9" t="s">
        <v>838</v>
      </c>
      <c r="F1065" s="9" t="s">
        <v>840</v>
      </c>
      <c r="G1065" s="9" t="s">
        <v>649</v>
      </c>
      <c r="H1065" s="31">
        <v>4.0</v>
      </c>
    </row>
    <row r="1066">
      <c r="A1066" s="11">
        <v>46158.59653364583</v>
      </c>
      <c r="B1066" s="9" t="s">
        <v>366</v>
      </c>
      <c r="C1066" s="9" t="s">
        <v>872</v>
      </c>
      <c r="D1066" s="9" t="s">
        <v>854</v>
      </c>
      <c r="E1066" s="9" t="s">
        <v>876</v>
      </c>
      <c r="F1066" s="9" t="s">
        <v>840</v>
      </c>
      <c r="G1066" s="9" t="s">
        <v>649</v>
      </c>
      <c r="H1066" s="31">
        <v>5.0</v>
      </c>
    </row>
    <row r="1067">
      <c r="A1067" s="11">
        <v>46158.599022939816</v>
      </c>
      <c r="B1067" s="9" t="s">
        <v>189</v>
      </c>
      <c r="C1067" s="9" t="s">
        <v>882</v>
      </c>
      <c r="D1067" s="9" t="s">
        <v>876</v>
      </c>
      <c r="E1067" s="9" t="s">
        <v>863</v>
      </c>
      <c r="F1067" s="9" t="s">
        <v>840</v>
      </c>
      <c r="G1067" s="9" t="s">
        <v>649</v>
      </c>
      <c r="H1067" s="31">
        <v>4.0</v>
      </c>
    </row>
    <row r="1068">
      <c r="A1068" s="11">
        <v>46158.62459634259</v>
      </c>
      <c r="B1068" s="9" t="s">
        <v>249</v>
      </c>
      <c r="C1068" s="9" t="s">
        <v>883</v>
      </c>
      <c r="D1068" s="9" t="s">
        <v>866</v>
      </c>
      <c r="E1068" s="9" t="s">
        <v>868</v>
      </c>
      <c r="F1068" s="9" t="s">
        <v>840</v>
      </c>
      <c r="G1068" s="9" t="s">
        <v>649</v>
      </c>
      <c r="H1068" s="31">
        <v>5.0</v>
      </c>
    </row>
    <row r="1069">
      <c r="A1069" s="11">
        <v>46158.63219446759</v>
      </c>
      <c r="B1069" s="9" t="s">
        <v>324</v>
      </c>
      <c r="C1069" s="9" t="s">
        <v>838</v>
      </c>
      <c r="D1069" s="9" t="s">
        <v>879</v>
      </c>
      <c r="E1069" s="9" t="s">
        <v>867</v>
      </c>
      <c r="F1069" s="9" t="s">
        <v>840</v>
      </c>
      <c r="G1069" s="9" t="s">
        <v>649</v>
      </c>
      <c r="H1069" s="31">
        <v>4.0</v>
      </c>
    </row>
    <row r="1070">
      <c r="A1070" s="11">
        <v>46158.65052818287</v>
      </c>
      <c r="B1070" s="9" t="s">
        <v>114</v>
      </c>
      <c r="C1070" s="9" t="s">
        <v>896</v>
      </c>
      <c r="D1070" s="9" t="s">
        <v>868</v>
      </c>
      <c r="E1070" s="9" t="s">
        <v>889</v>
      </c>
      <c r="F1070" s="9" t="s">
        <v>840</v>
      </c>
      <c r="H1070" s="31">
        <v>5.0</v>
      </c>
    </row>
    <row r="1071">
      <c r="A1071" s="11">
        <v>46158.65276391203</v>
      </c>
      <c r="B1071" s="9" t="s">
        <v>187</v>
      </c>
      <c r="C1071" s="9" t="s">
        <v>882</v>
      </c>
      <c r="D1071" s="9" t="s">
        <v>866</v>
      </c>
      <c r="E1071" s="9" t="s">
        <v>857</v>
      </c>
      <c r="F1071" s="9" t="s">
        <v>840</v>
      </c>
      <c r="G1071" s="9" t="s">
        <v>649</v>
      </c>
      <c r="H1071" s="31">
        <v>5.0</v>
      </c>
    </row>
    <row r="1072">
      <c r="A1072" s="11">
        <v>46158.65814078704</v>
      </c>
      <c r="B1072" s="9" t="s">
        <v>205</v>
      </c>
      <c r="C1072" s="9" t="s">
        <v>881</v>
      </c>
      <c r="D1072" s="9" t="s">
        <v>852</v>
      </c>
      <c r="E1072" s="9" t="s">
        <v>872</v>
      </c>
      <c r="F1072" s="9" t="s">
        <v>840</v>
      </c>
      <c r="G1072" s="9" t="s">
        <v>649</v>
      </c>
      <c r="H1072" s="31">
        <v>5.0</v>
      </c>
    </row>
    <row r="1073">
      <c r="A1073" s="11">
        <v>46158.666820983795</v>
      </c>
      <c r="B1073" s="9" t="s">
        <v>151</v>
      </c>
      <c r="C1073" s="9" t="s">
        <v>857</v>
      </c>
      <c r="D1073" s="9" t="s">
        <v>866</v>
      </c>
      <c r="E1073" s="9" t="s">
        <v>856</v>
      </c>
      <c r="F1073" s="9" t="s">
        <v>840</v>
      </c>
      <c r="G1073" s="9" t="s">
        <v>649</v>
      </c>
      <c r="H1073" s="31">
        <v>5.0</v>
      </c>
    </row>
    <row r="1074">
      <c r="A1074" s="11">
        <v>46158.703155428244</v>
      </c>
      <c r="B1074" s="9" t="s">
        <v>217</v>
      </c>
      <c r="C1074" s="9" t="s">
        <v>872</v>
      </c>
      <c r="D1074" s="9" t="s">
        <v>891</v>
      </c>
      <c r="E1074" s="9" t="s">
        <v>874</v>
      </c>
      <c r="F1074" s="9" t="s">
        <v>840</v>
      </c>
      <c r="G1074" s="9" t="s">
        <v>649</v>
      </c>
      <c r="H1074" s="31">
        <v>4.0</v>
      </c>
    </row>
    <row r="1075">
      <c r="A1075" s="11">
        <v>46158.73739383102</v>
      </c>
      <c r="B1075" s="9" t="s">
        <v>250</v>
      </c>
      <c r="C1075" s="9" t="s">
        <v>877</v>
      </c>
      <c r="D1075" s="9" t="s">
        <v>853</v>
      </c>
      <c r="E1075" s="9" t="s">
        <v>867</v>
      </c>
      <c r="F1075" s="9" t="s">
        <v>840</v>
      </c>
      <c r="G1075" s="9" t="s">
        <v>649</v>
      </c>
      <c r="H1075" s="31">
        <v>5.0</v>
      </c>
    </row>
    <row r="1076">
      <c r="A1076" s="11">
        <v>46158.759140752314</v>
      </c>
      <c r="B1076" s="9" t="s">
        <v>302</v>
      </c>
      <c r="C1076" s="9" t="s">
        <v>881</v>
      </c>
      <c r="D1076" s="9" t="s">
        <v>863</v>
      </c>
      <c r="E1076" s="9" t="s">
        <v>889</v>
      </c>
      <c r="F1076" s="9" t="s">
        <v>840</v>
      </c>
      <c r="G1076" s="9" t="s">
        <v>649</v>
      </c>
      <c r="H1076" s="31">
        <v>5.0</v>
      </c>
    </row>
    <row r="1077">
      <c r="A1077" s="11">
        <v>46158.83046200231</v>
      </c>
      <c r="B1077" s="9" t="s">
        <v>299</v>
      </c>
      <c r="C1077" s="9" t="s">
        <v>837</v>
      </c>
      <c r="D1077" s="9" t="s">
        <v>878</v>
      </c>
      <c r="E1077" s="9" t="s">
        <v>861</v>
      </c>
      <c r="F1077" s="9" t="s">
        <v>840</v>
      </c>
      <c r="G1077" s="9" t="s">
        <v>649</v>
      </c>
      <c r="H1077" s="31">
        <v>4.0</v>
      </c>
    </row>
    <row r="1078">
      <c r="A1078" s="11">
        <v>46158.86350349537</v>
      </c>
      <c r="B1078" s="9" t="s">
        <v>141</v>
      </c>
      <c r="C1078" s="9" t="s">
        <v>869</v>
      </c>
      <c r="D1078" s="9" t="s">
        <v>887</v>
      </c>
      <c r="E1078" s="9" t="s">
        <v>890</v>
      </c>
      <c r="F1078" s="9" t="s">
        <v>840</v>
      </c>
      <c r="G1078" s="9" t="s">
        <v>649</v>
      </c>
      <c r="H1078" s="31">
        <v>4.0</v>
      </c>
    </row>
    <row r="1079">
      <c r="A1079" s="11">
        <v>46158.87574554398</v>
      </c>
      <c r="B1079" s="9" t="s">
        <v>286</v>
      </c>
      <c r="C1079" s="9" t="s">
        <v>861</v>
      </c>
      <c r="D1079" s="9" t="s">
        <v>864</v>
      </c>
      <c r="E1079" s="9" t="s">
        <v>878</v>
      </c>
      <c r="F1079" s="9" t="s">
        <v>840</v>
      </c>
      <c r="G1079" s="9" t="s">
        <v>649</v>
      </c>
      <c r="H1079" s="31">
        <v>4.0</v>
      </c>
    </row>
    <row r="1080">
      <c r="A1080" s="11">
        <v>46158.9514753125</v>
      </c>
      <c r="B1080" s="9" t="s">
        <v>374</v>
      </c>
      <c r="C1080" s="9" t="s">
        <v>861</v>
      </c>
      <c r="D1080" s="9" t="s">
        <v>865</v>
      </c>
      <c r="E1080" s="9" t="s">
        <v>889</v>
      </c>
      <c r="F1080" s="9" t="s">
        <v>840</v>
      </c>
      <c r="G1080" s="9" t="s">
        <v>834</v>
      </c>
      <c r="H1080" s="31"/>
    </row>
    <row r="1081">
      <c r="A1081" s="11">
        <v>46158.95439366898</v>
      </c>
      <c r="B1081" s="9" t="s">
        <v>374</v>
      </c>
      <c r="C1081" s="9" t="s">
        <v>865</v>
      </c>
      <c r="D1081" s="9" t="s">
        <v>889</v>
      </c>
      <c r="E1081" s="9" t="s">
        <v>896</v>
      </c>
      <c r="F1081" s="9" t="s">
        <v>840</v>
      </c>
      <c r="G1081" s="9" t="s">
        <v>834</v>
      </c>
      <c r="H1081" s="31"/>
    </row>
    <row r="1082">
      <c r="A1082" s="11">
        <v>46158.99824410879</v>
      </c>
      <c r="B1082" s="9" t="s">
        <v>253</v>
      </c>
      <c r="C1082" s="9" t="s">
        <v>861</v>
      </c>
      <c r="D1082" s="9" t="s">
        <v>838</v>
      </c>
      <c r="E1082" s="9" t="s">
        <v>852</v>
      </c>
      <c r="F1082" s="9" t="s">
        <v>840</v>
      </c>
      <c r="H1082" s="31">
        <v>4.0</v>
      </c>
    </row>
    <row r="1083">
      <c r="A1083" s="11">
        <v>46159.040049641204</v>
      </c>
      <c r="B1083" s="9" t="s">
        <v>185</v>
      </c>
      <c r="C1083" s="9" t="s">
        <v>879</v>
      </c>
      <c r="D1083" s="9" t="s">
        <v>838</v>
      </c>
      <c r="E1083" s="9" t="s">
        <v>877</v>
      </c>
      <c r="F1083" s="9" t="s">
        <v>840</v>
      </c>
      <c r="G1083" s="9" t="s">
        <v>834</v>
      </c>
      <c r="H1083" s="31"/>
    </row>
    <row r="1084">
      <c r="A1084" s="11">
        <v>46159.04120086806</v>
      </c>
      <c r="B1084" s="9" t="s">
        <v>185</v>
      </c>
      <c r="C1084" s="9" t="s">
        <v>877</v>
      </c>
      <c r="D1084" s="9" t="s">
        <v>891</v>
      </c>
      <c r="E1084" s="9" t="s">
        <v>879</v>
      </c>
      <c r="F1084" s="9" t="s">
        <v>840</v>
      </c>
      <c r="G1084" s="9" t="s">
        <v>649</v>
      </c>
      <c r="H1084" s="31">
        <v>4.0</v>
      </c>
    </row>
    <row r="1085">
      <c r="A1085" s="11">
        <v>46159.14393517361</v>
      </c>
      <c r="B1085" s="9" t="s">
        <v>167</v>
      </c>
      <c r="C1085" s="9" t="s">
        <v>876</v>
      </c>
      <c r="D1085" s="9" t="s">
        <v>864</v>
      </c>
      <c r="E1085" s="9" t="s">
        <v>877</v>
      </c>
      <c r="F1085" s="9" t="s">
        <v>840</v>
      </c>
      <c r="G1085" s="9" t="s">
        <v>649</v>
      </c>
      <c r="H1085" s="31">
        <v>5.0</v>
      </c>
    </row>
    <row r="1086">
      <c r="A1086" s="11">
        <v>46159.45228193287</v>
      </c>
      <c r="B1086" s="9" t="s">
        <v>368</v>
      </c>
      <c r="C1086" s="9" t="s">
        <v>861</v>
      </c>
      <c r="D1086" s="9" t="s">
        <v>871</v>
      </c>
      <c r="E1086" s="9" t="s">
        <v>878</v>
      </c>
      <c r="F1086" s="9" t="s">
        <v>840</v>
      </c>
      <c r="G1086" s="9" t="s">
        <v>649</v>
      </c>
      <c r="H1086" s="31">
        <v>4.0</v>
      </c>
    </row>
    <row r="1087">
      <c r="A1087" s="11">
        <v>46159.47457643518</v>
      </c>
      <c r="B1087" s="9" t="s">
        <v>61</v>
      </c>
      <c r="C1087" s="9" t="s">
        <v>867</v>
      </c>
      <c r="D1087" s="9" t="s">
        <v>858</v>
      </c>
      <c r="E1087" s="9" t="s">
        <v>859</v>
      </c>
      <c r="F1087" s="9" t="s">
        <v>840</v>
      </c>
      <c r="G1087" s="9" t="s">
        <v>834</v>
      </c>
      <c r="H1087" s="31"/>
    </row>
    <row r="1088">
      <c r="A1088" s="11">
        <v>46159.47905425926</v>
      </c>
      <c r="B1088" s="9" t="s">
        <v>61</v>
      </c>
      <c r="C1088" s="9" t="s">
        <v>858</v>
      </c>
      <c r="D1088" s="9" t="s">
        <v>859</v>
      </c>
      <c r="E1088" s="9" t="s">
        <v>837</v>
      </c>
      <c r="F1088" s="9" t="s">
        <v>840</v>
      </c>
      <c r="H1088" s="31">
        <v>5.0</v>
      </c>
    </row>
    <row r="1089">
      <c r="A1089" s="11">
        <v>46159.500997905096</v>
      </c>
      <c r="B1089" s="9" t="s">
        <v>88</v>
      </c>
      <c r="C1089" s="9" t="s">
        <v>896</v>
      </c>
      <c r="D1089" s="9" t="s">
        <v>874</v>
      </c>
      <c r="E1089" s="9" t="s">
        <v>858</v>
      </c>
      <c r="F1089" s="9" t="s">
        <v>840</v>
      </c>
      <c r="H1089" s="31">
        <v>5.0</v>
      </c>
    </row>
    <row r="1090">
      <c r="A1090" s="11">
        <v>46159.522967453704</v>
      </c>
      <c r="B1090" s="9" t="s">
        <v>189</v>
      </c>
      <c r="C1090" s="9" t="s">
        <v>852</v>
      </c>
      <c r="D1090" s="9" t="s">
        <v>887</v>
      </c>
      <c r="E1090" s="9" t="s">
        <v>889</v>
      </c>
      <c r="F1090" s="9" t="s">
        <v>840</v>
      </c>
      <c r="G1090" s="9" t="s">
        <v>834</v>
      </c>
      <c r="H1090" s="31"/>
    </row>
    <row r="1091">
      <c r="A1091" s="11">
        <v>46159.52629489583</v>
      </c>
      <c r="B1091" s="9" t="s">
        <v>189</v>
      </c>
      <c r="C1091" s="9" t="s">
        <v>887</v>
      </c>
      <c r="D1091" s="9" t="s">
        <v>896</v>
      </c>
      <c r="E1091" s="9" t="s">
        <v>866</v>
      </c>
      <c r="F1091" s="9" t="s">
        <v>840</v>
      </c>
      <c r="G1091" s="9" t="s">
        <v>649</v>
      </c>
      <c r="H1091" s="31">
        <v>5.0</v>
      </c>
    </row>
    <row r="1092">
      <c r="A1092" s="11">
        <v>46159.52874127315</v>
      </c>
      <c r="B1092" s="9" t="s">
        <v>385</v>
      </c>
      <c r="C1092" s="9" t="s">
        <v>855</v>
      </c>
      <c r="D1092" s="9" t="s">
        <v>839</v>
      </c>
      <c r="E1092" s="9" t="s">
        <v>883</v>
      </c>
      <c r="F1092" s="9" t="s">
        <v>840</v>
      </c>
      <c r="G1092" s="9" t="s">
        <v>649</v>
      </c>
      <c r="H1092" s="31">
        <v>4.0</v>
      </c>
    </row>
    <row r="1093">
      <c r="A1093" s="11">
        <v>46159.54809861111</v>
      </c>
      <c r="B1093" s="9" t="s">
        <v>245</v>
      </c>
      <c r="C1093" s="9" t="s">
        <v>876</v>
      </c>
      <c r="D1093" s="9" t="s">
        <v>863</v>
      </c>
      <c r="E1093" s="9" t="s">
        <v>869</v>
      </c>
      <c r="F1093" s="9" t="s">
        <v>840</v>
      </c>
      <c r="G1093" s="9" t="s">
        <v>649</v>
      </c>
      <c r="H1093" s="31">
        <v>4.0</v>
      </c>
    </row>
    <row r="1094">
      <c r="A1094" s="11">
        <v>46159.57254195602</v>
      </c>
      <c r="B1094" s="9" t="s">
        <v>54</v>
      </c>
      <c r="C1094" s="9" t="s">
        <v>900</v>
      </c>
      <c r="D1094" s="9" t="s">
        <v>859</v>
      </c>
      <c r="E1094" s="9" t="s">
        <v>875</v>
      </c>
      <c r="F1094" s="9" t="s">
        <v>840</v>
      </c>
      <c r="H1094" s="31">
        <v>4.0</v>
      </c>
    </row>
    <row r="1095">
      <c r="A1095" s="11">
        <v>46159.60017038195</v>
      </c>
      <c r="B1095" s="9" t="s">
        <v>336</v>
      </c>
      <c r="C1095" s="9" t="s">
        <v>872</v>
      </c>
      <c r="D1095" s="9" t="s">
        <v>881</v>
      </c>
      <c r="E1095" s="9" t="s">
        <v>882</v>
      </c>
      <c r="F1095" s="9" t="s">
        <v>840</v>
      </c>
      <c r="G1095" s="9" t="s">
        <v>834</v>
      </c>
      <c r="H1095" s="31"/>
    </row>
    <row r="1096">
      <c r="A1096" s="11">
        <v>46159.62140207176</v>
      </c>
      <c r="B1096" s="9" t="s">
        <v>336</v>
      </c>
      <c r="C1096" s="9" t="s">
        <v>872</v>
      </c>
      <c r="D1096" s="9" t="s">
        <v>862</v>
      </c>
      <c r="E1096" s="9" t="s">
        <v>881</v>
      </c>
      <c r="F1096" s="9" t="s">
        <v>840</v>
      </c>
      <c r="G1096" s="9" t="s">
        <v>649</v>
      </c>
      <c r="H1096" s="31">
        <v>5.0</v>
      </c>
    </row>
    <row r="1097">
      <c r="A1097" s="11">
        <v>46159.63212304398</v>
      </c>
      <c r="B1097" s="9" t="s">
        <v>281</v>
      </c>
      <c r="C1097" s="9" t="s">
        <v>837</v>
      </c>
      <c r="D1097" s="9" t="s">
        <v>870</v>
      </c>
      <c r="E1097" s="9" t="s">
        <v>872</v>
      </c>
      <c r="F1097" s="9" t="s">
        <v>840</v>
      </c>
      <c r="G1097" s="9" t="s">
        <v>649</v>
      </c>
      <c r="H1097" s="31">
        <v>4.0</v>
      </c>
    </row>
    <row r="1098">
      <c r="A1098" s="11">
        <v>46159.66521826389</v>
      </c>
      <c r="B1098" s="9" t="s">
        <v>385</v>
      </c>
      <c r="C1098" s="9" t="s">
        <v>862</v>
      </c>
      <c r="D1098" s="9" t="s">
        <v>887</v>
      </c>
      <c r="E1098" s="9" t="s">
        <v>866</v>
      </c>
      <c r="F1098" s="9" t="s">
        <v>840</v>
      </c>
      <c r="G1098" s="9" t="s">
        <v>649</v>
      </c>
      <c r="H1098" s="31">
        <v>5.0</v>
      </c>
    </row>
    <row r="1099">
      <c r="A1099" s="11">
        <v>46159.70962681713</v>
      </c>
      <c r="B1099" s="9" t="s">
        <v>308</v>
      </c>
      <c r="C1099" s="9" t="s">
        <v>876</v>
      </c>
      <c r="D1099" s="9" t="s">
        <v>889</v>
      </c>
      <c r="E1099" s="9" t="s">
        <v>863</v>
      </c>
      <c r="F1099" s="9" t="s">
        <v>840</v>
      </c>
      <c r="G1099" s="9" t="s">
        <v>834</v>
      </c>
      <c r="H1099" s="31"/>
    </row>
    <row r="1100">
      <c r="A1100" s="11">
        <v>46159.71154224537</v>
      </c>
      <c r="B1100" s="9" t="s">
        <v>308</v>
      </c>
      <c r="C1100" s="9" t="s">
        <v>869</v>
      </c>
      <c r="D1100" s="9" t="s">
        <v>868</v>
      </c>
      <c r="E1100" s="9" t="s">
        <v>895</v>
      </c>
      <c r="F1100" s="9" t="s">
        <v>840</v>
      </c>
      <c r="G1100" s="9" t="s">
        <v>649</v>
      </c>
      <c r="H1100" s="31">
        <v>5.0</v>
      </c>
    </row>
    <row r="1101">
      <c r="A1101" s="11">
        <v>46159.718520821756</v>
      </c>
      <c r="B1101" s="9" t="s">
        <v>247</v>
      </c>
      <c r="C1101" s="9" t="s">
        <v>895</v>
      </c>
      <c r="D1101" s="9" t="s">
        <v>838</v>
      </c>
      <c r="E1101" s="9" t="s">
        <v>900</v>
      </c>
      <c r="F1101" s="9" t="s">
        <v>840</v>
      </c>
      <c r="G1101" s="9" t="s">
        <v>649</v>
      </c>
      <c r="H1101" s="31">
        <v>4.0</v>
      </c>
    </row>
    <row r="1102">
      <c r="A1102" s="11">
        <v>46159.74596173612</v>
      </c>
      <c r="B1102" s="9" t="s">
        <v>137</v>
      </c>
      <c r="C1102" s="9" t="s">
        <v>876</v>
      </c>
      <c r="D1102" s="9" t="s">
        <v>852</v>
      </c>
      <c r="E1102" s="9" t="s">
        <v>889</v>
      </c>
      <c r="F1102" s="9" t="s">
        <v>840</v>
      </c>
      <c r="G1102" s="9" t="s">
        <v>649</v>
      </c>
      <c r="H1102" s="31">
        <v>4.0</v>
      </c>
    </row>
    <row r="1103">
      <c r="A1103" s="11">
        <v>46159.78527877315</v>
      </c>
      <c r="B1103" s="9" t="s">
        <v>195</v>
      </c>
      <c r="C1103" s="9" t="s">
        <v>853</v>
      </c>
      <c r="D1103" s="9" t="s">
        <v>867</v>
      </c>
      <c r="E1103" s="9" t="s">
        <v>900</v>
      </c>
      <c r="F1103" s="9" t="s">
        <v>840</v>
      </c>
      <c r="G1103" s="9" t="s">
        <v>649</v>
      </c>
      <c r="H1103" s="31">
        <v>5.0</v>
      </c>
    </row>
    <row r="1104">
      <c r="A1104" s="11">
        <v>46159.802193599535</v>
      </c>
      <c r="B1104" s="9" t="s">
        <v>137</v>
      </c>
      <c r="C1104" s="9" t="s">
        <v>862</v>
      </c>
      <c r="D1104" s="9" t="s">
        <v>883</v>
      </c>
      <c r="E1104" s="9" t="s">
        <v>887</v>
      </c>
      <c r="F1104" s="9" t="s">
        <v>840</v>
      </c>
      <c r="G1104" s="9" t="s">
        <v>649</v>
      </c>
      <c r="H1104" s="31">
        <v>5.0</v>
      </c>
    </row>
    <row r="1105">
      <c r="A1105" s="11">
        <v>46159.81272440973</v>
      </c>
      <c r="B1105" s="9" t="s">
        <v>322</v>
      </c>
      <c r="C1105" s="9" t="s">
        <v>880</v>
      </c>
      <c r="D1105" s="9" t="s">
        <v>858</v>
      </c>
      <c r="E1105" s="9" t="s">
        <v>896</v>
      </c>
      <c r="F1105" s="9" t="s">
        <v>840</v>
      </c>
      <c r="G1105" s="9" t="s">
        <v>649</v>
      </c>
      <c r="H1105" s="31">
        <v>4.0</v>
      </c>
    </row>
    <row r="1106">
      <c r="A1106" s="11">
        <v>46159.96228813658</v>
      </c>
      <c r="B1106" s="9" t="s">
        <v>89</v>
      </c>
      <c r="C1106" s="9" t="s">
        <v>876</v>
      </c>
      <c r="D1106" s="9" t="s">
        <v>863</v>
      </c>
      <c r="E1106" s="9" t="s">
        <v>882</v>
      </c>
      <c r="F1106" s="9" t="s">
        <v>840</v>
      </c>
      <c r="H1106" s="31">
        <v>5.0</v>
      </c>
    </row>
    <row r="1107">
      <c r="A1107" s="11">
        <v>46159.976097858795</v>
      </c>
      <c r="B1107" s="9" t="s">
        <v>320</v>
      </c>
      <c r="C1107" s="9" t="s">
        <v>877</v>
      </c>
      <c r="D1107" s="9" t="s">
        <v>853</v>
      </c>
      <c r="E1107" s="9" t="s">
        <v>874</v>
      </c>
      <c r="F1107" s="9" t="s">
        <v>840</v>
      </c>
      <c r="H1107" s="31">
        <v>5.0</v>
      </c>
    </row>
    <row r="1108">
      <c r="A1108" s="11">
        <v>46160.043145081014</v>
      </c>
      <c r="B1108" s="9" t="s">
        <v>284</v>
      </c>
      <c r="C1108" s="9" t="s">
        <v>896</v>
      </c>
      <c r="D1108" s="9" t="s">
        <v>839</v>
      </c>
      <c r="E1108" s="9" t="s">
        <v>881</v>
      </c>
      <c r="F1108" s="9" t="s">
        <v>840</v>
      </c>
      <c r="G1108" s="9" t="s">
        <v>649</v>
      </c>
      <c r="H1108" s="31">
        <v>4.0</v>
      </c>
    </row>
    <row r="1109">
      <c r="A1109" s="11">
        <v>46160.33839633102</v>
      </c>
      <c r="B1109" s="9" t="s">
        <v>254</v>
      </c>
      <c r="C1109" s="9" t="s">
        <v>889</v>
      </c>
      <c r="D1109" s="9" t="s">
        <v>887</v>
      </c>
      <c r="E1109" s="9" t="s">
        <v>866</v>
      </c>
      <c r="F1109" s="9" t="s">
        <v>840</v>
      </c>
      <c r="G1109" s="9" t="s">
        <v>649</v>
      </c>
      <c r="H1109" s="31">
        <v>4.0</v>
      </c>
    </row>
    <row r="1110">
      <c r="A1110" s="11">
        <v>46160.45386105324</v>
      </c>
      <c r="B1110" s="9" t="s">
        <v>237</v>
      </c>
      <c r="C1110" s="9" t="s">
        <v>880</v>
      </c>
      <c r="D1110" s="9" t="s">
        <v>896</v>
      </c>
      <c r="E1110" s="9" t="s">
        <v>895</v>
      </c>
      <c r="F1110" s="9" t="s">
        <v>840</v>
      </c>
      <c r="H1110" s="31">
        <v>5.0</v>
      </c>
    </row>
    <row r="1111">
      <c r="A1111" s="11">
        <v>46160.56259449074</v>
      </c>
      <c r="B1111" s="9" t="s">
        <v>286</v>
      </c>
      <c r="C1111" s="9" t="s">
        <v>877</v>
      </c>
      <c r="D1111" s="9" t="s">
        <v>864</v>
      </c>
      <c r="E1111" s="9" t="s">
        <v>838</v>
      </c>
      <c r="F1111" s="9" t="s">
        <v>840</v>
      </c>
      <c r="G1111" s="9" t="s">
        <v>834</v>
      </c>
      <c r="H1111" s="31"/>
    </row>
    <row r="1112">
      <c r="A1112" s="11">
        <v>46160.57595300926</v>
      </c>
      <c r="B1112" s="9" t="s">
        <v>166</v>
      </c>
      <c r="C1112" s="9" t="s">
        <v>869</v>
      </c>
      <c r="D1112" s="9" t="s">
        <v>861</v>
      </c>
      <c r="E1112" s="9" t="s">
        <v>863</v>
      </c>
      <c r="F1112" s="9" t="s">
        <v>840</v>
      </c>
      <c r="H1112" s="31">
        <v>5.0</v>
      </c>
    </row>
    <row r="1113">
      <c r="A1113" s="11">
        <v>46160.64425460648</v>
      </c>
      <c r="B1113" s="9" t="s">
        <v>85</v>
      </c>
      <c r="C1113" s="9" t="s">
        <v>889</v>
      </c>
      <c r="D1113" s="9" t="s">
        <v>867</v>
      </c>
      <c r="E1113" s="9" t="s">
        <v>874</v>
      </c>
      <c r="F1113" s="9" t="s">
        <v>840</v>
      </c>
      <c r="H1113" s="31">
        <v>5.0</v>
      </c>
    </row>
    <row r="1114">
      <c r="A1114" s="11">
        <v>46160.64479532407</v>
      </c>
      <c r="B1114" s="9" t="s">
        <v>331</v>
      </c>
      <c r="C1114" s="9" t="s">
        <v>872</v>
      </c>
      <c r="D1114" s="9" t="s">
        <v>853</v>
      </c>
      <c r="E1114" s="9" t="s">
        <v>874</v>
      </c>
      <c r="F1114" s="9" t="s">
        <v>840</v>
      </c>
      <c r="H1114" s="31">
        <v>4.0</v>
      </c>
    </row>
    <row r="1115">
      <c r="A1115" s="11">
        <v>46160.6462740162</v>
      </c>
      <c r="B1115" s="9" t="s">
        <v>115</v>
      </c>
      <c r="C1115" s="9" t="s">
        <v>839</v>
      </c>
      <c r="D1115" s="9" t="s">
        <v>868</v>
      </c>
      <c r="E1115" s="9" t="s">
        <v>883</v>
      </c>
      <c r="F1115" s="9" t="s">
        <v>840</v>
      </c>
      <c r="H1115" s="31">
        <v>4.0</v>
      </c>
    </row>
    <row r="1116">
      <c r="A1116" s="11">
        <v>46160.65872129629</v>
      </c>
      <c r="B1116" s="9" t="s">
        <v>54</v>
      </c>
      <c r="C1116" s="9" t="s">
        <v>854</v>
      </c>
      <c r="D1116" s="9" t="s">
        <v>882</v>
      </c>
      <c r="E1116" s="9" t="s">
        <v>896</v>
      </c>
      <c r="F1116" s="9" t="s">
        <v>840</v>
      </c>
      <c r="G1116" s="9" t="s">
        <v>860</v>
      </c>
      <c r="H1116" s="31"/>
    </row>
    <row r="1117">
      <c r="A1117" s="11">
        <v>46160.659864016205</v>
      </c>
      <c r="B1117" s="9" t="s">
        <v>54</v>
      </c>
      <c r="C1117" s="9" t="s">
        <v>870</v>
      </c>
      <c r="D1117" s="9" t="s">
        <v>854</v>
      </c>
      <c r="E1117" s="9" t="s">
        <v>882</v>
      </c>
      <c r="F1117" s="9" t="s">
        <v>840</v>
      </c>
      <c r="H1117" s="31">
        <v>5.0</v>
      </c>
    </row>
    <row r="1118">
      <c r="A1118" s="11">
        <v>46160.67348449074</v>
      </c>
      <c r="B1118" s="9" t="s">
        <v>336</v>
      </c>
      <c r="C1118" s="9" t="s">
        <v>862</v>
      </c>
      <c r="D1118" s="9" t="s">
        <v>872</v>
      </c>
      <c r="E1118" s="9" t="s">
        <v>881</v>
      </c>
      <c r="F1118" s="9" t="s">
        <v>840</v>
      </c>
      <c r="G1118" s="9" t="s">
        <v>834</v>
      </c>
      <c r="H1118" s="31"/>
    </row>
    <row r="1119">
      <c r="A1119" s="11">
        <v>46160.716745949074</v>
      </c>
      <c r="B1119" s="9" t="s">
        <v>18</v>
      </c>
      <c r="C1119" s="9" t="s">
        <v>887</v>
      </c>
      <c r="D1119" s="9" t="s">
        <v>838</v>
      </c>
      <c r="E1119" s="9" t="s">
        <v>872</v>
      </c>
      <c r="F1119" s="9" t="s">
        <v>840</v>
      </c>
      <c r="H1119" s="31">
        <v>4.0</v>
      </c>
    </row>
    <row r="1120">
      <c r="A1120" s="11">
        <v>46160.71999697917</v>
      </c>
      <c r="B1120" s="9" t="s">
        <v>258</v>
      </c>
      <c r="C1120" s="9" t="s">
        <v>869</v>
      </c>
      <c r="D1120" s="9" t="s">
        <v>889</v>
      </c>
      <c r="E1120" s="9" t="s">
        <v>861</v>
      </c>
      <c r="F1120" s="9" t="s">
        <v>840</v>
      </c>
      <c r="H1120" s="31">
        <v>4.0</v>
      </c>
    </row>
    <row r="1121">
      <c r="A1121" s="11">
        <v>46160.7283553125</v>
      </c>
      <c r="B1121" s="9" t="s">
        <v>288</v>
      </c>
      <c r="C1121" s="9" t="s">
        <v>861</v>
      </c>
      <c r="D1121" s="9" t="s">
        <v>865</v>
      </c>
      <c r="E1121" s="9" t="s">
        <v>900</v>
      </c>
      <c r="F1121" s="9" t="s">
        <v>840</v>
      </c>
      <c r="G1121" s="9" t="s">
        <v>834</v>
      </c>
      <c r="H1121" s="31"/>
    </row>
    <row r="1122">
      <c r="A1122" s="11">
        <v>46160.730101678244</v>
      </c>
      <c r="B1122" s="9" t="s">
        <v>288</v>
      </c>
      <c r="C1122" s="9" t="s">
        <v>861</v>
      </c>
      <c r="D1122" s="9" t="s">
        <v>859</v>
      </c>
      <c r="E1122" s="9" t="s">
        <v>887</v>
      </c>
      <c r="F1122" s="9" t="s">
        <v>840</v>
      </c>
      <c r="H1122" s="31">
        <v>4.0</v>
      </c>
    </row>
    <row r="1123">
      <c r="A1123" s="11">
        <v>46160.7440574537</v>
      </c>
      <c r="B1123" s="9" t="s">
        <v>85</v>
      </c>
      <c r="C1123" s="9" t="s">
        <v>895</v>
      </c>
      <c r="D1123" s="9" t="s">
        <v>874</v>
      </c>
      <c r="E1123" s="9" t="s">
        <v>889</v>
      </c>
      <c r="F1123" s="9" t="s">
        <v>840</v>
      </c>
      <c r="G1123" s="9" t="s">
        <v>834</v>
      </c>
      <c r="H1123" s="31"/>
    </row>
    <row r="1124">
      <c r="A1124" s="11">
        <v>46160.749072175924</v>
      </c>
      <c r="B1124" s="9" t="s">
        <v>85</v>
      </c>
      <c r="C1124" s="9" t="s">
        <v>857</v>
      </c>
      <c r="D1124" s="9" t="s">
        <v>895</v>
      </c>
      <c r="E1124" s="9" t="s">
        <v>838</v>
      </c>
      <c r="F1124" s="9" t="s">
        <v>840</v>
      </c>
      <c r="G1124" s="9" t="s">
        <v>834</v>
      </c>
      <c r="H1124" s="31"/>
    </row>
    <row r="1125">
      <c r="A1125" s="11">
        <v>46160.756248969905</v>
      </c>
      <c r="B1125" s="9" t="s">
        <v>104</v>
      </c>
      <c r="C1125" s="9" t="s">
        <v>839</v>
      </c>
      <c r="D1125" s="9" t="s">
        <v>868</v>
      </c>
      <c r="E1125" s="9" t="s">
        <v>871</v>
      </c>
      <c r="F1125" s="9" t="s">
        <v>840</v>
      </c>
      <c r="G1125" s="9" t="s">
        <v>834</v>
      </c>
      <c r="H1125" s="31"/>
    </row>
    <row r="1126">
      <c r="A1126" s="11">
        <v>46160.76047465278</v>
      </c>
      <c r="B1126" s="9" t="s">
        <v>173</v>
      </c>
      <c r="C1126" s="9" t="s">
        <v>861</v>
      </c>
      <c r="D1126" s="9" t="s">
        <v>866</v>
      </c>
      <c r="E1126" s="9" t="s">
        <v>869</v>
      </c>
      <c r="F1126" s="9" t="s">
        <v>840</v>
      </c>
      <c r="G1126" s="9" t="s">
        <v>834</v>
      </c>
      <c r="H1126" s="31"/>
    </row>
    <row r="1127">
      <c r="A1127" s="11">
        <v>46160.81976388889</v>
      </c>
      <c r="B1127" s="9" t="s">
        <v>231</v>
      </c>
      <c r="C1127" s="9" t="s">
        <v>839</v>
      </c>
      <c r="D1127" s="9" t="s">
        <v>883</v>
      </c>
      <c r="E1127" s="9" t="s">
        <v>881</v>
      </c>
      <c r="F1127" s="9" t="s">
        <v>840</v>
      </c>
      <c r="H1127" s="31">
        <v>5.0</v>
      </c>
    </row>
    <row r="1128">
      <c r="A1128" s="11">
        <v>46160.83301670139</v>
      </c>
      <c r="B1128" s="9" t="s">
        <v>286</v>
      </c>
      <c r="C1128" s="9" t="s">
        <v>877</v>
      </c>
      <c r="D1128" s="9" t="s">
        <v>864</v>
      </c>
      <c r="E1128" s="9" t="s">
        <v>838</v>
      </c>
      <c r="F1128" s="9" t="s">
        <v>840</v>
      </c>
      <c r="G1128" s="9" t="s">
        <v>834</v>
      </c>
      <c r="H1128" s="31"/>
    </row>
    <row r="1129">
      <c r="A1129" s="11">
        <v>46160.86725806713</v>
      </c>
      <c r="B1129" s="9" t="s">
        <v>228</v>
      </c>
      <c r="C1129" s="9" t="s">
        <v>874</v>
      </c>
      <c r="D1129" s="9" t="s">
        <v>896</v>
      </c>
      <c r="E1129" s="9" t="s">
        <v>868</v>
      </c>
      <c r="F1129" s="9" t="s">
        <v>840</v>
      </c>
      <c r="H1129" s="31">
        <v>4.0</v>
      </c>
    </row>
    <row r="1130">
      <c r="A1130" s="11">
        <v>46160.89136915509</v>
      </c>
      <c r="B1130" s="9" t="s">
        <v>259</v>
      </c>
      <c r="C1130" s="9" t="s">
        <v>853</v>
      </c>
      <c r="D1130" s="9" t="s">
        <v>877</v>
      </c>
      <c r="E1130" s="9" t="s">
        <v>889</v>
      </c>
      <c r="F1130" s="9" t="s">
        <v>840</v>
      </c>
      <c r="H1130" s="31">
        <v>5.0</v>
      </c>
    </row>
    <row r="1131">
      <c r="A1131" s="11">
        <v>46160.89914908565</v>
      </c>
      <c r="B1131" s="9" t="s">
        <v>345</v>
      </c>
      <c r="C1131" s="9" t="s">
        <v>895</v>
      </c>
      <c r="D1131" s="9" t="s">
        <v>838</v>
      </c>
      <c r="E1131" s="9" t="s">
        <v>880</v>
      </c>
      <c r="F1131" s="9" t="s">
        <v>840</v>
      </c>
      <c r="H1131" s="31">
        <v>4.0</v>
      </c>
    </row>
    <row r="1132">
      <c r="A1132" s="11">
        <v>46160.91236872685</v>
      </c>
      <c r="B1132" s="9" t="s">
        <v>263</v>
      </c>
      <c r="C1132" s="9" t="s">
        <v>879</v>
      </c>
      <c r="D1132" s="9" t="s">
        <v>896</v>
      </c>
      <c r="E1132" s="9" t="s">
        <v>838</v>
      </c>
      <c r="F1132" s="9" t="s">
        <v>840</v>
      </c>
      <c r="H1132" s="31">
        <v>3.0</v>
      </c>
    </row>
    <row r="1133">
      <c r="A1133" s="11">
        <v>46160.93389888889</v>
      </c>
      <c r="B1133" s="9" t="s">
        <v>107</v>
      </c>
      <c r="C1133" s="9" t="s">
        <v>865</v>
      </c>
      <c r="D1133" s="9" t="s">
        <v>862</v>
      </c>
      <c r="E1133" s="9" t="s">
        <v>879</v>
      </c>
      <c r="F1133" s="9" t="s">
        <v>840</v>
      </c>
      <c r="H1133" s="31">
        <v>5.0</v>
      </c>
    </row>
    <row r="1134">
      <c r="A1134" s="11">
        <v>46160.96718975695</v>
      </c>
      <c r="B1134" s="9" t="s">
        <v>369</v>
      </c>
      <c r="C1134" s="9" t="s">
        <v>872</v>
      </c>
      <c r="D1134" s="9" t="s">
        <v>867</v>
      </c>
      <c r="E1134" s="9" t="s">
        <v>837</v>
      </c>
      <c r="F1134" s="9" t="s">
        <v>840</v>
      </c>
      <c r="G1134" s="9" t="s">
        <v>834</v>
      </c>
      <c r="H1134" s="31"/>
    </row>
    <row r="1135">
      <c r="A1135" s="11">
        <v>46160.97995653935</v>
      </c>
      <c r="B1135" s="9" t="s">
        <v>349</v>
      </c>
      <c r="C1135" s="9" t="s">
        <v>900</v>
      </c>
      <c r="D1135" s="9" t="s">
        <v>859</v>
      </c>
      <c r="E1135" s="9" t="s">
        <v>867</v>
      </c>
      <c r="F1135" s="9" t="s">
        <v>840</v>
      </c>
      <c r="H1135" s="31">
        <v>3.0</v>
      </c>
    </row>
    <row r="1136">
      <c r="A1136" s="11">
        <v>46160.982326956015</v>
      </c>
      <c r="B1136" s="9" t="s">
        <v>369</v>
      </c>
      <c r="C1136" s="9" t="s">
        <v>872</v>
      </c>
      <c r="D1136" s="9" t="s">
        <v>900</v>
      </c>
      <c r="E1136" s="9" t="s">
        <v>867</v>
      </c>
      <c r="F1136" s="9" t="s">
        <v>840</v>
      </c>
      <c r="H1136" s="31">
        <v>5.0</v>
      </c>
    </row>
    <row r="1137">
      <c r="A1137" s="11">
        <v>46160.994013738426</v>
      </c>
      <c r="B1137" s="9" t="s">
        <v>332</v>
      </c>
      <c r="C1137" s="9" t="s">
        <v>872</v>
      </c>
      <c r="D1137" s="9" t="s">
        <v>900</v>
      </c>
      <c r="E1137" s="9" t="s">
        <v>853</v>
      </c>
      <c r="F1137" s="9" t="s">
        <v>840</v>
      </c>
      <c r="H1137" s="31">
        <v>4.0</v>
      </c>
    </row>
    <row r="1138">
      <c r="A1138" s="11">
        <v>46160.996935648145</v>
      </c>
      <c r="B1138" s="9" t="s">
        <v>198</v>
      </c>
      <c r="C1138" s="9" t="s">
        <v>876</v>
      </c>
      <c r="D1138" s="9" t="s">
        <v>863</v>
      </c>
      <c r="E1138" s="9" t="s">
        <v>862</v>
      </c>
      <c r="F1138" s="9" t="s">
        <v>840</v>
      </c>
      <c r="H1138" s="31">
        <v>5.0</v>
      </c>
    </row>
    <row r="1139">
      <c r="A1139" s="11">
        <v>46161.002787997684</v>
      </c>
      <c r="B1139" s="9" t="s">
        <v>286</v>
      </c>
      <c r="C1139" s="9" t="s">
        <v>864</v>
      </c>
      <c r="D1139" s="9" t="s">
        <v>877</v>
      </c>
      <c r="E1139" s="9" t="s">
        <v>838</v>
      </c>
      <c r="F1139" s="9" t="s">
        <v>840</v>
      </c>
      <c r="G1139" s="9" t="s">
        <v>834</v>
      </c>
      <c r="H1139" s="31"/>
    </row>
    <row r="1140">
      <c r="A1140" s="11">
        <v>46161.00466399305</v>
      </c>
      <c r="B1140" s="9" t="s">
        <v>286</v>
      </c>
      <c r="C1140" s="9" t="s">
        <v>838</v>
      </c>
      <c r="D1140" s="9" t="s">
        <v>881</v>
      </c>
      <c r="E1140" s="9" t="s">
        <v>877</v>
      </c>
      <c r="F1140" s="9" t="s">
        <v>840</v>
      </c>
      <c r="H1140" s="31">
        <v>5.0</v>
      </c>
    </row>
    <row r="1141">
      <c r="A1141" s="11">
        <v>46161.01833167824</v>
      </c>
      <c r="B1141" s="9" t="s">
        <v>343</v>
      </c>
      <c r="C1141" s="9" t="s">
        <v>864</v>
      </c>
      <c r="D1141" s="9" t="s">
        <v>861</v>
      </c>
      <c r="E1141" s="9" t="s">
        <v>869</v>
      </c>
      <c r="F1141" s="9" t="s">
        <v>840</v>
      </c>
      <c r="H1141" s="31">
        <v>4.0</v>
      </c>
    </row>
    <row r="1142">
      <c r="A1142" s="11">
        <v>46161.04432585648</v>
      </c>
      <c r="B1142" s="9" t="s">
        <v>264</v>
      </c>
      <c r="C1142" s="9" t="s">
        <v>895</v>
      </c>
      <c r="D1142" s="9" t="s">
        <v>880</v>
      </c>
      <c r="E1142" s="9" t="s">
        <v>889</v>
      </c>
      <c r="F1142" s="9" t="s">
        <v>840</v>
      </c>
      <c r="H1142" s="31">
        <v>3.0</v>
      </c>
    </row>
    <row r="1143">
      <c r="A1143" s="11">
        <v>46161.2215521412</v>
      </c>
      <c r="B1143" s="9" t="s">
        <v>287</v>
      </c>
      <c r="C1143" s="9" t="s">
        <v>866</v>
      </c>
      <c r="D1143" s="9" t="s">
        <v>896</v>
      </c>
      <c r="E1143" s="9" t="s">
        <v>865</v>
      </c>
      <c r="F1143" s="9" t="s">
        <v>840</v>
      </c>
      <c r="H1143" s="31">
        <v>5.0</v>
      </c>
    </row>
    <row r="1144">
      <c r="A1144" s="11">
        <v>46161.304508125</v>
      </c>
      <c r="B1144" s="9" t="s">
        <v>141</v>
      </c>
      <c r="C1144" s="9" t="s">
        <v>882</v>
      </c>
      <c r="D1144" s="9" t="s">
        <v>863</v>
      </c>
      <c r="E1144" s="9" t="s">
        <v>867</v>
      </c>
      <c r="F1144" s="9" t="s">
        <v>840</v>
      </c>
      <c r="G1144" s="9" t="s">
        <v>834</v>
      </c>
      <c r="H1144" s="31"/>
    </row>
    <row r="1145">
      <c r="A1145" s="11">
        <v>46161.3055847338</v>
      </c>
      <c r="B1145" s="9" t="s">
        <v>141</v>
      </c>
      <c r="C1145" s="9" t="s">
        <v>882</v>
      </c>
      <c r="D1145" s="9" t="s">
        <v>863</v>
      </c>
      <c r="E1145" s="9" t="s">
        <v>881</v>
      </c>
      <c r="F1145" s="9" t="s">
        <v>840</v>
      </c>
      <c r="H1145" s="31">
        <v>5.0</v>
      </c>
    </row>
    <row r="1146">
      <c r="A1146" s="11">
        <v>46161.49572460648</v>
      </c>
      <c r="B1146" s="9" t="s">
        <v>163</v>
      </c>
      <c r="C1146" s="9" t="s">
        <v>839</v>
      </c>
      <c r="D1146" s="9" t="s">
        <v>856</v>
      </c>
      <c r="E1146" s="9" t="s">
        <v>900</v>
      </c>
      <c r="F1146" s="9" t="s">
        <v>840</v>
      </c>
      <c r="H1146" s="31">
        <v>5.0</v>
      </c>
    </row>
    <row r="1147">
      <c r="A1147" s="11">
        <v>46161.54514508102</v>
      </c>
      <c r="B1147" s="9" t="s">
        <v>264</v>
      </c>
      <c r="C1147" s="9" t="s">
        <v>838</v>
      </c>
      <c r="D1147" s="9" t="s">
        <v>879</v>
      </c>
      <c r="E1147" s="9" t="s">
        <v>870</v>
      </c>
      <c r="F1147" s="9" t="s">
        <v>840</v>
      </c>
      <c r="H1147" s="31">
        <v>4.0</v>
      </c>
    </row>
    <row r="1148">
      <c r="A1148" s="11">
        <v>46161.579034571754</v>
      </c>
      <c r="B1148" s="9" t="s">
        <v>920</v>
      </c>
      <c r="C1148" s="9" t="s">
        <v>896</v>
      </c>
      <c r="D1148" s="9" t="s">
        <v>837</v>
      </c>
      <c r="E1148" s="9" t="s">
        <v>879</v>
      </c>
      <c r="F1148" s="9" t="s">
        <v>840</v>
      </c>
      <c r="H1148" s="31">
        <v>4.0</v>
      </c>
    </row>
    <row r="1149">
      <c r="A1149" s="11">
        <v>46161.634952939814</v>
      </c>
      <c r="B1149" s="9" t="s">
        <v>322</v>
      </c>
      <c r="C1149" s="9" t="s">
        <v>887</v>
      </c>
      <c r="D1149" s="9" t="s">
        <v>879</v>
      </c>
      <c r="E1149" s="9" t="s">
        <v>865</v>
      </c>
      <c r="F1149" s="9" t="s">
        <v>840</v>
      </c>
      <c r="H1149" s="31">
        <v>5.0</v>
      </c>
    </row>
    <row r="1150">
      <c r="A1150" s="11">
        <v>46161.659966817126</v>
      </c>
      <c r="B1150" s="9" t="s">
        <v>356</v>
      </c>
      <c r="C1150" s="9" t="s">
        <v>857</v>
      </c>
      <c r="D1150" s="9" t="s">
        <v>837</v>
      </c>
      <c r="E1150" s="9" t="s">
        <v>869</v>
      </c>
      <c r="F1150" s="9" t="s">
        <v>840</v>
      </c>
      <c r="H1150" s="31">
        <v>4.0</v>
      </c>
    </row>
    <row r="1151">
      <c r="A1151" s="11">
        <v>46161.66577767361</v>
      </c>
      <c r="B1151" s="9" t="s">
        <v>331</v>
      </c>
      <c r="C1151" s="9" t="s">
        <v>865</v>
      </c>
      <c r="D1151" s="9" t="s">
        <v>866</v>
      </c>
      <c r="E1151" s="9" t="s">
        <v>863</v>
      </c>
      <c r="F1151" s="9" t="s">
        <v>840</v>
      </c>
      <c r="H1151" s="31">
        <v>5.0</v>
      </c>
    </row>
    <row r="1152">
      <c r="A1152" s="11">
        <v>46161.68015918981</v>
      </c>
      <c r="B1152" s="9" t="s">
        <v>164</v>
      </c>
      <c r="C1152" s="9" t="s">
        <v>867</v>
      </c>
      <c r="D1152" s="9" t="s">
        <v>863</v>
      </c>
      <c r="E1152" s="9" t="s">
        <v>896</v>
      </c>
      <c r="F1152" s="9" t="s">
        <v>840</v>
      </c>
      <c r="H1152" s="31">
        <v>5.0</v>
      </c>
    </row>
    <row r="1153">
      <c r="A1153" s="11">
        <v>46161.71764737269</v>
      </c>
      <c r="B1153" s="9" t="s">
        <v>92</v>
      </c>
      <c r="C1153" s="9" t="s">
        <v>859</v>
      </c>
      <c r="D1153" s="9" t="s">
        <v>854</v>
      </c>
      <c r="E1153" s="9" t="s">
        <v>891</v>
      </c>
      <c r="F1153" s="9" t="s">
        <v>840</v>
      </c>
      <c r="H1153" s="31">
        <v>5.0</v>
      </c>
    </row>
    <row r="1154">
      <c r="A1154" s="11">
        <v>46161.72069524306</v>
      </c>
      <c r="B1154" s="9" t="s">
        <v>269</v>
      </c>
      <c r="C1154" s="9" t="s">
        <v>871</v>
      </c>
      <c r="D1154" s="9" t="s">
        <v>883</v>
      </c>
      <c r="E1154" s="9" t="s">
        <v>868</v>
      </c>
      <c r="F1154" s="9" t="s">
        <v>840</v>
      </c>
      <c r="H1154" s="31">
        <v>5.0</v>
      </c>
    </row>
    <row r="1155">
      <c r="A1155" s="11">
        <v>46161.73211844907</v>
      </c>
      <c r="B1155" s="9" t="s">
        <v>226</v>
      </c>
      <c r="C1155" s="9" t="s">
        <v>859</v>
      </c>
      <c r="D1155" s="9" t="s">
        <v>839</v>
      </c>
      <c r="E1155" s="9" t="s">
        <v>838</v>
      </c>
      <c r="F1155" s="9" t="s">
        <v>840</v>
      </c>
      <c r="H1155" s="31">
        <v>3.0</v>
      </c>
    </row>
    <row r="1156">
      <c r="A1156" s="11">
        <v>46161.759035243056</v>
      </c>
      <c r="B1156" s="9" t="s">
        <v>267</v>
      </c>
      <c r="C1156" s="9" t="s">
        <v>890</v>
      </c>
      <c r="D1156" s="9" t="s">
        <v>861</v>
      </c>
      <c r="E1156" s="9" t="s">
        <v>891</v>
      </c>
      <c r="F1156" s="9" t="s">
        <v>840</v>
      </c>
      <c r="H1156" s="31">
        <v>4.0</v>
      </c>
    </row>
    <row r="1157">
      <c r="A1157" s="11">
        <v>46161.81668820602</v>
      </c>
      <c r="B1157" s="9" t="s">
        <v>266</v>
      </c>
      <c r="C1157" s="9" t="s">
        <v>874</v>
      </c>
      <c r="D1157" s="9" t="s">
        <v>877</v>
      </c>
      <c r="E1157" s="9" t="s">
        <v>875</v>
      </c>
      <c r="F1157" s="9" t="s">
        <v>840</v>
      </c>
      <c r="H1157" s="31">
        <v>5.0</v>
      </c>
    </row>
    <row r="1158">
      <c r="A1158" s="11">
        <v>46161.875494328706</v>
      </c>
      <c r="B1158" s="9" t="s">
        <v>346</v>
      </c>
      <c r="C1158" s="9" t="s">
        <v>839</v>
      </c>
      <c r="D1158" s="9" t="s">
        <v>870</v>
      </c>
      <c r="E1158" s="9" t="s">
        <v>878</v>
      </c>
      <c r="F1158" s="9" t="s">
        <v>840</v>
      </c>
      <c r="H1158" s="31">
        <v>4.0</v>
      </c>
    </row>
    <row r="1159">
      <c r="A1159" s="11">
        <v>46161.88603119213</v>
      </c>
      <c r="B1159" s="9" t="s">
        <v>143</v>
      </c>
      <c r="C1159" s="9" t="s">
        <v>871</v>
      </c>
      <c r="D1159" s="9" t="s">
        <v>883</v>
      </c>
      <c r="E1159" s="9" t="s">
        <v>875</v>
      </c>
      <c r="F1159" s="9" t="s">
        <v>840</v>
      </c>
      <c r="H1159" s="31">
        <v>4.0</v>
      </c>
    </row>
    <row r="1160">
      <c r="A1160" s="11">
        <v>46161.90591966435</v>
      </c>
      <c r="B1160" s="9" t="s">
        <v>920</v>
      </c>
      <c r="C1160" s="9" t="s">
        <v>887</v>
      </c>
      <c r="D1160" s="9" t="s">
        <v>878</v>
      </c>
      <c r="E1160" s="9" t="s">
        <v>877</v>
      </c>
      <c r="F1160" s="9" t="s">
        <v>840</v>
      </c>
      <c r="H1160" s="31">
        <v>5.0</v>
      </c>
    </row>
    <row r="1161">
      <c r="A1161" s="11">
        <v>46161.99846256945</v>
      </c>
      <c r="B1161" s="9" t="s">
        <v>233</v>
      </c>
      <c r="C1161" s="9" t="s">
        <v>854</v>
      </c>
      <c r="D1161" s="9" t="s">
        <v>859</v>
      </c>
      <c r="E1161" s="9" t="s">
        <v>867</v>
      </c>
      <c r="F1161" s="9" t="s">
        <v>840</v>
      </c>
      <c r="H1161" s="31">
        <v>5.0</v>
      </c>
    </row>
    <row r="1162">
      <c r="A1162" s="11">
        <v>46162.026313194445</v>
      </c>
      <c r="B1162" s="9" t="s">
        <v>393</v>
      </c>
      <c r="C1162" s="9" t="s">
        <v>871</v>
      </c>
      <c r="D1162" s="9" t="s">
        <v>878</v>
      </c>
      <c r="E1162" s="9" t="s">
        <v>868</v>
      </c>
      <c r="F1162" s="9" t="s">
        <v>840</v>
      </c>
      <c r="G1162" s="9" t="s">
        <v>834</v>
      </c>
      <c r="H1162" s="31"/>
    </row>
    <row r="1163">
      <c r="A1163" s="11">
        <v>46162.02748484953</v>
      </c>
      <c r="B1163" s="9" t="s">
        <v>393</v>
      </c>
      <c r="C1163" s="9" t="s">
        <v>868</v>
      </c>
      <c r="D1163" s="9" t="s">
        <v>871</v>
      </c>
      <c r="E1163" s="9" t="s">
        <v>872</v>
      </c>
      <c r="F1163" s="9" t="s">
        <v>840</v>
      </c>
      <c r="H1163" s="31">
        <v>4.0</v>
      </c>
    </row>
    <row r="1164">
      <c r="A1164" s="11">
        <v>46162.48703694444</v>
      </c>
      <c r="B1164" s="9" t="s">
        <v>387</v>
      </c>
      <c r="C1164" s="9" t="s">
        <v>890</v>
      </c>
      <c r="D1164" s="9" t="s">
        <v>883</v>
      </c>
      <c r="E1164" s="9" t="s">
        <v>871</v>
      </c>
      <c r="F1164" s="9" t="s">
        <v>840</v>
      </c>
      <c r="H1164" s="31">
        <v>4.0</v>
      </c>
    </row>
    <row r="1165">
      <c r="A1165" s="11">
        <v>46162.499142685185</v>
      </c>
      <c r="B1165" s="9" t="s">
        <v>190</v>
      </c>
      <c r="C1165" s="9" t="s">
        <v>865</v>
      </c>
      <c r="D1165" s="9" t="s">
        <v>889</v>
      </c>
      <c r="E1165" s="9" t="s">
        <v>881</v>
      </c>
      <c r="F1165" s="9" t="s">
        <v>840</v>
      </c>
      <c r="H1165" s="31">
        <v>5.0</v>
      </c>
    </row>
    <row r="1166">
      <c r="A1166" s="11">
        <v>46162.566381192126</v>
      </c>
      <c r="B1166" s="9" t="s">
        <v>387</v>
      </c>
      <c r="C1166" s="9" t="s">
        <v>863</v>
      </c>
      <c r="D1166" s="9" t="s">
        <v>869</v>
      </c>
      <c r="E1166" s="9" t="s">
        <v>868</v>
      </c>
      <c r="F1166" s="9" t="s">
        <v>840</v>
      </c>
      <c r="H1166" s="31">
        <v>5.0</v>
      </c>
    </row>
    <row r="1167">
      <c r="A1167" s="11">
        <v>46162.57760936343</v>
      </c>
      <c r="B1167" s="9" t="s">
        <v>95</v>
      </c>
      <c r="C1167" s="9" t="s">
        <v>839</v>
      </c>
      <c r="D1167" s="9" t="s">
        <v>881</v>
      </c>
      <c r="E1167" s="9" t="s">
        <v>880</v>
      </c>
      <c r="F1167" s="9" t="s">
        <v>840</v>
      </c>
      <c r="H1167" s="31">
        <v>4.0</v>
      </c>
    </row>
    <row r="1168">
      <c r="A1168" s="11">
        <v>46162.75575067129</v>
      </c>
      <c r="B1168" s="9" t="s">
        <v>115</v>
      </c>
      <c r="C1168" s="9" t="s">
        <v>887</v>
      </c>
      <c r="D1168" s="9" t="s">
        <v>889</v>
      </c>
      <c r="E1168" s="9" t="s">
        <v>871</v>
      </c>
      <c r="F1168" s="9" t="s">
        <v>840</v>
      </c>
      <c r="H1168" s="31">
        <v>5.0</v>
      </c>
    </row>
    <row r="1169">
      <c r="A1169" s="11">
        <v>46162.77396564815</v>
      </c>
      <c r="B1169" s="9" t="s">
        <v>388</v>
      </c>
      <c r="C1169" s="9" t="s">
        <v>869</v>
      </c>
      <c r="D1169" s="9" t="s">
        <v>864</v>
      </c>
      <c r="E1169" s="9" t="s">
        <v>887</v>
      </c>
      <c r="F1169" s="9" t="s">
        <v>840</v>
      </c>
      <c r="H1169" s="31">
        <v>3.0</v>
      </c>
    </row>
    <row r="1170">
      <c r="A1170" s="11">
        <v>46162.795339317134</v>
      </c>
      <c r="B1170" s="9" t="s">
        <v>388</v>
      </c>
      <c r="C1170" s="9" t="s">
        <v>864</v>
      </c>
      <c r="D1170" s="9" t="s">
        <v>869</v>
      </c>
      <c r="E1170" s="9" t="s">
        <v>887</v>
      </c>
      <c r="F1170" s="9" t="s">
        <v>840</v>
      </c>
      <c r="G1170" s="9" t="s">
        <v>834</v>
      </c>
      <c r="H1170" s="31"/>
    </row>
    <row r="1171">
      <c r="A1171" s="11">
        <v>46162.83521885416</v>
      </c>
      <c r="B1171" s="9" t="s">
        <v>421</v>
      </c>
      <c r="C1171" s="9" t="s">
        <v>896</v>
      </c>
      <c r="D1171" s="9" t="s">
        <v>880</v>
      </c>
      <c r="E1171" s="9" t="s">
        <v>852</v>
      </c>
      <c r="F1171" s="9" t="s">
        <v>840</v>
      </c>
      <c r="H1171" s="31">
        <v>4.0</v>
      </c>
    </row>
    <row r="1172">
      <c r="A1172" s="11">
        <v>46162.841967569446</v>
      </c>
      <c r="B1172" s="9" t="s">
        <v>103</v>
      </c>
      <c r="C1172" s="9" t="s">
        <v>868</v>
      </c>
      <c r="D1172" s="9" t="s">
        <v>868</v>
      </c>
      <c r="E1172" s="9" t="s">
        <v>857</v>
      </c>
      <c r="F1172" s="9" t="s">
        <v>840</v>
      </c>
      <c r="G1172" s="9" t="s">
        <v>834</v>
      </c>
      <c r="H1172" s="31"/>
    </row>
    <row r="1173">
      <c r="A1173" s="11">
        <v>46162.84334101852</v>
      </c>
      <c r="B1173" s="9" t="s">
        <v>103</v>
      </c>
      <c r="C1173" s="9" t="s">
        <v>839</v>
      </c>
      <c r="D1173" s="9" t="s">
        <v>868</v>
      </c>
      <c r="E1173" s="9" t="s">
        <v>855</v>
      </c>
      <c r="F1173" s="9" t="s">
        <v>840</v>
      </c>
      <c r="H1173" s="31">
        <v>4.0</v>
      </c>
    </row>
    <row r="1174">
      <c r="A1174" s="11">
        <v>46162.84501481481</v>
      </c>
      <c r="B1174" s="9" t="s">
        <v>297</v>
      </c>
      <c r="C1174" s="9" t="s">
        <v>854</v>
      </c>
      <c r="D1174" s="9" t="s">
        <v>883</v>
      </c>
      <c r="E1174" s="9" t="s">
        <v>871</v>
      </c>
      <c r="F1174" s="9" t="s">
        <v>840</v>
      </c>
      <c r="H1174" s="31">
        <v>5.0</v>
      </c>
    </row>
    <row r="1175">
      <c r="A1175" s="11">
        <v>46162.84536457176</v>
      </c>
      <c r="B1175" s="9" t="s">
        <v>304</v>
      </c>
      <c r="C1175" s="9" t="s">
        <v>869</v>
      </c>
      <c r="D1175" s="9" t="s">
        <v>866</v>
      </c>
      <c r="E1175" s="9" t="s">
        <v>839</v>
      </c>
      <c r="F1175" s="9" t="s">
        <v>840</v>
      </c>
      <c r="G1175" s="9" t="s">
        <v>834</v>
      </c>
      <c r="H1175" s="31"/>
    </row>
    <row r="1176">
      <c r="A1176" s="11">
        <v>46162.850632685186</v>
      </c>
      <c r="B1176" s="9" t="s">
        <v>389</v>
      </c>
      <c r="C1176" s="9" t="s">
        <v>877</v>
      </c>
      <c r="D1176" s="9" t="s">
        <v>896</v>
      </c>
      <c r="E1176" s="9" t="s">
        <v>891</v>
      </c>
      <c r="F1176" s="9" t="s">
        <v>840</v>
      </c>
      <c r="H1176" s="31">
        <v>3.0</v>
      </c>
    </row>
    <row r="1177">
      <c r="A1177" s="11">
        <v>46162.88035478009</v>
      </c>
      <c r="B1177" s="9" t="s">
        <v>279</v>
      </c>
      <c r="C1177" s="9" t="s">
        <v>865</v>
      </c>
      <c r="D1177" s="9" t="s">
        <v>875</v>
      </c>
      <c r="E1177" s="9" t="s">
        <v>887</v>
      </c>
      <c r="F1177" s="9" t="s">
        <v>840</v>
      </c>
      <c r="G1177" s="9" t="s">
        <v>834</v>
      </c>
      <c r="H1177" s="31"/>
    </row>
    <row r="1178">
      <c r="A1178" s="11">
        <v>46162.88154722222</v>
      </c>
      <c r="B1178" s="9" t="s">
        <v>279</v>
      </c>
      <c r="C1178" s="9" t="s">
        <v>887</v>
      </c>
      <c r="D1178" s="9" t="s">
        <v>890</v>
      </c>
      <c r="E1178" s="9" t="s">
        <v>857</v>
      </c>
      <c r="F1178" s="9" t="s">
        <v>840</v>
      </c>
      <c r="H1178" s="31">
        <v>5.0</v>
      </c>
    </row>
    <row r="1179">
      <c r="A1179" s="11">
        <v>46162.88875113426</v>
      </c>
      <c r="B1179" s="9" t="s">
        <v>103</v>
      </c>
      <c r="C1179" s="9" t="s">
        <v>890</v>
      </c>
      <c r="D1179" s="9" t="s">
        <v>895</v>
      </c>
      <c r="E1179" s="9" t="s">
        <v>862</v>
      </c>
      <c r="F1179" s="9" t="s">
        <v>840</v>
      </c>
      <c r="H1179" s="31">
        <v>5.0</v>
      </c>
    </row>
    <row r="1180">
      <c r="A1180" s="11">
        <v>46162.91967449074</v>
      </c>
      <c r="B1180" s="9" t="s">
        <v>356</v>
      </c>
      <c r="C1180" s="9" t="s">
        <v>887</v>
      </c>
      <c r="D1180" s="9" t="s">
        <v>890</v>
      </c>
      <c r="E1180" s="9" t="s">
        <v>858</v>
      </c>
      <c r="F1180" s="9" t="s">
        <v>840</v>
      </c>
      <c r="H1180" s="31">
        <v>5.0</v>
      </c>
    </row>
    <row r="1181">
      <c r="A1181" s="11">
        <v>46162.93303043982</v>
      </c>
      <c r="B1181" s="9" t="s">
        <v>393</v>
      </c>
      <c r="C1181" s="9" t="s">
        <v>877</v>
      </c>
      <c r="D1181" s="9" t="s">
        <v>853</v>
      </c>
      <c r="E1181" s="9" t="s">
        <v>858</v>
      </c>
      <c r="F1181" s="9" t="s">
        <v>840</v>
      </c>
      <c r="H1181" s="31">
        <v>5.0</v>
      </c>
    </row>
    <row r="1182">
      <c r="A1182" s="11">
        <v>46162.937941689815</v>
      </c>
      <c r="B1182" s="9" t="s">
        <v>131</v>
      </c>
      <c r="C1182" s="9" t="s">
        <v>887</v>
      </c>
      <c r="D1182" s="9" t="s">
        <v>852</v>
      </c>
      <c r="E1182" s="9" t="s">
        <v>837</v>
      </c>
      <c r="F1182" s="9" t="s">
        <v>840</v>
      </c>
      <c r="H1182" s="31">
        <v>4.0</v>
      </c>
    </row>
    <row r="1183">
      <c r="A1183" s="11">
        <v>46162.94603841435</v>
      </c>
      <c r="B1183" s="9" t="s">
        <v>184</v>
      </c>
      <c r="C1183" s="9" t="s">
        <v>875</v>
      </c>
      <c r="D1183" s="9" t="s">
        <v>900</v>
      </c>
      <c r="E1183" s="9" t="s">
        <v>895</v>
      </c>
      <c r="F1183" s="9" t="s">
        <v>840</v>
      </c>
      <c r="H1183" s="31">
        <v>4.0</v>
      </c>
    </row>
    <row r="1184">
      <c r="A1184" s="11">
        <v>46162.94975434028</v>
      </c>
      <c r="B1184" s="9" t="s">
        <v>267</v>
      </c>
      <c r="C1184" s="9" t="s">
        <v>864</v>
      </c>
      <c r="D1184" s="9" t="s">
        <v>879</v>
      </c>
      <c r="E1184" s="9" t="s">
        <v>887</v>
      </c>
      <c r="F1184" s="9" t="s">
        <v>840</v>
      </c>
      <c r="H1184" s="31">
        <v>5.0</v>
      </c>
    </row>
    <row r="1185">
      <c r="A1185" s="11">
        <v>46162.95566983796</v>
      </c>
      <c r="B1185" s="9" t="s">
        <v>376</v>
      </c>
      <c r="C1185" s="9" t="s">
        <v>875</v>
      </c>
      <c r="D1185" s="9" t="s">
        <v>839</v>
      </c>
      <c r="E1185" s="9" t="s">
        <v>853</v>
      </c>
      <c r="F1185" s="9" t="s">
        <v>840</v>
      </c>
      <c r="H1185" s="31">
        <v>5.0</v>
      </c>
    </row>
    <row r="1186">
      <c r="A1186" s="11">
        <v>46162.96072072917</v>
      </c>
      <c r="B1186" s="9" t="s">
        <v>131</v>
      </c>
      <c r="C1186" s="9" t="s">
        <v>876</v>
      </c>
      <c r="D1186" s="9" t="s">
        <v>863</v>
      </c>
      <c r="E1186" s="9" t="s">
        <v>862</v>
      </c>
      <c r="F1186" s="9" t="s">
        <v>840</v>
      </c>
      <c r="H1186" s="31">
        <v>5.0</v>
      </c>
    </row>
    <row r="1187">
      <c r="A1187" s="11">
        <v>46162.96153930556</v>
      </c>
      <c r="B1187" s="9" t="s">
        <v>389</v>
      </c>
      <c r="C1187" s="9" t="s">
        <v>895</v>
      </c>
      <c r="D1187" s="9" t="s">
        <v>861</v>
      </c>
      <c r="E1187" s="9" t="s">
        <v>838</v>
      </c>
      <c r="F1187" s="9" t="s">
        <v>840</v>
      </c>
      <c r="H1187" s="31">
        <v>4.0</v>
      </c>
    </row>
    <row r="1188">
      <c r="A1188" s="11">
        <v>46162.96443649306</v>
      </c>
      <c r="B1188" s="9" t="s">
        <v>169</v>
      </c>
      <c r="C1188" s="9" t="s">
        <v>878</v>
      </c>
      <c r="D1188" s="9" t="s">
        <v>866</v>
      </c>
      <c r="E1188" s="9" t="s">
        <v>889</v>
      </c>
      <c r="F1188" s="9" t="s">
        <v>840</v>
      </c>
      <c r="H1188" s="31">
        <v>5.0</v>
      </c>
    </row>
    <row r="1189">
      <c r="A1189" s="11">
        <v>46162.96603200231</v>
      </c>
      <c r="B1189" s="9" t="s">
        <v>298</v>
      </c>
      <c r="C1189" s="9" t="s">
        <v>876</v>
      </c>
      <c r="D1189" s="9" t="s">
        <v>859</v>
      </c>
      <c r="E1189" s="9" t="s">
        <v>890</v>
      </c>
      <c r="F1189" s="9" t="s">
        <v>840</v>
      </c>
      <c r="H1189" s="31">
        <v>5.0</v>
      </c>
    </row>
    <row r="1190">
      <c r="A1190" s="11">
        <v>46163.06181613426</v>
      </c>
      <c r="B1190" s="9" t="s">
        <v>373</v>
      </c>
      <c r="C1190" s="9" t="s">
        <v>887</v>
      </c>
      <c r="D1190" s="9" t="s">
        <v>869</v>
      </c>
      <c r="E1190" s="9" t="s">
        <v>890</v>
      </c>
      <c r="F1190" s="9" t="s">
        <v>840</v>
      </c>
      <c r="H1190" s="31">
        <v>4.0</v>
      </c>
    </row>
    <row r="1191">
      <c r="A1191" s="11">
        <v>46163.065313541665</v>
      </c>
      <c r="B1191" s="9" t="s">
        <v>128</v>
      </c>
      <c r="C1191" s="9" t="s">
        <v>867</v>
      </c>
      <c r="D1191" s="9" t="s">
        <v>900</v>
      </c>
      <c r="E1191" s="9" t="s">
        <v>857</v>
      </c>
      <c r="F1191" s="9" t="s">
        <v>840</v>
      </c>
      <c r="H1191" s="31">
        <v>5.0</v>
      </c>
    </row>
    <row r="1192">
      <c r="A1192" s="11">
        <v>46163.27155103009</v>
      </c>
      <c r="B1192" s="9" t="s">
        <v>888</v>
      </c>
      <c r="C1192" s="9" t="s">
        <v>878</v>
      </c>
      <c r="D1192" s="9" t="s">
        <v>838</v>
      </c>
      <c r="E1192" s="9" t="s">
        <v>895</v>
      </c>
      <c r="F1192" s="9" t="s">
        <v>840</v>
      </c>
      <c r="H1192" s="31">
        <v>4.0</v>
      </c>
    </row>
    <row r="1193">
      <c r="A1193" s="11">
        <v>46163.36900173611</v>
      </c>
      <c r="B1193" s="9" t="s">
        <v>202</v>
      </c>
      <c r="C1193" s="9" t="s">
        <v>880</v>
      </c>
      <c r="D1193" s="9" t="s">
        <v>858</v>
      </c>
      <c r="E1193" s="9" t="s">
        <v>878</v>
      </c>
      <c r="F1193" s="9" t="s">
        <v>840</v>
      </c>
      <c r="H1193" s="31">
        <v>4.0</v>
      </c>
    </row>
    <row r="1194">
      <c r="A1194" s="11">
        <v>46163.41422371528</v>
      </c>
      <c r="B1194" s="9" t="s">
        <v>202</v>
      </c>
      <c r="C1194" s="9" t="s">
        <v>857</v>
      </c>
      <c r="D1194" s="9" t="s">
        <v>861</v>
      </c>
      <c r="E1194" s="9" t="s">
        <v>866</v>
      </c>
      <c r="F1194" s="9" t="s">
        <v>840</v>
      </c>
      <c r="H1194" s="31">
        <v>5.0</v>
      </c>
    </row>
    <row r="1195">
      <c r="A1195" s="11">
        <v>46163.550648275464</v>
      </c>
      <c r="B1195" s="9" t="s">
        <v>258</v>
      </c>
      <c r="C1195" s="9" t="s">
        <v>864</v>
      </c>
      <c r="D1195" s="9" t="s">
        <v>865</v>
      </c>
      <c r="E1195" s="9" t="s">
        <v>896</v>
      </c>
      <c r="F1195" s="9" t="s">
        <v>840</v>
      </c>
      <c r="H1195" s="31">
        <v>5.0</v>
      </c>
    </row>
    <row r="1196">
      <c r="A1196" s="11">
        <v>46163.574851087964</v>
      </c>
      <c r="B1196" s="9" t="s">
        <v>139</v>
      </c>
      <c r="C1196" s="9" t="s">
        <v>854</v>
      </c>
      <c r="D1196" s="9" t="s">
        <v>882</v>
      </c>
      <c r="E1196" s="9" t="s">
        <v>856</v>
      </c>
      <c r="F1196" s="9" t="s">
        <v>840</v>
      </c>
      <c r="H1196" s="31">
        <v>5.0</v>
      </c>
    </row>
    <row r="1197">
      <c r="A1197" s="11">
        <v>46163.73652677084</v>
      </c>
      <c r="B1197" s="9" t="s">
        <v>104</v>
      </c>
      <c r="C1197" s="9" t="s">
        <v>875</v>
      </c>
      <c r="D1197" s="9" t="s">
        <v>889</v>
      </c>
      <c r="E1197" s="9" t="s">
        <v>867</v>
      </c>
      <c r="F1197" s="9" t="s">
        <v>840</v>
      </c>
      <c r="H1197" s="31">
        <v>5.0</v>
      </c>
    </row>
    <row r="1198">
      <c r="A1198" s="11">
        <v>46163.87606887732</v>
      </c>
      <c r="B1198" s="9" t="s">
        <v>368</v>
      </c>
      <c r="C1198" s="9" t="s">
        <v>887</v>
      </c>
      <c r="D1198" s="9" t="s">
        <v>890</v>
      </c>
      <c r="E1198" s="9" t="s">
        <v>876</v>
      </c>
      <c r="F1198" s="9" t="s">
        <v>840</v>
      </c>
      <c r="H1198" s="31">
        <v>5.0</v>
      </c>
    </row>
    <row r="1199">
      <c r="A1199" s="11">
        <v>46163.965679664354</v>
      </c>
      <c r="B1199" s="9" t="s">
        <v>374</v>
      </c>
      <c r="C1199" s="9" t="s">
        <v>865</v>
      </c>
      <c r="D1199" s="9" t="s">
        <v>889</v>
      </c>
      <c r="E1199" s="9" t="s">
        <v>857</v>
      </c>
      <c r="F1199" s="9" t="s">
        <v>840</v>
      </c>
      <c r="H1199" s="31">
        <v>5.0</v>
      </c>
    </row>
    <row r="1200">
      <c r="A1200" s="11">
        <v>46163.967856620366</v>
      </c>
      <c r="B1200" s="9" t="s">
        <v>343</v>
      </c>
      <c r="C1200" s="9" t="s">
        <v>877</v>
      </c>
      <c r="D1200" s="9" t="s">
        <v>874</v>
      </c>
      <c r="E1200" s="9" t="s">
        <v>858</v>
      </c>
      <c r="F1200" s="9" t="s">
        <v>840</v>
      </c>
      <c r="H1200" s="31">
        <v>5.0</v>
      </c>
    </row>
    <row r="1201">
      <c r="A1201" s="11">
        <v>46164.395241886574</v>
      </c>
      <c r="B1201" s="9" t="s">
        <v>79</v>
      </c>
      <c r="C1201" s="9" t="s">
        <v>895</v>
      </c>
      <c r="D1201" s="9" t="s">
        <v>837</v>
      </c>
      <c r="E1201" s="9" t="s">
        <v>872</v>
      </c>
      <c r="F1201" s="9" t="s">
        <v>840</v>
      </c>
      <c r="H1201" s="31">
        <v>3.0</v>
      </c>
    </row>
    <row r="1202">
      <c r="A1202" s="11">
        <v>46164.44453494213</v>
      </c>
      <c r="B1202" s="9" t="s">
        <v>421</v>
      </c>
      <c r="C1202" s="9" t="s">
        <v>853</v>
      </c>
      <c r="D1202" s="9" t="s">
        <v>858</v>
      </c>
      <c r="E1202" s="9" t="s">
        <v>870</v>
      </c>
      <c r="F1202" s="9" t="s">
        <v>840</v>
      </c>
      <c r="G1202" s="9" t="s">
        <v>834</v>
      </c>
      <c r="H1202" s="31"/>
    </row>
    <row r="1203">
      <c r="A1203" s="11">
        <v>46164.446523923616</v>
      </c>
      <c r="B1203" s="9" t="s">
        <v>421</v>
      </c>
      <c r="C1203" s="9" t="s">
        <v>896</v>
      </c>
      <c r="D1203" s="9" t="s">
        <v>870</v>
      </c>
      <c r="E1203" s="9" t="s">
        <v>853</v>
      </c>
      <c r="F1203" s="9" t="s">
        <v>840</v>
      </c>
      <c r="G1203" s="9" t="s">
        <v>834</v>
      </c>
      <c r="H1203" s="31"/>
    </row>
    <row r="1204">
      <c r="A1204" s="11">
        <v>46164.448852013884</v>
      </c>
      <c r="B1204" s="9" t="s">
        <v>421</v>
      </c>
      <c r="C1204" s="9" t="s">
        <v>877</v>
      </c>
      <c r="D1204" s="9" t="s">
        <v>853</v>
      </c>
      <c r="E1204" s="9" t="s">
        <v>870</v>
      </c>
      <c r="F1204" s="9" t="s">
        <v>840</v>
      </c>
      <c r="H1204" s="31">
        <v>5.0</v>
      </c>
    </row>
    <row r="1205">
      <c r="A1205" s="11">
        <v>46164.45405368056</v>
      </c>
      <c r="B1205" s="9" t="s">
        <v>254</v>
      </c>
      <c r="C1205" s="9" t="s">
        <v>839</v>
      </c>
      <c r="D1205" s="9" t="s">
        <v>868</v>
      </c>
      <c r="E1205" s="9" t="s">
        <v>881</v>
      </c>
      <c r="F1205" s="9" t="s">
        <v>840</v>
      </c>
      <c r="H1205" s="31">
        <v>5.0</v>
      </c>
    </row>
    <row r="1206">
      <c r="A1206" s="11">
        <v>46164.48954466435</v>
      </c>
      <c r="B1206" s="9" t="s">
        <v>397</v>
      </c>
      <c r="C1206" s="9" t="s">
        <v>874</v>
      </c>
      <c r="D1206" s="9" t="s">
        <v>891</v>
      </c>
      <c r="E1206" s="9" t="s">
        <v>896</v>
      </c>
      <c r="F1206" s="9" t="s">
        <v>840</v>
      </c>
      <c r="G1206" s="9" t="s">
        <v>834</v>
      </c>
      <c r="H1206" s="31"/>
    </row>
    <row r="1207">
      <c r="A1207" s="11">
        <v>46164.492056435185</v>
      </c>
      <c r="B1207" s="9" t="s">
        <v>397</v>
      </c>
      <c r="C1207" s="9" t="s">
        <v>891</v>
      </c>
      <c r="D1207" s="9" t="s">
        <v>867</v>
      </c>
      <c r="E1207" s="9" t="s">
        <v>896</v>
      </c>
      <c r="F1207" s="9" t="s">
        <v>840</v>
      </c>
      <c r="G1207" s="9" t="s">
        <v>834</v>
      </c>
      <c r="H1207" s="31"/>
    </row>
    <row r="1208">
      <c r="A1208" s="11">
        <v>46164.49547898148</v>
      </c>
      <c r="B1208" s="9" t="s">
        <v>371</v>
      </c>
      <c r="C1208" s="9" t="s">
        <v>882</v>
      </c>
      <c r="D1208" s="9" t="s">
        <v>883</v>
      </c>
      <c r="E1208" s="9" t="s">
        <v>878</v>
      </c>
      <c r="F1208" s="9" t="s">
        <v>840</v>
      </c>
      <c r="H1208" s="31">
        <v>5.0</v>
      </c>
    </row>
    <row r="1209">
      <c r="A1209" s="11">
        <v>46164.498042465275</v>
      </c>
      <c r="B1209" s="9" t="s">
        <v>397</v>
      </c>
      <c r="C1209" s="9" t="s">
        <v>896</v>
      </c>
      <c r="D1209" s="9" t="s">
        <v>868</v>
      </c>
      <c r="E1209" s="9" t="s">
        <v>891</v>
      </c>
      <c r="F1209" s="9" t="s">
        <v>840</v>
      </c>
      <c r="H1209" s="31">
        <v>4.0</v>
      </c>
    </row>
    <row r="1210">
      <c r="A1210" s="11">
        <v>46164.49980085648</v>
      </c>
      <c r="B1210" s="9" t="s">
        <v>125</v>
      </c>
      <c r="C1210" s="9" t="s">
        <v>879</v>
      </c>
      <c r="D1210" s="9" t="s">
        <v>861</v>
      </c>
      <c r="E1210" s="9" t="s">
        <v>865</v>
      </c>
      <c r="F1210" s="9" t="s">
        <v>840</v>
      </c>
      <c r="H1210" s="31">
        <v>4.0</v>
      </c>
    </row>
    <row r="1211">
      <c r="A1211" s="11">
        <v>46164.51850258102</v>
      </c>
      <c r="B1211" s="9" t="s">
        <v>125</v>
      </c>
      <c r="C1211" s="9" t="s">
        <v>838</v>
      </c>
      <c r="D1211" s="9" t="s">
        <v>855</v>
      </c>
      <c r="E1211" s="9" t="s">
        <v>875</v>
      </c>
      <c r="F1211" s="9" t="s">
        <v>840</v>
      </c>
      <c r="H1211" s="31">
        <v>5.0</v>
      </c>
    </row>
    <row r="1212">
      <c r="A1212" s="11">
        <v>46164.5619722338</v>
      </c>
      <c r="B1212" s="9" t="s">
        <v>132</v>
      </c>
      <c r="C1212" s="9" t="s">
        <v>895</v>
      </c>
      <c r="D1212" s="9" t="s">
        <v>887</v>
      </c>
      <c r="E1212" s="9" t="s">
        <v>862</v>
      </c>
      <c r="F1212" s="9" t="s">
        <v>840</v>
      </c>
      <c r="H1212" s="31">
        <v>4.0</v>
      </c>
    </row>
    <row r="1213">
      <c r="A1213" s="11">
        <v>46164.58404811342</v>
      </c>
      <c r="B1213" s="9" t="s">
        <v>132</v>
      </c>
      <c r="C1213" s="9" t="s">
        <v>859</v>
      </c>
      <c r="D1213" s="9" t="s">
        <v>874</v>
      </c>
      <c r="E1213" s="9" t="s">
        <v>856</v>
      </c>
      <c r="F1213" s="9" t="s">
        <v>840</v>
      </c>
      <c r="H1213" s="31">
        <v>5.0</v>
      </c>
    </row>
    <row r="1214">
      <c r="A1214" s="11">
        <v>46164.59137984954</v>
      </c>
      <c r="B1214" s="9" t="s">
        <v>64</v>
      </c>
      <c r="C1214" s="9" t="s">
        <v>855</v>
      </c>
      <c r="D1214" s="9" t="s">
        <v>839</v>
      </c>
      <c r="E1214" s="9" t="s">
        <v>856</v>
      </c>
      <c r="F1214" s="9" t="s">
        <v>840</v>
      </c>
      <c r="H1214" s="31">
        <v>4.0</v>
      </c>
    </row>
    <row r="1215">
      <c r="A1215" s="11">
        <v>46164.61880751158</v>
      </c>
      <c r="B1215" s="9" t="s">
        <v>373</v>
      </c>
      <c r="C1215" s="9" t="s">
        <v>854</v>
      </c>
      <c r="D1215" s="9" t="s">
        <v>876</v>
      </c>
      <c r="E1215" s="9" t="s">
        <v>882</v>
      </c>
      <c r="F1215" s="9" t="s">
        <v>840</v>
      </c>
      <c r="H1215" s="31">
        <v>5.0</v>
      </c>
    </row>
    <row r="1216">
      <c r="A1216" s="11">
        <v>46164.68109525463</v>
      </c>
      <c r="B1216" s="9" t="s">
        <v>71</v>
      </c>
      <c r="C1216" s="9" t="s">
        <v>871</v>
      </c>
      <c r="D1216" s="9" t="s">
        <v>883</v>
      </c>
      <c r="E1216" s="9" t="s">
        <v>870</v>
      </c>
      <c r="F1216" s="9" t="s">
        <v>840</v>
      </c>
      <c r="H1216" s="31">
        <v>5.0</v>
      </c>
    </row>
    <row r="1217">
      <c r="A1217" s="11">
        <v>46164.79027103009</v>
      </c>
      <c r="B1217" s="9" t="s">
        <v>228</v>
      </c>
      <c r="C1217" s="9" t="s">
        <v>867</v>
      </c>
      <c r="D1217" s="9" t="s">
        <v>875</v>
      </c>
      <c r="E1217" s="9" t="s">
        <v>878</v>
      </c>
      <c r="F1217" s="9" t="s">
        <v>840</v>
      </c>
      <c r="G1217" s="9" t="s">
        <v>834</v>
      </c>
      <c r="H1217" s="31"/>
    </row>
    <row r="1218">
      <c r="A1218" s="11">
        <v>46164.79248310185</v>
      </c>
      <c r="B1218" s="9" t="s">
        <v>228</v>
      </c>
      <c r="C1218" s="9" t="s">
        <v>867</v>
      </c>
      <c r="D1218" s="9" t="s">
        <v>877</v>
      </c>
      <c r="E1218" s="9" t="s">
        <v>839</v>
      </c>
      <c r="F1218" s="9" t="s">
        <v>840</v>
      </c>
      <c r="H1218" s="31">
        <v>5.0</v>
      </c>
    </row>
    <row r="1219">
      <c r="A1219" s="11">
        <v>46164.81201354167</v>
      </c>
      <c r="B1219" s="9" t="s">
        <v>253</v>
      </c>
      <c r="C1219" s="9" t="s">
        <v>889</v>
      </c>
      <c r="D1219" s="9" t="s">
        <v>887</v>
      </c>
      <c r="E1219" s="9" t="s">
        <v>862</v>
      </c>
      <c r="F1219" s="9" t="s">
        <v>840</v>
      </c>
      <c r="H1219" s="31">
        <v>5.0</v>
      </c>
    </row>
    <row r="1220">
      <c r="A1220" s="11">
        <v>46164.81622466435</v>
      </c>
      <c r="B1220" s="9" t="s">
        <v>204</v>
      </c>
      <c r="C1220" s="9" t="s">
        <v>855</v>
      </c>
      <c r="D1220" s="9" t="s">
        <v>839</v>
      </c>
      <c r="E1220" s="9" t="s">
        <v>866</v>
      </c>
      <c r="F1220" s="9" t="s">
        <v>840</v>
      </c>
      <c r="H1220" s="31">
        <v>4.0</v>
      </c>
    </row>
    <row r="1221">
      <c r="A1221" s="11">
        <v>46164.84761855324</v>
      </c>
      <c r="B1221" s="9" t="s">
        <v>264</v>
      </c>
      <c r="C1221" s="9" t="s">
        <v>881</v>
      </c>
      <c r="D1221" s="9" t="s">
        <v>869</v>
      </c>
      <c r="E1221" s="9" t="s">
        <v>891</v>
      </c>
      <c r="F1221" s="9" t="s">
        <v>840</v>
      </c>
      <c r="H1221" s="31">
        <v>5.0</v>
      </c>
    </row>
    <row r="1222">
      <c r="A1222" s="11">
        <v>46164.85183458333</v>
      </c>
      <c r="B1222" s="9" t="s">
        <v>276</v>
      </c>
      <c r="C1222" s="9" t="s">
        <v>871</v>
      </c>
      <c r="D1222" s="9" t="s">
        <v>875</v>
      </c>
      <c r="E1222" s="9" t="s">
        <v>877</v>
      </c>
      <c r="F1222" s="9" t="s">
        <v>840</v>
      </c>
      <c r="H1222" s="31">
        <v>5.0</v>
      </c>
    </row>
    <row r="1223">
      <c r="A1223" s="11">
        <v>46164.852008229165</v>
      </c>
      <c r="B1223" s="9" t="s">
        <v>282</v>
      </c>
      <c r="C1223" s="9" t="s">
        <v>895</v>
      </c>
      <c r="D1223" s="9" t="s">
        <v>871</v>
      </c>
      <c r="E1223" s="9" t="s">
        <v>896</v>
      </c>
      <c r="F1223" s="9" t="s">
        <v>840</v>
      </c>
      <c r="H1223" s="31">
        <v>3.0</v>
      </c>
    </row>
    <row r="1224">
      <c r="A1224" s="11">
        <v>46164.8626541088</v>
      </c>
      <c r="B1224" s="9" t="s">
        <v>252</v>
      </c>
      <c r="C1224" s="9" t="s">
        <v>887</v>
      </c>
      <c r="D1224" s="9" t="s">
        <v>872</v>
      </c>
      <c r="E1224" s="9" t="s">
        <v>856</v>
      </c>
      <c r="F1224" s="9" t="s">
        <v>840</v>
      </c>
      <c r="H1224" s="31">
        <v>5.0</v>
      </c>
    </row>
    <row r="1225">
      <c r="A1225" s="11">
        <v>46164.90462447917</v>
      </c>
      <c r="B1225" s="9" t="s">
        <v>76</v>
      </c>
      <c r="C1225" s="9" t="s">
        <v>887</v>
      </c>
      <c r="D1225" s="9" t="s">
        <v>838</v>
      </c>
      <c r="E1225" s="9" t="s">
        <v>881</v>
      </c>
      <c r="F1225" s="9" t="s">
        <v>840</v>
      </c>
      <c r="H1225" s="31">
        <v>4.0</v>
      </c>
    </row>
    <row r="1226">
      <c r="A1226" s="11">
        <v>46164.9469628125</v>
      </c>
      <c r="B1226" s="9" t="s">
        <v>59</v>
      </c>
      <c r="C1226" s="9" t="s">
        <v>878</v>
      </c>
      <c r="D1226" s="9" t="s">
        <v>890</v>
      </c>
      <c r="E1226" s="9" t="s">
        <v>895</v>
      </c>
      <c r="F1226" s="9" t="s">
        <v>840</v>
      </c>
      <c r="H1226" s="31">
        <v>4.0</v>
      </c>
    </row>
    <row r="1227">
      <c r="A1227" s="11">
        <v>46164.985309814816</v>
      </c>
      <c r="B1227" s="9" t="s">
        <v>18</v>
      </c>
      <c r="C1227" s="9" t="s">
        <v>889</v>
      </c>
      <c r="D1227" s="9" t="s">
        <v>900</v>
      </c>
      <c r="E1227" s="9" t="s">
        <v>890</v>
      </c>
      <c r="F1227" s="9" t="s">
        <v>840</v>
      </c>
      <c r="H1227" s="31">
        <v>5.0</v>
      </c>
    </row>
    <row r="1228">
      <c r="A1228" s="11">
        <v>46164.990496886574</v>
      </c>
      <c r="B1228" s="9" t="s">
        <v>162</v>
      </c>
      <c r="C1228" s="9" t="s">
        <v>838</v>
      </c>
      <c r="D1228" s="9" t="s">
        <v>896</v>
      </c>
      <c r="E1228" s="9" t="s">
        <v>891</v>
      </c>
      <c r="F1228" s="9" t="s">
        <v>840</v>
      </c>
      <c r="H1228" s="31">
        <v>4.0</v>
      </c>
    </row>
    <row r="1229">
      <c r="A1229" s="11">
        <v>46165.01294409722</v>
      </c>
      <c r="B1229" s="9" t="s">
        <v>284</v>
      </c>
      <c r="C1229" s="9" t="s">
        <v>876</v>
      </c>
      <c r="D1229" s="9" t="s">
        <v>863</v>
      </c>
      <c r="E1229" s="9" t="s">
        <v>889</v>
      </c>
      <c r="F1229" s="9" t="s">
        <v>840</v>
      </c>
      <c r="H1229" s="31">
        <v>5.0</v>
      </c>
    </row>
    <row r="1230">
      <c r="A1230" s="11">
        <v>46165.05457157407</v>
      </c>
      <c r="B1230" s="9" t="s">
        <v>192</v>
      </c>
      <c r="C1230" s="9" t="s">
        <v>839</v>
      </c>
      <c r="D1230" s="9" t="s">
        <v>883</v>
      </c>
      <c r="E1230" s="9" t="s">
        <v>882</v>
      </c>
      <c r="F1230" s="9" t="s">
        <v>840</v>
      </c>
      <c r="H1230" s="31">
        <v>4.0</v>
      </c>
    </row>
    <row r="1231">
      <c r="A1231" s="11">
        <v>46165.178407314816</v>
      </c>
      <c r="B1231" s="9" t="s">
        <v>324</v>
      </c>
      <c r="C1231" s="9" t="s">
        <v>889</v>
      </c>
      <c r="D1231" s="9" t="s">
        <v>864</v>
      </c>
      <c r="E1231" s="9" t="s">
        <v>877</v>
      </c>
      <c r="F1231" s="9" t="s">
        <v>840</v>
      </c>
      <c r="H1231" s="31">
        <v>5.0</v>
      </c>
    </row>
    <row r="1232">
      <c r="A1232" s="11">
        <v>46165.42306519676</v>
      </c>
      <c r="B1232" s="9" t="s">
        <v>218</v>
      </c>
      <c r="C1232" s="9" t="s">
        <v>890</v>
      </c>
      <c r="D1232" s="9" t="s">
        <v>869</v>
      </c>
      <c r="E1232" s="9" t="s">
        <v>887</v>
      </c>
      <c r="F1232" s="9" t="s">
        <v>840</v>
      </c>
      <c r="H1232" s="31">
        <v>3.0</v>
      </c>
    </row>
    <row r="1233">
      <c r="A1233" s="11">
        <v>46165.52662421296</v>
      </c>
      <c r="B1233" s="9" t="s">
        <v>273</v>
      </c>
      <c r="C1233" s="9" t="s">
        <v>864</v>
      </c>
      <c r="D1233" s="9" t="s">
        <v>865</v>
      </c>
      <c r="E1233" s="9" t="s">
        <v>881</v>
      </c>
      <c r="F1233" s="9" t="s">
        <v>840</v>
      </c>
      <c r="H1233" s="31">
        <v>5.0</v>
      </c>
    </row>
    <row r="1234">
      <c r="A1234" s="11">
        <v>46165.6093921412</v>
      </c>
      <c r="B1234" s="9" t="s">
        <v>299</v>
      </c>
      <c r="C1234" s="9" t="s">
        <v>896</v>
      </c>
      <c r="D1234" s="9" t="s">
        <v>874</v>
      </c>
      <c r="E1234" s="9" t="s">
        <v>875</v>
      </c>
      <c r="F1234" s="9" t="s">
        <v>840</v>
      </c>
      <c r="H1234" s="31">
        <v>5.0</v>
      </c>
    </row>
    <row r="1235">
      <c r="A1235" s="11">
        <v>46165.619996469904</v>
      </c>
      <c r="B1235" s="9" t="s">
        <v>213</v>
      </c>
      <c r="C1235" s="9" t="s">
        <v>857</v>
      </c>
      <c r="D1235" s="9" t="s">
        <v>895</v>
      </c>
      <c r="E1235" s="9" t="s">
        <v>868</v>
      </c>
      <c r="F1235" s="9" t="s">
        <v>840</v>
      </c>
      <c r="H1235" s="31">
        <v>4.0</v>
      </c>
    </row>
    <row r="1236">
      <c r="A1236" s="11">
        <v>46165.64890355324</v>
      </c>
      <c r="B1236" s="9" t="s">
        <v>184</v>
      </c>
      <c r="C1236" s="9" t="s">
        <v>867</v>
      </c>
      <c r="D1236" s="9" t="s">
        <v>874</v>
      </c>
      <c r="E1236" s="9" t="s">
        <v>895</v>
      </c>
      <c r="F1236" s="9" t="s">
        <v>840</v>
      </c>
      <c r="G1236" s="9" t="s">
        <v>834</v>
      </c>
      <c r="H1236" s="31"/>
    </row>
    <row r="1237">
      <c r="A1237" s="11">
        <v>46165.65391197917</v>
      </c>
      <c r="B1237" s="9" t="s">
        <v>184</v>
      </c>
      <c r="C1237" s="9" t="s">
        <v>867</v>
      </c>
      <c r="D1237" s="9" t="s">
        <v>879</v>
      </c>
      <c r="E1237" s="9" t="s">
        <v>870</v>
      </c>
      <c r="F1237" s="9" t="s">
        <v>840</v>
      </c>
      <c r="H1237" s="31">
        <v>5.0</v>
      </c>
    </row>
    <row r="1238">
      <c r="A1238" s="11">
        <v>46165.68789423611</v>
      </c>
      <c r="B1238" s="9" t="s">
        <v>245</v>
      </c>
      <c r="C1238" s="9" t="s">
        <v>890</v>
      </c>
      <c r="D1238" s="9" t="s">
        <v>887</v>
      </c>
      <c r="E1238" s="9" t="s">
        <v>866</v>
      </c>
      <c r="F1238" s="9" t="s">
        <v>840</v>
      </c>
      <c r="H1238" s="31">
        <v>5.0</v>
      </c>
    </row>
    <row r="1239">
      <c r="A1239" s="11">
        <v>46165.76927377315</v>
      </c>
      <c r="B1239" s="9" t="s">
        <v>121</v>
      </c>
      <c r="C1239" s="9" t="s">
        <v>867</v>
      </c>
      <c r="D1239" s="9" t="s">
        <v>853</v>
      </c>
      <c r="E1239" s="9" t="s">
        <v>858</v>
      </c>
      <c r="F1239" s="9" t="s">
        <v>840</v>
      </c>
      <c r="H1239" s="31">
        <v>5.0</v>
      </c>
    </row>
    <row r="1240">
      <c r="A1240" s="11">
        <v>46165.941418877315</v>
      </c>
      <c r="B1240" s="9" t="s">
        <v>165</v>
      </c>
      <c r="C1240" s="9" t="s">
        <v>889</v>
      </c>
      <c r="D1240" s="9" t="s">
        <v>868</v>
      </c>
      <c r="E1240" s="9" t="s">
        <v>895</v>
      </c>
      <c r="F1240" s="9" t="s">
        <v>840</v>
      </c>
      <c r="H1240" s="31">
        <v>5.0</v>
      </c>
    </row>
    <row r="1241">
      <c r="A1241" s="11">
        <v>46165.94600863426</v>
      </c>
      <c r="B1241" s="9" t="s">
        <v>345</v>
      </c>
      <c r="C1241" s="9" t="s">
        <v>854</v>
      </c>
      <c r="D1241" s="9" t="s">
        <v>868</v>
      </c>
      <c r="E1241" s="9" t="s">
        <v>876</v>
      </c>
      <c r="F1241" s="9" t="s">
        <v>840</v>
      </c>
      <c r="G1241" s="9" t="s">
        <v>834</v>
      </c>
      <c r="H1241" s="31"/>
    </row>
    <row r="1242">
      <c r="A1242" s="11">
        <v>46165.94666248842</v>
      </c>
      <c r="B1242" s="9" t="s">
        <v>345</v>
      </c>
      <c r="C1242" s="9" t="s">
        <v>876</v>
      </c>
      <c r="D1242" s="9" t="s">
        <v>854</v>
      </c>
      <c r="E1242" s="9" t="s">
        <v>889</v>
      </c>
      <c r="F1242" s="9" t="s">
        <v>840</v>
      </c>
      <c r="H1242" s="31">
        <v>5.0</v>
      </c>
    </row>
    <row r="1243">
      <c r="A1243" s="11">
        <v>46165.99299953703</v>
      </c>
      <c r="B1243" s="9" t="s">
        <v>281</v>
      </c>
      <c r="C1243" s="9" t="s">
        <v>881</v>
      </c>
      <c r="D1243" s="9" t="s">
        <v>874</v>
      </c>
      <c r="E1243" s="9" t="s">
        <v>853</v>
      </c>
      <c r="F1243" s="9" t="s">
        <v>840</v>
      </c>
      <c r="H1243" s="31">
        <v>5.0</v>
      </c>
    </row>
    <row r="1244">
      <c r="A1244" s="11">
        <v>46166.02458878473</v>
      </c>
      <c r="B1244" s="9" t="s">
        <v>282</v>
      </c>
      <c r="C1244" s="9" t="s">
        <v>877</v>
      </c>
      <c r="D1244" s="9" t="s">
        <v>868</v>
      </c>
      <c r="E1244" s="9" t="s">
        <v>872</v>
      </c>
      <c r="F1244" s="9" t="s">
        <v>840</v>
      </c>
      <c r="H1244" s="31">
        <v>4.0</v>
      </c>
    </row>
    <row r="1245">
      <c r="A1245" s="11">
        <v>46166.28536571759</v>
      </c>
      <c r="B1245" s="9" t="s">
        <v>204</v>
      </c>
      <c r="C1245" s="9" t="s">
        <v>838</v>
      </c>
      <c r="D1245" s="9" t="s">
        <v>872</v>
      </c>
      <c r="E1245" s="9" t="s">
        <v>858</v>
      </c>
      <c r="F1245" s="9" t="s">
        <v>840</v>
      </c>
      <c r="H1245" s="31">
        <v>5.0</v>
      </c>
    </row>
    <row r="1246">
      <c r="A1246" s="11">
        <v>46166.49744511574</v>
      </c>
      <c r="B1246" s="9" t="s">
        <v>288</v>
      </c>
      <c r="C1246" s="9" t="s">
        <v>881</v>
      </c>
      <c r="D1246" s="9" t="s">
        <v>889</v>
      </c>
      <c r="E1246" s="9" t="s">
        <v>896</v>
      </c>
      <c r="F1246" s="9" t="s">
        <v>840</v>
      </c>
      <c r="H1246" s="31">
        <v>5.0</v>
      </c>
    </row>
    <row r="1247">
      <c r="A1247" s="11">
        <v>46166.639286631944</v>
      </c>
      <c r="B1247" s="9" t="s">
        <v>277</v>
      </c>
      <c r="C1247" s="9" t="s">
        <v>864</v>
      </c>
      <c r="D1247" s="9" t="s">
        <v>877</v>
      </c>
      <c r="E1247" s="9" t="s">
        <v>889</v>
      </c>
      <c r="F1247" s="9" t="s">
        <v>840</v>
      </c>
      <c r="G1247" s="9" t="s">
        <v>834</v>
      </c>
      <c r="H1247" s="31"/>
    </row>
    <row r="1248">
      <c r="A1248" s="11">
        <v>46166.64092770833</v>
      </c>
      <c r="B1248" s="9" t="s">
        <v>277</v>
      </c>
      <c r="C1248" s="9" t="s">
        <v>878</v>
      </c>
      <c r="D1248" s="9" t="s">
        <v>864</v>
      </c>
      <c r="E1248" s="9" t="s">
        <v>868</v>
      </c>
      <c r="F1248" s="9" t="s">
        <v>840</v>
      </c>
      <c r="H1248" s="31">
        <v>5.0</v>
      </c>
    </row>
    <row r="1249">
      <c r="A1249" s="11">
        <v>46166.64386462963</v>
      </c>
      <c r="B1249" s="9" t="s">
        <v>350</v>
      </c>
      <c r="C1249" s="9" t="s">
        <v>839</v>
      </c>
      <c r="D1249" s="9" t="s">
        <v>868</v>
      </c>
      <c r="E1249" s="9" t="s">
        <v>859</v>
      </c>
      <c r="F1249" s="9" t="s">
        <v>840</v>
      </c>
      <c r="H1249" s="31">
        <v>4.0</v>
      </c>
    </row>
    <row r="1250">
      <c r="A1250" s="11">
        <v>46166.89889107639</v>
      </c>
      <c r="B1250" s="9" t="s">
        <v>62</v>
      </c>
      <c r="C1250" s="9" t="s">
        <v>877</v>
      </c>
      <c r="D1250" s="9" t="s">
        <v>875</v>
      </c>
      <c r="E1250" s="9" t="s">
        <v>883</v>
      </c>
      <c r="F1250" s="9" t="s">
        <v>840</v>
      </c>
      <c r="H1250" s="31">
        <v>5.0</v>
      </c>
    </row>
    <row r="1251">
      <c r="A1251" s="11">
        <v>46166.96582626157</v>
      </c>
      <c r="B1251" s="9" t="s">
        <v>263</v>
      </c>
      <c r="C1251" s="9" t="s">
        <v>858</v>
      </c>
      <c r="D1251" s="9" t="s">
        <v>889</v>
      </c>
      <c r="E1251" s="9" t="s">
        <v>861</v>
      </c>
      <c r="F1251" s="9" t="s">
        <v>840</v>
      </c>
      <c r="H1251" s="31">
        <v>4.0</v>
      </c>
    </row>
    <row r="1252">
      <c r="A1252" s="11">
        <v>46167.40850497685</v>
      </c>
      <c r="B1252" s="9" t="s">
        <v>200</v>
      </c>
      <c r="C1252" s="9" t="s">
        <v>861</v>
      </c>
      <c r="D1252" s="9" t="s">
        <v>900</v>
      </c>
      <c r="E1252" s="9" t="s">
        <v>891</v>
      </c>
      <c r="F1252" s="9" t="s">
        <v>840</v>
      </c>
      <c r="G1252" s="9" t="s">
        <v>834</v>
      </c>
      <c r="H1252" s="31"/>
    </row>
    <row r="1253">
      <c r="A1253" s="11">
        <v>46167.50602914352</v>
      </c>
      <c r="B1253" s="9" t="s">
        <v>79</v>
      </c>
      <c r="C1253" s="9" t="s">
        <v>853</v>
      </c>
      <c r="D1253" s="9" t="s">
        <v>864</v>
      </c>
      <c r="E1253" s="9" t="s">
        <v>838</v>
      </c>
      <c r="F1253" s="9" t="s">
        <v>840</v>
      </c>
      <c r="H1253" s="31">
        <v>4.0</v>
      </c>
    </row>
    <row r="1254">
      <c r="A1254" s="11">
        <v>46167.60469876157</v>
      </c>
      <c r="B1254" s="9" t="s">
        <v>227</v>
      </c>
      <c r="C1254" s="9" t="s">
        <v>859</v>
      </c>
      <c r="D1254" s="9" t="s">
        <v>872</v>
      </c>
      <c r="E1254" s="9" t="s">
        <v>889</v>
      </c>
      <c r="F1254" s="9" t="s">
        <v>840</v>
      </c>
      <c r="H1254" s="31">
        <v>5.0</v>
      </c>
    </row>
    <row r="1255">
      <c r="A1255" s="11">
        <v>46167.71912310185</v>
      </c>
      <c r="B1255" s="9" t="s">
        <v>95</v>
      </c>
      <c r="C1255" s="9" t="s">
        <v>868</v>
      </c>
      <c r="D1255" s="9" t="s">
        <v>863</v>
      </c>
      <c r="E1255" s="9" t="s">
        <v>887</v>
      </c>
      <c r="F1255" s="9" t="s">
        <v>840</v>
      </c>
      <c r="H1255" s="31">
        <v>5.0</v>
      </c>
    </row>
    <row r="1256">
      <c r="A1256" s="11">
        <v>46167.76019465278</v>
      </c>
      <c r="B1256" s="9" t="s">
        <v>332</v>
      </c>
      <c r="C1256" s="9" t="s">
        <v>891</v>
      </c>
      <c r="D1256" s="9" t="s">
        <v>879</v>
      </c>
      <c r="E1256" s="9" t="s">
        <v>874</v>
      </c>
      <c r="F1256" s="9" t="s">
        <v>840</v>
      </c>
      <c r="H1256" s="31">
        <v>5.0</v>
      </c>
    </row>
    <row r="1257">
      <c r="A1257" s="11">
        <v>46167.7749528125</v>
      </c>
      <c r="B1257" s="9" t="s">
        <v>217</v>
      </c>
      <c r="C1257" s="9" t="s">
        <v>895</v>
      </c>
      <c r="D1257" s="9" t="s">
        <v>875</v>
      </c>
      <c r="E1257" s="9" t="s">
        <v>859</v>
      </c>
      <c r="F1257" s="9" t="s">
        <v>840</v>
      </c>
      <c r="H1257" s="31">
        <v>5.0</v>
      </c>
    </row>
    <row r="1258">
      <c r="A1258" s="11">
        <v>46167.803085011576</v>
      </c>
      <c r="B1258" s="9" t="s">
        <v>296</v>
      </c>
      <c r="C1258" s="9" t="s">
        <v>900</v>
      </c>
      <c r="D1258" s="9" t="s">
        <v>890</v>
      </c>
      <c r="E1258" s="9" t="s">
        <v>871</v>
      </c>
      <c r="F1258" s="9" t="s">
        <v>840</v>
      </c>
      <c r="H1258" s="31">
        <v>3.0</v>
      </c>
    </row>
    <row r="1259">
      <c r="A1259" s="11">
        <v>46167.89441104166</v>
      </c>
      <c r="B1259" s="9" t="s">
        <v>296</v>
      </c>
      <c r="C1259" s="9" t="s">
        <v>876</v>
      </c>
      <c r="D1259" s="9" t="s">
        <v>865</v>
      </c>
      <c r="E1259" s="9" t="s">
        <v>879</v>
      </c>
      <c r="F1259" s="9" t="s">
        <v>840</v>
      </c>
      <c r="H1259" s="31">
        <v>4.0</v>
      </c>
    </row>
    <row r="1260">
      <c r="A1260" s="11">
        <v>46167.954443622686</v>
      </c>
      <c r="B1260" s="9" t="s">
        <v>192</v>
      </c>
      <c r="C1260" s="9" t="s">
        <v>862</v>
      </c>
      <c r="D1260" s="9" t="s">
        <v>891</v>
      </c>
      <c r="E1260" s="9" t="s">
        <v>874</v>
      </c>
      <c r="F1260" s="9" t="s">
        <v>840</v>
      </c>
      <c r="H1260" s="31">
        <v>5.0</v>
      </c>
    </row>
    <row r="1261">
      <c r="A1261" s="11">
        <v>46167.984094976855</v>
      </c>
      <c r="B1261" s="9" t="s">
        <v>349</v>
      </c>
      <c r="C1261" s="9" t="s">
        <v>839</v>
      </c>
      <c r="D1261" s="9" t="s">
        <v>868</v>
      </c>
      <c r="E1261" s="9" t="s">
        <v>838</v>
      </c>
      <c r="F1261" s="9" t="s">
        <v>840</v>
      </c>
      <c r="H1261" s="31">
        <v>4.0</v>
      </c>
    </row>
    <row r="1262">
      <c r="A1262" s="11">
        <v>46168.00103798611</v>
      </c>
      <c r="B1262" s="9" t="s">
        <v>306</v>
      </c>
      <c r="C1262" s="9" t="s">
        <v>887</v>
      </c>
      <c r="D1262" s="9" t="s">
        <v>889</v>
      </c>
      <c r="E1262" s="9" t="s">
        <v>864</v>
      </c>
      <c r="F1262" s="9" t="s">
        <v>840</v>
      </c>
      <c r="H1262" s="31">
        <v>5.0</v>
      </c>
    </row>
    <row r="1263">
      <c r="A1263" s="11">
        <v>46168.66522800926</v>
      </c>
      <c r="B1263" s="9" t="s">
        <v>185</v>
      </c>
      <c r="C1263" s="9" t="s">
        <v>870</v>
      </c>
      <c r="D1263" s="9" t="s">
        <v>883</v>
      </c>
      <c r="E1263" s="9" t="s">
        <v>874</v>
      </c>
      <c r="F1263" s="9" t="s">
        <v>840</v>
      </c>
      <c r="G1263" s="9" t="s">
        <v>834</v>
      </c>
      <c r="H1263" s="31"/>
    </row>
    <row r="1264">
      <c r="A1264" s="11">
        <v>46168.66601207176</v>
      </c>
      <c r="B1264" s="9" t="s">
        <v>185</v>
      </c>
      <c r="C1264" s="9" t="s">
        <v>870</v>
      </c>
      <c r="D1264" s="9" t="s">
        <v>883</v>
      </c>
      <c r="E1264" s="9" t="s">
        <v>858</v>
      </c>
      <c r="F1264" s="9" t="s">
        <v>840</v>
      </c>
      <c r="H1264" s="31">
        <v>5.0</v>
      </c>
    </row>
    <row r="1265">
      <c r="A1265" s="11">
        <v>46168.96038517361</v>
      </c>
      <c r="B1265" s="9" t="s">
        <v>59</v>
      </c>
      <c r="C1265" s="9" t="s">
        <v>896</v>
      </c>
      <c r="D1265" s="9" t="s">
        <v>877</v>
      </c>
      <c r="E1265" s="9" t="s">
        <v>858</v>
      </c>
      <c r="F1265" s="9" t="s">
        <v>840</v>
      </c>
      <c r="H1265" s="31">
        <v>5.0</v>
      </c>
    </row>
    <row r="1266">
      <c r="A1266" s="11">
        <v>46168.97975172454</v>
      </c>
      <c r="B1266" s="9" t="s">
        <v>110</v>
      </c>
      <c r="C1266" s="9" t="s">
        <v>871</v>
      </c>
      <c r="D1266" s="9" t="s">
        <v>839</v>
      </c>
      <c r="E1266" s="9" t="s">
        <v>900</v>
      </c>
      <c r="F1266" s="9" t="s">
        <v>840</v>
      </c>
      <c r="H1266" s="31">
        <v>3.0</v>
      </c>
    </row>
    <row r="1267">
      <c r="A1267" s="11">
        <v>46168.98873873842</v>
      </c>
      <c r="B1267" s="9" t="s">
        <v>346</v>
      </c>
      <c r="C1267" s="9" t="s">
        <v>875</v>
      </c>
      <c r="D1267" s="9" t="s">
        <v>874</v>
      </c>
      <c r="E1267" s="9" t="s">
        <v>857</v>
      </c>
      <c r="F1267" s="9" t="s">
        <v>840</v>
      </c>
      <c r="H1267" s="31">
        <v>5.0</v>
      </c>
    </row>
    <row r="1268">
      <c r="A1268" s="11">
        <v>46169.00262646991</v>
      </c>
      <c r="B1268" s="9" t="s">
        <v>296</v>
      </c>
      <c r="C1268" s="9" t="s">
        <v>862</v>
      </c>
      <c r="D1268" s="9" t="s">
        <v>889</v>
      </c>
      <c r="E1268" s="9" t="s">
        <v>891</v>
      </c>
      <c r="F1268" s="9" t="s">
        <v>840</v>
      </c>
      <c r="H1268" s="31">
        <v>5.0</v>
      </c>
    </row>
    <row r="1269">
      <c r="A1269" s="11">
        <v>46169.37239498843</v>
      </c>
      <c r="B1269" s="9" t="s">
        <v>888</v>
      </c>
      <c r="C1269" s="9" t="s">
        <v>874</v>
      </c>
      <c r="D1269" s="9" t="s">
        <v>866</v>
      </c>
      <c r="E1269" s="9" t="s">
        <v>858</v>
      </c>
      <c r="F1269" s="9" t="s">
        <v>840</v>
      </c>
      <c r="H1269" s="31">
        <v>5.0</v>
      </c>
    </row>
    <row r="1270">
      <c r="A1270" s="11">
        <v>46169.4116478588</v>
      </c>
      <c r="B1270" s="9" t="s">
        <v>200</v>
      </c>
      <c r="C1270" s="9" t="s">
        <v>861</v>
      </c>
      <c r="D1270" s="9" t="s">
        <v>880</v>
      </c>
      <c r="E1270" s="9" t="s">
        <v>856</v>
      </c>
      <c r="F1270" s="9" t="s">
        <v>840</v>
      </c>
      <c r="H1270" s="31">
        <v>4.0</v>
      </c>
    </row>
    <row r="1271">
      <c r="A1271" s="11">
        <v>46169.44189238426</v>
      </c>
      <c r="B1271" s="9" t="s">
        <v>218</v>
      </c>
      <c r="C1271" s="9" t="s">
        <v>863</v>
      </c>
      <c r="D1271" s="9" t="s">
        <v>882</v>
      </c>
      <c r="E1271" s="9" t="s">
        <v>839</v>
      </c>
      <c r="F1271" s="9" t="s">
        <v>840</v>
      </c>
      <c r="G1271" s="9" t="s">
        <v>834</v>
      </c>
      <c r="H1271" s="31"/>
    </row>
    <row r="1272">
      <c r="A1272" s="11">
        <v>46169.44314422454</v>
      </c>
      <c r="B1272" s="9" t="s">
        <v>218</v>
      </c>
      <c r="C1272" s="9" t="s">
        <v>839</v>
      </c>
      <c r="D1272" s="9" t="s">
        <v>882</v>
      </c>
      <c r="E1272" s="9" t="s">
        <v>861</v>
      </c>
      <c r="F1272" s="9" t="s">
        <v>840</v>
      </c>
      <c r="H1272" s="31">
        <v>4.0</v>
      </c>
    </row>
    <row r="1273">
      <c r="A1273" s="11">
        <v>46169.71588148148</v>
      </c>
      <c r="B1273" s="9" t="s">
        <v>84</v>
      </c>
      <c r="C1273" s="9" t="s">
        <v>880</v>
      </c>
      <c r="D1273" s="9" t="s">
        <v>878</v>
      </c>
      <c r="E1273" s="9" t="s">
        <v>889</v>
      </c>
      <c r="F1273" s="9" t="s">
        <v>840</v>
      </c>
      <c r="H1273" s="31">
        <v>4.0</v>
      </c>
    </row>
    <row r="1274">
      <c r="A1274" s="11">
        <v>46169.81090527777</v>
      </c>
      <c r="B1274" s="9" t="s">
        <v>388</v>
      </c>
      <c r="C1274" s="9" t="s">
        <v>838</v>
      </c>
      <c r="D1274" s="9" t="s">
        <v>889</v>
      </c>
      <c r="E1274" s="9" t="s">
        <v>881</v>
      </c>
      <c r="F1274" s="9" t="s">
        <v>840</v>
      </c>
      <c r="H1274" s="31">
        <v>4.0</v>
      </c>
    </row>
    <row r="1275">
      <c r="A1275" s="11">
        <v>46169.92742119213</v>
      </c>
      <c r="B1275" s="9" t="s">
        <v>162</v>
      </c>
      <c r="C1275" s="9" t="s">
        <v>866</v>
      </c>
      <c r="D1275" s="9" t="s">
        <v>890</v>
      </c>
      <c r="E1275" s="9" t="s">
        <v>887</v>
      </c>
      <c r="F1275" s="9" t="s">
        <v>840</v>
      </c>
      <c r="H1275" s="31">
        <v>5.0</v>
      </c>
    </row>
    <row r="1276">
      <c r="A1276" s="11">
        <v>46169.99741736111</v>
      </c>
      <c r="B1276" s="9" t="s">
        <v>110</v>
      </c>
      <c r="C1276" s="9" t="s">
        <v>882</v>
      </c>
      <c r="D1276" s="9" t="s">
        <v>861</v>
      </c>
      <c r="E1276" s="9" t="s">
        <v>862</v>
      </c>
      <c r="F1276" s="9" t="s">
        <v>840</v>
      </c>
      <c r="H1276" s="31">
        <v>4.0</v>
      </c>
    </row>
    <row r="1277">
      <c r="A1277" s="11">
        <v>46170.01879170139</v>
      </c>
      <c r="B1277" s="9" t="s">
        <v>414</v>
      </c>
      <c r="C1277" s="9" t="s">
        <v>865</v>
      </c>
      <c r="D1277" s="9" t="s">
        <v>889</v>
      </c>
      <c r="E1277" s="9" t="s">
        <v>880</v>
      </c>
      <c r="F1277" s="9" t="s">
        <v>840</v>
      </c>
      <c r="H1277" s="31">
        <v>5.0</v>
      </c>
    </row>
    <row r="1278">
      <c r="A1278" s="11">
        <v>46170.657305092594</v>
      </c>
      <c r="B1278" s="9" t="s">
        <v>213</v>
      </c>
      <c r="C1278" s="9" t="s">
        <v>874</v>
      </c>
      <c r="D1278" s="9" t="s">
        <v>883</v>
      </c>
      <c r="E1278" s="9" t="s">
        <v>881</v>
      </c>
      <c r="F1278" s="9" t="s">
        <v>840</v>
      </c>
      <c r="H1278" s="31">
        <v>5.0</v>
      </c>
    </row>
    <row r="1279">
      <c r="A1279" s="11">
        <v>46170.815795636576</v>
      </c>
      <c r="B1279" s="9" t="s">
        <v>64</v>
      </c>
      <c r="C1279" s="9" t="s">
        <v>838</v>
      </c>
      <c r="D1279" s="9" t="s">
        <v>900</v>
      </c>
      <c r="E1279" s="9" t="s">
        <v>858</v>
      </c>
      <c r="F1279" s="9" t="s">
        <v>840</v>
      </c>
      <c r="G1279" s="9" t="s">
        <v>860</v>
      </c>
      <c r="H1279" s="31"/>
    </row>
    <row r="1280">
      <c r="A1280" s="11">
        <v>46170.82255391203</v>
      </c>
      <c r="B1280" s="9" t="s">
        <v>64</v>
      </c>
      <c r="C1280" s="9" t="s">
        <v>854</v>
      </c>
      <c r="D1280" s="9" t="s">
        <v>895</v>
      </c>
      <c r="E1280" s="9" t="s">
        <v>872</v>
      </c>
      <c r="F1280" s="9" t="s">
        <v>840</v>
      </c>
      <c r="G1280" s="9" t="s">
        <v>834</v>
      </c>
      <c r="H1280" s="31"/>
    </row>
    <row r="1281">
      <c r="A1281" s="11">
        <v>46170.82450878472</v>
      </c>
      <c r="B1281" s="9" t="s">
        <v>64</v>
      </c>
      <c r="C1281" s="9" t="s">
        <v>895</v>
      </c>
      <c r="D1281" s="9" t="s">
        <v>857</v>
      </c>
      <c r="E1281" s="9" t="s">
        <v>889</v>
      </c>
      <c r="F1281" s="9" t="s">
        <v>840</v>
      </c>
      <c r="H1281" s="31">
        <v>5.0</v>
      </c>
    </row>
    <row r="1282">
      <c r="A1282" s="11">
        <v>46170.932518217596</v>
      </c>
      <c r="B1282" s="9" t="s">
        <v>342</v>
      </c>
      <c r="C1282" s="9" t="s">
        <v>890</v>
      </c>
      <c r="D1282" s="9" t="s">
        <v>879</v>
      </c>
      <c r="E1282" s="9" t="s">
        <v>880</v>
      </c>
      <c r="F1282" s="9" t="s">
        <v>840</v>
      </c>
      <c r="H1282" s="31">
        <v>4.0</v>
      </c>
    </row>
    <row r="1283">
      <c r="A1283" s="11">
        <v>46170.965370590275</v>
      </c>
      <c r="B1283" s="9" t="s">
        <v>388</v>
      </c>
      <c r="C1283" s="9" t="s">
        <v>861</v>
      </c>
      <c r="D1283" s="9" t="s">
        <v>865</v>
      </c>
      <c r="E1283" s="9" t="s">
        <v>866</v>
      </c>
      <c r="F1283" s="9" t="s">
        <v>840</v>
      </c>
      <c r="H1283" s="31">
        <v>5.0</v>
      </c>
    </row>
    <row r="1284">
      <c r="A1284" s="11">
        <v>46170.97429760417</v>
      </c>
      <c r="B1284" s="9" t="s">
        <v>238</v>
      </c>
      <c r="C1284" s="9" t="s">
        <v>861</v>
      </c>
      <c r="D1284" s="9" t="s">
        <v>879</v>
      </c>
      <c r="E1284" s="9" t="s">
        <v>838</v>
      </c>
      <c r="F1284" s="9" t="s">
        <v>840</v>
      </c>
      <c r="H1284" s="31">
        <v>4.0</v>
      </c>
    </row>
    <row r="1285">
      <c r="A1285" s="11">
        <v>46171.00404388889</v>
      </c>
      <c r="B1285" s="9" t="s">
        <v>200</v>
      </c>
      <c r="C1285" s="9" t="s">
        <v>864</v>
      </c>
      <c r="D1285" s="9" t="s">
        <v>863</v>
      </c>
      <c r="E1285" s="9" t="s">
        <v>858</v>
      </c>
      <c r="F1285" s="9" t="s">
        <v>840</v>
      </c>
      <c r="H1285" s="31">
        <v>5.0</v>
      </c>
    </row>
    <row r="1286">
      <c r="A1286" s="11">
        <v>46171.009513819445</v>
      </c>
      <c r="B1286" s="9" t="s">
        <v>290</v>
      </c>
      <c r="C1286" s="9" t="s">
        <v>838</v>
      </c>
      <c r="D1286" s="9" t="s">
        <v>871</v>
      </c>
      <c r="E1286" s="9" t="s">
        <v>890</v>
      </c>
      <c r="F1286" s="9" t="s">
        <v>840</v>
      </c>
      <c r="H1286" s="31">
        <v>4.0</v>
      </c>
    </row>
    <row r="1287">
      <c r="A1287" s="11">
        <v>46171.075600752316</v>
      </c>
      <c r="B1287" s="9" t="s">
        <v>397</v>
      </c>
      <c r="C1287" s="9" t="s">
        <v>859</v>
      </c>
      <c r="D1287" s="9" t="s">
        <v>877</v>
      </c>
      <c r="E1287" s="9" t="s">
        <v>870</v>
      </c>
      <c r="F1287" s="9" t="s">
        <v>840</v>
      </c>
      <c r="H1287" s="31">
        <v>5.0</v>
      </c>
    </row>
    <row r="1288">
      <c r="A1288" s="11">
        <v>46171.69245945602</v>
      </c>
      <c r="B1288" s="9" t="s">
        <v>64</v>
      </c>
      <c r="C1288" s="9" t="s">
        <v>896</v>
      </c>
      <c r="D1288" s="9" t="s">
        <v>874</v>
      </c>
      <c r="E1288" s="9" t="s">
        <v>871</v>
      </c>
      <c r="F1288" s="9" t="s">
        <v>840</v>
      </c>
      <c r="H1288" s="31">
        <v>6.0</v>
      </c>
    </row>
    <row r="1289">
      <c r="A1289" s="11">
        <v>46171.74403877315</v>
      </c>
      <c r="B1289" s="9" t="s">
        <v>79</v>
      </c>
      <c r="C1289" s="9" t="s">
        <v>874</v>
      </c>
      <c r="D1289" s="9" t="s">
        <v>891</v>
      </c>
      <c r="E1289" s="9" t="s">
        <v>881</v>
      </c>
      <c r="F1289" s="9" t="s">
        <v>840</v>
      </c>
      <c r="H1289" s="31">
        <v>5.0</v>
      </c>
    </row>
    <row r="1290">
      <c r="A1290" s="11">
        <v>46171.78452199074</v>
      </c>
      <c r="B1290" s="9" t="s">
        <v>76</v>
      </c>
      <c r="C1290" s="9" t="s">
        <v>891</v>
      </c>
      <c r="D1290" s="9" t="s">
        <v>889</v>
      </c>
      <c r="E1290" s="9" t="s">
        <v>866</v>
      </c>
      <c r="F1290" s="9" t="s">
        <v>840</v>
      </c>
      <c r="H1290" s="31">
        <v>5.0</v>
      </c>
    </row>
    <row r="1291">
      <c r="A1291" s="11">
        <v>46171.8380921875</v>
      </c>
      <c r="B1291" s="9" t="s">
        <v>17</v>
      </c>
      <c r="C1291" s="9" t="s">
        <v>876</v>
      </c>
      <c r="D1291" s="9" t="s">
        <v>863</v>
      </c>
      <c r="E1291" s="9" t="s">
        <v>887</v>
      </c>
      <c r="F1291" s="9" t="s">
        <v>840</v>
      </c>
      <c r="H1291" s="31">
        <v>3.0</v>
      </c>
    </row>
    <row r="1292">
      <c r="A1292" s="11">
        <v>46171.96117894676</v>
      </c>
      <c r="B1292" s="9" t="s">
        <v>238</v>
      </c>
      <c r="C1292" s="9" t="s">
        <v>865</v>
      </c>
      <c r="D1292" s="9" t="s">
        <v>887</v>
      </c>
      <c r="E1292" s="9" t="s">
        <v>881</v>
      </c>
      <c r="F1292" s="9" t="s">
        <v>840</v>
      </c>
      <c r="G1292" s="9" t="s">
        <v>834</v>
      </c>
      <c r="H1292" s="31"/>
    </row>
    <row r="1293">
      <c r="A1293" s="11">
        <v>46171.96729306713</v>
      </c>
      <c r="B1293" s="9" t="s">
        <v>238</v>
      </c>
      <c r="C1293" s="9" t="s">
        <v>865</v>
      </c>
      <c r="D1293" s="9" t="s">
        <v>890</v>
      </c>
      <c r="E1293" s="9" t="s">
        <v>881</v>
      </c>
      <c r="F1293" s="9" t="s">
        <v>840</v>
      </c>
      <c r="H1293" s="31">
        <v>5.0</v>
      </c>
    </row>
    <row r="1294">
      <c r="A1294" s="11">
        <v>46172.00020766204</v>
      </c>
      <c r="B1294" s="9" t="s">
        <v>17</v>
      </c>
      <c r="C1294" s="9" t="s">
        <v>861</v>
      </c>
      <c r="D1294" s="9" t="s">
        <v>865</v>
      </c>
      <c r="E1294" s="9" t="s">
        <v>838</v>
      </c>
      <c r="F1294" s="9" t="s">
        <v>840</v>
      </c>
      <c r="H1294" s="31">
        <v>4.0</v>
      </c>
    </row>
    <row r="1295">
      <c r="A1295" s="11">
        <v>46172.31881722222</v>
      </c>
      <c r="B1295" s="9" t="s">
        <v>350</v>
      </c>
      <c r="C1295" s="9" t="s">
        <v>874</v>
      </c>
      <c r="D1295" s="9" t="s">
        <v>891</v>
      </c>
      <c r="E1295" s="9" t="s">
        <v>866</v>
      </c>
      <c r="F1295" s="9" t="s">
        <v>840</v>
      </c>
      <c r="H1295" s="31">
        <v>5.0</v>
      </c>
    </row>
    <row r="1296">
      <c r="A1296" s="11">
        <v>46172.66287006944</v>
      </c>
      <c r="B1296" s="9" t="s">
        <v>143</v>
      </c>
      <c r="C1296" s="9" t="s">
        <v>900</v>
      </c>
      <c r="D1296" s="9" t="s">
        <v>839</v>
      </c>
      <c r="E1296" s="9" t="s">
        <v>868</v>
      </c>
      <c r="F1296" s="9" t="s">
        <v>840</v>
      </c>
      <c r="G1296" s="9" t="s">
        <v>834</v>
      </c>
      <c r="H1296" s="31"/>
    </row>
    <row r="1297">
      <c r="A1297" s="11">
        <v>46172.666503182874</v>
      </c>
      <c r="B1297" s="9" t="s">
        <v>143</v>
      </c>
      <c r="C1297" s="9" t="s">
        <v>900</v>
      </c>
      <c r="D1297" s="9" t="s">
        <v>839</v>
      </c>
      <c r="E1297" s="9" t="s">
        <v>862</v>
      </c>
      <c r="F1297" s="9" t="s">
        <v>840</v>
      </c>
      <c r="H1297" s="31">
        <v>5.0</v>
      </c>
    </row>
    <row r="1298">
      <c r="A1298" s="11">
        <v>46172.71021273149</v>
      </c>
      <c r="B1298" s="9" t="s">
        <v>218</v>
      </c>
      <c r="C1298" s="9" t="s">
        <v>876</v>
      </c>
      <c r="D1298" s="9" t="s">
        <v>854</v>
      </c>
      <c r="E1298" s="9" t="s">
        <v>862</v>
      </c>
      <c r="F1298" s="9" t="s">
        <v>840</v>
      </c>
      <c r="H1298" s="31">
        <v>5.0</v>
      </c>
    </row>
    <row r="1299">
      <c r="A1299" s="11">
        <v>46172.77298900463</v>
      </c>
      <c r="B1299" s="9" t="s">
        <v>226</v>
      </c>
      <c r="C1299" s="9" t="s">
        <v>870</v>
      </c>
      <c r="D1299" s="9" t="s">
        <v>874</v>
      </c>
      <c r="E1299" s="9" t="s">
        <v>868</v>
      </c>
      <c r="F1299" s="9" t="s">
        <v>840</v>
      </c>
      <c r="H1299" s="31">
        <v>4.0</v>
      </c>
    </row>
    <row r="1300">
      <c r="A1300" s="11">
        <v>46173.483882002314</v>
      </c>
      <c r="B1300" s="9" t="s">
        <v>333</v>
      </c>
      <c r="C1300" s="9" t="s">
        <v>859</v>
      </c>
      <c r="D1300" s="9" t="s">
        <v>891</v>
      </c>
      <c r="E1300" s="9" t="s">
        <v>872</v>
      </c>
      <c r="F1300" s="9" t="s">
        <v>840</v>
      </c>
      <c r="H1300" s="31">
        <v>5.0</v>
      </c>
    </row>
    <row r="1301">
      <c r="A1301" s="11">
        <v>46173.49762631944</v>
      </c>
      <c r="B1301" s="9" t="s">
        <v>290</v>
      </c>
      <c r="C1301" s="9" t="s">
        <v>889</v>
      </c>
      <c r="D1301" s="9" t="s">
        <v>868</v>
      </c>
      <c r="E1301" s="9" t="s">
        <v>862</v>
      </c>
      <c r="F1301" s="9" t="s">
        <v>840</v>
      </c>
      <c r="H1301" s="31">
        <v>5.0</v>
      </c>
    </row>
    <row r="1302">
      <c r="A1302" s="11">
        <v>46173.7233290625</v>
      </c>
      <c r="B1302" s="9" t="s">
        <v>263</v>
      </c>
      <c r="C1302" s="9" t="s">
        <v>881</v>
      </c>
      <c r="D1302" s="9" t="s">
        <v>839</v>
      </c>
      <c r="E1302" s="9" t="s">
        <v>887</v>
      </c>
      <c r="F1302" s="9" t="s">
        <v>840</v>
      </c>
      <c r="H1302" s="31">
        <v>5.0</v>
      </c>
    </row>
    <row r="1303">
      <c r="A1303" s="11">
        <v>46174.66203763889</v>
      </c>
      <c r="B1303" s="9" t="s">
        <v>226</v>
      </c>
      <c r="C1303" s="9" t="s">
        <v>896</v>
      </c>
      <c r="D1303" s="9" t="s">
        <v>881</v>
      </c>
      <c r="E1303" s="9" t="s">
        <v>900</v>
      </c>
      <c r="F1303" s="9" t="s">
        <v>840</v>
      </c>
      <c r="H1303" s="31">
        <v>5.0</v>
      </c>
    </row>
    <row r="1304">
      <c r="A1304" s="11">
        <v>46174.89477641204</v>
      </c>
      <c r="B1304" s="9" t="s">
        <v>389</v>
      </c>
      <c r="C1304" s="9" t="s">
        <v>865</v>
      </c>
      <c r="D1304" s="9" t="s">
        <v>866</v>
      </c>
      <c r="E1304" s="9" t="s">
        <v>889</v>
      </c>
      <c r="F1304" s="9" t="s">
        <v>840</v>
      </c>
      <c r="H1304" s="31">
        <v>5.0</v>
      </c>
    </row>
    <row r="1305">
      <c r="A1305" s="11">
        <v>46175.0446425463</v>
      </c>
      <c r="B1305" s="9" t="s">
        <v>342</v>
      </c>
      <c r="C1305" s="9" t="s">
        <v>887</v>
      </c>
      <c r="D1305" s="9" t="s">
        <v>866</v>
      </c>
      <c r="E1305" s="9" t="s">
        <v>876</v>
      </c>
      <c r="F1305" s="9" t="s">
        <v>840</v>
      </c>
      <c r="H1305" s="31">
        <v>5.0</v>
      </c>
    </row>
    <row r="1306">
      <c r="A1306" s="11">
        <v>46176.73039699074</v>
      </c>
      <c r="B1306" s="9" t="s">
        <v>84</v>
      </c>
      <c r="C1306" s="9" t="s">
        <v>874</v>
      </c>
      <c r="D1306" s="9" t="s">
        <v>896</v>
      </c>
      <c r="E1306" s="9" t="s">
        <v>881</v>
      </c>
      <c r="F1306" s="9" t="s">
        <v>840</v>
      </c>
      <c r="H1306" s="31">
        <v>5.0</v>
      </c>
    </row>
    <row r="1307">
      <c r="A1307" s="11">
        <v>46177.59699012732</v>
      </c>
      <c r="B1307" s="9" t="s">
        <v>231</v>
      </c>
      <c r="C1307" s="9" t="s">
        <v>866</v>
      </c>
      <c r="D1307" s="9" t="s">
        <v>891</v>
      </c>
      <c r="E1307" s="9" t="s">
        <v>896</v>
      </c>
      <c r="F1307" s="9" t="s">
        <v>840</v>
      </c>
      <c r="H1307" s="31">
        <v>6.0</v>
      </c>
    </row>
    <row r="1308">
      <c r="H1308" s="31"/>
    </row>
    <row r="1309">
      <c r="H1309" s="31"/>
    </row>
    <row r="1310">
      <c r="H1310" s="31"/>
    </row>
    <row r="1311">
      <c r="H1311" s="31"/>
    </row>
    <row r="1312">
      <c r="H1312" s="31"/>
    </row>
    <row r="1313">
      <c r="H1313" s="31"/>
    </row>
    <row r="1314">
      <c r="H1314" s="31"/>
    </row>
    <row r="1315">
      <c r="H1315" s="31"/>
    </row>
    <row r="1316">
      <c r="H1316" s="31"/>
    </row>
    <row r="1317">
      <c r="H1317" s="31"/>
    </row>
    <row r="1318">
      <c r="H1318" s="31"/>
    </row>
    <row r="1319">
      <c r="H1319" s="31"/>
    </row>
    <row r="1320">
      <c r="H1320" s="31"/>
    </row>
    <row r="1321">
      <c r="H1321" s="31"/>
    </row>
    <row r="1322">
      <c r="H1322" s="31"/>
    </row>
    <row r="1323">
      <c r="H1323" s="31"/>
    </row>
    <row r="1324">
      <c r="H1324" s="31"/>
    </row>
    <row r="1325">
      <c r="H1325" s="31"/>
    </row>
    <row r="1326">
      <c r="H1326" s="31"/>
    </row>
    <row r="1327">
      <c r="H1327" s="31"/>
    </row>
    <row r="1328">
      <c r="H1328" s="31"/>
    </row>
    <row r="1329">
      <c r="H1329" s="31"/>
    </row>
    <row r="1330">
      <c r="H1330" s="31"/>
    </row>
    <row r="1331">
      <c r="H1331" s="31"/>
    </row>
    <row r="1332">
      <c r="H1332" s="31"/>
    </row>
    <row r="1333">
      <c r="H1333" s="31"/>
    </row>
    <row r="1334">
      <c r="H1334" s="31"/>
    </row>
    <row r="1335">
      <c r="H1335" s="31"/>
    </row>
    <row r="1336">
      <c r="H1336" s="31"/>
    </row>
    <row r="1337">
      <c r="H1337" s="31"/>
    </row>
    <row r="1338">
      <c r="H1338" s="31"/>
    </row>
    <row r="1339">
      <c r="H1339" s="31"/>
    </row>
    <row r="1340">
      <c r="H1340" s="31"/>
    </row>
    <row r="1341">
      <c r="H1341" s="31"/>
    </row>
    <row r="1342">
      <c r="H1342" s="31"/>
    </row>
    <row r="1343">
      <c r="H1343" s="31"/>
    </row>
    <row r="1344">
      <c r="H1344" s="31"/>
    </row>
    <row r="1345">
      <c r="H1345" s="31"/>
    </row>
    <row r="1346">
      <c r="H1346" s="31"/>
    </row>
    <row r="1347">
      <c r="H1347" s="31"/>
    </row>
    <row r="1348">
      <c r="H1348" s="31"/>
    </row>
    <row r="1349">
      <c r="H1349" s="31"/>
    </row>
    <row r="1350">
      <c r="H1350" s="31"/>
    </row>
    <row r="1351">
      <c r="H1351" s="31"/>
    </row>
    <row r="1352">
      <c r="H1352" s="31"/>
    </row>
    <row r="1353">
      <c r="H1353" s="31"/>
    </row>
    <row r="1354">
      <c r="H1354" s="31"/>
    </row>
    <row r="1355">
      <c r="H1355" s="31"/>
    </row>
    <row r="1356">
      <c r="H1356" s="31"/>
    </row>
    <row r="1357">
      <c r="H1357" s="31"/>
    </row>
    <row r="1358">
      <c r="H1358" s="31"/>
    </row>
    <row r="1359">
      <c r="H1359" s="31"/>
    </row>
    <row r="1360">
      <c r="H1360" s="31"/>
    </row>
    <row r="1361">
      <c r="H1361" s="31"/>
    </row>
    <row r="1362">
      <c r="H1362" s="31"/>
    </row>
    <row r="1363">
      <c r="H1363" s="31"/>
    </row>
    <row r="1364">
      <c r="H1364" s="31"/>
    </row>
    <row r="1365">
      <c r="H1365" s="31"/>
    </row>
    <row r="1366">
      <c r="H1366" s="31"/>
    </row>
    <row r="1367">
      <c r="H1367" s="31"/>
    </row>
    <row r="1368">
      <c r="H1368" s="31"/>
    </row>
    <row r="1369">
      <c r="H1369" s="31"/>
    </row>
    <row r="1370">
      <c r="H1370" s="31"/>
    </row>
    <row r="1371">
      <c r="H1371" s="31"/>
    </row>
    <row r="1372">
      <c r="H1372" s="31"/>
    </row>
    <row r="1373">
      <c r="H1373" s="31"/>
    </row>
    <row r="1374">
      <c r="H1374" s="31"/>
    </row>
    <row r="1375">
      <c r="H1375" s="31"/>
    </row>
    <row r="1376">
      <c r="H1376" s="31"/>
    </row>
    <row r="1377">
      <c r="H1377" s="31"/>
    </row>
    <row r="1378">
      <c r="H1378" s="31"/>
    </row>
    <row r="1379">
      <c r="H1379" s="31"/>
    </row>
    <row r="1380">
      <c r="H1380" s="31"/>
    </row>
    <row r="1381">
      <c r="H1381" s="31"/>
    </row>
    <row r="1382">
      <c r="H1382" s="31"/>
    </row>
    <row r="1383">
      <c r="H1383" s="31"/>
    </row>
    <row r="1384">
      <c r="H1384" s="31"/>
    </row>
    <row r="1385">
      <c r="H1385" s="31"/>
    </row>
    <row r="1386">
      <c r="H1386" s="31"/>
    </row>
    <row r="1387">
      <c r="H1387" s="31"/>
    </row>
    <row r="1388">
      <c r="H1388" s="31"/>
    </row>
    <row r="1389">
      <c r="H1389" s="31"/>
    </row>
    <row r="1390">
      <c r="H1390" s="31"/>
    </row>
    <row r="1391">
      <c r="H1391" s="31"/>
    </row>
    <row r="1392">
      <c r="H1392" s="31"/>
    </row>
    <row r="1393">
      <c r="H1393" s="31"/>
    </row>
    <row r="1394">
      <c r="H1394" s="31"/>
    </row>
    <row r="1395">
      <c r="H1395" s="31"/>
    </row>
    <row r="1396">
      <c r="H1396" s="31"/>
    </row>
    <row r="1397">
      <c r="H1397" s="31"/>
    </row>
    <row r="1398">
      <c r="H1398" s="31"/>
    </row>
    <row r="1399">
      <c r="H1399" s="31"/>
    </row>
    <row r="1400">
      <c r="H1400" s="31"/>
    </row>
    <row r="1401">
      <c r="H1401" s="31"/>
    </row>
    <row r="1402">
      <c r="H1402" s="31"/>
    </row>
    <row r="1403">
      <c r="H1403" s="31"/>
    </row>
    <row r="1404">
      <c r="H1404" s="31"/>
    </row>
    <row r="1405">
      <c r="H1405" s="31"/>
    </row>
    <row r="1406">
      <c r="H1406" s="31"/>
    </row>
    <row r="1407">
      <c r="H1407" s="3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9.0"/>
    <col customWidth="1" min="5" max="5" width="74.5"/>
  </cols>
  <sheetData>
    <row r="1">
      <c r="A1" s="9" t="s">
        <v>3</v>
      </c>
      <c r="B1" s="9" t="s">
        <v>957</v>
      </c>
      <c r="C1" s="9" t="s">
        <v>958</v>
      </c>
      <c r="D1" s="9" t="s">
        <v>959</v>
      </c>
      <c r="E1" s="9" t="s">
        <v>960</v>
      </c>
      <c r="F1" s="9" t="s">
        <v>961</v>
      </c>
    </row>
    <row r="2">
      <c r="A2" s="9" t="s">
        <v>962</v>
      </c>
      <c r="B2" s="9" t="s">
        <v>284</v>
      </c>
      <c r="C2" s="9" t="s">
        <v>963</v>
      </c>
      <c r="D2" s="9" t="s">
        <v>964</v>
      </c>
      <c r="E2" s="9" t="s">
        <v>965</v>
      </c>
      <c r="F2" s="9" t="s">
        <v>964</v>
      </c>
    </row>
    <row r="3">
      <c r="A3" s="9" t="s">
        <v>966</v>
      </c>
      <c r="B3" s="9" t="s">
        <v>61</v>
      </c>
      <c r="C3" s="9" t="s">
        <v>963</v>
      </c>
      <c r="D3" s="9" t="s">
        <v>967</v>
      </c>
      <c r="E3" s="9" t="s">
        <v>965</v>
      </c>
      <c r="F3" s="9" t="s">
        <v>967</v>
      </c>
    </row>
    <row r="4">
      <c r="A4" s="9" t="s">
        <v>968</v>
      </c>
      <c r="B4" s="9" t="s">
        <v>378</v>
      </c>
      <c r="C4" s="9" t="s">
        <v>963</v>
      </c>
      <c r="D4" s="9" t="s">
        <v>969</v>
      </c>
      <c r="E4" s="9" t="s">
        <v>965</v>
      </c>
      <c r="F4" s="9" t="s">
        <v>969</v>
      </c>
    </row>
    <row r="5">
      <c r="A5" s="9" t="s">
        <v>970</v>
      </c>
      <c r="B5" s="9" t="s">
        <v>165</v>
      </c>
      <c r="C5" s="9" t="s">
        <v>963</v>
      </c>
      <c r="D5" s="9" t="s">
        <v>971</v>
      </c>
      <c r="E5" s="9" t="s">
        <v>965</v>
      </c>
      <c r="F5" s="9" t="s">
        <v>971</v>
      </c>
    </row>
    <row r="6">
      <c r="A6" s="9" t="s">
        <v>972</v>
      </c>
      <c r="B6" s="9" t="s">
        <v>314</v>
      </c>
      <c r="C6" s="9" t="s">
        <v>963</v>
      </c>
      <c r="D6" s="9" t="s">
        <v>973</v>
      </c>
      <c r="E6" s="9" t="s">
        <v>965</v>
      </c>
      <c r="F6" s="9" t="s">
        <v>973</v>
      </c>
    </row>
    <row r="7">
      <c r="A7" s="9" t="s">
        <v>974</v>
      </c>
      <c r="B7" s="9" t="s">
        <v>424</v>
      </c>
      <c r="C7" s="9" t="s">
        <v>963</v>
      </c>
      <c r="D7" s="9" t="s">
        <v>975</v>
      </c>
      <c r="E7" s="9" t="s">
        <v>965</v>
      </c>
      <c r="F7" s="9" t="s">
        <v>975</v>
      </c>
    </row>
    <row r="8">
      <c r="A8" s="9" t="s">
        <v>976</v>
      </c>
      <c r="B8" s="9" t="s">
        <v>154</v>
      </c>
      <c r="C8" s="9" t="s">
        <v>963</v>
      </c>
      <c r="D8" s="9" t="s">
        <v>977</v>
      </c>
      <c r="E8" s="9" t="s">
        <v>965</v>
      </c>
      <c r="F8" s="9" t="s">
        <v>977</v>
      </c>
    </row>
    <row r="9">
      <c r="A9" s="9" t="s">
        <v>978</v>
      </c>
      <c r="B9" s="9" t="s">
        <v>85</v>
      </c>
      <c r="C9" s="9" t="s">
        <v>963</v>
      </c>
      <c r="D9" s="9" t="s">
        <v>981</v>
      </c>
      <c r="E9" s="9" t="s">
        <v>965</v>
      </c>
      <c r="F9" s="9" t="s">
        <v>981</v>
      </c>
    </row>
    <row r="10">
      <c r="A10" s="9" t="s">
        <v>983</v>
      </c>
      <c r="B10" s="9" t="s">
        <v>290</v>
      </c>
      <c r="C10" s="9" t="s">
        <v>963</v>
      </c>
      <c r="D10" s="9" t="s">
        <v>984</v>
      </c>
      <c r="E10" s="9" t="s">
        <v>965</v>
      </c>
      <c r="F10" s="9" t="s">
        <v>984</v>
      </c>
    </row>
    <row r="11">
      <c r="A11" s="9" t="s">
        <v>985</v>
      </c>
      <c r="B11" s="9" t="s">
        <v>74</v>
      </c>
      <c r="C11" s="9" t="s">
        <v>963</v>
      </c>
      <c r="D11" s="9" t="s">
        <v>986</v>
      </c>
      <c r="E11" s="9" t="s">
        <v>965</v>
      </c>
      <c r="F11" s="9" t="s">
        <v>986</v>
      </c>
    </row>
    <row r="12">
      <c r="A12" s="9" t="s">
        <v>987</v>
      </c>
      <c r="B12" s="9" t="s">
        <v>200</v>
      </c>
      <c r="C12" s="9" t="s">
        <v>963</v>
      </c>
      <c r="D12" s="9" t="s">
        <v>988</v>
      </c>
      <c r="E12" s="9" t="s">
        <v>965</v>
      </c>
      <c r="F12" s="9" t="s">
        <v>988</v>
      </c>
    </row>
    <row r="13">
      <c r="A13" s="9" t="s">
        <v>989</v>
      </c>
      <c r="B13" s="9" t="s">
        <v>114</v>
      </c>
      <c r="C13" s="9" t="s">
        <v>963</v>
      </c>
      <c r="D13" s="9" t="s">
        <v>990</v>
      </c>
      <c r="E13" s="9" t="s">
        <v>965</v>
      </c>
      <c r="F13" s="9" t="s">
        <v>990</v>
      </c>
    </row>
    <row r="14">
      <c r="A14" s="9" t="s">
        <v>991</v>
      </c>
      <c r="B14" s="9" t="s">
        <v>142</v>
      </c>
      <c r="C14" s="9" t="s">
        <v>963</v>
      </c>
      <c r="D14" s="9" t="s">
        <v>992</v>
      </c>
      <c r="E14" s="9" t="s">
        <v>965</v>
      </c>
      <c r="F14" s="9" t="s">
        <v>992</v>
      </c>
    </row>
    <row r="15">
      <c r="A15" s="9" t="s">
        <v>993</v>
      </c>
      <c r="B15" s="9" t="s">
        <v>101</v>
      </c>
      <c r="C15" s="9" t="s">
        <v>963</v>
      </c>
      <c r="D15" s="9" t="s">
        <v>994</v>
      </c>
      <c r="E15" s="9" t="s">
        <v>965</v>
      </c>
      <c r="F15" s="9" t="s">
        <v>994</v>
      </c>
    </row>
    <row r="16">
      <c r="A16" s="9" t="s">
        <v>995</v>
      </c>
      <c r="B16" s="9" t="s">
        <v>158</v>
      </c>
      <c r="C16" s="9" t="s">
        <v>963</v>
      </c>
      <c r="D16" s="9" t="s">
        <v>996</v>
      </c>
      <c r="E16" s="9" t="s">
        <v>965</v>
      </c>
      <c r="F16" s="9" t="s">
        <v>996</v>
      </c>
    </row>
    <row r="17">
      <c r="A17" s="9" t="s">
        <v>997</v>
      </c>
      <c r="B17" s="9" t="s">
        <v>388</v>
      </c>
      <c r="C17" s="9" t="s">
        <v>963</v>
      </c>
      <c r="D17" s="9" t="s">
        <v>998</v>
      </c>
      <c r="E17" s="9" t="s">
        <v>965</v>
      </c>
      <c r="F17" s="9" t="s">
        <v>998</v>
      </c>
    </row>
    <row r="18">
      <c r="A18" s="9" t="s">
        <v>999</v>
      </c>
      <c r="B18" s="9" t="s">
        <v>421</v>
      </c>
      <c r="C18" s="9" t="s">
        <v>963</v>
      </c>
      <c r="D18" s="9" t="s">
        <v>1000</v>
      </c>
      <c r="E18" s="9" t="s">
        <v>965</v>
      </c>
      <c r="F18" s="9" t="s">
        <v>1000</v>
      </c>
    </row>
    <row r="19">
      <c r="A19" s="9" t="s">
        <v>1001</v>
      </c>
      <c r="B19" s="9" t="s">
        <v>347</v>
      </c>
      <c r="C19" s="9" t="s">
        <v>963</v>
      </c>
      <c r="D19" s="9" t="s">
        <v>1002</v>
      </c>
      <c r="E19" s="9" t="s">
        <v>965</v>
      </c>
      <c r="F19" s="9" t="s">
        <v>1002</v>
      </c>
    </row>
    <row r="20">
      <c r="A20" s="9" t="s">
        <v>1003</v>
      </c>
      <c r="B20" s="9" t="s">
        <v>288</v>
      </c>
      <c r="C20" s="9" t="s">
        <v>963</v>
      </c>
      <c r="D20" s="9" t="s">
        <v>1004</v>
      </c>
      <c r="E20" s="9" t="s">
        <v>965</v>
      </c>
      <c r="F20" s="9" t="s">
        <v>1004</v>
      </c>
    </row>
    <row r="21">
      <c r="A21" s="9" t="s">
        <v>1005</v>
      </c>
      <c r="B21" s="9" t="s">
        <v>172</v>
      </c>
      <c r="C21" s="9" t="s">
        <v>963</v>
      </c>
      <c r="D21" s="9" t="s">
        <v>1006</v>
      </c>
      <c r="E21" s="9" t="s">
        <v>965</v>
      </c>
      <c r="F21" s="9" t="s">
        <v>1006</v>
      </c>
    </row>
    <row r="22">
      <c r="A22" s="9" t="s">
        <v>1007</v>
      </c>
      <c r="B22" s="9" t="s">
        <v>217</v>
      </c>
      <c r="C22" s="9" t="s">
        <v>963</v>
      </c>
      <c r="D22" s="9" t="s">
        <v>1008</v>
      </c>
      <c r="E22" s="9" t="s">
        <v>965</v>
      </c>
      <c r="F22" s="9" t="s">
        <v>1008</v>
      </c>
    </row>
    <row r="23">
      <c r="A23" s="9" t="s">
        <v>1009</v>
      </c>
      <c r="B23" s="9" t="s">
        <v>406</v>
      </c>
      <c r="C23" s="9" t="s">
        <v>963</v>
      </c>
      <c r="D23" s="9" t="s">
        <v>1010</v>
      </c>
      <c r="E23" s="9" t="s">
        <v>965</v>
      </c>
      <c r="F23" s="9" t="s">
        <v>1010</v>
      </c>
    </row>
    <row r="24">
      <c r="A24" s="9" t="s">
        <v>1011</v>
      </c>
      <c r="B24" s="9" t="s">
        <v>18</v>
      </c>
      <c r="C24" s="9" t="s">
        <v>963</v>
      </c>
      <c r="D24" s="9" t="s">
        <v>1012</v>
      </c>
      <c r="E24" s="9" t="s">
        <v>965</v>
      </c>
      <c r="F24" s="9" t="s">
        <v>1012</v>
      </c>
    </row>
    <row r="25">
      <c r="A25" s="9" t="s">
        <v>1013</v>
      </c>
      <c r="B25" s="9" t="s">
        <v>278</v>
      </c>
      <c r="C25" s="9" t="s">
        <v>963</v>
      </c>
      <c r="D25" s="9" t="s">
        <v>1014</v>
      </c>
      <c r="E25" s="9" t="s">
        <v>965</v>
      </c>
      <c r="F25" s="9" t="s">
        <v>1014</v>
      </c>
    </row>
    <row r="26">
      <c r="A26" s="9" t="s">
        <v>1015</v>
      </c>
      <c r="B26" s="9" t="s">
        <v>301</v>
      </c>
      <c r="C26" s="9" t="s">
        <v>963</v>
      </c>
      <c r="D26" s="9" t="s">
        <v>1016</v>
      </c>
      <c r="E26" s="9" t="s">
        <v>965</v>
      </c>
      <c r="F26" s="9" t="s">
        <v>1016</v>
      </c>
    </row>
    <row r="27">
      <c r="A27" s="9" t="s">
        <v>1017</v>
      </c>
      <c r="B27" s="9" t="s">
        <v>162</v>
      </c>
      <c r="C27" s="9" t="s">
        <v>963</v>
      </c>
      <c r="D27" s="9" t="s">
        <v>1018</v>
      </c>
      <c r="E27" s="9" t="s">
        <v>965</v>
      </c>
      <c r="F27" s="9" t="s">
        <v>1018</v>
      </c>
    </row>
    <row r="28">
      <c r="A28" s="9" t="s">
        <v>1019</v>
      </c>
      <c r="B28" s="9" t="s">
        <v>329</v>
      </c>
      <c r="C28" s="9" t="s">
        <v>963</v>
      </c>
      <c r="D28" s="9" t="s">
        <v>1020</v>
      </c>
      <c r="E28" s="9" t="s">
        <v>965</v>
      </c>
      <c r="F28" s="9" t="s">
        <v>1020</v>
      </c>
    </row>
    <row r="29">
      <c r="A29" s="9" t="s">
        <v>1021</v>
      </c>
      <c r="B29" s="9" t="s">
        <v>110</v>
      </c>
      <c r="C29" s="9" t="s">
        <v>963</v>
      </c>
      <c r="D29" s="9" t="s">
        <v>1022</v>
      </c>
      <c r="E29" s="9" t="s">
        <v>965</v>
      </c>
      <c r="F29" s="9" t="s">
        <v>1022</v>
      </c>
    </row>
    <row r="30">
      <c r="A30" s="9" t="s">
        <v>1023</v>
      </c>
      <c r="B30" s="9" t="s">
        <v>167</v>
      </c>
      <c r="C30" s="9" t="s">
        <v>963</v>
      </c>
      <c r="D30" s="9" t="s">
        <v>1024</v>
      </c>
      <c r="E30" s="9" t="s">
        <v>965</v>
      </c>
      <c r="F30" s="9" t="s">
        <v>1024</v>
      </c>
    </row>
    <row r="31">
      <c r="A31" s="9" t="s">
        <v>1025</v>
      </c>
      <c r="B31" s="9" t="s">
        <v>226</v>
      </c>
      <c r="C31" s="9" t="s">
        <v>963</v>
      </c>
      <c r="D31" s="9" t="s">
        <v>1026</v>
      </c>
      <c r="E31" s="9" t="s">
        <v>965</v>
      </c>
      <c r="F31" s="9" t="s">
        <v>1026</v>
      </c>
    </row>
    <row r="32">
      <c r="A32" s="9" t="s">
        <v>1027</v>
      </c>
      <c r="B32" s="9" t="s">
        <v>289</v>
      </c>
      <c r="C32" s="9" t="s">
        <v>963</v>
      </c>
      <c r="D32" s="9" t="s">
        <v>1028</v>
      </c>
      <c r="E32" s="9" t="s">
        <v>965</v>
      </c>
      <c r="F32" s="9" t="s">
        <v>1028</v>
      </c>
    </row>
    <row r="33">
      <c r="A33" s="9" t="s">
        <v>1029</v>
      </c>
      <c r="B33" s="9" t="s">
        <v>71</v>
      </c>
      <c r="C33" s="9" t="s">
        <v>963</v>
      </c>
      <c r="D33" s="9" t="s">
        <v>1030</v>
      </c>
      <c r="E33" s="9" t="s">
        <v>965</v>
      </c>
      <c r="F33" s="9" t="s">
        <v>1030</v>
      </c>
    </row>
    <row r="34">
      <c r="A34" s="9" t="s">
        <v>1031</v>
      </c>
      <c r="B34" s="9" t="s">
        <v>137</v>
      </c>
      <c r="C34" s="9" t="s">
        <v>963</v>
      </c>
      <c r="D34" s="9" t="s">
        <v>1032</v>
      </c>
      <c r="E34" s="9" t="s">
        <v>965</v>
      </c>
      <c r="F34" s="9" t="s">
        <v>1032</v>
      </c>
    </row>
    <row r="35">
      <c r="A35" s="9" t="s">
        <v>1033</v>
      </c>
      <c r="B35" s="9" t="s">
        <v>635</v>
      </c>
      <c r="C35" s="9" t="s">
        <v>963</v>
      </c>
      <c r="D35" s="9" t="s">
        <v>1034</v>
      </c>
      <c r="E35" s="9" t="s">
        <v>965</v>
      </c>
      <c r="F35" s="9" t="s">
        <v>1034</v>
      </c>
    </row>
    <row r="36">
      <c r="A36" s="9" t="s">
        <v>1035</v>
      </c>
      <c r="B36" s="9" t="s">
        <v>324</v>
      </c>
      <c r="C36" s="9" t="s">
        <v>963</v>
      </c>
      <c r="D36" s="9" t="s">
        <v>1036</v>
      </c>
      <c r="E36" s="9" t="s">
        <v>965</v>
      </c>
      <c r="F36" s="9" t="s">
        <v>1036</v>
      </c>
    </row>
    <row r="37">
      <c r="A37" s="9" t="s">
        <v>1037</v>
      </c>
      <c r="B37" s="9" t="s">
        <v>166</v>
      </c>
      <c r="C37" s="9" t="s">
        <v>963</v>
      </c>
      <c r="D37" s="9" t="s">
        <v>1038</v>
      </c>
      <c r="E37" s="9" t="s">
        <v>965</v>
      </c>
      <c r="F37" s="9" t="s">
        <v>1038</v>
      </c>
    </row>
    <row r="38">
      <c r="A38" s="9" t="s">
        <v>1039</v>
      </c>
      <c r="B38" s="9" t="s">
        <v>131</v>
      </c>
      <c r="C38" s="9" t="s">
        <v>963</v>
      </c>
      <c r="D38" s="9" t="s">
        <v>1040</v>
      </c>
      <c r="E38" s="9" t="s">
        <v>965</v>
      </c>
      <c r="F38" s="9" t="s">
        <v>1040</v>
      </c>
    </row>
    <row r="39">
      <c r="A39" s="9" t="s">
        <v>1041</v>
      </c>
      <c r="B39" s="9" t="s">
        <v>275</v>
      </c>
      <c r="C39" s="9" t="s">
        <v>963</v>
      </c>
      <c r="D39" s="9" t="s">
        <v>1042</v>
      </c>
      <c r="E39" s="9" t="s">
        <v>965</v>
      </c>
      <c r="F39" s="9" t="s">
        <v>1042</v>
      </c>
    </row>
    <row r="40">
      <c r="A40" s="9" t="s">
        <v>1043</v>
      </c>
      <c r="B40" s="9" t="s">
        <v>337</v>
      </c>
      <c r="C40" s="9" t="s">
        <v>963</v>
      </c>
      <c r="D40" s="9" t="s">
        <v>1044</v>
      </c>
      <c r="E40" s="9" t="s">
        <v>965</v>
      </c>
      <c r="F40" s="9" t="s">
        <v>1044</v>
      </c>
    </row>
    <row r="41">
      <c r="A41" s="9" t="s">
        <v>1048</v>
      </c>
      <c r="B41" s="9" t="s">
        <v>259</v>
      </c>
      <c r="C41" s="9" t="s">
        <v>963</v>
      </c>
      <c r="D41" s="9" t="s">
        <v>1049</v>
      </c>
      <c r="E41" s="9" t="s">
        <v>965</v>
      </c>
      <c r="F41" s="9" t="s">
        <v>1049</v>
      </c>
    </row>
    <row r="42">
      <c r="A42" s="9" t="s">
        <v>1050</v>
      </c>
      <c r="B42" s="9" t="s">
        <v>280</v>
      </c>
      <c r="C42" s="9" t="s">
        <v>963</v>
      </c>
      <c r="D42" s="9" t="s">
        <v>1051</v>
      </c>
      <c r="E42" s="9" t="s">
        <v>965</v>
      </c>
      <c r="F42" s="9" t="s">
        <v>1051</v>
      </c>
    </row>
    <row r="43">
      <c r="A43" s="9" t="s">
        <v>1052</v>
      </c>
      <c r="B43" s="9" t="s">
        <v>224</v>
      </c>
      <c r="C43" s="9" t="s">
        <v>963</v>
      </c>
      <c r="D43" s="9" t="s">
        <v>1053</v>
      </c>
      <c r="E43" s="9" t="s">
        <v>965</v>
      </c>
      <c r="F43" s="9" t="s">
        <v>1053</v>
      </c>
    </row>
    <row r="44">
      <c r="A44" s="9" t="s">
        <v>1054</v>
      </c>
      <c r="B44" s="9" t="s">
        <v>313</v>
      </c>
      <c r="C44" s="9" t="s">
        <v>963</v>
      </c>
      <c r="D44" s="9" t="s">
        <v>1055</v>
      </c>
      <c r="E44" s="9" t="s">
        <v>965</v>
      </c>
      <c r="F44" s="9" t="s">
        <v>1055</v>
      </c>
    </row>
    <row r="45">
      <c r="A45" s="9" t="s">
        <v>1056</v>
      </c>
      <c r="B45" s="9" t="s">
        <v>104</v>
      </c>
      <c r="C45" s="9" t="s">
        <v>963</v>
      </c>
      <c r="D45" s="9" t="s">
        <v>1057</v>
      </c>
      <c r="E45" s="9" t="s">
        <v>965</v>
      </c>
      <c r="F45" s="9" t="s">
        <v>1057</v>
      </c>
    </row>
    <row r="46">
      <c r="A46" s="9" t="s">
        <v>1058</v>
      </c>
      <c r="B46" s="9" t="s">
        <v>195</v>
      </c>
      <c r="C46" s="9" t="s">
        <v>963</v>
      </c>
      <c r="D46" s="9" t="s">
        <v>1059</v>
      </c>
      <c r="E46" s="9" t="s">
        <v>965</v>
      </c>
      <c r="F46" s="9" t="s">
        <v>1059</v>
      </c>
    </row>
    <row r="47">
      <c r="A47" s="9" t="s">
        <v>1060</v>
      </c>
      <c r="B47" s="9" t="s">
        <v>233</v>
      </c>
      <c r="C47" s="9" t="s">
        <v>963</v>
      </c>
      <c r="D47" s="9" t="s">
        <v>1061</v>
      </c>
      <c r="E47" s="9" t="s">
        <v>965</v>
      </c>
      <c r="F47" s="9" t="s">
        <v>1061</v>
      </c>
    </row>
    <row r="48">
      <c r="A48" s="9" t="s">
        <v>1062</v>
      </c>
      <c r="B48" s="9" t="s">
        <v>413</v>
      </c>
      <c r="C48" s="9" t="s">
        <v>963</v>
      </c>
      <c r="D48" s="9" t="s">
        <v>1063</v>
      </c>
      <c r="E48" s="9" t="s">
        <v>965</v>
      </c>
      <c r="F48" s="9" t="s">
        <v>1063</v>
      </c>
    </row>
    <row r="49">
      <c r="A49" s="9" t="s">
        <v>1064</v>
      </c>
      <c r="B49" s="9" t="s">
        <v>334</v>
      </c>
      <c r="C49" s="9" t="s">
        <v>963</v>
      </c>
      <c r="D49" s="9" t="s">
        <v>1065</v>
      </c>
      <c r="E49" s="9" t="s">
        <v>965</v>
      </c>
      <c r="F49" s="9" t="s">
        <v>1065</v>
      </c>
    </row>
    <row r="50">
      <c r="A50" s="9" t="s">
        <v>1066</v>
      </c>
      <c r="B50" s="9" t="s">
        <v>66</v>
      </c>
      <c r="C50" s="9" t="s">
        <v>963</v>
      </c>
      <c r="D50" s="9" t="s">
        <v>1067</v>
      </c>
      <c r="E50" s="9" t="s">
        <v>965</v>
      </c>
      <c r="F50" s="9" t="s">
        <v>1067</v>
      </c>
    </row>
    <row r="51">
      <c r="A51" s="9" t="s">
        <v>1068</v>
      </c>
      <c r="B51" s="9" t="s">
        <v>344</v>
      </c>
      <c r="C51" s="9" t="s">
        <v>963</v>
      </c>
      <c r="D51" s="9" t="s">
        <v>1069</v>
      </c>
      <c r="E51" s="9" t="s">
        <v>965</v>
      </c>
      <c r="F51" s="9" t="s">
        <v>1069</v>
      </c>
    </row>
    <row r="52">
      <c r="A52" s="9" t="s">
        <v>1070</v>
      </c>
      <c r="B52" s="9" t="s">
        <v>219</v>
      </c>
      <c r="C52" s="9" t="s">
        <v>963</v>
      </c>
      <c r="D52" s="9" t="s">
        <v>1071</v>
      </c>
      <c r="E52" s="9" t="s">
        <v>965</v>
      </c>
      <c r="F52" s="9" t="s">
        <v>1071</v>
      </c>
    </row>
    <row r="53">
      <c r="A53" s="9" t="s">
        <v>1072</v>
      </c>
      <c r="B53" s="9" t="s">
        <v>396</v>
      </c>
      <c r="C53" s="9" t="s">
        <v>963</v>
      </c>
      <c r="D53" s="9" t="s">
        <v>1073</v>
      </c>
      <c r="E53" s="9" t="s">
        <v>965</v>
      </c>
      <c r="F53" s="9" t="s">
        <v>1073</v>
      </c>
    </row>
    <row r="54">
      <c r="A54" s="9" t="s">
        <v>1074</v>
      </c>
      <c r="B54" s="9" t="s">
        <v>72</v>
      </c>
      <c r="C54" s="9" t="s">
        <v>963</v>
      </c>
      <c r="D54" s="9" t="s">
        <v>1075</v>
      </c>
      <c r="E54" s="9" t="s">
        <v>965</v>
      </c>
      <c r="F54" s="9" t="s">
        <v>1075</v>
      </c>
    </row>
    <row r="55">
      <c r="A55" s="9" t="s">
        <v>1076</v>
      </c>
      <c r="B55" s="9" t="s">
        <v>202</v>
      </c>
      <c r="C55" s="9" t="s">
        <v>963</v>
      </c>
      <c r="D55" s="9" t="s">
        <v>1077</v>
      </c>
      <c r="E55" s="9" t="s">
        <v>965</v>
      </c>
      <c r="F55" s="9" t="s">
        <v>1077</v>
      </c>
    </row>
    <row r="56">
      <c r="A56" s="9" t="s">
        <v>1078</v>
      </c>
      <c r="B56" s="9" t="s">
        <v>356</v>
      </c>
      <c r="C56" s="9" t="s">
        <v>963</v>
      </c>
      <c r="D56" s="9" t="s">
        <v>1079</v>
      </c>
      <c r="E56" s="9" t="s">
        <v>965</v>
      </c>
      <c r="F56" s="9" t="s">
        <v>1079</v>
      </c>
    </row>
    <row r="57">
      <c r="A57" s="9" t="s">
        <v>1080</v>
      </c>
      <c r="B57" s="9" t="s">
        <v>64</v>
      </c>
      <c r="C57" s="9" t="s">
        <v>963</v>
      </c>
      <c r="D57" s="9" t="s">
        <v>1081</v>
      </c>
      <c r="E57" s="9" t="s">
        <v>965</v>
      </c>
      <c r="F57" s="9" t="s">
        <v>1081</v>
      </c>
    </row>
    <row r="58">
      <c r="A58" s="9" t="s">
        <v>1082</v>
      </c>
      <c r="B58" s="9" t="s">
        <v>83</v>
      </c>
      <c r="C58" s="9" t="s">
        <v>963</v>
      </c>
      <c r="D58" s="9" t="s">
        <v>1083</v>
      </c>
      <c r="E58" s="9" t="s">
        <v>965</v>
      </c>
      <c r="F58" s="9" t="s">
        <v>1083</v>
      </c>
    </row>
    <row r="59">
      <c r="A59" s="9" t="s">
        <v>1084</v>
      </c>
      <c r="B59" s="9" t="s">
        <v>322</v>
      </c>
      <c r="C59" s="9" t="s">
        <v>963</v>
      </c>
      <c r="D59" s="9" t="s">
        <v>1085</v>
      </c>
      <c r="E59" s="9" t="s">
        <v>965</v>
      </c>
      <c r="F59" s="9" t="s">
        <v>1085</v>
      </c>
    </row>
    <row r="60">
      <c r="A60" s="9" t="s">
        <v>1086</v>
      </c>
      <c r="B60" s="9" t="s">
        <v>389</v>
      </c>
      <c r="C60" s="9" t="s">
        <v>963</v>
      </c>
      <c r="D60" s="9" t="s">
        <v>1087</v>
      </c>
      <c r="E60" s="9" t="s">
        <v>965</v>
      </c>
      <c r="F60" s="9" t="s">
        <v>1087</v>
      </c>
    </row>
    <row r="61">
      <c r="A61" s="9" t="s">
        <v>1088</v>
      </c>
      <c r="B61" s="9" t="s">
        <v>182</v>
      </c>
      <c r="C61" s="9" t="s">
        <v>963</v>
      </c>
      <c r="D61" s="9" t="s">
        <v>1089</v>
      </c>
      <c r="E61" s="9" t="s">
        <v>965</v>
      </c>
      <c r="F61" s="9" t="s">
        <v>1089</v>
      </c>
    </row>
    <row r="62">
      <c r="A62" s="9" t="s">
        <v>1090</v>
      </c>
      <c r="B62" s="9" t="s">
        <v>120</v>
      </c>
      <c r="C62" s="9" t="s">
        <v>963</v>
      </c>
      <c r="D62" s="9" t="s">
        <v>1091</v>
      </c>
      <c r="E62" s="9" t="s">
        <v>965</v>
      </c>
      <c r="F62" s="9" t="s">
        <v>1091</v>
      </c>
    </row>
    <row r="63">
      <c r="A63" s="9" t="s">
        <v>1092</v>
      </c>
      <c r="B63" s="9" t="s">
        <v>133</v>
      </c>
      <c r="C63" s="9" t="s">
        <v>963</v>
      </c>
      <c r="D63" s="9" t="s">
        <v>1093</v>
      </c>
      <c r="E63" s="9" t="s">
        <v>965</v>
      </c>
      <c r="F63" s="9" t="s">
        <v>1093</v>
      </c>
    </row>
    <row r="64">
      <c r="A64" s="9" t="s">
        <v>1094</v>
      </c>
      <c r="B64" s="9" t="s">
        <v>414</v>
      </c>
      <c r="C64" s="9" t="s">
        <v>963</v>
      </c>
      <c r="D64" s="9" t="s">
        <v>1095</v>
      </c>
      <c r="E64" s="9" t="s">
        <v>965</v>
      </c>
      <c r="F64" s="9" t="s">
        <v>1095</v>
      </c>
    </row>
    <row r="65">
      <c r="A65" s="9" t="s">
        <v>1096</v>
      </c>
      <c r="B65" s="9" t="s">
        <v>312</v>
      </c>
      <c r="C65" s="9" t="s">
        <v>963</v>
      </c>
      <c r="D65" s="9" t="s">
        <v>1097</v>
      </c>
      <c r="E65" s="9" t="s">
        <v>965</v>
      </c>
      <c r="F65" s="9" t="s">
        <v>1097</v>
      </c>
    </row>
    <row r="66">
      <c r="A66" s="9" t="s">
        <v>1098</v>
      </c>
      <c r="B66" s="9" t="s">
        <v>367</v>
      </c>
      <c r="C66" s="9" t="s">
        <v>963</v>
      </c>
      <c r="D66" s="9" t="s">
        <v>1099</v>
      </c>
      <c r="E66" s="9" t="s">
        <v>965</v>
      </c>
      <c r="F66" s="9" t="s">
        <v>1099</v>
      </c>
    </row>
    <row r="67">
      <c r="A67" s="9" t="s">
        <v>1100</v>
      </c>
      <c r="B67" s="9" t="s">
        <v>630</v>
      </c>
      <c r="C67" s="9" t="s">
        <v>963</v>
      </c>
      <c r="D67" s="9" t="s">
        <v>1101</v>
      </c>
      <c r="E67" s="9" t="s">
        <v>965</v>
      </c>
      <c r="F67" s="9" t="s">
        <v>1101</v>
      </c>
    </row>
    <row r="68">
      <c r="A68" s="9" t="s">
        <v>1102</v>
      </c>
      <c r="B68" s="9" t="s">
        <v>336</v>
      </c>
      <c r="C68" s="9" t="s">
        <v>963</v>
      </c>
      <c r="D68" s="9" t="s">
        <v>1103</v>
      </c>
      <c r="E68" s="9" t="s">
        <v>965</v>
      </c>
      <c r="F68" s="9" t="s">
        <v>1103</v>
      </c>
    </row>
    <row r="69">
      <c r="A69" s="9" t="s">
        <v>1104</v>
      </c>
      <c r="B69" s="9" t="s">
        <v>293</v>
      </c>
      <c r="C69" s="9" t="s">
        <v>963</v>
      </c>
      <c r="D69" s="9" t="s">
        <v>1105</v>
      </c>
      <c r="E69" s="9" t="s">
        <v>965</v>
      </c>
      <c r="F69" s="9" t="s">
        <v>1105</v>
      </c>
    </row>
    <row r="70">
      <c r="A70" s="9" t="s">
        <v>1106</v>
      </c>
      <c r="B70" s="9" t="s">
        <v>263</v>
      </c>
      <c r="C70" s="9" t="s">
        <v>963</v>
      </c>
      <c r="D70" s="9" t="s">
        <v>1107</v>
      </c>
      <c r="E70" s="9" t="s">
        <v>965</v>
      </c>
      <c r="F70" s="9" t="s">
        <v>1107</v>
      </c>
    </row>
    <row r="71">
      <c r="A71" s="9" t="s">
        <v>1108</v>
      </c>
      <c r="B71" s="9" t="s">
        <v>355</v>
      </c>
      <c r="C71" s="9" t="s">
        <v>963</v>
      </c>
      <c r="D71" s="9" t="s">
        <v>1109</v>
      </c>
      <c r="E71" s="9" t="s">
        <v>965</v>
      </c>
      <c r="F71" s="9" t="s">
        <v>1109</v>
      </c>
    </row>
    <row r="72">
      <c r="A72" s="9" t="s">
        <v>1112</v>
      </c>
      <c r="B72" s="9" t="s">
        <v>248</v>
      </c>
      <c r="C72" s="9" t="s">
        <v>963</v>
      </c>
      <c r="D72" s="9" t="s">
        <v>1114</v>
      </c>
      <c r="E72" s="9" t="s">
        <v>965</v>
      </c>
      <c r="F72" s="9" t="s">
        <v>1114</v>
      </c>
    </row>
    <row r="73">
      <c r="A73" s="9" t="s">
        <v>1115</v>
      </c>
      <c r="B73" s="9" t="s">
        <v>79</v>
      </c>
      <c r="C73" s="9" t="s">
        <v>963</v>
      </c>
      <c r="D73" s="9" t="s">
        <v>1116</v>
      </c>
      <c r="E73" s="9" t="s">
        <v>965</v>
      </c>
      <c r="F73" s="9" t="s">
        <v>1116</v>
      </c>
    </row>
    <row r="74">
      <c r="A74" s="9" t="s">
        <v>1117</v>
      </c>
      <c r="B74" s="9" t="s">
        <v>387</v>
      </c>
      <c r="C74" s="9" t="s">
        <v>963</v>
      </c>
      <c r="D74" s="9" t="s">
        <v>1118</v>
      </c>
      <c r="E74" s="9" t="s">
        <v>965</v>
      </c>
      <c r="F74" s="9" t="s">
        <v>1118</v>
      </c>
    </row>
    <row r="75">
      <c r="A75" s="9" t="s">
        <v>1119</v>
      </c>
      <c r="B75" s="9" t="s">
        <v>328</v>
      </c>
      <c r="C75" s="9" t="s">
        <v>963</v>
      </c>
      <c r="D75" s="9" t="s">
        <v>1120</v>
      </c>
      <c r="E75" s="9" t="s">
        <v>965</v>
      </c>
      <c r="F75" s="9" t="s">
        <v>1120</v>
      </c>
    </row>
    <row r="76">
      <c r="A76" s="9" t="s">
        <v>1121</v>
      </c>
      <c r="B76" s="9" t="s">
        <v>376</v>
      </c>
      <c r="C76" s="9" t="s">
        <v>963</v>
      </c>
      <c r="D76" s="9" t="s">
        <v>1122</v>
      </c>
      <c r="E76" s="9" t="s">
        <v>965</v>
      </c>
      <c r="F76" s="9" t="s">
        <v>1122</v>
      </c>
    </row>
    <row r="77">
      <c r="A77" s="9" t="s">
        <v>1123</v>
      </c>
      <c r="B77" s="9" t="s">
        <v>304</v>
      </c>
      <c r="C77" s="9" t="s">
        <v>963</v>
      </c>
      <c r="D77" s="9" t="s">
        <v>1124</v>
      </c>
      <c r="E77" s="9" t="s">
        <v>965</v>
      </c>
      <c r="F77" s="9" t="s">
        <v>1124</v>
      </c>
    </row>
    <row r="78">
      <c r="A78" s="9" t="s">
        <v>1125</v>
      </c>
      <c r="B78" s="9" t="s">
        <v>279</v>
      </c>
      <c r="C78" s="9" t="s">
        <v>963</v>
      </c>
      <c r="D78" s="9" t="s">
        <v>1126</v>
      </c>
      <c r="E78" s="9" t="s">
        <v>965</v>
      </c>
      <c r="F78" s="9" t="s">
        <v>1126</v>
      </c>
    </row>
    <row r="79">
      <c r="A79" s="9" t="s">
        <v>1127</v>
      </c>
      <c r="B79" s="9" t="s">
        <v>54</v>
      </c>
      <c r="C79" s="9" t="s">
        <v>963</v>
      </c>
      <c r="D79" s="9" t="s">
        <v>1128</v>
      </c>
      <c r="E79" s="9" t="s">
        <v>965</v>
      </c>
      <c r="F79" s="9" t="s">
        <v>1128</v>
      </c>
    </row>
    <row r="80">
      <c r="A80" s="9" t="s">
        <v>1129</v>
      </c>
      <c r="B80" s="9" t="s">
        <v>213</v>
      </c>
      <c r="C80" s="9" t="s">
        <v>963</v>
      </c>
      <c r="D80" s="9" t="s">
        <v>1130</v>
      </c>
      <c r="E80" s="9" t="s">
        <v>965</v>
      </c>
      <c r="F80" s="9" t="s">
        <v>1130</v>
      </c>
    </row>
    <row r="81">
      <c r="A81" s="9" t="s">
        <v>1131</v>
      </c>
      <c r="B81" s="9" t="s">
        <v>326</v>
      </c>
      <c r="C81" s="9" t="s">
        <v>963</v>
      </c>
      <c r="D81" s="9" t="s">
        <v>1132</v>
      </c>
      <c r="E81" s="9" t="s">
        <v>965</v>
      </c>
      <c r="F81" s="9" t="s">
        <v>1132</v>
      </c>
    </row>
    <row r="82">
      <c r="A82" s="9" t="s">
        <v>1133</v>
      </c>
      <c r="B82" s="9" t="s">
        <v>352</v>
      </c>
      <c r="C82" s="9" t="s">
        <v>963</v>
      </c>
      <c r="D82" s="9" t="s">
        <v>1134</v>
      </c>
      <c r="E82" s="9" t="s">
        <v>965</v>
      </c>
      <c r="F82" s="9" t="s">
        <v>1134</v>
      </c>
    </row>
    <row r="83">
      <c r="A83" s="9" t="s">
        <v>1135</v>
      </c>
      <c r="B83" s="9" t="s">
        <v>125</v>
      </c>
      <c r="C83" s="9" t="s">
        <v>963</v>
      </c>
      <c r="D83" s="9" t="s">
        <v>1136</v>
      </c>
      <c r="E83" s="9" t="s">
        <v>965</v>
      </c>
      <c r="F83" s="9" t="s">
        <v>1136</v>
      </c>
    </row>
    <row r="84">
      <c r="A84" s="9" t="s">
        <v>1137</v>
      </c>
      <c r="B84" s="9" t="s">
        <v>292</v>
      </c>
      <c r="C84" s="9" t="s">
        <v>963</v>
      </c>
      <c r="D84" s="9" t="s">
        <v>1138</v>
      </c>
      <c r="E84" s="9" t="s">
        <v>965</v>
      </c>
      <c r="F84" s="9" t="s">
        <v>1138</v>
      </c>
    </row>
    <row r="85">
      <c r="A85" s="9" t="s">
        <v>1139</v>
      </c>
      <c r="B85" s="9" t="s">
        <v>349</v>
      </c>
      <c r="C85" s="9" t="s">
        <v>963</v>
      </c>
      <c r="D85" s="9" t="s">
        <v>1140</v>
      </c>
      <c r="E85" s="9" t="s">
        <v>965</v>
      </c>
      <c r="F85" s="9" t="s">
        <v>1140</v>
      </c>
    </row>
    <row r="86">
      <c r="A86" s="9" t="s">
        <v>1141</v>
      </c>
      <c r="B86" s="9" t="s">
        <v>214</v>
      </c>
      <c r="C86" s="9" t="s">
        <v>963</v>
      </c>
      <c r="D86" s="9" t="s">
        <v>1142</v>
      </c>
      <c r="E86" s="9" t="s">
        <v>965</v>
      </c>
      <c r="F86" s="9" t="s">
        <v>1142</v>
      </c>
    </row>
    <row r="87">
      <c r="A87" s="9" t="s">
        <v>1143</v>
      </c>
      <c r="B87" s="9" t="s">
        <v>266</v>
      </c>
      <c r="C87" s="9" t="s">
        <v>963</v>
      </c>
      <c r="D87" s="9" t="s">
        <v>1144</v>
      </c>
      <c r="E87" s="9" t="s">
        <v>965</v>
      </c>
      <c r="F87" s="9" t="s">
        <v>1144</v>
      </c>
    </row>
    <row r="88">
      <c r="A88" s="9" t="s">
        <v>1145</v>
      </c>
      <c r="B88" s="9" t="s">
        <v>300</v>
      </c>
      <c r="C88" s="9" t="s">
        <v>963</v>
      </c>
      <c r="D88" s="9" t="s">
        <v>1146</v>
      </c>
      <c r="E88" s="9" t="s">
        <v>965</v>
      </c>
      <c r="F88" s="9" t="s">
        <v>1146</v>
      </c>
    </row>
    <row r="89">
      <c r="A89" s="9" t="s">
        <v>1147</v>
      </c>
      <c r="B89" s="9" t="s">
        <v>254</v>
      </c>
      <c r="C89" s="9" t="s">
        <v>963</v>
      </c>
      <c r="D89" s="9" t="s">
        <v>1148</v>
      </c>
      <c r="E89" s="9" t="s">
        <v>965</v>
      </c>
      <c r="F89" s="9" t="s">
        <v>1148</v>
      </c>
    </row>
    <row r="90">
      <c r="A90" s="9" t="s">
        <v>1149</v>
      </c>
      <c r="B90" s="9" t="s">
        <v>374</v>
      </c>
      <c r="C90" s="9" t="s">
        <v>963</v>
      </c>
      <c r="D90" s="9" t="s">
        <v>1150</v>
      </c>
      <c r="E90" s="9" t="s">
        <v>965</v>
      </c>
      <c r="F90" s="9" t="s">
        <v>1150</v>
      </c>
    </row>
    <row r="91">
      <c r="A91" s="9" t="s">
        <v>1151</v>
      </c>
      <c r="B91" s="9" t="s">
        <v>183</v>
      </c>
      <c r="C91" s="9" t="s">
        <v>963</v>
      </c>
      <c r="D91" s="9" t="s">
        <v>1152</v>
      </c>
      <c r="E91" s="9" t="s">
        <v>965</v>
      </c>
      <c r="F91" s="9" t="s">
        <v>1152</v>
      </c>
    </row>
    <row r="92">
      <c r="A92" s="9" t="s">
        <v>1153</v>
      </c>
      <c r="B92" s="9" t="s">
        <v>76</v>
      </c>
      <c r="C92" s="9" t="s">
        <v>963</v>
      </c>
      <c r="D92" s="9" t="s">
        <v>1154</v>
      </c>
      <c r="E92" s="9" t="s">
        <v>965</v>
      </c>
      <c r="F92" s="9" t="s">
        <v>1154</v>
      </c>
    </row>
    <row r="93">
      <c r="A93" s="9" t="s">
        <v>1155</v>
      </c>
      <c r="B93" s="9" t="s">
        <v>472</v>
      </c>
      <c r="C93" s="9" t="s">
        <v>963</v>
      </c>
      <c r="D93" s="9" t="s">
        <v>1156</v>
      </c>
      <c r="E93" s="9" t="s">
        <v>965</v>
      </c>
      <c r="F93" s="9" t="s">
        <v>1156</v>
      </c>
    </row>
    <row r="94">
      <c r="A94" s="9" t="s">
        <v>1157</v>
      </c>
      <c r="B94" s="9" t="s">
        <v>294</v>
      </c>
      <c r="C94" s="9" t="s">
        <v>963</v>
      </c>
      <c r="D94" s="9" t="s">
        <v>1158</v>
      </c>
      <c r="E94" s="9" t="s">
        <v>965</v>
      </c>
      <c r="F94" s="9" t="s">
        <v>1158</v>
      </c>
    </row>
    <row r="95">
      <c r="A95" s="9" t="s">
        <v>1159</v>
      </c>
      <c r="B95" s="9" t="s">
        <v>62</v>
      </c>
      <c r="C95" s="9" t="s">
        <v>963</v>
      </c>
      <c r="D95" s="9" t="s">
        <v>1160</v>
      </c>
      <c r="E95" s="9" t="s">
        <v>965</v>
      </c>
      <c r="F95" s="9" t="s">
        <v>1160</v>
      </c>
    </row>
    <row r="96">
      <c r="A96" s="9" t="s">
        <v>1161</v>
      </c>
      <c r="B96" s="9" t="s">
        <v>77</v>
      </c>
      <c r="C96" s="9" t="s">
        <v>963</v>
      </c>
      <c r="D96" s="9" t="s">
        <v>1162</v>
      </c>
      <c r="E96" s="9" t="s">
        <v>965</v>
      </c>
      <c r="F96" s="9" t="s">
        <v>1162</v>
      </c>
    </row>
    <row r="97">
      <c r="A97" s="9" t="s">
        <v>1163</v>
      </c>
      <c r="B97" s="9" t="s">
        <v>252</v>
      </c>
      <c r="C97" s="9" t="s">
        <v>963</v>
      </c>
      <c r="D97" s="9" t="s">
        <v>1164</v>
      </c>
      <c r="E97" s="9" t="s">
        <v>965</v>
      </c>
      <c r="F97" s="9" t="s">
        <v>1164</v>
      </c>
    </row>
    <row r="98">
      <c r="A98" s="9" t="s">
        <v>1165</v>
      </c>
      <c r="B98" s="9" t="s">
        <v>371</v>
      </c>
      <c r="C98" s="9" t="s">
        <v>963</v>
      </c>
      <c r="D98" s="9" t="s">
        <v>1166</v>
      </c>
      <c r="E98" s="9" t="s">
        <v>965</v>
      </c>
      <c r="F98" s="9" t="s">
        <v>1166</v>
      </c>
    </row>
    <row r="99">
      <c r="A99" s="9" t="s">
        <v>1167</v>
      </c>
      <c r="B99" s="9" t="s">
        <v>63</v>
      </c>
      <c r="C99" s="9" t="s">
        <v>963</v>
      </c>
      <c r="D99" s="9" t="s">
        <v>1168</v>
      </c>
      <c r="E99" s="9" t="s">
        <v>965</v>
      </c>
      <c r="F99" s="9" t="s">
        <v>1168</v>
      </c>
    </row>
    <row r="100">
      <c r="A100" s="9" t="s">
        <v>1169</v>
      </c>
      <c r="B100" s="9" t="s">
        <v>401</v>
      </c>
      <c r="C100" s="9" t="s">
        <v>963</v>
      </c>
      <c r="D100" s="9" t="s">
        <v>1170</v>
      </c>
      <c r="E100" s="9" t="s">
        <v>965</v>
      </c>
      <c r="F100" s="9" t="s">
        <v>1170</v>
      </c>
    </row>
    <row r="101">
      <c r="A101" s="9" t="s">
        <v>1171</v>
      </c>
      <c r="B101" s="9" t="s">
        <v>410</v>
      </c>
      <c r="C101" s="9" t="s">
        <v>963</v>
      </c>
      <c r="D101" s="9" t="s">
        <v>1172</v>
      </c>
      <c r="E101" s="9" t="s">
        <v>965</v>
      </c>
      <c r="F101" s="9" t="s">
        <v>1172</v>
      </c>
    </row>
    <row r="102">
      <c r="A102" s="9" t="s">
        <v>1173</v>
      </c>
      <c r="B102" s="9" t="s">
        <v>397</v>
      </c>
      <c r="C102" s="9" t="s">
        <v>963</v>
      </c>
      <c r="D102" s="9" t="s">
        <v>1176</v>
      </c>
      <c r="E102" s="9" t="s">
        <v>965</v>
      </c>
      <c r="F102" s="9" t="s">
        <v>1176</v>
      </c>
    </row>
    <row r="103">
      <c r="A103" s="9" t="s">
        <v>1178</v>
      </c>
      <c r="B103" s="9" t="s">
        <v>239</v>
      </c>
      <c r="C103" s="9" t="s">
        <v>963</v>
      </c>
      <c r="D103" s="9" t="s">
        <v>1179</v>
      </c>
      <c r="E103" s="9" t="s">
        <v>965</v>
      </c>
      <c r="F103" s="9" t="s">
        <v>1179</v>
      </c>
    </row>
    <row r="104">
      <c r="A104" s="9" t="s">
        <v>1180</v>
      </c>
      <c r="B104" s="9" t="s">
        <v>316</v>
      </c>
      <c r="C104" s="9" t="s">
        <v>963</v>
      </c>
      <c r="D104" s="9" t="s">
        <v>1181</v>
      </c>
      <c r="E104" s="9" t="s">
        <v>965</v>
      </c>
      <c r="F104" s="9" t="s">
        <v>1181</v>
      </c>
    </row>
    <row r="105">
      <c r="A105" s="9" t="s">
        <v>1182</v>
      </c>
      <c r="B105" s="9" t="s">
        <v>379</v>
      </c>
      <c r="C105" s="9" t="s">
        <v>963</v>
      </c>
      <c r="D105" s="9" t="s">
        <v>1183</v>
      </c>
      <c r="E105" s="9" t="s">
        <v>965</v>
      </c>
      <c r="F105" s="9" t="s">
        <v>1183</v>
      </c>
    </row>
    <row r="106">
      <c r="A106" s="9" t="s">
        <v>1184</v>
      </c>
      <c r="B106" s="9" t="s">
        <v>204</v>
      </c>
      <c r="C106" s="9" t="s">
        <v>963</v>
      </c>
      <c r="D106" s="9" t="s">
        <v>1185</v>
      </c>
      <c r="E106" s="9" t="s">
        <v>965</v>
      </c>
      <c r="F106" s="9" t="s">
        <v>1185</v>
      </c>
    </row>
    <row r="107">
      <c r="A107" s="9" t="s">
        <v>1186</v>
      </c>
      <c r="B107" s="9" t="s">
        <v>253</v>
      </c>
      <c r="C107" s="9" t="s">
        <v>963</v>
      </c>
      <c r="D107" s="9" t="s">
        <v>1187</v>
      </c>
      <c r="E107" s="9" t="s">
        <v>965</v>
      </c>
      <c r="F107" s="9" t="s">
        <v>1187</v>
      </c>
    </row>
    <row r="108">
      <c r="A108" s="9" t="s">
        <v>1188</v>
      </c>
      <c r="B108" s="9" t="s">
        <v>160</v>
      </c>
      <c r="C108" s="9" t="s">
        <v>963</v>
      </c>
      <c r="D108" s="9" t="s">
        <v>1189</v>
      </c>
      <c r="E108" s="9" t="s">
        <v>965</v>
      </c>
      <c r="F108" s="9" t="s">
        <v>1189</v>
      </c>
    </row>
    <row r="109">
      <c r="A109" s="9" t="s">
        <v>1190</v>
      </c>
      <c r="B109" s="9" t="s">
        <v>89</v>
      </c>
      <c r="C109" s="9" t="s">
        <v>963</v>
      </c>
      <c r="D109" s="9" t="s">
        <v>1191</v>
      </c>
      <c r="E109" s="9" t="s">
        <v>965</v>
      </c>
      <c r="F109" s="9" t="s">
        <v>1191</v>
      </c>
    </row>
    <row r="110">
      <c r="A110" s="9" t="s">
        <v>1192</v>
      </c>
      <c r="B110" s="9" t="s">
        <v>231</v>
      </c>
      <c r="C110" s="9" t="s">
        <v>963</v>
      </c>
      <c r="D110" s="9" t="s">
        <v>1193</v>
      </c>
      <c r="E110" s="9" t="s">
        <v>965</v>
      </c>
      <c r="F110" s="9" t="s">
        <v>1193</v>
      </c>
    </row>
    <row r="111">
      <c r="A111" s="9" t="s">
        <v>1194</v>
      </c>
      <c r="B111" s="9" t="s">
        <v>298</v>
      </c>
      <c r="C111" s="9" t="s">
        <v>963</v>
      </c>
      <c r="D111" s="9" t="s">
        <v>1195</v>
      </c>
      <c r="E111" s="9" t="s">
        <v>965</v>
      </c>
      <c r="F111" s="9" t="s">
        <v>1195</v>
      </c>
    </row>
    <row r="112">
      <c r="A112" s="9" t="s">
        <v>1196</v>
      </c>
      <c r="B112" s="9" t="s">
        <v>187</v>
      </c>
      <c r="C112" s="9" t="s">
        <v>963</v>
      </c>
      <c r="D112" s="9" t="s">
        <v>1197</v>
      </c>
      <c r="E112" s="9" t="s">
        <v>965</v>
      </c>
      <c r="F112" s="9" t="s">
        <v>1197</v>
      </c>
    </row>
    <row r="113">
      <c r="A113" s="9" t="s">
        <v>1198</v>
      </c>
      <c r="B113" s="9" t="s">
        <v>237</v>
      </c>
      <c r="C113" s="9" t="s">
        <v>963</v>
      </c>
      <c r="D113" s="9" t="s">
        <v>1199</v>
      </c>
      <c r="E113" s="9" t="s">
        <v>965</v>
      </c>
      <c r="F113" s="9" t="s">
        <v>1199</v>
      </c>
    </row>
    <row r="114">
      <c r="A114" s="9" t="s">
        <v>1200</v>
      </c>
      <c r="B114" s="9" t="s">
        <v>103</v>
      </c>
      <c r="C114" s="9" t="s">
        <v>963</v>
      </c>
      <c r="D114" s="9" t="s">
        <v>1201</v>
      </c>
      <c r="E114" s="9" t="s">
        <v>965</v>
      </c>
      <c r="F114" s="9" t="s">
        <v>1201</v>
      </c>
    </row>
    <row r="115">
      <c r="A115" s="9" t="s">
        <v>1202</v>
      </c>
      <c r="B115" s="9" t="s">
        <v>59</v>
      </c>
      <c r="C115" s="9" t="s">
        <v>963</v>
      </c>
      <c r="D115" s="9" t="s">
        <v>1203</v>
      </c>
      <c r="E115" s="9" t="s">
        <v>965</v>
      </c>
      <c r="F115" s="9" t="s">
        <v>1203</v>
      </c>
    </row>
    <row r="116">
      <c r="A116" s="9" t="s">
        <v>1204</v>
      </c>
      <c r="B116" s="9" t="s">
        <v>107</v>
      </c>
      <c r="C116" s="9" t="s">
        <v>963</v>
      </c>
      <c r="D116" s="9" t="s">
        <v>1205</v>
      </c>
      <c r="E116" s="9" t="s">
        <v>965</v>
      </c>
      <c r="F116" s="9" t="s">
        <v>1205</v>
      </c>
    </row>
    <row r="117">
      <c r="A117" s="9" t="s">
        <v>1206</v>
      </c>
      <c r="B117" s="9" t="s">
        <v>235</v>
      </c>
      <c r="C117" s="9" t="s">
        <v>963</v>
      </c>
      <c r="D117" s="9" t="s">
        <v>1207</v>
      </c>
      <c r="E117" s="9" t="s">
        <v>965</v>
      </c>
      <c r="F117" s="9" t="s">
        <v>1207</v>
      </c>
    </row>
    <row r="118">
      <c r="A118" s="9" t="s">
        <v>1208</v>
      </c>
      <c r="B118" s="9" t="s">
        <v>121</v>
      </c>
      <c r="C118" s="9" t="s">
        <v>963</v>
      </c>
      <c r="D118" s="9" t="s">
        <v>1209</v>
      </c>
      <c r="E118" s="9" t="s">
        <v>965</v>
      </c>
      <c r="F118" s="9" t="s">
        <v>1209</v>
      </c>
    </row>
    <row r="119">
      <c r="A119" s="9" t="s">
        <v>1210</v>
      </c>
      <c r="B119" s="9" t="s">
        <v>151</v>
      </c>
      <c r="C119" s="9" t="s">
        <v>963</v>
      </c>
      <c r="D119" s="9" t="s">
        <v>1211</v>
      </c>
      <c r="E119" s="9" t="s">
        <v>965</v>
      </c>
      <c r="F119" s="9" t="s">
        <v>1211</v>
      </c>
    </row>
    <row r="120">
      <c r="A120" s="9" t="s">
        <v>1212</v>
      </c>
      <c r="B120" s="9" t="s">
        <v>332</v>
      </c>
      <c r="C120" s="9" t="s">
        <v>963</v>
      </c>
      <c r="D120" s="9" t="s">
        <v>1213</v>
      </c>
      <c r="E120" s="9" t="s">
        <v>965</v>
      </c>
      <c r="F120" s="9" t="s">
        <v>1213</v>
      </c>
    </row>
    <row r="121">
      <c r="A121" s="9" t="s">
        <v>1214</v>
      </c>
      <c r="B121" s="9" t="s">
        <v>274</v>
      </c>
      <c r="C121" s="9" t="s">
        <v>963</v>
      </c>
      <c r="D121" s="9" t="s">
        <v>1215</v>
      </c>
      <c r="E121" s="9" t="s">
        <v>965</v>
      </c>
      <c r="F121" s="9" t="s">
        <v>1215</v>
      </c>
    </row>
    <row r="122">
      <c r="A122" s="9" t="s">
        <v>1216</v>
      </c>
      <c r="B122" s="9" t="s">
        <v>184</v>
      </c>
      <c r="C122" s="9" t="s">
        <v>963</v>
      </c>
      <c r="D122" s="9" t="s">
        <v>1217</v>
      </c>
      <c r="E122" s="9" t="s">
        <v>965</v>
      </c>
      <c r="F122" s="9" t="s">
        <v>1217</v>
      </c>
    </row>
    <row r="123">
      <c r="A123" s="9" t="s">
        <v>1218</v>
      </c>
      <c r="B123" s="9" t="s">
        <v>399</v>
      </c>
      <c r="C123" s="9" t="s">
        <v>963</v>
      </c>
      <c r="D123" s="9" t="s">
        <v>1219</v>
      </c>
      <c r="E123" s="9" t="s">
        <v>965</v>
      </c>
      <c r="F123" s="9" t="s">
        <v>1219</v>
      </c>
    </row>
    <row r="124">
      <c r="A124" s="9" t="s">
        <v>1220</v>
      </c>
      <c r="B124" s="9" t="s">
        <v>373</v>
      </c>
      <c r="C124" s="9" t="s">
        <v>963</v>
      </c>
      <c r="D124" s="9" t="s">
        <v>1221</v>
      </c>
      <c r="E124" s="9" t="s">
        <v>965</v>
      </c>
      <c r="F124" s="9" t="s">
        <v>1221</v>
      </c>
    </row>
    <row r="125">
      <c r="A125" s="9" t="s">
        <v>1222</v>
      </c>
      <c r="B125" s="9" t="s">
        <v>359</v>
      </c>
      <c r="C125" s="9" t="s">
        <v>963</v>
      </c>
      <c r="D125" s="9" t="s">
        <v>1223</v>
      </c>
      <c r="E125" s="9" t="s">
        <v>965</v>
      </c>
      <c r="F125" s="9" t="s">
        <v>1223</v>
      </c>
    </row>
    <row r="126">
      <c r="A126" s="9" t="s">
        <v>1224</v>
      </c>
      <c r="B126" s="9" t="s">
        <v>303</v>
      </c>
      <c r="C126" s="9" t="s">
        <v>963</v>
      </c>
      <c r="D126" s="9" t="s">
        <v>1225</v>
      </c>
      <c r="E126" s="9" t="s">
        <v>965</v>
      </c>
      <c r="F126" s="9" t="s">
        <v>1225</v>
      </c>
    </row>
    <row r="127">
      <c r="A127" s="9" t="s">
        <v>1226</v>
      </c>
      <c r="B127" s="9" t="s">
        <v>143</v>
      </c>
      <c r="C127" s="9" t="s">
        <v>963</v>
      </c>
      <c r="D127" s="9" t="s">
        <v>1227</v>
      </c>
      <c r="E127" s="9" t="s">
        <v>965</v>
      </c>
      <c r="F127" s="9" t="s">
        <v>1227</v>
      </c>
    </row>
    <row r="128">
      <c r="A128" s="9" t="s">
        <v>1228</v>
      </c>
      <c r="B128" s="9" t="s">
        <v>163</v>
      </c>
      <c r="C128" s="9" t="s">
        <v>963</v>
      </c>
      <c r="D128" s="9" t="s">
        <v>1229</v>
      </c>
      <c r="E128" s="9" t="s">
        <v>965</v>
      </c>
      <c r="F128" s="9" t="s">
        <v>1229</v>
      </c>
    </row>
    <row r="129">
      <c r="A129" s="9" t="s">
        <v>1230</v>
      </c>
      <c r="B129" s="9" t="s">
        <v>394</v>
      </c>
      <c r="C129" s="9" t="s">
        <v>963</v>
      </c>
      <c r="D129" s="9" t="s">
        <v>1231</v>
      </c>
      <c r="E129" s="9" t="s">
        <v>965</v>
      </c>
      <c r="F129" s="9" t="s">
        <v>1231</v>
      </c>
    </row>
    <row r="130">
      <c r="A130" s="9" t="s">
        <v>1232</v>
      </c>
      <c r="B130" s="9" t="s">
        <v>198</v>
      </c>
      <c r="C130" s="9" t="s">
        <v>963</v>
      </c>
      <c r="D130" s="9" t="s">
        <v>1233</v>
      </c>
      <c r="E130" s="9" t="s">
        <v>965</v>
      </c>
      <c r="F130" s="9" t="s">
        <v>1233</v>
      </c>
    </row>
    <row r="131">
      <c r="A131" s="9" t="s">
        <v>1234</v>
      </c>
      <c r="B131" s="9" t="s">
        <v>128</v>
      </c>
      <c r="C131" s="9" t="s">
        <v>963</v>
      </c>
      <c r="D131" s="9" t="s">
        <v>1235</v>
      </c>
      <c r="E131" s="9" t="s">
        <v>965</v>
      </c>
      <c r="F131" s="9" t="s">
        <v>1235</v>
      </c>
    </row>
    <row r="132">
      <c r="A132" s="9" t="s">
        <v>1236</v>
      </c>
      <c r="B132" s="9" t="s">
        <v>88</v>
      </c>
      <c r="C132" s="9" t="s">
        <v>963</v>
      </c>
      <c r="D132" s="9" t="s">
        <v>1237</v>
      </c>
      <c r="E132" s="9" t="s">
        <v>965</v>
      </c>
      <c r="F132" s="9" t="s">
        <v>1237</v>
      </c>
    </row>
    <row r="133">
      <c r="A133" s="9" t="s">
        <v>1238</v>
      </c>
      <c r="B133" s="9" t="s">
        <v>348</v>
      </c>
      <c r="C133" s="9" t="s">
        <v>963</v>
      </c>
      <c r="D133" s="9" t="s">
        <v>1240</v>
      </c>
      <c r="E133" s="9" t="s">
        <v>965</v>
      </c>
      <c r="F133" s="9" t="s">
        <v>1240</v>
      </c>
    </row>
    <row r="134">
      <c r="A134" s="9" t="s">
        <v>1243</v>
      </c>
      <c r="B134" s="9" t="s">
        <v>256</v>
      </c>
      <c r="C134" s="9" t="s">
        <v>963</v>
      </c>
      <c r="D134" s="9" t="s">
        <v>1244</v>
      </c>
      <c r="E134" s="9" t="s">
        <v>965</v>
      </c>
      <c r="F134" s="9" t="s">
        <v>1244</v>
      </c>
    </row>
    <row r="135">
      <c r="A135" s="9" t="s">
        <v>1245</v>
      </c>
      <c r="B135" s="9" t="s">
        <v>132</v>
      </c>
      <c r="C135" s="9" t="s">
        <v>963</v>
      </c>
      <c r="D135" s="9" t="s">
        <v>1246</v>
      </c>
      <c r="E135" s="9" t="s">
        <v>965</v>
      </c>
      <c r="F135" s="9" t="s">
        <v>1246</v>
      </c>
    </row>
    <row r="136">
      <c r="A136" s="9" t="s">
        <v>1247</v>
      </c>
      <c r="B136" s="9" t="s">
        <v>366</v>
      </c>
      <c r="C136" s="9" t="s">
        <v>963</v>
      </c>
      <c r="D136" s="9" t="s">
        <v>1248</v>
      </c>
      <c r="E136" s="9" t="s">
        <v>965</v>
      </c>
      <c r="F136" s="9" t="s">
        <v>1248</v>
      </c>
    </row>
    <row r="137">
      <c r="A137" s="9" t="s">
        <v>1249</v>
      </c>
      <c r="B137" s="9" t="s">
        <v>318</v>
      </c>
      <c r="C137" s="9" t="s">
        <v>963</v>
      </c>
      <c r="D137" s="9" t="s">
        <v>1250</v>
      </c>
      <c r="E137" s="9" t="s">
        <v>965</v>
      </c>
      <c r="F137" s="9" t="s">
        <v>1250</v>
      </c>
    </row>
    <row r="138">
      <c r="A138" s="9" t="s">
        <v>1251</v>
      </c>
      <c r="B138" s="9" t="s">
        <v>152</v>
      </c>
      <c r="C138" s="9" t="s">
        <v>963</v>
      </c>
      <c r="D138" s="9" t="s">
        <v>1252</v>
      </c>
      <c r="E138" s="9" t="s">
        <v>965</v>
      </c>
      <c r="F138" s="9" t="s">
        <v>1252</v>
      </c>
    </row>
    <row r="139">
      <c r="A139" s="9" t="s">
        <v>1253</v>
      </c>
      <c r="B139" s="9" t="s">
        <v>247</v>
      </c>
      <c r="C139" s="9" t="s">
        <v>963</v>
      </c>
      <c r="D139" s="9" t="s">
        <v>1254</v>
      </c>
      <c r="E139" s="9" t="s">
        <v>965</v>
      </c>
      <c r="F139" s="9" t="s">
        <v>1254</v>
      </c>
    </row>
    <row r="140">
      <c r="A140" s="9" t="s">
        <v>1255</v>
      </c>
      <c r="B140" s="9" t="s">
        <v>249</v>
      </c>
      <c r="C140" s="9" t="s">
        <v>963</v>
      </c>
      <c r="D140" s="9" t="s">
        <v>1256</v>
      </c>
      <c r="E140" s="9" t="s">
        <v>965</v>
      </c>
      <c r="F140" s="9" t="s">
        <v>1256</v>
      </c>
    </row>
    <row r="141">
      <c r="A141" s="9" t="s">
        <v>1257</v>
      </c>
      <c r="B141" s="9" t="s">
        <v>276</v>
      </c>
      <c r="C141" s="9" t="s">
        <v>963</v>
      </c>
      <c r="D141" s="9" t="s">
        <v>1258</v>
      </c>
      <c r="E141" s="9" t="s">
        <v>965</v>
      </c>
      <c r="F141" s="9" t="s">
        <v>1258</v>
      </c>
    </row>
    <row r="142">
      <c r="A142" s="9" t="s">
        <v>1259</v>
      </c>
      <c r="B142" s="9" t="s">
        <v>96</v>
      </c>
      <c r="C142" s="9" t="s">
        <v>963</v>
      </c>
      <c r="D142" s="9" t="s">
        <v>1260</v>
      </c>
      <c r="E142" s="9" t="s">
        <v>965</v>
      </c>
      <c r="F142" s="9" t="s">
        <v>1260</v>
      </c>
    </row>
    <row r="143">
      <c r="A143" s="9" t="s">
        <v>1261</v>
      </c>
      <c r="B143" s="9" t="s">
        <v>238</v>
      </c>
      <c r="C143" s="9" t="s">
        <v>963</v>
      </c>
      <c r="D143" s="9" t="s">
        <v>1262</v>
      </c>
      <c r="E143" s="9" t="s">
        <v>965</v>
      </c>
      <c r="F143" s="9" t="s">
        <v>1262</v>
      </c>
    </row>
    <row r="144">
      <c r="A144" s="9" t="s">
        <v>1263</v>
      </c>
      <c r="B144" s="9" t="s">
        <v>369</v>
      </c>
      <c r="C144" s="9" t="s">
        <v>963</v>
      </c>
      <c r="D144" s="9" t="s">
        <v>1264</v>
      </c>
      <c r="E144" s="9" t="s">
        <v>965</v>
      </c>
      <c r="F144" s="9" t="s">
        <v>1264</v>
      </c>
    </row>
    <row r="145">
      <c r="A145" s="9" t="s">
        <v>1265</v>
      </c>
      <c r="B145" s="9" t="s">
        <v>372</v>
      </c>
      <c r="C145" s="9" t="s">
        <v>963</v>
      </c>
      <c r="D145" s="9" t="s">
        <v>1266</v>
      </c>
      <c r="E145" s="9" t="s">
        <v>965</v>
      </c>
      <c r="F145" s="9" t="s">
        <v>1266</v>
      </c>
    </row>
    <row r="146">
      <c r="A146" s="9" t="s">
        <v>1267</v>
      </c>
      <c r="B146" s="9" t="s">
        <v>291</v>
      </c>
      <c r="C146" s="9" t="s">
        <v>963</v>
      </c>
      <c r="D146" s="9" t="s">
        <v>1268</v>
      </c>
      <c r="E146" s="9" t="s">
        <v>965</v>
      </c>
      <c r="F146" s="9" t="s">
        <v>1268</v>
      </c>
    </row>
    <row r="147">
      <c r="A147" s="9" t="s">
        <v>1269</v>
      </c>
      <c r="B147" s="9" t="s">
        <v>417</v>
      </c>
      <c r="C147" s="9" t="s">
        <v>963</v>
      </c>
      <c r="D147" s="9" t="s">
        <v>1270</v>
      </c>
      <c r="E147" s="9" t="s">
        <v>965</v>
      </c>
      <c r="F147" s="9" t="s">
        <v>1270</v>
      </c>
    </row>
    <row r="148">
      <c r="A148" s="9" t="s">
        <v>1271</v>
      </c>
      <c r="B148" s="9" t="s">
        <v>191</v>
      </c>
      <c r="C148" s="9" t="s">
        <v>963</v>
      </c>
      <c r="D148" s="9" t="s">
        <v>1272</v>
      </c>
      <c r="E148" s="9" t="s">
        <v>965</v>
      </c>
      <c r="F148" s="9" t="s">
        <v>1272</v>
      </c>
    </row>
    <row r="149">
      <c r="A149" s="9" t="s">
        <v>1273</v>
      </c>
      <c r="B149" s="9" t="s">
        <v>306</v>
      </c>
      <c r="C149" s="9" t="s">
        <v>963</v>
      </c>
      <c r="D149" s="9" t="s">
        <v>1274</v>
      </c>
      <c r="E149" s="9" t="s">
        <v>965</v>
      </c>
      <c r="F149" s="9" t="s">
        <v>1274</v>
      </c>
    </row>
    <row r="150">
      <c r="A150" s="9" t="s">
        <v>1275</v>
      </c>
      <c r="B150" s="9" t="s">
        <v>94</v>
      </c>
      <c r="C150" s="9" t="s">
        <v>963</v>
      </c>
      <c r="D150" s="9" t="s">
        <v>1276</v>
      </c>
      <c r="E150" s="9" t="s">
        <v>965</v>
      </c>
      <c r="F150" s="9" t="s">
        <v>1276</v>
      </c>
    </row>
    <row r="151">
      <c r="A151" s="9" t="s">
        <v>1277</v>
      </c>
      <c r="B151" s="9" t="s">
        <v>180</v>
      </c>
      <c r="C151" s="9" t="s">
        <v>963</v>
      </c>
      <c r="D151" s="9" t="s">
        <v>1278</v>
      </c>
      <c r="E151" s="9" t="s">
        <v>965</v>
      </c>
      <c r="F151" s="9" t="s">
        <v>1278</v>
      </c>
    </row>
    <row r="152">
      <c r="A152" s="9" t="s">
        <v>1279</v>
      </c>
      <c r="B152" s="9" t="s">
        <v>190</v>
      </c>
      <c r="C152" s="9" t="s">
        <v>963</v>
      </c>
      <c r="D152" s="9" t="s">
        <v>1280</v>
      </c>
      <c r="E152" s="9" t="s">
        <v>965</v>
      </c>
      <c r="F152" s="9" t="s">
        <v>1280</v>
      </c>
    </row>
    <row r="153">
      <c r="A153" s="9" t="s">
        <v>1281</v>
      </c>
      <c r="B153" s="9" t="s">
        <v>75</v>
      </c>
      <c r="C153" s="9" t="s">
        <v>963</v>
      </c>
      <c r="D153" s="9" t="s">
        <v>1282</v>
      </c>
      <c r="E153" s="9" t="s">
        <v>965</v>
      </c>
      <c r="F153" s="9" t="s">
        <v>1282</v>
      </c>
    </row>
    <row r="154">
      <c r="A154" s="9" t="s">
        <v>1283</v>
      </c>
      <c r="B154" s="9" t="s">
        <v>323</v>
      </c>
      <c r="C154" s="9" t="s">
        <v>963</v>
      </c>
      <c r="D154" s="9" t="s">
        <v>1284</v>
      </c>
      <c r="E154" s="9" t="s">
        <v>965</v>
      </c>
      <c r="F154" s="9" t="s">
        <v>1284</v>
      </c>
    </row>
    <row r="155">
      <c r="A155" s="9" t="s">
        <v>1285</v>
      </c>
      <c r="B155" s="9" t="s">
        <v>55</v>
      </c>
      <c r="C155" s="9" t="s">
        <v>963</v>
      </c>
      <c r="D155" s="9" t="s">
        <v>1286</v>
      </c>
      <c r="E155" s="9" t="s">
        <v>965</v>
      </c>
      <c r="F155" s="9" t="s">
        <v>1286</v>
      </c>
    </row>
    <row r="156">
      <c r="A156" s="9" t="s">
        <v>1287</v>
      </c>
      <c r="B156" s="9" t="s">
        <v>123</v>
      </c>
      <c r="C156" s="9" t="s">
        <v>963</v>
      </c>
      <c r="D156" s="9" t="s">
        <v>1288</v>
      </c>
      <c r="E156" s="9" t="s">
        <v>965</v>
      </c>
      <c r="F156" s="9" t="s">
        <v>1288</v>
      </c>
    </row>
    <row r="157">
      <c r="A157" s="9" t="s">
        <v>1289</v>
      </c>
      <c r="B157" s="9" t="s">
        <v>141</v>
      </c>
      <c r="C157" s="9" t="s">
        <v>963</v>
      </c>
      <c r="D157" s="9" t="s">
        <v>1290</v>
      </c>
      <c r="E157" s="9" t="s">
        <v>965</v>
      </c>
      <c r="F157" s="9" t="s">
        <v>1290</v>
      </c>
    </row>
    <row r="158">
      <c r="A158" s="9" t="s">
        <v>1291</v>
      </c>
      <c r="B158" s="9" t="s">
        <v>60</v>
      </c>
      <c r="C158" s="9" t="s">
        <v>963</v>
      </c>
      <c r="D158" s="9" t="s">
        <v>1292</v>
      </c>
      <c r="E158" s="9" t="s">
        <v>965</v>
      </c>
      <c r="F158" s="9" t="s">
        <v>1292</v>
      </c>
    </row>
    <row r="159">
      <c r="A159" s="9" t="s">
        <v>1293</v>
      </c>
      <c r="B159" s="9" t="s">
        <v>335</v>
      </c>
      <c r="C159" s="9" t="s">
        <v>963</v>
      </c>
      <c r="D159" s="9" t="s">
        <v>1294</v>
      </c>
      <c r="E159" s="9" t="s">
        <v>965</v>
      </c>
      <c r="F159" s="9" t="s">
        <v>1294</v>
      </c>
    </row>
    <row r="160">
      <c r="A160" s="9" t="s">
        <v>1295</v>
      </c>
      <c r="B160" s="9" t="s">
        <v>115</v>
      </c>
      <c r="C160" s="9" t="s">
        <v>963</v>
      </c>
      <c r="D160" s="9" t="s">
        <v>1296</v>
      </c>
      <c r="E160" s="9" t="s">
        <v>965</v>
      </c>
      <c r="F160" s="9" t="s">
        <v>1296</v>
      </c>
    </row>
    <row r="161">
      <c r="A161" s="9" t="s">
        <v>1297</v>
      </c>
      <c r="B161" s="9" t="s">
        <v>351</v>
      </c>
      <c r="C161" s="9" t="s">
        <v>963</v>
      </c>
      <c r="D161" s="9" t="s">
        <v>1298</v>
      </c>
      <c r="E161" s="9" t="s">
        <v>965</v>
      </c>
      <c r="F161" s="9" t="s">
        <v>1298</v>
      </c>
    </row>
    <row r="162">
      <c r="A162" s="9" t="s">
        <v>1299</v>
      </c>
      <c r="B162" s="9" t="s">
        <v>185</v>
      </c>
      <c r="C162" s="9" t="s">
        <v>963</v>
      </c>
      <c r="D162" s="9" t="s">
        <v>1300</v>
      </c>
      <c r="E162" s="9" t="s">
        <v>965</v>
      </c>
      <c r="F162" s="9" t="s">
        <v>1300</v>
      </c>
    </row>
    <row r="163">
      <c r="A163" s="9" t="s">
        <v>1301</v>
      </c>
      <c r="B163" s="9" t="s">
        <v>205</v>
      </c>
      <c r="C163" s="9" t="s">
        <v>963</v>
      </c>
      <c r="D163" s="9" t="s">
        <v>1302</v>
      </c>
      <c r="E163" s="9" t="s">
        <v>965</v>
      </c>
      <c r="F163" s="9" t="s">
        <v>1302</v>
      </c>
    </row>
    <row r="164">
      <c r="A164" s="9" t="s">
        <v>1303</v>
      </c>
      <c r="B164" s="9" t="s">
        <v>109</v>
      </c>
      <c r="C164" s="9" t="s">
        <v>963</v>
      </c>
      <c r="D164" s="9" t="s">
        <v>1304</v>
      </c>
      <c r="E164" s="9" t="s">
        <v>965</v>
      </c>
      <c r="F164" s="9" t="s">
        <v>1304</v>
      </c>
    </row>
    <row r="165">
      <c r="A165" s="9" t="s">
        <v>1305</v>
      </c>
      <c r="B165" s="9" t="s">
        <v>67</v>
      </c>
      <c r="C165" s="9" t="s">
        <v>963</v>
      </c>
      <c r="D165" s="9" t="s">
        <v>1309</v>
      </c>
      <c r="E165" s="9" t="s">
        <v>965</v>
      </c>
      <c r="F165" s="9" t="s">
        <v>1309</v>
      </c>
    </row>
    <row r="166">
      <c r="A166" s="9" t="s">
        <v>1310</v>
      </c>
      <c r="B166" s="9" t="s">
        <v>286</v>
      </c>
      <c r="C166" s="9" t="s">
        <v>963</v>
      </c>
      <c r="D166" s="9" t="s">
        <v>1311</v>
      </c>
      <c r="E166" s="9" t="s">
        <v>965</v>
      </c>
      <c r="F166" s="9" t="s">
        <v>1311</v>
      </c>
    </row>
    <row r="167">
      <c r="A167" s="9" t="s">
        <v>1312</v>
      </c>
      <c r="B167" s="9" t="s">
        <v>93</v>
      </c>
      <c r="C167" s="9" t="s">
        <v>963</v>
      </c>
      <c r="D167" s="9" t="s">
        <v>1313</v>
      </c>
      <c r="E167" s="9" t="s">
        <v>965</v>
      </c>
      <c r="F167" s="9" t="s">
        <v>1313</v>
      </c>
    </row>
    <row r="168">
      <c r="A168" s="9" t="s">
        <v>1314</v>
      </c>
      <c r="B168" s="9" t="s">
        <v>269</v>
      </c>
      <c r="C168" s="9" t="s">
        <v>963</v>
      </c>
      <c r="D168" s="9" t="s">
        <v>1315</v>
      </c>
      <c r="E168" s="9" t="s">
        <v>965</v>
      </c>
      <c r="F168" s="9" t="s">
        <v>1315</v>
      </c>
    </row>
    <row r="169">
      <c r="A169" s="9" t="s">
        <v>1316</v>
      </c>
      <c r="B169" s="9" t="s">
        <v>156</v>
      </c>
      <c r="C169" s="9" t="s">
        <v>963</v>
      </c>
      <c r="D169" s="9" t="s">
        <v>1317</v>
      </c>
      <c r="E169" s="9" t="s">
        <v>965</v>
      </c>
      <c r="F169" s="9" t="s">
        <v>1317</v>
      </c>
    </row>
    <row r="170">
      <c r="A170" s="9" t="s">
        <v>1318</v>
      </c>
      <c r="B170" s="9" t="s">
        <v>17</v>
      </c>
      <c r="C170" s="9" t="s">
        <v>963</v>
      </c>
      <c r="D170" s="9" t="s">
        <v>1319</v>
      </c>
      <c r="E170" s="9" t="s">
        <v>965</v>
      </c>
      <c r="F170" s="9" t="s">
        <v>1319</v>
      </c>
    </row>
    <row r="171">
      <c r="A171" s="9" t="s">
        <v>1320</v>
      </c>
      <c r="B171" s="9" t="s">
        <v>164</v>
      </c>
      <c r="C171" s="9" t="s">
        <v>963</v>
      </c>
      <c r="D171" s="9" t="s">
        <v>1321</v>
      </c>
      <c r="E171" s="9" t="s">
        <v>965</v>
      </c>
      <c r="F171" s="9" t="s">
        <v>1321</v>
      </c>
    </row>
    <row r="172">
      <c r="A172" s="9" t="s">
        <v>1322</v>
      </c>
      <c r="B172" s="9" t="s">
        <v>343</v>
      </c>
      <c r="C172" s="9" t="s">
        <v>963</v>
      </c>
      <c r="D172" s="9" t="s">
        <v>1323</v>
      </c>
      <c r="E172" s="9" t="s">
        <v>965</v>
      </c>
      <c r="F172" s="9" t="s">
        <v>1323</v>
      </c>
    </row>
    <row r="173">
      <c r="A173" s="9" t="s">
        <v>1324</v>
      </c>
      <c r="B173" s="9" t="s">
        <v>354</v>
      </c>
      <c r="C173" s="9" t="s">
        <v>963</v>
      </c>
      <c r="D173" s="9" t="s">
        <v>1325</v>
      </c>
      <c r="E173" s="9" t="s">
        <v>965</v>
      </c>
      <c r="F173" s="9" t="s">
        <v>1325</v>
      </c>
    </row>
    <row r="174">
      <c r="A174" s="9" t="s">
        <v>1326</v>
      </c>
      <c r="B174" s="9" t="s">
        <v>157</v>
      </c>
      <c r="C174" s="9" t="s">
        <v>963</v>
      </c>
      <c r="D174" s="9" t="s">
        <v>1327</v>
      </c>
      <c r="E174" s="9" t="s">
        <v>965</v>
      </c>
      <c r="F174" s="9" t="s">
        <v>1327</v>
      </c>
    </row>
    <row r="175">
      <c r="A175" s="9" t="s">
        <v>1328</v>
      </c>
      <c r="B175" s="9" t="s">
        <v>331</v>
      </c>
      <c r="C175" s="9" t="s">
        <v>963</v>
      </c>
      <c r="D175" s="9" t="s">
        <v>1329</v>
      </c>
      <c r="E175" s="9" t="s">
        <v>965</v>
      </c>
      <c r="F175" s="9" t="s">
        <v>1329</v>
      </c>
    </row>
    <row r="176">
      <c r="A176" s="9" t="s">
        <v>1330</v>
      </c>
      <c r="B176" s="9" t="s">
        <v>346</v>
      </c>
      <c r="C176" s="9" t="s">
        <v>963</v>
      </c>
      <c r="D176" s="9" t="s">
        <v>1331</v>
      </c>
      <c r="E176" s="9" t="s">
        <v>965</v>
      </c>
      <c r="F176" s="9" t="s">
        <v>1331</v>
      </c>
    </row>
    <row r="177">
      <c r="A177" s="9" t="s">
        <v>1332</v>
      </c>
      <c r="B177" s="9" t="s">
        <v>215</v>
      </c>
      <c r="C177" s="9" t="s">
        <v>963</v>
      </c>
      <c r="D177" s="9" t="s">
        <v>1333</v>
      </c>
      <c r="E177" s="9" t="s">
        <v>965</v>
      </c>
      <c r="F177" s="9" t="s">
        <v>1333</v>
      </c>
    </row>
    <row r="178">
      <c r="A178" s="9" t="s">
        <v>1334</v>
      </c>
      <c r="B178" s="9" t="s">
        <v>636</v>
      </c>
      <c r="C178" s="9" t="s">
        <v>963</v>
      </c>
      <c r="D178" s="9" t="s">
        <v>1335</v>
      </c>
      <c r="E178" s="9" t="s">
        <v>965</v>
      </c>
      <c r="F178" s="9" t="s">
        <v>1335</v>
      </c>
    </row>
    <row r="179">
      <c r="A179" s="9" t="s">
        <v>1336</v>
      </c>
      <c r="B179" s="9" t="s">
        <v>168</v>
      </c>
      <c r="C179" s="9" t="s">
        <v>963</v>
      </c>
      <c r="D179" s="9" t="s">
        <v>1337</v>
      </c>
      <c r="E179" s="9" t="s">
        <v>965</v>
      </c>
      <c r="F179" s="9" t="s">
        <v>1337</v>
      </c>
    </row>
    <row r="180">
      <c r="A180" s="9" t="s">
        <v>1338</v>
      </c>
      <c r="B180" s="9" t="s">
        <v>287</v>
      </c>
      <c r="C180" s="9" t="s">
        <v>963</v>
      </c>
      <c r="D180" s="9" t="s">
        <v>1339</v>
      </c>
      <c r="E180" s="9" t="s">
        <v>965</v>
      </c>
      <c r="F180" s="9" t="s">
        <v>1339</v>
      </c>
    </row>
    <row r="181">
      <c r="A181" s="9" t="s">
        <v>1340</v>
      </c>
      <c r="B181" s="9" t="s">
        <v>639</v>
      </c>
      <c r="C181" s="9" t="s">
        <v>963</v>
      </c>
      <c r="D181" s="9" t="s">
        <v>1341</v>
      </c>
      <c r="E181" s="9" t="s">
        <v>965</v>
      </c>
      <c r="F181" s="9" t="s">
        <v>1341</v>
      </c>
    </row>
    <row r="182">
      <c r="A182" s="9" t="s">
        <v>1342</v>
      </c>
      <c r="B182" s="9" t="s">
        <v>218</v>
      </c>
      <c r="C182" s="9" t="s">
        <v>963</v>
      </c>
      <c r="D182" s="9" t="s">
        <v>1343</v>
      </c>
      <c r="E182" s="9" t="s">
        <v>965</v>
      </c>
      <c r="F182" s="9" t="s">
        <v>1343</v>
      </c>
    </row>
    <row r="183">
      <c r="A183" s="9" t="s">
        <v>1344</v>
      </c>
      <c r="B183" s="9" t="s">
        <v>169</v>
      </c>
      <c r="C183" s="9" t="s">
        <v>963</v>
      </c>
      <c r="D183" s="9" t="s">
        <v>1345</v>
      </c>
      <c r="E183" s="9" t="s">
        <v>965</v>
      </c>
      <c r="F183" s="9" t="s">
        <v>1345</v>
      </c>
    </row>
    <row r="184">
      <c r="A184" s="9" t="s">
        <v>1346</v>
      </c>
      <c r="B184" s="9" t="s">
        <v>282</v>
      </c>
      <c r="C184" s="9" t="s">
        <v>963</v>
      </c>
      <c r="D184" s="9" t="s">
        <v>1347</v>
      </c>
      <c r="E184" s="9" t="s">
        <v>965</v>
      </c>
      <c r="F184" s="9" t="s">
        <v>1347</v>
      </c>
    </row>
    <row r="185">
      <c r="A185" s="9" t="s">
        <v>1348</v>
      </c>
      <c r="B185" s="9" t="s">
        <v>302</v>
      </c>
      <c r="C185" s="9" t="s">
        <v>963</v>
      </c>
      <c r="D185" s="9" t="s">
        <v>1349</v>
      </c>
      <c r="E185" s="9" t="s">
        <v>965</v>
      </c>
      <c r="F185" s="9" t="s">
        <v>1349</v>
      </c>
    </row>
    <row r="186">
      <c r="A186" s="9" t="s">
        <v>1350</v>
      </c>
      <c r="B186" s="9" t="s">
        <v>368</v>
      </c>
      <c r="C186" s="9" t="s">
        <v>963</v>
      </c>
      <c r="D186" s="9" t="s">
        <v>1351</v>
      </c>
      <c r="E186" s="9" t="s">
        <v>965</v>
      </c>
      <c r="F186" s="9" t="s">
        <v>1351</v>
      </c>
    </row>
    <row r="187">
      <c r="A187" s="9" t="s">
        <v>1352</v>
      </c>
      <c r="B187" s="9" t="s">
        <v>139</v>
      </c>
      <c r="C187" s="9" t="s">
        <v>963</v>
      </c>
      <c r="D187" s="9" t="s">
        <v>1353</v>
      </c>
      <c r="E187" s="9" t="s">
        <v>965</v>
      </c>
      <c r="F187" s="9" t="s">
        <v>1353</v>
      </c>
    </row>
    <row r="188">
      <c r="A188" s="9" t="s">
        <v>1354</v>
      </c>
      <c r="B188" s="9" t="s">
        <v>409</v>
      </c>
      <c r="C188" s="9" t="s">
        <v>963</v>
      </c>
      <c r="D188" s="9" t="s">
        <v>1355</v>
      </c>
      <c r="E188" s="9" t="s">
        <v>965</v>
      </c>
      <c r="F188" s="9" t="s">
        <v>1355</v>
      </c>
    </row>
    <row r="189">
      <c r="A189" s="9" t="s">
        <v>1356</v>
      </c>
      <c r="B189" s="9" t="s">
        <v>189</v>
      </c>
      <c r="C189" s="9" t="s">
        <v>963</v>
      </c>
      <c r="D189" s="9" t="s">
        <v>1357</v>
      </c>
      <c r="E189" s="9" t="s">
        <v>965</v>
      </c>
      <c r="F189" s="9" t="s">
        <v>1357</v>
      </c>
    </row>
    <row r="190">
      <c r="A190" s="9" t="s">
        <v>1358</v>
      </c>
      <c r="B190" s="9" t="s">
        <v>308</v>
      </c>
      <c r="C190" s="9" t="s">
        <v>963</v>
      </c>
      <c r="D190" s="9" t="s">
        <v>1359</v>
      </c>
      <c r="E190" s="9" t="s">
        <v>965</v>
      </c>
      <c r="F190" s="9" t="s">
        <v>1359</v>
      </c>
    </row>
    <row r="191">
      <c r="A191" s="9" t="s">
        <v>1360</v>
      </c>
      <c r="B191" s="9" t="s">
        <v>350</v>
      </c>
      <c r="C191" s="9" t="s">
        <v>963</v>
      </c>
      <c r="D191" s="9" t="s">
        <v>1361</v>
      </c>
      <c r="E191" s="9" t="s">
        <v>965</v>
      </c>
      <c r="F191" s="9" t="s">
        <v>1361</v>
      </c>
    </row>
    <row r="192">
      <c r="A192" s="9" t="s">
        <v>1362</v>
      </c>
      <c r="B192" s="9" t="s">
        <v>296</v>
      </c>
      <c r="C192" s="9" t="s">
        <v>963</v>
      </c>
      <c r="D192" s="9" t="s">
        <v>1363</v>
      </c>
      <c r="E192" s="9" t="s">
        <v>965</v>
      </c>
      <c r="F192" s="9" t="s">
        <v>1363</v>
      </c>
    </row>
    <row r="193">
      <c r="A193" s="9" t="s">
        <v>1364</v>
      </c>
      <c r="B193" s="9" t="s">
        <v>273</v>
      </c>
      <c r="C193" s="9" t="s">
        <v>963</v>
      </c>
      <c r="D193" s="9" t="s">
        <v>1365</v>
      </c>
      <c r="E193" s="9" t="s">
        <v>965</v>
      </c>
      <c r="F193" s="9" t="s">
        <v>1365</v>
      </c>
    </row>
    <row r="194">
      <c r="A194" s="9" t="s">
        <v>1366</v>
      </c>
      <c r="B194" s="9" t="s">
        <v>264</v>
      </c>
      <c r="C194" s="9" t="s">
        <v>963</v>
      </c>
      <c r="D194" s="9" t="s">
        <v>1367</v>
      </c>
      <c r="E194" s="9" t="s">
        <v>965</v>
      </c>
      <c r="F194" s="9" t="s">
        <v>1367</v>
      </c>
    </row>
    <row r="195">
      <c r="A195" s="9" t="s">
        <v>1368</v>
      </c>
      <c r="B195" s="9" t="s">
        <v>261</v>
      </c>
      <c r="C195" s="9" t="s">
        <v>963</v>
      </c>
      <c r="D195" s="9" t="s">
        <v>1369</v>
      </c>
      <c r="E195" s="9" t="s">
        <v>965</v>
      </c>
      <c r="F195" s="9" t="s">
        <v>1369</v>
      </c>
    </row>
    <row r="196">
      <c r="A196" s="9" t="s">
        <v>1370</v>
      </c>
      <c r="B196" s="9" t="s">
        <v>229</v>
      </c>
      <c r="C196" s="9" t="s">
        <v>963</v>
      </c>
      <c r="D196" s="9" t="s">
        <v>1374</v>
      </c>
      <c r="E196" s="9" t="s">
        <v>965</v>
      </c>
      <c r="F196" s="9" t="s">
        <v>1374</v>
      </c>
    </row>
    <row r="197">
      <c r="A197" s="9" t="s">
        <v>1375</v>
      </c>
      <c r="B197" s="9" t="s">
        <v>84</v>
      </c>
      <c r="C197" s="9" t="s">
        <v>963</v>
      </c>
      <c r="D197" s="9" t="s">
        <v>1376</v>
      </c>
      <c r="E197" s="9" t="s">
        <v>965</v>
      </c>
      <c r="F197" s="9" t="s">
        <v>1376</v>
      </c>
    </row>
    <row r="198">
      <c r="A198" s="9" t="s">
        <v>1377</v>
      </c>
      <c r="B198" s="9" t="s">
        <v>100</v>
      </c>
      <c r="C198" s="9" t="s">
        <v>963</v>
      </c>
      <c r="D198" s="9" t="s">
        <v>1378</v>
      </c>
      <c r="E198" s="9" t="s">
        <v>965</v>
      </c>
      <c r="F198" s="9" t="s">
        <v>1378</v>
      </c>
    </row>
    <row r="199">
      <c r="A199" s="9" t="s">
        <v>1379</v>
      </c>
      <c r="B199" s="9" t="s">
        <v>186</v>
      </c>
      <c r="C199" s="9" t="s">
        <v>963</v>
      </c>
      <c r="D199" s="9" t="s">
        <v>1380</v>
      </c>
      <c r="E199" s="9" t="s">
        <v>965</v>
      </c>
      <c r="F199" s="9" t="s">
        <v>1380</v>
      </c>
    </row>
    <row r="200">
      <c r="A200" s="9" t="s">
        <v>1381</v>
      </c>
      <c r="B200" s="9" t="s">
        <v>393</v>
      </c>
      <c r="C200" s="9" t="s">
        <v>963</v>
      </c>
      <c r="D200" s="9" t="s">
        <v>1382</v>
      </c>
      <c r="E200" s="9" t="s">
        <v>965</v>
      </c>
      <c r="F200" s="9" t="s">
        <v>1382</v>
      </c>
    </row>
    <row r="201">
      <c r="A201" s="9" t="s">
        <v>1383</v>
      </c>
      <c r="B201" s="9" t="s">
        <v>208</v>
      </c>
      <c r="C201" s="9" t="s">
        <v>963</v>
      </c>
      <c r="D201" s="9" t="s">
        <v>1384</v>
      </c>
      <c r="E201" s="9" t="s">
        <v>965</v>
      </c>
      <c r="F201" s="9" t="s">
        <v>1384</v>
      </c>
    </row>
    <row r="202">
      <c r="A202" s="9" t="s">
        <v>1385</v>
      </c>
      <c r="B202" s="9" t="s">
        <v>161</v>
      </c>
      <c r="C202" s="9" t="s">
        <v>963</v>
      </c>
      <c r="D202" s="9" t="s">
        <v>1386</v>
      </c>
      <c r="E202" s="9" t="s">
        <v>965</v>
      </c>
      <c r="F202" s="9" t="s">
        <v>1386</v>
      </c>
    </row>
    <row r="203">
      <c r="A203" s="9" t="s">
        <v>1387</v>
      </c>
      <c r="B203" s="9" t="s">
        <v>250</v>
      </c>
      <c r="C203" s="9" t="s">
        <v>963</v>
      </c>
      <c r="D203" s="9" t="s">
        <v>1388</v>
      </c>
      <c r="E203" s="9" t="s">
        <v>965</v>
      </c>
      <c r="F203" s="9" t="s">
        <v>1388</v>
      </c>
    </row>
    <row r="204">
      <c r="A204" s="9" t="s">
        <v>1389</v>
      </c>
      <c r="B204" s="9" t="s">
        <v>95</v>
      </c>
      <c r="C204" s="9" t="s">
        <v>963</v>
      </c>
      <c r="D204" s="9" t="s">
        <v>1390</v>
      </c>
      <c r="E204" s="9" t="s">
        <v>965</v>
      </c>
      <c r="F204" s="9" t="s">
        <v>1390</v>
      </c>
    </row>
    <row r="205">
      <c r="A205" s="9" t="s">
        <v>1391</v>
      </c>
      <c r="B205" s="9" t="s">
        <v>150</v>
      </c>
      <c r="C205" s="9" t="s">
        <v>963</v>
      </c>
      <c r="D205" s="9" t="s">
        <v>1392</v>
      </c>
      <c r="E205" s="9" t="s">
        <v>965</v>
      </c>
      <c r="F205" s="9" t="s">
        <v>1392</v>
      </c>
    </row>
    <row r="206">
      <c r="A206" s="9" t="s">
        <v>1393</v>
      </c>
      <c r="B206" s="9" t="s">
        <v>404</v>
      </c>
      <c r="C206" s="9" t="s">
        <v>963</v>
      </c>
      <c r="D206" s="9" t="s">
        <v>1394</v>
      </c>
      <c r="E206" s="9" t="s">
        <v>965</v>
      </c>
      <c r="F206" s="9" t="s">
        <v>1394</v>
      </c>
    </row>
    <row r="207">
      <c r="A207" s="9" t="s">
        <v>1395</v>
      </c>
      <c r="B207" s="9" t="s">
        <v>333</v>
      </c>
      <c r="C207" s="9" t="s">
        <v>963</v>
      </c>
      <c r="D207" s="9" t="s">
        <v>1396</v>
      </c>
      <c r="E207" s="9" t="s">
        <v>965</v>
      </c>
      <c r="F207" s="9" t="s">
        <v>1396</v>
      </c>
    </row>
    <row r="208">
      <c r="A208" s="9" t="s">
        <v>1397</v>
      </c>
      <c r="B208" s="9" t="s">
        <v>243</v>
      </c>
      <c r="C208" s="9" t="s">
        <v>963</v>
      </c>
      <c r="D208" s="9" t="s">
        <v>1398</v>
      </c>
      <c r="E208" s="9" t="s">
        <v>965</v>
      </c>
      <c r="F208" s="9" t="s">
        <v>1398</v>
      </c>
    </row>
    <row r="209">
      <c r="A209" s="9" t="s">
        <v>1399</v>
      </c>
      <c r="B209" s="9" t="s">
        <v>267</v>
      </c>
      <c r="C209" s="9" t="s">
        <v>963</v>
      </c>
      <c r="D209" s="9" t="s">
        <v>1400</v>
      </c>
      <c r="E209" s="9" t="s">
        <v>965</v>
      </c>
      <c r="F209" s="9" t="s">
        <v>1400</v>
      </c>
    </row>
    <row r="210">
      <c r="A210" s="9" t="s">
        <v>1401</v>
      </c>
      <c r="B210" s="9" t="s">
        <v>385</v>
      </c>
      <c r="C210" s="9" t="s">
        <v>963</v>
      </c>
      <c r="D210" s="9" t="s">
        <v>1402</v>
      </c>
      <c r="E210" s="9" t="s">
        <v>965</v>
      </c>
      <c r="F210" s="9" t="s">
        <v>1402</v>
      </c>
    </row>
    <row r="211">
      <c r="A211" s="9" t="s">
        <v>1403</v>
      </c>
      <c r="B211" s="9" t="s">
        <v>192</v>
      </c>
      <c r="C211" s="9" t="s">
        <v>963</v>
      </c>
      <c r="D211" s="9" t="s">
        <v>1404</v>
      </c>
      <c r="E211" s="9" t="s">
        <v>965</v>
      </c>
      <c r="F211" s="9" t="s">
        <v>1404</v>
      </c>
    </row>
    <row r="212">
      <c r="A212" s="9" t="s">
        <v>1405</v>
      </c>
      <c r="B212" s="9" t="s">
        <v>299</v>
      </c>
      <c r="C212" s="9" t="s">
        <v>963</v>
      </c>
      <c r="D212" s="9" t="s">
        <v>1406</v>
      </c>
      <c r="E212" s="9" t="s">
        <v>965</v>
      </c>
      <c r="F212" s="9" t="s">
        <v>1406</v>
      </c>
    </row>
    <row r="213">
      <c r="A213" s="9" t="s">
        <v>1407</v>
      </c>
      <c r="B213" s="9" t="s">
        <v>179</v>
      </c>
      <c r="C213" s="9" t="s">
        <v>963</v>
      </c>
      <c r="D213" s="9" t="s">
        <v>1408</v>
      </c>
      <c r="E213" s="9" t="s">
        <v>965</v>
      </c>
      <c r="F213" s="9" t="s">
        <v>1408</v>
      </c>
    </row>
    <row r="214">
      <c r="A214" s="9" t="s">
        <v>1409</v>
      </c>
      <c r="B214" s="9" t="s">
        <v>320</v>
      </c>
      <c r="C214" s="9" t="s">
        <v>963</v>
      </c>
      <c r="D214" s="9" t="s">
        <v>1410</v>
      </c>
      <c r="E214" s="9" t="s">
        <v>965</v>
      </c>
      <c r="F214" s="9" t="s">
        <v>1410</v>
      </c>
    </row>
    <row r="215">
      <c r="A215" s="9" t="s">
        <v>1411</v>
      </c>
      <c r="B215" s="9" t="s">
        <v>281</v>
      </c>
      <c r="C215" s="9" t="s">
        <v>963</v>
      </c>
      <c r="D215" s="9" t="s">
        <v>1412</v>
      </c>
      <c r="E215" s="9" t="s">
        <v>965</v>
      </c>
      <c r="F215" s="9" t="s">
        <v>1412</v>
      </c>
    </row>
    <row r="216">
      <c r="A216" s="9" t="s">
        <v>1413</v>
      </c>
      <c r="B216" s="9" t="s">
        <v>134</v>
      </c>
      <c r="C216" s="9" t="s">
        <v>963</v>
      </c>
      <c r="D216" s="9" t="s">
        <v>1414</v>
      </c>
      <c r="E216" s="9" t="s">
        <v>965</v>
      </c>
      <c r="F216" s="9" t="s">
        <v>1414</v>
      </c>
    </row>
    <row r="217">
      <c r="A217" s="9" t="s">
        <v>1415</v>
      </c>
      <c r="B217" s="9" t="s">
        <v>277</v>
      </c>
      <c r="C217" s="9" t="s">
        <v>963</v>
      </c>
      <c r="D217" s="9" t="s">
        <v>1416</v>
      </c>
      <c r="E217" s="9" t="s">
        <v>965</v>
      </c>
      <c r="F217" s="9" t="s">
        <v>1416</v>
      </c>
    </row>
    <row r="218">
      <c r="A218" s="9" t="s">
        <v>1417</v>
      </c>
      <c r="B218" s="9" t="s">
        <v>342</v>
      </c>
      <c r="C218" s="9" t="s">
        <v>963</v>
      </c>
      <c r="D218" s="9" t="s">
        <v>1418</v>
      </c>
      <c r="E218" s="9" t="s">
        <v>965</v>
      </c>
      <c r="F218" s="9" t="s">
        <v>1418</v>
      </c>
    </row>
    <row r="219">
      <c r="A219" s="9" t="s">
        <v>1419</v>
      </c>
      <c r="B219" s="9" t="s">
        <v>242</v>
      </c>
      <c r="C219" s="9" t="s">
        <v>963</v>
      </c>
      <c r="D219" s="9" t="s">
        <v>1420</v>
      </c>
      <c r="E219" s="9" t="s">
        <v>965</v>
      </c>
      <c r="F219" s="9" t="s">
        <v>1420</v>
      </c>
    </row>
    <row r="220">
      <c r="A220" s="9" t="s">
        <v>1421</v>
      </c>
      <c r="B220" s="9" t="s">
        <v>258</v>
      </c>
      <c r="C220" s="9" t="s">
        <v>963</v>
      </c>
      <c r="D220" s="9" t="s">
        <v>1422</v>
      </c>
      <c r="E220" s="9" t="s">
        <v>965</v>
      </c>
      <c r="F220" s="9" t="s">
        <v>1422</v>
      </c>
    </row>
    <row r="221">
      <c r="A221" s="9" t="s">
        <v>1423</v>
      </c>
      <c r="B221" s="9" t="s">
        <v>92</v>
      </c>
      <c r="C221" s="9" t="s">
        <v>963</v>
      </c>
      <c r="D221" s="9" t="s">
        <v>1424</v>
      </c>
      <c r="E221" s="9" t="s">
        <v>965</v>
      </c>
      <c r="F221" s="9" t="s">
        <v>1424</v>
      </c>
    </row>
    <row r="222">
      <c r="A222" s="9" t="s">
        <v>1425</v>
      </c>
      <c r="B222" s="9" t="s">
        <v>631</v>
      </c>
      <c r="C222" s="9" t="s">
        <v>963</v>
      </c>
      <c r="D222" s="9" t="s">
        <v>1426</v>
      </c>
      <c r="E222" s="9" t="s">
        <v>965</v>
      </c>
      <c r="F222" s="9" t="s">
        <v>1426</v>
      </c>
    </row>
    <row r="223">
      <c r="A223" s="9" t="s">
        <v>1427</v>
      </c>
      <c r="B223" s="9" t="s">
        <v>245</v>
      </c>
      <c r="C223" s="9" t="s">
        <v>963</v>
      </c>
      <c r="D223" s="9" t="s">
        <v>1428</v>
      </c>
      <c r="E223" s="9" t="s">
        <v>965</v>
      </c>
      <c r="F223" s="9" t="s">
        <v>1428</v>
      </c>
    </row>
    <row r="224">
      <c r="A224" s="9" t="s">
        <v>1429</v>
      </c>
      <c r="B224" s="9" t="s">
        <v>228</v>
      </c>
      <c r="C224" s="9" t="s">
        <v>963</v>
      </c>
      <c r="D224" s="9" t="s">
        <v>1430</v>
      </c>
      <c r="E224" s="9" t="s">
        <v>965</v>
      </c>
      <c r="F224" s="9" t="s">
        <v>1430</v>
      </c>
    </row>
    <row r="225">
      <c r="A225" s="9" t="s">
        <v>1431</v>
      </c>
      <c r="B225" s="9" t="s">
        <v>390</v>
      </c>
      <c r="C225" s="9" t="s">
        <v>963</v>
      </c>
      <c r="D225" s="9" t="s">
        <v>1432</v>
      </c>
      <c r="E225" s="9" t="s">
        <v>965</v>
      </c>
      <c r="F225" s="9" t="s">
        <v>1432</v>
      </c>
    </row>
    <row r="226">
      <c r="A226" s="9" t="s">
        <v>1433</v>
      </c>
      <c r="B226" s="9" t="s">
        <v>227</v>
      </c>
      <c r="C226" s="9" t="s">
        <v>963</v>
      </c>
      <c r="D226" s="9" t="s">
        <v>1434</v>
      </c>
      <c r="E226" s="9" t="s">
        <v>965</v>
      </c>
      <c r="F226" s="9" t="s">
        <v>1434</v>
      </c>
    </row>
    <row r="227">
      <c r="A227" s="9" t="s">
        <v>1435</v>
      </c>
      <c r="B227" s="9" t="s">
        <v>246</v>
      </c>
      <c r="C227" s="9" t="s">
        <v>963</v>
      </c>
      <c r="D227" s="9" t="s">
        <v>1436</v>
      </c>
      <c r="E227" s="9" t="s">
        <v>965</v>
      </c>
      <c r="F227" s="9" t="s">
        <v>1436</v>
      </c>
    </row>
    <row r="228">
      <c r="A228" s="9" t="s">
        <v>1437</v>
      </c>
      <c r="B228" s="9" t="s">
        <v>362</v>
      </c>
      <c r="C228" s="9" t="s">
        <v>963</v>
      </c>
      <c r="D228" s="9" t="s">
        <v>1438</v>
      </c>
      <c r="E228" s="9" t="s">
        <v>965</v>
      </c>
      <c r="F228" s="9" t="s">
        <v>1438</v>
      </c>
    </row>
    <row r="229">
      <c r="A229" s="9" t="s">
        <v>1439</v>
      </c>
      <c r="B229" s="9" t="s">
        <v>173</v>
      </c>
      <c r="C229" s="9" t="s">
        <v>963</v>
      </c>
      <c r="D229" s="9" t="s">
        <v>1441</v>
      </c>
      <c r="E229" s="9" t="s">
        <v>965</v>
      </c>
      <c r="F229" s="9" t="s">
        <v>1441</v>
      </c>
    </row>
    <row r="230">
      <c r="A230" s="9" t="s">
        <v>1444</v>
      </c>
      <c r="B230" s="9" t="s">
        <v>340</v>
      </c>
      <c r="C230" s="9" t="s">
        <v>963</v>
      </c>
      <c r="D230" s="9" t="s">
        <v>1445</v>
      </c>
      <c r="E230" s="9" t="s">
        <v>965</v>
      </c>
      <c r="F230" s="9" t="s">
        <v>1445</v>
      </c>
    </row>
    <row r="231">
      <c r="A231" s="9" t="s">
        <v>1446</v>
      </c>
      <c r="B231" s="9" t="s">
        <v>257</v>
      </c>
      <c r="C231" s="9" t="s">
        <v>963</v>
      </c>
      <c r="D231" s="9" t="s">
        <v>1447</v>
      </c>
      <c r="E231" s="9" t="s">
        <v>965</v>
      </c>
      <c r="F231" s="9" t="s">
        <v>1447</v>
      </c>
    </row>
    <row r="232">
      <c r="A232" s="9" t="s">
        <v>1448</v>
      </c>
      <c r="B232" s="9" t="s">
        <v>174</v>
      </c>
      <c r="C232" s="9" t="s">
        <v>963</v>
      </c>
      <c r="D232" s="9" t="s">
        <v>1449</v>
      </c>
      <c r="E232" s="9" t="s">
        <v>965</v>
      </c>
      <c r="F232" s="9" t="s">
        <v>1449</v>
      </c>
    </row>
    <row r="233">
      <c r="A233" s="9" t="s">
        <v>1450</v>
      </c>
      <c r="B233" s="9" t="s">
        <v>260</v>
      </c>
      <c r="C233" s="9" t="s">
        <v>963</v>
      </c>
      <c r="D233" s="9" t="s">
        <v>1451</v>
      </c>
      <c r="E233" s="9" t="s">
        <v>965</v>
      </c>
      <c r="F233" s="9" t="s">
        <v>1451</v>
      </c>
    </row>
    <row r="234">
      <c r="A234" s="9" t="s">
        <v>1452</v>
      </c>
      <c r="B234" s="9" t="s">
        <v>345</v>
      </c>
      <c r="C234" s="9" t="s">
        <v>963</v>
      </c>
      <c r="D234" s="9" t="s">
        <v>1453</v>
      </c>
      <c r="E234" s="9" t="s">
        <v>965</v>
      </c>
      <c r="F234" s="9" t="s">
        <v>1453</v>
      </c>
    </row>
    <row r="235">
      <c r="A235" s="9" t="s">
        <v>1454</v>
      </c>
      <c r="B235" s="9" t="s">
        <v>297</v>
      </c>
      <c r="C235" s="9" t="s">
        <v>963</v>
      </c>
      <c r="D235" s="9" t="s">
        <v>1455</v>
      </c>
      <c r="E235" s="9" t="s">
        <v>965</v>
      </c>
      <c r="F235" s="9" t="s">
        <v>1455</v>
      </c>
    </row>
    <row r="236">
      <c r="A236" s="9" t="s">
        <v>1456</v>
      </c>
      <c r="B236" s="9" t="s">
        <v>402</v>
      </c>
      <c r="C236" s="9" t="s">
        <v>963</v>
      </c>
      <c r="D236" s="9" t="s">
        <v>1457</v>
      </c>
      <c r="E236" s="9" t="s">
        <v>965</v>
      </c>
      <c r="F236" s="9" t="s">
        <v>1457</v>
      </c>
    </row>
    <row r="237">
      <c r="A237" s="9" t="s">
        <v>1458</v>
      </c>
      <c r="B237" s="9" t="s">
        <v>271</v>
      </c>
      <c r="C237" s="9" t="s">
        <v>963</v>
      </c>
      <c r="D237" s="9" t="s">
        <v>1459</v>
      </c>
      <c r="E237" s="9" t="s">
        <v>965</v>
      </c>
      <c r="F237" s="9" t="s">
        <v>1459</v>
      </c>
    </row>
    <row r="238">
      <c r="A238" s="9" t="s">
        <v>1460</v>
      </c>
      <c r="B238" s="9" t="s">
        <v>315</v>
      </c>
      <c r="C238" s="9" t="s">
        <v>963</v>
      </c>
      <c r="D238" s="9" t="s">
        <v>1461</v>
      </c>
      <c r="E238" s="9" t="s">
        <v>965</v>
      </c>
      <c r="F238" s="9" t="s">
        <v>1461</v>
      </c>
    </row>
    <row r="239">
      <c r="A239" s="9" t="s">
        <v>1462</v>
      </c>
      <c r="B239" s="9" t="s">
        <v>181</v>
      </c>
      <c r="C239" s="9" t="s">
        <v>963</v>
      </c>
      <c r="D239" s="9" t="s">
        <v>1463</v>
      </c>
      <c r="E239" s="9" t="s">
        <v>965</v>
      </c>
      <c r="F239" s="9" t="s">
        <v>1463</v>
      </c>
    </row>
    <row r="240">
      <c r="A240" s="9" t="s">
        <v>1464</v>
      </c>
      <c r="B240" s="9" t="s">
        <v>81</v>
      </c>
      <c r="C240" s="9" t="s">
        <v>963</v>
      </c>
      <c r="D240" s="9" t="s">
        <v>1465</v>
      </c>
      <c r="E240" s="9" t="s">
        <v>965</v>
      </c>
      <c r="F240" s="9" t="s">
        <v>1465</v>
      </c>
    </row>
    <row r="241">
      <c r="A241" s="9" t="s">
        <v>1466</v>
      </c>
      <c r="B241" s="9" t="s">
        <v>18</v>
      </c>
      <c r="C241" s="9" t="s">
        <v>1467</v>
      </c>
      <c r="D241" s="9" t="s">
        <v>1468</v>
      </c>
      <c r="E241" s="9" t="s">
        <v>1469</v>
      </c>
      <c r="F241" s="9" t="s">
        <v>1470</v>
      </c>
    </row>
    <row r="242">
      <c r="A242" s="9" t="s">
        <v>1471</v>
      </c>
      <c r="B242" s="9" t="s">
        <v>55</v>
      </c>
      <c r="C242" s="9" t="s">
        <v>1467</v>
      </c>
      <c r="D242" s="9" t="s">
        <v>1472</v>
      </c>
      <c r="E242" s="9" t="s">
        <v>1469</v>
      </c>
      <c r="F242" s="9" t="s">
        <v>1473</v>
      </c>
    </row>
    <row r="243">
      <c r="A243" s="9" t="s">
        <v>1474</v>
      </c>
      <c r="B243" s="9" t="s">
        <v>60</v>
      </c>
      <c r="C243" s="9" t="s">
        <v>1467</v>
      </c>
      <c r="D243" s="9" t="s">
        <v>1475</v>
      </c>
      <c r="E243" s="9" t="s">
        <v>1469</v>
      </c>
      <c r="F243" s="9" t="s">
        <v>1476</v>
      </c>
    </row>
    <row r="244">
      <c r="A244" s="9" t="s">
        <v>1477</v>
      </c>
      <c r="B244" s="9" t="s">
        <v>62</v>
      </c>
      <c r="C244" s="9" t="s">
        <v>1467</v>
      </c>
      <c r="D244" s="9" t="s">
        <v>1478</v>
      </c>
      <c r="E244" s="9" t="s">
        <v>1469</v>
      </c>
      <c r="F244" s="9" t="s">
        <v>1479</v>
      </c>
    </row>
    <row r="245">
      <c r="A245" s="9" t="s">
        <v>1480</v>
      </c>
      <c r="B245" s="9" t="s">
        <v>67</v>
      </c>
      <c r="C245" s="9" t="s">
        <v>1467</v>
      </c>
      <c r="D245" s="9" t="s">
        <v>1481</v>
      </c>
      <c r="E245" s="9" t="s">
        <v>1469</v>
      </c>
      <c r="F245" s="9" t="s">
        <v>1482</v>
      </c>
    </row>
    <row r="246">
      <c r="A246" s="9" t="s">
        <v>1483</v>
      </c>
      <c r="B246" s="9" t="s">
        <v>72</v>
      </c>
      <c r="C246" s="9" t="s">
        <v>1467</v>
      </c>
      <c r="D246" s="9" t="s">
        <v>1484</v>
      </c>
      <c r="E246" s="9" t="s">
        <v>1469</v>
      </c>
      <c r="F246" s="9" t="s">
        <v>1485</v>
      </c>
    </row>
    <row r="247">
      <c r="A247" s="9" t="s">
        <v>1486</v>
      </c>
      <c r="B247" s="9" t="s">
        <v>75</v>
      </c>
      <c r="C247" s="9" t="s">
        <v>1467</v>
      </c>
      <c r="D247" s="9" t="s">
        <v>1487</v>
      </c>
      <c r="E247" s="9" t="s">
        <v>1469</v>
      </c>
      <c r="F247" s="9" t="s">
        <v>1488</v>
      </c>
    </row>
    <row r="248">
      <c r="A248" s="9" t="s">
        <v>1489</v>
      </c>
      <c r="B248" s="9" t="s">
        <v>77</v>
      </c>
      <c r="C248" s="9" t="s">
        <v>1467</v>
      </c>
      <c r="D248" s="9" t="s">
        <v>1490</v>
      </c>
      <c r="E248" s="9" t="s">
        <v>1469</v>
      </c>
      <c r="F248" s="9" t="s">
        <v>1491</v>
      </c>
    </row>
    <row r="249">
      <c r="A249" s="9" t="s">
        <v>1492</v>
      </c>
      <c r="B249" s="9" t="s">
        <v>81</v>
      </c>
      <c r="C249" s="9" t="s">
        <v>1467</v>
      </c>
      <c r="D249" s="9" t="s">
        <v>1493</v>
      </c>
      <c r="E249" s="9" t="s">
        <v>1469</v>
      </c>
      <c r="F249" s="9" t="s">
        <v>1494</v>
      </c>
    </row>
    <row r="250">
      <c r="A250" s="9" t="s">
        <v>1495</v>
      </c>
      <c r="B250" s="9" t="s">
        <v>83</v>
      </c>
      <c r="C250" s="9" t="s">
        <v>1467</v>
      </c>
      <c r="D250" s="9" t="s">
        <v>1496</v>
      </c>
      <c r="E250" s="9" t="s">
        <v>1469</v>
      </c>
      <c r="F250" s="9" t="s">
        <v>1497</v>
      </c>
    </row>
    <row r="251">
      <c r="A251" s="9" t="s">
        <v>1498</v>
      </c>
      <c r="B251" s="9" t="s">
        <v>85</v>
      </c>
      <c r="C251" s="9" t="s">
        <v>1467</v>
      </c>
      <c r="D251" s="9" t="s">
        <v>1499</v>
      </c>
      <c r="E251" s="9" t="s">
        <v>1469</v>
      </c>
      <c r="F251" s="9" t="s">
        <v>1500</v>
      </c>
    </row>
    <row r="252">
      <c r="A252" s="9" t="s">
        <v>1501</v>
      </c>
      <c r="B252" s="9" t="s">
        <v>17</v>
      </c>
      <c r="C252" s="9" t="s">
        <v>1467</v>
      </c>
      <c r="D252" s="9" t="s">
        <v>1502</v>
      </c>
      <c r="E252" s="9" t="s">
        <v>1469</v>
      </c>
      <c r="F252" s="9" t="s">
        <v>1503</v>
      </c>
    </row>
    <row r="253">
      <c r="A253" s="9" t="s">
        <v>1504</v>
      </c>
      <c r="B253" s="9" t="s">
        <v>74</v>
      </c>
      <c r="C253" s="9" t="s">
        <v>1467</v>
      </c>
      <c r="D253" s="9" t="s">
        <v>1505</v>
      </c>
      <c r="E253" s="9" t="s">
        <v>1469</v>
      </c>
      <c r="F253" s="9" t="s">
        <v>1506</v>
      </c>
    </row>
    <row r="254">
      <c r="A254" s="9" t="s">
        <v>1507</v>
      </c>
      <c r="B254" s="9" t="s">
        <v>72</v>
      </c>
      <c r="C254" s="9" t="s">
        <v>1467</v>
      </c>
      <c r="D254" s="9" t="s">
        <v>1508</v>
      </c>
      <c r="E254" s="9" t="s">
        <v>1469</v>
      </c>
      <c r="F254" s="9" t="s">
        <v>1509</v>
      </c>
    </row>
    <row r="255">
      <c r="A255" s="9" t="s">
        <v>1510</v>
      </c>
      <c r="B255" s="9" t="s">
        <v>71</v>
      </c>
      <c r="C255" s="9" t="s">
        <v>1467</v>
      </c>
      <c r="D255" s="9" t="s">
        <v>1511</v>
      </c>
      <c r="E255" s="9" t="s">
        <v>1469</v>
      </c>
      <c r="F255" s="9" t="s">
        <v>1512</v>
      </c>
    </row>
    <row r="256">
      <c r="A256" s="9" t="s">
        <v>1513</v>
      </c>
      <c r="B256" s="9" t="s">
        <v>81</v>
      </c>
      <c r="C256" s="9" t="s">
        <v>1467</v>
      </c>
      <c r="D256" s="9" t="s">
        <v>1514</v>
      </c>
      <c r="E256" s="9" t="s">
        <v>1469</v>
      </c>
      <c r="F256" s="9" t="s">
        <v>1515</v>
      </c>
    </row>
    <row r="257">
      <c r="A257" s="9" t="s">
        <v>1516</v>
      </c>
      <c r="B257" s="9" t="s">
        <v>93</v>
      </c>
      <c r="C257" s="9" t="s">
        <v>1467</v>
      </c>
      <c r="D257" s="9" t="s">
        <v>1517</v>
      </c>
      <c r="E257" s="9" t="s">
        <v>1469</v>
      </c>
      <c r="F257" s="9" t="s">
        <v>1518</v>
      </c>
    </row>
    <row r="258">
      <c r="A258" s="9" t="s">
        <v>1519</v>
      </c>
      <c r="B258" s="9" t="s">
        <v>84</v>
      </c>
      <c r="C258" s="9" t="s">
        <v>1467</v>
      </c>
      <c r="D258" s="9" t="s">
        <v>1520</v>
      </c>
      <c r="E258" s="9" t="s">
        <v>1469</v>
      </c>
      <c r="F258" s="9" t="s">
        <v>1521</v>
      </c>
    </row>
    <row r="259">
      <c r="A259" s="9" t="s">
        <v>1522</v>
      </c>
      <c r="B259" s="9" t="s">
        <v>94</v>
      </c>
      <c r="C259" s="9" t="s">
        <v>1467</v>
      </c>
      <c r="D259" s="9" t="s">
        <v>1523</v>
      </c>
      <c r="E259" s="9" t="s">
        <v>1469</v>
      </c>
      <c r="F259" s="9" t="s">
        <v>1524</v>
      </c>
    </row>
    <row r="260">
      <c r="A260" s="9" t="s">
        <v>1525</v>
      </c>
      <c r="B260" s="9" t="s">
        <v>89</v>
      </c>
      <c r="C260" s="9" t="s">
        <v>1467</v>
      </c>
      <c r="D260" s="9" t="s">
        <v>1526</v>
      </c>
      <c r="E260" s="9" t="s">
        <v>1469</v>
      </c>
      <c r="F260" s="9" t="s">
        <v>1527</v>
      </c>
    </row>
    <row r="261">
      <c r="A261" s="9" t="s">
        <v>1528</v>
      </c>
      <c r="B261" s="9" t="s">
        <v>61</v>
      </c>
      <c r="C261" s="9" t="s">
        <v>1467</v>
      </c>
      <c r="D261" s="9" t="s">
        <v>1529</v>
      </c>
      <c r="E261" s="9" t="s">
        <v>1469</v>
      </c>
      <c r="F261" s="9" t="s">
        <v>1530</v>
      </c>
    </row>
    <row r="262">
      <c r="A262" s="9" t="s">
        <v>1531</v>
      </c>
      <c r="B262" s="9" t="s">
        <v>66</v>
      </c>
      <c r="C262" s="9" t="s">
        <v>1467</v>
      </c>
      <c r="D262" s="9" t="s">
        <v>1532</v>
      </c>
      <c r="E262" s="9" t="s">
        <v>1469</v>
      </c>
      <c r="F262" s="9" t="s">
        <v>1533</v>
      </c>
    </row>
    <row r="263">
      <c r="A263" s="9" t="s">
        <v>1534</v>
      </c>
      <c r="B263" s="9" t="s">
        <v>62</v>
      </c>
      <c r="C263" s="9" t="s">
        <v>1467</v>
      </c>
      <c r="D263" s="9" t="s">
        <v>1535</v>
      </c>
      <c r="E263" s="9" t="s">
        <v>1469</v>
      </c>
      <c r="F263" s="9" t="s">
        <v>1536</v>
      </c>
    </row>
    <row r="264">
      <c r="A264" s="9" t="s">
        <v>1538</v>
      </c>
      <c r="B264" s="9" t="s">
        <v>63</v>
      </c>
      <c r="C264" s="9" t="s">
        <v>1467</v>
      </c>
      <c r="D264" s="9" t="s">
        <v>1541</v>
      </c>
      <c r="E264" s="9" t="s">
        <v>1469</v>
      </c>
      <c r="F264" s="9" t="s">
        <v>1542</v>
      </c>
    </row>
    <row r="265">
      <c r="A265" s="9" t="s">
        <v>1543</v>
      </c>
      <c r="B265" s="9" t="s">
        <v>101</v>
      </c>
      <c r="C265" s="9" t="s">
        <v>1467</v>
      </c>
      <c r="D265" s="9" t="s">
        <v>1544</v>
      </c>
      <c r="E265" s="9" t="s">
        <v>1469</v>
      </c>
      <c r="F265" s="9" t="s">
        <v>1545</v>
      </c>
    </row>
    <row r="266">
      <c r="A266" s="9" t="s">
        <v>1546</v>
      </c>
      <c r="B266" s="9" t="s">
        <v>104</v>
      </c>
      <c r="C266" s="9" t="s">
        <v>1467</v>
      </c>
      <c r="D266" s="9" t="s">
        <v>1547</v>
      </c>
      <c r="E266" s="9" t="s">
        <v>1469</v>
      </c>
      <c r="F266" s="9" t="s">
        <v>1548</v>
      </c>
    </row>
    <row r="267">
      <c r="A267" s="9" t="s">
        <v>1549</v>
      </c>
      <c r="B267" s="9" t="s">
        <v>96</v>
      </c>
      <c r="C267" s="9" t="s">
        <v>1467</v>
      </c>
      <c r="D267" s="9" t="s">
        <v>1550</v>
      </c>
      <c r="E267" s="9" t="s">
        <v>1469</v>
      </c>
      <c r="F267" s="9" t="s">
        <v>1551</v>
      </c>
    </row>
    <row r="268">
      <c r="A268" s="9" t="s">
        <v>1552</v>
      </c>
      <c r="B268" s="9" t="s">
        <v>59</v>
      </c>
      <c r="C268" s="9" t="s">
        <v>1467</v>
      </c>
      <c r="D268" s="9" t="s">
        <v>1553</v>
      </c>
      <c r="E268" s="9" t="s">
        <v>1469</v>
      </c>
      <c r="F268" s="9" t="s">
        <v>1554</v>
      </c>
    </row>
    <row r="269">
      <c r="A269" s="9" t="s">
        <v>1555</v>
      </c>
      <c r="B269" s="9" t="s">
        <v>107</v>
      </c>
      <c r="C269" s="9" t="s">
        <v>1467</v>
      </c>
      <c r="D269" s="9" t="s">
        <v>1556</v>
      </c>
      <c r="E269" s="9" t="s">
        <v>1469</v>
      </c>
      <c r="F269" s="9" t="s">
        <v>1557</v>
      </c>
    </row>
    <row r="270">
      <c r="A270" s="9" t="s">
        <v>1558</v>
      </c>
      <c r="B270" s="9" t="s">
        <v>64</v>
      </c>
      <c r="C270" s="9" t="s">
        <v>1467</v>
      </c>
      <c r="D270" s="9" t="s">
        <v>1559</v>
      </c>
      <c r="E270" s="9" t="s">
        <v>1469</v>
      </c>
      <c r="F270" s="9" t="s">
        <v>1560</v>
      </c>
    </row>
    <row r="271">
      <c r="A271" s="9" t="s">
        <v>1561</v>
      </c>
      <c r="B271" s="9" t="s">
        <v>110</v>
      </c>
      <c r="C271" s="9" t="s">
        <v>1467</v>
      </c>
      <c r="D271" s="9" t="s">
        <v>1562</v>
      </c>
      <c r="E271" s="9" t="s">
        <v>1469</v>
      </c>
      <c r="F271" s="9" t="s">
        <v>1563</v>
      </c>
    </row>
    <row r="272">
      <c r="A272" s="9" t="s">
        <v>1564</v>
      </c>
      <c r="B272" s="9" t="s">
        <v>92</v>
      </c>
      <c r="C272" s="9" t="s">
        <v>1467</v>
      </c>
      <c r="D272" s="9" t="s">
        <v>1565</v>
      </c>
      <c r="E272" s="9" t="s">
        <v>1469</v>
      </c>
      <c r="F272" s="9" t="s">
        <v>1566</v>
      </c>
    </row>
    <row r="273">
      <c r="A273" s="9" t="s">
        <v>1567</v>
      </c>
      <c r="B273" s="9" t="s">
        <v>55</v>
      </c>
      <c r="C273" s="9" t="s">
        <v>1467</v>
      </c>
      <c r="D273" s="9" t="s">
        <v>1568</v>
      </c>
      <c r="E273" s="9" t="s">
        <v>1469</v>
      </c>
      <c r="F273" s="9" t="s">
        <v>1569</v>
      </c>
    </row>
    <row r="274">
      <c r="A274" s="9" t="s">
        <v>1570</v>
      </c>
      <c r="B274" s="9" t="s">
        <v>76</v>
      </c>
      <c r="C274" s="9" t="s">
        <v>1467</v>
      </c>
      <c r="D274" s="9" t="s">
        <v>1571</v>
      </c>
      <c r="E274" s="9" t="s">
        <v>1469</v>
      </c>
      <c r="F274" s="9" t="s">
        <v>1572</v>
      </c>
    </row>
    <row r="275">
      <c r="A275" s="9" t="s">
        <v>1573</v>
      </c>
      <c r="B275" s="9" t="s">
        <v>104</v>
      </c>
      <c r="C275" s="9" t="s">
        <v>1467</v>
      </c>
      <c r="D275" s="9" t="s">
        <v>1574</v>
      </c>
      <c r="E275" s="9" t="s">
        <v>1469</v>
      </c>
      <c r="F275" s="9" t="s">
        <v>1575</v>
      </c>
    </row>
    <row r="276">
      <c r="A276" s="9" t="s">
        <v>1576</v>
      </c>
      <c r="B276" s="9" t="s">
        <v>61</v>
      </c>
      <c r="C276" s="9" t="s">
        <v>1467</v>
      </c>
      <c r="D276" s="9" t="s">
        <v>1577</v>
      </c>
      <c r="E276" s="9" t="s">
        <v>1469</v>
      </c>
      <c r="F276" s="9" t="s">
        <v>1578</v>
      </c>
    </row>
    <row r="277">
      <c r="A277" s="9" t="s">
        <v>1579</v>
      </c>
      <c r="B277" s="9" t="s">
        <v>121</v>
      </c>
      <c r="C277" s="9" t="s">
        <v>1467</v>
      </c>
      <c r="D277" s="9" t="s">
        <v>1580</v>
      </c>
      <c r="E277" s="9" t="s">
        <v>1469</v>
      </c>
      <c r="F277" s="9" t="s">
        <v>1581</v>
      </c>
    </row>
    <row r="278">
      <c r="A278" s="9" t="s">
        <v>1582</v>
      </c>
      <c r="B278" s="9" t="s">
        <v>114</v>
      </c>
      <c r="C278" s="9" t="s">
        <v>1467</v>
      </c>
      <c r="D278" s="9" t="s">
        <v>1583</v>
      </c>
      <c r="E278" s="9" t="s">
        <v>1469</v>
      </c>
      <c r="F278" s="9" t="s">
        <v>1584</v>
      </c>
    </row>
    <row r="279">
      <c r="A279" s="9" t="s">
        <v>1585</v>
      </c>
      <c r="B279" s="9" t="s">
        <v>123</v>
      </c>
      <c r="C279" s="9" t="s">
        <v>1467</v>
      </c>
      <c r="D279" s="9" t="s">
        <v>1586</v>
      </c>
      <c r="E279" s="9" t="s">
        <v>1469</v>
      </c>
      <c r="F279" s="9" t="s">
        <v>1587</v>
      </c>
    </row>
    <row r="280">
      <c r="A280" s="9" t="s">
        <v>1588</v>
      </c>
      <c r="B280" s="9" t="s">
        <v>67</v>
      </c>
      <c r="C280" s="9" t="s">
        <v>1467</v>
      </c>
      <c r="D280" s="9" t="s">
        <v>1589</v>
      </c>
      <c r="E280" s="9" t="s">
        <v>1469</v>
      </c>
      <c r="F280" s="9" t="s">
        <v>1590</v>
      </c>
    </row>
    <row r="281">
      <c r="A281" s="9" t="s">
        <v>1591</v>
      </c>
      <c r="B281" s="9" t="s">
        <v>76</v>
      </c>
      <c r="C281" s="9" t="s">
        <v>1467</v>
      </c>
      <c r="D281" s="9" t="s">
        <v>1592</v>
      </c>
      <c r="E281" s="9" t="s">
        <v>1469</v>
      </c>
      <c r="F281" s="9" t="s">
        <v>1593</v>
      </c>
    </row>
    <row r="282">
      <c r="A282" s="9" t="s">
        <v>1594</v>
      </c>
      <c r="B282" s="9" t="s">
        <v>75</v>
      </c>
      <c r="C282" s="9" t="s">
        <v>1467</v>
      </c>
      <c r="D282" s="9" t="s">
        <v>1595</v>
      </c>
      <c r="E282" s="9" t="s">
        <v>1469</v>
      </c>
      <c r="F282" s="9" t="s">
        <v>1596</v>
      </c>
    </row>
    <row r="283">
      <c r="A283" s="9" t="s">
        <v>1597</v>
      </c>
      <c r="B283" s="9" t="s">
        <v>115</v>
      </c>
      <c r="C283" s="9" t="s">
        <v>1467</v>
      </c>
      <c r="D283" s="9" t="s">
        <v>1598</v>
      </c>
      <c r="E283" s="9" t="s">
        <v>1469</v>
      </c>
      <c r="F283" s="9" t="s">
        <v>1599</v>
      </c>
    </row>
    <row r="284">
      <c r="A284" s="9" t="s">
        <v>1600</v>
      </c>
      <c r="B284" s="9" t="s">
        <v>133</v>
      </c>
      <c r="C284" s="9" t="s">
        <v>1467</v>
      </c>
      <c r="D284" s="9" t="s">
        <v>1601</v>
      </c>
      <c r="E284" s="9" t="s">
        <v>1469</v>
      </c>
      <c r="F284" s="9" t="s">
        <v>1602</v>
      </c>
    </row>
    <row r="285">
      <c r="A285" s="9" t="s">
        <v>1603</v>
      </c>
      <c r="B285" s="9" t="s">
        <v>18</v>
      </c>
      <c r="C285" s="9" t="s">
        <v>1467</v>
      </c>
      <c r="D285" s="9" t="s">
        <v>1604</v>
      </c>
      <c r="E285" s="9" t="s">
        <v>1469</v>
      </c>
      <c r="F285" s="9" t="s">
        <v>1605</v>
      </c>
    </row>
    <row r="286">
      <c r="A286" s="9" t="s">
        <v>1606</v>
      </c>
      <c r="B286" s="9" t="s">
        <v>81</v>
      </c>
      <c r="C286" s="9" t="s">
        <v>1467</v>
      </c>
      <c r="D286" s="9" t="s">
        <v>1607</v>
      </c>
      <c r="E286" s="9" t="s">
        <v>1469</v>
      </c>
      <c r="F286" s="9" t="s">
        <v>1608</v>
      </c>
    </row>
    <row r="287">
      <c r="A287" s="9" t="s">
        <v>1609</v>
      </c>
      <c r="B287" s="9" t="s">
        <v>81</v>
      </c>
      <c r="C287" s="9" t="s">
        <v>1467</v>
      </c>
      <c r="D287" s="9" t="s">
        <v>1610</v>
      </c>
      <c r="E287" s="9" t="s">
        <v>1469</v>
      </c>
      <c r="F287" s="9" t="s">
        <v>1611</v>
      </c>
    </row>
    <row r="288">
      <c r="A288" s="9" t="s">
        <v>1612</v>
      </c>
      <c r="B288" s="9" t="s">
        <v>55</v>
      </c>
      <c r="C288" s="9" t="s">
        <v>1467</v>
      </c>
      <c r="D288" s="9" t="s">
        <v>1613</v>
      </c>
      <c r="E288" s="9" t="s">
        <v>1469</v>
      </c>
      <c r="F288" s="9" t="s">
        <v>1614</v>
      </c>
    </row>
    <row r="289">
      <c r="A289" s="9" t="s">
        <v>1615</v>
      </c>
      <c r="B289" s="9" t="s">
        <v>137</v>
      </c>
      <c r="C289" s="9" t="s">
        <v>1467</v>
      </c>
      <c r="D289" s="9" t="s">
        <v>1616</v>
      </c>
      <c r="E289" s="9" t="s">
        <v>1469</v>
      </c>
      <c r="F289" s="9" t="s">
        <v>1617</v>
      </c>
    </row>
    <row r="290">
      <c r="A290" s="9" t="s">
        <v>1618</v>
      </c>
      <c r="B290" s="9" t="s">
        <v>128</v>
      </c>
      <c r="C290" s="9" t="s">
        <v>1467</v>
      </c>
      <c r="D290" s="9" t="s">
        <v>1619</v>
      </c>
      <c r="E290" s="9" t="s">
        <v>1469</v>
      </c>
      <c r="F290" s="9" t="s">
        <v>1620</v>
      </c>
    </row>
    <row r="291">
      <c r="A291" s="9" t="s">
        <v>1621</v>
      </c>
      <c r="B291" s="9" t="s">
        <v>142</v>
      </c>
      <c r="C291" s="9" t="s">
        <v>1467</v>
      </c>
      <c r="D291" s="9" t="s">
        <v>1622</v>
      </c>
      <c r="E291" s="9" t="s">
        <v>1469</v>
      </c>
      <c r="F291" s="9" t="s">
        <v>1623</v>
      </c>
    </row>
    <row r="292">
      <c r="A292" s="9" t="s">
        <v>1624</v>
      </c>
      <c r="B292" s="9" t="s">
        <v>123</v>
      </c>
      <c r="C292" s="9" t="s">
        <v>1467</v>
      </c>
      <c r="D292" s="9" t="s">
        <v>1625</v>
      </c>
      <c r="E292" s="9" t="s">
        <v>1469</v>
      </c>
      <c r="F292" s="9" t="s">
        <v>1626</v>
      </c>
    </row>
    <row r="293">
      <c r="A293" s="9" t="s">
        <v>1627</v>
      </c>
      <c r="B293" s="9" t="s">
        <v>75</v>
      </c>
      <c r="C293" s="9" t="s">
        <v>1467</v>
      </c>
      <c r="D293" s="9" t="s">
        <v>1628</v>
      </c>
      <c r="E293" s="9" t="s">
        <v>1469</v>
      </c>
      <c r="F293" s="9" t="s">
        <v>1629</v>
      </c>
    </row>
    <row r="294">
      <c r="A294" s="9" t="s">
        <v>1630</v>
      </c>
      <c r="B294" s="9" t="s">
        <v>128</v>
      </c>
      <c r="C294" s="9" t="s">
        <v>1467</v>
      </c>
      <c r="D294" s="9" t="s">
        <v>1631</v>
      </c>
      <c r="E294" s="9" t="s">
        <v>1469</v>
      </c>
      <c r="F294" s="9" t="s">
        <v>1632</v>
      </c>
    </row>
    <row r="295">
      <c r="A295" s="9" t="s">
        <v>1633</v>
      </c>
      <c r="B295" s="9" t="s">
        <v>143</v>
      </c>
      <c r="C295" s="9" t="s">
        <v>1467</v>
      </c>
      <c r="D295" s="9" t="s">
        <v>1634</v>
      </c>
      <c r="E295" s="9" t="s">
        <v>1469</v>
      </c>
      <c r="F295" s="9" t="s">
        <v>1635</v>
      </c>
    </row>
    <row r="296">
      <c r="A296" s="9" t="s">
        <v>1636</v>
      </c>
      <c r="B296" s="9" t="s">
        <v>100</v>
      </c>
      <c r="C296" s="9" t="s">
        <v>1467</v>
      </c>
      <c r="D296" s="9" t="s">
        <v>1637</v>
      </c>
      <c r="E296" s="9" t="s">
        <v>1469</v>
      </c>
      <c r="F296" s="9" t="s">
        <v>1638</v>
      </c>
    </row>
    <row r="297">
      <c r="A297" s="9" t="s">
        <v>1639</v>
      </c>
      <c r="B297" s="9" t="s">
        <v>66</v>
      </c>
      <c r="C297" s="9" t="s">
        <v>1467</v>
      </c>
      <c r="D297" s="9" t="s">
        <v>1640</v>
      </c>
      <c r="E297" s="9" t="s">
        <v>1469</v>
      </c>
      <c r="F297" s="9" t="s">
        <v>1641</v>
      </c>
    </row>
    <row r="298">
      <c r="A298" s="9" t="s">
        <v>1642</v>
      </c>
      <c r="B298" s="9" t="s">
        <v>64</v>
      </c>
      <c r="C298" s="9" t="s">
        <v>1467</v>
      </c>
      <c r="D298" s="9" t="s">
        <v>1643</v>
      </c>
      <c r="E298" s="9" t="s">
        <v>1469</v>
      </c>
      <c r="F298" s="9" t="s">
        <v>1644</v>
      </c>
    </row>
    <row r="299">
      <c r="A299" s="9" t="s">
        <v>1645</v>
      </c>
      <c r="B299" s="9" t="s">
        <v>150</v>
      </c>
      <c r="C299" s="9" t="s">
        <v>1467</v>
      </c>
      <c r="D299" s="9" t="s">
        <v>1646</v>
      </c>
      <c r="E299" s="9" t="s">
        <v>1469</v>
      </c>
      <c r="F299" s="9" t="s">
        <v>1647</v>
      </c>
    </row>
    <row r="300">
      <c r="A300" s="9" t="s">
        <v>1648</v>
      </c>
      <c r="B300" s="9" t="s">
        <v>131</v>
      </c>
      <c r="C300" s="9" t="s">
        <v>1467</v>
      </c>
      <c r="D300" s="9" t="s">
        <v>1649</v>
      </c>
      <c r="E300" s="9" t="s">
        <v>1469</v>
      </c>
      <c r="F300" s="9" t="s">
        <v>1650</v>
      </c>
    </row>
    <row r="301">
      <c r="A301" s="9" t="s">
        <v>1651</v>
      </c>
      <c r="B301" s="9" t="s">
        <v>131</v>
      </c>
      <c r="C301" s="9" t="s">
        <v>1467</v>
      </c>
      <c r="D301" s="9" t="s">
        <v>1652</v>
      </c>
      <c r="E301" s="9" t="s">
        <v>1469</v>
      </c>
      <c r="F301" s="9" t="s">
        <v>1653</v>
      </c>
    </row>
    <row r="302">
      <c r="A302" s="9" t="s">
        <v>1654</v>
      </c>
      <c r="B302" s="9" t="s">
        <v>133</v>
      </c>
      <c r="C302" s="9" t="s">
        <v>1467</v>
      </c>
      <c r="D302" s="9" t="s">
        <v>1655</v>
      </c>
      <c r="E302" s="9" t="s">
        <v>1469</v>
      </c>
      <c r="F302" s="9" t="s">
        <v>1656</v>
      </c>
    </row>
    <row r="303">
      <c r="A303" s="9" t="s">
        <v>1658</v>
      </c>
      <c r="B303" s="9" t="s">
        <v>72</v>
      </c>
      <c r="C303" s="9" t="s">
        <v>1467</v>
      </c>
      <c r="D303" s="9" t="s">
        <v>1661</v>
      </c>
      <c r="E303" s="9" t="s">
        <v>1469</v>
      </c>
      <c r="F303" s="9" t="s">
        <v>1662</v>
      </c>
    </row>
    <row r="304">
      <c r="A304" s="9" t="s">
        <v>1663</v>
      </c>
      <c r="B304" s="9" t="s">
        <v>100</v>
      </c>
      <c r="C304" s="9" t="s">
        <v>1467</v>
      </c>
      <c r="D304" s="9" t="s">
        <v>1664</v>
      </c>
      <c r="E304" s="9" t="s">
        <v>1469</v>
      </c>
      <c r="F304" s="9" t="s">
        <v>1665</v>
      </c>
    </row>
    <row r="305">
      <c r="A305" s="9" t="s">
        <v>1666</v>
      </c>
      <c r="B305" s="9" t="s">
        <v>156</v>
      </c>
      <c r="C305" s="9" t="s">
        <v>1467</v>
      </c>
      <c r="D305" s="9" t="s">
        <v>1667</v>
      </c>
      <c r="E305" s="9" t="s">
        <v>1469</v>
      </c>
      <c r="F305" s="9" t="s">
        <v>1668</v>
      </c>
    </row>
    <row r="306">
      <c r="A306" s="9" t="s">
        <v>1669</v>
      </c>
      <c r="B306" s="9" t="s">
        <v>154</v>
      </c>
      <c r="C306" s="9" t="s">
        <v>1467</v>
      </c>
      <c r="D306" s="9" t="s">
        <v>1670</v>
      </c>
      <c r="E306" s="9" t="s">
        <v>1469</v>
      </c>
      <c r="F306" s="9" t="s">
        <v>1671</v>
      </c>
    </row>
    <row r="307">
      <c r="A307" s="9" t="s">
        <v>1672</v>
      </c>
      <c r="B307" s="9" t="s">
        <v>158</v>
      </c>
      <c r="C307" s="9" t="s">
        <v>1467</v>
      </c>
      <c r="D307" s="9" t="s">
        <v>1673</v>
      </c>
      <c r="E307" s="9" t="s">
        <v>1469</v>
      </c>
      <c r="F307" s="9" t="s">
        <v>1674</v>
      </c>
    </row>
    <row r="308">
      <c r="A308" s="9" t="s">
        <v>1675</v>
      </c>
      <c r="B308" s="9" t="s">
        <v>154</v>
      </c>
      <c r="C308" s="9" t="s">
        <v>1467</v>
      </c>
      <c r="D308" s="9" t="s">
        <v>1676</v>
      </c>
      <c r="E308" s="9" t="s">
        <v>1469</v>
      </c>
      <c r="F308" s="9" t="s">
        <v>1677</v>
      </c>
    </row>
    <row r="309">
      <c r="A309" s="9" t="s">
        <v>1678</v>
      </c>
      <c r="B309" s="9" t="s">
        <v>165</v>
      </c>
      <c r="C309" s="9" t="s">
        <v>1467</v>
      </c>
      <c r="D309" s="9" t="s">
        <v>1679</v>
      </c>
      <c r="E309" s="9" t="s">
        <v>1469</v>
      </c>
      <c r="F309" s="9" t="s">
        <v>1680</v>
      </c>
    </row>
    <row r="310">
      <c r="A310" s="9" t="s">
        <v>1681</v>
      </c>
      <c r="B310" s="9" t="s">
        <v>166</v>
      </c>
      <c r="C310" s="9" t="s">
        <v>1467</v>
      </c>
      <c r="D310" s="9" t="s">
        <v>1682</v>
      </c>
      <c r="E310" s="9" t="s">
        <v>1469</v>
      </c>
      <c r="F310" s="9" t="s">
        <v>1683</v>
      </c>
    </row>
    <row r="311">
      <c r="A311" s="9" t="s">
        <v>1684</v>
      </c>
      <c r="B311" s="9" t="s">
        <v>139</v>
      </c>
      <c r="C311" s="9" t="s">
        <v>1467</v>
      </c>
      <c r="D311" s="9" t="s">
        <v>1685</v>
      </c>
      <c r="E311" s="9" t="s">
        <v>1469</v>
      </c>
      <c r="F311" s="9" t="s">
        <v>1686</v>
      </c>
    </row>
    <row r="312">
      <c r="A312" s="9" t="s">
        <v>1687</v>
      </c>
      <c r="B312" s="9" t="s">
        <v>168</v>
      </c>
      <c r="C312" s="9" t="s">
        <v>1467</v>
      </c>
      <c r="D312" s="9" t="s">
        <v>1688</v>
      </c>
      <c r="E312" s="9" t="s">
        <v>1469</v>
      </c>
      <c r="F312" s="9" t="s">
        <v>1689</v>
      </c>
    </row>
    <row r="313">
      <c r="A313" s="9" t="s">
        <v>1690</v>
      </c>
      <c r="B313" s="9" t="s">
        <v>161</v>
      </c>
      <c r="C313" s="9" t="s">
        <v>1467</v>
      </c>
      <c r="D313" s="9" t="s">
        <v>1691</v>
      </c>
      <c r="E313" s="9" t="s">
        <v>1469</v>
      </c>
      <c r="F313" s="9" t="s">
        <v>1692</v>
      </c>
    </row>
    <row r="314">
      <c r="A314" s="9" t="s">
        <v>1693</v>
      </c>
      <c r="B314" s="9" t="s">
        <v>169</v>
      </c>
      <c r="C314" s="9" t="s">
        <v>1467</v>
      </c>
      <c r="D314" s="9" t="s">
        <v>1694</v>
      </c>
      <c r="E314" s="9" t="s">
        <v>1469</v>
      </c>
      <c r="F314" s="9" t="s">
        <v>1695</v>
      </c>
    </row>
    <row r="315">
      <c r="A315" s="9" t="s">
        <v>1696</v>
      </c>
      <c r="B315" s="9" t="s">
        <v>173</v>
      </c>
      <c r="C315" s="9" t="s">
        <v>1467</v>
      </c>
      <c r="D315" s="9" t="s">
        <v>1697</v>
      </c>
      <c r="E315" s="9" t="s">
        <v>1469</v>
      </c>
      <c r="F315" s="9" t="s">
        <v>1698</v>
      </c>
    </row>
    <row r="316">
      <c r="A316" s="9" t="s">
        <v>1699</v>
      </c>
      <c r="B316" s="9" t="s">
        <v>174</v>
      </c>
      <c r="C316" s="9" t="s">
        <v>1467</v>
      </c>
      <c r="D316" s="9" t="s">
        <v>1700</v>
      </c>
      <c r="E316" s="9" t="s">
        <v>1469</v>
      </c>
      <c r="F316" s="9" t="s">
        <v>1701</v>
      </c>
    </row>
    <row r="317">
      <c r="A317" s="9" t="s">
        <v>1702</v>
      </c>
      <c r="B317" s="9" t="s">
        <v>60</v>
      </c>
      <c r="C317" s="9" t="s">
        <v>1467</v>
      </c>
      <c r="D317" s="9" t="s">
        <v>1703</v>
      </c>
      <c r="E317" s="9" t="s">
        <v>1469</v>
      </c>
      <c r="F317" s="9" t="s">
        <v>1704</v>
      </c>
    </row>
    <row r="318">
      <c r="A318" s="9" t="s">
        <v>1705</v>
      </c>
      <c r="B318" s="9" t="s">
        <v>75</v>
      </c>
      <c r="C318" s="9" t="s">
        <v>1467</v>
      </c>
      <c r="D318" s="9" t="s">
        <v>1706</v>
      </c>
      <c r="E318" s="9" t="s">
        <v>1469</v>
      </c>
      <c r="F318" s="9" t="s">
        <v>1707</v>
      </c>
    </row>
    <row r="319">
      <c r="A319" s="9" t="s">
        <v>1708</v>
      </c>
      <c r="B319" s="9" t="s">
        <v>81</v>
      </c>
      <c r="C319" s="9" t="s">
        <v>1467</v>
      </c>
      <c r="D319" s="9" t="s">
        <v>1709</v>
      </c>
      <c r="E319" s="9" t="s">
        <v>1469</v>
      </c>
      <c r="F319" s="9" t="s">
        <v>1710</v>
      </c>
    </row>
    <row r="320">
      <c r="A320" s="9" t="s">
        <v>1711</v>
      </c>
      <c r="B320" s="9" t="s">
        <v>164</v>
      </c>
      <c r="C320" s="9" t="s">
        <v>1467</v>
      </c>
      <c r="D320" s="9" t="s">
        <v>1712</v>
      </c>
      <c r="E320" s="9" t="s">
        <v>1469</v>
      </c>
      <c r="F320" s="9" t="s">
        <v>1713</v>
      </c>
    </row>
    <row r="321">
      <c r="A321" s="9" t="s">
        <v>1714</v>
      </c>
      <c r="B321" s="9" t="s">
        <v>169</v>
      </c>
      <c r="C321" s="9" t="s">
        <v>1467</v>
      </c>
      <c r="D321" s="9" t="s">
        <v>1715</v>
      </c>
      <c r="E321" s="9" t="s">
        <v>1469</v>
      </c>
      <c r="F321" s="9" t="s">
        <v>1716</v>
      </c>
    </row>
    <row r="322">
      <c r="A322" s="9" t="s">
        <v>1717</v>
      </c>
      <c r="B322" s="9" t="s">
        <v>60</v>
      </c>
      <c r="C322" s="9" t="s">
        <v>1467</v>
      </c>
      <c r="D322" s="9" t="s">
        <v>1718</v>
      </c>
      <c r="E322" s="9" t="s">
        <v>1469</v>
      </c>
      <c r="F322" s="9" t="s">
        <v>1719</v>
      </c>
    </row>
    <row r="323">
      <c r="A323" s="9" t="s">
        <v>1720</v>
      </c>
      <c r="B323" s="9" t="s">
        <v>166</v>
      </c>
      <c r="C323" s="9" t="s">
        <v>1467</v>
      </c>
      <c r="D323" s="9" t="s">
        <v>1721</v>
      </c>
      <c r="E323" s="9" t="s">
        <v>1469</v>
      </c>
      <c r="F323" s="9" t="s">
        <v>1722</v>
      </c>
    </row>
    <row r="324">
      <c r="A324" s="9" t="s">
        <v>1723</v>
      </c>
      <c r="B324" s="9" t="s">
        <v>179</v>
      </c>
      <c r="C324" s="9" t="s">
        <v>1467</v>
      </c>
      <c r="D324" s="9" t="s">
        <v>1724</v>
      </c>
      <c r="E324" s="9" t="s">
        <v>1469</v>
      </c>
      <c r="F324" s="9" t="s">
        <v>1725</v>
      </c>
    </row>
    <row r="325">
      <c r="A325" s="9" t="s">
        <v>1726</v>
      </c>
      <c r="B325" s="9" t="s">
        <v>133</v>
      </c>
      <c r="C325" s="9" t="s">
        <v>1467</v>
      </c>
      <c r="D325" s="9" t="s">
        <v>1727</v>
      </c>
      <c r="E325" s="9" t="s">
        <v>1469</v>
      </c>
      <c r="F325" s="9" t="s">
        <v>1728</v>
      </c>
    </row>
    <row r="326">
      <c r="A326" s="9" t="s">
        <v>1729</v>
      </c>
      <c r="B326" s="9" t="s">
        <v>60</v>
      </c>
      <c r="C326" s="9" t="s">
        <v>1467</v>
      </c>
      <c r="D326" s="9" t="s">
        <v>1730</v>
      </c>
      <c r="E326" s="9" t="s">
        <v>1469</v>
      </c>
      <c r="F326" s="9" t="s">
        <v>1731</v>
      </c>
    </row>
    <row r="327">
      <c r="A327" s="9" t="s">
        <v>1732</v>
      </c>
      <c r="B327" s="9" t="s">
        <v>182</v>
      </c>
      <c r="C327" s="9" t="s">
        <v>1467</v>
      </c>
      <c r="D327" s="9" t="s">
        <v>1733</v>
      </c>
      <c r="E327" s="9" t="s">
        <v>1469</v>
      </c>
      <c r="F327" s="9" t="s">
        <v>1734</v>
      </c>
    </row>
    <row r="328">
      <c r="A328" s="9" t="s">
        <v>1735</v>
      </c>
      <c r="B328" s="9" t="s">
        <v>141</v>
      </c>
      <c r="C328" s="9" t="s">
        <v>1467</v>
      </c>
      <c r="D328" s="9" t="s">
        <v>1736</v>
      </c>
      <c r="E328" s="9" t="s">
        <v>1469</v>
      </c>
      <c r="F328" s="9" t="s">
        <v>1737</v>
      </c>
    </row>
    <row r="329">
      <c r="A329" s="9" t="s">
        <v>1738</v>
      </c>
      <c r="B329" s="9" t="s">
        <v>131</v>
      </c>
      <c r="C329" s="9" t="s">
        <v>1467</v>
      </c>
      <c r="D329" s="9" t="s">
        <v>1739</v>
      </c>
      <c r="E329" s="9" t="s">
        <v>1469</v>
      </c>
      <c r="F329" s="9" t="s">
        <v>1740</v>
      </c>
    </row>
    <row r="330">
      <c r="A330" s="9" t="s">
        <v>1741</v>
      </c>
      <c r="B330" s="9" t="s">
        <v>179</v>
      </c>
      <c r="C330" s="9" t="s">
        <v>1467</v>
      </c>
      <c r="D330" s="9" t="s">
        <v>1742</v>
      </c>
      <c r="E330" s="9" t="s">
        <v>1469</v>
      </c>
      <c r="F330" s="9" t="s">
        <v>1743</v>
      </c>
    </row>
    <row r="331">
      <c r="A331" s="9" t="s">
        <v>1744</v>
      </c>
      <c r="B331" s="9" t="s">
        <v>183</v>
      </c>
      <c r="C331" s="9" t="s">
        <v>1467</v>
      </c>
      <c r="D331" s="9" t="s">
        <v>1745</v>
      </c>
      <c r="E331" s="9" t="s">
        <v>1469</v>
      </c>
      <c r="F331" s="9" t="s">
        <v>1746</v>
      </c>
    </row>
    <row r="332">
      <c r="A332" s="9" t="s">
        <v>1747</v>
      </c>
      <c r="B332" s="9" t="s">
        <v>184</v>
      </c>
      <c r="C332" s="9" t="s">
        <v>1467</v>
      </c>
      <c r="D332" s="9" t="s">
        <v>1748</v>
      </c>
      <c r="E332" s="9" t="s">
        <v>1469</v>
      </c>
      <c r="F332" s="9" t="s">
        <v>1749</v>
      </c>
    </row>
    <row r="333">
      <c r="A333" s="9" t="s">
        <v>1750</v>
      </c>
      <c r="B333" s="9" t="s">
        <v>186</v>
      </c>
      <c r="C333" s="9" t="s">
        <v>1467</v>
      </c>
      <c r="D333" s="9" t="s">
        <v>1751</v>
      </c>
      <c r="E333" s="9" t="s">
        <v>1469</v>
      </c>
      <c r="F333" s="9" t="s">
        <v>1752</v>
      </c>
    </row>
    <row r="334">
      <c r="A334" s="9" t="s">
        <v>1753</v>
      </c>
      <c r="B334" s="9" t="s">
        <v>88</v>
      </c>
      <c r="C334" s="9" t="s">
        <v>1467</v>
      </c>
      <c r="D334" s="9" t="s">
        <v>1754</v>
      </c>
      <c r="E334" s="9" t="s">
        <v>1469</v>
      </c>
      <c r="F334" s="9" t="s">
        <v>1755</v>
      </c>
    </row>
    <row r="335">
      <c r="A335" s="9" t="s">
        <v>1756</v>
      </c>
      <c r="B335" s="9" t="s">
        <v>182</v>
      </c>
      <c r="C335" s="9" t="s">
        <v>1467</v>
      </c>
      <c r="D335" s="9" t="s">
        <v>1757</v>
      </c>
      <c r="E335" s="9" t="s">
        <v>1469</v>
      </c>
      <c r="F335" s="9" t="s">
        <v>1758</v>
      </c>
    </row>
    <row r="336">
      <c r="A336" s="9" t="s">
        <v>1759</v>
      </c>
      <c r="B336" s="9" t="s">
        <v>190</v>
      </c>
      <c r="C336" s="9" t="s">
        <v>1467</v>
      </c>
      <c r="D336" s="9" t="s">
        <v>1760</v>
      </c>
      <c r="E336" s="9" t="s">
        <v>1469</v>
      </c>
      <c r="F336" s="9" t="s">
        <v>1761</v>
      </c>
    </row>
    <row r="337">
      <c r="A337" s="9" t="s">
        <v>1762</v>
      </c>
      <c r="B337" s="9" t="s">
        <v>141</v>
      </c>
      <c r="C337" s="9" t="s">
        <v>1467</v>
      </c>
      <c r="D337" s="9" t="s">
        <v>1763</v>
      </c>
      <c r="E337" s="9" t="s">
        <v>1469</v>
      </c>
      <c r="F337" s="9" t="s">
        <v>1764</v>
      </c>
    </row>
    <row r="338">
      <c r="A338" s="9" t="s">
        <v>1765</v>
      </c>
      <c r="B338" s="9" t="s">
        <v>125</v>
      </c>
      <c r="C338" s="9" t="s">
        <v>1467</v>
      </c>
      <c r="D338" s="9" t="s">
        <v>1766</v>
      </c>
      <c r="E338" s="9" t="s">
        <v>1469</v>
      </c>
      <c r="F338" s="9" t="s">
        <v>1767</v>
      </c>
    </row>
    <row r="339">
      <c r="A339" s="9" t="s">
        <v>1768</v>
      </c>
      <c r="B339" s="9" t="s">
        <v>88</v>
      </c>
      <c r="C339" s="9" t="s">
        <v>1467</v>
      </c>
      <c r="D339" s="9" t="s">
        <v>1769</v>
      </c>
      <c r="E339" s="9" t="s">
        <v>1469</v>
      </c>
      <c r="F339" s="9" t="s">
        <v>1770</v>
      </c>
    </row>
    <row r="340">
      <c r="A340" s="9" t="s">
        <v>1771</v>
      </c>
      <c r="B340" s="9" t="s">
        <v>184</v>
      </c>
      <c r="C340" s="9" t="s">
        <v>1467</v>
      </c>
      <c r="D340" s="9" t="s">
        <v>1772</v>
      </c>
      <c r="E340" s="9" t="s">
        <v>1469</v>
      </c>
      <c r="F340" s="9" t="s">
        <v>1773</v>
      </c>
    </row>
    <row r="341">
      <c r="A341" s="9" t="s">
        <v>1774</v>
      </c>
      <c r="B341" s="9" t="s">
        <v>66</v>
      </c>
      <c r="C341" s="9" t="s">
        <v>1467</v>
      </c>
      <c r="D341" s="9" t="s">
        <v>1776</v>
      </c>
      <c r="E341" s="9" t="s">
        <v>1469</v>
      </c>
      <c r="F341" s="9" t="s">
        <v>1779</v>
      </c>
    </row>
    <row r="342">
      <c r="A342" s="9" t="s">
        <v>1780</v>
      </c>
      <c r="B342" s="9" t="s">
        <v>191</v>
      </c>
      <c r="C342" s="9" t="s">
        <v>1467</v>
      </c>
      <c r="D342" s="9" t="s">
        <v>1781</v>
      </c>
      <c r="E342" s="9" t="s">
        <v>1469</v>
      </c>
      <c r="F342" s="9" t="s">
        <v>1782</v>
      </c>
    </row>
    <row r="343">
      <c r="A343" s="9" t="s">
        <v>1783</v>
      </c>
      <c r="B343" s="9" t="s">
        <v>192</v>
      </c>
      <c r="C343" s="9" t="s">
        <v>1467</v>
      </c>
      <c r="D343" s="9" t="s">
        <v>1784</v>
      </c>
      <c r="E343" s="9" t="s">
        <v>1469</v>
      </c>
      <c r="F343" s="9" t="s">
        <v>1785</v>
      </c>
    </row>
    <row r="344">
      <c r="A344" s="9" t="s">
        <v>1786</v>
      </c>
      <c r="B344" s="9" t="s">
        <v>88</v>
      </c>
      <c r="C344" s="9" t="s">
        <v>1467</v>
      </c>
      <c r="D344" s="9" t="s">
        <v>1787</v>
      </c>
      <c r="E344" s="9" t="s">
        <v>1469</v>
      </c>
      <c r="F344" s="9" t="s">
        <v>1788</v>
      </c>
    </row>
    <row r="345">
      <c r="A345" s="9" t="s">
        <v>1789</v>
      </c>
      <c r="B345" s="9" t="s">
        <v>183</v>
      </c>
      <c r="C345" s="9" t="s">
        <v>1467</v>
      </c>
      <c r="D345" s="9" t="s">
        <v>1790</v>
      </c>
      <c r="E345" s="9" t="s">
        <v>1469</v>
      </c>
      <c r="F345" s="9" t="s">
        <v>1791</v>
      </c>
    </row>
    <row r="346">
      <c r="A346" s="9" t="s">
        <v>1792</v>
      </c>
      <c r="B346" s="9" t="s">
        <v>66</v>
      </c>
      <c r="C346" s="9" t="s">
        <v>1467</v>
      </c>
      <c r="D346" s="9" t="s">
        <v>1793</v>
      </c>
      <c r="E346" s="9" t="s">
        <v>1469</v>
      </c>
      <c r="F346" s="9" t="s">
        <v>1794</v>
      </c>
    </row>
    <row r="347">
      <c r="A347" s="9" t="s">
        <v>1795</v>
      </c>
      <c r="B347" s="9" t="s">
        <v>190</v>
      </c>
      <c r="C347" s="9" t="s">
        <v>1467</v>
      </c>
      <c r="D347" s="9" t="s">
        <v>1796</v>
      </c>
      <c r="E347" s="9" t="s">
        <v>1469</v>
      </c>
      <c r="F347" s="9" t="s">
        <v>1797</v>
      </c>
    </row>
    <row r="348">
      <c r="A348" s="9" t="s">
        <v>1798</v>
      </c>
      <c r="B348" s="9" t="s">
        <v>191</v>
      </c>
      <c r="C348" s="9" t="s">
        <v>1467</v>
      </c>
      <c r="D348" s="9" t="s">
        <v>1799</v>
      </c>
      <c r="E348" s="9" t="s">
        <v>1469</v>
      </c>
      <c r="F348" s="9" t="s">
        <v>1800</v>
      </c>
    </row>
    <row r="349">
      <c r="A349" s="9" t="s">
        <v>1801</v>
      </c>
      <c r="B349" s="9" t="s">
        <v>186</v>
      </c>
      <c r="C349" s="9" t="s">
        <v>1467</v>
      </c>
      <c r="D349" s="9" t="s">
        <v>1802</v>
      </c>
      <c r="E349" s="9" t="s">
        <v>1469</v>
      </c>
      <c r="F349" s="9" t="s">
        <v>1803</v>
      </c>
    </row>
    <row r="350">
      <c r="A350" s="9" t="s">
        <v>1804</v>
      </c>
      <c r="B350" s="9" t="s">
        <v>96</v>
      </c>
      <c r="C350" s="9" t="s">
        <v>1467</v>
      </c>
      <c r="D350" s="9" t="s">
        <v>1805</v>
      </c>
      <c r="E350" s="9" t="s">
        <v>1469</v>
      </c>
      <c r="F350" s="9" t="s">
        <v>1806</v>
      </c>
    </row>
    <row r="351">
      <c r="A351" s="9" t="s">
        <v>1807</v>
      </c>
      <c r="B351" s="9" t="s">
        <v>128</v>
      </c>
      <c r="C351" s="9" t="s">
        <v>1467</v>
      </c>
      <c r="D351" s="9" t="s">
        <v>1808</v>
      </c>
      <c r="E351" s="9" t="s">
        <v>1469</v>
      </c>
      <c r="F351" s="9" t="s">
        <v>1809</v>
      </c>
    </row>
    <row r="352">
      <c r="A352" s="9" t="s">
        <v>1810</v>
      </c>
      <c r="B352" s="9" t="s">
        <v>195</v>
      </c>
      <c r="C352" s="9" t="s">
        <v>1467</v>
      </c>
      <c r="D352" s="9" t="s">
        <v>1811</v>
      </c>
      <c r="E352" s="9" t="s">
        <v>1469</v>
      </c>
      <c r="F352" s="9" t="s">
        <v>1812</v>
      </c>
    </row>
    <row r="353">
      <c r="A353" s="9" t="s">
        <v>1813</v>
      </c>
      <c r="B353" s="9" t="s">
        <v>93</v>
      </c>
      <c r="C353" s="9" t="s">
        <v>1467</v>
      </c>
      <c r="D353" s="9" t="s">
        <v>1814</v>
      </c>
      <c r="E353" s="9" t="s">
        <v>1469</v>
      </c>
      <c r="F353" s="9" t="s">
        <v>1815</v>
      </c>
    </row>
    <row r="354">
      <c r="A354" s="9" t="s">
        <v>1816</v>
      </c>
      <c r="B354" s="9" t="s">
        <v>156</v>
      </c>
      <c r="C354" s="9" t="s">
        <v>1467</v>
      </c>
      <c r="D354" s="9" t="s">
        <v>1817</v>
      </c>
      <c r="E354" s="9" t="s">
        <v>1469</v>
      </c>
      <c r="F354" s="9" t="s">
        <v>1818</v>
      </c>
    </row>
    <row r="355">
      <c r="A355" s="9" t="s">
        <v>1819</v>
      </c>
      <c r="B355" s="9" t="s">
        <v>200</v>
      </c>
      <c r="C355" s="9" t="s">
        <v>1467</v>
      </c>
      <c r="D355" s="9" t="s">
        <v>1820</v>
      </c>
      <c r="E355" s="9" t="s">
        <v>1469</v>
      </c>
      <c r="F355" s="9" t="s">
        <v>1821</v>
      </c>
    </row>
    <row r="356">
      <c r="A356" s="9" t="s">
        <v>1822</v>
      </c>
      <c r="B356" s="9" t="s">
        <v>156</v>
      </c>
      <c r="C356" s="9" t="s">
        <v>1467</v>
      </c>
      <c r="D356" s="9" t="s">
        <v>1823</v>
      </c>
      <c r="E356" s="9" t="s">
        <v>1469</v>
      </c>
      <c r="F356" s="9" t="s">
        <v>1824</v>
      </c>
    </row>
    <row r="357">
      <c r="A357" s="9" t="s">
        <v>1825</v>
      </c>
      <c r="B357" s="9" t="s">
        <v>205</v>
      </c>
      <c r="C357" s="9" t="s">
        <v>1467</v>
      </c>
      <c r="D357" s="9" t="s">
        <v>1826</v>
      </c>
      <c r="E357" s="9" t="s">
        <v>1469</v>
      </c>
      <c r="F357" s="9" t="s">
        <v>1827</v>
      </c>
    </row>
    <row r="358">
      <c r="A358" s="9" t="s">
        <v>1828</v>
      </c>
      <c r="B358" s="9" t="s">
        <v>160</v>
      </c>
      <c r="C358" s="9" t="s">
        <v>1467</v>
      </c>
      <c r="D358" s="9" t="s">
        <v>1829</v>
      </c>
      <c r="E358" s="9" t="s">
        <v>1469</v>
      </c>
      <c r="F358" s="9" t="s">
        <v>1830</v>
      </c>
    </row>
    <row r="359">
      <c r="A359" s="9" t="s">
        <v>1831</v>
      </c>
      <c r="B359" s="9" t="s">
        <v>208</v>
      </c>
      <c r="C359" s="9" t="s">
        <v>1467</v>
      </c>
      <c r="D359" s="9" t="s">
        <v>1832</v>
      </c>
      <c r="E359" s="9" t="s">
        <v>1469</v>
      </c>
      <c r="F359" s="9" t="s">
        <v>1833</v>
      </c>
    </row>
    <row r="360">
      <c r="A360" s="9" t="s">
        <v>1834</v>
      </c>
      <c r="B360" s="9" t="s">
        <v>160</v>
      </c>
      <c r="C360" s="9" t="s">
        <v>1467</v>
      </c>
      <c r="D360" s="9" t="s">
        <v>1835</v>
      </c>
      <c r="E360" s="9" t="s">
        <v>1469</v>
      </c>
      <c r="F360" s="9" t="s">
        <v>1836</v>
      </c>
    </row>
    <row r="361">
      <c r="A361" s="9" t="s">
        <v>1837</v>
      </c>
      <c r="B361" s="9" t="s">
        <v>152</v>
      </c>
      <c r="C361" s="9" t="s">
        <v>1467</v>
      </c>
      <c r="D361" s="9" t="s">
        <v>1838</v>
      </c>
      <c r="E361" s="9" t="s">
        <v>1469</v>
      </c>
      <c r="F361" s="9" t="s">
        <v>1839</v>
      </c>
    </row>
    <row r="362">
      <c r="A362" s="9" t="s">
        <v>1840</v>
      </c>
      <c r="B362" s="9" t="s">
        <v>205</v>
      </c>
      <c r="C362" s="9" t="s">
        <v>1467</v>
      </c>
      <c r="D362" s="9" t="s">
        <v>1841</v>
      </c>
      <c r="E362" s="9" t="s">
        <v>1469</v>
      </c>
      <c r="F362" s="9" t="s">
        <v>1842</v>
      </c>
    </row>
    <row r="363">
      <c r="A363" s="9" t="s">
        <v>1843</v>
      </c>
      <c r="B363" s="9" t="s">
        <v>202</v>
      </c>
      <c r="C363" s="9" t="s">
        <v>1467</v>
      </c>
      <c r="D363" s="9" t="s">
        <v>1844</v>
      </c>
      <c r="E363" s="9" t="s">
        <v>1469</v>
      </c>
      <c r="F363" s="9" t="s">
        <v>1845</v>
      </c>
    </row>
    <row r="364">
      <c r="A364" s="9" t="s">
        <v>1846</v>
      </c>
      <c r="B364" s="9" t="s">
        <v>156</v>
      </c>
      <c r="C364" s="9" t="s">
        <v>1467</v>
      </c>
      <c r="D364" s="9" t="s">
        <v>1847</v>
      </c>
      <c r="E364" s="9" t="s">
        <v>1469</v>
      </c>
      <c r="F364" s="9" t="s">
        <v>1848</v>
      </c>
    </row>
    <row r="365">
      <c r="A365" s="9" t="s">
        <v>1849</v>
      </c>
      <c r="B365" s="9" t="s">
        <v>163</v>
      </c>
      <c r="C365" s="9" t="s">
        <v>1467</v>
      </c>
      <c r="D365" s="9" t="s">
        <v>1850</v>
      </c>
      <c r="E365" s="9" t="s">
        <v>1469</v>
      </c>
      <c r="F365" s="9" t="s">
        <v>1851</v>
      </c>
    </row>
    <row r="366">
      <c r="A366" s="9" t="s">
        <v>1852</v>
      </c>
      <c r="B366" s="9" t="s">
        <v>94</v>
      </c>
      <c r="C366" s="9" t="s">
        <v>1467</v>
      </c>
      <c r="D366" s="9" t="s">
        <v>1853</v>
      </c>
      <c r="E366" s="9" t="s">
        <v>1469</v>
      </c>
      <c r="F366" s="9" t="s">
        <v>1854</v>
      </c>
    </row>
    <row r="367">
      <c r="A367" s="9" t="s">
        <v>1855</v>
      </c>
      <c r="B367" s="9" t="s">
        <v>202</v>
      </c>
      <c r="C367" s="9" t="s">
        <v>1467</v>
      </c>
      <c r="D367" s="9" t="s">
        <v>1856</v>
      </c>
      <c r="E367" s="9" t="s">
        <v>1469</v>
      </c>
      <c r="F367" s="9" t="s">
        <v>1857</v>
      </c>
    </row>
    <row r="368">
      <c r="A368" s="9" t="s">
        <v>1858</v>
      </c>
      <c r="B368" s="9" t="s">
        <v>151</v>
      </c>
      <c r="C368" s="9" t="s">
        <v>1467</v>
      </c>
      <c r="D368" s="9" t="s">
        <v>1859</v>
      </c>
      <c r="E368" s="9" t="s">
        <v>1469</v>
      </c>
      <c r="F368" s="9" t="s">
        <v>1860</v>
      </c>
    </row>
    <row r="369">
      <c r="A369" s="9" t="s">
        <v>1861</v>
      </c>
      <c r="B369" s="9" t="s">
        <v>55</v>
      </c>
      <c r="C369" s="9" t="s">
        <v>1467</v>
      </c>
      <c r="D369" s="9" t="s">
        <v>1862</v>
      </c>
      <c r="E369" s="9" t="s">
        <v>1469</v>
      </c>
      <c r="F369" s="9" t="s">
        <v>1863</v>
      </c>
    </row>
    <row r="370">
      <c r="A370" s="9" t="s">
        <v>1864</v>
      </c>
      <c r="B370" s="9" t="s">
        <v>174</v>
      </c>
      <c r="C370" s="9" t="s">
        <v>1467</v>
      </c>
      <c r="D370" s="9" t="s">
        <v>1865</v>
      </c>
      <c r="E370" s="9" t="s">
        <v>1469</v>
      </c>
      <c r="F370" s="9" t="s">
        <v>1866</v>
      </c>
    </row>
    <row r="371">
      <c r="A371" s="9" t="s">
        <v>1867</v>
      </c>
      <c r="B371" s="9" t="s">
        <v>114</v>
      </c>
      <c r="C371" s="9" t="s">
        <v>1467</v>
      </c>
      <c r="D371" s="9" t="s">
        <v>1868</v>
      </c>
      <c r="E371" s="9" t="s">
        <v>1469</v>
      </c>
      <c r="F371" s="9" t="s">
        <v>1869</v>
      </c>
    </row>
    <row r="372">
      <c r="A372" s="9" t="s">
        <v>1870</v>
      </c>
      <c r="B372" s="9" t="s">
        <v>217</v>
      </c>
      <c r="C372" s="9" t="s">
        <v>1467</v>
      </c>
      <c r="D372" s="9" t="s">
        <v>1871</v>
      </c>
      <c r="E372" s="9" t="s">
        <v>1469</v>
      </c>
      <c r="F372" s="9" t="s">
        <v>1872</v>
      </c>
    </row>
    <row r="373">
      <c r="A373" s="9" t="s">
        <v>1873</v>
      </c>
      <c r="B373" s="9" t="s">
        <v>168</v>
      </c>
      <c r="C373" s="9" t="s">
        <v>1467</v>
      </c>
      <c r="D373" s="9" t="s">
        <v>1874</v>
      </c>
      <c r="E373" s="9" t="s">
        <v>1469</v>
      </c>
      <c r="F373" s="9" t="s">
        <v>1875</v>
      </c>
    </row>
    <row r="374">
      <c r="A374" s="9" t="s">
        <v>1876</v>
      </c>
      <c r="B374" s="9" t="s">
        <v>163</v>
      </c>
      <c r="C374" s="9" t="s">
        <v>1467</v>
      </c>
      <c r="D374" s="9" t="s">
        <v>1877</v>
      </c>
      <c r="E374" s="9" t="s">
        <v>1469</v>
      </c>
      <c r="F374" s="9" t="s">
        <v>1878</v>
      </c>
    </row>
    <row r="375">
      <c r="A375" s="9" t="s">
        <v>1879</v>
      </c>
      <c r="B375" s="9" t="s">
        <v>204</v>
      </c>
      <c r="C375" s="9" t="s">
        <v>1467</v>
      </c>
      <c r="D375" s="9" t="s">
        <v>1880</v>
      </c>
      <c r="E375" s="9" t="s">
        <v>1469</v>
      </c>
      <c r="F375" s="9" t="s">
        <v>1881</v>
      </c>
    </row>
    <row r="376">
      <c r="A376" s="9" t="s">
        <v>1882</v>
      </c>
      <c r="B376" s="9" t="s">
        <v>179</v>
      </c>
      <c r="C376" s="9" t="s">
        <v>1467</v>
      </c>
      <c r="D376" s="9" t="s">
        <v>1883</v>
      </c>
      <c r="E376" s="9" t="s">
        <v>1469</v>
      </c>
      <c r="F376" s="9" t="s">
        <v>1884</v>
      </c>
    </row>
    <row r="377">
      <c r="A377" s="9" t="s">
        <v>1885</v>
      </c>
      <c r="B377" s="9" t="s">
        <v>94</v>
      </c>
      <c r="C377" s="9" t="s">
        <v>1467</v>
      </c>
      <c r="D377" s="9" t="s">
        <v>1886</v>
      </c>
      <c r="E377" s="9" t="s">
        <v>1469</v>
      </c>
      <c r="F377" s="9" t="s">
        <v>1887</v>
      </c>
    </row>
    <row r="378">
      <c r="A378" s="9" t="s">
        <v>1888</v>
      </c>
      <c r="B378" s="9" t="s">
        <v>114</v>
      </c>
      <c r="C378" s="9" t="s">
        <v>1467</v>
      </c>
      <c r="D378" s="9" t="s">
        <v>1889</v>
      </c>
      <c r="E378" s="9" t="s">
        <v>1469</v>
      </c>
      <c r="F378" s="9" t="s">
        <v>1890</v>
      </c>
    </row>
    <row r="379">
      <c r="A379" s="9" t="s">
        <v>1891</v>
      </c>
      <c r="B379" s="9" t="s">
        <v>158</v>
      </c>
      <c r="C379" s="9" t="s">
        <v>1467</v>
      </c>
      <c r="D379" s="9" t="s">
        <v>1894</v>
      </c>
      <c r="E379" s="9" t="s">
        <v>1469</v>
      </c>
      <c r="F379" s="9" t="s">
        <v>1896</v>
      </c>
    </row>
    <row r="380">
      <c r="A380" s="9" t="s">
        <v>1897</v>
      </c>
      <c r="B380" s="9" t="s">
        <v>224</v>
      </c>
      <c r="C380" s="9" t="s">
        <v>1467</v>
      </c>
      <c r="D380" s="9" t="s">
        <v>1898</v>
      </c>
      <c r="E380" s="9" t="s">
        <v>1469</v>
      </c>
      <c r="F380" s="9" t="s">
        <v>1899</v>
      </c>
    </row>
    <row r="381">
      <c r="A381" s="9" t="s">
        <v>1900</v>
      </c>
      <c r="B381" s="9" t="s">
        <v>115</v>
      </c>
      <c r="C381" s="9" t="s">
        <v>1467</v>
      </c>
      <c r="D381" s="9" t="s">
        <v>1901</v>
      </c>
      <c r="E381" s="9" t="s">
        <v>1469</v>
      </c>
      <c r="F381" s="9" t="s">
        <v>1902</v>
      </c>
    </row>
    <row r="382">
      <c r="A382" s="9" t="s">
        <v>1903</v>
      </c>
      <c r="B382" s="9" t="s">
        <v>227</v>
      </c>
      <c r="C382" s="9" t="s">
        <v>1467</v>
      </c>
      <c r="D382" s="9" t="s">
        <v>1904</v>
      </c>
      <c r="E382" s="9" t="s">
        <v>1469</v>
      </c>
      <c r="F382" s="9" t="s">
        <v>1905</v>
      </c>
    </row>
    <row r="383">
      <c r="A383" s="9" t="s">
        <v>1906</v>
      </c>
      <c r="B383" s="9" t="s">
        <v>213</v>
      </c>
      <c r="C383" s="9" t="s">
        <v>1467</v>
      </c>
      <c r="D383" s="9" t="s">
        <v>1907</v>
      </c>
      <c r="E383" s="9" t="s">
        <v>1469</v>
      </c>
      <c r="F383" s="9" t="s">
        <v>1908</v>
      </c>
    </row>
    <row r="384">
      <c r="A384" s="9" t="s">
        <v>1909</v>
      </c>
      <c r="B384" s="9" t="s">
        <v>224</v>
      </c>
      <c r="C384" s="9" t="s">
        <v>1467</v>
      </c>
      <c r="D384" s="9" t="s">
        <v>1910</v>
      </c>
      <c r="E384" s="9" t="s">
        <v>1469</v>
      </c>
      <c r="F384" s="9" t="s">
        <v>1911</v>
      </c>
    </row>
    <row r="385">
      <c r="A385" s="9" t="s">
        <v>1912</v>
      </c>
      <c r="B385" s="9" t="s">
        <v>179</v>
      </c>
      <c r="C385" s="9" t="s">
        <v>1467</v>
      </c>
      <c r="D385" s="9" t="s">
        <v>1913</v>
      </c>
      <c r="E385" s="9" t="s">
        <v>1469</v>
      </c>
      <c r="F385" s="9" t="s">
        <v>1914</v>
      </c>
    </row>
    <row r="386">
      <c r="A386" s="9" t="s">
        <v>1915</v>
      </c>
      <c r="B386" s="9" t="s">
        <v>160</v>
      </c>
      <c r="C386" s="9" t="s">
        <v>1467</v>
      </c>
      <c r="D386" s="9" t="s">
        <v>1916</v>
      </c>
      <c r="E386" s="9" t="s">
        <v>1469</v>
      </c>
      <c r="F386" s="9" t="s">
        <v>1917</v>
      </c>
    </row>
    <row r="387">
      <c r="A387" s="9" t="s">
        <v>1918</v>
      </c>
      <c r="B387" s="9" t="s">
        <v>231</v>
      </c>
      <c r="C387" s="9" t="s">
        <v>1467</v>
      </c>
      <c r="D387" s="9" t="s">
        <v>1919</v>
      </c>
      <c r="E387" s="9" t="s">
        <v>1469</v>
      </c>
      <c r="F387" s="9" t="s">
        <v>1920</v>
      </c>
    </row>
    <row r="388">
      <c r="A388" s="9" t="s">
        <v>1921</v>
      </c>
      <c r="B388" s="9" t="s">
        <v>120</v>
      </c>
      <c r="C388" s="9" t="s">
        <v>1467</v>
      </c>
      <c r="D388" s="9" t="s">
        <v>1922</v>
      </c>
      <c r="E388" s="9" t="s">
        <v>1469</v>
      </c>
      <c r="F388" s="9" t="s">
        <v>1923</v>
      </c>
    </row>
    <row r="389">
      <c r="A389" s="9" t="s">
        <v>1924</v>
      </c>
      <c r="B389" s="9" t="s">
        <v>233</v>
      </c>
      <c r="C389" s="9" t="s">
        <v>1467</v>
      </c>
      <c r="D389" s="9" t="s">
        <v>1925</v>
      </c>
      <c r="E389" s="9" t="s">
        <v>1469</v>
      </c>
      <c r="F389" s="9" t="s">
        <v>1926</v>
      </c>
    </row>
    <row r="390">
      <c r="A390" s="9" t="s">
        <v>1927</v>
      </c>
      <c r="B390" s="9" t="s">
        <v>227</v>
      </c>
      <c r="C390" s="9" t="s">
        <v>1467</v>
      </c>
      <c r="D390" s="9" t="s">
        <v>1928</v>
      </c>
      <c r="E390" s="9" t="s">
        <v>1469</v>
      </c>
      <c r="F390" s="9" t="s">
        <v>1929</v>
      </c>
    </row>
    <row r="391">
      <c r="A391" s="9" t="s">
        <v>1930</v>
      </c>
      <c r="B391" s="9" t="s">
        <v>235</v>
      </c>
      <c r="C391" s="9" t="s">
        <v>1467</v>
      </c>
      <c r="D391" s="9" t="s">
        <v>1931</v>
      </c>
      <c r="E391" s="9" t="s">
        <v>1469</v>
      </c>
      <c r="F391" s="9" t="s">
        <v>1932</v>
      </c>
    </row>
    <row r="392">
      <c r="A392" s="9" t="s">
        <v>1933</v>
      </c>
      <c r="B392" s="9" t="s">
        <v>229</v>
      </c>
      <c r="C392" s="9" t="s">
        <v>1467</v>
      </c>
      <c r="D392" s="9" t="s">
        <v>1934</v>
      </c>
      <c r="E392" s="9" t="s">
        <v>1469</v>
      </c>
      <c r="F392" s="9" t="s">
        <v>1935</v>
      </c>
    </row>
    <row r="393">
      <c r="A393" s="9" t="s">
        <v>1936</v>
      </c>
      <c r="B393" s="9" t="s">
        <v>228</v>
      </c>
      <c r="C393" s="9" t="s">
        <v>1467</v>
      </c>
      <c r="D393" s="9" t="s">
        <v>1937</v>
      </c>
      <c r="E393" s="9" t="s">
        <v>1469</v>
      </c>
      <c r="F393" s="9" t="s">
        <v>1938</v>
      </c>
    </row>
    <row r="394">
      <c r="A394" s="9" t="s">
        <v>1939</v>
      </c>
      <c r="B394" s="9" t="s">
        <v>214</v>
      </c>
      <c r="C394" s="9" t="s">
        <v>1467</v>
      </c>
      <c r="D394" s="9" t="s">
        <v>1940</v>
      </c>
      <c r="E394" s="9" t="s">
        <v>1469</v>
      </c>
      <c r="F394" s="9" t="s">
        <v>1941</v>
      </c>
    </row>
    <row r="395">
      <c r="A395" s="9" t="s">
        <v>1942</v>
      </c>
      <c r="B395" s="9" t="s">
        <v>238</v>
      </c>
      <c r="C395" s="9" t="s">
        <v>1467</v>
      </c>
      <c r="D395" s="9" t="s">
        <v>1943</v>
      </c>
      <c r="E395" s="9" t="s">
        <v>1469</v>
      </c>
      <c r="F395" s="9" t="s">
        <v>1944</v>
      </c>
    </row>
    <row r="396">
      <c r="A396" s="9" t="s">
        <v>1945</v>
      </c>
      <c r="B396" s="9" t="s">
        <v>239</v>
      </c>
      <c r="C396" s="9" t="s">
        <v>1467</v>
      </c>
      <c r="D396" s="9" t="s">
        <v>1946</v>
      </c>
      <c r="E396" s="9" t="s">
        <v>1469</v>
      </c>
      <c r="F396" s="9" t="s">
        <v>1947</v>
      </c>
    </row>
    <row r="397">
      <c r="A397" s="9" t="s">
        <v>1948</v>
      </c>
      <c r="B397" s="9" t="s">
        <v>132</v>
      </c>
      <c r="C397" s="9" t="s">
        <v>1467</v>
      </c>
      <c r="D397" s="9" t="s">
        <v>1949</v>
      </c>
      <c r="E397" s="9" t="s">
        <v>1469</v>
      </c>
      <c r="F397" s="9" t="s">
        <v>1950</v>
      </c>
    </row>
    <row r="398">
      <c r="A398" s="9" t="s">
        <v>1951</v>
      </c>
      <c r="B398" s="9" t="s">
        <v>235</v>
      </c>
      <c r="C398" s="9" t="s">
        <v>1467</v>
      </c>
      <c r="D398" s="9" t="s">
        <v>1952</v>
      </c>
      <c r="E398" s="9" t="s">
        <v>1469</v>
      </c>
      <c r="F398" s="9" t="s">
        <v>1953</v>
      </c>
    </row>
    <row r="399">
      <c r="A399" s="9" t="s">
        <v>1954</v>
      </c>
      <c r="B399" s="9" t="s">
        <v>63</v>
      </c>
      <c r="C399" s="9" t="s">
        <v>1467</v>
      </c>
      <c r="D399" s="9" t="s">
        <v>1955</v>
      </c>
      <c r="E399" s="9" t="s">
        <v>1469</v>
      </c>
      <c r="F399" s="9" t="s">
        <v>1956</v>
      </c>
    </row>
    <row r="400">
      <c r="A400" s="9" t="s">
        <v>1957</v>
      </c>
      <c r="B400" s="9" t="s">
        <v>172</v>
      </c>
      <c r="C400" s="9" t="s">
        <v>1467</v>
      </c>
      <c r="D400" s="9" t="s">
        <v>1958</v>
      </c>
      <c r="E400" s="9" t="s">
        <v>1469</v>
      </c>
      <c r="F400" s="9" t="s">
        <v>1959</v>
      </c>
    </row>
    <row r="401">
      <c r="A401" s="9" t="s">
        <v>1960</v>
      </c>
      <c r="B401" s="9" t="s">
        <v>235</v>
      </c>
      <c r="C401" s="9" t="s">
        <v>1467</v>
      </c>
      <c r="D401" s="9" t="s">
        <v>1961</v>
      </c>
      <c r="E401" s="9" t="s">
        <v>1469</v>
      </c>
      <c r="F401" s="9" t="s">
        <v>1962</v>
      </c>
    </row>
    <row r="402">
      <c r="A402" s="9" t="s">
        <v>1963</v>
      </c>
      <c r="B402" s="9" t="s">
        <v>219</v>
      </c>
      <c r="C402" s="9" t="s">
        <v>1467</v>
      </c>
      <c r="D402" s="9" t="s">
        <v>1964</v>
      </c>
      <c r="E402" s="9" t="s">
        <v>1469</v>
      </c>
      <c r="F402" s="9" t="s">
        <v>1965</v>
      </c>
    </row>
    <row r="403">
      <c r="A403" s="9" t="s">
        <v>1966</v>
      </c>
      <c r="B403" s="9" t="s">
        <v>243</v>
      </c>
      <c r="C403" s="9" t="s">
        <v>1467</v>
      </c>
      <c r="D403" s="9" t="s">
        <v>1967</v>
      </c>
      <c r="E403" s="9" t="s">
        <v>1469</v>
      </c>
      <c r="F403" s="9" t="s">
        <v>1968</v>
      </c>
    </row>
    <row r="404">
      <c r="A404" s="9" t="s">
        <v>1969</v>
      </c>
      <c r="B404" s="9" t="s">
        <v>214</v>
      </c>
      <c r="C404" s="9" t="s">
        <v>1467</v>
      </c>
      <c r="D404" s="9" t="s">
        <v>1970</v>
      </c>
      <c r="E404" s="9" t="s">
        <v>1469</v>
      </c>
      <c r="F404" s="9" t="s">
        <v>1971</v>
      </c>
    </row>
    <row r="405">
      <c r="A405" s="9" t="s">
        <v>1972</v>
      </c>
      <c r="B405" s="9" t="s">
        <v>213</v>
      </c>
      <c r="C405" s="9" t="s">
        <v>1467</v>
      </c>
      <c r="D405" s="9" t="s">
        <v>1973</v>
      </c>
      <c r="E405" s="9" t="s">
        <v>1469</v>
      </c>
      <c r="F405" s="9" t="s">
        <v>1974</v>
      </c>
    </row>
    <row r="406">
      <c r="A406" s="9" t="s">
        <v>1975</v>
      </c>
      <c r="B406" s="9" t="s">
        <v>142</v>
      </c>
      <c r="C406" s="9" t="s">
        <v>1467</v>
      </c>
      <c r="D406" s="9" t="s">
        <v>1976</v>
      </c>
      <c r="E406" s="9" t="s">
        <v>1469</v>
      </c>
      <c r="F406" s="9" t="s">
        <v>1977</v>
      </c>
    </row>
    <row r="407">
      <c r="A407" s="9" t="s">
        <v>1978</v>
      </c>
      <c r="B407" s="9" t="s">
        <v>243</v>
      </c>
      <c r="C407" s="9" t="s">
        <v>1467</v>
      </c>
      <c r="D407" s="9" t="s">
        <v>1979</v>
      </c>
      <c r="E407" s="9" t="s">
        <v>1469</v>
      </c>
      <c r="F407" s="9" t="s">
        <v>1980</v>
      </c>
    </row>
    <row r="408">
      <c r="A408" s="9" t="s">
        <v>1981</v>
      </c>
      <c r="B408" s="9" t="s">
        <v>242</v>
      </c>
      <c r="C408" s="9" t="s">
        <v>1467</v>
      </c>
      <c r="D408" s="9" t="s">
        <v>1982</v>
      </c>
      <c r="E408" s="9" t="s">
        <v>1469</v>
      </c>
      <c r="F408" s="9" t="s">
        <v>1983</v>
      </c>
    </row>
    <row r="409">
      <c r="A409" s="9" t="s">
        <v>1984</v>
      </c>
      <c r="B409" s="9" t="s">
        <v>248</v>
      </c>
      <c r="C409" s="9" t="s">
        <v>1467</v>
      </c>
      <c r="D409" s="9" t="s">
        <v>1985</v>
      </c>
      <c r="E409" s="9" t="s">
        <v>1469</v>
      </c>
      <c r="F409" s="9" t="s">
        <v>1986</v>
      </c>
    </row>
    <row r="410">
      <c r="A410" s="9" t="s">
        <v>1987</v>
      </c>
      <c r="B410" s="9" t="s">
        <v>246</v>
      </c>
      <c r="C410" s="9" t="s">
        <v>1467</v>
      </c>
      <c r="D410" s="9" t="s">
        <v>1988</v>
      </c>
      <c r="E410" s="9" t="s">
        <v>1469</v>
      </c>
      <c r="F410" s="9" t="s">
        <v>1989</v>
      </c>
    </row>
    <row r="411">
      <c r="A411" s="9" t="s">
        <v>1990</v>
      </c>
      <c r="B411" s="9" t="s">
        <v>235</v>
      </c>
      <c r="C411" s="9" t="s">
        <v>1467</v>
      </c>
      <c r="D411" s="9" t="s">
        <v>1991</v>
      </c>
      <c r="E411" s="9" t="s">
        <v>1469</v>
      </c>
      <c r="F411" s="9" t="s">
        <v>1992</v>
      </c>
    </row>
    <row r="412">
      <c r="A412" s="9" t="s">
        <v>1993</v>
      </c>
      <c r="B412" s="9" t="s">
        <v>94</v>
      </c>
      <c r="C412" s="9" t="s">
        <v>1467</v>
      </c>
      <c r="D412" s="9" t="s">
        <v>1994</v>
      </c>
      <c r="E412" s="9" t="s">
        <v>1469</v>
      </c>
      <c r="F412" s="9" t="s">
        <v>1995</v>
      </c>
    </row>
    <row r="413">
      <c r="A413" s="9" t="s">
        <v>1996</v>
      </c>
      <c r="B413" s="9" t="s">
        <v>74</v>
      </c>
      <c r="C413" s="9" t="s">
        <v>1467</v>
      </c>
      <c r="D413" s="9" t="s">
        <v>1997</v>
      </c>
      <c r="E413" s="9" t="s">
        <v>1469</v>
      </c>
      <c r="F413" s="9" t="s">
        <v>1998</v>
      </c>
    </row>
    <row r="414">
      <c r="A414" s="9" t="s">
        <v>1999</v>
      </c>
      <c r="B414" s="9" t="s">
        <v>242</v>
      </c>
      <c r="C414" s="9" t="s">
        <v>1467</v>
      </c>
      <c r="D414" s="9" t="s">
        <v>2000</v>
      </c>
      <c r="E414" s="9" t="s">
        <v>1469</v>
      </c>
      <c r="F414" s="9" t="s">
        <v>2001</v>
      </c>
    </row>
    <row r="415">
      <c r="A415" s="9" t="s">
        <v>2002</v>
      </c>
      <c r="B415" s="9" t="s">
        <v>142</v>
      </c>
      <c r="C415" s="9" t="s">
        <v>1467</v>
      </c>
      <c r="D415" s="9" t="s">
        <v>2003</v>
      </c>
      <c r="E415" s="9" t="s">
        <v>1469</v>
      </c>
      <c r="F415" s="9" t="s">
        <v>2004</v>
      </c>
    </row>
    <row r="416">
      <c r="A416" s="9" t="s">
        <v>2005</v>
      </c>
      <c r="B416" s="9" t="s">
        <v>100</v>
      </c>
      <c r="C416" s="9" t="s">
        <v>1467</v>
      </c>
      <c r="D416" s="9" t="s">
        <v>2006</v>
      </c>
      <c r="E416" s="9" t="s">
        <v>1469</v>
      </c>
      <c r="F416" s="9" t="s">
        <v>2007</v>
      </c>
    </row>
    <row r="417">
      <c r="A417" s="9" t="s">
        <v>2008</v>
      </c>
      <c r="B417" s="9" t="s">
        <v>214</v>
      </c>
      <c r="C417" s="9" t="s">
        <v>1467</v>
      </c>
      <c r="D417" s="9" t="s">
        <v>2009</v>
      </c>
      <c r="E417" s="9" t="s">
        <v>1469</v>
      </c>
      <c r="F417" s="9" t="s">
        <v>2010</v>
      </c>
    </row>
    <row r="418">
      <c r="A418" s="9" t="s">
        <v>2011</v>
      </c>
      <c r="B418" s="9" t="s">
        <v>246</v>
      </c>
      <c r="C418" s="9" t="s">
        <v>1467</v>
      </c>
      <c r="D418" s="9" t="s">
        <v>2012</v>
      </c>
      <c r="E418" s="9" t="s">
        <v>1469</v>
      </c>
      <c r="F418" s="9" t="s">
        <v>2013</v>
      </c>
    </row>
    <row r="419">
      <c r="A419" s="9" t="s">
        <v>2014</v>
      </c>
      <c r="B419" s="9" t="s">
        <v>250</v>
      </c>
      <c r="C419" s="9" t="s">
        <v>1467</v>
      </c>
      <c r="D419" s="9" t="s">
        <v>2017</v>
      </c>
      <c r="E419" s="9" t="s">
        <v>1469</v>
      </c>
      <c r="F419" s="9" t="s">
        <v>2019</v>
      </c>
    </row>
    <row r="420">
      <c r="A420" s="9" t="s">
        <v>2020</v>
      </c>
      <c r="B420" s="9" t="s">
        <v>257</v>
      </c>
      <c r="C420" s="9" t="s">
        <v>1467</v>
      </c>
      <c r="D420" s="9" t="s">
        <v>2021</v>
      </c>
      <c r="E420" s="9" t="s">
        <v>1469</v>
      </c>
      <c r="F420" s="9" t="s">
        <v>2022</v>
      </c>
    </row>
    <row r="421">
      <c r="A421" s="9" t="s">
        <v>2023</v>
      </c>
      <c r="B421" s="9" t="s">
        <v>142</v>
      </c>
      <c r="C421" s="9" t="s">
        <v>1467</v>
      </c>
      <c r="D421" s="9" t="s">
        <v>2024</v>
      </c>
      <c r="E421" s="9" t="s">
        <v>1469</v>
      </c>
      <c r="F421" s="9" t="s">
        <v>2025</v>
      </c>
    </row>
    <row r="422">
      <c r="A422" s="9" t="s">
        <v>2026</v>
      </c>
      <c r="B422" s="9" t="s">
        <v>172</v>
      </c>
      <c r="C422" s="9" t="s">
        <v>1467</v>
      </c>
      <c r="D422" s="9" t="s">
        <v>2027</v>
      </c>
      <c r="E422" s="9" t="s">
        <v>1469</v>
      </c>
      <c r="F422" s="9" t="s">
        <v>2028</v>
      </c>
    </row>
    <row r="423">
      <c r="A423" s="9" t="s">
        <v>2029</v>
      </c>
      <c r="B423" s="9" t="s">
        <v>245</v>
      </c>
      <c r="C423" s="9" t="s">
        <v>1467</v>
      </c>
      <c r="D423" s="9" t="s">
        <v>2030</v>
      </c>
      <c r="E423" s="9" t="s">
        <v>1469</v>
      </c>
      <c r="F423" s="9" t="s">
        <v>2031</v>
      </c>
    </row>
    <row r="424">
      <c r="A424" s="9" t="s">
        <v>2032</v>
      </c>
      <c r="B424" s="9" t="s">
        <v>229</v>
      </c>
      <c r="C424" s="9" t="s">
        <v>1467</v>
      </c>
      <c r="D424" s="9" t="s">
        <v>2033</v>
      </c>
      <c r="E424" s="9" t="s">
        <v>1469</v>
      </c>
      <c r="F424" s="9" t="s">
        <v>2034</v>
      </c>
    </row>
    <row r="425">
      <c r="A425" s="9" t="s">
        <v>2035</v>
      </c>
      <c r="B425" s="9" t="s">
        <v>260</v>
      </c>
      <c r="C425" s="9" t="s">
        <v>1467</v>
      </c>
      <c r="D425" s="9" t="s">
        <v>2036</v>
      </c>
      <c r="E425" s="9" t="s">
        <v>1469</v>
      </c>
      <c r="F425" s="9" t="s">
        <v>2037</v>
      </c>
    </row>
    <row r="426">
      <c r="A426" s="9" t="s">
        <v>2038</v>
      </c>
      <c r="B426" s="9" t="s">
        <v>261</v>
      </c>
      <c r="C426" s="9" t="s">
        <v>1467</v>
      </c>
      <c r="D426" s="9" t="s">
        <v>2039</v>
      </c>
      <c r="E426" s="9" t="s">
        <v>1469</v>
      </c>
      <c r="F426" s="9" t="s">
        <v>2040</v>
      </c>
    </row>
    <row r="427">
      <c r="A427" s="9" t="s">
        <v>2041</v>
      </c>
      <c r="B427" s="9" t="s">
        <v>246</v>
      </c>
      <c r="C427" s="9" t="s">
        <v>1467</v>
      </c>
      <c r="D427" s="9" t="s">
        <v>2042</v>
      </c>
      <c r="E427" s="9" t="s">
        <v>1469</v>
      </c>
      <c r="F427" s="9" t="s">
        <v>2043</v>
      </c>
    </row>
    <row r="428">
      <c r="A428" s="9" t="s">
        <v>2044</v>
      </c>
      <c r="B428" s="9" t="s">
        <v>250</v>
      </c>
      <c r="C428" s="9" t="s">
        <v>1467</v>
      </c>
      <c r="D428" s="9" t="s">
        <v>2045</v>
      </c>
      <c r="E428" s="9" t="s">
        <v>1469</v>
      </c>
      <c r="F428" s="9" t="s">
        <v>2046</v>
      </c>
    </row>
    <row r="429">
      <c r="A429" s="9" t="s">
        <v>2047</v>
      </c>
      <c r="B429" s="9" t="s">
        <v>253</v>
      </c>
      <c r="C429" s="9" t="s">
        <v>1467</v>
      </c>
      <c r="D429" s="9" t="s">
        <v>2048</v>
      </c>
      <c r="E429" s="9" t="s">
        <v>1469</v>
      </c>
      <c r="F429" s="9" t="s">
        <v>2049</v>
      </c>
    </row>
    <row r="430">
      <c r="A430" s="9" t="s">
        <v>2050</v>
      </c>
      <c r="B430" s="9" t="s">
        <v>261</v>
      </c>
      <c r="C430" s="9" t="s">
        <v>1467</v>
      </c>
      <c r="D430" s="9" t="s">
        <v>2051</v>
      </c>
      <c r="E430" s="9" t="s">
        <v>1469</v>
      </c>
      <c r="F430" s="9" t="s">
        <v>2052</v>
      </c>
    </row>
    <row r="431">
      <c r="A431" s="9" t="s">
        <v>2053</v>
      </c>
      <c r="B431" s="9" t="s">
        <v>257</v>
      </c>
      <c r="C431" s="9" t="s">
        <v>1467</v>
      </c>
      <c r="D431" s="9" t="s">
        <v>2054</v>
      </c>
      <c r="E431" s="9" t="s">
        <v>1469</v>
      </c>
      <c r="F431" s="9" t="s">
        <v>2055</v>
      </c>
    </row>
    <row r="432">
      <c r="A432" s="9" t="s">
        <v>2056</v>
      </c>
      <c r="B432" s="9" t="s">
        <v>260</v>
      </c>
      <c r="C432" s="9" t="s">
        <v>1467</v>
      </c>
      <c r="D432" s="9" t="s">
        <v>2057</v>
      </c>
      <c r="E432" s="9" t="s">
        <v>1469</v>
      </c>
      <c r="F432" s="9" t="s">
        <v>2058</v>
      </c>
    </row>
    <row r="433">
      <c r="A433" s="9" t="s">
        <v>2059</v>
      </c>
      <c r="B433" s="9" t="s">
        <v>253</v>
      </c>
      <c r="C433" s="9" t="s">
        <v>1467</v>
      </c>
      <c r="D433" s="9" t="s">
        <v>2060</v>
      </c>
      <c r="E433" s="9" t="s">
        <v>1469</v>
      </c>
      <c r="F433" s="9" t="s">
        <v>2061</v>
      </c>
    </row>
    <row r="434">
      <c r="A434" s="9" t="s">
        <v>2062</v>
      </c>
      <c r="B434" s="9" t="s">
        <v>246</v>
      </c>
      <c r="C434" s="9" t="s">
        <v>1467</v>
      </c>
      <c r="D434" s="9" t="s">
        <v>2063</v>
      </c>
      <c r="E434" s="9" t="s">
        <v>1469</v>
      </c>
      <c r="F434" s="9" t="s">
        <v>2064</v>
      </c>
    </row>
    <row r="435">
      <c r="A435" s="9" t="s">
        <v>2065</v>
      </c>
      <c r="B435" s="9" t="s">
        <v>94</v>
      </c>
      <c r="C435" s="9" t="s">
        <v>1467</v>
      </c>
      <c r="D435" s="9" t="s">
        <v>2066</v>
      </c>
      <c r="E435" s="9" t="s">
        <v>1469</v>
      </c>
      <c r="F435" s="9" t="s">
        <v>2067</v>
      </c>
    </row>
    <row r="436">
      <c r="A436" s="9" t="s">
        <v>2068</v>
      </c>
      <c r="B436" s="9" t="s">
        <v>233</v>
      </c>
      <c r="C436" s="9" t="s">
        <v>1467</v>
      </c>
      <c r="D436" s="9" t="s">
        <v>2069</v>
      </c>
      <c r="E436" s="9" t="s">
        <v>1469</v>
      </c>
      <c r="F436" s="9" t="s">
        <v>2070</v>
      </c>
    </row>
    <row r="437">
      <c r="A437" s="9" t="s">
        <v>2071</v>
      </c>
      <c r="B437" s="9" t="s">
        <v>264</v>
      </c>
      <c r="C437" s="9" t="s">
        <v>1467</v>
      </c>
      <c r="D437" s="9" t="s">
        <v>2072</v>
      </c>
      <c r="E437" s="9" t="s">
        <v>1469</v>
      </c>
      <c r="F437" s="9" t="s">
        <v>2073</v>
      </c>
    </row>
    <row r="438">
      <c r="A438" s="9" t="s">
        <v>2074</v>
      </c>
      <c r="B438" s="9" t="s">
        <v>134</v>
      </c>
      <c r="C438" s="9" t="s">
        <v>1467</v>
      </c>
      <c r="D438" s="9" t="s">
        <v>2075</v>
      </c>
      <c r="E438" s="9" t="s">
        <v>1469</v>
      </c>
      <c r="F438" s="9" t="s">
        <v>2076</v>
      </c>
    </row>
    <row r="439">
      <c r="A439" s="9" t="s">
        <v>2077</v>
      </c>
      <c r="B439" s="9" t="s">
        <v>267</v>
      </c>
      <c r="C439" s="9" t="s">
        <v>1467</v>
      </c>
      <c r="D439" s="9" t="s">
        <v>2078</v>
      </c>
      <c r="E439" s="9" t="s">
        <v>1469</v>
      </c>
      <c r="F439" s="9" t="s">
        <v>2079</v>
      </c>
    </row>
    <row r="440">
      <c r="A440" s="9" t="s">
        <v>2080</v>
      </c>
      <c r="B440" s="9" t="s">
        <v>264</v>
      </c>
      <c r="C440" s="9" t="s">
        <v>1467</v>
      </c>
      <c r="D440" s="9" t="s">
        <v>2081</v>
      </c>
      <c r="E440" s="9" t="s">
        <v>1469</v>
      </c>
      <c r="F440" s="9" t="s">
        <v>2082</v>
      </c>
    </row>
    <row r="441">
      <c r="A441" s="9" t="s">
        <v>2083</v>
      </c>
      <c r="B441" s="9" t="s">
        <v>152</v>
      </c>
      <c r="C441" s="9" t="s">
        <v>1467</v>
      </c>
      <c r="D441" s="9" t="s">
        <v>2084</v>
      </c>
      <c r="E441" s="9" t="s">
        <v>1469</v>
      </c>
      <c r="F441" s="9" t="s">
        <v>2085</v>
      </c>
    </row>
    <row r="442">
      <c r="A442" s="9" t="s">
        <v>2086</v>
      </c>
      <c r="B442" s="9" t="s">
        <v>134</v>
      </c>
      <c r="C442" s="9" t="s">
        <v>1467</v>
      </c>
      <c r="D442" s="9" t="s">
        <v>2087</v>
      </c>
      <c r="E442" s="9" t="s">
        <v>1469</v>
      </c>
      <c r="F442" s="9" t="s">
        <v>2088</v>
      </c>
    </row>
    <row r="443">
      <c r="A443" s="9" t="s">
        <v>2089</v>
      </c>
      <c r="B443" s="9" t="s">
        <v>269</v>
      </c>
      <c r="C443" s="9" t="s">
        <v>1467</v>
      </c>
      <c r="D443" s="9" t="s">
        <v>2090</v>
      </c>
      <c r="E443" s="9" t="s">
        <v>1469</v>
      </c>
      <c r="F443" s="9" t="s">
        <v>2091</v>
      </c>
    </row>
    <row r="444">
      <c r="A444" s="9" t="s">
        <v>2092</v>
      </c>
      <c r="B444" s="9" t="s">
        <v>239</v>
      </c>
      <c r="C444" s="9" t="s">
        <v>1467</v>
      </c>
      <c r="D444" s="9" t="s">
        <v>2093</v>
      </c>
      <c r="E444" s="9" t="s">
        <v>1469</v>
      </c>
      <c r="F444" s="9" t="s">
        <v>2094</v>
      </c>
    </row>
    <row r="445">
      <c r="A445" s="9" t="s">
        <v>2095</v>
      </c>
      <c r="B445" s="9" t="s">
        <v>167</v>
      </c>
      <c r="C445" s="9" t="s">
        <v>1467</v>
      </c>
      <c r="D445" s="9" t="s">
        <v>2096</v>
      </c>
      <c r="E445" s="9" t="s">
        <v>1469</v>
      </c>
      <c r="F445" s="9" t="s">
        <v>2097</v>
      </c>
    </row>
    <row r="446">
      <c r="A446" s="9" t="s">
        <v>2098</v>
      </c>
      <c r="B446" s="9" t="s">
        <v>150</v>
      </c>
      <c r="C446" s="9" t="s">
        <v>1467</v>
      </c>
      <c r="D446" s="9" t="s">
        <v>2099</v>
      </c>
      <c r="E446" s="9" t="s">
        <v>1469</v>
      </c>
      <c r="F446" s="9" t="s">
        <v>2100</v>
      </c>
    </row>
    <row r="447">
      <c r="A447" s="9" t="s">
        <v>2101</v>
      </c>
      <c r="B447" s="9" t="s">
        <v>186</v>
      </c>
      <c r="C447" s="9" t="s">
        <v>1467</v>
      </c>
      <c r="D447" s="9" t="s">
        <v>2102</v>
      </c>
      <c r="E447" s="9" t="s">
        <v>1469</v>
      </c>
      <c r="F447" s="9" t="s">
        <v>2103</v>
      </c>
    </row>
    <row r="448">
      <c r="A448" s="9" t="s">
        <v>2104</v>
      </c>
      <c r="B448" s="9" t="s">
        <v>152</v>
      </c>
      <c r="C448" s="9" t="s">
        <v>1467</v>
      </c>
      <c r="D448" s="9" t="s">
        <v>2105</v>
      </c>
      <c r="E448" s="9" t="s">
        <v>1469</v>
      </c>
      <c r="F448" s="9" t="s">
        <v>2106</v>
      </c>
    </row>
    <row r="449">
      <c r="A449" s="9" t="s">
        <v>2107</v>
      </c>
      <c r="B449" s="9" t="s">
        <v>275</v>
      </c>
      <c r="C449" s="9" t="s">
        <v>1467</v>
      </c>
      <c r="D449" s="9" t="s">
        <v>2108</v>
      </c>
      <c r="E449" s="9" t="s">
        <v>1469</v>
      </c>
      <c r="F449" s="9" t="s">
        <v>2109</v>
      </c>
    </row>
    <row r="450">
      <c r="A450" s="9" t="s">
        <v>2110</v>
      </c>
      <c r="B450" s="9" t="s">
        <v>271</v>
      </c>
      <c r="C450" s="9" t="s">
        <v>1467</v>
      </c>
      <c r="D450" s="9" t="s">
        <v>2111</v>
      </c>
      <c r="E450" s="9" t="s">
        <v>1469</v>
      </c>
      <c r="F450" s="9" t="s">
        <v>2112</v>
      </c>
    </row>
    <row r="451">
      <c r="A451" s="9" t="s">
        <v>2113</v>
      </c>
      <c r="B451" s="9" t="s">
        <v>186</v>
      </c>
      <c r="C451" s="9" t="s">
        <v>1467</v>
      </c>
      <c r="D451" s="9" t="s">
        <v>2114</v>
      </c>
      <c r="E451" s="9" t="s">
        <v>1469</v>
      </c>
      <c r="F451" s="9" t="s">
        <v>2115</v>
      </c>
    </row>
    <row r="452">
      <c r="A452" s="9" t="s">
        <v>2116</v>
      </c>
      <c r="B452" s="9" t="s">
        <v>275</v>
      </c>
      <c r="C452" s="9" t="s">
        <v>1467</v>
      </c>
      <c r="D452" s="9" t="s">
        <v>2117</v>
      </c>
      <c r="E452" s="9" t="s">
        <v>1469</v>
      </c>
      <c r="F452" s="9" t="s">
        <v>2118</v>
      </c>
    </row>
    <row r="453">
      <c r="A453" s="9" t="s">
        <v>2119</v>
      </c>
      <c r="B453" s="9" t="s">
        <v>274</v>
      </c>
      <c r="C453" s="9" t="s">
        <v>1467</v>
      </c>
      <c r="D453" s="9" t="s">
        <v>2120</v>
      </c>
      <c r="E453" s="9" t="s">
        <v>1469</v>
      </c>
      <c r="F453" s="9" t="s">
        <v>2121</v>
      </c>
    </row>
    <row r="454">
      <c r="A454" s="9" t="s">
        <v>2122</v>
      </c>
      <c r="B454" s="9" t="s">
        <v>154</v>
      </c>
      <c r="C454" s="9" t="s">
        <v>1467</v>
      </c>
      <c r="D454" s="9" t="s">
        <v>2123</v>
      </c>
      <c r="E454" s="9" t="s">
        <v>1469</v>
      </c>
      <c r="F454" s="9" t="s">
        <v>2124</v>
      </c>
    </row>
    <row r="455">
      <c r="A455" s="9" t="s">
        <v>2125</v>
      </c>
      <c r="B455" s="9" t="s">
        <v>165</v>
      </c>
      <c r="C455" s="9" t="s">
        <v>1467</v>
      </c>
      <c r="D455" s="9" t="s">
        <v>2126</v>
      </c>
      <c r="E455" s="9" t="s">
        <v>1469</v>
      </c>
      <c r="F455" s="9" t="s">
        <v>2127</v>
      </c>
    </row>
    <row r="456">
      <c r="A456" s="9" t="s">
        <v>2128</v>
      </c>
      <c r="B456" s="9" t="s">
        <v>277</v>
      </c>
      <c r="C456" s="9" t="s">
        <v>1467</v>
      </c>
      <c r="D456" s="9" t="s">
        <v>2129</v>
      </c>
      <c r="E456" s="9" t="s">
        <v>1469</v>
      </c>
      <c r="F456" s="9" t="s">
        <v>2130</v>
      </c>
    </row>
    <row r="457">
      <c r="A457" s="9" t="s">
        <v>2131</v>
      </c>
      <c r="B457" s="9" t="s">
        <v>276</v>
      </c>
      <c r="C457" s="9" t="s">
        <v>1467</v>
      </c>
      <c r="D457" s="9" t="s">
        <v>2132</v>
      </c>
      <c r="E457" s="9" t="s">
        <v>1469</v>
      </c>
      <c r="F457" s="9" t="s">
        <v>2133</v>
      </c>
    </row>
    <row r="458">
      <c r="A458" s="9" t="s">
        <v>2134</v>
      </c>
      <c r="B458" s="9" t="s">
        <v>273</v>
      </c>
      <c r="C458" s="9" t="s">
        <v>1467</v>
      </c>
      <c r="D458" s="9" t="s">
        <v>2135</v>
      </c>
      <c r="E458" s="9" t="s">
        <v>1469</v>
      </c>
      <c r="F458" s="9" t="s">
        <v>2136</v>
      </c>
    </row>
    <row r="459">
      <c r="A459" s="9" t="s">
        <v>2137</v>
      </c>
      <c r="B459" s="9" t="s">
        <v>261</v>
      </c>
      <c r="C459" s="9" t="s">
        <v>1467</v>
      </c>
      <c r="D459" s="9" t="s">
        <v>2138</v>
      </c>
      <c r="E459" s="9" t="s">
        <v>1469</v>
      </c>
      <c r="F459" s="9" t="s">
        <v>2139</v>
      </c>
    </row>
    <row r="460">
      <c r="A460" s="9" t="s">
        <v>2140</v>
      </c>
      <c r="B460" s="9" t="s">
        <v>274</v>
      </c>
      <c r="C460" s="9" t="s">
        <v>1467</v>
      </c>
      <c r="D460" s="9" t="s">
        <v>2141</v>
      </c>
      <c r="E460" s="9" t="s">
        <v>1469</v>
      </c>
      <c r="F460" s="9" t="s">
        <v>2142</v>
      </c>
    </row>
    <row r="461">
      <c r="A461" s="9" t="s">
        <v>2143</v>
      </c>
      <c r="B461" s="9" t="s">
        <v>169</v>
      </c>
      <c r="C461" s="9" t="s">
        <v>1467</v>
      </c>
      <c r="D461" s="9" t="s">
        <v>2144</v>
      </c>
      <c r="E461" s="9" t="s">
        <v>1469</v>
      </c>
      <c r="F461" s="9" t="s">
        <v>2146</v>
      </c>
    </row>
    <row r="462">
      <c r="A462" s="9" t="s">
        <v>2148</v>
      </c>
      <c r="B462" s="9" t="s">
        <v>152</v>
      </c>
      <c r="C462" s="9" t="s">
        <v>1467</v>
      </c>
      <c r="D462" s="9" t="s">
        <v>2150</v>
      </c>
      <c r="E462" s="9" t="s">
        <v>1469</v>
      </c>
      <c r="F462" s="9" t="s">
        <v>2151</v>
      </c>
    </row>
    <row r="463">
      <c r="A463" s="9" t="s">
        <v>2152</v>
      </c>
      <c r="B463" s="9" t="s">
        <v>278</v>
      </c>
      <c r="C463" s="9" t="s">
        <v>1467</v>
      </c>
      <c r="D463" s="9" t="s">
        <v>2153</v>
      </c>
      <c r="E463" s="9" t="s">
        <v>1469</v>
      </c>
      <c r="F463" s="9" t="s">
        <v>2154</v>
      </c>
    </row>
    <row r="464">
      <c r="A464" s="9" t="s">
        <v>2155</v>
      </c>
      <c r="B464" s="9" t="s">
        <v>280</v>
      </c>
      <c r="C464" s="9" t="s">
        <v>1467</v>
      </c>
      <c r="D464" s="9" t="s">
        <v>2156</v>
      </c>
      <c r="E464" s="9" t="s">
        <v>1469</v>
      </c>
      <c r="F464" s="9" t="s">
        <v>2157</v>
      </c>
    </row>
    <row r="465">
      <c r="A465" s="9" t="s">
        <v>2158</v>
      </c>
      <c r="B465" s="9" t="s">
        <v>169</v>
      </c>
      <c r="C465" s="9" t="s">
        <v>1467</v>
      </c>
      <c r="D465" s="9" t="s">
        <v>2159</v>
      </c>
      <c r="E465" s="9" t="s">
        <v>1469</v>
      </c>
      <c r="F465" s="9" t="s">
        <v>2160</v>
      </c>
    </row>
    <row r="466">
      <c r="A466" s="9" t="s">
        <v>2161</v>
      </c>
      <c r="B466" s="9" t="s">
        <v>95</v>
      </c>
      <c r="C466" s="9" t="s">
        <v>1467</v>
      </c>
      <c r="D466" s="9" t="s">
        <v>2162</v>
      </c>
      <c r="E466" s="9" t="s">
        <v>1469</v>
      </c>
      <c r="F466" s="9" t="s">
        <v>2163</v>
      </c>
    </row>
    <row r="467">
      <c r="A467" s="9" t="s">
        <v>2164</v>
      </c>
      <c r="B467" s="9" t="s">
        <v>195</v>
      </c>
      <c r="C467" s="9" t="s">
        <v>1467</v>
      </c>
      <c r="D467" s="9" t="s">
        <v>2165</v>
      </c>
      <c r="E467" s="9" t="s">
        <v>1469</v>
      </c>
      <c r="F467" s="9" t="s">
        <v>2166</v>
      </c>
    </row>
    <row r="468">
      <c r="A468" s="9" t="s">
        <v>2167</v>
      </c>
      <c r="B468" s="9" t="s">
        <v>187</v>
      </c>
      <c r="C468" s="9" t="s">
        <v>1467</v>
      </c>
      <c r="D468" s="9" t="s">
        <v>2168</v>
      </c>
      <c r="E468" s="9" t="s">
        <v>1469</v>
      </c>
      <c r="F468" s="9" t="s">
        <v>2169</v>
      </c>
    </row>
    <row r="469">
      <c r="A469" s="9" t="s">
        <v>2170</v>
      </c>
      <c r="B469" s="9" t="s">
        <v>185</v>
      </c>
      <c r="C469" s="9" t="s">
        <v>1467</v>
      </c>
      <c r="D469" s="9" t="s">
        <v>2171</v>
      </c>
      <c r="E469" s="9" t="s">
        <v>1469</v>
      </c>
      <c r="F469" s="9" t="s">
        <v>2172</v>
      </c>
    </row>
    <row r="470">
      <c r="A470" s="9" t="s">
        <v>2173</v>
      </c>
      <c r="B470" s="9" t="s">
        <v>79</v>
      </c>
      <c r="C470" s="9" t="s">
        <v>1467</v>
      </c>
      <c r="D470" s="9" t="s">
        <v>2174</v>
      </c>
      <c r="E470" s="9" t="s">
        <v>1469</v>
      </c>
      <c r="F470" s="9" t="s">
        <v>2175</v>
      </c>
    </row>
    <row r="471">
      <c r="A471" s="9" t="s">
        <v>2176</v>
      </c>
      <c r="B471" s="9" t="s">
        <v>282</v>
      </c>
      <c r="C471" s="9" t="s">
        <v>1467</v>
      </c>
      <c r="D471" s="9" t="s">
        <v>2177</v>
      </c>
      <c r="E471" s="9" t="s">
        <v>1469</v>
      </c>
      <c r="F471" s="9" t="s">
        <v>2178</v>
      </c>
    </row>
    <row r="472">
      <c r="A472" s="9" t="s">
        <v>2179</v>
      </c>
      <c r="B472" s="9" t="s">
        <v>282</v>
      </c>
      <c r="C472" s="9" t="s">
        <v>1467</v>
      </c>
      <c r="D472" s="9" t="s">
        <v>2180</v>
      </c>
      <c r="E472" s="9" t="s">
        <v>1469</v>
      </c>
      <c r="F472" s="9" t="s">
        <v>2181</v>
      </c>
    </row>
    <row r="473">
      <c r="A473" s="9" t="s">
        <v>2182</v>
      </c>
      <c r="B473" s="9" t="s">
        <v>284</v>
      </c>
      <c r="C473" s="9" t="s">
        <v>1467</v>
      </c>
      <c r="D473" s="9" t="s">
        <v>2183</v>
      </c>
      <c r="E473" s="9" t="s">
        <v>1469</v>
      </c>
      <c r="F473" s="9" t="s">
        <v>2184</v>
      </c>
    </row>
    <row r="474">
      <c r="A474" s="9" t="s">
        <v>2185</v>
      </c>
      <c r="B474" s="9" t="s">
        <v>286</v>
      </c>
      <c r="C474" s="9" t="s">
        <v>1467</v>
      </c>
      <c r="D474" s="9" t="s">
        <v>2186</v>
      </c>
      <c r="E474" s="9" t="s">
        <v>1469</v>
      </c>
      <c r="F474" s="9" t="s">
        <v>2187</v>
      </c>
    </row>
    <row r="475">
      <c r="A475" s="9" t="s">
        <v>2188</v>
      </c>
      <c r="B475" s="9" t="s">
        <v>286</v>
      </c>
      <c r="C475" s="9" t="s">
        <v>1467</v>
      </c>
      <c r="D475" s="9" t="s">
        <v>2189</v>
      </c>
      <c r="E475" s="9" t="s">
        <v>1469</v>
      </c>
      <c r="F475" s="9" t="s">
        <v>2190</v>
      </c>
    </row>
    <row r="476">
      <c r="A476" s="9" t="s">
        <v>2191</v>
      </c>
      <c r="B476" s="9" t="s">
        <v>61</v>
      </c>
      <c r="C476" s="9" t="s">
        <v>1467</v>
      </c>
      <c r="D476" s="9" t="s">
        <v>2192</v>
      </c>
      <c r="E476" s="9" t="s">
        <v>1469</v>
      </c>
      <c r="F476" s="9" t="s">
        <v>2193</v>
      </c>
    </row>
    <row r="477">
      <c r="A477" s="9" t="s">
        <v>2194</v>
      </c>
      <c r="B477" s="9" t="s">
        <v>237</v>
      </c>
      <c r="C477" s="9" t="s">
        <v>1467</v>
      </c>
      <c r="D477" s="9" t="s">
        <v>2195</v>
      </c>
      <c r="E477" s="9" t="s">
        <v>1469</v>
      </c>
      <c r="F477" s="9" t="s">
        <v>2196</v>
      </c>
    </row>
    <row r="478">
      <c r="A478" s="9" t="s">
        <v>2197</v>
      </c>
      <c r="B478" s="9" t="s">
        <v>61</v>
      </c>
      <c r="C478" s="9" t="s">
        <v>1467</v>
      </c>
      <c r="D478" s="9" t="s">
        <v>2198</v>
      </c>
      <c r="E478" s="9" t="s">
        <v>1469</v>
      </c>
      <c r="F478" s="9" t="s">
        <v>2199</v>
      </c>
    </row>
    <row r="479">
      <c r="A479" s="9" t="s">
        <v>2200</v>
      </c>
      <c r="B479" s="9" t="s">
        <v>273</v>
      </c>
      <c r="C479" s="9" t="s">
        <v>1467</v>
      </c>
      <c r="D479" s="9" t="s">
        <v>2201</v>
      </c>
      <c r="E479" s="9" t="s">
        <v>1469</v>
      </c>
      <c r="F479" s="9" t="s">
        <v>2202</v>
      </c>
    </row>
    <row r="480">
      <c r="A480" s="9" t="s">
        <v>2203</v>
      </c>
      <c r="B480" s="9" t="s">
        <v>161</v>
      </c>
      <c r="C480" s="9" t="s">
        <v>1467</v>
      </c>
      <c r="D480" s="9" t="s">
        <v>2204</v>
      </c>
      <c r="E480" s="9" t="s">
        <v>1469</v>
      </c>
      <c r="F480" s="9" t="s">
        <v>2205</v>
      </c>
    </row>
    <row r="481">
      <c r="A481" s="9" t="s">
        <v>2206</v>
      </c>
      <c r="B481" s="9" t="s">
        <v>288</v>
      </c>
      <c r="C481" s="9" t="s">
        <v>1467</v>
      </c>
      <c r="D481" s="9" t="s">
        <v>2207</v>
      </c>
      <c r="E481" s="9" t="s">
        <v>1469</v>
      </c>
      <c r="F481" s="9" t="s">
        <v>2208</v>
      </c>
    </row>
    <row r="482">
      <c r="A482" s="9" t="s">
        <v>2209</v>
      </c>
      <c r="B482" s="9" t="s">
        <v>279</v>
      </c>
      <c r="C482" s="9" t="s">
        <v>1467</v>
      </c>
      <c r="D482" s="9" t="s">
        <v>2210</v>
      </c>
      <c r="E482" s="9" t="s">
        <v>1469</v>
      </c>
      <c r="F482" s="9" t="s">
        <v>2211</v>
      </c>
    </row>
    <row r="483">
      <c r="A483" s="9" t="s">
        <v>2212</v>
      </c>
      <c r="B483" s="9" t="s">
        <v>277</v>
      </c>
      <c r="C483" s="9" t="s">
        <v>1467</v>
      </c>
      <c r="D483" s="9" t="s">
        <v>2213</v>
      </c>
      <c r="E483" s="9" t="s">
        <v>1469</v>
      </c>
      <c r="F483" s="9" t="s">
        <v>2214</v>
      </c>
    </row>
    <row r="484">
      <c r="A484" s="9" t="s">
        <v>2215</v>
      </c>
      <c r="B484" s="9" t="s">
        <v>100</v>
      </c>
      <c r="C484" s="9" t="s">
        <v>1467</v>
      </c>
      <c r="D484" s="9" t="s">
        <v>2216</v>
      </c>
      <c r="E484" s="9" t="s">
        <v>1469</v>
      </c>
      <c r="F484" s="9" t="s">
        <v>2217</v>
      </c>
    </row>
    <row r="485">
      <c r="A485" s="9" t="s">
        <v>2218</v>
      </c>
      <c r="B485" s="9" t="s">
        <v>261</v>
      </c>
      <c r="C485" s="9" t="s">
        <v>1467</v>
      </c>
      <c r="D485" s="9" t="s">
        <v>2219</v>
      </c>
      <c r="E485" s="9" t="s">
        <v>1469</v>
      </c>
      <c r="F485" s="9" t="s">
        <v>2220</v>
      </c>
    </row>
    <row r="486">
      <c r="A486" s="9" t="s">
        <v>2221</v>
      </c>
      <c r="B486" s="9" t="s">
        <v>274</v>
      </c>
      <c r="C486" s="9" t="s">
        <v>1467</v>
      </c>
      <c r="D486" s="9" t="s">
        <v>2222</v>
      </c>
      <c r="E486" s="9" t="s">
        <v>1469</v>
      </c>
      <c r="F486" s="9" t="s">
        <v>2223</v>
      </c>
    </row>
    <row r="487">
      <c r="A487" s="9" t="s">
        <v>2224</v>
      </c>
      <c r="B487" s="9" t="s">
        <v>289</v>
      </c>
      <c r="C487" s="9" t="s">
        <v>1467</v>
      </c>
      <c r="D487" s="9" t="s">
        <v>2225</v>
      </c>
      <c r="E487" s="9" t="s">
        <v>1469</v>
      </c>
      <c r="F487" s="9" t="s">
        <v>2226</v>
      </c>
    </row>
    <row r="488">
      <c r="A488" s="9" t="s">
        <v>2227</v>
      </c>
      <c r="B488" s="9" t="s">
        <v>204</v>
      </c>
      <c r="C488" s="9" t="s">
        <v>1467</v>
      </c>
      <c r="D488" s="9" t="s">
        <v>2228</v>
      </c>
      <c r="E488" s="9" t="s">
        <v>1469</v>
      </c>
      <c r="F488" s="9" t="s">
        <v>2229</v>
      </c>
    </row>
    <row r="489">
      <c r="A489" s="9" t="s">
        <v>2230</v>
      </c>
      <c r="B489" s="9" t="s">
        <v>277</v>
      </c>
      <c r="C489" s="9" t="s">
        <v>1467</v>
      </c>
      <c r="D489" s="9" t="s">
        <v>2231</v>
      </c>
      <c r="E489" s="9" t="s">
        <v>1469</v>
      </c>
      <c r="F489" s="9" t="s">
        <v>2232</v>
      </c>
    </row>
    <row r="490">
      <c r="A490" s="9" t="s">
        <v>2233</v>
      </c>
      <c r="B490" s="9" t="s">
        <v>277</v>
      </c>
      <c r="C490" s="9" t="s">
        <v>1467</v>
      </c>
      <c r="D490" s="9" t="s">
        <v>2234</v>
      </c>
      <c r="E490" s="9" t="s">
        <v>1469</v>
      </c>
      <c r="F490" s="9" t="s">
        <v>2235</v>
      </c>
    </row>
    <row r="491">
      <c r="A491" s="9" t="s">
        <v>2236</v>
      </c>
      <c r="B491" s="9" t="s">
        <v>181</v>
      </c>
      <c r="C491" s="9" t="s">
        <v>1467</v>
      </c>
      <c r="D491" s="9" t="s">
        <v>2237</v>
      </c>
      <c r="E491" s="9" t="s">
        <v>1469</v>
      </c>
      <c r="F491" s="9" t="s">
        <v>2238</v>
      </c>
    </row>
    <row r="492">
      <c r="A492" s="9" t="s">
        <v>2239</v>
      </c>
      <c r="B492" s="9" t="s">
        <v>279</v>
      </c>
      <c r="C492" s="9" t="s">
        <v>1467</v>
      </c>
      <c r="D492" s="9" t="s">
        <v>2240</v>
      </c>
      <c r="E492" s="9" t="s">
        <v>1469</v>
      </c>
      <c r="F492" s="9" t="s">
        <v>2241</v>
      </c>
    </row>
    <row r="493">
      <c r="A493" s="9" t="s">
        <v>2242</v>
      </c>
      <c r="B493" s="9" t="s">
        <v>247</v>
      </c>
      <c r="C493" s="9" t="s">
        <v>1467</v>
      </c>
      <c r="D493" s="9" t="s">
        <v>2243</v>
      </c>
      <c r="E493" s="9" t="s">
        <v>1469</v>
      </c>
      <c r="F493" s="9" t="s">
        <v>2244</v>
      </c>
    </row>
    <row r="494">
      <c r="A494" s="9" t="s">
        <v>2245</v>
      </c>
      <c r="B494" s="9" t="s">
        <v>247</v>
      </c>
      <c r="C494" s="9" t="s">
        <v>1467</v>
      </c>
      <c r="D494" s="9" t="s">
        <v>2246</v>
      </c>
      <c r="E494" s="9" t="s">
        <v>1469</v>
      </c>
      <c r="F494" s="9" t="s">
        <v>2247</v>
      </c>
    </row>
    <row r="495">
      <c r="A495" s="9" t="s">
        <v>2248</v>
      </c>
      <c r="B495" s="9" t="s">
        <v>291</v>
      </c>
      <c r="C495" s="9" t="s">
        <v>1467</v>
      </c>
      <c r="D495" s="9" t="s">
        <v>2249</v>
      </c>
      <c r="E495" s="9" t="s">
        <v>1469</v>
      </c>
      <c r="F495" s="9" t="s">
        <v>2250</v>
      </c>
    </row>
    <row r="496">
      <c r="A496" s="9" t="s">
        <v>2251</v>
      </c>
      <c r="B496" s="9" t="s">
        <v>109</v>
      </c>
      <c r="C496" s="9" t="s">
        <v>1467</v>
      </c>
      <c r="D496" s="9" t="s">
        <v>2252</v>
      </c>
      <c r="E496" s="9" t="s">
        <v>1469</v>
      </c>
      <c r="F496" s="9" t="s">
        <v>2253</v>
      </c>
    </row>
    <row r="497">
      <c r="A497" s="9" t="s">
        <v>2254</v>
      </c>
      <c r="B497" s="9" t="s">
        <v>292</v>
      </c>
      <c r="C497" s="9" t="s">
        <v>1467</v>
      </c>
      <c r="D497" s="9" t="s">
        <v>2255</v>
      </c>
      <c r="E497" s="9" t="s">
        <v>1469</v>
      </c>
      <c r="F497" s="9" t="s">
        <v>2256</v>
      </c>
    </row>
    <row r="498">
      <c r="A498" s="9" t="s">
        <v>2257</v>
      </c>
      <c r="B498" s="9" t="s">
        <v>292</v>
      </c>
      <c r="C498" s="9" t="s">
        <v>1467</v>
      </c>
      <c r="D498" s="9" t="s">
        <v>2258</v>
      </c>
      <c r="E498" s="9" t="s">
        <v>1469</v>
      </c>
      <c r="F498" s="9" t="s">
        <v>2259</v>
      </c>
    </row>
    <row r="499">
      <c r="A499" s="9" t="s">
        <v>2260</v>
      </c>
      <c r="B499" s="9" t="s">
        <v>291</v>
      </c>
      <c r="C499" s="9" t="s">
        <v>1467</v>
      </c>
      <c r="D499" s="9" t="s">
        <v>2261</v>
      </c>
      <c r="E499" s="9" t="s">
        <v>1469</v>
      </c>
      <c r="F499" s="9" t="s">
        <v>2262</v>
      </c>
    </row>
    <row r="500">
      <c r="A500" s="9" t="s">
        <v>2263</v>
      </c>
      <c r="B500" s="9" t="s">
        <v>294</v>
      </c>
      <c r="C500" s="9" t="s">
        <v>1467</v>
      </c>
      <c r="D500" s="9" t="s">
        <v>2264</v>
      </c>
      <c r="E500" s="9" t="s">
        <v>1469</v>
      </c>
      <c r="F500" s="9" t="s">
        <v>2265</v>
      </c>
    </row>
    <row r="501">
      <c r="A501" s="9" t="s">
        <v>2266</v>
      </c>
      <c r="B501" s="9" t="s">
        <v>247</v>
      </c>
      <c r="C501" s="9" t="s">
        <v>1467</v>
      </c>
      <c r="D501" s="9" t="s">
        <v>2267</v>
      </c>
      <c r="E501" s="9" t="s">
        <v>1469</v>
      </c>
      <c r="F501" s="9" t="s">
        <v>2268</v>
      </c>
    </row>
    <row r="502">
      <c r="A502" s="9" t="s">
        <v>2269</v>
      </c>
      <c r="B502" s="9" t="s">
        <v>187</v>
      </c>
      <c r="C502" s="9" t="s">
        <v>1467</v>
      </c>
      <c r="D502" s="9" t="s">
        <v>2270</v>
      </c>
      <c r="E502" s="9" t="s">
        <v>1469</v>
      </c>
      <c r="F502" s="9" t="s">
        <v>2271</v>
      </c>
    </row>
    <row r="503">
      <c r="A503" s="9" t="s">
        <v>2272</v>
      </c>
      <c r="B503" s="9" t="s">
        <v>288</v>
      </c>
      <c r="C503" s="9" t="s">
        <v>1467</v>
      </c>
      <c r="D503" s="9" t="s">
        <v>2273</v>
      </c>
      <c r="E503" s="9" t="s">
        <v>1469</v>
      </c>
      <c r="F503" s="9" t="s">
        <v>2274</v>
      </c>
    </row>
    <row r="504">
      <c r="A504" s="9" t="s">
        <v>2275</v>
      </c>
      <c r="B504" s="9" t="s">
        <v>294</v>
      </c>
      <c r="C504" s="9" t="s">
        <v>1467</v>
      </c>
      <c r="D504" s="9" t="s">
        <v>2276</v>
      </c>
      <c r="E504" s="9" t="s">
        <v>1469</v>
      </c>
      <c r="F504" s="9" t="s">
        <v>2278</v>
      </c>
    </row>
    <row r="505">
      <c r="A505" s="9" t="s">
        <v>2281</v>
      </c>
      <c r="B505" s="9" t="s">
        <v>256</v>
      </c>
      <c r="C505" s="9" t="s">
        <v>1467</v>
      </c>
      <c r="D505" s="9" t="s">
        <v>2282</v>
      </c>
      <c r="E505" s="9" t="s">
        <v>1469</v>
      </c>
      <c r="F505" s="9" t="s">
        <v>2283</v>
      </c>
    </row>
    <row r="506">
      <c r="A506" s="9" t="s">
        <v>2284</v>
      </c>
      <c r="B506" s="9" t="s">
        <v>181</v>
      </c>
      <c r="C506" s="9" t="s">
        <v>1467</v>
      </c>
      <c r="D506" s="9" t="s">
        <v>2285</v>
      </c>
      <c r="E506" s="9" t="s">
        <v>1469</v>
      </c>
      <c r="F506" s="9" t="s">
        <v>2286</v>
      </c>
    </row>
    <row r="507">
      <c r="A507" s="9" t="s">
        <v>2287</v>
      </c>
      <c r="B507" s="9" t="s">
        <v>288</v>
      </c>
      <c r="C507" s="9" t="s">
        <v>1467</v>
      </c>
      <c r="D507" s="9" t="s">
        <v>2288</v>
      </c>
      <c r="E507" s="9" t="s">
        <v>1469</v>
      </c>
      <c r="F507" s="9" t="s">
        <v>2289</v>
      </c>
    </row>
    <row r="508">
      <c r="A508" s="9" t="s">
        <v>2290</v>
      </c>
      <c r="B508" s="9" t="s">
        <v>185</v>
      </c>
      <c r="C508" s="9" t="s">
        <v>1467</v>
      </c>
      <c r="D508" s="9" t="s">
        <v>2291</v>
      </c>
      <c r="E508" s="9" t="s">
        <v>1469</v>
      </c>
      <c r="F508" s="9" t="s">
        <v>2292</v>
      </c>
    </row>
    <row r="509">
      <c r="A509" s="9" t="s">
        <v>2293</v>
      </c>
      <c r="B509" s="9" t="s">
        <v>208</v>
      </c>
      <c r="C509" s="9" t="s">
        <v>1467</v>
      </c>
      <c r="D509" s="9" t="s">
        <v>2294</v>
      </c>
      <c r="E509" s="9" t="s">
        <v>1469</v>
      </c>
      <c r="F509" s="9" t="s">
        <v>2295</v>
      </c>
    </row>
    <row r="510">
      <c r="A510" s="9" t="s">
        <v>2296</v>
      </c>
      <c r="B510" s="9" t="s">
        <v>173</v>
      </c>
      <c r="C510" s="9" t="s">
        <v>1467</v>
      </c>
      <c r="D510" s="9" t="s">
        <v>2297</v>
      </c>
      <c r="E510" s="9" t="s">
        <v>1469</v>
      </c>
      <c r="F510" s="9" t="s">
        <v>2298</v>
      </c>
    </row>
    <row r="511">
      <c r="A511" s="9" t="s">
        <v>2299</v>
      </c>
      <c r="B511" s="9" t="s">
        <v>266</v>
      </c>
      <c r="C511" s="9" t="s">
        <v>1467</v>
      </c>
      <c r="D511" s="9" t="s">
        <v>2300</v>
      </c>
      <c r="E511" s="9" t="s">
        <v>1469</v>
      </c>
      <c r="F511" s="9" t="s">
        <v>2301</v>
      </c>
    </row>
    <row r="512">
      <c r="A512" s="9" t="s">
        <v>2302</v>
      </c>
      <c r="B512" s="9" t="s">
        <v>297</v>
      </c>
      <c r="C512" s="9" t="s">
        <v>1467</v>
      </c>
      <c r="D512" s="9" t="s">
        <v>2303</v>
      </c>
      <c r="E512" s="9" t="s">
        <v>1469</v>
      </c>
      <c r="F512" s="9" t="s">
        <v>2304</v>
      </c>
    </row>
    <row r="513">
      <c r="A513" s="9" t="s">
        <v>2305</v>
      </c>
      <c r="B513" s="9" t="s">
        <v>266</v>
      </c>
      <c r="C513" s="9" t="s">
        <v>1467</v>
      </c>
      <c r="D513" s="9" t="s">
        <v>2306</v>
      </c>
      <c r="E513" s="9" t="s">
        <v>1469</v>
      </c>
      <c r="F513" s="9" t="s">
        <v>2307</v>
      </c>
    </row>
    <row r="514">
      <c r="A514" s="9" t="s">
        <v>2308</v>
      </c>
      <c r="B514" s="9" t="s">
        <v>190</v>
      </c>
      <c r="C514" s="9" t="s">
        <v>1467</v>
      </c>
      <c r="D514" s="9" t="s">
        <v>2309</v>
      </c>
      <c r="E514" s="9" t="s">
        <v>1469</v>
      </c>
      <c r="F514" s="9" t="s">
        <v>2310</v>
      </c>
    </row>
    <row r="515">
      <c r="A515" s="9" t="s">
        <v>2311</v>
      </c>
      <c r="B515" s="9" t="s">
        <v>259</v>
      </c>
      <c r="C515" s="9" t="s">
        <v>1467</v>
      </c>
      <c r="D515" s="9" t="s">
        <v>2312</v>
      </c>
      <c r="E515" s="9" t="s">
        <v>1469</v>
      </c>
      <c r="F515" s="9" t="s">
        <v>2313</v>
      </c>
    </row>
    <row r="516">
      <c r="A516" s="9" t="s">
        <v>2314</v>
      </c>
      <c r="B516" s="9" t="s">
        <v>278</v>
      </c>
      <c r="C516" s="9" t="s">
        <v>1467</v>
      </c>
      <c r="D516" s="9" t="s">
        <v>2315</v>
      </c>
      <c r="E516" s="9" t="s">
        <v>1469</v>
      </c>
      <c r="F516" s="9" t="s">
        <v>2316</v>
      </c>
    </row>
    <row r="517">
      <c r="A517" s="9" t="s">
        <v>2317</v>
      </c>
      <c r="B517" s="9" t="s">
        <v>298</v>
      </c>
      <c r="C517" s="9" t="s">
        <v>1467</v>
      </c>
      <c r="D517" s="9" t="s">
        <v>2318</v>
      </c>
      <c r="E517" s="9" t="s">
        <v>1469</v>
      </c>
      <c r="F517" s="9" t="s">
        <v>2319</v>
      </c>
    </row>
    <row r="518">
      <c r="A518" s="9" t="s">
        <v>2320</v>
      </c>
      <c r="B518" s="9" t="s">
        <v>101</v>
      </c>
      <c r="C518" s="9" t="s">
        <v>1467</v>
      </c>
      <c r="D518" s="9" t="s">
        <v>2321</v>
      </c>
      <c r="E518" s="9" t="s">
        <v>1469</v>
      </c>
      <c r="F518" s="9" t="s">
        <v>2322</v>
      </c>
    </row>
    <row r="519">
      <c r="A519" s="9" t="s">
        <v>2323</v>
      </c>
      <c r="B519" s="9" t="s">
        <v>83</v>
      </c>
      <c r="C519" s="9" t="s">
        <v>1467</v>
      </c>
      <c r="D519" s="9" t="s">
        <v>2324</v>
      </c>
      <c r="E519" s="9" t="s">
        <v>1469</v>
      </c>
      <c r="F519" s="9" t="s">
        <v>2325</v>
      </c>
    </row>
    <row r="520">
      <c r="A520" s="9" t="s">
        <v>2326</v>
      </c>
      <c r="B520" s="9" t="s">
        <v>293</v>
      </c>
      <c r="C520" s="9" t="s">
        <v>1467</v>
      </c>
      <c r="D520" s="9" t="s">
        <v>2327</v>
      </c>
      <c r="E520" s="9" t="s">
        <v>1469</v>
      </c>
      <c r="F520" s="9" t="s">
        <v>2328</v>
      </c>
    </row>
    <row r="521">
      <c r="A521" s="9" t="s">
        <v>2329</v>
      </c>
      <c r="B521" s="9" t="s">
        <v>298</v>
      </c>
      <c r="C521" s="9" t="s">
        <v>1467</v>
      </c>
      <c r="D521" s="9" t="s">
        <v>2330</v>
      </c>
      <c r="E521" s="9" t="s">
        <v>1469</v>
      </c>
      <c r="F521" s="9" t="s">
        <v>2331</v>
      </c>
    </row>
    <row r="522">
      <c r="A522" s="9" t="s">
        <v>2332</v>
      </c>
      <c r="B522" s="9" t="s">
        <v>294</v>
      </c>
      <c r="C522" s="9" t="s">
        <v>1467</v>
      </c>
      <c r="D522" s="9" t="s">
        <v>2333</v>
      </c>
      <c r="E522" s="9" t="s">
        <v>1469</v>
      </c>
      <c r="F522" s="9" t="s">
        <v>2334</v>
      </c>
    </row>
    <row r="523">
      <c r="A523" s="9" t="s">
        <v>2335</v>
      </c>
      <c r="B523" s="9" t="s">
        <v>300</v>
      </c>
      <c r="C523" s="9" t="s">
        <v>1467</v>
      </c>
      <c r="D523" s="9" t="s">
        <v>2336</v>
      </c>
      <c r="E523" s="9" t="s">
        <v>1469</v>
      </c>
      <c r="F523" s="9" t="s">
        <v>2337</v>
      </c>
    </row>
    <row r="524">
      <c r="A524" s="9" t="s">
        <v>2338</v>
      </c>
      <c r="B524" s="9" t="s">
        <v>278</v>
      </c>
      <c r="C524" s="9" t="s">
        <v>1467</v>
      </c>
      <c r="D524" s="9" t="s">
        <v>2339</v>
      </c>
      <c r="E524" s="9" t="s">
        <v>1469</v>
      </c>
      <c r="F524" s="9" t="s">
        <v>2340</v>
      </c>
    </row>
    <row r="525">
      <c r="A525" s="9" t="s">
        <v>2341</v>
      </c>
      <c r="B525" s="9" t="s">
        <v>83</v>
      </c>
      <c r="C525" s="9" t="s">
        <v>1467</v>
      </c>
      <c r="D525" s="9" t="s">
        <v>2342</v>
      </c>
      <c r="E525" s="9" t="s">
        <v>1469</v>
      </c>
      <c r="F525" s="9" t="s">
        <v>2343</v>
      </c>
    </row>
    <row r="526">
      <c r="A526" s="9" t="s">
        <v>2344</v>
      </c>
      <c r="B526" s="9" t="s">
        <v>107</v>
      </c>
      <c r="C526" s="9" t="s">
        <v>1467</v>
      </c>
      <c r="D526" s="9" t="s">
        <v>2345</v>
      </c>
      <c r="E526" s="9" t="s">
        <v>1469</v>
      </c>
      <c r="F526" s="9" t="s">
        <v>2346</v>
      </c>
    </row>
    <row r="527">
      <c r="A527" s="9" t="s">
        <v>2347</v>
      </c>
      <c r="B527" s="9" t="s">
        <v>301</v>
      </c>
      <c r="C527" s="9" t="s">
        <v>1467</v>
      </c>
      <c r="D527" s="9" t="s">
        <v>2348</v>
      </c>
      <c r="E527" s="9" t="s">
        <v>1469</v>
      </c>
      <c r="F527" s="9" t="s">
        <v>2349</v>
      </c>
    </row>
    <row r="528">
      <c r="A528" s="9" t="s">
        <v>2350</v>
      </c>
      <c r="B528" s="9" t="s">
        <v>224</v>
      </c>
      <c r="C528" s="9" t="s">
        <v>1467</v>
      </c>
      <c r="D528" s="9" t="s">
        <v>2351</v>
      </c>
      <c r="E528" s="9" t="s">
        <v>1469</v>
      </c>
      <c r="F528" s="9" t="s">
        <v>2352</v>
      </c>
    </row>
    <row r="529">
      <c r="A529" s="9" t="s">
        <v>2353</v>
      </c>
      <c r="B529" s="9" t="s">
        <v>302</v>
      </c>
      <c r="C529" s="9" t="s">
        <v>1467</v>
      </c>
      <c r="D529" s="9" t="s">
        <v>2354</v>
      </c>
      <c r="E529" s="9" t="s">
        <v>1469</v>
      </c>
      <c r="F529" s="9" t="s">
        <v>2355</v>
      </c>
    </row>
    <row r="530">
      <c r="A530" s="9" t="s">
        <v>2356</v>
      </c>
      <c r="B530" s="9" t="s">
        <v>109</v>
      </c>
      <c r="C530" s="9" t="s">
        <v>1467</v>
      </c>
      <c r="D530" s="9" t="s">
        <v>2357</v>
      </c>
      <c r="E530" s="9" t="s">
        <v>1469</v>
      </c>
      <c r="F530" s="9" t="s">
        <v>2358</v>
      </c>
    </row>
    <row r="531">
      <c r="A531" s="9" t="s">
        <v>2359</v>
      </c>
      <c r="B531" s="9" t="s">
        <v>83</v>
      </c>
      <c r="C531" s="9" t="s">
        <v>1467</v>
      </c>
      <c r="D531" s="9" t="s">
        <v>2360</v>
      </c>
      <c r="E531" s="9" t="s">
        <v>1469</v>
      </c>
      <c r="F531" s="9" t="s">
        <v>2361</v>
      </c>
    </row>
    <row r="532">
      <c r="A532" s="9" t="s">
        <v>2362</v>
      </c>
      <c r="B532" s="9" t="s">
        <v>257</v>
      </c>
      <c r="C532" s="9" t="s">
        <v>1467</v>
      </c>
      <c r="D532" s="9" t="s">
        <v>2363</v>
      </c>
      <c r="E532" s="9" t="s">
        <v>1469</v>
      </c>
      <c r="F532" s="9" t="s">
        <v>2364</v>
      </c>
    </row>
    <row r="533">
      <c r="A533" s="9" t="s">
        <v>2365</v>
      </c>
      <c r="B533" s="9" t="s">
        <v>301</v>
      </c>
      <c r="C533" s="9" t="s">
        <v>1467</v>
      </c>
      <c r="D533" s="9" t="s">
        <v>2366</v>
      </c>
      <c r="E533" s="9" t="s">
        <v>1469</v>
      </c>
      <c r="F533" s="9" t="s">
        <v>2367</v>
      </c>
    </row>
    <row r="534">
      <c r="A534" s="9" t="s">
        <v>2368</v>
      </c>
      <c r="B534" s="9" t="s">
        <v>304</v>
      </c>
      <c r="C534" s="9" t="s">
        <v>1467</v>
      </c>
      <c r="D534" s="9" t="s">
        <v>2369</v>
      </c>
      <c r="E534" s="9" t="s">
        <v>1469</v>
      </c>
      <c r="F534" s="9" t="s">
        <v>2370</v>
      </c>
    </row>
    <row r="535">
      <c r="A535" s="9" t="s">
        <v>2371</v>
      </c>
      <c r="B535" s="9" t="s">
        <v>198</v>
      </c>
      <c r="C535" s="9" t="s">
        <v>1467</v>
      </c>
      <c r="D535" s="9" t="s">
        <v>2372</v>
      </c>
      <c r="E535" s="9" t="s">
        <v>1469</v>
      </c>
      <c r="F535" s="9" t="s">
        <v>2373</v>
      </c>
    </row>
    <row r="536">
      <c r="A536" s="9" t="s">
        <v>2374</v>
      </c>
      <c r="B536" s="9" t="s">
        <v>281</v>
      </c>
      <c r="C536" s="9" t="s">
        <v>1467</v>
      </c>
      <c r="D536" s="9" t="s">
        <v>2375</v>
      </c>
      <c r="E536" s="9" t="s">
        <v>1469</v>
      </c>
      <c r="F536" s="9" t="s">
        <v>2376</v>
      </c>
    </row>
    <row r="537">
      <c r="A537" s="9" t="s">
        <v>2377</v>
      </c>
      <c r="B537" s="9" t="s">
        <v>226</v>
      </c>
      <c r="C537" s="9" t="s">
        <v>1467</v>
      </c>
      <c r="D537" s="9" t="s">
        <v>2378</v>
      </c>
      <c r="E537" s="9" t="s">
        <v>1469</v>
      </c>
      <c r="F537" s="9" t="s">
        <v>2379</v>
      </c>
    </row>
    <row r="538">
      <c r="A538" s="9" t="s">
        <v>2380</v>
      </c>
      <c r="B538" s="9" t="s">
        <v>181</v>
      </c>
      <c r="C538" s="9" t="s">
        <v>1467</v>
      </c>
      <c r="D538" s="9" t="s">
        <v>2381</v>
      </c>
      <c r="E538" s="9" t="s">
        <v>1469</v>
      </c>
      <c r="F538" s="9" t="s">
        <v>2382</v>
      </c>
    </row>
    <row r="539">
      <c r="A539" s="9" t="s">
        <v>2383</v>
      </c>
      <c r="B539" s="9" t="s">
        <v>308</v>
      </c>
      <c r="C539" s="9" t="s">
        <v>1467</v>
      </c>
      <c r="D539" s="9" t="s">
        <v>2384</v>
      </c>
      <c r="E539" s="9" t="s">
        <v>1469</v>
      </c>
      <c r="F539" s="9" t="s">
        <v>2385</v>
      </c>
    </row>
    <row r="540">
      <c r="A540" s="9" t="s">
        <v>2386</v>
      </c>
      <c r="B540" s="9" t="s">
        <v>301</v>
      </c>
      <c r="C540" s="9" t="s">
        <v>1467</v>
      </c>
      <c r="D540" s="9" t="s">
        <v>2387</v>
      </c>
      <c r="E540" s="9" t="s">
        <v>1469</v>
      </c>
      <c r="F540" s="9" t="s">
        <v>2388</v>
      </c>
    </row>
    <row r="541">
      <c r="A541" s="9" t="s">
        <v>2389</v>
      </c>
      <c r="B541" s="9" t="s">
        <v>308</v>
      </c>
      <c r="C541" s="9" t="s">
        <v>1467</v>
      </c>
      <c r="D541" s="9" t="s">
        <v>2390</v>
      </c>
      <c r="E541" s="9" t="s">
        <v>1469</v>
      </c>
      <c r="F541" s="9" t="s">
        <v>2391</v>
      </c>
    </row>
    <row r="542">
      <c r="A542" s="9" t="s">
        <v>2392</v>
      </c>
      <c r="B542" s="9" t="s">
        <v>281</v>
      </c>
      <c r="C542" s="9" t="s">
        <v>1467</v>
      </c>
      <c r="D542" s="9" t="s">
        <v>2393</v>
      </c>
      <c r="E542" s="9" t="s">
        <v>1469</v>
      </c>
      <c r="F542" s="9" t="s">
        <v>2394</v>
      </c>
    </row>
    <row r="543">
      <c r="A543" s="9" t="s">
        <v>2395</v>
      </c>
      <c r="B543" s="9" t="s">
        <v>312</v>
      </c>
      <c r="C543" s="9" t="s">
        <v>1467</v>
      </c>
      <c r="D543" s="9" t="s">
        <v>2396</v>
      </c>
      <c r="E543" s="9" t="s">
        <v>1469</v>
      </c>
      <c r="F543" s="9" t="s">
        <v>2397</v>
      </c>
    </row>
    <row r="544">
      <c r="A544" s="9" t="s">
        <v>2398</v>
      </c>
      <c r="B544" s="9" t="s">
        <v>314</v>
      </c>
      <c r="C544" s="9" t="s">
        <v>1467</v>
      </c>
      <c r="D544" s="9" t="s">
        <v>2399</v>
      </c>
      <c r="E544" s="9" t="s">
        <v>1469</v>
      </c>
      <c r="F544" s="9" t="s">
        <v>2400</v>
      </c>
    </row>
    <row r="545">
      <c r="A545" s="9" t="s">
        <v>2401</v>
      </c>
      <c r="B545" s="9" t="s">
        <v>298</v>
      </c>
      <c r="C545" s="9" t="s">
        <v>1467</v>
      </c>
      <c r="D545" s="9" t="s">
        <v>2402</v>
      </c>
      <c r="E545" s="9" t="s">
        <v>1469</v>
      </c>
      <c r="F545" s="9" t="s">
        <v>2404</v>
      </c>
    </row>
    <row r="546">
      <c r="A546" s="9" t="s">
        <v>2406</v>
      </c>
      <c r="B546" s="9" t="s">
        <v>316</v>
      </c>
      <c r="C546" s="9" t="s">
        <v>1467</v>
      </c>
      <c r="D546" s="9" t="s">
        <v>2408</v>
      </c>
      <c r="E546" s="9" t="s">
        <v>1469</v>
      </c>
      <c r="F546" s="9" t="s">
        <v>2409</v>
      </c>
    </row>
    <row r="547">
      <c r="A547" s="9" t="s">
        <v>2410</v>
      </c>
      <c r="B547" s="9" t="s">
        <v>257</v>
      </c>
      <c r="C547" s="9" t="s">
        <v>1467</v>
      </c>
      <c r="D547" s="9" t="s">
        <v>2411</v>
      </c>
      <c r="E547" s="9" t="s">
        <v>1469</v>
      </c>
      <c r="F547" s="9" t="s">
        <v>2412</v>
      </c>
    </row>
    <row r="548">
      <c r="A548" s="9" t="s">
        <v>2413</v>
      </c>
      <c r="B548" s="9" t="s">
        <v>318</v>
      </c>
      <c r="C548" s="9" t="s">
        <v>1467</v>
      </c>
      <c r="D548" s="9" t="s">
        <v>2414</v>
      </c>
      <c r="E548" s="9" t="s">
        <v>1469</v>
      </c>
      <c r="F548" s="9" t="s">
        <v>2415</v>
      </c>
    </row>
    <row r="549">
      <c r="A549" s="9" t="s">
        <v>2416</v>
      </c>
      <c r="B549" s="9" t="s">
        <v>303</v>
      </c>
      <c r="C549" s="9" t="s">
        <v>1467</v>
      </c>
      <c r="D549" s="9" t="s">
        <v>2417</v>
      </c>
      <c r="E549" s="9" t="s">
        <v>1469</v>
      </c>
      <c r="F549" s="9" t="s">
        <v>2418</v>
      </c>
    </row>
    <row r="550">
      <c r="A550" s="9" t="s">
        <v>2419</v>
      </c>
      <c r="B550" s="9" t="s">
        <v>314</v>
      </c>
      <c r="C550" s="9" t="s">
        <v>1467</v>
      </c>
      <c r="D550" s="9" t="s">
        <v>2420</v>
      </c>
      <c r="E550" s="9" t="s">
        <v>1469</v>
      </c>
      <c r="F550" s="9" t="s">
        <v>2421</v>
      </c>
    </row>
    <row r="551">
      <c r="A551" s="9" t="s">
        <v>2422</v>
      </c>
      <c r="B551" s="9" t="s">
        <v>306</v>
      </c>
      <c r="C551" s="9" t="s">
        <v>1467</v>
      </c>
      <c r="D551" s="9" t="s">
        <v>2423</v>
      </c>
      <c r="E551" s="9" t="s">
        <v>1469</v>
      </c>
      <c r="F551" s="9" t="s">
        <v>2424</v>
      </c>
    </row>
    <row r="552">
      <c r="A552" s="9" t="s">
        <v>2425</v>
      </c>
      <c r="B552" s="9" t="s">
        <v>320</v>
      </c>
      <c r="C552" s="9" t="s">
        <v>1467</v>
      </c>
      <c r="D552" s="9" t="s">
        <v>2426</v>
      </c>
      <c r="E552" s="9" t="s">
        <v>1469</v>
      </c>
      <c r="F552" s="9" t="s">
        <v>2427</v>
      </c>
    </row>
    <row r="553">
      <c r="A553" s="9" t="s">
        <v>2428</v>
      </c>
      <c r="B553" s="9" t="s">
        <v>306</v>
      </c>
      <c r="C553" s="9" t="s">
        <v>1467</v>
      </c>
      <c r="D553" s="9" t="s">
        <v>2429</v>
      </c>
      <c r="E553" s="9" t="s">
        <v>1469</v>
      </c>
      <c r="F553" s="9" t="s">
        <v>2430</v>
      </c>
    </row>
    <row r="554">
      <c r="A554" s="9" t="s">
        <v>2431</v>
      </c>
      <c r="B554" s="9" t="s">
        <v>322</v>
      </c>
      <c r="C554" s="9" t="s">
        <v>1467</v>
      </c>
      <c r="D554" s="9" t="s">
        <v>2432</v>
      </c>
      <c r="E554" s="9" t="s">
        <v>1469</v>
      </c>
      <c r="F554" s="9" t="s">
        <v>2433</v>
      </c>
    </row>
    <row r="555">
      <c r="A555" s="9" t="s">
        <v>2434</v>
      </c>
      <c r="B555" s="9" t="s">
        <v>324</v>
      </c>
      <c r="C555" s="9" t="s">
        <v>1467</v>
      </c>
      <c r="D555" s="9" t="s">
        <v>2435</v>
      </c>
      <c r="E555" s="9" t="s">
        <v>1469</v>
      </c>
      <c r="F555" s="9" t="s">
        <v>2436</v>
      </c>
    </row>
    <row r="556">
      <c r="A556" s="9" t="s">
        <v>2437</v>
      </c>
      <c r="B556" s="9" t="s">
        <v>280</v>
      </c>
      <c r="C556" s="9" t="s">
        <v>1467</v>
      </c>
      <c r="D556" s="9" t="s">
        <v>2438</v>
      </c>
      <c r="E556" s="9" t="s">
        <v>1469</v>
      </c>
      <c r="F556" s="9" t="s">
        <v>2439</v>
      </c>
    </row>
    <row r="557">
      <c r="A557" s="9" t="s">
        <v>2440</v>
      </c>
      <c r="B557" s="9" t="s">
        <v>323</v>
      </c>
      <c r="C557" s="9" t="s">
        <v>1467</v>
      </c>
      <c r="D557" s="9" t="s">
        <v>2441</v>
      </c>
      <c r="E557" s="9" t="s">
        <v>1469</v>
      </c>
      <c r="F557" s="9" t="s">
        <v>2442</v>
      </c>
    </row>
    <row r="558">
      <c r="A558" s="9" t="s">
        <v>2443</v>
      </c>
      <c r="B558" s="9" t="s">
        <v>125</v>
      </c>
      <c r="C558" s="9" t="s">
        <v>1467</v>
      </c>
      <c r="D558" s="9" t="s">
        <v>2444</v>
      </c>
      <c r="E558" s="9" t="s">
        <v>1469</v>
      </c>
      <c r="F558" s="9" t="s">
        <v>2445</v>
      </c>
    </row>
    <row r="559">
      <c r="A559" s="9" t="s">
        <v>2446</v>
      </c>
      <c r="B559" s="9" t="s">
        <v>215</v>
      </c>
      <c r="C559" s="9" t="s">
        <v>1467</v>
      </c>
      <c r="D559" s="9" t="s">
        <v>2447</v>
      </c>
      <c r="E559" s="9" t="s">
        <v>1469</v>
      </c>
      <c r="F559" s="9" t="s">
        <v>2448</v>
      </c>
    </row>
    <row r="560">
      <c r="A560" s="9" t="s">
        <v>2449</v>
      </c>
      <c r="B560" s="9" t="s">
        <v>313</v>
      </c>
      <c r="C560" s="9" t="s">
        <v>1467</v>
      </c>
      <c r="D560" s="9" t="s">
        <v>2450</v>
      </c>
      <c r="E560" s="9" t="s">
        <v>1469</v>
      </c>
      <c r="F560" s="9" t="s">
        <v>2451</v>
      </c>
    </row>
    <row r="561">
      <c r="A561" s="9" t="s">
        <v>2452</v>
      </c>
      <c r="B561" s="9" t="s">
        <v>260</v>
      </c>
      <c r="C561" s="9" t="s">
        <v>1467</v>
      </c>
      <c r="D561" s="9" t="s">
        <v>2453</v>
      </c>
      <c r="E561" s="9" t="s">
        <v>1469</v>
      </c>
      <c r="F561" s="9" t="s">
        <v>2454</v>
      </c>
    </row>
    <row r="562">
      <c r="A562" s="9" t="s">
        <v>2455</v>
      </c>
      <c r="B562" s="9" t="s">
        <v>303</v>
      </c>
      <c r="C562" s="9" t="s">
        <v>1467</v>
      </c>
      <c r="D562" s="9" t="s">
        <v>2456</v>
      </c>
      <c r="E562" s="9" t="s">
        <v>1469</v>
      </c>
      <c r="F562" s="9" t="s">
        <v>2457</v>
      </c>
    </row>
    <row r="563">
      <c r="A563" s="9" t="s">
        <v>2458</v>
      </c>
      <c r="B563" s="9" t="s">
        <v>229</v>
      </c>
      <c r="C563" s="9" t="s">
        <v>1467</v>
      </c>
      <c r="D563" s="9" t="s">
        <v>2459</v>
      </c>
      <c r="E563" s="9" t="s">
        <v>1469</v>
      </c>
      <c r="F563" s="9" t="s">
        <v>2460</v>
      </c>
    </row>
    <row r="564">
      <c r="A564" s="9" t="s">
        <v>2461</v>
      </c>
      <c r="B564" s="9" t="s">
        <v>313</v>
      </c>
      <c r="C564" s="9" t="s">
        <v>1467</v>
      </c>
      <c r="D564" s="9" t="s">
        <v>2462</v>
      </c>
      <c r="E564" s="9" t="s">
        <v>1469</v>
      </c>
      <c r="F564" s="9" t="s">
        <v>2463</v>
      </c>
    </row>
    <row r="565">
      <c r="A565" s="9" t="s">
        <v>2464</v>
      </c>
      <c r="B565" s="9" t="s">
        <v>326</v>
      </c>
      <c r="C565" s="9" t="s">
        <v>1467</v>
      </c>
      <c r="D565" s="9" t="s">
        <v>2465</v>
      </c>
      <c r="E565" s="9" t="s">
        <v>1469</v>
      </c>
      <c r="F565" s="9" t="s">
        <v>2466</v>
      </c>
    </row>
    <row r="566">
      <c r="A566" s="9" t="s">
        <v>2467</v>
      </c>
      <c r="B566" s="9" t="s">
        <v>297</v>
      </c>
      <c r="C566" s="9" t="s">
        <v>1467</v>
      </c>
      <c r="D566" s="9" t="s">
        <v>2468</v>
      </c>
      <c r="E566" s="9" t="s">
        <v>1469</v>
      </c>
      <c r="F566" s="9" t="s">
        <v>2469</v>
      </c>
    </row>
    <row r="567">
      <c r="A567" s="9" t="s">
        <v>2470</v>
      </c>
      <c r="B567" s="9" t="s">
        <v>329</v>
      </c>
      <c r="C567" s="9" t="s">
        <v>1467</v>
      </c>
      <c r="D567" s="9" t="s">
        <v>2471</v>
      </c>
      <c r="E567" s="9" t="s">
        <v>1469</v>
      </c>
      <c r="F567" s="9" t="s">
        <v>2472</v>
      </c>
    </row>
    <row r="568">
      <c r="A568" s="9" t="s">
        <v>2473</v>
      </c>
      <c r="B568" s="9" t="s">
        <v>172</v>
      </c>
      <c r="C568" s="9" t="s">
        <v>1467</v>
      </c>
      <c r="D568" s="9" t="s">
        <v>2474</v>
      </c>
      <c r="E568" s="9" t="s">
        <v>1469</v>
      </c>
      <c r="F568" s="9" t="s">
        <v>2475</v>
      </c>
    </row>
    <row r="569">
      <c r="A569" s="9" t="s">
        <v>2476</v>
      </c>
      <c r="B569" s="9" t="s">
        <v>322</v>
      </c>
      <c r="C569" s="9" t="s">
        <v>1467</v>
      </c>
      <c r="D569" s="9" t="s">
        <v>2477</v>
      </c>
      <c r="E569" s="9" t="s">
        <v>1469</v>
      </c>
      <c r="F569" s="9" t="s">
        <v>2478</v>
      </c>
    </row>
    <row r="570">
      <c r="A570" s="9" t="s">
        <v>2479</v>
      </c>
      <c r="B570" s="9" t="s">
        <v>62</v>
      </c>
      <c r="C570" s="9" t="s">
        <v>1467</v>
      </c>
      <c r="D570" s="9" t="s">
        <v>2480</v>
      </c>
      <c r="E570" s="9" t="s">
        <v>1469</v>
      </c>
      <c r="F570" s="9" t="s">
        <v>2481</v>
      </c>
    </row>
    <row r="571">
      <c r="A571" s="9" t="s">
        <v>2482</v>
      </c>
      <c r="B571" s="9" t="s">
        <v>205</v>
      </c>
      <c r="C571" s="9" t="s">
        <v>1467</v>
      </c>
      <c r="D571" s="9" t="s">
        <v>2483</v>
      </c>
      <c r="E571" s="9" t="s">
        <v>1469</v>
      </c>
      <c r="F571" s="9" t="s">
        <v>2484</v>
      </c>
    </row>
    <row r="572">
      <c r="A572" s="9" t="s">
        <v>2485</v>
      </c>
      <c r="B572" s="9" t="s">
        <v>72</v>
      </c>
      <c r="C572" s="9" t="s">
        <v>1467</v>
      </c>
      <c r="D572" s="9" t="s">
        <v>2486</v>
      </c>
      <c r="E572" s="9" t="s">
        <v>1469</v>
      </c>
      <c r="F572" s="9" t="s">
        <v>2487</v>
      </c>
    </row>
    <row r="573">
      <c r="A573" s="9" t="s">
        <v>2488</v>
      </c>
      <c r="B573" s="9" t="s">
        <v>318</v>
      </c>
      <c r="C573" s="9" t="s">
        <v>1467</v>
      </c>
      <c r="D573" s="9" t="s">
        <v>2489</v>
      </c>
      <c r="E573" s="9" t="s">
        <v>1469</v>
      </c>
      <c r="F573" s="9" t="s">
        <v>2490</v>
      </c>
    </row>
    <row r="574">
      <c r="A574" s="9" t="s">
        <v>2491</v>
      </c>
      <c r="B574" s="9" t="s">
        <v>62</v>
      </c>
      <c r="C574" s="9" t="s">
        <v>1467</v>
      </c>
      <c r="D574" s="9" t="s">
        <v>2492</v>
      </c>
      <c r="E574" s="9" t="s">
        <v>1469</v>
      </c>
      <c r="F574" s="9" t="s">
        <v>2493</v>
      </c>
    </row>
    <row r="575">
      <c r="A575" s="9" t="s">
        <v>2494</v>
      </c>
      <c r="B575" s="9" t="s">
        <v>267</v>
      </c>
      <c r="C575" s="9" t="s">
        <v>1467</v>
      </c>
      <c r="D575" s="9" t="s">
        <v>2495</v>
      </c>
      <c r="E575" s="9" t="s">
        <v>1469</v>
      </c>
      <c r="F575" s="9" t="s">
        <v>2496</v>
      </c>
    </row>
    <row r="576">
      <c r="A576" s="9" t="s">
        <v>2497</v>
      </c>
      <c r="B576" s="9" t="s">
        <v>293</v>
      </c>
      <c r="C576" s="9" t="s">
        <v>1467</v>
      </c>
      <c r="D576" s="9" t="s">
        <v>2498</v>
      </c>
      <c r="E576" s="9" t="s">
        <v>1469</v>
      </c>
      <c r="F576" s="9" t="s">
        <v>2499</v>
      </c>
    </row>
    <row r="577">
      <c r="A577" s="9" t="s">
        <v>2500</v>
      </c>
      <c r="B577" s="9" t="s">
        <v>334</v>
      </c>
      <c r="C577" s="9" t="s">
        <v>1467</v>
      </c>
      <c r="D577" s="9" t="s">
        <v>2501</v>
      </c>
      <c r="E577" s="9" t="s">
        <v>1469</v>
      </c>
      <c r="F577" s="9" t="s">
        <v>2502</v>
      </c>
    </row>
    <row r="578">
      <c r="A578" s="9" t="s">
        <v>2503</v>
      </c>
      <c r="B578" s="9" t="s">
        <v>258</v>
      </c>
      <c r="C578" s="9" t="s">
        <v>1467</v>
      </c>
      <c r="D578" s="9" t="s">
        <v>2504</v>
      </c>
      <c r="E578" s="9" t="s">
        <v>1469</v>
      </c>
      <c r="F578" s="9" t="s">
        <v>2505</v>
      </c>
    </row>
    <row r="579">
      <c r="A579" s="9" t="s">
        <v>2506</v>
      </c>
      <c r="B579" s="9" t="s">
        <v>331</v>
      </c>
      <c r="C579" s="9" t="s">
        <v>1467</v>
      </c>
      <c r="D579" s="9" t="s">
        <v>2507</v>
      </c>
      <c r="E579" s="9" t="s">
        <v>1469</v>
      </c>
      <c r="F579" s="9" t="s">
        <v>2508</v>
      </c>
    </row>
    <row r="580">
      <c r="A580" s="9" t="s">
        <v>2509</v>
      </c>
      <c r="B580" s="9" t="s">
        <v>298</v>
      </c>
      <c r="C580" s="9" t="s">
        <v>1467</v>
      </c>
      <c r="D580" s="9" t="s">
        <v>2510</v>
      </c>
      <c r="E580" s="9" t="s">
        <v>1469</v>
      </c>
      <c r="F580" s="9" t="s">
        <v>2511</v>
      </c>
    </row>
    <row r="581">
      <c r="A581" s="9" t="s">
        <v>2512</v>
      </c>
      <c r="B581" s="9" t="s">
        <v>335</v>
      </c>
      <c r="C581" s="9" t="s">
        <v>1467</v>
      </c>
      <c r="D581" s="9" t="s">
        <v>2513</v>
      </c>
      <c r="E581" s="9" t="s">
        <v>1469</v>
      </c>
      <c r="F581" s="9" t="s">
        <v>2514</v>
      </c>
    </row>
    <row r="582">
      <c r="A582" s="9" t="s">
        <v>2515</v>
      </c>
      <c r="B582" s="9" t="s">
        <v>337</v>
      </c>
      <c r="C582" s="9" t="s">
        <v>1467</v>
      </c>
      <c r="D582" s="9" t="s">
        <v>2516</v>
      </c>
      <c r="E582" s="9" t="s">
        <v>1469</v>
      </c>
      <c r="F582" s="9" t="s">
        <v>2517</v>
      </c>
    </row>
    <row r="583">
      <c r="A583" s="9" t="s">
        <v>2518</v>
      </c>
      <c r="B583" s="9" t="s">
        <v>329</v>
      </c>
      <c r="C583" s="9" t="s">
        <v>1467</v>
      </c>
      <c r="D583" s="9" t="s">
        <v>2519</v>
      </c>
      <c r="E583" s="9" t="s">
        <v>1469</v>
      </c>
      <c r="F583" s="9" t="s">
        <v>2520</v>
      </c>
    </row>
    <row r="584">
      <c r="A584" s="9" t="s">
        <v>2521</v>
      </c>
      <c r="B584" s="9" t="s">
        <v>259</v>
      </c>
      <c r="C584" s="9" t="s">
        <v>1467</v>
      </c>
      <c r="D584" s="9" t="s">
        <v>2522</v>
      </c>
      <c r="E584" s="9" t="s">
        <v>1469</v>
      </c>
      <c r="F584" s="9" t="s">
        <v>2523</v>
      </c>
    </row>
    <row r="585">
      <c r="A585" s="9" t="s">
        <v>2524</v>
      </c>
      <c r="B585" s="9" t="s">
        <v>252</v>
      </c>
      <c r="C585" s="9" t="s">
        <v>1467</v>
      </c>
      <c r="D585" s="9" t="s">
        <v>2525</v>
      </c>
      <c r="E585" s="9" t="s">
        <v>1469</v>
      </c>
      <c r="F585" s="9" t="s">
        <v>2526</v>
      </c>
    </row>
    <row r="586">
      <c r="A586" s="9" t="s">
        <v>2527</v>
      </c>
      <c r="B586" s="9" t="s">
        <v>139</v>
      </c>
      <c r="C586" s="9" t="s">
        <v>1467</v>
      </c>
      <c r="D586" s="9" t="s">
        <v>2528</v>
      </c>
      <c r="E586" s="9" t="s">
        <v>1469</v>
      </c>
      <c r="F586" s="9" t="s">
        <v>2529</v>
      </c>
    </row>
    <row r="587">
      <c r="A587" s="9" t="s">
        <v>2530</v>
      </c>
      <c r="B587" s="9" t="s">
        <v>248</v>
      </c>
      <c r="C587" s="9" t="s">
        <v>1467</v>
      </c>
      <c r="D587" s="9" t="s">
        <v>2531</v>
      </c>
      <c r="E587" s="9" t="s">
        <v>1469</v>
      </c>
      <c r="F587" s="9" t="s">
        <v>2532</v>
      </c>
    </row>
    <row r="588">
      <c r="A588" s="9" t="s">
        <v>2533</v>
      </c>
      <c r="B588" s="9" t="s">
        <v>125</v>
      </c>
      <c r="C588" s="9" t="s">
        <v>1467</v>
      </c>
      <c r="D588" s="9" t="s">
        <v>2534</v>
      </c>
      <c r="E588" s="9" t="s">
        <v>1469</v>
      </c>
      <c r="F588" s="9" t="s">
        <v>2535</v>
      </c>
    </row>
    <row r="589">
      <c r="A589" s="9" t="s">
        <v>2536</v>
      </c>
      <c r="B589" s="9" t="s">
        <v>293</v>
      </c>
      <c r="C589" s="9" t="s">
        <v>1467</v>
      </c>
      <c r="D589" s="9" t="s">
        <v>2537</v>
      </c>
      <c r="E589" s="9" t="s">
        <v>1469</v>
      </c>
      <c r="F589" s="9" t="s">
        <v>2539</v>
      </c>
    </row>
    <row r="590">
      <c r="A590" s="9" t="s">
        <v>2541</v>
      </c>
      <c r="B590" s="9" t="s">
        <v>245</v>
      </c>
      <c r="C590" s="9" t="s">
        <v>1467</v>
      </c>
      <c r="D590" s="9" t="s">
        <v>2543</v>
      </c>
      <c r="E590" s="9" t="s">
        <v>1469</v>
      </c>
      <c r="F590" s="9" t="s">
        <v>2544</v>
      </c>
    </row>
    <row r="591">
      <c r="A591" s="9" t="s">
        <v>2545</v>
      </c>
      <c r="B591" s="9" t="s">
        <v>315</v>
      </c>
      <c r="C591" s="9" t="s">
        <v>1467</v>
      </c>
      <c r="D591" s="9" t="s">
        <v>2546</v>
      </c>
      <c r="E591" s="9" t="s">
        <v>1469</v>
      </c>
      <c r="F591" s="9" t="s">
        <v>2547</v>
      </c>
    </row>
    <row r="592">
      <c r="A592" s="9" t="s">
        <v>2548</v>
      </c>
      <c r="B592" s="9" t="s">
        <v>340</v>
      </c>
      <c r="C592" s="9" t="s">
        <v>1467</v>
      </c>
      <c r="D592" s="9" t="s">
        <v>2549</v>
      </c>
      <c r="E592" s="9" t="s">
        <v>1469</v>
      </c>
      <c r="F592" s="9" t="s">
        <v>2550</v>
      </c>
    </row>
    <row r="593">
      <c r="A593" s="9" t="s">
        <v>2551</v>
      </c>
      <c r="B593" s="9" t="s">
        <v>67</v>
      </c>
      <c r="C593" s="9" t="s">
        <v>1467</v>
      </c>
      <c r="D593" s="9" t="s">
        <v>2552</v>
      </c>
      <c r="E593" s="9" t="s">
        <v>1469</v>
      </c>
      <c r="F593" s="9" t="s">
        <v>2553</v>
      </c>
    </row>
    <row r="594">
      <c r="A594" s="9" t="s">
        <v>2554</v>
      </c>
      <c r="B594" s="9" t="s">
        <v>340</v>
      </c>
      <c r="C594" s="9" t="s">
        <v>1467</v>
      </c>
      <c r="D594" s="9" t="s">
        <v>2555</v>
      </c>
      <c r="E594" s="9" t="s">
        <v>1469</v>
      </c>
      <c r="F594" s="9" t="s">
        <v>2556</v>
      </c>
    </row>
    <row r="595">
      <c r="A595" s="9" t="s">
        <v>2557</v>
      </c>
      <c r="B595" s="9" t="s">
        <v>315</v>
      </c>
      <c r="C595" s="9" t="s">
        <v>1467</v>
      </c>
      <c r="D595" s="9" t="s">
        <v>2558</v>
      </c>
      <c r="E595" s="9" t="s">
        <v>1469</v>
      </c>
      <c r="F595" s="9" t="s">
        <v>2559</v>
      </c>
    </row>
    <row r="596">
      <c r="A596" s="9" t="s">
        <v>2560</v>
      </c>
      <c r="B596" s="9" t="s">
        <v>344</v>
      </c>
      <c r="C596" s="9" t="s">
        <v>1467</v>
      </c>
      <c r="D596" s="9" t="s">
        <v>2561</v>
      </c>
      <c r="E596" s="9" t="s">
        <v>1469</v>
      </c>
      <c r="F596" s="9" t="s">
        <v>2562</v>
      </c>
    </row>
    <row r="597">
      <c r="A597" s="9" t="s">
        <v>2563</v>
      </c>
      <c r="B597" s="9" t="s">
        <v>180</v>
      </c>
      <c r="C597" s="9" t="s">
        <v>1467</v>
      </c>
      <c r="D597" s="9" t="s">
        <v>2564</v>
      </c>
      <c r="E597" s="9" t="s">
        <v>1469</v>
      </c>
      <c r="F597" s="9" t="s">
        <v>2565</v>
      </c>
    </row>
    <row r="598">
      <c r="A598" s="9" t="s">
        <v>2566</v>
      </c>
      <c r="B598" s="9" t="s">
        <v>306</v>
      </c>
      <c r="C598" s="9" t="s">
        <v>1467</v>
      </c>
      <c r="D598" s="9" t="s">
        <v>2567</v>
      </c>
      <c r="E598" s="9" t="s">
        <v>1469</v>
      </c>
      <c r="F598" s="9" t="s">
        <v>2568</v>
      </c>
    </row>
    <row r="599">
      <c r="A599" s="9" t="s">
        <v>2569</v>
      </c>
      <c r="B599" s="9" t="s">
        <v>318</v>
      </c>
      <c r="C599" s="9" t="s">
        <v>1467</v>
      </c>
      <c r="D599" s="9" t="s">
        <v>2570</v>
      </c>
      <c r="E599" s="9" t="s">
        <v>1469</v>
      </c>
      <c r="F599" s="9" t="s">
        <v>2571</v>
      </c>
    </row>
    <row r="600">
      <c r="A600" s="9" t="s">
        <v>2572</v>
      </c>
      <c r="B600" s="9" t="s">
        <v>173</v>
      </c>
      <c r="C600" s="9" t="s">
        <v>1467</v>
      </c>
      <c r="D600" s="9" t="s">
        <v>2573</v>
      </c>
      <c r="E600" s="9" t="s">
        <v>1469</v>
      </c>
      <c r="F600" s="9" t="s">
        <v>2574</v>
      </c>
    </row>
    <row r="601">
      <c r="A601" s="9" t="s">
        <v>2575</v>
      </c>
      <c r="B601" s="9" t="s">
        <v>315</v>
      </c>
      <c r="C601" s="9" t="s">
        <v>1467</v>
      </c>
      <c r="D601" s="9" t="s">
        <v>2576</v>
      </c>
      <c r="E601" s="9" t="s">
        <v>1469</v>
      </c>
      <c r="F601" s="9" t="s">
        <v>2577</v>
      </c>
    </row>
    <row r="602">
      <c r="A602" s="9" t="s">
        <v>2578</v>
      </c>
      <c r="B602" s="9" t="s">
        <v>329</v>
      </c>
      <c r="C602" s="9" t="s">
        <v>1467</v>
      </c>
      <c r="D602" s="9" t="s">
        <v>2579</v>
      </c>
      <c r="E602" s="9" t="s">
        <v>1469</v>
      </c>
      <c r="F602" s="9" t="s">
        <v>2580</v>
      </c>
    </row>
    <row r="603">
      <c r="A603" s="9" t="s">
        <v>2581</v>
      </c>
      <c r="B603" s="9" t="s">
        <v>252</v>
      </c>
      <c r="C603" s="9" t="s">
        <v>1467</v>
      </c>
      <c r="D603" s="9" t="s">
        <v>2582</v>
      </c>
      <c r="E603" s="9" t="s">
        <v>1469</v>
      </c>
      <c r="F603" s="9" t="s">
        <v>2583</v>
      </c>
    </row>
    <row r="604">
      <c r="A604" s="9" t="s">
        <v>2584</v>
      </c>
      <c r="B604" s="9" t="s">
        <v>348</v>
      </c>
      <c r="C604" s="9" t="s">
        <v>1467</v>
      </c>
      <c r="D604" s="9" t="s">
        <v>2585</v>
      </c>
      <c r="E604" s="9" t="s">
        <v>1469</v>
      </c>
      <c r="F604" s="9" t="s">
        <v>2586</v>
      </c>
    </row>
    <row r="605">
      <c r="A605" s="9" t="s">
        <v>2587</v>
      </c>
      <c r="B605" s="9" t="s">
        <v>342</v>
      </c>
      <c r="C605" s="9" t="s">
        <v>1467</v>
      </c>
      <c r="D605" s="9" t="s">
        <v>2588</v>
      </c>
      <c r="E605" s="9" t="s">
        <v>1469</v>
      </c>
      <c r="F605" s="9" t="s">
        <v>2589</v>
      </c>
    </row>
    <row r="606">
      <c r="A606" s="9" t="s">
        <v>2590</v>
      </c>
      <c r="B606" s="9" t="s">
        <v>164</v>
      </c>
      <c r="C606" s="9" t="s">
        <v>1467</v>
      </c>
      <c r="D606" s="9" t="s">
        <v>2591</v>
      </c>
      <c r="E606" s="9" t="s">
        <v>1469</v>
      </c>
      <c r="F606" s="9" t="s">
        <v>2592</v>
      </c>
    </row>
    <row r="607">
      <c r="A607" s="9" t="s">
        <v>2593</v>
      </c>
      <c r="B607" s="9" t="s">
        <v>347</v>
      </c>
      <c r="C607" s="9" t="s">
        <v>1467</v>
      </c>
      <c r="D607" s="9" t="s">
        <v>2594</v>
      </c>
      <c r="E607" s="9" t="s">
        <v>1469</v>
      </c>
      <c r="F607" s="9" t="s">
        <v>2595</v>
      </c>
    </row>
    <row r="608">
      <c r="A608" s="9" t="s">
        <v>2596</v>
      </c>
      <c r="B608" s="9" t="s">
        <v>303</v>
      </c>
      <c r="C608" s="9" t="s">
        <v>1467</v>
      </c>
      <c r="D608" s="9" t="s">
        <v>2597</v>
      </c>
      <c r="E608" s="9" t="s">
        <v>1469</v>
      </c>
      <c r="F608" s="9" t="s">
        <v>2598</v>
      </c>
    </row>
    <row r="609">
      <c r="A609" s="9" t="s">
        <v>2599</v>
      </c>
      <c r="B609" s="9" t="s">
        <v>157</v>
      </c>
      <c r="C609" s="9" t="s">
        <v>1467</v>
      </c>
      <c r="D609" s="9" t="s">
        <v>2600</v>
      </c>
      <c r="E609" s="9" t="s">
        <v>1469</v>
      </c>
      <c r="F609" s="9" t="s">
        <v>2601</v>
      </c>
    </row>
    <row r="610">
      <c r="A610" s="9" t="s">
        <v>2602</v>
      </c>
      <c r="B610" s="9" t="s">
        <v>77</v>
      </c>
      <c r="C610" s="9" t="s">
        <v>1467</v>
      </c>
      <c r="D610" s="9" t="s">
        <v>2603</v>
      </c>
      <c r="E610" s="9" t="s">
        <v>1469</v>
      </c>
      <c r="F610" s="9" t="s">
        <v>2604</v>
      </c>
    </row>
    <row r="611">
      <c r="A611" s="9" t="s">
        <v>2605</v>
      </c>
      <c r="B611" s="9" t="s">
        <v>252</v>
      </c>
      <c r="C611" s="9" t="s">
        <v>1467</v>
      </c>
      <c r="D611" s="9" t="s">
        <v>2606</v>
      </c>
      <c r="E611" s="9" t="s">
        <v>1469</v>
      </c>
      <c r="F611" s="9" t="s">
        <v>2607</v>
      </c>
    </row>
    <row r="612">
      <c r="A612" s="9" t="s">
        <v>2608</v>
      </c>
      <c r="B612" s="9" t="s">
        <v>67</v>
      </c>
      <c r="C612" s="9" t="s">
        <v>1467</v>
      </c>
      <c r="D612" s="9" t="s">
        <v>2609</v>
      </c>
      <c r="E612" s="9" t="s">
        <v>1469</v>
      </c>
      <c r="F612" s="9" t="s">
        <v>2610</v>
      </c>
    </row>
    <row r="613">
      <c r="A613" s="9" t="s">
        <v>2611</v>
      </c>
      <c r="B613" s="9" t="s">
        <v>323</v>
      </c>
      <c r="C613" s="9" t="s">
        <v>1467</v>
      </c>
      <c r="D613" s="9" t="s">
        <v>2612</v>
      </c>
      <c r="E613" s="9" t="s">
        <v>1469</v>
      </c>
      <c r="F613" s="9" t="s">
        <v>2613</v>
      </c>
    </row>
    <row r="614">
      <c r="A614" s="9" t="s">
        <v>2614</v>
      </c>
      <c r="B614" s="9" t="s">
        <v>287</v>
      </c>
      <c r="C614" s="9" t="s">
        <v>1467</v>
      </c>
      <c r="D614" s="9" t="s">
        <v>2615</v>
      </c>
      <c r="E614" s="9" t="s">
        <v>1469</v>
      </c>
      <c r="F614" s="9" t="s">
        <v>2616</v>
      </c>
    </row>
    <row r="615">
      <c r="A615" s="9" t="s">
        <v>2617</v>
      </c>
      <c r="B615" s="9" t="s">
        <v>156</v>
      </c>
      <c r="C615" s="9" t="s">
        <v>1467</v>
      </c>
      <c r="D615" s="9" t="s">
        <v>2618</v>
      </c>
      <c r="E615" s="9" t="s">
        <v>1469</v>
      </c>
      <c r="F615" s="9" t="s">
        <v>2619</v>
      </c>
    </row>
    <row r="616">
      <c r="A616" s="9" t="s">
        <v>2620</v>
      </c>
      <c r="B616" s="9" t="s">
        <v>352</v>
      </c>
      <c r="C616" s="9" t="s">
        <v>1467</v>
      </c>
      <c r="D616" s="9" t="s">
        <v>2621</v>
      </c>
      <c r="E616" s="9" t="s">
        <v>1469</v>
      </c>
      <c r="F616" s="9" t="s">
        <v>2622</v>
      </c>
    </row>
    <row r="617">
      <c r="A617" s="9" t="s">
        <v>2623</v>
      </c>
      <c r="B617" s="9" t="s">
        <v>351</v>
      </c>
      <c r="C617" s="9" t="s">
        <v>1467</v>
      </c>
      <c r="D617" s="9" t="s">
        <v>2624</v>
      </c>
      <c r="E617" s="9" t="s">
        <v>1469</v>
      </c>
      <c r="F617" s="9" t="s">
        <v>2625</v>
      </c>
    </row>
    <row r="618">
      <c r="A618" s="9" t="s">
        <v>2626</v>
      </c>
      <c r="B618" s="9" t="s">
        <v>328</v>
      </c>
      <c r="C618" s="9" t="s">
        <v>1467</v>
      </c>
      <c r="D618" s="9" t="s">
        <v>2627</v>
      </c>
      <c r="E618" s="9" t="s">
        <v>1469</v>
      </c>
      <c r="F618" s="9" t="s">
        <v>2628</v>
      </c>
    </row>
    <row r="619">
      <c r="A619" s="9" t="s">
        <v>2629</v>
      </c>
      <c r="B619" s="9" t="s">
        <v>354</v>
      </c>
      <c r="C619" s="9" t="s">
        <v>1467</v>
      </c>
      <c r="D619" s="9" t="s">
        <v>2630</v>
      </c>
      <c r="E619" s="9" t="s">
        <v>1469</v>
      </c>
      <c r="F619" s="9" t="s">
        <v>2631</v>
      </c>
    </row>
    <row r="620">
      <c r="A620" s="9" t="s">
        <v>2632</v>
      </c>
      <c r="B620" s="9" t="s">
        <v>350</v>
      </c>
      <c r="C620" s="9" t="s">
        <v>1467</v>
      </c>
      <c r="D620" s="9" t="s">
        <v>2633</v>
      </c>
      <c r="E620" s="9" t="s">
        <v>1469</v>
      </c>
      <c r="F620" s="9" t="s">
        <v>2634</v>
      </c>
    </row>
    <row r="621">
      <c r="A621" s="9" t="s">
        <v>2635</v>
      </c>
      <c r="B621" s="9" t="s">
        <v>320</v>
      </c>
      <c r="C621" s="9" t="s">
        <v>1467</v>
      </c>
      <c r="D621" s="9" t="s">
        <v>2636</v>
      </c>
      <c r="E621" s="9" t="s">
        <v>1469</v>
      </c>
      <c r="F621" s="9" t="s">
        <v>2637</v>
      </c>
    </row>
    <row r="622">
      <c r="A622" s="9" t="s">
        <v>2638</v>
      </c>
      <c r="B622" s="9" t="s">
        <v>355</v>
      </c>
      <c r="C622" s="9" t="s">
        <v>1467</v>
      </c>
      <c r="D622" s="9" t="s">
        <v>2639</v>
      </c>
      <c r="E622" s="9" t="s">
        <v>1469</v>
      </c>
      <c r="F622" s="9" t="s">
        <v>2640</v>
      </c>
    </row>
    <row r="623">
      <c r="A623" s="9" t="s">
        <v>2641</v>
      </c>
      <c r="B623" s="9" t="s">
        <v>191</v>
      </c>
      <c r="C623" s="9" t="s">
        <v>1467</v>
      </c>
      <c r="D623" s="9" t="s">
        <v>2642</v>
      </c>
      <c r="E623" s="9" t="s">
        <v>1469</v>
      </c>
      <c r="F623" s="9" t="s">
        <v>2643</v>
      </c>
    </row>
    <row r="624">
      <c r="A624" s="9" t="s">
        <v>2644</v>
      </c>
      <c r="B624" s="9" t="s">
        <v>157</v>
      </c>
      <c r="C624" s="9" t="s">
        <v>1467</v>
      </c>
      <c r="D624" s="9" t="s">
        <v>2645</v>
      </c>
      <c r="E624" s="9" t="s">
        <v>1469</v>
      </c>
      <c r="F624" s="9" t="s">
        <v>2646</v>
      </c>
    </row>
    <row r="625">
      <c r="A625" s="9" t="s">
        <v>2647</v>
      </c>
      <c r="B625" s="9" t="s">
        <v>286</v>
      </c>
      <c r="C625" s="9" t="s">
        <v>1467</v>
      </c>
      <c r="D625" s="9" t="s">
        <v>2648</v>
      </c>
      <c r="E625" s="9" t="s">
        <v>1469</v>
      </c>
      <c r="F625" s="9" t="s">
        <v>2649</v>
      </c>
    </row>
    <row r="626">
      <c r="A626" s="9" t="s">
        <v>2650</v>
      </c>
      <c r="B626" s="9" t="s">
        <v>191</v>
      </c>
      <c r="C626" s="9" t="s">
        <v>1467</v>
      </c>
      <c r="D626" s="9" t="s">
        <v>2651</v>
      </c>
      <c r="E626" s="9" t="s">
        <v>1469</v>
      </c>
      <c r="F626" s="9" t="s">
        <v>2652</v>
      </c>
    </row>
    <row r="627">
      <c r="A627" s="9" t="s">
        <v>2653</v>
      </c>
      <c r="B627" s="9" t="s">
        <v>274</v>
      </c>
      <c r="C627" s="9" t="s">
        <v>1467</v>
      </c>
      <c r="D627" s="9" t="s">
        <v>2654</v>
      </c>
      <c r="E627" s="9" t="s">
        <v>1469</v>
      </c>
      <c r="F627" s="9" t="s">
        <v>2655</v>
      </c>
    </row>
    <row r="628">
      <c r="A628" s="9" t="s">
        <v>2656</v>
      </c>
      <c r="B628" s="9" t="s">
        <v>286</v>
      </c>
      <c r="C628" s="9" t="s">
        <v>1467</v>
      </c>
      <c r="D628" s="9" t="s">
        <v>2657</v>
      </c>
      <c r="E628" s="9" t="s">
        <v>1469</v>
      </c>
      <c r="F628" s="9" t="s">
        <v>2658</v>
      </c>
    </row>
    <row r="629">
      <c r="A629" s="9" t="s">
        <v>2659</v>
      </c>
      <c r="B629" s="9" t="s">
        <v>229</v>
      </c>
      <c r="C629" s="9" t="s">
        <v>1467</v>
      </c>
      <c r="D629" s="9" t="s">
        <v>2660</v>
      </c>
      <c r="E629" s="9" t="s">
        <v>1469</v>
      </c>
      <c r="F629" s="9" t="s">
        <v>2661</v>
      </c>
    </row>
    <row r="630">
      <c r="A630" s="9" t="s">
        <v>2662</v>
      </c>
      <c r="B630" s="9" t="s">
        <v>296</v>
      </c>
      <c r="C630" s="9" t="s">
        <v>1467</v>
      </c>
      <c r="D630" s="9" t="s">
        <v>2663</v>
      </c>
      <c r="E630" s="9" t="s">
        <v>1469</v>
      </c>
      <c r="F630" s="9" t="s">
        <v>2664</v>
      </c>
    </row>
    <row r="631">
      <c r="A631" s="9" t="s">
        <v>2665</v>
      </c>
      <c r="B631" s="9" t="s">
        <v>313</v>
      </c>
      <c r="C631" s="9" t="s">
        <v>1467</v>
      </c>
      <c r="D631" s="9" t="s">
        <v>2666</v>
      </c>
      <c r="E631" s="9" t="s">
        <v>1469</v>
      </c>
      <c r="F631" s="9" t="s">
        <v>2667</v>
      </c>
    </row>
    <row r="632">
      <c r="A632" s="9" t="s">
        <v>2668</v>
      </c>
      <c r="B632" s="9" t="s">
        <v>336</v>
      </c>
      <c r="C632" s="9" t="s">
        <v>1467</v>
      </c>
      <c r="D632" s="9" t="s">
        <v>2669</v>
      </c>
      <c r="E632" s="9" t="s">
        <v>1469</v>
      </c>
      <c r="F632" s="9" t="s">
        <v>2670</v>
      </c>
    </row>
    <row r="633">
      <c r="A633" s="9" t="s">
        <v>2672</v>
      </c>
      <c r="B633" s="9" t="s">
        <v>359</v>
      </c>
      <c r="C633" s="9" t="s">
        <v>1467</v>
      </c>
      <c r="D633" s="9" t="s">
        <v>2675</v>
      </c>
      <c r="E633" s="9" t="s">
        <v>1469</v>
      </c>
      <c r="F633" s="9" t="s">
        <v>2676</v>
      </c>
    </row>
    <row r="634">
      <c r="A634" s="9" t="s">
        <v>2677</v>
      </c>
      <c r="B634" s="9" t="s">
        <v>224</v>
      </c>
      <c r="C634" s="9" t="s">
        <v>1467</v>
      </c>
      <c r="D634" s="9" t="s">
        <v>2678</v>
      </c>
      <c r="E634" s="9" t="s">
        <v>1469</v>
      </c>
      <c r="F634" s="9" t="s">
        <v>2679</v>
      </c>
    </row>
    <row r="635">
      <c r="A635" s="9" t="s">
        <v>2680</v>
      </c>
      <c r="B635" s="9" t="s">
        <v>248</v>
      </c>
      <c r="C635" s="9" t="s">
        <v>1467</v>
      </c>
      <c r="D635" s="9" t="s">
        <v>2681</v>
      </c>
      <c r="E635" s="9" t="s">
        <v>1469</v>
      </c>
      <c r="F635" s="9" t="s">
        <v>2682</v>
      </c>
    </row>
    <row r="636">
      <c r="A636" s="9" t="s">
        <v>2683</v>
      </c>
      <c r="B636" s="9" t="s">
        <v>249</v>
      </c>
      <c r="C636" s="9" t="s">
        <v>1467</v>
      </c>
      <c r="D636" s="9" t="s">
        <v>2684</v>
      </c>
      <c r="E636" s="9" t="s">
        <v>1469</v>
      </c>
      <c r="F636" s="9" t="s">
        <v>2685</v>
      </c>
    </row>
    <row r="637">
      <c r="A637" s="9" t="s">
        <v>2686</v>
      </c>
      <c r="B637" s="9" t="s">
        <v>362</v>
      </c>
      <c r="C637" s="9" t="s">
        <v>1467</v>
      </c>
      <c r="D637" s="9" t="s">
        <v>2687</v>
      </c>
      <c r="E637" s="9" t="s">
        <v>1469</v>
      </c>
      <c r="F637" s="9" t="s">
        <v>2688</v>
      </c>
    </row>
    <row r="638">
      <c r="A638" s="9" t="s">
        <v>2689</v>
      </c>
      <c r="B638" s="9" t="s">
        <v>109</v>
      </c>
      <c r="C638" s="9" t="s">
        <v>1467</v>
      </c>
      <c r="D638" s="9" t="s">
        <v>2690</v>
      </c>
      <c r="E638" s="9" t="s">
        <v>1469</v>
      </c>
      <c r="F638" s="9" t="s">
        <v>2691</v>
      </c>
    </row>
    <row r="639">
      <c r="A639" s="9" t="s">
        <v>2692</v>
      </c>
      <c r="B639" s="9" t="s">
        <v>337</v>
      </c>
      <c r="C639" s="9" t="s">
        <v>1467</v>
      </c>
      <c r="D639" s="9" t="s">
        <v>2693</v>
      </c>
      <c r="E639" s="9" t="s">
        <v>1469</v>
      </c>
      <c r="F639" s="9" t="s">
        <v>2694</v>
      </c>
    </row>
    <row r="640">
      <c r="A640" s="9" t="s">
        <v>2695</v>
      </c>
      <c r="B640" s="9" t="s">
        <v>249</v>
      </c>
      <c r="C640" s="9" t="s">
        <v>1467</v>
      </c>
      <c r="D640" s="9" t="s">
        <v>2696</v>
      </c>
      <c r="E640" s="9" t="s">
        <v>1469</v>
      </c>
      <c r="F640" s="9" t="s">
        <v>2697</v>
      </c>
    </row>
    <row r="641">
      <c r="A641" s="9" t="s">
        <v>2698</v>
      </c>
      <c r="B641" s="9" t="s">
        <v>336</v>
      </c>
      <c r="C641" s="9" t="s">
        <v>1467</v>
      </c>
      <c r="D641" s="9" t="s">
        <v>2699</v>
      </c>
      <c r="E641" s="9" t="s">
        <v>1469</v>
      </c>
      <c r="F641" s="9" t="s">
        <v>2700</v>
      </c>
    </row>
    <row r="642">
      <c r="A642" s="9" t="s">
        <v>2701</v>
      </c>
      <c r="B642" s="9" t="s">
        <v>368</v>
      </c>
      <c r="C642" s="9" t="s">
        <v>1467</v>
      </c>
      <c r="D642" s="9" t="s">
        <v>2702</v>
      </c>
      <c r="E642" s="9" t="s">
        <v>1469</v>
      </c>
      <c r="F642" s="9" t="s">
        <v>2703</v>
      </c>
    </row>
    <row r="643">
      <c r="A643" s="9" t="s">
        <v>2704</v>
      </c>
      <c r="B643" s="9" t="s">
        <v>249</v>
      </c>
      <c r="C643" s="9" t="s">
        <v>1467</v>
      </c>
      <c r="D643" s="9" t="s">
        <v>2705</v>
      </c>
      <c r="E643" s="9" t="s">
        <v>1469</v>
      </c>
      <c r="F643" s="9" t="s">
        <v>2706</v>
      </c>
    </row>
    <row r="644">
      <c r="A644" s="9" t="s">
        <v>2707</v>
      </c>
      <c r="B644" s="9" t="s">
        <v>366</v>
      </c>
      <c r="C644" s="9" t="s">
        <v>1467</v>
      </c>
      <c r="D644" s="9" t="s">
        <v>2708</v>
      </c>
      <c r="E644" s="9" t="s">
        <v>1469</v>
      </c>
      <c r="F644" s="9" t="s">
        <v>2709</v>
      </c>
    </row>
    <row r="645">
      <c r="A645" s="9" t="s">
        <v>2710</v>
      </c>
      <c r="B645" s="9" t="s">
        <v>312</v>
      </c>
      <c r="C645" s="9" t="s">
        <v>1467</v>
      </c>
      <c r="D645" s="9" t="s">
        <v>2711</v>
      </c>
      <c r="E645" s="9" t="s">
        <v>1469</v>
      </c>
      <c r="F645" s="9" t="s">
        <v>2712</v>
      </c>
    </row>
    <row r="646">
      <c r="A646" s="9" t="s">
        <v>2713</v>
      </c>
      <c r="B646" s="9" t="s">
        <v>348</v>
      </c>
      <c r="C646" s="9" t="s">
        <v>1467</v>
      </c>
      <c r="D646" s="9" t="s">
        <v>2714</v>
      </c>
      <c r="E646" s="9" t="s">
        <v>1469</v>
      </c>
      <c r="F646" s="9" t="s">
        <v>2715</v>
      </c>
    </row>
    <row r="647">
      <c r="A647" s="9" t="s">
        <v>2716</v>
      </c>
      <c r="B647" s="9" t="s">
        <v>369</v>
      </c>
      <c r="C647" s="9" t="s">
        <v>1467</v>
      </c>
      <c r="D647" s="9" t="s">
        <v>2717</v>
      </c>
      <c r="E647" s="9" t="s">
        <v>1469</v>
      </c>
      <c r="F647" s="9" t="s">
        <v>2718</v>
      </c>
    </row>
    <row r="648">
      <c r="A648" s="9" t="s">
        <v>2719</v>
      </c>
      <c r="B648" s="9" t="s">
        <v>231</v>
      </c>
      <c r="C648" s="9" t="s">
        <v>1467</v>
      </c>
      <c r="D648" s="9" t="s">
        <v>2720</v>
      </c>
      <c r="E648" s="9" t="s">
        <v>1469</v>
      </c>
      <c r="F648" s="9" t="s">
        <v>2721</v>
      </c>
    </row>
    <row r="649">
      <c r="A649" s="9" t="s">
        <v>2722</v>
      </c>
      <c r="B649" s="9" t="s">
        <v>349</v>
      </c>
      <c r="C649" s="9" t="s">
        <v>1467</v>
      </c>
      <c r="D649" s="9" t="s">
        <v>2723</v>
      </c>
      <c r="E649" s="9" t="s">
        <v>1469</v>
      </c>
      <c r="F649" s="9" t="s">
        <v>2724</v>
      </c>
    </row>
    <row r="650">
      <c r="A650" s="9" t="s">
        <v>2725</v>
      </c>
      <c r="B650" s="9" t="s">
        <v>371</v>
      </c>
      <c r="C650" s="9" t="s">
        <v>1467</v>
      </c>
      <c r="D650" s="9" t="s">
        <v>2726</v>
      </c>
      <c r="E650" s="9" t="s">
        <v>1469</v>
      </c>
      <c r="F650" s="9" t="s">
        <v>2727</v>
      </c>
    </row>
    <row r="651">
      <c r="A651" s="9" t="s">
        <v>2728</v>
      </c>
      <c r="B651" s="9" t="s">
        <v>372</v>
      </c>
      <c r="C651" s="9" t="s">
        <v>1467</v>
      </c>
      <c r="D651" s="9" t="s">
        <v>2729</v>
      </c>
      <c r="E651" s="9" t="s">
        <v>1469</v>
      </c>
      <c r="F651" s="9" t="s">
        <v>2730</v>
      </c>
    </row>
    <row r="652">
      <c r="A652" s="9" t="s">
        <v>2731</v>
      </c>
      <c r="B652" s="9" t="s">
        <v>161</v>
      </c>
      <c r="C652" s="9" t="s">
        <v>1467</v>
      </c>
      <c r="D652" s="9" t="s">
        <v>2732</v>
      </c>
      <c r="E652" s="9" t="s">
        <v>1469</v>
      </c>
      <c r="F652" s="9" t="s">
        <v>2733</v>
      </c>
    </row>
    <row r="653">
      <c r="A653" s="9" t="s">
        <v>2734</v>
      </c>
      <c r="B653" s="9" t="s">
        <v>373</v>
      </c>
      <c r="C653" s="9" t="s">
        <v>1467</v>
      </c>
      <c r="D653" s="9" t="s">
        <v>2735</v>
      </c>
      <c r="E653" s="9" t="s">
        <v>1469</v>
      </c>
      <c r="F653" s="9" t="s">
        <v>2736</v>
      </c>
    </row>
    <row r="654">
      <c r="A654" s="9" t="s">
        <v>2737</v>
      </c>
      <c r="B654" s="9" t="s">
        <v>373</v>
      </c>
      <c r="C654" s="9" t="s">
        <v>1467</v>
      </c>
      <c r="D654" s="9" t="s">
        <v>2738</v>
      </c>
      <c r="E654" s="9" t="s">
        <v>1469</v>
      </c>
      <c r="F654" s="9" t="s">
        <v>2739</v>
      </c>
    </row>
    <row r="655">
      <c r="A655" s="9" t="s">
        <v>2740</v>
      </c>
      <c r="B655" s="9" t="s">
        <v>355</v>
      </c>
      <c r="C655" s="9" t="s">
        <v>1467</v>
      </c>
      <c r="D655" s="9" t="s">
        <v>2741</v>
      </c>
      <c r="E655" s="9" t="s">
        <v>1469</v>
      </c>
      <c r="F655" s="9" t="s">
        <v>2742</v>
      </c>
    </row>
    <row r="656">
      <c r="A656" s="9" t="s">
        <v>2743</v>
      </c>
      <c r="B656" s="9" t="s">
        <v>323</v>
      </c>
      <c r="C656" s="9" t="s">
        <v>1467</v>
      </c>
      <c r="D656" s="9" t="s">
        <v>2744</v>
      </c>
      <c r="E656" s="9" t="s">
        <v>1469</v>
      </c>
      <c r="F656" s="9" t="s">
        <v>2745</v>
      </c>
    </row>
    <row r="657">
      <c r="A657" s="9" t="s">
        <v>2746</v>
      </c>
      <c r="B657" s="9" t="s">
        <v>374</v>
      </c>
      <c r="C657" s="9" t="s">
        <v>1467</v>
      </c>
      <c r="D657" s="9" t="s">
        <v>2747</v>
      </c>
      <c r="E657" s="9" t="s">
        <v>1469</v>
      </c>
      <c r="F657" s="9" t="s">
        <v>2748</v>
      </c>
    </row>
    <row r="658">
      <c r="A658" s="9" t="s">
        <v>2749</v>
      </c>
      <c r="B658" s="9" t="s">
        <v>376</v>
      </c>
      <c r="C658" s="9" t="s">
        <v>1467</v>
      </c>
      <c r="D658" s="9" t="s">
        <v>2750</v>
      </c>
      <c r="E658" s="9" t="s">
        <v>1469</v>
      </c>
      <c r="F658" s="9" t="s">
        <v>2751</v>
      </c>
    </row>
    <row r="659">
      <c r="A659" s="9" t="s">
        <v>2752</v>
      </c>
      <c r="B659" s="9" t="s">
        <v>289</v>
      </c>
      <c r="C659" s="9" t="s">
        <v>1467</v>
      </c>
      <c r="D659" s="9" t="s">
        <v>2753</v>
      </c>
      <c r="E659" s="9" t="s">
        <v>1469</v>
      </c>
      <c r="F659" s="9" t="s">
        <v>2754</v>
      </c>
    </row>
    <row r="660">
      <c r="A660" s="9" t="s">
        <v>2755</v>
      </c>
      <c r="B660" s="9" t="s">
        <v>344</v>
      </c>
      <c r="C660" s="9" t="s">
        <v>1467</v>
      </c>
      <c r="D660" s="9" t="s">
        <v>2756</v>
      </c>
      <c r="E660" s="9" t="s">
        <v>1469</v>
      </c>
      <c r="F660" s="9" t="s">
        <v>2757</v>
      </c>
    </row>
    <row r="661">
      <c r="A661" s="9" t="s">
        <v>2758</v>
      </c>
      <c r="B661" s="9" t="s">
        <v>379</v>
      </c>
      <c r="C661" s="9" t="s">
        <v>1467</v>
      </c>
      <c r="D661" s="9" t="s">
        <v>2759</v>
      </c>
      <c r="E661" s="9" t="s">
        <v>1469</v>
      </c>
      <c r="F661" s="9" t="s">
        <v>2760</v>
      </c>
    </row>
    <row r="662">
      <c r="A662" s="9" t="s">
        <v>2761</v>
      </c>
      <c r="B662" s="9" t="s">
        <v>379</v>
      </c>
      <c r="C662" s="9" t="s">
        <v>1467</v>
      </c>
      <c r="D662" s="9" t="s">
        <v>2762</v>
      </c>
      <c r="E662" s="9" t="s">
        <v>1469</v>
      </c>
      <c r="F662" s="9" t="s">
        <v>2763</v>
      </c>
    </row>
    <row r="663">
      <c r="A663" s="9" t="s">
        <v>2764</v>
      </c>
      <c r="B663" s="9" t="s">
        <v>344</v>
      </c>
      <c r="C663" s="9" t="s">
        <v>1467</v>
      </c>
      <c r="D663" s="9" t="s">
        <v>2765</v>
      </c>
      <c r="E663" s="9" t="s">
        <v>1469</v>
      </c>
      <c r="F663" s="9" t="s">
        <v>2766</v>
      </c>
    </row>
    <row r="664">
      <c r="A664" s="9" t="s">
        <v>2767</v>
      </c>
      <c r="B664" s="9" t="s">
        <v>181</v>
      </c>
      <c r="C664" s="9" t="s">
        <v>1467</v>
      </c>
      <c r="D664" s="9" t="s">
        <v>2768</v>
      </c>
      <c r="E664" s="9" t="s">
        <v>1469</v>
      </c>
      <c r="F664" s="9" t="s">
        <v>2769</v>
      </c>
    </row>
    <row r="665">
      <c r="A665" s="9" t="s">
        <v>2770</v>
      </c>
      <c r="B665" s="9" t="s">
        <v>379</v>
      </c>
      <c r="C665" s="9" t="s">
        <v>1467</v>
      </c>
      <c r="D665" s="9" t="s">
        <v>2771</v>
      </c>
      <c r="E665" s="9" t="s">
        <v>1469</v>
      </c>
      <c r="F665" s="9" t="s">
        <v>2772</v>
      </c>
    </row>
    <row r="666">
      <c r="A666" s="9" t="s">
        <v>2773</v>
      </c>
      <c r="B666" s="9" t="s">
        <v>326</v>
      </c>
      <c r="C666" s="9" t="s">
        <v>1467</v>
      </c>
      <c r="D666" s="9" t="s">
        <v>2774</v>
      </c>
      <c r="E666" s="9" t="s">
        <v>1469</v>
      </c>
      <c r="F666" s="9" t="s">
        <v>2775</v>
      </c>
    </row>
    <row r="667">
      <c r="A667" s="9" t="s">
        <v>2776</v>
      </c>
      <c r="B667" s="9" t="s">
        <v>367</v>
      </c>
      <c r="C667" s="9" t="s">
        <v>1467</v>
      </c>
      <c r="D667" s="9" t="s">
        <v>2777</v>
      </c>
      <c r="E667" s="9" t="s">
        <v>1469</v>
      </c>
      <c r="F667" s="9" t="s">
        <v>2778</v>
      </c>
    </row>
    <row r="668">
      <c r="A668" s="9" t="s">
        <v>2779</v>
      </c>
      <c r="B668" s="9" t="s">
        <v>326</v>
      </c>
      <c r="C668" s="9" t="s">
        <v>1467</v>
      </c>
      <c r="D668" s="9" t="s">
        <v>2780</v>
      </c>
      <c r="E668" s="9" t="s">
        <v>1469</v>
      </c>
      <c r="F668" s="9" t="s">
        <v>2781</v>
      </c>
    </row>
    <row r="669">
      <c r="A669" s="9" t="s">
        <v>2782</v>
      </c>
      <c r="B669" s="9" t="s">
        <v>326</v>
      </c>
      <c r="C669" s="9" t="s">
        <v>1467</v>
      </c>
      <c r="D669" s="9" t="s">
        <v>2783</v>
      </c>
      <c r="E669" s="9" t="s">
        <v>1469</v>
      </c>
      <c r="F669" s="9" t="s">
        <v>2784</v>
      </c>
    </row>
    <row r="670">
      <c r="A670" s="9" t="s">
        <v>2785</v>
      </c>
      <c r="B670" s="9" t="s">
        <v>355</v>
      </c>
      <c r="C670" s="9" t="s">
        <v>1467</v>
      </c>
      <c r="D670" s="9" t="s">
        <v>2786</v>
      </c>
      <c r="E670" s="9" t="s">
        <v>1469</v>
      </c>
      <c r="F670" s="9" t="s">
        <v>2787</v>
      </c>
    </row>
    <row r="671">
      <c r="A671" s="9" t="s">
        <v>2788</v>
      </c>
      <c r="B671" s="9" t="s">
        <v>337</v>
      </c>
      <c r="C671" s="9" t="s">
        <v>1467</v>
      </c>
      <c r="D671" s="9" t="s">
        <v>2789</v>
      </c>
      <c r="E671" s="9" t="s">
        <v>1469</v>
      </c>
      <c r="F671" s="9" t="s">
        <v>2790</v>
      </c>
    </row>
    <row r="672">
      <c r="A672" s="9" t="s">
        <v>2792</v>
      </c>
      <c r="B672" s="9" t="s">
        <v>359</v>
      </c>
      <c r="C672" s="9" t="s">
        <v>1467</v>
      </c>
      <c r="D672" s="9" t="s">
        <v>2795</v>
      </c>
      <c r="E672" s="9" t="s">
        <v>1469</v>
      </c>
      <c r="F672" s="9" t="s">
        <v>2796</v>
      </c>
    </row>
    <row r="673">
      <c r="A673" s="9" t="s">
        <v>2797</v>
      </c>
      <c r="B673" s="9" t="s">
        <v>379</v>
      </c>
      <c r="C673" s="9" t="s">
        <v>1467</v>
      </c>
      <c r="D673" s="9" t="s">
        <v>2798</v>
      </c>
      <c r="E673" s="9" t="s">
        <v>1469</v>
      </c>
      <c r="F673" s="9" t="s">
        <v>2799</v>
      </c>
    </row>
    <row r="674">
      <c r="A674" s="9" t="s">
        <v>2800</v>
      </c>
      <c r="B674" s="9" t="s">
        <v>367</v>
      </c>
      <c r="C674" s="9" t="s">
        <v>1467</v>
      </c>
      <c r="D674" s="9" t="s">
        <v>2801</v>
      </c>
      <c r="E674" s="9" t="s">
        <v>1469</v>
      </c>
      <c r="F674" s="9" t="s">
        <v>2802</v>
      </c>
    </row>
    <row r="675">
      <c r="A675" s="9" t="s">
        <v>2803</v>
      </c>
      <c r="B675" s="9" t="s">
        <v>328</v>
      </c>
      <c r="C675" s="9" t="s">
        <v>1467</v>
      </c>
      <c r="D675" s="9" t="s">
        <v>2804</v>
      </c>
      <c r="E675" s="9" t="s">
        <v>1469</v>
      </c>
      <c r="F675" s="9" t="s">
        <v>2805</v>
      </c>
    </row>
    <row r="676">
      <c r="A676" s="9" t="s">
        <v>2806</v>
      </c>
      <c r="B676" s="9" t="s">
        <v>372</v>
      </c>
      <c r="C676" s="9" t="s">
        <v>1467</v>
      </c>
      <c r="D676" s="9" t="s">
        <v>2807</v>
      </c>
      <c r="E676" s="9" t="s">
        <v>1469</v>
      </c>
      <c r="F676" s="9" t="s">
        <v>2808</v>
      </c>
    </row>
    <row r="677">
      <c r="A677" s="9" t="s">
        <v>2809</v>
      </c>
      <c r="B677" s="9" t="s">
        <v>388</v>
      </c>
      <c r="C677" s="9" t="s">
        <v>1467</v>
      </c>
      <c r="D677" s="9" t="s">
        <v>2810</v>
      </c>
      <c r="E677" s="9" t="s">
        <v>1469</v>
      </c>
      <c r="F677" s="9" t="s">
        <v>2811</v>
      </c>
    </row>
    <row r="678">
      <c r="A678" s="9" t="s">
        <v>2812</v>
      </c>
      <c r="B678" s="9" t="s">
        <v>335</v>
      </c>
      <c r="C678" s="9" t="s">
        <v>1467</v>
      </c>
      <c r="D678" s="9" t="s">
        <v>2813</v>
      </c>
      <c r="E678" s="9" t="s">
        <v>1469</v>
      </c>
      <c r="F678" s="9" t="s">
        <v>2814</v>
      </c>
    </row>
    <row r="679">
      <c r="A679" s="9" t="s">
        <v>2815</v>
      </c>
      <c r="B679" s="9" t="s">
        <v>141</v>
      </c>
      <c r="C679" s="9" t="s">
        <v>1467</v>
      </c>
      <c r="D679" s="9" t="s">
        <v>2816</v>
      </c>
      <c r="E679" s="9" t="s">
        <v>1469</v>
      </c>
      <c r="F679" s="9" t="s">
        <v>2817</v>
      </c>
    </row>
    <row r="680">
      <c r="A680" s="9" t="s">
        <v>2818</v>
      </c>
      <c r="B680" s="9" t="s">
        <v>316</v>
      </c>
      <c r="C680" s="9" t="s">
        <v>1467</v>
      </c>
      <c r="D680" s="9" t="s">
        <v>2819</v>
      </c>
      <c r="E680" s="9" t="s">
        <v>1469</v>
      </c>
      <c r="F680" s="9" t="s">
        <v>2820</v>
      </c>
    </row>
    <row r="681">
      <c r="A681" s="9" t="s">
        <v>2821</v>
      </c>
      <c r="B681" s="9" t="s">
        <v>322</v>
      </c>
      <c r="C681" s="9" t="s">
        <v>1467</v>
      </c>
      <c r="D681" s="9" t="s">
        <v>2822</v>
      </c>
      <c r="E681" s="9" t="s">
        <v>1469</v>
      </c>
      <c r="F681" s="9" t="s">
        <v>2823</v>
      </c>
    </row>
    <row r="682">
      <c r="A682" s="9" t="s">
        <v>2824</v>
      </c>
      <c r="B682" s="9" t="s">
        <v>372</v>
      </c>
      <c r="C682" s="9" t="s">
        <v>1467</v>
      </c>
      <c r="D682" s="9" t="s">
        <v>2825</v>
      </c>
      <c r="E682" s="9" t="s">
        <v>1469</v>
      </c>
      <c r="F682" s="9" t="s">
        <v>2826</v>
      </c>
    </row>
    <row r="683">
      <c r="A683" s="9" t="s">
        <v>2827</v>
      </c>
      <c r="B683" s="9" t="s">
        <v>227</v>
      </c>
      <c r="C683" s="9" t="s">
        <v>1467</v>
      </c>
      <c r="D683" s="9" t="s">
        <v>2828</v>
      </c>
      <c r="E683" s="9" t="s">
        <v>1469</v>
      </c>
      <c r="F683" s="9" t="s">
        <v>2829</v>
      </c>
    </row>
    <row r="684">
      <c r="A684" s="9" t="s">
        <v>2830</v>
      </c>
      <c r="B684" s="9" t="s">
        <v>362</v>
      </c>
      <c r="C684" s="9" t="s">
        <v>1467</v>
      </c>
      <c r="D684" s="9" t="s">
        <v>2831</v>
      </c>
      <c r="E684" s="9" t="s">
        <v>1469</v>
      </c>
      <c r="F684" s="9" t="s">
        <v>2832</v>
      </c>
    </row>
    <row r="685">
      <c r="A685" s="9" t="s">
        <v>2833</v>
      </c>
      <c r="B685" s="9" t="s">
        <v>243</v>
      </c>
      <c r="C685" s="9" t="s">
        <v>1467</v>
      </c>
      <c r="D685" s="9" t="s">
        <v>2834</v>
      </c>
      <c r="E685" s="9" t="s">
        <v>1469</v>
      </c>
      <c r="F685" s="9" t="s">
        <v>2835</v>
      </c>
    </row>
    <row r="686">
      <c r="A686" s="9" t="s">
        <v>2836</v>
      </c>
      <c r="B686" s="9" t="s">
        <v>366</v>
      </c>
      <c r="C686" s="9" t="s">
        <v>1467</v>
      </c>
      <c r="D686" s="9" t="s">
        <v>2837</v>
      </c>
      <c r="E686" s="9" t="s">
        <v>1469</v>
      </c>
      <c r="F686" s="9" t="s">
        <v>2838</v>
      </c>
    </row>
    <row r="687">
      <c r="A687" s="9" t="s">
        <v>2839</v>
      </c>
      <c r="B687" s="9" t="s">
        <v>243</v>
      </c>
      <c r="C687" s="9" t="s">
        <v>1467</v>
      </c>
      <c r="D687" s="9" t="s">
        <v>2840</v>
      </c>
      <c r="E687" s="9" t="s">
        <v>1469</v>
      </c>
      <c r="F687" s="9" t="s">
        <v>2841</v>
      </c>
    </row>
    <row r="688">
      <c r="A688" s="9" t="s">
        <v>2842</v>
      </c>
      <c r="B688" s="9" t="s">
        <v>316</v>
      </c>
      <c r="C688" s="9" t="s">
        <v>1467</v>
      </c>
      <c r="D688" s="9" t="s">
        <v>2843</v>
      </c>
      <c r="E688" s="9" t="s">
        <v>1469</v>
      </c>
      <c r="F688" s="9" t="s">
        <v>2844</v>
      </c>
    </row>
    <row r="689">
      <c r="A689" s="9" t="s">
        <v>2845</v>
      </c>
      <c r="B689" s="9" t="s">
        <v>378</v>
      </c>
      <c r="C689" s="9" t="s">
        <v>1467</v>
      </c>
      <c r="D689" s="9" t="s">
        <v>2846</v>
      </c>
      <c r="E689" s="9" t="s">
        <v>1469</v>
      </c>
      <c r="F689" s="9" t="s">
        <v>2847</v>
      </c>
    </row>
    <row r="690">
      <c r="A690" s="9" t="s">
        <v>2848</v>
      </c>
      <c r="B690" s="9" t="s">
        <v>366</v>
      </c>
      <c r="C690" s="9" t="s">
        <v>1467</v>
      </c>
      <c r="D690" s="9" t="s">
        <v>2849</v>
      </c>
      <c r="E690" s="9" t="s">
        <v>1469</v>
      </c>
      <c r="F690" s="9" t="s">
        <v>2850</v>
      </c>
    </row>
    <row r="691">
      <c r="A691" s="9" t="s">
        <v>2851</v>
      </c>
      <c r="B691" s="9" t="s">
        <v>137</v>
      </c>
      <c r="C691" s="9" t="s">
        <v>1467</v>
      </c>
      <c r="D691" s="9" t="s">
        <v>2852</v>
      </c>
      <c r="E691" s="9" t="s">
        <v>1469</v>
      </c>
      <c r="F691" s="9" t="s">
        <v>2853</v>
      </c>
    </row>
    <row r="692">
      <c r="A692" s="9" t="s">
        <v>2854</v>
      </c>
      <c r="B692" s="9" t="s">
        <v>180</v>
      </c>
      <c r="C692" s="9" t="s">
        <v>1467</v>
      </c>
      <c r="D692" s="9" t="s">
        <v>2855</v>
      </c>
      <c r="E692" s="9" t="s">
        <v>1469</v>
      </c>
      <c r="F692" s="9" t="s">
        <v>2856</v>
      </c>
    </row>
    <row r="693">
      <c r="A693" s="9" t="s">
        <v>2857</v>
      </c>
      <c r="B693" s="9" t="s">
        <v>345</v>
      </c>
      <c r="C693" s="9" t="s">
        <v>1467</v>
      </c>
      <c r="D693" s="9" t="s">
        <v>2858</v>
      </c>
      <c r="E693" s="9" t="s">
        <v>1469</v>
      </c>
      <c r="F693" s="9" t="s">
        <v>2859</v>
      </c>
    </row>
    <row r="694">
      <c r="A694" s="9" t="s">
        <v>2860</v>
      </c>
      <c r="B694" s="9" t="s">
        <v>346</v>
      </c>
      <c r="C694" s="9" t="s">
        <v>1467</v>
      </c>
      <c r="D694" s="9" t="s">
        <v>2861</v>
      </c>
      <c r="E694" s="9" t="s">
        <v>1469</v>
      </c>
      <c r="F694" s="9" t="s">
        <v>2862</v>
      </c>
    </row>
    <row r="695">
      <c r="A695" s="9" t="s">
        <v>2863</v>
      </c>
      <c r="B695" s="9" t="s">
        <v>390</v>
      </c>
      <c r="C695" s="9" t="s">
        <v>1467</v>
      </c>
      <c r="D695" s="9" t="s">
        <v>2864</v>
      </c>
      <c r="E695" s="9" t="s">
        <v>1469</v>
      </c>
      <c r="F695" s="9" t="s">
        <v>2865</v>
      </c>
    </row>
    <row r="696">
      <c r="A696" s="9" t="s">
        <v>2866</v>
      </c>
      <c r="B696" s="9" t="s">
        <v>300</v>
      </c>
      <c r="C696" s="9" t="s">
        <v>1467</v>
      </c>
      <c r="D696" s="9" t="s">
        <v>2867</v>
      </c>
      <c r="E696" s="9" t="s">
        <v>1469</v>
      </c>
      <c r="F696" s="9" t="s">
        <v>2868</v>
      </c>
    </row>
    <row r="697">
      <c r="A697" s="9" t="s">
        <v>2869</v>
      </c>
      <c r="B697" s="9" t="s">
        <v>173</v>
      </c>
      <c r="C697" s="9" t="s">
        <v>1467</v>
      </c>
      <c r="D697" s="9" t="s">
        <v>2870</v>
      </c>
      <c r="E697" s="9" t="s">
        <v>1469</v>
      </c>
      <c r="F697" s="9" t="s">
        <v>2871</v>
      </c>
    </row>
    <row r="698">
      <c r="A698" s="9" t="s">
        <v>2872</v>
      </c>
      <c r="B698" s="9" t="s">
        <v>342</v>
      </c>
      <c r="C698" s="9" t="s">
        <v>1467</v>
      </c>
      <c r="D698" s="9" t="s">
        <v>2873</v>
      </c>
      <c r="E698" s="9" t="s">
        <v>1469</v>
      </c>
      <c r="F698" s="9" t="s">
        <v>2874</v>
      </c>
    </row>
    <row r="699">
      <c r="A699" s="9" t="s">
        <v>2875</v>
      </c>
      <c r="B699" s="9" t="s">
        <v>376</v>
      </c>
      <c r="C699" s="9" t="s">
        <v>1467</v>
      </c>
      <c r="D699" s="9" t="s">
        <v>2876</v>
      </c>
      <c r="E699" s="9" t="s">
        <v>1469</v>
      </c>
      <c r="F699" s="9" t="s">
        <v>2877</v>
      </c>
    </row>
    <row r="700">
      <c r="A700" s="9" t="s">
        <v>2878</v>
      </c>
      <c r="B700" s="9" t="s">
        <v>292</v>
      </c>
      <c r="C700" s="9" t="s">
        <v>1467</v>
      </c>
      <c r="D700" s="9" t="s">
        <v>2879</v>
      </c>
      <c r="E700" s="9" t="s">
        <v>1469</v>
      </c>
      <c r="F700" s="9" t="s">
        <v>2880</v>
      </c>
    </row>
    <row r="701">
      <c r="A701" s="9" t="s">
        <v>2881</v>
      </c>
      <c r="B701" s="9" t="s">
        <v>394</v>
      </c>
      <c r="C701" s="9" t="s">
        <v>1467</v>
      </c>
      <c r="D701" s="9" t="s">
        <v>2882</v>
      </c>
      <c r="E701" s="9" t="s">
        <v>1469</v>
      </c>
      <c r="F701" s="9" t="s">
        <v>2883</v>
      </c>
    </row>
    <row r="702">
      <c r="A702" s="9" t="s">
        <v>2884</v>
      </c>
      <c r="B702" s="9" t="s">
        <v>348</v>
      </c>
      <c r="C702" s="9" t="s">
        <v>1467</v>
      </c>
      <c r="D702" s="9" t="s">
        <v>2885</v>
      </c>
      <c r="E702" s="9" t="s">
        <v>1469</v>
      </c>
      <c r="F702" s="9" t="s">
        <v>2886</v>
      </c>
    </row>
    <row r="703">
      <c r="A703" s="9" t="s">
        <v>2887</v>
      </c>
      <c r="B703" s="9" t="s">
        <v>301</v>
      </c>
      <c r="C703" s="9" t="s">
        <v>1467</v>
      </c>
      <c r="D703" s="9" t="s">
        <v>2888</v>
      </c>
      <c r="E703" s="9" t="s">
        <v>1469</v>
      </c>
      <c r="F703" s="9" t="s">
        <v>2889</v>
      </c>
    </row>
    <row r="704">
      <c r="A704" s="9" t="s">
        <v>2890</v>
      </c>
      <c r="B704" s="9" t="s">
        <v>394</v>
      </c>
      <c r="C704" s="9" t="s">
        <v>1467</v>
      </c>
      <c r="D704" s="9" t="s">
        <v>2891</v>
      </c>
      <c r="E704" s="9" t="s">
        <v>1469</v>
      </c>
      <c r="F704" s="9" t="s">
        <v>2892</v>
      </c>
    </row>
    <row r="705">
      <c r="A705" s="9" t="s">
        <v>2893</v>
      </c>
      <c r="B705" s="9" t="s">
        <v>396</v>
      </c>
      <c r="C705" s="9" t="s">
        <v>1467</v>
      </c>
      <c r="D705" s="9" t="s">
        <v>2894</v>
      </c>
      <c r="E705" s="9" t="s">
        <v>1469</v>
      </c>
      <c r="F705" s="9" t="s">
        <v>2895</v>
      </c>
    </row>
    <row r="706">
      <c r="A706" s="9" t="s">
        <v>2896</v>
      </c>
      <c r="B706" s="9" t="s">
        <v>397</v>
      </c>
      <c r="C706" s="9" t="s">
        <v>1467</v>
      </c>
      <c r="D706" s="9" t="s">
        <v>2897</v>
      </c>
      <c r="E706" s="9" t="s">
        <v>1469</v>
      </c>
      <c r="F706" s="9" t="s">
        <v>2898</v>
      </c>
    </row>
    <row r="707">
      <c r="A707" s="9" t="s">
        <v>2899</v>
      </c>
      <c r="B707" s="9" t="s">
        <v>291</v>
      </c>
      <c r="C707" s="9" t="s">
        <v>1467</v>
      </c>
      <c r="D707" s="9" t="s">
        <v>2900</v>
      </c>
      <c r="E707" s="9" t="s">
        <v>1469</v>
      </c>
      <c r="F707" s="9" t="s">
        <v>2902</v>
      </c>
    </row>
    <row r="708">
      <c r="A708" s="9" t="s">
        <v>2903</v>
      </c>
      <c r="B708" s="9" t="s">
        <v>397</v>
      </c>
      <c r="C708" s="9" t="s">
        <v>1467</v>
      </c>
      <c r="D708" s="9" t="s">
        <v>2904</v>
      </c>
      <c r="E708" s="9" t="s">
        <v>1469</v>
      </c>
      <c r="F708" s="9" t="s">
        <v>2905</v>
      </c>
    </row>
    <row r="709">
      <c r="A709" s="9" t="s">
        <v>2906</v>
      </c>
      <c r="B709" s="9" t="s">
        <v>291</v>
      </c>
      <c r="C709" s="9" t="s">
        <v>1467</v>
      </c>
      <c r="D709" s="9" t="s">
        <v>2907</v>
      </c>
      <c r="E709" s="9" t="s">
        <v>1469</v>
      </c>
      <c r="F709" s="9" t="s">
        <v>2908</v>
      </c>
    </row>
    <row r="710">
      <c r="A710" s="9" t="s">
        <v>2909</v>
      </c>
      <c r="B710" s="9" t="s">
        <v>93</v>
      </c>
      <c r="C710" s="9" t="s">
        <v>1467</v>
      </c>
      <c r="D710" s="9" t="s">
        <v>2910</v>
      </c>
      <c r="E710" s="9" t="s">
        <v>1469</v>
      </c>
      <c r="F710" s="9" t="s">
        <v>2911</v>
      </c>
    </row>
    <row r="711">
      <c r="A711" s="9" t="s">
        <v>2912</v>
      </c>
      <c r="B711" s="9" t="s">
        <v>378</v>
      </c>
      <c r="C711" s="9" t="s">
        <v>1467</v>
      </c>
      <c r="D711" s="9" t="s">
        <v>2913</v>
      </c>
      <c r="E711" s="9" t="s">
        <v>1469</v>
      </c>
      <c r="F711" s="9" t="s">
        <v>2914</v>
      </c>
    </row>
    <row r="712">
      <c r="A712" s="9" t="s">
        <v>2915</v>
      </c>
      <c r="B712" s="9" t="s">
        <v>300</v>
      </c>
      <c r="C712" s="9" t="s">
        <v>1467</v>
      </c>
      <c r="D712" s="9" t="s">
        <v>2916</v>
      </c>
      <c r="E712" s="9" t="s">
        <v>1469</v>
      </c>
      <c r="F712" s="9" t="s">
        <v>2917</v>
      </c>
    </row>
    <row r="713">
      <c r="A713" s="9" t="s">
        <v>2918</v>
      </c>
      <c r="B713" s="9" t="s">
        <v>385</v>
      </c>
      <c r="C713" s="9" t="s">
        <v>1467</v>
      </c>
      <c r="D713" s="9" t="s">
        <v>2919</v>
      </c>
      <c r="E713" s="9" t="s">
        <v>1469</v>
      </c>
      <c r="F713" s="9" t="s">
        <v>2920</v>
      </c>
    </row>
    <row r="714">
      <c r="A714" s="9" t="s">
        <v>2921</v>
      </c>
      <c r="B714" s="9" t="s">
        <v>372</v>
      </c>
      <c r="C714" s="9" t="s">
        <v>1467</v>
      </c>
      <c r="D714" s="9" t="s">
        <v>2922</v>
      </c>
      <c r="E714" s="9" t="s">
        <v>1469</v>
      </c>
      <c r="F714" s="9" t="s">
        <v>2923</v>
      </c>
    </row>
    <row r="715">
      <c r="A715" s="9" t="s">
        <v>2924</v>
      </c>
      <c r="B715" s="9" t="s">
        <v>378</v>
      </c>
      <c r="C715" s="9" t="s">
        <v>1467</v>
      </c>
      <c r="D715" s="9" t="s">
        <v>2925</v>
      </c>
      <c r="E715" s="9" t="s">
        <v>1469</v>
      </c>
      <c r="F715" s="9" t="s">
        <v>2926</v>
      </c>
    </row>
    <row r="716">
      <c r="A716" s="9" t="s">
        <v>2927</v>
      </c>
      <c r="B716" s="9" t="s">
        <v>385</v>
      </c>
      <c r="C716" s="9" t="s">
        <v>1467</v>
      </c>
      <c r="D716" s="9" t="s">
        <v>2928</v>
      </c>
      <c r="E716" s="9" t="s">
        <v>1469</v>
      </c>
      <c r="F716" s="9" t="s">
        <v>2929</v>
      </c>
    </row>
    <row r="717">
      <c r="A717" s="9" t="s">
        <v>2930</v>
      </c>
      <c r="B717" s="9" t="s">
        <v>401</v>
      </c>
      <c r="C717" s="9" t="s">
        <v>1467</v>
      </c>
      <c r="D717" s="9" t="s">
        <v>2931</v>
      </c>
      <c r="E717" s="9" t="s">
        <v>1469</v>
      </c>
      <c r="F717" s="9" t="s">
        <v>2932</v>
      </c>
    </row>
    <row r="718">
      <c r="A718" s="9" t="s">
        <v>2933</v>
      </c>
      <c r="B718" s="9" t="s">
        <v>399</v>
      </c>
      <c r="C718" s="9" t="s">
        <v>1467</v>
      </c>
      <c r="D718" s="9" t="s">
        <v>2934</v>
      </c>
      <c r="E718" s="9" t="s">
        <v>1469</v>
      </c>
      <c r="F718" s="9" t="s">
        <v>2935</v>
      </c>
    </row>
    <row r="719">
      <c r="A719" s="9" t="s">
        <v>2936</v>
      </c>
      <c r="B719" s="9" t="s">
        <v>387</v>
      </c>
      <c r="C719" s="9" t="s">
        <v>1467</v>
      </c>
      <c r="D719" s="9" t="s">
        <v>2937</v>
      </c>
      <c r="E719" s="9" t="s">
        <v>1469</v>
      </c>
      <c r="F719" s="9" t="s">
        <v>2938</v>
      </c>
    </row>
    <row r="720">
      <c r="A720" s="9" t="s">
        <v>2939</v>
      </c>
      <c r="B720" s="9" t="s">
        <v>402</v>
      </c>
      <c r="C720" s="9" t="s">
        <v>1467</v>
      </c>
      <c r="D720" s="9" t="s">
        <v>2940</v>
      </c>
      <c r="E720" s="9" t="s">
        <v>1469</v>
      </c>
      <c r="F720" s="9" t="s">
        <v>2941</v>
      </c>
    </row>
    <row r="721">
      <c r="A721" s="9" t="s">
        <v>2942</v>
      </c>
      <c r="B721" s="9" t="s">
        <v>396</v>
      </c>
      <c r="C721" s="9" t="s">
        <v>1467</v>
      </c>
      <c r="D721" s="9" t="s">
        <v>2943</v>
      </c>
      <c r="E721" s="9" t="s">
        <v>1469</v>
      </c>
      <c r="F721" s="9" t="s">
        <v>2944</v>
      </c>
    </row>
    <row r="722">
      <c r="A722" s="9" t="s">
        <v>2945</v>
      </c>
      <c r="B722" s="9" t="s">
        <v>399</v>
      </c>
      <c r="C722" s="9" t="s">
        <v>1467</v>
      </c>
      <c r="D722" s="9" t="s">
        <v>2946</v>
      </c>
      <c r="E722" s="9" t="s">
        <v>1469</v>
      </c>
      <c r="F722" s="9" t="s">
        <v>2947</v>
      </c>
    </row>
    <row r="723">
      <c r="A723" s="9" t="s">
        <v>2948</v>
      </c>
      <c r="B723" s="9" t="s">
        <v>351</v>
      </c>
      <c r="C723" s="9" t="s">
        <v>1467</v>
      </c>
      <c r="D723" s="9" t="s">
        <v>2949</v>
      </c>
      <c r="E723" s="9" t="s">
        <v>1469</v>
      </c>
      <c r="F723" s="9" t="s">
        <v>2950</v>
      </c>
    </row>
    <row r="724">
      <c r="A724" s="9" t="s">
        <v>2951</v>
      </c>
      <c r="B724" s="9" t="s">
        <v>404</v>
      </c>
      <c r="C724" s="9" t="s">
        <v>1467</v>
      </c>
      <c r="D724" s="9" t="s">
        <v>2952</v>
      </c>
      <c r="E724" s="9" t="s">
        <v>1469</v>
      </c>
      <c r="F724" s="9" t="s">
        <v>2953</v>
      </c>
    </row>
    <row r="725">
      <c r="A725" s="9" t="s">
        <v>2954</v>
      </c>
      <c r="B725" s="9" t="s">
        <v>167</v>
      </c>
      <c r="C725" s="9" t="s">
        <v>1467</v>
      </c>
      <c r="D725" s="9" t="s">
        <v>2955</v>
      </c>
      <c r="E725" s="9" t="s">
        <v>1469</v>
      </c>
      <c r="F725" s="9" t="s">
        <v>2956</v>
      </c>
    </row>
    <row r="726">
      <c r="A726" s="9" t="s">
        <v>2957</v>
      </c>
      <c r="B726" s="9" t="s">
        <v>359</v>
      </c>
      <c r="C726" s="9" t="s">
        <v>1467</v>
      </c>
      <c r="D726" s="9" t="s">
        <v>2958</v>
      </c>
      <c r="E726" s="9" t="s">
        <v>1469</v>
      </c>
      <c r="F726" s="9" t="s">
        <v>2959</v>
      </c>
    </row>
    <row r="727">
      <c r="A727" s="9" t="s">
        <v>2960</v>
      </c>
      <c r="B727" s="9" t="s">
        <v>337</v>
      </c>
      <c r="C727" s="9" t="s">
        <v>1467</v>
      </c>
      <c r="D727" s="9" t="s">
        <v>2961</v>
      </c>
      <c r="E727" s="9" t="s">
        <v>1469</v>
      </c>
      <c r="F727" s="9" t="s">
        <v>2962</v>
      </c>
    </row>
    <row r="728">
      <c r="A728" s="9" t="s">
        <v>2963</v>
      </c>
      <c r="B728" s="9" t="s">
        <v>248</v>
      </c>
      <c r="C728" s="9" t="s">
        <v>1467</v>
      </c>
      <c r="D728" s="9" t="s">
        <v>2964</v>
      </c>
      <c r="E728" s="9" t="s">
        <v>1469</v>
      </c>
      <c r="F728" s="9" t="s">
        <v>2965</v>
      </c>
    </row>
    <row r="729">
      <c r="A729" s="9" t="s">
        <v>2966</v>
      </c>
      <c r="B729" s="9" t="s">
        <v>356</v>
      </c>
      <c r="C729" s="9" t="s">
        <v>1467</v>
      </c>
      <c r="D729" s="9" t="s">
        <v>2967</v>
      </c>
      <c r="E729" s="9" t="s">
        <v>1469</v>
      </c>
      <c r="F729" s="9" t="s">
        <v>2968</v>
      </c>
    </row>
    <row r="730">
      <c r="A730" s="9" t="s">
        <v>2969</v>
      </c>
      <c r="B730" s="9" t="s">
        <v>85</v>
      </c>
      <c r="C730" s="9" t="s">
        <v>1467</v>
      </c>
      <c r="D730" s="9" t="s">
        <v>2970</v>
      </c>
      <c r="E730" s="9" t="s">
        <v>1469</v>
      </c>
      <c r="F730" s="9" t="s">
        <v>2971</v>
      </c>
    </row>
    <row r="731">
      <c r="A731" s="9" t="s">
        <v>2972</v>
      </c>
      <c r="B731" s="9" t="s">
        <v>404</v>
      </c>
      <c r="C731" s="9" t="s">
        <v>1467</v>
      </c>
      <c r="D731" s="9" t="s">
        <v>2973</v>
      </c>
      <c r="E731" s="9" t="s">
        <v>1469</v>
      </c>
      <c r="F731" s="9" t="s">
        <v>2974</v>
      </c>
    </row>
    <row r="732">
      <c r="A732" s="9" t="s">
        <v>2975</v>
      </c>
      <c r="B732" s="9" t="s">
        <v>355</v>
      </c>
      <c r="C732" s="9" t="s">
        <v>1467</v>
      </c>
      <c r="D732" s="9" t="s">
        <v>2976</v>
      </c>
      <c r="E732" s="9" t="s">
        <v>1469</v>
      </c>
      <c r="F732" s="9" t="s">
        <v>2977</v>
      </c>
    </row>
    <row r="733">
      <c r="A733" s="9" t="s">
        <v>2978</v>
      </c>
      <c r="B733" s="9" t="s">
        <v>406</v>
      </c>
      <c r="C733" s="9" t="s">
        <v>1467</v>
      </c>
      <c r="D733" s="9" t="s">
        <v>2979</v>
      </c>
      <c r="E733" s="9" t="s">
        <v>1469</v>
      </c>
      <c r="F733" s="9" t="s">
        <v>2980</v>
      </c>
    </row>
    <row r="734">
      <c r="A734" s="9" t="s">
        <v>2981</v>
      </c>
      <c r="B734" s="9" t="s">
        <v>256</v>
      </c>
      <c r="C734" s="9" t="s">
        <v>1467</v>
      </c>
      <c r="D734" s="9" t="s">
        <v>2982</v>
      </c>
      <c r="E734" s="9" t="s">
        <v>1469</v>
      </c>
      <c r="F734" s="9" t="s">
        <v>2983</v>
      </c>
    </row>
    <row r="735">
      <c r="A735" s="9" t="s">
        <v>2984</v>
      </c>
      <c r="B735" s="9" t="s">
        <v>406</v>
      </c>
      <c r="C735" s="9" t="s">
        <v>1467</v>
      </c>
      <c r="D735" s="9" t="s">
        <v>2985</v>
      </c>
      <c r="E735" s="9" t="s">
        <v>1469</v>
      </c>
      <c r="F735" s="9" t="s">
        <v>2986</v>
      </c>
    </row>
    <row r="736">
      <c r="A736" s="9" t="s">
        <v>2987</v>
      </c>
      <c r="B736" s="9" t="s">
        <v>172</v>
      </c>
      <c r="C736" s="9" t="s">
        <v>1467</v>
      </c>
      <c r="D736" s="9" t="s">
        <v>2988</v>
      </c>
      <c r="E736" s="9" t="s">
        <v>1469</v>
      </c>
      <c r="F736" s="9" t="s">
        <v>2989</v>
      </c>
    </row>
    <row r="737">
      <c r="A737" s="9" t="s">
        <v>2990</v>
      </c>
      <c r="B737" s="9" t="s">
        <v>369</v>
      </c>
      <c r="C737" s="9" t="s">
        <v>1467</v>
      </c>
      <c r="D737" s="9" t="s">
        <v>2991</v>
      </c>
      <c r="E737" s="9" t="s">
        <v>1469</v>
      </c>
      <c r="F737" s="9" t="s">
        <v>2992</v>
      </c>
    </row>
    <row r="738">
      <c r="A738" s="9" t="s">
        <v>2993</v>
      </c>
      <c r="B738" s="9" t="s">
        <v>410</v>
      </c>
      <c r="C738" s="9" t="s">
        <v>1467</v>
      </c>
      <c r="D738" s="9" t="s">
        <v>2994</v>
      </c>
      <c r="E738" s="9" t="s">
        <v>1469</v>
      </c>
      <c r="F738" s="9" t="s">
        <v>2995</v>
      </c>
    </row>
    <row r="739">
      <c r="A739" s="9" t="s">
        <v>2996</v>
      </c>
      <c r="B739" s="9" t="s">
        <v>371</v>
      </c>
      <c r="C739" s="9" t="s">
        <v>1467</v>
      </c>
      <c r="D739" s="9" t="s">
        <v>2997</v>
      </c>
      <c r="E739" s="9" t="s">
        <v>1469</v>
      </c>
      <c r="F739" s="9" t="s">
        <v>2998</v>
      </c>
    </row>
    <row r="740">
      <c r="A740" s="9" t="s">
        <v>2999</v>
      </c>
      <c r="B740" s="9" t="s">
        <v>393</v>
      </c>
      <c r="C740" s="9" t="s">
        <v>1467</v>
      </c>
      <c r="D740" s="9" t="s">
        <v>3000</v>
      </c>
      <c r="E740" s="9" t="s">
        <v>1469</v>
      </c>
      <c r="F740" s="9" t="s">
        <v>3001</v>
      </c>
    </row>
    <row r="741">
      <c r="A741" s="9" t="s">
        <v>3002</v>
      </c>
      <c r="B741" s="9" t="s">
        <v>409</v>
      </c>
      <c r="C741" s="9" t="s">
        <v>1467</v>
      </c>
      <c r="D741" s="9" t="s">
        <v>3003</v>
      </c>
      <c r="E741" s="9" t="s">
        <v>1469</v>
      </c>
      <c r="F741" s="9" t="s">
        <v>3004</v>
      </c>
    </row>
    <row r="742">
      <c r="A742" s="9" t="s">
        <v>3005</v>
      </c>
      <c r="B742" s="9" t="s">
        <v>393</v>
      </c>
      <c r="C742" s="9" t="s">
        <v>1467</v>
      </c>
      <c r="D742" s="9" t="s">
        <v>3006</v>
      </c>
      <c r="E742" s="9" t="s">
        <v>1469</v>
      </c>
      <c r="F742" s="9" t="s">
        <v>3007</v>
      </c>
    </row>
    <row r="743">
      <c r="A743" s="9" t="s">
        <v>3008</v>
      </c>
      <c r="B743" s="9" t="s">
        <v>409</v>
      </c>
      <c r="C743" s="9" t="s">
        <v>1467</v>
      </c>
      <c r="D743" s="9" t="s">
        <v>3009</v>
      </c>
      <c r="E743" s="9" t="s">
        <v>1469</v>
      </c>
      <c r="F743" s="9" t="s">
        <v>3010</v>
      </c>
    </row>
    <row r="744">
      <c r="A744" s="9" t="s">
        <v>3011</v>
      </c>
      <c r="B744" s="9" t="s">
        <v>278</v>
      </c>
      <c r="C744" s="9" t="s">
        <v>1467</v>
      </c>
      <c r="D744" s="9" t="s">
        <v>3014</v>
      </c>
      <c r="E744" s="9" t="s">
        <v>1469</v>
      </c>
      <c r="F744" s="9" t="s">
        <v>3016</v>
      </c>
    </row>
    <row r="745">
      <c r="A745" s="9" t="s">
        <v>3017</v>
      </c>
      <c r="B745" s="9" t="s">
        <v>346</v>
      </c>
      <c r="C745" s="9" t="s">
        <v>1467</v>
      </c>
      <c r="D745" s="9" t="s">
        <v>3018</v>
      </c>
      <c r="E745" s="9" t="s">
        <v>1469</v>
      </c>
      <c r="F745" s="9" t="s">
        <v>3019</v>
      </c>
    </row>
    <row r="746">
      <c r="A746" s="9" t="s">
        <v>3020</v>
      </c>
      <c r="B746" s="9" t="s">
        <v>278</v>
      </c>
      <c r="C746" s="9" t="s">
        <v>1467</v>
      </c>
      <c r="D746" s="9" t="s">
        <v>3021</v>
      </c>
      <c r="E746" s="9" t="s">
        <v>1469</v>
      </c>
      <c r="F746" s="9" t="s">
        <v>3022</v>
      </c>
    </row>
    <row r="747">
      <c r="A747" s="9" t="s">
        <v>3023</v>
      </c>
      <c r="B747" s="9" t="s">
        <v>150</v>
      </c>
      <c r="C747" s="9" t="s">
        <v>1467</v>
      </c>
      <c r="D747" s="9" t="s">
        <v>3024</v>
      </c>
      <c r="E747" s="9" t="s">
        <v>1469</v>
      </c>
      <c r="F747" s="9" t="s">
        <v>3025</v>
      </c>
    </row>
    <row r="748">
      <c r="A748" s="9" t="s">
        <v>3026</v>
      </c>
      <c r="B748" s="9" t="s">
        <v>142</v>
      </c>
      <c r="C748" s="9" t="s">
        <v>1467</v>
      </c>
      <c r="D748" s="9" t="s">
        <v>3027</v>
      </c>
      <c r="E748" s="9" t="s">
        <v>1469</v>
      </c>
      <c r="F748" s="9" t="s">
        <v>3028</v>
      </c>
    </row>
    <row r="749">
      <c r="A749" s="9" t="s">
        <v>3029</v>
      </c>
      <c r="B749" s="9" t="s">
        <v>410</v>
      </c>
      <c r="C749" s="9" t="s">
        <v>1467</v>
      </c>
      <c r="D749" s="9" t="s">
        <v>3030</v>
      </c>
      <c r="E749" s="9" t="s">
        <v>1469</v>
      </c>
      <c r="F749" s="9" t="s">
        <v>3031</v>
      </c>
    </row>
    <row r="750">
      <c r="A750" s="9" t="s">
        <v>3032</v>
      </c>
      <c r="B750" s="9" t="s">
        <v>413</v>
      </c>
      <c r="C750" s="9" t="s">
        <v>1467</v>
      </c>
      <c r="D750" s="9" t="s">
        <v>3033</v>
      </c>
      <c r="E750" s="9" t="s">
        <v>1469</v>
      </c>
      <c r="F750" s="9" t="s">
        <v>3034</v>
      </c>
    </row>
    <row r="751">
      <c r="A751" s="9" t="s">
        <v>3035</v>
      </c>
      <c r="B751" s="9" t="s">
        <v>404</v>
      </c>
      <c r="C751" s="9" t="s">
        <v>1467</v>
      </c>
      <c r="D751" s="9" t="s">
        <v>3036</v>
      </c>
      <c r="E751" s="9" t="s">
        <v>1469</v>
      </c>
      <c r="F751" s="9" t="s">
        <v>3037</v>
      </c>
    </row>
    <row r="752">
      <c r="A752" s="9" t="s">
        <v>3038</v>
      </c>
      <c r="B752" s="9" t="s">
        <v>413</v>
      </c>
      <c r="C752" s="9" t="s">
        <v>1467</v>
      </c>
      <c r="D752" s="9" t="s">
        <v>3039</v>
      </c>
      <c r="E752" s="9" t="s">
        <v>1469</v>
      </c>
      <c r="F752" s="9" t="s">
        <v>3040</v>
      </c>
    </row>
    <row r="753">
      <c r="A753" s="9" t="s">
        <v>3041</v>
      </c>
      <c r="B753" s="9" t="s">
        <v>343</v>
      </c>
      <c r="C753" s="9" t="s">
        <v>1467</v>
      </c>
      <c r="D753" s="9" t="s">
        <v>3042</v>
      </c>
      <c r="E753" s="9" t="s">
        <v>1469</v>
      </c>
      <c r="F753" s="9" t="s">
        <v>3043</v>
      </c>
    </row>
    <row r="754">
      <c r="A754" s="9" t="s">
        <v>3044</v>
      </c>
      <c r="B754" s="9" t="s">
        <v>374</v>
      </c>
      <c r="C754" s="9" t="s">
        <v>1467</v>
      </c>
      <c r="D754" s="9" t="s">
        <v>3045</v>
      </c>
      <c r="E754" s="9" t="s">
        <v>1469</v>
      </c>
      <c r="F754" s="9" t="s">
        <v>3046</v>
      </c>
    </row>
    <row r="755">
      <c r="A755" s="9" t="s">
        <v>3047</v>
      </c>
      <c r="B755" s="9" t="s">
        <v>413</v>
      </c>
      <c r="C755" s="9" t="s">
        <v>1467</v>
      </c>
      <c r="D755" s="9" t="s">
        <v>3048</v>
      </c>
      <c r="E755" s="9" t="s">
        <v>1469</v>
      </c>
      <c r="F755" s="9" t="s">
        <v>3049</v>
      </c>
    </row>
    <row r="756">
      <c r="A756" s="9" t="s">
        <v>3050</v>
      </c>
      <c r="B756" s="9" t="s">
        <v>410</v>
      </c>
      <c r="C756" s="9" t="s">
        <v>1467</v>
      </c>
      <c r="D756" s="9" t="s">
        <v>3051</v>
      </c>
      <c r="E756" s="9" t="s">
        <v>1469</v>
      </c>
      <c r="F756" s="9" t="s">
        <v>3052</v>
      </c>
    </row>
    <row r="757">
      <c r="A757" s="9" t="s">
        <v>3053</v>
      </c>
      <c r="B757" s="9" t="s">
        <v>67</v>
      </c>
      <c r="C757" s="9" t="s">
        <v>1467</v>
      </c>
      <c r="D757" s="9" t="s">
        <v>3054</v>
      </c>
      <c r="E757" s="9" t="s">
        <v>1469</v>
      </c>
      <c r="F757" s="9" t="s">
        <v>3055</v>
      </c>
    </row>
    <row r="758">
      <c r="A758" s="9" t="s">
        <v>3056</v>
      </c>
      <c r="B758" s="9" t="s">
        <v>402</v>
      </c>
      <c r="C758" s="9" t="s">
        <v>1467</v>
      </c>
      <c r="D758" s="9" t="s">
        <v>3057</v>
      </c>
      <c r="E758" s="9" t="s">
        <v>1469</v>
      </c>
      <c r="F758" s="9" t="s">
        <v>3058</v>
      </c>
    </row>
    <row r="759">
      <c r="A759" s="9" t="s">
        <v>3059</v>
      </c>
      <c r="B759" s="9" t="s">
        <v>291</v>
      </c>
      <c r="C759" s="9" t="s">
        <v>1467</v>
      </c>
      <c r="D759" s="9" t="s">
        <v>3060</v>
      </c>
      <c r="E759" s="9" t="s">
        <v>1469</v>
      </c>
      <c r="F759" s="9" t="s">
        <v>3061</v>
      </c>
    </row>
    <row r="760">
      <c r="A760" s="9" t="s">
        <v>3062</v>
      </c>
      <c r="B760" s="9" t="s">
        <v>406</v>
      </c>
      <c r="C760" s="9" t="s">
        <v>1467</v>
      </c>
      <c r="D760" s="9" t="s">
        <v>3063</v>
      </c>
      <c r="E760" s="9" t="s">
        <v>1469</v>
      </c>
      <c r="F760" s="9" t="s">
        <v>3064</v>
      </c>
    </row>
    <row r="761">
      <c r="A761" s="9" t="s">
        <v>3065</v>
      </c>
      <c r="B761" s="9" t="s">
        <v>401</v>
      </c>
      <c r="C761" s="9" t="s">
        <v>1467</v>
      </c>
      <c r="D761" s="9" t="s">
        <v>3066</v>
      </c>
      <c r="E761" s="9" t="s">
        <v>1469</v>
      </c>
      <c r="F761" s="9" t="s">
        <v>3067</v>
      </c>
    </row>
    <row r="762">
      <c r="A762" s="9" t="s">
        <v>3068</v>
      </c>
      <c r="B762" s="9" t="s">
        <v>406</v>
      </c>
      <c r="C762" s="9" t="s">
        <v>1467</v>
      </c>
      <c r="D762" s="9" t="s">
        <v>3069</v>
      </c>
      <c r="E762" s="9" t="s">
        <v>1469</v>
      </c>
      <c r="F762" s="9" t="s">
        <v>3070</v>
      </c>
    </row>
    <row r="763">
      <c r="A763" s="9" t="s">
        <v>3071</v>
      </c>
      <c r="B763" s="9" t="s">
        <v>399</v>
      </c>
      <c r="C763" s="9" t="s">
        <v>1467</v>
      </c>
      <c r="D763" s="9" t="s">
        <v>3072</v>
      </c>
      <c r="E763" s="9" t="s">
        <v>1469</v>
      </c>
      <c r="F763" s="9" t="s">
        <v>3073</v>
      </c>
    </row>
    <row r="764">
      <c r="A764" s="9" t="s">
        <v>3074</v>
      </c>
      <c r="B764" s="9" t="s">
        <v>401</v>
      </c>
      <c r="C764" s="9" t="s">
        <v>1467</v>
      </c>
      <c r="D764" s="9" t="s">
        <v>3075</v>
      </c>
      <c r="E764" s="9" t="s">
        <v>1469</v>
      </c>
      <c r="F764" s="9" t="s">
        <v>3076</v>
      </c>
    </row>
    <row r="765">
      <c r="A765" s="9" t="s">
        <v>3077</v>
      </c>
      <c r="B765" s="9" t="s">
        <v>313</v>
      </c>
      <c r="C765" s="9" t="s">
        <v>1467</v>
      </c>
      <c r="D765" s="9" t="s">
        <v>3078</v>
      </c>
      <c r="E765" s="9" t="s">
        <v>1469</v>
      </c>
      <c r="F765" s="9" t="s">
        <v>3079</v>
      </c>
    </row>
    <row r="766">
      <c r="A766" s="9" t="s">
        <v>3080</v>
      </c>
      <c r="B766" s="9" t="s">
        <v>417</v>
      </c>
      <c r="C766" s="9" t="s">
        <v>1467</v>
      </c>
      <c r="D766" s="9" t="s">
        <v>3081</v>
      </c>
      <c r="E766" s="9" t="s">
        <v>1469</v>
      </c>
      <c r="F766" s="9" t="s">
        <v>3082</v>
      </c>
    </row>
    <row r="767">
      <c r="A767" s="9" t="s">
        <v>3083</v>
      </c>
      <c r="B767" s="9" t="s">
        <v>348</v>
      </c>
      <c r="C767" s="9" t="s">
        <v>1467</v>
      </c>
      <c r="D767" s="9" t="s">
        <v>3084</v>
      </c>
      <c r="E767" s="9" t="s">
        <v>1469</v>
      </c>
      <c r="F767" s="9" t="s">
        <v>3085</v>
      </c>
    </row>
    <row r="768">
      <c r="A768" s="9" t="s">
        <v>3086</v>
      </c>
      <c r="B768" s="9" t="s">
        <v>417</v>
      </c>
      <c r="C768" s="9" t="s">
        <v>1467</v>
      </c>
      <c r="D768" s="9" t="s">
        <v>3087</v>
      </c>
      <c r="E768" s="9" t="s">
        <v>1469</v>
      </c>
      <c r="F768" s="9" t="s">
        <v>3088</v>
      </c>
    </row>
    <row r="769">
      <c r="A769" s="9" t="s">
        <v>3089</v>
      </c>
      <c r="B769" s="9" t="s">
        <v>387</v>
      </c>
      <c r="C769" s="9" t="s">
        <v>1467</v>
      </c>
      <c r="D769" s="9" t="s">
        <v>3091</v>
      </c>
      <c r="E769" s="9" t="s">
        <v>1469</v>
      </c>
      <c r="F769" s="9" t="s">
        <v>3092</v>
      </c>
    </row>
    <row r="770">
      <c r="A770" s="9" t="s">
        <v>3094</v>
      </c>
      <c r="B770" s="9" t="s">
        <v>302</v>
      </c>
      <c r="C770" s="9" t="s">
        <v>1467</v>
      </c>
      <c r="D770" s="9" t="s">
        <v>3096</v>
      </c>
      <c r="E770" s="9" t="s">
        <v>1469</v>
      </c>
      <c r="F770" s="9" t="s">
        <v>3097</v>
      </c>
    </row>
    <row r="771">
      <c r="A771" s="9" t="s">
        <v>3098</v>
      </c>
      <c r="B771" s="9" t="s">
        <v>354</v>
      </c>
      <c r="C771" s="9" t="s">
        <v>1467</v>
      </c>
      <c r="D771" s="9" t="s">
        <v>3099</v>
      </c>
      <c r="E771" s="9" t="s">
        <v>1469</v>
      </c>
      <c r="F771" s="9" t="s">
        <v>3100</v>
      </c>
    </row>
    <row r="772">
      <c r="A772" s="9" t="s">
        <v>3101</v>
      </c>
      <c r="B772" s="9" t="s">
        <v>95</v>
      </c>
      <c r="C772" s="9" t="s">
        <v>1467</v>
      </c>
      <c r="D772" s="9" t="s">
        <v>3102</v>
      </c>
      <c r="E772" s="9" t="s">
        <v>1469</v>
      </c>
      <c r="F772" s="9" t="s">
        <v>3103</v>
      </c>
    </row>
    <row r="773">
      <c r="A773" s="9" t="s">
        <v>3104</v>
      </c>
      <c r="B773" s="9" t="s">
        <v>304</v>
      </c>
      <c r="C773" s="9" t="s">
        <v>1467</v>
      </c>
      <c r="D773" s="9" t="s">
        <v>3105</v>
      </c>
      <c r="E773" s="9" t="s">
        <v>1469</v>
      </c>
      <c r="F773" s="9" t="s">
        <v>3106</v>
      </c>
    </row>
    <row r="774">
      <c r="A774" s="9" t="s">
        <v>3107</v>
      </c>
      <c r="B774" s="9" t="s">
        <v>334</v>
      </c>
      <c r="C774" s="9" t="s">
        <v>1467</v>
      </c>
      <c r="D774" s="9" t="s">
        <v>3108</v>
      </c>
      <c r="E774" s="9" t="s">
        <v>1469</v>
      </c>
      <c r="F774" s="9" t="s">
        <v>3109</v>
      </c>
    </row>
    <row r="775">
      <c r="A775" s="9" t="s">
        <v>3110</v>
      </c>
      <c r="B775" s="9" t="s">
        <v>424</v>
      </c>
      <c r="C775" s="9" t="s">
        <v>1467</v>
      </c>
      <c r="D775" s="9" t="s">
        <v>3111</v>
      </c>
      <c r="E775" s="9" t="s">
        <v>1469</v>
      </c>
      <c r="F775" s="9" t="s">
        <v>3112</v>
      </c>
    </row>
    <row r="776">
      <c r="A776" s="9" t="s">
        <v>3113</v>
      </c>
      <c r="B776" s="9" t="s">
        <v>158</v>
      </c>
      <c r="C776" s="9" t="s">
        <v>1467</v>
      </c>
      <c r="D776" s="9" t="s">
        <v>3114</v>
      </c>
      <c r="E776" s="9" t="s">
        <v>1469</v>
      </c>
      <c r="F776" s="9" t="s">
        <v>3115</v>
      </c>
    </row>
    <row r="777">
      <c r="A777" s="9" t="s">
        <v>3116</v>
      </c>
      <c r="B777" s="9" t="s">
        <v>314</v>
      </c>
      <c r="C777" s="9" t="s">
        <v>1467</v>
      </c>
      <c r="D777" s="9" t="s">
        <v>3117</v>
      </c>
      <c r="E777" s="9" t="s">
        <v>1469</v>
      </c>
      <c r="F777" s="9" t="s">
        <v>3118</v>
      </c>
    </row>
    <row r="778">
      <c r="A778" s="9" t="s">
        <v>3119</v>
      </c>
      <c r="B778" s="9" t="s">
        <v>424</v>
      </c>
      <c r="C778" s="9" t="s">
        <v>1467</v>
      </c>
      <c r="D778" s="9" t="s">
        <v>3120</v>
      </c>
      <c r="E778" s="9" t="s">
        <v>1469</v>
      </c>
      <c r="F778" s="9" t="s">
        <v>3121</v>
      </c>
    </row>
    <row r="779">
      <c r="A779" s="9" t="s">
        <v>3122</v>
      </c>
      <c r="B779" s="9" t="s">
        <v>332</v>
      </c>
      <c r="C779" s="9" t="s">
        <v>1467</v>
      </c>
      <c r="D779" s="9" t="s">
        <v>3123</v>
      </c>
      <c r="E779" s="9" t="s">
        <v>1469</v>
      </c>
      <c r="F779" s="9" t="s">
        <v>3124</v>
      </c>
    </row>
    <row r="780">
      <c r="A780" s="9" t="s">
        <v>3125</v>
      </c>
      <c r="B780" s="9" t="s">
        <v>335</v>
      </c>
      <c r="C780" s="9" t="s">
        <v>1467</v>
      </c>
      <c r="D780" s="9" t="s">
        <v>3126</v>
      </c>
      <c r="E780" s="9" t="s">
        <v>1469</v>
      </c>
      <c r="F780" s="9" t="s">
        <v>3127</v>
      </c>
    </row>
    <row r="781">
      <c r="A781" s="9" t="s">
        <v>3128</v>
      </c>
      <c r="B781" s="9" t="s">
        <v>352</v>
      </c>
      <c r="C781" s="9" t="s">
        <v>1467</v>
      </c>
      <c r="D781" s="9" t="s">
        <v>3129</v>
      </c>
      <c r="E781" s="9" t="s">
        <v>1469</v>
      </c>
      <c r="F781" s="9" t="s">
        <v>3130</v>
      </c>
    </row>
    <row r="782">
      <c r="A782" s="9" t="s">
        <v>3131</v>
      </c>
      <c r="B782" s="9" t="s">
        <v>410</v>
      </c>
      <c r="C782" s="9" t="s">
        <v>1467</v>
      </c>
      <c r="D782" s="9" t="s">
        <v>3132</v>
      </c>
      <c r="E782" s="9" t="s">
        <v>1469</v>
      </c>
      <c r="F782" s="9" t="s">
        <v>3133</v>
      </c>
    </row>
    <row r="783">
      <c r="A783" s="9" t="s">
        <v>3134</v>
      </c>
      <c r="B783" s="9" t="s">
        <v>157</v>
      </c>
      <c r="C783" s="9" t="s">
        <v>1467</v>
      </c>
      <c r="D783" s="9" t="s">
        <v>3135</v>
      </c>
      <c r="E783" s="9" t="s">
        <v>1469</v>
      </c>
      <c r="F783" s="9" t="s">
        <v>3136</v>
      </c>
    </row>
    <row r="784">
      <c r="A784" s="9" t="s">
        <v>3137</v>
      </c>
      <c r="B784" s="9" t="s">
        <v>95</v>
      </c>
      <c r="C784" s="9" t="s">
        <v>1467</v>
      </c>
      <c r="D784" s="9" t="s">
        <v>3138</v>
      </c>
      <c r="E784" s="9" t="s">
        <v>1469</v>
      </c>
      <c r="F784" s="9" t="s">
        <v>3139</v>
      </c>
    </row>
    <row r="785">
      <c r="A785" s="9" t="s">
        <v>3140</v>
      </c>
      <c r="B785" s="9" t="s">
        <v>424</v>
      </c>
      <c r="C785" s="9" t="s">
        <v>1467</v>
      </c>
      <c r="D785" s="9" t="s">
        <v>3141</v>
      </c>
      <c r="E785" s="9" t="s">
        <v>1469</v>
      </c>
      <c r="F785" s="9" t="s">
        <v>3142</v>
      </c>
    </row>
    <row r="786">
      <c r="A786" s="9" t="s">
        <v>3143</v>
      </c>
      <c r="B786" s="9" t="s">
        <v>385</v>
      </c>
      <c r="C786" s="9" t="s">
        <v>1467</v>
      </c>
      <c r="D786" s="9" t="s">
        <v>3144</v>
      </c>
      <c r="E786" s="9" t="s">
        <v>1469</v>
      </c>
      <c r="F786" s="9" t="s">
        <v>3145</v>
      </c>
    </row>
    <row r="787">
      <c r="A787" s="9" t="s">
        <v>3146</v>
      </c>
      <c r="B787" s="9" t="s">
        <v>636</v>
      </c>
      <c r="C787" s="9" t="s">
        <v>1467</v>
      </c>
      <c r="D787" s="9" t="s">
        <v>3147</v>
      </c>
      <c r="E787" s="9" t="s">
        <v>1469</v>
      </c>
      <c r="F787" s="9" t="s">
        <v>3148</v>
      </c>
    </row>
    <row r="788">
      <c r="A788" s="9" t="s">
        <v>3149</v>
      </c>
      <c r="B788" s="9" t="s">
        <v>636</v>
      </c>
      <c r="C788" s="9" t="s">
        <v>1467</v>
      </c>
      <c r="D788" s="9" t="s">
        <v>3150</v>
      </c>
      <c r="E788" s="9" t="s">
        <v>1469</v>
      </c>
      <c r="F788" s="9" t="s">
        <v>3151</v>
      </c>
    </row>
    <row r="789">
      <c r="A789" s="9" t="s">
        <v>3152</v>
      </c>
      <c r="B789" s="9" t="s">
        <v>100</v>
      </c>
      <c r="C789" s="9" t="s">
        <v>1467</v>
      </c>
      <c r="D789" s="9" t="s">
        <v>3153</v>
      </c>
      <c r="E789" s="9" t="s">
        <v>1469</v>
      </c>
      <c r="F789" s="9" t="s">
        <v>3154</v>
      </c>
    </row>
    <row r="790">
      <c r="A790" s="9" t="s">
        <v>3155</v>
      </c>
      <c r="B790" s="9" t="s">
        <v>239</v>
      </c>
      <c r="C790" s="9" t="s">
        <v>1467</v>
      </c>
      <c r="D790" s="9" t="s">
        <v>3156</v>
      </c>
      <c r="E790" s="9" t="s">
        <v>1469</v>
      </c>
      <c r="F790" s="9" t="s">
        <v>3157</v>
      </c>
    </row>
    <row r="791">
      <c r="A791" s="9" t="s">
        <v>3158</v>
      </c>
      <c r="B791" s="9" t="s">
        <v>72</v>
      </c>
      <c r="C791" s="9" t="s">
        <v>1467</v>
      </c>
      <c r="D791" s="9" t="s">
        <v>3159</v>
      </c>
      <c r="E791" s="9" t="s">
        <v>1469</v>
      </c>
      <c r="F791" s="9" t="s">
        <v>3160</v>
      </c>
    </row>
    <row r="792">
      <c r="A792" s="9" t="s">
        <v>3161</v>
      </c>
      <c r="B792" s="9" t="s">
        <v>163</v>
      </c>
      <c r="C792" s="9" t="s">
        <v>1467</v>
      </c>
      <c r="D792" s="9" t="s">
        <v>3162</v>
      </c>
      <c r="E792" s="9" t="s">
        <v>1469</v>
      </c>
      <c r="F792" s="9" t="s">
        <v>3163</v>
      </c>
    </row>
    <row r="793">
      <c r="A793" s="9" t="s">
        <v>3164</v>
      </c>
      <c r="B793" s="9" t="s">
        <v>71</v>
      </c>
      <c r="C793" s="9" t="s">
        <v>1467</v>
      </c>
      <c r="D793" s="9" t="s">
        <v>3165</v>
      </c>
      <c r="E793" s="9" t="s">
        <v>1469</v>
      </c>
      <c r="F793" s="9" t="s">
        <v>3166</v>
      </c>
    </row>
    <row r="794">
      <c r="A794" s="9" t="s">
        <v>3167</v>
      </c>
      <c r="B794" s="9" t="s">
        <v>103</v>
      </c>
      <c r="C794" s="9" t="s">
        <v>1467</v>
      </c>
      <c r="D794" s="9" t="s">
        <v>3168</v>
      </c>
      <c r="E794" s="9" t="s">
        <v>1469</v>
      </c>
      <c r="F794" s="9" t="s">
        <v>3169</v>
      </c>
    </row>
    <row r="795">
      <c r="A795" s="9" t="s">
        <v>3170</v>
      </c>
      <c r="B795" s="9" t="s">
        <v>260</v>
      </c>
      <c r="C795" s="9" t="s">
        <v>1467</v>
      </c>
      <c r="D795" s="9" t="s">
        <v>3171</v>
      </c>
      <c r="E795" s="9" t="s">
        <v>1469</v>
      </c>
      <c r="F795" s="9" t="s">
        <v>3172</v>
      </c>
    </row>
    <row r="796">
      <c r="A796" s="9" t="s">
        <v>3173</v>
      </c>
      <c r="B796" s="9" t="s">
        <v>238</v>
      </c>
      <c r="C796" s="9" t="s">
        <v>1467</v>
      </c>
      <c r="D796" s="9" t="s">
        <v>3174</v>
      </c>
      <c r="E796" s="9" t="s">
        <v>1469</v>
      </c>
      <c r="F796" s="9" t="s">
        <v>3175</v>
      </c>
    </row>
    <row r="797">
      <c r="A797" s="9" t="s">
        <v>3176</v>
      </c>
      <c r="B797" s="9" t="s">
        <v>100</v>
      </c>
      <c r="C797" s="9" t="s">
        <v>1467</v>
      </c>
      <c r="D797" s="9" t="s">
        <v>3177</v>
      </c>
      <c r="E797" s="9" t="s">
        <v>1469</v>
      </c>
      <c r="F797" s="9" t="s">
        <v>3178</v>
      </c>
    </row>
    <row r="798">
      <c r="A798" s="9" t="s">
        <v>3179</v>
      </c>
      <c r="B798" s="9" t="s">
        <v>219</v>
      </c>
      <c r="C798" s="9" t="s">
        <v>1467</v>
      </c>
      <c r="D798" s="9" t="s">
        <v>3180</v>
      </c>
      <c r="E798" s="9" t="s">
        <v>1469</v>
      </c>
      <c r="F798" s="9" t="s">
        <v>3181</v>
      </c>
    </row>
    <row r="799">
      <c r="A799" s="9" t="s">
        <v>3182</v>
      </c>
      <c r="B799" s="9" t="s">
        <v>103</v>
      </c>
      <c r="C799" s="9" t="s">
        <v>1467</v>
      </c>
      <c r="D799" s="9" t="s">
        <v>3183</v>
      </c>
      <c r="E799" s="9" t="s">
        <v>1469</v>
      </c>
      <c r="F799" s="9" t="s">
        <v>3184</v>
      </c>
    </row>
    <row r="800">
      <c r="A800" s="9" t="s">
        <v>3185</v>
      </c>
      <c r="B800" s="9" t="s">
        <v>264</v>
      </c>
      <c r="C800" s="9" t="s">
        <v>1467</v>
      </c>
      <c r="D800" s="9" t="s">
        <v>3186</v>
      </c>
      <c r="E800" s="9" t="s">
        <v>1469</v>
      </c>
      <c r="F800" s="9" t="s">
        <v>3187</v>
      </c>
    </row>
    <row r="801">
      <c r="A801" s="9" t="s">
        <v>3188</v>
      </c>
      <c r="B801" s="9" t="s">
        <v>72</v>
      </c>
      <c r="C801" s="9" t="s">
        <v>1467</v>
      </c>
      <c r="D801" s="9" t="s">
        <v>3189</v>
      </c>
      <c r="E801" s="9" t="s">
        <v>1469</v>
      </c>
      <c r="F801" s="9" t="s">
        <v>3190</v>
      </c>
    </row>
    <row r="802">
      <c r="A802" s="9" t="s">
        <v>3191</v>
      </c>
      <c r="B802" s="9" t="s">
        <v>249</v>
      </c>
      <c r="C802" s="9" t="s">
        <v>1467</v>
      </c>
      <c r="D802" s="9" t="s">
        <v>3192</v>
      </c>
      <c r="E802" s="9" t="s">
        <v>1469</v>
      </c>
      <c r="F802" s="9" t="s">
        <v>3194</v>
      </c>
    </row>
    <row r="803">
      <c r="A803" s="9" t="s">
        <v>3196</v>
      </c>
      <c r="B803" s="9" t="s">
        <v>84</v>
      </c>
      <c r="C803" s="9" t="s">
        <v>1467</v>
      </c>
      <c r="D803" s="9" t="s">
        <v>3198</v>
      </c>
      <c r="E803" s="9" t="s">
        <v>1469</v>
      </c>
      <c r="F803" s="9" t="s">
        <v>3199</v>
      </c>
    </row>
    <row r="804">
      <c r="A804" s="9" t="s">
        <v>3200</v>
      </c>
      <c r="B804" s="9" t="s">
        <v>152</v>
      </c>
      <c r="C804" s="9" t="s">
        <v>1467</v>
      </c>
      <c r="D804" s="9" t="s">
        <v>3201</v>
      </c>
      <c r="E804" s="9" t="s">
        <v>1469</v>
      </c>
      <c r="F804" s="9" t="s">
        <v>3202</v>
      </c>
    </row>
    <row r="805">
      <c r="A805" s="9" t="s">
        <v>3203</v>
      </c>
      <c r="B805" s="9" t="s">
        <v>337</v>
      </c>
      <c r="C805" s="9" t="s">
        <v>1467</v>
      </c>
      <c r="D805" s="9" t="s">
        <v>3204</v>
      </c>
      <c r="E805" s="9" t="s">
        <v>1469</v>
      </c>
      <c r="F805" s="9" t="s">
        <v>3205</v>
      </c>
    </row>
    <row r="806">
      <c r="A806" s="9" t="s">
        <v>3206</v>
      </c>
      <c r="B806" s="9" t="s">
        <v>133</v>
      </c>
      <c r="C806" s="9" t="s">
        <v>1467</v>
      </c>
      <c r="D806" s="9" t="s">
        <v>3207</v>
      </c>
      <c r="E806" s="9" t="s">
        <v>1469</v>
      </c>
      <c r="F806" s="9" t="s">
        <v>3208</v>
      </c>
    </row>
    <row r="807">
      <c r="A807" s="9" t="s">
        <v>3209</v>
      </c>
      <c r="B807" s="9" t="s">
        <v>259</v>
      </c>
      <c r="C807" s="9" t="s">
        <v>1467</v>
      </c>
      <c r="D807" s="9" t="s">
        <v>3210</v>
      </c>
      <c r="E807" s="9" t="s">
        <v>1469</v>
      </c>
      <c r="F807" s="9" t="s">
        <v>3211</v>
      </c>
    </row>
    <row r="808">
      <c r="A808" s="9" t="s">
        <v>3212</v>
      </c>
      <c r="B808" s="9" t="s">
        <v>347</v>
      </c>
      <c r="C808" s="9" t="s">
        <v>1467</v>
      </c>
      <c r="D808" s="9" t="s">
        <v>3213</v>
      </c>
      <c r="E808" s="9" t="s">
        <v>1469</v>
      </c>
      <c r="F808" s="9" t="s">
        <v>3214</v>
      </c>
    </row>
    <row r="809">
      <c r="A809" s="9" t="s">
        <v>3215</v>
      </c>
      <c r="B809" s="9" t="s">
        <v>219</v>
      </c>
      <c r="C809" s="9" t="s">
        <v>1467</v>
      </c>
      <c r="D809" s="9" t="s">
        <v>3216</v>
      </c>
      <c r="E809" s="9" t="s">
        <v>1469</v>
      </c>
      <c r="F809" s="9" t="s">
        <v>3217</v>
      </c>
    </row>
    <row r="810">
      <c r="A810" s="9" t="s">
        <v>3218</v>
      </c>
      <c r="B810" s="9" t="s">
        <v>92</v>
      </c>
      <c r="C810" s="9" t="s">
        <v>1467</v>
      </c>
      <c r="D810" s="9" t="s">
        <v>3219</v>
      </c>
      <c r="E810" s="9" t="s">
        <v>1469</v>
      </c>
      <c r="F810" s="9" t="s">
        <v>3220</v>
      </c>
    </row>
    <row r="811">
      <c r="A811" s="9" t="s">
        <v>3221</v>
      </c>
      <c r="B811" s="9" t="s">
        <v>115</v>
      </c>
      <c r="C811" s="9" t="s">
        <v>1467</v>
      </c>
      <c r="D811" s="9" t="s">
        <v>3222</v>
      </c>
      <c r="E811" s="9" t="s">
        <v>1469</v>
      </c>
      <c r="F811" s="9" t="s">
        <v>3223</v>
      </c>
    </row>
    <row r="812">
      <c r="A812" s="9" t="s">
        <v>3224</v>
      </c>
      <c r="B812" s="9" t="s">
        <v>60</v>
      </c>
      <c r="C812" s="9" t="s">
        <v>1467</v>
      </c>
      <c r="D812" s="9" t="s">
        <v>3225</v>
      </c>
      <c r="E812" s="9" t="s">
        <v>1469</v>
      </c>
      <c r="F812" s="9" t="s">
        <v>3226</v>
      </c>
    </row>
    <row r="813">
      <c r="A813" s="9" t="s">
        <v>3227</v>
      </c>
      <c r="B813" s="9" t="s">
        <v>133</v>
      </c>
      <c r="C813" s="9" t="s">
        <v>1467</v>
      </c>
      <c r="D813" s="9" t="s">
        <v>3228</v>
      </c>
      <c r="E813" s="9" t="s">
        <v>1469</v>
      </c>
      <c r="F813" s="9" t="s">
        <v>3229</v>
      </c>
    </row>
    <row r="814">
      <c r="A814" s="9" t="s">
        <v>3230</v>
      </c>
      <c r="B814" s="9" t="s">
        <v>142</v>
      </c>
      <c r="C814" s="9" t="s">
        <v>1467</v>
      </c>
      <c r="D814" s="9" t="s">
        <v>3231</v>
      </c>
      <c r="E814" s="9" t="s">
        <v>1469</v>
      </c>
      <c r="F814" s="9" t="s">
        <v>3232</v>
      </c>
    </row>
    <row r="815">
      <c r="A815" s="9" t="s">
        <v>3233</v>
      </c>
      <c r="B815" s="9" t="s">
        <v>389</v>
      </c>
      <c r="C815" s="9" t="s">
        <v>1467</v>
      </c>
      <c r="D815" s="9" t="s">
        <v>3234</v>
      </c>
      <c r="E815" s="9" t="s">
        <v>1469</v>
      </c>
      <c r="F815" s="9" t="s">
        <v>3235</v>
      </c>
    </row>
    <row r="816">
      <c r="A816" s="9" t="s">
        <v>3236</v>
      </c>
      <c r="B816" s="9" t="s">
        <v>89</v>
      </c>
      <c r="C816" s="9" t="s">
        <v>1467</v>
      </c>
      <c r="D816" s="9" t="s">
        <v>3237</v>
      </c>
      <c r="E816" s="9" t="s">
        <v>1469</v>
      </c>
      <c r="F816" s="9" t="s">
        <v>3238</v>
      </c>
    </row>
    <row r="817">
      <c r="A817" s="9" t="s">
        <v>3239</v>
      </c>
      <c r="B817" s="9" t="s">
        <v>260</v>
      </c>
      <c r="C817" s="9" t="s">
        <v>1467</v>
      </c>
      <c r="D817" s="9" t="s">
        <v>3240</v>
      </c>
      <c r="E817" s="9" t="s">
        <v>1469</v>
      </c>
      <c r="F817" s="9" t="s">
        <v>3241</v>
      </c>
    </row>
    <row r="818">
      <c r="A818" s="9" t="s">
        <v>3242</v>
      </c>
      <c r="B818" s="9" t="s">
        <v>134</v>
      </c>
      <c r="C818" s="9" t="s">
        <v>1467</v>
      </c>
      <c r="D818" s="9" t="s">
        <v>3243</v>
      </c>
      <c r="E818" s="9" t="s">
        <v>1469</v>
      </c>
      <c r="F818" s="9" t="s">
        <v>3244</v>
      </c>
    </row>
    <row r="819">
      <c r="A819" s="9" t="s">
        <v>3245</v>
      </c>
      <c r="B819" s="9" t="s">
        <v>151</v>
      </c>
      <c r="C819" s="9" t="s">
        <v>1467</v>
      </c>
      <c r="D819" s="9" t="s">
        <v>3246</v>
      </c>
      <c r="E819" s="9" t="s">
        <v>1469</v>
      </c>
      <c r="F819" s="9" t="s">
        <v>3247</v>
      </c>
    </row>
    <row r="820">
      <c r="A820" s="9" t="s">
        <v>3248</v>
      </c>
      <c r="B820" s="9" t="s">
        <v>239</v>
      </c>
      <c r="C820" s="9" t="s">
        <v>1467</v>
      </c>
      <c r="D820" s="9" t="s">
        <v>3249</v>
      </c>
      <c r="E820" s="9" t="s">
        <v>1469</v>
      </c>
      <c r="F820" s="9" t="s">
        <v>3250</v>
      </c>
    </row>
    <row r="821">
      <c r="A821" s="9" t="s">
        <v>3251</v>
      </c>
      <c r="B821" s="9" t="s">
        <v>142</v>
      </c>
      <c r="C821" s="9" t="s">
        <v>1467</v>
      </c>
      <c r="D821" s="9" t="s">
        <v>3252</v>
      </c>
      <c r="E821" s="9" t="s">
        <v>1469</v>
      </c>
      <c r="F821" s="9" t="s">
        <v>3253</v>
      </c>
    </row>
    <row r="822">
      <c r="A822" s="9" t="s">
        <v>3254</v>
      </c>
      <c r="B822" s="9" t="s">
        <v>260</v>
      </c>
      <c r="C822" s="9" t="s">
        <v>1467</v>
      </c>
      <c r="D822" s="9" t="s">
        <v>3255</v>
      </c>
      <c r="E822" s="9" t="s">
        <v>1469</v>
      </c>
      <c r="F822" s="9" t="s">
        <v>3256</v>
      </c>
    </row>
    <row r="823">
      <c r="A823" s="9" t="s">
        <v>3257</v>
      </c>
      <c r="B823" s="9" t="s">
        <v>120</v>
      </c>
      <c r="C823" s="9" t="s">
        <v>1467</v>
      </c>
      <c r="D823" s="9" t="s">
        <v>3258</v>
      </c>
      <c r="E823" s="9" t="s">
        <v>1469</v>
      </c>
      <c r="F823" s="9" t="s">
        <v>3259</v>
      </c>
    </row>
    <row r="824">
      <c r="A824" s="9" t="s">
        <v>3260</v>
      </c>
      <c r="B824" s="9" t="s">
        <v>96</v>
      </c>
      <c r="C824" s="9" t="s">
        <v>1467</v>
      </c>
      <c r="D824" s="9" t="s">
        <v>3261</v>
      </c>
      <c r="E824" s="9" t="s">
        <v>1469</v>
      </c>
      <c r="F824" s="9" t="s">
        <v>3262</v>
      </c>
    </row>
    <row r="825">
      <c r="A825" s="9" t="s">
        <v>3263</v>
      </c>
      <c r="B825" s="9" t="s">
        <v>154</v>
      </c>
      <c r="C825" s="9" t="s">
        <v>1467</v>
      </c>
      <c r="D825" s="9" t="s">
        <v>3264</v>
      </c>
      <c r="E825" s="9" t="s">
        <v>1469</v>
      </c>
      <c r="F825" s="9" t="s">
        <v>3265</v>
      </c>
    </row>
    <row r="826">
      <c r="A826" s="9" t="s">
        <v>3266</v>
      </c>
      <c r="B826" s="9" t="s">
        <v>329</v>
      </c>
      <c r="C826" s="9" t="s">
        <v>1467</v>
      </c>
      <c r="D826" s="9" t="s">
        <v>3267</v>
      </c>
      <c r="E826" s="9" t="s">
        <v>1469</v>
      </c>
      <c r="F826" s="9" t="s">
        <v>3268</v>
      </c>
    </row>
    <row r="827">
      <c r="A827" s="9" t="s">
        <v>3269</v>
      </c>
      <c r="B827" s="9" t="s">
        <v>101</v>
      </c>
      <c r="C827" s="9" t="s">
        <v>1467</v>
      </c>
      <c r="D827" s="9" t="s">
        <v>3270</v>
      </c>
      <c r="E827" s="9" t="s">
        <v>1469</v>
      </c>
      <c r="F827" s="9" t="s">
        <v>3271</v>
      </c>
    </row>
    <row r="828">
      <c r="A828" s="9" t="s">
        <v>3272</v>
      </c>
      <c r="B828" s="9" t="s">
        <v>134</v>
      </c>
      <c r="C828" s="9" t="s">
        <v>1467</v>
      </c>
      <c r="D828" s="9" t="s">
        <v>3273</v>
      </c>
      <c r="E828" s="9" t="s">
        <v>1469</v>
      </c>
      <c r="F828" s="9" t="s">
        <v>3274</v>
      </c>
    </row>
    <row r="829">
      <c r="A829" s="9" t="s">
        <v>3275</v>
      </c>
      <c r="B829" s="9" t="s">
        <v>66</v>
      </c>
      <c r="C829" s="9" t="s">
        <v>1467</v>
      </c>
      <c r="D829" s="9" t="s">
        <v>3276</v>
      </c>
      <c r="E829" s="9" t="s">
        <v>1469</v>
      </c>
      <c r="F829" s="9" t="s">
        <v>3277</v>
      </c>
    </row>
    <row r="830">
      <c r="A830" s="9" t="s">
        <v>3278</v>
      </c>
      <c r="B830" s="9" t="s">
        <v>180</v>
      </c>
      <c r="C830" s="9" t="s">
        <v>1467</v>
      </c>
      <c r="D830" s="9" t="s">
        <v>3279</v>
      </c>
      <c r="E830" s="9" t="s">
        <v>1469</v>
      </c>
      <c r="F830" s="9" t="s">
        <v>3280</v>
      </c>
    </row>
    <row r="831">
      <c r="A831" s="9" t="s">
        <v>3281</v>
      </c>
      <c r="B831" s="9" t="s">
        <v>96</v>
      </c>
      <c r="C831" s="9" t="s">
        <v>1467</v>
      </c>
      <c r="D831" s="9" t="s">
        <v>3282</v>
      </c>
      <c r="E831" s="9" t="s">
        <v>1469</v>
      </c>
      <c r="F831" s="9" t="s">
        <v>3283</v>
      </c>
    </row>
    <row r="832">
      <c r="A832" s="9" t="s">
        <v>3284</v>
      </c>
      <c r="B832" s="9" t="s">
        <v>134</v>
      </c>
      <c r="C832" s="9" t="s">
        <v>1467</v>
      </c>
      <c r="D832" s="9" t="s">
        <v>3285</v>
      </c>
      <c r="E832" s="9" t="s">
        <v>1469</v>
      </c>
      <c r="F832" s="9" t="s">
        <v>3286</v>
      </c>
    </row>
    <row r="833">
      <c r="A833" s="9" t="s">
        <v>3287</v>
      </c>
      <c r="B833" s="9" t="s">
        <v>345</v>
      </c>
      <c r="C833" s="9" t="s">
        <v>1467</v>
      </c>
      <c r="D833" s="9" t="s">
        <v>3288</v>
      </c>
      <c r="E833" s="9" t="s">
        <v>1469</v>
      </c>
      <c r="F833" s="9" t="s">
        <v>3289</v>
      </c>
    </row>
    <row r="834">
      <c r="A834" s="9" t="s">
        <v>3290</v>
      </c>
      <c r="B834" s="9" t="s">
        <v>162</v>
      </c>
      <c r="C834" s="9" t="s">
        <v>1467</v>
      </c>
      <c r="D834" s="9" t="s">
        <v>3291</v>
      </c>
      <c r="E834" s="9" t="s">
        <v>1469</v>
      </c>
      <c r="F834" s="9" t="s">
        <v>3292</v>
      </c>
    </row>
    <row r="835">
      <c r="A835" s="9" t="s">
        <v>3293</v>
      </c>
      <c r="B835" s="9" t="s">
        <v>168</v>
      </c>
      <c r="C835" s="9" t="s">
        <v>1467</v>
      </c>
      <c r="D835" s="9" t="s">
        <v>3294</v>
      </c>
      <c r="E835" s="9" t="s">
        <v>1469</v>
      </c>
      <c r="F835" s="9" t="s">
        <v>3295</v>
      </c>
    </row>
    <row r="836">
      <c r="A836" s="9" t="s">
        <v>3296</v>
      </c>
      <c r="B836" s="9" t="s">
        <v>61</v>
      </c>
      <c r="C836" s="9" t="s">
        <v>1467</v>
      </c>
      <c r="D836" s="9" t="s">
        <v>3297</v>
      </c>
      <c r="E836" s="9" t="s">
        <v>1469</v>
      </c>
      <c r="F836" s="9" t="s">
        <v>3298</v>
      </c>
    </row>
    <row r="837">
      <c r="A837" s="9" t="s">
        <v>3299</v>
      </c>
      <c r="B837" s="9" t="s">
        <v>123</v>
      </c>
      <c r="C837" s="9" t="s">
        <v>1467</v>
      </c>
      <c r="D837" s="9" t="s">
        <v>3300</v>
      </c>
      <c r="E837" s="9" t="s">
        <v>1469</v>
      </c>
      <c r="F837" s="9" t="s">
        <v>3301</v>
      </c>
    </row>
    <row r="838">
      <c r="A838" s="9" t="s">
        <v>3302</v>
      </c>
      <c r="B838" s="9" t="s">
        <v>329</v>
      </c>
      <c r="C838" s="9" t="s">
        <v>1467</v>
      </c>
      <c r="D838" s="9" t="s">
        <v>3303</v>
      </c>
      <c r="E838" s="9" t="s">
        <v>1469</v>
      </c>
      <c r="F838" s="9" t="s">
        <v>3304</v>
      </c>
    </row>
    <row r="839">
      <c r="A839" s="9" t="s">
        <v>3305</v>
      </c>
      <c r="B839" s="9" t="s">
        <v>17</v>
      </c>
      <c r="C839" s="9" t="s">
        <v>1467</v>
      </c>
      <c r="D839" s="9" t="s">
        <v>3306</v>
      </c>
      <c r="E839" s="9" t="s">
        <v>1469</v>
      </c>
      <c r="F839" s="9" t="s">
        <v>3307</v>
      </c>
    </row>
    <row r="840">
      <c r="A840" s="9" t="s">
        <v>3308</v>
      </c>
      <c r="B840" s="9" t="s">
        <v>165</v>
      </c>
      <c r="C840" s="9" t="s">
        <v>1467</v>
      </c>
      <c r="D840" s="9" t="s">
        <v>3309</v>
      </c>
      <c r="E840" s="9" t="s">
        <v>1469</v>
      </c>
      <c r="F840" s="9" t="s">
        <v>3310</v>
      </c>
    </row>
    <row r="841">
      <c r="A841" s="9" t="s">
        <v>3311</v>
      </c>
      <c r="B841" s="9" t="s">
        <v>280</v>
      </c>
      <c r="C841" s="9" t="s">
        <v>1467</v>
      </c>
      <c r="D841" s="9" t="s">
        <v>3312</v>
      </c>
      <c r="E841" s="9" t="s">
        <v>1469</v>
      </c>
      <c r="F841" s="9" t="s">
        <v>3313</v>
      </c>
    </row>
    <row r="842">
      <c r="A842" s="9" t="s">
        <v>3314</v>
      </c>
      <c r="B842" s="9" t="s">
        <v>120</v>
      </c>
      <c r="C842" s="9" t="s">
        <v>1467</v>
      </c>
      <c r="D842" s="9" t="s">
        <v>3315</v>
      </c>
      <c r="E842" s="9" t="s">
        <v>1469</v>
      </c>
      <c r="F842" s="9" t="s">
        <v>3316</v>
      </c>
    </row>
    <row r="843">
      <c r="A843" s="9" t="s">
        <v>3317</v>
      </c>
      <c r="B843" s="9" t="s">
        <v>218</v>
      </c>
      <c r="C843" s="9" t="s">
        <v>1467</v>
      </c>
      <c r="D843" s="9" t="s">
        <v>3318</v>
      </c>
      <c r="E843" s="9" t="s">
        <v>1469</v>
      </c>
      <c r="F843" s="9" t="s">
        <v>3319</v>
      </c>
    </row>
    <row r="844">
      <c r="A844" s="9" t="s">
        <v>3321</v>
      </c>
      <c r="B844" s="9" t="s">
        <v>123</v>
      </c>
      <c r="C844" s="9" t="s">
        <v>1467</v>
      </c>
      <c r="D844" s="9" t="s">
        <v>3324</v>
      </c>
      <c r="E844" s="9" t="s">
        <v>1469</v>
      </c>
      <c r="F844" s="9" t="s">
        <v>3325</v>
      </c>
    </row>
    <row r="845">
      <c r="A845" s="9" t="s">
        <v>3326</v>
      </c>
      <c r="B845" s="9" t="s">
        <v>60</v>
      </c>
      <c r="C845" s="9" t="s">
        <v>1467</v>
      </c>
      <c r="D845" s="9" t="s">
        <v>3327</v>
      </c>
      <c r="E845" s="9" t="s">
        <v>1469</v>
      </c>
      <c r="F845" s="9" t="s">
        <v>3328</v>
      </c>
    </row>
    <row r="846">
      <c r="A846" s="9" t="s">
        <v>3329</v>
      </c>
      <c r="B846" s="9" t="s">
        <v>347</v>
      </c>
      <c r="C846" s="9" t="s">
        <v>1467</v>
      </c>
      <c r="D846" s="9" t="s">
        <v>3330</v>
      </c>
      <c r="E846" s="9" t="s">
        <v>1469</v>
      </c>
      <c r="F846" s="9" t="s">
        <v>3331</v>
      </c>
    </row>
    <row r="847">
      <c r="A847" s="9" t="s">
        <v>3332</v>
      </c>
      <c r="B847" s="9" t="s">
        <v>184</v>
      </c>
      <c r="C847" s="9" t="s">
        <v>1467</v>
      </c>
      <c r="D847" s="9" t="s">
        <v>3333</v>
      </c>
      <c r="E847" s="9" t="s">
        <v>1469</v>
      </c>
      <c r="F847" s="9" t="s">
        <v>3334</v>
      </c>
    </row>
    <row r="848">
      <c r="A848" s="9" t="s">
        <v>3335</v>
      </c>
      <c r="B848" s="9" t="s">
        <v>280</v>
      </c>
      <c r="C848" s="9" t="s">
        <v>1467</v>
      </c>
      <c r="D848" s="9" t="s">
        <v>3336</v>
      </c>
      <c r="E848" s="9" t="s">
        <v>1469</v>
      </c>
      <c r="F848" s="9" t="s">
        <v>3337</v>
      </c>
    </row>
    <row r="849">
      <c r="A849" s="9" t="s">
        <v>3338</v>
      </c>
      <c r="B849" s="9" t="s">
        <v>329</v>
      </c>
      <c r="C849" s="9" t="s">
        <v>1467</v>
      </c>
      <c r="D849" s="9" t="s">
        <v>3339</v>
      </c>
      <c r="E849" s="9" t="s">
        <v>1469</v>
      </c>
      <c r="F849" s="9" t="s">
        <v>3340</v>
      </c>
    </row>
    <row r="850">
      <c r="A850" s="9" t="s">
        <v>3341</v>
      </c>
      <c r="B850" s="9" t="s">
        <v>169</v>
      </c>
      <c r="C850" s="9" t="s">
        <v>1467</v>
      </c>
      <c r="D850" s="9" t="s">
        <v>3342</v>
      </c>
      <c r="E850" s="9" t="s">
        <v>1469</v>
      </c>
      <c r="F850" s="9" t="s">
        <v>3343</v>
      </c>
    </row>
    <row r="851">
      <c r="A851" s="9" t="s">
        <v>3344</v>
      </c>
      <c r="B851" s="9" t="s">
        <v>162</v>
      </c>
      <c r="C851" s="9" t="s">
        <v>1467</v>
      </c>
      <c r="D851" s="9" t="s">
        <v>3345</v>
      </c>
      <c r="E851" s="9" t="s">
        <v>1469</v>
      </c>
      <c r="F851" s="9" t="s">
        <v>3346</v>
      </c>
    </row>
    <row r="852">
      <c r="A852" s="9" t="s">
        <v>3347</v>
      </c>
      <c r="B852" s="9" t="s">
        <v>217</v>
      </c>
      <c r="C852" s="9" t="s">
        <v>1467</v>
      </c>
      <c r="D852" s="9" t="s">
        <v>3348</v>
      </c>
      <c r="E852" s="9" t="s">
        <v>1469</v>
      </c>
      <c r="F852" s="9" t="s">
        <v>3349</v>
      </c>
    </row>
    <row r="853">
      <c r="A853" s="9" t="s">
        <v>3350</v>
      </c>
      <c r="B853" s="9" t="s">
        <v>301</v>
      </c>
      <c r="C853" s="9" t="s">
        <v>1467</v>
      </c>
      <c r="D853" s="9" t="s">
        <v>3351</v>
      </c>
      <c r="E853" s="9" t="s">
        <v>1469</v>
      </c>
      <c r="F853" s="9" t="s">
        <v>3352</v>
      </c>
    </row>
    <row r="854">
      <c r="A854" s="9" t="s">
        <v>3353</v>
      </c>
      <c r="B854" s="9" t="s">
        <v>54</v>
      </c>
      <c r="C854" s="9" t="s">
        <v>1467</v>
      </c>
      <c r="D854" s="9" t="s">
        <v>3354</v>
      </c>
      <c r="E854" s="9" t="s">
        <v>1469</v>
      </c>
      <c r="F854" s="9" t="s">
        <v>3355</v>
      </c>
    </row>
    <row r="855">
      <c r="A855" s="9" t="s">
        <v>3356</v>
      </c>
      <c r="B855" s="9" t="s">
        <v>133</v>
      </c>
      <c r="C855" s="9" t="s">
        <v>1467</v>
      </c>
      <c r="D855" s="9" t="s">
        <v>3357</v>
      </c>
      <c r="E855" s="9" t="s">
        <v>1469</v>
      </c>
      <c r="F855" s="9" t="s">
        <v>3358</v>
      </c>
    </row>
    <row r="856">
      <c r="A856" s="9" t="s">
        <v>3359</v>
      </c>
      <c r="B856" s="9" t="s">
        <v>110</v>
      </c>
      <c r="C856" s="9" t="s">
        <v>1467</v>
      </c>
      <c r="D856" s="9" t="s">
        <v>3360</v>
      </c>
      <c r="E856" s="9" t="s">
        <v>1469</v>
      </c>
      <c r="F856" s="9" t="s">
        <v>3361</v>
      </c>
    </row>
    <row r="857">
      <c r="A857" s="9" t="s">
        <v>3362</v>
      </c>
      <c r="B857" s="9" t="s">
        <v>71</v>
      </c>
      <c r="C857" s="9" t="s">
        <v>1467</v>
      </c>
      <c r="D857" s="9" t="s">
        <v>3363</v>
      </c>
      <c r="E857" s="9" t="s">
        <v>1469</v>
      </c>
      <c r="F857" s="9" t="s">
        <v>3364</v>
      </c>
    </row>
    <row r="858">
      <c r="A858" s="9" t="s">
        <v>3365</v>
      </c>
      <c r="B858" s="9" t="s">
        <v>121</v>
      </c>
      <c r="C858" s="9" t="s">
        <v>1467</v>
      </c>
      <c r="D858" s="9" t="s">
        <v>3366</v>
      </c>
      <c r="E858" s="9" t="s">
        <v>1469</v>
      </c>
      <c r="F858" s="9" t="s">
        <v>3367</v>
      </c>
    </row>
    <row r="859">
      <c r="A859" s="9" t="s">
        <v>3368</v>
      </c>
      <c r="B859" s="9" t="s">
        <v>133</v>
      </c>
      <c r="C859" s="9" t="s">
        <v>1467</v>
      </c>
      <c r="D859" s="9" t="s">
        <v>3369</v>
      </c>
      <c r="E859" s="9" t="s">
        <v>1469</v>
      </c>
      <c r="F859" s="9" t="s">
        <v>3370</v>
      </c>
    </row>
    <row r="860">
      <c r="A860" s="9" t="s">
        <v>3371</v>
      </c>
      <c r="B860" s="9" t="s">
        <v>107</v>
      </c>
      <c r="C860" s="9" t="s">
        <v>1467</v>
      </c>
      <c r="D860" s="9" t="s">
        <v>3372</v>
      </c>
      <c r="E860" s="9" t="s">
        <v>1469</v>
      </c>
      <c r="F860" s="9" t="s">
        <v>3373</v>
      </c>
    </row>
    <row r="861">
      <c r="A861" s="9" t="s">
        <v>3374</v>
      </c>
      <c r="B861" s="9" t="s">
        <v>291</v>
      </c>
      <c r="C861" s="9" t="s">
        <v>1467</v>
      </c>
      <c r="D861" s="9" t="s">
        <v>3375</v>
      </c>
      <c r="E861" s="9" t="s">
        <v>1469</v>
      </c>
      <c r="F861" s="9" t="s">
        <v>3376</v>
      </c>
    </row>
    <row r="862">
      <c r="A862" s="9" t="s">
        <v>3377</v>
      </c>
      <c r="B862" s="9" t="s">
        <v>54</v>
      </c>
      <c r="C862" s="9" t="s">
        <v>1467</v>
      </c>
      <c r="D862" s="9" t="s">
        <v>3378</v>
      </c>
      <c r="E862" s="9" t="s">
        <v>1469</v>
      </c>
      <c r="F862" s="9" t="s">
        <v>3379</v>
      </c>
    </row>
    <row r="863">
      <c r="A863" s="9" t="s">
        <v>3380</v>
      </c>
      <c r="B863" s="9" t="s">
        <v>324</v>
      </c>
      <c r="C863" s="9" t="s">
        <v>1467</v>
      </c>
      <c r="D863" s="9" t="s">
        <v>3381</v>
      </c>
      <c r="E863" s="9" t="s">
        <v>1469</v>
      </c>
      <c r="F863" s="9" t="s">
        <v>3382</v>
      </c>
    </row>
    <row r="864">
      <c r="A864" s="9" t="s">
        <v>3383</v>
      </c>
      <c r="B864" s="9" t="s">
        <v>344</v>
      </c>
      <c r="C864" s="9" t="s">
        <v>1467</v>
      </c>
      <c r="D864" s="9" t="s">
        <v>3384</v>
      </c>
      <c r="E864" s="9" t="s">
        <v>1469</v>
      </c>
      <c r="F864" s="9" t="s">
        <v>3385</v>
      </c>
    </row>
    <row r="865">
      <c r="A865" s="9" t="s">
        <v>3386</v>
      </c>
      <c r="B865" s="9" t="s">
        <v>266</v>
      </c>
      <c r="C865" s="9" t="s">
        <v>1467</v>
      </c>
      <c r="D865" s="9" t="s">
        <v>3387</v>
      </c>
      <c r="E865" s="9" t="s">
        <v>1469</v>
      </c>
      <c r="F865" s="9" t="s">
        <v>3388</v>
      </c>
    </row>
    <row r="866">
      <c r="A866" s="9" t="s">
        <v>3389</v>
      </c>
      <c r="B866" s="9" t="s">
        <v>291</v>
      </c>
      <c r="C866" s="9" t="s">
        <v>1467</v>
      </c>
      <c r="D866" s="9" t="s">
        <v>3390</v>
      </c>
      <c r="E866" s="9" t="s">
        <v>1469</v>
      </c>
      <c r="F866" s="9" t="s">
        <v>3391</v>
      </c>
    </row>
    <row r="867">
      <c r="A867" s="9" t="s">
        <v>3392</v>
      </c>
      <c r="B867" s="9" t="s">
        <v>215</v>
      </c>
      <c r="C867" s="9" t="s">
        <v>1467</v>
      </c>
      <c r="D867" s="9" t="s">
        <v>3393</v>
      </c>
      <c r="E867" s="9" t="s">
        <v>1469</v>
      </c>
      <c r="F867" s="9" t="s">
        <v>3394</v>
      </c>
    </row>
    <row r="868">
      <c r="A868" s="9" t="s">
        <v>3395</v>
      </c>
      <c r="B868" s="9" t="s">
        <v>189</v>
      </c>
      <c r="C868" s="9" t="s">
        <v>1467</v>
      </c>
      <c r="D868" s="9" t="s">
        <v>3396</v>
      </c>
      <c r="E868" s="9" t="s">
        <v>1469</v>
      </c>
      <c r="F868" s="9" t="s">
        <v>3397</v>
      </c>
    </row>
    <row r="869">
      <c r="A869" s="9" t="s">
        <v>3398</v>
      </c>
      <c r="B869" s="9" t="s">
        <v>302</v>
      </c>
      <c r="C869" s="9" t="s">
        <v>1467</v>
      </c>
      <c r="D869" s="9" t="s">
        <v>3399</v>
      </c>
      <c r="E869" s="9" t="s">
        <v>1469</v>
      </c>
      <c r="F869" s="9" t="s">
        <v>3400</v>
      </c>
    </row>
    <row r="870">
      <c r="A870" s="9" t="s">
        <v>3401</v>
      </c>
      <c r="B870" s="9" t="s">
        <v>354</v>
      </c>
      <c r="C870" s="9" t="s">
        <v>1467</v>
      </c>
      <c r="D870" s="9" t="s">
        <v>3402</v>
      </c>
      <c r="E870" s="9" t="s">
        <v>1469</v>
      </c>
      <c r="F870" s="9" t="s">
        <v>3403</v>
      </c>
    </row>
    <row r="871">
      <c r="A871" s="9" t="s">
        <v>3404</v>
      </c>
      <c r="B871" s="9" t="s">
        <v>152</v>
      </c>
      <c r="C871" s="9" t="s">
        <v>1467</v>
      </c>
      <c r="D871" s="9" t="s">
        <v>3405</v>
      </c>
      <c r="E871" s="9" t="s">
        <v>1469</v>
      </c>
      <c r="F871" s="9" t="s">
        <v>3406</v>
      </c>
    </row>
    <row r="872">
      <c r="A872" s="9" t="s">
        <v>3407</v>
      </c>
      <c r="B872" s="9" t="s">
        <v>352</v>
      </c>
      <c r="C872" s="9" t="s">
        <v>1467</v>
      </c>
      <c r="D872" s="9" t="s">
        <v>3408</v>
      </c>
      <c r="E872" s="9" t="s">
        <v>1469</v>
      </c>
      <c r="F872" s="9" t="s">
        <v>3409</v>
      </c>
    </row>
    <row r="873">
      <c r="A873" s="9" t="s">
        <v>3410</v>
      </c>
      <c r="B873" s="9" t="s">
        <v>352</v>
      </c>
      <c r="C873" s="9" t="s">
        <v>1467</v>
      </c>
      <c r="D873" s="9" t="s">
        <v>3411</v>
      </c>
      <c r="E873" s="9" t="s">
        <v>1469</v>
      </c>
      <c r="F873" s="9" t="s">
        <v>3412</v>
      </c>
    </row>
    <row r="874">
      <c r="A874" s="9" t="s">
        <v>3413</v>
      </c>
      <c r="B874" s="9" t="s">
        <v>284</v>
      </c>
      <c r="C874" s="9" t="s">
        <v>1467</v>
      </c>
      <c r="D874" s="9" t="s">
        <v>3414</v>
      </c>
      <c r="E874" s="9" t="s">
        <v>1469</v>
      </c>
      <c r="F874" s="9" t="s">
        <v>3415</v>
      </c>
    </row>
    <row r="875">
      <c r="A875" s="9" t="s">
        <v>3416</v>
      </c>
      <c r="B875" s="9" t="s">
        <v>168</v>
      </c>
      <c r="C875" s="9" t="s">
        <v>1467</v>
      </c>
      <c r="D875" s="9" t="s">
        <v>3417</v>
      </c>
      <c r="E875" s="9" t="s">
        <v>1469</v>
      </c>
      <c r="F875" s="9" t="s">
        <v>3418</v>
      </c>
    </row>
    <row r="876">
      <c r="A876" s="9" t="s">
        <v>3419</v>
      </c>
      <c r="B876" s="9" t="s">
        <v>109</v>
      </c>
      <c r="C876" s="9" t="s">
        <v>1467</v>
      </c>
      <c r="D876" s="9" t="s">
        <v>3420</v>
      </c>
      <c r="E876" s="9" t="s">
        <v>1469</v>
      </c>
      <c r="F876" s="9" t="s">
        <v>3421</v>
      </c>
    </row>
    <row r="877">
      <c r="A877" s="9" t="s">
        <v>3422</v>
      </c>
      <c r="B877" s="9" t="s">
        <v>152</v>
      </c>
      <c r="C877" s="9" t="s">
        <v>1467</v>
      </c>
      <c r="D877" s="9" t="s">
        <v>3423</v>
      </c>
      <c r="E877" s="9" t="s">
        <v>1469</v>
      </c>
      <c r="F877" s="9" t="s">
        <v>3424</v>
      </c>
    </row>
    <row r="878">
      <c r="A878" s="9" t="s">
        <v>3425</v>
      </c>
      <c r="B878" s="9" t="s">
        <v>63</v>
      </c>
      <c r="C878" s="9" t="s">
        <v>1467</v>
      </c>
      <c r="D878" s="9" t="s">
        <v>3426</v>
      </c>
      <c r="E878" s="9" t="s">
        <v>1469</v>
      </c>
      <c r="F878" s="9" t="s">
        <v>3427</v>
      </c>
    </row>
    <row r="879">
      <c r="A879" s="9" t="s">
        <v>3428</v>
      </c>
      <c r="B879" s="9" t="s">
        <v>352</v>
      </c>
      <c r="C879" s="9" t="s">
        <v>1467</v>
      </c>
      <c r="D879" s="9" t="s">
        <v>3429</v>
      </c>
      <c r="E879" s="9" t="s">
        <v>1469</v>
      </c>
      <c r="F879" s="9" t="s">
        <v>3430</v>
      </c>
    </row>
    <row r="880">
      <c r="A880" s="9" t="s">
        <v>3431</v>
      </c>
      <c r="B880" s="9" t="s">
        <v>189</v>
      </c>
      <c r="C880" s="9" t="s">
        <v>1467</v>
      </c>
      <c r="D880" s="9" t="s">
        <v>3432</v>
      </c>
      <c r="E880" s="9" t="s">
        <v>1469</v>
      </c>
      <c r="F880" s="9" t="s">
        <v>3433</v>
      </c>
    </row>
    <row r="881">
      <c r="A881" s="9" t="s">
        <v>3434</v>
      </c>
      <c r="B881" s="9" t="s">
        <v>406</v>
      </c>
      <c r="C881" s="9" t="s">
        <v>1467</v>
      </c>
      <c r="D881" s="9" t="s">
        <v>3435</v>
      </c>
      <c r="E881" s="9" t="s">
        <v>1469</v>
      </c>
      <c r="F881" s="9" t="s">
        <v>3436</v>
      </c>
    </row>
    <row r="882">
      <c r="A882" s="9" t="s">
        <v>3437</v>
      </c>
      <c r="B882" s="9" t="s">
        <v>333</v>
      </c>
      <c r="C882" s="9" t="s">
        <v>1467</v>
      </c>
      <c r="D882" s="9" t="s">
        <v>3438</v>
      </c>
      <c r="E882" s="9" t="s">
        <v>1469</v>
      </c>
      <c r="F882" s="9" t="s">
        <v>3439</v>
      </c>
    </row>
    <row r="883">
      <c r="A883" s="9" t="s">
        <v>3440</v>
      </c>
      <c r="B883" s="9" t="s">
        <v>101</v>
      </c>
      <c r="C883" s="9" t="s">
        <v>1467</v>
      </c>
      <c r="D883" s="9" t="s">
        <v>3441</v>
      </c>
      <c r="E883" s="9" t="s">
        <v>1469</v>
      </c>
      <c r="F883" s="9" t="s">
        <v>3442</v>
      </c>
    </row>
    <row r="884">
      <c r="A884" s="9" t="s">
        <v>3443</v>
      </c>
      <c r="B884" s="9" t="s">
        <v>63</v>
      </c>
      <c r="C884" s="9" t="s">
        <v>1467</v>
      </c>
      <c r="D884" s="9" t="s">
        <v>3446</v>
      </c>
      <c r="E884" s="9" t="s">
        <v>1469</v>
      </c>
      <c r="F884" s="9" t="s">
        <v>3448</v>
      </c>
    </row>
    <row r="885">
      <c r="A885" s="9" t="s">
        <v>3449</v>
      </c>
      <c r="B885" s="9" t="s">
        <v>287</v>
      </c>
      <c r="C885" s="9" t="s">
        <v>1467</v>
      </c>
      <c r="D885" s="9" t="s">
        <v>3450</v>
      </c>
      <c r="E885" s="9" t="s">
        <v>1469</v>
      </c>
      <c r="F885" s="9" t="s">
        <v>3451</v>
      </c>
    </row>
    <row r="886">
      <c r="A886" s="9" t="s">
        <v>3452</v>
      </c>
      <c r="B886" s="9" t="s">
        <v>260</v>
      </c>
      <c r="C886" s="9" t="s">
        <v>1467</v>
      </c>
      <c r="D886" s="9" t="s">
        <v>3453</v>
      </c>
      <c r="E886" s="9" t="s">
        <v>1469</v>
      </c>
      <c r="F886" s="9" t="s">
        <v>3454</v>
      </c>
    </row>
    <row r="887">
      <c r="A887" s="9" t="s">
        <v>3455</v>
      </c>
      <c r="B887" s="9" t="s">
        <v>189</v>
      </c>
      <c r="C887" s="9" t="s">
        <v>1467</v>
      </c>
      <c r="D887" s="9" t="s">
        <v>3456</v>
      </c>
      <c r="E887" s="9" t="s">
        <v>1469</v>
      </c>
      <c r="F887" s="9" t="s">
        <v>3457</v>
      </c>
    </row>
    <row r="888">
      <c r="A888" s="9" t="s">
        <v>3458</v>
      </c>
      <c r="B888" s="9" t="s">
        <v>101</v>
      </c>
      <c r="C888" s="9" t="s">
        <v>1467</v>
      </c>
      <c r="D888" s="9" t="s">
        <v>3459</v>
      </c>
      <c r="E888" s="9" t="s">
        <v>1469</v>
      </c>
      <c r="F888" s="9" t="s">
        <v>3460</v>
      </c>
    </row>
    <row r="889">
      <c r="A889" s="9" t="s">
        <v>3461</v>
      </c>
      <c r="B889" s="9" t="s">
        <v>191</v>
      </c>
      <c r="C889" s="9" t="s">
        <v>1467</v>
      </c>
      <c r="D889" s="9" t="s">
        <v>3462</v>
      </c>
      <c r="E889" s="9" t="s">
        <v>1469</v>
      </c>
      <c r="F889" s="9" t="s">
        <v>3463</v>
      </c>
    </row>
    <row r="890">
      <c r="A890" s="9" t="s">
        <v>3464</v>
      </c>
      <c r="B890" s="9" t="s">
        <v>60</v>
      </c>
      <c r="C890" s="9" t="s">
        <v>1467</v>
      </c>
      <c r="D890" s="9" t="s">
        <v>3465</v>
      </c>
      <c r="E890" s="9" t="s">
        <v>1469</v>
      </c>
      <c r="F890" s="9" t="s">
        <v>3466</v>
      </c>
    </row>
    <row r="891">
      <c r="A891" s="9" t="s">
        <v>3467</v>
      </c>
      <c r="B891" s="9" t="s">
        <v>276</v>
      </c>
      <c r="C891" s="9" t="s">
        <v>1467</v>
      </c>
      <c r="D891" s="9" t="s">
        <v>3468</v>
      </c>
      <c r="E891" s="9" t="s">
        <v>1469</v>
      </c>
      <c r="F891" s="9" t="s">
        <v>3469</v>
      </c>
    </row>
    <row r="892">
      <c r="A892" s="9" t="s">
        <v>3470</v>
      </c>
      <c r="B892" s="9" t="s">
        <v>215</v>
      </c>
      <c r="C892" s="9" t="s">
        <v>1467</v>
      </c>
      <c r="D892" s="9" t="s">
        <v>3471</v>
      </c>
      <c r="E892" s="9" t="s">
        <v>1469</v>
      </c>
      <c r="F892" s="9" t="s">
        <v>3472</v>
      </c>
    </row>
    <row r="893">
      <c r="A893" s="9" t="s">
        <v>3473</v>
      </c>
      <c r="B893" s="9" t="s">
        <v>121</v>
      </c>
      <c r="C893" s="9" t="s">
        <v>1467</v>
      </c>
      <c r="D893" s="9" t="s">
        <v>3474</v>
      </c>
      <c r="E893" s="9" t="s">
        <v>1469</v>
      </c>
      <c r="F893" s="9" t="s">
        <v>3475</v>
      </c>
    </row>
    <row r="894">
      <c r="A894" s="9" t="s">
        <v>3476</v>
      </c>
      <c r="B894" s="9" t="s">
        <v>71</v>
      </c>
      <c r="C894" s="9" t="s">
        <v>1467</v>
      </c>
      <c r="D894" s="9" t="s">
        <v>3477</v>
      </c>
      <c r="E894" s="9" t="s">
        <v>1469</v>
      </c>
      <c r="F894" s="9" t="s">
        <v>3478</v>
      </c>
    </row>
    <row r="895">
      <c r="A895" s="9" t="s">
        <v>3479</v>
      </c>
      <c r="B895" s="9" t="s">
        <v>54</v>
      </c>
      <c r="C895" s="9" t="s">
        <v>1467</v>
      </c>
      <c r="D895" s="9" t="s">
        <v>3480</v>
      </c>
      <c r="E895" s="9" t="s">
        <v>1469</v>
      </c>
      <c r="F895" s="9" t="s">
        <v>3481</v>
      </c>
    </row>
    <row r="896">
      <c r="A896" s="9" t="s">
        <v>3482</v>
      </c>
      <c r="B896" s="9" t="s">
        <v>63</v>
      </c>
      <c r="C896" s="9" t="s">
        <v>1467</v>
      </c>
      <c r="D896" s="9" t="s">
        <v>3483</v>
      </c>
      <c r="E896" s="9" t="s">
        <v>1469</v>
      </c>
      <c r="F896" s="9" t="s">
        <v>3484</v>
      </c>
    </row>
    <row r="897">
      <c r="A897" s="9" t="s">
        <v>3485</v>
      </c>
      <c r="B897" s="9" t="s">
        <v>192</v>
      </c>
      <c r="C897" s="9" t="s">
        <v>1467</v>
      </c>
      <c r="D897" s="9" t="s">
        <v>3486</v>
      </c>
      <c r="E897" s="9" t="s">
        <v>1469</v>
      </c>
      <c r="F897" s="9" t="s">
        <v>3487</v>
      </c>
    </row>
    <row r="898">
      <c r="A898" s="9" t="s">
        <v>3488</v>
      </c>
      <c r="B898" s="9" t="s">
        <v>291</v>
      </c>
      <c r="C898" s="9" t="s">
        <v>1467</v>
      </c>
      <c r="D898" s="9" t="s">
        <v>3489</v>
      </c>
      <c r="E898" s="9" t="s">
        <v>1469</v>
      </c>
      <c r="F898" s="9" t="s">
        <v>3490</v>
      </c>
    </row>
    <row r="899">
      <c r="A899" s="9" t="s">
        <v>3491</v>
      </c>
      <c r="B899" s="9" t="s">
        <v>229</v>
      </c>
      <c r="C899" s="9" t="s">
        <v>1467</v>
      </c>
      <c r="D899" s="9" t="s">
        <v>3492</v>
      </c>
      <c r="E899" s="9" t="s">
        <v>1469</v>
      </c>
      <c r="F899" s="9" t="s">
        <v>3493</v>
      </c>
    </row>
    <row r="900">
      <c r="A900" s="9" t="s">
        <v>3494</v>
      </c>
      <c r="B900" s="9" t="s">
        <v>88</v>
      </c>
      <c r="C900" s="9" t="s">
        <v>1467</v>
      </c>
      <c r="D900" s="9" t="s">
        <v>3495</v>
      </c>
      <c r="E900" s="9" t="s">
        <v>1469</v>
      </c>
      <c r="F900" s="9" t="s">
        <v>3496</v>
      </c>
    </row>
    <row r="901">
      <c r="A901" s="9" t="s">
        <v>3497</v>
      </c>
      <c r="B901" s="9" t="s">
        <v>92</v>
      </c>
      <c r="C901" s="9" t="s">
        <v>1467</v>
      </c>
      <c r="D901" s="9" t="s">
        <v>3498</v>
      </c>
      <c r="E901" s="9" t="s">
        <v>1469</v>
      </c>
      <c r="F901" s="9" t="s">
        <v>3499</v>
      </c>
    </row>
    <row r="902">
      <c r="A902" s="9" t="s">
        <v>3500</v>
      </c>
      <c r="B902" s="9" t="s">
        <v>61</v>
      </c>
      <c r="C902" s="9" t="s">
        <v>1467</v>
      </c>
      <c r="D902" s="9" t="s">
        <v>3501</v>
      </c>
      <c r="E902" s="9" t="s">
        <v>1469</v>
      </c>
      <c r="F902" s="9" t="s">
        <v>3502</v>
      </c>
    </row>
    <row r="903">
      <c r="A903" s="9" t="s">
        <v>3503</v>
      </c>
      <c r="B903" s="9" t="s">
        <v>273</v>
      </c>
      <c r="C903" s="9" t="s">
        <v>1467</v>
      </c>
      <c r="D903" s="9" t="s">
        <v>3504</v>
      </c>
      <c r="E903" s="9" t="s">
        <v>1469</v>
      </c>
      <c r="F903" s="9" t="s">
        <v>3505</v>
      </c>
    </row>
    <row r="904">
      <c r="A904" s="9" t="s">
        <v>3506</v>
      </c>
      <c r="B904" s="9" t="s">
        <v>231</v>
      </c>
      <c r="C904" s="9" t="s">
        <v>1467</v>
      </c>
      <c r="D904" s="9" t="s">
        <v>3507</v>
      </c>
      <c r="E904" s="9" t="s">
        <v>1469</v>
      </c>
      <c r="F904" s="9" t="s">
        <v>3508</v>
      </c>
    </row>
    <row r="905">
      <c r="A905" s="9" t="s">
        <v>3509</v>
      </c>
      <c r="B905" s="9" t="s">
        <v>154</v>
      </c>
      <c r="C905" s="9" t="s">
        <v>1467</v>
      </c>
      <c r="D905" s="9" t="s">
        <v>3510</v>
      </c>
      <c r="E905" s="9" t="s">
        <v>1469</v>
      </c>
      <c r="F905" s="9" t="s">
        <v>3511</v>
      </c>
    </row>
    <row r="906">
      <c r="A906" s="9" t="s">
        <v>3513</v>
      </c>
      <c r="B906" s="9" t="s">
        <v>239</v>
      </c>
      <c r="C906" s="9" t="s">
        <v>1467</v>
      </c>
      <c r="D906" s="9" t="s">
        <v>3514</v>
      </c>
      <c r="E906" s="9" t="s">
        <v>1469</v>
      </c>
      <c r="F906" s="9" t="s">
        <v>3515</v>
      </c>
    </row>
    <row r="907">
      <c r="A907" s="9" t="s">
        <v>3516</v>
      </c>
      <c r="B907" s="9" t="s">
        <v>291</v>
      </c>
      <c r="C907" s="9" t="s">
        <v>1467</v>
      </c>
      <c r="D907" s="9" t="s">
        <v>3519</v>
      </c>
      <c r="E907" s="9" t="s">
        <v>1469</v>
      </c>
      <c r="F907" s="9" t="s">
        <v>3520</v>
      </c>
    </row>
    <row r="908">
      <c r="A908" s="9" t="s">
        <v>3522</v>
      </c>
      <c r="B908" s="9" t="s">
        <v>123</v>
      </c>
      <c r="C908" s="9" t="s">
        <v>1467</v>
      </c>
      <c r="D908" s="9" t="s">
        <v>3525</v>
      </c>
      <c r="E908" s="9" t="s">
        <v>1469</v>
      </c>
      <c r="F908" s="9" t="s">
        <v>3527</v>
      </c>
    </row>
    <row r="909">
      <c r="A909" s="9" t="s">
        <v>3528</v>
      </c>
      <c r="B909" s="9" t="s">
        <v>247</v>
      </c>
      <c r="C909" s="9" t="s">
        <v>1467</v>
      </c>
      <c r="D909" s="9" t="s">
        <v>3529</v>
      </c>
      <c r="E909" s="9" t="s">
        <v>1469</v>
      </c>
      <c r="F909" s="9" t="s">
        <v>3530</v>
      </c>
    </row>
    <row r="910">
      <c r="A910" s="9" t="s">
        <v>3531</v>
      </c>
      <c r="B910" s="9" t="s">
        <v>281</v>
      </c>
      <c r="C910" s="9" t="s">
        <v>1467</v>
      </c>
      <c r="D910" s="9" t="s">
        <v>3532</v>
      </c>
      <c r="E910" s="9" t="s">
        <v>1469</v>
      </c>
      <c r="F910" s="9" t="s">
        <v>3533</v>
      </c>
    </row>
    <row r="911">
      <c r="A911" s="9" t="s">
        <v>3534</v>
      </c>
      <c r="B911" s="9" t="s">
        <v>123</v>
      </c>
      <c r="C911" s="9" t="s">
        <v>1467</v>
      </c>
      <c r="D911" s="9" t="s">
        <v>3535</v>
      </c>
      <c r="E911" s="9" t="s">
        <v>1469</v>
      </c>
      <c r="F911" s="9" t="s">
        <v>3536</v>
      </c>
    </row>
    <row r="912">
      <c r="A912" s="9" t="s">
        <v>3537</v>
      </c>
      <c r="B912" s="9" t="s">
        <v>409</v>
      </c>
      <c r="C912" s="9" t="s">
        <v>1467</v>
      </c>
      <c r="D912" s="9" t="s">
        <v>3538</v>
      </c>
      <c r="E912" s="9" t="s">
        <v>1469</v>
      </c>
      <c r="F912" s="9" t="s">
        <v>3539</v>
      </c>
    </row>
    <row r="913">
      <c r="A913" s="9" t="s">
        <v>3540</v>
      </c>
      <c r="B913" s="9" t="s">
        <v>208</v>
      </c>
      <c r="C913" s="9" t="s">
        <v>1467</v>
      </c>
      <c r="D913" s="9" t="s">
        <v>3541</v>
      </c>
      <c r="E913" s="9" t="s">
        <v>1469</v>
      </c>
      <c r="F913" s="9" t="s">
        <v>3542</v>
      </c>
    </row>
    <row r="914">
      <c r="A914" s="9" t="s">
        <v>3543</v>
      </c>
      <c r="B914" s="9" t="s">
        <v>344</v>
      </c>
      <c r="C914" s="9" t="s">
        <v>1467</v>
      </c>
      <c r="D914" s="9" t="s">
        <v>3545</v>
      </c>
      <c r="E914" s="9" t="s">
        <v>1469</v>
      </c>
      <c r="F914" s="9" t="s">
        <v>3546</v>
      </c>
    </row>
    <row r="915">
      <c r="A915" s="9" t="s">
        <v>3547</v>
      </c>
      <c r="B915" s="9" t="s">
        <v>132</v>
      </c>
      <c r="C915" s="9" t="s">
        <v>1467</v>
      </c>
      <c r="D915" s="9" t="s">
        <v>3548</v>
      </c>
      <c r="E915" s="9" t="s">
        <v>1469</v>
      </c>
      <c r="F915" s="9" t="s">
        <v>3549</v>
      </c>
    </row>
    <row r="916">
      <c r="A916" s="9" t="s">
        <v>3550</v>
      </c>
      <c r="B916" s="9" t="s">
        <v>297</v>
      </c>
      <c r="C916" s="9" t="s">
        <v>1467</v>
      </c>
      <c r="D916" s="9" t="s">
        <v>3551</v>
      </c>
      <c r="E916" s="9" t="s">
        <v>1469</v>
      </c>
      <c r="F916" s="9" t="s">
        <v>3552</v>
      </c>
    </row>
    <row r="917">
      <c r="A917" s="9" t="s">
        <v>3553</v>
      </c>
      <c r="B917" s="9" t="s">
        <v>134</v>
      </c>
      <c r="C917" s="9" t="s">
        <v>1467</v>
      </c>
      <c r="D917" s="9" t="s">
        <v>3554</v>
      </c>
      <c r="E917" s="9" t="s">
        <v>1469</v>
      </c>
      <c r="F917" s="9" t="s">
        <v>3555</v>
      </c>
    </row>
    <row r="918">
      <c r="A918" s="9" t="s">
        <v>3556</v>
      </c>
      <c r="B918" s="9" t="s">
        <v>250</v>
      </c>
      <c r="C918" s="9" t="s">
        <v>1467</v>
      </c>
      <c r="D918" s="9" t="s">
        <v>3557</v>
      </c>
      <c r="E918" s="9" t="s">
        <v>1469</v>
      </c>
      <c r="F918" s="9" t="s">
        <v>3558</v>
      </c>
    </row>
    <row r="919">
      <c r="A919" s="9" t="s">
        <v>3559</v>
      </c>
      <c r="B919" s="9" t="s">
        <v>174</v>
      </c>
      <c r="C919" s="9" t="s">
        <v>1467</v>
      </c>
      <c r="D919" s="9" t="s">
        <v>3560</v>
      </c>
      <c r="E919" s="9" t="s">
        <v>1469</v>
      </c>
      <c r="F919" s="9" t="s">
        <v>3561</v>
      </c>
    </row>
    <row r="920">
      <c r="A920" s="9" t="s">
        <v>3562</v>
      </c>
      <c r="B920" s="9" t="s">
        <v>253</v>
      </c>
      <c r="C920" s="9" t="s">
        <v>1467</v>
      </c>
      <c r="D920" s="9" t="s">
        <v>3563</v>
      </c>
      <c r="E920" s="9" t="s">
        <v>1469</v>
      </c>
      <c r="F920" s="9" t="s">
        <v>3564</v>
      </c>
    </row>
    <row r="921">
      <c r="A921" s="9" t="s">
        <v>3565</v>
      </c>
      <c r="B921" s="9" t="s">
        <v>378</v>
      </c>
      <c r="C921" s="9" t="s">
        <v>1467</v>
      </c>
      <c r="D921" s="9" t="s">
        <v>3566</v>
      </c>
      <c r="E921" s="9" t="s">
        <v>1469</v>
      </c>
      <c r="F921" s="9" t="s">
        <v>3567</v>
      </c>
    </row>
    <row r="922">
      <c r="A922" s="9" t="s">
        <v>3568</v>
      </c>
      <c r="B922" s="9" t="s">
        <v>379</v>
      </c>
      <c r="C922" s="9" t="s">
        <v>1467</v>
      </c>
      <c r="D922" s="9" t="s">
        <v>3569</v>
      </c>
      <c r="E922" s="9" t="s">
        <v>1469</v>
      </c>
      <c r="F922" s="9" t="s">
        <v>3570</v>
      </c>
    </row>
    <row r="923">
      <c r="A923" s="9" t="s">
        <v>3571</v>
      </c>
      <c r="B923" s="9" t="s">
        <v>393</v>
      </c>
      <c r="C923" s="9" t="s">
        <v>1467</v>
      </c>
      <c r="D923" s="9" t="s">
        <v>3572</v>
      </c>
      <c r="E923" s="9" t="s">
        <v>1469</v>
      </c>
      <c r="F923" s="9" t="s">
        <v>3573</v>
      </c>
    </row>
    <row r="924">
      <c r="A924" s="9" t="s">
        <v>3574</v>
      </c>
      <c r="B924" s="9" t="s">
        <v>89</v>
      </c>
      <c r="C924" s="9" t="s">
        <v>1467</v>
      </c>
      <c r="D924" s="9" t="s">
        <v>3577</v>
      </c>
      <c r="E924" s="9" t="s">
        <v>1469</v>
      </c>
      <c r="F924" s="9" t="s">
        <v>3579</v>
      </c>
    </row>
    <row r="925">
      <c r="A925" s="9" t="s">
        <v>3580</v>
      </c>
      <c r="B925" s="9" t="s">
        <v>174</v>
      </c>
      <c r="C925" s="9" t="s">
        <v>1467</v>
      </c>
      <c r="D925" s="9" t="s">
        <v>3581</v>
      </c>
      <c r="E925" s="9" t="s">
        <v>1469</v>
      </c>
      <c r="F925" s="9" t="s">
        <v>3582</v>
      </c>
    </row>
    <row r="926">
      <c r="A926" s="9" t="s">
        <v>3583</v>
      </c>
      <c r="B926" s="9" t="s">
        <v>409</v>
      </c>
      <c r="C926" s="9" t="s">
        <v>1467</v>
      </c>
      <c r="D926" s="9" t="s">
        <v>3584</v>
      </c>
      <c r="E926" s="9" t="s">
        <v>1469</v>
      </c>
      <c r="F926" s="9" t="s">
        <v>3585</v>
      </c>
    </row>
    <row r="927">
      <c r="A927" s="9" t="s">
        <v>3586</v>
      </c>
      <c r="B927" s="9" t="s">
        <v>274</v>
      </c>
      <c r="C927" s="9" t="s">
        <v>1467</v>
      </c>
      <c r="D927" s="9" t="s">
        <v>3587</v>
      </c>
      <c r="E927" s="9" t="s">
        <v>1469</v>
      </c>
      <c r="F927" s="9" t="s">
        <v>3588</v>
      </c>
    </row>
    <row r="928">
      <c r="A928" s="9" t="s">
        <v>3589</v>
      </c>
      <c r="B928" s="9" t="s">
        <v>250</v>
      </c>
      <c r="C928" s="9" t="s">
        <v>1467</v>
      </c>
      <c r="D928" s="9" t="s">
        <v>3590</v>
      </c>
      <c r="E928" s="9" t="s">
        <v>1469</v>
      </c>
      <c r="F928" s="9" t="s">
        <v>3591</v>
      </c>
    </row>
    <row r="929">
      <c r="A929" s="9" t="s">
        <v>3592</v>
      </c>
      <c r="B929" s="9" t="s">
        <v>393</v>
      </c>
      <c r="C929" s="9" t="s">
        <v>1467</v>
      </c>
      <c r="D929" s="9" t="s">
        <v>3593</v>
      </c>
      <c r="E929" s="9" t="s">
        <v>1469</v>
      </c>
      <c r="F929" s="9" t="s">
        <v>3594</v>
      </c>
    </row>
    <row r="930">
      <c r="A930" s="9" t="s">
        <v>3595</v>
      </c>
      <c r="B930" s="9" t="s">
        <v>64</v>
      </c>
      <c r="C930" s="9" t="s">
        <v>1467</v>
      </c>
      <c r="D930" s="9" t="s">
        <v>3596</v>
      </c>
      <c r="E930" s="9" t="s">
        <v>1469</v>
      </c>
      <c r="F930" s="9" t="s">
        <v>3598</v>
      </c>
    </row>
    <row r="931">
      <c r="A931" s="9" t="s">
        <v>3599</v>
      </c>
      <c r="B931" s="9" t="s">
        <v>393</v>
      </c>
      <c r="C931" s="9" t="s">
        <v>1467</v>
      </c>
      <c r="D931" s="9" t="s">
        <v>3600</v>
      </c>
      <c r="E931" s="9" t="s">
        <v>1469</v>
      </c>
      <c r="F931" s="9" t="s">
        <v>3601</v>
      </c>
    </row>
    <row r="932">
      <c r="A932" s="9" t="s">
        <v>3602</v>
      </c>
      <c r="B932" s="9" t="s">
        <v>248</v>
      </c>
      <c r="C932" s="9" t="s">
        <v>1467</v>
      </c>
      <c r="D932" s="9" t="s">
        <v>3603</v>
      </c>
      <c r="E932" s="9" t="s">
        <v>1469</v>
      </c>
      <c r="F932" s="9" t="s">
        <v>3604</v>
      </c>
    </row>
    <row r="933">
      <c r="A933" s="9" t="s">
        <v>3605</v>
      </c>
      <c r="B933" s="9" t="s">
        <v>302</v>
      </c>
      <c r="C933" s="9" t="s">
        <v>1467</v>
      </c>
      <c r="D933" s="9" t="s">
        <v>3606</v>
      </c>
      <c r="E933" s="9" t="s">
        <v>1469</v>
      </c>
      <c r="F933" s="9" t="s">
        <v>3607</v>
      </c>
    </row>
    <row r="934">
      <c r="A934" s="9" t="s">
        <v>3608</v>
      </c>
      <c r="B934" s="9" t="s">
        <v>219</v>
      </c>
      <c r="C934" s="9" t="s">
        <v>1467</v>
      </c>
      <c r="D934" s="9" t="s">
        <v>3609</v>
      </c>
      <c r="E934" s="9" t="s">
        <v>1469</v>
      </c>
      <c r="F934" s="9" t="s">
        <v>3610</v>
      </c>
    </row>
    <row r="935">
      <c r="A935" s="9" t="s">
        <v>3611</v>
      </c>
      <c r="B935" s="9" t="s">
        <v>128</v>
      </c>
      <c r="C935" s="9" t="s">
        <v>1467</v>
      </c>
      <c r="D935" s="9" t="s">
        <v>3612</v>
      </c>
      <c r="E935" s="9" t="s">
        <v>1469</v>
      </c>
      <c r="F935" s="9" t="s">
        <v>3613</v>
      </c>
    </row>
    <row r="936">
      <c r="A936" s="9" t="s">
        <v>3614</v>
      </c>
      <c r="B936" s="9" t="s">
        <v>134</v>
      </c>
      <c r="C936" s="9" t="s">
        <v>1467</v>
      </c>
      <c r="D936" s="9" t="s">
        <v>3615</v>
      </c>
      <c r="E936" s="9" t="s">
        <v>1469</v>
      </c>
      <c r="F936" s="9" t="s">
        <v>3616</v>
      </c>
    </row>
    <row r="937">
      <c r="A937" s="9" t="s">
        <v>3617</v>
      </c>
      <c r="B937" s="9" t="s">
        <v>132</v>
      </c>
      <c r="C937" s="9" t="s">
        <v>1467</v>
      </c>
      <c r="D937" s="9" t="s">
        <v>3618</v>
      </c>
      <c r="E937" s="9" t="s">
        <v>1469</v>
      </c>
      <c r="F937" s="9" t="s">
        <v>3619</v>
      </c>
    </row>
    <row r="938">
      <c r="A938" s="9" t="s">
        <v>3620</v>
      </c>
      <c r="B938" s="9" t="s">
        <v>302</v>
      </c>
      <c r="C938" s="9" t="s">
        <v>1467</v>
      </c>
      <c r="D938" s="9" t="s">
        <v>3621</v>
      </c>
      <c r="E938" s="9" t="s">
        <v>1469</v>
      </c>
      <c r="F938" s="9" t="s">
        <v>3622</v>
      </c>
    </row>
    <row r="939">
      <c r="A939" s="9" t="s">
        <v>3623</v>
      </c>
      <c r="B939" s="9" t="s">
        <v>96</v>
      </c>
      <c r="C939" s="9" t="s">
        <v>1467</v>
      </c>
      <c r="D939" s="9" t="s">
        <v>3624</v>
      </c>
      <c r="E939" s="9" t="s">
        <v>1469</v>
      </c>
      <c r="F939" s="9" t="s">
        <v>3625</v>
      </c>
    </row>
    <row r="940">
      <c r="A940" s="9" t="s">
        <v>3626</v>
      </c>
      <c r="B940" s="9" t="s">
        <v>271</v>
      </c>
      <c r="C940" s="9" t="s">
        <v>1467</v>
      </c>
      <c r="D940" s="9" t="s">
        <v>3627</v>
      </c>
      <c r="E940" s="9" t="s">
        <v>1469</v>
      </c>
      <c r="F940" s="9" t="s">
        <v>3628</v>
      </c>
    </row>
    <row r="941">
      <c r="A941" s="9" t="s">
        <v>3629</v>
      </c>
      <c r="B941" s="9" t="s">
        <v>379</v>
      </c>
      <c r="C941" s="9" t="s">
        <v>1467</v>
      </c>
      <c r="D941" s="9" t="s">
        <v>3630</v>
      </c>
      <c r="E941" s="9" t="s">
        <v>1469</v>
      </c>
      <c r="F941" s="9" t="s">
        <v>3631</v>
      </c>
    </row>
    <row r="942">
      <c r="A942" s="9" t="s">
        <v>3632</v>
      </c>
      <c r="B942" s="9" t="s">
        <v>128</v>
      </c>
      <c r="C942" s="9" t="s">
        <v>1467</v>
      </c>
      <c r="D942" s="9" t="s">
        <v>3633</v>
      </c>
      <c r="E942" s="9" t="s">
        <v>1469</v>
      </c>
      <c r="F942" s="9" t="s">
        <v>3634</v>
      </c>
    </row>
    <row r="943">
      <c r="A943" s="9" t="s">
        <v>3635</v>
      </c>
      <c r="B943" s="9" t="s">
        <v>379</v>
      </c>
      <c r="C943" s="9" t="s">
        <v>1467</v>
      </c>
      <c r="D943" s="9" t="s">
        <v>3636</v>
      </c>
      <c r="E943" s="9" t="s">
        <v>1469</v>
      </c>
      <c r="F943" s="9" t="s">
        <v>3637</v>
      </c>
    </row>
    <row r="944">
      <c r="A944" s="9" t="s">
        <v>3638</v>
      </c>
      <c r="B944" s="9" t="s">
        <v>181</v>
      </c>
      <c r="C944" s="9" t="s">
        <v>1467</v>
      </c>
      <c r="D944" s="9" t="s">
        <v>3639</v>
      </c>
      <c r="E944" s="9" t="s">
        <v>1469</v>
      </c>
      <c r="F944" s="9" t="s">
        <v>3640</v>
      </c>
    </row>
    <row r="945">
      <c r="A945" s="9" t="s">
        <v>3641</v>
      </c>
      <c r="B945" s="9" t="s">
        <v>128</v>
      </c>
      <c r="C945" s="9" t="s">
        <v>1467</v>
      </c>
      <c r="D945" s="9" t="s">
        <v>3642</v>
      </c>
      <c r="E945" s="9" t="s">
        <v>1469</v>
      </c>
      <c r="F945" s="9" t="s">
        <v>3643</v>
      </c>
    </row>
    <row r="946">
      <c r="A946" s="9" t="s">
        <v>3644</v>
      </c>
      <c r="B946" s="9" t="s">
        <v>154</v>
      </c>
      <c r="C946" s="9" t="s">
        <v>1467</v>
      </c>
      <c r="D946" s="9" t="s">
        <v>3645</v>
      </c>
      <c r="E946" s="9" t="s">
        <v>1469</v>
      </c>
      <c r="F946" s="9" t="s">
        <v>3646</v>
      </c>
    </row>
    <row r="947">
      <c r="A947" s="9" t="s">
        <v>3647</v>
      </c>
      <c r="B947" s="9" t="s">
        <v>181</v>
      </c>
      <c r="C947" s="9" t="s">
        <v>1467</v>
      </c>
      <c r="D947" s="9" t="s">
        <v>3649</v>
      </c>
      <c r="E947" s="9" t="s">
        <v>1469</v>
      </c>
      <c r="F947" s="9" t="s">
        <v>3650</v>
      </c>
    </row>
    <row r="948">
      <c r="A948" s="9" t="s">
        <v>3651</v>
      </c>
      <c r="B948" s="9" t="s">
        <v>318</v>
      </c>
      <c r="C948" s="9" t="s">
        <v>1467</v>
      </c>
      <c r="D948" s="9" t="s">
        <v>3652</v>
      </c>
      <c r="E948" s="9" t="s">
        <v>1469</v>
      </c>
      <c r="F948" s="9" t="s">
        <v>3653</v>
      </c>
    </row>
    <row r="949">
      <c r="A949" s="9" t="s">
        <v>3654</v>
      </c>
      <c r="B949" s="9" t="s">
        <v>257</v>
      </c>
      <c r="C949" s="9" t="s">
        <v>1467</v>
      </c>
      <c r="D949" s="9" t="s">
        <v>3655</v>
      </c>
      <c r="E949" s="9" t="s">
        <v>1469</v>
      </c>
      <c r="F949" s="9" t="s">
        <v>3656</v>
      </c>
    </row>
    <row r="950">
      <c r="A950" s="9" t="s">
        <v>3657</v>
      </c>
      <c r="B950" s="9" t="s">
        <v>345</v>
      </c>
      <c r="C950" s="9" t="s">
        <v>1467</v>
      </c>
      <c r="D950" s="9" t="s">
        <v>3658</v>
      </c>
      <c r="E950" s="9" t="s">
        <v>1469</v>
      </c>
      <c r="F950" s="9" t="s">
        <v>3659</v>
      </c>
    </row>
    <row r="951">
      <c r="A951" s="9" t="s">
        <v>3660</v>
      </c>
      <c r="B951" s="9" t="s">
        <v>279</v>
      </c>
      <c r="C951" s="9" t="s">
        <v>1467</v>
      </c>
      <c r="D951" s="9" t="s">
        <v>3661</v>
      </c>
      <c r="E951" s="9" t="s">
        <v>1469</v>
      </c>
      <c r="F951" s="9" t="s">
        <v>3662</v>
      </c>
    </row>
    <row r="952">
      <c r="A952" s="9" t="s">
        <v>3663</v>
      </c>
      <c r="B952" s="9" t="s">
        <v>359</v>
      </c>
      <c r="C952" s="9" t="s">
        <v>1467</v>
      </c>
      <c r="D952" s="9" t="s">
        <v>3664</v>
      </c>
      <c r="E952" s="9" t="s">
        <v>1469</v>
      </c>
      <c r="F952" s="9" t="s">
        <v>3665</v>
      </c>
    </row>
    <row r="953">
      <c r="A953" s="9" t="s">
        <v>3666</v>
      </c>
      <c r="B953" s="9" t="s">
        <v>150</v>
      </c>
      <c r="C953" s="9" t="s">
        <v>1467</v>
      </c>
      <c r="D953" s="9" t="s">
        <v>3667</v>
      </c>
      <c r="E953" s="9" t="s">
        <v>1469</v>
      </c>
      <c r="F953" s="9" t="s">
        <v>3668</v>
      </c>
    </row>
    <row r="954">
      <c r="A954" s="9" t="s">
        <v>3669</v>
      </c>
      <c r="B954" s="9" t="s">
        <v>166</v>
      </c>
      <c r="C954" s="9" t="s">
        <v>1467</v>
      </c>
      <c r="D954" s="9" t="s">
        <v>3670</v>
      </c>
      <c r="E954" s="9" t="s">
        <v>1469</v>
      </c>
      <c r="F954" s="9" t="s">
        <v>3671</v>
      </c>
    </row>
    <row r="955">
      <c r="A955" s="9" t="s">
        <v>3672</v>
      </c>
      <c r="B955" s="9" t="s">
        <v>191</v>
      </c>
      <c r="C955" s="9" t="s">
        <v>1467</v>
      </c>
      <c r="D955" s="9" t="s">
        <v>3673</v>
      </c>
      <c r="E955" s="9" t="s">
        <v>1469</v>
      </c>
      <c r="F955" s="9" t="s">
        <v>3674</v>
      </c>
    </row>
    <row r="956">
      <c r="A956" s="9" t="s">
        <v>3675</v>
      </c>
      <c r="B956" s="9" t="s">
        <v>77</v>
      </c>
      <c r="C956" s="9" t="s">
        <v>1467</v>
      </c>
      <c r="D956" s="9" t="s">
        <v>3676</v>
      </c>
      <c r="E956" s="9" t="s">
        <v>1469</v>
      </c>
      <c r="F956" s="9" t="s">
        <v>3677</v>
      </c>
    </row>
    <row r="957">
      <c r="A957" s="9" t="s">
        <v>3678</v>
      </c>
      <c r="B957" s="9" t="s">
        <v>191</v>
      </c>
      <c r="C957" s="9" t="s">
        <v>1467</v>
      </c>
      <c r="D957" s="9" t="s">
        <v>3679</v>
      </c>
      <c r="E957" s="9" t="s">
        <v>1469</v>
      </c>
      <c r="F957" s="9" t="s">
        <v>3680</v>
      </c>
    </row>
    <row r="958">
      <c r="A958" s="9" t="s">
        <v>3681</v>
      </c>
      <c r="B958" s="9" t="s">
        <v>359</v>
      </c>
      <c r="C958" s="9" t="s">
        <v>1467</v>
      </c>
      <c r="D958" s="9" t="s">
        <v>3682</v>
      </c>
      <c r="E958" s="9" t="s">
        <v>1469</v>
      </c>
      <c r="F958" s="9" t="s">
        <v>3683</v>
      </c>
    </row>
    <row r="959">
      <c r="A959" s="9" t="s">
        <v>3684</v>
      </c>
      <c r="B959" s="9" t="s">
        <v>77</v>
      </c>
      <c r="C959" s="9" t="s">
        <v>1467</v>
      </c>
      <c r="D959" s="9" t="s">
        <v>3685</v>
      </c>
      <c r="E959" s="9" t="s">
        <v>1469</v>
      </c>
      <c r="F959" s="9" t="s">
        <v>3686</v>
      </c>
    </row>
    <row r="960">
      <c r="A960" s="9" t="s">
        <v>3687</v>
      </c>
      <c r="B960" s="9" t="s">
        <v>636</v>
      </c>
      <c r="C960" s="9" t="s">
        <v>1467</v>
      </c>
      <c r="D960" s="9" t="s">
        <v>3688</v>
      </c>
      <c r="E960" s="9" t="s">
        <v>1469</v>
      </c>
      <c r="F960" s="9" t="s">
        <v>3689</v>
      </c>
    </row>
    <row r="961">
      <c r="A961" s="9" t="s">
        <v>3690</v>
      </c>
      <c r="B961" s="9" t="s">
        <v>75</v>
      </c>
      <c r="C961" s="9" t="s">
        <v>1467</v>
      </c>
      <c r="D961" s="9" t="s">
        <v>3691</v>
      </c>
      <c r="E961" s="9" t="s">
        <v>1469</v>
      </c>
      <c r="F961" s="9" t="s">
        <v>3692</v>
      </c>
    </row>
    <row r="962">
      <c r="A962" s="9" t="s">
        <v>3693</v>
      </c>
      <c r="B962" s="9" t="s">
        <v>281</v>
      </c>
      <c r="C962" s="9" t="s">
        <v>1467</v>
      </c>
      <c r="D962" s="9" t="s">
        <v>3695</v>
      </c>
      <c r="E962" s="9" t="s">
        <v>1469</v>
      </c>
      <c r="F962" s="9" t="s">
        <v>3696</v>
      </c>
    </row>
    <row r="963">
      <c r="A963" s="9" t="s">
        <v>3697</v>
      </c>
      <c r="B963" s="9" t="s">
        <v>335</v>
      </c>
      <c r="C963" s="9" t="s">
        <v>1467</v>
      </c>
      <c r="D963" s="9" t="s">
        <v>3698</v>
      </c>
      <c r="E963" s="9" t="s">
        <v>1469</v>
      </c>
      <c r="F963" s="9" t="s">
        <v>3699</v>
      </c>
    </row>
    <row r="964">
      <c r="A964" s="9" t="s">
        <v>3700</v>
      </c>
      <c r="B964" s="9" t="s">
        <v>104</v>
      </c>
      <c r="C964" s="9" t="s">
        <v>1467</v>
      </c>
      <c r="D964" s="9" t="s">
        <v>3701</v>
      </c>
      <c r="E964" s="9" t="s">
        <v>1469</v>
      </c>
      <c r="F964" s="9" t="s">
        <v>3704</v>
      </c>
    </row>
    <row r="965">
      <c r="A965" s="9" t="s">
        <v>3706</v>
      </c>
      <c r="B965" s="9" t="s">
        <v>75</v>
      </c>
      <c r="C965" s="9" t="s">
        <v>1467</v>
      </c>
      <c r="D965" s="9" t="s">
        <v>3707</v>
      </c>
      <c r="E965" s="9" t="s">
        <v>1469</v>
      </c>
      <c r="F965" s="9" t="s">
        <v>3708</v>
      </c>
    </row>
    <row r="966">
      <c r="A966" s="9" t="s">
        <v>3709</v>
      </c>
      <c r="B966" s="9" t="s">
        <v>55</v>
      </c>
      <c r="C966" s="9" t="s">
        <v>1467</v>
      </c>
      <c r="D966" s="9" t="s">
        <v>3710</v>
      </c>
      <c r="E966" s="9" t="s">
        <v>1469</v>
      </c>
      <c r="F966" s="9" t="s">
        <v>3711</v>
      </c>
    </row>
    <row r="967">
      <c r="A967" s="9" t="s">
        <v>3712</v>
      </c>
      <c r="B967" s="9" t="s">
        <v>157</v>
      </c>
      <c r="C967" s="9" t="s">
        <v>1467</v>
      </c>
      <c r="D967" s="9" t="s">
        <v>3713</v>
      </c>
      <c r="E967" s="9" t="s">
        <v>1469</v>
      </c>
      <c r="F967" s="9" t="s">
        <v>3714</v>
      </c>
    </row>
    <row r="968">
      <c r="A968" s="9" t="s">
        <v>3715</v>
      </c>
      <c r="B968" s="9" t="s">
        <v>75</v>
      </c>
      <c r="C968" s="9" t="s">
        <v>1467</v>
      </c>
      <c r="D968" s="9" t="s">
        <v>3716</v>
      </c>
      <c r="E968" s="9" t="s">
        <v>1469</v>
      </c>
      <c r="F968" s="9" t="s">
        <v>3717</v>
      </c>
    </row>
    <row r="969">
      <c r="A969" s="9" t="s">
        <v>3718</v>
      </c>
      <c r="B969" s="9" t="s">
        <v>336</v>
      </c>
      <c r="C969" s="9" t="s">
        <v>1467</v>
      </c>
      <c r="D969" s="9" t="s">
        <v>3719</v>
      </c>
      <c r="E969" s="9" t="s">
        <v>1469</v>
      </c>
      <c r="F969" s="9" t="s">
        <v>3720</v>
      </c>
    </row>
    <row r="970">
      <c r="A970" s="9" t="s">
        <v>3721</v>
      </c>
      <c r="B970" s="9" t="s">
        <v>279</v>
      </c>
      <c r="C970" s="9" t="s">
        <v>1467</v>
      </c>
      <c r="D970" s="9" t="s">
        <v>3722</v>
      </c>
      <c r="E970" s="9" t="s">
        <v>1469</v>
      </c>
      <c r="F970" s="9" t="s">
        <v>3723</v>
      </c>
    </row>
    <row r="971">
      <c r="A971" s="9" t="s">
        <v>3724</v>
      </c>
      <c r="B971" s="9" t="s">
        <v>208</v>
      </c>
      <c r="C971" s="9" t="s">
        <v>1467</v>
      </c>
      <c r="D971" s="9" t="s">
        <v>3725</v>
      </c>
      <c r="E971" s="9" t="s">
        <v>1469</v>
      </c>
      <c r="F971" s="9" t="s">
        <v>3726</v>
      </c>
    </row>
    <row r="972">
      <c r="A972" s="9" t="s">
        <v>3727</v>
      </c>
      <c r="B972" s="9" t="s">
        <v>76</v>
      </c>
      <c r="C972" s="9" t="s">
        <v>1467</v>
      </c>
      <c r="D972" s="9" t="s">
        <v>3728</v>
      </c>
      <c r="E972" s="9" t="s">
        <v>1469</v>
      </c>
      <c r="F972" s="9" t="s">
        <v>3729</v>
      </c>
    </row>
    <row r="973">
      <c r="A973" s="9" t="s">
        <v>3730</v>
      </c>
      <c r="B973" s="9" t="s">
        <v>274</v>
      </c>
      <c r="C973" s="9" t="s">
        <v>1467</v>
      </c>
      <c r="D973" s="9" t="s">
        <v>3732</v>
      </c>
      <c r="E973" s="9" t="s">
        <v>1469</v>
      </c>
      <c r="F973" s="9" t="s">
        <v>3733</v>
      </c>
    </row>
    <row r="974">
      <c r="A974" s="9" t="s">
        <v>3735</v>
      </c>
      <c r="B974" s="9" t="s">
        <v>279</v>
      </c>
      <c r="C974" s="9" t="s">
        <v>1467</v>
      </c>
      <c r="D974" s="9" t="s">
        <v>3736</v>
      </c>
      <c r="E974" s="9" t="s">
        <v>1469</v>
      </c>
      <c r="F974" s="9" t="s">
        <v>3737</v>
      </c>
    </row>
    <row r="975">
      <c r="A975" s="9" t="s">
        <v>3738</v>
      </c>
      <c r="B975" s="9" t="s">
        <v>238</v>
      </c>
      <c r="C975" s="9" t="s">
        <v>1467</v>
      </c>
      <c r="D975" s="9" t="s">
        <v>3739</v>
      </c>
      <c r="E975" s="9" t="s">
        <v>1469</v>
      </c>
      <c r="F975" s="9" t="s">
        <v>3740</v>
      </c>
    </row>
    <row r="976">
      <c r="A976" s="9" t="s">
        <v>3741</v>
      </c>
      <c r="B976" s="9" t="s">
        <v>208</v>
      </c>
      <c r="C976" s="9" t="s">
        <v>1467</v>
      </c>
      <c r="D976" s="9" t="s">
        <v>3742</v>
      </c>
      <c r="E976" s="9" t="s">
        <v>1469</v>
      </c>
      <c r="F976" s="9" t="s">
        <v>3744</v>
      </c>
    </row>
    <row r="977">
      <c r="A977" s="9" t="s">
        <v>3745</v>
      </c>
      <c r="B977" s="9" t="s">
        <v>250</v>
      </c>
      <c r="C977" s="9" t="s">
        <v>1467</v>
      </c>
      <c r="D977" s="9" t="s">
        <v>3746</v>
      </c>
      <c r="E977" s="9" t="s">
        <v>1469</v>
      </c>
      <c r="F977" s="9" t="s">
        <v>3747</v>
      </c>
    </row>
    <row r="978">
      <c r="A978" s="9" t="s">
        <v>3748</v>
      </c>
      <c r="B978" s="9" t="s">
        <v>279</v>
      </c>
      <c r="C978" s="9" t="s">
        <v>1467</v>
      </c>
      <c r="D978" s="9" t="s">
        <v>3749</v>
      </c>
      <c r="E978" s="9" t="s">
        <v>1469</v>
      </c>
      <c r="F978" s="9" t="s">
        <v>3750</v>
      </c>
    </row>
    <row r="979">
      <c r="A979" s="9" t="s">
        <v>3751</v>
      </c>
      <c r="B979" s="9" t="s">
        <v>92</v>
      </c>
      <c r="C979" s="9" t="s">
        <v>1467</v>
      </c>
      <c r="D979" s="9" t="s">
        <v>3752</v>
      </c>
      <c r="E979" s="9" t="s">
        <v>1469</v>
      </c>
      <c r="F979" s="9" t="s">
        <v>3753</v>
      </c>
    </row>
    <row r="980">
      <c r="A980" s="9" t="s">
        <v>3754</v>
      </c>
      <c r="B980" s="9" t="s">
        <v>290</v>
      </c>
      <c r="C980" s="9" t="s">
        <v>1467</v>
      </c>
      <c r="D980" s="9" t="s">
        <v>3755</v>
      </c>
      <c r="E980" s="9" t="s">
        <v>1469</v>
      </c>
      <c r="F980" s="9" t="s">
        <v>3756</v>
      </c>
    </row>
    <row r="981">
      <c r="A981" s="9" t="s">
        <v>3757</v>
      </c>
      <c r="B981" s="9" t="s">
        <v>202</v>
      </c>
      <c r="C981" s="9" t="s">
        <v>1467</v>
      </c>
      <c r="D981" s="9" t="s">
        <v>3758</v>
      </c>
      <c r="E981" s="9" t="s">
        <v>1469</v>
      </c>
      <c r="F981" s="9" t="s">
        <v>3759</v>
      </c>
    </row>
    <row r="982">
      <c r="A982" s="9" t="s">
        <v>3760</v>
      </c>
      <c r="B982" s="9" t="s">
        <v>258</v>
      </c>
      <c r="C982" s="9" t="s">
        <v>1467</v>
      </c>
      <c r="D982" s="9" t="s">
        <v>3761</v>
      </c>
      <c r="E982" s="9" t="s">
        <v>1469</v>
      </c>
      <c r="F982" s="9" t="s">
        <v>3762</v>
      </c>
    </row>
    <row r="983">
      <c r="A983" s="9" t="s">
        <v>3763</v>
      </c>
      <c r="B983" s="9" t="s">
        <v>123</v>
      </c>
      <c r="C983" s="9" t="s">
        <v>1467</v>
      </c>
      <c r="D983" s="9" t="s">
        <v>3764</v>
      </c>
      <c r="E983" s="9" t="s">
        <v>1469</v>
      </c>
      <c r="F983" s="9" t="s">
        <v>3765</v>
      </c>
    </row>
    <row r="984">
      <c r="A984" s="9" t="s">
        <v>3766</v>
      </c>
      <c r="B984" s="9" t="s">
        <v>231</v>
      </c>
      <c r="C984" s="9" t="s">
        <v>1467</v>
      </c>
      <c r="D984" s="9" t="s">
        <v>3767</v>
      </c>
      <c r="E984" s="9" t="s">
        <v>1469</v>
      </c>
      <c r="F984" s="9" t="s">
        <v>3768</v>
      </c>
    </row>
    <row r="985">
      <c r="A985" s="9" t="s">
        <v>3769</v>
      </c>
      <c r="B985" s="9" t="s">
        <v>331</v>
      </c>
      <c r="C985" s="9" t="s">
        <v>1467</v>
      </c>
      <c r="D985" s="9" t="s">
        <v>3770</v>
      </c>
      <c r="E985" s="9" t="s">
        <v>1469</v>
      </c>
      <c r="F985" s="9" t="s">
        <v>3771</v>
      </c>
    </row>
    <row r="986">
      <c r="A986" s="9" t="s">
        <v>3772</v>
      </c>
      <c r="B986" s="9" t="s">
        <v>290</v>
      </c>
      <c r="C986" s="9" t="s">
        <v>1467</v>
      </c>
      <c r="D986" s="9" t="s">
        <v>3773</v>
      </c>
      <c r="E986" s="9" t="s">
        <v>1469</v>
      </c>
      <c r="F986" s="9" t="s">
        <v>3774</v>
      </c>
    </row>
    <row r="987">
      <c r="A987" s="9" t="s">
        <v>3775</v>
      </c>
      <c r="B987" s="9" t="s">
        <v>95</v>
      </c>
      <c r="C987" s="9" t="s">
        <v>1467</v>
      </c>
      <c r="D987" s="9" t="s">
        <v>3776</v>
      </c>
      <c r="E987" s="9" t="s">
        <v>1469</v>
      </c>
      <c r="F987" s="9" t="s">
        <v>3777</v>
      </c>
    </row>
    <row r="988">
      <c r="A988" s="9" t="s">
        <v>3778</v>
      </c>
      <c r="B988" s="9" t="s">
        <v>348</v>
      </c>
      <c r="C988" s="9" t="s">
        <v>1467</v>
      </c>
      <c r="D988" s="9" t="s">
        <v>3779</v>
      </c>
      <c r="E988" s="9" t="s">
        <v>1469</v>
      </c>
      <c r="F988" s="9" t="s">
        <v>3780</v>
      </c>
    </row>
    <row r="989">
      <c r="A989" s="9" t="s">
        <v>3781</v>
      </c>
      <c r="B989" s="9" t="s">
        <v>343</v>
      </c>
      <c r="C989" s="9" t="s">
        <v>1467</v>
      </c>
      <c r="D989" s="9" t="s">
        <v>3782</v>
      </c>
      <c r="E989" s="9" t="s">
        <v>1469</v>
      </c>
      <c r="F989" s="9" t="s">
        <v>3783</v>
      </c>
    </row>
    <row r="990">
      <c r="A990" s="9" t="s">
        <v>3784</v>
      </c>
      <c r="B990" s="9" t="s">
        <v>231</v>
      </c>
      <c r="C990" s="9" t="s">
        <v>1467</v>
      </c>
      <c r="D990" s="9" t="s">
        <v>3786</v>
      </c>
      <c r="E990" s="9" t="s">
        <v>1469</v>
      </c>
      <c r="F990" s="9" t="s">
        <v>3787</v>
      </c>
    </row>
    <row r="991">
      <c r="A991" s="9" t="s">
        <v>3788</v>
      </c>
      <c r="B991" s="9" t="s">
        <v>168</v>
      </c>
      <c r="C991" s="9" t="s">
        <v>1467</v>
      </c>
      <c r="D991" s="9" t="s">
        <v>3789</v>
      </c>
      <c r="E991" s="9" t="s">
        <v>1469</v>
      </c>
      <c r="F991" s="9" t="s">
        <v>3790</v>
      </c>
    </row>
    <row r="992">
      <c r="A992" s="9" t="s">
        <v>3791</v>
      </c>
      <c r="B992" s="9" t="s">
        <v>258</v>
      </c>
      <c r="C992" s="9" t="s">
        <v>1467</v>
      </c>
      <c r="D992" s="9" t="s">
        <v>3792</v>
      </c>
      <c r="E992" s="9" t="s">
        <v>1469</v>
      </c>
      <c r="F992" s="9" t="s">
        <v>3793</v>
      </c>
    </row>
    <row r="993">
      <c r="A993" s="9" t="s">
        <v>3794</v>
      </c>
      <c r="B993" s="9" t="s">
        <v>92</v>
      </c>
      <c r="C993" s="9" t="s">
        <v>1467</v>
      </c>
      <c r="D993" s="9" t="s">
        <v>3795</v>
      </c>
      <c r="E993" s="9" t="s">
        <v>1469</v>
      </c>
      <c r="F993" s="9" t="s">
        <v>3796</v>
      </c>
    </row>
    <row r="994">
      <c r="A994" s="9" t="s">
        <v>3797</v>
      </c>
      <c r="B994" s="9" t="s">
        <v>184</v>
      </c>
      <c r="C994" s="9" t="s">
        <v>1467</v>
      </c>
      <c r="D994" s="9" t="s">
        <v>3798</v>
      </c>
      <c r="E994" s="9" t="s">
        <v>1469</v>
      </c>
      <c r="F994" s="9" t="s">
        <v>3799</v>
      </c>
    </row>
    <row r="995">
      <c r="A995" s="9" t="s">
        <v>3800</v>
      </c>
      <c r="B995" s="9" t="s">
        <v>333</v>
      </c>
      <c r="C995" s="9" t="s">
        <v>1467</v>
      </c>
      <c r="D995" s="9" t="s">
        <v>3801</v>
      </c>
      <c r="E995" s="9" t="s">
        <v>1469</v>
      </c>
      <c r="F995" s="9" t="s">
        <v>3802</v>
      </c>
    </row>
    <row r="996">
      <c r="A996" s="9" t="s">
        <v>3803</v>
      </c>
      <c r="B996" s="9" t="s">
        <v>226</v>
      </c>
      <c r="C996" s="9" t="s">
        <v>1467</v>
      </c>
      <c r="D996" s="9" t="s">
        <v>3804</v>
      </c>
      <c r="E996" s="9" t="s">
        <v>1469</v>
      </c>
      <c r="F996" s="9" t="s">
        <v>3805</v>
      </c>
    </row>
    <row r="997">
      <c r="A997" s="9" t="s">
        <v>3806</v>
      </c>
      <c r="B997" s="9" t="s">
        <v>224</v>
      </c>
      <c r="C997" s="9" t="s">
        <v>1467</v>
      </c>
      <c r="D997" s="9" t="s">
        <v>3807</v>
      </c>
      <c r="E997" s="9" t="s">
        <v>1469</v>
      </c>
      <c r="F997" s="9" t="s">
        <v>3808</v>
      </c>
    </row>
    <row r="998">
      <c r="A998" s="9" t="s">
        <v>3809</v>
      </c>
      <c r="B998" s="9" t="s">
        <v>385</v>
      </c>
      <c r="C998" s="9" t="s">
        <v>1467</v>
      </c>
      <c r="D998" s="9" t="s">
        <v>3810</v>
      </c>
      <c r="E998" s="9" t="s">
        <v>1469</v>
      </c>
      <c r="F998" s="9" t="s">
        <v>3811</v>
      </c>
    </row>
    <row r="999">
      <c r="A999" s="9" t="s">
        <v>3812</v>
      </c>
      <c r="B999" s="9" t="s">
        <v>67</v>
      </c>
      <c r="C999" s="9" t="s">
        <v>1467</v>
      </c>
      <c r="D999" s="9" t="s">
        <v>3813</v>
      </c>
      <c r="E999" s="9" t="s">
        <v>1469</v>
      </c>
      <c r="F999" s="9" t="s">
        <v>3814</v>
      </c>
    </row>
    <row r="1000">
      <c r="A1000" s="9" t="s">
        <v>3815</v>
      </c>
      <c r="B1000" s="9" t="s">
        <v>333</v>
      </c>
      <c r="C1000" s="9" t="s">
        <v>1467</v>
      </c>
      <c r="D1000" s="9" t="s">
        <v>3817</v>
      </c>
      <c r="E1000" s="9" t="s">
        <v>1469</v>
      </c>
      <c r="F1000" s="9" t="s">
        <v>3821</v>
      </c>
    </row>
    <row r="1001">
      <c r="A1001" s="9" t="s">
        <v>3823</v>
      </c>
      <c r="B1001" s="9" t="s">
        <v>67</v>
      </c>
      <c r="C1001" s="9" t="s">
        <v>1467</v>
      </c>
      <c r="D1001" s="9" t="s">
        <v>3824</v>
      </c>
      <c r="E1001" s="9" t="s">
        <v>1469</v>
      </c>
      <c r="F1001" s="9" t="s">
        <v>3825</v>
      </c>
    </row>
    <row r="1002">
      <c r="A1002" s="9" t="s">
        <v>3826</v>
      </c>
      <c r="B1002" s="9" t="s">
        <v>297</v>
      </c>
      <c r="C1002" s="9" t="s">
        <v>1467</v>
      </c>
      <c r="D1002" s="9" t="s">
        <v>3827</v>
      </c>
      <c r="E1002" s="9" t="s">
        <v>1469</v>
      </c>
      <c r="F1002" s="9" t="s">
        <v>3828</v>
      </c>
    </row>
    <row r="1003">
      <c r="A1003" s="9" t="s">
        <v>3829</v>
      </c>
      <c r="B1003" s="9" t="s">
        <v>167</v>
      </c>
      <c r="C1003" s="9" t="s">
        <v>1467</v>
      </c>
      <c r="D1003" s="9" t="s">
        <v>3830</v>
      </c>
      <c r="E1003" s="9" t="s">
        <v>1469</v>
      </c>
      <c r="F1003" s="9" t="s">
        <v>3831</v>
      </c>
    </row>
    <row r="1004">
      <c r="A1004" s="9" t="s">
        <v>3832</v>
      </c>
      <c r="B1004" s="9" t="s">
        <v>297</v>
      </c>
      <c r="C1004" s="9" t="s">
        <v>1467</v>
      </c>
      <c r="D1004" s="9" t="s">
        <v>3833</v>
      </c>
      <c r="E1004" s="9" t="s">
        <v>1469</v>
      </c>
      <c r="F1004" s="9" t="s">
        <v>3834</v>
      </c>
    </row>
    <row r="1005">
      <c r="A1005" s="9" t="s">
        <v>3835</v>
      </c>
      <c r="B1005" s="9" t="s">
        <v>167</v>
      </c>
      <c r="C1005" s="9" t="s">
        <v>1467</v>
      </c>
      <c r="D1005" s="9" t="s">
        <v>3836</v>
      </c>
      <c r="E1005" s="9" t="s">
        <v>1469</v>
      </c>
      <c r="F1005" s="9" t="s">
        <v>3837</v>
      </c>
    </row>
    <row r="1006">
      <c r="A1006" s="9" t="s">
        <v>3838</v>
      </c>
      <c r="B1006" s="9" t="s">
        <v>83</v>
      </c>
      <c r="C1006" s="9" t="s">
        <v>1467</v>
      </c>
      <c r="D1006" s="9" t="s">
        <v>3839</v>
      </c>
      <c r="E1006" s="9" t="s">
        <v>1469</v>
      </c>
      <c r="F1006" s="9" t="s">
        <v>3840</v>
      </c>
    </row>
    <row r="1007">
      <c r="A1007" s="9" t="s">
        <v>3841</v>
      </c>
      <c r="B1007" s="9" t="s">
        <v>167</v>
      </c>
      <c r="C1007" s="9" t="s">
        <v>1467</v>
      </c>
      <c r="D1007" s="9" t="s">
        <v>3842</v>
      </c>
      <c r="E1007" s="9" t="s">
        <v>1469</v>
      </c>
      <c r="F1007" s="9" t="s">
        <v>3843</v>
      </c>
    </row>
    <row r="1008">
      <c r="A1008" s="9" t="s">
        <v>3844</v>
      </c>
      <c r="B1008" s="9" t="s">
        <v>83</v>
      </c>
      <c r="C1008" s="9" t="s">
        <v>1467</v>
      </c>
      <c r="D1008" s="9" t="s">
        <v>3845</v>
      </c>
      <c r="E1008" s="9" t="s">
        <v>1469</v>
      </c>
      <c r="F1008" s="9" t="s">
        <v>3846</v>
      </c>
    </row>
    <row r="1009">
      <c r="A1009" s="9" t="s">
        <v>3847</v>
      </c>
      <c r="B1009" s="9" t="s">
        <v>304</v>
      </c>
      <c r="C1009" s="9" t="s">
        <v>1467</v>
      </c>
      <c r="D1009" s="9" t="s">
        <v>3848</v>
      </c>
      <c r="E1009" s="9" t="s">
        <v>1469</v>
      </c>
      <c r="F1009" s="9" t="s">
        <v>3849</v>
      </c>
    </row>
    <row r="1010">
      <c r="A1010" s="9" t="s">
        <v>3850</v>
      </c>
      <c r="B1010" s="9" t="s">
        <v>167</v>
      </c>
      <c r="C1010" s="9" t="s">
        <v>1467</v>
      </c>
      <c r="D1010" s="9" t="s">
        <v>3851</v>
      </c>
      <c r="E1010" s="9" t="s">
        <v>1469</v>
      </c>
      <c r="F1010" s="9" t="s">
        <v>3852</v>
      </c>
    </row>
    <row r="1011">
      <c r="A1011" s="9" t="s">
        <v>3854</v>
      </c>
      <c r="B1011" s="9" t="s">
        <v>336</v>
      </c>
      <c r="C1011" s="9" t="s">
        <v>1467</v>
      </c>
      <c r="D1011" s="9" t="s">
        <v>3855</v>
      </c>
      <c r="E1011" s="9" t="s">
        <v>1469</v>
      </c>
      <c r="F1011" s="9" t="s">
        <v>3856</v>
      </c>
    </row>
    <row r="1012">
      <c r="A1012" s="9" t="s">
        <v>3857</v>
      </c>
      <c r="B1012" s="9" t="s">
        <v>83</v>
      </c>
      <c r="C1012" s="9" t="s">
        <v>1467</v>
      </c>
      <c r="D1012" s="9" t="s">
        <v>3858</v>
      </c>
      <c r="E1012" s="9" t="s">
        <v>1469</v>
      </c>
      <c r="F1012" s="9" t="s">
        <v>3859</v>
      </c>
    </row>
    <row r="1013">
      <c r="A1013" s="9" t="s">
        <v>3860</v>
      </c>
      <c r="B1013" s="9" t="s">
        <v>301</v>
      </c>
      <c r="C1013" s="9" t="s">
        <v>1467</v>
      </c>
      <c r="D1013" s="9" t="s">
        <v>3861</v>
      </c>
      <c r="E1013" s="9" t="s">
        <v>1469</v>
      </c>
      <c r="F1013" s="9" t="s">
        <v>3862</v>
      </c>
    </row>
    <row r="1014">
      <c r="A1014" s="9" t="s">
        <v>3864</v>
      </c>
      <c r="B1014" s="9" t="s">
        <v>231</v>
      </c>
      <c r="C1014" s="9" t="s">
        <v>1467</v>
      </c>
      <c r="D1014" s="9" t="s">
        <v>3865</v>
      </c>
      <c r="E1014" s="9" t="s">
        <v>1469</v>
      </c>
      <c r="F1014" s="9" t="s">
        <v>3866</v>
      </c>
    </row>
    <row r="1015">
      <c r="A1015" s="9" t="s">
        <v>3867</v>
      </c>
      <c r="B1015" s="9" t="s">
        <v>318</v>
      </c>
      <c r="C1015" s="9" t="s">
        <v>1467</v>
      </c>
      <c r="D1015" s="9" t="s">
        <v>3868</v>
      </c>
      <c r="E1015" s="9" t="s">
        <v>1469</v>
      </c>
      <c r="F1015" s="9" t="s">
        <v>3869</v>
      </c>
    </row>
    <row r="1016">
      <c r="A1016" s="9" t="s">
        <v>3870</v>
      </c>
      <c r="B1016" s="9" t="s">
        <v>390</v>
      </c>
      <c r="C1016" s="9" t="s">
        <v>1467</v>
      </c>
      <c r="D1016" s="9" t="s">
        <v>3871</v>
      </c>
      <c r="E1016" s="9" t="s">
        <v>1469</v>
      </c>
      <c r="F1016" s="9" t="s">
        <v>3872</v>
      </c>
    </row>
    <row r="1017">
      <c r="A1017" s="9" t="s">
        <v>3873</v>
      </c>
      <c r="B1017" s="9" t="s">
        <v>280</v>
      </c>
      <c r="C1017" s="9" t="s">
        <v>1467</v>
      </c>
      <c r="D1017" s="9" t="s">
        <v>3874</v>
      </c>
      <c r="E1017" s="9" t="s">
        <v>1469</v>
      </c>
      <c r="F1017" s="9" t="s">
        <v>3875</v>
      </c>
    </row>
    <row r="1018">
      <c r="A1018" s="9" t="s">
        <v>3876</v>
      </c>
      <c r="B1018" s="9" t="s">
        <v>320</v>
      </c>
      <c r="C1018" s="9" t="s">
        <v>1467</v>
      </c>
      <c r="D1018" s="9" t="s">
        <v>3877</v>
      </c>
      <c r="E1018" s="9" t="s">
        <v>1469</v>
      </c>
      <c r="F1018" s="9" t="s">
        <v>3878</v>
      </c>
    </row>
    <row r="1019">
      <c r="A1019" s="9" t="s">
        <v>3879</v>
      </c>
      <c r="B1019" s="9" t="s">
        <v>179</v>
      </c>
      <c r="C1019" s="9" t="s">
        <v>1467</v>
      </c>
      <c r="D1019" s="9" t="s">
        <v>3880</v>
      </c>
      <c r="E1019" s="9" t="s">
        <v>1469</v>
      </c>
      <c r="F1019" s="9" t="s">
        <v>3881</v>
      </c>
    </row>
    <row r="1020">
      <c r="A1020" s="9" t="s">
        <v>3882</v>
      </c>
      <c r="B1020" s="9" t="s">
        <v>278</v>
      </c>
      <c r="C1020" s="9" t="s">
        <v>1467</v>
      </c>
      <c r="D1020" s="9" t="s">
        <v>3883</v>
      </c>
      <c r="E1020" s="9" t="s">
        <v>1469</v>
      </c>
      <c r="F1020" s="9" t="s">
        <v>3884</v>
      </c>
    </row>
    <row r="1021">
      <c r="A1021" s="9" t="s">
        <v>3885</v>
      </c>
      <c r="B1021" s="9" t="s">
        <v>182</v>
      </c>
      <c r="C1021" s="9" t="s">
        <v>1467</v>
      </c>
      <c r="D1021" s="9" t="s">
        <v>3886</v>
      </c>
      <c r="E1021" s="9" t="s">
        <v>1469</v>
      </c>
      <c r="F1021" s="9" t="s">
        <v>3887</v>
      </c>
    </row>
    <row r="1022">
      <c r="A1022" s="9" t="s">
        <v>3888</v>
      </c>
      <c r="B1022" s="9" t="s">
        <v>182</v>
      </c>
      <c r="C1022" s="9" t="s">
        <v>1467</v>
      </c>
      <c r="D1022" s="9" t="s">
        <v>3889</v>
      </c>
      <c r="E1022" s="9" t="s">
        <v>1469</v>
      </c>
      <c r="F1022" s="9" t="s">
        <v>3890</v>
      </c>
    </row>
    <row r="1023">
      <c r="A1023" s="9" t="s">
        <v>3891</v>
      </c>
      <c r="B1023" s="9" t="s">
        <v>75</v>
      </c>
      <c r="C1023" s="9" t="s">
        <v>1467</v>
      </c>
      <c r="D1023" s="9" t="s">
        <v>3892</v>
      </c>
      <c r="E1023" s="9" t="s">
        <v>1469</v>
      </c>
      <c r="F1023" s="9" t="s">
        <v>3893</v>
      </c>
    </row>
    <row r="1024">
      <c r="A1024" s="9" t="s">
        <v>3894</v>
      </c>
      <c r="B1024" s="9" t="s">
        <v>179</v>
      </c>
      <c r="C1024" s="9" t="s">
        <v>1467</v>
      </c>
      <c r="D1024" s="9" t="s">
        <v>3895</v>
      </c>
      <c r="E1024" s="9" t="s">
        <v>1469</v>
      </c>
      <c r="F1024" s="9" t="s">
        <v>3897</v>
      </c>
    </row>
    <row r="1025">
      <c r="A1025" s="9" t="s">
        <v>3898</v>
      </c>
      <c r="B1025" s="9" t="s">
        <v>277</v>
      </c>
      <c r="C1025" s="9" t="s">
        <v>1467</v>
      </c>
      <c r="D1025" s="9" t="s">
        <v>3899</v>
      </c>
      <c r="E1025" s="9" t="s">
        <v>1469</v>
      </c>
      <c r="F1025" s="9" t="s">
        <v>3900</v>
      </c>
    </row>
    <row r="1026">
      <c r="A1026" s="9" t="s">
        <v>3901</v>
      </c>
      <c r="B1026" s="9" t="s">
        <v>75</v>
      </c>
      <c r="C1026" s="9" t="s">
        <v>1467</v>
      </c>
      <c r="D1026" s="9" t="s">
        <v>3902</v>
      </c>
      <c r="E1026" s="9" t="s">
        <v>1469</v>
      </c>
      <c r="F1026" s="9" t="s">
        <v>3903</v>
      </c>
    </row>
    <row r="1027">
      <c r="A1027" s="9" t="s">
        <v>3904</v>
      </c>
      <c r="B1027" s="9" t="s">
        <v>303</v>
      </c>
      <c r="C1027" s="9" t="s">
        <v>1467</v>
      </c>
      <c r="D1027" s="9" t="s">
        <v>3905</v>
      </c>
      <c r="E1027" s="9" t="s">
        <v>1469</v>
      </c>
      <c r="F1027" s="9" t="s">
        <v>3906</v>
      </c>
    </row>
    <row r="1028">
      <c r="A1028" s="9" t="s">
        <v>3907</v>
      </c>
      <c r="B1028" s="9" t="s">
        <v>202</v>
      </c>
      <c r="C1028" s="9" t="s">
        <v>1467</v>
      </c>
      <c r="D1028" s="9" t="s">
        <v>3908</v>
      </c>
      <c r="E1028" s="9" t="s">
        <v>1469</v>
      </c>
      <c r="F1028" s="9" t="s">
        <v>3909</v>
      </c>
    </row>
    <row r="1029">
      <c r="A1029" s="9" t="s">
        <v>3910</v>
      </c>
      <c r="B1029" s="9" t="s">
        <v>215</v>
      </c>
      <c r="C1029" s="9" t="s">
        <v>1467</v>
      </c>
      <c r="D1029" s="9" t="s">
        <v>3912</v>
      </c>
      <c r="E1029" s="9" t="s">
        <v>1469</v>
      </c>
      <c r="F1029" s="9" t="s">
        <v>3913</v>
      </c>
    </row>
    <row r="1030">
      <c r="A1030" s="9" t="s">
        <v>3914</v>
      </c>
      <c r="B1030" s="9" t="s">
        <v>205</v>
      </c>
      <c r="C1030" s="9" t="s">
        <v>1467</v>
      </c>
      <c r="D1030" s="9" t="s">
        <v>3915</v>
      </c>
      <c r="E1030" s="9" t="s">
        <v>1469</v>
      </c>
      <c r="F1030" s="9" t="s">
        <v>3916</v>
      </c>
    </row>
    <row r="1031">
      <c r="A1031" s="9" t="s">
        <v>3917</v>
      </c>
      <c r="B1031" s="9" t="s">
        <v>258</v>
      </c>
      <c r="C1031" s="9" t="s">
        <v>1467</v>
      </c>
      <c r="D1031" s="9" t="s">
        <v>3918</v>
      </c>
      <c r="E1031" s="9" t="s">
        <v>1469</v>
      </c>
      <c r="F1031" s="9" t="s">
        <v>3919</v>
      </c>
    </row>
    <row r="1032">
      <c r="A1032" s="9" t="s">
        <v>3920</v>
      </c>
      <c r="B1032" s="9" t="s">
        <v>376</v>
      </c>
      <c r="C1032" s="9" t="s">
        <v>1467</v>
      </c>
      <c r="D1032" s="9" t="s">
        <v>3921</v>
      </c>
      <c r="E1032" s="9" t="s">
        <v>1469</v>
      </c>
      <c r="F1032" s="9" t="s">
        <v>3922</v>
      </c>
    </row>
    <row r="1033">
      <c r="A1033" s="9" t="s">
        <v>3923</v>
      </c>
      <c r="B1033" s="9" t="s">
        <v>107</v>
      </c>
      <c r="C1033" s="9" t="s">
        <v>1467</v>
      </c>
      <c r="D1033" s="9" t="s">
        <v>3924</v>
      </c>
      <c r="E1033" s="9" t="s">
        <v>1469</v>
      </c>
      <c r="F1033" s="9" t="s">
        <v>3925</v>
      </c>
    </row>
    <row r="1034">
      <c r="A1034" s="9" t="s">
        <v>3926</v>
      </c>
      <c r="B1034" s="9" t="s">
        <v>160</v>
      </c>
      <c r="C1034" s="9" t="s">
        <v>1467</v>
      </c>
      <c r="D1034" s="9" t="s">
        <v>3927</v>
      </c>
      <c r="E1034" s="9" t="s">
        <v>1469</v>
      </c>
      <c r="F1034" s="9" t="s">
        <v>3928</v>
      </c>
    </row>
    <row r="1035">
      <c r="A1035" s="9" t="s">
        <v>3929</v>
      </c>
      <c r="B1035" s="9" t="s">
        <v>256</v>
      </c>
      <c r="C1035" s="9" t="s">
        <v>1467</v>
      </c>
      <c r="D1035" s="9" t="s">
        <v>3930</v>
      </c>
      <c r="E1035" s="9" t="s">
        <v>1469</v>
      </c>
      <c r="F1035" s="9" t="s">
        <v>3931</v>
      </c>
    </row>
    <row r="1036">
      <c r="A1036" s="9" t="s">
        <v>3932</v>
      </c>
      <c r="B1036" s="9" t="s">
        <v>224</v>
      </c>
      <c r="C1036" s="9" t="s">
        <v>1467</v>
      </c>
      <c r="D1036" s="9" t="s">
        <v>3933</v>
      </c>
      <c r="E1036" s="9" t="s">
        <v>1469</v>
      </c>
      <c r="F1036" s="9" t="s">
        <v>3934</v>
      </c>
    </row>
    <row r="1037">
      <c r="A1037" s="9" t="s">
        <v>3935</v>
      </c>
      <c r="B1037" s="9" t="s">
        <v>168</v>
      </c>
      <c r="C1037" s="9" t="s">
        <v>1467</v>
      </c>
      <c r="D1037" s="9" t="s">
        <v>3936</v>
      </c>
      <c r="E1037" s="9" t="s">
        <v>1469</v>
      </c>
      <c r="F1037" s="9" t="s">
        <v>3937</v>
      </c>
    </row>
    <row r="1038">
      <c r="A1038" s="9" t="s">
        <v>3938</v>
      </c>
      <c r="B1038" s="9" t="s">
        <v>93</v>
      </c>
      <c r="C1038" s="9" t="s">
        <v>1467</v>
      </c>
      <c r="D1038" s="9" t="s">
        <v>3939</v>
      </c>
      <c r="E1038" s="9" t="s">
        <v>1469</v>
      </c>
      <c r="F1038" s="9" t="s">
        <v>3940</v>
      </c>
    </row>
    <row r="1039">
      <c r="A1039" s="9" t="s">
        <v>3941</v>
      </c>
      <c r="B1039" s="9" t="s">
        <v>328</v>
      </c>
      <c r="C1039" s="9" t="s">
        <v>1467</v>
      </c>
      <c r="D1039" s="9" t="s">
        <v>3942</v>
      </c>
      <c r="E1039" s="9" t="s">
        <v>1469</v>
      </c>
      <c r="F1039" s="9" t="s">
        <v>3943</v>
      </c>
    </row>
    <row r="1040">
      <c r="A1040" s="9" t="s">
        <v>3947</v>
      </c>
      <c r="B1040" s="9" t="s">
        <v>183</v>
      </c>
      <c r="C1040" s="9" t="s">
        <v>1467</v>
      </c>
      <c r="D1040" s="9" t="s">
        <v>3948</v>
      </c>
      <c r="E1040" s="9" t="s">
        <v>1469</v>
      </c>
      <c r="F1040" s="9" t="s">
        <v>3949</v>
      </c>
    </row>
    <row r="1041">
      <c r="A1041" s="9" t="s">
        <v>3950</v>
      </c>
      <c r="B1041" s="9" t="s">
        <v>333</v>
      </c>
      <c r="C1041" s="9" t="s">
        <v>1467</v>
      </c>
      <c r="D1041" s="9" t="s">
        <v>3951</v>
      </c>
      <c r="E1041" s="9" t="s">
        <v>1469</v>
      </c>
      <c r="F1041" s="9" t="s">
        <v>3952</v>
      </c>
    </row>
    <row r="1042">
      <c r="A1042" s="9" t="s">
        <v>3953</v>
      </c>
      <c r="B1042" s="9" t="s">
        <v>163</v>
      </c>
      <c r="C1042" s="9" t="s">
        <v>1467</v>
      </c>
      <c r="D1042" s="9" t="s">
        <v>3955</v>
      </c>
      <c r="E1042" s="9" t="s">
        <v>1469</v>
      </c>
      <c r="F1042" s="9" t="s">
        <v>3956</v>
      </c>
    </row>
    <row r="1043">
      <c r="A1043" s="9" t="s">
        <v>3957</v>
      </c>
      <c r="B1043" s="9" t="s">
        <v>94</v>
      </c>
      <c r="C1043" s="9" t="s">
        <v>1467</v>
      </c>
      <c r="D1043" s="9" t="s">
        <v>3958</v>
      </c>
      <c r="E1043" s="9" t="s">
        <v>1469</v>
      </c>
      <c r="F1043" s="9" t="s">
        <v>3959</v>
      </c>
    </row>
    <row r="1044">
      <c r="A1044" s="9" t="s">
        <v>3960</v>
      </c>
      <c r="B1044" s="9" t="s">
        <v>18</v>
      </c>
      <c r="C1044" s="9" t="s">
        <v>1467</v>
      </c>
      <c r="D1044" s="9" t="s">
        <v>3961</v>
      </c>
      <c r="E1044" s="9" t="s">
        <v>1469</v>
      </c>
      <c r="F1044" s="9" t="s">
        <v>3962</v>
      </c>
    </row>
    <row r="1045">
      <c r="A1045" s="9" t="s">
        <v>3963</v>
      </c>
      <c r="B1045" s="9" t="s">
        <v>336</v>
      </c>
      <c r="C1045" s="9" t="s">
        <v>1467</v>
      </c>
      <c r="D1045" s="9" t="s">
        <v>3964</v>
      </c>
      <c r="E1045" s="9" t="s">
        <v>1469</v>
      </c>
      <c r="F1045" s="9" t="s">
        <v>3965</v>
      </c>
    </row>
    <row r="1046">
      <c r="A1046" s="9" t="s">
        <v>3966</v>
      </c>
      <c r="B1046" s="9" t="s">
        <v>269</v>
      </c>
      <c r="C1046" s="9" t="s">
        <v>1467</v>
      </c>
      <c r="D1046" s="9" t="s">
        <v>3967</v>
      </c>
      <c r="E1046" s="9" t="s">
        <v>1469</v>
      </c>
      <c r="F1046" s="9" t="s">
        <v>3968</v>
      </c>
    </row>
    <row r="1047">
      <c r="A1047" s="9" t="s">
        <v>3969</v>
      </c>
      <c r="B1047" s="9" t="s">
        <v>368</v>
      </c>
      <c r="C1047" s="9" t="s">
        <v>1467</v>
      </c>
      <c r="D1047" s="9" t="s">
        <v>3970</v>
      </c>
      <c r="E1047" s="9" t="s">
        <v>1469</v>
      </c>
      <c r="F1047" s="9" t="s">
        <v>3971</v>
      </c>
    </row>
    <row r="1048">
      <c r="A1048" s="9" t="s">
        <v>3972</v>
      </c>
      <c r="B1048" s="9" t="s">
        <v>164</v>
      </c>
      <c r="C1048" s="9" t="s">
        <v>1467</v>
      </c>
      <c r="D1048" s="9" t="s">
        <v>3973</v>
      </c>
      <c r="E1048" s="9" t="s">
        <v>1469</v>
      </c>
      <c r="F1048" s="9" t="s">
        <v>3974</v>
      </c>
    </row>
    <row r="1049">
      <c r="A1049" s="9" t="s">
        <v>3975</v>
      </c>
      <c r="B1049" s="9" t="s">
        <v>318</v>
      </c>
      <c r="C1049" s="9" t="s">
        <v>1467</v>
      </c>
      <c r="D1049" s="9" t="s">
        <v>3976</v>
      </c>
      <c r="E1049" s="9" t="s">
        <v>1469</v>
      </c>
      <c r="F1049" s="9" t="s">
        <v>3977</v>
      </c>
    </row>
    <row r="1050">
      <c r="A1050" s="9" t="s">
        <v>3978</v>
      </c>
      <c r="B1050" s="9" t="s">
        <v>276</v>
      </c>
      <c r="C1050" s="9" t="s">
        <v>1467</v>
      </c>
      <c r="D1050" s="9" t="s">
        <v>3979</v>
      </c>
      <c r="E1050" s="9" t="s">
        <v>1469</v>
      </c>
      <c r="F1050" s="9" t="s">
        <v>3980</v>
      </c>
    </row>
    <row r="1051">
      <c r="A1051" s="9" t="s">
        <v>3981</v>
      </c>
      <c r="B1051" s="9" t="s">
        <v>366</v>
      </c>
      <c r="C1051" s="9" t="s">
        <v>1467</v>
      </c>
      <c r="D1051" s="9" t="s">
        <v>3982</v>
      </c>
      <c r="E1051" s="9" t="s">
        <v>1469</v>
      </c>
      <c r="F1051" s="9" t="s">
        <v>3983</v>
      </c>
    </row>
    <row r="1052">
      <c r="A1052" s="9" t="s">
        <v>3984</v>
      </c>
      <c r="B1052" s="9" t="s">
        <v>186</v>
      </c>
      <c r="C1052" s="9" t="s">
        <v>1467</v>
      </c>
      <c r="D1052" s="9" t="s">
        <v>3985</v>
      </c>
      <c r="E1052" s="9" t="s">
        <v>1469</v>
      </c>
      <c r="F1052" s="9" t="s">
        <v>3986</v>
      </c>
    </row>
    <row r="1053">
      <c r="A1053" s="9" t="s">
        <v>3987</v>
      </c>
      <c r="B1053" s="9" t="s">
        <v>347</v>
      </c>
      <c r="C1053" s="9" t="s">
        <v>1467</v>
      </c>
      <c r="D1053" s="9" t="s">
        <v>3988</v>
      </c>
      <c r="E1053" s="9" t="s">
        <v>1469</v>
      </c>
      <c r="F1053" s="9" t="s">
        <v>3989</v>
      </c>
    </row>
    <row r="1054">
      <c r="A1054" s="9" t="s">
        <v>3990</v>
      </c>
      <c r="B1054" s="9" t="s">
        <v>164</v>
      </c>
      <c r="C1054" s="9" t="s">
        <v>1467</v>
      </c>
      <c r="D1054" s="9" t="s">
        <v>3991</v>
      </c>
      <c r="E1054" s="9" t="s">
        <v>1469</v>
      </c>
      <c r="F1054" s="9" t="s">
        <v>3992</v>
      </c>
    </row>
    <row r="1055">
      <c r="A1055" s="9" t="s">
        <v>3993</v>
      </c>
      <c r="B1055" s="9" t="s">
        <v>143</v>
      </c>
      <c r="C1055" s="9" t="s">
        <v>1467</v>
      </c>
      <c r="D1055" s="9" t="s">
        <v>3994</v>
      </c>
      <c r="E1055" s="9" t="s">
        <v>1469</v>
      </c>
      <c r="F1055" s="9" t="s">
        <v>3995</v>
      </c>
    </row>
    <row r="1056">
      <c r="A1056" s="9" t="s">
        <v>3996</v>
      </c>
      <c r="B1056" s="9" t="s">
        <v>320</v>
      </c>
      <c r="C1056" s="9" t="s">
        <v>1467</v>
      </c>
      <c r="D1056" s="9" t="s">
        <v>3997</v>
      </c>
      <c r="E1056" s="9" t="s">
        <v>1469</v>
      </c>
      <c r="F1056" s="9" t="s">
        <v>3998</v>
      </c>
    </row>
    <row r="1057">
      <c r="A1057" s="9" t="s">
        <v>3999</v>
      </c>
      <c r="B1057" s="9" t="s">
        <v>169</v>
      </c>
      <c r="C1057" s="9" t="s">
        <v>1467</v>
      </c>
      <c r="D1057" s="9" t="s">
        <v>4000</v>
      </c>
      <c r="E1057" s="9" t="s">
        <v>1469</v>
      </c>
      <c r="F1057" s="9" t="s">
        <v>4001</v>
      </c>
    </row>
    <row r="1058">
      <c r="A1058" s="9" t="s">
        <v>4002</v>
      </c>
      <c r="B1058" s="9" t="s">
        <v>18</v>
      </c>
      <c r="C1058" s="9" t="s">
        <v>1467</v>
      </c>
      <c r="D1058" s="9" t="s">
        <v>4003</v>
      </c>
      <c r="E1058" s="9" t="s">
        <v>1469</v>
      </c>
      <c r="F1058" s="9" t="s">
        <v>4004</v>
      </c>
    </row>
    <row r="1059">
      <c r="A1059" s="9" t="s">
        <v>4005</v>
      </c>
      <c r="B1059" s="9" t="s">
        <v>174</v>
      </c>
      <c r="C1059" s="9" t="s">
        <v>1467</v>
      </c>
      <c r="D1059" s="9" t="s">
        <v>4006</v>
      </c>
      <c r="E1059" s="9" t="s">
        <v>1469</v>
      </c>
      <c r="F1059" s="9" t="s">
        <v>4007</v>
      </c>
    </row>
    <row r="1060">
      <c r="A1060" s="9" t="s">
        <v>4008</v>
      </c>
      <c r="B1060" s="9" t="s">
        <v>335</v>
      </c>
      <c r="C1060" s="9" t="s">
        <v>1467</v>
      </c>
      <c r="D1060" s="9" t="s">
        <v>4010</v>
      </c>
      <c r="E1060" s="9" t="s">
        <v>1469</v>
      </c>
      <c r="F1060" s="9" t="s">
        <v>4011</v>
      </c>
    </row>
    <row r="1061">
      <c r="A1061" s="9" t="s">
        <v>4012</v>
      </c>
      <c r="B1061" s="9" t="s">
        <v>245</v>
      </c>
      <c r="C1061" s="9" t="s">
        <v>1467</v>
      </c>
      <c r="D1061" s="9" t="s">
        <v>4013</v>
      </c>
      <c r="E1061" s="9" t="s">
        <v>1469</v>
      </c>
      <c r="F1061" s="9" t="s">
        <v>4014</v>
      </c>
    </row>
    <row r="1062">
      <c r="A1062" s="9" t="s">
        <v>4015</v>
      </c>
      <c r="B1062" s="9" t="s">
        <v>323</v>
      </c>
      <c r="C1062" s="9" t="s">
        <v>1467</v>
      </c>
      <c r="D1062" s="9" t="s">
        <v>4016</v>
      </c>
      <c r="E1062" s="9" t="s">
        <v>1469</v>
      </c>
      <c r="F1062" s="9" t="s">
        <v>4017</v>
      </c>
    </row>
    <row r="1063">
      <c r="A1063" s="9" t="s">
        <v>4018</v>
      </c>
      <c r="B1063" s="9" t="s">
        <v>245</v>
      </c>
      <c r="C1063" s="9" t="s">
        <v>1467</v>
      </c>
      <c r="D1063" s="9" t="s">
        <v>4019</v>
      </c>
      <c r="E1063" s="9" t="s">
        <v>1469</v>
      </c>
      <c r="F1063" s="9" t="s">
        <v>4020</v>
      </c>
    </row>
    <row r="1064">
      <c r="A1064" s="9" t="s">
        <v>4021</v>
      </c>
      <c r="B1064" s="9" t="s">
        <v>332</v>
      </c>
      <c r="C1064" s="9" t="s">
        <v>1467</v>
      </c>
      <c r="D1064" s="9" t="s">
        <v>4022</v>
      </c>
      <c r="E1064" s="9" t="s">
        <v>1469</v>
      </c>
      <c r="F1064" s="9" t="s">
        <v>4023</v>
      </c>
    </row>
    <row r="1065">
      <c r="A1065" s="9" t="s">
        <v>4024</v>
      </c>
      <c r="B1065" s="9" t="s">
        <v>323</v>
      </c>
      <c r="C1065" s="9" t="s">
        <v>1467</v>
      </c>
      <c r="D1065" s="9" t="s">
        <v>4025</v>
      </c>
      <c r="E1065" s="9" t="s">
        <v>1469</v>
      </c>
      <c r="F1065" s="9" t="s">
        <v>4026</v>
      </c>
    </row>
    <row r="1066">
      <c r="A1066" s="9" t="s">
        <v>4027</v>
      </c>
      <c r="B1066" s="9" t="s">
        <v>266</v>
      </c>
      <c r="C1066" s="9" t="s">
        <v>1467</v>
      </c>
      <c r="D1066" s="9" t="s">
        <v>4028</v>
      </c>
      <c r="E1066" s="9" t="s">
        <v>1469</v>
      </c>
      <c r="F1066" s="9" t="s">
        <v>4029</v>
      </c>
    </row>
    <row r="1067">
      <c r="A1067" s="9" t="s">
        <v>4030</v>
      </c>
      <c r="B1067" s="9" t="s">
        <v>355</v>
      </c>
      <c r="C1067" s="9" t="s">
        <v>1467</v>
      </c>
      <c r="D1067" s="9" t="s">
        <v>4031</v>
      </c>
      <c r="E1067" s="9" t="s">
        <v>1469</v>
      </c>
      <c r="F1067" s="9" t="s">
        <v>4032</v>
      </c>
    </row>
    <row r="1068">
      <c r="A1068" s="9" t="s">
        <v>4033</v>
      </c>
      <c r="B1068" s="9" t="s">
        <v>287</v>
      </c>
      <c r="C1068" s="9" t="s">
        <v>1467</v>
      </c>
      <c r="D1068" s="9" t="s">
        <v>4034</v>
      </c>
      <c r="E1068" s="9" t="s">
        <v>1469</v>
      </c>
      <c r="F1068" s="9" t="s">
        <v>4035</v>
      </c>
    </row>
    <row r="1069">
      <c r="A1069" s="9" t="s">
        <v>4036</v>
      </c>
      <c r="B1069" s="9" t="s">
        <v>368</v>
      </c>
      <c r="C1069" s="9" t="s">
        <v>1467</v>
      </c>
      <c r="D1069" s="9" t="s">
        <v>4037</v>
      </c>
      <c r="E1069" s="9" t="s">
        <v>1469</v>
      </c>
      <c r="F1069" s="9" t="s">
        <v>4038</v>
      </c>
    </row>
    <row r="1070">
      <c r="A1070" s="9" t="s">
        <v>4039</v>
      </c>
      <c r="B1070" s="9" t="s">
        <v>167</v>
      </c>
      <c r="C1070" s="9" t="s">
        <v>1467</v>
      </c>
      <c r="D1070" s="9" t="s">
        <v>4040</v>
      </c>
      <c r="E1070" s="9" t="s">
        <v>1469</v>
      </c>
      <c r="F1070" s="9" t="s">
        <v>4041</v>
      </c>
    </row>
    <row r="1071">
      <c r="A1071" s="9" t="s">
        <v>4042</v>
      </c>
      <c r="B1071" s="9" t="s">
        <v>350</v>
      </c>
      <c r="C1071" s="9" t="s">
        <v>1467</v>
      </c>
      <c r="D1071" s="9" t="s">
        <v>4043</v>
      </c>
      <c r="E1071" s="9" t="s">
        <v>1469</v>
      </c>
      <c r="F1071" s="9" t="s">
        <v>4044</v>
      </c>
    </row>
    <row r="1072">
      <c r="A1072" s="9" t="s">
        <v>4045</v>
      </c>
      <c r="B1072" s="9" t="s">
        <v>174</v>
      </c>
      <c r="C1072" s="9" t="s">
        <v>1467</v>
      </c>
      <c r="D1072" s="9" t="s">
        <v>4046</v>
      </c>
      <c r="E1072" s="9" t="s">
        <v>1469</v>
      </c>
      <c r="F1072" s="9" t="s">
        <v>4047</v>
      </c>
    </row>
    <row r="1073">
      <c r="A1073" s="9" t="s">
        <v>4048</v>
      </c>
      <c r="B1073" s="9" t="s">
        <v>328</v>
      </c>
      <c r="C1073" s="9" t="s">
        <v>1467</v>
      </c>
      <c r="D1073" s="9" t="s">
        <v>4049</v>
      </c>
      <c r="E1073" s="9" t="s">
        <v>1469</v>
      </c>
      <c r="F1073" s="9" t="s">
        <v>4050</v>
      </c>
    </row>
    <row r="1074">
      <c r="A1074" s="9" t="s">
        <v>4051</v>
      </c>
      <c r="B1074" s="9" t="s">
        <v>631</v>
      </c>
      <c r="C1074" s="9" t="s">
        <v>1467</v>
      </c>
      <c r="D1074" s="9" t="s">
        <v>4052</v>
      </c>
      <c r="E1074" s="9" t="s">
        <v>1469</v>
      </c>
      <c r="F1074" s="9" t="s">
        <v>4054</v>
      </c>
    </row>
    <row r="1075">
      <c r="A1075" s="9" t="s">
        <v>4055</v>
      </c>
      <c r="B1075" s="9" t="s">
        <v>631</v>
      </c>
      <c r="C1075" s="9" t="s">
        <v>1467</v>
      </c>
      <c r="D1075" s="9" t="s">
        <v>4056</v>
      </c>
      <c r="E1075" s="9" t="s">
        <v>1469</v>
      </c>
      <c r="F1075" s="9" t="s">
        <v>4057</v>
      </c>
    </row>
    <row r="1076">
      <c r="A1076" s="9" t="s">
        <v>4058</v>
      </c>
      <c r="B1076" s="9" t="s">
        <v>84</v>
      </c>
      <c r="C1076" s="9" t="s">
        <v>1467</v>
      </c>
      <c r="D1076" s="9" t="s">
        <v>4059</v>
      </c>
      <c r="E1076" s="9" t="s">
        <v>1469</v>
      </c>
      <c r="F1076" s="9" t="s">
        <v>4060</v>
      </c>
    </row>
    <row r="1077">
      <c r="A1077" s="9" t="s">
        <v>4061</v>
      </c>
      <c r="B1077" s="9" t="s">
        <v>303</v>
      </c>
      <c r="C1077" s="9" t="s">
        <v>1467</v>
      </c>
      <c r="D1077" s="9" t="s">
        <v>4062</v>
      </c>
      <c r="E1077" s="9" t="s">
        <v>1469</v>
      </c>
      <c r="F1077" s="9" t="s">
        <v>4063</v>
      </c>
    </row>
    <row r="1078">
      <c r="A1078" s="9" t="s">
        <v>4064</v>
      </c>
      <c r="B1078" s="9" t="s">
        <v>245</v>
      </c>
      <c r="C1078" s="9" t="s">
        <v>1467</v>
      </c>
      <c r="D1078" s="9" t="s">
        <v>4065</v>
      </c>
      <c r="E1078" s="9" t="s">
        <v>1469</v>
      </c>
      <c r="F1078" s="9" t="s">
        <v>4066</v>
      </c>
    </row>
    <row r="1079">
      <c r="A1079" s="9" t="s">
        <v>4067</v>
      </c>
      <c r="B1079" s="9" t="s">
        <v>359</v>
      </c>
      <c r="C1079" s="9" t="s">
        <v>1467</v>
      </c>
      <c r="D1079" s="9" t="s">
        <v>4068</v>
      </c>
      <c r="E1079" s="9" t="s">
        <v>1469</v>
      </c>
      <c r="F1079" s="9" t="s">
        <v>4069</v>
      </c>
    </row>
    <row r="1080">
      <c r="A1080" s="9" t="s">
        <v>4070</v>
      </c>
      <c r="B1080" s="9" t="s">
        <v>198</v>
      </c>
      <c r="C1080" s="9" t="s">
        <v>1467</v>
      </c>
      <c r="D1080" s="9" t="s">
        <v>4071</v>
      </c>
      <c r="E1080" s="9" t="s">
        <v>1469</v>
      </c>
      <c r="F1080" s="9" t="s">
        <v>4072</v>
      </c>
    </row>
    <row r="1081">
      <c r="A1081" s="9" t="s">
        <v>4073</v>
      </c>
      <c r="B1081" s="9" t="s">
        <v>354</v>
      </c>
      <c r="C1081" s="9" t="s">
        <v>1467</v>
      </c>
      <c r="D1081" s="9" t="s">
        <v>4074</v>
      </c>
      <c r="E1081" s="9" t="s">
        <v>1469</v>
      </c>
      <c r="F1081" s="9" t="s">
        <v>4075</v>
      </c>
    </row>
    <row r="1082">
      <c r="A1082" s="9" t="s">
        <v>4076</v>
      </c>
      <c r="B1082" s="9" t="s">
        <v>64</v>
      </c>
      <c r="C1082" s="9" t="s">
        <v>1467</v>
      </c>
      <c r="D1082" s="9" t="s">
        <v>4077</v>
      </c>
      <c r="E1082" s="9" t="s">
        <v>1469</v>
      </c>
      <c r="F1082" s="9" t="s">
        <v>4078</v>
      </c>
    </row>
    <row r="1083">
      <c r="A1083" s="9" t="s">
        <v>4079</v>
      </c>
      <c r="B1083" s="9" t="s">
        <v>114</v>
      </c>
      <c r="C1083" s="9" t="s">
        <v>1467</v>
      </c>
      <c r="D1083" s="9" t="s">
        <v>4080</v>
      </c>
      <c r="E1083" s="9" t="s">
        <v>1469</v>
      </c>
      <c r="F1083" s="9" t="s">
        <v>4081</v>
      </c>
    </row>
    <row r="1084">
      <c r="A1084" s="9" t="s">
        <v>4082</v>
      </c>
      <c r="B1084" s="9" t="s">
        <v>245</v>
      </c>
      <c r="C1084" s="9" t="s">
        <v>1467</v>
      </c>
      <c r="D1084" s="9" t="s">
        <v>4083</v>
      </c>
      <c r="E1084" s="9" t="s">
        <v>1469</v>
      </c>
      <c r="F1084" s="9" t="s">
        <v>4085</v>
      </c>
    </row>
    <row r="1085">
      <c r="A1085" s="9" t="s">
        <v>4086</v>
      </c>
      <c r="B1085" s="9" t="s">
        <v>254</v>
      </c>
      <c r="C1085" s="9" t="s">
        <v>1467</v>
      </c>
      <c r="D1085" s="9" t="s">
        <v>4089</v>
      </c>
      <c r="E1085" s="9" t="s">
        <v>1469</v>
      </c>
      <c r="F1085" s="9" t="s">
        <v>4091</v>
      </c>
    </row>
    <row r="1086">
      <c r="A1086" s="9" t="s">
        <v>4092</v>
      </c>
      <c r="B1086" s="9" t="s">
        <v>256</v>
      </c>
      <c r="C1086" s="9" t="s">
        <v>1467</v>
      </c>
      <c r="D1086" s="9" t="s">
        <v>4093</v>
      </c>
      <c r="E1086" s="9" t="s">
        <v>1469</v>
      </c>
      <c r="F1086" s="9" t="s">
        <v>4094</v>
      </c>
    </row>
    <row r="1087">
      <c r="A1087" s="9" t="s">
        <v>4095</v>
      </c>
      <c r="B1087" s="9" t="s">
        <v>166</v>
      </c>
      <c r="C1087" s="9" t="s">
        <v>1467</v>
      </c>
      <c r="D1087" s="9" t="s">
        <v>4096</v>
      </c>
      <c r="E1087" s="9" t="s">
        <v>1469</v>
      </c>
      <c r="F1087" s="9" t="s">
        <v>4097</v>
      </c>
    </row>
    <row r="1088">
      <c r="A1088" s="9" t="s">
        <v>4098</v>
      </c>
      <c r="B1088" s="9" t="s">
        <v>205</v>
      </c>
      <c r="C1088" s="9" t="s">
        <v>1467</v>
      </c>
      <c r="D1088" s="9" t="s">
        <v>4100</v>
      </c>
      <c r="E1088" s="9" t="s">
        <v>1469</v>
      </c>
      <c r="F1088" s="9" t="s">
        <v>4101</v>
      </c>
    </row>
    <row r="1089">
      <c r="A1089" s="9" t="s">
        <v>4102</v>
      </c>
      <c r="B1089" s="9" t="s">
        <v>198</v>
      </c>
      <c r="C1089" s="9" t="s">
        <v>1467</v>
      </c>
      <c r="D1089" s="9" t="s">
        <v>4103</v>
      </c>
      <c r="E1089" s="9" t="s">
        <v>1469</v>
      </c>
      <c r="F1089" s="9" t="s">
        <v>4104</v>
      </c>
    </row>
    <row r="1090">
      <c r="A1090" s="9" t="s">
        <v>4105</v>
      </c>
      <c r="B1090" s="9" t="s">
        <v>366</v>
      </c>
      <c r="C1090" s="9" t="s">
        <v>1467</v>
      </c>
      <c r="D1090" s="9" t="s">
        <v>4106</v>
      </c>
      <c r="E1090" s="9" t="s">
        <v>1469</v>
      </c>
      <c r="F1090" s="9" t="s">
        <v>4107</v>
      </c>
    </row>
    <row r="1091">
      <c r="A1091" s="9" t="s">
        <v>4108</v>
      </c>
      <c r="B1091" s="9" t="s">
        <v>332</v>
      </c>
      <c r="C1091" s="9" t="s">
        <v>1467</v>
      </c>
      <c r="D1091" s="9" t="s">
        <v>4109</v>
      </c>
      <c r="E1091" s="9" t="s">
        <v>1469</v>
      </c>
      <c r="F1091" s="9" t="s">
        <v>4110</v>
      </c>
    </row>
    <row r="1092">
      <c r="A1092" s="9" t="s">
        <v>4111</v>
      </c>
      <c r="B1092" s="9" t="s">
        <v>294</v>
      </c>
      <c r="C1092" s="9" t="s">
        <v>1467</v>
      </c>
      <c r="D1092" s="9" t="s">
        <v>4112</v>
      </c>
      <c r="E1092" s="9" t="s">
        <v>1469</v>
      </c>
      <c r="F1092" s="9" t="s">
        <v>4113</v>
      </c>
    </row>
    <row r="1093">
      <c r="A1093" s="9" t="s">
        <v>4114</v>
      </c>
      <c r="B1093" s="9" t="s">
        <v>401</v>
      </c>
      <c r="C1093" s="9" t="s">
        <v>1467</v>
      </c>
      <c r="D1093" s="9" t="s">
        <v>4115</v>
      </c>
      <c r="E1093" s="9" t="s">
        <v>1469</v>
      </c>
      <c r="F1093" s="9" t="s">
        <v>4116</v>
      </c>
    </row>
    <row r="1094">
      <c r="A1094" s="9" t="s">
        <v>4117</v>
      </c>
      <c r="B1094" s="9" t="s">
        <v>218</v>
      </c>
      <c r="C1094" s="9" t="s">
        <v>1467</v>
      </c>
      <c r="D1094" s="9" t="s">
        <v>4118</v>
      </c>
      <c r="E1094" s="9" t="s">
        <v>1469</v>
      </c>
      <c r="F1094" s="9" t="s">
        <v>4119</v>
      </c>
    </row>
    <row r="1095">
      <c r="A1095" s="9" t="s">
        <v>4120</v>
      </c>
      <c r="B1095" s="9" t="s">
        <v>254</v>
      </c>
      <c r="C1095" s="9" t="s">
        <v>1467</v>
      </c>
      <c r="D1095" s="9" t="s">
        <v>4121</v>
      </c>
      <c r="E1095" s="9" t="s">
        <v>1469</v>
      </c>
      <c r="F1095" s="9" t="s">
        <v>4122</v>
      </c>
    </row>
    <row r="1096">
      <c r="A1096" s="9" t="s">
        <v>4123</v>
      </c>
      <c r="B1096" s="9" t="s">
        <v>218</v>
      </c>
      <c r="C1096" s="9" t="s">
        <v>1467</v>
      </c>
      <c r="D1096" s="9" t="s">
        <v>4124</v>
      </c>
      <c r="E1096" s="9" t="s">
        <v>1469</v>
      </c>
      <c r="F1096" s="9" t="s">
        <v>4125</v>
      </c>
    </row>
    <row r="1097">
      <c r="A1097" s="9" t="s">
        <v>4126</v>
      </c>
      <c r="B1097" s="9" t="s">
        <v>239</v>
      </c>
      <c r="C1097" s="9" t="s">
        <v>1467</v>
      </c>
      <c r="D1097" s="9" t="s">
        <v>4127</v>
      </c>
      <c r="E1097" s="9" t="s">
        <v>1469</v>
      </c>
      <c r="F1097" s="9" t="s">
        <v>4128</v>
      </c>
    </row>
    <row r="1098">
      <c r="A1098" s="9" t="s">
        <v>4129</v>
      </c>
      <c r="B1098" s="9" t="s">
        <v>326</v>
      </c>
      <c r="C1098" s="9" t="s">
        <v>1467</v>
      </c>
      <c r="D1098" s="9" t="s">
        <v>4130</v>
      </c>
      <c r="E1098" s="9" t="s">
        <v>1469</v>
      </c>
      <c r="F1098" s="9" t="s">
        <v>4131</v>
      </c>
    </row>
    <row r="1099">
      <c r="A1099" s="9" t="s">
        <v>4132</v>
      </c>
      <c r="B1099" s="9" t="s">
        <v>235</v>
      </c>
      <c r="C1099" s="9" t="s">
        <v>1467</v>
      </c>
      <c r="D1099" s="9" t="s">
        <v>4133</v>
      </c>
      <c r="E1099" s="9" t="s">
        <v>1469</v>
      </c>
      <c r="F1099" s="9" t="s">
        <v>4134</v>
      </c>
    </row>
    <row r="1100">
      <c r="A1100" s="9" t="s">
        <v>4135</v>
      </c>
      <c r="B1100" s="9" t="s">
        <v>84</v>
      </c>
      <c r="C1100" s="9" t="s">
        <v>1467</v>
      </c>
      <c r="D1100" s="9" t="s">
        <v>4136</v>
      </c>
      <c r="E1100" s="9" t="s">
        <v>1469</v>
      </c>
      <c r="F1100" s="9" t="s">
        <v>4137</v>
      </c>
    </row>
    <row r="1101">
      <c r="A1101" s="9" t="s">
        <v>4138</v>
      </c>
      <c r="B1101" s="9" t="s">
        <v>294</v>
      </c>
      <c r="C1101" s="9" t="s">
        <v>1467</v>
      </c>
      <c r="D1101" s="9" t="s">
        <v>4139</v>
      </c>
      <c r="E1101" s="9" t="s">
        <v>1469</v>
      </c>
      <c r="F1101" s="9" t="s">
        <v>4140</v>
      </c>
    </row>
    <row r="1102">
      <c r="A1102" s="9" t="s">
        <v>4141</v>
      </c>
      <c r="B1102" s="9" t="s">
        <v>337</v>
      </c>
      <c r="C1102" s="9" t="s">
        <v>1467</v>
      </c>
      <c r="D1102" s="9" t="s">
        <v>4142</v>
      </c>
      <c r="E1102" s="9" t="s">
        <v>1469</v>
      </c>
      <c r="F1102" s="9" t="s">
        <v>4143</v>
      </c>
    </row>
    <row r="1103">
      <c r="A1103" s="9" t="s">
        <v>4144</v>
      </c>
      <c r="B1103" s="9" t="s">
        <v>350</v>
      </c>
      <c r="C1103" s="9" t="s">
        <v>1467</v>
      </c>
      <c r="D1103" s="9" t="s">
        <v>4145</v>
      </c>
      <c r="E1103" s="9" t="s">
        <v>1469</v>
      </c>
      <c r="F1103" s="9" t="s">
        <v>4146</v>
      </c>
    </row>
    <row r="1104">
      <c r="A1104" s="9" t="s">
        <v>4147</v>
      </c>
      <c r="B1104" s="9" t="s">
        <v>94</v>
      </c>
      <c r="C1104" s="9" t="s">
        <v>1467</v>
      </c>
      <c r="D1104" s="9" t="s">
        <v>4148</v>
      </c>
      <c r="E1104" s="9" t="s">
        <v>1469</v>
      </c>
      <c r="F1104" s="9" t="s">
        <v>4149</v>
      </c>
    </row>
    <row r="1105">
      <c r="A1105" s="9" t="s">
        <v>4150</v>
      </c>
      <c r="B1105" s="9" t="s">
        <v>55</v>
      </c>
      <c r="C1105" s="9" t="s">
        <v>1467</v>
      </c>
      <c r="D1105" s="9" t="s">
        <v>4151</v>
      </c>
      <c r="E1105" s="9" t="s">
        <v>1469</v>
      </c>
      <c r="F1105" s="9" t="s">
        <v>4152</v>
      </c>
    </row>
    <row r="1106">
      <c r="A1106" s="9" t="s">
        <v>4153</v>
      </c>
      <c r="B1106" s="9" t="s">
        <v>161</v>
      </c>
      <c r="C1106" s="9" t="s">
        <v>1467</v>
      </c>
      <c r="D1106" s="9" t="s">
        <v>4155</v>
      </c>
      <c r="E1106" s="9" t="s">
        <v>1469</v>
      </c>
      <c r="F1106" s="9" t="s">
        <v>4156</v>
      </c>
    </row>
    <row r="1107">
      <c r="A1107" s="9" t="s">
        <v>4157</v>
      </c>
      <c r="B1107" s="9" t="s">
        <v>235</v>
      </c>
      <c r="C1107" s="9" t="s">
        <v>1467</v>
      </c>
      <c r="D1107" s="9" t="s">
        <v>4158</v>
      </c>
      <c r="E1107" s="9" t="s">
        <v>1469</v>
      </c>
      <c r="F1107" s="9" t="s">
        <v>4159</v>
      </c>
    </row>
    <row r="1108">
      <c r="A1108" s="9" t="s">
        <v>4160</v>
      </c>
      <c r="B1108" s="9" t="s">
        <v>288</v>
      </c>
      <c r="C1108" s="9" t="s">
        <v>1467</v>
      </c>
      <c r="D1108" s="9" t="s">
        <v>4161</v>
      </c>
      <c r="E1108" s="9" t="s">
        <v>1469</v>
      </c>
      <c r="F1108" s="9" t="s">
        <v>4162</v>
      </c>
    </row>
    <row r="1109">
      <c r="A1109" s="9" t="s">
        <v>4163</v>
      </c>
      <c r="B1109" s="9" t="s">
        <v>214</v>
      </c>
      <c r="C1109" s="9" t="s">
        <v>1467</v>
      </c>
      <c r="D1109" s="9" t="s">
        <v>4164</v>
      </c>
      <c r="E1109" s="9" t="s">
        <v>1469</v>
      </c>
      <c r="F1109" s="9" t="s">
        <v>4165</v>
      </c>
    </row>
    <row r="1110">
      <c r="A1110" s="9" t="s">
        <v>4166</v>
      </c>
      <c r="B1110" s="9" t="s">
        <v>409</v>
      </c>
      <c r="C1110" s="9" t="s">
        <v>1467</v>
      </c>
      <c r="D1110" s="9" t="s">
        <v>4167</v>
      </c>
      <c r="E1110" s="9" t="s">
        <v>1469</v>
      </c>
      <c r="F1110" s="9" t="s">
        <v>4168</v>
      </c>
    </row>
    <row r="1111">
      <c r="A1111" s="9" t="s">
        <v>4169</v>
      </c>
      <c r="B1111" s="9" t="s">
        <v>306</v>
      </c>
      <c r="C1111" s="9" t="s">
        <v>1467</v>
      </c>
      <c r="D1111" s="9" t="s">
        <v>4170</v>
      </c>
      <c r="E1111" s="9" t="s">
        <v>1469</v>
      </c>
      <c r="F1111" s="9" t="s">
        <v>4171</v>
      </c>
    </row>
    <row r="1112">
      <c r="A1112" s="9" t="s">
        <v>4172</v>
      </c>
      <c r="B1112" s="9" t="s">
        <v>368</v>
      </c>
      <c r="C1112" s="9" t="s">
        <v>1467</v>
      </c>
      <c r="D1112" s="9" t="s">
        <v>4173</v>
      </c>
      <c r="E1112" s="9" t="s">
        <v>1469</v>
      </c>
      <c r="F1112" s="9" t="s">
        <v>4174</v>
      </c>
    </row>
    <row r="1113">
      <c r="A1113" s="9" t="s">
        <v>4175</v>
      </c>
      <c r="B1113" s="9" t="s">
        <v>394</v>
      </c>
      <c r="C1113" s="9" t="s">
        <v>1467</v>
      </c>
      <c r="D1113" s="9" t="s">
        <v>4176</v>
      </c>
      <c r="E1113" s="9" t="s">
        <v>1469</v>
      </c>
      <c r="F1113" s="9" t="s">
        <v>4177</v>
      </c>
    </row>
    <row r="1114">
      <c r="A1114" s="9" t="s">
        <v>4178</v>
      </c>
      <c r="B1114" s="9" t="s">
        <v>214</v>
      </c>
      <c r="C1114" s="9" t="s">
        <v>1467</v>
      </c>
      <c r="D1114" s="9" t="s">
        <v>4179</v>
      </c>
      <c r="E1114" s="9" t="s">
        <v>1469</v>
      </c>
      <c r="F1114" s="9" t="s">
        <v>4180</v>
      </c>
    </row>
    <row r="1115">
      <c r="A1115" s="9" t="s">
        <v>4181</v>
      </c>
      <c r="B1115" s="9" t="s">
        <v>226</v>
      </c>
      <c r="C1115" s="9" t="s">
        <v>1467</v>
      </c>
      <c r="D1115" s="9" t="s">
        <v>4182</v>
      </c>
      <c r="E1115" s="9" t="s">
        <v>1469</v>
      </c>
      <c r="F1115" s="9" t="s">
        <v>4183</v>
      </c>
    </row>
    <row r="1116">
      <c r="A1116" s="9" t="s">
        <v>4184</v>
      </c>
      <c r="B1116" s="9" t="s">
        <v>349</v>
      </c>
      <c r="C1116" s="9" t="s">
        <v>1467</v>
      </c>
      <c r="D1116" s="9" t="s">
        <v>4185</v>
      </c>
      <c r="E1116" s="9" t="s">
        <v>1469</v>
      </c>
      <c r="F1116" s="9" t="s">
        <v>4186</v>
      </c>
    </row>
    <row r="1117">
      <c r="A1117" s="9" t="s">
        <v>4187</v>
      </c>
      <c r="B1117" s="9" t="s">
        <v>300</v>
      </c>
      <c r="C1117" s="9" t="s">
        <v>1467</v>
      </c>
      <c r="D1117" s="9" t="s">
        <v>4188</v>
      </c>
      <c r="E1117" s="9" t="s">
        <v>1469</v>
      </c>
      <c r="F1117" s="9" t="s">
        <v>4189</v>
      </c>
    </row>
    <row r="1118">
      <c r="A1118" s="9" t="s">
        <v>4190</v>
      </c>
      <c r="B1118" s="9" t="s">
        <v>143</v>
      </c>
      <c r="C1118" s="9" t="s">
        <v>1467</v>
      </c>
      <c r="D1118" s="9" t="s">
        <v>4191</v>
      </c>
      <c r="E1118" s="9" t="s">
        <v>1469</v>
      </c>
      <c r="F1118" s="9" t="s">
        <v>4192</v>
      </c>
    </row>
    <row r="1119">
      <c r="A1119" s="9" t="s">
        <v>4193</v>
      </c>
      <c r="B1119" s="9" t="s">
        <v>394</v>
      </c>
      <c r="C1119" s="9" t="s">
        <v>1467</v>
      </c>
      <c r="D1119" s="9" t="s">
        <v>4194</v>
      </c>
      <c r="E1119" s="9" t="s">
        <v>1469</v>
      </c>
      <c r="F1119" s="9" t="s">
        <v>4195</v>
      </c>
    </row>
    <row r="1120">
      <c r="A1120" s="9" t="s">
        <v>4196</v>
      </c>
      <c r="B1120" s="9" t="s">
        <v>257</v>
      </c>
      <c r="C1120" s="9" t="s">
        <v>1467</v>
      </c>
      <c r="D1120" s="9" t="s">
        <v>4197</v>
      </c>
      <c r="E1120" s="9" t="s">
        <v>1469</v>
      </c>
      <c r="F1120" s="9" t="s">
        <v>4198</v>
      </c>
    </row>
    <row r="1121">
      <c r="A1121" s="9" t="s">
        <v>4199</v>
      </c>
      <c r="B1121" s="9" t="s">
        <v>137</v>
      </c>
      <c r="C1121" s="9" t="s">
        <v>1467</v>
      </c>
      <c r="D1121" s="9" t="s">
        <v>4201</v>
      </c>
      <c r="E1121" s="9" t="s">
        <v>1469</v>
      </c>
      <c r="F1121" s="9" t="s">
        <v>4202</v>
      </c>
    </row>
    <row r="1122">
      <c r="A1122" s="9" t="s">
        <v>4203</v>
      </c>
      <c r="B1122" s="9" t="s">
        <v>158</v>
      </c>
      <c r="C1122" s="9" t="s">
        <v>1467</v>
      </c>
      <c r="D1122" s="9" t="s">
        <v>4204</v>
      </c>
      <c r="E1122" s="9" t="s">
        <v>1469</v>
      </c>
      <c r="F1122" s="9" t="s">
        <v>4205</v>
      </c>
    </row>
    <row r="1123">
      <c r="A1123" s="9" t="s">
        <v>4206</v>
      </c>
      <c r="B1123" s="9" t="s">
        <v>227</v>
      </c>
      <c r="C1123" s="9" t="s">
        <v>1467</v>
      </c>
      <c r="D1123" s="9" t="s">
        <v>4207</v>
      </c>
      <c r="E1123" s="9" t="s">
        <v>1469</v>
      </c>
      <c r="F1123" s="9" t="s">
        <v>4208</v>
      </c>
    </row>
    <row r="1124">
      <c r="A1124" s="9" t="s">
        <v>4209</v>
      </c>
      <c r="B1124" s="9" t="s">
        <v>259</v>
      </c>
      <c r="C1124" s="9" t="s">
        <v>1467</v>
      </c>
      <c r="D1124" s="9" t="s">
        <v>4210</v>
      </c>
      <c r="E1124" s="9" t="s">
        <v>1469</v>
      </c>
      <c r="F1124" s="9" t="s">
        <v>4211</v>
      </c>
    </row>
    <row r="1125">
      <c r="A1125" s="9" t="s">
        <v>4212</v>
      </c>
      <c r="B1125" s="9" t="s">
        <v>376</v>
      </c>
      <c r="C1125" s="9" t="s">
        <v>1467</v>
      </c>
      <c r="D1125" s="9" t="s">
        <v>4213</v>
      </c>
      <c r="E1125" s="9" t="s">
        <v>1469</v>
      </c>
      <c r="F1125" s="9" t="s">
        <v>4214</v>
      </c>
    </row>
    <row r="1126">
      <c r="A1126" s="9" t="s">
        <v>4215</v>
      </c>
      <c r="B1126" s="9" t="s">
        <v>318</v>
      </c>
      <c r="C1126" s="9" t="s">
        <v>1467</v>
      </c>
      <c r="D1126" s="9" t="s">
        <v>4216</v>
      </c>
      <c r="E1126" s="9" t="s">
        <v>1469</v>
      </c>
      <c r="F1126" s="9" t="s">
        <v>4217</v>
      </c>
    </row>
    <row r="1127">
      <c r="A1127" s="9" t="s">
        <v>4218</v>
      </c>
      <c r="B1127" s="9" t="s">
        <v>257</v>
      </c>
      <c r="C1127" s="9" t="s">
        <v>1467</v>
      </c>
      <c r="D1127" s="9" t="s">
        <v>4219</v>
      </c>
      <c r="E1127" s="9" t="s">
        <v>1469</v>
      </c>
      <c r="F1127" s="9" t="s">
        <v>4220</v>
      </c>
    </row>
    <row r="1128">
      <c r="A1128" s="9" t="s">
        <v>4221</v>
      </c>
      <c r="B1128" s="9" t="s">
        <v>137</v>
      </c>
      <c r="C1128" s="9" t="s">
        <v>1467</v>
      </c>
      <c r="D1128" s="9" t="s">
        <v>4222</v>
      </c>
      <c r="E1128" s="9" t="s">
        <v>1469</v>
      </c>
      <c r="F1128" s="9" t="s">
        <v>4223</v>
      </c>
    </row>
    <row r="1129">
      <c r="A1129" s="9" t="s">
        <v>4224</v>
      </c>
      <c r="B1129" s="9" t="s">
        <v>235</v>
      </c>
      <c r="C1129" s="9" t="s">
        <v>1467</v>
      </c>
      <c r="D1129" s="9" t="s">
        <v>4225</v>
      </c>
      <c r="E1129" s="9" t="s">
        <v>1469</v>
      </c>
      <c r="F1129" s="9" t="s">
        <v>4226</v>
      </c>
    </row>
    <row r="1130">
      <c r="A1130" s="9" t="s">
        <v>4227</v>
      </c>
      <c r="B1130" s="9" t="s">
        <v>397</v>
      </c>
      <c r="C1130" s="9" t="s">
        <v>1467</v>
      </c>
      <c r="D1130" s="9" t="s">
        <v>4228</v>
      </c>
      <c r="E1130" s="9" t="s">
        <v>1469</v>
      </c>
      <c r="F1130" s="9" t="s">
        <v>4229</v>
      </c>
    </row>
    <row r="1131">
      <c r="A1131" s="9" t="s">
        <v>4230</v>
      </c>
      <c r="B1131" s="9" t="s">
        <v>326</v>
      </c>
      <c r="C1131" s="9" t="s">
        <v>1467</v>
      </c>
      <c r="D1131" s="9" t="s">
        <v>4231</v>
      </c>
      <c r="E1131" s="9" t="s">
        <v>1469</v>
      </c>
      <c r="F1131" s="9" t="s">
        <v>4232</v>
      </c>
    </row>
    <row r="1132">
      <c r="A1132" s="9" t="s">
        <v>4233</v>
      </c>
      <c r="B1132" s="9" t="s">
        <v>269</v>
      </c>
      <c r="C1132" s="9" t="s">
        <v>1467</v>
      </c>
      <c r="D1132" s="9" t="s">
        <v>4235</v>
      </c>
      <c r="E1132" s="9" t="s">
        <v>1469</v>
      </c>
      <c r="F1132" s="9" t="s">
        <v>4238</v>
      </c>
    </row>
    <row r="1133">
      <c r="A1133" s="9" t="s">
        <v>4239</v>
      </c>
      <c r="B1133" s="9" t="s">
        <v>389</v>
      </c>
      <c r="C1133" s="9" t="s">
        <v>1467</v>
      </c>
      <c r="D1133" s="9" t="s">
        <v>4240</v>
      </c>
      <c r="E1133" s="9" t="s">
        <v>1469</v>
      </c>
      <c r="F1133" s="9" t="s">
        <v>4241</v>
      </c>
    </row>
    <row r="1134">
      <c r="A1134" s="9" t="s">
        <v>4242</v>
      </c>
      <c r="B1134" s="9" t="s">
        <v>257</v>
      </c>
      <c r="C1134" s="9" t="s">
        <v>1467</v>
      </c>
      <c r="D1134" s="9" t="s">
        <v>4243</v>
      </c>
      <c r="E1134" s="9" t="s">
        <v>1469</v>
      </c>
      <c r="F1134" s="9" t="s">
        <v>4244</v>
      </c>
    </row>
    <row r="1135">
      <c r="A1135" s="9" t="s">
        <v>4245</v>
      </c>
      <c r="B1135" s="9" t="s">
        <v>290</v>
      </c>
      <c r="C1135" s="9" t="s">
        <v>1467</v>
      </c>
      <c r="D1135" s="9" t="s">
        <v>4246</v>
      </c>
      <c r="E1135" s="9" t="s">
        <v>1469</v>
      </c>
      <c r="F1135" s="9" t="s">
        <v>4247</v>
      </c>
    </row>
    <row r="1136">
      <c r="A1136" s="9" t="s">
        <v>4248</v>
      </c>
      <c r="B1136" s="9" t="s">
        <v>233</v>
      </c>
      <c r="C1136" s="9" t="s">
        <v>1467</v>
      </c>
      <c r="D1136" s="9" t="s">
        <v>4250</v>
      </c>
      <c r="E1136" s="9" t="s">
        <v>1469</v>
      </c>
      <c r="F1136" s="9" t="s">
        <v>4251</v>
      </c>
    </row>
    <row r="1137">
      <c r="A1137" s="9" t="s">
        <v>4252</v>
      </c>
      <c r="B1137" s="9" t="s">
        <v>314</v>
      </c>
      <c r="C1137" s="9" t="s">
        <v>1467</v>
      </c>
      <c r="D1137" s="9" t="s">
        <v>4253</v>
      </c>
      <c r="E1137" s="9" t="s">
        <v>1469</v>
      </c>
      <c r="F1137" s="9" t="s">
        <v>4254</v>
      </c>
    </row>
    <row r="1138">
      <c r="A1138" s="9" t="s">
        <v>4255</v>
      </c>
      <c r="B1138" s="9" t="s">
        <v>322</v>
      </c>
      <c r="C1138" s="9" t="s">
        <v>1467</v>
      </c>
      <c r="D1138" s="9" t="s">
        <v>4256</v>
      </c>
      <c r="E1138" s="9" t="s">
        <v>1469</v>
      </c>
      <c r="F1138" s="9" t="s">
        <v>4257</v>
      </c>
    </row>
    <row r="1139">
      <c r="A1139" s="9" t="s">
        <v>4258</v>
      </c>
      <c r="B1139" s="9" t="s">
        <v>160</v>
      </c>
      <c r="C1139" s="9" t="s">
        <v>1467</v>
      </c>
      <c r="D1139" s="9" t="s">
        <v>4259</v>
      </c>
      <c r="E1139" s="9" t="s">
        <v>1469</v>
      </c>
      <c r="F1139" s="9" t="s">
        <v>4260</v>
      </c>
    </row>
    <row r="1140">
      <c r="A1140" s="9" t="s">
        <v>4261</v>
      </c>
      <c r="B1140" s="9" t="s">
        <v>215</v>
      </c>
      <c r="C1140" s="9" t="s">
        <v>1467</v>
      </c>
      <c r="D1140" s="9" t="s">
        <v>4262</v>
      </c>
      <c r="E1140" s="9" t="s">
        <v>1469</v>
      </c>
      <c r="F1140" s="9" t="s">
        <v>4263</v>
      </c>
    </row>
    <row r="1141">
      <c r="A1141" s="9" t="s">
        <v>4264</v>
      </c>
      <c r="B1141" s="9" t="s">
        <v>277</v>
      </c>
      <c r="C1141" s="9" t="s">
        <v>1467</v>
      </c>
      <c r="D1141" s="9" t="s">
        <v>4265</v>
      </c>
      <c r="E1141" s="9" t="s">
        <v>1469</v>
      </c>
      <c r="F1141" s="9" t="s">
        <v>4266</v>
      </c>
    </row>
    <row r="1142">
      <c r="A1142" s="9" t="s">
        <v>4267</v>
      </c>
      <c r="B1142" s="9" t="s">
        <v>160</v>
      </c>
      <c r="C1142" s="9" t="s">
        <v>1467</v>
      </c>
      <c r="D1142" s="9" t="s">
        <v>4268</v>
      </c>
      <c r="E1142" s="9" t="s">
        <v>1469</v>
      </c>
      <c r="F1142" s="9" t="s">
        <v>4269</v>
      </c>
    </row>
    <row r="1143">
      <c r="A1143" s="9" t="s">
        <v>4270</v>
      </c>
      <c r="B1143" s="9" t="s">
        <v>320</v>
      </c>
      <c r="C1143" s="9" t="s">
        <v>1467</v>
      </c>
      <c r="D1143" s="9" t="s">
        <v>4271</v>
      </c>
      <c r="E1143" s="9" t="s">
        <v>1469</v>
      </c>
      <c r="F1143" s="9" t="s">
        <v>4272</v>
      </c>
    </row>
    <row r="1144">
      <c r="A1144" s="9" t="s">
        <v>4273</v>
      </c>
      <c r="B1144" s="9" t="s">
        <v>186</v>
      </c>
      <c r="C1144" s="9" t="s">
        <v>1467</v>
      </c>
      <c r="D1144" s="9" t="s">
        <v>4274</v>
      </c>
      <c r="E1144" s="9" t="s">
        <v>1469</v>
      </c>
      <c r="F1144" s="9" t="s">
        <v>4275</v>
      </c>
    </row>
    <row r="1145">
      <c r="A1145" s="9" t="s">
        <v>4276</v>
      </c>
      <c r="B1145" s="9" t="s">
        <v>160</v>
      </c>
      <c r="C1145" s="9" t="s">
        <v>1467</v>
      </c>
      <c r="D1145" s="9" t="s">
        <v>4277</v>
      </c>
      <c r="E1145" s="9" t="s">
        <v>1469</v>
      </c>
      <c r="F1145" s="9" t="s">
        <v>4278</v>
      </c>
    </row>
    <row r="1146">
      <c r="A1146" s="9" t="s">
        <v>4279</v>
      </c>
      <c r="B1146" s="9" t="s">
        <v>81</v>
      </c>
      <c r="C1146" s="9" t="s">
        <v>1467</v>
      </c>
      <c r="D1146" s="9" t="s">
        <v>4280</v>
      </c>
      <c r="E1146" s="9" t="s">
        <v>1469</v>
      </c>
      <c r="F1146" s="9" t="s">
        <v>4281</v>
      </c>
    </row>
    <row r="1147">
      <c r="A1147" s="9" t="s">
        <v>4282</v>
      </c>
      <c r="B1147" s="9" t="s">
        <v>74</v>
      </c>
      <c r="C1147" s="9" t="s">
        <v>1467</v>
      </c>
      <c r="D1147" s="9" t="s">
        <v>4283</v>
      </c>
      <c r="E1147" s="9" t="s">
        <v>1469</v>
      </c>
      <c r="F1147" s="9" t="s">
        <v>4284</v>
      </c>
    </row>
    <row r="1148">
      <c r="A1148" s="9" t="s">
        <v>4285</v>
      </c>
      <c r="B1148" s="9" t="s">
        <v>387</v>
      </c>
      <c r="C1148" s="9" t="s">
        <v>1467</v>
      </c>
      <c r="D1148" s="9" t="s">
        <v>4286</v>
      </c>
      <c r="E1148" s="9" t="s">
        <v>1469</v>
      </c>
      <c r="F1148" s="9" t="s">
        <v>4287</v>
      </c>
    </row>
    <row r="1149">
      <c r="A1149" s="9" t="s">
        <v>4288</v>
      </c>
      <c r="B1149" s="9" t="s">
        <v>85</v>
      </c>
      <c r="C1149" s="9" t="s">
        <v>1467</v>
      </c>
      <c r="D1149" s="9" t="s">
        <v>4289</v>
      </c>
      <c r="E1149" s="9" t="s">
        <v>1469</v>
      </c>
      <c r="F1149" s="9" t="s">
        <v>4290</v>
      </c>
    </row>
    <row r="1150">
      <c r="A1150" s="9" t="s">
        <v>4291</v>
      </c>
      <c r="B1150" s="9" t="s">
        <v>313</v>
      </c>
      <c r="C1150" s="9" t="s">
        <v>1467</v>
      </c>
      <c r="D1150" s="9" t="s">
        <v>4292</v>
      </c>
      <c r="E1150" s="9" t="s">
        <v>1469</v>
      </c>
      <c r="F1150" s="9" t="s">
        <v>4293</v>
      </c>
    </row>
    <row r="1151">
      <c r="A1151" s="9" t="s">
        <v>4294</v>
      </c>
      <c r="B1151" s="9" t="s">
        <v>237</v>
      </c>
      <c r="C1151" s="9" t="s">
        <v>1467</v>
      </c>
      <c r="D1151" s="9" t="s">
        <v>4295</v>
      </c>
      <c r="E1151" s="9" t="s">
        <v>1469</v>
      </c>
      <c r="F1151" s="9" t="s">
        <v>4296</v>
      </c>
    </row>
    <row r="1152">
      <c r="A1152" s="9" t="s">
        <v>4297</v>
      </c>
      <c r="B1152" s="9" t="s">
        <v>55</v>
      </c>
      <c r="C1152" s="9" t="s">
        <v>1467</v>
      </c>
      <c r="D1152" s="9" t="s">
        <v>4298</v>
      </c>
      <c r="E1152" s="9" t="s">
        <v>1469</v>
      </c>
      <c r="F1152" s="9" t="s">
        <v>4299</v>
      </c>
    </row>
    <row r="1153">
      <c r="A1153" s="9" t="s">
        <v>4300</v>
      </c>
      <c r="B1153" s="9" t="s">
        <v>85</v>
      </c>
      <c r="C1153" s="9" t="s">
        <v>1467</v>
      </c>
      <c r="D1153" s="9" t="s">
        <v>4301</v>
      </c>
      <c r="E1153" s="9" t="s">
        <v>1469</v>
      </c>
      <c r="F1153" s="9" t="s">
        <v>4303</v>
      </c>
    </row>
    <row r="1154">
      <c r="A1154" s="9" t="s">
        <v>4304</v>
      </c>
      <c r="B1154" s="9" t="s">
        <v>190</v>
      </c>
      <c r="C1154" s="9" t="s">
        <v>1467</v>
      </c>
      <c r="D1154" s="9" t="s">
        <v>4305</v>
      </c>
      <c r="E1154" s="9" t="s">
        <v>1469</v>
      </c>
      <c r="F1154" s="9" t="s">
        <v>4306</v>
      </c>
    </row>
    <row r="1155">
      <c r="A1155" s="9" t="s">
        <v>4307</v>
      </c>
      <c r="B1155" s="9" t="s">
        <v>81</v>
      </c>
      <c r="C1155" s="9" t="s">
        <v>1467</v>
      </c>
      <c r="D1155" s="9" t="s">
        <v>4308</v>
      </c>
      <c r="E1155" s="9" t="s">
        <v>1469</v>
      </c>
      <c r="F1155" s="9" t="s">
        <v>4309</v>
      </c>
    </row>
    <row r="1156">
      <c r="A1156" s="9" t="s">
        <v>4310</v>
      </c>
      <c r="B1156" s="9" t="s">
        <v>85</v>
      </c>
      <c r="C1156" s="9" t="s">
        <v>1467</v>
      </c>
      <c r="D1156" s="9" t="s">
        <v>4311</v>
      </c>
      <c r="E1156" s="9" t="s">
        <v>1469</v>
      </c>
      <c r="F1156" s="9" t="s">
        <v>4312</v>
      </c>
    </row>
    <row r="1157">
      <c r="A1157" s="9" t="s">
        <v>4313</v>
      </c>
      <c r="B1157" s="9" t="s">
        <v>313</v>
      </c>
      <c r="C1157" s="9" t="s">
        <v>1467</v>
      </c>
      <c r="D1157" s="9" t="s">
        <v>4314</v>
      </c>
      <c r="E1157" s="9" t="s">
        <v>1469</v>
      </c>
      <c r="F1157" s="9" t="s">
        <v>4315</v>
      </c>
    </row>
    <row r="1158">
      <c r="A1158" s="9" t="s">
        <v>4316</v>
      </c>
      <c r="B1158" s="9" t="s">
        <v>214</v>
      </c>
      <c r="C1158" s="9" t="s">
        <v>1467</v>
      </c>
      <c r="D1158" s="9" t="s">
        <v>4317</v>
      </c>
      <c r="E1158" s="9" t="s">
        <v>1469</v>
      </c>
      <c r="F1158" s="9" t="s">
        <v>4318</v>
      </c>
    </row>
    <row r="1159">
      <c r="A1159" s="9" t="s">
        <v>4319</v>
      </c>
      <c r="B1159" s="9" t="s">
        <v>100</v>
      </c>
      <c r="C1159" s="9" t="s">
        <v>1467</v>
      </c>
      <c r="D1159" s="9" t="s">
        <v>4320</v>
      </c>
      <c r="E1159" s="9" t="s">
        <v>1469</v>
      </c>
      <c r="F1159" s="9" t="s">
        <v>4321</v>
      </c>
    </row>
    <row r="1160">
      <c r="A1160" s="9" t="s">
        <v>4322</v>
      </c>
      <c r="B1160" s="9" t="s">
        <v>263</v>
      </c>
      <c r="C1160" s="9" t="s">
        <v>1467</v>
      </c>
      <c r="D1160" s="9" t="s">
        <v>4323</v>
      </c>
      <c r="E1160" s="9" t="s">
        <v>1469</v>
      </c>
      <c r="F1160" s="9" t="s">
        <v>4324</v>
      </c>
    </row>
    <row r="1161">
      <c r="A1161" s="9" t="s">
        <v>4325</v>
      </c>
      <c r="B1161" s="9" t="s">
        <v>387</v>
      </c>
      <c r="C1161" s="9" t="s">
        <v>1467</v>
      </c>
      <c r="D1161" s="9" t="s">
        <v>4326</v>
      </c>
      <c r="E1161" s="9" t="s">
        <v>1469</v>
      </c>
      <c r="F1161" s="9" t="s">
        <v>4327</v>
      </c>
    </row>
    <row r="1162">
      <c r="A1162" s="9" t="s">
        <v>4328</v>
      </c>
      <c r="B1162" s="9" t="s">
        <v>242</v>
      </c>
      <c r="C1162" s="9" t="s">
        <v>1467</v>
      </c>
      <c r="D1162" s="9" t="s">
        <v>4329</v>
      </c>
      <c r="E1162" s="9" t="s">
        <v>1469</v>
      </c>
      <c r="F1162" s="9" t="s">
        <v>4330</v>
      </c>
    </row>
    <row r="1163">
      <c r="A1163" s="9" t="s">
        <v>4331</v>
      </c>
      <c r="B1163" s="9" t="s">
        <v>164</v>
      </c>
      <c r="C1163" s="9" t="s">
        <v>1467</v>
      </c>
      <c r="D1163" s="9" t="s">
        <v>4332</v>
      </c>
      <c r="E1163" s="9" t="s">
        <v>1469</v>
      </c>
      <c r="F1163" s="9" t="s">
        <v>4333</v>
      </c>
    </row>
    <row r="1164">
      <c r="A1164" s="9" t="s">
        <v>4334</v>
      </c>
      <c r="B1164" s="9" t="s">
        <v>237</v>
      </c>
      <c r="C1164" s="9" t="s">
        <v>1467</v>
      </c>
      <c r="D1164" s="9" t="s">
        <v>4335</v>
      </c>
      <c r="E1164" s="9" t="s">
        <v>1469</v>
      </c>
      <c r="F1164" s="9" t="s">
        <v>4336</v>
      </c>
    </row>
    <row r="1165">
      <c r="A1165" s="9" t="s">
        <v>4337</v>
      </c>
      <c r="B1165" s="9" t="s">
        <v>267</v>
      </c>
      <c r="C1165" s="9" t="s">
        <v>1467</v>
      </c>
      <c r="D1165" s="9" t="s">
        <v>4338</v>
      </c>
      <c r="E1165" s="9" t="s">
        <v>1469</v>
      </c>
      <c r="F1165" s="9" t="s">
        <v>4339</v>
      </c>
    </row>
    <row r="1166">
      <c r="A1166" s="9" t="s">
        <v>4340</v>
      </c>
      <c r="B1166" s="9" t="s">
        <v>224</v>
      </c>
      <c r="C1166" s="9" t="s">
        <v>1467</v>
      </c>
      <c r="D1166" s="9" t="s">
        <v>4341</v>
      </c>
      <c r="E1166" s="9" t="s">
        <v>1469</v>
      </c>
      <c r="F1166" s="9" t="s">
        <v>4342</v>
      </c>
    </row>
    <row r="1167">
      <c r="A1167" s="9" t="s">
        <v>4343</v>
      </c>
      <c r="B1167" s="9" t="s">
        <v>314</v>
      </c>
      <c r="C1167" s="9" t="s">
        <v>1467</v>
      </c>
      <c r="D1167" s="9" t="s">
        <v>4344</v>
      </c>
      <c r="E1167" s="9" t="s">
        <v>1469</v>
      </c>
      <c r="F1167" s="9" t="s">
        <v>4345</v>
      </c>
    </row>
    <row r="1168">
      <c r="A1168" s="9" t="s">
        <v>4347</v>
      </c>
      <c r="B1168" s="9" t="s">
        <v>237</v>
      </c>
      <c r="C1168" s="9" t="s">
        <v>1467</v>
      </c>
      <c r="D1168" s="9" t="s">
        <v>4348</v>
      </c>
      <c r="E1168" s="9" t="s">
        <v>1469</v>
      </c>
      <c r="F1168" s="9" t="s">
        <v>4349</v>
      </c>
    </row>
    <row r="1169">
      <c r="A1169" s="9" t="s">
        <v>4350</v>
      </c>
      <c r="B1169" s="9" t="s">
        <v>294</v>
      </c>
      <c r="C1169" s="9" t="s">
        <v>1467</v>
      </c>
      <c r="D1169" s="9" t="s">
        <v>4351</v>
      </c>
      <c r="E1169" s="9" t="s">
        <v>1469</v>
      </c>
      <c r="F1169" s="9" t="s">
        <v>4352</v>
      </c>
    </row>
    <row r="1170">
      <c r="A1170" s="9" t="s">
        <v>4353</v>
      </c>
      <c r="B1170" s="9" t="s">
        <v>314</v>
      </c>
      <c r="C1170" s="9" t="s">
        <v>1467</v>
      </c>
      <c r="D1170" s="9" t="s">
        <v>4354</v>
      </c>
      <c r="E1170" s="9" t="s">
        <v>1469</v>
      </c>
      <c r="F1170" s="9" t="s">
        <v>4355</v>
      </c>
    </row>
    <row r="1171">
      <c r="A1171" s="9" t="s">
        <v>4356</v>
      </c>
      <c r="B1171" s="9" t="s">
        <v>242</v>
      </c>
      <c r="C1171" s="9" t="s">
        <v>1467</v>
      </c>
      <c r="D1171" s="9" t="s">
        <v>4357</v>
      </c>
      <c r="E1171" s="9" t="s">
        <v>1469</v>
      </c>
      <c r="F1171" s="9" t="s">
        <v>4358</v>
      </c>
    </row>
    <row r="1172">
      <c r="A1172" s="9" t="s">
        <v>4359</v>
      </c>
      <c r="B1172" s="9" t="s">
        <v>355</v>
      </c>
      <c r="C1172" s="9" t="s">
        <v>1467</v>
      </c>
      <c r="D1172" s="9" t="s">
        <v>4360</v>
      </c>
      <c r="E1172" s="9" t="s">
        <v>1469</v>
      </c>
      <c r="F1172" s="9" t="s">
        <v>4361</v>
      </c>
    </row>
    <row r="1173">
      <c r="A1173" s="9" t="s">
        <v>4362</v>
      </c>
      <c r="B1173" s="9" t="s">
        <v>316</v>
      </c>
      <c r="C1173" s="9" t="s">
        <v>1467</v>
      </c>
      <c r="D1173" s="9" t="s">
        <v>4363</v>
      </c>
      <c r="E1173" s="9" t="s">
        <v>1469</v>
      </c>
      <c r="F1173" s="9" t="s">
        <v>4364</v>
      </c>
    </row>
    <row r="1174">
      <c r="A1174" s="9" t="s">
        <v>4365</v>
      </c>
      <c r="B1174" s="9" t="s">
        <v>243</v>
      </c>
      <c r="C1174" s="9" t="s">
        <v>1467</v>
      </c>
      <c r="D1174" s="9" t="s">
        <v>4366</v>
      </c>
      <c r="E1174" s="9" t="s">
        <v>1469</v>
      </c>
      <c r="F1174" s="9" t="s">
        <v>4367</v>
      </c>
    </row>
    <row r="1175">
      <c r="A1175" s="9" t="s">
        <v>4368</v>
      </c>
      <c r="B1175" s="9" t="s">
        <v>243</v>
      </c>
      <c r="C1175" s="9" t="s">
        <v>1467</v>
      </c>
      <c r="D1175" s="9" t="s">
        <v>4369</v>
      </c>
      <c r="E1175" s="9" t="s">
        <v>1469</v>
      </c>
      <c r="F1175" s="9" t="s">
        <v>4370</v>
      </c>
    </row>
    <row r="1176">
      <c r="A1176" s="9" t="s">
        <v>4371</v>
      </c>
      <c r="B1176" s="9" t="s">
        <v>388</v>
      </c>
      <c r="C1176" s="9" t="s">
        <v>1467</v>
      </c>
      <c r="D1176" s="9" t="s">
        <v>4372</v>
      </c>
      <c r="E1176" s="9" t="s">
        <v>1469</v>
      </c>
      <c r="F1176" s="9" t="s">
        <v>4374</v>
      </c>
    </row>
    <row r="1177">
      <c r="A1177" s="9" t="s">
        <v>4376</v>
      </c>
      <c r="B1177" s="9" t="s">
        <v>142</v>
      </c>
      <c r="C1177" s="9" t="s">
        <v>1467</v>
      </c>
      <c r="D1177" s="9" t="s">
        <v>4378</v>
      </c>
      <c r="E1177" s="9" t="s">
        <v>1469</v>
      </c>
      <c r="F1177" s="9" t="s">
        <v>4379</v>
      </c>
    </row>
    <row r="1178">
      <c r="A1178" s="9" t="s">
        <v>4380</v>
      </c>
      <c r="B1178" s="9" t="s">
        <v>316</v>
      </c>
      <c r="C1178" s="9" t="s">
        <v>1467</v>
      </c>
      <c r="D1178" s="9" t="s">
        <v>4381</v>
      </c>
      <c r="E1178" s="9" t="s">
        <v>1469</v>
      </c>
      <c r="F1178" s="9" t="s">
        <v>4382</v>
      </c>
    </row>
    <row r="1179">
      <c r="A1179" s="9" t="s">
        <v>4383</v>
      </c>
      <c r="B1179" s="9" t="s">
        <v>388</v>
      </c>
      <c r="C1179" s="9" t="s">
        <v>1467</v>
      </c>
      <c r="D1179" s="9" t="s">
        <v>4384</v>
      </c>
      <c r="E1179" s="9" t="s">
        <v>1469</v>
      </c>
      <c r="F1179" s="9" t="s">
        <v>4385</v>
      </c>
    </row>
    <row r="1180">
      <c r="A1180" s="9" t="s">
        <v>4386</v>
      </c>
      <c r="B1180" s="9" t="s">
        <v>114</v>
      </c>
      <c r="C1180" s="9" t="s">
        <v>1467</v>
      </c>
      <c r="D1180" s="9" t="s">
        <v>4387</v>
      </c>
      <c r="E1180" s="9" t="s">
        <v>1469</v>
      </c>
      <c r="F1180" s="9" t="s">
        <v>4388</v>
      </c>
    </row>
    <row r="1181">
      <c r="A1181" s="9" t="s">
        <v>4389</v>
      </c>
      <c r="B1181" s="9" t="s">
        <v>243</v>
      </c>
      <c r="C1181" s="9" t="s">
        <v>1467</v>
      </c>
      <c r="D1181" s="9" t="s">
        <v>4390</v>
      </c>
      <c r="E1181" s="9" t="s">
        <v>1469</v>
      </c>
      <c r="F1181" s="9" t="s">
        <v>4391</v>
      </c>
    </row>
    <row r="1182">
      <c r="A1182" s="9" t="s">
        <v>4392</v>
      </c>
      <c r="B1182" s="9" t="s">
        <v>89</v>
      </c>
      <c r="C1182" s="9" t="s">
        <v>1467</v>
      </c>
      <c r="D1182" s="9" t="s">
        <v>4393</v>
      </c>
      <c r="E1182" s="9" t="s">
        <v>1469</v>
      </c>
      <c r="F1182" s="9" t="s">
        <v>4395</v>
      </c>
    </row>
    <row r="1183">
      <c r="A1183" s="9" t="s">
        <v>4396</v>
      </c>
      <c r="B1183" s="9" t="s">
        <v>161</v>
      </c>
      <c r="C1183" s="9" t="s">
        <v>1467</v>
      </c>
      <c r="D1183" s="9" t="s">
        <v>4397</v>
      </c>
      <c r="E1183" s="9" t="s">
        <v>1469</v>
      </c>
      <c r="F1183" s="9" t="s">
        <v>4398</v>
      </c>
    </row>
    <row r="1184">
      <c r="A1184" s="9" t="s">
        <v>4399</v>
      </c>
      <c r="B1184" s="9" t="s">
        <v>93</v>
      </c>
      <c r="C1184" s="9" t="s">
        <v>1467</v>
      </c>
      <c r="D1184" s="9" t="s">
        <v>4400</v>
      </c>
      <c r="E1184" s="9" t="s">
        <v>1469</v>
      </c>
      <c r="F1184" s="9" t="s">
        <v>4401</v>
      </c>
    </row>
    <row r="1185">
      <c r="A1185" s="9" t="s">
        <v>4402</v>
      </c>
      <c r="B1185" s="9" t="s">
        <v>388</v>
      </c>
      <c r="C1185" s="9" t="s">
        <v>1467</v>
      </c>
      <c r="D1185" s="9" t="s">
        <v>4403</v>
      </c>
      <c r="E1185" s="9" t="s">
        <v>1469</v>
      </c>
      <c r="F1185" s="9" t="s">
        <v>4404</v>
      </c>
    </row>
    <row r="1186">
      <c r="A1186" s="9" t="s">
        <v>4405</v>
      </c>
      <c r="B1186" s="9" t="s">
        <v>271</v>
      </c>
      <c r="C1186" s="9" t="s">
        <v>1467</v>
      </c>
      <c r="D1186" s="9" t="s">
        <v>4406</v>
      </c>
      <c r="E1186" s="9" t="s">
        <v>1469</v>
      </c>
      <c r="F1186" s="9" t="s">
        <v>4407</v>
      </c>
    </row>
    <row r="1187">
      <c r="A1187" s="9" t="s">
        <v>4408</v>
      </c>
      <c r="B1187" s="9" t="s">
        <v>161</v>
      </c>
      <c r="C1187" s="9" t="s">
        <v>1467</v>
      </c>
      <c r="D1187" s="9" t="s">
        <v>4409</v>
      </c>
      <c r="E1187" s="9" t="s">
        <v>1469</v>
      </c>
      <c r="F1187" s="9" t="s">
        <v>4410</v>
      </c>
    </row>
    <row r="1188">
      <c r="A1188" s="9" t="s">
        <v>4411</v>
      </c>
      <c r="B1188" s="9" t="s">
        <v>335</v>
      </c>
      <c r="C1188" s="9" t="s">
        <v>1467</v>
      </c>
      <c r="D1188" s="9" t="s">
        <v>4412</v>
      </c>
      <c r="E1188" s="9" t="s">
        <v>1469</v>
      </c>
      <c r="F1188" s="9" t="s">
        <v>4413</v>
      </c>
    </row>
    <row r="1189">
      <c r="A1189" s="9" t="s">
        <v>4414</v>
      </c>
      <c r="B1189" s="9" t="s">
        <v>275</v>
      </c>
      <c r="C1189" s="9" t="s">
        <v>1467</v>
      </c>
      <c r="D1189" s="9" t="s">
        <v>4415</v>
      </c>
      <c r="E1189" s="9" t="s">
        <v>1469</v>
      </c>
      <c r="F1189" s="9" t="s">
        <v>4416</v>
      </c>
    </row>
    <row r="1190">
      <c r="A1190" s="9" t="s">
        <v>4417</v>
      </c>
      <c r="B1190" s="9" t="s">
        <v>282</v>
      </c>
      <c r="C1190" s="9" t="s">
        <v>1467</v>
      </c>
      <c r="D1190" s="9" t="s">
        <v>4418</v>
      </c>
      <c r="E1190" s="9" t="s">
        <v>1469</v>
      </c>
      <c r="F1190" s="9" t="s">
        <v>4419</v>
      </c>
    </row>
    <row r="1191">
      <c r="A1191" s="9" t="s">
        <v>4420</v>
      </c>
      <c r="B1191" s="9" t="s">
        <v>404</v>
      </c>
      <c r="C1191" s="9" t="s">
        <v>1467</v>
      </c>
      <c r="D1191" s="9" t="s">
        <v>4421</v>
      </c>
      <c r="E1191" s="9" t="s">
        <v>1469</v>
      </c>
      <c r="F1191" s="9" t="s">
        <v>4422</v>
      </c>
    </row>
    <row r="1192">
      <c r="A1192" s="9" t="s">
        <v>4423</v>
      </c>
      <c r="B1192" s="9" t="s">
        <v>308</v>
      </c>
      <c r="C1192" s="9" t="s">
        <v>1467</v>
      </c>
      <c r="D1192" s="9" t="s">
        <v>4424</v>
      </c>
      <c r="E1192" s="9" t="s">
        <v>1469</v>
      </c>
      <c r="F1192" s="9" t="s">
        <v>4425</v>
      </c>
    </row>
    <row r="1193">
      <c r="A1193" s="9" t="s">
        <v>4426</v>
      </c>
      <c r="B1193" s="9" t="s">
        <v>335</v>
      </c>
      <c r="C1193" s="9" t="s">
        <v>1467</v>
      </c>
      <c r="D1193" s="9" t="s">
        <v>4427</v>
      </c>
      <c r="E1193" s="9" t="s">
        <v>1469</v>
      </c>
      <c r="F1193" s="9" t="s">
        <v>4428</v>
      </c>
    </row>
    <row r="1194">
      <c r="A1194" s="9" t="s">
        <v>4429</v>
      </c>
      <c r="B1194" s="9" t="s">
        <v>301</v>
      </c>
      <c r="C1194" s="9" t="s">
        <v>1467</v>
      </c>
      <c r="D1194" s="9" t="s">
        <v>4430</v>
      </c>
      <c r="E1194" s="9" t="s">
        <v>1469</v>
      </c>
      <c r="F1194" s="9" t="s">
        <v>4431</v>
      </c>
    </row>
    <row r="1195">
      <c r="A1195" s="9" t="s">
        <v>4432</v>
      </c>
      <c r="B1195" s="9" t="s">
        <v>179</v>
      </c>
      <c r="C1195" s="9" t="s">
        <v>1467</v>
      </c>
      <c r="D1195" s="9" t="s">
        <v>4433</v>
      </c>
      <c r="E1195" s="9" t="s">
        <v>1469</v>
      </c>
      <c r="F1195" s="9" t="s">
        <v>4434</v>
      </c>
    </row>
    <row r="1196">
      <c r="A1196" s="9" t="s">
        <v>4436</v>
      </c>
      <c r="B1196" s="9" t="s">
        <v>346</v>
      </c>
      <c r="C1196" s="9" t="s">
        <v>1467</v>
      </c>
      <c r="D1196" s="9" t="s">
        <v>4437</v>
      </c>
      <c r="E1196" s="9" t="s">
        <v>1469</v>
      </c>
      <c r="F1196" s="9" t="s">
        <v>4438</v>
      </c>
    </row>
    <row r="1197">
      <c r="A1197" s="9" t="s">
        <v>4439</v>
      </c>
      <c r="B1197" s="9" t="s">
        <v>300</v>
      </c>
      <c r="C1197" s="9" t="s">
        <v>1467</v>
      </c>
      <c r="D1197" s="9" t="s">
        <v>4440</v>
      </c>
      <c r="E1197" s="9" t="s">
        <v>1469</v>
      </c>
      <c r="F1197" s="9" t="s">
        <v>4441</v>
      </c>
    </row>
    <row r="1198">
      <c r="A1198" s="9" t="s">
        <v>4442</v>
      </c>
      <c r="B1198" s="9" t="s">
        <v>315</v>
      </c>
      <c r="C1198" s="9" t="s">
        <v>1467</v>
      </c>
      <c r="D1198" s="9" t="s">
        <v>4443</v>
      </c>
      <c r="E1198" s="9" t="s">
        <v>1469</v>
      </c>
      <c r="F1198" s="9" t="s">
        <v>4444</v>
      </c>
    </row>
    <row r="1199">
      <c r="A1199" s="9" t="s">
        <v>4445</v>
      </c>
      <c r="B1199" s="9" t="s">
        <v>278</v>
      </c>
      <c r="C1199" s="9" t="s">
        <v>1467</v>
      </c>
      <c r="D1199" s="9" t="s">
        <v>4447</v>
      </c>
      <c r="E1199" s="9" t="s">
        <v>1469</v>
      </c>
      <c r="F1199" s="9" t="s">
        <v>4448</v>
      </c>
    </row>
    <row r="1200">
      <c r="A1200" s="9" t="s">
        <v>4449</v>
      </c>
      <c r="B1200" s="9" t="s">
        <v>346</v>
      </c>
      <c r="C1200" s="9" t="s">
        <v>1467</v>
      </c>
      <c r="D1200" s="9" t="s">
        <v>4450</v>
      </c>
      <c r="E1200" s="9" t="s">
        <v>1469</v>
      </c>
      <c r="F1200" s="9" t="s">
        <v>4451</v>
      </c>
    </row>
    <row r="1201">
      <c r="A1201" s="9" t="s">
        <v>4452</v>
      </c>
      <c r="B1201" s="9" t="s">
        <v>371</v>
      </c>
      <c r="C1201" s="9" t="s">
        <v>1467</v>
      </c>
      <c r="D1201" s="9" t="s">
        <v>4453</v>
      </c>
      <c r="E1201" s="9" t="s">
        <v>1469</v>
      </c>
      <c r="F1201" s="9" t="s">
        <v>4454</v>
      </c>
    </row>
    <row r="1202">
      <c r="A1202" s="9" t="s">
        <v>4455</v>
      </c>
      <c r="B1202" s="9" t="s">
        <v>278</v>
      </c>
      <c r="C1202" s="9" t="s">
        <v>1467</v>
      </c>
      <c r="D1202" s="9" t="s">
        <v>4456</v>
      </c>
      <c r="E1202" s="9" t="s">
        <v>1469</v>
      </c>
      <c r="F1202" s="9" t="s">
        <v>4457</v>
      </c>
    </row>
    <row r="1203">
      <c r="A1203" s="9" t="s">
        <v>4458</v>
      </c>
      <c r="B1203" s="9" t="s">
        <v>269</v>
      </c>
      <c r="C1203" s="9" t="s">
        <v>1467</v>
      </c>
      <c r="D1203" s="9" t="s">
        <v>4459</v>
      </c>
      <c r="E1203" s="9" t="s">
        <v>1469</v>
      </c>
      <c r="F1203" s="9" t="s">
        <v>4460</v>
      </c>
    </row>
    <row r="1204">
      <c r="A1204" s="9" t="s">
        <v>4461</v>
      </c>
      <c r="B1204" s="9" t="s">
        <v>227</v>
      </c>
      <c r="C1204" s="9" t="s">
        <v>1467</v>
      </c>
      <c r="D1204" s="9" t="s">
        <v>4462</v>
      </c>
      <c r="E1204" s="9" t="s">
        <v>1469</v>
      </c>
      <c r="F1204" s="9" t="s">
        <v>4463</v>
      </c>
    </row>
    <row r="1205">
      <c r="A1205" s="9" t="s">
        <v>4464</v>
      </c>
      <c r="B1205" s="9" t="s">
        <v>326</v>
      </c>
      <c r="C1205" s="9" t="s">
        <v>1467</v>
      </c>
      <c r="D1205" s="9" t="s">
        <v>4465</v>
      </c>
      <c r="E1205" s="9" t="s">
        <v>1469</v>
      </c>
      <c r="F1205" s="9" t="s">
        <v>4466</v>
      </c>
    </row>
    <row r="1206">
      <c r="A1206" s="9" t="s">
        <v>4467</v>
      </c>
      <c r="B1206" s="9" t="s">
        <v>323</v>
      </c>
      <c r="C1206" s="9" t="s">
        <v>1467</v>
      </c>
      <c r="D1206" s="9" t="s">
        <v>4468</v>
      </c>
      <c r="E1206" s="9" t="s">
        <v>1469</v>
      </c>
      <c r="F1206" s="9" t="s">
        <v>4469</v>
      </c>
    </row>
    <row r="1207">
      <c r="A1207" s="9" t="s">
        <v>4470</v>
      </c>
      <c r="B1207" s="9" t="s">
        <v>299</v>
      </c>
      <c r="C1207" s="9" t="s">
        <v>1467</v>
      </c>
      <c r="D1207" s="9" t="s">
        <v>4471</v>
      </c>
      <c r="E1207" s="9" t="s">
        <v>1469</v>
      </c>
      <c r="F1207" s="9" t="s">
        <v>4472</v>
      </c>
    </row>
    <row r="1208">
      <c r="A1208" s="9" t="s">
        <v>4473</v>
      </c>
      <c r="B1208" s="9" t="s">
        <v>67</v>
      </c>
      <c r="C1208" s="9" t="s">
        <v>1467</v>
      </c>
      <c r="D1208" s="9" t="s">
        <v>4474</v>
      </c>
      <c r="E1208" s="9" t="s">
        <v>1469</v>
      </c>
      <c r="F1208" s="9" t="s">
        <v>4475</v>
      </c>
    </row>
    <row r="1209">
      <c r="A1209" s="9" t="s">
        <v>4476</v>
      </c>
      <c r="B1209" s="9" t="s">
        <v>233</v>
      </c>
      <c r="C1209" s="9" t="s">
        <v>1467</v>
      </c>
      <c r="D1209" s="9" t="s">
        <v>4477</v>
      </c>
      <c r="E1209" s="9" t="s">
        <v>1469</v>
      </c>
      <c r="F1209" s="9" t="s">
        <v>4478</v>
      </c>
    </row>
    <row r="1210">
      <c r="A1210" s="9" t="s">
        <v>4479</v>
      </c>
      <c r="B1210" s="9" t="s">
        <v>343</v>
      </c>
      <c r="C1210" s="9" t="s">
        <v>1467</v>
      </c>
      <c r="D1210" s="9" t="s">
        <v>4480</v>
      </c>
      <c r="E1210" s="9" t="s">
        <v>1469</v>
      </c>
      <c r="F1210" s="9" t="s">
        <v>4482</v>
      </c>
    </row>
    <row r="1211">
      <c r="A1211" s="9" t="s">
        <v>4483</v>
      </c>
      <c r="B1211" s="9" t="s">
        <v>299</v>
      </c>
      <c r="C1211" s="9" t="s">
        <v>1467</v>
      </c>
      <c r="D1211" s="9" t="s">
        <v>4484</v>
      </c>
      <c r="E1211" s="9" t="s">
        <v>1469</v>
      </c>
      <c r="F1211" s="9" t="s">
        <v>4485</v>
      </c>
    </row>
    <row r="1212">
      <c r="A1212" s="9" t="s">
        <v>4486</v>
      </c>
      <c r="B1212" s="9" t="s">
        <v>141</v>
      </c>
      <c r="C1212" s="9" t="s">
        <v>1467</v>
      </c>
      <c r="D1212" s="9" t="s">
        <v>4487</v>
      </c>
      <c r="E1212" s="9" t="s">
        <v>1469</v>
      </c>
      <c r="F1212" s="9" t="s">
        <v>4488</v>
      </c>
    </row>
    <row r="1213">
      <c r="A1213" s="9" t="s">
        <v>4489</v>
      </c>
      <c r="B1213" s="9" t="s">
        <v>390</v>
      </c>
      <c r="C1213" s="9" t="s">
        <v>1467</v>
      </c>
      <c r="D1213" s="9" t="s">
        <v>4490</v>
      </c>
      <c r="E1213" s="9" t="s">
        <v>1469</v>
      </c>
      <c r="F1213" s="9" t="s">
        <v>4491</v>
      </c>
    </row>
    <row r="1214">
      <c r="A1214" s="9" t="s">
        <v>4492</v>
      </c>
      <c r="B1214" s="9" t="s">
        <v>298</v>
      </c>
      <c r="C1214" s="9" t="s">
        <v>1467</v>
      </c>
      <c r="D1214" s="9" t="s">
        <v>4494</v>
      </c>
      <c r="E1214" s="9" t="s">
        <v>1469</v>
      </c>
      <c r="F1214" s="9" t="s">
        <v>4495</v>
      </c>
    </row>
    <row r="1215">
      <c r="A1215" s="9" t="s">
        <v>4496</v>
      </c>
      <c r="B1215" s="9" t="s">
        <v>139</v>
      </c>
      <c r="C1215" s="9" t="s">
        <v>1467</v>
      </c>
      <c r="D1215" s="9" t="s">
        <v>4497</v>
      </c>
      <c r="E1215" s="9" t="s">
        <v>1469</v>
      </c>
      <c r="F1215" s="9" t="s">
        <v>4498</v>
      </c>
    </row>
    <row r="1216">
      <c r="A1216" s="9" t="s">
        <v>4499</v>
      </c>
      <c r="B1216" s="9" t="s">
        <v>139</v>
      </c>
      <c r="C1216" s="9" t="s">
        <v>1467</v>
      </c>
      <c r="D1216" s="9" t="s">
        <v>4500</v>
      </c>
      <c r="E1216" s="9" t="s">
        <v>1469</v>
      </c>
      <c r="F1216" s="9" t="s">
        <v>4501</v>
      </c>
    </row>
    <row r="1217">
      <c r="A1217" s="9" t="s">
        <v>4502</v>
      </c>
      <c r="B1217" s="9" t="s">
        <v>300</v>
      </c>
      <c r="C1217" s="9" t="s">
        <v>1467</v>
      </c>
      <c r="D1217" s="9" t="s">
        <v>4503</v>
      </c>
      <c r="E1217" s="9" t="s">
        <v>1469</v>
      </c>
      <c r="F1217" s="9" t="s">
        <v>4504</v>
      </c>
    </row>
    <row r="1218">
      <c r="A1218" s="9" t="s">
        <v>4505</v>
      </c>
      <c r="B1218" s="9" t="s">
        <v>378</v>
      </c>
      <c r="C1218" s="9" t="s">
        <v>1467</v>
      </c>
      <c r="D1218" s="9" t="s">
        <v>4506</v>
      </c>
      <c r="E1218" s="9" t="s">
        <v>1469</v>
      </c>
      <c r="F1218" s="9" t="s">
        <v>4507</v>
      </c>
    </row>
    <row r="1219">
      <c r="A1219" s="9" t="s">
        <v>4508</v>
      </c>
      <c r="B1219" s="9" t="s">
        <v>354</v>
      </c>
      <c r="C1219" s="9" t="s">
        <v>1467</v>
      </c>
      <c r="D1219" s="9" t="s">
        <v>4509</v>
      </c>
      <c r="E1219" s="9" t="s">
        <v>1469</v>
      </c>
      <c r="F1219" s="9" t="s">
        <v>4510</v>
      </c>
    </row>
    <row r="1220">
      <c r="A1220" s="9" t="s">
        <v>4511</v>
      </c>
      <c r="B1220" s="9" t="s">
        <v>190</v>
      </c>
      <c r="C1220" s="9" t="s">
        <v>1467</v>
      </c>
      <c r="D1220" s="9" t="s">
        <v>4512</v>
      </c>
      <c r="E1220" s="9" t="s">
        <v>1469</v>
      </c>
      <c r="F1220" s="9" t="s">
        <v>4513</v>
      </c>
    </row>
    <row r="1221">
      <c r="A1221" s="9" t="s">
        <v>4515</v>
      </c>
      <c r="B1221" s="9" t="s">
        <v>401</v>
      </c>
      <c r="C1221" s="9" t="s">
        <v>1467</v>
      </c>
      <c r="D1221" s="9" t="s">
        <v>4518</v>
      </c>
      <c r="E1221" s="9" t="s">
        <v>1469</v>
      </c>
      <c r="F1221" s="9" t="s">
        <v>4519</v>
      </c>
    </row>
    <row r="1222">
      <c r="A1222" s="9" t="s">
        <v>4520</v>
      </c>
      <c r="B1222" s="9" t="s">
        <v>356</v>
      </c>
      <c r="C1222" s="9" t="s">
        <v>1467</v>
      </c>
      <c r="D1222" s="9" t="s">
        <v>4521</v>
      </c>
      <c r="E1222" s="9" t="s">
        <v>1469</v>
      </c>
      <c r="F1222" s="9" t="s">
        <v>4522</v>
      </c>
    </row>
    <row r="1223">
      <c r="A1223" s="9" t="s">
        <v>4523</v>
      </c>
      <c r="B1223" s="9" t="s">
        <v>293</v>
      </c>
      <c r="C1223" s="9" t="s">
        <v>1467</v>
      </c>
      <c r="D1223" s="9" t="s">
        <v>4524</v>
      </c>
      <c r="E1223" s="9" t="s">
        <v>1469</v>
      </c>
      <c r="F1223" s="9" t="s">
        <v>4525</v>
      </c>
    </row>
    <row r="1224">
      <c r="A1224" s="9" t="s">
        <v>4526</v>
      </c>
      <c r="B1224" s="9" t="s">
        <v>74</v>
      </c>
      <c r="C1224" s="9" t="s">
        <v>1467</v>
      </c>
      <c r="D1224" s="9" t="s">
        <v>4527</v>
      </c>
      <c r="E1224" s="9" t="s">
        <v>1469</v>
      </c>
      <c r="F1224" s="9" t="s">
        <v>4528</v>
      </c>
    </row>
    <row r="1225">
      <c r="A1225" s="9" t="s">
        <v>4529</v>
      </c>
      <c r="B1225" s="9" t="s">
        <v>200</v>
      </c>
      <c r="C1225" s="9" t="s">
        <v>1467</v>
      </c>
      <c r="D1225" s="9" t="s">
        <v>4530</v>
      </c>
      <c r="E1225" s="9" t="s">
        <v>1469</v>
      </c>
      <c r="F1225" s="9" t="s">
        <v>4532</v>
      </c>
    </row>
    <row r="1226">
      <c r="A1226" s="9" t="s">
        <v>4534</v>
      </c>
      <c r="B1226" s="9" t="s">
        <v>104</v>
      </c>
      <c r="C1226" s="9" t="s">
        <v>1467</v>
      </c>
      <c r="D1226" s="9" t="s">
        <v>4535</v>
      </c>
      <c r="E1226" s="9" t="s">
        <v>1469</v>
      </c>
      <c r="F1226" s="9" t="s">
        <v>4536</v>
      </c>
    </row>
    <row r="1227">
      <c r="A1227" s="9" t="s">
        <v>4537</v>
      </c>
      <c r="B1227" s="9" t="s">
        <v>331</v>
      </c>
      <c r="C1227" s="9" t="s">
        <v>1467</v>
      </c>
      <c r="D1227" s="9" t="s">
        <v>4538</v>
      </c>
      <c r="E1227" s="9" t="s">
        <v>1469</v>
      </c>
      <c r="F1227" s="9" t="s">
        <v>4539</v>
      </c>
    </row>
    <row r="1228">
      <c r="A1228" s="9" t="s">
        <v>4540</v>
      </c>
      <c r="B1228" s="9" t="s">
        <v>173</v>
      </c>
      <c r="C1228" s="9" t="s">
        <v>1467</v>
      </c>
      <c r="D1228" s="9" t="s">
        <v>4541</v>
      </c>
      <c r="E1228" s="9" t="s">
        <v>1469</v>
      </c>
      <c r="F1228" s="9" t="s">
        <v>4542</v>
      </c>
    </row>
    <row r="1229">
      <c r="A1229" s="9" t="s">
        <v>4543</v>
      </c>
      <c r="B1229" s="9" t="s">
        <v>385</v>
      </c>
      <c r="C1229" s="9" t="s">
        <v>1467</v>
      </c>
      <c r="D1229" s="9" t="s">
        <v>4544</v>
      </c>
      <c r="E1229" s="9" t="s">
        <v>1469</v>
      </c>
      <c r="F1229" s="9" t="s">
        <v>4545</v>
      </c>
    </row>
    <row r="1230">
      <c r="A1230" s="9" t="s">
        <v>4547</v>
      </c>
      <c r="B1230" s="9" t="s">
        <v>79</v>
      </c>
      <c r="C1230" s="9" t="s">
        <v>1467</v>
      </c>
      <c r="D1230" s="9" t="s">
        <v>4548</v>
      </c>
      <c r="E1230" s="9" t="s">
        <v>1469</v>
      </c>
      <c r="F1230" s="9" t="s">
        <v>4549</v>
      </c>
    </row>
    <row r="1231">
      <c r="A1231" s="9" t="s">
        <v>4550</v>
      </c>
      <c r="B1231" s="9" t="s">
        <v>235</v>
      </c>
      <c r="C1231" s="9" t="s">
        <v>1467</v>
      </c>
      <c r="D1231" s="9" t="s">
        <v>4551</v>
      </c>
      <c r="E1231" s="9" t="s">
        <v>1469</v>
      </c>
      <c r="F1231" s="9" t="s">
        <v>4552</v>
      </c>
    </row>
    <row r="1232">
      <c r="A1232" s="9" t="s">
        <v>4553</v>
      </c>
      <c r="B1232" s="9" t="s">
        <v>258</v>
      </c>
      <c r="C1232" s="9" t="s">
        <v>1467</v>
      </c>
      <c r="D1232" s="9" t="s">
        <v>4554</v>
      </c>
      <c r="E1232" s="9" t="s">
        <v>1469</v>
      </c>
      <c r="F1232" s="9" t="s">
        <v>4555</v>
      </c>
    </row>
    <row r="1233">
      <c r="A1233" s="9" t="s">
        <v>4556</v>
      </c>
      <c r="B1233" s="9" t="s">
        <v>109</v>
      </c>
      <c r="C1233" s="9" t="s">
        <v>1467</v>
      </c>
      <c r="D1233" s="9" t="s">
        <v>4557</v>
      </c>
      <c r="E1233" s="9" t="s">
        <v>1469</v>
      </c>
      <c r="F1233" s="9" t="s">
        <v>4558</v>
      </c>
    </row>
    <row r="1234">
      <c r="A1234" s="9" t="s">
        <v>4559</v>
      </c>
      <c r="B1234" s="9" t="s">
        <v>472</v>
      </c>
      <c r="C1234" s="9" t="s">
        <v>1467</v>
      </c>
      <c r="D1234" s="9" t="s">
        <v>4560</v>
      </c>
      <c r="E1234" s="9" t="s">
        <v>1469</v>
      </c>
      <c r="F1234" s="9" t="s">
        <v>4561</v>
      </c>
    </row>
    <row r="1235">
      <c r="A1235" s="9" t="s">
        <v>4562</v>
      </c>
      <c r="B1235" s="9" t="s">
        <v>472</v>
      </c>
      <c r="C1235" s="9" t="s">
        <v>1467</v>
      </c>
      <c r="D1235" s="9" t="s">
        <v>4563</v>
      </c>
      <c r="E1235" s="9" t="s">
        <v>1469</v>
      </c>
      <c r="F1235" s="9" t="s">
        <v>4564</v>
      </c>
    </row>
    <row r="1236">
      <c r="A1236" s="9" t="s">
        <v>4565</v>
      </c>
      <c r="B1236" s="9" t="s">
        <v>74</v>
      </c>
      <c r="C1236" s="9" t="s">
        <v>1467</v>
      </c>
      <c r="D1236" s="9" t="s">
        <v>4566</v>
      </c>
      <c r="E1236" s="9" t="s">
        <v>1469</v>
      </c>
      <c r="F1236" s="9" t="s">
        <v>4567</v>
      </c>
    </row>
    <row r="1237">
      <c r="A1237" s="9" t="s">
        <v>4568</v>
      </c>
      <c r="B1237" s="9" t="s">
        <v>109</v>
      </c>
      <c r="C1237" s="9" t="s">
        <v>1467</v>
      </c>
      <c r="D1237" s="9" t="s">
        <v>4569</v>
      </c>
      <c r="E1237" s="9" t="s">
        <v>1469</v>
      </c>
      <c r="F1237" s="9" t="s">
        <v>4570</v>
      </c>
    </row>
    <row r="1238">
      <c r="A1238" s="9" t="s">
        <v>4571</v>
      </c>
      <c r="B1238" s="9" t="s">
        <v>303</v>
      </c>
      <c r="C1238" s="9" t="s">
        <v>1467</v>
      </c>
      <c r="D1238" s="9" t="s">
        <v>4572</v>
      </c>
      <c r="E1238" s="9" t="s">
        <v>1469</v>
      </c>
      <c r="F1238" s="9" t="s">
        <v>4573</v>
      </c>
    </row>
    <row r="1239">
      <c r="A1239" s="9" t="s">
        <v>4574</v>
      </c>
      <c r="B1239" s="9" t="s">
        <v>334</v>
      </c>
      <c r="C1239" s="9" t="s">
        <v>1467</v>
      </c>
      <c r="D1239" s="9" t="s">
        <v>4575</v>
      </c>
      <c r="E1239" s="9" t="s">
        <v>1469</v>
      </c>
      <c r="F1239" s="9" t="s">
        <v>4576</v>
      </c>
    </row>
    <row r="1240">
      <c r="A1240" s="9" t="s">
        <v>4577</v>
      </c>
      <c r="B1240" s="9" t="s">
        <v>72</v>
      </c>
      <c r="C1240" s="9" t="s">
        <v>1467</v>
      </c>
      <c r="D1240" s="9" t="s">
        <v>4578</v>
      </c>
      <c r="E1240" s="9" t="s">
        <v>1469</v>
      </c>
      <c r="F1240" s="9" t="s">
        <v>4579</v>
      </c>
    </row>
    <row r="1241">
      <c r="A1241" s="9" t="s">
        <v>4580</v>
      </c>
      <c r="B1241" s="9" t="s">
        <v>472</v>
      </c>
      <c r="C1241" s="9" t="s">
        <v>1467</v>
      </c>
      <c r="D1241" s="9" t="s">
        <v>4581</v>
      </c>
      <c r="E1241" s="9" t="s">
        <v>1469</v>
      </c>
      <c r="F1241" s="9" t="s">
        <v>4582</v>
      </c>
    </row>
    <row r="1242">
      <c r="A1242" s="9" t="s">
        <v>4583</v>
      </c>
      <c r="B1242" s="9" t="s">
        <v>472</v>
      </c>
      <c r="C1242" s="9" t="s">
        <v>1467</v>
      </c>
      <c r="D1242" s="9" t="s">
        <v>4584</v>
      </c>
      <c r="E1242" s="9" t="s">
        <v>1469</v>
      </c>
      <c r="F1242" s="9" t="s">
        <v>4585</v>
      </c>
    </row>
    <row r="1243">
      <c r="A1243" s="9" t="s">
        <v>4586</v>
      </c>
      <c r="B1243" s="9" t="s">
        <v>404</v>
      </c>
      <c r="C1243" s="9" t="s">
        <v>1467</v>
      </c>
      <c r="D1243" s="9" t="s">
        <v>4587</v>
      </c>
      <c r="E1243" s="9" t="s">
        <v>1469</v>
      </c>
      <c r="F1243" s="9" t="s">
        <v>4588</v>
      </c>
    </row>
    <row r="1244">
      <c r="A1244" s="9" t="s">
        <v>4589</v>
      </c>
      <c r="B1244" s="9" t="s">
        <v>334</v>
      </c>
      <c r="C1244" s="9" t="s">
        <v>1467</v>
      </c>
      <c r="D1244" s="9" t="s">
        <v>4590</v>
      </c>
      <c r="E1244" s="9" t="s">
        <v>1469</v>
      </c>
      <c r="F1244" s="9" t="s">
        <v>4591</v>
      </c>
    </row>
    <row r="1245">
      <c r="A1245" s="9" t="s">
        <v>4593</v>
      </c>
      <c r="B1245" s="9" t="s">
        <v>404</v>
      </c>
      <c r="C1245" s="9" t="s">
        <v>1467</v>
      </c>
      <c r="D1245" s="9" t="s">
        <v>4594</v>
      </c>
      <c r="E1245" s="9" t="s">
        <v>1469</v>
      </c>
      <c r="F1245" s="9" t="s">
        <v>4595</v>
      </c>
    </row>
    <row r="1246">
      <c r="A1246" s="9" t="s">
        <v>4596</v>
      </c>
      <c r="B1246" s="9" t="s">
        <v>334</v>
      </c>
      <c r="C1246" s="9" t="s">
        <v>1467</v>
      </c>
      <c r="D1246" s="9" t="s">
        <v>4597</v>
      </c>
      <c r="E1246" s="9" t="s">
        <v>1469</v>
      </c>
      <c r="F1246" s="9" t="s">
        <v>4598</v>
      </c>
    </row>
    <row r="1247">
      <c r="A1247" s="9" t="s">
        <v>4599</v>
      </c>
      <c r="B1247" s="9" t="s">
        <v>299</v>
      </c>
      <c r="C1247" s="9" t="s">
        <v>1467</v>
      </c>
      <c r="D1247" s="9" t="s">
        <v>4600</v>
      </c>
      <c r="E1247" s="9" t="s">
        <v>1469</v>
      </c>
      <c r="F1247" s="9" t="s">
        <v>4601</v>
      </c>
    </row>
    <row r="1248">
      <c r="A1248" s="9" t="s">
        <v>4602</v>
      </c>
      <c r="B1248" s="9" t="s">
        <v>172</v>
      </c>
      <c r="C1248" s="9" t="s">
        <v>1467</v>
      </c>
      <c r="D1248" s="9" t="s">
        <v>4603</v>
      </c>
      <c r="E1248" s="9" t="s">
        <v>1469</v>
      </c>
      <c r="F1248" s="9" t="s">
        <v>4604</v>
      </c>
    </row>
    <row r="1249">
      <c r="A1249" s="9" t="s">
        <v>4605</v>
      </c>
      <c r="B1249" s="9" t="s">
        <v>172</v>
      </c>
      <c r="C1249" s="9" t="s">
        <v>1467</v>
      </c>
      <c r="D1249" s="9" t="s">
        <v>4606</v>
      </c>
      <c r="E1249" s="9" t="s">
        <v>1469</v>
      </c>
      <c r="F1249" s="9" t="s">
        <v>4607</v>
      </c>
    </row>
    <row r="1250">
      <c r="A1250" s="9" t="s">
        <v>4608</v>
      </c>
      <c r="B1250" s="9" t="s">
        <v>406</v>
      </c>
      <c r="C1250" s="9" t="s">
        <v>1467</v>
      </c>
      <c r="D1250" s="9" t="s">
        <v>4609</v>
      </c>
      <c r="E1250" s="9" t="s">
        <v>1469</v>
      </c>
      <c r="F1250" s="9" t="s">
        <v>4610</v>
      </c>
    </row>
    <row r="1251">
      <c r="A1251" s="9" t="s">
        <v>4611</v>
      </c>
      <c r="B1251" s="9" t="s">
        <v>376</v>
      </c>
      <c r="C1251" s="9" t="s">
        <v>1467</v>
      </c>
      <c r="D1251" s="9" t="s">
        <v>4612</v>
      </c>
      <c r="E1251" s="9" t="s">
        <v>1469</v>
      </c>
      <c r="F1251" s="9" t="s">
        <v>4613</v>
      </c>
    </row>
    <row r="1252">
      <c r="A1252" s="9" t="s">
        <v>4614</v>
      </c>
      <c r="B1252" s="9" t="s">
        <v>275</v>
      </c>
      <c r="C1252" s="9" t="s">
        <v>1467</v>
      </c>
      <c r="D1252" s="9" t="s">
        <v>4615</v>
      </c>
      <c r="E1252" s="9" t="s">
        <v>1469</v>
      </c>
      <c r="F1252" s="9" t="s">
        <v>4616</v>
      </c>
    </row>
    <row r="1253">
      <c r="A1253" s="9" t="s">
        <v>4617</v>
      </c>
      <c r="B1253" s="9" t="s">
        <v>404</v>
      </c>
      <c r="C1253" s="9" t="s">
        <v>1467</v>
      </c>
      <c r="D1253" s="9" t="s">
        <v>4618</v>
      </c>
      <c r="E1253" s="9" t="s">
        <v>1469</v>
      </c>
      <c r="F1253" s="9" t="s">
        <v>4619</v>
      </c>
    </row>
    <row r="1254">
      <c r="A1254" s="9" t="s">
        <v>4620</v>
      </c>
      <c r="B1254" s="9" t="s">
        <v>252</v>
      </c>
      <c r="C1254" s="9" t="s">
        <v>1467</v>
      </c>
      <c r="D1254" s="9" t="s">
        <v>4621</v>
      </c>
      <c r="E1254" s="9" t="s">
        <v>1469</v>
      </c>
      <c r="F1254" s="9" t="s">
        <v>4622</v>
      </c>
    </row>
    <row r="1255">
      <c r="A1255" s="9" t="s">
        <v>4623</v>
      </c>
      <c r="B1255" s="9" t="s">
        <v>275</v>
      </c>
      <c r="C1255" s="9" t="s">
        <v>1467</v>
      </c>
      <c r="D1255" s="9" t="s">
        <v>4624</v>
      </c>
      <c r="E1255" s="9" t="s">
        <v>1469</v>
      </c>
      <c r="F1255" s="9" t="s">
        <v>4625</v>
      </c>
    </row>
    <row r="1256">
      <c r="A1256" s="9" t="s">
        <v>4626</v>
      </c>
      <c r="B1256" s="9" t="s">
        <v>369</v>
      </c>
      <c r="C1256" s="9" t="s">
        <v>1467</v>
      </c>
      <c r="D1256" s="9" t="s">
        <v>4627</v>
      </c>
      <c r="E1256" s="9" t="s">
        <v>1469</v>
      </c>
      <c r="F1256" s="9" t="s">
        <v>4628</v>
      </c>
    </row>
    <row r="1257">
      <c r="A1257" s="9" t="s">
        <v>4629</v>
      </c>
      <c r="B1257" s="9" t="s">
        <v>369</v>
      </c>
      <c r="C1257" s="9" t="s">
        <v>1467</v>
      </c>
      <c r="D1257" s="9" t="s">
        <v>4630</v>
      </c>
      <c r="E1257" s="9" t="s">
        <v>1469</v>
      </c>
      <c r="F1257" s="9" t="s">
        <v>4631</v>
      </c>
    </row>
    <row r="1258">
      <c r="A1258" s="9" t="s">
        <v>4632</v>
      </c>
      <c r="B1258" s="9" t="s">
        <v>286</v>
      </c>
      <c r="C1258" s="9" t="s">
        <v>1467</v>
      </c>
      <c r="D1258" s="9" t="s">
        <v>4633</v>
      </c>
      <c r="E1258" s="9" t="s">
        <v>1469</v>
      </c>
      <c r="F1258" s="9" t="s">
        <v>4634</v>
      </c>
    </row>
    <row r="1259">
      <c r="A1259" s="9" t="s">
        <v>4635</v>
      </c>
      <c r="B1259" s="9" t="s">
        <v>308</v>
      </c>
      <c r="C1259" s="9" t="s">
        <v>1467</v>
      </c>
      <c r="D1259" s="9" t="s">
        <v>4636</v>
      </c>
      <c r="E1259" s="9" t="s">
        <v>1469</v>
      </c>
      <c r="F1259" s="9" t="s">
        <v>4637</v>
      </c>
    </row>
    <row r="1260">
      <c r="A1260" s="9" t="s">
        <v>4638</v>
      </c>
      <c r="B1260" s="9" t="s">
        <v>243</v>
      </c>
      <c r="C1260" s="9" t="s">
        <v>1467</v>
      </c>
      <c r="D1260" s="9" t="s">
        <v>4639</v>
      </c>
      <c r="E1260" s="9" t="s">
        <v>1469</v>
      </c>
      <c r="F1260" s="9" t="s">
        <v>4640</v>
      </c>
    </row>
    <row r="1261">
      <c r="A1261" s="9" t="s">
        <v>4641</v>
      </c>
      <c r="B1261" s="9" t="s">
        <v>359</v>
      </c>
      <c r="C1261" s="9" t="s">
        <v>1467</v>
      </c>
      <c r="D1261" s="9" t="s">
        <v>4642</v>
      </c>
      <c r="E1261" s="9" t="s">
        <v>1469</v>
      </c>
      <c r="F1261" s="9" t="s">
        <v>4644</v>
      </c>
    </row>
    <row r="1262">
      <c r="A1262" s="9" t="s">
        <v>4645</v>
      </c>
      <c r="B1262" s="9" t="s">
        <v>394</v>
      </c>
      <c r="C1262" s="9" t="s">
        <v>1467</v>
      </c>
      <c r="D1262" s="9" t="s">
        <v>4646</v>
      </c>
      <c r="E1262" s="9" t="s">
        <v>1469</v>
      </c>
      <c r="F1262" s="9" t="s">
        <v>4647</v>
      </c>
    </row>
    <row r="1263">
      <c r="A1263" s="9" t="s">
        <v>4648</v>
      </c>
      <c r="B1263" s="9" t="s">
        <v>77</v>
      </c>
      <c r="C1263" s="9" t="s">
        <v>1467</v>
      </c>
      <c r="D1263" s="9" t="s">
        <v>4649</v>
      </c>
      <c r="E1263" s="9" t="s">
        <v>1469</v>
      </c>
      <c r="F1263" s="9" t="s">
        <v>4650</v>
      </c>
    </row>
    <row r="1264">
      <c r="A1264" s="9" t="s">
        <v>4651</v>
      </c>
      <c r="B1264" s="9" t="s">
        <v>316</v>
      </c>
      <c r="C1264" s="9" t="s">
        <v>1467</v>
      </c>
      <c r="D1264" s="9" t="s">
        <v>4652</v>
      </c>
      <c r="E1264" s="9" t="s">
        <v>1469</v>
      </c>
      <c r="F1264" s="9" t="s">
        <v>4654</v>
      </c>
    </row>
    <row r="1265">
      <c r="A1265" s="9" t="s">
        <v>4656</v>
      </c>
      <c r="B1265" s="9" t="s">
        <v>413</v>
      </c>
      <c r="C1265" s="9" t="s">
        <v>1467</v>
      </c>
      <c r="D1265" s="9" t="s">
        <v>4658</v>
      </c>
      <c r="E1265" s="9" t="s">
        <v>1469</v>
      </c>
      <c r="F1265" s="9" t="s">
        <v>4659</v>
      </c>
    </row>
    <row r="1266">
      <c r="A1266" s="9" t="s">
        <v>4660</v>
      </c>
      <c r="B1266" s="9" t="s">
        <v>371</v>
      </c>
      <c r="C1266" s="9" t="s">
        <v>1467</v>
      </c>
      <c r="D1266" s="9" t="s">
        <v>4661</v>
      </c>
      <c r="E1266" s="9" t="s">
        <v>1469</v>
      </c>
      <c r="F1266" s="9" t="s">
        <v>4662</v>
      </c>
    </row>
    <row r="1267">
      <c r="A1267" s="9" t="s">
        <v>4663</v>
      </c>
      <c r="B1267" s="9" t="s">
        <v>184</v>
      </c>
      <c r="C1267" s="9" t="s">
        <v>1467</v>
      </c>
      <c r="D1267" s="9" t="s">
        <v>4664</v>
      </c>
      <c r="E1267" s="9" t="s">
        <v>1469</v>
      </c>
      <c r="F1267" s="9" t="s">
        <v>4665</v>
      </c>
    </row>
    <row r="1268">
      <c r="A1268" s="9" t="s">
        <v>4666</v>
      </c>
      <c r="B1268" s="9" t="s">
        <v>77</v>
      </c>
      <c r="C1268" s="9" t="s">
        <v>1467</v>
      </c>
      <c r="D1268" s="9" t="s">
        <v>4667</v>
      </c>
      <c r="E1268" s="9" t="s">
        <v>1469</v>
      </c>
      <c r="F1268" s="9" t="s">
        <v>4668</v>
      </c>
    </row>
    <row r="1269">
      <c r="A1269" s="9" t="s">
        <v>4669</v>
      </c>
      <c r="B1269" s="9" t="s">
        <v>304</v>
      </c>
      <c r="C1269" s="9" t="s">
        <v>1467</v>
      </c>
      <c r="D1269" s="9" t="s">
        <v>4670</v>
      </c>
      <c r="E1269" s="9" t="s">
        <v>1469</v>
      </c>
      <c r="F1269" s="9" t="s">
        <v>4671</v>
      </c>
    </row>
    <row r="1270">
      <c r="A1270" s="9" t="s">
        <v>4672</v>
      </c>
      <c r="B1270" s="9" t="s">
        <v>74</v>
      </c>
      <c r="C1270" s="9" t="s">
        <v>1467</v>
      </c>
      <c r="D1270" s="9" t="s">
        <v>4673</v>
      </c>
      <c r="E1270" s="9" t="s">
        <v>1469</v>
      </c>
      <c r="F1270" s="9" t="s">
        <v>4674</v>
      </c>
    </row>
    <row r="1271">
      <c r="A1271" s="9" t="s">
        <v>4675</v>
      </c>
      <c r="B1271" s="9" t="s">
        <v>59</v>
      </c>
      <c r="C1271" s="9" t="s">
        <v>1467</v>
      </c>
      <c r="D1271" s="9" t="s">
        <v>4676</v>
      </c>
      <c r="E1271" s="9" t="s">
        <v>1469</v>
      </c>
      <c r="F1271" s="9" t="s">
        <v>4677</v>
      </c>
    </row>
    <row r="1272">
      <c r="A1272" s="9" t="s">
        <v>4678</v>
      </c>
      <c r="B1272" s="9" t="s">
        <v>286</v>
      </c>
      <c r="C1272" s="9" t="s">
        <v>1467</v>
      </c>
      <c r="D1272" s="9" t="s">
        <v>4679</v>
      </c>
      <c r="E1272" s="9" t="s">
        <v>1469</v>
      </c>
      <c r="F1272" s="9" t="s">
        <v>4680</v>
      </c>
    </row>
    <row r="1273">
      <c r="A1273" s="9" t="s">
        <v>4681</v>
      </c>
      <c r="B1273" s="9" t="s">
        <v>413</v>
      </c>
      <c r="C1273" s="9" t="s">
        <v>1467</v>
      </c>
      <c r="D1273" s="9" t="s">
        <v>4682</v>
      </c>
      <c r="E1273" s="9" t="s">
        <v>1469</v>
      </c>
      <c r="F1273" s="9" t="s">
        <v>4683</v>
      </c>
    </row>
    <row r="1274">
      <c r="A1274" s="9" t="s">
        <v>4684</v>
      </c>
      <c r="B1274" s="9" t="s">
        <v>369</v>
      </c>
      <c r="C1274" s="9" t="s">
        <v>1467</v>
      </c>
      <c r="D1274" s="9" t="s">
        <v>4685</v>
      </c>
      <c r="E1274" s="9" t="s">
        <v>1469</v>
      </c>
      <c r="F1274" s="9" t="s">
        <v>4686</v>
      </c>
    </row>
    <row r="1275">
      <c r="A1275" s="9" t="s">
        <v>4687</v>
      </c>
      <c r="B1275" s="9" t="s">
        <v>374</v>
      </c>
      <c r="C1275" s="9" t="s">
        <v>1467</v>
      </c>
      <c r="D1275" s="9" t="s">
        <v>4688</v>
      </c>
      <c r="E1275" s="9" t="s">
        <v>1469</v>
      </c>
      <c r="F1275" s="9" t="s">
        <v>4689</v>
      </c>
    </row>
    <row r="1276">
      <c r="A1276" s="9" t="s">
        <v>4690</v>
      </c>
      <c r="B1276" s="9" t="s">
        <v>303</v>
      </c>
      <c r="C1276" s="9" t="s">
        <v>1467</v>
      </c>
      <c r="D1276" s="9" t="s">
        <v>4691</v>
      </c>
      <c r="E1276" s="9" t="s">
        <v>1469</v>
      </c>
      <c r="F1276" s="9" t="s">
        <v>4692</v>
      </c>
    </row>
    <row r="1277">
      <c r="A1277" s="9" t="s">
        <v>4693</v>
      </c>
      <c r="B1277" s="9" t="s">
        <v>308</v>
      </c>
      <c r="C1277" s="9" t="s">
        <v>1467</v>
      </c>
      <c r="D1277" s="9" t="s">
        <v>4695</v>
      </c>
      <c r="E1277" s="9" t="s">
        <v>1469</v>
      </c>
      <c r="F1277" s="9" t="s">
        <v>4696</v>
      </c>
    </row>
    <row r="1278">
      <c r="A1278" s="9" t="s">
        <v>4697</v>
      </c>
      <c r="B1278" s="9" t="s">
        <v>369</v>
      </c>
      <c r="C1278" s="9" t="s">
        <v>1467</v>
      </c>
      <c r="D1278" s="9" t="s">
        <v>4698</v>
      </c>
      <c r="E1278" s="9" t="s">
        <v>1469</v>
      </c>
      <c r="F1278" s="9" t="s">
        <v>4699</v>
      </c>
    </row>
    <row r="1279">
      <c r="A1279" s="9" t="s">
        <v>4700</v>
      </c>
      <c r="B1279" s="9" t="s">
        <v>413</v>
      </c>
      <c r="C1279" s="9" t="s">
        <v>1467</v>
      </c>
      <c r="D1279" s="9" t="s">
        <v>4701</v>
      </c>
      <c r="E1279" s="9" t="s">
        <v>1469</v>
      </c>
      <c r="F1279" s="9" t="s">
        <v>4702</v>
      </c>
    </row>
    <row r="1280">
      <c r="A1280" s="9" t="s">
        <v>4703</v>
      </c>
      <c r="B1280" s="9" t="s">
        <v>374</v>
      </c>
      <c r="C1280" s="9" t="s">
        <v>1467</v>
      </c>
      <c r="D1280" s="9" t="s">
        <v>4704</v>
      </c>
      <c r="E1280" s="9" t="s">
        <v>1469</v>
      </c>
      <c r="F1280" s="9" t="s">
        <v>4705</v>
      </c>
    </row>
    <row r="1281">
      <c r="A1281" s="9" t="s">
        <v>4706</v>
      </c>
      <c r="B1281" s="9" t="s">
        <v>413</v>
      </c>
      <c r="C1281" s="9" t="s">
        <v>1467</v>
      </c>
      <c r="D1281" s="9" t="s">
        <v>4707</v>
      </c>
      <c r="E1281" s="9" t="s">
        <v>1469</v>
      </c>
      <c r="F1281" s="9" t="s">
        <v>4708</v>
      </c>
    </row>
    <row r="1282">
      <c r="A1282" s="9" t="s">
        <v>4709</v>
      </c>
      <c r="B1282" s="9" t="s">
        <v>131</v>
      </c>
      <c r="C1282" s="9" t="s">
        <v>1467</v>
      </c>
      <c r="D1282" s="9" t="s">
        <v>4710</v>
      </c>
      <c r="E1282" s="9" t="s">
        <v>1469</v>
      </c>
      <c r="F1282" s="9" t="s">
        <v>4711</v>
      </c>
    </row>
    <row r="1283">
      <c r="A1283" s="9" t="s">
        <v>4712</v>
      </c>
      <c r="B1283" s="9" t="s">
        <v>424</v>
      </c>
      <c r="C1283" s="9" t="s">
        <v>1467</v>
      </c>
      <c r="D1283" s="9" t="s">
        <v>4713</v>
      </c>
      <c r="E1283" s="9" t="s">
        <v>1469</v>
      </c>
      <c r="F1283" s="9" t="s">
        <v>4714</v>
      </c>
    </row>
    <row r="1284">
      <c r="A1284" s="9" t="s">
        <v>4715</v>
      </c>
      <c r="B1284" s="9" t="s">
        <v>343</v>
      </c>
      <c r="C1284" s="9" t="s">
        <v>1467</v>
      </c>
      <c r="D1284" s="9" t="s">
        <v>4716</v>
      </c>
      <c r="E1284" s="9" t="s">
        <v>1469</v>
      </c>
      <c r="F1284" s="9" t="s">
        <v>4717</v>
      </c>
    </row>
    <row r="1285">
      <c r="A1285" s="9" t="s">
        <v>4718</v>
      </c>
      <c r="B1285" s="9" t="s">
        <v>323</v>
      </c>
      <c r="C1285" s="9" t="s">
        <v>1467</v>
      </c>
      <c r="D1285" s="9" t="s">
        <v>4719</v>
      </c>
      <c r="E1285" s="9" t="s">
        <v>1469</v>
      </c>
      <c r="F1285" s="9" t="s">
        <v>4720</v>
      </c>
    </row>
    <row r="1286">
      <c r="A1286" s="9" t="s">
        <v>4721</v>
      </c>
      <c r="B1286" s="9" t="s">
        <v>372</v>
      </c>
      <c r="C1286" s="9" t="s">
        <v>1467</v>
      </c>
      <c r="D1286" s="9" t="s">
        <v>4722</v>
      </c>
      <c r="E1286" s="9" t="s">
        <v>1469</v>
      </c>
      <c r="F1286" s="9" t="s">
        <v>4723</v>
      </c>
    </row>
    <row r="1287">
      <c r="A1287" s="9" t="s">
        <v>4724</v>
      </c>
      <c r="B1287" s="9" t="s">
        <v>414</v>
      </c>
      <c r="C1287" s="9" t="s">
        <v>1467</v>
      </c>
      <c r="D1287" s="9" t="s">
        <v>4725</v>
      </c>
      <c r="E1287" s="9" t="s">
        <v>1469</v>
      </c>
      <c r="F1287" s="9" t="s">
        <v>4726</v>
      </c>
    </row>
    <row r="1288">
      <c r="A1288" s="9" t="s">
        <v>4727</v>
      </c>
      <c r="B1288" s="9" t="s">
        <v>406</v>
      </c>
      <c r="C1288" s="9" t="s">
        <v>1467</v>
      </c>
      <c r="D1288" s="9" t="s">
        <v>4728</v>
      </c>
      <c r="E1288" s="9" t="s">
        <v>1469</v>
      </c>
      <c r="F1288" s="9" t="s">
        <v>4729</v>
      </c>
    </row>
    <row r="1289">
      <c r="A1289" s="9" t="s">
        <v>4730</v>
      </c>
      <c r="B1289" s="9" t="s">
        <v>414</v>
      </c>
      <c r="C1289" s="9" t="s">
        <v>1467</v>
      </c>
      <c r="D1289" s="9" t="s">
        <v>4731</v>
      </c>
      <c r="E1289" s="9" t="s">
        <v>1469</v>
      </c>
      <c r="F1289" s="9" t="s">
        <v>4732</v>
      </c>
    </row>
    <row r="1290">
      <c r="A1290" s="9" t="s">
        <v>4733</v>
      </c>
      <c r="B1290" s="9" t="s">
        <v>372</v>
      </c>
      <c r="C1290" s="9" t="s">
        <v>1467</v>
      </c>
      <c r="D1290" s="9" t="s">
        <v>4734</v>
      </c>
      <c r="E1290" s="9" t="s">
        <v>1469</v>
      </c>
      <c r="F1290" s="9" t="s">
        <v>4735</v>
      </c>
    </row>
    <row r="1291">
      <c r="A1291" s="9" t="s">
        <v>4736</v>
      </c>
      <c r="B1291" s="9" t="s">
        <v>172</v>
      </c>
      <c r="C1291" s="9" t="s">
        <v>1467</v>
      </c>
      <c r="D1291" s="9" t="s">
        <v>4737</v>
      </c>
      <c r="E1291" s="9" t="s">
        <v>1469</v>
      </c>
      <c r="F1291" s="9" t="s">
        <v>4738</v>
      </c>
    </row>
    <row r="1292">
      <c r="A1292" s="9" t="s">
        <v>4740</v>
      </c>
      <c r="B1292" s="9" t="s">
        <v>287</v>
      </c>
      <c r="C1292" s="9" t="s">
        <v>1467</v>
      </c>
      <c r="D1292" s="9" t="s">
        <v>4741</v>
      </c>
      <c r="E1292" s="9" t="s">
        <v>1469</v>
      </c>
      <c r="F1292" s="9" t="s">
        <v>4742</v>
      </c>
    </row>
    <row r="1293">
      <c r="A1293" s="9" t="s">
        <v>4743</v>
      </c>
      <c r="B1293" s="9" t="s">
        <v>351</v>
      </c>
      <c r="C1293" s="9" t="s">
        <v>1467</v>
      </c>
      <c r="D1293" s="9" t="s">
        <v>4744</v>
      </c>
      <c r="E1293" s="9" t="s">
        <v>1469</v>
      </c>
      <c r="F1293" s="9" t="s">
        <v>4745</v>
      </c>
    </row>
    <row r="1294">
      <c r="A1294" s="9" t="s">
        <v>4746</v>
      </c>
      <c r="B1294" s="9" t="s">
        <v>351</v>
      </c>
      <c r="C1294" s="9" t="s">
        <v>1467</v>
      </c>
      <c r="D1294" s="9" t="s">
        <v>4747</v>
      </c>
      <c r="E1294" s="9" t="s">
        <v>1469</v>
      </c>
      <c r="F1294" s="9" t="s">
        <v>4748</v>
      </c>
    </row>
    <row r="1295">
      <c r="A1295" s="9" t="s">
        <v>4749</v>
      </c>
      <c r="B1295" s="9" t="s">
        <v>421</v>
      </c>
      <c r="C1295" s="9" t="s">
        <v>1467</v>
      </c>
      <c r="D1295" s="9" t="s">
        <v>4750</v>
      </c>
      <c r="E1295" s="9" t="s">
        <v>1469</v>
      </c>
      <c r="F1295" s="9" t="s">
        <v>4751</v>
      </c>
    </row>
    <row r="1296">
      <c r="A1296" s="9" t="s">
        <v>4752</v>
      </c>
      <c r="B1296" s="9" t="s">
        <v>421</v>
      </c>
      <c r="C1296" s="9" t="s">
        <v>1467</v>
      </c>
      <c r="D1296" s="9" t="s">
        <v>4753</v>
      </c>
      <c r="E1296" s="9" t="s">
        <v>1469</v>
      </c>
      <c r="F1296" s="9" t="s">
        <v>4754</v>
      </c>
    </row>
    <row r="1297">
      <c r="A1297" s="9" t="s">
        <v>4755</v>
      </c>
      <c r="B1297" s="9" t="s">
        <v>300</v>
      </c>
      <c r="C1297" s="9" t="s">
        <v>1467</v>
      </c>
      <c r="D1297" s="9" t="s">
        <v>4756</v>
      </c>
      <c r="E1297" s="9" t="s">
        <v>1469</v>
      </c>
      <c r="F1297" s="9" t="s">
        <v>4757</v>
      </c>
    </row>
    <row r="1298">
      <c r="A1298" s="9" t="s">
        <v>4758</v>
      </c>
      <c r="B1298" s="9" t="s">
        <v>351</v>
      </c>
      <c r="C1298" s="9" t="s">
        <v>1467</v>
      </c>
      <c r="D1298" s="9" t="s">
        <v>4759</v>
      </c>
      <c r="E1298" s="9" t="s">
        <v>1469</v>
      </c>
      <c r="F1298" s="9" t="s">
        <v>4760</v>
      </c>
    </row>
    <row r="1299">
      <c r="A1299" s="9" t="s">
        <v>4761</v>
      </c>
      <c r="B1299" s="9" t="s">
        <v>280</v>
      </c>
      <c r="C1299" s="9" t="s">
        <v>1467</v>
      </c>
      <c r="D1299" s="9" t="s">
        <v>4762</v>
      </c>
      <c r="E1299" s="9" t="s">
        <v>1469</v>
      </c>
      <c r="F1299" s="9" t="s">
        <v>4763</v>
      </c>
    </row>
    <row r="1300">
      <c r="A1300" s="9" t="s">
        <v>4764</v>
      </c>
      <c r="B1300" s="9" t="s">
        <v>421</v>
      </c>
      <c r="C1300" s="9" t="s">
        <v>1467</v>
      </c>
      <c r="D1300" s="9" t="s">
        <v>4765</v>
      </c>
      <c r="E1300" s="9" t="s">
        <v>1469</v>
      </c>
      <c r="F1300" s="9" t="s">
        <v>4766</v>
      </c>
    </row>
    <row r="1301">
      <c r="A1301" s="9" t="s">
        <v>4767</v>
      </c>
      <c r="B1301" s="9" t="s">
        <v>100</v>
      </c>
      <c r="C1301" s="9" t="s">
        <v>1467</v>
      </c>
      <c r="D1301" s="9" t="s">
        <v>4768</v>
      </c>
      <c r="E1301" s="9" t="s">
        <v>1469</v>
      </c>
      <c r="F1301" s="9" t="s">
        <v>4769</v>
      </c>
    </row>
    <row r="1302">
      <c r="A1302" s="9" t="s">
        <v>4770</v>
      </c>
      <c r="B1302" s="9" t="s">
        <v>131</v>
      </c>
      <c r="C1302" s="9" t="s">
        <v>1467</v>
      </c>
      <c r="D1302" s="9" t="s">
        <v>4771</v>
      </c>
      <c r="E1302" s="9" t="s">
        <v>1469</v>
      </c>
      <c r="F1302" s="9" t="s">
        <v>4772</v>
      </c>
    </row>
    <row r="1303">
      <c r="A1303" s="9" t="s">
        <v>4773</v>
      </c>
      <c r="B1303" s="9" t="s">
        <v>348</v>
      </c>
      <c r="C1303" s="9" t="s">
        <v>1467</v>
      </c>
      <c r="D1303" s="9" t="s">
        <v>4774</v>
      </c>
      <c r="E1303" s="9" t="s">
        <v>1469</v>
      </c>
      <c r="F1303" s="9" t="s">
        <v>4775</v>
      </c>
    </row>
    <row r="1304">
      <c r="A1304" s="9" t="s">
        <v>4776</v>
      </c>
      <c r="B1304" s="9" t="s">
        <v>103</v>
      </c>
      <c r="C1304" s="9" t="s">
        <v>1467</v>
      </c>
      <c r="D1304" s="9" t="s">
        <v>4777</v>
      </c>
      <c r="E1304" s="9" t="s">
        <v>1469</v>
      </c>
      <c r="F1304" s="9" t="s">
        <v>4778</v>
      </c>
    </row>
    <row r="1305">
      <c r="A1305" s="9" t="s">
        <v>4779</v>
      </c>
      <c r="B1305" s="9" t="s">
        <v>401</v>
      </c>
      <c r="C1305" s="9" t="s">
        <v>1467</v>
      </c>
      <c r="D1305" s="9" t="s">
        <v>4780</v>
      </c>
      <c r="E1305" s="9" t="s">
        <v>1469</v>
      </c>
      <c r="F1305" s="9" t="s">
        <v>4781</v>
      </c>
    </row>
    <row r="1306">
      <c r="A1306" s="9" t="s">
        <v>4782</v>
      </c>
      <c r="B1306" s="9" t="s">
        <v>421</v>
      </c>
      <c r="C1306" s="9" t="s">
        <v>1467</v>
      </c>
      <c r="D1306" s="9" t="s">
        <v>4783</v>
      </c>
      <c r="E1306" s="9" t="s">
        <v>1469</v>
      </c>
      <c r="F1306" s="9" t="s">
        <v>4784</v>
      </c>
    </row>
    <row r="1307">
      <c r="A1307" s="9" t="s">
        <v>4785</v>
      </c>
      <c r="B1307" s="9" t="s">
        <v>150</v>
      </c>
      <c r="C1307" s="9" t="s">
        <v>1467</v>
      </c>
      <c r="D1307" s="9" t="s">
        <v>4786</v>
      </c>
      <c r="E1307" s="9" t="s">
        <v>1469</v>
      </c>
      <c r="F1307" s="9" t="s">
        <v>4787</v>
      </c>
    </row>
    <row r="1308">
      <c r="A1308" s="9" t="s">
        <v>4789</v>
      </c>
      <c r="B1308" s="9" t="s">
        <v>367</v>
      </c>
      <c r="C1308" s="9" t="s">
        <v>1467</v>
      </c>
      <c r="D1308" s="9" t="s">
        <v>4793</v>
      </c>
      <c r="E1308" s="9" t="s">
        <v>1469</v>
      </c>
      <c r="F1308" s="9" t="s">
        <v>4794</v>
      </c>
    </row>
    <row r="1309">
      <c r="A1309" s="9" t="s">
        <v>4795</v>
      </c>
      <c r="B1309" s="9" t="s">
        <v>195</v>
      </c>
      <c r="C1309" s="9" t="s">
        <v>1467</v>
      </c>
      <c r="D1309" s="9" t="s">
        <v>4796</v>
      </c>
      <c r="E1309" s="9" t="s">
        <v>1469</v>
      </c>
      <c r="F1309" s="9" t="s">
        <v>4797</v>
      </c>
    </row>
    <row r="1310">
      <c r="A1310" s="9" t="s">
        <v>4798</v>
      </c>
      <c r="B1310" s="9" t="s">
        <v>324</v>
      </c>
      <c r="C1310" s="9" t="s">
        <v>1467</v>
      </c>
      <c r="D1310" s="9" t="s">
        <v>4799</v>
      </c>
      <c r="E1310" s="9" t="s">
        <v>1469</v>
      </c>
      <c r="F1310" s="9" t="s">
        <v>4800</v>
      </c>
    </row>
    <row r="1311">
      <c r="A1311" s="9" t="s">
        <v>4801</v>
      </c>
      <c r="B1311" s="9" t="s">
        <v>157</v>
      </c>
      <c r="C1311" s="9" t="s">
        <v>1467</v>
      </c>
      <c r="D1311" s="9" t="s">
        <v>4802</v>
      </c>
      <c r="E1311" s="9" t="s">
        <v>1469</v>
      </c>
      <c r="F1311" s="9" t="s">
        <v>4803</v>
      </c>
    </row>
    <row r="1312">
      <c r="A1312" s="9" t="s">
        <v>4804</v>
      </c>
      <c r="B1312" s="9" t="s">
        <v>248</v>
      </c>
      <c r="C1312" s="9" t="s">
        <v>1467</v>
      </c>
      <c r="D1312" s="9" t="s">
        <v>4805</v>
      </c>
      <c r="E1312" s="9" t="s">
        <v>1469</v>
      </c>
      <c r="F1312" s="9" t="s">
        <v>4806</v>
      </c>
    </row>
    <row r="1313">
      <c r="A1313" s="9" t="s">
        <v>4807</v>
      </c>
      <c r="B1313" s="9" t="s">
        <v>313</v>
      </c>
      <c r="C1313" s="9" t="s">
        <v>1467</v>
      </c>
      <c r="D1313" s="9" t="s">
        <v>4808</v>
      </c>
      <c r="E1313" s="9" t="s">
        <v>1469</v>
      </c>
      <c r="F1313" s="9" t="s">
        <v>4809</v>
      </c>
    </row>
    <row r="1314">
      <c r="A1314" s="9" t="s">
        <v>4810</v>
      </c>
      <c r="B1314" s="9" t="s">
        <v>158</v>
      </c>
      <c r="C1314" s="9" t="s">
        <v>1467</v>
      </c>
      <c r="D1314" s="9" t="s">
        <v>4811</v>
      </c>
      <c r="E1314" s="9" t="s">
        <v>1469</v>
      </c>
      <c r="F1314" s="9" t="s">
        <v>4812</v>
      </c>
    </row>
    <row r="1315">
      <c r="A1315" s="9" t="s">
        <v>4813</v>
      </c>
      <c r="B1315" s="9" t="s">
        <v>362</v>
      </c>
      <c r="C1315" s="9" t="s">
        <v>1467</v>
      </c>
      <c r="D1315" s="9" t="s">
        <v>4814</v>
      </c>
      <c r="E1315" s="9" t="s">
        <v>1469</v>
      </c>
      <c r="F1315" s="9" t="s">
        <v>4815</v>
      </c>
    </row>
    <row r="1316">
      <c r="A1316" s="9" t="s">
        <v>4816</v>
      </c>
      <c r="B1316" s="9" t="s">
        <v>371</v>
      </c>
      <c r="C1316" s="9" t="s">
        <v>1467</v>
      </c>
      <c r="D1316" s="9" t="s">
        <v>4817</v>
      </c>
      <c r="E1316" s="9" t="s">
        <v>1469</v>
      </c>
      <c r="F1316" s="9" t="s">
        <v>4818</v>
      </c>
    </row>
    <row r="1317">
      <c r="A1317" s="9" t="s">
        <v>4819</v>
      </c>
      <c r="B1317" s="9" t="s">
        <v>324</v>
      </c>
      <c r="C1317" s="9" t="s">
        <v>1467</v>
      </c>
      <c r="D1317" s="9" t="s">
        <v>4820</v>
      </c>
      <c r="E1317" s="9" t="s">
        <v>1469</v>
      </c>
      <c r="F1317" s="9" t="s">
        <v>4821</v>
      </c>
    </row>
    <row r="1318">
      <c r="A1318" s="9" t="s">
        <v>4822</v>
      </c>
      <c r="B1318" s="9" t="s">
        <v>362</v>
      </c>
      <c r="C1318" s="9" t="s">
        <v>1467</v>
      </c>
      <c r="D1318" s="9" t="s">
        <v>4823</v>
      </c>
      <c r="E1318" s="9" t="s">
        <v>1469</v>
      </c>
      <c r="F1318" s="9" t="s">
        <v>4824</v>
      </c>
    </row>
    <row r="1319">
      <c r="A1319" s="9" t="s">
        <v>4825</v>
      </c>
      <c r="B1319" s="9" t="s">
        <v>313</v>
      </c>
      <c r="C1319" s="9" t="s">
        <v>1467</v>
      </c>
      <c r="D1319" s="9" t="s">
        <v>4826</v>
      </c>
      <c r="E1319" s="9" t="s">
        <v>1469</v>
      </c>
      <c r="F1319" s="9" t="s">
        <v>4827</v>
      </c>
    </row>
    <row r="1320">
      <c r="A1320" s="9" t="s">
        <v>4828</v>
      </c>
      <c r="B1320" s="9" t="s">
        <v>246</v>
      </c>
      <c r="C1320" s="9" t="s">
        <v>1467</v>
      </c>
      <c r="D1320" s="9" t="s">
        <v>4829</v>
      </c>
      <c r="E1320" s="9" t="s">
        <v>1469</v>
      </c>
      <c r="F1320" s="9" t="s">
        <v>4831</v>
      </c>
    </row>
    <row r="1321">
      <c r="A1321" s="9" t="s">
        <v>4832</v>
      </c>
      <c r="B1321" s="9" t="s">
        <v>172</v>
      </c>
      <c r="C1321" s="9" t="s">
        <v>1467</v>
      </c>
      <c r="D1321" s="9" t="s">
        <v>4833</v>
      </c>
      <c r="E1321" s="9" t="s">
        <v>1469</v>
      </c>
      <c r="F1321" s="9" t="s">
        <v>4834</v>
      </c>
    </row>
    <row r="1322">
      <c r="A1322" s="9" t="s">
        <v>4835</v>
      </c>
      <c r="B1322" s="9" t="s">
        <v>387</v>
      </c>
      <c r="C1322" s="9" t="s">
        <v>1467</v>
      </c>
      <c r="D1322" s="9" t="s">
        <v>4836</v>
      </c>
      <c r="E1322" s="9" t="s">
        <v>1469</v>
      </c>
      <c r="F1322" s="9" t="s">
        <v>4837</v>
      </c>
    </row>
    <row r="1323">
      <c r="A1323" s="9" t="s">
        <v>4838</v>
      </c>
      <c r="B1323" s="9" t="s">
        <v>402</v>
      </c>
      <c r="C1323" s="9" t="s">
        <v>1467</v>
      </c>
      <c r="D1323" s="9" t="s">
        <v>4839</v>
      </c>
      <c r="E1323" s="9" t="s">
        <v>1469</v>
      </c>
      <c r="F1323" s="9" t="s">
        <v>4840</v>
      </c>
    </row>
    <row r="1324">
      <c r="A1324" s="9" t="s">
        <v>4841</v>
      </c>
      <c r="B1324" s="9" t="s">
        <v>304</v>
      </c>
      <c r="C1324" s="9" t="s">
        <v>1467</v>
      </c>
      <c r="D1324" s="9" t="s">
        <v>4843</v>
      </c>
      <c r="E1324" s="9" t="s">
        <v>1469</v>
      </c>
      <c r="F1324" s="9" t="s">
        <v>4844</v>
      </c>
    </row>
    <row r="1325">
      <c r="A1325" s="9" t="s">
        <v>4845</v>
      </c>
      <c r="B1325" s="9" t="s">
        <v>246</v>
      </c>
      <c r="C1325" s="9" t="s">
        <v>1467</v>
      </c>
      <c r="D1325" s="9" t="s">
        <v>4846</v>
      </c>
      <c r="E1325" s="9" t="s">
        <v>1469</v>
      </c>
      <c r="F1325" s="9" t="s">
        <v>4847</v>
      </c>
    </row>
    <row r="1326">
      <c r="A1326" s="9" t="s">
        <v>4848</v>
      </c>
      <c r="B1326" s="9" t="s">
        <v>195</v>
      </c>
      <c r="C1326" s="9" t="s">
        <v>1467</v>
      </c>
      <c r="D1326" s="9" t="s">
        <v>4849</v>
      </c>
      <c r="E1326" s="9" t="s">
        <v>1469</v>
      </c>
      <c r="F1326" s="9" t="s">
        <v>4850</v>
      </c>
    </row>
    <row r="1327">
      <c r="A1327" s="9" t="s">
        <v>4851</v>
      </c>
      <c r="B1327" s="9" t="s">
        <v>374</v>
      </c>
      <c r="C1327" s="9" t="s">
        <v>1467</v>
      </c>
      <c r="D1327" s="9" t="s">
        <v>4852</v>
      </c>
      <c r="E1327" s="9" t="s">
        <v>1469</v>
      </c>
      <c r="F1327" s="9" t="s">
        <v>4853</v>
      </c>
    </row>
    <row r="1328">
      <c r="A1328" s="9" t="s">
        <v>4854</v>
      </c>
      <c r="B1328" s="9" t="s">
        <v>354</v>
      </c>
      <c r="C1328" s="9" t="s">
        <v>1467</v>
      </c>
      <c r="D1328" s="9" t="s">
        <v>4855</v>
      </c>
      <c r="E1328" s="9" t="s">
        <v>1469</v>
      </c>
      <c r="F1328" s="9" t="s">
        <v>4856</v>
      </c>
    </row>
    <row r="1329">
      <c r="A1329" s="9" t="s">
        <v>4857</v>
      </c>
      <c r="B1329" s="9" t="s">
        <v>125</v>
      </c>
      <c r="C1329" s="9" t="s">
        <v>1467</v>
      </c>
      <c r="D1329" s="9" t="s">
        <v>4858</v>
      </c>
      <c r="E1329" s="9" t="s">
        <v>1469</v>
      </c>
      <c r="F1329" s="9" t="s">
        <v>4859</v>
      </c>
    </row>
    <row r="1330">
      <c r="A1330" s="9" t="s">
        <v>4860</v>
      </c>
      <c r="B1330" s="9" t="s">
        <v>402</v>
      </c>
      <c r="C1330" s="9" t="s">
        <v>1467</v>
      </c>
      <c r="D1330" s="9" t="s">
        <v>4861</v>
      </c>
      <c r="E1330" s="9" t="s">
        <v>1469</v>
      </c>
      <c r="F1330" s="9" t="s">
        <v>4862</v>
      </c>
    </row>
    <row r="1331">
      <c r="A1331" s="9" t="s">
        <v>4863</v>
      </c>
      <c r="B1331" s="9" t="s">
        <v>367</v>
      </c>
      <c r="C1331" s="9" t="s">
        <v>1467</v>
      </c>
      <c r="D1331" s="9" t="s">
        <v>4864</v>
      </c>
      <c r="E1331" s="9" t="s">
        <v>1469</v>
      </c>
      <c r="F1331" s="9" t="s">
        <v>4865</v>
      </c>
    </row>
    <row r="1332">
      <c r="A1332" s="9" t="s">
        <v>4866</v>
      </c>
      <c r="B1332" s="9" t="s">
        <v>396</v>
      </c>
      <c r="C1332" s="9" t="s">
        <v>1467</v>
      </c>
      <c r="D1332" s="9" t="s">
        <v>4868</v>
      </c>
      <c r="E1332" s="9" t="s">
        <v>1469</v>
      </c>
      <c r="F1332" s="9" t="s">
        <v>4869</v>
      </c>
    </row>
    <row r="1333">
      <c r="A1333" s="9" t="s">
        <v>4870</v>
      </c>
      <c r="B1333" s="9" t="s">
        <v>267</v>
      </c>
      <c r="C1333" s="9" t="s">
        <v>1467</v>
      </c>
      <c r="D1333" s="9" t="s">
        <v>4871</v>
      </c>
      <c r="E1333" s="9" t="s">
        <v>1469</v>
      </c>
      <c r="F1333" s="9" t="s">
        <v>4872</v>
      </c>
    </row>
    <row r="1334">
      <c r="A1334" s="9" t="s">
        <v>4873</v>
      </c>
      <c r="B1334" s="9" t="s">
        <v>62</v>
      </c>
      <c r="C1334" s="9" t="s">
        <v>1467</v>
      </c>
      <c r="D1334" s="9" t="s">
        <v>4874</v>
      </c>
      <c r="E1334" s="9" t="s">
        <v>1469</v>
      </c>
      <c r="F1334" s="9" t="s">
        <v>4875</v>
      </c>
    </row>
    <row r="1335">
      <c r="A1335" s="9" t="s">
        <v>4876</v>
      </c>
      <c r="B1335" s="9" t="s">
        <v>248</v>
      </c>
      <c r="C1335" s="9" t="s">
        <v>1467</v>
      </c>
      <c r="D1335" s="9" t="s">
        <v>4877</v>
      </c>
      <c r="E1335" s="9" t="s">
        <v>1469</v>
      </c>
      <c r="F1335" s="9" t="s">
        <v>4878</v>
      </c>
    </row>
    <row r="1336">
      <c r="A1336" s="9" t="s">
        <v>4879</v>
      </c>
      <c r="B1336" s="9" t="s">
        <v>88</v>
      </c>
      <c r="C1336" s="9" t="s">
        <v>1467</v>
      </c>
      <c r="D1336" s="9" t="s">
        <v>4880</v>
      </c>
      <c r="E1336" s="9" t="s">
        <v>1469</v>
      </c>
      <c r="F1336" s="9" t="s">
        <v>4881</v>
      </c>
    </row>
    <row r="1337">
      <c r="A1337" s="9" t="s">
        <v>4882</v>
      </c>
      <c r="B1337" s="9" t="s">
        <v>158</v>
      </c>
      <c r="C1337" s="9" t="s">
        <v>1467</v>
      </c>
      <c r="D1337" s="9" t="s">
        <v>4883</v>
      </c>
      <c r="E1337" s="9" t="s">
        <v>1469</v>
      </c>
      <c r="F1337" s="9" t="s">
        <v>4884</v>
      </c>
    </row>
    <row r="1338">
      <c r="A1338" s="9" t="s">
        <v>4885</v>
      </c>
      <c r="B1338" s="9" t="s">
        <v>120</v>
      </c>
      <c r="C1338" s="9" t="s">
        <v>1467</v>
      </c>
      <c r="D1338" s="9" t="s">
        <v>4886</v>
      </c>
      <c r="E1338" s="9" t="s">
        <v>1469</v>
      </c>
      <c r="F1338" s="9" t="s">
        <v>4887</v>
      </c>
    </row>
    <row r="1339">
      <c r="A1339" s="9" t="s">
        <v>4888</v>
      </c>
      <c r="B1339" s="9" t="s">
        <v>396</v>
      </c>
      <c r="C1339" s="9" t="s">
        <v>1467</v>
      </c>
      <c r="D1339" s="9" t="s">
        <v>4890</v>
      </c>
      <c r="E1339" s="9" t="s">
        <v>1469</v>
      </c>
      <c r="F1339" s="9" t="s">
        <v>4891</v>
      </c>
    </row>
    <row r="1340">
      <c r="A1340" s="9" t="s">
        <v>4892</v>
      </c>
      <c r="B1340" s="9" t="s">
        <v>340</v>
      </c>
      <c r="C1340" s="9" t="s">
        <v>1467</v>
      </c>
      <c r="D1340" s="9" t="s">
        <v>4893</v>
      </c>
      <c r="E1340" s="9" t="s">
        <v>1469</v>
      </c>
      <c r="F1340" s="9" t="s">
        <v>4894</v>
      </c>
    </row>
    <row r="1341">
      <c r="A1341" s="9" t="s">
        <v>4895</v>
      </c>
      <c r="B1341" s="9" t="s">
        <v>125</v>
      </c>
      <c r="C1341" s="9" t="s">
        <v>1467</v>
      </c>
      <c r="D1341" s="9" t="s">
        <v>4896</v>
      </c>
      <c r="E1341" s="9" t="s">
        <v>1469</v>
      </c>
      <c r="F1341" s="9" t="s">
        <v>4897</v>
      </c>
    </row>
    <row r="1342">
      <c r="A1342" s="9" t="s">
        <v>4898</v>
      </c>
      <c r="B1342" s="9" t="s">
        <v>95</v>
      </c>
      <c r="C1342" s="9" t="s">
        <v>1467</v>
      </c>
      <c r="D1342" s="9" t="s">
        <v>4899</v>
      </c>
      <c r="E1342" s="9" t="s">
        <v>1469</v>
      </c>
      <c r="F1342" s="9" t="s">
        <v>4901</v>
      </c>
    </row>
    <row r="1343">
      <c r="A1343" s="9" t="s">
        <v>4902</v>
      </c>
      <c r="B1343" s="9" t="s">
        <v>71</v>
      </c>
      <c r="C1343" s="9" t="s">
        <v>1467</v>
      </c>
      <c r="D1343" s="9" t="s">
        <v>4903</v>
      </c>
      <c r="E1343" s="9" t="s">
        <v>1469</v>
      </c>
      <c r="F1343" s="9" t="s">
        <v>4904</v>
      </c>
    </row>
    <row r="1344">
      <c r="A1344" s="9" t="s">
        <v>4905</v>
      </c>
      <c r="B1344" s="9" t="s">
        <v>347</v>
      </c>
      <c r="C1344" s="9" t="s">
        <v>1467</v>
      </c>
      <c r="D1344" s="9" t="s">
        <v>4906</v>
      </c>
      <c r="E1344" s="9" t="s">
        <v>1469</v>
      </c>
      <c r="F1344" s="9" t="s">
        <v>4907</v>
      </c>
    </row>
    <row r="1345">
      <c r="A1345" s="9" t="s">
        <v>4908</v>
      </c>
      <c r="B1345" s="9" t="s">
        <v>249</v>
      </c>
      <c r="C1345" s="9" t="s">
        <v>1467</v>
      </c>
      <c r="D1345" s="9" t="s">
        <v>4909</v>
      </c>
      <c r="E1345" s="9" t="s">
        <v>1469</v>
      </c>
      <c r="F1345" s="9" t="s">
        <v>4910</v>
      </c>
    </row>
    <row r="1346">
      <c r="A1346" s="9" t="s">
        <v>4911</v>
      </c>
      <c r="B1346" s="9" t="s">
        <v>115</v>
      </c>
      <c r="C1346" s="9" t="s">
        <v>1467</v>
      </c>
      <c r="D1346" s="9" t="s">
        <v>4912</v>
      </c>
      <c r="E1346" s="9" t="s">
        <v>1469</v>
      </c>
      <c r="F1346" s="9" t="s">
        <v>4913</v>
      </c>
    </row>
    <row r="1347">
      <c r="A1347" s="9" t="s">
        <v>4914</v>
      </c>
      <c r="B1347" s="9" t="s">
        <v>103</v>
      </c>
      <c r="C1347" s="9" t="s">
        <v>1467</v>
      </c>
      <c r="D1347" s="9" t="s">
        <v>4915</v>
      </c>
      <c r="E1347" s="9" t="s">
        <v>1469</v>
      </c>
      <c r="F1347" s="9" t="s">
        <v>4916</v>
      </c>
    </row>
    <row r="1348">
      <c r="A1348" s="9" t="s">
        <v>4917</v>
      </c>
      <c r="B1348" s="9" t="s">
        <v>248</v>
      </c>
      <c r="C1348" s="9" t="s">
        <v>1467</v>
      </c>
      <c r="D1348" s="9" t="s">
        <v>4918</v>
      </c>
      <c r="E1348" s="9" t="s">
        <v>1469</v>
      </c>
      <c r="F1348" s="9" t="s">
        <v>4919</v>
      </c>
    </row>
    <row r="1349">
      <c r="A1349" s="9" t="s">
        <v>4920</v>
      </c>
      <c r="B1349" s="9" t="s">
        <v>367</v>
      </c>
      <c r="C1349" s="9" t="s">
        <v>1467</v>
      </c>
      <c r="D1349" s="9" t="s">
        <v>4921</v>
      </c>
      <c r="E1349" s="9" t="s">
        <v>1469</v>
      </c>
      <c r="F1349" s="9" t="s">
        <v>4922</v>
      </c>
    </row>
    <row r="1350">
      <c r="A1350" s="9" t="s">
        <v>4923</v>
      </c>
      <c r="B1350" s="9" t="s">
        <v>163</v>
      </c>
      <c r="C1350" s="9" t="s">
        <v>1467</v>
      </c>
      <c r="D1350" s="9" t="s">
        <v>4926</v>
      </c>
      <c r="E1350" s="9" t="s">
        <v>1469</v>
      </c>
      <c r="F1350" s="9" t="s">
        <v>4928</v>
      </c>
    </row>
    <row r="1351">
      <c r="A1351" s="9" t="s">
        <v>4929</v>
      </c>
      <c r="B1351" s="9" t="s">
        <v>71</v>
      </c>
      <c r="C1351" s="9" t="s">
        <v>1467</v>
      </c>
      <c r="D1351" s="9" t="s">
        <v>4930</v>
      </c>
      <c r="E1351" s="9" t="s">
        <v>1469</v>
      </c>
      <c r="F1351" s="9" t="s">
        <v>4931</v>
      </c>
    </row>
    <row r="1352">
      <c r="A1352" s="9" t="s">
        <v>4932</v>
      </c>
      <c r="B1352" s="9" t="s">
        <v>218</v>
      </c>
      <c r="C1352" s="9" t="s">
        <v>1467</v>
      </c>
      <c r="D1352" s="9" t="s">
        <v>4933</v>
      </c>
      <c r="E1352" s="9" t="s">
        <v>1469</v>
      </c>
      <c r="F1352" s="9" t="s">
        <v>4934</v>
      </c>
    </row>
    <row r="1353">
      <c r="A1353" s="9" t="s">
        <v>4935</v>
      </c>
      <c r="B1353" s="9" t="s">
        <v>88</v>
      </c>
      <c r="C1353" s="9" t="s">
        <v>1467</v>
      </c>
      <c r="D1353" s="9" t="s">
        <v>4936</v>
      </c>
      <c r="E1353" s="9" t="s">
        <v>1469</v>
      </c>
      <c r="F1353" s="9" t="s">
        <v>4937</v>
      </c>
    </row>
    <row r="1354">
      <c r="A1354" s="9" t="s">
        <v>4938</v>
      </c>
      <c r="B1354" s="9" t="s">
        <v>340</v>
      </c>
      <c r="C1354" s="9" t="s">
        <v>1467</v>
      </c>
      <c r="D1354" s="9" t="s">
        <v>4939</v>
      </c>
      <c r="E1354" s="9" t="s">
        <v>1469</v>
      </c>
      <c r="F1354" s="9" t="s">
        <v>4940</v>
      </c>
    </row>
    <row r="1355">
      <c r="A1355" s="9" t="s">
        <v>4941</v>
      </c>
      <c r="B1355" s="9" t="s">
        <v>163</v>
      </c>
      <c r="C1355" s="9" t="s">
        <v>1467</v>
      </c>
      <c r="D1355" s="9" t="s">
        <v>4942</v>
      </c>
      <c r="E1355" s="9" t="s">
        <v>1469</v>
      </c>
      <c r="F1355" s="9" t="s">
        <v>4943</v>
      </c>
    </row>
    <row r="1356">
      <c r="A1356" s="9" t="s">
        <v>4944</v>
      </c>
      <c r="B1356" s="9" t="s">
        <v>187</v>
      </c>
      <c r="C1356" s="9" t="s">
        <v>1467</v>
      </c>
      <c r="D1356" s="9" t="s">
        <v>4945</v>
      </c>
      <c r="E1356" s="9" t="s">
        <v>1469</v>
      </c>
      <c r="F1356" s="9" t="s">
        <v>4947</v>
      </c>
    </row>
    <row r="1357">
      <c r="A1357" s="9" t="s">
        <v>4948</v>
      </c>
      <c r="B1357" s="9" t="s">
        <v>337</v>
      </c>
      <c r="C1357" s="9" t="s">
        <v>1467</v>
      </c>
      <c r="D1357" s="9" t="s">
        <v>4949</v>
      </c>
      <c r="E1357" s="9" t="s">
        <v>1469</v>
      </c>
      <c r="F1357" s="9" t="s">
        <v>4950</v>
      </c>
    </row>
    <row r="1358">
      <c r="A1358" s="9" t="s">
        <v>4951</v>
      </c>
      <c r="B1358" s="9" t="s">
        <v>248</v>
      </c>
      <c r="C1358" s="9" t="s">
        <v>1467</v>
      </c>
      <c r="D1358" s="9" t="s">
        <v>4952</v>
      </c>
      <c r="E1358" s="9" t="s">
        <v>1469</v>
      </c>
      <c r="F1358" s="9" t="s">
        <v>4953</v>
      </c>
    </row>
    <row r="1359">
      <c r="A1359" s="9" t="s">
        <v>4954</v>
      </c>
      <c r="B1359" s="9" t="s">
        <v>183</v>
      </c>
      <c r="C1359" s="9" t="s">
        <v>1467</v>
      </c>
      <c r="D1359" s="9" t="s">
        <v>4955</v>
      </c>
      <c r="E1359" s="9" t="s">
        <v>1469</v>
      </c>
      <c r="F1359" s="9" t="s">
        <v>4956</v>
      </c>
    </row>
    <row r="1360">
      <c r="A1360" s="9" t="s">
        <v>4957</v>
      </c>
      <c r="B1360" s="9" t="s">
        <v>424</v>
      </c>
      <c r="C1360" s="9" t="s">
        <v>1467</v>
      </c>
      <c r="D1360" s="9" t="s">
        <v>4958</v>
      </c>
      <c r="E1360" s="9" t="s">
        <v>1469</v>
      </c>
      <c r="F1360" s="9" t="s">
        <v>4959</v>
      </c>
    </row>
    <row r="1361">
      <c r="A1361" s="9" t="s">
        <v>4960</v>
      </c>
      <c r="B1361" s="9" t="s">
        <v>261</v>
      </c>
      <c r="C1361" s="9" t="s">
        <v>1467</v>
      </c>
      <c r="D1361" s="9" t="s">
        <v>4961</v>
      </c>
      <c r="E1361" s="9" t="s">
        <v>1469</v>
      </c>
      <c r="F1361" s="9" t="s">
        <v>4962</v>
      </c>
    </row>
    <row r="1362">
      <c r="A1362" s="9" t="s">
        <v>4963</v>
      </c>
      <c r="B1362" s="9" t="s">
        <v>133</v>
      </c>
      <c r="C1362" s="9" t="s">
        <v>1467</v>
      </c>
      <c r="D1362" s="9" t="s">
        <v>4964</v>
      </c>
      <c r="E1362" s="9" t="s">
        <v>1469</v>
      </c>
      <c r="F1362" s="9" t="s">
        <v>4965</v>
      </c>
    </row>
    <row r="1363">
      <c r="A1363" s="9" t="s">
        <v>4966</v>
      </c>
      <c r="B1363" s="9" t="s">
        <v>302</v>
      </c>
      <c r="C1363" s="9" t="s">
        <v>1467</v>
      </c>
      <c r="D1363" s="9" t="s">
        <v>4967</v>
      </c>
      <c r="E1363" s="9" t="s">
        <v>1469</v>
      </c>
      <c r="F1363" s="9" t="s">
        <v>4968</v>
      </c>
    </row>
    <row r="1364">
      <c r="A1364" s="9" t="s">
        <v>4969</v>
      </c>
      <c r="B1364" s="9" t="s">
        <v>110</v>
      </c>
      <c r="C1364" s="9" t="s">
        <v>1467</v>
      </c>
      <c r="D1364" s="9" t="s">
        <v>4970</v>
      </c>
      <c r="E1364" s="9" t="s">
        <v>1469</v>
      </c>
      <c r="F1364" s="9" t="s">
        <v>4971</v>
      </c>
    </row>
    <row r="1365">
      <c r="A1365" s="9" t="s">
        <v>4972</v>
      </c>
      <c r="B1365" s="9" t="s">
        <v>472</v>
      </c>
      <c r="C1365" s="9" t="s">
        <v>1467</v>
      </c>
      <c r="D1365" s="9" t="s">
        <v>4973</v>
      </c>
      <c r="E1365" s="9" t="s">
        <v>1469</v>
      </c>
      <c r="F1365" s="9" t="s">
        <v>4974</v>
      </c>
    </row>
    <row r="1366">
      <c r="A1366" s="9" t="s">
        <v>4975</v>
      </c>
      <c r="B1366" s="9" t="s">
        <v>472</v>
      </c>
      <c r="C1366" s="9" t="s">
        <v>1467</v>
      </c>
      <c r="D1366" s="9" t="s">
        <v>4976</v>
      </c>
      <c r="E1366" s="9" t="s">
        <v>1469</v>
      </c>
      <c r="F1366" s="9" t="s">
        <v>4977</v>
      </c>
    </row>
    <row r="1367">
      <c r="A1367" s="9" t="s">
        <v>4978</v>
      </c>
      <c r="B1367" s="9" t="s">
        <v>183</v>
      </c>
      <c r="C1367" s="9" t="s">
        <v>1467</v>
      </c>
      <c r="D1367" s="9" t="s">
        <v>4979</v>
      </c>
      <c r="E1367" s="9" t="s">
        <v>1469</v>
      </c>
      <c r="F1367" s="9" t="s">
        <v>4980</v>
      </c>
    </row>
    <row r="1368">
      <c r="A1368" s="9" t="s">
        <v>4981</v>
      </c>
      <c r="B1368" s="9" t="s">
        <v>103</v>
      </c>
      <c r="C1368" s="9" t="s">
        <v>1467</v>
      </c>
      <c r="D1368" s="9" t="s">
        <v>4982</v>
      </c>
      <c r="E1368" s="9" t="s">
        <v>1469</v>
      </c>
      <c r="F1368" s="9" t="s">
        <v>4983</v>
      </c>
    </row>
    <row r="1369">
      <c r="A1369" s="9" t="s">
        <v>4984</v>
      </c>
      <c r="B1369" s="9" t="s">
        <v>163</v>
      </c>
      <c r="C1369" s="9" t="s">
        <v>1467</v>
      </c>
      <c r="D1369" s="9" t="s">
        <v>4985</v>
      </c>
      <c r="E1369" s="9" t="s">
        <v>1469</v>
      </c>
      <c r="F1369" s="9" t="s">
        <v>4986</v>
      </c>
    </row>
    <row r="1370">
      <c r="A1370" s="9" t="s">
        <v>4987</v>
      </c>
      <c r="B1370" s="9" t="s">
        <v>103</v>
      </c>
      <c r="C1370" s="9" t="s">
        <v>1467</v>
      </c>
      <c r="D1370" s="9" t="s">
        <v>4988</v>
      </c>
      <c r="E1370" s="9" t="s">
        <v>1469</v>
      </c>
      <c r="F1370" s="9" t="s">
        <v>4989</v>
      </c>
    </row>
    <row r="1371">
      <c r="A1371" s="9" t="s">
        <v>4990</v>
      </c>
      <c r="B1371" s="9" t="s">
        <v>334</v>
      </c>
      <c r="C1371" s="9" t="s">
        <v>1467</v>
      </c>
      <c r="D1371" s="9" t="s">
        <v>4991</v>
      </c>
      <c r="E1371" s="9" t="s">
        <v>1469</v>
      </c>
      <c r="F1371" s="9" t="s">
        <v>4992</v>
      </c>
    </row>
    <row r="1372">
      <c r="A1372" s="9" t="s">
        <v>4993</v>
      </c>
      <c r="B1372" s="9" t="s">
        <v>239</v>
      </c>
      <c r="C1372" s="9" t="s">
        <v>1467</v>
      </c>
      <c r="D1372" s="9" t="s">
        <v>4994</v>
      </c>
      <c r="E1372" s="9" t="s">
        <v>1469</v>
      </c>
      <c r="F1372" s="9" t="s">
        <v>4995</v>
      </c>
    </row>
    <row r="1373">
      <c r="A1373" s="9" t="s">
        <v>4996</v>
      </c>
      <c r="B1373" s="9" t="s">
        <v>267</v>
      </c>
      <c r="C1373" s="9" t="s">
        <v>1467</v>
      </c>
      <c r="D1373" s="9" t="s">
        <v>4997</v>
      </c>
      <c r="E1373" s="9" t="s">
        <v>1469</v>
      </c>
      <c r="F1373" s="9" t="s">
        <v>4998</v>
      </c>
    </row>
    <row r="1374">
      <c r="A1374" s="9" t="s">
        <v>4999</v>
      </c>
      <c r="B1374" s="9" t="s">
        <v>417</v>
      </c>
      <c r="C1374" s="9" t="s">
        <v>1467</v>
      </c>
      <c r="D1374" s="9" t="s">
        <v>5001</v>
      </c>
      <c r="E1374" s="9" t="s">
        <v>1469</v>
      </c>
      <c r="F1374" s="9" t="s">
        <v>5002</v>
      </c>
    </row>
    <row r="1375">
      <c r="A1375" s="9" t="s">
        <v>5003</v>
      </c>
      <c r="B1375" s="9" t="s">
        <v>417</v>
      </c>
      <c r="C1375" s="9" t="s">
        <v>1467</v>
      </c>
      <c r="D1375" s="9" t="s">
        <v>5004</v>
      </c>
      <c r="E1375" s="9" t="s">
        <v>1469</v>
      </c>
      <c r="F1375" s="9" t="s">
        <v>5005</v>
      </c>
    </row>
    <row r="1376">
      <c r="A1376" s="9" t="s">
        <v>5006</v>
      </c>
      <c r="B1376" s="9" t="s">
        <v>156</v>
      </c>
      <c r="C1376" s="9" t="s">
        <v>1467</v>
      </c>
      <c r="D1376" s="9" t="s">
        <v>5007</v>
      </c>
      <c r="E1376" s="9" t="s">
        <v>1469</v>
      </c>
      <c r="F1376" s="9" t="s">
        <v>5008</v>
      </c>
    </row>
    <row r="1377">
      <c r="A1377" s="9" t="s">
        <v>5009</v>
      </c>
      <c r="B1377" s="9" t="s">
        <v>120</v>
      </c>
      <c r="C1377" s="9" t="s">
        <v>1467</v>
      </c>
      <c r="D1377" s="9" t="s">
        <v>5010</v>
      </c>
      <c r="E1377" s="9" t="s">
        <v>1469</v>
      </c>
      <c r="F1377" s="9" t="s">
        <v>5011</v>
      </c>
    </row>
    <row r="1378">
      <c r="A1378" s="9" t="s">
        <v>5012</v>
      </c>
      <c r="B1378" s="9" t="s">
        <v>215</v>
      </c>
      <c r="C1378" s="9" t="s">
        <v>1467</v>
      </c>
      <c r="D1378" s="9" t="s">
        <v>5013</v>
      </c>
      <c r="E1378" s="9" t="s">
        <v>1469</v>
      </c>
      <c r="F1378" s="9" t="s">
        <v>5014</v>
      </c>
    </row>
    <row r="1379">
      <c r="A1379" s="9" t="s">
        <v>5015</v>
      </c>
      <c r="B1379" s="9" t="s">
        <v>636</v>
      </c>
      <c r="C1379" s="9" t="s">
        <v>1467</v>
      </c>
      <c r="D1379" s="9" t="s">
        <v>5016</v>
      </c>
      <c r="E1379" s="9" t="s">
        <v>1469</v>
      </c>
      <c r="F1379" s="9" t="s">
        <v>5017</v>
      </c>
    </row>
    <row r="1380">
      <c r="A1380" s="9" t="s">
        <v>5018</v>
      </c>
      <c r="B1380" s="9" t="s">
        <v>390</v>
      </c>
      <c r="C1380" s="9" t="s">
        <v>1467</v>
      </c>
      <c r="D1380" s="9" t="s">
        <v>5019</v>
      </c>
      <c r="E1380" s="9" t="s">
        <v>1469</v>
      </c>
      <c r="F1380" s="9" t="s">
        <v>5020</v>
      </c>
    </row>
    <row r="1381">
      <c r="A1381" s="9" t="s">
        <v>5021</v>
      </c>
      <c r="B1381" s="9" t="s">
        <v>271</v>
      </c>
      <c r="C1381" s="9" t="s">
        <v>1467</v>
      </c>
      <c r="D1381" s="9" t="s">
        <v>5022</v>
      </c>
      <c r="E1381" s="9" t="s">
        <v>1469</v>
      </c>
      <c r="F1381" s="9" t="s">
        <v>5023</v>
      </c>
    </row>
    <row r="1382">
      <c r="A1382" s="9" t="s">
        <v>5024</v>
      </c>
      <c r="B1382" s="9" t="s">
        <v>368</v>
      </c>
      <c r="C1382" s="9" t="s">
        <v>1467</v>
      </c>
      <c r="D1382" s="9" t="s">
        <v>5025</v>
      </c>
      <c r="E1382" s="9" t="s">
        <v>1469</v>
      </c>
      <c r="F1382" s="9" t="s">
        <v>5026</v>
      </c>
    </row>
    <row r="1383">
      <c r="A1383" s="9" t="s">
        <v>5027</v>
      </c>
      <c r="B1383" s="9" t="s">
        <v>165</v>
      </c>
      <c r="C1383" s="9" t="s">
        <v>1467</v>
      </c>
      <c r="D1383" s="9" t="s">
        <v>5028</v>
      </c>
      <c r="E1383" s="9" t="s">
        <v>1469</v>
      </c>
      <c r="F1383" s="9" t="s">
        <v>5029</v>
      </c>
    </row>
    <row r="1384">
      <c r="A1384" s="9" t="s">
        <v>5030</v>
      </c>
      <c r="B1384" s="9" t="s">
        <v>345</v>
      </c>
      <c r="C1384" s="9" t="s">
        <v>1467</v>
      </c>
      <c r="D1384" s="9" t="s">
        <v>5031</v>
      </c>
      <c r="E1384" s="9" t="s">
        <v>1469</v>
      </c>
      <c r="F1384" s="9" t="s">
        <v>5032</v>
      </c>
    </row>
    <row r="1385">
      <c r="A1385" s="9" t="s">
        <v>5034</v>
      </c>
      <c r="B1385" s="9" t="s">
        <v>128</v>
      </c>
      <c r="C1385" s="9" t="s">
        <v>1467</v>
      </c>
      <c r="D1385" s="9" t="s">
        <v>5035</v>
      </c>
      <c r="E1385" s="9" t="s">
        <v>1469</v>
      </c>
      <c r="F1385" s="9" t="s">
        <v>5036</v>
      </c>
    </row>
    <row r="1386">
      <c r="A1386" s="9" t="s">
        <v>5037</v>
      </c>
      <c r="B1386" s="9" t="s">
        <v>77</v>
      </c>
      <c r="C1386" s="9" t="s">
        <v>1467</v>
      </c>
      <c r="D1386" s="9" t="s">
        <v>5038</v>
      </c>
      <c r="E1386" s="9" t="s">
        <v>1469</v>
      </c>
      <c r="F1386" s="9" t="s">
        <v>5039</v>
      </c>
    </row>
    <row r="1387">
      <c r="A1387" s="9" t="s">
        <v>5040</v>
      </c>
      <c r="B1387" s="9" t="s">
        <v>342</v>
      </c>
      <c r="C1387" s="9" t="s">
        <v>1467</v>
      </c>
      <c r="D1387" s="9" t="s">
        <v>5041</v>
      </c>
      <c r="E1387" s="9" t="s">
        <v>1469</v>
      </c>
      <c r="F1387" s="9" t="s">
        <v>5042</v>
      </c>
    </row>
    <row r="1388">
      <c r="A1388" s="9" t="s">
        <v>5043</v>
      </c>
      <c r="B1388" s="9" t="s">
        <v>274</v>
      </c>
      <c r="C1388" s="9" t="s">
        <v>1467</v>
      </c>
      <c r="D1388" s="9" t="s">
        <v>5044</v>
      </c>
      <c r="E1388" s="9" t="s">
        <v>1469</v>
      </c>
      <c r="F1388" s="9" t="s">
        <v>5045</v>
      </c>
    </row>
    <row r="1389">
      <c r="A1389" s="9" t="s">
        <v>5046</v>
      </c>
      <c r="B1389" s="9" t="s">
        <v>173</v>
      </c>
      <c r="C1389" s="9" t="s">
        <v>1467</v>
      </c>
      <c r="D1389" s="9" t="s">
        <v>5047</v>
      </c>
      <c r="E1389" s="9" t="s">
        <v>1469</v>
      </c>
      <c r="F1389" s="9" t="s">
        <v>5048</v>
      </c>
    </row>
    <row r="1390">
      <c r="A1390" s="9" t="s">
        <v>5049</v>
      </c>
      <c r="B1390" s="9" t="s">
        <v>120</v>
      </c>
      <c r="C1390" s="9" t="s">
        <v>1467</v>
      </c>
      <c r="D1390" s="9" t="s">
        <v>5051</v>
      </c>
      <c r="E1390" s="9" t="s">
        <v>1469</v>
      </c>
      <c r="F1390" s="9" t="s">
        <v>5054</v>
      </c>
    </row>
    <row r="1391">
      <c r="A1391" s="9" t="s">
        <v>5055</v>
      </c>
      <c r="B1391" s="9" t="s">
        <v>345</v>
      </c>
      <c r="C1391" s="9" t="s">
        <v>1467</v>
      </c>
      <c r="D1391" s="9" t="s">
        <v>5056</v>
      </c>
      <c r="E1391" s="9" t="s">
        <v>1469</v>
      </c>
      <c r="F1391" s="9" t="s">
        <v>5057</v>
      </c>
    </row>
    <row r="1392">
      <c r="A1392" s="9" t="s">
        <v>5058</v>
      </c>
      <c r="B1392" s="9" t="s">
        <v>143</v>
      </c>
      <c r="C1392" s="9" t="s">
        <v>1467</v>
      </c>
      <c r="D1392" s="9" t="s">
        <v>5059</v>
      </c>
      <c r="E1392" s="9" t="s">
        <v>1469</v>
      </c>
      <c r="F1392" s="9" t="s">
        <v>5060</v>
      </c>
    </row>
    <row r="1393">
      <c r="A1393" s="9" t="s">
        <v>5061</v>
      </c>
      <c r="B1393" s="9" t="s">
        <v>396</v>
      </c>
      <c r="C1393" s="9" t="s">
        <v>1467</v>
      </c>
      <c r="D1393" s="9" t="s">
        <v>5062</v>
      </c>
      <c r="E1393" s="9" t="s">
        <v>1469</v>
      </c>
      <c r="F1393" s="9" t="s">
        <v>5063</v>
      </c>
    </row>
    <row r="1394">
      <c r="A1394" s="9" t="s">
        <v>5064</v>
      </c>
      <c r="B1394" s="9" t="s">
        <v>17</v>
      </c>
      <c r="C1394" s="9" t="s">
        <v>1467</v>
      </c>
      <c r="D1394" s="9" t="s">
        <v>5065</v>
      </c>
      <c r="E1394" s="9" t="s">
        <v>1469</v>
      </c>
      <c r="F1394" s="9" t="s">
        <v>5066</v>
      </c>
    </row>
    <row r="1395">
      <c r="A1395" s="9" t="s">
        <v>5067</v>
      </c>
      <c r="B1395" s="9" t="s">
        <v>345</v>
      </c>
      <c r="C1395" s="9" t="s">
        <v>1467</v>
      </c>
      <c r="D1395" s="9" t="s">
        <v>5069</v>
      </c>
      <c r="E1395" s="9" t="s">
        <v>1469</v>
      </c>
      <c r="F1395" s="9" t="s">
        <v>5071</v>
      </c>
    </row>
    <row r="1396">
      <c r="A1396" s="9" t="s">
        <v>5072</v>
      </c>
      <c r="B1396" s="9" t="s">
        <v>162</v>
      </c>
      <c r="C1396" s="9" t="s">
        <v>1467</v>
      </c>
      <c r="D1396" s="9" t="s">
        <v>5073</v>
      </c>
      <c r="E1396" s="9" t="s">
        <v>1469</v>
      </c>
      <c r="F1396" s="9" t="s">
        <v>5074</v>
      </c>
    </row>
    <row r="1397">
      <c r="A1397" s="9" t="s">
        <v>5075</v>
      </c>
      <c r="B1397" s="9" t="s">
        <v>66</v>
      </c>
      <c r="C1397" s="9" t="s">
        <v>1467</v>
      </c>
      <c r="D1397" s="9" t="s">
        <v>5076</v>
      </c>
      <c r="E1397" s="9" t="s">
        <v>1469</v>
      </c>
      <c r="F1397" s="9" t="s">
        <v>5077</v>
      </c>
    </row>
    <row r="1398">
      <c r="A1398" s="9" t="s">
        <v>5078</v>
      </c>
      <c r="B1398" s="9" t="s">
        <v>59</v>
      </c>
      <c r="C1398" s="9" t="s">
        <v>1467</v>
      </c>
      <c r="D1398" s="9" t="s">
        <v>5079</v>
      </c>
      <c r="E1398" s="9" t="s">
        <v>1469</v>
      </c>
      <c r="F1398" s="9" t="s">
        <v>5080</v>
      </c>
    </row>
    <row r="1399">
      <c r="A1399" s="9" t="s">
        <v>5081</v>
      </c>
      <c r="B1399" s="9" t="s">
        <v>88</v>
      </c>
      <c r="C1399" s="9" t="s">
        <v>1467</v>
      </c>
      <c r="D1399" s="9" t="s">
        <v>5083</v>
      </c>
      <c r="E1399" s="9" t="s">
        <v>1469</v>
      </c>
      <c r="F1399" s="9" t="s">
        <v>5084</v>
      </c>
    </row>
    <row r="1400">
      <c r="A1400" s="9" t="s">
        <v>5085</v>
      </c>
      <c r="B1400" s="9" t="s">
        <v>198</v>
      </c>
      <c r="C1400" s="9" t="s">
        <v>1467</v>
      </c>
      <c r="D1400" s="9" t="s">
        <v>5086</v>
      </c>
      <c r="E1400" s="9" t="s">
        <v>1469</v>
      </c>
      <c r="F1400" s="9" t="s">
        <v>5087</v>
      </c>
    </row>
    <row r="1401">
      <c r="A1401" s="9" t="s">
        <v>5088</v>
      </c>
      <c r="B1401" s="9" t="s">
        <v>189</v>
      </c>
      <c r="C1401" s="9" t="s">
        <v>1467</v>
      </c>
      <c r="D1401" s="9" t="s">
        <v>5089</v>
      </c>
      <c r="E1401" s="9" t="s">
        <v>1469</v>
      </c>
      <c r="F1401" s="9" t="s">
        <v>5090</v>
      </c>
    </row>
    <row r="1402">
      <c r="A1402" s="9" t="s">
        <v>5091</v>
      </c>
      <c r="B1402" s="9" t="s">
        <v>100</v>
      </c>
      <c r="C1402" s="9" t="s">
        <v>1467</v>
      </c>
      <c r="D1402" s="9" t="s">
        <v>5092</v>
      </c>
      <c r="E1402" s="9" t="s">
        <v>1469</v>
      </c>
      <c r="F1402" s="9" t="s">
        <v>5093</v>
      </c>
    </row>
    <row r="1403">
      <c r="A1403" s="9" t="s">
        <v>5094</v>
      </c>
      <c r="B1403" s="9" t="s">
        <v>189</v>
      </c>
      <c r="C1403" s="9" t="s">
        <v>1467</v>
      </c>
      <c r="D1403" s="9" t="s">
        <v>5095</v>
      </c>
      <c r="E1403" s="9" t="s">
        <v>1469</v>
      </c>
      <c r="F1403" s="9" t="s">
        <v>5096</v>
      </c>
    </row>
    <row r="1404">
      <c r="A1404" s="9" t="s">
        <v>5097</v>
      </c>
      <c r="B1404" s="9" t="s">
        <v>189</v>
      </c>
      <c r="C1404" s="9" t="s">
        <v>1467</v>
      </c>
      <c r="D1404" s="9" t="s">
        <v>5098</v>
      </c>
      <c r="E1404" s="9" t="s">
        <v>1469</v>
      </c>
      <c r="F1404" s="9" t="s">
        <v>5099</v>
      </c>
    </row>
    <row r="1405">
      <c r="A1405" s="9" t="s">
        <v>5100</v>
      </c>
      <c r="B1405" s="9" t="s">
        <v>204</v>
      </c>
      <c r="C1405" s="9" t="s">
        <v>1467</v>
      </c>
      <c r="D1405" s="9" t="s">
        <v>5101</v>
      </c>
      <c r="E1405" s="9" t="s">
        <v>1469</v>
      </c>
      <c r="F1405" s="9" t="s">
        <v>5102</v>
      </c>
    </row>
    <row r="1406">
      <c r="A1406" s="9" t="s">
        <v>5103</v>
      </c>
      <c r="B1406" s="9" t="s">
        <v>237</v>
      </c>
      <c r="C1406" s="9" t="s">
        <v>1467</v>
      </c>
      <c r="D1406" s="9" t="s">
        <v>5104</v>
      </c>
      <c r="E1406" s="9" t="s">
        <v>1469</v>
      </c>
      <c r="F1406" s="9" t="s">
        <v>5105</v>
      </c>
    </row>
    <row r="1407">
      <c r="A1407" s="9" t="s">
        <v>5106</v>
      </c>
      <c r="B1407" s="9" t="s">
        <v>217</v>
      </c>
      <c r="C1407" s="9" t="s">
        <v>1467</v>
      </c>
      <c r="D1407" s="9" t="s">
        <v>5107</v>
      </c>
      <c r="E1407" s="9" t="s">
        <v>1469</v>
      </c>
      <c r="F1407" s="9" t="s">
        <v>5108</v>
      </c>
    </row>
    <row r="1408">
      <c r="A1408" s="9" t="s">
        <v>5109</v>
      </c>
      <c r="B1408" s="9" t="s">
        <v>217</v>
      </c>
      <c r="C1408" s="9" t="s">
        <v>1467</v>
      </c>
      <c r="D1408" s="9" t="s">
        <v>5110</v>
      </c>
      <c r="E1408" s="9" t="s">
        <v>1469</v>
      </c>
      <c r="F1408" s="9" t="s">
        <v>5111</v>
      </c>
    </row>
    <row r="1409">
      <c r="A1409" s="9" t="s">
        <v>5112</v>
      </c>
      <c r="B1409" s="9" t="s">
        <v>63</v>
      </c>
      <c r="C1409" s="9" t="s">
        <v>1467</v>
      </c>
      <c r="D1409" s="9" t="s">
        <v>5113</v>
      </c>
      <c r="E1409" s="9" t="s">
        <v>1469</v>
      </c>
      <c r="F1409" s="9" t="s">
        <v>5114</v>
      </c>
    </row>
    <row r="1410">
      <c r="A1410" s="9" t="s">
        <v>5115</v>
      </c>
      <c r="B1410" s="9" t="s">
        <v>273</v>
      </c>
      <c r="C1410" s="9" t="s">
        <v>1467</v>
      </c>
      <c r="D1410" s="9" t="s">
        <v>5116</v>
      </c>
      <c r="E1410" s="9" t="s">
        <v>1469</v>
      </c>
      <c r="F1410" s="9" t="s">
        <v>5117</v>
      </c>
    </row>
    <row r="1411">
      <c r="A1411" s="9" t="s">
        <v>5118</v>
      </c>
      <c r="B1411" s="9" t="s">
        <v>107</v>
      </c>
      <c r="C1411" s="9" t="s">
        <v>1467</v>
      </c>
      <c r="D1411" s="9" t="s">
        <v>5119</v>
      </c>
      <c r="E1411" s="9" t="s">
        <v>1469</v>
      </c>
      <c r="F1411" s="9" t="s">
        <v>5121</v>
      </c>
    </row>
    <row r="1412">
      <c r="A1412" s="9" t="s">
        <v>5122</v>
      </c>
      <c r="B1412" s="9" t="s">
        <v>134</v>
      </c>
      <c r="C1412" s="9" t="s">
        <v>1467</v>
      </c>
      <c r="D1412" s="9" t="s">
        <v>5123</v>
      </c>
      <c r="E1412" s="9" t="s">
        <v>1469</v>
      </c>
      <c r="F1412" s="9" t="s">
        <v>5124</v>
      </c>
    </row>
    <row r="1413">
      <c r="A1413" s="9" t="s">
        <v>5125</v>
      </c>
      <c r="B1413" s="9" t="s">
        <v>94</v>
      </c>
      <c r="C1413" s="9" t="s">
        <v>1467</v>
      </c>
      <c r="D1413" s="9" t="s">
        <v>5126</v>
      </c>
      <c r="E1413" s="9" t="s">
        <v>1469</v>
      </c>
      <c r="F1413" s="9" t="s">
        <v>5127</v>
      </c>
    </row>
    <row r="1414">
      <c r="A1414" s="9" t="s">
        <v>5128</v>
      </c>
      <c r="B1414" s="9" t="s">
        <v>261</v>
      </c>
      <c r="C1414" s="9" t="s">
        <v>1467</v>
      </c>
      <c r="D1414" s="9" t="s">
        <v>5129</v>
      </c>
      <c r="E1414" s="9" t="s">
        <v>1469</v>
      </c>
      <c r="F1414" s="9" t="s">
        <v>5130</v>
      </c>
    </row>
    <row r="1415">
      <c r="A1415" s="9" t="s">
        <v>5131</v>
      </c>
      <c r="B1415" s="9" t="s">
        <v>132</v>
      </c>
      <c r="C1415" s="9" t="s">
        <v>1467</v>
      </c>
      <c r="D1415" s="9" t="s">
        <v>5132</v>
      </c>
      <c r="E1415" s="9" t="s">
        <v>1469</v>
      </c>
      <c r="F1415" s="9" t="s">
        <v>5133</v>
      </c>
    </row>
    <row r="1416">
      <c r="A1416" s="9" t="s">
        <v>5134</v>
      </c>
      <c r="B1416" s="9" t="s">
        <v>406</v>
      </c>
      <c r="C1416" s="9" t="s">
        <v>1467</v>
      </c>
      <c r="D1416" s="9" t="s">
        <v>5135</v>
      </c>
      <c r="E1416" s="9" t="s">
        <v>1469</v>
      </c>
      <c r="F1416" s="9" t="s">
        <v>5136</v>
      </c>
    </row>
    <row r="1417">
      <c r="A1417" s="9" t="s">
        <v>5137</v>
      </c>
      <c r="B1417" s="9" t="s">
        <v>109</v>
      </c>
      <c r="C1417" s="9" t="s">
        <v>1467</v>
      </c>
      <c r="D1417" s="9" t="s">
        <v>5138</v>
      </c>
      <c r="E1417" s="9" t="s">
        <v>1469</v>
      </c>
      <c r="F1417" s="9" t="s">
        <v>5139</v>
      </c>
    </row>
    <row r="1418">
      <c r="A1418" s="9" t="s">
        <v>5140</v>
      </c>
      <c r="B1418" s="9" t="s">
        <v>63</v>
      </c>
      <c r="C1418" s="9" t="s">
        <v>1467</v>
      </c>
      <c r="D1418" s="9" t="s">
        <v>5141</v>
      </c>
      <c r="E1418" s="9" t="s">
        <v>1469</v>
      </c>
      <c r="F1418" s="9" t="s">
        <v>5142</v>
      </c>
    </row>
    <row r="1419">
      <c r="A1419" s="9" t="s">
        <v>5143</v>
      </c>
      <c r="B1419" s="9" t="s">
        <v>239</v>
      </c>
      <c r="C1419" s="9" t="s">
        <v>1467</v>
      </c>
      <c r="D1419" s="9" t="s">
        <v>5144</v>
      </c>
      <c r="E1419" s="9" t="s">
        <v>1469</v>
      </c>
      <c r="F1419" s="9" t="s">
        <v>5145</v>
      </c>
    </row>
    <row r="1420">
      <c r="A1420" s="9" t="s">
        <v>5146</v>
      </c>
      <c r="B1420" s="9" t="s">
        <v>261</v>
      </c>
      <c r="C1420" s="9" t="s">
        <v>1467</v>
      </c>
      <c r="D1420" s="9" t="s">
        <v>5147</v>
      </c>
      <c r="E1420" s="9" t="s">
        <v>1469</v>
      </c>
      <c r="F1420" s="9" t="s">
        <v>5148</v>
      </c>
    </row>
    <row r="1421">
      <c r="A1421" s="9" t="s">
        <v>5149</v>
      </c>
      <c r="B1421" s="9" t="s">
        <v>109</v>
      </c>
      <c r="C1421" s="9" t="s">
        <v>1467</v>
      </c>
      <c r="D1421" s="9" t="s">
        <v>5150</v>
      </c>
      <c r="E1421" s="9" t="s">
        <v>1469</v>
      </c>
      <c r="F1421" s="9" t="s">
        <v>5151</v>
      </c>
    </row>
    <row r="1422">
      <c r="A1422" s="9" t="s">
        <v>5152</v>
      </c>
      <c r="B1422" s="9" t="s">
        <v>273</v>
      </c>
      <c r="C1422" s="9" t="s">
        <v>1467</v>
      </c>
      <c r="D1422" s="9" t="s">
        <v>5153</v>
      </c>
      <c r="E1422" s="9" t="s">
        <v>1469</v>
      </c>
      <c r="F1422" s="9" t="s">
        <v>5155</v>
      </c>
    </row>
    <row r="1423">
      <c r="A1423" s="9" t="s">
        <v>5156</v>
      </c>
      <c r="B1423" s="9" t="s">
        <v>79</v>
      </c>
      <c r="C1423" s="9" t="s">
        <v>1467</v>
      </c>
      <c r="D1423" s="9" t="s">
        <v>5157</v>
      </c>
      <c r="E1423" s="9" t="s">
        <v>1469</v>
      </c>
      <c r="F1423" s="9" t="s">
        <v>5158</v>
      </c>
    </row>
    <row r="1424">
      <c r="A1424" s="9" t="s">
        <v>5159</v>
      </c>
      <c r="B1424" s="9" t="s">
        <v>239</v>
      </c>
      <c r="C1424" s="9" t="s">
        <v>1467</v>
      </c>
      <c r="D1424" s="9" t="s">
        <v>5160</v>
      </c>
      <c r="E1424" s="9" t="s">
        <v>1469</v>
      </c>
      <c r="F1424" s="9" t="s">
        <v>5161</v>
      </c>
    </row>
    <row r="1425">
      <c r="A1425" s="9" t="s">
        <v>5162</v>
      </c>
      <c r="B1425" s="9" t="s">
        <v>109</v>
      </c>
      <c r="C1425" s="9" t="s">
        <v>1467</v>
      </c>
      <c r="D1425" s="9" t="s">
        <v>5163</v>
      </c>
      <c r="E1425" s="9" t="s">
        <v>1469</v>
      </c>
      <c r="F1425" s="9" t="s">
        <v>5164</v>
      </c>
    </row>
    <row r="1426">
      <c r="A1426" s="9" t="s">
        <v>5165</v>
      </c>
      <c r="B1426" s="9" t="s">
        <v>121</v>
      </c>
      <c r="C1426" s="9" t="s">
        <v>1467</v>
      </c>
      <c r="D1426" s="9" t="s">
        <v>5166</v>
      </c>
      <c r="E1426" s="9" t="s">
        <v>1469</v>
      </c>
      <c r="F1426" s="9" t="s">
        <v>5167</v>
      </c>
    </row>
    <row r="1427">
      <c r="A1427" s="9" t="s">
        <v>5168</v>
      </c>
      <c r="B1427" s="9" t="s">
        <v>261</v>
      </c>
      <c r="C1427" s="9" t="s">
        <v>1467</v>
      </c>
      <c r="D1427" s="9" t="s">
        <v>5170</v>
      </c>
      <c r="E1427" s="9" t="s">
        <v>1469</v>
      </c>
      <c r="F1427" s="9" t="s">
        <v>5172</v>
      </c>
    </row>
    <row r="1428">
      <c r="A1428" s="9" t="s">
        <v>5174</v>
      </c>
      <c r="B1428" s="9" t="s">
        <v>151</v>
      </c>
      <c r="C1428" s="9" t="s">
        <v>1467</v>
      </c>
      <c r="D1428" s="9" t="s">
        <v>5175</v>
      </c>
      <c r="E1428" s="9" t="s">
        <v>1469</v>
      </c>
      <c r="F1428" s="9" t="s">
        <v>5176</v>
      </c>
    </row>
    <row r="1429">
      <c r="A1429" s="9" t="s">
        <v>5177</v>
      </c>
      <c r="B1429" s="9" t="s">
        <v>54</v>
      </c>
      <c r="C1429" s="9" t="s">
        <v>1467</v>
      </c>
      <c r="D1429" s="9" t="s">
        <v>5178</v>
      </c>
      <c r="E1429" s="9" t="s">
        <v>1469</v>
      </c>
      <c r="F1429" s="9" t="s">
        <v>5179</v>
      </c>
    </row>
    <row r="1430">
      <c r="A1430" s="9" t="s">
        <v>5180</v>
      </c>
      <c r="B1430" s="9" t="s">
        <v>152</v>
      </c>
      <c r="C1430" s="9" t="s">
        <v>1467</v>
      </c>
      <c r="D1430" s="9" t="s">
        <v>5181</v>
      </c>
      <c r="E1430" s="9" t="s">
        <v>1469</v>
      </c>
      <c r="F1430" s="9" t="s">
        <v>5182</v>
      </c>
    </row>
    <row r="1431">
      <c r="A1431" s="9" t="s">
        <v>5184</v>
      </c>
      <c r="B1431" s="9" t="s">
        <v>233</v>
      </c>
      <c r="C1431" s="9" t="s">
        <v>1467</v>
      </c>
      <c r="D1431" s="9" t="s">
        <v>5185</v>
      </c>
      <c r="E1431" s="9" t="s">
        <v>1469</v>
      </c>
      <c r="F1431" s="9" t="s">
        <v>5186</v>
      </c>
    </row>
    <row r="1432">
      <c r="A1432" s="9" t="s">
        <v>5187</v>
      </c>
      <c r="B1432" s="9" t="s">
        <v>259</v>
      </c>
      <c r="C1432" s="9" t="s">
        <v>1467</v>
      </c>
      <c r="D1432" s="9" t="s">
        <v>5188</v>
      </c>
      <c r="E1432" s="9" t="s">
        <v>1469</v>
      </c>
      <c r="F1432" s="9" t="s">
        <v>5189</v>
      </c>
    </row>
    <row r="1433">
      <c r="A1433" s="9" t="s">
        <v>5190</v>
      </c>
      <c r="B1433" s="9" t="s">
        <v>213</v>
      </c>
      <c r="C1433" s="9" t="s">
        <v>1467</v>
      </c>
      <c r="D1433" s="9" t="s">
        <v>5191</v>
      </c>
      <c r="E1433" s="9" t="s">
        <v>1469</v>
      </c>
      <c r="F1433" s="9" t="s">
        <v>5193</v>
      </c>
    </row>
    <row r="1434">
      <c r="A1434" s="9" t="s">
        <v>5194</v>
      </c>
      <c r="B1434" s="9" t="s">
        <v>121</v>
      </c>
      <c r="C1434" s="9" t="s">
        <v>1467</v>
      </c>
      <c r="D1434" s="9" t="s">
        <v>5195</v>
      </c>
      <c r="E1434" s="9" t="s">
        <v>1469</v>
      </c>
      <c r="F1434" s="9" t="s">
        <v>5196</v>
      </c>
    </row>
    <row r="1435">
      <c r="A1435" s="9" t="s">
        <v>5197</v>
      </c>
      <c r="B1435" s="9" t="s">
        <v>123</v>
      </c>
      <c r="C1435" s="9" t="s">
        <v>1467</v>
      </c>
      <c r="D1435" s="9" t="s">
        <v>5198</v>
      </c>
      <c r="E1435" s="9" t="s">
        <v>1469</v>
      </c>
      <c r="F1435" s="9" t="s">
        <v>5199</v>
      </c>
    </row>
    <row r="1436">
      <c r="A1436" s="9" t="s">
        <v>5200</v>
      </c>
      <c r="B1436" s="9" t="s">
        <v>151</v>
      </c>
      <c r="C1436" s="9" t="s">
        <v>1467</v>
      </c>
      <c r="D1436" s="9" t="s">
        <v>5201</v>
      </c>
      <c r="E1436" s="9" t="s">
        <v>1469</v>
      </c>
      <c r="F1436" s="9" t="s">
        <v>5202</v>
      </c>
    </row>
    <row r="1437">
      <c r="A1437" s="9" t="s">
        <v>5203</v>
      </c>
      <c r="B1437" s="9" t="s">
        <v>284</v>
      </c>
      <c r="C1437" s="9" t="s">
        <v>1467</v>
      </c>
      <c r="D1437" s="9" t="s">
        <v>5204</v>
      </c>
      <c r="E1437" s="9" t="s">
        <v>1469</v>
      </c>
      <c r="F1437" s="9" t="s">
        <v>5205</v>
      </c>
    </row>
    <row r="1438">
      <c r="A1438" s="9" t="s">
        <v>5206</v>
      </c>
      <c r="B1438" s="9" t="s">
        <v>187</v>
      </c>
      <c r="C1438" s="9" t="s">
        <v>1467</v>
      </c>
      <c r="D1438" s="9" t="s">
        <v>5207</v>
      </c>
      <c r="E1438" s="9" t="s">
        <v>1469</v>
      </c>
      <c r="F1438" s="9" t="s">
        <v>5208</v>
      </c>
    </row>
    <row r="1439">
      <c r="A1439" s="9" t="s">
        <v>5209</v>
      </c>
      <c r="B1439" s="9" t="s">
        <v>247</v>
      </c>
      <c r="C1439" s="9" t="s">
        <v>1467</v>
      </c>
      <c r="D1439" s="9" t="s">
        <v>5210</v>
      </c>
      <c r="E1439" s="9" t="s">
        <v>1469</v>
      </c>
      <c r="F1439" s="9" t="s">
        <v>5211</v>
      </c>
    </row>
    <row r="1440">
      <c r="A1440" s="9" t="s">
        <v>5212</v>
      </c>
      <c r="B1440" s="9" t="s">
        <v>63</v>
      </c>
      <c r="C1440" s="9" t="s">
        <v>1467</v>
      </c>
      <c r="D1440" s="9" t="s">
        <v>5213</v>
      </c>
      <c r="E1440" s="9" t="s">
        <v>1469</v>
      </c>
      <c r="F1440" s="9" t="s">
        <v>5214</v>
      </c>
    </row>
    <row r="1441">
      <c r="A1441" s="9" t="s">
        <v>5215</v>
      </c>
      <c r="B1441" s="9" t="s">
        <v>96</v>
      </c>
      <c r="C1441" s="9" t="s">
        <v>1467</v>
      </c>
      <c r="D1441" s="9" t="s">
        <v>5216</v>
      </c>
      <c r="E1441" s="9" t="s">
        <v>1469</v>
      </c>
      <c r="F1441" s="9" t="s">
        <v>5217</v>
      </c>
    </row>
    <row r="1442">
      <c r="A1442" s="9" t="s">
        <v>5218</v>
      </c>
      <c r="B1442" s="9" t="s">
        <v>282</v>
      </c>
      <c r="C1442" s="9" t="s">
        <v>1467</v>
      </c>
      <c r="D1442" s="9" t="s">
        <v>5219</v>
      </c>
      <c r="E1442" s="9" t="s">
        <v>1469</v>
      </c>
      <c r="F1442" s="9" t="s">
        <v>5220</v>
      </c>
    </row>
    <row r="1443">
      <c r="A1443" s="9" t="s">
        <v>5221</v>
      </c>
      <c r="B1443" s="9" t="s">
        <v>151</v>
      </c>
      <c r="C1443" s="9" t="s">
        <v>1467</v>
      </c>
      <c r="D1443" s="9" t="s">
        <v>5222</v>
      </c>
      <c r="E1443" s="9" t="s">
        <v>1469</v>
      </c>
      <c r="F1443" s="9" t="s">
        <v>5223</v>
      </c>
    </row>
    <row r="1444">
      <c r="A1444" s="9" t="s">
        <v>5224</v>
      </c>
      <c r="B1444" s="9" t="s">
        <v>284</v>
      </c>
      <c r="C1444" s="9" t="s">
        <v>1467</v>
      </c>
      <c r="D1444" s="9" t="s">
        <v>5225</v>
      </c>
      <c r="E1444" s="9" t="s">
        <v>1469</v>
      </c>
      <c r="F1444" s="9" t="s">
        <v>5227</v>
      </c>
    </row>
    <row r="1445">
      <c r="A1445" s="9" t="s">
        <v>5228</v>
      </c>
      <c r="B1445" s="9" t="s">
        <v>174</v>
      </c>
      <c r="C1445" s="9" t="s">
        <v>1467</v>
      </c>
      <c r="D1445" s="9" t="s">
        <v>5229</v>
      </c>
      <c r="E1445" s="9" t="s">
        <v>1469</v>
      </c>
      <c r="F1445" s="9" t="s">
        <v>5230</v>
      </c>
    </row>
    <row r="1446">
      <c r="A1446" s="9" t="s">
        <v>5231</v>
      </c>
      <c r="B1446" s="9" t="s">
        <v>187</v>
      </c>
      <c r="C1446" s="9" t="s">
        <v>1467</v>
      </c>
      <c r="D1446" s="9" t="s">
        <v>5232</v>
      </c>
      <c r="E1446" s="9" t="s">
        <v>1469</v>
      </c>
      <c r="F1446" s="9" t="s">
        <v>5233</v>
      </c>
    </row>
    <row r="1447">
      <c r="A1447" s="9" t="s">
        <v>5234</v>
      </c>
      <c r="B1447" s="9" t="s">
        <v>195</v>
      </c>
      <c r="C1447" s="9" t="s">
        <v>1467</v>
      </c>
      <c r="D1447" s="9" t="s">
        <v>5235</v>
      </c>
      <c r="E1447" s="9" t="s">
        <v>1469</v>
      </c>
      <c r="F1447" s="9" t="s">
        <v>5236</v>
      </c>
    </row>
    <row r="1448">
      <c r="A1448" s="9" t="s">
        <v>5237</v>
      </c>
      <c r="B1448" s="9" t="s">
        <v>417</v>
      </c>
      <c r="C1448" s="9" t="s">
        <v>1467</v>
      </c>
      <c r="D1448" s="9" t="s">
        <v>5238</v>
      </c>
      <c r="E1448" s="9" t="s">
        <v>1469</v>
      </c>
      <c r="F1448" s="9" t="s">
        <v>5239</v>
      </c>
    </row>
    <row r="1449">
      <c r="A1449" s="9" t="s">
        <v>5240</v>
      </c>
      <c r="B1449" s="9" t="s">
        <v>344</v>
      </c>
      <c r="C1449" s="9" t="s">
        <v>1467</v>
      </c>
      <c r="D1449" s="9" t="s">
        <v>5241</v>
      </c>
      <c r="E1449" s="9" t="s">
        <v>1469</v>
      </c>
      <c r="F1449" s="9" t="s">
        <v>5242</v>
      </c>
    </row>
    <row r="1450">
      <c r="A1450" s="9" t="s">
        <v>5243</v>
      </c>
      <c r="B1450" s="9" t="s">
        <v>228</v>
      </c>
      <c r="C1450" s="9" t="s">
        <v>1467</v>
      </c>
      <c r="D1450" s="9" t="s">
        <v>5244</v>
      </c>
      <c r="E1450" s="9" t="s">
        <v>1469</v>
      </c>
      <c r="F1450" s="9" t="s">
        <v>5245</v>
      </c>
    </row>
    <row r="1451">
      <c r="A1451" s="9" t="s">
        <v>5246</v>
      </c>
      <c r="B1451" s="9" t="s">
        <v>114</v>
      </c>
      <c r="C1451" s="9" t="s">
        <v>1467</v>
      </c>
      <c r="D1451" s="9" t="s">
        <v>5247</v>
      </c>
      <c r="E1451" s="9" t="s">
        <v>1469</v>
      </c>
      <c r="F1451" s="9" t="s">
        <v>5248</v>
      </c>
    </row>
    <row r="1452">
      <c r="A1452" s="9" t="s">
        <v>5249</v>
      </c>
      <c r="B1452" s="9" t="s">
        <v>174</v>
      </c>
      <c r="C1452" s="9" t="s">
        <v>1467</v>
      </c>
      <c r="D1452" s="9" t="s">
        <v>5250</v>
      </c>
      <c r="E1452" s="9" t="s">
        <v>1469</v>
      </c>
      <c r="F1452" s="9" t="s">
        <v>5251</v>
      </c>
    </row>
    <row r="1453">
      <c r="A1453" s="9" t="s">
        <v>5252</v>
      </c>
      <c r="B1453" s="9" t="s">
        <v>414</v>
      </c>
      <c r="C1453" s="9" t="s">
        <v>1467</v>
      </c>
      <c r="D1453" s="9" t="s">
        <v>5253</v>
      </c>
      <c r="E1453" s="9" t="s">
        <v>1469</v>
      </c>
      <c r="F1453" s="9" t="s">
        <v>5254</v>
      </c>
    </row>
    <row r="1454">
      <c r="A1454" s="9" t="s">
        <v>5255</v>
      </c>
      <c r="B1454" s="9" t="s">
        <v>185</v>
      </c>
      <c r="C1454" s="9" t="s">
        <v>1467</v>
      </c>
      <c r="D1454" s="9" t="s">
        <v>5256</v>
      </c>
      <c r="E1454" s="9" t="s">
        <v>1469</v>
      </c>
      <c r="F1454" s="9" t="s">
        <v>5257</v>
      </c>
    </row>
    <row r="1455">
      <c r="A1455" s="9" t="s">
        <v>5258</v>
      </c>
      <c r="B1455" s="9" t="s">
        <v>205</v>
      </c>
      <c r="C1455" s="9" t="s">
        <v>1467</v>
      </c>
      <c r="D1455" s="9" t="s">
        <v>5259</v>
      </c>
      <c r="E1455" s="9" t="s">
        <v>1469</v>
      </c>
      <c r="F1455" s="9" t="s">
        <v>5260</v>
      </c>
    </row>
    <row r="1456">
      <c r="A1456" s="9" t="s">
        <v>5261</v>
      </c>
      <c r="B1456" s="9" t="s">
        <v>162</v>
      </c>
      <c r="C1456" s="9" t="s">
        <v>1467</v>
      </c>
      <c r="D1456" s="9" t="s">
        <v>5263</v>
      </c>
      <c r="E1456" s="9" t="s">
        <v>1469</v>
      </c>
      <c r="F1456" s="9" t="s">
        <v>5264</v>
      </c>
    </row>
    <row r="1457">
      <c r="A1457" s="9" t="s">
        <v>5265</v>
      </c>
      <c r="B1457" s="9" t="s">
        <v>308</v>
      </c>
      <c r="C1457" s="9" t="s">
        <v>1467</v>
      </c>
      <c r="D1457" s="9" t="s">
        <v>5266</v>
      </c>
      <c r="E1457" s="9" t="s">
        <v>1469</v>
      </c>
      <c r="F1457" s="9" t="s">
        <v>5267</v>
      </c>
    </row>
    <row r="1458">
      <c r="A1458" s="9" t="s">
        <v>5268</v>
      </c>
      <c r="B1458" s="9" t="s">
        <v>424</v>
      </c>
      <c r="C1458" s="9" t="s">
        <v>1467</v>
      </c>
      <c r="D1458" s="9" t="s">
        <v>5269</v>
      </c>
      <c r="E1458" s="9" t="s">
        <v>1469</v>
      </c>
      <c r="F1458" s="9" t="s">
        <v>5270</v>
      </c>
    </row>
    <row r="1459">
      <c r="A1459" s="9" t="s">
        <v>5271</v>
      </c>
      <c r="B1459" s="9" t="s">
        <v>228</v>
      </c>
      <c r="C1459" s="9" t="s">
        <v>1467</v>
      </c>
      <c r="D1459" s="9" t="s">
        <v>5272</v>
      </c>
      <c r="E1459" s="9" t="s">
        <v>1469</v>
      </c>
      <c r="F1459" s="9" t="s">
        <v>5273</v>
      </c>
    </row>
    <row r="1460">
      <c r="A1460" s="9" t="s">
        <v>5274</v>
      </c>
      <c r="B1460" s="9" t="s">
        <v>151</v>
      </c>
      <c r="C1460" s="9" t="s">
        <v>1467</v>
      </c>
      <c r="D1460" s="9" t="s">
        <v>5275</v>
      </c>
      <c r="E1460" s="9" t="s">
        <v>1469</v>
      </c>
      <c r="F1460" s="9" t="s">
        <v>5276</v>
      </c>
    </row>
    <row r="1461">
      <c r="A1461" s="9" t="s">
        <v>5277</v>
      </c>
      <c r="B1461" s="9" t="s">
        <v>266</v>
      </c>
      <c r="C1461" s="9" t="s">
        <v>1467</v>
      </c>
      <c r="D1461" s="9" t="s">
        <v>5278</v>
      </c>
      <c r="E1461" s="9" t="s">
        <v>1469</v>
      </c>
      <c r="F1461" s="9" t="s">
        <v>5279</v>
      </c>
    </row>
    <row r="1462">
      <c r="A1462" s="9" t="s">
        <v>5280</v>
      </c>
      <c r="B1462" s="9" t="s">
        <v>253</v>
      </c>
      <c r="C1462" s="9" t="s">
        <v>1467</v>
      </c>
      <c r="D1462" s="9" t="s">
        <v>5281</v>
      </c>
      <c r="E1462" s="9" t="s">
        <v>1469</v>
      </c>
      <c r="F1462" s="9" t="s">
        <v>5282</v>
      </c>
    </row>
    <row r="1463">
      <c r="A1463" s="9" t="s">
        <v>5283</v>
      </c>
      <c r="B1463" s="9" t="s">
        <v>228</v>
      </c>
      <c r="C1463" s="9" t="s">
        <v>1467</v>
      </c>
      <c r="D1463" s="9" t="s">
        <v>5284</v>
      </c>
      <c r="E1463" s="9" t="s">
        <v>1469</v>
      </c>
      <c r="F1463" s="9" t="s">
        <v>5285</v>
      </c>
    </row>
    <row r="1464">
      <c r="A1464" s="9" t="s">
        <v>5286</v>
      </c>
      <c r="B1464" s="9" t="s">
        <v>195</v>
      </c>
      <c r="C1464" s="9" t="s">
        <v>1467</v>
      </c>
      <c r="D1464" s="9" t="s">
        <v>5287</v>
      </c>
      <c r="E1464" s="9" t="s">
        <v>1469</v>
      </c>
      <c r="F1464" s="9" t="s">
        <v>5288</v>
      </c>
    </row>
    <row r="1465">
      <c r="A1465" s="9" t="s">
        <v>5290</v>
      </c>
      <c r="B1465" s="9" t="s">
        <v>284</v>
      </c>
      <c r="C1465" s="9" t="s">
        <v>1467</v>
      </c>
      <c r="D1465" s="9" t="s">
        <v>5293</v>
      </c>
      <c r="E1465" s="9" t="s">
        <v>1469</v>
      </c>
      <c r="F1465" s="9" t="s">
        <v>5294</v>
      </c>
    </row>
    <row r="1466">
      <c r="A1466" s="9" t="s">
        <v>5295</v>
      </c>
      <c r="B1466" s="9" t="s">
        <v>410</v>
      </c>
      <c r="C1466" s="9" t="s">
        <v>1467</v>
      </c>
      <c r="D1466" s="9" t="s">
        <v>5296</v>
      </c>
      <c r="E1466" s="9" t="s">
        <v>1469</v>
      </c>
      <c r="F1466" s="9" t="s">
        <v>5297</v>
      </c>
    </row>
    <row r="1467">
      <c r="A1467" s="9" t="s">
        <v>5299</v>
      </c>
      <c r="B1467" s="9" t="s">
        <v>410</v>
      </c>
      <c r="C1467" s="9" t="s">
        <v>1467</v>
      </c>
      <c r="D1467" s="9" t="s">
        <v>5300</v>
      </c>
      <c r="E1467" s="9" t="s">
        <v>1469</v>
      </c>
      <c r="F1467" s="9" t="s">
        <v>5301</v>
      </c>
    </row>
    <row r="1468">
      <c r="A1468" s="9" t="s">
        <v>5302</v>
      </c>
      <c r="B1468" s="9" t="s">
        <v>195</v>
      </c>
      <c r="C1468" s="9" t="s">
        <v>1467</v>
      </c>
      <c r="D1468" s="9" t="s">
        <v>5303</v>
      </c>
      <c r="E1468" s="9" t="s">
        <v>1469</v>
      </c>
      <c r="F1468" s="9" t="s">
        <v>5304</v>
      </c>
    </row>
    <row r="1469">
      <c r="A1469" s="9" t="s">
        <v>5305</v>
      </c>
      <c r="B1469" s="9" t="s">
        <v>133</v>
      </c>
      <c r="C1469" s="9" t="s">
        <v>1467</v>
      </c>
      <c r="D1469" s="9" t="s">
        <v>5306</v>
      </c>
      <c r="E1469" s="9" t="s">
        <v>1469</v>
      </c>
      <c r="F1469" s="9" t="s">
        <v>5307</v>
      </c>
    </row>
    <row r="1470">
      <c r="A1470" s="9" t="s">
        <v>5308</v>
      </c>
      <c r="B1470" s="9" t="s">
        <v>142</v>
      </c>
      <c r="C1470" s="9" t="s">
        <v>1467</v>
      </c>
      <c r="D1470" s="9" t="s">
        <v>5309</v>
      </c>
      <c r="E1470" s="9" t="s">
        <v>1469</v>
      </c>
      <c r="F1470" s="9" t="s">
        <v>5310</v>
      </c>
    </row>
    <row r="1471">
      <c r="A1471" s="9" t="s">
        <v>5311</v>
      </c>
      <c r="B1471" s="9" t="s">
        <v>410</v>
      </c>
      <c r="C1471" s="9" t="s">
        <v>1467</v>
      </c>
      <c r="D1471" s="9" t="s">
        <v>5312</v>
      </c>
      <c r="E1471" s="9" t="s">
        <v>1469</v>
      </c>
      <c r="F1471" s="9" t="s">
        <v>5313</v>
      </c>
    </row>
    <row r="1472">
      <c r="A1472" s="9" t="s">
        <v>5314</v>
      </c>
      <c r="B1472" s="9" t="s">
        <v>410</v>
      </c>
      <c r="C1472" s="9" t="s">
        <v>1467</v>
      </c>
      <c r="D1472" s="9" t="s">
        <v>5315</v>
      </c>
      <c r="E1472" s="9" t="s">
        <v>1469</v>
      </c>
      <c r="F1472" s="9" t="s">
        <v>5316</v>
      </c>
    </row>
    <row r="1473">
      <c r="A1473" s="9" t="s">
        <v>5317</v>
      </c>
      <c r="B1473" s="9" t="s">
        <v>260</v>
      </c>
      <c r="C1473" s="9" t="s">
        <v>1467</v>
      </c>
      <c r="D1473" s="9" t="s">
        <v>5318</v>
      </c>
      <c r="E1473" s="9" t="s">
        <v>1469</v>
      </c>
      <c r="F1473" s="9" t="s">
        <v>5319</v>
      </c>
    </row>
    <row r="1474">
      <c r="A1474" s="9" t="s">
        <v>5320</v>
      </c>
      <c r="B1474" s="9" t="s">
        <v>253</v>
      </c>
      <c r="C1474" s="9" t="s">
        <v>1467</v>
      </c>
      <c r="D1474" s="9" t="s">
        <v>5321</v>
      </c>
      <c r="E1474" s="9" t="s">
        <v>1469</v>
      </c>
      <c r="F1474" s="9" t="s">
        <v>5322</v>
      </c>
    </row>
    <row r="1475">
      <c r="A1475" s="9" t="s">
        <v>5323</v>
      </c>
      <c r="B1475" s="9" t="s">
        <v>294</v>
      </c>
      <c r="C1475" s="9" t="s">
        <v>1467</v>
      </c>
      <c r="D1475" s="9" t="s">
        <v>5324</v>
      </c>
      <c r="E1475" s="9" t="s">
        <v>1469</v>
      </c>
      <c r="F1475" s="9" t="s">
        <v>5325</v>
      </c>
    </row>
    <row r="1476">
      <c r="A1476" s="9" t="s">
        <v>5326</v>
      </c>
      <c r="B1476" s="9" t="s">
        <v>133</v>
      </c>
      <c r="C1476" s="9" t="s">
        <v>1467</v>
      </c>
      <c r="D1476" s="9" t="s">
        <v>5327</v>
      </c>
      <c r="E1476" s="9" t="s">
        <v>1469</v>
      </c>
      <c r="F1476" s="9" t="s">
        <v>5328</v>
      </c>
    </row>
    <row r="1477">
      <c r="A1477" s="9" t="s">
        <v>5329</v>
      </c>
      <c r="B1477" s="9" t="s">
        <v>253</v>
      </c>
      <c r="C1477" s="9" t="s">
        <v>1467</v>
      </c>
      <c r="D1477" s="9" t="s">
        <v>5330</v>
      </c>
      <c r="E1477" s="9" t="s">
        <v>1469</v>
      </c>
      <c r="F1477" s="9" t="s">
        <v>5331</v>
      </c>
    </row>
    <row r="1478">
      <c r="A1478" s="9" t="s">
        <v>5332</v>
      </c>
      <c r="B1478" s="9" t="s">
        <v>114</v>
      </c>
      <c r="C1478" s="9" t="s">
        <v>1467</v>
      </c>
      <c r="D1478" s="9" t="s">
        <v>5334</v>
      </c>
      <c r="E1478" s="9" t="s">
        <v>1469</v>
      </c>
      <c r="F1478" s="9" t="s">
        <v>5335</v>
      </c>
    </row>
    <row r="1479">
      <c r="A1479" s="9" t="s">
        <v>5336</v>
      </c>
      <c r="B1479" s="9" t="s">
        <v>235</v>
      </c>
      <c r="C1479" s="9" t="s">
        <v>1467</v>
      </c>
      <c r="D1479" s="9" t="s">
        <v>5337</v>
      </c>
      <c r="E1479" s="9" t="s">
        <v>1469</v>
      </c>
      <c r="F1479" s="9" t="s">
        <v>5338</v>
      </c>
    </row>
    <row r="1480">
      <c r="A1480" s="9" t="s">
        <v>5339</v>
      </c>
      <c r="B1480" s="9" t="s">
        <v>66</v>
      </c>
      <c r="C1480" s="9" t="s">
        <v>1467</v>
      </c>
      <c r="D1480" s="9" t="s">
        <v>5340</v>
      </c>
      <c r="E1480" s="9" t="s">
        <v>1469</v>
      </c>
      <c r="F1480" s="9" t="s">
        <v>5341</v>
      </c>
    </row>
    <row r="1481">
      <c r="A1481" s="9" t="s">
        <v>5342</v>
      </c>
      <c r="B1481" s="9" t="s">
        <v>249</v>
      </c>
      <c r="C1481" s="9" t="s">
        <v>1467</v>
      </c>
      <c r="D1481" s="9" t="s">
        <v>5343</v>
      </c>
      <c r="E1481" s="9" t="s">
        <v>1469</v>
      </c>
      <c r="F1481" s="9" t="s">
        <v>5344</v>
      </c>
    </row>
    <row r="1482">
      <c r="A1482" s="9" t="s">
        <v>5345</v>
      </c>
      <c r="B1482" s="9" t="s">
        <v>347</v>
      </c>
      <c r="C1482" s="9" t="s">
        <v>1467</v>
      </c>
      <c r="D1482" s="9" t="s">
        <v>5346</v>
      </c>
      <c r="E1482" s="9" t="s">
        <v>1469</v>
      </c>
      <c r="F1482" s="9" t="s">
        <v>5347</v>
      </c>
    </row>
    <row r="1483">
      <c r="A1483" s="9" t="s">
        <v>5348</v>
      </c>
      <c r="B1483" s="9" t="s">
        <v>235</v>
      </c>
      <c r="C1483" s="9" t="s">
        <v>1467</v>
      </c>
      <c r="D1483" s="9" t="s">
        <v>5349</v>
      </c>
      <c r="E1483" s="9" t="s">
        <v>1469</v>
      </c>
      <c r="F1483" s="9" t="s">
        <v>5350</v>
      </c>
    </row>
    <row r="1484">
      <c r="A1484" s="9" t="s">
        <v>5351</v>
      </c>
      <c r="B1484" s="9" t="s">
        <v>344</v>
      </c>
      <c r="C1484" s="9" t="s">
        <v>1467</v>
      </c>
      <c r="D1484" s="9" t="s">
        <v>5352</v>
      </c>
      <c r="E1484" s="9" t="s">
        <v>1469</v>
      </c>
      <c r="F1484" s="9" t="s">
        <v>5353</v>
      </c>
    </row>
    <row r="1485">
      <c r="A1485" s="9" t="s">
        <v>5354</v>
      </c>
      <c r="B1485" s="9" t="s">
        <v>219</v>
      </c>
      <c r="C1485" s="9" t="s">
        <v>1467</v>
      </c>
      <c r="D1485" s="9" t="s">
        <v>5355</v>
      </c>
      <c r="E1485" s="9" t="s">
        <v>1469</v>
      </c>
      <c r="F1485" s="9" t="s">
        <v>5356</v>
      </c>
    </row>
    <row r="1486">
      <c r="A1486" s="9" t="s">
        <v>5357</v>
      </c>
      <c r="B1486" s="9" t="s">
        <v>264</v>
      </c>
      <c r="C1486" s="9" t="s">
        <v>1467</v>
      </c>
      <c r="D1486" s="9" t="s">
        <v>5358</v>
      </c>
      <c r="E1486" s="9" t="s">
        <v>1469</v>
      </c>
      <c r="F1486" s="9" t="s">
        <v>5359</v>
      </c>
    </row>
    <row r="1487">
      <c r="A1487" s="9" t="s">
        <v>5360</v>
      </c>
      <c r="B1487" s="9" t="s">
        <v>409</v>
      </c>
      <c r="C1487" s="9" t="s">
        <v>1467</v>
      </c>
      <c r="D1487" s="9" t="s">
        <v>5361</v>
      </c>
      <c r="E1487" s="9" t="s">
        <v>1469</v>
      </c>
      <c r="F1487" s="9" t="s">
        <v>5362</v>
      </c>
    </row>
    <row r="1488">
      <c r="A1488" s="9" t="s">
        <v>5363</v>
      </c>
      <c r="B1488" s="9" t="s">
        <v>233</v>
      </c>
      <c r="C1488" s="9" t="s">
        <v>1467</v>
      </c>
      <c r="D1488" s="9" t="s">
        <v>5364</v>
      </c>
      <c r="E1488" s="9" t="s">
        <v>1469</v>
      </c>
      <c r="F1488" s="9" t="s">
        <v>5365</v>
      </c>
    </row>
    <row r="1489">
      <c r="A1489" s="9" t="s">
        <v>5366</v>
      </c>
      <c r="B1489" s="9" t="s">
        <v>183</v>
      </c>
      <c r="C1489" s="9" t="s">
        <v>1467</v>
      </c>
      <c r="D1489" s="9" t="s">
        <v>5367</v>
      </c>
      <c r="E1489" s="9" t="s">
        <v>1469</v>
      </c>
      <c r="F1489" s="9" t="s">
        <v>5368</v>
      </c>
    </row>
    <row r="1490">
      <c r="A1490" s="9" t="s">
        <v>5369</v>
      </c>
      <c r="B1490" s="9" t="s">
        <v>277</v>
      </c>
      <c r="C1490" s="9" t="s">
        <v>1467</v>
      </c>
      <c r="D1490" s="9" t="s">
        <v>5370</v>
      </c>
      <c r="E1490" s="9" t="s">
        <v>1469</v>
      </c>
      <c r="F1490" s="9" t="s">
        <v>5371</v>
      </c>
    </row>
    <row r="1491">
      <c r="A1491" s="9" t="s">
        <v>5372</v>
      </c>
      <c r="B1491" s="9" t="s">
        <v>214</v>
      </c>
      <c r="C1491" s="9" t="s">
        <v>1467</v>
      </c>
      <c r="D1491" s="9" t="s">
        <v>5373</v>
      </c>
      <c r="E1491" s="9" t="s">
        <v>1469</v>
      </c>
      <c r="F1491" s="9" t="s">
        <v>5374</v>
      </c>
    </row>
    <row r="1492">
      <c r="A1492" s="9" t="s">
        <v>5375</v>
      </c>
      <c r="B1492" s="9" t="s">
        <v>181</v>
      </c>
      <c r="C1492" s="9" t="s">
        <v>1467</v>
      </c>
      <c r="D1492" s="9" t="s">
        <v>5376</v>
      </c>
      <c r="E1492" s="9" t="s">
        <v>1469</v>
      </c>
      <c r="F1492" s="9" t="s">
        <v>5377</v>
      </c>
    </row>
    <row r="1493">
      <c r="A1493" s="9" t="s">
        <v>5378</v>
      </c>
      <c r="B1493" s="9" t="s">
        <v>181</v>
      </c>
      <c r="C1493" s="9" t="s">
        <v>1467</v>
      </c>
      <c r="D1493" s="9" t="s">
        <v>5379</v>
      </c>
      <c r="E1493" s="9" t="s">
        <v>1469</v>
      </c>
      <c r="F1493" s="9" t="s">
        <v>5380</v>
      </c>
    </row>
    <row r="1494">
      <c r="A1494" s="9" t="s">
        <v>5381</v>
      </c>
      <c r="B1494" s="9" t="s">
        <v>233</v>
      </c>
      <c r="C1494" s="9" t="s">
        <v>1467</v>
      </c>
      <c r="D1494" s="9" t="s">
        <v>5382</v>
      </c>
      <c r="E1494" s="9" t="s">
        <v>1469</v>
      </c>
      <c r="F1494" s="9" t="s">
        <v>5383</v>
      </c>
    </row>
    <row r="1495">
      <c r="A1495" s="9" t="s">
        <v>5384</v>
      </c>
      <c r="B1495" s="9" t="s">
        <v>190</v>
      </c>
      <c r="C1495" s="9" t="s">
        <v>1467</v>
      </c>
      <c r="D1495" s="9" t="s">
        <v>5385</v>
      </c>
      <c r="E1495" s="9" t="s">
        <v>1469</v>
      </c>
      <c r="F1495" s="9" t="s">
        <v>5386</v>
      </c>
    </row>
    <row r="1496">
      <c r="A1496" s="9" t="s">
        <v>5387</v>
      </c>
      <c r="B1496" s="9" t="s">
        <v>166</v>
      </c>
      <c r="C1496" s="9" t="s">
        <v>1467</v>
      </c>
      <c r="D1496" s="9" t="s">
        <v>5388</v>
      </c>
      <c r="E1496" s="9" t="s">
        <v>1469</v>
      </c>
      <c r="F1496" s="9" t="s">
        <v>5389</v>
      </c>
    </row>
    <row r="1497">
      <c r="A1497" s="9" t="s">
        <v>5390</v>
      </c>
      <c r="B1497" s="9" t="s">
        <v>190</v>
      </c>
      <c r="C1497" s="9" t="s">
        <v>1467</v>
      </c>
      <c r="D1497" s="9" t="s">
        <v>5391</v>
      </c>
      <c r="E1497" s="9" t="s">
        <v>1469</v>
      </c>
      <c r="F1497" s="9" t="s">
        <v>5392</v>
      </c>
    </row>
    <row r="1498">
      <c r="A1498" s="9" t="s">
        <v>5393</v>
      </c>
      <c r="B1498" s="9" t="s">
        <v>214</v>
      </c>
      <c r="C1498" s="9" t="s">
        <v>1467</v>
      </c>
      <c r="D1498" s="9" t="s">
        <v>5394</v>
      </c>
      <c r="E1498" s="9" t="s">
        <v>1469</v>
      </c>
      <c r="F1498" s="9" t="s">
        <v>5395</v>
      </c>
    </row>
    <row r="1499">
      <c r="A1499" s="9" t="s">
        <v>5396</v>
      </c>
      <c r="B1499" s="9" t="s">
        <v>66</v>
      </c>
      <c r="C1499" s="9" t="s">
        <v>1467</v>
      </c>
      <c r="D1499" s="9" t="s">
        <v>5397</v>
      </c>
      <c r="E1499" s="9" t="s">
        <v>1469</v>
      </c>
      <c r="F1499" s="9" t="s">
        <v>5398</v>
      </c>
    </row>
    <row r="1500">
      <c r="A1500" s="9" t="s">
        <v>5399</v>
      </c>
      <c r="B1500" s="9" t="s">
        <v>190</v>
      </c>
      <c r="C1500" s="9" t="s">
        <v>1467</v>
      </c>
      <c r="D1500" s="9" t="s">
        <v>5400</v>
      </c>
      <c r="E1500" s="9" t="s">
        <v>1469</v>
      </c>
      <c r="F1500" s="9" t="s">
        <v>5401</v>
      </c>
    </row>
    <row r="1501">
      <c r="A1501" s="9" t="s">
        <v>5402</v>
      </c>
      <c r="B1501" s="9" t="s">
        <v>180</v>
      </c>
      <c r="C1501" s="9" t="s">
        <v>1467</v>
      </c>
      <c r="D1501" s="9" t="s">
        <v>5403</v>
      </c>
      <c r="E1501" s="9" t="s">
        <v>1469</v>
      </c>
      <c r="F1501" s="9" t="s">
        <v>5404</v>
      </c>
    </row>
    <row r="1502">
      <c r="A1502" s="9" t="s">
        <v>5405</v>
      </c>
      <c r="B1502" s="9" t="s">
        <v>308</v>
      </c>
      <c r="C1502" s="9" t="s">
        <v>1467</v>
      </c>
      <c r="D1502" s="9" t="s">
        <v>5406</v>
      </c>
      <c r="E1502" s="9" t="s">
        <v>1469</v>
      </c>
      <c r="F1502" s="9" t="s">
        <v>5407</v>
      </c>
    </row>
    <row r="1503">
      <c r="A1503" s="9" t="s">
        <v>5408</v>
      </c>
      <c r="B1503" s="9" t="s">
        <v>249</v>
      </c>
      <c r="C1503" s="9" t="s">
        <v>1467</v>
      </c>
      <c r="D1503" s="9" t="s">
        <v>5409</v>
      </c>
      <c r="E1503" s="9" t="s">
        <v>1469</v>
      </c>
      <c r="F1503" s="9" t="s">
        <v>5410</v>
      </c>
    </row>
    <row r="1504">
      <c r="A1504" s="9" t="s">
        <v>5411</v>
      </c>
      <c r="B1504" s="9" t="s">
        <v>290</v>
      </c>
      <c r="C1504" s="9" t="s">
        <v>1467</v>
      </c>
      <c r="D1504" s="9" t="s">
        <v>5412</v>
      </c>
      <c r="E1504" s="9" t="s">
        <v>1469</v>
      </c>
      <c r="F1504" s="9" t="s">
        <v>5413</v>
      </c>
    </row>
    <row r="1505">
      <c r="A1505" s="9" t="s">
        <v>5414</v>
      </c>
      <c r="B1505" s="9" t="s">
        <v>104</v>
      </c>
      <c r="C1505" s="9" t="s">
        <v>1467</v>
      </c>
      <c r="D1505" s="9" t="s">
        <v>5415</v>
      </c>
      <c r="E1505" s="9" t="s">
        <v>1469</v>
      </c>
      <c r="F1505" s="9" t="s">
        <v>5416</v>
      </c>
    </row>
    <row r="1506">
      <c r="A1506" s="9" t="s">
        <v>5417</v>
      </c>
      <c r="B1506" s="9" t="s">
        <v>107</v>
      </c>
      <c r="C1506" s="9" t="s">
        <v>1467</v>
      </c>
      <c r="D1506" s="9" t="s">
        <v>5418</v>
      </c>
      <c r="E1506" s="9" t="s">
        <v>1469</v>
      </c>
      <c r="F1506" s="9" t="s">
        <v>5419</v>
      </c>
    </row>
    <row r="1507">
      <c r="A1507" s="9" t="s">
        <v>5420</v>
      </c>
      <c r="B1507" s="9" t="s">
        <v>134</v>
      </c>
      <c r="C1507" s="9" t="s">
        <v>1467</v>
      </c>
      <c r="D1507" s="9" t="s">
        <v>5421</v>
      </c>
      <c r="E1507" s="9" t="s">
        <v>1469</v>
      </c>
      <c r="F1507" s="9" t="s">
        <v>5422</v>
      </c>
    </row>
    <row r="1508">
      <c r="A1508" s="9" t="s">
        <v>5423</v>
      </c>
      <c r="B1508" s="9" t="s">
        <v>75</v>
      </c>
      <c r="C1508" s="9" t="s">
        <v>1467</v>
      </c>
      <c r="D1508" s="9" t="s">
        <v>5424</v>
      </c>
      <c r="E1508" s="9" t="s">
        <v>1469</v>
      </c>
      <c r="F1508" s="9" t="s">
        <v>5425</v>
      </c>
    </row>
    <row r="1509">
      <c r="A1509" s="9" t="s">
        <v>5426</v>
      </c>
      <c r="B1509" s="9" t="s">
        <v>94</v>
      </c>
      <c r="C1509" s="9" t="s">
        <v>1467</v>
      </c>
      <c r="D1509" s="9" t="s">
        <v>5427</v>
      </c>
      <c r="E1509" s="9" t="s">
        <v>1469</v>
      </c>
      <c r="F1509" s="9" t="s">
        <v>5428</v>
      </c>
    </row>
    <row r="1510">
      <c r="A1510" s="9" t="s">
        <v>5429</v>
      </c>
      <c r="B1510" s="9" t="s">
        <v>274</v>
      </c>
      <c r="C1510" s="9" t="s">
        <v>1467</v>
      </c>
      <c r="D1510" s="9" t="s">
        <v>5430</v>
      </c>
      <c r="E1510" s="9" t="s">
        <v>1469</v>
      </c>
      <c r="F1510" s="9" t="s">
        <v>5431</v>
      </c>
    </row>
    <row r="1511">
      <c r="A1511" s="9" t="s">
        <v>5432</v>
      </c>
      <c r="B1511" s="9" t="s">
        <v>152</v>
      </c>
      <c r="C1511" s="9" t="s">
        <v>1467</v>
      </c>
      <c r="D1511" s="9" t="s">
        <v>5433</v>
      </c>
      <c r="E1511" s="9" t="s">
        <v>1469</v>
      </c>
      <c r="F1511" s="9" t="s">
        <v>5434</v>
      </c>
    </row>
    <row r="1512">
      <c r="A1512" s="9" t="s">
        <v>5435</v>
      </c>
      <c r="B1512" s="9" t="s">
        <v>213</v>
      </c>
      <c r="C1512" s="9" t="s">
        <v>1467</v>
      </c>
      <c r="D1512" s="9" t="s">
        <v>5436</v>
      </c>
      <c r="E1512" s="9" t="s">
        <v>1469</v>
      </c>
      <c r="F1512" s="9" t="s">
        <v>5437</v>
      </c>
    </row>
    <row r="1513">
      <c r="A1513" s="9" t="s">
        <v>5438</v>
      </c>
      <c r="B1513" s="9" t="s">
        <v>287</v>
      </c>
      <c r="C1513" s="9" t="s">
        <v>1467</v>
      </c>
      <c r="D1513" s="9" t="s">
        <v>5439</v>
      </c>
      <c r="E1513" s="9" t="s">
        <v>1469</v>
      </c>
      <c r="F1513" s="9" t="s">
        <v>5440</v>
      </c>
    </row>
    <row r="1514">
      <c r="A1514" s="9" t="s">
        <v>5441</v>
      </c>
      <c r="B1514" s="9" t="s">
        <v>89</v>
      </c>
      <c r="C1514" s="9" t="s">
        <v>1467</v>
      </c>
      <c r="D1514" s="9" t="s">
        <v>5443</v>
      </c>
      <c r="E1514" s="9" t="s">
        <v>1469</v>
      </c>
      <c r="F1514" s="9" t="s">
        <v>5445</v>
      </c>
    </row>
    <row r="1515">
      <c r="A1515" s="9" t="s">
        <v>5446</v>
      </c>
      <c r="B1515" s="9" t="s">
        <v>288</v>
      </c>
      <c r="C1515" s="9" t="s">
        <v>1467</v>
      </c>
      <c r="D1515" s="9" t="s">
        <v>5448</v>
      </c>
      <c r="E1515" s="9" t="s">
        <v>1469</v>
      </c>
      <c r="F1515" s="9" t="s">
        <v>5449</v>
      </c>
    </row>
    <row r="1516">
      <c r="A1516" s="9" t="s">
        <v>5450</v>
      </c>
      <c r="B1516" s="9" t="s">
        <v>385</v>
      </c>
      <c r="C1516" s="9" t="s">
        <v>1467</v>
      </c>
      <c r="D1516" s="9" t="s">
        <v>5451</v>
      </c>
      <c r="E1516" s="9" t="s">
        <v>1469</v>
      </c>
      <c r="F1516" s="9" t="s">
        <v>5452</v>
      </c>
    </row>
    <row r="1517">
      <c r="A1517" s="9" t="s">
        <v>5453</v>
      </c>
      <c r="B1517" s="9" t="s">
        <v>254</v>
      </c>
      <c r="C1517" s="9" t="s">
        <v>1467</v>
      </c>
      <c r="D1517" s="9" t="s">
        <v>5454</v>
      </c>
      <c r="E1517" s="9" t="s">
        <v>1469</v>
      </c>
      <c r="F1517" s="9" t="s">
        <v>5455</v>
      </c>
    </row>
    <row r="1518">
      <c r="A1518" s="9" t="s">
        <v>5456</v>
      </c>
      <c r="B1518" s="9" t="s">
        <v>354</v>
      </c>
      <c r="C1518" s="9" t="s">
        <v>1467</v>
      </c>
      <c r="D1518" s="9" t="s">
        <v>5457</v>
      </c>
      <c r="E1518" s="9" t="s">
        <v>1469</v>
      </c>
      <c r="F1518" s="9" t="s">
        <v>5458</v>
      </c>
    </row>
    <row r="1519">
      <c r="A1519" s="9" t="s">
        <v>5459</v>
      </c>
      <c r="B1519" s="9" t="s">
        <v>269</v>
      </c>
      <c r="C1519" s="9" t="s">
        <v>1467</v>
      </c>
      <c r="D1519" s="9" t="s">
        <v>5460</v>
      </c>
      <c r="E1519" s="9" t="s">
        <v>1469</v>
      </c>
      <c r="F1519" s="9" t="s">
        <v>5461</v>
      </c>
    </row>
    <row r="1520">
      <c r="A1520" s="9" t="s">
        <v>5462</v>
      </c>
      <c r="B1520" s="9" t="s">
        <v>410</v>
      </c>
      <c r="C1520" s="9" t="s">
        <v>1467</v>
      </c>
      <c r="D1520" s="9" t="s">
        <v>5463</v>
      </c>
      <c r="E1520" s="9" t="s">
        <v>1469</v>
      </c>
      <c r="F1520" s="9" t="s">
        <v>5464</v>
      </c>
    </row>
    <row r="1521">
      <c r="A1521" s="9" t="s">
        <v>5465</v>
      </c>
      <c r="B1521" s="9" t="s">
        <v>233</v>
      </c>
      <c r="C1521" s="9" t="s">
        <v>1467</v>
      </c>
      <c r="D1521" s="9" t="s">
        <v>5466</v>
      </c>
      <c r="E1521" s="9" t="s">
        <v>1469</v>
      </c>
      <c r="F1521" s="9" t="s">
        <v>5467</v>
      </c>
    </row>
    <row r="1522">
      <c r="A1522" s="9" t="s">
        <v>5468</v>
      </c>
      <c r="B1522" s="9" t="s">
        <v>205</v>
      </c>
      <c r="C1522" s="9" t="s">
        <v>1467</v>
      </c>
      <c r="D1522" s="9" t="s">
        <v>5469</v>
      </c>
      <c r="E1522" s="9" t="s">
        <v>1469</v>
      </c>
      <c r="F1522" s="9" t="s">
        <v>5470</v>
      </c>
    </row>
    <row r="1523">
      <c r="A1523" s="9" t="s">
        <v>5471</v>
      </c>
      <c r="B1523" s="9" t="s">
        <v>205</v>
      </c>
      <c r="C1523" s="9" t="s">
        <v>1467</v>
      </c>
      <c r="D1523" s="9" t="s">
        <v>5472</v>
      </c>
      <c r="E1523" s="9" t="s">
        <v>1469</v>
      </c>
      <c r="F1523" s="9" t="s">
        <v>5473</v>
      </c>
    </row>
    <row r="1524">
      <c r="A1524" s="9" t="s">
        <v>5474</v>
      </c>
      <c r="B1524" s="9" t="s">
        <v>180</v>
      </c>
      <c r="C1524" s="9" t="s">
        <v>1467</v>
      </c>
      <c r="D1524" s="9" t="s">
        <v>5475</v>
      </c>
      <c r="E1524" s="9" t="s">
        <v>1469</v>
      </c>
      <c r="F1524" s="9" t="s">
        <v>5476</v>
      </c>
    </row>
    <row r="1525">
      <c r="A1525" s="9" t="s">
        <v>5477</v>
      </c>
      <c r="B1525" s="9" t="s">
        <v>410</v>
      </c>
      <c r="C1525" s="9" t="s">
        <v>1467</v>
      </c>
      <c r="D1525" s="9" t="s">
        <v>5478</v>
      </c>
      <c r="E1525" s="9" t="s">
        <v>1469</v>
      </c>
      <c r="F1525" s="9" t="s">
        <v>5479</v>
      </c>
    </row>
    <row r="1526">
      <c r="A1526" s="9" t="s">
        <v>5480</v>
      </c>
      <c r="B1526" s="9" t="s">
        <v>89</v>
      </c>
      <c r="C1526" s="9" t="s">
        <v>1467</v>
      </c>
      <c r="D1526" s="9" t="s">
        <v>5481</v>
      </c>
      <c r="E1526" s="9" t="s">
        <v>1469</v>
      </c>
      <c r="F1526" s="9" t="s">
        <v>5482</v>
      </c>
    </row>
    <row r="1527">
      <c r="A1527" s="9" t="s">
        <v>5483</v>
      </c>
      <c r="B1527" s="9" t="s">
        <v>308</v>
      </c>
      <c r="C1527" s="9" t="s">
        <v>1467</v>
      </c>
      <c r="D1527" s="9" t="s">
        <v>5484</v>
      </c>
      <c r="E1527" s="9" t="s">
        <v>1469</v>
      </c>
      <c r="F1527" s="9" t="s">
        <v>5485</v>
      </c>
    </row>
    <row r="1528">
      <c r="A1528" s="9" t="s">
        <v>5486</v>
      </c>
      <c r="B1528" s="9" t="s">
        <v>259</v>
      </c>
      <c r="C1528" s="9" t="s">
        <v>1467</v>
      </c>
      <c r="D1528" s="9" t="s">
        <v>5487</v>
      </c>
      <c r="E1528" s="9" t="s">
        <v>1469</v>
      </c>
      <c r="F1528" s="9" t="s">
        <v>5488</v>
      </c>
    </row>
    <row r="1529">
      <c r="A1529" s="9" t="s">
        <v>5489</v>
      </c>
      <c r="B1529" s="9" t="s">
        <v>409</v>
      </c>
      <c r="C1529" s="9" t="s">
        <v>1467</v>
      </c>
      <c r="D1529" s="9" t="s">
        <v>5490</v>
      </c>
      <c r="E1529" s="9" t="s">
        <v>1469</v>
      </c>
      <c r="F1529" s="9" t="s">
        <v>5491</v>
      </c>
    </row>
    <row r="1530">
      <c r="A1530" s="9" t="s">
        <v>5492</v>
      </c>
      <c r="B1530" s="9" t="s">
        <v>336</v>
      </c>
      <c r="C1530" s="9" t="s">
        <v>1467</v>
      </c>
      <c r="D1530" s="9" t="s">
        <v>5493</v>
      </c>
      <c r="E1530" s="9" t="s">
        <v>1469</v>
      </c>
      <c r="F1530" s="9" t="s">
        <v>5494</v>
      </c>
    </row>
    <row r="1531">
      <c r="A1531" s="9" t="s">
        <v>5495</v>
      </c>
      <c r="B1531" s="9" t="s">
        <v>92</v>
      </c>
      <c r="C1531" s="9" t="s">
        <v>1467</v>
      </c>
      <c r="D1531" s="9" t="s">
        <v>5496</v>
      </c>
      <c r="E1531" s="9" t="s">
        <v>1469</v>
      </c>
      <c r="F1531" s="9" t="s">
        <v>5497</v>
      </c>
    </row>
    <row r="1532">
      <c r="A1532" s="9" t="s">
        <v>5498</v>
      </c>
      <c r="B1532" s="9" t="s">
        <v>249</v>
      </c>
      <c r="C1532" s="9" t="s">
        <v>1467</v>
      </c>
      <c r="D1532" s="9" t="s">
        <v>5499</v>
      </c>
      <c r="E1532" s="9" t="s">
        <v>1469</v>
      </c>
      <c r="F1532" s="9" t="s">
        <v>5500</v>
      </c>
    </row>
    <row r="1533">
      <c r="A1533" s="9" t="s">
        <v>5501</v>
      </c>
      <c r="B1533" s="9" t="s">
        <v>269</v>
      </c>
      <c r="C1533" s="9" t="s">
        <v>1467</v>
      </c>
      <c r="D1533" s="9" t="s">
        <v>5502</v>
      </c>
      <c r="E1533" s="9" t="s">
        <v>1469</v>
      </c>
      <c r="F1533" s="9" t="s">
        <v>5503</v>
      </c>
    </row>
    <row r="1534">
      <c r="A1534" s="9" t="s">
        <v>5504</v>
      </c>
      <c r="B1534" s="9" t="s">
        <v>85</v>
      </c>
      <c r="C1534" s="9" t="s">
        <v>1467</v>
      </c>
      <c r="D1534" s="9" t="s">
        <v>5505</v>
      </c>
      <c r="E1534" s="9" t="s">
        <v>1469</v>
      </c>
      <c r="F1534" s="9" t="s">
        <v>5506</v>
      </c>
    </row>
    <row r="1535">
      <c r="A1535" s="9" t="s">
        <v>5507</v>
      </c>
      <c r="B1535" s="9" t="s">
        <v>352</v>
      </c>
      <c r="C1535" s="9" t="s">
        <v>1467</v>
      </c>
      <c r="D1535" s="9" t="s">
        <v>5508</v>
      </c>
      <c r="E1535" s="9" t="s">
        <v>1469</v>
      </c>
      <c r="F1535" s="9" t="s">
        <v>5509</v>
      </c>
    </row>
    <row r="1536">
      <c r="A1536" s="9" t="s">
        <v>5510</v>
      </c>
      <c r="B1536" s="9" t="s">
        <v>256</v>
      </c>
      <c r="C1536" s="9" t="s">
        <v>1467</v>
      </c>
      <c r="D1536" s="9" t="s">
        <v>5511</v>
      </c>
      <c r="E1536" s="9" t="s">
        <v>1469</v>
      </c>
      <c r="F1536" s="9" t="s">
        <v>5512</v>
      </c>
    </row>
    <row r="1537">
      <c r="A1537" s="9" t="s">
        <v>5513</v>
      </c>
      <c r="B1537" s="9" t="s">
        <v>256</v>
      </c>
      <c r="C1537" s="9" t="s">
        <v>1467</v>
      </c>
      <c r="D1537" s="9" t="s">
        <v>5514</v>
      </c>
      <c r="E1537" s="9" t="s">
        <v>1469</v>
      </c>
      <c r="F1537" s="9" t="s">
        <v>5515</v>
      </c>
    </row>
    <row r="1538">
      <c r="A1538" s="9" t="s">
        <v>5516</v>
      </c>
      <c r="B1538" s="9" t="s">
        <v>55</v>
      </c>
      <c r="C1538" s="9" t="s">
        <v>1467</v>
      </c>
      <c r="D1538" s="9" t="s">
        <v>5517</v>
      </c>
      <c r="E1538" s="9" t="s">
        <v>1469</v>
      </c>
      <c r="F1538" s="9" t="s">
        <v>5518</v>
      </c>
    </row>
    <row r="1539">
      <c r="A1539" s="9" t="s">
        <v>5519</v>
      </c>
      <c r="B1539" s="9" t="s">
        <v>333</v>
      </c>
      <c r="C1539" s="9" t="s">
        <v>1467</v>
      </c>
      <c r="D1539" s="9" t="s">
        <v>5520</v>
      </c>
      <c r="E1539" s="9" t="s">
        <v>1469</v>
      </c>
      <c r="F1539" s="9" t="s">
        <v>5521</v>
      </c>
    </row>
    <row r="1540">
      <c r="A1540" s="9" t="s">
        <v>5522</v>
      </c>
      <c r="B1540" s="9" t="s">
        <v>167</v>
      </c>
      <c r="C1540" s="9" t="s">
        <v>1467</v>
      </c>
      <c r="D1540" s="9" t="s">
        <v>5523</v>
      </c>
      <c r="E1540" s="9" t="s">
        <v>1469</v>
      </c>
      <c r="F1540" s="9" t="s">
        <v>5524</v>
      </c>
    </row>
    <row r="1541">
      <c r="A1541" s="9" t="s">
        <v>5525</v>
      </c>
      <c r="B1541" s="9" t="s">
        <v>409</v>
      </c>
      <c r="C1541" s="9" t="s">
        <v>1467</v>
      </c>
      <c r="D1541" s="9" t="s">
        <v>5526</v>
      </c>
      <c r="E1541" s="9" t="s">
        <v>1469</v>
      </c>
      <c r="F1541" s="9" t="s">
        <v>5527</v>
      </c>
    </row>
    <row r="1542">
      <c r="A1542" s="9" t="s">
        <v>5528</v>
      </c>
      <c r="B1542" s="9" t="s">
        <v>354</v>
      </c>
      <c r="C1542" s="9" t="s">
        <v>1467</v>
      </c>
      <c r="D1542" s="9" t="s">
        <v>5529</v>
      </c>
      <c r="E1542" s="9" t="s">
        <v>1469</v>
      </c>
      <c r="F1542" s="9" t="s">
        <v>5530</v>
      </c>
    </row>
    <row r="1543">
      <c r="A1543" s="9" t="s">
        <v>5531</v>
      </c>
      <c r="B1543" s="9" t="s">
        <v>134</v>
      </c>
      <c r="C1543" s="9" t="s">
        <v>1467</v>
      </c>
      <c r="D1543" s="9" t="s">
        <v>5532</v>
      </c>
      <c r="E1543" s="9" t="s">
        <v>1469</v>
      </c>
      <c r="F1543" s="9" t="s">
        <v>5533</v>
      </c>
    </row>
    <row r="1544">
      <c r="A1544" s="9" t="s">
        <v>5534</v>
      </c>
      <c r="B1544" s="9" t="s">
        <v>409</v>
      </c>
      <c r="C1544" s="9" t="s">
        <v>1467</v>
      </c>
      <c r="D1544" s="9" t="s">
        <v>5535</v>
      </c>
      <c r="E1544" s="9" t="s">
        <v>1469</v>
      </c>
      <c r="F1544" s="9" t="s">
        <v>5536</v>
      </c>
    </row>
    <row r="1545">
      <c r="A1545" s="9" t="s">
        <v>5537</v>
      </c>
      <c r="B1545" s="9" t="s">
        <v>168</v>
      </c>
      <c r="C1545" s="9" t="s">
        <v>1467</v>
      </c>
      <c r="D1545" s="9" t="s">
        <v>5538</v>
      </c>
      <c r="E1545" s="9" t="s">
        <v>1469</v>
      </c>
      <c r="F1545" s="9" t="s">
        <v>5539</v>
      </c>
    </row>
    <row r="1546">
      <c r="A1546" s="9" t="s">
        <v>5540</v>
      </c>
      <c r="B1546" s="9" t="s">
        <v>186</v>
      </c>
      <c r="C1546" s="9" t="s">
        <v>1467</v>
      </c>
      <c r="D1546" s="9" t="s">
        <v>5541</v>
      </c>
      <c r="E1546" s="9" t="s">
        <v>1469</v>
      </c>
      <c r="F1546" s="9" t="s">
        <v>5542</v>
      </c>
    </row>
    <row r="1547">
      <c r="A1547" s="9" t="s">
        <v>5543</v>
      </c>
      <c r="B1547" s="9" t="s">
        <v>318</v>
      </c>
      <c r="C1547" s="9" t="s">
        <v>1467</v>
      </c>
      <c r="D1547" s="9" t="s">
        <v>5544</v>
      </c>
      <c r="E1547" s="9" t="s">
        <v>1469</v>
      </c>
      <c r="F1547" s="9" t="s">
        <v>5545</v>
      </c>
    </row>
    <row r="1548">
      <c r="A1548" s="9" t="s">
        <v>5546</v>
      </c>
      <c r="B1548" s="9" t="s">
        <v>333</v>
      </c>
      <c r="C1548" s="9" t="s">
        <v>1467</v>
      </c>
      <c r="D1548" s="9" t="s">
        <v>5547</v>
      </c>
      <c r="E1548" s="9" t="s">
        <v>1469</v>
      </c>
      <c r="F1548" s="9" t="s">
        <v>5548</v>
      </c>
    </row>
    <row r="1549">
      <c r="A1549" s="9" t="s">
        <v>5549</v>
      </c>
      <c r="B1549" s="9" t="s">
        <v>349</v>
      </c>
      <c r="C1549" s="9" t="s">
        <v>1467</v>
      </c>
      <c r="D1549" s="9" t="s">
        <v>5550</v>
      </c>
      <c r="E1549" s="9" t="s">
        <v>1469</v>
      </c>
      <c r="F1549" s="9" t="s">
        <v>5551</v>
      </c>
    </row>
    <row r="1550">
      <c r="A1550" s="9" t="s">
        <v>5552</v>
      </c>
      <c r="B1550" s="9" t="s">
        <v>314</v>
      </c>
      <c r="C1550" s="9" t="s">
        <v>1467</v>
      </c>
      <c r="D1550" s="9" t="s">
        <v>5553</v>
      </c>
      <c r="E1550" s="9" t="s">
        <v>1469</v>
      </c>
      <c r="F1550" s="9" t="s">
        <v>5554</v>
      </c>
    </row>
    <row r="1551">
      <c r="A1551" s="9" t="s">
        <v>5555</v>
      </c>
      <c r="B1551" s="9" t="s">
        <v>279</v>
      </c>
      <c r="C1551" s="9" t="s">
        <v>1467</v>
      </c>
      <c r="D1551" s="9" t="s">
        <v>5556</v>
      </c>
      <c r="E1551" s="9" t="s">
        <v>1469</v>
      </c>
      <c r="F1551" s="9" t="s">
        <v>5557</v>
      </c>
    </row>
    <row r="1552">
      <c r="A1552" s="9" t="s">
        <v>5558</v>
      </c>
      <c r="B1552" s="9" t="s">
        <v>340</v>
      </c>
      <c r="C1552" s="9" t="s">
        <v>1467</v>
      </c>
      <c r="D1552" s="9" t="s">
        <v>5559</v>
      </c>
      <c r="E1552" s="9" t="s">
        <v>1469</v>
      </c>
      <c r="F1552" s="9" t="s">
        <v>5560</v>
      </c>
    </row>
    <row r="1553">
      <c r="A1553" s="9" t="s">
        <v>5561</v>
      </c>
      <c r="B1553" s="9" t="s">
        <v>306</v>
      </c>
      <c r="C1553" s="9" t="s">
        <v>1467</v>
      </c>
      <c r="D1553" s="9" t="s">
        <v>5562</v>
      </c>
      <c r="E1553" s="9" t="s">
        <v>1469</v>
      </c>
      <c r="F1553" s="9" t="s">
        <v>5563</v>
      </c>
    </row>
    <row r="1554">
      <c r="A1554" s="9" t="s">
        <v>5564</v>
      </c>
      <c r="B1554" s="9" t="s">
        <v>329</v>
      </c>
      <c r="C1554" s="9" t="s">
        <v>1467</v>
      </c>
      <c r="D1554" s="9" t="s">
        <v>5565</v>
      </c>
      <c r="E1554" s="9" t="s">
        <v>1469</v>
      </c>
      <c r="F1554" s="9" t="s">
        <v>5566</v>
      </c>
    </row>
    <row r="1555">
      <c r="A1555" s="9" t="s">
        <v>5567</v>
      </c>
      <c r="B1555" s="9" t="s">
        <v>324</v>
      </c>
      <c r="C1555" s="9" t="s">
        <v>1467</v>
      </c>
      <c r="D1555" s="9" t="s">
        <v>5568</v>
      </c>
      <c r="E1555" s="9" t="s">
        <v>1469</v>
      </c>
      <c r="F1555" s="9" t="s">
        <v>5569</v>
      </c>
    </row>
    <row r="1556">
      <c r="A1556" s="9" t="s">
        <v>5570</v>
      </c>
      <c r="B1556" s="9" t="s">
        <v>314</v>
      </c>
      <c r="C1556" s="9" t="s">
        <v>1467</v>
      </c>
      <c r="D1556" s="9" t="s">
        <v>5571</v>
      </c>
      <c r="E1556" s="9" t="s">
        <v>1469</v>
      </c>
      <c r="F1556" s="9" t="s">
        <v>5572</v>
      </c>
    </row>
    <row r="1557">
      <c r="A1557" s="9" t="s">
        <v>5573</v>
      </c>
      <c r="B1557" s="9" t="s">
        <v>125</v>
      </c>
      <c r="C1557" s="9" t="s">
        <v>1467</v>
      </c>
      <c r="D1557" s="9" t="s">
        <v>5574</v>
      </c>
      <c r="E1557" s="9" t="s">
        <v>1469</v>
      </c>
      <c r="F1557" s="9" t="s">
        <v>5575</v>
      </c>
    </row>
    <row r="1558">
      <c r="A1558" s="9" t="s">
        <v>5576</v>
      </c>
      <c r="B1558" s="9" t="s">
        <v>198</v>
      </c>
      <c r="C1558" s="9" t="s">
        <v>1467</v>
      </c>
      <c r="D1558" s="9" t="s">
        <v>5577</v>
      </c>
      <c r="E1558" s="9" t="s">
        <v>1469</v>
      </c>
      <c r="F1558" s="9" t="s">
        <v>5578</v>
      </c>
    </row>
    <row r="1559">
      <c r="A1559" s="9" t="s">
        <v>5579</v>
      </c>
      <c r="B1559" s="9" t="s">
        <v>299</v>
      </c>
      <c r="C1559" s="9" t="s">
        <v>1467</v>
      </c>
      <c r="D1559" s="9" t="s">
        <v>5580</v>
      </c>
      <c r="E1559" s="9" t="s">
        <v>1469</v>
      </c>
      <c r="F1559" s="9" t="s">
        <v>5581</v>
      </c>
    </row>
    <row r="1560">
      <c r="A1560" s="9" t="s">
        <v>5582</v>
      </c>
      <c r="B1560" s="9" t="s">
        <v>299</v>
      </c>
      <c r="C1560" s="9" t="s">
        <v>1467</v>
      </c>
      <c r="D1560" s="9" t="s">
        <v>5583</v>
      </c>
      <c r="E1560" s="9" t="s">
        <v>1469</v>
      </c>
      <c r="F1560" s="9" t="s">
        <v>5584</v>
      </c>
    </row>
    <row r="1561">
      <c r="A1561" s="9" t="s">
        <v>5585</v>
      </c>
      <c r="B1561" s="9" t="s">
        <v>291</v>
      </c>
      <c r="C1561" s="9" t="s">
        <v>1467</v>
      </c>
      <c r="D1561" s="9" t="s">
        <v>5586</v>
      </c>
      <c r="E1561" s="9" t="s">
        <v>1469</v>
      </c>
      <c r="F1561" s="9" t="s">
        <v>5587</v>
      </c>
    </row>
    <row r="1562">
      <c r="A1562" s="9" t="s">
        <v>5588</v>
      </c>
      <c r="B1562" s="9" t="s">
        <v>351</v>
      </c>
      <c r="C1562" s="9" t="s">
        <v>1467</v>
      </c>
      <c r="D1562" s="9" t="s">
        <v>5590</v>
      </c>
      <c r="E1562" s="9" t="s">
        <v>1469</v>
      </c>
      <c r="F1562" s="9" t="s">
        <v>5592</v>
      </c>
    </row>
    <row r="1563">
      <c r="A1563" s="9" t="s">
        <v>5594</v>
      </c>
      <c r="B1563" s="9" t="s">
        <v>287</v>
      </c>
      <c r="C1563" s="9" t="s">
        <v>1467</v>
      </c>
      <c r="D1563" s="9" t="s">
        <v>5595</v>
      </c>
      <c r="E1563" s="9" t="s">
        <v>1469</v>
      </c>
      <c r="F1563" s="9" t="s">
        <v>5596</v>
      </c>
    </row>
    <row r="1564">
      <c r="A1564" s="9" t="s">
        <v>5597</v>
      </c>
      <c r="B1564" s="9" t="s">
        <v>168</v>
      </c>
      <c r="C1564" s="9" t="s">
        <v>1467</v>
      </c>
      <c r="D1564" s="9" t="s">
        <v>5598</v>
      </c>
      <c r="E1564" s="9" t="s">
        <v>1469</v>
      </c>
      <c r="F1564" s="9" t="s">
        <v>5599</v>
      </c>
    </row>
    <row r="1565">
      <c r="A1565" s="9" t="s">
        <v>5600</v>
      </c>
      <c r="B1565" s="9" t="s">
        <v>351</v>
      </c>
      <c r="C1565" s="9" t="s">
        <v>1467</v>
      </c>
      <c r="D1565" s="9" t="s">
        <v>5601</v>
      </c>
      <c r="E1565" s="9" t="s">
        <v>1469</v>
      </c>
      <c r="F1565" s="9" t="s">
        <v>5602</v>
      </c>
    </row>
    <row r="1566">
      <c r="A1566" s="9" t="s">
        <v>5603</v>
      </c>
      <c r="B1566" s="9" t="s">
        <v>238</v>
      </c>
      <c r="C1566" s="9" t="s">
        <v>1467</v>
      </c>
      <c r="D1566" s="9" t="s">
        <v>5604</v>
      </c>
      <c r="E1566" s="9" t="s">
        <v>1469</v>
      </c>
      <c r="F1566" s="9" t="s">
        <v>5605</v>
      </c>
    </row>
    <row r="1567">
      <c r="A1567" s="9" t="s">
        <v>5606</v>
      </c>
      <c r="B1567" s="9" t="s">
        <v>60</v>
      </c>
      <c r="C1567" s="9" t="s">
        <v>1467</v>
      </c>
      <c r="D1567" s="9" t="s">
        <v>5607</v>
      </c>
      <c r="E1567" s="9" t="s">
        <v>1469</v>
      </c>
      <c r="F1567" s="9" t="s">
        <v>5608</v>
      </c>
    </row>
    <row r="1568">
      <c r="A1568" s="9" t="s">
        <v>5609</v>
      </c>
      <c r="B1568" s="9" t="s">
        <v>208</v>
      </c>
      <c r="C1568" s="9" t="s">
        <v>1467</v>
      </c>
      <c r="D1568" s="9" t="s">
        <v>5610</v>
      </c>
      <c r="E1568" s="9" t="s">
        <v>1469</v>
      </c>
      <c r="F1568" s="9" t="s">
        <v>5611</v>
      </c>
    </row>
    <row r="1569">
      <c r="A1569" s="9" t="s">
        <v>5612</v>
      </c>
      <c r="B1569" s="9" t="s">
        <v>165</v>
      </c>
      <c r="C1569" s="9" t="s">
        <v>1467</v>
      </c>
      <c r="D1569" s="9" t="s">
        <v>5613</v>
      </c>
      <c r="E1569" s="9" t="s">
        <v>1469</v>
      </c>
      <c r="F1569" s="9" t="s">
        <v>5614</v>
      </c>
    </row>
    <row r="1570">
      <c r="A1570" s="9" t="s">
        <v>5615</v>
      </c>
      <c r="B1570" s="9" t="s">
        <v>208</v>
      </c>
      <c r="C1570" s="9" t="s">
        <v>1467</v>
      </c>
      <c r="D1570" s="9" t="s">
        <v>5616</v>
      </c>
      <c r="E1570" s="9" t="s">
        <v>1469</v>
      </c>
      <c r="F1570" s="9" t="s">
        <v>5617</v>
      </c>
    </row>
    <row r="1571">
      <c r="A1571" s="9" t="s">
        <v>5618</v>
      </c>
      <c r="B1571" s="9" t="s">
        <v>328</v>
      </c>
      <c r="C1571" s="9" t="s">
        <v>1467</v>
      </c>
      <c r="D1571" s="9" t="s">
        <v>5619</v>
      </c>
      <c r="E1571" s="9" t="s">
        <v>1469</v>
      </c>
      <c r="F1571" s="9" t="s">
        <v>5620</v>
      </c>
    </row>
    <row r="1572">
      <c r="A1572" s="9" t="s">
        <v>5621</v>
      </c>
      <c r="B1572" s="9" t="s">
        <v>414</v>
      </c>
      <c r="C1572" s="9" t="s">
        <v>1467</v>
      </c>
      <c r="D1572" s="9" t="s">
        <v>5622</v>
      </c>
      <c r="E1572" s="9" t="s">
        <v>1469</v>
      </c>
      <c r="F1572" s="9" t="s">
        <v>5623</v>
      </c>
    </row>
    <row r="1573">
      <c r="A1573" s="9" t="s">
        <v>5624</v>
      </c>
      <c r="B1573" s="9" t="s">
        <v>186</v>
      </c>
      <c r="C1573" s="9" t="s">
        <v>1467</v>
      </c>
      <c r="D1573" s="9" t="s">
        <v>5625</v>
      </c>
      <c r="E1573" s="9" t="s">
        <v>1469</v>
      </c>
      <c r="F1573" s="9" t="s">
        <v>5626</v>
      </c>
    </row>
    <row r="1574">
      <c r="A1574" s="9" t="s">
        <v>5627</v>
      </c>
      <c r="B1574" s="9" t="s">
        <v>208</v>
      </c>
      <c r="C1574" s="9" t="s">
        <v>1467</v>
      </c>
      <c r="D1574" s="9" t="s">
        <v>5628</v>
      </c>
      <c r="E1574" s="9" t="s">
        <v>1469</v>
      </c>
      <c r="F1574" s="9" t="s">
        <v>5629</v>
      </c>
    </row>
    <row r="1575">
      <c r="A1575" s="9" t="s">
        <v>5630</v>
      </c>
      <c r="B1575" s="9" t="s">
        <v>208</v>
      </c>
      <c r="C1575" s="9" t="s">
        <v>1467</v>
      </c>
      <c r="D1575" s="9" t="s">
        <v>5631</v>
      </c>
      <c r="E1575" s="9" t="s">
        <v>1469</v>
      </c>
      <c r="F1575" s="9" t="s">
        <v>5632</v>
      </c>
    </row>
    <row r="1576">
      <c r="A1576" s="9" t="s">
        <v>5633</v>
      </c>
      <c r="B1576" s="9" t="s">
        <v>328</v>
      </c>
      <c r="C1576" s="9" t="s">
        <v>1467</v>
      </c>
      <c r="D1576" s="9" t="s">
        <v>5634</v>
      </c>
      <c r="E1576" s="9" t="s">
        <v>1469</v>
      </c>
      <c r="F1576" s="9" t="s">
        <v>5635</v>
      </c>
    </row>
    <row r="1577">
      <c r="A1577" s="9" t="s">
        <v>5636</v>
      </c>
      <c r="B1577" s="9" t="s">
        <v>219</v>
      </c>
      <c r="C1577" s="9" t="s">
        <v>1467</v>
      </c>
      <c r="D1577" s="9" t="s">
        <v>5637</v>
      </c>
      <c r="E1577" s="9" t="s">
        <v>1469</v>
      </c>
      <c r="F1577" s="9" t="s">
        <v>5638</v>
      </c>
    </row>
    <row r="1578">
      <c r="A1578" s="9" t="s">
        <v>5639</v>
      </c>
      <c r="B1578" s="9" t="s">
        <v>198</v>
      </c>
      <c r="C1578" s="9" t="s">
        <v>1467</v>
      </c>
      <c r="D1578" s="9" t="s">
        <v>5640</v>
      </c>
      <c r="E1578" s="9" t="s">
        <v>1469</v>
      </c>
      <c r="F1578" s="9" t="s">
        <v>5641</v>
      </c>
    </row>
    <row r="1579">
      <c r="A1579" s="9" t="s">
        <v>5642</v>
      </c>
      <c r="B1579" s="9" t="s">
        <v>414</v>
      </c>
      <c r="C1579" s="9" t="s">
        <v>1467</v>
      </c>
      <c r="D1579" s="9" t="s">
        <v>5643</v>
      </c>
      <c r="E1579" s="9" t="s">
        <v>1469</v>
      </c>
      <c r="F1579" s="9" t="s">
        <v>5644</v>
      </c>
    </row>
    <row r="1580">
      <c r="A1580" s="9" t="s">
        <v>5645</v>
      </c>
      <c r="B1580" s="9" t="s">
        <v>372</v>
      </c>
      <c r="C1580" s="9" t="s">
        <v>1467</v>
      </c>
      <c r="D1580" s="9" t="s">
        <v>5646</v>
      </c>
      <c r="E1580" s="9" t="s">
        <v>1469</v>
      </c>
      <c r="F1580" s="9" t="s">
        <v>5647</v>
      </c>
    </row>
    <row r="1581">
      <c r="A1581" s="9" t="s">
        <v>5648</v>
      </c>
      <c r="B1581" s="9" t="s">
        <v>372</v>
      </c>
      <c r="C1581" s="9" t="s">
        <v>1467</v>
      </c>
      <c r="D1581" s="9" t="s">
        <v>5649</v>
      </c>
      <c r="E1581" s="9" t="s">
        <v>1469</v>
      </c>
      <c r="F1581" s="9" t="s">
        <v>5650</v>
      </c>
    </row>
    <row r="1582">
      <c r="A1582" s="9" t="s">
        <v>5651</v>
      </c>
      <c r="B1582" s="9" t="s">
        <v>172</v>
      </c>
      <c r="C1582" s="9" t="s">
        <v>1467</v>
      </c>
      <c r="D1582" s="9" t="s">
        <v>5652</v>
      </c>
      <c r="E1582" s="9" t="s">
        <v>1469</v>
      </c>
      <c r="F1582" s="9" t="s">
        <v>5653</v>
      </c>
    </row>
    <row r="1583">
      <c r="A1583" s="9" t="s">
        <v>5654</v>
      </c>
      <c r="B1583" s="9" t="s">
        <v>192</v>
      </c>
      <c r="C1583" s="9" t="s">
        <v>1467</v>
      </c>
      <c r="D1583" s="9" t="s">
        <v>5655</v>
      </c>
      <c r="E1583" s="9" t="s">
        <v>1469</v>
      </c>
      <c r="F1583" s="9" t="s">
        <v>5656</v>
      </c>
    </row>
    <row r="1584">
      <c r="A1584" s="9" t="s">
        <v>5657</v>
      </c>
      <c r="B1584" s="9" t="s">
        <v>320</v>
      </c>
      <c r="C1584" s="9" t="s">
        <v>1467</v>
      </c>
      <c r="D1584" s="9" t="s">
        <v>5658</v>
      </c>
      <c r="E1584" s="9" t="s">
        <v>1469</v>
      </c>
      <c r="F1584" s="9" t="s">
        <v>5659</v>
      </c>
    </row>
    <row r="1585">
      <c r="A1585" s="9" t="s">
        <v>5660</v>
      </c>
      <c r="B1585" s="9" t="s">
        <v>54</v>
      </c>
      <c r="C1585" s="9" t="s">
        <v>1467</v>
      </c>
      <c r="D1585" s="9" t="s">
        <v>5661</v>
      </c>
      <c r="E1585" s="9" t="s">
        <v>1469</v>
      </c>
      <c r="F1585" s="9" t="s">
        <v>5662</v>
      </c>
    </row>
    <row r="1586">
      <c r="A1586" s="9" t="s">
        <v>5663</v>
      </c>
      <c r="B1586" s="9" t="s">
        <v>414</v>
      </c>
      <c r="C1586" s="9" t="s">
        <v>1467</v>
      </c>
      <c r="D1586" s="9" t="s">
        <v>5664</v>
      </c>
      <c r="E1586" s="9" t="s">
        <v>1469</v>
      </c>
      <c r="F1586" s="9" t="s">
        <v>5665</v>
      </c>
    </row>
    <row r="1587">
      <c r="A1587" s="9" t="s">
        <v>5666</v>
      </c>
      <c r="B1587" s="9" t="s">
        <v>66</v>
      </c>
      <c r="C1587" s="9" t="s">
        <v>1467</v>
      </c>
      <c r="D1587" s="9" t="s">
        <v>5667</v>
      </c>
      <c r="E1587" s="9" t="s">
        <v>1469</v>
      </c>
      <c r="F1587" s="9" t="s">
        <v>5668</v>
      </c>
    </row>
    <row r="1588">
      <c r="A1588" s="9" t="s">
        <v>5669</v>
      </c>
      <c r="B1588" s="9" t="s">
        <v>192</v>
      </c>
      <c r="C1588" s="9" t="s">
        <v>1467</v>
      </c>
      <c r="D1588" s="9" t="s">
        <v>5670</v>
      </c>
      <c r="E1588" s="9" t="s">
        <v>1469</v>
      </c>
      <c r="F1588" s="9" t="s">
        <v>5671</v>
      </c>
    </row>
    <row r="1589">
      <c r="A1589" s="9" t="s">
        <v>5672</v>
      </c>
      <c r="B1589" s="9" t="s">
        <v>335</v>
      </c>
      <c r="C1589" s="9" t="s">
        <v>1467</v>
      </c>
      <c r="D1589" s="9" t="s">
        <v>5673</v>
      </c>
      <c r="E1589" s="9" t="s">
        <v>1469</v>
      </c>
      <c r="F1589" s="9" t="s">
        <v>5674</v>
      </c>
    </row>
    <row r="1590">
      <c r="A1590" s="9" t="s">
        <v>5675</v>
      </c>
      <c r="B1590" s="9" t="s">
        <v>165</v>
      </c>
      <c r="C1590" s="9" t="s">
        <v>1467</v>
      </c>
      <c r="D1590" s="9" t="s">
        <v>5676</v>
      </c>
      <c r="E1590" s="9" t="s">
        <v>1469</v>
      </c>
      <c r="F1590" s="9" t="s">
        <v>5677</v>
      </c>
    </row>
    <row r="1591">
      <c r="A1591" s="9" t="s">
        <v>5678</v>
      </c>
      <c r="B1591" s="9" t="s">
        <v>213</v>
      </c>
      <c r="C1591" s="9" t="s">
        <v>1467</v>
      </c>
      <c r="D1591" s="9" t="s">
        <v>5679</v>
      </c>
      <c r="E1591" s="9" t="s">
        <v>1469</v>
      </c>
      <c r="F1591" s="9" t="s">
        <v>5680</v>
      </c>
    </row>
    <row r="1592">
      <c r="A1592" s="9" t="s">
        <v>5681</v>
      </c>
      <c r="B1592" s="9" t="s">
        <v>186</v>
      </c>
      <c r="C1592" s="9" t="s">
        <v>1467</v>
      </c>
      <c r="D1592" s="9" t="s">
        <v>5682</v>
      </c>
      <c r="E1592" s="9" t="s">
        <v>1469</v>
      </c>
      <c r="F1592" s="9" t="s">
        <v>5683</v>
      </c>
    </row>
    <row r="1593">
      <c r="A1593" s="9" t="s">
        <v>5684</v>
      </c>
      <c r="B1593" s="9" t="s">
        <v>81</v>
      </c>
      <c r="C1593" s="9" t="s">
        <v>1467</v>
      </c>
      <c r="D1593" s="9" t="s">
        <v>5685</v>
      </c>
      <c r="E1593" s="9" t="s">
        <v>1469</v>
      </c>
      <c r="F1593" s="9" t="s">
        <v>5686</v>
      </c>
    </row>
    <row r="1594">
      <c r="A1594" s="9" t="s">
        <v>5687</v>
      </c>
      <c r="B1594" s="9" t="s">
        <v>352</v>
      </c>
      <c r="C1594" s="9" t="s">
        <v>1467</v>
      </c>
      <c r="D1594" s="9" t="s">
        <v>5688</v>
      </c>
      <c r="E1594" s="9" t="s">
        <v>1469</v>
      </c>
      <c r="F1594" s="9" t="s">
        <v>5689</v>
      </c>
    </row>
    <row r="1595">
      <c r="A1595" s="9" t="s">
        <v>5690</v>
      </c>
      <c r="B1595" s="9" t="s">
        <v>331</v>
      </c>
      <c r="C1595" s="9" t="s">
        <v>1467</v>
      </c>
      <c r="D1595" s="9" t="s">
        <v>5691</v>
      </c>
      <c r="E1595" s="9" t="s">
        <v>1469</v>
      </c>
      <c r="F1595" s="9" t="s">
        <v>5692</v>
      </c>
    </row>
    <row r="1596">
      <c r="A1596" s="9" t="s">
        <v>5693</v>
      </c>
      <c r="B1596" s="9" t="s">
        <v>81</v>
      </c>
      <c r="C1596" s="9" t="s">
        <v>1467</v>
      </c>
      <c r="D1596" s="9" t="s">
        <v>5694</v>
      </c>
      <c r="E1596" s="9" t="s">
        <v>1469</v>
      </c>
      <c r="F1596" s="9" t="s">
        <v>5695</v>
      </c>
    </row>
    <row r="1597">
      <c r="A1597" s="9" t="s">
        <v>5696</v>
      </c>
      <c r="B1597" s="9" t="s">
        <v>396</v>
      </c>
      <c r="C1597" s="9" t="s">
        <v>1467</v>
      </c>
      <c r="D1597" s="9" t="s">
        <v>5697</v>
      </c>
      <c r="E1597" s="9" t="s">
        <v>1469</v>
      </c>
      <c r="F1597" s="9" t="s">
        <v>5698</v>
      </c>
    </row>
    <row r="1598">
      <c r="A1598" s="9" t="s">
        <v>5699</v>
      </c>
      <c r="B1598" s="9" t="s">
        <v>254</v>
      </c>
      <c r="C1598" s="9" t="s">
        <v>1467</v>
      </c>
      <c r="D1598" s="9" t="s">
        <v>5700</v>
      </c>
      <c r="E1598" s="9" t="s">
        <v>1469</v>
      </c>
      <c r="F1598" s="9" t="s">
        <v>5701</v>
      </c>
    </row>
    <row r="1599">
      <c r="A1599" s="9" t="s">
        <v>5702</v>
      </c>
      <c r="B1599" s="9" t="s">
        <v>352</v>
      </c>
      <c r="C1599" s="9" t="s">
        <v>1467</v>
      </c>
      <c r="D1599" s="9" t="s">
        <v>5703</v>
      </c>
      <c r="E1599" s="9" t="s">
        <v>1469</v>
      </c>
      <c r="F1599" s="9" t="s">
        <v>5704</v>
      </c>
    </row>
    <row r="1600">
      <c r="A1600" s="9" t="s">
        <v>5705</v>
      </c>
      <c r="B1600" s="9" t="s">
        <v>182</v>
      </c>
      <c r="C1600" s="9" t="s">
        <v>1467</v>
      </c>
      <c r="D1600" s="9" t="s">
        <v>5706</v>
      </c>
      <c r="E1600" s="9" t="s">
        <v>1469</v>
      </c>
      <c r="F1600" s="9" t="s">
        <v>5707</v>
      </c>
    </row>
    <row r="1601">
      <c r="A1601" s="9" t="s">
        <v>5708</v>
      </c>
      <c r="B1601" s="9" t="s">
        <v>182</v>
      </c>
      <c r="C1601" s="9" t="s">
        <v>1467</v>
      </c>
      <c r="D1601" s="9" t="s">
        <v>5709</v>
      </c>
      <c r="E1601" s="9" t="s">
        <v>1469</v>
      </c>
      <c r="F1601" s="9" t="s">
        <v>5711</v>
      </c>
    </row>
    <row r="1602">
      <c r="A1602" s="9" t="s">
        <v>5713</v>
      </c>
      <c r="B1602" s="9" t="s">
        <v>182</v>
      </c>
      <c r="C1602" s="9" t="s">
        <v>1467</v>
      </c>
      <c r="D1602" s="9" t="s">
        <v>5715</v>
      </c>
      <c r="E1602" s="9" t="s">
        <v>1469</v>
      </c>
      <c r="F1602" s="9" t="s">
        <v>5716</v>
      </c>
    </row>
    <row r="1603">
      <c r="A1603" s="9" t="s">
        <v>5717</v>
      </c>
      <c r="B1603" s="9" t="s">
        <v>332</v>
      </c>
      <c r="C1603" s="9" t="s">
        <v>1467</v>
      </c>
      <c r="D1603" s="9" t="s">
        <v>5718</v>
      </c>
      <c r="E1603" s="9" t="s">
        <v>1469</v>
      </c>
      <c r="F1603" s="9" t="s">
        <v>5719</v>
      </c>
    </row>
    <row r="1604">
      <c r="A1604" s="9" t="s">
        <v>5720</v>
      </c>
      <c r="B1604" s="9" t="s">
        <v>132</v>
      </c>
      <c r="C1604" s="9" t="s">
        <v>1467</v>
      </c>
      <c r="D1604" s="9" t="s">
        <v>5721</v>
      </c>
      <c r="E1604" s="9" t="s">
        <v>1469</v>
      </c>
      <c r="F1604" s="9" t="s">
        <v>5722</v>
      </c>
    </row>
    <row r="1605">
      <c r="A1605" s="9" t="s">
        <v>5723</v>
      </c>
      <c r="B1605" s="9" t="s">
        <v>224</v>
      </c>
      <c r="C1605" s="9" t="s">
        <v>1467</v>
      </c>
      <c r="D1605" s="9" t="s">
        <v>5724</v>
      </c>
      <c r="E1605" s="9" t="s">
        <v>1469</v>
      </c>
      <c r="F1605" s="9" t="s">
        <v>5725</v>
      </c>
    </row>
    <row r="1606">
      <c r="A1606" s="9" t="s">
        <v>5726</v>
      </c>
      <c r="B1606" s="9" t="s">
        <v>296</v>
      </c>
      <c r="C1606" s="9" t="s">
        <v>1467</v>
      </c>
      <c r="D1606" s="9" t="s">
        <v>5727</v>
      </c>
      <c r="E1606" s="9" t="s">
        <v>1469</v>
      </c>
      <c r="F1606" s="9" t="s">
        <v>5728</v>
      </c>
    </row>
    <row r="1607">
      <c r="A1607" s="9" t="s">
        <v>5729</v>
      </c>
      <c r="B1607" s="9" t="s">
        <v>107</v>
      </c>
      <c r="C1607" s="9" t="s">
        <v>1467</v>
      </c>
      <c r="D1607" s="9" t="s">
        <v>5730</v>
      </c>
      <c r="E1607" s="9" t="s">
        <v>1469</v>
      </c>
      <c r="F1607" s="9" t="s">
        <v>5731</v>
      </c>
    </row>
    <row r="1608">
      <c r="A1608" s="9" t="s">
        <v>5732</v>
      </c>
      <c r="B1608" s="9" t="s">
        <v>322</v>
      </c>
      <c r="C1608" s="9" t="s">
        <v>1467</v>
      </c>
      <c r="D1608" s="9" t="s">
        <v>5733</v>
      </c>
      <c r="E1608" s="9" t="s">
        <v>1469</v>
      </c>
      <c r="F1608" s="9" t="s">
        <v>5734</v>
      </c>
    </row>
    <row r="1609">
      <c r="A1609" s="9" t="s">
        <v>5735</v>
      </c>
      <c r="B1609" s="9" t="s">
        <v>303</v>
      </c>
      <c r="C1609" s="9" t="s">
        <v>1467</v>
      </c>
      <c r="D1609" s="9" t="s">
        <v>5736</v>
      </c>
      <c r="E1609" s="9" t="s">
        <v>1469</v>
      </c>
      <c r="F1609" s="9" t="s">
        <v>5737</v>
      </c>
    </row>
    <row r="1610">
      <c r="A1610" s="9" t="s">
        <v>5738</v>
      </c>
      <c r="B1610" s="9" t="s">
        <v>276</v>
      </c>
      <c r="C1610" s="9" t="s">
        <v>1467</v>
      </c>
      <c r="D1610" s="9" t="s">
        <v>5739</v>
      </c>
      <c r="E1610" s="9" t="s">
        <v>1469</v>
      </c>
      <c r="F1610" s="9" t="s">
        <v>5740</v>
      </c>
    </row>
    <row r="1611">
      <c r="A1611" s="9" t="s">
        <v>5741</v>
      </c>
      <c r="B1611" s="9" t="s">
        <v>64</v>
      </c>
      <c r="C1611" s="9" t="s">
        <v>1467</v>
      </c>
      <c r="D1611" s="9" t="s">
        <v>5742</v>
      </c>
      <c r="E1611" s="9" t="s">
        <v>1469</v>
      </c>
      <c r="F1611" s="9" t="s">
        <v>5743</v>
      </c>
    </row>
    <row r="1612">
      <c r="A1612" s="9" t="s">
        <v>5744</v>
      </c>
      <c r="B1612" s="9" t="s">
        <v>198</v>
      </c>
      <c r="C1612" s="9" t="s">
        <v>1467</v>
      </c>
      <c r="D1612" s="9" t="s">
        <v>5745</v>
      </c>
      <c r="E1612" s="9" t="s">
        <v>1469</v>
      </c>
      <c r="F1612" s="9" t="s">
        <v>5746</v>
      </c>
    </row>
    <row r="1613">
      <c r="A1613" s="9" t="s">
        <v>5747</v>
      </c>
      <c r="B1613" s="9" t="s">
        <v>366</v>
      </c>
      <c r="C1613" s="9" t="s">
        <v>1467</v>
      </c>
      <c r="D1613" s="9" t="s">
        <v>5748</v>
      </c>
      <c r="E1613" s="9" t="s">
        <v>1469</v>
      </c>
      <c r="F1613" s="9" t="s">
        <v>5749</v>
      </c>
    </row>
    <row r="1614">
      <c r="A1614" s="9" t="s">
        <v>5750</v>
      </c>
      <c r="B1614" s="9" t="s">
        <v>163</v>
      </c>
      <c r="C1614" s="9" t="s">
        <v>1467</v>
      </c>
      <c r="D1614" s="9" t="s">
        <v>5751</v>
      </c>
      <c r="E1614" s="9" t="s">
        <v>1469</v>
      </c>
      <c r="F1614" s="9" t="s">
        <v>5752</v>
      </c>
    </row>
    <row r="1615">
      <c r="A1615" s="9" t="s">
        <v>5753</v>
      </c>
      <c r="B1615" s="9" t="s">
        <v>192</v>
      </c>
      <c r="C1615" s="9" t="s">
        <v>1467</v>
      </c>
      <c r="D1615" s="9" t="s">
        <v>5754</v>
      </c>
      <c r="E1615" s="9" t="s">
        <v>1469</v>
      </c>
      <c r="F1615" s="9" t="s">
        <v>5755</v>
      </c>
    </row>
    <row r="1616">
      <c r="A1616" s="9" t="s">
        <v>5756</v>
      </c>
      <c r="B1616" s="9" t="s">
        <v>337</v>
      </c>
      <c r="C1616" s="9" t="s">
        <v>1467</v>
      </c>
      <c r="D1616" s="9" t="s">
        <v>5757</v>
      </c>
      <c r="E1616" s="9" t="s">
        <v>1469</v>
      </c>
      <c r="F1616" s="9" t="s">
        <v>5758</v>
      </c>
    </row>
    <row r="1617">
      <c r="A1617" s="9" t="s">
        <v>5759</v>
      </c>
      <c r="B1617" s="9" t="s">
        <v>303</v>
      </c>
      <c r="C1617" s="9" t="s">
        <v>1467</v>
      </c>
      <c r="D1617" s="9" t="s">
        <v>5760</v>
      </c>
      <c r="E1617" s="9" t="s">
        <v>1469</v>
      </c>
      <c r="F1617" s="9" t="s">
        <v>5761</v>
      </c>
    </row>
    <row r="1618">
      <c r="A1618" s="9" t="s">
        <v>5762</v>
      </c>
      <c r="B1618" s="9" t="s">
        <v>121</v>
      </c>
      <c r="C1618" s="9" t="s">
        <v>1467</v>
      </c>
      <c r="D1618" s="9" t="s">
        <v>5763</v>
      </c>
      <c r="E1618" s="9" t="s">
        <v>1469</v>
      </c>
      <c r="F1618" s="9" t="s">
        <v>5764</v>
      </c>
    </row>
    <row r="1619">
      <c r="A1619" s="9" t="s">
        <v>5765</v>
      </c>
      <c r="B1619" s="9" t="s">
        <v>359</v>
      </c>
      <c r="C1619" s="9" t="s">
        <v>1467</v>
      </c>
      <c r="D1619" s="9" t="s">
        <v>5766</v>
      </c>
      <c r="E1619" s="9" t="s">
        <v>1469</v>
      </c>
      <c r="F1619" s="9" t="s">
        <v>5767</v>
      </c>
    </row>
    <row r="1620">
      <c r="A1620" s="9" t="s">
        <v>5768</v>
      </c>
      <c r="B1620" s="9" t="s">
        <v>276</v>
      </c>
      <c r="C1620" s="9" t="s">
        <v>1467</v>
      </c>
      <c r="D1620" s="9" t="s">
        <v>5769</v>
      </c>
      <c r="E1620" s="9" t="s">
        <v>1469</v>
      </c>
      <c r="F1620" s="9" t="s">
        <v>5770</v>
      </c>
    </row>
    <row r="1621">
      <c r="A1621" s="9" t="s">
        <v>5771</v>
      </c>
      <c r="B1621" s="9" t="s">
        <v>263</v>
      </c>
      <c r="C1621" s="9" t="s">
        <v>1467</v>
      </c>
      <c r="D1621" s="9" t="s">
        <v>5772</v>
      </c>
      <c r="E1621" s="9" t="s">
        <v>1469</v>
      </c>
      <c r="F1621" s="9" t="s">
        <v>5773</v>
      </c>
    </row>
    <row r="1622">
      <c r="A1622" s="9" t="s">
        <v>5774</v>
      </c>
      <c r="B1622" s="9" t="s">
        <v>376</v>
      </c>
      <c r="C1622" s="9" t="s">
        <v>1467</v>
      </c>
      <c r="D1622" s="9" t="s">
        <v>5775</v>
      </c>
      <c r="E1622" s="9" t="s">
        <v>1469</v>
      </c>
      <c r="F1622" s="9" t="s">
        <v>5776</v>
      </c>
    </row>
    <row r="1623">
      <c r="A1623" s="9" t="s">
        <v>5777</v>
      </c>
      <c r="B1623" s="9" t="s">
        <v>169</v>
      </c>
      <c r="C1623" s="9" t="s">
        <v>1467</v>
      </c>
      <c r="D1623" s="9" t="s">
        <v>5778</v>
      </c>
      <c r="E1623" s="9" t="s">
        <v>1469</v>
      </c>
      <c r="F1623" s="9" t="s">
        <v>5779</v>
      </c>
    </row>
    <row r="1624">
      <c r="A1624" s="9" t="s">
        <v>5780</v>
      </c>
      <c r="B1624" s="9" t="s">
        <v>67</v>
      </c>
      <c r="C1624" s="9" t="s">
        <v>1467</v>
      </c>
      <c r="D1624" s="9" t="s">
        <v>5781</v>
      </c>
      <c r="E1624" s="9" t="s">
        <v>1469</v>
      </c>
      <c r="F1624" s="9" t="s">
        <v>5782</v>
      </c>
    </row>
    <row r="1625">
      <c r="A1625" s="9" t="s">
        <v>5783</v>
      </c>
      <c r="B1625" s="9" t="s">
        <v>18</v>
      </c>
      <c r="C1625" s="9" t="s">
        <v>1467</v>
      </c>
      <c r="D1625" s="9" t="s">
        <v>5784</v>
      </c>
      <c r="E1625" s="9" t="s">
        <v>1469</v>
      </c>
      <c r="F1625" s="9" t="s">
        <v>5785</v>
      </c>
    </row>
    <row r="1626">
      <c r="A1626" s="9" t="s">
        <v>5786</v>
      </c>
      <c r="B1626" s="9" t="s">
        <v>100</v>
      </c>
      <c r="C1626" s="9" t="s">
        <v>1467</v>
      </c>
      <c r="D1626" s="9" t="s">
        <v>5787</v>
      </c>
      <c r="E1626" s="9" t="s">
        <v>1469</v>
      </c>
      <c r="F1626" s="9" t="s">
        <v>5788</v>
      </c>
    </row>
    <row r="1627">
      <c r="A1627" s="9" t="s">
        <v>5789</v>
      </c>
      <c r="B1627" s="9" t="s">
        <v>101</v>
      </c>
      <c r="C1627" s="9" t="s">
        <v>1467</v>
      </c>
      <c r="D1627" s="9" t="s">
        <v>5790</v>
      </c>
      <c r="E1627" s="9" t="s">
        <v>1469</v>
      </c>
      <c r="F1627" s="9" t="s">
        <v>5791</v>
      </c>
    </row>
    <row r="1628">
      <c r="A1628" s="9" t="s">
        <v>5792</v>
      </c>
      <c r="B1628" s="9" t="s">
        <v>340</v>
      </c>
      <c r="C1628" s="9" t="s">
        <v>1467</v>
      </c>
      <c r="D1628" s="9" t="s">
        <v>5793</v>
      </c>
      <c r="E1628" s="9" t="s">
        <v>1469</v>
      </c>
      <c r="F1628" s="9" t="s">
        <v>5794</v>
      </c>
    </row>
    <row r="1629">
      <c r="A1629" s="9" t="s">
        <v>5795</v>
      </c>
      <c r="B1629" s="9" t="s">
        <v>18</v>
      </c>
      <c r="C1629" s="9" t="s">
        <v>1467</v>
      </c>
      <c r="D1629" s="9" t="s">
        <v>5796</v>
      </c>
      <c r="E1629" s="9" t="s">
        <v>1469</v>
      </c>
      <c r="F1629" s="9" t="s">
        <v>5797</v>
      </c>
    </row>
    <row r="1630">
      <c r="A1630" s="9" t="s">
        <v>5798</v>
      </c>
      <c r="B1630" s="9" t="s">
        <v>354</v>
      </c>
      <c r="C1630" s="9" t="s">
        <v>1467</v>
      </c>
      <c r="D1630" s="9" t="s">
        <v>5799</v>
      </c>
      <c r="E1630" s="9" t="s">
        <v>1469</v>
      </c>
      <c r="F1630" s="9" t="s">
        <v>5800</v>
      </c>
    </row>
    <row r="1631">
      <c r="A1631" s="9" t="s">
        <v>5801</v>
      </c>
      <c r="B1631" s="9" t="s">
        <v>185</v>
      </c>
      <c r="C1631" s="9" t="s">
        <v>1467</v>
      </c>
      <c r="D1631" s="9" t="s">
        <v>5802</v>
      </c>
      <c r="E1631" s="9" t="s">
        <v>1469</v>
      </c>
      <c r="F1631" s="9" t="s">
        <v>5803</v>
      </c>
    </row>
    <row r="1632">
      <c r="A1632" s="9" t="s">
        <v>5804</v>
      </c>
      <c r="B1632" s="9" t="s">
        <v>67</v>
      </c>
      <c r="C1632" s="9" t="s">
        <v>1467</v>
      </c>
      <c r="D1632" s="9" t="s">
        <v>5805</v>
      </c>
      <c r="E1632" s="9" t="s">
        <v>1469</v>
      </c>
      <c r="F1632" s="9" t="s">
        <v>5806</v>
      </c>
    </row>
    <row r="1633">
      <c r="A1633" s="9" t="s">
        <v>5807</v>
      </c>
      <c r="B1633" s="9" t="s">
        <v>323</v>
      </c>
      <c r="C1633" s="9" t="s">
        <v>1467</v>
      </c>
      <c r="D1633" s="9" t="s">
        <v>5808</v>
      </c>
      <c r="E1633" s="9" t="s">
        <v>1469</v>
      </c>
      <c r="F1633" s="9" t="s">
        <v>5809</v>
      </c>
    </row>
    <row r="1634">
      <c r="A1634" s="9" t="s">
        <v>5810</v>
      </c>
      <c r="B1634" s="9" t="s">
        <v>356</v>
      </c>
      <c r="C1634" s="9" t="s">
        <v>1467</v>
      </c>
      <c r="D1634" s="9" t="s">
        <v>5811</v>
      </c>
      <c r="E1634" s="9" t="s">
        <v>1469</v>
      </c>
      <c r="F1634" s="9" t="s">
        <v>5812</v>
      </c>
    </row>
    <row r="1635">
      <c r="A1635" s="9" t="s">
        <v>5813</v>
      </c>
      <c r="B1635" s="9" t="s">
        <v>101</v>
      </c>
      <c r="C1635" s="9" t="s">
        <v>1467</v>
      </c>
      <c r="D1635" s="9" t="s">
        <v>5814</v>
      </c>
      <c r="E1635" s="9" t="s">
        <v>1469</v>
      </c>
      <c r="F1635" s="9" t="s">
        <v>5815</v>
      </c>
    </row>
    <row r="1636">
      <c r="A1636" s="9" t="s">
        <v>5816</v>
      </c>
      <c r="B1636" s="9" t="s">
        <v>281</v>
      </c>
      <c r="C1636" s="9" t="s">
        <v>1467</v>
      </c>
      <c r="D1636" s="9" t="s">
        <v>5817</v>
      </c>
      <c r="E1636" s="9" t="s">
        <v>1469</v>
      </c>
      <c r="F1636" s="9" t="s">
        <v>5818</v>
      </c>
    </row>
    <row r="1637">
      <c r="A1637" s="9" t="s">
        <v>5819</v>
      </c>
      <c r="B1637" s="9" t="s">
        <v>372</v>
      </c>
      <c r="C1637" s="9" t="s">
        <v>1467</v>
      </c>
      <c r="D1637" s="9" t="s">
        <v>5820</v>
      </c>
      <c r="E1637" s="9" t="s">
        <v>1469</v>
      </c>
      <c r="F1637" s="9" t="s">
        <v>5821</v>
      </c>
    </row>
    <row r="1638">
      <c r="A1638" s="9" t="s">
        <v>5822</v>
      </c>
      <c r="B1638" s="9" t="s">
        <v>351</v>
      </c>
      <c r="C1638" s="9" t="s">
        <v>1467</v>
      </c>
      <c r="D1638" s="9" t="s">
        <v>5823</v>
      </c>
      <c r="E1638" s="9" t="s">
        <v>1469</v>
      </c>
      <c r="F1638" s="9" t="s">
        <v>5824</v>
      </c>
    </row>
    <row r="1639">
      <c r="A1639" s="9" t="s">
        <v>5825</v>
      </c>
      <c r="B1639" s="9" t="s">
        <v>172</v>
      </c>
      <c r="C1639" s="9" t="s">
        <v>1467</v>
      </c>
      <c r="D1639" s="9" t="s">
        <v>5826</v>
      </c>
      <c r="E1639" s="9" t="s">
        <v>1469</v>
      </c>
      <c r="F1639" s="9" t="s">
        <v>5827</v>
      </c>
    </row>
    <row r="1640">
      <c r="A1640" s="9" t="s">
        <v>5828</v>
      </c>
      <c r="B1640" s="9" t="s">
        <v>219</v>
      </c>
      <c r="C1640" s="9" t="s">
        <v>1467</v>
      </c>
      <c r="D1640" s="9" t="s">
        <v>5829</v>
      </c>
      <c r="E1640" s="9" t="s">
        <v>1469</v>
      </c>
      <c r="F1640" s="9" t="s">
        <v>5830</v>
      </c>
    </row>
    <row r="1641">
      <c r="A1641" s="9" t="s">
        <v>5831</v>
      </c>
      <c r="B1641" s="9" t="s">
        <v>260</v>
      </c>
      <c r="C1641" s="9" t="s">
        <v>1467</v>
      </c>
      <c r="D1641" s="9" t="s">
        <v>5832</v>
      </c>
      <c r="E1641" s="9" t="s">
        <v>1469</v>
      </c>
      <c r="F1641" s="9" t="s">
        <v>5833</v>
      </c>
    </row>
    <row r="1642">
      <c r="A1642" s="9" t="s">
        <v>5834</v>
      </c>
      <c r="B1642" s="9" t="s">
        <v>359</v>
      </c>
      <c r="C1642" s="9" t="s">
        <v>1467</v>
      </c>
      <c r="D1642" s="9" t="s">
        <v>5835</v>
      </c>
      <c r="E1642" s="9" t="s">
        <v>1469</v>
      </c>
      <c r="F1642" s="9" t="s">
        <v>5836</v>
      </c>
    </row>
    <row r="1643">
      <c r="A1643" s="9" t="s">
        <v>5837</v>
      </c>
      <c r="B1643" s="9" t="s">
        <v>84</v>
      </c>
      <c r="C1643" s="9" t="s">
        <v>1467</v>
      </c>
      <c r="D1643" s="9" t="s">
        <v>5838</v>
      </c>
      <c r="E1643" s="9" t="s">
        <v>1469</v>
      </c>
      <c r="F1643" s="9" t="s">
        <v>5839</v>
      </c>
    </row>
    <row r="1644">
      <c r="A1644" s="9" t="s">
        <v>5840</v>
      </c>
      <c r="B1644" s="9" t="s">
        <v>328</v>
      </c>
      <c r="C1644" s="9" t="s">
        <v>1467</v>
      </c>
      <c r="D1644" s="9" t="s">
        <v>5841</v>
      </c>
      <c r="E1644" s="9" t="s">
        <v>1469</v>
      </c>
      <c r="F1644" s="9" t="s">
        <v>5842</v>
      </c>
    </row>
    <row r="1645">
      <c r="A1645" s="9" t="s">
        <v>5843</v>
      </c>
      <c r="B1645" s="9" t="s">
        <v>328</v>
      </c>
      <c r="C1645" s="9" t="s">
        <v>1467</v>
      </c>
      <c r="D1645" s="9" t="s">
        <v>5846</v>
      </c>
      <c r="E1645" s="9" t="s">
        <v>1469</v>
      </c>
      <c r="F1645" s="9" t="s">
        <v>5848</v>
      </c>
    </row>
    <row r="1646">
      <c r="A1646" s="9" t="s">
        <v>5849</v>
      </c>
      <c r="B1646" s="9" t="s">
        <v>355</v>
      </c>
      <c r="C1646" s="9" t="s">
        <v>1467</v>
      </c>
      <c r="D1646" s="9" t="s">
        <v>5850</v>
      </c>
      <c r="E1646" s="9" t="s">
        <v>1469</v>
      </c>
      <c r="F1646" s="9" t="s">
        <v>5851</v>
      </c>
    </row>
    <row r="1647">
      <c r="A1647" s="9" t="s">
        <v>5852</v>
      </c>
      <c r="B1647" s="9" t="s">
        <v>115</v>
      </c>
      <c r="C1647" s="9" t="s">
        <v>1467</v>
      </c>
      <c r="D1647" s="9" t="s">
        <v>5853</v>
      </c>
      <c r="E1647" s="9" t="s">
        <v>1469</v>
      </c>
      <c r="F1647" s="9" t="s">
        <v>5854</v>
      </c>
    </row>
    <row r="1648">
      <c r="A1648" s="9" t="s">
        <v>5855</v>
      </c>
      <c r="B1648" s="9" t="s">
        <v>139</v>
      </c>
      <c r="C1648" s="9" t="s">
        <v>1467</v>
      </c>
      <c r="D1648" s="9" t="s">
        <v>5856</v>
      </c>
      <c r="E1648" s="9" t="s">
        <v>1469</v>
      </c>
      <c r="F1648" s="9" t="s">
        <v>5857</v>
      </c>
    </row>
    <row r="1649">
      <c r="A1649" s="9" t="s">
        <v>5858</v>
      </c>
      <c r="B1649" s="9" t="s">
        <v>256</v>
      </c>
      <c r="C1649" s="9" t="s">
        <v>1467</v>
      </c>
      <c r="D1649" s="9" t="s">
        <v>5859</v>
      </c>
      <c r="E1649" s="9" t="s">
        <v>1469</v>
      </c>
      <c r="F1649" s="9" t="s">
        <v>5860</v>
      </c>
    </row>
    <row r="1650">
      <c r="A1650" s="9" t="s">
        <v>5861</v>
      </c>
      <c r="B1650" s="9" t="s">
        <v>115</v>
      </c>
      <c r="C1650" s="9" t="s">
        <v>1467</v>
      </c>
      <c r="D1650" s="9" t="s">
        <v>5862</v>
      </c>
      <c r="E1650" s="9" t="s">
        <v>1469</v>
      </c>
      <c r="F1650" s="9" t="s">
        <v>5863</v>
      </c>
    </row>
    <row r="1651">
      <c r="A1651" s="9" t="s">
        <v>5864</v>
      </c>
      <c r="B1651" s="9" t="s">
        <v>256</v>
      </c>
      <c r="C1651" s="9" t="s">
        <v>1467</v>
      </c>
      <c r="D1651" s="9" t="s">
        <v>5865</v>
      </c>
      <c r="E1651" s="9" t="s">
        <v>1469</v>
      </c>
      <c r="F1651" s="9" t="s">
        <v>5866</v>
      </c>
    </row>
    <row r="1652">
      <c r="A1652" s="9" t="s">
        <v>5867</v>
      </c>
      <c r="B1652" s="9" t="s">
        <v>182</v>
      </c>
      <c r="C1652" s="9" t="s">
        <v>1467</v>
      </c>
      <c r="D1652" s="9" t="s">
        <v>5868</v>
      </c>
      <c r="E1652" s="9" t="s">
        <v>1469</v>
      </c>
      <c r="F1652" s="9" t="s">
        <v>5869</v>
      </c>
    </row>
    <row r="1653">
      <c r="A1653" s="9" t="s">
        <v>5870</v>
      </c>
      <c r="B1653" s="9" t="s">
        <v>256</v>
      </c>
      <c r="C1653" s="9" t="s">
        <v>1467</v>
      </c>
      <c r="D1653" s="9" t="s">
        <v>5871</v>
      </c>
      <c r="E1653" s="9" t="s">
        <v>1469</v>
      </c>
      <c r="F1653" s="9" t="s">
        <v>5872</v>
      </c>
    </row>
    <row r="1654">
      <c r="A1654" s="9" t="s">
        <v>5873</v>
      </c>
      <c r="B1654" s="9" t="s">
        <v>424</v>
      </c>
      <c r="C1654" s="9" t="s">
        <v>1467</v>
      </c>
      <c r="D1654" s="9" t="s">
        <v>5874</v>
      </c>
      <c r="E1654" s="9" t="s">
        <v>1469</v>
      </c>
      <c r="F1654" s="9" t="s">
        <v>5875</v>
      </c>
    </row>
    <row r="1655">
      <c r="A1655" s="9" t="s">
        <v>5876</v>
      </c>
      <c r="B1655" s="9" t="s">
        <v>424</v>
      </c>
      <c r="C1655" s="9" t="s">
        <v>1467</v>
      </c>
      <c r="D1655" s="9" t="s">
        <v>5877</v>
      </c>
      <c r="E1655" s="9" t="s">
        <v>1469</v>
      </c>
      <c r="F1655" s="9" t="s">
        <v>5878</v>
      </c>
    </row>
    <row r="1656">
      <c r="A1656" s="9" t="s">
        <v>5879</v>
      </c>
      <c r="B1656" s="9" t="s">
        <v>104</v>
      </c>
      <c r="C1656" s="9" t="s">
        <v>1467</v>
      </c>
      <c r="D1656" s="9" t="s">
        <v>5880</v>
      </c>
      <c r="E1656" s="9" t="s">
        <v>1469</v>
      </c>
      <c r="F1656" s="9" t="s">
        <v>5881</v>
      </c>
    </row>
    <row r="1657">
      <c r="A1657" s="9" t="s">
        <v>5882</v>
      </c>
      <c r="B1657" s="9" t="s">
        <v>254</v>
      </c>
      <c r="C1657" s="9" t="s">
        <v>1467</v>
      </c>
      <c r="D1657" s="9" t="s">
        <v>5883</v>
      </c>
      <c r="E1657" s="9" t="s">
        <v>1469</v>
      </c>
      <c r="F1657" s="9" t="s">
        <v>5884</v>
      </c>
    </row>
    <row r="1658">
      <c r="A1658" s="9" t="s">
        <v>5885</v>
      </c>
      <c r="B1658" s="9" t="s">
        <v>373</v>
      </c>
      <c r="C1658" s="9" t="s">
        <v>1467</v>
      </c>
      <c r="D1658" s="9" t="s">
        <v>5886</v>
      </c>
      <c r="E1658" s="9" t="s">
        <v>1469</v>
      </c>
      <c r="F1658" s="9" t="s">
        <v>5887</v>
      </c>
    </row>
    <row r="1659">
      <c r="A1659" s="9" t="s">
        <v>5888</v>
      </c>
      <c r="B1659" s="9" t="s">
        <v>335</v>
      </c>
      <c r="C1659" s="9" t="s">
        <v>1467</v>
      </c>
      <c r="D1659" s="9" t="s">
        <v>5889</v>
      </c>
      <c r="E1659" s="9" t="s">
        <v>1469</v>
      </c>
      <c r="F1659" s="9" t="s">
        <v>5890</v>
      </c>
    </row>
    <row r="1660">
      <c r="A1660" s="9" t="s">
        <v>5891</v>
      </c>
      <c r="B1660" s="9" t="s">
        <v>224</v>
      </c>
      <c r="C1660" s="9" t="s">
        <v>1467</v>
      </c>
      <c r="D1660" s="9" t="s">
        <v>5892</v>
      </c>
      <c r="E1660" s="9" t="s">
        <v>1469</v>
      </c>
      <c r="F1660" s="9" t="s">
        <v>5893</v>
      </c>
    </row>
    <row r="1661">
      <c r="A1661" s="9" t="s">
        <v>5894</v>
      </c>
      <c r="B1661" s="9" t="s">
        <v>373</v>
      </c>
      <c r="C1661" s="9" t="s">
        <v>1467</v>
      </c>
      <c r="D1661" s="9" t="s">
        <v>5895</v>
      </c>
      <c r="E1661" s="9" t="s">
        <v>1469</v>
      </c>
      <c r="F1661" s="9" t="s">
        <v>5896</v>
      </c>
    </row>
    <row r="1662">
      <c r="A1662" s="9" t="s">
        <v>5897</v>
      </c>
      <c r="B1662" s="9" t="s">
        <v>294</v>
      </c>
      <c r="C1662" s="9" t="s">
        <v>1467</v>
      </c>
      <c r="D1662" s="9" t="s">
        <v>5898</v>
      </c>
      <c r="E1662" s="9" t="s">
        <v>1469</v>
      </c>
      <c r="F1662" s="9" t="s">
        <v>5899</v>
      </c>
    </row>
    <row r="1663">
      <c r="A1663" s="9" t="s">
        <v>5900</v>
      </c>
      <c r="B1663" s="9" t="s">
        <v>161</v>
      </c>
      <c r="C1663" s="9" t="s">
        <v>1467</v>
      </c>
      <c r="D1663" s="9" t="s">
        <v>5901</v>
      </c>
      <c r="E1663" s="9" t="s">
        <v>1469</v>
      </c>
      <c r="F1663" s="9" t="s">
        <v>5902</v>
      </c>
    </row>
    <row r="1664">
      <c r="A1664" s="9" t="s">
        <v>5903</v>
      </c>
      <c r="B1664" s="9" t="s">
        <v>297</v>
      </c>
      <c r="C1664" s="9" t="s">
        <v>1467</v>
      </c>
      <c r="D1664" s="9" t="s">
        <v>5904</v>
      </c>
      <c r="E1664" s="9" t="s">
        <v>1469</v>
      </c>
      <c r="F1664" s="9" t="s">
        <v>5905</v>
      </c>
    </row>
    <row r="1665">
      <c r="A1665" s="9" t="s">
        <v>5906</v>
      </c>
      <c r="B1665" s="9" t="s">
        <v>83</v>
      </c>
      <c r="C1665" s="9" t="s">
        <v>1467</v>
      </c>
      <c r="D1665" s="9" t="s">
        <v>5907</v>
      </c>
      <c r="E1665" s="9" t="s">
        <v>1469</v>
      </c>
      <c r="F1665" s="9" t="s">
        <v>5908</v>
      </c>
    </row>
    <row r="1666">
      <c r="A1666" s="9" t="s">
        <v>5909</v>
      </c>
      <c r="B1666" s="9" t="s">
        <v>404</v>
      </c>
      <c r="C1666" s="9" t="s">
        <v>1467</v>
      </c>
      <c r="D1666" s="9" t="s">
        <v>5910</v>
      </c>
      <c r="E1666" s="9" t="s">
        <v>1469</v>
      </c>
      <c r="F1666" s="9" t="s">
        <v>5911</v>
      </c>
    </row>
    <row r="1667">
      <c r="A1667" s="9" t="s">
        <v>5912</v>
      </c>
      <c r="B1667" s="9" t="s">
        <v>297</v>
      </c>
      <c r="C1667" s="9" t="s">
        <v>1467</v>
      </c>
      <c r="D1667" s="9" t="s">
        <v>5913</v>
      </c>
      <c r="E1667" s="9" t="s">
        <v>1469</v>
      </c>
      <c r="F1667" s="9" t="s">
        <v>5914</v>
      </c>
    </row>
    <row r="1668">
      <c r="A1668" s="9" t="s">
        <v>5915</v>
      </c>
      <c r="B1668" s="9" t="s">
        <v>404</v>
      </c>
      <c r="C1668" s="9" t="s">
        <v>1467</v>
      </c>
      <c r="D1668" s="9" t="s">
        <v>5916</v>
      </c>
      <c r="E1668" s="9" t="s">
        <v>1469</v>
      </c>
      <c r="F1668" s="9" t="s">
        <v>5917</v>
      </c>
    </row>
    <row r="1669">
      <c r="A1669" s="9" t="s">
        <v>5918</v>
      </c>
      <c r="B1669" s="9" t="s">
        <v>154</v>
      </c>
      <c r="C1669" s="9" t="s">
        <v>1467</v>
      </c>
      <c r="D1669" s="9" t="s">
        <v>5919</v>
      </c>
      <c r="E1669" s="9" t="s">
        <v>1469</v>
      </c>
      <c r="F1669" s="9" t="s">
        <v>5920</v>
      </c>
    </row>
    <row r="1670">
      <c r="A1670" s="9" t="s">
        <v>5921</v>
      </c>
      <c r="B1670" s="9" t="s">
        <v>404</v>
      </c>
      <c r="C1670" s="9" t="s">
        <v>1467</v>
      </c>
      <c r="D1670" s="9" t="s">
        <v>5922</v>
      </c>
      <c r="E1670" s="9" t="s">
        <v>1469</v>
      </c>
      <c r="F1670" s="9" t="s">
        <v>5923</v>
      </c>
    </row>
    <row r="1671">
      <c r="A1671" s="9" t="s">
        <v>5924</v>
      </c>
      <c r="B1671" s="9" t="s">
        <v>157</v>
      </c>
      <c r="C1671" s="9" t="s">
        <v>1467</v>
      </c>
      <c r="D1671" s="9" t="s">
        <v>5925</v>
      </c>
      <c r="E1671" s="9" t="s">
        <v>1469</v>
      </c>
      <c r="F1671" s="9" t="s">
        <v>5926</v>
      </c>
    </row>
    <row r="1672">
      <c r="A1672" s="9" t="s">
        <v>5927</v>
      </c>
      <c r="B1672" s="9" t="s">
        <v>315</v>
      </c>
      <c r="C1672" s="9" t="s">
        <v>1467</v>
      </c>
      <c r="D1672" s="9" t="s">
        <v>5928</v>
      </c>
      <c r="E1672" s="9" t="s">
        <v>1469</v>
      </c>
      <c r="F1672" s="9" t="s">
        <v>5929</v>
      </c>
    </row>
    <row r="1673">
      <c r="A1673" s="9" t="s">
        <v>5930</v>
      </c>
      <c r="B1673" s="9" t="s">
        <v>300</v>
      </c>
      <c r="C1673" s="9" t="s">
        <v>1467</v>
      </c>
      <c r="D1673" s="9" t="s">
        <v>5931</v>
      </c>
      <c r="E1673" s="9" t="s">
        <v>1469</v>
      </c>
      <c r="F1673" s="9" t="s">
        <v>5932</v>
      </c>
    </row>
    <row r="1674">
      <c r="A1674" s="9" t="s">
        <v>5933</v>
      </c>
      <c r="B1674" s="9" t="s">
        <v>315</v>
      </c>
      <c r="C1674" s="9" t="s">
        <v>1467</v>
      </c>
      <c r="D1674" s="9" t="s">
        <v>5934</v>
      </c>
      <c r="E1674" s="9" t="s">
        <v>1469</v>
      </c>
      <c r="F1674" s="9" t="s">
        <v>5935</v>
      </c>
    </row>
    <row r="1675">
      <c r="A1675" s="9" t="s">
        <v>5936</v>
      </c>
      <c r="B1675" s="9" t="s">
        <v>348</v>
      </c>
      <c r="C1675" s="9" t="s">
        <v>1467</v>
      </c>
      <c r="D1675" s="9" t="s">
        <v>5937</v>
      </c>
      <c r="E1675" s="9" t="s">
        <v>1469</v>
      </c>
      <c r="F1675" s="9" t="s">
        <v>5938</v>
      </c>
    </row>
    <row r="1676">
      <c r="A1676" s="9" t="s">
        <v>5939</v>
      </c>
      <c r="B1676" s="9" t="s">
        <v>299</v>
      </c>
      <c r="C1676" s="9" t="s">
        <v>1467</v>
      </c>
      <c r="D1676" s="9" t="s">
        <v>5940</v>
      </c>
      <c r="E1676" s="9" t="s">
        <v>1469</v>
      </c>
      <c r="F1676" s="9" t="s">
        <v>5941</v>
      </c>
    </row>
    <row r="1677">
      <c r="A1677" s="9" t="s">
        <v>5942</v>
      </c>
      <c r="B1677" s="9" t="s">
        <v>252</v>
      </c>
      <c r="C1677" s="9" t="s">
        <v>1467</v>
      </c>
      <c r="D1677" s="9" t="s">
        <v>5943</v>
      </c>
      <c r="E1677" s="9" t="s">
        <v>1469</v>
      </c>
      <c r="F1677" s="9" t="s">
        <v>5944</v>
      </c>
    </row>
    <row r="1678">
      <c r="A1678" s="9" t="s">
        <v>5945</v>
      </c>
      <c r="B1678" s="9" t="s">
        <v>169</v>
      </c>
      <c r="C1678" s="9" t="s">
        <v>1467</v>
      </c>
      <c r="D1678" s="9" t="s">
        <v>5946</v>
      </c>
      <c r="E1678" s="9" t="s">
        <v>1469</v>
      </c>
      <c r="F1678" s="9" t="s">
        <v>5947</v>
      </c>
    </row>
    <row r="1679">
      <c r="A1679" s="9" t="s">
        <v>5948</v>
      </c>
      <c r="B1679" s="9" t="s">
        <v>343</v>
      </c>
      <c r="C1679" s="9" t="s">
        <v>1467</v>
      </c>
      <c r="D1679" s="9" t="s">
        <v>5949</v>
      </c>
      <c r="E1679" s="9" t="s">
        <v>1469</v>
      </c>
      <c r="F1679" s="9" t="s">
        <v>5950</v>
      </c>
    </row>
    <row r="1680">
      <c r="A1680" s="9" t="s">
        <v>5951</v>
      </c>
      <c r="B1680" s="9" t="s">
        <v>337</v>
      </c>
      <c r="C1680" s="9" t="s">
        <v>1467</v>
      </c>
      <c r="D1680" s="9" t="s">
        <v>5952</v>
      </c>
      <c r="E1680" s="9" t="s">
        <v>1469</v>
      </c>
      <c r="F1680" s="9" t="s">
        <v>5953</v>
      </c>
    </row>
    <row r="1681">
      <c r="A1681" s="9" t="s">
        <v>5954</v>
      </c>
      <c r="B1681" s="9" t="s">
        <v>215</v>
      </c>
      <c r="C1681" s="9" t="s">
        <v>1467</v>
      </c>
      <c r="D1681" s="9" t="s">
        <v>5955</v>
      </c>
      <c r="E1681" s="9" t="s">
        <v>1469</v>
      </c>
      <c r="F1681" s="9" t="s">
        <v>5956</v>
      </c>
    </row>
    <row r="1682">
      <c r="A1682" s="9" t="s">
        <v>5957</v>
      </c>
      <c r="B1682" s="9" t="s">
        <v>318</v>
      </c>
      <c r="C1682" s="9" t="s">
        <v>1467</v>
      </c>
      <c r="D1682" s="9" t="s">
        <v>5958</v>
      </c>
      <c r="E1682" s="9" t="s">
        <v>1469</v>
      </c>
      <c r="F1682" s="9" t="s">
        <v>5959</v>
      </c>
    </row>
    <row r="1683">
      <c r="A1683" s="9" t="s">
        <v>5960</v>
      </c>
      <c r="B1683" s="9" t="s">
        <v>352</v>
      </c>
      <c r="C1683" s="9" t="s">
        <v>1467</v>
      </c>
      <c r="D1683" s="9" t="s">
        <v>5961</v>
      </c>
      <c r="E1683" s="9" t="s">
        <v>1469</v>
      </c>
      <c r="F1683" s="9" t="s">
        <v>5962</v>
      </c>
    </row>
    <row r="1684">
      <c r="A1684" s="9" t="s">
        <v>5963</v>
      </c>
      <c r="B1684" s="9" t="s">
        <v>329</v>
      </c>
      <c r="C1684" s="9" t="s">
        <v>1467</v>
      </c>
      <c r="D1684" s="9" t="s">
        <v>5964</v>
      </c>
      <c r="E1684" s="9" t="s">
        <v>1469</v>
      </c>
      <c r="F1684" s="9" t="s">
        <v>5965</v>
      </c>
    </row>
    <row r="1685">
      <c r="A1685" s="9" t="s">
        <v>5966</v>
      </c>
      <c r="B1685" s="9" t="s">
        <v>352</v>
      </c>
      <c r="C1685" s="9" t="s">
        <v>1467</v>
      </c>
      <c r="D1685" s="9" t="s">
        <v>5967</v>
      </c>
      <c r="E1685" s="9" t="s">
        <v>1469</v>
      </c>
      <c r="F1685" s="9" t="s">
        <v>5968</v>
      </c>
    </row>
    <row r="1686">
      <c r="A1686" s="9" t="s">
        <v>5969</v>
      </c>
      <c r="B1686" s="9" t="s">
        <v>260</v>
      </c>
      <c r="C1686" s="9" t="s">
        <v>1467</v>
      </c>
      <c r="D1686" s="9" t="s">
        <v>5970</v>
      </c>
      <c r="E1686" s="9" t="s">
        <v>1469</v>
      </c>
      <c r="F1686" s="9" t="s">
        <v>5971</v>
      </c>
    </row>
    <row r="1687">
      <c r="A1687" s="9" t="s">
        <v>5972</v>
      </c>
      <c r="B1687" s="9" t="s">
        <v>355</v>
      </c>
      <c r="C1687" s="9" t="s">
        <v>1467</v>
      </c>
      <c r="D1687" s="9" t="s">
        <v>5973</v>
      </c>
      <c r="E1687" s="9" t="s">
        <v>1469</v>
      </c>
      <c r="F1687" s="9" t="s">
        <v>5974</v>
      </c>
    </row>
    <row r="1688">
      <c r="A1688" s="9" t="s">
        <v>5975</v>
      </c>
      <c r="B1688" s="9" t="s">
        <v>328</v>
      </c>
      <c r="C1688" s="9" t="s">
        <v>1467</v>
      </c>
      <c r="D1688" s="9" t="s">
        <v>5978</v>
      </c>
      <c r="E1688" s="9" t="s">
        <v>1469</v>
      </c>
      <c r="F1688" s="9" t="s">
        <v>5980</v>
      </c>
    </row>
    <row r="1689">
      <c r="A1689" s="9" t="s">
        <v>5981</v>
      </c>
      <c r="B1689" s="9" t="s">
        <v>250</v>
      </c>
      <c r="C1689" s="9" t="s">
        <v>1467</v>
      </c>
      <c r="D1689" s="9" t="s">
        <v>5982</v>
      </c>
      <c r="E1689" s="9" t="s">
        <v>1469</v>
      </c>
      <c r="F1689" s="9" t="s">
        <v>5983</v>
      </c>
    </row>
    <row r="1690">
      <c r="A1690" s="9" t="s">
        <v>5984</v>
      </c>
      <c r="B1690" s="9" t="s">
        <v>164</v>
      </c>
      <c r="C1690" s="9" t="s">
        <v>1467</v>
      </c>
      <c r="D1690" s="9" t="s">
        <v>5985</v>
      </c>
      <c r="E1690" s="9" t="s">
        <v>1469</v>
      </c>
      <c r="F1690" s="9" t="s">
        <v>5986</v>
      </c>
    </row>
    <row r="1691">
      <c r="A1691" s="9" t="s">
        <v>5987</v>
      </c>
      <c r="B1691" s="9" t="s">
        <v>250</v>
      </c>
      <c r="C1691" s="9" t="s">
        <v>1467</v>
      </c>
      <c r="D1691" s="9" t="s">
        <v>5988</v>
      </c>
      <c r="E1691" s="9" t="s">
        <v>1469</v>
      </c>
      <c r="F1691" s="9" t="s">
        <v>5989</v>
      </c>
    </row>
    <row r="1692">
      <c r="A1692" s="9" t="s">
        <v>5990</v>
      </c>
      <c r="B1692" s="9" t="s">
        <v>329</v>
      </c>
      <c r="C1692" s="9" t="s">
        <v>1467</v>
      </c>
      <c r="D1692" s="9" t="s">
        <v>5991</v>
      </c>
      <c r="E1692" s="9" t="s">
        <v>1469</v>
      </c>
      <c r="F1692" s="9" t="s">
        <v>5992</v>
      </c>
    </row>
    <row r="1693">
      <c r="A1693" s="9" t="s">
        <v>5993</v>
      </c>
      <c r="B1693" s="9" t="s">
        <v>263</v>
      </c>
      <c r="C1693" s="9" t="s">
        <v>1467</v>
      </c>
      <c r="D1693" s="9" t="s">
        <v>5994</v>
      </c>
      <c r="E1693" s="9" t="s">
        <v>1469</v>
      </c>
      <c r="F1693" s="9" t="s">
        <v>5995</v>
      </c>
    </row>
    <row r="1694">
      <c r="A1694" s="9" t="s">
        <v>5996</v>
      </c>
      <c r="B1694" s="9" t="s">
        <v>332</v>
      </c>
      <c r="C1694" s="9" t="s">
        <v>1467</v>
      </c>
      <c r="D1694" s="9" t="s">
        <v>5997</v>
      </c>
      <c r="E1694" s="9" t="s">
        <v>1469</v>
      </c>
      <c r="F1694" s="9" t="s">
        <v>5998</v>
      </c>
    </row>
    <row r="1695">
      <c r="A1695" s="9" t="s">
        <v>5999</v>
      </c>
      <c r="B1695" s="9" t="s">
        <v>224</v>
      </c>
      <c r="C1695" s="9" t="s">
        <v>1467</v>
      </c>
      <c r="D1695" s="9" t="s">
        <v>6000</v>
      </c>
      <c r="E1695" s="9" t="s">
        <v>1469</v>
      </c>
      <c r="F1695" s="9" t="s">
        <v>6001</v>
      </c>
    </row>
    <row r="1696">
      <c r="A1696" s="9" t="s">
        <v>6002</v>
      </c>
      <c r="B1696" s="9" t="s">
        <v>248</v>
      </c>
      <c r="C1696" s="9" t="s">
        <v>1467</v>
      </c>
      <c r="D1696" s="9" t="s">
        <v>6003</v>
      </c>
      <c r="E1696" s="9" t="s">
        <v>1469</v>
      </c>
      <c r="F1696" s="9" t="s">
        <v>6004</v>
      </c>
    </row>
    <row r="1697">
      <c r="A1697" s="9" t="s">
        <v>6005</v>
      </c>
      <c r="B1697" s="9" t="s">
        <v>279</v>
      </c>
      <c r="C1697" s="9" t="s">
        <v>1467</v>
      </c>
      <c r="D1697" s="9" t="s">
        <v>6006</v>
      </c>
      <c r="E1697" s="9" t="s">
        <v>1469</v>
      </c>
      <c r="F1697" s="9" t="s">
        <v>6007</v>
      </c>
    </row>
    <row r="1698">
      <c r="A1698" s="9" t="s">
        <v>6008</v>
      </c>
      <c r="B1698" s="9" t="s">
        <v>294</v>
      </c>
      <c r="C1698" s="9" t="s">
        <v>1467</v>
      </c>
      <c r="D1698" s="9" t="s">
        <v>6009</v>
      </c>
      <c r="E1698" s="9" t="s">
        <v>1469</v>
      </c>
      <c r="F1698" s="9" t="s">
        <v>6010</v>
      </c>
    </row>
    <row r="1699">
      <c r="A1699" s="9" t="s">
        <v>6011</v>
      </c>
      <c r="B1699" s="9" t="s">
        <v>269</v>
      </c>
      <c r="C1699" s="9" t="s">
        <v>1467</v>
      </c>
      <c r="D1699" s="9" t="s">
        <v>6012</v>
      </c>
      <c r="E1699" s="9" t="s">
        <v>1469</v>
      </c>
      <c r="F1699" s="9" t="s">
        <v>6013</v>
      </c>
    </row>
    <row r="1700">
      <c r="A1700" s="9" t="s">
        <v>6014</v>
      </c>
      <c r="B1700" s="9" t="s">
        <v>424</v>
      </c>
      <c r="C1700" s="9" t="s">
        <v>1467</v>
      </c>
      <c r="D1700" s="9" t="s">
        <v>6015</v>
      </c>
      <c r="E1700" s="9" t="s">
        <v>1469</v>
      </c>
      <c r="F1700" s="9" t="s">
        <v>6016</v>
      </c>
    </row>
    <row r="1701">
      <c r="A1701" s="9" t="s">
        <v>6017</v>
      </c>
      <c r="B1701" s="9" t="s">
        <v>160</v>
      </c>
      <c r="C1701" s="9" t="s">
        <v>1467</v>
      </c>
      <c r="D1701" s="9" t="s">
        <v>6018</v>
      </c>
      <c r="E1701" s="9" t="s">
        <v>1469</v>
      </c>
      <c r="F1701" s="9" t="s">
        <v>6019</v>
      </c>
    </row>
    <row r="1702">
      <c r="A1702" s="9" t="s">
        <v>6020</v>
      </c>
      <c r="B1702" s="9" t="s">
        <v>294</v>
      </c>
      <c r="C1702" s="9" t="s">
        <v>1467</v>
      </c>
      <c r="D1702" s="9" t="s">
        <v>6021</v>
      </c>
      <c r="E1702" s="9" t="s">
        <v>1469</v>
      </c>
      <c r="F1702" s="9" t="s">
        <v>6022</v>
      </c>
    </row>
    <row r="1703">
      <c r="A1703" s="9" t="s">
        <v>6023</v>
      </c>
      <c r="B1703" s="9" t="s">
        <v>166</v>
      </c>
      <c r="C1703" s="9" t="s">
        <v>1467</v>
      </c>
      <c r="D1703" s="9" t="s">
        <v>6024</v>
      </c>
      <c r="E1703" s="9" t="s">
        <v>1469</v>
      </c>
      <c r="F1703" s="9" t="s">
        <v>6025</v>
      </c>
    </row>
    <row r="1704">
      <c r="A1704" s="9" t="s">
        <v>6026</v>
      </c>
      <c r="B1704" s="9" t="s">
        <v>296</v>
      </c>
      <c r="C1704" s="9" t="s">
        <v>1467</v>
      </c>
      <c r="D1704" s="9" t="s">
        <v>6027</v>
      </c>
      <c r="E1704" s="9" t="s">
        <v>1469</v>
      </c>
      <c r="F1704" s="9" t="s">
        <v>6028</v>
      </c>
    </row>
    <row r="1705">
      <c r="A1705" s="9" t="s">
        <v>6029</v>
      </c>
      <c r="B1705" s="9" t="s">
        <v>173</v>
      </c>
      <c r="C1705" s="9" t="s">
        <v>1467</v>
      </c>
      <c r="D1705" s="9" t="s">
        <v>6030</v>
      </c>
      <c r="E1705" s="9" t="s">
        <v>1469</v>
      </c>
      <c r="F1705" s="9" t="s">
        <v>6031</v>
      </c>
    </row>
    <row r="1706">
      <c r="A1706" s="9" t="s">
        <v>6032</v>
      </c>
      <c r="B1706" s="9" t="s">
        <v>356</v>
      </c>
      <c r="C1706" s="9" t="s">
        <v>1467</v>
      </c>
      <c r="D1706" s="9" t="s">
        <v>6033</v>
      </c>
      <c r="E1706" s="9" t="s">
        <v>1469</v>
      </c>
      <c r="F1706" s="9" t="s">
        <v>6034</v>
      </c>
    </row>
    <row r="1707">
      <c r="A1707" s="9" t="s">
        <v>6035</v>
      </c>
      <c r="B1707" s="9" t="s">
        <v>356</v>
      </c>
      <c r="C1707" s="9" t="s">
        <v>1467</v>
      </c>
      <c r="D1707" s="9" t="s">
        <v>6036</v>
      </c>
      <c r="E1707" s="9" t="s">
        <v>1469</v>
      </c>
      <c r="F1707" s="9" t="s">
        <v>6037</v>
      </c>
    </row>
    <row r="1708">
      <c r="A1708" s="9" t="s">
        <v>6038</v>
      </c>
      <c r="B1708" s="9" t="s">
        <v>259</v>
      </c>
      <c r="C1708" s="9" t="s">
        <v>1467</v>
      </c>
      <c r="D1708" s="9" t="s">
        <v>6039</v>
      </c>
      <c r="E1708" s="9" t="s">
        <v>1469</v>
      </c>
      <c r="F1708" s="9" t="s">
        <v>6040</v>
      </c>
    </row>
    <row r="1709">
      <c r="A1709" s="9" t="s">
        <v>6041</v>
      </c>
      <c r="B1709" s="9" t="s">
        <v>85</v>
      </c>
      <c r="C1709" s="9" t="s">
        <v>1467</v>
      </c>
      <c r="D1709" s="9" t="s">
        <v>6042</v>
      </c>
      <c r="E1709" s="9" t="s">
        <v>1469</v>
      </c>
      <c r="F1709" s="9" t="s">
        <v>6043</v>
      </c>
    </row>
    <row r="1710">
      <c r="A1710" s="9" t="s">
        <v>6044</v>
      </c>
      <c r="B1710" s="9" t="s">
        <v>161</v>
      </c>
      <c r="C1710" s="9" t="s">
        <v>1467</v>
      </c>
      <c r="D1710" s="9" t="s">
        <v>6045</v>
      </c>
      <c r="E1710" s="9" t="s">
        <v>1469</v>
      </c>
      <c r="F1710" s="9" t="s">
        <v>6046</v>
      </c>
    </row>
    <row r="1711">
      <c r="A1711" s="9" t="s">
        <v>6047</v>
      </c>
      <c r="B1711" s="9" t="s">
        <v>184</v>
      </c>
      <c r="C1711" s="9" t="s">
        <v>1467</v>
      </c>
      <c r="D1711" s="9" t="s">
        <v>6048</v>
      </c>
      <c r="E1711" s="9" t="s">
        <v>1469</v>
      </c>
      <c r="F1711" s="9" t="s">
        <v>6049</v>
      </c>
    </row>
    <row r="1712">
      <c r="A1712" s="9" t="s">
        <v>6050</v>
      </c>
      <c r="B1712" s="9" t="s">
        <v>366</v>
      </c>
      <c r="C1712" s="9" t="s">
        <v>1467</v>
      </c>
      <c r="D1712" s="9" t="s">
        <v>6051</v>
      </c>
      <c r="E1712" s="9" t="s">
        <v>1469</v>
      </c>
      <c r="F1712" s="9" t="s">
        <v>6052</v>
      </c>
    </row>
    <row r="1713">
      <c r="A1713" s="9" t="s">
        <v>6053</v>
      </c>
      <c r="B1713" s="9" t="s">
        <v>369</v>
      </c>
      <c r="C1713" s="9" t="s">
        <v>1467</v>
      </c>
      <c r="D1713" s="9" t="s">
        <v>6054</v>
      </c>
      <c r="E1713" s="9" t="s">
        <v>1469</v>
      </c>
      <c r="F1713" s="9" t="s">
        <v>6055</v>
      </c>
    </row>
    <row r="1714">
      <c r="A1714" s="9" t="s">
        <v>6056</v>
      </c>
      <c r="B1714" s="9" t="s">
        <v>346</v>
      </c>
      <c r="C1714" s="9" t="s">
        <v>1467</v>
      </c>
      <c r="D1714" s="9" t="s">
        <v>6058</v>
      </c>
      <c r="E1714" s="9" t="s">
        <v>1469</v>
      </c>
      <c r="F1714" s="9" t="s">
        <v>6060</v>
      </c>
    </row>
    <row r="1715">
      <c r="A1715" s="9" t="s">
        <v>6062</v>
      </c>
      <c r="B1715" s="9" t="s">
        <v>243</v>
      </c>
      <c r="C1715" s="9" t="s">
        <v>1467</v>
      </c>
      <c r="D1715" s="9" t="s">
        <v>6063</v>
      </c>
      <c r="E1715" s="9" t="s">
        <v>1469</v>
      </c>
      <c r="F1715" s="9" t="s">
        <v>6064</v>
      </c>
    </row>
    <row r="1716">
      <c r="A1716" s="9" t="s">
        <v>6065</v>
      </c>
      <c r="B1716" s="9" t="s">
        <v>369</v>
      </c>
      <c r="C1716" s="9" t="s">
        <v>1467</v>
      </c>
      <c r="D1716" s="9" t="s">
        <v>6066</v>
      </c>
      <c r="E1716" s="9" t="s">
        <v>1469</v>
      </c>
      <c r="F1716" s="9" t="s">
        <v>6067</v>
      </c>
    </row>
    <row r="1717">
      <c r="A1717" s="9" t="s">
        <v>6068</v>
      </c>
      <c r="B1717" s="9" t="s">
        <v>342</v>
      </c>
      <c r="C1717" s="9" t="s">
        <v>1467</v>
      </c>
      <c r="D1717" s="9" t="s">
        <v>6069</v>
      </c>
      <c r="E1717" s="9" t="s">
        <v>1469</v>
      </c>
      <c r="F1717" s="9" t="s">
        <v>6070</v>
      </c>
    </row>
    <row r="1718">
      <c r="A1718" s="9" t="s">
        <v>6071</v>
      </c>
      <c r="B1718" s="9" t="s">
        <v>394</v>
      </c>
      <c r="C1718" s="9" t="s">
        <v>1467</v>
      </c>
      <c r="D1718" s="9" t="s">
        <v>6072</v>
      </c>
      <c r="E1718" s="9" t="s">
        <v>1469</v>
      </c>
      <c r="F1718" s="9" t="s">
        <v>6073</v>
      </c>
    </row>
    <row r="1719">
      <c r="A1719" s="9" t="s">
        <v>6074</v>
      </c>
      <c r="B1719" s="9" t="s">
        <v>316</v>
      </c>
      <c r="C1719" s="9" t="s">
        <v>1467</v>
      </c>
      <c r="D1719" s="9" t="s">
        <v>6075</v>
      </c>
      <c r="E1719" s="9" t="s">
        <v>1469</v>
      </c>
      <c r="F1719" s="9" t="s">
        <v>6076</v>
      </c>
    </row>
    <row r="1720">
      <c r="A1720" s="9" t="s">
        <v>6077</v>
      </c>
      <c r="B1720" s="9" t="s">
        <v>243</v>
      </c>
      <c r="C1720" s="9" t="s">
        <v>1467</v>
      </c>
      <c r="D1720" s="9" t="s">
        <v>6078</v>
      </c>
      <c r="E1720" s="9" t="s">
        <v>1469</v>
      </c>
      <c r="F1720" s="9" t="s">
        <v>6079</v>
      </c>
    </row>
    <row r="1721">
      <c r="A1721" s="9" t="s">
        <v>6080</v>
      </c>
      <c r="B1721" s="9" t="s">
        <v>366</v>
      </c>
      <c r="C1721" s="9" t="s">
        <v>1467</v>
      </c>
      <c r="D1721" s="9" t="s">
        <v>6081</v>
      </c>
      <c r="E1721" s="9" t="s">
        <v>1469</v>
      </c>
      <c r="F1721" s="9" t="s">
        <v>6082</v>
      </c>
    </row>
    <row r="1722">
      <c r="A1722" s="9" t="s">
        <v>6083</v>
      </c>
      <c r="B1722" s="9" t="s">
        <v>301</v>
      </c>
      <c r="C1722" s="9" t="s">
        <v>1467</v>
      </c>
      <c r="D1722" s="9" t="s">
        <v>6084</v>
      </c>
      <c r="E1722" s="9" t="s">
        <v>1469</v>
      </c>
      <c r="F1722" s="9" t="s">
        <v>6085</v>
      </c>
    </row>
    <row r="1723">
      <c r="A1723" s="9" t="s">
        <v>6086</v>
      </c>
      <c r="B1723" s="9" t="s">
        <v>300</v>
      </c>
      <c r="C1723" s="9" t="s">
        <v>1467</v>
      </c>
      <c r="D1723" s="9" t="s">
        <v>6087</v>
      </c>
      <c r="E1723" s="9" t="s">
        <v>1469</v>
      </c>
      <c r="F1723" s="9" t="s">
        <v>6088</v>
      </c>
    </row>
    <row r="1724">
      <c r="A1724" s="9" t="s">
        <v>6089</v>
      </c>
      <c r="B1724" s="9" t="s">
        <v>393</v>
      </c>
      <c r="C1724" s="9" t="s">
        <v>1467</v>
      </c>
      <c r="D1724" s="9" t="s">
        <v>6090</v>
      </c>
      <c r="E1724" s="9" t="s">
        <v>1469</v>
      </c>
      <c r="F1724" s="9" t="s">
        <v>6091</v>
      </c>
    </row>
    <row r="1725">
      <c r="A1725" s="9" t="s">
        <v>6092</v>
      </c>
      <c r="B1725" s="9" t="s">
        <v>394</v>
      </c>
      <c r="C1725" s="9" t="s">
        <v>1467</v>
      </c>
      <c r="D1725" s="9" t="s">
        <v>6093</v>
      </c>
      <c r="E1725" s="9" t="s">
        <v>1469</v>
      </c>
      <c r="F1725" s="9" t="s">
        <v>6094</v>
      </c>
    </row>
    <row r="1726">
      <c r="A1726" s="9" t="s">
        <v>6095</v>
      </c>
      <c r="B1726" s="9" t="s">
        <v>200</v>
      </c>
      <c r="C1726" s="9" t="s">
        <v>1467</v>
      </c>
      <c r="D1726" s="9" t="s">
        <v>6096</v>
      </c>
      <c r="E1726" s="9" t="s">
        <v>1469</v>
      </c>
      <c r="F1726" s="9" t="s">
        <v>6097</v>
      </c>
    </row>
    <row r="1727">
      <c r="A1727" s="9" t="s">
        <v>6098</v>
      </c>
      <c r="B1727" s="9" t="s">
        <v>316</v>
      </c>
      <c r="C1727" s="9" t="s">
        <v>1467</v>
      </c>
      <c r="D1727" s="9" t="s">
        <v>6099</v>
      </c>
      <c r="E1727" s="9" t="s">
        <v>1469</v>
      </c>
      <c r="F1727" s="9" t="s">
        <v>6100</v>
      </c>
    </row>
    <row r="1728">
      <c r="A1728" s="9" t="s">
        <v>6101</v>
      </c>
      <c r="B1728" s="9" t="s">
        <v>373</v>
      </c>
      <c r="C1728" s="9" t="s">
        <v>1467</v>
      </c>
      <c r="D1728" s="9" t="s">
        <v>6102</v>
      </c>
      <c r="E1728" s="9" t="s">
        <v>1469</v>
      </c>
      <c r="F1728" s="9" t="s">
        <v>6103</v>
      </c>
    </row>
    <row r="1729">
      <c r="A1729" s="9" t="s">
        <v>6104</v>
      </c>
      <c r="B1729" s="9" t="s">
        <v>343</v>
      </c>
      <c r="C1729" s="9" t="s">
        <v>1467</v>
      </c>
      <c r="D1729" s="9" t="s">
        <v>6105</v>
      </c>
      <c r="E1729" s="9" t="s">
        <v>1469</v>
      </c>
      <c r="F1729" s="9" t="s">
        <v>6106</v>
      </c>
    </row>
    <row r="1730">
      <c r="A1730" s="9" t="s">
        <v>6107</v>
      </c>
      <c r="B1730" s="9" t="s">
        <v>257</v>
      </c>
      <c r="C1730" s="9" t="s">
        <v>1467</v>
      </c>
      <c r="D1730" s="9" t="s">
        <v>6108</v>
      </c>
      <c r="E1730" s="9" t="s">
        <v>1469</v>
      </c>
      <c r="F1730" s="9" t="s">
        <v>6109</v>
      </c>
    </row>
    <row r="1731">
      <c r="A1731" s="9" t="s">
        <v>6110</v>
      </c>
      <c r="B1731" s="9" t="s">
        <v>316</v>
      </c>
      <c r="C1731" s="9" t="s">
        <v>1467</v>
      </c>
      <c r="D1731" s="9" t="s">
        <v>6111</v>
      </c>
      <c r="E1731" s="9" t="s">
        <v>1469</v>
      </c>
      <c r="F1731" s="9" t="s">
        <v>6112</v>
      </c>
    </row>
    <row r="1732">
      <c r="A1732" s="9" t="s">
        <v>6113</v>
      </c>
      <c r="B1732" s="9" t="s">
        <v>301</v>
      </c>
      <c r="C1732" s="9" t="s">
        <v>1467</v>
      </c>
      <c r="D1732" s="9" t="s">
        <v>6114</v>
      </c>
      <c r="E1732" s="9" t="s">
        <v>1469</v>
      </c>
      <c r="F1732" s="9" t="s">
        <v>6115</v>
      </c>
    </row>
    <row r="1733">
      <c r="A1733" s="9" t="s">
        <v>6116</v>
      </c>
      <c r="B1733" s="9" t="s">
        <v>306</v>
      </c>
      <c r="C1733" s="9" t="s">
        <v>1467</v>
      </c>
      <c r="D1733" s="9" t="s">
        <v>6117</v>
      </c>
      <c r="E1733" s="9" t="s">
        <v>1469</v>
      </c>
      <c r="F1733" s="9" t="s">
        <v>6118</v>
      </c>
    </row>
    <row r="1734">
      <c r="A1734" s="9" t="s">
        <v>6119</v>
      </c>
      <c r="B1734" s="9" t="s">
        <v>355</v>
      </c>
      <c r="C1734" s="9" t="s">
        <v>1467</v>
      </c>
      <c r="D1734" s="9" t="s">
        <v>6120</v>
      </c>
      <c r="E1734" s="9" t="s">
        <v>1469</v>
      </c>
      <c r="F1734" s="9" t="s">
        <v>6121</v>
      </c>
    </row>
    <row r="1735">
      <c r="A1735" s="9" t="s">
        <v>6122</v>
      </c>
      <c r="B1735" s="9" t="s">
        <v>266</v>
      </c>
      <c r="C1735" s="9" t="s">
        <v>1467</v>
      </c>
      <c r="D1735" s="9" t="s">
        <v>6123</v>
      </c>
      <c r="E1735" s="9" t="s">
        <v>1469</v>
      </c>
      <c r="F1735" s="9" t="s">
        <v>6124</v>
      </c>
    </row>
    <row r="1736">
      <c r="A1736" s="9" t="s">
        <v>6125</v>
      </c>
      <c r="B1736" s="9" t="s">
        <v>414</v>
      </c>
      <c r="C1736" s="9" t="s">
        <v>1467</v>
      </c>
      <c r="D1736" s="9" t="s">
        <v>6126</v>
      </c>
      <c r="E1736" s="9" t="s">
        <v>1469</v>
      </c>
      <c r="F1736" s="9" t="s">
        <v>6127</v>
      </c>
    </row>
    <row r="1737">
      <c r="A1737" s="9" t="s">
        <v>6128</v>
      </c>
      <c r="B1737" s="9" t="s">
        <v>302</v>
      </c>
      <c r="C1737" s="9" t="s">
        <v>1467</v>
      </c>
      <c r="D1737" s="9" t="s">
        <v>6129</v>
      </c>
      <c r="E1737" s="9" t="s">
        <v>1469</v>
      </c>
      <c r="F1737" s="9" t="s">
        <v>6130</v>
      </c>
    </row>
    <row r="1738">
      <c r="A1738" s="9" t="s">
        <v>6131</v>
      </c>
      <c r="B1738" s="9" t="s">
        <v>161</v>
      </c>
      <c r="C1738" s="9" t="s">
        <v>1467</v>
      </c>
      <c r="D1738" s="9" t="s">
        <v>6132</v>
      </c>
      <c r="E1738" s="9" t="s">
        <v>1469</v>
      </c>
      <c r="F1738" s="9" t="s">
        <v>6133</v>
      </c>
    </row>
    <row r="1739">
      <c r="A1739" s="9" t="s">
        <v>6134</v>
      </c>
      <c r="B1739" s="9" t="s">
        <v>202</v>
      </c>
      <c r="C1739" s="9" t="s">
        <v>1467</v>
      </c>
      <c r="D1739" s="9" t="s">
        <v>6135</v>
      </c>
      <c r="E1739" s="9" t="s">
        <v>1469</v>
      </c>
      <c r="F1739" s="9" t="s">
        <v>6136</v>
      </c>
    </row>
    <row r="1740">
      <c r="A1740" s="9" t="s">
        <v>6137</v>
      </c>
      <c r="B1740" s="9" t="s">
        <v>215</v>
      </c>
      <c r="C1740" s="9" t="s">
        <v>1467</v>
      </c>
      <c r="D1740" s="9" t="s">
        <v>6138</v>
      </c>
      <c r="E1740" s="9" t="s">
        <v>1469</v>
      </c>
      <c r="F1740" s="9" t="s">
        <v>6139</v>
      </c>
    </row>
    <row r="1741">
      <c r="A1741" s="9" t="s">
        <v>6140</v>
      </c>
      <c r="B1741" s="9" t="s">
        <v>258</v>
      </c>
      <c r="C1741" s="9" t="s">
        <v>1467</v>
      </c>
      <c r="D1741" s="9" t="s">
        <v>6141</v>
      </c>
      <c r="E1741" s="9" t="s">
        <v>1469</v>
      </c>
      <c r="F1741" s="9" t="s">
        <v>6142</v>
      </c>
    </row>
    <row r="1742">
      <c r="A1742" s="9" t="s">
        <v>6143</v>
      </c>
      <c r="B1742" s="9" t="s">
        <v>379</v>
      </c>
      <c r="C1742" s="9" t="s">
        <v>1467</v>
      </c>
      <c r="D1742" s="9" t="s">
        <v>6144</v>
      </c>
      <c r="E1742" s="9" t="s">
        <v>1469</v>
      </c>
      <c r="F1742" s="9" t="s">
        <v>6147</v>
      </c>
    </row>
    <row r="1743">
      <c r="A1743" s="9" t="s">
        <v>6149</v>
      </c>
      <c r="B1743" s="9" t="s">
        <v>387</v>
      </c>
      <c r="C1743" s="9" t="s">
        <v>1467</v>
      </c>
      <c r="D1743" s="9" t="s">
        <v>6150</v>
      </c>
      <c r="E1743" s="9" t="s">
        <v>1469</v>
      </c>
      <c r="F1743" s="9" t="s">
        <v>6151</v>
      </c>
    </row>
    <row r="1744">
      <c r="A1744" s="9" t="s">
        <v>6152</v>
      </c>
      <c r="B1744" s="9" t="s">
        <v>397</v>
      </c>
      <c r="C1744" s="9" t="s">
        <v>1467</v>
      </c>
      <c r="D1744" s="9" t="s">
        <v>6153</v>
      </c>
      <c r="E1744" s="9" t="s">
        <v>1469</v>
      </c>
      <c r="F1744" s="9" t="s">
        <v>6154</v>
      </c>
    </row>
    <row r="1745">
      <c r="A1745" s="9" t="s">
        <v>6155</v>
      </c>
      <c r="B1745" s="9" t="s">
        <v>160</v>
      </c>
      <c r="C1745" s="9" t="s">
        <v>1467</v>
      </c>
      <c r="D1745" s="9" t="s">
        <v>6156</v>
      </c>
      <c r="E1745" s="9" t="s">
        <v>1469</v>
      </c>
      <c r="F1745" s="9" t="s">
        <v>6157</v>
      </c>
    </row>
    <row r="1746">
      <c r="A1746" s="9" t="s">
        <v>6158</v>
      </c>
      <c r="B1746" s="9" t="s">
        <v>139</v>
      </c>
      <c r="C1746" s="9" t="s">
        <v>1467</v>
      </c>
      <c r="D1746" s="9" t="s">
        <v>6159</v>
      </c>
      <c r="E1746" s="9" t="s">
        <v>1469</v>
      </c>
      <c r="F1746" s="9" t="s">
        <v>6160</v>
      </c>
    </row>
    <row r="1747">
      <c r="A1747" s="9" t="s">
        <v>6161</v>
      </c>
      <c r="B1747" s="9" t="s">
        <v>231</v>
      </c>
      <c r="C1747" s="9" t="s">
        <v>1467</v>
      </c>
      <c r="D1747" s="9" t="s">
        <v>6162</v>
      </c>
      <c r="E1747" s="9" t="s">
        <v>1469</v>
      </c>
      <c r="F1747" s="9" t="s">
        <v>6163</v>
      </c>
    </row>
    <row r="1748">
      <c r="A1748" s="9" t="s">
        <v>6164</v>
      </c>
      <c r="B1748" s="9" t="s">
        <v>379</v>
      </c>
      <c r="C1748" s="9" t="s">
        <v>1467</v>
      </c>
      <c r="D1748" s="9" t="s">
        <v>6165</v>
      </c>
      <c r="E1748" s="9" t="s">
        <v>1469</v>
      </c>
      <c r="F1748" s="9" t="s">
        <v>6166</v>
      </c>
    </row>
    <row r="1749">
      <c r="A1749" s="9" t="s">
        <v>6167</v>
      </c>
      <c r="B1749" s="9" t="s">
        <v>95</v>
      </c>
      <c r="C1749" s="9" t="s">
        <v>1467</v>
      </c>
      <c r="D1749" s="9" t="s">
        <v>6168</v>
      </c>
      <c r="E1749" s="9" t="s">
        <v>1469</v>
      </c>
      <c r="F1749" s="9" t="s">
        <v>6169</v>
      </c>
    </row>
    <row r="1750">
      <c r="A1750" s="9" t="s">
        <v>6170</v>
      </c>
      <c r="B1750" s="9" t="s">
        <v>164</v>
      </c>
      <c r="C1750" s="9" t="s">
        <v>1467</v>
      </c>
      <c r="D1750" s="9" t="s">
        <v>6171</v>
      </c>
      <c r="E1750" s="9" t="s">
        <v>1469</v>
      </c>
      <c r="F1750" s="9" t="s">
        <v>6172</v>
      </c>
    </row>
    <row r="1751">
      <c r="A1751" s="9" t="s">
        <v>6173</v>
      </c>
      <c r="B1751" s="9" t="s">
        <v>164</v>
      </c>
      <c r="C1751" s="9" t="s">
        <v>1467</v>
      </c>
      <c r="D1751" s="9" t="s">
        <v>6174</v>
      </c>
      <c r="E1751" s="9" t="s">
        <v>1469</v>
      </c>
      <c r="F1751" s="9" t="s">
        <v>6175</v>
      </c>
    </row>
    <row r="1752">
      <c r="A1752" s="9" t="s">
        <v>6176</v>
      </c>
      <c r="B1752" s="9" t="s">
        <v>55</v>
      </c>
      <c r="C1752" s="9" t="s">
        <v>1467</v>
      </c>
      <c r="D1752" s="9" t="s">
        <v>6177</v>
      </c>
      <c r="E1752" s="9" t="s">
        <v>1469</v>
      </c>
      <c r="F1752" s="9" t="s">
        <v>6178</v>
      </c>
    </row>
    <row r="1753">
      <c r="A1753" s="9" t="s">
        <v>6179</v>
      </c>
      <c r="B1753" s="9" t="s">
        <v>401</v>
      </c>
      <c r="C1753" s="9" t="s">
        <v>1467</v>
      </c>
      <c r="D1753" s="9" t="s">
        <v>6180</v>
      </c>
      <c r="E1753" s="9" t="s">
        <v>1469</v>
      </c>
      <c r="F1753" s="9" t="s">
        <v>6181</v>
      </c>
    </row>
    <row r="1754">
      <c r="A1754" s="9" t="s">
        <v>6182</v>
      </c>
      <c r="B1754" s="9" t="s">
        <v>173</v>
      </c>
      <c r="C1754" s="9" t="s">
        <v>1467</v>
      </c>
      <c r="D1754" s="9" t="s">
        <v>6183</v>
      </c>
      <c r="E1754" s="9" t="s">
        <v>1469</v>
      </c>
      <c r="F1754" s="9" t="s">
        <v>6184</v>
      </c>
    </row>
    <row r="1755">
      <c r="A1755" s="9" t="s">
        <v>6185</v>
      </c>
      <c r="B1755" s="9" t="s">
        <v>227</v>
      </c>
      <c r="C1755" s="9" t="s">
        <v>1467</v>
      </c>
      <c r="D1755" s="9" t="s">
        <v>6186</v>
      </c>
      <c r="E1755" s="9" t="s">
        <v>1469</v>
      </c>
      <c r="F1755" s="9" t="s">
        <v>6187</v>
      </c>
    </row>
    <row r="1756">
      <c r="A1756" s="9" t="s">
        <v>6188</v>
      </c>
      <c r="B1756" s="9" t="s">
        <v>348</v>
      </c>
      <c r="C1756" s="9" t="s">
        <v>1467</v>
      </c>
      <c r="D1756" s="9" t="s">
        <v>6189</v>
      </c>
      <c r="E1756" s="9" t="s">
        <v>1469</v>
      </c>
      <c r="F1756" s="9" t="s">
        <v>6190</v>
      </c>
    </row>
    <row r="1757">
      <c r="A1757" s="9" t="s">
        <v>6191</v>
      </c>
      <c r="B1757" s="9" t="s">
        <v>324</v>
      </c>
      <c r="C1757" s="9" t="s">
        <v>1467</v>
      </c>
      <c r="D1757" s="9" t="s">
        <v>6192</v>
      </c>
      <c r="E1757" s="9" t="s">
        <v>1469</v>
      </c>
      <c r="F1757" s="9" t="s">
        <v>6193</v>
      </c>
    </row>
    <row r="1758">
      <c r="A1758" s="9" t="s">
        <v>6194</v>
      </c>
      <c r="B1758" s="9" t="s">
        <v>238</v>
      </c>
      <c r="C1758" s="9" t="s">
        <v>1467</v>
      </c>
      <c r="D1758" s="9" t="s">
        <v>6195</v>
      </c>
      <c r="E1758" s="9" t="s">
        <v>1469</v>
      </c>
      <c r="F1758" s="9" t="s">
        <v>6196</v>
      </c>
    </row>
    <row r="1759">
      <c r="A1759" s="9" t="s">
        <v>6197</v>
      </c>
      <c r="B1759" s="9" t="s">
        <v>227</v>
      </c>
      <c r="C1759" s="9" t="s">
        <v>1467</v>
      </c>
      <c r="D1759" s="9" t="s">
        <v>6198</v>
      </c>
      <c r="E1759" s="9" t="s">
        <v>1469</v>
      </c>
      <c r="F1759" s="9" t="s">
        <v>6199</v>
      </c>
    </row>
    <row r="1760">
      <c r="A1760" s="9" t="s">
        <v>6200</v>
      </c>
      <c r="B1760" s="9" t="s">
        <v>331</v>
      </c>
      <c r="C1760" s="9" t="s">
        <v>1467</v>
      </c>
      <c r="D1760" s="9" t="s">
        <v>6201</v>
      </c>
      <c r="E1760" s="9" t="s">
        <v>1469</v>
      </c>
      <c r="F1760" s="9" t="s">
        <v>6202</v>
      </c>
    </row>
    <row r="1761">
      <c r="A1761" s="9" t="s">
        <v>6203</v>
      </c>
      <c r="B1761" s="9" t="s">
        <v>359</v>
      </c>
      <c r="C1761" s="9" t="s">
        <v>1467</v>
      </c>
      <c r="D1761" s="9" t="s">
        <v>6204</v>
      </c>
      <c r="E1761" s="9" t="s">
        <v>1469</v>
      </c>
      <c r="F1761" s="9" t="s">
        <v>6205</v>
      </c>
    </row>
    <row r="1762">
      <c r="A1762" s="9" t="s">
        <v>6206</v>
      </c>
      <c r="B1762" s="9" t="s">
        <v>191</v>
      </c>
      <c r="C1762" s="9" t="s">
        <v>1467</v>
      </c>
      <c r="D1762" s="9" t="s">
        <v>6207</v>
      </c>
      <c r="E1762" s="9" t="s">
        <v>1469</v>
      </c>
      <c r="F1762" s="9" t="s">
        <v>6208</v>
      </c>
    </row>
    <row r="1763">
      <c r="A1763" s="9" t="s">
        <v>6209</v>
      </c>
      <c r="B1763" s="9" t="s">
        <v>376</v>
      </c>
      <c r="C1763" s="9" t="s">
        <v>1467</v>
      </c>
      <c r="D1763" s="9" t="s">
        <v>6210</v>
      </c>
      <c r="E1763" s="9" t="s">
        <v>1469</v>
      </c>
      <c r="F1763" s="9" t="s">
        <v>6211</v>
      </c>
    </row>
    <row r="1764">
      <c r="A1764" s="9" t="s">
        <v>6212</v>
      </c>
      <c r="B1764" s="9" t="s">
        <v>93</v>
      </c>
      <c r="C1764" s="9" t="s">
        <v>1467</v>
      </c>
      <c r="D1764" s="9" t="s">
        <v>6213</v>
      </c>
      <c r="E1764" s="9" t="s">
        <v>1469</v>
      </c>
      <c r="F1764" s="9" t="s">
        <v>6214</v>
      </c>
    </row>
    <row r="1765">
      <c r="A1765" s="9" t="s">
        <v>6215</v>
      </c>
      <c r="B1765" s="9" t="s">
        <v>246</v>
      </c>
      <c r="C1765" s="9" t="s">
        <v>1467</v>
      </c>
      <c r="D1765" s="9" t="s">
        <v>6216</v>
      </c>
      <c r="E1765" s="9" t="s">
        <v>1469</v>
      </c>
      <c r="F1765" s="9" t="s">
        <v>6217</v>
      </c>
    </row>
    <row r="1766">
      <c r="A1766" s="9" t="s">
        <v>6218</v>
      </c>
      <c r="B1766" s="9" t="s">
        <v>83</v>
      </c>
      <c r="C1766" s="9" t="s">
        <v>1467</v>
      </c>
      <c r="D1766" s="9" t="s">
        <v>6219</v>
      </c>
      <c r="E1766" s="9" t="s">
        <v>1469</v>
      </c>
      <c r="F1766" s="9" t="s">
        <v>6220</v>
      </c>
    </row>
    <row r="1767">
      <c r="A1767" s="9" t="s">
        <v>6221</v>
      </c>
      <c r="B1767" s="9" t="s">
        <v>246</v>
      </c>
      <c r="C1767" s="9" t="s">
        <v>1467</v>
      </c>
      <c r="D1767" s="9" t="s">
        <v>6222</v>
      </c>
      <c r="E1767" s="9" t="s">
        <v>1469</v>
      </c>
      <c r="F1767" s="9" t="s">
        <v>6223</v>
      </c>
    </row>
    <row r="1768">
      <c r="A1768" s="9" t="s">
        <v>6224</v>
      </c>
      <c r="B1768" s="9" t="s">
        <v>74</v>
      </c>
      <c r="C1768" s="9" t="s">
        <v>1467</v>
      </c>
      <c r="D1768" s="9" t="s">
        <v>6225</v>
      </c>
      <c r="E1768" s="9" t="s">
        <v>1469</v>
      </c>
      <c r="F1768" s="9" t="s">
        <v>6226</v>
      </c>
    </row>
    <row r="1769">
      <c r="A1769" s="9" t="s">
        <v>6227</v>
      </c>
      <c r="B1769" s="9" t="s">
        <v>332</v>
      </c>
      <c r="C1769" s="9" t="s">
        <v>1467</v>
      </c>
      <c r="D1769" s="9" t="s">
        <v>6228</v>
      </c>
      <c r="E1769" s="9" t="s">
        <v>1469</v>
      </c>
      <c r="F1769" s="9" t="s">
        <v>6229</v>
      </c>
    </row>
    <row r="1770">
      <c r="A1770" s="9" t="s">
        <v>6230</v>
      </c>
      <c r="B1770" s="9" t="s">
        <v>227</v>
      </c>
      <c r="C1770" s="9" t="s">
        <v>1467</v>
      </c>
      <c r="D1770" s="9" t="s">
        <v>6231</v>
      </c>
      <c r="E1770" s="9" t="s">
        <v>1469</v>
      </c>
      <c r="F1770" s="9" t="s">
        <v>6232</v>
      </c>
    </row>
    <row r="1771">
      <c r="A1771" s="9" t="s">
        <v>6233</v>
      </c>
      <c r="B1771" s="9" t="s">
        <v>246</v>
      </c>
      <c r="C1771" s="9" t="s">
        <v>1467</v>
      </c>
      <c r="D1771" s="9" t="s">
        <v>6234</v>
      </c>
      <c r="E1771" s="9" t="s">
        <v>1469</v>
      </c>
      <c r="F1771" s="9" t="s">
        <v>6235</v>
      </c>
    </row>
    <row r="1772">
      <c r="A1772" s="9" t="s">
        <v>6236</v>
      </c>
      <c r="B1772" s="9" t="s">
        <v>335</v>
      </c>
      <c r="C1772" s="9" t="s">
        <v>1467</v>
      </c>
      <c r="D1772" s="9" t="s">
        <v>6237</v>
      </c>
      <c r="E1772" s="9" t="s">
        <v>1469</v>
      </c>
      <c r="F1772" s="9" t="s">
        <v>6238</v>
      </c>
    </row>
    <row r="1773">
      <c r="A1773" s="9" t="s">
        <v>6239</v>
      </c>
      <c r="B1773" s="9" t="s">
        <v>298</v>
      </c>
      <c r="C1773" s="9" t="s">
        <v>1467</v>
      </c>
      <c r="D1773" s="9" t="s">
        <v>6240</v>
      </c>
      <c r="E1773" s="9" t="s">
        <v>1469</v>
      </c>
      <c r="F1773" s="9" t="s">
        <v>6241</v>
      </c>
    </row>
    <row r="1774">
      <c r="A1774" s="9" t="s">
        <v>6242</v>
      </c>
      <c r="B1774" s="9" t="s">
        <v>298</v>
      </c>
      <c r="C1774" s="9" t="s">
        <v>1467</v>
      </c>
      <c r="D1774" s="9" t="s">
        <v>6243</v>
      </c>
      <c r="E1774" s="9" t="s">
        <v>1469</v>
      </c>
      <c r="F1774" s="9" t="s">
        <v>6244</v>
      </c>
    </row>
    <row r="1775">
      <c r="A1775" s="9" t="s">
        <v>6245</v>
      </c>
      <c r="B1775" s="9" t="s">
        <v>150</v>
      </c>
      <c r="C1775" s="9" t="s">
        <v>1467</v>
      </c>
      <c r="D1775" s="9" t="s">
        <v>6246</v>
      </c>
      <c r="E1775" s="9" t="s">
        <v>1469</v>
      </c>
      <c r="F1775" s="9" t="s">
        <v>6247</v>
      </c>
    </row>
    <row r="1776">
      <c r="A1776" s="9" t="s">
        <v>6248</v>
      </c>
      <c r="B1776" s="9" t="s">
        <v>137</v>
      </c>
      <c r="C1776" s="9" t="s">
        <v>1467</v>
      </c>
      <c r="D1776" s="9" t="s">
        <v>6249</v>
      </c>
      <c r="E1776" s="9" t="s">
        <v>1469</v>
      </c>
      <c r="F1776" s="9" t="s">
        <v>6250</v>
      </c>
    </row>
    <row r="1777">
      <c r="A1777" s="9" t="s">
        <v>6251</v>
      </c>
      <c r="B1777" s="9" t="s">
        <v>394</v>
      </c>
      <c r="C1777" s="9" t="s">
        <v>1467</v>
      </c>
      <c r="D1777" s="9" t="s">
        <v>6252</v>
      </c>
      <c r="E1777" s="9" t="s">
        <v>1469</v>
      </c>
      <c r="F1777" s="9" t="s">
        <v>6253</v>
      </c>
    </row>
    <row r="1778">
      <c r="A1778" s="9" t="s">
        <v>6254</v>
      </c>
      <c r="B1778" s="9" t="s">
        <v>154</v>
      </c>
      <c r="C1778" s="9" t="s">
        <v>1467</v>
      </c>
      <c r="D1778" s="9" t="s">
        <v>6255</v>
      </c>
      <c r="E1778" s="9" t="s">
        <v>1469</v>
      </c>
      <c r="F1778" s="9" t="s">
        <v>6256</v>
      </c>
    </row>
    <row r="1779">
      <c r="A1779" s="9" t="s">
        <v>6257</v>
      </c>
      <c r="B1779" s="9" t="s">
        <v>402</v>
      </c>
      <c r="C1779" s="9" t="s">
        <v>1467</v>
      </c>
      <c r="D1779" s="9" t="s">
        <v>6258</v>
      </c>
      <c r="E1779" s="9" t="s">
        <v>1469</v>
      </c>
      <c r="F1779" s="9" t="s">
        <v>6259</v>
      </c>
    </row>
    <row r="1780">
      <c r="A1780" s="9" t="s">
        <v>6260</v>
      </c>
      <c r="B1780" s="9" t="s">
        <v>143</v>
      </c>
      <c r="C1780" s="9" t="s">
        <v>1467</v>
      </c>
      <c r="D1780" s="9" t="s">
        <v>6261</v>
      </c>
      <c r="E1780" s="9" t="s">
        <v>1469</v>
      </c>
      <c r="F1780" s="9" t="s">
        <v>6262</v>
      </c>
    </row>
    <row r="1781">
      <c r="A1781" s="9" t="s">
        <v>6263</v>
      </c>
      <c r="B1781" s="9" t="s">
        <v>402</v>
      </c>
      <c r="C1781" s="9" t="s">
        <v>1467</v>
      </c>
      <c r="D1781" s="9" t="s">
        <v>6264</v>
      </c>
      <c r="E1781" s="9" t="s">
        <v>1469</v>
      </c>
      <c r="F1781" s="9" t="s">
        <v>6265</v>
      </c>
    </row>
    <row r="1782">
      <c r="A1782" s="9" t="s">
        <v>6266</v>
      </c>
      <c r="B1782" s="9" t="s">
        <v>421</v>
      </c>
      <c r="C1782" s="9" t="s">
        <v>1467</v>
      </c>
      <c r="D1782" s="9" t="s">
        <v>6267</v>
      </c>
      <c r="E1782" s="9" t="s">
        <v>1469</v>
      </c>
      <c r="F1782" s="9" t="s">
        <v>6268</v>
      </c>
    </row>
    <row r="1783">
      <c r="A1783" s="9" t="s">
        <v>6269</v>
      </c>
      <c r="B1783" s="9" t="s">
        <v>401</v>
      </c>
      <c r="C1783" s="9" t="s">
        <v>1467</v>
      </c>
      <c r="D1783" s="9" t="s">
        <v>6270</v>
      </c>
      <c r="E1783" s="9" t="s">
        <v>1469</v>
      </c>
      <c r="F1783" s="9" t="s">
        <v>6271</v>
      </c>
    </row>
    <row r="1784">
      <c r="A1784" s="9" t="s">
        <v>6272</v>
      </c>
      <c r="B1784" s="9" t="s">
        <v>137</v>
      </c>
      <c r="C1784" s="9" t="s">
        <v>1467</v>
      </c>
      <c r="D1784" s="9" t="s">
        <v>6273</v>
      </c>
      <c r="E1784" s="9" t="s">
        <v>1469</v>
      </c>
      <c r="F1784" s="9" t="s">
        <v>6274</v>
      </c>
    </row>
    <row r="1785">
      <c r="A1785" s="9" t="s">
        <v>6275</v>
      </c>
      <c r="B1785" s="9" t="s">
        <v>181</v>
      </c>
      <c r="C1785" s="9" t="s">
        <v>1467</v>
      </c>
      <c r="D1785" s="9" t="s">
        <v>6276</v>
      </c>
      <c r="E1785" s="9" t="s">
        <v>1469</v>
      </c>
      <c r="F1785" s="9" t="s">
        <v>6277</v>
      </c>
    </row>
    <row r="1786">
      <c r="A1786" s="9" t="s">
        <v>6278</v>
      </c>
      <c r="B1786" s="9" t="s">
        <v>278</v>
      </c>
      <c r="C1786" s="9" t="s">
        <v>1467</v>
      </c>
      <c r="D1786" s="9" t="s">
        <v>6279</v>
      </c>
      <c r="E1786" s="9" t="s">
        <v>1469</v>
      </c>
      <c r="F1786" s="9" t="s">
        <v>6280</v>
      </c>
    </row>
    <row r="1787">
      <c r="A1787" s="9" t="s">
        <v>6281</v>
      </c>
      <c r="B1787" s="9" t="s">
        <v>389</v>
      </c>
      <c r="C1787" s="9" t="s">
        <v>1467</v>
      </c>
      <c r="D1787" s="9" t="s">
        <v>6282</v>
      </c>
      <c r="E1787" s="9" t="s">
        <v>1469</v>
      </c>
      <c r="F1787" s="9" t="s">
        <v>6283</v>
      </c>
    </row>
    <row r="1788">
      <c r="A1788" s="9" t="s">
        <v>6284</v>
      </c>
      <c r="B1788" s="9" t="s">
        <v>397</v>
      </c>
      <c r="C1788" s="9" t="s">
        <v>1467</v>
      </c>
      <c r="D1788" s="9" t="s">
        <v>6285</v>
      </c>
      <c r="E1788" s="9" t="s">
        <v>1469</v>
      </c>
      <c r="F1788" s="9" t="s">
        <v>6286</v>
      </c>
    </row>
    <row r="1789">
      <c r="A1789" s="9" t="s">
        <v>6287</v>
      </c>
      <c r="B1789" s="9" t="s">
        <v>150</v>
      </c>
      <c r="C1789" s="9" t="s">
        <v>1467</v>
      </c>
      <c r="D1789" s="9" t="s">
        <v>6288</v>
      </c>
      <c r="E1789" s="9" t="s">
        <v>1469</v>
      </c>
      <c r="F1789" s="9" t="s">
        <v>6289</v>
      </c>
    </row>
    <row r="1790">
      <c r="A1790" s="9" t="s">
        <v>6290</v>
      </c>
      <c r="B1790" s="9" t="s">
        <v>200</v>
      </c>
      <c r="C1790" s="9" t="s">
        <v>1467</v>
      </c>
      <c r="D1790" s="9" t="s">
        <v>6291</v>
      </c>
      <c r="E1790" s="9" t="s">
        <v>1469</v>
      </c>
      <c r="F1790" s="9" t="s">
        <v>6292</v>
      </c>
    </row>
    <row r="1791">
      <c r="A1791" s="9" t="s">
        <v>6293</v>
      </c>
      <c r="B1791" s="9" t="s">
        <v>402</v>
      </c>
      <c r="C1791" s="9" t="s">
        <v>1467</v>
      </c>
      <c r="D1791" s="9" t="s">
        <v>6294</v>
      </c>
      <c r="E1791" s="9" t="s">
        <v>1469</v>
      </c>
      <c r="F1791" s="9" t="s">
        <v>6295</v>
      </c>
    </row>
    <row r="1792">
      <c r="A1792" s="9" t="s">
        <v>6296</v>
      </c>
      <c r="B1792" s="9" t="s">
        <v>371</v>
      </c>
      <c r="C1792" s="9" t="s">
        <v>1467</v>
      </c>
      <c r="D1792" s="9" t="s">
        <v>6297</v>
      </c>
      <c r="E1792" s="9" t="s">
        <v>1469</v>
      </c>
      <c r="F1792" s="9" t="s">
        <v>6298</v>
      </c>
    </row>
    <row r="1793">
      <c r="A1793" s="9" t="s">
        <v>6299</v>
      </c>
      <c r="B1793" s="9" t="s">
        <v>181</v>
      </c>
      <c r="C1793" s="9" t="s">
        <v>1467</v>
      </c>
      <c r="D1793" s="9" t="s">
        <v>6300</v>
      </c>
      <c r="E1793" s="9" t="s">
        <v>1469</v>
      </c>
      <c r="F1793" s="9" t="s">
        <v>6301</v>
      </c>
    </row>
    <row r="1794">
      <c r="A1794" s="9" t="s">
        <v>6302</v>
      </c>
      <c r="B1794" s="9" t="s">
        <v>336</v>
      </c>
      <c r="C1794" s="9" t="s">
        <v>1467</v>
      </c>
      <c r="D1794" s="9" t="s">
        <v>6303</v>
      </c>
      <c r="E1794" s="9" t="s">
        <v>1469</v>
      </c>
      <c r="F1794" s="9" t="s">
        <v>6304</v>
      </c>
    </row>
    <row r="1795">
      <c r="A1795" s="9" t="s">
        <v>6306</v>
      </c>
      <c r="B1795" s="9" t="s">
        <v>371</v>
      </c>
      <c r="C1795" s="9" t="s">
        <v>1467</v>
      </c>
      <c r="D1795" s="9" t="s">
        <v>6308</v>
      </c>
      <c r="E1795" s="9" t="s">
        <v>1469</v>
      </c>
      <c r="F1795" s="9" t="s">
        <v>6310</v>
      </c>
    </row>
    <row r="1796">
      <c r="A1796" s="9" t="s">
        <v>6311</v>
      </c>
      <c r="B1796" s="9" t="s">
        <v>349</v>
      </c>
      <c r="C1796" s="9" t="s">
        <v>1467</v>
      </c>
      <c r="D1796" s="9" t="s">
        <v>6312</v>
      </c>
      <c r="E1796" s="9" t="s">
        <v>1469</v>
      </c>
      <c r="F1796" s="9" t="s">
        <v>6313</v>
      </c>
    </row>
    <row r="1797">
      <c r="A1797" s="9" t="s">
        <v>6314</v>
      </c>
      <c r="B1797" s="9" t="s">
        <v>237</v>
      </c>
      <c r="C1797" s="9" t="s">
        <v>1467</v>
      </c>
      <c r="D1797" s="9" t="s">
        <v>6315</v>
      </c>
      <c r="E1797" s="9" t="s">
        <v>1469</v>
      </c>
      <c r="F1797" s="9" t="s">
        <v>6316</v>
      </c>
    </row>
    <row r="1798">
      <c r="A1798" s="9" t="s">
        <v>6317</v>
      </c>
      <c r="B1798" s="9" t="s">
        <v>150</v>
      </c>
      <c r="C1798" s="9" t="s">
        <v>1467</v>
      </c>
      <c r="D1798" s="9" t="s">
        <v>6318</v>
      </c>
      <c r="E1798" s="9" t="s">
        <v>1469</v>
      </c>
      <c r="F1798" s="9" t="s">
        <v>6319</v>
      </c>
    </row>
    <row r="1799">
      <c r="A1799" s="9" t="s">
        <v>6320</v>
      </c>
      <c r="B1799" s="9" t="s">
        <v>269</v>
      </c>
      <c r="C1799" s="9" t="s">
        <v>1467</v>
      </c>
      <c r="D1799" s="9" t="s">
        <v>6321</v>
      </c>
      <c r="E1799" s="9" t="s">
        <v>1469</v>
      </c>
      <c r="F1799" s="9" t="s">
        <v>6322</v>
      </c>
    </row>
    <row r="1800">
      <c r="A1800" s="9" t="s">
        <v>6323</v>
      </c>
      <c r="B1800" s="9" t="s">
        <v>356</v>
      </c>
      <c r="C1800" s="9" t="s">
        <v>1467</v>
      </c>
      <c r="D1800" s="9" t="s">
        <v>6324</v>
      </c>
      <c r="E1800" s="9" t="s">
        <v>1469</v>
      </c>
      <c r="F1800" s="9" t="s">
        <v>6325</v>
      </c>
    </row>
    <row r="1801">
      <c r="A1801" s="9" t="s">
        <v>6326</v>
      </c>
      <c r="B1801" s="9" t="s">
        <v>81</v>
      </c>
      <c r="C1801" s="9" t="s">
        <v>1467</v>
      </c>
      <c r="D1801" s="9" t="s">
        <v>6327</v>
      </c>
      <c r="E1801" s="9" t="s">
        <v>1469</v>
      </c>
      <c r="F1801" s="9" t="s">
        <v>6328</v>
      </c>
    </row>
    <row r="1802">
      <c r="A1802" s="9" t="s">
        <v>6329</v>
      </c>
      <c r="B1802" s="9" t="s">
        <v>346</v>
      </c>
      <c r="C1802" s="9" t="s">
        <v>1467</v>
      </c>
      <c r="D1802" s="9" t="s">
        <v>6330</v>
      </c>
      <c r="E1802" s="9" t="s">
        <v>1469</v>
      </c>
      <c r="F1802" s="9" t="s">
        <v>6331</v>
      </c>
    </row>
    <row r="1803">
      <c r="A1803" s="9" t="s">
        <v>6332</v>
      </c>
      <c r="B1803" s="9" t="s">
        <v>389</v>
      </c>
      <c r="C1803" s="9" t="s">
        <v>1467</v>
      </c>
      <c r="D1803" s="9" t="s">
        <v>6333</v>
      </c>
      <c r="E1803" s="9" t="s">
        <v>1469</v>
      </c>
      <c r="F1803" s="9" t="s">
        <v>6334</v>
      </c>
    </row>
    <row r="1804">
      <c r="A1804" s="9" t="s">
        <v>6335</v>
      </c>
      <c r="B1804" s="9" t="s">
        <v>413</v>
      </c>
      <c r="C1804" s="9" t="s">
        <v>1467</v>
      </c>
      <c r="D1804" s="9" t="s">
        <v>6336</v>
      </c>
      <c r="E1804" s="9" t="s">
        <v>1469</v>
      </c>
      <c r="F1804" s="9" t="s">
        <v>6337</v>
      </c>
    </row>
    <row r="1805">
      <c r="A1805" s="9" t="s">
        <v>6338</v>
      </c>
      <c r="B1805" s="9" t="s">
        <v>280</v>
      </c>
      <c r="C1805" s="9" t="s">
        <v>1467</v>
      </c>
      <c r="D1805" s="9" t="s">
        <v>6339</v>
      </c>
      <c r="E1805" s="9" t="s">
        <v>1469</v>
      </c>
      <c r="F1805" s="9" t="s">
        <v>6340</v>
      </c>
    </row>
    <row r="1806">
      <c r="A1806" s="9" t="s">
        <v>6341</v>
      </c>
      <c r="B1806" s="9" t="s">
        <v>280</v>
      </c>
      <c r="C1806" s="9" t="s">
        <v>1467</v>
      </c>
      <c r="D1806" s="9" t="s">
        <v>6342</v>
      </c>
      <c r="E1806" s="9" t="s">
        <v>1469</v>
      </c>
      <c r="F1806" s="9" t="s">
        <v>6343</v>
      </c>
    </row>
    <row r="1807">
      <c r="A1807" s="9" t="s">
        <v>6344</v>
      </c>
      <c r="B1807" s="9" t="s">
        <v>348</v>
      </c>
      <c r="C1807" s="9" t="s">
        <v>1467</v>
      </c>
      <c r="D1807" s="9" t="s">
        <v>6345</v>
      </c>
      <c r="E1807" s="9" t="s">
        <v>1469</v>
      </c>
      <c r="F1807" s="9" t="s">
        <v>6346</v>
      </c>
    </row>
    <row r="1808">
      <c r="A1808" s="9" t="s">
        <v>6347</v>
      </c>
      <c r="B1808" s="9" t="s">
        <v>266</v>
      </c>
      <c r="C1808" s="9" t="s">
        <v>1467</v>
      </c>
      <c r="D1808" s="9" t="s">
        <v>6348</v>
      </c>
      <c r="E1808" s="9" t="s">
        <v>1469</v>
      </c>
      <c r="F1808" s="9" t="s">
        <v>6349</v>
      </c>
    </row>
    <row r="1809">
      <c r="A1809" s="9" t="s">
        <v>6350</v>
      </c>
      <c r="B1809" s="9" t="s">
        <v>413</v>
      </c>
      <c r="C1809" s="9" t="s">
        <v>1467</v>
      </c>
      <c r="D1809" s="9" t="s">
        <v>6351</v>
      </c>
      <c r="E1809" s="9" t="s">
        <v>1469</v>
      </c>
      <c r="F1809" s="9" t="s">
        <v>6352</v>
      </c>
    </row>
    <row r="1810">
      <c r="A1810" s="9" t="s">
        <v>6353</v>
      </c>
      <c r="B1810" s="9" t="s">
        <v>374</v>
      </c>
      <c r="C1810" s="9" t="s">
        <v>1467</v>
      </c>
      <c r="D1810" s="9" t="s">
        <v>6354</v>
      </c>
      <c r="E1810" s="9" t="s">
        <v>1469</v>
      </c>
      <c r="F1810" s="9" t="s">
        <v>6355</v>
      </c>
    </row>
    <row r="1811">
      <c r="A1811" s="9" t="s">
        <v>6356</v>
      </c>
      <c r="B1811" s="9" t="s">
        <v>323</v>
      </c>
      <c r="C1811" s="9" t="s">
        <v>1467</v>
      </c>
      <c r="D1811" s="9" t="s">
        <v>6357</v>
      </c>
      <c r="E1811" s="9" t="s">
        <v>1469</v>
      </c>
      <c r="F1811" s="9" t="s">
        <v>6358</v>
      </c>
    </row>
    <row r="1812">
      <c r="A1812" s="9" t="s">
        <v>6359</v>
      </c>
      <c r="B1812" s="9" t="s">
        <v>396</v>
      </c>
      <c r="C1812" s="9" t="s">
        <v>1467</v>
      </c>
      <c r="D1812" s="9" t="s">
        <v>6360</v>
      </c>
      <c r="E1812" s="9" t="s">
        <v>1469</v>
      </c>
      <c r="F1812" s="9" t="s">
        <v>6361</v>
      </c>
    </row>
    <row r="1813">
      <c r="A1813" s="9" t="s">
        <v>6362</v>
      </c>
      <c r="B1813" s="9" t="s">
        <v>413</v>
      </c>
      <c r="C1813" s="9" t="s">
        <v>1467</v>
      </c>
      <c r="D1813" s="9" t="s">
        <v>6363</v>
      </c>
      <c r="E1813" s="9" t="s">
        <v>1469</v>
      </c>
      <c r="F1813" s="9" t="s">
        <v>6364</v>
      </c>
    </row>
    <row r="1814">
      <c r="A1814" s="9" t="s">
        <v>6365</v>
      </c>
      <c r="B1814" s="9" t="s">
        <v>396</v>
      </c>
      <c r="C1814" s="9" t="s">
        <v>1467</v>
      </c>
      <c r="D1814" s="9" t="s">
        <v>6366</v>
      </c>
      <c r="E1814" s="9" t="s">
        <v>1469</v>
      </c>
      <c r="F1814" s="9" t="s">
        <v>6367</v>
      </c>
    </row>
    <row r="1815">
      <c r="A1815" s="9" t="s">
        <v>6368</v>
      </c>
      <c r="B1815" s="9" t="s">
        <v>141</v>
      </c>
      <c r="C1815" s="9" t="s">
        <v>1467</v>
      </c>
      <c r="D1815" s="9" t="s">
        <v>6369</v>
      </c>
      <c r="E1815" s="9" t="s">
        <v>1469</v>
      </c>
      <c r="F1815" s="9" t="s">
        <v>6370</v>
      </c>
    </row>
    <row r="1816">
      <c r="A1816" s="9" t="s">
        <v>6371</v>
      </c>
      <c r="B1816" s="9" t="s">
        <v>141</v>
      </c>
      <c r="C1816" s="9" t="s">
        <v>1467</v>
      </c>
      <c r="D1816" s="9" t="s">
        <v>6372</v>
      </c>
      <c r="E1816" s="9" t="s">
        <v>1469</v>
      </c>
      <c r="F1816" s="9" t="s">
        <v>6373</v>
      </c>
    </row>
    <row r="1817">
      <c r="A1817" s="9" t="s">
        <v>6374</v>
      </c>
      <c r="B1817" s="9" t="s">
        <v>401</v>
      </c>
      <c r="C1817" s="9" t="s">
        <v>1467</v>
      </c>
      <c r="D1817" s="9" t="s">
        <v>6375</v>
      </c>
      <c r="E1817" s="9" t="s">
        <v>1469</v>
      </c>
      <c r="F1817" s="9" t="s">
        <v>6376</v>
      </c>
    </row>
    <row r="1818">
      <c r="A1818" s="9" t="s">
        <v>6377</v>
      </c>
      <c r="B1818" s="9" t="s">
        <v>417</v>
      </c>
      <c r="C1818" s="9" t="s">
        <v>1467</v>
      </c>
      <c r="D1818" s="9" t="s">
        <v>6378</v>
      </c>
      <c r="E1818" s="9" t="s">
        <v>1469</v>
      </c>
      <c r="F1818" s="9" t="s">
        <v>6379</v>
      </c>
    </row>
    <row r="1819">
      <c r="A1819" s="9" t="s">
        <v>6380</v>
      </c>
      <c r="B1819" s="9" t="s">
        <v>417</v>
      </c>
      <c r="C1819" s="9" t="s">
        <v>1467</v>
      </c>
      <c r="D1819" s="9" t="s">
        <v>6381</v>
      </c>
      <c r="E1819" s="9" t="s">
        <v>1469</v>
      </c>
      <c r="F1819" s="9" t="s">
        <v>6382</v>
      </c>
    </row>
    <row r="1820">
      <c r="A1820" s="9" t="s">
        <v>6383</v>
      </c>
      <c r="B1820" s="9" t="s">
        <v>421</v>
      </c>
      <c r="C1820" s="9" t="s">
        <v>1467</v>
      </c>
      <c r="D1820" s="9" t="s">
        <v>6384</v>
      </c>
      <c r="E1820" s="9" t="s">
        <v>1469</v>
      </c>
      <c r="F1820" s="9" t="s">
        <v>6385</v>
      </c>
    </row>
    <row r="1821">
      <c r="A1821" s="9" t="s">
        <v>6386</v>
      </c>
      <c r="B1821" s="9" t="s">
        <v>312</v>
      </c>
      <c r="C1821" s="9" t="s">
        <v>1467</v>
      </c>
      <c r="D1821" s="9" t="s">
        <v>6387</v>
      </c>
      <c r="E1821" s="9" t="s">
        <v>1469</v>
      </c>
      <c r="F1821" s="9" t="s">
        <v>6388</v>
      </c>
    </row>
    <row r="1822">
      <c r="A1822" s="9" t="s">
        <v>6389</v>
      </c>
      <c r="B1822" s="9" t="s">
        <v>168</v>
      </c>
      <c r="C1822" s="9" t="s">
        <v>1467</v>
      </c>
      <c r="D1822" s="9" t="s">
        <v>6390</v>
      </c>
      <c r="E1822" s="9" t="s">
        <v>1469</v>
      </c>
      <c r="F1822" s="9" t="s">
        <v>6391</v>
      </c>
    </row>
    <row r="1823">
      <c r="A1823" s="9" t="s">
        <v>6392</v>
      </c>
      <c r="B1823" s="9" t="s">
        <v>372</v>
      </c>
      <c r="C1823" s="9" t="s">
        <v>1467</v>
      </c>
      <c r="D1823" s="9" t="s">
        <v>6393</v>
      </c>
      <c r="E1823" s="9" t="s">
        <v>1469</v>
      </c>
      <c r="F1823" s="9" t="s">
        <v>6394</v>
      </c>
    </row>
    <row r="1824">
      <c r="A1824" s="9" t="s">
        <v>6395</v>
      </c>
      <c r="B1824" s="9" t="s">
        <v>302</v>
      </c>
      <c r="C1824" s="9" t="s">
        <v>1467</v>
      </c>
      <c r="D1824" s="9" t="s">
        <v>6396</v>
      </c>
      <c r="E1824" s="9" t="s">
        <v>1469</v>
      </c>
      <c r="F1824" s="9" t="s">
        <v>6397</v>
      </c>
    </row>
    <row r="1825">
      <c r="A1825" s="9" t="s">
        <v>6398</v>
      </c>
      <c r="B1825" s="9" t="s">
        <v>168</v>
      </c>
      <c r="C1825" s="9" t="s">
        <v>1467</v>
      </c>
      <c r="D1825" s="9" t="s">
        <v>6399</v>
      </c>
      <c r="E1825" s="9" t="s">
        <v>1469</v>
      </c>
      <c r="F1825" s="9" t="s">
        <v>6400</v>
      </c>
    </row>
    <row r="1826">
      <c r="A1826" s="9" t="s">
        <v>6401</v>
      </c>
      <c r="B1826" s="9" t="s">
        <v>280</v>
      </c>
      <c r="C1826" s="9" t="s">
        <v>1467</v>
      </c>
      <c r="D1826" s="9" t="s">
        <v>6402</v>
      </c>
      <c r="E1826" s="9" t="s">
        <v>1469</v>
      </c>
      <c r="F1826" s="9" t="s">
        <v>6403</v>
      </c>
    </row>
    <row r="1827">
      <c r="A1827" s="9" t="s">
        <v>6404</v>
      </c>
      <c r="B1827" s="9" t="s">
        <v>93</v>
      </c>
      <c r="C1827" s="9" t="s">
        <v>1467</v>
      </c>
      <c r="D1827" s="9" t="s">
        <v>6405</v>
      </c>
      <c r="E1827" s="9" t="s">
        <v>1469</v>
      </c>
      <c r="F1827" s="9" t="s">
        <v>6406</v>
      </c>
    </row>
    <row r="1828">
      <c r="A1828" s="9" t="s">
        <v>6407</v>
      </c>
      <c r="B1828" s="9" t="s">
        <v>417</v>
      </c>
      <c r="C1828" s="9" t="s">
        <v>1467</v>
      </c>
      <c r="D1828" s="9" t="s">
        <v>6408</v>
      </c>
      <c r="E1828" s="9" t="s">
        <v>1469</v>
      </c>
      <c r="F1828" s="9" t="s">
        <v>6409</v>
      </c>
    </row>
    <row r="1829">
      <c r="A1829" s="9" t="s">
        <v>6410</v>
      </c>
      <c r="B1829" s="9" t="s">
        <v>276</v>
      </c>
      <c r="C1829" s="9" t="s">
        <v>1467</v>
      </c>
      <c r="D1829" s="9" t="s">
        <v>6411</v>
      </c>
      <c r="E1829" s="9" t="s">
        <v>1469</v>
      </c>
      <c r="F1829" s="9" t="s">
        <v>6412</v>
      </c>
    </row>
    <row r="1830">
      <c r="A1830" s="9" t="s">
        <v>6413</v>
      </c>
      <c r="B1830" s="9" t="s">
        <v>367</v>
      </c>
      <c r="C1830" s="9" t="s">
        <v>1467</v>
      </c>
      <c r="D1830" s="9" t="s">
        <v>6414</v>
      </c>
      <c r="E1830" s="9" t="s">
        <v>1469</v>
      </c>
      <c r="F1830" s="9" t="s">
        <v>6415</v>
      </c>
    </row>
    <row r="1831">
      <c r="A1831" s="9" t="s">
        <v>6416</v>
      </c>
      <c r="B1831" s="9" t="s">
        <v>158</v>
      </c>
      <c r="C1831" s="9" t="s">
        <v>1467</v>
      </c>
      <c r="D1831" s="9" t="s">
        <v>6417</v>
      </c>
      <c r="E1831" s="9" t="s">
        <v>1469</v>
      </c>
      <c r="F1831" s="9" t="s">
        <v>6418</v>
      </c>
    </row>
    <row r="1832">
      <c r="A1832" s="9" t="s">
        <v>6419</v>
      </c>
      <c r="B1832" s="9" t="s">
        <v>374</v>
      </c>
      <c r="C1832" s="9" t="s">
        <v>1467</v>
      </c>
      <c r="D1832" s="9" t="s">
        <v>6420</v>
      </c>
      <c r="E1832" s="9" t="s">
        <v>1469</v>
      </c>
      <c r="F1832" s="9" t="s">
        <v>6421</v>
      </c>
    </row>
    <row r="1833">
      <c r="A1833" s="9" t="s">
        <v>6422</v>
      </c>
      <c r="B1833" s="9" t="s">
        <v>74</v>
      </c>
      <c r="C1833" s="9" t="s">
        <v>1467</v>
      </c>
      <c r="D1833" s="9" t="s">
        <v>6423</v>
      </c>
      <c r="E1833" s="9" t="s">
        <v>1469</v>
      </c>
      <c r="F1833" s="9" t="s">
        <v>6424</v>
      </c>
    </row>
    <row r="1834">
      <c r="A1834" s="9" t="s">
        <v>6425</v>
      </c>
      <c r="B1834" s="9" t="s">
        <v>157</v>
      </c>
      <c r="C1834" s="9" t="s">
        <v>1467</v>
      </c>
      <c r="D1834" s="9" t="s">
        <v>6426</v>
      </c>
      <c r="E1834" s="9" t="s">
        <v>1469</v>
      </c>
      <c r="F1834" s="9" t="s">
        <v>6427</v>
      </c>
    </row>
    <row r="1835">
      <c r="A1835" s="9" t="s">
        <v>6428</v>
      </c>
      <c r="B1835" s="9" t="s">
        <v>191</v>
      </c>
      <c r="C1835" s="9" t="s">
        <v>1467</v>
      </c>
      <c r="D1835" s="9" t="s">
        <v>6429</v>
      </c>
      <c r="E1835" s="9" t="s">
        <v>1469</v>
      </c>
      <c r="F1835" s="9" t="s">
        <v>6430</v>
      </c>
    </row>
    <row r="1836">
      <c r="A1836" s="9" t="s">
        <v>6431</v>
      </c>
      <c r="B1836" s="9" t="s">
        <v>132</v>
      </c>
      <c r="C1836" s="9" t="s">
        <v>1467</v>
      </c>
      <c r="D1836" s="9" t="s">
        <v>6432</v>
      </c>
      <c r="E1836" s="9" t="s">
        <v>1469</v>
      </c>
      <c r="F1836" s="9" t="s">
        <v>6433</v>
      </c>
    </row>
    <row r="1837">
      <c r="A1837" s="9" t="s">
        <v>6434</v>
      </c>
      <c r="B1837" s="9" t="s">
        <v>158</v>
      </c>
      <c r="C1837" s="9" t="s">
        <v>1467</v>
      </c>
      <c r="D1837" s="9" t="s">
        <v>6435</v>
      </c>
      <c r="E1837" s="9" t="s">
        <v>1469</v>
      </c>
      <c r="F1837" s="9" t="s">
        <v>6436</v>
      </c>
    </row>
    <row r="1838">
      <c r="A1838" s="9" t="s">
        <v>6437</v>
      </c>
      <c r="B1838" s="9" t="s">
        <v>348</v>
      </c>
      <c r="C1838" s="9" t="s">
        <v>1467</v>
      </c>
      <c r="D1838" s="9" t="s">
        <v>6438</v>
      </c>
      <c r="E1838" s="9" t="s">
        <v>1469</v>
      </c>
      <c r="F1838" s="9" t="s">
        <v>6439</v>
      </c>
    </row>
    <row r="1839">
      <c r="A1839" s="9" t="s">
        <v>6440</v>
      </c>
      <c r="B1839" s="9" t="s">
        <v>139</v>
      </c>
      <c r="C1839" s="9" t="s">
        <v>1467</v>
      </c>
      <c r="D1839" s="9" t="s">
        <v>6441</v>
      </c>
      <c r="E1839" s="9" t="s">
        <v>1469</v>
      </c>
      <c r="F1839" s="9" t="s">
        <v>6442</v>
      </c>
    </row>
    <row r="1840">
      <c r="A1840" s="9" t="s">
        <v>6443</v>
      </c>
      <c r="B1840" s="9" t="s">
        <v>312</v>
      </c>
      <c r="C1840" s="9" t="s">
        <v>1467</v>
      </c>
      <c r="D1840" s="9" t="s">
        <v>6444</v>
      </c>
      <c r="E1840" s="9" t="s">
        <v>1469</v>
      </c>
      <c r="F1840" s="9" t="s">
        <v>6445</v>
      </c>
    </row>
    <row r="1841">
      <c r="A1841" s="9" t="s">
        <v>6446</v>
      </c>
      <c r="B1841" s="9" t="s">
        <v>313</v>
      </c>
      <c r="C1841" s="9" t="s">
        <v>1467</v>
      </c>
      <c r="D1841" s="9" t="s">
        <v>6447</v>
      </c>
      <c r="E1841" s="9" t="s">
        <v>1469</v>
      </c>
      <c r="F1841" s="9" t="s">
        <v>6448</v>
      </c>
    </row>
    <row r="1842">
      <c r="A1842" s="9" t="s">
        <v>6449</v>
      </c>
      <c r="B1842" s="9" t="s">
        <v>313</v>
      </c>
      <c r="C1842" s="9" t="s">
        <v>1467</v>
      </c>
      <c r="D1842" s="9" t="s">
        <v>6450</v>
      </c>
      <c r="E1842" s="9" t="s">
        <v>1469</v>
      </c>
      <c r="F1842" s="9" t="s">
        <v>6451</v>
      </c>
    </row>
    <row r="1843">
      <c r="A1843" s="9" t="s">
        <v>6452</v>
      </c>
      <c r="B1843" s="9" t="s">
        <v>93</v>
      </c>
      <c r="C1843" s="9" t="s">
        <v>1467</v>
      </c>
      <c r="D1843" s="9" t="s">
        <v>6455</v>
      </c>
      <c r="E1843" s="9" t="s">
        <v>1469</v>
      </c>
      <c r="F1843" s="9" t="s">
        <v>6457</v>
      </c>
    </row>
    <row r="1844">
      <c r="A1844" s="9" t="s">
        <v>6458</v>
      </c>
      <c r="B1844" s="9" t="s">
        <v>368</v>
      </c>
      <c r="C1844" s="9" t="s">
        <v>1467</v>
      </c>
      <c r="D1844" s="9" t="s">
        <v>6459</v>
      </c>
      <c r="E1844" s="9" t="s">
        <v>1469</v>
      </c>
      <c r="F1844" s="9" t="s">
        <v>6460</v>
      </c>
    </row>
    <row r="1845">
      <c r="A1845" s="9" t="s">
        <v>6461</v>
      </c>
      <c r="B1845" s="9" t="s">
        <v>326</v>
      </c>
      <c r="C1845" s="9" t="s">
        <v>1467</v>
      </c>
      <c r="D1845" s="9" t="s">
        <v>6462</v>
      </c>
      <c r="E1845" s="9" t="s">
        <v>1469</v>
      </c>
      <c r="F1845" s="9" t="s">
        <v>6463</v>
      </c>
    </row>
    <row r="1846">
      <c r="A1846" s="9" t="s">
        <v>6464</v>
      </c>
      <c r="B1846" s="9" t="s">
        <v>158</v>
      </c>
      <c r="C1846" s="9" t="s">
        <v>1467</v>
      </c>
      <c r="D1846" s="9" t="s">
        <v>6465</v>
      </c>
      <c r="E1846" s="9" t="s">
        <v>1469</v>
      </c>
      <c r="F1846" s="9" t="s">
        <v>6466</v>
      </c>
    </row>
    <row r="1847">
      <c r="A1847" s="9" t="s">
        <v>6467</v>
      </c>
      <c r="B1847" s="9" t="s">
        <v>173</v>
      </c>
      <c r="C1847" s="9" t="s">
        <v>1467</v>
      </c>
      <c r="D1847" s="9" t="s">
        <v>6468</v>
      </c>
      <c r="E1847" s="9" t="s">
        <v>1469</v>
      </c>
      <c r="F1847" s="9" t="s">
        <v>6469</v>
      </c>
    </row>
    <row r="1848">
      <c r="A1848" s="9" t="s">
        <v>6470</v>
      </c>
      <c r="B1848" s="9" t="s">
        <v>79</v>
      </c>
      <c r="C1848" s="9" t="s">
        <v>1467</v>
      </c>
      <c r="D1848" s="9" t="s">
        <v>6471</v>
      </c>
      <c r="E1848" s="9" t="s">
        <v>1469</v>
      </c>
      <c r="F1848" s="9" t="s">
        <v>6472</v>
      </c>
    </row>
    <row r="1849">
      <c r="A1849" s="9" t="s">
        <v>6473</v>
      </c>
      <c r="B1849" s="9" t="s">
        <v>326</v>
      </c>
      <c r="C1849" s="9" t="s">
        <v>1467</v>
      </c>
      <c r="D1849" s="9" t="s">
        <v>6474</v>
      </c>
      <c r="E1849" s="9" t="s">
        <v>1469</v>
      </c>
      <c r="F1849" s="9" t="s">
        <v>6475</v>
      </c>
    </row>
    <row r="1850">
      <c r="A1850" s="9" t="s">
        <v>6476</v>
      </c>
      <c r="B1850" s="9" t="s">
        <v>157</v>
      </c>
      <c r="C1850" s="9" t="s">
        <v>1467</v>
      </c>
      <c r="D1850" s="9" t="s">
        <v>6477</v>
      </c>
      <c r="E1850" s="9" t="s">
        <v>1469</v>
      </c>
      <c r="F1850" s="9" t="s">
        <v>6478</v>
      </c>
    </row>
    <row r="1851">
      <c r="A1851" s="9" t="s">
        <v>6479</v>
      </c>
      <c r="B1851" s="9" t="s">
        <v>62</v>
      </c>
      <c r="C1851" s="9" t="s">
        <v>1467</v>
      </c>
      <c r="D1851" s="9" t="s">
        <v>6480</v>
      </c>
      <c r="E1851" s="9" t="s">
        <v>1469</v>
      </c>
      <c r="F1851" s="9" t="s">
        <v>6481</v>
      </c>
    </row>
    <row r="1852">
      <c r="A1852" s="9" t="s">
        <v>6482</v>
      </c>
      <c r="B1852" s="9" t="s">
        <v>326</v>
      </c>
      <c r="C1852" s="9" t="s">
        <v>1467</v>
      </c>
      <c r="D1852" s="9" t="s">
        <v>6483</v>
      </c>
      <c r="E1852" s="9" t="s">
        <v>1469</v>
      </c>
      <c r="F1852" s="9" t="s">
        <v>6484</v>
      </c>
    </row>
    <row r="1853">
      <c r="A1853" s="9" t="s">
        <v>6485</v>
      </c>
      <c r="B1853" s="9" t="s">
        <v>396</v>
      </c>
      <c r="C1853" s="9" t="s">
        <v>1467</v>
      </c>
      <c r="D1853" s="9" t="s">
        <v>6486</v>
      </c>
      <c r="E1853" s="9" t="s">
        <v>1469</v>
      </c>
      <c r="F1853" s="9" t="s">
        <v>6487</v>
      </c>
    </row>
    <row r="1854">
      <c r="A1854" s="9" t="s">
        <v>6488</v>
      </c>
      <c r="B1854" s="9" t="s">
        <v>202</v>
      </c>
      <c r="C1854" s="9" t="s">
        <v>1467</v>
      </c>
      <c r="D1854" s="9" t="s">
        <v>6489</v>
      </c>
      <c r="E1854" s="9" t="s">
        <v>1469</v>
      </c>
      <c r="F1854" s="9" t="s">
        <v>6490</v>
      </c>
    </row>
    <row r="1855">
      <c r="A1855" s="9" t="s">
        <v>6491</v>
      </c>
      <c r="B1855" s="9" t="s">
        <v>402</v>
      </c>
      <c r="C1855" s="9" t="s">
        <v>1467</v>
      </c>
      <c r="D1855" s="9" t="s">
        <v>6492</v>
      </c>
      <c r="E1855" s="9" t="s">
        <v>1469</v>
      </c>
      <c r="F1855" s="9" t="s">
        <v>6493</v>
      </c>
    </row>
    <row r="1856">
      <c r="A1856" s="9" t="s">
        <v>6494</v>
      </c>
      <c r="B1856" s="9" t="s">
        <v>62</v>
      </c>
      <c r="C1856" s="9" t="s">
        <v>1467</v>
      </c>
      <c r="D1856" s="9" t="s">
        <v>6495</v>
      </c>
      <c r="E1856" s="9" t="s">
        <v>1469</v>
      </c>
      <c r="F1856" s="9" t="s">
        <v>6496</v>
      </c>
    </row>
    <row r="1857">
      <c r="A1857" s="9" t="s">
        <v>6497</v>
      </c>
      <c r="B1857" s="9" t="s">
        <v>396</v>
      </c>
      <c r="C1857" s="9" t="s">
        <v>1467</v>
      </c>
      <c r="D1857" s="9" t="s">
        <v>6498</v>
      </c>
      <c r="E1857" s="9" t="s">
        <v>1469</v>
      </c>
      <c r="F1857" s="9" t="s">
        <v>6499</v>
      </c>
    </row>
    <row r="1858">
      <c r="A1858" s="9" t="s">
        <v>6500</v>
      </c>
      <c r="B1858" s="9" t="s">
        <v>77</v>
      </c>
      <c r="C1858" s="9" t="s">
        <v>1467</v>
      </c>
      <c r="D1858" s="9" t="s">
        <v>6501</v>
      </c>
      <c r="E1858" s="9" t="s">
        <v>1469</v>
      </c>
      <c r="F1858" s="9" t="s">
        <v>6502</v>
      </c>
    </row>
    <row r="1859">
      <c r="A1859" s="9" t="s">
        <v>6503</v>
      </c>
      <c r="B1859" s="9" t="s">
        <v>252</v>
      </c>
      <c r="C1859" s="9" t="s">
        <v>1467</v>
      </c>
      <c r="D1859" s="9" t="s">
        <v>6504</v>
      </c>
      <c r="E1859" s="9" t="s">
        <v>1469</v>
      </c>
      <c r="F1859" s="9" t="s">
        <v>6505</v>
      </c>
    </row>
    <row r="1860">
      <c r="A1860" s="9" t="s">
        <v>6506</v>
      </c>
      <c r="B1860" s="9" t="s">
        <v>314</v>
      </c>
      <c r="C1860" s="9" t="s">
        <v>1467</v>
      </c>
      <c r="D1860" s="9" t="s">
        <v>6507</v>
      </c>
      <c r="E1860" s="9" t="s">
        <v>1469</v>
      </c>
      <c r="F1860" s="9" t="s">
        <v>6508</v>
      </c>
    </row>
    <row r="1861">
      <c r="A1861" s="9" t="s">
        <v>6509</v>
      </c>
      <c r="B1861" s="9" t="s">
        <v>378</v>
      </c>
      <c r="C1861" s="9" t="s">
        <v>1467</v>
      </c>
      <c r="D1861" s="9" t="s">
        <v>6510</v>
      </c>
      <c r="E1861" s="9" t="s">
        <v>1469</v>
      </c>
      <c r="F1861" s="9" t="s">
        <v>6511</v>
      </c>
    </row>
    <row r="1862">
      <c r="A1862" s="9" t="s">
        <v>6512</v>
      </c>
      <c r="B1862" s="9" t="s">
        <v>180</v>
      </c>
      <c r="C1862" s="9" t="s">
        <v>1467</v>
      </c>
      <c r="D1862" s="9" t="s">
        <v>6513</v>
      </c>
      <c r="E1862" s="9" t="s">
        <v>1469</v>
      </c>
      <c r="F1862" s="9" t="s">
        <v>6514</v>
      </c>
    </row>
    <row r="1863">
      <c r="A1863" s="9" t="s">
        <v>6515</v>
      </c>
      <c r="B1863" s="9" t="s">
        <v>250</v>
      </c>
      <c r="C1863" s="9" t="s">
        <v>1467</v>
      </c>
      <c r="D1863" s="9" t="s">
        <v>6516</v>
      </c>
      <c r="E1863" s="9" t="s">
        <v>1469</v>
      </c>
      <c r="F1863" s="9" t="s">
        <v>6517</v>
      </c>
    </row>
    <row r="1864">
      <c r="A1864" s="9" t="s">
        <v>6518</v>
      </c>
      <c r="B1864" s="9" t="s">
        <v>402</v>
      </c>
      <c r="C1864" s="9" t="s">
        <v>1467</v>
      </c>
      <c r="D1864" s="9" t="s">
        <v>6519</v>
      </c>
      <c r="E1864" s="9" t="s">
        <v>1469</v>
      </c>
      <c r="F1864" s="9" t="s">
        <v>6520</v>
      </c>
    </row>
    <row r="1865">
      <c r="A1865" s="9" t="s">
        <v>6521</v>
      </c>
      <c r="B1865" s="9" t="s">
        <v>402</v>
      </c>
      <c r="C1865" s="9" t="s">
        <v>1467</v>
      </c>
      <c r="D1865" s="9" t="s">
        <v>6522</v>
      </c>
      <c r="E1865" s="9" t="s">
        <v>1469</v>
      </c>
      <c r="F1865" s="9" t="s">
        <v>6523</v>
      </c>
    </row>
    <row r="1866">
      <c r="A1866" s="9" t="s">
        <v>6524</v>
      </c>
      <c r="B1866" s="9" t="s">
        <v>246</v>
      </c>
      <c r="C1866" s="9" t="s">
        <v>1467</v>
      </c>
      <c r="D1866" s="9" t="s">
        <v>6525</v>
      </c>
      <c r="E1866" s="9" t="s">
        <v>1469</v>
      </c>
      <c r="F1866" s="9" t="s">
        <v>6526</v>
      </c>
    </row>
    <row r="1867">
      <c r="A1867" s="9" t="s">
        <v>6527</v>
      </c>
      <c r="B1867" s="9" t="s">
        <v>131</v>
      </c>
      <c r="C1867" s="9" t="s">
        <v>1467</v>
      </c>
      <c r="D1867" s="9" t="s">
        <v>6528</v>
      </c>
      <c r="E1867" s="9" t="s">
        <v>1469</v>
      </c>
      <c r="F1867" s="9" t="s">
        <v>6529</v>
      </c>
    </row>
    <row r="1868">
      <c r="A1868" s="9" t="s">
        <v>6530</v>
      </c>
      <c r="B1868" s="9" t="s">
        <v>275</v>
      </c>
      <c r="C1868" s="9" t="s">
        <v>1467</v>
      </c>
      <c r="D1868" s="9" t="s">
        <v>6531</v>
      </c>
      <c r="E1868" s="9" t="s">
        <v>1469</v>
      </c>
      <c r="F1868" s="9" t="s">
        <v>6532</v>
      </c>
    </row>
    <row r="1869">
      <c r="A1869" s="9" t="s">
        <v>6533</v>
      </c>
      <c r="B1869" s="9" t="s">
        <v>93</v>
      </c>
      <c r="C1869" s="9" t="s">
        <v>1467</v>
      </c>
      <c r="D1869" s="9" t="s">
        <v>6534</v>
      </c>
      <c r="E1869" s="9" t="s">
        <v>1469</v>
      </c>
      <c r="F1869" s="9" t="s">
        <v>6535</v>
      </c>
    </row>
    <row r="1870">
      <c r="A1870" s="9" t="s">
        <v>6536</v>
      </c>
      <c r="B1870" s="9" t="s">
        <v>93</v>
      </c>
      <c r="C1870" s="9" t="s">
        <v>1467</v>
      </c>
      <c r="D1870" s="9" t="s">
        <v>6537</v>
      </c>
      <c r="E1870" s="9" t="s">
        <v>1469</v>
      </c>
      <c r="F1870" s="9" t="s">
        <v>6538</v>
      </c>
    </row>
    <row r="1871">
      <c r="A1871" s="9" t="s">
        <v>6539</v>
      </c>
      <c r="B1871" s="9" t="s">
        <v>66</v>
      </c>
      <c r="C1871" s="9" t="s">
        <v>1467</v>
      </c>
      <c r="D1871" s="9" t="s">
        <v>6540</v>
      </c>
      <c r="E1871" s="9" t="s">
        <v>1469</v>
      </c>
      <c r="F1871" s="9" t="s">
        <v>6541</v>
      </c>
    </row>
    <row r="1872">
      <c r="A1872" s="9" t="s">
        <v>6542</v>
      </c>
      <c r="B1872" s="9" t="s">
        <v>120</v>
      </c>
      <c r="C1872" s="9" t="s">
        <v>1467</v>
      </c>
      <c r="D1872" s="9" t="s">
        <v>6543</v>
      </c>
      <c r="E1872" s="9" t="s">
        <v>1469</v>
      </c>
      <c r="F1872" s="9" t="s">
        <v>6544</v>
      </c>
    </row>
    <row r="1873">
      <c r="A1873" s="9" t="s">
        <v>6545</v>
      </c>
      <c r="B1873" s="9" t="s">
        <v>160</v>
      </c>
      <c r="C1873" s="9" t="s">
        <v>1467</v>
      </c>
      <c r="D1873" s="9" t="s">
        <v>6546</v>
      </c>
      <c r="E1873" s="9" t="s">
        <v>1469</v>
      </c>
      <c r="F1873" s="9" t="s">
        <v>6547</v>
      </c>
    </row>
    <row r="1874">
      <c r="A1874" s="9" t="s">
        <v>6548</v>
      </c>
      <c r="B1874" s="9" t="s">
        <v>350</v>
      </c>
      <c r="C1874" s="9" t="s">
        <v>1467</v>
      </c>
      <c r="D1874" s="9" t="s">
        <v>6549</v>
      </c>
      <c r="E1874" s="9" t="s">
        <v>1469</v>
      </c>
      <c r="F1874" s="9" t="s">
        <v>6550</v>
      </c>
    </row>
    <row r="1875">
      <c r="A1875" s="9" t="s">
        <v>6551</v>
      </c>
      <c r="B1875" s="9" t="s">
        <v>60</v>
      </c>
      <c r="C1875" s="9" t="s">
        <v>1467</v>
      </c>
      <c r="D1875" s="9" t="s">
        <v>6552</v>
      </c>
      <c r="E1875" s="9" t="s">
        <v>1469</v>
      </c>
      <c r="F1875" s="9" t="s">
        <v>6553</v>
      </c>
    </row>
    <row r="1876">
      <c r="A1876" s="9" t="s">
        <v>6554</v>
      </c>
      <c r="B1876" s="9" t="s">
        <v>187</v>
      </c>
      <c r="C1876" s="9" t="s">
        <v>1467</v>
      </c>
      <c r="D1876" s="9" t="s">
        <v>6555</v>
      </c>
      <c r="E1876" s="9" t="s">
        <v>1469</v>
      </c>
      <c r="F1876" s="9" t="s">
        <v>6556</v>
      </c>
    </row>
    <row r="1877">
      <c r="A1877" s="9" t="s">
        <v>6557</v>
      </c>
      <c r="B1877" s="9" t="s">
        <v>174</v>
      </c>
      <c r="C1877" s="9" t="s">
        <v>1467</v>
      </c>
      <c r="D1877" s="9" t="s">
        <v>6558</v>
      </c>
      <c r="E1877" s="9" t="s">
        <v>1469</v>
      </c>
      <c r="F1877" s="9" t="s">
        <v>6559</v>
      </c>
    </row>
    <row r="1878">
      <c r="A1878" s="9" t="s">
        <v>6560</v>
      </c>
      <c r="B1878" s="9" t="s">
        <v>424</v>
      </c>
      <c r="C1878" s="9" t="s">
        <v>1467</v>
      </c>
      <c r="D1878" s="9" t="s">
        <v>6561</v>
      </c>
      <c r="E1878" s="9" t="s">
        <v>1469</v>
      </c>
      <c r="F1878" s="9" t="s">
        <v>6562</v>
      </c>
    </row>
    <row r="1879">
      <c r="A1879" s="9" t="s">
        <v>6563</v>
      </c>
      <c r="B1879" s="9" t="s">
        <v>217</v>
      </c>
      <c r="C1879" s="9" t="s">
        <v>1467</v>
      </c>
      <c r="D1879" s="9" t="s">
        <v>6564</v>
      </c>
      <c r="E1879" s="9" t="s">
        <v>1469</v>
      </c>
      <c r="F1879" s="9" t="s">
        <v>6565</v>
      </c>
    </row>
    <row r="1880">
      <c r="A1880" s="9" t="s">
        <v>6566</v>
      </c>
      <c r="B1880" s="9" t="s">
        <v>96</v>
      </c>
      <c r="C1880" s="9" t="s">
        <v>1467</v>
      </c>
      <c r="D1880" s="9" t="s">
        <v>6567</v>
      </c>
      <c r="E1880" s="9" t="s">
        <v>1469</v>
      </c>
      <c r="F1880" s="9" t="s">
        <v>6568</v>
      </c>
    </row>
    <row r="1881">
      <c r="A1881" s="9" t="s">
        <v>6569</v>
      </c>
      <c r="B1881" s="9" t="s">
        <v>74</v>
      </c>
      <c r="C1881" s="9" t="s">
        <v>1467</v>
      </c>
      <c r="D1881" s="9" t="s">
        <v>6570</v>
      </c>
      <c r="E1881" s="9" t="s">
        <v>1469</v>
      </c>
      <c r="F1881" s="9" t="s">
        <v>6571</v>
      </c>
    </row>
    <row r="1882">
      <c r="A1882" s="9" t="s">
        <v>6572</v>
      </c>
      <c r="B1882" s="9" t="s">
        <v>228</v>
      </c>
      <c r="C1882" s="9" t="s">
        <v>1467</v>
      </c>
      <c r="D1882" s="9" t="s">
        <v>6573</v>
      </c>
      <c r="E1882" s="9" t="s">
        <v>1469</v>
      </c>
      <c r="F1882" s="9" t="s">
        <v>6574</v>
      </c>
    </row>
    <row r="1883">
      <c r="A1883" s="9" t="s">
        <v>6575</v>
      </c>
      <c r="B1883" s="9" t="s">
        <v>71</v>
      </c>
      <c r="C1883" s="9" t="s">
        <v>1467</v>
      </c>
      <c r="D1883" s="9" t="s">
        <v>6576</v>
      </c>
      <c r="E1883" s="9" t="s">
        <v>1469</v>
      </c>
      <c r="F1883" s="9" t="s">
        <v>6577</v>
      </c>
    </row>
    <row r="1884">
      <c r="A1884" s="9" t="s">
        <v>6578</v>
      </c>
      <c r="B1884" s="9" t="s">
        <v>219</v>
      </c>
      <c r="C1884" s="9" t="s">
        <v>1467</v>
      </c>
      <c r="D1884" s="9" t="s">
        <v>6579</v>
      </c>
      <c r="E1884" s="9" t="s">
        <v>1469</v>
      </c>
      <c r="F1884" s="9" t="s">
        <v>6580</v>
      </c>
    </row>
    <row r="1885">
      <c r="A1885" s="9" t="s">
        <v>6581</v>
      </c>
      <c r="B1885" s="9" t="s">
        <v>120</v>
      </c>
      <c r="C1885" s="9" t="s">
        <v>1467</v>
      </c>
      <c r="D1885" s="9" t="s">
        <v>6582</v>
      </c>
      <c r="E1885" s="9" t="s">
        <v>1469</v>
      </c>
      <c r="F1885" s="9" t="s">
        <v>6583</v>
      </c>
    </row>
    <row r="1886">
      <c r="A1886" s="9" t="s">
        <v>6584</v>
      </c>
      <c r="B1886" s="9" t="s">
        <v>94</v>
      </c>
      <c r="C1886" s="9" t="s">
        <v>1467</v>
      </c>
      <c r="D1886" s="9" t="s">
        <v>6585</v>
      </c>
      <c r="E1886" s="9" t="s">
        <v>1469</v>
      </c>
      <c r="F1886" s="9" t="s">
        <v>6586</v>
      </c>
    </row>
    <row r="1887">
      <c r="A1887" s="9" t="s">
        <v>6588</v>
      </c>
      <c r="B1887" s="9" t="s">
        <v>60</v>
      </c>
      <c r="C1887" s="9" t="s">
        <v>1467</v>
      </c>
      <c r="D1887" s="9" t="s">
        <v>6591</v>
      </c>
      <c r="E1887" s="9" t="s">
        <v>1469</v>
      </c>
      <c r="F1887" s="9" t="s">
        <v>6592</v>
      </c>
    </row>
    <row r="1888">
      <c r="A1888" s="9" t="s">
        <v>6593</v>
      </c>
      <c r="B1888" s="9" t="s">
        <v>252</v>
      </c>
      <c r="C1888" s="9" t="s">
        <v>1467</v>
      </c>
      <c r="D1888" s="9" t="s">
        <v>6594</v>
      </c>
      <c r="E1888" s="9" t="s">
        <v>1469</v>
      </c>
      <c r="F1888" s="9" t="s">
        <v>6595</v>
      </c>
    </row>
    <row r="1889">
      <c r="A1889" s="9" t="s">
        <v>6596</v>
      </c>
      <c r="B1889" s="9" t="s">
        <v>120</v>
      </c>
      <c r="C1889" s="9" t="s">
        <v>1467</v>
      </c>
      <c r="D1889" s="9" t="s">
        <v>6597</v>
      </c>
      <c r="E1889" s="9" t="s">
        <v>1469</v>
      </c>
      <c r="F1889" s="9" t="s">
        <v>6598</v>
      </c>
    </row>
    <row r="1890">
      <c r="A1890" s="9" t="s">
        <v>6599</v>
      </c>
      <c r="B1890" s="9" t="s">
        <v>217</v>
      </c>
      <c r="C1890" s="9" t="s">
        <v>1467</v>
      </c>
      <c r="D1890" s="9" t="s">
        <v>6600</v>
      </c>
      <c r="E1890" s="9" t="s">
        <v>1469</v>
      </c>
      <c r="F1890" s="9" t="s">
        <v>6601</v>
      </c>
    </row>
    <row r="1891">
      <c r="A1891" s="9" t="s">
        <v>6602</v>
      </c>
      <c r="B1891" s="9" t="s">
        <v>150</v>
      </c>
      <c r="C1891" s="9" t="s">
        <v>1467</v>
      </c>
      <c r="D1891" s="9" t="s">
        <v>6603</v>
      </c>
      <c r="E1891" s="9" t="s">
        <v>1469</v>
      </c>
      <c r="F1891" s="9" t="s">
        <v>6604</v>
      </c>
    </row>
    <row r="1892">
      <c r="A1892" s="9" t="s">
        <v>6605</v>
      </c>
      <c r="B1892" s="9" t="s">
        <v>350</v>
      </c>
      <c r="C1892" s="9" t="s">
        <v>1467</v>
      </c>
      <c r="D1892" s="9" t="s">
        <v>6606</v>
      </c>
      <c r="E1892" s="9" t="s">
        <v>1469</v>
      </c>
      <c r="F1892" s="9" t="s">
        <v>6607</v>
      </c>
    </row>
    <row r="1893">
      <c r="A1893" s="9" t="s">
        <v>6608</v>
      </c>
      <c r="B1893" s="9" t="s">
        <v>374</v>
      </c>
      <c r="C1893" s="9" t="s">
        <v>1467</v>
      </c>
      <c r="D1893" s="9" t="s">
        <v>6609</v>
      </c>
      <c r="E1893" s="9" t="s">
        <v>1469</v>
      </c>
      <c r="F1893" s="9" t="s">
        <v>6610</v>
      </c>
    </row>
    <row r="1894">
      <c r="A1894" s="9" t="s">
        <v>6611</v>
      </c>
      <c r="B1894" s="9" t="s">
        <v>187</v>
      </c>
      <c r="C1894" s="9" t="s">
        <v>1467</v>
      </c>
      <c r="D1894" s="9" t="s">
        <v>6612</v>
      </c>
      <c r="E1894" s="9" t="s">
        <v>1469</v>
      </c>
      <c r="F1894" s="9" t="s">
        <v>6613</v>
      </c>
    </row>
    <row r="1895">
      <c r="A1895" s="9" t="s">
        <v>6614</v>
      </c>
      <c r="B1895" s="9" t="s">
        <v>142</v>
      </c>
      <c r="C1895" s="9" t="s">
        <v>1467</v>
      </c>
      <c r="D1895" s="9" t="s">
        <v>6615</v>
      </c>
      <c r="E1895" s="9" t="s">
        <v>1469</v>
      </c>
      <c r="F1895" s="9" t="s">
        <v>6616</v>
      </c>
    </row>
    <row r="1896">
      <c r="A1896" s="9" t="s">
        <v>6617</v>
      </c>
      <c r="B1896" s="9" t="s">
        <v>120</v>
      </c>
      <c r="C1896" s="9" t="s">
        <v>1467</v>
      </c>
      <c r="D1896" s="9" t="s">
        <v>6618</v>
      </c>
      <c r="E1896" s="9" t="s">
        <v>1469</v>
      </c>
      <c r="F1896" s="9" t="s">
        <v>6619</v>
      </c>
    </row>
    <row r="1897">
      <c r="A1897" s="9" t="s">
        <v>6620</v>
      </c>
      <c r="B1897" s="9" t="s">
        <v>344</v>
      </c>
      <c r="C1897" s="9" t="s">
        <v>1467</v>
      </c>
      <c r="D1897" s="9" t="s">
        <v>6621</v>
      </c>
      <c r="E1897" s="9" t="s">
        <v>1469</v>
      </c>
      <c r="F1897" s="9" t="s">
        <v>6622</v>
      </c>
    </row>
    <row r="1898">
      <c r="A1898" s="9" t="s">
        <v>6623</v>
      </c>
      <c r="B1898" s="9" t="s">
        <v>322</v>
      </c>
      <c r="C1898" s="9" t="s">
        <v>1467</v>
      </c>
      <c r="D1898" s="9" t="s">
        <v>6624</v>
      </c>
      <c r="E1898" s="9" t="s">
        <v>1469</v>
      </c>
      <c r="F1898" s="9" t="s">
        <v>6625</v>
      </c>
    </row>
    <row r="1899">
      <c r="A1899" s="9" t="s">
        <v>6626</v>
      </c>
      <c r="B1899" s="9" t="s">
        <v>187</v>
      </c>
      <c r="C1899" s="9" t="s">
        <v>1467</v>
      </c>
      <c r="D1899" s="9" t="s">
        <v>6627</v>
      </c>
      <c r="E1899" s="9" t="s">
        <v>1469</v>
      </c>
      <c r="F1899" s="9" t="s">
        <v>6628</v>
      </c>
    </row>
    <row r="1900">
      <c r="A1900" s="9" t="s">
        <v>6629</v>
      </c>
      <c r="B1900" s="9" t="s">
        <v>59</v>
      </c>
      <c r="C1900" s="9" t="s">
        <v>1467</v>
      </c>
      <c r="D1900" s="9" t="s">
        <v>6630</v>
      </c>
      <c r="E1900" s="9" t="s">
        <v>1469</v>
      </c>
      <c r="F1900" s="9" t="s">
        <v>6631</v>
      </c>
    </row>
    <row r="1901">
      <c r="A1901" s="9" t="s">
        <v>6632</v>
      </c>
      <c r="B1901" s="9" t="s">
        <v>96</v>
      </c>
      <c r="C1901" s="9" t="s">
        <v>1467</v>
      </c>
      <c r="D1901" s="9" t="s">
        <v>6633</v>
      </c>
      <c r="E1901" s="9" t="s">
        <v>1469</v>
      </c>
      <c r="F1901" s="9" t="s">
        <v>6634</v>
      </c>
    </row>
    <row r="1902">
      <c r="A1902" s="9" t="s">
        <v>6635</v>
      </c>
      <c r="B1902" s="9" t="s">
        <v>276</v>
      </c>
      <c r="C1902" s="9" t="s">
        <v>1467</v>
      </c>
      <c r="D1902" s="9" t="s">
        <v>6636</v>
      </c>
      <c r="E1902" s="9" t="s">
        <v>1469</v>
      </c>
      <c r="F1902" s="9" t="s">
        <v>6637</v>
      </c>
    </row>
    <row r="1903">
      <c r="A1903" s="9" t="s">
        <v>6638</v>
      </c>
      <c r="B1903" s="9" t="s">
        <v>121</v>
      </c>
      <c r="C1903" s="9" t="s">
        <v>1467</v>
      </c>
      <c r="D1903" s="9" t="s">
        <v>6639</v>
      </c>
      <c r="E1903" s="9" t="s">
        <v>1469</v>
      </c>
      <c r="F1903" s="9" t="s">
        <v>6640</v>
      </c>
    </row>
    <row r="1904">
      <c r="A1904" s="9" t="s">
        <v>6641</v>
      </c>
      <c r="B1904" s="9" t="s">
        <v>228</v>
      </c>
      <c r="C1904" s="9" t="s">
        <v>1467</v>
      </c>
      <c r="D1904" s="9" t="s">
        <v>6642</v>
      </c>
      <c r="E1904" s="9" t="s">
        <v>1469</v>
      </c>
      <c r="F1904" s="9" t="s">
        <v>6643</v>
      </c>
    </row>
    <row r="1905">
      <c r="A1905" s="9" t="s">
        <v>6644</v>
      </c>
      <c r="B1905" s="9" t="s">
        <v>183</v>
      </c>
      <c r="C1905" s="9" t="s">
        <v>1467</v>
      </c>
      <c r="D1905" s="9" t="s">
        <v>6645</v>
      </c>
      <c r="E1905" s="9" t="s">
        <v>1469</v>
      </c>
      <c r="F1905" s="9" t="s">
        <v>6646</v>
      </c>
    </row>
    <row r="1906">
      <c r="A1906" s="9" t="s">
        <v>6647</v>
      </c>
      <c r="B1906" s="9" t="s">
        <v>329</v>
      </c>
      <c r="C1906" s="9" t="s">
        <v>1467</v>
      </c>
      <c r="D1906" s="9" t="s">
        <v>6648</v>
      </c>
      <c r="E1906" s="9" t="s">
        <v>1469</v>
      </c>
      <c r="F1906" s="9" t="s">
        <v>6649</v>
      </c>
    </row>
    <row r="1907">
      <c r="A1907" s="9" t="s">
        <v>6650</v>
      </c>
      <c r="B1907" s="9" t="s">
        <v>219</v>
      </c>
      <c r="C1907" s="9" t="s">
        <v>1467</v>
      </c>
      <c r="D1907" s="9" t="s">
        <v>6651</v>
      </c>
      <c r="E1907" s="9" t="s">
        <v>1469</v>
      </c>
      <c r="F1907" s="9" t="s">
        <v>6652</v>
      </c>
    </row>
    <row r="1908">
      <c r="A1908" s="9" t="s">
        <v>6653</v>
      </c>
      <c r="B1908" s="9" t="s">
        <v>162</v>
      </c>
      <c r="C1908" s="9" t="s">
        <v>1467</v>
      </c>
      <c r="D1908" s="9" t="s">
        <v>6654</v>
      </c>
      <c r="E1908" s="9" t="s">
        <v>1469</v>
      </c>
      <c r="F1908" s="9" t="s">
        <v>6655</v>
      </c>
    </row>
    <row r="1909">
      <c r="A1909" s="9" t="s">
        <v>6656</v>
      </c>
      <c r="B1909" s="9" t="s">
        <v>17</v>
      </c>
      <c r="C1909" s="9" t="s">
        <v>1467</v>
      </c>
      <c r="D1909" s="9" t="s">
        <v>6657</v>
      </c>
      <c r="E1909" s="9" t="s">
        <v>1469</v>
      </c>
      <c r="F1909" s="9" t="s">
        <v>6658</v>
      </c>
    </row>
    <row r="1910">
      <c r="A1910" s="9" t="s">
        <v>6659</v>
      </c>
      <c r="B1910" s="9" t="s">
        <v>154</v>
      </c>
      <c r="C1910" s="9" t="s">
        <v>1467</v>
      </c>
      <c r="D1910" s="9" t="s">
        <v>6660</v>
      </c>
      <c r="E1910" s="9" t="s">
        <v>1469</v>
      </c>
      <c r="F1910" s="9" t="s">
        <v>6661</v>
      </c>
    </row>
    <row r="1911">
      <c r="A1911" s="9" t="s">
        <v>6662</v>
      </c>
      <c r="B1911" s="9" t="s">
        <v>101</v>
      </c>
      <c r="C1911" s="9" t="s">
        <v>1467</v>
      </c>
      <c r="D1911" s="9" t="s">
        <v>6663</v>
      </c>
      <c r="E1911" s="9" t="s">
        <v>1469</v>
      </c>
      <c r="F1911" s="9" t="s">
        <v>6664</v>
      </c>
    </row>
    <row r="1912">
      <c r="A1912" s="9" t="s">
        <v>6665</v>
      </c>
      <c r="B1912" s="9" t="s">
        <v>347</v>
      </c>
      <c r="C1912" s="9" t="s">
        <v>1467</v>
      </c>
      <c r="D1912" s="9" t="s">
        <v>6666</v>
      </c>
      <c r="E1912" s="9" t="s">
        <v>1469</v>
      </c>
      <c r="F1912" s="9" t="s">
        <v>6667</v>
      </c>
    </row>
    <row r="1913">
      <c r="A1913" s="9" t="s">
        <v>6668</v>
      </c>
      <c r="B1913" s="9" t="s">
        <v>143</v>
      </c>
      <c r="C1913" s="9" t="s">
        <v>1467</v>
      </c>
      <c r="D1913" s="9" t="s">
        <v>6669</v>
      </c>
      <c r="E1913" s="9" t="s">
        <v>1469</v>
      </c>
      <c r="F1913" s="9" t="s">
        <v>6670</v>
      </c>
    </row>
    <row r="1914">
      <c r="A1914" s="9" t="s">
        <v>6671</v>
      </c>
      <c r="B1914" s="9" t="s">
        <v>154</v>
      </c>
      <c r="C1914" s="9" t="s">
        <v>1467</v>
      </c>
      <c r="D1914" s="9" t="s">
        <v>6672</v>
      </c>
      <c r="E1914" s="9" t="s">
        <v>1469</v>
      </c>
      <c r="F1914" s="9" t="s">
        <v>6673</v>
      </c>
    </row>
    <row r="1915">
      <c r="A1915" s="9" t="s">
        <v>6674</v>
      </c>
      <c r="B1915" s="9" t="s">
        <v>59</v>
      </c>
      <c r="C1915" s="9" t="s">
        <v>1467</v>
      </c>
      <c r="D1915" s="9" t="s">
        <v>6675</v>
      </c>
      <c r="E1915" s="9" t="s">
        <v>1469</v>
      </c>
      <c r="F1915" s="9" t="s">
        <v>6676</v>
      </c>
    </row>
    <row r="1916">
      <c r="A1916" s="9" t="s">
        <v>6677</v>
      </c>
      <c r="B1916" s="9" t="s">
        <v>214</v>
      </c>
      <c r="C1916" s="9" t="s">
        <v>1467</v>
      </c>
      <c r="D1916" s="9" t="s">
        <v>6678</v>
      </c>
      <c r="E1916" s="9" t="s">
        <v>1469</v>
      </c>
      <c r="F1916" s="9" t="s">
        <v>6679</v>
      </c>
    </row>
    <row r="1917">
      <c r="A1917" s="9" t="s">
        <v>6680</v>
      </c>
      <c r="B1917" s="9" t="s">
        <v>347</v>
      </c>
      <c r="C1917" s="9" t="s">
        <v>1467</v>
      </c>
      <c r="D1917" s="9" t="s">
        <v>6681</v>
      </c>
      <c r="E1917" s="9" t="s">
        <v>1469</v>
      </c>
      <c r="F1917" s="9" t="s">
        <v>6682</v>
      </c>
    </row>
    <row r="1918">
      <c r="A1918" s="9" t="s">
        <v>6683</v>
      </c>
      <c r="B1918" s="9" t="s">
        <v>128</v>
      </c>
      <c r="C1918" s="9" t="s">
        <v>1467</v>
      </c>
      <c r="D1918" s="9" t="s">
        <v>6684</v>
      </c>
      <c r="E1918" s="9" t="s">
        <v>1469</v>
      </c>
      <c r="F1918" s="9" t="s">
        <v>6685</v>
      </c>
    </row>
    <row r="1919">
      <c r="A1919" s="9" t="s">
        <v>6686</v>
      </c>
      <c r="B1919" s="9" t="s">
        <v>214</v>
      </c>
      <c r="C1919" s="9" t="s">
        <v>1467</v>
      </c>
      <c r="D1919" s="9" t="s">
        <v>6687</v>
      </c>
      <c r="E1919" s="9" t="s">
        <v>1469</v>
      </c>
      <c r="F1919" s="9" t="s">
        <v>6688</v>
      </c>
    </row>
    <row r="1920">
      <c r="A1920" s="9" t="s">
        <v>6689</v>
      </c>
      <c r="B1920" s="9" t="s">
        <v>121</v>
      </c>
      <c r="C1920" s="9" t="s">
        <v>1467</v>
      </c>
      <c r="D1920" s="9" t="s">
        <v>6690</v>
      </c>
      <c r="E1920" s="9" t="s">
        <v>1469</v>
      </c>
      <c r="F1920" s="9" t="s">
        <v>6691</v>
      </c>
    </row>
    <row r="1921">
      <c r="A1921" s="9" t="s">
        <v>6692</v>
      </c>
      <c r="B1921" s="9" t="s">
        <v>185</v>
      </c>
      <c r="C1921" s="9" t="s">
        <v>1467</v>
      </c>
      <c r="D1921" s="9" t="s">
        <v>6693</v>
      </c>
      <c r="E1921" s="9" t="s">
        <v>1469</v>
      </c>
      <c r="F1921" s="9" t="s">
        <v>6694</v>
      </c>
    </row>
    <row r="1922">
      <c r="A1922" s="9" t="s">
        <v>6695</v>
      </c>
      <c r="B1922" s="9" t="s">
        <v>303</v>
      </c>
      <c r="C1922" s="9" t="s">
        <v>1467</v>
      </c>
      <c r="D1922" s="9" t="s">
        <v>6696</v>
      </c>
      <c r="E1922" s="9" t="s">
        <v>1469</v>
      </c>
      <c r="F1922" s="9" t="s">
        <v>6697</v>
      </c>
    </row>
    <row r="1923">
      <c r="A1923" s="9" t="s">
        <v>6698</v>
      </c>
      <c r="B1923" s="9" t="s">
        <v>347</v>
      </c>
      <c r="C1923" s="9" t="s">
        <v>1467</v>
      </c>
      <c r="D1923" s="9" t="s">
        <v>6699</v>
      </c>
      <c r="E1923" s="9" t="s">
        <v>1469</v>
      </c>
      <c r="F1923" s="9" t="s">
        <v>6700</v>
      </c>
    </row>
    <row r="1924">
      <c r="A1924" s="9" t="s">
        <v>6701</v>
      </c>
      <c r="B1924" s="9" t="s">
        <v>92</v>
      </c>
      <c r="C1924" s="9" t="s">
        <v>1467</v>
      </c>
      <c r="D1924" s="9" t="s">
        <v>6702</v>
      </c>
      <c r="E1924" s="9" t="s">
        <v>1469</v>
      </c>
      <c r="F1924" s="9" t="s">
        <v>6703</v>
      </c>
    </row>
    <row r="1925">
      <c r="A1925" s="9" t="s">
        <v>6704</v>
      </c>
      <c r="B1925" s="9" t="s">
        <v>287</v>
      </c>
      <c r="C1925" s="9" t="s">
        <v>1467</v>
      </c>
      <c r="D1925" s="9" t="s">
        <v>6705</v>
      </c>
      <c r="E1925" s="9" t="s">
        <v>1469</v>
      </c>
      <c r="F1925" s="9" t="s">
        <v>6706</v>
      </c>
    </row>
    <row r="1926">
      <c r="A1926" s="9" t="s">
        <v>6707</v>
      </c>
      <c r="B1926" s="9" t="s">
        <v>204</v>
      </c>
      <c r="C1926" s="9" t="s">
        <v>1467</v>
      </c>
      <c r="D1926" s="9" t="s">
        <v>6708</v>
      </c>
      <c r="E1926" s="9" t="s">
        <v>1469</v>
      </c>
      <c r="F1926" s="9" t="s">
        <v>6709</v>
      </c>
    </row>
    <row r="1927">
      <c r="A1927" s="9" t="s">
        <v>6710</v>
      </c>
      <c r="B1927" s="9" t="s">
        <v>92</v>
      </c>
      <c r="C1927" s="9" t="s">
        <v>1467</v>
      </c>
      <c r="D1927" s="9" t="s">
        <v>6711</v>
      </c>
      <c r="E1927" s="9" t="s">
        <v>1469</v>
      </c>
      <c r="F1927" s="9" t="s">
        <v>6712</v>
      </c>
    </row>
    <row r="1928">
      <c r="A1928" s="9" t="s">
        <v>6713</v>
      </c>
      <c r="B1928" s="9" t="s">
        <v>63</v>
      </c>
      <c r="C1928" s="9" t="s">
        <v>1467</v>
      </c>
      <c r="D1928" s="9" t="s">
        <v>6714</v>
      </c>
      <c r="E1928" s="9" t="s">
        <v>1469</v>
      </c>
      <c r="F1928" s="9" t="s">
        <v>6715</v>
      </c>
    </row>
    <row r="1929">
      <c r="A1929" s="9" t="s">
        <v>6716</v>
      </c>
      <c r="B1929" s="9" t="s">
        <v>204</v>
      </c>
      <c r="C1929" s="9" t="s">
        <v>1467</v>
      </c>
      <c r="D1929" s="9" t="s">
        <v>6717</v>
      </c>
      <c r="E1929" s="9" t="s">
        <v>1469</v>
      </c>
      <c r="F1929" s="9" t="s">
        <v>6718</v>
      </c>
    </row>
    <row r="1930">
      <c r="A1930" s="9" t="s">
        <v>6719</v>
      </c>
      <c r="B1930" s="9" t="s">
        <v>342</v>
      </c>
      <c r="C1930" s="9" t="s">
        <v>1467</v>
      </c>
      <c r="D1930" s="9" t="s">
        <v>6722</v>
      </c>
      <c r="E1930" s="9" t="s">
        <v>1469</v>
      </c>
      <c r="F1930" s="9" t="s">
        <v>6724</v>
      </c>
    </row>
    <row r="1931">
      <c r="A1931" s="9" t="s">
        <v>6725</v>
      </c>
      <c r="B1931" s="9" t="s">
        <v>76</v>
      </c>
      <c r="C1931" s="9" t="s">
        <v>1467</v>
      </c>
      <c r="D1931" s="9" t="s">
        <v>6726</v>
      </c>
      <c r="E1931" s="9" t="s">
        <v>1469</v>
      </c>
      <c r="F1931" s="9" t="s">
        <v>6727</v>
      </c>
    </row>
    <row r="1932">
      <c r="A1932" s="9" t="s">
        <v>6728</v>
      </c>
      <c r="B1932" s="9" t="s">
        <v>273</v>
      </c>
      <c r="C1932" s="9" t="s">
        <v>1467</v>
      </c>
      <c r="D1932" s="9" t="s">
        <v>6729</v>
      </c>
      <c r="E1932" s="9" t="s">
        <v>1469</v>
      </c>
      <c r="F1932" s="9" t="s">
        <v>6730</v>
      </c>
    </row>
    <row r="1933">
      <c r="A1933" s="9" t="s">
        <v>6731</v>
      </c>
      <c r="B1933" s="9" t="s">
        <v>226</v>
      </c>
      <c r="C1933" s="9" t="s">
        <v>1467</v>
      </c>
      <c r="D1933" s="9" t="s">
        <v>6732</v>
      </c>
      <c r="E1933" s="9" t="s">
        <v>1469</v>
      </c>
      <c r="F1933" s="9" t="s">
        <v>6733</v>
      </c>
    </row>
    <row r="1934">
      <c r="A1934" s="9" t="s">
        <v>6734</v>
      </c>
      <c r="B1934" s="9" t="s">
        <v>123</v>
      </c>
      <c r="C1934" s="9" t="s">
        <v>1467</v>
      </c>
      <c r="D1934" s="9" t="s">
        <v>6735</v>
      </c>
      <c r="E1934" s="9" t="s">
        <v>1469</v>
      </c>
      <c r="F1934" s="9" t="s">
        <v>6736</v>
      </c>
    </row>
    <row r="1935">
      <c r="A1935" s="9" t="s">
        <v>6737</v>
      </c>
      <c r="B1935" s="9" t="s">
        <v>273</v>
      </c>
      <c r="C1935" s="9" t="s">
        <v>1467</v>
      </c>
      <c r="D1935" s="9" t="s">
        <v>6738</v>
      </c>
      <c r="E1935" s="9" t="s">
        <v>1469</v>
      </c>
      <c r="F1935" s="9" t="s">
        <v>6739</v>
      </c>
    </row>
    <row r="1936">
      <c r="A1936" s="9" t="s">
        <v>6740</v>
      </c>
      <c r="B1936" s="9" t="s">
        <v>274</v>
      </c>
      <c r="C1936" s="9" t="s">
        <v>1467</v>
      </c>
      <c r="D1936" s="9" t="s">
        <v>6741</v>
      </c>
      <c r="E1936" s="9" t="s">
        <v>1469</v>
      </c>
      <c r="F1936" s="9" t="s">
        <v>6742</v>
      </c>
    </row>
    <row r="1937">
      <c r="A1937" s="9" t="s">
        <v>6743</v>
      </c>
      <c r="B1937" s="9" t="s">
        <v>76</v>
      </c>
      <c r="C1937" s="9" t="s">
        <v>1467</v>
      </c>
      <c r="D1937" s="9" t="s">
        <v>6744</v>
      </c>
      <c r="E1937" s="9" t="s">
        <v>1469</v>
      </c>
      <c r="F1937" s="9" t="s">
        <v>6745</v>
      </c>
    </row>
    <row r="1938">
      <c r="A1938" s="9" t="s">
        <v>6746</v>
      </c>
      <c r="B1938" s="9" t="s">
        <v>266</v>
      </c>
      <c r="C1938" s="9" t="s">
        <v>1467</v>
      </c>
      <c r="D1938" s="9" t="s">
        <v>6747</v>
      </c>
      <c r="E1938" s="9" t="s">
        <v>1469</v>
      </c>
      <c r="F1938" s="9" t="s">
        <v>6748</v>
      </c>
    </row>
    <row r="1939">
      <c r="A1939" s="9" t="s">
        <v>6749</v>
      </c>
      <c r="B1939" s="9" t="s">
        <v>123</v>
      </c>
      <c r="C1939" s="9" t="s">
        <v>1467</v>
      </c>
      <c r="D1939" s="9" t="s">
        <v>6750</v>
      </c>
      <c r="E1939" s="9" t="s">
        <v>1469</v>
      </c>
      <c r="F1939" s="9" t="s">
        <v>6751</v>
      </c>
    </row>
    <row r="1940">
      <c r="A1940" s="9" t="s">
        <v>6752</v>
      </c>
      <c r="B1940" s="9" t="s">
        <v>61</v>
      </c>
      <c r="C1940" s="9" t="s">
        <v>1467</v>
      </c>
      <c r="D1940" s="9" t="s">
        <v>6753</v>
      </c>
      <c r="E1940" s="9" t="s">
        <v>1469</v>
      </c>
      <c r="F1940" s="9" t="s">
        <v>6754</v>
      </c>
    </row>
    <row r="1941">
      <c r="A1941" s="9" t="s">
        <v>6755</v>
      </c>
      <c r="B1941" s="9" t="s">
        <v>165</v>
      </c>
      <c r="C1941" s="9" t="s">
        <v>1467</v>
      </c>
      <c r="D1941" s="9" t="s">
        <v>6756</v>
      </c>
      <c r="E1941" s="9" t="s">
        <v>1469</v>
      </c>
      <c r="F1941" s="9" t="s">
        <v>6757</v>
      </c>
    </row>
    <row r="1942">
      <c r="A1942" s="9" t="s">
        <v>6758</v>
      </c>
      <c r="B1942" s="9" t="s">
        <v>151</v>
      </c>
      <c r="C1942" s="9" t="s">
        <v>1467</v>
      </c>
      <c r="D1942" s="9" t="s">
        <v>6759</v>
      </c>
      <c r="E1942" s="9" t="s">
        <v>1469</v>
      </c>
      <c r="F1942" s="9" t="s">
        <v>6760</v>
      </c>
    </row>
    <row r="1943">
      <c r="A1943" s="9" t="s">
        <v>6761</v>
      </c>
      <c r="B1943" s="9" t="s">
        <v>366</v>
      </c>
      <c r="C1943" s="9" t="s">
        <v>1467</v>
      </c>
      <c r="D1943" s="9" t="s">
        <v>6762</v>
      </c>
      <c r="E1943" s="9" t="s">
        <v>1469</v>
      </c>
      <c r="F1943" s="9" t="s">
        <v>6763</v>
      </c>
    </row>
    <row r="1944">
      <c r="A1944" s="9" t="s">
        <v>6764</v>
      </c>
      <c r="B1944" s="9" t="s">
        <v>189</v>
      </c>
      <c r="C1944" s="9" t="s">
        <v>1467</v>
      </c>
      <c r="D1944" s="9" t="s">
        <v>6765</v>
      </c>
      <c r="E1944" s="9" t="s">
        <v>1469</v>
      </c>
      <c r="F1944" s="9" t="s">
        <v>6766</v>
      </c>
    </row>
    <row r="1945">
      <c r="A1945" s="9" t="s">
        <v>6767</v>
      </c>
      <c r="B1945" s="9" t="s">
        <v>257</v>
      </c>
      <c r="C1945" s="9" t="s">
        <v>1467</v>
      </c>
      <c r="D1945" s="9" t="s">
        <v>6768</v>
      </c>
      <c r="E1945" s="9" t="s">
        <v>1469</v>
      </c>
      <c r="F1945" s="9" t="s">
        <v>6769</v>
      </c>
    </row>
    <row r="1946">
      <c r="A1946" s="9" t="s">
        <v>6770</v>
      </c>
      <c r="B1946" s="9" t="s">
        <v>151</v>
      </c>
      <c r="C1946" s="9" t="s">
        <v>1467</v>
      </c>
      <c r="D1946" s="9" t="s">
        <v>6771</v>
      </c>
      <c r="E1946" s="9" t="s">
        <v>1469</v>
      </c>
      <c r="F1946" s="9" t="s">
        <v>6772</v>
      </c>
    </row>
    <row r="1947">
      <c r="A1947" s="9" t="s">
        <v>6773</v>
      </c>
      <c r="B1947" s="9" t="s">
        <v>249</v>
      </c>
      <c r="C1947" s="9" t="s">
        <v>1467</v>
      </c>
      <c r="D1947" s="9" t="s">
        <v>6774</v>
      </c>
      <c r="E1947" s="9" t="s">
        <v>1469</v>
      </c>
      <c r="F1947" s="9" t="s">
        <v>6775</v>
      </c>
    </row>
    <row r="1948">
      <c r="A1948" s="9" t="s">
        <v>6776</v>
      </c>
      <c r="B1948" s="9" t="s">
        <v>324</v>
      </c>
      <c r="C1948" s="9" t="s">
        <v>1467</v>
      </c>
      <c r="D1948" s="9" t="s">
        <v>6777</v>
      </c>
      <c r="E1948" s="9" t="s">
        <v>1469</v>
      </c>
      <c r="F1948" s="9" t="s">
        <v>6778</v>
      </c>
    </row>
    <row r="1949">
      <c r="A1949" s="9" t="s">
        <v>6779</v>
      </c>
      <c r="B1949" s="9" t="s">
        <v>213</v>
      </c>
      <c r="C1949" s="9" t="s">
        <v>1467</v>
      </c>
      <c r="D1949" s="9" t="s">
        <v>6780</v>
      </c>
      <c r="E1949" s="9" t="s">
        <v>1469</v>
      </c>
      <c r="F1949" s="9" t="s">
        <v>6781</v>
      </c>
    </row>
    <row r="1950">
      <c r="A1950" s="9" t="s">
        <v>6782</v>
      </c>
      <c r="B1950" s="9" t="s">
        <v>185</v>
      </c>
      <c r="C1950" s="9" t="s">
        <v>1467</v>
      </c>
      <c r="D1950" s="9" t="s">
        <v>6783</v>
      </c>
      <c r="E1950" s="9" t="s">
        <v>1469</v>
      </c>
      <c r="F1950" s="9" t="s">
        <v>6784</v>
      </c>
    </row>
    <row r="1951">
      <c r="A1951" s="9" t="s">
        <v>6785</v>
      </c>
      <c r="B1951" s="9" t="s">
        <v>114</v>
      </c>
      <c r="C1951" s="9" t="s">
        <v>1467</v>
      </c>
      <c r="D1951" s="9" t="s">
        <v>6786</v>
      </c>
      <c r="E1951" s="9" t="s">
        <v>1469</v>
      </c>
      <c r="F1951" s="9" t="s">
        <v>6787</v>
      </c>
    </row>
    <row r="1952">
      <c r="A1952" s="9" t="s">
        <v>6788</v>
      </c>
      <c r="B1952" s="9" t="s">
        <v>187</v>
      </c>
      <c r="C1952" s="9" t="s">
        <v>1467</v>
      </c>
      <c r="D1952" s="9" t="s">
        <v>6789</v>
      </c>
      <c r="E1952" s="9" t="s">
        <v>1469</v>
      </c>
      <c r="F1952" s="9" t="s">
        <v>6790</v>
      </c>
    </row>
    <row r="1953">
      <c r="A1953" s="9" t="s">
        <v>6791</v>
      </c>
      <c r="B1953" s="9" t="s">
        <v>205</v>
      </c>
      <c r="C1953" s="9" t="s">
        <v>1467</v>
      </c>
      <c r="D1953" s="9" t="s">
        <v>6792</v>
      </c>
      <c r="E1953" s="9" t="s">
        <v>1469</v>
      </c>
      <c r="F1953" s="9" t="s">
        <v>6793</v>
      </c>
    </row>
    <row r="1954">
      <c r="A1954" s="9" t="s">
        <v>6794</v>
      </c>
      <c r="B1954" s="9" t="s">
        <v>152</v>
      </c>
      <c r="C1954" s="9" t="s">
        <v>1467</v>
      </c>
      <c r="D1954" s="9" t="s">
        <v>6795</v>
      </c>
      <c r="E1954" s="9" t="s">
        <v>1469</v>
      </c>
      <c r="F1954" s="9" t="s">
        <v>6796</v>
      </c>
    </row>
    <row r="1955">
      <c r="A1955" s="9" t="s">
        <v>6797</v>
      </c>
      <c r="B1955" s="9" t="s">
        <v>151</v>
      </c>
      <c r="C1955" s="9" t="s">
        <v>1467</v>
      </c>
      <c r="D1955" s="9" t="s">
        <v>6798</v>
      </c>
      <c r="E1955" s="9" t="s">
        <v>1469</v>
      </c>
      <c r="F1955" s="9" t="s">
        <v>6799</v>
      </c>
    </row>
    <row r="1956">
      <c r="A1956" s="9" t="s">
        <v>6800</v>
      </c>
      <c r="B1956" s="9" t="s">
        <v>219</v>
      </c>
      <c r="C1956" s="9" t="s">
        <v>1467</v>
      </c>
      <c r="D1956" s="9" t="s">
        <v>6801</v>
      </c>
      <c r="E1956" s="9" t="s">
        <v>1469</v>
      </c>
      <c r="F1956" s="9" t="s">
        <v>6802</v>
      </c>
    </row>
    <row r="1957">
      <c r="A1957" s="9" t="s">
        <v>6803</v>
      </c>
      <c r="B1957" s="9" t="s">
        <v>151</v>
      </c>
      <c r="C1957" s="9" t="s">
        <v>1467</v>
      </c>
      <c r="D1957" s="9" t="s">
        <v>6804</v>
      </c>
      <c r="E1957" s="9" t="s">
        <v>1469</v>
      </c>
      <c r="F1957" s="9" t="s">
        <v>6805</v>
      </c>
    </row>
    <row r="1958">
      <c r="A1958" s="9" t="s">
        <v>6806</v>
      </c>
      <c r="B1958" s="9" t="s">
        <v>366</v>
      </c>
      <c r="C1958" s="9" t="s">
        <v>1467</v>
      </c>
      <c r="D1958" s="9" t="s">
        <v>6807</v>
      </c>
      <c r="E1958" s="9" t="s">
        <v>1469</v>
      </c>
      <c r="F1958" s="9" t="s">
        <v>6808</v>
      </c>
    </row>
    <row r="1959">
      <c r="A1959" s="9" t="s">
        <v>6809</v>
      </c>
      <c r="B1959" s="9" t="s">
        <v>205</v>
      </c>
      <c r="C1959" s="9" t="s">
        <v>1467</v>
      </c>
      <c r="D1959" s="9" t="s">
        <v>6810</v>
      </c>
      <c r="E1959" s="9" t="s">
        <v>1469</v>
      </c>
      <c r="F1959" s="9" t="s">
        <v>6811</v>
      </c>
    </row>
    <row r="1960">
      <c r="A1960" s="9" t="s">
        <v>6812</v>
      </c>
      <c r="B1960" s="9" t="s">
        <v>274</v>
      </c>
      <c r="C1960" s="9" t="s">
        <v>1467</v>
      </c>
      <c r="D1960" s="9" t="s">
        <v>6813</v>
      </c>
      <c r="E1960" s="9" t="s">
        <v>1469</v>
      </c>
      <c r="F1960" s="9" t="s">
        <v>6814</v>
      </c>
    </row>
    <row r="1961">
      <c r="A1961" s="9" t="s">
        <v>6815</v>
      </c>
      <c r="B1961" s="9" t="s">
        <v>237</v>
      </c>
      <c r="C1961" s="9" t="s">
        <v>1467</v>
      </c>
      <c r="D1961" s="9" t="s">
        <v>6816</v>
      </c>
      <c r="E1961" s="9" t="s">
        <v>1469</v>
      </c>
      <c r="F1961" s="9" t="s">
        <v>6817</v>
      </c>
    </row>
    <row r="1962">
      <c r="A1962" s="9" t="s">
        <v>6818</v>
      </c>
      <c r="B1962" s="9" t="s">
        <v>114</v>
      </c>
      <c r="C1962" s="9" t="s">
        <v>1467</v>
      </c>
      <c r="D1962" s="9" t="s">
        <v>6819</v>
      </c>
      <c r="E1962" s="9" t="s">
        <v>1469</v>
      </c>
      <c r="F1962" s="9" t="s">
        <v>6820</v>
      </c>
    </row>
    <row r="1963">
      <c r="A1963" s="9" t="s">
        <v>6821</v>
      </c>
      <c r="B1963" s="9" t="s">
        <v>250</v>
      </c>
      <c r="C1963" s="9" t="s">
        <v>1467</v>
      </c>
      <c r="D1963" s="9" t="s">
        <v>6822</v>
      </c>
      <c r="E1963" s="9" t="s">
        <v>1469</v>
      </c>
      <c r="F1963" s="9" t="s">
        <v>6823</v>
      </c>
    </row>
    <row r="1964">
      <c r="A1964" s="9" t="s">
        <v>6824</v>
      </c>
      <c r="B1964" s="9" t="s">
        <v>250</v>
      </c>
      <c r="C1964" s="9" t="s">
        <v>1467</v>
      </c>
      <c r="D1964" s="9" t="s">
        <v>6825</v>
      </c>
      <c r="E1964" s="9" t="s">
        <v>1469</v>
      </c>
      <c r="F1964" s="9" t="s">
        <v>6826</v>
      </c>
    </row>
    <row r="1965">
      <c r="A1965" s="9" t="s">
        <v>6827</v>
      </c>
      <c r="B1965" s="9" t="s">
        <v>217</v>
      </c>
      <c r="C1965" s="9" t="s">
        <v>1467</v>
      </c>
      <c r="D1965" s="9" t="s">
        <v>6828</v>
      </c>
      <c r="E1965" s="9" t="s">
        <v>1469</v>
      </c>
      <c r="F1965" s="9" t="s">
        <v>6829</v>
      </c>
    </row>
    <row r="1966">
      <c r="A1966" s="9" t="s">
        <v>6830</v>
      </c>
      <c r="B1966" s="9" t="s">
        <v>141</v>
      </c>
      <c r="C1966" s="9" t="s">
        <v>1467</v>
      </c>
      <c r="D1966" s="9" t="s">
        <v>6833</v>
      </c>
      <c r="E1966" s="9" t="s">
        <v>1469</v>
      </c>
      <c r="F1966" s="9" t="s">
        <v>6834</v>
      </c>
    </row>
    <row r="1967">
      <c r="A1967" s="9" t="s">
        <v>6836</v>
      </c>
      <c r="B1967" s="9" t="s">
        <v>141</v>
      </c>
      <c r="C1967" s="9" t="s">
        <v>1467</v>
      </c>
      <c r="D1967" s="9" t="s">
        <v>6837</v>
      </c>
      <c r="E1967" s="9" t="s">
        <v>1469</v>
      </c>
      <c r="F1967" s="9" t="s">
        <v>6838</v>
      </c>
    </row>
    <row r="1968">
      <c r="A1968" s="9" t="s">
        <v>6839</v>
      </c>
      <c r="B1968" s="9" t="s">
        <v>286</v>
      </c>
      <c r="C1968" s="9" t="s">
        <v>1467</v>
      </c>
      <c r="D1968" s="9" t="s">
        <v>6840</v>
      </c>
      <c r="E1968" s="9" t="s">
        <v>1469</v>
      </c>
      <c r="F1968" s="9" t="s">
        <v>6841</v>
      </c>
    </row>
    <row r="1969">
      <c r="A1969" s="9" t="s">
        <v>6842</v>
      </c>
      <c r="B1969" s="9" t="s">
        <v>281</v>
      </c>
      <c r="C1969" s="9" t="s">
        <v>1467</v>
      </c>
      <c r="D1969" s="9" t="s">
        <v>6843</v>
      </c>
      <c r="E1969" s="9" t="s">
        <v>1469</v>
      </c>
      <c r="F1969" s="9" t="s">
        <v>6844</v>
      </c>
    </row>
    <row r="1970">
      <c r="A1970" s="9" t="s">
        <v>6845</v>
      </c>
      <c r="B1970" s="9" t="s">
        <v>61</v>
      </c>
      <c r="C1970" s="9" t="s">
        <v>1467</v>
      </c>
      <c r="D1970" s="9" t="s">
        <v>6846</v>
      </c>
      <c r="E1970" s="9" t="s">
        <v>1469</v>
      </c>
      <c r="F1970" s="9" t="s">
        <v>6847</v>
      </c>
    </row>
    <row r="1971">
      <c r="A1971" s="9" t="s">
        <v>6848</v>
      </c>
      <c r="B1971" s="9" t="s">
        <v>253</v>
      </c>
      <c r="C1971" s="9" t="s">
        <v>1467</v>
      </c>
      <c r="D1971" s="9" t="s">
        <v>6849</v>
      </c>
      <c r="E1971" s="9" t="s">
        <v>1469</v>
      </c>
      <c r="F1971" s="9" t="s">
        <v>6850</v>
      </c>
    </row>
    <row r="1972">
      <c r="A1972" s="9" t="s">
        <v>6851</v>
      </c>
      <c r="B1972" s="9" t="s">
        <v>85</v>
      </c>
      <c r="C1972" s="9" t="s">
        <v>1467</v>
      </c>
      <c r="D1972" s="9" t="s">
        <v>6852</v>
      </c>
      <c r="E1972" s="9" t="s">
        <v>1469</v>
      </c>
      <c r="F1972" s="9" t="s">
        <v>6853</v>
      </c>
    </row>
    <row r="1973">
      <c r="A1973" s="9" t="s">
        <v>6854</v>
      </c>
      <c r="B1973" s="9" t="s">
        <v>185</v>
      </c>
      <c r="C1973" s="9" t="s">
        <v>1467</v>
      </c>
      <c r="D1973" s="9" t="s">
        <v>6855</v>
      </c>
      <c r="E1973" s="9" t="s">
        <v>1469</v>
      </c>
      <c r="F1973" s="9" t="s">
        <v>6856</v>
      </c>
    </row>
    <row r="1974">
      <c r="A1974" s="9" t="s">
        <v>6857</v>
      </c>
      <c r="B1974" s="9" t="s">
        <v>189</v>
      </c>
      <c r="C1974" s="9" t="s">
        <v>1467</v>
      </c>
      <c r="D1974" s="9" t="s">
        <v>6858</v>
      </c>
      <c r="E1974" s="9" t="s">
        <v>1469</v>
      </c>
      <c r="F1974" s="9" t="s">
        <v>6859</v>
      </c>
    </row>
    <row r="1975">
      <c r="A1975" s="9" t="s">
        <v>6860</v>
      </c>
      <c r="B1975" s="9" t="s">
        <v>167</v>
      </c>
      <c r="C1975" s="9" t="s">
        <v>1467</v>
      </c>
      <c r="D1975" s="9" t="s">
        <v>6861</v>
      </c>
      <c r="E1975" s="9" t="s">
        <v>1469</v>
      </c>
      <c r="F1975" s="9" t="s">
        <v>6862</v>
      </c>
    </row>
    <row r="1976">
      <c r="A1976" s="9" t="s">
        <v>6863</v>
      </c>
      <c r="B1976" s="9" t="s">
        <v>114</v>
      </c>
      <c r="C1976" s="9" t="s">
        <v>1467</v>
      </c>
      <c r="D1976" s="9" t="s">
        <v>6864</v>
      </c>
      <c r="E1976" s="9" t="s">
        <v>1469</v>
      </c>
      <c r="F1976" s="9" t="s">
        <v>6865</v>
      </c>
    </row>
    <row r="1977">
      <c r="A1977" s="9" t="s">
        <v>6866</v>
      </c>
      <c r="B1977" s="9" t="s">
        <v>63</v>
      </c>
      <c r="C1977" s="9" t="s">
        <v>1467</v>
      </c>
      <c r="D1977" s="9" t="s">
        <v>6867</v>
      </c>
      <c r="E1977" s="9" t="s">
        <v>1469</v>
      </c>
      <c r="F1977" s="9" t="s">
        <v>6868</v>
      </c>
    </row>
    <row r="1978">
      <c r="A1978" s="9" t="s">
        <v>6869</v>
      </c>
      <c r="B1978" s="9" t="s">
        <v>368</v>
      </c>
      <c r="C1978" s="9" t="s">
        <v>1467</v>
      </c>
      <c r="D1978" s="9" t="s">
        <v>6870</v>
      </c>
      <c r="E1978" s="9" t="s">
        <v>1469</v>
      </c>
      <c r="F1978" s="9" t="s">
        <v>6871</v>
      </c>
    </row>
    <row r="1979">
      <c r="A1979" s="9" t="s">
        <v>6872</v>
      </c>
      <c r="B1979" s="9" t="s">
        <v>253</v>
      </c>
      <c r="C1979" s="9" t="s">
        <v>1467</v>
      </c>
      <c r="D1979" s="9" t="s">
        <v>6873</v>
      </c>
      <c r="E1979" s="9" t="s">
        <v>1469</v>
      </c>
      <c r="F1979" s="9" t="s">
        <v>6874</v>
      </c>
    </row>
    <row r="1980">
      <c r="A1980" s="9" t="s">
        <v>6875</v>
      </c>
      <c r="B1980" s="9" t="s">
        <v>158</v>
      </c>
      <c r="C1980" s="9" t="s">
        <v>1467</v>
      </c>
      <c r="D1980" s="9" t="s">
        <v>6876</v>
      </c>
      <c r="E1980" s="9" t="s">
        <v>1469</v>
      </c>
      <c r="F1980" s="9" t="s">
        <v>6877</v>
      </c>
    </row>
    <row r="1981">
      <c r="A1981" s="9" t="s">
        <v>6878</v>
      </c>
      <c r="B1981" s="9" t="s">
        <v>61</v>
      </c>
      <c r="C1981" s="9" t="s">
        <v>1467</v>
      </c>
      <c r="D1981" s="9" t="s">
        <v>6879</v>
      </c>
      <c r="E1981" s="9" t="s">
        <v>1469</v>
      </c>
      <c r="F1981" s="9" t="s">
        <v>6880</v>
      </c>
    </row>
    <row r="1982">
      <c r="A1982" s="9" t="s">
        <v>6881</v>
      </c>
      <c r="B1982" s="9" t="s">
        <v>287</v>
      </c>
      <c r="C1982" s="9" t="s">
        <v>1467</v>
      </c>
      <c r="D1982" s="9" t="s">
        <v>6882</v>
      </c>
      <c r="E1982" s="9" t="s">
        <v>1469</v>
      </c>
      <c r="F1982" s="9" t="s">
        <v>6883</v>
      </c>
    </row>
    <row r="1983">
      <c r="A1983" s="9" t="s">
        <v>6884</v>
      </c>
      <c r="B1983" s="9" t="s">
        <v>88</v>
      </c>
      <c r="C1983" s="9" t="s">
        <v>1467</v>
      </c>
      <c r="D1983" s="9" t="s">
        <v>6885</v>
      </c>
      <c r="E1983" s="9" t="s">
        <v>1469</v>
      </c>
      <c r="F1983" s="9" t="s">
        <v>6886</v>
      </c>
    </row>
    <row r="1984">
      <c r="A1984" s="9" t="s">
        <v>6887</v>
      </c>
      <c r="B1984" s="9" t="s">
        <v>189</v>
      </c>
      <c r="C1984" s="9" t="s">
        <v>1467</v>
      </c>
      <c r="D1984" s="9" t="s">
        <v>6888</v>
      </c>
      <c r="E1984" s="9" t="s">
        <v>1469</v>
      </c>
      <c r="F1984" s="9" t="s">
        <v>6889</v>
      </c>
    </row>
    <row r="1985">
      <c r="A1985" s="9" t="s">
        <v>6890</v>
      </c>
      <c r="B1985" s="9" t="s">
        <v>385</v>
      </c>
      <c r="C1985" s="9" t="s">
        <v>1467</v>
      </c>
      <c r="D1985" s="9" t="s">
        <v>6891</v>
      </c>
      <c r="E1985" s="9" t="s">
        <v>1469</v>
      </c>
      <c r="F1985" s="9" t="s">
        <v>6892</v>
      </c>
    </row>
    <row r="1986">
      <c r="A1986" s="9" t="s">
        <v>6893</v>
      </c>
      <c r="B1986" s="9" t="s">
        <v>166</v>
      </c>
      <c r="C1986" s="9" t="s">
        <v>1467</v>
      </c>
      <c r="D1986" s="9" t="s">
        <v>6894</v>
      </c>
      <c r="E1986" s="9" t="s">
        <v>1469</v>
      </c>
      <c r="F1986" s="9" t="s">
        <v>6895</v>
      </c>
    </row>
    <row r="1987">
      <c r="A1987" s="9" t="s">
        <v>6896</v>
      </c>
      <c r="B1987" s="9" t="s">
        <v>245</v>
      </c>
      <c r="C1987" s="9" t="s">
        <v>1467</v>
      </c>
      <c r="D1987" s="9" t="s">
        <v>6897</v>
      </c>
      <c r="E1987" s="9" t="s">
        <v>1469</v>
      </c>
      <c r="F1987" s="9" t="s">
        <v>6898</v>
      </c>
    </row>
    <row r="1988">
      <c r="A1988" s="9" t="s">
        <v>6899</v>
      </c>
      <c r="B1988" s="9" t="s">
        <v>54</v>
      </c>
      <c r="C1988" s="9" t="s">
        <v>1467</v>
      </c>
      <c r="D1988" s="9" t="s">
        <v>6900</v>
      </c>
      <c r="E1988" s="9" t="s">
        <v>1469</v>
      </c>
      <c r="F1988" s="9" t="s">
        <v>6901</v>
      </c>
    </row>
    <row r="1989">
      <c r="A1989" s="9" t="s">
        <v>6902</v>
      </c>
      <c r="B1989" s="9" t="s">
        <v>336</v>
      </c>
      <c r="C1989" s="9" t="s">
        <v>1467</v>
      </c>
      <c r="D1989" s="9" t="s">
        <v>6903</v>
      </c>
      <c r="E1989" s="9" t="s">
        <v>1469</v>
      </c>
      <c r="F1989" s="9" t="s">
        <v>6904</v>
      </c>
    </row>
    <row r="1990">
      <c r="A1990" s="9" t="s">
        <v>6905</v>
      </c>
      <c r="B1990" s="9" t="s">
        <v>191</v>
      </c>
      <c r="C1990" s="9" t="s">
        <v>1467</v>
      </c>
      <c r="D1990" s="9" t="s">
        <v>6906</v>
      </c>
      <c r="E1990" s="9" t="s">
        <v>1469</v>
      </c>
      <c r="F1990" s="9" t="s">
        <v>6907</v>
      </c>
    </row>
    <row r="1991">
      <c r="A1991" s="9" t="s">
        <v>6908</v>
      </c>
      <c r="B1991" s="9" t="s">
        <v>245</v>
      </c>
      <c r="C1991" s="9" t="s">
        <v>1467</v>
      </c>
      <c r="D1991" s="9" t="s">
        <v>6909</v>
      </c>
      <c r="E1991" s="9" t="s">
        <v>1469</v>
      </c>
      <c r="F1991" s="9" t="s">
        <v>6910</v>
      </c>
    </row>
    <row r="1992">
      <c r="A1992" s="9" t="s">
        <v>6911</v>
      </c>
      <c r="B1992" s="9" t="s">
        <v>249</v>
      </c>
      <c r="C1992" s="9" t="s">
        <v>1467</v>
      </c>
      <c r="D1992" s="9" t="s">
        <v>6912</v>
      </c>
      <c r="E1992" s="9" t="s">
        <v>1469</v>
      </c>
      <c r="F1992" s="9" t="s">
        <v>6913</v>
      </c>
    </row>
    <row r="1993">
      <c r="A1993" s="9" t="s">
        <v>6914</v>
      </c>
      <c r="B1993" s="9" t="s">
        <v>229</v>
      </c>
      <c r="C1993" s="9" t="s">
        <v>1467</v>
      </c>
      <c r="D1993" s="9" t="s">
        <v>6915</v>
      </c>
      <c r="E1993" s="9" t="s">
        <v>1469</v>
      </c>
      <c r="F1993" s="9" t="s">
        <v>6916</v>
      </c>
    </row>
    <row r="1994">
      <c r="A1994" s="9" t="s">
        <v>6917</v>
      </c>
      <c r="B1994" s="9" t="s">
        <v>385</v>
      </c>
      <c r="C1994" s="9" t="s">
        <v>1467</v>
      </c>
      <c r="D1994" s="9" t="s">
        <v>6918</v>
      </c>
      <c r="E1994" s="9" t="s">
        <v>1469</v>
      </c>
      <c r="F1994" s="9" t="s">
        <v>6919</v>
      </c>
    </row>
    <row r="1995">
      <c r="A1995" s="9" t="s">
        <v>6920</v>
      </c>
      <c r="B1995" s="9" t="s">
        <v>281</v>
      </c>
      <c r="C1995" s="9" t="s">
        <v>1467</v>
      </c>
      <c r="D1995" s="9" t="s">
        <v>6921</v>
      </c>
      <c r="E1995" s="9" t="s">
        <v>1469</v>
      </c>
      <c r="F1995" s="9" t="s">
        <v>6922</v>
      </c>
    </row>
    <row r="1996">
      <c r="A1996" s="9" t="s">
        <v>6923</v>
      </c>
      <c r="B1996" s="9" t="s">
        <v>385</v>
      </c>
      <c r="C1996" s="9" t="s">
        <v>1467</v>
      </c>
      <c r="D1996" s="9" t="s">
        <v>6924</v>
      </c>
      <c r="E1996" s="9" t="s">
        <v>1469</v>
      </c>
      <c r="F1996" s="9" t="s">
        <v>6925</v>
      </c>
    </row>
    <row r="1997">
      <c r="A1997" s="9" t="s">
        <v>6926</v>
      </c>
      <c r="B1997" s="9" t="s">
        <v>54</v>
      </c>
      <c r="C1997" s="9" t="s">
        <v>1467</v>
      </c>
      <c r="D1997" s="9" t="s">
        <v>6927</v>
      </c>
      <c r="E1997" s="9" t="s">
        <v>1469</v>
      </c>
      <c r="F1997" s="9" t="s">
        <v>6928</v>
      </c>
    </row>
    <row r="1998">
      <c r="A1998" s="9" t="s">
        <v>6929</v>
      </c>
      <c r="B1998" s="9" t="s">
        <v>247</v>
      </c>
      <c r="C1998" s="9" t="s">
        <v>1467</v>
      </c>
      <c r="D1998" s="9" t="s">
        <v>6930</v>
      </c>
      <c r="E1998" s="9" t="s">
        <v>1469</v>
      </c>
      <c r="F1998" s="9" t="s">
        <v>6931</v>
      </c>
    </row>
    <row r="1999">
      <c r="A1999" s="9" t="s">
        <v>6932</v>
      </c>
      <c r="B1999" s="9" t="s">
        <v>302</v>
      </c>
      <c r="C1999" s="9" t="s">
        <v>1467</v>
      </c>
      <c r="D1999" s="9" t="s">
        <v>6933</v>
      </c>
      <c r="E1999" s="9" t="s">
        <v>1469</v>
      </c>
      <c r="F1999" s="9" t="s">
        <v>6934</v>
      </c>
    </row>
    <row r="2000">
      <c r="A2000" s="9" t="s">
        <v>6935</v>
      </c>
      <c r="B2000" s="9" t="s">
        <v>281</v>
      </c>
      <c r="C2000" s="9" t="s">
        <v>1467</v>
      </c>
      <c r="D2000" s="9" t="s">
        <v>6936</v>
      </c>
      <c r="E2000" s="9" t="s">
        <v>1469</v>
      </c>
      <c r="F2000" s="9" t="s">
        <v>6937</v>
      </c>
    </row>
    <row r="2001">
      <c r="A2001" s="9" t="s">
        <v>6938</v>
      </c>
      <c r="B2001" s="9" t="s">
        <v>308</v>
      </c>
      <c r="C2001" s="9" t="s">
        <v>1467</v>
      </c>
      <c r="D2001" s="9" t="s">
        <v>6939</v>
      </c>
      <c r="E2001" s="9" t="s">
        <v>1469</v>
      </c>
      <c r="F2001" s="9" t="s">
        <v>6940</v>
      </c>
    </row>
    <row r="2002">
      <c r="A2002" s="9" t="s">
        <v>6941</v>
      </c>
      <c r="B2002" s="9" t="s">
        <v>247</v>
      </c>
      <c r="C2002" s="9" t="s">
        <v>1467</v>
      </c>
      <c r="D2002" s="9" t="s">
        <v>6942</v>
      </c>
      <c r="E2002" s="9" t="s">
        <v>1469</v>
      </c>
      <c r="F2002" s="9" t="s">
        <v>6943</v>
      </c>
    </row>
    <row r="2003">
      <c r="A2003" s="9" t="s">
        <v>6944</v>
      </c>
      <c r="B2003" s="9" t="s">
        <v>308</v>
      </c>
      <c r="C2003" s="9" t="s">
        <v>1467</v>
      </c>
      <c r="D2003" s="9" t="s">
        <v>6945</v>
      </c>
      <c r="E2003" s="9" t="s">
        <v>1469</v>
      </c>
      <c r="F2003" s="9" t="s">
        <v>6946</v>
      </c>
    </row>
    <row r="2004">
      <c r="A2004" s="9" t="s">
        <v>6947</v>
      </c>
      <c r="B2004" s="9" t="s">
        <v>414</v>
      </c>
      <c r="C2004" s="9" t="s">
        <v>1467</v>
      </c>
      <c r="D2004" s="9" t="s">
        <v>6948</v>
      </c>
      <c r="E2004" s="9" t="s">
        <v>1469</v>
      </c>
      <c r="F2004" s="9" t="s">
        <v>6949</v>
      </c>
    </row>
    <row r="2005">
      <c r="A2005" s="9" t="s">
        <v>6950</v>
      </c>
      <c r="B2005" s="9" t="s">
        <v>137</v>
      </c>
      <c r="C2005" s="9" t="s">
        <v>1467</v>
      </c>
      <c r="D2005" s="9" t="s">
        <v>6951</v>
      </c>
      <c r="E2005" s="9" t="s">
        <v>1469</v>
      </c>
      <c r="F2005" s="9" t="s">
        <v>6952</v>
      </c>
    </row>
    <row r="2006">
      <c r="A2006" s="9" t="s">
        <v>6953</v>
      </c>
      <c r="B2006" s="9" t="s">
        <v>74</v>
      </c>
      <c r="C2006" s="9" t="s">
        <v>1467</v>
      </c>
      <c r="D2006" s="9" t="s">
        <v>6954</v>
      </c>
      <c r="E2006" s="9" t="s">
        <v>1469</v>
      </c>
      <c r="F2006" s="9" t="s">
        <v>6955</v>
      </c>
    </row>
    <row r="2007">
      <c r="A2007" s="9" t="s">
        <v>6956</v>
      </c>
      <c r="B2007" s="9" t="s">
        <v>286</v>
      </c>
      <c r="C2007" s="9" t="s">
        <v>1467</v>
      </c>
      <c r="D2007" s="9" t="s">
        <v>6957</v>
      </c>
      <c r="E2007" s="9" t="s">
        <v>1469</v>
      </c>
      <c r="F2007" s="9" t="s">
        <v>6958</v>
      </c>
    </row>
    <row r="2008">
      <c r="A2008" s="9" t="s">
        <v>6959</v>
      </c>
      <c r="B2008" s="9" t="s">
        <v>137</v>
      </c>
      <c r="C2008" s="9" t="s">
        <v>1467</v>
      </c>
      <c r="D2008" s="9" t="s">
        <v>6960</v>
      </c>
      <c r="E2008" s="9" t="s">
        <v>1469</v>
      </c>
      <c r="F2008" s="9" t="s">
        <v>6961</v>
      </c>
    </row>
    <row r="2009">
      <c r="A2009" s="9" t="s">
        <v>6962</v>
      </c>
      <c r="B2009" s="9" t="s">
        <v>195</v>
      </c>
      <c r="C2009" s="9" t="s">
        <v>1467</v>
      </c>
      <c r="D2009" s="9" t="s">
        <v>6963</v>
      </c>
      <c r="E2009" s="9" t="s">
        <v>1469</v>
      </c>
      <c r="F2009" s="9" t="s">
        <v>6964</v>
      </c>
    </row>
    <row r="2010">
      <c r="A2010" s="9" t="s">
        <v>6965</v>
      </c>
      <c r="B2010" s="9" t="s">
        <v>137</v>
      </c>
      <c r="C2010" s="9" t="s">
        <v>1467</v>
      </c>
      <c r="D2010" s="9" t="s">
        <v>6966</v>
      </c>
      <c r="E2010" s="9" t="s">
        <v>1469</v>
      </c>
      <c r="F2010" s="9" t="s">
        <v>6967</v>
      </c>
    </row>
    <row r="2011">
      <c r="A2011" s="9" t="s">
        <v>6969</v>
      </c>
      <c r="B2011" s="9" t="s">
        <v>322</v>
      </c>
      <c r="C2011" s="9" t="s">
        <v>1467</v>
      </c>
      <c r="D2011" s="9" t="s">
        <v>6972</v>
      </c>
      <c r="E2011" s="9" t="s">
        <v>1469</v>
      </c>
      <c r="F2011" s="9" t="s">
        <v>6973</v>
      </c>
    </row>
    <row r="2012">
      <c r="A2012" s="9" t="s">
        <v>6974</v>
      </c>
      <c r="B2012" s="9" t="s">
        <v>150</v>
      </c>
      <c r="C2012" s="9" t="s">
        <v>1467</v>
      </c>
      <c r="D2012" s="9" t="s">
        <v>6975</v>
      </c>
      <c r="E2012" s="9" t="s">
        <v>1469</v>
      </c>
      <c r="F2012" s="9" t="s">
        <v>6976</v>
      </c>
    </row>
    <row r="2013">
      <c r="A2013" s="9" t="s">
        <v>6977</v>
      </c>
      <c r="B2013" s="9" t="s">
        <v>322</v>
      </c>
      <c r="C2013" s="9" t="s">
        <v>1467</v>
      </c>
      <c r="D2013" s="9" t="s">
        <v>6978</v>
      </c>
      <c r="E2013" s="9" t="s">
        <v>1469</v>
      </c>
      <c r="F2013" s="9" t="s">
        <v>6979</v>
      </c>
    </row>
    <row r="2014">
      <c r="A2014" s="9" t="s">
        <v>6980</v>
      </c>
      <c r="B2014" s="9" t="s">
        <v>89</v>
      </c>
      <c r="C2014" s="9" t="s">
        <v>1467</v>
      </c>
      <c r="D2014" s="9" t="s">
        <v>6981</v>
      </c>
      <c r="E2014" s="9" t="s">
        <v>1469</v>
      </c>
      <c r="F2014" s="9" t="s">
        <v>6982</v>
      </c>
    </row>
    <row r="2015">
      <c r="A2015" s="9" t="s">
        <v>6983</v>
      </c>
      <c r="B2015" s="9" t="s">
        <v>101</v>
      </c>
      <c r="C2015" s="9" t="s">
        <v>1467</v>
      </c>
      <c r="D2015" s="9" t="s">
        <v>6984</v>
      </c>
      <c r="E2015" s="9" t="s">
        <v>1469</v>
      </c>
      <c r="F2015" s="9" t="s">
        <v>6985</v>
      </c>
    </row>
    <row r="2016">
      <c r="A2016" s="9" t="s">
        <v>6986</v>
      </c>
      <c r="B2016" s="9" t="s">
        <v>320</v>
      </c>
      <c r="C2016" s="9" t="s">
        <v>1467</v>
      </c>
      <c r="D2016" s="9" t="s">
        <v>6987</v>
      </c>
      <c r="E2016" s="9" t="s">
        <v>1469</v>
      </c>
      <c r="F2016" s="9" t="s">
        <v>6988</v>
      </c>
    </row>
    <row r="2017">
      <c r="A2017" s="9" t="s">
        <v>6989</v>
      </c>
      <c r="B2017" s="9" t="s">
        <v>318</v>
      </c>
      <c r="C2017" s="9" t="s">
        <v>1467</v>
      </c>
      <c r="D2017" s="9" t="s">
        <v>6990</v>
      </c>
      <c r="E2017" s="9" t="s">
        <v>1469</v>
      </c>
      <c r="F2017" s="9" t="s">
        <v>6991</v>
      </c>
    </row>
    <row r="2018">
      <c r="A2018" s="9" t="s">
        <v>6992</v>
      </c>
      <c r="B2018" s="9" t="s">
        <v>89</v>
      </c>
      <c r="C2018" s="9" t="s">
        <v>1467</v>
      </c>
      <c r="D2018" s="9" t="s">
        <v>6993</v>
      </c>
      <c r="E2018" s="9" t="s">
        <v>1469</v>
      </c>
      <c r="F2018" s="9" t="s">
        <v>6994</v>
      </c>
    </row>
    <row r="2019">
      <c r="A2019" s="9" t="s">
        <v>6995</v>
      </c>
      <c r="B2019" s="9" t="s">
        <v>320</v>
      </c>
      <c r="C2019" s="9" t="s">
        <v>1467</v>
      </c>
      <c r="D2019" s="9" t="s">
        <v>6996</v>
      </c>
      <c r="E2019" s="9" t="s">
        <v>1469</v>
      </c>
      <c r="F2019" s="9" t="s">
        <v>6997</v>
      </c>
    </row>
    <row r="2020">
      <c r="A2020" s="9" t="s">
        <v>6998</v>
      </c>
      <c r="B2020" s="9" t="s">
        <v>376</v>
      </c>
      <c r="C2020" s="9" t="s">
        <v>1467</v>
      </c>
      <c r="D2020" s="9" t="s">
        <v>6999</v>
      </c>
      <c r="E2020" s="9" t="s">
        <v>1469</v>
      </c>
      <c r="F2020" s="9" t="s">
        <v>7000</v>
      </c>
    </row>
    <row r="2021">
      <c r="A2021" s="9" t="s">
        <v>7001</v>
      </c>
      <c r="B2021" s="9" t="s">
        <v>284</v>
      </c>
      <c r="C2021" s="9" t="s">
        <v>1467</v>
      </c>
      <c r="D2021" s="9" t="s">
        <v>7002</v>
      </c>
      <c r="E2021" s="9" t="s">
        <v>1469</v>
      </c>
      <c r="F2021" s="9" t="s">
        <v>7003</v>
      </c>
    </row>
    <row r="2022">
      <c r="A2022" s="9" t="s">
        <v>7004</v>
      </c>
      <c r="B2022" s="9" t="s">
        <v>355</v>
      </c>
      <c r="C2022" s="9" t="s">
        <v>1467</v>
      </c>
      <c r="D2022" s="9" t="s">
        <v>7005</v>
      </c>
      <c r="E2022" s="9" t="s">
        <v>1469</v>
      </c>
      <c r="F2022" s="9" t="s">
        <v>7006</v>
      </c>
    </row>
    <row r="2023">
      <c r="A2023" s="9" t="s">
        <v>7007</v>
      </c>
      <c r="B2023" s="9" t="s">
        <v>195</v>
      </c>
      <c r="C2023" s="9" t="s">
        <v>1467</v>
      </c>
      <c r="D2023" s="9" t="s">
        <v>7008</v>
      </c>
      <c r="E2023" s="9" t="s">
        <v>1469</v>
      </c>
      <c r="F2023" s="9" t="s">
        <v>7009</v>
      </c>
    </row>
    <row r="2024">
      <c r="A2024" s="9" t="s">
        <v>7010</v>
      </c>
      <c r="B2024" s="9" t="s">
        <v>192</v>
      </c>
      <c r="C2024" s="9" t="s">
        <v>1467</v>
      </c>
      <c r="D2024" s="9" t="s">
        <v>7011</v>
      </c>
      <c r="E2024" s="9" t="s">
        <v>1469</v>
      </c>
      <c r="F2024" s="9" t="s">
        <v>7012</v>
      </c>
    </row>
    <row r="2025">
      <c r="A2025" s="9" t="s">
        <v>7013</v>
      </c>
      <c r="B2025" s="9" t="s">
        <v>254</v>
      </c>
      <c r="C2025" s="9" t="s">
        <v>1467</v>
      </c>
      <c r="D2025" s="9" t="s">
        <v>7014</v>
      </c>
      <c r="E2025" s="9" t="s">
        <v>1469</v>
      </c>
      <c r="F2025" s="9" t="s">
        <v>7015</v>
      </c>
    </row>
    <row r="2026">
      <c r="A2026" s="9" t="s">
        <v>7016</v>
      </c>
      <c r="B2026" s="9" t="s">
        <v>204</v>
      </c>
      <c r="C2026" s="9" t="s">
        <v>1467</v>
      </c>
      <c r="D2026" s="9" t="s">
        <v>7017</v>
      </c>
      <c r="E2026" s="9" t="s">
        <v>1469</v>
      </c>
      <c r="F2026" s="9" t="s">
        <v>7018</v>
      </c>
    </row>
    <row r="2027">
      <c r="A2027" s="9" t="s">
        <v>7019</v>
      </c>
      <c r="B2027" s="9" t="s">
        <v>254</v>
      </c>
      <c r="C2027" s="9" t="s">
        <v>1467</v>
      </c>
      <c r="D2027" s="9" t="s">
        <v>7020</v>
      </c>
      <c r="E2027" s="9" t="s">
        <v>1469</v>
      </c>
      <c r="F2027" s="9" t="s">
        <v>7021</v>
      </c>
    </row>
    <row r="2028">
      <c r="A2028" s="9" t="s">
        <v>7022</v>
      </c>
      <c r="B2028" s="9" t="s">
        <v>55</v>
      </c>
      <c r="C2028" s="9" t="s">
        <v>1467</v>
      </c>
      <c r="D2028" s="9" t="s">
        <v>7023</v>
      </c>
      <c r="E2028" s="9" t="s">
        <v>1469</v>
      </c>
      <c r="F2028" s="9" t="s">
        <v>7024</v>
      </c>
    </row>
    <row r="2029">
      <c r="A2029" s="9" t="s">
        <v>7025</v>
      </c>
      <c r="B2029" s="9" t="s">
        <v>237</v>
      </c>
      <c r="C2029" s="9" t="s">
        <v>1467</v>
      </c>
      <c r="D2029" s="9" t="s">
        <v>7026</v>
      </c>
      <c r="E2029" s="9" t="s">
        <v>1469</v>
      </c>
      <c r="F2029" s="9" t="s">
        <v>7027</v>
      </c>
    </row>
    <row r="2030">
      <c r="A2030" s="9" t="s">
        <v>7028</v>
      </c>
      <c r="B2030" s="9" t="s">
        <v>237</v>
      </c>
      <c r="C2030" s="9" t="s">
        <v>1467</v>
      </c>
      <c r="D2030" s="9" t="s">
        <v>7029</v>
      </c>
      <c r="E2030" s="9" t="s">
        <v>1469</v>
      </c>
      <c r="F2030" s="9" t="s">
        <v>7030</v>
      </c>
    </row>
    <row r="2031">
      <c r="A2031" s="9" t="s">
        <v>7031</v>
      </c>
      <c r="B2031" s="9" t="s">
        <v>331</v>
      </c>
      <c r="C2031" s="9" t="s">
        <v>1467</v>
      </c>
      <c r="D2031" s="9" t="s">
        <v>7032</v>
      </c>
      <c r="E2031" s="9" t="s">
        <v>1469</v>
      </c>
      <c r="F2031" s="9" t="s">
        <v>7033</v>
      </c>
    </row>
    <row r="2032">
      <c r="A2032" s="9" t="s">
        <v>7034</v>
      </c>
      <c r="B2032" s="9" t="s">
        <v>237</v>
      </c>
      <c r="C2032" s="9" t="s">
        <v>1467</v>
      </c>
      <c r="D2032" s="9" t="s">
        <v>7035</v>
      </c>
      <c r="E2032" s="9" t="s">
        <v>1469</v>
      </c>
      <c r="F2032" s="9" t="s">
        <v>7036</v>
      </c>
    </row>
    <row r="2033">
      <c r="A2033" s="9" t="s">
        <v>7037</v>
      </c>
      <c r="B2033" s="9" t="s">
        <v>328</v>
      </c>
      <c r="C2033" s="9" t="s">
        <v>1467</v>
      </c>
      <c r="D2033" s="9" t="s">
        <v>7038</v>
      </c>
      <c r="E2033" s="9" t="s">
        <v>1469</v>
      </c>
      <c r="F2033" s="9" t="s">
        <v>7039</v>
      </c>
    </row>
    <row r="2034">
      <c r="A2034" s="9" t="s">
        <v>7040</v>
      </c>
      <c r="B2034" s="9" t="s">
        <v>166</v>
      </c>
      <c r="C2034" s="9" t="s">
        <v>1467</v>
      </c>
      <c r="D2034" s="9" t="s">
        <v>7041</v>
      </c>
      <c r="E2034" s="9" t="s">
        <v>1469</v>
      </c>
      <c r="F2034" s="9" t="s">
        <v>7042</v>
      </c>
    </row>
    <row r="2035">
      <c r="A2035" s="9" t="s">
        <v>7043</v>
      </c>
      <c r="B2035" s="9" t="s">
        <v>288</v>
      </c>
      <c r="C2035" s="9" t="s">
        <v>1467</v>
      </c>
      <c r="D2035" s="9" t="s">
        <v>7044</v>
      </c>
      <c r="E2035" s="9" t="s">
        <v>1469</v>
      </c>
      <c r="F2035" s="9" t="s">
        <v>7045</v>
      </c>
    </row>
    <row r="2036">
      <c r="A2036" s="9" t="s">
        <v>7046</v>
      </c>
      <c r="B2036" s="9" t="s">
        <v>54</v>
      </c>
      <c r="C2036" s="9" t="s">
        <v>1467</v>
      </c>
      <c r="D2036" s="9" t="s">
        <v>7047</v>
      </c>
      <c r="E2036" s="9" t="s">
        <v>1469</v>
      </c>
      <c r="F2036" s="9" t="s">
        <v>7048</v>
      </c>
    </row>
    <row r="2037">
      <c r="A2037" s="9" t="s">
        <v>7049</v>
      </c>
      <c r="B2037" s="9" t="s">
        <v>115</v>
      </c>
      <c r="C2037" s="9" t="s">
        <v>1467</v>
      </c>
      <c r="D2037" s="9" t="s">
        <v>7050</v>
      </c>
      <c r="E2037" s="9" t="s">
        <v>1469</v>
      </c>
      <c r="F2037" s="9" t="s">
        <v>7051</v>
      </c>
    </row>
    <row r="2038">
      <c r="A2038" s="9" t="s">
        <v>7052</v>
      </c>
      <c r="B2038" s="9" t="s">
        <v>331</v>
      </c>
      <c r="C2038" s="9" t="s">
        <v>1467</v>
      </c>
      <c r="D2038" s="9" t="s">
        <v>7053</v>
      </c>
      <c r="E2038" s="9" t="s">
        <v>1469</v>
      </c>
      <c r="F2038" s="9" t="s">
        <v>7054</v>
      </c>
    </row>
    <row r="2039">
      <c r="A2039" s="9" t="s">
        <v>7055</v>
      </c>
      <c r="B2039" s="9" t="s">
        <v>336</v>
      </c>
      <c r="C2039" s="9" t="s">
        <v>1467</v>
      </c>
      <c r="D2039" s="9" t="s">
        <v>7056</v>
      </c>
      <c r="E2039" s="9" t="s">
        <v>1469</v>
      </c>
      <c r="F2039" s="9" t="s">
        <v>7057</v>
      </c>
    </row>
    <row r="2040">
      <c r="A2040" s="9" t="s">
        <v>7058</v>
      </c>
      <c r="B2040" s="9" t="s">
        <v>115</v>
      </c>
      <c r="C2040" s="9" t="s">
        <v>1467</v>
      </c>
      <c r="D2040" s="9" t="s">
        <v>7059</v>
      </c>
      <c r="E2040" s="9" t="s">
        <v>1469</v>
      </c>
      <c r="F2040" s="9" t="s">
        <v>7060</v>
      </c>
    </row>
    <row r="2041">
      <c r="A2041" s="9" t="s">
        <v>7061</v>
      </c>
      <c r="B2041" s="9" t="s">
        <v>288</v>
      </c>
      <c r="C2041" s="9" t="s">
        <v>1467</v>
      </c>
      <c r="D2041" s="9" t="s">
        <v>7062</v>
      </c>
      <c r="E2041" s="9" t="s">
        <v>1469</v>
      </c>
      <c r="F2041" s="9" t="s">
        <v>7063</v>
      </c>
    </row>
    <row r="2042">
      <c r="A2042" s="9" t="s">
        <v>7064</v>
      </c>
      <c r="B2042" s="9" t="s">
        <v>258</v>
      </c>
      <c r="C2042" s="9" t="s">
        <v>1467</v>
      </c>
      <c r="D2042" s="9" t="s">
        <v>7065</v>
      </c>
      <c r="E2042" s="9" t="s">
        <v>1469</v>
      </c>
      <c r="F2042" s="9" t="s">
        <v>7066</v>
      </c>
    </row>
    <row r="2043">
      <c r="A2043" s="9" t="s">
        <v>7067</v>
      </c>
      <c r="B2043" s="9" t="s">
        <v>104</v>
      </c>
      <c r="C2043" s="9" t="s">
        <v>1467</v>
      </c>
      <c r="D2043" s="9" t="s">
        <v>7068</v>
      </c>
      <c r="E2043" s="9" t="s">
        <v>1469</v>
      </c>
      <c r="F2043" s="9" t="s">
        <v>7069</v>
      </c>
    </row>
    <row r="2044">
      <c r="A2044" s="9" t="s">
        <v>7070</v>
      </c>
      <c r="B2044" s="9" t="s">
        <v>107</v>
      </c>
      <c r="C2044" s="9" t="s">
        <v>1467</v>
      </c>
      <c r="D2044" s="9" t="s">
        <v>7071</v>
      </c>
      <c r="E2044" s="9" t="s">
        <v>1469</v>
      </c>
      <c r="F2044" s="9" t="s">
        <v>7072</v>
      </c>
    </row>
    <row r="2045">
      <c r="A2045" s="9" t="s">
        <v>7073</v>
      </c>
      <c r="B2045" s="9" t="s">
        <v>231</v>
      </c>
      <c r="C2045" s="9" t="s">
        <v>1467</v>
      </c>
      <c r="D2045" s="9" t="s">
        <v>7074</v>
      </c>
      <c r="E2045" s="9" t="s">
        <v>1469</v>
      </c>
      <c r="F2045" s="9" t="s">
        <v>7075</v>
      </c>
    </row>
    <row r="2046">
      <c r="A2046" s="9" t="s">
        <v>7076</v>
      </c>
      <c r="B2046" s="9" t="s">
        <v>85</v>
      </c>
      <c r="C2046" s="9" t="s">
        <v>1467</v>
      </c>
      <c r="D2046" s="9" t="s">
        <v>7077</v>
      </c>
      <c r="E2046" s="9" t="s">
        <v>1469</v>
      </c>
      <c r="F2046" s="9" t="s">
        <v>7078</v>
      </c>
    </row>
    <row r="2047">
      <c r="A2047" s="9" t="s">
        <v>7079</v>
      </c>
      <c r="B2047" s="9" t="s">
        <v>259</v>
      </c>
      <c r="C2047" s="9" t="s">
        <v>1467</v>
      </c>
      <c r="D2047" s="9" t="s">
        <v>7080</v>
      </c>
      <c r="E2047" s="9" t="s">
        <v>1469</v>
      </c>
      <c r="F2047" s="9" t="s">
        <v>7081</v>
      </c>
    </row>
    <row r="2048">
      <c r="A2048" s="9" t="s">
        <v>7082</v>
      </c>
      <c r="B2048" s="9" t="s">
        <v>18</v>
      </c>
      <c r="C2048" s="9" t="s">
        <v>1467</v>
      </c>
      <c r="D2048" s="9" t="s">
        <v>7083</v>
      </c>
      <c r="E2048" s="9" t="s">
        <v>1469</v>
      </c>
      <c r="F2048" s="9" t="s">
        <v>7084</v>
      </c>
    </row>
    <row r="2049">
      <c r="A2049" s="9" t="s">
        <v>7085</v>
      </c>
      <c r="B2049" s="9" t="s">
        <v>198</v>
      </c>
      <c r="C2049" s="9" t="s">
        <v>1467</v>
      </c>
      <c r="D2049" s="9" t="s">
        <v>7086</v>
      </c>
      <c r="E2049" s="9" t="s">
        <v>1469</v>
      </c>
      <c r="F2049" s="9" t="s">
        <v>7087</v>
      </c>
    </row>
    <row r="2050">
      <c r="A2050" s="9" t="s">
        <v>7088</v>
      </c>
      <c r="B2050" s="9" t="s">
        <v>173</v>
      </c>
      <c r="C2050" s="9" t="s">
        <v>1467</v>
      </c>
      <c r="D2050" s="9" t="s">
        <v>7089</v>
      </c>
      <c r="E2050" s="9" t="s">
        <v>1469</v>
      </c>
      <c r="F2050" s="9" t="s">
        <v>7090</v>
      </c>
    </row>
    <row r="2051">
      <c r="A2051" s="9" t="s">
        <v>7091</v>
      </c>
      <c r="B2051" s="9" t="s">
        <v>228</v>
      </c>
      <c r="C2051" s="9" t="s">
        <v>1467</v>
      </c>
      <c r="D2051" s="9" t="s">
        <v>7092</v>
      </c>
      <c r="E2051" s="9" t="s">
        <v>1469</v>
      </c>
      <c r="F2051" s="9" t="s">
        <v>7093</v>
      </c>
    </row>
    <row r="2052">
      <c r="A2052" s="9" t="s">
        <v>7094</v>
      </c>
      <c r="B2052" s="9" t="s">
        <v>345</v>
      </c>
      <c r="C2052" s="9" t="s">
        <v>1467</v>
      </c>
      <c r="D2052" s="9" t="s">
        <v>7095</v>
      </c>
      <c r="E2052" s="9" t="s">
        <v>1469</v>
      </c>
      <c r="F2052" s="9" t="s">
        <v>7096</v>
      </c>
    </row>
    <row r="2053">
      <c r="A2053" s="9" t="s">
        <v>7097</v>
      </c>
      <c r="B2053" s="9" t="s">
        <v>263</v>
      </c>
      <c r="C2053" s="9" t="s">
        <v>1467</v>
      </c>
      <c r="D2053" s="9" t="s">
        <v>7098</v>
      </c>
      <c r="E2053" s="9" t="s">
        <v>1469</v>
      </c>
      <c r="F2053" s="9" t="s">
        <v>7099</v>
      </c>
    </row>
    <row r="2054">
      <c r="A2054" s="9" t="s">
        <v>7100</v>
      </c>
      <c r="B2054" s="9" t="s">
        <v>110</v>
      </c>
      <c r="C2054" s="9" t="s">
        <v>1467</v>
      </c>
      <c r="D2054" s="9" t="s">
        <v>7101</v>
      </c>
      <c r="E2054" s="9" t="s">
        <v>1469</v>
      </c>
      <c r="F2054" s="9" t="s">
        <v>7102</v>
      </c>
    </row>
    <row r="2055">
      <c r="A2055" s="9" t="s">
        <v>7103</v>
      </c>
      <c r="B2055" s="9" t="s">
        <v>107</v>
      </c>
      <c r="C2055" s="9" t="s">
        <v>1467</v>
      </c>
      <c r="D2055" s="9" t="s">
        <v>7104</v>
      </c>
      <c r="E2055" s="9" t="s">
        <v>1469</v>
      </c>
      <c r="F2055" s="9" t="s">
        <v>7105</v>
      </c>
    </row>
    <row r="2056">
      <c r="A2056" s="9" t="s">
        <v>7106</v>
      </c>
      <c r="B2056" s="9" t="s">
        <v>342</v>
      </c>
      <c r="C2056" s="9" t="s">
        <v>1467</v>
      </c>
      <c r="D2056" s="9" t="s">
        <v>7107</v>
      </c>
      <c r="E2056" s="9" t="s">
        <v>1469</v>
      </c>
      <c r="F2056" s="9" t="s">
        <v>7108</v>
      </c>
    </row>
    <row r="2057">
      <c r="A2057" s="9" t="s">
        <v>7109</v>
      </c>
      <c r="B2057" s="9" t="s">
        <v>259</v>
      </c>
      <c r="C2057" s="9" t="s">
        <v>1467</v>
      </c>
      <c r="D2057" s="9" t="s">
        <v>7110</v>
      </c>
      <c r="E2057" s="9" t="s">
        <v>1469</v>
      </c>
      <c r="F2057" s="9" t="s">
        <v>7111</v>
      </c>
    </row>
    <row r="2058">
      <c r="A2058" s="9" t="s">
        <v>7112</v>
      </c>
      <c r="B2058" s="9" t="s">
        <v>349</v>
      </c>
      <c r="C2058" s="9" t="s">
        <v>1467</v>
      </c>
      <c r="D2058" s="9" t="s">
        <v>7113</v>
      </c>
      <c r="E2058" s="9" t="s">
        <v>1469</v>
      </c>
      <c r="F2058" s="9" t="s">
        <v>7114</v>
      </c>
    </row>
    <row r="2059">
      <c r="A2059" s="9" t="s">
        <v>7115</v>
      </c>
      <c r="B2059" s="9" t="s">
        <v>369</v>
      </c>
      <c r="C2059" s="9" t="s">
        <v>1467</v>
      </c>
      <c r="D2059" s="9" t="s">
        <v>7116</v>
      </c>
      <c r="E2059" s="9" t="s">
        <v>1469</v>
      </c>
      <c r="F2059" s="9" t="s">
        <v>7117</v>
      </c>
    </row>
    <row r="2060">
      <c r="A2060" s="9" t="s">
        <v>7118</v>
      </c>
      <c r="B2060" s="9" t="s">
        <v>369</v>
      </c>
      <c r="C2060" s="9" t="s">
        <v>1467</v>
      </c>
      <c r="D2060" s="9" t="s">
        <v>7119</v>
      </c>
      <c r="E2060" s="9" t="s">
        <v>1469</v>
      </c>
      <c r="F2060" s="9" t="s">
        <v>7120</v>
      </c>
    </row>
    <row r="2061">
      <c r="A2061" s="9" t="s">
        <v>7121</v>
      </c>
      <c r="B2061" s="9" t="s">
        <v>332</v>
      </c>
      <c r="C2061" s="9" t="s">
        <v>1467</v>
      </c>
      <c r="D2061" s="9" t="s">
        <v>7123</v>
      </c>
      <c r="E2061" s="9" t="s">
        <v>1469</v>
      </c>
      <c r="F2061" s="9" t="s">
        <v>7125</v>
      </c>
    </row>
    <row r="2062">
      <c r="A2062" s="9" t="s">
        <v>7126</v>
      </c>
      <c r="B2062" s="9" t="s">
        <v>296</v>
      </c>
      <c r="C2062" s="9" t="s">
        <v>1467</v>
      </c>
      <c r="D2062" s="9" t="s">
        <v>7128</v>
      </c>
      <c r="E2062" s="9" t="s">
        <v>1469</v>
      </c>
      <c r="F2062" s="9" t="s">
        <v>7129</v>
      </c>
    </row>
    <row r="2063">
      <c r="A2063" s="9" t="s">
        <v>7130</v>
      </c>
      <c r="B2063" s="9" t="s">
        <v>286</v>
      </c>
      <c r="C2063" s="9" t="s">
        <v>1467</v>
      </c>
      <c r="D2063" s="9" t="s">
        <v>7131</v>
      </c>
      <c r="E2063" s="9" t="s">
        <v>1469</v>
      </c>
      <c r="F2063" s="9" t="s">
        <v>7132</v>
      </c>
    </row>
    <row r="2064">
      <c r="A2064" s="9" t="s">
        <v>7133</v>
      </c>
      <c r="B2064" s="9" t="s">
        <v>198</v>
      </c>
      <c r="C2064" s="9" t="s">
        <v>1467</v>
      </c>
      <c r="D2064" s="9" t="s">
        <v>7134</v>
      </c>
      <c r="E2064" s="9" t="s">
        <v>1469</v>
      </c>
      <c r="F2064" s="9" t="s">
        <v>7135</v>
      </c>
    </row>
    <row r="2065">
      <c r="A2065" s="9" t="s">
        <v>7136</v>
      </c>
      <c r="B2065" s="9" t="s">
        <v>306</v>
      </c>
      <c r="C2065" s="9" t="s">
        <v>1467</v>
      </c>
      <c r="D2065" s="9" t="s">
        <v>7137</v>
      </c>
      <c r="E2065" s="9" t="s">
        <v>1469</v>
      </c>
      <c r="F2065" s="9" t="s">
        <v>7138</v>
      </c>
    </row>
    <row r="2066">
      <c r="A2066" s="9" t="s">
        <v>7139</v>
      </c>
      <c r="B2066" s="9" t="s">
        <v>343</v>
      </c>
      <c r="C2066" s="9" t="s">
        <v>1467</v>
      </c>
      <c r="D2066" s="9" t="s">
        <v>7140</v>
      </c>
      <c r="E2066" s="9" t="s">
        <v>1469</v>
      </c>
      <c r="F2066" s="9" t="s">
        <v>7141</v>
      </c>
    </row>
    <row r="2067">
      <c r="A2067" s="9" t="s">
        <v>7142</v>
      </c>
      <c r="B2067" s="9" t="s">
        <v>284</v>
      </c>
      <c r="C2067" s="9" t="s">
        <v>1467</v>
      </c>
      <c r="D2067" s="9" t="s">
        <v>7143</v>
      </c>
      <c r="E2067" s="9" t="s">
        <v>1469</v>
      </c>
      <c r="F2067" s="9" t="s">
        <v>7144</v>
      </c>
    </row>
    <row r="2068">
      <c r="A2068" s="9" t="s">
        <v>7145</v>
      </c>
      <c r="B2068" s="9" t="s">
        <v>264</v>
      </c>
      <c r="C2068" s="9" t="s">
        <v>1467</v>
      </c>
      <c r="D2068" s="9" t="s">
        <v>7146</v>
      </c>
      <c r="E2068" s="9" t="s">
        <v>1469</v>
      </c>
      <c r="F2068" s="9" t="s">
        <v>7147</v>
      </c>
    </row>
    <row r="2069">
      <c r="A2069" s="9" t="s">
        <v>7148</v>
      </c>
      <c r="B2069" s="9" t="s">
        <v>323</v>
      </c>
      <c r="C2069" s="9" t="s">
        <v>1467</v>
      </c>
      <c r="D2069" s="9" t="s">
        <v>7149</v>
      </c>
      <c r="E2069" s="9" t="s">
        <v>1469</v>
      </c>
      <c r="F2069" s="9" t="s">
        <v>7150</v>
      </c>
    </row>
    <row r="2070">
      <c r="A2070" s="9" t="s">
        <v>7151</v>
      </c>
      <c r="B2070" s="9" t="s">
        <v>264</v>
      </c>
      <c r="C2070" s="9" t="s">
        <v>1467</v>
      </c>
      <c r="D2070" s="9" t="s">
        <v>7152</v>
      </c>
      <c r="E2070" s="9" t="s">
        <v>1469</v>
      </c>
      <c r="F2070" s="9" t="s">
        <v>7153</v>
      </c>
    </row>
    <row r="2071">
      <c r="A2071" s="9" t="s">
        <v>7154</v>
      </c>
      <c r="B2071" s="9" t="s">
        <v>141</v>
      </c>
      <c r="C2071" s="9" t="s">
        <v>1467</v>
      </c>
      <c r="D2071" s="9" t="s">
        <v>7155</v>
      </c>
      <c r="E2071" s="9" t="s">
        <v>1469</v>
      </c>
      <c r="F2071" s="9" t="s">
        <v>7156</v>
      </c>
    </row>
    <row r="2072">
      <c r="A2072" s="9" t="s">
        <v>7157</v>
      </c>
      <c r="B2072" s="9" t="s">
        <v>163</v>
      </c>
      <c r="C2072" s="9" t="s">
        <v>1467</v>
      </c>
      <c r="D2072" s="9" t="s">
        <v>7158</v>
      </c>
      <c r="E2072" s="9" t="s">
        <v>1469</v>
      </c>
      <c r="F2072" s="9" t="s">
        <v>7159</v>
      </c>
    </row>
    <row r="2073">
      <c r="A2073" s="9" t="s">
        <v>7160</v>
      </c>
      <c r="B2073" s="9" t="s">
        <v>277</v>
      </c>
      <c r="C2073" s="9" t="s">
        <v>1467</v>
      </c>
      <c r="D2073" s="9" t="s">
        <v>7161</v>
      </c>
      <c r="E2073" s="9" t="s">
        <v>1469</v>
      </c>
      <c r="F2073" s="9" t="s">
        <v>7162</v>
      </c>
    </row>
    <row r="2074">
      <c r="A2074" s="9" t="s">
        <v>7163</v>
      </c>
      <c r="B2074" s="9" t="s">
        <v>264</v>
      </c>
      <c r="C2074" s="9" t="s">
        <v>1467</v>
      </c>
      <c r="D2074" s="9" t="s">
        <v>7164</v>
      </c>
      <c r="E2074" s="9" t="s">
        <v>1469</v>
      </c>
      <c r="F2074" s="9" t="s">
        <v>7165</v>
      </c>
    </row>
    <row r="2075">
      <c r="A2075" s="9" t="s">
        <v>7166</v>
      </c>
      <c r="B2075" s="9" t="s">
        <v>166</v>
      </c>
      <c r="C2075" s="9" t="s">
        <v>1467</v>
      </c>
      <c r="D2075" s="9" t="s">
        <v>7167</v>
      </c>
      <c r="E2075" s="9" t="s">
        <v>1469</v>
      </c>
      <c r="F2075" s="9" t="s">
        <v>7168</v>
      </c>
    </row>
    <row r="2076">
      <c r="A2076" s="9" t="s">
        <v>7169</v>
      </c>
      <c r="B2076" s="9" t="s">
        <v>332</v>
      </c>
      <c r="C2076" s="9" t="s">
        <v>1467</v>
      </c>
      <c r="D2076" s="9" t="s">
        <v>7170</v>
      </c>
      <c r="E2076" s="9" t="s">
        <v>1469</v>
      </c>
      <c r="F2076" s="9" t="s">
        <v>7171</v>
      </c>
    </row>
    <row r="2077">
      <c r="A2077" s="9" t="s">
        <v>7172</v>
      </c>
      <c r="B2077" s="9" t="s">
        <v>315</v>
      </c>
      <c r="C2077" s="9" t="s">
        <v>1467</v>
      </c>
      <c r="D2077" s="9" t="s">
        <v>7173</v>
      </c>
      <c r="E2077" s="9" t="s">
        <v>1469</v>
      </c>
      <c r="F2077" s="9" t="s">
        <v>7174</v>
      </c>
    </row>
    <row r="2078">
      <c r="A2078" s="9" t="s">
        <v>7175</v>
      </c>
      <c r="B2078" s="9" t="s">
        <v>186</v>
      </c>
      <c r="C2078" s="9" t="s">
        <v>1467</v>
      </c>
      <c r="D2078" s="9" t="s">
        <v>7176</v>
      </c>
      <c r="E2078" s="9" t="s">
        <v>1469</v>
      </c>
      <c r="F2078" s="9" t="s">
        <v>7177</v>
      </c>
    </row>
    <row r="2079">
      <c r="A2079" s="9" t="s">
        <v>7178</v>
      </c>
      <c r="B2079" s="9" t="s">
        <v>208</v>
      </c>
      <c r="C2079" s="9" t="s">
        <v>1467</v>
      </c>
      <c r="D2079" s="9" t="s">
        <v>7179</v>
      </c>
      <c r="E2079" s="9" t="s">
        <v>1469</v>
      </c>
      <c r="F2079" s="9" t="s">
        <v>7180</v>
      </c>
    </row>
    <row r="2080">
      <c r="A2080" s="9" t="s">
        <v>7181</v>
      </c>
      <c r="B2080" s="9" t="s">
        <v>322</v>
      </c>
      <c r="C2080" s="9" t="s">
        <v>1467</v>
      </c>
      <c r="D2080" s="9" t="s">
        <v>7182</v>
      </c>
      <c r="E2080" s="9" t="s">
        <v>1469</v>
      </c>
      <c r="F2080" s="9" t="s">
        <v>7183</v>
      </c>
    </row>
    <row r="2081">
      <c r="A2081" s="9" t="s">
        <v>7184</v>
      </c>
      <c r="B2081" s="9" t="s">
        <v>331</v>
      </c>
      <c r="C2081" s="9" t="s">
        <v>1467</v>
      </c>
      <c r="D2081" s="9" t="s">
        <v>7185</v>
      </c>
      <c r="E2081" s="9" t="s">
        <v>1469</v>
      </c>
      <c r="F2081" s="9" t="s">
        <v>7186</v>
      </c>
    </row>
    <row r="2082">
      <c r="A2082" s="9" t="s">
        <v>7187</v>
      </c>
      <c r="B2082" s="9" t="s">
        <v>356</v>
      </c>
      <c r="C2082" s="9" t="s">
        <v>1467</v>
      </c>
      <c r="D2082" s="9" t="s">
        <v>7188</v>
      </c>
      <c r="E2082" s="9" t="s">
        <v>1469</v>
      </c>
      <c r="F2082" s="9" t="s">
        <v>7189</v>
      </c>
    </row>
    <row r="2083">
      <c r="A2083" s="9" t="s">
        <v>7190</v>
      </c>
      <c r="B2083" s="9" t="s">
        <v>164</v>
      </c>
      <c r="C2083" s="9" t="s">
        <v>1467</v>
      </c>
      <c r="D2083" s="9" t="s">
        <v>7191</v>
      </c>
      <c r="E2083" s="9" t="s">
        <v>1469</v>
      </c>
      <c r="F2083" s="9" t="s">
        <v>7192</v>
      </c>
    </row>
    <row r="2084">
      <c r="A2084" s="9" t="s">
        <v>7193</v>
      </c>
      <c r="B2084" s="9" t="s">
        <v>263</v>
      </c>
      <c r="C2084" s="9" t="s">
        <v>1467</v>
      </c>
      <c r="D2084" s="9" t="s">
        <v>7194</v>
      </c>
      <c r="E2084" s="9" t="s">
        <v>1469</v>
      </c>
      <c r="F2084" s="9" t="s">
        <v>7195</v>
      </c>
    </row>
    <row r="2085">
      <c r="A2085" s="9" t="s">
        <v>7196</v>
      </c>
      <c r="B2085" s="9" t="s">
        <v>267</v>
      </c>
      <c r="C2085" s="9" t="s">
        <v>1467</v>
      </c>
      <c r="D2085" s="9" t="s">
        <v>7197</v>
      </c>
      <c r="E2085" s="9" t="s">
        <v>1469</v>
      </c>
      <c r="F2085" s="9" t="s">
        <v>7198</v>
      </c>
    </row>
    <row r="2086">
      <c r="A2086" s="9" t="s">
        <v>7199</v>
      </c>
      <c r="B2086" s="9" t="s">
        <v>163</v>
      </c>
      <c r="C2086" s="9" t="s">
        <v>1467</v>
      </c>
      <c r="D2086" s="9" t="s">
        <v>7200</v>
      </c>
      <c r="E2086" s="9" t="s">
        <v>1469</v>
      </c>
      <c r="F2086" s="9" t="s">
        <v>7201</v>
      </c>
    </row>
    <row r="2087">
      <c r="A2087" s="9" t="s">
        <v>7202</v>
      </c>
      <c r="B2087" s="9" t="s">
        <v>261</v>
      </c>
      <c r="C2087" s="9" t="s">
        <v>1467</v>
      </c>
      <c r="D2087" s="9" t="s">
        <v>7203</v>
      </c>
      <c r="E2087" s="9" t="s">
        <v>1469</v>
      </c>
      <c r="F2087" s="9" t="s">
        <v>7204</v>
      </c>
    </row>
    <row r="2088">
      <c r="A2088" s="9" t="s">
        <v>7205</v>
      </c>
      <c r="B2088" s="9" t="s">
        <v>258</v>
      </c>
      <c r="C2088" s="9" t="s">
        <v>1467</v>
      </c>
      <c r="D2088" s="9" t="s">
        <v>7206</v>
      </c>
      <c r="E2088" s="9" t="s">
        <v>1469</v>
      </c>
      <c r="F2088" s="9" t="s">
        <v>7207</v>
      </c>
    </row>
    <row r="2089">
      <c r="A2089" s="9" t="s">
        <v>7208</v>
      </c>
      <c r="B2089" s="9" t="s">
        <v>167</v>
      </c>
      <c r="C2089" s="9" t="s">
        <v>1467</v>
      </c>
      <c r="D2089" s="9" t="s">
        <v>7209</v>
      </c>
      <c r="E2089" s="9" t="s">
        <v>1469</v>
      </c>
      <c r="F2089" s="9" t="s">
        <v>7210</v>
      </c>
    </row>
    <row r="2090">
      <c r="A2090" s="9" t="s">
        <v>7211</v>
      </c>
      <c r="B2090" s="9" t="s">
        <v>92</v>
      </c>
      <c r="C2090" s="9" t="s">
        <v>1467</v>
      </c>
      <c r="D2090" s="9" t="s">
        <v>7212</v>
      </c>
      <c r="E2090" s="9" t="s">
        <v>1469</v>
      </c>
      <c r="F2090" s="9" t="s">
        <v>7213</v>
      </c>
    </row>
    <row r="2091">
      <c r="A2091" s="9" t="s">
        <v>7214</v>
      </c>
      <c r="B2091" s="9" t="s">
        <v>226</v>
      </c>
      <c r="C2091" s="9" t="s">
        <v>1467</v>
      </c>
      <c r="D2091" s="9" t="s">
        <v>7215</v>
      </c>
      <c r="E2091" s="9" t="s">
        <v>1469</v>
      </c>
      <c r="F2091" s="9" t="s">
        <v>7216</v>
      </c>
    </row>
    <row r="2092">
      <c r="A2092" s="9" t="s">
        <v>7217</v>
      </c>
      <c r="B2092" s="9" t="s">
        <v>267</v>
      </c>
      <c r="C2092" s="9" t="s">
        <v>1467</v>
      </c>
      <c r="D2092" s="9" t="s">
        <v>7218</v>
      </c>
      <c r="E2092" s="9" t="s">
        <v>1469</v>
      </c>
      <c r="F2092" s="9" t="s">
        <v>7219</v>
      </c>
    </row>
    <row r="2093">
      <c r="A2093" s="9" t="s">
        <v>7220</v>
      </c>
      <c r="B2093" s="9" t="s">
        <v>267</v>
      </c>
      <c r="C2093" s="9" t="s">
        <v>1467</v>
      </c>
      <c r="D2093" s="9" t="s">
        <v>7221</v>
      </c>
      <c r="E2093" s="9" t="s">
        <v>1469</v>
      </c>
      <c r="F2093" s="9" t="s">
        <v>7222</v>
      </c>
    </row>
    <row r="2094">
      <c r="A2094" s="9" t="s">
        <v>7223</v>
      </c>
      <c r="B2094" s="9" t="s">
        <v>266</v>
      </c>
      <c r="C2094" s="9" t="s">
        <v>1467</v>
      </c>
      <c r="D2094" s="9" t="s">
        <v>7224</v>
      </c>
      <c r="E2094" s="9" t="s">
        <v>1469</v>
      </c>
      <c r="F2094" s="9" t="s">
        <v>7225</v>
      </c>
    </row>
    <row r="2095">
      <c r="A2095" s="9" t="s">
        <v>7226</v>
      </c>
      <c r="B2095" s="9" t="s">
        <v>304</v>
      </c>
      <c r="C2095" s="9" t="s">
        <v>1467</v>
      </c>
      <c r="D2095" s="9" t="s">
        <v>7227</v>
      </c>
      <c r="E2095" s="9" t="s">
        <v>1469</v>
      </c>
      <c r="F2095" s="9" t="s">
        <v>7228</v>
      </c>
    </row>
    <row r="2096">
      <c r="A2096" s="9" t="s">
        <v>7229</v>
      </c>
      <c r="B2096" s="9" t="s">
        <v>71</v>
      </c>
      <c r="C2096" s="9" t="s">
        <v>1467</v>
      </c>
      <c r="D2096" s="9" t="s">
        <v>7230</v>
      </c>
      <c r="E2096" s="9" t="s">
        <v>1469</v>
      </c>
      <c r="F2096" s="9" t="s">
        <v>7231</v>
      </c>
    </row>
    <row r="2097">
      <c r="A2097" s="9" t="s">
        <v>7232</v>
      </c>
      <c r="B2097" s="9" t="s">
        <v>300</v>
      </c>
      <c r="C2097" s="9" t="s">
        <v>1467</v>
      </c>
      <c r="D2097" s="9" t="s">
        <v>7233</v>
      </c>
      <c r="E2097" s="9" t="s">
        <v>1469</v>
      </c>
      <c r="F2097" s="9" t="s">
        <v>7234</v>
      </c>
    </row>
    <row r="2098">
      <c r="A2098" s="9" t="s">
        <v>7235</v>
      </c>
      <c r="B2098" s="9" t="s">
        <v>89</v>
      </c>
      <c r="C2098" s="9" t="s">
        <v>1467</v>
      </c>
      <c r="D2098" s="9" t="s">
        <v>7236</v>
      </c>
      <c r="E2098" s="9" t="s">
        <v>1469</v>
      </c>
      <c r="F2098" s="9" t="s">
        <v>7237</v>
      </c>
    </row>
    <row r="2099">
      <c r="A2099" s="9" t="s">
        <v>7238</v>
      </c>
      <c r="B2099" s="9" t="s">
        <v>143</v>
      </c>
      <c r="C2099" s="9" t="s">
        <v>1467</v>
      </c>
      <c r="D2099" s="9" t="s">
        <v>7239</v>
      </c>
      <c r="E2099" s="9" t="s">
        <v>1469</v>
      </c>
      <c r="F2099" s="9" t="s">
        <v>7240</v>
      </c>
    </row>
    <row r="2100">
      <c r="A2100" s="9" t="s">
        <v>7241</v>
      </c>
      <c r="B2100" s="9" t="s">
        <v>315</v>
      </c>
      <c r="C2100" s="9" t="s">
        <v>1467</v>
      </c>
      <c r="D2100" s="9" t="s">
        <v>7242</v>
      </c>
      <c r="E2100" s="9" t="s">
        <v>1469</v>
      </c>
      <c r="F2100" s="9" t="s">
        <v>7243</v>
      </c>
    </row>
    <row r="2101">
      <c r="A2101" s="9" t="s">
        <v>7244</v>
      </c>
      <c r="B2101" s="9" t="s">
        <v>271</v>
      </c>
      <c r="C2101" s="9" t="s">
        <v>1467</v>
      </c>
      <c r="D2101" s="9" t="s">
        <v>7245</v>
      </c>
      <c r="E2101" s="9" t="s">
        <v>1469</v>
      </c>
      <c r="F2101" s="9" t="s">
        <v>7246</v>
      </c>
    </row>
    <row r="2102">
      <c r="A2102" s="9" t="s">
        <v>7247</v>
      </c>
      <c r="B2102" s="9" t="s">
        <v>266</v>
      </c>
      <c r="C2102" s="9" t="s">
        <v>1467</v>
      </c>
      <c r="D2102" s="9" t="s">
        <v>7248</v>
      </c>
      <c r="E2102" s="9" t="s">
        <v>1469</v>
      </c>
      <c r="F2102" s="9" t="s">
        <v>7249</v>
      </c>
    </row>
    <row r="2103">
      <c r="A2103" s="9" t="s">
        <v>7250</v>
      </c>
      <c r="B2103" s="9" t="s">
        <v>315</v>
      </c>
      <c r="C2103" s="9" t="s">
        <v>1467</v>
      </c>
      <c r="D2103" s="9" t="s">
        <v>7251</v>
      </c>
      <c r="E2103" s="9" t="s">
        <v>1469</v>
      </c>
      <c r="F2103" s="9" t="s">
        <v>7252</v>
      </c>
    </row>
    <row r="2104">
      <c r="A2104" s="9" t="s">
        <v>7253</v>
      </c>
      <c r="B2104" s="9" t="s">
        <v>315</v>
      </c>
      <c r="C2104" s="9" t="s">
        <v>1467</v>
      </c>
      <c r="D2104" s="9" t="s">
        <v>7254</v>
      </c>
      <c r="E2104" s="9" t="s">
        <v>1469</v>
      </c>
      <c r="F2104" s="9" t="s">
        <v>7255</v>
      </c>
    </row>
    <row r="2105">
      <c r="A2105" s="9" t="s">
        <v>7257</v>
      </c>
      <c r="B2105" s="9" t="s">
        <v>301</v>
      </c>
      <c r="C2105" s="9" t="s">
        <v>1467</v>
      </c>
      <c r="D2105" s="9" t="s">
        <v>7260</v>
      </c>
      <c r="E2105" s="9" t="s">
        <v>1469</v>
      </c>
      <c r="F2105" s="9" t="s">
        <v>7261</v>
      </c>
    </row>
    <row r="2106">
      <c r="A2106" s="9" t="s">
        <v>7262</v>
      </c>
      <c r="B2106" s="9" t="s">
        <v>139</v>
      </c>
      <c r="C2106" s="9" t="s">
        <v>1467</v>
      </c>
      <c r="D2106" s="9" t="s">
        <v>7263</v>
      </c>
      <c r="E2106" s="9" t="s">
        <v>1469</v>
      </c>
      <c r="F2106" s="9" t="s">
        <v>7264</v>
      </c>
    </row>
    <row r="2107">
      <c r="A2107" s="9" t="s">
        <v>7265</v>
      </c>
      <c r="B2107" s="9" t="s">
        <v>233</v>
      </c>
      <c r="C2107" s="9" t="s">
        <v>1467</v>
      </c>
      <c r="D2107" s="9" t="s">
        <v>7266</v>
      </c>
      <c r="E2107" s="9" t="s">
        <v>1469</v>
      </c>
      <c r="F2107" s="9" t="s">
        <v>7267</v>
      </c>
    </row>
    <row r="2108">
      <c r="A2108" s="9" t="s">
        <v>7268</v>
      </c>
      <c r="B2108" s="9" t="s">
        <v>393</v>
      </c>
      <c r="C2108" s="9" t="s">
        <v>1467</v>
      </c>
      <c r="D2108" s="9" t="s">
        <v>7269</v>
      </c>
      <c r="E2108" s="9" t="s">
        <v>1469</v>
      </c>
      <c r="F2108" s="9" t="s">
        <v>7270</v>
      </c>
    </row>
    <row r="2109">
      <c r="A2109" s="9" t="s">
        <v>7271</v>
      </c>
      <c r="B2109" s="9" t="s">
        <v>269</v>
      </c>
      <c r="C2109" s="9" t="s">
        <v>1467</v>
      </c>
      <c r="D2109" s="9" t="s">
        <v>7272</v>
      </c>
      <c r="E2109" s="9" t="s">
        <v>1469</v>
      </c>
      <c r="F2109" s="9" t="s">
        <v>7273</v>
      </c>
    </row>
    <row r="2110">
      <c r="A2110" s="9" t="s">
        <v>7274</v>
      </c>
      <c r="B2110" s="9" t="s">
        <v>190</v>
      </c>
      <c r="C2110" s="9" t="s">
        <v>1467</v>
      </c>
      <c r="D2110" s="9" t="s">
        <v>7275</v>
      </c>
      <c r="E2110" s="9" t="s">
        <v>1469</v>
      </c>
      <c r="F2110" s="9" t="s">
        <v>7276</v>
      </c>
    </row>
    <row r="2111">
      <c r="A2111" s="9" t="s">
        <v>7277</v>
      </c>
      <c r="B2111" s="9" t="s">
        <v>387</v>
      </c>
      <c r="C2111" s="9" t="s">
        <v>1467</v>
      </c>
      <c r="D2111" s="9" t="s">
        <v>7278</v>
      </c>
      <c r="E2111" s="9" t="s">
        <v>1469</v>
      </c>
      <c r="F2111" s="9" t="s">
        <v>7279</v>
      </c>
    </row>
    <row r="2112">
      <c r="A2112" s="9" t="s">
        <v>7280</v>
      </c>
      <c r="B2112" s="9" t="s">
        <v>189</v>
      </c>
      <c r="C2112" s="9" t="s">
        <v>1467</v>
      </c>
      <c r="D2112" s="9" t="s">
        <v>7281</v>
      </c>
      <c r="E2112" s="9" t="s">
        <v>1469</v>
      </c>
      <c r="F2112" s="9" t="s">
        <v>7282</v>
      </c>
    </row>
    <row r="2113">
      <c r="A2113" s="9" t="s">
        <v>7283</v>
      </c>
      <c r="B2113" s="9" t="s">
        <v>164</v>
      </c>
      <c r="C2113" s="9" t="s">
        <v>1467</v>
      </c>
      <c r="D2113" s="9" t="s">
        <v>7284</v>
      </c>
      <c r="E2113" s="9" t="s">
        <v>1469</v>
      </c>
      <c r="F2113" s="9" t="s">
        <v>7285</v>
      </c>
    </row>
    <row r="2114">
      <c r="A2114" s="9" t="s">
        <v>7286</v>
      </c>
      <c r="B2114" s="9" t="s">
        <v>387</v>
      </c>
      <c r="C2114" s="9" t="s">
        <v>1467</v>
      </c>
      <c r="D2114" s="9" t="s">
        <v>7287</v>
      </c>
      <c r="E2114" s="9" t="s">
        <v>1469</v>
      </c>
      <c r="F2114" s="9" t="s">
        <v>7288</v>
      </c>
    </row>
    <row r="2115">
      <c r="A2115" s="9" t="s">
        <v>7289</v>
      </c>
      <c r="B2115" s="9" t="s">
        <v>95</v>
      </c>
      <c r="C2115" s="9" t="s">
        <v>1467</v>
      </c>
      <c r="D2115" s="9" t="s">
        <v>7290</v>
      </c>
      <c r="E2115" s="9" t="s">
        <v>1469</v>
      </c>
      <c r="F2115" s="9" t="s">
        <v>7291</v>
      </c>
    </row>
    <row r="2116">
      <c r="A2116" s="9" t="s">
        <v>7292</v>
      </c>
      <c r="B2116" s="9" t="s">
        <v>320</v>
      </c>
      <c r="C2116" s="9" t="s">
        <v>1467</v>
      </c>
      <c r="D2116" s="9" t="s">
        <v>7293</v>
      </c>
      <c r="E2116" s="9" t="s">
        <v>1469</v>
      </c>
      <c r="F2116" s="9" t="s">
        <v>7294</v>
      </c>
    </row>
    <row r="2117">
      <c r="A2117" s="9" t="s">
        <v>7296</v>
      </c>
      <c r="B2117" s="9" t="s">
        <v>261</v>
      </c>
      <c r="C2117" s="9" t="s">
        <v>1467</v>
      </c>
      <c r="D2117" s="9" t="s">
        <v>7299</v>
      </c>
      <c r="E2117" s="9" t="s">
        <v>1469</v>
      </c>
      <c r="F2117" s="9" t="s">
        <v>7300</v>
      </c>
    </row>
    <row r="2118">
      <c r="A2118" s="9" t="s">
        <v>7301</v>
      </c>
      <c r="B2118" s="9" t="s">
        <v>373</v>
      </c>
      <c r="C2118" s="9" t="s">
        <v>1467</v>
      </c>
      <c r="D2118" s="9" t="s">
        <v>7302</v>
      </c>
      <c r="E2118" s="9" t="s">
        <v>1469</v>
      </c>
      <c r="F2118" s="9" t="s">
        <v>7303</v>
      </c>
    </row>
    <row r="2119">
      <c r="A2119" s="9" t="s">
        <v>7304</v>
      </c>
      <c r="B2119" s="9" t="s">
        <v>336</v>
      </c>
      <c r="C2119" s="9" t="s">
        <v>1467</v>
      </c>
      <c r="D2119" s="9" t="s">
        <v>7305</v>
      </c>
      <c r="E2119" s="9" t="s">
        <v>1469</v>
      </c>
      <c r="F2119" s="9" t="s">
        <v>7306</v>
      </c>
    </row>
    <row r="2120">
      <c r="A2120" s="9" t="s">
        <v>7307</v>
      </c>
      <c r="B2120" s="9" t="s">
        <v>269</v>
      </c>
      <c r="C2120" s="9" t="s">
        <v>1467</v>
      </c>
      <c r="D2120" s="9" t="s">
        <v>7308</v>
      </c>
      <c r="E2120" s="9" t="s">
        <v>1469</v>
      </c>
      <c r="F2120" s="9" t="s">
        <v>7309</v>
      </c>
    </row>
    <row r="2121">
      <c r="A2121" s="9" t="s">
        <v>7310</v>
      </c>
      <c r="B2121" s="9" t="s">
        <v>115</v>
      </c>
      <c r="C2121" s="9" t="s">
        <v>1467</v>
      </c>
      <c r="D2121" s="9" t="s">
        <v>7311</v>
      </c>
      <c r="E2121" s="9" t="s">
        <v>1469</v>
      </c>
      <c r="F2121" s="9" t="s">
        <v>7312</v>
      </c>
    </row>
    <row r="2122">
      <c r="A2122" s="9" t="s">
        <v>7313</v>
      </c>
      <c r="B2122" s="9" t="s">
        <v>298</v>
      </c>
      <c r="C2122" s="9" t="s">
        <v>1467</v>
      </c>
      <c r="D2122" s="9" t="s">
        <v>7314</v>
      </c>
      <c r="E2122" s="9" t="s">
        <v>1469</v>
      </c>
      <c r="F2122" s="9" t="s">
        <v>7315</v>
      </c>
    </row>
    <row r="2123">
      <c r="A2123" s="9" t="s">
        <v>7316</v>
      </c>
      <c r="B2123" s="9" t="s">
        <v>388</v>
      </c>
      <c r="C2123" s="9" t="s">
        <v>1467</v>
      </c>
      <c r="D2123" s="9" t="s">
        <v>7317</v>
      </c>
      <c r="E2123" s="9" t="s">
        <v>1469</v>
      </c>
      <c r="F2123" s="9" t="s">
        <v>7318</v>
      </c>
    </row>
    <row r="2124">
      <c r="A2124" s="9" t="s">
        <v>7319</v>
      </c>
      <c r="B2124" s="9" t="s">
        <v>107</v>
      </c>
      <c r="C2124" s="9" t="s">
        <v>1467</v>
      </c>
      <c r="D2124" s="9" t="s">
        <v>7320</v>
      </c>
      <c r="E2124" s="9" t="s">
        <v>1469</v>
      </c>
      <c r="F2124" s="9" t="s">
        <v>7321</v>
      </c>
    </row>
    <row r="2125">
      <c r="A2125" s="9" t="s">
        <v>7322</v>
      </c>
      <c r="B2125" s="9" t="s">
        <v>388</v>
      </c>
      <c r="C2125" s="9" t="s">
        <v>1467</v>
      </c>
      <c r="D2125" s="9" t="s">
        <v>7323</v>
      </c>
      <c r="E2125" s="9" t="s">
        <v>1469</v>
      </c>
      <c r="F2125" s="9" t="s">
        <v>7324</v>
      </c>
    </row>
    <row r="2126">
      <c r="A2126" s="9" t="s">
        <v>7325</v>
      </c>
      <c r="B2126" s="9" t="s">
        <v>297</v>
      </c>
      <c r="C2126" s="9" t="s">
        <v>1467</v>
      </c>
      <c r="D2126" s="9" t="s">
        <v>7326</v>
      </c>
      <c r="E2126" s="9" t="s">
        <v>1469</v>
      </c>
      <c r="F2126" s="9" t="s">
        <v>7327</v>
      </c>
    </row>
    <row r="2127">
      <c r="A2127" s="9" t="s">
        <v>7328</v>
      </c>
      <c r="B2127" s="9" t="s">
        <v>161</v>
      </c>
      <c r="C2127" s="9" t="s">
        <v>1467</v>
      </c>
      <c r="D2127" s="9" t="s">
        <v>7329</v>
      </c>
      <c r="E2127" s="9" t="s">
        <v>1469</v>
      </c>
      <c r="F2127" s="9" t="s">
        <v>7330</v>
      </c>
    </row>
    <row r="2128">
      <c r="A2128" s="9" t="s">
        <v>7331</v>
      </c>
      <c r="B2128" s="9" t="s">
        <v>421</v>
      </c>
      <c r="C2128" s="9" t="s">
        <v>1467</v>
      </c>
      <c r="D2128" s="9" t="s">
        <v>7332</v>
      </c>
      <c r="E2128" s="9" t="s">
        <v>1469</v>
      </c>
      <c r="F2128" s="9" t="s">
        <v>7333</v>
      </c>
    </row>
    <row r="2129">
      <c r="A2129" s="9" t="s">
        <v>7334</v>
      </c>
      <c r="B2129" s="9" t="s">
        <v>103</v>
      </c>
      <c r="C2129" s="9" t="s">
        <v>1467</v>
      </c>
      <c r="D2129" s="9" t="s">
        <v>7335</v>
      </c>
      <c r="E2129" s="9" t="s">
        <v>1469</v>
      </c>
      <c r="F2129" s="9" t="s">
        <v>7336</v>
      </c>
    </row>
    <row r="2130">
      <c r="A2130" s="9" t="s">
        <v>7337</v>
      </c>
      <c r="B2130" s="9" t="s">
        <v>297</v>
      </c>
      <c r="C2130" s="9" t="s">
        <v>1467</v>
      </c>
      <c r="D2130" s="9" t="s">
        <v>7338</v>
      </c>
      <c r="E2130" s="9" t="s">
        <v>1469</v>
      </c>
      <c r="F2130" s="9" t="s">
        <v>7339</v>
      </c>
    </row>
    <row r="2131">
      <c r="A2131" s="9" t="s">
        <v>7340</v>
      </c>
      <c r="B2131" s="9" t="s">
        <v>271</v>
      </c>
      <c r="C2131" s="9" t="s">
        <v>1467</v>
      </c>
      <c r="D2131" s="9" t="s">
        <v>7341</v>
      </c>
      <c r="E2131" s="9" t="s">
        <v>1469</v>
      </c>
      <c r="F2131" s="9" t="s">
        <v>7342</v>
      </c>
    </row>
    <row r="2132">
      <c r="A2132" s="9" t="s">
        <v>7343</v>
      </c>
      <c r="B2132" s="9" t="s">
        <v>103</v>
      </c>
      <c r="C2132" s="9" t="s">
        <v>1467</v>
      </c>
      <c r="D2132" s="9" t="s">
        <v>7344</v>
      </c>
      <c r="E2132" s="9" t="s">
        <v>1469</v>
      </c>
      <c r="F2132" s="9" t="s">
        <v>7345</v>
      </c>
    </row>
    <row r="2133">
      <c r="A2133" s="9" t="s">
        <v>7346</v>
      </c>
      <c r="B2133" s="9" t="s">
        <v>389</v>
      </c>
      <c r="C2133" s="9" t="s">
        <v>1467</v>
      </c>
      <c r="D2133" s="9" t="s">
        <v>7347</v>
      </c>
      <c r="E2133" s="9" t="s">
        <v>1469</v>
      </c>
      <c r="F2133" s="9" t="s">
        <v>7348</v>
      </c>
    </row>
    <row r="2134">
      <c r="A2134" s="9" t="s">
        <v>7349</v>
      </c>
      <c r="B2134" s="9" t="s">
        <v>279</v>
      </c>
      <c r="C2134" s="9" t="s">
        <v>1467</v>
      </c>
      <c r="D2134" s="9" t="s">
        <v>7350</v>
      </c>
      <c r="E2134" s="9" t="s">
        <v>1469</v>
      </c>
      <c r="F2134" s="9" t="s">
        <v>7351</v>
      </c>
    </row>
    <row r="2135">
      <c r="A2135" s="9" t="s">
        <v>7352</v>
      </c>
      <c r="B2135" s="9" t="s">
        <v>103</v>
      </c>
      <c r="C2135" s="9" t="s">
        <v>1467</v>
      </c>
      <c r="D2135" s="9" t="s">
        <v>7353</v>
      </c>
      <c r="E2135" s="9" t="s">
        <v>1469</v>
      </c>
      <c r="F2135" s="9" t="s">
        <v>7354</v>
      </c>
    </row>
    <row r="2136">
      <c r="A2136" s="9" t="s">
        <v>7355</v>
      </c>
      <c r="B2136" s="9" t="s">
        <v>345</v>
      </c>
      <c r="C2136" s="9" t="s">
        <v>1467</v>
      </c>
      <c r="D2136" s="9" t="s">
        <v>7356</v>
      </c>
      <c r="E2136" s="9" t="s">
        <v>1469</v>
      </c>
      <c r="F2136" s="9" t="s">
        <v>7357</v>
      </c>
    </row>
    <row r="2137">
      <c r="A2137" s="9" t="s">
        <v>7358</v>
      </c>
      <c r="B2137" s="9" t="s">
        <v>356</v>
      </c>
      <c r="C2137" s="9" t="s">
        <v>1467</v>
      </c>
      <c r="D2137" s="9" t="s">
        <v>7359</v>
      </c>
      <c r="E2137" s="9" t="s">
        <v>1469</v>
      </c>
      <c r="F2137" s="9" t="s">
        <v>7360</v>
      </c>
    </row>
    <row r="2138">
      <c r="A2138" s="9" t="s">
        <v>7361</v>
      </c>
      <c r="B2138" s="9" t="s">
        <v>103</v>
      </c>
      <c r="C2138" s="9" t="s">
        <v>1467</v>
      </c>
      <c r="D2138" s="9" t="s">
        <v>7362</v>
      </c>
      <c r="E2138" s="9" t="s">
        <v>1469</v>
      </c>
      <c r="F2138" s="9" t="s">
        <v>7363</v>
      </c>
    </row>
    <row r="2139">
      <c r="A2139" s="9" t="s">
        <v>7364</v>
      </c>
      <c r="B2139" s="9" t="s">
        <v>297</v>
      </c>
      <c r="C2139" s="9" t="s">
        <v>1467</v>
      </c>
      <c r="D2139" s="9" t="s">
        <v>7365</v>
      </c>
      <c r="E2139" s="9" t="s">
        <v>1469</v>
      </c>
      <c r="F2139" s="9" t="s">
        <v>7366</v>
      </c>
    </row>
    <row r="2140">
      <c r="A2140" s="9" t="s">
        <v>7367</v>
      </c>
      <c r="B2140" s="9" t="s">
        <v>393</v>
      </c>
      <c r="C2140" s="9" t="s">
        <v>1467</v>
      </c>
      <c r="D2140" s="9" t="s">
        <v>7368</v>
      </c>
      <c r="E2140" s="9" t="s">
        <v>1469</v>
      </c>
      <c r="F2140" s="9" t="s">
        <v>7369</v>
      </c>
    </row>
    <row r="2141">
      <c r="A2141" s="9" t="s">
        <v>7370</v>
      </c>
      <c r="B2141" s="9" t="s">
        <v>356</v>
      </c>
      <c r="C2141" s="9" t="s">
        <v>1467</v>
      </c>
      <c r="D2141" s="9" t="s">
        <v>7371</v>
      </c>
      <c r="E2141" s="9" t="s">
        <v>1469</v>
      </c>
      <c r="F2141" s="9" t="s">
        <v>7372</v>
      </c>
    </row>
    <row r="2142">
      <c r="A2142" s="9" t="s">
        <v>7373</v>
      </c>
      <c r="B2142" s="9" t="s">
        <v>346</v>
      </c>
      <c r="C2142" s="9" t="s">
        <v>1467</v>
      </c>
      <c r="D2142" s="9" t="s">
        <v>7374</v>
      </c>
      <c r="E2142" s="9" t="s">
        <v>1469</v>
      </c>
      <c r="F2142" s="9" t="s">
        <v>7375</v>
      </c>
    </row>
    <row r="2143">
      <c r="A2143" s="9" t="s">
        <v>7376</v>
      </c>
      <c r="B2143" s="9" t="s">
        <v>131</v>
      </c>
      <c r="C2143" s="9" t="s">
        <v>1467</v>
      </c>
      <c r="D2143" s="9" t="s">
        <v>7377</v>
      </c>
      <c r="E2143" s="9" t="s">
        <v>1469</v>
      </c>
      <c r="F2143" s="9" t="s">
        <v>7378</v>
      </c>
    </row>
    <row r="2144">
      <c r="A2144" s="9" t="s">
        <v>7379</v>
      </c>
      <c r="B2144" s="9" t="s">
        <v>131</v>
      </c>
      <c r="C2144" s="9" t="s">
        <v>1467</v>
      </c>
      <c r="D2144" s="9" t="s">
        <v>7380</v>
      </c>
      <c r="E2144" s="9" t="s">
        <v>1469</v>
      </c>
      <c r="F2144" s="9" t="s">
        <v>7381</v>
      </c>
    </row>
    <row r="2145">
      <c r="A2145" s="9" t="s">
        <v>7382</v>
      </c>
      <c r="B2145" s="9" t="s">
        <v>184</v>
      </c>
      <c r="C2145" s="9" t="s">
        <v>1467</v>
      </c>
      <c r="D2145" s="9" t="s">
        <v>7383</v>
      </c>
      <c r="E2145" s="9" t="s">
        <v>1469</v>
      </c>
      <c r="F2145" s="9" t="s">
        <v>7384</v>
      </c>
    </row>
    <row r="2146">
      <c r="A2146" s="9" t="s">
        <v>7385</v>
      </c>
      <c r="B2146" s="9" t="s">
        <v>267</v>
      </c>
      <c r="C2146" s="9" t="s">
        <v>1467</v>
      </c>
      <c r="D2146" s="9" t="s">
        <v>7386</v>
      </c>
      <c r="E2146" s="9" t="s">
        <v>1469</v>
      </c>
      <c r="F2146" s="9" t="s">
        <v>7387</v>
      </c>
    </row>
    <row r="2147">
      <c r="A2147" s="9" t="s">
        <v>7388</v>
      </c>
      <c r="B2147" s="9" t="s">
        <v>280</v>
      </c>
      <c r="C2147" s="9" t="s">
        <v>1467</v>
      </c>
      <c r="D2147" s="9" t="s">
        <v>7389</v>
      </c>
      <c r="E2147" s="9" t="s">
        <v>1469</v>
      </c>
      <c r="F2147" s="9" t="s">
        <v>7390</v>
      </c>
    </row>
    <row r="2148">
      <c r="A2148" s="9" t="s">
        <v>7391</v>
      </c>
      <c r="B2148" s="9" t="s">
        <v>389</v>
      </c>
      <c r="C2148" s="9" t="s">
        <v>1467</v>
      </c>
      <c r="D2148" s="9" t="s">
        <v>7393</v>
      </c>
      <c r="E2148" s="9" t="s">
        <v>1469</v>
      </c>
      <c r="F2148" s="9" t="s">
        <v>7395</v>
      </c>
    </row>
    <row r="2149">
      <c r="A2149" s="9" t="s">
        <v>7397</v>
      </c>
      <c r="B2149" s="9" t="s">
        <v>376</v>
      </c>
      <c r="C2149" s="9" t="s">
        <v>1467</v>
      </c>
      <c r="D2149" s="9" t="s">
        <v>7398</v>
      </c>
      <c r="E2149" s="9" t="s">
        <v>1469</v>
      </c>
      <c r="F2149" s="9" t="s">
        <v>7399</v>
      </c>
    </row>
    <row r="2150">
      <c r="A2150" s="9" t="s">
        <v>7400</v>
      </c>
      <c r="B2150" s="9" t="s">
        <v>131</v>
      </c>
      <c r="C2150" s="9" t="s">
        <v>1467</v>
      </c>
      <c r="D2150" s="9" t="s">
        <v>7401</v>
      </c>
      <c r="E2150" s="9" t="s">
        <v>1469</v>
      </c>
      <c r="F2150" s="9" t="s">
        <v>7402</v>
      </c>
    </row>
    <row r="2151">
      <c r="A2151" s="9" t="s">
        <v>7403</v>
      </c>
      <c r="B2151" s="9" t="s">
        <v>298</v>
      </c>
      <c r="C2151" s="9" t="s">
        <v>1467</v>
      </c>
      <c r="D2151" s="9" t="s">
        <v>7404</v>
      </c>
      <c r="E2151" s="9" t="s">
        <v>1469</v>
      </c>
      <c r="F2151" s="9" t="s">
        <v>7405</v>
      </c>
    </row>
    <row r="2152">
      <c r="A2152" s="9" t="s">
        <v>7406</v>
      </c>
      <c r="B2152" s="9" t="s">
        <v>306</v>
      </c>
      <c r="C2152" s="9" t="s">
        <v>1467</v>
      </c>
      <c r="D2152" s="9" t="s">
        <v>7407</v>
      </c>
      <c r="E2152" s="9" t="s">
        <v>1469</v>
      </c>
      <c r="F2152" s="9" t="s">
        <v>7408</v>
      </c>
    </row>
    <row r="2153">
      <c r="A2153" s="9" t="s">
        <v>7409</v>
      </c>
      <c r="B2153" s="9" t="s">
        <v>316</v>
      </c>
      <c r="C2153" s="9" t="s">
        <v>1467</v>
      </c>
      <c r="D2153" s="9" t="s">
        <v>7410</v>
      </c>
      <c r="E2153" s="9" t="s">
        <v>1469</v>
      </c>
      <c r="F2153" s="9" t="s">
        <v>7411</v>
      </c>
    </row>
    <row r="2154">
      <c r="A2154" s="9" t="s">
        <v>7412</v>
      </c>
      <c r="B2154" s="9" t="s">
        <v>169</v>
      </c>
      <c r="C2154" s="9" t="s">
        <v>1467</v>
      </c>
      <c r="D2154" s="9" t="s">
        <v>7413</v>
      </c>
      <c r="E2154" s="9" t="s">
        <v>1469</v>
      </c>
      <c r="F2154" s="9" t="s">
        <v>7414</v>
      </c>
    </row>
    <row r="2155">
      <c r="A2155" s="9" t="s">
        <v>7415</v>
      </c>
      <c r="B2155" s="9" t="s">
        <v>279</v>
      </c>
      <c r="C2155" s="9" t="s">
        <v>1467</v>
      </c>
      <c r="D2155" s="9" t="s">
        <v>7416</v>
      </c>
      <c r="E2155" s="9" t="s">
        <v>1469</v>
      </c>
      <c r="F2155" s="9" t="s">
        <v>7417</v>
      </c>
    </row>
    <row r="2156">
      <c r="A2156" s="9" t="s">
        <v>7418</v>
      </c>
      <c r="B2156" s="9" t="s">
        <v>169</v>
      </c>
      <c r="C2156" s="9" t="s">
        <v>1467</v>
      </c>
      <c r="D2156" s="9" t="s">
        <v>7419</v>
      </c>
      <c r="E2156" s="9" t="s">
        <v>1469</v>
      </c>
      <c r="F2156" s="9" t="s">
        <v>7420</v>
      </c>
    </row>
    <row r="2157">
      <c r="A2157" s="9" t="s">
        <v>7421</v>
      </c>
      <c r="B2157" s="9" t="s">
        <v>393</v>
      </c>
      <c r="C2157" s="9" t="s">
        <v>1467</v>
      </c>
      <c r="D2157" s="9" t="s">
        <v>7422</v>
      </c>
      <c r="E2157" s="9" t="s">
        <v>1469</v>
      </c>
      <c r="F2157" s="9" t="s">
        <v>7423</v>
      </c>
    </row>
    <row r="2158">
      <c r="A2158" s="9" t="s">
        <v>7424</v>
      </c>
      <c r="B2158" s="9" t="s">
        <v>373</v>
      </c>
      <c r="C2158" s="9" t="s">
        <v>1467</v>
      </c>
      <c r="D2158" s="9" t="s">
        <v>7425</v>
      </c>
      <c r="E2158" s="9" t="s">
        <v>1469</v>
      </c>
      <c r="F2158" s="9" t="s">
        <v>7426</v>
      </c>
    </row>
    <row r="2159">
      <c r="A2159" s="9" t="s">
        <v>7427</v>
      </c>
      <c r="B2159" s="9" t="s">
        <v>128</v>
      </c>
      <c r="C2159" s="9" t="s">
        <v>1467</v>
      </c>
      <c r="D2159" s="9" t="s">
        <v>7428</v>
      </c>
      <c r="E2159" s="9" t="s">
        <v>1469</v>
      </c>
      <c r="F2159" s="9" t="s">
        <v>7429</v>
      </c>
    </row>
    <row r="2160">
      <c r="A2160" s="9" t="s">
        <v>7430</v>
      </c>
      <c r="B2160" s="9" t="s">
        <v>200</v>
      </c>
      <c r="C2160" s="9" t="s">
        <v>1467</v>
      </c>
      <c r="D2160" s="9" t="s">
        <v>7431</v>
      </c>
      <c r="E2160" s="9" t="s">
        <v>1469</v>
      </c>
      <c r="F2160" s="9" t="s">
        <v>7432</v>
      </c>
    </row>
    <row r="2161">
      <c r="A2161" s="9" t="s">
        <v>7433</v>
      </c>
      <c r="B2161" s="9" t="s">
        <v>202</v>
      </c>
      <c r="C2161" s="9" t="s">
        <v>1467</v>
      </c>
      <c r="D2161" s="9" t="s">
        <v>7434</v>
      </c>
      <c r="E2161" s="9" t="s">
        <v>1469</v>
      </c>
      <c r="F2161" s="9" t="s">
        <v>7435</v>
      </c>
    </row>
    <row r="2162">
      <c r="A2162" s="9" t="s">
        <v>7436</v>
      </c>
      <c r="B2162" s="9" t="s">
        <v>202</v>
      </c>
      <c r="C2162" s="9" t="s">
        <v>1467</v>
      </c>
      <c r="D2162" s="9" t="s">
        <v>7437</v>
      </c>
      <c r="E2162" s="9" t="s">
        <v>1469</v>
      </c>
      <c r="F2162" s="9" t="s">
        <v>7438</v>
      </c>
    </row>
    <row r="2163">
      <c r="A2163" s="9" t="s">
        <v>7439</v>
      </c>
      <c r="B2163" s="9" t="s">
        <v>202</v>
      </c>
      <c r="C2163" s="9" t="s">
        <v>1467</v>
      </c>
      <c r="D2163" s="9" t="s">
        <v>7440</v>
      </c>
      <c r="E2163" s="9" t="s">
        <v>1469</v>
      </c>
      <c r="F2163" s="9" t="s">
        <v>7441</v>
      </c>
    </row>
    <row r="2164">
      <c r="A2164" s="9" t="s">
        <v>7442</v>
      </c>
      <c r="B2164" s="9" t="s">
        <v>302</v>
      </c>
      <c r="C2164" s="9" t="s">
        <v>1467</v>
      </c>
      <c r="D2164" s="9" t="s">
        <v>7443</v>
      </c>
      <c r="E2164" s="9" t="s">
        <v>1469</v>
      </c>
      <c r="F2164" s="9" t="s">
        <v>7444</v>
      </c>
    </row>
    <row r="2165">
      <c r="A2165" s="9" t="s">
        <v>7445</v>
      </c>
      <c r="B2165" s="9" t="s">
        <v>376</v>
      </c>
      <c r="C2165" s="9" t="s">
        <v>1467</v>
      </c>
      <c r="D2165" s="9" t="s">
        <v>7446</v>
      </c>
      <c r="E2165" s="9" t="s">
        <v>1469</v>
      </c>
      <c r="F2165" s="9" t="s">
        <v>7447</v>
      </c>
    </row>
    <row r="2166">
      <c r="A2166" s="9" t="s">
        <v>7448</v>
      </c>
      <c r="B2166" s="9" t="s">
        <v>337</v>
      </c>
      <c r="C2166" s="9" t="s">
        <v>1467</v>
      </c>
      <c r="D2166" s="9" t="s">
        <v>7449</v>
      </c>
      <c r="E2166" s="9" t="s">
        <v>1469</v>
      </c>
      <c r="F2166" s="9" t="s">
        <v>7450</v>
      </c>
    </row>
    <row r="2167">
      <c r="A2167" s="9" t="s">
        <v>7451</v>
      </c>
      <c r="B2167" s="9" t="s">
        <v>254</v>
      </c>
      <c r="C2167" s="9" t="s">
        <v>1467</v>
      </c>
      <c r="D2167" s="9" t="s">
        <v>7452</v>
      </c>
      <c r="E2167" s="9" t="s">
        <v>1469</v>
      </c>
      <c r="F2167" s="9" t="s">
        <v>7453</v>
      </c>
    </row>
    <row r="2168">
      <c r="A2168" s="9" t="s">
        <v>7454</v>
      </c>
      <c r="B2168" s="9" t="s">
        <v>64</v>
      </c>
      <c r="C2168" s="9" t="s">
        <v>1467</v>
      </c>
      <c r="D2168" s="9" t="s">
        <v>7455</v>
      </c>
      <c r="E2168" s="9" t="s">
        <v>1469</v>
      </c>
      <c r="F2168" s="9" t="s">
        <v>7456</v>
      </c>
    </row>
    <row r="2169">
      <c r="A2169" s="9" t="s">
        <v>7457</v>
      </c>
      <c r="B2169" s="9" t="s">
        <v>258</v>
      </c>
      <c r="C2169" s="9" t="s">
        <v>1467</v>
      </c>
      <c r="D2169" s="9" t="s">
        <v>7458</v>
      </c>
      <c r="E2169" s="9" t="s">
        <v>1469</v>
      </c>
      <c r="F2169" s="9" t="s">
        <v>7459</v>
      </c>
    </row>
    <row r="2170">
      <c r="A2170" s="9" t="s">
        <v>7460</v>
      </c>
      <c r="B2170" s="9" t="s">
        <v>139</v>
      </c>
      <c r="C2170" s="9" t="s">
        <v>1467</v>
      </c>
      <c r="D2170" s="9" t="s">
        <v>7461</v>
      </c>
      <c r="E2170" s="9" t="s">
        <v>1469</v>
      </c>
      <c r="F2170" s="9" t="s">
        <v>7462</v>
      </c>
    </row>
    <row r="2171">
      <c r="A2171" s="9" t="s">
        <v>7463</v>
      </c>
      <c r="B2171" s="9" t="s">
        <v>401</v>
      </c>
      <c r="C2171" s="9" t="s">
        <v>1467</v>
      </c>
      <c r="D2171" s="9" t="s">
        <v>7464</v>
      </c>
      <c r="E2171" s="9" t="s">
        <v>1469</v>
      </c>
      <c r="F2171" s="9" t="s">
        <v>7465</v>
      </c>
    </row>
    <row r="2172">
      <c r="A2172" s="9" t="s">
        <v>7466</v>
      </c>
      <c r="B2172" s="9" t="s">
        <v>368</v>
      </c>
      <c r="C2172" s="9" t="s">
        <v>1467</v>
      </c>
      <c r="D2172" s="9" t="s">
        <v>7467</v>
      </c>
      <c r="E2172" s="9" t="s">
        <v>1469</v>
      </c>
      <c r="F2172" s="9" t="s">
        <v>7468</v>
      </c>
    </row>
    <row r="2173">
      <c r="A2173" s="9" t="s">
        <v>7469</v>
      </c>
      <c r="B2173" s="9" t="s">
        <v>104</v>
      </c>
      <c r="C2173" s="9" t="s">
        <v>1467</v>
      </c>
      <c r="D2173" s="9" t="s">
        <v>7470</v>
      </c>
      <c r="E2173" s="9" t="s">
        <v>1469</v>
      </c>
      <c r="F2173" s="9" t="s">
        <v>7471</v>
      </c>
    </row>
    <row r="2174">
      <c r="A2174" s="9" t="s">
        <v>7472</v>
      </c>
      <c r="B2174" s="9" t="s">
        <v>379</v>
      </c>
      <c r="C2174" s="9" t="s">
        <v>1467</v>
      </c>
      <c r="D2174" s="9" t="s">
        <v>7473</v>
      </c>
      <c r="E2174" s="9" t="s">
        <v>1469</v>
      </c>
      <c r="F2174" s="9" t="s">
        <v>7474</v>
      </c>
    </row>
    <row r="2175">
      <c r="A2175" s="9" t="s">
        <v>7475</v>
      </c>
      <c r="B2175" s="9" t="s">
        <v>104</v>
      </c>
      <c r="C2175" s="9" t="s">
        <v>1467</v>
      </c>
      <c r="D2175" s="9" t="s">
        <v>7476</v>
      </c>
      <c r="E2175" s="9" t="s">
        <v>1469</v>
      </c>
      <c r="F2175" s="9" t="s">
        <v>7477</v>
      </c>
    </row>
    <row r="2176">
      <c r="A2176" s="9" t="s">
        <v>7478</v>
      </c>
      <c r="B2176" s="9" t="s">
        <v>109</v>
      </c>
      <c r="C2176" s="9" t="s">
        <v>1467</v>
      </c>
      <c r="D2176" s="9" t="s">
        <v>7479</v>
      </c>
      <c r="E2176" s="9" t="s">
        <v>1469</v>
      </c>
      <c r="F2176" s="9" t="s">
        <v>7480</v>
      </c>
    </row>
    <row r="2177">
      <c r="A2177" s="9" t="s">
        <v>7481</v>
      </c>
      <c r="B2177" s="9" t="s">
        <v>139</v>
      </c>
      <c r="C2177" s="9" t="s">
        <v>1467</v>
      </c>
      <c r="D2177" s="9" t="s">
        <v>7482</v>
      </c>
      <c r="E2177" s="9" t="s">
        <v>1469</v>
      </c>
      <c r="F2177" s="9" t="s">
        <v>7483</v>
      </c>
    </row>
    <row r="2178">
      <c r="A2178" s="9" t="s">
        <v>7484</v>
      </c>
      <c r="B2178" s="9" t="s">
        <v>104</v>
      </c>
      <c r="C2178" s="9" t="s">
        <v>1467</v>
      </c>
      <c r="D2178" s="9" t="s">
        <v>7485</v>
      </c>
      <c r="E2178" s="9" t="s">
        <v>1469</v>
      </c>
      <c r="F2178" s="9" t="s">
        <v>7486</v>
      </c>
    </row>
    <row r="2179">
      <c r="A2179" s="9" t="s">
        <v>7487</v>
      </c>
      <c r="B2179" s="9" t="s">
        <v>83</v>
      </c>
      <c r="C2179" s="9" t="s">
        <v>1467</v>
      </c>
      <c r="D2179" s="9" t="s">
        <v>7488</v>
      </c>
      <c r="E2179" s="9" t="s">
        <v>1469</v>
      </c>
      <c r="F2179" s="9" t="s">
        <v>7489</v>
      </c>
    </row>
    <row r="2180">
      <c r="A2180" s="9" t="s">
        <v>7490</v>
      </c>
      <c r="B2180" s="9" t="s">
        <v>331</v>
      </c>
      <c r="C2180" s="9" t="s">
        <v>1467</v>
      </c>
      <c r="D2180" s="9" t="s">
        <v>7491</v>
      </c>
      <c r="E2180" s="9" t="s">
        <v>1469</v>
      </c>
      <c r="F2180" s="9" t="s">
        <v>7492</v>
      </c>
    </row>
    <row r="2181">
      <c r="A2181" s="9" t="s">
        <v>7493</v>
      </c>
      <c r="B2181" s="9" t="s">
        <v>276</v>
      </c>
      <c r="C2181" s="9" t="s">
        <v>1467</v>
      </c>
      <c r="D2181" s="9" t="s">
        <v>7494</v>
      </c>
      <c r="E2181" s="9" t="s">
        <v>1469</v>
      </c>
      <c r="F2181" s="9" t="s">
        <v>7495</v>
      </c>
    </row>
    <row r="2182">
      <c r="A2182" s="9" t="s">
        <v>7496</v>
      </c>
      <c r="B2182" s="9" t="s">
        <v>137</v>
      </c>
      <c r="C2182" s="9" t="s">
        <v>1467</v>
      </c>
      <c r="D2182" s="9" t="s">
        <v>7497</v>
      </c>
      <c r="E2182" s="9" t="s">
        <v>1469</v>
      </c>
      <c r="F2182" s="9" t="s">
        <v>7498</v>
      </c>
    </row>
    <row r="2183">
      <c r="A2183" s="9" t="s">
        <v>7499</v>
      </c>
      <c r="B2183" s="9" t="s">
        <v>131</v>
      </c>
      <c r="C2183" s="9" t="s">
        <v>1467</v>
      </c>
      <c r="D2183" s="9" t="s">
        <v>7500</v>
      </c>
      <c r="E2183" s="9" t="s">
        <v>1469</v>
      </c>
      <c r="F2183" s="9" t="s">
        <v>7501</v>
      </c>
    </row>
    <row r="2184">
      <c r="A2184" s="9" t="s">
        <v>7502</v>
      </c>
      <c r="B2184" s="9" t="s">
        <v>368</v>
      </c>
      <c r="C2184" s="9" t="s">
        <v>1467</v>
      </c>
      <c r="D2184" s="9" t="s">
        <v>7503</v>
      </c>
      <c r="E2184" s="9" t="s">
        <v>1469</v>
      </c>
      <c r="F2184" s="9" t="s">
        <v>7504</v>
      </c>
    </row>
    <row r="2185">
      <c r="A2185" s="9" t="s">
        <v>7505</v>
      </c>
      <c r="B2185" s="9" t="s">
        <v>95</v>
      </c>
      <c r="C2185" s="9" t="s">
        <v>1467</v>
      </c>
      <c r="D2185" s="9" t="s">
        <v>7508</v>
      </c>
      <c r="E2185" s="9" t="s">
        <v>1469</v>
      </c>
      <c r="F2185" s="9" t="s">
        <v>7510</v>
      </c>
    </row>
    <row r="2186">
      <c r="A2186" s="9" t="s">
        <v>7511</v>
      </c>
      <c r="B2186" s="9" t="s">
        <v>267</v>
      </c>
      <c r="C2186" s="9" t="s">
        <v>1467</v>
      </c>
      <c r="D2186" s="9" t="s">
        <v>7512</v>
      </c>
      <c r="E2186" s="9" t="s">
        <v>1469</v>
      </c>
      <c r="F2186" s="9" t="s">
        <v>7513</v>
      </c>
    </row>
    <row r="2187">
      <c r="A2187" s="9" t="s">
        <v>7514</v>
      </c>
      <c r="B2187" s="9" t="s">
        <v>346</v>
      </c>
      <c r="C2187" s="9" t="s">
        <v>1467</v>
      </c>
      <c r="D2187" s="9" t="s">
        <v>7515</v>
      </c>
      <c r="E2187" s="9" t="s">
        <v>1469</v>
      </c>
      <c r="F2187" s="9" t="s">
        <v>7516</v>
      </c>
    </row>
    <row r="2188">
      <c r="A2188" s="9" t="s">
        <v>7517</v>
      </c>
      <c r="B2188" s="9" t="s">
        <v>343</v>
      </c>
      <c r="C2188" s="9" t="s">
        <v>1467</v>
      </c>
      <c r="D2188" s="9" t="s">
        <v>7518</v>
      </c>
      <c r="E2188" s="9" t="s">
        <v>1469</v>
      </c>
      <c r="F2188" s="9" t="s">
        <v>7519</v>
      </c>
    </row>
    <row r="2189">
      <c r="A2189" s="9" t="s">
        <v>7520</v>
      </c>
      <c r="B2189" s="9" t="s">
        <v>371</v>
      </c>
      <c r="C2189" s="9" t="s">
        <v>1467</v>
      </c>
      <c r="D2189" s="9" t="s">
        <v>7521</v>
      </c>
      <c r="E2189" s="9" t="s">
        <v>1469</v>
      </c>
      <c r="F2189" s="9" t="s">
        <v>7522</v>
      </c>
    </row>
    <row r="2190">
      <c r="A2190" s="9" t="s">
        <v>7523</v>
      </c>
      <c r="B2190" s="9" t="s">
        <v>374</v>
      </c>
      <c r="C2190" s="9" t="s">
        <v>1467</v>
      </c>
      <c r="D2190" s="9" t="s">
        <v>7524</v>
      </c>
      <c r="E2190" s="9" t="s">
        <v>1469</v>
      </c>
      <c r="F2190" s="9" t="s">
        <v>7525</v>
      </c>
    </row>
    <row r="2191">
      <c r="A2191" s="9" t="s">
        <v>7526</v>
      </c>
      <c r="B2191" s="9" t="s">
        <v>343</v>
      </c>
      <c r="C2191" s="9" t="s">
        <v>1467</v>
      </c>
      <c r="D2191" s="9" t="s">
        <v>7527</v>
      </c>
      <c r="E2191" s="9" t="s">
        <v>1469</v>
      </c>
      <c r="F2191" s="9" t="s">
        <v>7528</v>
      </c>
    </row>
    <row r="2192">
      <c r="A2192" s="9" t="s">
        <v>7529</v>
      </c>
      <c r="B2192" s="9" t="s">
        <v>278</v>
      </c>
      <c r="C2192" s="9" t="s">
        <v>1467</v>
      </c>
      <c r="D2192" s="9" t="s">
        <v>7530</v>
      </c>
      <c r="E2192" s="9" t="s">
        <v>1469</v>
      </c>
      <c r="F2192" s="9" t="s">
        <v>7531</v>
      </c>
    </row>
    <row r="2193">
      <c r="A2193" s="9" t="s">
        <v>7532</v>
      </c>
      <c r="B2193" s="9" t="s">
        <v>238</v>
      </c>
      <c r="C2193" s="9" t="s">
        <v>1467</v>
      </c>
      <c r="D2193" s="9" t="s">
        <v>7533</v>
      </c>
      <c r="E2193" s="9" t="s">
        <v>1469</v>
      </c>
      <c r="F2193" s="9" t="s">
        <v>7534</v>
      </c>
    </row>
    <row r="2194">
      <c r="A2194" s="9" t="s">
        <v>7535</v>
      </c>
      <c r="B2194" s="9" t="s">
        <v>409</v>
      </c>
      <c r="C2194" s="9" t="s">
        <v>1467</v>
      </c>
      <c r="D2194" s="9" t="s">
        <v>7536</v>
      </c>
      <c r="E2194" s="9" t="s">
        <v>1469</v>
      </c>
      <c r="F2194" s="9" t="s">
        <v>7537</v>
      </c>
    </row>
    <row r="2195">
      <c r="A2195" s="9" t="s">
        <v>7538</v>
      </c>
      <c r="B2195" s="9" t="s">
        <v>393</v>
      </c>
      <c r="C2195" s="9" t="s">
        <v>1467</v>
      </c>
      <c r="D2195" s="9" t="s">
        <v>7539</v>
      </c>
      <c r="E2195" s="9" t="s">
        <v>1469</v>
      </c>
      <c r="F2195" s="9" t="s">
        <v>7540</v>
      </c>
    </row>
    <row r="2196">
      <c r="A2196" s="9" t="s">
        <v>7541</v>
      </c>
      <c r="B2196" s="9" t="s">
        <v>290</v>
      </c>
      <c r="C2196" s="9" t="s">
        <v>1467</v>
      </c>
      <c r="D2196" s="9" t="s">
        <v>7542</v>
      </c>
      <c r="E2196" s="9" t="s">
        <v>1469</v>
      </c>
      <c r="F2196" s="9" t="s">
        <v>7543</v>
      </c>
    </row>
    <row r="2197">
      <c r="A2197" s="9" t="s">
        <v>7544</v>
      </c>
      <c r="B2197" s="9" t="s">
        <v>374</v>
      </c>
      <c r="C2197" s="9" t="s">
        <v>1467</v>
      </c>
      <c r="D2197" s="9" t="s">
        <v>7545</v>
      </c>
      <c r="E2197" s="9" t="s">
        <v>1469</v>
      </c>
      <c r="F2197" s="9" t="s">
        <v>7546</v>
      </c>
    </row>
    <row r="2198">
      <c r="A2198" s="9" t="s">
        <v>7547</v>
      </c>
      <c r="B2198" s="9" t="s">
        <v>324</v>
      </c>
      <c r="C2198" s="9" t="s">
        <v>1467</v>
      </c>
      <c r="D2198" s="9" t="s">
        <v>7548</v>
      </c>
      <c r="E2198" s="9" t="s">
        <v>1469</v>
      </c>
      <c r="F2198" s="9" t="s">
        <v>7549</v>
      </c>
    </row>
    <row r="2199">
      <c r="A2199" s="9" t="s">
        <v>7550</v>
      </c>
      <c r="B2199" s="9" t="s">
        <v>184</v>
      </c>
      <c r="C2199" s="9" t="s">
        <v>1467</v>
      </c>
      <c r="D2199" s="9" t="s">
        <v>7551</v>
      </c>
      <c r="E2199" s="9" t="s">
        <v>1469</v>
      </c>
      <c r="F2199" s="9" t="s">
        <v>7552</v>
      </c>
    </row>
    <row r="2200">
      <c r="A2200" s="9" t="s">
        <v>7553</v>
      </c>
      <c r="B2200" s="9" t="s">
        <v>299</v>
      </c>
      <c r="C2200" s="9" t="s">
        <v>1467</v>
      </c>
      <c r="D2200" s="9" t="s">
        <v>7554</v>
      </c>
      <c r="E2200" s="9" t="s">
        <v>1469</v>
      </c>
      <c r="F2200" s="9" t="s">
        <v>7555</v>
      </c>
    </row>
    <row r="2201">
      <c r="A2201" s="9" t="s">
        <v>7556</v>
      </c>
      <c r="B2201" s="9" t="s">
        <v>397</v>
      </c>
      <c r="C2201" s="9" t="s">
        <v>1467</v>
      </c>
      <c r="D2201" s="9" t="s">
        <v>7557</v>
      </c>
      <c r="E2201" s="9" t="s">
        <v>1469</v>
      </c>
      <c r="F2201" s="9" t="s">
        <v>7558</v>
      </c>
    </row>
    <row r="2202">
      <c r="A2202" s="9" t="s">
        <v>7559</v>
      </c>
      <c r="B2202" s="9" t="s">
        <v>287</v>
      </c>
      <c r="C2202" s="9" t="s">
        <v>1467</v>
      </c>
      <c r="D2202" s="9" t="s">
        <v>7560</v>
      </c>
      <c r="E2202" s="9" t="s">
        <v>1469</v>
      </c>
      <c r="F2202" s="9" t="s">
        <v>7561</v>
      </c>
    </row>
    <row r="2203">
      <c r="A2203" s="9" t="s">
        <v>7562</v>
      </c>
      <c r="B2203" s="9" t="s">
        <v>79</v>
      </c>
      <c r="C2203" s="9" t="s">
        <v>1467</v>
      </c>
      <c r="D2203" s="9" t="s">
        <v>7563</v>
      </c>
      <c r="E2203" s="9" t="s">
        <v>1469</v>
      </c>
      <c r="F2203" s="9" t="s">
        <v>7564</v>
      </c>
    </row>
    <row r="2204">
      <c r="A2204" s="9" t="s">
        <v>7565</v>
      </c>
      <c r="B2204" s="9" t="s">
        <v>231</v>
      </c>
      <c r="C2204" s="9" t="s">
        <v>1467</v>
      </c>
      <c r="D2204" s="9" t="s">
        <v>7566</v>
      </c>
      <c r="E2204" s="9" t="s">
        <v>1469</v>
      </c>
      <c r="F2204" s="9" t="s">
        <v>7567</v>
      </c>
    </row>
    <row r="2205">
      <c r="A2205" s="9" t="s">
        <v>7568</v>
      </c>
      <c r="B2205" s="9" t="s">
        <v>421</v>
      </c>
      <c r="C2205" s="9" t="s">
        <v>1467</v>
      </c>
      <c r="D2205" s="9" t="s">
        <v>7569</v>
      </c>
      <c r="E2205" s="9" t="s">
        <v>1469</v>
      </c>
      <c r="F2205" s="9" t="s">
        <v>7570</v>
      </c>
    </row>
    <row r="2206">
      <c r="A2206" s="9" t="s">
        <v>7571</v>
      </c>
      <c r="B2206" s="9" t="s">
        <v>421</v>
      </c>
      <c r="C2206" s="9" t="s">
        <v>1467</v>
      </c>
      <c r="D2206" s="9" t="s">
        <v>7572</v>
      </c>
      <c r="E2206" s="9" t="s">
        <v>1469</v>
      </c>
      <c r="F2206" s="9" t="s">
        <v>7573</v>
      </c>
    </row>
    <row r="2207">
      <c r="A2207" s="9" t="s">
        <v>7574</v>
      </c>
      <c r="B2207" s="9" t="s">
        <v>254</v>
      </c>
      <c r="C2207" s="9" t="s">
        <v>1467</v>
      </c>
      <c r="D2207" s="9" t="s">
        <v>7575</v>
      </c>
      <c r="E2207" s="9" t="s">
        <v>1469</v>
      </c>
      <c r="F2207" s="9" t="s">
        <v>7576</v>
      </c>
    </row>
    <row r="2208">
      <c r="A2208" s="9" t="s">
        <v>7577</v>
      </c>
      <c r="B2208" s="9" t="s">
        <v>387</v>
      </c>
      <c r="C2208" s="9" t="s">
        <v>1467</v>
      </c>
      <c r="D2208" s="9" t="s">
        <v>7578</v>
      </c>
      <c r="E2208" s="9" t="s">
        <v>1469</v>
      </c>
      <c r="F2208" s="9" t="s">
        <v>7579</v>
      </c>
    </row>
    <row r="2209">
      <c r="A2209" s="9" t="s">
        <v>7580</v>
      </c>
      <c r="B2209" s="9" t="s">
        <v>421</v>
      </c>
      <c r="C2209" s="9" t="s">
        <v>1467</v>
      </c>
      <c r="D2209" s="9" t="s">
        <v>7581</v>
      </c>
      <c r="E2209" s="9" t="s">
        <v>1469</v>
      </c>
      <c r="F2209" s="9" t="s">
        <v>7582</v>
      </c>
    </row>
    <row r="2210">
      <c r="A2210" s="9" t="s">
        <v>7583</v>
      </c>
      <c r="B2210" s="9" t="s">
        <v>371</v>
      </c>
      <c r="C2210" s="9" t="s">
        <v>1467</v>
      </c>
      <c r="D2210" s="9" t="s">
        <v>7584</v>
      </c>
      <c r="E2210" s="9" t="s">
        <v>1469</v>
      </c>
      <c r="F2210" s="9" t="s">
        <v>7585</v>
      </c>
    </row>
    <row r="2211">
      <c r="A2211" s="9" t="s">
        <v>7586</v>
      </c>
      <c r="B2211" s="9" t="s">
        <v>397</v>
      </c>
      <c r="C2211" s="9" t="s">
        <v>1467</v>
      </c>
      <c r="D2211" s="9" t="s">
        <v>7587</v>
      </c>
      <c r="E2211" s="9" t="s">
        <v>1469</v>
      </c>
      <c r="F2211" s="9" t="s">
        <v>7588</v>
      </c>
    </row>
    <row r="2212">
      <c r="A2212" s="9" t="s">
        <v>7589</v>
      </c>
      <c r="B2212" s="9" t="s">
        <v>125</v>
      </c>
      <c r="C2212" s="9" t="s">
        <v>1467</v>
      </c>
      <c r="D2212" s="9" t="s">
        <v>7590</v>
      </c>
      <c r="E2212" s="9" t="s">
        <v>1469</v>
      </c>
      <c r="F2212" s="9" t="s">
        <v>7591</v>
      </c>
    </row>
    <row r="2213">
      <c r="A2213" s="9" t="s">
        <v>7592</v>
      </c>
      <c r="B2213" s="9" t="s">
        <v>125</v>
      </c>
      <c r="C2213" s="9" t="s">
        <v>1467</v>
      </c>
      <c r="D2213" s="9" t="s">
        <v>7593</v>
      </c>
      <c r="E2213" s="9" t="s">
        <v>1469</v>
      </c>
      <c r="F2213" s="9" t="s">
        <v>7594</v>
      </c>
    </row>
    <row r="2214">
      <c r="A2214" s="9" t="s">
        <v>7595</v>
      </c>
      <c r="B2214" s="9" t="s">
        <v>354</v>
      </c>
      <c r="C2214" s="9" t="s">
        <v>1467</v>
      </c>
      <c r="D2214" s="9" t="s">
        <v>7596</v>
      </c>
      <c r="E2214" s="9" t="s">
        <v>1469</v>
      </c>
      <c r="F2214" s="9" t="s">
        <v>7597</v>
      </c>
    </row>
    <row r="2215">
      <c r="A2215" s="9" t="s">
        <v>7598</v>
      </c>
      <c r="B2215" s="9" t="s">
        <v>233</v>
      </c>
      <c r="C2215" s="9" t="s">
        <v>1467</v>
      </c>
      <c r="D2215" s="9" t="s">
        <v>7599</v>
      </c>
      <c r="E2215" s="9" t="s">
        <v>1469</v>
      </c>
      <c r="F2215" s="9" t="s">
        <v>7600</v>
      </c>
    </row>
    <row r="2216">
      <c r="A2216" s="9" t="s">
        <v>7601</v>
      </c>
      <c r="B2216" s="9" t="s">
        <v>125</v>
      </c>
      <c r="C2216" s="9" t="s">
        <v>1467</v>
      </c>
      <c r="D2216" s="9" t="s">
        <v>7602</v>
      </c>
      <c r="E2216" s="9" t="s">
        <v>1469</v>
      </c>
      <c r="F2216" s="9" t="s">
        <v>7603</v>
      </c>
    </row>
    <row r="2217">
      <c r="A2217" s="9" t="s">
        <v>7604</v>
      </c>
      <c r="B2217" s="9" t="s">
        <v>125</v>
      </c>
      <c r="C2217" s="9" t="s">
        <v>1467</v>
      </c>
      <c r="D2217" s="9" t="s">
        <v>7605</v>
      </c>
      <c r="E2217" s="9" t="s">
        <v>1469</v>
      </c>
      <c r="F2217" s="9" t="s">
        <v>7606</v>
      </c>
    </row>
    <row r="2218">
      <c r="A2218" s="9" t="s">
        <v>7607</v>
      </c>
      <c r="B2218" s="9" t="s">
        <v>371</v>
      </c>
      <c r="C2218" s="9" t="s">
        <v>1467</v>
      </c>
      <c r="D2218" s="9" t="s">
        <v>7608</v>
      </c>
      <c r="E2218" s="9" t="s">
        <v>1469</v>
      </c>
      <c r="F2218" s="9" t="s">
        <v>7609</v>
      </c>
    </row>
    <row r="2219">
      <c r="A2219" s="9" t="s">
        <v>7610</v>
      </c>
      <c r="B2219" s="9" t="s">
        <v>200</v>
      </c>
      <c r="C2219" s="9" t="s">
        <v>1467</v>
      </c>
      <c r="D2219" s="9" t="s">
        <v>7611</v>
      </c>
      <c r="E2219" s="9" t="s">
        <v>1469</v>
      </c>
      <c r="F2219" s="9" t="s">
        <v>7612</v>
      </c>
    </row>
    <row r="2220">
      <c r="A2220" s="9" t="s">
        <v>7613</v>
      </c>
      <c r="B2220" s="9" t="s">
        <v>314</v>
      </c>
      <c r="C2220" s="9" t="s">
        <v>1467</v>
      </c>
      <c r="D2220" s="9" t="s">
        <v>7614</v>
      </c>
      <c r="E2220" s="9" t="s">
        <v>1469</v>
      </c>
      <c r="F2220" s="9" t="s">
        <v>7615</v>
      </c>
    </row>
    <row r="2221">
      <c r="A2221" s="9" t="s">
        <v>7616</v>
      </c>
      <c r="B2221" s="9" t="s">
        <v>132</v>
      </c>
      <c r="C2221" s="9" t="s">
        <v>1467</v>
      </c>
      <c r="D2221" s="9" t="s">
        <v>7617</v>
      </c>
      <c r="E2221" s="9" t="s">
        <v>1469</v>
      </c>
      <c r="F2221" s="9" t="s">
        <v>7618</v>
      </c>
    </row>
    <row r="2222">
      <c r="A2222" s="9" t="s">
        <v>7619</v>
      </c>
      <c r="B2222" s="9" t="s">
        <v>331</v>
      </c>
      <c r="C2222" s="9" t="s">
        <v>1467</v>
      </c>
      <c r="D2222" s="9" t="s">
        <v>7620</v>
      </c>
      <c r="E2222" s="9" t="s">
        <v>1469</v>
      </c>
      <c r="F2222" s="9" t="s">
        <v>7621</v>
      </c>
    </row>
    <row r="2223">
      <c r="A2223" s="9" t="s">
        <v>7622</v>
      </c>
      <c r="B2223" s="9" t="s">
        <v>132</v>
      </c>
      <c r="C2223" s="9" t="s">
        <v>1467</v>
      </c>
      <c r="D2223" s="9" t="s">
        <v>7623</v>
      </c>
      <c r="E2223" s="9" t="s">
        <v>1469</v>
      </c>
      <c r="F2223" s="9" t="s">
        <v>7624</v>
      </c>
    </row>
    <row r="2224">
      <c r="A2224" s="9" t="s">
        <v>7625</v>
      </c>
      <c r="B2224" s="9" t="s">
        <v>417</v>
      </c>
      <c r="C2224" s="9" t="s">
        <v>1467</v>
      </c>
      <c r="D2224" s="9" t="s">
        <v>7626</v>
      </c>
      <c r="E2224" s="9" t="s">
        <v>1469</v>
      </c>
      <c r="F2224" s="9" t="s">
        <v>7627</v>
      </c>
    </row>
    <row r="2225">
      <c r="A2225" s="9" t="s">
        <v>7628</v>
      </c>
      <c r="B2225" s="9" t="s">
        <v>132</v>
      </c>
      <c r="C2225" s="9" t="s">
        <v>1467</v>
      </c>
      <c r="D2225" s="9" t="s">
        <v>7629</v>
      </c>
      <c r="E2225" s="9" t="s">
        <v>1469</v>
      </c>
      <c r="F2225" s="9" t="s">
        <v>7630</v>
      </c>
    </row>
    <row r="2226">
      <c r="A2226" s="9" t="s">
        <v>7631</v>
      </c>
      <c r="B2226" s="9" t="s">
        <v>64</v>
      </c>
      <c r="C2226" s="9" t="s">
        <v>1467</v>
      </c>
      <c r="D2226" s="9" t="s">
        <v>7632</v>
      </c>
      <c r="E2226" s="9" t="s">
        <v>1469</v>
      </c>
      <c r="F2226" s="9" t="s">
        <v>7633</v>
      </c>
    </row>
    <row r="2227">
      <c r="A2227" s="9" t="s">
        <v>7634</v>
      </c>
      <c r="B2227" s="9" t="s">
        <v>373</v>
      </c>
      <c r="C2227" s="9" t="s">
        <v>1467</v>
      </c>
      <c r="D2227" s="9" t="s">
        <v>7635</v>
      </c>
      <c r="E2227" s="9" t="s">
        <v>1469</v>
      </c>
      <c r="F2227" s="9" t="s">
        <v>7636</v>
      </c>
    </row>
    <row r="2228">
      <c r="A2228" s="9" t="s">
        <v>7638</v>
      </c>
      <c r="B2228" s="9" t="s">
        <v>417</v>
      </c>
      <c r="C2228" s="9" t="s">
        <v>1467</v>
      </c>
      <c r="D2228" s="9" t="s">
        <v>7641</v>
      </c>
      <c r="E2228" s="9" t="s">
        <v>1469</v>
      </c>
      <c r="F2228" s="9" t="s">
        <v>7642</v>
      </c>
    </row>
    <row r="2229">
      <c r="A2229" s="9" t="s">
        <v>7643</v>
      </c>
      <c r="B2229" s="9" t="s">
        <v>373</v>
      </c>
      <c r="C2229" s="9" t="s">
        <v>1467</v>
      </c>
      <c r="D2229" s="9" t="s">
        <v>7644</v>
      </c>
      <c r="E2229" s="9" t="s">
        <v>1469</v>
      </c>
      <c r="F2229" s="9" t="s">
        <v>7645</v>
      </c>
    </row>
    <row r="2230">
      <c r="A2230" s="9" t="s">
        <v>7646</v>
      </c>
      <c r="B2230" s="9" t="s">
        <v>64</v>
      </c>
      <c r="C2230" s="9" t="s">
        <v>1467</v>
      </c>
      <c r="D2230" s="9" t="s">
        <v>7647</v>
      </c>
      <c r="E2230" s="9" t="s">
        <v>1469</v>
      </c>
      <c r="F2230" s="9" t="s">
        <v>7648</v>
      </c>
    </row>
    <row r="2231">
      <c r="A2231" s="9" t="s">
        <v>7649</v>
      </c>
      <c r="B2231" s="9" t="s">
        <v>252</v>
      </c>
      <c r="C2231" s="9" t="s">
        <v>1467</v>
      </c>
      <c r="D2231" s="9" t="s">
        <v>7650</v>
      </c>
      <c r="E2231" s="9" t="s">
        <v>1469</v>
      </c>
      <c r="F2231" s="9" t="s">
        <v>7651</v>
      </c>
    </row>
    <row r="2232">
      <c r="A2232" s="9" t="s">
        <v>7652</v>
      </c>
      <c r="B2232" s="9" t="s">
        <v>85</v>
      </c>
      <c r="C2232" s="9" t="s">
        <v>1467</v>
      </c>
      <c r="D2232" s="9" t="s">
        <v>7653</v>
      </c>
      <c r="E2232" s="9" t="s">
        <v>1469</v>
      </c>
      <c r="F2232" s="9" t="s">
        <v>7654</v>
      </c>
    </row>
    <row r="2233">
      <c r="A2233" s="9" t="s">
        <v>7655</v>
      </c>
      <c r="B2233" s="9" t="s">
        <v>132</v>
      </c>
      <c r="C2233" s="9" t="s">
        <v>1467</v>
      </c>
      <c r="D2233" s="9" t="s">
        <v>7656</v>
      </c>
      <c r="E2233" s="9" t="s">
        <v>1469</v>
      </c>
      <c r="F2233" s="9" t="s">
        <v>7657</v>
      </c>
    </row>
    <row r="2234">
      <c r="A2234" s="9" t="s">
        <v>7658</v>
      </c>
      <c r="B2234" s="9" t="s">
        <v>247</v>
      </c>
      <c r="C2234" s="9" t="s">
        <v>1467</v>
      </c>
      <c r="D2234" s="9" t="s">
        <v>7659</v>
      </c>
      <c r="E2234" s="9" t="s">
        <v>1469</v>
      </c>
      <c r="F2234" s="9" t="s">
        <v>7660</v>
      </c>
    </row>
    <row r="2235">
      <c r="A2235" s="9" t="s">
        <v>7661</v>
      </c>
      <c r="B2235" s="9" t="s">
        <v>59</v>
      </c>
      <c r="C2235" s="9" t="s">
        <v>1467</v>
      </c>
      <c r="D2235" s="9" t="s">
        <v>7662</v>
      </c>
      <c r="E2235" s="9" t="s">
        <v>1469</v>
      </c>
      <c r="F2235" s="9" t="s">
        <v>7663</v>
      </c>
    </row>
    <row r="2236">
      <c r="A2236" s="9" t="s">
        <v>7664</v>
      </c>
      <c r="B2236" s="9" t="s">
        <v>228</v>
      </c>
      <c r="C2236" s="9" t="s">
        <v>1467</v>
      </c>
      <c r="D2236" s="9" t="s">
        <v>7665</v>
      </c>
      <c r="E2236" s="9" t="s">
        <v>1469</v>
      </c>
      <c r="F2236" s="9" t="s">
        <v>7666</v>
      </c>
    </row>
    <row r="2237">
      <c r="A2237" s="9" t="s">
        <v>7667</v>
      </c>
      <c r="B2237" s="9" t="s">
        <v>71</v>
      </c>
      <c r="C2237" s="9" t="s">
        <v>1467</v>
      </c>
      <c r="D2237" s="9" t="s">
        <v>7668</v>
      </c>
      <c r="E2237" s="9" t="s">
        <v>1469</v>
      </c>
      <c r="F2237" s="9" t="s">
        <v>7669</v>
      </c>
    </row>
    <row r="2238">
      <c r="A2238" s="9" t="s">
        <v>7670</v>
      </c>
      <c r="B2238" s="9" t="s">
        <v>264</v>
      </c>
      <c r="C2238" s="9" t="s">
        <v>1467</v>
      </c>
      <c r="D2238" s="9" t="s">
        <v>7671</v>
      </c>
      <c r="E2238" s="9" t="s">
        <v>1469</v>
      </c>
      <c r="F2238" s="9" t="s">
        <v>7672</v>
      </c>
    </row>
    <row r="2239">
      <c r="A2239" s="9" t="s">
        <v>7673</v>
      </c>
      <c r="B2239" s="9" t="s">
        <v>92</v>
      </c>
      <c r="C2239" s="9" t="s">
        <v>1467</v>
      </c>
      <c r="D2239" s="9" t="s">
        <v>7674</v>
      </c>
      <c r="E2239" s="9" t="s">
        <v>1469</v>
      </c>
      <c r="F2239" s="9" t="s">
        <v>7675</v>
      </c>
    </row>
    <row r="2240">
      <c r="A2240" s="9" t="s">
        <v>7676</v>
      </c>
      <c r="B2240" s="9" t="s">
        <v>286</v>
      </c>
      <c r="C2240" s="9" t="s">
        <v>1467</v>
      </c>
      <c r="D2240" s="9" t="s">
        <v>7677</v>
      </c>
      <c r="E2240" s="9" t="s">
        <v>1469</v>
      </c>
      <c r="F2240" s="9" t="s">
        <v>7678</v>
      </c>
    </row>
    <row r="2241">
      <c r="A2241" s="9" t="s">
        <v>7679</v>
      </c>
      <c r="B2241" s="9" t="s">
        <v>61</v>
      </c>
      <c r="C2241" s="9" t="s">
        <v>1467</v>
      </c>
      <c r="D2241" s="9" t="s">
        <v>7680</v>
      </c>
      <c r="E2241" s="9" t="s">
        <v>1469</v>
      </c>
      <c r="F2241" s="9" t="s">
        <v>7681</v>
      </c>
    </row>
    <row r="2242">
      <c r="A2242" s="9" t="s">
        <v>7682</v>
      </c>
      <c r="B2242" s="9" t="s">
        <v>228</v>
      </c>
      <c r="C2242" s="9" t="s">
        <v>1467</v>
      </c>
      <c r="D2242" s="9" t="s">
        <v>7683</v>
      </c>
      <c r="E2242" s="9" t="s">
        <v>1469</v>
      </c>
      <c r="F2242" s="9" t="s">
        <v>7684</v>
      </c>
    </row>
    <row r="2243">
      <c r="A2243" s="9" t="s">
        <v>7685</v>
      </c>
      <c r="B2243" s="9" t="s">
        <v>96</v>
      </c>
      <c r="C2243" s="9" t="s">
        <v>1467</v>
      </c>
      <c r="D2243" s="9" t="s">
        <v>7686</v>
      </c>
      <c r="E2243" s="9" t="s">
        <v>1469</v>
      </c>
      <c r="F2243" s="9" t="s">
        <v>7687</v>
      </c>
    </row>
    <row r="2244">
      <c r="A2244" s="9" t="s">
        <v>7688</v>
      </c>
      <c r="B2244" s="9" t="s">
        <v>228</v>
      </c>
      <c r="C2244" s="9" t="s">
        <v>1467</v>
      </c>
      <c r="D2244" s="9" t="s">
        <v>7689</v>
      </c>
      <c r="E2244" s="9" t="s">
        <v>1469</v>
      </c>
      <c r="F2244" s="9" t="s">
        <v>7690</v>
      </c>
    </row>
    <row r="2245">
      <c r="A2245" s="9" t="s">
        <v>7691</v>
      </c>
      <c r="B2245" s="9" t="s">
        <v>253</v>
      </c>
      <c r="C2245" s="9" t="s">
        <v>1467</v>
      </c>
      <c r="D2245" s="9" t="s">
        <v>7692</v>
      </c>
      <c r="E2245" s="9" t="s">
        <v>1469</v>
      </c>
      <c r="F2245" s="9" t="s">
        <v>7693</v>
      </c>
    </row>
    <row r="2246">
      <c r="A2246" s="9" t="s">
        <v>7694</v>
      </c>
      <c r="B2246" s="9" t="s">
        <v>204</v>
      </c>
      <c r="C2246" s="9" t="s">
        <v>1467</v>
      </c>
      <c r="D2246" s="9" t="s">
        <v>7695</v>
      </c>
      <c r="E2246" s="9" t="s">
        <v>1469</v>
      </c>
      <c r="F2246" s="9" t="s">
        <v>7696</v>
      </c>
    </row>
    <row r="2247">
      <c r="A2247" s="9" t="s">
        <v>7697</v>
      </c>
      <c r="B2247" s="9" t="s">
        <v>76</v>
      </c>
      <c r="C2247" s="9" t="s">
        <v>1467</v>
      </c>
      <c r="D2247" s="9" t="s">
        <v>7698</v>
      </c>
      <c r="E2247" s="9" t="s">
        <v>1469</v>
      </c>
      <c r="F2247" s="9" t="s">
        <v>7699</v>
      </c>
    </row>
    <row r="2248">
      <c r="A2248" s="9" t="s">
        <v>7700</v>
      </c>
      <c r="B2248" s="9" t="s">
        <v>101</v>
      </c>
      <c r="C2248" s="9" t="s">
        <v>1467</v>
      </c>
      <c r="D2248" s="9" t="s">
        <v>7701</v>
      </c>
      <c r="E2248" s="9" t="s">
        <v>1469</v>
      </c>
      <c r="F2248" s="9" t="s">
        <v>7702</v>
      </c>
    </row>
    <row r="2249">
      <c r="A2249" s="9" t="s">
        <v>7703</v>
      </c>
      <c r="B2249" s="9" t="s">
        <v>264</v>
      </c>
      <c r="C2249" s="9" t="s">
        <v>1467</v>
      </c>
      <c r="D2249" s="9" t="s">
        <v>7704</v>
      </c>
      <c r="E2249" s="9" t="s">
        <v>1469</v>
      </c>
      <c r="F2249" s="9" t="s">
        <v>7705</v>
      </c>
    </row>
    <row r="2250">
      <c r="A2250" s="9" t="s">
        <v>7706</v>
      </c>
      <c r="B2250" s="9" t="s">
        <v>282</v>
      </c>
      <c r="C2250" s="9" t="s">
        <v>1467</v>
      </c>
      <c r="D2250" s="9" t="s">
        <v>7707</v>
      </c>
      <c r="E2250" s="9" t="s">
        <v>1469</v>
      </c>
      <c r="F2250" s="9" t="s">
        <v>7708</v>
      </c>
    </row>
    <row r="2251">
      <c r="A2251" s="9" t="s">
        <v>7709</v>
      </c>
      <c r="B2251" s="9" t="s">
        <v>276</v>
      </c>
      <c r="C2251" s="9" t="s">
        <v>1467</v>
      </c>
      <c r="D2251" s="9" t="s">
        <v>7710</v>
      </c>
      <c r="E2251" s="9" t="s">
        <v>1469</v>
      </c>
      <c r="F2251" s="9" t="s">
        <v>7711</v>
      </c>
    </row>
    <row r="2252">
      <c r="A2252" s="9" t="s">
        <v>7712</v>
      </c>
      <c r="B2252" s="9" t="s">
        <v>252</v>
      </c>
      <c r="C2252" s="9" t="s">
        <v>1467</v>
      </c>
      <c r="D2252" s="9" t="s">
        <v>7713</v>
      </c>
      <c r="E2252" s="9" t="s">
        <v>1469</v>
      </c>
      <c r="F2252" s="9" t="s">
        <v>7714</v>
      </c>
    </row>
    <row r="2253">
      <c r="A2253" s="9" t="s">
        <v>7715</v>
      </c>
      <c r="B2253" s="9" t="s">
        <v>349</v>
      </c>
      <c r="C2253" s="9" t="s">
        <v>1467</v>
      </c>
      <c r="D2253" s="9" t="s">
        <v>7716</v>
      </c>
      <c r="E2253" s="9" t="s">
        <v>1469</v>
      </c>
      <c r="F2253" s="9" t="s">
        <v>7717</v>
      </c>
    </row>
    <row r="2254">
      <c r="A2254" s="9" t="s">
        <v>7718</v>
      </c>
      <c r="B2254" s="9" t="s">
        <v>264</v>
      </c>
      <c r="C2254" s="9" t="s">
        <v>1467</v>
      </c>
      <c r="D2254" s="9" t="s">
        <v>7719</v>
      </c>
      <c r="E2254" s="9" t="s">
        <v>1469</v>
      </c>
      <c r="F2254" s="9" t="s">
        <v>7720</v>
      </c>
    </row>
    <row r="2255">
      <c r="A2255" s="9" t="s">
        <v>7721</v>
      </c>
      <c r="B2255" s="9" t="s">
        <v>226</v>
      </c>
      <c r="C2255" s="9" t="s">
        <v>1467</v>
      </c>
      <c r="D2255" s="9" t="s">
        <v>7722</v>
      </c>
      <c r="E2255" s="9" t="s">
        <v>1469</v>
      </c>
      <c r="F2255" s="9" t="s">
        <v>7723</v>
      </c>
    </row>
    <row r="2256">
      <c r="A2256" s="9" t="s">
        <v>7724</v>
      </c>
      <c r="B2256" s="9" t="s">
        <v>76</v>
      </c>
      <c r="C2256" s="9" t="s">
        <v>1467</v>
      </c>
      <c r="D2256" s="9" t="s">
        <v>7725</v>
      </c>
      <c r="E2256" s="9" t="s">
        <v>1469</v>
      </c>
      <c r="F2256" s="9" t="s">
        <v>7726</v>
      </c>
    </row>
    <row r="2257">
      <c r="A2257" s="9" t="s">
        <v>7727</v>
      </c>
      <c r="B2257" s="9" t="s">
        <v>96</v>
      </c>
      <c r="C2257" s="9" t="s">
        <v>1467</v>
      </c>
      <c r="D2257" s="9" t="s">
        <v>7728</v>
      </c>
      <c r="E2257" s="9" t="s">
        <v>1469</v>
      </c>
      <c r="F2257" s="9" t="s">
        <v>7729</v>
      </c>
    </row>
    <row r="2258">
      <c r="A2258" s="9" t="s">
        <v>7730</v>
      </c>
      <c r="B2258" s="9" t="s">
        <v>276</v>
      </c>
      <c r="C2258" s="9" t="s">
        <v>1467</v>
      </c>
      <c r="D2258" s="9" t="s">
        <v>7731</v>
      </c>
      <c r="E2258" s="9" t="s">
        <v>1469</v>
      </c>
      <c r="F2258" s="9" t="s">
        <v>7732</v>
      </c>
    </row>
    <row r="2259">
      <c r="A2259" s="9" t="s">
        <v>7734</v>
      </c>
      <c r="B2259" s="9" t="s">
        <v>88</v>
      </c>
      <c r="C2259" s="9" t="s">
        <v>1467</v>
      </c>
      <c r="D2259" s="9" t="s">
        <v>7737</v>
      </c>
      <c r="E2259" s="9" t="s">
        <v>1469</v>
      </c>
      <c r="F2259" s="9" t="s">
        <v>7738</v>
      </c>
    </row>
    <row r="2260">
      <c r="A2260" s="9" t="s">
        <v>7739</v>
      </c>
      <c r="B2260" s="9" t="s">
        <v>282</v>
      </c>
      <c r="C2260" s="9" t="s">
        <v>1467</v>
      </c>
      <c r="D2260" s="9" t="s">
        <v>7740</v>
      </c>
      <c r="E2260" s="9" t="s">
        <v>1469</v>
      </c>
      <c r="F2260" s="9" t="s">
        <v>7741</v>
      </c>
    </row>
    <row r="2261">
      <c r="A2261" s="9" t="s">
        <v>7742</v>
      </c>
      <c r="B2261" s="9" t="s">
        <v>165</v>
      </c>
      <c r="C2261" s="9" t="s">
        <v>1467</v>
      </c>
      <c r="D2261" s="9" t="s">
        <v>7743</v>
      </c>
      <c r="E2261" s="9" t="s">
        <v>1469</v>
      </c>
      <c r="F2261" s="9" t="s">
        <v>7744</v>
      </c>
    </row>
    <row r="2262">
      <c r="A2262" s="9" t="s">
        <v>7745</v>
      </c>
      <c r="B2262" s="9" t="s">
        <v>162</v>
      </c>
      <c r="C2262" s="9" t="s">
        <v>1467</v>
      </c>
      <c r="D2262" s="9" t="s">
        <v>7746</v>
      </c>
      <c r="E2262" s="9" t="s">
        <v>1469</v>
      </c>
      <c r="F2262" s="9" t="s">
        <v>7747</v>
      </c>
    </row>
    <row r="2263">
      <c r="A2263" s="9" t="s">
        <v>7748</v>
      </c>
      <c r="B2263" s="9" t="s">
        <v>18</v>
      </c>
      <c r="C2263" s="9" t="s">
        <v>1467</v>
      </c>
      <c r="D2263" s="9" t="s">
        <v>7749</v>
      </c>
      <c r="E2263" s="9" t="s">
        <v>1469</v>
      </c>
      <c r="F2263" s="9" t="s">
        <v>7750</v>
      </c>
    </row>
    <row r="2264">
      <c r="A2264" s="9" t="s">
        <v>7751</v>
      </c>
      <c r="B2264" s="9" t="s">
        <v>162</v>
      </c>
      <c r="C2264" s="9" t="s">
        <v>1467</v>
      </c>
      <c r="D2264" s="9" t="s">
        <v>7752</v>
      </c>
      <c r="E2264" s="9" t="s">
        <v>1469</v>
      </c>
      <c r="F2264" s="9" t="s">
        <v>7753</v>
      </c>
    </row>
    <row r="2265">
      <c r="A2265" s="9" t="s">
        <v>7754</v>
      </c>
      <c r="B2265" s="9" t="s">
        <v>284</v>
      </c>
      <c r="C2265" s="9" t="s">
        <v>1467</v>
      </c>
      <c r="D2265" s="9" t="s">
        <v>7755</v>
      </c>
      <c r="E2265" s="9" t="s">
        <v>1469</v>
      </c>
      <c r="F2265" s="9" t="s">
        <v>7756</v>
      </c>
    </row>
    <row r="2266">
      <c r="A2266" s="9" t="s">
        <v>7757</v>
      </c>
      <c r="B2266" s="9" t="s">
        <v>322</v>
      </c>
      <c r="C2266" s="9" t="s">
        <v>1467</v>
      </c>
      <c r="D2266" s="9" t="s">
        <v>7758</v>
      </c>
      <c r="E2266" s="9" t="s">
        <v>1469</v>
      </c>
      <c r="F2266" s="9" t="s">
        <v>7759</v>
      </c>
    </row>
    <row r="2267">
      <c r="A2267" s="9" t="s">
        <v>7760</v>
      </c>
      <c r="B2267" s="9" t="s">
        <v>195</v>
      </c>
      <c r="C2267" s="9" t="s">
        <v>1467</v>
      </c>
      <c r="D2267" s="9" t="s">
        <v>7761</v>
      </c>
      <c r="E2267" s="9" t="s">
        <v>1469</v>
      </c>
      <c r="F2267" s="9" t="s">
        <v>7762</v>
      </c>
    </row>
    <row r="2268">
      <c r="A2268" s="9" t="s">
        <v>7763</v>
      </c>
      <c r="B2268" s="9" t="s">
        <v>192</v>
      </c>
      <c r="C2268" s="9" t="s">
        <v>1467</v>
      </c>
      <c r="D2268" s="9" t="s">
        <v>7764</v>
      </c>
      <c r="E2268" s="9" t="s">
        <v>1469</v>
      </c>
      <c r="F2268" s="9" t="s">
        <v>7765</v>
      </c>
    </row>
    <row r="2269">
      <c r="A2269" s="9" t="s">
        <v>7766</v>
      </c>
      <c r="B2269" s="9" t="s">
        <v>253</v>
      </c>
      <c r="C2269" s="9" t="s">
        <v>1467</v>
      </c>
      <c r="D2269" s="9" t="s">
        <v>7767</v>
      </c>
      <c r="E2269" s="9" t="s">
        <v>1469</v>
      </c>
      <c r="F2269" s="9" t="s">
        <v>7768</v>
      </c>
    </row>
    <row r="2270">
      <c r="A2270" s="9" t="s">
        <v>7769</v>
      </c>
      <c r="B2270" s="9" t="s">
        <v>192</v>
      </c>
      <c r="C2270" s="9" t="s">
        <v>1467</v>
      </c>
      <c r="D2270" s="9" t="s">
        <v>7770</v>
      </c>
      <c r="E2270" s="9" t="s">
        <v>1469</v>
      </c>
      <c r="F2270" s="9" t="s">
        <v>7771</v>
      </c>
    </row>
    <row r="2271">
      <c r="A2271" s="9" t="s">
        <v>7772</v>
      </c>
      <c r="B2271" s="9" t="s">
        <v>324</v>
      </c>
      <c r="C2271" s="9" t="s">
        <v>1467</v>
      </c>
      <c r="D2271" s="9" t="s">
        <v>7773</v>
      </c>
      <c r="E2271" s="9" t="s">
        <v>1469</v>
      </c>
      <c r="F2271" s="9" t="s">
        <v>7774</v>
      </c>
    </row>
    <row r="2272">
      <c r="A2272" s="9" t="s">
        <v>7775</v>
      </c>
      <c r="B2272" s="9" t="s">
        <v>204</v>
      </c>
      <c r="C2272" s="9" t="s">
        <v>1467</v>
      </c>
      <c r="D2272" s="9" t="s">
        <v>7776</v>
      </c>
      <c r="E2272" s="9" t="s">
        <v>1469</v>
      </c>
      <c r="F2272" s="9" t="s">
        <v>7777</v>
      </c>
    </row>
    <row r="2273">
      <c r="A2273" s="9" t="s">
        <v>7778</v>
      </c>
      <c r="B2273" s="9" t="s">
        <v>79</v>
      </c>
      <c r="C2273" s="9" t="s">
        <v>1467</v>
      </c>
      <c r="D2273" s="9" t="s">
        <v>7779</v>
      </c>
      <c r="E2273" s="9" t="s">
        <v>1469</v>
      </c>
      <c r="F2273" s="9" t="s">
        <v>7780</v>
      </c>
    </row>
    <row r="2274">
      <c r="A2274" s="9" t="s">
        <v>7781</v>
      </c>
      <c r="B2274" s="9" t="s">
        <v>54</v>
      </c>
      <c r="C2274" s="9" t="s">
        <v>1467</v>
      </c>
      <c r="D2274" s="9" t="s">
        <v>7782</v>
      </c>
      <c r="E2274" s="9" t="s">
        <v>1469</v>
      </c>
      <c r="F2274" s="9" t="s">
        <v>7783</v>
      </c>
    </row>
    <row r="2275">
      <c r="A2275" s="9" t="s">
        <v>7784</v>
      </c>
      <c r="B2275" s="9" t="s">
        <v>218</v>
      </c>
      <c r="C2275" s="9" t="s">
        <v>1467</v>
      </c>
      <c r="D2275" s="9" t="s">
        <v>7785</v>
      </c>
      <c r="E2275" s="9" t="s">
        <v>1469</v>
      </c>
      <c r="F2275" s="9" t="s">
        <v>7786</v>
      </c>
    </row>
    <row r="2276">
      <c r="A2276" s="9" t="s">
        <v>7787</v>
      </c>
      <c r="B2276" s="9" t="s">
        <v>273</v>
      </c>
      <c r="C2276" s="9" t="s">
        <v>1467</v>
      </c>
      <c r="D2276" s="9" t="s">
        <v>7788</v>
      </c>
      <c r="E2276" s="9" t="s">
        <v>1469</v>
      </c>
      <c r="F2276" s="9" t="s">
        <v>7789</v>
      </c>
    </row>
    <row r="2277">
      <c r="A2277" s="9" t="s">
        <v>7790</v>
      </c>
      <c r="B2277" s="9" t="s">
        <v>273</v>
      </c>
      <c r="C2277" s="9" t="s">
        <v>1467</v>
      </c>
      <c r="D2277" s="9" t="s">
        <v>7791</v>
      </c>
      <c r="E2277" s="9" t="s">
        <v>1469</v>
      </c>
      <c r="F2277" s="9" t="s">
        <v>7792</v>
      </c>
    </row>
    <row r="2278">
      <c r="A2278" s="9" t="s">
        <v>7793</v>
      </c>
      <c r="B2278" s="9" t="s">
        <v>299</v>
      </c>
      <c r="C2278" s="9" t="s">
        <v>1467</v>
      </c>
      <c r="D2278" s="9" t="s">
        <v>7794</v>
      </c>
      <c r="E2278" s="9" t="s">
        <v>1469</v>
      </c>
      <c r="F2278" s="9" t="s">
        <v>7795</v>
      </c>
    </row>
    <row r="2279">
      <c r="A2279" s="9" t="s">
        <v>7796</v>
      </c>
      <c r="B2279" s="9" t="s">
        <v>299</v>
      </c>
      <c r="C2279" s="9" t="s">
        <v>1467</v>
      </c>
      <c r="D2279" s="9" t="s">
        <v>7797</v>
      </c>
      <c r="E2279" s="9" t="s">
        <v>1469</v>
      </c>
      <c r="F2279" s="9" t="s">
        <v>7798</v>
      </c>
    </row>
    <row r="2280">
      <c r="A2280" s="9" t="s">
        <v>7799</v>
      </c>
      <c r="B2280" s="9" t="s">
        <v>187</v>
      </c>
      <c r="C2280" s="9" t="s">
        <v>1467</v>
      </c>
      <c r="D2280" s="9" t="s">
        <v>7800</v>
      </c>
      <c r="E2280" s="9" t="s">
        <v>1469</v>
      </c>
      <c r="F2280" s="9" t="s">
        <v>7801</v>
      </c>
    </row>
    <row r="2281">
      <c r="A2281" s="9" t="s">
        <v>7802</v>
      </c>
      <c r="B2281" s="9" t="s">
        <v>213</v>
      </c>
      <c r="C2281" s="9" t="s">
        <v>1467</v>
      </c>
      <c r="D2281" s="9" t="s">
        <v>7803</v>
      </c>
      <c r="E2281" s="9" t="s">
        <v>1469</v>
      </c>
      <c r="F2281" s="9" t="s">
        <v>7804</v>
      </c>
    </row>
    <row r="2282">
      <c r="A2282" s="9" t="s">
        <v>7805</v>
      </c>
      <c r="B2282" s="9" t="s">
        <v>184</v>
      </c>
      <c r="C2282" s="9" t="s">
        <v>1467</v>
      </c>
      <c r="D2282" s="9" t="s">
        <v>7806</v>
      </c>
      <c r="E2282" s="9" t="s">
        <v>1469</v>
      </c>
      <c r="F2282" s="9" t="s">
        <v>7807</v>
      </c>
    </row>
    <row r="2283">
      <c r="A2283" s="9" t="s">
        <v>7808</v>
      </c>
      <c r="B2283" s="9" t="s">
        <v>162</v>
      </c>
      <c r="C2283" s="9" t="s">
        <v>1467</v>
      </c>
      <c r="D2283" s="9" t="s">
        <v>7809</v>
      </c>
      <c r="E2283" s="9" t="s">
        <v>1469</v>
      </c>
      <c r="F2283" s="9" t="s">
        <v>7810</v>
      </c>
    </row>
    <row r="2284">
      <c r="A2284" s="9" t="s">
        <v>7811</v>
      </c>
      <c r="B2284" s="9" t="s">
        <v>174</v>
      </c>
      <c r="C2284" s="9" t="s">
        <v>1467</v>
      </c>
      <c r="D2284" s="9" t="s">
        <v>7812</v>
      </c>
      <c r="E2284" s="9" t="s">
        <v>1469</v>
      </c>
      <c r="F2284" s="9" t="s">
        <v>7813</v>
      </c>
    </row>
    <row r="2285">
      <c r="A2285" s="9" t="s">
        <v>7814</v>
      </c>
      <c r="B2285" s="9" t="s">
        <v>245</v>
      </c>
      <c r="C2285" s="9" t="s">
        <v>1467</v>
      </c>
      <c r="D2285" s="9" t="s">
        <v>7815</v>
      </c>
      <c r="E2285" s="9" t="s">
        <v>1469</v>
      </c>
      <c r="F2285" s="9" t="s">
        <v>7816</v>
      </c>
    </row>
    <row r="2286">
      <c r="A2286" s="9" t="s">
        <v>7817</v>
      </c>
      <c r="B2286" s="9" t="s">
        <v>184</v>
      </c>
      <c r="C2286" s="9" t="s">
        <v>1467</v>
      </c>
      <c r="D2286" s="9" t="s">
        <v>7818</v>
      </c>
      <c r="E2286" s="9" t="s">
        <v>1469</v>
      </c>
      <c r="F2286" s="9" t="s">
        <v>7819</v>
      </c>
    </row>
    <row r="2287">
      <c r="A2287" s="9" t="s">
        <v>7820</v>
      </c>
      <c r="B2287" s="9" t="s">
        <v>121</v>
      </c>
      <c r="C2287" s="9" t="s">
        <v>1467</v>
      </c>
      <c r="D2287" s="9" t="s">
        <v>7822</v>
      </c>
      <c r="E2287" s="9" t="s">
        <v>1469</v>
      </c>
      <c r="F2287" s="9" t="s">
        <v>7823</v>
      </c>
    </row>
    <row r="2288">
      <c r="A2288" s="9" t="s">
        <v>7824</v>
      </c>
      <c r="B2288" s="9" t="s">
        <v>259</v>
      </c>
      <c r="C2288" s="9" t="s">
        <v>1467</v>
      </c>
      <c r="D2288" s="9" t="s">
        <v>7825</v>
      </c>
      <c r="E2288" s="9" t="s">
        <v>1469</v>
      </c>
      <c r="F2288" s="9" t="s">
        <v>7826</v>
      </c>
    </row>
    <row r="2289">
      <c r="A2289" s="9" t="s">
        <v>7827</v>
      </c>
      <c r="B2289" s="9" t="s">
        <v>143</v>
      </c>
      <c r="C2289" s="9" t="s">
        <v>1467</v>
      </c>
      <c r="D2289" s="9" t="s">
        <v>7828</v>
      </c>
      <c r="E2289" s="9" t="s">
        <v>1469</v>
      </c>
      <c r="F2289" s="9" t="s">
        <v>7829</v>
      </c>
    </row>
    <row r="2290">
      <c r="A2290" s="9" t="s">
        <v>7830</v>
      </c>
      <c r="B2290" s="9" t="s">
        <v>218</v>
      </c>
      <c r="C2290" s="9" t="s">
        <v>1467</v>
      </c>
      <c r="D2290" s="9" t="s">
        <v>7831</v>
      </c>
      <c r="E2290" s="9" t="s">
        <v>1469</v>
      </c>
      <c r="F2290" s="9" t="s">
        <v>7832</v>
      </c>
    </row>
    <row r="2291">
      <c r="A2291" s="9" t="s">
        <v>7833</v>
      </c>
      <c r="B2291" s="9" t="s">
        <v>121</v>
      </c>
      <c r="C2291" s="9" t="s">
        <v>1467</v>
      </c>
      <c r="D2291" s="9" t="s">
        <v>7834</v>
      </c>
      <c r="E2291" s="9" t="s">
        <v>1469</v>
      </c>
      <c r="F2291" s="9" t="s">
        <v>7835</v>
      </c>
    </row>
    <row r="2292">
      <c r="A2292" s="9" t="s">
        <v>7836</v>
      </c>
      <c r="B2292" s="9" t="s">
        <v>165</v>
      </c>
      <c r="C2292" s="9" t="s">
        <v>1467</v>
      </c>
      <c r="D2292" s="9" t="s">
        <v>7837</v>
      </c>
      <c r="E2292" s="9" t="s">
        <v>1469</v>
      </c>
      <c r="F2292" s="9" t="s">
        <v>7838</v>
      </c>
    </row>
    <row r="2293">
      <c r="A2293" s="9" t="s">
        <v>7839</v>
      </c>
      <c r="B2293" s="9" t="s">
        <v>165</v>
      </c>
      <c r="C2293" s="9" t="s">
        <v>1467</v>
      </c>
      <c r="D2293" s="9" t="s">
        <v>7840</v>
      </c>
      <c r="E2293" s="9" t="s">
        <v>1469</v>
      </c>
      <c r="F2293" s="9" t="s">
        <v>7841</v>
      </c>
    </row>
    <row r="2294">
      <c r="A2294" s="9" t="s">
        <v>7842</v>
      </c>
      <c r="B2294" s="9" t="s">
        <v>282</v>
      </c>
      <c r="C2294" s="9" t="s">
        <v>1467</v>
      </c>
      <c r="D2294" s="9" t="s">
        <v>7843</v>
      </c>
      <c r="E2294" s="9" t="s">
        <v>1469</v>
      </c>
      <c r="F2294" s="9" t="s">
        <v>7844</v>
      </c>
    </row>
    <row r="2295">
      <c r="A2295" s="9" t="s">
        <v>7845</v>
      </c>
      <c r="B2295" s="9" t="s">
        <v>256</v>
      </c>
      <c r="C2295" s="9" t="s">
        <v>1467</v>
      </c>
      <c r="D2295" s="9" t="s">
        <v>7846</v>
      </c>
      <c r="E2295" s="9" t="s">
        <v>1469</v>
      </c>
      <c r="F2295" s="9" t="s">
        <v>7847</v>
      </c>
    </row>
    <row r="2296">
      <c r="A2296" s="9" t="s">
        <v>7848</v>
      </c>
      <c r="B2296" s="9" t="s">
        <v>204</v>
      </c>
      <c r="C2296" s="9" t="s">
        <v>1467</v>
      </c>
      <c r="D2296" s="9" t="s">
        <v>7849</v>
      </c>
      <c r="E2296" s="9" t="s">
        <v>1469</v>
      </c>
      <c r="F2296" s="9" t="s">
        <v>7850</v>
      </c>
    </row>
    <row r="2297">
      <c r="A2297" s="9" t="s">
        <v>7851</v>
      </c>
      <c r="B2297" s="9" t="s">
        <v>204</v>
      </c>
      <c r="C2297" s="9" t="s">
        <v>1467</v>
      </c>
      <c r="D2297" s="9" t="s">
        <v>7852</v>
      </c>
      <c r="E2297" s="9" t="s">
        <v>1469</v>
      </c>
      <c r="F2297" s="9" t="s">
        <v>7853</v>
      </c>
    </row>
    <row r="2298">
      <c r="A2298" s="9" t="s">
        <v>7854</v>
      </c>
      <c r="B2298" s="9" t="s">
        <v>166</v>
      </c>
      <c r="C2298" s="9" t="s">
        <v>1467</v>
      </c>
      <c r="D2298" s="9" t="s">
        <v>7855</v>
      </c>
      <c r="E2298" s="9" t="s">
        <v>1469</v>
      </c>
      <c r="F2298" s="9" t="s">
        <v>7856</v>
      </c>
    </row>
    <row r="2299">
      <c r="A2299" s="9" t="s">
        <v>7857</v>
      </c>
      <c r="B2299" s="9" t="s">
        <v>288</v>
      </c>
      <c r="C2299" s="9" t="s">
        <v>1467</v>
      </c>
      <c r="D2299" s="9" t="s">
        <v>7858</v>
      </c>
      <c r="E2299" s="9" t="s">
        <v>1469</v>
      </c>
      <c r="F2299" s="9" t="s">
        <v>7859</v>
      </c>
    </row>
    <row r="2300">
      <c r="A2300" s="9" t="s">
        <v>7860</v>
      </c>
      <c r="B2300" s="9" t="s">
        <v>288</v>
      </c>
      <c r="C2300" s="9" t="s">
        <v>1467</v>
      </c>
      <c r="D2300" s="9" t="s">
        <v>7861</v>
      </c>
      <c r="E2300" s="9" t="s">
        <v>1469</v>
      </c>
      <c r="F2300" s="9" t="s">
        <v>7862</v>
      </c>
    </row>
    <row r="2301">
      <c r="A2301" s="9" t="s">
        <v>7863</v>
      </c>
      <c r="B2301" s="9" t="s">
        <v>59</v>
      </c>
      <c r="C2301" s="9" t="s">
        <v>1467</v>
      </c>
      <c r="D2301" s="9" t="s">
        <v>7864</v>
      </c>
      <c r="E2301" s="9" t="s">
        <v>1469</v>
      </c>
      <c r="F2301" s="9" t="s">
        <v>7865</v>
      </c>
    </row>
    <row r="2302">
      <c r="A2302" s="9" t="s">
        <v>7866</v>
      </c>
      <c r="B2302" s="9" t="s">
        <v>190</v>
      </c>
      <c r="C2302" s="9" t="s">
        <v>1467</v>
      </c>
      <c r="D2302" s="9" t="s">
        <v>7867</v>
      </c>
      <c r="E2302" s="9" t="s">
        <v>1469</v>
      </c>
      <c r="F2302" s="9" t="s">
        <v>7868</v>
      </c>
    </row>
    <row r="2303">
      <c r="A2303" s="9" t="s">
        <v>7869</v>
      </c>
      <c r="B2303" s="9" t="s">
        <v>350</v>
      </c>
      <c r="C2303" s="9" t="s">
        <v>1467</v>
      </c>
      <c r="D2303" s="9" t="s">
        <v>7870</v>
      </c>
      <c r="E2303" s="9" t="s">
        <v>1469</v>
      </c>
      <c r="F2303" s="9" t="s">
        <v>7871</v>
      </c>
    </row>
    <row r="2304">
      <c r="A2304" s="9" t="s">
        <v>7872</v>
      </c>
      <c r="B2304" s="9" t="s">
        <v>277</v>
      </c>
      <c r="C2304" s="9" t="s">
        <v>1467</v>
      </c>
      <c r="D2304" s="9" t="s">
        <v>7873</v>
      </c>
      <c r="E2304" s="9" t="s">
        <v>1469</v>
      </c>
      <c r="F2304" s="9" t="s">
        <v>7874</v>
      </c>
    </row>
    <row r="2305">
      <c r="A2305" s="9" t="s">
        <v>7875</v>
      </c>
      <c r="B2305" s="9" t="s">
        <v>350</v>
      </c>
      <c r="C2305" s="9" t="s">
        <v>1467</v>
      </c>
      <c r="D2305" s="9" t="s">
        <v>7876</v>
      </c>
      <c r="E2305" s="9" t="s">
        <v>1469</v>
      </c>
      <c r="F2305" s="9" t="s">
        <v>7877</v>
      </c>
    </row>
    <row r="2306">
      <c r="A2306" s="9" t="s">
        <v>7878</v>
      </c>
      <c r="B2306" s="9" t="s">
        <v>299</v>
      </c>
      <c r="C2306" s="9" t="s">
        <v>1467</v>
      </c>
      <c r="D2306" s="9" t="s">
        <v>7879</v>
      </c>
      <c r="E2306" s="9" t="s">
        <v>1469</v>
      </c>
      <c r="F2306" s="9" t="s">
        <v>7880</v>
      </c>
    </row>
    <row r="2307">
      <c r="A2307" s="9" t="s">
        <v>7881</v>
      </c>
      <c r="B2307" s="9" t="s">
        <v>62</v>
      </c>
      <c r="C2307" s="9" t="s">
        <v>1467</v>
      </c>
      <c r="D2307" s="9" t="s">
        <v>7882</v>
      </c>
      <c r="E2307" s="9" t="s">
        <v>1469</v>
      </c>
      <c r="F2307" s="9" t="s">
        <v>7883</v>
      </c>
    </row>
    <row r="2308">
      <c r="A2308" s="9" t="s">
        <v>7884</v>
      </c>
      <c r="B2308" s="9" t="s">
        <v>345</v>
      </c>
      <c r="C2308" s="9" t="s">
        <v>1467</v>
      </c>
      <c r="D2308" s="9" t="s">
        <v>7885</v>
      </c>
      <c r="E2308" s="9" t="s">
        <v>1469</v>
      </c>
      <c r="F2308" s="9" t="s">
        <v>7886</v>
      </c>
    </row>
    <row r="2309">
      <c r="A2309" s="9" t="s">
        <v>7887</v>
      </c>
      <c r="B2309" s="9" t="s">
        <v>62</v>
      </c>
      <c r="C2309" s="9" t="s">
        <v>1467</v>
      </c>
      <c r="D2309" s="9" t="s">
        <v>7888</v>
      </c>
      <c r="E2309" s="9" t="s">
        <v>1469</v>
      </c>
      <c r="F2309" s="9" t="s">
        <v>7889</v>
      </c>
    </row>
    <row r="2310">
      <c r="A2310" s="9" t="s">
        <v>7890</v>
      </c>
      <c r="B2310" s="9" t="s">
        <v>62</v>
      </c>
      <c r="C2310" s="9" t="s">
        <v>1467</v>
      </c>
      <c r="D2310" s="9" t="s">
        <v>7891</v>
      </c>
      <c r="E2310" s="9" t="s">
        <v>1469</v>
      </c>
      <c r="F2310" s="9" t="s">
        <v>7892</v>
      </c>
    </row>
    <row r="2311">
      <c r="A2311" s="9" t="s">
        <v>7893</v>
      </c>
      <c r="B2311" s="9" t="s">
        <v>263</v>
      </c>
      <c r="C2311" s="9" t="s">
        <v>1467</v>
      </c>
      <c r="D2311" s="9" t="s">
        <v>7894</v>
      </c>
      <c r="E2311" s="9" t="s">
        <v>1469</v>
      </c>
      <c r="F2311" s="9" t="s">
        <v>7895</v>
      </c>
    </row>
    <row r="2312">
      <c r="A2312" s="9" t="s">
        <v>7896</v>
      </c>
      <c r="B2312" s="9" t="s">
        <v>198</v>
      </c>
      <c r="C2312" s="9" t="s">
        <v>1467</v>
      </c>
      <c r="D2312" s="9" t="s">
        <v>7897</v>
      </c>
      <c r="E2312" s="9" t="s">
        <v>1469</v>
      </c>
      <c r="F2312" s="9" t="s">
        <v>7898</v>
      </c>
    </row>
    <row r="2313">
      <c r="A2313" s="9" t="s">
        <v>7899</v>
      </c>
      <c r="B2313" s="9" t="s">
        <v>54</v>
      </c>
      <c r="C2313" s="9" t="s">
        <v>1467</v>
      </c>
      <c r="D2313" s="9" t="s">
        <v>7900</v>
      </c>
      <c r="E2313" s="9" t="s">
        <v>1469</v>
      </c>
      <c r="F2313" s="9" t="s">
        <v>7901</v>
      </c>
    </row>
    <row r="2314">
      <c r="A2314" s="9" t="s">
        <v>7902</v>
      </c>
      <c r="B2314" s="9" t="s">
        <v>385</v>
      </c>
      <c r="C2314" s="9" t="s">
        <v>1467</v>
      </c>
      <c r="D2314" s="9" t="s">
        <v>7903</v>
      </c>
      <c r="E2314" s="9" t="s">
        <v>1469</v>
      </c>
      <c r="F2314" s="9" t="s">
        <v>7904</v>
      </c>
    </row>
    <row r="2315">
      <c r="A2315" s="9" t="s">
        <v>7905</v>
      </c>
      <c r="B2315" s="9" t="s">
        <v>245</v>
      </c>
      <c r="C2315" s="9" t="s">
        <v>1467</v>
      </c>
      <c r="D2315" s="9" t="s">
        <v>7906</v>
      </c>
      <c r="E2315" s="9" t="s">
        <v>1469</v>
      </c>
      <c r="F2315" s="9" t="s">
        <v>7907</v>
      </c>
    </row>
    <row r="2316">
      <c r="A2316" s="9" t="s">
        <v>7908</v>
      </c>
      <c r="B2316" s="9" t="s">
        <v>79</v>
      </c>
      <c r="C2316" s="9" t="s">
        <v>1467</v>
      </c>
      <c r="D2316" s="9" t="s">
        <v>7909</v>
      </c>
      <c r="E2316" s="9" t="s">
        <v>1469</v>
      </c>
      <c r="F2316" s="9" t="s">
        <v>7910</v>
      </c>
    </row>
    <row r="2317">
      <c r="A2317" s="9" t="s">
        <v>7911</v>
      </c>
      <c r="B2317" s="9" t="s">
        <v>89</v>
      </c>
      <c r="C2317" s="9" t="s">
        <v>1467</v>
      </c>
      <c r="D2317" s="9" t="s">
        <v>7912</v>
      </c>
      <c r="E2317" s="9" t="s">
        <v>1469</v>
      </c>
      <c r="F2317" s="9" t="s">
        <v>7913</v>
      </c>
    </row>
    <row r="2318">
      <c r="A2318" s="9" t="s">
        <v>7914</v>
      </c>
      <c r="B2318" s="9" t="s">
        <v>59</v>
      </c>
      <c r="C2318" s="9" t="s">
        <v>1467</v>
      </c>
      <c r="D2318" s="9" t="s">
        <v>7915</v>
      </c>
      <c r="E2318" s="9" t="s">
        <v>1469</v>
      </c>
      <c r="F2318" s="9" t="s">
        <v>7916</v>
      </c>
    </row>
    <row r="2319">
      <c r="A2319" s="9" t="s">
        <v>7917</v>
      </c>
      <c r="B2319" s="9" t="s">
        <v>227</v>
      </c>
      <c r="C2319" s="9" t="s">
        <v>1467</v>
      </c>
      <c r="D2319" s="9" t="s">
        <v>7918</v>
      </c>
      <c r="E2319" s="9" t="s">
        <v>1469</v>
      </c>
      <c r="F2319" s="9" t="s">
        <v>7919</v>
      </c>
    </row>
    <row r="2320">
      <c r="A2320" s="9" t="s">
        <v>7920</v>
      </c>
      <c r="B2320" s="9" t="s">
        <v>271</v>
      </c>
      <c r="C2320" s="9" t="s">
        <v>1467</v>
      </c>
      <c r="D2320" s="9" t="s">
        <v>7921</v>
      </c>
      <c r="E2320" s="9" t="s">
        <v>1469</v>
      </c>
      <c r="F2320" s="9" t="s">
        <v>7922</v>
      </c>
    </row>
    <row r="2321">
      <c r="A2321" s="9" t="s">
        <v>7923</v>
      </c>
      <c r="B2321" s="9" t="s">
        <v>271</v>
      </c>
      <c r="C2321" s="9" t="s">
        <v>1467</v>
      </c>
      <c r="D2321" s="9" t="s">
        <v>7924</v>
      </c>
      <c r="E2321" s="9" t="s">
        <v>1469</v>
      </c>
      <c r="F2321" s="9" t="s">
        <v>7925</v>
      </c>
    </row>
    <row r="2322">
      <c r="A2322" s="9" t="s">
        <v>7926</v>
      </c>
      <c r="B2322" s="9" t="s">
        <v>95</v>
      </c>
      <c r="C2322" s="9" t="s">
        <v>1467</v>
      </c>
      <c r="D2322" s="9" t="s">
        <v>7927</v>
      </c>
      <c r="E2322" s="9" t="s">
        <v>1469</v>
      </c>
      <c r="F2322" s="9" t="s">
        <v>7929</v>
      </c>
    </row>
    <row r="2323">
      <c r="A2323" s="9" t="s">
        <v>7931</v>
      </c>
      <c r="B2323" s="9" t="s">
        <v>217</v>
      </c>
      <c r="C2323" s="9" t="s">
        <v>1467</v>
      </c>
      <c r="D2323" s="9" t="s">
        <v>7933</v>
      </c>
      <c r="E2323" s="9" t="s">
        <v>1469</v>
      </c>
      <c r="F2323" s="9" t="s">
        <v>7934</v>
      </c>
    </row>
    <row r="2324">
      <c r="A2324" s="9" t="s">
        <v>7935</v>
      </c>
      <c r="B2324" s="9" t="s">
        <v>320</v>
      </c>
      <c r="C2324" s="9" t="s">
        <v>1467</v>
      </c>
      <c r="D2324" s="9" t="s">
        <v>7936</v>
      </c>
      <c r="E2324" s="9" t="s">
        <v>1469</v>
      </c>
      <c r="F2324" s="9" t="s">
        <v>7937</v>
      </c>
    </row>
    <row r="2325">
      <c r="A2325" s="9" t="s">
        <v>7938</v>
      </c>
      <c r="B2325" s="9" t="s">
        <v>128</v>
      </c>
      <c r="C2325" s="9" t="s">
        <v>1467</v>
      </c>
      <c r="D2325" s="9" t="s">
        <v>7939</v>
      </c>
      <c r="E2325" s="9" t="s">
        <v>1469</v>
      </c>
      <c r="F2325" s="9" t="s">
        <v>7940</v>
      </c>
    </row>
    <row r="2326">
      <c r="A2326" s="9" t="s">
        <v>7941</v>
      </c>
      <c r="B2326" s="9" t="s">
        <v>332</v>
      </c>
      <c r="C2326" s="9" t="s">
        <v>1467</v>
      </c>
      <c r="D2326" s="9" t="s">
        <v>7942</v>
      </c>
      <c r="E2326" s="9" t="s">
        <v>1469</v>
      </c>
      <c r="F2326" s="9" t="s">
        <v>7943</v>
      </c>
    </row>
    <row r="2327">
      <c r="A2327" s="9" t="s">
        <v>7944</v>
      </c>
      <c r="B2327" s="9" t="s">
        <v>227</v>
      </c>
      <c r="C2327" s="9" t="s">
        <v>1467</v>
      </c>
      <c r="D2327" s="9" t="s">
        <v>7945</v>
      </c>
      <c r="E2327" s="9" t="s">
        <v>1469</v>
      </c>
      <c r="F2327" s="9" t="s">
        <v>7946</v>
      </c>
    </row>
    <row r="2328">
      <c r="A2328" s="9" t="s">
        <v>7947</v>
      </c>
      <c r="B2328" s="9" t="s">
        <v>296</v>
      </c>
      <c r="C2328" s="9" t="s">
        <v>1467</v>
      </c>
      <c r="D2328" s="9" t="s">
        <v>7948</v>
      </c>
      <c r="E2328" s="9" t="s">
        <v>1469</v>
      </c>
      <c r="F2328" s="9" t="s">
        <v>7949</v>
      </c>
    </row>
    <row r="2329">
      <c r="A2329" s="9" t="s">
        <v>7950</v>
      </c>
      <c r="B2329" s="9" t="s">
        <v>217</v>
      </c>
      <c r="C2329" s="9" t="s">
        <v>1467</v>
      </c>
      <c r="D2329" s="9" t="s">
        <v>7951</v>
      </c>
      <c r="E2329" s="9" t="s">
        <v>1469</v>
      </c>
      <c r="F2329" s="9" t="s">
        <v>7952</v>
      </c>
    </row>
    <row r="2330">
      <c r="A2330" s="9" t="s">
        <v>7953</v>
      </c>
      <c r="B2330" s="9" t="s">
        <v>296</v>
      </c>
      <c r="C2330" s="9" t="s">
        <v>1467</v>
      </c>
      <c r="D2330" s="9" t="s">
        <v>7954</v>
      </c>
      <c r="E2330" s="9" t="s">
        <v>1469</v>
      </c>
      <c r="F2330" s="9" t="s">
        <v>7955</v>
      </c>
    </row>
    <row r="2331">
      <c r="A2331" s="9" t="s">
        <v>7956</v>
      </c>
      <c r="B2331" s="9" t="s">
        <v>296</v>
      </c>
      <c r="C2331" s="9" t="s">
        <v>1467</v>
      </c>
      <c r="D2331" s="9" t="s">
        <v>7957</v>
      </c>
      <c r="E2331" s="9" t="s">
        <v>1469</v>
      </c>
      <c r="F2331" s="9" t="s">
        <v>7958</v>
      </c>
    </row>
    <row r="2332">
      <c r="A2332" s="9" t="s">
        <v>7959</v>
      </c>
      <c r="B2332" s="9" t="s">
        <v>298</v>
      </c>
      <c r="C2332" s="9" t="s">
        <v>1467</v>
      </c>
      <c r="D2332" s="9" t="s">
        <v>7960</v>
      </c>
      <c r="E2332" s="9" t="s">
        <v>1469</v>
      </c>
      <c r="F2332" s="9" t="s">
        <v>7961</v>
      </c>
    </row>
    <row r="2333">
      <c r="A2333" s="9" t="s">
        <v>7962</v>
      </c>
      <c r="B2333" s="9" t="s">
        <v>192</v>
      </c>
      <c r="C2333" s="9" t="s">
        <v>1467</v>
      </c>
      <c r="D2333" s="9" t="s">
        <v>7963</v>
      </c>
      <c r="E2333" s="9" t="s">
        <v>1469</v>
      </c>
      <c r="F2333" s="9" t="s">
        <v>7964</v>
      </c>
    </row>
    <row r="2334">
      <c r="A2334" s="9" t="s">
        <v>7965</v>
      </c>
      <c r="B2334" s="9" t="s">
        <v>368</v>
      </c>
      <c r="C2334" s="9" t="s">
        <v>1467</v>
      </c>
      <c r="D2334" s="9" t="s">
        <v>7966</v>
      </c>
      <c r="E2334" s="9" t="s">
        <v>1469</v>
      </c>
      <c r="F2334" s="9" t="s">
        <v>7967</v>
      </c>
    </row>
    <row r="2335">
      <c r="A2335" s="9" t="s">
        <v>7968</v>
      </c>
      <c r="B2335" s="9" t="s">
        <v>349</v>
      </c>
      <c r="C2335" s="9" t="s">
        <v>1467</v>
      </c>
      <c r="D2335" s="9" t="s">
        <v>7969</v>
      </c>
      <c r="E2335" s="9" t="s">
        <v>1469</v>
      </c>
      <c r="F2335" s="9" t="s">
        <v>7970</v>
      </c>
    </row>
    <row r="2336">
      <c r="A2336" s="9" t="s">
        <v>7971</v>
      </c>
      <c r="B2336" s="9" t="s">
        <v>343</v>
      </c>
      <c r="C2336" s="9" t="s">
        <v>1467</v>
      </c>
      <c r="D2336" s="9" t="s">
        <v>7972</v>
      </c>
      <c r="E2336" s="9" t="s">
        <v>1469</v>
      </c>
      <c r="F2336" s="9" t="s">
        <v>7973</v>
      </c>
    </row>
    <row r="2337">
      <c r="A2337" s="9" t="s">
        <v>7974</v>
      </c>
      <c r="B2337" s="9" t="s">
        <v>306</v>
      </c>
      <c r="C2337" s="9" t="s">
        <v>1467</v>
      </c>
      <c r="D2337" s="9" t="s">
        <v>7975</v>
      </c>
      <c r="E2337" s="9" t="s">
        <v>1469</v>
      </c>
      <c r="F2337" s="9" t="s">
        <v>7976</v>
      </c>
    </row>
    <row r="2338">
      <c r="A2338" s="9" t="s">
        <v>7977</v>
      </c>
      <c r="B2338" s="9" t="s">
        <v>306</v>
      </c>
      <c r="C2338" s="9" t="s">
        <v>1467</v>
      </c>
      <c r="D2338" s="9" t="s">
        <v>7978</v>
      </c>
      <c r="E2338" s="9" t="s">
        <v>1469</v>
      </c>
      <c r="F2338" s="9" t="s">
        <v>7979</v>
      </c>
    </row>
    <row r="2339">
      <c r="A2339" s="9" t="s">
        <v>7980</v>
      </c>
      <c r="B2339" s="9" t="s">
        <v>287</v>
      </c>
      <c r="C2339" s="9" t="s">
        <v>1467</v>
      </c>
      <c r="D2339" s="9" t="s">
        <v>7981</v>
      </c>
      <c r="E2339" s="9" t="s">
        <v>1469</v>
      </c>
      <c r="F2339" s="9" t="s">
        <v>7982</v>
      </c>
    </row>
    <row r="2340">
      <c r="A2340" s="9" t="s">
        <v>7983</v>
      </c>
      <c r="B2340" s="9" t="s">
        <v>277</v>
      </c>
      <c r="C2340" s="9" t="s">
        <v>1467</v>
      </c>
      <c r="D2340" s="9" t="s">
        <v>7984</v>
      </c>
      <c r="E2340" s="9" t="s">
        <v>1469</v>
      </c>
      <c r="F2340" s="9" t="s">
        <v>7985</v>
      </c>
    </row>
    <row r="2341">
      <c r="A2341" s="9" t="s">
        <v>7986</v>
      </c>
      <c r="B2341" s="9" t="s">
        <v>263</v>
      </c>
      <c r="C2341" s="9" t="s">
        <v>1467</v>
      </c>
      <c r="D2341" s="9" t="s">
        <v>7987</v>
      </c>
      <c r="E2341" s="9" t="s">
        <v>1469</v>
      </c>
      <c r="F2341" s="9" t="s">
        <v>7988</v>
      </c>
    </row>
    <row r="2342">
      <c r="A2342" s="9" t="s">
        <v>7989</v>
      </c>
      <c r="B2342" s="9" t="s">
        <v>254</v>
      </c>
      <c r="C2342" s="9" t="s">
        <v>1467</v>
      </c>
      <c r="D2342" s="9" t="s">
        <v>7990</v>
      </c>
      <c r="E2342" s="9" t="s">
        <v>1469</v>
      </c>
      <c r="F2342" s="9" t="s">
        <v>7991</v>
      </c>
    </row>
    <row r="2343">
      <c r="A2343" s="9" t="s">
        <v>7992</v>
      </c>
      <c r="B2343" s="9" t="s">
        <v>258</v>
      </c>
      <c r="C2343" s="9" t="s">
        <v>1467</v>
      </c>
      <c r="D2343" s="9" t="s">
        <v>7993</v>
      </c>
      <c r="E2343" s="9" t="s">
        <v>1469</v>
      </c>
      <c r="F2343" s="9" t="s">
        <v>7994</v>
      </c>
    </row>
    <row r="2344">
      <c r="A2344" s="9" t="s">
        <v>7995</v>
      </c>
      <c r="B2344" s="9" t="s">
        <v>185</v>
      </c>
      <c r="C2344" s="9" t="s">
        <v>1467</v>
      </c>
      <c r="D2344" s="9" t="s">
        <v>7996</v>
      </c>
      <c r="E2344" s="9" t="s">
        <v>1469</v>
      </c>
      <c r="F2344" s="9" t="s">
        <v>7997</v>
      </c>
    </row>
    <row r="2345">
      <c r="A2345" s="9" t="s">
        <v>7998</v>
      </c>
      <c r="B2345" s="9" t="s">
        <v>185</v>
      </c>
      <c r="C2345" s="9" t="s">
        <v>1467</v>
      </c>
      <c r="D2345" s="9" t="s">
        <v>7999</v>
      </c>
      <c r="E2345" s="9" t="s">
        <v>1469</v>
      </c>
      <c r="F2345" s="9" t="s">
        <v>8000</v>
      </c>
    </row>
    <row r="2346">
      <c r="A2346" s="9" t="s">
        <v>8001</v>
      </c>
      <c r="B2346" s="9" t="s">
        <v>332</v>
      </c>
      <c r="C2346" s="9" t="s">
        <v>1467</v>
      </c>
      <c r="D2346" s="9" t="s">
        <v>8002</v>
      </c>
      <c r="E2346" s="9" t="s">
        <v>1469</v>
      </c>
      <c r="F2346" s="9" t="s">
        <v>8003</v>
      </c>
    </row>
    <row r="2347">
      <c r="A2347" s="9" t="s">
        <v>8004</v>
      </c>
      <c r="B2347" s="9" t="s">
        <v>217</v>
      </c>
      <c r="C2347" s="9" t="s">
        <v>1467</v>
      </c>
      <c r="D2347" s="9" t="s">
        <v>8005</v>
      </c>
      <c r="E2347" s="9" t="s">
        <v>1469</v>
      </c>
      <c r="F2347" s="9" t="s">
        <v>8006</v>
      </c>
    </row>
    <row r="2348">
      <c r="A2348" s="9" t="s">
        <v>8007</v>
      </c>
      <c r="B2348" s="9" t="s">
        <v>296</v>
      </c>
      <c r="C2348" s="9" t="s">
        <v>1467</v>
      </c>
      <c r="D2348" s="9" t="s">
        <v>8008</v>
      </c>
      <c r="E2348" s="9" t="s">
        <v>1469</v>
      </c>
      <c r="F2348" s="9" t="s">
        <v>8009</v>
      </c>
    </row>
    <row r="2349">
      <c r="A2349" s="9" t="s">
        <v>8010</v>
      </c>
      <c r="B2349" s="9" t="s">
        <v>281</v>
      </c>
      <c r="C2349" s="9" t="s">
        <v>1467</v>
      </c>
      <c r="D2349" s="9" t="s">
        <v>8011</v>
      </c>
      <c r="E2349" s="9" t="s">
        <v>1469</v>
      </c>
      <c r="F2349" s="9" t="s">
        <v>8012</v>
      </c>
    </row>
    <row r="2350">
      <c r="A2350" s="9" t="s">
        <v>8013</v>
      </c>
      <c r="B2350" s="9" t="s">
        <v>59</v>
      </c>
      <c r="C2350" s="9" t="s">
        <v>1467</v>
      </c>
      <c r="D2350" s="9" t="s">
        <v>8014</v>
      </c>
      <c r="E2350" s="9" t="s">
        <v>1469</v>
      </c>
      <c r="F2350" s="9" t="s">
        <v>8015</v>
      </c>
    </row>
    <row r="2351">
      <c r="A2351" s="9" t="s">
        <v>8016</v>
      </c>
      <c r="B2351" s="9" t="s">
        <v>110</v>
      </c>
      <c r="C2351" s="9" t="s">
        <v>1467</v>
      </c>
      <c r="D2351" s="9" t="s">
        <v>8017</v>
      </c>
      <c r="E2351" s="9" t="s">
        <v>1469</v>
      </c>
      <c r="F2351" s="9" t="s">
        <v>8018</v>
      </c>
    </row>
    <row r="2352">
      <c r="A2352" s="9" t="s">
        <v>8019</v>
      </c>
      <c r="B2352" s="9" t="s">
        <v>346</v>
      </c>
      <c r="C2352" s="9" t="s">
        <v>1467</v>
      </c>
      <c r="D2352" s="9" t="s">
        <v>8020</v>
      </c>
      <c r="E2352" s="9" t="s">
        <v>1469</v>
      </c>
      <c r="F2352" s="9" t="s">
        <v>8021</v>
      </c>
    </row>
    <row r="2353">
      <c r="A2353" s="9" t="s">
        <v>8022</v>
      </c>
      <c r="B2353" s="9" t="s">
        <v>296</v>
      </c>
      <c r="C2353" s="9" t="s">
        <v>1467</v>
      </c>
      <c r="D2353" s="9" t="s">
        <v>8023</v>
      </c>
      <c r="E2353" s="9" t="s">
        <v>1469</v>
      </c>
      <c r="F2353" s="9" t="s">
        <v>8024</v>
      </c>
    </row>
    <row r="2354">
      <c r="A2354" s="9" t="s">
        <v>8025</v>
      </c>
      <c r="B2354" s="9" t="s">
        <v>183</v>
      </c>
      <c r="C2354" s="9" t="s">
        <v>1467</v>
      </c>
      <c r="D2354" s="9" t="s">
        <v>8026</v>
      </c>
      <c r="E2354" s="9" t="s">
        <v>1469</v>
      </c>
      <c r="F2354" s="9" t="s">
        <v>8027</v>
      </c>
    </row>
    <row r="2355">
      <c r="A2355" s="9" t="s">
        <v>8028</v>
      </c>
      <c r="B2355" s="9" t="s">
        <v>110</v>
      </c>
      <c r="C2355" s="9" t="s">
        <v>1467</v>
      </c>
      <c r="D2355" s="9" t="s">
        <v>8029</v>
      </c>
      <c r="E2355" s="9" t="s">
        <v>1469</v>
      </c>
      <c r="F2355" s="9" t="s">
        <v>8030</v>
      </c>
    </row>
    <row r="2356">
      <c r="A2356" s="9" t="s">
        <v>8031</v>
      </c>
      <c r="B2356" s="9" t="s">
        <v>213</v>
      </c>
      <c r="C2356" s="9" t="s">
        <v>1467</v>
      </c>
      <c r="D2356" s="9" t="s">
        <v>8032</v>
      </c>
      <c r="E2356" s="9" t="s">
        <v>1469</v>
      </c>
      <c r="F2356" s="9" t="s">
        <v>8033</v>
      </c>
    </row>
    <row r="2357">
      <c r="A2357" s="9" t="s">
        <v>8034</v>
      </c>
      <c r="B2357" s="9" t="s">
        <v>218</v>
      </c>
      <c r="C2357" s="9" t="s">
        <v>1467</v>
      </c>
      <c r="D2357" s="9" t="s">
        <v>8035</v>
      </c>
      <c r="E2357" s="9" t="s">
        <v>1469</v>
      </c>
      <c r="F2357" s="9" t="s">
        <v>8036</v>
      </c>
    </row>
    <row r="2358">
      <c r="A2358" s="9" t="s">
        <v>8037</v>
      </c>
      <c r="B2358" s="9" t="s">
        <v>84</v>
      </c>
      <c r="C2358" s="9" t="s">
        <v>1467</v>
      </c>
      <c r="D2358" s="9" t="s">
        <v>8038</v>
      </c>
      <c r="E2358" s="9" t="s">
        <v>1469</v>
      </c>
      <c r="F2358" s="9" t="s">
        <v>8039</v>
      </c>
    </row>
    <row r="2359">
      <c r="A2359" s="9" t="s">
        <v>8040</v>
      </c>
      <c r="B2359" s="9" t="s">
        <v>263</v>
      </c>
      <c r="C2359" s="9" t="s">
        <v>1467</v>
      </c>
      <c r="D2359" s="9" t="s">
        <v>8041</v>
      </c>
      <c r="E2359" s="9" t="s">
        <v>1469</v>
      </c>
      <c r="F2359" s="9" t="s">
        <v>8042</v>
      </c>
    </row>
    <row r="2360">
      <c r="A2360" s="9" t="s">
        <v>8043</v>
      </c>
      <c r="B2360" s="9" t="s">
        <v>273</v>
      </c>
      <c r="C2360" s="9" t="s">
        <v>1467</v>
      </c>
      <c r="D2360" s="9" t="s">
        <v>8044</v>
      </c>
      <c r="E2360" s="9" t="s">
        <v>1469</v>
      </c>
      <c r="F2360" s="9" t="s">
        <v>8045</v>
      </c>
    </row>
    <row r="2361">
      <c r="A2361" s="9" t="s">
        <v>8046</v>
      </c>
      <c r="B2361" s="9" t="s">
        <v>388</v>
      </c>
      <c r="C2361" s="9" t="s">
        <v>1467</v>
      </c>
      <c r="D2361" s="9" t="s">
        <v>8047</v>
      </c>
      <c r="E2361" s="9" t="s">
        <v>1469</v>
      </c>
      <c r="F2361" s="9" t="s">
        <v>8048</v>
      </c>
    </row>
    <row r="2362">
      <c r="A2362" s="9" t="s">
        <v>8049</v>
      </c>
      <c r="B2362" s="9" t="s">
        <v>388</v>
      </c>
      <c r="C2362" s="9" t="s">
        <v>1467</v>
      </c>
      <c r="D2362" s="9" t="s">
        <v>8050</v>
      </c>
      <c r="E2362" s="9" t="s">
        <v>1469</v>
      </c>
      <c r="F2362" s="9" t="s">
        <v>8051</v>
      </c>
    </row>
    <row r="2363">
      <c r="A2363" s="9" t="s">
        <v>8052</v>
      </c>
      <c r="B2363" s="9" t="s">
        <v>71</v>
      </c>
      <c r="C2363" s="9" t="s">
        <v>1467</v>
      </c>
      <c r="D2363" s="9" t="s">
        <v>8053</v>
      </c>
      <c r="E2363" s="9" t="s">
        <v>1469</v>
      </c>
      <c r="F2363" s="9" t="s">
        <v>8054</v>
      </c>
    </row>
    <row r="2364">
      <c r="A2364" s="9" t="s">
        <v>8055</v>
      </c>
      <c r="B2364" s="9" t="s">
        <v>110</v>
      </c>
      <c r="C2364" s="9" t="s">
        <v>1467</v>
      </c>
      <c r="D2364" s="9" t="s">
        <v>8056</v>
      </c>
      <c r="E2364" s="9" t="s">
        <v>1469</v>
      </c>
      <c r="F2364" s="9" t="s">
        <v>8057</v>
      </c>
    </row>
    <row r="2365">
      <c r="A2365" s="9" t="s">
        <v>8058</v>
      </c>
      <c r="B2365" s="9" t="s">
        <v>284</v>
      </c>
      <c r="C2365" s="9" t="s">
        <v>1467</v>
      </c>
      <c r="D2365" s="9" t="s">
        <v>8059</v>
      </c>
      <c r="E2365" s="9" t="s">
        <v>1469</v>
      </c>
      <c r="F2365" s="9" t="s">
        <v>8060</v>
      </c>
    </row>
    <row r="2366">
      <c r="A2366" s="9" t="s">
        <v>8061</v>
      </c>
      <c r="B2366" s="9" t="s">
        <v>414</v>
      </c>
      <c r="C2366" s="9" t="s">
        <v>1467</v>
      </c>
      <c r="D2366" s="9" t="s">
        <v>8064</v>
      </c>
      <c r="E2366" s="9" t="s">
        <v>1469</v>
      </c>
      <c r="F2366" s="9" t="s">
        <v>8066</v>
      </c>
    </row>
    <row r="2367">
      <c r="A2367" s="9" t="s">
        <v>8067</v>
      </c>
      <c r="B2367" s="9" t="s">
        <v>333</v>
      </c>
      <c r="C2367" s="9" t="s">
        <v>1467</v>
      </c>
      <c r="D2367" s="9" t="s">
        <v>8068</v>
      </c>
      <c r="E2367" s="9" t="s">
        <v>1469</v>
      </c>
      <c r="F2367" s="9" t="s">
        <v>8069</v>
      </c>
    </row>
    <row r="2368">
      <c r="A2368" s="9" t="s">
        <v>8070</v>
      </c>
      <c r="B2368" s="9" t="s">
        <v>200</v>
      </c>
      <c r="C2368" s="9" t="s">
        <v>1467</v>
      </c>
      <c r="D2368" s="9" t="s">
        <v>8071</v>
      </c>
      <c r="E2368" s="9" t="s">
        <v>1469</v>
      </c>
      <c r="F2368" s="9" t="s">
        <v>8072</v>
      </c>
    </row>
    <row r="2369">
      <c r="A2369" s="9" t="s">
        <v>8073</v>
      </c>
      <c r="B2369" s="9" t="s">
        <v>414</v>
      </c>
      <c r="C2369" s="9" t="s">
        <v>1467</v>
      </c>
      <c r="D2369" s="9" t="s">
        <v>8074</v>
      </c>
      <c r="E2369" s="9" t="s">
        <v>1469</v>
      </c>
      <c r="F2369" s="9" t="s">
        <v>8075</v>
      </c>
    </row>
    <row r="2370">
      <c r="A2370" s="9" t="s">
        <v>8076</v>
      </c>
      <c r="B2370" s="9" t="s">
        <v>200</v>
      </c>
      <c r="C2370" s="9" t="s">
        <v>1467</v>
      </c>
      <c r="D2370" s="9" t="s">
        <v>8077</v>
      </c>
      <c r="E2370" s="9" t="s">
        <v>1469</v>
      </c>
      <c r="F2370" s="9" t="s">
        <v>8078</v>
      </c>
    </row>
    <row r="2371">
      <c r="A2371" s="9" t="s">
        <v>8079</v>
      </c>
      <c r="B2371" s="9" t="s">
        <v>115</v>
      </c>
      <c r="C2371" s="9" t="s">
        <v>1467</v>
      </c>
      <c r="D2371" s="9" t="s">
        <v>8080</v>
      </c>
      <c r="E2371" s="9" t="s">
        <v>1469</v>
      </c>
      <c r="F2371" s="9" t="s">
        <v>8081</v>
      </c>
    </row>
    <row r="2372">
      <c r="A2372" s="9" t="s">
        <v>8082</v>
      </c>
      <c r="B2372" s="9" t="s">
        <v>387</v>
      </c>
      <c r="C2372" s="9" t="s">
        <v>1467</v>
      </c>
      <c r="D2372" s="9" t="s">
        <v>8083</v>
      </c>
      <c r="E2372" s="9" t="s">
        <v>1469</v>
      </c>
      <c r="F2372" s="9" t="s">
        <v>8084</v>
      </c>
    </row>
    <row r="2373">
      <c r="A2373" s="9" t="s">
        <v>8085</v>
      </c>
      <c r="B2373" s="9" t="s">
        <v>185</v>
      </c>
      <c r="C2373" s="9" t="s">
        <v>1467</v>
      </c>
      <c r="D2373" s="9" t="s">
        <v>8086</v>
      </c>
      <c r="E2373" s="9" t="s">
        <v>1469</v>
      </c>
      <c r="F2373" s="9" t="s">
        <v>8087</v>
      </c>
    </row>
    <row r="2374">
      <c r="A2374" s="9" t="s">
        <v>8088</v>
      </c>
      <c r="B2374" s="9" t="s">
        <v>213</v>
      </c>
      <c r="C2374" s="9" t="s">
        <v>1467</v>
      </c>
      <c r="D2374" s="9" t="s">
        <v>8089</v>
      </c>
      <c r="E2374" s="9" t="s">
        <v>1469</v>
      </c>
      <c r="F2374" s="9" t="s">
        <v>8090</v>
      </c>
    </row>
    <row r="2375">
      <c r="A2375" s="9" t="s">
        <v>8091</v>
      </c>
      <c r="B2375" s="9" t="s">
        <v>342</v>
      </c>
      <c r="C2375" s="9" t="s">
        <v>1467</v>
      </c>
      <c r="D2375" s="9" t="s">
        <v>8092</v>
      </c>
      <c r="E2375" s="9" t="s">
        <v>1469</v>
      </c>
      <c r="F2375" s="9" t="s">
        <v>8093</v>
      </c>
    </row>
    <row r="2376">
      <c r="A2376" s="9" t="s">
        <v>8094</v>
      </c>
      <c r="B2376" s="9" t="s">
        <v>388</v>
      </c>
      <c r="C2376" s="9" t="s">
        <v>1467</v>
      </c>
      <c r="D2376" s="9" t="s">
        <v>8095</v>
      </c>
      <c r="E2376" s="9" t="s">
        <v>1469</v>
      </c>
      <c r="F2376" s="9" t="s">
        <v>8096</v>
      </c>
    </row>
    <row r="2377">
      <c r="A2377" s="9" t="s">
        <v>8097</v>
      </c>
      <c r="B2377" s="9" t="s">
        <v>238</v>
      </c>
      <c r="C2377" s="9" t="s">
        <v>1467</v>
      </c>
      <c r="D2377" s="9" t="s">
        <v>8098</v>
      </c>
      <c r="E2377" s="9" t="s">
        <v>1469</v>
      </c>
      <c r="F2377" s="9" t="s">
        <v>8099</v>
      </c>
    </row>
    <row r="2378">
      <c r="A2378" s="9" t="s">
        <v>8100</v>
      </c>
      <c r="B2378" s="9" t="s">
        <v>290</v>
      </c>
      <c r="C2378" s="9" t="s">
        <v>1467</v>
      </c>
      <c r="D2378" s="9" t="s">
        <v>8101</v>
      </c>
      <c r="E2378" s="9" t="s">
        <v>1469</v>
      </c>
      <c r="F2378" s="9" t="s">
        <v>8102</v>
      </c>
    </row>
    <row r="2379">
      <c r="A2379" s="9" t="s">
        <v>8103</v>
      </c>
      <c r="B2379" s="9" t="s">
        <v>252</v>
      </c>
      <c r="C2379" s="9" t="s">
        <v>1467</v>
      </c>
      <c r="D2379" s="9" t="s">
        <v>8104</v>
      </c>
      <c r="E2379" s="9" t="s">
        <v>1469</v>
      </c>
      <c r="F2379" s="9" t="s">
        <v>8105</v>
      </c>
    </row>
    <row r="2380">
      <c r="A2380" s="9" t="s">
        <v>8106</v>
      </c>
      <c r="B2380" s="9" t="s">
        <v>397</v>
      </c>
      <c r="C2380" s="9" t="s">
        <v>1467</v>
      </c>
      <c r="D2380" s="9" t="s">
        <v>8107</v>
      </c>
      <c r="E2380" s="9" t="s">
        <v>1469</v>
      </c>
      <c r="F2380" s="9" t="s">
        <v>8108</v>
      </c>
    </row>
    <row r="2381">
      <c r="A2381" s="9" t="s">
        <v>8109</v>
      </c>
      <c r="B2381" s="9" t="s">
        <v>64</v>
      </c>
      <c r="C2381" s="9" t="s">
        <v>1467</v>
      </c>
      <c r="D2381" s="9" t="s">
        <v>8110</v>
      </c>
      <c r="E2381" s="9" t="s">
        <v>1469</v>
      </c>
      <c r="F2381" s="9" t="s">
        <v>8111</v>
      </c>
    </row>
    <row r="2382">
      <c r="A2382" s="9" t="s">
        <v>8112</v>
      </c>
      <c r="B2382" s="9" t="s">
        <v>397</v>
      </c>
      <c r="C2382" s="9" t="s">
        <v>1467</v>
      </c>
      <c r="D2382" s="9" t="s">
        <v>8113</v>
      </c>
      <c r="E2382" s="9" t="s">
        <v>1469</v>
      </c>
      <c r="F2382" s="9" t="s">
        <v>8114</v>
      </c>
    </row>
    <row r="2383">
      <c r="A2383" s="9" t="s">
        <v>8115</v>
      </c>
      <c r="B2383" s="9" t="s">
        <v>356</v>
      </c>
      <c r="C2383" s="9" t="s">
        <v>1467</v>
      </c>
      <c r="D2383" s="9" t="s">
        <v>8116</v>
      </c>
      <c r="E2383" s="9" t="s">
        <v>1469</v>
      </c>
      <c r="F2383" s="9" t="s">
        <v>8117</v>
      </c>
    </row>
    <row r="2384">
      <c r="A2384" s="9" t="s">
        <v>8118</v>
      </c>
      <c r="B2384" s="9" t="s">
        <v>79</v>
      </c>
      <c r="C2384" s="9" t="s">
        <v>1467</v>
      </c>
      <c r="D2384" s="9" t="s">
        <v>8119</v>
      </c>
      <c r="E2384" s="9" t="s">
        <v>1469</v>
      </c>
      <c r="F2384" s="9" t="s">
        <v>8120</v>
      </c>
    </row>
    <row r="2385">
      <c r="A2385" s="9" t="s">
        <v>8121</v>
      </c>
      <c r="B2385" s="9" t="s">
        <v>213</v>
      </c>
      <c r="C2385" s="9" t="s">
        <v>1467</v>
      </c>
      <c r="D2385" s="9" t="s">
        <v>8122</v>
      </c>
      <c r="E2385" s="9" t="s">
        <v>1469</v>
      </c>
      <c r="F2385" s="9" t="s">
        <v>8123</v>
      </c>
    </row>
    <row r="2386">
      <c r="A2386" s="9" t="s">
        <v>8124</v>
      </c>
      <c r="B2386" s="9" t="s">
        <v>397</v>
      </c>
      <c r="C2386" s="9" t="s">
        <v>1467</v>
      </c>
      <c r="D2386" s="9" t="s">
        <v>8125</v>
      </c>
      <c r="E2386" s="9" t="s">
        <v>1469</v>
      </c>
      <c r="F2386" s="9" t="s">
        <v>8126</v>
      </c>
    </row>
    <row r="2387">
      <c r="A2387" s="9" t="s">
        <v>8127</v>
      </c>
      <c r="B2387" s="9" t="s">
        <v>84</v>
      </c>
      <c r="C2387" s="9" t="s">
        <v>1467</v>
      </c>
      <c r="D2387" s="9" t="s">
        <v>8128</v>
      </c>
      <c r="E2387" s="9" t="s">
        <v>1469</v>
      </c>
      <c r="F2387" s="9" t="s">
        <v>8129</v>
      </c>
    </row>
    <row r="2388">
      <c r="A2388" s="9" t="s">
        <v>8130</v>
      </c>
      <c r="B2388" s="9" t="s">
        <v>389</v>
      </c>
      <c r="C2388" s="9" t="s">
        <v>1467</v>
      </c>
      <c r="D2388" s="9" t="s">
        <v>8131</v>
      </c>
      <c r="E2388" s="9" t="s">
        <v>1469</v>
      </c>
      <c r="F2388" s="9" t="s">
        <v>8132</v>
      </c>
    </row>
    <row r="2389">
      <c r="A2389" s="9" t="s">
        <v>8133</v>
      </c>
      <c r="B2389" s="9" t="s">
        <v>200</v>
      </c>
      <c r="C2389" s="9" t="s">
        <v>1467</v>
      </c>
      <c r="D2389" s="9" t="s">
        <v>8134</v>
      </c>
      <c r="E2389" s="9" t="s">
        <v>1469</v>
      </c>
      <c r="F2389" s="9" t="s">
        <v>8135</v>
      </c>
    </row>
    <row r="2390">
      <c r="A2390" s="9" t="s">
        <v>8136</v>
      </c>
      <c r="B2390" s="9" t="s">
        <v>389</v>
      </c>
      <c r="C2390" s="9" t="s">
        <v>1467</v>
      </c>
      <c r="D2390" s="9" t="s">
        <v>8137</v>
      </c>
      <c r="E2390" s="9" t="s">
        <v>1469</v>
      </c>
      <c r="F2390" s="9" t="s">
        <v>8138</v>
      </c>
    </row>
    <row r="2391">
      <c r="A2391" s="9" t="s">
        <v>8139</v>
      </c>
      <c r="B2391" s="9" t="s">
        <v>64</v>
      </c>
      <c r="C2391" s="9" t="s">
        <v>1467</v>
      </c>
      <c r="D2391" s="9" t="s">
        <v>8140</v>
      </c>
      <c r="E2391" s="9" t="s">
        <v>1469</v>
      </c>
      <c r="F2391" s="9" t="s">
        <v>8141</v>
      </c>
    </row>
    <row r="2392">
      <c r="A2392" s="9" t="s">
        <v>8142</v>
      </c>
      <c r="B2392" s="9" t="s">
        <v>76</v>
      </c>
      <c r="C2392" s="9" t="s">
        <v>1467</v>
      </c>
      <c r="D2392" s="9" t="s">
        <v>8143</v>
      </c>
      <c r="E2392" s="9" t="s">
        <v>1469</v>
      </c>
      <c r="F2392" s="9" t="s">
        <v>8144</v>
      </c>
    </row>
    <row r="2393">
      <c r="A2393" s="9" t="s">
        <v>8145</v>
      </c>
      <c r="B2393" s="9" t="s">
        <v>350</v>
      </c>
      <c r="C2393" s="9" t="s">
        <v>1467</v>
      </c>
      <c r="D2393" s="9" t="s">
        <v>8146</v>
      </c>
      <c r="E2393" s="9" t="s">
        <v>1469</v>
      </c>
      <c r="F2393" s="9" t="s">
        <v>8147</v>
      </c>
    </row>
    <row r="2394">
      <c r="A2394" s="9" t="s">
        <v>8148</v>
      </c>
      <c r="B2394" s="9" t="s">
        <v>79</v>
      </c>
      <c r="C2394" s="9" t="s">
        <v>1467</v>
      </c>
      <c r="D2394" s="9" t="s">
        <v>8149</v>
      </c>
      <c r="E2394" s="9" t="s">
        <v>1469</v>
      </c>
      <c r="F2394" s="9" t="s">
        <v>8150</v>
      </c>
    </row>
    <row r="2395">
      <c r="A2395" s="9" t="s">
        <v>8151</v>
      </c>
      <c r="B2395" s="9" t="s">
        <v>238</v>
      </c>
      <c r="C2395" s="9" t="s">
        <v>1467</v>
      </c>
      <c r="D2395" s="9" t="s">
        <v>8152</v>
      </c>
      <c r="E2395" s="9" t="s">
        <v>1469</v>
      </c>
      <c r="F2395" s="9" t="s">
        <v>8153</v>
      </c>
    </row>
    <row r="2396">
      <c r="A2396" s="9" t="s">
        <v>8154</v>
      </c>
      <c r="B2396" s="9" t="s">
        <v>76</v>
      </c>
      <c r="C2396" s="9" t="s">
        <v>1467</v>
      </c>
      <c r="D2396" s="9" t="s">
        <v>8155</v>
      </c>
      <c r="E2396" s="9" t="s">
        <v>1469</v>
      </c>
      <c r="F2396" s="9" t="s">
        <v>8156</v>
      </c>
    </row>
    <row r="2397">
      <c r="A2397" s="9" t="s">
        <v>8157</v>
      </c>
      <c r="B2397" s="9" t="s">
        <v>17</v>
      </c>
      <c r="C2397" s="9" t="s">
        <v>1467</v>
      </c>
      <c r="D2397" s="9" t="s">
        <v>8158</v>
      </c>
      <c r="E2397" s="9" t="s">
        <v>1469</v>
      </c>
      <c r="F2397" s="9" t="s">
        <v>8159</v>
      </c>
    </row>
    <row r="2398">
      <c r="A2398" s="9" t="s">
        <v>8160</v>
      </c>
      <c r="B2398" s="9" t="s">
        <v>345</v>
      </c>
      <c r="C2398" s="9" t="s">
        <v>1467</v>
      </c>
      <c r="D2398" s="9" t="s">
        <v>8161</v>
      </c>
      <c r="E2398" s="9" t="s">
        <v>1469</v>
      </c>
      <c r="F2398" s="9" t="s">
        <v>8162</v>
      </c>
    </row>
    <row r="2399">
      <c r="A2399" s="9" t="s">
        <v>8163</v>
      </c>
      <c r="B2399" s="9" t="s">
        <v>349</v>
      </c>
      <c r="C2399" s="9" t="s">
        <v>1467</v>
      </c>
      <c r="D2399" s="9" t="s">
        <v>8164</v>
      </c>
      <c r="E2399" s="9" t="s">
        <v>1469</v>
      </c>
      <c r="F2399" s="9" t="s">
        <v>8165</v>
      </c>
    </row>
    <row r="2400">
      <c r="A2400" s="9" t="s">
        <v>8166</v>
      </c>
      <c r="B2400" s="9" t="s">
        <v>162</v>
      </c>
      <c r="C2400" s="9" t="s">
        <v>1467</v>
      </c>
      <c r="D2400" s="9" t="s">
        <v>8167</v>
      </c>
      <c r="E2400" s="9" t="s">
        <v>1469</v>
      </c>
      <c r="F2400" s="9" t="s">
        <v>8168</v>
      </c>
    </row>
    <row r="2401">
      <c r="A2401" s="9" t="s">
        <v>8169</v>
      </c>
      <c r="B2401" s="9" t="s">
        <v>238</v>
      </c>
      <c r="C2401" s="9" t="s">
        <v>1467</v>
      </c>
      <c r="D2401" s="9" t="s">
        <v>8170</v>
      </c>
      <c r="E2401" s="9" t="s">
        <v>1469</v>
      </c>
      <c r="F2401" s="9" t="s">
        <v>8171</v>
      </c>
    </row>
    <row r="2402">
      <c r="A2402" s="9" t="s">
        <v>8172</v>
      </c>
      <c r="B2402" s="9" t="s">
        <v>17</v>
      </c>
      <c r="C2402" s="9" t="s">
        <v>1467</v>
      </c>
      <c r="D2402" s="9" t="s">
        <v>8173</v>
      </c>
      <c r="E2402" s="9" t="s">
        <v>1469</v>
      </c>
      <c r="F2402" s="9" t="s">
        <v>8174</v>
      </c>
    </row>
    <row r="2403">
      <c r="A2403" s="9" t="s">
        <v>8175</v>
      </c>
      <c r="B2403" s="9" t="s">
        <v>18</v>
      </c>
      <c r="C2403" s="9" t="s">
        <v>1467</v>
      </c>
      <c r="D2403" s="9" t="s">
        <v>8176</v>
      </c>
      <c r="E2403" s="9" t="s">
        <v>1469</v>
      </c>
      <c r="F2403" s="9" t="s">
        <v>8177</v>
      </c>
    </row>
    <row r="2404">
      <c r="A2404" s="9" t="s">
        <v>8178</v>
      </c>
      <c r="B2404" s="9" t="s">
        <v>162</v>
      </c>
      <c r="C2404" s="9" t="s">
        <v>1467</v>
      </c>
      <c r="D2404" s="9" t="s">
        <v>8179</v>
      </c>
      <c r="E2404" s="9" t="s">
        <v>1469</v>
      </c>
      <c r="F2404" s="9" t="s">
        <v>8180</v>
      </c>
    </row>
    <row r="2405">
      <c r="A2405" s="9" t="s">
        <v>8181</v>
      </c>
      <c r="B2405" s="9" t="s">
        <v>18</v>
      </c>
      <c r="C2405" s="9" t="s">
        <v>1467</v>
      </c>
      <c r="D2405" s="9" t="s">
        <v>8182</v>
      </c>
      <c r="E2405" s="9" t="s">
        <v>1469</v>
      </c>
      <c r="F2405" s="9" t="s">
        <v>8183</v>
      </c>
    </row>
    <row r="2406">
      <c r="A2406" s="9" t="s">
        <v>8184</v>
      </c>
      <c r="B2406" s="9" t="s">
        <v>17</v>
      </c>
      <c r="C2406" s="9" t="s">
        <v>1467</v>
      </c>
      <c r="D2406" s="9" t="s">
        <v>8185</v>
      </c>
      <c r="E2406" s="9" t="s">
        <v>1469</v>
      </c>
      <c r="F2406" s="9" t="s">
        <v>8186</v>
      </c>
    </row>
    <row r="2407">
      <c r="A2407" s="9" t="s">
        <v>8187</v>
      </c>
      <c r="B2407" s="9" t="s">
        <v>110</v>
      </c>
      <c r="C2407" s="9" t="s">
        <v>1467</v>
      </c>
      <c r="D2407" s="9" t="s">
        <v>8188</v>
      </c>
      <c r="E2407" s="9" t="s">
        <v>1469</v>
      </c>
      <c r="F2407" s="9" t="s">
        <v>8189</v>
      </c>
    </row>
    <row r="2408">
      <c r="A2408" s="9" t="s">
        <v>8190</v>
      </c>
      <c r="B2408" s="9" t="s">
        <v>344</v>
      </c>
      <c r="C2408" s="9" t="s">
        <v>1467</v>
      </c>
      <c r="D2408" s="9" t="s">
        <v>8191</v>
      </c>
      <c r="E2408" s="9" t="s">
        <v>1469</v>
      </c>
      <c r="F2408" s="9" t="s">
        <v>8192</v>
      </c>
    </row>
    <row r="2409">
      <c r="A2409" s="9" t="s">
        <v>8193</v>
      </c>
      <c r="B2409" s="9" t="s">
        <v>192</v>
      </c>
      <c r="C2409" s="9" t="s">
        <v>1467</v>
      </c>
      <c r="D2409" s="9" t="s">
        <v>8195</v>
      </c>
      <c r="E2409" s="9" t="s">
        <v>1469</v>
      </c>
      <c r="F2409" s="9" t="s">
        <v>8197</v>
      </c>
    </row>
    <row r="2410">
      <c r="A2410" s="9" t="s">
        <v>8199</v>
      </c>
      <c r="B2410" s="9" t="s">
        <v>350</v>
      </c>
      <c r="C2410" s="9" t="s">
        <v>1467</v>
      </c>
      <c r="D2410" s="9" t="s">
        <v>8200</v>
      </c>
      <c r="E2410" s="9" t="s">
        <v>1469</v>
      </c>
      <c r="F2410" s="9" t="s">
        <v>8201</v>
      </c>
    </row>
    <row r="2411">
      <c r="A2411" s="9" t="s">
        <v>8202</v>
      </c>
      <c r="B2411" s="9" t="s">
        <v>79</v>
      </c>
      <c r="C2411" s="9" t="s">
        <v>1467</v>
      </c>
      <c r="D2411" s="9" t="s">
        <v>8203</v>
      </c>
      <c r="E2411" s="9" t="s">
        <v>1469</v>
      </c>
      <c r="F2411" s="9" t="s">
        <v>8204</v>
      </c>
    </row>
    <row r="2412">
      <c r="A2412" s="9" t="s">
        <v>8205</v>
      </c>
      <c r="B2412" s="9" t="s">
        <v>88</v>
      </c>
      <c r="C2412" s="9" t="s">
        <v>1467</v>
      </c>
      <c r="D2412" s="9" t="s">
        <v>8206</v>
      </c>
      <c r="E2412" s="9" t="s">
        <v>1469</v>
      </c>
      <c r="F2412" s="9" t="s">
        <v>8207</v>
      </c>
    </row>
    <row r="2413">
      <c r="A2413" s="9" t="s">
        <v>8208</v>
      </c>
      <c r="B2413" s="9" t="s">
        <v>271</v>
      </c>
      <c r="C2413" s="9" t="s">
        <v>1467</v>
      </c>
      <c r="D2413" s="9" t="s">
        <v>8209</v>
      </c>
      <c r="E2413" s="9" t="s">
        <v>1469</v>
      </c>
      <c r="F2413" s="9" t="s">
        <v>8210</v>
      </c>
    </row>
    <row r="2414">
      <c r="A2414" s="9" t="s">
        <v>8211</v>
      </c>
      <c r="B2414" s="9" t="s">
        <v>218</v>
      </c>
      <c r="C2414" s="9" t="s">
        <v>1467</v>
      </c>
      <c r="D2414" s="9" t="s">
        <v>8212</v>
      </c>
      <c r="E2414" s="9" t="s">
        <v>1469</v>
      </c>
      <c r="F2414" s="9" t="s">
        <v>8213</v>
      </c>
    </row>
    <row r="2415">
      <c r="A2415" s="9" t="s">
        <v>8214</v>
      </c>
      <c r="B2415" s="9" t="s">
        <v>290</v>
      </c>
      <c r="C2415" s="9" t="s">
        <v>1467</v>
      </c>
      <c r="D2415" s="9" t="s">
        <v>8215</v>
      </c>
      <c r="E2415" s="9" t="s">
        <v>1469</v>
      </c>
      <c r="F2415" s="9" t="s">
        <v>8216</v>
      </c>
    </row>
    <row r="2416">
      <c r="A2416" s="9" t="s">
        <v>8217</v>
      </c>
      <c r="B2416" s="9" t="s">
        <v>143</v>
      </c>
      <c r="C2416" s="9" t="s">
        <v>1467</v>
      </c>
      <c r="D2416" s="9" t="s">
        <v>8218</v>
      </c>
      <c r="E2416" s="9" t="s">
        <v>1469</v>
      </c>
      <c r="F2416" s="9" t="s">
        <v>8219</v>
      </c>
    </row>
    <row r="2417">
      <c r="A2417" s="9" t="s">
        <v>8220</v>
      </c>
      <c r="B2417" s="9" t="s">
        <v>218</v>
      </c>
      <c r="C2417" s="9" t="s">
        <v>1467</v>
      </c>
      <c r="D2417" s="9" t="s">
        <v>8221</v>
      </c>
      <c r="E2417" s="9" t="s">
        <v>1469</v>
      </c>
      <c r="F2417" s="9" t="s">
        <v>8222</v>
      </c>
    </row>
    <row r="2418">
      <c r="A2418" s="9" t="s">
        <v>8223</v>
      </c>
      <c r="B2418" s="9" t="s">
        <v>226</v>
      </c>
      <c r="C2418" s="9" t="s">
        <v>1467</v>
      </c>
      <c r="D2418" s="9" t="s">
        <v>8224</v>
      </c>
      <c r="E2418" s="9" t="s">
        <v>1469</v>
      </c>
      <c r="F2418" s="9" t="s">
        <v>8225</v>
      </c>
    </row>
    <row r="2419">
      <c r="A2419" s="9" t="s">
        <v>8226</v>
      </c>
      <c r="B2419" s="9" t="s">
        <v>346</v>
      </c>
      <c r="C2419" s="9" t="s">
        <v>1467</v>
      </c>
      <c r="D2419" s="9" t="s">
        <v>8227</v>
      </c>
      <c r="E2419" s="9" t="s">
        <v>1469</v>
      </c>
      <c r="F2419" s="9" t="s">
        <v>8228</v>
      </c>
    </row>
    <row r="2420">
      <c r="A2420" s="9" t="s">
        <v>8229</v>
      </c>
      <c r="B2420" s="9" t="s">
        <v>200</v>
      </c>
      <c r="C2420" s="9" t="s">
        <v>1467</v>
      </c>
      <c r="D2420" s="9" t="s">
        <v>8230</v>
      </c>
      <c r="E2420" s="9" t="s">
        <v>1469</v>
      </c>
      <c r="F2420" s="9" t="s">
        <v>8231</v>
      </c>
    </row>
    <row r="2421">
      <c r="A2421" s="9" t="s">
        <v>8232</v>
      </c>
      <c r="B2421" s="9" t="s">
        <v>342</v>
      </c>
      <c r="C2421" s="9" t="s">
        <v>1467</v>
      </c>
      <c r="D2421" s="9" t="s">
        <v>8233</v>
      </c>
      <c r="E2421" s="9" t="s">
        <v>1469</v>
      </c>
      <c r="F2421" s="9" t="s">
        <v>8234</v>
      </c>
    </row>
    <row r="2422">
      <c r="A2422" s="9" t="s">
        <v>8235</v>
      </c>
      <c r="B2422" s="9" t="s">
        <v>350</v>
      </c>
      <c r="C2422" s="9" t="s">
        <v>1467</v>
      </c>
      <c r="D2422" s="9" t="s">
        <v>8236</v>
      </c>
      <c r="E2422" s="9" t="s">
        <v>1469</v>
      </c>
      <c r="F2422" s="9" t="s">
        <v>8237</v>
      </c>
    </row>
    <row r="2423">
      <c r="A2423" s="9" t="s">
        <v>8238</v>
      </c>
      <c r="B2423" s="9" t="s">
        <v>95</v>
      </c>
      <c r="C2423" s="9" t="s">
        <v>1467</v>
      </c>
      <c r="D2423" s="9" t="s">
        <v>8239</v>
      </c>
      <c r="E2423" s="9" t="s">
        <v>1469</v>
      </c>
      <c r="F2423" s="9" t="s">
        <v>8240</v>
      </c>
    </row>
    <row r="2424">
      <c r="A2424" s="9" t="s">
        <v>8241</v>
      </c>
      <c r="B2424" s="9" t="s">
        <v>288</v>
      </c>
      <c r="C2424" s="9" t="s">
        <v>1467</v>
      </c>
      <c r="D2424" s="9" t="s">
        <v>8242</v>
      </c>
      <c r="E2424" s="9" t="s">
        <v>1469</v>
      </c>
      <c r="F2424" s="9" t="s">
        <v>8243</v>
      </c>
    </row>
    <row r="2425">
      <c r="A2425" s="9" t="s">
        <v>8244</v>
      </c>
      <c r="B2425" s="9" t="s">
        <v>333</v>
      </c>
      <c r="C2425" s="9" t="s">
        <v>1467</v>
      </c>
      <c r="D2425" s="9" t="s">
        <v>8245</v>
      </c>
      <c r="E2425" s="9" t="s">
        <v>1469</v>
      </c>
      <c r="F2425" s="9" t="s">
        <v>8246</v>
      </c>
    </row>
    <row r="2426">
      <c r="A2426" s="9" t="s">
        <v>8247</v>
      </c>
      <c r="B2426" s="9" t="s">
        <v>290</v>
      </c>
      <c r="C2426" s="9" t="s">
        <v>1467</v>
      </c>
      <c r="D2426" s="9" t="s">
        <v>8248</v>
      </c>
      <c r="E2426" s="9" t="s">
        <v>1469</v>
      </c>
      <c r="F2426" s="9" t="s">
        <v>8249</v>
      </c>
    </row>
    <row r="2427">
      <c r="A2427" s="9" t="s">
        <v>8250</v>
      </c>
      <c r="B2427" s="9" t="s">
        <v>290</v>
      </c>
      <c r="C2427" s="9" t="s">
        <v>1467</v>
      </c>
      <c r="D2427" s="9" t="s">
        <v>8251</v>
      </c>
      <c r="E2427" s="9" t="s">
        <v>1469</v>
      </c>
      <c r="F2427" s="9" t="s">
        <v>8252</v>
      </c>
    </row>
    <row r="2428">
      <c r="A2428" s="9" t="s">
        <v>8253</v>
      </c>
      <c r="B2428" s="9" t="s">
        <v>290</v>
      </c>
      <c r="C2428" s="9" t="s">
        <v>1467</v>
      </c>
      <c r="D2428" s="9" t="s">
        <v>8254</v>
      </c>
      <c r="E2428" s="9" t="s">
        <v>1469</v>
      </c>
      <c r="F2428" s="9" t="s">
        <v>8255</v>
      </c>
    </row>
    <row r="2429">
      <c r="A2429" s="9" t="s">
        <v>8256</v>
      </c>
      <c r="B2429" s="9" t="s">
        <v>143</v>
      </c>
      <c r="C2429" s="9" t="s">
        <v>1467</v>
      </c>
      <c r="D2429" s="9" t="s">
        <v>8257</v>
      </c>
      <c r="E2429" s="9" t="s">
        <v>1469</v>
      </c>
      <c r="F2429" s="9" t="s">
        <v>8258</v>
      </c>
    </row>
    <row r="2430">
      <c r="A2430" s="9" t="s">
        <v>8259</v>
      </c>
      <c r="B2430" s="9" t="s">
        <v>281</v>
      </c>
      <c r="C2430" s="9" t="s">
        <v>1467</v>
      </c>
      <c r="D2430" s="9" t="s">
        <v>8260</v>
      </c>
      <c r="E2430" s="9" t="s">
        <v>1469</v>
      </c>
      <c r="F2430" s="9" t="s">
        <v>8261</v>
      </c>
    </row>
    <row r="2431">
      <c r="A2431" s="9" t="s">
        <v>8262</v>
      </c>
      <c r="B2431" s="9" t="s">
        <v>226</v>
      </c>
      <c r="C2431" s="9" t="s">
        <v>1467</v>
      </c>
      <c r="D2431" s="9" t="s">
        <v>8263</v>
      </c>
      <c r="E2431" s="9" t="s">
        <v>1469</v>
      </c>
      <c r="F2431" s="9" t="s">
        <v>8264</v>
      </c>
    </row>
    <row r="2432">
      <c r="A2432" s="9" t="s">
        <v>8265</v>
      </c>
      <c r="B2432" s="9" t="s">
        <v>296</v>
      </c>
      <c r="C2432" s="9" t="s">
        <v>1467</v>
      </c>
      <c r="D2432" s="9" t="s">
        <v>8266</v>
      </c>
      <c r="E2432" s="9" t="s">
        <v>1469</v>
      </c>
      <c r="F2432" s="9" t="s">
        <v>8267</v>
      </c>
    </row>
    <row r="2433">
      <c r="A2433" s="9" t="s">
        <v>8268</v>
      </c>
      <c r="B2433" s="9" t="s">
        <v>284</v>
      </c>
      <c r="C2433" s="9" t="s">
        <v>1467</v>
      </c>
      <c r="D2433" s="9" t="s">
        <v>8269</v>
      </c>
      <c r="E2433" s="9" t="s">
        <v>1469</v>
      </c>
      <c r="F2433" s="9" t="s">
        <v>8270</v>
      </c>
    </row>
    <row r="2434">
      <c r="A2434" s="9" t="s">
        <v>8271</v>
      </c>
      <c r="B2434" s="9" t="s">
        <v>263</v>
      </c>
      <c r="C2434" s="9" t="s">
        <v>1467</v>
      </c>
      <c r="D2434" s="9" t="s">
        <v>8272</v>
      </c>
      <c r="E2434" s="9" t="s">
        <v>1469</v>
      </c>
      <c r="F2434" s="9" t="s">
        <v>8273</v>
      </c>
    </row>
    <row r="2435">
      <c r="A2435" s="9" t="s">
        <v>8274</v>
      </c>
      <c r="B2435" s="9" t="s">
        <v>263</v>
      </c>
      <c r="C2435" s="9" t="s">
        <v>1467</v>
      </c>
      <c r="D2435" s="9" t="s">
        <v>8275</v>
      </c>
      <c r="E2435" s="9" t="s">
        <v>1469</v>
      </c>
      <c r="F2435" s="9" t="s">
        <v>8276</v>
      </c>
    </row>
    <row r="2436">
      <c r="A2436" s="9" t="s">
        <v>8277</v>
      </c>
      <c r="B2436" s="9" t="s">
        <v>84</v>
      </c>
      <c r="C2436" s="9" t="s">
        <v>1467</v>
      </c>
      <c r="D2436" s="9" t="s">
        <v>8278</v>
      </c>
      <c r="E2436" s="9" t="s">
        <v>1469</v>
      </c>
      <c r="F2436" s="9" t="s">
        <v>8279</v>
      </c>
    </row>
    <row r="2437">
      <c r="A2437" s="9" t="s">
        <v>8280</v>
      </c>
      <c r="B2437" s="9" t="s">
        <v>226</v>
      </c>
      <c r="C2437" s="9" t="s">
        <v>1467</v>
      </c>
      <c r="D2437" s="9" t="s">
        <v>8281</v>
      </c>
      <c r="E2437" s="9" t="s">
        <v>1469</v>
      </c>
      <c r="F2437" s="9" t="s">
        <v>8282</v>
      </c>
    </row>
    <row r="2438">
      <c r="A2438" s="9" t="s">
        <v>8283</v>
      </c>
      <c r="B2438" s="9" t="s">
        <v>271</v>
      </c>
      <c r="C2438" s="9" t="s">
        <v>1467</v>
      </c>
      <c r="D2438" s="9" t="s">
        <v>8284</v>
      </c>
      <c r="E2438" s="9" t="s">
        <v>1469</v>
      </c>
      <c r="F2438" s="9" t="s">
        <v>8285</v>
      </c>
    </row>
    <row r="2439">
      <c r="A2439" s="9" t="s">
        <v>8286</v>
      </c>
      <c r="B2439" s="9" t="s">
        <v>333</v>
      </c>
      <c r="C2439" s="9" t="s">
        <v>1467</v>
      </c>
      <c r="D2439" s="9" t="s">
        <v>8287</v>
      </c>
      <c r="E2439" s="9" t="s">
        <v>1469</v>
      </c>
      <c r="F2439" s="9" t="s">
        <v>8288</v>
      </c>
    </row>
    <row r="2440">
      <c r="A2440" s="9" t="s">
        <v>8289</v>
      </c>
      <c r="B2440" s="9" t="s">
        <v>389</v>
      </c>
      <c r="C2440" s="9" t="s">
        <v>1467</v>
      </c>
      <c r="D2440" s="9" t="s">
        <v>8290</v>
      </c>
      <c r="E2440" s="9" t="s">
        <v>1469</v>
      </c>
      <c r="F2440" s="9" t="s">
        <v>8291</v>
      </c>
    </row>
    <row r="2441">
      <c r="A2441" s="9" t="s">
        <v>8292</v>
      </c>
      <c r="B2441" s="9" t="s">
        <v>333</v>
      </c>
      <c r="C2441" s="9" t="s">
        <v>1467</v>
      </c>
      <c r="D2441" s="9" t="s">
        <v>8293</v>
      </c>
      <c r="E2441" s="9" t="s">
        <v>1469</v>
      </c>
      <c r="F2441" s="9" t="s">
        <v>8294</v>
      </c>
    </row>
    <row r="2442">
      <c r="A2442" s="9" t="s">
        <v>8295</v>
      </c>
      <c r="B2442" s="9" t="s">
        <v>342</v>
      </c>
      <c r="C2442" s="9" t="s">
        <v>1467</v>
      </c>
      <c r="D2442" s="9" t="s">
        <v>8296</v>
      </c>
      <c r="E2442" s="9" t="s">
        <v>1469</v>
      </c>
      <c r="F2442" s="9" t="s">
        <v>8297</v>
      </c>
    </row>
    <row r="2443">
      <c r="A2443" s="9" t="s">
        <v>8298</v>
      </c>
      <c r="B2443" s="9" t="s">
        <v>282</v>
      </c>
      <c r="C2443" s="9" t="s">
        <v>1467</v>
      </c>
      <c r="D2443" s="9" t="s">
        <v>8299</v>
      </c>
      <c r="E2443" s="9" t="s">
        <v>1469</v>
      </c>
      <c r="F2443" s="9" t="s">
        <v>8300</v>
      </c>
    </row>
    <row r="2444">
      <c r="A2444" s="9" t="s">
        <v>8301</v>
      </c>
      <c r="B2444" s="9" t="s">
        <v>226</v>
      </c>
      <c r="C2444" s="9" t="s">
        <v>1467</v>
      </c>
      <c r="D2444" s="9" t="s">
        <v>8302</v>
      </c>
      <c r="E2444" s="9" t="s">
        <v>1469</v>
      </c>
      <c r="F2444" s="9" t="s">
        <v>8303</v>
      </c>
    </row>
    <row r="2445">
      <c r="A2445" s="9" t="s">
        <v>8304</v>
      </c>
      <c r="B2445" s="9" t="s">
        <v>344</v>
      </c>
      <c r="C2445" s="9" t="s">
        <v>1467</v>
      </c>
      <c r="D2445" s="9" t="s">
        <v>8305</v>
      </c>
      <c r="E2445" s="9" t="s">
        <v>1469</v>
      </c>
      <c r="F2445" s="9" t="s">
        <v>8306</v>
      </c>
    </row>
    <row r="2446">
      <c r="A2446" s="9" t="s">
        <v>8307</v>
      </c>
      <c r="B2446" s="9" t="s">
        <v>238</v>
      </c>
      <c r="C2446" s="9" t="s">
        <v>1467</v>
      </c>
      <c r="D2446" s="9" t="s">
        <v>8308</v>
      </c>
      <c r="E2446" s="9" t="s">
        <v>1469</v>
      </c>
      <c r="F2446" s="9" t="s">
        <v>8309</v>
      </c>
    </row>
    <row r="2447">
      <c r="A2447" s="9" t="s">
        <v>8310</v>
      </c>
      <c r="B2447" s="9" t="s">
        <v>373</v>
      </c>
      <c r="C2447" s="9" t="s">
        <v>1467</v>
      </c>
      <c r="D2447" s="9" t="s">
        <v>8311</v>
      </c>
      <c r="E2447" s="9" t="s">
        <v>1469</v>
      </c>
      <c r="F2447" s="9" t="s">
        <v>8312</v>
      </c>
    </row>
    <row r="2448">
      <c r="A2448" s="9" t="s">
        <v>8313</v>
      </c>
      <c r="B2448" s="9" t="s">
        <v>84</v>
      </c>
      <c r="C2448" s="9" t="s">
        <v>1467</v>
      </c>
      <c r="D2448" s="9" t="s">
        <v>8314</v>
      </c>
      <c r="E2448" s="9" t="s">
        <v>1469</v>
      </c>
      <c r="F2448" s="9" t="s">
        <v>8315</v>
      </c>
    </row>
    <row r="2449">
      <c r="A2449" s="9" t="s">
        <v>8316</v>
      </c>
      <c r="B2449" s="9" t="s">
        <v>388</v>
      </c>
      <c r="C2449" s="9" t="s">
        <v>1467</v>
      </c>
      <c r="D2449" s="9" t="s">
        <v>8317</v>
      </c>
      <c r="E2449" s="9" t="s">
        <v>1469</v>
      </c>
      <c r="F2449" s="9" t="s">
        <v>8318</v>
      </c>
    </row>
    <row r="2450">
      <c r="A2450" s="9" t="s">
        <v>8319</v>
      </c>
      <c r="B2450" s="9" t="s">
        <v>231</v>
      </c>
      <c r="C2450" s="9" t="s">
        <v>1467</v>
      </c>
      <c r="D2450" s="9" t="s">
        <v>8323</v>
      </c>
      <c r="E2450" s="9" t="s">
        <v>1469</v>
      </c>
      <c r="F2450" s="9" t="s">
        <v>8324</v>
      </c>
    </row>
    <row r="2451">
      <c r="A2451" s="9" t="s">
        <v>8325</v>
      </c>
      <c r="B2451" s="9" t="s">
        <v>389</v>
      </c>
      <c r="C2451" s="9" t="s">
        <v>1467</v>
      </c>
      <c r="D2451" s="9" t="s">
        <v>8326</v>
      </c>
      <c r="E2451" s="9" t="s">
        <v>1469</v>
      </c>
      <c r="F2451" s="9" t="s">
        <v>8327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26.5"/>
    <col customWidth="1" hidden="1" min="3" max="3" width="28.0"/>
    <col hidden="1" min="4" max="4" width="12.63"/>
    <col hidden="1" min="7" max="7" width="12.63"/>
    <col customWidth="1" hidden="1" min="8" max="8" width="14.5"/>
  </cols>
  <sheetData>
    <row r="1">
      <c r="A1" s="322" t="s">
        <v>3512</v>
      </c>
      <c r="B1" s="322" t="s">
        <v>3517</v>
      </c>
      <c r="C1" s="322" t="s">
        <v>3518</v>
      </c>
      <c r="D1" s="322" t="s">
        <v>30</v>
      </c>
      <c r="E1" s="322" t="s">
        <v>3521</v>
      </c>
      <c r="F1" s="322" t="s">
        <v>3523</v>
      </c>
      <c r="G1" s="322" t="s">
        <v>3524</v>
      </c>
      <c r="H1" s="322" t="s">
        <v>3526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23" t="s">
        <v>876</v>
      </c>
      <c r="C2" s="323" t="s">
        <v>3544</v>
      </c>
      <c r="D2" s="322" t="s">
        <v>760</v>
      </c>
      <c r="E2" s="324" t="s">
        <v>3521</v>
      </c>
      <c r="F2" s="325" t="s">
        <v>3521</v>
      </c>
      <c r="G2" s="1"/>
      <c r="H2" s="1" t="s">
        <v>760</v>
      </c>
      <c r="I2" s="1"/>
      <c r="J2" s="32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323" t="s">
        <v>890</v>
      </c>
      <c r="C3" s="323" t="s">
        <v>3597</v>
      </c>
      <c r="D3" s="322" t="s">
        <v>760</v>
      </c>
      <c r="E3" s="324" t="s">
        <v>3521</v>
      </c>
      <c r="F3" s="327" t="s">
        <v>3521</v>
      </c>
      <c r="G3" s="1"/>
      <c r="H3" s="1" t="s">
        <v>760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323" t="s">
        <v>895</v>
      </c>
      <c r="C4" s="323" t="s">
        <v>3648</v>
      </c>
      <c r="D4" s="322" t="s">
        <v>760</v>
      </c>
      <c r="E4" s="324" t="s">
        <v>3521</v>
      </c>
      <c r="F4" s="327" t="s">
        <v>3521</v>
      </c>
      <c r="G4" s="1"/>
      <c r="H4" s="1" t="s">
        <v>760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323" t="s">
        <v>857</v>
      </c>
      <c r="C5" s="323" t="s">
        <v>3694</v>
      </c>
      <c r="D5" s="322" t="s">
        <v>760</v>
      </c>
      <c r="E5" s="328" t="s">
        <v>3521</v>
      </c>
      <c r="F5" s="325" t="s">
        <v>3521</v>
      </c>
      <c r="G5" s="322" t="s">
        <v>3731</v>
      </c>
      <c r="H5" s="1" t="s">
        <v>760</v>
      </c>
      <c r="I5" s="1"/>
      <c r="J5" s="1" t="s">
        <v>3734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323" t="s">
        <v>863</v>
      </c>
      <c r="C6" s="323" t="s">
        <v>3743</v>
      </c>
      <c r="D6" s="322" t="s">
        <v>760</v>
      </c>
      <c r="E6" s="328" t="s">
        <v>3521</v>
      </c>
      <c r="F6" s="325" t="s">
        <v>3521</v>
      </c>
      <c r="G6" s="1"/>
      <c r="H6" s="1" t="s">
        <v>760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323" t="s">
        <v>861</v>
      </c>
      <c r="C7" s="323" t="s">
        <v>3785</v>
      </c>
      <c r="D7" s="322" t="s">
        <v>760</v>
      </c>
      <c r="E7" s="328" t="s">
        <v>3521</v>
      </c>
      <c r="F7" s="325" t="s">
        <v>3521</v>
      </c>
      <c r="G7" s="1"/>
      <c r="H7" s="1" t="s">
        <v>3816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323" t="s">
        <v>887</v>
      </c>
      <c r="C8" s="323" t="s">
        <v>3822</v>
      </c>
      <c r="D8" s="322" t="s">
        <v>760</v>
      </c>
      <c r="E8" s="328" t="s">
        <v>3521</v>
      </c>
      <c r="F8" s="325" t="s">
        <v>3521</v>
      </c>
      <c r="G8" s="322" t="s">
        <v>3853</v>
      </c>
      <c r="H8" s="1" t="s">
        <v>769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323" t="s">
        <v>862</v>
      </c>
      <c r="C9" s="323" t="s">
        <v>3863</v>
      </c>
      <c r="D9" s="322" t="s">
        <v>760</v>
      </c>
      <c r="E9" s="328" t="s">
        <v>3521</v>
      </c>
      <c r="F9" s="325" t="s">
        <v>3521</v>
      </c>
      <c r="G9" s="1"/>
      <c r="H9" s="1" t="s">
        <v>3896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329" t="s">
        <v>864</v>
      </c>
      <c r="C10" s="329" t="s">
        <v>3911</v>
      </c>
      <c r="D10" s="322" t="s">
        <v>764</v>
      </c>
      <c r="E10" s="328" t="s">
        <v>3521</v>
      </c>
      <c r="F10" s="325" t="s">
        <v>3521</v>
      </c>
      <c r="G10" s="1"/>
      <c r="H10" s="1" t="s">
        <v>764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329" t="s">
        <v>838</v>
      </c>
      <c r="C11" s="329" t="s">
        <v>3954</v>
      </c>
      <c r="D11" s="322" t="s">
        <v>764</v>
      </c>
      <c r="E11" s="326" t="s">
        <v>3521</v>
      </c>
      <c r="F11" s="326" t="s">
        <v>3521</v>
      </c>
      <c r="G11" s="1"/>
      <c r="H11" s="1" t="s">
        <v>3896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329" t="s">
        <v>879</v>
      </c>
      <c r="C12" s="329" t="s">
        <v>4009</v>
      </c>
      <c r="D12" s="322" t="s">
        <v>764</v>
      </c>
      <c r="E12" s="328" t="s">
        <v>3521</v>
      </c>
      <c r="F12" s="325" t="s">
        <v>3521</v>
      </c>
      <c r="G12" s="1"/>
      <c r="H12" s="1" t="s">
        <v>3896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330" t="s">
        <v>889</v>
      </c>
      <c r="C13" s="330" t="s">
        <v>4053</v>
      </c>
      <c r="D13" s="1" t="s">
        <v>764</v>
      </c>
      <c r="E13" s="326" t="s">
        <v>3521</v>
      </c>
      <c r="F13" s="331" t="s">
        <v>3521</v>
      </c>
      <c r="G13" s="1" t="s">
        <v>4084</v>
      </c>
      <c r="H13" s="1" t="s">
        <v>764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329" t="s">
        <v>881</v>
      </c>
      <c r="C14" s="329" t="s">
        <v>4099</v>
      </c>
      <c r="D14" s="322" t="s">
        <v>764</v>
      </c>
      <c r="E14" s="328" t="s">
        <v>3521</v>
      </c>
      <c r="F14" s="325" t="s">
        <v>3521</v>
      </c>
      <c r="G14" s="322" t="s">
        <v>3731</v>
      </c>
      <c r="H14" s="1" t="s">
        <v>764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329" t="s">
        <v>865</v>
      </c>
      <c r="C15" s="329" t="s">
        <v>4154</v>
      </c>
      <c r="D15" s="322" t="s">
        <v>764</v>
      </c>
      <c r="E15" s="328" t="s">
        <v>3521</v>
      </c>
      <c r="F15" s="325" t="s">
        <v>3521</v>
      </c>
      <c r="G15" s="1"/>
      <c r="H15" s="1" t="s">
        <v>764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329" t="s">
        <v>866</v>
      </c>
      <c r="C16" s="329" t="s">
        <v>4200</v>
      </c>
      <c r="D16" s="322" t="s">
        <v>764</v>
      </c>
      <c r="E16" s="328" t="s">
        <v>3521</v>
      </c>
      <c r="F16" s="325" t="s">
        <v>3521</v>
      </c>
      <c r="G16" s="1"/>
      <c r="H16" s="1" t="s">
        <v>764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329" t="s">
        <v>869</v>
      </c>
      <c r="C17" s="329" t="s">
        <v>4249</v>
      </c>
      <c r="D17" s="322" t="s">
        <v>764</v>
      </c>
      <c r="E17" s="324" t="s">
        <v>3521</v>
      </c>
      <c r="F17" s="325" t="s">
        <v>3521</v>
      </c>
      <c r="G17" s="1"/>
      <c r="H17" s="1" t="s">
        <v>764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332" t="s">
        <v>877</v>
      </c>
      <c r="C18" s="332" t="s">
        <v>4302</v>
      </c>
      <c r="D18" s="322" t="s">
        <v>765</v>
      </c>
      <c r="E18" s="328" t="s">
        <v>3521</v>
      </c>
      <c r="F18" s="325" t="s">
        <v>3521</v>
      </c>
      <c r="G18" s="1"/>
      <c r="H18" s="1" t="s">
        <v>765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332" t="s">
        <v>896</v>
      </c>
      <c r="C19" s="332" t="s">
        <v>4346</v>
      </c>
      <c r="D19" s="322" t="s">
        <v>765</v>
      </c>
      <c r="E19" s="328" t="s">
        <v>3521</v>
      </c>
      <c r="F19" s="325" t="s">
        <v>3521</v>
      </c>
      <c r="G19" s="1"/>
      <c r="H19" s="1" t="s">
        <v>765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332" t="s">
        <v>870</v>
      </c>
      <c r="C20" s="333" t="s">
        <v>4394</v>
      </c>
      <c r="D20" s="322" t="s">
        <v>765</v>
      </c>
      <c r="E20" s="334" t="s">
        <v>3521</v>
      </c>
      <c r="F20" s="325" t="s">
        <v>3521</v>
      </c>
      <c r="G20" s="1"/>
      <c r="H20" s="1" t="s">
        <v>4435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332" t="s">
        <v>837</v>
      </c>
      <c r="C21" s="332" t="s">
        <v>4446</v>
      </c>
      <c r="D21" s="322" t="s">
        <v>765</v>
      </c>
      <c r="E21" s="328" t="s">
        <v>3521</v>
      </c>
      <c r="F21" s="325" t="s">
        <v>3521</v>
      </c>
      <c r="G21" s="322" t="s">
        <v>4481</v>
      </c>
      <c r="H21" s="1" t="s">
        <v>765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332" t="s">
        <v>852</v>
      </c>
      <c r="C22" s="332" t="s">
        <v>4493</v>
      </c>
      <c r="D22" s="322" t="s">
        <v>765</v>
      </c>
      <c r="E22" s="328" t="s">
        <v>3521</v>
      </c>
      <c r="F22" s="325" t="s">
        <v>3521</v>
      </c>
      <c r="G22" s="322" t="s">
        <v>4531</v>
      </c>
      <c r="H22" s="1" t="s">
        <v>4533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332" t="s">
        <v>878</v>
      </c>
      <c r="C23" s="332" t="s">
        <v>4546</v>
      </c>
      <c r="D23" s="322" t="s">
        <v>765</v>
      </c>
      <c r="E23" s="328" t="s">
        <v>3521</v>
      </c>
      <c r="F23" s="325" t="s">
        <v>3521</v>
      </c>
      <c r="G23" s="1"/>
      <c r="H23" s="1" t="s">
        <v>765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332" t="s">
        <v>880</v>
      </c>
      <c r="C24" s="332" t="s">
        <v>4592</v>
      </c>
      <c r="D24" s="322" t="s">
        <v>765</v>
      </c>
      <c r="E24" s="324" t="s">
        <v>3521</v>
      </c>
      <c r="F24" s="325" t="s">
        <v>3521</v>
      </c>
      <c r="G24" s="1"/>
      <c r="H24" s="1" t="s">
        <v>764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332" t="s">
        <v>858</v>
      </c>
      <c r="C25" s="332" t="s">
        <v>4643</v>
      </c>
      <c r="D25" s="322" t="s">
        <v>765</v>
      </c>
      <c r="E25" s="328" t="s">
        <v>3521</v>
      </c>
      <c r="F25" s="325" t="s">
        <v>3521</v>
      </c>
      <c r="G25" s="322" t="s">
        <v>3731</v>
      </c>
      <c r="H25" s="1" t="s">
        <v>3896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335" t="s">
        <v>854</v>
      </c>
      <c r="C26" s="335" t="s">
        <v>4694</v>
      </c>
      <c r="D26" s="322" t="s">
        <v>769</v>
      </c>
      <c r="E26" s="328" t="s">
        <v>3521</v>
      </c>
      <c r="F26" s="325" t="s">
        <v>3521</v>
      </c>
      <c r="G26" s="1"/>
      <c r="H26" s="1" t="s">
        <v>769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335" t="s">
        <v>883</v>
      </c>
      <c r="C27" s="335" t="s">
        <v>4739</v>
      </c>
      <c r="D27" s="322" t="s">
        <v>769</v>
      </c>
      <c r="E27" s="328" t="s">
        <v>3521</v>
      </c>
      <c r="F27" s="325" t="s">
        <v>3521</v>
      </c>
      <c r="G27" s="322" t="s">
        <v>3731</v>
      </c>
      <c r="H27" s="1" t="s">
        <v>769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335" t="s">
        <v>871</v>
      </c>
      <c r="C28" s="335" t="s">
        <v>4790</v>
      </c>
      <c r="D28" s="322" t="s">
        <v>769</v>
      </c>
      <c r="E28" s="328" t="s">
        <v>3521</v>
      </c>
      <c r="F28" s="325" t="s">
        <v>3521</v>
      </c>
      <c r="G28" s="1" t="s">
        <v>4830</v>
      </c>
      <c r="H28" s="1" t="s">
        <v>769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335" t="s">
        <v>855</v>
      </c>
      <c r="C29" s="335" t="s">
        <v>4842</v>
      </c>
      <c r="D29" s="322" t="s">
        <v>769</v>
      </c>
      <c r="E29" s="328" t="s">
        <v>3521</v>
      </c>
      <c r="F29" s="325" t="s">
        <v>4867</v>
      </c>
      <c r="G29" s="322" t="s">
        <v>4889</v>
      </c>
      <c r="H29" s="1" t="s">
        <v>769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335" t="s">
        <v>882</v>
      </c>
      <c r="C30" s="335" t="s">
        <v>4900</v>
      </c>
      <c r="D30" s="322" t="s">
        <v>769</v>
      </c>
      <c r="E30" s="328" t="s">
        <v>3521</v>
      </c>
      <c r="F30" s="325" t="s">
        <v>3521</v>
      </c>
      <c r="G30" s="1"/>
      <c r="H30" s="1" t="s">
        <v>769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335" t="s">
        <v>839</v>
      </c>
      <c r="C31" s="335" t="s">
        <v>4946</v>
      </c>
      <c r="D31" s="322" t="s">
        <v>769</v>
      </c>
      <c r="E31" s="328" t="s">
        <v>3521</v>
      </c>
      <c r="F31" s="325" t="s">
        <v>3521</v>
      </c>
      <c r="G31" s="322" t="s">
        <v>3731</v>
      </c>
      <c r="H31" s="1" t="s">
        <v>3896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335" t="s">
        <v>868</v>
      </c>
      <c r="C32" s="335" t="s">
        <v>5000</v>
      </c>
      <c r="D32" s="322" t="s">
        <v>769</v>
      </c>
      <c r="E32" s="328" t="s">
        <v>3521</v>
      </c>
      <c r="F32" s="325" t="s">
        <v>3521</v>
      </c>
      <c r="G32" s="322" t="s">
        <v>3731</v>
      </c>
      <c r="H32" s="1" t="s">
        <v>3896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335" t="s">
        <v>856</v>
      </c>
      <c r="C33" s="335" t="s">
        <v>5033</v>
      </c>
      <c r="D33" s="322" t="s">
        <v>769</v>
      </c>
      <c r="E33" s="328" t="s">
        <v>3521</v>
      </c>
      <c r="F33" s="325" t="s">
        <v>3521</v>
      </c>
      <c r="G33" s="322" t="s">
        <v>5068</v>
      </c>
      <c r="H33" s="1" t="s">
        <v>5070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336" t="s">
        <v>853</v>
      </c>
      <c r="C34" s="336" t="s">
        <v>5082</v>
      </c>
      <c r="D34" s="322" t="s">
        <v>770</v>
      </c>
      <c r="E34" s="328" t="s">
        <v>3521</v>
      </c>
      <c r="F34" s="325" t="s">
        <v>3521</v>
      </c>
      <c r="G34" s="1"/>
      <c r="H34" s="1" t="s">
        <v>770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336" t="s">
        <v>859</v>
      </c>
      <c r="C35" s="336" t="s">
        <v>5120</v>
      </c>
      <c r="D35" s="322" t="s">
        <v>770</v>
      </c>
      <c r="E35" s="328" t="s">
        <v>3521</v>
      </c>
      <c r="F35" s="327" t="s">
        <v>3521</v>
      </c>
      <c r="G35" s="1"/>
      <c r="H35" s="1" t="s">
        <v>760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336" t="s">
        <v>874</v>
      </c>
      <c r="C36" s="336" t="s">
        <v>5154</v>
      </c>
      <c r="D36" s="322" t="s">
        <v>770</v>
      </c>
      <c r="E36" s="328" t="s">
        <v>3521</v>
      </c>
      <c r="F36" s="325" t="s">
        <v>3521</v>
      </c>
      <c r="G36" s="322" t="s">
        <v>5183</v>
      </c>
      <c r="H36" s="1" t="s">
        <v>770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336" t="s">
        <v>875</v>
      </c>
      <c r="C37" s="336" t="s">
        <v>5192</v>
      </c>
      <c r="D37" s="322" t="s">
        <v>770</v>
      </c>
      <c r="E37" s="328" t="s">
        <v>3521</v>
      </c>
      <c r="F37" s="325" t="s">
        <v>3521</v>
      </c>
      <c r="G37" s="1"/>
      <c r="H37" s="1" t="s">
        <v>3896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336" t="s">
        <v>891</v>
      </c>
      <c r="C38" s="336" t="s">
        <v>5226</v>
      </c>
      <c r="D38" s="322" t="s">
        <v>770</v>
      </c>
      <c r="E38" s="328" t="s">
        <v>3521</v>
      </c>
      <c r="F38" s="325" t="s">
        <v>3521</v>
      </c>
      <c r="G38" s="1"/>
      <c r="H38" s="1" t="s">
        <v>770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336" t="s">
        <v>867</v>
      </c>
      <c r="C39" s="336" t="s">
        <v>5262</v>
      </c>
      <c r="D39" s="322" t="s">
        <v>770</v>
      </c>
      <c r="E39" s="324" t="s">
        <v>3521</v>
      </c>
      <c r="F39" s="325" t="s">
        <v>3521</v>
      </c>
      <c r="G39" s="1"/>
      <c r="H39" s="1" t="s">
        <v>770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336" t="s">
        <v>900</v>
      </c>
      <c r="C40" s="336" t="s">
        <v>5298</v>
      </c>
      <c r="D40" s="322" t="s">
        <v>770</v>
      </c>
      <c r="E40" s="324" t="s">
        <v>3521</v>
      </c>
      <c r="F40" s="337" t="s">
        <v>3521</v>
      </c>
      <c r="G40" s="1"/>
      <c r="H40" s="1" t="s">
        <v>760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336" t="s">
        <v>872</v>
      </c>
      <c r="C41" s="336" t="s">
        <v>5333</v>
      </c>
      <c r="D41" s="322" t="s">
        <v>770</v>
      </c>
      <c r="E41" s="328" t="s">
        <v>3521</v>
      </c>
      <c r="F41" s="325" t="s">
        <v>3521</v>
      </c>
      <c r="G41" s="322" t="s">
        <v>3731</v>
      </c>
      <c r="H41" s="1" t="s">
        <v>770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</hyperlinks>
  <drawing r:id="rId8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0"/>
    <col customWidth="1" min="2" max="2" width="27.88"/>
    <col customWidth="1" min="3" max="3" width="11.75"/>
    <col customWidth="1" min="4" max="4" width="19.75"/>
    <col customWidth="1" min="5" max="5" width="19.13"/>
    <col customWidth="1" min="8" max="8" width="13.5"/>
    <col customWidth="1" min="9" max="9" width="6.25"/>
    <col customWidth="1" min="10" max="10" width="6.63"/>
    <col customWidth="1" min="11" max="11" width="7.25"/>
    <col customWidth="1" min="12" max="12" width="11.38"/>
    <col customWidth="1" min="18" max="18" width="15.63"/>
    <col customWidth="1" min="19" max="19" width="15.0"/>
    <col customWidth="1" min="20" max="20" width="15.63"/>
    <col customWidth="1" min="23" max="23" width="23.5"/>
    <col customWidth="1" min="24" max="24" width="19.75"/>
    <col customWidth="1" min="25" max="26" width="15.38"/>
    <col customWidth="1" min="30" max="30" width="13.63"/>
    <col customWidth="1" min="31" max="31" width="13.13"/>
    <col customWidth="1" min="32" max="32" width="16.0"/>
    <col customWidth="1" min="33" max="33" width="17.75"/>
    <col customWidth="1" min="34" max="34" width="13.13"/>
    <col customWidth="1" min="35" max="35" width="17.75"/>
  </cols>
  <sheetData>
    <row r="1">
      <c r="A1" s="338" t="str">
        <f t="shared" ref="A1:A240" si="1">V1</f>
        <v>Rank</v>
      </c>
      <c r="B1" s="339" t="s">
        <v>654</v>
      </c>
      <c r="C1" s="339" t="s">
        <v>957</v>
      </c>
      <c r="D1" s="339" t="s">
        <v>653</v>
      </c>
      <c r="E1" s="339" t="s">
        <v>29</v>
      </c>
      <c r="F1" s="339" t="s">
        <v>8328</v>
      </c>
      <c r="G1" s="339" t="s">
        <v>8329</v>
      </c>
      <c r="H1" s="339" t="s">
        <v>8330</v>
      </c>
      <c r="I1" s="339" t="s">
        <v>754</v>
      </c>
      <c r="J1" s="339" t="s">
        <v>755</v>
      </c>
      <c r="K1" s="339" t="s">
        <v>851</v>
      </c>
      <c r="L1" s="339" t="s">
        <v>848</v>
      </c>
      <c r="M1" s="338" t="s">
        <v>8331</v>
      </c>
      <c r="N1" s="338" t="s">
        <v>8333</v>
      </c>
      <c r="O1" s="340" t="s">
        <v>33</v>
      </c>
      <c r="P1" s="340" t="s">
        <v>37</v>
      </c>
      <c r="Q1" s="339" t="s">
        <v>8336</v>
      </c>
      <c r="R1" s="339" t="s">
        <v>8337</v>
      </c>
      <c r="S1" s="338" t="s">
        <v>8338</v>
      </c>
      <c r="T1" s="339" t="s">
        <v>8339</v>
      </c>
      <c r="U1" s="338" t="s">
        <v>39</v>
      </c>
      <c r="V1" s="338" t="s">
        <v>746</v>
      </c>
      <c r="W1" s="340" t="s">
        <v>41</v>
      </c>
      <c r="X1" s="340" t="s">
        <v>8340</v>
      </c>
      <c r="Y1" s="339" t="s">
        <v>8341</v>
      </c>
      <c r="Z1" s="339" t="s">
        <v>8342</v>
      </c>
      <c r="AA1" s="339" t="s">
        <v>9</v>
      </c>
      <c r="AB1" s="339" t="s">
        <v>8343</v>
      </c>
      <c r="AC1" s="339" t="s">
        <v>8344</v>
      </c>
      <c r="AD1" s="339" t="s">
        <v>8345</v>
      </c>
      <c r="AE1" s="339" t="s">
        <v>30</v>
      </c>
      <c r="AF1" s="339" t="s">
        <v>8346</v>
      </c>
    </row>
    <row r="2">
      <c r="A2" s="9">
        <f t="shared" si="1"/>
        <v>1</v>
      </c>
      <c r="B2" s="124" t="str">
        <f>IFERROR(__xludf.DUMMYFUNCTION("IMPORTRANGE(""https://docs.google.com/spreadsheets/d/1PKWsvZUa53oRU_uuGf9zuQSdeVT0-tWqBynvAG0IkkY/edit?gid=650541920#gid=650541920"",""SOSWorksheet!O02:O300"")"),"#REF!")</f>
        <v>#REF!</v>
      </c>
      <c r="C2" s="93" t="str">
        <f>IFERROR(__xludf.DUMMYFUNCTION("IMPORTRANGE(""https://docs.google.com/spreadsheets/d/1PKWsvZUa53oRU_uuGf9zuQSdeVT0-tWqBynvAG0IkkY"",""SOSWorksheet!N02:N300"")"),"#REF!")</f>
        <v>#REF!</v>
      </c>
      <c r="D2" s="93" t="str">
        <f>IFERROR(__xludf.DUMMYFUNCTION("IMPORTRANGE(""https://docs.google.com/spreadsheets/d/1PKWsvZUa53oRU_uuGf9zuQSdeVT0-tWqBynvAG0IkkY"",""SOSWorksheet!G02:G300"")"),"#REF!")</f>
        <v>#REF!</v>
      </c>
      <c r="E2" s="1" t="str">
        <f>IFERROR(__xludf.DUMMYFUNCTION("IMPORTRANGE(""https://docs.google.com/spreadsheets/d/1PKWsvZUa53oRU_uuGf9zuQSdeVT0-tWqBynvAG0IkkY"",""SOSWorksheet!E02:E240"")"),"#REF!")</f>
        <v>#REF!</v>
      </c>
      <c r="F2" s="1" t="str">
        <f>IFERROR(__xludf.DUMMYFUNCTION("IMPORTRANGE(""https://docs.google.com/spreadsheets/d/1PKWsvZUa53oRU_uuGf9zuQSdeVT0-tWqBynvAG0IkkY"",""SOSWorksheet!D02:D240"")"),"#REF!")</f>
        <v>#REF!</v>
      </c>
      <c r="G2" s="1" t="str">
        <f>IFERROR(__xludf.DUMMYFUNCTION("IMPORTRANGE(""https://docs.google.com/spreadsheets/d/1PKWsvZUa53oRU_uuGf9zuQSdeVT0-tWqBynvAG0IkkY"",""SOSWorksheet!F2:F240"")"),"#REF!")</f>
        <v>#REF!</v>
      </c>
      <c r="H2" s="341">
        <f>COUNTIF(Entropy!$D:$D,$B2)+COUNTIF(Matches!$B:$B,$B2)+COUNTIF(Matches!$C:$C,$B2)</f>
        <v>0</v>
      </c>
      <c r="I2" s="342">
        <f>COUNTIF(Matches!$B:$B,B2)</f>
        <v>0</v>
      </c>
      <c r="J2" s="79">
        <f t="shared" ref="J2:J240" si="2">H2-I2</f>
        <v>0</v>
      </c>
      <c r="K2" s="1" t="str">
        <f t="shared" ref="K2:K240" si="3">CONCATENATE(I2," - ",J2)</f>
        <v>0 - 0</v>
      </c>
      <c r="L2" s="343">
        <f>COUNTIF(Entropy!$D:$D,$B2)</f>
        <v>0</v>
      </c>
      <c r="M2" s="344">
        <f t="shared" ref="M2:M240" si="4">IF($I2=0,-$J2,$I2/$H2)</f>
        <v>0</v>
      </c>
      <c r="N2" s="344">
        <f t="shared" ref="N2:N240" si="5">IF($I2=0,0,$I2/($H2-L2))</f>
        <v>0</v>
      </c>
      <c r="O2" s="341">
        <f>IF($J2=11,0,IF(AND($H2 &gt;=VLOOKUP(Standings!$C$2,Quotas!$A$7:$E$14,4,FALSE), $H2&lt;=VLOOKUP(Standings!$C$2,Quotas!$A$7:$E$14,5,FALSE)), 0,VLOOKUP(Standings!$C$2,Quotas!$A$7:$E$14,4,FALSE)-$H2))</f>
        <v>30</v>
      </c>
      <c r="P2" s="341">
        <f>IF($J2=11,0,IF(AND($H2 &gt;=VLOOKUP(Standings!$C$2,Quotas!$A$7:$E$14,5,FALSE), $H2&lt;=VLOOKUP(Standings!$C$2,Quotas!$A$7:$E$14,5,FALSE)), 0,VLOOKUP(Standings!$C$2,Quotas!$A$7:$E$14,5,FALSE)-$H2))</f>
        <v>30</v>
      </c>
      <c r="Q2" s="79">
        <f t="shared" ref="Q2:Q240" si="6">MIN(11-J2,30-H2)</f>
        <v>11</v>
      </c>
      <c r="R2" s="345" t="str">
        <f t="shared" ref="R2:R240" si="7">B2</f>
        <v>#REF!</v>
      </c>
      <c r="S2" s="344">
        <f t="shared" ref="S2:S240" si="8">MAX(N2,0.33)</f>
        <v>0.33</v>
      </c>
      <c r="T2" s="345" t="str">
        <f>IFERROR(__xludf.DUMMYFUNCTION("JOIN("","",IFERROR(FILTER(Matches!$B:$B,B2=Matches!$C:$C),""""),IFERROR(FILTER(Matches!$C:$C,B2=Matches!$B:$B),""""))"),",")</f>
        <v>,</v>
      </c>
      <c r="U2" s="344">
        <f>IFERROR(__xludf.DUMMYFUNCTION("iferror(AVERAGE(ARRAYFORMULA(VLOOKUP(SPLIT(T2,"","",TRUE,TRUE),$R$2:$S654,2,FALSE))),0)"),0.0)</f>
        <v>0</v>
      </c>
      <c r="V2" s="346">
        <f>IFERROR(__xludf.DUMMYFUNCTION("RANK($I2, $I$2:$I654, FALSE) + RANK($M2, Filter($M$2:$M654, $I$2:$I654=$I2),FALSE)+RANK($U2, Filter($U$2:$U654, $I$2:$I654=$I2,$M$2:$M654=$M2),FALSE)-2"),1.0)</f>
        <v>1</v>
      </c>
      <c r="W2" s="347" t="str">
        <f t="shared" ref="W2:W240" si="9">IFs(J2&gt;10,"Eliminated",O2&gt;0,"Underplay",P2=0,"Maxed out",P2&lt;0,"Overplay",AND(O2=0,P2&gt;0),"Can play")</f>
        <v>Underplay</v>
      </c>
      <c r="X2" s="348" t="str">
        <f t="shared" ref="X2:X240" si="10">IF(J2&gt;=11, "Eliminated","")</f>
        <v/>
      </c>
      <c r="Y2" s="349">
        <f>MAXIFS(Matches!$A:$A,Matches!$C:$C,$B2)</f>
        <v>0</v>
      </c>
      <c r="Z2" s="349">
        <f t="array" ref="Z2">XLOOKUP(Y2,Quotas!$B$7:$B$10,Quotas!$A$7:$A$10,0,-1)</f>
        <v>0</v>
      </c>
      <c r="AB2" s="79"/>
      <c r="AC2" s="79">
        <f>COUNTIFS(Matches!$A:$A,"&gt;"&amp;Y2,Matches!$B:$B,$B2)</f>
        <v>0</v>
      </c>
      <c r="AD2" s="79"/>
      <c r="AE2" s="31" t="str">
        <f t="array" ref="AE2">XLOOKUP(B2, 'College List'!A:A, 'College List'!B:B)</f>
        <v>#REF!</v>
      </c>
      <c r="AF2" s="15">
        <v>8.0</v>
      </c>
    </row>
    <row r="3">
      <c r="A3" s="9">
        <f t="shared" si="1"/>
        <v>1</v>
      </c>
      <c r="C3" s="350"/>
      <c r="D3" s="93"/>
      <c r="E3" s="1"/>
      <c r="F3" s="1"/>
      <c r="G3" s="1"/>
      <c r="H3" s="341">
        <f>COUNTIF(Entropy!$D:$D,$B3)+COUNTIF(Matches!$B:$B,$B3)+COUNTIF(Matches!$C:$C,$B3)</f>
        <v>0</v>
      </c>
      <c r="I3" s="342">
        <f>COUNTIF(Matches!$B:$B,B3)</f>
        <v>0</v>
      </c>
      <c r="J3" s="79">
        <f t="shared" si="2"/>
        <v>0</v>
      </c>
      <c r="K3" s="1" t="str">
        <f t="shared" si="3"/>
        <v>0 - 0</v>
      </c>
      <c r="L3" s="343">
        <f>COUNTIF(Entropy!$D:$D,$B3)</f>
        <v>0</v>
      </c>
      <c r="M3" s="344">
        <f t="shared" si="4"/>
        <v>0</v>
      </c>
      <c r="N3" s="344">
        <f t="shared" si="5"/>
        <v>0</v>
      </c>
      <c r="O3" s="341">
        <f>IF($J3=11,0,IF(AND($H3 &gt;=VLOOKUP(Standings!$C$2,Quotas!$A$7:$E$14,4,FALSE), $H3&lt;=VLOOKUP(Standings!$C$2,Quotas!$A$7:$E$14,5,FALSE)), 0,VLOOKUP(Standings!$C$2,Quotas!$A$7:$E$14,4,FALSE)-$H3))</f>
        <v>30</v>
      </c>
      <c r="P3" s="341">
        <f>IF($J3=11,0,IF(AND($H3 &gt;=VLOOKUP(Standings!$C$2,Quotas!$A$7:$E$14,5,FALSE), $H3&lt;=VLOOKUP(Standings!$C$2,Quotas!$A$7:$E$14,5,FALSE)), 0,VLOOKUP(Standings!$C$2,Quotas!$A$7:$E$14,5,FALSE)-$H3))</f>
        <v>30</v>
      </c>
      <c r="Q3" s="79">
        <f t="shared" si="6"/>
        <v>11</v>
      </c>
      <c r="R3" s="345" t="str">
        <f t="shared" si="7"/>
        <v/>
      </c>
      <c r="S3" s="344">
        <f t="shared" si="8"/>
        <v>0.33</v>
      </c>
      <c r="T3" s="345" t="str">
        <f>IFERROR(__xludf.DUMMYFUNCTION("JOIN("","",IFERROR(FILTER(Matches!$B:$B,B3=Matches!$C:$C),""""),IFERROR(FILTER(Matches!$C:$C,B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3" s="344">
        <f>IFERROR(__xludf.DUMMYFUNCTION("iferror(AVERAGE(ARRAYFORMULA(VLOOKUP(SPLIT(T3,"","",TRUE,TRUE),$R$2:$S654,2,FALSE))),0)"),0.0)</f>
        <v>0</v>
      </c>
      <c r="V3" s="346">
        <f>IFERROR(__xludf.DUMMYFUNCTION("RANK($I3, $I$2:$I654, FALSE) + RANK($M3, Filter($M$2:$M654, $I$2:$I654=$I3),FALSE)+RANK($U3, Filter($U$2:$U654, $I$2:$I654=$I3,$M$2:$M654=$M3),FALSE)-2"),1.0)</f>
        <v>1</v>
      </c>
      <c r="W3" s="347" t="str">
        <f t="shared" si="9"/>
        <v>Underplay</v>
      </c>
      <c r="X3" s="348" t="str">
        <f t="shared" si="10"/>
        <v/>
      </c>
      <c r="Y3" s="349">
        <f>MAXIFS(Matches!$A:$A,Matches!$C:$C,$B3)</f>
        <v>0</v>
      </c>
      <c r="Z3" s="349">
        <f t="array" ref="Z3">XLOOKUP(Y3,Quotas!$B$7:$B$10,Quotas!$A$7:$A$10,0,-1)</f>
        <v>0</v>
      </c>
      <c r="AB3" s="79"/>
      <c r="AC3" s="79">
        <f>COUNTIFS(Matches!$A:$A,"&gt;"&amp;Y3,Matches!$B:$B,$B3)</f>
        <v>0</v>
      </c>
      <c r="AD3" s="79"/>
      <c r="AE3" s="31" t="str">
        <f t="array" ref="AE3">XLOOKUP(B3, 'College List'!A:A, 'College List'!B:B)</f>
        <v>#N/A</v>
      </c>
    </row>
    <row r="4">
      <c r="A4" s="9">
        <f t="shared" si="1"/>
        <v>1</v>
      </c>
      <c r="C4" s="350"/>
      <c r="D4" s="93"/>
      <c r="E4" s="1"/>
      <c r="F4" s="1"/>
      <c r="G4" s="1"/>
      <c r="H4" s="341">
        <f>COUNTIF(Entropy!$D:$D,$B4)+COUNTIF(Matches!$B:$B,$B4)+COUNTIF(Matches!$C:$C,$B4)</f>
        <v>0</v>
      </c>
      <c r="I4" s="342">
        <f>COUNTIF(Matches!$B:$B,B4)</f>
        <v>0</v>
      </c>
      <c r="J4" s="79">
        <f t="shared" si="2"/>
        <v>0</v>
      </c>
      <c r="K4" s="1" t="str">
        <f t="shared" si="3"/>
        <v>0 - 0</v>
      </c>
      <c r="L4" s="343">
        <f>COUNTIF(Entropy!$D:$D,$B4)</f>
        <v>0</v>
      </c>
      <c r="M4" s="344">
        <f t="shared" si="4"/>
        <v>0</v>
      </c>
      <c r="N4" s="344">
        <f t="shared" si="5"/>
        <v>0</v>
      </c>
      <c r="O4" s="341">
        <f>IF($J4=11,0,IF(AND($H4 &gt;=VLOOKUP(Standings!$C$2,Quotas!$A$7:$E$14,4,FALSE), $H4&lt;=VLOOKUP(Standings!$C$2,Quotas!$A$7:$E$14,5,FALSE)), 0,VLOOKUP(Standings!$C$2,Quotas!$A$7:$E$14,4,FALSE)-$H4))</f>
        <v>30</v>
      </c>
      <c r="P4" s="341">
        <f>IF($J4=11,0,IF(AND($H4 &gt;=VLOOKUP(Standings!$C$2,Quotas!$A$7:$E$14,5,FALSE), $H4&lt;=VLOOKUP(Standings!$C$2,Quotas!$A$7:$E$14,5,FALSE)), 0,VLOOKUP(Standings!$C$2,Quotas!$A$7:$E$14,5,FALSE)-$H4))</f>
        <v>30</v>
      </c>
      <c r="Q4" s="79">
        <f t="shared" si="6"/>
        <v>11</v>
      </c>
      <c r="R4" s="345" t="str">
        <f t="shared" si="7"/>
        <v/>
      </c>
      <c r="S4" s="344">
        <f t="shared" si="8"/>
        <v>0.33</v>
      </c>
      <c r="T4" s="345" t="str">
        <f>IFERROR(__xludf.DUMMYFUNCTION("JOIN("","",IFERROR(FILTER(Matches!$B:$B,B4=Matches!$C:$C),""""),IFERROR(FILTER(Matches!$C:$C,B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4" s="344">
        <f>IFERROR(__xludf.DUMMYFUNCTION("iferror(AVERAGE(ARRAYFORMULA(VLOOKUP(SPLIT(T4,"","",TRUE,TRUE),$R$2:$S654,2,FALSE))),0)"),0.0)</f>
        <v>0</v>
      </c>
      <c r="V4" s="346">
        <f>IFERROR(__xludf.DUMMYFUNCTION("RANK($I4, $I$2:$I654, FALSE) + RANK($M4, Filter($M$2:$M654, $I$2:$I654=$I4),FALSE)+RANK($U4, Filter($U$2:$U654, $I$2:$I654=$I4,$M$2:$M654=$M4),FALSE)-2"),1.0)</f>
        <v>1</v>
      </c>
      <c r="W4" s="347" t="str">
        <f t="shared" si="9"/>
        <v>Underplay</v>
      </c>
      <c r="X4" s="348" t="str">
        <f t="shared" si="10"/>
        <v/>
      </c>
      <c r="Y4" s="349">
        <f>MAXIFS(Matches!$A:$A,Matches!$C:$C,$B4)</f>
        <v>0</v>
      </c>
      <c r="Z4" s="349">
        <f t="array" ref="Z4">XLOOKUP(Y4,Quotas!$B$7:$B$10,Quotas!$A$7:$A$10,0,-1)</f>
        <v>0</v>
      </c>
      <c r="AB4" s="79"/>
      <c r="AC4" s="79">
        <f>COUNTIFS(Matches!$A:$A,"&gt;"&amp;Y4,Matches!$B:$B,$B4)</f>
        <v>0</v>
      </c>
      <c r="AD4" s="79"/>
      <c r="AE4" s="31" t="str">
        <f t="array" ref="AE4">XLOOKUP(B4, 'College List'!A:A, 'College List'!B:B)</f>
        <v>#N/A</v>
      </c>
    </row>
    <row r="5">
      <c r="A5" s="9">
        <f t="shared" si="1"/>
        <v>1</v>
      </c>
      <c r="C5" s="350"/>
      <c r="D5" s="93"/>
      <c r="E5" s="1"/>
      <c r="F5" s="1"/>
      <c r="G5" s="1"/>
      <c r="H5" s="341">
        <f>COUNTIF(Entropy!$D:$D,$B5)+COUNTIF(Matches!$B:$B,$B5)+COUNTIF(Matches!$C:$C,$B5)</f>
        <v>0</v>
      </c>
      <c r="I5" s="342">
        <f>COUNTIF(Matches!$B:$B,B5)</f>
        <v>0</v>
      </c>
      <c r="J5" s="79">
        <f t="shared" si="2"/>
        <v>0</v>
      </c>
      <c r="K5" s="1" t="str">
        <f t="shared" si="3"/>
        <v>0 - 0</v>
      </c>
      <c r="L5" s="343">
        <f>COUNTIF(Entropy!$D:$D,$B5)</f>
        <v>0</v>
      </c>
      <c r="M5" s="344">
        <f t="shared" si="4"/>
        <v>0</v>
      </c>
      <c r="N5" s="344">
        <f t="shared" si="5"/>
        <v>0</v>
      </c>
      <c r="O5" s="341">
        <f>IF($J5=11,0,IF(AND($H5 &gt;=VLOOKUP(Standings!$C$2,Quotas!$A$7:$E$14,4,FALSE), $H5&lt;=VLOOKUP(Standings!$C$2,Quotas!$A$7:$E$14,5,FALSE)), 0,VLOOKUP(Standings!$C$2,Quotas!$A$7:$E$14,4,FALSE)-$H5))</f>
        <v>30</v>
      </c>
      <c r="P5" s="341">
        <f>IF($J5=11,0,IF(AND($H5 &gt;=VLOOKUP(Standings!$C$2,Quotas!$A$7:$E$14,5,FALSE), $H5&lt;=VLOOKUP(Standings!$C$2,Quotas!$A$7:$E$14,5,FALSE)), 0,VLOOKUP(Standings!$C$2,Quotas!$A$7:$E$14,5,FALSE)-$H5))</f>
        <v>30</v>
      </c>
      <c r="Q5" s="79">
        <f t="shared" si="6"/>
        <v>11</v>
      </c>
      <c r="R5" s="345" t="str">
        <f t="shared" si="7"/>
        <v/>
      </c>
      <c r="S5" s="344">
        <f t="shared" si="8"/>
        <v>0.33</v>
      </c>
      <c r="T5" s="345" t="str">
        <f>IFERROR(__xludf.DUMMYFUNCTION("JOIN("","",IFERROR(FILTER(Matches!$B:$B,B5=Matches!$C:$C),""""),IFERROR(FILTER(Matches!$C:$C,B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5" s="344">
        <f>IFERROR(__xludf.DUMMYFUNCTION("iferror(AVERAGE(ARRAYFORMULA(VLOOKUP(SPLIT(T5,"","",TRUE,TRUE),$R$2:$S654,2,FALSE))),0)"),0.0)</f>
        <v>0</v>
      </c>
      <c r="V5" s="346">
        <f>IFERROR(__xludf.DUMMYFUNCTION("RANK($I5, $I$2:$I654, FALSE) + RANK($M5, Filter($M$2:$M654, $I$2:$I654=$I5),FALSE)+RANK($U5, Filter($U$2:$U654, $I$2:$I654=$I5,$M$2:$M654=$M5),FALSE)-2"),1.0)</f>
        <v>1</v>
      </c>
      <c r="W5" s="347" t="str">
        <f t="shared" si="9"/>
        <v>Underplay</v>
      </c>
      <c r="X5" s="348" t="str">
        <f t="shared" si="10"/>
        <v/>
      </c>
      <c r="Y5" s="349">
        <f>MAXIFS(Matches!$A:$A,Matches!$C:$C,$B5)</f>
        <v>0</v>
      </c>
      <c r="Z5" s="349">
        <f t="array" ref="Z5">XLOOKUP(Y5,Quotas!$B$7:$B$10,Quotas!$A$7:$A$10,0,-1)</f>
        <v>0</v>
      </c>
      <c r="AB5" s="79"/>
      <c r="AC5" s="79">
        <f>COUNTIFS(Matches!$A:$A,"&gt;"&amp;Y5,Matches!$B:$B,$B5)</f>
        <v>0</v>
      </c>
      <c r="AD5" s="79"/>
      <c r="AE5" s="31" t="str">
        <f t="array" ref="AE5">XLOOKUP(B5, 'College List'!A:A, 'College List'!B:B)</f>
        <v>#N/A</v>
      </c>
      <c r="AF5" s="15">
        <v>9.0</v>
      </c>
    </row>
    <row r="6">
      <c r="A6" s="9">
        <f t="shared" si="1"/>
        <v>1</v>
      </c>
      <c r="C6" s="350"/>
      <c r="D6" s="93"/>
      <c r="E6" s="1"/>
      <c r="F6" s="1"/>
      <c r="G6" s="1"/>
      <c r="H6" s="341">
        <f>COUNTIF(Entropy!$D:$D,$B6)+COUNTIF(Matches!$B:$B,$B6)+COUNTIF(Matches!$C:$C,$B6)</f>
        <v>0</v>
      </c>
      <c r="I6" s="342">
        <f>COUNTIF(Matches!$B:$B,B6)</f>
        <v>0</v>
      </c>
      <c r="J6" s="79">
        <f t="shared" si="2"/>
        <v>0</v>
      </c>
      <c r="K6" s="1" t="str">
        <f t="shared" si="3"/>
        <v>0 - 0</v>
      </c>
      <c r="L6" s="343">
        <f>COUNTIF(Entropy!$D:$D,$B6)</f>
        <v>0</v>
      </c>
      <c r="M6" s="344">
        <f t="shared" si="4"/>
        <v>0</v>
      </c>
      <c r="N6" s="344">
        <f t="shared" si="5"/>
        <v>0</v>
      </c>
      <c r="O6" s="341">
        <f>IF($J6=11,0,IF(AND($H6 &gt;=VLOOKUP(Standings!$C$2,Quotas!$A$7:$E$14,4,FALSE), $H6&lt;=VLOOKUP(Standings!$C$2,Quotas!$A$7:$E$14,5,FALSE)), 0,VLOOKUP(Standings!$C$2,Quotas!$A$7:$E$14,4,FALSE)-$H6))</f>
        <v>30</v>
      </c>
      <c r="P6" s="341">
        <f>IF($J6=11,0,IF(AND($H6 &gt;=VLOOKUP(Standings!$C$2,Quotas!$A$7:$E$14,5,FALSE), $H6&lt;=VLOOKUP(Standings!$C$2,Quotas!$A$7:$E$14,5,FALSE)), 0,VLOOKUP(Standings!$C$2,Quotas!$A$7:$E$14,5,FALSE)-$H6))</f>
        <v>30</v>
      </c>
      <c r="Q6" s="79">
        <f t="shared" si="6"/>
        <v>11</v>
      </c>
      <c r="R6" s="345" t="str">
        <f t="shared" si="7"/>
        <v/>
      </c>
      <c r="S6" s="344">
        <f t="shared" si="8"/>
        <v>0.33</v>
      </c>
      <c r="T6" s="345" t="str">
        <f>IFERROR(__xludf.DUMMYFUNCTION("JOIN("","",IFERROR(FILTER(Matches!$B:$B,B6=Matches!$C:$C),""""),IFERROR(FILTER(Matches!$C:$C,B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6" s="344">
        <f>IFERROR(__xludf.DUMMYFUNCTION("iferror(AVERAGE(ARRAYFORMULA(VLOOKUP(SPLIT(T6,"","",TRUE,TRUE),$R$2:$S654,2,FALSE))),0)"),0.0)</f>
        <v>0</v>
      </c>
      <c r="V6" s="346">
        <f>IFERROR(__xludf.DUMMYFUNCTION("RANK($I6, $I$2:$I654, FALSE) + RANK($M6, Filter($M$2:$M654, $I$2:$I654=$I6),FALSE)+RANK($U6, Filter($U$2:$U654, $I$2:$I654=$I6,$M$2:$M654=$M6),FALSE)-2"),1.0)</f>
        <v>1</v>
      </c>
      <c r="W6" s="347" t="str">
        <f t="shared" si="9"/>
        <v>Underplay</v>
      </c>
      <c r="X6" s="348" t="str">
        <f t="shared" si="10"/>
        <v/>
      </c>
      <c r="Y6" s="349">
        <f>MAXIFS(Matches!$A:$A,Matches!$C:$C,$B6)</f>
        <v>0</v>
      </c>
      <c r="Z6" s="349">
        <f t="array" ref="Z6">XLOOKUP(Y6,Quotas!$B$7:$B$10,Quotas!$A$7:$A$10,0,-1)</f>
        <v>0</v>
      </c>
      <c r="AB6" s="79"/>
      <c r="AC6" s="79">
        <f>COUNTIFS(Matches!$A:$A,"&gt;"&amp;Y6,Matches!$B:$B,$B6)</f>
        <v>0</v>
      </c>
      <c r="AD6" s="79"/>
      <c r="AE6" s="31" t="str">
        <f t="array" ref="AE6">XLOOKUP(B6, 'College List'!A:A, 'College List'!B:B)</f>
        <v>#N/A</v>
      </c>
      <c r="AF6" s="15">
        <v>9.0</v>
      </c>
    </row>
    <row r="7">
      <c r="A7" s="9">
        <f t="shared" si="1"/>
        <v>1</v>
      </c>
      <c r="C7" s="350"/>
      <c r="D7" s="93"/>
      <c r="E7" s="1"/>
      <c r="F7" s="1"/>
      <c r="G7" s="1"/>
      <c r="H7" s="341">
        <f>COUNTIF(Entropy!$D:$D,$B7)+COUNTIF(Matches!$B:$B,$B7)+COUNTIF(Matches!$C:$C,$B7)</f>
        <v>0</v>
      </c>
      <c r="I7" s="342">
        <f>COUNTIF(Matches!$B:$B,B7)</f>
        <v>0</v>
      </c>
      <c r="J7" s="79">
        <f t="shared" si="2"/>
        <v>0</v>
      </c>
      <c r="K7" s="1" t="str">
        <f t="shared" si="3"/>
        <v>0 - 0</v>
      </c>
      <c r="L7" s="343">
        <f>COUNTIF(Entropy!$D:$D,$B7)</f>
        <v>0</v>
      </c>
      <c r="M7" s="344">
        <f t="shared" si="4"/>
        <v>0</v>
      </c>
      <c r="N7" s="344">
        <f t="shared" si="5"/>
        <v>0</v>
      </c>
      <c r="O7" s="341">
        <f>IF($J7=11,0,IF(AND($H7 &gt;=VLOOKUP(Standings!$C$2,Quotas!$A$7:$E$14,4,FALSE), $H7&lt;=VLOOKUP(Standings!$C$2,Quotas!$A$7:$E$14,5,FALSE)), 0,VLOOKUP(Standings!$C$2,Quotas!$A$7:$E$14,4,FALSE)-$H7))</f>
        <v>30</v>
      </c>
      <c r="P7" s="341">
        <f>IF($J7=11,0,IF(AND($H7 &gt;=VLOOKUP(Standings!$C$2,Quotas!$A$7:$E$14,5,FALSE), $H7&lt;=VLOOKUP(Standings!$C$2,Quotas!$A$7:$E$14,5,FALSE)), 0,VLOOKUP(Standings!$C$2,Quotas!$A$7:$E$14,5,FALSE)-$H7))</f>
        <v>30</v>
      </c>
      <c r="Q7" s="79">
        <f t="shared" si="6"/>
        <v>11</v>
      </c>
      <c r="R7" s="345" t="str">
        <f t="shared" si="7"/>
        <v/>
      </c>
      <c r="S7" s="344">
        <f t="shared" si="8"/>
        <v>0.33</v>
      </c>
      <c r="T7" s="345" t="str">
        <f>IFERROR(__xludf.DUMMYFUNCTION("JOIN("","",IFERROR(FILTER(Matches!$B:$B,B7=Matches!$C:$C),""""),IFERROR(FILTER(Matches!$C:$C,B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7" s="344">
        <f>IFERROR(__xludf.DUMMYFUNCTION("iferror(AVERAGE(ARRAYFORMULA(VLOOKUP(SPLIT(T7,"","",TRUE,TRUE),$R$2:$S654,2,FALSE))),0)"),0.0)</f>
        <v>0</v>
      </c>
      <c r="V7" s="346">
        <f>IFERROR(__xludf.DUMMYFUNCTION("RANK($I7, $I$2:$I654, FALSE) + RANK($M7, Filter($M$2:$M654, $I$2:$I654=$I7),FALSE)+RANK($U7, Filter($U$2:$U654, $I$2:$I654=$I7,$M$2:$M654=$M7),FALSE)-2"),1.0)</f>
        <v>1</v>
      </c>
      <c r="W7" s="347" t="str">
        <f t="shared" si="9"/>
        <v>Underplay</v>
      </c>
      <c r="X7" s="348" t="str">
        <f t="shared" si="10"/>
        <v/>
      </c>
      <c r="Y7" s="349">
        <f>MAXIFS(Matches!$A:$A,Matches!$C:$C,$B7)</f>
        <v>0</v>
      </c>
      <c r="Z7" s="349">
        <f t="array" ref="Z7">XLOOKUP(Y7,Quotas!$B$7:$B$10,Quotas!$A$7:$A$10,0,-1)</f>
        <v>0</v>
      </c>
      <c r="AB7" s="79"/>
      <c r="AC7" s="79">
        <f>COUNTIFS(Matches!$A:$A,"&gt;"&amp;Y7,Matches!$B:$B,$B7)</f>
        <v>0</v>
      </c>
      <c r="AD7" s="79"/>
      <c r="AE7" s="31" t="str">
        <f t="array" ref="AE7">XLOOKUP(B7, 'College List'!A:A, 'College List'!B:B)</f>
        <v>#N/A</v>
      </c>
      <c r="AF7" s="15">
        <v>9.0</v>
      </c>
    </row>
    <row r="8">
      <c r="A8" s="9">
        <f t="shared" si="1"/>
        <v>1</v>
      </c>
      <c r="C8" s="350"/>
      <c r="D8" s="93"/>
      <c r="E8" s="1"/>
      <c r="F8" s="1"/>
      <c r="G8" s="1"/>
      <c r="H8" s="341">
        <f>COUNTIF(Entropy!$D:$D,$B8)+COUNTIF(Matches!$B:$B,$B8)+COUNTIF(Matches!$C:$C,$B8)</f>
        <v>0</v>
      </c>
      <c r="I8" s="342">
        <f>COUNTIF(Matches!$B:$B,B8)</f>
        <v>0</v>
      </c>
      <c r="J8" s="79">
        <f t="shared" si="2"/>
        <v>0</v>
      </c>
      <c r="K8" s="1" t="str">
        <f t="shared" si="3"/>
        <v>0 - 0</v>
      </c>
      <c r="L8" s="343">
        <f>COUNTIF(Entropy!$D:$D,$B8)</f>
        <v>0</v>
      </c>
      <c r="M8" s="344">
        <f t="shared" si="4"/>
        <v>0</v>
      </c>
      <c r="N8" s="344">
        <f t="shared" si="5"/>
        <v>0</v>
      </c>
      <c r="O8" s="341">
        <f>IF($J8=11,0,IF(AND($H8 &gt;=VLOOKUP(Standings!$C$2,Quotas!$A$7:$E$14,4,FALSE), $H8&lt;=VLOOKUP(Standings!$C$2,Quotas!$A$7:$E$14,5,FALSE)), 0,VLOOKUP(Standings!$C$2,Quotas!$A$7:$E$14,4,FALSE)-$H8))</f>
        <v>30</v>
      </c>
      <c r="P8" s="341">
        <f>IF($J8=11,0,IF(AND($H8 &gt;=VLOOKUP(Standings!$C$2,Quotas!$A$7:$E$14,5,FALSE), $H8&lt;=VLOOKUP(Standings!$C$2,Quotas!$A$7:$E$14,5,FALSE)), 0,VLOOKUP(Standings!$C$2,Quotas!$A$7:$E$14,5,FALSE)-$H8))</f>
        <v>30</v>
      </c>
      <c r="Q8" s="79">
        <f t="shared" si="6"/>
        <v>11</v>
      </c>
      <c r="R8" s="345" t="str">
        <f t="shared" si="7"/>
        <v/>
      </c>
      <c r="S8" s="344">
        <f t="shared" si="8"/>
        <v>0.33</v>
      </c>
      <c r="T8" s="345" t="str">
        <f>IFERROR(__xludf.DUMMYFUNCTION("JOIN("","",IFERROR(FILTER(Matches!$B:$B,B8=Matches!$C:$C),""""),IFERROR(FILTER(Matches!$C:$C,B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8" s="344">
        <f>IFERROR(__xludf.DUMMYFUNCTION("iferror(AVERAGE(ARRAYFORMULA(VLOOKUP(SPLIT(T8,"","",TRUE,TRUE),$R$2:$S654,2,FALSE))),0)"),0.0)</f>
        <v>0</v>
      </c>
      <c r="V8" s="346">
        <f>IFERROR(__xludf.DUMMYFUNCTION("RANK($I8, $I$2:$I654, FALSE) + RANK($M8, Filter($M$2:$M654, $I$2:$I654=$I8),FALSE)+RANK($U8, Filter($U$2:$U654, $I$2:$I654=$I8,$M$2:$M654=$M8),FALSE)-2"),1.0)</f>
        <v>1</v>
      </c>
      <c r="W8" s="347" t="str">
        <f t="shared" si="9"/>
        <v>Underplay</v>
      </c>
      <c r="X8" s="348" t="str">
        <f t="shared" si="10"/>
        <v/>
      </c>
      <c r="Y8" s="349">
        <f>MAXIFS(Matches!$A:$A,Matches!$C:$C,$B8)</f>
        <v>0</v>
      </c>
      <c r="Z8" s="349">
        <f t="array" ref="Z8">XLOOKUP(Y8,Quotas!$B$7:$B$10,Quotas!$A$7:$A$10,0,-1)</f>
        <v>0</v>
      </c>
      <c r="AB8" s="79"/>
      <c r="AC8" s="79">
        <f>COUNTIFS(Matches!$A:$A,"&gt;"&amp;Y8,Matches!$B:$B,$B8)</f>
        <v>0</v>
      </c>
      <c r="AD8" s="79"/>
      <c r="AE8" s="31" t="str">
        <f t="array" ref="AE8">XLOOKUP(B8, 'College List'!A:A, 'College List'!B:B)</f>
        <v>#N/A</v>
      </c>
    </row>
    <row r="9">
      <c r="A9" s="9">
        <f t="shared" si="1"/>
        <v>1</v>
      </c>
      <c r="C9" s="350"/>
      <c r="D9" s="93"/>
      <c r="E9" s="1"/>
      <c r="F9" s="1"/>
      <c r="G9" s="1"/>
      <c r="H9" s="341">
        <f>COUNTIF(Entropy!$D:$D,$B9)+COUNTIF(Matches!$B:$B,$B9)+COUNTIF(Matches!$C:$C,$B9)</f>
        <v>0</v>
      </c>
      <c r="I9" s="342">
        <f>COUNTIF(Matches!$B:$B,B9)</f>
        <v>0</v>
      </c>
      <c r="J9" s="79">
        <f t="shared" si="2"/>
        <v>0</v>
      </c>
      <c r="K9" s="1" t="str">
        <f t="shared" si="3"/>
        <v>0 - 0</v>
      </c>
      <c r="L9" s="343">
        <f>COUNTIF(Entropy!$D:$D,$B9)</f>
        <v>0</v>
      </c>
      <c r="M9" s="344">
        <f t="shared" si="4"/>
        <v>0</v>
      </c>
      <c r="N9" s="344">
        <f t="shared" si="5"/>
        <v>0</v>
      </c>
      <c r="O9" s="341">
        <f>IF($J9=11,0,IF(AND($H9 &gt;=VLOOKUP(Standings!$C$2,Quotas!$A$7:$E$14,4,FALSE), $H9&lt;=VLOOKUP(Standings!$C$2,Quotas!$A$7:$E$14,5,FALSE)), 0,VLOOKUP(Standings!$C$2,Quotas!$A$7:$E$14,4,FALSE)-$H9))</f>
        <v>30</v>
      </c>
      <c r="P9" s="341">
        <f>IF($J9=11,0,IF(AND($H9 &gt;=VLOOKUP(Standings!$C$2,Quotas!$A$7:$E$14,5,FALSE), $H9&lt;=VLOOKUP(Standings!$C$2,Quotas!$A$7:$E$14,5,FALSE)), 0,VLOOKUP(Standings!$C$2,Quotas!$A$7:$E$14,5,FALSE)-$H9))</f>
        <v>30</v>
      </c>
      <c r="Q9" s="79">
        <f t="shared" si="6"/>
        <v>11</v>
      </c>
      <c r="R9" s="345" t="str">
        <f t="shared" si="7"/>
        <v/>
      </c>
      <c r="S9" s="344">
        <f t="shared" si="8"/>
        <v>0.33</v>
      </c>
      <c r="T9" s="345" t="str">
        <f>IFERROR(__xludf.DUMMYFUNCTION("JOIN("","",IFERROR(FILTER(Matches!$B:$B,B9=Matches!$C:$C),""""),IFERROR(FILTER(Matches!$C:$C,B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9" s="344">
        <f>IFERROR(__xludf.DUMMYFUNCTION("iferror(AVERAGE(ARRAYFORMULA(VLOOKUP(SPLIT(T9,"","",TRUE,TRUE),$R$2:$S654,2,FALSE))),0)"),0.0)</f>
        <v>0</v>
      </c>
      <c r="V9" s="346">
        <f>IFERROR(__xludf.DUMMYFUNCTION("RANK($I9, $I$2:$I654, FALSE) + RANK($M9, Filter($M$2:$M654, $I$2:$I654=$I9),FALSE)+RANK($U9, Filter($U$2:$U654, $I$2:$I654=$I9,$M$2:$M654=$M9),FALSE)-2"),1.0)</f>
        <v>1</v>
      </c>
      <c r="W9" s="347" t="str">
        <f t="shared" si="9"/>
        <v>Underplay</v>
      </c>
      <c r="X9" s="348" t="str">
        <f t="shared" si="10"/>
        <v/>
      </c>
      <c r="Y9" s="349">
        <f>MAXIFS(Matches!$A:$A,Matches!$C:$C,$B9)</f>
        <v>0</v>
      </c>
      <c r="Z9" s="349">
        <f t="array" ref="Z9">XLOOKUP(Y9,Quotas!$B$7:$B$10,Quotas!$A$7:$A$10,0,-1)</f>
        <v>0</v>
      </c>
      <c r="AB9" s="79"/>
      <c r="AC9" s="79">
        <f>COUNTIFS(Matches!$A:$A,"&gt;"&amp;Y9,Matches!$B:$B,$B9)</f>
        <v>0</v>
      </c>
      <c r="AD9" s="79"/>
      <c r="AE9" s="31" t="str">
        <f t="array" ref="AE9">XLOOKUP(B9, 'College List'!A:A, 'College List'!B:B)</f>
        <v>#N/A</v>
      </c>
      <c r="AF9" s="15">
        <v>9.0</v>
      </c>
    </row>
    <row r="10">
      <c r="A10" s="9">
        <f t="shared" si="1"/>
        <v>1</v>
      </c>
      <c r="C10" s="350"/>
      <c r="D10" s="93"/>
      <c r="E10" s="1"/>
      <c r="F10" s="1"/>
      <c r="G10" s="1"/>
      <c r="H10" s="341">
        <f>COUNTIF(Entropy!$D:$D,$B10)+COUNTIF(Matches!$B:$B,$B10)+COUNTIF(Matches!$C:$C,$B10)</f>
        <v>0</v>
      </c>
      <c r="I10" s="342">
        <f>COUNTIF(Matches!$B:$B,B10)</f>
        <v>0</v>
      </c>
      <c r="J10" s="79">
        <f t="shared" si="2"/>
        <v>0</v>
      </c>
      <c r="K10" s="1" t="str">
        <f t="shared" si="3"/>
        <v>0 - 0</v>
      </c>
      <c r="L10" s="343">
        <f>COUNTIF(Entropy!$D:$D,$B10)</f>
        <v>0</v>
      </c>
      <c r="M10" s="344">
        <f t="shared" si="4"/>
        <v>0</v>
      </c>
      <c r="N10" s="344">
        <f t="shared" si="5"/>
        <v>0</v>
      </c>
      <c r="O10" s="341">
        <f>IF($J10=11,0,IF(AND($H10 &gt;=VLOOKUP(Standings!$C$2,Quotas!$A$7:$E$14,4,FALSE), $H10&lt;=VLOOKUP(Standings!$C$2,Quotas!$A$7:$E$14,5,FALSE)), 0,VLOOKUP(Standings!$C$2,Quotas!$A$7:$E$14,4,FALSE)-$H10))</f>
        <v>30</v>
      </c>
      <c r="P10" s="341">
        <f>IF($J10=11,0,IF(AND($H10 &gt;=VLOOKUP(Standings!$C$2,Quotas!$A$7:$E$14,5,FALSE), $H10&lt;=VLOOKUP(Standings!$C$2,Quotas!$A$7:$E$14,5,FALSE)), 0,VLOOKUP(Standings!$C$2,Quotas!$A$7:$E$14,5,FALSE)-$H10))</f>
        <v>30</v>
      </c>
      <c r="Q10" s="79">
        <f t="shared" si="6"/>
        <v>11</v>
      </c>
      <c r="R10" s="345" t="str">
        <f t="shared" si="7"/>
        <v/>
      </c>
      <c r="S10" s="344">
        <f t="shared" si="8"/>
        <v>0.33</v>
      </c>
      <c r="T10" s="345" t="str">
        <f>IFERROR(__xludf.DUMMYFUNCTION("JOIN("","",IFERROR(FILTER(Matches!$B:$B,B10=Matches!$C:$C),""""),IFERROR(FILTER(Matches!$C:$C,B10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0" s="344">
        <f>IFERROR(__xludf.DUMMYFUNCTION("iferror(AVERAGE(ARRAYFORMULA(VLOOKUP(SPLIT(T10,"","",TRUE,TRUE),$R$2:$S654,2,FALSE))),0)"),0.0)</f>
        <v>0</v>
      </c>
      <c r="V10" s="346">
        <f>IFERROR(__xludf.DUMMYFUNCTION("RANK($I10, $I$2:$I654, FALSE) + RANK($M10, Filter($M$2:$M654, $I$2:$I654=$I10),FALSE)+RANK($U10, Filter($U$2:$U654, $I$2:$I654=$I10,$M$2:$M654=$M10),FALSE)-2"),1.0)</f>
        <v>1</v>
      </c>
      <c r="W10" s="347" t="str">
        <f t="shared" si="9"/>
        <v>Underplay</v>
      </c>
      <c r="X10" s="348" t="str">
        <f t="shared" si="10"/>
        <v/>
      </c>
      <c r="Y10" s="349">
        <f>MAXIFS(Matches!$A:$A,Matches!$C:$C,$B10)</f>
        <v>0</v>
      </c>
      <c r="Z10" s="349">
        <f t="array" ref="Z10">XLOOKUP(Y10,Quotas!$B$7:$B$10,Quotas!$A$7:$A$10,0,-1)</f>
        <v>0</v>
      </c>
      <c r="AB10" s="79"/>
      <c r="AC10" s="79">
        <f>COUNTIFS(Matches!$A:$A,"&gt;"&amp;Y10,Matches!$B:$B,$B10)</f>
        <v>0</v>
      </c>
      <c r="AD10" s="79"/>
      <c r="AE10" s="31" t="str">
        <f t="array" ref="AE10">XLOOKUP(B10, 'College List'!A:A, 'College List'!B:B)</f>
        <v>#N/A</v>
      </c>
      <c r="AF10" s="15">
        <v>9.0</v>
      </c>
    </row>
    <row r="11">
      <c r="A11" s="9">
        <f t="shared" si="1"/>
        <v>1</v>
      </c>
      <c r="C11" s="350"/>
      <c r="D11" s="93"/>
      <c r="E11" s="1"/>
      <c r="F11" s="1"/>
      <c r="G11" s="1"/>
      <c r="H11" s="341">
        <f>COUNTIF(Entropy!$D:$D,$B11)+COUNTIF(Matches!$B:$B,$B11)+COUNTIF(Matches!$C:$C,$B11)</f>
        <v>0</v>
      </c>
      <c r="I11" s="342">
        <f>COUNTIF(Matches!$B:$B,B11)</f>
        <v>0</v>
      </c>
      <c r="J11" s="79">
        <f t="shared" si="2"/>
        <v>0</v>
      </c>
      <c r="K11" s="1" t="str">
        <f t="shared" si="3"/>
        <v>0 - 0</v>
      </c>
      <c r="L11" s="343">
        <f>COUNTIF(Entropy!$D:$D,$B11)</f>
        <v>0</v>
      </c>
      <c r="M11" s="344">
        <f t="shared" si="4"/>
        <v>0</v>
      </c>
      <c r="N11" s="344">
        <f t="shared" si="5"/>
        <v>0</v>
      </c>
      <c r="O11" s="341">
        <f>IF($J11=11,0,IF(AND($H11 &gt;=VLOOKUP(Standings!$C$2,Quotas!$A$7:$E$14,4,FALSE), $H11&lt;=VLOOKUP(Standings!$C$2,Quotas!$A$7:$E$14,5,FALSE)), 0,VLOOKUP(Standings!$C$2,Quotas!$A$7:$E$14,4,FALSE)-$H11))</f>
        <v>30</v>
      </c>
      <c r="P11" s="341">
        <f>IF($J11=11,0,IF(AND($H11 &gt;=VLOOKUP(Standings!$C$2,Quotas!$A$7:$E$14,5,FALSE), $H11&lt;=VLOOKUP(Standings!$C$2,Quotas!$A$7:$E$14,5,FALSE)), 0,VLOOKUP(Standings!$C$2,Quotas!$A$7:$E$14,5,FALSE)-$H11))</f>
        <v>30</v>
      </c>
      <c r="Q11" s="79">
        <f t="shared" si="6"/>
        <v>11</v>
      </c>
      <c r="R11" s="345" t="str">
        <f t="shared" si="7"/>
        <v/>
      </c>
      <c r="S11" s="344">
        <f t="shared" si="8"/>
        <v>0.33</v>
      </c>
      <c r="T11" s="345" t="str">
        <f>IFERROR(__xludf.DUMMYFUNCTION("JOIN("","",IFERROR(FILTER(Matches!$B:$B,B11=Matches!$C:$C),""""),IFERROR(FILTER(Matches!$C:$C,B11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1" s="344">
        <f>IFERROR(__xludf.DUMMYFUNCTION("iferror(AVERAGE(ARRAYFORMULA(VLOOKUP(SPLIT(T11,"","",TRUE,TRUE),$R$2:$S654,2,FALSE))),0)"),0.0)</f>
        <v>0</v>
      </c>
      <c r="V11" s="346">
        <f>IFERROR(__xludf.DUMMYFUNCTION("RANK($I11, $I$2:$I654, FALSE) + RANK($M11, Filter($M$2:$M654, $I$2:$I654=$I11),FALSE)+RANK($U11, Filter($U$2:$U654, $I$2:$I654=$I11,$M$2:$M654=$M11),FALSE)-2"),1.0)</f>
        <v>1</v>
      </c>
      <c r="W11" s="347" t="str">
        <f t="shared" si="9"/>
        <v>Underplay</v>
      </c>
      <c r="X11" s="348" t="str">
        <f t="shared" si="10"/>
        <v/>
      </c>
      <c r="Y11" s="349">
        <f>MAXIFS(Matches!$A:$A,Matches!$C:$C,$B11)</f>
        <v>0</v>
      </c>
      <c r="Z11" s="349">
        <f t="array" ref="Z11">XLOOKUP(Y11,Quotas!$B$7:$B$10,Quotas!$A$7:$A$10,0,-1)</f>
        <v>0</v>
      </c>
      <c r="AB11" s="79"/>
      <c r="AC11" s="79">
        <f>COUNTIFS(Matches!$A:$A,"&gt;"&amp;Y11,Matches!$B:$B,$B11)</f>
        <v>0</v>
      </c>
      <c r="AD11" s="79"/>
      <c r="AE11" s="31" t="str">
        <f t="array" ref="AE11">XLOOKUP(B11, 'College List'!A:A, 'College List'!B:B)</f>
        <v>#N/A</v>
      </c>
      <c r="AF11" s="15">
        <v>7.0</v>
      </c>
    </row>
    <row r="12">
      <c r="A12" s="9">
        <f t="shared" si="1"/>
        <v>1</v>
      </c>
      <c r="C12" s="350"/>
      <c r="D12" s="93"/>
      <c r="E12" s="1"/>
      <c r="F12" s="1"/>
      <c r="G12" s="1"/>
      <c r="H12" s="341">
        <f>COUNTIF(Entropy!$D:$D,$B12)+COUNTIF(Matches!$B:$B,$B12)+COUNTIF(Matches!$C:$C,$B12)</f>
        <v>0</v>
      </c>
      <c r="I12" s="342">
        <f>COUNTIF(Matches!$B:$B,B12)</f>
        <v>0</v>
      </c>
      <c r="J12" s="79">
        <f t="shared" si="2"/>
        <v>0</v>
      </c>
      <c r="K12" s="1" t="str">
        <f t="shared" si="3"/>
        <v>0 - 0</v>
      </c>
      <c r="L12" s="343">
        <f>COUNTIF(Entropy!$D:$D,$B12)</f>
        <v>0</v>
      </c>
      <c r="M12" s="344">
        <f t="shared" si="4"/>
        <v>0</v>
      </c>
      <c r="N12" s="344">
        <f t="shared" si="5"/>
        <v>0</v>
      </c>
      <c r="O12" s="341">
        <f>IF($J12=11,0,IF(AND($H12 &gt;=VLOOKUP(Standings!$C$2,Quotas!$A$7:$E$14,4,FALSE), $H12&lt;=VLOOKUP(Standings!$C$2,Quotas!$A$7:$E$14,5,FALSE)), 0,VLOOKUP(Standings!$C$2,Quotas!$A$7:$E$14,4,FALSE)-$H12))</f>
        <v>30</v>
      </c>
      <c r="P12" s="341">
        <f>IF($J12=11,0,IF(AND($H12 &gt;=VLOOKUP(Standings!$C$2,Quotas!$A$7:$E$14,5,FALSE), $H12&lt;=VLOOKUP(Standings!$C$2,Quotas!$A$7:$E$14,5,FALSE)), 0,VLOOKUP(Standings!$C$2,Quotas!$A$7:$E$14,5,FALSE)-$H12))</f>
        <v>30</v>
      </c>
      <c r="Q12" s="79">
        <f t="shared" si="6"/>
        <v>11</v>
      </c>
      <c r="R12" s="345" t="str">
        <f t="shared" si="7"/>
        <v/>
      </c>
      <c r="S12" s="344">
        <f t="shared" si="8"/>
        <v>0.33</v>
      </c>
      <c r="T12" s="345" t="str">
        <f>IFERROR(__xludf.DUMMYFUNCTION("JOIN("","",IFERROR(FILTER(Matches!$B:$B,B12=Matches!$C:$C),""""),IFERROR(FILTER(Matches!$C:$C,B12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2" s="344">
        <f>IFERROR(__xludf.DUMMYFUNCTION("iferror(AVERAGE(ARRAYFORMULA(VLOOKUP(SPLIT(T12,"","",TRUE,TRUE),$R$2:$S654,2,FALSE))),0)"),0.0)</f>
        <v>0</v>
      </c>
      <c r="V12" s="346">
        <f>IFERROR(__xludf.DUMMYFUNCTION("RANK($I12, $I$2:$I654, FALSE) + RANK($M12, Filter($M$2:$M654, $I$2:$I654=$I12),FALSE)+RANK($U12, Filter($U$2:$U654, $I$2:$I654=$I12,$M$2:$M654=$M12),FALSE)-2"),1.0)</f>
        <v>1</v>
      </c>
      <c r="W12" s="347" t="str">
        <f t="shared" si="9"/>
        <v>Underplay</v>
      </c>
      <c r="X12" s="348" t="str">
        <f t="shared" si="10"/>
        <v/>
      </c>
      <c r="Y12" s="349">
        <f>MAXIFS(Matches!$A:$A,Matches!$C:$C,$B12)</f>
        <v>0</v>
      </c>
      <c r="Z12" s="349">
        <f t="array" ref="Z12">XLOOKUP(Y12,Quotas!$B$7:$B$10,Quotas!$A$7:$A$10,0,-1)</f>
        <v>0</v>
      </c>
      <c r="AB12" s="79"/>
      <c r="AC12" s="79">
        <f>COUNTIFS(Matches!$A:$A,"&gt;"&amp;Y12,Matches!$B:$B,$B12)</f>
        <v>0</v>
      </c>
      <c r="AD12" s="79"/>
      <c r="AE12" s="31" t="str">
        <f t="array" ref="AE12">XLOOKUP(B12, 'College List'!A:A, 'College List'!B:B)</f>
        <v>#N/A</v>
      </c>
      <c r="AF12" s="15">
        <v>9.0</v>
      </c>
    </row>
    <row r="13">
      <c r="A13" s="9">
        <f t="shared" si="1"/>
        <v>1</v>
      </c>
      <c r="C13" s="350"/>
      <c r="D13" s="93"/>
      <c r="E13" s="1"/>
      <c r="F13" s="1"/>
      <c r="G13" s="1"/>
      <c r="H13" s="341">
        <f>COUNTIF(Entropy!$D:$D,$B13)+COUNTIF(Matches!$B:$B,$B13)+COUNTIF(Matches!$C:$C,$B13)</f>
        <v>0</v>
      </c>
      <c r="I13" s="342">
        <f>COUNTIF(Matches!$B:$B,B13)</f>
        <v>0</v>
      </c>
      <c r="J13" s="79">
        <f t="shared" si="2"/>
        <v>0</v>
      </c>
      <c r="K13" s="1" t="str">
        <f t="shared" si="3"/>
        <v>0 - 0</v>
      </c>
      <c r="L13" s="343">
        <f>COUNTIF(Entropy!$D:$D,$B13)</f>
        <v>0</v>
      </c>
      <c r="M13" s="344">
        <f t="shared" si="4"/>
        <v>0</v>
      </c>
      <c r="N13" s="344">
        <f t="shared" si="5"/>
        <v>0</v>
      </c>
      <c r="O13" s="341">
        <f>IF($J13=11,0,IF(AND($H13 &gt;=VLOOKUP(Standings!$C$2,Quotas!$A$7:$E$14,4,FALSE), $H13&lt;=VLOOKUP(Standings!$C$2,Quotas!$A$7:$E$14,5,FALSE)), 0,VLOOKUP(Standings!$C$2,Quotas!$A$7:$E$14,4,FALSE)-$H13))</f>
        <v>30</v>
      </c>
      <c r="P13" s="341">
        <f>IF($J13=11,0,IF(AND($H13 &gt;=VLOOKUP(Standings!$C$2,Quotas!$A$7:$E$14,5,FALSE), $H13&lt;=VLOOKUP(Standings!$C$2,Quotas!$A$7:$E$14,5,FALSE)), 0,VLOOKUP(Standings!$C$2,Quotas!$A$7:$E$14,5,FALSE)-$H13))</f>
        <v>30</v>
      </c>
      <c r="Q13" s="79">
        <f t="shared" si="6"/>
        <v>11</v>
      </c>
      <c r="R13" s="345" t="str">
        <f t="shared" si="7"/>
        <v/>
      </c>
      <c r="S13" s="344">
        <f t="shared" si="8"/>
        <v>0.33</v>
      </c>
      <c r="T13" s="345" t="str">
        <f>IFERROR(__xludf.DUMMYFUNCTION("JOIN("","",IFERROR(FILTER(Matches!$B:$B,B13=Matches!$C:$C),""""),IFERROR(FILTER(Matches!$C:$C,B13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3" s="344">
        <f>IFERROR(__xludf.DUMMYFUNCTION("iferror(AVERAGE(ARRAYFORMULA(VLOOKUP(SPLIT(T13,"","",TRUE,TRUE),$R$2:$S654,2,FALSE))),0)"),0.0)</f>
        <v>0</v>
      </c>
      <c r="V13" s="346">
        <f>IFERROR(__xludf.DUMMYFUNCTION("RANK($I13, $I$2:$I654, FALSE) + RANK($M13, Filter($M$2:$M654, $I$2:$I654=$I13),FALSE)+RANK($U13, Filter($U$2:$U654, $I$2:$I654=$I13,$M$2:$M654=$M13),FALSE)-2"),1.0)</f>
        <v>1</v>
      </c>
      <c r="W13" s="347" t="str">
        <f t="shared" si="9"/>
        <v>Underplay</v>
      </c>
      <c r="X13" s="348" t="str">
        <f t="shared" si="10"/>
        <v/>
      </c>
      <c r="Y13" s="349">
        <f>MAXIFS(Matches!$A:$A,Matches!$C:$C,$B13)</f>
        <v>0</v>
      </c>
      <c r="Z13" s="349">
        <f t="array" ref="Z13">XLOOKUP(Y13,Quotas!$B$7:$B$10,Quotas!$A$7:$A$10,0,-1)</f>
        <v>0</v>
      </c>
      <c r="AB13" s="79"/>
      <c r="AC13" s="79">
        <f>COUNTIFS(Matches!$A:$A,"&gt;"&amp;Y13,Matches!$B:$B,$B13)</f>
        <v>0</v>
      </c>
      <c r="AD13" s="79"/>
      <c r="AE13" s="31" t="str">
        <f t="array" ref="AE13">XLOOKUP(B13, 'College List'!A:A, 'College List'!B:B)</f>
        <v>#N/A</v>
      </c>
      <c r="AF13" s="15">
        <v>7.0</v>
      </c>
    </row>
    <row r="14">
      <c r="A14" s="9">
        <f t="shared" si="1"/>
        <v>1</v>
      </c>
      <c r="C14" s="350"/>
      <c r="D14" s="93"/>
      <c r="E14" s="1"/>
      <c r="F14" s="1"/>
      <c r="G14" s="1"/>
      <c r="H14" s="341">
        <f>COUNTIF(Entropy!$D:$D,$B14)+COUNTIF(Matches!$B:$B,$B14)+COUNTIF(Matches!$C:$C,$B14)</f>
        <v>0</v>
      </c>
      <c r="I14" s="342">
        <f>COUNTIF(Matches!$B:$B,B14)</f>
        <v>0</v>
      </c>
      <c r="J14" s="79">
        <f t="shared" si="2"/>
        <v>0</v>
      </c>
      <c r="K14" s="1" t="str">
        <f t="shared" si="3"/>
        <v>0 - 0</v>
      </c>
      <c r="L14" s="343">
        <f>COUNTIF(Entropy!$D:$D,$B14)</f>
        <v>0</v>
      </c>
      <c r="M14" s="344">
        <f t="shared" si="4"/>
        <v>0</v>
      </c>
      <c r="N14" s="344">
        <f t="shared" si="5"/>
        <v>0</v>
      </c>
      <c r="O14" s="341">
        <f>IF($J14=11,0,IF(AND($H14 &gt;=VLOOKUP(Standings!$C$2,Quotas!$A$7:$E$14,4,FALSE), $H14&lt;=VLOOKUP(Standings!$C$2,Quotas!$A$7:$E$14,5,FALSE)), 0,VLOOKUP(Standings!$C$2,Quotas!$A$7:$E$14,4,FALSE)-$H14))</f>
        <v>30</v>
      </c>
      <c r="P14" s="341">
        <f>IF($J14=11,0,IF(AND($H14 &gt;=VLOOKUP(Standings!$C$2,Quotas!$A$7:$E$14,5,FALSE), $H14&lt;=VLOOKUP(Standings!$C$2,Quotas!$A$7:$E$14,5,FALSE)), 0,VLOOKUP(Standings!$C$2,Quotas!$A$7:$E$14,5,FALSE)-$H14))</f>
        <v>30</v>
      </c>
      <c r="Q14" s="79">
        <f t="shared" si="6"/>
        <v>11</v>
      </c>
      <c r="R14" s="345" t="str">
        <f t="shared" si="7"/>
        <v/>
      </c>
      <c r="S14" s="344">
        <f t="shared" si="8"/>
        <v>0.33</v>
      </c>
      <c r="T14" s="345" t="str">
        <f>IFERROR(__xludf.DUMMYFUNCTION("JOIN("","",IFERROR(FILTER(Matches!$B:$B,B14=Matches!$C:$C),""""),IFERROR(FILTER(Matches!$C:$C,B14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4" s="344">
        <f>IFERROR(__xludf.DUMMYFUNCTION("iferror(AVERAGE(ARRAYFORMULA(VLOOKUP(SPLIT(T14,"","",TRUE,TRUE),$R$2:$S654,2,FALSE))),0)"),0.0)</f>
        <v>0</v>
      </c>
      <c r="V14" s="346">
        <f>IFERROR(__xludf.DUMMYFUNCTION("RANK($I14, $I$2:$I654, FALSE) + RANK($M14, Filter($M$2:$M654, $I$2:$I654=$I14),FALSE)+RANK($U14, Filter($U$2:$U654, $I$2:$I654=$I14,$M$2:$M654=$M14),FALSE)-2"),1.0)</f>
        <v>1</v>
      </c>
      <c r="W14" s="347" t="str">
        <f t="shared" si="9"/>
        <v>Underplay</v>
      </c>
      <c r="X14" s="348" t="str">
        <f t="shared" si="10"/>
        <v/>
      </c>
      <c r="Y14" s="349">
        <f>MAXIFS(Matches!$A:$A,Matches!$C:$C,$B14)</f>
        <v>0</v>
      </c>
      <c r="Z14" s="349">
        <f t="array" ref="Z14">XLOOKUP(Y14,Quotas!$B$7:$B$10,Quotas!$A$7:$A$10,0,-1)</f>
        <v>0</v>
      </c>
      <c r="AB14" s="79"/>
      <c r="AC14" s="79">
        <f>COUNTIFS(Matches!$A:$A,"&gt;"&amp;Y14,Matches!$B:$B,$B14)</f>
        <v>0</v>
      </c>
      <c r="AD14" s="79"/>
      <c r="AE14" s="31" t="str">
        <f t="array" ref="AE14">XLOOKUP(B14, 'College List'!A:A, 'College List'!B:B)</f>
        <v>#N/A</v>
      </c>
      <c r="AF14" s="15">
        <v>9.0</v>
      </c>
    </row>
    <row r="15">
      <c r="A15" s="9">
        <f t="shared" si="1"/>
        <v>1</v>
      </c>
      <c r="C15" s="350"/>
      <c r="D15" s="93"/>
      <c r="E15" s="1"/>
      <c r="F15" s="1"/>
      <c r="G15" s="1"/>
      <c r="H15" s="341">
        <f>COUNTIF(Entropy!$D:$D,$B15)+COUNTIF(Matches!$B:$B,$B15)+COUNTIF(Matches!$C:$C,$B15)</f>
        <v>0</v>
      </c>
      <c r="I15" s="342">
        <f>COUNTIF(Matches!$B:$B,B15)</f>
        <v>0</v>
      </c>
      <c r="J15" s="79">
        <f t="shared" si="2"/>
        <v>0</v>
      </c>
      <c r="K15" s="1" t="str">
        <f t="shared" si="3"/>
        <v>0 - 0</v>
      </c>
      <c r="L15" s="343">
        <f>COUNTIF(Entropy!$D:$D,$B15)</f>
        <v>0</v>
      </c>
      <c r="M15" s="344">
        <f t="shared" si="4"/>
        <v>0</v>
      </c>
      <c r="N15" s="344">
        <f t="shared" si="5"/>
        <v>0</v>
      </c>
      <c r="O15" s="341">
        <f>IF($J15=11,0,IF(AND($H15 &gt;=VLOOKUP(Standings!$C$2,Quotas!$A$7:$E$14,4,FALSE), $H15&lt;=VLOOKUP(Standings!$C$2,Quotas!$A$7:$E$14,5,FALSE)), 0,VLOOKUP(Standings!$C$2,Quotas!$A$7:$E$14,4,FALSE)-$H15))</f>
        <v>30</v>
      </c>
      <c r="P15" s="341">
        <f>IF($J15=11,0,IF(AND($H15 &gt;=VLOOKUP(Standings!$C$2,Quotas!$A$7:$E$14,5,FALSE), $H15&lt;=VLOOKUP(Standings!$C$2,Quotas!$A$7:$E$14,5,FALSE)), 0,VLOOKUP(Standings!$C$2,Quotas!$A$7:$E$14,5,FALSE)-$H15))</f>
        <v>30</v>
      </c>
      <c r="Q15" s="79">
        <f t="shared" si="6"/>
        <v>11</v>
      </c>
      <c r="R15" s="345" t="str">
        <f t="shared" si="7"/>
        <v/>
      </c>
      <c r="S15" s="344">
        <f t="shared" si="8"/>
        <v>0.33</v>
      </c>
      <c r="T15" s="345" t="str">
        <f>IFERROR(__xludf.DUMMYFUNCTION("JOIN("","",IFERROR(FILTER(Matches!$B:$B,B15=Matches!$C:$C),""""),IFERROR(FILTER(Matches!$C:$C,B15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5" s="344">
        <f>IFERROR(__xludf.DUMMYFUNCTION("iferror(AVERAGE(ARRAYFORMULA(VLOOKUP(SPLIT(T15,"","",TRUE,TRUE),$R$2:$S654,2,FALSE))),0)"),0.0)</f>
        <v>0</v>
      </c>
      <c r="V15" s="346">
        <f>IFERROR(__xludf.DUMMYFUNCTION("RANK($I15, $I$2:$I654, FALSE) + RANK($M15, Filter($M$2:$M654, $I$2:$I654=$I15),FALSE)+RANK($U15, Filter($U$2:$U654, $I$2:$I654=$I15,$M$2:$M654=$M15),FALSE)-2"),1.0)</f>
        <v>1</v>
      </c>
      <c r="W15" s="347" t="str">
        <f t="shared" si="9"/>
        <v>Underplay</v>
      </c>
      <c r="X15" s="348" t="str">
        <f t="shared" si="10"/>
        <v/>
      </c>
      <c r="Y15" s="349">
        <f>MAXIFS(Matches!$A:$A,Matches!$C:$C,$B15)</f>
        <v>0</v>
      </c>
      <c r="Z15" s="349">
        <f t="array" ref="Z15">XLOOKUP(Y15,Quotas!$B$7:$B$10,Quotas!$A$7:$A$10,0,-1)</f>
        <v>0</v>
      </c>
      <c r="AB15" s="79"/>
      <c r="AC15" s="79">
        <f>COUNTIFS(Matches!$A:$A,"&gt;"&amp;Y15,Matches!$B:$B,$B15)</f>
        <v>0</v>
      </c>
      <c r="AD15" s="79"/>
      <c r="AE15" s="31" t="str">
        <f t="array" ref="AE15">XLOOKUP(B15, 'College List'!A:A, 'College List'!B:B)</f>
        <v>#N/A</v>
      </c>
      <c r="AF15" s="15">
        <v>9.0</v>
      </c>
    </row>
    <row r="16">
      <c r="A16" s="9">
        <f t="shared" si="1"/>
        <v>1</v>
      </c>
      <c r="C16" s="350"/>
      <c r="D16" s="93"/>
      <c r="E16" s="1"/>
      <c r="F16" s="1"/>
      <c r="G16" s="1"/>
      <c r="H16" s="341">
        <f>COUNTIF(Entropy!$D:$D,$B16)+COUNTIF(Matches!$B:$B,$B16)+COUNTIF(Matches!$C:$C,$B16)</f>
        <v>0</v>
      </c>
      <c r="I16" s="342">
        <f>COUNTIF(Matches!$B:$B,B16)</f>
        <v>0</v>
      </c>
      <c r="J16" s="79">
        <f t="shared" si="2"/>
        <v>0</v>
      </c>
      <c r="K16" s="1" t="str">
        <f t="shared" si="3"/>
        <v>0 - 0</v>
      </c>
      <c r="L16" s="343">
        <f>COUNTIF(Entropy!$D:$D,$B16)</f>
        <v>0</v>
      </c>
      <c r="M16" s="344">
        <f t="shared" si="4"/>
        <v>0</v>
      </c>
      <c r="N16" s="344">
        <f t="shared" si="5"/>
        <v>0</v>
      </c>
      <c r="O16" s="341">
        <f>IF($J16=11,0,IF(AND($H16 &gt;=VLOOKUP(Standings!$C$2,Quotas!$A$7:$E$14,4,FALSE), $H16&lt;=VLOOKUP(Standings!$C$2,Quotas!$A$7:$E$14,5,FALSE)), 0,VLOOKUP(Standings!$C$2,Quotas!$A$7:$E$14,4,FALSE)-$H16))</f>
        <v>30</v>
      </c>
      <c r="P16" s="341">
        <f>IF($J16=11,0,IF(AND($H16 &gt;=VLOOKUP(Standings!$C$2,Quotas!$A$7:$E$14,5,FALSE), $H16&lt;=VLOOKUP(Standings!$C$2,Quotas!$A$7:$E$14,5,FALSE)), 0,VLOOKUP(Standings!$C$2,Quotas!$A$7:$E$14,5,FALSE)-$H16))</f>
        <v>30</v>
      </c>
      <c r="Q16" s="79">
        <f t="shared" si="6"/>
        <v>11</v>
      </c>
      <c r="R16" s="345" t="str">
        <f t="shared" si="7"/>
        <v/>
      </c>
      <c r="S16" s="344">
        <f t="shared" si="8"/>
        <v>0.33</v>
      </c>
      <c r="T16" s="345" t="str">
        <f>IFERROR(__xludf.DUMMYFUNCTION("JOIN("","",IFERROR(FILTER(Matches!$B:$B,B16=Matches!$C:$C),""""),IFERROR(FILTER(Matches!$C:$C,B16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6" s="344">
        <f>IFERROR(__xludf.DUMMYFUNCTION("iferror(AVERAGE(ARRAYFORMULA(VLOOKUP(SPLIT(T16,"","",TRUE,TRUE),$R$2:$S654,2,FALSE))),0)"),0.0)</f>
        <v>0</v>
      </c>
      <c r="V16" s="346">
        <f>IFERROR(__xludf.DUMMYFUNCTION("RANK($I16, $I$2:$I654, FALSE) + RANK($M16, Filter($M$2:$M654, $I$2:$I654=$I16),FALSE)+RANK($U16, Filter($U$2:$U654, $I$2:$I654=$I16,$M$2:$M654=$M16),FALSE)-2"),1.0)</f>
        <v>1</v>
      </c>
      <c r="W16" s="347" t="str">
        <f t="shared" si="9"/>
        <v>Underplay</v>
      </c>
      <c r="X16" s="348" t="str">
        <f t="shared" si="10"/>
        <v/>
      </c>
      <c r="Y16" s="349">
        <f>MAXIFS(Matches!$A:$A,Matches!$C:$C,$B16)</f>
        <v>0</v>
      </c>
      <c r="Z16" s="349">
        <f t="array" ref="Z16">XLOOKUP(Y16,Quotas!$B$7:$B$10,Quotas!$A$7:$A$10,0,-1)</f>
        <v>0</v>
      </c>
      <c r="AB16" s="79"/>
      <c r="AC16" s="79">
        <f>COUNTIFS(Matches!$A:$A,"&gt;"&amp;Y16,Matches!$B:$B,$B16)</f>
        <v>0</v>
      </c>
      <c r="AD16" s="79"/>
      <c r="AE16" s="31" t="str">
        <f t="array" ref="AE16">XLOOKUP(B16, 'College List'!A:A, 'College List'!B:B)</f>
        <v>#N/A</v>
      </c>
      <c r="AF16" s="15">
        <v>9.0</v>
      </c>
    </row>
    <row r="17">
      <c r="A17" s="9">
        <f t="shared" si="1"/>
        <v>1</v>
      </c>
      <c r="C17" s="350"/>
      <c r="D17" s="93"/>
      <c r="E17" s="1"/>
      <c r="F17" s="1"/>
      <c r="G17" s="1"/>
      <c r="H17" s="341">
        <f>COUNTIF(Entropy!$D:$D,$B17)+COUNTIF(Matches!$B:$B,$B17)+COUNTIF(Matches!$C:$C,$B17)</f>
        <v>0</v>
      </c>
      <c r="I17" s="342">
        <f>COUNTIF(Matches!$B:$B,B17)</f>
        <v>0</v>
      </c>
      <c r="J17" s="79">
        <f t="shared" si="2"/>
        <v>0</v>
      </c>
      <c r="K17" s="1" t="str">
        <f t="shared" si="3"/>
        <v>0 - 0</v>
      </c>
      <c r="L17" s="343">
        <f>COUNTIF(Entropy!$D:$D,$B17)</f>
        <v>0</v>
      </c>
      <c r="M17" s="344">
        <f t="shared" si="4"/>
        <v>0</v>
      </c>
      <c r="N17" s="344">
        <f t="shared" si="5"/>
        <v>0</v>
      </c>
      <c r="O17" s="341">
        <f>IF($J17=11,0,IF(AND($H17 &gt;=VLOOKUP(Standings!$C$2,Quotas!$A$7:$E$14,4,FALSE), $H17&lt;=VLOOKUP(Standings!$C$2,Quotas!$A$7:$E$14,5,FALSE)), 0,VLOOKUP(Standings!$C$2,Quotas!$A$7:$E$14,4,FALSE)-$H17))</f>
        <v>30</v>
      </c>
      <c r="P17" s="341">
        <f>IF($J17=11,0,IF(AND($H17 &gt;=VLOOKUP(Standings!$C$2,Quotas!$A$7:$E$14,5,FALSE), $H17&lt;=VLOOKUP(Standings!$C$2,Quotas!$A$7:$E$14,5,FALSE)), 0,VLOOKUP(Standings!$C$2,Quotas!$A$7:$E$14,5,FALSE)-$H17))</f>
        <v>30</v>
      </c>
      <c r="Q17" s="79">
        <f t="shared" si="6"/>
        <v>11</v>
      </c>
      <c r="R17" s="345" t="str">
        <f t="shared" si="7"/>
        <v/>
      </c>
      <c r="S17" s="344">
        <f t="shared" si="8"/>
        <v>0.33</v>
      </c>
      <c r="T17" s="345" t="str">
        <f>IFERROR(__xludf.DUMMYFUNCTION("JOIN("","",IFERROR(FILTER(Matches!$B:$B,B17=Matches!$C:$C),""""),IFERROR(FILTER(Matches!$C:$C,B17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7" s="344">
        <f>IFERROR(__xludf.DUMMYFUNCTION("iferror(AVERAGE(ARRAYFORMULA(VLOOKUP(SPLIT(T17,"","",TRUE,TRUE),$R$2:$S654,2,FALSE))),0)"),0.0)</f>
        <v>0</v>
      </c>
      <c r="V17" s="346">
        <f>IFERROR(__xludf.DUMMYFUNCTION("RANK($I17, $I$2:$I654, FALSE) + RANK($M17, Filter($M$2:$M654, $I$2:$I654=$I17),FALSE)+RANK($U17, Filter($U$2:$U654, $I$2:$I654=$I17,$M$2:$M654=$M17),FALSE)-2"),1.0)</f>
        <v>1</v>
      </c>
      <c r="W17" s="347" t="str">
        <f t="shared" si="9"/>
        <v>Underplay</v>
      </c>
      <c r="X17" s="348" t="str">
        <f t="shared" si="10"/>
        <v/>
      </c>
      <c r="Y17" s="349">
        <f>MAXIFS(Matches!$A:$A,Matches!$C:$C,$B17)</f>
        <v>0</v>
      </c>
      <c r="Z17" s="349">
        <f t="array" ref="Z17">XLOOKUP(Y17,Quotas!$B$7:$B$10,Quotas!$A$7:$A$10,0,-1)</f>
        <v>0</v>
      </c>
      <c r="AB17" s="79"/>
      <c r="AC17" s="79">
        <f>COUNTIFS(Matches!$A:$A,"&gt;"&amp;Y17,Matches!$B:$B,$B17)</f>
        <v>0</v>
      </c>
      <c r="AD17" s="79"/>
      <c r="AE17" s="31" t="str">
        <f t="array" ref="AE17">XLOOKUP(B17, 'College List'!A:A, 'College List'!B:B)</f>
        <v>#N/A</v>
      </c>
      <c r="AF17" s="15">
        <v>7.0</v>
      </c>
    </row>
    <row r="18">
      <c r="A18" s="9">
        <f t="shared" si="1"/>
        <v>1</v>
      </c>
      <c r="C18" s="350"/>
      <c r="D18" s="93"/>
      <c r="E18" s="1"/>
      <c r="F18" s="1"/>
      <c r="G18" s="1"/>
      <c r="H18" s="341">
        <f>COUNTIF(Entropy!$D:$D,$B18)+COUNTIF(Matches!$B:$B,$B18)+COUNTIF(Matches!$C:$C,$B18)</f>
        <v>0</v>
      </c>
      <c r="I18" s="342">
        <f>COUNTIF(Matches!$B:$B,B18)</f>
        <v>0</v>
      </c>
      <c r="J18" s="79">
        <f t="shared" si="2"/>
        <v>0</v>
      </c>
      <c r="K18" s="1" t="str">
        <f t="shared" si="3"/>
        <v>0 - 0</v>
      </c>
      <c r="L18" s="343">
        <f>COUNTIF(Entropy!$D:$D,$B18)</f>
        <v>0</v>
      </c>
      <c r="M18" s="344">
        <f t="shared" si="4"/>
        <v>0</v>
      </c>
      <c r="N18" s="344">
        <f t="shared" si="5"/>
        <v>0</v>
      </c>
      <c r="O18" s="341">
        <f>IF($J18=11,0,IF(AND($H18 &gt;=VLOOKUP(Standings!$C$2,Quotas!$A$7:$E$14,4,FALSE), $H18&lt;=VLOOKUP(Standings!$C$2,Quotas!$A$7:$E$14,5,FALSE)), 0,VLOOKUP(Standings!$C$2,Quotas!$A$7:$E$14,4,FALSE)-$H18))</f>
        <v>30</v>
      </c>
      <c r="P18" s="341">
        <f>IF($J18=11,0,IF(AND($H18 &gt;=VLOOKUP(Standings!$C$2,Quotas!$A$7:$E$14,5,FALSE), $H18&lt;=VLOOKUP(Standings!$C$2,Quotas!$A$7:$E$14,5,FALSE)), 0,VLOOKUP(Standings!$C$2,Quotas!$A$7:$E$14,5,FALSE)-$H18))</f>
        <v>30</v>
      </c>
      <c r="Q18" s="79">
        <f t="shared" si="6"/>
        <v>11</v>
      </c>
      <c r="R18" s="345" t="str">
        <f t="shared" si="7"/>
        <v/>
      </c>
      <c r="S18" s="344">
        <f t="shared" si="8"/>
        <v>0.33</v>
      </c>
      <c r="T18" s="345" t="str">
        <f>IFERROR(__xludf.DUMMYFUNCTION("JOIN("","",IFERROR(FILTER(Matches!$B:$B,B18=Matches!$C:$C),""""),IFERROR(FILTER(Matches!$C:$C,B18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8" s="344">
        <f>IFERROR(__xludf.DUMMYFUNCTION("iferror(AVERAGE(ARRAYFORMULA(VLOOKUP(SPLIT(T18,"","",TRUE,TRUE),$R$2:$S654,2,FALSE))),0)"),0.0)</f>
        <v>0</v>
      </c>
      <c r="V18" s="346">
        <f>IFERROR(__xludf.DUMMYFUNCTION("RANK($I18, $I$2:$I654, FALSE) + RANK($M18, Filter($M$2:$M654, $I$2:$I654=$I18),FALSE)+RANK($U18, Filter($U$2:$U654, $I$2:$I654=$I18,$M$2:$M654=$M18),FALSE)-2"),1.0)</f>
        <v>1</v>
      </c>
      <c r="W18" s="347" t="str">
        <f t="shared" si="9"/>
        <v>Underplay</v>
      </c>
      <c r="X18" s="348" t="str">
        <f t="shared" si="10"/>
        <v/>
      </c>
      <c r="Y18" s="349">
        <f>MAXIFS(Matches!$A:$A,Matches!$C:$C,$B18)</f>
        <v>0</v>
      </c>
      <c r="Z18" s="349">
        <f t="array" ref="Z18">XLOOKUP(Y18,Quotas!$B$7:$B$10,Quotas!$A$7:$A$10,0,-1)</f>
        <v>0</v>
      </c>
      <c r="AB18" s="79"/>
      <c r="AC18" s="79">
        <f>COUNTIFS(Matches!$A:$A,"&gt;"&amp;Y18,Matches!$B:$B,$B18)</f>
        <v>0</v>
      </c>
      <c r="AD18" s="79"/>
      <c r="AE18" s="31" t="str">
        <f t="array" ref="AE18">XLOOKUP(B18, 'College List'!A:A, 'College List'!B:B)</f>
        <v>#N/A</v>
      </c>
    </row>
    <row r="19">
      <c r="A19" s="9">
        <f t="shared" si="1"/>
        <v>1</v>
      </c>
      <c r="C19" s="350"/>
      <c r="D19" s="93"/>
      <c r="E19" s="1"/>
      <c r="F19" s="1"/>
      <c r="G19" s="1"/>
      <c r="H19" s="341">
        <f>COUNTIF(Entropy!$D:$D,$B19)+COUNTIF(Matches!$B:$B,$B19)+COUNTIF(Matches!$C:$C,$B19)</f>
        <v>0</v>
      </c>
      <c r="I19" s="342">
        <f>COUNTIF(Matches!$B:$B,B19)</f>
        <v>0</v>
      </c>
      <c r="J19" s="79">
        <f t="shared" si="2"/>
        <v>0</v>
      </c>
      <c r="K19" s="1" t="str">
        <f t="shared" si="3"/>
        <v>0 - 0</v>
      </c>
      <c r="L19" s="343">
        <f>COUNTIF(Entropy!$D:$D,$B19)</f>
        <v>0</v>
      </c>
      <c r="M19" s="344">
        <f t="shared" si="4"/>
        <v>0</v>
      </c>
      <c r="N19" s="344">
        <f t="shared" si="5"/>
        <v>0</v>
      </c>
      <c r="O19" s="341">
        <f>IF($J19=11,0,IF(AND($H19 &gt;=VLOOKUP(Standings!$C$2,Quotas!$A$7:$E$14,4,FALSE), $H19&lt;=VLOOKUP(Standings!$C$2,Quotas!$A$7:$E$14,5,FALSE)), 0,VLOOKUP(Standings!$C$2,Quotas!$A$7:$E$14,4,FALSE)-$H19))</f>
        <v>30</v>
      </c>
      <c r="P19" s="341">
        <f>IF($J19=11,0,IF(AND($H19 &gt;=VLOOKUP(Standings!$C$2,Quotas!$A$7:$E$14,5,FALSE), $H19&lt;=VLOOKUP(Standings!$C$2,Quotas!$A$7:$E$14,5,FALSE)), 0,VLOOKUP(Standings!$C$2,Quotas!$A$7:$E$14,5,FALSE)-$H19))</f>
        <v>30</v>
      </c>
      <c r="Q19" s="79">
        <f t="shared" si="6"/>
        <v>11</v>
      </c>
      <c r="R19" s="345" t="str">
        <f t="shared" si="7"/>
        <v/>
      </c>
      <c r="S19" s="344">
        <f t="shared" si="8"/>
        <v>0.33</v>
      </c>
      <c r="T19" s="345" t="str">
        <f>IFERROR(__xludf.DUMMYFUNCTION("JOIN("","",IFERROR(FILTER(Matches!$B:$B,B19=Matches!$C:$C),""""),IFERROR(FILTER(Matches!$C:$C,B19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9" s="344">
        <f>IFERROR(__xludf.DUMMYFUNCTION("iferror(AVERAGE(ARRAYFORMULA(VLOOKUP(SPLIT(T19,"","",TRUE,TRUE),$R$2:$S654,2,FALSE))),0)"),0.0)</f>
        <v>0</v>
      </c>
      <c r="V19" s="346">
        <f>IFERROR(__xludf.DUMMYFUNCTION("RANK($I19, $I$2:$I654, FALSE) + RANK($M19, Filter($M$2:$M654, $I$2:$I654=$I19),FALSE)+RANK($U19, Filter($U$2:$U654, $I$2:$I654=$I19,$M$2:$M654=$M19),FALSE)-2"),1.0)</f>
        <v>1</v>
      </c>
      <c r="W19" s="347" t="str">
        <f t="shared" si="9"/>
        <v>Underplay</v>
      </c>
      <c r="X19" s="348" t="str">
        <f t="shared" si="10"/>
        <v/>
      </c>
      <c r="Y19" s="349">
        <f>MAXIFS(Matches!$A:$A,Matches!$C:$C,$B19)</f>
        <v>0</v>
      </c>
      <c r="Z19" s="349">
        <f t="array" ref="Z19">XLOOKUP(Y19,Quotas!$B$7:$B$10,Quotas!$A$7:$A$10,0,-1)</f>
        <v>0</v>
      </c>
      <c r="AB19" s="79"/>
      <c r="AC19" s="79">
        <f>COUNTIFS(Matches!$A:$A,"&gt;"&amp;Y19,Matches!$B:$B,$B19)</f>
        <v>0</v>
      </c>
      <c r="AD19" s="79"/>
      <c r="AE19" s="31" t="str">
        <f t="array" ref="AE19">XLOOKUP(B19, 'College List'!A:A, 'College List'!B:B)</f>
        <v>#N/A</v>
      </c>
      <c r="AF19" s="15">
        <v>10.0</v>
      </c>
    </row>
    <row r="20">
      <c r="A20" s="9">
        <f t="shared" si="1"/>
        <v>1</v>
      </c>
      <c r="C20" s="350"/>
      <c r="D20" s="93"/>
      <c r="E20" s="1"/>
      <c r="F20" s="1"/>
      <c r="G20" s="1"/>
      <c r="H20" s="341">
        <f>COUNTIF(Entropy!$D:$D,$B20)+COUNTIF(Matches!$B:$B,$B20)+COUNTIF(Matches!$C:$C,$B20)</f>
        <v>0</v>
      </c>
      <c r="I20" s="342">
        <f>COUNTIF(Matches!$B:$B,B20)</f>
        <v>0</v>
      </c>
      <c r="J20" s="79">
        <f t="shared" si="2"/>
        <v>0</v>
      </c>
      <c r="K20" s="1" t="str">
        <f t="shared" si="3"/>
        <v>0 - 0</v>
      </c>
      <c r="L20" s="343">
        <f>COUNTIF(Entropy!$D:$D,$B20)</f>
        <v>0</v>
      </c>
      <c r="M20" s="344">
        <f t="shared" si="4"/>
        <v>0</v>
      </c>
      <c r="N20" s="344">
        <f t="shared" si="5"/>
        <v>0</v>
      </c>
      <c r="O20" s="341">
        <f>IF($J20=11,0,IF(AND($H20 &gt;=VLOOKUP(Standings!$C$2,Quotas!$A$7:$E$14,4,FALSE), $H20&lt;=VLOOKUP(Standings!$C$2,Quotas!$A$7:$E$14,5,FALSE)), 0,VLOOKUP(Standings!$C$2,Quotas!$A$7:$E$14,4,FALSE)-$H20))</f>
        <v>30</v>
      </c>
      <c r="P20" s="341">
        <f>IF($J20=11,0,IF(AND($H20 &gt;=VLOOKUP(Standings!$C$2,Quotas!$A$7:$E$14,5,FALSE), $H20&lt;=VLOOKUP(Standings!$C$2,Quotas!$A$7:$E$14,5,FALSE)), 0,VLOOKUP(Standings!$C$2,Quotas!$A$7:$E$14,5,FALSE)-$H20))</f>
        <v>30</v>
      </c>
      <c r="Q20" s="79">
        <f t="shared" si="6"/>
        <v>11</v>
      </c>
      <c r="R20" s="345" t="str">
        <f t="shared" si="7"/>
        <v/>
      </c>
      <c r="S20" s="344">
        <f t="shared" si="8"/>
        <v>0.33</v>
      </c>
      <c r="T20" s="345" t="str">
        <f>IFERROR(__xludf.DUMMYFUNCTION("JOIN("","",IFERROR(FILTER(Matches!$B:$B,B20=Matches!$C:$C),""""),IFERROR(FILTER(Matches!$C:$C,B20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0" s="344">
        <f>IFERROR(__xludf.DUMMYFUNCTION("iferror(AVERAGE(ARRAYFORMULA(VLOOKUP(SPLIT(T20,"","",TRUE,TRUE),$R$2:$S654,2,FALSE))),0)"),0.0)</f>
        <v>0</v>
      </c>
      <c r="V20" s="346">
        <f>IFERROR(__xludf.DUMMYFUNCTION("RANK($I20, $I$2:$I654, FALSE) + RANK($M20, Filter($M$2:$M654, $I$2:$I654=$I20),FALSE)+RANK($U20, Filter($U$2:$U654, $I$2:$I654=$I20,$M$2:$M654=$M20),FALSE)-2"),1.0)</f>
        <v>1</v>
      </c>
      <c r="W20" s="347" t="str">
        <f t="shared" si="9"/>
        <v>Underplay</v>
      </c>
      <c r="X20" s="348" t="str">
        <f t="shared" si="10"/>
        <v/>
      </c>
      <c r="Y20" s="349">
        <f>MAXIFS(Matches!$A:$A,Matches!$C:$C,$B20)</f>
        <v>0</v>
      </c>
      <c r="Z20" s="349">
        <f t="array" ref="Z20">XLOOKUP(Y20,Quotas!$B$7:$B$10,Quotas!$A$7:$A$10,0,-1)</f>
        <v>0</v>
      </c>
      <c r="AB20" s="79"/>
      <c r="AC20" s="79">
        <f>COUNTIFS(Matches!$A:$A,"&gt;"&amp;Y20,Matches!$B:$B,$B20)</f>
        <v>0</v>
      </c>
      <c r="AD20" s="79"/>
      <c r="AE20" s="31" t="str">
        <f t="array" ref="AE20">XLOOKUP(B20, 'College List'!A:A, 'College List'!B:B)</f>
        <v>#N/A</v>
      </c>
      <c r="AF20" s="15">
        <v>7.0</v>
      </c>
    </row>
    <row r="21">
      <c r="A21" s="9">
        <f t="shared" si="1"/>
        <v>1</v>
      </c>
      <c r="C21" s="350"/>
      <c r="D21" s="93"/>
      <c r="E21" s="1"/>
      <c r="F21" s="1"/>
      <c r="G21" s="1"/>
      <c r="H21" s="341">
        <f>COUNTIF(Entropy!$D:$D,$B21)+COUNTIF(Matches!$B:$B,$B21)+COUNTIF(Matches!$C:$C,$B21)</f>
        <v>0</v>
      </c>
      <c r="I21" s="342">
        <f>COUNTIF(Matches!$B:$B,B21)</f>
        <v>0</v>
      </c>
      <c r="J21" s="79">
        <f t="shared" si="2"/>
        <v>0</v>
      </c>
      <c r="K21" s="1" t="str">
        <f t="shared" si="3"/>
        <v>0 - 0</v>
      </c>
      <c r="L21" s="343">
        <f>COUNTIF(Entropy!$D:$D,$B21)</f>
        <v>0</v>
      </c>
      <c r="M21" s="344">
        <f t="shared" si="4"/>
        <v>0</v>
      </c>
      <c r="N21" s="344">
        <f t="shared" si="5"/>
        <v>0</v>
      </c>
      <c r="O21" s="341">
        <f>IF($J21=11,0,IF(AND($H21 &gt;=VLOOKUP(Standings!$C$2,Quotas!$A$7:$E$14,4,FALSE), $H21&lt;=VLOOKUP(Standings!$C$2,Quotas!$A$7:$E$14,5,FALSE)), 0,VLOOKUP(Standings!$C$2,Quotas!$A$7:$E$14,4,FALSE)-$H21))</f>
        <v>30</v>
      </c>
      <c r="P21" s="341">
        <f>IF($J21=11,0,IF(AND($H21 &gt;=VLOOKUP(Standings!$C$2,Quotas!$A$7:$E$14,5,FALSE), $H21&lt;=VLOOKUP(Standings!$C$2,Quotas!$A$7:$E$14,5,FALSE)), 0,VLOOKUP(Standings!$C$2,Quotas!$A$7:$E$14,5,FALSE)-$H21))</f>
        <v>30</v>
      </c>
      <c r="Q21" s="79">
        <f t="shared" si="6"/>
        <v>11</v>
      </c>
      <c r="R21" s="345" t="str">
        <f t="shared" si="7"/>
        <v/>
      </c>
      <c r="S21" s="344">
        <f t="shared" si="8"/>
        <v>0.33</v>
      </c>
      <c r="T21" s="345" t="str">
        <f>IFERROR(__xludf.DUMMYFUNCTION("JOIN("","",IFERROR(FILTER(Matches!$B:$B,B21=Matches!$C:$C),""""),IFERROR(FILTER(Matches!$C:$C,B21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1" s="344">
        <f>IFERROR(__xludf.DUMMYFUNCTION("iferror(AVERAGE(ARRAYFORMULA(VLOOKUP(SPLIT(T21,"","",TRUE,TRUE),$R$2:$S654,2,FALSE))),0)"),0.0)</f>
        <v>0</v>
      </c>
      <c r="V21" s="346">
        <f>IFERROR(__xludf.DUMMYFUNCTION("RANK($I21, $I$2:$I654, FALSE) + RANK($M21, Filter($M$2:$M654, $I$2:$I654=$I21),FALSE)+RANK($U21, Filter($U$2:$U654, $I$2:$I654=$I21,$M$2:$M654=$M21),FALSE)-2"),1.0)</f>
        <v>1</v>
      </c>
      <c r="W21" s="347" t="str">
        <f t="shared" si="9"/>
        <v>Underplay</v>
      </c>
      <c r="X21" s="348" t="str">
        <f t="shared" si="10"/>
        <v/>
      </c>
      <c r="Y21" s="349">
        <f>MAXIFS(Matches!$A:$A,Matches!$C:$C,$B21)</f>
        <v>0</v>
      </c>
      <c r="Z21" s="349">
        <f t="array" ref="Z21">XLOOKUP(Y21,Quotas!$B$7:$B$10,Quotas!$A$7:$A$10,0,-1)</f>
        <v>0</v>
      </c>
      <c r="AB21" s="79"/>
      <c r="AC21" s="79">
        <f>COUNTIFS(Matches!$A:$A,"&gt;"&amp;Y21,Matches!$B:$B,$B21)</f>
        <v>0</v>
      </c>
      <c r="AD21" s="79"/>
      <c r="AE21" s="31" t="str">
        <f t="array" ref="AE21">XLOOKUP(B21, 'College List'!A:A, 'College List'!B:B)</f>
        <v>#N/A</v>
      </c>
      <c r="AF21" s="15">
        <v>9.0</v>
      </c>
    </row>
    <row r="22">
      <c r="A22" s="9">
        <f t="shared" si="1"/>
        <v>1</v>
      </c>
      <c r="C22" s="350"/>
      <c r="D22" s="93"/>
      <c r="E22" s="1"/>
      <c r="F22" s="1"/>
      <c r="G22" s="1"/>
      <c r="H22" s="341">
        <f>COUNTIF(Entropy!$D:$D,$B22)+COUNTIF(Matches!$B:$B,$B22)+COUNTIF(Matches!$C:$C,$B22)</f>
        <v>0</v>
      </c>
      <c r="I22" s="342">
        <f>COUNTIF(Matches!$B:$B,B22)</f>
        <v>0</v>
      </c>
      <c r="J22" s="79">
        <f t="shared" si="2"/>
        <v>0</v>
      </c>
      <c r="K22" s="1" t="str">
        <f t="shared" si="3"/>
        <v>0 - 0</v>
      </c>
      <c r="L22" s="343">
        <f>COUNTIF(Entropy!$D:$D,$B22)</f>
        <v>0</v>
      </c>
      <c r="M22" s="344">
        <f t="shared" si="4"/>
        <v>0</v>
      </c>
      <c r="N22" s="344">
        <f t="shared" si="5"/>
        <v>0</v>
      </c>
      <c r="O22" s="341">
        <f>IF($J22=11,0,IF(AND($H22 &gt;=VLOOKUP(Standings!$C$2,Quotas!$A$7:$E$14,4,FALSE), $H22&lt;=VLOOKUP(Standings!$C$2,Quotas!$A$7:$E$14,5,FALSE)), 0,VLOOKUP(Standings!$C$2,Quotas!$A$7:$E$14,4,FALSE)-$H22))</f>
        <v>30</v>
      </c>
      <c r="P22" s="341">
        <f>IF($J22=11,0,IF(AND($H22 &gt;=VLOOKUP(Standings!$C$2,Quotas!$A$7:$E$14,5,FALSE), $H22&lt;=VLOOKUP(Standings!$C$2,Quotas!$A$7:$E$14,5,FALSE)), 0,VLOOKUP(Standings!$C$2,Quotas!$A$7:$E$14,5,FALSE)-$H22))</f>
        <v>30</v>
      </c>
      <c r="Q22" s="79">
        <f t="shared" si="6"/>
        <v>11</v>
      </c>
      <c r="R22" s="345" t="str">
        <f t="shared" si="7"/>
        <v/>
      </c>
      <c r="S22" s="344">
        <f t="shared" si="8"/>
        <v>0.33</v>
      </c>
      <c r="T22" s="345" t="str">
        <f>IFERROR(__xludf.DUMMYFUNCTION("JOIN("","",IFERROR(FILTER(Matches!$B:$B,B22=Matches!$C:$C),""""),IFERROR(FILTER(Matches!$C:$C,B22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2" s="344">
        <f>IFERROR(__xludf.DUMMYFUNCTION("iferror(AVERAGE(ARRAYFORMULA(VLOOKUP(SPLIT(T22,"","",TRUE,TRUE),$R$2:$S654,2,FALSE))),0)"),0.0)</f>
        <v>0</v>
      </c>
      <c r="V22" s="346">
        <f>IFERROR(__xludf.DUMMYFUNCTION("RANK($I22, $I$2:$I654, FALSE) + RANK($M22, Filter($M$2:$M654, $I$2:$I654=$I22),FALSE)+RANK($U22, Filter($U$2:$U654, $I$2:$I654=$I22,$M$2:$M654=$M22),FALSE)-2"),1.0)</f>
        <v>1</v>
      </c>
      <c r="W22" s="347" t="str">
        <f t="shared" si="9"/>
        <v>Underplay</v>
      </c>
      <c r="X22" s="348" t="str">
        <f t="shared" si="10"/>
        <v/>
      </c>
      <c r="Y22" s="349">
        <f>MAXIFS(Matches!$A:$A,Matches!$C:$C,$B22)</f>
        <v>0</v>
      </c>
      <c r="Z22" s="349">
        <f t="array" ref="Z22">XLOOKUP(Y22,Quotas!$B$7:$B$10,Quotas!$A$7:$A$10,0,-1)</f>
        <v>0</v>
      </c>
      <c r="AB22" s="79"/>
      <c r="AC22" s="79">
        <f>COUNTIFS(Matches!$A:$A,"&gt;"&amp;Y22,Matches!$B:$B,$B22)</f>
        <v>0</v>
      </c>
      <c r="AD22" s="79"/>
      <c r="AE22" s="31" t="str">
        <f t="array" ref="AE22">XLOOKUP(B22, 'College List'!A:A, 'College List'!B:B)</f>
        <v>#N/A</v>
      </c>
      <c r="AF22" s="15">
        <v>9.0</v>
      </c>
    </row>
    <row r="23">
      <c r="A23" s="9">
        <f t="shared" si="1"/>
        <v>1</v>
      </c>
      <c r="C23" s="350"/>
      <c r="D23" s="93"/>
      <c r="E23" s="1"/>
      <c r="F23" s="1"/>
      <c r="G23" s="1"/>
      <c r="H23" s="341">
        <f>COUNTIF(Entropy!$D:$D,$B23)+COUNTIF(Matches!$B:$B,$B23)+COUNTIF(Matches!$C:$C,$B23)</f>
        <v>0</v>
      </c>
      <c r="I23" s="342">
        <f>COUNTIF(Matches!$B:$B,B23)</f>
        <v>0</v>
      </c>
      <c r="J23" s="79">
        <f t="shared" si="2"/>
        <v>0</v>
      </c>
      <c r="K23" s="1" t="str">
        <f t="shared" si="3"/>
        <v>0 - 0</v>
      </c>
      <c r="L23" s="343">
        <f>COUNTIF(Entropy!$D:$D,$B23)</f>
        <v>0</v>
      </c>
      <c r="M23" s="344">
        <f t="shared" si="4"/>
        <v>0</v>
      </c>
      <c r="N23" s="344">
        <f t="shared" si="5"/>
        <v>0</v>
      </c>
      <c r="O23" s="341">
        <f>IF($J23=11,0,IF(AND($H23 &gt;=VLOOKUP(Standings!$C$2,Quotas!$A$7:$E$14,4,FALSE), $H23&lt;=VLOOKUP(Standings!$C$2,Quotas!$A$7:$E$14,5,FALSE)), 0,VLOOKUP(Standings!$C$2,Quotas!$A$7:$E$14,4,FALSE)-$H23))</f>
        <v>30</v>
      </c>
      <c r="P23" s="341">
        <f>IF($J23=11,0,IF(AND($H23 &gt;=VLOOKUP(Standings!$C$2,Quotas!$A$7:$E$14,5,FALSE), $H23&lt;=VLOOKUP(Standings!$C$2,Quotas!$A$7:$E$14,5,FALSE)), 0,VLOOKUP(Standings!$C$2,Quotas!$A$7:$E$14,5,FALSE)-$H23))</f>
        <v>30</v>
      </c>
      <c r="Q23" s="79">
        <f t="shared" si="6"/>
        <v>11</v>
      </c>
      <c r="R23" s="345" t="str">
        <f t="shared" si="7"/>
        <v/>
      </c>
      <c r="S23" s="344">
        <f t="shared" si="8"/>
        <v>0.33</v>
      </c>
      <c r="T23" s="345" t="str">
        <f>IFERROR(__xludf.DUMMYFUNCTION("JOIN("","",IFERROR(FILTER(Matches!$B:$B,B23=Matches!$C:$C),""""),IFERROR(FILTER(Matches!$C:$C,B23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3" s="344">
        <f>IFERROR(__xludf.DUMMYFUNCTION("iferror(AVERAGE(ARRAYFORMULA(VLOOKUP(SPLIT(T23,"","",TRUE,TRUE),$R$2:$S654,2,FALSE))),0)"),0.0)</f>
        <v>0</v>
      </c>
      <c r="V23" s="346">
        <f>IFERROR(__xludf.DUMMYFUNCTION("RANK($I23, $I$2:$I654, FALSE) + RANK($M23, Filter($M$2:$M654, $I$2:$I654=$I23),FALSE)+RANK($U23, Filter($U$2:$U654, $I$2:$I654=$I23,$M$2:$M654=$M23),FALSE)-2"),1.0)</f>
        <v>1</v>
      </c>
      <c r="W23" s="347" t="str">
        <f t="shared" si="9"/>
        <v>Underplay</v>
      </c>
      <c r="X23" s="348" t="str">
        <f t="shared" si="10"/>
        <v/>
      </c>
      <c r="Y23" s="349">
        <f>MAXIFS(Matches!$A:$A,Matches!$C:$C,$B23)</f>
        <v>0</v>
      </c>
      <c r="Z23" s="349">
        <f t="array" ref="Z23">XLOOKUP(Y23,Quotas!$B$7:$B$10,Quotas!$A$7:$A$10,0,-1)</f>
        <v>0</v>
      </c>
      <c r="AB23" s="79"/>
      <c r="AC23" s="79">
        <f>COUNTIFS(Matches!$A:$A,"&gt;"&amp;Y23,Matches!$B:$B,$B23)</f>
        <v>0</v>
      </c>
      <c r="AD23" s="79"/>
      <c r="AE23" s="31" t="str">
        <f t="array" ref="AE23">XLOOKUP(B23, 'College List'!A:A, 'College List'!B:B)</f>
        <v>#N/A</v>
      </c>
      <c r="AF23" s="15">
        <v>9.0</v>
      </c>
    </row>
    <row r="24">
      <c r="A24" s="9">
        <f t="shared" si="1"/>
        <v>1</v>
      </c>
      <c r="C24" s="350"/>
      <c r="D24" s="93"/>
      <c r="E24" s="1"/>
      <c r="F24" s="1"/>
      <c r="G24" s="1"/>
      <c r="H24" s="341">
        <f>COUNTIF(Entropy!$D:$D,$B24)+COUNTIF(Matches!$B:$B,$B24)+COUNTIF(Matches!$C:$C,$B24)</f>
        <v>0</v>
      </c>
      <c r="I24" s="342">
        <f>COUNTIF(Matches!$B:$B,B24)</f>
        <v>0</v>
      </c>
      <c r="J24" s="79">
        <f t="shared" si="2"/>
        <v>0</v>
      </c>
      <c r="K24" s="1" t="str">
        <f t="shared" si="3"/>
        <v>0 - 0</v>
      </c>
      <c r="L24" s="343">
        <f>COUNTIF(Entropy!$D:$D,$B24)</f>
        <v>0</v>
      </c>
      <c r="M24" s="344">
        <f t="shared" si="4"/>
        <v>0</v>
      </c>
      <c r="N24" s="344">
        <f t="shared" si="5"/>
        <v>0</v>
      </c>
      <c r="O24" s="341">
        <f>IF($J24=11,0,IF(AND($H24 &gt;=VLOOKUP(Standings!$C$2,Quotas!$A$7:$E$14,4,FALSE), $H24&lt;=VLOOKUP(Standings!$C$2,Quotas!$A$7:$E$14,5,FALSE)), 0,VLOOKUP(Standings!$C$2,Quotas!$A$7:$E$14,4,FALSE)-$H24))</f>
        <v>30</v>
      </c>
      <c r="P24" s="341">
        <f>IF($J24=11,0,IF(AND($H24 &gt;=VLOOKUP(Standings!$C$2,Quotas!$A$7:$E$14,5,FALSE), $H24&lt;=VLOOKUP(Standings!$C$2,Quotas!$A$7:$E$14,5,FALSE)), 0,VLOOKUP(Standings!$C$2,Quotas!$A$7:$E$14,5,FALSE)-$H24))</f>
        <v>30</v>
      </c>
      <c r="Q24" s="79">
        <f t="shared" si="6"/>
        <v>11</v>
      </c>
      <c r="R24" s="345" t="str">
        <f t="shared" si="7"/>
        <v/>
      </c>
      <c r="S24" s="344">
        <f t="shared" si="8"/>
        <v>0.33</v>
      </c>
      <c r="T24" s="345" t="str">
        <f>IFERROR(__xludf.DUMMYFUNCTION("JOIN("","",IFERROR(FILTER(Matches!$B:$B,B24=Matches!$C:$C),""""),IFERROR(FILTER(Matches!$C:$C,B24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4" s="344">
        <f>IFERROR(__xludf.DUMMYFUNCTION("iferror(AVERAGE(ARRAYFORMULA(VLOOKUP(SPLIT(T24,"","",TRUE,TRUE),$R$2:$S654,2,FALSE))),0)"),0.0)</f>
        <v>0</v>
      </c>
      <c r="V24" s="346">
        <f>IFERROR(__xludf.DUMMYFUNCTION("RANK($I24, $I$2:$I654, FALSE) + RANK($M24, Filter($M$2:$M654, $I$2:$I654=$I24),FALSE)+RANK($U24, Filter($U$2:$U654, $I$2:$I654=$I24,$M$2:$M654=$M24),FALSE)-2"),1.0)</f>
        <v>1</v>
      </c>
      <c r="W24" s="347" t="str">
        <f t="shared" si="9"/>
        <v>Underplay</v>
      </c>
      <c r="X24" s="348" t="str">
        <f t="shared" si="10"/>
        <v/>
      </c>
      <c r="Y24" s="349">
        <f>MAXIFS(Matches!$A:$A,Matches!$C:$C,$B24)</f>
        <v>0</v>
      </c>
      <c r="Z24" s="349">
        <f t="array" ref="Z24">XLOOKUP(Y24,Quotas!$B$7:$B$10,Quotas!$A$7:$A$10,0,-1)</f>
        <v>0</v>
      </c>
      <c r="AB24" s="79"/>
      <c r="AC24" s="79">
        <f>COUNTIFS(Matches!$A:$A,"&gt;"&amp;Y24,Matches!$B:$B,$B24)</f>
        <v>0</v>
      </c>
      <c r="AD24" s="79"/>
      <c r="AE24" s="31" t="str">
        <f t="array" ref="AE24">XLOOKUP(B24, 'College List'!A:A, 'College List'!B:B)</f>
        <v>#N/A</v>
      </c>
      <c r="AF24" s="15">
        <v>9.0</v>
      </c>
    </row>
    <row r="25">
      <c r="A25" s="9">
        <f t="shared" si="1"/>
        <v>1</v>
      </c>
      <c r="C25" s="350"/>
      <c r="D25" s="93"/>
      <c r="E25" s="1"/>
      <c r="F25" s="1"/>
      <c r="G25" s="1"/>
      <c r="H25" s="341">
        <f>COUNTIF(Entropy!$D:$D,$B25)+COUNTIF(Matches!$B:$B,$B25)+COUNTIF(Matches!$C:$C,$B25)</f>
        <v>0</v>
      </c>
      <c r="I25" s="342">
        <f>COUNTIF(Matches!$B:$B,B25)</f>
        <v>0</v>
      </c>
      <c r="J25" s="79">
        <f t="shared" si="2"/>
        <v>0</v>
      </c>
      <c r="K25" s="1" t="str">
        <f t="shared" si="3"/>
        <v>0 - 0</v>
      </c>
      <c r="L25" s="343">
        <f>COUNTIF(Entropy!$D:$D,$B25)</f>
        <v>0</v>
      </c>
      <c r="M25" s="344">
        <f t="shared" si="4"/>
        <v>0</v>
      </c>
      <c r="N25" s="344">
        <f t="shared" si="5"/>
        <v>0</v>
      </c>
      <c r="O25" s="341">
        <f>IF($J25=11,0,IF(AND($H25 &gt;=VLOOKUP(Standings!$C$2,Quotas!$A$7:$E$14,4,FALSE), $H25&lt;=VLOOKUP(Standings!$C$2,Quotas!$A$7:$E$14,5,FALSE)), 0,VLOOKUP(Standings!$C$2,Quotas!$A$7:$E$14,4,FALSE)-$H25))</f>
        <v>30</v>
      </c>
      <c r="P25" s="341">
        <f>IF($J25=11,0,IF(AND($H25 &gt;=VLOOKUP(Standings!$C$2,Quotas!$A$7:$E$14,5,FALSE), $H25&lt;=VLOOKUP(Standings!$C$2,Quotas!$A$7:$E$14,5,FALSE)), 0,VLOOKUP(Standings!$C$2,Quotas!$A$7:$E$14,5,FALSE)-$H25))</f>
        <v>30</v>
      </c>
      <c r="Q25" s="79">
        <f t="shared" si="6"/>
        <v>11</v>
      </c>
      <c r="R25" s="345" t="str">
        <f t="shared" si="7"/>
        <v/>
      </c>
      <c r="S25" s="344">
        <f t="shared" si="8"/>
        <v>0.33</v>
      </c>
      <c r="T25" s="345" t="str">
        <f>IFERROR(__xludf.DUMMYFUNCTION("JOIN("","",IFERROR(FILTER(Matches!$B:$B,B25=Matches!$C:$C),""""),IFERROR(FILTER(Matches!$C:$C,B25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5" s="344">
        <f>IFERROR(__xludf.DUMMYFUNCTION("iferror(AVERAGE(ARRAYFORMULA(VLOOKUP(SPLIT(T25,"","",TRUE,TRUE),$R$2:$S654,2,FALSE))),0)"),0.0)</f>
        <v>0</v>
      </c>
      <c r="V25" s="346">
        <f>IFERROR(__xludf.DUMMYFUNCTION("RANK($I25, $I$2:$I654, FALSE) + RANK($M25, Filter($M$2:$M654, $I$2:$I654=$I25),FALSE)+RANK($U25, Filter($U$2:$U654, $I$2:$I654=$I25,$M$2:$M654=$M25),FALSE)-2"),1.0)</f>
        <v>1</v>
      </c>
      <c r="W25" s="347" t="str">
        <f t="shared" si="9"/>
        <v>Underplay</v>
      </c>
      <c r="X25" s="348" t="str">
        <f t="shared" si="10"/>
        <v/>
      </c>
      <c r="Y25" s="349">
        <f>MAXIFS(Matches!$A:$A,Matches!$C:$C,$B25)</f>
        <v>0</v>
      </c>
      <c r="Z25" s="349">
        <f t="array" ref="Z25">XLOOKUP(Y25,Quotas!$B$7:$B$10,Quotas!$A$7:$A$10,0,-1)</f>
        <v>0</v>
      </c>
      <c r="AB25" s="79"/>
      <c r="AC25" s="79">
        <f>COUNTIFS(Matches!$A:$A,"&gt;"&amp;Y25,Matches!$B:$B,$B25)</f>
        <v>0</v>
      </c>
      <c r="AD25" s="79"/>
      <c r="AE25" s="31" t="str">
        <f t="array" ref="AE25">XLOOKUP(B25, 'College List'!A:A, 'College List'!B:B)</f>
        <v>#N/A</v>
      </c>
      <c r="AF25" s="15">
        <v>9.0</v>
      </c>
    </row>
    <row r="26">
      <c r="A26" s="9">
        <f t="shared" si="1"/>
        <v>1</v>
      </c>
      <c r="C26" s="350"/>
      <c r="D26" s="93"/>
      <c r="E26" s="1"/>
      <c r="F26" s="1"/>
      <c r="G26" s="1"/>
      <c r="H26" s="341">
        <f>COUNTIF(Entropy!$D:$D,$B26)+COUNTIF(Matches!$B:$B,$B26)+COUNTIF(Matches!$C:$C,$B26)</f>
        <v>0</v>
      </c>
      <c r="I26" s="342">
        <f>COUNTIF(Matches!$B:$B,B26)</f>
        <v>0</v>
      </c>
      <c r="J26" s="79">
        <f t="shared" si="2"/>
        <v>0</v>
      </c>
      <c r="K26" s="1" t="str">
        <f t="shared" si="3"/>
        <v>0 - 0</v>
      </c>
      <c r="L26" s="343">
        <f>COUNTIF(Entropy!$D:$D,$B26)</f>
        <v>0</v>
      </c>
      <c r="M26" s="344">
        <f t="shared" si="4"/>
        <v>0</v>
      </c>
      <c r="N26" s="344">
        <f t="shared" si="5"/>
        <v>0</v>
      </c>
      <c r="O26" s="341">
        <f>IF($J26=11,0,IF(AND($H26 &gt;=VLOOKUP(Standings!$C$2,Quotas!$A$7:$E$14,4,FALSE), $H26&lt;=VLOOKUP(Standings!$C$2,Quotas!$A$7:$E$14,5,FALSE)), 0,VLOOKUP(Standings!$C$2,Quotas!$A$7:$E$14,4,FALSE)-$H26))</f>
        <v>30</v>
      </c>
      <c r="P26" s="341">
        <f>IF($J26=11,0,IF(AND($H26 &gt;=VLOOKUP(Standings!$C$2,Quotas!$A$7:$E$14,5,FALSE), $H26&lt;=VLOOKUP(Standings!$C$2,Quotas!$A$7:$E$14,5,FALSE)), 0,VLOOKUP(Standings!$C$2,Quotas!$A$7:$E$14,5,FALSE)-$H26))</f>
        <v>30</v>
      </c>
      <c r="Q26" s="79">
        <f t="shared" si="6"/>
        <v>11</v>
      </c>
      <c r="R26" s="345" t="str">
        <f t="shared" si="7"/>
        <v/>
      </c>
      <c r="S26" s="344">
        <f t="shared" si="8"/>
        <v>0.33</v>
      </c>
      <c r="T26" s="345" t="str">
        <f>IFERROR(__xludf.DUMMYFUNCTION("JOIN("","",IFERROR(FILTER(Matches!$B:$B,B26=Matches!$C:$C),""""),IFERROR(FILTER(Matches!$C:$C,B26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6" s="344">
        <f>IFERROR(__xludf.DUMMYFUNCTION("iferror(AVERAGE(ARRAYFORMULA(VLOOKUP(SPLIT(T26,"","",TRUE,TRUE),$R$2:$S654,2,FALSE))),0)"),0.0)</f>
        <v>0</v>
      </c>
      <c r="V26" s="346">
        <f>IFERROR(__xludf.DUMMYFUNCTION("RANK($I26, $I$2:$I654, FALSE) + RANK($M26, Filter($M$2:$M654, $I$2:$I654=$I26),FALSE)+RANK($U26, Filter($U$2:$U654, $I$2:$I654=$I26,$M$2:$M654=$M26),FALSE)-2"),1.0)</f>
        <v>1</v>
      </c>
      <c r="W26" s="347" t="str">
        <f t="shared" si="9"/>
        <v>Underplay</v>
      </c>
      <c r="X26" s="348" t="str">
        <f t="shared" si="10"/>
        <v/>
      </c>
      <c r="Y26" s="349">
        <f>MAXIFS(Matches!$A:$A,Matches!$C:$C,$B26)</f>
        <v>0</v>
      </c>
      <c r="Z26" s="349">
        <f t="array" ref="Z26">XLOOKUP(Y26,Quotas!$B$7:$B$10,Quotas!$A$7:$A$10,0,-1)</f>
        <v>0</v>
      </c>
      <c r="AB26" s="79"/>
      <c r="AC26" s="79">
        <f>COUNTIFS(Matches!$A:$A,"&gt;"&amp;Y26,Matches!$B:$B,$B26)</f>
        <v>0</v>
      </c>
      <c r="AD26" s="79"/>
      <c r="AE26" s="31" t="str">
        <f t="array" ref="AE26">XLOOKUP(B26, 'College List'!A:A, 'College List'!B:B)</f>
        <v>#N/A</v>
      </c>
      <c r="AF26" s="15">
        <v>9.0</v>
      </c>
    </row>
    <row r="27">
      <c r="A27" s="9">
        <f t="shared" si="1"/>
        <v>1</v>
      </c>
      <c r="C27" s="350"/>
      <c r="D27" s="93"/>
      <c r="E27" s="1"/>
      <c r="F27" s="1"/>
      <c r="G27" s="1"/>
      <c r="H27" s="341">
        <f>COUNTIF(Entropy!$D:$D,$B27)+COUNTIF(Matches!$B:$B,$B27)+COUNTIF(Matches!$C:$C,$B27)</f>
        <v>0</v>
      </c>
      <c r="I27" s="342">
        <f>COUNTIF(Matches!$B:$B,B27)</f>
        <v>0</v>
      </c>
      <c r="J27" s="79">
        <f t="shared" si="2"/>
        <v>0</v>
      </c>
      <c r="K27" s="1" t="str">
        <f t="shared" si="3"/>
        <v>0 - 0</v>
      </c>
      <c r="L27" s="343">
        <f>COUNTIF(Entropy!$D:$D,$B27)</f>
        <v>0</v>
      </c>
      <c r="M27" s="344">
        <f t="shared" si="4"/>
        <v>0</v>
      </c>
      <c r="N27" s="344">
        <f t="shared" si="5"/>
        <v>0</v>
      </c>
      <c r="O27" s="341">
        <f>IF($J27=11,0,IF(AND($H27 &gt;=VLOOKUP(Standings!$C$2,Quotas!$A$7:$E$14,4,FALSE), $H27&lt;=VLOOKUP(Standings!$C$2,Quotas!$A$7:$E$14,5,FALSE)), 0,VLOOKUP(Standings!$C$2,Quotas!$A$7:$E$14,4,FALSE)-$H27))</f>
        <v>30</v>
      </c>
      <c r="P27" s="341">
        <f>IF($J27=11,0,IF(AND($H27 &gt;=VLOOKUP(Standings!$C$2,Quotas!$A$7:$E$14,5,FALSE), $H27&lt;=VLOOKUP(Standings!$C$2,Quotas!$A$7:$E$14,5,FALSE)), 0,VLOOKUP(Standings!$C$2,Quotas!$A$7:$E$14,5,FALSE)-$H27))</f>
        <v>30</v>
      </c>
      <c r="Q27" s="79">
        <f t="shared" si="6"/>
        <v>11</v>
      </c>
      <c r="R27" s="345" t="str">
        <f t="shared" si="7"/>
        <v/>
      </c>
      <c r="S27" s="344">
        <f t="shared" si="8"/>
        <v>0.33</v>
      </c>
      <c r="T27" s="345" t="str">
        <f>IFERROR(__xludf.DUMMYFUNCTION("JOIN("","",IFERROR(FILTER(Matches!$B:$B,B27=Matches!$C:$C),""""),IFERROR(FILTER(Matches!$C:$C,B27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7" s="344">
        <f>IFERROR(__xludf.DUMMYFUNCTION("iferror(AVERAGE(ARRAYFORMULA(VLOOKUP(SPLIT(T27,"","",TRUE,TRUE),$R$2:$S654,2,FALSE))),0)"),0.0)</f>
        <v>0</v>
      </c>
      <c r="V27" s="346">
        <f>IFERROR(__xludf.DUMMYFUNCTION("RANK($I27, $I$2:$I654, FALSE) + RANK($M27, Filter($M$2:$M654, $I$2:$I654=$I27),FALSE)+RANK($U27, Filter($U$2:$U654, $I$2:$I654=$I27,$M$2:$M654=$M27),FALSE)-2"),1.0)</f>
        <v>1</v>
      </c>
      <c r="W27" s="347" t="str">
        <f t="shared" si="9"/>
        <v>Underplay</v>
      </c>
      <c r="X27" s="348" t="str">
        <f t="shared" si="10"/>
        <v/>
      </c>
      <c r="Y27" s="349">
        <f>MAXIFS(Matches!$A:$A,Matches!$C:$C,$B27)</f>
        <v>0</v>
      </c>
      <c r="Z27" s="349">
        <f t="array" ref="Z27">XLOOKUP(Y27,Quotas!$B$7:$B$10,Quotas!$A$7:$A$10,0,-1)</f>
        <v>0</v>
      </c>
      <c r="AB27" s="79"/>
      <c r="AC27" s="79">
        <f>COUNTIFS(Matches!$A:$A,"&gt;"&amp;Y27,Matches!$B:$B,$B27)</f>
        <v>0</v>
      </c>
      <c r="AD27" s="79"/>
      <c r="AE27" s="31" t="str">
        <f t="array" ref="AE27">XLOOKUP(B27, 'College List'!A:A, 'College List'!B:B)</f>
        <v>#N/A</v>
      </c>
      <c r="AF27" s="15">
        <v>7.0</v>
      </c>
    </row>
    <row r="28">
      <c r="A28" s="9">
        <f t="shared" si="1"/>
        <v>1</v>
      </c>
      <c r="C28" s="350"/>
      <c r="D28" s="93"/>
      <c r="E28" s="1"/>
      <c r="F28" s="1"/>
      <c r="G28" s="1"/>
      <c r="H28" s="341">
        <f>COUNTIF(Entropy!$D:$D,$B28)+COUNTIF(Matches!$B:$B,$B28)+COUNTIF(Matches!$C:$C,$B28)</f>
        <v>0</v>
      </c>
      <c r="I28" s="342">
        <f>COUNTIF(Matches!$B:$B,B28)</f>
        <v>0</v>
      </c>
      <c r="J28" s="79">
        <f t="shared" si="2"/>
        <v>0</v>
      </c>
      <c r="K28" s="1" t="str">
        <f t="shared" si="3"/>
        <v>0 - 0</v>
      </c>
      <c r="L28" s="343">
        <f>COUNTIF(Entropy!$D:$D,$B28)</f>
        <v>0</v>
      </c>
      <c r="M28" s="344">
        <f t="shared" si="4"/>
        <v>0</v>
      </c>
      <c r="N28" s="344">
        <f t="shared" si="5"/>
        <v>0</v>
      </c>
      <c r="O28" s="341">
        <f>IF($J28=11,0,IF(AND($H28 &gt;=VLOOKUP(Standings!$C$2,Quotas!$A$7:$E$14,4,FALSE), $H28&lt;=VLOOKUP(Standings!$C$2,Quotas!$A$7:$E$14,5,FALSE)), 0,VLOOKUP(Standings!$C$2,Quotas!$A$7:$E$14,4,FALSE)-$H28))</f>
        <v>30</v>
      </c>
      <c r="P28" s="341">
        <f>IF($J28=11,0,IF(AND($H28 &gt;=VLOOKUP(Standings!$C$2,Quotas!$A$7:$E$14,5,FALSE), $H28&lt;=VLOOKUP(Standings!$C$2,Quotas!$A$7:$E$14,5,FALSE)), 0,VLOOKUP(Standings!$C$2,Quotas!$A$7:$E$14,5,FALSE)-$H28))</f>
        <v>30</v>
      </c>
      <c r="Q28" s="79">
        <f t="shared" si="6"/>
        <v>11</v>
      </c>
      <c r="R28" s="345" t="str">
        <f t="shared" si="7"/>
        <v/>
      </c>
      <c r="S28" s="344">
        <f t="shared" si="8"/>
        <v>0.33</v>
      </c>
      <c r="T28" s="345" t="str">
        <f>IFERROR(__xludf.DUMMYFUNCTION("JOIN("","",IFERROR(FILTER(Matches!$B:$B,B28=Matches!$C:$C),""""),IFERROR(FILTER(Matches!$C:$C,B28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8" s="344">
        <f>IFERROR(__xludf.DUMMYFUNCTION("iferror(AVERAGE(ARRAYFORMULA(VLOOKUP(SPLIT(T28,"","",TRUE,TRUE),$R$2:$S654,2,FALSE))),0)"),0.0)</f>
        <v>0</v>
      </c>
      <c r="V28" s="346">
        <f>IFERROR(__xludf.DUMMYFUNCTION("RANK($I28, $I$2:$I654, FALSE) + RANK($M28, Filter($M$2:$M654, $I$2:$I654=$I28),FALSE)+RANK($U28, Filter($U$2:$U654, $I$2:$I654=$I28,$M$2:$M654=$M28),FALSE)-2"),1.0)</f>
        <v>1</v>
      </c>
      <c r="W28" s="347" t="str">
        <f t="shared" si="9"/>
        <v>Underplay</v>
      </c>
      <c r="X28" s="348" t="str">
        <f t="shared" si="10"/>
        <v/>
      </c>
      <c r="Y28" s="349">
        <f>MAXIFS(Matches!$A:$A,Matches!$C:$C,$B28)</f>
        <v>0</v>
      </c>
      <c r="Z28" s="349">
        <f t="array" ref="Z28">XLOOKUP(Y28,Quotas!$B$7:$B$10,Quotas!$A$7:$A$10,0,-1)</f>
        <v>0</v>
      </c>
      <c r="AB28" s="79"/>
      <c r="AC28" s="79">
        <f>COUNTIFS(Matches!$A:$A,"&gt;"&amp;Y28,Matches!$B:$B,$B28)</f>
        <v>0</v>
      </c>
      <c r="AD28" s="79"/>
      <c r="AE28" s="31" t="str">
        <f t="array" ref="AE28">XLOOKUP(B28, 'College List'!A:A, 'College List'!B:B)</f>
        <v>#N/A</v>
      </c>
      <c r="AF28" s="15">
        <v>9.0</v>
      </c>
    </row>
    <row r="29">
      <c r="A29" s="9">
        <f t="shared" si="1"/>
        <v>1</v>
      </c>
      <c r="C29" s="350"/>
      <c r="D29" s="93"/>
      <c r="E29" s="1"/>
      <c r="F29" s="1"/>
      <c r="G29" s="1"/>
      <c r="H29" s="341">
        <f>COUNTIF(Entropy!$D:$D,$B29)+COUNTIF(Matches!$B:$B,$B29)+COUNTIF(Matches!$C:$C,$B29)</f>
        <v>0</v>
      </c>
      <c r="I29" s="342">
        <f>COUNTIF(Matches!$B:$B,B29)</f>
        <v>0</v>
      </c>
      <c r="J29" s="79">
        <f t="shared" si="2"/>
        <v>0</v>
      </c>
      <c r="K29" s="1" t="str">
        <f t="shared" si="3"/>
        <v>0 - 0</v>
      </c>
      <c r="L29" s="343">
        <f>COUNTIF(Entropy!$D:$D,$B29)</f>
        <v>0</v>
      </c>
      <c r="M29" s="344">
        <f t="shared" si="4"/>
        <v>0</v>
      </c>
      <c r="N29" s="344">
        <f t="shared" si="5"/>
        <v>0</v>
      </c>
      <c r="O29" s="341">
        <f>IF($J29=11,0,IF(AND($H29 &gt;=VLOOKUP(Standings!$C$2,Quotas!$A$7:$E$14,4,FALSE), $H29&lt;=VLOOKUP(Standings!$C$2,Quotas!$A$7:$E$14,5,FALSE)), 0,VLOOKUP(Standings!$C$2,Quotas!$A$7:$E$14,4,FALSE)-$H29))</f>
        <v>30</v>
      </c>
      <c r="P29" s="341">
        <f>IF($J29=11,0,IF(AND($H29 &gt;=VLOOKUP(Standings!$C$2,Quotas!$A$7:$E$14,5,FALSE), $H29&lt;=VLOOKUP(Standings!$C$2,Quotas!$A$7:$E$14,5,FALSE)), 0,VLOOKUP(Standings!$C$2,Quotas!$A$7:$E$14,5,FALSE)-$H29))</f>
        <v>30</v>
      </c>
      <c r="Q29" s="79">
        <f t="shared" si="6"/>
        <v>11</v>
      </c>
      <c r="R29" s="345" t="str">
        <f t="shared" si="7"/>
        <v/>
      </c>
      <c r="S29" s="344">
        <f t="shared" si="8"/>
        <v>0.33</v>
      </c>
      <c r="T29" s="345" t="str">
        <f>IFERROR(__xludf.DUMMYFUNCTION("JOIN("","",IFERROR(FILTER(Matches!$B:$B,B29=Matches!$C:$C),""""),IFERROR(FILTER(Matches!$C:$C,B29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9" s="344">
        <f>IFERROR(__xludf.DUMMYFUNCTION("iferror(AVERAGE(ARRAYFORMULA(VLOOKUP(SPLIT(T29,"","",TRUE,TRUE),$R$2:$S654,2,FALSE))),0)"),0.0)</f>
        <v>0</v>
      </c>
      <c r="V29" s="346">
        <f>IFERROR(__xludf.DUMMYFUNCTION("RANK($I29, $I$2:$I654, FALSE) + RANK($M29, Filter($M$2:$M654, $I$2:$I654=$I29),FALSE)+RANK($U29, Filter($U$2:$U654, $I$2:$I654=$I29,$M$2:$M654=$M29),FALSE)-2"),1.0)</f>
        <v>1</v>
      </c>
      <c r="W29" s="347" t="str">
        <f t="shared" si="9"/>
        <v>Underplay</v>
      </c>
      <c r="X29" s="348" t="str">
        <f t="shared" si="10"/>
        <v/>
      </c>
      <c r="Y29" s="349">
        <f>MAXIFS(Matches!$A:$A,Matches!$C:$C,$B29)</f>
        <v>0</v>
      </c>
      <c r="Z29" s="349">
        <f t="array" ref="Z29">XLOOKUP(Y29,Quotas!$B$7:$B$10,Quotas!$A$7:$A$10,0,-1)</f>
        <v>0</v>
      </c>
      <c r="AB29" s="79"/>
      <c r="AC29" s="79">
        <f>COUNTIFS(Matches!$A:$A,"&gt;"&amp;Y29,Matches!$B:$B,$B29)</f>
        <v>0</v>
      </c>
      <c r="AD29" s="79"/>
      <c r="AE29" s="31" t="str">
        <f t="array" ref="AE29">XLOOKUP(B29, 'College List'!A:A, 'College List'!B:B)</f>
        <v>#N/A</v>
      </c>
      <c r="AF29" s="15">
        <v>9.0</v>
      </c>
    </row>
    <row r="30">
      <c r="A30" s="9">
        <f t="shared" si="1"/>
        <v>1</v>
      </c>
      <c r="C30" s="350"/>
      <c r="D30" s="93"/>
      <c r="E30" s="1"/>
      <c r="F30" s="1"/>
      <c r="G30" s="1"/>
      <c r="H30" s="341">
        <f>COUNTIF(Entropy!$D:$D,$B30)+COUNTIF(Matches!$B:$B,$B30)+COUNTIF(Matches!$C:$C,$B30)</f>
        <v>0</v>
      </c>
      <c r="I30" s="342">
        <f>COUNTIF(Matches!$B:$B,B30)</f>
        <v>0</v>
      </c>
      <c r="J30" s="79">
        <f t="shared" si="2"/>
        <v>0</v>
      </c>
      <c r="K30" s="1" t="str">
        <f t="shared" si="3"/>
        <v>0 - 0</v>
      </c>
      <c r="L30" s="343">
        <f>COUNTIF(Entropy!$D:$D,$B30)</f>
        <v>0</v>
      </c>
      <c r="M30" s="344">
        <f t="shared" si="4"/>
        <v>0</v>
      </c>
      <c r="N30" s="344">
        <f t="shared" si="5"/>
        <v>0</v>
      </c>
      <c r="O30" s="341">
        <f>IF($J30=11,0,IF(AND($H30 &gt;=VLOOKUP(Standings!$C$2,Quotas!$A$7:$E$14,4,FALSE), $H30&lt;=VLOOKUP(Standings!$C$2,Quotas!$A$7:$E$14,5,FALSE)), 0,VLOOKUP(Standings!$C$2,Quotas!$A$7:$E$14,4,FALSE)-$H30))</f>
        <v>30</v>
      </c>
      <c r="P30" s="341">
        <f>IF($J30=11,0,IF(AND($H30 &gt;=VLOOKUP(Standings!$C$2,Quotas!$A$7:$E$14,5,FALSE), $H30&lt;=VLOOKUP(Standings!$C$2,Quotas!$A$7:$E$14,5,FALSE)), 0,VLOOKUP(Standings!$C$2,Quotas!$A$7:$E$14,5,FALSE)-$H30))</f>
        <v>30</v>
      </c>
      <c r="Q30" s="79">
        <f t="shared" si="6"/>
        <v>11</v>
      </c>
      <c r="R30" s="345" t="str">
        <f t="shared" si="7"/>
        <v/>
      </c>
      <c r="S30" s="344">
        <f t="shared" si="8"/>
        <v>0.33</v>
      </c>
      <c r="T30" s="345" t="str">
        <f>IFERROR(__xludf.DUMMYFUNCTION("JOIN("","",IFERROR(FILTER(Matches!$B:$B,B30=Matches!$C:$C),""""),IFERROR(FILTER(Matches!$C:$C,B30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30" s="344">
        <f>IFERROR(__xludf.DUMMYFUNCTION("iferror(AVERAGE(ARRAYFORMULA(VLOOKUP(SPLIT(T30,"","",TRUE,TRUE),$R$2:$S654,2,FALSE))),0)"),0.0)</f>
        <v>0</v>
      </c>
      <c r="V30" s="346">
        <f>IFERROR(__xludf.DUMMYFUNCTION("RANK($I30, $I$2:$I654, FALSE) + RANK($M30, Filter($M$2:$M654, $I$2:$I654=$I30),FALSE)+RANK($U30, Filter($U$2:$U654, $I$2:$I654=$I30,$M$2:$M654=$M30),FALSE)-2"),1.0)</f>
        <v>1</v>
      </c>
      <c r="W30" s="347" t="str">
        <f t="shared" si="9"/>
        <v>Underplay</v>
      </c>
      <c r="X30" s="348" t="str">
        <f t="shared" si="10"/>
        <v/>
      </c>
      <c r="Y30" s="349">
        <f>MAXIFS(Matches!$A:$A,Matches!$C:$C,$B30)</f>
        <v>0</v>
      </c>
      <c r="Z30" s="349">
        <f t="array" ref="Z30">XLOOKUP(Y30,Quotas!$B$7:$B$10,Quotas!$A$7:$A$10,0,-1)</f>
        <v>0</v>
      </c>
      <c r="AB30" s="79"/>
      <c r="AC30" s="79">
        <f>COUNTIFS(Matches!$A:$A,"&gt;"&amp;Y30,Matches!$B:$B,$B30)</f>
        <v>0</v>
      </c>
      <c r="AD30" s="79"/>
      <c r="AE30" s="31" t="str">
        <f t="array" ref="AE30">XLOOKUP(B30, 'College List'!A:A, 'College List'!B:B)</f>
        <v>#N/A</v>
      </c>
      <c r="AF30" s="15">
        <v>9.0</v>
      </c>
    </row>
    <row r="31">
      <c r="A31" s="9">
        <f t="shared" si="1"/>
        <v>1</v>
      </c>
      <c r="C31" s="350"/>
      <c r="D31" s="93"/>
      <c r="E31" s="1"/>
      <c r="F31" s="1"/>
      <c r="G31" s="1"/>
      <c r="H31" s="341">
        <f>COUNTIF(Entropy!$D:$D,$B31)+COUNTIF(Matches!$B:$B,$B31)+COUNTIF(Matches!$C:$C,$B31)</f>
        <v>0</v>
      </c>
      <c r="I31" s="342">
        <f>COUNTIF(Matches!$B:$B,B31)</f>
        <v>0</v>
      </c>
      <c r="J31" s="79">
        <f t="shared" si="2"/>
        <v>0</v>
      </c>
      <c r="K31" s="1" t="str">
        <f t="shared" si="3"/>
        <v>0 - 0</v>
      </c>
      <c r="L31" s="343">
        <f>COUNTIF(Entropy!$D:$D,$B31)</f>
        <v>0</v>
      </c>
      <c r="M31" s="344">
        <f t="shared" si="4"/>
        <v>0</v>
      </c>
      <c r="N31" s="344">
        <f t="shared" si="5"/>
        <v>0</v>
      </c>
      <c r="O31" s="341">
        <f>IF($J31=11,0,IF(AND($H31 &gt;=VLOOKUP(Standings!$C$2,Quotas!$A$7:$E$14,4,FALSE), $H31&lt;=VLOOKUP(Standings!$C$2,Quotas!$A$7:$E$14,5,FALSE)), 0,VLOOKUP(Standings!$C$2,Quotas!$A$7:$E$14,4,FALSE)-$H31))</f>
        <v>30</v>
      </c>
      <c r="P31" s="341">
        <f>IF($J31=11,0,IF(AND($H31 &gt;=VLOOKUP(Standings!$C$2,Quotas!$A$7:$E$14,5,FALSE), $H31&lt;=VLOOKUP(Standings!$C$2,Quotas!$A$7:$E$14,5,FALSE)), 0,VLOOKUP(Standings!$C$2,Quotas!$A$7:$E$14,5,FALSE)-$H31))</f>
        <v>30</v>
      </c>
      <c r="Q31" s="79">
        <f t="shared" si="6"/>
        <v>11</v>
      </c>
      <c r="R31" s="345" t="str">
        <f t="shared" si="7"/>
        <v/>
      </c>
      <c r="S31" s="344">
        <f t="shared" si="8"/>
        <v>0.33</v>
      </c>
      <c r="T31" s="345" t="str">
        <f>IFERROR(__xludf.DUMMYFUNCTION("JOIN("","",IFERROR(FILTER(Matches!$B:$B,B31=Matches!$C:$C),""""),IFERROR(FILTER(Matches!$C:$C,B31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31" s="344">
        <f>IFERROR(__xludf.DUMMYFUNCTION("iferror(AVERAGE(ARRAYFORMULA(VLOOKUP(SPLIT(T31,"","",TRUE,TRUE),$R$2:$S654,2,FALSE))),0)"),0.0)</f>
        <v>0</v>
      </c>
      <c r="V31" s="346">
        <f>IFERROR(__xludf.DUMMYFUNCTION("RANK($I31, $I$2:$I654, FALSE) + RANK($M31, Filter($M$2:$M654, $I$2:$I654=$I31),FALSE)+RANK($U31, Filter($U$2:$U654, $I$2:$I654=$I31,$M$2:$M654=$M31),FALSE)-2"),1.0)</f>
        <v>1</v>
      </c>
      <c r="W31" s="347" t="str">
        <f t="shared" si="9"/>
        <v>Underplay</v>
      </c>
      <c r="X31" s="348" t="str">
        <f t="shared" si="10"/>
        <v/>
      </c>
      <c r="Y31" s="349">
        <f>MAXIFS(Matches!$A:$A,Matches!$C:$C,$B31)</f>
        <v>0</v>
      </c>
      <c r="Z31" s="349">
        <f t="array" ref="Z31">XLOOKUP(Y31,Quotas!$B$7:$B$10,Quotas!$A$7:$A$10,0,-1)</f>
        <v>0</v>
      </c>
      <c r="AB31" s="79"/>
      <c r="AC31" s="79">
        <f>COUNTIFS(Matches!$A:$A,"&gt;"&amp;Y31,Matches!$B:$B,$B31)</f>
        <v>0</v>
      </c>
      <c r="AD31" s="79"/>
      <c r="AE31" s="31" t="str">
        <f t="array" ref="AE31">XLOOKUP(B31, 'College List'!A:A, 'College List'!B:B)</f>
        <v>#N/A</v>
      </c>
      <c r="AF31" s="15">
        <v>5.0</v>
      </c>
    </row>
    <row r="32">
      <c r="A32" s="9">
        <f t="shared" si="1"/>
        <v>1</v>
      </c>
      <c r="C32" s="350"/>
      <c r="D32" s="93"/>
      <c r="E32" s="1"/>
      <c r="F32" s="1"/>
      <c r="G32" s="1"/>
      <c r="H32" s="341">
        <f>COUNTIF(Entropy!$D:$D,$B32)+COUNTIF(Matches!$B:$B,$B32)+COUNTIF(Matches!$C:$C,$B32)</f>
        <v>0</v>
      </c>
      <c r="I32" s="342">
        <f>COUNTIF(Matches!$B:$B,B32)</f>
        <v>0</v>
      </c>
      <c r="J32" s="79">
        <f t="shared" si="2"/>
        <v>0</v>
      </c>
      <c r="K32" s="1" t="str">
        <f t="shared" si="3"/>
        <v>0 - 0</v>
      </c>
      <c r="L32" s="343">
        <f>COUNTIF(Entropy!$D:$D,$B32)</f>
        <v>0</v>
      </c>
      <c r="M32" s="344">
        <f t="shared" si="4"/>
        <v>0</v>
      </c>
      <c r="N32" s="344">
        <f t="shared" si="5"/>
        <v>0</v>
      </c>
      <c r="O32" s="341">
        <f>IF($J32=11,0,IF(AND($H32 &gt;=VLOOKUP(Standings!$C$2,Quotas!$A$7:$E$14,4,FALSE), $H32&lt;=VLOOKUP(Standings!$C$2,Quotas!$A$7:$E$14,5,FALSE)), 0,VLOOKUP(Standings!$C$2,Quotas!$A$7:$E$14,4,FALSE)-$H32))</f>
        <v>30</v>
      </c>
      <c r="P32" s="341">
        <f>IF($J32=11,0,IF(AND($H32 &gt;=VLOOKUP(Standings!$C$2,Quotas!$A$7:$E$14,5,FALSE), $H32&lt;=VLOOKUP(Standings!$C$2,Quotas!$A$7:$E$14,5,FALSE)), 0,VLOOKUP(Standings!$C$2,Quotas!$A$7:$E$14,5,FALSE)-$H32))</f>
        <v>30</v>
      </c>
      <c r="Q32" s="79">
        <f t="shared" si="6"/>
        <v>11</v>
      </c>
      <c r="R32" s="345" t="str">
        <f t="shared" si="7"/>
        <v/>
      </c>
      <c r="S32" s="344">
        <f t="shared" si="8"/>
        <v>0.33</v>
      </c>
      <c r="T32" s="345" t="str">
        <f>IFERROR(__xludf.DUMMYFUNCTION("JOIN("","",IFERROR(FILTER(Matches!$B:$B,B32=Matches!$C:$C),""""),IFERROR(FILTER(Matches!$C:$C,B32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32" s="344">
        <f>IFERROR(__xludf.DUMMYFUNCTION("iferror(AVERAGE(ARRAYFORMULA(VLOOKUP(SPLIT(T32,"","",TRUE,TRUE),$R$2:$S654,2,FALSE))),0)"),0.0)</f>
        <v>0</v>
      </c>
      <c r="V32" s="346">
        <f>IFERROR(__xludf.DUMMYFUNCTION("RANK($I32, $I$2:$I654, FALSE) + RANK($M32, Filter($M$2:$M654, $I$2:$I654=$I32),FALSE)+RANK($U32, Filter($U$2:$U654, $I$2:$I654=$I32,$M$2:$M654=$M32),FALSE)-2"),1.0)</f>
        <v>1</v>
      </c>
      <c r="W32" s="347" t="str">
        <f t="shared" si="9"/>
        <v>Underplay</v>
      </c>
      <c r="X32" s="348" t="str">
        <f t="shared" si="10"/>
        <v/>
      </c>
      <c r="Y32" s="349">
        <f>MAXIFS(Matches!$A:$A,Matches!$C:$C,$B32)</f>
        <v>0</v>
      </c>
      <c r="Z32" s="349">
        <f t="array" ref="Z32">XLOOKUP(Y32,Quotas!$B$7:$B$10,Quotas!$A$7:$A$10,0,-1)</f>
        <v>0</v>
      </c>
      <c r="AB32" s="79"/>
      <c r="AC32" s="79">
        <f>COUNTIFS(Matches!$A:$A,"&gt;"&amp;Y32,Matches!$B:$B,$B32)</f>
        <v>0</v>
      </c>
      <c r="AD32" s="79"/>
      <c r="AE32" s="31" t="str">
        <f t="array" ref="AE32">XLOOKUP(B32, 'College List'!A:A, 'College List'!B:B)</f>
        <v>#N/A</v>
      </c>
      <c r="AF32" s="15">
        <v>9.0</v>
      </c>
    </row>
    <row r="33">
      <c r="A33" s="9">
        <f t="shared" si="1"/>
        <v>1</v>
      </c>
      <c r="C33" s="350"/>
      <c r="D33" s="93"/>
      <c r="E33" s="1"/>
      <c r="F33" s="1"/>
      <c r="G33" s="1"/>
      <c r="H33" s="341">
        <f>COUNTIF(Entropy!$D:$D,$B33)+COUNTIF(Matches!$B:$B,$B33)+COUNTIF(Matches!$C:$C,$B33)</f>
        <v>0</v>
      </c>
      <c r="I33" s="342">
        <f>COUNTIF(Matches!$B:$B,B33)</f>
        <v>0</v>
      </c>
      <c r="J33" s="79">
        <f t="shared" si="2"/>
        <v>0</v>
      </c>
      <c r="K33" s="1" t="str">
        <f t="shared" si="3"/>
        <v>0 - 0</v>
      </c>
      <c r="L33" s="343">
        <f>COUNTIF(Entropy!$D:$D,$B33)</f>
        <v>0</v>
      </c>
      <c r="M33" s="344">
        <f t="shared" si="4"/>
        <v>0</v>
      </c>
      <c r="N33" s="344">
        <f t="shared" si="5"/>
        <v>0</v>
      </c>
      <c r="O33" s="341">
        <f>IF($J33=11,0,IF(AND($H33 &gt;=VLOOKUP(Standings!$C$2,Quotas!$A$7:$E$14,4,FALSE), $H33&lt;=VLOOKUP(Standings!$C$2,Quotas!$A$7:$E$14,5,FALSE)), 0,VLOOKUP(Standings!$C$2,Quotas!$A$7:$E$14,4,FALSE)-$H33))</f>
        <v>30</v>
      </c>
      <c r="P33" s="341">
        <f>IF($J33=11,0,IF(AND($H33 &gt;=VLOOKUP(Standings!$C$2,Quotas!$A$7:$E$14,5,FALSE), $H33&lt;=VLOOKUP(Standings!$C$2,Quotas!$A$7:$E$14,5,FALSE)), 0,VLOOKUP(Standings!$C$2,Quotas!$A$7:$E$14,5,FALSE)-$H33))</f>
        <v>30</v>
      </c>
      <c r="Q33" s="79">
        <f t="shared" si="6"/>
        <v>11</v>
      </c>
      <c r="R33" s="345" t="str">
        <f t="shared" si="7"/>
        <v/>
      </c>
      <c r="S33" s="344">
        <f t="shared" si="8"/>
        <v>0.33</v>
      </c>
      <c r="T33" s="345" t="str">
        <f>IFERROR(__xludf.DUMMYFUNCTION("JOIN("","",IFERROR(FILTER(Matches!$B:$B,B33=Matches!$C:$C),""""),IFERROR(FILTER(Matches!$C:$C,B33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33" s="344">
        <f>IFERROR(__xludf.DUMMYFUNCTION("iferror(AVERAGE(ARRAYFORMULA(VLOOKUP(SPLIT(T33,"","",TRUE,TRUE),$R$2:$S654,2,FALSE))),0)"),0.0)</f>
        <v>0</v>
      </c>
      <c r="V33" s="346">
        <f>IFERROR(__xludf.DUMMYFUNCTION("RANK($I33, $I$2:$I654, FALSE) + RANK($M33, Filter($M$2:$M654, $I$2:$I654=$I33),FALSE)+RANK($U33, Filter($U$2:$U654, $I$2:$I654=$I33,$M$2:$M654=$M33),FALSE)-2"),1.0)</f>
        <v>1</v>
      </c>
      <c r="W33" s="347" t="str">
        <f t="shared" si="9"/>
        <v>Underplay</v>
      </c>
      <c r="X33" s="348" t="str">
        <f t="shared" si="10"/>
        <v/>
      </c>
      <c r="Y33" s="349">
        <f>MAXIFS(Matches!$A:$A,Matches!$C:$C,$B33)</f>
        <v>0</v>
      </c>
      <c r="Z33" s="349">
        <f t="array" ref="Z33">XLOOKUP(Y33,Quotas!$B$7:$B$10,Quotas!$A$7:$A$10,0,-1)</f>
        <v>0</v>
      </c>
      <c r="AB33" s="79"/>
      <c r="AC33" s="79">
        <f>COUNTIFS(Matches!$A:$A,"&gt;"&amp;Y33,Matches!$B:$B,$B33)</f>
        <v>0</v>
      </c>
      <c r="AD33" s="79"/>
      <c r="AE33" s="31" t="str">
        <f t="array" ref="AE33">XLOOKUP(B33, 'College List'!A:A, 'College List'!B:B)</f>
        <v>#N/A</v>
      </c>
      <c r="AF33" s="15">
        <v>7.0</v>
      </c>
    </row>
    <row r="34">
      <c r="A34" s="9">
        <f t="shared" si="1"/>
        <v>1</v>
      </c>
      <c r="C34" s="350"/>
      <c r="D34" s="93"/>
      <c r="E34" s="1"/>
      <c r="F34" s="1"/>
      <c r="G34" s="1"/>
      <c r="H34" s="341">
        <f>COUNTIF(Entropy!$D:$D,$B34)+COUNTIF(Matches!$B:$B,$B34)+COUNTIF(Matches!$C:$C,$B34)</f>
        <v>0</v>
      </c>
      <c r="I34" s="342">
        <f>COUNTIF(Matches!$B:$B,B34)</f>
        <v>0</v>
      </c>
      <c r="J34" s="79">
        <f t="shared" si="2"/>
        <v>0</v>
      </c>
      <c r="K34" s="1" t="str">
        <f t="shared" si="3"/>
        <v>0 - 0</v>
      </c>
      <c r="L34" s="343">
        <f>COUNTIF(Entropy!$D:$D,$B34)</f>
        <v>0</v>
      </c>
      <c r="M34" s="344">
        <f t="shared" si="4"/>
        <v>0</v>
      </c>
      <c r="N34" s="344">
        <f t="shared" si="5"/>
        <v>0</v>
      </c>
      <c r="O34" s="341">
        <f>IF($J34=11,0,IF(AND($H34 &gt;=VLOOKUP(Standings!$C$2,Quotas!$A$7:$E$14,4,FALSE), $H34&lt;=VLOOKUP(Standings!$C$2,Quotas!$A$7:$E$14,5,FALSE)), 0,VLOOKUP(Standings!$C$2,Quotas!$A$7:$E$14,4,FALSE)-$H34))</f>
        <v>30</v>
      </c>
      <c r="P34" s="341">
        <f>IF($J34=11,0,IF(AND($H34 &gt;=VLOOKUP(Standings!$C$2,Quotas!$A$7:$E$14,5,FALSE), $H34&lt;=VLOOKUP(Standings!$C$2,Quotas!$A$7:$E$14,5,FALSE)), 0,VLOOKUP(Standings!$C$2,Quotas!$A$7:$E$14,5,FALSE)-$H34))</f>
        <v>30</v>
      </c>
      <c r="Q34" s="79">
        <f t="shared" si="6"/>
        <v>11</v>
      </c>
      <c r="R34" s="345" t="str">
        <f t="shared" si="7"/>
        <v/>
      </c>
      <c r="S34" s="344">
        <f t="shared" si="8"/>
        <v>0.33</v>
      </c>
      <c r="T34" s="345" t="str">
        <f>IFERROR(__xludf.DUMMYFUNCTION("JOIN("","",IFERROR(FILTER(Matches!$B:$B,B34=Matches!$C:$C),""""),IFERROR(FILTER(Matches!$C:$C,B34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34" s="344">
        <f>IFERROR(__xludf.DUMMYFUNCTION("iferror(AVERAGE(ARRAYFORMULA(VLOOKUP(SPLIT(T34,"","",TRUE,TRUE),$R$2:$S654,2,FALSE))),0)"),0.0)</f>
        <v>0</v>
      </c>
      <c r="V34" s="346">
        <f>IFERROR(__xludf.DUMMYFUNCTION("RANK($I34, $I$2:$I654, FALSE) + RANK($M34, Filter($M$2:$M654, $I$2:$I654=$I34),FALSE)+RANK($U34, Filter($U$2:$U654, $I$2:$I654=$I34,$M$2:$M654=$M34),FALSE)-2"),1.0)</f>
        <v>1</v>
      </c>
      <c r="W34" s="347" t="str">
        <f t="shared" si="9"/>
        <v>Underplay</v>
      </c>
      <c r="X34" s="348" t="str">
        <f t="shared" si="10"/>
        <v/>
      </c>
      <c r="Y34" s="349">
        <f>MAXIFS(Matches!$A:$A,Matches!$C:$C,$B34)</f>
        <v>0</v>
      </c>
      <c r="Z34" s="349">
        <f t="array" ref="Z34">XLOOKUP(Y34,Quotas!$B$7:$B$10,Quotas!$A$7:$A$10,0,-1)</f>
        <v>0</v>
      </c>
      <c r="AB34" s="79"/>
      <c r="AC34" s="79">
        <f>COUNTIFS(Matches!$A:$A,"&gt;"&amp;Y34,Matches!$B:$B,$B34)</f>
        <v>0</v>
      </c>
      <c r="AD34" s="79"/>
      <c r="AE34" s="31" t="str">
        <f t="array" ref="AE34">XLOOKUP(B34, 'College List'!A:A, 'College List'!B:B)</f>
        <v>#N/A</v>
      </c>
      <c r="AF34" s="15">
        <v>9.0</v>
      </c>
    </row>
    <row r="35">
      <c r="A35" s="9">
        <f t="shared" si="1"/>
        <v>1</v>
      </c>
      <c r="C35" s="350"/>
      <c r="D35" s="93"/>
      <c r="E35" s="1"/>
      <c r="F35" s="1"/>
      <c r="G35" s="1"/>
      <c r="H35" s="341">
        <f>COUNTIF(Entropy!$D:$D,$B35)+COUNTIF(Matches!$B:$B,$B35)+COUNTIF(Matches!$C:$C,$B35)</f>
        <v>0</v>
      </c>
      <c r="I35" s="342">
        <f>COUNTIF(Matches!$B:$B,B35)</f>
        <v>0</v>
      </c>
      <c r="J35" s="79">
        <f t="shared" si="2"/>
        <v>0</v>
      </c>
      <c r="K35" s="1" t="str">
        <f t="shared" si="3"/>
        <v>0 - 0</v>
      </c>
      <c r="L35" s="343">
        <f>COUNTIF(Entropy!$D:$D,$B35)</f>
        <v>0</v>
      </c>
      <c r="M35" s="344">
        <f t="shared" si="4"/>
        <v>0</v>
      </c>
      <c r="N35" s="344">
        <f t="shared" si="5"/>
        <v>0</v>
      </c>
      <c r="O35" s="341">
        <f>IF($J35=11,0,IF(AND($H35 &gt;=VLOOKUP(Standings!$C$2,Quotas!$A$7:$E$14,4,FALSE), $H35&lt;=VLOOKUP(Standings!$C$2,Quotas!$A$7:$E$14,5,FALSE)), 0,VLOOKUP(Standings!$C$2,Quotas!$A$7:$E$14,4,FALSE)-$H35))</f>
        <v>30</v>
      </c>
      <c r="P35" s="341">
        <f>IF($J35=11,0,IF(AND($H35 &gt;=VLOOKUP(Standings!$C$2,Quotas!$A$7:$E$14,5,FALSE), $H35&lt;=VLOOKUP(Standings!$C$2,Quotas!$A$7:$E$14,5,FALSE)), 0,VLOOKUP(Standings!$C$2,Quotas!$A$7:$E$14,5,FALSE)-$H35))</f>
        <v>30</v>
      </c>
      <c r="Q35" s="79">
        <f t="shared" si="6"/>
        <v>11</v>
      </c>
      <c r="R35" s="345" t="str">
        <f t="shared" si="7"/>
        <v/>
      </c>
      <c r="S35" s="344">
        <f t="shared" si="8"/>
        <v>0.33</v>
      </c>
      <c r="T35" s="345" t="str">
        <f>IFERROR(__xludf.DUMMYFUNCTION("JOIN("","",IFERROR(FILTER(Matches!$B:$B,B35=Matches!$C:$C),""""),IFERROR(FILTER(Matches!$C:$C,B35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35" s="344">
        <f>IFERROR(__xludf.DUMMYFUNCTION("iferror(AVERAGE(ARRAYFORMULA(VLOOKUP(SPLIT(T35,"","",TRUE,TRUE),$R$2:$S654,2,FALSE))),0)"),0.0)</f>
        <v>0</v>
      </c>
      <c r="V35" s="346">
        <f>IFERROR(__xludf.DUMMYFUNCTION("RANK($I35, $I$2:$I654, FALSE) + RANK($M35, Filter($M$2:$M654, $I$2:$I654=$I35),FALSE)+RANK($U35, Filter($U$2:$U654, $I$2:$I654=$I35,$M$2:$M654=$M35),FALSE)-2"),1.0)</f>
        <v>1</v>
      </c>
      <c r="W35" s="347" t="str">
        <f t="shared" si="9"/>
        <v>Underplay</v>
      </c>
      <c r="X35" s="348" t="str">
        <f t="shared" si="10"/>
        <v/>
      </c>
      <c r="Y35" s="349">
        <f>MAXIFS(Matches!$A:$A,Matches!$C:$C,$B35)</f>
        <v>0</v>
      </c>
      <c r="Z35" s="349">
        <f t="array" ref="Z35">XLOOKUP(Y35,Quotas!$B$7:$B$10,Quotas!$A$7:$A$10,0,-1)</f>
        <v>0</v>
      </c>
      <c r="AB35" s="79"/>
      <c r="AC35" s="79">
        <f>COUNTIFS(Matches!$A:$A,"&gt;"&amp;Y35,Matches!$B:$B,$B35)</f>
        <v>0</v>
      </c>
      <c r="AD35" s="79"/>
      <c r="AE35" s="31" t="str">
        <f t="array" ref="AE35">XLOOKUP(B35, 'College List'!A:A, 'College List'!B:B)</f>
        <v>#N/A</v>
      </c>
      <c r="AF35" s="15">
        <v>3.0</v>
      </c>
    </row>
    <row r="36">
      <c r="A36" s="9">
        <f t="shared" si="1"/>
        <v>1</v>
      </c>
      <c r="C36" s="350"/>
      <c r="D36" s="93"/>
      <c r="E36" s="1"/>
      <c r="F36" s="1"/>
      <c r="G36" s="1"/>
      <c r="H36" s="341">
        <f>COUNTIF(Entropy!$D:$D,$B36)+COUNTIF(Matches!$B:$B,$B36)+COUNTIF(Matches!$C:$C,$B36)</f>
        <v>0</v>
      </c>
      <c r="I36" s="342">
        <f>COUNTIF(Matches!$B:$B,B36)</f>
        <v>0</v>
      </c>
      <c r="J36" s="79">
        <f t="shared" si="2"/>
        <v>0</v>
      </c>
      <c r="K36" s="1" t="str">
        <f t="shared" si="3"/>
        <v>0 - 0</v>
      </c>
      <c r="L36" s="343">
        <f>COUNTIF(Entropy!$D:$D,$B36)</f>
        <v>0</v>
      </c>
      <c r="M36" s="344">
        <f t="shared" si="4"/>
        <v>0</v>
      </c>
      <c r="N36" s="344">
        <f t="shared" si="5"/>
        <v>0</v>
      </c>
      <c r="O36" s="341">
        <f>IF($J36=11,0,IF(AND($H36 &gt;=VLOOKUP(Standings!$C$2,Quotas!$A$7:$E$14,4,FALSE), $H36&lt;=VLOOKUP(Standings!$C$2,Quotas!$A$7:$E$14,5,FALSE)), 0,VLOOKUP(Standings!$C$2,Quotas!$A$7:$E$14,4,FALSE)-$H36))</f>
        <v>30</v>
      </c>
      <c r="P36" s="341">
        <f>IF($J36=11,0,IF(AND($H36 &gt;=VLOOKUP(Standings!$C$2,Quotas!$A$7:$E$14,5,FALSE), $H36&lt;=VLOOKUP(Standings!$C$2,Quotas!$A$7:$E$14,5,FALSE)), 0,VLOOKUP(Standings!$C$2,Quotas!$A$7:$E$14,5,FALSE)-$H36))</f>
        <v>30</v>
      </c>
      <c r="Q36" s="79">
        <f t="shared" si="6"/>
        <v>11</v>
      </c>
      <c r="R36" s="345" t="str">
        <f t="shared" si="7"/>
        <v/>
      </c>
      <c r="S36" s="344">
        <f t="shared" si="8"/>
        <v>0.33</v>
      </c>
      <c r="T36" s="345" t="str">
        <f>IFERROR(__xludf.DUMMYFUNCTION("JOIN("","",IFERROR(FILTER(Matches!$B:$B,B36=Matches!$C:$C),""""),IFERROR(FILTER(Matches!$C:$C,B36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36" s="344">
        <f>IFERROR(__xludf.DUMMYFUNCTION("iferror(AVERAGE(ARRAYFORMULA(VLOOKUP(SPLIT(T36,"","",TRUE,TRUE),$R$2:$S654,2,FALSE))),0)"),0.0)</f>
        <v>0</v>
      </c>
      <c r="V36" s="346">
        <f>IFERROR(__xludf.DUMMYFUNCTION("RANK($I36, $I$2:$I654, FALSE) + RANK($M36, Filter($M$2:$M654, $I$2:$I654=$I36),FALSE)+RANK($U36, Filter($U$2:$U654, $I$2:$I654=$I36,$M$2:$M654=$M36),FALSE)-2"),1.0)</f>
        <v>1</v>
      </c>
      <c r="W36" s="347" t="str">
        <f t="shared" si="9"/>
        <v>Underplay</v>
      </c>
      <c r="X36" s="348" t="str">
        <f t="shared" si="10"/>
        <v/>
      </c>
      <c r="Y36" s="349">
        <f>MAXIFS(Matches!$A:$A,Matches!$C:$C,$B36)</f>
        <v>0</v>
      </c>
      <c r="Z36" s="349">
        <f t="array" ref="Z36">XLOOKUP(Y36,Quotas!$B$7:$B$10,Quotas!$A$7:$A$10,0,-1)</f>
        <v>0</v>
      </c>
      <c r="AB36" s="79"/>
      <c r="AC36" s="79">
        <f>COUNTIFS(Matches!$A:$A,"&gt;"&amp;Y36,Matches!$B:$B,$B36)</f>
        <v>0</v>
      </c>
      <c r="AD36" s="79"/>
      <c r="AE36" s="31" t="str">
        <f t="array" ref="AE36">XLOOKUP(B36, 'College List'!A:A, 'College List'!B:B)</f>
        <v>#N/A</v>
      </c>
      <c r="AF36" s="15">
        <v>9.0</v>
      </c>
    </row>
    <row r="37">
      <c r="A37" s="9">
        <f t="shared" si="1"/>
        <v>1</v>
      </c>
      <c r="C37" s="350"/>
      <c r="D37" s="93"/>
      <c r="E37" s="1"/>
      <c r="F37" s="1"/>
      <c r="G37" s="1"/>
      <c r="H37" s="341">
        <f>COUNTIF(Entropy!$D:$D,$B37)+COUNTIF(Matches!$B:$B,$B37)+COUNTIF(Matches!$C:$C,$B37)</f>
        <v>0</v>
      </c>
      <c r="I37" s="342">
        <f>COUNTIF(Matches!$B:$B,B37)</f>
        <v>0</v>
      </c>
      <c r="J37" s="79">
        <f t="shared" si="2"/>
        <v>0</v>
      </c>
      <c r="K37" s="1" t="str">
        <f t="shared" si="3"/>
        <v>0 - 0</v>
      </c>
      <c r="L37" s="343">
        <f>COUNTIF(Entropy!$D:$D,$B37)</f>
        <v>0</v>
      </c>
      <c r="M37" s="344">
        <f t="shared" si="4"/>
        <v>0</v>
      </c>
      <c r="N37" s="344">
        <f t="shared" si="5"/>
        <v>0</v>
      </c>
      <c r="O37" s="341">
        <f>IF($J37=11,0,IF(AND($H37 &gt;=VLOOKUP(Standings!$C$2,Quotas!$A$7:$E$14,4,FALSE), $H37&lt;=VLOOKUP(Standings!$C$2,Quotas!$A$7:$E$14,5,FALSE)), 0,VLOOKUP(Standings!$C$2,Quotas!$A$7:$E$14,4,FALSE)-$H37))</f>
        <v>30</v>
      </c>
      <c r="P37" s="341">
        <f>IF($J37=11,0,IF(AND($H37 &gt;=VLOOKUP(Standings!$C$2,Quotas!$A$7:$E$14,5,FALSE), $H37&lt;=VLOOKUP(Standings!$C$2,Quotas!$A$7:$E$14,5,FALSE)), 0,VLOOKUP(Standings!$C$2,Quotas!$A$7:$E$14,5,FALSE)-$H37))</f>
        <v>30</v>
      </c>
      <c r="Q37" s="79">
        <f t="shared" si="6"/>
        <v>11</v>
      </c>
      <c r="R37" s="345" t="str">
        <f t="shared" si="7"/>
        <v/>
      </c>
      <c r="S37" s="344">
        <f t="shared" si="8"/>
        <v>0.33</v>
      </c>
      <c r="T37" s="345" t="str">
        <f>IFERROR(__xludf.DUMMYFUNCTION("JOIN("","",IFERROR(FILTER(Matches!$B:$B,B37=Matches!$C:$C),""""),IFERROR(FILTER(Matches!$C:$C,B37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37" s="344">
        <f>IFERROR(__xludf.DUMMYFUNCTION("iferror(AVERAGE(ARRAYFORMULA(VLOOKUP(SPLIT(T37,"","",TRUE,TRUE),$R$2:$S654,2,FALSE))),0)"),0.0)</f>
        <v>0</v>
      </c>
      <c r="V37" s="346">
        <f>IFERROR(__xludf.DUMMYFUNCTION("RANK($I37, $I$2:$I654, FALSE) + RANK($M37, Filter($M$2:$M654, $I$2:$I654=$I37),FALSE)+RANK($U37, Filter($U$2:$U654, $I$2:$I654=$I37,$M$2:$M654=$M37),FALSE)-2"),1.0)</f>
        <v>1</v>
      </c>
      <c r="W37" s="347" t="str">
        <f t="shared" si="9"/>
        <v>Underplay</v>
      </c>
      <c r="X37" s="348" t="str">
        <f t="shared" si="10"/>
        <v/>
      </c>
      <c r="Y37" s="349">
        <f>MAXIFS(Matches!$A:$A,Matches!$C:$C,$B37)</f>
        <v>0</v>
      </c>
      <c r="Z37" s="349">
        <f t="array" ref="Z37">XLOOKUP(Y37,Quotas!$B$7:$B$10,Quotas!$A$7:$A$10,0,-1)</f>
        <v>0</v>
      </c>
      <c r="AB37" s="79"/>
      <c r="AC37" s="79">
        <f>COUNTIFS(Matches!$A:$A,"&gt;"&amp;Y37,Matches!$B:$B,$B37)</f>
        <v>0</v>
      </c>
      <c r="AD37" s="79"/>
      <c r="AE37" s="31" t="str">
        <f t="array" ref="AE37">XLOOKUP(B37, 'College List'!A:A, 'College List'!B:B)</f>
        <v>#N/A</v>
      </c>
    </row>
    <row r="38">
      <c r="A38" s="9">
        <f t="shared" si="1"/>
        <v>1</v>
      </c>
      <c r="C38" s="350"/>
      <c r="D38" s="93"/>
      <c r="E38" s="1"/>
      <c r="F38" s="1"/>
      <c r="G38" s="1"/>
      <c r="H38" s="341">
        <f>COUNTIF(Entropy!$D:$D,$B38)+COUNTIF(Matches!$B:$B,$B38)+COUNTIF(Matches!$C:$C,$B38)</f>
        <v>0</v>
      </c>
      <c r="I38" s="342">
        <f>COUNTIF(Matches!$B:$B,B38)</f>
        <v>0</v>
      </c>
      <c r="J38" s="79">
        <f t="shared" si="2"/>
        <v>0</v>
      </c>
      <c r="K38" s="1" t="str">
        <f t="shared" si="3"/>
        <v>0 - 0</v>
      </c>
      <c r="L38" s="343">
        <f>COUNTIF(Entropy!$D:$D,$B38)</f>
        <v>0</v>
      </c>
      <c r="M38" s="344">
        <f t="shared" si="4"/>
        <v>0</v>
      </c>
      <c r="N38" s="344">
        <f t="shared" si="5"/>
        <v>0</v>
      </c>
      <c r="O38" s="341">
        <f>IF($J38=11,0,IF(AND($H38 &gt;=VLOOKUP(Standings!$C$2,Quotas!$A$7:$E$14,4,FALSE), $H38&lt;=VLOOKUP(Standings!$C$2,Quotas!$A$7:$E$14,5,FALSE)), 0,VLOOKUP(Standings!$C$2,Quotas!$A$7:$E$14,4,FALSE)-$H38))</f>
        <v>30</v>
      </c>
      <c r="P38" s="341">
        <f>IF($J38=11,0,IF(AND($H38 &gt;=VLOOKUP(Standings!$C$2,Quotas!$A$7:$E$14,5,FALSE), $H38&lt;=VLOOKUP(Standings!$C$2,Quotas!$A$7:$E$14,5,FALSE)), 0,VLOOKUP(Standings!$C$2,Quotas!$A$7:$E$14,5,FALSE)-$H38))</f>
        <v>30</v>
      </c>
      <c r="Q38" s="79">
        <f t="shared" si="6"/>
        <v>11</v>
      </c>
      <c r="R38" s="345" t="str">
        <f t="shared" si="7"/>
        <v/>
      </c>
      <c r="S38" s="344">
        <f t="shared" si="8"/>
        <v>0.33</v>
      </c>
      <c r="T38" s="345" t="str">
        <f>IFERROR(__xludf.DUMMYFUNCTION("JOIN("","",IFERROR(FILTER(Matches!$B:$B,B38=Matches!$C:$C),""""),IFERROR(FILTER(Matches!$C:$C,B38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38" s="344">
        <f>IFERROR(__xludf.DUMMYFUNCTION("iferror(AVERAGE(ARRAYFORMULA(VLOOKUP(SPLIT(T38,"","",TRUE,TRUE),$R$2:$S654,2,FALSE))),0)"),0.0)</f>
        <v>0</v>
      </c>
      <c r="V38" s="346">
        <f>IFERROR(__xludf.DUMMYFUNCTION("RANK($I38, $I$2:$I654, FALSE) + RANK($M38, Filter($M$2:$M654, $I$2:$I654=$I38),FALSE)+RANK($U38, Filter($U$2:$U654, $I$2:$I654=$I38,$M$2:$M654=$M38),FALSE)-2"),1.0)</f>
        <v>1</v>
      </c>
      <c r="W38" s="347" t="str">
        <f t="shared" si="9"/>
        <v>Underplay</v>
      </c>
      <c r="X38" s="348" t="str">
        <f t="shared" si="10"/>
        <v/>
      </c>
      <c r="Y38" s="349">
        <f>MAXIFS(Matches!$A:$A,Matches!$C:$C,$B38)</f>
        <v>0</v>
      </c>
      <c r="Z38" s="349">
        <f t="array" ref="Z38">XLOOKUP(Y38,Quotas!$B$7:$B$10,Quotas!$A$7:$A$10,0,-1)</f>
        <v>0</v>
      </c>
      <c r="AB38" s="79"/>
      <c r="AC38" s="79">
        <f>COUNTIFS(Matches!$A:$A,"&gt;"&amp;Y38,Matches!$B:$B,$B38)</f>
        <v>0</v>
      </c>
      <c r="AD38" s="79"/>
      <c r="AE38" s="31" t="str">
        <f t="array" ref="AE38">XLOOKUP(B38, 'College List'!A:A, 'College List'!B:B)</f>
        <v>#N/A</v>
      </c>
      <c r="AF38" s="15">
        <v>9.0</v>
      </c>
    </row>
    <row r="39">
      <c r="A39" s="9">
        <f t="shared" si="1"/>
        <v>1</v>
      </c>
      <c r="C39" s="350"/>
      <c r="D39" s="93"/>
      <c r="E39" s="1"/>
      <c r="F39" s="1"/>
      <c r="G39" s="1"/>
      <c r="H39" s="341">
        <f>COUNTIF(Entropy!$D:$D,$B39)+COUNTIF(Matches!$B:$B,$B39)+COUNTIF(Matches!$C:$C,$B39)</f>
        <v>0</v>
      </c>
      <c r="I39" s="342">
        <f>COUNTIF(Matches!$B:$B,B39)</f>
        <v>0</v>
      </c>
      <c r="J39" s="79">
        <f t="shared" si="2"/>
        <v>0</v>
      </c>
      <c r="K39" s="1" t="str">
        <f t="shared" si="3"/>
        <v>0 - 0</v>
      </c>
      <c r="L39" s="343">
        <f>COUNTIF(Entropy!$D:$D,$B39)</f>
        <v>0</v>
      </c>
      <c r="M39" s="344">
        <f t="shared" si="4"/>
        <v>0</v>
      </c>
      <c r="N39" s="344">
        <f t="shared" si="5"/>
        <v>0</v>
      </c>
      <c r="O39" s="341">
        <f>IF($J39=11,0,IF(AND($H39 &gt;=VLOOKUP(Standings!$C$2,Quotas!$A$7:$E$14,4,FALSE), $H39&lt;=VLOOKUP(Standings!$C$2,Quotas!$A$7:$E$14,5,FALSE)), 0,VLOOKUP(Standings!$C$2,Quotas!$A$7:$E$14,4,FALSE)-$H39))</f>
        <v>30</v>
      </c>
      <c r="P39" s="341">
        <f>IF($J39=11,0,IF(AND($H39 &gt;=VLOOKUP(Standings!$C$2,Quotas!$A$7:$E$14,5,FALSE), $H39&lt;=VLOOKUP(Standings!$C$2,Quotas!$A$7:$E$14,5,FALSE)), 0,VLOOKUP(Standings!$C$2,Quotas!$A$7:$E$14,5,FALSE)-$H39))</f>
        <v>30</v>
      </c>
      <c r="Q39" s="79">
        <f t="shared" si="6"/>
        <v>11</v>
      </c>
      <c r="R39" s="345" t="str">
        <f t="shared" si="7"/>
        <v/>
      </c>
      <c r="S39" s="344">
        <f t="shared" si="8"/>
        <v>0.33</v>
      </c>
      <c r="T39" s="345" t="str">
        <f>IFERROR(__xludf.DUMMYFUNCTION("JOIN("","",IFERROR(FILTER(Matches!$B:$B,B39=Matches!$C:$C),""""),IFERROR(FILTER(Matches!$C:$C,B39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39" s="344">
        <f>IFERROR(__xludf.DUMMYFUNCTION("iferror(AVERAGE(ARRAYFORMULA(VLOOKUP(SPLIT(T39,"","",TRUE,TRUE),$R$2:$S654,2,FALSE))),0)"),0.0)</f>
        <v>0</v>
      </c>
      <c r="V39" s="346">
        <f>IFERROR(__xludf.DUMMYFUNCTION("RANK($I39, $I$2:$I654, FALSE) + RANK($M39, Filter($M$2:$M654, $I$2:$I654=$I39),FALSE)+RANK($U39, Filter($U$2:$U654, $I$2:$I654=$I39,$M$2:$M654=$M39),FALSE)-2"),1.0)</f>
        <v>1</v>
      </c>
      <c r="W39" s="347" t="str">
        <f t="shared" si="9"/>
        <v>Underplay</v>
      </c>
      <c r="X39" s="348" t="str">
        <f t="shared" si="10"/>
        <v/>
      </c>
      <c r="Y39" s="349">
        <f>MAXIFS(Matches!$A:$A,Matches!$C:$C,$B39)</f>
        <v>0</v>
      </c>
      <c r="Z39" s="349">
        <f t="array" ref="Z39">XLOOKUP(Y39,Quotas!$B$7:$B$10,Quotas!$A$7:$A$10,0,-1)</f>
        <v>0</v>
      </c>
      <c r="AB39" s="79"/>
      <c r="AC39" s="79">
        <f>COUNTIFS(Matches!$A:$A,"&gt;"&amp;Y39,Matches!$B:$B,$B39)</f>
        <v>0</v>
      </c>
      <c r="AD39" s="79"/>
      <c r="AE39" s="31" t="str">
        <f t="array" ref="AE39">XLOOKUP(B39, 'College List'!A:A, 'College List'!B:B)</f>
        <v>#N/A</v>
      </c>
      <c r="AF39" s="15">
        <v>9.0</v>
      </c>
    </row>
    <row r="40">
      <c r="A40" s="9">
        <f t="shared" si="1"/>
        <v>1</v>
      </c>
      <c r="C40" s="350"/>
      <c r="D40" s="93"/>
      <c r="E40" s="1"/>
      <c r="F40" s="1"/>
      <c r="G40" s="1"/>
      <c r="H40" s="341">
        <f>COUNTIF(Entropy!$D:$D,$B40)+COUNTIF(Matches!$B:$B,$B40)+COUNTIF(Matches!$C:$C,$B40)</f>
        <v>0</v>
      </c>
      <c r="I40" s="342">
        <f>COUNTIF(Matches!$B:$B,B40)</f>
        <v>0</v>
      </c>
      <c r="J40" s="79">
        <f t="shared" si="2"/>
        <v>0</v>
      </c>
      <c r="K40" s="1" t="str">
        <f t="shared" si="3"/>
        <v>0 - 0</v>
      </c>
      <c r="L40" s="343">
        <f>COUNTIF(Entropy!$D:$D,$B40)</f>
        <v>0</v>
      </c>
      <c r="M40" s="344">
        <f t="shared" si="4"/>
        <v>0</v>
      </c>
      <c r="N40" s="344">
        <f t="shared" si="5"/>
        <v>0</v>
      </c>
      <c r="O40" s="341">
        <f>IF($J40=11,0,IF(AND($H40 &gt;=VLOOKUP(Standings!$C$2,Quotas!$A$7:$E$14,4,FALSE), $H40&lt;=VLOOKUP(Standings!$C$2,Quotas!$A$7:$E$14,5,FALSE)), 0,VLOOKUP(Standings!$C$2,Quotas!$A$7:$E$14,4,FALSE)-$H40))</f>
        <v>30</v>
      </c>
      <c r="P40" s="341">
        <f>IF($J40=11,0,IF(AND($H40 &gt;=VLOOKUP(Standings!$C$2,Quotas!$A$7:$E$14,5,FALSE), $H40&lt;=VLOOKUP(Standings!$C$2,Quotas!$A$7:$E$14,5,FALSE)), 0,VLOOKUP(Standings!$C$2,Quotas!$A$7:$E$14,5,FALSE)-$H40))</f>
        <v>30</v>
      </c>
      <c r="Q40" s="79">
        <f t="shared" si="6"/>
        <v>11</v>
      </c>
      <c r="R40" s="345" t="str">
        <f t="shared" si="7"/>
        <v/>
      </c>
      <c r="S40" s="344">
        <f t="shared" si="8"/>
        <v>0.33</v>
      </c>
      <c r="T40" s="345" t="str">
        <f>IFERROR(__xludf.DUMMYFUNCTION("JOIN("","",IFERROR(FILTER(Matches!$B:$B,B40=Matches!$C:$C),""""),IFERROR(FILTER(Matches!$C:$C,B40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40" s="344">
        <f>IFERROR(__xludf.DUMMYFUNCTION("iferror(AVERAGE(ARRAYFORMULA(VLOOKUP(SPLIT(T40,"","",TRUE,TRUE),$R$2:$S654,2,FALSE))),0)"),0.0)</f>
        <v>0</v>
      </c>
      <c r="V40" s="346">
        <f>IFERROR(__xludf.DUMMYFUNCTION("RANK($I40, $I$2:$I654, FALSE) + RANK($M40, Filter($M$2:$M654, $I$2:$I654=$I40),FALSE)+RANK($U40, Filter($U$2:$U654, $I$2:$I654=$I40,$M$2:$M654=$M40),FALSE)-2"),1.0)</f>
        <v>1</v>
      </c>
      <c r="W40" s="347" t="str">
        <f t="shared" si="9"/>
        <v>Underplay</v>
      </c>
      <c r="X40" s="348" t="str">
        <f t="shared" si="10"/>
        <v/>
      </c>
      <c r="Y40" s="349">
        <f>MAXIFS(Matches!$A:$A,Matches!$C:$C,$B40)</f>
        <v>0</v>
      </c>
      <c r="Z40" s="349">
        <f t="array" ref="Z40">XLOOKUP(Y40,Quotas!$B$7:$B$10,Quotas!$A$7:$A$10,0,-1)</f>
        <v>0</v>
      </c>
      <c r="AB40" s="79"/>
      <c r="AC40" s="79">
        <f>COUNTIFS(Matches!$A:$A,"&gt;"&amp;Y40,Matches!$B:$B,$B40)</f>
        <v>0</v>
      </c>
      <c r="AD40" s="79"/>
      <c r="AE40" s="31" t="str">
        <f t="array" ref="AE40">XLOOKUP(B40, 'College List'!A:A, 'College List'!B:B)</f>
        <v>#N/A</v>
      </c>
      <c r="AF40" s="15">
        <v>9.0</v>
      </c>
    </row>
    <row r="41">
      <c r="A41" s="9">
        <f t="shared" si="1"/>
        <v>1</v>
      </c>
      <c r="C41" s="350"/>
      <c r="D41" s="93"/>
      <c r="E41" s="1"/>
      <c r="F41" s="1"/>
      <c r="G41" s="1"/>
      <c r="H41" s="341">
        <f>COUNTIF(Entropy!$D:$D,$B41)+COUNTIF(Matches!$B:$B,$B41)+COUNTIF(Matches!$C:$C,$B41)</f>
        <v>0</v>
      </c>
      <c r="I41" s="342">
        <f>COUNTIF(Matches!$B:$B,B41)</f>
        <v>0</v>
      </c>
      <c r="J41" s="79">
        <f t="shared" si="2"/>
        <v>0</v>
      </c>
      <c r="K41" s="1" t="str">
        <f t="shared" si="3"/>
        <v>0 - 0</v>
      </c>
      <c r="L41" s="343">
        <f>COUNTIF(Entropy!$D:$D,$B41)</f>
        <v>0</v>
      </c>
      <c r="M41" s="344">
        <f t="shared" si="4"/>
        <v>0</v>
      </c>
      <c r="N41" s="344">
        <f t="shared" si="5"/>
        <v>0</v>
      </c>
      <c r="O41" s="341">
        <f>IF($J41=11,0,IF(AND($H41 &gt;=VLOOKUP(Standings!$C$2,Quotas!$A$7:$E$14,4,FALSE), $H41&lt;=VLOOKUP(Standings!$C$2,Quotas!$A$7:$E$14,5,FALSE)), 0,VLOOKUP(Standings!$C$2,Quotas!$A$7:$E$14,4,FALSE)-$H41))</f>
        <v>30</v>
      </c>
      <c r="P41" s="341">
        <f>IF($J41=11,0,IF(AND($H41 &gt;=VLOOKUP(Standings!$C$2,Quotas!$A$7:$E$14,5,FALSE), $H41&lt;=VLOOKUP(Standings!$C$2,Quotas!$A$7:$E$14,5,FALSE)), 0,VLOOKUP(Standings!$C$2,Quotas!$A$7:$E$14,5,FALSE)-$H41))</f>
        <v>30</v>
      </c>
      <c r="Q41" s="79">
        <f t="shared" si="6"/>
        <v>11</v>
      </c>
      <c r="R41" s="345" t="str">
        <f t="shared" si="7"/>
        <v/>
      </c>
      <c r="S41" s="344">
        <f t="shared" si="8"/>
        <v>0.33</v>
      </c>
      <c r="T41" s="345" t="str">
        <f>IFERROR(__xludf.DUMMYFUNCTION("JOIN("","",IFERROR(FILTER(Matches!$B:$B,B41=Matches!$C:$C),""""),IFERROR(FILTER(Matches!$C:$C,B41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41" s="344">
        <f>IFERROR(__xludf.DUMMYFUNCTION("iferror(AVERAGE(ARRAYFORMULA(VLOOKUP(SPLIT(T41,"","",TRUE,TRUE),$R$2:$S654,2,FALSE))),0)"),0.0)</f>
        <v>0</v>
      </c>
      <c r="V41" s="346">
        <f>IFERROR(__xludf.DUMMYFUNCTION("RANK($I41, $I$2:$I654, FALSE) + RANK($M41, Filter($M$2:$M654, $I$2:$I654=$I41),FALSE)+RANK($U41, Filter($U$2:$U654, $I$2:$I654=$I41,$M$2:$M654=$M41),FALSE)-2"),1.0)</f>
        <v>1</v>
      </c>
      <c r="W41" s="347" t="str">
        <f t="shared" si="9"/>
        <v>Underplay</v>
      </c>
      <c r="X41" s="348" t="str">
        <f t="shared" si="10"/>
        <v/>
      </c>
      <c r="Y41" s="349">
        <f>MAXIFS(Matches!$A:$A,Matches!$C:$C,$B41)</f>
        <v>0</v>
      </c>
      <c r="Z41" s="349">
        <f t="array" ref="Z41">XLOOKUP(Y41,Quotas!$B$7:$B$10,Quotas!$A$7:$A$10,0,-1)</f>
        <v>0</v>
      </c>
      <c r="AB41" s="79"/>
      <c r="AC41" s="79">
        <f>COUNTIFS(Matches!$A:$A,"&gt;"&amp;Y41,Matches!$B:$B,$B41)</f>
        <v>0</v>
      </c>
      <c r="AD41" s="79"/>
      <c r="AE41" s="31" t="str">
        <f t="array" ref="AE41">XLOOKUP(B41, 'College List'!A:A, 'College List'!B:B)</f>
        <v>#N/A</v>
      </c>
      <c r="AF41" s="15">
        <v>9.0</v>
      </c>
    </row>
    <row r="42">
      <c r="A42" s="9">
        <f t="shared" si="1"/>
        <v>1</v>
      </c>
      <c r="C42" s="350"/>
      <c r="D42" s="93"/>
      <c r="E42" s="1"/>
      <c r="F42" s="1"/>
      <c r="G42" s="1"/>
      <c r="H42" s="341">
        <f>COUNTIF(Entropy!$D:$D,$B42)+COUNTIF(Matches!$B:$B,$B42)+COUNTIF(Matches!$C:$C,$B42)</f>
        <v>0</v>
      </c>
      <c r="I42" s="342">
        <f>COUNTIF(Matches!$B:$B,B42)</f>
        <v>0</v>
      </c>
      <c r="J42" s="79">
        <f t="shared" si="2"/>
        <v>0</v>
      </c>
      <c r="K42" s="1" t="str">
        <f t="shared" si="3"/>
        <v>0 - 0</v>
      </c>
      <c r="L42" s="343">
        <f>COUNTIF(Entropy!$D:$D,$B42)</f>
        <v>0</v>
      </c>
      <c r="M42" s="344">
        <f t="shared" si="4"/>
        <v>0</v>
      </c>
      <c r="N42" s="344">
        <f t="shared" si="5"/>
        <v>0</v>
      </c>
      <c r="O42" s="341">
        <f>IF($J42=11,0,IF(AND($H42 &gt;=VLOOKUP(Standings!$C$2,Quotas!$A$7:$E$14,4,FALSE), $H42&lt;=VLOOKUP(Standings!$C$2,Quotas!$A$7:$E$14,5,FALSE)), 0,VLOOKUP(Standings!$C$2,Quotas!$A$7:$E$14,4,FALSE)-$H42))</f>
        <v>30</v>
      </c>
      <c r="P42" s="341">
        <f>IF($J42=11,0,IF(AND($H42 &gt;=VLOOKUP(Standings!$C$2,Quotas!$A$7:$E$14,5,FALSE), $H42&lt;=VLOOKUP(Standings!$C$2,Quotas!$A$7:$E$14,5,FALSE)), 0,VLOOKUP(Standings!$C$2,Quotas!$A$7:$E$14,5,FALSE)-$H42))</f>
        <v>30</v>
      </c>
      <c r="Q42" s="79">
        <f t="shared" si="6"/>
        <v>11</v>
      </c>
      <c r="R42" s="345" t="str">
        <f t="shared" si="7"/>
        <v/>
      </c>
      <c r="S42" s="344">
        <f t="shared" si="8"/>
        <v>0.33</v>
      </c>
      <c r="T42" s="345" t="str">
        <f>IFERROR(__xludf.DUMMYFUNCTION("JOIN("","",IFERROR(FILTER(Matches!$B:$B,B42=Matches!$C:$C),""""),IFERROR(FILTER(Matches!$C:$C,B42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42" s="344">
        <f>IFERROR(__xludf.DUMMYFUNCTION("iferror(AVERAGE(ARRAYFORMULA(VLOOKUP(SPLIT(T42,"","",TRUE,TRUE),$R$2:$S654,2,FALSE))),0)"),0.0)</f>
        <v>0</v>
      </c>
      <c r="V42" s="346">
        <f>IFERROR(__xludf.DUMMYFUNCTION("RANK($I42, $I$2:$I654, FALSE) + RANK($M42, Filter($M$2:$M654, $I$2:$I654=$I42),FALSE)+RANK($U42, Filter($U$2:$U654, $I$2:$I654=$I42,$M$2:$M654=$M42),FALSE)-2"),1.0)</f>
        <v>1</v>
      </c>
      <c r="W42" s="347" t="str">
        <f t="shared" si="9"/>
        <v>Underplay</v>
      </c>
      <c r="X42" s="348" t="str">
        <f t="shared" si="10"/>
        <v/>
      </c>
      <c r="Y42" s="349">
        <f>MAXIFS(Matches!$A:$A,Matches!$C:$C,$B42)</f>
        <v>0</v>
      </c>
      <c r="Z42" s="349">
        <f t="array" ref="Z42">XLOOKUP(Y42,Quotas!$B$7:$B$10,Quotas!$A$7:$A$10,0,-1)</f>
        <v>0</v>
      </c>
      <c r="AB42" s="79"/>
      <c r="AC42" s="79">
        <f>COUNTIFS(Matches!$A:$A,"&gt;"&amp;Y42,Matches!$B:$B,$B42)</f>
        <v>0</v>
      </c>
      <c r="AD42" s="79"/>
      <c r="AE42" s="31" t="str">
        <f t="array" ref="AE42">XLOOKUP(B42, 'College List'!A:A, 'College List'!B:B)</f>
        <v>#N/A</v>
      </c>
      <c r="AF42" s="15">
        <v>9.0</v>
      </c>
    </row>
    <row r="43">
      <c r="A43" s="9">
        <f t="shared" si="1"/>
        <v>1</v>
      </c>
      <c r="C43" s="350"/>
      <c r="D43" s="93"/>
      <c r="E43" s="1"/>
      <c r="F43" s="1"/>
      <c r="G43" s="1"/>
      <c r="H43" s="341">
        <f>COUNTIF(Entropy!$D:$D,$B43)+COUNTIF(Matches!$B:$B,$B43)+COUNTIF(Matches!$C:$C,$B43)</f>
        <v>0</v>
      </c>
      <c r="I43" s="342">
        <f>COUNTIF(Matches!$B:$B,B43)</f>
        <v>0</v>
      </c>
      <c r="J43" s="79">
        <f t="shared" si="2"/>
        <v>0</v>
      </c>
      <c r="K43" s="1" t="str">
        <f t="shared" si="3"/>
        <v>0 - 0</v>
      </c>
      <c r="L43" s="343">
        <f>COUNTIF(Entropy!$D:$D,$B43)</f>
        <v>0</v>
      </c>
      <c r="M43" s="344">
        <f t="shared" si="4"/>
        <v>0</v>
      </c>
      <c r="N43" s="344">
        <f t="shared" si="5"/>
        <v>0</v>
      </c>
      <c r="O43" s="341">
        <f>IF($J43=11,0,IF(AND($H43 &gt;=VLOOKUP(Standings!$C$2,Quotas!$A$7:$E$14,4,FALSE), $H43&lt;=VLOOKUP(Standings!$C$2,Quotas!$A$7:$E$14,5,FALSE)), 0,VLOOKUP(Standings!$C$2,Quotas!$A$7:$E$14,4,FALSE)-$H43))</f>
        <v>30</v>
      </c>
      <c r="P43" s="341">
        <f>IF($J43=11,0,IF(AND($H43 &gt;=VLOOKUP(Standings!$C$2,Quotas!$A$7:$E$14,5,FALSE), $H43&lt;=VLOOKUP(Standings!$C$2,Quotas!$A$7:$E$14,5,FALSE)), 0,VLOOKUP(Standings!$C$2,Quotas!$A$7:$E$14,5,FALSE)-$H43))</f>
        <v>30</v>
      </c>
      <c r="Q43" s="79">
        <f t="shared" si="6"/>
        <v>11</v>
      </c>
      <c r="R43" s="345" t="str">
        <f t="shared" si="7"/>
        <v/>
      </c>
      <c r="S43" s="344">
        <f t="shared" si="8"/>
        <v>0.33</v>
      </c>
      <c r="T43" s="345" t="str">
        <f>IFERROR(__xludf.DUMMYFUNCTION("JOIN("","",IFERROR(FILTER(Matches!$B:$B,B43=Matches!$C:$C),""""),IFERROR(FILTER(Matches!$C:$C,B43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43" s="344">
        <f>IFERROR(__xludf.DUMMYFUNCTION("iferror(AVERAGE(ARRAYFORMULA(VLOOKUP(SPLIT(T43,"","",TRUE,TRUE),$R$2:$S654,2,FALSE))),0)"),0.0)</f>
        <v>0</v>
      </c>
      <c r="V43" s="346">
        <f>IFERROR(__xludf.DUMMYFUNCTION("RANK($I43, $I$2:$I654, FALSE) + RANK($M43, Filter($M$2:$M654, $I$2:$I654=$I43),FALSE)+RANK($U43, Filter($U$2:$U654, $I$2:$I654=$I43,$M$2:$M654=$M43),FALSE)-2"),1.0)</f>
        <v>1</v>
      </c>
      <c r="W43" s="347" t="str">
        <f t="shared" si="9"/>
        <v>Underplay</v>
      </c>
      <c r="X43" s="348" t="str">
        <f t="shared" si="10"/>
        <v/>
      </c>
      <c r="Y43" s="349">
        <f>MAXIFS(Matches!$A:$A,Matches!$C:$C,$B43)</f>
        <v>0</v>
      </c>
      <c r="Z43" s="349">
        <f t="array" ref="Z43">XLOOKUP(Y43,Quotas!$B$7:$B$10,Quotas!$A$7:$A$10,0,-1)</f>
        <v>0</v>
      </c>
      <c r="AB43" s="79"/>
      <c r="AC43" s="79">
        <f>COUNTIFS(Matches!$A:$A,"&gt;"&amp;Y43,Matches!$B:$B,$B43)</f>
        <v>0</v>
      </c>
      <c r="AD43" s="79"/>
      <c r="AE43" s="31" t="str">
        <f t="array" ref="AE43">XLOOKUP(B43, 'College List'!A:A, 'College List'!B:B)</f>
        <v>#N/A</v>
      </c>
      <c r="AF43" s="15">
        <v>7.0</v>
      </c>
    </row>
    <row r="44">
      <c r="A44" s="9">
        <f t="shared" si="1"/>
        <v>1</v>
      </c>
      <c r="C44" s="350"/>
      <c r="D44" s="93"/>
      <c r="E44" s="1"/>
      <c r="F44" s="1"/>
      <c r="G44" s="1"/>
      <c r="H44" s="341">
        <f>COUNTIF(Entropy!$D:$D,$B44)+COUNTIF(Matches!$B:$B,$B44)+COUNTIF(Matches!$C:$C,$B44)</f>
        <v>0</v>
      </c>
      <c r="I44" s="342">
        <f>COUNTIF(Matches!$B:$B,B44)</f>
        <v>0</v>
      </c>
      <c r="J44" s="79">
        <f t="shared" si="2"/>
        <v>0</v>
      </c>
      <c r="K44" s="1" t="str">
        <f t="shared" si="3"/>
        <v>0 - 0</v>
      </c>
      <c r="L44" s="343">
        <f>COUNTIF(Entropy!$D:$D,$B44)</f>
        <v>0</v>
      </c>
      <c r="M44" s="344">
        <f t="shared" si="4"/>
        <v>0</v>
      </c>
      <c r="N44" s="344">
        <f t="shared" si="5"/>
        <v>0</v>
      </c>
      <c r="O44" s="341">
        <f>IF($J44=11,0,IF(AND($H44 &gt;=VLOOKUP(Standings!$C$2,Quotas!$A$7:$E$14,4,FALSE), $H44&lt;=VLOOKUP(Standings!$C$2,Quotas!$A$7:$E$14,5,FALSE)), 0,VLOOKUP(Standings!$C$2,Quotas!$A$7:$E$14,4,FALSE)-$H44))</f>
        <v>30</v>
      </c>
      <c r="P44" s="341">
        <f>IF($J44=11,0,IF(AND($H44 &gt;=VLOOKUP(Standings!$C$2,Quotas!$A$7:$E$14,5,FALSE), $H44&lt;=VLOOKUP(Standings!$C$2,Quotas!$A$7:$E$14,5,FALSE)), 0,VLOOKUP(Standings!$C$2,Quotas!$A$7:$E$14,5,FALSE)-$H44))</f>
        <v>30</v>
      </c>
      <c r="Q44" s="79">
        <f t="shared" si="6"/>
        <v>11</v>
      </c>
      <c r="R44" s="345" t="str">
        <f t="shared" si="7"/>
        <v/>
      </c>
      <c r="S44" s="344">
        <f t="shared" si="8"/>
        <v>0.33</v>
      </c>
      <c r="T44" s="345" t="str">
        <f>IFERROR(__xludf.DUMMYFUNCTION("JOIN("","",IFERROR(FILTER(Matches!$B:$B,B44=Matches!$C:$C),""""),IFERROR(FILTER(Matches!$C:$C,B44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44" s="344">
        <f>IFERROR(__xludf.DUMMYFUNCTION("iferror(AVERAGE(ARRAYFORMULA(VLOOKUP(SPLIT(T44,"","",TRUE,TRUE),$R$2:$S654,2,FALSE))),0)"),0.0)</f>
        <v>0</v>
      </c>
      <c r="V44" s="346">
        <f>IFERROR(__xludf.DUMMYFUNCTION("RANK($I44, $I$2:$I654, FALSE) + RANK($M44, Filter($M$2:$M654, $I$2:$I654=$I44),FALSE)+RANK($U44, Filter($U$2:$U654, $I$2:$I654=$I44,$M$2:$M654=$M44),FALSE)-2"),1.0)</f>
        <v>1</v>
      </c>
      <c r="W44" s="347" t="str">
        <f t="shared" si="9"/>
        <v>Underplay</v>
      </c>
      <c r="X44" s="348" t="str">
        <f t="shared" si="10"/>
        <v/>
      </c>
      <c r="Y44" s="349">
        <f>MAXIFS(Matches!$A:$A,Matches!$C:$C,$B44)</f>
        <v>0</v>
      </c>
      <c r="Z44" s="349">
        <f t="array" ref="Z44">XLOOKUP(Y44,Quotas!$B$7:$B$10,Quotas!$A$7:$A$10,0,-1)</f>
        <v>0</v>
      </c>
      <c r="AB44" s="79"/>
      <c r="AC44" s="79">
        <f>COUNTIFS(Matches!$A:$A,"&gt;"&amp;Y44,Matches!$B:$B,$B44)</f>
        <v>0</v>
      </c>
      <c r="AD44" s="79"/>
      <c r="AE44" s="31" t="str">
        <f t="array" ref="AE44">XLOOKUP(B44, 'College List'!A:A, 'College List'!B:B)</f>
        <v>#N/A</v>
      </c>
      <c r="AF44" s="15">
        <v>9.0</v>
      </c>
    </row>
    <row r="45">
      <c r="A45" s="9">
        <f t="shared" si="1"/>
        <v>1</v>
      </c>
      <c r="C45" s="350"/>
      <c r="D45" s="93"/>
      <c r="E45" s="1"/>
      <c r="F45" s="1"/>
      <c r="G45" s="1"/>
      <c r="H45" s="341">
        <f>COUNTIF(Entropy!$D:$D,$B45)+COUNTIF(Matches!$B:$B,$B45)+COUNTIF(Matches!$C:$C,$B45)</f>
        <v>0</v>
      </c>
      <c r="I45" s="342">
        <f>COUNTIF(Matches!$B:$B,B45)</f>
        <v>0</v>
      </c>
      <c r="J45" s="79">
        <f t="shared" si="2"/>
        <v>0</v>
      </c>
      <c r="K45" s="1" t="str">
        <f t="shared" si="3"/>
        <v>0 - 0</v>
      </c>
      <c r="L45" s="343">
        <f>COUNTIF(Entropy!$D:$D,$B45)</f>
        <v>0</v>
      </c>
      <c r="M45" s="344">
        <f t="shared" si="4"/>
        <v>0</v>
      </c>
      <c r="N45" s="344">
        <f t="shared" si="5"/>
        <v>0</v>
      </c>
      <c r="O45" s="341">
        <f>IF($J45=11,0,IF(AND($H45 &gt;=VLOOKUP(Standings!$C$2,Quotas!$A$7:$E$14,4,FALSE), $H45&lt;=VLOOKUP(Standings!$C$2,Quotas!$A$7:$E$14,5,FALSE)), 0,VLOOKUP(Standings!$C$2,Quotas!$A$7:$E$14,4,FALSE)-$H45))</f>
        <v>30</v>
      </c>
      <c r="P45" s="341">
        <f>IF($J45=11,0,IF(AND($H45 &gt;=VLOOKUP(Standings!$C$2,Quotas!$A$7:$E$14,5,FALSE), $H45&lt;=VLOOKUP(Standings!$C$2,Quotas!$A$7:$E$14,5,FALSE)), 0,VLOOKUP(Standings!$C$2,Quotas!$A$7:$E$14,5,FALSE)-$H45))</f>
        <v>30</v>
      </c>
      <c r="Q45" s="79">
        <f t="shared" si="6"/>
        <v>11</v>
      </c>
      <c r="R45" s="345" t="str">
        <f t="shared" si="7"/>
        <v/>
      </c>
      <c r="S45" s="344">
        <f t="shared" si="8"/>
        <v>0.33</v>
      </c>
      <c r="T45" s="345" t="str">
        <f>IFERROR(__xludf.DUMMYFUNCTION("JOIN("","",IFERROR(FILTER(Matches!$B:$B,B45=Matches!$C:$C),""""),IFERROR(FILTER(Matches!$C:$C,B45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45" s="344">
        <f>IFERROR(__xludf.DUMMYFUNCTION("iferror(AVERAGE(ARRAYFORMULA(VLOOKUP(SPLIT(T45,"","",TRUE,TRUE),$R$2:$S654,2,FALSE))),0)"),0.0)</f>
        <v>0</v>
      </c>
      <c r="V45" s="346">
        <f>IFERROR(__xludf.DUMMYFUNCTION("RANK($I45, $I$2:$I654, FALSE) + RANK($M45, Filter($M$2:$M654, $I$2:$I654=$I45),FALSE)+RANK($U45, Filter($U$2:$U654, $I$2:$I654=$I45,$M$2:$M654=$M45),FALSE)-2"),1.0)</f>
        <v>1</v>
      </c>
      <c r="W45" s="347" t="str">
        <f t="shared" si="9"/>
        <v>Underplay</v>
      </c>
      <c r="X45" s="348" t="str">
        <f t="shared" si="10"/>
        <v/>
      </c>
      <c r="Y45" s="349">
        <f>MAXIFS(Matches!$A:$A,Matches!$C:$C,$B45)</f>
        <v>0</v>
      </c>
      <c r="Z45" s="349">
        <f t="array" ref="Z45">XLOOKUP(Y45,Quotas!$B$7:$B$10,Quotas!$A$7:$A$10,0,-1)</f>
        <v>0</v>
      </c>
      <c r="AB45" s="79"/>
      <c r="AC45" s="79">
        <f>COUNTIFS(Matches!$A:$A,"&gt;"&amp;Y45,Matches!$B:$B,$B45)</f>
        <v>0</v>
      </c>
      <c r="AD45" s="79"/>
      <c r="AE45" s="31" t="str">
        <f t="array" ref="AE45">XLOOKUP(B45, 'College List'!A:A, 'College List'!B:B)</f>
        <v>#N/A</v>
      </c>
      <c r="AF45" s="15">
        <v>7.0</v>
      </c>
    </row>
    <row r="46">
      <c r="A46" s="9">
        <f t="shared" si="1"/>
        <v>1</v>
      </c>
      <c r="C46" s="350"/>
      <c r="D46" s="93"/>
      <c r="E46" s="1"/>
      <c r="F46" s="1"/>
      <c r="G46" s="1"/>
      <c r="H46" s="341">
        <f>COUNTIF(Entropy!$D:$D,$B46)+COUNTIF(Matches!$B:$B,$B46)+COUNTIF(Matches!$C:$C,$B46)</f>
        <v>0</v>
      </c>
      <c r="I46" s="342">
        <f>COUNTIF(Matches!$B:$B,B46)</f>
        <v>0</v>
      </c>
      <c r="J46" s="79">
        <f t="shared" si="2"/>
        <v>0</v>
      </c>
      <c r="K46" s="1" t="str">
        <f t="shared" si="3"/>
        <v>0 - 0</v>
      </c>
      <c r="L46" s="343">
        <f>COUNTIF(Entropy!$D:$D,$B46)</f>
        <v>0</v>
      </c>
      <c r="M46" s="344">
        <f t="shared" si="4"/>
        <v>0</v>
      </c>
      <c r="N46" s="344">
        <f t="shared" si="5"/>
        <v>0</v>
      </c>
      <c r="O46" s="341">
        <f>IF($J46=11,0,IF(AND($H46 &gt;=VLOOKUP(Standings!$C$2,Quotas!$A$7:$E$14,4,FALSE), $H46&lt;=VLOOKUP(Standings!$C$2,Quotas!$A$7:$E$14,5,FALSE)), 0,VLOOKUP(Standings!$C$2,Quotas!$A$7:$E$14,4,FALSE)-$H46))</f>
        <v>30</v>
      </c>
      <c r="P46" s="341">
        <f>IF($J46=11,0,IF(AND($H46 &gt;=VLOOKUP(Standings!$C$2,Quotas!$A$7:$E$14,5,FALSE), $H46&lt;=VLOOKUP(Standings!$C$2,Quotas!$A$7:$E$14,5,FALSE)), 0,VLOOKUP(Standings!$C$2,Quotas!$A$7:$E$14,5,FALSE)-$H46))</f>
        <v>30</v>
      </c>
      <c r="Q46" s="79">
        <f t="shared" si="6"/>
        <v>11</v>
      </c>
      <c r="R46" s="345" t="str">
        <f t="shared" si="7"/>
        <v/>
      </c>
      <c r="S46" s="344">
        <f t="shared" si="8"/>
        <v>0.33</v>
      </c>
      <c r="T46" s="345" t="str">
        <f>IFERROR(__xludf.DUMMYFUNCTION("JOIN("","",IFERROR(FILTER(Matches!$B:$B,B46=Matches!$C:$C),""""),IFERROR(FILTER(Matches!$C:$C,B46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46" s="344">
        <f>IFERROR(__xludf.DUMMYFUNCTION("iferror(AVERAGE(ARRAYFORMULA(VLOOKUP(SPLIT(T46,"","",TRUE,TRUE),$R$2:$S654,2,FALSE))),0)"),0.0)</f>
        <v>0</v>
      </c>
      <c r="V46" s="346">
        <f>IFERROR(__xludf.DUMMYFUNCTION("RANK($I46, $I$2:$I654, FALSE) + RANK($M46, Filter($M$2:$M654, $I$2:$I654=$I46),FALSE)+RANK($U46, Filter($U$2:$U654, $I$2:$I654=$I46,$M$2:$M654=$M46),FALSE)-2"),1.0)</f>
        <v>1</v>
      </c>
      <c r="W46" s="347" t="str">
        <f t="shared" si="9"/>
        <v>Underplay</v>
      </c>
      <c r="X46" s="348" t="str">
        <f t="shared" si="10"/>
        <v/>
      </c>
      <c r="Y46" s="349">
        <f>MAXIFS(Matches!$A:$A,Matches!$C:$C,$B46)</f>
        <v>0</v>
      </c>
      <c r="Z46" s="349">
        <f t="array" ref="Z46">XLOOKUP(Y46,Quotas!$B$7:$B$10,Quotas!$A$7:$A$10,0,-1)</f>
        <v>0</v>
      </c>
      <c r="AB46" s="79"/>
      <c r="AC46" s="79">
        <f>COUNTIFS(Matches!$A:$A,"&gt;"&amp;Y46,Matches!$B:$B,$B46)</f>
        <v>0</v>
      </c>
      <c r="AD46" s="79"/>
      <c r="AE46" s="31" t="str">
        <f t="array" ref="AE46">XLOOKUP(B46, 'College List'!A:A, 'College List'!B:B)</f>
        <v>#N/A</v>
      </c>
    </row>
    <row r="47">
      <c r="A47" s="9">
        <f t="shared" si="1"/>
        <v>1</v>
      </c>
      <c r="C47" s="350"/>
      <c r="D47" s="93"/>
      <c r="E47" s="1"/>
      <c r="F47" s="1"/>
      <c r="G47" s="1"/>
      <c r="H47" s="341">
        <f>COUNTIF(Entropy!$D:$D,$B47)+COUNTIF(Matches!$B:$B,$B47)+COUNTIF(Matches!$C:$C,$B47)</f>
        <v>0</v>
      </c>
      <c r="I47" s="342">
        <f>COUNTIF(Matches!$B:$B,B47)</f>
        <v>0</v>
      </c>
      <c r="J47" s="79">
        <f t="shared" si="2"/>
        <v>0</v>
      </c>
      <c r="K47" s="1" t="str">
        <f t="shared" si="3"/>
        <v>0 - 0</v>
      </c>
      <c r="L47" s="343">
        <f>COUNTIF(Entropy!$D:$D,$B47)</f>
        <v>0</v>
      </c>
      <c r="M47" s="344">
        <f t="shared" si="4"/>
        <v>0</v>
      </c>
      <c r="N47" s="344">
        <f t="shared" si="5"/>
        <v>0</v>
      </c>
      <c r="O47" s="341">
        <f>IF($J47=11,0,IF(AND($H47 &gt;=VLOOKUP(Standings!$C$2,Quotas!$A$7:$E$14,4,FALSE), $H47&lt;=VLOOKUP(Standings!$C$2,Quotas!$A$7:$E$14,5,FALSE)), 0,VLOOKUP(Standings!$C$2,Quotas!$A$7:$E$14,4,FALSE)-$H47))</f>
        <v>30</v>
      </c>
      <c r="P47" s="341">
        <f>IF($J47=11,0,IF(AND($H47 &gt;=VLOOKUP(Standings!$C$2,Quotas!$A$7:$E$14,5,FALSE), $H47&lt;=VLOOKUP(Standings!$C$2,Quotas!$A$7:$E$14,5,FALSE)), 0,VLOOKUP(Standings!$C$2,Quotas!$A$7:$E$14,5,FALSE)-$H47))</f>
        <v>30</v>
      </c>
      <c r="Q47" s="79">
        <f t="shared" si="6"/>
        <v>11</v>
      </c>
      <c r="R47" s="345" t="str">
        <f t="shared" si="7"/>
        <v/>
      </c>
      <c r="S47" s="344">
        <f t="shared" si="8"/>
        <v>0.33</v>
      </c>
      <c r="T47" s="345" t="str">
        <f>IFERROR(__xludf.DUMMYFUNCTION("JOIN("","",IFERROR(FILTER(Matches!$B:$B,B47=Matches!$C:$C),""""),IFERROR(FILTER(Matches!$C:$C,B47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47" s="344">
        <f>IFERROR(__xludf.DUMMYFUNCTION("iferror(AVERAGE(ARRAYFORMULA(VLOOKUP(SPLIT(T47,"","",TRUE,TRUE),$R$2:$S654,2,FALSE))),0)"),0.0)</f>
        <v>0</v>
      </c>
      <c r="V47" s="346">
        <f>IFERROR(__xludf.DUMMYFUNCTION("RANK($I47, $I$2:$I654, FALSE) + RANK($M47, Filter($M$2:$M654, $I$2:$I654=$I47),FALSE)+RANK($U47, Filter($U$2:$U654, $I$2:$I654=$I47,$M$2:$M654=$M47),FALSE)-2"),1.0)</f>
        <v>1</v>
      </c>
      <c r="W47" s="347" t="str">
        <f t="shared" si="9"/>
        <v>Underplay</v>
      </c>
      <c r="X47" s="348" t="str">
        <f t="shared" si="10"/>
        <v/>
      </c>
      <c r="Y47" s="349">
        <f>MAXIFS(Matches!$A:$A,Matches!$C:$C,$B47)</f>
        <v>0</v>
      </c>
      <c r="Z47" s="349">
        <f t="array" ref="Z47">XLOOKUP(Y47,Quotas!$B$7:$B$10,Quotas!$A$7:$A$10,0,-1)</f>
        <v>0</v>
      </c>
      <c r="AB47" s="79"/>
      <c r="AC47" s="79">
        <f>COUNTIFS(Matches!$A:$A,"&gt;"&amp;Y47,Matches!$B:$B,$B47)</f>
        <v>0</v>
      </c>
      <c r="AD47" s="79"/>
      <c r="AE47" s="31" t="str">
        <f t="array" ref="AE47">XLOOKUP(B47, 'College List'!A:A, 'College List'!B:B)</f>
        <v>#N/A</v>
      </c>
      <c r="AF47" s="15">
        <v>7.0</v>
      </c>
    </row>
    <row r="48">
      <c r="A48" s="9">
        <f t="shared" si="1"/>
        <v>1</v>
      </c>
      <c r="C48" s="350"/>
      <c r="D48" s="93"/>
      <c r="E48" s="1"/>
      <c r="F48" s="1"/>
      <c r="G48" s="1"/>
      <c r="H48" s="341">
        <f>COUNTIF(Entropy!$D:$D,$B48)+COUNTIF(Matches!$B:$B,$B48)+COUNTIF(Matches!$C:$C,$B48)</f>
        <v>0</v>
      </c>
      <c r="I48" s="342">
        <f>COUNTIF(Matches!$B:$B,B48)</f>
        <v>0</v>
      </c>
      <c r="J48" s="79">
        <f t="shared" si="2"/>
        <v>0</v>
      </c>
      <c r="K48" s="1" t="str">
        <f t="shared" si="3"/>
        <v>0 - 0</v>
      </c>
      <c r="L48" s="343">
        <f>COUNTIF(Entropy!$D:$D,$B48)</f>
        <v>0</v>
      </c>
      <c r="M48" s="344">
        <f t="shared" si="4"/>
        <v>0</v>
      </c>
      <c r="N48" s="344">
        <f t="shared" si="5"/>
        <v>0</v>
      </c>
      <c r="O48" s="341">
        <f>IF($J48=11,0,IF(AND($H48 &gt;=VLOOKUP(Standings!$C$2,Quotas!$A$7:$E$14,4,FALSE), $H48&lt;=VLOOKUP(Standings!$C$2,Quotas!$A$7:$E$14,5,FALSE)), 0,VLOOKUP(Standings!$C$2,Quotas!$A$7:$E$14,4,FALSE)-$H48))</f>
        <v>30</v>
      </c>
      <c r="P48" s="341">
        <f>IF($J48=11,0,IF(AND($H48 &gt;=VLOOKUP(Standings!$C$2,Quotas!$A$7:$E$14,5,FALSE), $H48&lt;=VLOOKUP(Standings!$C$2,Quotas!$A$7:$E$14,5,FALSE)), 0,VLOOKUP(Standings!$C$2,Quotas!$A$7:$E$14,5,FALSE)-$H48))</f>
        <v>30</v>
      </c>
      <c r="Q48" s="79">
        <f t="shared" si="6"/>
        <v>11</v>
      </c>
      <c r="R48" s="345" t="str">
        <f t="shared" si="7"/>
        <v/>
      </c>
      <c r="S48" s="344">
        <f t="shared" si="8"/>
        <v>0.33</v>
      </c>
      <c r="T48" s="345" t="str">
        <f>IFERROR(__xludf.DUMMYFUNCTION("JOIN("","",IFERROR(FILTER(Matches!$B:$B,B48=Matches!$C:$C),""""),IFERROR(FILTER(Matches!$C:$C,B48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48" s="344">
        <f>IFERROR(__xludf.DUMMYFUNCTION("iferror(AVERAGE(ARRAYFORMULA(VLOOKUP(SPLIT(T48,"","",TRUE,TRUE),$R$2:$S654,2,FALSE))),0)"),0.0)</f>
        <v>0</v>
      </c>
      <c r="V48" s="346">
        <f>IFERROR(__xludf.DUMMYFUNCTION("RANK($I48, $I$2:$I654, FALSE) + RANK($M48, Filter($M$2:$M654, $I$2:$I654=$I48),FALSE)+RANK($U48, Filter($U$2:$U654, $I$2:$I654=$I48,$M$2:$M654=$M48),FALSE)-2"),1.0)</f>
        <v>1</v>
      </c>
      <c r="W48" s="347" t="str">
        <f t="shared" si="9"/>
        <v>Underplay</v>
      </c>
      <c r="X48" s="348" t="str">
        <f t="shared" si="10"/>
        <v/>
      </c>
      <c r="Y48" s="349">
        <f>MAXIFS(Matches!$A:$A,Matches!$C:$C,$B48)</f>
        <v>0</v>
      </c>
      <c r="Z48" s="349">
        <f t="array" ref="Z48">XLOOKUP(Y48,Quotas!$B$7:$B$10,Quotas!$A$7:$A$10,0,-1)</f>
        <v>0</v>
      </c>
      <c r="AB48" s="79"/>
      <c r="AC48" s="79">
        <f>COUNTIFS(Matches!$A:$A,"&gt;"&amp;Y48,Matches!$B:$B,$B48)</f>
        <v>0</v>
      </c>
      <c r="AD48" s="79"/>
      <c r="AE48" s="31" t="str">
        <f t="array" ref="AE48">XLOOKUP(B48, 'College List'!A:A, 'College List'!B:B)</f>
        <v>#N/A</v>
      </c>
    </row>
    <row r="49">
      <c r="A49" s="9">
        <f t="shared" si="1"/>
        <v>1</v>
      </c>
      <c r="C49" s="350"/>
      <c r="D49" s="93"/>
      <c r="E49" s="1"/>
      <c r="F49" s="1"/>
      <c r="G49" s="1"/>
      <c r="H49" s="341">
        <f>COUNTIF(Entropy!$D:$D,$B49)+COUNTIF(Matches!$B:$B,$B49)+COUNTIF(Matches!$C:$C,$B49)</f>
        <v>0</v>
      </c>
      <c r="I49" s="342">
        <f>COUNTIF(Matches!$B:$B,B49)</f>
        <v>0</v>
      </c>
      <c r="J49" s="79">
        <f t="shared" si="2"/>
        <v>0</v>
      </c>
      <c r="K49" s="1" t="str">
        <f t="shared" si="3"/>
        <v>0 - 0</v>
      </c>
      <c r="L49" s="343">
        <f>COUNTIF(Entropy!$D:$D,$B49)</f>
        <v>0</v>
      </c>
      <c r="M49" s="344">
        <f t="shared" si="4"/>
        <v>0</v>
      </c>
      <c r="N49" s="344">
        <f t="shared" si="5"/>
        <v>0</v>
      </c>
      <c r="O49" s="341">
        <f>IF($J49=11,0,IF(AND($H49 &gt;=VLOOKUP(Standings!$C$2,Quotas!$A$7:$E$14,4,FALSE), $H49&lt;=VLOOKUP(Standings!$C$2,Quotas!$A$7:$E$14,5,FALSE)), 0,VLOOKUP(Standings!$C$2,Quotas!$A$7:$E$14,4,FALSE)-$H49))</f>
        <v>30</v>
      </c>
      <c r="P49" s="341">
        <f>IF($J49=11,0,IF(AND($H49 &gt;=VLOOKUP(Standings!$C$2,Quotas!$A$7:$E$14,5,FALSE), $H49&lt;=VLOOKUP(Standings!$C$2,Quotas!$A$7:$E$14,5,FALSE)), 0,VLOOKUP(Standings!$C$2,Quotas!$A$7:$E$14,5,FALSE)-$H49))</f>
        <v>30</v>
      </c>
      <c r="Q49" s="79">
        <f t="shared" si="6"/>
        <v>11</v>
      </c>
      <c r="R49" s="345" t="str">
        <f t="shared" si="7"/>
        <v/>
      </c>
      <c r="S49" s="344">
        <f t="shared" si="8"/>
        <v>0.33</v>
      </c>
      <c r="T49" s="345" t="str">
        <f>IFERROR(__xludf.DUMMYFUNCTION("JOIN("","",IFERROR(FILTER(Matches!$B:$B,B49=Matches!$C:$C),""""),IFERROR(FILTER(Matches!$C:$C,B49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49" s="344">
        <f>IFERROR(__xludf.DUMMYFUNCTION("iferror(AVERAGE(ARRAYFORMULA(VLOOKUP(SPLIT(T49,"","",TRUE,TRUE),$R$2:$S654,2,FALSE))),0)"),0.0)</f>
        <v>0</v>
      </c>
      <c r="V49" s="346">
        <f>IFERROR(__xludf.DUMMYFUNCTION("RANK($I49, $I$2:$I654, FALSE) + RANK($M49, Filter($M$2:$M654, $I$2:$I654=$I49),FALSE)+RANK($U49, Filter($U$2:$U654, $I$2:$I654=$I49,$M$2:$M654=$M49),FALSE)-2"),1.0)</f>
        <v>1</v>
      </c>
      <c r="W49" s="347" t="str">
        <f t="shared" si="9"/>
        <v>Underplay</v>
      </c>
      <c r="X49" s="348" t="str">
        <f t="shared" si="10"/>
        <v/>
      </c>
      <c r="Y49" s="349">
        <f>MAXIFS(Matches!$A:$A,Matches!$C:$C,$B49)</f>
        <v>0</v>
      </c>
      <c r="Z49" s="349">
        <f t="array" ref="Z49">XLOOKUP(Y49,Quotas!$B$7:$B$10,Quotas!$A$7:$A$10,0,-1)</f>
        <v>0</v>
      </c>
      <c r="AB49" s="79"/>
      <c r="AC49" s="79">
        <f>COUNTIFS(Matches!$A:$A,"&gt;"&amp;Y49,Matches!$B:$B,$B49)</f>
        <v>0</v>
      </c>
      <c r="AD49" s="79"/>
      <c r="AE49" s="31" t="str">
        <f t="array" ref="AE49">XLOOKUP(B49, 'College List'!A:A, 'College List'!B:B)</f>
        <v>#N/A</v>
      </c>
      <c r="AF49" s="15">
        <v>8.0</v>
      </c>
    </row>
    <row r="50">
      <c r="A50" s="9">
        <f t="shared" si="1"/>
        <v>1</v>
      </c>
      <c r="C50" s="350"/>
      <c r="D50" s="93"/>
      <c r="E50" s="1"/>
      <c r="F50" s="1"/>
      <c r="G50" s="1"/>
      <c r="H50" s="341">
        <f>COUNTIF(Entropy!$D:$D,$B50)+COUNTIF(Matches!$B:$B,$B50)+COUNTIF(Matches!$C:$C,$B50)</f>
        <v>0</v>
      </c>
      <c r="I50" s="342">
        <f>COUNTIF(Matches!$B:$B,B50)</f>
        <v>0</v>
      </c>
      <c r="J50" s="79">
        <f t="shared" si="2"/>
        <v>0</v>
      </c>
      <c r="K50" s="1" t="str">
        <f t="shared" si="3"/>
        <v>0 - 0</v>
      </c>
      <c r="L50" s="343">
        <f>COUNTIF(Entropy!$D:$D,$B50)</f>
        <v>0</v>
      </c>
      <c r="M50" s="344">
        <f t="shared" si="4"/>
        <v>0</v>
      </c>
      <c r="N50" s="344">
        <f t="shared" si="5"/>
        <v>0</v>
      </c>
      <c r="O50" s="341">
        <f>IF($J50=11,0,IF(AND($H50 &gt;=VLOOKUP(Standings!$C$2,Quotas!$A$7:$E$14,4,FALSE), $H50&lt;=VLOOKUP(Standings!$C$2,Quotas!$A$7:$E$14,5,FALSE)), 0,VLOOKUP(Standings!$C$2,Quotas!$A$7:$E$14,4,FALSE)-$H50))</f>
        <v>30</v>
      </c>
      <c r="P50" s="341">
        <f>IF($J50=11,0,IF(AND($H50 &gt;=VLOOKUP(Standings!$C$2,Quotas!$A$7:$E$14,5,FALSE), $H50&lt;=VLOOKUP(Standings!$C$2,Quotas!$A$7:$E$14,5,FALSE)), 0,VLOOKUP(Standings!$C$2,Quotas!$A$7:$E$14,5,FALSE)-$H50))</f>
        <v>30</v>
      </c>
      <c r="Q50" s="79">
        <f t="shared" si="6"/>
        <v>11</v>
      </c>
      <c r="R50" s="345" t="str">
        <f t="shared" si="7"/>
        <v/>
      </c>
      <c r="S50" s="344">
        <f t="shared" si="8"/>
        <v>0.33</v>
      </c>
      <c r="T50" s="345" t="str">
        <f>IFERROR(__xludf.DUMMYFUNCTION("JOIN("","",IFERROR(FILTER(Matches!$B:$B,B50=Matches!$C:$C),""""),IFERROR(FILTER(Matches!$C:$C,B50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50" s="344">
        <f>IFERROR(__xludf.DUMMYFUNCTION("iferror(AVERAGE(ARRAYFORMULA(VLOOKUP(SPLIT(T50,"","",TRUE,TRUE),$R$2:$S654,2,FALSE))),0)"),0.0)</f>
        <v>0</v>
      </c>
      <c r="V50" s="346">
        <f>IFERROR(__xludf.DUMMYFUNCTION("RANK($I50, $I$2:$I654, FALSE) + RANK($M50, Filter($M$2:$M654, $I$2:$I654=$I50),FALSE)+RANK($U50, Filter($U$2:$U654, $I$2:$I654=$I50,$M$2:$M654=$M50),FALSE)-2"),1.0)</f>
        <v>1</v>
      </c>
      <c r="W50" s="347" t="str">
        <f t="shared" si="9"/>
        <v>Underplay</v>
      </c>
      <c r="X50" s="348" t="str">
        <f t="shared" si="10"/>
        <v/>
      </c>
      <c r="Y50" s="349">
        <f>MAXIFS(Matches!$A:$A,Matches!$C:$C,$B50)</f>
        <v>0</v>
      </c>
      <c r="Z50" s="349">
        <f t="array" ref="Z50">XLOOKUP(Y50,Quotas!$B$7:$B$10,Quotas!$A$7:$A$10,0,-1)</f>
        <v>0</v>
      </c>
      <c r="AB50" s="79"/>
      <c r="AC50" s="79">
        <f>COUNTIFS(Matches!$A:$A,"&gt;"&amp;Y50,Matches!$B:$B,$B50)</f>
        <v>0</v>
      </c>
      <c r="AD50" s="79"/>
      <c r="AE50" s="31" t="str">
        <f t="array" ref="AE50">XLOOKUP(B50, 'College List'!A:A, 'College List'!B:B)</f>
        <v>#N/A</v>
      </c>
      <c r="AF50" s="15">
        <v>9.0</v>
      </c>
    </row>
    <row r="51">
      <c r="A51" s="9">
        <f t="shared" si="1"/>
        <v>1</v>
      </c>
      <c r="C51" s="350"/>
      <c r="D51" s="93"/>
      <c r="E51" s="1"/>
      <c r="F51" s="1"/>
      <c r="G51" s="1"/>
      <c r="H51" s="341">
        <f>COUNTIF(Entropy!$D:$D,$B51)+COUNTIF(Matches!$B:$B,$B51)+COUNTIF(Matches!$C:$C,$B51)</f>
        <v>0</v>
      </c>
      <c r="I51" s="342">
        <f>COUNTIF(Matches!$B:$B,B51)</f>
        <v>0</v>
      </c>
      <c r="J51" s="79">
        <f t="shared" si="2"/>
        <v>0</v>
      </c>
      <c r="K51" s="1" t="str">
        <f t="shared" si="3"/>
        <v>0 - 0</v>
      </c>
      <c r="L51" s="343">
        <f>COUNTIF(Entropy!$D:$D,$B51)</f>
        <v>0</v>
      </c>
      <c r="M51" s="344">
        <f t="shared" si="4"/>
        <v>0</v>
      </c>
      <c r="N51" s="344">
        <f t="shared" si="5"/>
        <v>0</v>
      </c>
      <c r="O51" s="341">
        <f>IF($J51=11,0,IF(AND($H51 &gt;=VLOOKUP(Standings!$C$2,Quotas!$A$7:$E$14,4,FALSE), $H51&lt;=VLOOKUP(Standings!$C$2,Quotas!$A$7:$E$14,5,FALSE)), 0,VLOOKUP(Standings!$C$2,Quotas!$A$7:$E$14,4,FALSE)-$H51))</f>
        <v>30</v>
      </c>
      <c r="P51" s="341">
        <f>IF($J51=11,0,IF(AND($H51 &gt;=VLOOKUP(Standings!$C$2,Quotas!$A$7:$E$14,5,FALSE), $H51&lt;=VLOOKUP(Standings!$C$2,Quotas!$A$7:$E$14,5,FALSE)), 0,VLOOKUP(Standings!$C$2,Quotas!$A$7:$E$14,5,FALSE)-$H51))</f>
        <v>30</v>
      </c>
      <c r="Q51" s="79">
        <f t="shared" si="6"/>
        <v>11</v>
      </c>
      <c r="R51" s="345" t="str">
        <f t="shared" si="7"/>
        <v/>
      </c>
      <c r="S51" s="344">
        <f t="shared" si="8"/>
        <v>0.33</v>
      </c>
      <c r="T51" s="345" t="str">
        <f>IFERROR(__xludf.DUMMYFUNCTION("JOIN("","",IFERROR(FILTER(Matches!$B:$B,B51=Matches!$C:$C),""""),IFERROR(FILTER(Matches!$C:$C,B51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51" s="344">
        <f>IFERROR(__xludf.DUMMYFUNCTION("iferror(AVERAGE(ARRAYFORMULA(VLOOKUP(SPLIT(T51,"","",TRUE,TRUE),$R$2:$S654,2,FALSE))),0)"),0.0)</f>
        <v>0</v>
      </c>
      <c r="V51" s="346">
        <f>IFERROR(__xludf.DUMMYFUNCTION("RANK($I51, $I$2:$I654, FALSE) + RANK($M51, Filter($M$2:$M654, $I$2:$I654=$I51),FALSE)+RANK($U51, Filter($U$2:$U654, $I$2:$I654=$I51,$M$2:$M654=$M51),FALSE)-2"),1.0)</f>
        <v>1</v>
      </c>
      <c r="W51" s="347" t="str">
        <f t="shared" si="9"/>
        <v>Underplay</v>
      </c>
      <c r="X51" s="348" t="str">
        <f t="shared" si="10"/>
        <v/>
      </c>
      <c r="Y51" s="349">
        <f>MAXIFS(Matches!$A:$A,Matches!$C:$C,$B51)</f>
        <v>0</v>
      </c>
      <c r="Z51" s="349">
        <f t="array" ref="Z51">XLOOKUP(Y51,Quotas!$B$7:$B$10,Quotas!$A$7:$A$10,0,-1)</f>
        <v>0</v>
      </c>
      <c r="AB51" s="79"/>
      <c r="AC51" s="79">
        <f>COUNTIFS(Matches!$A:$A,"&gt;"&amp;Y51,Matches!$B:$B,$B51)</f>
        <v>0</v>
      </c>
      <c r="AD51" s="79"/>
      <c r="AE51" s="31" t="str">
        <f t="array" ref="AE51">XLOOKUP(B51, 'College List'!A:A, 'College List'!B:B)</f>
        <v>#N/A</v>
      </c>
      <c r="AF51" s="15">
        <v>9.0</v>
      </c>
    </row>
    <row r="52">
      <c r="A52" s="9">
        <f t="shared" si="1"/>
        <v>1</v>
      </c>
      <c r="C52" s="350"/>
      <c r="D52" s="93"/>
      <c r="E52" s="1"/>
      <c r="F52" s="1"/>
      <c r="G52" s="1"/>
      <c r="H52" s="341">
        <f>COUNTIF(Entropy!$D:$D,$B52)+COUNTIF(Matches!$B:$B,$B52)+COUNTIF(Matches!$C:$C,$B52)</f>
        <v>0</v>
      </c>
      <c r="I52" s="342">
        <f>COUNTIF(Matches!$B:$B,B52)</f>
        <v>0</v>
      </c>
      <c r="J52" s="79">
        <f t="shared" si="2"/>
        <v>0</v>
      </c>
      <c r="K52" s="1" t="str">
        <f t="shared" si="3"/>
        <v>0 - 0</v>
      </c>
      <c r="L52" s="343">
        <f>COUNTIF(Entropy!$D:$D,$B52)</f>
        <v>0</v>
      </c>
      <c r="M52" s="344">
        <f t="shared" si="4"/>
        <v>0</v>
      </c>
      <c r="N52" s="344">
        <f t="shared" si="5"/>
        <v>0</v>
      </c>
      <c r="O52" s="341">
        <f>IF($J52=11,0,IF(AND($H52 &gt;=VLOOKUP(Standings!$C$2,Quotas!$A$7:$E$14,4,FALSE), $H52&lt;=VLOOKUP(Standings!$C$2,Quotas!$A$7:$E$14,5,FALSE)), 0,VLOOKUP(Standings!$C$2,Quotas!$A$7:$E$14,4,FALSE)-$H52))</f>
        <v>30</v>
      </c>
      <c r="P52" s="341">
        <f>IF($J52=11,0,IF(AND($H52 &gt;=VLOOKUP(Standings!$C$2,Quotas!$A$7:$E$14,5,FALSE), $H52&lt;=VLOOKUP(Standings!$C$2,Quotas!$A$7:$E$14,5,FALSE)), 0,VLOOKUP(Standings!$C$2,Quotas!$A$7:$E$14,5,FALSE)-$H52))</f>
        <v>30</v>
      </c>
      <c r="Q52" s="79">
        <f t="shared" si="6"/>
        <v>11</v>
      </c>
      <c r="R52" s="345" t="str">
        <f t="shared" si="7"/>
        <v/>
      </c>
      <c r="S52" s="344">
        <f t="shared" si="8"/>
        <v>0.33</v>
      </c>
      <c r="T52" s="345" t="str">
        <f>IFERROR(__xludf.DUMMYFUNCTION("JOIN("","",IFERROR(FILTER(Matches!$B:$B,B52=Matches!$C:$C),""""),IFERROR(FILTER(Matches!$C:$C,B52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52" s="344">
        <f>IFERROR(__xludf.DUMMYFUNCTION("iferror(AVERAGE(ARRAYFORMULA(VLOOKUP(SPLIT(T52,"","",TRUE,TRUE),$R$2:$S654,2,FALSE))),0)"),0.0)</f>
        <v>0</v>
      </c>
      <c r="V52" s="346">
        <f>IFERROR(__xludf.DUMMYFUNCTION("RANK($I52, $I$2:$I654, FALSE) + RANK($M52, Filter($M$2:$M654, $I$2:$I654=$I52),FALSE)+RANK($U52, Filter($U$2:$U654, $I$2:$I654=$I52,$M$2:$M654=$M52),FALSE)-2"),1.0)</f>
        <v>1</v>
      </c>
      <c r="W52" s="347" t="str">
        <f t="shared" si="9"/>
        <v>Underplay</v>
      </c>
      <c r="X52" s="348" t="str">
        <f t="shared" si="10"/>
        <v/>
      </c>
      <c r="Y52" s="349">
        <f>MAXIFS(Matches!$A:$A,Matches!$C:$C,$B52)</f>
        <v>0</v>
      </c>
      <c r="Z52" s="349">
        <f t="array" ref="Z52">XLOOKUP(Y52,Quotas!$B$7:$B$10,Quotas!$A$7:$A$10,0,-1)</f>
        <v>0</v>
      </c>
      <c r="AB52" s="79"/>
      <c r="AC52" s="79">
        <f>COUNTIFS(Matches!$A:$A,"&gt;"&amp;Y52,Matches!$B:$B,$B52)</f>
        <v>0</v>
      </c>
      <c r="AD52" s="79"/>
      <c r="AE52" s="31" t="str">
        <f t="array" ref="AE52">XLOOKUP(B52, 'College List'!A:A, 'College List'!B:B)</f>
        <v>#N/A</v>
      </c>
      <c r="AF52" s="15">
        <v>9.0</v>
      </c>
    </row>
    <row r="53">
      <c r="A53" s="9">
        <f t="shared" si="1"/>
        <v>1</v>
      </c>
      <c r="C53" s="350"/>
      <c r="D53" s="93"/>
      <c r="E53" s="1"/>
      <c r="F53" s="1"/>
      <c r="G53" s="1"/>
      <c r="H53" s="341">
        <f>COUNTIF(Entropy!$D:$D,$B53)+COUNTIF(Matches!$B:$B,$B53)+COUNTIF(Matches!$C:$C,$B53)</f>
        <v>0</v>
      </c>
      <c r="I53" s="342">
        <f>COUNTIF(Matches!$B:$B,B53)</f>
        <v>0</v>
      </c>
      <c r="J53" s="79">
        <f t="shared" si="2"/>
        <v>0</v>
      </c>
      <c r="K53" s="1" t="str">
        <f t="shared" si="3"/>
        <v>0 - 0</v>
      </c>
      <c r="L53" s="343">
        <f>COUNTIF(Entropy!$D:$D,$B53)</f>
        <v>0</v>
      </c>
      <c r="M53" s="344">
        <f t="shared" si="4"/>
        <v>0</v>
      </c>
      <c r="N53" s="344">
        <f t="shared" si="5"/>
        <v>0</v>
      </c>
      <c r="O53" s="341">
        <f>IF($J53=11,0,IF(AND($H53 &gt;=VLOOKUP(Standings!$C$2,Quotas!$A$7:$E$14,4,FALSE), $H53&lt;=VLOOKUP(Standings!$C$2,Quotas!$A$7:$E$14,5,FALSE)), 0,VLOOKUP(Standings!$C$2,Quotas!$A$7:$E$14,4,FALSE)-$H53))</f>
        <v>30</v>
      </c>
      <c r="P53" s="341">
        <f>IF($J53=11,0,IF(AND($H53 &gt;=VLOOKUP(Standings!$C$2,Quotas!$A$7:$E$14,5,FALSE), $H53&lt;=VLOOKUP(Standings!$C$2,Quotas!$A$7:$E$14,5,FALSE)), 0,VLOOKUP(Standings!$C$2,Quotas!$A$7:$E$14,5,FALSE)-$H53))</f>
        <v>30</v>
      </c>
      <c r="Q53" s="79">
        <f t="shared" si="6"/>
        <v>11</v>
      </c>
      <c r="R53" s="345" t="str">
        <f t="shared" si="7"/>
        <v/>
      </c>
      <c r="S53" s="344">
        <f t="shared" si="8"/>
        <v>0.33</v>
      </c>
      <c r="T53" s="345" t="str">
        <f>IFERROR(__xludf.DUMMYFUNCTION("JOIN("","",IFERROR(FILTER(Matches!$B:$B,B53=Matches!$C:$C),""""),IFERROR(FILTER(Matches!$C:$C,B53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53" s="344">
        <f>IFERROR(__xludf.DUMMYFUNCTION("iferror(AVERAGE(ARRAYFORMULA(VLOOKUP(SPLIT(T53,"","",TRUE,TRUE),$R$2:$S654,2,FALSE))),0)"),0.0)</f>
        <v>0</v>
      </c>
      <c r="V53" s="346">
        <f>IFERROR(__xludf.DUMMYFUNCTION("RANK($I53, $I$2:$I654, FALSE) + RANK($M53, Filter($M$2:$M654, $I$2:$I654=$I53),FALSE)+RANK($U53, Filter($U$2:$U654, $I$2:$I654=$I53,$M$2:$M654=$M53),FALSE)-2"),1.0)</f>
        <v>1</v>
      </c>
      <c r="W53" s="347" t="str">
        <f t="shared" si="9"/>
        <v>Underplay</v>
      </c>
      <c r="X53" s="348" t="str">
        <f t="shared" si="10"/>
        <v/>
      </c>
      <c r="Y53" s="349">
        <f>MAXIFS(Matches!$A:$A,Matches!$C:$C,$B53)</f>
        <v>0</v>
      </c>
      <c r="Z53" s="349">
        <f t="array" ref="Z53">XLOOKUP(Y53,Quotas!$B$7:$B$10,Quotas!$A$7:$A$10,0,-1)</f>
        <v>0</v>
      </c>
      <c r="AB53" s="79"/>
      <c r="AC53" s="79">
        <f>COUNTIFS(Matches!$A:$A,"&gt;"&amp;Y53,Matches!$B:$B,$B53)</f>
        <v>0</v>
      </c>
      <c r="AD53" s="79"/>
      <c r="AE53" s="31" t="str">
        <f t="array" ref="AE53">XLOOKUP(B53, 'College List'!A:A, 'College List'!B:B)</f>
        <v>#N/A</v>
      </c>
      <c r="AF53" s="15">
        <v>9.0</v>
      </c>
    </row>
    <row r="54">
      <c r="A54" s="9">
        <f t="shared" si="1"/>
        <v>1</v>
      </c>
      <c r="C54" s="350"/>
      <c r="D54" s="93"/>
      <c r="E54" s="1"/>
      <c r="F54" s="1"/>
      <c r="G54" s="1"/>
      <c r="H54" s="341">
        <f>COUNTIF(Entropy!$D:$D,$B54)+COUNTIF(Matches!$B:$B,$B54)+COUNTIF(Matches!$C:$C,$B54)</f>
        <v>0</v>
      </c>
      <c r="I54" s="342">
        <f>COUNTIF(Matches!$B:$B,B54)</f>
        <v>0</v>
      </c>
      <c r="J54" s="79">
        <f t="shared" si="2"/>
        <v>0</v>
      </c>
      <c r="K54" s="1" t="str">
        <f t="shared" si="3"/>
        <v>0 - 0</v>
      </c>
      <c r="L54" s="343">
        <f>COUNTIF(Entropy!$D:$D,$B54)</f>
        <v>0</v>
      </c>
      <c r="M54" s="344">
        <f t="shared" si="4"/>
        <v>0</v>
      </c>
      <c r="N54" s="344">
        <f t="shared" si="5"/>
        <v>0</v>
      </c>
      <c r="O54" s="341">
        <f>IF($J54=11,0,IF(AND($H54 &gt;=VLOOKUP(Standings!$C$2,Quotas!$A$7:$E$14,4,FALSE), $H54&lt;=VLOOKUP(Standings!$C$2,Quotas!$A$7:$E$14,5,FALSE)), 0,VLOOKUP(Standings!$C$2,Quotas!$A$7:$E$14,4,FALSE)-$H54))</f>
        <v>30</v>
      </c>
      <c r="P54" s="341">
        <f>IF($J54=11,0,IF(AND($H54 &gt;=VLOOKUP(Standings!$C$2,Quotas!$A$7:$E$14,5,FALSE), $H54&lt;=VLOOKUP(Standings!$C$2,Quotas!$A$7:$E$14,5,FALSE)), 0,VLOOKUP(Standings!$C$2,Quotas!$A$7:$E$14,5,FALSE)-$H54))</f>
        <v>30</v>
      </c>
      <c r="Q54" s="79">
        <f t="shared" si="6"/>
        <v>11</v>
      </c>
      <c r="R54" s="345" t="str">
        <f t="shared" si="7"/>
        <v/>
      </c>
      <c r="S54" s="344">
        <f t="shared" si="8"/>
        <v>0.33</v>
      </c>
      <c r="T54" s="345" t="str">
        <f>IFERROR(__xludf.DUMMYFUNCTION("JOIN("","",IFERROR(FILTER(Matches!$B:$B,B54=Matches!$C:$C),""""),IFERROR(FILTER(Matches!$C:$C,B54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54" s="344">
        <f>IFERROR(__xludf.DUMMYFUNCTION("iferror(AVERAGE(ARRAYFORMULA(VLOOKUP(SPLIT(T54,"","",TRUE,TRUE),$R$2:$S654,2,FALSE))),0)"),0.0)</f>
        <v>0</v>
      </c>
      <c r="V54" s="346">
        <f>IFERROR(__xludf.DUMMYFUNCTION("RANK($I54, $I$2:$I654, FALSE) + RANK($M54, Filter($M$2:$M654, $I$2:$I654=$I54),FALSE)+RANK($U54, Filter($U$2:$U654, $I$2:$I654=$I54,$M$2:$M654=$M54),FALSE)-2"),1.0)</f>
        <v>1</v>
      </c>
      <c r="W54" s="347" t="str">
        <f t="shared" si="9"/>
        <v>Underplay</v>
      </c>
      <c r="X54" s="348" t="str">
        <f t="shared" si="10"/>
        <v/>
      </c>
      <c r="Y54" s="349">
        <f>MAXIFS(Matches!$A:$A,Matches!$C:$C,$B54)</f>
        <v>0</v>
      </c>
      <c r="Z54" s="349">
        <f t="array" ref="Z54">XLOOKUP(Y54,Quotas!$B$7:$B$10,Quotas!$A$7:$A$10,0,-1)</f>
        <v>0</v>
      </c>
      <c r="AB54" s="79"/>
      <c r="AC54" s="79">
        <f>COUNTIFS(Matches!$A:$A,"&gt;"&amp;Y54,Matches!$B:$B,$B54)</f>
        <v>0</v>
      </c>
      <c r="AD54" s="79"/>
      <c r="AE54" s="31" t="str">
        <f t="array" ref="AE54">XLOOKUP(B54, 'College List'!A:A, 'College List'!B:B)</f>
        <v>#N/A</v>
      </c>
      <c r="AF54" s="15">
        <v>9.0</v>
      </c>
    </row>
    <row r="55">
      <c r="A55" s="9">
        <f t="shared" si="1"/>
        <v>1</v>
      </c>
      <c r="C55" s="350"/>
      <c r="D55" s="93"/>
      <c r="E55" s="1"/>
      <c r="F55" s="1"/>
      <c r="G55" s="1"/>
      <c r="H55" s="341">
        <f>COUNTIF(Entropy!$D:$D,$B55)+COUNTIF(Matches!$B:$B,$B55)+COUNTIF(Matches!$C:$C,$B55)</f>
        <v>0</v>
      </c>
      <c r="I55" s="342">
        <f>COUNTIF(Matches!$B:$B,B55)</f>
        <v>0</v>
      </c>
      <c r="J55" s="79">
        <f t="shared" si="2"/>
        <v>0</v>
      </c>
      <c r="K55" s="1" t="str">
        <f t="shared" si="3"/>
        <v>0 - 0</v>
      </c>
      <c r="L55" s="343">
        <f>COUNTIF(Entropy!$D:$D,$B55)</f>
        <v>0</v>
      </c>
      <c r="M55" s="344">
        <f t="shared" si="4"/>
        <v>0</v>
      </c>
      <c r="N55" s="344">
        <f t="shared" si="5"/>
        <v>0</v>
      </c>
      <c r="O55" s="341">
        <f>IF($J55=11,0,IF(AND($H55 &gt;=VLOOKUP(Standings!$C$2,Quotas!$A$7:$E$14,4,FALSE), $H55&lt;=VLOOKUP(Standings!$C$2,Quotas!$A$7:$E$14,5,FALSE)), 0,VLOOKUP(Standings!$C$2,Quotas!$A$7:$E$14,4,FALSE)-$H55))</f>
        <v>30</v>
      </c>
      <c r="P55" s="341">
        <f>IF($J55=11,0,IF(AND($H55 &gt;=VLOOKUP(Standings!$C$2,Quotas!$A$7:$E$14,5,FALSE), $H55&lt;=VLOOKUP(Standings!$C$2,Quotas!$A$7:$E$14,5,FALSE)), 0,VLOOKUP(Standings!$C$2,Quotas!$A$7:$E$14,5,FALSE)-$H55))</f>
        <v>30</v>
      </c>
      <c r="Q55" s="79">
        <f t="shared" si="6"/>
        <v>11</v>
      </c>
      <c r="R55" s="345" t="str">
        <f t="shared" si="7"/>
        <v/>
      </c>
      <c r="S55" s="344">
        <f t="shared" si="8"/>
        <v>0.33</v>
      </c>
      <c r="T55" s="345" t="str">
        <f>IFERROR(__xludf.DUMMYFUNCTION("JOIN("","",IFERROR(FILTER(Matches!$B:$B,B55=Matches!$C:$C),""""),IFERROR(FILTER(Matches!$C:$C,B55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55" s="344">
        <f>IFERROR(__xludf.DUMMYFUNCTION("iferror(AVERAGE(ARRAYFORMULA(VLOOKUP(SPLIT(T55,"","",TRUE,TRUE),$R$2:$S654,2,FALSE))),0)"),0.0)</f>
        <v>0</v>
      </c>
      <c r="V55" s="346">
        <f>IFERROR(__xludf.DUMMYFUNCTION("RANK($I55, $I$2:$I654, FALSE) + RANK($M55, Filter($M$2:$M654, $I$2:$I654=$I55),FALSE)+RANK($U55, Filter($U$2:$U654, $I$2:$I654=$I55,$M$2:$M654=$M55),FALSE)-2"),1.0)</f>
        <v>1</v>
      </c>
      <c r="W55" s="347" t="str">
        <f t="shared" si="9"/>
        <v>Underplay</v>
      </c>
      <c r="X55" s="348" t="str">
        <f t="shared" si="10"/>
        <v/>
      </c>
      <c r="Y55" s="349">
        <f>MAXIFS(Matches!$A:$A,Matches!$C:$C,$B55)</f>
        <v>0</v>
      </c>
      <c r="Z55" s="349">
        <f t="array" ref="Z55">XLOOKUP(Y55,Quotas!$B$7:$B$10,Quotas!$A$7:$A$10,0,-1)</f>
        <v>0</v>
      </c>
      <c r="AB55" s="79"/>
      <c r="AC55" s="79">
        <f>COUNTIFS(Matches!$A:$A,"&gt;"&amp;Y55,Matches!$B:$B,$B55)</f>
        <v>0</v>
      </c>
      <c r="AD55" s="79"/>
      <c r="AE55" s="31" t="str">
        <f t="array" ref="AE55">XLOOKUP(B55, 'College List'!A:A, 'College List'!B:B)</f>
        <v>#N/A</v>
      </c>
      <c r="AF55" s="15">
        <v>9.0</v>
      </c>
    </row>
    <row r="56">
      <c r="A56" s="9">
        <f t="shared" si="1"/>
        <v>1</v>
      </c>
      <c r="C56" s="350"/>
      <c r="D56" s="93"/>
      <c r="E56" s="1"/>
      <c r="F56" s="1"/>
      <c r="G56" s="1"/>
      <c r="H56" s="341">
        <f>COUNTIF(Entropy!$D:$D,$B56)+COUNTIF(Matches!$B:$B,$B56)+COUNTIF(Matches!$C:$C,$B56)</f>
        <v>0</v>
      </c>
      <c r="I56" s="342">
        <f>COUNTIF(Matches!$B:$B,B56)</f>
        <v>0</v>
      </c>
      <c r="J56" s="79">
        <f t="shared" si="2"/>
        <v>0</v>
      </c>
      <c r="K56" s="1" t="str">
        <f t="shared" si="3"/>
        <v>0 - 0</v>
      </c>
      <c r="L56" s="343">
        <f>COUNTIF(Entropy!$D:$D,$B56)</f>
        <v>0</v>
      </c>
      <c r="M56" s="344">
        <f t="shared" si="4"/>
        <v>0</v>
      </c>
      <c r="N56" s="344">
        <f t="shared" si="5"/>
        <v>0</v>
      </c>
      <c r="O56" s="341">
        <f>IF($J56=11,0,IF(AND($H56 &gt;=VLOOKUP(Standings!$C$2,Quotas!$A$7:$E$14,4,FALSE), $H56&lt;=VLOOKUP(Standings!$C$2,Quotas!$A$7:$E$14,5,FALSE)), 0,VLOOKUP(Standings!$C$2,Quotas!$A$7:$E$14,4,FALSE)-$H56))</f>
        <v>30</v>
      </c>
      <c r="P56" s="341">
        <f>IF($J56=11,0,IF(AND($H56 &gt;=VLOOKUP(Standings!$C$2,Quotas!$A$7:$E$14,5,FALSE), $H56&lt;=VLOOKUP(Standings!$C$2,Quotas!$A$7:$E$14,5,FALSE)), 0,VLOOKUP(Standings!$C$2,Quotas!$A$7:$E$14,5,FALSE)-$H56))</f>
        <v>30</v>
      </c>
      <c r="Q56" s="79">
        <f t="shared" si="6"/>
        <v>11</v>
      </c>
      <c r="R56" s="345" t="str">
        <f t="shared" si="7"/>
        <v/>
      </c>
      <c r="S56" s="344">
        <f t="shared" si="8"/>
        <v>0.33</v>
      </c>
      <c r="T56" s="345" t="str">
        <f>IFERROR(__xludf.DUMMYFUNCTION("JOIN("","",IFERROR(FILTER(Matches!$B:$B,B56=Matches!$C:$C),""""),IFERROR(FILTER(Matches!$C:$C,B56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56" s="344">
        <f>IFERROR(__xludf.DUMMYFUNCTION("iferror(AVERAGE(ARRAYFORMULA(VLOOKUP(SPLIT(T56,"","",TRUE,TRUE),$R$2:$S654,2,FALSE))),0)"),0.0)</f>
        <v>0</v>
      </c>
      <c r="V56" s="346">
        <f>IFERROR(__xludf.DUMMYFUNCTION("RANK($I56, $I$2:$I654, FALSE) + RANK($M56, Filter($M$2:$M654, $I$2:$I654=$I56),FALSE)+RANK($U56, Filter($U$2:$U654, $I$2:$I654=$I56,$M$2:$M654=$M56),FALSE)-2"),1.0)</f>
        <v>1</v>
      </c>
      <c r="W56" s="347" t="str">
        <f t="shared" si="9"/>
        <v>Underplay</v>
      </c>
      <c r="X56" s="348" t="str">
        <f t="shared" si="10"/>
        <v/>
      </c>
      <c r="Y56" s="349">
        <f>MAXIFS(Matches!$A:$A,Matches!$C:$C,$B56)</f>
        <v>0</v>
      </c>
      <c r="Z56" s="349">
        <f t="array" ref="Z56">XLOOKUP(Y56,Quotas!$B$7:$B$10,Quotas!$A$7:$A$10,0,-1)</f>
        <v>0</v>
      </c>
      <c r="AB56" s="79"/>
      <c r="AC56" s="79">
        <f>COUNTIFS(Matches!$A:$A,"&gt;"&amp;Y56,Matches!$B:$B,$B56)</f>
        <v>0</v>
      </c>
      <c r="AD56" s="79"/>
      <c r="AE56" s="31" t="str">
        <f t="array" ref="AE56">XLOOKUP(B56, 'College List'!A:A, 'College List'!B:B)</f>
        <v>#N/A</v>
      </c>
      <c r="AF56" s="15">
        <v>7.0</v>
      </c>
    </row>
    <row r="57">
      <c r="A57" s="9">
        <f t="shared" si="1"/>
        <v>1</v>
      </c>
      <c r="C57" s="350"/>
      <c r="D57" s="93"/>
      <c r="E57" s="1"/>
      <c r="F57" s="1"/>
      <c r="G57" s="1"/>
      <c r="H57" s="341">
        <f>COUNTIF(Entropy!$D:$D,$B57)+COUNTIF(Matches!$B:$B,$B57)+COUNTIF(Matches!$C:$C,$B57)</f>
        <v>0</v>
      </c>
      <c r="I57" s="342">
        <f>COUNTIF(Matches!$B:$B,B57)</f>
        <v>0</v>
      </c>
      <c r="J57" s="79">
        <f t="shared" si="2"/>
        <v>0</v>
      </c>
      <c r="K57" s="1" t="str">
        <f t="shared" si="3"/>
        <v>0 - 0</v>
      </c>
      <c r="L57" s="343">
        <f>COUNTIF(Entropy!$D:$D,$B57)</f>
        <v>0</v>
      </c>
      <c r="M57" s="344">
        <f t="shared" si="4"/>
        <v>0</v>
      </c>
      <c r="N57" s="344">
        <f t="shared" si="5"/>
        <v>0</v>
      </c>
      <c r="O57" s="341">
        <f>IF($J57=11,0,IF(AND($H57 &gt;=VLOOKUP(Standings!$C$2,Quotas!$A$7:$E$14,4,FALSE), $H57&lt;=VLOOKUP(Standings!$C$2,Quotas!$A$7:$E$14,5,FALSE)), 0,VLOOKUP(Standings!$C$2,Quotas!$A$7:$E$14,4,FALSE)-$H57))</f>
        <v>30</v>
      </c>
      <c r="P57" s="341">
        <f>IF($J57=11,0,IF(AND($H57 &gt;=VLOOKUP(Standings!$C$2,Quotas!$A$7:$E$14,5,FALSE), $H57&lt;=VLOOKUP(Standings!$C$2,Quotas!$A$7:$E$14,5,FALSE)), 0,VLOOKUP(Standings!$C$2,Quotas!$A$7:$E$14,5,FALSE)-$H57))</f>
        <v>30</v>
      </c>
      <c r="Q57" s="79">
        <f t="shared" si="6"/>
        <v>11</v>
      </c>
      <c r="R57" s="345" t="str">
        <f t="shared" si="7"/>
        <v/>
      </c>
      <c r="S57" s="344">
        <f t="shared" si="8"/>
        <v>0.33</v>
      </c>
      <c r="T57" s="345" t="str">
        <f>IFERROR(__xludf.DUMMYFUNCTION("JOIN("","",IFERROR(FILTER(Matches!$B:$B,B57=Matches!$C:$C),""""),IFERROR(FILTER(Matches!$C:$C,B57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57" s="344">
        <f>IFERROR(__xludf.DUMMYFUNCTION("iferror(AVERAGE(ARRAYFORMULA(VLOOKUP(SPLIT(T57,"","",TRUE,TRUE),$R$2:$S654,2,FALSE))),0)"),0.0)</f>
        <v>0</v>
      </c>
      <c r="V57" s="346">
        <f>IFERROR(__xludf.DUMMYFUNCTION("RANK($I57, $I$2:$I654, FALSE) + RANK($M57, Filter($M$2:$M654, $I$2:$I654=$I57),FALSE)+RANK($U57, Filter($U$2:$U654, $I$2:$I654=$I57,$M$2:$M654=$M57),FALSE)-2"),1.0)</f>
        <v>1</v>
      </c>
      <c r="W57" s="347" t="str">
        <f t="shared" si="9"/>
        <v>Underplay</v>
      </c>
      <c r="X57" s="348" t="str">
        <f t="shared" si="10"/>
        <v/>
      </c>
      <c r="Y57" s="349">
        <f>MAXIFS(Matches!$A:$A,Matches!$C:$C,$B57)</f>
        <v>0</v>
      </c>
      <c r="Z57" s="349">
        <f t="array" ref="Z57">XLOOKUP(Y57,Quotas!$B$7:$B$10,Quotas!$A$7:$A$10,0,-1)</f>
        <v>0</v>
      </c>
      <c r="AB57" s="79"/>
      <c r="AC57" s="79">
        <f>COUNTIFS(Matches!$A:$A,"&gt;"&amp;Y57,Matches!$B:$B,$B57)</f>
        <v>0</v>
      </c>
      <c r="AD57" s="79"/>
      <c r="AE57" s="31" t="str">
        <f t="array" ref="AE57">XLOOKUP(B57, 'College List'!A:A, 'College List'!B:B)</f>
        <v>#N/A</v>
      </c>
      <c r="AF57" s="15">
        <v>9.0</v>
      </c>
    </row>
    <row r="58">
      <c r="A58" s="9">
        <f t="shared" si="1"/>
        <v>1</v>
      </c>
      <c r="C58" s="350"/>
      <c r="D58" s="93"/>
      <c r="E58" s="1"/>
      <c r="F58" s="1"/>
      <c r="G58" s="1"/>
      <c r="H58" s="341">
        <f>COUNTIF(Entropy!$D:$D,$B58)+COUNTIF(Matches!$B:$B,$B58)+COUNTIF(Matches!$C:$C,$B58)</f>
        <v>0</v>
      </c>
      <c r="I58" s="342">
        <f>COUNTIF(Matches!$B:$B,B58)</f>
        <v>0</v>
      </c>
      <c r="J58" s="79">
        <f t="shared" si="2"/>
        <v>0</v>
      </c>
      <c r="K58" s="1" t="str">
        <f t="shared" si="3"/>
        <v>0 - 0</v>
      </c>
      <c r="L58" s="343">
        <f>COUNTIF(Entropy!$D:$D,$B58)</f>
        <v>0</v>
      </c>
      <c r="M58" s="344">
        <f t="shared" si="4"/>
        <v>0</v>
      </c>
      <c r="N58" s="344">
        <f t="shared" si="5"/>
        <v>0</v>
      </c>
      <c r="O58" s="341">
        <f>IF($J58=11,0,IF(AND($H58 &gt;=VLOOKUP(Standings!$C$2,Quotas!$A$7:$E$14,4,FALSE), $H58&lt;=VLOOKUP(Standings!$C$2,Quotas!$A$7:$E$14,5,FALSE)), 0,VLOOKUP(Standings!$C$2,Quotas!$A$7:$E$14,4,FALSE)-$H58))</f>
        <v>30</v>
      </c>
      <c r="P58" s="341">
        <f>IF($J58=11,0,IF(AND($H58 &gt;=VLOOKUP(Standings!$C$2,Quotas!$A$7:$E$14,5,FALSE), $H58&lt;=VLOOKUP(Standings!$C$2,Quotas!$A$7:$E$14,5,FALSE)), 0,VLOOKUP(Standings!$C$2,Quotas!$A$7:$E$14,5,FALSE)-$H58))</f>
        <v>30</v>
      </c>
      <c r="Q58" s="79">
        <f t="shared" si="6"/>
        <v>11</v>
      </c>
      <c r="R58" s="345" t="str">
        <f t="shared" si="7"/>
        <v/>
      </c>
      <c r="S58" s="344">
        <f t="shared" si="8"/>
        <v>0.33</v>
      </c>
      <c r="T58" s="345" t="str">
        <f>IFERROR(__xludf.DUMMYFUNCTION("JOIN("","",IFERROR(FILTER(Matches!$B:$B,B58=Matches!$C:$C),""""),IFERROR(FILTER(Matches!$C:$C,B58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58" s="344">
        <f>IFERROR(__xludf.DUMMYFUNCTION("iferror(AVERAGE(ARRAYFORMULA(VLOOKUP(SPLIT(T58,"","",TRUE,TRUE),$R$2:$S654,2,FALSE))),0)"),0.0)</f>
        <v>0</v>
      </c>
      <c r="V58" s="346">
        <f>IFERROR(__xludf.DUMMYFUNCTION("RANK($I58, $I$2:$I654, FALSE) + RANK($M58, Filter($M$2:$M654, $I$2:$I654=$I58),FALSE)+RANK($U58, Filter($U$2:$U654, $I$2:$I654=$I58,$M$2:$M654=$M58),FALSE)-2"),1.0)</f>
        <v>1</v>
      </c>
      <c r="W58" s="347" t="str">
        <f t="shared" si="9"/>
        <v>Underplay</v>
      </c>
      <c r="X58" s="348" t="str">
        <f t="shared" si="10"/>
        <v/>
      </c>
      <c r="Y58" s="349">
        <f>MAXIFS(Matches!$A:$A,Matches!$C:$C,$B58)</f>
        <v>0</v>
      </c>
      <c r="Z58" s="349">
        <f t="array" ref="Z58">XLOOKUP(Y58,Quotas!$B$7:$B$10,Quotas!$A$7:$A$10,0,-1)</f>
        <v>0</v>
      </c>
      <c r="AB58" s="79"/>
      <c r="AC58" s="79">
        <f>COUNTIFS(Matches!$A:$A,"&gt;"&amp;Y58,Matches!$B:$B,$B58)</f>
        <v>0</v>
      </c>
      <c r="AD58" s="79"/>
      <c r="AE58" s="31" t="str">
        <f t="array" ref="AE58">XLOOKUP(B58, 'College List'!A:A, 'College List'!B:B)</f>
        <v>#N/A</v>
      </c>
      <c r="AF58" s="15">
        <v>9.0</v>
      </c>
    </row>
    <row r="59">
      <c r="A59" s="9">
        <f t="shared" si="1"/>
        <v>1</v>
      </c>
      <c r="C59" s="350"/>
      <c r="D59" s="93"/>
      <c r="E59" s="1"/>
      <c r="F59" s="1"/>
      <c r="G59" s="1"/>
      <c r="H59" s="341">
        <f>COUNTIF(Entropy!$D:$D,$B59)+COUNTIF(Matches!$B:$B,$B59)+COUNTIF(Matches!$C:$C,$B59)</f>
        <v>0</v>
      </c>
      <c r="I59" s="342">
        <f>COUNTIF(Matches!$B:$B,B59)</f>
        <v>0</v>
      </c>
      <c r="J59" s="79">
        <f t="shared" si="2"/>
        <v>0</v>
      </c>
      <c r="K59" s="1" t="str">
        <f t="shared" si="3"/>
        <v>0 - 0</v>
      </c>
      <c r="L59" s="343">
        <f>COUNTIF(Entropy!$D:$D,$B59)</f>
        <v>0</v>
      </c>
      <c r="M59" s="344">
        <f t="shared" si="4"/>
        <v>0</v>
      </c>
      <c r="N59" s="344">
        <f t="shared" si="5"/>
        <v>0</v>
      </c>
      <c r="O59" s="341">
        <f>IF($J59=11,0,IF(AND($H59 &gt;=VLOOKUP(Standings!$C$2,Quotas!$A$7:$E$14,4,FALSE), $H59&lt;=VLOOKUP(Standings!$C$2,Quotas!$A$7:$E$14,5,FALSE)), 0,VLOOKUP(Standings!$C$2,Quotas!$A$7:$E$14,4,FALSE)-$H59))</f>
        <v>30</v>
      </c>
      <c r="P59" s="341">
        <f>IF($J59=11,0,IF(AND($H59 &gt;=VLOOKUP(Standings!$C$2,Quotas!$A$7:$E$14,5,FALSE), $H59&lt;=VLOOKUP(Standings!$C$2,Quotas!$A$7:$E$14,5,FALSE)), 0,VLOOKUP(Standings!$C$2,Quotas!$A$7:$E$14,5,FALSE)-$H59))</f>
        <v>30</v>
      </c>
      <c r="Q59" s="79">
        <f t="shared" si="6"/>
        <v>11</v>
      </c>
      <c r="R59" s="345" t="str">
        <f t="shared" si="7"/>
        <v/>
      </c>
      <c r="S59" s="344">
        <f t="shared" si="8"/>
        <v>0.33</v>
      </c>
      <c r="T59" s="345" t="str">
        <f>IFERROR(__xludf.DUMMYFUNCTION("JOIN("","",IFERROR(FILTER(Matches!$B:$B,B59=Matches!$C:$C),""""),IFERROR(FILTER(Matches!$C:$C,B59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59" s="344">
        <f>IFERROR(__xludf.DUMMYFUNCTION("iferror(AVERAGE(ARRAYFORMULA(VLOOKUP(SPLIT(T59,"","",TRUE,TRUE),$R$2:$S654,2,FALSE))),0)"),0.0)</f>
        <v>0</v>
      </c>
      <c r="V59" s="346">
        <f>IFERROR(__xludf.DUMMYFUNCTION("RANK($I59, $I$2:$I654, FALSE) + RANK($M59, Filter($M$2:$M654, $I$2:$I654=$I59),FALSE)+RANK($U59, Filter($U$2:$U654, $I$2:$I654=$I59,$M$2:$M654=$M59),FALSE)-2"),1.0)</f>
        <v>1</v>
      </c>
      <c r="W59" s="347" t="str">
        <f t="shared" si="9"/>
        <v>Underplay</v>
      </c>
      <c r="X59" s="348" t="str">
        <f t="shared" si="10"/>
        <v/>
      </c>
      <c r="Y59" s="349">
        <f>MAXIFS(Matches!$A:$A,Matches!$C:$C,$B59)</f>
        <v>0</v>
      </c>
      <c r="Z59" s="349">
        <f t="array" ref="Z59">XLOOKUP(Y59,Quotas!$B$7:$B$10,Quotas!$A$7:$A$10,0,-1)</f>
        <v>0</v>
      </c>
      <c r="AB59" s="79"/>
      <c r="AC59" s="79">
        <f>COUNTIFS(Matches!$A:$A,"&gt;"&amp;Y59,Matches!$B:$B,$B59)</f>
        <v>0</v>
      </c>
      <c r="AD59" s="79"/>
      <c r="AE59" s="31" t="str">
        <f t="array" ref="AE59">XLOOKUP(B59, 'College List'!A:A, 'College List'!B:B)</f>
        <v>#N/A</v>
      </c>
      <c r="AF59" s="15">
        <v>9.0</v>
      </c>
    </row>
    <row r="60">
      <c r="A60" s="9">
        <f t="shared" si="1"/>
        <v>1</v>
      </c>
      <c r="C60" s="350"/>
      <c r="D60" s="93"/>
      <c r="E60" s="1"/>
      <c r="F60" s="1"/>
      <c r="G60" s="1"/>
      <c r="H60" s="341">
        <f>COUNTIF(Entropy!$D:$D,$B60)+COUNTIF(Matches!$B:$B,$B60)+COUNTIF(Matches!$C:$C,$B60)</f>
        <v>0</v>
      </c>
      <c r="I60" s="342">
        <f>COUNTIF(Matches!$B:$B,B60)</f>
        <v>0</v>
      </c>
      <c r="J60" s="79">
        <f t="shared" si="2"/>
        <v>0</v>
      </c>
      <c r="K60" s="1" t="str">
        <f t="shared" si="3"/>
        <v>0 - 0</v>
      </c>
      <c r="L60" s="343">
        <f>COUNTIF(Entropy!$D:$D,$B60)</f>
        <v>0</v>
      </c>
      <c r="M60" s="344">
        <f t="shared" si="4"/>
        <v>0</v>
      </c>
      <c r="N60" s="344">
        <f t="shared" si="5"/>
        <v>0</v>
      </c>
      <c r="O60" s="341">
        <f>IF($J60=11,0,IF(AND($H60 &gt;=VLOOKUP(Standings!$C$2,Quotas!$A$7:$E$14,4,FALSE), $H60&lt;=VLOOKUP(Standings!$C$2,Quotas!$A$7:$E$14,5,FALSE)), 0,VLOOKUP(Standings!$C$2,Quotas!$A$7:$E$14,4,FALSE)-$H60))</f>
        <v>30</v>
      </c>
      <c r="P60" s="341">
        <f>IF($J60=11,0,IF(AND($H60 &gt;=VLOOKUP(Standings!$C$2,Quotas!$A$7:$E$14,5,FALSE), $H60&lt;=VLOOKUP(Standings!$C$2,Quotas!$A$7:$E$14,5,FALSE)), 0,VLOOKUP(Standings!$C$2,Quotas!$A$7:$E$14,5,FALSE)-$H60))</f>
        <v>30</v>
      </c>
      <c r="Q60" s="79">
        <f t="shared" si="6"/>
        <v>11</v>
      </c>
      <c r="R60" s="345" t="str">
        <f t="shared" si="7"/>
        <v/>
      </c>
      <c r="S60" s="344">
        <f t="shared" si="8"/>
        <v>0.33</v>
      </c>
      <c r="T60" s="345" t="str">
        <f>IFERROR(__xludf.DUMMYFUNCTION("JOIN("","",IFERROR(FILTER(Matches!$B:$B,B60=Matches!$C:$C),""""),IFERROR(FILTER(Matches!$C:$C,B60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60" s="344">
        <f>IFERROR(__xludf.DUMMYFUNCTION("iferror(AVERAGE(ARRAYFORMULA(VLOOKUP(SPLIT(T60,"","",TRUE,TRUE),$R$2:$S654,2,FALSE))),0)"),0.0)</f>
        <v>0</v>
      </c>
      <c r="V60" s="346">
        <f>IFERROR(__xludf.DUMMYFUNCTION("RANK($I60, $I$2:$I654, FALSE) + RANK($M60, Filter($M$2:$M654, $I$2:$I654=$I60),FALSE)+RANK($U60, Filter($U$2:$U654, $I$2:$I654=$I60,$M$2:$M654=$M60),FALSE)-2"),1.0)</f>
        <v>1</v>
      </c>
      <c r="W60" s="347" t="str">
        <f t="shared" si="9"/>
        <v>Underplay</v>
      </c>
      <c r="X60" s="348" t="str">
        <f t="shared" si="10"/>
        <v/>
      </c>
      <c r="Y60" s="349">
        <f>MAXIFS(Matches!$A:$A,Matches!$C:$C,$B60)</f>
        <v>0</v>
      </c>
      <c r="Z60" s="349">
        <f t="array" ref="Z60">XLOOKUP(Y60,Quotas!$B$7:$B$10,Quotas!$A$7:$A$10,0,-1)</f>
        <v>0</v>
      </c>
      <c r="AB60" s="79"/>
      <c r="AC60" s="79">
        <f>COUNTIFS(Matches!$A:$A,"&gt;"&amp;Y60,Matches!$B:$B,$B60)</f>
        <v>0</v>
      </c>
      <c r="AD60" s="79"/>
      <c r="AE60" s="31" t="str">
        <f t="array" ref="AE60">XLOOKUP(B60, 'College List'!A:A, 'College List'!B:B)</f>
        <v>#N/A</v>
      </c>
      <c r="AF60" s="15">
        <v>9.0</v>
      </c>
    </row>
    <row r="61">
      <c r="A61" s="9">
        <f t="shared" si="1"/>
        <v>1</v>
      </c>
      <c r="C61" s="350"/>
      <c r="D61" s="93"/>
      <c r="E61" s="1"/>
      <c r="F61" s="1"/>
      <c r="G61" s="1"/>
      <c r="H61" s="341">
        <f>COUNTIF(Entropy!$D:$D,$B61)+COUNTIF(Matches!$B:$B,$B61)+COUNTIF(Matches!$C:$C,$B61)</f>
        <v>0</v>
      </c>
      <c r="I61" s="342">
        <f>COUNTIF(Matches!$B:$B,B61)</f>
        <v>0</v>
      </c>
      <c r="J61" s="79">
        <f t="shared" si="2"/>
        <v>0</v>
      </c>
      <c r="K61" s="1" t="str">
        <f t="shared" si="3"/>
        <v>0 - 0</v>
      </c>
      <c r="L61" s="343">
        <f>COUNTIF(Entropy!$D:$D,$B61)</f>
        <v>0</v>
      </c>
      <c r="M61" s="344">
        <f t="shared" si="4"/>
        <v>0</v>
      </c>
      <c r="N61" s="344">
        <f t="shared" si="5"/>
        <v>0</v>
      </c>
      <c r="O61" s="341">
        <f>IF($J61=11,0,IF(AND($H61 &gt;=VLOOKUP(Standings!$C$2,Quotas!$A$7:$E$14,4,FALSE), $H61&lt;=VLOOKUP(Standings!$C$2,Quotas!$A$7:$E$14,5,FALSE)), 0,VLOOKUP(Standings!$C$2,Quotas!$A$7:$E$14,4,FALSE)-$H61))</f>
        <v>30</v>
      </c>
      <c r="P61" s="341">
        <f>IF($J61=11,0,IF(AND($H61 &gt;=VLOOKUP(Standings!$C$2,Quotas!$A$7:$E$14,5,FALSE), $H61&lt;=VLOOKUP(Standings!$C$2,Quotas!$A$7:$E$14,5,FALSE)), 0,VLOOKUP(Standings!$C$2,Quotas!$A$7:$E$14,5,FALSE)-$H61))</f>
        <v>30</v>
      </c>
      <c r="Q61" s="79">
        <f t="shared" si="6"/>
        <v>11</v>
      </c>
      <c r="R61" s="345" t="str">
        <f t="shared" si="7"/>
        <v/>
      </c>
      <c r="S61" s="344">
        <f t="shared" si="8"/>
        <v>0.33</v>
      </c>
      <c r="T61" s="345" t="str">
        <f>IFERROR(__xludf.DUMMYFUNCTION("JOIN("","",IFERROR(FILTER(Matches!$B:$B,B61=Matches!$C:$C),""""),IFERROR(FILTER(Matches!$C:$C,B61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61" s="344">
        <f>IFERROR(__xludf.DUMMYFUNCTION("iferror(AVERAGE(ARRAYFORMULA(VLOOKUP(SPLIT(T61,"","",TRUE,TRUE),$R$2:$S654,2,FALSE))),0)"),0.0)</f>
        <v>0</v>
      </c>
      <c r="V61" s="346">
        <f>IFERROR(__xludf.DUMMYFUNCTION("RANK($I61, $I$2:$I654, FALSE) + RANK($M61, Filter($M$2:$M654, $I$2:$I654=$I61),FALSE)+RANK($U61, Filter($U$2:$U654, $I$2:$I654=$I61,$M$2:$M654=$M61),FALSE)-2"),1.0)</f>
        <v>1</v>
      </c>
      <c r="W61" s="347" t="str">
        <f t="shared" si="9"/>
        <v>Underplay</v>
      </c>
      <c r="X61" s="348" t="str">
        <f t="shared" si="10"/>
        <v/>
      </c>
      <c r="Y61" s="349">
        <f>MAXIFS(Matches!$A:$A,Matches!$C:$C,$B61)</f>
        <v>0</v>
      </c>
      <c r="Z61" s="349">
        <f t="array" ref="Z61">XLOOKUP(Y61,Quotas!$B$7:$B$10,Quotas!$A$7:$A$10,0,-1)</f>
        <v>0</v>
      </c>
      <c r="AB61" s="79"/>
      <c r="AC61" s="79">
        <f>COUNTIFS(Matches!$A:$A,"&gt;"&amp;Y61,Matches!$B:$B,$B61)</f>
        <v>0</v>
      </c>
      <c r="AD61" s="79"/>
      <c r="AE61" s="31" t="str">
        <f t="array" ref="AE61">XLOOKUP(B61, 'College List'!A:A, 'College List'!B:B)</f>
        <v>#N/A</v>
      </c>
      <c r="AF61" s="15">
        <v>9.0</v>
      </c>
    </row>
    <row r="62">
      <c r="A62" s="9">
        <f t="shared" si="1"/>
        <v>1</v>
      </c>
      <c r="C62" s="350"/>
      <c r="D62" s="93"/>
      <c r="E62" s="1"/>
      <c r="F62" s="1"/>
      <c r="G62" s="1"/>
      <c r="H62" s="341">
        <f>COUNTIF(Entropy!$D:$D,$B62)+COUNTIF(Matches!$B:$B,$B62)+COUNTIF(Matches!$C:$C,$B62)</f>
        <v>0</v>
      </c>
      <c r="I62" s="342">
        <f>COUNTIF(Matches!$B:$B,B62)</f>
        <v>0</v>
      </c>
      <c r="J62" s="79">
        <f t="shared" si="2"/>
        <v>0</v>
      </c>
      <c r="K62" s="1" t="str">
        <f t="shared" si="3"/>
        <v>0 - 0</v>
      </c>
      <c r="L62" s="343">
        <f>COUNTIF(Entropy!$D:$D,$B62)</f>
        <v>0</v>
      </c>
      <c r="M62" s="344">
        <f t="shared" si="4"/>
        <v>0</v>
      </c>
      <c r="N62" s="344">
        <f t="shared" si="5"/>
        <v>0</v>
      </c>
      <c r="O62" s="341">
        <f>IF($J62=11,0,IF(AND($H62 &gt;=VLOOKUP(Standings!$C$2,Quotas!$A$7:$E$14,4,FALSE), $H62&lt;=VLOOKUP(Standings!$C$2,Quotas!$A$7:$E$14,5,FALSE)), 0,VLOOKUP(Standings!$C$2,Quotas!$A$7:$E$14,4,FALSE)-$H62))</f>
        <v>30</v>
      </c>
      <c r="P62" s="341">
        <f>IF($J62=11,0,IF(AND($H62 &gt;=VLOOKUP(Standings!$C$2,Quotas!$A$7:$E$14,5,FALSE), $H62&lt;=VLOOKUP(Standings!$C$2,Quotas!$A$7:$E$14,5,FALSE)), 0,VLOOKUP(Standings!$C$2,Quotas!$A$7:$E$14,5,FALSE)-$H62))</f>
        <v>30</v>
      </c>
      <c r="Q62" s="79">
        <f t="shared" si="6"/>
        <v>11</v>
      </c>
      <c r="R62" s="345" t="str">
        <f t="shared" si="7"/>
        <v/>
      </c>
      <c r="S62" s="344">
        <f t="shared" si="8"/>
        <v>0.33</v>
      </c>
      <c r="T62" s="345" t="str">
        <f>IFERROR(__xludf.DUMMYFUNCTION("JOIN("","",IFERROR(FILTER(Matches!$B:$B,B62=Matches!$C:$C),""""),IFERROR(FILTER(Matches!$C:$C,B62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62" s="344">
        <f>IFERROR(__xludf.DUMMYFUNCTION("iferror(AVERAGE(ARRAYFORMULA(VLOOKUP(SPLIT(T62,"","",TRUE,TRUE),$R$2:$S654,2,FALSE))),0)"),0.0)</f>
        <v>0</v>
      </c>
      <c r="V62" s="346">
        <f>IFERROR(__xludf.DUMMYFUNCTION("RANK($I62, $I$2:$I654, FALSE) + RANK($M62, Filter($M$2:$M654, $I$2:$I654=$I62),FALSE)+RANK($U62, Filter($U$2:$U654, $I$2:$I654=$I62,$M$2:$M654=$M62),FALSE)-2"),1.0)</f>
        <v>1</v>
      </c>
      <c r="W62" s="347" t="str">
        <f t="shared" si="9"/>
        <v>Underplay</v>
      </c>
      <c r="X62" s="348" t="str">
        <f t="shared" si="10"/>
        <v/>
      </c>
      <c r="Y62" s="349">
        <f>MAXIFS(Matches!$A:$A,Matches!$C:$C,$B62)</f>
        <v>0</v>
      </c>
      <c r="Z62" s="349">
        <f t="array" ref="Z62">XLOOKUP(Y62,Quotas!$B$7:$B$10,Quotas!$A$7:$A$10,0,-1)</f>
        <v>0</v>
      </c>
      <c r="AB62" s="79"/>
      <c r="AC62" s="79">
        <f>COUNTIFS(Matches!$A:$A,"&gt;"&amp;Y62,Matches!$B:$B,$B62)</f>
        <v>0</v>
      </c>
      <c r="AD62" s="79"/>
      <c r="AE62" s="31" t="str">
        <f t="array" ref="AE62">XLOOKUP(B62, 'College List'!A:A, 'College List'!B:B)</f>
        <v>#N/A</v>
      </c>
      <c r="AF62" s="15">
        <v>9.0</v>
      </c>
    </row>
    <row r="63">
      <c r="A63" s="9">
        <f t="shared" si="1"/>
        <v>1</v>
      </c>
      <c r="C63" s="350"/>
      <c r="D63" s="93"/>
      <c r="E63" s="1"/>
      <c r="F63" s="1"/>
      <c r="G63" s="1"/>
      <c r="H63" s="341">
        <f>COUNTIF(Entropy!$D:$D,$B63)+COUNTIF(Matches!$B:$B,$B63)+COUNTIF(Matches!$C:$C,$B63)</f>
        <v>0</v>
      </c>
      <c r="I63" s="342">
        <f>COUNTIF(Matches!$B:$B,B63)</f>
        <v>0</v>
      </c>
      <c r="J63" s="79">
        <f t="shared" si="2"/>
        <v>0</v>
      </c>
      <c r="K63" s="1" t="str">
        <f t="shared" si="3"/>
        <v>0 - 0</v>
      </c>
      <c r="L63" s="343">
        <f>COUNTIF(Entropy!$D:$D,$B63)</f>
        <v>0</v>
      </c>
      <c r="M63" s="344">
        <f t="shared" si="4"/>
        <v>0</v>
      </c>
      <c r="N63" s="344">
        <f t="shared" si="5"/>
        <v>0</v>
      </c>
      <c r="O63" s="341">
        <f>IF($J63=11,0,IF(AND($H63 &gt;=VLOOKUP(Standings!$C$2,Quotas!$A$7:$E$14,4,FALSE), $H63&lt;=VLOOKUP(Standings!$C$2,Quotas!$A$7:$E$14,5,FALSE)), 0,VLOOKUP(Standings!$C$2,Quotas!$A$7:$E$14,4,FALSE)-$H63))</f>
        <v>30</v>
      </c>
      <c r="P63" s="341">
        <f>IF($J63=11,0,IF(AND($H63 &gt;=VLOOKUP(Standings!$C$2,Quotas!$A$7:$E$14,5,FALSE), $H63&lt;=VLOOKUP(Standings!$C$2,Quotas!$A$7:$E$14,5,FALSE)), 0,VLOOKUP(Standings!$C$2,Quotas!$A$7:$E$14,5,FALSE)-$H63))</f>
        <v>30</v>
      </c>
      <c r="Q63" s="79">
        <f t="shared" si="6"/>
        <v>11</v>
      </c>
      <c r="R63" s="345" t="str">
        <f t="shared" si="7"/>
        <v/>
      </c>
      <c r="S63" s="344">
        <f t="shared" si="8"/>
        <v>0.33</v>
      </c>
      <c r="T63" s="345" t="str">
        <f>IFERROR(__xludf.DUMMYFUNCTION("JOIN("","",IFERROR(FILTER(Matches!$B:$B,B63=Matches!$C:$C),""""),IFERROR(FILTER(Matches!$C:$C,B63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63" s="344">
        <f>IFERROR(__xludf.DUMMYFUNCTION("iferror(AVERAGE(ARRAYFORMULA(VLOOKUP(SPLIT(T63,"","",TRUE,TRUE),$R$2:$S654,2,FALSE))),0)"),0.0)</f>
        <v>0</v>
      </c>
      <c r="V63" s="346">
        <f>IFERROR(__xludf.DUMMYFUNCTION("RANK($I63, $I$2:$I654, FALSE) + RANK($M63, Filter($M$2:$M654, $I$2:$I654=$I63),FALSE)+RANK($U63, Filter($U$2:$U654, $I$2:$I654=$I63,$M$2:$M654=$M63),FALSE)-2"),1.0)</f>
        <v>1</v>
      </c>
      <c r="W63" s="347" t="str">
        <f t="shared" si="9"/>
        <v>Underplay</v>
      </c>
      <c r="X63" s="348" t="str">
        <f t="shared" si="10"/>
        <v/>
      </c>
      <c r="Y63" s="349">
        <f>MAXIFS(Matches!$A:$A,Matches!$C:$C,$B63)</f>
        <v>0</v>
      </c>
      <c r="Z63" s="349">
        <f t="array" ref="Z63">XLOOKUP(Y63,Quotas!$B$7:$B$10,Quotas!$A$7:$A$10,0,-1)</f>
        <v>0</v>
      </c>
      <c r="AB63" s="79"/>
      <c r="AC63" s="79">
        <f>COUNTIFS(Matches!$A:$A,"&gt;"&amp;Y63,Matches!$B:$B,$B63)</f>
        <v>0</v>
      </c>
      <c r="AD63" s="79"/>
      <c r="AE63" s="31" t="str">
        <f t="array" ref="AE63">XLOOKUP(B63, 'College List'!A:A, 'College List'!B:B)</f>
        <v>#N/A</v>
      </c>
      <c r="AF63" s="15">
        <v>7.0</v>
      </c>
    </row>
    <row r="64">
      <c r="A64" s="9">
        <f t="shared" si="1"/>
        <v>1</v>
      </c>
      <c r="C64" s="350"/>
      <c r="D64" s="93"/>
      <c r="E64" s="1"/>
      <c r="F64" s="1"/>
      <c r="G64" s="1"/>
      <c r="H64" s="341">
        <f>COUNTIF(Entropy!$D:$D,$B64)+COUNTIF(Matches!$B:$B,$B64)+COUNTIF(Matches!$C:$C,$B64)</f>
        <v>0</v>
      </c>
      <c r="I64" s="342">
        <f>COUNTIF(Matches!$B:$B,B64)</f>
        <v>0</v>
      </c>
      <c r="J64" s="79">
        <f t="shared" si="2"/>
        <v>0</v>
      </c>
      <c r="K64" s="1" t="str">
        <f t="shared" si="3"/>
        <v>0 - 0</v>
      </c>
      <c r="L64" s="343">
        <f>COUNTIF(Entropy!$D:$D,$B64)</f>
        <v>0</v>
      </c>
      <c r="M64" s="344">
        <f t="shared" si="4"/>
        <v>0</v>
      </c>
      <c r="N64" s="344">
        <f t="shared" si="5"/>
        <v>0</v>
      </c>
      <c r="O64" s="341">
        <f>IF($J64=11,0,IF(AND($H64 &gt;=VLOOKUP(Standings!$C$2,Quotas!$A$7:$E$14,4,FALSE), $H64&lt;=VLOOKUP(Standings!$C$2,Quotas!$A$7:$E$14,5,FALSE)), 0,VLOOKUP(Standings!$C$2,Quotas!$A$7:$E$14,4,FALSE)-$H64))</f>
        <v>30</v>
      </c>
      <c r="P64" s="341">
        <f>IF($J64=11,0,IF(AND($H64 &gt;=VLOOKUP(Standings!$C$2,Quotas!$A$7:$E$14,5,FALSE), $H64&lt;=VLOOKUP(Standings!$C$2,Quotas!$A$7:$E$14,5,FALSE)), 0,VLOOKUP(Standings!$C$2,Quotas!$A$7:$E$14,5,FALSE)-$H64))</f>
        <v>30</v>
      </c>
      <c r="Q64" s="79">
        <f t="shared" si="6"/>
        <v>11</v>
      </c>
      <c r="R64" s="345" t="str">
        <f t="shared" si="7"/>
        <v/>
      </c>
      <c r="S64" s="344">
        <f t="shared" si="8"/>
        <v>0.33</v>
      </c>
      <c r="T64" s="345" t="str">
        <f>IFERROR(__xludf.DUMMYFUNCTION("JOIN("","",IFERROR(FILTER(Matches!$B:$B,B64=Matches!$C:$C),""""),IFERROR(FILTER(Matches!$C:$C,B64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64" s="344">
        <f>IFERROR(__xludf.DUMMYFUNCTION("iferror(AVERAGE(ARRAYFORMULA(VLOOKUP(SPLIT(T64,"","",TRUE,TRUE),$R$2:$S654,2,FALSE))),0)"),0.0)</f>
        <v>0</v>
      </c>
      <c r="V64" s="346">
        <f>IFERROR(__xludf.DUMMYFUNCTION("RANK($I64, $I$2:$I654, FALSE) + RANK($M64, Filter($M$2:$M654, $I$2:$I654=$I64),FALSE)+RANK($U64, Filter($U$2:$U654, $I$2:$I654=$I64,$M$2:$M654=$M64),FALSE)-2"),1.0)</f>
        <v>1</v>
      </c>
      <c r="W64" s="347" t="str">
        <f t="shared" si="9"/>
        <v>Underplay</v>
      </c>
      <c r="X64" s="348" t="str">
        <f t="shared" si="10"/>
        <v/>
      </c>
      <c r="Y64" s="349">
        <f>MAXIFS(Matches!$A:$A,Matches!$C:$C,$B64)</f>
        <v>0</v>
      </c>
      <c r="Z64" s="349">
        <f t="array" ref="Z64">XLOOKUP(Y64,Quotas!$B$7:$B$10,Quotas!$A$7:$A$10,0,-1)</f>
        <v>0</v>
      </c>
      <c r="AB64" s="79"/>
      <c r="AC64" s="79">
        <f>COUNTIFS(Matches!$A:$A,"&gt;"&amp;Y64,Matches!$B:$B,$B64)</f>
        <v>0</v>
      </c>
      <c r="AD64" s="79"/>
      <c r="AE64" s="31" t="str">
        <f t="array" ref="AE64">XLOOKUP(B64, 'College List'!A:A, 'College List'!B:B)</f>
        <v>#N/A</v>
      </c>
    </row>
    <row r="65">
      <c r="A65" s="9">
        <f t="shared" si="1"/>
        <v>1</v>
      </c>
      <c r="C65" s="350"/>
      <c r="D65" s="93"/>
      <c r="E65" s="1"/>
      <c r="F65" s="1"/>
      <c r="G65" s="1"/>
      <c r="H65" s="341">
        <f>COUNTIF(Entropy!$D:$D,$B65)+COUNTIF(Matches!$B:$B,$B65)+COUNTIF(Matches!$C:$C,$B65)</f>
        <v>0</v>
      </c>
      <c r="I65" s="342">
        <f>COUNTIF(Matches!$B:$B,B65)</f>
        <v>0</v>
      </c>
      <c r="J65" s="79">
        <f t="shared" si="2"/>
        <v>0</v>
      </c>
      <c r="K65" s="1" t="str">
        <f t="shared" si="3"/>
        <v>0 - 0</v>
      </c>
      <c r="L65" s="343">
        <f>COUNTIF(Entropy!$D:$D,$B65)</f>
        <v>0</v>
      </c>
      <c r="M65" s="344">
        <f t="shared" si="4"/>
        <v>0</v>
      </c>
      <c r="N65" s="344">
        <f t="shared" si="5"/>
        <v>0</v>
      </c>
      <c r="O65" s="341">
        <f>IF($J65=11,0,IF(AND($H65 &gt;=VLOOKUP(Standings!$C$2,Quotas!$A$7:$E$14,4,FALSE), $H65&lt;=VLOOKUP(Standings!$C$2,Quotas!$A$7:$E$14,5,FALSE)), 0,VLOOKUP(Standings!$C$2,Quotas!$A$7:$E$14,4,FALSE)-$H65))</f>
        <v>30</v>
      </c>
      <c r="P65" s="341">
        <f>IF($J65=11,0,IF(AND($H65 &gt;=VLOOKUP(Standings!$C$2,Quotas!$A$7:$E$14,5,FALSE), $H65&lt;=VLOOKUP(Standings!$C$2,Quotas!$A$7:$E$14,5,FALSE)), 0,VLOOKUP(Standings!$C$2,Quotas!$A$7:$E$14,5,FALSE)-$H65))</f>
        <v>30</v>
      </c>
      <c r="Q65" s="79">
        <f t="shared" si="6"/>
        <v>11</v>
      </c>
      <c r="R65" s="345" t="str">
        <f t="shared" si="7"/>
        <v/>
      </c>
      <c r="S65" s="344">
        <f t="shared" si="8"/>
        <v>0.33</v>
      </c>
      <c r="T65" s="345" t="str">
        <f>IFERROR(__xludf.DUMMYFUNCTION("JOIN("","",IFERROR(FILTER(Matches!$B:$B,B65=Matches!$C:$C),""""),IFERROR(FILTER(Matches!$C:$C,B65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65" s="344">
        <f>IFERROR(__xludf.DUMMYFUNCTION("iferror(AVERAGE(ARRAYFORMULA(VLOOKUP(SPLIT(T65,"","",TRUE,TRUE),$R$2:$S654,2,FALSE))),0)"),0.0)</f>
        <v>0</v>
      </c>
      <c r="V65" s="346">
        <f>IFERROR(__xludf.DUMMYFUNCTION("RANK($I65, $I$2:$I654, FALSE) + RANK($M65, Filter($M$2:$M654, $I$2:$I654=$I65),FALSE)+RANK($U65, Filter($U$2:$U654, $I$2:$I654=$I65,$M$2:$M654=$M65),FALSE)-2"),1.0)</f>
        <v>1</v>
      </c>
      <c r="W65" s="347" t="str">
        <f t="shared" si="9"/>
        <v>Underplay</v>
      </c>
      <c r="X65" s="348" t="str">
        <f t="shared" si="10"/>
        <v/>
      </c>
      <c r="Y65" s="349">
        <f>MAXIFS(Matches!$A:$A,Matches!$C:$C,$B65)</f>
        <v>0</v>
      </c>
      <c r="Z65" s="349">
        <f t="array" ref="Z65">XLOOKUP(Y65,Quotas!$B$7:$B$10,Quotas!$A$7:$A$10,0,-1)</f>
        <v>0</v>
      </c>
      <c r="AB65" s="79"/>
      <c r="AC65" s="79">
        <f>COUNTIFS(Matches!$A:$A,"&gt;"&amp;Y65,Matches!$B:$B,$B65)</f>
        <v>0</v>
      </c>
      <c r="AD65" s="79"/>
      <c r="AE65" s="31" t="str">
        <f t="array" ref="AE65">XLOOKUP(B65, 'College List'!A:A, 'College List'!B:B)</f>
        <v>#N/A</v>
      </c>
      <c r="AF65" s="15">
        <v>9.0</v>
      </c>
    </row>
    <row r="66">
      <c r="A66" s="9">
        <f t="shared" si="1"/>
        <v>1</v>
      </c>
      <c r="C66" s="350"/>
      <c r="D66" s="93"/>
      <c r="E66" s="1"/>
      <c r="F66" s="1"/>
      <c r="G66" s="1"/>
      <c r="H66" s="341">
        <f>COUNTIF(Entropy!$D:$D,$B66)+COUNTIF(Matches!$B:$B,$B66)+COUNTIF(Matches!$C:$C,$B66)</f>
        <v>0</v>
      </c>
      <c r="I66" s="342">
        <f>COUNTIF(Matches!$B:$B,B66)</f>
        <v>0</v>
      </c>
      <c r="J66" s="79">
        <f t="shared" si="2"/>
        <v>0</v>
      </c>
      <c r="K66" s="1" t="str">
        <f t="shared" si="3"/>
        <v>0 - 0</v>
      </c>
      <c r="L66" s="343">
        <f>COUNTIF(Entropy!$D:$D,$B66)</f>
        <v>0</v>
      </c>
      <c r="M66" s="344">
        <f t="shared" si="4"/>
        <v>0</v>
      </c>
      <c r="N66" s="344">
        <f t="shared" si="5"/>
        <v>0</v>
      </c>
      <c r="O66" s="341">
        <f>IF($J66=11,0,IF(AND($H66 &gt;=VLOOKUP(Standings!$C$2,Quotas!$A$7:$E$14,4,FALSE), $H66&lt;=VLOOKUP(Standings!$C$2,Quotas!$A$7:$E$14,5,FALSE)), 0,VLOOKUP(Standings!$C$2,Quotas!$A$7:$E$14,4,FALSE)-$H66))</f>
        <v>30</v>
      </c>
      <c r="P66" s="341">
        <f>IF($J66=11,0,IF(AND($H66 &gt;=VLOOKUP(Standings!$C$2,Quotas!$A$7:$E$14,5,FALSE), $H66&lt;=VLOOKUP(Standings!$C$2,Quotas!$A$7:$E$14,5,FALSE)), 0,VLOOKUP(Standings!$C$2,Quotas!$A$7:$E$14,5,FALSE)-$H66))</f>
        <v>30</v>
      </c>
      <c r="Q66" s="79">
        <f t="shared" si="6"/>
        <v>11</v>
      </c>
      <c r="R66" s="345" t="str">
        <f t="shared" si="7"/>
        <v/>
      </c>
      <c r="S66" s="344">
        <f t="shared" si="8"/>
        <v>0.33</v>
      </c>
      <c r="T66" s="345" t="str">
        <f>IFERROR(__xludf.DUMMYFUNCTION("JOIN("","",IFERROR(FILTER(Matches!$B:$B,B66=Matches!$C:$C),""""),IFERROR(FILTER(Matches!$C:$C,B66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66" s="344">
        <f>IFERROR(__xludf.DUMMYFUNCTION("iferror(AVERAGE(ARRAYFORMULA(VLOOKUP(SPLIT(T66,"","",TRUE,TRUE),$R$2:$S654,2,FALSE))),0)"),0.0)</f>
        <v>0</v>
      </c>
      <c r="V66" s="346">
        <f>IFERROR(__xludf.DUMMYFUNCTION("RANK($I66, $I$2:$I654, FALSE) + RANK($M66, Filter($M$2:$M654, $I$2:$I654=$I66),FALSE)+RANK($U66, Filter($U$2:$U654, $I$2:$I654=$I66,$M$2:$M654=$M66),FALSE)-2"),1.0)</f>
        <v>1</v>
      </c>
      <c r="W66" s="347" t="str">
        <f t="shared" si="9"/>
        <v>Underplay</v>
      </c>
      <c r="X66" s="348" t="str">
        <f t="shared" si="10"/>
        <v/>
      </c>
      <c r="Y66" s="349">
        <f>MAXIFS(Matches!$A:$A,Matches!$C:$C,$B66)</f>
        <v>0</v>
      </c>
      <c r="Z66" s="349">
        <f t="array" ref="Z66">XLOOKUP(Y66,Quotas!$B$7:$B$10,Quotas!$A$7:$A$10,0,-1)</f>
        <v>0</v>
      </c>
      <c r="AB66" s="79"/>
      <c r="AC66" s="79">
        <f>COUNTIFS(Matches!$A:$A,"&gt;"&amp;Y66,Matches!$B:$B,$B66)</f>
        <v>0</v>
      </c>
      <c r="AD66" s="79"/>
      <c r="AE66" s="31" t="str">
        <f t="array" ref="AE66">XLOOKUP(B66, 'College List'!A:A, 'College List'!B:B)</f>
        <v>#N/A</v>
      </c>
      <c r="AF66" s="15">
        <v>9.0</v>
      </c>
    </row>
    <row r="67">
      <c r="A67" s="9">
        <f t="shared" si="1"/>
        <v>1</v>
      </c>
      <c r="C67" s="350"/>
      <c r="D67" s="93"/>
      <c r="E67" s="1"/>
      <c r="F67" s="1"/>
      <c r="G67" s="1"/>
      <c r="H67" s="341">
        <f>COUNTIF(Entropy!$D:$D,$B67)+COUNTIF(Matches!$B:$B,$B67)+COUNTIF(Matches!$C:$C,$B67)</f>
        <v>0</v>
      </c>
      <c r="I67" s="342">
        <f>COUNTIF(Matches!$B:$B,B67)</f>
        <v>0</v>
      </c>
      <c r="J67" s="79">
        <f t="shared" si="2"/>
        <v>0</v>
      </c>
      <c r="K67" s="1" t="str">
        <f t="shared" si="3"/>
        <v>0 - 0</v>
      </c>
      <c r="L67" s="343">
        <f>COUNTIF(Entropy!$D:$D,$B67)</f>
        <v>0</v>
      </c>
      <c r="M67" s="344">
        <f t="shared" si="4"/>
        <v>0</v>
      </c>
      <c r="N67" s="344">
        <f t="shared" si="5"/>
        <v>0</v>
      </c>
      <c r="O67" s="341">
        <f>IF($J67=11,0,IF(AND($H67 &gt;=VLOOKUP(Standings!$C$2,Quotas!$A$7:$E$14,4,FALSE), $H67&lt;=VLOOKUP(Standings!$C$2,Quotas!$A$7:$E$14,5,FALSE)), 0,VLOOKUP(Standings!$C$2,Quotas!$A$7:$E$14,4,FALSE)-$H67))</f>
        <v>30</v>
      </c>
      <c r="P67" s="341">
        <f>IF($J67=11,0,IF(AND($H67 &gt;=VLOOKUP(Standings!$C$2,Quotas!$A$7:$E$14,5,FALSE), $H67&lt;=VLOOKUP(Standings!$C$2,Quotas!$A$7:$E$14,5,FALSE)), 0,VLOOKUP(Standings!$C$2,Quotas!$A$7:$E$14,5,FALSE)-$H67))</f>
        <v>30</v>
      </c>
      <c r="Q67" s="79">
        <f t="shared" si="6"/>
        <v>11</v>
      </c>
      <c r="R67" s="345" t="str">
        <f t="shared" si="7"/>
        <v/>
      </c>
      <c r="S67" s="344">
        <f t="shared" si="8"/>
        <v>0.33</v>
      </c>
      <c r="T67" s="345" t="str">
        <f>IFERROR(__xludf.DUMMYFUNCTION("JOIN("","",IFERROR(FILTER(Matches!$B:$B,B67=Matches!$C:$C),""""),IFERROR(FILTER(Matches!$C:$C,B67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67" s="344">
        <f>IFERROR(__xludf.DUMMYFUNCTION("iferror(AVERAGE(ARRAYFORMULA(VLOOKUP(SPLIT(T67,"","",TRUE,TRUE),$R$2:$S654,2,FALSE))),0)"),0.0)</f>
        <v>0</v>
      </c>
      <c r="V67" s="346">
        <f>IFERROR(__xludf.DUMMYFUNCTION("RANK($I67, $I$2:$I654, FALSE) + RANK($M67, Filter($M$2:$M654, $I$2:$I654=$I67),FALSE)+RANK($U67, Filter($U$2:$U654, $I$2:$I654=$I67,$M$2:$M654=$M67),FALSE)-2"),1.0)</f>
        <v>1</v>
      </c>
      <c r="W67" s="347" t="str">
        <f t="shared" si="9"/>
        <v>Underplay</v>
      </c>
      <c r="X67" s="348" t="str">
        <f t="shared" si="10"/>
        <v/>
      </c>
      <c r="Y67" s="349">
        <f>MAXIFS(Matches!$A:$A,Matches!$C:$C,$B67)</f>
        <v>0</v>
      </c>
      <c r="Z67" s="349">
        <f t="array" ref="Z67">XLOOKUP(Y67,Quotas!$B$7:$B$10,Quotas!$A$7:$A$10,0,-1)</f>
        <v>0</v>
      </c>
      <c r="AB67" s="79"/>
      <c r="AC67" s="79">
        <f>COUNTIFS(Matches!$A:$A,"&gt;"&amp;Y67,Matches!$B:$B,$B67)</f>
        <v>0</v>
      </c>
      <c r="AD67" s="79"/>
      <c r="AE67" s="31" t="str">
        <f t="array" ref="AE67">XLOOKUP(B67, 'College List'!A:A, 'College List'!B:B)</f>
        <v>#N/A</v>
      </c>
      <c r="AF67" s="15">
        <v>9.0</v>
      </c>
    </row>
    <row r="68">
      <c r="A68" s="9">
        <f t="shared" si="1"/>
        <v>1</v>
      </c>
      <c r="C68" s="350"/>
      <c r="D68" s="93"/>
      <c r="E68" s="1"/>
      <c r="F68" s="1"/>
      <c r="G68" s="1"/>
      <c r="H68" s="341">
        <f>COUNTIF(Entropy!$D:$D,$B68)+COUNTIF(Matches!$B:$B,$B68)+COUNTIF(Matches!$C:$C,$B68)</f>
        <v>0</v>
      </c>
      <c r="I68" s="342">
        <f>COUNTIF(Matches!$B:$B,B68)</f>
        <v>0</v>
      </c>
      <c r="J68" s="79">
        <f t="shared" si="2"/>
        <v>0</v>
      </c>
      <c r="K68" s="1" t="str">
        <f t="shared" si="3"/>
        <v>0 - 0</v>
      </c>
      <c r="L68" s="343">
        <f>COUNTIF(Entropy!$D:$D,$B68)</f>
        <v>0</v>
      </c>
      <c r="M68" s="344">
        <f t="shared" si="4"/>
        <v>0</v>
      </c>
      <c r="N68" s="344">
        <f t="shared" si="5"/>
        <v>0</v>
      </c>
      <c r="O68" s="341">
        <f>IF($J68=11,0,IF(AND($H68 &gt;=VLOOKUP(Standings!$C$2,Quotas!$A$7:$E$14,4,FALSE), $H68&lt;=VLOOKUP(Standings!$C$2,Quotas!$A$7:$E$14,5,FALSE)), 0,VLOOKUP(Standings!$C$2,Quotas!$A$7:$E$14,4,FALSE)-$H68))</f>
        <v>30</v>
      </c>
      <c r="P68" s="341">
        <f>IF($J68=11,0,IF(AND($H68 &gt;=VLOOKUP(Standings!$C$2,Quotas!$A$7:$E$14,5,FALSE), $H68&lt;=VLOOKUP(Standings!$C$2,Quotas!$A$7:$E$14,5,FALSE)), 0,VLOOKUP(Standings!$C$2,Quotas!$A$7:$E$14,5,FALSE)-$H68))</f>
        <v>30</v>
      </c>
      <c r="Q68" s="79">
        <f t="shared" si="6"/>
        <v>11</v>
      </c>
      <c r="R68" s="345" t="str">
        <f t="shared" si="7"/>
        <v/>
      </c>
      <c r="S68" s="344">
        <f t="shared" si="8"/>
        <v>0.33</v>
      </c>
      <c r="T68" s="345" t="str">
        <f>IFERROR(__xludf.DUMMYFUNCTION("JOIN("","",IFERROR(FILTER(Matches!$B:$B,B68=Matches!$C:$C),""""),IFERROR(FILTER(Matches!$C:$C,B68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68" s="344">
        <f>IFERROR(__xludf.DUMMYFUNCTION("iferror(AVERAGE(ARRAYFORMULA(VLOOKUP(SPLIT(T68,"","",TRUE,TRUE),$R$2:$S654,2,FALSE))),0)"),0.0)</f>
        <v>0</v>
      </c>
      <c r="V68" s="346">
        <f>IFERROR(__xludf.DUMMYFUNCTION("RANK($I68, $I$2:$I654, FALSE) + RANK($M68, Filter($M$2:$M654, $I$2:$I654=$I68),FALSE)+RANK($U68, Filter($U$2:$U654, $I$2:$I654=$I68,$M$2:$M654=$M68),FALSE)-2"),1.0)</f>
        <v>1</v>
      </c>
      <c r="W68" s="347" t="str">
        <f t="shared" si="9"/>
        <v>Underplay</v>
      </c>
      <c r="X68" s="348" t="str">
        <f t="shared" si="10"/>
        <v/>
      </c>
      <c r="Y68" s="349">
        <f>MAXIFS(Matches!$A:$A,Matches!$C:$C,$B68)</f>
        <v>0</v>
      </c>
      <c r="Z68" s="349">
        <f t="array" ref="Z68">XLOOKUP(Y68,Quotas!$B$7:$B$10,Quotas!$A$7:$A$10,0,-1)</f>
        <v>0</v>
      </c>
      <c r="AB68" s="79"/>
      <c r="AC68" s="79">
        <f>COUNTIFS(Matches!$A:$A,"&gt;"&amp;Y68,Matches!$B:$B,$B68)</f>
        <v>0</v>
      </c>
      <c r="AD68" s="79"/>
      <c r="AE68" s="31" t="str">
        <f t="array" ref="AE68">XLOOKUP(B68, 'College List'!A:A, 'College List'!B:B)</f>
        <v>#N/A</v>
      </c>
    </row>
    <row r="69">
      <c r="A69" s="9">
        <f t="shared" si="1"/>
        <v>1</v>
      </c>
      <c r="C69" s="350"/>
      <c r="D69" s="93"/>
      <c r="E69" s="1"/>
      <c r="F69" s="1"/>
      <c r="G69" s="1"/>
      <c r="H69" s="341">
        <f>COUNTIF(Entropy!$D:$D,$B69)+COUNTIF(Matches!$B:$B,$B69)+COUNTIF(Matches!$C:$C,$B69)</f>
        <v>0</v>
      </c>
      <c r="I69" s="342">
        <f>COUNTIF(Matches!$B:$B,B69)</f>
        <v>0</v>
      </c>
      <c r="J69" s="79">
        <f t="shared" si="2"/>
        <v>0</v>
      </c>
      <c r="K69" s="1" t="str">
        <f t="shared" si="3"/>
        <v>0 - 0</v>
      </c>
      <c r="L69" s="343">
        <f>COUNTIF(Entropy!$D:$D,$B69)</f>
        <v>0</v>
      </c>
      <c r="M69" s="344">
        <f t="shared" si="4"/>
        <v>0</v>
      </c>
      <c r="N69" s="344">
        <f t="shared" si="5"/>
        <v>0</v>
      </c>
      <c r="O69" s="341">
        <f>IF($J69=11,0,IF(AND($H69 &gt;=VLOOKUP(Standings!$C$2,Quotas!$A$7:$E$14,4,FALSE), $H69&lt;=VLOOKUP(Standings!$C$2,Quotas!$A$7:$E$14,5,FALSE)), 0,VLOOKUP(Standings!$C$2,Quotas!$A$7:$E$14,4,FALSE)-$H69))</f>
        <v>30</v>
      </c>
      <c r="P69" s="341">
        <f>IF($J69=11,0,IF(AND($H69 &gt;=VLOOKUP(Standings!$C$2,Quotas!$A$7:$E$14,5,FALSE), $H69&lt;=VLOOKUP(Standings!$C$2,Quotas!$A$7:$E$14,5,FALSE)), 0,VLOOKUP(Standings!$C$2,Quotas!$A$7:$E$14,5,FALSE)-$H69))</f>
        <v>30</v>
      </c>
      <c r="Q69" s="79">
        <f t="shared" si="6"/>
        <v>11</v>
      </c>
      <c r="R69" s="345" t="str">
        <f t="shared" si="7"/>
        <v/>
      </c>
      <c r="S69" s="344">
        <f t="shared" si="8"/>
        <v>0.33</v>
      </c>
      <c r="T69" s="345" t="str">
        <f>IFERROR(__xludf.DUMMYFUNCTION("JOIN("","",IFERROR(FILTER(Matches!$B:$B,B69=Matches!$C:$C),""""),IFERROR(FILTER(Matches!$C:$C,B69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69" s="344">
        <f>IFERROR(__xludf.DUMMYFUNCTION("iferror(AVERAGE(ARRAYFORMULA(VLOOKUP(SPLIT(T69,"","",TRUE,TRUE),$R$2:$S654,2,FALSE))),0)"),0.0)</f>
        <v>0</v>
      </c>
      <c r="V69" s="346">
        <f>IFERROR(__xludf.DUMMYFUNCTION("RANK($I69, $I$2:$I654, FALSE) + RANK($M69, Filter($M$2:$M654, $I$2:$I654=$I69),FALSE)+RANK($U69, Filter($U$2:$U654, $I$2:$I654=$I69,$M$2:$M654=$M69),FALSE)-2"),1.0)</f>
        <v>1</v>
      </c>
      <c r="W69" s="347" t="str">
        <f t="shared" si="9"/>
        <v>Underplay</v>
      </c>
      <c r="X69" s="348" t="str">
        <f t="shared" si="10"/>
        <v/>
      </c>
      <c r="Y69" s="349">
        <f>MAXIFS(Matches!$A:$A,Matches!$C:$C,$B69)</f>
        <v>0</v>
      </c>
      <c r="Z69" s="349">
        <f t="array" ref="Z69">XLOOKUP(Y69,Quotas!$B$7:$B$10,Quotas!$A$7:$A$10,0,-1)</f>
        <v>0</v>
      </c>
      <c r="AB69" s="79"/>
      <c r="AC69" s="79">
        <f>COUNTIFS(Matches!$A:$A,"&gt;"&amp;Y69,Matches!$B:$B,$B69)</f>
        <v>0</v>
      </c>
      <c r="AD69" s="79"/>
      <c r="AE69" s="31" t="str">
        <f t="array" ref="AE69">XLOOKUP(B69, 'College List'!A:A, 'College List'!B:B)</f>
        <v>#N/A</v>
      </c>
    </row>
    <row r="70">
      <c r="A70" s="9">
        <f t="shared" si="1"/>
        <v>1</v>
      </c>
      <c r="C70" s="350"/>
      <c r="D70" s="93"/>
      <c r="E70" s="1"/>
      <c r="F70" s="1"/>
      <c r="G70" s="1"/>
      <c r="H70" s="341">
        <f>COUNTIF(Entropy!$D:$D,$B70)+COUNTIF(Matches!$B:$B,$B70)+COUNTIF(Matches!$C:$C,$B70)</f>
        <v>0</v>
      </c>
      <c r="I70" s="342">
        <f>COUNTIF(Matches!$B:$B,B70)</f>
        <v>0</v>
      </c>
      <c r="J70" s="79">
        <f t="shared" si="2"/>
        <v>0</v>
      </c>
      <c r="K70" s="1" t="str">
        <f t="shared" si="3"/>
        <v>0 - 0</v>
      </c>
      <c r="L70" s="343">
        <f>COUNTIF(Entropy!$D:$D,$B70)</f>
        <v>0</v>
      </c>
      <c r="M70" s="344">
        <f t="shared" si="4"/>
        <v>0</v>
      </c>
      <c r="N70" s="344">
        <f t="shared" si="5"/>
        <v>0</v>
      </c>
      <c r="O70" s="341">
        <f>IF($J70=11,0,IF(AND($H70 &gt;=VLOOKUP(Standings!$C$2,Quotas!$A$7:$E$14,4,FALSE), $H70&lt;=VLOOKUP(Standings!$C$2,Quotas!$A$7:$E$14,5,FALSE)), 0,VLOOKUP(Standings!$C$2,Quotas!$A$7:$E$14,4,FALSE)-$H70))</f>
        <v>30</v>
      </c>
      <c r="P70" s="341">
        <f>IF($J70=11,0,IF(AND($H70 &gt;=VLOOKUP(Standings!$C$2,Quotas!$A$7:$E$14,5,FALSE), $H70&lt;=VLOOKUP(Standings!$C$2,Quotas!$A$7:$E$14,5,FALSE)), 0,VLOOKUP(Standings!$C$2,Quotas!$A$7:$E$14,5,FALSE)-$H70))</f>
        <v>30</v>
      </c>
      <c r="Q70" s="79">
        <f t="shared" si="6"/>
        <v>11</v>
      </c>
      <c r="R70" s="345" t="str">
        <f t="shared" si="7"/>
        <v/>
      </c>
      <c r="S70" s="344">
        <f t="shared" si="8"/>
        <v>0.33</v>
      </c>
      <c r="T70" s="345" t="str">
        <f>IFERROR(__xludf.DUMMYFUNCTION("JOIN("","",IFERROR(FILTER(Matches!$B:$B,B70=Matches!$C:$C),""""),IFERROR(FILTER(Matches!$C:$C,B70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70" s="344">
        <f>IFERROR(__xludf.DUMMYFUNCTION("iferror(AVERAGE(ARRAYFORMULA(VLOOKUP(SPLIT(T70,"","",TRUE,TRUE),$R$2:$S654,2,FALSE))),0)"),0.0)</f>
        <v>0</v>
      </c>
      <c r="V70" s="346">
        <f>IFERROR(__xludf.DUMMYFUNCTION("RANK($I70, $I$2:$I654, FALSE) + RANK($M70, Filter($M$2:$M654, $I$2:$I654=$I70),FALSE)+RANK($U70, Filter($U$2:$U654, $I$2:$I654=$I70,$M$2:$M654=$M70),FALSE)-2"),1.0)</f>
        <v>1</v>
      </c>
      <c r="W70" s="347" t="str">
        <f t="shared" si="9"/>
        <v>Underplay</v>
      </c>
      <c r="X70" s="348" t="str">
        <f t="shared" si="10"/>
        <v/>
      </c>
      <c r="Y70" s="349">
        <f>MAXIFS(Matches!$A:$A,Matches!$C:$C,$B70)</f>
        <v>0</v>
      </c>
      <c r="Z70" s="349">
        <f t="array" ref="Z70">XLOOKUP(Y70,Quotas!$B$7:$B$10,Quotas!$A$7:$A$10,0,-1)</f>
        <v>0</v>
      </c>
      <c r="AB70" s="79"/>
      <c r="AC70" s="79">
        <f>COUNTIFS(Matches!$A:$A,"&gt;"&amp;Y70,Matches!$B:$B,$B70)</f>
        <v>0</v>
      </c>
      <c r="AD70" s="79"/>
      <c r="AE70" s="31" t="str">
        <f t="array" ref="AE70">XLOOKUP(B70, 'College List'!A:A, 'College List'!B:B)</f>
        <v>#N/A</v>
      </c>
      <c r="AF70" s="15">
        <v>9.0</v>
      </c>
    </row>
    <row r="71">
      <c r="A71" s="9">
        <f t="shared" si="1"/>
        <v>1</v>
      </c>
      <c r="C71" s="350"/>
      <c r="D71" s="93"/>
      <c r="E71" s="1"/>
      <c r="F71" s="1"/>
      <c r="G71" s="1"/>
      <c r="H71" s="341">
        <f>COUNTIF(Entropy!$D:$D,$B71)+COUNTIF(Matches!$B:$B,$B71)+COUNTIF(Matches!$C:$C,$B71)</f>
        <v>0</v>
      </c>
      <c r="I71" s="342">
        <f>COUNTIF(Matches!$B:$B,B71)</f>
        <v>0</v>
      </c>
      <c r="J71" s="79">
        <f t="shared" si="2"/>
        <v>0</v>
      </c>
      <c r="K71" s="1" t="str">
        <f t="shared" si="3"/>
        <v>0 - 0</v>
      </c>
      <c r="L71" s="343">
        <f>COUNTIF(Entropy!$D:$D,$B71)</f>
        <v>0</v>
      </c>
      <c r="M71" s="344">
        <f t="shared" si="4"/>
        <v>0</v>
      </c>
      <c r="N71" s="344">
        <f t="shared" si="5"/>
        <v>0</v>
      </c>
      <c r="O71" s="341">
        <f>IF($J71=11,0,IF(AND($H71 &gt;=VLOOKUP(Standings!$C$2,Quotas!$A$7:$E$14,4,FALSE), $H71&lt;=VLOOKUP(Standings!$C$2,Quotas!$A$7:$E$14,5,FALSE)), 0,VLOOKUP(Standings!$C$2,Quotas!$A$7:$E$14,4,FALSE)-$H71))</f>
        <v>30</v>
      </c>
      <c r="P71" s="341">
        <f>IF($J71=11,0,IF(AND($H71 &gt;=VLOOKUP(Standings!$C$2,Quotas!$A$7:$E$14,5,FALSE), $H71&lt;=VLOOKUP(Standings!$C$2,Quotas!$A$7:$E$14,5,FALSE)), 0,VLOOKUP(Standings!$C$2,Quotas!$A$7:$E$14,5,FALSE)-$H71))</f>
        <v>30</v>
      </c>
      <c r="Q71" s="79">
        <f t="shared" si="6"/>
        <v>11</v>
      </c>
      <c r="R71" s="345" t="str">
        <f t="shared" si="7"/>
        <v/>
      </c>
      <c r="S71" s="344">
        <f t="shared" si="8"/>
        <v>0.33</v>
      </c>
      <c r="T71" s="345" t="str">
        <f>IFERROR(__xludf.DUMMYFUNCTION("JOIN("","",IFERROR(FILTER(Matches!$B:$B,B71=Matches!$C:$C),""""),IFERROR(FILTER(Matches!$C:$C,B71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71" s="344">
        <f>IFERROR(__xludf.DUMMYFUNCTION("iferror(AVERAGE(ARRAYFORMULA(VLOOKUP(SPLIT(T71,"","",TRUE,TRUE),$R$2:$S654,2,FALSE))),0)"),0.0)</f>
        <v>0</v>
      </c>
      <c r="V71" s="346">
        <f>IFERROR(__xludf.DUMMYFUNCTION("RANK($I71, $I$2:$I654, FALSE) + RANK($M71, Filter($M$2:$M654, $I$2:$I654=$I71),FALSE)+RANK($U71, Filter($U$2:$U654, $I$2:$I654=$I71,$M$2:$M654=$M71),FALSE)-2"),1.0)</f>
        <v>1</v>
      </c>
      <c r="W71" s="347" t="str">
        <f t="shared" si="9"/>
        <v>Underplay</v>
      </c>
      <c r="X71" s="348" t="str">
        <f t="shared" si="10"/>
        <v/>
      </c>
      <c r="Y71" s="349">
        <f>MAXIFS(Matches!$A:$A,Matches!$C:$C,$B71)</f>
        <v>0</v>
      </c>
      <c r="Z71" s="349">
        <f t="array" ref="Z71">XLOOKUP(Y71,Quotas!$B$7:$B$10,Quotas!$A$7:$A$10,0,-1)</f>
        <v>0</v>
      </c>
      <c r="AB71" s="79"/>
      <c r="AC71" s="79">
        <f>COUNTIFS(Matches!$A:$A,"&gt;"&amp;Y71,Matches!$B:$B,$B71)</f>
        <v>0</v>
      </c>
      <c r="AD71" s="79"/>
      <c r="AE71" s="31" t="str">
        <f t="array" ref="AE71">XLOOKUP(B71, 'College List'!A:A, 'College List'!B:B)</f>
        <v>#N/A</v>
      </c>
      <c r="AF71" s="15">
        <v>9.0</v>
      </c>
    </row>
    <row r="72">
      <c r="A72" s="9">
        <f t="shared" si="1"/>
        <v>1</v>
      </c>
      <c r="C72" s="350"/>
      <c r="D72" s="93"/>
      <c r="E72" s="1"/>
      <c r="F72" s="1"/>
      <c r="G72" s="1"/>
      <c r="H72" s="341">
        <f>COUNTIF(Entropy!$D:$D,$B72)+COUNTIF(Matches!$B:$B,$B72)+COUNTIF(Matches!$C:$C,$B72)</f>
        <v>0</v>
      </c>
      <c r="I72" s="342">
        <f>COUNTIF(Matches!$B:$B,B72)</f>
        <v>0</v>
      </c>
      <c r="J72" s="79">
        <f t="shared" si="2"/>
        <v>0</v>
      </c>
      <c r="K72" s="1" t="str">
        <f t="shared" si="3"/>
        <v>0 - 0</v>
      </c>
      <c r="L72" s="343">
        <f>COUNTIF(Entropy!$D:$D,$B72)</f>
        <v>0</v>
      </c>
      <c r="M72" s="344">
        <f t="shared" si="4"/>
        <v>0</v>
      </c>
      <c r="N72" s="344">
        <f t="shared" si="5"/>
        <v>0</v>
      </c>
      <c r="O72" s="341">
        <f>IF($J72=11,0,IF(AND($H72 &gt;=VLOOKUP(Standings!$C$2,Quotas!$A$7:$E$14,4,FALSE), $H72&lt;=VLOOKUP(Standings!$C$2,Quotas!$A$7:$E$14,5,FALSE)), 0,VLOOKUP(Standings!$C$2,Quotas!$A$7:$E$14,4,FALSE)-$H72))</f>
        <v>30</v>
      </c>
      <c r="P72" s="341">
        <f>IF($J72=11,0,IF(AND($H72 &gt;=VLOOKUP(Standings!$C$2,Quotas!$A$7:$E$14,5,FALSE), $H72&lt;=VLOOKUP(Standings!$C$2,Quotas!$A$7:$E$14,5,FALSE)), 0,VLOOKUP(Standings!$C$2,Quotas!$A$7:$E$14,5,FALSE)-$H72))</f>
        <v>30</v>
      </c>
      <c r="Q72" s="79">
        <f t="shared" si="6"/>
        <v>11</v>
      </c>
      <c r="R72" s="345" t="str">
        <f t="shared" si="7"/>
        <v/>
      </c>
      <c r="S72" s="344">
        <f t="shared" si="8"/>
        <v>0.33</v>
      </c>
      <c r="T72" s="345" t="str">
        <f>IFERROR(__xludf.DUMMYFUNCTION("JOIN("","",IFERROR(FILTER(Matches!$B:$B,B72=Matches!$C:$C),""""),IFERROR(FILTER(Matches!$C:$C,B72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72" s="344">
        <f>IFERROR(__xludf.DUMMYFUNCTION("iferror(AVERAGE(ARRAYFORMULA(VLOOKUP(SPLIT(T72,"","",TRUE,TRUE),$R$2:$S654,2,FALSE))),0)"),0.0)</f>
        <v>0</v>
      </c>
      <c r="V72" s="346">
        <f>IFERROR(__xludf.DUMMYFUNCTION("RANK($I72, $I$2:$I654, FALSE) + RANK($M72, Filter($M$2:$M654, $I$2:$I654=$I72),FALSE)+RANK($U72, Filter($U$2:$U654, $I$2:$I654=$I72,$M$2:$M654=$M72),FALSE)-2"),1.0)</f>
        <v>1</v>
      </c>
      <c r="W72" s="347" t="str">
        <f t="shared" si="9"/>
        <v>Underplay</v>
      </c>
      <c r="X72" s="348" t="str">
        <f t="shared" si="10"/>
        <v/>
      </c>
      <c r="Y72" s="349">
        <f>MAXIFS(Matches!$A:$A,Matches!$C:$C,$B72)</f>
        <v>0</v>
      </c>
      <c r="Z72" s="349">
        <f t="array" ref="Z72">XLOOKUP(Y72,Quotas!$B$7:$B$10,Quotas!$A$7:$A$10,0,-1)</f>
        <v>0</v>
      </c>
      <c r="AB72" s="79"/>
      <c r="AC72" s="79">
        <f>COUNTIFS(Matches!$A:$A,"&gt;"&amp;Y72,Matches!$B:$B,$B72)</f>
        <v>0</v>
      </c>
      <c r="AD72" s="79"/>
      <c r="AE72" s="31" t="str">
        <f t="array" ref="AE72">XLOOKUP(B72, 'College List'!A:A, 'College List'!B:B)</f>
        <v>#N/A</v>
      </c>
      <c r="AF72" s="15">
        <v>9.0</v>
      </c>
    </row>
    <row r="73">
      <c r="A73" s="9">
        <f t="shared" si="1"/>
        <v>1</v>
      </c>
      <c r="C73" s="350"/>
      <c r="D73" s="93"/>
      <c r="E73" s="1"/>
      <c r="F73" s="1"/>
      <c r="G73" s="1"/>
      <c r="H73" s="341">
        <f>COUNTIF(Entropy!$D:$D,$B73)+COUNTIF(Matches!$B:$B,$B73)+COUNTIF(Matches!$C:$C,$B73)</f>
        <v>0</v>
      </c>
      <c r="I73" s="342">
        <f>COUNTIF(Matches!$B:$B,B73)</f>
        <v>0</v>
      </c>
      <c r="J73" s="79">
        <f t="shared" si="2"/>
        <v>0</v>
      </c>
      <c r="K73" s="1" t="str">
        <f t="shared" si="3"/>
        <v>0 - 0</v>
      </c>
      <c r="L73" s="343">
        <f>COUNTIF(Entropy!$D:$D,$B73)</f>
        <v>0</v>
      </c>
      <c r="M73" s="344">
        <f t="shared" si="4"/>
        <v>0</v>
      </c>
      <c r="N73" s="344">
        <f t="shared" si="5"/>
        <v>0</v>
      </c>
      <c r="O73" s="341">
        <f>IF($J73=11,0,IF(AND($H73 &gt;=VLOOKUP(Standings!$C$2,Quotas!$A$7:$E$14,4,FALSE), $H73&lt;=VLOOKUP(Standings!$C$2,Quotas!$A$7:$E$14,5,FALSE)), 0,VLOOKUP(Standings!$C$2,Quotas!$A$7:$E$14,4,FALSE)-$H73))</f>
        <v>30</v>
      </c>
      <c r="P73" s="341">
        <f>IF($J73=11,0,IF(AND($H73 &gt;=VLOOKUP(Standings!$C$2,Quotas!$A$7:$E$14,5,FALSE), $H73&lt;=VLOOKUP(Standings!$C$2,Quotas!$A$7:$E$14,5,FALSE)), 0,VLOOKUP(Standings!$C$2,Quotas!$A$7:$E$14,5,FALSE)-$H73))</f>
        <v>30</v>
      </c>
      <c r="Q73" s="79">
        <f t="shared" si="6"/>
        <v>11</v>
      </c>
      <c r="R73" s="345" t="str">
        <f t="shared" si="7"/>
        <v/>
      </c>
      <c r="S73" s="344">
        <f t="shared" si="8"/>
        <v>0.33</v>
      </c>
      <c r="T73" s="345" t="str">
        <f>IFERROR(__xludf.DUMMYFUNCTION("JOIN("","",IFERROR(FILTER(Matches!$B:$B,B73=Matches!$C:$C),""""),IFERROR(FILTER(Matches!$C:$C,B73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73" s="344">
        <f>IFERROR(__xludf.DUMMYFUNCTION("iferror(AVERAGE(ARRAYFORMULA(VLOOKUP(SPLIT(T73,"","",TRUE,TRUE),$R$2:$S654,2,FALSE))),0)"),0.0)</f>
        <v>0</v>
      </c>
      <c r="V73" s="346">
        <f>IFERROR(__xludf.DUMMYFUNCTION("RANK($I73, $I$2:$I654, FALSE) + RANK($M73, Filter($M$2:$M654, $I$2:$I654=$I73),FALSE)+RANK($U73, Filter($U$2:$U654, $I$2:$I654=$I73,$M$2:$M654=$M73),FALSE)-2"),1.0)</f>
        <v>1</v>
      </c>
      <c r="W73" s="347" t="str">
        <f t="shared" si="9"/>
        <v>Underplay</v>
      </c>
      <c r="X73" s="348" t="str">
        <f t="shared" si="10"/>
        <v/>
      </c>
      <c r="Y73" s="349">
        <f>MAXIFS(Matches!$A:$A,Matches!$C:$C,$B73)</f>
        <v>0</v>
      </c>
      <c r="Z73" s="349">
        <f t="array" ref="Z73">XLOOKUP(Y73,Quotas!$B$7:$B$10,Quotas!$A$7:$A$10,0,-1)</f>
        <v>0</v>
      </c>
      <c r="AB73" s="79"/>
      <c r="AC73" s="79">
        <f>COUNTIFS(Matches!$A:$A,"&gt;"&amp;Y73,Matches!$B:$B,$B73)</f>
        <v>0</v>
      </c>
      <c r="AD73" s="79"/>
      <c r="AE73" s="31" t="str">
        <f t="array" ref="AE73">XLOOKUP(B73, 'College List'!A:A, 'College List'!B:B)</f>
        <v>#N/A</v>
      </c>
      <c r="AF73" s="15">
        <v>9.0</v>
      </c>
    </row>
    <row r="74">
      <c r="A74" s="9">
        <f t="shared" si="1"/>
        <v>1</v>
      </c>
      <c r="C74" s="350"/>
      <c r="D74" s="93"/>
      <c r="E74" s="1"/>
      <c r="F74" s="1"/>
      <c r="G74" s="1"/>
      <c r="H74" s="341">
        <f>COUNTIF(Entropy!$D:$D,$B74)+COUNTIF(Matches!$B:$B,$B74)+COUNTIF(Matches!$C:$C,$B74)</f>
        <v>0</v>
      </c>
      <c r="I74" s="342">
        <f>COUNTIF(Matches!$B:$B,B74)</f>
        <v>0</v>
      </c>
      <c r="J74" s="79">
        <f t="shared" si="2"/>
        <v>0</v>
      </c>
      <c r="K74" s="1" t="str">
        <f t="shared" si="3"/>
        <v>0 - 0</v>
      </c>
      <c r="L74" s="343">
        <f>COUNTIF(Entropy!$D:$D,$B74)</f>
        <v>0</v>
      </c>
      <c r="M74" s="344">
        <f t="shared" si="4"/>
        <v>0</v>
      </c>
      <c r="N74" s="344">
        <f t="shared" si="5"/>
        <v>0</v>
      </c>
      <c r="O74" s="341">
        <f>IF($J74=11,0,IF(AND($H74 &gt;=VLOOKUP(Standings!$C$2,Quotas!$A$7:$E$14,4,FALSE), $H74&lt;=VLOOKUP(Standings!$C$2,Quotas!$A$7:$E$14,5,FALSE)), 0,VLOOKUP(Standings!$C$2,Quotas!$A$7:$E$14,4,FALSE)-$H74))</f>
        <v>30</v>
      </c>
      <c r="P74" s="341">
        <f>IF($J74=11,0,IF(AND($H74 &gt;=VLOOKUP(Standings!$C$2,Quotas!$A$7:$E$14,5,FALSE), $H74&lt;=VLOOKUP(Standings!$C$2,Quotas!$A$7:$E$14,5,FALSE)), 0,VLOOKUP(Standings!$C$2,Quotas!$A$7:$E$14,5,FALSE)-$H74))</f>
        <v>30</v>
      </c>
      <c r="Q74" s="79">
        <f t="shared" si="6"/>
        <v>11</v>
      </c>
      <c r="R74" s="345" t="str">
        <f t="shared" si="7"/>
        <v/>
      </c>
      <c r="S74" s="344">
        <f t="shared" si="8"/>
        <v>0.33</v>
      </c>
      <c r="T74" s="345" t="str">
        <f>IFERROR(__xludf.DUMMYFUNCTION("JOIN("","",IFERROR(FILTER(Matches!$B:$B,B74=Matches!$C:$C),""""),IFERROR(FILTER(Matches!$C:$C,B74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74" s="344">
        <f>IFERROR(__xludf.DUMMYFUNCTION("iferror(AVERAGE(ARRAYFORMULA(VLOOKUP(SPLIT(T74,"","",TRUE,TRUE),$R$2:$S654,2,FALSE))),0)"),0.0)</f>
        <v>0</v>
      </c>
      <c r="V74" s="346">
        <f>IFERROR(__xludf.DUMMYFUNCTION("RANK($I74, $I$2:$I654, FALSE) + RANK($M74, Filter($M$2:$M654, $I$2:$I654=$I74),FALSE)+RANK($U74, Filter($U$2:$U654, $I$2:$I654=$I74,$M$2:$M654=$M74),FALSE)-2"),1.0)</f>
        <v>1</v>
      </c>
      <c r="W74" s="347" t="str">
        <f t="shared" si="9"/>
        <v>Underplay</v>
      </c>
      <c r="X74" s="348" t="str">
        <f t="shared" si="10"/>
        <v/>
      </c>
      <c r="Y74" s="349">
        <f>MAXIFS(Matches!$A:$A,Matches!$C:$C,$B74)</f>
        <v>0</v>
      </c>
      <c r="Z74" s="349">
        <f t="array" ref="Z74">XLOOKUP(Y74,Quotas!$B$7:$B$10,Quotas!$A$7:$A$10,0,-1)</f>
        <v>0</v>
      </c>
      <c r="AB74" s="79"/>
      <c r="AC74" s="79">
        <f>COUNTIFS(Matches!$A:$A,"&gt;"&amp;Y74,Matches!$B:$B,$B74)</f>
        <v>0</v>
      </c>
      <c r="AD74" s="79"/>
      <c r="AE74" s="31" t="str">
        <f t="array" ref="AE74">XLOOKUP(B74, 'College List'!A:A, 'College List'!B:B)</f>
        <v>#N/A</v>
      </c>
      <c r="AF74" s="15">
        <v>9.0</v>
      </c>
    </row>
    <row r="75">
      <c r="A75" s="9">
        <f t="shared" si="1"/>
        <v>1</v>
      </c>
      <c r="C75" s="350"/>
      <c r="D75" s="93"/>
      <c r="E75" s="1"/>
      <c r="F75" s="1"/>
      <c r="G75" s="1"/>
      <c r="H75" s="341">
        <f>COUNTIF(Entropy!$D:$D,$B75)+COUNTIF(Matches!$B:$B,$B75)+COUNTIF(Matches!$C:$C,$B75)</f>
        <v>0</v>
      </c>
      <c r="I75" s="342">
        <f>COUNTIF(Matches!$B:$B,B75)</f>
        <v>0</v>
      </c>
      <c r="J75" s="79">
        <f t="shared" si="2"/>
        <v>0</v>
      </c>
      <c r="K75" s="1" t="str">
        <f t="shared" si="3"/>
        <v>0 - 0</v>
      </c>
      <c r="L75" s="343">
        <f>COUNTIF(Entropy!$D:$D,$B75)</f>
        <v>0</v>
      </c>
      <c r="M75" s="344">
        <f t="shared" si="4"/>
        <v>0</v>
      </c>
      <c r="N75" s="344">
        <f t="shared" si="5"/>
        <v>0</v>
      </c>
      <c r="O75" s="341">
        <f>IF($J75=11,0,IF(AND($H75 &gt;=VLOOKUP(Standings!$C$2,Quotas!$A$7:$E$14,4,FALSE), $H75&lt;=VLOOKUP(Standings!$C$2,Quotas!$A$7:$E$14,5,FALSE)), 0,VLOOKUP(Standings!$C$2,Quotas!$A$7:$E$14,4,FALSE)-$H75))</f>
        <v>30</v>
      </c>
      <c r="P75" s="341">
        <f>IF($J75=11,0,IF(AND($H75 &gt;=VLOOKUP(Standings!$C$2,Quotas!$A$7:$E$14,5,FALSE), $H75&lt;=VLOOKUP(Standings!$C$2,Quotas!$A$7:$E$14,5,FALSE)), 0,VLOOKUP(Standings!$C$2,Quotas!$A$7:$E$14,5,FALSE)-$H75))</f>
        <v>30</v>
      </c>
      <c r="Q75" s="79">
        <f t="shared" si="6"/>
        <v>11</v>
      </c>
      <c r="R75" s="345" t="str">
        <f t="shared" si="7"/>
        <v/>
      </c>
      <c r="S75" s="344">
        <f t="shared" si="8"/>
        <v>0.33</v>
      </c>
      <c r="T75" s="345" t="str">
        <f>IFERROR(__xludf.DUMMYFUNCTION("JOIN("","",IFERROR(FILTER(Matches!$B:$B,B75=Matches!$C:$C),""""),IFERROR(FILTER(Matches!$C:$C,B75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75" s="344">
        <f>IFERROR(__xludf.DUMMYFUNCTION("iferror(AVERAGE(ARRAYFORMULA(VLOOKUP(SPLIT(T75,"","",TRUE,TRUE),$R$2:$S654,2,FALSE))),0)"),0.0)</f>
        <v>0</v>
      </c>
      <c r="V75" s="346">
        <f>IFERROR(__xludf.DUMMYFUNCTION("RANK($I75, $I$2:$I654, FALSE) + RANK($M75, Filter($M$2:$M654, $I$2:$I654=$I75),FALSE)+RANK($U75, Filter($U$2:$U654, $I$2:$I654=$I75,$M$2:$M654=$M75),FALSE)-2"),1.0)</f>
        <v>1</v>
      </c>
      <c r="W75" s="347" t="str">
        <f t="shared" si="9"/>
        <v>Underplay</v>
      </c>
      <c r="X75" s="348" t="str">
        <f t="shared" si="10"/>
        <v/>
      </c>
      <c r="Y75" s="349">
        <f>MAXIFS(Matches!$A:$A,Matches!$C:$C,$B75)</f>
        <v>0</v>
      </c>
      <c r="Z75" s="349">
        <f t="array" ref="Z75">XLOOKUP(Y75,Quotas!$B$7:$B$10,Quotas!$A$7:$A$10,0,-1)</f>
        <v>0</v>
      </c>
      <c r="AB75" s="79"/>
      <c r="AC75" s="79">
        <f>COUNTIFS(Matches!$A:$A,"&gt;"&amp;Y75,Matches!$B:$B,$B75)</f>
        <v>0</v>
      </c>
      <c r="AD75" s="79"/>
      <c r="AE75" s="31" t="str">
        <f t="array" ref="AE75">XLOOKUP(B75, 'College List'!A:A, 'College List'!B:B)</f>
        <v>#N/A</v>
      </c>
      <c r="AF75" s="15">
        <v>9.0</v>
      </c>
    </row>
    <row r="76">
      <c r="A76" s="9">
        <f t="shared" si="1"/>
        <v>1</v>
      </c>
      <c r="C76" s="350"/>
      <c r="D76" s="93"/>
      <c r="E76" s="1"/>
      <c r="F76" s="1"/>
      <c r="G76" s="1"/>
      <c r="H76" s="341">
        <f>COUNTIF(Entropy!$D:$D,$B76)+COUNTIF(Matches!$B:$B,$B76)+COUNTIF(Matches!$C:$C,$B76)</f>
        <v>0</v>
      </c>
      <c r="I76" s="342">
        <f>COUNTIF(Matches!$B:$B,B76)</f>
        <v>0</v>
      </c>
      <c r="J76" s="79">
        <f t="shared" si="2"/>
        <v>0</v>
      </c>
      <c r="K76" s="1" t="str">
        <f t="shared" si="3"/>
        <v>0 - 0</v>
      </c>
      <c r="L76" s="343">
        <f>COUNTIF(Entropy!$D:$D,$B76)</f>
        <v>0</v>
      </c>
      <c r="M76" s="344">
        <f t="shared" si="4"/>
        <v>0</v>
      </c>
      <c r="N76" s="344">
        <f t="shared" si="5"/>
        <v>0</v>
      </c>
      <c r="O76" s="341">
        <f>IF($J76=11,0,IF(AND($H76 &gt;=VLOOKUP(Standings!$C$2,Quotas!$A$7:$E$14,4,FALSE), $H76&lt;=VLOOKUP(Standings!$C$2,Quotas!$A$7:$E$14,5,FALSE)), 0,VLOOKUP(Standings!$C$2,Quotas!$A$7:$E$14,4,FALSE)-$H76))</f>
        <v>30</v>
      </c>
      <c r="P76" s="341">
        <f>IF($J76=11,0,IF(AND($H76 &gt;=VLOOKUP(Standings!$C$2,Quotas!$A$7:$E$14,5,FALSE), $H76&lt;=VLOOKUP(Standings!$C$2,Quotas!$A$7:$E$14,5,FALSE)), 0,VLOOKUP(Standings!$C$2,Quotas!$A$7:$E$14,5,FALSE)-$H76))</f>
        <v>30</v>
      </c>
      <c r="Q76" s="79">
        <f t="shared" si="6"/>
        <v>11</v>
      </c>
      <c r="R76" s="345" t="str">
        <f t="shared" si="7"/>
        <v/>
      </c>
      <c r="S76" s="344">
        <f t="shared" si="8"/>
        <v>0.33</v>
      </c>
      <c r="T76" s="345" t="str">
        <f>IFERROR(__xludf.DUMMYFUNCTION("JOIN("","",IFERROR(FILTER(Matches!$B:$B,B76=Matches!$C:$C),""""),IFERROR(FILTER(Matches!$C:$C,B76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76" s="344">
        <f>IFERROR(__xludf.DUMMYFUNCTION("iferror(AVERAGE(ARRAYFORMULA(VLOOKUP(SPLIT(T76,"","",TRUE,TRUE),$R$2:$S654,2,FALSE))),0)"),0.0)</f>
        <v>0</v>
      </c>
      <c r="V76" s="346">
        <f>IFERROR(__xludf.DUMMYFUNCTION("RANK($I76, $I$2:$I654, FALSE) + RANK($M76, Filter($M$2:$M654, $I$2:$I654=$I76),FALSE)+RANK($U76, Filter($U$2:$U654, $I$2:$I654=$I76,$M$2:$M654=$M76),FALSE)-2"),1.0)</f>
        <v>1</v>
      </c>
      <c r="W76" s="347" t="str">
        <f t="shared" si="9"/>
        <v>Underplay</v>
      </c>
      <c r="X76" s="348" t="str">
        <f t="shared" si="10"/>
        <v/>
      </c>
      <c r="Y76" s="349">
        <f>MAXIFS(Matches!$A:$A,Matches!$C:$C,$B76)</f>
        <v>0</v>
      </c>
      <c r="Z76" s="349">
        <f t="array" ref="Z76">XLOOKUP(Y76,Quotas!$B$7:$B$10,Quotas!$A$7:$A$10,0,-1)</f>
        <v>0</v>
      </c>
      <c r="AB76" s="79"/>
      <c r="AC76" s="79">
        <f>COUNTIFS(Matches!$A:$A,"&gt;"&amp;Y76,Matches!$B:$B,$B76)</f>
        <v>0</v>
      </c>
      <c r="AD76" s="79"/>
      <c r="AE76" s="31" t="str">
        <f t="array" ref="AE76">XLOOKUP(B76, 'College List'!A:A, 'College List'!B:B)</f>
        <v>#N/A</v>
      </c>
    </row>
    <row r="77">
      <c r="A77" s="9">
        <f t="shared" si="1"/>
        <v>1</v>
      </c>
      <c r="C77" s="350"/>
      <c r="D77" s="93"/>
      <c r="E77" s="1"/>
      <c r="F77" s="1"/>
      <c r="G77" s="1"/>
      <c r="H77" s="341">
        <f>COUNTIF(Entropy!$D:$D,$B77)+COUNTIF(Matches!$B:$B,$B77)+COUNTIF(Matches!$C:$C,$B77)</f>
        <v>0</v>
      </c>
      <c r="I77" s="342">
        <f>COUNTIF(Matches!$B:$B,B77)</f>
        <v>0</v>
      </c>
      <c r="J77" s="79">
        <f t="shared" si="2"/>
        <v>0</v>
      </c>
      <c r="K77" s="1" t="str">
        <f t="shared" si="3"/>
        <v>0 - 0</v>
      </c>
      <c r="L77" s="343">
        <f>COUNTIF(Entropy!$D:$D,$B77)</f>
        <v>0</v>
      </c>
      <c r="M77" s="344">
        <f t="shared" si="4"/>
        <v>0</v>
      </c>
      <c r="N77" s="344">
        <f t="shared" si="5"/>
        <v>0</v>
      </c>
      <c r="O77" s="341">
        <f>IF($J77=11,0,IF(AND($H77 &gt;=VLOOKUP(Standings!$C$2,Quotas!$A$7:$E$14,4,FALSE), $H77&lt;=VLOOKUP(Standings!$C$2,Quotas!$A$7:$E$14,5,FALSE)), 0,VLOOKUP(Standings!$C$2,Quotas!$A$7:$E$14,4,FALSE)-$H77))</f>
        <v>30</v>
      </c>
      <c r="P77" s="341">
        <f>IF($J77=11,0,IF(AND($H77 &gt;=VLOOKUP(Standings!$C$2,Quotas!$A$7:$E$14,5,FALSE), $H77&lt;=VLOOKUP(Standings!$C$2,Quotas!$A$7:$E$14,5,FALSE)), 0,VLOOKUP(Standings!$C$2,Quotas!$A$7:$E$14,5,FALSE)-$H77))</f>
        <v>30</v>
      </c>
      <c r="Q77" s="79">
        <f t="shared" si="6"/>
        <v>11</v>
      </c>
      <c r="R77" s="345" t="str">
        <f t="shared" si="7"/>
        <v/>
      </c>
      <c r="S77" s="344">
        <f t="shared" si="8"/>
        <v>0.33</v>
      </c>
      <c r="T77" s="345" t="str">
        <f>IFERROR(__xludf.DUMMYFUNCTION("JOIN("","",IFERROR(FILTER(Matches!$B:$B,B77=Matches!$C:$C),""""),IFERROR(FILTER(Matches!$C:$C,B77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77" s="344">
        <f>IFERROR(__xludf.DUMMYFUNCTION("iferror(AVERAGE(ARRAYFORMULA(VLOOKUP(SPLIT(T77,"","",TRUE,TRUE),$R$2:$S654,2,FALSE))),0)"),0.0)</f>
        <v>0</v>
      </c>
      <c r="V77" s="346">
        <f>IFERROR(__xludf.DUMMYFUNCTION("RANK($I77, $I$2:$I654, FALSE) + RANK($M77, Filter($M$2:$M654, $I$2:$I654=$I77),FALSE)+RANK($U77, Filter($U$2:$U654, $I$2:$I654=$I77,$M$2:$M654=$M77),FALSE)-2"),1.0)</f>
        <v>1</v>
      </c>
      <c r="W77" s="347" t="str">
        <f t="shared" si="9"/>
        <v>Underplay</v>
      </c>
      <c r="X77" s="348" t="str">
        <f t="shared" si="10"/>
        <v/>
      </c>
      <c r="Y77" s="349">
        <f>MAXIFS(Matches!$A:$A,Matches!$C:$C,$B77)</f>
        <v>0</v>
      </c>
      <c r="Z77" s="349">
        <f t="array" ref="Z77">XLOOKUP(Y77,Quotas!$B$7:$B$10,Quotas!$A$7:$A$10,0,-1)</f>
        <v>0</v>
      </c>
      <c r="AB77" s="79"/>
      <c r="AC77" s="79">
        <f>COUNTIFS(Matches!$A:$A,"&gt;"&amp;Y77,Matches!$B:$B,$B77)</f>
        <v>0</v>
      </c>
      <c r="AD77" s="79"/>
      <c r="AE77" s="31" t="str">
        <f t="array" ref="AE77">XLOOKUP(B77, 'College List'!A:A, 'College List'!B:B)</f>
        <v>#N/A</v>
      </c>
      <c r="AF77" s="15">
        <v>9.0</v>
      </c>
    </row>
    <row r="78">
      <c r="A78" s="9">
        <f t="shared" si="1"/>
        <v>1</v>
      </c>
      <c r="C78" s="350"/>
      <c r="D78" s="93"/>
      <c r="E78" s="1"/>
      <c r="F78" s="1"/>
      <c r="G78" s="1"/>
      <c r="H78" s="341">
        <f>COUNTIF(Entropy!$D:$D,$B78)+COUNTIF(Matches!$B:$B,$B78)+COUNTIF(Matches!$C:$C,$B78)</f>
        <v>0</v>
      </c>
      <c r="I78" s="342">
        <f>COUNTIF(Matches!$B:$B,B78)</f>
        <v>0</v>
      </c>
      <c r="J78" s="79">
        <f t="shared" si="2"/>
        <v>0</v>
      </c>
      <c r="K78" s="1" t="str">
        <f t="shared" si="3"/>
        <v>0 - 0</v>
      </c>
      <c r="L78" s="343">
        <f>COUNTIF(Entropy!$D:$D,$B78)</f>
        <v>0</v>
      </c>
      <c r="M78" s="344">
        <f t="shared" si="4"/>
        <v>0</v>
      </c>
      <c r="N78" s="344">
        <f t="shared" si="5"/>
        <v>0</v>
      </c>
      <c r="O78" s="341">
        <f>IF($J78=11,0,IF(AND($H78 &gt;=VLOOKUP(Standings!$C$2,Quotas!$A$7:$E$14,4,FALSE), $H78&lt;=VLOOKUP(Standings!$C$2,Quotas!$A$7:$E$14,5,FALSE)), 0,VLOOKUP(Standings!$C$2,Quotas!$A$7:$E$14,4,FALSE)-$H78))</f>
        <v>30</v>
      </c>
      <c r="P78" s="341">
        <f>IF($J78=11,0,IF(AND($H78 &gt;=VLOOKUP(Standings!$C$2,Quotas!$A$7:$E$14,5,FALSE), $H78&lt;=VLOOKUP(Standings!$C$2,Quotas!$A$7:$E$14,5,FALSE)), 0,VLOOKUP(Standings!$C$2,Quotas!$A$7:$E$14,5,FALSE)-$H78))</f>
        <v>30</v>
      </c>
      <c r="Q78" s="79">
        <f t="shared" si="6"/>
        <v>11</v>
      </c>
      <c r="R78" s="345" t="str">
        <f t="shared" si="7"/>
        <v/>
      </c>
      <c r="S78" s="344">
        <f t="shared" si="8"/>
        <v>0.33</v>
      </c>
      <c r="T78" s="345" t="str">
        <f>IFERROR(__xludf.DUMMYFUNCTION("JOIN("","",IFERROR(FILTER(Matches!$B:$B,B78=Matches!$C:$C),""""),IFERROR(FILTER(Matches!$C:$C,B78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78" s="344">
        <f>IFERROR(__xludf.DUMMYFUNCTION("iferror(AVERAGE(ARRAYFORMULA(VLOOKUP(SPLIT(T78,"","",TRUE,TRUE),$R$2:$S654,2,FALSE))),0)"),0.0)</f>
        <v>0</v>
      </c>
      <c r="V78" s="346">
        <f>IFERROR(__xludf.DUMMYFUNCTION("RANK($I78, $I$2:$I654, FALSE) + RANK($M78, Filter($M$2:$M654, $I$2:$I654=$I78),FALSE)+RANK($U78, Filter($U$2:$U654, $I$2:$I654=$I78,$M$2:$M654=$M78),FALSE)-2"),1.0)</f>
        <v>1</v>
      </c>
      <c r="W78" s="347" t="str">
        <f t="shared" si="9"/>
        <v>Underplay</v>
      </c>
      <c r="X78" s="348" t="str">
        <f t="shared" si="10"/>
        <v/>
      </c>
      <c r="Y78" s="349">
        <f>MAXIFS(Matches!$A:$A,Matches!$C:$C,$B78)</f>
        <v>0</v>
      </c>
      <c r="Z78" s="349">
        <f t="array" ref="Z78">XLOOKUP(Y78,Quotas!$B$7:$B$10,Quotas!$A$7:$A$10,0,-1)</f>
        <v>0</v>
      </c>
      <c r="AB78" s="79"/>
      <c r="AC78" s="79">
        <f>COUNTIFS(Matches!$A:$A,"&gt;"&amp;Y78,Matches!$B:$B,$B78)</f>
        <v>0</v>
      </c>
      <c r="AD78" s="79"/>
      <c r="AE78" s="31" t="str">
        <f t="array" ref="AE78">XLOOKUP(B78, 'College List'!A:A, 'College List'!B:B)</f>
        <v>#N/A</v>
      </c>
      <c r="AF78" s="15">
        <v>9.0</v>
      </c>
    </row>
    <row r="79">
      <c r="A79" s="9">
        <f t="shared" si="1"/>
        <v>1</v>
      </c>
      <c r="C79" s="350"/>
      <c r="D79" s="93"/>
      <c r="E79" s="1"/>
      <c r="F79" s="1"/>
      <c r="G79" s="1"/>
      <c r="H79" s="341">
        <f>COUNTIF(Entropy!$D:$D,$B79)+COUNTIF(Matches!$B:$B,$B79)+COUNTIF(Matches!$C:$C,$B79)</f>
        <v>0</v>
      </c>
      <c r="I79" s="342">
        <f>COUNTIF(Matches!$B:$B,B79)</f>
        <v>0</v>
      </c>
      <c r="J79" s="79">
        <f t="shared" si="2"/>
        <v>0</v>
      </c>
      <c r="K79" s="1" t="str">
        <f t="shared" si="3"/>
        <v>0 - 0</v>
      </c>
      <c r="L79" s="343">
        <f>COUNTIF(Entropy!$D:$D,$B79)</f>
        <v>0</v>
      </c>
      <c r="M79" s="344">
        <f t="shared" si="4"/>
        <v>0</v>
      </c>
      <c r="N79" s="344">
        <f t="shared" si="5"/>
        <v>0</v>
      </c>
      <c r="O79" s="341">
        <f>IF($J79=11,0,IF(AND($H79 &gt;=VLOOKUP(Standings!$C$2,Quotas!$A$7:$E$14,4,FALSE), $H79&lt;=VLOOKUP(Standings!$C$2,Quotas!$A$7:$E$14,5,FALSE)), 0,VLOOKUP(Standings!$C$2,Quotas!$A$7:$E$14,4,FALSE)-$H79))</f>
        <v>30</v>
      </c>
      <c r="P79" s="341">
        <f>IF($J79=11,0,IF(AND($H79 &gt;=VLOOKUP(Standings!$C$2,Quotas!$A$7:$E$14,5,FALSE), $H79&lt;=VLOOKUP(Standings!$C$2,Quotas!$A$7:$E$14,5,FALSE)), 0,VLOOKUP(Standings!$C$2,Quotas!$A$7:$E$14,5,FALSE)-$H79))</f>
        <v>30</v>
      </c>
      <c r="Q79" s="79">
        <f t="shared" si="6"/>
        <v>11</v>
      </c>
      <c r="R79" s="345" t="str">
        <f t="shared" si="7"/>
        <v/>
      </c>
      <c r="S79" s="344">
        <f t="shared" si="8"/>
        <v>0.33</v>
      </c>
      <c r="T79" s="345" t="str">
        <f>IFERROR(__xludf.DUMMYFUNCTION("JOIN("","",IFERROR(FILTER(Matches!$B:$B,B79=Matches!$C:$C),""""),IFERROR(FILTER(Matches!$C:$C,B79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79" s="344">
        <f>IFERROR(__xludf.DUMMYFUNCTION("iferror(AVERAGE(ARRAYFORMULA(VLOOKUP(SPLIT(T79,"","",TRUE,TRUE),$R$2:$S654,2,FALSE))),0)"),0.0)</f>
        <v>0</v>
      </c>
      <c r="V79" s="346">
        <f>IFERROR(__xludf.DUMMYFUNCTION("RANK($I79, $I$2:$I654, FALSE) + RANK($M79, Filter($M$2:$M654, $I$2:$I654=$I79),FALSE)+RANK($U79, Filter($U$2:$U654, $I$2:$I654=$I79,$M$2:$M654=$M79),FALSE)-2"),1.0)</f>
        <v>1</v>
      </c>
      <c r="W79" s="347" t="str">
        <f t="shared" si="9"/>
        <v>Underplay</v>
      </c>
      <c r="X79" s="348" t="str">
        <f t="shared" si="10"/>
        <v/>
      </c>
      <c r="Y79" s="349">
        <f>MAXIFS(Matches!$A:$A,Matches!$C:$C,$B79)</f>
        <v>0</v>
      </c>
      <c r="Z79" s="349">
        <f t="array" ref="Z79">XLOOKUP(Y79,Quotas!$B$7:$B$10,Quotas!$A$7:$A$10,0,-1)</f>
        <v>0</v>
      </c>
      <c r="AB79" s="79"/>
      <c r="AC79" s="79">
        <f>COUNTIFS(Matches!$A:$A,"&gt;"&amp;Y79,Matches!$B:$B,$B79)</f>
        <v>0</v>
      </c>
      <c r="AD79" s="79"/>
      <c r="AE79" s="31" t="str">
        <f t="array" ref="AE79">XLOOKUP(B79, 'College List'!A:A, 'College List'!B:B)</f>
        <v>#N/A</v>
      </c>
      <c r="AF79" s="15">
        <v>9.0</v>
      </c>
    </row>
    <row r="80">
      <c r="A80" s="9">
        <f t="shared" si="1"/>
        <v>1</v>
      </c>
      <c r="C80" s="350"/>
      <c r="D80" s="93"/>
      <c r="E80" s="1"/>
      <c r="F80" s="1"/>
      <c r="G80" s="1"/>
      <c r="H80" s="341">
        <f>COUNTIF(Entropy!$D:$D,$B80)+COUNTIF(Matches!$B:$B,$B80)+COUNTIF(Matches!$C:$C,$B80)</f>
        <v>0</v>
      </c>
      <c r="I80" s="342">
        <f>COUNTIF(Matches!$B:$B,B80)</f>
        <v>0</v>
      </c>
      <c r="J80" s="79">
        <f t="shared" si="2"/>
        <v>0</v>
      </c>
      <c r="K80" s="1" t="str">
        <f t="shared" si="3"/>
        <v>0 - 0</v>
      </c>
      <c r="L80" s="343">
        <f>COUNTIF(Entropy!$D:$D,$B80)</f>
        <v>0</v>
      </c>
      <c r="M80" s="344">
        <f t="shared" si="4"/>
        <v>0</v>
      </c>
      <c r="N80" s="344">
        <f t="shared" si="5"/>
        <v>0</v>
      </c>
      <c r="O80" s="341">
        <f>IF($J80=11,0,IF(AND($H80 &gt;=VLOOKUP(Standings!$C$2,Quotas!$A$7:$E$14,4,FALSE), $H80&lt;=VLOOKUP(Standings!$C$2,Quotas!$A$7:$E$14,5,FALSE)), 0,VLOOKUP(Standings!$C$2,Quotas!$A$7:$E$14,4,FALSE)-$H80))</f>
        <v>30</v>
      </c>
      <c r="P80" s="341">
        <f>IF($J80=11,0,IF(AND($H80 &gt;=VLOOKUP(Standings!$C$2,Quotas!$A$7:$E$14,5,FALSE), $H80&lt;=VLOOKUP(Standings!$C$2,Quotas!$A$7:$E$14,5,FALSE)), 0,VLOOKUP(Standings!$C$2,Quotas!$A$7:$E$14,5,FALSE)-$H80))</f>
        <v>30</v>
      </c>
      <c r="Q80" s="79">
        <f t="shared" si="6"/>
        <v>11</v>
      </c>
      <c r="R80" s="345" t="str">
        <f t="shared" si="7"/>
        <v/>
      </c>
      <c r="S80" s="344">
        <f t="shared" si="8"/>
        <v>0.33</v>
      </c>
      <c r="T80" s="345" t="str">
        <f>IFERROR(__xludf.DUMMYFUNCTION("JOIN("","",IFERROR(FILTER(Matches!$B:$B,B80=Matches!$C:$C),""""),IFERROR(FILTER(Matches!$C:$C,B80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80" s="344">
        <f>IFERROR(__xludf.DUMMYFUNCTION("iferror(AVERAGE(ARRAYFORMULA(VLOOKUP(SPLIT(T80,"","",TRUE,TRUE),$R$2:$S654,2,FALSE))),0)"),0.0)</f>
        <v>0</v>
      </c>
      <c r="V80" s="346">
        <f>IFERROR(__xludf.DUMMYFUNCTION("RANK($I80, $I$2:$I654, FALSE) + RANK($M80, Filter($M$2:$M654, $I$2:$I654=$I80),FALSE)+RANK($U80, Filter($U$2:$U654, $I$2:$I654=$I80,$M$2:$M654=$M80),FALSE)-2"),1.0)</f>
        <v>1</v>
      </c>
      <c r="W80" s="347" t="str">
        <f t="shared" si="9"/>
        <v>Underplay</v>
      </c>
      <c r="X80" s="348" t="str">
        <f t="shared" si="10"/>
        <v/>
      </c>
      <c r="Y80" s="349">
        <f>MAXIFS(Matches!$A:$A,Matches!$C:$C,$B80)</f>
        <v>0</v>
      </c>
      <c r="Z80" s="349">
        <f t="array" ref="Z80">XLOOKUP(Y80,Quotas!$B$7:$B$10,Quotas!$A$7:$A$10,0,-1)</f>
        <v>0</v>
      </c>
      <c r="AB80" s="79"/>
      <c r="AC80" s="79">
        <f>COUNTIFS(Matches!$A:$A,"&gt;"&amp;Y80,Matches!$B:$B,$B80)</f>
        <v>0</v>
      </c>
      <c r="AD80" s="79"/>
      <c r="AE80" s="31" t="str">
        <f t="array" ref="AE80">XLOOKUP(B80, 'College List'!A:A, 'College List'!B:B)</f>
        <v>#N/A</v>
      </c>
      <c r="AF80" s="15">
        <v>9.0</v>
      </c>
    </row>
    <row r="81">
      <c r="A81" s="9">
        <f t="shared" si="1"/>
        <v>1</v>
      </c>
      <c r="C81" s="350"/>
      <c r="D81" s="93"/>
      <c r="E81" s="1"/>
      <c r="F81" s="1"/>
      <c r="G81" s="1"/>
      <c r="H81" s="341">
        <f>COUNTIF(Entropy!$D:$D,$B81)+COUNTIF(Matches!$B:$B,$B81)+COUNTIF(Matches!$C:$C,$B81)</f>
        <v>0</v>
      </c>
      <c r="I81" s="342">
        <f>COUNTIF(Matches!$B:$B,B81)</f>
        <v>0</v>
      </c>
      <c r="J81" s="79">
        <f t="shared" si="2"/>
        <v>0</v>
      </c>
      <c r="K81" s="1" t="str">
        <f t="shared" si="3"/>
        <v>0 - 0</v>
      </c>
      <c r="L81" s="343">
        <f>COUNTIF(Entropy!$D:$D,$B81)</f>
        <v>0</v>
      </c>
      <c r="M81" s="344">
        <f t="shared" si="4"/>
        <v>0</v>
      </c>
      <c r="N81" s="344">
        <f t="shared" si="5"/>
        <v>0</v>
      </c>
      <c r="O81" s="341">
        <f>IF($J81=11,0,IF(AND($H81 &gt;=VLOOKUP(Standings!$C$2,Quotas!$A$7:$E$14,4,FALSE), $H81&lt;=VLOOKUP(Standings!$C$2,Quotas!$A$7:$E$14,5,FALSE)), 0,VLOOKUP(Standings!$C$2,Quotas!$A$7:$E$14,4,FALSE)-$H81))</f>
        <v>30</v>
      </c>
      <c r="P81" s="341">
        <f>IF($J81=11,0,IF(AND($H81 &gt;=VLOOKUP(Standings!$C$2,Quotas!$A$7:$E$14,5,FALSE), $H81&lt;=VLOOKUP(Standings!$C$2,Quotas!$A$7:$E$14,5,FALSE)), 0,VLOOKUP(Standings!$C$2,Quotas!$A$7:$E$14,5,FALSE)-$H81))</f>
        <v>30</v>
      </c>
      <c r="Q81" s="79">
        <f t="shared" si="6"/>
        <v>11</v>
      </c>
      <c r="R81" s="345" t="str">
        <f t="shared" si="7"/>
        <v/>
      </c>
      <c r="S81" s="344">
        <f t="shared" si="8"/>
        <v>0.33</v>
      </c>
      <c r="T81" s="345" t="str">
        <f>IFERROR(__xludf.DUMMYFUNCTION("JOIN("","",IFERROR(FILTER(Matches!$B:$B,B81=Matches!$C:$C),""""),IFERROR(FILTER(Matches!$C:$C,B81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81" s="344">
        <f>IFERROR(__xludf.DUMMYFUNCTION("iferror(AVERAGE(ARRAYFORMULA(VLOOKUP(SPLIT(T81,"","",TRUE,TRUE),$R$2:$S654,2,FALSE))),0)"),0.0)</f>
        <v>0</v>
      </c>
      <c r="V81" s="346">
        <f>IFERROR(__xludf.DUMMYFUNCTION("RANK($I81, $I$2:$I654, FALSE) + RANK($M81, Filter($M$2:$M654, $I$2:$I654=$I81),FALSE)+RANK($U81, Filter($U$2:$U654, $I$2:$I654=$I81,$M$2:$M654=$M81),FALSE)-2"),1.0)</f>
        <v>1</v>
      </c>
      <c r="W81" s="347" t="str">
        <f t="shared" si="9"/>
        <v>Underplay</v>
      </c>
      <c r="X81" s="348" t="str">
        <f t="shared" si="10"/>
        <v/>
      </c>
      <c r="Y81" s="349">
        <f>MAXIFS(Matches!$A:$A,Matches!$C:$C,$B81)</f>
        <v>0</v>
      </c>
      <c r="Z81" s="349">
        <f t="array" ref="Z81">XLOOKUP(Y81,Quotas!$B$7:$B$10,Quotas!$A$7:$A$10,0,-1)</f>
        <v>0</v>
      </c>
      <c r="AB81" s="79"/>
      <c r="AC81" s="79">
        <f>COUNTIFS(Matches!$A:$A,"&gt;"&amp;Y81,Matches!$B:$B,$B81)</f>
        <v>0</v>
      </c>
      <c r="AD81" s="79"/>
      <c r="AE81" s="31" t="str">
        <f t="array" ref="AE81">XLOOKUP(B81, 'College List'!A:A, 'College List'!B:B)</f>
        <v>#N/A</v>
      </c>
      <c r="AF81" s="15">
        <v>9.0</v>
      </c>
    </row>
    <row r="82">
      <c r="A82" s="9">
        <f t="shared" si="1"/>
        <v>1</v>
      </c>
      <c r="C82" s="350"/>
      <c r="D82" s="93"/>
      <c r="E82" s="1"/>
      <c r="F82" s="1"/>
      <c r="G82" s="1"/>
      <c r="H82" s="341">
        <f>COUNTIF(Entropy!$D:$D,$B82)+COUNTIF(Matches!$B:$B,$B82)+COUNTIF(Matches!$C:$C,$B82)</f>
        <v>0</v>
      </c>
      <c r="I82" s="342">
        <f>COUNTIF(Matches!$B:$B,B82)</f>
        <v>0</v>
      </c>
      <c r="J82" s="79">
        <f t="shared" si="2"/>
        <v>0</v>
      </c>
      <c r="K82" s="1" t="str">
        <f t="shared" si="3"/>
        <v>0 - 0</v>
      </c>
      <c r="L82" s="343">
        <f>COUNTIF(Entropy!$D:$D,$B82)</f>
        <v>0</v>
      </c>
      <c r="M82" s="344">
        <f t="shared" si="4"/>
        <v>0</v>
      </c>
      <c r="N82" s="344">
        <f t="shared" si="5"/>
        <v>0</v>
      </c>
      <c r="O82" s="341">
        <f>IF($J82=11,0,IF(AND($H82 &gt;=VLOOKUP(Standings!$C$2,Quotas!$A$7:$E$14,4,FALSE), $H82&lt;=VLOOKUP(Standings!$C$2,Quotas!$A$7:$E$14,5,FALSE)), 0,VLOOKUP(Standings!$C$2,Quotas!$A$7:$E$14,4,FALSE)-$H82))</f>
        <v>30</v>
      </c>
      <c r="P82" s="341">
        <f>IF($J82=11,0,IF(AND($H82 &gt;=VLOOKUP(Standings!$C$2,Quotas!$A$7:$E$14,5,FALSE), $H82&lt;=VLOOKUP(Standings!$C$2,Quotas!$A$7:$E$14,5,FALSE)), 0,VLOOKUP(Standings!$C$2,Quotas!$A$7:$E$14,5,FALSE)-$H82))</f>
        <v>30</v>
      </c>
      <c r="Q82" s="79">
        <f t="shared" si="6"/>
        <v>11</v>
      </c>
      <c r="R82" s="345" t="str">
        <f t="shared" si="7"/>
        <v/>
      </c>
      <c r="S82" s="344">
        <f t="shared" si="8"/>
        <v>0.33</v>
      </c>
      <c r="T82" s="345" t="str">
        <f>IFERROR(__xludf.DUMMYFUNCTION("JOIN("","",IFERROR(FILTER(Matches!$B:$B,B82=Matches!$C:$C),""""),IFERROR(FILTER(Matches!$C:$C,B82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82" s="344">
        <f>IFERROR(__xludf.DUMMYFUNCTION("iferror(AVERAGE(ARRAYFORMULA(VLOOKUP(SPLIT(T82,"","",TRUE,TRUE),$R$2:$S654,2,FALSE))),0)"),0.0)</f>
        <v>0</v>
      </c>
      <c r="V82" s="346">
        <f>IFERROR(__xludf.DUMMYFUNCTION("RANK($I82, $I$2:$I654, FALSE) + RANK($M82, Filter($M$2:$M654, $I$2:$I654=$I82),FALSE)+RANK($U82, Filter($U$2:$U654, $I$2:$I654=$I82,$M$2:$M654=$M82),FALSE)-2"),1.0)</f>
        <v>1</v>
      </c>
      <c r="W82" s="347" t="str">
        <f t="shared" si="9"/>
        <v>Underplay</v>
      </c>
      <c r="X82" s="348" t="str">
        <f t="shared" si="10"/>
        <v/>
      </c>
      <c r="Y82" s="349">
        <f>MAXIFS(Matches!$A:$A,Matches!$C:$C,$B82)</f>
        <v>0</v>
      </c>
      <c r="Z82" s="349">
        <f t="array" ref="Z82">XLOOKUP(Y82,Quotas!$B$7:$B$10,Quotas!$A$7:$A$10,0,-1)</f>
        <v>0</v>
      </c>
      <c r="AB82" s="79"/>
      <c r="AC82" s="79">
        <f>COUNTIFS(Matches!$A:$A,"&gt;"&amp;Y82,Matches!$B:$B,$B82)</f>
        <v>0</v>
      </c>
      <c r="AD82" s="79"/>
      <c r="AE82" s="31" t="str">
        <f t="array" ref="AE82">XLOOKUP(B82, 'College List'!A:A, 'College List'!B:B)</f>
        <v>#N/A</v>
      </c>
    </row>
    <row r="83">
      <c r="A83" s="9">
        <f t="shared" si="1"/>
        <v>1</v>
      </c>
      <c r="C83" s="350"/>
      <c r="D83" s="93"/>
      <c r="E83" s="1"/>
      <c r="F83" s="1"/>
      <c r="G83" s="1"/>
      <c r="H83" s="341">
        <f>COUNTIF(Entropy!$D:$D,$B83)+COUNTIF(Matches!$B:$B,$B83)+COUNTIF(Matches!$C:$C,$B83)</f>
        <v>0</v>
      </c>
      <c r="I83" s="342">
        <f>COUNTIF(Matches!$B:$B,B83)</f>
        <v>0</v>
      </c>
      <c r="J83" s="79">
        <f t="shared" si="2"/>
        <v>0</v>
      </c>
      <c r="K83" s="1" t="str">
        <f t="shared" si="3"/>
        <v>0 - 0</v>
      </c>
      <c r="L83" s="343">
        <f>COUNTIF(Entropy!$D:$D,$B83)</f>
        <v>0</v>
      </c>
      <c r="M83" s="344">
        <f t="shared" si="4"/>
        <v>0</v>
      </c>
      <c r="N83" s="344">
        <f t="shared" si="5"/>
        <v>0</v>
      </c>
      <c r="O83" s="341">
        <f>IF($J83=11,0,IF(AND($H83 &gt;=VLOOKUP(Standings!$C$2,Quotas!$A$7:$E$14,4,FALSE), $H83&lt;=VLOOKUP(Standings!$C$2,Quotas!$A$7:$E$14,5,FALSE)), 0,VLOOKUP(Standings!$C$2,Quotas!$A$7:$E$14,4,FALSE)-$H83))</f>
        <v>30</v>
      </c>
      <c r="P83" s="341">
        <f>IF($J83=11,0,IF(AND($H83 &gt;=VLOOKUP(Standings!$C$2,Quotas!$A$7:$E$14,5,FALSE), $H83&lt;=VLOOKUP(Standings!$C$2,Quotas!$A$7:$E$14,5,FALSE)), 0,VLOOKUP(Standings!$C$2,Quotas!$A$7:$E$14,5,FALSE)-$H83))</f>
        <v>30</v>
      </c>
      <c r="Q83" s="79">
        <f t="shared" si="6"/>
        <v>11</v>
      </c>
      <c r="R83" s="345" t="str">
        <f t="shared" si="7"/>
        <v/>
      </c>
      <c r="S83" s="344">
        <f t="shared" si="8"/>
        <v>0.33</v>
      </c>
      <c r="T83" s="345" t="str">
        <f>IFERROR(__xludf.DUMMYFUNCTION("JOIN("","",IFERROR(FILTER(Matches!$B:$B,B83=Matches!$C:$C),""""),IFERROR(FILTER(Matches!$C:$C,B83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83" s="344">
        <f>IFERROR(__xludf.DUMMYFUNCTION("iferror(AVERAGE(ARRAYFORMULA(VLOOKUP(SPLIT(T83,"","",TRUE,TRUE),$R$2:$S654,2,FALSE))),0)"),0.0)</f>
        <v>0</v>
      </c>
      <c r="V83" s="346">
        <f>IFERROR(__xludf.DUMMYFUNCTION("RANK($I83, $I$2:$I654, FALSE) + RANK($M83, Filter($M$2:$M654, $I$2:$I654=$I83),FALSE)+RANK($U83, Filter($U$2:$U654, $I$2:$I654=$I83,$M$2:$M654=$M83),FALSE)-2"),1.0)</f>
        <v>1</v>
      </c>
      <c r="W83" s="347" t="str">
        <f t="shared" si="9"/>
        <v>Underplay</v>
      </c>
      <c r="X83" s="348" t="str">
        <f t="shared" si="10"/>
        <v/>
      </c>
      <c r="Y83" s="349">
        <f>MAXIFS(Matches!$A:$A,Matches!$C:$C,$B83)</f>
        <v>0</v>
      </c>
      <c r="Z83" s="349">
        <f t="array" ref="Z83">XLOOKUP(Y83,Quotas!$B$7:$B$10,Quotas!$A$7:$A$10,0,-1)</f>
        <v>0</v>
      </c>
      <c r="AB83" s="79"/>
      <c r="AC83" s="79">
        <f>COUNTIFS(Matches!$A:$A,"&gt;"&amp;Y83,Matches!$B:$B,$B83)</f>
        <v>0</v>
      </c>
      <c r="AD83" s="79"/>
      <c r="AE83" s="31" t="str">
        <f t="array" ref="AE83">XLOOKUP(B83, 'College List'!A:A, 'College List'!B:B)</f>
        <v>#N/A</v>
      </c>
      <c r="AF83" s="15">
        <v>7.0</v>
      </c>
    </row>
    <row r="84">
      <c r="A84" s="9">
        <f t="shared" si="1"/>
        <v>1</v>
      </c>
      <c r="C84" s="350"/>
      <c r="D84" s="93"/>
      <c r="E84" s="1"/>
      <c r="F84" s="1"/>
      <c r="G84" s="1"/>
      <c r="H84" s="341">
        <f>COUNTIF(Entropy!$D:$D,$B84)+COUNTIF(Matches!$B:$B,$B84)+COUNTIF(Matches!$C:$C,$B84)</f>
        <v>0</v>
      </c>
      <c r="I84" s="342">
        <f>COUNTIF(Matches!$B:$B,B84)</f>
        <v>0</v>
      </c>
      <c r="J84" s="79">
        <f t="shared" si="2"/>
        <v>0</v>
      </c>
      <c r="K84" s="1" t="str">
        <f t="shared" si="3"/>
        <v>0 - 0</v>
      </c>
      <c r="L84" s="343">
        <f>COUNTIF(Entropy!$D:$D,$B84)</f>
        <v>0</v>
      </c>
      <c r="M84" s="344">
        <f t="shared" si="4"/>
        <v>0</v>
      </c>
      <c r="N84" s="344">
        <f t="shared" si="5"/>
        <v>0</v>
      </c>
      <c r="O84" s="341">
        <f>IF($J84=11,0,IF(AND($H84 &gt;=VLOOKUP(Standings!$C$2,Quotas!$A$7:$E$14,4,FALSE), $H84&lt;=VLOOKUP(Standings!$C$2,Quotas!$A$7:$E$14,5,FALSE)), 0,VLOOKUP(Standings!$C$2,Quotas!$A$7:$E$14,4,FALSE)-$H84))</f>
        <v>30</v>
      </c>
      <c r="P84" s="341">
        <f>IF($J84=11,0,IF(AND($H84 &gt;=VLOOKUP(Standings!$C$2,Quotas!$A$7:$E$14,5,FALSE), $H84&lt;=VLOOKUP(Standings!$C$2,Quotas!$A$7:$E$14,5,FALSE)), 0,VLOOKUP(Standings!$C$2,Quotas!$A$7:$E$14,5,FALSE)-$H84))</f>
        <v>30</v>
      </c>
      <c r="Q84" s="79">
        <f t="shared" si="6"/>
        <v>11</v>
      </c>
      <c r="R84" s="345" t="str">
        <f t="shared" si="7"/>
        <v/>
      </c>
      <c r="S84" s="344">
        <f t="shared" si="8"/>
        <v>0.33</v>
      </c>
      <c r="T84" s="345" t="str">
        <f>IFERROR(__xludf.DUMMYFUNCTION("JOIN("","",IFERROR(FILTER(Matches!$B:$B,B84=Matches!$C:$C),""""),IFERROR(FILTER(Matches!$C:$C,B84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84" s="344">
        <f>IFERROR(__xludf.DUMMYFUNCTION("iferror(AVERAGE(ARRAYFORMULA(VLOOKUP(SPLIT(T84,"","",TRUE,TRUE),$R$2:$S654,2,FALSE))),0)"),0.0)</f>
        <v>0</v>
      </c>
      <c r="V84" s="346">
        <f>IFERROR(__xludf.DUMMYFUNCTION("RANK($I84, $I$2:$I654, FALSE) + RANK($M84, Filter($M$2:$M654, $I$2:$I654=$I84),FALSE)+RANK($U84, Filter($U$2:$U654, $I$2:$I654=$I84,$M$2:$M654=$M84),FALSE)-2"),1.0)</f>
        <v>1</v>
      </c>
      <c r="W84" s="347" t="str">
        <f t="shared" si="9"/>
        <v>Underplay</v>
      </c>
      <c r="X84" s="348" t="str">
        <f t="shared" si="10"/>
        <v/>
      </c>
      <c r="Y84" s="349">
        <f>MAXIFS(Matches!$A:$A,Matches!$C:$C,$B84)</f>
        <v>0</v>
      </c>
      <c r="Z84" s="349">
        <f t="array" ref="Z84">XLOOKUP(Y84,Quotas!$B$7:$B$10,Quotas!$A$7:$A$10,0,-1)</f>
        <v>0</v>
      </c>
      <c r="AB84" s="79"/>
      <c r="AC84" s="79">
        <f>COUNTIFS(Matches!$A:$A,"&gt;"&amp;Y84,Matches!$B:$B,$B84)</f>
        <v>0</v>
      </c>
      <c r="AD84" s="79"/>
      <c r="AE84" s="31" t="str">
        <f t="array" ref="AE84">XLOOKUP(B84, 'College List'!A:A, 'College List'!B:B)</f>
        <v>#N/A</v>
      </c>
      <c r="AF84" s="15">
        <v>3.0</v>
      </c>
    </row>
    <row r="85">
      <c r="A85" s="9">
        <f t="shared" si="1"/>
        <v>1</v>
      </c>
      <c r="C85" s="350"/>
      <c r="D85" s="93"/>
      <c r="E85" s="1"/>
      <c r="F85" s="1"/>
      <c r="G85" s="1"/>
      <c r="H85" s="341">
        <f>COUNTIF(Entropy!$D:$D,$B85)+COUNTIF(Matches!$B:$B,$B85)+COUNTIF(Matches!$C:$C,$B85)</f>
        <v>0</v>
      </c>
      <c r="I85" s="342">
        <f>COUNTIF(Matches!$B:$B,B85)</f>
        <v>0</v>
      </c>
      <c r="J85" s="79">
        <f t="shared" si="2"/>
        <v>0</v>
      </c>
      <c r="K85" s="1" t="str">
        <f t="shared" si="3"/>
        <v>0 - 0</v>
      </c>
      <c r="L85" s="343">
        <f>COUNTIF(Entropy!$D:$D,$B85)</f>
        <v>0</v>
      </c>
      <c r="M85" s="344">
        <f t="shared" si="4"/>
        <v>0</v>
      </c>
      <c r="N85" s="344">
        <f t="shared" si="5"/>
        <v>0</v>
      </c>
      <c r="O85" s="341">
        <f>IF($J85=11,0,IF(AND($H85 &gt;=VLOOKUP(Standings!$C$2,Quotas!$A$7:$E$14,4,FALSE), $H85&lt;=VLOOKUP(Standings!$C$2,Quotas!$A$7:$E$14,5,FALSE)), 0,VLOOKUP(Standings!$C$2,Quotas!$A$7:$E$14,4,FALSE)-$H85))</f>
        <v>30</v>
      </c>
      <c r="P85" s="341">
        <f>IF($J85=11,0,IF(AND($H85 &gt;=VLOOKUP(Standings!$C$2,Quotas!$A$7:$E$14,5,FALSE), $H85&lt;=VLOOKUP(Standings!$C$2,Quotas!$A$7:$E$14,5,FALSE)), 0,VLOOKUP(Standings!$C$2,Quotas!$A$7:$E$14,5,FALSE)-$H85))</f>
        <v>30</v>
      </c>
      <c r="Q85" s="79">
        <f t="shared" si="6"/>
        <v>11</v>
      </c>
      <c r="R85" s="345" t="str">
        <f t="shared" si="7"/>
        <v/>
      </c>
      <c r="S85" s="344">
        <f t="shared" si="8"/>
        <v>0.33</v>
      </c>
      <c r="T85" s="345" t="str">
        <f>IFERROR(__xludf.DUMMYFUNCTION("JOIN("","",IFERROR(FILTER(Matches!$B:$B,B85=Matches!$C:$C),""""),IFERROR(FILTER(Matches!$C:$C,B85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85" s="344">
        <f>IFERROR(__xludf.DUMMYFUNCTION("iferror(AVERAGE(ARRAYFORMULA(VLOOKUP(SPLIT(T85,"","",TRUE,TRUE),$R$2:$S654,2,FALSE))),0)"),0.0)</f>
        <v>0</v>
      </c>
      <c r="V85" s="346">
        <f>IFERROR(__xludf.DUMMYFUNCTION("RANK($I85, $I$2:$I654, FALSE) + RANK($M85, Filter($M$2:$M654, $I$2:$I654=$I85),FALSE)+RANK($U85, Filter($U$2:$U654, $I$2:$I654=$I85,$M$2:$M654=$M85),FALSE)-2"),1.0)</f>
        <v>1</v>
      </c>
      <c r="W85" s="347" t="str">
        <f t="shared" si="9"/>
        <v>Underplay</v>
      </c>
      <c r="X85" s="348" t="str">
        <f t="shared" si="10"/>
        <v/>
      </c>
      <c r="Y85" s="349">
        <f>MAXIFS(Matches!$A:$A,Matches!$C:$C,$B85)</f>
        <v>0</v>
      </c>
      <c r="Z85" s="349">
        <f t="array" ref="Z85">XLOOKUP(Y85,Quotas!$B$7:$B$10,Quotas!$A$7:$A$10,0,-1)</f>
        <v>0</v>
      </c>
      <c r="AB85" s="79"/>
      <c r="AC85" s="79">
        <f>COUNTIFS(Matches!$A:$A,"&gt;"&amp;Y85,Matches!$B:$B,$B85)</f>
        <v>0</v>
      </c>
      <c r="AD85" s="79"/>
      <c r="AE85" s="31" t="str">
        <f t="array" ref="AE85">XLOOKUP(B85, 'College List'!A:A, 'College List'!B:B)</f>
        <v>#N/A</v>
      </c>
      <c r="AF85" s="15">
        <v>3.0</v>
      </c>
    </row>
    <row r="86">
      <c r="A86" s="9">
        <f t="shared" si="1"/>
        <v>1</v>
      </c>
      <c r="C86" s="350"/>
      <c r="D86" s="93"/>
      <c r="E86" s="1"/>
      <c r="F86" s="1"/>
      <c r="G86" s="1"/>
      <c r="H86" s="341">
        <f>COUNTIF(Entropy!$D:$D,$B86)+COUNTIF(Matches!$B:$B,$B86)+COUNTIF(Matches!$C:$C,$B86)</f>
        <v>0</v>
      </c>
      <c r="I86" s="342">
        <f>COUNTIF(Matches!$B:$B,B86)</f>
        <v>0</v>
      </c>
      <c r="J86" s="79">
        <f t="shared" si="2"/>
        <v>0</v>
      </c>
      <c r="K86" s="1" t="str">
        <f t="shared" si="3"/>
        <v>0 - 0</v>
      </c>
      <c r="L86" s="343">
        <f>COUNTIF(Entropy!$D:$D,$B86)</f>
        <v>0</v>
      </c>
      <c r="M86" s="344">
        <f t="shared" si="4"/>
        <v>0</v>
      </c>
      <c r="N86" s="344">
        <f t="shared" si="5"/>
        <v>0</v>
      </c>
      <c r="O86" s="341">
        <f>IF($J86=11,0,IF(AND($H86 &gt;=VLOOKUP(Standings!$C$2,Quotas!$A$7:$E$14,4,FALSE), $H86&lt;=VLOOKUP(Standings!$C$2,Quotas!$A$7:$E$14,5,FALSE)), 0,VLOOKUP(Standings!$C$2,Quotas!$A$7:$E$14,4,FALSE)-$H86))</f>
        <v>30</v>
      </c>
      <c r="P86" s="341">
        <f>IF($J86=11,0,IF(AND($H86 &gt;=VLOOKUP(Standings!$C$2,Quotas!$A$7:$E$14,5,FALSE), $H86&lt;=VLOOKUP(Standings!$C$2,Quotas!$A$7:$E$14,5,FALSE)), 0,VLOOKUP(Standings!$C$2,Quotas!$A$7:$E$14,5,FALSE)-$H86))</f>
        <v>30</v>
      </c>
      <c r="Q86" s="79">
        <f t="shared" si="6"/>
        <v>11</v>
      </c>
      <c r="R86" s="345" t="str">
        <f t="shared" si="7"/>
        <v/>
      </c>
      <c r="S86" s="344">
        <f t="shared" si="8"/>
        <v>0.33</v>
      </c>
      <c r="T86" s="345" t="str">
        <f>IFERROR(__xludf.DUMMYFUNCTION("JOIN("","",IFERROR(FILTER(Matches!$B:$B,B86=Matches!$C:$C),""""),IFERROR(FILTER(Matches!$C:$C,B86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86" s="344">
        <f>IFERROR(__xludf.DUMMYFUNCTION("iferror(AVERAGE(ARRAYFORMULA(VLOOKUP(SPLIT(T86,"","",TRUE,TRUE),$R$2:$S654,2,FALSE))),0)"),0.0)</f>
        <v>0</v>
      </c>
      <c r="V86" s="346">
        <f>IFERROR(__xludf.DUMMYFUNCTION("RANK($I86, $I$2:$I654, FALSE) + RANK($M86, Filter($M$2:$M654, $I$2:$I654=$I86),FALSE)+RANK($U86, Filter($U$2:$U654, $I$2:$I654=$I86,$M$2:$M654=$M86),FALSE)-2"),1.0)</f>
        <v>1</v>
      </c>
      <c r="W86" s="347" t="str">
        <f t="shared" si="9"/>
        <v>Underplay</v>
      </c>
      <c r="X86" s="348" t="str">
        <f t="shared" si="10"/>
        <v/>
      </c>
      <c r="Y86" s="349">
        <f>MAXIFS(Matches!$A:$A,Matches!$C:$C,$B86)</f>
        <v>0</v>
      </c>
      <c r="Z86" s="349">
        <f t="array" ref="Z86">XLOOKUP(Y86,Quotas!$B$7:$B$10,Quotas!$A$7:$A$10,0,-1)</f>
        <v>0</v>
      </c>
      <c r="AB86" s="79"/>
      <c r="AC86" s="79">
        <f>COUNTIFS(Matches!$A:$A,"&gt;"&amp;Y86,Matches!$B:$B,$B86)</f>
        <v>0</v>
      </c>
      <c r="AD86" s="79"/>
      <c r="AE86" s="31" t="str">
        <f t="array" ref="AE86">XLOOKUP(B86, 'College List'!A:A, 'College List'!B:B)</f>
        <v>#N/A</v>
      </c>
      <c r="AF86" s="15">
        <v>9.0</v>
      </c>
    </row>
    <row r="87">
      <c r="A87" s="9">
        <f t="shared" si="1"/>
        <v>1</v>
      </c>
      <c r="C87" s="350"/>
      <c r="D87" s="93"/>
      <c r="E87" s="1"/>
      <c r="F87" s="1"/>
      <c r="G87" s="1"/>
      <c r="H87" s="341">
        <f>COUNTIF(Entropy!$D:$D,$B87)+COUNTIF(Matches!$B:$B,$B87)+COUNTIF(Matches!$C:$C,$B87)</f>
        <v>0</v>
      </c>
      <c r="I87" s="342">
        <f>COUNTIF(Matches!$B:$B,B87)</f>
        <v>0</v>
      </c>
      <c r="J87" s="79">
        <f t="shared" si="2"/>
        <v>0</v>
      </c>
      <c r="K87" s="1" t="str">
        <f t="shared" si="3"/>
        <v>0 - 0</v>
      </c>
      <c r="L87" s="343">
        <f>COUNTIF(Entropy!$D:$D,$B87)</f>
        <v>0</v>
      </c>
      <c r="M87" s="344">
        <f t="shared" si="4"/>
        <v>0</v>
      </c>
      <c r="N87" s="344">
        <f t="shared" si="5"/>
        <v>0</v>
      </c>
      <c r="O87" s="341">
        <f>IF($J87=11,0,IF(AND($H87 &gt;=VLOOKUP(Standings!$C$2,Quotas!$A$7:$E$14,4,FALSE), $H87&lt;=VLOOKUP(Standings!$C$2,Quotas!$A$7:$E$14,5,FALSE)), 0,VLOOKUP(Standings!$C$2,Quotas!$A$7:$E$14,4,FALSE)-$H87))</f>
        <v>30</v>
      </c>
      <c r="P87" s="341">
        <f>IF($J87=11,0,IF(AND($H87 &gt;=VLOOKUP(Standings!$C$2,Quotas!$A$7:$E$14,5,FALSE), $H87&lt;=VLOOKUP(Standings!$C$2,Quotas!$A$7:$E$14,5,FALSE)), 0,VLOOKUP(Standings!$C$2,Quotas!$A$7:$E$14,5,FALSE)-$H87))</f>
        <v>30</v>
      </c>
      <c r="Q87" s="79">
        <f t="shared" si="6"/>
        <v>11</v>
      </c>
      <c r="R87" s="345" t="str">
        <f t="shared" si="7"/>
        <v/>
      </c>
      <c r="S87" s="344">
        <f t="shared" si="8"/>
        <v>0.33</v>
      </c>
      <c r="T87" s="345" t="str">
        <f>IFERROR(__xludf.DUMMYFUNCTION("JOIN("","",IFERROR(FILTER(Matches!$B:$B,B87=Matches!$C:$C),""""),IFERROR(FILTER(Matches!$C:$C,B87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87" s="344">
        <f>IFERROR(__xludf.DUMMYFUNCTION("iferror(AVERAGE(ARRAYFORMULA(VLOOKUP(SPLIT(T87,"","",TRUE,TRUE),$R$2:$S654,2,FALSE))),0)"),0.0)</f>
        <v>0</v>
      </c>
      <c r="V87" s="346">
        <f>IFERROR(__xludf.DUMMYFUNCTION("RANK($I87, $I$2:$I654, FALSE) + RANK($M87, Filter($M$2:$M654, $I$2:$I654=$I87),FALSE)+RANK($U87, Filter($U$2:$U654, $I$2:$I654=$I87,$M$2:$M654=$M87),FALSE)-2"),1.0)</f>
        <v>1</v>
      </c>
      <c r="W87" s="347" t="str">
        <f t="shared" si="9"/>
        <v>Underplay</v>
      </c>
      <c r="X87" s="348" t="str">
        <f t="shared" si="10"/>
        <v/>
      </c>
      <c r="Y87" s="349">
        <f>MAXIFS(Matches!$A:$A,Matches!$C:$C,$B87)</f>
        <v>0</v>
      </c>
      <c r="Z87" s="349">
        <f t="array" ref="Z87">XLOOKUP(Y87,Quotas!$B$7:$B$10,Quotas!$A$7:$A$10,0,-1)</f>
        <v>0</v>
      </c>
      <c r="AB87" s="79"/>
      <c r="AC87" s="79">
        <f>COUNTIFS(Matches!$A:$A,"&gt;"&amp;Y87,Matches!$B:$B,$B87)</f>
        <v>0</v>
      </c>
      <c r="AD87" s="79"/>
      <c r="AE87" s="31" t="str">
        <f t="array" ref="AE87">XLOOKUP(B87, 'College List'!A:A, 'College List'!B:B)</f>
        <v>#N/A</v>
      </c>
      <c r="AF87" s="15">
        <v>9.0</v>
      </c>
    </row>
    <row r="88">
      <c r="A88" s="9">
        <f t="shared" si="1"/>
        <v>1</v>
      </c>
      <c r="C88" s="350"/>
      <c r="D88" s="93"/>
      <c r="E88" s="1"/>
      <c r="F88" s="1"/>
      <c r="G88" s="1"/>
      <c r="H88" s="341">
        <f>COUNTIF(Entropy!$D:$D,$B88)+COUNTIF(Matches!$B:$B,$B88)+COUNTIF(Matches!$C:$C,$B88)</f>
        <v>0</v>
      </c>
      <c r="I88" s="342">
        <f>COUNTIF(Matches!$B:$B,B88)</f>
        <v>0</v>
      </c>
      <c r="J88" s="79">
        <f t="shared" si="2"/>
        <v>0</v>
      </c>
      <c r="K88" s="1" t="str">
        <f t="shared" si="3"/>
        <v>0 - 0</v>
      </c>
      <c r="L88" s="343">
        <f>COUNTIF(Entropy!$D:$D,$B88)</f>
        <v>0</v>
      </c>
      <c r="M88" s="344">
        <f t="shared" si="4"/>
        <v>0</v>
      </c>
      <c r="N88" s="344">
        <f t="shared" si="5"/>
        <v>0</v>
      </c>
      <c r="O88" s="341">
        <f>IF($J88=11,0,IF(AND($H88 &gt;=VLOOKUP(Standings!$C$2,Quotas!$A$7:$E$14,4,FALSE), $H88&lt;=VLOOKUP(Standings!$C$2,Quotas!$A$7:$E$14,5,FALSE)), 0,VLOOKUP(Standings!$C$2,Quotas!$A$7:$E$14,4,FALSE)-$H88))</f>
        <v>30</v>
      </c>
      <c r="P88" s="341">
        <f>IF($J88=11,0,IF(AND($H88 &gt;=VLOOKUP(Standings!$C$2,Quotas!$A$7:$E$14,5,FALSE), $H88&lt;=VLOOKUP(Standings!$C$2,Quotas!$A$7:$E$14,5,FALSE)), 0,VLOOKUP(Standings!$C$2,Quotas!$A$7:$E$14,5,FALSE)-$H88))</f>
        <v>30</v>
      </c>
      <c r="Q88" s="79">
        <f t="shared" si="6"/>
        <v>11</v>
      </c>
      <c r="R88" s="345" t="str">
        <f t="shared" si="7"/>
        <v/>
      </c>
      <c r="S88" s="344">
        <f t="shared" si="8"/>
        <v>0.33</v>
      </c>
      <c r="T88" s="345" t="str">
        <f>IFERROR(__xludf.DUMMYFUNCTION("JOIN("","",IFERROR(FILTER(Matches!$B:$B,B88=Matches!$C:$C),""""),IFERROR(FILTER(Matches!$C:$C,B88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88" s="344">
        <f>IFERROR(__xludf.DUMMYFUNCTION("iferror(AVERAGE(ARRAYFORMULA(VLOOKUP(SPLIT(T88,"","",TRUE,TRUE),$R$2:$S654,2,FALSE))),0)"),0.0)</f>
        <v>0</v>
      </c>
      <c r="V88" s="346">
        <f>IFERROR(__xludf.DUMMYFUNCTION("RANK($I88, $I$2:$I654, FALSE) + RANK($M88, Filter($M$2:$M654, $I$2:$I654=$I88),FALSE)+RANK($U88, Filter($U$2:$U654, $I$2:$I654=$I88,$M$2:$M654=$M88),FALSE)-2"),1.0)</f>
        <v>1</v>
      </c>
      <c r="W88" s="347" t="str">
        <f t="shared" si="9"/>
        <v>Underplay</v>
      </c>
      <c r="X88" s="348" t="str">
        <f t="shared" si="10"/>
        <v/>
      </c>
      <c r="Y88" s="349">
        <f>MAXIFS(Matches!$A:$A,Matches!$C:$C,$B88)</f>
        <v>0</v>
      </c>
      <c r="Z88" s="349">
        <f t="array" ref="Z88">XLOOKUP(Y88,Quotas!$B$7:$B$10,Quotas!$A$7:$A$10,0,-1)</f>
        <v>0</v>
      </c>
      <c r="AB88" s="79"/>
      <c r="AC88" s="79">
        <f>COUNTIFS(Matches!$A:$A,"&gt;"&amp;Y88,Matches!$B:$B,$B88)</f>
        <v>0</v>
      </c>
      <c r="AD88" s="79"/>
      <c r="AE88" s="31" t="str">
        <f t="array" ref="AE88">XLOOKUP(B88, 'College List'!A:A, 'College List'!B:B)</f>
        <v>#N/A</v>
      </c>
      <c r="AF88" s="15">
        <v>9.0</v>
      </c>
    </row>
    <row r="89">
      <c r="A89" s="9">
        <f t="shared" si="1"/>
        <v>1</v>
      </c>
      <c r="C89" s="350"/>
      <c r="D89" s="93"/>
      <c r="E89" s="1"/>
      <c r="F89" s="1"/>
      <c r="G89" s="1"/>
      <c r="H89" s="341">
        <f>COUNTIF(Entropy!$D:$D,$B89)+COUNTIF(Matches!$B:$B,$B89)+COUNTIF(Matches!$C:$C,$B89)</f>
        <v>0</v>
      </c>
      <c r="I89" s="342">
        <f>COUNTIF(Matches!$B:$B,B89)</f>
        <v>0</v>
      </c>
      <c r="J89" s="79">
        <f t="shared" si="2"/>
        <v>0</v>
      </c>
      <c r="K89" s="1" t="str">
        <f t="shared" si="3"/>
        <v>0 - 0</v>
      </c>
      <c r="L89" s="343">
        <f>COUNTIF(Entropy!$D:$D,$B89)</f>
        <v>0</v>
      </c>
      <c r="M89" s="344">
        <f t="shared" si="4"/>
        <v>0</v>
      </c>
      <c r="N89" s="344">
        <f t="shared" si="5"/>
        <v>0</v>
      </c>
      <c r="O89" s="341">
        <f>IF($J89=11,0,IF(AND($H89 &gt;=VLOOKUP(Standings!$C$2,Quotas!$A$7:$E$14,4,FALSE), $H89&lt;=VLOOKUP(Standings!$C$2,Quotas!$A$7:$E$14,5,FALSE)), 0,VLOOKUP(Standings!$C$2,Quotas!$A$7:$E$14,4,FALSE)-$H89))</f>
        <v>30</v>
      </c>
      <c r="P89" s="341">
        <f>IF($J89=11,0,IF(AND($H89 &gt;=VLOOKUP(Standings!$C$2,Quotas!$A$7:$E$14,5,FALSE), $H89&lt;=VLOOKUP(Standings!$C$2,Quotas!$A$7:$E$14,5,FALSE)), 0,VLOOKUP(Standings!$C$2,Quotas!$A$7:$E$14,5,FALSE)-$H89))</f>
        <v>30</v>
      </c>
      <c r="Q89" s="79">
        <f t="shared" si="6"/>
        <v>11</v>
      </c>
      <c r="R89" s="345" t="str">
        <f t="shared" si="7"/>
        <v/>
      </c>
      <c r="S89" s="344">
        <f t="shared" si="8"/>
        <v>0.33</v>
      </c>
      <c r="T89" s="345" t="str">
        <f>IFERROR(__xludf.DUMMYFUNCTION("JOIN("","",IFERROR(FILTER(Matches!$B:$B,B89=Matches!$C:$C),""""),IFERROR(FILTER(Matches!$C:$C,B89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89" s="344">
        <f>IFERROR(__xludf.DUMMYFUNCTION("iferror(AVERAGE(ARRAYFORMULA(VLOOKUP(SPLIT(T89,"","",TRUE,TRUE),$R$2:$S654,2,FALSE))),0)"),0.0)</f>
        <v>0</v>
      </c>
      <c r="V89" s="346">
        <f>IFERROR(__xludf.DUMMYFUNCTION("RANK($I89, $I$2:$I654, FALSE) + RANK($M89, Filter($M$2:$M654, $I$2:$I654=$I89),FALSE)+RANK($U89, Filter($U$2:$U654, $I$2:$I654=$I89,$M$2:$M654=$M89),FALSE)-2"),1.0)</f>
        <v>1</v>
      </c>
      <c r="W89" s="347" t="str">
        <f t="shared" si="9"/>
        <v>Underplay</v>
      </c>
      <c r="X89" s="348" t="str">
        <f t="shared" si="10"/>
        <v/>
      </c>
      <c r="Y89" s="349">
        <f>MAXIFS(Matches!$A:$A,Matches!$C:$C,$B89)</f>
        <v>0</v>
      </c>
      <c r="Z89" s="349">
        <f t="array" ref="Z89">XLOOKUP(Y89,Quotas!$B$7:$B$10,Quotas!$A$7:$A$10,0,-1)</f>
        <v>0</v>
      </c>
      <c r="AB89" s="79"/>
      <c r="AC89" s="79">
        <f>COUNTIFS(Matches!$A:$A,"&gt;"&amp;Y89,Matches!$B:$B,$B89)</f>
        <v>0</v>
      </c>
      <c r="AD89" s="79"/>
      <c r="AE89" s="31" t="str">
        <f t="array" ref="AE89">XLOOKUP(B89, 'College List'!A:A, 'College List'!B:B)</f>
        <v>#N/A</v>
      </c>
      <c r="AF89" s="15">
        <v>9.0</v>
      </c>
    </row>
    <row r="90">
      <c r="A90" s="9">
        <f t="shared" si="1"/>
        <v>1</v>
      </c>
      <c r="C90" s="350"/>
      <c r="D90" s="93"/>
      <c r="E90" s="1"/>
      <c r="F90" s="1"/>
      <c r="G90" s="1"/>
      <c r="H90" s="341">
        <f>COUNTIF(Entropy!$D:$D,$B90)+COUNTIF(Matches!$B:$B,$B90)+COUNTIF(Matches!$C:$C,$B90)</f>
        <v>0</v>
      </c>
      <c r="I90" s="342">
        <f>COUNTIF(Matches!$B:$B,B90)</f>
        <v>0</v>
      </c>
      <c r="J90" s="79">
        <f t="shared" si="2"/>
        <v>0</v>
      </c>
      <c r="K90" s="1" t="str">
        <f t="shared" si="3"/>
        <v>0 - 0</v>
      </c>
      <c r="L90" s="343">
        <f>COUNTIF(Entropy!$D:$D,$B90)</f>
        <v>0</v>
      </c>
      <c r="M90" s="344">
        <f t="shared" si="4"/>
        <v>0</v>
      </c>
      <c r="N90" s="344">
        <f t="shared" si="5"/>
        <v>0</v>
      </c>
      <c r="O90" s="341">
        <f>IF($J90=11,0,IF(AND($H90 &gt;=VLOOKUP(Standings!$C$2,Quotas!$A$7:$E$14,4,FALSE), $H90&lt;=VLOOKUP(Standings!$C$2,Quotas!$A$7:$E$14,5,FALSE)), 0,VLOOKUP(Standings!$C$2,Quotas!$A$7:$E$14,4,FALSE)-$H90))</f>
        <v>30</v>
      </c>
      <c r="P90" s="341">
        <f>IF($J90=11,0,IF(AND($H90 &gt;=VLOOKUP(Standings!$C$2,Quotas!$A$7:$E$14,5,FALSE), $H90&lt;=VLOOKUP(Standings!$C$2,Quotas!$A$7:$E$14,5,FALSE)), 0,VLOOKUP(Standings!$C$2,Quotas!$A$7:$E$14,5,FALSE)-$H90))</f>
        <v>30</v>
      </c>
      <c r="Q90" s="79">
        <f t="shared" si="6"/>
        <v>11</v>
      </c>
      <c r="R90" s="345" t="str">
        <f t="shared" si="7"/>
        <v/>
      </c>
      <c r="S90" s="344">
        <f t="shared" si="8"/>
        <v>0.33</v>
      </c>
      <c r="T90" s="345" t="str">
        <f>IFERROR(__xludf.DUMMYFUNCTION("JOIN("","",IFERROR(FILTER(Matches!$B:$B,B90=Matches!$C:$C),""""),IFERROR(FILTER(Matches!$C:$C,B90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90" s="344">
        <f>IFERROR(__xludf.DUMMYFUNCTION("iferror(AVERAGE(ARRAYFORMULA(VLOOKUP(SPLIT(T90,"","",TRUE,TRUE),$R$2:$S654,2,FALSE))),0)"),0.0)</f>
        <v>0</v>
      </c>
      <c r="V90" s="346">
        <f>IFERROR(__xludf.DUMMYFUNCTION("RANK($I90, $I$2:$I654, FALSE) + RANK($M90, Filter($M$2:$M654, $I$2:$I654=$I90),FALSE)+RANK($U90, Filter($U$2:$U654, $I$2:$I654=$I90,$M$2:$M654=$M90),FALSE)-2"),1.0)</f>
        <v>1</v>
      </c>
      <c r="W90" s="347" t="str">
        <f t="shared" si="9"/>
        <v>Underplay</v>
      </c>
      <c r="X90" s="348" t="str">
        <f t="shared" si="10"/>
        <v/>
      </c>
      <c r="Y90" s="349">
        <f>MAXIFS(Matches!$A:$A,Matches!$C:$C,$B90)</f>
        <v>0</v>
      </c>
      <c r="Z90" s="349">
        <f t="array" ref="Z90">XLOOKUP(Y90,Quotas!$B$7:$B$10,Quotas!$A$7:$A$10,0,-1)</f>
        <v>0</v>
      </c>
      <c r="AB90" s="79"/>
      <c r="AC90" s="79">
        <f>COUNTIFS(Matches!$A:$A,"&gt;"&amp;Y90,Matches!$B:$B,$B90)</f>
        <v>0</v>
      </c>
      <c r="AD90" s="79"/>
      <c r="AE90" s="31" t="str">
        <f t="array" ref="AE90">XLOOKUP(B90, 'College List'!A:A, 'College List'!B:B)</f>
        <v>#N/A</v>
      </c>
      <c r="AF90" s="15">
        <v>9.0</v>
      </c>
    </row>
    <row r="91">
      <c r="A91" s="9">
        <f t="shared" si="1"/>
        <v>1</v>
      </c>
      <c r="C91" s="350"/>
      <c r="D91" s="93"/>
      <c r="E91" s="1"/>
      <c r="F91" s="1"/>
      <c r="G91" s="1"/>
      <c r="H91" s="341">
        <f>COUNTIF(Entropy!$D:$D,$B91)+COUNTIF(Matches!$B:$B,$B91)+COUNTIF(Matches!$C:$C,$B91)</f>
        <v>0</v>
      </c>
      <c r="I91" s="342">
        <f>COUNTIF(Matches!$B:$B,B91)</f>
        <v>0</v>
      </c>
      <c r="J91" s="79">
        <f t="shared" si="2"/>
        <v>0</v>
      </c>
      <c r="K91" s="1" t="str">
        <f t="shared" si="3"/>
        <v>0 - 0</v>
      </c>
      <c r="L91" s="343">
        <f>COUNTIF(Entropy!$D:$D,$B91)</f>
        <v>0</v>
      </c>
      <c r="M91" s="344">
        <f t="shared" si="4"/>
        <v>0</v>
      </c>
      <c r="N91" s="344">
        <f t="shared" si="5"/>
        <v>0</v>
      </c>
      <c r="O91" s="341">
        <f>IF($J91=11,0,IF(AND($H91 &gt;=VLOOKUP(Standings!$C$2,Quotas!$A$7:$E$14,4,FALSE), $H91&lt;=VLOOKUP(Standings!$C$2,Quotas!$A$7:$E$14,5,FALSE)), 0,VLOOKUP(Standings!$C$2,Quotas!$A$7:$E$14,4,FALSE)-$H91))</f>
        <v>30</v>
      </c>
      <c r="P91" s="341">
        <f>IF($J91=11,0,IF(AND($H91 &gt;=VLOOKUP(Standings!$C$2,Quotas!$A$7:$E$14,5,FALSE), $H91&lt;=VLOOKUP(Standings!$C$2,Quotas!$A$7:$E$14,5,FALSE)), 0,VLOOKUP(Standings!$C$2,Quotas!$A$7:$E$14,5,FALSE)-$H91))</f>
        <v>30</v>
      </c>
      <c r="Q91" s="79">
        <f t="shared" si="6"/>
        <v>11</v>
      </c>
      <c r="R91" s="345" t="str">
        <f t="shared" si="7"/>
        <v/>
      </c>
      <c r="S91" s="344">
        <f t="shared" si="8"/>
        <v>0.33</v>
      </c>
      <c r="T91" s="345" t="str">
        <f>IFERROR(__xludf.DUMMYFUNCTION("JOIN("","",IFERROR(FILTER(Matches!$B:$B,B91=Matches!$C:$C),""""),IFERROR(FILTER(Matches!$C:$C,B91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91" s="344">
        <f>IFERROR(__xludf.DUMMYFUNCTION("iferror(AVERAGE(ARRAYFORMULA(VLOOKUP(SPLIT(T91,"","",TRUE,TRUE),$R$2:$S654,2,FALSE))),0)"),0.0)</f>
        <v>0</v>
      </c>
      <c r="V91" s="346">
        <f>IFERROR(__xludf.DUMMYFUNCTION("RANK($I91, $I$2:$I654, FALSE) + RANK($M91, Filter($M$2:$M654, $I$2:$I654=$I91),FALSE)+RANK($U91, Filter($U$2:$U654, $I$2:$I654=$I91,$M$2:$M654=$M91),FALSE)-2"),1.0)</f>
        <v>1</v>
      </c>
      <c r="W91" s="347" t="str">
        <f t="shared" si="9"/>
        <v>Underplay</v>
      </c>
      <c r="X91" s="348" t="str">
        <f t="shared" si="10"/>
        <v/>
      </c>
      <c r="Y91" s="349">
        <f>MAXIFS(Matches!$A:$A,Matches!$C:$C,$B91)</f>
        <v>0</v>
      </c>
      <c r="Z91" s="349">
        <f t="array" ref="Z91">XLOOKUP(Y91,Quotas!$B$7:$B$10,Quotas!$A$7:$A$10,0,-1)</f>
        <v>0</v>
      </c>
      <c r="AB91" s="79"/>
      <c r="AC91" s="79">
        <f>COUNTIFS(Matches!$A:$A,"&gt;"&amp;Y91,Matches!$B:$B,$B91)</f>
        <v>0</v>
      </c>
      <c r="AD91" s="79"/>
      <c r="AE91" s="31" t="str">
        <f t="array" ref="AE91">XLOOKUP(B91, 'College List'!A:A, 'College List'!B:B)</f>
        <v>#N/A</v>
      </c>
    </row>
    <row r="92">
      <c r="A92" s="9">
        <f t="shared" si="1"/>
        <v>1</v>
      </c>
      <c r="C92" s="350"/>
      <c r="D92" s="93"/>
      <c r="E92" s="1"/>
      <c r="F92" s="1"/>
      <c r="G92" s="1"/>
      <c r="H92" s="341">
        <f>COUNTIF(Entropy!$D:$D,$B92)+COUNTIF(Matches!$B:$B,$B92)+COUNTIF(Matches!$C:$C,$B92)</f>
        <v>0</v>
      </c>
      <c r="I92" s="342">
        <f>COUNTIF(Matches!$B:$B,B92)</f>
        <v>0</v>
      </c>
      <c r="J92" s="79">
        <f t="shared" si="2"/>
        <v>0</v>
      </c>
      <c r="K92" s="1" t="str">
        <f t="shared" si="3"/>
        <v>0 - 0</v>
      </c>
      <c r="L92" s="343">
        <f>COUNTIF(Entropy!$D:$D,$B92)</f>
        <v>0</v>
      </c>
      <c r="M92" s="344">
        <f t="shared" si="4"/>
        <v>0</v>
      </c>
      <c r="N92" s="344">
        <f t="shared" si="5"/>
        <v>0</v>
      </c>
      <c r="O92" s="341">
        <f>IF($J92=11,0,IF(AND($H92 &gt;=VLOOKUP(Standings!$C$2,Quotas!$A$7:$E$14,4,FALSE), $H92&lt;=VLOOKUP(Standings!$C$2,Quotas!$A$7:$E$14,5,FALSE)), 0,VLOOKUP(Standings!$C$2,Quotas!$A$7:$E$14,4,FALSE)-$H92))</f>
        <v>30</v>
      </c>
      <c r="P92" s="341">
        <f>IF($J92=11,0,IF(AND($H92 &gt;=VLOOKUP(Standings!$C$2,Quotas!$A$7:$E$14,5,FALSE), $H92&lt;=VLOOKUP(Standings!$C$2,Quotas!$A$7:$E$14,5,FALSE)), 0,VLOOKUP(Standings!$C$2,Quotas!$A$7:$E$14,5,FALSE)-$H92))</f>
        <v>30</v>
      </c>
      <c r="Q92" s="79">
        <f t="shared" si="6"/>
        <v>11</v>
      </c>
      <c r="R92" s="345" t="str">
        <f t="shared" si="7"/>
        <v/>
      </c>
      <c r="S92" s="344">
        <f t="shared" si="8"/>
        <v>0.33</v>
      </c>
      <c r="T92" s="345" t="str">
        <f>IFERROR(__xludf.DUMMYFUNCTION("JOIN("","",IFERROR(FILTER(Matches!$B:$B,B92=Matches!$C:$C),""""),IFERROR(FILTER(Matches!$C:$C,B92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92" s="344">
        <f>IFERROR(__xludf.DUMMYFUNCTION("iferror(AVERAGE(ARRAYFORMULA(VLOOKUP(SPLIT(T92,"","",TRUE,TRUE),$R$2:$S654,2,FALSE))),0)"),0.0)</f>
        <v>0</v>
      </c>
      <c r="V92" s="346">
        <f>IFERROR(__xludf.DUMMYFUNCTION("RANK($I92, $I$2:$I654, FALSE) + RANK($M92, Filter($M$2:$M654, $I$2:$I654=$I92),FALSE)+RANK($U92, Filter($U$2:$U654, $I$2:$I654=$I92,$M$2:$M654=$M92),FALSE)-2"),1.0)</f>
        <v>1</v>
      </c>
      <c r="W92" s="347" t="str">
        <f t="shared" si="9"/>
        <v>Underplay</v>
      </c>
      <c r="X92" s="348" t="str">
        <f t="shared" si="10"/>
        <v/>
      </c>
      <c r="Y92" s="349">
        <f>MAXIFS(Matches!$A:$A,Matches!$C:$C,$B92)</f>
        <v>0</v>
      </c>
      <c r="Z92" s="349">
        <f t="array" ref="Z92">XLOOKUP(Y92,Quotas!$B$7:$B$10,Quotas!$A$7:$A$10,0,-1)</f>
        <v>0</v>
      </c>
      <c r="AB92" s="79"/>
      <c r="AC92" s="79">
        <f>COUNTIFS(Matches!$A:$A,"&gt;"&amp;Y92,Matches!$B:$B,$B92)</f>
        <v>0</v>
      </c>
      <c r="AD92" s="79"/>
      <c r="AE92" s="31" t="str">
        <f t="array" ref="AE92">XLOOKUP(B92, 'College List'!A:A, 'College List'!B:B)</f>
        <v>#N/A</v>
      </c>
      <c r="AF92" s="15">
        <v>9.0</v>
      </c>
    </row>
    <row r="93">
      <c r="A93" s="9">
        <f t="shared" si="1"/>
        <v>1</v>
      </c>
      <c r="C93" s="350"/>
      <c r="D93" s="93"/>
      <c r="E93" s="1"/>
      <c r="F93" s="1"/>
      <c r="G93" s="1"/>
      <c r="H93" s="341">
        <f>COUNTIF(Entropy!$D:$D,$B93)+COUNTIF(Matches!$B:$B,$B93)+COUNTIF(Matches!$C:$C,$B93)</f>
        <v>0</v>
      </c>
      <c r="I93" s="342">
        <f>COUNTIF(Matches!$B:$B,B93)</f>
        <v>0</v>
      </c>
      <c r="J93" s="79">
        <f t="shared" si="2"/>
        <v>0</v>
      </c>
      <c r="K93" s="1" t="str">
        <f t="shared" si="3"/>
        <v>0 - 0</v>
      </c>
      <c r="L93" s="343">
        <f>COUNTIF(Entropy!$D:$D,$B93)</f>
        <v>0</v>
      </c>
      <c r="M93" s="344">
        <f t="shared" si="4"/>
        <v>0</v>
      </c>
      <c r="N93" s="344">
        <f t="shared" si="5"/>
        <v>0</v>
      </c>
      <c r="O93" s="341">
        <f>IF($J93=11,0,IF(AND($H93 &gt;=VLOOKUP(Standings!$C$2,Quotas!$A$7:$E$14,4,FALSE), $H93&lt;=VLOOKUP(Standings!$C$2,Quotas!$A$7:$E$14,5,FALSE)), 0,VLOOKUP(Standings!$C$2,Quotas!$A$7:$E$14,4,FALSE)-$H93))</f>
        <v>30</v>
      </c>
      <c r="P93" s="341">
        <f>IF($J93=11,0,IF(AND($H93 &gt;=VLOOKUP(Standings!$C$2,Quotas!$A$7:$E$14,5,FALSE), $H93&lt;=VLOOKUP(Standings!$C$2,Quotas!$A$7:$E$14,5,FALSE)), 0,VLOOKUP(Standings!$C$2,Quotas!$A$7:$E$14,5,FALSE)-$H93))</f>
        <v>30</v>
      </c>
      <c r="Q93" s="79">
        <f t="shared" si="6"/>
        <v>11</v>
      </c>
      <c r="R93" s="345" t="str">
        <f t="shared" si="7"/>
        <v/>
      </c>
      <c r="S93" s="344">
        <f t="shared" si="8"/>
        <v>0.33</v>
      </c>
      <c r="T93" s="345" t="str">
        <f>IFERROR(__xludf.DUMMYFUNCTION("JOIN("","",IFERROR(FILTER(Matches!$B:$B,B93=Matches!$C:$C),""""),IFERROR(FILTER(Matches!$C:$C,B93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93" s="344">
        <f>IFERROR(__xludf.DUMMYFUNCTION("iferror(AVERAGE(ARRAYFORMULA(VLOOKUP(SPLIT(T93,"","",TRUE,TRUE),$R$2:$S654,2,FALSE))),0)"),0.0)</f>
        <v>0</v>
      </c>
      <c r="V93" s="346">
        <f>IFERROR(__xludf.DUMMYFUNCTION("RANK($I93, $I$2:$I654, FALSE) + RANK($M93, Filter($M$2:$M654, $I$2:$I654=$I93),FALSE)+RANK($U93, Filter($U$2:$U654, $I$2:$I654=$I93,$M$2:$M654=$M93),FALSE)-2"),1.0)</f>
        <v>1</v>
      </c>
      <c r="W93" s="347" t="str">
        <f t="shared" si="9"/>
        <v>Underplay</v>
      </c>
      <c r="X93" s="348" t="str">
        <f t="shared" si="10"/>
        <v/>
      </c>
      <c r="Y93" s="349">
        <f>MAXIFS(Matches!$A:$A,Matches!$C:$C,$B93)</f>
        <v>0</v>
      </c>
      <c r="Z93" s="349">
        <f t="array" ref="Z93">XLOOKUP(Y93,Quotas!$B$7:$B$10,Quotas!$A$7:$A$10,0,-1)</f>
        <v>0</v>
      </c>
      <c r="AB93" s="79"/>
      <c r="AC93" s="79">
        <f>COUNTIFS(Matches!$A:$A,"&gt;"&amp;Y93,Matches!$B:$B,$B93)</f>
        <v>0</v>
      </c>
      <c r="AD93" s="79"/>
      <c r="AE93" s="31" t="str">
        <f t="array" ref="AE93">XLOOKUP(B93, 'College List'!A:A, 'College List'!B:B)</f>
        <v>#N/A</v>
      </c>
      <c r="AF93" s="15">
        <v>10.0</v>
      </c>
    </row>
    <row r="94">
      <c r="A94" s="9">
        <f t="shared" si="1"/>
        <v>1</v>
      </c>
      <c r="C94" s="350"/>
      <c r="D94" s="93"/>
      <c r="E94" s="1"/>
      <c r="F94" s="1"/>
      <c r="G94" s="1"/>
      <c r="H94" s="341">
        <f>COUNTIF(Entropy!$D:$D,$B94)+COUNTIF(Matches!$B:$B,$B94)+COUNTIF(Matches!$C:$C,$B94)</f>
        <v>0</v>
      </c>
      <c r="I94" s="342">
        <f>COUNTIF(Matches!$B:$B,B94)</f>
        <v>0</v>
      </c>
      <c r="J94" s="79">
        <f t="shared" si="2"/>
        <v>0</v>
      </c>
      <c r="K94" s="1" t="str">
        <f t="shared" si="3"/>
        <v>0 - 0</v>
      </c>
      <c r="L94" s="343">
        <f>COUNTIF(Entropy!$D:$D,$B94)</f>
        <v>0</v>
      </c>
      <c r="M94" s="344">
        <f t="shared" si="4"/>
        <v>0</v>
      </c>
      <c r="N94" s="344">
        <f t="shared" si="5"/>
        <v>0</v>
      </c>
      <c r="O94" s="341">
        <f>IF($J94=11,0,IF(AND($H94 &gt;=VLOOKUP(Standings!$C$2,Quotas!$A$7:$E$14,4,FALSE), $H94&lt;=VLOOKUP(Standings!$C$2,Quotas!$A$7:$E$14,5,FALSE)), 0,VLOOKUP(Standings!$C$2,Quotas!$A$7:$E$14,4,FALSE)-$H94))</f>
        <v>30</v>
      </c>
      <c r="P94" s="341">
        <f>IF($J94=11,0,IF(AND($H94 &gt;=VLOOKUP(Standings!$C$2,Quotas!$A$7:$E$14,5,FALSE), $H94&lt;=VLOOKUP(Standings!$C$2,Quotas!$A$7:$E$14,5,FALSE)), 0,VLOOKUP(Standings!$C$2,Quotas!$A$7:$E$14,5,FALSE)-$H94))</f>
        <v>30</v>
      </c>
      <c r="Q94" s="79">
        <f t="shared" si="6"/>
        <v>11</v>
      </c>
      <c r="R94" s="345" t="str">
        <f t="shared" si="7"/>
        <v/>
      </c>
      <c r="S94" s="344">
        <f t="shared" si="8"/>
        <v>0.33</v>
      </c>
      <c r="T94" s="345" t="str">
        <f>IFERROR(__xludf.DUMMYFUNCTION("JOIN("","",IFERROR(FILTER(Matches!$B:$B,B94=Matches!$C:$C),""""),IFERROR(FILTER(Matches!$C:$C,B94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94" s="344">
        <f>IFERROR(__xludf.DUMMYFUNCTION("iferror(AVERAGE(ARRAYFORMULA(VLOOKUP(SPLIT(T94,"","",TRUE,TRUE),$R$2:$S654,2,FALSE))),0)"),0.0)</f>
        <v>0</v>
      </c>
      <c r="V94" s="346">
        <f>IFERROR(__xludf.DUMMYFUNCTION("RANK($I94, $I$2:$I654, FALSE) + RANK($M94, Filter($M$2:$M654, $I$2:$I654=$I94),FALSE)+RANK($U94, Filter($U$2:$U654, $I$2:$I654=$I94,$M$2:$M654=$M94),FALSE)-2"),1.0)</f>
        <v>1</v>
      </c>
      <c r="W94" s="347" t="str">
        <f t="shared" si="9"/>
        <v>Underplay</v>
      </c>
      <c r="X94" s="348" t="str">
        <f t="shared" si="10"/>
        <v/>
      </c>
      <c r="Y94" s="349">
        <f>MAXIFS(Matches!$A:$A,Matches!$C:$C,$B94)</f>
        <v>0</v>
      </c>
      <c r="Z94" s="349">
        <f t="array" ref="Z94">XLOOKUP(Y94,Quotas!$B$7:$B$10,Quotas!$A$7:$A$10,0,-1)</f>
        <v>0</v>
      </c>
      <c r="AB94" s="79"/>
      <c r="AC94" s="79">
        <f>COUNTIFS(Matches!$A:$A,"&gt;"&amp;Y94,Matches!$B:$B,$B94)</f>
        <v>0</v>
      </c>
      <c r="AD94" s="79"/>
      <c r="AE94" s="31" t="str">
        <f t="array" ref="AE94">XLOOKUP(B94, 'College List'!A:A, 'College List'!B:B)</f>
        <v>#N/A</v>
      </c>
      <c r="AF94" s="15">
        <v>9.0</v>
      </c>
    </row>
    <row r="95">
      <c r="A95" s="9">
        <f t="shared" si="1"/>
        <v>1</v>
      </c>
      <c r="C95" s="350"/>
      <c r="D95" s="93"/>
      <c r="E95" s="1"/>
      <c r="F95" s="1"/>
      <c r="G95" s="1"/>
      <c r="H95" s="341">
        <f>COUNTIF(Entropy!$D:$D,$B95)+COUNTIF(Matches!$B:$B,$B95)+COUNTIF(Matches!$C:$C,$B95)</f>
        <v>0</v>
      </c>
      <c r="I95" s="342">
        <f>COUNTIF(Matches!$B:$B,B95)</f>
        <v>0</v>
      </c>
      <c r="J95" s="79">
        <f t="shared" si="2"/>
        <v>0</v>
      </c>
      <c r="K95" s="1" t="str">
        <f t="shared" si="3"/>
        <v>0 - 0</v>
      </c>
      <c r="L95" s="343">
        <f>COUNTIF(Entropy!$D:$D,$B95)</f>
        <v>0</v>
      </c>
      <c r="M95" s="344">
        <f t="shared" si="4"/>
        <v>0</v>
      </c>
      <c r="N95" s="344">
        <f t="shared" si="5"/>
        <v>0</v>
      </c>
      <c r="O95" s="341">
        <f>IF($J95=11,0,IF(AND($H95 &gt;=VLOOKUP(Standings!$C$2,Quotas!$A$7:$E$14,4,FALSE), $H95&lt;=VLOOKUP(Standings!$C$2,Quotas!$A$7:$E$14,5,FALSE)), 0,VLOOKUP(Standings!$C$2,Quotas!$A$7:$E$14,4,FALSE)-$H95))</f>
        <v>30</v>
      </c>
      <c r="P95" s="341">
        <f>IF($J95=11,0,IF(AND($H95 &gt;=VLOOKUP(Standings!$C$2,Quotas!$A$7:$E$14,5,FALSE), $H95&lt;=VLOOKUP(Standings!$C$2,Quotas!$A$7:$E$14,5,FALSE)), 0,VLOOKUP(Standings!$C$2,Quotas!$A$7:$E$14,5,FALSE)-$H95))</f>
        <v>30</v>
      </c>
      <c r="Q95" s="79">
        <f t="shared" si="6"/>
        <v>11</v>
      </c>
      <c r="R95" s="345" t="str">
        <f t="shared" si="7"/>
        <v/>
      </c>
      <c r="S95" s="344">
        <f t="shared" si="8"/>
        <v>0.33</v>
      </c>
      <c r="T95" s="345" t="str">
        <f>IFERROR(__xludf.DUMMYFUNCTION("JOIN("","",IFERROR(FILTER(Matches!$B:$B,B95=Matches!$C:$C),""""),IFERROR(FILTER(Matches!$C:$C,B95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95" s="344">
        <f>IFERROR(__xludf.DUMMYFUNCTION("iferror(AVERAGE(ARRAYFORMULA(VLOOKUP(SPLIT(T95,"","",TRUE,TRUE),$R$2:$S654,2,FALSE))),0)"),0.0)</f>
        <v>0</v>
      </c>
      <c r="V95" s="346">
        <f>IFERROR(__xludf.DUMMYFUNCTION("RANK($I95, $I$2:$I654, FALSE) + RANK($M95, Filter($M$2:$M654, $I$2:$I654=$I95),FALSE)+RANK($U95, Filter($U$2:$U654, $I$2:$I654=$I95,$M$2:$M654=$M95),FALSE)-2"),1.0)</f>
        <v>1</v>
      </c>
      <c r="W95" s="347" t="str">
        <f t="shared" si="9"/>
        <v>Underplay</v>
      </c>
      <c r="X95" s="348" t="str">
        <f t="shared" si="10"/>
        <v/>
      </c>
      <c r="Y95" s="349">
        <f>MAXIFS(Matches!$A:$A,Matches!$C:$C,$B95)</f>
        <v>0</v>
      </c>
      <c r="Z95" s="349">
        <f t="array" ref="Z95">XLOOKUP(Y95,Quotas!$B$7:$B$10,Quotas!$A$7:$A$10,0,-1)</f>
        <v>0</v>
      </c>
      <c r="AB95" s="79"/>
      <c r="AC95" s="79">
        <f>COUNTIFS(Matches!$A:$A,"&gt;"&amp;Y95,Matches!$B:$B,$B95)</f>
        <v>0</v>
      </c>
      <c r="AD95" s="79"/>
      <c r="AE95" s="31" t="str">
        <f t="array" ref="AE95">XLOOKUP(B95, 'College List'!A:A, 'College List'!B:B)</f>
        <v>#N/A</v>
      </c>
      <c r="AF95" s="15">
        <v>7.0</v>
      </c>
    </row>
    <row r="96">
      <c r="A96" s="9">
        <f t="shared" si="1"/>
        <v>1</v>
      </c>
      <c r="C96" s="350"/>
      <c r="D96" s="93"/>
      <c r="E96" s="1"/>
      <c r="F96" s="1"/>
      <c r="G96" s="1"/>
      <c r="H96" s="341">
        <f>COUNTIF(Entropy!$D:$D,$B96)+COUNTIF(Matches!$B:$B,$B96)+COUNTIF(Matches!$C:$C,$B96)</f>
        <v>0</v>
      </c>
      <c r="I96" s="342">
        <f>COUNTIF(Matches!$B:$B,B96)</f>
        <v>0</v>
      </c>
      <c r="J96" s="79">
        <f t="shared" si="2"/>
        <v>0</v>
      </c>
      <c r="K96" s="1" t="str">
        <f t="shared" si="3"/>
        <v>0 - 0</v>
      </c>
      <c r="L96" s="343">
        <f>COUNTIF(Entropy!$D:$D,$B96)</f>
        <v>0</v>
      </c>
      <c r="M96" s="344">
        <f t="shared" si="4"/>
        <v>0</v>
      </c>
      <c r="N96" s="344">
        <f t="shared" si="5"/>
        <v>0</v>
      </c>
      <c r="O96" s="341">
        <f>IF($J96=11,0,IF(AND($H96 &gt;=VLOOKUP(Standings!$C$2,Quotas!$A$7:$E$14,4,FALSE), $H96&lt;=VLOOKUP(Standings!$C$2,Quotas!$A$7:$E$14,5,FALSE)), 0,VLOOKUP(Standings!$C$2,Quotas!$A$7:$E$14,4,FALSE)-$H96))</f>
        <v>30</v>
      </c>
      <c r="P96" s="341">
        <f>IF($J96=11,0,IF(AND($H96 &gt;=VLOOKUP(Standings!$C$2,Quotas!$A$7:$E$14,5,FALSE), $H96&lt;=VLOOKUP(Standings!$C$2,Quotas!$A$7:$E$14,5,FALSE)), 0,VLOOKUP(Standings!$C$2,Quotas!$A$7:$E$14,5,FALSE)-$H96))</f>
        <v>30</v>
      </c>
      <c r="Q96" s="79">
        <f t="shared" si="6"/>
        <v>11</v>
      </c>
      <c r="R96" s="345" t="str">
        <f t="shared" si="7"/>
        <v/>
      </c>
      <c r="S96" s="344">
        <f t="shared" si="8"/>
        <v>0.33</v>
      </c>
      <c r="T96" s="345" t="str">
        <f>IFERROR(__xludf.DUMMYFUNCTION("JOIN("","",IFERROR(FILTER(Matches!$B:$B,B96=Matches!$C:$C),""""),IFERROR(FILTER(Matches!$C:$C,B96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96" s="344">
        <f>IFERROR(__xludf.DUMMYFUNCTION("iferror(AVERAGE(ARRAYFORMULA(VLOOKUP(SPLIT(T96,"","",TRUE,TRUE),$R$2:$S654,2,FALSE))),0)"),0.0)</f>
        <v>0</v>
      </c>
      <c r="V96" s="346">
        <f>IFERROR(__xludf.DUMMYFUNCTION("RANK($I96, $I$2:$I654, FALSE) + RANK($M96, Filter($M$2:$M654, $I$2:$I654=$I96),FALSE)+RANK($U96, Filter($U$2:$U654, $I$2:$I654=$I96,$M$2:$M654=$M96),FALSE)-2"),1.0)</f>
        <v>1</v>
      </c>
      <c r="W96" s="347" t="str">
        <f t="shared" si="9"/>
        <v>Underplay</v>
      </c>
      <c r="X96" s="348" t="str">
        <f t="shared" si="10"/>
        <v/>
      </c>
      <c r="Y96" s="349">
        <f>MAXIFS(Matches!$A:$A,Matches!$C:$C,$B96)</f>
        <v>0</v>
      </c>
      <c r="Z96" s="349">
        <f t="array" ref="Z96">XLOOKUP(Y96,Quotas!$B$7:$B$10,Quotas!$A$7:$A$10,0,-1)</f>
        <v>0</v>
      </c>
      <c r="AA96" s="9" t="s">
        <v>8610</v>
      </c>
      <c r="AB96" s="79"/>
      <c r="AC96" s="79">
        <f>COUNTIFS(Matches!$A:$A,"&gt;"&amp;Y96,Matches!$B:$B,$B96)</f>
        <v>0</v>
      </c>
      <c r="AD96" s="79"/>
      <c r="AE96" s="31" t="str">
        <f t="array" ref="AE96">XLOOKUP(B96, 'College List'!A:A, 'College List'!B:B)</f>
        <v>#N/A</v>
      </c>
      <c r="AF96" s="15">
        <v>9.0</v>
      </c>
    </row>
    <row r="97">
      <c r="A97" s="9">
        <f t="shared" si="1"/>
        <v>1</v>
      </c>
      <c r="C97" s="350"/>
      <c r="D97" s="93"/>
      <c r="E97" s="1"/>
      <c r="F97" s="1"/>
      <c r="G97" s="1"/>
      <c r="H97" s="341">
        <f>COUNTIF(Entropy!$D:$D,$B97)+COUNTIF(Matches!$B:$B,$B97)+COUNTIF(Matches!$C:$C,$B97)</f>
        <v>0</v>
      </c>
      <c r="I97" s="342">
        <f>COUNTIF(Matches!$B:$B,B97)</f>
        <v>0</v>
      </c>
      <c r="J97" s="79">
        <f t="shared" si="2"/>
        <v>0</v>
      </c>
      <c r="K97" s="1" t="str">
        <f t="shared" si="3"/>
        <v>0 - 0</v>
      </c>
      <c r="L97" s="343">
        <f>COUNTIF(Entropy!$D:$D,$B97)</f>
        <v>0</v>
      </c>
      <c r="M97" s="344">
        <f t="shared" si="4"/>
        <v>0</v>
      </c>
      <c r="N97" s="344">
        <f t="shared" si="5"/>
        <v>0</v>
      </c>
      <c r="O97" s="341">
        <f>IF($J97=11,0,IF(AND($H97 &gt;=VLOOKUP(Standings!$C$2,Quotas!$A$7:$E$14,4,FALSE), $H97&lt;=VLOOKUP(Standings!$C$2,Quotas!$A$7:$E$14,5,FALSE)), 0,VLOOKUP(Standings!$C$2,Quotas!$A$7:$E$14,4,FALSE)-$H97))</f>
        <v>30</v>
      </c>
      <c r="P97" s="341">
        <f>IF($J97=11,0,IF(AND($H97 &gt;=VLOOKUP(Standings!$C$2,Quotas!$A$7:$E$14,5,FALSE), $H97&lt;=VLOOKUP(Standings!$C$2,Quotas!$A$7:$E$14,5,FALSE)), 0,VLOOKUP(Standings!$C$2,Quotas!$A$7:$E$14,5,FALSE)-$H97))</f>
        <v>30</v>
      </c>
      <c r="Q97" s="79">
        <f t="shared" si="6"/>
        <v>11</v>
      </c>
      <c r="R97" s="345" t="str">
        <f t="shared" si="7"/>
        <v/>
      </c>
      <c r="S97" s="344">
        <f t="shared" si="8"/>
        <v>0.33</v>
      </c>
      <c r="T97" s="345" t="str">
        <f>IFERROR(__xludf.DUMMYFUNCTION("JOIN("","",IFERROR(FILTER(Matches!$B:$B,B97=Matches!$C:$C),""""),IFERROR(FILTER(Matches!$C:$C,B97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97" s="344">
        <f>IFERROR(__xludf.DUMMYFUNCTION("iferror(AVERAGE(ARRAYFORMULA(VLOOKUP(SPLIT(T97,"","",TRUE,TRUE),$R$2:$S654,2,FALSE))),0)"),0.0)</f>
        <v>0</v>
      </c>
      <c r="V97" s="346">
        <f>IFERROR(__xludf.DUMMYFUNCTION("RANK($I97, $I$2:$I654, FALSE) + RANK($M97, Filter($M$2:$M654, $I$2:$I654=$I97),FALSE)+RANK($U97, Filter($U$2:$U654, $I$2:$I654=$I97,$M$2:$M654=$M97),FALSE)-2"),1.0)</f>
        <v>1</v>
      </c>
      <c r="W97" s="347" t="str">
        <f t="shared" si="9"/>
        <v>Underplay</v>
      </c>
      <c r="X97" s="348" t="str">
        <f t="shared" si="10"/>
        <v/>
      </c>
      <c r="Y97" s="349">
        <f>MAXIFS(Matches!$A:$A,Matches!$C:$C,$B97)</f>
        <v>0</v>
      </c>
      <c r="Z97" s="349">
        <f t="array" ref="Z97">XLOOKUP(Y97,Quotas!$B$7:$B$10,Quotas!$A$7:$A$10,0,-1)</f>
        <v>0</v>
      </c>
      <c r="AB97" s="79"/>
      <c r="AC97" s="79">
        <f>COUNTIFS(Matches!$A:$A,"&gt;"&amp;Y97,Matches!$B:$B,$B97)</f>
        <v>0</v>
      </c>
      <c r="AD97" s="79"/>
      <c r="AE97" s="31" t="str">
        <f t="array" ref="AE97">XLOOKUP(B97, 'College List'!A:A, 'College List'!B:B)</f>
        <v>#N/A</v>
      </c>
      <c r="AF97" s="15">
        <v>9.0</v>
      </c>
    </row>
    <row r="98">
      <c r="A98" s="9">
        <f t="shared" si="1"/>
        <v>1</v>
      </c>
      <c r="C98" s="350"/>
      <c r="D98" s="93"/>
      <c r="E98" s="1"/>
      <c r="F98" s="1"/>
      <c r="G98" s="1"/>
      <c r="H98" s="341">
        <f>COUNTIF(Entropy!$D:$D,$B98)+COUNTIF(Matches!$B:$B,$B98)+COUNTIF(Matches!$C:$C,$B98)</f>
        <v>0</v>
      </c>
      <c r="I98" s="342">
        <f>COUNTIF(Matches!$B:$B,B98)</f>
        <v>0</v>
      </c>
      <c r="J98" s="79">
        <f t="shared" si="2"/>
        <v>0</v>
      </c>
      <c r="K98" s="1" t="str">
        <f t="shared" si="3"/>
        <v>0 - 0</v>
      </c>
      <c r="L98" s="343">
        <f>COUNTIF(Entropy!$D:$D,$B98)</f>
        <v>0</v>
      </c>
      <c r="M98" s="344">
        <f t="shared" si="4"/>
        <v>0</v>
      </c>
      <c r="N98" s="344">
        <f t="shared" si="5"/>
        <v>0</v>
      </c>
      <c r="O98" s="341">
        <f>IF($J98=11,0,IF(AND($H98 &gt;=VLOOKUP(Standings!$C$2,Quotas!$A$7:$E$14,4,FALSE), $H98&lt;=VLOOKUP(Standings!$C$2,Quotas!$A$7:$E$14,5,FALSE)), 0,VLOOKUP(Standings!$C$2,Quotas!$A$7:$E$14,4,FALSE)-$H98))</f>
        <v>30</v>
      </c>
      <c r="P98" s="341">
        <f>IF($J98=11,0,IF(AND($H98 &gt;=VLOOKUP(Standings!$C$2,Quotas!$A$7:$E$14,5,FALSE), $H98&lt;=VLOOKUP(Standings!$C$2,Quotas!$A$7:$E$14,5,FALSE)), 0,VLOOKUP(Standings!$C$2,Quotas!$A$7:$E$14,5,FALSE)-$H98))</f>
        <v>30</v>
      </c>
      <c r="Q98" s="79">
        <f t="shared" si="6"/>
        <v>11</v>
      </c>
      <c r="R98" s="345" t="str">
        <f t="shared" si="7"/>
        <v/>
      </c>
      <c r="S98" s="344">
        <f t="shared" si="8"/>
        <v>0.33</v>
      </c>
      <c r="T98" s="345" t="str">
        <f>IFERROR(__xludf.DUMMYFUNCTION("JOIN("","",IFERROR(FILTER(Matches!$B:$B,B98=Matches!$C:$C),""""),IFERROR(FILTER(Matches!$C:$C,B98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98" s="344">
        <f>IFERROR(__xludf.DUMMYFUNCTION("iferror(AVERAGE(ARRAYFORMULA(VLOOKUP(SPLIT(T98,"","",TRUE,TRUE),$R$2:$S654,2,FALSE))),0)"),0.0)</f>
        <v>0</v>
      </c>
      <c r="V98" s="346">
        <f>IFERROR(__xludf.DUMMYFUNCTION("RANK($I98, $I$2:$I654, FALSE) + RANK($M98, Filter($M$2:$M654, $I$2:$I654=$I98),FALSE)+RANK($U98, Filter($U$2:$U654, $I$2:$I654=$I98,$M$2:$M654=$M98),FALSE)-2"),1.0)</f>
        <v>1</v>
      </c>
      <c r="W98" s="347" t="str">
        <f t="shared" si="9"/>
        <v>Underplay</v>
      </c>
      <c r="X98" s="348" t="str">
        <f t="shared" si="10"/>
        <v/>
      </c>
      <c r="Y98" s="349">
        <f>MAXIFS(Matches!$A:$A,Matches!$C:$C,$B98)</f>
        <v>0</v>
      </c>
      <c r="Z98" s="349">
        <f t="array" ref="Z98">XLOOKUP(Y98,Quotas!$B$7:$B$10,Quotas!$A$7:$A$10,0,-1)</f>
        <v>0</v>
      </c>
      <c r="AB98" s="79"/>
      <c r="AC98" s="79">
        <f>COUNTIFS(Matches!$A:$A,"&gt;"&amp;Y98,Matches!$B:$B,$B98)</f>
        <v>0</v>
      </c>
      <c r="AD98" s="79"/>
      <c r="AE98" s="31" t="str">
        <f t="array" ref="AE98">XLOOKUP(B98, 'College List'!A:A, 'College List'!B:B)</f>
        <v>#N/A</v>
      </c>
      <c r="AF98" s="15">
        <v>9.0</v>
      </c>
    </row>
    <row r="99">
      <c r="A99" s="9">
        <f t="shared" si="1"/>
        <v>1</v>
      </c>
      <c r="C99" s="350"/>
      <c r="D99" s="93"/>
      <c r="E99" s="1"/>
      <c r="F99" s="1"/>
      <c r="G99" s="1"/>
      <c r="H99" s="341">
        <f>COUNTIF(Entropy!$D:$D,$B99)+COUNTIF(Matches!$B:$B,$B99)+COUNTIF(Matches!$C:$C,$B99)</f>
        <v>0</v>
      </c>
      <c r="I99" s="342">
        <f>COUNTIF(Matches!$B:$B,B99)</f>
        <v>0</v>
      </c>
      <c r="J99" s="79">
        <f t="shared" si="2"/>
        <v>0</v>
      </c>
      <c r="K99" s="1" t="str">
        <f t="shared" si="3"/>
        <v>0 - 0</v>
      </c>
      <c r="L99" s="343">
        <f>COUNTIF(Entropy!$D:$D,$B99)</f>
        <v>0</v>
      </c>
      <c r="M99" s="344">
        <f t="shared" si="4"/>
        <v>0</v>
      </c>
      <c r="N99" s="344">
        <f t="shared" si="5"/>
        <v>0</v>
      </c>
      <c r="O99" s="341">
        <f>IF($J99=11,0,IF(AND($H99 &gt;=VLOOKUP(Standings!$C$2,Quotas!$A$7:$E$14,4,FALSE), $H99&lt;=VLOOKUP(Standings!$C$2,Quotas!$A$7:$E$14,5,FALSE)), 0,VLOOKUP(Standings!$C$2,Quotas!$A$7:$E$14,4,FALSE)-$H99))</f>
        <v>30</v>
      </c>
      <c r="P99" s="341">
        <f>IF($J99=11,0,IF(AND($H99 &gt;=VLOOKUP(Standings!$C$2,Quotas!$A$7:$E$14,5,FALSE), $H99&lt;=VLOOKUP(Standings!$C$2,Quotas!$A$7:$E$14,5,FALSE)), 0,VLOOKUP(Standings!$C$2,Quotas!$A$7:$E$14,5,FALSE)-$H99))</f>
        <v>30</v>
      </c>
      <c r="Q99" s="79">
        <f t="shared" si="6"/>
        <v>11</v>
      </c>
      <c r="R99" s="345" t="str">
        <f t="shared" si="7"/>
        <v/>
      </c>
      <c r="S99" s="344">
        <f t="shared" si="8"/>
        <v>0.33</v>
      </c>
      <c r="T99" s="345" t="str">
        <f>IFERROR(__xludf.DUMMYFUNCTION("JOIN("","",IFERROR(FILTER(Matches!$B:$B,B99=Matches!$C:$C),""""),IFERROR(FILTER(Matches!$C:$C,B99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99" s="344">
        <f>IFERROR(__xludf.DUMMYFUNCTION("iferror(AVERAGE(ARRAYFORMULA(VLOOKUP(SPLIT(T99,"","",TRUE,TRUE),$R$2:$S654,2,FALSE))),0)"),0.0)</f>
        <v>0</v>
      </c>
      <c r="V99" s="346">
        <f>IFERROR(__xludf.DUMMYFUNCTION("RANK($I99, $I$2:$I654, FALSE) + RANK($M99, Filter($M$2:$M654, $I$2:$I654=$I99),FALSE)+RANK($U99, Filter($U$2:$U654, $I$2:$I654=$I99,$M$2:$M654=$M99),FALSE)-2"),1.0)</f>
        <v>1</v>
      </c>
      <c r="W99" s="347" t="str">
        <f t="shared" si="9"/>
        <v>Underplay</v>
      </c>
      <c r="X99" s="348" t="str">
        <f t="shared" si="10"/>
        <v/>
      </c>
      <c r="Y99" s="349">
        <f>MAXIFS(Matches!$A:$A,Matches!$C:$C,$B99)</f>
        <v>0</v>
      </c>
      <c r="Z99" s="349">
        <f t="array" ref="Z99">XLOOKUP(Y99,Quotas!$B$7:$B$10,Quotas!$A$7:$A$10,0,-1)</f>
        <v>0</v>
      </c>
      <c r="AB99" s="79"/>
      <c r="AC99" s="79">
        <f>COUNTIFS(Matches!$A:$A,"&gt;"&amp;Y99,Matches!$B:$B,$B99)</f>
        <v>0</v>
      </c>
      <c r="AD99" s="79"/>
      <c r="AE99" s="31" t="str">
        <f t="array" ref="AE99">XLOOKUP(B99, 'College List'!A:A, 'College List'!B:B)</f>
        <v>#N/A</v>
      </c>
      <c r="AF99" s="15">
        <v>9.0</v>
      </c>
    </row>
    <row r="100">
      <c r="A100" s="9">
        <f t="shared" si="1"/>
        <v>1</v>
      </c>
      <c r="C100" s="350"/>
      <c r="D100" s="93"/>
      <c r="E100" s="1"/>
      <c r="F100" s="1"/>
      <c r="G100" s="1"/>
      <c r="H100" s="341">
        <f>COUNTIF(Entropy!$D:$D,$B100)+COUNTIF(Matches!$B:$B,$B100)+COUNTIF(Matches!$C:$C,$B100)</f>
        <v>0</v>
      </c>
      <c r="I100" s="342">
        <f>COUNTIF(Matches!$B:$B,B100)</f>
        <v>0</v>
      </c>
      <c r="J100" s="79">
        <f t="shared" si="2"/>
        <v>0</v>
      </c>
      <c r="K100" s="1" t="str">
        <f t="shared" si="3"/>
        <v>0 - 0</v>
      </c>
      <c r="L100" s="343">
        <f>COUNTIF(Entropy!$D:$D,$B100)</f>
        <v>0</v>
      </c>
      <c r="M100" s="344">
        <f t="shared" si="4"/>
        <v>0</v>
      </c>
      <c r="N100" s="344">
        <f t="shared" si="5"/>
        <v>0</v>
      </c>
      <c r="O100" s="341">
        <f>IF($J100=11,0,IF(AND($H100 &gt;=VLOOKUP(Standings!$C$2,Quotas!$A$7:$E$14,4,FALSE), $H100&lt;=VLOOKUP(Standings!$C$2,Quotas!$A$7:$E$14,5,FALSE)), 0,VLOOKUP(Standings!$C$2,Quotas!$A$7:$E$14,4,FALSE)-$H100))</f>
        <v>30</v>
      </c>
      <c r="P100" s="341">
        <f>IF($J100=11,0,IF(AND($H100 &gt;=VLOOKUP(Standings!$C$2,Quotas!$A$7:$E$14,5,FALSE), $H100&lt;=VLOOKUP(Standings!$C$2,Quotas!$A$7:$E$14,5,FALSE)), 0,VLOOKUP(Standings!$C$2,Quotas!$A$7:$E$14,5,FALSE)-$H100))</f>
        <v>30</v>
      </c>
      <c r="Q100" s="79">
        <f t="shared" si="6"/>
        <v>11</v>
      </c>
      <c r="R100" s="345" t="str">
        <f t="shared" si="7"/>
        <v/>
      </c>
      <c r="S100" s="344">
        <f t="shared" si="8"/>
        <v>0.33</v>
      </c>
      <c r="T100" s="345" t="str">
        <f>IFERROR(__xludf.DUMMYFUNCTION("JOIN("","",IFERROR(FILTER(Matches!$B:$B,B100=Matches!$C:$C),""""),IFERROR(FILTER(Matches!$C:$C,B100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00" s="344">
        <f>IFERROR(__xludf.DUMMYFUNCTION("iferror(AVERAGE(ARRAYFORMULA(VLOOKUP(SPLIT(T100,"","",TRUE,TRUE),$R$2:$S654,2,FALSE))),0)"),0.0)</f>
        <v>0</v>
      </c>
      <c r="V100" s="346">
        <f>IFERROR(__xludf.DUMMYFUNCTION("RANK($I100, $I$2:$I654, FALSE) + RANK($M100, Filter($M$2:$M654, $I$2:$I654=$I100),FALSE)+RANK($U100, Filter($U$2:$U654, $I$2:$I654=$I100,$M$2:$M654=$M100),FALSE)-2"),1.0)</f>
        <v>1</v>
      </c>
      <c r="W100" s="347" t="str">
        <f t="shared" si="9"/>
        <v>Underplay</v>
      </c>
      <c r="X100" s="348" t="str">
        <f t="shared" si="10"/>
        <v/>
      </c>
      <c r="Y100" s="349">
        <f>MAXIFS(Matches!$A:$A,Matches!$C:$C,$B100)</f>
        <v>0</v>
      </c>
      <c r="Z100" s="349">
        <f t="array" ref="Z100">XLOOKUP(Y100,Quotas!$B$7:$B$10,Quotas!$A$7:$A$10,0,-1)</f>
        <v>0</v>
      </c>
      <c r="AB100" s="79"/>
      <c r="AC100" s="79">
        <f>COUNTIFS(Matches!$A:$A,"&gt;"&amp;Y100,Matches!$B:$B,$B100)</f>
        <v>0</v>
      </c>
      <c r="AD100" s="79"/>
      <c r="AE100" s="31" t="str">
        <f t="array" ref="AE100">XLOOKUP(B100, 'College List'!A:A, 'College List'!B:B)</f>
        <v>#N/A</v>
      </c>
    </row>
    <row r="101">
      <c r="A101" s="9">
        <f t="shared" si="1"/>
        <v>1</v>
      </c>
      <c r="C101" s="350"/>
      <c r="D101" s="93"/>
      <c r="E101" s="1"/>
      <c r="F101" s="1"/>
      <c r="G101" s="1"/>
      <c r="H101" s="341">
        <f>COUNTIF(Entropy!$D:$D,$B101)+COUNTIF(Matches!$B:$B,$B101)+COUNTIF(Matches!$C:$C,$B101)</f>
        <v>0</v>
      </c>
      <c r="I101" s="342">
        <f>COUNTIF(Matches!$B:$B,B101)</f>
        <v>0</v>
      </c>
      <c r="J101" s="79">
        <f t="shared" si="2"/>
        <v>0</v>
      </c>
      <c r="K101" s="1" t="str">
        <f t="shared" si="3"/>
        <v>0 - 0</v>
      </c>
      <c r="L101" s="343">
        <f>COUNTIF(Entropy!$D:$D,$B101)</f>
        <v>0</v>
      </c>
      <c r="M101" s="344">
        <f t="shared" si="4"/>
        <v>0</v>
      </c>
      <c r="N101" s="344">
        <f t="shared" si="5"/>
        <v>0</v>
      </c>
      <c r="O101" s="341">
        <f>IF($J101=11,0,IF(AND($H101 &gt;=VLOOKUP(Standings!$C$2,Quotas!$A$7:$E$14,4,FALSE), $H101&lt;=VLOOKUP(Standings!$C$2,Quotas!$A$7:$E$14,5,FALSE)), 0,VLOOKUP(Standings!$C$2,Quotas!$A$7:$E$14,4,FALSE)-$H101))</f>
        <v>30</v>
      </c>
      <c r="P101" s="341">
        <f>IF($J101=11,0,IF(AND($H101 &gt;=VLOOKUP(Standings!$C$2,Quotas!$A$7:$E$14,5,FALSE), $H101&lt;=VLOOKUP(Standings!$C$2,Quotas!$A$7:$E$14,5,FALSE)), 0,VLOOKUP(Standings!$C$2,Quotas!$A$7:$E$14,5,FALSE)-$H101))</f>
        <v>30</v>
      </c>
      <c r="Q101" s="79">
        <f t="shared" si="6"/>
        <v>11</v>
      </c>
      <c r="R101" s="345" t="str">
        <f t="shared" si="7"/>
        <v/>
      </c>
      <c r="S101" s="344">
        <f t="shared" si="8"/>
        <v>0.33</v>
      </c>
      <c r="T101" s="345" t="str">
        <f>IFERROR(__xludf.DUMMYFUNCTION("JOIN("","",IFERROR(FILTER(Matches!$B:$B,B101=Matches!$C:$C),""""),IFERROR(FILTER(Matches!$C:$C,B101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01" s="344">
        <f>IFERROR(__xludf.DUMMYFUNCTION("iferror(AVERAGE(ARRAYFORMULA(VLOOKUP(SPLIT(T101,"","",TRUE,TRUE),$R$2:$S654,2,FALSE))),0)"),0.0)</f>
        <v>0</v>
      </c>
      <c r="V101" s="346">
        <f>IFERROR(__xludf.DUMMYFUNCTION("RANK($I101, $I$2:$I654, FALSE) + RANK($M101, Filter($M$2:$M654, $I$2:$I654=$I101),FALSE)+RANK($U101, Filter($U$2:$U654, $I$2:$I654=$I101,$M$2:$M654=$M101),FALSE)-2"),1.0)</f>
        <v>1</v>
      </c>
      <c r="W101" s="347" t="str">
        <f t="shared" si="9"/>
        <v>Underplay</v>
      </c>
      <c r="X101" s="348" t="str">
        <f t="shared" si="10"/>
        <v/>
      </c>
      <c r="Y101" s="349">
        <f>MAXIFS(Matches!$A:$A,Matches!$C:$C,$B101)</f>
        <v>0</v>
      </c>
      <c r="Z101" s="349">
        <f t="array" ref="Z101">XLOOKUP(Y101,Quotas!$B$7:$B$10,Quotas!$A$7:$A$10,0,-1)</f>
        <v>0</v>
      </c>
      <c r="AB101" s="79"/>
      <c r="AC101" s="79">
        <f>COUNTIFS(Matches!$A:$A,"&gt;"&amp;Y101,Matches!$B:$B,$B101)</f>
        <v>0</v>
      </c>
      <c r="AD101" s="79"/>
      <c r="AE101" s="31" t="str">
        <f t="array" ref="AE101">XLOOKUP(B101, 'College List'!A:A, 'College List'!B:B)</f>
        <v>#N/A</v>
      </c>
      <c r="AF101" s="15">
        <v>9.0</v>
      </c>
    </row>
    <row r="102">
      <c r="A102" s="9">
        <f t="shared" si="1"/>
        <v>1</v>
      </c>
      <c r="C102" s="350"/>
      <c r="D102" s="93"/>
      <c r="E102" s="1"/>
      <c r="F102" s="1"/>
      <c r="G102" s="1"/>
      <c r="H102" s="341">
        <f>COUNTIF(Entropy!$D:$D,$B102)+COUNTIF(Matches!$B:$B,$B102)+COUNTIF(Matches!$C:$C,$B102)</f>
        <v>0</v>
      </c>
      <c r="I102" s="342">
        <f>COUNTIF(Matches!$B:$B,B102)</f>
        <v>0</v>
      </c>
      <c r="J102" s="79">
        <f t="shared" si="2"/>
        <v>0</v>
      </c>
      <c r="K102" s="1" t="str">
        <f t="shared" si="3"/>
        <v>0 - 0</v>
      </c>
      <c r="L102" s="343">
        <f>COUNTIF(Entropy!$D:$D,$B102)</f>
        <v>0</v>
      </c>
      <c r="M102" s="344">
        <f t="shared" si="4"/>
        <v>0</v>
      </c>
      <c r="N102" s="344">
        <f t="shared" si="5"/>
        <v>0</v>
      </c>
      <c r="O102" s="341">
        <f>IF($J102=11,0,IF(AND($H102 &gt;=VLOOKUP(Standings!$C$2,Quotas!$A$7:$E$14,4,FALSE), $H102&lt;=VLOOKUP(Standings!$C$2,Quotas!$A$7:$E$14,5,FALSE)), 0,VLOOKUP(Standings!$C$2,Quotas!$A$7:$E$14,4,FALSE)-$H102))</f>
        <v>30</v>
      </c>
      <c r="P102" s="341">
        <f>IF($J102=11,0,IF(AND($H102 &gt;=VLOOKUP(Standings!$C$2,Quotas!$A$7:$E$14,5,FALSE), $H102&lt;=VLOOKUP(Standings!$C$2,Quotas!$A$7:$E$14,5,FALSE)), 0,VLOOKUP(Standings!$C$2,Quotas!$A$7:$E$14,5,FALSE)-$H102))</f>
        <v>30</v>
      </c>
      <c r="Q102" s="79">
        <f t="shared" si="6"/>
        <v>11</v>
      </c>
      <c r="R102" s="345" t="str">
        <f t="shared" si="7"/>
        <v/>
      </c>
      <c r="S102" s="344">
        <f t="shared" si="8"/>
        <v>0.33</v>
      </c>
      <c r="T102" s="345" t="str">
        <f>IFERROR(__xludf.DUMMYFUNCTION("JOIN("","",IFERROR(FILTER(Matches!$B:$B,B102=Matches!$C:$C),""""),IFERROR(FILTER(Matches!$C:$C,B102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02" s="344">
        <f>IFERROR(__xludf.DUMMYFUNCTION("iferror(AVERAGE(ARRAYFORMULA(VLOOKUP(SPLIT(T102,"","",TRUE,TRUE),$R$2:$S654,2,FALSE))),0)"),0.0)</f>
        <v>0</v>
      </c>
      <c r="V102" s="346">
        <f>IFERROR(__xludf.DUMMYFUNCTION("RANK($I102, $I$2:$I654, FALSE) + RANK($M102, Filter($M$2:$M654, $I$2:$I654=$I102),FALSE)+RANK($U102, Filter($U$2:$U654, $I$2:$I654=$I102,$M$2:$M654=$M102),FALSE)-2"),1.0)</f>
        <v>1</v>
      </c>
      <c r="W102" s="347" t="str">
        <f t="shared" si="9"/>
        <v>Underplay</v>
      </c>
      <c r="X102" s="348" t="str">
        <f t="shared" si="10"/>
        <v/>
      </c>
      <c r="Y102" s="349">
        <f>MAXIFS(Matches!$A:$A,Matches!$C:$C,$B102)</f>
        <v>0</v>
      </c>
      <c r="Z102" s="349">
        <f t="array" ref="Z102">XLOOKUP(Y102,Quotas!$B$7:$B$10,Quotas!$A$7:$A$10,0,-1)</f>
        <v>0</v>
      </c>
      <c r="AB102" s="79"/>
      <c r="AC102" s="79">
        <f>COUNTIFS(Matches!$A:$A,"&gt;"&amp;Y102,Matches!$B:$B,$B102)</f>
        <v>0</v>
      </c>
      <c r="AD102" s="79"/>
      <c r="AE102" s="31" t="str">
        <f t="array" ref="AE102">XLOOKUP(B102, 'College List'!A:A, 'College List'!B:B)</f>
        <v>#N/A</v>
      </c>
    </row>
    <row r="103">
      <c r="A103" s="9">
        <f t="shared" si="1"/>
        <v>1</v>
      </c>
      <c r="C103" s="350"/>
      <c r="D103" s="93"/>
      <c r="E103" s="1"/>
      <c r="F103" s="1"/>
      <c r="G103" s="1"/>
      <c r="H103" s="341">
        <f>COUNTIF(Entropy!$D:$D,$B103)+COUNTIF(Matches!$B:$B,$B103)+COUNTIF(Matches!$C:$C,$B103)</f>
        <v>0</v>
      </c>
      <c r="I103" s="342">
        <f>COUNTIF(Matches!$B:$B,B103)</f>
        <v>0</v>
      </c>
      <c r="J103" s="79">
        <f t="shared" si="2"/>
        <v>0</v>
      </c>
      <c r="K103" s="1" t="str">
        <f t="shared" si="3"/>
        <v>0 - 0</v>
      </c>
      <c r="L103" s="343">
        <f>COUNTIF(Entropy!$D:$D,$B103)</f>
        <v>0</v>
      </c>
      <c r="M103" s="344">
        <f t="shared" si="4"/>
        <v>0</v>
      </c>
      <c r="N103" s="344">
        <f t="shared" si="5"/>
        <v>0</v>
      </c>
      <c r="O103" s="341">
        <f>IF($J103=11,0,IF(AND($H103 &gt;=VLOOKUP(Standings!$C$2,Quotas!$A$7:$E$14,4,FALSE), $H103&lt;=VLOOKUP(Standings!$C$2,Quotas!$A$7:$E$14,5,FALSE)), 0,VLOOKUP(Standings!$C$2,Quotas!$A$7:$E$14,4,FALSE)-$H103))</f>
        <v>30</v>
      </c>
      <c r="P103" s="341">
        <f>IF($J103=11,0,IF(AND($H103 &gt;=VLOOKUP(Standings!$C$2,Quotas!$A$7:$E$14,5,FALSE), $H103&lt;=VLOOKUP(Standings!$C$2,Quotas!$A$7:$E$14,5,FALSE)), 0,VLOOKUP(Standings!$C$2,Quotas!$A$7:$E$14,5,FALSE)-$H103))</f>
        <v>30</v>
      </c>
      <c r="Q103" s="79">
        <f t="shared" si="6"/>
        <v>11</v>
      </c>
      <c r="R103" s="345" t="str">
        <f t="shared" si="7"/>
        <v/>
      </c>
      <c r="S103" s="344">
        <f t="shared" si="8"/>
        <v>0.33</v>
      </c>
      <c r="T103" s="345" t="str">
        <f>IFERROR(__xludf.DUMMYFUNCTION("JOIN("","",IFERROR(FILTER(Matches!$B:$B,B103=Matches!$C:$C),""""),IFERROR(FILTER(Matches!$C:$C,B103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03" s="344">
        <f>IFERROR(__xludf.DUMMYFUNCTION("iferror(AVERAGE(ARRAYFORMULA(VLOOKUP(SPLIT(T103,"","",TRUE,TRUE),$R$2:$S654,2,FALSE))),0)"),0.0)</f>
        <v>0</v>
      </c>
      <c r="V103" s="346">
        <f>IFERROR(__xludf.DUMMYFUNCTION("RANK($I103, $I$2:$I654, FALSE) + RANK($M103, Filter($M$2:$M654, $I$2:$I654=$I103),FALSE)+RANK($U103, Filter($U$2:$U654, $I$2:$I654=$I103,$M$2:$M654=$M103),FALSE)-2"),1.0)</f>
        <v>1</v>
      </c>
      <c r="W103" s="347" t="str">
        <f t="shared" si="9"/>
        <v>Underplay</v>
      </c>
      <c r="X103" s="348" t="str">
        <f t="shared" si="10"/>
        <v/>
      </c>
      <c r="Y103" s="349">
        <f>MAXIFS(Matches!$A:$A,Matches!$C:$C,$B103)</f>
        <v>0</v>
      </c>
      <c r="Z103" s="349">
        <f t="array" ref="Z103">XLOOKUP(Y103,Quotas!$B$7:$B$10,Quotas!$A$7:$A$10,0,-1)</f>
        <v>0</v>
      </c>
      <c r="AA103" s="9" t="s">
        <v>8625</v>
      </c>
      <c r="AB103" s="79"/>
      <c r="AC103" s="79">
        <f>COUNTIFS(Matches!$A:$A,"&gt;"&amp;Y103,Matches!$B:$B,$B103)</f>
        <v>0</v>
      </c>
      <c r="AD103" s="79"/>
      <c r="AE103" s="31" t="str">
        <f t="array" ref="AE103">XLOOKUP(B103, 'College List'!A:A, 'College List'!B:B)</f>
        <v>#N/A</v>
      </c>
      <c r="AF103" s="15">
        <v>9.0</v>
      </c>
    </row>
    <row r="104">
      <c r="A104" s="9">
        <f t="shared" si="1"/>
        <v>1</v>
      </c>
      <c r="C104" s="350"/>
      <c r="D104" s="93"/>
      <c r="E104" s="1"/>
      <c r="F104" s="1"/>
      <c r="G104" s="1"/>
      <c r="H104" s="341">
        <f>COUNTIF(Entropy!$D:$D,$B104)+COUNTIF(Matches!$B:$B,$B104)+COUNTIF(Matches!$C:$C,$B104)</f>
        <v>0</v>
      </c>
      <c r="I104" s="342">
        <f>COUNTIF(Matches!$B:$B,B104)</f>
        <v>0</v>
      </c>
      <c r="J104" s="79">
        <f t="shared" si="2"/>
        <v>0</v>
      </c>
      <c r="K104" s="1" t="str">
        <f t="shared" si="3"/>
        <v>0 - 0</v>
      </c>
      <c r="L104" s="343">
        <f>COUNTIF(Entropy!$D:$D,$B104)</f>
        <v>0</v>
      </c>
      <c r="M104" s="344">
        <f t="shared" si="4"/>
        <v>0</v>
      </c>
      <c r="N104" s="344">
        <f t="shared" si="5"/>
        <v>0</v>
      </c>
      <c r="O104" s="341">
        <f>IF($J104=11,0,IF(AND($H104 &gt;=VLOOKUP(Standings!$C$2,Quotas!$A$7:$E$14,4,FALSE), $H104&lt;=VLOOKUP(Standings!$C$2,Quotas!$A$7:$E$14,5,FALSE)), 0,VLOOKUP(Standings!$C$2,Quotas!$A$7:$E$14,4,FALSE)-$H104))</f>
        <v>30</v>
      </c>
      <c r="P104" s="341">
        <f>IF($J104=11,0,IF(AND($H104 &gt;=VLOOKUP(Standings!$C$2,Quotas!$A$7:$E$14,5,FALSE), $H104&lt;=VLOOKUP(Standings!$C$2,Quotas!$A$7:$E$14,5,FALSE)), 0,VLOOKUP(Standings!$C$2,Quotas!$A$7:$E$14,5,FALSE)-$H104))</f>
        <v>30</v>
      </c>
      <c r="Q104" s="79">
        <f t="shared" si="6"/>
        <v>11</v>
      </c>
      <c r="R104" s="345" t="str">
        <f t="shared" si="7"/>
        <v/>
      </c>
      <c r="S104" s="344">
        <f t="shared" si="8"/>
        <v>0.33</v>
      </c>
      <c r="T104" s="345" t="str">
        <f>IFERROR(__xludf.DUMMYFUNCTION("JOIN("","",IFERROR(FILTER(Matches!$B:$B,B104=Matches!$C:$C),""""),IFERROR(FILTER(Matches!$C:$C,B104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04" s="344">
        <f>IFERROR(__xludf.DUMMYFUNCTION("iferror(AVERAGE(ARRAYFORMULA(VLOOKUP(SPLIT(T104,"","",TRUE,TRUE),$R$2:$S654,2,FALSE))),0)"),0.0)</f>
        <v>0</v>
      </c>
      <c r="V104" s="346">
        <f>IFERROR(__xludf.DUMMYFUNCTION("RANK($I104, $I$2:$I654, FALSE) + RANK($M104, Filter($M$2:$M654, $I$2:$I654=$I104),FALSE)+RANK($U104, Filter($U$2:$U654, $I$2:$I654=$I104,$M$2:$M654=$M104),FALSE)-2"),1.0)</f>
        <v>1</v>
      </c>
      <c r="W104" s="347" t="str">
        <f t="shared" si="9"/>
        <v>Underplay</v>
      </c>
      <c r="X104" s="348" t="str">
        <f t="shared" si="10"/>
        <v/>
      </c>
      <c r="Y104" s="349">
        <f>MAXIFS(Matches!$A:$A,Matches!$C:$C,$B104)</f>
        <v>0</v>
      </c>
      <c r="Z104" s="349">
        <f t="array" ref="Z104">XLOOKUP(Y104,Quotas!$B$7:$B$10,Quotas!$A$7:$A$10,0,-1)</f>
        <v>0</v>
      </c>
      <c r="AB104" s="79"/>
      <c r="AC104" s="79">
        <f>COUNTIFS(Matches!$A:$A,"&gt;"&amp;Y104,Matches!$B:$B,$B104)</f>
        <v>0</v>
      </c>
      <c r="AD104" s="79"/>
      <c r="AE104" s="31" t="str">
        <f t="array" ref="AE104">XLOOKUP(B104, 'College List'!A:A, 'College List'!B:B)</f>
        <v>#N/A</v>
      </c>
      <c r="AF104" s="15">
        <v>9.0</v>
      </c>
    </row>
    <row r="105">
      <c r="A105" s="9">
        <f t="shared" si="1"/>
        <v>1</v>
      </c>
      <c r="C105" s="350"/>
      <c r="D105" s="93"/>
      <c r="E105" s="1"/>
      <c r="F105" s="1"/>
      <c r="G105" s="1"/>
      <c r="H105" s="341">
        <f>COUNTIF(Entropy!$D:$D,$B105)+COUNTIF(Matches!$B:$B,$B105)+COUNTIF(Matches!$C:$C,$B105)</f>
        <v>0</v>
      </c>
      <c r="I105" s="342">
        <f>COUNTIF(Matches!$B:$B,B105)</f>
        <v>0</v>
      </c>
      <c r="J105" s="79">
        <f t="shared" si="2"/>
        <v>0</v>
      </c>
      <c r="K105" s="1" t="str">
        <f t="shared" si="3"/>
        <v>0 - 0</v>
      </c>
      <c r="L105" s="343">
        <f>COUNTIF(Entropy!$D:$D,$B105)</f>
        <v>0</v>
      </c>
      <c r="M105" s="344">
        <f t="shared" si="4"/>
        <v>0</v>
      </c>
      <c r="N105" s="344">
        <f t="shared" si="5"/>
        <v>0</v>
      </c>
      <c r="O105" s="341">
        <f>IF($J105=11,0,IF(AND($H105 &gt;=VLOOKUP(Standings!$C$2,Quotas!$A$7:$E$14,4,FALSE), $H105&lt;=VLOOKUP(Standings!$C$2,Quotas!$A$7:$E$14,5,FALSE)), 0,VLOOKUP(Standings!$C$2,Quotas!$A$7:$E$14,4,FALSE)-$H105))</f>
        <v>30</v>
      </c>
      <c r="P105" s="341">
        <f>IF($J105=11,0,IF(AND($H105 &gt;=VLOOKUP(Standings!$C$2,Quotas!$A$7:$E$14,5,FALSE), $H105&lt;=VLOOKUP(Standings!$C$2,Quotas!$A$7:$E$14,5,FALSE)), 0,VLOOKUP(Standings!$C$2,Quotas!$A$7:$E$14,5,FALSE)-$H105))</f>
        <v>30</v>
      </c>
      <c r="Q105" s="79">
        <f t="shared" si="6"/>
        <v>11</v>
      </c>
      <c r="R105" s="345" t="str">
        <f t="shared" si="7"/>
        <v/>
      </c>
      <c r="S105" s="344">
        <f t="shared" si="8"/>
        <v>0.33</v>
      </c>
      <c r="T105" s="345" t="str">
        <f>IFERROR(__xludf.DUMMYFUNCTION("JOIN("","",IFERROR(FILTER(Matches!$B:$B,B105=Matches!$C:$C),""""),IFERROR(FILTER(Matches!$C:$C,B105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05" s="344">
        <f>IFERROR(__xludf.DUMMYFUNCTION("iferror(AVERAGE(ARRAYFORMULA(VLOOKUP(SPLIT(T105,"","",TRUE,TRUE),$R$2:$S654,2,FALSE))),0)"),0.0)</f>
        <v>0</v>
      </c>
      <c r="V105" s="346">
        <f>IFERROR(__xludf.DUMMYFUNCTION("RANK($I105, $I$2:$I654, FALSE) + RANK($M105, Filter($M$2:$M654, $I$2:$I654=$I105),FALSE)+RANK($U105, Filter($U$2:$U654, $I$2:$I654=$I105,$M$2:$M654=$M105),FALSE)-2"),1.0)</f>
        <v>1</v>
      </c>
      <c r="W105" s="347" t="str">
        <f t="shared" si="9"/>
        <v>Underplay</v>
      </c>
      <c r="X105" s="348" t="str">
        <f t="shared" si="10"/>
        <v/>
      </c>
      <c r="Y105" s="349">
        <f>MAXIFS(Matches!$A:$A,Matches!$C:$C,$B105)</f>
        <v>0</v>
      </c>
      <c r="Z105" s="349">
        <f t="array" ref="Z105">XLOOKUP(Y105,Quotas!$B$7:$B$10,Quotas!$A$7:$A$10,0,-1)</f>
        <v>0</v>
      </c>
      <c r="AB105" s="79"/>
      <c r="AC105" s="79">
        <f>COUNTIFS(Matches!$A:$A,"&gt;"&amp;Y105,Matches!$B:$B,$B105)</f>
        <v>0</v>
      </c>
      <c r="AD105" s="79"/>
      <c r="AE105" s="31" t="str">
        <f t="array" ref="AE105">XLOOKUP(B105, 'College List'!A:A, 'College List'!B:B)</f>
        <v>#N/A</v>
      </c>
      <c r="AF105" s="15">
        <v>10.0</v>
      </c>
    </row>
    <row r="106">
      <c r="A106" s="9">
        <f t="shared" si="1"/>
        <v>1</v>
      </c>
      <c r="C106" s="350"/>
      <c r="D106" s="93"/>
      <c r="E106" s="1"/>
      <c r="F106" s="1"/>
      <c r="G106" s="1"/>
      <c r="H106" s="341">
        <f>COUNTIF(Entropy!$D:$D,$B106)+COUNTIF(Matches!$B:$B,$B106)+COUNTIF(Matches!$C:$C,$B106)</f>
        <v>0</v>
      </c>
      <c r="I106" s="342">
        <f>COUNTIF(Matches!$B:$B,B106)</f>
        <v>0</v>
      </c>
      <c r="J106" s="79">
        <f t="shared" si="2"/>
        <v>0</v>
      </c>
      <c r="K106" s="1" t="str">
        <f t="shared" si="3"/>
        <v>0 - 0</v>
      </c>
      <c r="L106" s="343">
        <f>COUNTIF(Entropy!$D:$D,$B106)</f>
        <v>0</v>
      </c>
      <c r="M106" s="344">
        <f t="shared" si="4"/>
        <v>0</v>
      </c>
      <c r="N106" s="344">
        <f t="shared" si="5"/>
        <v>0</v>
      </c>
      <c r="O106" s="341">
        <f>IF($J106=11,0,IF(AND($H106 &gt;=VLOOKUP(Standings!$C$2,Quotas!$A$7:$E$14,4,FALSE), $H106&lt;=VLOOKUP(Standings!$C$2,Quotas!$A$7:$E$14,5,FALSE)), 0,VLOOKUP(Standings!$C$2,Quotas!$A$7:$E$14,4,FALSE)-$H106))</f>
        <v>30</v>
      </c>
      <c r="P106" s="341">
        <f>IF($J106=11,0,IF(AND($H106 &gt;=VLOOKUP(Standings!$C$2,Quotas!$A$7:$E$14,5,FALSE), $H106&lt;=VLOOKUP(Standings!$C$2,Quotas!$A$7:$E$14,5,FALSE)), 0,VLOOKUP(Standings!$C$2,Quotas!$A$7:$E$14,5,FALSE)-$H106))</f>
        <v>30</v>
      </c>
      <c r="Q106" s="79">
        <f t="shared" si="6"/>
        <v>11</v>
      </c>
      <c r="R106" s="345" t="str">
        <f t="shared" si="7"/>
        <v/>
      </c>
      <c r="S106" s="344">
        <f t="shared" si="8"/>
        <v>0.33</v>
      </c>
      <c r="T106" s="345" t="str">
        <f>IFERROR(__xludf.DUMMYFUNCTION("JOIN("","",IFERROR(FILTER(Matches!$B:$B,B106=Matches!$C:$C),""""),IFERROR(FILTER(Matches!$C:$C,B106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06" s="344">
        <f>IFERROR(__xludf.DUMMYFUNCTION("iferror(AVERAGE(ARRAYFORMULA(VLOOKUP(SPLIT(T106,"","",TRUE,TRUE),$R$2:$S654,2,FALSE))),0)"),0.0)</f>
        <v>0</v>
      </c>
      <c r="V106" s="346">
        <f>IFERROR(__xludf.DUMMYFUNCTION("RANK($I106, $I$2:$I654, FALSE) + RANK($M106, Filter($M$2:$M654, $I$2:$I654=$I106),FALSE)+RANK($U106, Filter($U$2:$U654, $I$2:$I654=$I106,$M$2:$M654=$M106),FALSE)-2"),1.0)</f>
        <v>1</v>
      </c>
      <c r="W106" s="347" t="str">
        <f t="shared" si="9"/>
        <v>Underplay</v>
      </c>
      <c r="X106" s="348" t="str">
        <f t="shared" si="10"/>
        <v/>
      </c>
      <c r="Y106" s="349">
        <f>MAXIFS(Matches!$A:$A,Matches!$C:$C,$B106)</f>
        <v>0</v>
      </c>
      <c r="Z106" s="349">
        <f t="array" ref="Z106">XLOOKUP(Y106,Quotas!$B$7:$B$10,Quotas!$A$7:$A$10,0,-1)</f>
        <v>0</v>
      </c>
      <c r="AB106" s="79"/>
      <c r="AC106" s="79">
        <f>COUNTIFS(Matches!$A:$A,"&gt;"&amp;Y106,Matches!$B:$B,$B106)</f>
        <v>0</v>
      </c>
      <c r="AD106" s="79"/>
      <c r="AE106" s="31" t="str">
        <f t="array" ref="AE106">XLOOKUP(B106, 'College List'!A:A, 'College List'!B:B)</f>
        <v>#N/A</v>
      </c>
      <c r="AF106" s="15">
        <v>9.0</v>
      </c>
    </row>
    <row r="107">
      <c r="A107" s="9">
        <f t="shared" si="1"/>
        <v>1</v>
      </c>
      <c r="C107" s="350"/>
      <c r="D107" s="93"/>
      <c r="E107" s="1"/>
      <c r="F107" s="1"/>
      <c r="G107" s="1"/>
      <c r="H107" s="341">
        <f>COUNTIF(Entropy!$D:$D,$B107)+COUNTIF(Matches!$B:$B,$B107)+COUNTIF(Matches!$C:$C,$B107)</f>
        <v>0</v>
      </c>
      <c r="I107" s="342">
        <f>COUNTIF(Matches!$B:$B,B107)</f>
        <v>0</v>
      </c>
      <c r="J107" s="79">
        <f t="shared" si="2"/>
        <v>0</v>
      </c>
      <c r="K107" s="1" t="str">
        <f t="shared" si="3"/>
        <v>0 - 0</v>
      </c>
      <c r="L107" s="343">
        <f>COUNTIF(Entropy!$D:$D,$B107)</f>
        <v>0</v>
      </c>
      <c r="M107" s="344">
        <f t="shared" si="4"/>
        <v>0</v>
      </c>
      <c r="N107" s="344">
        <f t="shared" si="5"/>
        <v>0</v>
      </c>
      <c r="O107" s="341">
        <f>IF($J107=11,0,IF(AND($H107 &gt;=VLOOKUP(Standings!$C$2,Quotas!$A$7:$E$14,4,FALSE), $H107&lt;=VLOOKUP(Standings!$C$2,Quotas!$A$7:$E$14,5,FALSE)), 0,VLOOKUP(Standings!$C$2,Quotas!$A$7:$E$14,4,FALSE)-$H107))</f>
        <v>30</v>
      </c>
      <c r="P107" s="341">
        <f>IF($J107=11,0,IF(AND($H107 &gt;=VLOOKUP(Standings!$C$2,Quotas!$A$7:$E$14,5,FALSE), $H107&lt;=VLOOKUP(Standings!$C$2,Quotas!$A$7:$E$14,5,FALSE)), 0,VLOOKUP(Standings!$C$2,Quotas!$A$7:$E$14,5,FALSE)-$H107))</f>
        <v>30</v>
      </c>
      <c r="Q107" s="79">
        <f t="shared" si="6"/>
        <v>11</v>
      </c>
      <c r="R107" s="345" t="str">
        <f t="shared" si="7"/>
        <v/>
      </c>
      <c r="S107" s="344">
        <f t="shared" si="8"/>
        <v>0.33</v>
      </c>
      <c r="T107" s="345" t="str">
        <f>IFERROR(__xludf.DUMMYFUNCTION("JOIN("","",IFERROR(FILTER(Matches!$B:$B,B107=Matches!$C:$C),""""),IFERROR(FILTER(Matches!$C:$C,B107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07" s="344">
        <f>IFERROR(__xludf.DUMMYFUNCTION("iferror(AVERAGE(ARRAYFORMULA(VLOOKUP(SPLIT(T107,"","",TRUE,TRUE),$R$2:$S654,2,FALSE))),0)"),0.0)</f>
        <v>0</v>
      </c>
      <c r="V107" s="346">
        <f>IFERROR(__xludf.DUMMYFUNCTION("RANK($I107, $I$2:$I654, FALSE) + RANK($M107, Filter($M$2:$M654, $I$2:$I654=$I107),FALSE)+RANK($U107, Filter($U$2:$U654, $I$2:$I654=$I107,$M$2:$M654=$M107),FALSE)-2"),1.0)</f>
        <v>1</v>
      </c>
      <c r="W107" s="347" t="str">
        <f t="shared" si="9"/>
        <v>Underplay</v>
      </c>
      <c r="X107" s="348" t="str">
        <f t="shared" si="10"/>
        <v/>
      </c>
      <c r="Y107" s="349">
        <f>MAXIFS(Matches!$A:$A,Matches!$C:$C,$B107)</f>
        <v>0</v>
      </c>
      <c r="Z107" s="349">
        <f t="array" ref="Z107">XLOOKUP(Y107,Quotas!$B$7:$B$10,Quotas!$A$7:$A$10,0,-1)</f>
        <v>0</v>
      </c>
      <c r="AB107" s="79"/>
      <c r="AC107" s="79">
        <f>COUNTIFS(Matches!$A:$A,"&gt;"&amp;Y107,Matches!$B:$B,$B107)</f>
        <v>0</v>
      </c>
      <c r="AD107" s="79"/>
      <c r="AE107" s="31" t="str">
        <f t="array" ref="AE107">XLOOKUP(B107, 'College List'!A:A, 'College List'!B:B)</f>
        <v>#N/A</v>
      </c>
      <c r="AF107" s="15">
        <v>9.0</v>
      </c>
    </row>
    <row r="108">
      <c r="A108" s="9">
        <f t="shared" si="1"/>
        <v>1</v>
      </c>
      <c r="C108" s="350"/>
      <c r="D108" s="93"/>
      <c r="E108" s="1"/>
      <c r="F108" s="1"/>
      <c r="G108" s="1"/>
      <c r="H108" s="341">
        <f>COUNTIF(Entropy!$D:$D,$B108)+COUNTIF(Matches!$B:$B,$B108)+COUNTIF(Matches!$C:$C,$B108)</f>
        <v>0</v>
      </c>
      <c r="I108" s="342">
        <f>COUNTIF(Matches!$B:$B,B108)</f>
        <v>0</v>
      </c>
      <c r="J108" s="79">
        <f t="shared" si="2"/>
        <v>0</v>
      </c>
      <c r="K108" s="1" t="str">
        <f t="shared" si="3"/>
        <v>0 - 0</v>
      </c>
      <c r="L108" s="343">
        <f>COUNTIF(Entropy!$D:$D,$B108)</f>
        <v>0</v>
      </c>
      <c r="M108" s="344">
        <f t="shared" si="4"/>
        <v>0</v>
      </c>
      <c r="N108" s="344">
        <f t="shared" si="5"/>
        <v>0</v>
      </c>
      <c r="O108" s="341">
        <f>IF($J108=11,0,IF(AND($H108 &gt;=VLOOKUP(Standings!$C$2,Quotas!$A$7:$E$14,4,FALSE), $H108&lt;=VLOOKUP(Standings!$C$2,Quotas!$A$7:$E$14,5,FALSE)), 0,VLOOKUP(Standings!$C$2,Quotas!$A$7:$E$14,4,FALSE)-$H108))</f>
        <v>30</v>
      </c>
      <c r="P108" s="341">
        <f>IF($J108=11,0,IF(AND($H108 &gt;=VLOOKUP(Standings!$C$2,Quotas!$A$7:$E$14,5,FALSE), $H108&lt;=VLOOKUP(Standings!$C$2,Quotas!$A$7:$E$14,5,FALSE)), 0,VLOOKUP(Standings!$C$2,Quotas!$A$7:$E$14,5,FALSE)-$H108))</f>
        <v>30</v>
      </c>
      <c r="Q108" s="79">
        <f t="shared" si="6"/>
        <v>11</v>
      </c>
      <c r="R108" s="345" t="str">
        <f t="shared" si="7"/>
        <v/>
      </c>
      <c r="S108" s="344">
        <f t="shared" si="8"/>
        <v>0.33</v>
      </c>
      <c r="T108" s="345" t="str">
        <f>IFERROR(__xludf.DUMMYFUNCTION("JOIN("","",IFERROR(FILTER(Matches!$B:$B,B108=Matches!$C:$C),""""),IFERROR(FILTER(Matches!$C:$C,B108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08" s="344">
        <f>IFERROR(__xludf.DUMMYFUNCTION("iferror(AVERAGE(ARRAYFORMULA(VLOOKUP(SPLIT(T108,"","",TRUE,TRUE),$R$2:$S654,2,FALSE))),0)"),0.0)</f>
        <v>0</v>
      </c>
      <c r="V108" s="346">
        <f>IFERROR(__xludf.DUMMYFUNCTION("RANK($I108, $I$2:$I654, FALSE) + RANK($M108, Filter($M$2:$M654, $I$2:$I654=$I108),FALSE)+RANK($U108, Filter($U$2:$U654, $I$2:$I654=$I108,$M$2:$M654=$M108),FALSE)-2"),1.0)</f>
        <v>1</v>
      </c>
      <c r="W108" s="347" t="str">
        <f t="shared" si="9"/>
        <v>Underplay</v>
      </c>
      <c r="X108" s="348" t="str">
        <f t="shared" si="10"/>
        <v/>
      </c>
      <c r="Y108" s="349">
        <f>MAXIFS(Matches!$A:$A,Matches!$C:$C,$B108)</f>
        <v>0</v>
      </c>
      <c r="Z108" s="349">
        <f t="array" ref="Z108">XLOOKUP(Y108,Quotas!$B$7:$B$10,Quotas!$A$7:$A$10,0,-1)</f>
        <v>0</v>
      </c>
      <c r="AB108" s="79"/>
      <c r="AC108" s="79">
        <f>COUNTIFS(Matches!$A:$A,"&gt;"&amp;Y108,Matches!$B:$B,$B108)</f>
        <v>0</v>
      </c>
      <c r="AD108" s="79"/>
      <c r="AE108" s="31" t="str">
        <f t="array" ref="AE108">XLOOKUP(B108, 'College List'!A:A, 'College List'!B:B)</f>
        <v>#N/A</v>
      </c>
      <c r="AF108" s="15">
        <v>9.0</v>
      </c>
    </row>
    <row r="109">
      <c r="A109" s="9">
        <f t="shared" si="1"/>
        <v>1</v>
      </c>
      <c r="C109" s="350"/>
      <c r="D109" s="93"/>
      <c r="E109" s="1"/>
      <c r="F109" s="1"/>
      <c r="G109" s="1"/>
      <c r="H109" s="341">
        <f>COUNTIF(Entropy!$D:$D,$B109)+COUNTIF(Matches!$B:$B,$B109)+COUNTIF(Matches!$C:$C,$B109)</f>
        <v>0</v>
      </c>
      <c r="I109" s="342">
        <f>COUNTIF(Matches!$B:$B,B109)</f>
        <v>0</v>
      </c>
      <c r="J109" s="79">
        <f t="shared" si="2"/>
        <v>0</v>
      </c>
      <c r="K109" s="1" t="str">
        <f t="shared" si="3"/>
        <v>0 - 0</v>
      </c>
      <c r="L109" s="343">
        <f>COUNTIF(Entropy!$D:$D,$B109)</f>
        <v>0</v>
      </c>
      <c r="M109" s="344">
        <f t="shared" si="4"/>
        <v>0</v>
      </c>
      <c r="N109" s="344">
        <f t="shared" si="5"/>
        <v>0</v>
      </c>
      <c r="O109" s="341">
        <f>IF($J109=11,0,IF(AND($H109 &gt;=VLOOKUP(Standings!$C$2,Quotas!$A$7:$E$14,4,FALSE), $H109&lt;=VLOOKUP(Standings!$C$2,Quotas!$A$7:$E$14,5,FALSE)), 0,VLOOKUP(Standings!$C$2,Quotas!$A$7:$E$14,4,FALSE)-$H109))</f>
        <v>30</v>
      </c>
      <c r="P109" s="341">
        <f>IF($J109=11,0,IF(AND($H109 &gt;=VLOOKUP(Standings!$C$2,Quotas!$A$7:$E$14,5,FALSE), $H109&lt;=VLOOKUP(Standings!$C$2,Quotas!$A$7:$E$14,5,FALSE)), 0,VLOOKUP(Standings!$C$2,Quotas!$A$7:$E$14,5,FALSE)-$H109))</f>
        <v>30</v>
      </c>
      <c r="Q109" s="79">
        <f t="shared" si="6"/>
        <v>11</v>
      </c>
      <c r="R109" s="345" t="str">
        <f t="shared" si="7"/>
        <v/>
      </c>
      <c r="S109" s="344">
        <f t="shared" si="8"/>
        <v>0.33</v>
      </c>
      <c r="T109" s="345" t="str">
        <f>IFERROR(__xludf.DUMMYFUNCTION("JOIN("","",IFERROR(FILTER(Matches!$B:$B,B109=Matches!$C:$C),""""),IFERROR(FILTER(Matches!$C:$C,B109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09" s="344">
        <f>IFERROR(__xludf.DUMMYFUNCTION("iferror(AVERAGE(ARRAYFORMULA(VLOOKUP(SPLIT(T109,"","",TRUE,TRUE),$R$2:$S654,2,FALSE))),0)"),0.0)</f>
        <v>0</v>
      </c>
      <c r="V109" s="346">
        <f>IFERROR(__xludf.DUMMYFUNCTION("RANK($I109, $I$2:$I654, FALSE) + RANK($M109, Filter($M$2:$M654, $I$2:$I654=$I109),FALSE)+RANK($U109, Filter($U$2:$U654, $I$2:$I654=$I109,$M$2:$M654=$M109),FALSE)-2"),1.0)</f>
        <v>1</v>
      </c>
      <c r="W109" s="347" t="str">
        <f t="shared" si="9"/>
        <v>Underplay</v>
      </c>
      <c r="X109" s="348" t="str">
        <f t="shared" si="10"/>
        <v/>
      </c>
      <c r="Y109" s="349">
        <f>MAXIFS(Matches!$A:$A,Matches!$C:$C,$B109)</f>
        <v>0</v>
      </c>
      <c r="Z109" s="349">
        <f t="array" ref="Z109">XLOOKUP(Y109,Quotas!$B$7:$B$10,Quotas!$A$7:$A$10,0,-1)</f>
        <v>0</v>
      </c>
      <c r="AB109" s="79"/>
      <c r="AC109" s="79">
        <f>COUNTIFS(Matches!$A:$A,"&gt;"&amp;Y109,Matches!$B:$B,$B109)</f>
        <v>0</v>
      </c>
      <c r="AD109" s="79"/>
      <c r="AE109" s="31" t="str">
        <f t="array" ref="AE109">XLOOKUP(B109, 'College List'!A:A, 'College List'!B:B)</f>
        <v>#N/A</v>
      </c>
      <c r="AF109" s="15">
        <v>9.0</v>
      </c>
    </row>
    <row r="110">
      <c r="A110" s="9">
        <f t="shared" si="1"/>
        <v>1</v>
      </c>
      <c r="C110" s="350"/>
      <c r="D110" s="93"/>
      <c r="E110" s="1"/>
      <c r="F110" s="1"/>
      <c r="G110" s="1"/>
      <c r="H110" s="341">
        <f>COUNTIF(Entropy!$D:$D,$B110)+COUNTIF(Matches!$B:$B,$B110)+COUNTIF(Matches!$C:$C,$B110)</f>
        <v>0</v>
      </c>
      <c r="I110" s="342">
        <f>COUNTIF(Matches!$B:$B,B110)</f>
        <v>0</v>
      </c>
      <c r="J110" s="79">
        <f t="shared" si="2"/>
        <v>0</v>
      </c>
      <c r="K110" s="1" t="str">
        <f t="shared" si="3"/>
        <v>0 - 0</v>
      </c>
      <c r="L110" s="343">
        <f>COUNTIF(Entropy!$D:$D,$B110)</f>
        <v>0</v>
      </c>
      <c r="M110" s="344">
        <f t="shared" si="4"/>
        <v>0</v>
      </c>
      <c r="N110" s="344">
        <f t="shared" si="5"/>
        <v>0</v>
      </c>
      <c r="O110" s="341">
        <f>IF($J110=11,0,IF(AND($H110 &gt;=VLOOKUP(Standings!$C$2,Quotas!$A$7:$E$14,4,FALSE), $H110&lt;=VLOOKUP(Standings!$C$2,Quotas!$A$7:$E$14,5,FALSE)), 0,VLOOKUP(Standings!$C$2,Quotas!$A$7:$E$14,4,FALSE)-$H110))</f>
        <v>30</v>
      </c>
      <c r="P110" s="341">
        <f>IF($J110=11,0,IF(AND($H110 &gt;=VLOOKUP(Standings!$C$2,Quotas!$A$7:$E$14,5,FALSE), $H110&lt;=VLOOKUP(Standings!$C$2,Quotas!$A$7:$E$14,5,FALSE)), 0,VLOOKUP(Standings!$C$2,Quotas!$A$7:$E$14,5,FALSE)-$H110))</f>
        <v>30</v>
      </c>
      <c r="Q110" s="79">
        <f t="shared" si="6"/>
        <v>11</v>
      </c>
      <c r="R110" s="345" t="str">
        <f t="shared" si="7"/>
        <v/>
      </c>
      <c r="S110" s="344">
        <f t="shared" si="8"/>
        <v>0.33</v>
      </c>
      <c r="T110" s="345" t="str">
        <f>IFERROR(__xludf.DUMMYFUNCTION("JOIN("","",IFERROR(FILTER(Matches!$B:$B,B110=Matches!$C:$C),""""),IFERROR(FILTER(Matches!$C:$C,B110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10" s="344">
        <f>IFERROR(__xludf.DUMMYFUNCTION("iferror(AVERAGE(ARRAYFORMULA(VLOOKUP(SPLIT(T110,"","",TRUE,TRUE),$R$2:$S654,2,FALSE))),0)"),0.0)</f>
        <v>0</v>
      </c>
      <c r="V110" s="346">
        <f>IFERROR(__xludf.DUMMYFUNCTION("RANK($I110, $I$2:$I654, FALSE) + RANK($M110, Filter($M$2:$M654, $I$2:$I654=$I110),FALSE)+RANK($U110, Filter($U$2:$U654, $I$2:$I654=$I110,$M$2:$M654=$M110),FALSE)-2"),1.0)</f>
        <v>1</v>
      </c>
      <c r="W110" s="347" t="str">
        <f t="shared" si="9"/>
        <v>Underplay</v>
      </c>
      <c r="X110" s="348" t="str">
        <f t="shared" si="10"/>
        <v/>
      </c>
      <c r="Y110" s="349">
        <f>MAXIFS(Matches!$A:$A,Matches!$C:$C,$B110)</f>
        <v>0</v>
      </c>
      <c r="Z110" s="349">
        <f t="array" ref="Z110">XLOOKUP(Y110,Quotas!$B$7:$B$10,Quotas!$A$7:$A$10,0,-1)</f>
        <v>0</v>
      </c>
      <c r="AB110" s="79"/>
      <c r="AC110" s="79">
        <f>COUNTIFS(Matches!$A:$A,"&gt;"&amp;Y110,Matches!$B:$B,$B110)</f>
        <v>0</v>
      </c>
      <c r="AD110" s="79"/>
      <c r="AE110" s="31" t="str">
        <f t="array" ref="AE110">XLOOKUP(B110, 'College List'!A:A, 'College List'!B:B)</f>
        <v>#N/A</v>
      </c>
      <c r="AF110" s="15">
        <v>9.0</v>
      </c>
    </row>
    <row r="111">
      <c r="A111" s="9">
        <f t="shared" si="1"/>
        <v>1</v>
      </c>
      <c r="C111" s="350"/>
      <c r="D111" s="93"/>
      <c r="E111" s="1"/>
      <c r="F111" s="1"/>
      <c r="G111" s="1"/>
      <c r="H111" s="341">
        <f>COUNTIF(Entropy!$D:$D,$B111)+COUNTIF(Matches!$B:$B,$B111)+COUNTIF(Matches!$C:$C,$B111)</f>
        <v>0</v>
      </c>
      <c r="I111" s="342">
        <f>COUNTIF(Matches!$B:$B,B111)</f>
        <v>0</v>
      </c>
      <c r="J111" s="79">
        <f t="shared" si="2"/>
        <v>0</v>
      </c>
      <c r="K111" s="1" t="str">
        <f t="shared" si="3"/>
        <v>0 - 0</v>
      </c>
      <c r="L111" s="343">
        <f>COUNTIF(Entropy!$D:$D,$B111)</f>
        <v>0</v>
      </c>
      <c r="M111" s="344">
        <f t="shared" si="4"/>
        <v>0</v>
      </c>
      <c r="N111" s="344">
        <f t="shared" si="5"/>
        <v>0</v>
      </c>
      <c r="O111" s="341">
        <f>IF($J111=11,0,IF(AND($H111 &gt;=VLOOKUP(Standings!$C$2,Quotas!$A$7:$E$14,4,FALSE), $H111&lt;=VLOOKUP(Standings!$C$2,Quotas!$A$7:$E$14,5,FALSE)), 0,VLOOKUP(Standings!$C$2,Quotas!$A$7:$E$14,4,FALSE)-$H111))</f>
        <v>30</v>
      </c>
      <c r="P111" s="341">
        <f>IF($J111=11,0,IF(AND($H111 &gt;=VLOOKUP(Standings!$C$2,Quotas!$A$7:$E$14,5,FALSE), $H111&lt;=VLOOKUP(Standings!$C$2,Quotas!$A$7:$E$14,5,FALSE)), 0,VLOOKUP(Standings!$C$2,Quotas!$A$7:$E$14,5,FALSE)-$H111))</f>
        <v>30</v>
      </c>
      <c r="Q111" s="79">
        <f t="shared" si="6"/>
        <v>11</v>
      </c>
      <c r="R111" s="345" t="str">
        <f t="shared" si="7"/>
        <v/>
      </c>
      <c r="S111" s="344">
        <f t="shared" si="8"/>
        <v>0.33</v>
      </c>
      <c r="T111" s="345" t="str">
        <f>IFERROR(__xludf.DUMMYFUNCTION("JOIN("","",IFERROR(FILTER(Matches!$B:$B,B111=Matches!$C:$C),""""),IFERROR(FILTER(Matches!$C:$C,B111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11" s="344">
        <f>IFERROR(__xludf.DUMMYFUNCTION("iferror(AVERAGE(ARRAYFORMULA(VLOOKUP(SPLIT(T111,"","",TRUE,TRUE),$R$2:$S654,2,FALSE))),0)"),0.0)</f>
        <v>0</v>
      </c>
      <c r="V111" s="346">
        <f>IFERROR(__xludf.DUMMYFUNCTION("RANK($I111, $I$2:$I654, FALSE) + RANK($M111, Filter($M$2:$M654, $I$2:$I654=$I111),FALSE)+RANK($U111, Filter($U$2:$U654, $I$2:$I654=$I111,$M$2:$M654=$M111),FALSE)-2"),1.0)</f>
        <v>1</v>
      </c>
      <c r="W111" s="347" t="str">
        <f t="shared" si="9"/>
        <v>Underplay</v>
      </c>
      <c r="X111" s="348" t="str">
        <f t="shared" si="10"/>
        <v/>
      </c>
      <c r="Y111" s="349">
        <f>MAXIFS(Matches!$A:$A,Matches!$C:$C,$B111)</f>
        <v>0</v>
      </c>
      <c r="Z111" s="349">
        <f t="array" ref="Z111">XLOOKUP(Y111,Quotas!$B$7:$B$10,Quotas!$A$7:$A$10,0,-1)</f>
        <v>0</v>
      </c>
      <c r="AB111" s="79"/>
      <c r="AC111" s="79">
        <f>COUNTIFS(Matches!$A:$A,"&gt;"&amp;Y111,Matches!$B:$B,$B111)</f>
        <v>0</v>
      </c>
      <c r="AD111" s="79"/>
      <c r="AE111" s="31" t="str">
        <f t="array" ref="AE111">XLOOKUP(B111, 'College List'!A:A, 'College List'!B:B)</f>
        <v>#N/A</v>
      </c>
      <c r="AF111" s="15">
        <v>10.0</v>
      </c>
    </row>
    <row r="112">
      <c r="A112" s="9">
        <f t="shared" si="1"/>
        <v>1</v>
      </c>
      <c r="C112" s="350"/>
      <c r="D112" s="93"/>
      <c r="E112" s="1"/>
      <c r="F112" s="1"/>
      <c r="G112" s="1"/>
      <c r="H112" s="341">
        <f>COUNTIF(Entropy!$D:$D,$B112)+COUNTIF(Matches!$B:$B,$B112)+COUNTIF(Matches!$C:$C,$B112)</f>
        <v>0</v>
      </c>
      <c r="I112" s="342">
        <f>COUNTIF(Matches!$B:$B,B112)</f>
        <v>0</v>
      </c>
      <c r="J112" s="79">
        <f t="shared" si="2"/>
        <v>0</v>
      </c>
      <c r="K112" s="1" t="str">
        <f t="shared" si="3"/>
        <v>0 - 0</v>
      </c>
      <c r="L112" s="343">
        <f>COUNTIF(Entropy!$D:$D,$B112)</f>
        <v>0</v>
      </c>
      <c r="M112" s="344">
        <f t="shared" si="4"/>
        <v>0</v>
      </c>
      <c r="N112" s="344">
        <f t="shared" si="5"/>
        <v>0</v>
      </c>
      <c r="O112" s="341">
        <f>IF($J112=11,0,IF(AND($H112 &gt;=VLOOKUP(Standings!$C$2,Quotas!$A$7:$E$14,4,FALSE), $H112&lt;=VLOOKUP(Standings!$C$2,Quotas!$A$7:$E$14,5,FALSE)), 0,VLOOKUP(Standings!$C$2,Quotas!$A$7:$E$14,4,FALSE)-$H112))</f>
        <v>30</v>
      </c>
      <c r="P112" s="341">
        <f>IF($J112=11,0,IF(AND($H112 &gt;=VLOOKUP(Standings!$C$2,Quotas!$A$7:$E$14,5,FALSE), $H112&lt;=VLOOKUP(Standings!$C$2,Quotas!$A$7:$E$14,5,FALSE)), 0,VLOOKUP(Standings!$C$2,Quotas!$A$7:$E$14,5,FALSE)-$H112))</f>
        <v>30</v>
      </c>
      <c r="Q112" s="79">
        <f t="shared" si="6"/>
        <v>11</v>
      </c>
      <c r="R112" s="345" t="str">
        <f t="shared" si="7"/>
        <v/>
      </c>
      <c r="S112" s="344">
        <f t="shared" si="8"/>
        <v>0.33</v>
      </c>
      <c r="T112" s="345" t="str">
        <f>IFERROR(__xludf.DUMMYFUNCTION("JOIN("","",IFERROR(FILTER(Matches!$B:$B,B112=Matches!$C:$C),""""),IFERROR(FILTER(Matches!$C:$C,B112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12" s="344">
        <f>IFERROR(__xludf.DUMMYFUNCTION("iferror(AVERAGE(ARRAYFORMULA(VLOOKUP(SPLIT(T112,"","",TRUE,TRUE),$R$2:$S654,2,FALSE))),0)"),0.0)</f>
        <v>0</v>
      </c>
      <c r="V112" s="346">
        <f>IFERROR(__xludf.DUMMYFUNCTION("RANK($I112, $I$2:$I654, FALSE) + RANK($M112, Filter($M$2:$M654, $I$2:$I654=$I112),FALSE)+RANK($U112, Filter($U$2:$U654, $I$2:$I654=$I112,$M$2:$M654=$M112),FALSE)-2"),1.0)</f>
        <v>1</v>
      </c>
      <c r="W112" s="347" t="str">
        <f t="shared" si="9"/>
        <v>Underplay</v>
      </c>
      <c r="X112" s="348" t="str">
        <f t="shared" si="10"/>
        <v/>
      </c>
      <c r="Y112" s="349">
        <f>MAXIFS(Matches!$A:$A,Matches!$C:$C,$B112)</f>
        <v>0</v>
      </c>
      <c r="Z112" s="349">
        <f t="array" ref="Z112">XLOOKUP(Y112,Quotas!$B$7:$B$10,Quotas!$A$7:$A$10,0,-1)</f>
        <v>0</v>
      </c>
      <c r="AB112" s="79"/>
      <c r="AC112" s="79">
        <f>COUNTIFS(Matches!$A:$A,"&gt;"&amp;Y112,Matches!$B:$B,$B112)</f>
        <v>0</v>
      </c>
      <c r="AD112" s="79"/>
      <c r="AE112" s="31" t="str">
        <f t="array" ref="AE112">XLOOKUP(B112, 'College List'!A:A, 'College List'!B:B)</f>
        <v>#N/A</v>
      </c>
      <c r="AF112" s="15">
        <v>9.0</v>
      </c>
    </row>
    <row r="113">
      <c r="A113" s="9">
        <f t="shared" si="1"/>
        <v>1</v>
      </c>
      <c r="C113" s="350"/>
      <c r="D113" s="93"/>
      <c r="E113" s="1"/>
      <c r="F113" s="1"/>
      <c r="G113" s="1"/>
      <c r="H113" s="341">
        <f>COUNTIF(Entropy!$D:$D,$B113)+COUNTIF(Matches!$B:$B,$B113)+COUNTIF(Matches!$C:$C,$B113)</f>
        <v>0</v>
      </c>
      <c r="I113" s="342">
        <f>COUNTIF(Matches!$B:$B,B113)</f>
        <v>0</v>
      </c>
      <c r="J113" s="79">
        <f t="shared" si="2"/>
        <v>0</v>
      </c>
      <c r="K113" s="1" t="str">
        <f t="shared" si="3"/>
        <v>0 - 0</v>
      </c>
      <c r="L113" s="343">
        <f>COUNTIF(Entropy!$D:$D,$B113)</f>
        <v>0</v>
      </c>
      <c r="M113" s="344">
        <f t="shared" si="4"/>
        <v>0</v>
      </c>
      <c r="N113" s="344">
        <f t="shared" si="5"/>
        <v>0</v>
      </c>
      <c r="O113" s="341">
        <f>IF($J113=11,0,IF(AND($H113 &gt;=VLOOKUP(Standings!$C$2,Quotas!$A$7:$E$14,4,FALSE), $H113&lt;=VLOOKUP(Standings!$C$2,Quotas!$A$7:$E$14,5,FALSE)), 0,VLOOKUP(Standings!$C$2,Quotas!$A$7:$E$14,4,FALSE)-$H113))</f>
        <v>30</v>
      </c>
      <c r="P113" s="341">
        <f>IF($J113=11,0,IF(AND($H113 &gt;=VLOOKUP(Standings!$C$2,Quotas!$A$7:$E$14,5,FALSE), $H113&lt;=VLOOKUP(Standings!$C$2,Quotas!$A$7:$E$14,5,FALSE)), 0,VLOOKUP(Standings!$C$2,Quotas!$A$7:$E$14,5,FALSE)-$H113))</f>
        <v>30</v>
      </c>
      <c r="Q113" s="79">
        <f t="shared" si="6"/>
        <v>11</v>
      </c>
      <c r="R113" s="345" t="str">
        <f t="shared" si="7"/>
        <v/>
      </c>
      <c r="S113" s="344">
        <f t="shared" si="8"/>
        <v>0.33</v>
      </c>
      <c r="T113" s="345" t="str">
        <f>IFERROR(__xludf.DUMMYFUNCTION("JOIN("","",IFERROR(FILTER(Matches!$B:$B,B113=Matches!$C:$C),""""),IFERROR(FILTER(Matches!$C:$C,B113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13" s="344">
        <f>IFERROR(__xludf.DUMMYFUNCTION("iferror(AVERAGE(ARRAYFORMULA(VLOOKUP(SPLIT(T113,"","",TRUE,TRUE),$R$2:$S654,2,FALSE))),0)"),0.0)</f>
        <v>0</v>
      </c>
      <c r="V113" s="346">
        <f>IFERROR(__xludf.DUMMYFUNCTION("RANK($I113, $I$2:$I654, FALSE) + RANK($M113, Filter($M$2:$M654, $I$2:$I654=$I113),FALSE)+RANK($U113, Filter($U$2:$U654, $I$2:$I654=$I113,$M$2:$M654=$M113),FALSE)-2"),1.0)</f>
        <v>1</v>
      </c>
      <c r="W113" s="347" t="str">
        <f t="shared" si="9"/>
        <v>Underplay</v>
      </c>
      <c r="X113" s="348" t="str">
        <f t="shared" si="10"/>
        <v/>
      </c>
      <c r="Y113" s="349">
        <f>MAXIFS(Matches!$A:$A,Matches!$C:$C,$B113)</f>
        <v>0</v>
      </c>
      <c r="Z113" s="349">
        <f t="array" ref="Z113">XLOOKUP(Y113,Quotas!$B$7:$B$10,Quotas!$A$7:$A$10,0,-1)</f>
        <v>0</v>
      </c>
      <c r="AB113" s="79"/>
      <c r="AC113" s="79">
        <f>COUNTIFS(Matches!$A:$A,"&gt;"&amp;Y113,Matches!$B:$B,$B113)</f>
        <v>0</v>
      </c>
      <c r="AD113" s="79"/>
      <c r="AE113" s="31" t="str">
        <f t="array" ref="AE113">XLOOKUP(B113, 'College List'!A:A, 'College List'!B:B)</f>
        <v>#N/A</v>
      </c>
      <c r="AF113" s="15">
        <v>7.0</v>
      </c>
    </row>
    <row r="114">
      <c r="A114" s="9">
        <f t="shared" si="1"/>
        <v>1</v>
      </c>
      <c r="C114" s="350"/>
      <c r="D114" s="93"/>
      <c r="E114" s="1"/>
      <c r="F114" s="1"/>
      <c r="G114" s="1"/>
      <c r="H114" s="341">
        <f>COUNTIF(Entropy!$D:$D,$B114)+COUNTIF(Matches!$B:$B,$B114)+COUNTIF(Matches!$C:$C,$B114)</f>
        <v>0</v>
      </c>
      <c r="I114" s="342">
        <f>COUNTIF(Matches!$B:$B,B114)</f>
        <v>0</v>
      </c>
      <c r="J114" s="79">
        <f t="shared" si="2"/>
        <v>0</v>
      </c>
      <c r="K114" s="1" t="str">
        <f t="shared" si="3"/>
        <v>0 - 0</v>
      </c>
      <c r="L114" s="343">
        <f>COUNTIF(Entropy!$D:$D,$B114)</f>
        <v>0</v>
      </c>
      <c r="M114" s="344">
        <f t="shared" si="4"/>
        <v>0</v>
      </c>
      <c r="N114" s="344">
        <f t="shared" si="5"/>
        <v>0</v>
      </c>
      <c r="O114" s="341">
        <f>IF($J114=11,0,IF(AND($H114 &gt;=VLOOKUP(Standings!$C$2,Quotas!$A$7:$E$14,4,FALSE), $H114&lt;=VLOOKUP(Standings!$C$2,Quotas!$A$7:$E$14,5,FALSE)), 0,VLOOKUP(Standings!$C$2,Quotas!$A$7:$E$14,4,FALSE)-$H114))</f>
        <v>30</v>
      </c>
      <c r="P114" s="341">
        <f>IF($J114=11,0,IF(AND($H114 &gt;=VLOOKUP(Standings!$C$2,Quotas!$A$7:$E$14,5,FALSE), $H114&lt;=VLOOKUP(Standings!$C$2,Quotas!$A$7:$E$14,5,FALSE)), 0,VLOOKUP(Standings!$C$2,Quotas!$A$7:$E$14,5,FALSE)-$H114))</f>
        <v>30</v>
      </c>
      <c r="Q114" s="79">
        <f t="shared" si="6"/>
        <v>11</v>
      </c>
      <c r="R114" s="345" t="str">
        <f t="shared" si="7"/>
        <v/>
      </c>
      <c r="S114" s="344">
        <f t="shared" si="8"/>
        <v>0.33</v>
      </c>
      <c r="T114" s="345" t="str">
        <f>IFERROR(__xludf.DUMMYFUNCTION("JOIN("","",IFERROR(FILTER(Matches!$B:$B,B114=Matches!$C:$C),""""),IFERROR(FILTER(Matches!$C:$C,B114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14" s="344">
        <f>IFERROR(__xludf.DUMMYFUNCTION("iferror(AVERAGE(ARRAYFORMULA(VLOOKUP(SPLIT(T114,"","",TRUE,TRUE),$R$2:$S654,2,FALSE))),0)"),0.0)</f>
        <v>0</v>
      </c>
      <c r="V114" s="346">
        <f>IFERROR(__xludf.DUMMYFUNCTION("RANK($I114, $I$2:$I654, FALSE) + RANK($M114, Filter($M$2:$M654, $I$2:$I654=$I114),FALSE)+RANK($U114, Filter($U$2:$U654, $I$2:$I654=$I114,$M$2:$M654=$M114),FALSE)-2"),1.0)</f>
        <v>1</v>
      </c>
      <c r="W114" s="347" t="str">
        <f t="shared" si="9"/>
        <v>Underplay</v>
      </c>
      <c r="X114" s="348" t="str">
        <f t="shared" si="10"/>
        <v/>
      </c>
      <c r="Y114" s="349">
        <f>MAXIFS(Matches!$A:$A,Matches!$C:$C,$B114)</f>
        <v>0</v>
      </c>
      <c r="Z114" s="349">
        <f t="array" ref="Z114">XLOOKUP(Y114,Quotas!$B$7:$B$10,Quotas!$A$7:$A$10,0,-1)</f>
        <v>0</v>
      </c>
      <c r="AB114" s="79"/>
      <c r="AC114" s="79">
        <f>COUNTIFS(Matches!$A:$A,"&gt;"&amp;Y114,Matches!$B:$B,$B114)</f>
        <v>0</v>
      </c>
      <c r="AD114" s="79"/>
      <c r="AE114" s="31" t="str">
        <f t="array" ref="AE114">XLOOKUP(B114, 'College List'!A:A, 'College List'!B:B)</f>
        <v>#N/A</v>
      </c>
      <c r="AF114" s="15">
        <v>9.0</v>
      </c>
    </row>
    <row r="115">
      <c r="A115" s="9">
        <f t="shared" si="1"/>
        <v>1</v>
      </c>
      <c r="C115" s="350"/>
      <c r="D115" s="93"/>
      <c r="E115" s="1"/>
      <c r="F115" s="1"/>
      <c r="G115" s="1"/>
      <c r="H115" s="341">
        <f>COUNTIF(Entropy!$D:$D,$B115)+COUNTIF(Matches!$B:$B,$B115)+COUNTIF(Matches!$C:$C,$B115)</f>
        <v>0</v>
      </c>
      <c r="I115" s="342">
        <f>COUNTIF(Matches!$B:$B,B115)</f>
        <v>0</v>
      </c>
      <c r="J115" s="79">
        <f t="shared" si="2"/>
        <v>0</v>
      </c>
      <c r="K115" s="1" t="str">
        <f t="shared" si="3"/>
        <v>0 - 0</v>
      </c>
      <c r="L115" s="343">
        <f>COUNTIF(Entropy!$D:$D,$B115)</f>
        <v>0</v>
      </c>
      <c r="M115" s="344">
        <f t="shared" si="4"/>
        <v>0</v>
      </c>
      <c r="N115" s="344">
        <f t="shared" si="5"/>
        <v>0</v>
      </c>
      <c r="O115" s="341">
        <f>IF($J115=11,0,IF(AND($H115 &gt;=VLOOKUP(Standings!$C$2,Quotas!$A$7:$E$14,4,FALSE), $H115&lt;=VLOOKUP(Standings!$C$2,Quotas!$A$7:$E$14,5,FALSE)), 0,VLOOKUP(Standings!$C$2,Quotas!$A$7:$E$14,4,FALSE)-$H115))</f>
        <v>30</v>
      </c>
      <c r="P115" s="341">
        <f>IF($J115=11,0,IF(AND($H115 &gt;=VLOOKUP(Standings!$C$2,Quotas!$A$7:$E$14,5,FALSE), $H115&lt;=VLOOKUP(Standings!$C$2,Quotas!$A$7:$E$14,5,FALSE)), 0,VLOOKUP(Standings!$C$2,Quotas!$A$7:$E$14,5,FALSE)-$H115))</f>
        <v>30</v>
      </c>
      <c r="Q115" s="79">
        <f t="shared" si="6"/>
        <v>11</v>
      </c>
      <c r="R115" s="345" t="str">
        <f t="shared" si="7"/>
        <v/>
      </c>
      <c r="S115" s="344">
        <f t="shared" si="8"/>
        <v>0.33</v>
      </c>
      <c r="T115" s="345" t="str">
        <f>IFERROR(__xludf.DUMMYFUNCTION("JOIN("","",IFERROR(FILTER(Matches!$B:$B,B115=Matches!$C:$C),""""),IFERROR(FILTER(Matches!$C:$C,B115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15" s="344">
        <f>IFERROR(__xludf.DUMMYFUNCTION("iferror(AVERAGE(ARRAYFORMULA(VLOOKUP(SPLIT(T115,"","",TRUE,TRUE),$R$2:$S654,2,FALSE))),0)"),0.0)</f>
        <v>0</v>
      </c>
      <c r="V115" s="346">
        <f>IFERROR(__xludf.DUMMYFUNCTION("RANK($I115, $I$2:$I654, FALSE) + RANK($M115, Filter($M$2:$M654, $I$2:$I654=$I115),FALSE)+RANK($U115, Filter($U$2:$U654, $I$2:$I654=$I115,$M$2:$M654=$M115),FALSE)-2"),1.0)</f>
        <v>1</v>
      </c>
      <c r="W115" s="347" t="str">
        <f t="shared" si="9"/>
        <v>Underplay</v>
      </c>
      <c r="X115" s="348" t="str">
        <f t="shared" si="10"/>
        <v/>
      </c>
      <c r="Y115" s="349">
        <f>MAXIFS(Matches!$A:$A,Matches!$C:$C,$B115)</f>
        <v>0</v>
      </c>
      <c r="Z115" s="349">
        <f t="array" ref="Z115">XLOOKUP(Y115,Quotas!$B$7:$B$10,Quotas!$A$7:$A$10,0,-1)</f>
        <v>0</v>
      </c>
      <c r="AB115" s="79"/>
      <c r="AC115" s="79">
        <f>COUNTIFS(Matches!$A:$A,"&gt;"&amp;Y115,Matches!$B:$B,$B115)</f>
        <v>0</v>
      </c>
      <c r="AD115" s="79"/>
      <c r="AE115" s="31" t="str">
        <f t="array" ref="AE115">XLOOKUP(B115, 'College List'!A:A, 'College List'!B:B)</f>
        <v>#N/A</v>
      </c>
      <c r="AF115" s="15">
        <v>8.0</v>
      </c>
    </row>
    <row r="116">
      <c r="A116" s="9">
        <f t="shared" si="1"/>
        <v>1</v>
      </c>
      <c r="C116" s="350"/>
      <c r="D116" s="93"/>
      <c r="E116" s="1"/>
      <c r="F116" s="1"/>
      <c r="G116" s="1"/>
      <c r="H116" s="341">
        <f>COUNTIF(Entropy!$D:$D,$B116)+COUNTIF(Matches!$B:$B,$B116)+COUNTIF(Matches!$C:$C,$B116)</f>
        <v>0</v>
      </c>
      <c r="I116" s="342">
        <f>COUNTIF(Matches!$B:$B,B116)</f>
        <v>0</v>
      </c>
      <c r="J116" s="79">
        <f t="shared" si="2"/>
        <v>0</v>
      </c>
      <c r="K116" s="1" t="str">
        <f t="shared" si="3"/>
        <v>0 - 0</v>
      </c>
      <c r="L116" s="343">
        <f>COUNTIF(Entropy!$D:$D,$B116)</f>
        <v>0</v>
      </c>
      <c r="M116" s="344">
        <f t="shared" si="4"/>
        <v>0</v>
      </c>
      <c r="N116" s="344">
        <f t="shared" si="5"/>
        <v>0</v>
      </c>
      <c r="O116" s="341">
        <f>IF($J116=11,0,IF(AND($H116 &gt;=VLOOKUP(Standings!$C$2,Quotas!$A$7:$E$14,4,FALSE), $H116&lt;=VLOOKUP(Standings!$C$2,Quotas!$A$7:$E$14,5,FALSE)), 0,VLOOKUP(Standings!$C$2,Quotas!$A$7:$E$14,4,FALSE)-$H116))</f>
        <v>30</v>
      </c>
      <c r="P116" s="341">
        <f>IF($J116=11,0,IF(AND($H116 &gt;=VLOOKUP(Standings!$C$2,Quotas!$A$7:$E$14,5,FALSE), $H116&lt;=VLOOKUP(Standings!$C$2,Quotas!$A$7:$E$14,5,FALSE)), 0,VLOOKUP(Standings!$C$2,Quotas!$A$7:$E$14,5,FALSE)-$H116))</f>
        <v>30</v>
      </c>
      <c r="Q116" s="79">
        <f t="shared" si="6"/>
        <v>11</v>
      </c>
      <c r="R116" s="345" t="str">
        <f t="shared" si="7"/>
        <v/>
      </c>
      <c r="S116" s="344">
        <f t="shared" si="8"/>
        <v>0.33</v>
      </c>
      <c r="T116" s="345" t="str">
        <f>IFERROR(__xludf.DUMMYFUNCTION("JOIN("","",IFERROR(FILTER(Matches!$B:$B,B116=Matches!$C:$C),""""),IFERROR(FILTER(Matches!$C:$C,B116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16" s="344">
        <f>IFERROR(__xludf.DUMMYFUNCTION("iferror(AVERAGE(ARRAYFORMULA(VLOOKUP(SPLIT(T116,"","",TRUE,TRUE),$R$2:$S654,2,FALSE))),0)"),0.0)</f>
        <v>0</v>
      </c>
      <c r="V116" s="346">
        <f>IFERROR(__xludf.DUMMYFUNCTION("RANK($I116, $I$2:$I654, FALSE) + RANK($M116, Filter($M$2:$M654, $I$2:$I654=$I116),FALSE)+RANK($U116, Filter($U$2:$U654, $I$2:$I654=$I116,$M$2:$M654=$M116),FALSE)-2"),1.0)</f>
        <v>1</v>
      </c>
      <c r="W116" s="347" t="str">
        <f t="shared" si="9"/>
        <v>Underplay</v>
      </c>
      <c r="X116" s="348" t="str">
        <f t="shared" si="10"/>
        <v/>
      </c>
      <c r="Y116" s="349">
        <f>MAXIFS(Matches!$A:$A,Matches!$C:$C,$B116)</f>
        <v>0</v>
      </c>
      <c r="Z116" s="349">
        <f t="array" ref="Z116">XLOOKUP(Y116,Quotas!$B$7:$B$10,Quotas!$A$7:$A$10,0,-1)</f>
        <v>0</v>
      </c>
      <c r="AB116" s="79"/>
      <c r="AC116" s="79">
        <f>COUNTIFS(Matches!$A:$A,"&gt;"&amp;Y116,Matches!$B:$B,$B116)</f>
        <v>0</v>
      </c>
      <c r="AD116" s="79"/>
      <c r="AE116" s="31" t="str">
        <f t="array" ref="AE116">XLOOKUP(B116, 'College List'!A:A, 'College List'!B:B)</f>
        <v>#N/A</v>
      </c>
      <c r="AF116" s="15">
        <v>7.0</v>
      </c>
    </row>
    <row r="117">
      <c r="A117" s="9">
        <f t="shared" si="1"/>
        <v>1</v>
      </c>
      <c r="C117" s="350"/>
      <c r="D117" s="93"/>
      <c r="E117" s="1"/>
      <c r="F117" s="1"/>
      <c r="G117" s="1"/>
      <c r="H117" s="341">
        <f>COUNTIF(Entropy!$D:$D,$B117)+COUNTIF(Matches!$B:$B,$B117)+COUNTIF(Matches!$C:$C,$B117)</f>
        <v>0</v>
      </c>
      <c r="I117" s="342">
        <f>COUNTIF(Matches!$B:$B,B117)</f>
        <v>0</v>
      </c>
      <c r="J117" s="79">
        <f t="shared" si="2"/>
        <v>0</v>
      </c>
      <c r="K117" s="1" t="str">
        <f t="shared" si="3"/>
        <v>0 - 0</v>
      </c>
      <c r="L117" s="343">
        <f>COUNTIF(Entropy!$D:$D,$B117)</f>
        <v>0</v>
      </c>
      <c r="M117" s="344">
        <f t="shared" si="4"/>
        <v>0</v>
      </c>
      <c r="N117" s="344">
        <f t="shared" si="5"/>
        <v>0</v>
      </c>
      <c r="O117" s="341">
        <f>IF($J117=11,0,IF(AND($H117 &gt;=VLOOKUP(Standings!$C$2,Quotas!$A$7:$E$14,4,FALSE), $H117&lt;=VLOOKUP(Standings!$C$2,Quotas!$A$7:$E$14,5,FALSE)), 0,VLOOKUP(Standings!$C$2,Quotas!$A$7:$E$14,4,FALSE)-$H117))</f>
        <v>30</v>
      </c>
      <c r="P117" s="341">
        <f>IF($J117=11,0,IF(AND($H117 &gt;=VLOOKUP(Standings!$C$2,Quotas!$A$7:$E$14,5,FALSE), $H117&lt;=VLOOKUP(Standings!$C$2,Quotas!$A$7:$E$14,5,FALSE)), 0,VLOOKUP(Standings!$C$2,Quotas!$A$7:$E$14,5,FALSE)-$H117))</f>
        <v>30</v>
      </c>
      <c r="Q117" s="79">
        <f t="shared" si="6"/>
        <v>11</v>
      </c>
      <c r="R117" s="345" t="str">
        <f t="shared" si="7"/>
        <v/>
      </c>
      <c r="S117" s="344">
        <f t="shared" si="8"/>
        <v>0.33</v>
      </c>
      <c r="T117" s="345" t="str">
        <f>IFERROR(__xludf.DUMMYFUNCTION("JOIN("","",IFERROR(FILTER(Matches!$B:$B,B117=Matches!$C:$C),""""),IFERROR(FILTER(Matches!$C:$C,B117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17" s="344">
        <f>IFERROR(__xludf.DUMMYFUNCTION("iferror(AVERAGE(ARRAYFORMULA(VLOOKUP(SPLIT(T117,"","",TRUE,TRUE),$R$2:$S654,2,FALSE))),0)"),0.0)</f>
        <v>0</v>
      </c>
      <c r="V117" s="346">
        <f>IFERROR(__xludf.DUMMYFUNCTION("RANK($I117, $I$2:$I654, FALSE) + RANK($M117, Filter($M$2:$M654, $I$2:$I654=$I117),FALSE)+RANK($U117, Filter($U$2:$U654, $I$2:$I654=$I117,$M$2:$M654=$M117),FALSE)-2"),1.0)</f>
        <v>1</v>
      </c>
      <c r="W117" s="347" t="str">
        <f t="shared" si="9"/>
        <v>Underplay</v>
      </c>
      <c r="X117" s="348" t="str">
        <f t="shared" si="10"/>
        <v/>
      </c>
      <c r="Y117" s="349">
        <f>MAXIFS(Matches!$A:$A,Matches!$C:$C,$B117)</f>
        <v>0</v>
      </c>
      <c r="Z117" s="349">
        <f t="array" ref="Z117">XLOOKUP(Y117,Quotas!$B$7:$B$10,Quotas!$A$7:$A$10,0,-1)</f>
        <v>0</v>
      </c>
      <c r="AB117" s="79"/>
      <c r="AC117" s="79">
        <f>COUNTIFS(Matches!$A:$A,"&gt;"&amp;Y117,Matches!$B:$B,$B117)</f>
        <v>0</v>
      </c>
      <c r="AD117" s="79"/>
      <c r="AE117" s="31" t="str">
        <f t="array" ref="AE117">XLOOKUP(B117, 'College List'!A:A, 'College List'!B:B)</f>
        <v>#N/A</v>
      </c>
      <c r="AF117" s="15">
        <v>5.0</v>
      </c>
    </row>
    <row r="118">
      <c r="A118" s="9">
        <f t="shared" si="1"/>
        <v>1</v>
      </c>
      <c r="C118" s="350"/>
      <c r="D118" s="93"/>
      <c r="E118" s="1"/>
      <c r="F118" s="1"/>
      <c r="G118" s="1"/>
      <c r="H118" s="341">
        <f>COUNTIF(Entropy!$D:$D,$B118)+COUNTIF(Matches!$B:$B,$B118)+COUNTIF(Matches!$C:$C,$B118)</f>
        <v>0</v>
      </c>
      <c r="I118" s="342">
        <f>COUNTIF(Matches!$B:$B,B118)</f>
        <v>0</v>
      </c>
      <c r="J118" s="79">
        <f t="shared" si="2"/>
        <v>0</v>
      </c>
      <c r="K118" s="1" t="str">
        <f t="shared" si="3"/>
        <v>0 - 0</v>
      </c>
      <c r="L118" s="343">
        <f>COUNTIF(Entropy!$D:$D,$B118)</f>
        <v>0</v>
      </c>
      <c r="M118" s="344">
        <f t="shared" si="4"/>
        <v>0</v>
      </c>
      <c r="N118" s="344">
        <f t="shared" si="5"/>
        <v>0</v>
      </c>
      <c r="O118" s="341">
        <f>IF($J118=11,0,IF(AND($H118 &gt;=VLOOKUP(Standings!$C$2,Quotas!$A$7:$E$14,4,FALSE), $H118&lt;=VLOOKUP(Standings!$C$2,Quotas!$A$7:$E$14,5,FALSE)), 0,VLOOKUP(Standings!$C$2,Quotas!$A$7:$E$14,4,FALSE)-$H118))</f>
        <v>30</v>
      </c>
      <c r="P118" s="341">
        <f>IF($J118=11,0,IF(AND($H118 &gt;=VLOOKUP(Standings!$C$2,Quotas!$A$7:$E$14,5,FALSE), $H118&lt;=VLOOKUP(Standings!$C$2,Quotas!$A$7:$E$14,5,FALSE)), 0,VLOOKUP(Standings!$C$2,Quotas!$A$7:$E$14,5,FALSE)-$H118))</f>
        <v>30</v>
      </c>
      <c r="Q118" s="79">
        <f t="shared" si="6"/>
        <v>11</v>
      </c>
      <c r="R118" s="345" t="str">
        <f t="shared" si="7"/>
        <v/>
      </c>
      <c r="S118" s="344">
        <f t="shared" si="8"/>
        <v>0.33</v>
      </c>
      <c r="T118" s="345" t="str">
        <f>IFERROR(__xludf.DUMMYFUNCTION("JOIN("","",IFERROR(FILTER(Matches!$B:$B,B118=Matches!$C:$C),""""),IFERROR(FILTER(Matches!$C:$C,B118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18" s="344">
        <f>IFERROR(__xludf.DUMMYFUNCTION("iferror(AVERAGE(ARRAYFORMULA(VLOOKUP(SPLIT(T118,"","",TRUE,TRUE),$R$2:$S654,2,FALSE))),0)"),0.0)</f>
        <v>0</v>
      </c>
      <c r="V118" s="346">
        <f>IFERROR(__xludf.DUMMYFUNCTION("RANK($I118, $I$2:$I654, FALSE) + RANK($M118, Filter($M$2:$M654, $I$2:$I654=$I118),FALSE)+RANK($U118, Filter($U$2:$U654, $I$2:$I654=$I118,$M$2:$M654=$M118),FALSE)-2"),1.0)</f>
        <v>1</v>
      </c>
      <c r="W118" s="347" t="str">
        <f t="shared" si="9"/>
        <v>Underplay</v>
      </c>
      <c r="X118" s="348" t="str">
        <f t="shared" si="10"/>
        <v/>
      </c>
      <c r="Y118" s="349">
        <f>MAXIFS(Matches!$A:$A,Matches!$C:$C,$B118)</f>
        <v>0</v>
      </c>
      <c r="Z118" s="349">
        <f t="array" ref="Z118">XLOOKUP(Y118,Quotas!$B$7:$B$10,Quotas!$A$7:$A$10,0,-1)</f>
        <v>0</v>
      </c>
      <c r="AB118" s="79"/>
      <c r="AC118" s="79">
        <f>COUNTIFS(Matches!$A:$A,"&gt;"&amp;Y118,Matches!$B:$B,$B118)</f>
        <v>0</v>
      </c>
      <c r="AD118" s="79"/>
      <c r="AE118" s="31" t="str">
        <f t="array" ref="AE118">XLOOKUP(B118, 'College List'!A:A, 'College List'!B:B)</f>
        <v>#N/A</v>
      </c>
      <c r="AF118" s="15">
        <v>9.0</v>
      </c>
    </row>
    <row r="119">
      <c r="A119" s="9">
        <f t="shared" si="1"/>
        <v>1</v>
      </c>
      <c r="C119" s="350"/>
      <c r="D119" s="93"/>
      <c r="E119" s="1"/>
      <c r="F119" s="1"/>
      <c r="G119" s="1"/>
      <c r="H119" s="341">
        <f>COUNTIF(Entropy!$D:$D,$B119)+COUNTIF(Matches!$B:$B,$B119)+COUNTIF(Matches!$C:$C,$B119)</f>
        <v>0</v>
      </c>
      <c r="I119" s="342">
        <f>COUNTIF(Matches!$B:$B,B119)</f>
        <v>0</v>
      </c>
      <c r="J119" s="79">
        <f t="shared" si="2"/>
        <v>0</v>
      </c>
      <c r="K119" s="1" t="str">
        <f t="shared" si="3"/>
        <v>0 - 0</v>
      </c>
      <c r="L119" s="343">
        <f>COUNTIF(Entropy!$D:$D,$B119)</f>
        <v>0</v>
      </c>
      <c r="M119" s="344">
        <f t="shared" si="4"/>
        <v>0</v>
      </c>
      <c r="N119" s="344">
        <f t="shared" si="5"/>
        <v>0</v>
      </c>
      <c r="O119" s="341">
        <f>IF($J119=11,0,IF(AND($H119 &gt;=VLOOKUP(Standings!$C$2,Quotas!$A$7:$E$14,4,FALSE), $H119&lt;=VLOOKUP(Standings!$C$2,Quotas!$A$7:$E$14,5,FALSE)), 0,VLOOKUP(Standings!$C$2,Quotas!$A$7:$E$14,4,FALSE)-$H119))</f>
        <v>30</v>
      </c>
      <c r="P119" s="341">
        <f>IF($J119=11,0,IF(AND($H119 &gt;=VLOOKUP(Standings!$C$2,Quotas!$A$7:$E$14,5,FALSE), $H119&lt;=VLOOKUP(Standings!$C$2,Quotas!$A$7:$E$14,5,FALSE)), 0,VLOOKUP(Standings!$C$2,Quotas!$A$7:$E$14,5,FALSE)-$H119))</f>
        <v>30</v>
      </c>
      <c r="Q119" s="79">
        <f t="shared" si="6"/>
        <v>11</v>
      </c>
      <c r="R119" s="345" t="str">
        <f t="shared" si="7"/>
        <v/>
      </c>
      <c r="S119" s="344">
        <f t="shared" si="8"/>
        <v>0.33</v>
      </c>
      <c r="T119" s="345" t="str">
        <f>IFERROR(__xludf.DUMMYFUNCTION("JOIN("","",IFERROR(FILTER(Matches!$B:$B,B119=Matches!$C:$C),""""),IFERROR(FILTER(Matches!$C:$C,B119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19" s="344">
        <f>IFERROR(__xludf.DUMMYFUNCTION("iferror(AVERAGE(ARRAYFORMULA(VLOOKUP(SPLIT(T119,"","",TRUE,TRUE),$R$2:$S654,2,FALSE))),0)"),0.0)</f>
        <v>0</v>
      </c>
      <c r="V119" s="346">
        <f>IFERROR(__xludf.DUMMYFUNCTION("RANK($I119, $I$2:$I654, FALSE) + RANK($M119, Filter($M$2:$M654, $I$2:$I654=$I119),FALSE)+RANK($U119, Filter($U$2:$U654, $I$2:$I654=$I119,$M$2:$M654=$M119),FALSE)-2"),1.0)</f>
        <v>1</v>
      </c>
      <c r="W119" s="347" t="str">
        <f t="shared" si="9"/>
        <v>Underplay</v>
      </c>
      <c r="X119" s="348" t="str">
        <f t="shared" si="10"/>
        <v/>
      </c>
      <c r="Y119" s="349">
        <f>MAXIFS(Matches!$A:$A,Matches!$C:$C,$B119)</f>
        <v>0</v>
      </c>
      <c r="Z119" s="349">
        <f t="array" ref="Z119">XLOOKUP(Y119,Quotas!$B$7:$B$10,Quotas!$A$7:$A$10,0,-1)</f>
        <v>0</v>
      </c>
      <c r="AB119" s="79"/>
      <c r="AC119" s="79">
        <f>COUNTIFS(Matches!$A:$A,"&gt;"&amp;Y119,Matches!$B:$B,$B119)</f>
        <v>0</v>
      </c>
      <c r="AD119" s="79"/>
      <c r="AE119" s="31" t="str">
        <f t="array" ref="AE119">XLOOKUP(B119, 'College List'!A:A, 'College List'!B:B)</f>
        <v>#N/A</v>
      </c>
      <c r="AF119" s="15">
        <v>7.0</v>
      </c>
    </row>
    <row r="120">
      <c r="A120" s="9">
        <f t="shared" si="1"/>
        <v>1</v>
      </c>
      <c r="C120" s="350"/>
      <c r="D120" s="93"/>
      <c r="E120" s="1"/>
      <c r="F120" s="1"/>
      <c r="G120" s="1"/>
      <c r="H120" s="341">
        <f>COUNTIF(Entropy!$D:$D,$B120)+COUNTIF(Matches!$B:$B,$B120)+COUNTIF(Matches!$C:$C,$B120)</f>
        <v>0</v>
      </c>
      <c r="I120" s="342">
        <f>COUNTIF(Matches!$B:$B,B120)</f>
        <v>0</v>
      </c>
      <c r="J120" s="79">
        <f t="shared" si="2"/>
        <v>0</v>
      </c>
      <c r="K120" s="1" t="str">
        <f t="shared" si="3"/>
        <v>0 - 0</v>
      </c>
      <c r="L120" s="343">
        <f>COUNTIF(Entropy!$D:$D,$B120)</f>
        <v>0</v>
      </c>
      <c r="M120" s="344">
        <f t="shared" si="4"/>
        <v>0</v>
      </c>
      <c r="N120" s="344">
        <f t="shared" si="5"/>
        <v>0</v>
      </c>
      <c r="O120" s="341">
        <f>IF($J120=11,0,IF(AND($H120 &gt;=VLOOKUP(Standings!$C$2,Quotas!$A$7:$E$14,4,FALSE), $H120&lt;=VLOOKUP(Standings!$C$2,Quotas!$A$7:$E$14,5,FALSE)), 0,VLOOKUP(Standings!$C$2,Quotas!$A$7:$E$14,4,FALSE)-$H120))</f>
        <v>30</v>
      </c>
      <c r="P120" s="341">
        <f>IF($J120=11,0,IF(AND($H120 &gt;=VLOOKUP(Standings!$C$2,Quotas!$A$7:$E$14,5,FALSE), $H120&lt;=VLOOKUP(Standings!$C$2,Quotas!$A$7:$E$14,5,FALSE)), 0,VLOOKUP(Standings!$C$2,Quotas!$A$7:$E$14,5,FALSE)-$H120))</f>
        <v>30</v>
      </c>
      <c r="Q120" s="79">
        <f t="shared" si="6"/>
        <v>11</v>
      </c>
      <c r="R120" s="345" t="str">
        <f t="shared" si="7"/>
        <v/>
      </c>
      <c r="S120" s="344">
        <f t="shared" si="8"/>
        <v>0.33</v>
      </c>
      <c r="T120" s="345" t="str">
        <f>IFERROR(__xludf.DUMMYFUNCTION("JOIN("","",IFERROR(FILTER(Matches!$B:$B,B120=Matches!$C:$C),""""),IFERROR(FILTER(Matches!$C:$C,B120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20" s="344">
        <f>IFERROR(__xludf.DUMMYFUNCTION("iferror(AVERAGE(ARRAYFORMULA(VLOOKUP(SPLIT(T120,"","",TRUE,TRUE),$R$2:$S654,2,FALSE))),0)"),0.0)</f>
        <v>0</v>
      </c>
      <c r="V120" s="346">
        <f>IFERROR(__xludf.DUMMYFUNCTION("RANK($I120, $I$2:$I654, FALSE) + RANK($M120, Filter($M$2:$M654, $I$2:$I654=$I120),FALSE)+RANK($U120, Filter($U$2:$U654, $I$2:$I654=$I120,$M$2:$M654=$M120),FALSE)-2"),1.0)</f>
        <v>1</v>
      </c>
      <c r="W120" s="347" t="str">
        <f t="shared" si="9"/>
        <v>Underplay</v>
      </c>
      <c r="X120" s="348" t="str">
        <f t="shared" si="10"/>
        <v/>
      </c>
      <c r="Y120" s="349">
        <f>MAXIFS(Matches!$A:$A,Matches!$C:$C,$B120)</f>
        <v>0</v>
      </c>
      <c r="Z120" s="349">
        <f t="array" ref="Z120">XLOOKUP(Y120,Quotas!$B$7:$B$10,Quotas!$A$7:$A$10,0,-1)</f>
        <v>0</v>
      </c>
      <c r="AB120" s="79"/>
      <c r="AC120" s="79">
        <f>COUNTIFS(Matches!$A:$A,"&gt;"&amp;Y120,Matches!$B:$B,$B120)</f>
        <v>0</v>
      </c>
      <c r="AD120" s="79"/>
      <c r="AE120" s="31" t="str">
        <f t="array" ref="AE120">XLOOKUP(B120, 'College List'!A:A, 'College List'!B:B)</f>
        <v>#N/A</v>
      </c>
    </row>
    <row r="121">
      <c r="A121" s="9">
        <f t="shared" si="1"/>
        <v>1</v>
      </c>
      <c r="C121" s="350"/>
      <c r="D121" s="93"/>
      <c r="E121" s="1"/>
      <c r="F121" s="1"/>
      <c r="G121" s="1"/>
      <c r="H121" s="341">
        <f>COUNTIF(Entropy!$D:$D,$B121)+COUNTIF(Matches!$B:$B,$B121)+COUNTIF(Matches!$C:$C,$B121)</f>
        <v>0</v>
      </c>
      <c r="I121" s="342">
        <f>COUNTIF(Matches!$B:$B,B121)</f>
        <v>0</v>
      </c>
      <c r="J121" s="79">
        <f t="shared" si="2"/>
        <v>0</v>
      </c>
      <c r="K121" s="1" t="str">
        <f t="shared" si="3"/>
        <v>0 - 0</v>
      </c>
      <c r="L121" s="343">
        <f>COUNTIF(Entropy!$D:$D,$B121)</f>
        <v>0</v>
      </c>
      <c r="M121" s="344">
        <f t="shared" si="4"/>
        <v>0</v>
      </c>
      <c r="N121" s="344">
        <f t="shared" si="5"/>
        <v>0</v>
      </c>
      <c r="O121" s="341">
        <f>IF($J121=11,0,IF(AND($H121 &gt;=VLOOKUP(Standings!$C$2,Quotas!$A$7:$E$14,4,FALSE), $H121&lt;=VLOOKUP(Standings!$C$2,Quotas!$A$7:$E$14,5,FALSE)), 0,VLOOKUP(Standings!$C$2,Quotas!$A$7:$E$14,4,FALSE)-$H121))</f>
        <v>30</v>
      </c>
      <c r="P121" s="341">
        <f>IF($J121=11,0,IF(AND($H121 &gt;=VLOOKUP(Standings!$C$2,Quotas!$A$7:$E$14,5,FALSE), $H121&lt;=VLOOKUP(Standings!$C$2,Quotas!$A$7:$E$14,5,FALSE)), 0,VLOOKUP(Standings!$C$2,Quotas!$A$7:$E$14,5,FALSE)-$H121))</f>
        <v>30</v>
      </c>
      <c r="Q121" s="79">
        <f t="shared" si="6"/>
        <v>11</v>
      </c>
      <c r="R121" s="345" t="str">
        <f t="shared" si="7"/>
        <v/>
      </c>
      <c r="S121" s="344">
        <f t="shared" si="8"/>
        <v>0.33</v>
      </c>
      <c r="T121" s="345" t="str">
        <f>IFERROR(__xludf.DUMMYFUNCTION("JOIN("","",IFERROR(FILTER(Matches!$B:$B,B121=Matches!$C:$C),""""),IFERROR(FILTER(Matches!$C:$C,B121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21" s="344">
        <f>IFERROR(__xludf.DUMMYFUNCTION("iferror(AVERAGE(ARRAYFORMULA(VLOOKUP(SPLIT(T121,"","",TRUE,TRUE),$R$2:$S654,2,FALSE))),0)"),0.0)</f>
        <v>0</v>
      </c>
      <c r="V121" s="346">
        <f>IFERROR(__xludf.DUMMYFUNCTION("RANK($I121, $I$2:$I654, FALSE) + RANK($M121, Filter($M$2:$M654, $I$2:$I654=$I121),FALSE)+RANK($U121, Filter($U$2:$U654, $I$2:$I654=$I121,$M$2:$M654=$M121),FALSE)-2"),1.0)</f>
        <v>1</v>
      </c>
      <c r="W121" s="347" t="str">
        <f t="shared" si="9"/>
        <v>Underplay</v>
      </c>
      <c r="X121" s="348" t="str">
        <f t="shared" si="10"/>
        <v/>
      </c>
      <c r="Y121" s="349">
        <f>MAXIFS(Matches!$A:$A,Matches!$C:$C,$B121)</f>
        <v>0</v>
      </c>
      <c r="Z121" s="349">
        <f t="array" ref="Z121">XLOOKUP(Y121,Quotas!$B$7:$B$10,Quotas!$A$7:$A$10,0,-1)</f>
        <v>0</v>
      </c>
      <c r="AB121" s="79"/>
      <c r="AC121" s="79">
        <f>COUNTIFS(Matches!$A:$A,"&gt;"&amp;Y121,Matches!$B:$B,$B121)</f>
        <v>0</v>
      </c>
      <c r="AD121" s="79"/>
      <c r="AE121" s="31" t="str">
        <f t="array" ref="AE121">XLOOKUP(B121, 'College List'!A:A, 'College List'!B:B)</f>
        <v>#N/A</v>
      </c>
      <c r="AF121" s="15">
        <v>9.0</v>
      </c>
    </row>
    <row r="122">
      <c r="A122" s="9">
        <f t="shared" si="1"/>
        <v>1</v>
      </c>
      <c r="C122" s="350"/>
      <c r="D122" s="93"/>
      <c r="E122" s="1"/>
      <c r="F122" s="1"/>
      <c r="G122" s="1"/>
      <c r="H122" s="341">
        <f>COUNTIF(Entropy!$D:$D,$B122)+COUNTIF(Matches!$B:$B,$B122)+COUNTIF(Matches!$C:$C,$B122)</f>
        <v>0</v>
      </c>
      <c r="I122" s="342">
        <f>COUNTIF(Matches!$B:$B,B122)</f>
        <v>0</v>
      </c>
      <c r="J122" s="79">
        <f t="shared" si="2"/>
        <v>0</v>
      </c>
      <c r="K122" s="1" t="str">
        <f t="shared" si="3"/>
        <v>0 - 0</v>
      </c>
      <c r="L122" s="343">
        <f>COUNTIF(Entropy!$D:$D,$B122)</f>
        <v>0</v>
      </c>
      <c r="M122" s="344">
        <f t="shared" si="4"/>
        <v>0</v>
      </c>
      <c r="N122" s="344">
        <f t="shared" si="5"/>
        <v>0</v>
      </c>
      <c r="O122" s="341">
        <f>IF($J122=11,0,IF(AND($H122 &gt;=VLOOKUP(Standings!$C$2,Quotas!$A$7:$E$14,4,FALSE), $H122&lt;=VLOOKUP(Standings!$C$2,Quotas!$A$7:$E$14,5,FALSE)), 0,VLOOKUP(Standings!$C$2,Quotas!$A$7:$E$14,4,FALSE)-$H122))</f>
        <v>30</v>
      </c>
      <c r="P122" s="341">
        <f>IF($J122=11,0,IF(AND($H122 &gt;=VLOOKUP(Standings!$C$2,Quotas!$A$7:$E$14,5,FALSE), $H122&lt;=VLOOKUP(Standings!$C$2,Quotas!$A$7:$E$14,5,FALSE)), 0,VLOOKUP(Standings!$C$2,Quotas!$A$7:$E$14,5,FALSE)-$H122))</f>
        <v>30</v>
      </c>
      <c r="Q122" s="79">
        <f t="shared" si="6"/>
        <v>11</v>
      </c>
      <c r="R122" s="345" t="str">
        <f t="shared" si="7"/>
        <v/>
      </c>
      <c r="S122" s="344">
        <f t="shared" si="8"/>
        <v>0.33</v>
      </c>
      <c r="T122" s="345" t="str">
        <f>IFERROR(__xludf.DUMMYFUNCTION("JOIN("","",IFERROR(FILTER(Matches!$B:$B,B122=Matches!$C:$C),""""),IFERROR(FILTER(Matches!$C:$C,B122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22" s="344">
        <f>IFERROR(__xludf.DUMMYFUNCTION("iferror(AVERAGE(ARRAYFORMULA(VLOOKUP(SPLIT(T122,"","",TRUE,TRUE),$R$2:$S654,2,FALSE))),0)"),0.0)</f>
        <v>0</v>
      </c>
      <c r="V122" s="346">
        <f>IFERROR(__xludf.DUMMYFUNCTION("RANK($I122, $I$2:$I654, FALSE) + RANK($M122, Filter($M$2:$M654, $I$2:$I654=$I122),FALSE)+RANK($U122, Filter($U$2:$U654, $I$2:$I654=$I122,$M$2:$M654=$M122),FALSE)-2"),1.0)</f>
        <v>1</v>
      </c>
      <c r="W122" s="347" t="str">
        <f t="shared" si="9"/>
        <v>Underplay</v>
      </c>
      <c r="X122" s="348" t="str">
        <f t="shared" si="10"/>
        <v/>
      </c>
      <c r="Y122" s="349">
        <f>MAXIFS(Matches!$A:$A,Matches!$C:$C,$B122)</f>
        <v>0</v>
      </c>
      <c r="Z122" s="349">
        <f t="array" ref="Z122">XLOOKUP(Y122,Quotas!$B$7:$B$10,Quotas!$A$7:$A$10,0,-1)</f>
        <v>0</v>
      </c>
      <c r="AB122" s="79"/>
      <c r="AC122" s="79">
        <f>COUNTIFS(Matches!$A:$A,"&gt;"&amp;Y122,Matches!$B:$B,$B122)</f>
        <v>0</v>
      </c>
      <c r="AD122" s="79"/>
      <c r="AE122" s="31" t="str">
        <f t="array" ref="AE122">XLOOKUP(B122, 'College List'!A:A, 'College List'!B:B)</f>
        <v>#N/A</v>
      </c>
      <c r="AF122" s="15">
        <v>9.0</v>
      </c>
    </row>
    <row r="123">
      <c r="A123" s="9">
        <f t="shared" si="1"/>
        <v>1</v>
      </c>
      <c r="C123" s="350"/>
      <c r="D123" s="93"/>
      <c r="E123" s="1"/>
      <c r="F123" s="1"/>
      <c r="G123" s="1"/>
      <c r="H123" s="341">
        <f>COUNTIF(Entropy!$D:$D,$B123)+COUNTIF(Matches!$B:$B,$B123)+COUNTIF(Matches!$C:$C,$B123)</f>
        <v>0</v>
      </c>
      <c r="I123" s="342">
        <f>COUNTIF(Matches!$B:$B,B123)</f>
        <v>0</v>
      </c>
      <c r="J123" s="79">
        <f t="shared" si="2"/>
        <v>0</v>
      </c>
      <c r="K123" s="1" t="str">
        <f t="shared" si="3"/>
        <v>0 - 0</v>
      </c>
      <c r="L123" s="343">
        <f>COUNTIF(Entropy!$D:$D,$B123)</f>
        <v>0</v>
      </c>
      <c r="M123" s="344">
        <f t="shared" si="4"/>
        <v>0</v>
      </c>
      <c r="N123" s="344">
        <f t="shared" si="5"/>
        <v>0</v>
      </c>
      <c r="O123" s="341">
        <f>IF($J123=11,0,IF(AND($H123 &gt;=VLOOKUP(Standings!$C$2,Quotas!$A$7:$E$14,4,FALSE), $H123&lt;=VLOOKUP(Standings!$C$2,Quotas!$A$7:$E$14,5,FALSE)), 0,VLOOKUP(Standings!$C$2,Quotas!$A$7:$E$14,4,FALSE)-$H123))</f>
        <v>30</v>
      </c>
      <c r="P123" s="341">
        <f>IF($J123=11,0,IF(AND($H123 &gt;=VLOOKUP(Standings!$C$2,Quotas!$A$7:$E$14,5,FALSE), $H123&lt;=VLOOKUP(Standings!$C$2,Quotas!$A$7:$E$14,5,FALSE)), 0,VLOOKUP(Standings!$C$2,Quotas!$A$7:$E$14,5,FALSE)-$H123))</f>
        <v>30</v>
      </c>
      <c r="Q123" s="79">
        <f t="shared" si="6"/>
        <v>11</v>
      </c>
      <c r="R123" s="345" t="str">
        <f t="shared" si="7"/>
        <v/>
      </c>
      <c r="S123" s="344">
        <f t="shared" si="8"/>
        <v>0.33</v>
      </c>
      <c r="T123" s="345" t="str">
        <f>IFERROR(__xludf.DUMMYFUNCTION("JOIN("","",IFERROR(FILTER(Matches!$B:$B,B123=Matches!$C:$C),""""),IFERROR(FILTER(Matches!$C:$C,B123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23" s="344">
        <f>IFERROR(__xludf.DUMMYFUNCTION("iferror(AVERAGE(ARRAYFORMULA(VLOOKUP(SPLIT(T123,"","",TRUE,TRUE),$R$2:$S654,2,FALSE))),0)"),0.0)</f>
        <v>0</v>
      </c>
      <c r="V123" s="346">
        <f>IFERROR(__xludf.DUMMYFUNCTION("RANK($I123, $I$2:$I654, FALSE) + RANK($M123, Filter($M$2:$M654, $I$2:$I654=$I123),FALSE)+RANK($U123, Filter($U$2:$U654, $I$2:$I654=$I123,$M$2:$M654=$M123),FALSE)-2"),1.0)</f>
        <v>1</v>
      </c>
      <c r="W123" s="347" t="str">
        <f t="shared" si="9"/>
        <v>Underplay</v>
      </c>
      <c r="X123" s="348" t="str">
        <f t="shared" si="10"/>
        <v/>
      </c>
      <c r="Y123" s="349">
        <f>MAXIFS(Matches!$A:$A,Matches!$C:$C,$B123)</f>
        <v>0</v>
      </c>
      <c r="Z123" s="349">
        <f t="array" ref="Z123">XLOOKUP(Y123,Quotas!$B$7:$B$10,Quotas!$A$7:$A$10,0,-1)</f>
        <v>0</v>
      </c>
      <c r="AB123" s="79"/>
      <c r="AC123" s="79">
        <f>COUNTIFS(Matches!$A:$A,"&gt;"&amp;Y123,Matches!$B:$B,$B123)</f>
        <v>0</v>
      </c>
      <c r="AD123" s="79"/>
      <c r="AE123" s="31" t="str">
        <f t="array" ref="AE123">XLOOKUP(B123, 'College List'!A:A, 'College List'!B:B)</f>
        <v>#N/A</v>
      </c>
      <c r="AF123" s="15">
        <v>7.0</v>
      </c>
    </row>
    <row r="124">
      <c r="A124" s="9">
        <f t="shared" si="1"/>
        <v>1</v>
      </c>
      <c r="C124" s="350"/>
      <c r="D124" s="93"/>
      <c r="E124" s="1"/>
      <c r="F124" s="1"/>
      <c r="G124" s="1"/>
      <c r="H124" s="341">
        <f>COUNTIF(Entropy!$D:$D,$B124)+COUNTIF(Matches!$B:$B,$B124)+COUNTIF(Matches!$C:$C,$B124)</f>
        <v>0</v>
      </c>
      <c r="I124" s="342">
        <f>COUNTIF(Matches!$B:$B,B124)</f>
        <v>0</v>
      </c>
      <c r="J124" s="79">
        <f t="shared" si="2"/>
        <v>0</v>
      </c>
      <c r="K124" s="1" t="str">
        <f t="shared" si="3"/>
        <v>0 - 0</v>
      </c>
      <c r="L124" s="343">
        <f>COUNTIF(Entropy!$D:$D,$B124)</f>
        <v>0</v>
      </c>
      <c r="M124" s="344">
        <f t="shared" si="4"/>
        <v>0</v>
      </c>
      <c r="N124" s="344">
        <f t="shared" si="5"/>
        <v>0</v>
      </c>
      <c r="O124" s="341">
        <f>IF($J124=11,0,IF(AND($H124 &gt;=VLOOKUP(Standings!$C$2,Quotas!$A$7:$E$14,4,FALSE), $H124&lt;=VLOOKUP(Standings!$C$2,Quotas!$A$7:$E$14,5,FALSE)), 0,VLOOKUP(Standings!$C$2,Quotas!$A$7:$E$14,4,FALSE)-$H124))</f>
        <v>30</v>
      </c>
      <c r="P124" s="341">
        <f>IF($J124=11,0,IF(AND($H124 &gt;=VLOOKUP(Standings!$C$2,Quotas!$A$7:$E$14,5,FALSE), $H124&lt;=VLOOKUP(Standings!$C$2,Quotas!$A$7:$E$14,5,FALSE)), 0,VLOOKUP(Standings!$C$2,Quotas!$A$7:$E$14,5,FALSE)-$H124))</f>
        <v>30</v>
      </c>
      <c r="Q124" s="79">
        <f t="shared" si="6"/>
        <v>11</v>
      </c>
      <c r="R124" s="345" t="str">
        <f t="shared" si="7"/>
        <v/>
      </c>
      <c r="S124" s="344">
        <f t="shared" si="8"/>
        <v>0.33</v>
      </c>
      <c r="T124" s="345" t="str">
        <f>IFERROR(__xludf.DUMMYFUNCTION("JOIN("","",IFERROR(FILTER(Matches!$B:$B,B124=Matches!$C:$C),""""),IFERROR(FILTER(Matches!$C:$C,B124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24" s="344">
        <f>IFERROR(__xludf.DUMMYFUNCTION("iferror(AVERAGE(ARRAYFORMULA(VLOOKUP(SPLIT(T124,"","",TRUE,TRUE),$R$2:$S654,2,FALSE))),0)"),0.0)</f>
        <v>0</v>
      </c>
      <c r="V124" s="346">
        <f>IFERROR(__xludf.DUMMYFUNCTION("RANK($I124, $I$2:$I654, FALSE) + RANK($M124, Filter($M$2:$M654, $I$2:$I654=$I124),FALSE)+RANK($U124, Filter($U$2:$U654, $I$2:$I654=$I124,$M$2:$M654=$M124),FALSE)-2"),1.0)</f>
        <v>1</v>
      </c>
      <c r="W124" s="347" t="str">
        <f t="shared" si="9"/>
        <v>Underplay</v>
      </c>
      <c r="X124" s="348" t="str">
        <f t="shared" si="10"/>
        <v/>
      </c>
      <c r="Y124" s="349">
        <f>MAXIFS(Matches!$A:$A,Matches!$C:$C,$B124)</f>
        <v>0</v>
      </c>
      <c r="Z124" s="349">
        <f t="array" ref="Z124">XLOOKUP(Y124,Quotas!$B$7:$B$10,Quotas!$A$7:$A$10,0,-1)</f>
        <v>0</v>
      </c>
      <c r="AB124" s="79"/>
      <c r="AC124" s="79">
        <f>COUNTIFS(Matches!$A:$A,"&gt;"&amp;Y124,Matches!$B:$B,$B124)</f>
        <v>0</v>
      </c>
      <c r="AD124" s="79"/>
      <c r="AE124" s="31" t="str">
        <f t="array" ref="AE124">XLOOKUP(B124, 'College List'!A:A, 'College List'!B:B)</f>
        <v>#N/A</v>
      </c>
      <c r="AF124" s="15">
        <v>9.0</v>
      </c>
    </row>
    <row r="125">
      <c r="A125" s="9">
        <f t="shared" si="1"/>
        <v>1</v>
      </c>
      <c r="C125" s="350"/>
      <c r="D125" s="93"/>
      <c r="E125" s="1"/>
      <c r="F125" s="1"/>
      <c r="G125" s="1"/>
      <c r="H125" s="341">
        <f>COUNTIF(Entropy!$D:$D,$B125)+COUNTIF(Matches!$B:$B,$B125)+COUNTIF(Matches!$C:$C,$B125)</f>
        <v>0</v>
      </c>
      <c r="I125" s="342">
        <f>COUNTIF(Matches!$B:$B,B125)</f>
        <v>0</v>
      </c>
      <c r="J125" s="79">
        <f t="shared" si="2"/>
        <v>0</v>
      </c>
      <c r="K125" s="1" t="str">
        <f t="shared" si="3"/>
        <v>0 - 0</v>
      </c>
      <c r="L125" s="343">
        <f>COUNTIF(Entropy!$D:$D,$B125)</f>
        <v>0</v>
      </c>
      <c r="M125" s="344">
        <f t="shared" si="4"/>
        <v>0</v>
      </c>
      <c r="N125" s="344">
        <f t="shared" si="5"/>
        <v>0</v>
      </c>
      <c r="O125" s="341">
        <f>IF($J125=11,0,IF(AND($H125 &gt;=VLOOKUP(Standings!$C$2,Quotas!$A$7:$E$14,4,FALSE), $H125&lt;=VLOOKUP(Standings!$C$2,Quotas!$A$7:$E$14,5,FALSE)), 0,VLOOKUP(Standings!$C$2,Quotas!$A$7:$E$14,4,FALSE)-$H125))</f>
        <v>30</v>
      </c>
      <c r="P125" s="341">
        <f>IF($J125=11,0,IF(AND($H125 &gt;=VLOOKUP(Standings!$C$2,Quotas!$A$7:$E$14,5,FALSE), $H125&lt;=VLOOKUP(Standings!$C$2,Quotas!$A$7:$E$14,5,FALSE)), 0,VLOOKUP(Standings!$C$2,Quotas!$A$7:$E$14,5,FALSE)-$H125))</f>
        <v>30</v>
      </c>
      <c r="Q125" s="79">
        <f t="shared" si="6"/>
        <v>11</v>
      </c>
      <c r="R125" s="345" t="str">
        <f t="shared" si="7"/>
        <v/>
      </c>
      <c r="S125" s="344">
        <f t="shared" si="8"/>
        <v>0.33</v>
      </c>
      <c r="T125" s="345" t="str">
        <f>IFERROR(__xludf.DUMMYFUNCTION("JOIN("","",IFERROR(FILTER(Matches!$B:$B,B125=Matches!$C:$C),""""),IFERROR(FILTER(Matches!$C:$C,B125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25" s="344">
        <f>IFERROR(__xludf.DUMMYFUNCTION("iferror(AVERAGE(ARRAYFORMULA(VLOOKUP(SPLIT(T125,"","",TRUE,TRUE),$R$2:$S654,2,FALSE))),0)"),0.0)</f>
        <v>0</v>
      </c>
      <c r="V125" s="346">
        <f>IFERROR(__xludf.DUMMYFUNCTION("RANK($I125, $I$2:$I654, FALSE) + RANK($M125, Filter($M$2:$M654, $I$2:$I654=$I125),FALSE)+RANK($U125, Filter($U$2:$U654, $I$2:$I654=$I125,$M$2:$M654=$M125),FALSE)-2"),1.0)</f>
        <v>1</v>
      </c>
      <c r="W125" s="347" t="str">
        <f t="shared" si="9"/>
        <v>Underplay</v>
      </c>
      <c r="X125" s="348" t="str">
        <f t="shared" si="10"/>
        <v/>
      </c>
      <c r="Y125" s="349">
        <f>MAXIFS(Matches!$A:$A,Matches!$C:$C,$B125)</f>
        <v>0</v>
      </c>
      <c r="Z125" s="349">
        <f t="array" ref="Z125">XLOOKUP(Y125,Quotas!$B$7:$B$10,Quotas!$A$7:$A$10,0,-1)</f>
        <v>0</v>
      </c>
      <c r="AB125" s="79"/>
      <c r="AC125" s="79">
        <f>COUNTIFS(Matches!$A:$A,"&gt;"&amp;Y125,Matches!$B:$B,$B125)</f>
        <v>0</v>
      </c>
      <c r="AD125" s="79"/>
      <c r="AE125" s="31" t="str">
        <f t="array" ref="AE125">XLOOKUP(B125, 'College List'!A:A, 'College List'!B:B)</f>
        <v>#N/A</v>
      </c>
      <c r="AF125" s="15">
        <v>3.0</v>
      </c>
    </row>
    <row r="126">
      <c r="A126" s="9">
        <f t="shared" si="1"/>
        <v>1</v>
      </c>
      <c r="C126" s="350"/>
      <c r="D126" s="93"/>
      <c r="E126" s="1"/>
      <c r="F126" s="1"/>
      <c r="G126" s="1"/>
      <c r="H126" s="341">
        <f>COUNTIF(Entropy!$D:$D,$B126)+COUNTIF(Matches!$B:$B,$B126)+COUNTIF(Matches!$C:$C,$B126)</f>
        <v>0</v>
      </c>
      <c r="I126" s="342">
        <f>COUNTIF(Matches!$B:$B,B126)</f>
        <v>0</v>
      </c>
      <c r="J126" s="79">
        <f t="shared" si="2"/>
        <v>0</v>
      </c>
      <c r="K126" s="1" t="str">
        <f t="shared" si="3"/>
        <v>0 - 0</v>
      </c>
      <c r="L126" s="343">
        <f>COUNTIF(Entropy!$D:$D,$B126)</f>
        <v>0</v>
      </c>
      <c r="M126" s="344">
        <f t="shared" si="4"/>
        <v>0</v>
      </c>
      <c r="N126" s="344">
        <f t="shared" si="5"/>
        <v>0</v>
      </c>
      <c r="O126" s="341">
        <f>IF($J126=11,0,IF(AND($H126 &gt;=VLOOKUP(Standings!$C$2,Quotas!$A$7:$E$14,4,FALSE), $H126&lt;=VLOOKUP(Standings!$C$2,Quotas!$A$7:$E$14,5,FALSE)), 0,VLOOKUP(Standings!$C$2,Quotas!$A$7:$E$14,4,FALSE)-$H126))</f>
        <v>30</v>
      </c>
      <c r="P126" s="341">
        <f>IF($J126=11,0,IF(AND($H126 &gt;=VLOOKUP(Standings!$C$2,Quotas!$A$7:$E$14,5,FALSE), $H126&lt;=VLOOKUP(Standings!$C$2,Quotas!$A$7:$E$14,5,FALSE)), 0,VLOOKUP(Standings!$C$2,Quotas!$A$7:$E$14,5,FALSE)-$H126))</f>
        <v>30</v>
      </c>
      <c r="Q126" s="79">
        <f t="shared" si="6"/>
        <v>11</v>
      </c>
      <c r="R126" s="345" t="str">
        <f t="shared" si="7"/>
        <v/>
      </c>
      <c r="S126" s="344">
        <f t="shared" si="8"/>
        <v>0.33</v>
      </c>
      <c r="T126" s="345" t="str">
        <f>IFERROR(__xludf.DUMMYFUNCTION("JOIN("","",IFERROR(FILTER(Matches!$B:$B,B126=Matches!$C:$C),""""),IFERROR(FILTER(Matches!$C:$C,B126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26" s="344">
        <f>IFERROR(__xludf.DUMMYFUNCTION("iferror(AVERAGE(ARRAYFORMULA(VLOOKUP(SPLIT(T126,"","",TRUE,TRUE),$R$2:$S654,2,FALSE))),0)"),0.0)</f>
        <v>0</v>
      </c>
      <c r="V126" s="346">
        <f>IFERROR(__xludf.DUMMYFUNCTION("RANK($I126, $I$2:$I654, FALSE) + RANK($M126, Filter($M$2:$M654, $I$2:$I654=$I126),FALSE)+RANK($U126, Filter($U$2:$U654, $I$2:$I654=$I126,$M$2:$M654=$M126),FALSE)-2"),1.0)</f>
        <v>1</v>
      </c>
      <c r="W126" s="347" t="str">
        <f t="shared" si="9"/>
        <v>Underplay</v>
      </c>
      <c r="X126" s="348" t="str">
        <f t="shared" si="10"/>
        <v/>
      </c>
      <c r="Y126" s="349">
        <f>MAXIFS(Matches!$A:$A,Matches!$C:$C,$B126)</f>
        <v>0</v>
      </c>
      <c r="Z126" s="349">
        <f t="array" ref="Z126">XLOOKUP(Y126,Quotas!$B$7:$B$10,Quotas!$A$7:$A$10,0,-1)</f>
        <v>0</v>
      </c>
      <c r="AB126" s="79"/>
      <c r="AC126" s="79">
        <f>COUNTIFS(Matches!$A:$A,"&gt;"&amp;Y126,Matches!$B:$B,$B126)</f>
        <v>0</v>
      </c>
      <c r="AD126" s="79"/>
      <c r="AE126" s="31" t="str">
        <f t="array" ref="AE126">XLOOKUP(B126, 'College List'!A:A, 'College List'!B:B)</f>
        <v>#N/A</v>
      </c>
      <c r="AF126" s="15">
        <v>7.0</v>
      </c>
    </row>
    <row r="127">
      <c r="A127" s="9">
        <f t="shared" si="1"/>
        <v>1</v>
      </c>
      <c r="C127" s="350"/>
      <c r="D127" s="93"/>
      <c r="E127" s="1"/>
      <c r="F127" s="1"/>
      <c r="G127" s="1"/>
      <c r="H127" s="341">
        <f>COUNTIF(Entropy!$D:$D,$B127)+COUNTIF(Matches!$B:$B,$B127)+COUNTIF(Matches!$C:$C,$B127)</f>
        <v>0</v>
      </c>
      <c r="I127" s="342">
        <f>COUNTIF(Matches!$B:$B,B127)</f>
        <v>0</v>
      </c>
      <c r="J127" s="79">
        <f t="shared" si="2"/>
        <v>0</v>
      </c>
      <c r="K127" s="1" t="str">
        <f t="shared" si="3"/>
        <v>0 - 0</v>
      </c>
      <c r="L127" s="343">
        <f>COUNTIF(Entropy!$D:$D,$B127)</f>
        <v>0</v>
      </c>
      <c r="M127" s="344">
        <f t="shared" si="4"/>
        <v>0</v>
      </c>
      <c r="N127" s="344">
        <f t="shared" si="5"/>
        <v>0</v>
      </c>
      <c r="O127" s="341">
        <f>IF($J127=11,0,IF(AND($H127 &gt;=VLOOKUP(Standings!$C$2,Quotas!$A$7:$E$14,4,FALSE), $H127&lt;=VLOOKUP(Standings!$C$2,Quotas!$A$7:$E$14,5,FALSE)), 0,VLOOKUP(Standings!$C$2,Quotas!$A$7:$E$14,4,FALSE)-$H127))</f>
        <v>30</v>
      </c>
      <c r="P127" s="341">
        <f>IF($J127=11,0,IF(AND($H127 &gt;=VLOOKUP(Standings!$C$2,Quotas!$A$7:$E$14,5,FALSE), $H127&lt;=VLOOKUP(Standings!$C$2,Quotas!$A$7:$E$14,5,FALSE)), 0,VLOOKUP(Standings!$C$2,Quotas!$A$7:$E$14,5,FALSE)-$H127))</f>
        <v>30</v>
      </c>
      <c r="Q127" s="79">
        <f t="shared" si="6"/>
        <v>11</v>
      </c>
      <c r="R127" s="345" t="str">
        <f t="shared" si="7"/>
        <v/>
      </c>
      <c r="S127" s="344">
        <f t="shared" si="8"/>
        <v>0.33</v>
      </c>
      <c r="T127" s="345" t="str">
        <f>IFERROR(__xludf.DUMMYFUNCTION("JOIN("","",IFERROR(FILTER(Matches!$B:$B,B127=Matches!$C:$C),""""),IFERROR(FILTER(Matches!$C:$C,B127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27" s="344">
        <f>IFERROR(__xludf.DUMMYFUNCTION("iferror(AVERAGE(ARRAYFORMULA(VLOOKUP(SPLIT(T127,"","",TRUE,TRUE),$R$2:$S654,2,FALSE))),0)"),0.0)</f>
        <v>0</v>
      </c>
      <c r="V127" s="346">
        <f>IFERROR(__xludf.DUMMYFUNCTION("RANK($I127, $I$2:$I654, FALSE) + RANK($M127, Filter($M$2:$M654, $I$2:$I654=$I127),FALSE)+RANK($U127, Filter($U$2:$U654, $I$2:$I654=$I127,$M$2:$M654=$M127),FALSE)-2"),1.0)</f>
        <v>1</v>
      </c>
      <c r="W127" s="347" t="str">
        <f t="shared" si="9"/>
        <v>Underplay</v>
      </c>
      <c r="X127" s="348" t="str">
        <f t="shared" si="10"/>
        <v/>
      </c>
      <c r="Y127" s="349">
        <f>MAXIFS(Matches!$A:$A,Matches!$C:$C,$B127)</f>
        <v>0</v>
      </c>
      <c r="Z127" s="349">
        <f t="array" ref="Z127">XLOOKUP(Y127,Quotas!$B$7:$B$10,Quotas!$A$7:$A$10,0,-1)</f>
        <v>0</v>
      </c>
      <c r="AB127" s="79"/>
      <c r="AC127" s="79">
        <f>COUNTIFS(Matches!$A:$A,"&gt;"&amp;Y127,Matches!$B:$B,$B127)</f>
        <v>0</v>
      </c>
      <c r="AD127" s="79"/>
      <c r="AE127" s="31" t="str">
        <f t="array" ref="AE127">XLOOKUP(B127, 'College List'!A:A, 'College List'!B:B)</f>
        <v>#N/A</v>
      </c>
    </row>
    <row r="128">
      <c r="A128" s="9">
        <f t="shared" si="1"/>
        <v>1</v>
      </c>
      <c r="C128" s="350"/>
      <c r="D128" s="93"/>
      <c r="E128" s="1"/>
      <c r="F128" s="1"/>
      <c r="G128" s="1"/>
      <c r="H128" s="341">
        <f>COUNTIF(Entropy!$D:$D,$B128)+COUNTIF(Matches!$B:$B,$B128)+COUNTIF(Matches!$C:$C,$B128)</f>
        <v>0</v>
      </c>
      <c r="I128" s="342">
        <f>COUNTIF(Matches!$B:$B,B128)</f>
        <v>0</v>
      </c>
      <c r="J128" s="79">
        <f t="shared" si="2"/>
        <v>0</v>
      </c>
      <c r="K128" s="1" t="str">
        <f t="shared" si="3"/>
        <v>0 - 0</v>
      </c>
      <c r="L128" s="343">
        <f>COUNTIF(Entropy!$D:$D,$B128)</f>
        <v>0</v>
      </c>
      <c r="M128" s="344">
        <f t="shared" si="4"/>
        <v>0</v>
      </c>
      <c r="N128" s="344">
        <f t="shared" si="5"/>
        <v>0</v>
      </c>
      <c r="O128" s="341">
        <f>IF($J128=11,0,IF(AND($H128 &gt;=VLOOKUP(Standings!$C$2,Quotas!$A$7:$E$14,4,FALSE), $H128&lt;=VLOOKUP(Standings!$C$2,Quotas!$A$7:$E$14,5,FALSE)), 0,VLOOKUP(Standings!$C$2,Quotas!$A$7:$E$14,4,FALSE)-$H128))</f>
        <v>30</v>
      </c>
      <c r="P128" s="341">
        <f>IF($J128=11,0,IF(AND($H128 &gt;=VLOOKUP(Standings!$C$2,Quotas!$A$7:$E$14,5,FALSE), $H128&lt;=VLOOKUP(Standings!$C$2,Quotas!$A$7:$E$14,5,FALSE)), 0,VLOOKUP(Standings!$C$2,Quotas!$A$7:$E$14,5,FALSE)-$H128))</f>
        <v>30</v>
      </c>
      <c r="Q128" s="79">
        <f t="shared" si="6"/>
        <v>11</v>
      </c>
      <c r="R128" s="345" t="str">
        <f t="shared" si="7"/>
        <v/>
      </c>
      <c r="S128" s="344">
        <f t="shared" si="8"/>
        <v>0.33</v>
      </c>
      <c r="T128" s="345" t="str">
        <f>IFERROR(__xludf.DUMMYFUNCTION("JOIN("","",IFERROR(FILTER(Matches!$B:$B,B128=Matches!$C:$C),""""),IFERROR(FILTER(Matches!$C:$C,B128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28" s="344">
        <f>IFERROR(__xludf.DUMMYFUNCTION("iferror(AVERAGE(ARRAYFORMULA(VLOOKUP(SPLIT(T128,"","",TRUE,TRUE),$R$2:$S654,2,FALSE))),0)"),0.0)</f>
        <v>0</v>
      </c>
      <c r="V128" s="346">
        <f>IFERROR(__xludf.DUMMYFUNCTION("RANK($I128, $I$2:$I654, FALSE) + RANK($M128, Filter($M$2:$M654, $I$2:$I654=$I128),FALSE)+RANK($U128, Filter($U$2:$U654, $I$2:$I654=$I128,$M$2:$M654=$M128),FALSE)-2"),1.0)</f>
        <v>1</v>
      </c>
      <c r="W128" s="347" t="str">
        <f t="shared" si="9"/>
        <v>Underplay</v>
      </c>
      <c r="X128" s="348" t="str">
        <f t="shared" si="10"/>
        <v/>
      </c>
      <c r="Y128" s="349">
        <f>MAXIFS(Matches!$A:$A,Matches!$C:$C,$B128)</f>
        <v>0</v>
      </c>
      <c r="Z128" s="349">
        <f t="array" ref="Z128">XLOOKUP(Y128,Quotas!$B$7:$B$10,Quotas!$A$7:$A$10,0,-1)</f>
        <v>0</v>
      </c>
      <c r="AB128" s="79"/>
      <c r="AC128" s="79">
        <f>COUNTIFS(Matches!$A:$A,"&gt;"&amp;Y128,Matches!$B:$B,$B128)</f>
        <v>0</v>
      </c>
      <c r="AD128" s="79"/>
      <c r="AE128" s="31" t="str">
        <f t="array" ref="AE128">XLOOKUP(B128, 'College List'!A:A, 'College List'!B:B)</f>
        <v>#N/A</v>
      </c>
      <c r="AF128" s="15">
        <v>9.0</v>
      </c>
    </row>
    <row r="129">
      <c r="A129" s="9">
        <f t="shared" si="1"/>
        <v>1</v>
      </c>
      <c r="C129" s="350"/>
      <c r="D129" s="93"/>
      <c r="E129" s="1"/>
      <c r="F129" s="1"/>
      <c r="G129" s="1"/>
      <c r="H129" s="341">
        <f>COUNTIF(Entropy!$D:$D,$B129)+COUNTIF(Matches!$B:$B,$B129)+COUNTIF(Matches!$C:$C,$B129)</f>
        <v>0</v>
      </c>
      <c r="I129" s="342">
        <f>COUNTIF(Matches!$B:$B,B129)</f>
        <v>0</v>
      </c>
      <c r="J129" s="79">
        <f t="shared" si="2"/>
        <v>0</v>
      </c>
      <c r="K129" s="1" t="str">
        <f t="shared" si="3"/>
        <v>0 - 0</v>
      </c>
      <c r="L129" s="343">
        <f>COUNTIF(Entropy!$D:$D,$B129)</f>
        <v>0</v>
      </c>
      <c r="M129" s="344">
        <f t="shared" si="4"/>
        <v>0</v>
      </c>
      <c r="N129" s="344">
        <f t="shared" si="5"/>
        <v>0</v>
      </c>
      <c r="O129" s="341">
        <f>IF($J129=11,0,IF(AND($H129 &gt;=VLOOKUP(Standings!$C$2,Quotas!$A$7:$E$14,4,FALSE), $H129&lt;=VLOOKUP(Standings!$C$2,Quotas!$A$7:$E$14,5,FALSE)), 0,VLOOKUP(Standings!$C$2,Quotas!$A$7:$E$14,4,FALSE)-$H129))</f>
        <v>30</v>
      </c>
      <c r="P129" s="341">
        <f>IF($J129=11,0,IF(AND($H129 &gt;=VLOOKUP(Standings!$C$2,Quotas!$A$7:$E$14,5,FALSE), $H129&lt;=VLOOKUP(Standings!$C$2,Quotas!$A$7:$E$14,5,FALSE)), 0,VLOOKUP(Standings!$C$2,Quotas!$A$7:$E$14,5,FALSE)-$H129))</f>
        <v>30</v>
      </c>
      <c r="Q129" s="79">
        <f t="shared" si="6"/>
        <v>11</v>
      </c>
      <c r="R129" s="345" t="str">
        <f t="shared" si="7"/>
        <v/>
      </c>
      <c r="S129" s="344">
        <f t="shared" si="8"/>
        <v>0.33</v>
      </c>
      <c r="T129" s="345" t="str">
        <f>IFERROR(__xludf.DUMMYFUNCTION("JOIN("","",IFERROR(FILTER(Matches!$B:$B,B129=Matches!$C:$C),""""),IFERROR(FILTER(Matches!$C:$C,B129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29" s="344">
        <f>IFERROR(__xludf.DUMMYFUNCTION("iferror(AVERAGE(ARRAYFORMULA(VLOOKUP(SPLIT(T129,"","",TRUE,TRUE),$R$2:$S654,2,FALSE))),0)"),0.0)</f>
        <v>0</v>
      </c>
      <c r="V129" s="346">
        <f>IFERROR(__xludf.DUMMYFUNCTION("RANK($I129, $I$2:$I654, FALSE) + RANK($M129, Filter($M$2:$M654, $I$2:$I654=$I129),FALSE)+RANK($U129, Filter($U$2:$U654, $I$2:$I654=$I129,$M$2:$M654=$M129),FALSE)-2"),1.0)</f>
        <v>1</v>
      </c>
      <c r="W129" s="347" t="str">
        <f t="shared" si="9"/>
        <v>Underplay</v>
      </c>
      <c r="X129" s="348" t="str">
        <f t="shared" si="10"/>
        <v/>
      </c>
      <c r="Y129" s="349">
        <f>MAXIFS(Matches!$A:$A,Matches!$C:$C,$B129)</f>
        <v>0</v>
      </c>
      <c r="Z129" s="349">
        <f t="array" ref="Z129">XLOOKUP(Y129,Quotas!$B$7:$B$10,Quotas!$A$7:$A$10,0,-1)</f>
        <v>0</v>
      </c>
      <c r="AB129" s="79"/>
      <c r="AC129" s="79">
        <f>COUNTIFS(Matches!$A:$A,"&gt;"&amp;Y129,Matches!$B:$B,$B129)</f>
        <v>0</v>
      </c>
      <c r="AD129" s="79"/>
      <c r="AE129" s="31" t="str">
        <f t="array" ref="AE129">XLOOKUP(B129, 'College List'!A:A, 'College List'!B:B)</f>
        <v>#N/A</v>
      </c>
      <c r="AF129" s="15">
        <v>9.0</v>
      </c>
    </row>
    <row r="130">
      <c r="A130" s="9">
        <f t="shared" si="1"/>
        <v>1</v>
      </c>
      <c r="C130" s="350"/>
      <c r="D130" s="93"/>
      <c r="E130" s="1"/>
      <c r="F130" s="1"/>
      <c r="G130" s="1"/>
      <c r="H130" s="341">
        <f>COUNTIF(Entropy!$D:$D,$B130)+COUNTIF(Matches!$B:$B,$B130)+COUNTIF(Matches!$C:$C,$B130)</f>
        <v>0</v>
      </c>
      <c r="I130" s="342">
        <f>COUNTIF(Matches!$B:$B,B130)</f>
        <v>0</v>
      </c>
      <c r="J130" s="79">
        <f t="shared" si="2"/>
        <v>0</v>
      </c>
      <c r="K130" s="1" t="str">
        <f t="shared" si="3"/>
        <v>0 - 0</v>
      </c>
      <c r="L130" s="343">
        <f>COUNTIF(Entropy!$D:$D,$B130)</f>
        <v>0</v>
      </c>
      <c r="M130" s="344">
        <f t="shared" si="4"/>
        <v>0</v>
      </c>
      <c r="N130" s="344">
        <f t="shared" si="5"/>
        <v>0</v>
      </c>
      <c r="O130" s="341">
        <f>IF($J130=11,0,IF(AND($H130 &gt;=VLOOKUP(Standings!$C$2,Quotas!$A$7:$E$14,4,FALSE), $H130&lt;=VLOOKUP(Standings!$C$2,Quotas!$A$7:$E$14,5,FALSE)), 0,VLOOKUP(Standings!$C$2,Quotas!$A$7:$E$14,4,FALSE)-$H130))</f>
        <v>30</v>
      </c>
      <c r="P130" s="341">
        <f>IF($J130=11,0,IF(AND($H130 &gt;=VLOOKUP(Standings!$C$2,Quotas!$A$7:$E$14,5,FALSE), $H130&lt;=VLOOKUP(Standings!$C$2,Quotas!$A$7:$E$14,5,FALSE)), 0,VLOOKUP(Standings!$C$2,Quotas!$A$7:$E$14,5,FALSE)-$H130))</f>
        <v>30</v>
      </c>
      <c r="Q130" s="79">
        <f t="shared" si="6"/>
        <v>11</v>
      </c>
      <c r="R130" s="345" t="str">
        <f t="shared" si="7"/>
        <v/>
      </c>
      <c r="S130" s="344">
        <f t="shared" si="8"/>
        <v>0.33</v>
      </c>
      <c r="T130" s="345" t="str">
        <f>IFERROR(__xludf.DUMMYFUNCTION("JOIN("","",IFERROR(FILTER(Matches!$B:$B,B130=Matches!$C:$C),""""),IFERROR(FILTER(Matches!$C:$C,B130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30" s="344">
        <f>IFERROR(__xludf.DUMMYFUNCTION("iferror(AVERAGE(ARRAYFORMULA(VLOOKUP(SPLIT(T130,"","",TRUE,TRUE),$R$2:$S654,2,FALSE))),0)"),0.0)</f>
        <v>0</v>
      </c>
      <c r="V130" s="346">
        <f>IFERROR(__xludf.DUMMYFUNCTION("RANK($I130, $I$2:$I654, FALSE) + RANK($M130, Filter($M$2:$M654, $I$2:$I654=$I130),FALSE)+RANK($U130, Filter($U$2:$U654, $I$2:$I654=$I130,$M$2:$M654=$M130),FALSE)-2"),1.0)</f>
        <v>1</v>
      </c>
      <c r="W130" s="347" t="str">
        <f t="shared" si="9"/>
        <v>Underplay</v>
      </c>
      <c r="X130" s="348" t="str">
        <f t="shared" si="10"/>
        <v/>
      </c>
      <c r="Y130" s="349">
        <f>MAXIFS(Matches!$A:$A,Matches!$C:$C,$B130)</f>
        <v>0</v>
      </c>
      <c r="Z130" s="349">
        <f t="array" ref="Z130">XLOOKUP(Y130,Quotas!$B$7:$B$10,Quotas!$A$7:$A$10,0,-1)</f>
        <v>0</v>
      </c>
      <c r="AB130" s="79"/>
      <c r="AC130" s="79">
        <f>COUNTIFS(Matches!$A:$A,"&gt;"&amp;Y130,Matches!$B:$B,$B130)</f>
        <v>0</v>
      </c>
      <c r="AD130" s="79"/>
      <c r="AE130" s="31" t="str">
        <f t="array" ref="AE130">XLOOKUP(B130, 'College List'!A:A, 'College List'!B:B)</f>
        <v>#N/A</v>
      </c>
    </row>
    <row r="131">
      <c r="A131" s="9">
        <f t="shared" si="1"/>
        <v>1</v>
      </c>
      <c r="C131" s="350"/>
      <c r="D131" s="93"/>
      <c r="E131" s="1"/>
      <c r="F131" s="1"/>
      <c r="G131" s="1"/>
      <c r="H131" s="341">
        <f>COUNTIF(Entropy!$D:$D,$B131)+COUNTIF(Matches!$B:$B,$B131)+COUNTIF(Matches!$C:$C,$B131)</f>
        <v>0</v>
      </c>
      <c r="I131" s="342">
        <f>COUNTIF(Matches!$B:$B,B131)</f>
        <v>0</v>
      </c>
      <c r="J131" s="79">
        <f t="shared" si="2"/>
        <v>0</v>
      </c>
      <c r="K131" s="1" t="str">
        <f t="shared" si="3"/>
        <v>0 - 0</v>
      </c>
      <c r="L131" s="343">
        <f>COUNTIF(Entropy!$D:$D,$B131)</f>
        <v>0</v>
      </c>
      <c r="M131" s="344">
        <f t="shared" si="4"/>
        <v>0</v>
      </c>
      <c r="N131" s="344">
        <f t="shared" si="5"/>
        <v>0</v>
      </c>
      <c r="O131" s="341">
        <f>IF($J131=11,0,IF(AND($H131 &gt;=VLOOKUP(Standings!$C$2,Quotas!$A$7:$E$14,4,FALSE), $H131&lt;=VLOOKUP(Standings!$C$2,Quotas!$A$7:$E$14,5,FALSE)), 0,VLOOKUP(Standings!$C$2,Quotas!$A$7:$E$14,4,FALSE)-$H131))</f>
        <v>30</v>
      </c>
      <c r="P131" s="341">
        <f>IF($J131=11,0,IF(AND($H131 &gt;=VLOOKUP(Standings!$C$2,Quotas!$A$7:$E$14,5,FALSE), $H131&lt;=VLOOKUP(Standings!$C$2,Quotas!$A$7:$E$14,5,FALSE)), 0,VLOOKUP(Standings!$C$2,Quotas!$A$7:$E$14,5,FALSE)-$H131))</f>
        <v>30</v>
      </c>
      <c r="Q131" s="79">
        <f t="shared" si="6"/>
        <v>11</v>
      </c>
      <c r="R131" s="345" t="str">
        <f t="shared" si="7"/>
        <v/>
      </c>
      <c r="S131" s="344">
        <f t="shared" si="8"/>
        <v>0.33</v>
      </c>
      <c r="T131" s="345" t="str">
        <f>IFERROR(__xludf.DUMMYFUNCTION("JOIN("","",IFERROR(FILTER(Matches!$B:$B,B131=Matches!$C:$C),""""),IFERROR(FILTER(Matches!$C:$C,B131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31" s="344">
        <f>IFERROR(__xludf.DUMMYFUNCTION("iferror(AVERAGE(ARRAYFORMULA(VLOOKUP(SPLIT(T131,"","",TRUE,TRUE),$R$2:$S654,2,FALSE))),0)"),0.0)</f>
        <v>0</v>
      </c>
      <c r="V131" s="346">
        <f>IFERROR(__xludf.DUMMYFUNCTION("RANK($I131, $I$2:$I654, FALSE) + RANK($M131, Filter($M$2:$M654, $I$2:$I654=$I131),FALSE)+RANK($U131, Filter($U$2:$U654, $I$2:$I654=$I131,$M$2:$M654=$M131),FALSE)-2"),1.0)</f>
        <v>1</v>
      </c>
      <c r="W131" s="347" t="str">
        <f t="shared" si="9"/>
        <v>Underplay</v>
      </c>
      <c r="X131" s="348" t="str">
        <f t="shared" si="10"/>
        <v/>
      </c>
      <c r="Y131" s="349">
        <f>MAXIFS(Matches!$A:$A,Matches!$C:$C,$B131)</f>
        <v>0</v>
      </c>
      <c r="Z131" s="349">
        <f t="array" ref="Z131">XLOOKUP(Y131,Quotas!$B$7:$B$10,Quotas!$A$7:$A$10,0,-1)</f>
        <v>0</v>
      </c>
      <c r="AB131" s="79"/>
      <c r="AC131" s="79">
        <f>COUNTIFS(Matches!$A:$A,"&gt;"&amp;Y131,Matches!$B:$B,$B131)</f>
        <v>0</v>
      </c>
      <c r="AD131" s="79"/>
      <c r="AE131" s="31" t="str">
        <f t="array" ref="AE131">XLOOKUP(B131, 'College List'!A:A, 'College List'!B:B)</f>
        <v>#N/A</v>
      </c>
      <c r="AF131" s="15">
        <v>7.0</v>
      </c>
    </row>
    <row r="132">
      <c r="A132" s="9">
        <f t="shared" si="1"/>
        <v>1</v>
      </c>
      <c r="C132" s="350"/>
      <c r="D132" s="93"/>
      <c r="E132" s="1"/>
      <c r="F132" s="1"/>
      <c r="G132" s="1"/>
      <c r="H132" s="341">
        <f>COUNTIF(Entropy!$D:$D,$B132)+COUNTIF(Matches!$B:$B,$B132)+COUNTIF(Matches!$C:$C,$B132)</f>
        <v>0</v>
      </c>
      <c r="I132" s="342">
        <f>COUNTIF(Matches!$B:$B,B132)</f>
        <v>0</v>
      </c>
      <c r="J132" s="79">
        <f t="shared" si="2"/>
        <v>0</v>
      </c>
      <c r="K132" s="1" t="str">
        <f t="shared" si="3"/>
        <v>0 - 0</v>
      </c>
      <c r="L132" s="343">
        <f>COUNTIF(Entropy!$D:$D,$B132)</f>
        <v>0</v>
      </c>
      <c r="M132" s="344">
        <f t="shared" si="4"/>
        <v>0</v>
      </c>
      <c r="N132" s="344">
        <f t="shared" si="5"/>
        <v>0</v>
      </c>
      <c r="O132" s="341">
        <f>IF($J132=11,0,IF(AND($H132 &gt;=VLOOKUP(Standings!$C$2,Quotas!$A$7:$E$14,4,FALSE), $H132&lt;=VLOOKUP(Standings!$C$2,Quotas!$A$7:$E$14,5,FALSE)), 0,VLOOKUP(Standings!$C$2,Quotas!$A$7:$E$14,4,FALSE)-$H132))</f>
        <v>30</v>
      </c>
      <c r="P132" s="341">
        <f>IF($J132=11,0,IF(AND($H132 &gt;=VLOOKUP(Standings!$C$2,Quotas!$A$7:$E$14,5,FALSE), $H132&lt;=VLOOKUP(Standings!$C$2,Quotas!$A$7:$E$14,5,FALSE)), 0,VLOOKUP(Standings!$C$2,Quotas!$A$7:$E$14,5,FALSE)-$H132))</f>
        <v>30</v>
      </c>
      <c r="Q132" s="79">
        <f t="shared" si="6"/>
        <v>11</v>
      </c>
      <c r="R132" s="345" t="str">
        <f t="shared" si="7"/>
        <v/>
      </c>
      <c r="S132" s="344">
        <f t="shared" si="8"/>
        <v>0.33</v>
      </c>
      <c r="T132" s="345" t="str">
        <f>IFERROR(__xludf.DUMMYFUNCTION("JOIN("","",IFERROR(FILTER(Matches!$B:$B,B132=Matches!$C:$C),""""),IFERROR(FILTER(Matches!$C:$C,B132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32" s="344">
        <f>IFERROR(__xludf.DUMMYFUNCTION("iferror(AVERAGE(ARRAYFORMULA(VLOOKUP(SPLIT(T132,"","",TRUE,TRUE),$R$2:$S654,2,FALSE))),0)"),0.0)</f>
        <v>0</v>
      </c>
      <c r="V132" s="346">
        <f>IFERROR(__xludf.DUMMYFUNCTION("RANK($I132, $I$2:$I654, FALSE) + RANK($M132, Filter($M$2:$M654, $I$2:$I654=$I132),FALSE)+RANK($U132, Filter($U$2:$U654, $I$2:$I654=$I132,$M$2:$M654=$M132),FALSE)-2"),1.0)</f>
        <v>1</v>
      </c>
      <c r="W132" s="347" t="str">
        <f t="shared" si="9"/>
        <v>Underplay</v>
      </c>
      <c r="X132" s="348" t="str">
        <f t="shared" si="10"/>
        <v/>
      </c>
      <c r="Y132" s="349">
        <f>MAXIFS(Matches!$A:$A,Matches!$C:$C,$B132)</f>
        <v>0</v>
      </c>
      <c r="Z132" s="349">
        <f t="array" ref="Z132">XLOOKUP(Y132,Quotas!$B$7:$B$10,Quotas!$A$7:$A$10,0,-1)</f>
        <v>0</v>
      </c>
      <c r="AB132" s="79"/>
      <c r="AC132" s="79">
        <f>COUNTIFS(Matches!$A:$A,"&gt;"&amp;Y132,Matches!$B:$B,$B132)</f>
        <v>0</v>
      </c>
      <c r="AD132" s="79"/>
      <c r="AE132" s="31" t="str">
        <f t="array" ref="AE132">XLOOKUP(B132, 'College List'!A:A, 'College List'!B:B)</f>
        <v>#N/A</v>
      </c>
      <c r="AF132" s="15">
        <v>7.0</v>
      </c>
    </row>
    <row r="133">
      <c r="A133" s="9">
        <f t="shared" si="1"/>
        <v>1</v>
      </c>
      <c r="C133" s="350"/>
      <c r="D133" s="93"/>
      <c r="E133" s="1"/>
      <c r="F133" s="1"/>
      <c r="G133" s="1"/>
      <c r="H133" s="341">
        <f>COUNTIF(Entropy!$D:$D,$B133)+COUNTIF(Matches!$B:$B,$B133)+COUNTIF(Matches!$C:$C,$B133)</f>
        <v>0</v>
      </c>
      <c r="I133" s="342">
        <f>COUNTIF(Matches!$B:$B,B133)</f>
        <v>0</v>
      </c>
      <c r="J133" s="79">
        <f t="shared" si="2"/>
        <v>0</v>
      </c>
      <c r="K133" s="1" t="str">
        <f t="shared" si="3"/>
        <v>0 - 0</v>
      </c>
      <c r="L133" s="343">
        <f>COUNTIF(Entropy!$D:$D,$B133)</f>
        <v>0</v>
      </c>
      <c r="M133" s="344">
        <f t="shared" si="4"/>
        <v>0</v>
      </c>
      <c r="N133" s="344">
        <f t="shared" si="5"/>
        <v>0</v>
      </c>
      <c r="O133" s="341">
        <f>IF($J133=11,0,IF(AND($H133 &gt;=VLOOKUP(Standings!$C$2,Quotas!$A$7:$E$14,4,FALSE), $H133&lt;=VLOOKUP(Standings!$C$2,Quotas!$A$7:$E$14,5,FALSE)), 0,VLOOKUP(Standings!$C$2,Quotas!$A$7:$E$14,4,FALSE)-$H133))</f>
        <v>30</v>
      </c>
      <c r="P133" s="341">
        <f>IF($J133=11,0,IF(AND($H133 &gt;=VLOOKUP(Standings!$C$2,Quotas!$A$7:$E$14,5,FALSE), $H133&lt;=VLOOKUP(Standings!$C$2,Quotas!$A$7:$E$14,5,FALSE)), 0,VLOOKUP(Standings!$C$2,Quotas!$A$7:$E$14,5,FALSE)-$H133))</f>
        <v>30</v>
      </c>
      <c r="Q133" s="79">
        <f t="shared" si="6"/>
        <v>11</v>
      </c>
      <c r="R133" s="345" t="str">
        <f t="shared" si="7"/>
        <v/>
      </c>
      <c r="S133" s="344">
        <f t="shared" si="8"/>
        <v>0.33</v>
      </c>
      <c r="T133" s="345" t="str">
        <f>IFERROR(__xludf.DUMMYFUNCTION("JOIN("","",IFERROR(FILTER(Matches!$B:$B,B133=Matches!$C:$C),""""),IFERROR(FILTER(Matches!$C:$C,B133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33" s="344">
        <f>IFERROR(__xludf.DUMMYFUNCTION("iferror(AVERAGE(ARRAYFORMULA(VLOOKUP(SPLIT(T133,"","",TRUE,TRUE),$R$2:$S654,2,FALSE))),0)"),0.0)</f>
        <v>0</v>
      </c>
      <c r="V133" s="346">
        <f>IFERROR(__xludf.DUMMYFUNCTION("RANK($I133, $I$2:$I654, FALSE) + RANK($M133, Filter($M$2:$M654, $I$2:$I654=$I133),FALSE)+RANK($U133, Filter($U$2:$U654, $I$2:$I654=$I133,$M$2:$M654=$M133),FALSE)-2"),1.0)</f>
        <v>1</v>
      </c>
      <c r="W133" s="347" t="str">
        <f t="shared" si="9"/>
        <v>Underplay</v>
      </c>
      <c r="X133" s="348" t="str">
        <f t="shared" si="10"/>
        <v/>
      </c>
      <c r="Y133" s="349">
        <f>MAXIFS(Matches!$A:$A,Matches!$C:$C,$B133)</f>
        <v>0</v>
      </c>
      <c r="Z133" s="349">
        <f t="array" ref="Z133">XLOOKUP(Y133,Quotas!$B$7:$B$10,Quotas!$A$7:$A$10,0,-1)</f>
        <v>0</v>
      </c>
      <c r="AB133" s="79"/>
      <c r="AC133" s="79">
        <f>COUNTIFS(Matches!$A:$A,"&gt;"&amp;Y133,Matches!$B:$B,$B133)</f>
        <v>0</v>
      </c>
      <c r="AD133" s="79"/>
      <c r="AE133" s="31" t="str">
        <f t="array" ref="AE133">XLOOKUP(B133, 'College List'!A:A, 'College List'!B:B)</f>
        <v>#N/A</v>
      </c>
      <c r="AF133" s="15">
        <v>9.0</v>
      </c>
    </row>
    <row r="134">
      <c r="A134" s="9">
        <f t="shared" si="1"/>
        <v>1</v>
      </c>
      <c r="C134" s="350"/>
      <c r="D134" s="93"/>
      <c r="E134" s="1"/>
      <c r="F134" s="1"/>
      <c r="G134" s="1"/>
      <c r="H134" s="341">
        <f>COUNTIF(Entropy!$D:$D,$B134)+COUNTIF(Matches!$B:$B,$B134)+COUNTIF(Matches!$C:$C,$B134)</f>
        <v>0</v>
      </c>
      <c r="I134" s="342">
        <f>COUNTIF(Matches!$B:$B,B134)</f>
        <v>0</v>
      </c>
      <c r="J134" s="79">
        <f t="shared" si="2"/>
        <v>0</v>
      </c>
      <c r="K134" s="1" t="str">
        <f t="shared" si="3"/>
        <v>0 - 0</v>
      </c>
      <c r="L134" s="343">
        <f>COUNTIF(Entropy!$D:$D,$B134)</f>
        <v>0</v>
      </c>
      <c r="M134" s="344">
        <f t="shared" si="4"/>
        <v>0</v>
      </c>
      <c r="N134" s="344">
        <f t="shared" si="5"/>
        <v>0</v>
      </c>
      <c r="O134" s="341">
        <f>IF($J134=11,0,IF(AND($H134 &gt;=VLOOKUP(Standings!$C$2,Quotas!$A$7:$E$14,4,FALSE), $H134&lt;=VLOOKUP(Standings!$C$2,Quotas!$A$7:$E$14,5,FALSE)), 0,VLOOKUP(Standings!$C$2,Quotas!$A$7:$E$14,4,FALSE)-$H134))</f>
        <v>30</v>
      </c>
      <c r="P134" s="341">
        <f>IF($J134=11,0,IF(AND($H134 &gt;=VLOOKUP(Standings!$C$2,Quotas!$A$7:$E$14,5,FALSE), $H134&lt;=VLOOKUP(Standings!$C$2,Quotas!$A$7:$E$14,5,FALSE)), 0,VLOOKUP(Standings!$C$2,Quotas!$A$7:$E$14,5,FALSE)-$H134))</f>
        <v>30</v>
      </c>
      <c r="Q134" s="79">
        <f t="shared" si="6"/>
        <v>11</v>
      </c>
      <c r="R134" s="345" t="str">
        <f t="shared" si="7"/>
        <v/>
      </c>
      <c r="S134" s="344">
        <f t="shared" si="8"/>
        <v>0.33</v>
      </c>
      <c r="T134" s="345" t="str">
        <f>IFERROR(__xludf.DUMMYFUNCTION("JOIN("","",IFERROR(FILTER(Matches!$B:$B,B134=Matches!$C:$C),""""),IFERROR(FILTER(Matches!$C:$C,B134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34" s="344">
        <f>IFERROR(__xludf.DUMMYFUNCTION("iferror(AVERAGE(ARRAYFORMULA(VLOOKUP(SPLIT(T134,"","",TRUE,TRUE),$R$2:$S654,2,FALSE))),0)"),0.0)</f>
        <v>0</v>
      </c>
      <c r="V134" s="346">
        <f>IFERROR(__xludf.DUMMYFUNCTION("RANK($I134, $I$2:$I654, FALSE) + RANK($M134, Filter($M$2:$M654, $I$2:$I654=$I134),FALSE)+RANK($U134, Filter($U$2:$U654, $I$2:$I654=$I134,$M$2:$M654=$M134),FALSE)-2"),1.0)</f>
        <v>1</v>
      </c>
      <c r="W134" s="347" t="str">
        <f t="shared" si="9"/>
        <v>Underplay</v>
      </c>
      <c r="X134" s="348" t="str">
        <f t="shared" si="10"/>
        <v/>
      </c>
      <c r="Y134" s="349">
        <f>MAXIFS(Matches!$A:$A,Matches!$C:$C,$B134)</f>
        <v>0</v>
      </c>
      <c r="Z134" s="349">
        <f t="array" ref="Z134">XLOOKUP(Y134,Quotas!$B$7:$B$10,Quotas!$A$7:$A$10,0,-1)</f>
        <v>0</v>
      </c>
      <c r="AB134" s="79"/>
      <c r="AC134" s="79">
        <f>COUNTIFS(Matches!$A:$A,"&gt;"&amp;Y134,Matches!$B:$B,$B134)</f>
        <v>0</v>
      </c>
      <c r="AD134" s="79"/>
      <c r="AE134" s="31" t="str">
        <f t="array" ref="AE134">XLOOKUP(B134, 'College List'!A:A, 'College List'!B:B)</f>
        <v>#N/A</v>
      </c>
      <c r="AF134" s="15">
        <v>6.0</v>
      </c>
    </row>
    <row r="135">
      <c r="A135" s="9">
        <f t="shared" si="1"/>
        <v>1</v>
      </c>
      <c r="C135" s="350"/>
      <c r="D135" s="93"/>
      <c r="E135" s="1"/>
      <c r="F135" s="1"/>
      <c r="G135" s="1"/>
      <c r="H135" s="341">
        <f>COUNTIF(Entropy!$D:$D,$B135)+COUNTIF(Matches!$B:$B,$B135)+COUNTIF(Matches!$C:$C,$B135)</f>
        <v>0</v>
      </c>
      <c r="I135" s="342">
        <f>COUNTIF(Matches!$B:$B,B135)</f>
        <v>0</v>
      </c>
      <c r="J135" s="79">
        <f t="shared" si="2"/>
        <v>0</v>
      </c>
      <c r="K135" s="1" t="str">
        <f t="shared" si="3"/>
        <v>0 - 0</v>
      </c>
      <c r="L135" s="343">
        <f>COUNTIF(Entropy!$D:$D,$B135)</f>
        <v>0</v>
      </c>
      <c r="M135" s="344">
        <f t="shared" si="4"/>
        <v>0</v>
      </c>
      <c r="N135" s="344">
        <f t="shared" si="5"/>
        <v>0</v>
      </c>
      <c r="O135" s="341">
        <f>IF($J135=11,0,IF(AND($H135 &gt;=VLOOKUP(Standings!$C$2,Quotas!$A$7:$E$14,4,FALSE), $H135&lt;=VLOOKUP(Standings!$C$2,Quotas!$A$7:$E$14,5,FALSE)), 0,VLOOKUP(Standings!$C$2,Quotas!$A$7:$E$14,4,FALSE)-$H135))</f>
        <v>30</v>
      </c>
      <c r="P135" s="341">
        <f>IF($J135=11,0,IF(AND($H135 &gt;=VLOOKUP(Standings!$C$2,Quotas!$A$7:$E$14,5,FALSE), $H135&lt;=VLOOKUP(Standings!$C$2,Quotas!$A$7:$E$14,5,FALSE)), 0,VLOOKUP(Standings!$C$2,Quotas!$A$7:$E$14,5,FALSE)-$H135))</f>
        <v>30</v>
      </c>
      <c r="Q135" s="79">
        <f t="shared" si="6"/>
        <v>11</v>
      </c>
      <c r="R135" s="345" t="str">
        <f t="shared" si="7"/>
        <v/>
      </c>
      <c r="S135" s="344">
        <f t="shared" si="8"/>
        <v>0.33</v>
      </c>
      <c r="T135" s="345" t="str">
        <f>IFERROR(__xludf.DUMMYFUNCTION("JOIN("","",IFERROR(FILTER(Matches!$B:$B,B135=Matches!$C:$C),""""),IFERROR(FILTER(Matches!$C:$C,B135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35" s="344">
        <f>IFERROR(__xludf.DUMMYFUNCTION("iferror(AVERAGE(ARRAYFORMULA(VLOOKUP(SPLIT(T135,"","",TRUE,TRUE),$R$2:$S654,2,FALSE))),0)"),0.0)</f>
        <v>0</v>
      </c>
      <c r="V135" s="346">
        <f>IFERROR(__xludf.DUMMYFUNCTION("RANK($I135, $I$2:$I654, FALSE) + RANK($M135, Filter($M$2:$M654, $I$2:$I654=$I135),FALSE)+RANK($U135, Filter($U$2:$U654, $I$2:$I654=$I135,$M$2:$M654=$M135),FALSE)-2"),1.0)</f>
        <v>1</v>
      </c>
      <c r="W135" s="347" t="str">
        <f t="shared" si="9"/>
        <v>Underplay</v>
      </c>
      <c r="X135" s="348" t="str">
        <f t="shared" si="10"/>
        <v/>
      </c>
      <c r="Y135" s="349">
        <f>MAXIFS(Matches!$A:$A,Matches!$C:$C,$B135)</f>
        <v>0</v>
      </c>
      <c r="Z135" s="349">
        <f t="array" ref="Z135">XLOOKUP(Y135,Quotas!$B$7:$B$10,Quotas!$A$7:$A$10,0,-1)</f>
        <v>0</v>
      </c>
      <c r="AB135" s="79"/>
      <c r="AC135" s="79">
        <f>COUNTIFS(Matches!$A:$A,"&gt;"&amp;Y135,Matches!$B:$B,$B135)</f>
        <v>0</v>
      </c>
      <c r="AD135" s="79"/>
      <c r="AE135" s="31" t="str">
        <f t="array" ref="AE135">XLOOKUP(B135, 'College List'!A:A, 'College List'!B:B)</f>
        <v>#N/A</v>
      </c>
      <c r="AF135" s="15">
        <v>10.0</v>
      </c>
    </row>
    <row r="136">
      <c r="A136" s="9">
        <f t="shared" si="1"/>
        <v>1</v>
      </c>
      <c r="C136" s="350"/>
      <c r="D136" s="93"/>
      <c r="E136" s="1"/>
      <c r="F136" s="1"/>
      <c r="G136" s="1"/>
      <c r="H136" s="341">
        <f>COUNTIF(Entropy!$D:$D,$B136)+COUNTIF(Matches!$B:$B,$B136)+COUNTIF(Matches!$C:$C,$B136)</f>
        <v>0</v>
      </c>
      <c r="I136" s="342">
        <f>COUNTIF(Matches!$B:$B,B136)</f>
        <v>0</v>
      </c>
      <c r="J136" s="79">
        <f t="shared" si="2"/>
        <v>0</v>
      </c>
      <c r="K136" s="1" t="str">
        <f t="shared" si="3"/>
        <v>0 - 0</v>
      </c>
      <c r="L136" s="343">
        <f>COUNTIF(Entropy!$D:$D,$B136)</f>
        <v>0</v>
      </c>
      <c r="M136" s="344">
        <f t="shared" si="4"/>
        <v>0</v>
      </c>
      <c r="N136" s="344">
        <f t="shared" si="5"/>
        <v>0</v>
      </c>
      <c r="O136" s="341">
        <f>IF($J136=11,0,IF(AND($H136 &gt;=VLOOKUP(Standings!$C$2,Quotas!$A$7:$E$14,4,FALSE), $H136&lt;=VLOOKUP(Standings!$C$2,Quotas!$A$7:$E$14,5,FALSE)), 0,VLOOKUP(Standings!$C$2,Quotas!$A$7:$E$14,4,FALSE)-$H136))</f>
        <v>30</v>
      </c>
      <c r="P136" s="341">
        <f>IF($J136=11,0,IF(AND($H136 &gt;=VLOOKUP(Standings!$C$2,Quotas!$A$7:$E$14,5,FALSE), $H136&lt;=VLOOKUP(Standings!$C$2,Quotas!$A$7:$E$14,5,FALSE)), 0,VLOOKUP(Standings!$C$2,Quotas!$A$7:$E$14,5,FALSE)-$H136))</f>
        <v>30</v>
      </c>
      <c r="Q136" s="79">
        <f t="shared" si="6"/>
        <v>11</v>
      </c>
      <c r="R136" s="345" t="str">
        <f t="shared" si="7"/>
        <v/>
      </c>
      <c r="S136" s="344">
        <f t="shared" si="8"/>
        <v>0.33</v>
      </c>
      <c r="T136" s="345" t="str">
        <f>IFERROR(__xludf.DUMMYFUNCTION("JOIN("","",IFERROR(FILTER(Matches!$B:$B,B136=Matches!$C:$C),""""),IFERROR(FILTER(Matches!$C:$C,B136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36" s="344">
        <f>IFERROR(__xludf.DUMMYFUNCTION("iferror(AVERAGE(ARRAYFORMULA(VLOOKUP(SPLIT(T136,"","",TRUE,TRUE),$R$2:$S654,2,FALSE))),0)"),0.0)</f>
        <v>0</v>
      </c>
      <c r="V136" s="346">
        <f>IFERROR(__xludf.DUMMYFUNCTION("RANK($I136, $I$2:$I654, FALSE) + RANK($M136, Filter($M$2:$M654, $I$2:$I654=$I136),FALSE)+RANK($U136, Filter($U$2:$U654, $I$2:$I654=$I136,$M$2:$M654=$M136),FALSE)-2"),1.0)</f>
        <v>1</v>
      </c>
      <c r="W136" s="347" t="str">
        <f t="shared" si="9"/>
        <v>Underplay</v>
      </c>
      <c r="X136" s="348" t="str">
        <f t="shared" si="10"/>
        <v/>
      </c>
      <c r="Y136" s="349">
        <f>MAXIFS(Matches!$A:$A,Matches!$C:$C,$B136)</f>
        <v>0</v>
      </c>
      <c r="Z136" s="349">
        <f t="array" ref="Z136">XLOOKUP(Y136,Quotas!$B$7:$B$10,Quotas!$A$7:$A$10,0,-1)</f>
        <v>0</v>
      </c>
      <c r="AB136" s="79"/>
      <c r="AC136" s="79">
        <f>COUNTIFS(Matches!$A:$A,"&gt;"&amp;Y136,Matches!$B:$B,$B136)</f>
        <v>0</v>
      </c>
      <c r="AD136" s="79"/>
      <c r="AE136" s="31" t="str">
        <f t="array" ref="AE136">XLOOKUP(B136, 'College List'!A:A, 'College List'!B:B)</f>
        <v>#N/A</v>
      </c>
    </row>
    <row r="137">
      <c r="A137" s="9">
        <f t="shared" si="1"/>
        <v>1</v>
      </c>
      <c r="C137" s="350"/>
      <c r="D137" s="93"/>
      <c r="E137" s="1"/>
      <c r="F137" s="1"/>
      <c r="G137" s="1"/>
      <c r="H137" s="341">
        <f>COUNTIF(Entropy!$D:$D,$B137)+COUNTIF(Matches!$B:$B,$B137)+COUNTIF(Matches!$C:$C,$B137)</f>
        <v>0</v>
      </c>
      <c r="I137" s="342">
        <f>COUNTIF(Matches!$B:$B,B137)</f>
        <v>0</v>
      </c>
      <c r="J137" s="79">
        <f t="shared" si="2"/>
        <v>0</v>
      </c>
      <c r="K137" s="1" t="str">
        <f t="shared" si="3"/>
        <v>0 - 0</v>
      </c>
      <c r="L137" s="343">
        <f>COUNTIF(Entropy!$D:$D,$B137)</f>
        <v>0</v>
      </c>
      <c r="M137" s="344">
        <f t="shared" si="4"/>
        <v>0</v>
      </c>
      <c r="N137" s="344">
        <f t="shared" si="5"/>
        <v>0</v>
      </c>
      <c r="O137" s="341">
        <f>IF($J137=11,0,IF(AND($H137 &gt;=VLOOKUP(Standings!$C$2,Quotas!$A$7:$E$14,4,FALSE), $H137&lt;=VLOOKUP(Standings!$C$2,Quotas!$A$7:$E$14,5,FALSE)), 0,VLOOKUP(Standings!$C$2,Quotas!$A$7:$E$14,4,FALSE)-$H137))</f>
        <v>30</v>
      </c>
      <c r="P137" s="341">
        <f>IF($J137=11,0,IF(AND($H137 &gt;=VLOOKUP(Standings!$C$2,Quotas!$A$7:$E$14,5,FALSE), $H137&lt;=VLOOKUP(Standings!$C$2,Quotas!$A$7:$E$14,5,FALSE)), 0,VLOOKUP(Standings!$C$2,Quotas!$A$7:$E$14,5,FALSE)-$H137))</f>
        <v>30</v>
      </c>
      <c r="Q137" s="79">
        <f t="shared" si="6"/>
        <v>11</v>
      </c>
      <c r="R137" s="345" t="str">
        <f t="shared" si="7"/>
        <v/>
      </c>
      <c r="S137" s="344">
        <f t="shared" si="8"/>
        <v>0.33</v>
      </c>
      <c r="T137" s="345" t="str">
        <f>IFERROR(__xludf.DUMMYFUNCTION("JOIN("","",IFERROR(FILTER(Matches!$B:$B,B137=Matches!$C:$C),""""),IFERROR(FILTER(Matches!$C:$C,B137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37" s="344">
        <f>IFERROR(__xludf.DUMMYFUNCTION("iferror(AVERAGE(ARRAYFORMULA(VLOOKUP(SPLIT(T137,"","",TRUE,TRUE),$R$2:$S654,2,FALSE))),0)"),0.0)</f>
        <v>0</v>
      </c>
      <c r="V137" s="346">
        <f>IFERROR(__xludf.DUMMYFUNCTION("RANK($I137, $I$2:$I654, FALSE) + RANK($M137, Filter($M$2:$M654, $I$2:$I654=$I137),FALSE)+RANK($U137, Filter($U$2:$U654, $I$2:$I654=$I137,$M$2:$M654=$M137),FALSE)-2"),1.0)</f>
        <v>1</v>
      </c>
      <c r="W137" s="347" t="str">
        <f t="shared" si="9"/>
        <v>Underplay</v>
      </c>
      <c r="X137" s="348" t="str">
        <f t="shared" si="10"/>
        <v/>
      </c>
      <c r="Y137" s="349">
        <f>MAXIFS(Matches!$A:$A,Matches!$C:$C,$B137)</f>
        <v>0</v>
      </c>
      <c r="Z137" s="349">
        <f t="array" ref="Z137">XLOOKUP(Y137,Quotas!$B$7:$B$10,Quotas!$A$7:$A$10,0,-1)</f>
        <v>0</v>
      </c>
      <c r="AB137" s="79"/>
      <c r="AC137" s="79">
        <f>COUNTIFS(Matches!$A:$A,"&gt;"&amp;Y137,Matches!$B:$B,$B137)</f>
        <v>0</v>
      </c>
      <c r="AD137" s="79"/>
      <c r="AE137" s="31" t="str">
        <f t="array" ref="AE137">XLOOKUP(B137, 'College List'!A:A, 'College List'!B:B)</f>
        <v>#N/A</v>
      </c>
    </row>
    <row r="138">
      <c r="A138" s="9">
        <f t="shared" si="1"/>
        <v>1</v>
      </c>
      <c r="C138" s="350"/>
      <c r="D138" s="93"/>
      <c r="E138" s="1"/>
      <c r="F138" s="1"/>
      <c r="G138" s="1"/>
      <c r="H138" s="341">
        <f>COUNTIF(Entropy!$D:$D,$B138)+COUNTIF(Matches!$B:$B,$B138)+COUNTIF(Matches!$C:$C,$B138)</f>
        <v>0</v>
      </c>
      <c r="I138" s="342">
        <f>COUNTIF(Matches!$B:$B,B138)</f>
        <v>0</v>
      </c>
      <c r="J138" s="79">
        <f t="shared" si="2"/>
        <v>0</v>
      </c>
      <c r="K138" s="1" t="str">
        <f t="shared" si="3"/>
        <v>0 - 0</v>
      </c>
      <c r="L138" s="343">
        <f>COUNTIF(Entropy!$D:$D,$B138)</f>
        <v>0</v>
      </c>
      <c r="M138" s="344">
        <f t="shared" si="4"/>
        <v>0</v>
      </c>
      <c r="N138" s="344">
        <f t="shared" si="5"/>
        <v>0</v>
      </c>
      <c r="O138" s="341">
        <f>IF($J138=11,0,IF(AND($H138 &gt;=VLOOKUP(Standings!$C$2,Quotas!$A$7:$E$14,4,FALSE), $H138&lt;=VLOOKUP(Standings!$C$2,Quotas!$A$7:$E$14,5,FALSE)), 0,VLOOKUP(Standings!$C$2,Quotas!$A$7:$E$14,4,FALSE)-$H138))</f>
        <v>30</v>
      </c>
      <c r="P138" s="341">
        <f>IF($J138=11,0,IF(AND($H138 &gt;=VLOOKUP(Standings!$C$2,Quotas!$A$7:$E$14,5,FALSE), $H138&lt;=VLOOKUP(Standings!$C$2,Quotas!$A$7:$E$14,5,FALSE)), 0,VLOOKUP(Standings!$C$2,Quotas!$A$7:$E$14,5,FALSE)-$H138))</f>
        <v>30</v>
      </c>
      <c r="Q138" s="79">
        <f t="shared" si="6"/>
        <v>11</v>
      </c>
      <c r="R138" s="345" t="str">
        <f t="shared" si="7"/>
        <v/>
      </c>
      <c r="S138" s="344">
        <f t="shared" si="8"/>
        <v>0.33</v>
      </c>
      <c r="T138" s="345" t="str">
        <f>IFERROR(__xludf.DUMMYFUNCTION("JOIN("","",IFERROR(FILTER(Matches!$B:$B,B138=Matches!$C:$C),""""),IFERROR(FILTER(Matches!$C:$C,B138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38" s="344">
        <f>IFERROR(__xludf.DUMMYFUNCTION("iferror(AVERAGE(ARRAYFORMULA(VLOOKUP(SPLIT(T138,"","",TRUE,TRUE),$R$2:$S654,2,FALSE))),0)"),0.0)</f>
        <v>0</v>
      </c>
      <c r="V138" s="346">
        <f>IFERROR(__xludf.DUMMYFUNCTION("RANK($I138, $I$2:$I654, FALSE) + RANK($M138, Filter($M$2:$M654, $I$2:$I654=$I138),FALSE)+RANK($U138, Filter($U$2:$U654, $I$2:$I654=$I138,$M$2:$M654=$M138),FALSE)-2"),1.0)</f>
        <v>1</v>
      </c>
      <c r="W138" s="347" t="str">
        <f t="shared" si="9"/>
        <v>Underplay</v>
      </c>
      <c r="X138" s="348" t="str">
        <f t="shared" si="10"/>
        <v/>
      </c>
      <c r="Y138" s="349">
        <f>MAXIFS(Matches!$A:$A,Matches!$C:$C,$B138)</f>
        <v>0</v>
      </c>
      <c r="Z138" s="349">
        <f t="array" ref="Z138">XLOOKUP(Y138,Quotas!$B$7:$B$10,Quotas!$A$7:$A$10,0,-1)</f>
        <v>0</v>
      </c>
      <c r="AB138" s="79"/>
      <c r="AC138" s="79">
        <f>COUNTIFS(Matches!$A:$A,"&gt;"&amp;Y138,Matches!$B:$B,$B138)</f>
        <v>0</v>
      </c>
      <c r="AD138" s="79"/>
      <c r="AE138" s="31" t="str">
        <f t="array" ref="AE138">XLOOKUP(B138, 'College List'!A:A, 'College List'!B:B)</f>
        <v>#N/A</v>
      </c>
      <c r="AF138" s="15">
        <v>7.0</v>
      </c>
    </row>
    <row r="139">
      <c r="A139" s="9">
        <f t="shared" si="1"/>
        <v>1</v>
      </c>
      <c r="C139" s="350"/>
      <c r="D139" s="93"/>
      <c r="E139" s="1"/>
      <c r="F139" s="1"/>
      <c r="G139" s="1"/>
      <c r="H139" s="341">
        <f>COUNTIF(Entropy!$D:$D,$B139)+COUNTIF(Matches!$B:$B,$B139)+COUNTIF(Matches!$C:$C,$B139)</f>
        <v>0</v>
      </c>
      <c r="I139" s="342">
        <f>COUNTIF(Matches!$B:$B,B139)</f>
        <v>0</v>
      </c>
      <c r="J139" s="79">
        <f t="shared" si="2"/>
        <v>0</v>
      </c>
      <c r="K139" s="1" t="str">
        <f t="shared" si="3"/>
        <v>0 - 0</v>
      </c>
      <c r="L139" s="343">
        <f>COUNTIF(Entropy!$D:$D,$B139)</f>
        <v>0</v>
      </c>
      <c r="M139" s="344">
        <f t="shared" si="4"/>
        <v>0</v>
      </c>
      <c r="N139" s="344">
        <f t="shared" si="5"/>
        <v>0</v>
      </c>
      <c r="O139" s="341">
        <f>IF($J139=11,0,IF(AND($H139 &gt;=VLOOKUP(Standings!$C$2,Quotas!$A$7:$E$14,4,FALSE), $H139&lt;=VLOOKUP(Standings!$C$2,Quotas!$A$7:$E$14,5,FALSE)), 0,VLOOKUP(Standings!$C$2,Quotas!$A$7:$E$14,4,FALSE)-$H139))</f>
        <v>30</v>
      </c>
      <c r="P139" s="341">
        <f>IF($J139=11,0,IF(AND($H139 &gt;=VLOOKUP(Standings!$C$2,Quotas!$A$7:$E$14,5,FALSE), $H139&lt;=VLOOKUP(Standings!$C$2,Quotas!$A$7:$E$14,5,FALSE)), 0,VLOOKUP(Standings!$C$2,Quotas!$A$7:$E$14,5,FALSE)-$H139))</f>
        <v>30</v>
      </c>
      <c r="Q139" s="79">
        <f t="shared" si="6"/>
        <v>11</v>
      </c>
      <c r="R139" s="345" t="str">
        <f t="shared" si="7"/>
        <v/>
      </c>
      <c r="S139" s="344">
        <f t="shared" si="8"/>
        <v>0.33</v>
      </c>
      <c r="T139" s="345" t="str">
        <f>IFERROR(__xludf.DUMMYFUNCTION("JOIN("","",IFERROR(FILTER(Matches!$B:$B,B139=Matches!$C:$C),""""),IFERROR(FILTER(Matches!$C:$C,B139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39" s="344">
        <f>IFERROR(__xludf.DUMMYFUNCTION("iferror(AVERAGE(ARRAYFORMULA(VLOOKUP(SPLIT(T139,"","",TRUE,TRUE),$R$2:$S654,2,FALSE))),0)"),0.0)</f>
        <v>0</v>
      </c>
      <c r="V139" s="346">
        <f>IFERROR(__xludf.DUMMYFUNCTION("RANK($I139, $I$2:$I654, FALSE) + RANK($M139, Filter($M$2:$M654, $I$2:$I654=$I139),FALSE)+RANK($U139, Filter($U$2:$U654, $I$2:$I654=$I139,$M$2:$M654=$M139),FALSE)-2"),1.0)</f>
        <v>1</v>
      </c>
      <c r="W139" s="347" t="str">
        <f t="shared" si="9"/>
        <v>Underplay</v>
      </c>
      <c r="X139" s="348" t="str">
        <f t="shared" si="10"/>
        <v/>
      </c>
      <c r="Y139" s="349">
        <f>MAXIFS(Matches!$A:$A,Matches!$C:$C,$B139)</f>
        <v>0</v>
      </c>
      <c r="Z139" s="349">
        <f t="array" ref="Z139">XLOOKUP(Y139,Quotas!$B$7:$B$10,Quotas!$A$7:$A$10,0,-1)</f>
        <v>0</v>
      </c>
      <c r="AB139" s="79"/>
      <c r="AC139" s="79">
        <f>COUNTIFS(Matches!$A:$A,"&gt;"&amp;Y139,Matches!$B:$B,$B139)</f>
        <v>0</v>
      </c>
      <c r="AD139" s="79"/>
      <c r="AE139" s="31" t="str">
        <f t="array" ref="AE139">XLOOKUP(B139, 'College List'!A:A, 'College List'!B:B)</f>
        <v>#N/A</v>
      </c>
      <c r="AF139" s="15">
        <v>9.0</v>
      </c>
    </row>
    <row r="140">
      <c r="A140" s="9">
        <f t="shared" si="1"/>
        <v>1</v>
      </c>
      <c r="C140" s="350"/>
      <c r="D140" s="93"/>
      <c r="E140" s="1"/>
      <c r="F140" s="1"/>
      <c r="G140" s="1"/>
      <c r="H140" s="341">
        <f>COUNTIF(Entropy!$D:$D,$B140)+COUNTIF(Matches!$B:$B,$B140)+COUNTIF(Matches!$C:$C,$B140)</f>
        <v>0</v>
      </c>
      <c r="I140" s="342">
        <f>COUNTIF(Matches!$B:$B,B140)</f>
        <v>0</v>
      </c>
      <c r="J140" s="79">
        <f t="shared" si="2"/>
        <v>0</v>
      </c>
      <c r="K140" s="1" t="str">
        <f t="shared" si="3"/>
        <v>0 - 0</v>
      </c>
      <c r="L140" s="343">
        <f>COUNTIF(Entropy!$D:$D,$B140)</f>
        <v>0</v>
      </c>
      <c r="M140" s="344">
        <f t="shared" si="4"/>
        <v>0</v>
      </c>
      <c r="N140" s="344">
        <f t="shared" si="5"/>
        <v>0</v>
      </c>
      <c r="O140" s="341">
        <f>IF($J140=11,0,IF(AND($H140 &gt;=VLOOKUP(Standings!$C$2,Quotas!$A$7:$E$14,4,FALSE), $H140&lt;=VLOOKUP(Standings!$C$2,Quotas!$A$7:$E$14,5,FALSE)), 0,VLOOKUP(Standings!$C$2,Quotas!$A$7:$E$14,4,FALSE)-$H140))</f>
        <v>30</v>
      </c>
      <c r="P140" s="341">
        <f>IF($J140=11,0,IF(AND($H140 &gt;=VLOOKUP(Standings!$C$2,Quotas!$A$7:$E$14,5,FALSE), $H140&lt;=VLOOKUP(Standings!$C$2,Quotas!$A$7:$E$14,5,FALSE)), 0,VLOOKUP(Standings!$C$2,Quotas!$A$7:$E$14,5,FALSE)-$H140))</f>
        <v>30</v>
      </c>
      <c r="Q140" s="79">
        <f t="shared" si="6"/>
        <v>11</v>
      </c>
      <c r="R140" s="345" t="str">
        <f t="shared" si="7"/>
        <v/>
      </c>
      <c r="S140" s="344">
        <f t="shared" si="8"/>
        <v>0.33</v>
      </c>
      <c r="T140" s="345" t="str">
        <f>IFERROR(__xludf.DUMMYFUNCTION("JOIN("","",IFERROR(FILTER(Matches!$B:$B,B140=Matches!$C:$C),""""),IFERROR(FILTER(Matches!$C:$C,B140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40" s="344">
        <f>IFERROR(__xludf.DUMMYFUNCTION("iferror(AVERAGE(ARRAYFORMULA(VLOOKUP(SPLIT(T140,"","",TRUE,TRUE),$R$2:$S654,2,FALSE))),0)"),0.0)</f>
        <v>0</v>
      </c>
      <c r="V140" s="346">
        <f>IFERROR(__xludf.DUMMYFUNCTION("RANK($I140, $I$2:$I654, FALSE) + RANK($M140, Filter($M$2:$M654, $I$2:$I654=$I140),FALSE)+RANK($U140, Filter($U$2:$U654, $I$2:$I654=$I140,$M$2:$M654=$M140),FALSE)-2"),1.0)</f>
        <v>1</v>
      </c>
      <c r="W140" s="347" t="str">
        <f t="shared" si="9"/>
        <v>Underplay</v>
      </c>
      <c r="X140" s="348" t="str">
        <f t="shared" si="10"/>
        <v/>
      </c>
      <c r="Y140" s="349">
        <f>MAXIFS(Matches!$A:$A,Matches!$C:$C,$B140)</f>
        <v>0</v>
      </c>
      <c r="Z140" s="349">
        <f t="array" ref="Z140">XLOOKUP(Y140,Quotas!$B$7:$B$10,Quotas!$A$7:$A$10,0,-1)</f>
        <v>0</v>
      </c>
      <c r="AB140" s="79"/>
      <c r="AC140" s="79">
        <f>COUNTIFS(Matches!$A:$A,"&gt;"&amp;Y140,Matches!$B:$B,$B140)</f>
        <v>0</v>
      </c>
      <c r="AD140" s="79"/>
      <c r="AE140" s="31" t="str">
        <f t="array" ref="AE140">XLOOKUP(B140, 'College List'!A:A, 'College List'!B:B)</f>
        <v>#N/A</v>
      </c>
      <c r="AF140" s="15">
        <v>9.0</v>
      </c>
    </row>
    <row r="141">
      <c r="A141" s="9">
        <f t="shared" si="1"/>
        <v>1</v>
      </c>
      <c r="C141" s="350"/>
      <c r="D141" s="93"/>
      <c r="E141" s="1"/>
      <c r="F141" s="1"/>
      <c r="G141" s="1"/>
      <c r="H141" s="341">
        <f>COUNTIF(Entropy!$D:$D,$B141)+COUNTIF(Matches!$B:$B,$B141)+COUNTIF(Matches!$C:$C,$B141)</f>
        <v>0</v>
      </c>
      <c r="I141" s="342">
        <f>COUNTIF(Matches!$B:$B,B141)</f>
        <v>0</v>
      </c>
      <c r="J141" s="79">
        <f t="shared" si="2"/>
        <v>0</v>
      </c>
      <c r="K141" s="1" t="str">
        <f t="shared" si="3"/>
        <v>0 - 0</v>
      </c>
      <c r="L141" s="343">
        <f>COUNTIF(Entropy!$D:$D,$B141)</f>
        <v>0</v>
      </c>
      <c r="M141" s="344">
        <f t="shared" si="4"/>
        <v>0</v>
      </c>
      <c r="N141" s="344">
        <f t="shared" si="5"/>
        <v>0</v>
      </c>
      <c r="O141" s="341">
        <f>IF($J141=11,0,IF(AND($H141 &gt;=VLOOKUP(Standings!$C$2,Quotas!$A$7:$E$14,4,FALSE), $H141&lt;=VLOOKUP(Standings!$C$2,Quotas!$A$7:$E$14,5,FALSE)), 0,VLOOKUP(Standings!$C$2,Quotas!$A$7:$E$14,4,FALSE)-$H141))</f>
        <v>30</v>
      </c>
      <c r="P141" s="341">
        <f>IF($J141=11,0,IF(AND($H141 &gt;=VLOOKUP(Standings!$C$2,Quotas!$A$7:$E$14,5,FALSE), $H141&lt;=VLOOKUP(Standings!$C$2,Quotas!$A$7:$E$14,5,FALSE)), 0,VLOOKUP(Standings!$C$2,Quotas!$A$7:$E$14,5,FALSE)-$H141))</f>
        <v>30</v>
      </c>
      <c r="Q141" s="79">
        <f t="shared" si="6"/>
        <v>11</v>
      </c>
      <c r="R141" s="345" t="str">
        <f t="shared" si="7"/>
        <v/>
      </c>
      <c r="S141" s="344">
        <f t="shared" si="8"/>
        <v>0.33</v>
      </c>
      <c r="T141" s="345" t="str">
        <f>IFERROR(__xludf.DUMMYFUNCTION("JOIN("","",IFERROR(FILTER(Matches!$B:$B,B141=Matches!$C:$C),""""),IFERROR(FILTER(Matches!$C:$C,B141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41" s="344">
        <f>IFERROR(__xludf.DUMMYFUNCTION("iferror(AVERAGE(ARRAYFORMULA(VLOOKUP(SPLIT(T141,"","",TRUE,TRUE),$R$2:$S654,2,FALSE))),0)"),0.0)</f>
        <v>0</v>
      </c>
      <c r="V141" s="346">
        <f>IFERROR(__xludf.DUMMYFUNCTION("RANK($I141, $I$2:$I654, FALSE) + RANK($M141, Filter($M$2:$M654, $I$2:$I654=$I141),FALSE)+RANK($U141, Filter($U$2:$U654, $I$2:$I654=$I141,$M$2:$M654=$M141),FALSE)-2"),1.0)</f>
        <v>1</v>
      </c>
      <c r="W141" s="347" t="str">
        <f t="shared" si="9"/>
        <v>Underplay</v>
      </c>
      <c r="X141" s="348" t="str">
        <f t="shared" si="10"/>
        <v/>
      </c>
      <c r="Y141" s="349">
        <f>MAXIFS(Matches!$A:$A,Matches!$C:$C,$B141)</f>
        <v>0</v>
      </c>
      <c r="Z141" s="349">
        <f t="array" ref="Z141">XLOOKUP(Y141,Quotas!$B$7:$B$10,Quotas!$A$7:$A$10,0,-1)</f>
        <v>0</v>
      </c>
      <c r="AB141" s="79"/>
      <c r="AC141" s="79">
        <f>COUNTIFS(Matches!$A:$A,"&gt;"&amp;Y141,Matches!$B:$B,$B141)</f>
        <v>0</v>
      </c>
      <c r="AD141" s="79"/>
      <c r="AE141" s="31" t="str">
        <f t="array" ref="AE141">XLOOKUP(B141, 'College List'!A:A, 'College List'!B:B)</f>
        <v>#N/A</v>
      </c>
      <c r="AF141" s="15">
        <v>9.0</v>
      </c>
    </row>
    <row r="142">
      <c r="A142" s="9">
        <f t="shared" si="1"/>
        <v>1</v>
      </c>
      <c r="C142" s="350"/>
      <c r="D142" s="93"/>
      <c r="E142" s="1"/>
      <c r="F142" s="1"/>
      <c r="G142" s="1"/>
      <c r="H142" s="341">
        <f>COUNTIF(Entropy!$D:$D,$B142)+COUNTIF(Matches!$B:$B,$B142)+COUNTIF(Matches!$C:$C,$B142)</f>
        <v>0</v>
      </c>
      <c r="I142" s="342">
        <f>COUNTIF(Matches!$B:$B,B142)</f>
        <v>0</v>
      </c>
      <c r="J142" s="79">
        <f t="shared" si="2"/>
        <v>0</v>
      </c>
      <c r="K142" s="1" t="str">
        <f t="shared" si="3"/>
        <v>0 - 0</v>
      </c>
      <c r="L142" s="343">
        <f>COUNTIF(Entropy!$D:$D,$B142)</f>
        <v>0</v>
      </c>
      <c r="M142" s="344">
        <f t="shared" si="4"/>
        <v>0</v>
      </c>
      <c r="N142" s="344">
        <f t="shared" si="5"/>
        <v>0</v>
      </c>
      <c r="O142" s="341">
        <f>IF($J142=11,0,IF(AND($H142 &gt;=VLOOKUP(Standings!$C$2,Quotas!$A$7:$E$14,4,FALSE), $H142&lt;=VLOOKUP(Standings!$C$2,Quotas!$A$7:$E$14,5,FALSE)), 0,VLOOKUP(Standings!$C$2,Quotas!$A$7:$E$14,4,FALSE)-$H142))</f>
        <v>30</v>
      </c>
      <c r="P142" s="341">
        <f>IF($J142=11,0,IF(AND($H142 &gt;=VLOOKUP(Standings!$C$2,Quotas!$A$7:$E$14,5,FALSE), $H142&lt;=VLOOKUP(Standings!$C$2,Quotas!$A$7:$E$14,5,FALSE)), 0,VLOOKUP(Standings!$C$2,Quotas!$A$7:$E$14,5,FALSE)-$H142))</f>
        <v>30</v>
      </c>
      <c r="Q142" s="79">
        <f t="shared" si="6"/>
        <v>11</v>
      </c>
      <c r="R142" s="345" t="str">
        <f t="shared" si="7"/>
        <v/>
      </c>
      <c r="S142" s="344">
        <f t="shared" si="8"/>
        <v>0.33</v>
      </c>
      <c r="T142" s="345" t="str">
        <f>IFERROR(__xludf.DUMMYFUNCTION("JOIN("","",IFERROR(FILTER(Matches!$B:$B,B142=Matches!$C:$C),""""),IFERROR(FILTER(Matches!$C:$C,B142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42" s="344">
        <f>IFERROR(__xludf.DUMMYFUNCTION("iferror(AVERAGE(ARRAYFORMULA(VLOOKUP(SPLIT(T142,"","",TRUE,TRUE),$R$2:$S654,2,FALSE))),0)"),0.0)</f>
        <v>0</v>
      </c>
      <c r="V142" s="346">
        <f>IFERROR(__xludf.DUMMYFUNCTION("RANK($I142, $I$2:$I654, FALSE) + RANK($M142, Filter($M$2:$M654, $I$2:$I654=$I142),FALSE)+RANK($U142, Filter($U$2:$U654, $I$2:$I654=$I142,$M$2:$M654=$M142),FALSE)-2"),1.0)</f>
        <v>1</v>
      </c>
      <c r="W142" s="347" t="str">
        <f t="shared" si="9"/>
        <v>Underplay</v>
      </c>
      <c r="X142" s="348" t="str">
        <f t="shared" si="10"/>
        <v/>
      </c>
      <c r="Y142" s="349">
        <f>MAXIFS(Matches!$A:$A,Matches!$C:$C,$B142)</f>
        <v>0</v>
      </c>
      <c r="Z142" s="349">
        <f t="array" ref="Z142">XLOOKUP(Y142,Quotas!$B$7:$B$10,Quotas!$A$7:$A$10,0,-1)</f>
        <v>0</v>
      </c>
      <c r="AB142" s="79"/>
      <c r="AC142" s="79">
        <f>COUNTIFS(Matches!$A:$A,"&gt;"&amp;Y142,Matches!$B:$B,$B142)</f>
        <v>0</v>
      </c>
      <c r="AD142" s="79"/>
      <c r="AE142" s="31" t="str">
        <f t="array" ref="AE142">XLOOKUP(B142, 'College List'!A:A, 'College List'!B:B)</f>
        <v>#N/A</v>
      </c>
      <c r="AF142" s="15">
        <v>9.0</v>
      </c>
    </row>
    <row r="143">
      <c r="A143" s="9">
        <f t="shared" si="1"/>
        <v>1</v>
      </c>
      <c r="C143" s="350"/>
      <c r="D143" s="93"/>
      <c r="E143" s="1"/>
      <c r="F143" s="1"/>
      <c r="G143" s="1"/>
      <c r="H143" s="341">
        <f>COUNTIF(Entropy!$D:$D,$B143)+COUNTIF(Matches!$B:$B,$B143)+COUNTIF(Matches!$C:$C,$B143)</f>
        <v>0</v>
      </c>
      <c r="I143" s="342">
        <f>COUNTIF(Matches!$B:$B,B143)</f>
        <v>0</v>
      </c>
      <c r="J143" s="79">
        <f t="shared" si="2"/>
        <v>0</v>
      </c>
      <c r="K143" s="1" t="str">
        <f t="shared" si="3"/>
        <v>0 - 0</v>
      </c>
      <c r="L143" s="343">
        <f>COUNTIF(Entropy!$D:$D,$B143)</f>
        <v>0</v>
      </c>
      <c r="M143" s="344">
        <f t="shared" si="4"/>
        <v>0</v>
      </c>
      <c r="N143" s="344">
        <f t="shared" si="5"/>
        <v>0</v>
      </c>
      <c r="O143" s="341">
        <f>IF($J143=11,0,IF(AND($H143 &gt;=VLOOKUP(Standings!$C$2,Quotas!$A$7:$E$14,4,FALSE), $H143&lt;=VLOOKUP(Standings!$C$2,Quotas!$A$7:$E$14,5,FALSE)), 0,VLOOKUP(Standings!$C$2,Quotas!$A$7:$E$14,4,FALSE)-$H143))</f>
        <v>30</v>
      </c>
      <c r="P143" s="341">
        <f>IF($J143=11,0,IF(AND($H143 &gt;=VLOOKUP(Standings!$C$2,Quotas!$A$7:$E$14,5,FALSE), $H143&lt;=VLOOKUP(Standings!$C$2,Quotas!$A$7:$E$14,5,FALSE)), 0,VLOOKUP(Standings!$C$2,Quotas!$A$7:$E$14,5,FALSE)-$H143))</f>
        <v>30</v>
      </c>
      <c r="Q143" s="79">
        <f t="shared" si="6"/>
        <v>11</v>
      </c>
      <c r="R143" s="345" t="str">
        <f t="shared" si="7"/>
        <v/>
      </c>
      <c r="S143" s="344">
        <f t="shared" si="8"/>
        <v>0.33</v>
      </c>
      <c r="T143" s="345" t="str">
        <f>IFERROR(__xludf.DUMMYFUNCTION("JOIN("","",IFERROR(FILTER(Matches!$B:$B,B143=Matches!$C:$C),""""),IFERROR(FILTER(Matches!$C:$C,B143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43" s="344">
        <f>IFERROR(__xludf.DUMMYFUNCTION("iferror(AVERAGE(ARRAYFORMULA(VLOOKUP(SPLIT(T143,"","",TRUE,TRUE),$R$2:$S654,2,FALSE))),0)"),0.0)</f>
        <v>0</v>
      </c>
      <c r="V143" s="346">
        <f>IFERROR(__xludf.DUMMYFUNCTION("RANK($I143, $I$2:$I654, FALSE) + RANK($M143, Filter($M$2:$M654, $I$2:$I654=$I143),FALSE)+RANK($U143, Filter($U$2:$U654, $I$2:$I654=$I143,$M$2:$M654=$M143),FALSE)-2"),1.0)</f>
        <v>1</v>
      </c>
      <c r="W143" s="347" t="str">
        <f t="shared" si="9"/>
        <v>Underplay</v>
      </c>
      <c r="X143" s="348" t="str">
        <f t="shared" si="10"/>
        <v/>
      </c>
      <c r="Y143" s="349">
        <f>MAXIFS(Matches!$A:$A,Matches!$C:$C,$B143)</f>
        <v>0</v>
      </c>
      <c r="Z143" s="349">
        <f t="array" ref="Z143">XLOOKUP(Y143,Quotas!$B$7:$B$10,Quotas!$A$7:$A$10,0,-1)</f>
        <v>0</v>
      </c>
      <c r="AB143" s="79"/>
      <c r="AC143" s="79">
        <f>COUNTIFS(Matches!$A:$A,"&gt;"&amp;Y143,Matches!$B:$B,$B143)</f>
        <v>0</v>
      </c>
      <c r="AD143" s="79"/>
      <c r="AE143" s="31" t="str">
        <f t="array" ref="AE143">XLOOKUP(B143, 'College List'!A:A, 'College List'!B:B)</f>
        <v>#N/A</v>
      </c>
      <c r="AF143" s="15">
        <v>9.0</v>
      </c>
    </row>
    <row r="144">
      <c r="A144" s="9">
        <f t="shared" si="1"/>
        <v>1</v>
      </c>
      <c r="C144" s="350"/>
      <c r="D144" s="93"/>
      <c r="E144" s="1"/>
      <c r="F144" s="1"/>
      <c r="G144" s="1"/>
      <c r="H144" s="341">
        <f>COUNTIF(Entropy!$D:$D,$B144)+COUNTIF(Matches!$B:$B,$B144)+COUNTIF(Matches!$C:$C,$B144)</f>
        <v>0</v>
      </c>
      <c r="I144" s="342">
        <f>COUNTIF(Matches!$B:$B,B144)</f>
        <v>0</v>
      </c>
      <c r="J144" s="79">
        <f t="shared" si="2"/>
        <v>0</v>
      </c>
      <c r="K144" s="1" t="str">
        <f t="shared" si="3"/>
        <v>0 - 0</v>
      </c>
      <c r="L144" s="343">
        <f>COUNTIF(Entropy!$D:$D,$B144)</f>
        <v>0</v>
      </c>
      <c r="M144" s="344">
        <f t="shared" si="4"/>
        <v>0</v>
      </c>
      <c r="N144" s="344">
        <f t="shared" si="5"/>
        <v>0</v>
      </c>
      <c r="O144" s="341">
        <f>IF($J144=11,0,IF(AND($H144 &gt;=VLOOKUP(Standings!$C$2,Quotas!$A$7:$E$14,4,FALSE), $H144&lt;=VLOOKUP(Standings!$C$2,Quotas!$A$7:$E$14,5,FALSE)), 0,VLOOKUP(Standings!$C$2,Quotas!$A$7:$E$14,4,FALSE)-$H144))</f>
        <v>30</v>
      </c>
      <c r="P144" s="341">
        <f>IF($J144=11,0,IF(AND($H144 &gt;=VLOOKUP(Standings!$C$2,Quotas!$A$7:$E$14,5,FALSE), $H144&lt;=VLOOKUP(Standings!$C$2,Quotas!$A$7:$E$14,5,FALSE)), 0,VLOOKUP(Standings!$C$2,Quotas!$A$7:$E$14,5,FALSE)-$H144))</f>
        <v>30</v>
      </c>
      <c r="Q144" s="79">
        <f t="shared" si="6"/>
        <v>11</v>
      </c>
      <c r="R144" s="345" t="str">
        <f t="shared" si="7"/>
        <v/>
      </c>
      <c r="S144" s="344">
        <f t="shared" si="8"/>
        <v>0.33</v>
      </c>
      <c r="T144" s="345" t="str">
        <f>IFERROR(__xludf.DUMMYFUNCTION("JOIN("","",IFERROR(FILTER(Matches!$B:$B,B144=Matches!$C:$C),""""),IFERROR(FILTER(Matches!$C:$C,B144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44" s="344">
        <f>IFERROR(__xludf.DUMMYFUNCTION("iferror(AVERAGE(ARRAYFORMULA(VLOOKUP(SPLIT(T144,"","",TRUE,TRUE),$R$2:$S654,2,FALSE))),0)"),0.0)</f>
        <v>0</v>
      </c>
      <c r="V144" s="346">
        <f>IFERROR(__xludf.DUMMYFUNCTION("RANK($I144, $I$2:$I654, FALSE) + RANK($M144, Filter($M$2:$M654, $I$2:$I654=$I144),FALSE)+RANK($U144, Filter($U$2:$U654, $I$2:$I654=$I144,$M$2:$M654=$M144),FALSE)-2"),1.0)</f>
        <v>1</v>
      </c>
      <c r="W144" s="347" t="str">
        <f t="shared" si="9"/>
        <v>Underplay</v>
      </c>
      <c r="X144" s="348" t="str">
        <f t="shared" si="10"/>
        <v/>
      </c>
      <c r="Y144" s="349">
        <f>MAXIFS(Matches!$A:$A,Matches!$C:$C,$B144)</f>
        <v>0</v>
      </c>
      <c r="Z144" s="349">
        <f t="array" ref="Z144">XLOOKUP(Y144,Quotas!$B$7:$B$10,Quotas!$A$7:$A$10,0,-1)</f>
        <v>0</v>
      </c>
      <c r="AB144" s="79"/>
      <c r="AC144" s="79">
        <f>COUNTIFS(Matches!$A:$A,"&gt;"&amp;Y144,Matches!$B:$B,$B144)</f>
        <v>0</v>
      </c>
      <c r="AD144" s="79"/>
      <c r="AE144" s="31" t="str">
        <f t="array" ref="AE144">XLOOKUP(B144, 'College List'!A:A, 'College List'!B:B)</f>
        <v>#N/A</v>
      </c>
      <c r="AF144" s="357">
        <v>9.0</v>
      </c>
      <c r="AG144" s="79"/>
      <c r="AH144" s="79"/>
      <c r="AI144" s="79"/>
    </row>
    <row r="145">
      <c r="A145" s="9">
        <f t="shared" si="1"/>
        <v>1</v>
      </c>
      <c r="C145" s="350"/>
      <c r="D145" s="93"/>
      <c r="E145" s="1"/>
      <c r="F145" s="1"/>
      <c r="G145" s="1"/>
      <c r="H145" s="341">
        <f>COUNTIF(Entropy!$D:$D,$B145)+COUNTIF(Matches!$B:$B,$B145)+COUNTIF(Matches!$C:$C,$B145)</f>
        <v>0</v>
      </c>
      <c r="I145" s="342">
        <f>COUNTIF(Matches!$B:$B,B145)</f>
        <v>0</v>
      </c>
      <c r="J145" s="79">
        <f t="shared" si="2"/>
        <v>0</v>
      </c>
      <c r="K145" s="1" t="str">
        <f t="shared" si="3"/>
        <v>0 - 0</v>
      </c>
      <c r="L145" s="343">
        <f>COUNTIF(Entropy!$D:$D,$B145)</f>
        <v>0</v>
      </c>
      <c r="M145" s="344">
        <f t="shared" si="4"/>
        <v>0</v>
      </c>
      <c r="N145" s="344">
        <f t="shared" si="5"/>
        <v>0</v>
      </c>
      <c r="O145" s="341">
        <f>IF($J145=11,0,IF(AND($H145 &gt;=VLOOKUP(Standings!$C$2,Quotas!$A$7:$E$14,4,FALSE), $H145&lt;=VLOOKUP(Standings!$C$2,Quotas!$A$7:$E$14,5,FALSE)), 0,VLOOKUP(Standings!$C$2,Quotas!$A$7:$E$14,4,FALSE)-$H145))</f>
        <v>30</v>
      </c>
      <c r="P145" s="341">
        <f>IF($J145=11,0,IF(AND($H145 &gt;=VLOOKUP(Standings!$C$2,Quotas!$A$7:$E$14,5,FALSE), $H145&lt;=VLOOKUP(Standings!$C$2,Quotas!$A$7:$E$14,5,FALSE)), 0,VLOOKUP(Standings!$C$2,Quotas!$A$7:$E$14,5,FALSE)-$H145))</f>
        <v>30</v>
      </c>
      <c r="Q145" s="79">
        <f t="shared" si="6"/>
        <v>11</v>
      </c>
      <c r="R145" s="345" t="str">
        <f t="shared" si="7"/>
        <v/>
      </c>
      <c r="S145" s="344">
        <f t="shared" si="8"/>
        <v>0.33</v>
      </c>
      <c r="T145" s="345" t="str">
        <f>IFERROR(__xludf.DUMMYFUNCTION("JOIN("","",IFERROR(FILTER(Matches!$B:$B,B145=Matches!$C:$C),""""),IFERROR(FILTER(Matches!$C:$C,B145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45" s="344">
        <f>IFERROR(__xludf.DUMMYFUNCTION("iferror(AVERAGE(ARRAYFORMULA(VLOOKUP(SPLIT(T145,"","",TRUE,TRUE),$R$2:$S654,2,FALSE))),0)"),0.0)</f>
        <v>0</v>
      </c>
      <c r="V145" s="346">
        <f>IFERROR(__xludf.DUMMYFUNCTION("RANK($I145, $I$2:$I654, FALSE) + RANK($M145, Filter($M$2:$M654, $I$2:$I654=$I145),FALSE)+RANK($U145, Filter($U$2:$U654, $I$2:$I654=$I145,$M$2:$M654=$M145),FALSE)-2"),1.0)</f>
        <v>1</v>
      </c>
      <c r="W145" s="347" t="str">
        <f t="shared" si="9"/>
        <v>Underplay</v>
      </c>
      <c r="X145" s="348" t="str">
        <f t="shared" si="10"/>
        <v/>
      </c>
      <c r="Y145" s="349">
        <f>MAXIFS(Matches!$A:$A,Matches!$C:$C,$B145)</f>
        <v>0</v>
      </c>
      <c r="Z145" s="349">
        <f t="array" ref="Z145">XLOOKUP(Y145,Quotas!$B$7:$B$10,Quotas!$A$7:$A$10,0,-1)</f>
        <v>0</v>
      </c>
      <c r="AB145" s="79"/>
      <c r="AC145" s="79">
        <f>COUNTIFS(Matches!$A:$A,"&gt;"&amp;Y145,Matches!$B:$B,$B145)</f>
        <v>0</v>
      </c>
      <c r="AD145" s="79"/>
      <c r="AE145" s="31" t="str">
        <f t="array" ref="AE145">XLOOKUP(B145, 'College List'!A:A, 'College List'!B:B)</f>
        <v>#N/A</v>
      </c>
      <c r="AF145" s="357">
        <v>7.0</v>
      </c>
      <c r="AG145" s="79"/>
      <c r="AH145" s="79"/>
      <c r="AI145" s="79"/>
    </row>
    <row r="146">
      <c r="A146" s="9">
        <f t="shared" si="1"/>
        <v>1</v>
      </c>
      <c r="C146" s="350"/>
      <c r="D146" s="93"/>
      <c r="E146" s="1"/>
      <c r="F146" s="1"/>
      <c r="G146" s="1"/>
      <c r="H146" s="341">
        <f>COUNTIF(Entropy!$D:$D,$B146)+COUNTIF(Matches!$B:$B,$B146)+COUNTIF(Matches!$C:$C,$B146)</f>
        <v>0</v>
      </c>
      <c r="I146" s="342">
        <f>COUNTIF(Matches!$B:$B,B146)</f>
        <v>0</v>
      </c>
      <c r="J146" s="79">
        <f t="shared" si="2"/>
        <v>0</v>
      </c>
      <c r="K146" s="1" t="str">
        <f t="shared" si="3"/>
        <v>0 - 0</v>
      </c>
      <c r="L146" s="343">
        <f>COUNTIF(Entropy!$D:$D,$B146)</f>
        <v>0</v>
      </c>
      <c r="M146" s="344">
        <f t="shared" si="4"/>
        <v>0</v>
      </c>
      <c r="N146" s="344">
        <f t="shared" si="5"/>
        <v>0</v>
      </c>
      <c r="O146" s="341">
        <f>IF($J146=11,0,IF(AND($H146 &gt;=VLOOKUP(Standings!$C$2,Quotas!$A$7:$E$14,4,FALSE), $H146&lt;=VLOOKUP(Standings!$C$2,Quotas!$A$7:$E$14,5,FALSE)), 0,VLOOKUP(Standings!$C$2,Quotas!$A$7:$E$14,4,FALSE)-$H146))</f>
        <v>30</v>
      </c>
      <c r="P146" s="341">
        <f>IF($J146=11,0,IF(AND($H146 &gt;=VLOOKUP(Standings!$C$2,Quotas!$A$7:$E$14,5,FALSE), $H146&lt;=VLOOKUP(Standings!$C$2,Quotas!$A$7:$E$14,5,FALSE)), 0,VLOOKUP(Standings!$C$2,Quotas!$A$7:$E$14,5,FALSE)-$H146))</f>
        <v>30</v>
      </c>
      <c r="Q146" s="79">
        <f t="shared" si="6"/>
        <v>11</v>
      </c>
      <c r="R146" s="345" t="str">
        <f t="shared" si="7"/>
        <v/>
      </c>
      <c r="S146" s="344">
        <f t="shared" si="8"/>
        <v>0.33</v>
      </c>
      <c r="T146" s="345" t="str">
        <f>IFERROR(__xludf.DUMMYFUNCTION("JOIN("","",IFERROR(FILTER(Matches!$B:$B,B146=Matches!$C:$C),""""),IFERROR(FILTER(Matches!$C:$C,B146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46" s="344">
        <f>IFERROR(__xludf.DUMMYFUNCTION("iferror(AVERAGE(ARRAYFORMULA(VLOOKUP(SPLIT(T146,"","",TRUE,TRUE),$R$2:$S654,2,FALSE))),0)"),0.0)</f>
        <v>0</v>
      </c>
      <c r="V146" s="346">
        <f>IFERROR(__xludf.DUMMYFUNCTION("RANK($I146, $I$2:$I654, FALSE) + RANK($M146, Filter($M$2:$M654, $I$2:$I654=$I146),FALSE)+RANK($U146, Filter($U$2:$U654, $I$2:$I654=$I146,$M$2:$M654=$M146),FALSE)-2"),1.0)</f>
        <v>1</v>
      </c>
      <c r="W146" s="347" t="str">
        <f t="shared" si="9"/>
        <v>Underplay</v>
      </c>
      <c r="X146" s="348" t="str">
        <f t="shared" si="10"/>
        <v/>
      </c>
      <c r="Y146" s="349">
        <f>MAXIFS(Matches!$A:$A,Matches!$C:$C,$B146)</f>
        <v>0</v>
      </c>
      <c r="Z146" s="349">
        <f t="array" ref="Z146">XLOOKUP(Y146,Quotas!$B$7:$B$10,Quotas!$A$7:$A$10,0,-1)</f>
        <v>0</v>
      </c>
      <c r="AB146" s="79"/>
      <c r="AC146" s="79">
        <f>COUNTIFS(Matches!$A:$A,"&gt;"&amp;Y146,Matches!$B:$B,$B146)</f>
        <v>0</v>
      </c>
      <c r="AD146" s="79"/>
      <c r="AE146" s="31" t="str">
        <f t="array" ref="AE146">XLOOKUP(B146, 'College List'!A:A, 'College List'!B:B)</f>
        <v>#N/A</v>
      </c>
      <c r="AF146" s="357">
        <v>7.0</v>
      </c>
      <c r="AG146" s="79"/>
      <c r="AH146" s="79"/>
      <c r="AI146" s="79"/>
    </row>
    <row r="147">
      <c r="A147" s="9">
        <f t="shared" si="1"/>
        <v>1</v>
      </c>
      <c r="C147" s="350"/>
      <c r="D147" s="93"/>
      <c r="E147" s="1"/>
      <c r="F147" s="1"/>
      <c r="G147" s="1"/>
      <c r="H147" s="341">
        <f>COUNTIF(Entropy!$D:$D,$B147)+COUNTIF(Matches!$B:$B,$B147)+COUNTIF(Matches!$C:$C,$B147)</f>
        <v>0</v>
      </c>
      <c r="I147" s="342">
        <f>COUNTIF(Matches!$B:$B,B147)</f>
        <v>0</v>
      </c>
      <c r="J147" s="79">
        <f t="shared" si="2"/>
        <v>0</v>
      </c>
      <c r="K147" s="1" t="str">
        <f t="shared" si="3"/>
        <v>0 - 0</v>
      </c>
      <c r="L147" s="343">
        <f>COUNTIF(Entropy!$D:$D,$B147)</f>
        <v>0</v>
      </c>
      <c r="M147" s="344">
        <f t="shared" si="4"/>
        <v>0</v>
      </c>
      <c r="N147" s="344">
        <f t="shared" si="5"/>
        <v>0</v>
      </c>
      <c r="O147" s="341">
        <f>IF($J147=11,0,IF(AND($H147 &gt;=VLOOKUP(Standings!$C$2,Quotas!$A$7:$E$14,4,FALSE), $H147&lt;=VLOOKUP(Standings!$C$2,Quotas!$A$7:$E$14,5,FALSE)), 0,VLOOKUP(Standings!$C$2,Quotas!$A$7:$E$14,4,FALSE)-$H147))</f>
        <v>30</v>
      </c>
      <c r="P147" s="341">
        <f>IF($J147=11,0,IF(AND($H147 &gt;=VLOOKUP(Standings!$C$2,Quotas!$A$7:$E$14,5,FALSE), $H147&lt;=VLOOKUP(Standings!$C$2,Quotas!$A$7:$E$14,5,FALSE)), 0,VLOOKUP(Standings!$C$2,Quotas!$A$7:$E$14,5,FALSE)-$H147))</f>
        <v>30</v>
      </c>
      <c r="Q147" s="79">
        <f t="shared" si="6"/>
        <v>11</v>
      </c>
      <c r="R147" s="345" t="str">
        <f t="shared" si="7"/>
        <v/>
      </c>
      <c r="S147" s="344">
        <f t="shared" si="8"/>
        <v>0.33</v>
      </c>
      <c r="T147" s="345" t="str">
        <f>IFERROR(__xludf.DUMMYFUNCTION("JOIN("","",IFERROR(FILTER(Matches!$B:$B,B147=Matches!$C:$C),""""),IFERROR(FILTER(Matches!$C:$C,B147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47" s="344">
        <f>IFERROR(__xludf.DUMMYFUNCTION("iferror(AVERAGE(ARRAYFORMULA(VLOOKUP(SPLIT(T147,"","",TRUE,TRUE),$R$2:$S654,2,FALSE))),0)"),0.0)</f>
        <v>0</v>
      </c>
      <c r="V147" s="346">
        <f>IFERROR(__xludf.DUMMYFUNCTION("RANK($I147, $I$2:$I654, FALSE) + RANK($M147, Filter($M$2:$M654, $I$2:$I654=$I147),FALSE)+RANK($U147, Filter($U$2:$U654, $I$2:$I654=$I147,$M$2:$M654=$M147),FALSE)-2"),1.0)</f>
        <v>1</v>
      </c>
      <c r="W147" s="347" t="str">
        <f t="shared" si="9"/>
        <v>Underplay</v>
      </c>
      <c r="X147" s="348" t="str">
        <f t="shared" si="10"/>
        <v/>
      </c>
      <c r="Y147" s="349">
        <f>MAXIFS(Matches!$A:$A,Matches!$C:$C,$B147)</f>
        <v>0</v>
      </c>
      <c r="Z147" s="349">
        <f t="array" ref="Z147">XLOOKUP(Y147,Quotas!$B$7:$B$10,Quotas!$A$7:$A$10,0,-1)</f>
        <v>0</v>
      </c>
      <c r="AB147" s="79"/>
      <c r="AC147" s="79">
        <f>COUNTIFS(Matches!$A:$A,"&gt;"&amp;Y147,Matches!$B:$B,$B147)</f>
        <v>0</v>
      </c>
      <c r="AD147" s="79"/>
      <c r="AE147" s="31" t="str">
        <f t="array" ref="AE147">XLOOKUP(B147, 'College List'!A:A, 'College List'!B:B)</f>
        <v>#N/A</v>
      </c>
      <c r="AF147" s="357">
        <v>7.0</v>
      </c>
      <c r="AG147" s="79"/>
      <c r="AH147" s="79"/>
      <c r="AI147" s="79"/>
    </row>
    <row r="148">
      <c r="A148" s="9">
        <f t="shared" si="1"/>
        <v>1</v>
      </c>
      <c r="C148" s="350"/>
      <c r="D148" s="93"/>
      <c r="E148" s="1"/>
      <c r="F148" s="1"/>
      <c r="G148" s="1"/>
      <c r="H148" s="341">
        <f>COUNTIF(Entropy!$D:$D,$B148)+COUNTIF(Matches!$B:$B,$B148)+COUNTIF(Matches!$C:$C,$B148)</f>
        <v>0</v>
      </c>
      <c r="I148" s="342">
        <f>COUNTIF(Matches!$B:$B,B148)</f>
        <v>0</v>
      </c>
      <c r="J148" s="79">
        <f t="shared" si="2"/>
        <v>0</v>
      </c>
      <c r="K148" s="1" t="str">
        <f t="shared" si="3"/>
        <v>0 - 0</v>
      </c>
      <c r="L148" s="343">
        <f>COUNTIF(Entropy!$D:$D,$B148)</f>
        <v>0</v>
      </c>
      <c r="M148" s="344">
        <f t="shared" si="4"/>
        <v>0</v>
      </c>
      <c r="N148" s="344">
        <f t="shared" si="5"/>
        <v>0</v>
      </c>
      <c r="O148" s="341">
        <f>IF($J148=11,0,IF(AND($H148 &gt;=VLOOKUP(Standings!$C$2,Quotas!$A$7:$E$14,4,FALSE), $H148&lt;=VLOOKUP(Standings!$C$2,Quotas!$A$7:$E$14,5,FALSE)), 0,VLOOKUP(Standings!$C$2,Quotas!$A$7:$E$14,4,FALSE)-$H148))</f>
        <v>30</v>
      </c>
      <c r="P148" s="341">
        <f>IF($J148=11,0,IF(AND($H148 &gt;=VLOOKUP(Standings!$C$2,Quotas!$A$7:$E$14,5,FALSE), $H148&lt;=VLOOKUP(Standings!$C$2,Quotas!$A$7:$E$14,5,FALSE)), 0,VLOOKUP(Standings!$C$2,Quotas!$A$7:$E$14,5,FALSE)-$H148))</f>
        <v>30</v>
      </c>
      <c r="Q148" s="79">
        <f t="shared" si="6"/>
        <v>11</v>
      </c>
      <c r="R148" s="345" t="str">
        <f t="shared" si="7"/>
        <v/>
      </c>
      <c r="S148" s="344">
        <f t="shared" si="8"/>
        <v>0.33</v>
      </c>
      <c r="T148" s="345" t="str">
        <f>IFERROR(__xludf.DUMMYFUNCTION("JOIN("","",IFERROR(FILTER(Matches!$B:$B,B148=Matches!$C:$C),""""),IFERROR(FILTER(Matches!$C:$C,B148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48" s="344">
        <f>IFERROR(__xludf.DUMMYFUNCTION("iferror(AVERAGE(ARRAYFORMULA(VLOOKUP(SPLIT(T148,"","",TRUE,TRUE),$R$2:$S654,2,FALSE))),0)"),0.0)</f>
        <v>0</v>
      </c>
      <c r="V148" s="346">
        <f>IFERROR(__xludf.DUMMYFUNCTION("RANK($I148, $I$2:$I654, FALSE) + RANK($M148, Filter($M$2:$M654, $I$2:$I654=$I148),FALSE)+RANK($U148, Filter($U$2:$U654, $I$2:$I654=$I148,$M$2:$M654=$M148),FALSE)-2"),1.0)</f>
        <v>1</v>
      </c>
      <c r="W148" s="347" t="str">
        <f t="shared" si="9"/>
        <v>Underplay</v>
      </c>
      <c r="X148" s="348" t="str">
        <f t="shared" si="10"/>
        <v/>
      </c>
      <c r="Y148" s="349">
        <f>MAXIFS(Matches!$A:$A,Matches!$C:$C,$B148)</f>
        <v>0</v>
      </c>
      <c r="Z148" s="349">
        <f t="array" ref="Z148">XLOOKUP(Y148,Quotas!$B$7:$B$10,Quotas!$A$7:$A$10,0,-1)</f>
        <v>0</v>
      </c>
      <c r="AB148" s="79"/>
      <c r="AC148" s="79">
        <f>COUNTIFS(Matches!$A:$A,"&gt;"&amp;Y148,Matches!$B:$B,$B148)</f>
        <v>0</v>
      </c>
      <c r="AD148" s="79"/>
      <c r="AE148" s="31" t="str">
        <f t="array" ref="AE148">XLOOKUP(B148, 'College List'!A:A, 'College List'!B:B)</f>
        <v>#N/A</v>
      </c>
      <c r="AF148" s="79"/>
      <c r="AG148" s="79"/>
      <c r="AH148" s="79"/>
      <c r="AI148" s="79"/>
    </row>
    <row r="149">
      <c r="A149" s="9">
        <f t="shared" si="1"/>
        <v>1</v>
      </c>
      <c r="C149" s="350"/>
      <c r="D149" s="93"/>
      <c r="E149" s="1"/>
      <c r="F149" s="1"/>
      <c r="G149" s="1"/>
      <c r="H149" s="341">
        <f>COUNTIF(Entropy!$D:$D,$B149)+COUNTIF(Matches!$B:$B,$B149)+COUNTIF(Matches!$C:$C,$B149)</f>
        <v>0</v>
      </c>
      <c r="I149" s="342">
        <f>COUNTIF(Matches!$B:$B,B149)</f>
        <v>0</v>
      </c>
      <c r="J149" s="79">
        <f t="shared" si="2"/>
        <v>0</v>
      </c>
      <c r="K149" s="1" t="str">
        <f t="shared" si="3"/>
        <v>0 - 0</v>
      </c>
      <c r="L149" s="343">
        <f>COUNTIF(Entropy!$D:$D,$B149)</f>
        <v>0</v>
      </c>
      <c r="M149" s="344">
        <f t="shared" si="4"/>
        <v>0</v>
      </c>
      <c r="N149" s="344">
        <f t="shared" si="5"/>
        <v>0</v>
      </c>
      <c r="O149" s="341">
        <f>IF($J149=11,0,IF(AND($H149 &gt;=VLOOKUP(Standings!$C$2,Quotas!$A$7:$E$14,4,FALSE), $H149&lt;=VLOOKUP(Standings!$C$2,Quotas!$A$7:$E$14,5,FALSE)), 0,VLOOKUP(Standings!$C$2,Quotas!$A$7:$E$14,4,FALSE)-$H149))</f>
        <v>30</v>
      </c>
      <c r="P149" s="341">
        <f>IF($J149=11,0,IF(AND($H149 &gt;=VLOOKUP(Standings!$C$2,Quotas!$A$7:$E$14,5,FALSE), $H149&lt;=VLOOKUP(Standings!$C$2,Quotas!$A$7:$E$14,5,FALSE)), 0,VLOOKUP(Standings!$C$2,Quotas!$A$7:$E$14,5,FALSE)-$H149))</f>
        <v>30</v>
      </c>
      <c r="Q149" s="79">
        <f t="shared" si="6"/>
        <v>11</v>
      </c>
      <c r="R149" s="345" t="str">
        <f t="shared" si="7"/>
        <v/>
      </c>
      <c r="S149" s="344">
        <f t="shared" si="8"/>
        <v>0.33</v>
      </c>
      <c r="T149" s="345" t="str">
        <f>IFERROR(__xludf.DUMMYFUNCTION("JOIN("","",IFERROR(FILTER(Matches!$B:$B,B149=Matches!$C:$C),""""),IFERROR(FILTER(Matches!$C:$C,B149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49" s="344">
        <f>IFERROR(__xludf.DUMMYFUNCTION("iferror(AVERAGE(ARRAYFORMULA(VLOOKUP(SPLIT(T149,"","",TRUE,TRUE),$R$2:$S654,2,FALSE))),0)"),0.0)</f>
        <v>0</v>
      </c>
      <c r="V149" s="346">
        <f>IFERROR(__xludf.DUMMYFUNCTION("RANK($I149, $I$2:$I654, FALSE) + RANK($M149, Filter($M$2:$M654, $I$2:$I654=$I149),FALSE)+RANK($U149, Filter($U$2:$U654, $I$2:$I654=$I149,$M$2:$M654=$M149),FALSE)-2"),1.0)</f>
        <v>1</v>
      </c>
      <c r="W149" s="347" t="str">
        <f t="shared" si="9"/>
        <v>Underplay</v>
      </c>
      <c r="X149" s="348" t="str">
        <f t="shared" si="10"/>
        <v/>
      </c>
      <c r="Y149" s="349">
        <f>MAXIFS(Matches!$A:$A,Matches!$C:$C,$B149)</f>
        <v>0</v>
      </c>
      <c r="Z149" s="349">
        <f t="array" ref="Z149">XLOOKUP(Y149,Quotas!$B$7:$B$10,Quotas!$A$7:$A$10,0,-1)</f>
        <v>0</v>
      </c>
      <c r="AB149" s="79"/>
      <c r="AC149" s="79">
        <f>COUNTIFS(Matches!$A:$A,"&gt;"&amp;Y149,Matches!$B:$B,$B149)</f>
        <v>0</v>
      </c>
      <c r="AD149" s="79"/>
      <c r="AE149" s="31" t="str">
        <f t="array" ref="AE149">XLOOKUP(B149, 'College List'!A:A, 'College List'!B:B)</f>
        <v>#N/A</v>
      </c>
      <c r="AF149" s="357">
        <v>9.0</v>
      </c>
      <c r="AG149" s="79"/>
      <c r="AH149" s="79"/>
      <c r="AI149" s="79"/>
    </row>
    <row r="150">
      <c r="A150" s="9">
        <f t="shared" si="1"/>
        <v>1</v>
      </c>
      <c r="C150" s="350"/>
      <c r="D150" s="93"/>
      <c r="E150" s="1"/>
      <c r="F150" s="1"/>
      <c r="G150" s="1"/>
      <c r="H150" s="341">
        <f>COUNTIF(Entropy!$D:$D,$B150)+COUNTIF(Matches!$B:$B,$B150)+COUNTIF(Matches!$C:$C,$B150)</f>
        <v>0</v>
      </c>
      <c r="I150" s="342">
        <f>COUNTIF(Matches!$B:$B,B150)</f>
        <v>0</v>
      </c>
      <c r="J150" s="79">
        <f t="shared" si="2"/>
        <v>0</v>
      </c>
      <c r="K150" s="1" t="str">
        <f t="shared" si="3"/>
        <v>0 - 0</v>
      </c>
      <c r="L150" s="343">
        <f>COUNTIF(Entropy!$D:$D,$B150)</f>
        <v>0</v>
      </c>
      <c r="M150" s="344">
        <f t="shared" si="4"/>
        <v>0</v>
      </c>
      <c r="N150" s="344">
        <f t="shared" si="5"/>
        <v>0</v>
      </c>
      <c r="O150" s="341">
        <f>IF($J150=11,0,IF(AND($H150 &gt;=VLOOKUP(Standings!$C$2,Quotas!$A$7:$E$14,4,FALSE), $H150&lt;=VLOOKUP(Standings!$C$2,Quotas!$A$7:$E$14,5,FALSE)), 0,VLOOKUP(Standings!$C$2,Quotas!$A$7:$E$14,4,FALSE)-$H150))</f>
        <v>30</v>
      </c>
      <c r="P150" s="341">
        <f>IF($J150=11,0,IF(AND($H150 &gt;=VLOOKUP(Standings!$C$2,Quotas!$A$7:$E$14,5,FALSE), $H150&lt;=VLOOKUP(Standings!$C$2,Quotas!$A$7:$E$14,5,FALSE)), 0,VLOOKUP(Standings!$C$2,Quotas!$A$7:$E$14,5,FALSE)-$H150))</f>
        <v>30</v>
      </c>
      <c r="Q150" s="79">
        <f t="shared" si="6"/>
        <v>11</v>
      </c>
      <c r="R150" s="345" t="str">
        <f t="shared" si="7"/>
        <v/>
      </c>
      <c r="S150" s="344">
        <f t="shared" si="8"/>
        <v>0.33</v>
      </c>
      <c r="T150" s="345" t="str">
        <f>IFERROR(__xludf.DUMMYFUNCTION("JOIN("","",IFERROR(FILTER(Matches!$B:$B,B150=Matches!$C:$C),""""),IFERROR(FILTER(Matches!$C:$C,B150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50" s="344">
        <f>IFERROR(__xludf.DUMMYFUNCTION("iferror(AVERAGE(ARRAYFORMULA(VLOOKUP(SPLIT(T150,"","",TRUE,TRUE),$R$2:$S654,2,FALSE))),0)"),0.0)</f>
        <v>0</v>
      </c>
      <c r="V150" s="346">
        <f>IFERROR(__xludf.DUMMYFUNCTION("RANK($I150, $I$2:$I654, FALSE) + RANK($M150, Filter($M$2:$M654, $I$2:$I654=$I150),FALSE)+RANK($U150, Filter($U$2:$U654, $I$2:$I654=$I150,$M$2:$M654=$M150),FALSE)-2"),1.0)</f>
        <v>1</v>
      </c>
      <c r="W150" s="347" t="str">
        <f t="shared" si="9"/>
        <v>Underplay</v>
      </c>
      <c r="X150" s="348" t="str">
        <f t="shared" si="10"/>
        <v/>
      </c>
      <c r="Y150" s="349">
        <f>MAXIFS(Matches!$A:$A,Matches!$C:$C,$B150)</f>
        <v>0</v>
      </c>
      <c r="Z150" s="349">
        <f t="array" ref="Z150">XLOOKUP(Y150,Quotas!$B$7:$B$10,Quotas!$A$7:$A$10,0,-1)</f>
        <v>0</v>
      </c>
      <c r="AB150" s="79"/>
      <c r="AC150" s="79">
        <f>COUNTIFS(Matches!$A:$A,"&gt;"&amp;Y150,Matches!$B:$B,$B150)</f>
        <v>0</v>
      </c>
      <c r="AD150" s="79"/>
      <c r="AE150" s="31" t="str">
        <f t="array" ref="AE150">XLOOKUP(B150, 'College List'!A:A, 'College List'!B:B)</f>
        <v>#N/A</v>
      </c>
      <c r="AF150" s="357">
        <v>7.0</v>
      </c>
      <c r="AG150" s="79"/>
      <c r="AH150" s="79"/>
      <c r="AI150" s="79"/>
    </row>
    <row r="151">
      <c r="A151" s="9">
        <f t="shared" si="1"/>
        <v>1</v>
      </c>
      <c r="C151" s="350"/>
      <c r="D151" s="93"/>
      <c r="E151" s="1"/>
      <c r="F151" s="1"/>
      <c r="G151" s="1"/>
      <c r="H151" s="341">
        <f>COUNTIF(Entropy!$D:$D,$B151)+COUNTIF(Matches!$B:$B,$B151)+COUNTIF(Matches!$C:$C,$B151)</f>
        <v>0</v>
      </c>
      <c r="I151" s="342">
        <f>COUNTIF(Matches!$B:$B,B151)</f>
        <v>0</v>
      </c>
      <c r="J151" s="79">
        <f t="shared" si="2"/>
        <v>0</v>
      </c>
      <c r="K151" s="1" t="str">
        <f t="shared" si="3"/>
        <v>0 - 0</v>
      </c>
      <c r="L151" s="343">
        <f>COUNTIF(Entropy!$D:$D,$B151)</f>
        <v>0</v>
      </c>
      <c r="M151" s="344">
        <f t="shared" si="4"/>
        <v>0</v>
      </c>
      <c r="N151" s="344">
        <f t="shared" si="5"/>
        <v>0</v>
      </c>
      <c r="O151" s="341">
        <f>IF($J151=11,0,IF(AND($H151 &gt;=VLOOKUP(Standings!$C$2,Quotas!$A$7:$E$14,4,FALSE), $H151&lt;=VLOOKUP(Standings!$C$2,Quotas!$A$7:$E$14,5,FALSE)), 0,VLOOKUP(Standings!$C$2,Quotas!$A$7:$E$14,4,FALSE)-$H151))</f>
        <v>30</v>
      </c>
      <c r="P151" s="341">
        <f>IF($J151=11,0,IF(AND($H151 &gt;=VLOOKUP(Standings!$C$2,Quotas!$A$7:$E$14,5,FALSE), $H151&lt;=VLOOKUP(Standings!$C$2,Quotas!$A$7:$E$14,5,FALSE)), 0,VLOOKUP(Standings!$C$2,Quotas!$A$7:$E$14,5,FALSE)-$H151))</f>
        <v>30</v>
      </c>
      <c r="Q151" s="79">
        <f t="shared" si="6"/>
        <v>11</v>
      </c>
      <c r="R151" s="345" t="str">
        <f t="shared" si="7"/>
        <v/>
      </c>
      <c r="S151" s="344">
        <f t="shared" si="8"/>
        <v>0.33</v>
      </c>
      <c r="T151" s="345" t="str">
        <f>IFERROR(__xludf.DUMMYFUNCTION("JOIN("","",IFERROR(FILTER(Matches!$B:$B,B151=Matches!$C:$C),""""),IFERROR(FILTER(Matches!$C:$C,B151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51" s="344">
        <f>IFERROR(__xludf.DUMMYFUNCTION("iferror(AVERAGE(ARRAYFORMULA(VLOOKUP(SPLIT(T151,"","",TRUE,TRUE),$R$2:$S654,2,FALSE))),0)"),0.0)</f>
        <v>0</v>
      </c>
      <c r="V151" s="346">
        <f>IFERROR(__xludf.DUMMYFUNCTION("RANK($I151, $I$2:$I654, FALSE) + RANK($M151, Filter($M$2:$M654, $I$2:$I654=$I151),FALSE)+RANK($U151, Filter($U$2:$U654, $I$2:$I654=$I151,$M$2:$M654=$M151),FALSE)-2"),1.0)</f>
        <v>1</v>
      </c>
      <c r="W151" s="347" t="str">
        <f t="shared" si="9"/>
        <v>Underplay</v>
      </c>
      <c r="X151" s="348" t="str">
        <f t="shared" si="10"/>
        <v/>
      </c>
      <c r="Y151" s="349">
        <f>MAXIFS(Matches!$A:$A,Matches!$C:$C,$B151)</f>
        <v>0</v>
      </c>
      <c r="Z151" s="349">
        <f t="array" ref="Z151">XLOOKUP(Y151,Quotas!$B$7:$B$10,Quotas!$A$7:$A$10,0,-1)</f>
        <v>0</v>
      </c>
      <c r="AB151" s="79"/>
      <c r="AC151" s="79">
        <f>COUNTIFS(Matches!$A:$A,"&gt;"&amp;Y151,Matches!$B:$B,$B151)</f>
        <v>0</v>
      </c>
      <c r="AD151" s="79"/>
      <c r="AE151" s="31" t="str">
        <f t="array" ref="AE151">XLOOKUP(B151, 'College List'!A:A, 'College List'!B:B)</f>
        <v>#N/A</v>
      </c>
      <c r="AF151" s="357">
        <v>9.0</v>
      </c>
      <c r="AG151" s="79"/>
      <c r="AH151" s="79"/>
      <c r="AI151" s="79"/>
    </row>
    <row r="152">
      <c r="A152" s="9">
        <f t="shared" si="1"/>
        <v>1</v>
      </c>
      <c r="C152" s="350"/>
      <c r="D152" s="93"/>
      <c r="E152" s="1"/>
      <c r="F152" s="1"/>
      <c r="G152" s="1"/>
      <c r="H152" s="341">
        <f>COUNTIF(Entropy!$D:$D,$B152)+COUNTIF(Matches!$B:$B,$B152)+COUNTIF(Matches!$C:$C,$B152)</f>
        <v>0</v>
      </c>
      <c r="I152" s="342">
        <f>COUNTIF(Matches!$B:$B,B152)</f>
        <v>0</v>
      </c>
      <c r="J152" s="79">
        <f t="shared" si="2"/>
        <v>0</v>
      </c>
      <c r="K152" s="1" t="str">
        <f t="shared" si="3"/>
        <v>0 - 0</v>
      </c>
      <c r="L152" s="343">
        <f>COUNTIF(Entropy!$D:$D,$B152)</f>
        <v>0</v>
      </c>
      <c r="M152" s="344">
        <f t="shared" si="4"/>
        <v>0</v>
      </c>
      <c r="N152" s="344">
        <f t="shared" si="5"/>
        <v>0</v>
      </c>
      <c r="O152" s="341">
        <f>IF($J152=11,0,IF(AND($H152 &gt;=VLOOKUP(Standings!$C$2,Quotas!$A$7:$E$14,4,FALSE), $H152&lt;=VLOOKUP(Standings!$C$2,Quotas!$A$7:$E$14,5,FALSE)), 0,VLOOKUP(Standings!$C$2,Quotas!$A$7:$E$14,4,FALSE)-$H152))</f>
        <v>30</v>
      </c>
      <c r="P152" s="341">
        <f>IF($J152=11,0,IF(AND($H152 &gt;=VLOOKUP(Standings!$C$2,Quotas!$A$7:$E$14,5,FALSE), $H152&lt;=VLOOKUP(Standings!$C$2,Quotas!$A$7:$E$14,5,FALSE)), 0,VLOOKUP(Standings!$C$2,Quotas!$A$7:$E$14,5,FALSE)-$H152))</f>
        <v>30</v>
      </c>
      <c r="Q152" s="79">
        <f t="shared" si="6"/>
        <v>11</v>
      </c>
      <c r="R152" s="345" t="str">
        <f t="shared" si="7"/>
        <v/>
      </c>
      <c r="S152" s="344">
        <f t="shared" si="8"/>
        <v>0.33</v>
      </c>
      <c r="T152" s="345" t="str">
        <f>IFERROR(__xludf.DUMMYFUNCTION("JOIN("","",IFERROR(FILTER(Matches!$B:$B,B152=Matches!$C:$C),""""),IFERROR(FILTER(Matches!$C:$C,B152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52" s="344">
        <f>IFERROR(__xludf.DUMMYFUNCTION("iferror(AVERAGE(ARRAYFORMULA(VLOOKUP(SPLIT(T152,"","",TRUE,TRUE),$R$2:$S654,2,FALSE))),0)"),0.0)</f>
        <v>0</v>
      </c>
      <c r="V152" s="346">
        <f>IFERROR(__xludf.DUMMYFUNCTION("RANK($I152, $I$2:$I654, FALSE) + RANK($M152, Filter($M$2:$M654, $I$2:$I654=$I152),FALSE)+RANK($U152, Filter($U$2:$U654, $I$2:$I654=$I152,$M$2:$M654=$M152),FALSE)-2"),1.0)</f>
        <v>1</v>
      </c>
      <c r="W152" s="347" t="str">
        <f t="shared" si="9"/>
        <v>Underplay</v>
      </c>
      <c r="X152" s="348" t="str">
        <f t="shared" si="10"/>
        <v/>
      </c>
      <c r="Y152" s="349">
        <f>MAXIFS(Matches!$A:$A,Matches!$C:$C,$B152)</f>
        <v>0</v>
      </c>
      <c r="Z152" s="349">
        <f t="array" ref="Z152">XLOOKUP(Y152,Quotas!$B$7:$B$10,Quotas!$A$7:$A$10,0,-1)</f>
        <v>0</v>
      </c>
      <c r="AB152" s="79"/>
      <c r="AC152" s="79">
        <f>COUNTIFS(Matches!$A:$A,"&gt;"&amp;Y152,Matches!$B:$B,$B152)</f>
        <v>0</v>
      </c>
      <c r="AD152" s="79"/>
      <c r="AE152" s="31" t="str">
        <f t="array" ref="AE152">XLOOKUP(B152, 'College List'!A:A, 'College List'!B:B)</f>
        <v>#N/A</v>
      </c>
      <c r="AF152" s="357">
        <v>9.0</v>
      </c>
      <c r="AG152" s="79"/>
      <c r="AH152" s="79"/>
      <c r="AI152" s="79"/>
    </row>
    <row r="153">
      <c r="A153" s="9">
        <f t="shared" si="1"/>
        <v>1</v>
      </c>
      <c r="C153" s="350"/>
      <c r="D153" s="93"/>
      <c r="E153" s="1"/>
      <c r="F153" s="1"/>
      <c r="G153" s="1"/>
      <c r="H153" s="341">
        <f>COUNTIF(Entropy!$D:$D,$B153)+COUNTIF(Matches!$B:$B,$B153)+COUNTIF(Matches!$C:$C,$B153)</f>
        <v>0</v>
      </c>
      <c r="I153" s="342">
        <f>COUNTIF(Matches!$B:$B,B153)</f>
        <v>0</v>
      </c>
      <c r="J153" s="79">
        <f t="shared" si="2"/>
        <v>0</v>
      </c>
      <c r="K153" s="1" t="str">
        <f t="shared" si="3"/>
        <v>0 - 0</v>
      </c>
      <c r="L153" s="343">
        <f>COUNTIF(Entropy!$D:$D,$B153)</f>
        <v>0</v>
      </c>
      <c r="M153" s="344">
        <f t="shared" si="4"/>
        <v>0</v>
      </c>
      <c r="N153" s="344">
        <f t="shared" si="5"/>
        <v>0</v>
      </c>
      <c r="O153" s="341">
        <f>IF($J153=11,0,IF(AND($H153 &gt;=VLOOKUP(Standings!$C$2,Quotas!$A$7:$E$14,4,FALSE), $H153&lt;=VLOOKUP(Standings!$C$2,Quotas!$A$7:$E$14,5,FALSE)), 0,VLOOKUP(Standings!$C$2,Quotas!$A$7:$E$14,4,FALSE)-$H153))</f>
        <v>30</v>
      </c>
      <c r="P153" s="341">
        <f>IF($J153=11,0,IF(AND($H153 &gt;=VLOOKUP(Standings!$C$2,Quotas!$A$7:$E$14,5,FALSE), $H153&lt;=VLOOKUP(Standings!$C$2,Quotas!$A$7:$E$14,5,FALSE)), 0,VLOOKUP(Standings!$C$2,Quotas!$A$7:$E$14,5,FALSE)-$H153))</f>
        <v>30</v>
      </c>
      <c r="Q153" s="79">
        <f t="shared" si="6"/>
        <v>11</v>
      </c>
      <c r="R153" s="345" t="str">
        <f t="shared" si="7"/>
        <v/>
      </c>
      <c r="S153" s="344">
        <f t="shared" si="8"/>
        <v>0.33</v>
      </c>
      <c r="T153" s="345" t="str">
        <f>IFERROR(__xludf.DUMMYFUNCTION("JOIN("","",IFERROR(FILTER(Matches!$B:$B,B153=Matches!$C:$C),""""),IFERROR(FILTER(Matches!$C:$C,B153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53" s="344">
        <f>IFERROR(__xludf.DUMMYFUNCTION("iferror(AVERAGE(ARRAYFORMULA(VLOOKUP(SPLIT(T153,"","",TRUE,TRUE),$R$2:$S654,2,FALSE))),0)"),0.0)</f>
        <v>0</v>
      </c>
      <c r="V153" s="346">
        <f>IFERROR(__xludf.DUMMYFUNCTION("RANK($I153, $I$2:$I654, FALSE) + RANK($M153, Filter($M$2:$M654, $I$2:$I654=$I153),FALSE)+RANK($U153, Filter($U$2:$U654, $I$2:$I654=$I153,$M$2:$M654=$M153),FALSE)-2"),1.0)</f>
        <v>1</v>
      </c>
      <c r="W153" s="347" t="str">
        <f t="shared" si="9"/>
        <v>Underplay</v>
      </c>
      <c r="X153" s="348" t="str">
        <f t="shared" si="10"/>
        <v/>
      </c>
      <c r="Y153" s="349">
        <f>MAXIFS(Matches!$A:$A,Matches!$C:$C,$B153)</f>
        <v>0</v>
      </c>
      <c r="Z153" s="349">
        <f t="array" ref="Z153">XLOOKUP(Y153,Quotas!$B$7:$B$10,Quotas!$A$7:$A$10,0,-1)</f>
        <v>0</v>
      </c>
      <c r="AB153" s="79"/>
      <c r="AC153" s="79">
        <f>COUNTIFS(Matches!$A:$A,"&gt;"&amp;Y153,Matches!$B:$B,$B153)</f>
        <v>0</v>
      </c>
      <c r="AD153" s="79"/>
      <c r="AE153" s="31" t="str">
        <f t="array" ref="AE153">XLOOKUP(B153, 'College List'!A:A, 'College List'!B:B)</f>
        <v>#N/A</v>
      </c>
      <c r="AF153" s="357">
        <v>9.0</v>
      </c>
      <c r="AG153" s="79"/>
      <c r="AH153" s="79"/>
      <c r="AI153" s="79"/>
    </row>
    <row r="154">
      <c r="A154" s="9">
        <f t="shared" si="1"/>
        <v>1</v>
      </c>
      <c r="C154" s="350"/>
      <c r="D154" s="93"/>
      <c r="E154" s="1"/>
      <c r="F154" s="1"/>
      <c r="G154" s="1"/>
      <c r="H154" s="341">
        <f>COUNTIF(Entropy!$D:$D,$B154)+COUNTIF(Matches!$B:$B,$B154)+COUNTIF(Matches!$C:$C,$B154)</f>
        <v>0</v>
      </c>
      <c r="I154" s="342">
        <f>COUNTIF(Matches!$B:$B,B154)</f>
        <v>0</v>
      </c>
      <c r="J154" s="79">
        <f t="shared" si="2"/>
        <v>0</v>
      </c>
      <c r="K154" s="1" t="str">
        <f t="shared" si="3"/>
        <v>0 - 0</v>
      </c>
      <c r="L154" s="343">
        <f>COUNTIF(Entropy!$D:$D,$B154)</f>
        <v>0</v>
      </c>
      <c r="M154" s="344">
        <f t="shared" si="4"/>
        <v>0</v>
      </c>
      <c r="N154" s="344">
        <f t="shared" si="5"/>
        <v>0</v>
      </c>
      <c r="O154" s="341">
        <f>IF($J154=11,0,IF(AND($H154 &gt;=VLOOKUP(Standings!$C$2,Quotas!$A$7:$E$14,4,FALSE), $H154&lt;=VLOOKUP(Standings!$C$2,Quotas!$A$7:$E$14,5,FALSE)), 0,VLOOKUP(Standings!$C$2,Quotas!$A$7:$E$14,4,FALSE)-$H154))</f>
        <v>30</v>
      </c>
      <c r="P154" s="341">
        <f>IF($J154=11,0,IF(AND($H154 &gt;=VLOOKUP(Standings!$C$2,Quotas!$A$7:$E$14,5,FALSE), $H154&lt;=VLOOKUP(Standings!$C$2,Quotas!$A$7:$E$14,5,FALSE)), 0,VLOOKUP(Standings!$C$2,Quotas!$A$7:$E$14,5,FALSE)-$H154))</f>
        <v>30</v>
      </c>
      <c r="Q154" s="79">
        <f t="shared" si="6"/>
        <v>11</v>
      </c>
      <c r="R154" s="345" t="str">
        <f t="shared" si="7"/>
        <v/>
      </c>
      <c r="S154" s="344">
        <f t="shared" si="8"/>
        <v>0.33</v>
      </c>
      <c r="T154" s="345" t="str">
        <f>IFERROR(__xludf.DUMMYFUNCTION("JOIN("","",IFERROR(FILTER(Matches!$B:$B,B154=Matches!$C:$C),""""),IFERROR(FILTER(Matches!$C:$C,B154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54" s="344">
        <f>IFERROR(__xludf.DUMMYFUNCTION("iferror(AVERAGE(ARRAYFORMULA(VLOOKUP(SPLIT(T154,"","",TRUE,TRUE),$R$2:$S654,2,FALSE))),0)"),0.0)</f>
        <v>0</v>
      </c>
      <c r="V154" s="346">
        <f>IFERROR(__xludf.DUMMYFUNCTION("RANK($I154, $I$2:$I654, FALSE) + RANK($M154, Filter($M$2:$M654, $I$2:$I654=$I154),FALSE)+RANK($U154, Filter($U$2:$U654, $I$2:$I654=$I154,$M$2:$M654=$M154),FALSE)-2"),1.0)</f>
        <v>1</v>
      </c>
      <c r="W154" s="347" t="str">
        <f t="shared" si="9"/>
        <v>Underplay</v>
      </c>
      <c r="X154" s="348" t="str">
        <f t="shared" si="10"/>
        <v/>
      </c>
      <c r="Y154" s="349">
        <f>MAXIFS(Matches!$A:$A,Matches!$C:$C,$B154)</f>
        <v>0</v>
      </c>
      <c r="Z154" s="349">
        <f t="array" ref="Z154">XLOOKUP(Y154,Quotas!$B$7:$B$10,Quotas!$A$7:$A$10,0,-1)</f>
        <v>0</v>
      </c>
      <c r="AB154" s="79"/>
      <c r="AC154" s="79">
        <f>COUNTIFS(Matches!$A:$A,"&gt;"&amp;Y154,Matches!$B:$B,$B154)</f>
        <v>0</v>
      </c>
      <c r="AD154" s="79"/>
      <c r="AE154" s="31" t="str">
        <f t="array" ref="AE154">XLOOKUP(B154, 'College List'!A:A, 'College List'!B:B)</f>
        <v>#N/A</v>
      </c>
      <c r="AF154" s="357">
        <v>9.0</v>
      </c>
      <c r="AG154" s="79"/>
      <c r="AH154" s="79"/>
      <c r="AI154" s="79"/>
    </row>
    <row r="155">
      <c r="A155" s="9">
        <f t="shared" si="1"/>
        <v>1</v>
      </c>
      <c r="C155" s="350"/>
      <c r="D155" s="93"/>
      <c r="E155" s="1"/>
      <c r="F155" s="1"/>
      <c r="G155" s="1"/>
      <c r="H155" s="341">
        <f>COUNTIF(Entropy!$D:$D,$B155)+COUNTIF(Matches!$B:$B,$B155)+COUNTIF(Matches!$C:$C,$B155)</f>
        <v>0</v>
      </c>
      <c r="I155" s="342">
        <f>COUNTIF(Matches!$B:$B,B155)</f>
        <v>0</v>
      </c>
      <c r="J155" s="79">
        <f t="shared" si="2"/>
        <v>0</v>
      </c>
      <c r="K155" s="1" t="str">
        <f t="shared" si="3"/>
        <v>0 - 0</v>
      </c>
      <c r="L155" s="343">
        <f>COUNTIF(Entropy!$D:$D,$B155)</f>
        <v>0</v>
      </c>
      <c r="M155" s="344">
        <f t="shared" si="4"/>
        <v>0</v>
      </c>
      <c r="N155" s="344">
        <f t="shared" si="5"/>
        <v>0</v>
      </c>
      <c r="O155" s="341">
        <f>IF($J155=11,0,IF(AND($H155 &gt;=VLOOKUP(Standings!$C$2,Quotas!$A$7:$E$14,4,FALSE), $H155&lt;=VLOOKUP(Standings!$C$2,Quotas!$A$7:$E$14,5,FALSE)), 0,VLOOKUP(Standings!$C$2,Quotas!$A$7:$E$14,4,FALSE)-$H155))</f>
        <v>30</v>
      </c>
      <c r="P155" s="341">
        <f>IF($J155=11,0,IF(AND($H155 &gt;=VLOOKUP(Standings!$C$2,Quotas!$A$7:$E$14,5,FALSE), $H155&lt;=VLOOKUP(Standings!$C$2,Quotas!$A$7:$E$14,5,FALSE)), 0,VLOOKUP(Standings!$C$2,Quotas!$A$7:$E$14,5,FALSE)-$H155))</f>
        <v>30</v>
      </c>
      <c r="Q155" s="79">
        <f t="shared" si="6"/>
        <v>11</v>
      </c>
      <c r="R155" s="345" t="str">
        <f t="shared" si="7"/>
        <v/>
      </c>
      <c r="S155" s="344">
        <f t="shared" si="8"/>
        <v>0.33</v>
      </c>
      <c r="T155" s="345" t="str">
        <f>IFERROR(__xludf.DUMMYFUNCTION("JOIN("","",IFERROR(FILTER(Matches!$B:$B,B155=Matches!$C:$C),""""),IFERROR(FILTER(Matches!$C:$C,B155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55" s="344">
        <f>IFERROR(__xludf.DUMMYFUNCTION("iferror(AVERAGE(ARRAYFORMULA(VLOOKUP(SPLIT(T155,"","",TRUE,TRUE),$R$2:$S654,2,FALSE))),0)"),0.0)</f>
        <v>0</v>
      </c>
      <c r="V155" s="346">
        <f>IFERROR(__xludf.DUMMYFUNCTION("RANK($I155, $I$2:$I654, FALSE) + RANK($M155, Filter($M$2:$M654, $I$2:$I654=$I155),FALSE)+RANK($U155, Filter($U$2:$U654, $I$2:$I654=$I155,$M$2:$M654=$M155),FALSE)-2"),1.0)</f>
        <v>1</v>
      </c>
      <c r="W155" s="347" t="str">
        <f t="shared" si="9"/>
        <v>Underplay</v>
      </c>
      <c r="X155" s="348" t="str">
        <f t="shared" si="10"/>
        <v/>
      </c>
      <c r="Y155" s="349">
        <f>MAXIFS(Matches!$A:$A,Matches!$C:$C,$B155)</f>
        <v>0</v>
      </c>
      <c r="Z155" s="349">
        <f t="array" ref="Z155">XLOOKUP(Y155,Quotas!$B$7:$B$10,Quotas!$A$7:$A$10,0,-1)</f>
        <v>0</v>
      </c>
      <c r="AB155" s="79"/>
      <c r="AC155" s="79">
        <f>COUNTIFS(Matches!$A:$A,"&gt;"&amp;Y155,Matches!$B:$B,$B155)</f>
        <v>0</v>
      </c>
      <c r="AD155" s="79"/>
      <c r="AE155" s="31" t="str">
        <f t="array" ref="AE155">XLOOKUP(B155, 'College List'!A:A, 'College List'!B:B)</f>
        <v>#N/A</v>
      </c>
      <c r="AF155" s="357">
        <v>8.0</v>
      </c>
      <c r="AG155" s="79"/>
      <c r="AH155" s="79"/>
      <c r="AI155" s="79"/>
    </row>
    <row r="156">
      <c r="A156" s="9">
        <f t="shared" si="1"/>
        <v>1</v>
      </c>
      <c r="C156" s="350"/>
      <c r="D156" s="93"/>
      <c r="E156" s="1"/>
      <c r="F156" s="1"/>
      <c r="G156" s="1"/>
      <c r="H156" s="341">
        <f>COUNTIF(Entropy!$D:$D,$B156)+COUNTIF(Matches!$B:$B,$B156)+COUNTIF(Matches!$C:$C,$B156)</f>
        <v>0</v>
      </c>
      <c r="I156" s="342">
        <f>COUNTIF(Matches!$B:$B,B156)</f>
        <v>0</v>
      </c>
      <c r="J156" s="79">
        <f t="shared" si="2"/>
        <v>0</v>
      </c>
      <c r="K156" s="1" t="str">
        <f t="shared" si="3"/>
        <v>0 - 0</v>
      </c>
      <c r="L156" s="343">
        <f>COUNTIF(Entropy!$D:$D,$B156)</f>
        <v>0</v>
      </c>
      <c r="M156" s="344">
        <f t="shared" si="4"/>
        <v>0</v>
      </c>
      <c r="N156" s="344">
        <f t="shared" si="5"/>
        <v>0</v>
      </c>
      <c r="O156" s="341">
        <f>IF($J156=11,0,IF(AND($H156 &gt;=VLOOKUP(Standings!$C$2,Quotas!$A$7:$E$14,4,FALSE), $H156&lt;=VLOOKUP(Standings!$C$2,Quotas!$A$7:$E$14,5,FALSE)), 0,VLOOKUP(Standings!$C$2,Quotas!$A$7:$E$14,4,FALSE)-$H156))</f>
        <v>30</v>
      </c>
      <c r="P156" s="341">
        <f>IF($J156=11,0,IF(AND($H156 &gt;=VLOOKUP(Standings!$C$2,Quotas!$A$7:$E$14,5,FALSE), $H156&lt;=VLOOKUP(Standings!$C$2,Quotas!$A$7:$E$14,5,FALSE)), 0,VLOOKUP(Standings!$C$2,Quotas!$A$7:$E$14,5,FALSE)-$H156))</f>
        <v>30</v>
      </c>
      <c r="Q156" s="79">
        <f t="shared" si="6"/>
        <v>11</v>
      </c>
      <c r="R156" s="345" t="str">
        <f t="shared" si="7"/>
        <v/>
      </c>
      <c r="S156" s="344">
        <f t="shared" si="8"/>
        <v>0.33</v>
      </c>
      <c r="T156" s="345" t="str">
        <f>IFERROR(__xludf.DUMMYFUNCTION("JOIN("","",IFERROR(FILTER(Matches!$B:$B,B156=Matches!$C:$C),""""),IFERROR(FILTER(Matches!$C:$C,B156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56" s="344">
        <f>IFERROR(__xludf.DUMMYFUNCTION("iferror(AVERAGE(ARRAYFORMULA(VLOOKUP(SPLIT(T156,"","",TRUE,TRUE),$R$2:$S654,2,FALSE))),0)"),0.0)</f>
        <v>0</v>
      </c>
      <c r="V156" s="346">
        <f>IFERROR(__xludf.DUMMYFUNCTION("RANK($I156, $I$2:$I654, FALSE) + RANK($M156, Filter($M$2:$M654, $I$2:$I654=$I156),FALSE)+RANK($U156, Filter($U$2:$U654, $I$2:$I654=$I156,$M$2:$M654=$M156),FALSE)-2"),1.0)</f>
        <v>1</v>
      </c>
      <c r="W156" s="347" t="str">
        <f t="shared" si="9"/>
        <v>Underplay</v>
      </c>
      <c r="X156" s="348" t="str">
        <f t="shared" si="10"/>
        <v/>
      </c>
      <c r="Y156" s="349">
        <f>MAXIFS(Matches!$A:$A,Matches!$C:$C,$B156)</f>
        <v>0</v>
      </c>
      <c r="Z156" s="349">
        <f t="array" ref="Z156">XLOOKUP(Y156,Quotas!$B$7:$B$10,Quotas!$A$7:$A$10,0,-1)</f>
        <v>0</v>
      </c>
      <c r="AB156" s="79"/>
      <c r="AC156" s="79">
        <f>COUNTIFS(Matches!$A:$A,"&gt;"&amp;Y156,Matches!$B:$B,$B156)</f>
        <v>0</v>
      </c>
      <c r="AD156" s="79"/>
      <c r="AE156" s="31" t="str">
        <f t="array" ref="AE156">XLOOKUP(B156, 'College List'!A:A, 'College List'!B:B)</f>
        <v>#N/A</v>
      </c>
      <c r="AF156" s="357">
        <v>5.0</v>
      </c>
      <c r="AG156" s="79"/>
      <c r="AH156" s="79"/>
      <c r="AI156" s="79"/>
    </row>
    <row r="157">
      <c r="A157" s="9">
        <f t="shared" si="1"/>
        <v>1</v>
      </c>
      <c r="C157" s="350"/>
      <c r="D157" s="93"/>
      <c r="E157" s="1"/>
      <c r="F157" s="1"/>
      <c r="G157" s="1"/>
      <c r="H157" s="341">
        <f>COUNTIF(Entropy!$D:$D,$B157)+COUNTIF(Matches!$B:$B,$B157)+COUNTIF(Matches!$C:$C,$B157)</f>
        <v>0</v>
      </c>
      <c r="I157" s="342">
        <f>COUNTIF(Matches!$B:$B,B157)</f>
        <v>0</v>
      </c>
      <c r="J157" s="79">
        <f t="shared" si="2"/>
        <v>0</v>
      </c>
      <c r="K157" s="1" t="str">
        <f t="shared" si="3"/>
        <v>0 - 0</v>
      </c>
      <c r="L157" s="343">
        <f>COUNTIF(Entropy!$D:$D,$B157)</f>
        <v>0</v>
      </c>
      <c r="M157" s="344">
        <f t="shared" si="4"/>
        <v>0</v>
      </c>
      <c r="N157" s="344">
        <f t="shared" si="5"/>
        <v>0</v>
      </c>
      <c r="O157" s="341">
        <f>IF($J157=11,0,IF(AND($H157 &gt;=VLOOKUP(Standings!$C$2,Quotas!$A$7:$E$14,4,FALSE), $H157&lt;=VLOOKUP(Standings!$C$2,Quotas!$A$7:$E$14,5,FALSE)), 0,VLOOKUP(Standings!$C$2,Quotas!$A$7:$E$14,4,FALSE)-$H157))</f>
        <v>30</v>
      </c>
      <c r="P157" s="341">
        <f>IF($J157=11,0,IF(AND($H157 &gt;=VLOOKUP(Standings!$C$2,Quotas!$A$7:$E$14,5,FALSE), $H157&lt;=VLOOKUP(Standings!$C$2,Quotas!$A$7:$E$14,5,FALSE)), 0,VLOOKUP(Standings!$C$2,Quotas!$A$7:$E$14,5,FALSE)-$H157))</f>
        <v>30</v>
      </c>
      <c r="Q157" s="79">
        <f t="shared" si="6"/>
        <v>11</v>
      </c>
      <c r="R157" s="345" t="str">
        <f t="shared" si="7"/>
        <v/>
      </c>
      <c r="S157" s="344">
        <f t="shared" si="8"/>
        <v>0.33</v>
      </c>
      <c r="T157" s="345" t="str">
        <f>IFERROR(__xludf.DUMMYFUNCTION("JOIN("","",IFERROR(FILTER(Matches!$B:$B,B157=Matches!$C:$C),""""),IFERROR(FILTER(Matches!$C:$C,B157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57" s="344">
        <f>IFERROR(__xludf.DUMMYFUNCTION("iferror(AVERAGE(ARRAYFORMULA(VLOOKUP(SPLIT(T157,"","",TRUE,TRUE),$R$2:$S654,2,FALSE))),0)"),0.0)</f>
        <v>0</v>
      </c>
      <c r="V157" s="346">
        <f>IFERROR(__xludf.DUMMYFUNCTION("RANK($I157, $I$2:$I654, FALSE) + RANK($M157, Filter($M$2:$M654, $I$2:$I654=$I157),FALSE)+RANK($U157, Filter($U$2:$U654, $I$2:$I654=$I157,$M$2:$M654=$M157),FALSE)-2"),1.0)</f>
        <v>1</v>
      </c>
      <c r="W157" s="347" t="str">
        <f t="shared" si="9"/>
        <v>Underplay</v>
      </c>
      <c r="X157" s="348" t="str">
        <f t="shared" si="10"/>
        <v/>
      </c>
      <c r="Y157" s="349">
        <f>MAXIFS(Matches!$A:$A,Matches!$C:$C,$B157)</f>
        <v>0</v>
      </c>
      <c r="Z157" s="349">
        <f t="array" ref="Z157">XLOOKUP(Y157,Quotas!$B$7:$B$10,Quotas!$A$7:$A$10,0,-1)</f>
        <v>0</v>
      </c>
      <c r="AB157" s="79"/>
      <c r="AC157" s="79">
        <f>COUNTIFS(Matches!$A:$A,"&gt;"&amp;Y157,Matches!$B:$B,$B157)</f>
        <v>0</v>
      </c>
      <c r="AD157" s="79"/>
      <c r="AE157" s="31" t="str">
        <f t="array" ref="AE157">XLOOKUP(B157, 'College List'!A:A, 'College List'!B:B)</f>
        <v>#N/A</v>
      </c>
      <c r="AF157" s="357">
        <v>7.0</v>
      </c>
      <c r="AG157" s="79"/>
      <c r="AH157" s="79"/>
      <c r="AI157" s="79"/>
    </row>
    <row r="158">
      <c r="A158" s="9">
        <f t="shared" si="1"/>
        <v>1</v>
      </c>
      <c r="C158" s="350"/>
      <c r="D158" s="93"/>
      <c r="E158" s="1"/>
      <c r="F158" s="1"/>
      <c r="G158" s="1"/>
      <c r="H158" s="341">
        <f>COUNTIF(Entropy!$D:$D,$B158)+COUNTIF(Matches!$B:$B,$B158)+COUNTIF(Matches!$C:$C,$B158)</f>
        <v>0</v>
      </c>
      <c r="I158" s="342">
        <f>COUNTIF(Matches!$B:$B,B158)</f>
        <v>0</v>
      </c>
      <c r="J158" s="79">
        <f t="shared" si="2"/>
        <v>0</v>
      </c>
      <c r="K158" s="1" t="str">
        <f t="shared" si="3"/>
        <v>0 - 0</v>
      </c>
      <c r="L158" s="343">
        <f>COUNTIF(Entropy!$D:$D,$B158)</f>
        <v>0</v>
      </c>
      <c r="M158" s="344">
        <f t="shared" si="4"/>
        <v>0</v>
      </c>
      <c r="N158" s="344">
        <f t="shared" si="5"/>
        <v>0</v>
      </c>
      <c r="O158" s="341">
        <f>IF($J158=11,0,IF(AND($H158 &gt;=VLOOKUP(Standings!$C$2,Quotas!$A$7:$E$14,4,FALSE), $H158&lt;=VLOOKUP(Standings!$C$2,Quotas!$A$7:$E$14,5,FALSE)), 0,VLOOKUP(Standings!$C$2,Quotas!$A$7:$E$14,4,FALSE)-$H158))</f>
        <v>30</v>
      </c>
      <c r="P158" s="341">
        <f>IF($J158=11,0,IF(AND($H158 &gt;=VLOOKUP(Standings!$C$2,Quotas!$A$7:$E$14,5,FALSE), $H158&lt;=VLOOKUP(Standings!$C$2,Quotas!$A$7:$E$14,5,FALSE)), 0,VLOOKUP(Standings!$C$2,Quotas!$A$7:$E$14,5,FALSE)-$H158))</f>
        <v>30</v>
      </c>
      <c r="Q158" s="79">
        <f t="shared" si="6"/>
        <v>11</v>
      </c>
      <c r="R158" s="345" t="str">
        <f t="shared" si="7"/>
        <v/>
      </c>
      <c r="S158" s="344">
        <f t="shared" si="8"/>
        <v>0.33</v>
      </c>
      <c r="T158" s="345" t="str">
        <f>IFERROR(__xludf.DUMMYFUNCTION("JOIN("","",IFERROR(FILTER(Matches!$B:$B,B158=Matches!$C:$C),""""),IFERROR(FILTER(Matches!$C:$C,B158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58" s="344">
        <f>IFERROR(__xludf.DUMMYFUNCTION("iferror(AVERAGE(ARRAYFORMULA(VLOOKUP(SPLIT(T158,"","",TRUE,TRUE),$R$2:$S654,2,FALSE))),0)"),0.0)</f>
        <v>0</v>
      </c>
      <c r="V158" s="346">
        <f>IFERROR(__xludf.DUMMYFUNCTION("RANK($I158, $I$2:$I654, FALSE) + RANK($M158, Filter($M$2:$M654, $I$2:$I654=$I158),FALSE)+RANK($U158, Filter($U$2:$U654, $I$2:$I654=$I158,$M$2:$M654=$M158),FALSE)-2"),1.0)</f>
        <v>1</v>
      </c>
      <c r="W158" s="347" t="str">
        <f t="shared" si="9"/>
        <v>Underplay</v>
      </c>
      <c r="X158" s="348" t="str">
        <f t="shared" si="10"/>
        <v/>
      </c>
      <c r="Y158" s="349">
        <f>MAXIFS(Matches!$A:$A,Matches!$C:$C,$B158)</f>
        <v>0</v>
      </c>
      <c r="Z158" s="349">
        <f t="array" ref="Z158">XLOOKUP(Y158,Quotas!$B$7:$B$10,Quotas!$A$7:$A$10,0,-1)</f>
        <v>0</v>
      </c>
      <c r="AB158" s="79"/>
      <c r="AC158" s="79">
        <f>COUNTIFS(Matches!$A:$A,"&gt;"&amp;Y158,Matches!$B:$B,$B158)</f>
        <v>0</v>
      </c>
      <c r="AD158" s="79"/>
      <c r="AE158" s="31" t="str">
        <f t="array" ref="AE158">XLOOKUP(B158, 'College List'!A:A, 'College List'!B:B)</f>
        <v>#N/A</v>
      </c>
      <c r="AF158" s="357">
        <v>8.0</v>
      </c>
      <c r="AG158" s="79"/>
      <c r="AH158" s="79"/>
      <c r="AI158" s="79"/>
    </row>
    <row r="159">
      <c r="A159" s="9">
        <f t="shared" si="1"/>
        <v>1</v>
      </c>
      <c r="C159" s="350"/>
      <c r="D159" s="93"/>
      <c r="E159" s="1"/>
      <c r="F159" s="1"/>
      <c r="G159" s="1"/>
      <c r="H159" s="341">
        <f>COUNTIF(Entropy!$D:$D,$B159)+COUNTIF(Matches!$B:$B,$B159)+COUNTIF(Matches!$C:$C,$B159)</f>
        <v>0</v>
      </c>
      <c r="I159" s="342">
        <f>COUNTIF(Matches!$B:$B,B159)</f>
        <v>0</v>
      </c>
      <c r="J159" s="79">
        <f t="shared" si="2"/>
        <v>0</v>
      </c>
      <c r="K159" s="1" t="str">
        <f t="shared" si="3"/>
        <v>0 - 0</v>
      </c>
      <c r="L159" s="343">
        <f>COUNTIF(Entropy!$D:$D,$B159)</f>
        <v>0</v>
      </c>
      <c r="M159" s="344">
        <f t="shared" si="4"/>
        <v>0</v>
      </c>
      <c r="N159" s="344">
        <f t="shared" si="5"/>
        <v>0</v>
      </c>
      <c r="O159" s="341">
        <f>IF($J159=11,0,IF(AND($H159 &gt;=VLOOKUP(Standings!$C$2,Quotas!$A$7:$E$14,4,FALSE), $H159&lt;=VLOOKUP(Standings!$C$2,Quotas!$A$7:$E$14,5,FALSE)), 0,VLOOKUP(Standings!$C$2,Quotas!$A$7:$E$14,4,FALSE)-$H159))</f>
        <v>30</v>
      </c>
      <c r="P159" s="341">
        <f>IF($J159=11,0,IF(AND($H159 &gt;=VLOOKUP(Standings!$C$2,Quotas!$A$7:$E$14,5,FALSE), $H159&lt;=VLOOKUP(Standings!$C$2,Quotas!$A$7:$E$14,5,FALSE)), 0,VLOOKUP(Standings!$C$2,Quotas!$A$7:$E$14,5,FALSE)-$H159))</f>
        <v>30</v>
      </c>
      <c r="Q159" s="79">
        <f t="shared" si="6"/>
        <v>11</v>
      </c>
      <c r="R159" s="345" t="str">
        <f t="shared" si="7"/>
        <v/>
      </c>
      <c r="S159" s="344">
        <f t="shared" si="8"/>
        <v>0.33</v>
      </c>
      <c r="T159" s="345" t="str">
        <f>IFERROR(__xludf.DUMMYFUNCTION("JOIN("","",IFERROR(FILTER(Matches!$B:$B,B159=Matches!$C:$C),""""),IFERROR(FILTER(Matches!$C:$C,B159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59" s="344">
        <f>IFERROR(__xludf.DUMMYFUNCTION("iferror(AVERAGE(ARRAYFORMULA(VLOOKUP(SPLIT(T159,"","",TRUE,TRUE),$R$2:$S654,2,FALSE))),0)"),0.0)</f>
        <v>0</v>
      </c>
      <c r="V159" s="346">
        <f>IFERROR(__xludf.DUMMYFUNCTION("RANK($I159, $I$2:$I654, FALSE) + RANK($M159, Filter($M$2:$M654, $I$2:$I654=$I159),FALSE)+RANK($U159, Filter($U$2:$U654, $I$2:$I654=$I159,$M$2:$M654=$M159),FALSE)-2"),1.0)</f>
        <v>1</v>
      </c>
      <c r="W159" s="347" t="str">
        <f t="shared" si="9"/>
        <v>Underplay</v>
      </c>
      <c r="X159" s="348" t="str">
        <f t="shared" si="10"/>
        <v/>
      </c>
      <c r="Y159" s="349">
        <f>MAXIFS(Matches!$A:$A,Matches!$C:$C,$B159)</f>
        <v>0</v>
      </c>
      <c r="Z159" s="349">
        <f t="array" ref="Z159">XLOOKUP(Y159,Quotas!$B$7:$B$10,Quotas!$A$7:$A$10,0,-1)</f>
        <v>0</v>
      </c>
      <c r="AB159" s="79"/>
      <c r="AC159" s="79">
        <f>COUNTIFS(Matches!$A:$A,"&gt;"&amp;Y159,Matches!$B:$B,$B159)</f>
        <v>0</v>
      </c>
      <c r="AD159" s="79"/>
      <c r="AE159" s="31" t="str">
        <f t="array" ref="AE159">XLOOKUP(B159, 'College List'!A:A, 'College List'!B:B)</f>
        <v>#N/A</v>
      </c>
      <c r="AF159" s="357">
        <v>9.0</v>
      </c>
      <c r="AG159" s="79"/>
      <c r="AH159" s="79"/>
      <c r="AI159" s="79"/>
    </row>
    <row r="160">
      <c r="A160" s="9">
        <f t="shared" si="1"/>
        <v>1</v>
      </c>
      <c r="C160" s="350"/>
      <c r="D160" s="93"/>
      <c r="E160" s="1"/>
      <c r="F160" s="1"/>
      <c r="G160" s="1"/>
      <c r="H160" s="341">
        <f>COUNTIF(Entropy!$D:$D,$B160)+COUNTIF(Matches!$B:$B,$B160)+COUNTIF(Matches!$C:$C,$B160)</f>
        <v>0</v>
      </c>
      <c r="I160" s="342">
        <f>COUNTIF(Matches!$B:$B,B160)</f>
        <v>0</v>
      </c>
      <c r="J160" s="79">
        <f t="shared" si="2"/>
        <v>0</v>
      </c>
      <c r="K160" s="1" t="str">
        <f t="shared" si="3"/>
        <v>0 - 0</v>
      </c>
      <c r="L160" s="343">
        <f>COUNTIF(Entropy!$D:$D,$B160)</f>
        <v>0</v>
      </c>
      <c r="M160" s="344">
        <f t="shared" si="4"/>
        <v>0</v>
      </c>
      <c r="N160" s="344">
        <f t="shared" si="5"/>
        <v>0</v>
      </c>
      <c r="O160" s="341">
        <f>IF($J160=11,0,IF(AND($H160 &gt;=VLOOKUP(Standings!$C$2,Quotas!$A$7:$E$14,4,FALSE), $H160&lt;=VLOOKUP(Standings!$C$2,Quotas!$A$7:$E$14,5,FALSE)), 0,VLOOKUP(Standings!$C$2,Quotas!$A$7:$E$14,4,FALSE)-$H160))</f>
        <v>30</v>
      </c>
      <c r="P160" s="341">
        <f>IF($J160=11,0,IF(AND($H160 &gt;=VLOOKUP(Standings!$C$2,Quotas!$A$7:$E$14,5,FALSE), $H160&lt;=VLOOKUP(Standings!$C$2,Quotas!$A$7:$E$14,5,FALSE)), 0,VLOOKUP(Standings!$C$2,Quotas!$A$7:$E$14,5,FALSE)-$H160))</f>
        <v>30</v>
      </c>
      <c r="Q160" s="79">
        <f t="shared" si="6"/>
        <v>11</v>
      </c>
      <c r="R160" s="345" t="str">
        <f t="shared" si="7"/>
        <v/>
      </c>
      <c r="S160" s="344">
        <f t="shared" si="8"/>
        <v>0.33</v>
      </c>
      <c r="T160" s="345" t="str">
        <f>IFERROR(__xludf.DUMMYFUNCTION("JOIN("","",IFERROR(FILTER(Matches!$B:$B,B160=Matches!$C:$C),""""),IFERROR(FILTER(Matches!$C:$C,B160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60" s="344">
        <f>IFERROR(__xludf.DUMMYFUNCTION("iferror(AVERAGE(ARRAYFORMULA(VLOOKUP(SPLIT(T160,"","",TRUE,TRUE),$R$2:$S654,2,FALSE))),0)"),0.0)</f>
        <v>0</v>
      </c>
      <c r="V160" s="346">
        <f>IFERROR(__xludf.DUMMYFUNCTION("RANK($I160, $I$2:$I654, FALSE) + RANK($M160, Filter($M$2:$M654, $I$2:$I654=$I160),FALSE)+RANK($U160, Filter($U$2:$U654, $I$2:$I654=$I160,$M$2:$M654=$M160),FALSE)-2"),1.0)</f>
        <v>1</v>
      </c>
      <c r="W160" s="347" t="str">
        <f t="shared" si="9"/>
        <v>Underplay</v>
      </c>
      <c r="X160" s="348" t="str">
        <f t="shared" si="10"/>
        <v/>
      </c>
      <c r="Y160" s="349">
        <f>MAXIFS(Matches!$A:$A,Matches!$C:$C,$B160)</f>
        <v>0</v>
      </c>
      <c r="Z160" s="349">
        <f t="array" ref="Z160">XLOOKUP(Y160,Quotas!$B$7:$B$10,Quotas!$A$7:$A$10,0,-1)</f>
        <v>0</v>
      </c>
      <c r="AB160" s="79"/>
      <c r="AC160" s="79">
        <f>COUNTIFS(Matches!$A:$A,"&gt;"&amp;Y160,Matches!$B:$B,$B160)</f>
        <v>0</v>
      </c>
      <c r="AD160" s="79"/>
      <c r="AE160" s="31" t="str">
        <f t="array" ref="AE160">XLOOKUP(B160, 'College List'!A:A, 'College List'!B:B)</f>
        <v>#N/A</v>
      </c>
      <c r="AF160" s="357">
        <v>9.0</v>
      </c>
      <c r="AG160" s="79"/>
      <c r="AH160" s="79"/>
      <c r="AI160" s="79"/>
    </row>
    <row r="161">
      <c r="A161" s="9">
        <f t="shared" si="1"/>
        <v>1</v>
      </c>
      <c r="C161" s="350"/>
      <c r="D161" s="93"/>
      <c r="E161" s="1"/>
      <c r="F161" s="1"/>
      <c r="G161" s="1"/>
      <c r="H161" s="341">
        <f>COUNTIF(Entropy!$D:$D,$B161)+COUNTIF(Matches!$B:$B,$B161)+COUNTIF(Matches!$C:$C,$B161)</f>
        <v>0</v>
      </c>
      <c r="I161" s="342">
        <f>COUNTIF(Matches!$B:$B,B161)</f>
        <v>0</v>
      </c>
      <c r="J161" s="79">
        <f t="shared" si="2"/>
        <v>0</v>
      </c>
      <c r="K161" s="1" t="str">
        <f t="shared" si="3"/>
        <v>0 - 0</v>
      </c>
      <c r="L161" s="343">
        <f>COUNTIF(Entropy!$D:$D,$B161)</f>
        <v>0</v>
      </c>
      <c r="M161" s="344">
        <f t="shared" si="4"/>
        <v>0</v>
      </c>
      <c r="N161" s="344">
        <f t="shared" si="5"/>
        <v>0</v>
      </c>
      <c r="O161" s="341">
        <f>IF($J161=11,0,IF(AND($H161 &gt;=VLOOKUP(Standings!$C$2,Quotas!$A$7:$E$14,4,FALSE), $H161&lt;=VLOOKUP(Standings!$C$2,Quotas!$A$7:$E$14,5,FALSE)), 0,VLOOKUP(Standings!$C$2,Quotas!$A$7:$E$14,4,FALSE)-$H161))</f>
        <v>30</v>
      </c>
      <c r="P161" s="341">
        <f>IF($J161=11,0,IF(AND($H161 &gt;=VLOOKUP(Standings!$C$2,Quotas!$A$7:$E$14,5,FALSE), $H161&lt;=VLOOKUP(Standings!$C$2,Quotas!$A$7:$E$14,5,FALSE)), 0,VLOOKUP(Standings!$C$2,Quotas!$A$7:$E$14,5,FALSE)-$H161))</f>
        <v>30</v>
      </c>
      <c r="Q161" s="79">
        <f t="shared" si="6"/>
        <v>11</v>
      </c>
      <c r="R161" s="345" t="str">
        <f t="shared" si="7"/>
        <v/>
      </c>
      <c r="S161" s="344">
        <f t="shared" si="8"/>
        <v>0.33</v>
      </c>
      <c r="T161" s="345" t="str">
        <f>IFERROR(__xludf.DUMMYFUNCTION("JOIN("","",IFERROR(FILTER(Matches!$B:$B,B161=Matches!$C:$C),""""),IFERROR(FILTER(Matches!$C:$C,B161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61" s="344">
        <f>IFERROR(__xludf.DUMMYFUNCTION("iferror(AVERAGE(ARRAYFORMULA(VLOOKUP(SPLIT(T161,"","",TRUE,TRUE),$R$2:$S654,2,FALSE))),0)"),0.0)</f>
        <v>0</v>
      </c>
      <c r="V161" s="346">
        <f>IFERROR(__xludf.DUMMYFUNCTION("RANK($I161, $I$2:$I654, FALSE) + RANK($M161, Filter($M$2:$M654, $I$2:$I654=$I161),FALSE)+RANK($U161, Filter($U$2:$U654, $I$2:$I654=$I161,$M$2:$M654=$M161),FALSE)-2"),1.0)</f>
        <v>1</v>
      </c>
      <c r="W161" s="347" t="str">
        <f t="shared" si="9"/>
        <v>Underplay</v>
      </c>
      <c r="X161" s="348" t="str">
        <f t="shared" si="10"/>
        <v/>
      </c>
      <c r="Y161" s="349">
        <f>MAXIFS(Matches!$A:$A,Matches!$C:$C,$B161)</f>
        <v>0</v>
      </c>
      <c r="Z161" s="349">
        <f t="array" ref="Z161">XLOOKUP(Y161,Quotas!$B$7:$B$10,Quotas!$A$7:$A$10,0,-1)</f>
        <v>0</v>
      </c>
      <c r="AB161" s="79"/>
      <c r="AC161" s="79">
        <f>COUNTIFS(Matches!$A:$A,"&gt;"&amp;Y161,Matches!$B:$B,$B161)</f>
        <v>0</v>
      </c>
      <c r="AD161" s="79"/>
      <c r="AE161" s="31" t="str">
        <f t="array" ref="AE161">XLOOKUP(B161, 'College List'!A:A, 'College List'!B:B)</f>
        <v>#N/A</v>
      </c>
      <c r="AF161" s="357">
        <v>9.0</v>
      </c>
      <c r="AG161" s="79"/>
      <c r="AH161" s="79"/>
      <c r="AI161" s="79"/>
    </row>
    <row r="162">
      <c r="A162" s="9">
        <f t="shared" si="1"/>
        <v>1</v>
      </c>
      <c r="C162" s="350"/>
      <c r="D162" s="93"/>
      <c r="E162" s="1"/>
      <c r="F162" s="1"/>
      <c r="G162" s="1"/>
      <c r="H162" s="341">
        <f>COUNTIF(Entropy!$D:$D,$B162)+COUNTIF(Matches!$B:$B,$B162)+COUNTIF(Matches!$C:$C,$B162)</f>
        <v>0</v>
      </c>
      <c r="I162" s="342">
        <f>COUNTIF(Matches!$B:$B,B162)</f>
        <v>0</v>
      </c>
      <c r="J162" s="79">
        <f t="shared" si="2"/>
        <v>0</v>
      </c>
      <c r="K162" s="1" t="str">
        <f t="shared" si="3"/>
        <v>0 - 0</v>
      </c>
      <c r="L162" s="343">
        <f>COUNTIF(Entropy!$D:$D,$B162)</f>
        <v>0</v>
      </c>
      <c r="M162" s="344">
        <f t="shared" si="4"/>
        <v>0</v>
      </c>
      <c r="N162" s="344">
        <f t="shared" si="5"/>
        <v>0</v>
      </c>
      <c r="O162" s="341">
        <f>IF($J162=11,0,IF(AND($H162 &gt;=VLOOKUP(Standings!$C$2,Quotas!$A$7:$E$14,4,FALSE), $H162&lt;=VLOOKUP(Standings!$C$2,Quotas!$A$7:$E$14,5,FALSE)), 0,VLOOKUP(Standings!$C$2,Quotas!$A$7:$E$14,4,FALSE)-$H162))</f>
        <v>30</v>
      </c>
      <c r="P162" s="341">
        <f>IF($J162=11,0,IF(AND($H162 &gt;=VLOOKUP(Standings!$C$2,Quotas!$A$7:$E$14,5,FALSE), $H162&lt;=VLOOKUP(Standings!$C$2,Quotas!$A$7:$E$14,5,FALSE)), 0,VLOOKUP(Standings!$C$2,Quotas!$A$7:$E$14,5,FALSE)-$H162))</f>
        <v>30</v>
      </c>
      <c r="Q162" s="79">
        <f t="shared" si="6"/>
        <v>11</v>
      </c>
      <c r="R162" s="345" t="str">
        <f t="shared" si="7"/>
        <v/>
      </c>
      <c r="S162" s="344">
        <f t="shared" si="8"/>
        <v>0.33</v>
      </c>
      <c r="T162" s="345" t="str">
        <f>IFERROR(__xludf.DUMMYFUNCTION("JOIN("","",IFERROR(FILTER(Matches!$B:$B,B162=Matches!$C:$C),""""),IFERROR(FILTER(Matches!$C:$C,B162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62" s="344">
        <f>IFERROR(__xludf.DUMMYFUNCTION("iferror(AVERAGE(ARRAYFORMULA(VLOOKUP(SPLIT(T162,"","",TRUE,TRUE),$R$2:$S654,2,FALSE))),0)"),0.0)</f>
        <v>0</v>
      </c>
      <c r="V162" s="346">
        <f>IFERROR(__xludf.DUMMYFUNCTION("RANK($I162, $I$2:$I654, FALSE) + RANK($M162, Filter($M$2:$M654, $I$2:$I654=$I162),FALSE)+RANK($U162, Filter($U$2:$U654, $I$2:$I654=$I162,$M$2:$M654=$M162),FALSE)-2"),1.0)</f>
        <v>1</v>
      </c>
      <c r="W162" s="347" t="str">
        <f t="shared" si="9"/>
        <v>Underplay</v>
      </c>
      <c r="X162" s="348" t="str">
        <f t="shared" si="10"/>
        <v/>
      </c>
      <c r="Y162" s="349">
        <f>MAXIFS(Matches!$A:$A,Matches!$C:$C,$B162)</f>
        <v>0</v>
      </c>
      <c r="Z162" s="349">
        <f t="array" ref="Z162">XLOOKUP(Y162,Quotas!$B$7:$B$10,Quotas!$A$7:$A$10,0,-1)</f>
        <v>0</v>
      </c>
      <c r="AB162" s="79"/>
      <c r="AC162" s="79">
        <f>COUNTIFS(Matches!$A:$A,"&gt;"&amp;Y162,Matches!$B:$B,$B162)</f>
        <v>0</v>
      </c>
      <c r="AD162" s="79"/>
      <c r="AE162" s="31" t="str">
        <f t="array" ref="AE162">XLOOKUP(B162, 'College List'!A:A, 'College List'!B:B)</f>
        <v>#N/A</v>
      </c>
      <c r="AF162" s="357">
        <v>9.0</v>
      </c>
      <c r="AG162" s="79"/>
      <c r="AH162" s="79"/>
      <c r="AI162" s="79"/>
    </row>
    <row r="163">
      <c r="A163" s="9">
        <f t="shared" si="1"/>
        <v>1</v>
      </c>
      <c r="C163" s="350"/>
      <c r="D163" s="93"/>
      <c r="E163" s="1"/>
      <c r="F163" s="1"/>
      <c r="G163" s="1"/>
      <c r="H163" s="341">
        <f>COUNTIF(Entropy!$D:$D,$B163)+COUNTIF(Matches!$B:$B,$B163)+COUNTIF(Matches!$C:$C,$B163)</f>
        <v>0</v>
      </c>
      <c r="I163" s="342">
        <f>COUNTIF(Matches!$B:$B,B163)</f>
        <v>0</v>
      </c>
      <c r="J163" s="79">
        <f t="shared" si="2"/>
        <v>0</v>
      </c>
      <c r="K163" s="1" t="str">
        <f t="shared" si="3"/>
        <v>0 - 0</v>
      </c>
      <c r="L163" s="343">
        <f>COUNTIF(Entropy!$D:$D,$B163)</f>
        <v>0</v>
      </c>
      <c r="M163" s="344">
        <f t="shared" si="4"/>
        <v>0</v>
      </c>
      <c r="N163" s="344">
        <f t="shared" si="5"/>
        <v>0</v>
      </c>
      <c r="O163" s="341">
        <f>IF($J163=11,0,IF(AND($H163 &gt;=VLOOKUP(Standings!$C$2,Quotas!$A$7:$E$14,4,FALSE), $H163&lt;=VLOOKUP(Standings!$C$2,Quotas!$A$7:$E$14,5,FALSE)), 0,VLOOKUP(Standings!$C$2,Quotas!$A$7:$E$14,4,FALSE)-$H163))</f>
        <v>30</v>
      </c>
      <c r="P163" s="341">
        <f>IF($J163=11,0,IF(AND($H163 &gt;=VLOOKUP(Standings!$C$2,Quotas!$A$7:$E$14,5,FALSE), $H163&lt;=VLOOKUP(Standings!$C$2,Quotas!$A$7:$E$14,5,FALSE)), 0,VLOOKUP(Standings!$C$2,Quotas!$A$7:$E$14,5,FALSE)-$H163))</f>
        <v>30</v>
      </c>
      <c r="Q163" s="79">
        <f t="shared" si="6"/>
        <v>11</v>
      </c>
      <c r="R163" s="345" t="str">
        <f t="shared" si="7"/>
        <v/>
      </c>
      <c r="S163" s="344">
        <f t="shared" si="8"/>
        <v>0.33</v>
      </c>
      <c r="T163" s="345" t="str">
        <f>IFERROR(__xludf.DUMMYFUNCTION("JOIN("","",IFERROR(FILTER(Matches!$B:$B,B163=Matches!$C:$C),""""),IFERROR(FILTER(Matches!$C:$C,B163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63" s="344">
        <f>IFERROR(__xludf.DUMMYFUNCTION("iferror(AVERAGE(ARRAYFORMULA(VLOOKUP(SPLIT(T163,"","",TRUE,TRUE),$R$2:$S654,2,FALSE))),0)"),0.0)</f>
        <v>0</v>
      </c>
      <c r="V163" s="346">
        <f>IFERROR(__xludf.DUMMYFUNCTION("RANK($I163, $I$2:$I654, FALSE) + RANK($M163, Filter($M$2:$M654, $I$2:$I654=$I163),FALSE)+RANK($U163, Filter($U$2:$U654, $I$2:$I654=$I163,$M$2:$M654=$M163),FALSE)-2"),1.0)</f>
        <v>1</v>
      </c>
      <c r="W163" s="347" t="str">
        <f t="shared" si="9"/>
        <v>Underplay</v>
      </c>
      <c r="X163" s="348" t="str">
        <f t="shared" si="10"/>
        <v/>
      </c>
      <c r="Y163" s="349">
        <f>MAXIFS(Matches!$A:$A,Matches!$C:$C,$B163)</f>
        <v>0</v>
      </c>
      <c r="Z163" s="349">
        <f t="array" ref="Z163">XLOOKUP(Y163,Quotas!$B$7:$B$10,Quotas!$A$7:$A$10,0,-1)</f>
        <v>0</v>
      </c>
      <c r="AB163" s="79"/>
      <c r="AC163" s="79">
        <f>COUNTIFS(Matches!$A:$A,"&gt;"&amp;Y163,Matches!$B:$B,$B163)</f>
        <v>0</v>
      </c>
      <c r="AD163" s="79"/>
      <c r="AE163" s="31" t="str">
        <f t="array" ref="AE163">XLOOKUP(B163, 'College List'!A:A, 'College List'!B:B)</f>
        <v>#N/A</v>
      </c>
      <c r="AF163" s="357">
        <v>10.0</v>
      </c>
      <c r="AG163" s="79"/>
      <c r="AH163" s="79"/>
      <c r="AI163" s="79"/>
    </row>
    <row r="164">
      <c r="A164" s="9">
        <f t="shared" si="1"/>
        <v>1</v>
      </c>
      <c r="C164" s="350"/>
      <c r="D164" s="93"/>
      <c r="E164" s="1"/>
      <c r="F164" s="1"/>
      <c r="G164" s="1"/>
      <c r="H164" s="341">
        <f>COUNTIF(Entropy!$D:$D,$B164)+COUNTIF(Matches!$B:$B,$B164)+COUNTIF(Matches!$C:$C,$B164)</f>
        <v>0</v>
      </c>
      <c r="I164" s="342">
        <f>COUNTIF(Matches!$B:$B,B164)</f>
        <v>0</v>
      </c>
      <c r="J164" s="79">
        <f t="shared" si="2"/>
        <v>0</v>
      </c>
      <c r="K164" s="1" t="str">
        <f t="shared" si="3"/>
        <v>0 - 0</v>
      </c>
      <c r="L164" s="343">
        <f>COUNTIF(Entropy!$D:$D,$B164)</f>
        <v>0</v>
      </c>
      <c r="M164" s="344">
        <f t="shared" si="4"/>
        <v>0</v>
      </c>
      <c r="N164" s="344">
        <f t="shared" si="5"/>
        <v>0</v>
      </c>
      <c r="O164" s="341">
        <f>IF($J164=11,0,IF(AND($H164 &gt;=VLOOKUP(Standings!$C$2,Quotas!$A$7:$E$14,4,FALSE), $H164&lt;=VLOOKUP(Standings!$C$2,Quotas!$A$7:$E$14,5,FALSE)), 0,VLOOKUP(Standings!$C$2,Quotas!$A$7:$E$14,4,FALSE)-$H164))</f>
        <v>30</v>
      </c>
      <c r="P164" s="341">
        <f>IF($J164=11,0,IF(AND($H164 &gt;=VLOOKUP(Standings!$C$2,Quotas!$A$7:$E$14,5,FALSE), $H164&lt;=VLOOKUP(Standings!$C$2,Quotas!$A$7:$E$14,5,FALSE)), 0,VLOOKUP(Standings!$C$2,Quotas!$A$7:$E$14,5,FALSE)-$H164))</f>
        <v>30</v>
      </c>
      <c r="Q164" s="79">
        <f t="shared" si="6"/>
        <v>11</v>
      </c>
      <c r="R164" s="345" t="str">
        <f t="shared" si="7"/>
        <v/>
      </c>
      <c r="S164" s="344">
        <f t="shared" si="8"/>
        <v>0.33</v>
      </c>
      <c r="T164" s="345" t="str">
        <f>IFERROR(__xludf.DUMMYFUNCTION("JOIN("","",IFERROR(FILTER(Matches!$B:$B,B164=Matches!$C:$C),""""),IFERROR(FILTER(Matches!$C:$C,B164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64" s="344">
        <f>IFERROR(__xludf.DUMMYFUNCTION("iferror(AVERAGE(ARRAYFORMULA(VLOOKUP(SPLIT(T164,"","",TRUE,TRUE),$R$2:$S654,2,FALSE))),0)"),0.0)</f>
        <v>0</v>
      </c>
      <c r="V164" s="346">
        <f>IFERROR(__xludf.DUMMYFUNCTION("RANK($I164, $I$2:$I654, FALSE) + RANK($M164, Filter($M$2:$M654, $I$2:$I654=$I164),FALSE)+RANK($U164, Filter($U$2:$U654, $I$2:$I654=$I164,$M$2:$M654=$M164),FALSE)-2"),1.0)</f>
        <v>1</v>
      </c>
      <c r="W164" s="347" t="str">
        <f t="shared" si="9"/>
        <v>Underplay</v>
      </c>
      <c r="X164" s="348" t="str">
        <f t="shared" si="10"/>
        <v/>
      </c>
      <c r="Y164" s="349">
        <f>MAXIFS(Matches!$A:$A,Matches!$C:$C,$B164)</f>
        <v>0</v>
      </c>
      <c r="Z164" s="349">
        <f t="array" ref="Z164">XLOOKUP(Y164,Quotas!$B$7:$B$10,Quotas!$A$7:$A$10,0,-1)</f>
        <v>0</v>
      </c>
      <c r="AB164" s="79"/>
      <c r="AC164" s="79">
        <f>COUNTIFS(Matches!$A:$A,"&gt;"&amp;Y164,Matches!$B:$B,$B164)</f>
        <v>0</v>
      </c>
      <c r="AD164" s="79"/>
      <c r="AE164" s="31" t="str">
        <f t="array" ref="AE164">XLOOKUP(B164, 'College List'!A:A, 'College List'!B:B)</f>
        <v>#N/A</v>
      </c>
      <c r="AF164" s="357">
        <v>7.0</v>
      </c>
      <c r="AG164" s="79"/>
      <c r="AH164" s="79"/>
      <c r="AI164" s="79"/>
    </row>
    <row r="165">
      <c r="A165" s="9">
        <f t="shared" si="1"/>
        <v>1</v>
      </c>
      <c r="C165" s="350"/>
      <c r="D165" s="93"/>
      <c r="E165" s="1"/>
      <c r="F165" s="1"/>
      <c r="G165" s="1"/>
      <c r="H165" s="341">
        <f>COUNTIF(Entropy!$D:$D,$B165)+COUNTIF(Matches!$B:$B,$B165)+COUNTIF(Matches!$C:$C,$B165)</f>
        <v>0</v>
      </c>
      <c r="I165" s="342">
        <f>COUNTIF(Matches!$B:$B,B165)</f>
        <v>0</v>
      </c>
      <c r="J165" s="79">
        <f t="shared" si="2"/>
        <v>0</v>
      </c>
      <c r="K165" s="1" t="str">
        <f t="shared" si="3"/>
        <v>0 - 0</v>
      </c>
      <c r="L165" s="343">
        <f>COUNTIF(Entropy!$D:$D,$B165)</f>
        <v>0</v>
      </c>
      <c r="M165" s="344">
        <f t="shared" si="4"/>
        <v>0</v>
      </c>
      <c r="N165" s="344">
        <f t="shared" si="5"/>
        <v>0</v>
      </c>
      <c r="O165" s="341">
        <f>IF($J165=11,0,IF(AND($H165 &gt;=VLOOKUP(Standings!$C$2,Quotas!$A$7:$E$14,4,FALSE), $H165&lt;=VLOOKUP(Standings!$C$2,Quotas!$A$7:$E$14,5,FALSE)), 0,VLOOKUP(Standings!$C$2,Quotas!$A$7:$E$14,4,FALSE)-$H165))</f>
        <v>30</v>
      </c>
      <c r="P165" s="341">
        <f>IF($J165=11,0,IF(AND($H165 &gt;=VLOOKUP(Standings!$C$2,Quotas!$A$7:$E$14,5,FALSE), $H165&lt;=VLOOKUP(Standings!$C$2,Quotas!$A$7:$E$14,5,FALSE)), 0,VLOOKUP(Standings!$C$2,Quotas!$A$7:$E$14,5,FALSE)-$H165))</f>
        <v>30</v>
      </c>
      <c r="Q165" s="79">
        <f t="shared" si="6"/>
        <v>11</v>
      </c>
      <c r="R165" s="345" t="str">
        <f t="shared" si="7"/>
        <v/>
      </c>
      <c r="S165" s="344">
        <f t="shared" si="8"/>
        <v>0.33</v>
      </c>
      <c r="T165" s="345" t="str">
        <f>IFERROR(__xludf.DUMMYFUNCTION("JOIN("","",IFERROR(FILTER(Matches!$B:$B,B165=Matches!$C:$C),""""),IFERROR(FILTER(Matches!$C:$C,B165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65" s="344">
        <f>IFERROR(__xludf.DUMMYFUNCTION("iferror(AVERAGE(ARRAYFORMULA(VLOOKUP(SPLIT(T165,"","",TRUE,TRUE),$R$2:$S654,2,FALSE))),0)"),0.0)</f>
        <v>0</v>
      </c>
      <c r="V165" s="346">
        <f>IFERROR(__xludf.DUMMYFUNCTION("RANK($I165, $I$2:$I654, FALSE) + RANK($M165, Filter($M$2:$M654, $I$2:$I654=$I165),FALSE)+RANK($U165, Filter($U$2:$U654, $I$2:$I654=$I165,$M$2:$M654=$M165),FALSE)-2"),1.0)</f>
        <v>1</v>
      </c>
      <c r="W165" s="347" t="str">
        <f t="shared" si="9"/>
        <v>Underplay</v>
      </c>
      <c r="X165" s="348" t="str">
        <f t="shared" si="10"/>
        <v/>
      </c>
      <c r="Y165" s="349">
        <f>MAXIFS(Matches!$A:$A,Matches!$C:$C,$B165)</f>
        <v>0</v>
      </c>
      <c r="Z165" s="349">
        <f t="array" ref="Z165">XLOOKUP(Y165,Quotas!$B$7:$B$10,Quotas!$A$7:$A$10,0,-1)</f>
        <v>0</v>
      </c>
      <c r="AB165" s="79"/>
      <c r="AC165" s="79">
        <f>COUNTIFS(Matches!$A:$A,"&gt;"&amp;Y165,Matches!$B:$B,$B165)</f>
        <v>0</v>
      </c>
      <c r="AD165" s="79"/>
      <c r="AE165" s="31" t="str">
        <f t="array" ref="AE165">XLOOKUP(B165, 'College List'!A:A, 'College List'!B:B)</f>
        <v>#N/A</v>
      </c>
      <c r="AF165" s="357">
        <v>7.0</v>
      </c>
      <c r="AG165" s="79"/>
      <c r="AH165" s="79"/>
      <c r="AI165" s="79"/>
    </row>
    <row r="166">
      <c r="A166" s="9">
        <f t="shared" si="1"/>
        <v>1</v>
      </c>
      <c r="C166" s="350"/>
      <c r="D166" s="93"/>
      <c r="E166" s="1"/>
      <c r="F166" s="1"/>
      <c r="G166" s="1"/>
      <c r="H166" s="341">
        <f>COUNTIF(Entropy!$D:$D,$B166)+COUNTIF(Matches!$B:$B,$B166)+COUNTIF(Matches!$C:$C,$B166)</f>
        <v>0</v>
      </c>
      <c r="I166" s="342">
        <f>COUNTIF(Matches!$B:$B,B166)</f>
        <v>0</v>
      </c>
      <c r="J166" s="79">
        <f t="shared" si="2"/>
        <v>0</v>
      </c>
      <c r="K166" s="1" t="str">
        <f t="shared" si="3"/>
        <v>0 - 0</v>
      </c>
      <c r="L166" s="343">
        <f>COUNTIF(Entropy!$D:$D,$B166)</f>
        <v>0</v>
      </c>
      <c r="M166" s="344">
        <f t="shared" si="4"/>
        <v>0</v>
      </c>
      <c r="N166" s="344">
        <f t="shared" si="5"/>
        <v>0</v>
      </c>
      <c r="O166" s="341">
        <f>IF($J166=11,0,IF(AND($H166 &gt;=VLOOKUP(Standings!$C$2,Quotas!$A$7:$E$14,4,FALSE), $H166&lt;=VLOOKUP(Standings!$C$2,Quotas!$A$7:$E$14,5,FALSE)), 0,VLOOKUP(Standings!$C$2,Quotas!$A$7:$E$14,4,FALSE)-$H166))</f>
        <v>30</v>
      </c>
      <c r="P166" s="341">
        <f>IF($J166=11,0,IF(AND($H166 &gt;=VLOOKUP(Standings!$C$2,Quotas!$A$7:$E$14,5,FALSE), $H166&lt;=VLOOKUP(Standings!$C$2,Quotas!$A$7:$E$14,5,FALSE)), 0,VLOOKUP(Standings!$C$2,Quotas!$A$7:$E$14,5,FALSE)-$H166))</f>
        <v>30</v>
      </c>
      <c r="Q166" s="79">
        <f t="shared" si="6"/>
        <v>11</v>
      </c>
      <c r="R166" s="345" t="str">
        <f t="shared" si="7"/>
        <v/>
      </c>
      <c r="S166" s="344">
        <f t="shared" si="8"/>
        <v>0.33</v>
      </c>
      <c r="T166" s="345" t="str">
        <f>IFERROR(__xludf.DUMMYFUNCTION("JOIN("","",IFERROR(FILTER(Matches!$B:$B,B166=Matches!$C:$C),""""),IFERROR(FILTER(Matches!$C:$C,B166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66" s="344">
        <f>IFERROR(__xludf.DUMMYFUNCTION("iferror(AVERAGE(ARRAYFORMULA(VLOOKUP(SPLIT(T166,"","",TRUE,TRUE),$R$2:$S654,2,FALSE))),0)"),0.0)</f>
        <v>0</v>
      </c>
      <c r="V166" s="346">
        <f>IFERROR(__xludf.DUMMYFUNCTION("RANK($I166, $I$2:$I654, FALSE) + RANK($M166, Filter($M$2:$M654, $I$2:$I654=$I166),FALSE)+RANK($U166, Filter($U$2:$U654, $I$2:$I654=$I166,$M$2:$M654=$M166),FALSE)-2"),1.0)</f>
        <v>1</v>
      </c>
      <c r="W166" s="347" t="str">
        <f t="shared" si="9"/>
        <v>Underplay</v>
      </c>
      <c r="X166" s="348" t="str">
        <f t="shared" si="10"/>
        <v/>
      </c>
      <c r="Y166" s="349">
        <f>MAXIFS(Matches!$A:$A,Matches!$C:$C,$B166)</f>
        <v>0</v>
      </c>
      <c r="Z166" s="349">
        <f t="array" ref="Z166">XLOOKUP(Y166,Quotas!$B$7:$B$10,Quotas!$A$7:$A$10,0,-1)</f>
        <v>0</v>
      </c>
      <c r="AB166" s="79"/>
      <c r="AC166" s="79">
        <f>COUNTIFS(Matches!$A:$A,"&gt;"&amp;Y166,Matches!$B:$B,$B166)</f>
        <v>0</v>
      </c>
      <c r="AD166" s="79"/>
      <c r="AE166" s="31" t="str">
        <f t="array" ref="AE166">XLOOKUP(B166, 'College List'!A:A, 'College List'!B:B)</f>
        <v>#N/A</v>
      </c>
      <c r="AF166" s="357">
        <v>9.0</v>
      </c>
      <c r="AG166" s="79"/>
      <c r="AH166" s="79"/>
      <c r="AI166" s="79"/>
    </row>
    <row r="167">
      <c r="A167" s="9">
        <f t="shared" si="1"/>
        <v>1</v>
      </c>
      <c r="C167" s="350"/>
      <c r="D167" s="93"/>
      <c r="E167" s="1"/>
      <c r="F167" s="1"/>
      <c r="G167" s="1"/>
      <c r="H167" s="341">
        <f>COUNTIF(Entropy!$D:$D,$B167)+COUNTIF(Matches!$B:$B,$B167)+COUNTIF(Matches!$C:$C,$B167)</f>
        <v>0</v>
      </c>
      <c r="I167" s="342">
        <f>COUNTIF(Matches!$B:$B,B167)</f>
        <v>0</v>
      </c>
      <c r="J167" s="79">
        <f t="shared" si="2"/>
        <v>0</v>
      </c>
      <c r="K167" s="1" t="str">
        <f t="shared" si="3"/>
        <v>0 - 0</v>
      </c>
      <c r="L167" s="343">
        <f>COUNTIF(Entropy!$D:$D,$B167)</f>
        <v>0</v>
      </c>
      <c r="M167" s="344">
        <f t="shared" si="4"/>
        <v>0</v>
      </c>
      <c r="N167" s="344">
        <f t="shared" si="5"/>
        <v>0</v>
      </c>
      <c r="O167" s="341">
        <f>IF($J167=11,0,IF(AND($H167 &gt;=VLOOKUP(Standings!$C$2,Quotas!$A$7:$E$14,4,FALSE), $H167&lt;=VLOOKUP(Standings!$C$2,Quotas!$A$7:$E$14,5,FALSE)), 0,VLOOKUP(Standings!$C$2,Quotas!$A$7:$E$14,4,FALSE)-$H167))</f>
        <v>30</v>
      </c>
      <c r="P167" s="341">
        <f>IF($J167=11,0,IF(AND($H167 &gt;=VLOOKUP(Standings!$C$2,Quotas!$A$7:$E$14,5,FALSE), $H167&lt;=VLOOKUP(Standings!$C$2,Quotas!$A$7:$E$14,5,FALSE)), 0,VLOOKUP(Standings!$C$2,Quotas!$A$7:$E$14,5,FALSE)-$H167))</f>
        <v>30</v>
      </c>
      <c r="Q167" s="79">
        <f t="shared" si="6"/>
        <v>11</v>
      </c>
      <c r="R167" s="345" t="str">
        <f t="shared" si="7"/>
        <v/>
      </c>
      <c r="S167" s="344">
        <f t="shared" si="8"/>
        <v>0.33</v>
      </c>
      <c r="T167" s="345" t="str">
        <f>IFERROR(__xludf.DUMMYFUNCTION("JOIN("","",IFERROR(FILTER(Matches!$B:$B,B167=Matches!$C:$C),""""),IFERROR(FILTER(Matches!$C:$C,B167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67" s="344">
        <f>IFERROR(__xludf.DUMMYFUNCTION("iferror(AVERAGE(ARRAYFORMULA(VLOOKUP(SPLIT(T167,"","",TRUE,TRUE),$R$2:$S654,2,FALSE))),0)"),0.0)</f>
        <v>0</v>
      </c>
      <c r="V167" s="346">
        <f>IFERROR(__xludf.DUMMYFUNCTION("RANK($I167, $I$2:$I654, FALSE) + RANK($M167, Filter($M$2:$M654, $I$2:$I654=$I167),FALSE)+RANK($U167, Filter($U$2:$U654, $I$2:$I654=$I167,$M$2:$M654=$M167),FALSE)-2"),1.0)</f>
        <v>1</v>
      </c>
      <c r="W167" s="347" t="str">
        <f t="shared" si="9"/>
        <v>Underplay</v>
      </c>
      <c r="X167" s="348" t="str">
        <f t="shared" si="10"/>
        <v/>
      </c>
      <c r="Y167" s="349">
        <f>MAXIFS(Matches!$A:$A,Matches!$C:$C,$B167)</f>
        <v>0</v>
      </c>
      <c r="Z167" s="349">
        <f t="array" ref="Z167">XLOOKUP(Y167,Quotas!$B$7:$B$10,Quotas!$A$7:$A$10,0,-1)</f>
        <v>0</v>
      </c>
      <c r="AB167" s="79"/>
      <c r="AC167" s="79">
        <f>COUNTIFS(Matches!$A:$A,"&gt;"&amp;Y167,Matches!$B:$B,$B167)</f>
        <v>0</v>
      </c>
      <c r="AD167" s="79"/>
      <c r="AE167" s="31" t="str">
        <f t="array" ref="AE167">XLOOKUP(B167, 'College List'!A:A, 'College List'!B:B)</f>
        <v>#N/A</v>
      </c>
      <c r="AF167" s="357">
        <v>7.0</v>
      </c>
      <c r="AG167" s="79"/>
      <c r="AH167" s="79"/>
      <c r="AI167" s="79"/>
    </row>
    <row r="168">
      <c r="A168" s="9">
        <f t="shared" si="1"/>
        <v>1</v>
      </c>
      <c r="C168" s="350"/>
      <c r="D168" s="93"/>
      <c r="E168" s="1"/>
      <c r="F168" s="1"/>
      <c r="G168" s="1"/>
      <c r="H168" s="341">
        <f>COUNTIF(Entropy!$D:$D,$B168)+COUNTIF(Matches!$B:$B,$B168)+COUNTIF(Matches!$C:$C,$B168)</f>
        <v>0</v>
      </c>
      <c r="I168" s="342">
        <f>COUNTIF(Matches!$B:$B,B168)</f>
        <v>0</v>
      </c>
      <c r="J168" s="79">
        <f t="shared" si="2"/>
        <v>0</v>
      </c>
      <c r="K168" s="1" t="str">
        <f t="shared" si="3"/>
        <v>0 - 0</v>
      </c>
      <c r="L168" s="343">
        <f>COUNTIF(Entropy!$D:$D,$B168)</f>
        <v>0</v>
      </c>
      <c r="M168" s="344">
        <f t="shared" si="4"/>
        <v>0</v>
      </c>
      <c r="N168" s="344">
        <f t="shared" si="5"/>
        <v>0</v>
      </c>
      <c r="O168" s="341">
        <f>IF($J168=11,0,IF(AND($H168 &gt;=VLOOKUP(Standings!$C$2,Quotas!$A$7:$E$14,4,FALSE), $H168&lt;=VLOOKUP(Standings!$C$2,Quotas!$A$7:$E$14,5,FALSE)), 0,VLOOKUP(Standings!$C$2,Quotas!$A$7:$E$14,4,FALSE)-$H168))</f>
        <v>30</v>
      </c>
      <c r="P168" s="341">
        <f>IF($J168=11,0,IF(AND($H168 &gt;=VLOOKUP(Standings!$C$2,Quotas!$A$7:$E$14,5,FALSE), $H168&lt;=VLOOKUP(Standings!$C$2,Quotas!$A$7:$E$14,5,FALSE)), 0,VLOOKUP(Standings!$C$2,Quotas!$A$7:$E$14,5,FALSE)-$H168))</f>
        <v>30</v>
      </c>
      <c r="Q168" s="79">
        <f t="shared" si="6"/>
        <v>11</v>
      </c>
      <c r="R168" s="345" t="str">
        <f t="shared" si="7"/>
        <v/>
      </c>
      <c r="S168" s="344">
        <f t="shared" si="8"/>
        <v>0.33</v>
      </c>
      <c r="T168" s="345" t="str">
        <f>IFERROR(__xludf.DUMMYFUNCTION("JOIN("","",IFERROR(FILTER(Matches!$B:$B,B168=Matches!$C:$C),""""),IFERROR(FILTER(Matches!$C:$C,B168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68" s="344">
        <f>IFERROR(__xludf.DUMMYFUNCTION("iferror(AVERAGE(ARRAYFORMULA(VLOOKUP(SPLIT(T168,"","",TRUE,TRUE),$R$2:$S654,2,FALSE))),0)"),0.0)</f>
        <v>0</v>
      </c>
      <c r="V168" s="346">
        <f>IFERROR(__xludf.DUMMYFUNCTION("RANK($I168, $I$2:$I654, FALSE) + RANK($M168, Filter($M$2:$M654, $I$2:$I654=$I168),FALSE)+RANK($U168, Filter($U$2:$U654, $I$2:$I654=$I168,$M$2:$M654=$M168),FALSE)-2"),1.0)</f>
        <v>1</v>
      </c>
      <c r="W168" s="347" t="str">
        <f t="shared" si="9"/>
        <v>Underplay</v>
      </c>
      <c r="X168" s="348" t="str">
        <f t="shared" si="10"/>
        <v/>
      </c>
      <c r="Y168" s="349">
        <f>MAXIFS(Matches!$A:$A,Matches!$C:$C,$B168)</f>
        <v>0</v>
      </c>
      <c r="Z168" s="349">
        <f t="array" ref="Z168">XLOOKUP(Y168,Quotas!$B$7:$B$10,Quotas!$A$7:$A$10,0,-1)</f>
        <v>0</v>
      </c>
      <c r="AB168" s="79"/>
      <c r="AC168" s="79">
        <f>COUNTIFS(Matches!$A:$A,"&gt;"&amp;Y168,Matches!$B:$B,$B168)</f>
        <v>0</v>
      </c>
      <c r="AD168" s="79"/>
      <c r="AE168" s="31" t="str">
        <f t="array" ref="AE168">XLOOKUP(B168, 'College List'!A:A, 'College List'!B:B)</f>
        <v>#N/A</v>
      </c>
      <c r="AF168" s="357">
        <v>8.0</v>
      </c>
      <c r="AG168" s="79"/>
      <c r="AH168" s="79"/>
      <c r="AI168" s="79"/>
    </row>
    <row r="169">
      <c r="A169" s="9">
        <f t="shared" si="1"/>
        <v>1</v>
      </c>
      <c r="C169" s="350"/>
      <c r="D169" s="93"/>
      <c r="E169" s="1"/>
      <c r="F169" s="1"/>
      <c r="G169" s="1"/>
      <c r="H169" s="341">
        <f>COUNTIF(Entropy!$D:$D,$B169)+COUNTIF(Matches!$B:$B,$B169)+COUNTIF(Matches!$C:$C,$B169)</f>
        <v>0</v>
      </c>
      <c r="I169" s="342">
        <f>COUNTIF(Matches!$B:$B,B169)</f>
        <v>0</v>
      </c>
      <c r="J169" s="79">
        <f t="shared" si="2"/>
        <v>0</v>
      </c>
      <c r="K169" s="1" t="str">
        <f t="shared" si="3"/>
        <v>0 - 0</v>
      </c>
      <c r="L169" s="343">
        <f>COUNTIF(Entropy!$D:$D,$B169)</f>
        <v>0</v>
      </c>
      <c r="M169" s="344">
        <f t="shared" si="4"/>
        <v>0</v>
      </c>
      <c r="N169" s="344">
        <f t="shared" si="5"/>
        <v>0</v>
      </c>
      <c r="O169" s="341">
        <f>IF($J169=11,0,IF(AND($H169 &gt;=VLOOKUP(Standings!$C$2,Quotas!$A$7:$E$14,4,FALSE), $H169&lt;=VLOOKUP(Standings!$C$2,Quotas!$A$7:$E$14,5,FALSE)), 0,VLOOKUP(Standings!$C$2,Quotas!$A$7:$E$14,4,FALSE)-$H169))</f>
        <v>30</v>
      </c>
      <c r="P169" s="341">
        <f>IF($J169=11,0,IF(AND($H169 &gt;=VLOOKUP(Standings!$C$2,Quotas!$A$7:$E$14,5,FALSE), $H169&lt;=VLOOKUP(Standings!$C$2,Quotas!$A$7:$E$14,5,FALSE)), 0,VLOOKUP(Standings!$C$2,Quotas!$A$7:$E$14,5,FALSE)-$H169))</f>
        <v>30</v>
      </c>
      <c r="Q169" s="79">
        <f t="shared" si="6"/>
        <v>11</v>
      </c>
      <c r="R169" s="345" t="str">
        <f t="shared" si="7"/>
        <v/>
      </c>
      <c r="S169" s="344">
        <f t="shared" si="8"/>
        <v>0.33</v>
      </c>
      <c r="T169" s="345" t="str">
        <f>IFERROR(__xludf.DUMMYFUNCTION("JOIN("","",IFERROR(FILTER(Matches!$B:$B,B169=Matches!$C:$C),""""),IFERROR(FILTER(Matches!$C:$C,B169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69" s="344">
        <f>IFERROR(__xludf.DUMMYFUNCTION("iferror(AVERAGE(ARRAYFORMULA(VLOOKUP(SPLIT(T169,"","",TRUE,TRUE),$R$2:$S654,2,FALSE))),0)"),0.0)</f>
        <v>0</v>
      </c>
      <c r="V169" s="346">
        <f>IFERROR(__xludf.DUMMYFUNCTION("RANK($I169, $I$2:$I654, FALSE) + RANK($M169, Filter($M$2:$M654, $I$2:$I654=$I169),FALSE)+RANK($U169, Filter($U$2:$U654, $I$2:$I654=$I169,$M$2:$M654=$M169),FALSE)-2"),1.0)</f>
        <v>1</v>
      </c>
      <c r="W169" s="347" t="str">
        <f t="shared" si="9"/>
        <v>Underplay</v>
      </c>
      <c r="X169" s="348" t="str">
        <f t="shared" si="10"/>
        <v/>
      </c>
      <c r="Y169" s="349">
        <f>MAXIFS(Matches!$A:$A,Matches!$C:$C,$B169)</f>
        <v>0</v>
      </c>
      <c r="Z169" s="349">
        <f t="array" ref="Z169">XLOOKUP(Y169,Quotas!$B$7:$B$10,Quotas!$A$7:$A$10,0,-1)</f>
        <v>0</v>
      </c>
      <c r="AB169" s="79"/>
      <c r="AC169" s="79">
        <f>COUNTIFS(Matches!$A:$A,"&gt;"&amp;Y169,Matches!$B:$B,$B169)</f>
        <v>0</v>
      </c>
      <c r="AD169" s="79"/>
      <c r="AE169" s="31" t="str">
        <f t="array" ref="AE169">XLOOKUP(B169, 'College List'!A:A, 'College List'!B:B)</f>
        <v>#N/A</v>
      </c>
      <c r="AF169" s="357">
        <v>7.0</v>
      </c>
      <c r="AG169" s="79"/>
      <c r="AH169" s="79"/>
      <c r="AI169" s="79"/>
    </row>
    <row r="170">
      <c r="A170" s="9">
        <f t="shared" si="1"/>
        <v>1</v>
      </c>
      <c r="C170" s="350"/>
      <c r="D170" s="93"/>
      <c r="E170" s="1"/>
      <c r="F170" s="1"/>
      <c r="G170" s="1"/>
      <c r="H170" s="341">
        <f>COUNTIF(Entropy!$D:$D,$B170)+COUNTIF(Matches!$B:$B,$B170)+COUNTIF(Matches!$C:$C,$B170)</f>
        <v>0</v>
      </c>
      <c r="I170" s="342">
        <f>COUNTIF(Matches!$B:$B,B170)</f>
        <v>0</v>
      </c>
      <c r="J170" s="79">
        <f t="shared" si="2"/>
        <v>0</v>
      </c>
      <c r="K170" s="1" t="str">
        <f t="shared" si="3"/>
        <v>0 - 0</v>
      </c>
      <c r="L170" s="343">
        <f>COUNTIF(Entropy!$D:$D,$B170)</f>
        <v>0</v>
      </c>
      <c r="M170" s="344">
        <f t="shared" si="4"/>
        <v>0</v>
      </c>
      <c r="N170" s="344">
        <f t="shared" si="5"/>
        <v>0</v>
      </c>
      <c r="O170" s="341">
        <f>IF($J170=11,0,IF(AND($H170 &gt;=VLOOKUP(Standings!$C$2,Quotas!$A$7:$E$14,4,FALSE), $H170&lt;=VLOOKUP(Standings!$C$2,Quotas!$A$7:$E$14,5,FALSE)), 0,VLOOKUP(Standings!$C$2,Quotas!$A$7:$E$14,4,FALSE)-$H170))</f>
        <v>30</v>
      </c>
      <c r="P170" s="341">
        <f>IF($J170=11,0,IF(AND($H170 &gt;=VLOOKUP(Standings!$C$2,Quotas!$A$7:$E$14,5,FALSE), $H170&lt;=VLOOKUP(Standings!$C$2,Quotas!$A$7:$E$14,5,FALSE)), 0,VLOOKUP(Standings!$C$2,Quotas!$A$7:$E$14,5,FALSE)-$H170))</f>
        <v>30</v>
      </c>
      <c r="Q170" s="79">
        <f t="shared" si="6"/>
        <v>11</v>
      </c>
      <c r="R170" s="345" t="str">
        <f t="shared" si="7"/>
        <v/>
      </c>
      <c r="S170" s="344">
        <f t="shared" si="8"/>
        <v>0.33</v>
      </c>
      <c r="T170" s="345" t="str">
        <f>IFERROR(__xludf.DUMMYFUNCTION("JOIN("","",IFERROR(FILTER(Matches!$B:$B,B170=Matches!$C:$C),""""),IFERROR(FILTER(Matches!$C:$C,B170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70" s="344">
        <f>IFERROR(__xludf.DUMMYFUNCTION("iferror(AVERAGE(ARRAYFORMULA(VLOOKUP(SPLIT(T170,"","",TRUE,TRUE),$R$2:$S654,2,FALSE))),0)"),0.0)</f>
        <v>0</v>
      </c>
      <c r="V170" s="346">
        <f>IFERROR(__xludf.DUMMYFUNCTION("RANK($I170, $I$2:$I654, FALSE) + RANK($M170, Filter($M$2:$M654, $I$2:$I654=$I170),FALSE)+RANK($U170, Filter($U$2:$U654, $I$2:$I654=$I170,$M$2:$M654=$M170),FALSE)-2"),1.0)</f>
        <v>1</v>
      </c>
      <c r="W170" s="347" t="str">
        <f t="shared" si="9"/>
        <v>Underplay</v>
      </c>
      <c r="X170" s="348" t="str">
        <f t="shared" si="10"/>
        <v/>
      </c>
      <c r="Y170" s="349">
        <f>MAXIFS(Matches!$A:$A,Matches!$C:$C,$B170)</f>
        <v>0</v>
      </c>
      <c r="Z170" s="349">
        <f t="array" ref="Z170">XLOOKUP(Y170,Quotas!$B$7:$B$10,Quotas!$A$7:$A$10,0,-1)</f>
        <v>0</v>
      </c>
      <c r="AB170" s="79"/>
      <c r="AC170" s="79">
        <f>COUNTIFS(Matches!$A:$A,"&gt;"&amp;Y170,Matches!$B:$B,$B170)</f>
        <v>0</v>
      </c>
      <c r="AD170" s="79"/>
      <c r="AE170" s="31" t="str">
        <f t="array" ref="AE170">XLOOKUP(B170, 'College List'!A:A, 'College List'!B:B)</f>
        <v>#N/A</v>
      </c>
      <c r="AF170" s="79"/>
      <c r="AG170" s="79"/>
      <c r="AH170" s="79"/>
      <c r="AI170" s="79"/>
    </row>
    <row r="171">
      <c r="A171" s="9">
        <f t="shared" si="1"/>
        <v>1</v>
      </c>
      <c r="C171" s="350"/>
      <c r="D171" s="93"/>
      <c r="E171" s="1"/>
      <c r="F171" s="1"/>
      <c r="G171" s="1"/>
      <c r="H171" s="341">
        <f>COUNTIF(Entropy!$D:$D,$B171)+COUNTIF(Matches!$B:$B,$B171)+COUNTIF(Matches!$C:$C,$B171)</f>
        <v>0</v>
      </c>
      <c r="I171" s="342">
        <f>COUNTIF(Matches!$B:$B,B171)</f>
        <v>0</v>
      </c>
      <c r="J171" s="79">
        <f t="shared" si="2"/>
        <v>0</v>
      </c>
      <c r="K171" s="1" t="str">
        <f t="shared" si="3"/>
        <v>0 - 0</v>
      </c>
      <c r="L171" s="343">
        <f>COUNTIF(Entropy!$D:$D,$B171)</f>
        <v>0</v>
      </c>
      <c r="M171" s="344">
        <f t="shared" si="4"/>
        <v>0</v>
      </c>
      <c r="N171" s="344">
        <f t="shared" si="5"/>
        <v>0</v>
      </c>
      <c r="O171" s="341">
        <f>IF($J171=11,0,IF(AND($H171 &gt;=VLOOKUP(Standings!$C$2,Quotas!$A$7:$E$14,4,FALSE), $H171&lt;=VLOOKUP(Standings!$C$2,Quotas!$A$7:$E$14,5,FALSE)), 0,VLOOKUP(Standings!$C$2,Quotas!$A$7:$E$14,4,FALSE)-$H171))</f>
        <v>30</v>
      </c>
      <c r="P171" s="341">
        <f>IF($J171=11,0,IF(AND($H171 &gt;=VLOOKUP(Standings!$C$2,Quotas!$A$7:$E$14,5,FALSE), $H171&lt;=VLOOKUP(Standings!$C$2,Quotas!$A$7:$E$14,5,FALSE)), 0,VLOOKUP(Standings!$C$2,Quotas!$A$7:$E$14,5,FALSE)-$H171))</f>
        <v>30</v>
      </c>
      <c r="Q171" s="79">
        <f t="shared" si="6"/>
        <v>11</v>
      </c>
      <c r="R171" s="345" t="str">
        <f t="shared" si="7"/>
        <v/>
      </c>
      <c r="S171" s="344">
        <f t="shared" si="8"/>
        <v>0.33</v>
      </c>
      <c r="T171" s="345" t="str">
        <f>IFERROR(__xludf.DUMMYFUNCTION("JOIN("","",IFERROR(FILTER(Matches!$B:$B,B171=Matches!$C:$C),""""),IFERROR(FILTER(Matches!$C:$C,B171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71" s="344">
        <f>IFERROR(__xludf.DUMMYFUNCTION("iferror(AVERAGE(ARRAYFORMULA(VLOOKUP(SPLIT(T171,"","",TRUE,TRUE),$R$2:$S654,2,FALSE))),0)"),0.0)</f>
        <v>0</v>
      </c>
      <c r="V171" s="346">
        <f>IFERROR(__xludf.DUMMYFUNCTION("RANK($I171, $I$2:$I654, FALSE) + RANK($M171, Filter($M$2:$M654, $I$2:$I654=$I171),FALSE)+RANK($U171, Filter($U$2:$U654, $I$2:$I654=$I171,$M$2:$M654=$M171),FALSE)-2"),1.0)</f>
        <v>1</v>
      </c>
      <c r="W171" s="347" t="str">
        <f t="shared" si="9"/>
        <v>Underplay</v>
      </c>
      <c r="X171" s="348" t="str">
        <f t="shared" si="10"/>
        <v/>
      </c>
      <c r="Y171" s="349">
        <f>MAXIFS(Matches!$A:$A,Matches!$C:$C,$B171)</f>
        <v>0</v>
      </c>
      <c r="Z171" s="349">
        <f t="array" ref="Z171">XLOOKUP(Y171,Quotas!$B$7:$B$10,Quotas!$A$7:$A$10,0,-1)</f>
        <v>0</v>
      </c>
      <c r="AB171" s="79"/>
      <c r="AC171" s="79">
        <f>COUNTIFS(Matches!$A:$A,"&gt;"&amp;Y171,Matches!$B:$B,$B171)</f>
        <v>0</v>
      </c>
      <c r="AD171" s="79"/>
      <c r="AE171" s="31" t="str">
        <f t="array" ref="AE171">XLOOKUP(B171, 'College List'!A:A, 'College List'!B:B)</f>
        <v>#N/A</v>
      </c>
      <c r="AF171" s="357">
        <v>9.0</v>
      </c>
      <c r="AG171" s="79"/>
      <c r="AH171" s="79"/>
      <c r="AI171" s="79"/>
    </row>
    <row r="172">
      <c r="A172" s="9">
        <f t="shared" si="1"/>
        <v>1</v>
      </c>
      <c r="C172" s="350"/>
      <c r="D172" s="93"/>
      <c r="E172" s="1"/>
      <c r="F172" s="1"/>
      <c r="G172" s="1"/>
      <c r="H172" s="341">
        <f>COUNTIF(Entropy!$D:$D,$B172)+COUNTIF(Matches!$B:$B,$B172)+COUNTIF(Matches!$C:$C,$B172)</f>
        <v>0</v>
      </c>
      <c r="I172" s="342">
        <f>COUNTIF(Matches!$B:$B,B172)</f>
        <v>0</v>
      </c>
      <c r="J172" s="79">
        <f t="shared" si="2"/>
        <v>0</v>
      </c>
      <c r="K172" s="1" t="str">
        <f t="shared" si="3"/>
        <v>0 - 0</v>
      </c>
      <c r="L172" s="343">
        <f>COUNTIF(Entropy!$D:$D,$B172)</f>
        <v>0</v>
      </c>
      <c r="M172" s="344">
        <f t="shared" si="4"/>
        <v>0</v>
      </c>
      <c r="N172" s="344">
        <f t="shared" si="5"/>
        <v>0</v>
      </c>
      <c r="O172" s="341">
        <f>IF($J172=11,0,IF(AND($H172 &gt;=VLOOKUP(Standings!$C$2,Quotas!$A$7:$E$14,4,FALSE), $H172&lt;=VLOOKUP(Standings!$C$2,Quotas!$A$7:$E$14,5,FALSE)), 0,VLOOKUP(Standings!$C$2,Quotas!$A$7:$E$14,4,FALSE)-$H172))</f>
        <v>30</v>
      </c>
      <c r="P172" s="341">
        <f>IF($J172=11,0,IF(AND($H172 &gt;=VLOOKUP(Standings!$C$2,Quotas!$A$7:$E$14,5,FALSE), $H172&lt;=VLOOKUP(Standings!$C$2,Quotas!$A$7:$E$14,5,FALSE)), 0,VLOOKUP(Standings!$C$2,Quotas!$A$7:$E$14,5,FALSE)-$H172))</f>
        <v>30</v>
      </c>
      <c r="Q172" s="79">
        <f t="shared" si="6"/>
        <v>11</v>
      </c>
      <c r="R172" s="345" t="str">
        <f t="shared" si="7"/>
        <v/>
      </c>
      <c r="S172" s="344">
        <f t="shared" si="8"/>
        <v>0.33</v>
      </c>
      <c r="T172" s="345" t="str">
        <f>IFERROR(__xludf.DUMMYFUNCTION("JOIN("","",IFERROR(FILTER(Matches!$B:$B,B172=Matches!$C:$C),""""),IFERROR(FILTER(Matches!$C:$C,B172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72" s="344">
        <f>IFERROR(__xludf.DUMMYFUNCTION("iferror(AVERAGE(ARRAYFORMULA(VLOOKUP(SPLIT(T172,"","",TRUE,TRUE),$R$2:$S654,2,FALSE))),0)"),0.0)</f>
        <v>0</v>
      </c>
      <c r="V172" s="346">
        <f>IFERROR(__xludf.DUMMYFUNCTION("RANK($I172, $I$2:$I654, FALSE) + RANK($M172, Filter($M$2:$M654, $I$2:$I654=$I172),FALSE)+RANK($U172, Filter($U$2:$U654, $I$2:$I654=$I172,$M$2:$M654=$M172),FALSE)-2"),1.0)</f>
        <v>1</v>
      </c>
      <c r="W172" s="347" t="str">
        <f t="shared" si="9"/>
        <v>Underplay</v>
      </c>
      <c r="X172" s="348" t="str">
        <f t="shared" si="10"/>
        <v/>
      </c>
      <c r="Y172" s="349">
        <f>MAXIFS(Matches!$A:$A,Matches!$C:$C,$B172)</f>
        <v>0</v>
      </c>
      <c r="Z172" s="349">
        <f t="array" ref="Z172">XLOOKUP(Y172,Quotas!$B$7:$B$10,Quotas!$A$7:$A$10,0,-1)</f>
        <v>0</v>
      </c>
      <c r="AB172" s="79"/>
      <c r="AC172" s="79">
        <f>COUNTIFS(Matches!$A:$A,"&gt;"&amp;Y172,Matches!$B:$B,$B172)</f>
        <v>0</v>
      </c>
      <c r="AD172" s="79"/>
      <c r="AE172" s="31" t="str">
        <f t="array" ref="AE172">XLOOKUP(B172, 'College List'!A:A, 'College List'!B:B)</f>
        <v>#N/A</v>
      </c>
      <c r="AF172" s="357">
        <v>9.0</v>
      </c>
      <c r="AG172" s="79"/>
      <c r="AH172" s="79"/>
      <c r="AI172" s="79"/>
    </row>
    <row r="173">
      <c r="A173" s="9">
        <f t="shared" si="1"/>
        <v>1</v>
      </c>
      <c r="C173" s="350"/>
      <c r="D173" s="93"/>
      <c r="E173" s="1"/>
      <c r="F173" s="1"/>
      <c r="G173" s="1"/>
      <c r="H173" s="341">
        <f>COUNTIF(Entropy!$D:$D,$B173)+COUNTIF(Matches!$B:$B,$B173)+COUNTIF(Matches!$C:$C,$B173)</f>
        <v>0</v>
      </c>
      <c r="I173" s="342">
        <f>COUNTIF(Matches!$B:$B,B173)</f>
        <v>0</v>
      </c>
      <c r="J173" s="79">
        <f t="shared" si="2"/>
        <v>0</v>
      </c>
      <c r="K173" s="1" t="str">
        <f t="shared" si="3"/>
        <v>0 - 0</v>
      </c>
      <c r="L173" s="343">
        <f>COUNTIF(Entropy!$D:$D,$B173)</f>
        <v>0</v>
      </c>
      <c r="M173" s="344">
        <f t="shared" si="4"/>
        <v>0</v>
      </c>
      <c r="N173" s="344">
        <f t="shared" si="5"/>
        <v>0</v>
      </c>
      <c r="O173" s="341">
        <f>IF($J173=11,0,IF(AND($H173 &gt;=VLOOKUP(Standings!$C$2,Quotas!$A$7:$E$14,4,FALSE), $H173&lt;=VLOOKUP(Standings!$C$2,Quotas!$A$7:$E$14,5,FALSE)), 0,VLOOKUP(Standings!$C$2,Quotas!$A$7:$E$14,4,FALSE)-$H173))</f>
        <v>30</v>
      </c>
      <c r="P173" s="341">
        <f>IF($J173=11,0,IF(AND($H173 &gt;=VLOOKUP(Standings!$C$2,Quotas!$A$7:$E$14,5,FALSE), $H173&lt;=VLOOKUP(Standings!$C$2,Quotas!$A$7:$E$14,5,FALSE)), 0,VLOOKUP(Standings!$C$2,Quotas!$A$7:$E$14,5,FALSE)-$H173))</f>
        <v>30</v>
      </c>
      <c r="Q173" s="79">
        <f t="shared" si="6"/>
        <v>11</v>
      </c>
      <c r="R173" s="345" t="str">
        <f t="shared" si="7"/>
        <v/>
      </c>
      <c r="S173" s="344">
        <f t="shared" si="8"/>
        <v>0.33</v>
      </c>
      <c r="T173" s="345" t="str">
        <f>IFERROR(__xludf.DUMMYFUNCTION("JOIN("","",IFERROR(FILTER(Matches!$B:$B,B173=Matches!$C:$C),""""),IFERROR(FILTER(Matches!$C:$C,B173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73" s="344">
        <f>IFERROR(__xludf.DUMMYFUNCTION("iferror(AVERAGE(ARRAYFORMULA(VLOOKUP(SPLIT(T173,"","",TRUE,TRUE),$R$2:$S654,2,FALSE))),0)"),0.0)</f>
        <v>0</v>
      </c>
      <c r="V173" s="346">
        <f>IFERROR(__xludf.DUMMYFUNCTION("RANK($I173, $I$2:$I654, FALSE) + RANK($M173, Filter($M$2:$M654, $I$2:$I654=$I173),FALSE)+RANK($U173, Filter($U$2:$U654, $I$2:$I654=$I173,$M$2:$M654=$M173),FALSE)-2"),1.0)</f>
        <v>1</v>
      </c>
      <c r="W173" s="347" t="str">
        <f t="shared" si="9"/>
        <v>Underplay</v>
      </c>
      <c r="X173" s="348" t="str">
        <f t="shared" si="10"/>
        <v/>
      </c>
      <c r="Y173" s="349">
        <f>MAXIFS(Matches!$A:$A,Matches!$C:$C,$B173)</f>
        <v>0</v>
      </c>
      <c r="Z173" s="349">
        <f t="array" ref="Z173">XLOOKUP(Y173,Quotas!$B$7:$B$10,Quotas!$A$7:$A$10,0,-1)</f>
        <v>0</v>
      </c>
      <c r="AB173" s="79"/>
      <c r="AC173" s="79">
        <f>COUNTIFS(Matches!$A:$A,"&gt;"&amp;Y173,Matches!$B:$B,$B173)</f>
        <v>0</v>
      </c>
      <c r="AD173" s="79"/>
      <c r="AE173" s="31" t="str">
        <f t="array" ref="AE173">XLOOKUP(B173, 'College List'!A:A, 'College List'!B:B)</f>
        <v>#N/A</v>
      </c>
      <c r="AF173" s="357">
        <v>8.0</v>
      </c>
      <c r="AG173" s="79"/>
      <c r="AH173" s="79"/>
      <c r="AI173" s="79"/>
    </row>
    <row r="174">
      <c r="A174" s="9">
        <f t="shared" si="1"/>
        <v>1</v>
      </c>
      <c r="C174" s="350"/>
      <c r="D174" s="93"/>
      <c r="E174" s="1"/>
      <c r="F174" s="1"/>
      <c r="G174" s="1"/>
      <c r="H174" s="341">
        <f>COUNTIF(Entropy!$D:$D,$B174)+COUNTIF(Matches!$B:$B,$B174)+COUNTIF(Matches!$C:$C,$B174)</f>
        <v>0</v>
      </c>
      <c r="I174" s="342">
        <f>COUNTIF(Matches!$B:$B,B174)</f>
        <v>0</v>
      </c>
      <c r="J174" s="79">
        <f t="shared" si="2"/>
        <v>0</v>
      </c>
      <c r="K174" s="1" t="str">
        <f t="shared" si="3"/>
        <v>0 - 0</v>
      </c>
      <c r="L174" s="343">
        <f>COUNTIF(Entropy!$D:$D,$B174)</f>
        <v>0</v>
      </c>
      <c r="M174" s="344">
        <f t="shared" si="4"/>
        <v>0</v>
      </c>
      <c r="N174" s="344">
        <f t="shared" si="5"/>
        <v>0</v>
      </c>
      <c r="O174" s="341">
        <f>IF($J174=11,0,IF(AND($H174 &gt;=VLOOKUP(Standings!$C$2,Quotas!$A$7:$E$14,4,FALSE), $H174&lt;=VLOOKUP(Standings!$C$2,Quotas!$A$7:$E$14,5,FALSE)), 0,VLOOKUP(Standings!$C$2,Quotas!$A$7:$E$14,4,FALSE)-$H174))</f>
        <v>30</v>
      </c>
      <c r="P174" s="341">
        <f>IF($J174=11,0,IF(AND($H174 &gt;=VLOOKUP(Standings!$C$2,Quotas!$A$7:$E$14,5,FALSE), $H174&lt;=VLOOKUP(Standings!$C$2,Quotas!$A$7:$E$14,5,FALSE)), 0,VLOOKUP(Standings!$C$2,Quotas!$A$7:$E$14,5,FALSE)-$H174))</f>
        <v>30</v>
      </c>
      <c r="Q174" s="79">
        <f t="shared" si="6"/>
        <v>11</v>
      </c>
      <c r="R174" s="345" t="str">
        <f t="shared" si="7"/>
        <v/>
      </c>
      <c r="S174" s="344">
        <f t="shared" si="8"/>
        <v>0.33</v>
      </c>
      <c r="T174" s="345" t="str">
        <f>IFERROR(__xludf.DUMMYFUNCTION("JOIN("","",IFERROR(FILTER(Matches!$B:$B,B174=Matches!$C:$C),""""),IFERROR(FILTER(Matches!$C:$C,B174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74" s="344">
        <f>IFERROR(__xludf.DUMMYFUNCTION("iferror(AVERAGE(ARRAYFORMULA(VLOOKUP(SPLIT(T174,"","",TRUE,TRUE),$R$2:$S654,2,FALSE))),0)"),0.0)</f>
        <v>0</v>
      </c>
      <c r="V174" s="346">
        <f>IFERROR(__xludf.DUMMYFUNCTION("RANK($I174, $I$2:$I654, FALSE) + RANK($M174, Filter($M$2:$M654, $I$2:$I654=$I174),FALSE)+RANK($U174, Filter($U$2:$U654, $I$2:$I654=$I174,$M$2:$M654=$M174),FALSE)-2"),1.0)</f>
        <v>1</v>
      </c>
      <c r="W174" s="347" t="str">
        <f t="shared" si="9"/>
        <v>Underplay</v>
      </c>
      <c r="X174" s="348" t="str">
        <f t="shared" si="10"/>
        <v/>
      </c>
      <c r="Y174" s="349">
        <f>MAXIFS(Matches!$A:$A,Matches!$C:$C,$B174)</f>
        <v>0</v>
      </c>
      <c r="Z174" s="349">
        <f t="array" ref="Z174">XLOOKUP(Y174,Quotas!$B$7:$B$10,Quotas!$A$7:$A$10,0,-1)</f>
        <v>0</v>
      </c>
      <c r="AB174" s="79"/>
      <c r="AC174" s="79">
        <f>COUNTIFS(Matches!$A:$A,"&gt;"&amp;Y174,Matches!$B:$B,$B174)</f>
        <v>0</v>
      </c>
      <c r="AD174" s="79"/>
      <c r="AE174" s="31" t="str">
        <f t="array" ref="AE174">XLOOKUP(B174, 'College List'!A:A, 'College List'!B:B)</f>
        <v>#N/A</v>
      </c>
      <c r="AF174" s="357">
        <v>9.0</v>
      </c>
      <c r="AG174" s="79"/>
      <c r="AH174" s="79"/>
      <c r="AI174" s="79"/>
    </row>
    <row r="175">
      <c r="A175" s="9">
        <f t="shared" si="1"/>
        <v>1</v>
      </c>
      <c r="C175" s="350"/>
      <c r="D175" s="93"/>
      <c r="E175" s="1"/>
      <c r="F175" s="1"/>
      <c r="G175" s="1"/>
      <c r="H175" s="341">
        <f>COUNTIF(Entropy!$D:$D,$B175)+COUNTIF(Matches!$B:$B,$B175)+COUNTIF(Matches!$C:$C,$B175)</f>
        <v>0</v>
      </c>
      <c r="I175" s="342">
        <f>COUNTIF(Matches!$B:$B,B175)</f>
        <v>0</v>
      </c>
      <c r="J175" s="79">
        <f t="shared" si="2"/>
        <v>0</v>
      </c>
      <c r="K175" s="1" t="str">
        <f t="shared" si="3"/>
        <v>0 - 0</v>
      </c>
      <c r="L175" s="343">
        <f>COUNTIF(Entropy!$D:$D,$B175)</f>
        <v>0</v>
      </c>
      <c r="M175" s="344">
        <f t="shared" si="4"/>
        <v>0</v>
      </c>
      <c r="N175" s="344">
        <f t="shared" si="5"/>
        <v>0</v>
      </c>
      <c r="O175" s="341">
        <f>IF($J175=11,0,IF(AND($H175 &gt;=VLOOKUP(Standings!$C$2,Quotas!$A$7:$E$14,4,FALSE), $H175&lt;=VLOOKUP(Standings!$C$2,Quotas!$A$7:$E$14,5,FALSE)), 0,VLOOKUP(Standings!$C$2,Quotas!$A$7:$E$14,4,FALSE)-$H175))</f>
        <v>30</v>
      </c>
      <c r="P175" s="341">
        <f>IF($J175=11,0,IF(AND($H175 &gt;=VLOOKUP(Standings!$C$2,Quotas!$A$7:$E$14,5,FALSE), $H175&lt;=VLOOKUP(Standings!$C$2,Quotas!$A$7:$E$14,5,FALSE)), 0,VLOOKUP(Standings!$C$2,Quotas!$A$7:$E$14,5,FALSE)-$H175))</f>
        <v>30</v>
      </c>
      <c r="Q175" s="79">
        <f t="shared" si="6"/>
        <v>11</v>
      </c>
      <c r="R175" s="345" t="str">
        <f t="shared" si="7"/>
        <v/>
      </c>
      <c r="S175" s="344">
        <f t="shared" si="8"/>
        <v>0.33</v>
      </c>
      <c r="T175" s="345" t="str">
        <f>IFERROR(__xludf.DUMMYFUNCTION("JOIN("","",IFERROR(FILTER(Matches!$B:$B,B175=Matches!$C:$C),""""),IFERROR(FILTER(Matches!$C:$C,B175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75" s="344">
        <f>IFERROR(__xludf.DUMMYFUNCTION("iferror(AVERAGE(ARRAYFORMULA(VLOOKUP(SPLIT(T175,"","",TRUE,TRUE),$R$2:$S654,2,FALSE))),0)"),0.0)</f>
        <v>0</v>
      </c>
      <c r="V175" s="346">
        <f>IFERROR(__xludf.DUMMYFUNCTION("RANK($I175, $I$2:$I654, FALSE) + RANK($M175, Filter($M$2:$M654, $I$2:$I654=$I175),FALSE)+RANK($U175, Filter($U$2:$U654, $I$2:$I654=$I175,$M$2:$M654=$M175),FALSE)-2"),1.0)</f>
        <v>1</v>
      </c>
      <c r="W175" s="347" t="str">
        <f t="shared" si="9"/>
        <v>Underplay</v>
      </c>
      <c r="X175" s="348" t="str">
        <f t="shared" si="10"/>
        <v/>
      </c>
      <c r="Y175" s="349">
        <f>MAXIFS(Matches!$A:$A,Matches!$C:$C,$B175)</f>
        <v>0</v>
      </c>
      <c r="Z175" s="349">
        <f t="array" ref="Z175">XLOOKUP(Y175,Quotas!$B$7:$B$10,Quotas!$A$7:$A$10,0,-1)</f>
        <v>0</v>
      </c>
      <c r="AB175" s="79"/>
      <c r="AC175" s="79">
        <f>COUNTIFS(Matches!$A:$A,"&gt;"&amp;Y175,Matches!$B:$B,$B175)</f>
        <v>0</v>
      </c>
      <c r="AD175" s="79"/>
      <c r="AE175" s="31" t="str">
        <f t="array" ref="AE175">XLOOKUP(B175, 'College List'!A:A, 'College List'!B:B)</f>
        <v>#N/A</v>
      </c>
      <c r="AF175" s="357">
        <v>9.0</v>
      </c>
      <c r="AG175" s="79"/>
      <c r="AH175" s="79"/>
      <c r="AI175" s="79"/>
    </row>
    <row r="176">
      <c r="A176" s="9">
        <f t="shared" si="1"/>
        <v>1</v>
      </c>
      <c r="C176" s="350"/>
      <c r="D176" s="93"/>
      <c r="E176" s="1"/>
      <c r="F176" s="1"/>
      <c r="G176" s="1"/>
      <c r="H176" s="341">
        <f>COUNTIF(Entropy!$D:$D,$B176)+COUNTIF(Matches!$B:$B,$B176)+COUNTIF(Matches!$C:$C,$B176)</f>
        <v>0</v>
      </c>
      <c r="I176" s="342">
        <f>COUNTIF(Matches!$B:$B,B176)</f>
        <v>0</v>
      </c>
      <c r="J176" s="79">
        <f t="shared" si="2"/>
        <v>0</v>
      </c>
      <c r="K176" s="1" t="str">
        <f t="shared" si="3"/>
        <v>0 - 0</v>
      </c>
      <c r="L176" s="343">
        <f>COUNTIF(Entropy!$D:$D,$B176)</f>
        <v>0</v>
      </c>
      <c r="M176" s="344">
        <f t="shared" si="4"/>
        <v>0</v>
      </c>
      <c r="N176" s="344">
        <f t="shared" si="5"/>
        <v>0</v>
      </c>
      <c r="O176" s="341">
        <f>IF($J176=11,0,IF(AND($H176 &gt;=VLOOKUP(Standings!$C$2,Quotas!$A$7:$E$14,4,FALSE), $H176&lt;=VLOOKUP(Standings!$C$2,Quotas!$A$7:$E$14,5,FALSE)), 0,VLOOKUP(Standings!$C$2,Quotas!$A$7:$E$14,4,FALSE)-$H176))</f>
        <v>30</v>
      </c>
      <c r="P176" s="341">
        <f>IF($J176=11,0,IF(AND($H176 &gt;=VLOOKUP(Standings!$C$2,Quotas!$A$7:$E$14,5,FALSE), $H176&lt;=VLOOKUP(Standings!$C$2,Quotas!$A$7:$E$14,5,FALSE)), 0,VLOOKUP(Standings!$C$2,Quotas!$A$7:$E$14,5,FALSE)-$H176))</f>
        <v>30</v>
      </c>
      <c r="Q176" s="79">
        <f t="shared" si="6"/>
        <v>11</v>
      </c>
      <c r="R176" s="345" t="str">
        <f t="shared" si="7"/>
        <v/>
      </c>
      <c r="S176" s="344">
        <f t="shared" si="8"/>
        <v>0.33</v>
      </c>
      <c r="T176" s="345" t="str">
        <f>IFERROR(__xludf.DUMMYFUNCTION("JOIN("","",IFERROR(FILTER(Matches!$B:$B,B176=Matches!$C:$C),""""),IFERROR(FILTER(Matches!$C:$C,B176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76" s="344">
        <f>IFERROR(__xludf.DUMMYFUNCTION("iferror(AVERAGE(ARRAYFORMULA(VLOOKUP(SPLIT(T176,"","",TRUE,TRUE),$R$2:$S654,2,FALSE))),0)"),0.0)</f>
        <v>0</v>
      </c>
      <c r="V176" s="346">
        <f>IFERROR(__xludf.DUMMYFUNCTION("RANK($I176, $I$2:$I654, FALSE) + RANK($M176, Filter($M$2:$M654, $I$2:$I654=$I176),FALSE)+RANK($U176, Filter($U$2:$U654, $I$2:$I654=$I176,$M$2:$M654=$M176),FALSE)-2"),1.0)</f>
        <v>1</v>
      </c>
      <c r="W176" s="347" t="str">
        <f t="shared" si="9"/>
        <v>Underplay</v>
      </c>
      <c r="X176" s="348" t="str">
        <f t="shared" si="10"/>
        <v/>
      </c>
      <c r="Y176" s="349">
        <f>MAXIFS(Matches!$A:$A,Matches!$C:$C,$B176)</f>
        <v>0</v>
      </c>
      <c r="Z176" s="349">
        <f t="array" ref="Z176">XLOOKUP(Y176,Quotas!$B$7:$B$10,Quotas!$A$7:$A$10,0,-1)</f>
        <v>0</v>
      </c>
      <c r="AB176" s="79"/>
      <c r="AC176" s="79">
        <f>COUNTIFS(Matches!$A:$A,"&gt;"&amp;Y176,Matches!$B:$B,$B176)</f>
        <v>0</v>
      </c>
      <c r="AD176" s="79"/>
      <c r="AE176" s="31" t="str">
        <f t="array" ref="AE176">XLOOKUP(B176, 'College List'!A:A, 'College List'!B:B)</f>
        <v>#N/A</v>
      </c>
      <c r="AF176" s="357">
        <v>9.0</v>
      </c>
      <c r="AG176" s="79"/>
      <c r="AH176" s="79"/>
      <c r="AI176" s="79"/>
    </row>
    <row r="177">
      <c r="A177" s="9">
        <f t="shared" si="1"/>
        <v>1</v>
      </c>
      <c r="C177" s="350"/>
      <c r="D177" s="93"/>
      <c r="E177" s="1"/>
      <c r="F177" s="1"/>
      <c r="G177" s="1"/>
      <c r="H177" s="341">
        <f>COUNTIF(Entropy!$D:$D,$B177)+COUNTIF(Matches!$B:$B,$B177)+COUNTIF(Matches!$C:$C,$B177)</f>
        <v>0</v>
      </c>
      <c r="I177" s="342">
        <f>COUNTIF(Matches!$B:$B,B177)</f>
        <v>0</v>
      </c>
      <c r="J177" s="79">
        <f t="shared" si="2"/>
        <v>0</v>
      </c>
      <c r="K177" s="1" t="str">
        <f t="shared" si="3"/>
        <v>0 - 0</v>
      </c>
      <c r="L177" s="343">
        <f>COUNTIF(Entropy!$D:$D,$B177)</f>
        <v>0</v>
      </c>
      <c r="M177" s="344">
        <f t="shared" si="4"/>
        <v>0</v>
      </c>
      <c r="N177" s="344">
        <f t="shared" si="5"/>
        <v>0</v>
      </c>
      <c r="O177" s="341">
        <f>IF($J177=11,0,IF(AND($H177 &gt;=VLOOKUP(Standings!$C$2,Quotas!$A$7:$E$14,4,FALSE), $H177&lt;=VLOOKUP(Standings!$C$2,Quotas!$A$7:$E$14,5,FALSE)), 0,VLOOKUP(Standings!$C$2,Quotas!$A$7:$E$14,4,FALSE)-$H177))</f>
        <v>30</v>
      </c>
      <c r="P177" s="341">
        <f>IF($J177=11,0,IF(AND($H177 &gt;=VLOOKUP(Standings!$C$2,Quotas!$A$7:$E$14,5,FALSE), $H177&lt;=VLOOKUP(Standings!$C$2,Quotas!$A$7:$E$14,5,FALSE)), 0,VLOOKUP(Standings!$C$2,Quotas!$A$7:$E$14,5,FALSE)-$H177))</f>
        <v>30</v>
      </c>
      <c r="Q177" s="79">
        <f t="shared" si="6"/>
        <v>11</v>
      </c>
      <c r="R177" s="345" t="str">
        <f t="shared" si="7"/>
        <v/>
      </c>
      <c r="S177" s="344">
        <f t="shared" si="8"/>
        <v>0.33</v>
      </c>
      <c r="T177" s="345" t="str">
        <f>IFERROR(__xludf.DUMMYFUNCTION("JOIN("","",IFERROR(FILTER(Matches!$B:$B,B177=Matches!$C:$C),""""),IFERROR(FILTER(Matches!$C:$C,B177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77" s="344">
        <f>IFERROR(__xludf.DUMMYFUNCTION("iferror(AVERAGE(ARRAYFORMULA(VLOOKUP(SPLIT(T177,"","",TRUE,TRUE),$R$2:$S654,2,FALSE))),0)"),0.0)</f>
        <v>0</v>
      </c>
      <c r="V177" s="346">
        <f>IFERROR(__xludf.DUMMYFUNCTION("RANK($I177, $I$2:$I654, FALSE) + RANK($M177, Filter($M$2:$M654, $I$2:$I654=$I177),FALSE)+RANK($U177, Filter($U$2:$U654, $I$2:$I654=$I177,$M$2:$M654=$M177),FALSE)-2"),1.0)</f>
        <v>1</v>
      </c>
      <c r="W177" s="347" t="str">
        <f t="shared" si="9"/>
        <v>Underplay</v>
      </c>
      <c r="X177" s="348" t="str">
        <f t="shared" si="10"/>
        <v/>
      </c>
      <c r="Y177" s="349">
        <f>MAXIFS(Matches!$A:$A,Matches!$C:$C,$B177)</f>
        <v>0</v>
      </c>
      <c r="Z177" s="349">
        <f t="array" ref="Z177">XLOOKUP(Y177,Quotas!$B$7:$B$10,Quotas!$A$7:$A$10,0,-1)</f>
        <v>0</v>
      </c>
      <c r="AB177" s="79"/>
      <c r="AC177" s="79">
        <f>COUNTIFS(Matches!$A:$A,"&gt;"&amp;Y177,Matches!$B:$B,$B177)</f>
        <v>0</v>
      </c>
      <c r="AD177" s="79"/>
      <c r="AE177" s="31" t="str">
        <f t="array" ref="AE177">XLOOKUP(B177, 'College List'!A:A, 'College List'!B:B)</f>
        <v>#N/A</v>
      </c>
      <c r="AF177" s="357">
        <v>9.0</v>
      </c>
      <c r="AG177" s="79"/>
      <c r="AH177" s="79"/>
      <c r="AI177" s="79"/>
    </row>
    <row r="178">
      <c r="A178" s="9">
        <f t="shared" si="1"/>
        <v>1</v>
      </c>
      <c r="C178" s="350"/>
      <c r="D178" s="93"/>
      <c r="E178" s="1"/>
      <c r="F178" s="1"/>
      <c r="G178" s="1"/>
      <c r="H178" s="341">
        <f>COUNTIF(Entropy!$D:$D,$B178)+COUNTIF(Matches!$B:$B,$B178)+COUNTIF(Matches!$C:$C,$B178)</f>
        <v>0</v>
      </c>
      <c r="I178" s="342">
        <f>COUNTIF(Matches!$B:$B,B178)</f>
        <v>0</v>
      </c>
      <c r="J178" s="79">
        <f t="shared" si="2"/>
        <v>0</v>
      </c>
      <c r="K178" s="1" t="str">
        <f t="shared" si="3"/>
        <v>0 - 0</v>
      </c>
      <c r="L178" s="343">
        <f>COUNTIF(Entropy!$D:$D,$B178)</f>
        <v>0</v>
      </c>
      <c r="M178" s="344">
        <f t="shared" si="4"/>
        <v>0</v>
      </c>
      <c r="N178" s="344">
        <f t="shared" si="5"/>
        <v>0</v>
      </c>
      <c r="O178" s="341">
        <f>IF($J178=11,0,IF(AND($H178 &gt;=VLOOKUP(Standings!$C$2,Quotas!$A$7:$E$14,4,FALSE), $H178&lt;=VLOOKUP(Standings!$C$2,Quotas!$A$7:$E$14,5,FALSE)), 0,VLOOKUP(Standings!$C$2,Quotas!$A$7:$E$14,4,FALSE)-$H178))</f>
        <v>30</v>
      </c>
      <c r="P178" s="341">
        <f>IF($J178=11,0,IF(AND($H178 &gt;=VLOOKUP(Standings!$C$2,Quotas!$A$7:$E$14,5,FALSE), $H178&lt;=VLOOKUP(Standings!$C$2,Quotas!$A$7:$E$14,5,FALSE)), 0,VLOOKUP(Standings!$C$2,Quotas!$A$7:$E$14,5,FALSE)-$H178))</f>
        <v>30</v>
      </c>
      <c r="Q178" s="79">
        <f t="shared" si="6"/>
        <v>11</v>
      </c>
      <c r="R178" s="345" t="str">
        <f t="shared" si="7"/>
        <v/>
      </c>
      <c r="S178" s="344">
        <f t="shared" si="8"/>
        <v>0.33</v>
      </c>
      <c r="T178" s="345" t="str">
        <f>IFERROR(__xludf.DUMMYFUNCTION("JOIN("","",IFERROR(FILTER(Matches!$B:$B,B178=Matches!$C:$C),""""),IFERROR(FILTER(Matches!$C:$C,B178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78" s="344">
        <f>IFERROR(__xludf.DUMMYFUNCTION("iferror(AVERAGE(ARRAYFORMULA(VLOOKUP(SPLIT(T178,"","",TRUE,TRUE),$R$2:$S654,2,FALSE))),0)"),0.0)</f>
        <v>0</v>
      </c>
      <c r="V178" s="346">
        <f>IFERROR(__xludf.DUMMYFUNCTION("RANK($I178, $I$2:$I654, FALSE) + RANK($M178, Filter($M$2:$M654, $I$2:$I654=$I178),FALSE)+RANK($U178, Filter($U$2:$U654, $I$2:$I654=$I178,$M$2:$M654=$M178),FALSE)-2"),1.0)</f>
        <v>1</v>
      </c>
      <c r="W178" s="347" t="str">
        <f t="shared" si="9"/>
        <v>Underplay</v>
      </c>
      <c r="X178" s="348" t="str">
        <f t="shared" si="10"/>
        <v/>
      </c>
      <c r="Y178" s="349">
        <f>MAXIFS(Matches!$A:$A,Matches!$C:$C,$B178)</f>
        <v>0</v>
      </c>
      <c r="Z178" s="349">
        <f t="array" ref="Z178">XLOOKUP(Y178,Quotas!$B$7:$B$10,Quotas!$A$7:$A$10,0,-1)</f>
        <v>0</v>
      </c>
      <c r="AB178" s="79"/>
      <c r="AC178" s="79">
        <f>COUNTIFS(Matches!$A:$A,"&gt;"&amp;Y178,Matches!$B:$B,$B178)</f>
        <v>0</v>
      </c>
      <c r="AD178" s="79"/>
      <c r="AE178" s="31" t="str">
        <f t="array" ref="AE178">XLOOKUP(B178, 'College List'!A:A, 'College List'!B:B)</f>
        <v>#N/A</v>
      </c>
      <c r="AF178" s="357">
        <v>10.0</v>
      </c>
      <c r="AG178" s="79"/>
      <c r="AH178" s="79"/>
      <c r="AI178" s="79"/>
    </row>
    <row r="179">
      <c r="A179" s="9">
        <f t="shared" si="1"/>
        <v>1</v>
      </c>
      <c r="C179" s="350"/>
      <c r="D179" s="93"/>
      <c r="E179" s="1"/>
      <c r="F179" s="1"/>
      <c r="G179" s="1"/>
      <c r="H179" s="341">
        <f>COUNTIF(Entropy!$D:$D,$B179)+COUNTIF(Matches!$B:$B,$B179)+COUNTIF(Matches!$C:$C,$B179)</f>
        <v>0</v>
      </c>
      <c r="I179" s="342">
        <f>COUNTIF(Matches!$B:$B,B179)</f>
        <v>0</v>
      </c>
      <c r="J179" s="79">
        <f t="shared" si="2"/>
        <v>0</v>
      </c>
      <c r="K179" s="1" t="str">
        <f t="shared" si="3"/>
        <v>0 - 0</v>
      </c>
      <c r="L179" s="343">
        <f>COUNTIF(Entropy!$D:$D,$B179)</f>
        <v>0</v>
      </c>
      <c r="M179" s="344">
        <f t="shared" si="4"/>
        <v>0</v>
      </c>
      <c r="N179" s="344">
        <f t="shared" si="5"/>
        <v>0</v>
      </c>
      <c r="O179" s="341">
        <f>IF($J179=11,0,IF(AND($H179 &gt;=VLOOKUP(Standings!$C$2,Quotas!$A$7:$E$14,4,FALSE), $H179&lt;=VLOOKUP(Standings!$C$2,Quotas!$A$7:$E$14,5,FALSE)), 0,VLOOKUP(Standings!$C$2,Quotas!$A$7:$E$14,4,FALSE)-$H179))</f>
        <v>30</v>
      </c>
      <c r="P179" s="341">
        <f>IF($J179=11,0,IF(AND($H179 &gt;=VLOOKUP(Standings!$C$2,Quotas!$A$7:$E$14,5,FALSE), $H179&lt;=VLOOKUP(Standings!$C$2,Quotas!$A$7:$E$14,5,FALSE)), 0,VLOOKUP(Standings!$C$2,Quotas!$A$7:$E$14,5,FALSE)-$H179))</f>
        <v>30</v>
      </c>
      <c r="Q179" s="79">
        <f t="shared" si="6"/>
        <v>11</v>
      </c>
      <c r="R179" s="345" t="str">
        <f t="shared" si="7"/>
        <v/>
      </c>
      <c r="S179" s="344">
        <f t="shared" si="8"/>
        <v>0.33</v>
      </c>
      <c r="T179" s="345" t="str">
        <f>IFERROR(__xludf.DUMMYFUNCTION("JOIN("","",IFERROR(FILTER(Matches!$B:$B,B179=Matches!$C:$C),""""),IFERROR(FILTER(Matches!$C:$C,B179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79" s="344">
        <f>IFERROR(__xludf.DUMMYFUNCTION("iferror(AVERAGE(ARRAYFORMULA(VLOOKUP(SPLIT(T179,"","",TRUE,TRUE),$R$2:$S654,2,FALSE))),0)"),0.0)</f>
        <v>0</v>
      </c>
      <c r="V179" s="346">
        <f>IFERROR(__xludf.DUMMYFUNCTION("RANK($I179, $I$2:$I654, FALSE) + RANK($M179, Filter($M$2:$M654, $I$2:$I654=$I179),FALSE)+RANK($U179, Filter($U$2:$U654, $I$2:$I654=$I179,$M$2:$M654=$M179),FALSE)-2"),1.0)</f>
        <v>1</v>
      </c>
      <c r="W179" s="347" t="str">
        <f t="shared" si="9"/>
        <v>Underplay</v>
      </c>
      <c r="X179" s="348" t="str">
        <f t="shared" si="10"/>
        <v/>
      </c>
      <c r="Y179" s="349">
        <f>MAXIFS(Matches!$A:$A,Matches!$C:$C,$B179)</f>
        <v>0</v>
      </c>
      <c r="Z179" s="349">
        <f t="array" ref="Z179">XLOOKUP(Y179,Quotas!$B$7:$B$10,Quotas!$A$7:$A$10,0,-1)</f>
        <v>0</v>
      </c>
      <c r="AB179" s="79"/>
      <c r="AC179" s="79">
        <f>COUNTIFS(Matches!$A:$A,"&gt;"&amp;Y179,Matches!$B:$B,$B179)</f>
        <v>0</v>
      </c>
      <c r="AD179" s="79"/>
      <c r="AE179" s="31" t="str">
        <f t="array" ref="AE179">XLOOKUP(B179, 'College List'!A:A, 'College List'!B:B)</f>
        <v>#N/A</v>
      </c>
      <c r="AF179" s="357">
        <v>9.0</v>
      </c>
      <c r="AG179" s="79"/>
      <c r="AH179" s="79"/>
      <c r="AI179" s="79"/>
    </row>
    <row r="180">
      <c r="A180" s="9">
        <f t="shared" si="1"/>
        <v>1</v>
      </c>
      <c r="C180" s="350"/>
      <c r="D180" s="93"/>
      <c r="E180" s="1"/>
      <c r="F180" s="1"/>
      <c r="G180" s="1"/>
      <c r="H180" s="341">
        <f>COUNTIF(Entropy!$D:$D,$B180)+COUNTIF(Matches!$B:$B,$B180)+COUNTIF(Matches!$C:$C,$B180)</f>
        <v>0</v>
      </c>
      <c r="I180" s="342">
        <f>COUNTIF(Matches!$B:$B,B180)</f>
        <v>0</v>
      </c>
      <c r="J180" s="79">
        <f t="shared" si="2"/>
        <v>0</v>
      </c>
      <c r="K180" s="1" t="str">
        <f t="shared" si="3"/>
        <v>0 - 0</v>
      </c>
      <c r="L180" s="343">
        <f>COUNTIF(Entropy!$D:$D,$B180)</f>
        <v>0</v>
      </c>
      <c r="M180" s="344">
        <f t="shared" si="4"/>
        <v>0</v>
      </c>
      <c r="N180" s="344">
        <f t="shared" si="5"/>
        <v>0</v>
      </c>
      <c r="O180" s="341">
        <f>IF($J180=11,0,IF(AND($H180 &gt;=VLOOKUP(Standings!$C$2,Quotas!$A$7:$E$14,4,FALSE), $H180&lt;=VLOOKUP(Standings!$C$2,Quotas!$A$7:$E$14,5,FALSE)), 0,VLOOKUP(Standings!$C$2,Quotas!$A$7:$E$14,4,FALSE)-$H180))</f>
        <v>30</v>
      </c>
      <c r="P180" s="341">
        <f>IF($J180=11,0,IF(AND($H180 &gt;=VLOOKUP(Standings!$C$2,Quotas!$A$7:$E$14,5,FALSE), $H180&lt;=VLOOKUP(Standings!$C$2,Quotas!$A$7:$E$14,5,FALSE)), 0,VLOOKUP(Standings!$C$2,Quotas!$A$7:$E$14,5,FALSE)-$H180))</f>
        <v>30</v>
      </c>
      <c r="Q180" s="79">
        <f t="shared" si="6"/>
        <v>11</v>
      </c>
      <c r="R180" s="345" t="str">
        <f t="shared" si="7"/>
        <v/>
      </c>
      <c r="S180" s="344">
        <f t="shared" si="8"/>
        <v>0.33</v>
      </c>
      <c r="T180" s="345" t="str">
        <f>IFERROR(__xludf.DUMMYFUNCTION("JOIN("","",IFERROR(FILTER(Matches!$B:$B,B180=Matches!$C:$C),""""),IFERROR(FILTER(Matches!$C:$C,B180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80" s="344">
        <f>IFERROR(__xludf.DUMMYFUNCTION("iferror(AVERAGE(ARRAYFORMULA(VLOOKUP(SPLIT(T180,"","",TRUE,TRUE),$R$2:$S654,2,FALSE))),0)"),0.0)</f>
        <v>0</v>
      </c>
      <c r="V180" s="346">
        <f>IFERROR(__xludf.DUMMYFUNCTION("RANK($I180, $I$2:$I654, FALSE) + RANK($M180, Filter($M$2:$M654, $I$2:$I654=$I180),FALSE)+RANK($U180, Filter($U$2:$U654, $I$2:$I654=$I180,$M$2:$M654=$M180),FALSE)-2"),1.0)</f>
        <v>1</v>
      </c>
      <c r="W180" s="347" t="str">
        <f t="shared" si="9"/>
        <v>Underplay</v>
      </c>
      <c r="X180" s="348" t="str">
        <f t="shared" si="10"/>
        <v/>
      </c>
      <c r="Y180" s="349">
        <f>MAXIFS(Matches!$A:$A,Matches!$C:$C,$B180)</f>
        <v>0</v>
      </c>
      <c r="Z180" s="349">
        <f t="array" ref="Z180">XLOOKUP(Y180,Quotas!$B$7:$B$10,Quotas!$A$7:$A$10,0,-1)</f>
        <v>0</v>
      </c>
      <c r="AB180" s="79"/>
      <c r="AC180" s="79">
        <f>COUNTIFS(Matches!$A:$A,"&gt;"&amp;Y180,Matches!$B:$B,$B180)</f>
        <v>0</v>
      </c>
      <c r="AD180" s="79"/>
      <c r="AE180" s="31" t="str">
        <f t="array" ref="AE180">XLOOKUP(B180, 'College List'!A:A, 'College List'!B:B)</f>
        <v>#N/A</v>
      </c>
      <c r="AF180" s="357">
        <v>9.0</v>
      </c>
      <c r="AG180" s="79"/>
      <c r="AH180" s="79"/>
      <c r="AI180" s="79"/>
    </row>
    <row r="181">
      <c r="A181" s="9">
        <f t="shared" si="1"/>
        <v>1</v>
      </c>
      <c r="C181" s="350"/>
      <c r="D181" s="93"/>
      <c r="E181" s="1"/>
      <c r="F181" s="1"/>
      <c r="G181" s="1"/>
      <c r="H181" s="341">
        <f>COUNTIF(Entropy!$D:$D,$B181)+COUNTIF(Matches!$B:$B,$B181)+COUNTIF(Matches!$C:$C,$B181)</f>
        <v>0</v>
      </c>
      <c r="I181" s="342">
        <f>COUNTIF(Matches!$B:$B,B181)</f>
        <v>0</v>
      </c>
      <c r="J181" s="79">
        <f t="shared" si="2"/>
        <v>0</v>
      </c>
      <c r="K181" s="1" t="str">
        <f t="shared" si="3"/>
        <v>0 - 0</v>
      </c>
      <c r="L181" s="343">
        <f>COUNTIF(Entropy!$D:$D,$B181)</f>
        <v>0</v>
      </c>
      <c r="M181" s="344">
        <f t="shared" si="4"/>
        <v>0</v>
      </c>
      <c r="N181" s="344">
        <f t="shared" si="5"/>
        <v>0</v>
      </c>
      <c r="O181" s="341">
        <f>IF($J181=11,0,IF(AND($H181 &gt;=VLOOKUP(Standings!$C$2,Quotas!$A$7:$E$14,4,FALSE), $H181&lt;=VLOOKUP(Standings!$C$2,Quotas!$A$7:$E$14,5,FALSE)), 0,VLOOKUP(Standings!$C$2,Quotas!$A$7:$E$14,4,FALSE)-$H181))</f>
        <v>30</v>
      </c>
      <c r="P181" s="341">
        <f>IF($J181=11,0,IF(AND($H181 &gt;=VLOOKUP(Standings!$C$2,Quotas!$A$7:$E$14,5,FALSE), $H181&lt;=VLOOKUP(Standings!$C$2,Quotas!$A$7:$E$14,5,FALSE)), 0,VLOOKUP(Standings!$C$2,Quotas!$A$7:$E$14,5,FALSE)-$H181))</f>
        <v>30</v>
      </c>
      <c r="Q181" s="79">
        <f t="shared" si="6"/>
        <v>11</v>
      </c>
      <c r="R181" s="345" t="str">
        <f t="shared" si="7"/>
        <v/>
      </c>
      <c r="S181" s="344">
        <f t="shared" si="8"/>
        <v>0.33</v>
      </c>
      <c r="T181" s="345" t="str">
        <f>IFERROR(__xludf.DUMMYFUNCTION("JOIN("","",IFERROR(FILTER(Matches!$B:$B,B181=Matches!$C:$C),""""),IFERROR(FILTER(Matches!$C:$C,B181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81" s="344">
        <f>IFERROR(__xludf.DUMMYFUNCTION("iferror(AVERAGE(ARRAYFORMULA(VLOOKUP(SPLIT(T181,"","",TRUE,TRUE),$R$2:$S654,2,FALSE))),0)"),0.0)</f>
        <v>0</v>
      </c>
      <c r="V181" s="346">
        <f>IFERROR(__xludf.DUMMYFUNCTION("RANK($I181, $I$2:$I654, FALSE) + RANK($M181, Filter($M$2:$M654, $I$2:$I654=$I181),FALSE)+RANK($U181, Filter($U$2:$U654, $I$2:$I654=$I181,$M$2:$M654=$M181),FALSE)-2"),1.0)</f>
        <v>1</v>
      </c>
      <c r="W181" s="347" t="str">
        <f t="shared" si="9"/>
        <v>Underplay</v>
      </c>
      <c r="X181" s="348" t="str">
        <f t="shared" si="10"/>
        <v/>
      </c>
      <c r="Y181" s="349">
        <f>MAXIFS(Matches!$A:$A,Matches!$C:$C,$B181)</f>
        <v>0</v>
      </c>
      <c r="Z181" s="349">
        <f t="array" ref="Z181">XLOOKUP(Y181,Quotas!$B$7:$B$10,Quotas!$A$7:$A$10,0,-1)</f>
        <v>0</v>
      </c>
      <c r="AB181" s="79"/>
      <c r="AC181" s="79">
        <f>COUNTIFS(Matches!$A:$A,"&gt;"&amp;Y181,Matches!$B:$B,$B181)</f>
        <v>0</v>
      </c>
      <c r="AD181" s="79"/>
      <c r="AE181" s="31" t="str">
        <f t="array" ref="AE181">XLOOKUP(B181, 'College List'!A:A, 'College List'!B:B)</f>
        <v>#N/A</v>
      </c>
      <c r="AF181" s="79"/>
      <c r="AG181" s="79"/>
      <c r="AH181" s="79"/>
      <c r="AI181" s="79"/>
    </row>
    <row r="182">
      <c r="A182" s="9">
        <f t="shared" si="1"/>
        <v>1</v>
      </c>
      <c r="C182" s="350"/>
      <c r="D182" s="93"/>
      <c r="E182" s="1"/>
      <c r="F182" s="1"/>
      <c r="G182" s="1"/>
      <c r="H182" s="341">
        <f>COUNTIF(Entropy!$D:$D,$B182)+COUNTIF(Matches!$B:$B,$B182)+COUNTIF(Matches!$C:$C,$B182)</f>
        <v>0</v>
      </c>
      <c r="I182" s="342">
        <f>COUNTIF(Matches!$B:$B,B182)</f>
        <v>0</v>
      </c>
      <c r="J182" s="79">
        <f t="shared" si="2"/>
        <v>0</v>
      </c>
      <c r="K182" s="1" t="str">
        <f t="shared" si="3"/>
        <v>0 - 0</v>
      </c>
      <c r="L182" s="343">
        <f>COUNTIF(Entropy!$D:$D,$B182)</f>
        <v>0</v>
      </c>
      <c r="M182" s="344">
        <f t="shared" si="4"/>
        <v>0</v>
      </c>
      <c r="N182" s="344">
        <f t="shared" si="5"/>
        <v>0</v>
      </c>
      <c r="O182" s="341">
        <f>IF($J182=11,0,IF(AND($H182 &gt;=VLOOKUP(Standings!$C$2,Quotas!$A$7:$E$14,4,FALSE), $H182&lt;=VLOOKUP(Standings!$C$2,Quotas!$A$7:$E$14,5,FALSE)), 0,VLOOKUP(Standings!$C$2,Quotas!$A$7:$E$14,4,FALSE)-$H182))</f>
        <v>30</v>
      </c>
      <c r="P182" s="341">
        <f>IF($J182=11,0,IF(AND($H182 &gt;=VLOOKUP(Standings!$C$2,Quotas!$A$7:$E$14,5,FALSE), $H182&lt;=VLOOKUP(Standings!$C$2,Quotas!$A$7:$E$14,5,FALSE)), 0,VLOOKUP(Standings!$C$2,Quotas!$A$7:$E$14,5,FALSE)-$H182))</f>
        <v>30</v>
      </c>
      <c r="Q182" s="79">
        <f t="shared" si="6"/>
        <v>11</v>
      </c>
      <c r="R182" s="345" t="str">
        <f t="shared" si="7"/>
        <v/>
      </c>
      <c r="S182" s="344">
        <f t="shared" si="8"/>
        <v>0.33</v>
      </c>
      <c r="T182" s="345" t="str">
        <f>IFERROR(__xludf.DUMMYFUNCTION("JOIN("","",IFERROR(FILTER(Matches!$B:$B,B182=Matches!$C:$C),""""),IFERROR(FILTER(Matches!$C:$C,B182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82" s="344">
        <f>IFERROR(__xludf.DUMMYFUNCTION("iferror(AVERAGE(ARRAYFORMULA(VLOOKUP(SPLIT(T182,"","",TRUE,TRUE),$R$2:$S654,2,FALSE))),0)"),0.0)</f>
        <v>0</v>
      </c>
      <c r="V182" s="346">
        <f>IFERROR(__xludf.DUMMYFUNCTION("RANK($I182, $I$2:$I654, FALSE) + RANK($M182, Filter($M$2:$M654, $I$2:$I654=$I182),FALSE)+RANK($U182, Filter($U$2:$U654, $I$2:$I654=$I182,$M$2:$M654=$M182),FALSE)-2"),1.0)</f>
        <v>1</v>
      </c>
      <c r="W182" s="347" t="str">
        <f t="shared" si="9"/>
        <v>Underplay</v>
      </c>
      <c r="X182" s="348" t="str">
        <f t="shared" si="10"/>
        <v/>
      </c>
      <c r="Y182" s="349">
        <f>MAXIFS(Matches!$A:$A,Matches!$C:$C,$B182)</f>
        <v>0</v>
      </c>
      <c r="Z182" s="349">
        <f t="array" ref="Z182">XLOOKUP(Y182,Quotas!$B$7:$B$10,Quotas!$A$7:$A$10,0,-1)</f>
        <v>0</v>
      </c>
      <c r="AB182" s="79"/>
      <c r="AC182" s="79">
        <f>COUNTIFS(Matches!$A:$A,"&gt;"&amp;Y182,Matches!$B:$B,$B182)</f>
        <v>0</v>
      </c>
      <c r="AD182" s="79"/>
      <c r="AE182" s="31" t="str">
        <f t="array" ref="AE182">XLOOKUP(B182, 'College List'!A:A, 'College List'!B:B)</f>
        <v>#N/A</v>
      </c>
      <c r="AF182" s="357">
        <v>9.0</v>
      </c>
      <c r="AG182" s="79"/>
      <c r="AH182" s="79"/>
      <c r="AI182" s="79"/>
    </row>
    <row r="183">
      <c r="A183" s="9">
        <f t="shared" si="1"/>
        <v>1</v>
      </c>
      <c r="C183" s="350"/>
      <c r="D183" s="93"/>
      <c r="E183" s="1"/>
      <c r="F183" s="1"/>
      <c r="G183" s="1"/>
      <c r="H183" s="341">
        <f>COUNTIF(Entropy!$D:$D,$B183)+COUNTIF(Matches!$B:$B,$B183)+COUNTIF(Matches!$C:$C,$B183)</f>
        <v>0</v>
      </c>
      <c r="I183" s="342">
        <f>COUNTIF(Matches!$B:$B,B183)</f>
        <v>0</v>
      </c>
      <c r="J183" s="79">
        <f t="shared" si="2"/>
        <v>0</v>
      </c>
      <c r="K183" s="1" t="str">
        <f t="shared" si="3"/>
        <v>0 - 0</v>
      </c>
      <c r="L183" s="343">
        <f>COUNTIF(Entropy!$D:$D,$B183)</f>
        <v>0</v>
      </c>
      <c r="M183" s="344">
        <f t="shared" si="4"/>
        <v>0</v>
      </c>
      <c r="N183" s="344">
        <f t="shared" si="5"/>
        <v>0</v>
      </c>
      <c r="O183" s="341">
        <f>IF($J183=11,0,IF(AND($H183 &gt;=VLOOKUP(Standings!$C$2,Quotas!$A$7:$E$14,4,FALSE), $H183&lt;=VLOOKUP(Standings!$C$2,Quotas!$A$7:$E$14,5,FALSE)), 0,VLOOKUP(Standings!$C$2,Quotas!$A$7:$E$14,4,FALSE)-$H183))</f>
        <v>30</v>
      </c>
      <c r="P183" s="341">
        <f>IF($J183=11,0,IF(AND($H183 &gt;=VLOOKUP(Standings!$C$2,Quotas!$A$7:$E$14,5,FALSE), $H183&lt;=VLOOKUP(Standings!$C$2,Quotas!$A$7:$E$14,5,FALSE)), 0,VLOOKUP(Standings!$C$2,Quotas!$A$7:$E$14,5,FALSE)-$H183))</f>
        <v>30</v>
      </c>
      <c r="Q183" s="79">
        <f t="shared" si="6"/>
        <v>11</v>
      </c>
      <c r="R183" s="345" t="str">
        <f t="shared" si="7"/>
        <v/>
      </c>
      <c r="S183" s="344">
        <f t="shared" si="8"/>
        <v>0.33</v>
      </c>
      <c r="T183" s="345" t="str">
        <f>IFERROR(__xludf.DUMMYFUNCTION("JOIN("","",IFERROR(FILTER(Matches!$B:$B,B183=Matches!$C:$C),""""),IFERROR(FILTER(Matches!$C:$C,B183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83" s="344">
        <f>IFERROR(__xludf.DUMMYFUNCTION("iferror(AVERAGE(ARRAYFORMULA(VLOOKUP(SPLIT(T183,"","",TRUE,TRUE),$R$2:$S654,2,FALSE))),0)"),0.0)</f>
        <v>0</v>
      </c>
      <c r="V183" s="346">
        <f>IFERROR(__xludf.DUMMYFUNCTION("RANK($I183, $I$2:$I654, FALSE) + RANK($M183, Filter($M$2:$M654, $I$2:$I654=$I183),FALSE)+RANK($U183, Filter($U$2:$U654, $I$2:$I654=$I183,$M$2:$M654=$M183),FALSE)-2"),1.0)</f>
        <v>1</v>
      </c>
      <c r="W183" s="347" t="str">
        <f t="shared" si="9"/>
        <v>Underplay</v>
      </c>
      <c r="X183" s="348" t="str">
        <f t="shared" si="10"/>
        <v/>
      </c>
      <c r="Y183" s="349">
        <f>MAXIFS(Matches!$A:$A,Matches!$C:$C,$B183)</f>
        <v>0</v>
      </c>
      <c r="Z183" s="349">
        <f t="array" ref="Z183">XLOOKUP(Y183,Quotas!$B$7:$B$10,Quotas!$A$7:$A$10,0,-1)</f>
        <v>0</v>
      </c>
      <c r="AB183" s="79"/>
      <c r="AC183" s="79">
        <f>COUNTIFS(Matches!$A:$A,"&gt;"&amp;Y183,Matches!$B:$B,$B183)</f>
        <v>0</v>
      </c>
      <c r="AD183" s="79"/>
      <c r="AE183" s="31" t="str">
        <f t="array" ref="AE183">XLOOKUP(B183, 'College List'!A:A, 'College List'!B:B)</f>
        <v>#N/A</v>
      </c>
      <c r="AF183" s="357">
        <v>9.0</v>
      </c>
      <c r="AG183" s="79"/>
      <c r="AH183" s="79"/>
      <c r="AI183" s="79"/>
    </row>
    <row r="184">
      <c r="A184" s="9">
        <f t="shared" si="1"/>
        <v>1</v>
      </c>
      <c r="C184" s="350"/>
      <c r="D184" s="93"/>
      <c r="E184" s="1"/>
      <c r="F184" s="1"/>
      <c r="G184" s="1"/>
      <c r="H184" s="341">
        <f>COUNTIF(Entropy!$D:$D,$B184)+COUNTIF(Matches!$B:$B,$B184)+COUNTIF(Matches!$C:$C,$B184)</f>
        <v>0</v>
      </c>
      <c r="I184" s="342">
        <f>COUNTIF(Matches!$B:$B,B184)</f>
        <v>0</v>
      </c>
      <c r="J184" s="79">
        <f t="shared" si="2"/>
        <v>0</v>
      </c>
      <c r="K184" s="1" t="str">
        <f t="shared" si="3"/>
        <v>0 - 0</v>
      </c>
      <c r="L184" s="343">
        <f>COUNTIF(Entropy!$D:$D,$B184)</f>
        <v>0</v>
      </c>
      <c r="M184" s="344">
        <f t="shared" si="4"/>
        <v>0</v>
      </c>
      <c r="N184" s="344">
        <f t="shared" si="5"/>
        <v>0</v>
      </c>
      <c r="O184" s="341">
        <f>IF($J184=11,0,IF(AND($H184 &gt;=VLOOKUP(Standings!$C$2,Quotas!$A$7:$E$14,4,FALSE), $H184&lt;=VLOOKUP(Standings!$C$2,Quotas!$A$7:$E$14,5,FALSE)), 0,VLOOKUP(Standings!$C$2,Quotas!$A$7:$E$14,4,FALSE)-$H184))</f>
        <v>30</v>
      </c>
      <c r="P184" s="341">
        <f>IF($J184=11,0,IF(AND($H184 &gt;=VLOOKUP(Standings!$C$2,Quotas!$A$7:$E$14,5,FALSE), $H184&lt;=VLOOKUP(Standings!$C$2,Quotas!$A$7:$E$14,5,FALSE)), 0,VLOOKUP(Standings!$C$2,Quotas!$A$7:$E$14,5,FALSE)-$H184))</f>
        <v>30</v>
      </c>
      <c r="Q184" s="79">
        <f t="shared" si="6"/>
        <v>11</v>
      </c>
      <c r="R184" s="345" t="str">
        <f t="shared" si="7"/>
        <v/>
      </c>
      <c r="S184" s="344">
        <f t="shared" si="8"/>
        <v>0.33</v>
      </c>
      <c r="T184" s="345" t="str">
        <f>IFERROR(__xludf.DUMMYFUNCTION("JOIN("","",IFERROR(FILTER(Matches!$B:$B,B184=Matches!$C:$C),""""),IFERROR(FILTER(Matches!$C:$C,B184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84" s="344">
        <f>IFERROR(__xludf.DUMMYFUNCTION("iferror(AVERAGE(ARRAYFORMULA(VLOOKUP(SPLIT(T184,"","",TRUE,TRUE),$R$2:$S654,2,FALSE))),0)"),0.0)</f>
        <v>0</v>
      </c>
      <c r="V184" s="346">
        <f>IFERROR(__xludf.DUMMYFUNCTION("RANK($I184, $I$2:$I654, FALSE) + RANK($M184, Filter($M$2:$M654, $I$2:$I654=$I184),FALSE)+RANK($U184, Filter($U$2:$U654, $I$2:$I654=$I184,$M$2:$M654=$M184),FALSE)-2"),1.0)</f>
        <v>1</v>
      </c>
      <c r="W184" s="347" t="str">
        <f t="shared" si="9"/>
        <v>Underplay</v>
      </c>
      <c r="X184" s="348" t="str">
        <f t="shared" si="10"/>
        <v/>
      </c>
      <c r="Y184" s="349">
        <f>MAXIFS(Matches!$A:$A,Matches!$C:$C,$B184)</f>
        <v>0</v>
      </c>
      <c r="Z184" s="349">
        <f t="array" ref="Z184">XLOOKUP(Y184,Quotas!$B$7:$B$10,Quotas!$A$7:$A$10,0,-1)</f>
        <v>0</v>
      </c>
      <c r="AB184" s="79"/>
      <c r="AC184" s="79">
        <f>COUNTIFS(Matches!$A:$A,"&gt;"&amp;Y184,Matches!$B:$B,$B184)</f>
        <v>0</v>
      </c>
      <c r="AD184" s="79"/>
      <c r="AE184" s="31" t="str">
        <f t="array" ref="AE184">XLOOKUP(B184, 'College List'!A:A, 'College List'!B:B)</f>
        <v>#N/A</v>
      </c>
      <c r="AF184" s="79"/>
      <c r="AG184" s="79"/>
      <c r="AH184" s="79"/>
      <c r="AI184" s="79"/>
    </row>
    <row r="185">
      <c r="A185" s="9">
        <f t="shared" si="1"/>
        <v>1</v>
      </c>
      <c r="C185" s="350"/>
      <c r="D185" s="93"/>
      <c r="E185" s="1"/>
      <c r="F185" s="1"/>
      <c r="G185" s="1"/>
      <c r="H185" s="341">
        <f>COUNTIF(Entropy!$D:$D,$B185)+COUNTIF(Matches!$B:$B,$B185)+COUNTIF(Matches!$C:$C,$B185)</f>
        <v>0</v>
      </c>
      <c r="I185" s="342">
        <f>COUNTIF(Matches!$B:$B,B185)</f>
        <v>0</v>
      </c>
      <c r="J185" s="79">
        <f t="shared" si="2"/>
        <v>0</v>
      </c>
      <c r="K185" s="1" t="str">
        <f t="shared" si="3"/>
        <v>0 - 0</v>
      </c>
      <c r="L185" s="343">
        <f>COUNTIF(Entropy!$D:$D,$B185)</f>
        <v>0</v>
      </c>
      <c r="M185" s="344">
        <f t="shared" si="4"/>
        <v>0</v>
      </c>
      <c r="N185" s="344">
        <f t="shared" si="5"/>
        <v>0</v>
      </c>
      <c r="O185" s="341">
        <f>IF($J185=11,0,IF(AND($H185 &gt;=VLOOKUP(Standings!$C$2,Quotas!$A$7:$E$14,4,FALSE), $H185&lt;=VLOOKUP(Standings!$C$2,Quotas!$A$7:$E$14,5,FALSE)), 0,VLOOKUP(Standings!$C$2,Quotas!$A$7:$E$14,4,FALSE)-$H185))</f>
        <v>30</v>
      </c>
      <c r="P185" s="341">
        <f>IF($J185=11,0,IF(AND($H185 &gt;=VLOOKUP(Standings!$C$2,Quotas!$A$7:$E$14,5,FALSE), $H185&lt;=VLOOKUP(Standings!$C$2,Quotas!$A$7:$E$14,5,FALSE)), 0,VLOOKUP(Standings!$C$2,Quotas!$A$7:$E$14,5,FALSE)-$H185))</f>
        <v>30</v>
      </c>
      <c r="Q185" s="79">
        <f t="shared" si="6"/>
        <v>11</v>
      </c>
      <c r="R185" s="345" t="str">
        <f t="shared" si="7"/>
        <v/>
      </c>
      <c r="S185" s="344">
        <f t="shared" si="8"/>
        <v>0.33</v>
      </c>
      <c r="T185" s="345" t="str">
        <f>IFERROR(__xludf.DUMMYFUNCTION("JOIN("","",IFERROR(FILTER(Matches!$B:$B,B185=Matches!$C:$C),""""),IFERROR(FILTER(Matches!$C:$C,B185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85" s="344">
        <f>IFERROR(__xludf.DUMMYFUNCTION("iferror(AVERAGE(ARRAYFORMULA(VLOOKUP(SPLIT(T185,"","",TRUE,TRUE),$R$2:$S654,2,FALSE))),0)"),0.0)</f>
        <v>0</v>
      </c>
      <c r="V185" s="346">
        <f>IFERROR(__xludf.DUMMYFUNCTION("RANK($I185, $I$2:$I654, FALSE) + RANK($M185, Filter($M$2:$M654, $I$2:$I654=$I185),FALSE)+RANK($U185, Filter($U$2:$U654, $I$2:$I654=$I185,$M$2:$M654=$M185),FALSE)-2"),1.0)</f>
        <v>1</v>
      </c>
      <c r="W185" s="347" t="str">
        <f t="shared" si="9"/>
        <v>Underplay</v>
      </c>
      <c r="X185" s="348" t="str">
        <f t="shared" si="10"/>
        <v/>
      </c>
      <c r="Y185" s="349">
        <f>MAXIFS(Matches!$A:$A,Matches!$C:$C,$B185)</f>
        <v>0</v>
      </c>
      <c r="Z185" s="349">
        <f t="array" ref="Z185">XLOOKUP(Y185,Quotas!$B$7:$B$10,Quotas!$A$7:$A$10,0,-1)</f>
        <v>0</v>
      </c>
      <c r="AB185" s="79"/>
      <c r="AC185" s="79">
        <f>COUNTIFS(Matches!$A:$A,"&gt;"&amp;Y185,Matches!$B:$B,$B185)</f>
        <v>0</v>
      </c>
      <c r="AD185" s="79"/>
      <c r="AE185" s="31" t="str">
        <f t="array" ref="AE185">XLOOKUP(B185, 'College List'!A:A, 'College List'!B:B)</f>
        <v>#N/A</v>
      </c>
      <c r="AF185" s="357">
        <v>8.0</v>
      </c>
      <c r="AG185" s="79"/>
      <c r="AH185" s="79"/>
      <c r="AI185" s="79"/>
    </row>
    <row r="186">
      <c r="A186" s="9">
        <f t="shared" si="1"/>
        <v>1</v>
      </c>
      <c r="C186" s="350"/>
      <c r="D186" s="93"/>
      <c r="E186" s="1"/>
      <c r="F186" s="1"/>
      <c r="G186" s="1"/>
      <c r="H186" s="341">
        <f>COUNTIF(Entropy!$D:$D,$B186)+COUNTIF(Matches!$B:$B,$B186)+COUNTIF(Matches!$C:$C,$B186)</f>
        <v>0</v>
      </c>
      <c r="I186" s="342">
        <f>COUNTIF(Matches!$B:$B,B186)</f>
        <v>0</v>
      </c>
      <c r="J186" s="79">
        <f t="shared" si="2"/>
        <v>0</v>
      </c>
      <c r="K186" s="1" t="str">
        <f t="shared" si="3"/>
        <v>0 - 0</v>
      </c>
      <c r="L186" s="343">
        <f>COUNTIF(Entropy!$D:$D,$B186)</f>
        <v>0</v>
      </c>
      <c r="M186" s="344">
        <f t="shared" si="4"/>
        <v>0</v>
      </c>
      <c r="N186" s="344">
        <f t="shared" si="5"/>
        <v>0</v>
      </c>
      <c r="O186" s="341">
        <f>IF($J186=11,0,IF(AND($H186 &gt;=VLOOKUP(Standings!$C$2,Quotas!$A$7:$E$14,4,FALSE), $H186&lt;=VLOOKUP(Standings!$C$2,Quotas!$A$7:$E$14,5,FALSE)), 0,VLOOKUP(Standings!$C$2,Quotas!$A$7:$E$14,4,FALSE)-$H186))</f>
        <v>30</v>
      </c>
      <c r="P186" s="341">
        <f>IF($J186=11,0,IF(AND($H186 &gt;=VLOOKUP(Standings!$C$2,Quotas!$A$7:$E$14,5,FALSE), $H186&lt;=VLOOKUP(Standings!$C$2,Quotas!$A$7:$E$14,5,FALSE)), 0,VLOOKUP(Standings!$C$2,Quotas!$A$7:$E$14,5,FALSE)-$H186))</f>
        <v>30</v>
      </c>
      <c r="Q186" s="79">
        <f t="shared" si="6"/>
        <v>11</v>
      </c>
      <c r="R186" s="345" t="str">
        <f t="shared" si="7"/>
        <v/>
      </c>
      <c r="S186" s="344">
        <f t="shared" si="8"/>
        <v>0.33</v>
      </c>
      <c r="T186" s="345" t="str">
        <f>IFERROR(__xludf.DUMMYFUNCTION("JOIN("","",IFERROR(FILTER(Matches!$B:$B,B186=Matches!$C:$C),""""),IFERROR(FILTER(Matches!$C:$C,B186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86" s="344">
        <f>IFERROR(__xludf.DUMMYFUNCTION("iferror(AVERAGE(ARRAYFORMULA(VLOOKUP(SPLIT(T186,"","",TRUE,TRUE),$R$2:$S654,2,FALSE))),0)"),0.0)</f>
        <v>0</v>
      </c>
      <c r="V186" s="346">
        <f>IFERROR(__xludf.DUMMYFUNCTION("RANK($I186, $I$2:$I654, FALSE) + RANK($M186, Filter($M$2:$M654, $I$2:$I654=$I186),FALSE)+RANK($U186, Filter($U$2:$U654, $I$2:$I654=$I186,$M$2:$M654=$M186),FALSE)-2"),1.0)</f>
        <v>1</v>
      </c>
      <c r="W186" s="347" t="str">
        <f t="shared" si="9"/>
        <v>Underplay</v>
      </c>
      <c r="X186" s="348" t="str">
        <f t="shared" si="10"/>
        <v/>
      </c>
      <c r="Y186" s="349">
        <f>MAXIFS(Matches!$A:$A,Matches!$C:$C,$B186)</f>
        <v>0</v>
      </c>
      <c r="Z186" s="349">
        <f t="array" ref="Z186">XLOOKUP(Y186,Quotas!$B$7:$B$10,Quotas!$A$7:$A$10,0,-1)</f>
        <v>0</v>
      </c>
      <c r="AB186" s="79"/>
      <c r="AC186" s="79">
        <f>COUNTIFS(Matches!$A:$A,"&gt;"&amp;Y186,Matches!$B:$B,$B186)</f>
        <v>0</v>
      </c>
      <c r="AD186" s="79"/>
      <c r="AE186" s="31" t="str">
        <f t="array" ref="AE186">XLOOKUP(B186, 'College List'!A:A, 'College List'!B:B)</f>
        <v>#N/A</v>
      </c>
      <c r="AF186" s="357">
        <v>9.0</v>
      </c>
      <c r="AG186" s="79"/>
      <c r="AH186" s="79"/>
      <c r="AI186" s="79"/>
    </row>
    <row r="187">
      <c r="A187" s="9">
        <f t="shared" si="1"/>
        <v>1</v>
      </c>
      <c r="C187" s="350"/>
      <c r="D187" s="93"/>
      <c r="E187" s="1"/>
      <c r="F187" s="1"/>
      <c r="G187" s="1"/>
      <c r="H187" s="341">
        <f>COUNTIF(Entropy!$D:$D,$B187)+COUNTIF(Matches!$B:$B,$B187)+COUNTIF(Matches!$C:$C,$B187)</f>
        <v>0</v>
      </c>
      <c r="I187" s="342">
        <f>COUNTIF(Matches!$B:$B,B187)</f>
        <v>0</v>
      </c>
      <c r="J187" s="79">
        <f t="shared" si="2"/>
        <v>0</v>
      </c>
      <c r="K187" s="1" t="str">
        <f t="shared" si="3"/>
        <v>0 - 0</v>
      </c>
      <c r="L187" s="343">
        <f>COUNTIF(Entropy!$D:$D,$B187)</f>
        <v>0</v>
      </c>
      <c r="M187" s="344">
        <f t="shared" si="4"/>
        <v>0</v>
      </c>
      <c r="N187" s="344">
        <f t="shared" si="5"/>
        <v>0</v>
      </c>
      <c r="O187" s="341">
        <f>IF($J187=11,0,IF(AND($H187 &gt;=VLOOKUP(Standings!$C$2,Quotas!$A$7:$E$14,4,FALSE), $H187&lt;=VLOOKUP(Standings!$C$2,Quotas!$A$7:$E$14,5,FALSE)), 0,VLOOKUP(Standings!$C$2,Quotas!$A$7:$E$14,4,FALSE)-$H187))</f>
        <v>30</v>
      </c>
      <c r="P187" s="341">
        <f>IF($J187=11,0,IF(AND($H187 &gt;=VLOOKUP(Standings!$C$2,Quotas!$A$7:$E$14,5,FALSE), $H187&lt;=VLOOKUP(Standings!$C$2,Quotas!$A$7:$E$14,5,FALSE)), 0,VLOOKUP(Standings!$C$2,Quotas!$A$7:$E$14,5,FALSE)-$H187))</f>
        <v>30</v>
      </c>
      <c r="Q187" s="79">
        <f t="shared" si="6"/>
        <v>11</v>
      </c>
      <c r="R187" s="345" t="str">
        <f t="shared" si="7"/>
        <v/>
      </c>
      <c r="S187" s="344">
        <f t="shared" si="8"/>
        <v>0.33</v>
      </c>
      <c r="T187" s="345" t="str">
        <f>IFERROR(__xludf.DUMMYFUNCTION("JOIN("","",IFERROR(FILTER(Matches!$B:$B,B187=Matches!$C:$C),""""),IFERROR(FILTER(Matches!$C:$C,B187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87" s="344">
        <f>IFERROR(__xludf.DUMMYFUNCTION("iferror(AVERAGE(ARRAYFORMULA(VLOOKUP(SPLIT(T187,"","",TRUE,TRUE),$R$2:$S654,2,FALSE))),0)"),0.0)</f>
        <v>0</v>
      </c>
      <c r="V187" s="346">
        <f>IFERROR(__xludf.DUMMYFUNCTION("RANK($I187, $I$2:$I654, FALSE) + RANK($M187, Filter($M$2:$M654, $I$2:$I654=$I187),FALSE)+RANK($U187, Filter($U$2:$U654, $I$2:$I654=$I187,$M$2:$M654=$M187),FALSE)-2"),1.0)</f>
        <v>1</v>
      </c>
      <c r="W187" s="347" t="str">
        <f t="shared" si="9"/>
        <v>Underplay</v>
      </c>
      <c r="X187" s="348" t="str">
        <f t="shared" si="10"/>
        <v/>
      </c>
      <c r="Y187" s="349">
        <f>MAXIFS(Matches!$A:$A,Matches!$C:$C,$B187)</f>
        <v>0</v>
      </c>
      <c r="Z187" s="349">
        <f t="array" ref="Z187">XLOOKUP(Y187,Quotas!$B$7:$B$10,Quotas!$A$7:$A$10,0,-1)</f>
        <v>0</v>
      </c>
      <c r="AB187" s="79"/>
      <c r="AC187" s="79">
        <f>COUNTIFS(Matches!$A:$A,"&gt;"&amp;Y187,Matches!$B:$B,$B187)</f>
        <v>0</v>
      </c>
      <c r="AD187" s="79"/>
      <c r="AE187" s="31" t="str">
        <f t="array" ref="AE187">XLOOKUP(B187, 'College List'!A:A, 'College List'!B:B)</f>
        <v>#N/A</v>
      </c>
      <c r="AF187" s="357">
        <v>9.0</v>
      </c>
      <c r="AG187" s="79"/>
      <c r="AH187" s="79"/>
      <c r="AI187" s="79"/>
    </row>
    <row r="188">
      <c r="A188" s="9">
        <f t="shared" si="1"/>
        <v>1</v>
      </c>
      <c r="C188" s="350"/>
      <c r="D188" s="93"/>
      <c r="E188" s="1"/>
      <c r="F188" s="1"/>
      <c r="G188" s="1"/>
      <c r="H188" s="341">
        <f>COUNTIF(Entropy!$D:$D,$B188)+COUNTIF(Matches!$B:$B,$B188)+COUNTIF(Matches!$C:$C,$B188)</f>
        <v>0</v>
      </c>
      <c r="I188" s="342">
        <f>COUNTIF(Matches!$B:$B,B188)</f>
        <v>0</v>
      </c>
      <c r="J188" s="79">
        <f t="shared" si="2"/>
        <v>0</v>
      </c>
      <c r="K188" s="1" t="str">
        <f t="shared" si="3"/>
        <v>0 - 0</v>
      </c>
      <c r="L188" s="343">
        <f>COUNTIF(Entropy!$D:$D,$B188)</f>
        <v>0</v>
      </c>
      <c r="M188" s="344">
        <f t="shared" si="4"/>
        <v>0</v>
      </c>
      <c r="N188" s="344">
        <f t="shared" si="5"/>
        <v>0</v>
      </c>
      <c r="O188" s="341">
        <f>IF($J188=11,0,IF(AND($H188 &gt;=VLOOKUP(Standings!$C$2,Quotas!$A$7:$E$14,4,FALSE), $H188&lt;=VLOOKUP(Standings!$C$2,Quotas!$A$7:$E$14,5,FALSE)), 0,VLOOKUP(Standings!$C$2,Quotas!$A$7:$E$14,4,FALSE)-$H188))</f>
        <v>30</v>
      </c>
      <c r="P188" s="341">
        <f>IF($J188=11,0,IF(AND($H188 &gt;=VLOOKUP(Standings!$C$2,Quotas!$A$7:$E$14,5,FALSE), $H188&lt;=VLOOKUP(Standings!$C$2,Quotas!$A$7:$E$14,5,FALSE)), 0,VLOOKUP(Standings!$C$2,Quotas!$A$7:$E$14,5,FALSE)-$H188))</f>
        <v>30</v>
      </c>
      <c r="Q188" s="79">
        <f t="shared" si="6"/>
        <v>11</v>
      </c>
      <c r="R188" s="345" t="str">
        <f t="shared" si="7"/>
        <v/>
      </c>
      <c r="S188" s="344">
        <f t="shared" si="8"/>
        <v>0.33</v>
      </c>
      <c r="T188" s="345" t="str">
        <f>IFERROR(__xludf.DUMMYFUNCTION("JOIN("","",IFERROR(FILTER(Matches!$B:$B,B188=Matches!$C:$C),""""),IFERROR(FILTER(Matches!$C:$C,B188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88" s="344">
        <f>IFERROR(__xludf.DUMMYFUNCTION("iferror(AVERAGE(ARRAYFORMULA(VLOOKUP(SPLIT(T188,"","",TRUE,TRUE),$R$2:$S654,2,FALSE))),0)"),0.0)</f>
        <v>0</v>
      </c>
      <c r="V188" s="346">
        <f>IFERROR(__xludf.DUMMYFUNCTION("RANK($I188, $I$2:$I654, FALSE) + RANK($M188, Filter($M$2:$M654, $I$2:$I654=$I188),FALSE)+RANK($U188, Filter($U$2:$U654, $I$2:$I654=$I188,$M$2:$M654=$M188),FALSE)-2"),1.0)</f>
        <v>1</v>
      </c>
      <c r="W188" s="347" t="str">
        <f t="shared" si="9"/>
        <v>Underplay</v>
      </c>
      <c r="X188" s="348" t="str">
        <f t="shared" si="10"/>
        <v/>
      </c>
      <c r="Y188" s="349">
        <f>MAXIFS(Matches!$A:$A,Matches!$C:$C,$B188)</f>
        <v>0</v>
      </c>
      <c r="Z188" s="349">
        <f t="array" ref="Z188">XLOOKUP(Y188,Quotas!$B$7:$B$10,Quotas!$A$7:$A$10,0,-1)</f>
        <v>0</v>
      </c>
      <c r="AB188" s="79"/>
      <c r="AC188" s="79">
        <f>COUNTIFS(Matches!$A:$A,"&gt;"&amp;Y188,Matches!$B:$B,$B188)</f>
        <v>0</v>
      </c>
      <c r="AD188" s="79"/>
      <c r="AE188" s="31" t="str">
        <f t="array" ref="AE188">XLOOKUP(B188, 'College List'!A:A, 'College List'!B:B)</f>
        <v>#N/A</v>
      </c>
      <c r="AF188" s="357">
        <v>9.0</v>
      </c>
      <c r="AG188" s="79"/>
      <c r="AH188" s="79"/>
      <c r="AI188" s="79"/>
    </row>
    <row r="189">
      <c r="A189" s="9">
        <f t="shared" si="1"/>
        <v>1</v>
      </c>
      <c r="C189" s="350"/>
      <c r="D189" s="93"/>
      <c r="E189" s="1"/>
      <c r="F189" s="1"/>
      <c r="G189" s="1"/>
      <c r="H189" s="341">
        <f>COUNTIF(Entropy!$D:$D,$B189)+COUNTIF(Matches!$B:$B,$B189)+COUNTIF(Matches!$C:$C,$B189)</f>
        <v>0</v>
      </c>
      <c r="I189" s="342">
        <f>COUNTIF(Matches!$B:$B,B189)</f>
        <v>0</v>
      </c>
      <c r="J189" s="79">
        <f t="shared" si="2"/>
        <v>0</v>
      </c>
      <c r="K189" s="1" t="str">
        <f t="shared" si="3"/>
        <v>0 - 0</v>
      </c>
      <c r="L189" s="343">
        <f>COUNTIF(Entropy!$D:$D,$B189)</f>
        <v>0</v>
      </c>
      <c r="M189" s="344">
        <f t="shared" si="4"/>
        <v>0</v>
      </c>
      <c r="N189" s="344">
        <f t="shared" si="5"/>
        <v>0</v>
      </c>
      <c r="O189" s="341">
        <f>IF($J189=11,0,IF(AND($H189 &gt;=VLOOKUP(Standings!$C$2,Quotas!$A$7:$E$14,4,FALSE), $H189&lt;=VLOOKUP(Standings!$C$2,Quotas!$A$7:$E$14,5,FALSE)), 0,VLOOKUP(Standings!$C$2,Quotas!$A$7:$E$14,4,FALSE)-$H189))</f>
        <v>30</v>
      </c>
      <c r="P189" s="341">
        <f>IF($J189=11,0,IF(AND($H189 &gt;=VLOOKUP(Standings!$C$2,Quotas!$A$7:$E$14,5,FALSE), $H189&lt;=VLOOKUP(Standings!$C$2,Quotas!$A$7:$E$14,5,FALSE)), 0,VLOOKUP(Standings!$C$2,Quotas!$A$7:$E$14,5,FALSE)-$H189))</f>
        <v>30</v>
      </c>
      <c r="Q189" s="79">
        <f t="shared" si="6"/>
        <v>11</v>
      </c>
      <c r="R189" s="345" t="str">
        <f t="shared" si="7"/>
        <v/>
      </c>
      <c r="S189" s="344">
        <f t="shared" si="8"/>
        <v>0.33</v>
      </c>
      <c r="T189" s="345" t="str">
        <f>IFERROR(__xludf.DUMMYFUNCTION("JOIN("","",IFERROR(FILTER(Matches!$B:$B,B189=Matches!$C:$C),""""),IFERROR(FILTER(Matches!$C:$C,B189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89" s="344">
        <f>IFERROR(__xludf.DUMMYFUNCTION("iferror(AVERAGE(ARRAYFORMULA(VLOOKUP(SPLIT(T189,"","",TRUE,TRUE),$R$2:$S654,2,FALSE))),0)"),0.0)</f>
        <v>0</v>
      </c>
      <c r="V189" s="346">
        <f>IFERROR(__xludf.DUMMYFUNCTION("RANK($I189, $I$2:$I654, FALSE) + RANK($M189, Filter($M$2:$M654, $I$2:$I654=$I189),FALSE)+RANK($U189, Filter($U$2:$U654, $I$2:$I654=$I189,$M$2:$M654=$M189),FALSE)-2"),1.0)</f>
        <v>1</v>
      </c>
      <c r="W189" s="347" t="str">
        <f t="shared" si="9"/>
        <v>Underplay</v>
      </c>
      <c r="X189" s="348" t="str">
        <f t="shared" si="10"/>
        <v/>
      </c>
      <c r="Y189" s="349">
        <f>MAXIFS(Matches!$A:$A,Matches!$C:$C,$B189)</f>
        <v>0</v>
      </c>
      <c r="Z189" s="349">
        <f t="array" ref="Z189">XLOOKUP(Y189,Quotas!$B$7:$B$10,Quotas!$A$7:$A$10,0,-1)</f>
        <v>0</v>
      </c>
      <c r="AB189" s="79"/>
      <c r="AC189" s="79">
        <f>COUNTIFS(Matches!$A:$A,"&gt;"&amp;Y189,Matches!$B:$B,$B189)</f>
        <v>0</v>
      </c>
      <c r="AD189" s="79"/>
      <c r="AE189" s="31" t="str">
        <f t="array" ref="AE189">XLOOKUP(B189, 'College List'!A:A, 'College List'!B:B)</f>
        <v>#N/A</v>
      </c>
      <c r="AF189" s="357">
        <v>6.0</v>
      </c>
      <c r="AG189" s="79"/>
      <c r="AH189" s="79"/>
      <c r="AI189" s="79"/>
    </row>
    <row r="190">
      <c r="A190" s="9">
        <f t="shared" si="1"/>
        <v>1</v>
      </c>
      <c r="C190" s="350"/>
      <c r="D190" s="93"/>
      <c r="E190" s="1"/>
      <c r="F190" s="1"/>
      <c r="G190" s="1"/>
      <c r="H190" s="341">
        <f>COUNTIF(Entropy!$D:$D,$B190)+COUNTIF(Matches!$B:$B,$B190)+COUNTIF(Matches!$C:$C,$B190)</f>
        <v>0</v>
      </c>
      <c r="I190" s="342">
        <f>COUNTIF(Matches!$B:$B,B190)</f>
        <v>0</v>
      </c>
      <c r="J190" s="79">
        <f t="shared" si="2"/>
        <v>0</v>
      </c>
      <c r="K190" s="1" t="str">
        <f t="shared" si="3"/>
        <v>0 - 0</v>
      </c>
      <c r="L190" s="343">
        <f>COUNTIF(Entropy!$D:$D,$B190)</f>
        <v>0</v>
      </c>
      <c r="M190" s="344">
        <f t="shared" si="4"/>
        <v>0</v>
      </c>
      <c r="N190" s="344">
        <f t="shared" si="5"/>
        <v>0</v>
      </c>
      <c r="O190" s="341">
        <f>IF($J190=11,0,IF(AND($H190 &gt;=VLOOKUP(Standings!$C$2,Quotas!$A$7:$E$14,4,FALSE), $H190&lt;=VLOOKUP(Standings!$C$2,Quotas!$A$7:$E$14,5,FALSE)), 0,VLOOKUP(Standings!$C$2,Quotas!$A$7:$E$14,4,FALSE)-$H190))</f>
        <v>30</v>
      </c>
      <c r="P190" s="341">
        <f>IF($J190=11,0,IF(AND($H190 &gt;=VLOOKUP(Standings!$C$2,Quotas!$A$7:$E$14,5,FALSE), $H190&lt;=VLOOKUP(Standings!$C$2,Quotas!$A$7:$E$14,5,FALSE)), 0,VLOOKUP(Standings!$C$2,Quotas!$A$7:$E$14,5,FALSE)-$H190))</f>
        <v>30</v>
      </c>
      <c r="Q190" s="79">
        <f t="shared" si="6"/>
        <v>11</v>
      </c>
      <c r="R190" s="345" t="str">
        <f t="shared" si="7"/>
        <v/>
      </c>
      <c r="S190" s="344">
        <f t="shared" si="8"/>
        <v>0.33</v>
      </c>
      <c r="T190" s="345" t="str">
        <f>IFERROR(__xludf.DUMMYFUNCTION("JOIN("","",IFERROR(FILTER(Matches!$B:$B,B190=Matches!$C:$C),""""),IFERROR(FILTER(Matches!$C:$C,B190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90" s="344">
        <f>IFERROR(__xludf.DUMMYFUNCTION("iferror(AVERAGE(ARRAYFORMULA(VLOOKUP(SPLIT(T190,"","",TRUE,TRUE),$R$2:$S654,2,FALSE))),0)"),0.0)</f>
        <v>0</v>
      </c>
      <c r="V190" s="346">
        <f>IFERROR(__xludf.DUMMYFUNCTION("RANK($I190, $I$2:$I654, FALSE) + RANK($M190, Filter($M$2:$M654, $I$2:$I654=$I190),FALSE)+RANK($U190, Filter($U$2:$U654, $I$2:$I654=$I190,$M$2:$M654=$M190),FALSE)-2"),1.0)</f>
        <v>1</v>
      </c>
      <c r="W190" s="347" t="str">
        <f t="shared" si="9"/>
        <v>Underplay</v>
      </c>
      <c r="X190" s="348" t="str">
        <f t="shared" si="10"/>
        <v/>
      </c>
      <c r="Y190" s="349">
        <f>MAXIFS(Matches!$A:$A,Matches!$C:$C,$B190)</f>
        <v>0</v>
      </c>
      <c r="Z190" s="349">
        <f t="array" ref="Z190">XLOOKUP(Y190,Quotas!$B$7:$B$10,Quotas!$A$7:$A$10,0,-1)</f>
        <v>0</v>
      </c>
      <c r="AB190" s="79"/>
      <c r="AC190" s="79">
        <f>COUNTIFS(Matches!$A:$A,"&gt;"&amp;Y190,Matches!$B:$B,$B190)</f>
        <v>0</v>
      </c>
      <c r="AD190" s="79"/>
      <c r="AE190" s="31" t="str">
        <f t="array" ref="AE190">XLOOKUP(B190, 'College List'!A:A, 'College List'!B:B)</f>
        <v>#N/A</v>
      </c>
      <c r="AF190" s="357">
        <v>10.0</v>
      </c>
      <c r="AG190" s="79"/>
      <c r="AH190" s="79"/>
      <c r="AI190" s="79"/>
    </row>
    <row r="191">
      <c r="A191" s="9">
        <f t="shared" si="1"/>
        <v>1</v>
      </c>
      <c r="C191" s="350"/>
      <c r="D191" s="93"/>
      <c r="E191" s="1"/>
      <c r="F191" s="1"/>
      <c r="G191" s="1"/>
      <c r="H191" s="341">
        <f>COUNTIF(Entropy!$D:$D,$B191)+COUNTIF(Matches!$B:$B,$B191)+COUNTIF(Matches!$C:$C,$B191)</f>
        <v>0</v>
      </c>
      <c r="I191" s="342">
        <f>COUNTIF(Matches!$B:$B,B191)</f>
        <v>0</v>
      </c>
      <c r="J191" s="79">
        <f t="shared" si="2"/>
        <v>0</v>
      </c>
      <c r="K191" s="1" t="str">
        <f t="shared" si="3"/>
        <v>0 - 0</v>
      </c>
      <c r="L191" s="343">
        <f>COUNTIF(Entropy!$D:$D,$B191)</f>
        <v>0</v>
      </c>
      <c r="M191" s="344">
        <f t="shared" si="4"/>
        <v>0</v>
      </c>
      <c r="N191" s="344">
        <f t="shared" si="5"/>
        <v>0</v>
      </c>
      <c r="O191" s="341">
        <f>IF($J191=11,0,IF(AND($H191 &gt;=VLOOKUP(Standings!$C$2,Quotas!$A$7:$E$14,4,FALSE), $H191&lt;=VLOOKUP(Standings!$C$2,Quotas!$A$7:$E$14,5,FALSE)), 0,VLOOKUP(Standings!$C$2,Quotas!$A$7:$E$14,4,FALSE)-$H191))</f>
        <v>30</v>
      </c>
      <c r="P191" s="341">
        <f>IF($J191=11,0,IF(AND($H191 &gt;=VLOOKUP(Standings!$C$2,Quotas!$A$7:$E$14,5,FALSE), $H191&lt;=VLOOKUP(Standings!$C$2,Quotas!$A$7:$E$14,5,FALSE)), 0,VLOOKUP(Standings!$C$2,Quotas!$A$7:$E$14,5,FALSE)-$H191))</f>
        <v>30</v>
      </c>
      <c r="Q191" s="79">
        <f t="shared" si="6"/>
        <v>11</v>
      </c>
      <c r="R191" s="345" t="str">
        <f t="shared" si="7"/>
        <v/>
      </c>
      <c r="S191" s="344">
        <f t="shared" si="8"/>
        <v>0.33</v>
      </c>
      <c r="T191" s="345" t="str">
        <f>IFERROR(__xludf.DUMMYFUNCTION("JOIN("","",IFERROR(FILTER(Matches!$B:$B,B191=Matches!$C:$C),""""),IFERROR(FILTER(Matches!$C:$C,B191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91" s="344">
        <f>IFERROR(__xludf.DUMMYFUNCTION("iferror(AVERAGE(ARRAYFORMULA(VLOOKUP(SPLIT(T191,"","",TRUE,TRUE),$R$2:$S654,2,FALSE))),0)"),0.0)</f>
        <v>0</v>
      </c>
      <c r="V191" s="346">
        <f>IFERROR(__xludf.DUMMYFUNCTION("RANK($I191, $I$2:$I654, FALSE) + RANK($M191, Filter($M$2:$M654, $I$2:$I654=$I191),FALSE)+RANK($U191, Filter($U$2:$U654, $I$2:$I654=$I191,$M$2:$M654=$M191),FALSE)-2"),1.0)</f>
        <v>1</v>
      </c>
      <c r="W191" s="347" t="str">
        <f t="shared" si="9"/>
        <v>Underplay</v>
      </c>
      <c r="X191" s="348" t="str">
        <f t="shared" si="10"/>
        <v/>
      </c>
      <c r="Y191" s="349">
        <f>MAXIFS(Matches!$A:$A,Matches!$C:$C,$B191)</f>
        <v>0</v>
      </c>
      <c r="Z191" s="349">
        <f t="array" ref="Z191">XLOOKUP(Y191,Quotas!$B$7:$B$10,Quotas!$A$7:$A$10,0,-1)</f>
        <v>0</v>
      </c>
      <c r="AB191" s="79"/>
      <c r="AC191" s="79">
        <f>COUNTIFS(Matches!$A:$A,"&gt;"&amp;Y191,Matches!$B:$B,$B191)</f>
        <v>0</v>
      </c>
      <c r="AD191" s="79"/>
      <c r="AE191" s="31" t="str">
        <f t="array" ref="AE191">XLOOKUP(B191, 'College List'!A:A, 'College List'!B:B)</f>
        <v>#N/A</v>
      </c>
      <c r="AF191" s="357">
        <v>9.0</v>
      </c>
      <c r="AG191" s="79"/>
      <c r="AH191" s="79"/>
      <c r="AI191" s="79"/>
    </row>
    <row r="192">
      <c r="A192" s="9">
        <f t="shared" si="1"/>
        <v>1</v>
      </c>
      <c r="C192" s="350"/>
      <c r="D192" s="93"/>
      <c r="E192" s="1"/>
      <c r="F192" s="1"/>
      <c r="G192" s="1"/>
      <c r="H192" s="341">
        <f>COUNTIF(Entropy!$D:$D,$B192)+COUNTIF(Matches!$B:$B,$B192)+COUNTIF(Matches!$C:$C,$B192)</f>
        <v>0</v>
      </c>
      <c r="I192" s="342">
        <f>COUNTIF(Matches!$B:$B,B192)</f>
        <v>0</v>
      </c>
      <c r="J192" s="79">
        <f t="shared" si="2"/>
        <v>0</v>
      </c>
      <c r="K192" s="1" t="str">
        <f t="shared" si="3"/>
        <v>0 - 0</v>
      </c>
      <c r="L192" s="343">
        <f>COUNTIF(Entropy!$D:$D,$B192)</f>
        <v>0</v>
      </c>
      <c r="M192" s="344">
        <f t="shared" si="4"/>
        <v>0</v>
      </c>
      <c r="N192" s="344">
        <f t="shared" si="5"/>
        <v>0</v>
      </c>
      <c r="O192" s="341">
        <f>IF($J192=11,0,IF(AND($H192 &gt;=VLOOKUP(Standings!$C$2,Quotas!$A$7:$E$14,4,FALSE), $H192&lt;=VLOOKUP(Standings!$C$2,Quotas!$A$7:$E$14,5,FALSE)), 0,VLOOKUP(Standings!$C$2,Quotas!$A$7:$E$14,4,FALSE)-$H192))</f>
        <v>30</v>
      </c>
      <c r="P192" s="341">
        <f>IF($J192=11,0,IF(AND($H192 &gt;=VLOOKUP(Standings!$C$2,Quotas!$A$7:$E$14,5,FALSE), $H192&lt;=VLOOKUP(Standings!$C$2,Quotas!$A$7:$E$14,5,FALSE)), 0,VLOOKUP(Standings!$C$2,Quotas!$A$7:$E$14,5,FALSE)-$H192))</f>
        <v>30</v>
      </c>
      <c r="Q192" s="79">
        <f t="shared" si="6"/>
        <v>11</v>
      </c>
      <c r="R192" s="345" t="str">
        <f t="shared" si="7"/>
        <v/>
      </c>
      <c r="S192" s="344">
        <f t="shared" si="8"/>
        <v>0.33</v>
      </c>
      <c r="T192" s="345" t="str">
        <f>IFERROR(__xludf.DUMMYFUNCTION("JOIN("","",IFERROR(FILTER(Matches!$B:$B,B192=Matches!$C:$C),""""),IFERROR(FILTER(Matches!$C:$C,B192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92" s="344">
        <f>IFERROR(__xludf.DUMMYFUNCTION("iferror(AVERAGE(ARRAYFORMULA(VLOOKUP(SPLIT(T192,"","",TRUE,TRUE),$R$2:$S654,2,FALSE))),0)"),0.0)</f>
        <v>0</v>
      </c>
      <c r="V192" s="346">
        <f>IFERROR(__xludf.DUMMYFUNCTION("RANK($I192, $I$2:$I654, FALSE) + RANK($M192, Filter($M$2:$M654, $I$2:$I654=$I192),FALSE)+RANK($U192, Filter($U$2:$U654, $I$2:$I654=$I192,$M$2:$M654=$M192),FALSE)-2"),1.0)</f>
        <v>1</v>
      </c>
      <c r="W192" s="347" t="str">
        <f t="shared" si="9"/>
        <v>Underplay</v>
      </c>
      <c r="X192" s="348" t="str">
        <f t="shared" si="10"/>
        <v/>
      </c>
      <c r="Y192" s="349">
        <f>MAXIFS(Matches!$A:$A,Matches!$C:$C,$B192)</f>
        <v>0</v>
      </c>
      <c r="Z192" s="349">
        <f t="array" ref="Z192">XLOOKUP(Y192,Quotas!$B$7:$B$10,Quotas!$A$7:$A$10,0,-1)</f>
        <v>0</v>
      </c>
      <c r="AB192" s="79"/>
      <c r="AC192" s="79">
        <f>COUNTIFS(Matches!$A:$A,"&gt;"&amp;Y192,Matches!$B:$B,$B192)</f>
        <v>0</v>
      </c>
      <c r="AD192" s="79"/>
      <c r="AE192" s="31" t="str">
        <f t="array" ref="AE192">XLOOKUP(B192, 'College List'!A:A, 'College List'!B:B)</f>
        <v>#N/A</v>
      </c>
      <c r="AF192" s="357">
        <v>7.0</v>
      </c>
      <c r="AG192" s="79"/>
      <c r="AH192" s="79"/>
      <c r="AI192" s="79"/>
    </row>
    <row r="193">
      <c r="A193" s="9">
        <f t="shared" si="1"/>
        <v>1</v>
      </c>
      <c r="C193" s="350"/>
      <c r="D193" s="93"/>
      <c r="E193" s="1"/>
      <c r="F193" s="1"/>
      <c r="G193" s="1"/>
      <c r="H193" s="341">
        <f>COUNTIF(Entropy!$D:$D,$B193)+COUNTIF(Matches!$B:$B,$B193)+COUNTIF(Matches!$C:$C,$B193)</f>
        <v>0</v>
      </c>
      <c r="I193" s="342">
        <f>COUNTIF(Matches!$B:$B,B193)</f>
        <v>0</v>
      </c>
      <c r="J193" s="79">
        <f t="shared" si="2"/>
        <v>0</v>
      </c>
      <c r="K193" s="1" t="str">
        <f t="shared" si="3"/>
        <v>0 - 0</v>
      </c>
      <c r="L193" s="343">
        <f>COUNTIF(Entropy!$D:$D,$B193)</f>
        <v>0</v>
      </c>
      <c r="M193" s="344">
        <f t="shared" si="4"/>
        <v>0</v>
      </c>
      <c r="N193" s="344">
        <f t="shared" si="5"/>
        <v>0</v>
      </c>
      <c r="O193" s="341">
        <f>IF($J193=11,0,IF(AND($H193 &gt;=VLOOKUP(Standings!$C$2,Quotas!$A$7:$E$14,4,FALSE), $H193&lt;=VLOOKUP(Standings!$C$2,Quotas!$A$7:$E$14,5,FALSE)), 0,VLOOKUP(Standings!$C$2,Quotas!$A$7:$E$14,4,FALSE)-$H193))</f>
        <v>30</v>
      </c>
      <c r="P193" s="341">
        <f>IF($J193=11,0,IF(AND($H193 &gt;=VLOOKUP(Standings!$C$2,Quotas!$A$7:$E$14,5,FALSE), $H193&lt;=VLOOKUP(Standings!$C$2,Quotas!$A$7:$E$14,5,FALSE)), 0,VLOOKUP(Standings!$C$2,Quotas!$A$7:$E$14,5,FALSE)-$H193))</f>
        <v>30</v>
      </c>
      <c r="Q193" s="79">
        <f t="shared" si="6"/>
        <v>11</v>
      </c>
      <c r="R193" s="345" t="str">
        <f t="shared" si="7"/>
        <v/>
      </c>
      <c r="S193" s="344">
        <f t="shared" si="8"/>
        <v>0.33</v>
      </c>
      <c r="T193" s="345" t="str">
        <f>IFERROR(__xludf.DUMMYFUNCTION("JOIN("","",IFERROR(FILTER(Matches!$B:$B,B193=Matches!$C:$C),""""),IFERROR(FILTER(Matches!$C:$C,B193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93" s="344">
        <f>IFERROR(__xludf.DUMMYFUNCTION("iferror(AVERAGE(ARRAYFORMULA(VLOOKUP(SPLIT(T193,"","",TRUE,TRUE),$R$2:$S654,2,FALSE))),0)"),0.0)</f>
        <v>0</v>
      </c>
      <c r="V193" s="346">
        <f>IFERROR(__xludf.DUMMYFUNCTION("RANK($I193, $I$2:$I654, FALSE) + RANK($M193, Filter($M$2:$M654, $I$2:$I654=$I193),FALSE)+RANK($U193, Filter($U$2:$U654, $I$2:$I654=$I193,$M$2:$M654=$M193),FALSE)-2"),1.0)</f>
        <v>1</v>
      </c>
      <c r="W193" s="347" t="str">
        <f t="shared" si="9"/>
        <v>Underplay</v>
      </c>
      <c r="X193" s="348" t="str">
        <f t="shared" si="10"/>
        <v/>
      </c>
      <c r="Y193" s="349">
        <f>MAXIFS(Matches!$A:$A,Matches!$C:$C,$B193)</f>
        <v>0</v>
      </c>
      <c r="Z193" s="349">
        <f t="array" ref="Z193">XLOOKUP(Y193,Quotas!$B$7:$B$10,Quotas!$A$7:$A$10,0,-1)</f>
        <v>0</v>
      </c>
      <c r="AB193" s="79"/>
      <c r="AC193" s="79">
        <f>COUNTIFS(Matches!$A:$A,"&gt;"&amp;Y193,Matches!$B:$B,$B193)</f>
        <v>0</v>
      </c>
      <c r="AD193" s="79"/>
      <c r="AE193" s="31" t="str">
        <f t="array" ref="AE193">XLOOKUP(B193, 'College List'!A:A, 'College List'!B:B)</f>
        <v>#N/A</v>
      </c>
      <c r="AF193" s="357">
        <v>7.0</v>
      </c>
      <c r="AG193" s="79"/>
      <c r="AH193" s="79"/>
      <c r="AI193" s="79"/>
    </row>
    <row r="194">
      <c r="A194" s="9">
        <f t="shared" si="1"/>
        <v>1</v>
      </c>
      <c r="C194" s="350"/>
      <c r="D194" s="93"/>
      <c r="E194" s="1"/>
      <c r="F194" s="1"/>
      <c r="G194" s="1"/>
      <c r="H194" s="341">
        <f>COUNTIF(Entropy!$D:$D,$B194)+COUNTIF(Matches!$B:$B,$B194)+COUNTIF(Matches!$C:$C,$B194)</f>
        <v>0</v>
      </c>
      <c r="I194" s="342">
        <f>COUNTIF(Matches!$B:$B,B194)</f>
        <v>0</v>
      </c>
      <c r="J194" s="79">
        <f t="shared" si="2"/>
        <v>0</v>
      </c>
      <c r="K194" s="1" t="str">
        <f t="shared" si="3"/>
        <v>0 - 0</v>
      </c>
      <c r="L194" s="343">
        <f>COUNTIF(Entropy!$D:$D,$B194)</f>
        <v>0</v>
      </c>
      <c r="M194" s="344">
        <f t="shared" si="4"/>
        <v>0</v>
      </c>
      <c r="N194" s="344">
        <f t="shared" si="5"/>
        <v>0</v>
      </c>
      <c r="O194" s="341">
        <f>IF($J194=11,0,IF(AND($H194 &gt;=VLOOKUP(Standings!$C$2,Quotas!$A$7:$E$14,4,FALSE), $H194&lt;=VLOOKUP(Standings!$C$2,Quotas!$A$7:$E$14,5,FALSE)), 0,VLOOKUP(Standings!$C$2,Quotas!$A$7:$E$14,4,FALSE)-$H194))</f>
        <v>30</v>
      </c>
      <c r="P194" s="341">
        <f>IF($J194=11,0,IF(AND($H194 &gt;=VLOOKUP(Standings!$C$2,Quotas!$A$7:$E$14,5,FALSE), $H194&lt;=VLOOKUP(Standings!$C$2,Quotas!$A$7:$E$14,5,FALSE)), 0,VLOOKUP(Standings!$C$2,Quotas!$A$7:$E$14,5,FALSE)-$H194))</f>
        <v>30</v>
      </c>
      <c r="Q194" s="79">
        <f t="shared" si="6"/>
        <v>11</v>
      </c>
      <c r="R194" s="345" t="str">
        <f t="shared" si="7"/>
        <v/>
      </c>
      <c r="S194" s="344">
        <f t="shared" si="8"/>
        <v>0.33</v>
      </c>
      <c r="T194" s="345" t="str">
        <f>IFERROR(__xludf.DUMMYFUNCTION("JOIN("","",IFERROR(FILTER(Matches!$B:$B,B194=Matches!$C:$C),""""),IFERROR(FILTER(Matches!$C:$C,B194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94" s="344">
        <f>IFERROR(__xludf.DUMMYFUNCTION("iferror(AVERAGE(ARRAYFORMULA(VLOOKUP(SPLIT(T194,"","",TRUE,TRUE),$R$2:$S654,2,FALSE))),0)"),0.0)</f>
        <v>0</v>
      </c>
      <c r="V194" s="346">
        <f>IFERROR(__xludf.DUMMYFUNCTION("RANK($I194, $I$2:$I654, FALSE) + RANK($M194, Filter($M$2:$M654, $I$2:$I654=$I194),FALSE)+RANK($U194, Filter($U$2:$U654, $I$2:$I654=$I194,$M$2:$M654=$M194),FALSE)-2"),1.0)</f>
        <v>1</v>
      </c>
      <c r="W194" s="347" t="str">
        <f t="shared" si="9"/>
        <v>Underplay</v>
      </c>
      <c r="X194" s="348" t="str">
        <f t="shared" si="10"/>
        <v/>
      </c>
      <c r="Y194" s="349">
        <f>MAXIFS(Matches!$A:$A,Matches!$C:$C,$B194)</f>
        <v>0</v>
      </c>
      <c r="Z194" s="349">
        <f t="array" ref="Z194">XLOOKUP(Y194,Quotas!$B$7:$B$10,Quotas!$A$7:$A$10,0,-1)</f>
        <v>0</v>
      </c>
      <c r="AB194" s="79"/>
      <c r="AC194" s="79">
        <f>COUNTIFS(Matches!$A:$A,"&gt;"&amp;Y194,Matches!$B:$B,$B194)</f>
        <v>0</v>
      </c>
      <c r="AD194" s="79"/>
      <c r="AE194" s="31" t="str">
        <f t="array" ref="AE194">XLOOKUP(B194, 'College List'!A:A, 'College List'!B:B)</f>
        <v>#N/A</v>
      </c>
      <c r="AF194" s="357">
        <v>8.0</v>
      </c>
      <c r="AG194" s="79"/>
      <c r="AH194" s="79"/>
      <c r="AI194" s="79"/>
    </row>
    <row r="195">
      <c r="A195" s="9">
        <f t="shared" si="1"/>
        <v>1</v>
      </c>
      <c r="C195" s="350"/>
      <c r="D195" s="93"/>
      <c r="E195" s="1"/>
      <c r="F195" s="1"/>
      <c r="G195" s="1"/>
      <c r="H195" s="341">
        <f>COUNTIF(Entropy!$D:$D,$B195)+COUNTIF(Matches!$B:$B,$B195)+COUNTIF(Matches!$C:$C,$B195)</f>
        <v>0</v>
      </c>
      <c r="I195" s="342">
        <f>COUNTIF(Matches!$B:$B,B195)</f>
        <v>0</v>
      </c>
      <c r="J195" s="79">
        <f t="shared" si="2"/>
        <v>0</v>
      </c>
      <c r="K195" s="1" t="str">
        <f t="shared" si="3"/>
        <v>0 - 0</v>
      </c>
      <c r="L195" s="343">
        <f>COUNTIF(Entropy!$D:$D,$B195)</f>
        <v>0</v>
      </c>
      <c r="M195" s="344">
        <f t="shared" si="4"/>
        <v>0</v>
      </c>
      <c r="N195" s="344">
        <f t="shared" si="5"/>
        <v>0</v>
      </c>
      <c r="O195" s="341">
        <f>IF($J195=11,0,IF(AND($H195 &gt;=VLOOKUP(Standings!$C$2,Quotas!$A$7:$E$14,4,FALSE), $H195&lt;=VLOOKUP(Standings!$C$2,Quotas!$A$7:$E$14,5,FALSE)), 0,VLOOKUP(Standings!$C$2,Quotas!$A$7:$E$14,4,FALSE)-$H195))</f>
        <v>30</v>
      </c>
      <c r="P195" s="341">
        <f>IF($J195=11,0,IF(AND($H195 &gt;=VLOOKUP(Standings!$C$2,Quotas!$A$7:$E$14,5,FALSE), $H195&lt;=VLOOKUP(Standings!$C$2,Quotas!$A$7:$E$14,5,FALSE)), 0,VLOOKUP(Standings!$C$2,Quotas!$A$7:$E$14,5,FALSE)-$H195))</f>
        <v>30</v>
      </c>
      <c r="Q195" s="79">
        <f t="shared" si="6"/>
        <v>11</v>
      </c>
      <c r="R195" s="345" t="str">
        <f t="shared" si="7"/>
        <v/>
      </c>
      <c r="S195" s="344">
        <f t="shared" si="8"/>
        <v>0.33</v>
      </c>
      <c r="T195" s="345" t="str">
        <f>IFERROR(__xludf.DUMMYFUNCTION("JOIN("","",IFERROR(FILTER(Matches!$B:$B,B195=Matches!$C:$C),""""),IFERROR(FILTER(Matches!$C:$C,B195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95" s="344">
        <f>IFERROR(__xludf.DUMMYFUNCTION("iferror(AVERAGE(ARRAYFORMULA(VLOOKUP(SPLIT(T195,"","",TRUE,TRUE),$R$2:$S654,2,FALSE))),0)"),0.0)</f>
        <v>0</v>
      </c>
      <c r="V195" s="346">
        <f>IFERROR(__xludf.DUMMYFUNCTION("RANK($I195, $I$2:$I654, FALSE) + RANK($M195, Filter($M$2:$M654, $I$2:$I654=$I195),FALSE)+RANK($U195, Filter($U$2:$U654, $I$2:$I654=$I195,$M$2:$M654=$M195),FALSE)-2"),1.0)</f>
        <v>1</v>
      </c>
      <c r="W195" s="347" t="str">
        <f t="shared" si="9"/>
        <v>Underplay</v>
      </c>
      <c r="X195" s="348" t="str">
        <f t="shared" si="10"/>
        <v/>
      </c>
      <c r="Y195" s="349">
        <f>MAXIFS(Matches!$A:$A,Matches!$C:$C,$B195)</f>
        <v>0</v>
      </c>
      <c r="Z195" s="349">
        <f t="array" ref="Z195">XLOOKUP(Y195,Quotas!$B$7:$B$10,Quotas!$A$7:$A$10,0,-1)</f>
        <v>0</v>
      </c>
      <c r="AB195" s="79"/>
      <c r="AC195" s="79">
        <f>COUNTIFS(Matches!$A:$A,"&gt;"&amp;Y195,Matches!$B:$B,$B195)</f>
        <v>0</v>
      </c>
      <c r="AD195" s="79"/>
      <c r="AE195" s="31" t="str">
        <f t="array" ref="AE195">XLOOKUP(B195, 'College List'!A:A, 'College List'!B:B)</f>
        <v>#N/A</v>
      </c>
      <c r="AF195" s="79"/>
      <c r="AG195" s="79"/>
      <c r="AH195" s="79"/>
      <c r="AI195" s="79"/>
    </row>
    <row r="196">
      <c r="A196" s="9">
        <f t="shared" si="1"/>
        <v>1</v>
      </c>
      <c r="C196" s="350"/>
      <c r="D196" s="93"/>
      <c r="E196" s="1"/>
      <c r="F196" s="1"/>
      <c r="G196" s="1"/>
      <c r="H196" s="341">
        <f>COUNTIF(Entropy!$D:$D,$B196)+COUNTIF(Matches!$B:$B,$B196)+COUNTIF(Matches!$C:$C,$B196)</f>
        <v>0</v>
      </c>
      <c r="I196" s="342">
        <f>COUNTIF(Matches!$B:$B,B196)</f>
        <v>0</v>
      </c>
      <c r="J196" s="79">
        <f t="shared" si="2"/>
        <v>0</v>
      </c>
      <c r="K196" s="1" t="str">
        <f t="shared" si="3"/>
        <v>0 - 0</v>
      </c>
      <c r="L196" s="343">
        <f>COUNTIF(Entropy!$D:$D,$B196)</f>
        <v>0</v>
      </c>
      <c r="M196" s="344">
        <f t="shared" si="4"/>
        <v>0</v>
      </c>
      <c r="N196" s="344">
        <f t="shared" si="5"/>
        <v>0</v>
      </c>
      <c r="O196" s="341">
        <f>IF($J196=11,0,IF(AND($H196 &gt;=VLOOKUP(Standings!$C$2,Quotas!$A$7:$E$14,4,FALSE), $H196&lt;=VLOOKUP(Standings!$C$2,Quotas!$A$7:$E$14,5,FALSE)), 0,VLOOKUP(Standings!$C$2,Quotas!$A$7:$E$14,4,FALSE)-$H196))</f>
        <v>30</v>
      </c>
      <c r="P196" s="341">
        <f>IF($J196=11,0,IF(AND($H196 &gt;=VLOOKUP(Standings!$C$2,Quotas!$A$7:$E$14,5,FALSE), $H196&lt;=VLOOKUP(Standings!$C$2,Quotas!$A$7:$E$14,5,FALSE)), 0,VLOOKUP(Standings!$C$2,Quotas!$A$7:$E$14,5,FALSE)-$H196))</f>
        <v>30</v>
      </c>
      <c r="Q196" s="79">
        <f t="shared" si="6"/>
        <v>11</v>
      </c>
      <c r="R196" s="345" t="str">
        <f t="shared" si="7"/>
        <v/>
      </c>
      <c r="S196" s="344">
        <f t="shared" si="8"/>
        <v>0.33</v>
      </c>
      <c r="T196" s="345" t="str">
        <f>IFERROR(__xludf.DUMMYFUNCTION("JOIN("","",IFERROR(FILTER(Matches!$B:$B,B196=Matches!$C:$C),""""),IFERROR(FILTER(Matches!$C:$C,B196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96" s="344">
        <f>IFERROR(__xludf.DUMMYFUNCTION("iferror(AVERAGE(ARRAYFORMULA(VLOOKUP(SPLIT(T196,"","",TRUE,TRUE),$R$2:$S654,2,FALSE))),0)"),0.0)</f>
        <v>0</v>
      </c>
      <c r="V196" s="346">
        <f>IFERROR(__xludf.DUMMYFUNCTION("RANK($I196, $I$2:$I654, FALSE) + RANK($M196, Filter($M$2:$M654, $I$2:$I654=$I196),FALSE)+RANK($U196, Filter($U$2:$U654, $I$2:$I654=$I196,$M$2:$M654=$M196),FALSE)-2"),1.0)</f>
        <v>1</v>
      </c>
      <c r="W196" s="347" t="str">
        <f t="shared" si="9"/>
        <v>Underplay</v>
      </c>
      <c r="X196" s="348" t="str">
        <f t="shared" si="10"/>
        <v/>
      </c>
      <c r="Y196" s="349">
        <f>MAXIFS(Matches!$A:$A,Matches!$C:$C,$B196)</f>
        <v>0</v>
      </c>
      <c r="Z196" s="349">
        <f t="array" ref="Z196">XLOOKUP(Y196,Quotas!$B$7:$B$10,Quotas!$A$7:$A$10,0,-1)</f>
        <v>0</v>
      </c>
      <c r="AB196" s="79"/>
      <c r="AC196" s="79">
        <f>COUNTIFS(Matches!$A:$A,"&gt;"&amp;Y196,Matches!$B:$B,$B196)</f>
        <v>0</v>
      </c>
      <c r="AD196" s="79"/>
      <c r="AE196" s="31" t="str">
        <f t="array" ref="AE196">XLOOKUP(B196, 'College List'!A:A, 'College List'!B:B)</f>
        <v>#N/A</v>
      </c>
      <c r="AF196" s="357">
        <v>9.0</v>
      </c>
      <c r="AG196" s="79"/>
      <c r="AH196" s="79"/>
      <c r="AI196" s="79"/>
    </row>
    <row r="197">
      <c r="A197" s="9">
        <f t="shared" si="1"/>
        <v>1</v>
      </c>
      <c r="C197" s="350"/>
      <c r="D197" s="93"/>
      <c r="E197" s="1"/>
      <c r="F197" s="1"/>
      <c r="G197" s="1"/>
      <c r="H197" s="341">
        <f>COUNTIF(Entropy!$D:$D,$B197)+COUNTIF(Matches!$B:$B,$B197)+COUNTIF(Matches!$C:$C,$B197)</f>
        <v>0</v>
      </c>
      <c r="I197" s="342">
        <f>COUNTIF(Matches!$B:$B,B197)</f>
        <v>0</v>
      </c>
      <c r="J197" s="79">
        <f t="shared" si="2"/>
        <v>0</v>
      </c>
      <c r="K197" s="1" t="str">
        <f t="shared" si="3"/>
        <v>0 - 0</v>
      </c>
      <c r="L197" s="343">
        <f>COUNTIF(Entropy!$D:$D,$B197)</f>
        <v>0</v>
      </c>
      <c r="M197" s="344">
        <f t="shared" si="4"/>
        <v>0</v>
      </c>
      <c r="N197" s="344">
        <f t="shared" si="5"/>
        <v>0</v>
      </c>
      <c r="O197" s="341">
        <f>IF($J197=11,0,IF(AND($H197 &gt;=VLOOKUP(Standings!$C$2,Quotas!$A$7:$E$14,4,FALSE), $H197&lt;=VLOOKUP(Standings!$C$2,Quotas!$A$7:$E$14,5,FALSE)), 0,VLOOKUP(Standings!$C$2,Quotas!$A$7:$E$14,4,FALSE)-$H197))</f>
        <v>30</v>
      </c>
      <c r="P197" s="341">
        <f>IF($J197=11,0,IF(AND($H197 &gt;=VLOOKUP(Standings!$C$2,Quotas!$A$7:$E$14,5,FALSE), $H197&lt;=VLOOKUP(Standings!$C$2,Quotas!$A$7:$E$14,5,FALSE)), 0,VLOOKUP(Standings!$C$2,Quotas!$A$7:$E$14,5,FALSE)-$H197))</f>
        <v>30</v>
      </c>
      <c r="Q197" s="79">
        <f t="shared" si="6"/>
        <v>11</v>
      </c>
      <c r="R197" s="345" t="str">
        <f t="shared" si="7"/>
        <v/>
      </c>
      <c r="S197" s="344">
        <f t="shared" si="8"/>
        <v>0.33</v>
      </c>
      <c r="T197" s="345" t="str">
        <f>IFERROR(__xludf.DUMMYFUNCTION("JOIN("","",IFERROR(FILTER(Matches!$B:$B,B197=Matches!$C:$C),""""),IFERROR(FILTER(Matches!$C:$C,B197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97" s="344">
        <f>IFERROR(__xludf.DUMMYFUNCTION("iferror(AVERAGE(ARRAYFORMULA(VLOOKUP(SPLIT(T197,"","",TRUE,TRUE),$R$2:$S654,2,FALSE))),0)"),0.0)</f>
        <v>0</v>
      </c>
      <c r="V197" s="346">
        <f>IFERROR(__xludf.DUMMYFUNCTION("RANK($I197, $I$2:$I654, FALSE) + RANK($M197, Filter($M$2:$M654, $I$2:$I654=$I197),FALSE)+RANK($U197, Filter($U$2:$U654, $I$2:$I654=$I197,$M$2:$M654=$M197),FALSE)-2"),1.0)</f>
        <v>1</v>
      </c>
      <c r="W197" s="347" t="str">
        <f t="shared" si="9"/>
        <v>Underplay</v>
      </c>
      <c r="X197" s="348" t="str">
        <f t="shared" si="10"/>
        <v/>
      </c>
      <c r="Y197" s="349">
        <f>MAXIFS(Matches!$A:$A,Matches!$C:$C,$B197)</f>
        <v>0</v>
      </c>
      <c r="Z197" s="349">
        <f t="array" ref="Z197">XLOOKUP(Y197,Quotas!$B$7:$B$10,Quotas!$A$7:$A$10,0,-1)</f>
        <v>0</v>
      </c>
      <c r="AB197" s="79"/>
      <c r="AC197" s="79">
        <f>COUNTIFS(Matches!$A:$A,"&gt;"&amp;Y197,Matches!$B:$B,$B197)</f>
        <v>0</v>
      </c>
      <c r="AD197" s="79"/>
      <c r="AE197" s="31" t="str">
        <f t="array" ref="AE197">XLOOKUP(B197, 'College List'!A:A, 'College List'!B:B)</f>
        <v>#N/A</v>
      </c>
      <c r="AF197" s="357">
        <v>6.0</v>
      </c>
      <c r="AG197" s="79"/>
      <c r="AH197" s="79"/>
      <c r="AI197" s="79"/>
    </row>
    <row r="198">
      <c r="A198" s="9">
        <f t="shared" si="1"/>
        <v>1</v>
      </c>
      <c r="C198" s="350"/>
      <c r="D198" s="93"/>
      <c r="E198" s="1"/>
      <c r="F198" s="1"/>
      <c r="G198" s="1"/>
      <c r="H198" s="341">
        <f>COUNTIF(Entropy!$D:$D,$B198)+COUNTIF(Matches!$B:$B,$B198)+COUNTIF(Matches!$C:$C,$B198)</f>
        <v>0</v>
      </c>
      <c r="I198" s="342">
        <f>COUNTIF(Matches!$B:$B,B198)</f>
        <v>0</v>
      </c>
      <c r="J198" s="79">
        <f t="shared" si="2"/>
        <v>0</v>
      </c>
      <c r="K198" s="1" t="str">
        <f t="shared" si="3"/>
        <v>0 - 0</v>
      </c>
      <c r="L198" s="343">
        <f>COUNTIF(Entropy!$D:$D,$B198)</f>
        <v>0</v>
      </c>
      <c r="M198" s="344">
        <f t="shared" si="4"/>
        <v>0</v>
      </c>
      <c r="N198" s="344">
        <f t="shared" si="5"/>
        <v>0</v>
      </c>
      <c r="O198" s="341">
        <f>IF($J198=11,0,IF(AND($H198 &gt;=VLOOKUP(Standings!$C$2,Quotas!$A$7:$E$14,4,FALSE), $H198&lt;=VLOOKUP(Standings!$C$2,Quotas!$A$7:$E$14,5,FALSE)), 0,VLOOKUP(Standings!$C$2,Quotas!$A$7:$E$14,4,FALSE)-$H198))</f>
        <v>30</v>
      </c>
      <c r="P198" s="341">
        <f>IF($J198=11,0,IF(AND($H198 &gt;=VLOOKUP(Standings!$C$2,Quotas!$A$7:$E$14,5,FALSE), $H198&lt;=VLOOKUP(Standings!$C$2,Quotas!$A$7:$E$14,5,FALSE)), 0,VLOOKUP(Standings!$C$2,Quotas!$A$7:$E$14,5,FALSE)-$H198))</f>
        <v>30</v>
      </c>
      <c r="Q198" s="79">
        <f t="shared" si="6"/>
        <v>11</v>
      </c>
      <c r="R198" s="345" t="str">
        <f t="shared" si="7"/>
        <v/>
      </c>
      <c r="S198" s="344">
        <f t="shared" si="8"/>
        <v>0.33</v>
      </c>
      <c r="T198" s="345" t="str">
        <f>IFERROR(__xludf.DUMMYFUNCTION("JOIN("","",IFERROR(FILTER(Matches!$B:$B,B198=Matches!$C:$C),""""),IFERROR(FILTER(Matches!$C:$C,B198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98" s="344">
        <f>IFERROR(__xludf.DUMMYFUNCTION("iferror(AVERAGE(ARRAYFORMULA(VLOOKUP(SPLIT(T198,"","",TRUE,TRUE),$R$2:$S654,2,FALSE))),0)"),0.0)</f>
        <v>0</v>
      </c>
      <c r="V198" s="346">
        <f>IFERROR(__xludf.DUMMYFUNCTION("RANK($I198, $I$2:$I654, FALSE) + RANK($M198, Filter($M$2:$M654, $I$2:$I654=$I198),FALSE)+RANK($U198, Filter($U$2:$U654, $I$2:$I654=$I198,$M$2:$M654=$M198),FALSE)-2"),1.0)</f>
        <v>1</v>
      </c>
      <c r="W198" s="347" t="str">
        <f t="shared" si="9"/>
        <v>Underplay</v>
      </c>
      <c r="X198" s="348" t="str">
        <f t="shared" si="10"/>
        <v/>
      </c>
      <c r="Y198" s="349">
        <f>MAXIFS(Matches!$A:$A,Matches!$C:$C,$B198)</f>
        <v>0</v>
      </c>
      <c r="Z198" s="349">
        <f t="array" ref="Z198">XLOOKUP(Y198,Quotas!$B$7:$B$10,Quotas!$A$7:$A$10,0,-1)</f>
        <v>0</v>
      </c>
      <c r="AB198" s="79"/>
      <c r="AC198" s="79">
        <f>COUNTIFS(Matches!$A:$A,"&gt;"&amp;Y198,Matches!$B:$B,$B198)</f>
        <v>0</v>
      </c>
      <c r="AD198" s="79"/>
      <c r="AE198" s="31" t="str">
        <f t="array" ref="AE198">XLOOKUP(B198, 'College List'!A:A, 'College List'!B:B)</f>
        <v>#N/A</v>
      </c>
      <c r="AF198" s="357">
        <v>9.0</v>
      </c>
      <c r="AG198" s="79"/>
      <c r="AH198" s="79"/>
      <c r="AI198" s="79"/>
    </row>
    <row r="199">
      <c r="A199" s="9">
        <f t="shared" si="1"/>
        <v>1</v>
      </c>
      <c r="C199" s="350"/>
      <c r="D199" s="93"/>
      <c r="E199" s="1"/>
      <c r="F199" s="1"/>
      <c r="G199" s="1"/>
      <c r="H199" s="341">
        <f>COUNTIF(Entropy!$D:$D,$B199)+COUNTIF(Matches!$B:$B,$B199)+COUNTIF(Matches!$C:$C,$B199)</f>
        <v>0</v>
      </c>
      <c r="I199" s="342">
        <f>COUNTIF(Matches!$B:$B,B199)</f>
        <v>0</v>
      </c>
      <c r="J199" s="79">
        <f t="shared" si="2"/>
        <v>0</v>
      </c>
      <c r="K199" s="1" t="str">
        <f t="shared" si="3"/>
        <v>0 - 0</v>
      </c>
      <c r="L199" s="343">
        <f>COUNTIF(Entropy!$D:$D,$B199)</f>
        <v>0</v>
      </c>
      <c r="M199" s="344">
        <f t="shared" si="4"/>
        <v>0</v>
      </c>
      <c r="N199" s="344">
        <f t="shared" si="5"/>
        <v>0</v>
      </c>
      <c r="O199" s="341">
        <f>IF($J199=11,0,IF(AND($H199 &gt;=VLOOKUP(Standings!$C$2,Quotas!$A$7:$E$14,4,FALSE), $H199&lt;=VLOOKUP(Standings!$C$2,Quotas!$A$7:$E$14,5,FALSE)), 0,VLOOKUP(Standings!$C$2,Quotas!$A$7:$E$14,4,FALSE)-$H199))</f>
        <v>30</v>
      </c>
      <c r="P199" s="341">
        <f>IF($J199=11,0,IF(AND($H199 &gt;=VLOOKUP(Standings!$C$2,Quotas!$A$7:$E$14,5,FALSE), $H199&lt;=VLOOKUP(Standings!$C$2,Quotas!$A$7:$E$14,5,FALSE)), 0,VLOOKUP(Standings!$C$2,Quotas!$A$7:$E$14,5,FALSE)-$H199))</f>
        <v>30</v>
      </c>
      <c r="Q199" s="79">
        <f t="shared" si="6"/>
        <v>11</v>
      </c>
      <c r="R199" s="345" t="str">
        <f t="shared" si="7"/>
        <v/>
      </c>
      <c r="S199" s="344">
        <f t="shared" si="8"/>
        <v>0.33</v>
      </c>
      <c r="T199" s="345" t="str">
        <f>IFERROR(__xludf.DUMMYFUNCTION("JOIN("","",IFERROR(FILTER(Matches!$B:$B,B199=Matches!$C:$C),""""),IFERROR(FILTER(Matches!$C:$C,B199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199" s="344">
        <f>IFERROR(__xludf.DUMMYFUNCTION("iferror(AVERAGE(ARRAYFORMULA(VLOOKUP(SPLIT(T199,"","",TRUE,TRUE),$R$2:$S654,2,FALSE))),0)"),0.0)</f>
        <v>0</v>
      </c>
      <c r="V199" s="346">
        <f>IFERROR(__xludf.DUMMYFUNCTION("RANK($I199, $I$2:$I654, FALSE) + RANK($M199, Filter($M$2:$M654, $I$2:$I654=$I199),FALSE)+RANK($U199, Filter($U$2:$U654, $I$2:$I654=$I199,$M$2:$M654=$M199),FALSE)-2"),1.0)</f>
        <v>1</v>
      </c>
      <c r="W199" s="347" t="str">
        <f t="shared" si="9"/>
        <v>Underplay</v>
      </c>
      <c r="X199" s="348" t="str">
        <f t="shared" si="10"/>
        <v/>
      </c>
      <c r="Y199" s="349">
        <f>MAXIFS(Matches!$A:$A,Matches!$C:$C,$B199)</f>
        <v>0</v>
      </c>
      <c r="Z199" s="349">
        <f t="array" ref="Z199">XLOOKUP(Y199,Quotas!$B$7:$B$10,Quotas!$A$7:$A$10,0,-1)</f>
        <v>0</v>
      </c>
      <c r="AB199" s="79"/>
      <c r="AC199" s="79">
        <f>COUNTIFS(Matches!$A:$A,"&gt;"&amp;Y199,Matches!$B:$B,$B199)</f>
        <v>0</v>
      </c>
      <c r="AD199" s="79"/>
      <c r="AE199" s="31" t="str">
        <f t="array" ref="AE199">XLOOKUP(B199, 'College List'!A:A, 'College List'!B:B)</f>
        <v>#N/A</v>
      </c>
      <c r="AF199" s="357">
        <v>9.0</v>
      </c>
      <c r="AG199" s="79"/>
      <c r="AH199" s="79"/>
      <c r="AI199" s="79"/>
    </row>
    <row r="200">
      <c r="A200" s="9">
        <f t="shared" si="1"/>
        <v>1</v>
      </c>
      <c r="C200" s="350"/>
      <c r="D200" s="93"/>
      <c r="E200" s="1"/>
      <c r="F200" s="1"/>
      <c r="G200" s="1"/>
      <c r="H200" s="341">
        <f>COUNTIF(Entropy!$D:$D,$B200)+COUNTIF(Matches!$B:$B,$B200)+COUNTIF(Matches!$C:$C,$B200)</f>
        <v>0</v>
      </c>
      <c r="I200" s="342">
        <f>COUNTIF(Matches!$B:$B,B200)</f>
        <v>0</v>
      </c>
      <c r="J200" s="79">
        <f t="shared" si="2"/>
        <v>0</v>
      </c>
      <c r="K200" s="1" t="str">
        <f t="shared" si="3"/>
        <v>0 - 0</v>
      </c>
      <c r="L200" s="343">
        <f>COUNTIF(Entropy!$D:$D,$B200)</f>
        <v>0</v>
      </c>
      <c r="M200" s="344">
        <f t="shared" si="4"/>
        <v>0</v>
      </c>
      <c r="N200" s="344">
        <f t="shared" si="5"/>
        <v>0</v>
      </c>
      <c r="O200" s="341">
        <f>IF($J200=11,0,IF(AND($H200 &gt;=VLOOKUP(Standings!$C$2,Quotas!$A$7:$E$14,4,FALSE), $H200&lt;=VLOOKUP(Standings!$C$2,Quotas!$A$7:$E$14,5,FALSE)), 0,VLOOKUP(Standings!$C$2,Quotas!$A$7:$E$14,4,FALSE)-$H200))</f>
        <v>30</v>
      </c>
      <c r="P200" s="341">
        <f>IF($J200=11,0,IF(AND($H200 &gt;=VLOOKUP(Standings!$C$2,Quotas!$A$7:$E$14,5,FALSE), $H200&lt;=VLOOKUP(Standings!$C$2,Quotas!$A$7:$E$14,5,FALSE)), 0,VLOOKUP(Standings!$C$2,Quotas!$A$7:$E$14,5,FALSE)-$H200))</f>
        <v>30</v>
      </c>
      <c r="Q200" s="79">
        <f t="shared" si="6"/>
        <v>11</v>
      </c>
      <c r="R200" s="345" t="str">
        <f t="shared" si="7"/>
        <v/>
      </c>
      <c r="S200" s="344">
        <f t="shared" si="8"/>
        <v>0.33</v>
      </c>
      <c r="T200" s="345" t="str">
        <f>IFERROR(__xludf.DUMMYFUNCTION("JOIN("","",IFERROR(FILTER(Matches!$B:$B,B200=Matches!$C:$C),""""),IFERROR(FILTER(Matches!$C:$C,B200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00" s="344">
        <f>IFERROR(__xludf.DUMMYFUNCTION("iferror(AVERAGE(ARRAYFORMULA(VLOOKUP(SPLIT(T200,"","",TRUE,TRUE),$R$2:$S654,2,FALSE))),0)"),0.0)</f>
        <v>0</v>
      </c>
      <c r="V200" s="346">
        <f>IFERROR(__xludf.DUMMYFUNCTION("RANK($I200, $I$2:$I654, FALSE) + RANK($M200, Filter($M$2:$M654, $I$2:$I654=$I200),FALSE)+RANK($U200, Filter($U$2:$U654, $I$2:$I654=$I200,$M$2:$M654=$M200),FALSE)-2"),1.0)</f>
        <v>1</v>
      </c>
      <c r="W200" s="347" t="str">
        <f t="shared" si="9"/>
        <v>Underplay</v>
      </c>
      <c r="X200" s="348" t="str">
        <f t="shared" si="10"/>
        <v/>
      </c>
      <c r="Y200" s="349">
        <f>MAXIFS(Matches!$A:$A,Matches!$C:$C,$B200)</f>
        <v>0</v>
      </c>
      <c r="Z200" s="349">
        <f t="array" ref="Z200">XLOOKUP(Y200,Quotas!$B$7:$B$10,Quotas!$A$7:$A$10,0,-1)</f>
        <v>0</v>
      </c>
      <c r="AB200" s="79"/>
      <c r="AC200" s="79">
        <f>COUNTIFS(Matches!$A:$A,"&gt;"&amp;Y200,Matches!$B:$B,$B200)</f>
        <v>0</v>
      </c>
      <c r="AD200" s="79"/>
      <c r="AE200" s="31" t="str">
        <f t="array" ref="AE200">XLOOKUP(B200, 'College List'!A:A, 'College List'!B:B)</f>
        <v>#N/A</v>
      </c>
      <c r="AF200" s="357">
        <v>9.0</v>
      </c>
      <c r="AG200" s="79"/>
      <c r="AH200" s="79"/>
      <c r="AI200" s="79"/>
    </row>
    <row r="201">
      <c r="A201" s="9">
        <f t="shared" si="1"/>
        <v>1</v>
      </c>
      <c r="C201" s="350"/>
      <c r="D201" s="93"/>
      <c r="E201" s="1"/>
      <c r="F201" s="1"/>
      <c r="G201" s="1"/>
      <c r="H201" s="341">
        <f>COUNTIF(Entropy!$D:$D,$B201)+COUNTIF(Matches!$B:$B,$B201)+COUNTIF(Matches!$C:$C,$B201)</f>
        <v>0</v>
      </c>
      <c r="I201" s="342">
        <f>COUNTIF(Matches!$B:$B,B201)</f>
        <v>0</v>
      </c>
      <c r="J201" s="79">
        <f t="shared" si="2"/>
        <v>0</v>
      </c>
      <c r="K201" s="1" t="str">
        <f t="shared" si="3"/>
        <v>0 - 0</v>
      </c>
      <c r="L201" s="343">
        <f>COUNTIF(Entropy!$D:$D,$B201)</f>
        <v>0</v>
      </c>
      <c r="M201" s="344">
        <f t="shared" si="4"/>
        <v>0</v>
      </c>
      <c r="N201" s="344">
        <f t="shared" si="5"/>
        <v>0</v>
      </c>
      <c r="O201" s="341">
        <f>IF($J201=11,0,IF(AND($H201 &gt;=VLOOKUP(Standings!$C$2,Quotas!$A$7:$E$14,4,FALSE), $H201&lt;=VLOOKUP(Standings!$C$2,Quotas!$A$7:$E$14,5,FALSE)), 0,VLOOKUP(Standings!$C$2,Quotas!$A$7:$E$14,4,FALSE)-$H201))</f>
        <v>30</v>
      </c>
      <c r="P201" s="341">
        <f>IF($J201=11,0,IF(AND($H201 &gt;=VLOOKUP(Standings!$C$2,Quotas!$A$7:$E$14,5,FALSE), $H201&lt;=VLOOKUP(Standings!$C$2,Quotas!$A$7:$E$14,5,FALSE)), 0,VLOOKUP(Standings!$C$2,Quotas!$A$7:$E$14,5,FALSE)-$H201))</f>
        <v>30</v>
      </c>
      <c r="Q201" s="79">
        <f t="shared" si="6"/>
        <v>11</v>
      </c>
      <c r="R201" s="345" t="str">
        <f t="shared" si="7"/>
        <v/>
      </c>
      <c r="S201" s="344">
        <f t="shared" si="8"/>
        <v>0.33</v>
      </c>
      <c r="T201" s="345" t="str">
        <f>IFERROR(__xludf.DUMMYFUNCTION("JOIN("","",IFERROR(FILTER(Matches!$B:$B,B201=Matches!$C:$C),""""),IFERROR(FILTER(Matches!$C:$C,B201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01" s="344">
        <f>IFERROR(__xludf.DUMMYFUNCTION("iferror(AVERAGE(ARRAYFORMULA(VLOOKUP(SPLIT(T201,"","",TRUE,TRUE),$R$2:$S654,2,FALSE))),0)"),0.0)</f>
        <v>0</v>
      </c>
      <c r="V201" s="346">
        <f>IFERROR(__xludf.DUMMYFUNCTION("RANK($I201, $I$2:$I654, FALSE) + RANK($M201, Filter($M$2:$M654, $I$2:$I654=$I201),FALSE)+RANK($U201, Filter($U$2:$U654, $I$2:$I654=$I201,$M$2:$M654=$M201),FALSE)-2"),1.0)</f>
        <v>1</v>
      </c>
      <c r="W201" s="347" t="str">
        <f t="shared" si="9"/>
        <v>Underplay</v>
      </c>
      <c r="X201" s="348" t="str">
        <f t="shared" si="10"/>
        <v/>
      </c>
      <c r="Y201" s="349">
        <f>MAXIFS(Matches!$A:$A,Matches!$C:$C,$B201)</f>
        <v>0</v>
      </c>
      <c r="Z201" s="349">
        <f t="array" ref="Z201">XLOOKUP(Y201,Quotas!$B$7:$B$10,Quotas!$A$7:$A$10,0,-1)</f>
        <v>0</v>
      </c>
      <c r="AB201" s="79"/>
      <c r="AC201" s="79">
        <f>COUNTIFS(Matches!$A:$A,"&gt;"&amp;Y201,Matches!$B:$B,$B201)</f>
        <v>0</v>
      </c>
      <c r="AD201" s="79"/>
      <c r="AE201" s="31" t="str">
        <f t="array" ref="AE201">XLOOKUP(B201, 'College List'!A:A, 'College List'!B:B)</f>
        <v>#N/A</v>
      </c>
      <c r="AF201" s="357">
        <v>9.0</v>
      </c>
      <c r="AG201" s="79"/>
      <c r="AH201" s="79"/>
      <c r="AI201" s="79"/>
    </row>
    <row r="202">
      <c r="A202" s="9">
        <f t="shared" si="1"/>
        <v>1</v>
      </c>
      <c r="C202" s="350"/>
      <c r="D202" s="93"/>
      <c r="E202" s="1"/>
      <c r="F202" s="1"/>
      <c r="G202" s="1"/>
      <c r="H202" s="341">
        <f>COUNTIF(Entropy!$D:$D,$B202)+COUNTIF(Matches!$B:$B,$B202)+COUNTIF(Matches!$C:$C,$B202)</f>
        <v>0</v>
      </c>
      <c r="I202" s="342">
        <f>COUNTIF(Matches!$B:$B,B202)</f>
        <v>0</v>
      </c>
      <c r="J202" s="79">
        <f t="shared" si="2"/>
        <v>0</v>
      </c>
      <c r="K202" s="1" t="str">
        <f t="shared" si="3"/>
        <v>0 - 0</v>
      </c>
      <c r="L202" s="343">
        <f>COUNTIF(Entropy!$D:$D,$B202)</f>
        <v>0</v>
      </c>
      <c r="M202" s="344">
        <f t="shared" si="4"/>
        <v>0</v>
      </c>
      <c r="N202" s="344">
        <f t="shared" si="5"/>
        <v>0</v>
      </c>
      <c r="O202" s="341">
        <f>IF($J202=11,0,IF(AND($H202 &gt;=VLOOKUP(Standings!$C$2,Quotas!$A$7:$E$14,4,FALSE), $H202&lt;=VLOOKUP(Standings!$C$2,Quotas!$A$7:$E$14,5,FALSE)), 0,VLOOKUP(Standings!$C$2,Quotas!$A$7:$E$14,4,FALSE)-$H202))</f>
        <v>30</v>
      </c>
      <c r="P202" s="341">
        <f>IF($J202=11,0,IF(AND($H202 &gt;=VLOOKUP(Standings!$C$2,Quotas!$A$7:$E$14,5,FALSE), $H202&lt;=VLOOKUP(Standings!$C$2,Quotas!$A$7:$E$14,5,FALSE)), 0,VLOOKUP(Standings!$C$2,Quotas!$A$7:$E$14,5,FALSE)-$H202))</f>
        <v>30</v>
      </c>
      <c r="Q202" s="79">
        <f t="shared" si="6"/>
        <v>11</v>
      </c>
      <c r="R202" s="345" t="str">
        <f t="shared" si="7"/>
        <v/>
      </c>
      <c r="S202" s="344">
        <f t="shared" si="8"/>
        <v>0.33</v>
      </c>
      <c r="T202" s="345" t="str">
        <f>IFERROR(__xludf.DUMMYFUNCTION("JOIN("","",IFERROR(FILTER(Matches!$B:$B,B202=Matches!$C:$C),""""),IFERROR(FILTER(Matches!$C:$C,B202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02" s="344">
        <f>IFERROR(__xludf.DUMMYFUNCTION("iferror(AVERAGE(ARRAYFORMULA(VLOOKUP(SPLIT(T202,"","",TRUE,TRUE),$R$2:$S654,2,FALSE))),0)"),0.0)</f>
        <v>0</v>
      </c>
      <c r="V202" s="346">
        <f>IFERROR(__xludf.DUMMYFUNCTION("RANK($I202, $I$2:$I654, FALSE) + RANK($M202, Filter($M$2:$M654, $I$2:$I654=$I202),FALSE)+RANK($U202, Filter($U$2:$U654, $I$2:$I654=$I202,$M$2:$M654=$M202),FALSE)-2"),1.0)</f>
        <v>1</v>
      </c>
      <c r="W202" s="347" t="str">
        <f t="shared" si="9"/>
        <v>Underplay</v>
      </c>
      <c r="X202" s="348" t="str">
        <f t="shared" si="10"/>
        <v/>
      </c>
      <c r="Y202" s="349">
        <f>MAXIFS(Matches!$A:$A,Matches!$C:$C,$B202)</f>
        <v>0</v>
      </c>
      <c r="Z202" s="349">
        <f t="array" ref="Z202">XLOOKUP(Y202,Quotas!$B$7:$B$10,Quotas!$A$7:$A$10,0,-1)</f>
        <v>0</v>
      </c>
      <c r="AB202" s="79"/>
      <c r="AC202" s="79">
        <f>COUNTIFS(Matches!$A:$A,"&gt;"&amp;Y202,Matches!$B:$B,$B202)</f>
        <v>0</v>
      </c>
      <c r="AD202" s="79"/>
      <c r="AE202" s="31" t="str">
        <f t="array" ref="AE202">XLOOKUP(B202, 'College List'!A:A, 'College List'!B:B)</f>
        <v>#N/A</v>
      </c>
      <c r="AF202" s="357">
        <v>9.0</v>
      </c>
      <c r="AG202" s="79"/>
      <c r="AH202" s="79"/>
      <c r="AI202" s="79"/>
    </row>
    <row r="203">
      <c r="A203" s="9">
        <f t="shared" si="1"/>
        <v>1</v>
      </c>
      <c r="C203" s="350"/>
      <c r="D203" s="93"/>
      <c r="E203" s="1"/>
      <c r="F203" s="1"/>
      <c r="G203" s="1"/>
      <c r="H203" s="341">
        <f>COUNTIF(Entropy!$D:$D,$B203)+COUNTIF(Matches!$B:$B,$B203)+COUNTIF(Matches!$C:$C,$B203)</f>
        <v>0</v>
      </c>
      <c r="I203" s="342">
        <f>COUNTIF(Matches!$B:$B,B203)</f>
        <v>0</v>
      </c>
      <c r="J203" s="79">
        <f t="shared" si="2"/>
        <v>0</v>
      </c>
      <c r="K203" s="1" t="str">
        <f t="shared" si="3"/>
        <v>0 - 0</v>
      </c>
      <c r="L203" s="343">
        <f>COUNTIF(Entropy!$D:$D,$B203)</f>
        <v>0</v>
      </c>
      <c r="M203" s="344">
        <f t="shared" si="4"/>
        <v>0</v>
      </c>
      <c r="N203" s="344">
        <f t="shared" si="5"/>
        <v>0</v>
      </c>
      <c r="O203" s="341">
        <f>IF($J203=11,0,IF(AND($H203 &gt;=VLOOKUP(Standings!$C$2,Quotas!$A$7:$E$14,4,FALSE), $H203&lt;=VLOOKUP(Standings!$C$2,Quotas!$A$7:$E$14,5,FALSE)), 0,VLOOKUP(Standings!$C$2,Quotas!$A$7:$E$14,4,FALSE)-$H203))</f>
        <v>30</v>
      </c>
      <c r="P203" s="341">
        <f>IF($J203=11,0,IF(AND($H203 &gt;=VLOOKUP(Standings!$C$2,Quotas!$A$7:$E$14,5,FALSE), $H203&lt;=VLOOKUP(Standings!$C$2,Quotas!$A$7:$E$14,5,FALSE)), 0,VLOOKUP(Standings!$C$2,Quotas!$A$7:$E$14,5,FALSE)-$H203))</f>
        <v>30</v>
      </c>
      <c r="Q203" s="79">
        <f t="shared" si="6"/>
        <v>11</v>
      </c>
      <c r="R203" s="345" t="str">
        <f t="shared" si="7"/>
        <v/>
      </c>
      <c r="S203" s="344">
        <f t="shared" si="8"/>
        <v>0.33</v>
      </c>
      <c r="T203" s="345" t="str">
        <f>IFERROR(__xludf.DUMMYFUNCTION("JOIN("","",IFERROR(FILTER(Matches!$B:$B,B203=Matches!$C:$C),""""),IFERROR(FILTER(Matches!$C:$C,B203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03" s="344">
        <f>IFERROR(__xludf.DUMMYFUNCTION("iferror(AVERAGE(ARRAYFORMULA(VLOOKUP(SPLIT(T203,"","",TRUE,TRUE),$R$2:$S654,2,FALSE))),0)"),0.0)</f>
        <v>0</v>
      </c>
      <c r="V203" s="346">
        <f>IFERROR(__xludf.DUMMYFUNCTION("RANK($I203, $I$2:$I654, FALSE) + RANK($M203, Filter($M$2:$M654, $I$2:$I654=$I203),FALSE)+RANK($U203, Filter($U$2:$U654, $I$2:$I654=$I203,$M$2:$M654=$M203),FALSE)-2"),1.0)</f>
        <v>1</v>
      </c>
      <c r="W203" s="347" t="str">
        <f t="shared" si="9"/>
        <v>Underplay</v>
      </c>
      <c r="X203" s="348" t="str">
        <f t="shared" si="10"/>
        <v/>
      </c>
      <c r="Y203" s="349">
        <f>MAXIFS(Matches!$A:$A,Matches!$C:$C,$B203)</f>
        <v>0</v>
      </c>
      <c r="Z203" s="349">
        <f t="array" ref="Z203">XLOOKUP(Y203,Quotas!$B$7:$B$10,Quotas!$A$7:$A$10,0,-1)</f>
        <v>0</v>
      </c>
      <c r="AB203" s="79"/>
      <c r="AC203" s="79">
        <f>COUNTIFS(Matches!$A:$A,"&gt;"&amp;Y203,Matches!$B:$B,$B203)</f>
        <v>0</v>
      </c>
      <c r="AD203" s="79"/>
      <c r="AE203" s="31" t="str">
        <f t="array" ref="AE203">XLOOKUP(B203, 'College List'!A:A, 'College List'!B:B)</f>
        <v>#N/A</v>
      </c>
      <c r="AF203" s="79"/>
      <c r="AG203" s="79"/>
      <c r="AH203" s="79"/>
      <c r="AI203" s="79"/>
    </row>
    <row r="204">
      <c r="A204" s="9">
        <f t="shared" si="1"/>
        <v>1</v>
      </c>
      <c r="C204" s="350"/>
      <c r="D204" s="93"/>
      <c r="E204" s="1"/>
      <c r="F204" s="1"/>
      <c r="G204" s="1"/>
      <c r="H204" s="341">
        <f>COUNTIF(Entropy!$D:$D,$B204)+COUNTIF(Matches!$B:$B,$B204)+COUNTIF(Matches!$C:$C,$B204)</f>
        <v>0</v>
      </c>
      <c r="I204" s="342">
        <f>COUNTIF(Matches!$B:$B,B204)</f>
        <v>0</v>
      </c>
      <c r="J204" s="79">
        <f t="shared" si="2"/>
        <v>0</v>
      </c>
      <c r="K204" s="1" t="str">
        <f t="shared" si="3"/>
        <v>0 - 0</v>
      </c>
      <c r="L204" s="343">
        <f>COUNTIF(Entropy!$D:$D,$B204)</f>
        <v>0</v>
      </c>
      <c r="M204" s="344">
        <f t="shared" si="4"/>
        <v>0</v>
      </c>
      <c r="N204" s="344">
        <f t="shared" si="5"/>
        <v>0</v>
      </c>
      <c r="O204" s="341">
        <f>IF($J204=11,0,IF(AND($H204 &gt;=VLOOKUP(Standings!$C$2,Quotas!$A$7:$E$14,4,FALSE), $H204&lt;=VLOOKUP(Standings!$C$2,Quotas!$A$7:$E$14,5,FALSE)), 0,VLOOKUP(Standings!$C$2,Quotas!$A$7:$E$14,4,FALSE)-$H204))</f>
        <v>30</v>
      </c>
      <c r="P204" s="341">
        <f>IF($J204=11,0,IF(AND($H204 &gt;=VLOOKUP(Standings!$C$2,Quotas!$A$7:$E$14,5,FALSE), $H204&lt;=VLOOKUP(Standings!$C$2,Quotas!$A$7:$E$14,5,FALSE)), 0,VLOOKUP(Standings!$C$2,Quotas!$A$7:$E$14,5,FALSE)-$H204))</f>
        <v>30</v>
      </c>
      <c r="Q204" s="79">
        <f t="shared" si="6"/>
        <v>11</v>
      </c>
      <c r="R204" s="345" t="str">
        <f t="shared" si="7"/>
        <v/>
      </c>
      <c r="S204" s="344">
        <f t="shared" si="8"/>
        <v>0.33</v>
      </c>
      <c r="T204" s="345" t="str">
        <f>IFERROR(__xludf.DUMMYFUNCTION("JOIN("","",IFERROR(FILTER(Matches!$B:$B,B204=Matches!$C:$C),""""),IFERROR(FILTER(Matches!$C:$C,B204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04" s="344">
        <f>IFERROR(__xludf.DUMMYFUNCTION("iferror(AVERAGE(ARRAYFORMULA(VLOOKUP(SPLIT(T204,"","",TRUE,TRUE),$R$2:$S654,2,FALSE))),0)"),0.0)</f>
        <v>0</v>
      </c>
      <c r="V204" s="346">
        <f>IFERROR(__xludf.DUMMYFUNCTION("RANK($I204, $I$2:$I654, FALSE) + RANK($M204, Filter($M$2:$M654, $I$2:$I654=$I204),FALSE)+RANK($U204, Filter($U$2:$U654, $I$2:$I654=$I204,$M$2:$M654=$M204),FALSE)-2"),1.0)</f>
        <v>1</v>
      </c>
      <c r="W204" s="347" t="str">
        <f t="shared" si="9"/>
        <v>Underplay</v>
      </c>
      <c r="X204" s="348" t="str">
        <f t="shared" si="10"/>
        <v/>
      </c>
      <c r="Y204" s="349">
        <f>MAXIFS(Matches!$A:$A,Matches!$C:$C,$B204)</f>
        <v>0</v>
      </c>
      <c r="Z204" s="349">
        <f t="array" ref="Z204">XLOOKUP(Y204,Quotas!$B$7:$B$10,Quotas!$A$7:$A$10,0,-1)</f>
        <v>0</v>
      </c>
      <c r="AB204" s="79"/>
      <c r="AC204" s="79">
        <f>COUNTIFS(Matches!$A:$A,"&gt;"&amp;Y204,Matches!$B:$B,$B204)</f>
        <v>0</v>
      </c>
      <c r="AD204" s="79"/>
      <c r="AE204" s="31" t="str">
        <f t="array" ref="AE204">XLOOKUP(B204, 'College List'!A:A, 'College List'!B:B)</f>
        <v>#N/A</v>
      </c>
      <c r="AF204" s="357">
        <v>9.0</v>
      </c>
      <c r="AG204" s="79"/>
      <c r="AH204" s="79"/>
      <c r="AI204" s="79"/>
    </row>
    <row r="205">
      <c r="A205" s="9">
        <f t="shared" si="1"/>
        <v>1</v>
      </c>
      <c r="C205" s="350"/>
      <c r="D205" s="93"/>
      <c r="E205" s="1"/>
      <c r="F205" s="1"/>
      <c r="G205" s="1"/>
      <c r="H205" s="341">
        <f>COUNTIF(Entropy!$D:$D,$B205)+COUNTIF(Matches!$B:$B,$B205)+COUNTIF(Matches!$C:$C,$B205)</f>
        <v>0</v>
      </c>
      <c r="I205" s="342">
        <f>COUNTIF(Matches!$B:$B,B205)</f>
        <v>0</v>
      </c>
      <c r="J205" s="79">
        <f t="shared" si="2"/>
        <v>0</v>
      </c>
      <c r="K205" s="1" t="str">
        <f t="shared" si="3"/>
        <v>0 - 0</v>
      </c>
      <c r="L205" s="343">
        <f>COUNTIF(Entropy!$D:$D,$B205)</f>
        <v>0</v>
      </c>
      <c r="M205" s="344">
        <f t="shared" si="4"/>
        <v>0</v>
      </c>
      <c r="N205" s="344">
        <f t="shared" si="5"/>
        <v>0</v>
      </c>
      <c r="O205" s="341">
        <f>IF($J205=11,0,IF(AND($H205 &gt;=VLOOKUP(Standings!$C$2,Quotas!$A$7:$E$14,4,FALSE), $H205&lt;=VLOOKUP(Standings!$C$2,Quotas!$A$7:$E$14,5,FALSE)), 0,VLOOKUP(Standings!$C$2,Quotas!$A$7:$E$14,4,FALSE)-$H205))</f>
        <v>30</v>
      </c>
      <c r="P205" s="341">
        <f>IF($J205=11,0,IF(AND($H205 &gt;=VLOOKUP(Standings!$C$2,Quotas!$A$7:$E$14,5,FALSE), $H205&lt;=VLOOKUP(Standings!$C$2,Quotas!$A$7:$E$14,5,FALSE)), 0,VLOOKUP(Standings!$C$2,Quotas!$A$7:$E$14,5,FALSE)-$H205))</f>
        <v>30</v>
      </c>
      <c r="Q205" s="79">
        <f t="shared" si="6"/>
        <v>11</v>
      </c>
      <c r="R205" s="345" t="str">
        <f t="shared" si="7"/>
        <v/>
      </c>
      <c r="S205" s="344">
        <f t="shared" si="8"/>
        <v>0.33</v>
      </c>
      <c r="T205" s="345" t="str">
        <f>IFERROR(__xludf.DUMMYFUNCTION("JOIN("","",IFERROR(FILTER(Matches!$B:$B,B205=Matches!$C:$C),""""),IFERROR(FILTER(Matches!$C:$C,B205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05" s="344">
        <f>IFERROR(__xludf.DUMMYFUNCTION("iferror(AVERAGE(ARRAYFORMULA(VLOOKUP(SPLIT(T205,"","",TRUE,TRUE),$R$2:$S654,2,FALSE))),0)"),0.0)</f>
        <v>0</v>
      </c>
      <c r="V205" s="346">
        <f>IFERROR(__xludf.DUMMYFUNCTION("RANK($I205, $I$2:$I654, FALSE) + RANK($M205, Filter($M$2:$M654, $I$2:$I654=$I205),FALSE)+RANK($U205, Filter($U$2:$U654, $I$2:$I654=$I205,$M$2:$M654=$M205),FALSE)-2"),1.0)</f>
        <v>1</v>
      </c>
      <c r="W205" s="347" t="str">
        <f t="shared" si="9"/>
        <v>Underplay</v>
      </c>
      <c r="X205" s="348" t="str">
        <f t="shared" si="10"/>
        <v/>
      </c>
      <c r="Y205" s="349">
        <f>MAXIFS(Matches!$A:$A,Matches!$C:$C,$B205)</f>
        <v>0</v>
      </c>
      <c r="Z205" s="349">
        <f t="array" ref="Z205">XLOOKUP(Y205,Quotas!$B$7:$B$10,Quotas!$A$7:$A$10,0,-1)</f>
        <v>0</v>
      </c>
      <c r="AB205" s="79"/>
      <c r="AC205" s="79">
        <f>COUNTIFS(Matches!$A:$A,"&gt;"&amp;Y205,Matches!$B:$B,$B205)</f>
        <v>0</v>
      </c>
      <c r="AD205" s="79"/>
      <c r="AE205" s="31" t="str">
        <f t="array" ref="AE205">XLOOKUP(B205, 'College List'!A:A, 'College List'!B:B)</f>
        <v>#N/A</v>
      </c>
      <c r="AF205" s="357">
        <v>10.0</v>
      </c>
      <c r="AG205" s="79"/>
      <c r="AH205" s="79"/>
      <c r="AI205" s="79"/>
    </row>
    <row r="206">
      <c r="A206" s="9">
        <f t="shared" si="1"/>
        <v>1</v>
      </c>
      <c r="C206" s="350"/>
      <c r="D206" s="93"/>
      <c r="E206" s="1"/>
      <c r="F206" s="1"/>
      <c r="G206" s="1"/>
      <c r="H206" s="341">
        <f>COUNTIF(Entropy!$D:$D,$B206)+COUNTIF(Matches!$B:$B,$B206)+COUNTIF(Matches!$C:$C,$B206)</f>
        <v>0</v>
      </c>
      <c r="I206" s="342">
        <f>COUNTIF(Matches!$B:$B,B206)</f>
        <v>0</v>
      </c>
      <c r="J206" s="79">
        <f t="shared" si="2"/>
        <v>0</v>
      </c>
      <c r="K206" s="1" t="str">
        <f t="shared" si="3"/>
        <v>0 - 0</v>
      </c>
      <c r="L206" s="343">
        <f>COUNTIF(Entropy!$D:$D,$B206)</f>
        <v>0</v>
      </c>
      <c r="M206" s="344">
        <f t="shared" si="4"/>
        <v>0</v>
      </c>
      <c r="N206" s="344">
        <f t="shared" si="5"/>
        <v>0</v>
      </c>
      <c r="O206" s="341">
        <f>IF($J206=11,0,IF(AND($H206 &gt;=VLOOKUP(Standings!$C$2,Quotas!$A$7:$E$14,4,FALSE), $H206&lt;=VLOOKUP(Standings!$C$2,Quotas!$A$7:$E$14,5,FALSE)), 0,VLOOKUP(Standings!$C$2,Quotas!$A$7:$E$14,4,FALSE)-$H206))</f>
        <v>30</v>
      </c>
      <c r="P206" s="341">
        <f>IF($J206=11,0,IF(AND($H206 &gt;=VLOOKUP(Standings!$C$2,Quotas!$A$7:$E$14,5,FALSE), $H206&lt;=VLOOKUP(Standings!$C$2,Quotas!$A$7:$E$14,5,FALSE)), 0,VLOOKUP(Standings!$C$2,Quotas!$A$7:$E$14,5,FALSE)-$H206))</f>
        <v>30</v>
      </c>
      <c r="Q206" s="79">
        <f t="shared" si="6"/>
        <v>11</v>
      </c>
      <c r="R206" s="345" t="str">
        <f t="shared" si="7"/>
        <v/>
      </c>
      <c r="S206" s="344">
        <f t="shared" si="8"/>
        <v>0.33</v>
      </c>
      <c r="T206" s="345" t="str">
        <f>IFERROR(__xludf.DUMMYFUNCTION("JOIN("","",IFERROR(FILTER(Matches!$B:$B,B206=Matches!$C:$C),""""),IFERROR(FILTER(Matches!$C:$C,B206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06" s="344">
        <f>IFERROR(__xludf.DUMMYFUNCTION("iferror(AVERAGE(ARRAYFORMULA(VLOOKUP(SPLIT(T206,"","",TRUE,TRUE),$R$2:$S654,2,FALSE))),0)"),0.0)</f>
        <v>0</v>
      </c>
      <c r="V206" s="346">
        <f>IFERROR(__xludf.DUMMYFUNCTION("RANK($I206, $I$2:$I654, FALSE) + RANK($M206, Filter($M$2:$M654, $I$2:$I654=$I206),FALSE)+RANK($U206, Filter($U$2:$U654, $I$2:$I654=$I206,$M$2:$M654=$M206),FALSE)-2"),1.0)</f>
        <v>1</v>
      </c>
      <c r="W206" s="347" t="str">
        <f t="shared" si="9"/>
        <v>Underplay</v>
      </c>
      <c r="X206" s="348" t="str">
        <f t="shared" si="10"/>
        <v/>
      </c>
      <c r="Y206" s="349">
        <f>MAXIFS(Matches!$A:$A,Matches!$C:$C,$B206)</f>
        <v>0</v>
      </c>
      <c r="Z206" s="349">
        <f t="array" ref="Z206">XLOOKUP(Y206,Quotas!$B$7:$B$10,Quotas!$A$7:$A$10,0,-1)</f>
        <v>0</v>
      </c>
      <c r="AB206" s="79"/>
      <c r="AC206" s="79">
        <f>COUNTIFS(Matches!$A:$A,"&gt;"&amp;Y206,Matches!$B:$B,$B206)</f>
        <v>0</v>
      </c>
      <c r="AD206" s="79"/>
      <c r="AE206" s="31" t="str">
        <f t="array" ref="AE206">XLOOKUP(B206, 'College List'!A:A, 'College List'!B:B)</f>
        <v>#N/A</v>
      </c>
      <c r="AF206" s="357">
        <v>9.0</v>
      </c>
      <c r="AG206" s="79"/>
      <c r="AH206" s="79"/>
      <c r="AI206" s="79"/>
    </row>
    <row r="207">
      <c r="A207" s="9">
        <f t="shared" si="1"/>
        <v>1</v>
      </c>
      <c r="C207" s="350"/>
      <c r="D207" s="93"/>
      <c r="E207" s="1"/>
      <c r="F207" s="1"/>
      <c r="G207" s="1"/>
      <c r="H207" s="341">
        <f>COUNTIF(Entropy!$D:$D,$B207)+COUNTIF(Matches!$B:$B,$B207)+COUNTIF(Matches!$C:$C,$B207)</f>
        <v>0</v>
      </c>
      <c r="I207" s="342">
        <f>COUNTIF(Matches!$B:$B,B207)</f>
        <v>0</v>
      </c>
      <c r="J207" s="79">
        <f t="shared" si="2"/>
        <v>0</v>
      </c>
      <c r="K207" s="1" t="str">
        <f t="shared" si="3"/>
        <v>0 - 0</v>
      </c>
      <c r="L207" s="343">
        <f>COUNTIF(Entropy!$D:$D,$B207)</f>
        <v>0</v>
      </c>
      <c r="M207" s="344">
        <f t="shared" si="4"/>
        <v>0</v>
      </c>
      <c r="N207" s="344">
        <f t="shared" si="5"/>
        <v>0</v>
      </c>
      <c r="O207" s="341">
        <f>IF($J207=11,0,IF(AND($H207 &gt;=VLOOKUP(Standings!$C$2,Quotas!$A$7:$E$14,4,FALSE), $H207&lt;=VLOOKUP(Standings!$C$2,Quotas!$A$7:$E$14,5,FALSE)), 0,VLOOKUP(Standings!$C$2,Quotas!$A$7:$E$14,4,FALSE)-$H207))</f>
        <v>30</v>
      </c>
      <c r="P207" s="341">
        <f>IF($J207=11,0,IF(AND($H207 &gt;=VLOOKUP(Standings!$C$2,Quotas!$A$7:$E$14,5,FALSE), $H207&lt;=VLOOKUP(Standings!$C$2,Quotas!$A$7:$E$14,5,FALSE)), 0,VLOOKUP(Standings!$C$2,Quotas!$A$7:$E$14,5,FALSE)-$H207))</f>
        <v>30</v>
      </c>
      <c r="Q207" s="79">
        <f t="shared" si="6"/>
        <v>11</v>
      </c>
      <c r="R207" s="345" t="str">
        <f t="shared" si="7"/>
        <v/>
      </c>
      <c r="S207" s="344">
        <f t="shared" si="8"/>
        <v>0.33</v>
      </c>
      <c r="T207" s="345" t="str">
        <f>IFERROR(__xludf.DUMMYFUNCTION("JOIN("","",IFERROR(FILTER(Matches!$B:$B,B207=Matches!$C:$C),""""),IFERROR(FILTER(Matches!$C:$C,B207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07" s="344">
        <f>IFERROR(__xludf.DUMMYFUNCTION("iferror(AVERAGE(ARRAYFORMULA(VLOOKUP(SPLIT(T207,"","",TRUE,TRUE),$R$2:$S654,2,FALSE))),0)"),0.0)</f>
        <v>0</v>
      </c>
      <c r="V207" s="346">
        <f>IFERROR(__xludf.DUMMYFUNCTION("RANK($I207, $I$2:$I654, FALSE) + RANK($M207, Filter($M$2:$M654, $I$2:$I654=$I207),FALSE)+RANK($U207, Filter($U$2:$U654, $I$2:$I654=$I207,$M$2:$M654=$M207),FALSE)-2"),1.0)</f>
        <v>1</v>
      </c>
      <c r="W207" s="347" t="str">
        <f t="shared" si="9"/>
        <v>Underplay</v>
      </c>
      <c r="X207" s="348" t="str">
        <f t="shared" si="10"/>
        <v/>
      </c>
      <c r="Y207" s="349">
        <f>MAXIFS(Matches!$A:$A,Matches!$C:$C,$B207)</f>
        <v>0</v>
      </c>
      <c r="Z207" s="349">
        <f t="array" ref="Z207">XLOOKUP(Y207,Quotas!$B$7:$B$10,Quotas!$A$7:$A$10,0,-1)</f>
        <v>0</v>
      </c>
      <c r="AB207" s="79"/>
      <c r="AC207" s="79">
        <f>COUNTIFS(Matches!$A:$A,"&gt;"&amp;Y207,Matches!$B:$B,$B207)</f>
        <v>0</v>
      </c>
      <c r="AD207" s="79"/>
      <c r="AE207" s="31" t="str">
        <f t="array" ref="AE207">XLOOKUP(B207, 'College List'!A:A, 'College List'!B:B)</f>
        <v>#N/A</v>
      </c>
      <c r="AF207" s="357">
        <v>8.0</v>
      </c>
      <c r="AG207" s="79"/>
      <c r="AH207" s="79"/>
      <c r="AI207" s="79"/>
    </row>
    <row r="208">
      <c r="A208" s="9">
        <f t="shared" si="1"/>
        <v>1</v>
      </c>
      <c r="C208" s="350"/>
      <c r="D208" s="93"/>
      <c r="E208" s="1"/>
      <c r="F208" s="1"/>
      <c r="G208" s="1"/>
      <c r="H208" s="341">
        <f>COUNTIF(Entropy!$D:$D,$B208)+COUNTIF(Matches!$B:$B,$B208)+COUNTIF(Matches!$C:$C,$B208)</f>
        <v>0</v>
      </c>
      <c r="I208" s="342">
        <f>COUNTIF(Matches!$B:$B,B208)</f>
        <v>0</v>
      </c>
      <c r="J208" s="79">
        <f t="shared" si="2"/>
        <v>0</v>
      </c>
      <c r="K208" s="1" t="str">
        <f t="shared" si="3"/>
        <v>0 - 0</v>
      </c>
      <c r="L208" s="343">
        <f>COUNTIF(Entropy!$D:$D,$B208)</f>
        <v>0</v>
      </c>
      <c r="M208" s="344">
        <f t="shared" si="4"/>
        <v>0</v>
      </c>
      <c r="N208" s="344">
        <f t="shared" si="5"/>
        <v>0</v>
      </c>
      <c r="O208" s="341">
        <f>IF($J208=11,0,IF(AND($H208 &gt;=VLOOKUP(Standings!$C$2,Quotas!$A$7:$E$14,4,FALSE), $H208&lt;=VLOOKUP(Standings!$C$2,Quotas!$A$7:$E$14,5,FALSE)), 0,VLOOKUP(Standings!$C$2,Quotas!$A$7:$E$14,4,FALSE)-$H208))</f>
        <v>30</v>
      </c>
      <c r="P208" s="341">
        <f>IF($J208=11,0,IF(AND($H208 &gt;=VLOOKUP(Standings!$C$2,Quotas!$A$7:$E$14,5,FALSE), $H208&lt;=VLOOKUP(Standings!$C$2,Quotas!$A$7:$E$14,5,FALSE)), 0,VLOOKUP(Standings!$C$2,Quotas!$A$7:$E$14,5,FALSE)-$H208))</f>
        <v>30</v>
      </c>
      <c r="Q208" s="79">
        <f t="shared" si="6"/>
        <v>11</v>
      </c>
      <c r="R208" s="345" t="str">
        <f t="shared" si="7"/>
        <v/>
      </c>
      <c r="S208" s="344">
        <f t="shared" si="8"/>
        <v>0.33</v>
      </c>
      <c r="T208" s="345" t="str">
        <f>IFERROR(__xludf.DUMMYFUNCTION("JOIN("","",IFERROR(FILTER(Matches!$B:$B,B208=Matches!$C:$C),""""),IFERROR(FILTER(Matches!$C:$C,B208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08" s="344">
        <f>IFERROR(__xludf.DUMMYFUNCTION("iferror(AVERAGE(ARRAYFORMULA(VLOOKUP(SPLIT(T208,"","",TRUE,TRUE),$R$2:$S654,2,FALSE))),0)"),0.0)</f>
        <v>0</v>
      </c>
      <c r="V208" s="346">
        <f>IFERROR(__xludf.DUMMYFUNCTION("RANK($I208, $I$2:$I654, FALSE) + RANK($M208, Filter($M$2:$M654, $I$2:$I654=$I208),FALSE)+RANK($U208, Filter($U$2:$U654, $I$2:$I654=$I208,$M$2:$M654=$M208),FALSE)-2"),1.0)</f>
        <v>1</v>
      </c>
      <c r="W208" s="347" t="str">
        <f t="shared" si="9"/>
        <v>Underplay</v>
      </c>
      <c r="X208" s="348" t="str">
        <f t="shared" si="10"/>
        <v/>
      </c>
      <c r="Y208" s="349">
        <f>MAXIFS(Matches!$A:$A,Matches!$C:$C,$B208)</f>
        <v>0</v>
      </c>
      <c r="Z208" s="349">
        <f t="array" ref="Z208">XLOOKUP(Y208,Quotas!$B$7:$B$10,Quotas!$A$7:$A$10,0,-1)</f>
        <v>0</v>
      </c>
      <c r="AB208" s="79"/>
      <c r="AC208" s="79">
        <f>COUNTIFS(Matches!$A:$A,"&gt;"&amp;Y208,Matches!$B:$B,$B208)</f>
        <v>0</v>
      </c>
      <c r="AD208" s="79"/>
      <c r="AE208" s="31" t="str">
        <f t="array" ref="AE208">XLOOKUP(B208, 'College List'!A:A, 'College List'!B:B)</f>
        <v>#N/A</v>
      </c>
      <c r="AF208" s="357">
        <v>9.0</v>
      </c>
      <c r="AG208" s="79"/>
      <c r="AH208" s="79"/>
      <c r="AI208" s="79"/>
    </row>
    <row r="209">
      <c r="A209" s="9">
        <f t="shared" si="1"/>
        <v>1</v>
      </c>
      <c r="C209" s="350"/>
      <c r="D209" s="93"/>
      <c r="E209" s="1"/>
      <c r="F209" s="1"/>
      <c r="G209" s="1"/>
      <c r="H209" s="341">
        <f>COUNTIF(Entropy!$D:$D,$B209)+COUNTIF(Matches!$B:$B,$B209)+COUNTIF(Matches!$C:$C,$B209)</f>
        <v>0</v>
      </c>
      <c r="I209" s="342">
        <f>COUNTIF(Matches!$B:$B,B209)</f>
        <v>0</v>
      </c>
      <c r="J209" s="79">
        <f t="shared" si="2"/>
        <v>0</v>
      </c>
      <c r="K209" s="1" t="str">
        <f t="shared" si="3"/>
        <v>0 - 0</v>
      </c>
      <c r="L209" s="343">
        <f>COUNTIF(Entropy!$D:$D,$B209)</f>
        <v>0</v>
      </c>
      <c r="M209" s="344">
        <f t="shared" si="4"/>
        <v>0</v>
      </c>
      <c r="N209" s="344">
        <f t="shared" si="5"/>
        <v>0</v>
      </c>
      <c r="O209" s="341">
        <f>IF($J209=11,0,IF(AND($H209 &gt;=VLOOKUP(Standings!$C$2,Quotas!$A$7:$E$14,4,FALSE), $H209&lt;=VLOOKUP(Standings!$C$2,Quotas!$A$7:$E$14,5,FALSE)), 0,VLOOKUP(Standings!$C$2,Quotas!$A$7:$E$14,4,FALSE)-$H209))</f>
        <v>30</v>
      </c>
      <c r="P209" s="341">
        <f>IF($J209=11,0,IF(AND($H209 &gt;=VLOOKUP(Standings!$C$2,Quotas!$A$7:$E$14,5,FALSE), $H209&lt;=VLOOKUP(Standings!$C$2,Quotas!$A$7:$E$14,5,FALSE)), 0,VLOOKUP(Standings!$C$2,Quotas!$A$7:$E$14,5,FALSE)-$H209))</f>
        <v>30</v>
      </c>
      <c r="Q209" s="79">
        <f t="shared" si="6"/>
        <v>11</v>
      </c>
      <c r="R209" s="345" t="str">
        <f t="shared" si="7"/>
        <v/>
      </c>
      <c r="S209" s="344">
        <f t="shared" si="8"/>
        <v>0.33</v>
      </c>
      <c r="T209" s="345" t="str">
        <f>IFERROR(__xludf.DUMMYFUNCTION("JOIN("","",IFERROR(FILTER(Matches!$B:$B,B209=Matches!$C:$C),""""),IFERROR(FILTER(Matches!$C:$C,B209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09" s="344">
        <f>IFERROR(__xludf.DUMMYFUNCTION("iferror(AVERAGE(ARRAYFORMULA(VLOOKUP(SPLIT(T209,"","",TRUE,TRUE),$R$2:$S654,2,FALSE))),0)"),0.0)</f>
        <v>0</v>
      </c>
      <c r="V209" s="346">
        <f>IFERROR(__xludf.DUMMYFUNCTION("RANK($I209, $I$2:$I654, FALSE) + RANK($M209, Filter($M$2:$M654, $I$2:$I654=$I209),FALSE)+RANK($U209, Filter($U$2:$U654, $I$2:$I654=$I209,$M$2:$M654=$M209),FALSE)-2"),1.0)</f>
        <v>1</v>
      </c>
      <c r="W209" s="347" t="str">
        <f t="shared" si="9"/>
        <v>Underplay</v>
      </c>
      <c r="X209" s="348" t="str">
        <f t="shared" si="10"/>
        <v/>
      </c>
      <c r="Y209" s="349">
        <f>MAXIFS(Matches!$A:$A,Matches!$C:$C,$B209)</f>
        <v>0</v>
      </c>
      <c r="Z209" s="349">
        <f t="array" ref="Z209">XLOOKUP(Y209,Quotas!$B$7:$B$10,Quotas!$A$7:$A$10,0,-1)</f>
        <v>0</v>
      </c>
      <c r="AB209" s="79"/>
      <c r="AC209" s="79">
        <f>COUNTIFS(Matches!$A:$A,"&gt;"&amp;Y209,Matches!$B:$B,$B209)</f>
        <v>0</v>
      </c>
      <c r="AD209" s="79"/>
      <c r="AE209" s="31" t="str">
        <f t="array" ref="AE209">XLOOKUP(B209, 'College List'!A:A, 'College List'!B:B)</f>
        <v>#N/A</v>
      </c>
      <c r="AF209" s="357">
        <v>9.0</v>
      </c>
      <c r="AG209" s="79"/>
      <c r="AH209" s="79"/>
      <c r="AI209" s="79"/>
    </row>
    <row r="210">
      <c r="A210" s="9">
        <f t="shared" si="1"/>
        <v>1</v>
      </c>
      <c r="C210" s="350"/>
      <c r="D210" s="93"/>
      <c r="E210" s="1"/>
      <c r="F210" s="1"/>
      <c r="G210" s="1"/>
      <c r="H210" s="341">
        <f>COUNTIF(Entropy!$D:$D,$B210)+COUNTIF(Matches!$B:$B,$B210)+COUNTIF(Matches!$C:$C,$B210)</f>
        <v>0</v>
      </c>
      <c r="I210" s="342">
        <f>COUNTIF(Matches!$B:$B,B210)</f>
        <v>0</v>
      </c>
      <c r="J210" s="79">
        <f t="shared" si="2"/>
        <v>0</v>
      </c>
      <c r="K210" s="1" t="str">
        <f t="shared" si="3"/>
        <v>0 - 0</v>
      </c>
      <c r="L210" s="343">
        <f>COUNTIF(Entropy!$D:$D,$B210)</f>
        <v>0</v>
      </c>
      <c r="M210" s="344">
        <f t="shared" si="4"/>
        <v>0</v>
      </c>
      <c r="N210" s="344">
        <f t="shared" si="5"/>
        <v>0</v>
      </c>
      <c r="O210" s="341">
        <f>IF($J210=11,0,IF(AND($H210 &gt;=VLOOKUP(Standings!$C$2,Quotas!$A$7:$E$14,4,FALSE), $H210&lt;=VLOOKUP(Standings!$C$2,Quotas!$A$7:$E$14,5,FALSE)), 0,VLOOKUP(Standings!$C$2,Quotas!$A$7:$E$14,4,FALSE)-$H210))</f>
        <v>30</v>
      </c>
      <c r="P210" s="341">
        <f>IF($J210=11,0,IF(AND($H210 &gt;=VLOOKUP(Standings!$C$2,Quotas!$A$7:$E$14,5,FALSE), $H210&lt;=VLOOKUP(Standings!$C$2,Quotas!$A$7:$E$14,5,FALSE)), 0,VLOOKUP(Standings!$C$2,Quotas!$A$7:$E$14,5,FALSE)-$H210))</f>
        <v>30</v>
      </c>
      <c r="Q210" s="79">
        <f t="shared" si="6"/>
        <v>11</v>
      </c>
      <c r="R210" s="345" t="str">
        <f t="shared" si="7"/>
        <v/>
      </c>
      <c r="S210" s="344">
        <f t="shared" si="8"/>
        <v>0.33</v>
      </c>
      <c r="T210" s="345" t="str">
        <f>IFERROR(__xludf.DUMMYFUNCTION("JOIN("","",IFERROR(FILTER(Matches!$B:$B,B210=Matches!$C:$C),""""),IFERROR(FILTER(Matches!$C:$C,B210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10" s="344">
        <f>IFERROR(__xludf.DUMMYFUNCTION("iferror(AVERAGE(ARRAYFORMULA(VLOOKUP(SPLIT(T210,"","",TRUE,TRUE),$R$2:$S654,2,FALSE))),0)"),0.0)</f>
        <v>0</v>
      </c>
      <c r="V210" s="346">
        <f>IFERROR(__xludf.DUMMYFUNCTION("RANK($I210, $I$2:$I654, FALSE) + RANK($M210, Filter($M$2:$M654, $I$2:$I654=$I210),FALSE)+RANK($U210, Filter($U$2:$U654, $I$2:$I654=$I210,$M$2:$M654=$M210),FALSE)-2"),1.0)</f>
        <v>1</v>
      </c>
      <c r="W210" s="347" t="str">
        <f t="shared" si="9"/>
        <v>Underplay</v>
      </c>
      <c r="X210" s="348" t="str">
        <f t="shared" si="10"/>
        <v/>
      </c>
      <c r="Y210" s="349">
        <f>MAXIFS(Matches!$A:$A,Matches!$C:$C,$B210)</f>
        <v>0</v>
      </c>
      <c r="Z210" s="349">
        <f t="array" ref="Z210">XLOOKUP(Y210,Quotas!$B$7:$B$10,Quotas!$A$7:$A$10,0,-1)</f>
        <v>0</v>
      </c>
      <c r="AB210" s="79"/>
      <c r="AC210" s="79">
        <f>COUNTIFS(Matches!$A:$A,"&gt;"&amp;Y210,Matches!$B:$B,$B210)</f>
        <v>0</v>
      </c>
      <c r="AD210" s="79"/>
      <c r="AE210" s="31" t="str">
        <f t="array" ref="AE210">XLOOKUP(B210, 'College List'!A:A, 'College List'!B:B)</f>
        <v>#N/A</v>
      </c>
      <c r="AF210" s="357">
        <v>9.0</v>
      </c>
      <c r="AG210" s="79"/>
      <c r="AH210" s="79"/>
      <c r="AI210" s="79"/>
    </row>
    <row r="211">
      <c r="A211" s="9">
        <f t="shared" si="1"/>
        <v>1</v>
      </c>
      <c r="C211" s="350"/>
      <c r="D211" s="93"/>
      <c r="E211" s="1"/>
      <c r="F211" s="1"/>
      <c r="G211" s="1"/>
      <c r="H211" s="341">
        <f>COUNTIF(Entropy!$D:$D,$B211)+COUNTIF(Matches!$B:$B,$B211)+COUNTIF(Matches!$C:$C,$B211)</f>
        <v>0</v>
      </c>
      <c r="I211" s="342">
        <f>COUNTIF(Matches!$B:$B,B211)</f>
        <v>0</v>
      </c>
      <c r="J211" s="79">
        <f t="shared" si="2"/>
        <v>0</v>
      </c>
      <c r="K211" s="1" t="str">
        <f t="shared" si="3"/>
        <v>0 - 0</v>
      </c>
      <c r="L211" s="343">
        <f>COUNTIF(Entropy!$D:$D,$B211)</f>
        <v>0</v>
      </c>
      <c r="M211" s="344">
        <f t="shared" si="4"/>
        <v>0</v>
      </c>
      <c r="N211" s="344">
        <f t="shared" si="5"/>
        <v>0</v>
      </c>
      <c r="O211" s="341">
        <f>IF($J211=11,0,IF(AND($H211 &gt;=VLOOKUP(Standings!$C$2,Quotas!$A$7:$E$14,4,FALSE), $H211&lt;=VLOOKUP(Standings!$C$2,Quotas!$A$7:$E$14,5,FALSE)), 0,VLOOKUP(Standings!$C$2,Quotas!$A$7:$E$14,4,FALSE)-$H211))</f>
        <v>30</v>
      </c>
      <c r="P211" s="341">
        <f>IF($J211=11,0,IF(AND($H211 &gt;=VLOOKUP(Standings!$C$2,Quotas!$A$7:$E$14,5,FALSE), $H211&lt;=VLOOKUP(Standings!$C$2,Quotas!$A$7:$E$14,5,FALSE)), 0,VLOOKUP(Standings!$C$2,Quotas!$A$7:$E$14,5,FALSE)-$H211))</f>
        <v>30</v>
      </c>
      <c r="Q211" s="79">
        <f t="shared" si="6"/>
        <v>11</v>
      </c>
      <c r="R211" s="345" t="str">
        <f t="shared" si="7"/>
        <v/>
      </c>
      <c r="S211" s="344">
        <f t="shared" si="8"/>
        <v>0.33</v>
      </c>
      <c r="T211" s="345" t="str">
        <f>IFERROR(__xludf.DUMMYFUNCTION("JOIN("","",IFERROR(FILTER(Matches!$B:$B,B211=Matches!$C:$C),""""),IFERROR(FILTER(Matches!$C:$C,B211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11" s="344">
        <f>IFERROR(__xludf.DUMMYFUNCTION("iferror(AVERAGE(ARRAYFORMULA(VLOOKUP(SPLIT(T211,"","",TRUE,TRUE),$R$2:$S654,2,FALSE))),0)"),0.0)</f>
        <v>0</v>
      </c>
      <c r="V211" s="346">
        <f>IFERROR(__xludf.DUMMYFUNCTION("RANK($I211, $I$2:$I654, FALSE) + RANK($M211, Filter($M$2:$M654, $I$2:$I654=$I211),FALSE)+RANK($U211, Filter($U$2:$U654, $I$2:$I654=$I211,$M$2:$M654=$M211),FALSE)-2"),1.0)</f>
        <v>1</v>
      </c>
      <c r="W211" s="347" t="str">
        <f t="shared" si="9"/>
        <v>Underplay</v>
      </c>
      <c r="X211" s="348" t="str">
        <f t="shared" si="10"/>
        <v/>
      </c>
      <c r="Y211" s="349">
        <f>MAXIFS(Matches!$A:$A,Matches!$C:$C,$B211)</f>
        <v>0</v>
      </c>
      <c r="Z211" s="349">
        <f t="array" ref="Z211">XLOOKUP(Y211,Quotas!$B$7:$B$10,Quotas!$A$7:$A$10,0,-1)</f>
        <v>0</v>
      </c>
      <c r="AB211" s="79"/>
      <c r="AC211" s="79">
        <f>COUNTIFS(Matches!$A:$A,"&gt;"&amp;Y211,Matches!$B:$B,$B211)</f>
        <v>0</v>
      </c>
      <c r="AD211" s="79"/>
      <c r="AE211" s="31" t="str">
        <f t="array" ref="AE211">XLOOKUP(B211, 'College List'!A:A, 'College List'!B:B)</f>
        <v>#N/A</v>
      </c>
      <c r="AF211" s="357">
        <v>9.0</v>
      </c>
      <c r="AG211" s="79"/>
      <c r="AH211" s="79"/>
      <c r="AI211" s="79"/>
    </row>
    <row r="212">
      <c r="A212" s="9">
        <f t="shared" si="1"/>
        <v>1</v>
      </c>
      <c r="C212" s="350"/>
      <c r="D212" s="93"/>
      <c r="E212" s="1"/>
      <c r="F212" s="1"/>
      <c r="G212" s="1"/>
      <c r="H212" s="341">
        <f>COUNTIF(Entropy!$D:$D,$B212)+COUNTIF(Matches!$B:$B,$B212)+COUNTIF(Matches!$C:$C,$B212)</f>
        <v>0</v>
      </c>
      <c r="I212" s="342">
        <f>COUNTIF(Matches!$B:$B,B212)</f>
        <v>0</v>
      </c>
      <c r="J212" s="79">
        <f t="shared" si="2"/>
        <v>0</v>
      </c>
      <c r="K212" s="1" t="str">
        <f t="shared" si="3"/>
        <v>0 - 0</v>
      </c>
      <c r="L212" s="343">
        <f>COUNTIF(Entropy!$D:$D,$B212)</f>
        <v>0</v>
      </c>
      <c r="M212" s="344">
        <f t="shared" si="4"/>
        <v>0</v>
      </c>
      <c r="N212" s="344">
        <f t="shared" si="5"/>
        <v>0</v>
      </c>
      <c r="O212" s="341">
        <f>IF($J212=11,0,IF(AND($H212 &gt;=VLOOKUP(Standings!$C$2,Quotas!$A$7:$E$14,4,FALSE), $H212&lt;=VLOOKUP(Standings!$C$2,Quotas!$A$7:$E$14,5,FALSE)), 0,VLOOKUP(Standings!$C$2,Quotas!$A$7:$E$14,4,FALSE)-$H212))</f>
        <v>30</v>
      </c>
      <c r="P212" s="341">
        <f>IF($J212=11,0,IF(AND($H212 &gt;=VLOOKUP(Standings!$C$2,Quotas!$A$7:$E$14,5,FALSE), $H212&lt;=VLOOKUP(Standings!$C$2,Quotas!$A$7:$E$14,5,FALSE)), 0,VLOOKUP(Standings!$C$2,Quotas!$A$7:$E$14,5,FALSE)-$H212))</f>
        <v>30</v>
      </c>
      <c r="Q212" s="79">
        <f t="shared" si="6"/>
        <v>11</v>
      </c>
      <c r="R212" s="345" t="str">
        <f t="shared" si="7"/>
        <v/>
      </c>
      <c r="S212" s="344">
        <f t="shared" si="8"/>
        <v>0.33</v>
      </c>
      <c r="T212" s="345" t="str">
        <f>IFERROR(__xludf.DUMMYFUNCTION("JOIN("","",IFERROR(FILTER(Matches!$B:$B,B212=Matches!$C:$C),""""),IFERROR(FILTER(Matches!$C:$C,B212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12" s="344">
        <f>IFERROR(__xludf.DUMMYFUNCTION("iferror(AVERAGE(ARRAYFORMULA(VLOOKUP(SPLIT(T212,"","",TRUE,TRUE),$R$2:$S654,2,FALSE))),0)"),0.0)</f>
        <v>0</v>
      </c>
      <c r="V212" s="346">
        <f>IFERROR(__xludf.DUMMYFUNCTION("RANK($I212, $I$2:$I654, FALSE) + RANK($M212, Filter($M$2:$M654, $I$2:$I654=$I212),FALSE)+RANK($U212, Filter($U$2:$U654, $I$2:$I654=$I212,$M$2:$M654=$M212),FALSE)-2"),1.0)</f>
        <v>1</v>
      </c>
      <c r="W212" s="347" t="str">
        <f t="shared" si="9"/>
        <v>Underplay</v>
      </c>
      <c r="X212" s="348" t="str">
        <f t="shared" si="10"/>
        <v/>
      </c>
      <c r="Y212" s="349">
        <f>MAXIFS(Matches!$A:$A,Matches!$C:$C,$B212)</f>
        <v>0</v>
      </c>
      <c r="Z212" s="349">
        <f t="array" ref="Z212">XLOOKUP(Y212,Quotas!$B$7:$B$10,Quotas!$A$7:$A$10,0,-1)</f>
        <v>0</v>
      </c>
      <c r="AB212" s="79"/>
      <c r="AC212" s="79">
        <f>COUNTIFS(Matches!$A:$A,"&gt;"&amp;Y212,Matches!$B:$B,$B212)</f>
        <v>0</v>
      </c>
      <c r="AD212" s="79"/>
      <c r="AE212" s="31" t="str">
        <f t="array" ref="AE212">XLOOKUP(B212, 'College List'!A:A, 'College List'!B:B)</f>
        <v>#N/A</v>
      </c>
      <c r="AF212" s="357">
        <v>8.0</v>
      </c>
      <c r="AG212" s="79"/>
      <c r="AH212" s="79"/>
      <c r="AI212" s="79"/>
    </row>
    <row r="213">
      <c r="A213" s="9">
        <f t="shared" si="1"/>
        <v>1</v>
      </c>
      <c r="C213" s="350"/>
      <c r="D213" s="93"/>
      <c r="E213" s="1"/>
      <c r="F213" s="1"/>
      <c r="G213" s="1"/>
      <c r="H213" s="341">
        <f>COUNTIF(Entropy!$D:$D,$B213)+COUNTIF(Matches!$B:$B,$B213)+COUNTIF(Matches!$C:$C,$B213)</f>
        <v>0</v>
      </c>
      <c r="I213" s="342">
        <f>COUNTIF(Matches!$B:$B,B213)</f>
        <v>0</v>
      </c>
      <c r="J213" s="79">
        <f t="shared" si="2"/>
        <v>0</v>
      </c>
      <c r="K213" s="1" t="str">
        <f t="shared" si="3"/>
        <v>0 - 0</v>
      </c>
      <c r="L213" s="343">
        <f>COUNTIF(Entropy!$D:$D,$B213)</f>
        <v>0</v>
      </c>
      <c r="M213" s="344">
        <f t="shared" si="4"/>
        <v>0</v>
      </c>
      <c r="N213" s="344">
        <f t="shared" si="5"/>
        <v>0</v>
      </c>
      <c r="O213" s="341">
        <f>IF($J213=11,0,IF(AND($H213 &gt;=VLOOKUP(Standings!$C$2,Quotas!$A$7:$E$14,4,FALSE), $H213&lt;=VLOOKUP(Standings!$C$2,Quotas!$A$7:$E$14,5,FALSE)), 0,VLOOKUP(Standings!$C$2,Quotas!$A$7:$E$14,4,FALSE)-$H213))</f>
        <v>30</v>
      </c>
      <c r="P213" s="341">
        <f>IF($J213=11,0,IF(AND($H213 &gt;=VLOOKUP(Standings!$C$2,Quotas!$A$7:$E$14,5,FALSE), $H213&lt;=VLOOKUP(Standings!$C$2,Quotas!$A$7:$E$14,5,FALSE)), 0,VLOOKUP(Standings!$C$2,Quotas!$A$7:$E$14,5,FALSE)-$H213))</f>
        <v>30</v>
      </c>
      <c r="Q213" s="79">
        <f t="shared" si="6"/>
        <v>11</v>
      </c>
      <c r="R213" s="345" t="str">
        <f t="shared" si="7"/>
        <v/>
      </c>
      <c r="S213" s="344">
        <f t="shared" si="8"/>
        <v>0.33</v>
      </c>
      <c r="T213" s="345" t="str">
        <f>IFERROR(__xludf.DUMMYFUNCTION("JOIN("","",IFERROR(FILTER(Matches!$B:$B,B213=Matches!$C:$C),""""),IFERROR(FILTER(Matches!$C:$C,B213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13" s="344">
        <f>IFERROR(__xludf.DUMMYFUNCTION("iferror(AVERAGE(ARRAYFORMULA(VLOOKUP(SPLIT(T213,"","",TRUE,TRUE),$R$2:$S654,2,FALSE))),0)"),0.0)</f>
        <v>0</v>
      </c>
      <c r="V213" s="346">
        <f>IFERROR(__xludf.DUMMYFUNCTION("RANK($I213, $I$2:$I654, FALSE) + RANK($M213, Filter($M$2:$M654, $I$2:$I654=$I213),FALSE)+RANK($U213, Filter($U$2:$U654, $I$2:$I654=$I213,$M$2:$M654=$M213),FALSE)-2"),1.0)</f>
        <v>1</v>
      </c>
      <c r="W213" s="347" t="str">
        <f t="shared" si="9"/>
        <v>Underplay</v>
      </c>
      <c r="X213" s="348" t="str">
        <f t="shared" si="10"/>
        <v/>
      </c>
      <c r="Y213" s="349">
        <f>MAXIFS(Matches!$A:$A,Matches!$C:$C,$B213)</f>
        <v>0</v>
      </c>
      <c r="Z213" s="349">
        <f t="array" ref="Z213">XLOOKUP(Y213,Quotas!$B$7:$B$10,Quotas!$A$7:$A$10,0,-1)</f>
        <v>0</v>
      </c>
      <c r="AB213" s="79"/>
      <c r="AC213" s="79">
        <f>COUNTIFS(Matches!$A:$A,"&gt;"&amp;Y213,Matches!$B:$B,$B213)</f>
        <v>0</v>
      </c>
      <c r="AD213" s="79"/>
      <c r="AE213" s="31" t="str">
        <f t="array" ref="AE213">XLOOKUP(B213, 'College List'!A:A, 'College List'!B:B)</f>
        <v>#N/A</v>
      </c>
      <c r="AF213" s="357">
        <v>9.0</v>
      </c>
      <c r="AG213" s="79"/>
      <c r="AH213" s="79"/>
      <c r="AI213" s="79"/>
    </row>
    <row r="214">
      <c r="A214" s="9">
        <f t="shared" si="1"/>
        <v>1</v>
      </c>
      <c r="C214" s="350"/>
      <c r="D214" s="93"/>
      <c r="E214" s="1"/>
      <c r="F214" s="1"/>
      <c r="G214" s="1"/>
      <c r="H214" s="341">
        <f>COUNTIF(Entropy!$D:$D,$B214)+COUNTIF(Matches!$B:$B,$B214)+COUNTIF(Matches!$C:$C,$B214)</f>
        <v>0</v>
      </c>
      <c r="I214" s="342">
        <f>COUNTIF(Matches!$B:$B,B214)</f>
        <v>0</v>
      </c>
      <c r="J214" s="79">
        <f t="shared" si="2"/>
        <v>0</v>
      </c>
      <c r="K214" s="1" t="str">
        <f t="shared" si="3"/>
        <v>0 - 0</v>
      </c>
      <c r="L214" s="343">
        <f>COUNTIF(Entropy!$D:$D,$B214)</f>
        <v>0</v>
      </c>
      <c r="M214" s="344">
        <f t="shared" si="4"/>
        <v>0</v>
      </c>
      <c r="N214" s="344">
        <f t="shared" si="5"/>
        <v>0</v>
      </c>
      <c r="O214" s="341">
        <f>IF($J214=11,0,IF(AND($H214 &gt;=VLOOKUP(Standings!$C$2,Quotas!$A$7:$E$14,4,FALSE), $H214&lt;=VLOOKUP(Standings!$C$2,Quotas!$A$7:$E$14,5,FALSE)), 0,VLOOKUP(Standings!$C$2,Quotas!$A$7:$E$14,4,FALSE)-$H214))</f>
        <v>30</v>
      </c>
      <c r="P214" s="341">
        <f>IF($J214=11,0,IF(AND($H214 &gt;=VLOOKUP(Standings!$C$2,Quotas!$A$7:$E$14,5,FALSE), $H214&lt;=VLOOKUP(Standings!$C$2,Quotas!$A$7:$E$14,5,FALSE)), 0,VLOOKUP(Standings!$C$2,Quotas!$A$7:$E$14,5,FALSE)-$H214))</f>
        <v>30</v>
      </c>
      <c r="Q214" s="79">
        <f t="shared" si="6"/>
        <v>11</v>
      </c>
      <c r="R214" s="345" t="str">
        <f t="shared" si="7"/>
        <v/>
      </c>
      <c r="S214" s="344">
        <f t="shared" si="8"/>
        <v>0.33</v>
      </c>
      <c r="T214" s="345" t="str">
        <f>IFERROR(__xludf.DUMMYFUNCTION("JOIN("","",IFERROR(FILTER(Matches!$B:$B,B214=Matches!$C:$C),""""),IFERROR(FILTER(Matches!$C:$C,B214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14" s="344">
        <f>IFERROR(__xludf.DUMMYFUNCTION("iferror(AVERAGE(ARRAYFORMULA(VLOOKUP(SPLIT(T214,"","",TRUE,TRUE),$R$2:$S654,2,FALSE))),0)"),0.0)</f>
        <v>0</v>
      </c>
      <c r="V214" s="346">
        <f>IFERROR(__xludf.DUMMYFUNCTION("RANK($I214, $I$2:$I654, FALSE) + RANK($M214, Filter($M$2:$M654, $I$2:$I654=$I214),FALSE)+RANK($U214, Filter($U$2:$U654, $I$2:$I654=$I214,$M$2:$M654=$M214),FALSE)-2"),1.0)</f>
        <v>1</v>
      </c>
      <c r="W214" s="347" t="str">
        <f t="shared" si="9"/>
        <v>Underplay</v>
      </c>
      <c r="X214" s="348" t="str">
        <f t="shared" si="10"/>
        <v/>
      </c>
      <c r="Y214" s="349">
        <f>MAXIFS(Matches!$A:$A,Matches!$C:$C,$B214)</f>
        <v>0</v>
      </c>
      <c r="Z214" s="349">
        <f t="array" ref="Z214">XLOOKUP(Y214,Quotas!$B$7:$B$10,Quotas!$A$7:$A$10,0,-1)</f>
        <v>0</v>
      </c>
      <c r="AB214" s="79"/>
      <c r="AC214" s="79">
        <f>COUNTIFS(Matches!$A:$A,"&gt;"&amp;Y214,Matches!$B:$B,$B214)</f>
        <v>0</v>
      </c>
      <c r="AD214" s="79"/>
      <c r="AE214" s="31" t="str">
        <f t="array" ref="AE214">XLOOKUP(B214, 'College List'!A:A, 'College List'!B:B)</f>
        <v>#N/A</v>
      </c>
      <c r="AF214" s="357">
        <v>7.0</v>
      </c>
      <c r="AG214" s="79"/>
      <c r="AH214" s="79"/>
      <c r="AI214" s="79"/>
    </row>
    <row r="215">
      <c r="A215" s="9">
        <f t="shared" si="1"/>
        <v>1</v>
      </c>
      <c r="C215" s="350"/>
      <c r="D215" s="93"/>
      <c r="E215" s="1"/>
      <c r="F215" s="1"/>
      <c r="G215" s="1"/>
      <c r="H215" s="341">
        <f>COUNTIF(Entropy!$D:$D,$B215)+COUNTIF(Matches!$B:$B,$B215)+COUNTIF(Matches!$C:$C,$B215)</f>
        <v>0</v>
      </c>
      <c r="I215" s="342">
        <f>COUNTIF(Matches!$B:$B,B215)</f>
        <v>0</v>
      </c>
      <c r="J215" s="79">
        <f t="shared" si="2"/>
        <v>0</v>
      </c>
      <c r="K215" s="1" t="str">
        <f t="shared" si="3"/>
        <v>0 - 0</v>
      </c>
      <c r="L215" s="343">
        <f>COUNTIF(Entropy!$D:$D,$B215)</f>
        <v>0</v>
      </c>
      <c r="M215" s="344">
        <f t="shared" si="4"/>
        <v>0</v>
      </c>
      <c r="N215" s="344">
        <f t="shared" si="5"/>
        <v>0</v>
      </c>
      <c r="O215" s="341">
        <f>IF($J215=11,0,IF(AND($H215 &gt;=VLOOKUP(Standings!$C$2,Quotas!$A$7:$E$14,4,FALSE), $H215&lt;=VLOOKUP(Standings!$C$2,Quotas!$A$7:$E$14,5,FALSE)), 0,VLOOKUP(Standings!$C$2,Quotas!$A$7:$E$14,4,FALSE)-$H215))</f>
        <v>30</v>
      </c>
      <c r="P215" s="341">
        <f>IF($J215=11,0,IF(AND($H215 &gt;=VLOOKUP(Standings!$C$2,Quotas!$A$7:$E$14,5,FALSE), $H215&lt;=VLOOKUP(Standings!$C$2,Quotas!$A$7:$E$14,5,FALSE)), 0,VLOOKUP(Standings!$C$2,Quotas!$A$7:$E$14,5,FALSE)-$H215))</f>
        <v>30</v>
      </c>
      <c r="Q215" s="79">
        <f t="shared" si="6"/>
        <v>11</v>
      </c>
      <c r="R215" s="345" t="str">
        <f t="shared" si="7"/>
        <v/>
      </c>
      <c r="S215" s="344">
        <f t="shared" si="8"/>
        <v>0.33</v>
      </c>
      <c r="T215" s="345" t="str">
        <f>IFERROR(__xludf.DUMMYFUNCTION("JOIN("","",IFERROR(FILTER(Matches!$B:$B,B215=Matches!$C:$C),""""),IFERROR(FILTER(Matches!$C:$C,B215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15" s="344">
        <f>IFERROR(__xludf.DUMMYFUNCTION("iferror(AVERAGE(ARRAYFORMULA(VLOOKUP(SPLIT(T215,"","",TRUE,TRUE),$R$2:$S654,2,FALSE))),0)"),0.0)</f>
        <v>0</v>
      </c>
      <c r="V215" s="346">
        <f>IFERROR(__xludf.DUMMYFUNCTION("RANK($I215, $I$2:$I654, FALSE) + RANK($M215, Filter($M$2:$M654, $I$2:$I654=$I215),FALSE)+RANK($U215, Filter($U$2:$U654, $I$2:$I654=$I215,$M$2:$M654=$M215),FALSE)-2"),1.0)</f>
        <v>1</v>
      </c>
      <c r="W215" s="347" t="str">
        <f t="shared" si="9"/>
        <v>Underplay</v>
      </c>
      <c r="X215" s="348" t="str">
        <f t="shared" si="10"/>
        <v/>
      </c>
      <c r="Y215" s="349">
        <f>MAXIFS(Matches!$A:$A,Matches!$C:$C,$B215)</f>
        <v>0</v>
      </c>
      <c r="Z215" s="349">
        <f t="array" ref="Z215">XLOOKUP(Y215,Quotas!$B$7:$B$10,Quotas!$A$7:$A$10,0,-1)</f>
        <v>0</v>
      </c>
      <c r="AB215" s="79"/>
      <c r="AC215" s="79">
        <f>COUNTIFS(Matches!$A:$A,"&gt;"&amp;Y215,Matches!$B:$B,$B215)</f>
        <v>0</v>
      </c>
      <c r="AD215" s="79"/>
      <c r="AE215" s="31" t="str">
        <f t="array" ref="AE215">XLOOKUP(B215, 'College List'!A:A, 'College List'!B:B)</f>
        <v>#N/A</v>
      </c>
      <c r="AF215" s="357">
        <v>8.0</v>
      </c>
      <c r="AG215" s="79"/>
      <c r="AH215" s="79"/>
      <c r="AI215" s="79"/>
    </row>
    <row r="216">
      <c r="A216" s="9">
        <f t="shared" si="1"/>
        <v>1</v>
      </c>
      <c r="C216" s="350"/>
      <c r="D216" s="93"/>
      <c r="E216" s="1"/>
      <c r="F216" s="1"/>
      <c r="G216" s="1"/>
      <c r="H216" s="341">
        <f>COUNTIF(Entropy!$D:$D,$B216)+COUNTIF(Matches!$B:$B,$B216)+COUNTIF(Matches!$C:$C,$B216)</f>
        <v>0</v>
      </c>
      <c r="I216" s="342">
        <f>COUNTIF(Matches!$B:$B,B216)</f>
        <v>0</v>
      </c>
      <c r="J216" s="79">
        <f t="shared" si="2"/>
        <v>0</v>
      </c>
      <c r="K216" s="1" t="str">
        <f t="shared" si="3"/>
        <v>0 - 0</v>
      </c>
      <c r="L216" s="343">
        <f>COUNTIF(Entropy!$D:$D,$B216)</f>
        <v>0</v>
      </c>
      <c r="M216" s="344">
        <f t="shared" si="4"/>
        <v>0</v>
      </c>
      <c r="N216" s="344">
        <f t="shared" si="5"/>
        <v>0</v>
      </c>
      <c r="O216" s="341">
        <f>IF($J216=11,0,IF(AND($H216 &gt;=VLOOKUP(Standings!$C$2,Quotas!$A$7:$E$14,4,FALSE), $H216&lt;=VLOOKUP(Standings!$C$2,Quotas!$A$7:$E$14,5,FALSE)), 0,VLOOKUP(Standings!$C$2,Quotas!$A$7:$E$14,4,FALSE)-$H216))</f>
        <v>30</v>
      </c>
      <c r="P216" s="341">
        <f>IF($J216=11,0,IF(AND($H216 &gt;=VLOOKUP(Standings!$C$2,Quotas!$A$7:$E$14,5,FALSE), $H216&lt;=VLOOKUP(Standings!$C$2,Quotas!$A$7:$E$14,5,FALSE)), 0,VLOOKUP(Standings!$C$2,Quotas!$A$7:$E$14,5,FALSE)-$H216))</f>
        <v>30</v>
      </c>
      <c r="Q216" s="79">
        <f t="shared" si="6"/>
        <v>11</v>
      </c>
      <c r="R216" s="345" t="str">
        <f t="shared" si="7"/>
        <v/>
      </c>
      <c r="S216" s="344">
        <f t="shared" si="8"/>
        <v>0.33</v>
      </c>
      <c r="T216" s="345" t="str">
        <f>IFERROR(__xludf.DUMMYFUNCTION("JOIN("","",IFERROR(FILTER(Matches!$B:$B,B216=Matches!$C:$C),""""),IFERROR(FILTER(Matches!$C:$C,B216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16" s="344">
        <f>IFERROR(__xludf.DUMMYFUNCTION("iferror(AVERAGE(ARRAYFORMULA(VLOOKUP(SPLIT(T216,"","",TRUE,TRUE),$R$2:$S654,2,FALSE))),0)"),0.0)</f>
        <v>0</v>
      </c>
      <c r="V216" s="346">
        <f>IFERROR(__xludf.DUMMYFUNCTION("RANK($I216, $I$2:$I654, FALSE) + RANK($M216, Filter($M$2:$M654, $I$2:$I654=$I216),FALSE)+RANK($U216, Filter($U$2:$U654, $I$2:$I654=$I216,$M$2:$M654=$M216),FALSE)-2"),1.0)</f>
        <v>1</v>
      </c>
      <c r="W216" s="347" t="str">
        <f t="shared" si="9"/>
        <v>Underplay</v>
      </c>
      <c r="X216" s="348" t="str">
        <f t="shared" si="10"/>
        <v/>
      </c>
      <c r="Y216" s="349">
        <f>MAXIFS(Matches!$A:$A,Matches!$C:$C,$B216)</f>
        <v>0</v>
      </c>
      <c r="Z216" s="349">
        <f t="array" ref="Z216">XLOOKUP(Y216,Quotas!$B$7:$B$10,Quotas!$A$7:$A$10,0,-1)</f>
        <v>0</v>
      </c>
      <c r="AB216" s="79"/>
      <c r="AC216" s="79">
        <f>COUNTIFS(Matches!$A:$A,"&gt;"&amp;Y216,Matches!$B:$B,$B216)</f>
        <v>0</v>
      </c>
      <c r="AD216" s="79"/>
      <c r="AE216" s="31" t="str">
        <f t="array" ref="AE216">XLOOKUP(B216, 'College List'!A:A, 'College List'!B:B)</f>
        <v>#N/A</v>
      </c>
      <c r="AF216" s="357">
        <v>3.0</v>
      </c>
      <c r="AG216" s="79"/>
      <c r="AH216" s="79"/>
      <c r="AI216" s="79"/>
    </row>
    <row r="217">
      <c r="A217" s="9">
        <f t="shared" si="1"/>
        <v>1</v>
      </c>
      <c r="C217" s="350"/>
      <c r="D217" s="93"/>
      <c r="E217" s="1"/>
      <c r="F217" s="1"/>
      <c r="G217" s="1"/>
      <c r="H217" s="341">
        <f>COUNTIF(Entropy!$D:$D,$B217)+COUNTIF(Matches!$B:$B,$B217)+COUNTIF(Matches!$C:$C,$B217)</f>
        <v>0</v>
      </c>
      <c r="I217" s="342">
        <f>COUNTIF(Matches!$B:$B,B217)</f>
        <v>0</v>
      </c>
      <c r="J217" s="79">
        <f t="shared" si="2"/>
        <v>0</v>
      </c>
      <c r="K217" s="1" t="str">
        <f t="shared" si="3"/>
        <v>0 - 0</v>
      </c>
      <c r="L217" s="343">
        <f>COUNTIF(Entropy!$D:$D,$B217)</f>
        <v>0</v>
      </c>
      <c r="M217" s="344">
        <f t="shared" si="4"/>
        <v>0</v>
      </c>
      <c r="N217" s="344">
        <f t="shared" si="5"/>
        <v>0</v>
      </c>
      <c r="O217" s="341">
        <f>IF($J217=11,0,IF(AND($H217 &gt;=VLOOKUP(Standings!$C$2,Quotas!$A$7:$E$14,4,FALSE), $H217&lt;=VLOOKUP(Standings!$C$2,Quotas!$A$7:$E$14,5,FALSE)), 0,VLOOKUP(Standings!$C$2,Quotas!$A$7:$E$14,4,FALSE)-$H217))</f>
        <v>30</v>
      </c>
      <c r="P217" s="341">
        <f>IF($J217=11,0,IF(AND($H217 &gt;=VLOOKUP(Standings!$C$2,Quotas!$A$7:$E$14,5,FALSE), $H217&lt;=VLOOKUP(Standings!$C$2,Quotas!$A$7:$E$14,5,FALSE)), 0,VLOOKUP(Standings!$C$2,Quotas!$A$7:$E$14,5,FALSE)-$H217))</f>
        <v>30</v>
      </c>
      <c r="Q217" s="79">
        <f t="shared" si="6"/>
        <v>11</v>
      </c>
      <c r="R217" s="345" t="str">
        <f t="shared" si="7"/>
        <v/>
      </c>
      <c r="S217" s="344">
        <f t="shared" si="8"/>
        <v>0.33</v>
      </c>
      <c r="T217" s="345" t="str">
        <f>IFERROR(__xludf.DUMMYFUNCTION("JOIN("","",IFERROR(FILTER(Matches!$B:$B,B217=Matches!$C:$C),""""),IFERROR(FILTER(Matches!$C:$C,B217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17" s="344">
        <f>IFERROR(__xludf.DUMMYFUNCTION("iferror(AVERAGE(ARRAYFORMULA(VLOOKUP(SPLIT(T217,"","",TRUE,TRUE),$R$2:$S654,2,FALSE))),0)"),0.0)</f>
        <v>0</v>
      </c>
      <c r="V217" s="346">
        <f>IFERROR(__xludf.DUMMYFUNCTION("RANK($I217, $I$2:$I654, FALSE) + RANK($M217, Filter($M$2:$M654, $I$2:$I654=$I217),FALSE)+RANK($U217, Filter($U$2:$U654, $I$2:$I654=$I217,$M$2:$M654=$M217),FALSE)-2"),1.0)</f>
        <v>1</v>
      </c>
      <c r="W217" s="347" t="str">
        <f t="shared" si="9"/>
        <v>Underplay</v>
      </c>
      <c r="X217" s="348" t="str">
        <f t="shared" si="10"/>
        <v/>
      </c>
      <c r="Y217" s="349">
        <f>MAXIFS(Matches!$A:$A,Matches!$C:$C,$B217)</f>
        <v>0</v>
      </c>
      <c r="Z217" s="349">
        <f t="array" ref="Z217">XLOOKUP(Y217,Quotas!$B$7:$B$10,Quotas!$A$7:$A$10,0,-1)</f>
        <v>0</v>
      </c>
      <c r="AB217" s="79"/>
      <c r="AC217" s="79">
        <f>COUNTIFS(Matches!$A:$A,"&gt;"&amp;Y217,Matches!$B:$B,$B217)</f>
        <v>0</v>
      </c>
      <c r="AD217" s="79"/>
      <c r="AE217" s="31" t="str">
        <f t="array" ref="AE217">XLOOKUP(B217, 'College List'!A:A, 'College List'!B:B)</f>
        <v>#N/A</v>
      </c>
      <c r="AF217" s="357">
        <v>9.0</v>
      </c>
      <c r="AG217" s="79"/>
      <c r="AH217" s="79"/>
      <c r="AI217" s="79"/>
    </row>
    <row r="218">
      <c r="A218" s="9">
        <f t="shared" si="1"/>
        <v>1</v>
      </c>
      <c r="C218" s="350"/>
      <c r="D218" s="93"/>
      <c r="E218" s="1"/>
      <c r="F218" s="1"/>
      <c r="G218" s="1"/>
      <c r="H218" s="341">
        <f>COUNTIF(Entropy!$D:$D,$B218)+COUNTIF(Matches!$B:$B,$B218)+COUNTIF(Matches!$C:$C,$B218)</f>
        <v>0</v>
      </c>
      <c r="I218" s="342">
        <f>COUNTIF(Matches!$B:$B,B218)</f>
        <v>0</v>
      </c>
      <c r="J218" s="79">
        <f t="shared" si="2"/>
        <v>0</v>
      </c>
      <c r="K218" s="1" t="str">
        <f t="shared" si="3"/>
        <v>0 - 0</v>
      </c>
      <c r="L218" s="343">
        <f>COUNTIF(Entropy!$D:$D,$B218)</f>
        <v>0</v>
      </c>
      <c r="M218" s="344">
        <f t="shared" si="4"/>
        <v>0</v>
      </c>
      <c r="N218" s="344">
        <f t="shared" si="5"/>
        <v>0</v>
      </c>
      <c r="O218" s="341">
        <f>IF($J218=11,0,IF(AND($H218 &gt;=VLOOKUP(Standings!$C$2,Quotas!$A$7:$E$14,4,FALSE), $H218&lt;=VLOOKUP(Standings!$C$2,Quotas!$A$7:$E$14,5,FALSE)), 0,VLOOKUP(Standings!$C$2,Quotas!$A$7:$E$14,4,FALSE)-$H218))</f>
        <v>30</v>
      </c>
      <c r="P218" s="341">
        <f>IF($J218=11,0,IF(AND($H218 &gt;=VLOOKUP(Standings!$C$2,Quotas!$A$7:$E$14,5,FALSE), $H218&lt;=VLOOKUP(Standings!$C$2,Quotas!$A$7:$E$14,5,FALSE)), 0,VLOOKUP(Standings!$C$2,Quotas!$A$7:$E$14,5,FALSE)-$H218))</f>
        <v>30</v>
      </c>
      <c r="Q218" s="79">
        <f t="shared" si="6"/>
        <v>11</v>
      </c>
      <c r="R218" s="345" t="str">
        <f t="shared" si="7"/>
        <v/>
      </c>
      <c r="S218" s="344">
        <f t="shared" si="8"/>
        <v>0.33</v>
      </c>
      <c r="T218" s="345" t="str">
        <f>IFERROR(__xludf.DUMMYFUNCTION("JOIN("","",IFERROR(FILTER(Matches!$B:$B,B218=Matches!$C:$C),""""),IFERROR(FILTER(Matches!$C:$C,B218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18" s="344">
        <f>IFERROR(__xludf.DUMMYFUNCTION("iferror(AVERAGE(ARRAYFORMULA(VLOOKUP(SPLIT(T218,"","",TRUE,TRUE),$R$2:$S654,2,FALSE))),0)"),0.0)</f>
        <v>0</v>
      </c>
      <c r="V218" s="346">
        <f>IFERROR(__xludf.DUMMYFUNCTION("RANK($I218, $I$2:$I654, FALSE) + RANK($M218, Filter($M$2:$M654, $I$2:$I654=$I218),FALSE)+RANK($U218, Filter($U$2:$U654, $I$2:$I654=$I218,$M$2:$M654=$M218),FALSE)-2"),1.0)</f>
        <v>1</v>
      </c>
      <c r="W218" s="347" t="str">
        <f t="shared" si="9"/>
        <v>Underplay</v>
      </c>
      <c r="X218" s="348" t="str">
        <f t="shared" si="10"/>
        <v/>
      </c>
      <c r="Y218" s="349">
        <f>MAXIFS(Matches!$A:$A,Matches!$C:$C,$B218)</f>
        <v>0</v>
      </c>
      <c r="Z218" s="349">
        <f t="array" ref="Z218">XLOOKUP(Y218,Quotas!$B$7:$B$10,Quotas!$A$7:$A$10,0,-1)</f>
        <v>0</v>
      </c>
      <c r="AB218" s="79"/>
      <c r="AC218" s="79">
        <f>COUNTIFS(Matches!$A:$A,"&gt;"&amp;Y218,Matches!$B:$B,$B218)</f>
        <v>0</v>
      </c>
      <c r="AD218" s="79"/>
      <c r="AE218" s="31" t="str">
        <f t="array" ref="AE218">XLOOKUP(B218, 'College List'!A:A, 'College List'!B:B)</f>
        <v>#N/A</v>
      </c>
      <c r="AF218" s="357">
        <v>9.0</v>
      </c>
      <c r="AG218" s="79"/>
      <c r="AH218" s="79"/>
      <c r="AI218" s="79"/>
    </row>
    <row r="219">
      <c r="A219" s="9">
        <f t="shared" si="1"/>
        <v>1</v>
      </c>
      <c r="C219" s="350"/>
      <c r="D219" s="93"/>
      <c r="E219" s="1"/>
      <c r="F219" s="1"/>
      <c r="G219" s="1"/>
      <c r="H219" s="341">
        <f>COUNTIF(Entropy!$D:$D,$B219)+COUNTIF(Matches!$B:$B,$B219)+COUNTIF(Matches!$C:$C,$B219)</f>
        <v>0</v>
      </c>
      <c r="I219" s="342">
        <f>COUNTIF(Matches!$B:$B,B219)</f>
        <v>0</v>
      </c>
      <c r="J219" s="79">
        <f t="shared" si="2"/>
        <v>0</v>
      </c>
      <c r="K219" s="1" t="str">
        <f t="shared" si="3"/>
        <v>0 - 0</v>
      </c>
      <c r="L219" s="343">
        <f>COUNTIF(Entropy!$D:$D,$B219)</f>
        <v>0</v>
      </c>
      <c r="M219" s="344">
        <f t="shared" si="4"/>
        <v>0</v>
      </c>
      <c r="N219" s="344">
        <f t="shared" si="5"/>
        <v>0</v>
      </c>
      <c r="O219" s="341">
        <f>IF($J219=11,0,IF(AND($H219 &gt;=VLOOKUP(Standings!$C$2,Quotas!$A$7:$E$14,4,FALSE), $H219&lt;=VLOOKUP(Standings!$C$2,Quotas!$A$7:$E$14,5,FALSE)), 0,VLOOKUP(Standings!$C$2,Quotas!$A$7:$E$14,4,FALSE)-$H219))</f>
        <v>30</v>
      </c>
      <c r="P219" s="341">
        <f>IF($J219=11,0,IF(AND($H219 &gt;=VLOOKUP(Standings!$C$2,Quotas!$A$7:$E$14,5,FALSE), $H219&lt;=VLOOKUP(Standings!$C$2,Quotas!$A$7:$E$14,5,FALSE)), 0,VLOOKUP(Standings!$C$2,Quotas!$A$7:$E$14,5,FALSE)-$H219))</f>
        <v>30</v>
      </c>
      <c r="Q219" s="79">
        <f t="shared" si="6"/>
        <v>11</v>
      </c>
      <c r="R219" s="345" t="str">
        <f t="shared" si="7"/>
        <v/>
      </c>
      <c r="S219" s="344">
        <f t="shared" si="8"/>
        <v>0.33</v>
      </c>
      <c r="T219" s="345" t="str">
        <f>IFERROR(__xludf.DUMMYFUNCTION("JOIN("","",IFERROR(FILTER(Matches!$B:$B,B219=Matches!$C:$C),""""),IFERROR(FILTER(Matches!$C:$C,B219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19" s="344">
        <f>IFERROR(__xludf.DUMMYFUNCTION("iferror(AVERAGE(ARRAYFORMULA(VLOOKUP(SPLIT(T219,"","",TRUE,TRUE),$R$2:$S654,2,FALSE))),0)"),0.0)</f>
        <v>0</v>
      </c>
      <c r="V219" s="346">
        <f>IFERROR(__xludf.DUMMYFUNCTION("RANK($I219, $I$2:$I654, FALSE) + RANK($M219, Filter($M$2:$M654, $I$2:$I654=$I219),FALSE)+RANK($U219, Filter($U$2:$U654, $I$2:$I654=$I219,$M$2:$M654=$M219),FALSE)-2"),1.0)</f>
        <v>1</v>
      </c>
      <c r="W219" s="347" t="str">
        <f t="shared" si="9"/>
        <v>Underplay</v>
      </c>
      <c r="X219" s="348" t="str">
        <f t="shared" si="10"/>
        <v/>
      </c>
      <c r="Y219" s="349">
        <f>MAXIFS(Matches!$A:$A,Matches!$C:$C,$B219)</f>
        <v>0</v>
      </c>
      <c r="Z219" s="349">
        <f t="array" ref="Z219">XLOOKUP(Y219,Quotas!$B$7:$B$10,Quotas!$A$7:$A$10,0,-1)</f>
        <v>0</v>
      </c>
      <c r="AB219" s="79"/>
      <c r="AC219" s="79">
        <f>COUNTIFS(Matches!$A:$A,"&gt;"&amp;Y219,Matches!$B:$B,$B219)</f>
        <v>0</v>
      </c>
      <c r="AD219" s="79"/>
      <c r="AE219" s="31" t="str">
        <f t="array" ref="AE219">XLOOKUP(B219, 'College List'!A:A, 'College List'!B:B)</f>
        <v>#N/A</v>
      </c>
      <c r="AF219" s="357">
        <v>10.0</v>
      </c>
      <c r="AG219" s="79"/>
      <c r="AH219" s="79"/>
      <c r="AI219" s="79"/>
    </row>
    <row r="220">
      <c r="A220" s="9">
        <f t="shared" si="1"/>
        <v>1</v>
      </c>
      <c r="C220" s="350"/>
      <c r="D220" s="93"/>
      <c r="E220" s="1"/>
      <c r="F220" s="1"/>
      <c r="G220" s="1"/>
      <c r="H220" s="341">
        <f>COUNTIF(Entropy!$D:$D,$B220)+COUNTIF(Matches!$B:$B,$B220)+COUNTIF(Matches!$C:$C,$B220)</f>
        <v>0</v>
      </c>
      <c r="I220" s="342">
        <f>COUNTIF(Matches!$B:$B,B220)</f>
        <v>0</v>
      </c>
      <c r="J220" s="79">
        <f t="shared" si="2"/>
        <v>0</v>
      </c>
      <c r="K220" s="1" t="str">
        <f t="shared" si="3"/>
        <v>0 - 0</v>
      </c>
      <c r="L220" s="343">
        <f>COUNTIF(Entropy!$D:$D,$B220)</f>
        <v>0</v>
      </c>
      <c r="M220" s="344">
        <f t="shared" si="4"/>
        <v>0</v>
      </c>
      <c r="N220" s="344">
        <f t="shared" si="5"/>
        <v>0</v>
      </c>
      <c r="O220" s="341">
        <f>IF($J220=11,0,IF(AND($H220 &gt;=VLOOKUP(Standings!$C$2,Quotas!$A$7:$E$14,4,FALSE), $H220&lt;=VLOOKUP(Standings!$C$2,Quotas!$A$7:$E$14,5,FALSE)), 0,VLOOKUP(Standings!$C$2,Quotas!$A$7:$E$14,4,FALSE)-$H220))</f>
        <v>30</v>
      </c>
      <c r="P220" s="341">
        <f>IF($J220=11,0,IF(AND($H220 &gt;=VLOOKUP(Standings!$C$2,Quotas!$A$7:$E$14,5,FALSE), $H220&lt;=VLOOKUP(Standings!$C$2,Quotas!$A$7:$E$14,5,FALSE)), 0,VLOOKUP(Standings!$C$2,Quotas!$A$7:$E$14,5,FALSE)-$H220))</f>
        <v>30</v>
      </c>
      <c r="Q220" s="79">
        <f t="shared" si="6"/>
        <v>11</v>
      </c>
      <c r="R220" s="345" t="str">
        <f t="shared" si="7"/>
        <v/>
      </c>
      <c r="S220" s="344">
        <f t="shared" si="8"/>
        <v>0.33</v>
      </c>
      <c r="T220" s="345" t="str">
        <f>IFERROR(__xludf.DUMMYFUNCTION("JOIN("","",IFERROR(FILTER(Matches!$B:$B,B220=Matches!$C:$C),""""),IFERROR(FILTER(Matches!$C:$C,B220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20" s="344">
        <f>IFERROR(__xludf.DUMMYFUNCTION("iferror(AVERAGE(ARRAYFORMULA(VLOOKUP(SPLIT(T220,"","",TRUE,TRUE),$R$2:$S654,2,FALSE))),0)"),0.0)</f>
        <v>0</v>
      </c>
      <c r="V220" s="346">
        <f>IFERROR(__xludf.DUMMYFUNCTION("RANK($I220, $I$2:$I654, FALSE) + RANK($M220, Filter($M$2:$M654, $I$2:$I654=$I220),FALSE)+RANK($U220, Filter($U$2:$U654, $I$2:$I654=$I220,$M$2:$M654=$M220),FALSE)-2"),1.0)</f>
        <v>1</v>
      </c>
      <c r="W220" s="347" t="str">
        <f t="shared" si="9"/>
        <v>Underplay</v>
      </c>
      <c r="X220" s="348" t="str">
        <f t="shared" si="10"/>
        <v/>
      </c>
      <c r="Y220" s="349">
        <f>MAXIFS(Matches!$A:$A,Matches!$C:$C,$B220)</f>
        <v>0</v>
      </c>
      <c r="Z220" s="349">
        <f t="array" ref="Z220">XLOOKUP(Y220,Quotas!$B$7:$B$10,Quotas!$A$7:$A$10,0,-1)</f>
        <v>0</v>
      </c>
      <c r="AB220" s="79"/>
      <c r="AC220" s="79">
        <f>COUNTIFS(Matches!$A:$A,"&gt;"&amp;Y220,Matches!$B:$B,$B220)</f>
        <v>0</v>
      </c>
      <c r="AD220" s="79"/>
      <c r="AE220" s="31" t="str">
        <f t="array" ref="AE220">XLOOKUP(B220, 'College List'!A:A, 'College List'!B:B)</f>
        <v>#N/A</v>
      </c>
      <c r="AF220" s="357">
        <v>9.0</v>
      </c>
      <c r="AG220" s="79"/>
      <c r="AH220" s="79"/>
      <c r="AI220" s="79"/>
    </row>
    <row r="221">
      <c r="A221" s="9">
        <f t="shared" si="1"/>
        <v>1</v>
      </c>
      <c r="C221" s="350"/>
      <c r="D221" s="93"/>
      <c r="E221" s="1"/>
      <c r="F221" s="1"/>
      <c r="G221" s="1"/>
      <c r="H221" s="341">
        <f>COUNTIF(Entropy!$D:$D,$B221)+COUNTIF(Matches!$B:$B,$B221)+COUNTIF(Matches!$C:$C,$B221)</f>
        <v>0</v>
      </c>
      <c r="I221" s="342">
        <f>COUNTIF(Matches!$B:$B,B221)</f>
        <v>0</v>
      </c>
      <c r="J221" s="79">
        <f t="shared" si="2"/>
        <v>0</v>
      </c>
      <c r="K221" s="1" t="str">
        <f t="shared" si="3"/>
        <v>0 - 0</v>
      </c>
      <c r="L221" s="343">
        <f>COUNTIF(Entropy!$D:$D,$B221)</f>
        <v>0</v>
      </c>
      <c r="M221" s="344">
        <f t="shared" si="4"/>
        <v>0</v>
      </c>
      <c r="N221" s="344">
        <f t="shared" si="5"/>
        <v>0</v>
      </c>
      <c r="O221" s="341">
        <f>IF($J221=11,0,IF(AND($H221 &gt;=VLOOKUP(Standings!$C$2,Quotas!$A$7:$E$14,4,FALSE), $H221&lt;=VLOOKUP(Standings!$C$2,Quotas!$A$7:$E$14,5,FALSE)), 0,VLOOKUP(Standings!$C$2,Quotas!$A$7:$E$14,4,FALSE)-$H221))</f>
        <v>30</v>
      </c>
      <c r="P221" s="341">
        <f>IF($J221=11,0,IF(AND($H221 &gt;=VLOOKUP(Standings!$C$2,Quotas!$A$7:$E$14,5,FALSE), $H221&lt;=VLOOKUP(Standings!$C$2,Quotas!$A$7:$E$14,5,FALSE)), 0,VLOOKUP(Standings!$C$2,Quotas!$A$7:$E$14,5,FALSE)-$H221))</f>
        <v>30</v>
      </c>
      <c r="Q221" s="79">
        <f t="shared" si="6"/>
        <v>11</v>
      </c>
      <c r="R221" s="345" t="str">
        <f t="shared" si="7"/>
        <v/>
      </c>
      <c r="S221" s="344">
        <f t="shared" si="8"/>
        <v>0.33</v>
      </c>
      <c r="T221" s="345" t="str">
        <f>IFERROR(__xludf.DUMMYFUNCTION("JOIN("","",IFERROR(FILTER(Matches!$B:$B,B221=Matches!$C:$C),""""),IFERROR(FILTER(Matches!$C:$C,B221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21" s="344">
        <f>IFERROR(__xludf.DUMMYFUNCTION("iferror(AVERAGE(ARRAYFORMULA(VLOOKUP(SPLIT(T221,"","",TRUE,TRUE),$R$2:$S654,2,FALSE))),0)"),0.0)</f>
        <v>0</v>
      </c>
      <c r="V221" s="346">
        <f>IFERROR(__xludf.DUMMYFUNCTION("RANK($I221, $I$2:$I654, FALSE) + RANK($M221, Filter($M$2:$M654, $I$2:$I654=$I221),FALSE)+RANK($U221, Filter($U$2:$U654, $I$2:$I654=$I221,$M$2:$M654=$M221),FALSE)-2"),1.0)</f>
        <v>1</v>
      </c>
      <c r="W221" s="347" t="str">
        <f t="shared" si="9"/>
        <v>Underplay</v>
      </c>
      <c r="X221" s="348" t="str">
        <f t="shared" si="10"/>
        <v/>
      </c>
      <c r="Y221" s="349">
        <f>MAXIFS(Matches!$A:$A,Matches!$C:$C,$B221)</f>
        <v>0</v>
      </c>
      <c r="Z221" s="349">
        <f t="array" ref="Z221">XLOOKUP(Y221,Quotas!$B$7:$B$10,Quotas!$A$7:$A$10,0,-1)</f>
        <v>0</v>
      </c>
      <c r="AB221" s="79"/>
      <c r="AC221" s="79">
        <f>COUNTIFS(Matches!$A:$A,"&gt;"&amp;Y221,Matches!$B:$B,$B221)</f>
        <v>0</v>
      </c>
      <c r="AD221" s="79"/>
      <c r="AE221" s="31" t="str">
        <f t="array" ref="AE221">XLOOKUP(B221, 'College List'!A:A, 'College List'!B:B)</f>
        <v>#N/A</v>
      </c>
      <c r="AF221" s="357">
        <v>8.0</v>
      </c>
      <c r="AG221" s="79"/>
      <c r="AH221" s="79"/>
      <c r="AI221" s="79"/>
    </row>
    <row r="222">
      <c r="A222" s="9">
        <f t="shared" si="1"/>
        <v>1</v>
      </c>
      <c r="C222" s="350"/>
      <c r="D222" s="93"/>
      <c r="E222" s="1"/>
      <c r="F222" s="1"/>
      <c r="G222" s="1"/>
      <c r="H222" s="341">
        <f>COUNTIF(Entropy!$D:$D,$B222)+COUNTIF(Matches!$B:$B,$B222)+COUNTIF(Matches!$C:$C,$B222)</f>
        <v>0</v>
      </c>
      <c r="I222" s="342">
        <f>COUNTIF(Matches!$B:$B,B222)</f>
        <v>0</v>
      </c>
      <c r="J222" s="79">
        <f t="shared" si="2"/>
        <v>0</v>
      </c>
      <c r="K222" s="1" t="str">
        <f t="shared" si="3"/>
        <v>0 - 0</v>
      </c>
      <c r="L222" s="343">
        <f>COUNTIF(Entropy!$D:$D,$B222)</f>
        <v>0</v>
      </c>
      <c r="M222" s="344">
        <f t="shared" si="4"/>
        <v>0</v>
      </c>
      <c r="N222" s="344">
        <f t="shared" si="5"/>
        <v>0</v>
      </c>
      <c r="O222" s="341">
        <f>IF($J222=11,0,IF(AND($H222 &gt;=VLOOKUP(Standings!$C$2,Quotas!$A$7:$E$14,4,FALSE), $H222&lt;=VLOOKUP(Standings!$C$2,Quotas!$A$7:$E$14,5,FALSE)), 0,VLOOKUP(Standings!$C$2,Quotas!$A$7:$E$14,4,FALSE)-$H222))</f>
        <v>30</v>
      </c>
      <c r="P222" s="341">
        <f>IF($J222=11,0,IF(AND($H222 &gt;=VLOOKUP(Standings!$C$2,Quotas!$A$7:$E$14,5,FALSE), $H222&lt;=VLOOKUP(Standings!$C$2,Quotas!$A$7:$E$14,5,FALSE)), 0,VLOOKUP(Standings!$C$2,Quotas!$A$7:$E$14,5,FALSE)-$H222))</f>
        <v>30</v>
      </c>
      <c r="Q222" s="79">
        <f t="shared" si="6"/>
        <v>11</v>
      </c>
      <c r="R222" s="345" t="str">
        <f t="shared" si="7"/>
        <v/>
      </c>
      <c r="S222" s="344">
        <f t="shared" si="8"/>
        <v>0.33</v>
      </c>
      <c r="T222" s="345" t="str">
        <f>IFERROR(__xludf.DUMMYFUNCTION("JOIN("","",IFERROR(FILTER(Matches!$B:$B,B222=Matches!$C:$C),""""),IFERROR(FILTER(Matches!$C:$C,B222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22" s="344">
        <f>IFERROR(__xludf.DUMMYFUNCTION("iferror(AVERAGE(ARRAYFORMULA(VLOOKUP(SPLIT(T222,"","",TRUE,TRUE),$R$2:$S654,2,FALSE))),0)"),0.0)</f>
        <v>0</v>
      </c>
      <c r="V222" s="346">
        <f>IFERROR(__xludf.DUMMYFUNCTION("RANK($I222, $I$2:$I654, FALSE) + RANK($M222, Filter($M$2:$M654, $I$2:$I654=$I222),FALSE)+RANK($U222, Filter($U$2:$U654, $I$2:$I654=$I222,$M$2:$M654=$M222),FALSE)-2"),1.0)</f>
        <v>1</v>
      </c>
      <c r="W222" s="347" t="str">
        <f t="shared" si="9"/>
        <v>Underplay</v>
      </c>
      <c r="X222" s="348" t="str">
        <f t="shared" si="10"/>
        <v/>
      </c>
      <c r="Y222" s="349">
        <f>MAXIFS(Matches!$A:$A,Matches!$C:$C,$B222)</f>
        <v>0</v>
      </c>
      <c r="Z222" s="349">
        <f t="array" ref="Z222">XLOOKUP(Y222,Quotas!$B$7:$B$10,Quotas!$A$7:$A$10,0,-1)</f>
        <v>0</v>
      </c>
      <c r="AB222" s="79"/>
      <c r="AC222" s="79">
        <f>COUNTIFS(Matches!$A:$A,"&gt;"&amp;Y222,Matches!$B:$B,$B222)</f>
        <v>0</v>
      </c>
      <c r="AD222" s="79"/>
      <c r="AE222" s="31" t="str">
        <f t="array" ref="AE222">XLOOKUP(B222, 'College List'!A:A, 'College List'!B:B)</f>
        <v>#N/A</v>
      </c>
      <c r="AF222" s="357">
        <v>10.0</v>
      </c>
      <c r="AG222" s="79"/>
      <c r="AH222" s="79"/>
      <c r="AI222" s="79"/>
    </row>
    <row r="223">
      <c r="A223" s="9">
        <f t="shared" si="1"/>
        <v>1</v>
      </c>
      <c r="C223" s="350"/>
      <c r="D223" s="93"/>
      <c r="E223" s="1"/>
      <c r="F223" s="1"/>
      <c r="G223" s="1"/>
      <c r="H223" s="341">
        <f>COUNTIF(Entropy!$D:$D,$B223)+COUNTIF(Matches!$B:$B,$B223)+COUNTIF(Matches!$C:$C,$B223)</f>
        <v>0</v>
      </c>
      <c r="I223" s="342">
        <f>COUNTIF(Matches!$B:$B,B223)</f>
        <v>0</v>
      </c>
      <c r="J223" s="79">
        <f t="shared" si="2"/>
        <v>0</v>
      </c>
      <c r="K223" s="1" t="str">
        <f t="shared" si="3"/>
        <v>0 - 0</v>
      </c>
      <c r="L223" s="343">
        <f>COUNTIF(Entropy!$D:$D,$B223)</f>
        <v>0</v>
      </c>
      <c r="M223" s="344">
        <f t="shared" si="4"/>
        <v>0</v>
      </c>
      <c r="N223" s="344">
        <f t="shared" si="5"/>
        <v>0</v>
      </c>
      <c r="O223" s="341">
        <f>IF($J223=11,0,IF(AND($H223 &gt;=VLOOKUP(Standings!$C$2,Quotas!$A$7:$E$14,4,FALSE), $H223&lt;=VLOOKUP(Standings!$C$2,Quotas!$A$7:$E$14,5,FALSE)), 0,VLOOKUP(Standings!$C$2,Quotas!$A$7:$E$14,4,FALSE)-$H223))</f>
        <v>30</v>
      </c>
      <c r="P223" s="341">
        <f>IF($J223=11,0,IF(AND($H223 &gt;=VLOOKUP(Standings!$C$2,Quotas!$A$7:$E$14,5,FALSE), $H223&lt;=VLOOKUP(Standings!$C$2,Quotas!$A$7:$E$14,5,FALSE)), 0,VLOOKUP(Standings!$C$2,Quotas!$A$7:$E$14,5,FALSE)-$H223))</f>
        <v>30</v>
      </c>
      <c r="Q223" s="79">
        <f t="shared" si="6"/>
        <v>11</v>
      </c>
      <c r="R223" s="345" t="str">
        <f t="shared" si="7"/>
        <v/>
      </c>
      <c r="S223" s="344">
        <f t="shared" si="8"/>
        <v>0.33</v>
      </c>
      <c r="T223" s="345" t="str">
        <f>IFERROR(__xludf.DUMMYFUNCTION("JOIN("","",IFERROR(FILTER(Matches!$B:$B,B223=Matches!$C:$C),""""),IFERROR(FILTER(Matches!$C:$C,B223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23" s="344">
        <f>IFERROR(__xludf.DUMMYFUNCTION("iferror(AVERAGE(ARRAYFORMULA(VLOOKUP(SPLIT(T223,"","",TRUE,TRUE),$R$2:$S654,2,FALSE))),0)"),0.0)</f>
        <v>0</v>
      </c>
      <c r="V223" s="346">
        <f>IFERROR(__xludf.DUMMYFUNCTION("RANK($I223, $I$2:$I654, FALSE) + RANK($M223, Filter($M$2:$M654, $I$2:$I654=$I223),FALSE)+RANK($U223, Filter($U$2:$U654, $I$2:$I654=$I223,$M$2:$M654=$M223),FALSE)-2"),1.0)</f>
        <v>1</v>
      </c>
      <c r="W223" s="347" t="str">
        <f t="shared" si="9"/>
        <v>Underplay</v>
      </c>
      <c r="X223" s="348" t="str">
        <f t="shared" si="10"/>
        <v/>
      </c>
      <c r="Y223" s="349">
        <f>MAXIFS(Matches!$A:$A,Matches!$C:$C,$B223)</f>
        <v>0</v>
      </c>
      <c r="Z223" s="349">
        <f t="array" ref="Z223">XLOOKUP(Y223,Quotas!$B$7:$B$10,Quotas!$A$7:$A$10,0,-1)</f>
        <v>0</v>
      </c>
      <c r="AB223" s="79"/>
      <c r="AC223" s="79">
        <f>COUNTIFS(Matches!$A:$A,"&gt;"&amp;Y223,Matches!$B:$B,$B223)</f>
        <v>0</v>
      </c>
      <c r="AD223" s="79"/>
      <c r="AE223" s="31" t="str">
        <f t="array" ref="AE223">XLOOKUP(B223, 'College List'!A:A, 'College List'!B:B)</f>
        <v>#N/A</v>
      </c>
      <c r="AF223" s="79"/>
      <c r="AG223" s="79"/>
      <c r="AH223" s="79"/>
      <c r="AI223" s="79"/>
    </row>
    <row r="224">
      <c r="A224" s="9">
        <f t="shared" si="1"/>
        <v>1</v>
      </c>
      <c r="C224" s="350"/>
      <c r="D224" s="93"/>
      <c r="E224" s="1"/>
      <c r="F224" s="1"/>
      <c r="G224" s="1"/>
      <c r="H224" s="341">
        <f>COUNTIF(Entropy!$D:$D,$B224)+COUNTIF(Matches!$B:$B,$B224)+COUNTIF(Matches!$C:$C,$B224)</f>
        <v>0</v>
      </c>
      <c r="I224" s="342">
        <f>COUNTIF(Matches!$B:$B,B224)</f>
        <v>0</v>
      </c>
      <c r="J224" s="79">
        <f t="shared" si="2"/>
        <v>0</v>
      </c>
      <c r="K224" s="1" t="str">
        <f t="shared" si="3"/>
        <v>0 - 0</v>
      </c>
      <c r="L224" s="343">
        <f>COUNTIF(Entropy!$D:$D,$B224)</f>
        <v>0</v>
      </c>
      <c r="M224" s="344">
        <f t="shared" si="4"/>
        <v>0</v>
      </c>
      <c r="N224" s="344">
        <f t="shared" si="5"/>
        <v>0</v>
      </c>
      <c r="O224" s="341">
        <f>IF($J224=11,0,IF(AND($H224 &gt;=VLOOKUP(Standings!$C$2,Quotas!$A$7:$E$14,4,FALSE), $H224&lt;=VLOOKUP(Standings!$C$2,Quotas!$A$7:$E$14,5,FALSE)), 0,VLOOKUP(Standings!$C$2,Quotas!$A$7:$E$14,4,FALSE)-$H224))</f>
        <v>30</v>
      </c>
      <c r="P224" s="341">
        <f>IF($J224=11,0,IF(AND($H224 &gt;=VLOOKUP(Standings!$C$2,Quotas!$A$7:$E$14,5,FALSE), $H224&lt;=VLOOKUP(Standings!$C$2,Quotas!$A$7:$E$14,5,FALSE)), 0,VLOOKUP(Standings!$C$2,Quotas!$A$7:$E$14,5,FALSE)-$H224))</f>
        <v>30</v>
      </c>
      <c r="Q224" s="79">
        <f t="shared" si="6"/>
        <v>11</v>
      </c>
      <c r="R224" s="345" t="str">
        <f t="shared" si="7"/>
        <v/>
      </c>
      <c r="S224" s="344">
        <f t="shared" si="8"/>
        <v>0.33</v>
      </c>
      <c r="T224" s="345" t="str">
        <f>IFERROR(__xludf.DUMMYFUNCTION("JOIN("","",IFERROR(FILTER(Matches!$B:$B,B224=Matches!$C:$C),""""),IFERROR(FILTER(Matches!$C:$C,B224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24" s="344">
        <f>IFERROR(__xludf.DUMMYFUNCTION("iferror(AVERAGE(ARRAYFORMULA(VLOOKUP(SPLIT(T224,"","",TRUE,TRUE),$R$2:$S654,2,FALSE))),0)"),0.0)</f>
        <v>0</v>
      </c>
      <c r="V224" s="346">
        <f>IFERROR(__xludf.DUMMYFUNCTION("RANK($I224, $I$2:$I654, FALSE) + RANK($M224, Filter($M$2:$M654, $I$2:$I654=$I224),FALSE)+RANK($U224, Filter($U$2:$U654, $I$2:$I654=$I224,$M$2:$M654=$M224),FALSE)-2"),1.0)</f>
        <v>1</v>
      </c>
      <c r="W224" s="347" t="str">
        <f t="shared" si="9"/>
        <v>Underplay</v>
      </c>
      <c r="X224" s="348" t="str">
        <f t="shared" si="10"/>
        <v/>
      </c>
      <c r="Y224" s="349">
        <f>MAXIFS(Matches!$A:$A,Matches!$C:$C,$B224)</f>
        <v>0</v>
      </c>
      <c r="Z224" s="349">
        <f t="array" ref="Z224">XLOOKUP(Y224,Quotas!$B$7:$B$10,Quotas!$A$7:$A$10,0,-1)</f>
        <v>0</v>
      </c>
      <c r="AB224" s="79"/>
      <c r="AC224" s="79">
        <f>COUNTIFS(Matches!$A:$A,"&gt;"&amp;Y224,Matches!$B:$B,$B224)</f>
        <v>0</v>
      </c>
      <c r="AD224" s="79"/>
      <c r="AE224" s="31" t="str">
        <f t="array" ref="AE224">XLOOKUP(B224, 'College List'!A:A, 'College List'!B:B)</f>
        <v>#N/A</v>
      </c>
      <c r="AF224" s="357">
        <v>10.0</v>
      </c>
      <c r="AG224" s="79"/>
      <c r="AH224" s="79"/>
      <c r="AI224" s="79"/>
    </row>
    <row r="225">
      <c r="A225" s="9">
        <f t="shared" si="1"/>
        <v>1</v>
      </c>
      <c r="C225" s="350"/>
      <c r="D225" s="93"/>
      <c r="E225" s="1"/>
      <c r="F225" s="1"/>
      <c r="G225" s="1"/>
      <c r="H225" s="341">
        <f>COUNTIF(Entropy!$D:$D,$B225)+COUNTIF(Matches!$B:$B,$B225)+COUNTIF(Matches!$C:$C,$B225)</f>
        <v>0</v>
      </c>
      <c r="I225" s="342">
        <f>COUNTIF(Matches!$B:$B,B225)</f>
        <v>0</v>
      </c>
      <c r="J225" s="79">
        <f t="shared" si="2"/>
        <v>0</v>
      </c>
      <c r="K225" s="1" t="str">
        <f t="shared" si="3"/>
        <v>0 - 0</v>
      </c>
      <c r="L225" s="343">
        <f>COUNTIF(Entropy!$D:$D,$B225)</f>
        <v>0</v>
      </c>
      <c r="M225" s="344">
        <f t="shared" si="4"/>
        <v>0</v>
      </c>
      <c r="N225" s="344">
        <f t="shared" si="5"/>
        <v>0</v>
      </c>
      <c r="O225" s="341">
        <f>IF($J225=11,0,IF(AND($H225 &gt;=VLOOKUP(Standings!$C$2,Quotas!$A$7:$E$14,4,FALSE), $H225&lt;=VLOOKUP(Standings!$C$2,Quotas!$A$7:$E$14,5,FALSE)), 0,VLOOKUP(Standings!$C$2,Quotas!$A$7:$E$14,4,FALSE)-$H225))</f>
        <v>30</v>
      </c>
      <c r="P225" s="341">
        <f>IF($J225=11,0,IF(AND($H225 &gt;=VLOOKUP(Standings!$C$2,Quotas!$A$7:$E$14,5,FALSE), $H225&lt;=VLOOKUP(Standings!$C$2,Quotas!$A$7:$E$14,5,FALSE)), 0,VLOOKUP(Standings!$C$2,Quotas!$A$7:$E$14,5,FALSE)-$H225))</f>
        <v>30</v>
      </c>
      <c r="Q225" s="79">
        <f t="shared" si="6"/>
        <v>11</v>
      </c>
      <c r="R225" s="345" t="str">
        <f t="shared" si="7"/>
        <v/>
      </c>
      <c r="S225" s="344">
        <f t="shared" si="8"/>
        <v>0.33</v>
      </c>
      <c r="T225" s="345" t="str">
        <f>IFERROR(__xludf.DUMMYFUNCTION("JOIN("","",IFERROR(FILTER(Matches!$B:$B,B225=Matches!$C:$C),""""),IFERROR(FILTER(Matches!$C:$C,B225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25" s="344">
        <f>IFERROR(__xludf.DUMMYFUNCTION("iferror(AVERAGE(ARRAYFORMULA(VLOOKUP(SPLIT(T225,"","",TRUE,TRUE),$R$2:$S654,2,FALSE))),0)"),0.0)</f>
        <v>0</v>
      </c>
      <c r="V225" s="346">
        <f>IFERROR(__xludf.DUMMYFUNCTION("RANK($I225, $I$2:$I654, FALSE) + RANK($M225, Filter($M$2:$M654, $I$2:$I654=$I225),FALSE)+RANK($U225, Filter($U$2:$U654, $I$2:$I654=$I225,$M$2:$M654=$M225),FALSE)-2"),1.0)</f>
        <v>1</v>
      </c>
      <c r="W225" s="347" t="str">
        <f t="shared" si="9"/>
        <v>Underplay</v>
      </c>
      <c r="X225" s="348" t="str">
        <f t="shared" si="10"/>
        <v/>
      </c>
      <c r="Y225" s="349">
        <f>MAXIFS(Matches!$A:$A,Matches!$C:$C,$B225)</f>
        <v>0</v>
      </c>
      <c r="Z225" s="349">
        <f t="array" ref="Z225">XLOOKUP(Y225,Quotas!$B$7:$B$10,Quotas!$A$7:$A$10,0,-1)</f>
        <v>0</v>
      </c>
      <c r="AB225" s="79"/>
      <c r="AC225" s="79">
        <f>COUNTIFS(Matches!$A:$A,"&gt;"&amp;Y225,Matches!$B:$B,$B225)</f>
        <v>0</v>
      </c>
      <c r="AD225" s="79"/>
      <c r="AE225" s="31" t="str">
        <f t="array" ref="AE225">XLOOKUP(B225, 'College List'!A:A, 'College List'!B:B)</f>
        <v>#N/A</v>
      </c>
      <c r="AF225" s="357">
        <v>10.0</v>
      </c>
      <c r="AG225" s="79"/>
      <c r="AH225" s="79"/>
      <c r="AI225" s="79"/>
    </row>
    <row r="226">
      <c r="A226" s="9">
        <f t="shared" si="1"/>
        <v>1</v>
      </c>
      <c r="C226" s="350"/>
      <c r="D226" s="93"/>
      <c r="E226" s="1"/>
      <c r="F226" s="1"/>
      <c r="G226" s="1"/>
      <c r="H226" s="341">
        <f>COUNTIF(Entropy!$D:$D,$B226)+COUNTIF(Matches!$B:$B,$B226)+COUNTIF(Matches!$C:$C,$B226)</f>
        <v>0</v>
      </c>
      <c r="I226" s="342">
        <f>COUNTIF(Matches!$B:$B,B226)</f>
        <v>0</v>
      </c>
      <c r="J226" s="79">
        <f t="shared" si="2"/>
        <v>0</v>
      </c>
      <c r="K226" s="1" t="str">
        <f t="shared" si="3"/>
        <v>0 - 0</v>
      </c>
      <c r="L226" s="343">
        <f>COUNTIF(Entropy!$D:$D,$B226)</f>
        <v>0</v>
      </c>
      <c r="M226" s="344">
        <f t="shared" si="4"/>
        <v>0</v>
      </c>
      <c r="N226" s="344">
        <f t="shared" si="5"/>
        <v>0</v>
      </c>
      <c r="O226" s="341">
        <f>IF($J226=11,0,IF(AND($H226 &gt;=VLOOKUP(Standings!$C$2,Quotas!$A$7:$E$14,4,FALSE), $H226&lt;=VLOOKUP(Standings!$C$2,Quotas!$A$7:$E$14,5,FALSE)), 0,VLOOKUP(Standings!$C$2,Quotas!$A$7:$E$14,4,FALSE)-$H226))</f>
        <v>30</v>
      </c>
      <c r="P226" s="341">
        <f>IF($J226=11,0,IF(AND($H226 &gt;=VLOOKUP(Standings!$C$2,Quotas!$A$7:$E$14,5,FALSE), $H226&lt;=VLOOKUP(Standings!$C$2,Quotas!$A$7:$E$14,5,FALSE)), 0,VLOOKUP(Standings!$C$2,Quotas!$A$7:$E$14,5,FALSE)-$H226))</f>
        <v>30</v>
      </c>
      <c r="Q226" s="79">
        <f t="shared" si="6"/>
        <v>11</v>
      </c>
      <c r="R226" s="345" t="str">
        <f t="shared" si="7"/>
        <v/>
      </c>
      <c r="S226" s="344">
        <f t="shared" si="8"/>
        <v>0.33</v>
      </c>
      <c r="T226" s="345" t="str">
        <f>IFERROR(__xludf.DUMMYFUNCTION("JOIN("","",IFERROR(FILTER(Matches!$B:$B,B226=Matches!$C:$C),""""),IFERROR(FILTER(Matches!$C:$C,B226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26" s="344">
        <f>IFERROR(__xludf.DUMMYFUNCTION("iferror(AVERAGE(ARRAYFORMULA(VLOOKUP(SPLIT(T226,"","",TRUE,TRUE),$R$2:$S654,2,FALSE))),0)"),0.0)</f>
        <v>0</v>
      </c>
      <c r="V226" s="346">
        <f>IFERROR(__xludf.DUMMYFUNCTION("RANK($I226, $I$2:$I654, FALSE) + RANK($M226, Filter($M$2:$M654, $I$2:$I654=$I226),FALSE)+RANK($U226, Filter($U$2:$U654, $I$2:$I654=$I226,$M$2:$M654=$M226),FALSE)-2"),1.0)</f>
        <v>1</v>
      </c>
      <c r="W226" s="347" t="str">
        <f t="shared" si="9"/>
        <v>Underplay</v>
      </c>
      <c r="X226" s="348" t="str">
        <f t="shared" si="10"/>
        <v/>
      </c>
      <c r="Y226" s="349">
        <f>MAXIFS(Matches!$A:$A,Matches!$C:$C,$B226)</f>
        <v>0</v>
      </c>
      <c r="Z226" s="349">
        <f t="array" ref="Z226">XLOOKUP(Y226,Quotas!$B$7:$B$10,Quotas!$A$7:$A$10,0,-1)</f>
        <v>0</v>
      </c>
      <c r="AB226" s="79"/>
      <c r="AC226" s="79">
        <f>COUNTIFS(Matches!$A:$A,"&gt;"&amp;Y226,Matches!$B:$B,$B226)</f>
        <v>0</v>
      </c>
      <c r="AD226" s="79"/>
      <c r="AE226" s="31" t="str">
        <f t="array" ref="AE226">XLOOKUP(B226, 'College List'!A:A, 'College List'!B:B)</f>
        <v>#N/A</v>
      </c>
      <c r="AF226" s="357">
        <v>7.0</v>
      </c>
      <c r="AG226" s="79"/>
      <c r="AH226" s="79"/>
      <c r="AI226" s="79"/>
    </row>
    <row r="227">
      <c r="A227" s="9">
        <f t="shared" si="1"/>
        <v>1</v>
      </c>
      <c r="C227" s="350"/>
      <c r="D227" s="93"/>
      <c r="E227" s="1"/>
      <c r="F227" s="1"/>
      <c r="G227" s="1"/>
      <c r="H227" s="341">
        <f>COUNTIF(Entropy!$D:$D,$B227)+COUNTIF(Matches!$B:$B,$B227)+COUNTIF(Matches!$C:$C,$B227)</f>
        <v>0</v>
      </c>
      <c r="I227" s="342">
        <f>COUNTIF(Matches!$B:$B,B227)</f>
        <v>0</v>
      </c>
      <c r="J227" s="79">
        <f t="shared" si="2"/>
        <v>0</v>
      </c>
      <c r="K227" s="1" t="str">
        <f t="shared" si="3"/>
        <v>0 - 0</v>
      </c>
      <c r="L227" s="343">
        <f>COUNTIF(Entropy!$D:$D,$B227)</f>
        <v>0</v>
      </c>
      <c r="M227" s="344">
        <f t="shared" si="4"/>
        <v>0</v>
      </c>
      <c r="N227" s="344">
        <f t="shared" si="5"/>
        <v>0</v>
      </c>
      <c r="O227" s="341">
        <f>IF($J227=11,0,IF(AND($H227 &gt;=VLOOKUP(Standings!$C$2,Quotas!$A$7:$E$14,4,FALSE), $H227&lt;=VLOOKUP(Standings!$C$2,Quotas!$A$7:$E$14,5,FALSE)), 0,VLOOKUP(Standings!$C$2,Quotas!$A$7:$E$14,4,FALSE)-$H227))</f>
        <v>30</v>
      </c>
      <c r="P227" s="341">
        <f>IF($J227=11,0,IF(AND($H227 &gt;=VLOOKUP(Standings!$C$2,Quotas!$A$7:$E$14,5,FALSE), $H227&lt;=VLOOKUP(Standings!$C$2,Quotas!$A$7:$E$14,5,FALSE)), 0,VLOOKUP(Standings!$C$2,Quotas!$A$7:$E$14,5,FALSE)-$H227))</f>
        <v>30</v>
      </c>
      <c r="Q227" s="79">
        <f t="shared" si="6"/>
        <v>11</v>
      </c>
      <c r="R227" s="345" t="str">
        <f t="shared" si="7"/>
        <v/>
      </c>
      <c r="S227" s="344">
        <f t="shared" si="8"/>
        <v>0.33</v>
      </c>
      <c r="T227" s="345" t="str">
        <f>IFERROR(__xludf.DUMMYFUNCTION("JOIN("","",IFERROR(FILTER(Matches!$B:$B,B227=Matches!$C:$C),""""),IFERROR(FILTER(Matches!$C:$C,B227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27" s="344">
        <f>IFERROR(__xludf.DUMMYFUNCTION("iferror(AVERAGE(ARRAYFORMULA(VLOOKUP(SPLIT(T227,"","",TRUE,TRUE),$R$2:$S654,2,FALSE))),0)"),0.0)</f>
        <v>0</v>
      </c>
      <c r="V227" s="346">
        <f>IFERROR(__xludf.DUMMYFUNCTION("RANK($I227, $I$2:$I654, FALSE) + RANK($M227, Filter($M$2:$M654, $I$2:$I654=$I227),FALSE)+RANK($U227, Filter($U$2:$U654, $I$2:$I654=$I227,$M$2:$M654=$M227),FALSE)-2"),1.0)</f>
        <v>1</v>
      </c>
      <c r="W227" s="347" t="str">
        <f t="shared" si="9"/>
        <v>Underplay</v>
      </c>
      <c r="X227" s="348" t="str">
        <f t="shared" si="10"/>
        <v/>
      </c>
      <c r="Y227" s="349">
        <f>MAXIFS(Matches!$A:$A,Matches!$C:$C,$B227)</f>
        <v>0</v>
      </c>
      <c r="Z227" s="349">
        <f t="array" ref="Z227">XLOOKUP(Y227,Quotas!$B$7:$B$10,Quotas!$A$7:$A$10,0,-1)</f>
        <v>0</v>
      </c>
      <c r="AB227" s="79"/>
      <c r="AC227" s="79">
        <f>COUNTIFS(Matches!$A:$A,"&gt;"&amp;Y227,Matches!$B:$B,$B227)</f>
        <v>0</v>
      </c>
      <c r="AD227" s="79"/>
      <c r="AE227" s="31" t="str">
        <f t="array" ref="AE227">XLOOKUP(B227, 'College List'!A:A, 'College List'!B:B)</f>
        <v>#N/A</v>
      </c>
      <c r="AF227" s="357">
        <v>9.0</v>
      </c>
      <c r="AG227" s="79"/>
      <c r="AH227" s="79"/>
      <c r="AI227" s="79"/>
    </row>
    <row r="228">
      <c r="A228" s="9">
        <f t="shared" si="1"/>
        <v>1</v>
      </c>
      <c r="C228" s="350"/>
      <c r="D228" s="93"/>
      <c r="E228" s="1"/>
      <c r="F228" s="1"/>
      <c r="G228" s="1"/>
      <c r="H228" s="341">
        <f>COUNTIF(Entropy!$D:$D,$B228)+COUNTIF(Matches!$B:$B,$B228)+COUNTIF(Matches!$C:$C,$B228)</f>
        <v>0</v>
      </c>
      <c r="I228" s="342">
        <f>COUNTIF(Matches!$B:$B,B228)</f>
        <v>0</v>
      </c>
      <c r="J228" s="79">
        <f t="shared" si="2"/>
        <v>0</v>
      </c>
      <c r="K228" s="1" t="str">
        <f t="shared" si="3"/>
        <v>0 - 0</v>
      </c>
      <c r="L228" s="343">
        <f>COUNTIF(Entropy!$D:$D,$B228)</f>
        <v>0</v>
      </c>
      <c r="M228" s="344">
        <f t="shared" si="4"/>
        <v>0</v>
      </c>
      <c r="N228" s="344">
        <f t="shared" si="5"/>
        <v>0</v>
      </c>
      <c r="O228" s="341">
        <f>IF($J228=11,0,IF(AND($H228 &gt;=VLOOKUP(Standings!$C$2,Quotas!$A$7:$E$14,4,FALSE), $H228&lt;=VLOOKUP(Standings!$C$2,Quotas!$A$7:$E$14,5,FALSE)), 0,VLOOKUP(Standings!$C$2,Quotas!$A$7:$E$14,4,FALSE)-$H228))</f>
        <v>30</v>
      </c>
      <c r="P228" s="341">
        <f>IF($J228=11,0,IF(AND($H228 &gt;=VLOOKUP(Standings!$C$2,Quotas!$A$7:$E$14,5,FALSE), $H228&lt;=VLOOKUP(Standings!$C$2,Quotas!$A$7:$E$14,5,FALSE)), 0,VLOOKUP(Standings!$C$2,Quotas!$A$7:$E$14,5,FALSE)-$H228))</f>
        <v>30</v>
      </c>
      <c r="Q228" s="79">
        <f t="shared" si="6"/>
        <v>11</v>
      </c>
      <c r="R228" s="345" t="str">
        <f t="shared" si="7"/>
        <v/>
      </c>
      <c r="S228" s="344">
        <f t="shared" si="8"/>
        <v>0.33</v>
      </c>
      <c r="T228" s="345" t="str">
        <f>IFERROR(__xludf.DUMMYFUNCTION("JOIN("","",IFERROR(FILTER(Matches!$B:$B,B228=Matches!$C:$C),""""),IFERROR(FILTER(Matches!$C:$C,B228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28" s="344">
        <f>IFERROR(__xludf.DUMMYFUNCTION("iferror(AVERAGE(ARRAYFORMULA(VLOOKUP(SPLIT(T228,"","",TRUE,TRUE),$R$2:$S654,2,FALSE))),0)"),0.0)</f>
        <v>0</v>
      </c>
      <c r="V228" s="346">
        <f>IFERROR(__xludf.DUMMYFUNCTION("RANK($I228, $I$2:$I654, FALSE) + RANK($M228, Filter($M$2:$M654, $I$2:$I654=$I228),FALSE)+RANK($U228, Filter($U$2:$U654, $I$2:$I654=$I228,$M$2:$M654=$M228),FALSE)-2"),1.0)</f>
        <v>1</v>
      </c>
      <c r="W228" s="347" t="str">
        <f t="shared" si="9"/>
        <v>Underplay</v>
      </c>
      <c r="X228" s="348" t="str">
        <f t="shared" si="10"/>
        <v/>
      </c>
      <c r="Y228" s="349">
        <f>MAXIFS(Matches!$A:$A,Matches!$C:$C,$B228)</f>
        <v>0</v>
      </c>
      <c r="Z228" s="349">
        <f t="array" ref="Z228">XLOOKUP(Y228,Quotas!$B$7:$B$10,Quotas!$A$7:$A$10,0,-1)</f>
        <v>0</v>
      </c>
      <c r="AB228" s="79"/>
      <c r="AC228" s="79">
        <f>COUNTIFS(Matches!$A:$A,"&gt;"&amp;Y228,Matches!$B:$B,$B228)</f>
        <v>0</v>
      </c>
      <c r="AD228" s="79"/>
      <c r="AE228" s="31" t="str">
        <f t="array" ref="AE228">XLOOKUP(B228, 'College List'!A:A, 'College List'!B:B)</f>
        <v>#N/A</v>
      </c>
      <c r="AF228" s="357">
        <v>9.0</v>
      </c>
      <c r="AG228" s="79"/>
      <c r="AH228" s="79"/>
      <c r="AI228" s="79"/>
    </row>
    <row r="229">
      <c r="A229" s="9">
        <f t="shared" si="1"/>
        <v>1</v>
      </c>
      <c r="C229" s="350"/>
      <c r="D229" s="93"/>
      <c r="E229" s="1"/>
      <c r="F229" s="1"/>
      <c r="G229" s="1"/>
      <c r="H229" s="341">
        <f>COUNTIF(Entropy!$D:$D,$B229)+COUNTIF(Matches!$B:$B,$B229)+COUNTIF(Matches!$C:$C,$B229)</f>
        <v>0</v>
      </c>
      <c r="I229" s="342">
        <f>COUNTIF(Matches!$B:$B,B229)</f>
        <v>0</v>
      </c>
      <c r="J229" s="79">
        <f t="shared" si="2"/>
        <v>0</v>
      </c>
      <c r="K229" s="1" t="str">
        <f t="shared" si="3"/>
        <v>0 - 0</v>
      </c>
      <c r="L229" s="343">
        <f>COUNTIF(Entropy!$D:$D,$B229)</f>
        <v>0</v>
      </c>
      <c r="M229" s="344">
        <f t="shared" si="4"/>
        <v>0</v>
      </c>
      <c r="N229" s="344">
        <f t="shared" si="5"/>
        <v>0</v>
      </c>
      <c r="O229" s="341">
        <f>IF($J229=11,0,IF(AND($H229 &gt;=VLOOKUP(Standings!$C$2,Quotas!$A$7:$E$14,4,FALSE), $H229&lt;=VLOOKUP(Standings!$C$2,Quotas!$A$7:$E$14,5,FALSE)), 0,VLOOKUP(Standings!$C$2,Quotas!$A$7:$E$14,4,FALSE)-$H229))</f>
        <v>30</v>
      </c>
      <c r="P229" s="341">
        <f>IF($J229=11,0,IF(AND($H229 &gt;=VLOOKUP(Standings!$C$2,Quotas!$A$7:$E$14,5,FALSE), $H229&lt;=VLOOKUP(Standings!$C$2,Quotas!$A$7:$E$14,5,FALSE)), 0,VLOOKUP(Standings!$C$2,Quotas!$A$7:$E$14,5,FALSE)-$H229))</f>
        <v>30</v>
      </c>
      <c r="Q229" s="79">
        <f t="shared" si="6"/>
        <v>11</v>
      </c>
      <c r="R229" s="345" t="str">
        <f t="shared" si="7"/>
        <v/>
      </c>
      <c r="S229" s="344">
        <f t="shared" si="8"/>
        <v>0.33</v>
      </c>
      <c r="T229" s="345" t="str">
        <f>IFERROR(__xludf.DUMMYFUNCTION("JOIN("","",IFERROR(FILTER(Matches!$B:$B,B229=Matches!$C:$C),""""),IFERROR(FILTER(Matches!$C:$C,B229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29" s="344">
        <f>IFERROR(__xludf.DUMMYFUNCTION("iferror(AVERAGE(ARRAYFORMULA(VLOOKUP(SPLIT(T229,"","",TRUE,TRUE),$R$2:$S654,2,FALSE))),0)"),0.0)</f>
        <v>0</v>
      </c>
      <c r="V229" s="346">
        <f>IFERROR(__xludf.DUMMYFUNCTION("RANK($I229, $I$2:$I654, FALSE) + RANK($M229, Filter($M$2:$M654, $I$2:$I654=$I229),FALSE)+RANK($U229, Filter($U$2:$U654, $I$2:$I654=$I229,$M$2:$M654=$M229),FALSE)-2"),1.0)</f>
        <v>1</v>
      </c>
      <c r="W229" s="347" t="str">
        <f t="shared" si="9"/>
        <v>Underplay</v>
      </c>
      <c r="X229" s="348" t="str">
        <f t="shared" si="10"/>
        <v/>
      </c>
      <c r="Y229" s="349">
        <f>MAXIFS(Matches!$A:$A,Matches!$C:$C,$B229)</f>
        <v>0</v>
      </c>
      <c r="Z229" s="349">
        <f t="array" ref="Z229">XLOOKUP(Y229,Quotas!$B$7:$B$10,Quotas!$A$7:$A$10,0,-1)</f>
        <v>0</v>
      </c>
      <c r="AB229" s="79"/>
      <c r="AC229" s="79">
        <f>COUNTIFS(Matches!$A:$A,"&gt;"&amp;Y229,Matches!$B:$B,$B229)</f>
        <v>0</v>
      </c>
      <c r="AD229" s="79"/>
      <c r="AE229" s="31" t="str">
        <f t="array" ref="AE229">XLOOKUP(B229, 'College List'!A:A, 'College List'!B:B)</f>
        <v>#N/A</v>
      </c>
      <c r="AF229" s="357">
        <v>9.0</v>
      </c>
      <c r="AG229" s="79"/>
      <c r="AH229" s="79"/>
      <c r="AI229" s="79"/>
    </row>
    <row r="230">
      <c r="A230" s="9">
        <f t="shared" si="1"/>
        <v>1</v>
      </c>
      <c r="C230" s="350"/>
      <c r="D230" s="93"/>
      <c r="E230" s="1"/>
      <c r="F230" s="1"/>
      <c r="G230" s="1"/>
      <c r="H230" s="341">
        <f>COUNTIF(Entropy!$D:$D,$B230)+COUNTIF(Matches!$B:$B,$B230)+COUNTIF(Matches!$C:$C,$B230)</f>
        <v>0</v>
      </c>
      <c r="I230" s="342">
        <f>COUNTIF(Matches!$B:$B,B230)</f>
        <v>0</v>
      </c>
      <c r="J230" s="79">
        <f t="shared" si="2"/>
        <v>0</v>
      </c>
      <c r="K230" s="1" t="str">
        <f t="shared" si="3"/>
        <v>0 - 0</v>
      </c>
      <c r="L230" s="343">
        <f>COUNTIF(Entropy!$D:$D,$B230)</f>
        <v>0</v>
      </c>
      <c r="M230" s="344">
        <f t="shared" si="4"/>
        <v>0</v>
      </c>
      <c r="N230" s="344">
        <f t="shared" si="5"/>
        <v>0</v>
      </c>
      <c r="O230" s="341">
        <f>IF($J230=11,0,IF(AND($H230 &gt;=VLOOKUP(Standings!$C$2,Quotas!$A$7:$E$14,4,FALSE), $H230&lt;=VLOOKUP(Standings!$C$2,Quotas!$A$7:$E$14,5,FALSE)), 0,VLOOKUP(Standings!$C$2,Quotas!$A$7:$E$14,4,FALSE)-$H230))</f>
        <v>30</v>
      </c>
      <c r="P230" s="341">
        <f>IF($J230=11,0,IF(AND($H230 &gt;=VLOOKUP(Standings!$C$2,Quotas!$A$7:$E$14,5,FALSE), $H230&lt;=VLOOKUP(Standings!$C$2,Quotas!$A$7:$E$14,5,FALSE)), 0,VLOOKUP(Standings!$C$2,Quotas!$A$7:$E$14,5,FALSE)-$H230))</f>
        <v>30</v>
      </c>
      <c r="Q230" s="79">
        <f t="shared" si="6"/>
        <v>11</v>
      </c>
      <c r="R230" s="345" t="str">
        <f t="shared" si="7"/>
        <v/>
      </c>
      <c r="S230" s="344">
        <f t="shared" si="8"/>
        <v>0.33</v>
      </c>
      <c r="T230" s="345" t="str">
        <f>IFERROR(__xludf.DUMMYFUNCTION("JOIN("","",IFERROR(FILTER(Matches!$B:$B,B230=Matches!$C:$C),""""),IFERROR(FILTER(Matches!$C:$C,B230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30" s="344">
        <f>IFERROR(__xludf.DUMMYFUNCTION("iferror(AVERAGE(ARRAYFORMULA(VLOOKUP(SPLIT(T230,"","",TRUE,TRUE),$R$2:$S654,2,FALSE))),0)"),0.0)</f>
        <v>0</v>
      </c>
      <c r="V230" s="346">
        <f>IFERROR(__xludf.DUMMYFUNCTION("RANK($I230, $I$2:$I654, FALSE) + RANK($M230, Filter($M$2:$M654, $I$2:$I654=$I230),FALSE)+RANK($U230, Filter($U$2:$U654, $I$2:$I654=$I230,$M$2:$M654=$M230),FALSE)-2"),1.0)</f>
        <v>1</v>
      </c>
      <c r="W230" s="347" t="str">
        <f t="shared" si="9"/>
        <v>Underplay</v>
      </c>
      <c r="X230" s="348" t="str">
        <f t="shared" si="10"/>
        <v/>
      </c>
      <c r="Y230" s="349">
        <f>MAXIFS(Matches!$A:$A,Matches!$C:$C,$B230)</f>
        <v>0</v>
      </c>
      <c r="Z230" s="349">
        <f t="array" ref="Z230">XLOOKUP(Y230,Quotas!$B$7:$B$10,Quotas!$A$7:$A$10,0,-1)</f>
        <v>0</v>
      </c>
      <c r="AB230" s="79"/>
      <c r="AC230" s="79">
        <f>COUNTIFS(Matches!$A:$A,"&gt;"&amp;Y230,Matches!$B:$B,$B230)</f>
        <v>0</v>
      </c>
      <c r="AD230" s="79"/>
      <c r="AE230" s="31" t="str">
        <f t="array" ref="AE230">XLOOKUP(B230, 'College List'!A:A, 'College List'!B:B)</f>
        <v>#N/A</v>
      </c>
      <c r="AF230" s="357">
        <v>9.0</v>
      </c>
      <c r="AG230" s="79"/>
      <c r="AH230" s="79"/>
      <c r="AI230" s="79"/>
    </row>
    <row r="231">
      <c r="A231" s="9">
        <f t="shared" si="1"/>
        <v>1</v>
      </c>
      <c r="C231" s="350"/>
      <c r="D231" s="93"/>
      <c r="E231" s="1"/>
      <c r="F231" s="1"/>
      <c r="G231" s="1"/>
      <c r="H231" s="341">
        <f>COUNTIF(Entropy!$D:$D,$B231)+COUNTIF(Matches!$B:$B,$B231)+COUNTIF(Matches!$C:$C,$B231)</f>
        <v>0</v>
      </c>
      <c r="I231" s="342">
        <f>COUNTIF(Matches!$B:$B,B231)</f>
        <v>0</v>
      </c>
      <c r="J231" s="79">
        <f t="shared" si="2"/>
        <v>0</v>
      </c>
      <c r="K231" s="1" t="str">
        <f t="shared" si="3"/>
        <v>0 - 0</v>
      </c>
      <c r="L231" s="343">
        <f>COUNTIF(Entropy!$D:$D,$B231)</f>
        <v>0</v>
      </c>
      <c r="M231" s="344">
        <f t="shared" si="4"/>
        <v>0</v>
      </c>
      <c r="N231" s="344">
        <f t="shared" si="5"/>
        <v>0</v>
      </c>
      <c r="O231" s="341">
        <f>IF($J231=11,0,IF(AND($H231 &gt;=VLOOKUP(Standings!$C$2,Quotas!$A$7:$E$14,4,FALSE), $H231&lt;=VLOOKUP(Standings!$C$2,Quotas!$A$7:$E$14,5,FALSE)), 0,VLOOKUP(Standings!$C$2,Quotas!$A$7:$E$14,4,FALSE)-$H231))</f>
        <v>30</v>
      </c>
      <c r="P231" s="341">
        <f>IF($J231=11,0,IF(AND($H231 &gt;=VLOOKUP(Standings!$C$2,Quotas!$A$7:$E$14,5,FALSE), $H231&lt;=VLOOKUP(Standings!$C$2,Quotas!$A$7:$E$14,5,FALSE)), 0,VLOOKUP(Standings!$C$2,Quotas!$A$7:$E$14,5,FALSE)-$H231))</f>
        <v>30</v>
      </c>
      <c r="Q231" s="79">
        <f t="shared" si="6"/>
        <v>11</v>
      </c>
      <c r="R231" s="345" t="str">
        <f t="shared" si="7"/>
        <v/>
      </c>
      <c r="S231" s="344">
        <f t="shared" si="8"/>
        <v>0.33</v>
      </c>
      <c r="T231" s="345" t="str">
        <f>IFERROR(__xludf.DUMMYFUNCTION("JOIN("","",IFERROR(FILTER(Matches!$B:$B,B231=Matches!$C:$C),""""),IFERROR(FILTER(Matches!$C:$C,B231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31" s="344">
        <f>IFERROR(__xludf.DUMMYFUNCTION("iferror(AVERAGE(ARRAYFORMULA(VLOOKUP(SPLIT(T231,"","",TRUE,TRUE),$R$2:$S654,2,FALSE))),0)"),0.0)</f>
        <v>0</v>
      </c>
      <c r="V231" s="346">
        <f>IFERROR(__xludf.DUMMYFUNCTION("RANK($I231, $I$2:$I654, FALSE) + RANK($M231, Filter($M$2:$M654, $I$2:$I654=$I231),FALSE)+RANK($U231, Filter($U$2:$U654, $I$2:$I654=$I231,$M$2:$M654=$M231),FALSE)-2"),1.0)</f>
        <v>1</v>
      </c>
      <c r="W231" s="347" t="str">
        <f t="shared" si="9"/>
        <v>Underplay</v>
      </c>
      <c r="X231" s="348" t="str">
        <f t="shared" si="10"/>
        <v/>
      </c>
      <c r="Y231" s="349">
        <f>MAXIFS(Matches!$A:$A,Matches!$C:$C,$B231)</f>
        <v>0</v>
      </c>
      <c r="Z231" s="349">
        <f t="array" ref="Z231">XLOOKUP(Y231,Quotas!$B$7:$B$10,Quotas!$A$7:$A$10,0,-1)</f>
        <v>0</v>
      </c>
      <c r="AB231" s="79"/>
      <c r="AC231" s="79">
        <f>COUNTIFS(Matches!$A:$A,"&gt;"&amp;Y231,Matches!$B:$B,$B231)</f>
        <v>0</v>
      </c>
      <c r="AD231" s="79"/>
      <c r="AE231" s="31" t="str">
        <f t="array" ref="AE231">XLOOKUP(B231, 'College List'!A:A, 'College List'!B:B)</f>
        <v>#N/A</v>
      </c>
      <c r="AF231" s="357">
        <v>5.0</v>
      </c>
      <c r="AG231" s="79"/>
      <c r="AH231" s="79"/>
      <c r="AI231" s="79"/>
    </row>
    <row r="232">
      <c r="A232" s="9">
        <f t="shared" si="1"/>
        <v>1</v>
      </c>
      <c r="C232" s="350"/>
      <c r="D232" s="93"/>
      <c r="E232" s="1"/>
      <c r="F232" s="1"/>
      <c r="G232" s="1"/>
      <c r="H232" s="341">
        <f>COUNTIF(Entropy!$D:$D,$B232)+COUNTIF(Matches!$B:$B,$B232)+COUNTIF(Matches!$C:$C,$B232)</f>
        <v>0</v>
      </c>
      <c r="I232" s="342">
        <f>COUNTIF(Matches!$B:$B,B232)</f>
        <v>0</v>
      </c>
      <c r="J232" s="79">
        <f t="shared" si="2"/>
        <v>0</v>
      </c>
      <c r="K232" s="1" t="str">
        <f t="shared" si="3"/>
        <v>0 - 0</v>
      </c>
      <c r="L232" s="343">
        <f>COUNTIF(Entropy!$D:$D,$B232)</f>
        <v>0</v>
      </c>
      <c r="M232" s="344">
        <f t="shared" si="4"/>
        <v>0</v>
      </c>
      <c r="N232" s="344">
        <f t="shared" si="5"/>
        <v>0</v>
      </c>
      <c r="O232" s="341">
        <f>IF($J232=11,0,IF(AND($H232 &gt;=VLOOKUP(Standings!$C$2,Quotas!$A$7:$E$14,4,FALSE), $H232&lt;=VLOOKUP(Standings!$C$2,Quotas!$A$7:$E$14,5,FALSE)), 0,VLOOKUP(Standings!$C$2,Quotas!$A$7:$E$14,4,FALSE)-$H232))</f>
        <v>30</v>
      </c>
      <c r="P232" s="341">
        <f>IF($J232=11,0,IF(AND($H232 &gt;=VLOOKUP(Standings!$C$2,Quotas!$A$7:$E$14,5,FALSE), $H232&lt;=VLOOKUP(Standings!$C$2,Quotas!$A$7:$E$14,5,FALSE)), 0,VLOOKUP(Standings!$C$2,Quotas!$A$7:$E$14,5,FALSE)-$H232))</f>
        <v>30</v>
      </c>
      <c r="Q232" s="79">
        <f t="shared" si="6"/>
        <v>11</v>
      </c>
      <c r="R232" s="345" t="str">
        <f t="shared" si="7"/>
        <v/>
      </c>
      <c r="S232" s="344">
        <f t="shared" si="8"/>
        <v>0.33</v>
      </c>
      <c r="T232" s="345" t="str">
        <f>IFERROR(__xludf.DUMMYFUNCTION("JOIN("","",IFERROR(FILTER(Matches!$B:$B,B232=Matches!$C:$C),""""),IFERROR(FILTER(Matches!$C:$C,B232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32" s="344">
        <f>IFERROR(__xludf.DUMMYFUNCTION("iferror(AVERAGE(ARRAYFORMULA(VLOOKUP(SPLIT(T232,"","",TRUE,TRUE),$R$2:$S654,2,FALSE))),0)"),0.0)</f>
        <v>0</v>
      </c>
      <c r="V232" s="346">
        <f>IFERROR(__xludf.DUMMYFUNCTION("RANK($I232, $I$2:$I654, FALSE) + RANK($M232, Filter($M$2:$M654, $I$2:$I654=$I232),FALSE)+RANK($U232, Filter($U$2:$U654, $I$2:$I654=$I232,$M$2:$M654=$M232),FALSE)-2"),1.0)</f>
        <v>1</v>
      </c>
      <c r="W232" s="347" t="str">
        <f t="shared" si="9"/>
        <v>Underplay</v>
      </c>
      <c r="X232" s="348" t="str">
        <f t="shared" si="10"/>
        <v/>
      </c>
      <c r="Y232" s="349">
        <f>MAXIFS(Matches!$A:$A,Matches!$C:$C,$B232)</f>
        <v>0</v>
      </c>
      <c r="Z232" s="349">
        <f t="array" ref="Z232">XLOOKUP(Y232,Quotas!$B$7:$B$10,Quotas!$A$7:$A$10,0,-1)</f>
        <v>0</v>
      </c>
      <c r="AB232" s="79"/>
      <c r="AC232" s="79">
        <f>COUNTIFS(Matches!$A:$A,"&gt;"&amp;Y232,Matches!$B:$B,$B232)</f>
        <v>0</v>
      </c>
      <c r="AD232" s="79"/>
      <c r="AE232" s="31" t="str">
        <f t="array" ref="AE232">XLOOKUP(B232, 'College List'!A:A, 'College List'!B:B)</f>
        <v>#N/A</v>
      </c>
      <c r="AF232" s="357">
        <v>9.0</v>
      </c>
      <c r="AG232" s="79"/>
      <c r="AH232" s="79"/>
      <c r="AI232" s="79"/>
    </row>
    <row r="233">
      <c r="A233" s="9">
        <f t="shared" si="1"/>
        <v>1</v>
      </c>
      <c r="C233" s="350"/>
      <c r="D233" s="93"/>
      <c r="E233" s="1"/>
      <c r="F233" s="1"/>
      <c r="G233" s="1"/>
      <c r="H233" s="341">
        <f>COUNTIF(Entropy!$D:$D,$B233)+COUNTIF(Matches!$B:$B,$B233)+COUNTIF(Matches!$C:$C,$B233)</f>
        <v>0</v>
      </c>
      <c r="I233" s="342">
        <f>COUNTIF(Matches!$B:$B,B233)</f>
        <v>0</v>
      </c>
      <c r="J233" s="79">
        <f t="shared" si="2"/>
        <v>0</v>
      </c>
      <c r="K233" s="1" t="str">
        <f t="shared" si="3"/>
        <v>0 - 0</v>
      </c>
      <c r="L233" s="343">
        <f>COUNTIF(Entropy!$D:$D,$B233)</f>
        <v>0</v>
      </c>
      <c r="M233" s="344">
        <f t="shared" si="4"/>
        <v>0</v>
      </c>
      <c r="N233" s="344">
        <f t="shared" si="5"/>
        <v>0</v>
      </c>
      <c r="O233" s="341">
        <f>IF($J233=11,0,IF(AND($H233 &gt;=VLOOKUP(Standings!$C$2,Quotas!$A$7:$E$14,4,FALSE), $H233&lt;=VLOOKUP(Standings!$C$2,Quotas!$A$7:$E$14,5,FALSE)), 0,VLOOKUP(Standings!$C$2,Quotas!$A$7:$E$14,4,FALSE)-$H233))</f>
        <v>30</v>
      </c>
      <c r="P233" s="341">
        <f>IF($J233=11,0,IF(AND($H233 &gt;=VLOOKUP(Standings!$C$2,Quotas!$A$7:$E$14,5,FALSE), $H233&lt;=VLOOKUP(Standings!$C$2,Quotas!$A$7:$E$14,5,FALSE)), 0,VLOOKUP(Standings!$C$2,Quotas!$A$7:$E$14,5,FALSE)-$H233))</f>
        <v>30</v>
      </c>
      <c r="Q233" s="79">
        <f t="shared" si="6"/>
        <v>11</v>
      </c>
      <c r="R233" s="345" t="str">
        <f t="shared" si="7"/>
        <v/>
      </c>
      <c r="S233" s="344">
        <f t="shared" si="8"/>
        <v>0.33</v>
      </c>
      <c r="T233" s="345" t="str">
        <f>IFERROR(__xludf.DUMMYFUNCTION("JOIN("","",IFERROR(FILTER(Matches!$B:$B,B233=Matches!$C:$C),""""),IFERROR(FILTER(Matches!$C:$C,B233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33" s="344">
        <f>IFERROR(__xludf.DUMMYFUNCTION("iferror(AVERAGE(ARRAYFORMULA(VLOOKUP(SPLIT(T233,"","",TRUE,TRUE),$R$2:$S654,2,FALSE))),0)"),0.0)</f>
        <v>0</v>
      </c>
      <c r="V233" s="346">
        <f>IFERROR(__xludf.DUMMYFUNCTION("RANK($I233, $I$2:$I654, FALSE) + RANK($M233, Filter($M$2:$M654, $I$2:$I654=$I233),FALSE)+RANK($U233, Filter($U$2:$U654, $I$2:$I654=$I233,$M$2:$M654=$M233),FALSE)-2"),1.0)</f>
        <v>1</v>
      </c>
      <c r="W233" s="347" t="str">
        <f t="shared" si="9"/>
        <v>Underplay</v>
      </c>
      <c r="X233" s="348" t="str">
        <f t="shared" si="10"/>
        <v/>
      </c>
      <c r="Y233" s="349">
        <f>MAXIFS(Matches!$A:$A,Matches!$C:$C,$B233)</f>
        <v>0</v>
      </c>
      <c r="Z233" s="349">
        <f t="array" ref="Z233">XLOOKUP(Y233,Quotas!$B$7:$B$10,Quotas!$A$7:$A$10,0,-1)</f>
        <v>0</v>
      </c>
      <c r="AB233" s="79"/>
      <c r="AC233" s="79">
        <f>COUNTIFS(Matches!$A:$A,"&gt;"&amp;Y233,Matches!$B:$B,$B233)</f>
        <v>0</v>
      </c>
      <c r="AD233" s="79"/>
      <c r="AE233" s="31" t="str">
        <f t="array" ref="AE233">XLOOKUP(B233, 'College List'!A:A, 'College List'!B:B)</f>
        <v>#N/A</v>
      </c>
      <c r="AF233" s="357">
        <v>7.0</v>
      </c>
      <c r="AG233" s="79"/>
      <c r="AH233" s="79"/>
      <c r="AI233" s="79"/>
    </row>
    <row r="234">
      <c r="A234" s="9">
        <f t="shared" si="1"/>
        <v>1</v>
      </c>
      <c r="C234" s="350"/>
      <c r="D234" s="93"/>
      <c r="E234" s="1"/>
      <c r="F234" s="1"/>
      <c r="G234" s="1"/>
      <c r="H234" s="341">
        <f>COUNTIF(Entropy!$D:$D,$B234)+COUNTIF(Matches!$B:$B,$B234)+COUNTIF(Matches!$C:$C,$B234)</f>
        <v>0</v>
      </c>
      <c r="I234" s="342">
        <f>COUNTIF(Matches!$B:$B,B234)</f>
        <v>0</v>
      </c>
      <c r="J234" s="79">
        <f t="shared" si="2"/>
        <v>0</v>
      </c>
      <c r="K234" s="1" t="str">
        <f t="shared" si="3"/>
        <v>0 - 0</v>
      </c>
      <c r="L234" s="343">
        <f>COUNTIF(Entropy!$D:$D,$B234)</f>
        <v>0</v>
      </c>
      <c r="M234" s="344">
        <f t="shared" si="4"/>
        <v>0</v>
      </c>
      <c r="N234" s="344">
        <f t="shared" si="5"/>
        <v>0</v>
      </c>
      <c r="O234" s="341">
        <f>IF($J234=11,0,IF(AND($H234 &gt;=VLOOKUP(Standings!$C$2,Quotas!$A$7:$E$14,4,FALSE), $H234&lt;=VLOOKUP(Standings!$C$2,Quotas!$A$7:$E$14,5,FALSE)), 0,VLOOKUP(Standings!$C$2,Quotas!$A$7:$E$14,4,FALSE)-$H234))</f>
        <v>30</v>
      </c>
      <c r="P234" s="341">
        <f>IF($J234=11,0,IF(AND($H234 &gt;=VLOOKUP(Standings!$C$2,Quotas!$A$7:$E$14,5,FALSE), $H234&lt;=VLOOKUP(Standings!$C$2,Quotas!$A$7:$E$14,5,FALSE)), 0,VLOOKUP(Standings!$C$2,Quotas!$A$7:$E$14,5,FALSE)-$H234))</f>
        <v>30</v>
      </c>
      <c r="Q234" s="79">
        <f t="shared" si="6"/>
        <v>11</v>
      </c>
      <c r="R234" s="345" t="str">
        <f t="shared" si="7"/>
        <v/>
      </c>
      <c r="S234" s="344">
        <f t="shared" si="8"/>
        <v>0.33</v>
      </c>
      <c r="T234" s="345" t="str">
        <f>IFERROR(__xludf.DUMMYFUNCTION("JOIN("","",IFERROR(FILTER(Matches!$B:$B,B234=Matches!$C:$C),""""),IFERROR(FILTER(Matches!$C:$C,B234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34" s="344">
        <f>IFERROR(__xludf.DUMMYFUNCTION("iferror(AVERAGE(ARRAYFORMULA(VLOOKUP(SPLIT(T234,"","",TRUE,TRUE),$R$2:$S654,2,FALSE))),0)"),0.0)</f>
        <v>0</v>
      </c>
      <c r="V234" s="346">
        <f>IFERROR(__xludf.DUMMYFUNCTION("RANK($I234, $I$2:$I654, FALSE) + RANK($M234, Filter($M$2:$M654, $I$2:$I654=$I234),FALSE)+RANK($U234, Filter($U$2:$U654, $I$2:$I654=$I234,$M$2:$M654=$M234),FALSE)-2"),1.0)</f>
        <v>1</v>
      </c>
      <c r="W234" s="347" t="str">
        <f t="shared" si="9"/>
        <v>Underplay</v>
      </c>
      <c r="X234" s="348" t="str">
        <f t="shared" si="10"/>
        <v/>
      </c>
      <c r="Y234" s="349">
        <f>MAXIFS(Matches!$A:$A,Matches!$C:$C,$B234)</f>
        <v>0</v>
      </c>
      <c r="Z234" s="349">
        <f t="array" ref="Z234">XLOOKUP(Y234,Quotas!$B$7:$B$10,Quotas!$A$7:$A$10,0,-1)</f>
        <v>0</v>
      </c>
      <c r="AB234" s="79"/>
      <c r="AC234" s="79">
        <f>COUNTIFS(Matches!$A:$A,"&gt;"&amp;Y234,Matches!$B:$B,$B234)</f>
        <v>0</v>
      </c>
      <c r="AD234" s="79"/>
      <c r="AE234" s="31" t="str">
        <f t="array" ref="AE234">XLOOKUP(B234, 'College List'!A:A, 'College List'!B:B)</f>
        <v>#N/A</v>
      </c>
      <c r="AF234" s="357">
        <v>9.0</v>
      </c>
      <c r="AG234" s="79"/>
      <c r="AH234" s="79"/>
      <c r="AI234" s="79"/>
    </row>
    <row r="235">
      <c r="A235" s="9">
        <f t="shared" si="1"/>
        <v>1</v>
      </c>
      <c r="C235" s="350"/>
      <c r="D235" s="93"/>
      <c r="E235" s="1"/>
      <c r="F235" s="1"/>
      <c r="G235" s="1"/>
      <c r="H235" s="341">
        <f>COUNTIF(Entropy!$D:$D,$B235)+COUNTIF(Matches!$B:$B,$B235)+COUNTIF(Matches!$C:$C,$B235)</f>
        <v>0</v>
      </c>
      <c r="I235" s="342">
        <f>COUNTIF(Matches!$B:$B,B235)</f>
        <v>0</v>
      </c>
      <c r="J235" s="79">
        <f t="shared" si="2"/>
        <v>0</v>
      </c>
      <c r="K235" s="1" t="str">
        <f t="shared" si="3"/>
        <v>0 - 0</v>
      </c>
      <c r="L235" s="343">
        <f>COUNTIF(Entropy!$D:$D,$B235)</f>
        <v>0</v>
      </c>
      <c r="M235" s="344">
        <f t="shared" si="4"/>
        <v>0</v>
      </c>
      <c r="N235" s="344">
        <f t="shared" si="5"/>
        <v>0</v>
      </c>
      <c r="O235" s="341">
        <f>IF($J235=11,0,IF(AND($H235 &gt;=VLOOKUP(Standings!$C$2,Quotas!$A$7:$E$14,4,FALSE), $H235&lt;=VLOOKUP(Standings!$C$2,Quotas!$A$7:$E$14,5,FALSE)), 0,VLOOKUP(Standings!$C$2,Quotas!$A$7:$E$14,4,FALSE)-$H235))</f>
        <v>30</v>
      </c>
      <c r="P235" s="341">
        <f>IF($J235=11,0,IF(AND($H235 &gt;=VLOOKUP(Standings!$C$2,Quotas!$A$7:$E$14,5,FALSE), $H235&lt;=VLOOKUP(Standings!$C$2,Quotas!$A$7:$E$14,5,FALSE)), 0,VLOOKUP(Standings!$C$2,Quotas!$A$7:$E$14,5,FALSE)-$H235))</f>
        <v>30</v>
      </c>
      <c r="Q235" s="79">
        <f t="shared" si="6"/>
        <v>11</v>
      </c>
      <c r="R235" s="345" t="str">
        <f t="shared" si="7"/>
        <v/>
      </c>
      <c r="S235" s="344">
        <f t="shared" si="8"/>
        <v>0.33</v>
      </c>
      <c r="T235" s="345" t="str">
        <f>IFERROR(__xludf.DUMMYFUNCTION("JOIN("","",IFERROR(FILTER(Matches!$B:$B,B235=Matches!$C:$C),""""),IFERROR(FILTER(Matches!$C:$C,B235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35" s="344">
        <f>IFERROR(__xludf.DUMMYFUNCTION("iferror(AVERAGE(ARRAYFORMULA(VLOOKUP(SPLIT(T235,"","",TRUE,TRUE),$R$2:$S654,2,FALSE))),0)"),0.0)</f>
        <v>0</v>
      </c>
      <c r="V235" s="346">
        <f>IFERROR(__xludf.DUMMYFUNCTION("RANK($I235, $I$2:$I654, FALSE) + RANK($M235, Filter($M$2:$M654, $I$2:$I654=$I235),FALSE)+RANK($U235, Filter($U$2:$U654, $I$2:$I654=$I235,$M$2:$M654=$M235),FALSE)-2"),1.0)</f>
        <v>1</v>
      </c>
      <c r="W235" s="347" t="str">
        <f t="shared" si="9"/>
        <v>Underplay</v>
      </c>
      <c r="X235" s="348" t="str">
        <f t="shared" si="10"/>
        <v/>
      </c>
      <c r="Y235" s="349">
        <f>MAXIFS(Matches!$A:$A,Matches!$C:$C,$B235)</f>
        <v>0</v>
      </c>
      <c r="Z235" s="349">
        <f t="array" ref="Z235">XLOOKUP(Y235,Quotas!$B$7:$B$10,Quotas!$A$7:$A$10,0,-1)</f>
        <v>0</v>
      </c>
      <c r="AA235" s="9" t="s">
        <v>8625</v>
      </c>
      <c r="AB235" s="79"/>
      <c r="AC235" s="79">
        <f>COUNTIFS(Matches!$A:$A,"&gt;"&amp;Y235,Matches!$B:$B,$B235)</f>
        <v>0</v>
      </c>
      <c r="AD235" s="79"/>
      <c r="AE235" s="31" t="str">
        <f t="array" ref="AE235">XLOOKUP(B235, 'College List'!A:A, 'College List'!B:B)</f>
        <v>#N/A</v>
      </c>
      <c r="AF235" s="357">
        <v>9.0</v>
      </c>
      <c r="AG235" s="79"/>
      <c r="AH235" s="79"/>
      <c r="AI235" s="79"/>
    </row>
    <row r="236">
      <c r="A236" s="9">
        <f t="shared" si="1"/>
        <v>1</v>
      </c>
      <c r="C236" s="350"/>
      <c r="D236" s="93"/>
      <c r="E236" s="1"/>
      <c r="F236" s="1"/>
      <c r="G236" s="1"/>
      <c r="H236" s="341">
        <f>COUNTIF(Entropy!$D:$D,$B236)+COUNTIF(Matches!$B:$B,$B236)+COUNTIF(Matches!$C:$C,$B236)</f>
        <v>0</v>
      </c>
      <c r="I236" s="342">
        <f>COUNTIF(Matches!$B:$B,B236)</f>
        <v>0</v>
      </c>
      <c r="J236" s="79">
        <f t="shared" si="2"/>
        <v>0</v>
      </c>
      <c r="K236" s="1" t="str">
        <f t="shared" si="3"/>
        <v>0 - 0</v>
      </c>
      <c r="L236" s="343">
        <f>COUNTIF(Entropy!$D:$D,$B236)</f>
        <v>0</v>
      </c>
      <c r="M236" s="344">
        <f t="shared" si="4"/>
        <v>0</v>
      </c>
      <c r="N236" s="344">
        <f t="shared" si="5"/>
        <v>0</v>
      </c>
      <c r="O236" s="341">
        <f>IF($J236=11,0,IF(AND($H236 &gt;=VLOOKUP(Standings!$C$2,Quotas!$A$7:$E$14,4,FALSE), $H236&lt;=VLOOKUP(Standings!$C$2,Quotas!$A$7:$E$14,5,FALSE)), 0,VLOOKUP(Standings!$C$2,Quotas!$A$7:$E$14,4,FALSE)-$H236))</f>
        <v>30</v>
      </c>
      <c r="P236" s="341">
        <f>IF($J236=11,0,IF(AND($H236 &gt;=VLOOKUP(Standings!$C$2,Quotas!$A$7:$E$14,5,FALSE), $H236&lt;=VLOOKUP(Standings!$C$2,Quotas!$A$7:$E$14,5,FALSE)), 0,VLOOKUP(Standings!$C$2,Quotas!$A$7:$E$14,5,FALSE)-$H236))</f>
        <v>30</v>
      </c>
      <c r="Q236" s="79">
        <f t="shared" si="6"/>
        <v>11</v>
      </c>
      <c r="R236" s="345" t="str">
        <f t="shared" si="7"/>
        <v/>
      </c>
      <c r="S236" s="344">
        <f t="shared" si="8"/>
        <v>0.33</v>
      </c>
      <c r="T236" s="345" t="str">
        <f>IFERROR(__xludf.DUMMYFUNCTION("JOIN("","",IFERROR(FILTER(Matches!$B:$B,B236=Matches!$C:$C),""""),IFERROR(FILTER(Matches!$C:$C,B236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36" s="344">
        <f>IFERROR(__xludf.DUMMYFUNCTION("iferror(AVERAGE(ARRAYFORMULA(VLOOKUP(SPLIT(T236,"","",TRUE,TRUE),$R$2:$S654,2,FALSE))),0)"),0.0)</f>
        <v>0</v>
      </c>
      <c r="V236" s="346">
        <f>IFERROR(__xludf.DUMMYFUNCTION("RANK($I236, $I$2:$I654, FALSE) + RANK($M236, Filter($M$2:$M654, $I$2:$I654=$I236),FALSE)+RANK($U236, Filter($U$2:$U654, $I$2:$I654=$I236,$M$2:$M654=$M236),FALSE)-2"),1.0)</f>
        <v>1</v>
      </c>
      <c r="W236" s="347" t="str">
        <f t="shared" si="9"/>
        <v>Underplay</v>
      </c>
      <c r="X236" s="348" t="str">
        <f t="shared" si="10"/>
        <v/>
      </c>
      <c r="Y236" s="349">
        <f>MAXIFS(Matches!$A:$A,Matches!$C:$C,$B236)</f>
        <v>0</v>
      </c>
      <c r="Z236" s="349">
        <f t="array" ref="Z236">XLOOKUP(Y236,Quotas!$B$7:$B$10,Quotas!$A$7:$A$10,0,-1)</f>
        <v>0</v>
      </c>
      <c r="AB236" s="79"/>
      <c r="AC236" s="79">
        <f>COUNTIFS(Matches!$A:$A,"&gt;"&amp;Y236,Matches!$B:$B,$B236)</f>
        <v>0</v>
      </c>
      <c r="AD236" s="79"/>
      <c r="AE236" s="31" t="str">
        <f t="array" ref="AE236">XLOOKUP(B236, 'College List'!A:A, 'College List'!B:B)</f>
        <v>#N/A</v>
      </c>
      <c r="AF236" s="357">
        <v>7.0</v>
      </c>
      <c r="AG236" s="79"/>
      <c r="AH236" s="79"/>
      <c r="AI236" s="79"/>
    </row>
    <row r="237">
      <c r="A237" s="9">
        <f t="shared" si="1"/>
        <v>1</v>
      </c>
      <c r="C237" s="350"/>
      <c r="D237" s="93"/>
      <c r="E237" s="1"/>
      <c r="F237" s="1"/>
      <c r="G237" s="1"/>
      <c r="H237" s="341">
        <f>COUNTIF(Entropy!$D:$D,$B237)+COUNTIF(Matches!$B:$B,$B237)+COUNTIF(Matches!$C:$C,$B237)</f>
        <v>0</v>
      </c>
      <c r="I237" s="342">
        <f>COUNTIF(Matches!$B:$B,B237)</f>
        <v>0</v>
      </c>
      <c r="J237" s="79">
        <f t="shared" si="2"/>
        <v>0</v>
      </c>
      <c r="K237" s="1" t="str">
        <f t="shared" si="3"/>
        <v>0 - 0</v>
      </c>
      <c r="L237" s="343">
        <f>COUNTIF(Entropy!$D:$D,$B237)</f>
        <v>0</v>
      </c>
      <c r="M237" s="344">
        <f t="shared" si="4"/>
        <v>0</v>
      </c>
      <c r="N237" s="344">
        <f t="shared" si="5"/>
        <v>0</v>
      </c>
      <c r="O237" s="341">
        <f>IF($J237=11,0,IF(AND($H237 &gt;=VLOOKUP(Standings!$C$2,Quotas!$A$7:$E$14,4,FALSE), $H237&lt;=VLOOKUP(Standings!$C$2,Quotas!$A$7:$E$14,5,FALSE)), 0,VLOOKUP(Standings!$C$2,Quotas!$A$7:$E$14,4,FALSE)-$H237))</f>
        <v>30</v>
      </c>
      <c r="P237" s="341">
        <f>IF($J237=11,0,IF(AND($H237 &gt;=VLOOKUP(Standings!$C$2,Quotas!$A$7:$E$14,5,FALSE), $H237&lt;=VLOOKUP(Standings!$C$2,Quotas!$A$7:$E$14,5,FALSE)), 0,VLOOKUP(Standings!$C$2,Quotas!$A$7:$E$14,5,FALSE)-$H237))</f>
        <v>30</v>
      </c>
      <c r="Q237" s="79">
        <f t="shared" si="6"/>
        <v>11</v>
      </c>
      <c r="R237" s="345" t="str">
        <f t="shared" si="7"/>
        <v/>
      </c>
      <c r="S237" s="344">
        <f t="shared" si="8"/>
        <v>0.33</v>
      </c>
      <c r="T237" s="345" t="str">
        <f>IFERROR(__xludf.DUMMYFUNCTION("JOIN("","",IFERROR(FILTER(Matches!$B:$B,B237=Matches!$C:$C),""""),IFERROR(FILTER(Matches!$C:$C,B237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37" s="344">
        <f>IFERROR(__xludf.DUMMYFUNCTION("iferror(AVERAGE(ARRAYFORMULA(VLOOKUP(SPLIT(T237,"","",TRUE,TRUE),$R$2:$S654,2,FALSE))),0)"),0.0)</f>
        <v>0</v>
      </c>
      <c r="V237" s="346">
        <f>IFERROR(__xludf.DUMMYFUNCTION("RANK($I237, $I$2:$I654, FALSE) + RANK($M237, Filter($M$2:$M654, $I$2:$I654=$I237),FALSE)+RANK($U237, Filter($U$2:$U654, $I$2:$I654=$I237,$M$2:$M654=$M237),FALSE)-2"),1.0)</f>
        <v>1</v>
      </c>
      <c r="W237" s="347" t="str">
        <f t="shared" si="9"/>
        <v>Underplay</v>
      </c>
      <c r="X237" s="348" t="str">
        <f t="shared" si="10"/>
        <v/>
      </c>
      <c r="Y237" s="349">
        <f>MAXIFS(Matches!$A:$A,Matches!$C:$C,$B237)</f>
        <v>0</v>
      </c>
      <c r="Z237" s="349">
        <f t="array" ref="Z237">XLOOKUP(Y237,Quotas!$B$7:$B$10,Quotas!$A$7:$A$10,0,-1)</f>
        <v>0</v>
      </c>
      <c r="AB237" s="79"/>
      <c r="AC237" s="79">
        <f>COUNTIFS(Matches!$A:$A,"&gt;"&amp;Y237,Matches!$B:$B,$B237)</f>
        <v>0</v>
      </c>
      <c r="AD237" s="79"/>
      <c r="AE237" s="31" t="str">
        <f t="array" ref="AE237">XLOOKUP(B237, 'College List'!A:A, 'College List'!B:B)</f>
        <v>#N/A</v>
      </c>
      <c r="AF237" s="357">
        <v>9.0</v>
      </c>
      <c r="AG237" s="79"/>
      <c r="AH237" s="79"/>
      <c r="AI237" s="79"/>
    </row>
    <row r="238">
      <c r="A238" s="9">
        <f t="shared" si="1"/>
        <v>1</v>
      </c>
      <c r="C238" s="350"/>
      <c r="D238" s="93"/>
      <c r="E238" s="1"/>
      <c r="F238" s="1"/>
      <c r="G238" s="1"/>
      <c r="H238" s="341">
        <f>COUNTIF(Entropy!$D:$D,$B238)+COUNTIF(Matches!$B:$B,$B238)+COUNTIF(Matches!$C:$C,$B238)</f>
        <v>0</v>
      </c>
      <c r="I238" s="342">
        <f>COUNTIF(Matches!$B:$B,B238)</f>
        <v>0</v>
      </c>
      <c r="J238" s="79">
        <f t="shared" si="2"/>
        <v>0</v>
      </c>
      <c r="K238" s="1" t="str">
        <f t="shared" si="3"/>
        <v>0 - 0</v>
      </c>
      <c r="L238" s="343">
        <f>COUNTIF(Entropy!$D:$D,$B238)</f>
        <v>0</v>
      </c>
      <c r="M238" s="344">
        <f t="shared" si="4"/>
        <v>0</v>
      </c>
      <c r="N238" s="344">
        <f t="shared" si="5"/>
        <v>0</v>
      </c>
      <c r="O238" s="341">
        <f>IF($J238=11,0,IF(AND($H238 &gt;=VLOOKUP(Standings!$C$2,Quotas!$A$7:$E$14,4,FALSE), $H238&lt;=VLOOKUP(Standings!$C$2,Quotas!$A$7:$E$14,5,FALSE)), 0,VLOOKUP(Standings!$C$2,Quotas!$A$7:$E$14,4,FALSE)-$H238))</f>
        <v>30</v>
      </c>
      <c r="P238" s="341">
        <f>IF($J238=11,0,IF(AND($H238 &gt;=VLOOKUP(Standings!$C$2,Quotas!$A$7:$E$14,5,FALSE), $H238&lt;=VLOOKUP(Standings!$C$2,Quotas!$A$7:$E$14,5,FALSE)), 0,VLOOKUP(Standings!$C$2,Quotas!$A$7:$E$14,5,FALSE)-$H238))</f>
        <v>30</v>
      </c>
      <c r="Q238" s="79">
        <f t="shared" si="6"/>
        <v>11</v>
      </c>
      <c r="R238" s="345" t="str">
        <f t="shared" si="7"/>
        <v/>
      </c>
      <c r="S238" s="344">
        <f t="shared" si="8"/>
        <v>0.33</v>
      </c>
      <c r="T238" s="345" t="str">
        <f>IFERROR(__xludf.DUMMYFUNCTION("JOIN("","",IFERROR(FILTER(Matches!$B:$B,B238=Matches!$C:$C),""""),IFERROR(FILTER(Matches!$C:$C,B238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38" s="344">
        <f>IFERROR(__xludf.DUMMYFUNCTION("iferror(AVERAGE(ARRAYFORMULA(VLOOKUP(SPLIT(T238,"","",TRUE,TRUE),$R$2:$S654,2,FALSE))),0)"),0.0)</f>
        <v>0</v>
      </c>
      <c r="V238" s="346">
        <f>IFERROR(__xludf.DUMMYFUNCTION("RANK($I238, $I$2:$I654, FALSE) + RANK($M238, Filter($M$2:$M654, $I$2:$I654=$I238),FALSE)+RANK($U238, Filter($U$2:$U654, $I$2:$I654=$I238,$M$2:$M654=$M238),FALSE)-2"),1.0)</f>
        <v>1</v>
      </c>
      <c r="W238" s="347" t="str">
        <f t="shared" si="9"/>
        <v>Underplay</v>
      </c>
      <c r="X238" s="348" t="str">
        <f t="shared" si="10"/>
        <v/>
      </c>
      <c r="Y238" s="349">
        <f>MAXIFS(Matches!$A:$A,Matches!$C:$C,$B238)</f>
        <v>0</v>
      </c>
      <c r="Z238" s="349">
        <f t="array" ref="Z238">XLOOKUP(Y238,Quotas!$B$7:$B$10,Quotas!$A$7:$A$10,0,-1)</f>
        <v>0</v>
      </c>
      <c r="AB238" s="79"/>
      <c r="AC238" s="79">
        <f>COUNTIFS(Matches!$A:$A,"&gt;"&amp;Y238,Matches!$B:$B,$B238)</f>
        <v>0</v>
      </c>
      <c r="AD238" s="79"/>
      <c r="AE238" s="31" t="str">
        <f t="array" ref="AE238">XLOOKUP(B238, 'College List'!A:A, 'College List'!B:B)</f>
        <v>#N/A</v>
      </c>
      <c r="AF238" s="357">
        <v>7.0</v>
      </c>
      <c r="AG238" s="79"/>
      <c r="AH238" s="79"/>
      <c r="AI238" s="79"/>
    </row>
    <row r="239">
      <c r="A239" s="9">
        <f t="shared" si="1"/>
        <v>1</v>
      </c>
      <c r="C239" s="350"/>
      <c r="D239" s="93"/>
      <c r="E239" s="1"/>
      <c r="F239" s="1"/>
      <c r="G239" s="1"/>
      <c r="H239" s="341">
        <f>COUNTIF(Entropy!$D:$D,$B239)+COUNTIF(Matches!$B:$B,$B239)+COUNTIF(Matches!$C:$C,$B239)</f>
        <v>0</v>
      </c>
      <c r="I239" s="342">
        <f>COUNTIF(Matches!$B:$B,B239)</f>
        <v>0</v>
      </c>
      <c r="J239" s="79">
        <f t="shared" si="2"/>
        <v>0</v>
      </c>
      <c r="K239" s="1" t="str">
        <f t="shared" si="3"/>
        <v>0 - 0</v>
      </c>
      <c r="L239" s="343">
        <f>COUNTIF(Entropy!$D:$D,$B239)</f>
        <v>0</v>
      </c>
      <c r="M239" s="344">
        <f t="shared" si="4"/>
        <v>0</v>
      </c>
      <c r="N239" s="344">
        <f t="shared" si="5"/>
        <v>0</v>
      </c>
      <c r="O239" s="341">
        <f>IF($J239=11,0,IF(AND($H239 &gt;=VLOOKUP(Standings!$C$2,Quotas!$A$7:$E$14,4,FALSE), $H239&lt;=VLOOKUP(Standings!$C$2,Quotas!$A$7:$E$14,5,FALSE)), 0,VLOOKUP(Standings!$C$2,Quotas!$A$7:$E$14,4,FALSE)-$H239))</f>
        <v>30</v>
      </c>
      <c r="P239" s="341">
        <f>IF($J239=11,0,IF(AND($H239 &gt;=VLOOKUP(Standings!$C$2,Quotas!$A$7:$E$14,5,FALSE), $H239&lt;=VLOOKUP(Standings!$C$2,Quotas!$A$7:$E$14,5,FALSE)), 0,VLOOKUP(Standings!$C$2,Quotas!$A$7:$E$14,5,FALSE)-$H239))</f>
        <v>30</v>
      </c>
      <c r="Q239" s="79">
        <f t="shared" si="6"/>
        <v>11</v>
      </c>
      <c r="R239" s="345" t="str">
        <f t="shared" si="7"/>
        <v/>
      </c>
      <c r="S239" s="344">
        <f t="shared" si="8"/>
        <v>0.33</v>
      </c>
      <c r="T239" s="345" t="str">
        <f>IFERROR(__xludf.DUMMYFUNCTION("JOIN("","",IFERROR(FILTER(Matches!$B:$B,B239=Matches!$C:$C),""""),IFERROR(FILTER(Matches!$C:$C,B239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39" s="344">
        <f>IFERROR(__xludf.DUMMYFUNCTION("iferror(AVERAGE(ARRAYFORMULA(VLOOKUP(SPLIT(T239,"","",TRUE,TRUE),$R$2:$S654,2,FALSE))),0)"),0.0)</f>
        <v>0</v>
      </c>
      <c r="V239" s="346">
        <f>IFERROR(__xludf.DUMMYFUNCTION("RANK($I239, $I$2:$I654, FALSE) + RANK($M239, Filter($M$2:$M654, $I$2:$I654=$I239),FALSE)+RANK($U239, Filter($U$2:$U654, $I$2:$I654=$I239,$M$2:$M654=$M239),FALSE)-2"),1.0)</f>
        <v>1</v>
      </c>
      <c r="W239" s="347" t="str">
        <f t="shared" si="9"/>
        <v>Underplay</v>
      </c>
      <c r="X239" s="348" t="str">
        <f t="shared" si="10"/>
        <v/>
      </c>
      <c r="Y239" s="349">
        <f>MAXIFS(Matches!$A:$A,Matches!$C:$C,$B239)</f>
        <v>0</v>
      </c>
      <c r="Z239" s="349">
        <f t="array" ref="Z239">XLOOKUP(Y239,Quotas!$B$7:$B$10,Quotas!$A$7:$A$10,0,-1)</f>
        <v>0</v>
      </c>
      <c r="AB239" s="79"/>
      <c r="AC239" s="79">
        <f>COUNTIFS(Matches!$A:$A,"&gt;"&amp;Y239,Matches!$B:$B,$B239)</f>
        <v>0</v>
      </c>
      <c r="AD239" s="79"/>
      <c r="AE239" s="31" t="str">
        <f t="array" ref="AE239">XLOOKUP(B239, 'College List'!A:A, 'College List'!B:B)</f>
        <v>#N/A</v>
      </c>
      <c r="AF239" s="357">
        <v>9.0</v>
      </c>
      <c r="AG239" s="79"/>
      <c r="AH239" s="79"/>
      <c r="AI239" s="79"/>
    </row>
    <row r="240">
      <c r="A240" s="9">
        <f t="shared" si="1"/>
        <v>1</v>
      </c>
      <c r="C240" s="350"/>
      <c r="D240" s="93"/>
      <c r="E240" s="1"/>
      <c r="F240" s="1"/>
      <c r="G240" s="1"/>
      <c r="H240" s="341">
        <f>COUNTIF(Entropy!$D:$D,$B240)+COUNTIF(Matches!$B:$B,$B240)+COUNTIF(Matches!$C:$C,$B240)</f>
        <v>0</v>
      </c>
      <c r="I240" s="342">
        <f>COUNTIF(Matches!$B:$B,B240)</f>
        <v>0</v>
      </c>
      <c r="J240" s="79">
        <f t="shared" si="2"/>
        <v>0</v>
      </c>
      <c r="K240" s="1" t="str">
        <f t="shared" si="3"/>
        <v>0 - 0</v>
      </c>
      <c r="L240" s="343">
        <f>COUNTIF(Entropy!$D:$D,$B240)</f>
        <v>0</v>
      </c>
      <c r="M240" s="344">
        <f t="shared" si="4"/>
        <v>0</v>
      </c>
      <c r="N240" s="344">
        <f t="shared" si="5"/>
        <v>0</v>
      </c>
      <c r="O240" s="341">
        <f>IF($J240=11,0,IF(AND($H240 &gt;=VLOOKUP(Standings!$C$2,Quotas!$A$7:$E$14,4,FALSE), $H240&lt;=VLOOKUP(Standings!$C$2,Quotas!$A$7:$E$14,5,FALSE)), 0,VLOOKUP(Standings!$C$2,Quotas!$A$7:$E$14,4,FALSE)-$H240))</f>
        <v>30</v>
      </c>
      <c r="P240" s="341">
        <f>IF($J240=11,0,IF(AND($H240 &gt;=VLOOKUP(Standings!$C$2,Quotas!$A$7:$E$14,5,FALSE), $H240&lt;=VLOOKUP(Standings!$C$2,Quotas!$A$7:$E$14,5,FALSE)), 0,VLOOKUP(Standings!$C$2,Quotas!$A$7:$E$14,5,FALSE)-$H240))</f>
        <v>30</v>
      </c>
      <c r="Q240" s="79">
        <f t="shared" si="6"/>
        <v>11</v>
      </c>
      <c r="R240" s="345" t="str">
        <f t="shared" si="7"/>
        <v/>
      </c>
      <c r="S240" s="344">
        <f t="shared" si="8"/>
        <v>0.33</v>
      </c>
      <c r="T240" s="345" t="str">
        <f>IFERROR(__xludf.DUMMYFUNCTION("JOIN("","",IFERROR(FILTER(Matches!$B:$B,B240=Matches!$C:$C),""""),IFERROR(FILTER(Matches!$C:$C,B240=Matches!$B:$B),""""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U240" s="344">
        <f>IFERROR(__xludf.DUMMYFUNCTION("iferror(AVERAGE(ARRAYFORMULA(VLOOKUP(SPLIT(T240,"","",TRUE,TRUE),$R$2:$S654,2,FALSE))),0)"),0.0)</f>
        <v>0</v>
      </c>
      <c r="V240" s="346">
        <f>IFERROR(__xludf.DUMMYFUNCTION("RANK($I240, $I$2:$I654, FALSE) + RANK($M240, Filter($M$2:$M654, $I$2:$I654=$I240),FALSE)+RANK($U240, Filter($U$2:$U654, $I$2:$I654=$I240,$M$2:$M654=$M240),FALSE)-2"),1.0)</f>
        <v>1</v>
      </c>
      <c r="W240" s="347" t="str">
        <f t="shared" si="9"/>
        <v>Underplay</v>
      </c>
      <c r="X240" s="348" t="str">
        <f t="shared" si="10"/>
        <v/>
      </c>
      <c r="Y240" s="349">
        <f>MAXIFS(Matches!$A:$A,Matches!$C:$C,$B240)</f>
        <v>0</v>
      </c>
      <c r="Z240" s="349">
        <f t="array" ref="Z240">XLOOKUP(Y240,Quotas!$B$7:$B$10,Quotas!$A$7:$A$10,0,-1)</f>
        <v>0</v>
      </c>
      <c r="AB240" s="79"/>
      <c r="AC240" s="79">
        <f>COUNTIFS(Matches!$A:$A,"&gt;"&amp;Y240,Matches!$B:$B,$B240)</f>
        <v>0</v>
      </c>
      <c r="AD240" s="79"/>
      <c r="AE240" s="31" t="str">
        <f t="array" ref="AE240">XLOOKUP(B240, 'College List'!A:A, 'College List'!B:B)</f>
        <v>#N/A</v>
      </c>
      <c r="AF240" s="357">
        <v>9.0</v>
      </c>
      <c r="AG240" s="79"/>
      <c r="AH240" s="79"/>
      <c r="AI240" s="79"/>
    </row>
    <row r="241">
      <c r="A241" s="9"/>
      <c r="C241" s="350"/>
      <c r="D241" s="93"/>
      <c r="E241" s="1"/>
      <c r="F241" s="1"/>
      <c r="G241" s="1"/>
      <c r="H241" s="341"/>
      <c r="I241" s="358"/>
      <c r="J241" s="79"/>
      <c r="K241" s="1"/>
      <c r="L241" s="343"/>
      <c r="M241" s="344"/>
      <c r="N241" s="344"/>
      <c r="O241" s="341"/>
      <c r="P241" s="341"/>
      <c r="Q241" s="79"/>
      <c r="R241" s="345"/>
      <c r="S241" s="344"/>
      <c r="T241" s="345"/>
      <c r="U241" s="344"/>
      <c r="V241" s="346"/>
      <c r="W241" s="347"/>
      <c r="X241" s="359"/>
      <c r="Y241" s="349"/>
      <c r="Z241" s="349"/>
      <c r="AB241" s="79"/>
      <c r="AC241" s="79"/>
      <c r="AD241" s="79"/>
      <c r="AE241" s="79"/>
      <c r="AF241" s="79"/>
      <c r="AG241" s="79"/>
      <c r="AH241" s="79"/>
      <c r="AI241" s="79"/>
    </row>
    <row r="242">
      <c r="A242" s="9"/>
      <c r="C242" s="350"/>
      <c r="D242" s="93"/>
      <c r="E242" s="1"/>
      <c r="F242" s="1"/>
      <c r="G242" s="1"/>
      <c r="H242" s="341"/>
      <c r="I242" s="358"/>
      <c r="J242" s="79"/>
      <c r="K242" s="1"/>
      <c r="L242" s="343"/>
      <c r="M242" s="344"/>
      <c r="N242" s="344"/>
      <c r="O242" s="341"/>
      <c r="P242" s="341"/>
      <c r="Q242" s="79"/>
      <c r="R242" s="345"/>
      <c r="S242" s="344"/>
      <c r="T242" s="345"/>
      <c r="U242" s="344"/>
      <c r="V242" s="346"/>
      <c r="W242" s="347"/>
      <c r="X242" s="359"/>
      <c r="Y242" s="349"/>
      <c r="Z242" s="349"/>
      <c r="AB242" s="79"/>
      <c r="AC242" s="79"/>
      <c r="AD242" s="79"/>
      <c r="AE242" s="79"/>
      <c r="AF242" s="79"/>
      <c r="AG242" s="79"/>
      <c r="AH242" s="79"/>
      <c r="AI242" s="79"/>
    </row>
    <row r="243">
      <c r="A243" s="9"/>
      <c r="C243" s="350"/>
      <c r="D243" s="93"/>
      <c r="E243" s="1"/>
      <c r="F243" s="1"/>
      <c r="G243" s="1"/>
      <c r="H243" s="341"/>
      <c r="I243" s="358"/>
      <c r="J243" s="79"/>
      <c r="K243" s="1"/>
      <c r="L243" s="343"/>
      <c r="M243" s="344"/>
      <c r="N243" s="344"/>
      <c r="O243" s="341"/>
      <c r="P243" s="341"/>
      <c r="Q243" s="79"/>
      <c r="R243" s="345"/>
      <c r="S243" s="344"/>
      <c r="T243" s="345"/>
      <c r="U243" s="344"/>
      <c r="V243" s="346"/>
      <c r="W243" s="347"/>
      <c r="X243" s="359"/>
      <c r="Y243" s="349"/>
      <c r="Z243" s="349"/>
      <c r="AB243" s="79"/>
      <c r="AC243" s="79"/>
      <c r="AD243" s="79"/>
      <c r="AE243" s="79"/>
      <c r="AF243" s="79"/>
      <c r="AG243" s="79"/>
      <c r="AH243" s="79"/>
      <c r="AI243" s="79"/>
    </row>
    <row r="244">
      <c r="A244" s="9"/>
      <c r="C244" s="350"/>
      <c r="D244" s="93"/>
      <c r="E244" s="1"/>
      <c r="F244" s="1"/>
      <c r="G244" s="1"/>
      <c r="H244" s="341"/>
      <c r="I244" s="358"/>
      <c r="J244" s="79"/>
      <c r="K244" s="1"/>
      <c r="L244" s="343"/>
      <c r="M244" s="344"/>
      <c r="N244" s="344"/>
      <c r="O244" s="341"/>
      <c r="P244" s="341"/>
      <c r="Q244" s="79"/>
      <c r="R244" s="345"/>
      <c r="S244" s="344"/>
      <c r="T244" s="345"/>
      <c r="U244" s="344"/>
      <c r="V244" s="346"/>
      <c r="W244" s="347"/>
      <c r="X244" s="359"/>
      <c r="Y244" s="349"/>
      <c r="Z244" s="349"/>
      <c r="AB244" s="79"/>
      <c r="AC244" s="79"/>
      <c r="AD244" s="79"/>
      <c r="AE244" s="79"/>
      <c r="AF244" s="79"/>
      <c r="AG244" s="79"/>
      <c r="AH244" s="79"/>
      <c r="AI244" s="79"/>
    </row>
    <row r="245">
      <c r="A245" s="9"/>
      <c r="C245" s="350"/>
      <c r="D245" s="93"/>
      <c r="E245" s="1"/>
      <c r="F245" s="1"/>
      <c r="G245" s="1"/>
      <c r="H245" s="341"/>
      <c r="I245" s="358"/>
      <c r="J245" s="79"/>
      <c r="K245" s="1"/>
      <c r="L245" s="343"/>
      <c r="M245" s="344"/>
      <c r="N245" s="344"/>
      <c r="O245" s="341"/>
      <c r="P245" s="341"/>
      <c r="Q245" s="79"/>
      <c r="R245" s="345"/>
      <c r="S245" s="344"/>
      <c r="T245" s="345"/>
      <c r="U245" s="344"/>
      <c r="V245" s="346"/>
      <c r="W245" s="347"/>
      <c r="X245" s="359"/>
      <c r="Y245" s="349"/>
      <c r="Z245" s="349"/>
      <c r="AB245" s="79"/>
      <c r="AC245" s="79"/>
      <c r="AD245" s="79"/>
      <c r="AE245" s="79"/>
      <c r="AF245" s="79"/>
      <c r="AG245" s="79"/>
      <c r="AH245" s="79"/>
      <c r="AI245" s="79"/>
    </row>
    <row r="246">
      <c r="A246" s="9"/>
      <c r="C246" s="350"/>
      <c r="D246" s="93"/>
      <c r="E246" s="1"/>
      <c r="F246" s="1"/>
      <c r="G246" s="1"/>
      <c r="H246" s="341"/>
      <c r="I246" s="358"/>
      <c r="J246" s="79"/>
      <c r="K246" s="1"/>
      <c r="L246" s="343"/>
      <c r="M246" s="344"/>
      <c r="N246" s="344"/>
      <c r="O246" s="341"/>
      <c r="P246" s="341"/>
      <c r="Q246" s="79"/>
      <c r="R246" s="345"/>
      <c r="S246" s="344"/>
      <c r="T246" s="345"/>
      <c r="U246" s="344"/>
      <c r="V246" s="346"/>
      <c r="W246" s="347"/>
      <c r="X246" s="359"/>
      <c r="Y246" s="349"/>
      <c r="Z246" s="349"/>
      <c r="AB246" s="79"/>
      <c r="AC246" s="79"/>
      <c r="AD246" s="79"/>
      <c r="AE246" s="79"/>
      <c r="AF246" s="79"/>
      <c r="AG246" s="79"/>
      <c r="AH246" s="79"/>
      <c r="AI246" s="79"/>
    </row>
    <row r="247">
      <c r="A247" s="9"/>
      <c r="C247" s="350"/>
      <c r="D247" s="93"/>
      <c r="E247" s="1"/>
      <c r="F247" s="1"/>
      <c r="G247" s="1"/>
      <c r="H247" s="341"/>
      <c r="I247" s="358"/>
      <c r="J247" s="79"/>
      <c r="K247" s="1"/>
      <c r="L247" s="343"/>
      <c r="M247" s="344"/>
      <c r="N247" s="344"/>
      <c r="O247" s="341"/>
      <c r="P247" s="341"/>
      <c r="Q247" s="79"/>
      <c r="R247" s="345"/>
      <c r="S247" s="344"/>
      <c r="T247" s="345"/>
      <c r="U247" s="344"/>
      <c r="V247" s="346"/>
      <c r="W247" s="347"/>
      <c r="X247" s="359"/>
      <c r="Y247" s="349"/>
      <c r="Z247" s="349"/>
      <c r="AB247" s="79"/>
      <c r="AC247" s="79"/>
      <c r="AD247" s="79"/>
      <c r="AE247" s="79"/>
      <c r="AF247" s="79"/>
      <c r="AG247" s="79"/>
      <c r="AH247" s="79"/>
      <c r="AI247" s="79"/>
    </row>
    <row r="248">
      <c r="A248" s="9"/>
      <c r="C248" s="350"/>
      <c r="D248" s="93"/>
      <c r="E248" s="1"/>
      <c r="F248" s="1"/>
      <c r="G248" s="1"/>
      <c r="H248" s="341"/>
      <c r="I248" s="358"/>
      <c r="J248" s="79"/>
      <c r="K248" s="1"/>
      <c r="L248" s="343"/>
      <c r="M248" s="344"/>
      <c r="N248" s="344"/>
      <c r="O248" s="341"/>
      <c r="P248" s="341"/>
      <c r="Q248" s="79"/>
      <c r="R248" s="345"/>
      <c r="S248" s="344"/>
      <c r="T248" s="345"/>
      <c r="U248" s="344"/>
      <c r="V248" s="346"/>
      <c r="W248" s="347"/>
      <c r="X248" s="359"/>
      <c r="Y248" s="349"/>
      <c r="Z248" s="349"/>
      <c r="AB248" s="79"/>
      <c r="AC248" s="79"/>
      <c r="AD248" s="79"/>
      <c r="AE248" s="79"/>
      <c r="AF248" s="79"/>
      <c r="AG248" s="79"/>
      <c r="AH248" s="79"/>
      <c r="AI248" s="79"/>
    </row>
    <row r="249">
      <c r="A249" s="9"/>
      <c r="C249" s="350"/>
      <c r="D249" s="93"/>
      <c r="E249" s="1"/>
      <c r="F249" s="1"/>
      <c r="G249" s="1"/>
      <c r="H249" s="341"/>
      <c r="I249" s="358"/>
      <c r="J249" s="79"/>
      <c r="K249" s="1"/>
      <c r="L249" s="343"/>
      <c r="M249" s="344"/>
      <c r="N249" s="344"/>
      <c r="O249" s="341"/>
      <c r="P249" s="341"/>
      <c r="Q249" s="79"/>
      <c r="R249" s="345"/>
      <c r="S249" s="344"/>
      <c r="T249" s="345"/>
      <c r="U249" s="344"/>
      <c r="V249" s="346"/>
      <c r="W249" s="347"/>
      <c r="X249" s="359"/>
      <c r="Y249" s="349"/>
      <c r="Z249" s="349"/>
      <c r="AB249" s="79"/>
      <c r="AC249" s="79"/>
      <c r="AD249" s="79"/>
      <c r="AE249" s="79"/>
      <c r="AF249" s="79"/>
      <c r="AG249" s="79"/>
      <c r="AH249" s="79"/>
      <c r="AI249" s="79"/>
    </row>
    <row r="250">
      <c r="A250" s="9"/>
      <c r="C250" s="350"/>
      <c r="D250" s="93"/>
      <c r="E250" s="1"/>
      <c r="F250" s="1"/>
      <c r="G250" s="1"/>
      <c r="H250" s="341"/>
      <c r="I250" s="358"/>
      <c r="J250" s="79"/>
      <c r="K250" s="1"/>
      <c r="L250" s="343"/>
      <c r="M250" s="344"/>
      <c r="N250" s="344"/>
      <c r="O250" s="341"/>
      <c r="P250" s="341"/>
      <c r="Q250" s="79"/>
      <c r="R250" s="345"/>
      <c r="S250" s="344"/>
      <c r="T250" s="345"/>
      <c r="U250" s="344"/>
      <c r="V250" s="346"/>
      <c r="W250" s="347"/>
      <c r="X250" s="359"/>
      <c r="Y250" s="349"/>
      <c r="Z250" s="349"/>
      <c r="AB250" s="79"/>
      <c r="AC250" s="79"/>
      <c r="AD250" s="79"/>
      <c r="AE250" s="79"/>
      <c r="AF250" s="79"/>
      <c r="AG250" s="79"/>
      <c r="AH250" s="79"/>
      <c r="AI250" s="79"/>
    </row>
    <row r="251">
      <c r="A251" s="9"/>
      <c r="C251" s="350"/>
      <c r="D251" s="93"/>
      <c r="E251" s="1"/>
      <c r="F251" s="1"/>
      <c r="G251" s="1"/>
      <c r="H251" s="341"/>
      <c r="I251" s="358"/>
      <c r="J251" s="79"/>
      <c r="K251" s="1"/>
      <c r="L251" s="343"/>
      <c r="M251" s="344"/>
      <c r="N251" s="344"/>
      <c r="O251" s="341"/>
      <c r="P251" s="341"/>
      <c r="Q251" s="79"/>
      <c r="R251" s="345"/>
      <c r="S251" s="344"/>
      <c r="T251" s="345"/>
      <c r="U251" s="344"/>
      <c r="V251" s="346"/>
      <c r="W251" s="347"/>
      <c r="X251" s="359"/>
      <c r="Y251" s="349"/>
      <c r="Z251" s="349"/>
      <c r="AB251" s="79"/>
      <c r="AC251" s="79"/>
      <c r="AD251" s="79"/>
      <c r="AE251" s="79"/>
      <c r="AF251" s="79"/>
      <c r="AG251" s="79"/>
      <c r="AH251" s="79"/>
      <c r="AI251" s="79"/>
    </row>
    <row r="252">
      <c r="A252" s="9"/>
      <c r="C252" s="350"/>
      <c r="D252" s="93"/>
      <c r="E252" s="1"/>
      <c r="F252" s="1"/>
      <c r="G252" s="1"/>
      <c r="H252" s="341"/>
      <c r="I252" s="358"/>
      <c r="J252" s="79"/>
      <c r="K252" s="1"/>
      <c r="L252" s="343"/>
      <c r="M252" s="344"/>
      <c r="N252" s="344"/>
      <c r="O252" s="341"/>
      <c r="P252" s="341"/>
      <c r="Q252" s="79"/>
      <c r="R252" s="345"/>
      <c r="S252" s="344"/>
      <c r="T252" s="345"/>
      <c r="U252" s="344"/>
      <c r="V252" s="346"/>
      <c r="W252" s="347"/>
      <c r="X252" s="359"/>
      <c r="Y252" s="349"/>
      <c r="Z252" s="349"/>
      <c r="AB252" s="79"/>
      <c r="AC252" s="79"/>
      <c r="AD252" s="79"/>
      <c r="AE252" s="79"/>
      <c r="AF252" s="79"/>
      <c r="AG252" s="79"/>
      <c r="AH252" s="79"/>
      <c r="AI252" s="79"/>
    </row>
    <row r="253">
      <c r="A253" s="9"/>
      <c r="C253" s="350"/>
      <c r="D253" s="93"/>
      <c r="E253" s="1"/>
      <c r="F253" s="1"/>
      <c r="G253" s="1"/>
      <c r="H253" s="341"/>
      <c r="I253" s="358"/>
      <c r="J253" s="79"/>
      <c r="K253" s="1"/>
      <c r="L253" s="343"/>
      <c r="M253" s="344"/>
      <c r="N253" s="344"/>
      <c r="O253" s="341"/>
      <c r="P253" s="341"/>
      <c r="Q253" s="79"/>
      <c r="R253" s="345"/>
      <c r="S253" s="344"/>
      <c r="T253" s="345"/>
      <c r="U253" s="344"/>
      <c r="V253" s="346"/>
      <c r="W253" s="347"/>
      <c r="X253" s="359"/>
      <c r="Y253" s="349"/>
      <c r="Z253" s="349"/>
      <c r="AB253" s="79"/>
      <c r="AC253" s="79"/>
      <c r="AD253" s="79"/>
      <c r="AE253" s="79"/>
      <c r="AF253" s="79"/>
      <c r="AG253" s="79"/>
      <c r="AH253" s="79"/>
      <c r="AI253" s="79"/>
    </row>
    <row r="254">
      <c r="A254" s="9"/>
      <c r="C254" s="350"/>
      <c r="D254" s="93"/>
      <c r="E254" s="1"/>
      <c r="F254" s="1"/>
      <c r="G254" s="1"/>
      <c r="H254" s="341"/>
      <c r="I254" s="358"/>
      <c r="J254" s="79"/>
      <c r="K254" s="1"/>
      <c r="L254" s="343"/>
      <c r="M254" s="344"/>
      <c r="N254" s="344"/>
      <c r="O254" s="341"/>
      <c r="P254" s="341"/>
      <c r="Q254" s="79"/>
      <c r="R254" s="345"/>
      <c r="S254" s="344"/>
      <c r="T254" s="345"/>
      <c r="U254" s="344"/>
      <c r="V254" s="346"/>
      <c r="W254" s="347"/>
      <c r="X254" s="359"/>
      <c r="Y254" s="349"/>
      <c r="Z254" s="349"/>
      <c r="AB254" s="79"/>
      <c r="AC254" s="79"/>
      <c r="AD254" s="79"/>
      <c r="AE254" s="79"/>
      <c r="AF254" s="79"/>
      <c r="AG254" s="79"/>
      <c r="AH254" s="79"/>
      <c r="AI254" s="79"/>
    </row>
    <row r="255">
      <c r="A255" s="9"/>
      <c r="C255" s="350"/>
      <c r="D255" s="93"/>
      <c r="E255" s="1"/>
      <c r="F255" s="1"/>
      <c r="G255" s="1"/>
      <c r="H255" s="341"/>
      <c r="I255" s="358"/>
      <c r="J255" s="79"/>
      <c r="K255" s="1"/>
      <c r="L255" s="343"/>
      <c r="M255" s="344"/>
      <c r="N255" s="344"/>
      <c r="O255" s="341"/>
      <c r="P255" s="341"/>
      <c r="Q255" s="79"/>
      <c r="R255" s="345"/>
      <c r="S255" s="344"/>
      <c r="T255" s="345"/>
      <c r="U255" s="344"/>
      <c r="V255" s="346"/>
      <c r="W255" s="347"/>
      <c r="X255" s="359"/>
      <c r="Y255" s="349"/>
      <c r="Z255" s="349"/>
      <c r="AB255" s="79"/>
      <c r="AC255" s="79"/>
      <c r="AD255" s="79"/>
      <c r="AE255" s="79"/>
      <c r="AF255" s="79"/>
      <c r="AG255" s="79"/>
      <c r="AH255" s="79"/>
      <c r="AI255" s="79"/>
    </row>
    <row r="256">
      <c r="A256" s="9"/>
      <c r="C256" s="350"/>
      <c r="D256" s="93"/>
      <c r="E256" s="1"/>
      <c r="F256" s="1"/>
      <c r="G256" s="1"/>
      <c r="H256" s="341"/>
      <c r="I256" s="358"/>
      <c r="J256" s="79"/>
      <c r="K256" s="1"/>
      <c r="L256" s="343"/>
      <c r="M256" s="344"/>
      <c r="N256" s="344"/>
      <c r="O256" s="341"/>
      <c r="P256" s="341"/>
      <c r="Q256" s="79"/>
      <c r="R256" s="345"/>
      <c r="S256" s="344"/>
      <c r="T256" s="345"/>
      <c r="U256" s="344"/>
      <c r="V256" s="346"/>
      <c r="W256" s="347"/>
      <c r="X256" s="359"/>
      <c r="Y256" s="349"/>
      <c r="Z256" s="349"/>
      <c r="AB256" s="79"/>
      <c r="AC256" s="79"/>
      <c r="AD256" s="79"/>
      <c r="AE256" s="79"/>
      <c r="AF256" s="79"/>
      <c r="AG256" s="79"/>
      <c r="AH256" s="79"/>
      <c r="AI256" s="79"/>
    </row>
    <row r="257">
      <c r="A257" s="9"/>
      <c r="C257" s="350"/>
      <c r="D257" s="93"/>
      <c r="E257" s="1"/>
      <c r="F257" s="1"/>
      <c r="G257" s="1"/>
      <c r="H257" s="341"/>
      <c r="I257" s="358"/>
      <c r="J257" s="79"/>
      <c r="K257" s="1"/>
      <c r="L257" s="343"/>
      <c r="M257" s="344"/>
      <c r="N257" s="344"/>
      <c r="O257" s="341"/>
      <c r="P257" s="341"/>
      <c r="Q257" s="79"/>
      <c r="R257" s="345"/>
      <c r="S257" s="344"/>
      <c r="T257" s="345"/>
      <c r="U257" s="344"/>
      <c r="V257" s="346"/>
      <c r="W257" s="347"/>
      <c r="X257" s="359"/>
      <c r="Y257" s="349"/>
      <c r="Z257" s="349"/>
      <c r="AB257" s="79"/>
      <c r="AC257" s="79"/>
      <c r="AD257" s="79"/>
      <c r="AE257" s="79"/>
      <c r="AF257" s="79"/>
      <c r="AG257" s="79"/>
      <c r="AH257" s="79"/>
      <c r="AI257" s="79"/>
    </row>
    <row r="258">
      <c r="A258" s="9"/>
      <c r="C258" s="350"/>
      <c r="D258" s="93"/>
      <c r="E258" s="1"/>
      <c r="F258" s="1"/>
      <c r="G258" s="1"/>
      <c r="H258" s="341"/>
      <c r="I258" s="358"/>
      <c r="J258" s="79"/>
      <c r="K258" s="1"/>
      <c r="L258" s="343"/>
      <c r="M258" s="344"/>
      <c r="N258" s="344"/>
      <c r="O258" s="341"/>
      <c r="P258" s="341"/>
      <c r="Q258" s="79"/>
      <c r="R258" s="345"/>
      <c r="S258" s="344"/>
      <c r="T258" s="345"/>
      <c r="U258" s="344"/>
      <c r="V258" s="346"/>
      <c r="W258" s="347"/>
      <c r="X258" s="359"/>
      <c r="Y258" s="349"/>
      <c r="Z258" s="349"/>
      <c r="AB258" s="79"/>
      <c r="AC258" s="79"/>
      <c r="AD258" s="79"/>
      <c r="AE258" s="79"/>
      <c r="AF258" s="79"/>
      <c r="AG258" s="79"/>
      <c r="AH258" s="79"/>
      <c r="AI258" s="79"/>
    </row>
    <row r="259">
      <c r="A259" s="9"/>
      <c r="C259" s="350"/>
      <c r="D259" s="93"/>
      <c r="E259" s="1"/>
      <c r="F259" s="1"/>
      <c r="G259" s="1"/>
      <c r="H259" s="341"/>
      <c r="I259" s="358"/>
      <c r="J259" s="79"/>
      <c r="K259" s="1"/>
      <c r="L259" s="343"/>
      <c r="M259" s="344"/>
      <c r="N259" s="344"/>
      <c r="O259" s="341"/>
      <c r="P259" s="341"/>
      <c r="Q259" s="79"/>
      <c r="R259" s="345"/>
      <c r="S259" s="344"/>
      <c r="T259" s="345"/>
      <c r="U259" s="344"/>
      <c r="V259" s="346"/>
      <c r="W259" s="347"/>
      <c r="X259" s="359"/>
      <c r="Y259" s="349"/>
      <c r="Z259" s="349"/>
      <c r="AB259" s="79"/>
      <c r="AC259" s="79"/>
      <c r="AD259" s="79"/>
      <c r="AE259" s="79"/>
      <c r="AF259" s="79"/>
      <c r="AG259" s="79"/>
      <c r="AH259" s="79"/>
      <c r="AI259" s="79"/>
    </row>
    <row r="260">
      <c r="A260" s="9"/>
      <c r="C260" s="350"/>
      <c r="D260" s="93"/>
      <c r="E260" s="1"/>
      <c r="F260" s="1"/>
      <c r="G260" s="1"/>
      <c r="H260" s="341"/>
      <c r="I260" s="358"/>
      <c r="J260" s="79"/>
      <c r="K260" s="1"/>
      <c r="L260" s="343"/>
      <c r="M260" s="344"/>
      <c r="N260" s="344"/>
      <c r="O260" s="341"/>
      <c r="P260" s="341"/>
      <c r="Q260" s="79"/>
      <c r="R260" s="345"/>
      <c r="S260" s="344"/>
      <c r="T260" s="345"/>
      <c r="U260" s="344"/>
      <c r="V260" s="346"/>
      <c r="W260" s="347"/>
      <c r="X260" s="359"/>
      <c r="Y260" s="349"/>
      <c r="Z260" s="349"/>
      <c r="AB260" s="79"/>
      <c r="AC260" s="79"/>
      <c r="AD260" s="79"/>
      <c r="AE260" s="79"/>
      <c r="AF260" s="79"/>
      <c r="AG260" s="79"/>
      <c r="AH260" s="79"/>
      <c r="AI260" s="79"/>
    </row>
    <row r="261">
      <c r="A261" s="9"/>
      <c r="C261" s="350"/>
      <c r="D261" s="93"/>
      <c r="E261" s="1"/>
      <c r="F261" s="1"/>
      <c r="G261" s="1"/>
      <c r="H261" s="341"/>
      <c r="I261" s="358"/>
      <c r="J261" s="79"/>
      <c r="K261" s="1"/>
      <c r="L261" s="343"/>
      <c r="M261" s="344"/>
      <c r="N261" s="344"/>
      <c r="O261" s="341"/>
      <c r="P261" s="341"/>
      <c r="Q261" s="79"/>
      <c r="R261" s="345"/>
      <c r="S261" s="344"/>
      <c r="T261" s="345"/>
      <c r="U261" s="344"/>
      <c r="V261" s="346"/>
      <c r="W261" s="347"/>
      <c r="X261" s="359"/>
      <c r="Y261" s="349"/>
      <c r="Z261" s="349"/>
      <c r="AB261" s="79"/>
      <c r="AC261" s="79"/>
      <c r="AD261" s="79"/>
      <c r="AE261" s="79"/>
      <c r="AF261" s="79"/>
      <c r="AG261" s="79"/>
      <c r="AH261" s="79"/>
      <c r="AI261" s="79"/>
    </row>
    <row r="262">
      <c r="A262" s="9"/>
      <c r="C262" s="350"/>
      <c r="D262" s="93"/>
      <c r="E262" s="1"/>
      <c r="F262" s="1"/>
      <c r="G262" s="1"/>
      <c r="H262" s="341"/>
      <c r="I262" s="358"/>
      <c r="J262" s="79"/>
      <c r="K262" s="1"/>
      <c r="L262" s="343"/>
      <c r="M262" s="344"/>
      <c r="N262" s="344"/>
      <c r="O262" s="341"/>
      <c r="P262" s="341"/>
      <c r="Q262" s="79"/>
      <c r="R262" s="345"/>
      <c r="S262" s="344"/>
      <c r="T262" s="345"/>
      <c r="U262" s="344"/>
      <c r="V262" s="346"/>
      <c r="W262" s="347"/>
      <c r="X262" s="359"/>
      <c r="Y262" s="349"/>
      <c r="Z262" s="349"/>
      <c r="AB262" s="79"/>
      <c r="AC262" s="79"/>
      <c r="AD262" s="79"/>
      <c r="AE262" s="79"/>
      <c r="AF262" s="79"/>
      <c r="AG262" s="79"/>
      <c r="AH262" s="79"/>
      <c r="AI262" s="79"/>
    </row>
    <row r="263">
      <c r="A263" s="9"/>
      <c r="C263" s="350"/>
      <c r="D263" s="93"/>
      <c r="E263" s="1"/>
      <c r="F263" s="1"/>
      <c r="G263" s="1"/>
      <c r="H263" s="341"/>
      <c r="I263" s="358"/>
      <c r="J263" s="79"/>
      <c r="K263" s="1"/>
      <c r="L263" s="343"/>
      <c r="M263" s="344"/>
      <c r="N263" s="344"/>
      <c r="O263" s="341"/>
      <c r="P263" s="341"/>
      <c r="Q263" s="79"/>
      <c r="R263" s="345"/>
      <c r="S263" s="344"/>
      <c r="T263" s="345"/>
      <c r="U263" s="344"/>
      <c r="V263" s="346"/>
      <c r="W263" s="347"/>
      <c r="X263" s="359"/>
      <c r="Y263" s="349"/>
      <c r="Z263" s="349"/>
      <c r="AB263" s="79"/>
      <c r="AC263" s="79"/>
      <c r="AD263" s="79"/>
      <c r="AE263" s="79"/>
      <c r="AF263" s="79"/>
      <c r="AG263" s="79"/>
      <c r="AH263" s="79"/>
      <c r="AI263" s="79"/>
    </row>
    <row r="264">
      <c r="A264" s="9"/>
      <c r="C264" s="350"/>
      <c r="D264" s="93"/>
      <c r="E264" s="1"/>
      <c r="F264" s="1"/>
      <c r="G264" s="1"/>
      <c r="H264" s="341"/>
      <c r="I264" s="358"/>
      <c r="J264" s="79"/>
      <c r="K264" s="1"/>
      <c r="L264" s="343"/>
      <c r="M264" s="344"/>
      <c r="N264" s="344"/>
      <c r="O264" s="341"/>
      <c r="P264" s="341"/>
      <c r="Q264" s="79"/>
      <c r="R264" s="345"/>
      <c r="S264" s="344"/>
      <c r="T264" s="345"/>
      <c r="U264" s="344"/>
      <c r="V264" s="346"/>
      <c r="W264" s="347"/>
      <c r="X264" s="359"/>
      <c r="Y264" s="349"/>
      <c r="Z264" s="349"/>
      <c r="AB264" s="79"/>
      <c r="AC264" s="79"/>
      <c r="AD264" s="79"/>
      <c r="AE264" s="79"/>
      <c r="AF264" s="79"/>
      <c r="AG264" s="79"/>
      <c r="AH264" s="79"/>
      <c r="AI264" s="79"/>
    </row>
    <row r="265">
      <c r="A265" s="9"/>
      <c r="C265" s="350"/>
      <c r="D265" s="93"/>
      <c r="E265" s="1"/>
      <c r="F265" s="1"/>
      <c r="G265" s="1"/>
      <c r="H265" s="341"/>
      <c r="I265" s="358"/>
      <c r="J265" s="79"/>
      <c r="K265" s="1"/>
      <c r="L265" s="343"/>
      <c r="M265" s="344"/>
      <c r="N265" s="344"/>
      <c r="O265" s="341"/>
      <c r="P265" s="341"/>
      <c r="Q265" s="79"/>
      <c r="R265" s="345"/>
      <c r="S265" s="344"/>
      <c r="T265" s="345"/>
      <c r="U265" s="344"/>
      <c r="V265" s="346"/>
      <c r="W265" s="347"/>
      <c r="X265" s="359"/>
      <c r="Y265" s="349"/>
      <c r="Z265" s="349"/>
      <c r="AB265" s="79"/>
      <c r="AC265" s="79"/>
      <c r="AD265" s="79"/>
      <c r="AE265" s="79"/>
      <c r="AF265" s="79"/>
      <c r="AG265" s="79"/>
      <c r="AH265" s="79"/>
      <c r="AI265" s="79"/>
    </row>
    <row r="266">
      <c r="A266" s="9"/>
      <c r="C266" s="350"/>
      <c r="D266" s="93"/>
      <c r="E266" s="1"/>
      <c r="F266" s="1"/>
      <c r="G266" s="1"/>
      <c r="H266" s="341"/>
      <c r="I266" s="358"/>
      <c r="J266" s="79"/>
      <c r="K266" s="1"/>
      <c r="L266" s="343"/>
      <c r="M266" s="344"/>
      <c r="N266" s="344"/>
      <c r="O266" s="341"/>
      <c r="P266" s="341"/>
      <c r="Q266" s="79"/>
      <c r="R266" s="345"/>
      <c r="S266" s="344"/>
      <c r="T266" s="345"/>
      <c r="U266" s="344"/>
      <c r="V266" s="346"/>
      <c r="W266" s="347"/>
      <c r="X266" s="359"/>
      <c r="Y266" s="349"/>
      <c r="Z266" s="349"/>
      <c r="AB266" s="79"/>
      <c r="AC266" s="79"/>
      <c r="AD266" s="79"/>
      <c r="AE266" s="79"/>
      <c r="AF266" s="79"/>
      <c r="AG266" s="79"/>
      <c r="AH266" s="79"/>
      <c r="AI266" s="79"/>
    </row>
    <row r="267">
      <c r="A267" s="9"/>
      <c r="C267" s="350"/>
      <c r="D267" s="93"/>
      <c r="E267" s="1"/>
      <c r="F267" s="1"/>
      <c r="G267" s="1"/>
      <c r="H267" s="341"/>
      <c r="I267" s="358"/>
      <c r="J267" s="79"/>
      <c r="K267" s="1"/>
      <c r="L267" s="343"/>
      <c r="M267" s="344"/>
      <c r="N267" s="344"/>
      <c r="O267" s="341"/>
      <c r="P267" s="341"/>
      <c r="Q267" s="79"/>
      <c r="R267" s="345"/>
      <c r="S267" s="344"/>
      <c r="T267" s="345"/>
      <c r="U267" s="344"/>
      <c r="V267" s="346"/>
      <c r="W267" s="347"/>
      <c r="X267" s="359"/>
      <c r="Y267" s="349"/>
      <c r="Z267" s="349"/>
      <c r="AB267" s="79"/>
      <c r="AC267" s="79"/>
      <c r="AD267" s="79"/>
      <c r="AE267" s="79"/>
      <c r="AF267" s="79"/>
      <c r="AG267" s="79"/>
      <c r="AH267" s="79"/>
      <c r="AI267" s="79"/>
    </row>
    <row r="268">
      <c r="A268" s="9"/>
      <c r="C268" s="350"/>
      <c r="D268" s="93"/>
      <c r="E268" s="1"/>
      <c r="F268" s="1"/>
      <c r="G268" s="1"/>
      <c r="H268" s="341"/>
      <c r="I268" s="358"/>
      <c r="J268" s="79"/>
      <c r="K268" s="1"/>
      <c r="L268" s="343"/>
      <c r="M268" s="344"/>
      <c r="N268" s="344"/>
      <c r="O268" s="341"/>
      <c r="P268" s="341"/>
      <c r="Q268" s="79"/>
      <c r="R268" s="345"/>
      <c r="S268" s="344"/>
      <c r="T268" s="345"/>
      <c r="U268" s="344"/>
      <c r="V268" s="346"/>
      <c r="W268" s="347"/>
      <c r="X268" s="359"/>
      <c r="Y268" s="349"/>
      <c r="Z268" s="349"/>
      <c r="AB268" s="79"/>
      <c r="AC268" s="79"/>
      <c r="AD268" s="79"/>
      <c r="AE268" s="79"/>
      <c r="AF268" s="79"/>
      <c r="AG268" s="79"/>
      <c r="AH268" s="79"/>
      <c r="AI268" s="79"/>
    </row>
    <row r="269">
      <c r="A269" s="9"/>
      <c r="C269" s="350"/>
      <c r="D269" s="93"/>
      <c r="E269" s="1"/>
      <c r="F269" s="1"/>
      <c r="G269" s="1"/>
      <c r="H269" s="341"/>
      <c r="I269" s="358"/>
      <c r="J269" s="79"/>
      <c r="K269" s="1"/>
      <c r="L269" s="343"/>
      <c r="M269" s="344"/>
      <c r="N269" s="344"/>
      <c r="O269" s="341"/>
      <c r="P269" s="341"/>
      <c r="Q269" s="79"/>
      <c r="R269" s="345"/>
      <c r="S269" s="344"/>
      <c r="T269" s="345"/>
      <c r="U269" s="344"/>
      <c r="V269" s="346"/>
      <c r="W269" s="347"/>
      <c r="X269" s="359"/>
      <c r="Y269" s="349"/>
      <c r="Z269" s="349"/>
      <c r="AB269" s="79"/>
      <c r="AC269" s="79"/>
      <c r="AD269" s="79"/>
      <c r="AE269" s="79"/>
      <c r="AF269" s="79"/>
      <c r="AG269" s="79"/>
      <c r="AH269" s="79"/>
      <c r="AI269" s="79"/>
    </row>
    <row r="270">
      <c r="A270" s="9"/>
      <c r="C270" s="350"/>
      <c r="D270" s="93"/>
      <c r="E270" s="1"/>
      <c r="F270" s="1"/>
      <c r="G270" s="1"/>
      <c r="H270" s="341"/>
      <c r="I270" s="358"/>
      <c r="J270" s="79"/>
      <c r="K270" s="1"/>
      <c r="L270" s="343"/>
      <c r="M270" s="344"/>
      <c r="N270" s="344"/>
      <c r="O270" s="341"/>
      <c r="P270" s="341"/>
      <c r="Q270" s="79"/>
      <c r="R270" s="345"/>
      <c r="S270" s="344"/>
      <c r="T270" s="345"/>
      <c r="U270" s="344"/>
      <c r="V270" s="346"/>
      <c r="W270" s="347"/>
      <c r="X270" s="359"/>
      <c r="Y270" s="349"/>
      <c r="Z270" s="349"/>
      <c r="AB270" s="79"/>
      <c r="AC270" s="79"/>
      <c r="AD270" s="79"/>
      <c r="AE270" s="79"/>
      <c r="AF270" s="79"/>
      <c r="AG270" s="79"/>
      <c r="AH270" s="79"/>
      <c r="AI270" s="79"/>
    </row>
    <row r="271">
      <c r="A271" s="9"/>
      <c r="C271" s="350"/>
      <c r="D271" s="93"/>
      <c r="E271" s="1"/>
      <c r="F271" s="1"/>
      <c r="G271" s="1"/>
      <c r="H271" s="341"/>
      <c r="I271" s="358"/>
      <c r="J271" s="79"/>
      <c r="K271" s="1"/>
      <c r="L271" s="343"/>
      <c r="M271" s="344"/>
      <c r="N271" s="344"/>
      <c r="O271" s="341"/>
      <c r="P271" s="341"/>
      <c r="Q271" s="79"/>
      <c r="R271" s="345"/>
      <c r="S271" s="344"/>
      <c r="T271" s="345"/>
      <c r="U271" s="344"/>
      <c r="V271" s="346"/>
      <c r="W271" s="347"/>
      <c r="X271" s="359"/>
      <c r="Y271" s="349"/>
      <c r="Z271" s="349"/>
      <c r="AB271" s="79"/>
      <c r="AC271" s="79"/>
      <c r="AD271" s="79"/>
      <c r="AE271" s="79"/>
      <c r="AF271" s="79"/>
      <c r="AG271" s="79"/>
      <c r="AH271" s="79"/>
      <c r="AI271" s="79"/>
    </row>
    <row r="272">
      <c r="A272" s="9"/>
      <c r="C272" s="350"/>
      <c r="D272" s="93"/>
      <c r="E272" s="1"/>
      <c r="F272" s="1"/>
      <c r="G272" s="1"/>
      <c r="H272" s="341"/>
      <c r="I272" s="358"/>
      <c r="J272" s="79"/>
      <c r="K272" s="1"/>
      <c r="L272" s="343"/>
      <c r="M272" s="344"/>
      <c r="N272" s="344"/>
      <c r="O272" s="341"/>
      <c r="P272" s="341"/>
      <c r="Q272" s="79"/>
      <c r="R272" s="345"/>
      <c r="S272" s="344"/>
      <c r="T272" s="345"/>
      <c r="U272" s="344"/>
      <c r="V272" s="346"/>
      <c r="W272" s="347"/>
      <c r="X272" s="359"/>
      <c r="Y272" s="349"/>
      <c r="Z272" s="349"/>
      <c r="AB272" s="79"/>
      <c r="AC272" s="79"/>
      <c r="AD272" s="79"/>
      <c r="AE272" s="79"/>
      <c r="AF272" s="79"/>
      <c r="AG272" s="79"/>
      <c r="AH272" s="79"/>
      <c r="AI272" s="79"/>
    </row>
    <row r="273">
      <c r="A273" s="9"/>
      <c r="C273" s="350"/>
      <c r="D273" s="93"/>
      <c r="E273" s="1"/>
      <c r="F273" s="1"/>
      <c r="G273" s="1"/>
      <c r="H273" s="341"/>
      <c r="I273" s="358"/>
      <c r="J273" s="79"/>
      <c r="K273" s="1"/>
      <c r="L273" s="343"/>
      <c r="M273" s="344"/>
      <c r="N273" s="344"/>
      <c r="O273" s="341"/>
      <c r="P273" s="341"/>
      <c r="Q273" s="79"/>
      <c r="R273" s="345"/>
      <c r="S273" s="344"/>
      <c r="T273" s="345"/>
      <c r="U273" s="344"/>
      <c r="V273" s="346"/>
      <c r="W273" s="347"/>
      <c r="X273" s="359"/>
      <c r="Y273" s="349"/>
      <c r="Z273" s="349"/>
      <c r="AB273" s="79"/>
      <c r="AC273" s="79"/>
      <c r="AD273" s="79"/>
      <c r="AE273" s="79"/>
      <c r="AF273" s="79"/>
      <c r="AG273" s="79"/>
      <c r="AH273" s="79"/>
      <c r="AI273" s="79"/>
    </row>
    <row r="274">
      <c r="A274" s="9"/>
      <c r="C274" s="350"/>
      <c r="D274" s="93"/>
      <c r="E274" s="1"/>
      <c r="F274" s="1"/>
      <c r="G274" s="1"/>
      <c r="H274" s="341"/>
      <c r="I274" s="358"/>
      <c r="J274" s="79"/>
      <c r="K274" s="1"/>
      <c r="L274" s="343"/>
      <c r="M274" s="344"/>
      <c r="N274" s="344"/>
      <c r="O274" s="341"/>
      <c r="P274" s="341"/>
      <c r="Q274" s="79"/>
      <c r="R274" s="345"/>
      <c r="S274" s="344"/>
      <c r="T274" s="345"/>
      <c r="U274" s="344"/>
      <c r="V274" s="346"/>
      <c r="W274" s="347"/>
      <c r="X274" s="359"/>
      <c r="Y274" s="349"/>
      <c r="Z274" s="349"/>
      <c r="AB274" s="79"/>
      <c r="AC274" s="79"/>
      <c r="AD274" s="79"/>
      <c r="AE274" s="79"/>
      <c r="AF274" s="79"/>
      <c r="AG274" s="79"/>
      <c r="AH274" s="79"/>
      <c r="AI274" s="79"/>
    </row>
    <row r="275">
      <c r="A275" s="9"/>
      <c r="C275" s="350"/>
      <c r="D275" s="93"/>
      <c r="E275" s="1"/>
      <c r="F275" s="1"/>
      <c r="G275" s="1"/>
      <c r="H275" s="341"/>
      <c r="I275" s="358"/>
      <c r="J275" s="79"/>
      <c r="K275" s="1"/>
      <c r="L275" s="343"/>
      <c r="M275" s="344"/>
      <c r="N275" s="344"/>
      <c r="O275" s="341"/>
      <c r="P275" s="341"/>
      <c r="Q275" s="79"/>
      <c r="R275" s="345"/>
      <c r="S275" s="344"/>
      <c r="T275" s="345"/>
      <c r="U275" s="344"/>
      <c r="V275" s="346"/>
      <c r="W275" s="347"/>
      <c r="X275" s="359"/>
      <c r="Y275" s="349"/>
      <c r="Z275" s="349"/>
      <c r="AB275" s="79"/>
      <c r="AC275" s="79"/>
      <c r="AD275" s="79"/>
      <c r="AE275" s="79"/>
      <c r="AF275" s="79"/>
      <c r="AG275" s="79"/>
      <c r="AH275" s="79"/>
      <c r="AI275" s="79"/>
    </row>
    <row r="276">
      <c r="A276" s="9"/>
      <c r="C276" s="350"/>
      <c r="D276" s="93"/>
      <c r="E276" s="1"/>
      <c r="F276" s="1"/>
      <c r="G276" s="1"/>
      <c r="H276" s="341"/>
      <c r="I276" s="358"/>
      <c r="J276" s="79"/>
      <c r="K276" s="1"/>
      <c r="L276" s="343"/>
      <c r="M276" s="344"/>
      <c r="N276" s="344"/>
      <c r="O276" s="341"/>
      <c r="P276" s="341"/>
      <c r="Q276" s="79"/>
      <c r="R276" s="345"/>
      <c r="S276" s="344"/>
      <c r="T276" s="345"/>
      <c r="U276" s="344"/>
      <c r="V276" s="346"/>
      <c r="W276" s="347"/>
      <c r="X276" s="359"/>
      <c r="Y276" s="349"/>
      <c r="Z276" s="349"/>
      <c r="AB276" s="79"/>
      <c r="AC276" s="79"/>
      <c r="AD276" s="79"/>
      <c r="AE276" s="79"/>
      <c r="AF276" s="79"/>
      <c r="AG276" s="79"/>
      <c r="AH276" s="79"/>
      <c r="AI276" s="79"/>
    </row>
    <row r="277">
      <c r="A277" s="9"/>
      <c r="C277" s="350"/>
      <c r="D277" s="93"/>
      <c r="E277" s="1"/>
      <c r="F277" s="1"/>
      <c r="G277" s="1"/>
      <c r="H277" s="341"/>
      <c r="I277" s="358"/>
      <c r="J277" s="79"/>
      <c r="K277" s="1"/>
      <c r="L277" s="343"/>
      <c r="M277" s="344"/>
      <c r="N277" s="344"/>
      <c r="O277" s="341"/>
      <c r="P277" s="341"/>
      <c r="Q277" s="79"/>
      <c r="R277" s="345"/>
      <c r="S277" s="344"/>
      <c r="T277" s="345"/>
      <c r="U277" s="344"/>
      <c r="V277" s="346"/>
      <c r="W277" s="347"/>
      <c r="X277" s="359"/>
      <c r="Y277" s="349"/>
      <c r="Z277" s="349"/>
      <c r="AB277" s="79"/>
      <c r="AC277" s="79"/>
      <c r="AD277" s="79"/>
      <c r="AE277" s="79"/>
      <c r="AF277" s="79"/>
      <c r="AG277" s="79"/>
      <c r="AH277" s="79"/>
      <c r="AI277" s="79"/>
    </row>
    <row r="278">
      <c r="A278" s="9"/>
      <c r="C278" s="350"/>
      <c r="D278" s="93"/>
      <c r="E278" s="1"/>
      <c r="F278" s="1"/>
      <c r="G278" s="1"/>
      <c r="H278" s="341"/>
      <c r="I278" s="358"/>
      <c r="J278" s="79"/>
      <c r="K278" s="1"/>
      <c r="L278" s="343"/>
      <c r="M278" s="344"/>
      <c r="N278" s="344"/>
      <c r="O278" s="341"/>
      <c r="P278" s="341"/>
      <c r="Q278" s="79"/>
      <c r="R278" s="345"/>
      <c r="S278" s="344"/>
      <c r="T278" s="345"/>
      <c r="U278" s="344"/>
      <c r="V278" s="346"/>
      <c r="W278" s="347"/>
      <c r="X278" s="359"/>
      <c r="Y278" s="349"/>
      <c r="Z278" s="349"/>
      <c r="AB278" s="79"/>
      <c r="AC278" s="79"/>
      <c r="AD278" s="79"/>
      <c r="AE278" s="79"/>
      <c r="AF278" s="79"/>
      <c r="AG278" s="79"/>
      <c r="AH278" s="79"/>
      <c r="AI278" s="79"/>
    </row>
    <row r="279">
      <c r="A279" s="9"/>
      <c r="C279" s="350"/>
      <c r="D279" s="93"/>
      <c r="E279" s="1"/>
      <c r="F279" s="1"/>
      <c r="G279" s="1"/>
      <c r="H279" s="341"/>
      <c r="I279" s="358"/>
      <c r="J279" s="79"/>
      <c r="K279" s="1"/>
      <c r="L279" s="343"/>
      <c r="M279" s="344"/>
      <c r="N279" s="344"/>
      <c r="O279" s="341"/>
      <c r="P279" s="341"/>
      <c r="Q279" s="79"/>
      <c r="R279" s="345"/>
      <c r="S279" s="344"/>
      <c r="T279" s="345"/>
      <c r="U279" s="344"/>
      <c r="V279" s="346"/>
      <c r="W279" s="347"/>
      <c r="X279" s="359"/>
      <c r="Y279" s="349"/>
      <c r="Z279" s="349"/>
      <c r="AB279" s="79"/>
      <c r="AC279" s="79"/>
      <c r="AD279" s="79"/>
      <c r="AE279" s="79"/>
      <c r="AF279" s="79"/>
      <c r="AG279" s="79"/>
      <c r="AH279" s="79"/>
      <c r="AI279" s="79"/>
    </row>
    <row r="280">
      <c r="A280" s="9"/>
      <c r="C280" s="350"/>
      <c r="D280" s="93"/>
      <c r="E280" s="1"/>
      <c r="F280" s="1"/>
      <c r="G280" s="1"/>
      <c r="H280" s="341"/>
      <c r="I280" s="358"/>
      <c r="J280" s="79"/>
      <c r="K280" s="1"/>
      <c r="L280" s="343"/>
      <c r="M280" s="344"/>
      <c r="N280" s="344"/>
      <c r="O280" s="341"/>
      <c r="P280" s="341"/>
      <c r="Q280" s="79"/>
      <c r="R280" s="345"/>
      <c r="S280" s="344"/>
      <c r="T280" s="345"/>
      <c r="U280" s="344"/>
      <c r="V280" s="346"/>
      <c r="W280" s="347"/>
      <c r="X280" s="359"/>
      <c r="Y280" s="349"/>
      <c r="Z280" s="349"/>
      <c r="AB280" s="79"/>
      <c r="AC280" s="79"/>
      <c r="AD280" s="79"/>
      <c r="AE280" s="79"/>
      <c r="AF280" s="79"/>
      <c r="AG280" s="79"/>
      <c r="AH280" s="79"/>
      <c r="AI280" s="79"/>
    </row>
    <row r="281">
      <c r="A281" s="9"/>
      <c r="C281" s="350"/>
      <c r="D281" s="93"/>
      <c r="E281" s="1"/>
      <c r="F281" s="1"/>
      <c r="G281" s="1"/>
      <c r="H281" s="341"/>
      <c r="I281" s="358"/>
      <c r="J281" s="79"/>
      <c r="K281" s="1"/>
      <c r="L281" s="343"/>
      <c r="M281" s="344"/>
      <c r="N281" s="344"/>
      <c r="O281" s="341"/>
      <c r="P281" s="341"/>
      <c r="Q281" s="79"/>
      <c r="R281" s="345"/>
      <c r="S281" s="344"/>
      <c r="T281" s="345"/>
      <c r="U281" s="344"/>
      <c r="V281" s="346"/>
      <c r="W281" s="347"/>
      <c r="X281" s="359"/>
      <c r="Y281" s="349"/>
      <c r="Z281" s="349"/>
      <c r="AB281" s="79"/>
      <c r="AC281" s="79"/>
      <c r="AD281" s="79"/>
      <c r="AE281" s="79"/>
      <c r="AF281" s="79"/>
      <c r="AG281" s="79"/>
      <c r="AH281" s="79"/>
      <c r="AI281" s="79"/>
    </row>
    <row r="282">
      <c r="A282" s="9"/>
      <c r="C282" s="350"/>
      <c r="D282" s="93"/>
      <c r="E282" s="1"/>
      <c r="F282" s="1"/>
      <c r="G282" s="1"/>
      <c r="H282" s="341"/>
      <c r="I282" s="358"/>
      <c r="J282" s="79"/>
      <c r="K282" s="1"/>
      <c r="L282" s="343"/>
      <c r="M282" s="344"/>
      <c r="N282" s="344"/>
      <c r="O282" s="341"/>
      <c r="P282" s="341"/>
      <c r="Q282" s="79"/>
      <c r="R282" s="345"/>
      <c r="S282" s="344"/>
      <c r="T282" s="345"/>
      <c r="U282" s="344"/>
      <c r="V282" s="346"/>
      <c r="W282" s="347"/>
      <c r="X282" s="359"/>
      <c r="Y282" s="349"/>
      <c r="Z282" s="349"/>
      <c r="AB282" s="79"/>
      <c r="AC282" s="79"/>
      <c r="AD282" s="79"/>
      <c r="AE282" s="79"/>
      <c r="AF282" s="79"/>
      <c r="AG282" s="79"/>
      <c r="AH282" s="79"/>
      <c r="AI282" s="79"/>
    </row>
    <row r="283">
      <c r="A283" s="9"/>
      <c r="C283" s="350"/>
      <c r="D283" s="93"/>
      <c r="E283" s="1"/>
      <c r="F283" s="1"/>
      <c r="G283" s="1"/>
      <c r="H283" s="341"/>
      <c r="I283" s="358"/>
      <c r="J283" s="79"/>
      <c r="K283" s="1"/>
      <c r="L283" s="343"/>
      <c r="M283" s="344"/>
      <c r="N283" s="344"/>
      <c r="O283" s="341"/>
      <c r="P283" s="341"/>
      <c r="Q283" s="79"/>
      <c r="R283" s="345"/>
      <c r="S283" s="344"/>
      <c r="T283" s="345"/>
      <c r="U283" s="344"/>
      <c r="V283" s="346"/>
      <c r="W283" s="347"/>
      <c r="X283" s="359"/>
      <c r="Y283" s="349"/>
      <c r="Z283" s="349"/>
      <c r="AB283" s="79"/>
      <c r="AC283" s="79"/>
      <c r="AD283" s="79"/>
      <c r="AE283" s="79"/>
      <c r="AF283" s="79"/>
      <c r="AG283" s="79"/>
      <c r="AH283" s="79"/>
      <c r="AI283" s="79"/>
    </row>
    <row r="284">
      <c r="A284" s="9"/>
      <c r="C284" s="350"/>
      <c r="D284" s="93"/>
      <c r="E284" s="1"/>
      <c r="F284" s="1"/>
      <c r="G284" s="1"/>
      <c r="H284" s="341"/>
      <c r="I284" s="358"/>
      <c r="J284" s="79"/>
      <c r="K284" s="1"/>
      <c r="L284" s="343"/>
      <c r="M284" s="344"/>
      <c r="N284" s="344"/>
      <c r="O284" s="341"/>
      <c r="P284" s="341"/>
      <c r="Q284" s="79"/>
      <c r="R284" s="345"/>
      <c r="S284" s="344"/>
      <c r="T284" s="345"/>
      <c r="U284" s="344"/>
      <c r="V284" s="346"/>
      <c r="W284" s="347"/>
      <c r="X284" s="359"/>
      <c r="Y284" s="349"/>
      <c r="Z284" s="349"/>
      <c r="AB284" s="79"/>
      <c r="AC284" s="79"/>
      <c r="AD284" s="79"/>
      <c r="AE284" s="79"/>
      <c r="AF284" s="79"/>
      <c r="AG284" s="79"/>
      <c r="AH284" s="79"/>
      <c r="AI284" s="79"/>
    </row>
    <row r="285">
      <c r="A285" s="9"/>
      <c r="C285" s="350"/>
      <c r="D285" s="93"/>
      <c r="E285" s="1"/>
      <c r="F285" s="1"/>
      <c r="G285" s="1"/>
      <c r="H285" s="341"/>
      <c r="I285" s="358"/>
      <c r="J285" s="79"/>
      <c r="K285" s="1"/>
      <c r="L285" s="343"/>
      <c r="M285" s="344"/>
      <c r="N285" s="344"/>
      <c r="O285" s="341"/>
      <c r="P285" s="341"/>
      <c r="Q285" s="79"/>
      <c r="R285" s="345"/>
      <c r="S285" s="344"/>
      <c r="T285" s="345"/>
      <c r="U285" s="344"/>
      <c r="V285" s="346"/>
      <c r="W285" s="347"/>
      <c r="X285" s="359"/>
      <c r="Y285" s="349"/>
      <c r="Z285" s="349"/>
      <c r="AB285" s="79"/>
      <c r="AC285" s="79"/>
      <c r="AD285" s="79"/>
      <c r="AE285" s="79"/>
      <c r="AF285" s="79"/>
      <c r="AG285" s="79"/>
      <c r="AH285" s="79"/>
      <c r="AI285" s="79"/>
    </row>
    <row r="286">
      <c r="A286" s="9"/>
      <c r="C286" s="350"/>
      <c r="D286" s="93"/>
      <c r="E286" s="1"/>
      <c r="F286" s="1"/>
      <c r="G286" s="1"/>
      <c r="H286" s="341"/>
      <c r="I286" s="358"/>
      <c r="J286" s="79"/>
      <c r="K286" s="1"/>
      <c r="L286" s="343"/>
      <c r="M286" s="344"/>
      <c r="N286" s="344"/>
      <c r="O286" s="341"/>
      <c r="P286" s="341"/>
      <c r="Q286" s="79"/>
      <c r="R286" s="345"/>
      <c r="S286" s="344"/>
      <c r="T286" s="345"/>
      <c r="U286" s="344"/>
      <c r="V286" s="346"/>
      <c r="W286" s="347"/>
      <c r="X286" s="359"/>
      <c r="Y286" s="349"/>
      <c r="Z286" s="349"/>
      <c r="AB286" s="79"/>
      <c r="AC286" s="79"/>
      <c r="AD286" s="79"/>
      <c r="AE286" s="79"/>
      <c r="AF286" s="79"/>
      <c r="AG286" s="79"/>
      <c r="AH286" s="79"/>
      <c r="AI286" s="79"/>
    </row>
    <row r="287">
      <c r="A287" s="9"/>
      <c r="C287" s="350"/>
      <c r="D287" s="93"/>
      <c r="E287" s="1"/>
      <c r="F287" s="1"/>
      <c r="G287" s="1"/>
      <c r="H287" s="341"/>
      <c r="I287" s="358"/>
      <c r="J287" s="79"/>
      <c r="K287" s="1"/>
      <c r="L287" s="343"/>
      <c r="M287" s="344"/>
      <c r="N287" s="344"/>
      <c r="O287" s="341"/>
      <c r="P287" s="341"/>
      <c r="Q287" s="79"/>
      <c r="R287" s="345"/>
      <c r="S287" s="344"/>
      <c r="T287" s="345"/>
      <c r="U287" s="344"/>
      <c r="V287" s="346"/>
      <c r="W287" s="347"/>
      <c r="X287" s="359"/>
      <c r="Y287" s="349"/>
      <c r="Z287" s="349"/>
      <c r="AB287" s="79"/>
      <c r="AC287" s="79"/>
      <c r="AD287" s="79"/>
      <c r="AE287" s="79"/>
      <c r="AF287" s="79"/>
      <c r="AG287" s="79"/>
      <c r="AH287" s="79"/>
      <c r="AI287" s="79"/>
    </row>
    <row r="288">
      <c r="A288" s="9"/>
      <c r="C288" s="350"/>
      <c r="D288" s="93"/>
      <c r="E288" s="1"/>
      <c r="F288" s="1"/>
      <c r="G288" s="1"/>
      <c r="H288" s="341"/>
      <c r="I288" s="358"/>
      <c r="J288" s="79"/>
      <c r="K288" s="1"/>
      <c r="L288" s="343"/>
      <c r="M288" s="344"/>
      <c r="N288" s="344"/>
      <c r="O288" s="341"/>
      <c r="P288" s="341"/>
      <c r="Q288" s="79"/>
      <c r="R288" s="345"/>
      <c r="S288" s="344"/>
      <c r="T288" s="345"/>
      <c r="U288" s="344"/>
      <c r="V288" s="346"/>
      <c r="W288" s="347"/>
      <c r="X288" s="359"/>
      <c r="Y288" s="349"/>
      <c r="Z288" s="349"/>
      <c r="AB288" s="79"/>
      <c r="AC288" s="79"/>
      <c r="AD288" s="79"/>
      <c r="AE288" s="79"/>
      <c r="AF288" s="79"/>
      <c r="AG288" s="79"/>
      <c r="AH288" s="79"/>
      <c r="AI288" s="79"/>
    </row>
    <row r="289">
      <c r="A289" s="9"/>
      <c r="C289" s="350"/>
      <c r="D289" s="93"/>
      <c r="E289" s="1"/>
      <c r="F289" s="1"/>
      <c r="G289" s="1"/>
      <c r="H289" s="341"/>
      <c r="I289" s="358"/>
      <c r="J289" s="79"/>
      <c r="K289" s="1"/>
      <c r="L289" s="343"/>
      <c r="M289" s="344"/>
      <c r="N289" s="344"/>
      <c r="O289" s="341"/>
      <c r="P289" s="341"/>
      <c r="Q289" s="79"/>
      <c r="R289" s="345"/>
      <c r="S289" s="344"/>
      <c r="T289" s="345"/>
      <c r="U289" s="344"/>
      <c r="V289" s="346"/>
      <c r="W289" s="347"/>
      <c r="X289" s="359"/>
      <c r="Y289" s="349"/>
      <c r="Z289" s="349"/>
      <c r="AB289" s="79"/>
      <c r="AC289" s="79"/>
      <c r="AD289" s="79"/>
      <c r="AE289" s="79"/>
      <c r="AF289" s="79"/>
      <c r="AG289" s="79"/>
      <c r="AH289" s="79"/>
      <c r="AI289" s="79"/>
    </row>
    <row r="290">
      <c r="A290" s="9"/>
      <c r="C290" s="350"/>
      <c r="D290" s="93"/>
      <c r="E290" s="1"/>
      <c r="F290" s="1"/>
      <c r="G290" s="1"/>
      <c r="H290" s="341"/>
      <c r="I290" s="358"/>
      <c r="J290" s="79"/>
      <c r="K290" s="1"/>
      <c r="L290" s="343"/>
      <c r="M290" s="344"/>
      <c r="N290" s="344"/>
      <c r="O290" s="341"/>
      <c r="P290" s="341"/>
      <c r="Q290" s="79"/>
      <c r="R290" s="345"/>
      <c r="S290" s="344"/>
      <c r="T290" s="345"/>
      <c r="U290" s="344"/>
      <c r="V290" s="346"/>
      <c r="W290" s="347"/>
      <c r="X290" s="359"/>
      <c r="Y290" s="349"/>
      <c r="Z290" s="349"/>
      <c r="AB290" s="79"/>
      <c r="AC290" s="79"/>
      <c r="AD290" s="79"/>
      <c r="AE290" s="79"/>
      <c r="AF290" s="79"/>
      <c r="AG290" s="79"/>
      <c r="AH290" s="79"/>
      <c r="AI290" s="79"/>
    </row>
    <row r="291">
      <c r="A291" s="9"/>
      <c r="C291" s="350"/>
      <c r="D291" s="93"/>
      <c r="E291" s="1"/>
      <c r="F291" s="1"/>
      <c r="G291" s="1"/>
      <c r="H291" s="341"/>
      <c r="I291" s="358"/>
      <c r="J291" s="79"/>
      <c r="K291" s="1"/>
      <c r="L291" s="343"/>
      <c r="M291" s="344"/>
      <c r="N291" s="344"/>
      <c r="O291" s="341"/>
      <c r="P291" s="341"/>
      <c r="Q291" s="79"/>
      <c r="R291" s="345"/>
      <c r="S291" s="344"/>
      <c r="T291" s="345"/>
      <c r="U291" s="344"/>
      <c r="V291" s="346"/>
      <c r="W291" s="347"/>
      <c r="X291" s="359"/>
      <c r="Y291" s="349"/>
      <c r="Z291" s="349"/>
      <c r="AB291" s="79"/>
      <c r="AC291" s="79"/>
      <c r="AD291" s="79"/>
      <c r="AE291" s="79"/>
      <c r="AF291" s="79"/>
      <c r="AG291" s="79"/>
      <c r="AH291" s="79"/>
      <c r="AI291" s="79"/>
    </row>
    <row r="292">
      <c r="A292" s="9"/>
      <c r="C292" s="350"/>
      <c r="D292" s="93"/>
      <c r="E292" s="1"/>
      <c r="F292" s="1"/>
      <c r="G292" s="1"/>
      <c r="H292" s="341"/>
      <c r="I292" s="358"/>
      <c r="J292" s="79"/>
      <c r="K292" s="1"/>
      <c r="L292" s="343"/>
      <c r="M292" s="344"/>
      <c r="N292" s="344"/>
      <c r="O292" s="341"/>
      <c r="P292" s="341"/>
      <c r="Q292" s="79"/>
      <c r="R292" s="345"/>
      <c r="S292" s="344"/>
      <c r="T292" s="345"/>
      <c r="U292" s="344"/>
      <c r="V292" s="346"/>
      <c r="W292" s="347"/>
      <c r="X292" s="359"/>
      <c r="Y292" s="349"/>
      <c r="Z292" s="349"/>
      <c r="AB292" s="79"/>
      <c r="AC292" s="79"/>
      <c r="AD292" s="79"/>
      <c r="AE292" s="79"/>
      <c r="AF292" s="79"/>
      <c r="AG292" s="79"/>
      <c r="AH292" s="79"/>
      <c r="AI292" s="79"/>
    </row>
    <row r="293">
      <c r="A293" s="9"/>
      <c r="C293" s="350"/>
      <c r="D293" s="93"/>
      <c r="E293" s="1"/>
      <c r="F293" s="1"/>
      <c r="G293" s="1"/>
      <c r="H293" s="341"/>
      <c r="I293" s="358"/>
      <c r="J293" s="79"/>
      <c r="K293" s="1"/>
      <c r="L293" s="343"/>
      <c r="M293" s="344"/>
      <c r="N293" s="344"/>
      <c r="O293" s="341"/>
      <c r="P293" s="341"/>
      <c r="Q293" s="79"/>
      <c r="R293" s="345"/>
      <c r="S293" s="344"/>
      <c r="T293" s="345"/>
      <c r="U293" s="344"/>
      <c r="V293" s="346"/>
      <c r="W293" s="347"/>
      <c r="X293" s="359"/>
      <c r="Y293" s="349"/>
      <c r="Z293" s="349"/>
      <c r="AB293" s="79"/>
      <c r="AC293" s="79"/>
      <c r="AD293" s="79"/>
      <c r="AE293" s="79"/>
      <c r="AF293" s="79"/>
      <c r="AG293" s="79"/>
      <c r="AH293" s="79"/>
      <c r="AI293" s="79"/>
    </row>
    <row r="294">
      <c r="A294" s="9"/>
      <c r="C294" s="350"/>
      <c r="D294" s="93"/>
      <c r="E294" s="1"/>
      <c r="F294" s="1"/>
      <c r="G294" s="1"/>
      <c r="H294" s="341"/>
      <c r="I294" s="358"/>
      <c r="J294" s="79"/>
      <c r="K294" s="1"/>
      <c r="L294" s="343"/>
      <c r="M294" s="344"/>
      <c r="N294" s="344"/>
      <c r="O294" s="341"/>
      <c r="P294" s="341"/>
      <c r="Q294" s="79"/>
      <c r="R294" s="345"/>
      <c r="S294" s="344"/>
      <c r="T294" s="345"/>
      <c r="U294" s="344"/>
      <c r="V294" s="346"/>
      <c r="W294" s="347"/>
      <c r="X294" s="359"/>
      <c r="Y294" s="349"/>
      <c r="Z294" s="349"/>
      <c r="AB294" s="79"/>
      <c r="AC294" s="79"/>
      <c r="AD294" s="79"/>
      <c r="AE294" s="79"/>
      <c r="AF294" s="79"/>
      <c r="AG294" s="79"/>
      <c r="AH294" s="79"/>
      <c r="AI294" s="79"/>
    </row>
    <row r="295">
      <c r="A295" s="9"/>
      <c r="C295" s="350"/>
      <c r="D295" s="93"/>
      <c r="E295" s="1"/>
      <c r="F295" s="1"/>
      <c r="G295" s="1"/>
      <c r="H295" s="341"/>
      <c r="I295" s="358"/>
      <c r="J295" s="79"/>
      <c r="K295" s="1"/>
      <c r="L295" s="343"/>
      <c r="M295" s="344"/>
      <c r="N295" s="344"/>
      <c r="O295" s="341"/>
      <c r="P295" s="341"/>
      <c r="Q295" s="79"/>
      <c r="R295" s="345"/>
      <c r="S295" s="344"/>
      <c r="T295" s="345"/>
      <c r="U295" s="344"/>
      <c r="V295" s="346"/>
      <c r="W295" s="347"/>
      <c r="X295" s="359"/>
      <c r="Y295" s="349"/>
      <c r="Z295" s="349"/>
      <c r="AB295" s="79"/>
      <c r="AC295" s="79"/>
      <c r="AD295" s="79"/>
      <c r="AE295" s="79"/>
      <c r="AF295" s="79"/>
      <c r="AG295" s="79"/>
      <c r="AH295" s="79"/>
      <c r="AI295" s="79"/>
    </row>
    <row r="296">
      <c r="A296" s="9"/>
      <c r="C296" s="350"/>
      <c r="D296" s="93"/>
      <c r="E296" s="1"/>
      <c r="F296" s="1"/>
      <c r="G296" s="1"/>
      <c r="H296" s="341"/>
      <c r="I296" s="358"/>
      <c r="J296" s="79"/>
      <c r="K296" s="1"/>
      <c r="L296" s="343"/>
      <c r="M296" s="344"/>
      <c r="N296" s="344"/>
      <c r="O296" s="341"/>
      <c r="P296" s="341"/>
      <c r="Q296" s="79"/>
      <c r="R296" s="345"/>
      <c r="S296" s="344"/>
      <c r="T296" s="345"/>
      <c r="U296" s="344"/>
      <c r="V296" s="346"/>
      <c r="W296" s="347"/>
      <c r="X296" s="359"/>
      <c r="Y296" s="349"/>
      <c r="Z296" s="349"/>
      <c r="AB296" s="79"/>
      <c r="AC296" s="79"/>
      <c r="AD296" s="79"/>
      <c r="AE296" s="79"/>
      <c r="AF296" s="79"/>
      <c r="AG296" s="79"/>
      <c r="AH296" s="79"/>
      <c r="AI296" s="79"/>
    </row>
    <row r="297">
      <c r="A297" s="9"/>
      <c r="C297" s="350"/>
      <c r="D297" s="93"/>
      <c r="E297" s="1"/>
      <c r="F297" s="1"/>
      <c r="G297" s="1"/>
      <c r="H297" s="341"/>
      <c r="I297" s="358"/>
      <c r="J297" s="79"/>
      <c r="K297" s="1"/>
      <c r="L297" s="343"/>
      <c r="M297" s="344"/>
      <c r="N297" s="344"/>
      <c r="O297" s="341"/>
      <c r="P297" s="341"/>
      <c r="Q297" s="79"/>
      <c r="R297" s="345"/>
      <c r="S297" s="344"/>
      <c r="T297" s="345"/>
      <c r="U297" s="344"/>
      <c r="V297" s="346"/>
      <c r="W297" s="347"/>
      <c r="X297" s="359"/>
      <c r="Y297" s="349"/>
      <c r="Z297" s="349"/>
      <c r="AB297" s="79"/>
      <c r="AC297" s="79"/>
      <c r="AD297" s="79"/>
      <c r="AE297" s="79"/>
      <c r="AF297" s="79"/>
      <c r="AG297" s="79"/>
      <c r="AH297" s="79"/>
      <c r="AI297" s="79"/>
    </row>
    <row r="298">
      <c r="A298" s="9"/>
      <c r="C298" s="350"/>
      <c r="D298" s="93"/>
      <c r="E298" s="1"/>
      <c r="F298" s="1"/>
      <c r="G298" s="1"/>
      <c r="H298" s="341"/>
      <c r="I298" s="358"/>
      <c r="J298" s="79"/>
      <c r="K298" s="1"/>
      <c r="L298" s="343"/>
      <c r="M298" s="344"/>
      <c r="N298" s="344"/>
      <c r="O298" s="341"/>
      <c r="P298" s="341"/>
      <c r="Q298" s="79"/>
      <c r="R298" s="345"/>
      <c r="S298" s="344"/>
      <c r="T298" s="345"/>
      <c r="U298" s="344"/>
      <c r="V298" s="346"/>
      <c r="W298" s="347"/>
      <c r="X298" s="359"/>
      <c r="Y298" s="349"/>
      <c r="Z298" s="349"/>
      <c r="AB298" s="79"/>
      <c r="AC298" s="79"/>
      <c r="AD298" s="79"/>
      <c r="AE298" s="79"/>
      <c r="AF298" s="79"/>
      <c r="AG298" s="79"/>
      <c r="AH298" s="79"/>
      <c r="AI298" s="79"/>
    </row>
    <row r="299">
      <c r="A299" s="9"/>
      <c r="C299" s="350"/>
      <c r="D299" s="93"/>
      <c r="E299" s="1"/>
      <c r="F299" s="1"/>
      <c r="G299" s="1"/>
      <c r="H299" s="341"/>
      <c r="I299" s="358"/>
      <c r="J299" s="79"/>
      <c r="K299" s="1"/>
      <c r="L299" s="343"/>
      <c r="M299" s="344"/>
      <c r="N299" s="344"/>
      <c r="O299" s="341"/>
      <c r="P299" s="341"/>
      <c r="Q299" s="79"/>
      <c r="R299" s="345"/>
      <c r="S299" s="344"/>
      <c r="T299" s="345"/>
      <c r="U299" s="344"/>
      <c r="V299" s="346"/>
      <c r="W299" s="347"/>
      <c r="X299" s="359"/>
      <c r="Y299" s="349"/>
      <c r="Z299" s="349"/>
      <c r="AB299" s="79"/>
      <c r="AC299" s="79"/>
      <c r="AD299" s="79"/>
      <c r="AE299" s="79"/>
      <c r="AF299" s="79"/>
      <c r="AG299" s="79"/>
      <c r="AH299" s="79"/>
      <c r="AI299" s="79"/>
    </row>
    <row r="300">
      <c r="A300" s="9"/>
      <c r="C300" s="350"/>
      <c r="D300" s="93"/>
      <c r="E300" s="1"/>
      <c r="F300" s="1"/>
      <c r="G300" s="1"/>
      <c r="H300" s="341"/>
      <c r="I300" s="358"/>
      <c r="J300" s="79"/>
      <c r="K300" s="1"/>
      <c r="L300" s="343"/>
      <c r="M300" s="344"/>
      <c r="N300" s="344"/>
      <c r="O300" s="341"/>
      <c r="P300" s="341"/>
      <c r="Q300" s="79"/>
      <c r="R300" s="345"/>
      <c r="S300" s="344"/>
      <c r="T300" s="345"/>
      <c r="U300" s="344"/>
      <c r="V300" s="346"/>
      <c r="W300" s="347"/>
      <c r="X300" s="359"/>
      <c r="Y300" s="349"/>
      <c r="Z300" s="349"/>
      <c r="AB300" s="79"/>
      <c r="AC300" s="79"/>
      <c r="AD300" s="79"/>
      <c r="AE300" s="79"/>
      <c r="AF300" s="79"/>
      <c r="AG300" s="79"/>
      <c r="AH300" s="79"/>
      <c r="AI300" s="79"/>
    </row>
    <row r="301">
      <c r="A301" s="9"/>
      <c r="C301" s="350"/>
      <c r="D301" s="93"/>
      <c r="E301" s="1"/>
      <c r="F301" s="1"/>
      <c r="G301" s="1"/>
      <c r="H301" s="341"/>
      <c r="I301" s="358"/>
      <c r="J301" s="79"/>
      <c r="K301" s="1"/>
      <c r="L301" s="343"/>
      <c r="M301" s="344"/>
      <c r="N301" s="344"/>
      <c r="O301" s="341"/>
      <c r="P301" s="341"/>
      <c r="Q301" s="79"/>
      <c r="R301" s="345"/>
      <c r="S301" s="344"/>
      <c r="T301" s="345"/>
      <c r="U301" s="344"/>
      <c r="V301" s="346"/>
      <c r="W301" s="347"/>
      <c r="X301" s="359"/>
      <c r="Y301" s="349"/>
      <c r="Z301" s="349"/>
      <c r="AB301" s="79"/>
      <c r="AC301" s="79"/>
      <c r="AD301" s="79"/>
      <c r="AE301" s="79"/>
      <c r="AF301" s="79"/>
      <c r="AG301" s="79"/>
      <c r="AH301" s="79"/>
      <c r="AI301" s="79"/>
    </row>
    <row r="302">
      <c r="A302" s="9"/>
      <c r="C302" s="350"/>
      <c r="D302" s="93"/>
      <c r="E302" s="1"/>
      <c r="F302" s="1"/>
      <c r="G302" s="1"/>
      <c r="H302" s="341"/>
      <c r="I302" s="358"/>
      <c r="J302" s="79"/>
      <c r="K302" s="1"/>
      <c r="L302" s="343"/>
      <c r="M302" s="344"/>
      <c r="N302" s="344"/>
      <c r="O302" s="341"/>
      <c r="P302" s="341"/>
      <c r="Q302" s="79"/>
      <c r="R302" s="345"/>
      <c r="S302" s="344"/>
      <c r="T302" s="345"/>
      <c r="U302" s="344"/>
      <c r="V302" s="346"/>
      <c r="W302" s="347"/>
      <c r="X302" s="359"/>
      <c r="Y302" s="349"/>
      <c r="Z302" s="349"/>
      <c r="AB302" s="79"/>
      <c r="AC302" s="79"/>
      <c r="AD302" s="79"/>
      <c r="AE302" s="79"/>
      <c r="AF302" s="79"/>
      <c r="AG302" s="79"/>
      <c r="AH302" s="79"/>
      <c r="AI302" s="79"/>
    </row>
    <row r="303">
      <c r="A303" s="9"/>
      <c r="C303" s="350"/>
      <c r="D303" s="93"/>
      <c r="E303" s="1"/>
      <c r="F303" s="1"/>
      <c r="G303" s="1"/>
      <c r="H303" s="341"/>
      <c r="I303" s="358"/>
      <c r="J303" s="79"/>
      <c r="K303" s="1"/>
      <c r="L303" s="343"/>
      <c r="M303" s="344"/>
      <c r="N303" s="344"/>
      <c r="O303" s="341"/>
      <c r="P303" s="341"/>
      <c r="Q303" s="79"/>
      <c r="R303" s="345"/>
      <c r="S303" s="344"/>
      <c r="T303" s="345"/>
      <c r="U303" s="344"/>
      <c r="V303" s="346"/>
      <c r="W303" s="347"/>
      <c r="X303" s="359"/>
      <c r="Y303" s="349"/>
      <c r="Z303" s="349"/>
      <c r="AB303" s="79"/>
      <c r="AC303" s="79"/>
      <c r="AD303" s="79"/>
      <c r="AE303" s="79"/>
      <c r="AF303" s="79"/>
      <c r="AG303" s="79"/>
      <c r="AH303" s="79"/>
      <c r="AI303" s="79"/>
    </row>
    <row r="304">
      <c r="A304" s="9"/>
      <c r="C304" s="350"/>
      <c r="D304" s="93"/>
      <c r="E304" s="1"/>
      <c r="F304" s="1"/>
      <c r="G304" s="1"/>
      <c r="H304" s="341"/>
      <c r="I304" s="358"/>
      <c r="J304" s="79"/>
      <c r="K304" s="1"/>
      <c r="L304" s="343"/>
      <c r="M304" s="344"/>
      <c r="N304" s="344"/>
      <c r="O304" s="341"/>
      <c r="P304" s="341"/>
      <c r="Q304" s="79"/>
      <c r="R304" s="345"/>
      <c r="S304" s="344"/>
      <c r="T304" s="345"/>
      <c r="U304" s="344"/>
      <c r="V304" s="346"/>
      <c r="W304" s="347"/>
      <c r="X304" s="359"/>
      <c r="Y304" s="349"/>
      <c r="Z304" s="349"/>
      <c r="AB304" s="79"/>
      <c r="AC304" s="79"/>
      <c r="AD304" s="79"/>
      <c r="AE304" s="79"/>
      <c r="AF304" s="79"/>
      <c r="AG304" s="79"/>
      <c r="AH304" s="79"/>
      <c r="AI304" s="79"/>
    </row>
    <row r="305">
      <c r="A305" s="9"/>
      <c r="C305" s="350"/>
      <c r="D305" s="93"/>
      <c r="E305" s="1"/>
      <c r="F305" s="1"/>
      <c r="G305" s="1"/>
      <c r="H305" s="341"/>
      <c r="I305" s="358"/>
      <c r="J305" s="79"/>
      <c r="K305" s="1"/>
      <c r="L305" s="343"/>
      <c r="M305" s="344"/>
      <c r="N305" s="344"/>
      <c r="O305" s="341"/>
      <c r="P305" s="341"/>
      <c r="Q305" s="79"/>
      <c r="R305" s="345"/>
      <c r="S305" s="344"/>
      <c r="T305" s="345"/>
      <c r="U305" s="344"/>
      <c r="V305" s="346"/>
      <c r="W305" s="347"/>
      <c r="X305" s="359"/>
      <c r="Y305" s="349"/>
      <c r="Z305" s="349"/>
      <c r="AB305" s="79"/>
      <c r="AC305" s="79"/>
      <c r="AD305" s="79"/>
      <c r="AE305" s="79"/>
      <c r="AF305" s="79"/>
      <c r="AG305" s="79"/>
      <c r="AH305" s="79"/>
      <c r="AI305" s="79"/>
    </row>
    <row r="306">
      <c r="A306" s="9"/>
      <c r="C306" s="350"/>
      <c r="D306" s="93"/>
      <c r="E306" s="1"/>
      <c r="F306" s="1"/>
      <c r="G306" s="1"/>
      <c r="H306" s="341"/>
      <c r="I306" s="358"/>
      <c r="J306" s="79"/>
      <c r="K306" s="1"/>
      <c r="L306" s="343"/>
      <c r="M306" s="344"/>
      <c r="N306" s="344"/>
      <c r="O306" s="341"/>
      <c r="P306" s="341"/>
      <c r="Q306" s="79"/>
      <c r="R306" s="345"/>
      <c r="S306" s="344"/>
      <c r="T306" s="345"/>
      <c r="U306" s="344"/>
      <c r="V306" s="346"/>
      <c r="W306" s="347"/>
      <c r="X306" s="359"/>
      <c r="Y306" s="349"/>
      <c r="Z306" s="349"/>
      <c r="AB306" s="79"/>
      <c r="AC306" s="79"/>
      <c r="AD306" s="79"/>
      <c r="AE306" s="79"/>
      <c r="AF306" s="79"/>
      <c r="AG306" s="79"/>
      <c r="AH306" s="79"/>
      <c r="AI306" s="79"/>
    </row>
    <row r="307">
      <c r="A307" s="9"/>
      <c r="C307" s="350"/>
      <c r="D307" s="93"/>
      <c r="E307" s="1"/>
      <c r="F307" s="1"/>
      <c r="G307" s="1"/>
      <c r="H307" s="341"/>
      <c r="I307" s="358"/>
      <c r="J307" s="79"/>
      <c r="K307" s="1"/>
      <c r="L307" s="343"/>
      <c r="M307" s="344"/>
      <c r="N307" s="344"/>
      <c r="O307" s="341"/>
      <c r="P307" s="341"/>
      <c r="Q307" s="79"/>
      <c r="R307" s="345"/>
      <c r="S307" s="344"/>
      <c r="T307" s="345"/>
      <c r="U307" s="344"/>
      <c r="V307" s="346"/>
      <c r="W307" s="347"/>
      <c r="X307" s="359"/>
      <c r="Y307" s="349"/>
      <c r="Z307" s="349"/>
      <c r="AB307" s="79"/>
      <c r="AC307" s="79"/>
      <c r="AD307" s="79"/>
      <c r="AE307" s="79"/>
      <c r="AF307" s="79"/>
      <c r="AG307" s="79"/>
      <c r="AH307" s="79"/>
      <c r="AI307" s="79"/>
    </row>
    <row r="308">
      <c r="A308" s="9"/>
      <c r="C308" s="350"/>
      <c r="D308" s="93"/>
      <c r="E308" s="1"/>
      <c r="F308" s="1"/>
      <c r="G308" s="1"/>
      <c r="H308" s="341"/>
      <c r="I308" s="358"/>
      <c r="J308" s="79"/>
      <c r="K308" s="1"/>
      <c r="L308" s="343"/>
      <c r="M308" s="344"/>
      <c r="N308" s="344"/>
      <c r="O308" s="341"/>
      <c r="P308" s="341"/>
      <c r="Q308" s="79"/>
      <c r="R308" s="345"/>
      <c r="S308" s="344"/>
      <c r="T308" s="345"/>
      <c r="U308" s="344"/>
      <c r="V308" s="346"/>
      <c r="W308" s="347"/>
      <c r="X308" s="359"/>
      <c r="Y308" s="349"/>
      <c r="Z308" s="349"/>
      <c r="AB308" s="79"/>
      <c r="AC308" s="79"/>
      <c r="AD308" s="79"/>
      <c r="AE308" s="79"/>
      <c r="AF308" s="79"/>
      <c r="AG308" s="79"/>
      <c r="AH308" s="79"/>
      <c r="AI308" s="79"/>
    </row>
    <row r="309">
      <c r="A309" s="9"/>
      <c r="C309" s="350"/>
      <c r="D309" s="93"/>
      <c r="E309" s="1"/>
      <c r="F309" s="1"/>
      <c r="G309" s="1"/>
      <c r="H309" s="341"/>
      <c r="I309" s="358"/>
      <c r="J309" s="79"/>
      <c r="K309" s="1"/>
      <c r="L309" s="343"/>
      <c r="M309" s="344"/>
      <c r="N309" s="344"/>
      <c r="O309" s="341"/>
      <c r="P309" s="341"/>
      <c r="Q309" s="79"/>
      <c r="R309" s="345"/>
      <c r="S309" s="344"/>
      <c r="T309" s="345"/>
      <c r="U309" s="344"/>
      <c r="V309" s="346"/>
      <c r="W309" s="347"/>
      <c r="X309" s="359"/>
      <c r="Y309" s="349"/>
      <c r="Z309" s="349"/>
      <c r="AB309" s="79"/>
      <c r="AC309" s="79"/>
      <c r="AD309" s="79"/>
      <c r="AE309" s="79"/>
      <c r="AF309" s="79"/>
      <c r="AG309" s="79"/>
      <c r="AH309" s="79"/>
      <c r="AI309" s="79"/>
    </row>
    <row r="310">
      <c r="A310" s="9"/>
      <c r="C310" s="350"/>
      <c r="D310" s="93"/>
      <c r="E310" s="1"/>
      <c r="F310" s="1"/>
      <c r="G310" s="1"/>
      <c r="H310" s="341"/>
      <c r="I310" s="358"/>
      <c r="J310" s="79"/>
      <c r="K310" s="1"/>
      <c r="L310" s="343"/>
      <c r="M310" s="344"/>
      <c r="N310" s="344"/>
      <c r="O310" s="341"/>
      <c r="P310" s="341"/>
      <c r="Q310" s="79"/>
      <c r="R310" s="345"/>
      <c r="S310" s="344"/>
      <c r="T310" s="345"/>
      <c r="U310" s="344"/>
      <c r="V310" s="346"/>
      <c r="W310" s="347"/>
      <c r="X310" s="359"/>
      <c r="Y310" s="349"/>
      <c r="Z310" s="349"/>
      <c r="AB310" s="79"/>
      <c r="AC310" s="79"/>
      <c r="AD310" s="79"/>
      <c r="AE310" s="79"/>
      <c r="AF310" s="79"/>
      <c r="AG310" s="79"/>
      <c r="AH310" s="79"/>
      <c r="AI310" s="79"/>
    </row>
    <row r="311">
      <c r="A311" s="9"/>
      <c r="C311" s="350"/>
      <c r="D311" s="93"/>
      <c r="E311" s="1"/>
      <c r="F311" s="1"/>
      <c r="G311" s="1"/>
      <c r="H311" s="341"/>
      <c r="I311" s="358"/>
      <c r="J311" s="79"/>
      <c r="K311" s="1"/>
      <c r="L311" s="343"/>
      <c r="M311" s="344"/>
      <c r="N311" s="344"/>
      <c r="O311" s="341"/>
      <c r="P311" s="341"/>
      <c r="Q311" s="79"/>
      <c r="R311" s="345"/>
      <c r="S311" s="344"/>
      <c r="T311" s="345"/>
      <c r="U311" s="344"/>
      <c r="V311" s="346"/>
      <c r="W311" s="347"/>
      <c r="X311" s="359"/>
      <c r="Y311" s="349"/>
      <c r="Z311" s="349"/>
      <c r="AB311" s="79"/>
      <c r="AC311" s="79"/>
      <c r="AD311" s="79"/>
      <c r="AE311" s="79"/>
      <c r="AF311" s="79"/>
      <c r="AG311" s="79"/>
      <c r="AH311" s="79"/>
      <c r="AI311" s="79"/>
    </row>
    <row r="312">
      <c r="A312" s="9"/>
      <c r="C312" s="350"/>
      <c r="D312" s="93"/>
      <c r="E312" s="1"/>
      <c r="F312" s="1"/>
      <c r="G312" s="1"/>
      <c r="H312" s="341"/>
      <c r="I312" s="358"/>
      <c r="J312" s="79"/>
      <c r="K312" s="1"/>
      <c r="L312" s="343"/>
      <c r="M312" s="344"/>
      <c r="N312" s="344"/>
      <c r="O312" s="341"/>
      <c r="P312" s="341"/>
      <c r="Q312" s="79"/>
      <c r="R312" s="345"/>
      <c r="S312" s="344"/>
      <c r="T312" s="345"/>
      <c r="U312" s="344"/>
      <c r="V312" s="346"/>
      <c r="W312" s="347"/>
      <c r="X312" s="359"/>
      <c r="Y312" s="349"/>
      <c r="Z312" s="349"/>
      <c r="AB312" s="79"/>
      <c r="AC312" s="79"/>
      <c r="AD312" s="79"/>
      <c r="AE312" s="79"/>
      <c r="AF312" s="79"/>
      <c r="AG312" s="79"/>
      <c r="AH312" s="79"/>
      <c r="AI312" s="79"/>
    </row>
    <row r="313">
      <c r="A313" s="9"/>
      <c r="C313" s="350"/>
      <c r="D313" s="93"/>
      <c r="E313" s="1"/>
      <c r="F313" s="1"/>
      <c r="G313" s="1"/>
      <c r="H313" s="341"/>
      <c r="I313" s="358"/>
      <c r="J313" s="79"/>
      <c r="K313" s="1"/>
      <c r="L313" s="343"/>
      <c r="M313" s="344"/>
      <c r="N313" s="344"/>
      <c r="O313" s="341"/>
      <c r="P313" s="341"/>
      <c r="Q313" s="79"/>
      <c r="R313" s="345"/>
      <c r="S313" s="344"/>
      <c r="T313" s="345"/>
      <c r="U313" s="344"/>
      <c r="V313" s="346"/>
      <c r="W313" s="347"/>
      <c r="X313" s="359"/>
      <c r="Y313" s="349"/>
      <c r="Z313" s="349"/>
      <c r="AB313" s="79"/>
      <c r="AC313" s="79"/>
      <c r="AD313" s="79"/>
      <c r="AE313" s="79"/>
      <c r="AF313" s="79"/>
      <c r="AG313" s="79"/>
      <c r="AH313" s="79"/>
      <c r="AI313" s="79"/>
    </row>
    <row r="314">
      <c r="A314" s="9"/>
      <c r="C314" s="350"/>
      <c r="D314" s="93"/>
      <c r="E314" s="1"/>
      <c r="F314" s="1"/>
      <c r="G314" s="1"/>
      <c r="H314" s="341"/>
      <c r="I314" s="358"/>
      <c r="J314" s="79"/>
      <c r="K314" s="1"/>
      <c r="L314" s="343"/>
      <c r="M314" s="344"/>
      <c r="N314" s="344"/>
      <c r="O314" s="341"/>
      <c r="P314" s="341"/>
      <c r="Q314" s="79"/>
      <c r="R314" s="345"/>
      <c r="S314" s="344"/>
      <c r="T314" s="345"/>
      <c r="U314" s="344"/>
      <c r="V314" s="346"/>
      <c r="W314" s="347"/>
      <c r="X314" s="359"/>
      <c r="Y314" s="349"/>
      <c r="Z314" s="349"/>
      <c r="AB314" s="79"/>
      <c r="AC314" s="79"/>
      <c r="AD314" s="79"/>
      <c r="AE314" s="79"/>
      <c r="AF314" s="79"/>
      <c r="AG314" s="79"/>
      <c r="AH314" s="79"/>
      <c r="AI314" s="79"/>
    </row>
    <row r="315">
      <c r="A315" s="9"/>
      <c r="C315" s="350"/>
      <c r="D315" s="93"/>
      <c r="E315" s="1"/>
      <c r="F315" s="1"/>
      <c r="G315" s="1"/>
      <c r="H315" s="341"/>
      <c r="I315" s="358"/>
      <c r="J315" s="79"/>
      <c r="K315" s="1"/>
      <c r="L315" s="343"/>
      <c r="M315" s="344"/>
      <c r="N315" s="344"/>
      <c r="O315" s="341"/>
      <c r="P315" s="341"/>
      <c r="Q315" s="79"/>
      <c r="R315" s="345"/>
      <c r="S315" s="344"/>
      <c r="T315" s="345"/>
      <c r="U315" s="344"/>
      <c r="V315" s="346"/>
      <c r="W315" s="347"/>
      <c r="X315" s="359"/>
      <c r="Y315" s="349"/>
      <c r="Z315" s="349"/>
      <c r="AB315" s="79"/>
      <c r="AC315" s="79"/>
      <c r="AD315" s="79"/>
      <c r="AE315" s="79"/>
      <c r="AF315" s="79"/>
      <c r="AG315" s="79"/>
      <c r="AH315" s="79"/>
      <c r="AI315" s="79"/>
    </row>
    <row r="316">
      <c r="A316" s="9"/>
      <c r="C316" s="350"/>
      <c r="D316" s="93"/>
      <c r="E316" s="1"/>
      <c r="F316" s="1"/>
      <c r="G316" s="1"/>
      <c r="H316" s="341"/>
      <c r="I316" s="358"/>
      <c r="J316" s="79"/>
      <c r="K316" s="1"/>
      <c r="L316" s="343"/>
      <c r="M316" s="344"/>
      <c r="N316" s="344"/>
      <c r="O316" s="341"/>
      <c r="P316" s="341"/>
      <c r="Q316" s="79"/>
      <c r="R316" s="345"/>
      <c r="S316" s="344"/>
      <c r="T316" s="345"/>
      <c r="U316" s="344"/>
      <c r="V316" s="346"/>
      <c r="W316" s="347"/>
      <c r="X316" s="359"/>
      <c r="Y316" s="349"/>
      <c r="Z316" s="349"/>
      <c r="AB316" s="79"/>
      <c r="AC316" s="79"/>
      <c r="AD316" s="79"/>
      <c r="AE316" s="79"/>
      <c r="AF316" s="79"/>
      <c r="AG316" s="79"/>
      <c r="AH316" s="79"/>
      <c r="AI316" s="79"/>
    </row>
    <row r="317">
      <c r="A317" s="9"/>
      <c r="C317" s="350"/>
      <c r="D317" s="93"/>
      <c r="E317" s="1"/>
      <c r="F317" s="1"/>
      <c r="G317" s="1"/>
      <c r="H317" s="341"/>
      <c r="I317" s="358"/>
      <c r="J317" s="79"/>
      <c r="K317" s="1"/>
      <c r="L317" s="343"/>
      <c r="M317" s="344"/>
      <c r="N317" s="344"/>
      <c r="O317" s="341"/>
      <c r="P317" s="341"/>
      <c r="Q317" s="79"/>
      <c r="R317" s="345"/>
      <c r="S317" s="344"/>
      <c r="T317" s="345"/>
      <c r="U317" s="344"/>
      <c r="V317" s="346"/>
      <c r="W317" s="347"/>
      <c r="X317" s="359"/>
      <c r="Y317" s="349"/>
      <c r="Z317" s="349"/>
      <c r="AB317" s="79"/>
      <c r="AC317" s="79"/>
      <c r="AD317" s="79"/>
      <c r="AE317" s="79"/>
      <c r="AF317" s="79"/>
      <c r="AG317" s="79"/>
      <c r="AH317" s="79"/>
      <c r="AI317" s="79"/>
    </row>
    <row r="318">
      <c r="A318" s="9"/>
      <c r="C318" s="350"/>
      <c r="D318" s="93"/>
      <c r="E318" s="1"/>
      <c r="F318" s="1"/>
      <c r="G318" s="1"/>
      <c r="H318" s="341"/>
      <c r="I318" s="358"/>
      <c r="J318" s="79"/>
      <c r="K318" s="1"/>
      <c r="L318" s="343"/>
      <c r="M318" s="344"/>
      <c r="N318" s="344"/>
      <c r="O318" s="341"/>
      <c r="P318" s="341"/>
      <c r="Q318" s="79"/>
      <c r="R318" s="345"/>
      <c r="S318" s="344"/>
      <c r="T318" s="345"/>
      <c r="U318" s="344"/>
      <c r="V318" s="346"/>
      <c r="W318" s="347"/>
      <c r="X318" s="359"/>
      <c r="Y318" s="349"/>
      <c r="Z318" s="349"/>
      <c r="AB318" s="79"/>
      <c r="AC318" s="79"/>
      <c r="AD318" s="79"/>
      <c r="AE318" s="79"/>
      <c r="AF318" s="79"/>
      <c r="AG318" s="79"/>
      <c r="AH318" s="79"/>
      <c r="AI318" s="79"/>
    </row>
    <row r="319">
      <c r="A319" s="9"/>
      <c r="C319" s="350"/>
      <c r="D319" s="93"/>
      <c r="E319" s="1"/>
      <c r="F319" s="1"/>
      <c r="G319" s="1"/>
      <c r="H319" s="341"/>
      <c r="I319" s="358"/>
      <c r="J319" s="79"/>
      <c r="K319" s="1"/>
      <c r="L319" s="343"/>
      <c r="M319" s="344"/>
      <c r="N319" s="344"/>
      <c r="O319" s="341"/>
      <c r="P319" s="341"/>
      <c r="Q319" s="79"/>
      <c r="R319" s="345"/>
      <c r="S319" s="344"/>
      <c r="T319" s="345"/>
      <c r="U319" s="344"/>
      <c r="V319" s="346"/>
      <c r="W319" s="347"/>
      <c r="X319" s="359"/>
      <c r="Y319" s="349"/>
      <c r="Z319" s="349"/>
      <c r="AB319" s="79"/>
      <c r="AC319" s="79"/>
      <c r="AD319" s="79"/>
      <c r="AE319" s="79"/>
      <c r="AF319" s="79"/>
      <c r="AG319" s="79"/>
      <c r="AH319" s="79"/>
      <c r="AI319" s="79"/>
    </row>
    <row r="320">
      <c r="A320" s="9"/>
      <c r="C320" s="350"/>
      <c r="D320" s="93"/>
      <c r="E320" s="1"/>
      <c r="F320" s="1"/>
      <c r="G320" s="1"/>
      <c r="H320" s="341"/>
      <c r="I320" s="358"/>
      <c r="J320" s="79"/>
      <c r="K320" s="1"/>
      <c r="L320" s="343"/>
      <c r="M320" s="344"/>
      <c r="N320" s="344"/>
      <c r="O320" s="341"/>
      <c r="P320" s="341"/>
      <c r="Q320" s="79"/>
      <c r="R320" s="345"/>
      <c r="S320" s="344"/>
      <c r="T320" s="345"/>
      <c r="U320" s="344"/>
      <c r="V320" s="346"/>
      <c r="W320" s="347"/>
      <c r="X320" s="359"/>
      <c r="Y320" s="349"/>
      <c r="Z320" s="349"/>
      <c r="AB320" s="79"/>
      <c r="AC320" s="79"/>
      <c r="AD320" s="79"/>
      <c r="AE320" s="79"/>
      <c r="AF320" s="79"/>
      <c r="AG320" s="79"/>
      <c r="AH320" s="79"/>
      <c r="AI320" s="79"/>
    </row>
    <row r="321">
      <c r="A321" s="9"/>
      <c r="C321" s="350"/>
      <c r="D321" s="93"/>
      <c r="E321" s="1"/>
      <c r="F321" s="1"/>
      <c r="G321" s="1"/>
      <c r="H321" s="341"/>
      <c r="I321" s="358"/>
      <c r="J321" s="79"/>
      <c r="K321" s="1"/>
      <c r="L321" s="343"/>
      <c r="M321" s="344"/>
      <c r="N321" s="344"/>
      <c r="O321" s="341"/>
      <c r="P321" s="341"/>
      <c r="Q321" s="79"/>
      <c r="R321" s="345"/>
      <c r="S321" s="344"/>
      <c r="T321" s="345"/>
      <c r="U321" s="344"/>
      <c r="V321" s="346"/>
      <c r="W321" s="347"/>
      <c r="X321" s="359"/>
      <c r="Y321" s="349"/>
      <c r="Z321" s="349"/>
      <c r="AB321" s="79"/>
      <c r="AC321" s="79"/>
      <c r="AD321" s="79"/>
      <c r="AE321" s="79"/>
      <c r="AF321" s="79"/>
      <c r="AG321" s="79"/>
      <c r="AH321" s="79"/>
      <c r="AI321" s="79"/>
    </row>
    <row r="322">
      <c r="A322" s="9"/>
      <c r="C322" s="350"/>
      <c r="D322" s="93"/>
      <c r="E322" s="1"/>
      <c r="F322" s="1"/>
      <c r="G322" s="1"/>
      <c r="H322" s="341"/>
      <c r="I322" s="358"/>
      <c r="J322" s="79"/>
      <c r="K322" s="1"/>
      <c r="L322" s="343"/>
      <c r="M322" s="344"/>
      <c r="N322" s="344"/>
      <c r="O322" s="341"/>
      <c r="P322" s="341"/>
      <c r="Q322" s="79"/>
      <c r="R322" s="345"/>
      <c r="S322" s="344"/>
      <c r="T322" s="345"/>
      <c r="U322" s="344"/>
      <c r="V322" s="346"/>
      <c r="W322" s="347"/>
      <c r="X322" s="359"/>
      <c r="Y322" s="349"/>
      <c r="Z322" s="349"/>
      <c r="AB322" s="79"/>
      <c r="AC322" s="79"/>
      <c r="AD322" s="79"/>
      <c r="AE322" s="79"/>
      <c r="AF322" s="79"/>
      <c r="AG322" s="79"/>
      <c r="AH322" s="79"/>
      <c r="AI322" s="79"/>
    </row>
    <row r="323">
      <c r="A323" s="9"/>
      <c r="C323" s="350"/>
      <c r="D323" s="93"/>
      <c r="E323" s="1"/>
      <c r="F323" s="1"/>
      <c r="G323" s="1"/>
      <c r="H323" s="341"/>
      <c r="I323" s="358"/>
      <c r="J323" s="79"/>
      <c r="K323" s="1"/>
      <c r="L323" s="343"/>
      <c r="M323" s="344"/>
      <c r="N323" s="344"/>
      <c r="O323" s="341"/>
      <c r="P323" s="341"/>
      <c r="Q323" s="79"/>
      <c r="R323" s="345"/>
      <c r="S323" s="344"/>
      <c r="T323" s="345"/>
      <c r="U323" s="344"/>
      <c r="V323" s="346"/>
      <c r="W323" s="347"/>
      <c r="X323" s="359"/>
      <c r="Y323" s="349"/>
      <c r="Z323" s="349"/>
      <c r="AB323" s="79"/>
      <c r="AC323" s="79"/>
      <c r="AD323" s="79"/>
      <c r="AE323" s="79"/>
      <c r="AF323" s="79"/>
      <c r="AG323" s="79"/>
      <c r="AH323" s="79"/>
      <c r="AI323" s="79"/>
    </row>
    <row r="324">
      <c r="A324" s="9"/>
      <c r="C324" s="350"/>
      <c r="D324" s="93"/>
      <c r="E324" s="1"/>
      <c r="F324" s="1"/>
      <c r="G324" s="1"/>
      <c r="H324" s="341"/>
      <c r="I324" s="358"/>
      <c r="J324" s="79"/>
      <c r="K324" s="1"/>
      <c r="L324" s="343"/>
      <c r="M324" s="344"/>
      <c r="N324" s="344"/>
      <c r="O324" s="341"/>
      <c r="P324" s="341"/>
      <c r="Q324" s="79"/>
      <c r="R324" s="345"/>
      <c r="S324" s="344"/>
      <c r="T324" s="345"/>
      <c r="U324" s="344"/>
      <c r="V324" s="346"/>
      <c r="W324" s="347"/>
      <c r="X324" s="359"/>
      <c r="Y324" s="349"/>
      <c r="Z324" s="349"/>
      <c r="AB324" s="79"/>
      <c r="AC324" s="79"/>
      <c r="AD324" s="79"/>
      <c r="AE324" s="79"/>
      <c r="AF324" s="79"/>
      <c r="AG324" s="79"/>
      <c r="AH324" s="79"/>
      <c r="AI324" s="79"/>
    </row>
    <row r="325">
      <c r="A325" s="9"/>
      <c r="C325" s="350"/>
      <c r="D325" s="93"/>
      <c r="E325" s="1"/>
      <c r="F325" s="1"/>
      <c r="G325" s="1"/>
      <c r="H325" s="341"/>
      <c r="I325" s="358"/>
      <c r="J325" s="79"/>
      <c r="K325" s="1"/>
      <c r="L325" s="343"/>
      <c r="M325" s="344"/>
      <c r="N325" s="344"/>
      <c r="O325" s="341"/>
      <c r="P325" s="341"/>
      <c r="Q325" s="79"/>
      <c r="R325" s="345"/>
      <c r="S325" s="344"/>
      <c r="T325" s="345"/>
      <c r="U325" s="344"/>
      <c r="V325" s="346"/>
      <c r="W325" s="347"/>
      <c r="X325" s="359"/>
      <c r="Y325" s="349"/>
      <c r="Z325" s="349"/>
      <c r="AB325" s="79"/>
      <c r="AC325" s="79"/>
      <c r="AD325" s="79"/>
      <c r="AE325" s="79"/>
      <c r="AF325" s="79"/>
      <c r="AG325" s="79"/>
      <c r="AH325" s="79"/>
      <c r="AI325" s="79"/>
    </row>
    <row r="326">
      <c r="A326" s="9"/>
      <c r="C326" s="350"/>
      <c r="D326" s="93"/>
      <c r="E326" s="1"/>
      <c r="F326" s="1"/>
      <c r="G326" s="1"/>
      <c r="H326" s="341"/>
      <c r="I326" s="358"/>
      <c r="J326" s="79"/>
      <c r="K326" s="1"/>
      <c r="L326" s="343"/>
      <c r="M326" s="344"/>
      <c r="N326" s="344"/>
      <c r="O326" s="341"/>
      <c r="P326" s="341"/>
      <c r="Q326" s="79"/>
      <c r="R326" s="345"/>
      <c r="S326" s="344"/>
      <c r="T326" s="345"/>
      <c r="U326" s="344"/>
      <c r="V326" s="346"/>
      <c r="W326" s="347"/>
      <c r="X326" s="359"/>
      <c r="Y326" s="349"/>
      <c r="Z326" s="349"/>
      <c r="AB326" s="79"/>
      <c r="AC326" s="79"/>
      <c r="AD326" s="79"/>
      <c r="AE326" s="79"/>
      <c r="AF326" s="79"/>
      <c r="AG326" s="79"/>
      <c r="AH326" s="79"/>
      <c r="AI326" s="79"/>
    </row>
    <row r="327">
      <c r="A327" s="9"/>
      <c r="C327" s="350"/>
      <c r="D327" s="93"/>
      <c r="E327" s="1"/>
      <c r="F327" s="1"/>
      <c r="G327" s="1"/>
      <c r="H327" s="341"/>
      <c r="I327" s="358"/>
      <c r="J327" s="79"/>
      <c r="K327" s="1"/>
      <c r="L327" s="343"/>
      <c r="M327" s="344"/>
      <c r="N327" s="344"/>
      <c r="O327" s="341"/>
      <c r="P327" s="341"/>
      <c r="Q327" s="79"/>
      <c r="R327" s="345"/>
      <c r="S327" s="344"/>
      <c r="T327" s="345"/>
      <c r="U327" s="344"/>
      <c r="V327" s="346"/>
      <c r="W327" s="347"/>
      <c r="X327" s="359"/>
      <c r="Y327" s="349"/>
      <c r="Z327" s="349"/>
      <c r="AB327" s="79"/>
      <c r="AC327" s="79"/>
      <c r="AD327" s="79"/>
      <c r="AE327" s="79"/>
      <c r="AF327" s="79"/>
      <c r="AG327" s="79"/>
      <c r="AH327" s="79"/>
      <c r="AI327" s="79"/>
    </row>
    <row r="328">
      <c r="A328" s="9"/>
      <c r="C328" s="350"/>
      <c r="D328" s="93"/>
      <c r="E328" s="1"/>
      <c r="F328" s="1"/>
      <c r="G328" s="1"/>
      <c r="H328" s="341"/>
      <c r="I328" s="358"/>
      <c r="J328" s="79"/>
      <c r="K328" s="1"/>
      <c r="L328" s="343"/>
      <c r="M328" s="344"/>
      <c r="N328" s="344"/>
      <c r="O328" s="341"/>
      <c r="P328" s="341"/>
      <c r="Q328" s="79"/>
      <c r="R328" s="345"/>
      <c r="S328" s="344"/>
      <c r="T328" s="345"/>
      <c r="U328" s="344"/>
      <c r="V328" s="346"/>
      <c r="W328" s="347"/>
      <c r="X328" s="359"/>
      <c r="Y328" s="349"/>
      <c r="Z328" s="349"/>
      <c r="AB328" s="79"/>
      <c r="AC328" s="79"/>
      <c r="AD328" s="79"/>
      <c r="AE328" s="79"/>
      <c r="AF328" s="79"/>
      <c r="AG328" s="79"/>
      <c r="AH328" s="79"/>
      <c r="AI328" s="79"/>
    </row>
    <row r="329">
      <c r="A329" s="9"/>
      <c r="C329" s="350"/>
      <c r="D329" s="93"/>
      <c r="E329" s="1"/>
      <c r="F329" s="1"/>
      <c r="G329" s="1"/>
      <c r="H329" s="341"/>
      <c r="I329" s="358"/>
      <c r="J329" s="79"/>
      <c r="K329" s="1"/>
      <c r="L329" s="343"/>
      <c r="M329" s="344"/>
      <c r="N329" s="344"/>
      <c r="O329" s="341"/>
      <c r="P329" s="341"/>
      <c r="Q329" s="79"/>
      <c r="R329" s="345"/>
      <c r="S329" s="344"/>
      <c r="T329" s="345"/>
      <c r="U329" s="344"/>
      <c r="V329" s="346"/>
      <c r="W329" s="347"/>
      <c r="X329" s="359"/>
      <c r="Y329" s="349"/>
      <c r="Z329" s="349"/>
      <c r="AB329" s="79"/>
      <c r="AC329" s="79"/>
      <c r="AD329" s="79"/>
      <c r="AE329" s="79"/>
      <c r="AF329" s="79"/>
      <c r="AG329" s="79"/>
      <c r="AH329" s="79"/>
      <c r="AI329" s="79"/>
    </row>
    <row r="330">
      <c r="A330" s="9"/>
      <c r="C330" s="350"/>
      <c r="D330" s="93"/>
      <c r="E330" s="1"/>
      <c r="F330" s="1"/>
      <c r="G330" s="1"/>
      <c r="H330" s="341"/>
      <c r="I330" s="358"/>
      <c r="J330" s="79"/>
      <c r="K330" s="1"/>
      <c r="L330" s="343"/>
      <c r="M330" s="344"/>
      <c r="N330" s="344"/>
      <c r="O330" s="341"/>
      <c r="P330" s="341"/>
      <c r="Q330" s="79"/>
      <c r="R330" s="345"/>
      <c r="S330" s="344"/>
      <c r="T330" s="345"/>
      <c r="U330" s="344"/>
      <c r="V330" s="346"/>
      <c r="W330" s="347"/>
      <c r="X330" s="359"/>
      <c r="Y330" s="349"/>
      <c r="Z330" s="349"/>
      <c r="AB330" s="79"/>
      <c r="AC330" s="79"/>
      <c r="AD330" s="79"/>
      <c r="AE330" s="79"/>
      <c r="AF330" s="79"/>
      <c r="AG330" s="79"/>
      <c r="AH330" s="79"/>
      <c r="AI330" s="79"/>
    </row>
    <row r="331">
      <c r="A331" s="9"/>
      <c r="C331" s="350"/>
      <c r="D331" s="93"/>
      <c r="E331" s="1"/>
      <c r="F331" s="1"/>
      <c r="G331" s="1"/>
      <c r="H331" s="341"/>
      <c r="I331" s="358"/>
      <c r="J331" s="79"/>
      <c r="K331" s="1"/>
      <c r="L331" s="343"/>
      <c r="M331" s="344"/>
      <c r="N331" s="344"/>
      <c r="O331" s="341"/>
      <c r="P331" s="341"/>
      <c r="Q331" s="79"/>
      <c r="R331" s="345"/>
      <c r="S331" s="344"/>
      <c r="T331" s="345"/>
      <c r="U331" s="344"/>
      <c r="V331" s="346"/>
      <c r="W331" s="347"/>
      <c r="X331" s="359"/>
      <c r="Y331" s="349"/>
      <c r="Z331" s="349"/>
      <c r="AB331" s="79"/>
      <c r="AC331" s="79"/>
      <c r="AD331" s="79"/>
      <c r="AE331" s="79"/>
      <c r="AF331" s="79"/>
      <c r="AG331" s="79"/>
      <c r="AH331" s="79"/>
      <c r="AI331" s="79"/>
    </row>
    <row r="332">
      <c r="A332" s="9"/>
      <c r="C332" s="350"/>
      <c r="D332" s="93"/>
      <c r="E332" s="1"/>
      <c r="F332" s="1"/>
      <c r="G332" s="1"/>
      <c r="H332" s="341"/>
      <c r="I332" s="358"/>
      <c r="J332" s="79"/>
      <c r="K332" s="1"/>
      <c r="L332" s="343"/>
      <c r="M332" s="344"/>
      <c r="N332" s="344"/>
      <c r="O332" s="341"/>
      <c r="P332" s="341"/>
      <c r="Q332" s="79"/>
      <c r="R332" s="345"/>
      <c r="S332" s="344"/>
      <c r="T332" s="345"/>
      <c r="U332" s="344"/>
      <c r="V332" s="346"/>
      <c r="W332" s="347"/>
      <c r="X332" s="359"/>
      <c r="Y332" s="349"/>
      <c r="Z332" s="349"/>
      <c r="AB332" s="79"/>
      <c r="AC332" s="79"/>
      <c r="AD332" s="79"/>
      <c r="AE332" s="79"/>
      <c r="AF332" s="79"/>
      <c r="AG332" s="79"/>
      <c r="AH332" s="79"/>
      <c r="AI332" s="79"/>
    </row>
    <row r="333">
      <c r="A333" s="9"/>
      <c r="C333" s="350"/>
      <c r="D333" s="93"/>
      <c r="E333" s="1"/>
      <c r="F333" s="1"/>
      <c r="G333" s="1"/>
      <c r="H333" s="341"/>
      <c r="I333" s="358"/>
      <c r="J333" s="79"/>
      <c r="K333" s="1"/>
      <c r="L333" s="343"/>
      <c r="M333" s="344"/>
      <c r="N333" s="344"/>
      <c r="O333" s="341"/>
      <c r="P333" s="341"/>
      <c r="Q333" s="79"/>
      <c r="R333" s="345"/>
      <c r="S333" s="344"/>
      <c r="T333" s="345"/>
      <c r="U333" s="344"/>
      <c r="V333" s="346"/>
      <c r="W333" s="347"/>
      <c r="X333" s="359"/>
      <c r="Y333" s="349"/>
      <c r="Z333" s="349"/>
      <c r="AB333" s="79"/>
      <c r="AC333" s="79"/>
      <c r="AD333" s="79"/>
      <c r="AE333" s="79"/>
      <c r="AF333" s="79"/>
      <c r="AG333" s="79"/>
      <c r="AH333" s="79"/>
      <c r="AI333" s="79"/>
    </row>
    <row r="334">
      <c r="A334" s="9"/>
      <c r="C334" s="350"/>
      <c r="D334" s="93"/>
      <c r="E334" s="1"/>
      <c r="F334" s="1"/>
      <c r="G334" s="1"/>
      <c r="H334" s="341"/>
      <c r="I334" s="358"/>
      <c r="J334" s="79"/>
      <c r="K334" s="1"/>
      <c r="L334" s="343"/>
      <c r="M334" s="344"/>
      <c r="N334" s="344"/>
      <c r="O334" s="341"/>
      <c r="P334" s="341"/>
      <c r="Q334" s="79"/>
      <c r="R334" s="345"/>
      <c r="S334" s="344"/>
      <c r="T334" s="345"/>
      <c r="U334" s="344"/>
      <c r="V334" s="346"/>
      <c r="W334" s="347"/>
      <c r="X334" s="359"/>
      <c r="Y334" s="349"/>
      <c r="Z334" s="349"/>
      <c r="AB334" s="79"/>
      <c r="AC334" s="79"/>
      <c r="AD334" s="79"/>
      <c r="AE334" s="79"/>
      <c r="AF334" s="79"/>
      <c r="AG334" s="79"/>
      <c r="AH334" s="79"/>
      <c r="AI334" s="79"/>
    </row>
    <row r="335">
      <c r="A335" s="9"/>
      <c r="C335" s="350"/>
      <c r="D335" s="93"/>
      <c r="E335" s="1"/>
      <c r="F335" s="1"/>
      <c r="G335" s="1"/>
      <c r="H335" s="341"/>
      <c r="I335" s="358"/>
      <c r="J335" s="79"/>
      <c r="K335" s="1"/>
      <c r="L335" s="343"/>
      <c r="M335" s="344"/>
      <c r="N335" s="344"/>
      <c r="O335" s="341"/>
      <c r="P335" s="341"/>
      <c r="Q335" s="79"/>
      <c r="R335" s="345"/>
      <c r="S335" s="344"/>
      <c r="T335" s="345"/>
      <c r="U335" s="344"/>
      <c r="V335" s="346"/>
      <c r="W335" s="347"/>
      <c r="X335" s="359"/>
      <c r="Y335" s="349"/>
      <c r="Z335" s="349"/>
      <c r="AB335" s="79"/>
      <c r="AC335" s="79"/>
      <c r="AD335" s="79"/>
      <c r="AE335" s="79"/>
      <c r="AF335" s="79"/>
      <c r="AG335" s="79"/>
      <c r="AH335" s="79"/>
      <c r="AI335" s="79"/>
    </row>
    <row r="336">
      <c r="A336" s="9"/>
      <c r="C336" s="350"/>
      <c r="D336" s="93"/>
      <c r="E336" s="1"/>
      <c r="F336" s="1"/>
      <c r="G336" s="1"/>
      <c r="H336" s="341"/>
      <c r="I336" s="358"/>
      <c r="J336" s="79"/>
      <c r="K336" s="1"/>
      <c r="L336" s="343"/>
      <c r="M336" s="344"/>
      <c r="N336" s="344"/>
      <c r="O336" s="341"/>
      <c r="P336" s="341"/>
      <c r="Q336" s="79"/>
      <c r="R336" s="345"/>
      <c r="S336" s="344"/>
      <c r="T336" s="345"/>
      <c r="U336" s="344"/>
      <c r="V336" s="346"/>
      <c r="W336" s="347"/>
      <c r="X336" s="359"/>
      <c r="Y336" s="349"/>
      <c r="Z336" s="349"/>
      <c r="AB336" s="79"/>
      <c r="AC336" s="79"/>
      <c r="AD336" s="79"/>
      <c r="AE336" s="79"/>
      <c r="AF336" s="79"/>
      <c r="AG336" s="79"/>
      <c r="AH336" s="79"/>
      <c r="AI336" s="79"/>
    </row>
    <row r="337">
      <c r="A337" s="9"/>
      <c r="C337" s="350"/>
      <c r="D337" s="93"/>
      <c r="E337" s="1"/>
      <c r="F337" s="1"/>
      <c r="G337" s="1"/>
      <c r="H337" s="341"/>
      <c r="I337" s="358"/>
      <c r="J337" s="79"/>
      <c r="K337" s="1"/>
      <c r="L337" s="343"/>
      <c r="M337" s="344"/>
      <c r="N337" s="344"/>
      <c r="O337" s="341"/>
      <c r="P337" s="341"/>
      <c r="Q337" s="79"/>
      <c r="R337" s="345"/>
      <c r="S337" s="344"/>
      <c r="T337" s="345"/>
      <c r="U337" s="344"/>
      <c r="V337" s="346"/>
      <c r="W337" s="347"/>
      <c r="X337" s="359"/>
      <c r="Y337" s="349"/>
      <c r="Z337" s="349"/>
      <c r="AB337" s="79"/>
      <c r="AC337" s="79"/>
      <c r="AD337" s="79"/>
      <c r="AE337" s="79"/>
      <c r="AF337" s="79"/>
      <c r="AG337" s="79"/>
      <c r="AH337" s="79"/>
      <c r="AI337" s="79"/>
    </row>
    <row r="338">
      <c r="A338" s="9"/>
      <c r="C338" s="350"/>
      <c r="D338" s="93"/>
      <c r="E338" s="1"/>
      <c r="F338" s="1"/>
      <c r="G338" s="1"/>
      <c r="H338" s="341"/>
      <c r="I338" s="358"/>
      <c r="J338" s="79"/>
      <c r="K338" s="1"/>
      <c r="L338" s="343"/>
      <c r="M338" s="344"/>
      <c r="N338" s="344"/>
      <c r="O338" s="341"/>
      <c r="P338" s="341"/>
      <c r="Q338" s="79"/>
      <c r="R338" s="345"/>
      <c r="S338" s="344"/>
      <c r="T338" s="345"/>
      <c r="U338" s="344"/>
      <c r="V338" s="346"/>
      <c r="W338" s="347"/>
      <c r="X338" s="359"/>
      <c r="Y338" s="349"/>
      <c r="Z338" s="349"/>
      <c r="AB338" s="79"/>
      <c r="AC338" s="79"/>
      <c r="AD338" s="79"/>
      <c r="AE338" s="79"/>
      <c r="AF338" s="79"/>
      <c r="AG338" s="79"/>
      <c r="AH338" s="79"/>
      <c r="AI338" s="79"/>
    </row>
    <row r="339">
      <c r="A339" s="9"/>
      <c r="C339" s="350"/>
      <c r="D339" s="93"/>
      <c r="E339" s="1"/>
      <c r="F339" s="1"/>
      <c r="G339" s="1"/>
      <c r="H339" s="341"/>
      <c r="I339" s="358"/>
      <c r="J339" s="79"/>
      <c r="K339" s="1"/>
      <c r="L339" s="343"/>
      <c r="M339" s="344"/>
      <c r="N339" s="344"/>
      <c r="O339" s="341"/>
      <c r="P339" s="341"/>
      <c r="Q339" s="79"/>
      <c r="R339" s="345"/>
      <c r="S339" s="344"/>
      <c r="T339" s="345"/>
      <c r="U339" s="344"/>
      <c r="V339" s="346"/>
      <c r="W339" s="347"/>
      <c r="X339" s="359"/>
      <c r="Y339" s="349"/>
      <c r="Z339" s="349"/>
      <c r="AB339" s="79"/>
      <c r="AC339" s="79"/>
      <c r="AD339" s="79"/>
      <c r="AE339" s="79"/>
      <c r="AF339" s="79"/>
      <c r="AG339" s="79"/>
      <c r="AH339" s="79"/>
      <c r="AI339" s="79"/>
    </row>
    <row r="340">
      <c r="A340" s="9"/>
      <c r="C340" s="350"/>
      <c r="D340" s="93"/>
      <c r="E340" s="1"/>
      <c r="F340" s="1"/>
      <c r="G340" s="1"/>
      <c r="H340" s="341"/>
      <c r="I340" s="358"/>
      <c r="J340" s="79"/>
      <c r="K340" s="1"/>
      <c r="L340" s="343"/>
      <c r="M340" s="344"/>
      <c r="N340" s="344"/>
      <c r="O340" s="341"/>
      <c r="P340" s="341"/>
      <c r="Q340" s="79"/>
      <c r="R340" s="345"/>
      <c r="S340" s="344"/>
      <c r="T340" s="345"/>
      <c r="U340" s="344"/>
      <c r="V340" s="346"/>
      <c r="W340" s="347"/>
      <c r="X340" s="359"/>
      <c r="Y340" s="349"/>
      <c r="Z340" s="349"/>
      <c r="AB340" s="79"/>
      <c r="AC340" s="79"/>
      <c r="AD340" s="79"/>
      <c r="AE340" s="79"/>
      <c r="AF340" s="79"/>
      <c r="AG340" s="79"/>
      <c r="AH340" s="79"/>
      <c r="AI340" s="79"/>
    </row>
    <row r="341">
      <c r="A341" s="9"/>
      <c r="C341" s="350"/>
      <c r="D341" s="93"/>
      <c r="E341" s="1"/>
      <c r="F341" s="1"/>
      <c r="G341" s="1"/>
      <c r="H341" s="341"/>
      <c r="I341" s="358"/>
      <c r="J341" s="79"/>
      <c r="K341" s="1"/>
      <c r="L341" s="343"/>
      <c r="M341" s="344"/>
      <c r="N341" s="344"/>
      <c r="O341" s="341"/>
      <c r="P341" s="341"/>
      <c r="Q341" s="79"/>
      <c r="R341" s="345"/>
      <c r="S341" s="344"/>
      <c r="T341" s="345"/>
      <c r="U341" s="344"/>
      <c r="V341" s="346"/>
      <c r="W341" s="347"/>
      <c r="X341" s="359"/>
      <c r="Y341" s="349"/>
      <c r="Z341" s="349"/>
      <c r="AB341" s="79"/>
      <c r="AC341" s="79"/>
      <c r="AD341" s="79"/>
      <c r="AE341" s="79"/>
      <c r="AF341" s="79"/>
      <c r="AG341" s="79"/>
      <c r="AH341" s="79"/>
      <c r="AI341" s="79"/>
    </row>
    <row r="342">
      <c r="A342" s="9"/>
      <c r="C342" s="350"/>
      <c r="D342" s="93"/>
      <c r="E342" s="1"/>
      <c r="F342" s="1"/>
      <c r="G342" s="1"/>
      <c r="H342" s="341"/>
      <c r="I342" s="358"/>
      <c r="J342" s="79"/>
      <c r="K342" s="1"/>
      <c r="L342" s="343"/>
      <c r="M342" s="344"/>
      <c r="N342" s="344"/>
      <c r="O342" s="341"/>
      <c r="P342" s="341"/>
      <c r="Q342" s="79"/>
      <c r="R342" s="345"/>
      <c r="S342" s="344"/>
      <c r="T342" s="345"/>
      <c r="U342" s="344"/>
      <c r="V342" s="346"/>
      <c r="W342" s="347"/>
      <c r="X342" s="359"/>
      <c r="Y342" s="349"/>
      <c r="Z342" s="349"/>
      <c r="AB342" s="79"/>
      <c r="AC342" s="79"/>
      <c r="AD342" s="79"/>
      <c r="AE342" s="79"/>
      <c r="AF342" s="79"/>
      <c r="AG342" s="79"/>
      <c r="AH342" s="79"/>
      <c r="AI342" s="79"/>
    </row>
    <row r="343">
      <c r="A343" s="9"/>
      <c r="C343" s="350"/>
      <c r="D343" s="93"/>
      <c r="E343" s="1"/>
      <c r="F343" s="1"/>
      <c r="G343" s="1"/>
      <c r="H343" s="341"/>
      <c r="I343" s="358"/>
      <c r="J343" s="79"/>
      <c r="K343" s="1"/>
      <c r="L343" s="343"/>
      <c r="M343" s="344"/>
      <c r="N343" s="344"/>
      <c r="O343" s="341"/>
      <c r="P343" s="341"/>
      <c r="Q343" s="79"/>
      <c r="R343" s="345"/>
      <c r="S343" s="344"/>
      <c r="T343" s="345"/>
      <c r="U343" s="344"/>
      <c r="V343" s="346"/>
      <c r="W343" s="347"/>
      <c r="X343" s="359"/>
      <c r="Y343" s="349"/>
      <c r="Z343" s="349"/>
      <c r="AB343" s="79"/>
      <c r="AC343" s="79"/>
      <c r="AD343" s="79"/>
      <c r="AE343" s="79"/>
      <c r="AF343" s="79"/>
      <c r="AG343" s="79"/>
      <c r="AH343" s="79"/>
      <c r="AI343" s="79"/>
    </row>
    <row r="344">
      <c r="A344" s="9"/>
      <c r="C344" s="350"/>
      <c r="D344" s="93"/>
      <c r="E344" s="1"/>
      <c r="F344" s="1"/>
      <c r="G344" s="1"/>
      <c r="H344" s="341"/>
      <c r="I344" s="358"/>
      <c r="J344" s="79"/>
      <c r="K344" s="1"/>
      <c r="L344" s="343"/>
      <c r="M344" s="344"/>
      <c r="N344" s="344"/>
      <c r="O344" s="341"/>
      <c r="P344" s="341"/>
      <c r="Q344" s="79"/>
      <c r="R344" s="345"/>
      <c r="S344" s="344"/>
      <c r="T344" s="345"/>
      <c r="U344" s="344"/>
      <c r="V344" s="346"/>
      <c r="W344" s="347"/>
      <c r="X344" s="359"/>
      <c r="Y344" s="349"/>
      <c r="Z344" s="349"/>
      <c r="AB344" s="79"/>
      <c r="AC344" s="79"/>
      <c r="AD344" s="79"/>
      <c r="AE344" s="79"/>
      <c r="AF344" s="79"/>
      <c r="AG344" s="79"/>
      <c r="AH344" s="79"/>
      <c r="AI344" s="79"/>
    </row>
    <row r="345">
      <c r="A345" s="9"/>
      <c r="C345" s="350"/>
      <c r="D345" s="93"/>
      <c r="E345" s="1"/>
      <c r="F345" s="1"/>
      <c r="G345" s="1"/>
      <c r="H345" s="341"/>
      <c r="I345" s="358"/>
      <c r="J345" s="79"/>
      <c r="K345" s="1"/>
      <c r="L345" s="343"/>
      <c r="M345" s="344"/>
      <c r="N345" s="344"/>
      <c r="O345" s="341"/>
      <c r="P345" s="341"/>
      <c r="Q345" s="79"/>
      <c r="R345" s="345"/>
      <c r="S345" s="344"/>
      <c r="T345" s="345"/>
      <c r="U345" s="344"/>
      <c r="V345" s="346"/>
      <c r="W345" s="347"/>
      <c r="X345" s="359"/>
      <c r="Y345" s="349"/>
      <c r="Z345" s="349"/>
      <c r="AB345" s="79"/>
      <c r="AC345" s="79"/>
      <c r="AD345" s="79"/>
      <c r="AE345" s="79"/>
      <c r="AF345" s="79"/>
      <c r="AG345" s="79"/>
      <c r="AH345" s="79"/>
      <c r="AI345" s="79"/>
    </row>
    <row r="346">
      <c r="A346" s="9"/>
      <c r="C346" s="350"/>
      <c r="D346" s="93"/>
      <c r="E346" s="1"/>
      <c r="F346" s="1"/>
      <c r="G346" s="1"/>
      <c r="H346" s="341"/>
      <c r="I346" s="358"/>
      <c r="J346" s="79"/>
      <c r="K346" s="1"/>
      <c r="L346" s="343"/>
      <c r="M346" s="344"/>
      <c r="N346" s="344"/>
      <c r="O346" s="341"/>
      <c r="P346" s="341"/>
      <c r="Q346" s="79"/>
      <c r="R346" s="345"/>
      <c r="S346" s="344"/>
      <c r="T346" s="345"/>
      <c r="U346" s="344"/>
      <c r="V346" s="346"/>
      <c r="W346" s="347"/>
      <c r="X346" s="359"/>
      <c r="Y346" s="349"/>
      <c r="Z346" s="349"/>
      <c r="AB346" s="79"/>
      <c r="AC346" s="79"/>
      <c r="AD346" s="79"/>
      <c r="AE346" s="79"/>
      <c r="AF346" s="79"/>
      <c r="AG346" s="79"/>
      <c r="AH346" s="79"/>
      <c r="AI346" s="79"/>
    </row>
    <row r="347">
      <c r="A347" s="9"/>
      <c r="C347" s="350"/>
      <c r="D347" s="93"/>
      <c r="E347" s="1"/>
      <c r="F347" s="1"/>
      <c r="G347" s="1"/>
      <c r="H347" s="341"/>
      <c r="I347" s="358"/>
      <c r="J347" s="79"/>
      <c r="K347" s="1"/>
      <c r="L347" s="343"/>
      <c r="M347" s="344"/>
      <c r="N347" s="344"/>
      <c r="O347" s="341"/>
      <c r="P347" s="341"/>
      <c r="Q347" s="79"/>
      <c r="R347" s="345"/>
      <c r="S347" s="344"/>
      <c r="T347" s="345"/>
      <c r="U347" s="344"/>
      <c r="V347" s="346"/>
      <c r="W347" s="347"/>
      <c r="X347" s="359"/>
      <c r="Y347" s="349"/>
      <c r="Z347" s="349"/>
      <c r="AB347" s="79"/>
      <c r="AC347" s="79"/>
      <c r="AD347" s="79"/>
      <c r="AE347" s="79"/>
      <c r="AF347" s="79"/>
      <c r="AG347" s="79"/>
      <c r="AH347" s="79"/>
      <c r="AI347" s="79"/>
    </row>
    <row r="348">
      <c r="A348" s="9"/>
      <c r="C348" s="350"/>
      <c r="D348" s="93"/>
      <c r="E348" s="1"/>
      <c r="F348" s="1"/>
      <c r="G348" s="1"/>
      <c r="H348" s="341"/>
      <c r="I348" s="358"/>
      <c r="J348" s="79"/>
      <c r="K348" s="1"/>
      <c r="L348" s="343"/>
      <c r="M348" s="344"/>
      <c r="N348" s="344"/>
      <c r="O348" s="341"/>
      <c r="P348" s="341"/>
      <c r="Q348" s="79"/>
      <c r="R348" s="345"/>
      <c r="S348" s="344"/>
      <c r="T348" s="345"/>
      <c r="U348" s="344"/>
      <c r="V348" s="346"/>
      <c r="W348" s="347"/>
      <c r="X348" s="359"/>
      <c r="Y348" s="349"/>
      <c r="Z348" s="349"/>
      <c r="AB348" s="79"/>
      <c r="AC348" s="79"/>
      <c r="AD348" s="79"/>
      <c r="AE348" s="79"/>
      <c r="AF348" s="79"/>
      <c r="AG348" s="79"/>
      <c r="AH348" s="79"/>
      <c r="AI348" s="79"/>
    </row>
    <row r="349">
      <c r="A349" s="9"/>
      <c r="C349" s="350"/>
      <c r="D349" s="93"/>
      <c r="E349" s="1"/>
      <c r="F349" s="1"/>
      <c r="G349" s="1"/>
      <c r="H349" s="341"/>
      <c r="I349" s="358"/>
      <c r="J349" s="79"/>
      <c r="K349" s="1"/>
      <c r="L349" s="343"/>
      <c r="M349" s="344"/>
      <c r="N349" s="344"/>
      <c r="O349" s="341"/>
      <c r="P349" s="341"/>
      <c r="Q349" s="79"/>
      <c r="R349" s="345"/>
      <c r="S349" s="344"/>
      <c r="T349" s="345"/>
      <c r="U349" s="344"/>
      <c r="V349" s="346"/>
      <c r="W349" s="347"/>
      <c r="X349" s="359"/>
      <c r="Y349" s="349"/>
      <c r="Z349" s="349"/>
      <c r="AB349" s="79"/>
      <c r="AC349" s="79"/>
      <c r="AD349" s="79"/>
      <c r="AE349" s="79"/>
      <c r="AF349" s="79"/>
      <c r="AG349" s="79"/>
      <c r="AH349" s="79"/>
      <c r="AI349" s="79"/>
    </row>
    <row r="350">
      <c r="A350" s="9"/>
      <c r="C350" s="350"/>
      <c r="D350" s="93"/>
      <c r="E350" s="1"/>
      <c r="F350" s="1"/>
      <c r="G350" s="1"/>
      <c r="H350" s="341"/>
      <c r="I350" s="358"/>
      <c r="J350" s="79"/>
      <c r="K350" s="1"/>
      <c r="L350" s="343"/>
      <c r="M350" s="344"/>
      <c r="N350" s="344"/>
      <c r="O350" s="341"/>
      <c r="P350" s="341"/>
      <c r="Q350" s="79"/>
      <c r="R350" s="345"/>
      <c r="S350" s="344"/>
      <c r="T350" s="345"/>
      <c r="U350" s="344"/>
      <c r="V350" s="346"/>
      <c r="W350" s="347"/>
      <c r="X350" s="359"/>
      <c r="Y350" s="349"/>
      <c r="Z350" s="349"/>
      <c r="AB350" s="79"/>
      <c r="AC350" s="79"/>
      <c r="AD350" s="79"/>
      <c r="AE350" s="79"/>
      <c r="AF350" s="79"/>
      <c r="AG350" s="79"/>
      <c r="AH350" s="79"/>
      <c r="AI350" s="79"/>
    </row>
    <row r="351">
      <c r="A351" s="9"/>
      <c r="C351" s="350"/>
      <c r="D351" s="93"/>
      <c r="E351" s="1"/>
      <c r="F351" s="1"/>
      <c r="G351" s="1"/>
      <c r="H351" s="341"/>
      <c r="I351" s="358"/>
      <c r="J351" s="79"/>
      <c r="K351" s="1"/>
      <c r="L351" s="343"/>
      <c r="M351" s="344"/>
      <c r="N351" s="344"/>
      <c r="O351" s="341"/>
      <c r="P351" s="341"/>
      <c r="Q351" s="79"/>
      <c r="R351" s="345"/>
      <c r="S351" s="344"/>
      <c r="T351" s="345"/>
      <c r="U351" s="344"/>
      <c r="V351" s="346"/>
      <c r="W351" s="347"/>
      <c r="X351" s="359"/>
      <c r="Y351" s="349"/>
      <c r="Z351" s="349"/>
      <c r="AB351" s="79"/>
      <c r="AC351" s="79"/>
      <c r="AD351" s="79"/>
      <c r="AE351" s="79"/>
      <c r="AF351" s="79"/>
      <c r="AG351" s="79"/>
      <c r="AH351" s="79"/>
      <c r="AI351" s="79"/>
    </row>
    <row r="352">
      <c r="A352" s="9"/>
      <c r="C352" s="350"/>
      <c r="D352" s="93"/>
      <c r="E352" s="1"/>
      <c r="F352" s="1"/>
      <c r="G352" s="1"/>
      <c r="H352" s="341"/>
      <c r="I352" s="358"/>
      <c r="J352" s="79"/>
      <c r="K352" s="1"/>
      <c r="L352" s="343"/>
      <c r="M352" s="344"/>
      <c r="N352" s="344"/>
      <c r="O352" s="341"/>
      <c r="P352" s="341"/>
      <c r="Q352" s="79"/>
      <c r="R352" s="345"/>
      <c r="S352" s="344"/>
      <c r="T352" s="345"/>
      <c r="U352" s="344"/>
      <c r="V352" s="346"/>
      <c r="W352" s="347"/>
      <c r="X352" s="359"/>
      <c r="Y352" s="349"/>
      <c r="Z352" s="349"/>
      <c r="AB352" s="79"/>
      <c r="AC352" s="79"/>
      <c r="AD352" s="79"/>
      <c r="AE352" s="79"/>
      <c r="AF352" s="79"/>
      <c r="AG352" s="79"/>
      <c r="AH352" s="79"/>
      <c r="AI352" s="79"/>
    </row>
    <row r="353">
      <c r="A353" s="9"/>
      <c r="C353" s="350"/>
      <c r="D353" s="93"/>
      <c r="E353" s="1"/>
      <c r="F353" s="1"/>
      <c r="G353" s="1"/>
      <c r="H353" s="341"/>
      <c r="I353" s="358"/>
      <c r="J353" s="79"/>
      <c r="K353" s="1"/>
      <c r="L353" s="343"/>
      <c r="M353" s="344"/>
      <c r="N353" s="344"/>
      <c r="O353" s="341"/>
      <c r="P353" s="341"/>
      <c r="Q353" s="79"/>
      <c r="R353" s="345"/>
      <c r="S353" s="344"/>
      <c r="T353" s="345"/>
      <c r="U353" s="344"/>
      <c r="V353" s="346"/>
      <c r="W353" s="347"/>
      <c r="X353" s="359"/>
      <c r="Y353" s="349"/>
      <c r="Z353" s="349"/>
      <c r="AB353" s="79"/>
      <c r="AC353" s="79"/>
      <c r="AD353" s="79"/>
      <c r="AE353" s="79"/>
      <c r="AF353" s="79"/>
      <c r="AG353" s="79"/>
      <c r="AH353" s="79"/>
      <c r="AI353" s="79"/>
    </row>
    <row r="354">
      <c r="A354" s="9"/>
      <c r="C354" s="350"/>
      <c r="D354" s="93"/>
      <c r="E354" s="1"/>
      <c r="F354" s="1"/>
      <c r="G354" s="1"/>
      <c r="H354" s="341"/>
      <c r="I354" s="358"/>
      <c r="J354" s="79"/>
      <c r="K354" s="1"/>
      <c r="L354" s="343"/>
      <c r="M354" s="344"/>
      <c r="N354" s="344"/>
      <c r="O354" s="341"/>
      <c r="P354" s="341"/>
      <c r="Q354" s="79"/>
      <c r="R354" s="345"/>
      <c r="S354" s="344"/>
      <c r="T354" s="345"/>
      <c r="U354" s="344"/>
      <c r="V354" s="346"/>
      <c r="W354" s="347"/>
      <c r="X354" s="359"/>
      <c r="Y354" s="349"/>
      <c r="Z354" s="349"/>
      <c r="AB354" s="79"/>
      <c r="AC354" s="79"/>
      <c r="AD354" s="79"/>
      <c r="AE354" s="79"/>
      <c r="AF354" s="79"/>
      <c r="AG354" s="79"/>
      <c r="AH354" s="79"/>
      <c r="AI354" s="79"/>
    </row>
    <row r="355">
      <c r="A355" s="9"/>
      <c r="C355" s="350"/>
      <c r="D355" s="93"/>
      <c r="E355" s="1"/>
      <c r="F355" s="1"/>
      <c r="G355" s="1"/>
      <c r="H355" s="341"/>
      <c r="I355" s="358"/>
      <c r="J355" s="79"/>
      <c r="K355" s="1"/>
      <c r="L355" s="343"/>
      <c r="M355" s="344"/>
      <c r="N355" s="344"/>
      <c r="O355" s="341"/>
      <c r="P355" s="341"/>
      <c r="Q355" s="79"/>
      <c r="R355" s="345"/>
      <c r="S355" s="344"/>
      <c r="T355" s="345"/>
      <c r="U355" s="344"/>
      <c r="V355" s="346"/>
      <c r="W355" s="347"/>
      <c r="X355" s="359"/>
      <c r="Y355" s="349"/>
      <c r="Z355" s="349"/>
      <c r="AB355" s="79"/>
      <c r="AC355" s="79"/>
      <c r="AD355" s="79"/>
      <c r="AE355" s="79"/>
      <c r="AF355" s="79"/>
      <c r="AG355" s="79"/>
      <c r="AH355" s="79"/>
      <c r="AI355" s="79"/>
    </row>
    <row r="356">
      <c r="A356" s="9"/>
      <c r="C356" s="350"/>
      <c r="D356" s="93"/>
      <c r="E356" s="1"/>
      <c r="F356" s="1"/>
      <c r="G356" s="1"/>
      <c r="H356" s="341"/>
      <c r="I356" s="358"/>
      <c r="J356" s="79"/>
      <c r="K356" s="1"/>
      <c r="L356" s="343"/>
      <c r="M356" s="344"/>
      <c r="N356" s="344"/>
      <c r="O356" s="341"/>
      <c r="P356" s="341"/>
      <c r="Q356" s="79"/>
      <c r="R356" s="345"/>
      <c r="S356" s="344"/>
      <c r="T356" s="345"/>
      <c r="U356" s="344"/>
      <c r="V356" s="346"/>
      <c r="W356" s="347"/>
      <c r="X356" s="359"/>
      <c r="Y356" s="349"/>
      <c r="Z356" s="349"/>
      <c r="AB356" s="79"/>
      <c r="AC356" s="79"/>
      <c r="AD356" s="79"/>
      <c r="AE356" s="79"/>
      <c r="AF356" s="79"/>
      <c r="AG356" s="79"/>
      <c r="AH356" s="79"/>
      <c r="AI356" s="79"/>
    </row>
    <row r="357">
      <c r="A357" s="9"/>
      <c r="C357" s="350"/>
      <c r="D357" s="93"/>
      <c r="E357" s="1"/>
      <c r="F357" s="1"/>
      <c r="G357" s="1"/>
      <c r="H357" s="341"/>
      <c r="I357" s="358"/>
      <c r="J357" s="79"/>
      <c r="K357" s="1"/>
      <c r="L357" s="343"/>
      <c r="M357" s="344"/>
      <c r="N357" s="344"/>
      <c r="O357" s="341"/>
      <c r="P357" s="341"/>
      <c r="Q357" s="79"/>
      <c r="R357" s="345"/>
      <c r="S357" s="344"/>
      <c r="T357" s="345"/>
      <c r="U357" s="344"/>
      <c r="V357" s="346"/>
      <c r="W357" s="347"/>
      <c r="X357" s="359"/>
      <c r="Y357" s="349"/>
      <c r="Z357" s="349"/>
      <c r="AB357" s="79"/>
      <c r="AC357" s="79"/>
      <c r="AD357" s="79"/>
      <c r="AE357" s="79"/>
      <c r="AF357" s="79"/>
      <c r="AG357" s="79"/>
      <c r="AH357" s="79"/>
      <c r="AI357" s="79"/>
    </row>
    <row r="358">
      <c r="A358" s="9"/>
      <c r="C358" s="350"/>
      <c r="D358" s="93"/>
      <c r="E358" s="1"/>
      <c r="F358" s="1"/>
      <c r="G358" s="1"/>
      <c r="H358" s="341"/>
      <c r="I358" s="358"/>
      <c r="J358" s="79"/>
      <c r="K358" s="1"/>
      <c r="L358" s="343"/>
      <c r="M358" s="344"/>
      <c r="N358" s="344"/>
      <c r="O358" s="341"/>
      <c r="P358" s="341"/>
      <c r="Q358" s="79"/>
      <c r="R358" s="345"/>
      <c r="S358" s="344"/>
      <c r="T358" s="345"/>
      <c r="U358" s="344"/>
      <c r="V358" s="346"/>
      <c r="W358" s="347"/>
      <c r="X358" s="359"/>
      <c r="Y358" s="349"/>
      <c r="Z358" s="349"/>
      <c r="AB358" s="79"/>
      <c r="AC358" s="79"/>
      <c r="AD358" s="79"/>
      <c r="AE358" s="79"/>
      <c r="AF358" s="79"/>
      <c r="AG358" s="79"/>
      <c r="AH358" s="79"/>
      <c r="AI358" s="79"/>
    </row>
    <row r="359">
      <c r="A359" s="9"/>
      <c r="C359" s="350"/>
      <c r="D359" s="93"/>
      <c r="E359" s="1"/>
      <c r="F359" s="1"/>
      <c r="G359" s="1"/>
      <c r="H359" s="341"/>
      <c r="I359" s="358"/>
      <c r="J359" s="79"/>
      <c r="K359" s="1"/>
      <c r="L359" s="343"/>
      <c r="M359" s="344"/>
      <c r="N359" s="344"/>
      <c r="O359" s="341"/>
      <c r="P359" s="341"/>
      <c r="Q359" s="79"/>
      <c r="R359" s="345"/>
      <c r="S359" s="344"/>
      <c r="T359" s="345"/>
      <c r="U359" s="344"/>
      <c r="V359" s="346"/>
      <c r="W359" s="347"/>
      <c r="X359" s="359"/>
      <c r="Y359" s="349"/>
      <c r="Z359" s="349"/>
      <c r="AB359" s="79"/>
      <c r="AC359" s="79"/>
      <c r="AD359" s="79"/>
      <c r="AE359" s="79"/>
      <c r="AF359" s="79"/>
      <c r="AG359" s="79"/>
      <c r="AH359" s="79"/>
      <c r="AI359" s="79"/>
    </row>
    <row r="360">
      <c r="A360" s="9"/>
      <c r="C360" s="350"/>
      <c r="D360" s="93"/>
      <c r="E360" s="1"/>
      <c r="F360" s="1"/>
      <c r="G360" s="1"/>
      <c r="H360" s="341"/>
      <c r="I360" s="358"/>
      <c r="J360" s="79"/>
      <c r="K360" s="1"/>
      <c r="L360" s="343"/>
      <c r="M360" s="344"/>
      <c r="N360" s="344"/>
      <c r="O360" s="341"/>
      <c r="P360" s="341"/>
      <c r="Q360" s="79"/>
      <c r="R360" s="345"/>
      <c r="S360" s="344"/>
      <c r="T360" s="345"/>
      <c r="U360" s="344"/>
      <c r="V360" s="346"/>
      <c r="W360" s="347"/>
      <c r="X360" s="359"/>
      <c r="Y360" s="349"/>
      <c r="Z360" s="349"/>
      <c r="AB360" s="79"/>
      <c r="AC360" s="79"/>
      <c r="AD360" s="79"/>
      <c r="AE360" s="79"/>
      <c r="AF360" s="79"/>
      <c r="AG360" s="79"/>
      <c r="AH360" s="79"/>
      <c r="AI360" s="79"/>
    </row>
    <row r="361">
      <c r="A361" s="9"/>
      <c r="C361" s="350"/>
      <c r="D361" s="93"/>
      <c r="E361" s="1"/>
      <c r="F361" s="1"/>
      <c r="G361" s="1"/>
      <c r="H361" s="341"/>
      <c r="I361" s="358"/>
      <c r="J361" s="79"/>
      <c r="K361" s="1"/>
      <c r="L361" s="343"/>
      <c r="M361" s="344"/>
      <c r="N361" s="344"/>
      <c r="O361" s="341"/>
      <c r="P361" s="341"/>
      <c r="Q361" s="79"/>
      <c r="R361" s="345"/>
      <c r="S361" s="344"/>
      <c r="T361" s="345"/>
      <c r="U361" s="344"/>
      <c r="V361" s="346"/>
      <c r="W361" s="347"/>
      <c r="X361" s="359"/>
      <c r="Y361" s="349"/>
      <c r="Z361" s="349"/>
      <c r="AB361" s="79"/>
      <c r="AC361" s="79"/>
      <c r="AD361" s="79"/>
      <c r="AE361" s="79"/>
      <c r="AF361" s="79"/>
      <c r="AG361" s="79"/>
      <c r="AH361" s="79"/>
      <c r="AI361" s="79"/>
    </row>
    <row r="362">
      <c r="A362" s="9"/>
      <c r="C362" s="350"/>
      <c r="D362" s="93"/>
      <c r="E362" s="1"/>
      <c r="F362" s="1"/>
      <c r="G362" s="1"/>
      <c r="H362" s="341"/>
      <c r="I362" s="358"/>
      <c r="J362" s="79"/>
      <c r="K362" s="1"/>
      <c r="L362" s="343"/>
      <c r="M362" s="344"/>
      <c r="N362" s="344"/>
      <c r="O362" s="341"/>
      <c r="P362" s="341"/>
      <c r="Q362" s="79"/>
      <c r="R362" s="345"/>
      <c r="S362" s="344"/>
      <c r="T362" s="345"/>
      <c r="U362" s="344"/>
      <c r="V362" s="346"/>
      <c r="W362" s="347"/>
      <c r="X362" s="359"/>
      <c r="Y362" s="349"/>
      <c r="Z362" s="349"/>
      <c r="AB362" s="79"/>
      <c r="AC362" s="79"/>
      <c r="AD362" s="79"/>
      <c r="AE362" s="79"/>
      <c r="AF362" s="79"/>
      <c r="AG362" s="79"/>
      <c r="AH362" s="79"/>
      <c r="AI362" s="79"/>
    </row>
    <row r="363">
      <c r="A363" s="9"/>
      <c r="C363" s="350"/>
      <c r="D363" s="93"/>
      <c r="E363" s="1"/>
      <c r="F363" s="1"/>
      <c r="G363" s="1"/>
      <c r="H363" s="341"/>
      <c r="I363" s="358"/>
      <c r="J363" s="79"/>
      <c r="K363" s="1"/>
      <c r="L363" s="343"/>
      <c r="M363" s="344"/>
      <c r="N363" s="344"/>
      <c r="O363" s="341"/>
      <c r="P363" s="341"/>
      <c r="Q363" s="79"/>
      <c r="R363" s="345"/>
      <c r="S363" s="344"/>
      <c r="T363" s="345"/>
      <c r="U363" s="344"/>
      <c r="V363" s="346"/>
      <c r="W363" s="347"/>
      <c r="X363" s="359"/>
      <c r="Y363" s="349"/>
      <c r="Z363" s="349"/>
      <c r="AB363" s="79"/>
      <c r="AC363" s="79"/>
      <c r="AD363" s="79"/>
      <c r="AE363" s="79"/>
      <c r="AF363" s="79"/>
      <c r="AG363" s="79"/>
      <c r="AH363" s="79"/>
      <c r="AI363" s="79"/>
    </row>
    <row r="364">
      <c r="A364" s="9"/>
      <c r="C364" s="350"/>
      <c r="D364" s="93"/>
      <c r="E364" s="1"/>
      <c r="F364" s="1"/>
      <c r="G364" s="1"/>
      <c r="H364" s="341"/>
      <c r="I364" s="358"/>
      <c r="J364" s="79"/>
      <c r="K364" s="1"/>
      <c r="L364" s="343"/>
      <c r="M364" s="344"/>
      <c r="N364" s="344"/>
      <c r="O364" s="341"/>
      <c r="P364" s="341"/>
      <c r="Q364" s="79"/>
      <c r="R364" s="345"/>
      <c r="S364" s="344"/>
      <c r="T364" s="345"/>
      <c r="U364" s="344"/>
      <c r="V364" s="346"/>
      <c r="W364" s="347"/>
      <c r="X364" s="359"/>
      <c r="Y364" s="349"/>
      <c r="Z364" s="349"/>
      <c r="AB364" s="79"/>
      <c r="AC364" s="79"/>
      <c r="AD364" s="79"/>
      <c r="AE364" s="79"/>
      <c r="AF364" s="79"/>
      <c r="AG364" s="79"/>
      <c r="AH364" s="79"/>
      <c r="AI364" s="79"/>
    </row>
    <row r="365">
      <c r="A365" s="9"/>
      <c r="C365" s="350"/>
      <c r="D365" s="93"/>
      <c r="E365" s="1"/>
      <c r="F365" s="1"/>
      <c r="G365" s="1"/>
      <c r="H365" s="341"/>
      <c r="I365" s="358"/>
      <c r="J365" s="79"/>
      <c r="K365" s="1"/>
      <c r="L365" s="343"/>
      <c r="M365" s="344"/>
      <c r="N365" s="344"/>
      <c r="O365" s="341"/>
      <c r="P365" s="341"/>
      <c r="Q365" s="79"/>
      <c r="R365" s="345"/>
      <c r="S365" s="344"/>
      <c r="T365" s="345"/>
      <c r="U365" s="344"/>
      <c r="V365" s="346"/>
      <c r="W365" s="347"/>
      <c r="X365" s="359"/>
      <c r="Y365" s="349"/>
      <c r="Z365" s="349"/>
      <c r="AB365" s="79"/>
      <c r="AC365" s="79"/>
      <c r="AD365" s="79"/>
      <c r="AE365" s="79"/>
      <c r="AF365" s="79"/>
      <c r="AG365" s="79"/>
      <c r="AH365" s="79"/>
      <c r="AI365" s="79"/>
    </row>
    <row r="366">
      <c r="A366" s="9"/>
      <c r="C366" s="350"/>
      <c r="D366" s="93"/>
      <c r="E366" s="1"/>
      <c r="F366" s="1"/>
      <c r="G366" s="1"/>
      <c r="H366" s="341"/>
      <c r="I366" s="358"/>
      <c r="J366" s="79"/>
      <c r="K366" s="1"/>
      <c r="L366" s="343"/>
      <c r="M366" s="344"/>
      <c r="N366" s="344"/>
      <c r="O366" s="341"/>
      <c r="P366" s="341"/>
      <c r="Q366" s="79"/>
      <c r="R366" s="345"/>
      <c r="S366" s="344"/>
      <c r="T366" s="345"/>
      <c r="U366" s="344"/>
      <c r="V366" s="346"/>
      <c r="W366" s="347"/>
      <c r="X366" s="359"/>
      <c r="Y366" s="349"/>
      <c r="Z366" s="349"/>
      <c r="AB366" s="79"/>
      <c r="AC366" s="79"/>
      <c r="AD366" s="79"/>
      <c r="AE366" s="79"/>
      <c r="AF366" s="79"/>
      <c r="AG366" s="79"/>
      <c r="AH366" s="79"/>
      <c r="AI366" s="79"/>
    </row>
    <row r="367">
      <c r="A367" s="9"/>
      <c r="C367" s="350"/>
      <c r="D367" s="93"/>
      <c r="E367" s="1"/>
      <c r="F367" s="1"/>
      <c r="G367" s="1"/>
      <c r="H367" s="341"/>
      <c r="I367" s="358"/>
      <c r="J367" s="79"/>
      <c r="K367" s="1"/>
      <c r="L367" s="343"/>
      <c r="M367" s="344"/>
      <c r="N367" s="344"/>
      <c r="O367" s="341"/>
      <c r="P367" s="341"/>
      <c r="Q367" s="79"/>
      <c r="R367" s="345"/>
      <c r="S367" s="344"/>
      <c r="T367" s="345"/>
      <c r="U367" s="344"/>
      <c r="V367" s="346"/>
      <c r="W367" s="347"/>
      <c r="X367" s="359"/>
      <c r="Y367" s="349"/>
      <c r="Z367" s="349"/>
      <c r="AB367" s="79"/>
      <c r="AC367" s="79"/>
      <c r="AD367" s="79"/>
      <c r="AE367" s="79"/>
      <c r="AF367" s="79"/>
      <c r="AG367" s="79"/>
      <c r="AH367" s="79"/>
      <c r="AI367" s="79"/>
    </row>
    <row r="368">
      <c r="A368" s="9"/>
      <c r="C368" s="350"/>
      <c r="D368" s="93"/>
      <c r="E368" s="1"/>
      <c r="F368" s="1"/>
      <c r="G368" s="1"/>
      <c r="H368" s="341"/>
      <c r="I368" s="358"/>
      <c r="J368" s="79"/>
      <c r="K368" s="1"/>
      <c r="L368" s="343"/>
      <c r="M368" s="344"/>
      <c r="N368" s="344"/>
      <c r="O368" s="341"/>
      <c r="P368" s="341"/>
      <c r="Q368" s="79"/>
      <c r="R368" s="345"/>
      <c r="S368" s="344"/>
      <c r="T368" s="345"/>
      <c r="U368" s="344"/>
      <c r="V368" s="346"/>
      <c r="W368" s="347"/>
      <c r="X368" s="359"/>
      <c r="Y368" s="349"/>
      <c r="Z368" s="349"/>
      <c r="AB368" s="79"/>
      <c r="AC368" s="79"/>
      <c r="AD368" s="79"/>
      <c r="AE368" s="79"/>
      <c r="AF368" s="79"/>
      <c r="AG368" s="79"/>
      <c r="AH368" s="79"/>
      <c r="AI368" s="79"/>
    </row>
    <row r="369">
      <c r="A369" s="9"/>
      <c r="C369" s="350"/>
      <c r="D369" s="93"/>
      <c r="E369" s="1"/>
      <c r="F369" s="1"/>
      <c r="G369" s="1"/>
      <c r="H369" s="341"/>
      <c r="I369" s="358"/>
      <c r="J369" s="79"/>
      <c r="K369" s="1"/>
      <c r="L369" s="343"/>
      <c r="M369" s="344"/>
      <c r="N369" s="344"/>
      <c r="O369" s="341"/>
      <c r="P369" s="341"/>
      <c r="Q369" s="79"/>
      <c r="R369" s="345"/>
      <c r="S369" s="344"/>
      <c r="T369" s="345"/>
      <c r="U369" s="344"/>
      <c r="V369" s="346"/>
      <c r="W369" s="347"/>
      <c r="X369" s="359"/>
      <c r="Y369" s="349"/>
      <c r="Z369" s="349"/>
      <c r="AB369" s="79"/>
      <c r="AC369" s="79"/>
      <c r="AD369" s="79"/>
      <c r="AE369" s="79"/>
      <c r="AF369" s="79"/>
      <c r="AG369" s="79"/>
      <c r="AH369" s="79"/>
      <c r="AI369" s="79"/>
    </row>
    <row r="370">
      <c r="A370" s="9"/>
      <c r="C370" s="350"/>
      <c r="D370" s="93"/>
      <c r="E370" s="1"/>
      <c r="F370" s="1"/>
      <c r="G370" s="1"/>
      <c r="H370" s="341"/>
      <c r="I370" s="358"/>
      <c r="J370" s="79"/>
      <c r="K370" s="1"/>
      <c r="L370" s="343"/>
      <c r="M370" s="344"/>
      <c r="N370" s="344"/>
      <c r="O370" s="341"/>
      <c r="P370" s="341"/>
      <c r="Q370" s="79"/>
      <c r="R370" s="345"/>
      <c r="S370" s="344"/>
      <c r="T370" s="345"/>
      <c r="U370" s="344"/>
      <c r="V370" s="346"/>
      <c r="W370" s="347"/>
      <c r="X370" s="359"/>
      <c r="Y370" s="349"/>
      <c r="Z370" s="349"/>
      <c r="AB370" s="79"/>
      <c r="AC370" s="79"/>
      <c r="AD370" s="79"/>
      <c r="AE370" s="79"/>
      <c r="AF370" s="79"/>
      <c r="AG370" s="79"/>
      <c r="AH370" s="79"/>
      <c r="AI370" s="79"/>
    </row>
    <row r="371">
      <c r="A371" s="9"/>
      <c r="C371" s="350"/>
      <c r="D371" s="93"/>
      <c r="E371" s="1"/>
      <c r="F371" s="1"/>
      <c r="G371" s="1"/>
      <c r="H371" s="341"/>
      <c r="I371" s="358"/>
      <c r="J371" s="79"/>
      <c r="K371" s="1"/>
      <c r="L371" s="343"/>
      <c r="M371" s="344"/>
      <c r="N371" s="344"/>
      <c r="O371" s="341"/>
      <c r="P371" s="341"/>
      <c r="Q371" s="79"/>
      <c r="R371" s="345"/>
      <c r="S371" s="344"/>
      <c r="T371" s="345"/>
      <c r="U371" s="344"/>
      <c r="V371" s="346"/>
      <c r="W371" s="347"/>
      <c r="X371" s="359"/>
      <c r="Y371" s="349"/>
      <c r="Z371" s="349"/>
      <c r="AB371" s="79"/>
      <c r="AC371" s="79"/>
      <c r="AD371" s="79"/>
      <c r="AE371" s="79"/>
      <c r="AF371" s="79"/>
      <c r="AG371" s="79"/>
      <c r="AH371" s="79"/>
      <c r="AI371" s="79"/>
    </row>
    <row r="372">
      <c r="A372" s="9"/>
      <c r="C372" s="350"/>
      <c r="D372" s="93"/>
      <c r="E372" s="1"/>
      <c r="F372" s="1"/>
      <c r="G372" s="1"/>
      <c r="H372" s="341"/>
      <c r="I372" s="358"/>
      <c r="J372" s="79"/>
      <c r="K372" s="1"/>
      <c r="L372" s="343"/>
      <c r="M372" s="344"/>
      <c r="N372" s="344"/>
      <c r="O372" s="341"/>
      <c r="P372" s="341"/>
      <c r="Q372" s="79"/>
      <c r="R372" s="345"/>
      <c r="S372" s="344"/>
      <c r="T372" s="345"/>
      <c r="U372" s="344"/>
      <c r="V372" s="346"/>
      <c r="W372" s="347"/>
      <c r="X372" s="359"/>
      <c r="Y372" s="349"/>
      <c r="Z372" s="349"/>
      <c r="AB372" s="79"/>
      <c r="AC372" s="79"/>
      <c r="AD372" s="79"/>
      <c r="AE372" s="79"/>
      <c r="AF372" s="79"/>
      <c r="AG372" s="79"/>
      <c r="AH372" s="79"/>
      <c r="AI372" s="79"/>
    </row>
    <row r="373">
      <c r="A373" s="9"/>
      <c r="C373" s="350"/>
      <c r="D373" s="93"/>
      <c r="E373" s="1"/>
      <c r="F373" s="1"/>
      <c r="G373" s="1"/>
      <c r="H373" s="341"/>
      <c r="I373" s="358"/>
      <c r="J373" s="79"/>
      <c r="K373" s="1"/>
      <c r="L373" s="343"/>
      <c r="M373" s="344"/>
      <c r="N373" s="344"/>
      <c r="O373" s="341"/>
      <c r="P373" s="341"/>
      <c r="Q373" s="79"/>
      <c r="R373" s="345"/>
      <c r="S373" s="344"/>
      <c r="T373" s="345"/>
      <c r="U373" s="344"/>
      <c r="V373" s="346"/>
      <c r="W373" s="347"/>
      <c r="X373" s="359"/>
      <c r="Y373" s="349"/>
      <c r="Z373" s="349"/>
      <c r="AB373" s="79"/>
      <c r="AC373" s="79"/>
      <c r="AD373" s="79"/>
      <c r="AE373" s="79"/>
      <c r="AF373" s="79"/>
      <c r="AG373" s="79"/>
      <c r="AH373" s="79"/>
      <c r="AI373" s="79"/>
    </row>
    <row r="374">
      <c r="A374" s="9"/>
      <c r="C374" s="350"/>
      <c r="D374" s="93"/>
      <c r="E374" s="1"/>
      <c r="F374" s="1"/>
      <c r="G374" s="1"/>
      <c r="H374" s="341"/>
      <c r="I374" s="358"/>
      <c r="J374" s="79"/>
      <c r="K374" s="1"/>
      <c r="L374" s="343"/>
      <c r="M374" s="344"/>
      <c r="N374" s="344"/>
      <c r="O374" s="341"/>
      <c r="P374" s="341"/>
      <c r="Q374" s="79"/>
      <c r="R374" s="345"/>
      <c r="S374" s="344"/>
      <c r="T374" s="345"/>
      <c r="U374" s="344"/>
      <c r="V374" s="346"/>
      <c r="W374" s="347"/>
      <c r="X374" s="359"/>
      <c r="Y374" s="349"/>
      <c r="Z374" s="349"/>
      <c r="AB374" s="79"/>
      <c r="AC374" s="79"/>
      <c r="AD374" s="79"/>
      <c r="AE374" s="79"/>
      <c r="AF374" s="79"/>
      <c r="AG374" s="79"/>
      <c r="AH374" s="79"/>
      <c r="AI374" s="79"/>
    </row>
    <row r="375">
      <c r="A375" s="9"/>
      <c r="C375" s="350"/>
      <c r="D375" s="93"/>
      <c r="E375" s="1"/>
      <c r="F375" s="1"/>
      <c r="G375" s="1"/>
      <c r="H375" s="341"/>
      <c r="I375" s="358"/>
      <c r="J375" s="79"/>
      <c r="K375" s="1"/>
      <c r="L375" s="343"/>
      <c r="M375" s="344"/>
      <c r="N375" s="344"/>
      <c r="O375" s="341"/>
      <c r="P375" s="341"/>
      <c r="Q375" s="79"/>
      <c r="R375" s="345"/>
      <c r="S375" s="344"/>
      <c r="T375" s="345"/>
      <c r="U375" s="344"/>
      <c r="V375" s="346"/>
      <c r="W375" s="347"/>
      <c r="X375" s="359"/>
      <c r="Y375" s="349"/>
      <c r="Z375" s="349"/>
      <c r="AB375" s="79"/>
      <c r="AC375" s="79"/>
      <c r="AD375" s="79"/>
      <c r="AE375" s="79"/>
      <c r="AF375" s="79"/>
      <c r="AG375" s="79"/>
      <c r="AH375" s="79"/>
      <c r="AI375" s="79"/>
    </row>
    <row r="376">
      <c r="A376" s="9"/>
      <c r="C376" s="350"/>
      <c r="D376" s="93"/>
      <c r="E376" s="1"/>
      <c r="F376" s="1"/>
      <c r="G376" s="1"/>
      <c r="H376" s="341"/>
      <c r="I376" s="358"/>
      <c r="J376" s="79"/>
      <c r="K376" s="1"/>
      <c r="L376" s="343"/>
      <c r="M376" s="344"/>
      <c r="N376" s="344"/>
      <c r="O376" s="341"/>
      <c r="P376" s="341"/>
      <c r="Q376" s="79"/>
      <c r="R376" s="345"/>
      <c r="S376" s="344"/>
      <c r="T376" s="345"/>
      <c r="U376" s="344"/>
      <c r="V376" s="346"/>
      <c r="W376" s="347"/>
      <c r="X376" s="359"/>
      <c r="Y376" s="349"/>
      <c r="Z376" s="349"/>
      <c r="AB376" s="79"/>
      <c r="AC376" s="79"/>
      <c r="AD376" s="79"/>
      <c r="AE376" s="79"/>
      <c r="AF376" s="79"/>
      <c r="AG376" s="79"/>
      <c r="AH376" s="79"/>
      <c r="AI376" s="79"/>
    </row>
    <row r="377">
      <c r="A377" s="9"/>
      <c r="C377" s="350"/>
      <c r="D377" s="93"/>
      <c r="E377" s="1"/>
      <c r="F377" s="1"/>
      <c r="G377" s="1"/>
      <c r="H377" s="341"/>
      <c r="I377" s="358"/>
      <c r="J377" s="79"/>
      <c r="K377" s="1"/>
      <c r="L377" s="343"/>
      <c r="M377" s="344"/>
      <c r="N377" s="344"/>
      <c r="O377" s="341"/>
      <c r="P377" s="341"/>
      <c r="Q377" s="79"/>
      <c r="R377" s="345"/>
      <c r="S377" s="344"/>
      <c r="T377" s="345"/>
      <c r="U377" s="344"/>
      <c r="V377" s="346"/>
      <c r="W377" s="347"/>
      <c r="X377" s="359"/>
      <c r="Y377" s="349"/>
      <c r="Z377" s="349"/>
      <c r="AB377" s="79"/>
      <c r="AC377" s="79"/>
      <c r="AD377" s="79"/>
      <c r="AE377" s="79"/>
      <c r="AF377" s="79"/>
      <c r="AG377" s="79"/>
      <c r="AH377" s="79"/>
      <c r="AI377" s="79"/>
    </row>
    <row r="378">
      <c r="A378" s="9"/>
      <c r="C378" s="350"/>
      <c r="D378" s="93"/>
      <c r="E378" s="1"/>
      <c r="F378" s="1"/>
      <c r="G378" s="1"/>
      <c r="H378" s="341"/>
      <c r="I378" s="358"/>
      <c r="J378" s="79"/>
      <c r="K378" s="1"/>
      <c r="L378" s="343"/>
      <c r="M378" s="344"/>
      <c r="N378" s="344"/>
      <c r="O378" s="341"/>
      <c r="P378" s="341"/>
      <c r="Q378" s="79"/>
      <c r="R378" s="345"/>
      <c r="S378" s="344"/>
      <c r="T378" s="345"/>
      <c r="U378" s="344"/>
      <c r="V378" s="346"/>
      <c r="W378" s="347"/>
      <c r="X378" s="359"/>
      <c r="Y378" s="349"/>
      <c r="Z378" s="349"/>
      <c r="AB378" s="79"/>
      <c r="AC378" s="79"/>
      <c r="AD378" s="79"/>
      <c r="AE378" s="79"/>
      <c r="AF378" s="79"/>
      <c r="AG378" s="79"/>
      <c r="AH378" s="79"/>
      <c r="AI378" s="79"/>
    </row>
    <row r="379">
      <c r="A379" s="9"/>
      <c r="C379" s="350"/>
      <c r="D379" s="93"/>
      <c r="E379" s="1"/>
      <c r="F379" s="1"/>
      <c r="G379" s="1"/>
      <c r="H379" s="341"/>
      <c r="I379" s="358"/>
      <c r="J379" s="79"/>
      <c r="K379" s="1"/>
      <c r="L379" s="343"/>
      <c r="M379" s="344"/>
      <c r="N379" s="344"/>
      <c r="O379" s="341"/>
      <c r="P379" s="341"/>
      <c r="Q379" s="79"/>
      <c r="R379" s="345"/>
      <c r="S379" s="344"/>
      <c r="T379" s="345"/>
      <c r="U379" s="344"/>
      <c r="V379" s="346"/>
      <c r="W379" s="347"/>
      <c r="X379" s="359"/>
      <c r="Y379" s="349"/>
      <c r="Z379" s="349"/>
      <c r="AB379" s="79"/>
      <c r="AC379" s="79"/>
      <c r="AD379" s="79"/>
      <c r="AE379" s="79"/>
      <c r="AF379" s="79"/>
      <c r="AG379" s="79"/>
      <c r="AH379" s="79"/>
      <c r="AI379" s="79"/>
    </row>
    <row r="380">
      <c r="A380" s="9"/>
      <c r="C380" s="350"/>
      <c r="D380" s="93"/>
      <c r="E380" s="1"/>
      <c r="F380" s="1"/>
      <c r="G380" s="1"/>
      <c r="H380" s="341"/>
      <c r="I380" s="358"/>
      <c r="J380" s="79"/>
      <c r="K380" s="1"/>
      <c r="L380" s="343"/>
      <c r="M380" s="344"/>
      <c r="N380" s="344"/>
      <c r="O380" s="341"/>
      <c r="P380" s="341"/>
      <c r="Q380" s="79"/>
      <c r="R380" s="345"/>
      <c r="S380" s="344"/>
      <c r="T380" s="345"/>
      <c r="U380" s="344"/>
      <c r="V380" s="346"/>
      <c r="W380" s="347"/>
      <c r="X380" s="359"/>
      <c r="Y380" s="349"/>
      <c r="Z380" s="349"/>
      <c r="AB380" s="79"/>
      <c r="AC380" s="79"/>
      <c r="AD380" s="79"/>
      <c r="AE380" s="79"/>
      <c r="AF380" s="79"/>
      <c r="AG380" s="79"/>
      <c r="AH380" s="79"/>
      <c r="AI380" s="79"/>
    </row>
    <row r="381">
      <c r="A381" s="9"/>
      <c r="C381" s="350"/>
      <c r="D381" s="93"/>
      <c r="E381" s="1"/>
      <c r="F381" s="1"/>
      <c r="G381" s="1"/>
      <c r="H381" s="341"/>
      <c r="I381" s="358"/>
      <c r="J381" s="79"/>
      <c r="K381" s="1"/>
      <c r="L381" s="343"/>
      <c r="M381" s="344"/>
      <c r="N381" s="344"/>
      <c r="O381" s="341"/>
      <c r="P381" s="341"/>
      <c r="Q381" s="79"/>
      <c r="R381" s="345"/>
      <c r="S381" s="344"/>
      <c r="T381" s="345"/>
      <c r="U381" s="344"/>
      <c r="V381" s="346"/>
      <c r="W381" s="347"/>
      <c r="X381" s="359"/>
      <c r="Y381" s="349"/>
      <c r="Z381" s="349"/>
      <c r="AB381" s="79"/>
      <c r="AC381" s="79"/>
      <c r="AD381" s="79"/>
      <c r="AE381" s="79"/>
      <c r="AF381" s="79"/>
      <c r="AG381" s="79"/>
      <c r="AH381" s="79"/>
      <c r="AI381" s="79"/>
    </row>
    <row r="382">
      <c r="A382" s="9"/>
      <c r="C382" s="350"/>
      <c r="D382" s="93"/>
      <c r="E382" s="1"/>
      <c r="F382" s="1"/>
      <c r="G382" s="1"/>
      <c r="H382" s="341"/>
      <c r="I382" s="358"/>
      <c r="J382" s="79"/>
      <c r="K382" s="1"/>
      <c r="L382" s="343"/>
      <c r="M382" s="344"/>
      <c r="N382" s="344"/>
      <c r="O382" s="341"/>
      <c r="P382" s="341"/>
      <c r="Q382" s="79"/>
      <c r="R382" s="345"/>
      <c r="S382" s="344"/>
      <c r="T382" s="345"/>
      <c r="U382" s="344"/>
      <c r="V382" s="346"/>
      <c r="W382" s="347"/>
      <c r="X382" s="359"/>
      <c r="Y382" s="349"/>
      <c r="Z382" s="349"/>
      <c r="AB382" s="79"/>
      <c r="AC382" s="79"/>
      <c r="AD382" s="79"/>
      <c r="AE382" s="79"/>
      <c r="AF382" s="79"/>
      <c r="AG382" s="79"/>
      <c r="AH382" s="79"/>
      <c r="AI382" s="79"/>
    </row>
    <row r="383">
      <c r="A383" s="9"/>
      <c r="C383" s="350"/>
      <c r="D383" s="93"/>
      <c r="E383" s="1"/>
      <c r="F383" s="1"/>
      <c r="G383" s="1"/>
      <c r="H383" s="341"/>
      <c r="I383" s="358"/>
      <c r="J383" s="79"/>
      <c r="K383" s="1"/>
      <c r="L383" s="343"/>
      <c r="M383" s="344"/>
      <c r="N383" s="344"/>
      <c r="O383" s="341"/>
      <c r="P383" s="341"/>
      <c r="Q383" s="79"/>
      <c r="R383" s="345"/>
      <c r="S383" s="344"/>
      <c r="T383" s="345"/>
      <c r="U383" s="344"/>
      <c r="V383" s="346"/>
      <c r="W383" s="347"/>
      <c r="X383" s="359"/>
      <c r="Y383" s="349"/>
      <c r="Z383" s="349"/>
      <c r="AB383" s="79"/>
      <c r="AC383" s="79"/>
      <c r="AD383" s="79"/>
      <c r="AE383" s="79"/>
      <c r="AF383" s="79"/>
      <c r="AG383" s="79"/>
      <c r="AH383" s="79"/>
      <c r="AI383" s="79"/>
    </row>
    <row r="384">
      <c r="A384" s="9"/>
      <c r="C384" s="350"/>
      <c r="D384" s="93"/>
      <c r="E384" s="1"/>
      <c r="F384" s="1"/>
      <c r="G384" s="1"/>
      <c r="H384" s="341"/>
      <c r="I384" s="358"/>
      <c r="J384" s="79"/>
      <c r="K384" s="1"/>
      <c r="L384" s="343"/>
      <c r="M384" s="344"/>
      <c r="N384" s="344"/>
      <c r="O384" s="341"/>
      <c r="P384" s="341"/>
      <c r="Q384" s="79"/>
      <c r="R384" s="345"/>
      <c r="S384" s="344"/>
      <c r="T384" s="345"/>
      <c r="U384" s="344"/>
      <c r="V384" s="346"/>
      <c r="W384" s="347"/>
      <c r="X384" s="359"/>
      <c r="Y384" s="349"/>
      <c r="Z384" s="349"/>
      <c r="AB384" s="79"/>
      <c r="AC384" s="79"/>
      <c r="AD384" s="79"/>
      <c r="AE384" s="79"/>
      <c r="AF384" s="79"/>
      <c r="AG384" s="79"/>
      <c r="AH384" s="79"/>
      <c r="AI384" s="79"/>
    </row>
    <row r="385">
      <c r="A385" s="9"/>
      <c r="C385" s="350"/>
      <c r="D385" s="93"/>
      <c r="E385" s="1"/>
      <c r="F385" s="1"/>
      <c r="G385" s="1"/>
      <c r="H385" s="341"/>
      <c r="I385" s="358"/>
      <c r="J385" s="79"/>
      <c r="K385" s="1"/>
      <c r="L385" s="343"/>
      <c r="M385" s="344"/>
      <c r="N385" s="344"/>
      <c r="O385" s="341"/>
      <c r="P385" s="341"/>
      <c r="Q385" s="79"/>
      <c r="R385" s="345"/>
      <c r="S385" s="344"/>
      <c r="T385" s="345"/>
      <c r="U385" s="344"/>
      <c r="V385" s="346"/>
      <c r="W385" s="347"/>
      <c r="X385" s="359"/>
      <c r="Y385" s="349"/>
      <c r="Z385" s="349"/>
      <c r="AB385" s="79"/>
      <c r="AC385" s="79"/>
      <c r="AD385" s="79"/>
      <c r="AE385" s="79"/>
      <c r="AF385" s="79"/>
      <c r="AG385" s="79"/>
      <c r="AH385" s="79"/>
      <c r="AI385" s="79"/>
    </row>
    <row r="386">
      <c r="A386" s="9"/>
      <c r="C386" s="350"/>
      <c r="D386" s="93"/>
      <c r="E386" s="1"/>
      <c r="F386" s="1"/>
      <c r="G386" s="1"/>
      <c r="H386" s="341"/>
      <c r="I386" s="358"/>
      <c r="J386" s="79"/>
      <c r="K386" s="1"/>
      <c r="L386" s="343"/>
      <c r="M386" s="344"/>
      <c r="N386" s="344"/>
      <c r="O386" s="341"/>
      <c r="P386" s="341"/>
      <c r="Q386" s="79"/>
      <c r="R386" s="345"/>
      <c r="S386" s="344"/>
      <c r="T386" s="345"/>
      <c r="U386" s="344"/>
      <c r="V386" s="346"/>
      <c r="W386" s="347"/>
      <c r="X386" s="359"/>
      <c r="Y386" s="349"/>
      <c r="Z386" s="349"/>
      <c r="AB386" s="79"/>
      <c r="AC386" s="79"/>
      <c r="AD386" s="79"/>
      <c r="AE386" s="79"/>
      <c r="AF386" s="79"/>
      <c r="AG386" s="79"/>
      <c r="AH386" s="79"/>
      <c r="AI386" s="79"/>
    </row>
    <row r="387">
      <c r="A387" s="9"/>
      <c r="C387" s="350"/>
      <c r="D387" s="93"/>
      <c r="E387" s="1"/>
      <c r="F387" s="1"/>
      <c r="G387" s="1"/>
      <c r="H387" s="341"/>
      <c r="I387" s="358"/>
      <c r="J387" s="79"/>
      <c r="K387" s="1"/>
      <c r="L387" s="343"/>
      <c r="M387" s="344"/>
      <c r="N387" s="344"/>
      <c r="O387" s="341"/>
      <c r="P387" s="341"/>
      <c r="Q387" s="79"/>
      <c r="R387" s="345"/>
      <c r="S387" s="344"/>
      <c r="T387" s="345"/>
      <c r="U387" s="344"/>
      <c r="V387" s="346"/>
      <c r="W387" s="347"/>
      <c r="X387" s="359"/>
      <c r="Y387" s="349"/>
      <c r="Z387" s="349"/>
      <c r="AB387" s="79"/>
      <c r="AC387" s="79"/>
      <c r="AD387" s="79"/>
      <c r="AE387" s="79"/>
      <c r="AF387" s="79"/>
      <c r="AG387" s="79"/>
      <c r="AH387" s="79"/>
      <c r="AI387" s="79"/>
    </row>
    <row r="388">
      <c r="A388" s="9"/>
      <c r="C388" s="350"/>
      <c r="D388" s="93"/>
      <c r="E388" s="1"/>
      <c r="F388" s="1"/>
      <c r="G388" s="1"/>
      <c r="H388" s="341"/>
      <c r="I388" s="358"/>
      <c r="J388" s="79"/>
      <c r="K388" s="1"/>
      <c r="L388" s="343"/>
      <c r="M388" s="344"/>
      <c r="N388" s="344"/>
      <c r="O388" s="341"/>
      <c r="P388" s="341"/>
      <c r="Q388" s="79"/>
      <c r="R388" s="345"/>
      <c r="S388" s="344"/>
      <c r="T388" s="345"/>
      <c r="U388" s="344"/>
      <c r="V388" s="346"/>
      <c r="W388" s="347"/>
      <c r="X388" s="359"/>
      <c r="Y388" s="349"/>
      <c r="Z388" s="349"/>
      <c r="AB388" s="79"/>
      <c r="AC388" s="79"/>
      <c r="AD388" s="79"/>
      <c r="AE388" s="79"/>
      <c r="AF388" s="79"/>
      <c r="AG388" s="79"/>
      <c r="AH388" s="79"/>
      <c r="AI388" s="79"/>
    </row>
    <row r="389">
      <c r="A389" s="9"/>
      <c r="C389" s="350"/>
      <c r="D389" s="93"/>
      <c r="E389" s="1"/>
      <c r="F389" s="1"/>
      <c r="G389" s="1"/>
      <c r="H389" s="341"/>
      <c r="I389" s="358"/>
      <c r="J389" s="79"/>
      <c r="K389" s="1"/>
      <c r="L389" s="343"/>
      <c r="M389" s="344"/>
      <c r="N389" s="344"/>
      <c r="O389" s="341"/>
      <c r="P389" s="341"/>
      <c r="Q389" s="79"/>
      <c r="R389" s="345"/>
      <c r="S389" s="344"/>
      <c r="T389" s="345"/>
      <c r="U389" s="344"/>
      <c r="V389" s="346"/>
      <c r="W389" s="347"/>
      <c r="X389" s="359"/>
      <c r="Y389" s="349"/>
      <c r="Z389" s="349"/>
      <c r="AB389" s="79"/>
      <c r="AC389" s="79"/>
      <c r="AD389" s="79"/>
      <c r="AE389" s="79"/>
      <c r="AF389" s="79"/>
      <c r="AG389" s="79"/>
      <c r="AH389" s="79"/>
      <c r="AI389" s="79"/>
    </row>
    <row r="390">
      <c r="A390" s="9"/>
      <c r="C390" s="350"/>
      <c r="D390" s="93"/>
      <c r="E390" s="1"/>
      <c r="F390" s="1"/>
      <c r="G390" s="1"/>
      <c r="H390" s="341"/>
      <c r="I390" s="358"/>
      <c r="J390" s="79"/>
      <c r="K390" s="1"/>
      <c r="L390" s="343"/>
      <c r="M390" s="344"/>
      <c r="N390" s="344"/>
      <c r="O390" s="341"/>
      <c r="P390" s="341"/>
      <c r="Q390" s="79"/>
      <c r="R390" s="345"/>
      <c r="S390" s="344"/>
      <c r="T390" s="345"/>
      <c r="U390" s="344"/>
      <c r="V390" s="346"/>
      <c r="W390" s="347"/>
      <c r="X390" s="359"/>
      <c r="Y390" s="349"/>
      <c r="Z390" s="349"/>
      <c r="AB390" s="79"/>
      <c r="AC390" s="79"/>
      <c r="AD390" s="79"/>
      <c r="AE390" s="79"/>
      <c r="AF390" s="79"/>
      <c r="AG390" s="79"/>
      <c r="AH390" s="79"/>
      <c r="AI390" s="79"/>
    </row>
    <row r="391">
      <c r="A391" s="9"/>
      <c r="C391" s="350"/>
      <c r="D391" s="93"/>
      <c r="E391" s="1"/>
      <c r="F391" s="1"/>
      <c r="G391" s="1"/>
      <c r="H391" s="341"/>
      <c r="I391" s="358"/>
      <c r="J391" s="79"/>
      <c r="K391" s="1"/>
      <c r="L391" s="343"/>
      <c r="M391" s="344"/>
      <c r="N391" s="344"/>
      <c r="O391" s="341"/>
      <c r="P391" s="341"/>
      <c r="Q391" s="79"/>
      <c r="R391" s="345"/>
      <c r="S391" s="344"/>
      <c r="T391" s="345"/>
      <c r="U391" s="344"/>
      <c r="V391" s="346"/>
      <c r="W391" s="347"/>
      <c r="X391" s="359"/>
      <c r="Y391" s="349"/>
      <c r="Z391" s="349"/>
      <c r="AB391" s="79"/>
      <c r="AC391" s="79"/>
      <c r="AD391" s="79"/>
      <c r="AE391" s="79"/>
      <c r="AF391" s="79"/>
      <c r="AG391" s="79"/>
      <c r="AH391" s="79"/>
      <c r="AI391" s="79"/>
    </row>
    <row r="392">
      <c r="A392" s="9"/>
      <c r="C392" s="350"/>
      <c r="D392" s="93"/>
      <c r="E392" s="1"/>
      <c r="F392" s="1"/>
      <c r="G392" s="1"/>
      <c r="H392" s="341"/>
      <c r="I392" s="358"/>
      <c r="J392" s="79"/>
      <c r="K392" s="1"/>
      <c r="L392" s="343"/>
      <c r="M392" s="344"/>
      <c r="N392" s="344"/>
      <c r="O392" s="341"/>
      <c r="P392" s="341"/>
      <c r="Q392" s="79"/>
      <c r="R392" s="345"/>
      <c r="S392" s="344"/>
      <c r="T392" s="345"/>
      <c r="U392" s="344"/>
      <c r="V392" s="346"/>
      <c r="W392" s="347"/>
      <c r="X392" s="359"/>
      <c r="Y392" s="349"/>
      <c r="Z392" s="349"/>
      <c r="AB392" s="79"/>
      <c r="AC392" s="79"/>
      <c r="AD392" s="79"/>
      <c r="AE392" s="79"/>
      <c r="AF392" s="79"/>
      <c r="AG392" s="79"/>
      <c r="AH392" s="79"/>
      <c r="AI392" s="79"/>
    </row>
    <row r="393">
      <c r="A393" s="9"/>
      <c r="C393" s="350"/>
      <c r="D393" s="93"/>
      <c r="E393" s="1"/>
      <c r="F393" s="1"/>
      <c r="G393" s="1"/>
      <c r="H393" s="341"/>
      <c r="I393" s="358"/>
      <c r="J393" s="79"/>
      <c r="K393" s="1"/>
      <c r="L393" s="343"/>
      <c r="M393" s="344"/>
      <c r="N393" s="344"/>
      <c r="O393" s="341"/>
      <c r="P393" s="341"/>
      <c r="Q393" s="79"/>
      <c r="R393" s="345"/>
      <c r="S393" s="344"/>
      <c r="T393" s="345"/>
      <c r="U393" s="344"/>
      <c r="V393" s="346"/>
      <c r="W393" s="347"/>
      <c r="X393" s="359"/>
      <c r="Y393" s="349"/>
      <c r="Z393" s="349"/>
      <c r="AB393" s="79"/>
      <c r="AC393" s="79"/>
      <c r="AD393" s="79"/>
      <c r="AE393" s="79"/>
      <c r="AF393" s="79"/>
      <c r="AG393" s="79"/>
      <c r="AH393" s="79"/>
      <c r="AI393" s="79"/>
    </row>
    <row r="394">
      <c r="A394" s="9"/>
      <c r="C394" s="350"/>
      <c r="D394" s="93"/>
      <c r="E394" s="1"/>
      <c r="F394" s="1"/>
      <c r="G394" s="1"/>
      <c r="H394" s="341"/>
      <c r="I394" s="358"/>
      <c r="J394" s="79"/>
      <c r="K394" s="1"/>
      <c r="L394" s="343"/>
      <c r="M394" s="344"/>
      <c r="N394" s="344"/>
      <c r="O394" s="341"/>
      <c r="P394" s="341"/>
      <c r="Q394" s="79"/>
      <c r="R394" s="345"/>
      <c r="S394" s="344"/>
      <c r="T394" s="345"/>
      <c r="U394" s="344"/>
      <c r="V394" s="346"/>
      <c r="W394" s="347"/>
      <c r="X394" s="359"/>
      <c r="Y394" s="349"/>
      <c r="Z394" s="349"/>
      <c r="AB394" s="79"/>
      <c r="AC394" s="79"/>
      <c r="AD394" s="79"/>
      <c r="AE394" s="79"/>
      <c r="AF394" s="79"/>
      <c r="AG394" s="79"/>
      <c r="AH394" s="79"/>
      <c r="AI394" s="79"/>
    </row>
    <row r="395">
      <c r="A395" s="9"/>
      <c r="C395" s="350"/>
      <c r="D395" s="93"/>
      <c r="E395" s="1"/>
      <c r="F395" s="1"/>
      <c r="G395" s="1"/>
      <c r="H395" s="341"/>
      <c r="I395" s="358"/>
      <c r="J395" s="79"/>
      <c r="K395" s="1"/>
      <c r="L395" s="343"/>
      <c r="M395" s="344"/>
      <c r="N395" s="344"/>
      <c r="O395" s="341"/>
      <c r="P395" s="341"/>
      <c r="Q395" s="79"/>
      <c r="R395" s="345"/>
      <c r="S395" s="344"/>
      <c r="T395" s="345"/>
      <c r="U395" s="344"/>
      <c r="V395" s="346"/>
      <c r="W395" s="347"/>
      <c r="X395" s="359"/>
      <c r="Y395" s="349"/>
      <c r="Z395" s="349"/>
      <c r="AB395" s="79"/>
      <c r="AC395" s="79"/>
      <c r="AD395" s="79"/>
      <c r="AE395" s="79"/>
      <c r="AF395" s="79"/>
      <c r="AG395" s="79"/>
      <c r="AH395" s="79"/>
      <c r="AI395" s="79"/>
    </row>
    <row r="396">
      <c r="A396" s="9"/>
      <c r="C396" s="350"/>
      <c r="D396" s="93"/>
      <c r="E396" s="1"/>
      <c r="F396" s="1"/>
      <c r="G396" s="1"/>
      <c r="H396" s="341"/>
      <c r="I396" s="358"/>
      <c r="J396" s="79"/>
      <c r="K396" s="1"/>
      <c r="L396" s="343"/>
      <c r="M396" s="344"/>
      <c r="N396" s="344"/>
      <c r="O396" s="341"/>
      <c r="P396" s="341"/>
      <c r="Q396" s="79"/>
      <c r="R396" s="345"/>
      <c r="S396" s="344"/>
      <c r="T396" s="345"/>
      <c r="U396" s="344"/>
      <c r="V396" s="346"/>
      <c r="W396" s="347"/>
      <c r="X396" s="359"/>
      <c r="Y396" s="349"/>
      <c r="Z396" s="349"/>
      <c r="AB396" s="79"/>
      <c r="AC396" s="79"/>
      <c r="AD396" s="79"/>
      <c r="AE396" s="79"/>
      <c r="AF396" s="79"/>
      <c r="AG396" s="79"/>
      <c r="AH396" s="79"/>
      <c r="AI396" s="79"/>
    </row>
    <row r="397">
      <c r="A397" s="9"/>
      <c r="C397" s="350"/>
      <c r="D397" s="93"/>
      <c r="E397" s="1"/>
      <c r="F397" s="1"/>
      <c r="G397" s="1"/>
      <c r="H397" s="341"/>
      <c r="I397" s="358"/>
      <c r="J397" s="79"/>
      <c r="K397" s="1"/>
      <c r="L397" s="343"/>
      <c r="M397" s="344"/>
      <c r="N397" s="344"/>
      <c r="O397" s="341"/>
      <c r="P397" s="341"/>
      <c r="Q397" s="79"/>
      <c r="R397" s="345"/>
      <c r="S397" s="344"/>
      <c r="T397" s="345"/>
      <c r="U397" s="344"/>
      <c r="V397" s="346"/>
      <c r="W397" s="347"/>
      <c r="X397" s="359"/>
      <c r="Y397" s="349"/>
      <c r="Z397" s="349"/>
      <c r="AB397" s="79"/>
      <c r="AC397" s="79"/>
      <c r="AD397" s="79"/>
      <c r="AE397" s="79"/>
      <c r="AF397" s="79"/>
      <c r="AG397" s="79"/>
      <c r="AH397" s="79"/>
      <c r="AI397" s="79"/>
    </row>
    <row r="398">
      <c r="A398" s="9"/>
      <c r="C398" s="350"/>
      <c r="D398" s="93"/>
      <c r="E398" s="1"/>
      <c r="F398" s="1"/>
      <c r="G398" s="1"/>
      <c r="H398" s="341"/>
      <c r="I398" s="358"/>
      <c r="J398" s="79"/>
      <c r="K398" s="1"/>
      <c r="L398" s="343"/>
      <c r="M398" s="344"/>
      <c r="N398" s="344"/>
      <c r="O398" s="341"/>
      <c r="P398" s="341"/>
      <c r="Q398" s="79"/>
      <c r="R398" s="345"/>
      <c r="S398" s="344"/>
      <c r="T398" s="345"/>
      <c r="U398" s="344"/>
      <c r="V398" s="346"/>
      <c r="W398" s="347"/>
      <c r="X398" s="359"/>
      <c r="Y398" s="349"/>
      <c r="Z398" s="349"/>
      <c r="AB398" s="79"/>
      <c r="AC398" s="79"/>
      <c r="AD398" s="79"/>
      <c r="AE398" s="79"/>
      <c r="AF398" s="79"/>
      <c r="AG398" s="79"/>
      <c r="AH398" s="79"/>
      <c r="AI398" s="79"/>
    </row>
    <row r="399">
      <c r="A399" s="9"/>
      <c r="C399" s="350"/>
      <c r="D399" s="93"/>
      <c r="E399" s="1"/>
      <c r="F399" s="1"/>
      <c r="G399" s="1"/>
      <c r="H399" s="341"/>
      <c r="I399" s="358"/>
      <c r="J399" s="79"/>
      <c r="K399" s="1"/>
      <c r="L399" s="343"/>
      <c r="M399" s="344"/>
      <c r="N399" s="344"/>
      <c r="O399" s="341"/>
      <c r="P399" s="341"/>
      <c r="Q399" s="79"/>
      <c r="R399" s="345"/>
      <c r="S399" s="344"/>
      <c r="T399" s="345"/>
      <c r="U399" s="344"/>
      <c r="V399" s="346"/>
      <c r="W399" s="347"/>
      <c r="X399" s="359"/>
      <c r="Y399" s="349"/>
      <c r="Z399" s="349"/>
      <c r="AB399" s="79"/>
      <c r="AC399" s="79"/>
      <c r="AD399" s="79"/>
      <c r="AE399" s="79"/>
      <c r="AF399" s="79"/>
      <c r="AG399" s="79"/>
      <c r="AH399" s="79"/>
      <c r="AI399" s="79"/>
    </row>
    <row r="400">
      <c r="A400" s="9"/>
      <c r="C400" s="350"/>
      <c r="D400" s="93"/>
      <c r="E400" s="1"/>
      <c r="F400" s="1"/>
      <c r="G400" s="1"/>
      <c r="H400" s="341"/>
      <c r="I400" s="358"/>
      <c r="J400" s="79"/>
      <c r="K400" s="1"/>
      <c r="L400" s="343"/>
      <c r="M400" s="344"/>
      <c r="N400" s="344"/>
      <c r="O400" s="341"/>
      <c r="P400" s="341"/>
      <c r="Q400" s="79"/>
      <c r="R400" s="345"/>
      <c r="S400" s="344"/>
      <c r="T400" s="345"/>
      <c r="U400" s="344"/>
      <c r="V400" s="346"/>
      <c r="W400" s="347"/>
      <c r="X400" s="359"/>
      <c r="Y400" s="349"/>
      <c r="Z400" s="349"/>
      <c r="AB400" s="79"/>
      <c r="AC400" s="79"/>
      <c r="AD400" s="79"/>
      <c r="AE400" s="79"/>
      <c r="AF400" s="79"/>
      <c r="AG400" s="79"/>
      <c r="AH400" s="79"/>
      <c r="AI400" s="79"/>
    </row>
    <row r="401">
      <c r="A401" s="9"/>
      <c r="C401" s="350"/>
      <c r="D401" s="93"/>
      <c r="E401" s="1"/>
      <c r="F401" s="1"/>
      <c r="G401" s="1"/>
      <c r="H401" s="341"/>
      <c r="I401" s="358"/>
      <c r="J401" s="79"/>
      <c r="K401" s="1"/>
      <c r="L401" s="343"/>
      <c r="M401" s="344"/>
      <c r="N401" s="344"/>
      <c r="O401" s="341"/>
      <c r="P401" s="341"/>
      <c r="Q401" s="79"/>
      <c r="R401" s="345"/>
      <c r="S401" s="344"/>
      <c r="T401" s="345"/>
      <c r="U401" s="344"/>
      <c r="V401" s="346"/>
      <c r="W401" s="347"/>
      <c r="X401" s="359"/>
      <c r="Y401" s="349"/>
      <c r="Z401" s="349"/>
      <c r="AB401" s="79"/>
      <c r="AC401" s="79"/>
      <c r="AD401" s="79"/>
      <c r="AE401" s="79"/>
      <c r="AF401" s="79"/>
      <c r="AG401" s="79"/>
      <c r="AH401" s="79"/>
      <c r="AI401" s="79"/>
    </row>
    <row r="402">
      <c r="A402" s="9"/>
      <c r="C402" s="350"/>
      <c r="D402" s="93"/>
      <c r="E402" s="1"/>
      <c r="F402" s="1"/>
      <c r="G402" s="1"/>
      <c r="H402" s="341"/>
      <c r="I402" s="358"/>
      <c r="J402" s="79"/>
      <c r="K402" s="1"/>
      <c r="L402" s="343"/>
      <c r="M402" s="344"/>
      <c r="N402" s="344"/>
      <c r="O402" s="341"/>
      <c r="P402" s="341"/>
      <c r="Q402" s="79"/>
      <c r="R402" s="345"/>
      <c r="S402" s="344"/>
      <c r="T402" s="345"/>
      <c r="U402" s="344"/>
      <c r="V402" s="346"/>
      <c r="W402" s="347"/>
      <c r="X402" s="359"/>
      <c r="Y402" s="349"/>
      <c r="Z402" s="349"/>
      <c r="AB402" s="79"/>
      <c r="AC402" s="79"/>
      <c r="AD402" s="79"/>
      <c r="AE402" s="79"/>
      <c r="AF402" s="79"/>
      <c r="AG402" s="79"/>
      <c r="AH402" s="79"/>
      <c r="AI402" s="79"/>
    </row>
    <row r="403">
      <c r="A403" s="9"/>
      <c r="C403" s="350"/>
      <c r="D403" s="93"/>
      <c r="E403" s="1"/>
      <c r="F403" s="1"/>
      <c r="G403" s="1"/>
      <c r="H403" s="341"/>
      <c r="I403" s="358"/>
      <c r="J403" s="79"/>
      <c r="K403" s="1"/>
      <c r="L403" s="343"/>
      <c r="M403" s="344"/>
      <c r="N403" s="344"/>
      <c r="O403" s="341"/>
      <c r="P403" s="341"/>
      <c r="Q403" s="79"/>
      <c r="R403" s="345"/>
      <c r="S403" s="344"/>
      <c r="T403" s="345"/>
      <c r="U403" s="344"/>
      <c r="V403" s="346"/>
      <c r="W403" s="347"/>
      <c r="X403" s="359"/>
      <c r="Y403" s="349"/>
      <c r="Z403" s="349"/>
      <c r="AB403" s="79"/>
      <c r="AC403" s="79"/>
      <c r="AD403" s="79"/>
      <c r="AE403" s="79"/>
      <c r="AF403" s="79"/>
      <c r="AG403" s="79"/>
      <c r="AH403" s="79"/>
      <c r="AI403" s="79"/>
    </row>
    <row r="404">
      <c r="A404" s="9"/>
      <c r="C404" s="350"/>
      <c r="D404" s="93"/>
      <c r="E404" s="1"/>
      <c r="F404" s="1"/>
      <c r="G404" s="1"/>
      <c r="H404" s="341"/>
      <c r="I404" s="358"/>
      <c r="J404" s="79"/>
      <c r="K404" s="1"/>
      <c r="L404" s="343"/>
      <c r="M404" s="344"/>
      <c r="N404" s="344"/>
      <c r="O404" s="341"/>
      <c r="P404" s="341"/>
      <c r="Q404" s="79"/>
      <c r="R404" s="345"/>
      <c r="S404" s="344"/>
      <c r="T404" s="345"/>
      <c r="U404" s="344"/>
      <c r="V404" s="346"/>
      <c r="W404" s="347"/>
      <c r="X404" s="359"/>
      <c r="Y404" s="349"/>
      <c r="Z404" s="349"/>
      <c r="AB404" s="79"/>
      <c r="AC404" s="79"/>
      <c r="AD404" s="79"/>
      <c r="AE404" s="79"/>
      <c r="AF404" s="79"/>
      <c r="AG404" s="79"/>
      <c r="AH404" s="79"/>
      <c r="AI404" s="79"/>
    </row>
    <row r="405">
      <c r="A405" s="9"/>
      <c r="C405" s="350"/>
      <c r="D405" s="93"/>
      <c r="E405" s="1"/>
      <c r="F405" s="1"/>
      <c r="G405" s="1"/>
      <c r="H405" s="341"/>
      <c r="I405" s="358"/>
      <c r="J405" s="79"/>
      <c r="K405" s="1"/>
      <c r="L405" s="343"/>
      <c r="M405" s="344"/>
      <c r="N405" s="344"/>
      <c r="O405" s="341"/>
      <c r="P405" s="341"/>
      <c r="Q405" s="79"/>
      <c r="R405" s="345"/>
      <c r="S405" s="344"/>
      <c r="T405" s="345"/>
      <c r="U405" s="344"/>
      <c r="V405" s="346"/>
      <c r="W405" s="347"/>
      <c r="X405" s="359"/>
      <c r="Y405" s="349"/>
      <c r="Z405" s="349"/>
      <c r="AB405" s="79"/>
      <c r="AC405" s="79"/>
      <c r="AD405" s="79"/>
      <c r="AE405" s="79"/>
      <c r="AF405" s="79"/>
      <c r="AG405" s="79"/>
      <c r="AH405" s="79"/>
      <c r="AI405" s="79"/>
    </row>
    <row r="406">
      <c r="A406" s="9"/>
      <c r="C406" s="350"/>
      <c r="D406" s="93"/>
      <c r="E406" s="1"/>
      <c r="F406" s="1"/>
      <c r="G406" s="1"/>
      <c r="H406" s="341"/>
      <c r="I406" s="358"/>
      <c r="J406" s="79"/>
      <c r="K406" s="1"/>
      <c r="L406" s="343"/>
      <c r="M406" s="344"/>
      <c r="N406" s="344"/>
      <c r="O406" s="341"/>
      <c r="P406" s="341"/>
      <c r="Q406" s="79"/>
      <c r="R406" s="345"/>
      <c r="S406" s="344"/>
      <c r="T406" s="345"/>
      <c r="U406" s="344"/>
      <c r="V406" s="346"/>
      <c r="W406" s="347"/>
      <c r="X406" s="359"/>
      <c r="Y406" s="349"/>
      <c r="Z406" s="349"/>
      <c r="AB406" s="79"/>
      <c r="AC406" s="79"/>
      <c r="AD406" s="79"/>
      <c r="AE406" s="79"/>
      <c r="AF406" s="79"/>
      <c r="AG406" s="79"/>
      <c r="AH406" s="79"/>
      <c r="AI406" s="79"/>
    </row>
    <row r="407">
      <c r="A407" s="9"/>
      <c r="C407" s="350"/>
      <c r="D407" s="93"/>
      <c r="E407" s="1"/>
      <c r="F407" s="1"/>
      <c r="G407" s="1"/>
      <c r="H407" s="341"/>
      <c r="I407" s="358"/>
      <c r="J407" s="79"/>
      <c r="K407" s="1"/>
      <c r="L407" s="343"/>
      <c r="M407" s="344"/>
      <c r="N407" s="344"/>
      <c r="O407" s="341"/>
      <c r="P407" s="341"/>
      <c r="Q407" s="79"/>
      <c r="R407" s="345"/>
      <c r="S407" s="344"/>
      <c r="T407" s="345"/>
      <c r="U407" s="344"/>
      <c r="V407" s="346"/>
      <c r="W407" s="347"/>
      <c r="X407" s="359"/>
      <c r="Y407" s="349"/>
      <c r="Z407" s="349"/>
      <c r="AB407" s="79"/>
      <c r="AC407" s="79"/>
      <c r="AD407" s="79"/>
      <c r="AE407" s="79"/>
      <c r="AF407" s="79"/>
      <c r="AG407" s="79"/>
      <c r="AH407" s="79"/>
      <c r="AI407" s="79"/>
    </row>
    <row r="408">
      <c r="A408" s="9"/>
      <c r="C408" s="350"/>
      <c r="D408" s="93"/>
      <c r="E408" s="1"/>
      <c r="F408" s="1"/>
      <c r="G408" s="1"/>
      <c r="H408" s="341"/>
      <c r="I408" s="358"/>
      <c r="J408" s="79"/>
      <c r="K408" s="1"/>
      <c r="L408" s="343"/>
      <c r="M408" s="344"/>
      <c r="N408" s="344"/>
      <c r="O408" s="341"/>
      <c r="P408" s="341"/>
      <c r="Q408" s="79"/>
      <c r="R408" s="345"/>
      <c r="S408" s="344"/>
      <c r="T408" s="345"/>
      <c r="U408" s="344"/>
      <c r="V408" s="346"/>
      <c r="W408" s="347"/>
      <c r="X408" s="359"/>
      <c r="Y408" s="349"/>
      <c r="Z408" s="349"/>
      <c r="AB408" s="79"/>
      <c r="AC408" s="79"/>
      <c r="AD408" s="79"/>
      <c r="AE408" s="79"/>
      <c r="AF408" s="79"/>
      <c r="AG408" s="79"/>
      <c r="AH408" s="79"/>
      <c r="AI408" s="79"/>
    </row>
    <row r="409">
      <c r="A409" s="9"/>
      <c r="C409" s="350"/>
      <c r="D409" s="93"/>
      <c r="E409" s="1"/>
      <c r="F409" s="1"/>
      <c r="G409" s="1"/>
      <c r="H409" s="341"/>
      <c r="I409" s="358"/>
      <c r="J409" s="79"/>
      <c r="K409" s="1"/>
      <c r="L409" s="343"/>
      <c r="M409" s="344"/>
      <c r="N409" s="344"/>
      <c r="O409" s="341"/>
      <c r="P409" s="341"/>
      <c r="Q409" s="79"/>
      <c r="R409" s="345"/>
      <c r="S409" s="344"/>
      <c r="T409" s="345"/>
      <c r="U409" s="344"/>
      <c r="V409" s="346"/>
      <c r="W409" s="347"/>
      <c r="X409" s="359"/>
      <c r="Y409" s="349"/>
      <c r="Z409" s="349"/>
      <c r="AB409" s="79"/>
      <c r="AC409" s="79"/>
      <c r="AD409" s="79"/>
      <c r="AE409" s="79"/>
      <c r="AF409" s="79"/>
      <c r="AG409" s="79"/>
      <c r="AH409" s="79"/>
      <c r="AI409" s="79"/>
    </row>
    <row r="410">
      <c r="A410" s="9"/>
      <c r="C410" s="350"/>
      <c r="D410" s="93"/>
      <c r="E410" s="1"/>
      <c r="F410" s="1"/>
      <c r="G410" s="1"/>
      <c r="H410" s="341"/>
      <c r="I410" s="358"/>
      <c r="J410" s="79"/>
      <c r="K410" s="1"/>
      <c r="L410" s="343"/>
      <c r="M410" s="344"/>
      <c r="N410" s="344"/>
      <c r="O410" s="341"/>
      <c r="P410" s="341"/>
      <c r="Q410" s="79"/>
      <c r="R410" s="345"/>
      <c r="S410" s="344"/>
      <c r="T410" s="345"/>
      <c r="U410" s="344"/>
      <c r="V410" s="346"/>
      <c r="W410" s="347"/>
      <c r="X410" s="359"/>
      <c r="Y410" s="349"/>
      <c r="Z410" s="349"/>
      <c r="AB410" s="79"/>
      <c r="AC410" s="79"/>
      <c r="AD410" s="79"/>
      <c r="AE410" s="79"/>
      <c r="AF410" s="79"/>
      <c r="AG410" s="79"/>
      <c r="AH410" s="79"/>
      <c r="AI410" s="79"/>
    </row>
    <row r="411">
      <c r="A411" s="9"/>
      <c r="C411" s="350"/>
      <c r="D411" s="93"/>
      <c r="E411" s="1"/>
      <c r="F411" s="1"/>
      <c r="G411" s="1"/>
      <c r="H411" s="341"/>
      <c r="I411" s="358"/>
      <c r="J411" s="79"/>
      <c r="K411" s="1"/>
      <c r="L411" s="343"/>
      <c r="M411" s="344"/>
      <c r="N411" s="344"/>
      <c r="O411" s="341"/>
      <c r="P411" s="341"/>
      <c r="Q411" s="79"/>
      <c r="R411" s="345"/>
      <c r="S411" s="344"/>
      <c r="T411" s="345"/>
      <c r="U411" s="344"/>
      <c r="V411" s="346"/>
      <c r="W411" s="347"/>
      <c r="X411" s="359"/>
      <c r="Y411" s="349"/>
      <c r="Z411" s="349"/>
      <c r="AB411" s="79"/>
      <c r="AC411" s="79"/>
      <c r="AD411" s="79"/>
      <c r="AE411" s="79"/>
      <c r="AF411" s="79"/>
      <c r="AG411" s="79"/>
      <c r="AH411" s="79"/>
      <c r="AI411" s="79"/>
    </row>
    <row r="412">
      <c r="A412" s="9"/>
      <c r="C412" s="350"/>
      <c r="D412" s="93"/>
      <c r="E412" s="1"/>
      <c r="F412" s="1"/>
      <c r="G412" s="1"/>
      <c r="H412" s="341"/>
      <c r="I412" s="358"/>
      <c r="J412" s="79"/>
      <c r="K412" s="1"/>
      <c r="L412" s="343"/>
      <c r="M412" s="344"/>
      <c r="N412" s="344"/>
      <c r="O412" s="341"/>
      <c r="P412" s="341"/>
      <c r="Q412" s="79"/>
      <c r="R412" s="345"/>
      <c r="S412" s="344"/>
      <c r="T412" s="345"/>
      <c r="U412" s="344"/>
      <c r="V412" s="346"/>
      <c r="W412" s="347"/>
      <c r="X412" s="359"/>
      <c r="Y412" s="349"/>
      <c r="Z412" s="349"/>
      <c r="AB412" s="79"/>
      <c r="AC412" s="79"/>
      <c r="AD412" s="79"/>
      <c r="AE412" s="79"/>
      <c r="AF412" s="79"/>
      <c r="AG412" s="79"/>
      <c r="AH412" s="79"/>
      <c r="AI412" s="79"/>
    </row>
    <row r="413">
      <c r="A413" s="9"/>
      <c r="C413" s="350"/>
      <c r="D413" s="93"/>
      <c r="E413" s="1"/>
      <c r="F413" s="1"/>
      <c r="G413" s="1"/>
      <c r="H413" s="341"/>
      <c r="I413" s="358"/>
      <c r="J413" s="79"/>
      <c r="K413" s="1"/>
      <c r="L413" s="343"/>
      <c r="M413" s="344"/>
      <c r="N413" s="344"/>
      <c r="O413" s="341"/>
      <c r="P413" s="341"/>
      <c r="Q413" s="79"/>
      <c r="R413" s="345"/>
      <c r="S413" s="344"/>
      <c r="T413" s="345"/>
      <c r="U413" s="344"/>
      <c r="V413" s="346"/>
      <c r="W413" s="347"/>
      <c r="X413" s="359"/>
      <c r="Y413" s="349"/>
      <c r="Z413" s="349"/>
      <c r="AB413" s="79"/>
      <c r="AC413" s="79"/>
      <c r="AD413" s="79"/>
      <c r="AE413" s="79"/>
      <c r="AF413" s="79"/>
      <c r="AG413" s="79"/>
      <c r="AH413" s="79"/>
      <c r="AI413" s="79"/>
    </row>
    <row r="414">
      <c r="A414" s="9"/>
      <c r="C414" s="350"/>
      <c r="D414" s="93"/>
      <c r="E414" s="1"/>
      <c r="F414" s="1"/>
      <c r="G414" s="1"/>
      <c r="H414" s="341"/>
      <c r="I414" s="358"/>
      <c r="J414" s="79"/>
      <c r="K414" s="1"/>
      <c r="L414" s="343"/>
      <c r="M414" s="344"/>
      <c r="N414" s="344"/>
      <c r="O414" s="341"/>
      <c r="P414" s="341"/>
      <c r="Q414" s="79"/>
      <c r="R414" s="345"/>
      <c r="S414" s="344"/>
      <c r="T414" s="345"/>
      <c r="U414" s="344"/>
      <c r="V414" s="346"/>
      <c r="W414" s="347"/>
      <c r="X414" s="359"/>
      <c r="Y414" s="349"/>
      <c r="Z414" s="349"/>
      <c r="AB414" s="79"/>
      <c r="AC414" s="79"/>
      <c r="AD414" s="79"/>
      <c r="AE414" s="79"/>
      <c r="AF414" s="79"/>
      <c r="AG414" s="79"/>
      <c r="AH414" s="79"/>
      <c r="AI414" s="79"/>
    </row>
    <row r="415">
      <c r="A415" s="9"/>
      <c r="C415" s="350"/>
      <c r="D415" s="93"/>
      <c r="E415" s="1"/>
      <c r="F415" s="1"/>
      <c r="G415" s="1"/>
      <c r="H415" s="341"/>
      <c r="I415" s="358"/>
      <c r="J415" s="79"/>
      <c r="K415" s="1"/>
      <c r="L415" s="343"/>
      <c r="M415" s="344"/>
      <c r="N415" s="344"/>
      <c r="O415" s="341"/>
      <c r="P415" s="341"/>
      <c r="Q415" s="79"/>
      <c r="R415" s="345"/>
      <c r="S415" s="344"/>
      <c r="T415" s="345"/>
      <c r="U415" s="344"/>
      <c r="V415" s="346"/>
      <c r="W415" s="347"/>
      <c r="X415" s="359"/>
      <c r="Y415" s="349"/>
      <c r="Z415" s="349"/>
      <c r="AB415" s="79"/>
      <c r="AC415" s="79"/>
      <c r="AD415" s="79"/>
      <c r="AE415" s="79"/>
      <c r="AF415" s="79"/>
      <c r="AG415" s="79"/>
      <c r="AH415" s="79"/>
      <c r="AI415" s="79"/>
    </row>
    <row r="416">
      <c r="A416" s="9"/>
      <c r="C416" s="350"/>
      <c r="D416" s="93"/>
      <c r="E416" s="1"/>
      <c r="F416" s="1"/>
      <c r="G416" s="1"/>
      <c r="H416" s="341"/>
      <c r="I416" s="358"/>
      <c r="J416" s="79"/>
      <c r="K416" s="1"/>
      <c r="L416" s="343"/>
      <c r="M416" s="344"/>
      <c r="N416" s="344"/>
      <c r="O416" s="341"/>
      <c r="P416" s="341"/>
      <c r="Q416" s="79"/>
      <c r="R416" s="345"/>
      <c r="S416" s="344"/>
      <c r="T416" s="345"/>
      <c r="U416" s="344"/>
      <c r="V416" s="346"/>
      <c r="W416" s="347"/>
      <c r="X416" s="359"/>
      <c r="Y416" s="349"/>
      <c r="Z416" s="349"/>
      <c r="AB416" s="79"/>
      <c r="AC416" s="79"/>
      <c r="AD416" s="79"/>
      <c r="AE416" s="79"/>
      <c r="AF416" s="79"/>
      <c r="AG416" s="79"/>
      <c r="AH416" s="79"/>
      <c r="AI416" s="79"/>
    </row>
    <row r="417">
      <c r="A417" s="9"/>
      <c r="C417" s="350"/>
      <c r="D417" s="93"/>
      <c r="E417" s="1"/>
      <c r="F417" s="1"/>
      <c r="G417" s="1"/>
      <c r="H417" s="341"/>
      <c r="I417" s="358"/>
      <c r="J417" s="79"/>
      <c r="K417" s="1"/>
      <c r="L417" s="343"/>
      <c r="M417" s="344"/>
      <c r="N417" s="344"/>
      <c r="O417" s="341"/>
      <c r="P417" s="341"/>
      <c r="Q417" s="79"/>
      <c r="R417" s="345"/>
      <c r="S417" s="344"/>
      <c r="T417" s="345"/>
      <c r="U417" s="344"/>
      <c r="V417" s="346"/>
      <c r="W417" s="347"/>
      <c r="X417" s="359"/>
      <c r="Y417" s="349"/>
      <c r="Z417" s="349"/>
      <c r="AB417" s="79"/>
      <c r="AC417" s="79"/>
      <c r="AD417" s="79"/>
      <c r="AE417" s="79"/>
      <c r="AF417" s="79"/>
      <c r="AG417" s="79"/>
      <c r="AH417" s="79"/>
      <c r="AI417" s="79"/>
    </row>
    <row r="418">
      <c r="A418" s="9"/>
      <c r="C418" s="350"/>
      <c r="D418" s="93"/>
      <c r="E418" s="1"/>
      <c r="F418" s="1"/>
      <c r="G418" s="1"/>
      <c r="H418" s="341"/>
      <c r="I418" s="358"/>
      <c r="J418" s="79"/>
      <c r="K418" s="1"/>
      <c r="L418" s="343"/>
      <c r="M418" s="344"/>
      <c r="N418" s="344"/>
      <c r="O418" s="341"/>
      <c r="P418" s="341"/>
      <c r="Q418" s="79"/>
      <c r="R418" s="345"/>
      <c r="S418" s="344"/>
      <c r="T418" s="345"/>
      <c r="U418" s="344"/>
      <c r="V418" s="346"/>
      <c r="W418" s="347"/>
      <c r="X418" s="359"/>
      <c r="Y418" s="349"/>
      <c r="Z418" s="349"/>
      <c r="AB418" s="79"/>
      <c r="AC418" s="79"/>
      <c r="AD418" s="79"/>
      <c r="AE418" s="79"/>
      <c r="AF418" s="79"/>
      <c r="AG418" s="79"/>
      <c r="AH418" s="79"/>
      <c r="AI418" s="79"/>
    </row>
    <row r="419">
      <c r="A419" s="9"/>
      <c r="C419" s="350"/>
      <c r="D419" s="93"/>
      <c r="E419" s="1"/>
      <c r="F419" s="1"/>
      <c r="G419" s="1"/>
      <c r="H419" s="341"/>
      <c r="I419" s="358"/>
      <c r="J419" s="79"/>
      <c r="K419" s="1"/>
      <c r="L419" s="343"/>
      <c r="M419" s="344"/>
      <c r="N419" s="344"/>
      <c r="O419" s="341"/>
      <c r="P419" s="341"/>
      <c r="Q419" s="79"/>
      <c r="R419" s="345"/>
      <c r="S419" s="344"/>
      <c r="T419" s="345"/>
      <c r="U419" s="344"/>
      <c r="V419" s="346"/>
      <c r="W419" s="347"/>
      <c r="X419" s="359"/>
      <c r="Y419" s="349"/>
      <c r="Z419" s="349"/>
      <c r="AB419" s="79"/>
      <c r="AC419" s="79"/>
      <c r="AD419" s="79"/>
      <c r="AE419" s="79"/>
      <c r="AF419" s="79"/>
      <c r="AG419" s="79"/>
      <c r="AH419" s="79"/>
      <c r="AI419" s="79"/>
    </row>
    <row r="420">
      <c r="A420" s="9"/>
      <c r="C420" s="350"/>
      <c r="D420" s="93"/>
      <c r="E420" s="1"/>
      <c r="F420" s="1"/>
      <c r="G420" s="1"/>
      <c r="H420" s="341"/>
      <c r="I420" s="358"/>
      <c r="J420" s="79"/>
      <c r="K420" s="1"/>
      <c r="L420" s="343"/>
      <c r="M420" s="344"/>
      <c r="N420" s="344"/>
      <c r="O420" s="341"/>
      <c r="P420" s="341"/>
      <c r="Q420" s="79"/>
      <c r="R420" s="345"/>
      <c r="S420" s="344"/>
      <c r="T420" s="345"/>
      <c r="U420" s="344"/>
      <c r="V420" s="346"/>
      <c r="W420" s="347"/>
      <c r="X420" s="359"/>
      <c r="Y420" s="349"/>
      <c r="Z420" s="349"/>
      <c r="AB420" s="79"/>
      <c r="AC420" s="79"/>
      <c r="AD420" s="79"/>
      <c r="AE420" s="79"/>
      <c r="AF420" s="79"/>
      <c r="AG420" s="79"/>
      <c r="AH420" s="79"/>
      <c r="AI420" s="79"/>
    </row>
    <row r="421">
      <c r="A421" s="9"/>
      <c r="C421" s="350"/>
      <c r="D421" s="93"/>
      <c r="E421" s="1"/>
      <c r="F421" s="1"/>
      <c r="G421" s="1"/>
      <c r="H421" s="341"/>
      <c r="I421" s="358"/>
      <c r="J421" s="79"/>
      <c r="K421" s="1"/>
      <c r="L421" s="343"/>
      <c r="M421" s="344"/>
      <c r="N421" s="344"/>
      <c r="O421" s="341"/>
      <c r="P421" s="341"/>
      <c r="Q421" s="79"/>
      <c r="R421" s="345"/>
      <c r="S421" s="344"/>
      <c r="T421" s="345"/>
      <c r="U421" s="344"/>
      <c r="V421" s="346"/>
      <c r="W421" s="347"/>
      <c r="X421" s="359"/>
      <c r="Y421" s="349"/>
      <c r="Z421" s="349"/>
      <c r="AB421" s="79"/>
      <c r="AC421" s="79"/>
      <c r="AD421" s="79"/>
      <c r="AE421" s="79"/>
      <c r="AF421" s="79"/>
      <c r="AG421" s="79"/>
      <c r="AH421" s="79"/>
      <c r="AI421" s="79"/>
    </row>
    <row r="422">
      <c r="A422" s="9"/>
      <c r="C422" s="350"/>
      <c r="D422" s="93"/>
      <c r="E422" s="1"/>
      <c r="F422" s="1"/>
      <c r="G422" s="1"/>
      <c r="H422" s="341"/>
      <c r="I422" s="358"/>
      <c r="J422" s="79"/>
      <c r="K422" s="1"/>
      <c r="L422" s="343"/>
      <c r="M422" s="344"/>
      <c r="N422" s="344"/>
      <c r="O422" s="341"/>
      <c r="P422" s="341"/>
      <c r="Q422" s="79"/>
      <c r="R422" s="345"/>
      <c r="S422" s="344"/>
      <c r="T422" s="345"/>
      <c r="U422" s="344"/>
      <c r="V422" s="346"/>
      <c r="W422" s="347"/>
      <c r="X422" s="359"/>
      <c r="Y422" s="349"/>
      <c r="Z422" s="349"/>
      <c r="AB422" s="79"/>
      <c r="AC422" s="79"/>
      <c r="AD422" s="79"/>
      <c r="AE422" s="79"/>
      <c r="AF422" s="79"/>
      <c r="AG422" s="79"/>
      <c r="AH422" s="79"/>
      <c r="AI422" s="79"/>
    </row>
    <row r="423">
      <c r="A423" s="9"/>
      <c r="C423" s="350"/>
      <c r="D423" s="93"/>
      <c r="E423" s="1"/>
      <c r="F423" s="1"/>
      <c r="G423" s="1"/>
      <c r="H423" s="341"/>
      <c r="I423" s="358"/>
      <c r="J423" s="79"/>
      <c r="K423" s="1"/>
      <c r="L423" s="343"/>
      <c r="M423" s="344"/>
      <c r="N423" s="344"/>
      <c r="O423" s="341"/>
      <c r="P423" s="341"/>
      <c r="Q423" s="79"/>
      <c r="R423" s="345"/>
      <c r="S423" s="344"/>
      <c r="T423" s="345"/>
      <c r="U423" s="344"/>
      <c r="V423" s="346"/>
      <c r="W423" s="347"/>
      <c r="X423" s="359"/>
      <c r="Y423" s="349"/>
      <c r="Z423" s="349"/>
      <c r="AB423" s="79"/>
      <c r="AC423" s="79"/>
      <c r="AD423" s="79"/>
      <c r="AE423" s="79"/>
      <c r="AF423" s="79"/>
      <c r="AG423" s="79"/>
      <c r="AH423" s="79"/>
      <c r="AI423" s="79"/>
    </row>
    <row r="424">
      <c r="A424" s="9"/>
      <c r="C424" s="350"/>
      <c r="D424" s="93"/>
      <c r="E424" s="1"/>
      <c r="F424" s="1"/>
      <c r="G424" s="1"/>
      <c r="H424" s="341"/>
      <c r="I424" s="358"/>
      <c r="J424" s="79"/>
      <c r="K424" s="1"/>
      <c r="L424" s="343"/>
      <c r="M424" s="344"/>
      <c r="N424" s="344"/>
      <c r="O424" s="341"/>
      <c r="P424" s="341"/>
      <c r="Q424" s="79"/>
      <c r="R424" s="345"/>
      <c r="S424" s="344"/>
      <c r="T424" s="345"/>
      <c r="U424" s="344"/>
      <c r="V424" s="346"/>
      <c r="W424" s="347"/>
      <c r="X424" s="359"/>
      <c r="Y424" s="349"/>
      <c r="Z424" s="349"/>
      <c r="AB424" s="79"/>
      <c r="AC424" s="79"/>
      <c r="AD424" s="79"/>
      <c r="AE424" s="79"/>
      <c r="AF424" s="79"/>
      <c r="AG424" s="79"/>
      <c r="AH424" s="79"/>
      <c r="AI424" s="79"/>
    </row>
    <row r="425">
      <c r="A425" s="9"/>
      <c r="C425" s="350"/>
      <c r="D425" s="93"/>
      <c r="E425" s="1"/>
      <c r="F425" s="1"/>
      <c r="G425" s="1"/>
      <c r="H425" s="341"/>
      <c r="I425" s="358"/>
      <c r="J425" s="79"/>
      <c r="K425" s="1"/>
      <c r="L425" s="343"/>
      <c r="M425" s="344"/>
      <c r="N425" s="344"/>
      <c r="O425" s="341"/>
      <c r="P425" s="341"/>
      <c r="Q425" s="79"/>
      <c r="R425" s="345"/>
      <c r="S425" s="344"/>
      <c r="T425" s="345"/>
      <c r="U425" s="344"/>
      <c r="V425" s="346"/>
      <c r="W425" s="347"/>
      <c r="X425" s="359"/>
      <c r="Y425" s="349"/>
      <c r="Z425" s="349"/>
      <c r="AB425" s="79"/>
      <c r="AC425" s="79"/>
      <c r="AD425" s="79"/>
      <c r="AE425" s="79"/>
      <c r="AF425" s="79"/>
      <c r="AG425" s="79"/>
      <c r="AH425" s="79"/>
      <c r="AI425" s="79"/>
    </row>
    <row r="426">
      <c r="A426" s="9"/>
      <c r="C426" s="350"/>
      <c r="D426" s="93"/>
      <c r="E426" s="1"/>
      <c r="F426" s="1"/>
      <c r="G426" s="1"/>
      <c r="H426" s="341"/>
      <c r="I426" s="358"/>
      <c r="J426" s="79"/>
      <c r="K426" s="1"/>
      <c r="L426" s="343"/>
      <c r="M426" s="344"/>
      <c r="N426" s="344"/>
      <c r="O426" s="341"/>
      <c r="P426" s="341"/>
      <c r="Q426" s="79"/>
      <c r="R426" s="345"/>
      <c r="S426" s="344"/>
      <c r="T426" s="345"/>
      <c r="U426" s="344"/>
      <c r="V426" s="346"/>
      <c r="W426" s="347"/>
      <c r="X426" s="359"/>
      <c r="Y426" s="349"/>
      <c r="Z426" s="349"/>
      <c r="AB426" s="79"/>
      <c r="AC426" s="79"/>
      <c r="AD426" s="79"/>
      <c r="AE426" s="79"/>
      <c r="AF426" s="79"/>
      <c r="AG426" s="79"/>
      <c r="AH426" s="79"/>
      <c r="AI426" s="79"/>
    </row>
    <row r="427">
      <c r="A427" s="9"/>
      <c r="C427" s="350"/>
      <c r="D427" s="93"/>
      <c r="E427" s="1"/>
      <c r="F427" s="1"/>
      <c r="G427" s="1"/>
      <c r="H427" s="341"/>
      <c r="I427" s="358"/>
      <c r="J427" s="79"/>
      <c r="K427" s="1"/>
      <c r="L427" s="343"/>
      <c r="M427" s="344"/>
      <c r="N427" s="344"/>
      <c r="O427" s="341"/>
      <c r="P427" s="341"/>
      <c r="Q427" s="79"/>
      <c r="R427" s="345"/>
      <c r="S427" s="344"/>
      <c r="T427" s="345"/>
      <c r="U427" s="344"/>
      <c r="V427" s="346"/>
      <c r="W427" s="347"/>
      <c r="X427" s="359"/>
      <c r="Y427" s="349"/>
      <c r="Z427" s="349"/>
      <c r="AB427" s="79"/>
      <c r="AC427" s="79"/>
      <c r="AD427" s="79"/>
      <c r="AE427" s="79"/>
      <c r="AF427" s="79"/>
      <c r="AG427" s="79"/>
      <c r="AH427" s="79"/>
      <c r="AI427" s="79"/>
    </row>
    <row r="428">
      <c r="A428" s="9"/>
      <c r="C428" s="350"/>
      <c r="D428" s="93"/>
      <c r="E428" s="1"/>
      <c r="F428" s="1"/>
      <c r="G428" s="1"/>
      <c r="H428" s="341"/>
      <c r="I428" s="358"/>
      <c r="J428" s="79"/>
      <c r="K428" s="1"/>
      <c r="L428" s="343"/>
      <c r="M428" s="344"/>
      <c r="N428" s="344"/>
      <c r="O428" s="341"/>
      <c r="P428" s="341"/>
      <c r="Q428" s="79"/>
      <c r="R428" s="345"/>
      <c r="S428" s="344"/>
      <c r="T428" s="345"/>
      <c r="U428" s="344"/>
      <c r="V428" s="346"/>
      <c r="W428" s="347"/>
      <c r="X428" s="359"/>
      <c r="Y428" s="349"/>
      <c r="Z428" s="349"/>
      <c r="AB428" s="79"/>
      <c r="AC428" s="79"/>
      <c r="AD428" s="79"/>
      <c r="AE428" s="79"/>
      <c r="AF428" s="79"/>
      <c r="AG428" s="79"/>
      <c r="AH428" s="79"/>
      <c r="AI428" s="79"/>
    </row>
    <row r="429">
      <c r="A429" s="9"/>
      <c r="C429" s="350"/>
      <c r="D429" s="93"/>
      <c r="E429" s="1"/>
      <c r="F429" s="1"/>
      <c r="G429" s="1"/>
      <c r="H429" s="341"/>
      <c r="I429" s="358"/>
      <c r="J429" s="79"/>
      <c r="K429" s="1"/>
      <c r="L429" s="343"/>
      <c r="M429" s="344"/>
      <c r="N429" s="344"/>
      <c r="O429" s="341"/>
      <c r="P429" s="341"/>
      <c r="Q429" s="79"/>
      <c r="R429" s="345"/>
      <c r="S429" s="344"/>
      <c r="T429" s="345"/>
      <c r="U429" s="344"/>
      <c r="V429" s="346"/>
      <c r="W429" s="347"/>
      <c r="X429" s="359"/>
      <c r="Y429" s="349"/>
      <c r="Z429" s="349"/>
      <c r="AB429" s="79"/>
      <c r="AC429" s="79"/>
      <c r="AD429" s="79"/>
      <c r="AE429" s="79"/>
      <c r="AF429" s="79"/>
      <c r="AG429" s="79"/>
      <c r="AH429" s="79"/>
      <c r="AI429" s="79"/>
    </row>
    <row r="430">
      <c r="A430" s="9"/>
      <c r="C430" s="350"/>
      <c r="D430" s="93"/>
      <c r="E430" s="1"/>
      <c r="F430" s="1"/>
      <c r="G430" s="1"/>
      <c r="H430" s="341"/>
      <c r="I430" s="358"/>
      <c r="J430" s="79"/>
      <c r="K430" s="1"/>
      <c r="L430" s="343"/>
      <c r="M430" s="344"/>
      <c r="N430" s="344"/>
      <c r="O430" s="341"/>
      <c r="P430" s="341"/>
      <c r="Q430" s="79"/>
      <c r="R430" s="345"/>
      <c r="S430" s="344"/>
      <c r="T430" s="345"/>
      <c r="U430" s="344"/>
      <c r="V430" s="346"/>
      <c r="W430" s="347"/>
      <c r="X430" s="359"/>
      <c r="Y430" s="349"/>
      <c r="Z430" s="349"/>
      <c r="AB430" s="79"/>
      <c r="AC430" s="79"/>
      <c r="AD430" s="79"/>
      <c r="AE430" s="79"/>
      <c r="AF430" s="79"/>
      <c r="AG430" s="79"/>
      <c r="AH430" s="79"/>
      <c r="AI430" s="79"/>
    </row>
    <row r="431">
      <c r="A431" s="9"/>
      <c r="C431" s="350"/>
      <c r="D431" s="93"/>
      <c r="E431" s="1"/>
      <c r="F431" s="1"/>
      <c r="G431" s="1"/>
      <c r="H431" s="341"/>
      <c r="I431" s="358"/>
      <c r="J431" s="79"/>
      <c r="K431" s="1"/>
      <c r="L431" s="343"/>
      <c r="M431" s="344"/>
      <c r="N431" s="344"/>
      <c r="O431" s="341"/>
      <c r="P431" s="341"/>
      <c r="Q431" s="79"/>
      <c r="R431" s="345"/>
      <c r="S431" s="344"/>
      <c r="T431" s="345"/>
      <c r="U431" s="344"/>
      <c r="V431" s="346"/>
      <c r="W431" s="347"/>
      <c r="X431" s="359"/>
      <c r="Y431" s="349"/>
      <c r="Z431" s="349"/>
      <c r="AB431" s="79"/>
      <c r="AC431" s="79"/>
      <c r="AD431" s="79"/>
      <c r="AE431" s="79"/>
      <c r="AF431" s="79"/>
      <c r="AG431" s="79"/>
      <c r="AH431" s="79"/>
      <c r="AI431" s="79"/>
    </row>
    <row r="432">
      <c r="A432" s="9"/>
      <c r="C432" s="350"/>
      <c r="D432" s="93"/>
      <c r="E432" s="1"/>
      <c r="F432" s="1"/>
      <c r="G432" s="1"/>
      <c r="H432" s="341"/>
      <c r="I432" s="358"/>
      <c r="J432" s="79"/>
      <c r="K432" s="1"/>
      <c r="L432" s="343"/>
      <c r="M432" s="344"/>
      <c r="N432" s="344"/>
      <c r="O432" s="341"/>
      <c r="P432" s="341"/>
      <c r="Q432" s="79"/>
      <c r="R432" s="345"/>
      <c r="S432" s="344"/>
      <c r="T432" s="345"/>
      <c r="U432" s="344"/>
      <c r="V432" s="346"/>
      <c r="W432" s="347"/>
      <c r="X432" s="359"/>
      <c r="Y432" s="349"/>
      <c r="Z432" s="349"/>
      <c r="AB432" s="79"/>
      <c r="AC432" s="79"/>
      <c r="AD432" s="79"/>
      <c r="AE432" s="79"/>
      <c r="AF432" s="79"/>
      <c r="AG432" s="79"/>
      <c r="AH432" s="79"/>
      <c r="AI432" s="79"/>
    </row>
    <row r="433">
      <c r="A433" s="9"/>
      <c r="C433" s="350"/>
      <c r="D433" s="93"/>
      <c r="E433" s="1"/>
      <c r="F433" s="1"/>
      <c r="G433" s="1"/>
      <c r="H433" s="341"/>
      <c r="I433" s="358"/>
      <c r="J433" s="79"/>
      <c r="K433" s="1"/>
      <c r="L433" s="343"/>
      <c r="M433" s="344"/>
      <c r="N433" s="344"/>
      <c r="O433" s="341"/>
      <c r="P433" s="341"/>
      <c r="Q433" s="79"/>
      <c r="R433" s="345"/>
      <c r="S433" s="344"/>
      <c r="T433" s="345"/>
      <c r="U433" s="344"/>
      <c r="V433" s="346"/>
      <c r="W433" s="347"/>
      <c r="X433" s="359"/>
      <c r="Y433" s="349"/>
      <c r="Z433" s="349"/>
      <c r="AB433" s="79"/>
      <c r="AC433" s="79"/>
      <c r="AD433" s="79"/>
      <c r="AE433" s="79"/>
      <c r="AF433" s="79"/>
      <c r="AG433" s="79"/>
      <c r="AH433" s="79"/>
      <c r="AI433" s="79"/>
    </row>
    <row r="434">
      <c r="A434" s="9"/>
      <c r="C434" s="350"/>
      <c r="D434" s="93"/>
      <c r="E434" s="1"/>
      <c r="F434" s="1"/>
      <c r="G434" s="1"/>
      <c r="H434" s="341"/>
      <c r="I434" s="358"/>
      <c r="J434" s="79"/>
      <c r="K434" s="1"/>
      <c r="L434" s="343"/>
      <c r="M434" s="344"/>
      <c r="N434" s="344"/>
      <c r="O434" s="341"/>
      <c r="P434" s="341"/>
      <c r="Q434" s="79"/>
      <c r="R434" s="345"/>
      <c r="S434" s="344"/>
      <c r="T434" s="345"/>
      <c r="U434" s="344"/>
      <c r="V434" s="346"/>
      <c r="W434" s="347"/>
      <c r="X434" s="359"/>
      <c r="Y434" s="349"/>
      <c r="Z434" s="349"/>
      <c r="AB434" s="79"/>
      <c r="AC434" s="79"/>
      <c r="AD434" s="79"/>
      <c r="AE434" s="79"/>
      <c r="AF434" s="79"/>
      <c r="AG434" s="79"/>
      <c r="AH434" s="79"/>
      <c r="AI434" s="79"/>
    </row>
    <row r="435">
      <c r="A435" s="9"/>
      <c r="C435" s="350"/>
      <c r="D435" s="93"/>
      <c r="E435" s="1"/>
      <c r="F435" s="1"/>
      <c r="G435" s="1"/>
      <c r="H435" s="341"/>
      <c r="I435" s="358"/>
      <c r="J435" s="79"/>
      <c r="K435" s="1"/>
      <c r="L435" s="343"/>
      <c r="M435" s="344"/>
      <c r="N435" s="344"/>
      <c r="O435" s="341"/>
      <c r="P435" s="341"/>
      <c r="Q435" s="79"/>
      <c r="R435" s="345"/>
      <c r="S435" s="344"/>
      <c r="T435" s="345"/>
      <c r="U435" s="344"/>
      <c r="V435" s="346"/>
      <c r="W435" s="347"/>
      <c r="X435" s="359"/>
      <c r="Y435" s="349"/>
      <c r="Z435" s="349"/>
      <c r="AB435" s="79"/>
      <c r="AC435" s="79"/>
      <c r="AD435" s="79"/>
      <c r="AE435" s="79"/>
      <c r="AF435" s="79"/>
      <c r="AG435" s="79"/>
      <c r="AH435" s="79"/>
      <c r="AI435" s="79"/>
    </row>
    <row r="436">
      <c r="A436" s="9"/>
      <c r="C436" s="350"/>
      <c r="D436" s="93"/>
      <c r="E436" s="1"/>
      <c r="F436" s="1"/>
      <c r="G436" s="1"/>
      <c r="H436" s="341"/>
      <c r="I436" s="358"/>
      <c r="J436" s="79"/>
      <c r="K436" s="1"/>
      <c r="L436" s="343"/>
      <c r="M436" s="344"/>
      <c r="N436" s="344"/>
      <c r="O436" s="341"/>
      <c r="P436" s="341"/>
      <c r="Q436" s="79"/>
      <c r="R436" s="345"/>
      <c r="S436" s="344"/>
      <c r="T436" s="345"/>
      <c r="U436" s="344"/>
      <c r="V436" s="346"/>
      <c r="W436" s="347"/>
      <c r="X436" s="359"/>
      <c r="Y436" s="349"/>
      <c r="Z436" s="349"/>
      <c r="AB436" s="79"/>
      <c r="AC436" s="79"/>
      <c r="AD436" s="79"/>
      <c r="AE436" s="79"/>
      <c r="AF436" s="79"/>
      <c r="AG436" s="79"/>
      <c r="AH436" s="79"/>
      <c r="AI436" s="79"/>
    </row>
    <row r="437">
      <c r="A437" s="9"/>
      <c r="C437" s="350"/>
      <c r="D437" s="93"/>
      <c r="E437" s="1"/>
      <c r="F437" s="1"/>
      <c r="G437" s="1"/>
      <c r="H437" s="341"/>
      <c r="I437" s="358"/>
      <c r="J437" s="79"/>
      <c r="K437" s="1"/>
      <c r="L437" s="343"/>
      <c r="M437" s="344"/>
      <c r="N437" s="344"/>
      <c r="O437" s="341"/>
      <c r="P437" s="341"/>
      <c r="Q437" s="79"/>
      <c r="R437" s="345"/>
      <c r="S437" s="344"/>
      <c r="T437" s="345"/>
      <c r="U437" s="344"/>
      <c r="V437" s="346"/>
      <c r="W437" s="347"/>
      <c r="X437" s="359"/>
      <c r="Y437" s="349"/>
      <c r="Z437" s="349"/>
      <c r="AB437" s="79"/>
      <c r="AC437" s="79"/>
      <c r="AD437" s="79"/>
      <c r="AE437" s="79"/>
      <c r="AF437" s="79"/>
      <c r="AG437" s="79"/>
      <c r="AH437" s="79"/>
      <c r="AI437" s="79"/>
    </row>
    <row r="438">
      <c r="A438" s="9"/>
      <c r="C438" s="350"/>
      <c r="D438" s="93"/>
      <c r="E438" s="1"/>
      <c r="F438" s="1"/>
      <c r="G438" s="1"/>
      <c r="H438" s="341"/>
      <c r="I438" s="358"/>
      <c r="J438" s="79"/>
      <c r="K438" s="1"/>
      <c r="L438" s="343"/>
      <c r="M438" s="344"/>
      <c r="N438" s="344"/>
      <c r="O438" s="341"/>
      <c r="P438" s="341"/>
      <c r="Q438" s="79"/>
      <c r="R438" s="345"/>
      <c r="S438" s="344"/>
      <c r="T438" s="345"/>
      <c r="U438" s="344"/>
      <c r="V438" s="346"/>
      <c r="W438" s="347"/>
      <c r="X438" s="359"/>
      <c r="Y438" s="349"/>
      <c r="Z438" s="349"/>
      <c r="AB438" s="79"/>
      <c r="AC438" s="79"/>
      <c r="AD438" s="79"/>
      <c r="AE438" s="79"/>
      <c r="AF438" s="79"/>
      <c r="AG438" s="79"/>
      <c r="AH438" s="79"/>
      <c r="AI438" s="79"/>
    </row>
    <row r="439">
      <c r="A439" s="9"/>
      <c r="C439" s="350"/>
      <c r="D439" s="93"/>
      <c r="E439" s="1"/>
      <c r="F439" s="1"/>
      <c r="G439" s="1"/>
      <c r="H439" s="341"/>
      <c r="I439" s="358"/>
      <c r="J439" s="79"/>
      <c r="K439" s="1"/>
      <c r="L439" s="343"/>
      <c r="M439" s="344"/>
      <c r="N439" s="344"/>
      <c r="O439" s="341"/>
      <c r="P439" s="341"/>
      <c r="Q439" s="79"/>
      <c r="R439" s="345"/>
      <c r="S439" s="344"/>
      <c r="T439" s="345"/>
      <c r="U439" s="344"/>
      <c r="V439" s="346"/>
      <c r="W439" s="347"/>
      <c r="X439" s="359"/>
      <c r="Y439" s="349"/>
      <c r="Z439" s="349"/>
      <c r="AB439" s="79"/>
      <c r="AC439" s="79"/>
      <c r="AD439" s="79"/>
      <c r="AE439" s="79"/>
      <c r="AF439" s="79"/>
      <c r="AG439" s="79"/>
      <c r="AH439" s="79"/>
      <c r="AI439" s="79"/>
    </row>
    <row r="440">
      <c r="A440" s="9"/>
      <c r="C440" s="350"/>
      <c r="D440" s="93"/>
      <c r="E440" s="1"/>
      <c r="F440" s="1"/>
      <c r="G440" s="1"/>
      <c r="H440" s="341"/>
      <c r="I440" s="358"/>
      <c r="J440" s="79"/>
      <c r="K440" s="1"/>
      <c r="L440" s="343"/>
      <c r="M440" s="344"/>
      <c r="N440" s="344"/>
      <c r="O440" s="341"/>
      <c r="P440" s="341"/>
      <c r="Q440" s="79"/>
      <c r="R440" s="345"/>
      <c r="S440" s="344"/>
      <c r="T440" s="345"/>
      <c r="U440" s="344"/>
      <c r="V440" s="346"/>
      <c r="W440" s="347"/>
      <c r="X440" s="359"/>
      <c r="Y440" s="349"/>
      <c r="Z440" s="349"/>
      <c r="AB440" s="79"/>
      <c r="AC440" s="79"/>
      <c r="AD440" s="79"/>
      <c r="AE440" s="79"/>
      <c r="AF440" s="79"/>
      <c r="AG440" s="79"/>
      <c r="AH440" s="79"/>
      <c r="AI440" s="79"/>
    </row>
    <row r="441">
      <c r="A441" s="9"/>
      <c r="C441" s="350"/>
      <c r="D441" s="93"/>
      <c r="E441" s="1"/>
      <c r="F441" s="1"/>
      <c r="G441" s="1"/>
      <c r="H441" s="341"/>
      <c r="I441" s="358"/>
      <c r="J441" s="79"/>
      <c r="K441" s="1"/>
      <c r="L441" s="343"/>
      <c r="M441" s="344"/>
      <c r="N441" s="344"/>
      <c r="O441" s="341"/>
      <c r="P441" s="341"/>
      <c r="Q441" s="79"/>
      <c r="R441" s="345"/>
      <c r="S441" s="344"/>
      <c r="T441" s="345"/>
      <c r="U441" s="344"/>
      <c r="V441" s="346"/>
      <c r="W441" s="347"/>
      <c r="X441" s="359"/>
      <c r="Y441" s="349"/>
      <c r="Z441" s="349"/>
      <c r="AB441" s="79"/>
      <c r="AC441" s="79"/>
      <c r="AD441" s="79"/>
      <c r="AE441" s="79"/>
      <c r="AF441" s="79"/>
      <c r="AG441" s="79"/>
      <c r="AH441" s="79"/>
      <c r="AI441" s="79"/>
    </row>
    <row r="442">
      <c r="A442" s="9"/>
      <c r="C442" s="350"/>
      <c r="D442" s="93"/>
      <c r="E442" s="1"/>
      <c r="F442" s="1"/>
      <c r="G442" s="1"/>
      <c r="H442" s="341"/>
      <c r="I442" s="358"/>
      <c r="J442" s="79"/>
      <c r="K442" s="1"/>
      <c r="L442" s="343"/>
      <c r="M442" s="344"/>
      <c r="N442" s="344"/>
      <c r="O442" s="341"/>
      <c r="P442" s="341"/>
      <c r="Q442" s="79"/>
      <c r="R442" s="345"/>
      <c r="S442" s="344"/>
      <c r="T442" s="345"/>
      <c r="U442" s="344"/>
      <c r="V442" s="346"/>
      <c r="W442" s="347"/>
      <c r="X442" s="359"/>
      <c r="Y442" s="349"/>
      <c r="Z442" s="349"/>
      <c r="AB442" s="79"/>
      <c r="AC442" s="79"/>
      <c r="AD442" s="79"/>
      <c r="AE442" s="79"/>
      <c r="AF442" s="79"/>
      <c r="AG442" s="79"/>
      <c r="AH442" s="79"/>
      <c r="AI442" s="79"/>
    </row>
    <row r="443">
      <c r="A443" s="9"/>
      <c r="C443" s="350"/>
      <c r="D443" s="93"/>
      <c r="E443" s="1"/>
      <c r="F443" s="1"/>
      <c r="G443" s="1"/>
      <c r="H443" s="341"/>
      <c r="I443" s="358"/>
      <c r="J443" s="79"/>
      <c r="K443" s="1"/>
      <c r="L443" s="343"/>
      <c r="M443" s="344"/>
      <c r="N443" s="344"/>
      <c r="O443" s="341"/>
      <c r="P443" s="341"/>
      <c r="Q443" s="79"/>
      <c r="R443" s="345"/>
      <c r="S443" s="344"/>
      <c r="T443" s="345"/>
      <c r="U443" s="344"/>
      <c r="V443" s="346"/>
      <c r="W443" s="347"/>
      <c r="X443" s="359"/>
      <c r="Y443" s="349"/>
      <c r="Z443" s="349"/>
      <c r="AB443" s="79"/>
      <c r="AC443" s="79"/>
      <c r="AD443" s="79"/>
      <c r="AE443" s="79"/>
      <c r="AF443" s="79"/>
      <c r="AG443" s="79"/>
      <c r="AH443" s="79"/>
      <c r="AI443" s="79"/>
    </row>
    <row r="444">
      <c r="A444" s="9"/>
      <c r="C444" s="350"/>
      <c r="D444" s="93"/>
      <c r="E444" s="1"/>
      <c r="F444" s="1"/>
      <c r="G444" s="1"/>
      <c r="H444" s="341"/>
      <c r="I444" s="358"/>
      <c r="J444" s="79"/>
      <c r="K444" s="1"/>
      <c r="L444" s="343"/>
      <c r="M444" s="344"/>
      <c r="N444" s="344"/>
      <c r="O444" s="341"/>
      <c r="P444" s="341"/>
      <c r="Q444" s="79"/>
      <c r="R444" s="345"/>
      <c r="S444" s="344"/>
      <c r="T444" s="345"/>
      <c r="U444" s="344"/>
      <c r="V444" s="346"/>
      <c r="W444" s="347"/>
      <c r="X444" s="359"/>
      <c r="Y444" s="349"/>
      <c r="Z444" s="349"/>
      <c r="AB444" s="79"/>
      <c r="AC444" s="79"/>
      <c r="AD444" s="79"/>
      <c r="AE444" s="79"/>
      <c r="AF444" s="79"/>
      <c r="AG444" s="79"/>
      <c r="AH444" s="79"/>
      <c r="AI444" s="79"/>
    </row>
    <row r="445">
      <c r="A445" s="9"/>
      <c r="C445" s="350"/>
      <c r="D445" s="93"/>
      <c r="E445" s="1"/>
      <c r="F445" s="1"/>
      <c r="G445" s="1"/>
      <c r="H445" s="341"/>
      <c r="I445" s="358"/>
      <c r="J445" s="79"/>
      <c r="K445" s="1"/>
      <c r="L445" s="343"/>
      <c r="M445" s="344"/>
      <c r="N445" s="344"/>
      <c r="O445" s="341"/>
      <c r="P445" s="341"/>
      <c r="Q445" s="79"/>
      <c r="R445" s="345"/>
      <c r="S445" s="344"/>
      <c r="T445" s="345"/>
      <c r="U445" s="344"/>
      <c r="V445" s="346"/>
      <c r="W445" s="347"/>
      <c r="X445" s="359"/>
      <c r="Y445" s="349"/>
      <c r="Z445" s="349"/>
      <c r="AB445" s="79"/>
      <c r="AC445" s="79"/>
      <c r="AD445" s="79"/>
      <c r="AE445" s="79"/>
      <c r="AF445" s="79"/>
      <c r="AG445" s="79"/>
      <c r="AH445" s="79"/>
      <c r="AI445" s="79"/>
    </row>
    <row r="446">
      <c r="A446" s="9"/>
      <c r="C446" s="350"/>
      <c r="D446" s="93"/>
      <c r="E446" s="1"/>
      <c r="F446" s="1"/>
      <c r="G446" s="1"/>
      <c r="H446" s="341"/>
      <c r="I446" s="358"/>
      <c r="J446" s="79"/>
      <c r="K446" s="1"/>
      <c r="L446" s="343"/>
      <c r="M446" s="344"/>
      <c r="N446" s="344"/>
      <c r="O446" s="341"/>
      <c r="P446" s="341"/>
      <c r="Q446" s="79"/>
      <c r="R446" s="345"/>
      <c r="S446" s="344"/>
      <c r="T446" s="345"/>
      <c r="U446" s="344"/>
      <c r="V446" s="346"/>
      <c r="W446" s="347"/>
      <c r="X446" s="359"/>
      <c r="Y446" s="349"/>
      <c r="Z446" s="349"/>
      <c r="AB446" s="79"/>
      <c r="AC446" s="79"/>
      <c r="AD446" s="79"/>
      <c r="AE446" s="79"/>
      <c r="AF446" s="79"/>
      <c r="AG446" s="79"/>
      <c r="AH446" s="79"/>
      <c r="AI446" s="79"/>
    </row>
    <row r="447">
      <c r="A447" s="9"/>
      <c r="C447" s="350"/>
      <c r="D447" s="93"/>
      <c r="E447" s="1"/>
      <c r="F447" s="1"/>
      <c r="G447" s="1"/>
      <c r="H447" s="341"/>
      <c r="I447" s="358"/>
      <c r="J447" s="79"/>
      <c r="K447" s="1"/>
      <c r="L447" s="343"/>
      <c r="M447" s="344"/>
      <c r="N447" s="344"/>
      <c r="O447" s="341"/>
      <c r="P447" s="341"/>
      <c r="Q447" s="79"/>
      <c r="R447" s="345"/>
      <c r="S447" s="344"/>
      <c r="T447" s="345"/>
      <c r="U447" s="344"/>
      <c r="V447" s="346"/>
      <c r="W447" s="347"/>
      <c r="X447" s="359"/>
      <c r="Y447" s="349"/>
      <c r="Z447" s="349"/>
      <c r="AB447" s="79"/>
      <c r="AC447" s="79"/>
      <c r="AD447" s="79"/>
      <c r="AE447" s="79"/>
      <c r="AF447" s="79"/>
      <c r="AG447" s="79"/>
      <c r="AH447" s="79"/>
      <c r="AI447" s="79"/>
    </row>
    <row r="448">
      <c r="A448" s="9"/>
      <c r="C448" s="350"/>
      <c r="D448" s="93"/>
      <c r="E448" s="1"/>
      <c r="F448" s="1"/>
      <c r="G448" s="1"/>
      <c r="H448" s="341"/>
      <c r="I448" s="358"/>
      <c r="J448" s="79"/>
      <c r="K448" s="1"/>
      <c r="L448" s="343"/>
      <c r="M448" s="344"/>
      <c r="N448" s="344"/>
      <c r="O448" s="341"/>
      <c r="P448" s="341"/>
      <c r="Q448" s="79"/>
      <c r="R448" s="345"/>
      <c r="S448" s="344"/>
      <c r="T448" s="345"/>
      <c r="U448" s="344"/>
      <c r="V448" s="346"/>
      <c r="W448" s="347"/>
      <c r="X448" s="359"/>
      <c r="Y448" s="349"/>
      <c r="Z448" s="349"/>
      <c r="AB448" s="79"/>
      <c r="AC448" s="79"/>
      <c r="AD448" s="79"/>
      <c r="AE448" s="79"/>
      <c r="AF448" s="79"/>
      <c r="AG448" s="79"/>
      <c r="AH448" s="79"/>
      <c r="AI448" s="79"/>
    </row>
    <row r="449">
      <c r="A449" s="9"/>
      <c r="C449" s="350"/>
      <c r="D449" s="93"/>
      <c r="E449" s="1"/>
      <c r="F449" s="1"/>
      <c r="G449" s="1"/>
      <c r="H449" s="341"/>
      <c r="I449" s="358"/>
      <c r="J449" s="79"/>
      <c r="K449" s="1"/>
      <c r="L449" s="343"/>
      <c r="M449" s="344"/>
      <c r="N449" s="344"/>
      <c r="O449" s="341"/>
      <c r="P449" s="341"/>
      <c r="Q449" s="79"/>
      <c r="R449" s="345"/>
      <c r="S449" s="344"/>
      <c r="T449" s="345"/>
      <c r="U449" s="344"/>
      <c r="V449" s="346"/>
      <c r="W449" s="347"/>
      <c r="X449" s="359"/>
      <c r="Y449" s="349"/>
      <c r="Z449" s="349"/>
      <c r="AB449" s="79"/>
      <c r="AC449" s="79"/>
      <c r="AD449" s="79"/>
      <c r="AE449" s="79"/>
      <c r="AF449" s="79"/>
      <c r="AG449" s="79"/>
      <c r="AH449" s="79"/>
      <c r="AI449" s="79"/>
    </row>
    <row r="450">
      <c r="A450" s="9"/>
      <c r="C450" s="350"/>
      <c r="D450" s="93"/>
      <c r="E450" s="1"/>
      <c r="F450" s="1"/>
      <c r="G450" s="1"/>
      <c r="H450" s="341"/>
      <c r="I450" s="358"/>
      <c r="J450" s="79"/>
      <c r="K450" s="1"/>
      <c r="L450" s="343"/>
      <c r="M450" s="344"/>
      <c r="N450" s="344"/>
      <c r="O450" s="341"/>
      <c r="P450" s="341"/>
      <c r="Q450" s="79"/>
      <c r="R450" s="345"/>
      <c r="S450" s="344"/>
      <c r="T450" s="345"/>
      <c r="U450" s="344"/>
      <c r="V450" s="346"/>
      <c r="W450" s="347"/>
      <c r="X450" s="359"/>
      <c r="Y450" s="349"/>
      <c r="Z450" s="349"/>
      <c r="AB450" s="79"/>
      <c r="AC450" s="79"/>
      <c r="AD450" s="79"/>
      <c r="AE450" s="79"/>
      <c r="AF450" s="79"/>
      <c r="AG450" s="79"/>
      <c r="AH450" s="79"/>
      <c r="AI450" s="79"/>
    </row>
    <row r="451">
      <c r="A451" s="9"/>
      <c r="C451" s="350"/>
      <c r="D451" s="93"/>
      <c r="E451" s="1"/>
      <c r="F451" s="1"/>
      <c r="G451" s="1"/>
      <c r="H451" s="341"/>
      <c r="I451" s="358"/>
      <c r="J451" s="79"/>
      <c r="K451" s="1"/>
      <c r="L451" s="343"/>
      <c r="M451" s="344"/>
      <c r="N451" s="344"/>
      <c r="O451" s="341"/>
      <c r="P451" s="341"/>
      <c r="Q451" s="79"/>
      <c r="R451" s="345"/>
      <c r="S451" s="344"/>
      <c r="T451" s="345"/>
      <c r="U451" s="344"/>
      <c r="V451" s="346"/>
      <c r="W451" s="347"/>
      <c r="X451" s="359"/>
      <c r="Y451" s="349"/>
      <c r="Z451" s="349"/>
      <c r="AB451" s="79"/>
      <c r="AC451" s="79"/>
      <c r="AD451" s="79"/>
      <c r="AE451" s="79"/>
      <c r="AF451" s="79"/>
      <c r="AG451" s="79"/>
      <c r="AH451" s="79"/>
      <c r="AI451" s="79"/>
    </row>
    <row r="452">
      <c r="A452" s="9"/>
      <c r="C452" s="350"/>
      <c r="D452" s="93"/>
      <c r="E452" s="1"/>
      <c r="F452" s="1"/>
      <c r="G452" s="1"/>
      <c r="H452" s="341"/>
      <c r="I452" s="358"/>
      <c r="J452" s="79"/>
      <c r="K452" s="1"/>
      <c r="L452" s="343"/>
      <c r="M452" s="344"/>
      <c r="N452" s="344"/>
      <c r="O452" s="341"/>
      <c r="P452" s="341"/>
      <c r="Q452" s="79"/>
      <c r="R452" s="345"/>
      <c r="S452" s="344"/>
      <c r="T452" s="345"/>
      <c r="U452" s="344"/>
      <c r="V452" s="346"/>
      <c r="W452" s="347"/>
      <c r="X452" s="359"/>
      <c r="Y452" s="349"/>
      <c r="Z452" s="349"/>
      <c r="AB452" s="79"/>
      <c r="AC452" s="79"/>
      <c r="AD452" s="79"/>
      <c r="AE452" s="79"/>
      <c r="AF452" s="79"/>
      <c r="AG452" s="79"/>
      <c r="AH452" s="79"/>
      <c r="AI452" s="79"/>
    </row>
    <row r="453">
      <c r="A453" s="9"/>
      <c r="C453" s="350"/>
      <c r="D453" s="93"/>
      <c r="E453" s="1"/>
      <c r="F453" s="1"/>
      <c r="G453" s="1"/>
      <c r="H453" s="341"/>
      <c r="I453" s="358"/>
      <c r="J453" s="79"/>
      <c r="K453" s="1"/>
      <c r="L453" s="343"/>
      <c r="M453" s="344"/>
      <c r="N453" s="344"/>
      <c r="O453" s="341"/>
      <c r="P453" s="341"/>
      <c r="Q453" s="79"/>
      <c r="R453" s="345"/>
      <c r="S453" s="344"/>
      <c r="T453" s="345"/>
      <c r="U453" s="344"/>
      <c r="V453" s="346"/>
      <c r="W453" s="347"/>
      <c r="X453" s="359"/>
      <c r="Y453" s="349"/>
      <c r="Z453" s="349"/>
      <c r="AB453" s="79"/>
      <c r="AC453" s="79"/>
      <c r="AD453" s="79"/>
      <c r="AE453" s="79"/>
      <c r="AF453" s="79"/>
      <c r="AG453" s="79"/>
      <c r="AH453" s="79"/>
      <c r="AI453" s="79"/>
    </row>
    <row r="454">
      <c r="A454" s="9"/>
      <c r="C454" s="350"/>
      <c r="D454" s="93"/>
      <c r="E454" s="1"/>
      <c r="F454" s="1"/>
      <c r="G454" s="1"/>
      <c r="H454" s="341"/>
      <c r="I454" s="358"/>
      <c r="J454" s="79"/>
      <c r="K454" s="1"/>
      <c r="L454" s="343"/>
      <c r="M454" s="344"/>
      <c r="N454" s="344"/>
      <c r="O454" s="341"/>
      <c r="P454" s="341"/>
      <c r="Q454" s="79"/>
      <c r="R454" s="345"/>
      <c r="S454" s="344"/>
      <c r="T454" s="345"/>
      <c r="U454" s="344"/>
      <c r="V454" s="346"/>
      <c r="W454" s="347"/>
      <c r="X454" s="359"/>
      <c r="Y454" s="349"/>
      <c r="Z454" s="349"/>
      <c r="AB454" s="79"/>
      <c r="AC454" s="79"/>
      <c r="AD454" s="79"/>
      <c r="AE454" s="79"/>
      <c r="AF454" s="79"/>
      <c r="AG454" s="79"/>
      <c r="AH454" s="79"/>
      <c r="AI454" s="79"/>
    </row>
    <row r="455">
      <c r="A455" s="9"/>
      <c r="C455" s="350"/>
      <c r="D455" s="93"/>
      <c r="E455" s="1"/>
      <c r="F455" s="1"/>
      <c r="G455" s="1"/>
      <c r="H455" s="341"/>
      <c r="I455" s="358"/>
      <c r="J455" s="79"/>
      <c r="K455" s="1"/>
      <c r="L455" s="343"/>
      <c r="M455" s="344"/>
      <c r="N455" s="344"/>
      <c r="O455" s="341"/>
      <c r="P455" s="341"/>
      <c r="Q455" s="79"/>
      <c r="R455" s="345"/>
      <c r="S455" s="344"/>
      <c r="T455" s="345"/>
      <c r="U455" s="344"/>
      <c r="V455" s="346"/>
      <c r="W455" s="347"/>
      <c r="X455" s="359"/>
      <c r="Y455" s="349"/>
      <c r="Z455" s="349"/>
      <c r="AB455" s="79"/>
      <c r="AC455" s="79"/>
      <c r="AD455" s="79"/>
      <c r="AE455" s="79"/>
      <c r="AF455" s="79"/>
      <c r="AG455" s="79"/>
      <c r="AH455" s="79"/>
      <c r="AI455" s="79"/>
    </row>
    <row r="456">
      <c r="A456" s="9"/>
      <c r="C456" s="350"/>
      <c r="D456" s="93"/>
      <c r="E456" s="1"/>
      <c r="F456" s="1"/>
      <c r="G456" s="1"/>
      <c r="H456" s="341"/>
      <c r="I456" s="358"/>
      <c r="J456" s="79"/>
      <c r="K456" s="1"/>
      <c r="L456" s="343"/>
      <c r="M456" s="344"/>
      <c r="N456" s="344"/>
      <c r="O456" s="341"/>
      <c r="P456" s="341"/>
      <c r="Q456" s="79"/>
      <c r="R456" s="345"/>
      <c r="S456" s="344"/>
      <c r="T456" s="345"/>
      <c r="U456" s="344"/>
      <c r="V456" s="346"/>
      <c r="W456" s="347"/>
      <c r="X456" s="359"/>
      <c r="Y456" s="349"/>
      <c r="Z456" s="349"/>
      <c r="AB456" s="79"/>
      <c r="AC456" s="79"/>
      <c r="AD456" s="79"/>
      <c r="AE456" s="79"/>
      <c r="AF456" s="79"/>
      <c r="AG456" s="79"/>
      <c r="AH456" s="79"/>
      <c r="AI456" s="79"/>
    </row>
    <row r="457">
      <c r="A457" s="9"/>
      <c r="C457" s="350"/>
      <c r="D457" s="93"/>
      <c r="E457" s="1"/>
      <c r="F457" s="1"/>
      <c r="G457" s="1"/>
      <c r="H457" s="341"/>
      <c r="I457" s="358"/>
      <c r="J457" s="79"/>
      <c r="K457" s="1"/>
      <c r="L457" s="343"/>
      <c r="M457" s="344"/>
      <c r="N457" s="344"/>
      <c r="O457" s="341"/>
      <c r="P457" s="341"/>
      <c r="Q457" s="79"/>
      <c r="R457" s="345"/>
      <c r="S457" s="344"/>
      <c r="T457" s="345"/>
      <c r="U457" s="344"/>
      <c r="V457" s="346"/>
      <c r="W457" s="347"/>
      <c r="X457" s="359"/>
      <c r="Y457" s="349"/>
      <c r="Z457" s="349"/>
      <c r="AB457" s="79"/>
      <c r="AC457" s="79"/>
      <c r="AD457" s="79"/>
      <c r="AE457" s="79"/>
      <c r="AF457" s="79"/>
      <c r="AG457" s="79"/>
      <c r="AH457" s="79"/>
      <c r="AI457" s="79"/>
    </row>
    <row r="458">
      <c r="A458" s="9"/>
      <c r="C458" s="350"/>
      <c r="D458" s="93"/>
      <c r="E458" s="1"/>
      <c r="F458" s="1"/>
      <c r="G458" s="1"/>
      <c r="H458" s="341"/>
      <c r="I458" s="358"/>
      <c r="J458" s="79"/>
      <c r="K458" s="1"/>
      <c r="L458" s="343"/>
      <c r="M458" s="344"/>
      <c r="N458" s="344"/>
      <c r="O458" s="341"/>
      <c r="P458" s="341"/>
      <c r="Q458" s="79"/>
      <c r="R458" s="345"/>
      <c r="S458" s="344"/>
      <c r="T458" s="345"/>
      <c r="U458" s="344"/>
      <c r="V458" s="346"/>
      <c r="W458" s="347"/>
      <c r="X458" s="359"/>
      <c r="Y458" s="349"/>
      <c r="Z458" s="349"/>
      <c r="AB458" s="79"/>
      <c r="AC458" s="79"/>
      <c r="AD458" s="79"/>
      <c r="AE458" s="79"/>
      <c r="AF458" s="79"/>
      <c r="AG458" s="79"/>
      <c r="AH458" s="79"/>
      <c r="AI458" s="79"/>
    </row>
    <row r="459">
      <c r="A459" s="9"/>
      <c r="C459" s="350"/>
      <c r="D459" s="93"/>
      <c r="E459" s="1"/>
      <c r="F459" s="1"/>
      <c r="G459" s="1"/>
      <c r="H459" s="341"/>
      <c r="I459" s="358"/>
      <c r="J459" s="79"/>
      <c r="K459" s="1"/>
      <c r="L459" s="343"/>
      <c r="M459" s="344"/>
      <c r="N459" s="344"/>
      <c r="O459" s="341"/>
      <c r="P459" s="341"/>
      <c r="Q459" s="79"/>
      <c r="R459" s="345"/>
      <c r="S459" s="344"/>
      <c r="T459" s="345"/>
      <c r="U459" s="344"/>
      <c r="V459" s="346"/>
      <c r="W459" s="347"/>
      <c r="X459" s="359"/>
      <c r="Y459" s="349"/>
      <c r="Z459" s="349"/>
      <c r="AB459" s="79"/>
      <c r="AC459" s="79"/>
      <c r="AD459" s="79"/>
      <c r="AE459" s="79"/>
      <c r="AF459" s="79"/>
      <c r="AG459" s="79"/>
      <c r="AH459" s="79"/>
      <c r="AI459" s="79"/>
    </row>
    <row r="460">
      <c r="A460" s="9"/>
      <c r="C460" s="350"/>
      <c r="D460" s="93"/>
      <c r="E460" s="1"/>
      <c r="F460" s="1"/>
      <c r="G460" s="1"/>
      <c r="H460" s="341"/>
      <c r="I460" s="358"/>
      <c r="J460" s="79"/>
      <c r="K460" s="1"/>
      <c r="L460" s="343"/>
      <c r="M460" s="344"/>
      <c r="N460" s="344"/>
      <c r="O460" s="341"/>
      <c r="P460" s="341"/>
      <c r="Q460" s="79"/>
      <c r="R460" s="345"/>
      <c r="S460" s="344"/>
      <c r="T460" s="345"/>
      <c r="U460" s="344"/>
      <c r="V460" s="346"/>
      <c r="W460" s="347"/>
      <c r="X460" s="359"/>
      <c r="Y460" s="349"/>
      <c r="Z460" s="349"/>
      <c r="AB460" s="79"/>
      <c r="AC460" s="79"/>
      <c r="AD460" s="79"/>
      <c r="AE460" s="79"/>
      <c r="AF460" s="79"/>
      <c r="AG460" s="79"/>
      <c r="AH460" s="79"/>
      <c r="AI460" s="79"/>
    </row>
    <row r="461">
      <c r="A461" s="9"/>
      <c r="C461" s="350"/>
      <c r="D461" s="93"/>
      <c r="E461" s="1"/>
      <c r="F461" s="1"/>
      <c r="G461" s="1"/>
      <c r="H461" s="341"/>
      <c r="I461" s="358"/>
      <c r="J461" s="79"/>
      <c r="K461" s="1"/>
      <c r="L461" s="343"/>
      <c r="M461" s="344"/>
      <c r="N461" s="344"/>
      <c r="O461" s="341"/>
      <c r="P461" s="341"/>
      <c r="Q461" s="79"/>
      <c r="R461" s="345"/>
      <c r="S461" s="344"/>
      <c r="T461" s="345"/>
      <c r="U461" s="344"/>
      <c r="V461" s="346"/>
      <c r="W461" s="347"/>
      <c r="X461" s="359"/>
      <c r="Y461" s="349"/>
      <c r="Z461" s="349"/>
      <c r="AB461" s="79"/>
      <c r="AC461" s="79"/>
      <c r="AD461" s="79"/>
      <c r="AE461" s="79"/>
      <c r="AF461" s="79"/>
      <c r="AG461" s="79"/>
      <c r="AH461" s="79"/>
      <c r="AI461" s="79"/>
    </row>
    <row r="462">
      <c r="A462" s="9"/>
      <c r="C462" s="350"/>
      <c r="D462" s="93"/>
      <c r="E462" s="1"/>
      <c r="F462" s="1"/>
      <c r="G462" s="1"/>
      <c r="H462" s="341"/>
      <c r="I462" s="358"/>
      <c r="J462" s="79"/>
      <c r="K462" s="1"/>
      <c r="L462" s="343"/>
      <c r="M462" s="344"/>
      <c r="N462" s="344"/>
      <c r="O462" s="341"/>
      <c r="P462" s="341"/>
      <c r="Q462" s="79"/>
      <c r="R462" s="345"/>
      <c r="S462" s="344"/>
      <c r="T462" s="345"/>
      <c r="U462" s="344"/>
      <c r="V462" s="346"/>
      <c r="W462" s="347"/>
      <c r="X462" s="359"/>
      <c r="Y462" s="349"/>
      <c r="Z462" s="349"/>
      <c r="AB462" s="79"/>
      <c r="AC462" s="79"/>
      <c r="AD462" s="79"/>
      <c r="AE462" s="79"/>
      <c r="AF462" s="79"/>
      <c r="AG462" s="79"/>
      <c r="AH462" s="79"/>
      <c r="AI462" s="79"/>
    </row>
    <row r="463">
      <c r="A463" s="9"/>
      <c r="C463" s="350"/>
      <c r="D463" s="93"/>
      <c r="E463" s="1"/>
      <c r="F463" s="1"/>
      <c r="G463" s="1"/>
      <c r="H463" s="341"/>
      <c r="I463" s="358"/>
      <c r="J463" s="79"/>
      <c r="K463" s="1"/>
      <c r="L463" s="343"/>
      <c r="M463" s="344"/>
      <c r="N463" s="344"/>
      <c r="O463" s="341"/>
      <c r="P463" s="341"/>
      <c r="Q463" s="79"/>
      <c r="R463" s="345"/>
      <c r="S463" s="344"/>
      <c r="T463" s="345"/>
      <c r="U463" s="344"/>
      <c r="V463" s="346"/>
      <c r="W463" s="347"/>
      <c r="X463" s="359"/>
      <c r="Y463" s="349"/>
      <c r="Z463" s="349"/>
      <c r="AB463" s="79"/>
      <c r="AC463" s="79"/>
      <c r="AD463" s="79"/>
      <c r="AE463" s="79"/>
      <c r="AF463" s="79"/>
      <c r="AG463" s="79"/>
      <c r="AH463" s="79"/>
      <c r="AI463" s="79"/>
    </row>
    <row r="464">
      <c r="A464" s="9"/>
      <c r="C464" s="350"/>
      <c r="D464" s="93"/>
      <c r="E464" s="1"/>
      <c r="F464" s="1"/>
      <c r="G464" s="1"/>
      <c r="H464" s="341"/>
      <c r="I464" s="358"/>
      <c r="J464" s="79"/>
      <c r="K464" s="1"/>
      <c r="L464" s="343"/>
      <c r="M464" s="344"/>
      <c r="N464" s="344"/>
      <c r="O464" s="341"/>
      <c r="P464" s="341"/>
      <c r="Q464" s="79"/>
      <c r="R464" s="345"/>
      <c r="S464" s="344"/>
      <c r="T464" s="345"/>
      <c r="U464" s="344"/>
      <c r="V464" s="346"/>
      <c r="W464" s="347"/>
      <c r="X464" s="359"/>
      <c r="Y464" s="349"/>
      <c r="Z464" s="349"/>
      <c r="AB464" s="79"/>
      <c r="AC464" s="79"/>
      <c r="AD464" s="79"/>
      <c r="AE464" s="79"/>
      <c r="AF464" s="79"/>
      <c r="AG464" s="79"/>
      <c r="AH464" s="79"/>
      <c r="AI464" s="79"/>
    </row>
    <row r="465">
      <c r="A465" s="9"/>
      <c r="C465" s="350"/>
      <c r="D465" s="93"/>
      <c r="E465" s="1"/>
      <c r="F465" s="1"/>
      <c r="G465" s="1"/>
      <c r="H465" s="341"/>
      <c r="I465" s="358"/>
      <c r="J465" s="79"/>
      <c r="K465" s="1"/>
      <c r="L465" s="343"/>
      <c r="M465" s="344"/>
      <c r="N465" s="344"/>
      <c r="O465" s="341"/>
      <c r="P465" s="341"/>
      <c r="Q465" s="79"/>
      <c r="R465" s="345"/>
      <c r="S465" s="344"/>
      <c r="T465" s="345"/>
      <c r="U465" s="344"/>
      <c r="V465" s="346"/>
      <c r="W465" s="347"/>
      <c r="X465" s="359"/>
      <c r="Y465" s="349"/>
      <c r="Z465" s="349"/>
      <c r="AB465" s="79"/>
      <c r="AC465" s="79"/>
      <c r="AD465" s="79"/>
      <c r="AE465" s="79"/>
      <c r="AF465" s="79"/>
      <c r="AG465" s="79"/>
      <c r="AH465" s="79"/>
      <c r="AI465" s="79"/>
    </row>
    <row r="466">
      <c r="A466" s="9"/>
      <c r="C466" s="350"/>
      <c r="D466" s="93"/>
      <c r="E466" s="1"/>
      <c r="F466" s="1"/>
      <c r="G466" s="1"/>
      <c r="H466" s="341"/>
      <c r="I466" s="358"/>
      <c r="J466" s="79"/>
      <c r="K466" s="1"/>
      <c r="L466" s="343"/>
      <c r="M466" s="344"/>
      <c r="N466" s="344"/>
      <c r="O466" s="341"/>
      <c r="P466" s="341"/>
      <c r="Q466" s="79"/>
      <c r="R466" s="345"/>
      <c r="S466" s="344"/>
      <c r="T466" s="345"/>
      <c r="U466" s="344"/>
      <c r="V466" s="346"/>
      <c r="W466" s="347"/>
      <c r="X466" s="359"/>
      <c r="Y466" s="349"/>
      <c r="Z466" s="349"/>
      <c r="AB466" s="79"/>
      <c r="AC466" s="79"/>
      <c r="AD466" s="79"/>
      <c r="AE466" s="79"/>
      <c r="AF466" s="79"/>
      <c r="AG466" s="79"/>
      <c r="AH466" s="79"/>
      <c r="AI466" s="79"/>
    </row>
    <row r="467">
      <c r="A467" s="9"/>
      <c r="C467" s="350"/>
      <c r="D467" s="93"/>
      <c r="E467" s="1"/>
      <c r="F467" s="1"/>
      <c r="G467" s="1"/>
      <c r="H467" s="341"/>
      <c r="I467" s="358"/>
      <c r="J467" s="79"/>
      <c r="K467" s="1"/>
      <c r="L467" s="343"/>
      <c r="M467" s="344"/>
      <c r="N467" s="344"/>
      <c r="O467" s="341"/>
      <c r="P467" s="341"/>
      <c r="Q467" s="79"/>
      <c r="R467" s="345"/>
      <c r="S467" s="344"/>
      <c r="T467" s="345"/>
      <c r="U467" s="344"/>
      <c r="V467" s="346"/>
      <c r="W467" s="347"/>
      <c r="X467" s="359"/>
      <c r="Y467" s="349"/>
      <c r="Z467" s="349"/>
      <c r="AB467" s="79"/>
      <c r="AC467" s="79"/>
      <c r="AD467" s="79"/>
      <c r="AE467" s="79"/>
      <c r="AF467" s="79"/>
      <c r="AG467" s="79"/>
      <c r="AH467" s="79"/>
      <c r="AI467" s="79"/>
    </row>
    <row r="468">
      <c r="A468" s="9"/>
      <c r="C468" s="350"/>
      <c r="D468" s="93"/>
      <c r="E468" s="1"/>
      <c r="F468" s="1"/>
      <c r="G468" s="1"/>
      <c r="H468" s="341"/>
      <c r="I468" s="358"/>
      <c r="J468" s="79"/>
      <c r="K468" s="1"/>
      <c r="L468" s="343"/>
      <c r="M468" s="344"/>
      <c r="N468" s="344"/>
      <c r="O468" s="341"/>
      <c r="P468" s="341"/>
      <c r="Q468" s="79"/>
      <c r="R468" s="345"/>
      <c r="S468" s="344"/>
      <c r="T468" s="345"/>
      <c r="U468" s="344"/>
      <c r="V468" s="346"/>
      <c r="W468" s="347"/>
      <c r="X468" s="359"/>
      <c r="Y468" s="349"/>
      <c r="Z468" s="349"/>
      <c r="AB468" s="79"/>
      <c r="AC468" s="79"/>
      <c r="AD468" s="79"/>
      <c r="AE468" s="79"/>
      <c r="AF468" s="79"/>
      <c r="AG468" s="79"/>
      <c r="AH468" s="79"/>
      <c r="AI468" s="79"/>
    </row>
    <row r="469">
      <c r="A469" s="9"/>
      <c r="C469" s="350"/>
      <c r="D469" s="93"/>
      <c r="E469" s="1"/>
      <c r="F469" s="1"/>
      <c r="G469" s="1"/>
      <c r="H469" s="341"/>
      <c r="I469" s="358"/>
      <c r="J469" s="79"/>
      <c r="K469" s="1"/>
      <c r="L469" s="343"/>
      <c r="M469" s="344"/>
      <c r="N469" s="344"/>
      <c r="O469" s="341"/>
      <c r="P469" s="341"/>
      <c r="Q469" s="79"/>
      <c r="R469" s="345"/>
      <c r="S469" s="344"/>
      <c r="T469" s="345"/>
      <c r="U469" s="344"/>
      <c r="V469" s="346"/>
      <c r="W469" s="347"/>
      <c r="X469" s="359"/>
      <c r="Y469" s="349"/>
      <c r="Z469" s="349"/>
      <c r="AB469" s="79"/>
      <c r="AC469" s="79"/>
      <c r="AD469" s="79"/>
      <c r="AE469" s="79"/>
      <c r="AF469" s="79"/>
      <c r="AG469" s="79"/>
      <c r="AH469" s="79"/>
      <c r="AI469" s="79"/>
    </row>
    <row r="470">
      <c r="A470" s="9"/>
      <c r="C470" s="350"/>
      <c r="D470" s="93"/>
      <c r="E470" s="1"/>
      <c r="F470" s="1"/>
      <c r="G470" s="1"/>
      <c r="H470" s="341"/>
      <c r="I470" s="358"/>
      <c r="J470" s="79"/>
      <c r="K470" s="1"/>
      <c r="L470" s="343"/>
      <c r="M470" s="344"/>
      <c r="N470" s="344"/>
      <c r="O470" s="341"/>
      <c r="P470" s="341"/>
      <c r="Q470" s="79"/>
      <c r="R470" s="345"/>
      <c r="S470" s="344"/>
      <c r="T470" s="345"/>
      <c r="U470" s="344"/>
      <c r="V470" s="346"/>
      <c r="W470" s="347"/>
      <c r="X470" s="359"/>
      <c r="Y470" s="349"/>
      <c r="Z470" s="349"/>
      <c r="AB470" s="79"/>
      <c r="AC470" s="79"/>
      <c r="AD470" s="79"/>
      <c r="AE470" s="79"/>
      <c r="AF470" s="79"/>
      <c r="AG470" s="79"/>
      <c r="AH470" s="79"/>
      <c r="AI470" s="79"/>
    </row>
    <row r="471">
      <c r="A471" s="9"/>
      <c r="C471" s="350"/>
      <c r="D471" s="93"/>
      <c r="E471" s="1"/>
      <c r="F471" s="1"/>
      <c r="G471" s="1"/>
      <c r="H471" s="341"/>
      <c r="I471" s="358"/>
      <c r="J471" s="79"/>
      <c r="K471" s="1"/>
      <c r="L471" s="343"/>
      <c r="M471" s="344"/>
      <c r="N471" s="344"/>
      <c r="O471" s="341"/>
      <c r="P471" s="341"/>
      <c r="Q471" s="79"/>
      <c r="R471" s="345"/>
      <c r="S471" s="344"/>
      <c r="T471" s="345"/>
      <c r="U471" s="344"/>
      <c r="V471" s="346"/>
      <c r="W471" s="347"/>
      <c r="X471" s="359"/>
      <c r="Y471" s="349"/>
      <c r="Z471" s="349"/>
      <c r="AB471" s="79"/>
      <c r="AC471" s="79"/>
      <c r="AD471" s="79"/>
      <c r="AE471" s="79"/>
      <c r="AF471" s="79"/>
      <c r="AG471" s="79"/>
      <c r="AH471" s="79"/>
      <c r="AI471" s="79"/>
    </row>
    <row r="472">
      <c r="A472" s="9"/>
      <c r="C472" s="350"/>
      <c r="D472" s="93"/>
      <c r="E472" s="1"/>
      <c r="F472" s="1"/>
      <c r="G472" s="1"/>
      <c r="H472" s="341"/>
      <c r="I472" s="358"/>
      <c r="J472" s="79"/>
      <c r="K472" s="1"/>
      <c r="L472" s="343"/>
      <c r="M472" s="344"/>
      <c r="N472" s="344"/>
      <c r="O472" s="341"/>
      <c r="P472" s="341"/>
      <c r="Q472" s="79"/>
      <c r="R472" s="345"/>
      <c r="S472" s="344"/>
      <c r="T472" s="345"/>
      <c r="U472" s="344"/>
      <c r="V472" s="346"/>
      <c r="W472" s="347"/>
      <c r="X472" s="359"/>
      <c r="Y472" s="349"/>
      <c r="Z472" s="349"/>
      <c r="AB472" s="79"/>
      <c r="AC472" s="79"/>
      <c r="AD472" s="79"/>
      <c r="AE472" s="79"/>
      <c r="AF472" s="79"/>
      <c r="AG472" s="79"/>
      <c r="AH472" s="79"/>
      <c r="AI472" s="79"/>
    </row>
    <row r="473">
      <c r="A473" s="9"/>
      <c r="C473" s="350"/>
      <c r="D473" s="93"/>
      <c r="E473" s="1"/>
      <c r="F473" s="1"/>
      <c r="G473" s="1"/>
      <c r="H473" s="341"/>
      <c r="I473" s="358"/>
      <c r="J473" s="79"/>
      <c r="K473" s="1"/>
      <c r="L473" s="343"/>
      <c r="M473" s="344"/>
      <c r="N473" s="344"/>
      <c r="O473" s="341"/>
      <c r="P473" s="341"/>
      <c r="Q473" s="79"/>
      <c r="R473" s="345"/>
      <c r="S473" s="344"/>
      <c r="T473" s="345"/>
      <c r="U473" s="344"/>
      <c r="V473" s="346"/>
      <c r="W473" s="347"/>
      <c r="X473" s="359"/>
      <c r="Y473" s="349"/>
      <c r="Z473" s="349"/>
      <c r="AB473" s="79"/>
      <c r="AC473" s="79"/>
      <c r="AD473" s="79"/>
      <c r="AE473" s="79"/>
      <c r="AF473" s="79"/>
      <c r="AG473" s="79"/>
      <c r="AH473" s="79"/>
      <c r="AI473" s="79"/>
    </row>
    <row r="474">
      <c r="A474" s="9"/>
      <c r="C474" s="350"/>
      <c r="D474" s="93"/>
      <c r="E474" s="1"/>
      <c r="F474" s="1"/>
      <c r="G474" s="1"/>
      <c r="H474" s="341"/>
      <c r="I474" s="358"/>
      <c r="J474" s="79"/>
      <c r="K474" s="1"/>
      <c r="L474" s="343"/>
      <c r="M474" s="344"/>
      <c r="N474" s="344"/>
      <c r="O474" s="341"/>
      <c r="P474" s="341"/>
      <c r="Q474" s="79"/>
      <c r="R474" s="345"/>
      <c r="S474" s="344"/>
      <c r="T474" s="345"/>
      <c r="U474" s="344"/>
      <c r="V474" s="346"/>
      <c r="W474" s="347"/>
      <c r="X474" s="359"/>
      <c r="Y474" s="349"/>
      <c r="Z474" s="349"/>
      <c r="AB474" s="79"/>
      <c r="AC474" s="79"/>
      <c r="AD474" s="79"/>
      <c r="AE474" s="79"/>
      <c r="AF474" s="79"/>
      <c r="AG474" s="79"/>
      <c r="AH474" s="79"/>
      <c r="AI474" s="79"/>
    </row>
    <row r="475">
      <c r="A475" s="9"/>
      <c r="C475" s="350"/>
      <c r="D475" s="93"/>
      <c r="E475" s="1"/>
      <c r="F475" s="1"/>
      <c r="G475" s="1"/>
      <c r="H475" s="341"/>
      <c r="I475" s="358"/>
      <c r="J475" s="79"/>
      <c r="K475" s="1"/>
      <c r="L475" s="343"/>
      <c r="M475" s="344"/>
      <c r="N475" s="344"/>
      <c r="O475" s="341"/>
      <c r="P475" s="341"/>
      <c r="Q475" s="79"/>
      <c r="R475" s="345"/>
      <c r="S475" s="344"/>
      <c r="T475" s="345"/>
      <c r="U475" s="344"/>
      <c r="V475" s="346"/>
      <c r="W475" s="347"/>
      <c r="X475" s="359"/>
      <c r="Y475" s="349"/>
      <c r="Z475" s="349"/>
      <c r="AB475" s="79"/>
      <c r="AC475" s="79"/>
      <c r="AD475" s="79"/>
      <c r="AE475" s="79"/>
      <c r="AF475" s="79"/>
      <c r="AG475" s="79"/>
      <c r="AH475" s="79"/>
      <c r="AI475" s="79"/>
    </row>
    <row r="476">
      <c r="A476" s="9"/>
      <c r="C476" s="350"/>
      <c r="D476" s="93"/>
      <c r="E476" s="1"/>
      <c r="F476" s="1"/>
      <c r="G476" s="1"/>
      <c r="H476" s="341"/>
      <c r="I476" s="358"/>
      <c r="J476" s="79"/>
      <c r="K476" s="1"/>
      <c r="L476" s="343"/>
      <c r="M476" s="344"/>
      <c r="N476" s="344"/>
      <c r="O476" s="341"/>
      <c r="P476" s="341"/>
      <c r="Q476" s="79"/>
      <c r="R476" s="345"/>
      <c r="S476" s="344"/>
      <c r="T476" s="345"/>
      <c r="U476" s="344"/>
      <c r="V476" s="346"/>
      <c r="W476" s="347"/>
      <c r="X476" s="359"/>
      <c r="Y476" s="349"/>
      <c r="Z476" s="349"/>
      <c r="AB476" s="79"/>
      <c r="AC476" s="79"/>
      <c r="AD476" s="79"/>
      <c r="AE476" s="79"/>
      <c r="AF476" s="79"/>
      <c r="AG476" s="79"/>
      <c r="AH476" s="79"/>
      <c r="AI476" s="79"/>
    </row>
    <row r="477">
      <c r="A477" s="9"/>
      <c r="C477" s="350"/>
      <c r="D477" s="93"/>
      <c r="E477" s="1"/>
      <c r="F477" s="1"/>
      <c r="G477" s="1"/>
      <c r="H477" s="341"/>
      <c r="I477" s="358"/>
      <c r="J477" s="79"/>
      <c r="K477" s="1"/>
      <c r="L477" s="343"/>
      <c r="M477" s="344"/>
      <c r="N477" s="344"/>
      <c r="O477" s="341"/>
      <c r="P477" s="341"/>
      <c r="Q477" s="79"/>
      <c r="R477" s="345"/>
      <c r="S477" s="344"/>
      <c r="T477" s="345"/>
      <c r="U477" s="344"/>
      <c r="V477" s="346"/>
      <c r="W477" s="347"/>
      <c r="X477" s="359"/>
      <c r="Y477" s="349"/>
      <c r="Z477" s="349"/>
      <c r="AB477" s="79"/>
      <c r="AC477" s="79"/>
      <c r="AD477" s="79"/>
      <c r="AE477" s="79"/>
      <c r="AF477" s="79"/>
      <c r="AG477" s="79"/>
      <c r="AH477" s="79"/>
      <c r="AI477" s="79"/>
    </row>
    <row r="478">
      <c r="A478" s="9"/>
      <c r="C478" s="350"/>
      <c r="D478" s="93"/>
      <c r="E478" s="1"/>
      <c r="F478" s="1"/>
      <c r="G478" s="1"/>
      <c r="H478" s="341"/>
      <c r="I478" s="358"/>
      <c r="J478" s="79"/>
      <c r="K478" s="1"/>
      <c r="L478" s="343"/>
      <c r="M478" s="344"/>
      <c r="N478" s="344"/>
      <c r="O478" s="341"/>
      <c r="P478" s="341"/>
      <c r="Q478" s="79"/>
      <c r="R478" s="345"/>
      <c r="S478" s="344"/>
      <c r="T478" s="345"/>
      <c r="U478" s="344"/>
      <c r="V478" s="346"/>
      <c r="W478" s="347"/>
      <c r="X478" s="359"/>
      <c r="Y478" s="349"/>
      <c r="Z478" s="349"/>
      <c r="AB478" s="79"/>
      <c r="AC478" s="79"/>
      <c r="AD478" s="79"/>
      <c r="AE478" s="79"/>
      <c r="AF478" s="79"/>
      <c r="AG478" s="79"/>
      <c r="AH478" s="79"/>
      <c r="AI478" s="79"/>
    </row>
    <row r="479">
      <c r="A479" s="9"/>
      <c r="C479" s="350"/>
      <c r="D479" s="93"/>
      <c r="E479" s="1"/>
      <c r="F479" s="1"/>
      <c r="G479" s="1"/>
      <c r="H479" s="341"/>
      <c r="I479" s="358"/>
      <c r="J479" s="79"/>
      <c r="K479" s="1"/>
      <c r="L479" s="343"/>
      <c r="M479" s="344"/>
      <c r="N479" s="344"/>
      <c r="O479" s="341"/>
      <c r="P479" s="341"/>
      <c r="Q479" s="79"/>
      <c r="R479" s="345"/>
      <c r="S479" s="344"/>
      <c r="T479" s="345"/>
      <c r="U479" s="344"/>
      <c r="V479" s="346"/>
      <c r="W479" s="347"/>
      <c r="X479" s="359"/>
      <c r="Y479" s="349"/>
      <c r="Z479" s="349"/>
      <c r="AB479" s="79"/>
      <c r="AC479" s="79"/>
      <c r="AD479" s="79"/>
      <c r="AE479" s="79"/>
      <c r="AF479" s="79"/>
      <c r="AG479" s="79"/>
      <c r="AH479" s="79"/>
      <c r="AI479" s="79"/>
    </row>
    <row r="480">
      <c r="A480" s="9"/>
      <c r="C480" s="350"/>
      <c r="D480" s="93"/>
      <c r="E480" s="1"/>
      <c r="F480" s="1"/>
      <c r="G480" s="1"/>
      <c r="H480" s="341"/>
      <c r="I480" s="358"/>
      <c r="J480" s="79"/>
      <c r="K480" s="1"/>
      <c r="L480" s="343"/>
      <c r="M480" s="344"/>
      <c r="N480" s="344"/>
      <c r="O480" s="341"/>
      <c r="P480" s="341"/>
      <c r="Q480" s="79"/>
      <c r="R480" s="345"/>
      <c r="S480" s="344"/>
      <c r="T480" s="345"/>
      <c r="U480" s="344"/>
      <c r="V480" s="346"/>
      <c r="W480" s="347"/>
      <c r="X480" s="359"/>
      <c r="Y480" s="349"/>
      <c r="Z480" s="349"/>
      <c r="AB480" s="79"/>
      <c r="AC480" s="79"/>
      <c r="AD480" s="79"/>
      <c r="AE480" s="79"/>
      <c r="AF480" s="79"/>
      <c r="AG480" s="79"/>
      <c r="AH480" s="79"/>
      <c r="AI480" s="79"/>
    </row>
    <row r="481">
      <c r="A481" s="9"/>
      <c r="C481" s="350"/>
      <c r="D481" s="93"/>
      <c r="E481" s="1"/>
      <c r="F481" s="1"/>
      <c r="G481" s="1"/>
      <c r="H481" s="341"/>
      <c r="I481" s="358"/>
      <c r="J481" s="79"/>
      <c r="K481" s="1"/>
      <c r="L481" s="343"/>
      <c r="M481" s="344"/>
      <c r="N481" s="344"/>
      <c r="O481" s="341"/>
      <c r="P481" s="341"/>
      <c r="Q481" s="79"/>
      <c r="R481" s="345"/>
      <c r="S481" s="344"/>
      <c r="T481" s="345"/>
      <c r="U481" s="344"/>
      <c r="V481" s="346"/>
      <c r="W481" s="347"/>
      <c r="X481" s="359"/>
      <c r="Y481" s="349"/>
      <c r="Z481" s="349"/>
      <c r="AB481" s="79"/>
      <c r="AC481" s="79"/>
      <c r="AD481" s="79"/>
      <c r="AE481" s="79"/>
      <c r="AF481" s="79"/>
      <c r="AG481" s="79"/>
      <c r="AH481" s="79"/>
      <c r="AI481" s="79"/>
    </row>
    <row r="482">
      <c r="A482" s="9"/>
      <c r="C482" s="350"/>
      <c r="D482" s="93"/>
      <c r="E482" s="1"/>
      <c r="F482" s="1"/>
      <c r="G482" s="1"/>
      <c r="H482" s="341"/>
      <c r="I482" s="358"/>
      <c r="J482" s="79"/>
      <c r="K482" s="1"/>
      <c r="L482" s="343"/>
      <c r="M482" s="344"/>
      <c r="N482" s="344"/>
      <c r="O482" s="341"/>
      <c r="P482" s="341"/>
      <c r="Q482" s="79"/>
      <c r="R482" s="345"/>
      <c r="S482" s="344"/>
      <c r="T482" s="345"/>
      <c r="U482" s="344"/>
      <c r="V482" s="346"/>
      <c r="W482" s="347"/>
      <c r="X482" s="359"/>
      <c r="Y482" s="349"/>
      <c r="Z482" s="349"/>
      <c r="AB482" s="79"/>
      <c r="AC482" s="79"/>
      <c r="AD482" s="79"/>
      <c r="AE482" s="79"/>
      <c r="AF482" s="79"/>
      <c r="AG482" s="79"/>
      <c r="AH482" s="79"/>
      <c r="AI482" s="79"/>
    </row>
    <row r="483">
      <c r="A483" s="9"/>
      <c r="C483" s="350"/>
      <c r="D483" s="93"/>
      <c r="E483" s="1"/>
      <c r="F483" s="1"/>
      <c r="G483" s="1"/>
      <c r="H483" s="341"/>
      <c r="I483" s="358"/>
      <c r="J483" s="79"/>
      <c r="K483" s="1"/>
      <c r="L483" s="343"/>
      <c r="M483" s="344"/>
      <c r="N483" s="344"/>
      <c r="O483" s="341"/>
      <c r="P483" s="341"/>
      <c r="Q483" s="79"/>
      <c r="R483" s="345"/>
      <c r="S483" s="344"/>
      <c r="T483" s="345"/>
      <c r="U483" s="344"/>
      <c r="V483" s="346"/>
      <c r="W483" s="347"/>
      <c r="X483" s="359"/>
      <c r="Y483" s="349"/>
      <c r="Z483" s="349"/>
      <c r="AB483" s="79"/>
      <c r="AC483" s="79"/>
      <c r="AD483" s="79"/>
      <c r="AE483" s="79"/>
      <c r="AF483" s="79"/>
      <c r="AG483" s="79"/>
      <c r="AH483" s="79"/>
      <c r="AI483" s="79"/>
    </row>
    <row r="484">
      <c r="A484" s="9"/>
      <c r="C484" s="350"/>
      <c r="D484" s="93"/>
      <c r="E484" s="1"/>
      <c r="F484" s="1"/>
      <c r="G484" s="1"/>
      <c r="H484" s="341"/>
      <c r="I484" s="358"/>
      <c r="J484" s="79"/>
      <c r="K484" s="1"/>
      <c r="L484" s="343"/>
      <c r="M484" s="344"/>
      <c r="N484" s="344"/>
      <c r="O484" s="341"/>
      <c r="P484" s="341"/>
      <c r="Q484" s="79"/>
      <c r="R484" s="345"/>
      <c r="S484" s="344"/>
      <c r="T484" s="345"/>
      <c r="U484" s="344"/>
      <c r="V484" s="346"/>
      <c r="W484" s="347"/>
      <c r="X484" s="359"/>
      <c r="Y484" s="349"/>
      <c r="Z484" s="349"/>
      <c r="AB484" s="79"/>
      <c r="AC484" s="79"/>
      <c r="AD484" s="79"/>
      <c r="AE484" s="79"/>
      <c r="AF484" s="79"/>
      <c r="AG484" s="79"/>
      <c r="AH484" s="79"/>
      <c r="AI484" s="79"/>
    </row>
    <row r="485">
      <c r="A485" s="9"/>
      <c r="C485" s="350"/>
      <c r="D485" s="93"/>
      <c r="E485" s="1"/>
      <c r="F485" s="1"/>
      <c r="G485" s="1"/>
      <c r="H485" s="341"/>
      <c r="I485" s="358"/>
      <c r="J485" s="79"/>
      <c r="K485" s="1"/>
      <c r="L485" s="343"/>
      <c r="M485" s="344"/>
      <c r="N485" s="344"/>
      <c r="O485" s="341"/>
      <c r="P485" s="341"/>
      <c r="Q485" s="79"/>
      <c r="R485" s="345"/>
      <c r="S485" s="344"/>
      <c r="T485" s="345"/>
      <c r="U485" s="344"/>
      <c r="V485" s="346"/>
      <c r="W485" s="347"/>
      <c r="X485" s="359"/>
      <c r="Y485" s="349"/>
      <c r="Z485" s="349"/>
      <c r="AB485" s="79"/>
      <c r="AC485" s="79"/>
      <c r="AD485" s="79"/>
      <c r="AE485" s="79"/>
      <c r="AF485" s="79"/>
      <c r="AG485" s="79"/>
      <c r="AH485" s="79"/>
      <c r="AI485" s="79"/>
    </row>
    <row r="486">
      <c r="A486" s="9"/>
      <c r="C486" s="350"/>
      <c r="D486" s="93"/>
      <c r="E486" s="1"/>
      <c r="F486" s="1"/>
      <c r="G486" s="1"/>
      <c r="H486" s="341"/>
      <c r="I486" s="358"/>
      <c r="J486" s="79"/>
      <c r="K486" s="1"/>
      <c r="L486" s="343"/>
      <c r="M486" s="344"/>
      <c r="N486" s="344"/>
      <c r="O486" s="341"/>
      <c r="P486" s="341"/>
      <c r="Q486" s="79"/>
      <c r="R486" s="345"/>
      <c r="S486" s="344"/>
      <c r="T486" s="345"/>
      <c r="U486" s="344"/>
      <c r="V486" s="346"/>
      <c r="W486" s="347"/>
      <c r="X486" s="359"/>
      <c r="Y486" s="349"/>
      <c r="Z486" s="349"/>
      <c r="AB486" s="79"/>
      <c r="AC486" s="79"/>
      <c r="AD486" s="79"/>
      <c r="AE486" s="79"/>
      <c r="AF486" s="79"/>
      <c r="AG486" s="79"/>
      <c r="AH486" s="79"/>
      <c r="AI486" s="79"/>
    </row>
    <row r="487">
      <c r="A487" s="9"/>
      <c r="C487" s="350"/>
      <c r="D487" s="93"/>
      <c r="E487" s="1"/>
      <c r="F487" s="1"/>
      <c r="G487" s="1"/>
      <c r="H487" s="341"/>
      <c r="I487" s="358"/>
      <c r="J487" s="79"/>
      <c r="K487" s="1"/>
      <c r="L487" s="343"/>
      <c r="M487" s="344"/>
      <c r="N487" s="344"/>
      <c r="O487" s="341"/>
      <c r="P487" s="341"/>
      <c r="Q487" s="79"/>
      <c r="R487" s="345"/>
      <c r="S487" s="344"/>
      <c r="T487" s="345"/>
      <c r="U487" s="344"/>
      <c r="V487" s="346"/>
      <c r="W487" s="347"/>
      <c r="X487" s="359"/>
      <c r="Y487" s="349"/>
      <c r="Z487" s="349"/>
      <c r="AB487" s="79"/>
      <c r="AC487" s="79"/>
      <c r="AD487" s="79"/>
      <c r="AE487" s="79"/>
      <c r="AF487" s="79"/>
      <c r="AG487" s="79"/>
      <c r="AH487" s="79"/>
      <c r="AI487" s="79"/>
    </row>
    <row r="488">
      <c r="A488" s="9"/>
      <c r="C488" s="350"/>
      <c r="D488" s="93"/>
      <c r="E488" s="1"/>
      <c r="F488" s="1"/>
      <c r="G488" s="1"/>
      <c r="H488" s="341"/>
      <c r="I488" s="358"/>
      <c r="J488" s="79"/>
      <c r="K488" s="1"/>
      <c r="L488" s="343"/>
      <c r="M488" s="344"/>
      <c r="N488" s="344"/>
      <c r="O488" s="341"/>
      <c r="P488" s="341"/>
      <c r="Q488" s="79"/>
      <c r="R488" s="345"/>
      <c r="S488" s="344"/>
      <c r="T488" s="345"/>
      <c r="U488" s="344"/>
      <c r="V488" s="346"/>
      <c r="W488" s="347"/>
      <c r="X488" s="359"/>
      <c r="Y488" s="349"/>
      <c r="Z488" s="349"/>
      <c r="AB488" s="79"/>
      <c r="AC488" s="79"/>
      <c r="AD488" s="79"/>
      <c r="AE488" s="79"/>
      <c r="AF488" s="79"/>
      <c r="AG488" s="79"/>
      <c r="AH488" s="79"/>
      <c r="AI488" s="79"/>
    </row>
    <row r="489">
      <c r="A489" s="9"/>
      <c r="C489" s="350"/>
      <c r="D489" s="93"/>
      <c r="E489" s="1"/>
      <c r="F489" s="1"/>
      <c r="G489" s="1"/>
      <c r="H489" s="341"/>
      <c r="I489" s="358"/>
      <c r="J489" s="79"/>
      <c r="K489" s="1"/>
      <c r="L489" s="343"/>
      <c r="M489" s="344"/>
      <c r="N489" s="344"/>
      <c r="O489" s="341"/>
      <c r="P489" s="341"/>
      <c r="Q489" s="79"/>
      <c r="R489" s="345"/>
      <c r="S489" s="344"/>
      <c r="T489" s="345"/>
      <c r="U489" s="344"/>
      <c r="V489" s="346"/>
      <c r="W489" s="347"/>
      <c r="X489" s="359"/>
      <c r="Y489" s="349"/>
      <c r="Z489" s="349"/>
      <c r="AB489" s="79"/>
      <c r="AC489" s="79"/>
      <c r="AD489" s="79"/>
      <c r="AE489" s="79"/>
      <c r="AF489" s="79"/>
      <c r="AG489" s="79"/>
      <c r="AH489" s="79"/>
      <c r="AI489" s="79"/>
    </row>
    <row r="490">
      <c r="A490" s="9"/>
      <c r="C490" s="350"/>
      <c r="D490" s="93"/>
      <c r="E490" s="1"/>
      <c r="F490" s="1"/>
      <c r="G490" s="1"/>
      <c r="H490" s="341"/>
      <c r="I490" s="358"/>
      <c r="J490" s="79"/>
      <c r="K490" s="1"/>
      <c r="L490" s="343"/>
      <c r="M490" s="344"/>
      <c r="N490" s="344"/>
      <c r="O490" s="341"/>
      <c r="P490" s="341"/>
      <c r="Q490" s="79"/>
      <c r="R490" s="345"/>
      <c r="S490" s="344"/>
      <c r="T490" s="345"/>
      <c r="U490" s="344"/>
      <c r="V490" s="346"/>
      <c r="W490" s="347"/>
      <c r="X490" s="359"/>
      <c r="Y490" s="349"/>
      <c r="Z490" s="349"/>
      <c r="AB490" s="79"/>
      <c r="AC490" s="79"/>
      <c r="AD490" s="79"/>
      <c r="AE490" s="79"/>
      <c r="AF490" s="79"/>
      <c r="AG490" s="79"/>
      <c r="AH490" s="79"/>
      <c r="AI490" s="79"/>
    </row>
    <row r="491">
      <c r="A491" s="9"/>
      <c r="C491" s="350"/>
      <c r="D491" s="93"/>
      <c r="E491" s="1"/>
      <c r="F491" s="1"/>
      <c r="G491" s="1"/>
      <c r="H491" s="341"/>
      <c r="I491" s="358"/>
      <c r="J491" s="79"/>
      <c r="K491" s="1"/>
      <c r="L491" s="343"/>
      <c r="M491" s="344"/>
      <c r="N491" s="344"/>
      <c r="O491" s="341"/>
      <c r="P491" s="341"/>
      <c r="Q491" s="79"/>
      <c r="R491" s="345"/>
      <c r="S491" s="344"/>
      <c r="T491" s="345"/>
      <c r="U491" s="344"/>
      <c r="V491" s="346"/>
      <c r="W491" s="347"/>
      <c r="X491" s="359"/>
      <c r="Y491" s="349"/>
      <c r="Z491" s="349"/>
      <c r="AB491" s="79"/>
      <c r="AC491" s="79"/>
      <c r="AD491" s="79"/>
      <c r="AE491" s="79"/>
      <c r="AF491" s="79"/>
      <c r="AG491" s="79"/>
      <c r="AH491" s="79"/>
      <c r="AI491" s="79"/>
    </row>
    <row r="492">
      <c r="A492" s="9"/>
      <c r="C492" s="350"/>
      <c r="D492" s="93"/>
      <c r="E492" s="1"/>
      <c r="F492" s="1"/>
      <c r="G492" s="1"/>
      <c r="H492" s="341"/>
      <c r="I492" s="358"/>
      <c r="J492" s="79"/>
      <c r="K492" s="1"/>
      <c r="L492" s="343"/>
      <c r="M492" s="344"/>
      <c r="N492" s="344"/>
      <c r="O492" s="341"/>
      <c r="P492" s="341"/>
      <c r="Q492" s="79"/>
      <c r="R492" s="345"/>
      <c r="S492" s="344"/>
      <c r="T492" s="345"/>
      <c r="U492" s="344"/>
      <c r="V492" s="346"/>
      <c r="W492" s="347"/>
      <c r="X492" s="359"/>
      <c r="Y492" s="349"/>
      <c r="Z492" s="349"/>
      <c r="AB492" s="79"/>
      <c r="AC492" s="79"/>
      <c r="AD492" s="79"/>
      <c r="AE492" s="79"/>
      <c r="AF492" s="79"/>
      <c r="AG492" s="79"/>
      <c r="AH492" s="79"/>
      <c r="AI492" s="79"/>
    </row>
    <row r="493">
      <c r="A493" s="9"/>
      <c r="C493" s="350"/>
      <c r="D493" s="93"/>
      <c r="E493" s="1"/>
      <c r="F493" s="1"/>
      <c r="G493" s="1"/>
      <c r="H493" s="341"/>
      <c r="I493" s="358"/>
      <c r="J493" s="79"/>
      <c r="K493" s="1"/>
      <c r="L493" s="343"/>
      <c r="M493" s="344"/>
      <c r="N493" s="344"/>
      <c r="O493" s="341"/>
      <c r="P493" s="341"/>
      <c r="Q493" s="79"/>
      <c r="R493" s="345"/>
      <c r="S493" s="344"/>
      <c r="T493" s="345"/>
      <c r="U493" s="344"/>
      <c r="V493" s="346"/>
      <c r="W493" s="347"/>
      <c r="X493" s="359"/>
      <c r="Y493" s="349"/>
      <c r="Z493" s="349"/>
      <c r="AB493" s="79"/>
      <c r="AC493" s="79"/>
      <c r="AD493" s="79"/>
      <c r="AE493" s="79"/>
      <c r="AF493" s="79"/>
      <c r="AG493" s="79"/>
      <c r="AH493" s="79"/>
      <c r="AI493" s="79"/>
    </row>
    <row r="494">
      <c r="A494" s="9"/>
      <c r="C494" s="350"/>
      <c r="D494" s="93"/>
      <c r="E494" s="1"/>
      <c r="F494" s="1"/>
      <c r="G494" s="1"/>
      <c r="H494" s="341"/>
      <c r="I494" s="358"/>
      <c r="J494" s="79"/>
      <c r="K494" s="1"/>
      <c r="L494" s="343"/>
      <c r="M494" s="344"/>
      <c r="N494" s="344"/>
      <c r="O494" s="341"/>
      <c r="P494" s="341"/>
      <c r="Q494" s="79"/>
      <c r="R494" s="345"/>
      <c r="S494" s="344"/>
      <c r="T494" s="345"/>
      <c r="U494" s="344"/>
      <c r="V494" s="346"/>
      <c r="W494" s="347"/>
      <c r="X494" s="359"/>
      <c r="Y494" s="349"/>
      <c r="Z494" s="349"/>
      <c r="AB494" s="79"/>
      <c r="AC494" s="79"/>
      <c r="AD494" s="79"/>
      <c r="AE494" s="79"/>
      <c r="AF494" s="79"/>
      <c r="AG494" s="79"/>
      <c r="AH494" s="79"/>
      <c r="AI494" s="79"/>
    </row>
    <row r="495">
      <c r="A495" s="9"/>
      <c r="C495" s="350"/>
      <c r="D495" s="93"/>
      <c r="E495" s="1"/>
      <c r="F495" s="1"/>
      <c r="G495" s="1"/>
      <c r="H495" s="341"/>
      <c r="I495" s="358"/>
      <c r="J495" s="79"/>
      <c r="K495" s="1"/>
      <c r="L495" s="343"/>
      <c r="M495" s="344"/>
      <c r="N495" s="344"/>
      <c r="O495" s="341"/>
      <c r="P495" s="341"/>
      <c r="Q495" s="79"/>
      <c r="R495" s="345"/>
      <c r="S495" s="344"/>
      <c r="T495" s="345"/>
      <c r="U495" s="344"/>
      <c r="V495" s="346"/>
      <c r="W495" s="347"/>
      <c r="X495" s="359"/>
      <c r="Y495" s="349"/>
      <c r="Z495" s="349"/>
      <c r="AB495" s="79"/>
      <c r="AC495" s="79"/>
      <c r="AD495" s="79"/>
      <c r="AE495" s="79"/>
      <c r="AF495" s="79"/>
      <c r="AG495" s="79"/>
      <c r="AH495" s="79"/>
      <c r="AI495" s="79"/>
    </row>
    <row r="496">
      <c r="A496" s="9"/>
      <c r="C496" s="350"/>
      <c r="D496" s="93"/>
      <c r="E496" s="1"/>
      <c r="F496" s="1"/>
      <c r="G496" s="1"/>
      <c r="H496" s="341"/>
      <c r="I496" s="358"/>
      <c r="J496" s="79"/>
      <c r="K496" s="1"/>
      <c r="L496" s="343"/>
      <c r="M496" s="344"/>
      <c r="N496" s="344"/>
      <c r="O496" s="341"/>
      <c r="P496" s="341"/>
      <c r="Q496" s="79"/>
      <c r="R496" s="345"/>
      <c r="S496" s="344"/>
      <c r="T496" s="345"/>
      <c r="U496" s="344"/>
      <c r="V496" s="346"/>
      <c r="W496" s="347"/>
      <c r="X496" s="359"/>
      <c r="Y496" s="349"/>
      <c r="Z496" s="349"/>
      <c r="AB496" s="79"/>
      <c r="AC496" s="79"/>
      <c r="AD496" s="79"/>
      <c r="AE496" s="79"/>
      <c r="AF496" s="79"/>
      <c r="AG496" s="79"/>
      <c r="AH496" s="79"/>
      <c r="AI496" s="79"/>
    </row>
    <row r="497">
      <c r="A497" s="9"/>
      <c r="C497" s="350"/>
      <c r="D497" s="93"/>
      <c r="E497" s="1"/>
      <c r="F497" s="1"/>
      <c r="G497" s="1"/>
      <c r="H497" s="341"/>
      <c r="I497" s="358"/>
      <c r="J497" s="79"/>
      <c r="K497" s="1"/>
      <c r="L497" s="343"/>
      <c r="M497" s="344"/>
      <c r="N497" s="344"/>
      <c r="O497" s="341"/>
      <c r="P497" s="341"/>
      <c r="Q497" s="79"/>
      <c r="R497" s="345"/>
      <c r="S497" s="344"/>
      <c r="T497" s="345"/>
      <c r="U497" s="344"/>
      <c r="V497" s="346"/>
      <c r="W497" s="347"/>
      <c r="X497" s="359"/>
      <c r="Y497" s="349"/>
      <c r="Z497" s="349"/>
      <c r="AB497" s="79"/>
      <c r="AC497" s="79"/>
      <c r="AD497" s="79"/>
      <c r="AE497" s="79"/>
      <c r="AF497" s="79"/>
      <c r="AG497" s="79"/>
      <c r="AH497" s="79"/>
      <c r="AI497" s="79"/>
    </row>
    <row r="498">
      <c r="A498" s="9"/>
      <c r="C498" s="350"/>
      <c r="D498" s="93"/>
      <c r="E498" s="1"/>
      <c r="F498" s="1"/>
      <c r="G498" s="1"/>
      <c r="H498" s="341"/>
      <c r="I498" s="358"/>
      <c r="J498" s="79"/>
      <c r="K498" s="1"/>
      <c r="L498" s="343"/>
      <c r="M498" s="344"/>
      <c r="N498" s="344"/>
      <c r="O498" s="341"/>
      <c r="P498" s="341"/>
      <c r="Q498" s="79"/>
      <c r="R498" s="345"/>
      <c r="S498" s="344"/>
      <c r="T498" s="345"/>
      <c r="U498" s="344"/>
      <c r="V498" s="346"/>
      <c r="W498" s="347"/>
      <c r="X498" s="359"/>
      <c r="Y498" s="349"/>
      <c r="Z498" s="349"/>
      <c r="AB498" s="79"/>
      <c r="AC498" s="79"/>
      <c r="AD498" s="79"/>
      <c r="AE498" s="79"/>
      <c r="AF498" s="79"/>
      <c r="AG498" s="79"/>
      <c r="AH498" s="79"/>
      <c r="AI498" s="79"/>
    </row>
    <row r="499">
      <c r="A499" s="9"/>
      <c r="C499" s="350"/>
      <c r="D499" s="93"/>
      <c r="E499" s="1"/>
      <c r="F499" s="1"/>
      <c r="G499" s="1"/>
      <c r="H499" s="341"/>
      <c r="I499" s="358"/>
      <c r="J499" s="79"/>
      <c r="K499" s="1"/>
      <c r="L499" s="343"/>
      <c r="M499" s="344"/>
      <c r="N499" s="344"/>
      <c r="O499" s="341"/>
      <c r="P499" s="341"/>
      <c r="Q499" s="79"/>
      <c r="R499" s="345"/>
      <c r="S499" s="344"/>
      <c r="T499" s="345"/>
      <c r="U499" s="344"/>
      <c r="V499" s="346"/>
      <c r="W499" s="347"/>
      <c r="X499" s="359"/>
      <c r="Y499" s="349"/>
      <c r="Z499" s="349"/>
      <c r="AB499" s="79"/>
      <c r="AC499" s="79"/>
      <c r="AD499" s="79"/>
      <c r="AE499" s="79"/>
      <c r="AF499" s="79"/>
      <c r="AG499" s="79"/>
      <c r="AH499" s="79"/>
      <c r="AI499" s="79"/>
    </row>
    <row r="500">
      <c r="A500" s="9"/>
      <c r="C500" s="350"/>
      <c r="D500" s="93"/>
      <c r="E500" s="1"/>
      <c r="F500" s="1"/>
      <c r="G500" s="1"/>
      <c r="H500" s="341"/>
      <c r="I500" s="358"/>
      <c r="J500" s="79"/>
      <c r="K500" s="1"/>
      <c r="L500" s="343"/>
      <c r="M500" s="344"/>
      <c r="N500" s="344"/>
      <c r="O500" s="341"/>
      <c r="P500" s="341"/>
      <c r="Q500" s="79"/>
      <c r="R500" s="345"/>
      <c r="S500" s="344"/>
      <c r="T500" s="345"/>
      <c r="U500" s="344"/>
      <c r="V500" s="346"/>
      <c r="W500" s="347"/>
      <c r="X500" s="359"/>
      <c r="Y500" s="349"/>
      <c r="Z500" s="349"/>
      <c r="AB500" s="79"/>
      <c r="AC500" s="79"/>
      <c r="AD500" s="79"/>
      <c r="AE500" s="79"/>
      <c r="AF500" s="79"/>
      <c r="AG500" s="79"/>
      <c r="AH500" s="79"/>
      <c r="AI500" s="79"/>
    </row>
    <row r="501">
      <c r="A501" s="9"/>
      <c r="C501" s="350"/>
      <c r="D501" s="93"/>
      <c r="E501" s="1"/>
      <c r="F501" s="1"/>
      <c r="G501" s="1"/>
      <c r="H501" s="341"/>
      <c r="I501" s="358"/>
      <c r="J501" s="79"/>
      <c r="K501" s="1"/>
      <c r="L501" s="343"/>
      <c r="M501" s="344"/>
      <c r="N501" s="344"/>
      <c r="O501" s="341"/>
      <c r="P501" s="341"/>
      <c r="Q501" s="79"/>
      <c r="R501" s="345"/>
      <c r="S501" s="344"/>
      <c r="T501" s="345"/>
      <c r="U501" s="344"/>
      <c r="V501" s="346"/>
      <c r="W501" s="347"/>
      <c r="X501" s="359"/>
      <c r="Y501" s="349"/>
      <c r="Z501" s="349"/>
      <c r="AB501" s="79"/>
      <c r="AC501" s="79"/>
      <c r="AD501" s="79"/>
      <c r="AE501" s="79"/>
      <c r="AF501" s="79"/>
      <c r="AG501" s="79"/>
      <c r="AH501" s="79"/>
      <c r="AI501" s="79"/>
    </row>
    <row r="502">
      <c r="A502" s="9"/>
      <c r="C502" s="350"/>
      <c r="D502" s="93"/>
      <c r="E502" s="1"/>
      <c r="F502" s="1"/>
      <c r="G502" s="1"/>
      <c r="H502" s="341"/>
      <c r="I502" s="358"/>
      <c r="J502" s="79"/>
      <c r="K502" s="1"/>
      <c r="L502" s="343"/>
      <c r="M502" s="344"/>
      <c r="N502" s="344"/>
      <c r="O502" s="341"/>
      <c r="P502" s="341"/>
      <c r="Q502" s="79"/>
      <c r="R502" s="345"/>
      <c r="S502" s="344"/>
      <c r="T502" s="345"/>
      <c r="U502" s="344"/>
      <c r="V502" s="346"/>
      <c r="W502" s="347"/>
      <c r="X502" s="359"/>
      <c r="Y502" s="349"/>
      <c r="Z502" s="349"/>
      <c r="AB502" s="79"/>
      <c r="AC502" s="79"/>
      <c r="AD502" s="79"/>
      <c r="AE502" s="79"/>
      <c r="AF502" s="79"/>
      <c r="AG502" s="79"/>
      <c r="AH502" s="79"/>
      <c r="AI502" s="79"/>
    </row>
    <row r="503">
      <c r="A503" s="9"/>
      <c r="C503" s="350"/>
      <c r="D503" s="93"/>
      <c r="E503" s="1"/>
      <c r="F503" s="1"/>
      <c r="G503" s="1"/>
      <c r="H503" s="341"/>
      <c r="I503" s="358"/>
      <c r="J503" s="79"/>
      <c r="K503" s="1"/>
      <c r="L503" s="343"/>
      <c r="M503" s="344"/>
      <c r="N503" s="344"/>
      <c r="O503" s="341"/>
      <c r="P503" s="341"/>
      <c r="Q503" s="79"/>
      <c r="R503" s="345"/>
      <c r="S503" s="344"/>
      <c r="T503" s="345"/>
      <c r="U503" s="344"/>
      <c r="V503" s="346"/>
      <c r="W503" s="347"/>
      <c r="X503" s="359"/>
      <c r="Y503" s="349"/>
      <c r="Z503" s="349"/>
      <c r="AB503" s="79"/>
      <c r="AC503" s="79"/>
      <c r="AD503" s="79"/>
      <c r="AE503" s="79"/>
      <c r="AF503" s="79"/>
      <c r="AG503" s="79"/>
      <c r="AH503" s="79"/>
      <c r="AI503" s="79"/>
    </row>
    <row r="504">
      <c r="A504" s="9"/>
      <c r="C504" s="350"/>
      <c r="D504" s="93"/>
      <c r="E504" s="1"/>
      <c r="F504" s="1"/>
      <c r="G504" s="1"/>
      <c r="H504" s="341"/>
      <c r="I504" s="358"/>
      <c r="J504" s="79"/>
      <c r="K504" s="1"/>
      <c r="L504" s="343"/>
      <c r="M504" s="344"/>
      <c r="N504" s="344"/>
      <c r="O504" s="341"/>
      <c r="P504" s="341"/>
      <c r="Q504" s="79"/>
      <c r="R504" s="345"/>
      <c r="S504" s="344"/>
      <c r="T504" s="345"/>
      <c r="U504" s="344"/>
      <c r="V504" s="346"/>
      <c r="W504" s="347"/>
      <c r="X504" s="359"/>
      <c r="Y504" s="349"/>
      <c r="Z504" s="349"/>
      <c r="AB504" s="79"/>
      <c r="AC504" s="79"/>
      <c r="AD504" s="79"/>
      <c r="AE504" s="79"/>
      <c r="AF504" s="79"/>
      <c r="AG504" s="79"/>
      <c r="AH504" s="79"/>
      <c r="AI504" s="79"/>
    </row>
    <row r="505">
      <c r="A505" s="9"/>
      <c r="C505" s="350"/>
      <c r="D505" s="93"/>
      <c r="E505" s="1"/>
      <c r="F505" s="1"/>
      <c r="G505" s="1"/>
      <c r="H505" s="341"/>
      <c r="I505" s="358"/>
      <c r="J505" s="79"/>
      <c r="K505" s="1"/>
      <c r="L505" s="343"/>
      <c r="M505" s="344"/>
      <c r="N505" s="344"/>
      <c r="O505" s="341"/>
      <c r="P505" s="341"/>
      <c r="Q505" s="79"/>
      <c r="R505" s="345"/>
      <c r="S505" s="344"/>
      <c r="T505" s="345"/>
      <c r="U505" s="344"/>
      <c r="V505" s="346"/>
      <c r="W505" s="347"/>
      <c r="X505" s="359"/>
      <c r="Y505" s="349"/>
      <c r="Z505" s="349"/>
      <c r="AB505" s="79"/>
      <c r="AC505" s="79"/>
      <c r="AD505" s="79"/>
      <c r="AE505" s="79"/>
      <c r="AF505" s="79"/>
      <c r="AG505" s="79"/>
      <c r="AH505" s="79"/>
      <c r="AI505" s="79"/>
    </row>
    <row r="506">
      <c r="A506" s="9"/>
      <c r="C506" s="350"/>
      <c r="D506" s="93"/>
      <c r="E506" s="1"/>
      <c r="F506" s="1"/>
      <c r="G506" s="1"/>
      <c r="H506" s="341"/>
      <c r="I506" s="358"/>
      <c r="J506" s="79"/>
      <c r="K506" s="1"/>
      <c r="L506" s="343"/>
      <c r="M506" s="344"/>
      <c r="N506" s="344"/>
      <c r="O506" s="341"/>
      <c r="P506" s="341"/>
      <c r="Q506" s="79"/>
      <c r="R506" s="345"/>
      <c r="S506" s="344"/>
      <c r="T506" s="345"/>
      <c r="U506" s="344"/>
      <c r="V506" s="346"/>
      <c r="W506" s="347"/>
      <c r="X506" s="359"/>
      <c r="Y506" s="349"/>
      <c r="Z506" s="349"/>
      <c r="AB506" s="79"/>
      <c r="AC506" s="79"/>
      <c r="AD506" s="79"/>
      <c r="AE506" s="79"/>
      <c r="AF506" s="79"/>
      <c r="AG506" s="79"/>
      <c r="AH506" s="79"/>
      <c r="AI506" s="79"/>
    </row>
    <row r="507">
      <c r="A507" s="9"/>
      <c r="C507" s="350"/>
      <c r="D507" s="93"/>
      <c r="E507" s="1"/>
      <c r="F507" s="1"/>
      <c r="G507" s="1"/>
      <c r="H507" s="341"/>
      <c r="I507" s="358"/>
      <c r="J507" s="79"/>
      <c r="K507" s="1"/>
      <c r="L507" s="343"/>
      <c r="M507" s="344"/>
      <c r="N507" s="344"/>
      <c r="O507" s="341"/>
      <c r="P507" s="341"/>
      <c r="Q507" s="79"/>
      <c r="R507" s="345"/>
      <c r="S507" s="344"/>
      <c r="T507" s="345"/>
      <c r="U507" s="344"/>
      <c r="V507" s="346"/>
      <c r="W507" s="347"/>
      <c r="X507" s="359"/>
      <c r="Y507" s="349"/>
      <c r="Z507" s="349"/>
      <c r="AB507" s="79"/>
      <c r="AC507" s="79"/>
      <c r="AD507" s="79"/>
      <c r="AE507" s="79"/>
      <c r="AF507" s="79"/>
      <c r="AG507" s="79"/>
      <c r="AH507" s="79"/>
      <c r="AI507" s="79"/>
    </row>
    <row r="508">
      <c r="A508" s="9"/>
      <c r="C508" s="350"/>
      <c r="D508" s="93"/>
      <c r="E508" s="1"/>
      <c r="F508" s="1"/>
      <c r="G508" s="1"/>
      <c r="H508" s="341"/>
      <c r="I508" s="358"/>
      <c r="J508" s="79"/>
      <c r="K508" s="1"/>
      <c r="L508" s="343"/>
      <c r="M508" s="344"/>
      <c r="N508" s="344"/>
      <c r="O508" s="341"/>
      <c r="P508" s="341"/>
      <c r="Q508" s="79"/>
      <c r="R508" s="345"/>
      <c r="S508" s="344"/>
      <c r="T508" s="345"/>
      <c r="U508" s="344"/>
      <c r="V508" s="346"/>
      <c r="W508" s="347"/>
      <c r="X508" s="359"/>
      <c r="Y508" s="349"/>
      <c r="Z508" s="349"/>
      <c r="AB508" s="79"/>
      <c r="AC508" s="79"/>
      <c r="AD508" s="79"/>
      <c r="AE508" s="79"/>
      <c r="AF508" s="79"/>
      <c r="AG508" s="79"/>
      <c r="AH508" s="79"/>
      <c r="AI508" s="79"/>
    </row>
    <row r="509">
      <c r="A509" s="9"/>
      <c r="C509" s="350"/>
      <c r="D509" s="93"/>
      <c r="E509" s="1"/>
      <c r="F509" s="1"/>
      <c r="G509" s="1"/>
      <c r="H509" s="341"/>
      <c r="I509" s="358"/>
      <c r="J509" s="79"/>
      <c r="K509" s="1"/>
      <c r="L509" s="343"/>
      <c r="M509" s="344"/>
      <c r="N509" s="344"/>
      <c r="O509" s="341"/>
      <c r="P509" s="341"/>
      <c r="Q509" s="79"/>
      <c r="R509" s="345"/>
      <c r="S509" s="344"/>
      <c r="T509" s="345"/>
      <c r="U509" s="344"/>
      <c r="V509" s="346"/>
      <c r="W509" s="347"/>
      <c r="X509" s="359"/>
      <c r="Y509" s="349"/>
      <c r="Z509" s="349"/>
      <c r="AB509" s="79"/>
      <c r="AC509" s="79"/>
      <c r="AD509" s="79"/>
      <c r="AE509" s="79"/>
      <c r="AF509" s="79"/>
      <c r="AG509" s="79"/>
      <c r="AH509" s="79"/>
      <c r="AI509" s="79"/>
    </row>
    <row r="510">
      <c r="A510" s="9"/>
      <c r="C510" s="350"/>
      <c r="D510" s="93"/>
      <c r="E510" s="1"/>
      <c r="F510" s="1"/>
      <c r="G510" s="1"/>
      <c r="H510" s="341"/>
      <c r="I510" s="358"/>
      <c r="J510" s="79"/>
      <c r="K510" s="1"/>
      <c r="L510" s="343"/>
      <c r="M510" s="344"/>
      <c r="N510" s="344"/>
      <c r="O510" s="341"/>
      <c r="P510" s="341"/>
      <c r="Q510" s="79"/>
      <c r="R510" s="345"/>
      <c r="S510" s="344"/>
      <c r="T510" s="345"/>
      <c r="U510" s="344"/>
      <c r="V510" s="346"/>
      <c r="W510" s="347"/>
      <c r="X510" s="359"/>
      <c r="Y510" s="349"/>
      <c r="Z510" s="349"/>
      <c r="AB510" s="79"/>
      <c r="AC510" s="79"/>
      <c r="AD510" s="79"/>
      <c r="AE510" s="79"/>
      <c r="AF510" s="79"/>
      <c r="AG510" s="79"/>
      <c r="AH510" s="79"/>
      <c r="AI510" s="79"/>
    </row>
    <row r="511">
      <c r="A511" s="9"/>
      <c r="C511" s="350"/>
      <c r="D511" s="93"/>
      <c r="E511" s="1"/>
      <c r="F511" s="1"/>
      <c r="G511" s="1"/>
      <c r="H511" s="341"/>
      <c r="I511" s="358"/>
      <c r="J511" s="79"/>
      <c r="K511" s="1"/>
      <c r="L511" s="343"/>
      <c r="M511" s="344"/>
      <c r="N511" s="344"/>
      <c r="O511" s="341"/>
      <c r="P511" s="341"/>
      <c r="Q511" s="79"/>
      <c r="R511" s="345"/>
      <c r="S511" s="344"/>
      <c r="T511" s="345"/>
      <c r="U511" s="344"/>
      <c r="V511" s="346"/>
      <c r="W511" s="347"/>
      <c r="X511" s="359"/>
      <c r="Y511" s="349"/>
      <c r="Z511" s="349"/>
      <c r="AB511" s="79"/>
      <c r="AC511" s="79"/>
      <c r="AD511" s="79"/>
      <c r="AE511" s="79"/>
      <c r="AF511" s="79"/>
      <c r="AG511" s="79"/>
      <c r="AH511" s="79"/>
      <c r="AI511" s="79"/>
    </row>
    <row r="512">
      <c r="A512" s="9"/>
      <c r="C512" s="350"/>
      <c r="D512" s="93"/>
      <c r="E512" s="1"/>
      <c r="F512" s="1"/>
      <c r="G512" s="1"/>
      <c r="H512" s="341"/>
      <c r="I512" s="358"/>
      <c r="J512" s="79"/>
      <c r="K512" s="1"/>
      <c r="L512" s="343"/>
      <c r="M512" s="344"/>
      <c r="N512" s="344"/>
      <c r="O512" s="341"/>
      <c r="P512" s="341"/>
      <c r="Q512" s="79"/>
      <c r="R512" s="345"/>
      <c r="S512" s="344"/>
      <c r="T512" s="345"/>
      <c r="U512" s="344"/>
      <c r="V512" s="346"/>
      <c r="W512" s="347"/>
      <c r="X512" s="359"/>
      <c r="Y512" s="349"/>
      <c r="Z512" s="349"/>
      <c r="AB512" s="79"/>
      <c r="AC512" s="79"/>
      <c r="AD512" s="79"/>
      <c r="AE512" s="79"/>
      <c r="AF512" s="79"/>
      <c r="AG512" s="79"/>
      <c r="AH512" s="79"/>
      <c r="AI512" s="79"/>
    </row>
    <row r="513">
      <c r="A513" s="9"/>
      <c r="C513" s="350"/>
      <c r="D513" s="93"/>
      <c r="E513" s="1"/>
      <c r="F513" s="1"/>
      <c r="G513" s="1"/>
      <c r="H513" s="341"/>
      <c r="I513" s="358"/>
      <c r="J513" s="79"/>
      <c r="K513" s="1"/>
      <c r="L513" s="343"/>
      <c r="M513" s="344"/>
      <c r="N513" s="344"/>
      <c r="O513" s="341"/>
      <c r="P513" s="341"/>
      <c r="Q513" s="79"/>
      <c r="R513" s="345"/>
      <c r="S513" s="344"/>
      <c r="T513" s="345"/>
      <c r="U513" s="344"/>
      <c r="V513" s="346"/>
      <c r="W513" s="347"/>
      <c r="X513" s="359"/>
      <c r="Y513" s="349"/>
      <c r="Z513" s="349"/>
      <c r="AB513" s="79"/>
      <c r="AC513" s="79"/>
      <c r="AD513" s="79"/>
      <c r="AE513" s="79"/>
      <c r="AF513" s="79"/>
      <c r="AG513" s="79"/>
      <c r="AH513" s="79"/>
      <c r="AI513" s="79"/>
    </row>
    <row r="514">
      <c r="A514" s="9"/>
      <c r="C514" s="350"/>
      <c r="D514" s="93"/>
      <c r="E514" s="1"/>
      <c r="F514" s="1"/>
      <c r="G514" s="1"/>
      <c r="H514" s="341"/>
      <c r="I514" s="358"/>
      <c r="J514" s="79"/>
      <c r="K514" s="1"/>
      <c r="L514" s="343"/>
      <c r="M514" s="344"/>
      <c r="N514" s="344"/>
      <c r="O514" s="341"/>
      <c r="P514" s="341"/>
      <c r="Q514" s="79"/>
      <c r="R514" s="345"/>
      <c r="S514" s="344"/>
      <c r="T514" s="345"/>
      <c r="U514" s="344"/>
      <c r="V514" s="346"/>
      <c r="W514" s="347"/>
      <c r="X514" s="359"/>
      <c r="Y514" s="349"/>
      <c r="Z514" s="349"/>
      <c r="AB514" s="79"/>
      <c r="AC514" s="79"/>
      <c r="AD514" s="79"/>
      <c r="AE514" s="79"/>
      <c r="AF514" s="79"/>
      <c r="AG514" s="79"/>
      <c r="AH514" s="79"/>
      <c r="AI514" s="79"/>
    </row>
    <row r="515">
      <c r="A515" s="9"/>
      <c r="C515" s="350"/>
      <c r="D515" s="93"/>
      <c r="E515" s="1"/>
      <c r="F515" s="1"/>
      <c r="G515" s="1"/>
      <c r="H515" s="341"/>
      <c r="I515" s="358"/>
      <c r="J515" s="79"/>
      <c r="K515" s="1"/>
      <c r="L515" s="343"/>
      <c r="M515" s="344"/>
      <c r="N515" s="344"/>
      <c r="O515" s="341"/>
      <c r="P515" s="341"/>
      <c r="Q515" s="79"/>
      <c r="R515" s="345"/>
      <c r="S515" s="344"/>
      <c r="T515" s="345"/>
      <c r="U515" s="344"/>
      <c r="V515" s="346"/>
      <c r="W515" s="347"/>
      <c r="X515" s="359"/>
      <c r="Y515" s="349"/>
      <c r="Z515" s="349"/>
      <c r="AB515" s="79"/>
      <c r="AC515" s="79"/>
      <c r="AD515" s="79"/>
      <c r="AE515" s="79"/>
      <c r="AF515" s="79"/>
      <c r="AG515" s="79"/>
      <c r="AH515" s="79"/>
      <c r="AI515" s="79"/>
    </row>
    <row r="516">
      <c r="A516" s="9"/>
      <c r="C516" s="350"/>
      <c r="D516" s="93"/>
      <c r="E516" s="1"/>
      <c r="F516" s="1"/>
      <c r="G516" s="1"/>
      <c r="H516" s="341"/>
      <c r="I516" s="358"/>
      <c r="J516" s="79"/>
      <c r="K516" s="1"/>
      <c r="L516" s="343"/>
      <c r="M516" s="344"/>
      <c r="N516" s="344"/>
      <c r="O516" s="341"/>
      <c r="P516" s="341"/>
      <c r="Q516" s="79"/>
      <c r="R516" s="345"/>
      <c r="S516" s="344"/>
      <c r="T516" s="345"/>
      <c r="U516" s="344"/>
      <c r="V516" s="346"/>
      <c r="W516" s="347"/>
      <c r="X516" s="359"/>
      <c r="Y516" s="349"/>
      <c r="Z516" s="349"/>
      <c r="AB516" s="79"/>
      <c r="AC516" s="79"/>
      <c r="AD516" s="79"/>
      <c r="AE516" s="79"/>
      <c r="AF516" s="79"/>
      <c r="AG516" s="79"/>
      <c r="AH516" s="79"/>
      <c r="AI516" s="79"/>
    </row>
    <row r="517">
      <c r="A517" s="9"/>
      <c r="C517" s="350"/>
      <c r="D517" s="93"/>
      <c r="E517" s="1"/>
      <c r="F517" s="1"/>
      <c r="G517" s="1"/>
      <c r="H517" s="341"/>
      <c r="I517" s="358"/>
      <c r="J517" s="79"/>
      <c r="K517" s="1"/>
      <c r="L517" s="343"/>
      <c r="M517" s="344"/>
      <c r="N517" s="344"/>
      <c r="O517" s="341"/>
      <c r="P517" s="341"/>
      <c r="Q517" s="79"/>
      <c r="R517" s="345"/>
      <c r="S517" s="344"/>
      <c r="T517" s="345"/>
      <c r="U517" s="344"/>
      <c r="V517" s="346"/>
      <c r="W517" s="347"/>
      <c r="X517" s="359"/>
      <c r="Y517" s="349"/>
      <c r="Z517" s="349"/>
      <c r="AB517" s="79"/>
      <c r="AC517" s="79"/>
      <c r="AD517" s="79"/>
      <c r="AE517" s="79"/>
      <c r="AF517" s="79"/>
      <c r="AG517" s="79"/>
      <c r="AH517" s="79"/>
      <c r="AI517" s="79"/>
    </row>
    <row r="518">
      <c r="A518" s="9"/>
      <c r="C518" s="350"/>
      <c r="D518" s="93"/>
      <c r="E518" s="1"/>
      <c r="F518" s="1"/>
      <c r="G518" s="1"/>
      <c r="H518" s="341"/>
      <c r="I518" s="358"/>
      <c r="J518" s="79"/>
      <c r="K518" s="1"/>
      <c r="L518" s="343"/>
      <c r="M518" s="344"/>
      <c r="N518" s="344"/>
      <c r="O518" s="341"/>
      <c r="P518" s="341"/>
      <c r="Q518" s="79"/>
      <c r="R518" s="345"/>
      <c r="S518" s="344"/>
      <c r="T518" s="345"/>
      <c r="U518" s="344"/>
      <c r="V518" s="346"/>
      <c r="W518" s="347"/>
      <c r="X518" s="359"/>
      <c r="Y518" s="349"/>
      <c r="Z518" s="349"/>
      <c r="AB518" s="79"/>
      <c r="AC518" s="79"/>
      <c r="AD518" s="79"/>
      <c r="AE518" s="79"/>
      <c r="AF518" s="79"/>
      <c r="AG518" s="79"/>
      <c r="AH518" s="79"/>
      <c r="AI518" s="79"/>
    </row>
    <row r="519">
      <c r="A519" s="9"/>
      <c r="C519" s="350"/>
      <c r="D519" s="93"/>
      <c r="E519" s="1"/>
      <c r="F519" s="1"/>
      <c r="G519" s="1"/>
      <c r="H519" s="341"/>
      <c r="I519" s="358"/>
      <c r="J519" s="79"/>
      <c r="K519" s="1"/>
      <c r="L519" s="343"/>
      <c r="M519" s="344"/>
      <c r="N519" s="344"/>
      <c r="O519" s="341"/>
      <c r="P519" s="341"/>
      <c r="Q519" s="79"/>
      <c r="R519" s="345"/>
      <c r="S519" s="344"/>
      <c r="T519" s="345"/>
      <c r="U519" s="344"/>
      <c r="V519" s="346"/>
      <c r="W519" s="347"/>
      <c r="X519" s="359"/>
      <c r="Y519" s="349"/>
      <c r="Z519" s="349"/>
      <c r="AB519" s="79"/>
      <c r="AC519" s="79"/>
      <c r="AD519" s="79"/>
      <c r="AE519" s="79"/>
      <c r="AF519" s="79"/>
      <c r="AG519" s="79"/>
      <c r="AH519" s="79"/>
      <c r="AI519" s="79"/>
    </row>
    <row r="520">
      <c r="A520" s="9"/>
      <c r="C520" s="350"/>
      <c r="D520" s="93"/>
      <c r="E520" s="1"/>
      <c r="F520" s="1"/>
      <c r="G520" s="1"/>
      <c r="H520" s="341"/>
      <c r="I520" s="358"/>
      <c r="J520" s="79"/>
      <c r="K520" s="1"/>
      <c r="L520" s="343"/>
      <c r="M520" s="344"/>
      <c r="N520" s="344"/>
      <c r="O520" s="341"/>
      <c r="P520" s="341"/>
      <c r="Q520" s="79"/>
      <c r="R520" s="345"/>
      <c r="S520" s="344"/>
      <c r="T520" s="345"/>
      <c r="U520" s="344"/>
      <c r="V520" s="346"/>
      <c r="W520" s="347"/>
      <c r="X520" s="359"/>
      <c r="Y520" s="349"/>
      <c r="Z520" s="349"/>
      <c r="AB520" s="79"/>
      <c r="AC520" s="79"/>
      <c r="AD520" s="79"/>
      <c r="AE520" s="79"/>
      <c r="AF520" s="79"/>
      <c r="AG520" s="79"/>
      <c r="AH520" s="79"/>
      <c r="AI520" s="79"/>
    </row>
    <row r="521">
      <c r="A521" s="9"/>
      <c r="C521" s="350"/>
      <c r="D521" s="93"/>
      <c r="E521" s="1"/>
      <c r="F521" s="1"/>
      <c r="G521" s="1"/>
      <c r="H521" s="341"/>
      <c r="I521" s="358"/>
      <c r="J521" s="79"/>
      <c r="K521" s="1"/>
      <c r="L521" s="343"/>
      <c r="M521" s="344"/>
      <c r="N521" s="344"/>
      <c r="O521" s="341"/>
      <c r="P521" s="341"/>
      <c r="Q521" s="79"/>
      <c r="R521" s="345"/>
      <c r="S521" s="344"/>
      <c r="T521" s="345"/>
      <c r="U521" s="344"/>
      <c r="V521" s="346"/>
      <c r="W521" s="347"/>
      <c r="X521" s="359"/>
      <c r="Y521" s="349"/>
      <c r="Z521" s="349"/>
      <c r="AB521" s="79"/>
      <c r="AC521" s="79"/>
      <c r="AD521" s="79"/>
      <c r="AE521" s="79"/>
      <c r="AF521" s="79"/>
      <c r="AG521" s="79"/>
      <c r="AH521" s="79"/>
      <c r="AI521" s="79"/>
    </row>
    <row r="522">
      <c r="A522" s="9"/>
      <c r="C522" s="350"/>
      <c r="D522" s="93"/>
      <c r="E522" s="1"/>
      <c r="F522" s="1"/>
      <c r="G522" s="1"/>
      <c r="H522" s="341"/>
      <c r="I522" s="358"/>
      <c r="J522" s="79"/>
      <c r="K522" s="1"/>
      <c r="L522" s="343"/>
      <c r="M522" s="344"/>
      <c r="N522" s="344"/>
      <c r="O522" s="341"/>
      <c r="P522" s="341"/>
      <c r="Q522" s="79"/>
      <c r="R522" s="345"/>
      <c r="S522" s="344"/>
      <c r="T522" s="345"/>
      <c r="U522" s="344"/>
      <c r="V522" s="346"/>
      <c r="W522" s="347"/>
      <c r="X522" s="359"/>
      <c r="Y522" s="349"/>
      <c r="Z522" s="349"/>
      <c r="AB522" s="79"/>
      <c r="AC522" s="79"/>
      <c r="AD522" s="79"/>
      <c r="AE522" s="79"/>
      <c r="AF522" s="79"/>
      <c r="AG522" s="79"/>
      <c r="AH522" s="79"/>
      <c r="AI522" s="79"/>
    </row>
    <row r="523">
      <c r="A523" s="9"/>
      <c r="C523" s="350"/>
      <c r="D523" s="93"/>
      <c r="E523" s="1"/>
      <c r="F523" s="1"/>
      <c r="G523" s="1"/>
      <c r="H523" s="341"/>
      <c r="I523" s="358"/>
      <c r="J523" s="79"/>
      <c r="K523" s="1"/>
      <c r="L523" s="343"/>
      <c r="M523" s="344"/>
      <c r="N523" s="344"/>
      <c r="O523" s="341"/>
      <c r="P523" s="341"/>
      <c r="Q523" s="79"/>
      <c r="R523" s="345"/>
      <c r="S523" s="344"/>
      <c r="T523" s="345"/>
      <c r="U523" s="344"/>
      <c r="V523" s="346"/>
      <c r="W523" s="347"/>
      <c r="X523" s="359"/>
      <c r="Y523" s="349"/>
      <c r="Z523" s="349"/>
      <c r="AB523" s="79"/>
      <c r="AC523" s="79"/>
      <c r="AD523" s="79"/>
      <c r="AE523" s="79"/>
      <c r="AF523" s="79"/>
      <c r="AG523" s="79"/>
      <c r="AH523" s="79"/>
      <c r="AI523" s="79"/>
    </row>
    <row r="524">
      <c r="A524" s="9"/>
      <c r="C524" s="350"/>
      <c r="D524" s="93"/>
      <c r="E524" s="1"/>
      <c r="F524" s="1"/>
      <c r="G524" s="1"/>
      <c r="H524" s="341"/>
      <c r="I524" s="358"/>
      <c r="J524" s="79"/>
      <c r="K524" s="1"/>
      <c r="L524" s="343"/>
      <c r="M524" s="344"/>
      <c r="N524" s="344"/>
      <c r="O524" s="341"/>
      <c r="P524" s="341"/>
      <c r="Q524" s="79"/>
      <c r="R524" s="345"/>
      <c r="S524" s="344"/>
      <c r="T524" s="345"/>
      <c r="U524" s="344"/>
      <c r="V524" s="346"/>
      <c r="W524" s="347"/>
      <c r="X524" s="359"/>
      <c r="Y524" s="349"/>
      <c r="Z524" s="349"/>
      <c r="AB524" s="79"/>
      <c r="AC524" s="79"/>
      <c r="AD524" s="79"/>
      <c r="AE524" s="79"/>
      <c r="AF524" s="79"/>
      <c r="AG524" s="79"/>
      <c r="AH524" s="79"/>
      <c r="AI524" s="79"/>
    </row>
    <row r="525">
      <c r="A525" s="9"/>
      <c r="C525" s="350"/>
      <c r="D525" s="93"/>
      <c r="E525" s="1"/>
      <c r="F525" s="1"/>
      <c r="G525" s="1"/>
      <c r="H525" s="341"/>
      <c r="I525" s="358"/>
      <c r="J525" s="79"/>
      <c r="K525" s="1"/>
      <c r="L525" s="343"/>
      <c r="M525" s="344"/>
      <c r="N525" s="344"/>
      <c r="O525" s="341"/>
      <c r="P525" s="341"/>
      <c r="Q525" s="79"/>
      <c r="R525" s="345"/>
      <c r="S525" s="344"/>
      <c r="T525" s="345"/>
      <c r="U525" s="344"/>
      <c r="V525" s="346"/>
      <c r="W525" s="347"/>
      <c r="X525" s="359"/>
      <c r="Y525" s="349"/>
      <c r="Z525" s="349"/>
      <c r="AB525" s="79"/>
      <c r="AC525" s="79"/>
      <c r="AD525" s="79"/>
      <c r="AE525" s="79"/>
      <c r="AF525" s="79"/>
      <c r="AG525" s="79"/>
      <c r="AH525" s="79"/>
      <c r="AI525" s="79"/>
    </row>
    <row r="526">
      <c r="A526" s="9"/>
      <c r="C526" s="350"/>
      <c r="D526" s="93"/>
      <c r="E526" s="1"/>
      <c r="F526" s="1"/>
      <c r="G526" s="1"/>
      <c r="H526" s="341"/>
      <c r="I526" s="358"/>
      <c r="J526" s="79"/>
      <c r="K526" s="1"/>
      <c r="L526" s="343"/>
      <c r="M526" s="344"/>
      <c r="N526" s="344"/>
      <c r="O526" s="341"/>
      <c r="P526" s="341"/>
      <c r="Q526" s="79"/>
      <c r="R526" s="345"/>
      <c r="S526" s="344"/>
      <c r="T526" s="345"/>
      <c r="U526" s="344"/>
      <c r="V526" s="346"/>
      <c r="W526" s="347"/>
      <c r="X526" s="359"/>
      <c r="Y526" s="349"/>
      <c r="Z526" s="349"/>
      <c r="AB526" s="79"/>
      <c r="AC526" s="79"/>
      <c r="AD526" s="79"/>
      <c r="AE526" s="79"/>
      <c r="AF526" s="79"/>
      <c r="AG526" s="79"/>
      <c r="AH526" s="79"/>
      <c r="AI526" s="79"/>
    </row>
    <row r="527">
      <c r="A527" s="9"/>
      <c r="C527" s="350"/>
      <c r="D527" s="93"/>
      <c r="E527" s="1"/>
      <c r="F527" s="1"/>
      <c r="G527" s="1"/>
      <c r="H527" s="341"/>
      <c r="I527" s="358"/>
      <c r="J527" s="79"/>
      <c r="K527" s="1"/>
      <c r="L527" s="343"/>
      <c r="M527" s="344"/>
      <c r="N527" s="344"/>
      <c r="O527" s="341"/>
      <c r="P527" s="341"/>
      <c r="Q527" s="79"/>
      <c r="R527" s="345"/>
      <c r="S527" s="344"/>
      <c r="T527" s="345"/>
      <c r="U527" s="344"/>
      <c r="V527" s="346"/>
      <c r="W527" s="347"/>
      <c r="X527" s="359"/>
      <c r="Y527" s="349"/>
      <c r="Z527" s="349"/>
      <c r="AB527" s="79"/>
      <c r="AC527" s="79"/>
      <c r="AD527" s="79"/>
      <c r="AE527" s="79"/>
      <c r="AF527" s="79"/>
      <c r="AG527" s="79"/>
      <c r="AH527" s="79"/>
      <c r="AI527" s="79"/>
    </row>
    <row r="528">
      <c r="A528" s="9"/>
      <c r="C528" s="350"/>
      <c r="D528" s="93"/>
      <c r="E528" s="1"/>
      <c r="F528" s="1"/>
      <c r="G528" s="1"/>
      <c r="H528" s="341"/>
      <c r="I528" s="358"/>
      <c r="J528" s="79"/>
      <c r="K528" s="1"/>
      <c r="L528" s="343"/>
      <c r="M528" s="344"/>
      <c r="N528" s="344"/>
      <c r="O528" s="341"/>
      <c r="P528" s="341"/>
      <c r="Q528" s="79"/>
      <c r="R528" s="345"/>
      <c r="S528" s="344"/>
      <c r="T528" s="345"/>
      <c r="U528" s="344"/>
      <c r="V528" s="346"/>
      <c r="W528" s="347"/>
      <c r="X528" s="359"/>
      <c r="Y528" s="349"/>
      <c r="Z528" s="349"/>
      <c r="AB528" s="79"/>
      <c r="AC528" s="79"/>
      <c r="AD528" s="79"/>
      <c r="AE528" s="79"/>
      <c r="AF528" s="79"/>
      <c r="AG528" s="79"/>
      <c r="AH528" s="79"/>
      <c r="AI528" s="79"/>
    </row>
    <row r="529">
      <c r="A529" s="9"/>
      <c r="C529" s="350"/>
      <c r="D529" s="93"/>
      <c r="E529" s="1"/>
      <c r="F529" s="1"/>
      <c r="G529" s="1"/>
      <c r="H529" s="341"/>
      <c r="I529" s="358"/>
      <c r="J529" s="79"/>
      <c r="K529" s="1"/>
      <c r="L529" s="343"/>
      <c r="M529" s="344"/>
      <c r="N529" s="344"/>
      <c r="O529" s="341"/>
      <c r="P529" s="341"/>
      <c r="Q529" s="79"/>
      <c r="R529" s="345"/>
      <c r="S529" s="344"/>
      <c r="T529" s="345"/>
      <c r="U529" s="344"/>
      <c r="V529" s="346"/>
      <c r="W529" s="347"/>
      <c r="X529" s="359"/>
      <c r="Y529" s="349"/>
      <c r="Z529" s="349"/>
      <c r="AB529" s="79"/>
      <c r="AC529" s="79"/>
      <c r="AD529" s="79"/>
      <c r="AE529" s="79"/>
      <c r="AF529" s="79"/>
      <c r="AG529" s="79"/>
      <c r="AH529" s="79"/>
      <c r="AI529" s="79"/>
    </row>
    <row r="530">
      <c r="A530" s="9"/>
      <c r="C530" s="350"/>
      <c r="D530" s="93"/>
      <c r="E530" s="1"/>
      <c r="F530" s="1"/>
      <c r="G530" s="1"/>
      <c r="H530" s="341"/>
      <c r="I530" s="358"/>
      <c r="J530" s="79"/>
      <c r="K530" s="1"/>
      <c r="L530" s="343"/>
      <c r="M530" s="344"/>
      <c r="N530" s="344"/>
      <c r="O530" s="341"/>
      <c r="P530" s="341"/>
      <c r="Q530" s="79"/>
      <c r="R530" s="345"/>
      <c r="S530" s="344"/>
      <c r="T530" s="345"/>
      <c r="U530" s="344"/>
      <c r="V530" s="346"/>
      <c r="W530" s="347"/>
      <c r="X530" s="359"/>
      <c r="Y530" s="349"/>
      <c r="Z530" s="349"/>
      <c r="AB530" s="79"/>
      <c r="AC530" s="79"/>
      <c r="AD530" s="79"/>
      <c r="AE530" s="79"/>
      <c r="AF530" s="79"/>
      <c r="AG530" s="79"/>
      <c r="AH530" s="79"/>
      <c r="AI530" s="79"/>
    </row>
    <row r="531">
      <c r="A531" s="9"/>
      <c r="C531" s="350"/>
      <c r="D531" s="93"/>
      <c r="E531" s="1"/>
      <c r="F531" s="1"/>
      <c r="G531" s="1"/>
      <c r="H531" s="341"/>
      <c r="I531" s="358"/>
      <c r="J531" s="79"/>
      <c r="K531" s="1"/>
      <c r="L531" s="343"/>
      <c r="M531" s="344"/>
      <c r="N531" s="344"/>
      <c r="O531" s="341"/>
      <c r="P531" s="341"/>
      <c r="Q531" s="79"/>
      <c r="R531" s="345"/>
      <c r="S531" s="344"/>
      <c r="T531" s="345"/>
      <c r="U531" s="344"/>
      <c r="V531" s="346"/>
      <c r="W531" s="347"/>
      <c r="X531" s="359"/>
      <c r="Y531" s="349"/>
      <c r="Z531" s="349"/>
      <c r="AB531" s="79"/>
      <c r="AC531" s="79"/>
      <c r="AD531" s="79"/>
      <c r="AE531" s="79"/>
      <c r="AF531" s="79"/>
      <c r="AG531" s="79"/>
      <c r="AH531" s="79"/>
      <c r="AI531" s="79"/>
    </row>
    <row r="532">
      <c r="A532" s="9"/>
      <c r="C532" s="350"/>
      <c r="D532" s="93"/>
      <c r="E532" s="1"/>
      <c r="F532" s="1"/>
      <c r="G532" s="1"/>
      <c r="H532" s="341"/>
      <c r="I532" s="358"/>
      <c r="J532" s="79"/>
      <c r="K532" s="1"/>
      <c r="L532" s="343"/>
      <c r="M532" s="344"/>
      <c r="N532" s="344"/>
      <c r="O532" s="341"/>
      <c r="P532" s="341"/>
      <c r="Q532" s="79"/>
      <c r="R532" s="345"/>
      <c r="S532" s="344"/>
      <c r="T532" s="345"/>
      <c r="U532" s="344"/>
      <c r="V532" s="346"/>
      <c r="W532" s="347"/>
      <c r="X532" s="359"/>
      <c r="Y532" s="349"/>
      <c r="Z532" s="349"/>
      <c r="AB532" s="79"/>
      <c r="AC532" s="79"/>
      <c r="AD532" s="79"/>
      <c r="AE532" s="79"/>
      <c r="AF532" s="79"/>
      <c r="AG532" s="79"/>
      <c r="AH532" s="79"/>
      <c r="AI532" s="79"/>
    </row>
    <row r="533">
      <c r="A533" s="9"/>
      <c r="C533" s="350"/>
      <c r="D533" s="93"/>
      <c r="E533" s="1"/>
      <c r="F533" s="1"/>
      <c r="G533" s="1"/>
      <c r="H533" s="341"/>
      <c r="I533" s="358"/>
      <c r="J533" s="79"/>
      <c r="K533" s="1"/>
      <c r="L533" s="343"/>
      <c r="M533" s="344"/>
      <c r="N533" s="344"/>
      <c r="O533" s="341"/>
      <c r="P533" s="341"/>
      <c r="Q533" s="79"/>
      <c r="R533" s="345"/>
      <c r="S533" s="344"/>
      <c r="T533" s="345"/>
      <c r="U533" s="344"/>
      <c r="V533" s="346"/>
      <c r="W533" s="347"/>
      <c r="X533" s="359"/>
      <c r="Y533" s="349"/>
      <c r="Z533" s="349"/>
      <c r="AB533" s="79"/>
      <c r="AC533" s="79"/>
      <c r="AD533" s="79"/>
      <c r="AE533" s="79"/>
      <c r="AF533" s="79"/>
      <c r="AG533" s="79"/>
      <c r="AH533" s="79"/>
      <c r="AI533" s="79"/>
    </row>
    <row r="534">
      <c r="A534" s="9"/>
      <c r="C534" s="350"/>
      <c r="D534" s="93"/>
      <c r="E534" s="1"/>
      <c r="F534" s="1"/>
      <c r="G534" s="1"/>
      <c r="H534" s="341"/>
      <c r="I534" s="358"/>
      <c r="J534" s="79"/>
      <c r="K534" s="1"/>
      <c r="L534" s="343"/>
      <c r="M534" s="344"/>
      <c r="N534" s="344"/>
      <c r="O534" s="341"/>
      <c r="P534" s="341"/>
      <c r="Q534" s="79"/>
      <c r="R534" s="345"/>
      <c r="S534" s="344"/>
      <c r="T534" s="345"/>
      <c r="U534" s="344"/>
      <c r="V534" s="346"/>
      <c r="W534" s="347"/>
      <c r="X534" s="359"/>
      <c r="Y534" s="349"/>
      <c r="Z534" s="349"/>
      <c r="AB534" s="79"/>
      <c r="AC534" s="79"/>
      <c r="AD534" s="79"/>
      <c r="AE534" s="79"/>
      <c r="AF534" s="79"/>
      <c r="AG534" s="79"/>
      <c r="AH534" s="79"/>
      <c r="AI534" s="79"/>
    </row>
    <row r="535">
      <c r="A535" s="9"/>
      <c r="C535" s="350"/>
      <c r="D535" s="93"/>
      <c r="E535" s="1"/>
      <c r="F535" s="1"/>
      <c r="G535" s="1"/>
      <c r="H535" s="341"/>
      <c r="I535" s="358"/>
      <c r="J535" s="79"/>
      <c r="K535" s="1"/>
      <c r="L535" s="343"/>
      <c r="M535" s="344"/>
      <c r="N535" s="344"/>
      <c r="O535" s="341"/>
      <c r="P535" s="341"/>
      <c r="Q535" s="79"/>
      <c r="R535" s="345"/>
      <c r="S535" s="344"/>
      <c r="T535" s="345"/>
      <c r="U535" s="344"/>
      <c r="V535" s="346"/>
      <c r="W535" s="347"/>
      <c r="X535" s="359"/>
      <c r="Y535" s="349"/>
      <c r="Z535" s="349"/>
      <c r="AB535" s="79"/>
      <c r="AC535" s="79"/>
      <c r="AD535" s="79"/>
      <c r="AE535" s="79"/>
      <c r="AF535" s="79"/>
      <c r="AG535" s="79"/>
      <c r="AH535" s="79"/>
      <c r="AI535" s="79"/>
    </row>
    <row r="536">
      <c r="A536" s="9"/>
      <c r="C536" s="350"/>
      <c r="D536" s="93"/>
      <c r="E536" s="1"/>
      <c r="F536" s="1"/>
      <c r="G536" s="1"/>
      <c r="H536" s="341"/>
      <c r="I536" s="358"/>
      <c r="J536" s="79"/>
      <c r="K536" s="1"/>
      <c r="L536" s="343"/>
      <c r="M536" s="344"/>
      <c r="N536" s="344"/>
      <c r="O536" s="341"/>
      <c r="P536" s="341"/>
      <c r="Q536" s="79"/>
      <c r="R536" s="345"/>
      <c r="S536" s="344"/>
      <c r="T536" s="345"/>
      <c r="U536" s="344"/>
      <c r="V536" s="346"/>
      <c r="W536" s="347"/>
      <c r="X536" s="359"/>
      <c r="Y536" s="349"/>
      <c r="Z536" s="349"/>
      <c r="AB536" s="79"/>
      <c r="AC536" s="79"/>
      <c r="AD536" s="79"/>
      <c r="AE536" s="79"/>
      <c r="AF536" s="79"/>
      <c r="AG536" s="79"/>
      <c r="AH536" s="79"/>
      <c r="AI536" s="79"/>
    </row>
    <row r="537">
      <c r="A537" s="9"/>
      <c r="C537" s="350"/>
      <c r="D537" s="93"/>
      <c r="E537" s="1"/>
      <c r="F537" s="1"/>
      <c r="G537" s="1"/>
      <c r="H537" s="341"/>
      <c r="I537" s="358"/>
      <c r="J537" s="79"/>
      <c r="K537" s="1"/>
      <c r="L537" s="343"/>
      <c r="M537" s="344"/>
      <c r="N537" s="344"/>
      <c r="O537" s="341"/>
      <c r="P537" s="341"/>
      <c r="Q537" s="79"/>
      <c r="R537" s="345"/>
      <c r="S537" s="344"/>
      <c r="T537" s="345"/>
      <c r="U537" s="344"/>
      <c r="V537" s="346"/>
      <c r="W537" s="347"/>
      <c r="X537" s="359"/>
      <c r="Y537" s="349"/>
      <c r="Z537" s="349"/>
      <c r="AB537" s="79"/>
      <c r="AC537" s="79"/>
      <c r="AD537" s="79"/>
      <c r="AE537" s="79"/>
      <c r="AF537" s="79"/>
      <c r="AG537" s="79"/>
      <c r="AH537" s="79"/>
      <c r="AI537" s="79"/>
    </row>
    <row r="538">
      <c r="A538" s="9"/>
      <c r="C538" s="350"/>
      <c r="D538" s="93"/>
      <c r="E538" s="1"/>
      <c r="F538" s="1"/>
      <c r="G538" s="1"/>
      <c r="H538" s="341"/>
      <c r="I538" s="358"/>
      <c r="J538" s="79"/>
      <c r="K538" s="1"/>
      <c r="L538" s="343"/>
      <c r="M538" s="344"/>
      <c r="N538" s="344"/>
      <c r="O538" s="341"/>
      <c r="P538" s="341"/>
      <c r="Q538" s="79"/>
      <c r="R538" s="345"/>
      <c r="S538" s="344"/>
      <c r="T538" s="345"/>
      <c r="U538" s="344"/>
      <c r="V538" s="346"/>
      <c r="W538" s="347"/>
      <c r="X538" s="359"/>
      <c r="Y538" s="349"/>
      <c r="Z538" s="349"/>
      <c r="AB538" s="79"/>
      <c r="AC538" s="79"/>
      <c r="AD538" s="79"/>
      <c r="AE538" s="79"/>
      <c r="AF538" s="79"/>
      <c r="AG538" s="79"/>
      <c r="AH538" s="79"/>
      <c r="AI538" s="79"/>
    </row>
    <row r="539">
      <c r="A539" s="9"/>
      <c r="C539" s="350"/>
      <c r="D539" s="93"/>
      <c r="E539" s="1"/>
      <c r="F539" s="1"/>
      <c r="G539" s="1"/>
      <c r="H539" s="341"/>
      <c r="I539" s="358"/>
      <c r="J539" s="79"/>
      <c r="K539" s="1"/>
      <c r="L539" s="343"/>
      <c r="M539" s="344"/>
      <c r="N539" s="344"/>
      <c r="O539" s="341"/>
      <c r="P539" s="341"/>
      <c r="Q539" s="79"/>
      <c r="R539" s="345"/>
      <c r="S539" s="344"/>
      <c r="T539" s="345"/>
      <c r="U539" s="344"/>
      <c r="V539" s="346"/>
      <c r="W539" s="347"/>
      <c r="X539" s="359"/>
      <c r="Y539" s="349"/>
      <c r="Z539" s="349"/>
      <c r="AB539" s="79"/>
      <c r="AC539" s="79"/>
      <c r="AD539" s="79"/>
      <c r="AE539" s="79"/>
      <c r="AF539" s="79"/>
      <c r="AG539" s="79"/>
      <c r="AH539" s="79"/>
      <c r="AI539" s="79"/>
    </row>
    <row r="540">
      <c r="A540" s="9"/>
      <c r="C540" s="350"/>
      <c r="D540" s="93"/>
      <c r="E540" s="1"/>
      <c r="F540" s="1"/>
      <c r="G540" s="1"/>
      <c r="H540" s="341"/>
      <c r="I540" s="358"/>
      <c r="J540" s="79"/>
      <c r="K540" s="1"/>
      <c r="L540" s="343"/>
      <c r="M540" s="344"/>
      <c r="N540" s="344"/>
      <c r="O540" s="341"/>
      <c r="P540" s="341"/>
      <c r="Q540" s="79"/>
      <c r="R540" s="345"/>
      <c r="S540" s="344"/>
      <c r="T540" s="345"/>
      <c r="U540" s="344"/>
      <c r="V540" s="346"/>
      <c r="W540" s="347"/>
      <c r="X540" s="359"/>
      <c r="Y540" s="349"/>
      <c r="Z540" s="349"/>
      <c r="AB540" s="79"/>
      <c r="AC540" s="79"/>
      <c r="AD540" s="79"/>
      <c r="AE540" s="79"/>
      <c r="AF540" s="79"/>
      <c r="AG540" s="79"/>
      <c r="AH540" s="79"/>
      <c r="AI540" s="79"/>
    </row>
    <row r="541">
      <c r="A541" s="9"/>
      <c r="C541" s="350"/>
      <c r="D541" s="93"/>
      <c r="E541" s="1"/>
      <c r="F541" s="1"/>
      <c r="G541" s="1"/>
      <c r="H541" s="341"/>
      <c r="I541" s="358"/>
      <c r="J541" s="79"/>
      <c r="K541" s="1"/>
      <c r="L541" s="343"/>
      <c r="M541" s="344"/>
      <c r="N541" s="344"/>
      <c r="O541" s="341"/>
      <c r="P541" s="341"/>
      <c r="Q541" s="79"/>
      <c r="R541" s="345"/>
      <c r="S541" s="344"/>
      <c r="T541" s="345"/>
      <c r="U541" s="344"/>
      <c r="V541" s="346"/>
      <c r="W541" s="347"/>
      <c r="X541" s="359"/>
      <c r="Y541" s="349"/>
      <c r="Z541" s="349"/>
      <c r="AB541" s="79"/>
      <c r="AC541" s="79"/>
      <c r="AD541" s="79"/>
      <c r="AE541" s="79"/>
      <c r="AF541" s="79"/>
      <c r="AG541" s="79"/>
      <c r="AH541" s="79"/>
      <c r="AI541" s="79"/>
    </row>
    <row r="542">
      <c r="A542" s="9"/>
      <c r="C542" s="350"/>
      <c r="D542" s="93"/>
      <c r="E542" s="1"/>
      <c r="F542" s="1"/>
      <c r="G542" s="1"/>
      <c r="H542" s="341"/>
      <c r="I542" s="358"/>
      <c r="J542" s="79"/>
      <c r="K542" s="1"/>
      <c r="L542" s="343"/>
      <c r="M542" s="344"/>
      <c r="N542" s="344"/>
      <c r="O542" s="341"/>
      <c r="P542" s="341"/>
      <c r="Q542" s="79"/>
      <c r="R542" s="345"/>
      <c r="S542" s="344"/>
      <c r="T542" s="345"/>
      <c r="U542" s="344"/>
      <c r="V542" s="346"/>
      <c r="W542" s="347"/>
      <c r="X542" s="359"/>
      <c r="Y542" s="349"/>
      <c r="Z542" s="349"/>
      <c r="AB542" s="79"/>
      <c r="AC542" s="79"/>
      <c r="AD542" s="79"/>
      <c r="AE542" s="79"/>
      <c r="AF542" s="79"/>
      <c r="AG542" s="79"/>
      <c r="AH542" s="79"/>
      <c r="AI542" s="79"/>
    </row>
    <row r="543">
      <c r="A543" s="9"/>
      <c r="C543" s="350"/>
      <c r="D543" s="93"/>
      <c r="E543" s="1"/>
      <c r="F543" s="1"/>
      <c r="G543" s="1"/>
      <c r="H543" s="341"/>
      <c r="I543" s="358"/>
      <c r="J543" s="79"/>
      <c r="K543" s="1"/>
      <c r="L543" s="343"/>
      <c r="M543" s="344"/>
      <c r="N543" s="344"/>
      <c r="O543" s="341"/>
      <c r="P543" s="341"/>
      <c r="Q543" s="79"/>
      <c r="R543" s="345"/>
      <c r="S543" s="344"/>
      <c r="T543" s="345"/>
      <c r="U543" s="344"/>
      <c r="V543" s="346"/>
      <c r="W543" s="347"/>
      <c r="X543" s="359"/>
      <c r="Y543" s="349"/>
      <c r="Z543" s="349"/>
      <c r="AB543" s="79"/>
      <c r="AC543" s="79"/>
      <c r="AD543" s="79"/>
      <c r="AE543" s="79"/>
      <c r="AF543" s="79"/>
      <c r="AG543" s="79"/>
      <c r="AH543" s="79"/>
      <c r="AI543" s="79"/>
    </row>
    <row r="544">
      <c r="A544" s="9"/>
      <c r="C544" s="350"/>
      <c r="D544" s="93"/>
      <c r="E544" s="1"/>
      <c r="F544" s="1"/>
      <c r="G544" s="1"/>
      <c r="H544" s="341"/>
      <c r="I544" s="358"/>
      <c r="J544" s="79"/>
      <c r="K544" s="1"/>
      <c r="L544" s="343"/>
      <c r="M544" s="344"/>
      <c r="N544" s="344"/>
      <c r="O544" s="341"/>
      <c r="P544" s="341"/>
      <c r="Q544" s="79"/>
      <c r="R544" s="345"/>
      <c r="S544" s="344"/>
      <c r="T544" s="345"/>
      <c r="U544" s="344"/>
      <c r="V544" s="346"/>
      <c r="W544" s="347"/>
      <c r="X544" s="359"/>
      <c r="Y544" s="349"/>
      <c r="Z544" s="349"/>
      <c r="AB544" s="79"/>
      <c r="AC544" s="79"/>
      <c r="AD544" s="79"/>
      <c r="AE544" s="79"/>
      <c r="AF544" s="79"/>
      <c r="AG544" s="79"/>
      <c r="AH544" s="79"/>
      <c r="AI544" s="79"/>
    </row>
    <row r="545">
      <c r="A545" s="9"/>
      <c r="C545" s="350"/>
      <c r="D545" s="93"/>
      <c r="E545" s="1"/>
      <c r="F545" s="1"/>
      <c r="G545" s="1"/>
      <c r="H545" s="341"/>
      <c r="I545" s="358"/>
      <c r="J545" s="79"/>
      <c r="K545" s="1"/>
      <c r="L545" s="343"/>
      <c r="M545" s="344"/>
      <c r="N545" s="344"/>
      <c r="O545" s="341"/>
      <c r="P545" s="341"/>
      <c r="Q545" s="79"/>
      <c r="R545" s="345"/>
      <c r="S545" s="344"/>
      <c r="T545" s="345"/>
      <c r="U545" s="344"/>
      <c r="V545" s="346"/>
      <c r="W545" s="347"/>
      <c r="X545" s="359"/>
      <c r="Y545" s="349"/>
      <c r="Z545" s="349"/>
      <c r="AB545" s="79"/>
      <c r="AC545" s="79"/>
      <c r="AD545" s="79"/>
      <c r="AE545" s="79"/>
      <c r="AF545" s="79"/>
      <c r="AG545" s="79"/>
      <c r="AH545" s="79"/>
      <c r="AI545" s="79"/>
    </row>
    <row r="546">
      <c r="A546" s="9"/>
      <c r="C546" s="350"/>
      <c r="D546" s="93"/>
      <c r="E546" s="1"/>
      <c r="F546" s="1"/>
      <c r="G546" s="1"/>
      <c r="H546" s="341"/>
      <c r="I546" s="358"/>
      <c r="J546" s="79"/>
      <c r="K546" s="1"/>
      <c r="L546" s="343"/>
      <c r="M546" s="344"/>
      <c r="N546" s="344"/>
      <c r="O546" s="341"/>
      <c r="P546" s="341"/>
      <c r="Q546" s="79"/>
      <c r="R546" s="345"/>
      <c r="S546" s="344"/>
      <c r="T546" s="345"/>
      <c r="U546" s="344"/>
      <c r="V546" s="346"/>
      <c r="W546" s="347"/>
      <c r="X546" s="359"/>
      <c r="Y546" s="349"/>
      <c r="Z546" s="349"/>
      <c r="AB546" s="79"/>
      <c r="AC546" s="79"/>
      <c r="AD546" s="79"/>
      <c r="AE546" s="79"/>
      <c r="AF546" s="79"/>
      <c r="AG546" s="79"/>
      <c r="AH546" s="79"/>
      <c r="AI546" s="79"/>
    </row>
    <row r="547">
      <c r="A547" s="9"/>
      <c r="C547" s="350"/>
      <c r="D547" s="93"/>
      <c r="E547" s="1"/>
      <c r="F547" s="1"/>
      <c r="G547" s="1"/>
      <c r="H547" s="341"/>
      <c r="I547" s="358"/>
      <c r="J547" s="79"/>
      <c r="K547" s="1"/>
      <c r="L547" s="343"/>
      <c r="M547" s="344"/>
      <c r="N547" s="344"/>
      <c r="O547" s="341"/>
      <c r="P547" s="341"/>
      <c r="Q547" s="79"/>
      <c r="R547" s="345"/>
      <c r="S547" s="344"/>
      <c r="T547" s="345"/>
      <c r="U547" s="344"/>
      <c r="V547" s="346"/>
      <c r="W547" s="347"/>
      <c r="X547" s="359"/>
      <c r="Y547" s="349"/>
      <c r="Z547" s="349"/>
      <c r="AB547" s="79"/>
      <c r="AC547" s="79"/>
      <c r="AD547" s="79"/>
      <c r="AE547" s="79"/>
      <c r="AF547" s="79"/>
      <c r="AG547" s="79"/>
      <c r="AH547" s="79"/>
      <c r="AI547" s="79"/>
    </row>
    <row r="548">
      <c r="A548" s="9"/>
      <c r="C548" s="350"/>
      <c r="D548" s="93"/>
      <c r="E548" s="1"/>
      <c r="F548" s="1"/>
      <c r="G548" s="1"/>
      <c r="H548" s="341"/>
      <c r="I548" s="358"/>
      <c r="J548" s="79"/>
      <c r="K548" s="1"/>
      <c r="L548" s="343"/>
      <c r="M548" s="344"/>
      <c r="N548" s="344"/>
      <c r="O548" s="341"/>
      <c r="P548" s="341"/>
      <c r="Q548" s="79"/>
      <c r="R548" s="345"/>
      <c r="S548" s="344"/>
      <c r="T548" s="345"/>
      <c r="U548" s="344"/>
      <c r="V548" s="346"/>
      <c r="W548" s="347"/>
      <c r="X548" s="359"/>
      <c r="Y548" s="349"/>
      <c r="Z548" s="349"/>
      <c r="AB548" s="79"/>
      <c r="AC548" s="79"/>
      <c r="AD548" s="79"/>
      <c r="AE548" s="79"/>
      <c r="AF548" s="79"/>
      <c r="AG548" s="79"/>
      <c r="AH548" s="79"/>
      <c r="AI548" s="79"/>
    </row>
    <row r="549">
      <c r="A549" s="9"/>
      <c r="C549" s="350"/>
      <c r="D549" s="93"/>
      <c r="E549" s="1"/>
      <c r="F549" s="1"/>
      <c r="G549" s="1"/>
      <c r="H549" s="341"/>
      <c r="I549" s="358"/>
      <c r="J549" s="79"/>
      <c r="K549" s="1"/>
      <c r="L549" s="343"/>
      <c r="M549" s="344"/>
      <c r="N549" s="344"/>
      <c r="O549" s="341"/>
      <c r="P549" s="341"/>
      <c r="Q549" s="79"/>
      <c r="R549" s="345"/>
      <c r="S549" s="344"/>
      <c r="T549" s="345"/>
      <c r="U549" s="344"/>
      <c r="V549" s="346"/>
      <c r="W549" s="347"/>
      <c r="X549" s="359"/>
      <c r="Y549" s="349"/>
      <c r="Z549" s="349"/>
      <c r="AB549" s="79"/>
      <c r="AC549" s="79"/>
      <c r="AD549" s="79"/>
      <c r="AE549" s="79"/>
      <c r="AF549" s="79"/>
      <c r="AG549" s="79"/>
      <c r="AH549" s="79"/>
      <c r="AI549" s="79"/>
    </row>
    <row r="550">
      <c r="A550" s="9"/>
      <c r="C550" s="350"/>
      <c r="D550" s="93"/>
      <c r="E550" s="1"/>
      <c r="F550" s="1"/>
      <c r="G550" s="1"/>
      <c r="H550" s="341"/>
      <c r="I550" s="358"/>
      <c r="J550" s="79"/>
      <c r="K550" s="1"/>
      <c r="L550" s="343"/>
      <c r="M550" s="344"/>
      <c r="N550" s="344"/>
      <c r="O550" s="341"/>
      <c r="P550" s="341"/>
      <c r="Q550" s="79"/>
      <c r="R550" s="345"/>
      <c r="S550" s="344"/>
      <c r="T550" s="345"/>
      <c r="U550" s="344"/>
      <c r="V550" s="346"/>
      <c r="W550" s="347"/>
      <c r="X550" s="359"/>
      <c r="Y550" s="349"/>
      <c r="Z550" s="349"/>
      <c r="AB550" s="79"/>
      <c r="AC550" s="79"/>
      <c r="AD550" s="79"/>
      <c r="AE550" s="79"/>
      <c r="AF550" s="79"/>
      <c r="AG550" s="79"/>
      <c r="AH550" s="79"/>
      <c r="AI550" s="79"/>
    </row>
    <row r="551">
      <c r="A551" s="9"/>
      <c r="C551" s="350"/>
      <c r="D551" s="93"/>
      <c r="E551" s="1"/>
      <c r="F551" s="1"/>
      <c r="G551" s="1"/>
      <c r="H551" s="341"/>
      <c r="I551" s="358"/>
      <c r="J551" s="79"/>
      <c r="K551" s="1"/>
      <c r="L551" s="343"/>
      <c r="M551" s="344"/>
      <c r="N551" s="344"/>
      <c r="O551" s="341"/>
      <c r="P551" s="341"/>
      <c r="Q551" s="79"/>
      <c r="R551" s="345"/>
      <c r="S551" s="344"/>
      <c r="T551" s="345"/>
      <c r="U551" s="344"/>
      <c r="V551" s="346"/>
      <c r="W551" s="347"/>
      <c r="X551" s="359"/>
      <c r="Y551" s="349"/>
      <c r="Z551" s="349"/>
      <c r="AB551" s="79"/>
      <c r="AC551" s="79"/>
      <c r="AD551" s="79"/>
      <c r="AE551" s="79"/>
      <c r="AF551" s="79"/>
      <c r="AG551" s="79"/>
      <c r="AH551" s="79"/>
      <c r="AI551" s="79"/>
    </row>
    <row r="552">
      <c r="A552" s="9"/>
      <c r="C552" s="350"/>
      <c r="D552" s="93"/>
      <c r="E552" s="1"/>
      <c r="F552" s="1"/>
      <c r="G552" s="1"/>
      <c r="H552" s="341"/>
      <c r="I552" s="358"/>
      <c r="J552" s="79"/>
      <c r="K552" s="1"/>
      <c r="L552" s="343"/>
      <c r="M552" s="344"/>
      <c r="N552" s="344"/>
      <c r="O552" s="341"/>
      <c r="P552" s="341"/>
      <c r="Q552" s="79"/>
      <c r="R552" s="345"/>
      <c r="S552" s="344"/>
      <c r="T552" s="345"/>
      <c r="U552" s="344"/>
      <c r="V552" s="346"/>
      <c r="W552" s="347"/>
      <c r="X552" s="359"/>
      <c r="Y552" s="349"/>
      <c r="Z552" s="349"/>
      <c r="AB552" s="79"/>
      <c r="AC552" s="79"/>
      <c r="AD552" s="79"/>
      <c r="AE552" s="79"/>
      <c r="AF552" s="79"/>
      <c r="AG552" s="79"/>
      <c r="AH552" s="79"/>
      <c r="AI552" s="79"/>
    </row>
    <row r="553">
      <c r="A553" s="9"/>
      <c r="C553" s="350"/>
      <c r="D553" s="93"/>
      <c r="E553" s="1"/>
      <c r="F553" s="1"/>
      <c r="G553" s="1"/>
      <c r="H553" s="341"/>
      <c r="I553" s="358"/>
      <c r="J553" s="79"/>
      <c r="K553" s="1"/>
      <c r="L553" s="343"/>
      <c r="M553" s="344"/>
      <c r="N553" s="344"/>
      <c r="O553" s="341"/>
      <c r="P553" s="341"/>
      <c r="Q553" s="79"/>
      <c r="R553" s="345"/>
      <c r="S553" s="344"/>
      <c r="T553" s="345"/>
      <c r="U553" s="344"/>
      <c r="V553" s="346"/>
      <c r="W553" s="347"/>
      <c r="X553" s="359"/>
      <c r="Y553" s="349"/>
      <c r="Z553" s="349"/>
      <c r="AB553" s="79"/>
      <c r="AC553" s="79"/>
      <c r="AD553" s="79"/>
      <c r="AE553" s="79"/>
      <c r="AF553" s="79"/>
      <c r="AG553" s="79"/>
      <c r="AH553" s="79"/>
      <c r="AI553" s="79"/>
    </row>
    <row r="554">
      <c r="A554" s="9"/>
      <c r="C554" s="350"/>
      <c r="D554" s="93"/>
      <c r="E554" s="1"/>
      <c r="F554" s="1"/>
      <c r="G554" s="1"/>
      <c r="H554" s="341"/>
      <c r="I554" s="358"/>
      <c r="J554" s="79"/>
      <c r="K554" s="1"/>
      <c r="L554" s="343"/>
      <c r="M554" s="344"/>
      <c r="N554" s="344"/>
      <c r="O554" s="341"/>
      <c r="P554" s="341"/>
      <c r="Q554" s="79"/>
      <c r="R554" s="345"/>
      <c r="S554" s="344"/>
      <c r="T554" s="345"/>
      <c r="U554" s="344"/>
      <c r="V554" s="346"/>
      <c r="W554" s="347"/>
      <c r="X554" s="359"/>
      <c r="Y554" s="349"/>
      <c r="Z554" s="349"/>
      <c r="AB554" s="79"/>
      <c r="AC554" s="79"/>
      <c r="AD554" s="79"/>
      <c r="AE554" s="79"/>
      <c r="AF554" s="79"/>
      <c r="AG554" s="79"/>
      <c r="AH554" s="79"/>
      <c r="AI554" s="79"/>
    </row>
    <row r="555">
      <c r="A555" s="9"/>
      <c r="C555" s="350"/>
      <c r="D555" s="93"/>
      <c r="E555" s="1"/>
      <c r="F555" s="1"/>
      <c r="G555" s="1"/>
      <c r="H555" s="341"/>
      <c r="I555" s="358"/>
      <c r="J555" s="79"/>
      <c r="K555" s="1"/>
      <c r="L555" s="343"/>
      <c r="M555" s="344"/>
      <c r="N555" s="344"/>
      <c r="O555" s="341"/>
      <c r="P555" s="341"/>
      <c r="Q555" s="79"/>
      <c r="R555" s="345"/>
      <c r="S555" s="344"/>
      <c r="T555" s="345"/>
      <c r="U555" s="344"/>
      <c r="V555" s="346"/>
      <c r="W555" s="347"/>
      <c r="X555" s="359"/>
      <c r="Y555" s="349"/>
      <c r="Z555" s="349"/>
      <c r="AB555" s="79"/>
      <c r="AC555" s="79"/>
      <c r="AD555" s="79"/>
      <c r="AE555" s="79"/>
      <c r="AF555" s="79"/>
      <c r="AG555" s="79"/>
      <c r="AH555" s="79"/>
      <c r="AI555" s="79"/>
    </row>
    <row r="556">
      <c r="A556" s="9"/>
      <c r="C556" s="350"/>
      <c r="D556" s="93"/>
      <c r="E556" s="1"/>
      <c r="F556" s="1"/>
      <c r="G556" s="1"/>
      <c r="H556" s="341"/>
      <c r="I556" s="358"/>
      <c r="J556" s="79"/>
      <c r="K556" s="1"/>
      <c r="L556" s="343"/>
      <c r="M556" s="344"/>
      <c r="N556" s="344"/>
      <c r="O556" s="341"/>
      <c r="P556" s="341"/>
      <c r="Q556" s="79"/>
      <c r="R556" s="345"/>
      <c r="S556" s="344"/>
      <c r="T556" s="345"/>
      <c r="U556" s="344"/>
      <c r="V556" s="346"/>
      <c r="W556" s="347"/>
      <c r="X556" s="359"/>
      <c r="Y556" s="349"/>
      <c r="Z556" s="349"/>
      <c r="AB556" s="79"/>
      <c r="AC556" s="79"/>
      <c r="AD556" s="79"/>
      <c r="AE556" s="79"/>
      <c r="AF556" s="79"/>
      <c r="AG556" s="79"/>
      <c r="AH556" s="79"/>
      <c r="AI556" s="79"/>
    </row>
    <row r="557">
      <c r="A557" s="9"/>
      <c r="C557" s="350"/>
      <c r="D557" s="93"/>
      <c r="E557" s="1"/>
      <c r="F557" s="1"/>
      <c r="G557" s="1"/>
      <c r="H557" s="341"/>
      <c r="I557" s="358"/>
      <c r="J557" s="79"/>
      <c r="K557" s="1"/>
      <c r="L557" s="343"/>
      <c r="M557" s="344"/>
      <c r="N557" s="344"/>
      <c r="O557" s="341"/>
      <c r="P557" s="341"/>
      <c r="Q557" s="79"/>
      <c r="R557" s="345"/>
      <c r="S557" s="344"/>
      <c r="T557" s="345"/>
      <c r="U557" s="344"/>
      <c r="V557" s="346"/>
      <c r="W557" s="347"/>
      <c r="X557" s="359"/>
      <c r="Y557" s="349"/>
      <c r="Z557" s="349"/>
      <c r="AB557" s="79"/>
      <c r="AC557" s="79"/>
      <c r="AD557" s="79"/>
      <c r="AE557" s="79"/>
      <c r="AF557" s="79"/>
      <c r="AG557" s="79"/>
      <c r="AH557" s="79"/>
      <c r="AI557" s="79"/>
    </row>
    <row r="558">
      <c r="A558" s="9"/>
      <c r="C558" s="350"/>
      <c r="D558" s="93"/>
      <c r="E558" s="1"/>
      <c r="F558" s="1"/>
      <c r="G558" s="1"/>
      <c r="H558" s="341"/>
      <c r="I558" s="358"/>
      <c r="J558" s="79"/>
      <c r="K558" s="1"/>
      <c r="L558" s="343"/>
      <c r="M558" s="344"/>
      <c r="N558" s="344"/>
      <c r="O558" s="341"/>
      <c r="P558" s="341"/>
      <c r="Q558" s="79"/>
      <c r="R558" s="345"/>
      <c r="S558" s="344"/>
      <c r="T558" s="345"/>
      <c r="U558" s="344"/>
      <c r="V558" s="346"/>
      <c r="W558" s="347"/>
      <c r="X558" s="359"/>
      <c r="Y558" s="349"/>
      <c r="Z558" s="349"/>
      <c r="AB558" s="79"/>
      <c r="AC558" s="79"/>
      <c r="AD558" s="79"/>
      <c r="AE558" s="79"/>
      <c r="AF558" s="79"/>
      <c r="AG558" s="79"/>
      <c r="AH558" s="79"/>
      <c r="AI558" s="79"/>
    </row>
    <row r="559">
      <c r="A559" s="9"/>
      <c r="C559" s="350"/>
      <c r="D559" s="93"/>
      <c r="E559" s="1"/>
      <c r="F559" s="1"/>
      <c r="G559" s="1"/>
      <c r="H559" s="341"/>
      <c r="I559" s="358"/>
      <c r="J559" s="79"/>
      <c r="K559" s="1"/>
      <c r="L559" s="343"/>
      <c r="M559" s="344"/>
      <c r="N559" s="344"/>
      <c r="O559" s="341"/>
      <c r="P559" s="341"/>
      <c r="Q559" s="79"/>
      <c r="R559" s="345"/>
      <c r="S559" s="344"/>
      <c r="T559" s="345"/>
      <c r="U559" s="344"/>
      <c r="V559" s="346"/>
      <c r="W559" s="347"/>
      <c r="X559" s="359"/>
      <c r="Y559" s="349"/>
      <c r="Z559" s="349"/>
      <c r="AB559" s="79"/>
      <c r="AC559" s="79"/>
      <c r="AD559" s="79"/>
      <c r="AE559" s="79"/>
      <c r="AF559" s="79"/>
      <c r="AG559" s="79"/>
      <c r="AH559" s="79"/>
      <c r="AI559" s="79"/>
    </row>
    <row r="560">
      <c r="A560" s="9"/>
      <c r="C560" s="350"/>
      <c r="D560" s="93"/>
      <c r="E560" s="1"/>
      <c r="F560" s="1"/>
      <c r="G560" s="1"/>
      <c r="H560" s="341"/>
      <c r="I560" s="358"/>
      <c r="J560" s="79"/>
      <c r="K560" s="1"/>
      <c r="L560" s="343"/>
      <c r="M560" s="344"/>
      <c r="N560" s="344"/>
      <c r="O560" s="341"/>
      <c r="P560" s="341"/>
      <c r="Q560" s="79"/>
      <c r="R560" s="345"/>
      <c r="S560" s="344"/>
      <c r="T560" s="345"/>
      <c r="U560" s="344"/>
      <c r="V560" s="346"/>
      <c r="W560" s="347"/>
      <c r="X560" s="359"/>
      <c r="Y560" s="349"/>
      <c r="Z560" s="349"/>
      <c r="AB560" s="79"/>
      <c r="AC560" s="79"/>
      <c r="AD560" s="79"/>
      <c r="AE560" s="79"/>
      <c r="AF560" s="79"/>
      <c r="AG560" s="79"/>
      <c r="AH560" s="79"/>
      <c r="AI560" s="79"/>
    </row>
    <row r="561">
      <c r="A561" s="9"/>
      <c r="C561" s="350"/>
      <c r="D561" s="93"/>
      <c r="E561" s="1"/>
      <c r="F561" s="1"/>
      <c r="G561" s="1"/>
      <c r="H561" s="341"/>
      <c r="I561" s="358"/>
      <c r="J561" s="79"/>
      <c r="K561" s="1"/>
      <c r="L561" s="343"/>
      <c r="M561" s="344"/>
      <c r="N561" s="344"/>
      <c r="O561" s="341"/>
      <c r="P561" s="341"/>
      <c r="Q561" s="79"/>
      <c r="R561" s="345"/>
      <c r="S561" s="344"/>
      <c r="T561" s="345"/>
      <c r="U561" s="344"/>
      <c r="V561" s="346"/>
      <c r="W561" s="347"/>
      <c r="X561" s="359"/>
      <c r="Y561" s="349"/>
      <c r="Z561" s="349"/>
      <c r="AB561" s="79"/>
      <c r="AC561" s="79"/>
      <c r="AD561" s="79"/>
      <c r="AE561" s="79"/>
      <c r="AF561" s="79"/>
      <c r="AG561" s="79"/>
      <c r="AH561" s="79"/>
      <c r="AI561" s="79"/>
    </row>
    <row r="562">
      <c r="A562" s="9"/>
      <c r="C562" s="350"/>
      <c r="D562" s="93"/>
      <c r="E562" s="1"/>
      <c r="F562" s="1"/>
      <c r="G562" s="1"/>
      <c r="H562" s="341"/>
      <c r="I562" s="358"/>
      <c r="J562" s="79"/>
      <c r="K562" s="1"/>
      <c r="L562" s="343"/>
      <c r="M562" s="344"/>
      <c r="N562" s="344"/>
      <c r="O562" s="341"/>
      <c r="P562" s="341"/>
      <c r="Q562" s="79"/>
      <c r="R562" s="345"/>
      <c r="S562" s="344"/>
      <c r="T562" s="345"/>
      <c r="U562" s="344"/>
      <c r="V562" s="346"/>
      <c r="W562" s="347"/>
      <c r="X562" s="359"/>
      <c r="Y562" s="349"/>
      <c r="Z562" s="349"/>
      <c r="AB562" s="79"/>
      <c r="AC562" s="79"/>
      <c r="AD562" s="79"/>
      <c r="AE562" s="79"/>
      <c r="AF562" s="79"/>
      <c r="AG562" s="79"/>
      <c r="AH562" s="79"/>
      <c r="AI562" s="79"/>
    </row>
    <row r="563">
      <c r="A563" s="9"/>
      <c r="C563" s="350"/>
      <c r="D563" s="93"/>
      <c r="E563" s="1"/>
      <c r="F563" s="1"/>
      <c r="G563" s="1"/>
      <c r="H563" s="341"/>
      <c r="I563" s="358"/>
      <c r="J563" s="79"/>
      <c r="K563" s="1"/>
      <c r="L563" s="343"/>
      <c r="M563" s="344"/>
      <c r="N563" s="344"/>
      <c r="O563" s="341"/>
      <c r="P563" s="341"/>
      <c r="Q563" s="79"/>
      <c r="R563" s="345"/>
      <c r="S563" s="344"/>
      <c r="T563" s="345"/>
      <c r="U563" s="344"/>
      <c r="V563" s="346"/>
      <c r="W563" s="347"/>
      <c r="X563" s="359"/>
      <c r="Y563" s="349"/>
      <c r="Z563" s="349"/>
      <c r="AB563" s="79"/>
      <c r="AC563" s="79"/>
      <c r="AD563" s="79"/>
      <c r="AE563" s="79"/>
      <c r="AF563" s="79"/>
      <c r="AG563" s="79"/>
      <c r="AH563" s="79"/>
      <c r="AI563" s="79"/>
    </row>
    <row r="564">
      <c r="A564" s="9"/>
      <c r="C564" s="350"/>
      <c r="D564" s="93"/>
      <c r="E564" s="1"/>
      <c r="F564" s="1"/>
      <c r="G564" s="1"/>
      <c r="H564" s="341"/>
      <c r="I564" s="358"/>
      <c r="J564" s="79"/>
      <c r="K564" s="1"/>
      <c r="L564" s="343"/>
      <c r="M564" s="344"/>
      <c r="N564" s="344"/>
      <c r="O564" s="341"/>
      <c r="P564" s="341"/>
      <c r="Q564" s="79"/>
      <c r="R564" s="345"/>
      <c r="S564" s="344"/>
      <c r="T564" s="345"/>
      <c r="U564" s="344"/>
      <c r="V564" s="346"/>
      <c r="W564" s="347"/>
      <c r="X564" s="359"/>
      <c r="Y564" s="349"/>
      <c r="Z564" s="349"/>
      <c r="AB564" s="79"/>
      <c r="AC564" s="79"/>
      <c r="AD564" s="79"/>
      <c r="AE564" s="79"/>
      <c r="AF564" s="79"/>
      <c r="AG564" s="79"/>
      <c r="AH564" s="79"/>
      <c r="AI564" s="79"/>
    </row>
    <row r="565">
      <c r="A565" s="9"/>
      <c r="C565" s="350"/>
      <c r="D565" s="93"/>
      <c r="E565" s="1"/>
      <c r="F565" s="1"/>
      <c r="G565" s="1"/>
      <c r="H565" s="341"/>
      <c r="I565" s="358"/>
      <c r="J565" s="79"/>
      <c r="K565" s="1"/>
      <c r="L565" s="343"/>
      <c r="M565" s="344"/>
      <c r="N565" s="344"/>
      <c r="O565" s="341"/>
      <c r="P565" s="341"/>
      <c r="Q565" s="79"/>
      <c r="R565" s="345"/>
      <c r="S565" s="344"/>
      <c r="T565" s="345"/>
      <c r="U565" s="344"/>
      <c r="V565" s="346"/>
      <c r="W565" s="347"/>
      <c r="X565" s="359"/>
      <c r="Y565" s="349"/>
      <c r="Z565" s="349"/>
      <c r="AB565" s="79"/>
      <c r="AC565" s="79"/>
      <c r="AD565" s="79"/>
      <c r="AE565" s="79"/>
      <c r="AF565" s="79"/>
      <c r="AG565" s="79"/>
      <c r="AH565" s="79"/>
      <c r="AI565" s="79"/>
    </row>
    <row r="566">
      <c r="A566" s="9"/>
      <c r="C566" s="350"/>
      <c r="D566" s="93"/>
      <c r="E566" s="1"/>
      <c r="F566" s="1"/>
      <c r="G566" s="1"/>
      <c r="H566" s="341"/>
      <c r="I566" s="358"/>
      <c r="J566" s="79"/>
      <c r="K566" s="1"/>
      <c r="L566" s="343"/>
      <c r="M566" s="344"/>
      <c r="N566" s="344"/>
      <c r="O566" s="341"/>
      <c r="P566" s="341"/>
      <c r="Q566" s="79"/>
      <c r="R566" s="345"/>
      <c r="S566" s="344"/>
      <c r="T566" s="345"/>
      <c r="U566" s="344"/>
      <c r="V566" s="346"/>
      <c r="W566" s="347"/>
      <c r="X566" s="359"/>
      <c r="Y566" s="349"/>
      <c r="Z566" s="349"/>
      <c r="AB566" s="79"/>
      <c r="AC566" s="79"/>
      <c r="AD566" s="79"/>
      <c r="AE566" s="79"/>
      <c r="AF566" s="79"/>
      <c r="AG566" s="79"/>
      <c r="AH566" s="79"/>
      <c r="AI566" s="79"/>
    </row>
    <row r="567">
      <c r="A567" s="9"/>
      <c r="C567" s="350"/>
      <c r="D567" s="93"/>
      <c r="E567" s="1"/>
      <c r="F567" s="1"/>
      <c r="G567" s="1"/>
      <c r="H567" s="341"/>
      <c r="I567" s="358"/>
      <c r="J567" s="79"/>
      <c r="K567" s="1"/>
      <c r="L567" s="343"/>
      <c r="M567" s="344"/>
      <c r="N567" s="344"/>
      <c r="O567" s="341"/>
      <c r="P567" s="341"/>
      <c r="Q567" s="79"/>
      <c r="R567" s="345"/>
      <c r="S567" s="344"/>
      <c r="T567" s="345"/>
      <c r="U567" s="344"/>
      <c r="V567" s="346"/>
      <c r="W567" s="347"/>
      <c r="X567" s="359"/>
      <c r="Y567" s="349"/>
      <c r="Z567" s="349"/>
      <c r="AB567" s="79"/>
      <c r="AC567" s="79"/>
      <c r="AD567" s="79"/>
      <c r="AE567" s="79"/>
      <c r="AF567" s="79"/>
      <c r="AG567" s="79"/>
      <c r="AH567" s="79"/>
      <c r="AI567" s="79"/>
    </row>
    <row r="568">
      <c r="A568" s="9"/>
      <c r="C568" s="350"/>
      <c r="D568" s="93"/>
      <c r="E568" s="1"/>
      <c r="F568" s="1"/>
      <c r="G568" s="1"/>
      <c r="H568" s="341"/>
      <c r="I568" s="358"/>
      <c r="J568" s="79"/>
      <c r="K568" s="1"/>
      <c r="L568" s="343"/>
      <c r="M568" s="344"/>
      <c r="N568" s="344"/>
      <c r="O568" s="341"/>
      <c r="P568" s="341"/>
      <c r="Q568" s="79"/>
      <c r="R568" s="345"/>
      <c r="S568" s="344"/>
      <c r="T568" s="345"/>
      <c r="U568" s="344"/>
      <c r="V568" s="346"/>
      <c r="W568" s="347"/>
      <c r="X568" s="359"/>
      <c r="Y568" s="349"/>
      <c r="Z568" s="349"/>
      <c r="AB568" s="79"/>
      <c r="AC568" s="79"/>
      <c r="AD568" s="79"/>
      <c r="AE568" s="79"/>
      <c r="AF568" s="79"/>
      <c r="AG568" s="79"/>
      <c r="AH568" s="79"/>
      <c r="AI568" s="79"/>
    </row>
    <row r="569">
      <c r="A569" s="9"/>
      <c r="C569" s="350"/>
      <c r="D569" s="93"/>
      <c r="E569" s="1"/>
      <c r="F569" s="1"/>
      <c r="G569" s="1"/>
      <c r="H569" s="341"/>
      <c r="I569" s="358"/>
      <c r="J569" s="79"/>
      <c r="K569" s="1"/>
      <c r="L569" s="343"/>
      <c r="M569" s="344"/>
      <c r="N569" s="344"/>
      <c r="O569" s="341"/>
      <c r="P569" s="341"/>
      <c r="Q569" s="79"/>
      <c r="R569" s="345"/>
      <c r="S569" s="344"/>
      <c r="T569" s="345"/>
      <c r="U569" s="344"/>
      <c r="V569" s="346"/>
      <c r="W569" s="347"/>
      <c r="X569" s="359"/>
      <c r="Y569" s="349"/>
      <c r="Z569" s="349"/>
      <c r="AB569" s="79"/>
      <c r="AC569" s="79"/>
      <c r="AD569" s="79"/>
      <c r="AE569" s="79"/>
      <c r="AF569" s="79"/>
      <c r="AG569" s="79"/>
      <c r="AH569" s="79"/>
      <c r="AI569" s="79"/>
    </row>
    <row r="570">
      <c r="A570" s="9"/>
      <c r="C570" s="350"/>
      <c r="D570" s="93"/>
      <c r="E570" s="1"/>
      <c r="F570" s="1"/>
      <c r="G570" s="1"/>
      <c r="H570" s="341"/>
      <c r="I570" s="358"/>
      <c r="J570" s="79"/>
      <c r="K570" s="1"/>
      <c r="L570" s="343"/>
      <c r="M570" s="344"/>
      <c r="N570" s="344"/>
      <c r="O570" s="341"/>
      <c r="P570" s="341"/>
      <c r="Q570" s="79"/>
      <c r="R570" s="345"/>
      <c r="S570" s="344"/>
      <c r="T570" s="345"/>
      <c r="U570" s="344"/>
      <c r="V570" s="346"/>
      <c r="W570" s="347"/>
      <c r="X570" s="359"/>
      <c r="Y570" s="349"/>
      <c r="Z570" s="349"/>
      <c r="AB570" s="79"/>
      <c r="AC570" s="79"/>
      <c r="AD570" s="79"/>
      <c r="AE570" s="79"/>
      <c r="AF570" s="79"/>
      <c r="AG570" s="79"/>
      <c r="AH570" s="79"/>
      <c r="AI570" s="79"/>
    </row>
    <row r="571">
      <c r="A571" s="9"/>
      <c r="C571" s="350"/>
      <c r="D571" s="93"/>
      <c r="E571" s="1"/>
      <c r="F571" s="1"/>
      <c r="G571" s="1"/>
      <c r="H571" s="341"/>
      <c r="I571" s="358"/>
      <c r="J571" s="79"/>
      <c r="K571" s="1"/>
      <c r="L571" s="343"/>
      <c r="M571" s="344"/>
      <c r="N571" s="344"/>
      <c r="O571" s="341"/>
      <c r="P571" s="341"/>
      <c r="Q571" s="79"/>
      <c r="R571" s="345"/>
      <c r="S571" s="344"/>
      <c r="T571" s="345"/>
      <c r="U571" s="344"/>
      <c r="V571" s="346"/>
      <c r="W571" s="347"/>
      <c r="X571" s="359"/>
      <c r="Y571" s="349"/>
      <c r="Z571" s="349"/>
      <c r="AB571" s="79"/>
      <c r="AC571" s="79"/>
      <c r="AD571" s="79"/>
      <c r="AE571" s="79"/>
      <c r="AF571" s="79"/>
      <c r="AG571" s="79"/>
      <c r="AH571" s="79"/>
      <c r="AI571" s="79"/>
    </row>
    <row r="572">
      <c r="A572" s="9"/>
      <c r="C572" s="350"/>
      <c r="D572" s="93"/>
      <c r="E572" s="1"/>
      <c r="F572" s="1"/>
      <c r="G572" s="1"/>
      <c r="H572" s="341"/>
      <c r="I572" s="358"/>
      <c r="J572" s="79"/>
      <c r="K572" s="1"/>
      <c r="L572" s="343"/>
      <c r="M572" s="344"/>
      <c r="N572" s="344"/>
      <c r="O572" s="341"/>
      <c r="P572" s="341"/>
      <c r="Q572" s="79"/>
      <c r="R572" s="345"/>
      <c r="S572" s="344"/>
      <c r="T572" s="345"/>
      <c r="U572" s="344"/>
      <c r="V572" s="346"/>
      <c r="W572" s="347"/>
      <c r="X572" s="359"/>
      <c r="Y572" s="349"/>
      <c r="Z572" s="349"/>
      <c r="AB572" s="79"/>
      <c r="AC572" s="79"/>
      <c r="AD572" s="79"/>
      <c r="AE572" s="79"/>
      <c r="AF572" s="79"/>
      <c r="AG572" s="79"/>
      <c r="AH572" s="79"/>
      <c r="AI572" s="79"/>
    </row>
    <row r="573">
      <c r="A573" s="9"/>
      <c r="C573" s="350"/>
      <c r="D573" s="93"/>
      <c r="E573" s="1"/>
      <c r="F573" s="1"/>
      <c r="G573" s="1"/>
      <c r="H573" s="341"/>
      <c r="I573" s="358"/>
      <c r="J573" s="79"/>
      <c r="K573" s="1"/>
      <c r="L573" s="343"/>
      <c r="M573" s="344"/>
      <c r="N573" s="344"/>
      <c r="O573" s="341"/>
      <c r="P573" s="341"/>
      <c r="Q573" s="79"/>
      <c r="R573" s="345"/>
      <c r="S573" s="344"/>
      <c r="T573" s="345"/>
      <c r="U573" s="344"/>
      <c r="V573" s="346"/>
      <c r="W573" s="347"/>
      <c r="X573" s="359"/>
      <c r="Y573" s="349"/>
      <c r="Z573" s="349"/>
      <c r="AB573" s="79"/>
      <c r="AC573" s="79"/>
      <c r="AD573" s="79"/>
      <c r="AE573" s="79"/>
      <c r="AF573" s="79"/>
      <c r="AG573" s="79"/>
      <c r="AH573" s="79"/>
      <c r="AI573" s="79"/>
    </row>
    <row r="574">
      <c r="A574" s="9"/>
      <c r="C574" s="350"/>
      <c r="D574" s="93"/>
      <c r="E574" s="1"/>
      <c r="F574" s="1"/>
      <c r="G574" s="1"/>
      <c r="H574" s="341"/>
      <c r="I574" s="358"/>
      <c r="J574" s="79"/>
      <c r="K574" s="1"/>
      <c r="L574" s="343"/>
      <c r="M574" s="344"/>
      <c r="N574" s="344"/>
      <c r="O574" s="341"/>
      <c r="P574" s="341"/>
      <c r="Q574" s="79"/>
      <c r="R574" s="345"/>
      <c r="S574" s="344"/>
      <c r="T574" s="345"/>
      <c r="U574" s="344"/>
      <c r="V574" s="346"/>
      <c r="W574" s="347"/>
      <c r="X574" s="359"/>
      <c r="Y574" s="349"/>
      <c r="Z574" s="349"/>
      <c r="AB574" s="79"/>
      <c r="AC574" s="79"/>
      <c r="AD574" s="79"/>
      <c r="AE574" s="79"/>
      <c r="AF574" s="79"/>
      <c r="AG574" s="79"/>
      <c r="AH574" s="79"/>
      <c r="AI574" s="79"/>
    </row>
    <row r="575">
      <c r="A575" s="9"/>
      <c r="C575" s="350"/>
      <c r="D575" s="93"/>
      <c r="E575" s="1"/>
      <c r="F575" s="1"/>
      <c r="G575" s="1"/>
      <c r="H575" s="341"/>
      <c r="I575" s="358"/>
      <c r="J575" s="79"/>
      <c r="K575" s="1"/>
      <c r="L575" s="343"/>
      <c r="M575" s="344"/>
      <c r="N575" s="344"/>
      <c r="O575" s="341"/>
      <c r="P575" s="341"/>
      <c r="Q575" s="79"/>
      <c r="R575" s="345"/>
      <c r="S575" s="344"/>
      <c r="T575" s="345"/>
      <c r="U575" s="344"/>
      <c r="V575" s="346"/>
      <c r="W575" s="347"/>
      <c r="X575" s="359"/>
      <c r="Y575" s="349"/>
      <c r="Z575" s="349"/>
      <c r="AB575" s="79"/>
      <c r="AC575" s="79"/>
      <c r="AD575" s="79"/>
      <c r="AE575" s="79"/>
      <c r="AF575" s="79"/>
      <c r="AG575" s="79"/>
      <c r="AH575" s="79"/>
      <c r="AI575" s="79"/>
    </row>
    <row r="576">
      <c r="A576" s="9"/>
      <c r="C576" s="350"/>
      <c r="D576" s="93"/>
      <c r="E576" s="1"/>
      <c r="F576" s="1"/>
      <c r="G576" s="1"/>
      <c r="H576" s="341"/>
      <c r="I576" s="358"/>
      <c r="J576" s="79"/>
      <c r="K576" s="1"/>
      <c r="L576" s="343"/>
      <c r="M576" s="344"/>
      <c r="N576" s="344"/>
      <c r="O576" s="341"/>
      <c r="P576" s="341"/>
      <c r="Q576" s="79"/>
      <c r="R576" s="345"/>
      <c r="S576" s="344"/>
      <c r="T576" s="345"/>
      <c r="U576" s="344"/>
      <c r="V576" s="346"/>
      <c r="W576" s="347"/>
      <c r="X576" s="359"/>
      <c r="Y576" s="349"/>
      <c r="Z576" s="349"/>
      <c r="AB576" s="79"/>
      <c r="AC576" s="79"/>
      <c r="AD576" s="79"/>
      <c r="AE576" s="79"/>
      <c r="AF576" s="79"/>
      <c r="AG576" s="79"/>
      <c r="AH576" s="79"/>
      <c r="AI576" s="79"/>
    </row>
    <row r="577">
      <c r="A577" s="9"/>
      <c r="C577" s="350"/>
      <c r="D577" s="93"/>
      <c r="E577" s="1"/>
      <c r="F577" s="1"/>
      <c r="G577" s="1"/>
      <c r="H577" s="341"/>
      <c r="I577" s="358"/>
      <c r="J577" s="79"/>
      <c r="K577" s="1"/>
      <c r="L577" s="343"/>
      <c r="M577" s="344"/>
      <c r="N577" s="344"/>
      <c r="O577" s="341"/>
      <c r="P577" s="341"/>
      <c r="Q577" s="79"/>
      <c r="R577" s="345"/>
      <c r="S577" s="344"/>
      <c r="T577" s="345"/>
      <c r="U577" s="344"/>
      <c r="V577" s="346"/>
      <c r="W577" s="347"/>
      <c r="X577" s="359"/>
      <c r="Y577" s="349"/>
      <c r="Z577" s="349"/>
      <c r="AB577" s="79"/>
      <c r="AC577" s="79"/>
      <c r="AD577" s="79"/>
      <c r="AE577" s="79"/>
      <c r="AF577" s="79"/>
      <c r="AG577" s="79"/>
      <c r="AH577" s="79"/>
      <c r="AI577" s="79"/>
    </row>
    <row r="578">
      <c r="A578" s="9"/>
      <c r="C578" s="350"/>
      <c r="D578" s="93"/>
      <c r="E578" s="1"/>
      <c r="F578" s="1"/>
      <c r="G578" s="1"/>
      <c r="H578" s="341"/>
      <c r="I578" s="358"/>
      <c r="J578" s="79"/>
      <c r="K578" s="1"/>
      <c r="L578" s="343"/>
      <c r="M578" s="344"/>
      <c r="N578" s="344"/>
      <c r="O578" s="341"/>
      <c r="P578" s="341"/>
      <c r="Q578" s="79"/>
      <c r="R578" s="345"/>
      <c r="S578" s="344"/>
      <c r="T578" s="345"/>
      <c r="U578" s="344"/>
      <c r="V578" s="346"/>
      <c r="W578" s="347"/>
      <c r="X578" s="359"/>
      <c r="Y578" s="349"/>
      <c r="Z578" s="349"/>
      <c r="AB578" s="79"/>
      <c r="AC578" s="79"/>
      <c r="AD578" s="79"/>
      <c r="AE578" s="79"/>
      <c r="AF578" s="79"/>
      <c r="AG578" s="79"/>
      <c r="AH578" s="79"/>
      <c r="AI578" s="79"/>
    </row>
    <row r="579">
      <c r="A579" s="9"/>
      <c r="C579" s="350"/>
      <c r="D579" s="93"/>
      <c r="E579" s="1"/>
      <c r="F579" s="1"/>
      <c r="G579" s="1"/>
      <c r="H579" s="341"/>
      <c r="I579" s="358"/>
      <c r="J579" s="79"/>
      <c r="K579" s="1"/>
      <c r="L579" s="343"/>
      <c r="M579" s="344"/>
      <c r="N579" s="344"/>
      <c r="O579" s="341"/>
      <c r="P579" s="341"/>
      <c r="Q579" s="79"/>
      <c r="R579" s="345"/>
      <c r="S579" s="344"/>
      <c r="T579" s="345"/>
      <c r="U579" s="344"/>
      <c r="V579" s="346"/>
      <c r="W579" s="347"/>
      <c r="X579" s="359"/>
      <c r="Y579" s="349"/>
      <c r="Z579" s="349"/>
      <c r="AB579" s="79"/>
      <c r="AC579" s="79"/>
      <c r="AD579" s="79"/>
      <c r="AE579" s="79"/>
      <c r="AF579" s="79"/>
      <c r="AG579" s="79"/>
      <c r="AH579" s="79"/>
      <c r="AI579" s="79"/>
    </row>
    <row r="580">
      <c r="A580" s="9"/>
      <c r="C580" s="350"/>
      <c r="D580" s="93"/>
      <c r="E580" s="1"/>
      <c r="F580" s="1"/>
      <c r="G580" s="1"/>
      <c r="H580" s="341"/>
      <c r="I580" s="358"/>
      <c r="J580" s="79"/>
      <c r="K580" s="1"/>
      <c r="L580" s="343"/>
      <c r="M580" s="344"/>
      <c r="N580" s="344"/>
      <c r="O580" s="341"/>
      <c r="P580" s="341"/>
      <c r="Q580" s="79"/>
      <c r="R580" s="345"/>
      <c r="S580" s="344"/>
      <c r="T580" s="345"/>
      <c r="U580" s="344"/>
      <c r="V580" s="346"/>
      <c r="W580" s="347"/>
      <c r="X580" s="359"/>
      <c r="Y580" s="349"/>
      <c r="Z580" s="349"/>
      <c r="AB580" s="79"/>
      <c r="AC580" s="79"/>
      <c r="AD580" s="79"/>
      <c r="AE580" s="79"/>
      <c r="AF580" s="79"/>
      <c r="AG580" s="79"/>
      <c r="AH580" s="79"/>
      <c r="AI580" s="79"/>
    </row>
    <row r="581">
      <c r="A581" s="9"/>
      <c r="C581" s="350"/>
      <c r="D581" s="93"/>
      <c r="E581" s="1"/>
      <c r="F581" s="1"/>
      <c r="G581" s="1"/>
      <c r="H581" s="341"/>
      <c r="I581" s="358"/>
      <c r="J581" s="79"/>
      <c r="K581" s="1"/>
      <c r="L581" s="343"/>
      <c r="M581" s="344"/>
      <c r="N581" s="344"/>
      <c r="O581" s="341"/>
      <c r="P581" s="341"/>
      <c r="Q581" s="79"/>
      <c r="R581" s="345"/>
      <c r="S581" s="344"/>
      <c r="T581" s="345"/>
      <c r="U581" s="344"/>
      <c r="V581" s="346"/>
      <c r="W581" s="347"/>
      <c r="X581" s="359"/>
      <c r="Y581" s="349"/>
      <c r="Z581" s="349"/>
      <c r="AB581" s="79"/>
      <c r="AC581" s="79"/>
      <c r="AD581" s="79"/>
      <c r="AE581" s="79"/>
      <c r="AF581" s="79"/>
      <c r="AG581" s="79"/>
      <c r="AH581" s="79"/>
      <c r="AI581" s="79"/>
    </row>
    <row r="582">
      <c r="A582" s="9"/>
      <c r="C582" s="350"/>
      <c r="D582" s="93"/>
      <c r="E582" s="1"/>
      <c r="F582" s="1"/>
      <c r="G582" s="1"/>
      <c r="H582" s="341"/>
      <c r="I582" s="358"/>
      <c r="J582" s="79"/>
      <c r="K582" s="1"/>
      <c r="L582" s="343"/>
      <c r="M582" s="344"/>
      <c r="N582" s="344"/>
      <c r="O582" s="341"/>
      <c r="P582" s="341"/>
      <c r="Q582" s="79"/>
      <c r="R582" s="345"/>
      <c r="S582" s="344"/>
      <c r="T582" s="345"/>
      <c r="U582" s="344"/>
      <c r="V582" s="346"/>
      <c r="W582" s="347"/>
      <c r="X582" s="359"/>
      <c r="Y582" s="349"/>
      <c r="Z582" s="349"/>
      <c r="AB582" s="79"/>
      <c r="AC582" s="79"/>
      <c r="AD582" s="79"/>
      <c r="AE582" s="79"/>
      <c r="AF582" s="79"/>
      <c r="AG582" s="79"/>
      <c r="AH582" s="79"/>
      <c r="AI582" s="79"/>
    </row>
    <row r="583">
      <c r="A583" s="9"/>
      <c r="C583" s="350"/>
      <c r="D583" s="93"/>
      <c r="E583" s="1"/>
      <c r="F583" s="1"/>
      <c r="G583" s="1"/>
      <c r="H583" s="341"/>
      <c r="I583" s="358"/>
      <c r="J583" s="79"/>
      <c r="K583" s="1"/>
      <c r="L583" s="343"/>
      <c r="M583" s="344"/>
      <c r="N583" s="344"/>
      <c r="O583" s="341"/>
      <c r="P583" s="341"/>
      <c r="Q583" s="79"/>
      <c r="R583" s="345"/>
      <c r="S583" s="344"/>
      <c r="T583" s="345"/>
      <c r="U583" s="344"/>
      <c r="V583" s="346"/>
      <c r="W583" s="347"/>
      <c r="X583" s="359"/>
      <c r="Y583" s="349"/>
      <c r="Z583" s="349"/>
      <c r="AB583" s="79"/>
      <c r="AC583" s="79"/>
      <c r="AD583" s="79"/>
      <c r="AE583" s="79"/>
      <c r="AF583" s="79"/>
      <c r="AG583" s="79"/>
      <c r="AH583" s="79"/>
      <c r="AI583" s="79"/>
    </row>
    <row r="584">
      <c r="A584" s="9"/>
      <c r="C584" s="350"/>
      <c r="D584" s="93"/>
      <c r="E584" s="1"/>
      <c r="F584" s="1"/>
      <c r="G584" s="1"/>
      <c r="H584" s="341"/>
      <c r="I584" s="358"/>
      <c r="J584" s="79"/>
      <c r="K584" s="1"/>
      <c r="L584" s="343"/>
      <c r="M584" s="344"/>
      <c r="N584" s="344"/>
      <c r="O584" s="341"/>
      <c r="P584" s="341"/>
      <c r="Q584" s="79"/>
      <c r="R584" s="345"/>
      <c r="S584" s="344"/>
      <c r="T584" s="345"/>
      <c r="U584" s="344"/>
      <c r="V584" s="346"/>
      <c r="W584" s="347"/>
      <c r="X584" s="359"/>
      <c r="Y584" s="349"/>
      <c r="Z584" s="349"/>
      <c r="AB584" s="79"/>
      <c r="AC584" s="79"/>
      <c r="AD584" s="79"/>
      <c r="AE584" s="79"/>
      <c r="AF584" s="79"/>
      <c r="AG584" s="79"/>
      <c r="AH584" s="79"/>
      <c r="AI584" s="79"/>
    </row>
    <row r="585">
      <c r="A585" s="9"/>
      <c r="C585" s="350"/>
      <c r="D585" s="93"/>
      <c r="E585" s="1"/>
      <c r="F585" s="1"/>
      <c r="G585" s="1"/>
      <c r="H585" s="341"/>
      <c r="I585" s="358"/>
      <c r="J585" s="79"/>
      <c r="K585" s="1"/>
      <c r="L585" s="343"/>
      <c r="M585" s="344"/>
      <c r="N585" s="344"/>
      <c r="O585" s="341"/>
      <c r="P585" s="341"/>
      <c r="Q585" s="79"/>
      <c r="R585" s="345"/>
      <c r="S585" s="344"/>
      <c r="T585" s="345"/>
      <c r="U585" s="344"/>
      <c r="V585" s="346"/>
      <c r="W585" s="347"/>
      <c r="X585" s="359"/>
      <c r="Y585" s="349"/>
      <c r="Z585" s="349"/>
      <c r="AB585" s="79"/>
      <c r="AC585" s="79"/>
      <c r="AD585" s="79"/>
      <c r="AE585" s="79"/>
      <c r="AF585" s="79"/>
      <c r="AG585" s="79"/>
      <c r="AH585" s="79"/>
      <c r="AI585" s="79"/>
    </row>
    <row r="586">
      <c r="A586" s="9"/>
      <c r="C586" s="350"/>
      <c r="D586" s="93"/>
      <c r="E586" s="1"/>
      <c r="F586" s="1"/>
      <c r="G586" s="1"/>
      <c r="H586" s="341"/>
      <c r="I586" s="358"/>
      <c r="J586" s="79"/>
      <c r="K586" s="1"/>
      <c r="L586" s="343"/>
      <c r="M586" s="344"/>
      <c r="N586" s="344"/>
      <c r="O586" s="341"/>
      <c r="P586" s="341"/>
      <c r="Q586" s="79"/>
      <c r="R586" s="345"/>
      <c r="S586" s="344"/>
      <c r="T586" s="345"/>
      <c r="U586" s="344"/>
      <c r="V586" s="346"/>
      <c r="W586" s="347"/>
      <c r="X586" s="359"/>
      <c r="Y586" s="349"/>
      <c r="Z586" s="349"/>
      <c r="AB586" s="79"/>
      <c r="AC586" s="79"/>
      <c r="AD586" s="79"/>
      <c r="AE586" s="79"/>
      <c r="AF586" s="79"/>
      <c r="AG586" s="79"/>
      <c r="AH586" s="79"/>
      <c r="AI586" s="79"/>
    </row>
    <row r="587">
      <c r="A587" s="9"/>
      <c r="C587" s="350"/>
      <c r="D587" s="93"/>
      <c r="E587" s="1"/>
      <c r="F587" s="1"/>
      <c r="G587" s="1"/>
      <c r="H587" s="341"/>
      <c r="I587" s="358"/>
      <c r="J587" s="79"/>
      <c r="K587" s="1"/>
      <c r="L587" s="343"/>
      <c r="M587" s="344"/>
      <c r="N587" s="344"/>
      <c r="O587" s="341"/>
      <c r="P587" s="341"/>
      <c r="Q587" s="79"/>
      <c r="R587" s="345"/>
      <c r="S587" s="344"/>
      <c r="T587" s="345"/>
      <c r="U587" s="344"/>
      <c r="V587" s="346"/>
      <c r="W587" s="347"/>
      <c r="X587" s="359"/>
      <c r="Y587" s="349"/>
      <c r="Z587" s="349"/>
      <c r="AB587" s="79"/>
      <c r="AC587" s="79"/>
      <c r="AD587" s="79"/>
      <c r="AE587" s="79"/>
      <c r="AF587" s="79"/>
      <c r="AG587" s="79"/>
      <c r="AH587" s="79"/>
      <c r="AI587" s="79"/>
    </row>
    <row r="588">
      <c r="A588" s="9"/>
      <c r="C588" s="350"/>
      <c r="D588" s="93"/>
      <c r="E588" s="1"/>
      <c r="F588" s="1"/>
      <c r="G588" s="1"/>
      <c r="H588" s="341"/>
      <c r="I588" s="358"/>
      <c r="J588" s="79"/>
      <c r="K588" s="1"/>
      <c r="L588" s="343"/>
      <c r="M588" s="344"/>
      <c r="N588" s="344"/>
      <c r="O588" s="341"/>
      <c r="P588" s="341"/>
      <c r="Q588" s="79"/>
      <c r="R588" s="345"/>
      <c r="S588" s="344"/>
      <c r="T588" s="345"/>
      <c r="U588" s="344"/>
      <c r="V588" s="346"/>
      <c r="W588" s="347"/>
      <c r="X588" s="359"/>
      <c r="Y588" s="349"/>
      <c r="Z588" s="349"/>
      <c r="AB588" s="79"/>
      <c r="AC588" s="79"/>
      <c r="AD588" s="79"/>
      <c r="AE588" s="79"/>
      <c r="AF588" s="79"/>
      <c r="AG588" s="79"/>
      <c r="AH588" s="79"/>
      <c r="AI588" s="79"/>
    </row>
    <row r="589">
      <c r="A589" s="9"/>
      <c r="C589" s="350"/>
      <c r="D589" s="93"/>
      <c r="E589" s="1"/>
      <c r="F589" s="1"/>
      <c r="G589" s="1"/>
      <c r="H589" s="341"/>
      <c r="I589" s="358"/>
      <c r="J589" s="79"/>
      <c r="K589" s="1"/>
      <c r="L589" s="343"/>
      <c r="M589" s="344"/>
      <c r="N589" s="344"/>
      <c r="O589" s="341"/>
      <c r="P589" s="341"/>
      <c r="Q589" s="79"/>
      <c r="R589" s="345"/>
      <c r="S589" s="344"/>
      <c r="T589" s="345"/>
      <c r="U589" s="344"/>
      <c r="V589" s="346"/>
      <c r="W589" s="347"/>
      <c r="X589" s="359"/>
      <c r="Y589" s="349"/>
      <c r="Z589" s="349"/>
      <c r="AB589" s="79"/>
      <c r="AC589" s="79"/>
      <c r="AD589" s="79"/>
      <c r="AE589" s="79"/>
      <c r="AF589" s="79"/>
      <c r="AG589" s="79"/>
      <c r="AH589" s="79"/>
      <c r="AI589" s="79"/>
    </row>
    <row r="590">
      <c r="A590" s="9"/>
      <c r="C590" s="350"/>
      <c r="D590" s="93"/>
      <c r="E590" s="1"/>
      <c r="F590" s="1"/>
      <c r="G590" s="1"/>
      <c r="H590" s="341"/>
      <c r="I590" s="358"/>
      <c r="J590" s="79"/>
      <c r="K590" s="1"/>
      <c r="L590" s="343"/>
      <c r="M590" s="344"/>
      <c r="N590" s="344"/>
      <c r="O590" s="341"/>
      <c r="P590" s="341"/>
      <c r="Q590" s="79"/>
      <c r="R590" s="345"/>
      <c r="S590" s="344"/>
      <c r="T590" s="345"/>
      <c r="U590" s="344"/>
      <c r="V590" s="346"/>
      <c r="W590" s="347"/>
      <c r="X590" s="359"/>
      <c r="Y590" s="349"/>
      <c r="Z590" s="349"/>
      <c r="AB590" s="79"/>
      <c r="AC590" s="79"/>
      <c r="AD590" s="79"/>
      <c r="AE590" s="79"/>
      <c r="AF590" s="79"/>
      <c r="AG590" s="79"/>
      <c r="AH590" s="79"/>
      <c r="AI590" s="79"/>
    </row>
    <row r="591">
      <c r="A591" s="9"/>
      <c r="C591" s="350"/>
      <c r="D591" s="93"/>
      <c r="E591" s="1"/>
      <c r="F591" s="1"/>
      <c r="G591" s="1"/>
      <c r="H591" s="341"/>
      <c r="I591" s="358"/>
      <c r="J591" s="79"/>
      <c r="K591" s="1"/>
      <c r="L591" s="343"/>
      <c r="M591" s="344"/>
      <c r="N591" s="344"/>
      <c r="O591" s="341"/>
      <c r="P591" s="341"/>
      <c r="Q591" s="79"/>
      <c r="R591" s="345"/>
      <c r="S591" s="344"/>
      <c r="T591" s="345"/>
      <c r="U591" s="344"/>
      <c r="V591" s="346"/>
      <c r="W591" s="347"/>
      <c r="X591" s="359"/>
      <c r="Y591" s="349"/>
      <c r="Z591" s="349"/>
      <c r="AB591" s="79"/>
      <c r="AC591" s="79"/>
      <c r="AD591" s="79"/>
      <c r="AE591" s="79"/>
      <c r="AF591" s="79"/>
      <c r="AG591" s="79"/>
      <c r="AH591" s="79"/>
      <c r="AI591" s="79"/>
    </row>
    <row r="592">
      <c r="A592" s="9"/>
      <c r="C592" s="350"/>
      <c r="D592" s="93"/>
      <c r="E592" s="1"/>
      <c r="F592" s="1"/>
      <c r="G592" s="1"/>
      <c r="H592" s="341"/>
      <c r="I592" s="358"/>
      <c r="J592" s="79"/>
      <c r="K592" s="1"/>
      <c r="L592" s="343"/>
      <c r="M592" s="344"/>
      <c r="N592" s="344"/>
      <c r="O592" s="341"/>
      <c r="P592" s="341"/>
      <c r="Q592" s="79"/>
      <c r="R592" s="345"/>
      <c r="S592" s="344"/>
      <c r="T592" s="345"/>
      <c r="U592" s="344"/>
      <c r="V592" s="346"/>
      <c r="W592" s="347"/>
      <c r="X592" s="359"/>
      <c r="Y592" s="349"/>
      <c r="Z592" s="349"/>
      <c r="AB592" s="79"/>
      <c r="AC592" s="79"/>
      <c r="AD592" s="79"/>
      <c r="AE592" s="79"/>
      <c r="AF592" s="79"/>
      <c r="AG592" s="79"/>
      <c r="AH592" s="79"/>
      <c r="AI592" s="79"/>
    </row>
    <row r="593">
      <c r="A593" s="9"/>
      <c r="C593" s="350"/>
      <c r="D593" s="93"/>
      <c r="E593" s="1"/>
      <c r="F593" s="1"/>
      <c r="G593" s="1"/>
      <c r="H593" s="341"/>
      <c r="I593" s="358"/>
      <c r="J593" s="79"/>
      <c r="K593" s="1"/>
      <c r="L593" s="343"/>
      <c r="M593" s="344"/>
      <c r="N593" s="344"/>
      <c r="O593" s="341"/>
      <c r="P593" s="341"/>
      <c r="Q593" s="79"/>
      <c r="R593" s="345"/>
      <c r="S593" s="344"/>
      <c r="T593" s="345"/>
      <c r="U593" s="344"/>
      <c r="V593" s="346"/>
      <c r="W593" s="347"/>
      <c r="X593" s="359"/>
      <c r="Y593" s="349"/>
      <c r="Z593" s="349"/>
      <c r="AB593" s="79"/>
      <c r="AC593" s="79"/>
      <c r="AD593" s="79"/>
      <c r="AE593" s="79"/>
      <c r="AF593" s="79"/>
      <c r="AG593" s="79"/>
      <c r="AH593" s="79"/>
      <c r="AI593" s="79"/>
    </row>
    <row r="594">
      <c r="A594" s="9"/>
      <c r="C594" s="350"/>
      <c r="D594" s="93"/>
      <c r="E594" s="1"/>
      <c r="F594" s="1"/>
      <c r="G594" s="1"/>
      <c r="H594" s="341"/>
      <c r="I594" s="358"/>
      <c r="J594" s="79"/>
      <c r="K594" s="1"/>
      <c r="L594" s="343"/>
      <c r="M594" s="344"/>
      <c r="N594" s="344"/>
      <c r="O594" s="341"/>
      <c r="P594" s="341"/>
      <c r="Q594" s="79"/>
      <c r="R594" s="345"/>
      <c r="S594" s="344"/>
      <c r="T594" s="345"/>
      <c r="U594" s="344"/>
      <c r="V594" s="346"/>
      <c r="W594" s="347"/>
      <c r="X594" s="359"/>
      <c r="Y594" s="349"/>
      <c r="Z594" s="349"/>
      <c r="AB594" s="79"/>
      <c r="AC594" s="79"/>
      <c r="AD594" s="79"/>
      <c r="AE594" s="79"/>
      <c r="AF594" s="79"/>
      <c r="AG594" s="79"/>
      <c r="AH594" s="79"/>
      <c r="AI594" s="79"/>
    </row>
    <row r="595">
      <c r="A595" s="9"/>
      <c r="C595" s="350"/>
      <c r="D595" s="93"/>
      <c r="E595" s="1"/>
      <c r="F595" s="1"/>
      <c r="G595" s="1"/>
      <c r="H595" s="341"/>
      <c r="I595" s="358"/>
      <c r="J595" s="79"/>
      <c r="K595" s="1"/>
      <c r="L595" s="343"/>
      <c r="M595" s="344"/>
      <c r="N595" s="344"/>
      <c r="O595" s="341"/>
      <c r="P595" s="341"/>
      <c r="Q595" s="79"/>
      <c r="R595" s="345"/>
      <c r="S595" s="344"/>
      <c r="T595" s="345"/>
      <c r="U595" s="344"/>
      <c r="V595" s="346"/>
      <c r="W595" s="347"/>
      <c r="X595" s="359"/>
      <c r="Y595" s="349"/>
      <c r="Z595" s="349"/>
      <c r="AB595" s="79"/>
      <c r="AC595" s="79"/>
      <c r="AD595" s="79"/>
      <c r="AE595" s="79"/>
      <c r="AF595" s="79"/>
      <c r="AG595" s="79"/>
      <c r="AH595" s="79"/>
      <c r="AI595" s="79"/>
    </row>
    <row r="596">
      <c r="A596" s="9"/>
      <c r="C596" s="350"/>
      <c r="D596" s="93"/>
      <c r="E596" s="1"/>
      <c r="F596" s="1"/>
      <c r="G596" s="1"/>
      <c r="H596" s="341"/>
      <c r="I596" s="358"/>
      <c r="J596" s="79"/>
      <c r="K596" s="1"/>
      <c r="L596" s="343"/>
      <c r="M596" s="344"/>
      <c r="N596" s="344"/>
      <c r="O596" s="341"/>
      <c r="P596" s="341"/>
      <c r="Q596" s="79"/>
      <c r="R596" s="345"/>
      <c r="S596" s="344"/>
      <c r="T596" s="345"/>
      <c r="U596" s="344"/>
      <c r="V596" s="346"/>
      <c r="W596" s="347"/>
      <c r="X596" s="359"/>
      <c r="Y596" s="349"/>
      <c r="Z596" s="349"/>
      <c r="AB596" s="79"/>
      <c r="AC596" s="79"/>
      <c r="AD596" s="79"/>
      <c r="AE596" s="79"/>
      <c r="AF596" s="79"/>
      <c r="AG596" s="79"/>
      <c r="AH596" s="79"/>
      <c r="AI596" s="79"/>
    </row>
    <row r="597">
      <c r="A597" s="9"/>
      <c r="C597" s="350"/>
      <c r="D597" s="93"/>
      <c r="E597" s="1"/>
      <c r="F597" s="1"/>
      <c r="G597" s="1"/>
      <c r="H597" s="341"/>
      <c r="I597" s="358"/>
      <c r="J597" s="79"/>
      <c r="K597" s="1"/>
      <c r="L597" s="343"/>
      <c r="M597" s="344"/>
      <c r="N597" s="344"/>
      <c r="O597" s="341"/>
      <c r="P597" s="341"/>
      <c r="Q597" s="79"/>
      <c r="R597" s="345"/>
      <c r="S597" s="344"/>
      <c r="T597" s="345"/>
      <c r="U597" s="344"/>
      <c r="V597" s="346"/>
      <c r="W597" s="347"/>
      <c r="X597" s="359"/>
      <c r="Y597" s="349"/>
      <c r="Z597" s="349"/>
      <c r="AB597" s="79"/>
      <c r="AC597" s="79"/>
      <c r="AD597" s="79"/>
      <c r="AE597" s="79"/>
      <c r="AF597" s="79"/>
      <c r="AG597" s="79"/>
      <c r="AH597" s="79"/>
      <c r="AI597" s="79"/>
    </row>
    <row r="598">
      <c r="A598" s="9"/>
      <c r="C598" s="350"/>
      <c r="D598" s="93"/>
      <c r="E598" s="1"/>
      <c r="F598" s="1"/>
      <c r="G598" s="1"/>
      <c r="H598" s="341"/>
      <c r="I598" s="358"/>
      <c r="J598" s="79"/>
      <c r="K598" s="1"/>
      <c r="L598" s="343"/>
      <c r="M598" s="344"/>
      <c r="N598" s="344"/>
      <c r="O598" s="341"/>
      <c r="P598" s="341"/>
      <c r="Q598" s="79"/>
      <c r="R598" s="345"/>
      <c r="S598" s="344"/>
      <c r="T598" s="345"/>
      <c r="U598" s="344"/>
      <c r="V598" s="346"/>
      <c r="W598" s="347"/>
      <c r="X598" s="359"/>
      <c r="Y598" s="349"/>
      <c r="Z598" s="349"/>
      <c r="AB598" s="79"/>
      <c r="AC598" s="79"/>
      <c r="AD598" s="79"/>
      <c r="AE598" s="79"/>
      <c r="AF598" s="79"/>
      <c r="AG598" s="79"/>
      <c r="AH598" s="79"/>
      <c r="AI598" s="79"/>
    </row>
    <row r="599">
      <c r="A599" s="9"/>
      <c r="C599" s="350"/>
      <c r="D599" s="93"/>
      <c r="E599" s="1"/>
      <c r="F599" s="1"/>
      <c r="G599" s="1"/>
      <c r="H599" s="341"/>
      <c r="I599" s="358"/>
      <c r="J599" s="79"/>
      <c r="K599" s="1"/>
      <c r="L599" s="343"/>
      <c r="M599" s="344"/>
      <c r="N599" s="344"/>
      <c r="O599" s="341"/>
      <c r="P599" s="341"/>
      <c r="Q599" s="79"/>
      <c r="R599" s="345"/>
      <c r="S599" s="344"/>
      <c r="T599" s="345"/>
      <c r="U599" s="344"/>
      <c r="V599" s="346"/>
      <c r="W599" s="347"/>
      <c r="X599" s="359"/>
      <c r="Y599" s="349"/>
      <c r="Z599" s="349"/>
      <c r="AB599" s="79"/>
      <c r="AC599" s="79"/>
      <c r="AD599" s="79"/>
      <c r="AE599" s="79"/>
      <c r="AF599" s="79"/>
      <c r="AG599" s="79"/>
      <c r="AH599" s="79"/>
      <c r="AI599" s="79"/>
    </row>
    <row r="600">
      <c r="A600" s="9"/>
      <c r="C600" s="350"/>
      <c r="D600" s="93"/>
      <c r="E600" s="1"/>
      <c r="F600" s="1"/>
      <c r="G600" s="1"/>
      <c r="H600" s="341"/>
      <c r="I600" s="358"/>
      <c r="J600" s="79"/>
      <c r="K600" s="1"/>
      <c r="L600" s="343"/>
      <c r="M600" s="344"/>
      <c r="N600" s="344"/>
      <c r="O600" s="341"/>
      <c r="P600" s="341"/>
      <c r="Q600" s="79"/>
      <c r="R600" s="345"/>
      <c r="S600" s="344"/>
      <c r="T600" s="345"/>
      <c r="U600" s="344"/>
      <c r="V600" s="346"/>
      <c r="W600" s="347"/>
      <c r="X600" s="359"/>
      <c r="Y600" s="349"/>
      <c r="Z600" s="349"/>
      <c r="AB600" s="79"/>
      <c r="AC600" s="79"/>
      <c r="AD600" s="79"/>
      <c r="AE600" s="79"/>
      <c r="AF600" s="79"/>
      <c r="AG600" s="79"/>
      <c r="AH600" s="79"/>
      <c r="AI600" s="79"/>
    </row>
    <row r="601">
      <c r="A601" s="9"/>
      <c r="C601" s="350"/>
      <c r="D601" s="93"/>
      <c r="E601" s="1"/>
      <c r="F601" s="1"/>
      <c r="G601" s="1"/>
      <c r="H601" s="341"/>
      <c r="I601" s="358"/>
      <c r="J601" s="79"/>
      <c r="K601" s="1"/>
      <c r="L601" s="343"/>
      <c r="M601" s="344"/>
      <c r="N601" s="344"/>
      <c r="O601" s="341"/>
      <c r="P601" s="341"/>
      <c r="Q601" s="79"/>
      <c r="R601" s="345"/>
      <c r="S601" s="344"/>
      <c r="T601" s="345"/>
      <c r="U601" s="344"/>
      <c r="V601" s="346"/>
      <c r="W601" s="347"/>
      <c r="X601" s="359"/>
      <c r="Y601" s="349"/>
      <c r="Z601" s="349"/>
      <c r="AB601" s="79"/>
      <c r="AC601" s="79"/>
      <c r="AD601" s="79"/>
      <c r="AE601" s="79"/>
      <c r="AF601" s="79"/>
      <c r="AG601" s="79"/>
      <c r="AH601" s="79"/>
      <c r="AI601" s="79"/>
    </row>
    <row r="602">
      <c r="A602" s="9"/>
      <c r="C602" s="350"/>
      <c r="D602" s="93"/>
      <c r="E602" s="1"/>
      <c r="F602" s="1"/>
      <c r="G602" s="1"/>
      <c r="H602" s="341"/>
      <c r="I602" s="358"/>
      <c r="J602" s="79"/>
      <c r="K602" s="1"/>
      <c r="L602" s="343"/>
      <c r="M602" s="344"/>
      <c r="N602" s="344"/>
      <c r="O602" s="341"/>
      <c r="P602" s="341"/>
      <c r="Q602" s="79"/>
      <c r="R602" s="345"/>
      <c r="S602" s="344"/>
      <c r="T602" s="345"/>
      <c r="U602" s="344"/>
      <c r="V602" s="346"/>
      <c r="W602" s="347"/>
      <c r="X602" s="359"/>
      <c r="Y602" s="349"/>
      <c r="Z602" s="349"/>
      <c r="AB602" s="79"/>
      <c r="AC602" s="79"/>
      <c r="AD602" s="79"/>
      <c r="AE602" s="79"/>
      <c r="AF602" s="79"/>
      <c r="AG602" s="79"/>
      <c r="AH602" s="79"/>
      <c r="AI602" s="79"/>
    </row>
    <row r="603">
      <c r="A603" s="9"/>
      <c r="C603" s="350"/>
      <c r="D603" s="93"/>
      <c r="E603" s="1"/>
      <c r="F603" s="1"/>
      <c r="G603" s="1"/>
      <c r="H603" s="341"/>
      <c r="I603" s="358"/>
      <c r="J603" s="79"/>
      <c r="K603" s="1"/>
      <c r="L603" s="343"/>
      <c r="M603" s="344"/>
      <c r="N603" s="344"/>
      <c r="O603" s="341"/>
      <c r="P603" s="341"/>
      <c r="Q603" s="79"/>
      <c r="R603" s="345"/>
      <c r="S603" s="344"/>
      <c r="T603" s="345"/>
      <c r="U603" s="344"/>
      <c r="V603" s="346"/>
      <c r="W603" s="347"/>
      <c r="X603" s="359"/>
      <c r="Y603" s="349"/>
      <c r="Z603" s="349"/>
      <c r="AB603" s="79"/>
      <c r="AC603" s="79"/>
      <c r="AD603" s="79"/>
      <c r="AE603" s="79"/>
      <c r="AF603" s="79"/>
      <c r="AG603" s="79"/>
      <c r="AH603" s="79"/>
      <c r="AI603" s="79"/>
    </row>
    <row r="604">
      <c r="A604" s="9"/>
      <c r="C604" s="350"/>
      <c r="D604" s="93"/>
      <c r="E604" s="1"/>
      <c r="F604" s="1"/>
      <c r="G604" s="1"/>
      <c r="H604" s="341"/>
      <c r="I604" s="358"/>
      <c r="J604" s="79"/>
      <c r="K604" s="1"/>
      <c r="L604" s="343"/>
      <c r="M604" s="344"/>
      <c r="N604" s="344"/>
      <c r="O604" s="341"/>
      <c r="P604" s="341"/>
      <c r="Q604" s="79"/>
      <c r="R604" s="345"/>
      <c r="S604" s="344"/>
      <c r="T604" s="345"/>
      <c r="U604" s="344"/>
      <c r="V604" s="346"/>
      <c r="W604" s="347"/>
      <c r="X604" s="359"/>
      <c r="Y604" s="349"/>
      <c r="Z604" s="349"/>
      <c r="AB604" s="79"/>
      <c r="AC604" s="79"/>
      <c r="AD604" s="79"/>
      <c r="AE604" s="79"/>
      <c r="AF604" s="79"/>
      <c r="AG604" s="79"/>
      <c r="AH604" s="79"/>
      <c r="AI604" s="79"/>
    </row>
    <row r="605">
      <c r="A605" s="9"/>
      <c r="C605" s="350"/>
      <c r="D605" s="93"/>
      <c r="E605" s="1"/>
      <c r="F605" s="1"/>
      <c r="G605" s="1"/>
      <c r="H605" s="341"/>
      <c r="I605" s="358"/>
      <c r="J605" s="79"/>
      <c r="K605" s="1"/>
      <c r="L605" s="343"/>
      <c r="M605" s="344"/>
      <c r="N605" s="344"/>
      <c r="O605" s="341"/>
      <c r="P605" s="341"/>
      <c r="Q605" s="79"/>
      <c r="R605" s="345"/>
      <c r="S605" s="344"/>
      <c r="T605" s="345"/>
      <c r="U605" s="344"/>
      <c r="V605" s="346"/>
      <c r="W605" s="347"/>
      <c r="X605" s="359"/>
      <c r="Y605" s="349"/>
      <c r="Z605" s="349"/>
      <c r="AB605" s="79"/>
      <c r="AC605" s="79"/>
      <c r="AD605" s="79"/>
      <c r="AE605" s="79"/>
      <c r="AF605" s="79"/>
      <c r="AG605" s="79"/>
      <c r="AH605" s="79"/>
      <c r="AI605" s="79"/>
    </row>
    <row r="606">
      <c r="A606" s="9"/>
      <c r="C606" s="350"/>
      <c r="D606" s="93"/>
      <c r="E606" s="1"/>
      <c r="F606" s="1"/>
      <c r="G606" s="1"/>
      <c r="H606" s="341"/>
      <c r="I606" s="358"/>
      <c r="J606" s="79"/>
      <c r="K606" s="1"/>
      <c r="L606" s="343"/>
      <c r="M606" s="344"/>
      <c r="N606" s="344"/>
      <c r="O606" s="341"/>
      <c r="P606" s="341"/>
      <c r="Q606" s="79"/>
      <c r="R606" s="345"/>
      <c r="S606" s="344"/>
      <c r="T606" s="345"/>
      <c r="U606" s="344"/>
      <c r="V606" s="346"/>
      <c r="W606" s="347"/>
      <c r="X606" s="359"/>
      <c r="Y606" s="349"/>
      <c r="Z606" s="349"/>
      <c r="AB606" s="79"/>
      <c r="AC606" s="79"/>
      <c r="AD606" s="79"/>
      <c r="AE606" s="79"/>
      <c r="AF606" s="79"/>
      <c r="AG606" s="79"/>
      <c r="AH606" s="79"/>
      <c r="AI606" s="79"/>
    </row>
    <row r="607">
      <c r="A607" s="9"/>
      <c r="C607" s="350"/>
      <c r="D607" s="93"/>
      <c r="E607" s="1"/>
      <c r="F607" s="1"/>
      <c r="G607" s="1"/>
      <c r="H607" s="341"/>
      <c r="I607" s="358"/>
      <c r="J607" s="79"/>
      <c r="K607" s="1"/>
      <c r="L607" s="343"/>
      <c r="M607" s="344"/>
      <c r="N607" s="344"/>
      <c r="O607" s="341"/>
      <c r="P607" s="341"/>
      <c r="Q607" s="79"/>
      <c r="R607" s="345"/>
      <c r="S607" s="344"/>
      <c r="T607" s="345"/>
      <c r="U607" s="344"/>
      <c r="V607" s="346"/>
      <c r="W607" s="347"/>
      <c r="X607" s="359"/>
      <c r="Y607" s="349"/>
      <c r="Z607" s="349"/>
      <c r="AB607" s="79"/>
      <c r="AC607" s="79"/>
      <c r="AD607" s="79"/>
      <c r="AE607" s="79"/>
      <c r="AF607" s="79"/>
      <c r="AG607" s="79"/>
      <c r="AH607" s="79"/>
      <c r="AI607" s="79"/>
    </row>
    <row r="608">
      <c r="A608" s="9"/>
      <c r="C608" s="350"/>
      <c r="D608" s="93"/>
      <c r="E608" s="1"/>
      <c r="F608" s="1"/>
      <c r="G608" s="1"/>
      <c r="H608" s="341"/>
      <c r="I608" s="358"/>
      <c r="J608" s="79"/>
      <c r="K608" s="1"/>
      <c r="L608" s="343"/>
      <c r="M608" s="344"/>
      <c r="N608" s="344"/>
      <c r="O608" s="341"/>
      <c r="P608" s="341"/>
      <c r="Q608" s="79"/>
      <c r="R608" s="345"/>
      <c r="S608" s="344"/>
      <c r="T608" s="345"/>
      <c r="U608" s="344"/>
      <c r="V608" s="346"/>
      <c r="W608" s="347"/>
      <c r="X608" s="359"/>
      <c r="Y608" s="349"/>
      <c r="Z608" s="349"/>
      <c r="AB608" s="79"/>
      <c r="AC608" s="79"/>
      <c r="AD608" s="79"/>
      <c r="AE608" s="79"/>
      <c r="AF608" s="79"/>
      <c r="AG608" s="79"/>
      <c r="AH608" s="79"/>
      <c r="AI608" s="79"/>
    </row>
    <row r="609">
      <c r="A609" s="9"/>
      <c r="C609" s="350"/>
      <c r="D609" s="93"/>
      <c r="E609" s="1"/>
      <c r="F609" s="1"/>
      <c r="G609" s="1"/>
      <c r="H609" s="341"/>
      <c r="I609" s="358"/>
      <c r="J609" s="79"/>
      <c r="K609" s="1"/>
      <c r="L609" s="343"/>
      <c r="M609" s="344"/>
      <c r="N609" s="344"/>
      <c r="O609" s="341"/>
      <c r="P609" s="341"/>
      <c r="Q609" s="79"/>
      <c r="R609" s="345"/>
      <c r="S609" s="344"/>
      <c r="T609" s="345"/>
      <c r="U609" s="344"/>
      <c r="V609" s="346"/>
      <c r="W609" s="347"/>
      <c r="X609" s="359"/>
      <c r="Y609" s="349"/>
      <c r="Z609" s="349"/>
      <c r="AB609" s="79"/>
      <c r="AC609" s="79"/>
      <c r="AD609" s="79"/>
      <c r="AE609" s="79"/>
      <c r="AF609" s="79"/>
      <c r="AG609" s="79"/>
      <c r="AH609" s="79"/>
      <c r="AI609" s="79"/>
    </row>
    <row r="610">
      <c r="A610" s="9"/>
      <c r="C610" s="350"/>
      <c r="D610" s="93"/>
      <c r="E610" s="1"/>
      <c r="F610" s="1"/>
      <c r="G610" s="1"/>
      <c r="H610" s="341"/>
      <c r="I610" s="358"/>
      <c r="J610" s="79"/>
      <c r="K610" s="1"/>
      <c r="L610" s="343"/>
      <c r="M610" s="344"/>
      <c r="N610" s="344"/>
      <c r="O610" s="341"/>
      <c r="P610" s="341"/>
      <c r="Q610" s="79"/>
      <c r="R610" s="345"/>
      <c r="S610" s="344"/>
      <c r="T610" s="345"/>
      <c r="U610" s="344"/>
      <c r="V610" s="346"/>
      <c r="W610" s="347"/>
      <c r="X610" s="359"/>
      <c r="Y610" s="349"/>
      <c r="Z610" s="349"/>
      <c r="AB610" s="79"/>
      <c r="AC610" s="79"/>
      <c r="AD610" s="79"/>
      <c r="AE610" s="79"/>
      <c r="AF610" s="79"/>
      <c r="AG610" s="79"/>
      <c r="AH610" s="79"/>
      <c r="AI610" s="79"/>
    </row>
    <row r="611">
      <c r="A611" s="9"/>
      <c r="C611" s="350"/>
      <c r="D611" s="93"/>
      <c r="E611" s="1"/>
      <c r="F611" s="1"/>
      <c r="G611" s="1"/>
      <c r="H611" s="341"/>
      <c r="I611" s="358"/>
      <c r="J611" s="79"/>
      <c r="K611" s="1"/>
      <c r="L611" s="343"/>
      <c r="M611" s="344"/>
      <c r="N611" s="344"/>
      <c r="O611" s="341"/>
      <c r="P611" s="341"/>
      <c r="Q611" s="79"/>
      <c r="R611" s="345"/>
      <c r="S611" s="344"/>
      <c r="T611" s="345"/>
      <c r="U611" s="344"/>
      <c r="V611" s="346"/>
      <c r="W611" s="347"/>
      <c r="X611" s="359"/>
      <c r="Y611" s="349"/>
      <c r="Z611" s="349"/>
      <c r="AB611" s="79"/>
      <c r="AC611" s="79"/>
      <c r="AD611" s="79"/>
      <c r="AE611" s="79"/>
      <c r="AF611" s="79"/>
      <c r="AG611" s="79"/>
      <c r="AH611" s="79"/>
      <c r="AI611" s="79"/>
    </row>
    <row r="612">
      <c r="A612" s="9"/>
      <c r="C612" s="350"/>
      <c r="D612" s="93"/>
      <c r="E612" s="1"/>
      <c r="F612" s="1"/>
      <c r="G612" s="1"/>
      <c r="H612" s="341"/>
      <c r="I612" s="358"/>
      <c r="J612" s="79"/>
      <c r="K612" s="1"/>
      <c r="L612" s="343"/>
      <c r="M612" s="344"/>
      <c r="N612" s="344"/>
      <c r="O612" s="341"/>
      <c r="P612" s="341"/>
      <c r="Q612" s="79"/>
      <c r="R612" s="345"/>
      <c r="S612" s="344"/>
      <c r="T612" s="345"/>
      <c r="U612" s="344"/>
      <c r="V612" s="346"/>
      <c r="W612" s="347"/>
      <c r="X612" s="359"/>
      <c r="Y612" s="349"/>
      <c r="Z612" s="349"/>
      <c r="AB612" s="79"/>
      <c r="AC612" s="79"/>
      <c r="AD612" s="79"/>
      <c r="AE612" s="79"/>
      <c r="AF612" s="79"/>
      <c r="AG612" s="79"/>
      <c r="AH612" s="79"/>
      <c r="AI612" s="79"/>
    </row>
    <row r="613">
      <c r="A613" s="9"/>
      <c r="C613" s="350"/>
      <c r="D613" s="93"/>
      <c r="E613" s="1"/>
      <c r="F613" s="1"/>
      <c r="G613" s="1"/>
      <c r="H613" s="341"/>
      <c r="I613" s="358"/>
      <c r="J613" s="79"/>
      <c r="K613" s="1"/>
      <c r="L613" s="343"/>
      <c r="M613" s="344"/>
      <c r="N613" s="344"/>
      <c r="O613" s="341"/>
      <c r="P613" s="341"/>
      <c r="Q613" s="79"/>
      <c r="R613" s="345"/>
      <c r="S613" s="344"/>
      <c r="T613" s="345"/>
      <c r="U613" s="344"/>
      <c r="V613" s="346"/>
      <c r="W613" s="347"/>
      <c r="X613" s="359"/>
      <c r="Y613" s="349"/>
      <c r="Z613" s="349"/>
      <c r="AB613" s="79"/>
      <c r="AC613" s="79"/>
      <c r="AD613" s="79"/>
      <c r="AE613" s="79"/>
      <c r="AF613" s="79"/>
      <c r="AG613" s="79"/>
      <c r="AH613" s="79"/>
      <c r="AI613" s="79"/>
    </row>
    <row r="614">
      <c r="A614" s="9"/>
      <c r="C614" s="350"/>
      <c r="D614" s="93"/>
      <c r="E614" s="1"/>
      <c r="F614" s="1"/>
      <c r="G614" s="1"/>
      <c r="H614" s="341"/>
      <c r="I614" s="358"/>
      <c r="J614" s="79"/>
      <c r="K614" s="1"/>
      <c r="L614" s="343"/>
      <c r="M614" s="344"/>
      <c r="N614" s="344"/>
      <c r="O614" s="341"/>
      <c r="P614" s="341"/>
      <c r="Q614" s="79"/>
      <c r="R614" s="345"/>
      <c r="S614" s="344"/>
      <c r="T614" s="345"/>
      <c r="U614" s="344"/>
      <c r="V614" s="346"/>
      <c r="W614" s="347"/>
      <c r="X614" s="359"/>
      <c r="Y614" s="349"/>
      <c r="Z614" s="349"/>
      <c r="AB614" s="79"/>
      <c r="AC614" s="79"/>
      <c r="AD614" s="79"/>
      <c r="AE614" s="79"/>
      <c r="AF614" s="79"/>
      <c r="AG614" s="79"/>
      <c r="AH614" s="79"/>
      <c r="AI614" s="79"/>
    </row>
    <row r="615">
      <c r="A615" s="9"/>
      <c r="C615" s="350"/>
      <c r="D615" s="93"/>
      <c r="E615" s="1"/>
      <c r="F615" s="1"/>
      <c r="G615" s="1"/>
      <c r="H615" s="341"/>
      <c r="I615" s="358"/>
      <c r="J615" s="79"/>
      <c r="K615" s="1"/>
      <c r="L615" s="343"/>
      <c r="M615" s="344"/>
      <c r="N615" s="344"/>
      <c r="O615" s="341"/>
      <c r="P615" s="341"/>
      <c r="Q615" s="79"/>
      <c r="R615" s="345"/>
      <c r="S615" s="344"/>
      <c r="T615" s="345"/>
      <c r="U615" s="344"/>
      <c r="V615" s="346"/>
      <c r="W615" s="347"/>
      <c r="X615" s="359"/>
      <c r="Y615" s="349"/>
      <c r="Z615" s="349"/>
      <c r="AB615" s="79"/>
      <c r="AC615" s="79"/>
      <c r="AD615" s="79"/>
      <c r="AE615" s="79"/>
      <c r="AF615" s="79"/>
      <c r="AG615" s="79"/>
      <c r="AH615" s="79"/>
      <c r="AI615" s="79"/>
    </row>
    <row r="616">
      <c r="A616" s="9"/>
      <c r="C616" s="350"/>
      <c r="D616" s="93"/>
      <c r="E616" s="1"/>
      <c r="F616" s="1"/>
      <c r="G616" s="1"/>
      <c r="H616" s="341"/>
      <c r="I616" s="358"/>
      <c r="J616" s="79"/>
      <c r="K616" s="1"/>
      <c r="L616" s="343"/>
      <c r="M616" s="344"/>
      <c r="N616" s="344"/>
      <c r="O616" s="341"/>
      <c r="P616" s="341"/>
      <c r="Q616" s="79"/>
      <c r="R616" s="345"/>
      <c r="S616" s="344"/>
      <c r="T616" s="345"/>
      <c r="U616" s="344"/>
      <c r="V616" s="346"/>
      <c r="W616" s="347"/>
      <c r="X616" s="359"/>
      <c r="Y616" s="349"/>
      <c r="Z616" s="349"/>
      <c r="AB616" s="79"/>
      <c r="AC616" s="79"/>
      <c r="AD616" s="79"/>
      <c r="AE616" s="79"/>
      <c r="AF616" s="79"/>
      <c r="AG616" s="79"/>
      <c r="AH616" s="79"/>
      <c r="AI616" s="79"/>
    </row>
    <row r="617">
      <c r="A617" s="9"/>
      <c r="C617" s="350"/>
      <c r="D617" s="93"/>
      <c r="E617" s="1"/>
      <c r="F617" s="1"/>
      <c r="G617" s="1"/>
      <c r="H617" s="341"/>
      <c r="I617" s="358"/>
      <c r="J617" s="79"/>
      <c r="K617" s="1"/>
      <c r="L617" s="343"/>
      <c r="M617" s="344"/>
      <c r="N617" s="344"/>
      <c r="O617" s="341"/>
      <c r="P617" s="341"/>
      <c r="Q617" s="79"/>
      <c r="R617" s="345"/>
      <c r="S617" s="344"/>
      <c r="T617" s="345"/>
      <c r="U617" s="344"/>
      <c r="V617" s="346"/>
      <c r="W617" s="347"/>
      <c r="X617" s="359"/>
      <c r="Y617" s="349"/>
      <c r="Z617" s="349"/>
      <c r="AB617" s="79"/>
      <c r="AC617" s="79"/>
      <c r="AD617" s="79"/>
      <c r="AE617" s="79"/>
      <c r="AF617" s="79"/>
      <c r="AG617" s="79"/>
      <c r="AH617" s="79"/>
      <c r="AI617" s="79"/>
    </row>
    <row r="618">
      <c r="A618" s="9"/>
      <c r="C618" s="350"/>
      <c r="D618" s="93"/>
      <c r="E618" s="1"/>
      <c r="F618" s="1"/>
      <c r="G618" s="1"/>
      <c r="H618" s="341"/>
      <c r="I618" s="358"/>
      <c r="J618" s="79"/>
      <c r="K618" s="1"/>
      <c r="L618" s="343"/>
      <c r="M618" s="344"/>
      <c r="N618" s="344"/>
      <c r="O618" s="341"/>
      <c r="P618" s="341"/>
      <c r="Q618" s="79"/>
      <c r="R618" s="345"/>
      <c r="S618" s="344"/>
      <c r="T618" s="345"/>
      <c r="U618" s="344"/>
      <c r="V618" s="346"/>
      <c r="W618" s="347"/>
      <c r="X618" s="359"/>
      <c r="Y618" s="349"/>
      <c r="Z618" s="349"/>
      <c r="AB618" s="79"/>
      <c r="AC618" s="79"/>
      <c r="AD618" s="79"/>
      <c r="AE618" s="79"/>
      <c r="AF618" s="79"/>
      <c r="AG618" s="79"/>
      <c r="AH618" s="79"/>
      <c r="AI618" s="79"/>
    </row>
    <row r="619">
      <c r="A619" s="9"/>
      <c r="C619" s="350"/>
      <c r="D619" s="93"/>
      <c r="E619" s="1"/>
      <c r="F619" s="1"/>
      <c r="G619" s="1"/>
      <c r="H619" s="341"/>
      <c r="I619" s="358"/>
      <c r="J619" s="79"/>
      <c r="K619" s="1"/>
      <c r="L619" s="343"/>
      <c r="M619" s="344"/>
      <c r="N619" s="344"/>
      <c r="O619" s="341"/>
      <c r="P619" s="341"/>
      <c r="Q619" s="79"/>
      <c r="R619" s="345"/>
      <c r="S619" s="344"/>
      <c r="T619" s="345"/>
      <c r="U619" s="344"/>
      <c r="V619" s="346"/>
      <c r="W619" s="347"/>
      <c r="X619" s="359"/>
      <c r="Y619" s="349"/>
      <c r="Z619" s="349"/>
      <c r="AB619" s="79"/>
      <c r="AC619" s="79"/>
      <c r="AD619" s="79"/>
      <c r="AE619" s="79"/>
      <c r="AF619" s="79"/>
      <c r="AG619" s="79"/>
      <c r="AH619" s="79"/>
      <c r="AI619" s="79"/>
    </row>
    <row r="620">
      <c r="A620" s="9"/>
      <c r="C620" s="350"/>
      <c r="D620" s="93"/>
      <c r="E620" s="1"/>
      <c r="F620" s="1"/>
      <c r="G620" s="1"/>
      <c r="H620" s="341"/>
      <c r="I620" s="358"/>
      <c r="J620" s="79"/>
      <c r="K620" s="1"/>
      <c r="L620" s="343"/>
      <c r="M620" s="344"/>
      <c r="N620" s="344"/>
      <c r="O620" s="341"/>
      <c r="P620" s="341"/>
      <c r="Q620" s="79"/>
      <c r="R620" s="345"/>
      <c r="S620" s="344"/>
      <c r="T620" s="345"/>
      <c r="U620" s="344"/>
      <c r="V620" s="346"/>
      <c r="W620" s="347"/>
      <c r="X620" s="359"/>
      <c r="Y620" s="349"/>
      <c r="Z620" s="349"/>
      <c r="AB620" s="79"/>
      <c r="AC620" s="79"/>
      <c r="AD620" s="79"/>
      <c r="AE620" s="79"/>
      <c r="AF620" s="79"/>
      <c r="AG620" s="79"/>
      <c r="AH620" s="79"/>
      <c r="AI620" s="79"/>
    </row>
    <row r="621">
      <c r="A621" s="9"/>
      <c r="C621" s="350"/>
      <c r="D621" s="93"/>
      <c r="E621" s="1"/>
      <c r="F621" s="1"/>
      <c r="G621" s="1"/>
      <c r="H621" s="341"/>
      <c r="I621" s="358"/>
      <c r="J621" s="79"/>
      <c r="K621" s="1"/>
      <c r="L621" s="343"/>
      <c r="M621" s="344"/>
      <c r="N621" s="344"/>
      <c r="O621" s="341"/>
      <c r="P621" s="341"/>
      <c r="Q621" s="79"/>
      <c r="R621" s="345"/>
      <c r="S621" s="344"/>
      <c r="T621" s="345"/>
      <c r="U621" s="344"/>
      <c r="V621" s="346"/>
      <c r="W621" s="347"/>
      <c r="X621" s="359"/>
      <c r="Y621" s="349"/>
      <c r="Z621" s="349"/>
      <c r="AB621" s="79"/>
      <c r="AC621" s="79"/>
      <c r="AD621" s="79"/>
      <c r="AE621" s="79"/>
      <c r="AF621" s="79"/>
      <c r="AG621" s="79"/>
      <c r="AH621" s="79"/>
      <c r="AI621" s="79"/>
    </row>
    <row r="622">
      <c r="A622" s="9"/>
      <c r="C622" s="350"/>
      <c r="D622" s="93"/>
      <c r="E622" s="1"/>
      <c r="F622" s="1"/>
      <c r="G622" s="1"/>
      <c r="H622" s="341"/>
      <c r="I622" s="358"/>
      <c r="J622" s="79"/>
      <c r="K622" s="1"/>
      <c r="L622" s="343"/>
      <c r="M622" s="344"/>
      <c r="N622" s="344"/>
      <c r="O622" s="341"/>
      <c r="P622" s="341"/>
      <c r="Q622" s="79"/>
      <c r="R622" s="345"/>
      <c r="S622" s="344"/>
      <c r="T622" s="345"/>
      <c r="U622" s="344"/>
      <c r="V622" s="346"/>
      <c r="W622" s="347"/>
      <c r="X622" s="359"/>
      <c r="Y622" s="349"/>
      <c r="Z622" s="349"/>
      <c r="AB622" s="79"/>
      <c r="AC622" s="79"/>
      <c r="AD622" s="79"/>
      <c r="AE622" s="79"/>
      <c r="AF622" s="79"/>
      <c r="AG622" s="79"/>
      <c r="AH622" s="79"/>
      <c r="AI622" s="79"/>
    </row>
    <row r="623">
      <c r="A623" s="9"/>
      <c r="C623" s="350"/>
      <c r="D623" s="93"/>
      <c r="E623" s="1"/>
      <c r="F623" s="1"/>
      <c r="G623" s="1"/>
      <c r="H623" s="341"/>
      <c r="I623" s="358"/>
      <c r="J623" s="79"/>
      <c r="K623" s="1"/>
      <c r="L623" s="343"/>
      <c r="M623" s="344"/>
      <c r="N623" s="344"/>
      <c r="O623" s="341"/>
      <c r="P623" s="341"/>
      <c r="Q623" s="79"/>
      <c r="R623" s="345"/>
      <c r="S623" s="344"/>
      <c r="T623" s="345"/>
      <c r="U623" s="344"/>
      <c r="V623" s="346"/>
      <c r="W623" s="347"/>
      <c r="X623" s="359"/>
      <c r="Y623" s="349"/>
      <c r="Z623" s="349"/>
      <c r="AB623" s="79"/>
      <c r="AC623" s="79"/>
      <c r="AD623" s="79"/>
      <c r="AE623" s="79"/>
      <c r="AF623" s="79"/>
      <c r="AG623" s="79"/>
      <c r="AH623" s="79"/>
      <c r="AI623" s="79"/>
    </row>
    <row r="624">
      <c r="A624" s="9"/>
      <c r="C624" s="350"/>
      <c r="D624" s="93"/>
      <c r="E624" s="1"/>
      <c r="F624" s="1"/>
      <c r="G624" s="1"/>
      <c r="H624" s="341"/>
      <c r="I624" s="358"/>
      <c r="J624" s="79"/>
      <c r="K624" s="1"/>
      <c r="L624" s="343"/>
      <c r="M624" s="344"/>
      <c r="N624" s="344"/>
      <c r="O624" s="341"/>
      <c r="P624" s="341"/>
      <c r="Q624" s="79"/>
      <c r="R624" s="345"/>
      <c r="S624" s="344"/>
      <c r="T624" s="345"/>
      <c r="U624" s="344"/>
      <c r="V624" s="346"/>
      <c r="W624" s="347"/>
      <c r="X624" s="359"/>
      <c r="Y624" s="349"/>
      <c r="Z624" s="349"/>
      <c r="AB624" s="79"/>
      <c r="AC624" s="79"/>
      <c r="AD624" s="79"/>
      <c r="AE624" s="79"/>
      <c r="AF624" s="79"/>
      <c r="AG624" s="79"/>
      <c r="AH624" s="79"/>
      <c r="AI624" s="79"/>
    </row>
    <row r="625">
      <c r="A625" s="9"/>
      <c r="C625" s="350"/>
      <c r="D625" s="93"/>
      <c r="E625" s="1"/>
      <c r="F625" s="1"/>
      <c r="G625" s="1"/>
      <c r="H625" s="341"/>
      <c r="I625" s="358"/>
      <c r="J625" s="79"/>
      <c r="K625" s="1"/>
      <c r="L625" s="343"/>
      <c r="M625" s="344"/>
      <c r="N625" s="344"/>
      <c r="O625" s="341"/>
      <c r="P625" s="341"/>
      <c r="Q625" s="79"/>
      <c r="R625" s="345"/>
      <c r="S625" s="344"/>
      <c r="T625" s="345"/>
      <c r="U625" s="344"/>
      <c r="V625" s="346"/>
      <c r="W625" s="347"/>
      <c r="X625" s="359"/>
      <c r="Y625" s="349"/>
      <c r="Z625" s="349"/>
      <c r="AB625" s="79"/>
      <c r="AC625" s="79"/>
      <c r="AD625" s="79"/>
      <c r="AE625" s="79"/>
      <c r="AF625" s="79"/>
      <c r="AG625" s="79"/>
      <c r="AH625" s="79"/>
      <c r="AI625" s="79"/>
    </row>
    <row r="626">
      <c r="A626" s="9"/>
      <c r="C626" s="350"/>
      <c r="D626" s="93"/>
      <c r="E626" s="1"/>
      <c r="F626" s="1"/>
      <c r="G626" s="1"/>
      <c r="H626" s="341"/>
      <c r="I626" s="358"/>
      <c r="J626" s="79"/>
      <c r="K626" s="1"/>
      <c r="L626" s="343"/>
      <c r="M626" s="344"/>
      <c r="N626" s="344"/>
      <c r="O626" s="341"/>
      <c r="P626" s="341"/>
      <c r="Q626" s="79"/>
      <c r="R626" s="345"/>
      <c r="S626" s="344"/>
      <c r="T626" s="345"/>
      <c r="U626" s="344"/>
      <c r="V626" s="346"/>
      <c r="W626" s="347"/>
      <c r="X626" s="359"/>
      <c r="Y626" s="349"/>
      <c r="Z626" s="349"/>
      <c r="AB626" s="79"/>
      <c r="AC626" s="79"/>
      <c r="AD626" s="79"/>
      <c r="AE626" s="79"/>
      <c r="AF626" s="79"/>
      <c r="AG626" s="79"/>
      <c r="AH626" s="79"/>
      <c r="AI626" s="79"/>
    </row>
    <row r="627">
      <c r="A627" s="9"/>
      <c r="C627" s="350"/>
      <c r="D627" s="93"/>
      <c r="E627" s="1"/>
      <c r="F627" s="1"/>
      <c r="G627" s="1"/>
      <c r="H627" s="341"/>
      <c r="I627" s="358"/>
      <c r="J627" s="79"/>
      <c r="K627" s="1"/>
      <c r="L627" s="343"/>
      <c r="M627" s="344"/>
      <c r="N627" s="344"/>
      <c r="O627" s="341"/>
      <c r="P627" s="341"/>
      <c r="Q627" s="79"/>
      <c r="R627" s="345"/>
      <c r="S627" s="344"/>
      <c r="T627" s="345"/>
      <c r="U627" s="344"/>
      <c r="V627" s="346"/>
      <c r="W627" s="347"/>
      <c r="X627" s="359"/>
      <c r="Y627" s="349"/>
      <c r="Z627" s="349"/>
      <c r="AB627" s="79"/>
      <c r="AC627" s="79"/>
      <c r="AD627" s="79"/>
      <c r="AE627" s="79"/>
      <c r="AF627" s="79"/>
      <c r="AG627" s="79"/>
      <c r="AH627" s="79"/>
      <c r="AI627" s="79"/>
    </row>
    <row r="628">
      <c r="A628" s="9"/>
      <c r="C628" s="350"/>
      <c r="D628" s="93"/>
      <c r="E628" s="1"/>
      <c r="F628" s="1"/>
      <c r="G628" s="1"/>
      <c r="H628" s="341"/>
      <c r="I628" s="358"/>
      <c r="J628" s="79"/>
      <c r="K628" s="1"/>
      <c r="L628" s="343"/>
      <c r="M628" s="344"/>
      <c r="N628" s="344"/>
      <c r="O628" s="341"/>
      <c r="P628" s="341"/>
      <c r="Q628" s="79"/>
      <c r="R628" s="345"/>
      <c r="S628" s="344"/>
      <c r="T628" s="345"/>
      <c r="U628" s="344"/>
      <c r="V628" s="346"/>
      <c r="W628" s="347"/>
      <c r="X628" s="359"/>
      <c r="Y628" s="349"/>
      <c r="Z628" s="349"/>
      <c r="AB628" s="79"/>
      <c r="AC628" s="79"/>
      <c r="AD628" s="79"/>
      <c r="AE628" s="79"/>
      <c r="AF628" s="79"/>
      <c r="AG628" s="79"/>
      <c r="AH628" s="79"/>
      <c r="AI628" s="79"/>
    </row>
    <row r="629">
      <c r="A629" s="9"/>
      <c r="C629" s="350"/>
      <c r="D629" s="93"/>
      <c r="E629" s="1"/>
      <c r="F629" s="1"/>
      <c r="G629" s="1"/>
      <c r="H629" s="341"/>
      <c r="I629" s="358"/>
      <c r="J629" s="79"/>
      <c r="K629" s="1"/>
      <c r="L629" s="343"/>
      <c r="M629" s="344"/>
      <c r="N629" s="344"/>
      <c r="O629" s="341"/>
      <c r="P629" s="341"/>
      <c r="Q629" s="79"/>
      <c r="R629" s="345"/>
      <c r="S629" s="344"/>
      <c r="T629" s="345"/>
      <c r="U629" s="344"/>
      <c r="V629" s="346"/>
      <c r="W629" s="347"/>
      <c r="X629" s="359"/>
      <c r="Y629" s="349"/>
      <c r="Z629" s="349"/>
      <c r="AB629" s="79"/>
      <c r="AC629" s="79"/>
      <c r="AD629" s="79"/>
      <c r="AE629" s="79"/>
      <c r="AF629" s="79"/>
      <c r="AG629" s="79"/>
      <c r="AH629" s="79"/>
      <c r="AI629" s="79"/>
    </row>
    <row r="630">
      <c r="A630" s="9"/>
      <c r="C630" s="350"/>
      <c r="D630" s="93"/>
      <c r="E630" s="1"/>
      <c r="F630" s="1"/>
      <c r="G630" s="1"/>
      <c r="H630" s="341"/>
      <c r="I630" s="358"/>
      <c r="J630" s="79"/>
      <c r="K630" s="1"/>
      <c r="L630" s="343"/>
      <c r="M630" s="344"/>
      <c r="N630" s="344"/>
      <c r="O630" s="341"/>
      <c r="P630" s="341"/>
      <c r="Q630" s="79"/>
      <c r="R630" s="345"/>
      <c r="S630" s="344"/>
      <c r="T630" s="345"/>
      <c r="U630" s="344"/>
      <c r="V630" s="346"/>
      <c r="W630" s="347"/>
      <c r="X630" s="359"/>
      <c r="Y630" s="349"/>
      <c r="Z630" s="349"/>
      <c r="AB630" s="79"/>
      <c r="AC630" s="79"/>
      <c r="AD630" s="79"/>
      <c r="AE630" s="79"/>
      <c r="AF630" s="79"/>
      <c r="AG630" s="79"/>
      <c r="AH630" s="79"/>
      <c r="AI630" s="79"/>
    </row>
    <row r="631">
      <c r="A631" s="9"/>
      <c r="C631" s="350"/>
      <c r="D631" s="93"/>
      <c r="E631" s="1"/>
      <c r="F631" s="1"/>
      <c r="G631" s="1"/>
      <c r="H631" s="341"/>
      <c r="I631" s="358"/>
      <c r="J631" s="79"/>
      <c r="K631" s="1"/>
      <c r="L631" s="343"/>
      <c r="M631" s="344"/>
      <c r="N631" s="344"/>
      <c r="O631" s="341"/>
      <c r="P631" s="341"/>
      <c r="Q631" s="79"/>
      <c r="R631" s="345"/>
      <c r="S631" s="344"/>
      <c r="T631" s="345"/>
      <c r="U631" s="344"/>
      <c r="V631" s="346"/>
      <c r="W631" s="347"/>
      <c r="X631" s="359"/>
      <c r="Y631" s="349"/>
      <c r="Z631" s="349"/>
      <c r="AB631" s="79"/>
      <c r="AC631" s="79"/>
      <c r="AD631" s="79"/>
      <c r="AE631" s="79"/>
      <c r="AF631" s="79"/>
      <c r="AG631" s="79"/>
      <c r="AH631" s="79"/>
      <c r="AI631" s="79"/>
    </row>
    <row r="632">
      <c r="A632" s="9"/>
      <c r="C632" s="350"/>
      <c r="D632" s="93"/>
      <c r="E632" s="1"/>
      <c r="F632" s="1"/>
      <c r="G632" s="1"/>
      <c r="H632" s="341"/>
      <c r="I632" s="358"/>
      <c r="J632" s="79"/>
      <c r="K632" s="1"/>
      <c r="L632" s="343"/>
      <c r="M632" s="344"/>
      <c r="N632" s="344"/>
      <c r="O632" s="341"/>
      <c r="P632" s="341"/>
      <c r="Q632" s="79"/>
      <c r="R632" s="345"/>
      <c r="S632" s="344"/>
      <c r="T632" s="345"/>
      <c r="U632" s="344"/>
      <c r="V632" s="346"/>
      <c r="W632" s="347"/>
      <c r="X632" s="359"/>
      <c r="Y632" s="349"/>
      <c r="Z632" s="349"/>
      <c r="AB632" s="79"/>
      <c r="AC632" s="79"/>
      <c r="AD632" s="79"/>
      <c r="AE632" s="79"/>
      <c r="AF632" s="79"/>
      <c r="AG632" s="79"/>
      <c r="AH632" s="79"/>
      <c r="AI632" s="79"/>
    </row>
    <row r="633">
      <c r="A633" s="9"/>
      <c r="C633" s="350"/>
      <c r="D633" s="93"/>
      <c r="E633" s="1"/>
      <c r="F633" s="1"/>
      <c r="G633" s="1"/>
      <c r="H633" s="341"/>
      <c r="I633" s="358"/>
      <c r="J633" s="79"/>
      <c r="K633" s="1"/>
      <c r="L633" s="343"/>
      <c r="M633" s="344"/>
      <c r="N633" s="344"/>
      <c r="O633" s="341"/>
      <c r="P633" s="341"/>
      <c r="Q633" s="79"/>
      <c r="R633" s="345"/>
      <c r="S633" s="344"/>
      <c r="T633" s="345"/>
      <c r="U633" s="344"/>
      <c r="V633" s="346"/>
      <c r="W633" s="347"/>
      <c r="X633" s="359"/>
      <c r="Y633" s="349"/>
      <c r="Z633" s="349"/>
      <c r="AB633" s="79"/>
      <c r="AC633" s="79"/>
      <c r="AD633" s="79"/>
      <c r="AE633" s="79"/>
      <c r="AF633" s="79"/>
      <c r="AG633" s="79"/>
      <c r="AH633" s="79"/>
      <c r="AI633" s="79"/>
    </row>
    <row r="634">
      <c r="A634" s="9"/>
      <c r="C634" s="350"/>
      <c r="D634" s="93"/>
      <c r="E634" s="1"/>
      <c r="F634" s="1"/>
      <c r="G634" s="1"/>
      <c r="H634" s="341"/>
      <c r="I634" s="358"/>
      <c r="J634" s="79"/>
      <c r="K634" s="1"/>
      <c r="L634" s="343"/>
      <c r="M634" s="344"/>
      <c r="N634" s="344"/>
      <c r="O634" s="341"/>
      <c r="P634" s="341"/>
      <c r="Q634" s="79"/>
      <c r="R634" s="345"/>
      <c r="S634" s="344"/>
      <c r="T634" s="345"/>
      <c r="U634" s="344"/>
      <c r="V634" s="346"/>
      <c r="W634" s="347"/>
      <c r="X634" s="359"/>
      <c r="Y634" s="349"/>
      <c r="Z634" s="349"/>
      <c r="AB634" s="79"/>
      <c r="AC634" s="79"/>
      <c r="AD634" s="79"/>
      <c r="AE634" s="79"/>
      <c r="AF634" s="79"/>
      <c r="AG634" s="79"/>
      <c r="AH634" s="79"/>
      <c r="AI634" s="79"/>
    </row>
    <row r="635">
      <c r="A635" s="9"/>
      <c r="C635" s="350"/>
      <c r="D635" s="93"/>
      <c r="E635" s="1"/>
      <c r="F635" s="1"/>
      <c r="G635" s="1"/>
      <c r="H635" s="341"/>
      <c r="I635" s="358"/>
      <c r="J635" s="79"/>
      <c r="K635" s="1"/>
      <c r="L635" s="343"/>
      <c r="M635" s="344"/>
      <c r="N635" s="344"/>
      <c r="O635" s="341"/>
      <c r="P635" s="341"/>
      <c r="Q635" s="79"/>
      <c r="R635" s="345"/>
      <c r="S635" s="344"/>
      <c r="T635" s="345"/>
      <c r="U635" s="344"/>
      <c r="V635" s="346"/>
      <c r="W635" s="347"/>
      <c r="X635" s="359"/>
      <c r="Y635" s="349"/>
      <c r="Z635" s="349"/>
      <c r="AB635" s="79"/>
      <c r="AC635" s="79"/>
      <c r="AD635" s="79"/>
      <c r="AE635" s="79"/>
      <c r="AF635" s="79"/>
      <c r="AG635" s="79"/>
      <c r="AH635" s="79"/>
      <c r="AI635" s="79"/>
    </row>
    <row r="636">
      <c r="A636" s="9"/>
      <c r="C636" s="350"/>
      <c r="D636" s="93"/>
      <c r="E636" s="1"/>
      <c r="F636" s="1"/>
      <c r="G636" s="1"/>
      <c r="H636" s="341"/>
      <c r="I636" s="358"/>
      <c r="J636" s="79"/>
      <c r="K636" s="1"/>
      <c r="L636" s="343"/>
      <c r="M636" s="344"/>
      <c r="N636" s="344"/>
      <c r="O636" s="341"/>
      <c r="P636" s="341"/>
      <c r="Q636" s="79"/>
      <c r="R636" s="345"/>
      <c r="S636" s="344"/>
      <c r="T636" s="345"/>
      <c r="U636" s="344"/>
      <c r="V636" s="346"/>
      <c r="W636" s="347"/>
      <c r="X636" s="359"/>
      <c r="Y636" s="349"/>
      <c r="Z636" s="349"/>
      <c r="AB636" s="79"/>
      <c r="AC636" s="79"/>
      <c r="AD636" s="79"/>
      <c r="AE636" s="79"/>
      <c r="AF636" s="79"/>
      <c r="AG636" s="79"/>
      <c r="AH636" s="79"/>
      <c r="AI636" s="79"/>
    </row>
    <row r="637">
      <c r="A637" s="9"/>
      <c r="C637" s="350"/>
      <c r="D637" s="93"/>
      <c r="E637" s="1"/>
      <c r="F637" s="1"/>
      <c r="G637" s="1"/>
      <c r="H637" s="341"/>
      <c r="I637" s="358"/>
      <c r="J637" s="79"/>
      <c r="K637" s="1"/>
      <c r="L637" s="343"/>
      <c r="M637" s="344"/>
      <c r="N637" s="344"/>
      <c r="O637" s="341"/>
      <c r="P637" s="341"/>
      <c r="Q637" s="79"/>
      <c r="R637" s="345"/>
      <c r="S637" s="344"/>
      <c r="T637" s="345"/>
      <c r="U637" s="344"/>
      <c r="V637" s="346"/>
      <c r="W637" s="347"/>
      <c r="X637" s="359"/>
      <c r="Y637" s="349"/>
      <c r="Z637" s="349"/>
      <c r="AB637" s="79"/>
      <c r="AC637" s="79"/>
      <c r="AD637" s="79"/>
      <c r="AE637" s="79"/>
      <c r="AF637" s="79"/>
      <c r="AG637" s="79"/>
      <c r="AH637" s="79"/>
      <c r="AI637" s="79"/>
    </row>
    <row r="638">
      <c r="A638" s="9"/>
      <c r="C638" s="350"/>
      <c r="D638" s="93"/>
      <c r="E638" s="1"/>
      <c r="F638" s="1"/>
      <c r="G638" s="1"/>
      <c r="H638" s="341"/>
      <c r="I638" s="358"/>
      <c r="J638" s="79"/>
      <c r="K638" s="1"/>
      <c r="L638" s="343"/>
      <c r="M638" s="344"/>
      <c r="N638" s="344"/>
      <c r="O638" s="341"/>
      <c r="P638" s="341"/>
      <c r="Q638" s="79"/>
      <c r="R638" s="345"/>
      <c r="S638" s="344"/>
      <c r="T638" s="345"/>
      <c r="U638" s="344"/>
      <c r="V638" s="346"/>
      <c r="W638" s="347"/>
      <c r="X638" s="359"/>
      <c r="Y638" s="349"/>
      <c r="Z638" s="349"/>
      <c r="AB638" s="79"/>
      <c r="AC638" s="79"/>
      <c r="AD638" s="79"/>
      <c r="AE638" s="79"/>
      <c r="AF638" s="79"/>
      <c r="AG638" s="79"/>
      <c r="AH638" s="79"/>
      <c r="AI638" s="79"/>
    </row>
    <row r="639">
      <c r="A639" s="9"/>
      <c r="C639" s="350"/>
      <c r="D639" s="93"/>
      <c r="E639" s="1"/>
      <c r="F639" s="1"/>
      <c r="G639" s="1"/>
      <c r="H639" s="341"/>
      <c r="I639" s="358"/>
      <c r="J639" s="79"/>
      <c r="K639" s="1"/>
      <c r="L639" s="343"/>
      <c r="M639" s="344"/>
      <c r="N639" s="344"/>
      <c r="O639" s="341"/>
      <c r="P639" s="341"/>
      <c r="Q639" s="79"/>
      <c r="R639" s="345"/>
      <c r="S639" s="344"/>
      <c r="T639" s="345"/>
      <c r="U639" s="344"/>
      <c r="V639" s="346"/>
      <c r="W639" s="347"/>
      <c r="X639" s="359"/>
      <c r="Y639" s="349"/>
      <c r="Z639" s="349"/>
      <c r="AB639" s="79"/>
      <c r="AC639" s="79"/>
      <c r="AD639" s="79"/>
      <c r="AE639" s="79"/>
      <c r="AF639" s="79"/>
      <c r="AG639" s="79"/>
      <c r="AH639" s="79"/>
      <c r="AI639" s="79"/>
    </row>
    <row r="640">
      <c r="A640" s="9"/>
      <c r="C640" s="350"/>
      <c r="D640" s="93"/>
      <c r="E640" s="1"/>
      <c r="F640" s="1"/>
      <c r="G640" s="1"/>
      <c r="H640" s="341"/>
      <c r="I640" s="358"/>
      <c r="J640" s="79"/>
      <c r="K640" s="1"/>
      <c r="L640" s="343"/>
      <c r="M640" s="344"/>
      <c r="N640" s="344"/>
      <c r="O640" s="341"/>
      <c r="P640" s="341"/>
      <c r="Q640" s="79"/>
      <c r="R640" s="345"/>
      <c r="S640" s="344"/>
      <c r="T640" s="345"/>
      <c r="U640" s="344"/>
      <c r="V640" s="346"/>
      <c r="W640" s="347"/>
      <c r="X640" s="359"/>
      <c r="Y640" s="349"/>
      <c r="Z640" s="349"/>
      <c r="AB640" s="79"/>
      <c r="AC640" s="79"/>
      <c r="AD640" s="79"/>
      <c r="AE640" s="79"/>
      <c r="AF640" s="79"/>
      <c r="AG640" s="79"/>
      <c r="AH640" s="79"/>
      <c r="AI640" s="79"/>
    </row>
    <row r="641">
      <c r="A641" s="9"/>
      <c r="C641" s="350"/>
      <c r="D641" s="93"/>
      <c r="E641" s="1"/>
      <c r="F641" s="1"/>
      <c r="G641" s="1"/>
      <c r="H641" s="341"/>
      <c r="I641" s="358"/>
      <c r="J641" s="79"/>
      <c r="K641" s="1"/>
      <c r="L641" s="343"/>
      <c r="M641" s="344"/>
      <c r="N641" s="344"/>
      <c r="O641" s="341"/>
      <c r="P641" s="341"/>
      <c r="Q641" s="79"/>
      <c r="R641" s="345"/>
      <c r="S641" s="344"/>
      <c r="T641" s="345"/>
      <c r="U641" s="344"/>
      <c r="V641" s="346"/>
      <c r="W641" s="347"/>
      <c r="X641" s="359"/>
      <c r="Y641" s="349"/>
      <c r="Z641" s="349"/>
      <c r="AB641" s="79"/>
      <c r="AC641" s="79"/>
      <c r="AD641" s="79"/>
      <c r="AE641" s="79"/>
      <c r="AF641" s="79"/>
      <c r="AG641" s="79"/>
      <c r="AH641" s="79"/>
      <c r="AI641" s="79"/>
    </row>
    <row r="642">
      <c r="A642" s="9"/>
      <c r="C642" s="350"/>
      <c r="D642" s="93"/>
      <c r="E642" s="1"/>
      <c r="F642" s="1"/>
      <c r="G642" s="1"/>
      <c r="H642" s="341"/>
      <c r="I642" s="358"/>
      <c r="J642" s="79"/>
      <c r="K642" s="1"/>
      <c r="L642" s="343"/>
      <c r="M642" s="344"/>
      <c r="N642" s="344"/>
      <c r="O642" s="341"/>
      <c r="P642" s="341"/>
      <c r="Q642" s="79"/>
      <c r="R642" s="345"/>
      <c r="S642" s="344"/>
      <c r="T642" s="345"/>
      <c r="U642" s="344"/>
      <c r="V642" s="346"/>
      <c r="W642" s="347"/>
      <c r="X642" s="359"/>
      <c r="Y642" s="349"/>
      <c r="Z642" s="349"/>
      <c r="AB642" s="79"/>
      <c r="AC642" s="79"/>
      <c r="AD642" s="79"/>
      <c r="AE642" s="79"/>
      <c r="AF642" s="79"/>
      <c r="AG642" s="79"/>
      <c r="AH642" s="79"/>
      <c r="AI642" s="79"/>
    </row>
    <row r="643">
      <c r="A643" s="9"/>
      <c r="C643" s="350"/>
      <c r="D643" s="93"/>
      <c r="E643" s="1"/>
      <c r="F643" s="1"/>
      <c r="G643" s="1"/>
      <c r="H643" s="341"/>
      <c r="I643" s="358"/>
      <c r="J643" s="79"/>
      <c r="K643" s="1"/>
      <c r="L643" s="343"/>
      <c r="M643" s="344"/>
      <c r="N643" s="344"/>
      <c r="O643" s="341"/>
      <c r="P643" s="341"/>
      <c r="Q643" s="79"/>
      <c r="R643" s="345"/>
      <c r="S643" s="344"/>
      <c r="T643" s="345"/>
      <c r="U643" s="344"/>
      <c r="V643" s="346"/>
      <c r="W643" s="347"/>
      <c r="X643" s="359"/>
      <c r="Y643" s="349"/>
      <c r="Z643" s="349"/>
      <c r="AB643" s="79"/>
      <c r="AC643" s="79"/>
      <c r="AD643" s="79"/>
      <c r="AE643" s="79"/>
      <c r="AF643" s="79"/>
      <c r="AG643" s="79"/>
      <c r="AH643" s="79"/>
      <c r="AI643" s="79"/>
    </row>
    <row r="644">
      <c r="A644" s="9"/>
      <c r="C644" s="350"/>
      <c r="D644" s="93"/>
      <c r="E644" s="1"/>
      <c r="F644" s="1"/>
      <c r="G644" s="1"/>
      <c r="H644" s="341"/>
      <c r="I644" s="358"/>
      <c r="J644" s="79"/>
      <c r="K644" s="1"/>
      <c r="L644" s="343"/>
      <c r="M644" s="344"/>
      <c r="N644" s="344"/>
      <c r="O644" s="341"/>
      <c r="P644" s="341"/>
      <c r="Q644" s="79"/>
      <c r="R644" s="345"/>
      <c r="S644" s="344"/>
      <c r="T644" s="345"/>
      <c r="U644" s="344"/>
      <c r="V644" s="346"/>
      <c r="W644" s="347"/>
      <c r="X644" s="359"/>
      <c r="Y644" s="349"/>
      <c r="Z644" s="349"/>
      <c r="AB644" s="79"/>
      <c r="AC644" s="79"/>
      <c r="AD644" s="79"/>
      <c r="AE644" s="79"/>
      <c r="AF644" s="79"/>
      <c r="AG644" s="79"/>
      <c r="AH644" s="79"/>
      <c r="AI644" s="79"/>
    </row>
    <row r="645">
      <c r="A645" s="9"/>
      <c r="C645" s="350"/>
      <c r="D645" s="93"/>
      <c r="E645" s="1"/>
      <c r="F645" s="1"/>
      <c r="G645" s="1"/>
      <c r="H645" s="341"/>
      <c r="I645" s="358"/>
      <c r="J645" s="79"/>
      <c r="K645" s="1"/>
      <c r="L645" s="343"/>
      <c r="M645" s="344"/>
      <c r="N645" s="344"/>
      <c r="O645" s="341"/>
      <c r="P645" s="341"/>
      <c r="Q645" s="79"/>
      <c r="R645" s="345"/>
      <c r="S645" s="344"/>
      <c r="T645" s="345"/>
      <c r="U645" s="344"/>
      <c r="V645" s="346"/>
      <c r="W645" s="347"/>
      <c r="X645" s="359"/>
      <c r="Y645" s="349"/>
      <c r="Z645" s="349"/>
      <c r="AB645" s="79"/>
      <c r="AC645" s="79"/>
      <c r="AD645" s="79"/>
      <c r="AE645" s="79"/>
      <c r="AF645" s="79"/>
      <c r="AG645" s="79"/>
      <c r="AH645" s="79"/>
      <c r="AI645" s="79"/>
    </row>
    <row r="646">
      <c r="A646" s="9"/>
      <c r="C646" s="350"/>
      <c r="D646" s="93"/>
      <c r="E646" s="1"/>
      <c r="F646" s="1"/>
      <c r="G646" s="1"/>
      <c r="H646" s="341"/>
      <c r="I646" s="358"/>
      <c r="J646" s="79"/>
      <c r="K646" s="1"/>
      <c r="L646" s="343"/>
      <c r="M646" s="344"/>
      <c r="N646" s="344"/>
      <c r="O646" s="341"/>
      <c r="P646" s="341"/>
      <c r="Q646" s="79"/>
      <c r="R646" s="345"/>
      <c r="S646" s="344"/>
      <c r="T646" s="345"/>
      <c r="U646" s="344"/>
      <c r="V646" s="346"/>
      <c r="W646" s="347"/>
      <c r="X646" s="359"/>
      <c r="Y646" s="349"/>
      <c r="Z646" s="349"/>
      <c r="AB646" s="79"/>
      <c r="AC646" s="79"/>
      <c r="AD646" s="79"/>
      <c r="AE646" s="79"/>
      <c r="AF646" s="79"/>
      <c r="AG646" s="79"/>
      <c r="AH646" s="79"/>
      <c r="AI646" s="79"/>
    </row>
    <row r="647">
      <c r="A647" s="9"/>
      <c r="C647" s="350"/>
      <c r="D647" s="93"/>
      <c r="E647" s="1"/>
      <c r="F647" s="1"/>
      <c r="G647" s="1"/>
      <c r="H647" s="341"/>
      <c r="I647" s="358"/>
      <c r="J647" s="79"/>
      <c r="K647" s="1"/>
      <c r="L647" s="343"/>
      <c r="M647" s="344"/>
      <c r="N647" s="344"/>
      <c r="O647" s="341"/>
      <c r="P647" s="341"/>
      <c r="Q647" s="79"/>
      <c r="R647" s="345"/>
      <c r="S647" s="344"/>
      <c r="T647" s="345"/>
      <c r="U647" s="344"/>
      <c r="V647" s="346"/>
      <c r="W647" s="347"/>
      <c r="X647" s="359"/>
      <c r="Y647" s="349"/>
      <c r="Z647" s="349"/>
      <c r="AB647" s="79"/>
      <c r="AC647" s="79"/>
      <c r="AD647" s="79"/>
      <c r="AE647" s="79"/>
      <c r="AF647" s="79"/>
      <c r="AG647" s="79"/>
      <c r="AH647" s="79"/>
      <c r="AI647" s="79"/>
    </row>
    <row r="648">
      <c r="A648" s="9"/>
      <c r="C648" s="350"/>
      <c r="D648" s="93"/>
      <c r="E648" s="1"/>
      <c r="F648" s="1"/>
      <c r="G648" s="1"/>
      <c r="H648" s="341"/>
      <c r="I648" s="358"/>
      <c r="J648" s="79"/>
      <c r="K648" s="1"/>
      <c r="L648" s="343"/>
      <c r="M648" s="344"/>
      <c r="N648" s="344"/>
      <c r="O648" s="341"/>
      <c r="P648" s="341"/>
      <c r="Q648" s="79"/>
      <c r="R648" s="345"/>
      <c r="S648" s="344"/>
      <c r="T648" s="345"/>
      <c r="U648" s="344"/>
      <c r="V648" s="346"/>
      <c r="W648" s="347"/>
      <c r="X648" s="359"/>
      <c r="Y648" s="349"/>
      <c r="Z648" s="349"/>
      <c r="AB648" s="79"/>
      <c r="AC648" s="79"/>
      <c r="AD648" s="79"/>
      <c r="AE648" s="79"/>
      <c r="AF648" s="79"/>
      <c r="AG648" s="79"/>
      <c r="AH648" s="79"/>
      <c r="AI648" s="79"/>
    </row>
    <row r="649">
      <c r="A649" s="9"/>
      <c r="C649" s="350"/>
      <c r="D649" s="93"/>
      <c r="E649" s="1"/>
      <c r="F649" s="1"/>
      <c r="G649" s="1"/>
      <c r="H649" s="341"/>
      <c r="I649" s="358"/>
      <c r="J649" s="79"/>
      <c r="K649" s="1"/>
      <c r="L649" s="343"/>
      <c r="M649" s="344"/>
      <c r="N649" s="344"/>
      <c r="O649" s="341"/>
      <c r="P649" s="341"/>
      <c r="Q649" s="79"/>
      <c r="R649" s="345"/>
      <c r="S649" s="344"/>
      <c r="T649" s="345"/>
      <c r="U649" s="344"/>
      <c r="V649" s="346"/>
      <c r="W649" s="347"/>
      <c r="X649" s="359"/>
      <c r="Y649" s="349"/>
      <c r="Z649" s="349"/>
      <c r="AB649" s="79"/>
      <c r="AC649" s="79"/>
      <c r="AD649" s="79"/>
      <c r="AE649" s="79"/>
      <c r="AF649" s="79"/>
      <c r="AG649" s="79"/>
      <c r="AH649" s="79"/>
      <c r="AI649" s="79"/>
    </row>
    <row r="650">
      <c r="A650" s="9"/>
      <c r="C650" s="350"/>
      <c r="D650" s="93"/>
      <c r="E650" s="1"/>
      <c r="F650" s="1"/>
      <c r="G650" s="1"/>
      <c r="H650" s="341"/>
      <c r="I650" s="358"/>
      <c r="J650" s="79"/>
      <c r="K650" s="1"/>
      <c r="L650" s="343"/>
      <c r="M650" s="344"/>
      <c r="N650" s="344"/>
      <c r="O650" s="341"/>
      <c r="P650" s="341"/>
      <c r="Q650" s="79"/>
      <c r="R650" s="345"/>
      <c r="S650" s="344"/>
      <c r="T650" s="345"/>
      <c r="U650" s="344"/>
      <c r="V650" s="346"/>
      <c r="W650" s="347"/>
      <c r="X650" s="359"/>
      <c r="Y650" s="349"/>
      <c r="Z650" s="349"/>
      <c r="AB650" s="79"/>
      <c r="AC650" s="79"/>
      <c r="AD650" s="79"/>
      <c r="AE650" s="79"/>
      <c r="AF650" s="79"/>
      <c r="AG650" s="79"/>
      <c r="AH650" s="79"/>
      <c r="AI650" s="79"/>
    </row>
    <row r="651">
      <c r="A651" s="9"/>
      <c r="C651" s="350"/>
      <c r="D651" s="93"/>
      <c r="E651" s="1"/>
      <c r="F651" s="1"/>
      <c r="G651" s="1"/>
      <c r="H651" s="341"/>
      <c r="I651" s="358"/>
      <c r="J651" s="79"/>
      <c r="K651" s="1"/>
      <c r="L651" s="343"/>
      <c r="M651" s="344"/>
      <c r="N651" s="344"/>
      <c r="O651" s="341"/>
      <c r="P651" s="341"/>
      <c r="Q651" s="79"/>
      <c r="R651" s="345"/>
      <c r="S651" s="344"/>
      <c r="T651" s="345"/>
      <c r="U651" s="344"/>
      <c r="V651" s="346"/>
      <c r="W651" s="347"/>
      <c r="X651" s="359"/>
      <c r="Y651" s="349"/>
      <c r="Z651" s="349"/>
      <c r="AB651" s="79"/>
      <c r="AC651" s="79"/>
      <c r="AD651" s="79"/>
      <c r="AE651" s="79"/>
      <c r="AF651" s="79"/>
      <c r="AG651" s="79"/>
      <c r="AH651" s="79"/>
      <c r="AI651" s="79"/>
    </row>
    <row r="652">
      <c r="A652" s="9"/>
      <c r="C652" s="350"/>
      <c r="D652" s="93"/>
      <c r="E652" s="1"/>
      <c r="F652" s="1"/>
      <c r="G652" s="1"/>
      <c r="H652" s="341"/>
      <c r="I652" s="358"/>
      <c r="J652" s="79"/>
      <c r="K652" s="1"/>
      <c r="L652" s="343"/>
      <c r="M652" s="344"/>
      <c r="N652" s="344"/>
      <c r="O652" s="341"/>
      <c r="P652" s="341"/>
      <c r="Q652" s="79"/>
      <c r="R652" s="345"/>
      <c r="S652" s="344"/>
      <c r="T652" s="345"/>
      <c r="U652" s="344"/>
      <c r="V652" s="346"/>
      <c r="W652" s="347"/>
      <c r="X652" s="359"/>
      <c r="Y652" s="349"/>
      <c r="Z652" s="349"/>
      <c r="AB652" s="79"/>
      <c r="AC652" s="79"/>
      <c r="AD652" s="79"/>
      <c r="AE652" s="79"/>
      <c r="AF652" s="79"/>
      <c r="AG652" s="79"/>
      <c r="AH652" s="79"/>
      <c r="AI652" s="79"/>
    </row>
    <row r="653">
      <c r="A653" s="9"/>
      <c r="C653" s="350"/>
      <c r="D653" s="93"/>
      <c r="E653" s="1"/>
      <c r="F653" s="1"/>
      <c r="G653" s="1"/>
      <c r="H653" s="341"/>
      <c r="I653" s="358"/>
      <c r="J653" s="79"/>
      <c r="K653" s="1"/>
      <c r="L653" s="343"/>
      <c r="M653" s="344"/>
      <c r="N653" s="344"/>
      <c r="O653" s="341"/>
      <c r="P653" s="341"/>
      <c r="Q653" s="79"/>
      <c r="R653" s="345"/>
      <c r="S653" s="344"/>
      <c r="T653" s="345"/>
      <c r="U653" s="344"/>
      <c r="V653" s="346"/>
      <c r="W653" s="347"/>
      <c r="X653" s="359"/>
      <c r="Y653" s="349"/>
      <c r="Z653" s="349"/>
      <c r="AB653" s="79"/>
      <c r="AC653" s="79"/>
      <c r="AD653" s="79"/>
      <c r="AE653" s="79"/>
      <c r="AF653" s="79"/>
      <c r="AG653" s="79"/>
      <c r="AH653" s="79"/>
      <c r="AI653" s="79"/>
    </row>
    <row r="654">
      <c r="A654" s="9"/>
      <c r="C654" s="350"/>
      <c r="D654" s="93"/>
      <c r="E654" s="1"/>
      <c r="F654" s="1"/>
      <c r="G654" s="1"/>
      <c r="H654" s="341"/>
      <c r="I654" s="358"/>
      <c r="J654" s="79"/>
      <c r="K654" s="1"/>
      <c r="L654" s="343"/>
      <c r="M654" s="344"/>
      <c r="N654" s="344"/>
      <c r="O654" s="341"/>
      <c r="P654" s="341"/>
      <c r="Q654" s="79"/>
      <c r="R654" s="345"/>
      <c r="S654" s="344"/>
      <c r="T654" s="345"/>
      <c r="U654" s="344"/>
      <c r="V654" s="346"/>
      <c r="W654" s="347"/>
      <c r="X654" s="359"/>
      <c r="Y654" s="349"/>
      <c r="Z654" s="349"/>
      <c r="AB654" s="79"/>
      <c r="AC654" s="79"/>
      <c r="AD654" s="79"/>
      <c r="AE654" s="79"/>
      <c r="AF654" s="79"/>
      <c r="AG654" s="79"/>
      <c r="AH654" s="79"/>
      <c r="AI654" s="79"/>
    </row>
  </sheetData>
  <conditionalFormatting sqref="G2:H654">
    <cfRule type="expression" dxfId="21" priority="1">
      <formula>$X2="Eliminated"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</cols>
  <sheetData>
    <row r="1">
      <c r="A1" s="9" t="s">
        <v>26</v>
      </c>
      <c r="B1" s="9" t="s">
        <v>30</v>
      </c>
    </row>
    <row r="2">
      <c r="A2" s="351" t="s">
        <v>284</v>
      </c>
      <c r="B2" s="9" t="s">
        <v>760</v>
      </c>
    </row>
    <row r="3">
      <c r="A3" s="352" t="s">
        <v>61</v>
      </c>
      <c r="B3" s="9" t="s">
        <v>760</v>
      </c>
    </row>
    <row r="4">
      <c r="A4" s="352" t="s">
        <v>378</v>
      </c>
      <c r="B4" s="9" t="s">
        <v>760</v>
      </c>
    </row>
    <row r="5">
      <c r="A5" s="31" t="s">
        <v>271</v>
      </c>
      <c r="B5" s="9" t="s">
        <v>760</v>
      </c>
    </row>
    <row r="6">
      <c r="A6" s="352" t="s">
        <v>165</v>
      </c>
      <c r="B6" s="9" t="s">
        <v>760</v>
      </c>
    </row>
    <row r="7">
      <c r="A7" s="353" t="s">
        <v>314</v>
      </c>
      <c r="B7" s="9" t="s">
        <v>760</v>
      </c>
      <c r="C7" s="9"/>
    </row>
    <row r="8">
      <c r="A8" s="352" t="s">
        <v>424</v>
      </c>
      <c r="B8" s="9" t="s">
        <v>760</v>
      </c>
    </row>
    <row r="9">
      <c r="A9" s="352" t="s">
        <v>154</v>
      </c>
      <c r="B9" s="9" t="s">
        <v>760</v>
      </c>
    </row>
    <row r="10">
      <c r="A10" s="352" t="s">
        <v>85</v>
      </c>
      <c r="B10" s="9" t="s">
        <v>760</v>
      </c>
    </row>
    <row r="11">
      <c r="A11" s="352" t="s">
        <v>290</v>
      </c>
      <c r="B11" s="9" t="s">
        <v>760</v>
      </c>
    </row>
    <row r="12">
      <c r="A12" s="352" t="s">
        <v>74</v>
      </c>
      <c r="B12" s="9" t="s">
        <v>760</v>
      </c>
    </row>
    <row r="13">
      <c r="A13" s="352" t="s">
        <v>200</v>
      </c>
      <c r="B13" s="9" t="s">
        <v>760</v>
      </c>
    </row>
    <row r="14">
      <c r="A14" s="352" t="s">
        <v>114</v>
      </c>
      <c r="B14" s="9" t="s">
        <v>760</v>
      </c>
    </row>
    <row r="15">
      <c r="A15" s="352" t="s">
        <v>142</v>
      </c>
      <c r="B15" s="9" t="s">
        <v>760</v>
      </c>
    </row>
    <row r="16">
      <c r="A16" s="352" t="s">
        <v>101</v>
      </c>
      <c r="B16" s="9" t="s">
        <v>760</v>
      </c>
    </row>
    <row r="17">
      <c r="A17" s="352" t="s">
        <v>158</v>
      </c>
      <c r="B17" s="9" t="s">
        <v>760</v>
      </c>
    </row>
    <row r="18">
      <c r="A18" s="352" t="s">
        <v>388</v>
      </c>
      <c r="B18" s="9" t="s">
        <v>760</v>
      </c>
    </row>
    <row r="19">
      <c r="A19" s="352" t="s">
        <v>421</v>
      </c>
      <c r="B19" s="9" t="s">
        <v>760</v>
      </c>
    </row>
    <row r="20">
      <c r="A20" s="352" t="s">
        <v>347</v>
      </c>
      <c r="B20" s="9" t="s">
        <v>760</v>
      </c>
    </row>
    <row r="21">
      <c r="A21" s="352" t="s">
        <v>288</v>
      </c>
      <c r="B21" s="9" t="s">
        <v>760</v>
      </c>
    </row>
    <row r="22">
      <c r="A22" s="352" t="s">
        <v>172</v>
      </c>
      <c r="B22" s="9" t="s">
        <v>760</v>
      </c>
    </row>
    <row r="23">
      <c r="A23" s="352" t="s">
        <v>217</v>
      </c>
      <c r="B23" s="9" t="s">
        <v>760</v>
      </c>
    </row>
    <row r="24">
      <c r="A24" s="352" t="s">
        <v>406</v>
      </c>
      <c r="B24" s="9" t="s">
        <v>760</v>
      </c>
    </row>
    <row r="25">
      <c r="A25" s="352" t="s">
        <v>18</v>
      </c>
      <c r="B25" s="9" t="s">
        <v>760</v>
      </c>
    </row>
    <row r="26">
      <c r="A26" s="352" t="s">
        <v>278</v>
      </c>
      <c r="B26" s="9" t="s">
        <v>760</v>
      </c>
    </row>
    <row r="27">
      <c r="A27" s="352" t="s">
        <v>301</v>
      </c>
      <c r="B27" s="9" t="s">
        <v>760</v>
      </c>
    </row>
    <row r="28">
      <c r="A28" s="352" t="s">
        <v>162</v>
      </c>
      <c r="B28" s="9" t="s">
        <v>760</v>
      </c>
    </row>
    <row r="29">
      <c r="A29" s="352" t="s">
        <v>329</v>
      </c>
      <c r="B29" s="9" t="s">
        <v>760</v>
      </c>
    </row>
    <row r="30">
      <c r="A30" s="352" t="s">
        <v>110</v>
      </c>
      <c r="B30" s="9" t="s">
        <v>760</v>
      </c>
    </row>
    <row r="31">
      <c r="A31" s="352" t="s">
        <v>167</v>
      </c>
      <c r="B31" s="9" t="s">
        <v>760</v>
      </c>
    </row>
    <row r="32">
      <c r="A32" s="352" t="s">
        <v>226</v>
      </c>
      <c r="B32" s="9" t="s">
        <v>760</v>
      </c>
    </row>
    <row r="33">
      <c r="A33" s="352" t="s">
        <v>289</v>
      </c>
      <c r="B33" s="9" t="s">
        <v>760</v>
      </c>
    </row>
    <row r="34">
      <c r="A34" s="352" t="s">
        <v>71</v>
      </c>
      <c r="B34" s="9" t="s">
        <v>760</v>
      </c>
    </row>
    <row r="35">
      <c r="A35" s="352" t="s">
        <v>137</v>
      </c>
      <c r="B35" s="9" t="s">
        <v>760</v>
      </c>
    </row>
    <row r="36">
      <c r="A36" s="352" t="s">
        <v>635</v>
      </c>
      <c r="B36" s="9" t="s">
        <v>760</v>
      </c>
    </row>
    <row r="37">
      <c r="A37" s="352" t="s">
        <v>324</v>
      </c>
      <c r="B37" s="9" t="s">
        <v>760</v>
      </c>
    </row>
    <row r="38">
      <c r="A38" s="352" t="s">
        <v>166</v>
      </c>
      <c r="B38" s="9" t="s">
        <v>760</v>
      </c>
    </row>
    <row r="39">
      <c r="A39" s="352" t="s">
        <v>131</v>
      </c>
      <c r="B39" s="9" t="s">
        <v>760</v>
      </c>
    </row>
    <row r="40">
      <c r="A40" s="352" t="s">
        <v>275</v>
      </c>
      <c r="B40" s="9" t="s">
        <v>760</v>
      </c>
    </row>
    <row r="41">
      <c r="A41" s="352" t="s">
        <v>337</v>
      </c>
      <c r="B41" s="9" t="s">
        <v>760</v>
      </c>
    </row>
    <row r="42">
      <c r="A42" s="352" t="s">
        <v>259</v>
      </c>
      <c r="B42" s="9" t="s">
        <v>760</v>
      </c>
    </row>
    <row r="43">
      <c r="A43" s="352" t="s">
        <v>280</v>
      </c>
      <c r="B43" s="9" t="s">
        <v>760</v>
      </c>
    </row>
    <row r="44">
      <c r="A44" s="352" t="s">
        <v>224</v>
      </c>
      <c r="B44" s="9" t="s">
        <v>760</v>
      </c>
    </row>
    <row r="45">
      <c r="A45" s="352" t="s">
        <v>313</v>
      </c>
      <c r="B45" s="9" t="s">
        <v>760</v>
      </c>
    </row>
    <row r="46">
      <c r="A46" s="352" t="s">
        <v>104</v>
      </c>
      <c r="B46" s="9" t="s">
        <v>760</v>
      </c>
    </row>
    <row r="47">
      <c r="A47" s="352" t="s">
        <v>195</v>
      </c>
      <c r="B47" s="9" t="s">
        <v>760</v>
      </c>
    </row>
    <row r="48">
      <c r="A48" s="1" t="s">
        <v>233</v>
      </c>
      <c r="B48" s="9" t="s">
        <v>760</v>
      </c>
    </row>
    <row r="49">
      <c r="A49" s="1" t="s">
        <v>413</v>
      </c>
      <c r="B49" s="9" t="s">
        <v>760</v>
      </c>
    </row>
    <row r="50">
      <c r="A50" s="351" t="s">
        <v>334</v>
      </c>
      <c r="B50" s="9" t="s">
        <v>764</v>
      </c>
    </row>
    <row r="51">
      <c r="A51" s="352" t="s">
        <v>66</v>
      </c>
      <c r="B51" s="9" t="s">
        <v>764</v>
      </c>
    </row>
    <row r="52">
      <c r="A52" s="352" t="s">
        <v>344</v>
      </c>
      <c r="B52" s="9" t="s">
        <v>764</v>
      </c>
    </row>
    <row r="53">
      <c r="A53" s="353" t="s">
        <v>219</v>
      </c>
      <c r="B53" s="9" t="s">
        <v>764</v>
      </c>
      <c r="C53" s="9"/>
    </row>
    <row r="54">
      <c r="A54" s="352" t="s">
        <v>396</v>
      </c>
      <c r="B54" s="9" t="s">
        <v>764</v>
      </c>
    </row>
    <row r="55">
      <c r="A55" s="352" t="s">
        <v>72</v>
      </c>
      <c r="B55" s="9" t="s">
        <v>764</v>
      </c>
    </row>
    <row r="56">
      <c r="A56" s="352" t="s">
        <v>202</v>
      </c>
      <c r="B56" s="9" t="s">
        <v>764</v>
      </c>
    </row>
    <row r="57">
      <c r="A57" s="352" t="s">
        <v>356</v>
      </c>
      <c r="B57" s="9" t="s">
        <v>764</v>
      </c>
    </row>
    <row r="58">
      <c r="A58" s="352" t="s">
        <v>64</v>
      </c>
      <c r="B58" s="9" t="s">
        <v>764</v>
      </c>
    </row>
    <row r="59">
      <c r="A59" s="352" t="s">
        <v>83</v>
      </c>
      <c r="B59" s="9" t="s">
        <v>764</v>
      </c>
    </row>
    <row r="60">
      <c r="A60" s="352" t="s">
        <v>322</v>
      </c>
      <c r="B60" s="9" t="s">
        <v>764</v>
      </c>
    </row>
    <row r="61">
      <c r="A61" s="352" t="s">
        <v>389</v>
      </c>
      <c r="B61" s="9" t="s">
        <v>764</v>
      </c>
    </row>
    <row r="62">
      <c r="A62" s="352" t="s">
        <v>182</v>
      </c>
      <c r="B62" s="9" t="s">
        <v>764</v>
      </c>
    </row>
    <row r="63">
      <c r="A63" s="352" t="s">
        <v>120</v>
      </c>
      <c r="B63" s="9" t="s">
        <v>764</v>
      </c>
    </row>
    <row r="64">
      <c r="A64" s="352" t="s">
        <v>133</v>
      </c>
      <c r="B64" s="9" t="s">
        <v>764</v>
      </c>
    </row>
    <row r="65">
      <c r="A65" s="352" t="s">
        <v>414</v>
      </c>
      <c r="B65" s="9" t="s">
        <v>764</v>
      </c>
    </row>
    <row r="66">
      <c r="A66" s="352" t="s">
        <v>312</v>
      </c>
      <c r="B66" s="9" t="s">
        <v>764</v>
      </c>
    </row>
    <row r="67">
      <c r="A67" s="352" t="s">
        <v>367</v>
      </c>
      <c r="B67" s="9" t="s">
        <v>764</v>
      </c>
    </row>
    <row r="68">
      <c r="A68" s="352" t="s">
        <v>630</v>
      </c>
      <c r="B68" s="9" t="s">
        <v>764</v>
      </c>
    </row>
    <row r="69">
      <c r="A69" s="352" t="s">
        <v>336</v>
      </c>
      <c r="B69" s="9" t="s">
        <v>764</v>
      </c>
    </row>
    <row r="70">
      <c r="A70" s="352" t="s">
        <v>293</v>
      </c>
      <c r="B70" s="9" t="s">
        <v>764</v>
      </c>
    </row>
    <row r="71">
      <c r="A71" s="352" t="s">
        <v>263</v>
      </c>
      <c r="B71" s="9" t="s">
        <v>764</v>
      </c>
    </row>
    <row r="72">
      <c r="A72" s="352" t="s">
        <v>355</v>
      </c>
      <c r="B72" s="9" t="s">
        <v>764</v>
      </c>
    </row>
    <row r="73">
      <c r="A73" s="352" t="s">
        <v>248</v>
      </c>
      <c r="B73" s="9" t="s">
        <v>764</v>
      </c>
    </row>
    <row r="74">
      <c r="A74" s="352" t="s">
        <v>79</v>
      </c>
      <c r="B74" s="9" t="s">
        <v>764</v>
      </c>
    </row>
    <row r="75">
      <c r="A75" s="352" t="s">
        <v>387</v>
      </c>
      <c r="B75" s="9" t="s">
        <v>764</v>
      </c>
    </row>
    <row r="76">
      <c r="A76" s="352" t="s">
        <v>328</v>
      </c>
      <c r="B76" s="9" t="s">
        <v>764</v>
      </c>
    </row>
    <row r="77">
      <c r="A77" s="352" t="s">
        <v>376</v>
      </c>
      <c r="B77" s="9" t="s">
        <v>764</v>
      </c>
    </row>
    <row r="78">
      <c r="A78" s="352" t="s">
        <v>304</v>
      </c>
      <c r="B78" s="9" t="s">
        <v>764</v>
      </c>
    </row>
    <row r="79">
      <c r="A79" s="352" t="s">
        <v>279</v>
      </c>
      <c r="B79" s="9" t="s">
        <v>764</v>
      </c>
    </row>
    <row r="80">
      <c r="A80" s="352" t="s">
        <v>54</v>
      </c>
      <c r="B80" s="9" t="s">
        <v>764</v>
      </c>
    </row>
    <row r="81">
      <c r="A81" s="352" t="s">
        <v>213</v>
      </c>
      <c r="B81" s="9" t="s">
        <v>764</v>
      </c>
    </row>
    <row r="82">
      <c r="A82" s="352" t="s">
        <v>326</v>
      </c>
      <c r="B82" s="9" t="s">
        <v>764</v>
      </c>
    </row>
    <row r="83">
      <c r="A83" s="352" t="s">
        <v>352</v>
      </c>
      <c r="B83" s="9" t="s">
        <v>764</v>
      </c>
    </row>
    <row r="84">
      <c r="A84" s="352" t="s">
        <v>125</v>
      </c>
      <c r="B84" s="9" t="s">
        <v>764</v>
      </c>
    </row>
    <row r="85">
      <c r="A85" s="353" t="s">
        <v>292</v>
      </c>
      <c r="B85" s="9" t="s">
        <v>764</v>
      </c>
    </row>
    <row r="86">
      <c r="A86" s="352" t="s">
        <v>349</v>
      </c>
      <c r="B86" s="9" t="s">
        <v>764</v>
      </c>
    </row>
    <row r="87">
      <c r="A87" s="31" t="s">
        <v>315</v>
      </c>
      <c r="B87" s="9" t="s">
        <v>764</v>
      </c>
    </row>
    <row r="88">
      <c r="A88" s="352" t="s">
        <v>214</v>
      </c>
      <c r="B88" s="9" t="s">
        <v>764</v>
      </c>
    </row>
    <row r="89">
      <c r="A89" s="352" t="s">
        <v>266</v>
      </c>
      <c r="B89" s="9" t="s">
        <v>764</v>
      </c>
    </row>
    <row r="90">
      <c r="A90" s="352" t="s">
        <v>300</v>
      </c>
      <c r="B90" s="9" t="s">
        <v>764</v>
      </c>
    </row>
    <row r="91">
      <c r="A91" s="352" t="s">
        <v>254</v>
      </c>
      <c r="B91" s="9" t="s">
        <v>764</v>
      </c>
    </row>
    <row r="92">
      <c r="A92" s="352" t="s">
        <v>374</v>
      </c>
      <c r="B92" s="9" t="s">
        <v>764</v>
      </c>
    </row>
    <row r="93">
      <c r="A93" s="352" t="s">
        <v>183</v>
      </c>
      <c r="B93" s="9" t="s">
        <v>764</v>
      </c>
    </row>
    <row r="94">
      <c r="A94" s="352" t="s">
        <v>76</v>
      </c>
      <c r="B94" s="9" t="s">
        <v>764</v>
      </c>
    </row>
    <row r="95">
      <c r="A95" s="352" t="s">
        <v>472</v>
      </c>
      <c r="B95" s="9" t="s">
        <v>764</v>
      </c>
    </row>
    <row r="96">
      <c r="A96" s="1" t="s">
        <v>294</v>
      </c>
      <c r="B96" s="9" t="s">
        <v>764</v>
      </c>
    </row>
    <row r="97">
      <c r="A97" s="1" t="s">
        <v>62</v>
      </c>
      <c r="B97" s="9" t="s">
        <v>764</v>
      </c>
    </row>
    <row r="98">
      <c r="A98" s="351" t="s">
        <v>77</v>
      </c>
      <c r="B98" s="9" t="s">
        <v>765</v>
      </c>
    </row>
    <row r="99">
      <c r="A99" s="352" t="s">
        <v>252</v>
      </c>
      <c r="B99" s="9" t="s">
        <v>765</v>
      </c>
    </row>
    <row r="100">
      <c r="A100" s="352" t="s">
        <v>371</v>
      </c>
      <c r="B100" s="9" t="s">
        <v>765</v>
      </c>
    </row>
    <row r="101">
      <c r="A101" s="352" t="s">
        <v>63</v>
      </c>
      <c r="B101" s="9" t="s">
        <v>765</v>
      </c>
    </row>
    <row r="102">
      <c r="A102" s="352" t="s">
        <v>401</v>
      </c>
      <c r="B102" s="9" t="s">
        <v>765</v>
      </c>
    </row>
    <row r="103">
      <c r="A103" s="352" t="s">
        <v>297</v>
      </c>
      <c r="B103" s="9" t="s">
        <v>765</v>
      </c>
    </row>
    <row r="104">
      <c r="A104" s="352" t="s">
        <v>410</v>
      </c>
      <c r="B104" s="9" t="s">
        <v>765</v>
      </c>
    </row>
    <row r="105">
      <c r="A105" s="352" t="s">
        <v>397</v>
      </c>
      <c r="B105" s="9" t="s">
        <v>765</v>
      </c>
    </row>
    <row r="106">
      <c r="A106" s="352" t="s">
        <v>239</v>
      </c>
      <c r="B106" s="9" t="s">
        <v>765</v>
      </c>
    </row>
    <row r="107">
      <c r="A107" s="352" t="s">
        <v>316</v>
      </c>
      <c r="B107" s="9" t="s">
        <v>765</v>
      </c>
    </row>
    <row r="108">
      <c r="A108" s="352" t="s">
        <v>379</v>
      </c>
      <c r="B108" s="9" t="s">
        <v>765</v>
      </c>
    </row>
    <row r="109">
      <c r="A109" s="352" t="s">
        <v>204</v>
      </c>
      <c r="B109" s="9" t="s">
        <v>765</v>
      </c>
    </row>
    <row r="110">
      <c r="A110" s="352" t="s">
        <v>253</v>
      </c>
      <c r="B110" s="9" t="s">
        <v>765</v>
      </c>
    </row>
    <row r="111">
      <c r="A111" s="352" t="s">
        <v>160</v>
      </c>
      <c r="B111" s="9" t="s">
        <v>765</v>
      </c>
    </row>
    <row r="112">
      <c r="A112" s="352" t="s">
        <v>89</v>
      </c>
      <c r="B112" s="9" t="s">
        <v>765</v>
      </c>
    </row>
    <row r="113">
      <c r="A113" s="352" t="s">
        <v>231</v>
      </c>
      <c r="B113" s="9" t="s">
        <v>765</v>
      </c>
    </row>
    <row r="114">
      <c r="A114" s="352" t="s">
        <v>298</v>
      </c>
      <c r="B114" s="9" t="s">
        <v>765</v>
      </c>
    </row>
    <row r="115">
      <c r="A115" s="352" t="s">
        <v>187</v>
      </c>
      <c r="B115" s="9" t="s">
        <v>765</v>
      </c>
    </row>
    <row r="116">
      <c r="A116" s="352" t="s">
        <v>237</v>
      </c>
      <c r="B116" s="9" t="s">
        <v>765</v>
      </c>
    </row>
    <row r="117">
      <c r="A117" s="352" t="s">
        <v>103</v>
      </c>
      <c r="B117" s="9" t="s">
        <v>765</v>
      </c>
    </row>
    <row r="118">
      <c r="A118" s="352" t="s">
        <v>59</v>
      </c>
      <c r="B118" s="9" t="s">
        <v>765</v>
      </c>
    </row>
    <row r="119">
      <c r="A119" s="352" t="s">
        <v>107</v>
      </c>
      <c r="B119" s="9" t="s">
        <v>765</v>
      </c>
    </row>
    <row r="120">
      <c r="A120" s="352" t="s">
        <v>235</v>
      </c>
      <c r="B120" s="9" t="s">
        <v>765</v>
      </c>
    </row>
    <row r="121">
      <c r="A121" s="31" t="s">
        <v>181</v>
      </c>
      <c r="B121" s="9" t="s">
        <v>765</v>
      </c>
    </row>
    <row r="122">
      <c r="A122" s="352" t="s">
        <v>121</v>
      </c>
      <c r="B122" s="9" t="s">
        <v>765</v>
      </c>
    </row>
    <row r="123">
      <c r="A123" s="352" t="s">
        <v>151</v>
      </c>
      <c r="B123" s="9" t="s">
        <v>765</v>
      </c>
    </row>
    <row r="124">
      <c r="A124" s="352" t="s">
        <v>332</v>
      </c>
      <c r="B124" s="9" t="s">
        <v>765</v>
      </c>
    </row>
    <row r="125">
      <c r="A125" s="352" t="s">
        <v>274</v>
      </c>
      <c r="B125" s="9" t="s">
        <v>765</v>
      </c>
    </row>
    <row r="126">
      <c r="A126" s="352" t="s">
        <v>184</v>
      </c>
      <c r="B126" s="9" t="s">
        <v>765</v>
      </c>
    </row>
    <row r="127">
      <c r="A127" s="352" t="s">
        <v>399</v>
      </c>
      <c r="B127" s="9" t="s">
        <v>765</v>
      </c>
    </row>
    <row r="128">
      <c r="A128" s="352" t="s">
        <v>373</v>
      </c>
      <c r="B128" s="9" t="s">
        <v>765</v>
      </c>
    </row>
    <row r="129">
      <c r="A129" s="352" t="s">
        <v>359</v>
      </c>
      <c r="B129" s="9" t="s">
        <v>765</v>
      </c>
    </row>
    <row r="130">
      <c r="A130" s="352" t="s">
        <v>303</v>
      </c>
      <c r="B130" s="9" t="s">
        <v>765</v>
      </c>
    </row>
    <row r="131">
      <c r="A131" s="352" t="s">
        <v>143</v>
      </c>
      <c r="B131" s="9" t="s">
        <v>765</v>
      </c>
    </row>
    <row r="132">
      <c r="A132" s="352" t="s">
        <v>163</v>
      </c>
      <c r="B132" s="9" t="s">
        <v>765</v>
      </c>
    </row>
    <row r="133">
      <c r="A133" s="352" t="s">
        <v>394</v>
      </c>
      <c r="B133" s="9" t="s">
        <v>765</v>
      </c>
    </row>
    <row r="134">
      <c r="A134" s="352" t="s">
        <v>198</v>
      </c>
      <c r="B134" s="9" t="s">
        <v>765</v>
      </c>
    </row>
    <row r="135">
      <c r="A135" s="352" t="s">
        <v>128</v>
      </c>
      <c r="B135" s="9" t="s">
        <v>765</v>
      </c>
    </row>
    <row r="136">
      <c r="A136" s="352" t="s">
        <v>88</v>
      </c>
      <c r="B136" s="9" t="s">
        <v>765</v>
      </c>
    </row>
    <row r="137">
      <c r="A137" s="352" t="s">
        <v>348</v>
      </c>
      <c r="B137" s="9" t="s">
        <v>765</v>
      </c>
    </row>
    <row r="138">
      <c r="A138" s="352" t="s">
        <v>256</v>
      </c>
      <c r="B138" s="9" t="s">
        <v>765</v>
      </c>
    </row>
    <row r="139">
      <c r="A139" s="352" t="s">
        <v>132</v>
      </c>
      <c r="B139" s="9" t="s">
        <v>765</v>
      </c>
    </row>
    <row r="140">
      <c r="A140" s="352" t="s">
        <v>366</v>
      </c>
      <c r="B140" s="9" t="s">
        <v>765</v>
      </c>
    </row>
    <row r="141">
      <c r="A141" s="352" t="s">
        <v>318</v>
      </c>
      <c r="B141" s="9" t="s">
        <v>765</v>
      </c>
    </row>
    <row r="142">
      <c r="A142" s="352" t="s">
        <v>152</v>
      </c>
      <c r="B142" s="9" t="s">
        <v>765</v>
      </c>
    </row>
    <row r="143">
      <c r="A143" s="1" t="s">
        <v>247</v>
      </c>
      <c r="B143" s="9" t="s">
        <v>765</v>
      </c>
    </row>
    <row r="144">
      <c r="A144" s="1" t="s">
        <v>249</v>
      </c>
      <c r="B144" s="9" t="s">
        <v>765</v>
      </c>
    </row>
    <row r="145">
      <c r="A145" s="1" t="s">
        <v>276</v>
      </c>
      <c r="B145" s="9" t="s">
        <v>765</v>
      </c>
    </row>
    <row r="146">
      <c r="A146" s="351" t="s">
        <v>96</v>
      </c>
      <c r="B146" s="9" t="s">
        <v>769</v>
      </c>
    </row>
    <row r="147">
      <c r="A147" s="352" t="s">
        <v>238</v>
      </c>
      <c r="B147" s="9" t="s">
        <v>769</v>
      </c>
    </row>
    <row r="148">
      <c r="A148" s="352" t="s">
        <v>369</v>
      </c>
      <c r="B148" s="9" t="s">
        <v>769</v>
      </c>
    </row>
    <row r="149">
      <c r="A149" s="352" t="s">
        <v>372</v>
      </c>
      <c r="B149" s="9" t="s">
        <v>769</v>
      </c>
    </row>
    <row r="150">
      <c r="A150" s="352" t="s">
        <v>291</v>
      </c>
      <c r="B150" s="9" t="s">
        <v>769</v>
      </c>
    </row>
    <row r="151">
      <c r="A151" s="352" t="s">
        <v>417</v>
      </c>
      <c r="B151" s="9" t="s">
        <v>769</v>
      </c>
    </row>
    <row r="152">
      <c r="A152" s="352" t="s">
        <v>191</v>
      </c>
      <c r="B152" s="9" t="s">
        <v>769</v>
      </c>
    </row>
    <row r="153">
      <c r="A153" s="352" t="s">
        <v>306</v>
      </c>
      <c r="B153" s="9" t="s">
        <v>769</v>
      </c>
    </row>
    <row r="154">
      <c r="A154" s="352" t="s">
        <v>94</v>
      </c>
      <c r="B154" s="9" t="s">
        <v>769</v>
      </c>
    </row>
    <row r="155">
      <c r="A155" s="352" t="s">
        <v>180</v>
      </c>
      <c r="B155" s="9" t="s">
        <v>769</v>
      </c>
    </row>
    <row r="156">
      <c r="A156" s="352" t="s">
        <v>190</v>
      </c>
      <c r="B156" s="9" t="s">
        <v>769</v>
      </c>
    </row>
    <row r="157">
      <c r="A157" s="352" t="s">
        <v>75</v>
      </c>
      <c r="B157" s="9" t="s">
        <v>769</v>
      </c>
    </row>
    <row r="158">
      <c r="A158" s="31" t="s">
        <v>81</v>
      </c>
      <c r="B158" s="9" t="s">
        <v>769</v>
      </c>
    </row>
    <row r="159">
      <c r="A159" s="352" t="s">
        <v>323</v>
      </c>
      <c r="B159" s="9" t="s">
        <v>769</v>
      </c>
    </row>
    <row r="160">
      <c r="A160" s="352" t="s">
        <v>55</v>
      </c>
      <c r="B160" s="9" t="s">
        <v>769</v>
      </c>
    </row>
    <row r="161">
      <c r="A161" s="352" t="s">
        <v>123</v>
      </c>
      <c r="B161" s="9" t="s">
        <v>769</v>
      </c>
    </row>
    <row r="162">
      <c r="A162" s="352" t="s">
        <v>141</v>
      </c>
      <c r="B162" s="9" t="s">
        <v>769</v>
      </c>
    </row>
    <row r="163">
      <c r="A163" s="352" t="s">
        <v>60</v>
      </c>
      <c r="B163" s="9" t="s">
        <v>769</v>
      </c>
    </row>
    <row r="164">
      <c r="A164" s="352" t="s">
        <v>335</v>
      </c>
      <c r="B164" s="9" t="s">
        <v>769</v>
      </c>
    </row>
    <row r="165">
      <c r="A165" s="352" t="s">
        <v>115</v>
      </c>
      <c r="B165" s="9" t="s">
        <v>769</v>
      </c>
    </row>
    <row r="166">
      <c r="A166" s="352" t="s">
        <v>351</v>
      </c>
      <c r="B166" s="9" t="s">
        <v>769</v>
      </c>
    </row>
    <row r="167">
      <c r="A167" s="353" t="s">
        <v>345</v>
      </c>
      <c r="B167" s="9" t="s">
        <v>769</v>
      </c>
    </row>
    <row r="168">
      <c r="A168" s="352" t="s">
        <v>185</v>
      </c>
      <c r="B168" s="9" t="s">
        <v>769</v>
      </c>
    </row>
    <row r="169">
      <c r="A169" s="352" t="s">
        <v>205</v>
      </c>
      <c r="B169" s="9" t="s">
        <v>769</v>
      </c>
    </row>
    <row r="170">
      <c r="A170" s="352" t="s">
        <v>109</v>
      </c>
      <c r="B170" s="9" t="s">
        <v>769</v>
      </c>
    </row>
    <row r="171">
      <c r="A171" s="352" t="s">
        <v>67</v>
      </c>
      <c r="B171" s="9" t="s">
        <v>769</v>
      </c>
    </row>
    <row r="172">
      <c r="A172" s="352" t="s">
        <v>286</v>
      </c>
      <c r="B172" s="9" t="s">
        <v>769</v>
      </c>
    </row>
    <row r="173">
      <c r="A173" s="352" t="s">
        <v>93</v>
      </c>
      <c r="B173" s="9" t="s">
        <v>769</v>
      </c>
    </row>
    <row r="174">
      <c r="A174" s="352" t="s">
        <v>269</v>
      </c>
      <c r="B174" s="9" t="s">
        <v>769</v>
      </c>
    </row>
    <row r="175">
      <c r="A175" s="352" t="s">
        <v>156</v>
      </c>
      <c r="B175" s="9" t="s">
        <v>769</v>
      </c>
    </row>
    <row r="176">
      <c r="A176" s="352" t="s">
        <v>17</v>
      </c>
      <c r="B176" s="9" t="s">
        <v>769</v>
      </c>
    </row>
    <row r="177">
      <c r="A177" s="352" t="s">
        <v>164</v>
      </c>
      <c r="B177" s="9" t="s">
        <v>769</v>
      </c>
    </row>
    <row r="178">
      <c r="A178" s="352" t="s">
        <v>343</v>
      </c>
      <c r="B178" s="9" t="s">
        <v>769</v>
      </c>
    </row>
    <row r="179">
      <c r="A179" s="352" t="s">
        <v>354</v>
      </c>
      <c r="B179" s="9" t="s">
        <v>769</v>
      </c>
    </row>
    <row r="180">
      <c r="A180" s="352" t="s">
        <v>157</v>
      </c>
      <c r="B180" s="9" t="s">
        <v>769</v>
      </c>
    </row>
    <row r="181">
      <c r="A181" s="352" t="s">
        <v>331</v>
      </c>
      <c r="B181" s="9" t="s">
        <v>769</v>
      </c>
    </row>
    <row r="182">
      <c r="A182" s="352" t="s">
        <v>346</v>
      </c>
      <c r="B182" s="9" t="s">
        <v>769</v>
      </c>
    </row>
    <row r="183">
      <c r="A183" s="352" t="s">
        <v>215</v>
      </c>
      <c r="B183" s="9" t="s">
        <v>769</v>
      </c>
    </row>
    <row r="184">
      <c r="A184" s="352" t="s">
        <v>636</v>
      </c>
      <c r="B184" s="9" t="s">
        <v>769</v>
      </c>
    </row>
    <row r="185">
      <c r="A185" s="352" t="s">
        <v>168</v>
      </c>
      <c r="B185" s="9" t="s">
        <v>769</v>
      </c>
    </row>
    <row r="186">
      <c r="A186" s="352" t="s">
        <v>287</v>
      </c>
      <c r="B186" s="9" t="s">
        <v>769</v>
      </c>
    </row>
    <row r="187">
      <c r="A187" s="352" t="s">
        <v>639</v>
      </c>
      <c r="B187" s="9" t="s">
        <v>769</v>
      </c>
    </row>
    <row r="188">
      <c r="A188" s="352" t="s">
        <v>218</v>
      </c>
      <c r="B188" s="9" t="s">
        <v>769</v>
      </c>
    </row>
    <row r="189">
      <c r="A189" s="352" t="s">
        <v>169</v>
      </c>
      <c r="B189" s="9" t="s">
        <v>769</v>
      </c>
    </row>
    <row r="190">
      <c r="A190" s="352" t="s">
        <v>282</v>
      </c>
      <c r="B190" s="9" t="s">
        <v>769</v>
      </c>
    </row>
    <row r="191">
      <c r="A191" s="352" t="s">
        <v>302</v>
      </c>
      <c r="B191" s="9" t="s">
        <v>769</v>
      </c>
    </row>
    <row r="192">
      <c r="A192" s="1" t="s">
        <v>368</v>
      </c>
      <c r="B192" s="9" t="s">
        <v>769</v>
      </c>
    </row>
    <row r="193">
      <c r="A193" s="1" t="s">
        <v>139</v>
      </c>
      <c r="B193" s="9" t="s">
        <v>769</v>
      </c>
    </row>
    <row r="194">
      <c r="A194" s="351" t="s">
        <v>409</v>
      </c>
      <c r="B194" s="9" t="s">
        <v>770</v>
      </c>
    </row>
    <row r="195">
      <c r="A195" s="352" t="s">
        <v>189</v>
      </c>
      <c r="B195" s="9" t="s">
        <v>770</v>
      </c>
    </row>
    <row r="196">
      <c r="A196" s="352" t="s">
        <v>308</v>
      </c>
      <c r="B196" s="9" t="s">
        <v>770</v>
      </c>
    </row>
    <row r="197">
      <c r="A197" s="352" t="s">
        <v>350</v>
      </c>
      <c r="B197" s="9" t="s">
        <v>770</v>
      </c>
    </row>
    <row r="198">
      <c r="A198" s="352" t="s">
        <v>296</v>
      </c>
      <c r="B198" s="9" t="s">
        <v>770</v>
      </c>
    </row>
    <row r="199">
      <c r="A199" s="352" t="s">
        <v>273</v>
      </c>
      <c r="B199" s="9" t="s">
        <v>770</v>
      </c>
    </row>
    <row r="200">
      <c r="A200" s="352" t="s">
        <v>264</v>
      </c>
      <c r="B200" s="9" t="s">
        <v>770</v>
      </c>
    </row>
    <row r="201">
      <c r="A201" s="352" t="s">
        <v>261</v>
      </c>
      <c r="B201" s="9" t="s">
        <v>770</v>
      </c>
    </row>
    <row r="202">
      <c r="A202" s="353" t="s">
        <v>229</v>
      </c>
      <c r="B202" s="9" t="s">
        <v>770</v>
      </c>
    </row>
    <row r="203">
      <c r="A203" s="352" t="s">
        <v>84</v>
      </c>
      <c r="B203" s="9" t="s">
        <v>770</v>
      </c>
    </row>
    <row r="204">
      <c r="A204" s="352" t="s">
        <v>100</v>
      </c>
      <c r="B204" s="9" t="s">
        <v>770</v>
      </c>
    </row>
    <row r="205">
      <c r="A205" s="352" t="s">
        <v>186</v>
      </c>
      <c r="B205" s="9" t="s">
        <v>770</v>
      </c>
    </row>
    <row r="206">
      <c r="A206" s="352" t="s">
        <v>393</v>
      </c>
      <c r="B206" s="9" t="s">
        <v>770</v>
      </c>
    </row>
    <row r="207">
      <c r="A207" s="352" t="s">
        <v>208</v>
      </c>
      <c r="B207" s="9" t="s">
        <v>770</v>
      </c>
    </row>
    <row r="208">
      <c r="A208" s="352" t="s">
        <v>161</v>
      </c>
      <c r="B208" s="9" t="s">
        <v>770</v>
      </c>
    </row>
    <row r="209">
      <c r="A209" s="352" t="s">
        <v>250</v>
      </c>
      <c r="B209" s="9" t="s">
        <v>770</v>
      </c>
    </row>
    <row r="210">
      <c r="A210" s="352" t="s">
        <v>95</v>
      </c>
      <c r="B210" s="9" t="s">
        <v>770</v>
      </c>
    </row>
    <row r="211">
      <c r="A211" s="352" t="s">
        <v>150</v>
      </c>
      <c r="B211" s="9" t="s">
        <v>770</v>
      </c>
    </row>
    <row r="212">
      <c r="A212" s="352" t="s">
        <v>404</v>
      </c>
      <c r="B212" s="9" t="s">
        <v>770</v>
      </c>
    </row>
    <row r="213">
      <c r="A213" s="352" t="s">
        <v>333</v>
      </c>
      <c r="B213" s="9" t="s">
        <v>770</v>
      </c>
    </row>
    <row r="214">
      <c r="A214" s="352" t="s">
        <v>243</v>
      </c>
      <c r="B214" s="9" t="s">
        <v>770</v>
      </c>
    </row>
    <row r="215">
      <c r="A215" s="31" t="s">
        <v>402</v>
      </c>
      <c r="B215" s="9" t="s">
        <v>770</v>
      </c>
    </row>
    <row r="216">
      <c r="A216" s="352" t="s">
        <v>267</v>
      </c>
      <c r="B216" s="9" t="s">
        <v>770</v>
      </c>
    </row>
    <row r="217">
      <c r="A217" s="352" t="s">
        <v>385</v>
      </c>
      <c r="B217" s="9" t="s">
        <v>770</v>
      </c>
    </row>
    <row r="218">
      <c r="A218" s="352" t="s">
        <v>192</v>
      </c>
      <c r="B218" s="9" t="s">
        <v>770</v>
      </c>
    </row>
    <row r="219">
      <c r="A219" s="352" t="s">
        <v>299</v>
      </c>
      <c r="B219" s="9" t="s">
        <v>770</v>
      </c>
    </row>
    <row r="220">
      <c r="A220" s="352" t="s">
        <v>179</v>
      </c>
      <c r="B220" s="9" t="s">
        <v>770</v>
      </c>
    </row>
    <row r="221">
      <c r="A221" s="352" t="s">
        <v>320</v>
      </c>
      <c r="B221" s="9" t="s">
        <v>770</v>
      </c>
    </row>
    <row r="222">
      <c r="A222" s="352" t="s">
        <v>281</v>
      </c>
      <c r="B222" s="9" t="s">
        <v>770</v>
      </c>
    </row>
    <row r="223">
      <c r="A223" s="352" t="s">
        <v>134</v>
      </c>
      <c r="B223" s="9" t="s">
        <v>770</v>
      </c>
    </row>
    <row r="224">
      <c r="A224" s="352" t="s">
        <v>277</v>
      </c>
      <c r="B224" s="9" t="s">
        <v>770</v>
      </c>
    </row>
    <row r="225">
      <c r="A225" s="352" t="s">
        <v>342</v>
      </c>
      <c r="B225" s="9" t="s">
        <v>770</v>
      </c>
    </row>
    <row r="226">
      <c r="A226" s="353" t="s">
        <v>242</v>
      </c>
      <c r="B226" s="9" t="s">
        <v>770</v>
      </c>
    </row>
    <row r="227">
      <c r="A227" s="352" t="s">
        <v>258</v>
      </c>
      <c r="B227" s="9" t="s">
        <v>770</v>
      </c>
    </row>
    <row r="228">
      <c r="A228" s="352" t="s">
        <v>92</v>
      </c>
      <c r="B228" s="9" t="s">
        <v>770</v>
      </c>
    </row>
    <row r="229">
      <c r="A229" s="352" t="s">
        <v>631</v>
      </c>
      <c r="B229" s="9" t="s">
        <v>770</v>
      </c>
    </row>
    <row r="230">
      <c r="A230" s="352" t="s">
        <v>245</v>
      </c>
      <c r="B230" s="9" t="s">
        <v>770</v>
      </c>
    </row>
    <row r="231">
      <c r="A231" s="352" t="s">
        <v>228</v>
      </c>
      <c r="B231" s="9" t="s">
        <v>770</v>
      </c>
    </row>
    <row r="232">
      <c r="A232" s="352" t="s">
        <v>390</v>
      </c>
      <c r="B232" s="9" t="s">
        <v>770</v>
      </c>
    </row>
    <row r="233">
      <c r="A233" s="352" t="s">
        <v>227</v>
      </c>
      <c r="B233" s="9" t="s">
        <v>770</v>
      </c>
    </row>
    <row r="234">
      <c r="A234" s="352" t="s">
        <v>246</v>
      </c>
      <c r="B234" s="9" t="s">
        <v>770</v>
      </c>
    </row>
    <row r="235">
      <c r="A235" s="352" t="s">
        <v>362</v>
      </c>
      <c r="B235" s="9" t="s">
        <v>770</v>
      </c>
    </row>
    <row r="236">
      <c r="A236" s="352" t="s">
        <v>173</v>
      </c>
      <c r="B236" s="9" t="s">
        <v>770</v>
      </c>
    </row>
    <row r="237">
      <c r="A237" s="352" t="s">
        <v>340</v>
      </c>
      <c r="B237" s="9" t="s">
        <v>770</v>
      </c>
    </row>
    <row r="238">
      <c r="A238" s="352" t="s">
        <v>257</v>
      </c>
      <c r="B238" s="9" t="s">
        <v>770</v>
      </c>
    </row>
    <row r="239">
      <c r="A239" s="1" t="s">
        <v>174</v>
      </c>
      <c r="B239" s="9" t="s">
        <v>770</v>
      </c>
    </row>
    <row r="240">
      <c r="A240" s="1" t="s">
        <v>260</v>
      </c>
      <c r="B240" s="9" t="s">
        <v>770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</cols>
  <sheetData>
    <row r="1">
      <c r="A1" s="339" t="s">
        <v>957</v>
      </c>
      <c r="B1" s="9" t="s">
        <v>650</v>
      </c>
      <c r="C1" s="9" t="s">
        <v>30</v>
      </c>
      <c r="D1" s="9" t="s">
        <v>8398</v>
      </c>
      <c r="E1" s="9" t="s">
        <v>8399</v>
      </c>
      <c r="F1" s="339" t="s">
        <v>754</v>
      </c>
      <c r="G1" s="339" t="s">
        <v>755</v>
      </c>
      <c r="H1" s="339" t="s">
        <v>8400</v>
      </c>
      <c r="I1" s="354" t="s">
        <v>8401</v>
      </c>
      <c r="J1" s="354" t="s">
        <v>8402</v>
      </c>
      <c r="K1" s="354" t="s">
        <v>8403</v>
      </c>
      <c r="L1" s="354" t="s">
        <v>8404</v>
      </c>
      <c r="M1" s="354" t="s">
        <v>8405</v>
      </c>
      <c r="N1" s="339" t="s">
        <v>756</v>
      </c>
    </row>
    <row r="2">
      <c r="A2" s="124" t="s">
        <v>334</v>
      </c>
      <c r="B2" s="9">
        <v>1.0</v>
      </c>
      <c r="C2" s="31" t="str">
        <f>VLOOKUP(A2, 'College List'!A:B, 2, FALSE)</f>
        <v>Prismari</v>
      </c>
      <c r="D2" s="355">
        <f>VLOOKUP(B2,Quotas!$A$8:$C$14,2,FALSE)</f>
        <v>46136.70833</v>
      </c>
      <c r="E2" s="356">
        <f>VLOOKUP(B2,Quotas!$A$8:$C$14,3,FALSE)</f>
        <v>46143.70833</v>
      </c>
      <c r="F2" s="79">
        <f>COUNTIFS(Matches!$B:$B,A2,Matches!$A:$A,CONCAT("&gt;",$D2),Matches!$A:$A,CONCAT("&lt;",$E2))</f>
        <v>0</v>
      </c>
      <c r="G2" s="79">
        <f>COUNTIFS(Matches!$C:$C,$A2,Matches!$A:$A,CONCAT("&gt;",$D2),Matches!$A:$A,CONCAT("&lt;",$E2))</f>
        <v>3</v>
      </c>
      <c r="H2" s="79">
        <f t="shared" ref="H2:H1191" si="1">F2+G2</f>
        <v>3</v>
      </c>
      <c r="I2" s="79">
        <f>COUNTIFS(Matches!$B:$B,$A2,Matches!$A:$A,CONCAT("&lt;",$E2))</f>
        <v>0</v>
      </c>
      <c r="J2" s="79">
        <f>COUNTIFS(Matches!$C:$C,$A2,Matches!$A:$A,CONCAT("&lt;",$E2))</f>
        <v>3</v>
      </c>
      <c r="K2" s="79">
        <f>COUNTIFS(Entropy!D:D,A2,Entropy!I:I,CONCAT("&lt;",E2-1))</f>
        <v>0</v>
      </c>
      <c r="L2" s="79">
        <f t="shared" ref="L2:L1191" si="2">I2+J2+K2</f>
        <v>3</v>
      </c>
      <c r="M2" s="79">
        <f t="array" ref="M2">max(min(IF(J2+K2=11,0,XLOOKUP(B2,Quotas!$A$8:$A$14,Quotas!$E$8:$E$14)-$L2),2),0)</f>
        <v>2</v>
      </c>
      <c r="N2" s="31">
        <f t="shared" ref="N2:N1191" si="3">IF(H2=0,0,M2*0.5)</f>
        <v>1</v>
      </c>
    </row>
    <row r="3">
      <c r="A3" s="31" t="s">
        <v>96</v>
      </c>
      <c r="B3" s="9">
        <v>1.0</v>
      </c>
      <c r="C3" s="31" t="str">
        <f>VLOOKUP(A3, 'College List'!A:B, 2, FALSE)</f>
        <v>Silverquill</v>
      </c>
      <c r="D3" s="355">
        <f>VLOOKUP(B3,Quotas!$A$8:$C$14,2,FALSE)</f>
        <v>46136.70833</v>
      </c>
      <c r="E3" s="356">
        <f>VLOOKUP(B3,Quotas!$A$8:$C$14,3,FALSE)</f>
        <v>46143.70833</v>
      </c>
      <c r="F3" s="79">
        <f>COUNTIFS(Matches!$B:$B,A3,Matches!$A:$A,CONCAT("&gt;",$D3),Matches!$A:$A,CONCAT("&lt;",$E3))</f>
        <v>3</v>
      </c>
      <c r="G3" s="79">
        <f>COUNTIFS(Matches!$C:$C,$A3,Matches!$A:$A,CONCAT("&gt;",$D3),Matches!$A:$A,CONCAT("&lt;",$E3))</f>
        <v>2</v>
      </c>
      <c r="H3" s="79">
        <f t="shared" si="1"/>
        <v>5</v>
      </c>
      <c r="I3" s="79">
        <f>COUNTIFS(Matches!$B:$B,$A3,Matches!$A:$A,CONCAT("&lt;",$E3))</f>
        <v>3</v>
      </c>
      <c r="J3" s="79">
        <f>COUNTIFS(Matches!$C:$C,$A3,Matches!$A:$A,CONCAT("&lt;",$E3))</f>
        <v>2</v>
      </c>
      <c r="K3" s="79">
        <f>COUNTIFS(Entropy!D:D,A3,Entropy!I:I,CONCAT("&lt;",E3-1))</f>
        <v>0</v>
      </c>
      <c r="L3" s="79">
        <f t="shared" si="2"/>
        <v>5</v>
      </c>
      <c r="M3" s="79">
        <f t="array" ref="M3">max(min(IF(J3+K3=11,0,XLOOKUP(B3,Quotas!$A$8:$A$14,Quotas!$E$8:$E$14)-$L3),2),0)</f>
        <v>0</v>
      </c>
      <c r="N3" s="31">
        <f t="shared" si="3"/>
        <v>0</v>
      </c>
    </row>
    <row r="4">
      <c r="A4" s="31" t="s">
        <v>409</v>
      </c>
      <c r="B4" s="9">
        <v>1.0</v>
      </c>
      <c r="C4" s="31" t="str">
        <f>VLOOKUP(A4, 'College List'!A:B, 2, FALSE)</f>
        <v>Witherbloom</v>
      </c>
      <c r="D4" s="355">
        <f>VLOOKUP(B4,Quotas!$A$8:$C$14,2,FALSE)</f>
        <v>46136.70833</v>
      </c>
      <c r="E4" s="356">
        <f>VLOOKUP(B4,Quotas!$A$8:$C$14,3,FALSE)</f>
        <v>46143.70833</v>
      </c>
      <c r="F4" s="79">
        <f>COUNTIFS(Matches!$B:$B,A4,Matches!$A:$A,CONCAT("&gt;",$D4),Matches!$A:$A,CONCAT("&lt;",$E4))</f>
        <v>2</v>
      </c>
      <c r="G4" s="79">
        <f>COUNTIFS(Matches!$C:$C,$A4,Matches!$A:$A,CONCAT("&gt;",$D4),Matches!$A:$A,CONCAT("&lt;",$E4))</f>
        <v>2</v>
      </c>
      <c r="H4" s="79">
        <f t="shared" si="1"/>
        <v>4</v>
      </c>
      <c r="I4" s="79">
        <f>COUNTIFS(Matches!$B:$B,$A4,Matches!$A:$A,CONCAT("&lt;",$E4))</f>
        <v>2</v>
      </c>
      <c r="J4" s="79">
        <f>COUNTIFS(Matches!$C:$C,$A4,Matches!$A:$A,CONCAT("&lt;",$E4))</f>
        <v>2</v>
      </c>
      <c r="K4" s="79">
        <f>COUNTIFS(Entropy!D:D,A4,Entropy!I:I,CONCAT("&lt;",E4-1))</f>
        <v>0</v>
      </c>
      <c r="L4" s="79">
        <f t="shared" si="2"/>
        <v>4</v>
      </c>
      <c r="M4" s="79">
        <f t="array" ref="M4">max(min(IF(J4+K4=11,0,XLOOKUP(B4,Quotas!$A$8:$A$14,Quotas!$E$8:$E$14)-$L4),2),0)</f>
        <v>1</v>
      </c>
      <c r="N4" s="31">
        <f t="shared" si="3"/>
        <v>0.5</v>
      </c>
    </row>
    <row r="5">
      <c r="A5" s="31" t="s">
        <v>77</v>
      </c>
      <c r="B5" s="9">
        <v>1.0</v>
      </c>
      <c r="C5" s="31" t="str">
        <f>VLOOKUP(A5, 'College List'!A:B, 2, FALSE)</f>
        <v>Quandrix</v>
      </c>
      <c r="D5" s="355">
        <f>VLOOKUP(B5,Quotas!$A$8:$C$14,2,FALSE)</f>
        <v>46136.70833</v>
      </c>
      <c r="E5" s="356">
        <f>VLOOKUP(B5,Quotas!$A$8:$C$14,3,FALSE)</f>
        <v>46143.70833</v>
      </c>
      <c r="F5" s="79">
        <f>COUNTIFS(Matches!$B:$B,A5,Matches!$A:$A,CONCAT("&gt;",$D5),Matches!$A:$A,CONCAT("&lt;",$E5))</f>
        <v>3</v>
      </c>
      <c r="G5" s="79">
        <f>COUNTIFS(Matches!$C:$C,$A5,Matches!$A:$A,CONCAT("&gt;",$D5),Matches!$A:$A,CONCAT("&lt;",$E5))</f>
        <v>2</v>
      </c>
      <c r="H5" s="79">
        <f t="shared" si="1"/>
        <v>5</v>
      </c>
      <c r="I5" s="79">
        <f>COUNTIFS(Matches!$B:$B,$A5,Matches!$A:$A,CONCAT("&lt;",$E5))</f>
        <v>3</v>
      </c>
      <c r="J5" s="79">
        <f>COUNTIFS(Matches!$C:$C,$A5,Matches!$A:$A,CONCAT("&lt;",$E5))</f>
        <v>2</v>
      </c>
      <c r="K5" s="79">
        <f>COUNTIFS(Entropy!D:D,A5,Entropy!I:I,CONCAT("&lt;",E5-1))</f>
        <v>0</v>
      </c>
      <c r="L5" s="79">
        <f t="shared" si="2"/>
        <v>5</v>
      </c>
      <c r="M5" s="79">
        <f t="array" ref="M5">max(min(IF(J5+K5=11,0,XLOOKUP(B5,Quotas!$A$8:$A$14,Quotas!$E$8:$E$14)-$L5),2),0)</f>
        <v>0</v>
      </c>
      <c r="N5" s="31">
        <f t="shared" si="3"/>
        <v>0</v>
      </c>
    </row>
    <row r="6">
      <c r="A6" s="31" t="s">
        <v>238</v>
      </c>
      <c r="B6" s="9">
        <v>1.0</v>
      </c>
      <c r="C6" s="31" t="str">
        <f>VLOOKUP(A6, 'College List'!A:B, 2, FALSE)</f>
        <v>Silverquill</v>
      </c>
      <c r="D6" s="355">
        <f>VLOOKUP(B6,Quotas!$A$8:$C$14,2,FALSE)</f>
        <v>46136.70833</v>
      </c>
      <c r="E6" s="356">
        <f>VLOOKUP(B6,Quotas!$A$8:$C$14,3,FALSE)</f>
        <v>46143.70833</v>
      </c>
      <c r="F6" s="79">
        <f>COUNTIFS(Matches!$B:$B,A6,Matches!$A:$A,CONCAT("&gt;",$D6),Matches!$A:$A,CONCAT("&lt;",$E6))</f>
        <v>4</v>
      </c>
      <c r="G6" s="79">
        <f>COUNTIFS(Matches!$C:$C,$A6,Matches!$A:$A,CONCAT("&gt;",$D6),Matches!$A:$A,CONCAT("&lt;",$E6))</f>
        <v>1</v>
      </c>
      <c r="H6" s="79">
        <f t="shared" si="1"/>
        <v>5</v>
      </c>
      <c r="I6" s="79">
        <f>COUNTIFS(Matches!$B:$B,$A6,Matches!$A:$A,CONCAT("&lt;",$E6))</f>
        <v>4</v>
      </c>
      <c r="J6" s="79">
        <f>COUNTIFS(Matches!$C:$C,$A6,Matches!$A:$A,CONCAT("&lt;",$E6))</f>
        <v>1</v>
      </c>
      <c r="K6" s="79">
        <f>COUNTIFS(Entropy!D:D,A6,Entropy!I:I,CONCAT("&lt;",E6-1))</f>
        <v>0</v>
      </c>
      <c r="L6" s="79">
        <f t="shared" si="2"/>
        <v>5</v>
      </c>
      <c r="M6" s="79">
        <f t="array" ref="M6">max(min(IF(J6+K6=11,0,XLOOKUP(B6,Quotas!$A$8:$A$14,Quotas!$E$8:$E$14)-$L6),2),0)</f>
        <v>0</v>
      </c>
      <c r="N6" s="31">
        <f t="shared" si="3"/>
        <v>0</v>
      </c>
    </row>
    <row r="7">
      <c r="A7" s="31" t="s">
        <v>252</v>
      </c>
      <c r="B7" s="9">
        <v>1.0</v>
      </c>
      <c r="C7" s="31" t="str">
        <f>VLOOKUP(A7, 'College List'!A:B, 2, FALSE)</f>
        <v>Quandrix</v>
      </c>
      <c r="D7" s="355">
        <f>VLOOKUP(B7,Quotas!$A$8:$C$14,2,FALSE)</f>
        <v>46136.70833</v>
      </c>
      <c r="E7" s="356">
        <f>VLOOKUP(B7,Quotas!$A$8:$C$14,3,FALSE)</f>
        <v>46143.70833</v>
      </c>
      <c r="F7" s="79">
        <f>COUNTIFS(Matches!$B:$B,A7,Matches!$A:$A,CONCAT("&gt;",$D7),Matches!$A:$A,CONCAT("&lt;",$E7))</f>
        <v>2</v>
      </c>
      <c r="G7" s="79">
        <f>COUNTIFS(Matches!$C:$C,$A7,Matches!$A:$A,CONCAT("&gt;",$D7),Matches!$A:$A,CONCAT("&lt;",$E7))</f>
        <v>3</v>
      </c>
      <c r="H7" s="79">
        <f t="shared" si="1"/>
        <v>5</v>
      </c>
      <c r="I7" s="79">
        <f>COUNTIFS(Matches!$B:$B,$A7,Matches!$A:$A,CONCAT("&lt;",$E7))</f>
        <v>2</v>
      </c>
      <c r="J7" s="79">
        <f>COUNTIFS(Matches!$C:$C,$A7,Matches!$A:$A,CONCAT("&lt;",$E7))</f>
        <v>3</v>
      </c>
      <c r="K7" s="79">
        <f>COUNTIFS(Entropy!D:D,A7,Entropy!I:I,CONCAT("&lt;",E7-1))</f>
        <v>0</v>
      </c>
      <c r="L7" s="79">
        <f t="shared" si="2"/>
        <v>5</v>
      </c>
      <c r="M7" s="79">
        <f t="array" ref="M7">max(min(IF(J7+K7=11,0,XLOOKUP(B7,Quotas!$A$8:$A$14,Quotas!$E$8:$E$14)-$L7),2),0)</f>
        <v>0</v>
      </c>
      <c r="N7" s="31">
        <f t="shared" si="3"/>
        <v>0</v>
      </c>
    </row>
    <row r="8">
      <c r="A8" s="31" t="s">
        <v>284</v>
      </c>
      <c r="B8" s="9">
        <v>1.0</v>
      </c>
      <c r="C8" s="31" t="str">
        <f>VLOOKUP(A8, 'College List'!A:B, 2, FALSE)</f>
        <v>Lorehold</v>
      </c>
      <c r="D8" s="355">
        <f>VLOOKUP(B8,Quotas!$A$8:$C$14,2,FALSE)</f>
        <v>46136.70833</v>
      </c>
      <c r="E8" s="356">
        <f>VLOOKUP(B8,Quotas!$A$8:$C$14,3,FALSE)</f>
        <v>46143.70833</v>
      </c>
      <c r="F8" s="79">
        <f>COUNTIFS(Matches!$B:$B,A8,Matches!$A:$A,CONCAT("&gt;",$D8),Matches!$A:$A,CONCAT("&lt;",$E8))</f>
        <v>4</v>
      </c>
      <c r="G8" s="79">
        <f>COUNTIFS(Matches!$C:$C,$A8,Matches!$A:$A,CONCAT("&gt;",$D8),Matches!$A:$A,CONCAT("&lt;",$E8))</f>
        <v>1</v>
      </c>
      <c r="H8" s="79">
        <f t="shared" si="1"/>
        <v>5</v>
      </c>
      <c r="I8" s="79">
        <f>COUNTIFS(Matches!$B:$B,$A8,Matches!$A:$A,CONCAT("&lt;",$E8))</f>
        <v>4</v>
      </c>
      <c r="J8" s="79">
        <f>COUNTIFS(Matches!$C:$C,$A8,Matches!$A:$A,CONCAT("&lt;",$E8))</f>
        <v>1</v>
      </c>
      <c r="K8" s="79">
        <f>COUNTIFS(Entropy!D:D,A8,Entropy!I:I,CONCAT("&lt;",E8-1))</f>
        <v>0</v>
      </c>
      <c r="L8" s="79">
        <f t="shared" si="2"/>
        <v>5</v>
      </c>
      <c r="M8" s="79">
        <f t="array" ref="M8">max(min(IF(J8+K8=11,0,XLOOKUP(B8,Quotas!$A$8:$A$14,Quotas!$E$8:$E$14)-$L8),2),0)</f>
        <v>0</v>
      </c>
      <c r="N8" s="31">
        <f t="shared" si="3"/>
        <v>0</v>
      </c>
    </row>
    <row r="9">
      <c r="A9" s="31" t="s">
        <v>189</v>
      </c>
      <c r="B9" s="9">
        <v>1.0</v>
      </c>
      <c r="C9" s="31" t="str">
        <f>VLOOKUP(A9, 'College List'!A:B, 2, FALSE)</f>
        <v>Witherbloom</v>
      </c>
      <c r="D9" s="355">
        <f>VLOOKUP(B9,Quotas!$A$8:$C$14,2,FALSE)</f>
        <v>46136.70833</v>
      </c>
      <c r="E9" s="356">
        <f>VLOOKUP(B9,Quotas!$A$8:$C$14,3,FALSE)</f>
        <v>46143.70833</v>
      </c>
      <c r="F9" s="79">
        <f>COUNTIFS(Matches!$B:$B,A9,Matches!$A:$A,CONCAT("&gt;",$D9),Matches!$A:$A,CONCAT("&lt;",$E9))</f>
        <v>5</v>
      </c>
      <c r="G9" s="79">
        <f>COUNTIFS(Matches!$C:$C,$A9,Matches!$A:$A,CONCAT("&gt;",$D9),Matches!$A:$A,CONCAT("&lt;",$E9))</f>
        <v>0</v>
      </c>
      <c r="H9" s="79">
        <f t="shared" si="1"/>
        <v>5</v>
      </c>
      <c r="I9" s="79">
        <f>COUNTIFS(Matches!$B:$B,$A9,Matches!$A:$A,CONCAT("&lt;",$E9))</f>
        <v>5</v>
      </c>
      <c r="J9" s="79">
        <f>COUNTIFS(Matches!$C:$C,$A9,Matches!$A:$A,CONCAT("&lt;",$E9))</f>
        <v>0</v>
      </c>
      <c r="K9" s="79">
        <f>COUNTIFS(Entropy!D:D,A9,Entropy!I:I,CONCAT("&lt;",E9-1))</f>
        <v>0</v>
      </c>
      <c r="L9" s="79">
        <f t="shared" si="2"/>
        <v>5</v>
      </c>
      <c r="M9" s="79">
        <f t="array" ref="M9">max(min(IF(J9+K9=11,0,XLOOKUP(B9,Quotas!$A$8:$A$14,Quotas!$E$8:$E$14)-$L9),2),0)</f>
        <v>0</v>
      </c>
      <c r="N9" s="31">
        <f t="shared" si="3"/>
        <v>0</v>
      </c>
    </row>
    <row r="10">
      <c r="A10" s="31" t="s">
        <v>66</v>
      </c>
      <c r="B10" s="9">
        <v>1.0</v>
      </c>
      <c r="C10" s="31" t="str">
        <f>VLOOKUP(A10, 'College List'!A:B, 2, FALSE)</f>
        <v>Prismari</v>
      </c>
      <c r="D10" s="355">
        <f>VLOOKUP(B10,Quotas!$A$8:$C$14,2,FALSE)</f>
        <v>46136.70833</v>
      </c>
      <c r="E10" s="356">
        <f>VLOOKUP(B10,Quotas!$A$8:$C$14,3,FALSE)</f>
        <v>46143.70833</v>
      </c>
      <c r="F10" s="79">
        <f>COUNTIFS(Matches!$B:$B,A10,Matches!$A:$A,CONCAT("&gt;",$D10),Matches!$A:$A,CONCAT("&lt;",$E10))</f>
        <v>1</v>
      </c>
      <c r="G10" s="79">
        <f>COUNTIFS(Matches!$C:$C,$A10,Matches!$A:$A,CONCAT("&gt;",$D10),Matches!$A:$A,CONCAT("&lt;",$E10))</f>
        <v>4</v>
      </c>
      <c r="H10" s="79">
        <f t="shared" si="1"/>
        <v>5</v>
      </c>
      <c r="I10" s="79">
        <f>COUNTIFS(Matches!$B:$B,$A10,Matches!$A:$A,CONCAT("&lt;",$E10))</f>
        <v>1</v>
      </c>
      <c r="J10" s="79">
        <f>COUNTIFS(Matches!$C:$C,$A10,Matches!$A:$A,CONCAT("&lt;",$E10))</f>
        <v>4</v>
      </c>
      <c r="K10" s="79">
        <f>COUNTIFS(Entropy!D:D,A10,Entropy!I:I,CONCAT("&lt;",E10-1))</f>
        <v>0</v>
      </c>
      <c r="L10" s="79">
        <f t="shared" si="2"/>
        <v>5</v>
      </c>
      <c r="M10" s="79">
        <f t="array" ref="M10">max(min(IF(J10+K10=11,0,XLOOKUP(B10,Quotas!$A$8:$A$14,Quotas!$E$8:$E$14)-$L10),2),0)</f>
        <v>0</v>
      </c>
      <c r="N10" s="31">
        <f t="shared" si="3"/>
        <v>0</v>
      </c>
    </row>
    <row r="11">
      <c r="A11" s="31" t="s">
        <v>350</v>
      </c>
      <c r="B11" s="9">
        <v>1.0</v>
      </c>
      <c r="C11" s="31" t="str">
        <f>VLOOKUP(A11, 'College List'!A:B, 2, FALSE)</f>
        <v>Witherbloom</v>
      </c>
      <c r="D11" s="355">
        <f>VLOOKUP(B11,Quotas!$A$8:$C$14,2,FALSE)</f>
        <v>46136.70833</v>
      </c>
      <c r="E11" s="356">
        <f>VLOOKUP(B11,Quotas!$A$8:$C$14,3,FALSE)</f>
        <v>46143.70833</v>
      </c>
      <c r="F11" s="79">
        <f>COUNTIFS(Matches!$B:$B,A11,Matches!$A:$A,CONCAT("&gt;",$D11),Matches!$A:$A,CONCAT("&lt;",$E11))</f>
        <v>4</v>
      </c>
      <c r="G11" s="79">
        <f>COUNTIFS(Matches!$C:$C,$A11,Matches!$A:$A,CONCAT("&gt;",$D11),Matches!$A:$A,CONCAT("&lt;",$E11))</f>
        <v>1</v>
      </c>
      <c r="H11" s="79">
        <f t="shared" si="1"/>
        <v>5</v>
      </c>
      <c r="I11" s="79">
        <f>COUNTIFS(Matches!$B:$B,$A11,Matches!$A:$A,CONCAT("&lt;",$E11))</f>
        <v>4</v>
      </c>
      <c r="J11" s="79">
        <f>COUNTIFS(Matches!$C:$C,$A11,Matches!$A:$A,CONCAT("&lt;",$E11))</f>
        <v>1</v>
      </c>
      <c r="K11" s="79">
        <f>COUNTIFS(Entropy!D:D,A11,Entropy!I:I,CONCAT("&lt;",E11-1))</f>
        <v>0</v>
      </c>
      <c r="L11" s="79">
        <f t="shared" si="2"/>
        <v>5</v>
      </c>
      <c r="M11" s="79">
        <f t="array" ref="M11">max(min(IF(J11+K11=11,0,XLOOKUP(B11,Quotas!$A$8:$A$14,Quotas!$E$8:$E$14)-$L11),2),0)</f>
        <v>0</v>
      </c>
      <c r="N11" s="31">
        <f t="shared" si="3"/>
        <v>0</v>
      </c>
    </row>
    <row r="12">
      <c r="A12" s="31" t="s">
        <v>308</v>
      </c>
      <c r="B12" s="9">
        <v>1.0</v>
      </c>
      <c r="C12" s="31" t="str">
        <f>VLOOKUP(A12, 'College List'!A:B, 2, FALSE)</f>
        <v>Witherbloom</v>
      </c>
      <c r="D12" s="355">
        <f>VLOOKUP(B12,Quotas!$A$8:$C$14,2,FALSE)</f>
        <v>46136.70833</v>
      </c>
      <c r="E12" s="356">
        <f>VLOOKUP(B12,Quotas!$A$8:$C$14,3,FALSE)</f>
        <v>46143.70833</v>
      </c>
      <c r="F12" s="79">
        <f>COUNTIFS(Matches!$B:$B,A12,Matches!$A:$A,CONCAT("&gt;",$D12),Matches!$A:$A,CONCAT("&lt;",$E12))</f>
        <v>2</v>
      </c>
      <c r="G12" s="79">
        <f>COUNTIFS(Matches!$C:$C,$A12,Matches!$A:$A,CONCAT("&gt;",$D12),Matches!$A:$A,CONCAT("&lt;",$E12))</f>
        <v>2</v>
      </c>
      <c r="H12" s="79">
        <f t="shared" si="1"/>
        <v>4</v>
      </c>
      <c r="I12" s="79">
        <f>COUNTIFS(Matches!$B:$B,$A12,Matches!$A:$A,CONCAT("&lt;",$E12))</f>
        <v>2</v>
      </c>
      <c r="J12" s="79">
        <f>COUNTIFS(Matches!$C:$C,$A12,Matches!$A:$A,CONCAT("&lt;",$E12))</f>
        <v>2</v>
      </c>
      <c r="K12" s="79">
        <f>COUNTIFS(Entropy!D:D,A12,Entropy!I:I,CONCAT("&lt;",E12-1))</f>
        <v>0</v>
      </c>
      <c r="L12" s="79">
        <f t="shared" si="2"/>
        <v>4</v>
      </c>
      <c r="M12" s="79">
        <f t="array" ref="M12">max(min(IF(J12+K12=11,0,XLOOKUP(B12,Quotas!$A$8:$A$14,Quotas!$E$8:$E$14)-$L12),2),0)</f>
        <v>1</v>
      </c>
      <c r="N12" s="31">
        <f t="shared" si="3"/>
        <v>0.5</v>
      </c>
    </row>
    <row r="13">
      <c r="A13" s="31" t="s">
        <v>344</v>
      </c>
      <c r="B13" s="9">
        <v>1.0</v>
      </c>
      <c r="C13" s="31" t="str">
        <f>VLOOKUP(A13, 'College List'!A:B, 2, FALSE)</f>
        <v>Prismari</v>
      </c>
      <c r="D13" s="355">
        <f>VLOOKUP(B13,Quotas!$A$8:$C$14,2,FALSE)</f>
        <v>46136.70833</v>
      </c>
      <c r="E13" s="356">
        <f>VLOOKUP(B13,Quotas!$A$8:$C$14,3,FALSE)</f>
        <v>46143.70833</v>
      </c>
      <c r="F13" s="79">
        <f>COUNTIFS(Matches!$B:$B,A13,Matches!$A:$A,CONCAT("&gt;",$D13),Matches!$A:$A,CONCAT("&lt;",$E13))</f>
        <v>2</v>
      </c>
      <c r="G13" s="79">
        <f>COUNTIFS(Matches!$C:$C,$A13,Matches!$A:$A,CONCAT("&gt;",$D13),Matches!$A:$A,CONCAT("&lt;",$E13))</f>
        <v>3</v>
      </c>
      <c r="H13" s="79">
        <f t="shared" si="1"/>
        <v>5</v>
      </c>
      <c r="I13" s="79">
        <f>COUNTIFS(Matches!$B:$B,$A13,Matches!$A:$A,CONCAT("&lt;",$E13))</f>
        <v>2</v>
      </c>
      <c r="J13" s="79">
        <f>COUNTIFS(Matches!$C:$C,$A13,Matches!$A:$A,CONCAT("&lt;",$E13))</f>
        <v>3</v>
      </c>
      <c r="K13" s="79">
        <f>COUNTIFS(Entropy!D:D,A13,Entropy!I:I,CONCAT("&lt;",E13-1))</f>
        <v>0</v>
      </c>
      <c r="L13" s="79">
        <f t="shared" si="2"/>
        <v>5</v>
      </c>
      <c r="M13" s="79">
        <f t="array" ref="M13">max(min(IF(J13+K13=11,0,XLOOKUP(B13,Quotas!$A$8:$A$14,Quotas!$E$8:$E$14)-$L13),2),0)</f>
        <v>0</v>
      </c>
      <c r="N13" s="31">
        <f t="shared" si="3"/>
        <v>0</v>
      </c>
    </row>
    <row r="14">
      <c r="A14" s="31" t="s">
        <v>371</v>
      </c>
      <c r="B14" s="9">
        <v>1.0</v>
      </c>
      <c r="C14" s="31" t="str">
        <f>VLOOKUP(A14, 'College List'!A:B, 2, FALSE)</f>
        <v>Quandrix</v>
      </c>
      <c r="D14" s="355">
        <f>VLOOKUP(B14,Quotas!$A$8:$C$14,2,FALSE)</f>
        <v>46136.70833</v>
      </c>
      <c r="E14" s="356">
        <f>VLOOKUP(B14,Quotas!$A$8:$C$14,3,FALSE)</f>
        <v>46143.70833</v>
      </c>
      <c r="F14" s="79">
        <f>COUNTIFS(Matches!$B:$B,A14,Matches!$A:$A,CONCAT("&gt;",$D14),Matches!$A:$A,CONCAT("&lt;",$E14))</f>
        <v>3</v>
      </c>
      <c r="G14" s="79">
        <f>COUNTIFS(Matches!$C:$C,$A14,Matches!$A:$A,CONCAT("&gt;",$D14),Matches!$A:$A,CONCAT("&lt;",$E14))</f>
        <v>2</v>
      </c>
      <c r="H14" s="79">
        <f t="shared" si="1"/>
        <v>5</v>
      </c>
      <c r="I14" s="79">
        <f>COUNTIFS(Matches!$B:$B,$A14,Matches!$A:$A,CONCAT("&lt;",$E14))</f>
        <v>3</v>
      </c>
      <c r="J14" s="79">
        <f>COUNTIFS(Matches!$C:$C,$A14,Matches!$A:$A,CONCAT("&lt;",$E14))</f>
        <v>2</v>
      </c>
      <c r="K14" s="79">
        <f>COUNTIFS(Entropy!D:D,A14,Entropy!I:I,CONCAT("&lt;",E14-1))</f>
        <v>0</v>
      </c>
      <c r="L14" s="79">
        <f t="shared" si="2"/>
        <v>5</v>
      </c>
      <c r="M14" s="79">
        <f t="array" ref="M14">max(min(IF(J14+K14=11,0,XLOOKUP(B14,Quotas!$A$8:$A$14,Quotas!$E$8:$E$14)-$L14),2),0)</f>
        <v>0</v>
      </c>
      <c r="N14" s="31">
        <f t="shared" si="3"/>
        <v>0</v>
      </c>
    </row>
    <row r="15">
      <c r="A15" s="31" t="s">
        <v>296</v>
      </c>
      <c r="B15" s="9">
        <v>1.0</v>
      </c>
      <c r="C15" s="31" t="str">
        <f>VLOOKUP(A15, 'College List'!A:B, 2, FALSE)</f>
        <v>Witherbloom</v>
      </c>
      <c r="D15" s="355">
        <f>VLOOKUP(B15,Quotas!$A$8:$C$14,2,FALSE)</f>
        <v>46136.70833</v>
      </c>
      <c r="E15" s="356">
        <f>VLOOKUP(B15,Quotas!$A$8:$C$14,3,FALSE)</f>
        <v>46143.70833</v>
      </c>
      <c r="F15" s="79">
        <f>COUNTIFS(Matches!$B:$B,A15,Matches!$A:$A,CONCAT("&gt;",$D15),Matches!$A:$A,CONCAT("&lt;",$E15))</f>
        <v>4</v>
      </c>
      <c r="G15" s="79">
        <f>COUNTIFS(Matches!$C:$C,$A15,Matches!$A:$A,CONCAT("&gt;",$D15),Matches!$A:$A,CONCAT("&lt;",$E15))</f>
        <v>1</v>
      </c>
      <c r="H15" s="79">
        <f t="shared" si="1"/>
        <v>5</v>
      </c>
      <c r="I15" s="79">
        <f>COUNTIFS(Matches!$B:$B,$A15,Matches!$A:$A,CONCAT("&lt;",$E15))</f>
        <v>4</v>
      </c>
      <c r="J15" s="79">
        <f>COUNTIFS(Matches!$C:$C,$A15,Matches!$A:$A,CONCAT("&lt;",$E15))</f>
        <v>1</v>
      </c>
      <c r="K15" s="79">
        <f>COUNTIFS(Entropy!D:D,A15,Entropy!I:I,CONCAT("&lt;",E15-1))</f>
        <v>0</v>
      </c>
      <c r="L15" s="79">
        <f t="shared" si="2"/>
        <v>5</v>
      </c>
      <c r="M15" s="79">
        <f t="array" ref="M15">max(min(IF(J15+K15=11,0,XLOOKUP(B15,Quotas!$A$8:$A$14,Quotas!$E$8:$E$14)-$L15),2),0)</f>
        <v>0</v>
      </c>
      <c r="N15" s="31">
        <f t="shared" si="3"/>
        <v>0</v>
      </c>
    </row>
    <row r="16">
      <c r="A16" s="31" t="s">
        <v>61</v>
      </c>
      <c r="B16" s="9">
        <v>1.0</v>
      </c>
      <c r="C16" s="31" t="str">
        <f>VLOOKUP(A16, 'College List'!A:B, 2, FALSE)</f>
        <v>Lorehold</v>
      </c>
      <c r="D16" s="355">
        <f>VLOOKUP(B16,Quotas!$A$8:$C$14,2,FALSE)</f>
        <v>46136.70833</v>
      </c>
      <c r="E16" s="356">
        <f>VLOOKUP(B16,Quotas!$A$8:$C$14,3,FALSE)</f>
        <v>46143.70833</v>
      </c>
      <c r="F16" s="79">
        <f>COUNTIFS(Matches!$B:$B,A16,Matches!$A:$A,CONCAT("&gt;",$D16),Matches!$A:$A,CONCAT("&lt;",$E16))</f>
        <v>1</v>
      </c>
      <c r="G16" s="79">
        <f>COUNTIFS(Matches!$C:$C,$A16,Matches!$A:$A,CONCAT("&gt;",$D16),Matches!$A:$A,CONCAT("&lt;",$E16))</f>
        <v>4</v>
      </c>
      <c r="H16" s="79">
        <f t="shared" si="1"/>
        <v>5</v>
      </c>
      <c r="I16" s="79">
        <f>COUNTIFS(Matches!$B:$B,$A16,Matches!$A:$A,CONCAT("&lt;",$E16))</f>
        <v>1</v>
      </c>
      <c r="J16" s="79">
        <f>COUNTIFS(Matches!$C:$C,$A16,Matches!$A:$A,CONCAT("&lt;",$E16))</f>
        <v>4</v>
      </c>
      <c r="K16" s="79">
        <f>COUNTIFS(Entropy!D:D,A16,Entropy!I:I,CONCAT("&lt;",E16-1))</f>
        <v>0</v>
      </c>
      <c r="L16" s="79">
        <f t="shared" si="2"/>
        <v>5</v>
      </c>
      <c r="M16" s="79">
        <f t="array" ref="M16">max(min(IF(J16+K16=11,0,XLOOKUP(B16,Quotas!$A$8:$A$14,Quotas!$E$8:$E$14)-$L16),2),0)</f>
        <v>0</v>
      </c>
      <c r="N16" s="31">
        <f t="shared" si="3"/>
        <v>0</v>
      </c>
    </row>
    <row r="17">
      <c r="A17" s="31" t="s">
        <v>63</v>
      </c>
      <c r="B17" s="9">
        <v>1.0</v>
      </c>
      <c r="C17" s="31" t="str">
        <f>VLOOKUP(A17, 'College List'!A:B, 2, FALSE)</f>
        <v>Quandrix</v>
      </c>
      <c r="D17" s="355">
        <f>VLOOKUP(B17,Quotas!$A$8:$C$14,2,FALSE)</f>
        <v>46136.70833</v>
      </c>
      <c r="E17" s="356">
        <f>VLOOKUP(B17,Quotas!$A$8:$C$14,3,FALSE)</f>
        <v>46143.70833</v>
      </c>
      <c r="F17" s="79">
        <f>COUNTIFS(Matches!$B:$B,A17,Matches!$A:$A,CONCAT("&gt;",$D17),Matches!$A:$A,CONCAT("&lt;",$E17))</f>
        <v>3</v>
      </c>
      <c r="G17" s="79">
        <f>COUNTIFS(Matches!$C:$C,$A17,Matches!$A:$A,CONCAT("&gt;",$D17),Matches!$A:$A,CONCAT("&lt;",$E17))</f>
        <v>2</v>
      </c>
      <c r="H17" s="79">
        <f t="shared" si="1"/>
        <v>5</v>
      </c>
      <c r="I17" s="79">
        <f>COUNTIFS(Matches!$B:$B,$A17,Matches!$A:$A,CONCAT("&lt;",$E17))</f>
        <v>3</v>
      </c>
      <c r="J17" s="79">
        <f>COUNTIFS(Matches!$C:$C,$A17,Matches!$A:$A,CONCAT("&lt;",$E17))</f>
        <v>2</v>
      </c>
      <c r="K17" s="79">
        <f>COUNTIFS(Entropy!D:D,A17,Entropy!I:I,CONCAT("&lt;",E17-1))</f>
        <v>0</v>
      </c>
      <c r="L17" s="79">
        <f t="shared" si="2"/>
        <v>5</v>
      </c>
      <c r="M17" s="79">
        <f t="array" ref="M17">max(min(IF(J17+K17=11,0,XLOOKUP(B17,Quotas!$A$8:$A$14,Quotas!$E$8:$E$14)-$L17),2),0)</f>
        <v>0</v>
      </c>
      <c r="N17" s="31">
        <f t="shared" si="3"/>
        <v>0</v>
      </c>
    </row>
    <row r="18">
      <c r="A18" s="31" t="s">
        <v>271</v>
      </c>
      <c r="B18" s="9">
        <v>1.0</v>
      </c>
      <c r="C18" s="31" t="str">
        <f>VLOOKUP(A18, 'College List'!A:B, 2, FALSE)</f>
        <v>Lorehold</v>
      </c>
      <c r="D18" s="355">
        <f>VLOOKUP(B18,Quotas!$A$8:$C$14,2,FALSE)</f>
        <v>46136.70833</v>
      </c>
      <c r="E18" s="356">
        <f>VLOOKUP(B18,Quotas!$A$8:$C$14,3,FALSE)</f>
        <v>46143.70833</v>
      </c>
      <c r="F18" s="79">
        <f>COUNTIFS(Matches!$B:$B,A18,Matches!$A:$A,CONCAT("&gt;",$D18),Matches!$A:$A,CONCAT("&lt;",$E18))</f>
        <v>4</v>
      </c>
      <c r="G18" s="79">
        <f>COUNTIFS(Matches!$C:$C,$A18,Matches!$A:$A,CONCAT("&gt;",$D18),Matches!$A:$A,CONCAT("&lt;",$E18))</f>
        <v>1</v>
      </c>
      <c r="H18" s="79">
        <f t="shared" si="1"/>
        <v>5</v>
      </c>
      <c r="I18" s="79">
        <f>COUNTIFS(Matches!$B:$B,$A18,Matches!$A:$A,CONCAT("&lt;",$E18))</f>
        <v>4</v>
      </c>
      <c r="J18" s="79">
        <f>COUNTIFS(Matches!$C:$C,$A18,Matches!$A:$A,CONCAT("&lt;",$E18))</f>
        <v>1</v>
      </c>
      <c r="K18" s="79">
        <f>COUNTIFS(Entropy!D:D,A18,Entropy!I:I,CONCAT("&lt;",E18-1))</f>
        <v>0</v>
      </c>
      <c r="L18" s="79">
        <f t="shared" si="2"/>
        <v>5</v>
      </c>
      <c r="M18" s="79">
        <f t="array" ref="M18">max(min(IF(J18+K18=11,0,XLOOKUP(B18,Quotas!$A$8:$A$14,Quotas!$E$8:$E$14)-$L18),2),0)</f>
        <v>0</v>
      </c>
      <c r="N18" s="31">
        <f t="shared" si="3"/>
        <v>0</v>
      </c>
    </row>
    <row r="19">
      <c r="A19" s="31" t="s">
        <v>369</v>
      </c>
      <c r="B19" s="9">
        <v>1.0</v>
      </c>
      <c r="C19" s="31" t="str">
        <f>VLOOKUP(A19, 'College List'!A:B, 2, FALSE)</f>
        <v>Silverquill</v>
      </c>
      <c r="D19" s="355">
        <f>VLOOKUP(B19,Quotas!$A$8:$C$14,2,FALSE)</f>
        <v>46136.70833</v>
      </c>
      <c r="E19" s="356">
        <f>VLOOKUP(B19,Quotas!$A$8:$C$14,3,FALSE)</f>
        <v>46143.70833</v>
      </c>
      <c r="F19" s="79">
        <f>COUNTIFS(Matches!$B:$B,A19,Matches!$A:$A,CONCAT("&gt;",$D19),Matches!$A:$A,CONCAT("&lt;",$E19))</f>
        <v>1</v>
      </c>
      <c r="G19" s="79">
        <f>COUNTIFS(Matches!$C:$C,$A19,Matches!$A:$A,CONCAT("&gt;",$D19),Matches!$A:$A,CONCAT("&lt;",$E19))</f>
        <v>2</v>
      </c>
      <c r="H19" s="79">
        <f t="shared" si="1"/>
        <v>3</v>
      </c>
      <c r="I19" s="79">
        <f>COUNTIFS(Matches!$B:$B,$A19,Matches!$A:$A,CONCAT("&lt;",$E19))</f>
        <v>1</v>
      </c>
      <c r="J19" s="79">
        <f>COUNTIFS(Matches!$C:$C,$A19,Matches!$A:$A,CONCAT("&lt;",$E19))</f>
        <v>2</v>
      </c>
      <c r="K19" s="79">
        <f>COUNTIFS(Entropy!D:D,A19,Entropy!I:I,CONCAT("&lt;",E19-1))</f>
        <v>0</v>
      </c>
      <c r="L19" s="79">
        <f t="shared" si="2"/>
        <v>3</v>
      </c>
      <c r="M19" s="79">
        <f t="array" ref="M19">max(min(IF(J19+K19=11,0,XLOOKUP(B19,Quotas!$A$8:$A$14,Quotas!$E$8:$E$14)-$L19),2),0)</f>
        <v>2</v>
      </c>
      <c r="N19" s="31">
        <f t="shared" si="3"/>
        <v>1</v>
      </c>
    </row>
    <row r="20">
      <c r="A20" s="31" t="s">
        <v>401</v>
      </c>
      <c r="B20" s="9">
        <v>1.0</v>
      </c>
      <c r="C20" s="31" t="str">
        <f>VLOOKUP(A20, 'College List'!A:B, 2, FALSE)</f>
        <v>Quandrix</v>
      </c>
      <c r="D20" s="355">
        <f>VLOOKUP(B20,Quotas!$A$8:$C$14,2,FALSE)</f>
        <v>46136.70833</v>
      </c>
      <c r="E20" s="356">
        <f>VLOOKUP(B20,Quotas!$A$8:$C$14,3,FALSE)</f>
        <v>46143.70833</v>
      </c>
      <c r="F20" s="79">
        <f>COUNTIFS(Matches!$B:$B,A20,Matches!$A:$A,CONCAT("&gt;",$D20),Matches!$A:$A,CONCAT("&lt;",$E20))</f>
        <v>1</v>
      </c>
      <c r="G20" s="79">
        <f>COUNTIFS(Matches!$C:$C,$A20,Matches!$A:$A,CONCAT("&gt;",$D20),Matches!$A:$A,CONCAT("&lt;",$E20))</f>
        <v>3</v>
      </c>
      <c r="H20" s="79">
        <f t="shared" si="1"/>
        <v>4</v>
      </c>
      <c r="I20" s="79">
        <f>COUNTIFS(Matches!$B:$B,$A20,Matches!$A:$A,CONCAT("&lt;",$E20))</f>
        <v>1</v>
      </c>
      <c r="J20" s="79">
        <f>COUNTIFS(Matches!$C:$C,$A20,Matches!$A:$A,CONCAT("&lt;",$E20))</f>
        <v>3</v>
      </c>
      <c r="K20" s="79">
        <f>COUNTIFS(Entropy!D:D,A20,Entropy!I:I,CONCAT("&lt;",E20-1))</f>
        <v>0</v>
      </c>
      <c r="L20" s="79">
        <f t="shared" si="2"/>
        <v>4</v>
      </c>
      <c r="M20" s="79">
        <f t="array" ref="M20">max(min(IF(J20+K20=11,0,XLOOKUP(B20,Quotas!$A$8:$A$14,Quotas!$E$8:$E$14)-$L20),2),0)</f>
        <v>1</v>
      </c>
      <c r="N20" s="31">
        <f t="shared" si="3"/>
        <v>0.5</v>
      </c>
    </row>
    <row r="21">
      <c r="A21" s="31" t="s">
        <v>378</v>
      </c>
      <c r="B21" s="9">
        <v>1.0</v>
      </c>
      <c r="C21" s="31" t="str">
        <f>VLOOKUP(A21, 'College List'!A:B, 2, FALSE)</f>
        <v>Lorehold</v>
      </c>
      <c r="D21" s="355">
        <f>VLOOKUP(B21,Quotas!$A$8:$C$14,2,FALSE)</f>
        <v>46136.70833</v>
      </c>
      <c r="E21" s="356">
        <f>VLOOKUP(B21,Quotas!$A$8:$C$14,3,FALSE)</f>
        <v>46143.70833</v>
      </c>
      <c r="F21" s="79">
        <f>COUNTIFS(Matches!$B:$B,A21,Matches!$A:$A,CONCAT("&gt;",$D21),Matches!$A:$A,CONCAT("&lt;",$E21))</f>
        <v>2</v>
      </c>
      <c r="G21" s="79">
        <f>COUNTIFS(Matches!$C:$C,$A21,Matches!$A:$A,CONCAT("&gt;",$D21),Matches!$A:$A,CONCAT("&lt;",$E21))</f>
        <v>3</v>
      </c>
      <c r="H21" s="79">
        <f t="shared" si="1"/>
        <v>5</v>
      </c>
      <c r="I21" s="79">
        <f>COUNTIFS(Matches!$B:$B,$A21,Matches!$A:$A,CONCAT("&lt;",$E21))</f>
        <v>2</v>
      </c>
      <c r="J21" s="79">
        <f>COUNTIFS(Matches!$C:$C,$A21,Matches!$A:$A,CONCAT("&lt;",$E21))</f>
        <v>3</v>
      </c>
      <c r="K21" s="79">
        <f>COUNTIFS(Entropy!D:D,A21,Entropy!I:I,CONCAT("&lt;",E21-1))</f>
        <v>0</v>
      </c>
      <c r="L21" s="79">
        <f t="shared" si="2"/>
        <v>5</v>
      </c>
      <c r="M21" s="79">
        <f t="array" ref="M21">max(min(IF(J21+K21=11,0,XLOOKUP(B21,Quotas!$A$8:$A$14,Quotas!$E$8:$E$14)-$L21),2),0)</f>
        <v>0</v>
      </c>
      <c r="N21" s="31">
        <f t="shared" si="3"/>
        <v>0</v>
      </c>
    </row>
    <row r="22">
      <c r="A22" s="31" t="s">
        <v>372</v>
      </c>
      <c r="B22" s="9">
        <v>1.0</v>
      </c>
      <c r="C22" s="31" t="str">
        <f>VLOOKUP(A22, 'College List'!A:B, 2, FALSE)</f>
        <v>Silverquill</v>
      </c>
      <c r="D22" s="355">
        <f>VLOOKUP(B22,Quotas!$A$8:$C$14,2,FALSE)</f>
        <v>46136.70833</v>
      </c>
      <c r="E22" s="356">
        <f>VLOOKUP(B22,Quotas!$A$8:$C$14,3,FALSE)</f>
        <v>46143.70833</v>
      </c>
      <c r="F22" s="79">
        <f>COUNTIFS(Matches!$B:$B,A22,Matches!$A:$A,CONCAT("&gt;",$D22),Matches!$A:$A,CONCAT("&lt;",$E22))</f>
        <v>0</v>
      </c>
      <c r="G22" s="79">
        <f>COUNTIFS(Matches!$C:$C,$A22,Matches!$A:$A,CONCAT("&gt;",$D22),Matches!$A:$A,CONCAT("&lt;",$E22))</f>
        <v>4</v>
      </c>
      <c r="H22" s="79">
        <f t="shared" si="1"/>
        <v>4</v>
      </c>
      <c r="I22" s="79">
        <f>COUNTIFS(Matches!$B:$B,$A22,Matches!$A:$A,CONCAT("&lt;",$E22))</f>
        <v>0</v>
      </c>
      <c r="J22" s="79">
        <f>COUNTIFS(Matches!$C:$C,$A22,Matches!$A:$A,CONCAT("&lt;",$E22))</f>
        <v>4</v>
      </c>
      <c r="K22" s="79">
        <f>COUNTIFS(Entropy!D:D,A22,Entropy!I:I,CONCAT("&lt;",E22-1))</f>
        <v>0</v>
      </c>
      <c r="L22" s="79">
        <f t="shared" si="2"/>
        <v>4</v>
      </c>
      <c r="M22" s="79">
        <f t="array" ref="M22">max(min(IF(J22+K22=11,0,XLOOKUP(B22,Quotas!$A$8:$A$14,Quotas!$E$8:$E$14)-$L22),2),0)</f>
        <v>1</v>
      </c>
      <c r="N22" s="31">
        <f t="shared" si="3"/>
        <v>0.5</v>
      </c>
    </row>
    <row r="23">
      <c r="A23" s="31" t="s">
        <v>273</v>
      </c>
      <c r="B23" s="9">
        <v>1.0</v>
      </c>
      <c r="C23" s="31" t="str">
        <f>VLOOKUP(A23, 'College List'!A:B, 2, FALSE)</f>
        <v>Witherbloom</v>
      </c>
      <c r="D23" s="355">
        <f>VLOOKUP(B23,Quotas!$A$8:$C$14,2,FALSE)</f>
        <v>46136.70833</v>
      </c>
      <c r="E23" s="356">
        <f>VLOOKUP(B23,Quotas!$A$8:$C$14,3,FALSE)</f>
        <v>46143.70833</v>
      </c>
      <c r="F23" s="79">
        <f>COUNTIFS(Matches!$B:$B,A23,Matches!$A:$A,CONCAT("&gt;",$D23),Matches!$A:$A,CONCAT("&lt;",$E23))</f>
        <v>3</v>
      </c>
      <c r="G23" s="79">
        <f>COUNTIFS(Matches!$C:$C,$A23,Matches!$A:$A,CONCAT("&gt;",$D23),Matches!$A:$A,CONCAT("&lt;",$E23))</f>
        <v>2</v>
      </c>
      <c r="H23" s="79">
        <f t="shared" si="1"/>
        <v>5</v>
      </c>
      <c r="I23" s="79">
        <f>COUNTIFS(Matches!$B:$B,$A23,Matches!$A:$A,CONCAT("&lt;",$E23))</f>
        <v>3</v>
      </c>
      <c r="J23" s="79">
        <f>COUNTIFS(Matches!$C:$C,$A23,Matches!$A:$A,CONCAT("&lt;",$E23))</f>
        <v>2</v>
      </c>
      <c r="K23" s="79">
        <f>COUNTIFS(Entropy!D:D,A23,Entropy!I:I,CONCAT("&lt;",E23-1))</f>
        <v>0</v>
      </c>
      <c r="L23" s="79">
        <f t="shared" si="2"/>
        <v>5</v>
      </c>
      <c r="M23" s="79">
        <f t="array" ref="M23">max(min(IF(J23+K23=11,0,XLOOKUP(B23,Quotas!$A$8:$A$14,Quotas!$E$8:$E$14)-$L23),2),0)</f>
        <v>0</v>
      </c>
      <c r="N23" s="31">
        <f t="shared" si="3"/>
        <v>0</v>
      </c>
    </row>
    <row r="24">
      <c r="A24" s="31" t="s">
        <v>264</v>
      </c>
      <c r="B24" s="9">
        <v>1.0</v>
      </c>
      <c r="C24" s="31" t="str">
        <f>VLOOKUP(A24, 'College List'!A:B, 2, FALSE)</f>
        <v>Witherbloom</v>
      </c>
      <c r="D24" s="355">
        <f>VLOOKUP(B24,Quotas!$A$8:$C$14,2,FALSE)</f>
        <v>46136.70833</v>
      </c>
      <c r="E24" s="356">
        <f>VLOOKUP(B24,Quotas!$A$8:$C$14,3,FALSE)</f>
        <v>46143.70833</v>
      </c>
      <c r="F24" s="79">
        <f>COUNTIFS(Matches!$B:$B,A24,Matches!$A:$A,CONCAT("&gt;",$D24),Matches!$A:$A,CONCAT("&lt;",$E24))</f>
        <v>3</v>
      </c>
      <c r="G24" s="79">
        <f>COUNTIFS(Matches!$C:$C,$A24,Matches!$A:$A,CONCAT("&gt;",$D24),Matches!$A:$A,CONCAT("&lt;",$E24))</f>
        <v>2</v>
      </c>
      <c r="H24" s="79">
        <f t="shared" si="1"/>
        <v>5</v>
      </c>
      <c r="I24" s="79">
        <f>COUNTIFS(Matches!$B:$B,$A24,Matches!$A:$A,CONCAT("&lt;",$E24))</f>
        <v>3</v>
      </c>
      <c r="J24" s="79">
        <f>COUNTIFS(Matches!$C:$C,$A24,Matches!$A:$A,CONCAT("&lt;",$E24))</f>
        <v>2</v>
      </c>
      <c r="K24" s="79">
        <f>COUNTIFS(Entropy!D:D,A24,Entropy!I:I,CONCAT("&lt;",E24-1))</f>
        <v>0</v>
      </c>
      <c r="L24" s="79">
        <f t="shared" si="2"/>
        <v>5</v>
      </c>
      <c r="M24" s="79">
        <f t="array" ref="M24">max(min(IF(J24+K24=11,0,XLOOKUP(B24,Quotas!$A$8:$A$14,Quotas!$E$8:$E$14)-$L24),2),0)</f>
        <v>0</v>
      </c>
      <c r="N24" s="31">
        <f t="shared" si="3"/>
        <v>0</v>
      </c>
    </row>
    <row r="25">
      <c r="A25" s="31" t="s">
        <v>297</v>
      </c>
      <c r="B25" s="9">
        <v>1.0</v>
      </c>
      <c r="C25" s="31" t="str">
        <f>VLOOKUP(A25, 'College List'!A:B, 2, FALSE)</f>
        <v>Quandrix</v>
      </c>
      <c r="D25" s="355">
        <f>VLOOKUP(B25,Quotas!$A$8:$C$14,2,FALSE)</f>
        <v>46136.70833</v>
      </c>
      <c r="E25" s="356">
        <f>VLOOKUP(B25,Quotas!$A$8:$C$14,3,FALSE)</f>
        <v>46143.70833</v>
      </c>
      <c r="F25" s="79">
        <f>COUNTIFS(Matches!$B:$B,A25,Matches!$A:$A,CONCAT("&gt;",$D25),Matches!$A:$A,CONCAT("&lt;",$E25))</f>
        <v>3</v>
      </c>
      <c r="G25" s="79">
        <f>COUNTIFS(Matches!$C:$C,$A25,Matches!$A:$A,CONCAT("&gt;",$D25),Matches!$A:$A,CONCAT("&lt;",$E25))</f>
        <v>2</v>
      </c>
      <c r="H25" s="79">
        <f t="shared" si="1"/>
        <v>5</v>
      </c>
      <c r="I25" s="79">
        <f>COUNTIFS(Matches!$B:$B,$A25,Matches!$A:$A,CONCAT("&lt;",$E25))</f>
        <v>3</v>
      </c>
      <c r="J25" s="79">
        <f>COUNTIFS(Matches!$C:$C,$A25,Matches!$A:$A,CONCAT("&lt;",$E25))</f>
        <v>2</v>
      </c>
      <c r="K25" s="79">
        <f>COUNTIFS(Entropy!D:D,A25,Entropy!I:I,CONCAT("&lt;",E25-1))</f>
        <v>0</v>
      </c>
      <c r="L25" s="79">
        <f t="shared" si="2"/>
        <v>5</v>
      </c>
      <c r="M25" s="79">
        <f t="array" ref="M25">max(min(IF(J25+K25=11,0,XLOOKUP(B25,Quotas!$A$8:$A$14,Quotas!$E$8:$E$14)-$L25),2),0)</f>
        <v>0</v>
      </c>
      <c r="N25" s="31">
        <f t="shared" si="3"/>
        <v>0</v>
      </c>
    </row>
    <row r="26">
      <c r="A26" s="31" t="s">
        <v>410</v>
      </c>
      <c r="B26" s="9">
        <v>1.0</v>
      </c>
      <c r="C26" s="31" t="str">
        <f>VLOOKUP(A26, 'College List'!A:B, 2, FALSE)</f>
        <v>Quandrix</v>
      </c>
      <c r="D26" s="355">
        <f>VLOOKUP(B26,Quotas!$A$8:$C$14,2,FALSE)</f>
        <v>46136.70833</v>
      </c>
      <c r="E26" s="356">
        <f>VLOOKUP(B26,Quotas!$A$8:$C$14,3,FALSE)</f>
        <v>46143.70833</v>
      </c>
      <c r="F26" s="79">
        <f>COUNTIFS(Matches!$B:$B,A26,Matches!$A:$A,CONCAT("&gt;",$D26),Matches!$A:$A,CONCAT("&lt;",$E26))</f>
        <v>1</v>
      </c>
      <c r="G26" s="79">
        <f>COUNTIFS(Matches!$C:$C,$A26,Matches!$A:$A,CONCAT("&gt;",$D26),Matches!$A:$A,CONCAT("&lt;",$E26))</f>
        <v>4</v>
      </c>
      <c r="H26" s="79">
        <f t="shared" si="1"/>
        <v>5</v>
      </c>
      <c r="I26" s="79">
        <f>COUNTIFS(Matches!$B:$B,$A26,Matches!$A:$A,CONCAT("&lt;",$E26))</f>
        <v>1</v>
      </c>
      <c r="J26" s="79">
        <f>COUNTIFS(Matches!$C:$C,$A26,Matches!$A:$A,CONCAT("&lt;",$E26))</f>
        <v>4</v>
      </c>
      <c r="K26" s="79">
        <f>COUNTIFS(Entropy!D:D,A26,Entropy!I:I,CONCAT("&lt;",E26-1))</f>
        <v>0</v>
      </c>
      <c r="L26" s="79">
        <f t="shared" si="2"/>
        <v>5</v>
      </c>
      <c r="M26" s="79">
        <f t="array" ref="M26">max(min(IF(J26+K26=11,0,XLOOKUP(B26,Quotas!$A$8:$A$14,Quotas!$E$8:$E$14)-$L26),2),0)</f>
        <v>0</v>
      </c>
      <c r="N26" s="31">
        <f t="shared" si="3"/>
        <v>0</v>
      </c>
    </row>
    <row r="27">
      <c r="A27" s="31" t="s">
        <v>261</v>
      </c>
      <c r="B27" s="9">
        <v>1.0</v>
      </c>
      <c r="C27" s="31" t="str">
        <f>VLOOKUP(A27, 'College List'!A:B, 2, FALSE)</f>
        <v>Witherbloom</v>
      </c>
      <c r="D27" s="355">
        <f>VLOOKUP(B27,Quotas!$A$8:$C$14,2,FALSE)</f>
        <v>46136.70833</v>
      </c>
      <c r="E27" s="356">
        <f>VLOOKUP(B27,Quotas!$A$8:$C$14,3,FALSE)</f>
        <v>46143.70833</v>
      </c>
      <c r="F27" s="79">
        <f>COUNTIFS(Matches!$B:$B,A27,Matches!$A:$A,CONCAT("&gt;",$D27),Matches!$A:$A,CONCAT("&lt;",$E27))</f>
        <v>1</v>
      </c>
      <c r="G27" s="79">
        <f>COUNTIFS(Matches!$C:$C,$A27,Matches!$A:$A,CONCAT("&gt;",$D27),Matches!$A:$A,CONCAT("&lt;",$E27))</f>
        <v>4</v>
      </c>
      <c r="H27" s="79">
        <f t="shared" si="1"/>
        <v>5</v>
      </c>
      <c r="I27" s="79">
        <f>COUNTIFS(Matches!$B:$B,$A27,Matches!$A:$A,CONCAT("&lt;",$E27))</f>
        <v>1</v>
      </c>
      <c r="J27" s="79">
        <f>COUNTIFS(Matches!$C:$C,$A27,Matches!$A:$A,CONCAT("&lt;",$E27))</f>
        <v>4</v>
      </c>
      <c r="K27" s="79">
        <f>COUNTIFS(Entropy!D:D,A27,Entropy!I:I,CONCAT("&lt;",E27-1))</f>
        <v>0</v>
      </c>
      <c r="L27" s="79">
        <f t="shared" si="2"/>
        <v>5</v>
      </c>
      <c r="M27" s="79">
        <f t="array" ref="M27">max(min(IF(J27+K27=11,0,XLOOKUP(B27,Quotas!$A$8:$A$14,Quotas!$E$8:$E$14)-$L27),2),0)</f>
        <v>0</v>
      </c>
      <c r="N27" s="31">
        <f t="shared" si="3"/>
        <v>0</v>
      </c>
    </row>
    <row r="28">
      <c r="A28" s="31" t="s">
        <v>291</v>
      </c>
      <c r="B28" s="9">
        <v>1.0</v>
      </c>
      <c r="C28" s="31" t="str">
        <f>VLOOKUP(A28, 'College List'!A:B, 2, FALSE)</f>
        <v>Silverquill</v>
      </c>
      <c r="D28" s="355">
        <f>VLOOKUP(B28,Quotas!$A$8:$C$14,2,FALSE)</f>
        <v>46136.70833</v>
      </c>
      <c r="E28" s="356">
        <f>VLOOKUP(B28,Quotas!$A$8:$C$14,3,FALSE)</f>
        <v>46143.70833</v>
      </c>
      <c r="F28" s="79">
        <f>COUNTIFS(Matches!$B:$B,A28,Matches!$A:$A,CONCAT("&gt;",$D28),Matches!$A:$A,CONCAT("&lt;",$E28))</f>
        <v>0</v>
      </c>
      <c r="G28" s="79">
        <f>COUNTIFS(Matches!$C:$C,$A28,Matches!$A:$A,CONCAT("&gt;",$D28),Matches!$A:$A,CONCAT("&lt;",$E28))</f>
        <v>5</v>
      </c>
      <c r="H28" s="79">
        <f t="shared" si="1"/>
        <v>5</v>
      </c>
      <c r="I28" s="79">
        <f>COUNTIFS(Matches!$B:$B,$A28,Matches!$A:$A,CONCAT("&lt;",$E28))</f>
        <v>0</v>
      </c>
      <c r="J28" s="79">
        <f>COUNTIFS(Matches!$C:$C,$A28,Matches!$A:$A,CONCAT("&lt;",$E28))</f>
        <v>5</v>
      </c>
      <c r="K28" s="79">
        <f>COUNTIFS(Entropy!D:D,A28,Entropy!I:I,CONCAT("&lt;",E28-1))</f>
        <v>0</v>
      </c>
      <c r="L28" s="79">
        <f t="shared" si="2"/>
        <v>5</v>
      </c>
      <c r="M28" s="79">
        <f t="array" ref="M28">max(min(IF(J28+K28=11,0,XLOOKUP(B28,Quotas!$A$8:$A$14,Quotas!$E$8:$E$14)-$L28),2),0)</f>
        <v>0</v>
      </c>
      <c r="N28" s="31">
        <f t="shared" si="3"/>
        <v>0</v>
      </c>
    </row>
    <row r="29">
      <c r="A29" s="31" t="s">
        <v>397</v>
      </c>
      <c r="B29" s="9">
        <v>1.0</v>
      </c>
      <c r="C29" s="31" t="str">
        <f>VLOOKUP(A29, 'College List'!A:B, 2, FALSE)</f>
        <v>Quandrix</v>
      </c>
      <c r="D29" s="355">
        <f>VLOOKUP(B29,Quotas!$A$8:$C$14,2,FALSE)</f>
        <v>46136.70833</v>
      </c>
      <c r="E29" s="356">
        <f>VLOOKUP(B29,Quotas!$A$8:$C$14,3,FALSE)</f>
        <v>46143.70833</v>
      </c>
      <c r="F29" s="79">
        <f>COUNTIFS(Matches!$B:$B,A29,Matches!$A:$A,CONCAT("&gt;",$D29),Matches!$A:$A,CONCAT("&lt;",$E29))</f>
        <v>3</v>
      </c>
      <c r="G29" s="79">
        <f>COUNTIFS(Matches!$C:$C,$A29,Matches!$A:$A,CONCAT("&gt;",$D29),Matches!$A:$A,CONCAT("&lt;",$E29))</f>
        <v>2</v>
      </c>
      <c r="H29" s="79">
        <f t="shared" si="1"/>
        <v>5</v>
      </c>
      <c r="I29" s="79">
        <f>COUNTIFS(Matches!$B:$B,$A29,Matches!$A:$A,CONCAT("&lt;",$E29))</f>
        <v>3</v>
      </c>
      <c r="J29" s="79">
        <f>COUNTIFS(Matches!$C:$C,$A29,Matches!$A:$A,CONCAT("&lt;",$E29))</f>
        <v>2</v>
      </c>
      <c r="K29" s="79">
        <f>COUNTIFS(Entropy!D:D,A29,Entropy!I:I,CONCAT("&lt;",E29-1))</f>
        <v>0</v>
      </c>
      <c r="L29" s="79">
        <f t="shared" si="2"/>
        <v>5</v>
      </c>
      <c r="M29" s="79">
        <f t="array" ref="M29">max(min(IF(J29+K29=11,0,XLOOKUP(B29,Quotas!$A$8:$A$14,Quotas!$E$8:$E$14)-$L29),2),0)</f>
        <v>0</v>
      </c>
      <c r="N29" s="31">
        <f t="shared" si="3"/>
        <v>0</v>
      </c>
    </row>
    <row r="30">
      <c r="A30" s="31" t="s">
        <v>239</v>
      </c>
      <c r="B30" s="9">
        <v>1.0</v>
      </c>
      <c r="C30" s="31" t="str">
        <f>VLOOKUP(A30, 'College List'!A:B, 2, FALSE)</f>
        <v>Quandrix</v>
      </c>
      <c r="D30" s="355">
        <f>VLOOKUP(B30,Quotas!$A$8:$C$14,2,FALSE)</f>
        <v>46136.70833</v>
      </c>
      <c r="E30" s="356">
        <f>VLOOKUP(B30,Quotas!$A$8:$C$14,3,FALSE)</f>
        <v>46143.70833</v>
      </c>
      <c r="F30" s="79">
        <f>COUNTIFS(Matches!$B:$B,A30,Matches!$A:$A,CONCAT("&gt;",$D30),Matches!$A:$A,CONCAT("&lt;",$E30))</f>
        <v>3</v>
      </c>
      <c r="G30" s="79">
        <f>COUNTIFS(Matches!$C:$C,$A30,Matches!$A:$A,CONCAT("&gt;",$D30),Matches!$A:$A,CONCAT("&lt;",$E30))</f>
        <v>2</v>
      </c>
      <c r="H30" s="79">
        <f t="shared" si="1"/>
        <v>5</v>
      </c>
      <c r="I30" s="79">
        <f>COUNTIFS(Matches!$B:$B,$A30,Matches!$A:$A,CONCAT("&lt;",$E30))</f>
        <v>3</v>
      </c>
      <c r="J30" s="79">
        <f>COUNTIFS(Matches!$C:$C,$A30,Matches!$A:$A,CONCAT("&lt;",$E30))</f>
        <v>2</v>
      </c>
      <c r="K30" s="79">
        <f>COUNTIFS(Entropy!D:D,A30,Entropy!I:I,CONCAT("&lt;",E30-1))</f>
        <v>0</v>
      </c>
      <c r="L30" s="79">
        <f t="shared" si="2"/>
        <v>5</v>
      </c>
      <c r="M30" s="79">
        <f t="array" ref="M30">max(min(IF(J30+K30=11,0,XLOOKUP(B30,Quotas!$A$8:$A$14,Quotas!$E$8:$E$14)-$L30),2),0)</f>
        <v>0</v>
      </c>
      <c r="N30" s="31">
        <f t="shared" si="3"/>
        <v>0</v>
      </c>
    </row>
    <row r="31">
      <c r="A31" s="31" t="s">
        <v>417</v>
      </c>
      <c r="B31" s="9">
        <v>1.0</v>
      </c>
      <c r="C31" s="31" t="str">
        <f>VLOOKUP(A31, 'College List'!A:B, 2, FALSE)</f>
        <v>Silverquill</v>
      </c>
      <c r="D31" s="355">
        <f>VLOOKUP(B31,Quotas!$A$8:$C$14,2,FALSE)</f>
        <v>46136.70833</v>
      </c>
      <c r="E31" s="356">
        <f>VLOOKUP(B31,Quotas!$A$8:$C$14,3,FALSE)</f>
        <v>46143.70833</v>
      </c>
      <c r="F31" s="79">
        <f>COUNTIFS(Matches!$B:$B,A31,Matches!$A:$A,CONCAT("&gt;",$D31),Matches!$A:$A,CONCAT("&lt;",$E31))</f>
        <v>3</v>
      </c>
      <c r="G31" s="79">
        <f>COUNTIFS(Matches!$C:$C,$A31,Matches!$A:$A,CONCAT("&gt;",$D31),Matches!$A:$A,CONCAT("&lt;",$E31))</f>
        <v>2</v>
      </c>
      <c r="H31" s="79">
        <f t="shared" si="1"/>
        <v>5</v>
      </c>
      <c r="I31" s="79">
        <f>COUNTIFS(Matches!$B:$B,$A31,Matches!$A:$A,CONCAT("&lt;",$E31))</f>
        <v>3</v>
      </c>
      <c r="J31" s="79">
        <f>COUNTIFS(Matches!$C:$C,$A31,Matches!$A:$A,CONCAT("&lt;",$E31))</f>
        <v>2</v>
      </c>
      <c r="K31" s="79">
        <f>COUNTIFS(Entropy!D:D,A31,Entropy!I:I,CONCAT("&lt;",E31-1))</f>
        <v>0</v>
      </c>
      <c r="L31" s="79">
        <f t="shared" si="2"/>
        <v>5</v>
      </c>
      <c r="M31" s="79">
        <f t="array" ref="M31">max(min(IF(J31+K31=11,0,XLOOKUP(B31,Quotas!$A$8:$A$14,Quotas!$E$8:$E$14)-$L31),2),0)</f>
        <v>0</v>
      </c>
      <c r="N31" s="31">
        <f t="shared" si="3"/>
        <v>0</v>
      </c>
    </row>
    <row r="32">
      <c r="A32" s="31" t="s">
        <v>165</v>
      </c>
      <c r="B32" s="9">
        <v>1.0</v>
      </c>
      <c r="C32" s="31" t="str">
        <f>VLOOKUP(A32, 'College List'!A:B, 2, FALSE)</f>
        <v>Lorehold</v>
      </c>
      <c r="D32" s="355">
        <f>VLOOKUP(B32,Quotas!$A$8:$C$14,2,FALSE)</f>
        <v>46136.70833</v>
      </c>
      <c r="E32" s="356">
        <f>VLOOKUP(B32,Quotas!$A$8:$C$14,3,FALSE)</f>
        <v>46143.70833</v>
      </c>
      <c r="F32" s="79">
        <f>COUNTIFS(Matches!$B:$B,A32,Matches!$A:$A,CONCAT("&gt;",$D32),Matches!$A:$A,CONCAT("&lt;",$E32))</f>
        <v>3</v>
      </c>
      <c r="G32" s="79">
        <f>COUNTIFS(Matches!$C:$C,$A32,Matches!$A:$A,CONCAT("&gt;",$D32),Matches!$A:$A,CONCAT("&lt;",$E32))</f>
        <v>2</v>
      </c>
      <c r="H32" s="79">
        <f t="shared" si="1"/>
        <v>5</v>
      </c>
      <c r="I32" s="79">
        <f>COUNTIFS(Matches!$B:$B,$A32,Matches!$A:$A,CONCAT("&lt;",$E32))</f>
        <v>3</v>
      </c>
      <c r="J32" s="79">
        <f>COUNTIFS(Matches!$C:$C,$A32,Matches!$A:$A,CONCAT("&lt;",$E32))</f>
        <v>2</v>
      </c>
      <c r="K32" s="79">
        <f>COUNTIFS(Entropy!D:D,A32,Entropy!I:I,CONCAT("&lt;",E32-1))</f>
        <v>0</v>
      </c>
      <c r="L32" s="79">
        <f t="shared" si="2"/>
        <v>5</v>
      </c>
      <c r="M32" s="79">
        <f t="array" ref="M32">max(min(IF(J32+K32=11,0,XLOOKUP(B32,Quotas!$A$8:$A$14,Quotas!$E$8:$E$14)-$L32),2),0)</f>
        <v>0</v>
      </c>
      <c r="N32" s="31">
        <f t="shared" si="3"/>
        <v>0</v>
      </c>
    </row>
    <row r="33">
      <c r="A33" s="31" t="s">
        <v>316</v>
      </c>
      <c r="B33" s="9">
        <v>1.0</v>
      </c>
      <c r="C33" s="31" t="str">
        <f>VLOOKUP(A33, 'College List'!A:B, 2, FALSE)</f>
        <v>Quandrix</v>
      </c>
      <c r="D33" s="355">
        <f>VLOOKUP(B33,Quotas!$A$8:$C$14,2,FALSE)</f>
        <v>46136.70833</v>
      </c>
      <c r="E33" s="356">
        <f>VLOOKUP(B33,Quotas!$A$8:$C$14,3,FALSE)</f>
        <v>46143.70833</v>
      </c>
      <c r="F33" s="79">
        <f>COUNTIFS(Matches!$B:$B,A33,Matches!$A:$A,CONCAT("&gt;",$D33),Matches!$A:$A,CONCAT("&lt;",$E33))</f>
        <v>2</v>
      </c>
      <c r="G33" s="79">
        <f>COUNTIFS(Matches!$C:$C,$A33,Matches!$A:$A,CONCAT("&gt;",$D33),Matches!$A:$A,CONCAT("&lt;",$E33))</f>
        <v>3</v>
      </c>
      <c r="H33" s="79">
        <f t="shared" si="1"/>
        <v>5</v>
      </c>
      <c r="I33" s="79">
        <f>COUNTIFS(Matches!$B:$B,$A33,Matches!$A:$A,CONCAT("&lt;",$E33))</f>
        <v>2</v>
      </c>
      <c r="J33" s="79">
        <f>COUNTIFS(Matches!$C:$C,$A33,Matches!$A:$A,CONCAT("&lt;",$E33))</f>
        <v>3</v>
      </c>
      <c r="K33" s="79">
        <f>COUNTIFS(Entropy!D:D,A33,Entropy!I:I,CONCAT("&lt;",E33-1))</f>
        <v>0</v>
      </c>
      <c r="L33" s="79">
        <f t="shared" si="2"/>
        <v>5</v>
      </c>
      <c r="M33" s="79">
        <f t="array" ref="M33">max(min(IF(J33+K33=11,0,XLOOKUP(B33,Quotas!$A$8:$A$14,Quotas!$E$8:$E$14)-$L33),2),0)</f>
        <v>0</v>
      </c>
      <c r="N33" s="31">
        <f t="shared" si="3"/>
        <v>0</v>
      </c>
    </row>
    <row r="34">
      <c r="A34" s="31" t="s">
        <v>219</v>
      </c>
      <c r="B34" s="9">
        <v>1.0</v>
      </c>
      <c r="C34" s="31" t="str">
        <f>VLOOKUP(A34, 'College List'!A:B, 2, FALSE)</f>
        <v>Prismari</v>
      </c>
      <c r="D34" s="355">
        <f>VLOOKUP(B34,Quotas!$A$8:$C$14,2,FALSE)</f>
        <v>46136.70833</v>
      </c>
      <c r="E34" s="356">
        <f>VLOOKUP(B34,Quotas!$A$8:$C$14,3,FALSE)</f>
        <v>46143.70833</v>
      </c>
      <c r="F34" s="79">
        <f>COUNTIFS(Matches!$B:$B,A34,Matches!$A:$A,CONCAT("&gt;",$D34),Matches!$A:$A,CONCAT("&lt;",$E34))</f>
        <v>4</v>
      </c>
      <c r="G34" s="79">
        <f>COUNTIFS(Matches!$C:$C,$A34,Matches!$A:$A,CONCAT("&gt;",$D34),Matches!$A:$A,CONCAT("&lt;",$E34))</f>
        <v>1</v>
      </c>
      <c r="H34" s="79">
        <f t="shared" si="1"/>
        <v>5</v>
      </c>
      <c r="I34" s="79">
        <f>COUNTIFS(Matches!$B:$B,$A34,Matches!$A:$A,CONCAT("&lt;",$E34))</f>
        <v>4</v>
      </c>
      <c r="J34" s="79">
        <f>COUNTIFS(Matches!$C:$C,$A34,Matches!$A:$A,CONCAT("&lt;",$E34))</f>
        <v>1</v>
      </c>
      <c r="K34" s="79">
        <f>COUNTIFS(Entropy!D:D,A34,Entropy!I:I,CONCAT("&lt;",E34-1))</f>
        <v>0</v>
      </c>
      <c r="L34" s="79">
        <f t="shared" si="2"/>
        <v>5</v>
      </c>
      <c r="M34" s="79">
        <f t="array" ref="M34">max(min(IF(J34+K34=11,0,XLOOKUP(B34,Quotas!$A$8:$A$14,Quotas!$E$8:$E$14)-$L34),2),0)</f>
        <v>0</v>
      </c>
      <c r="N34" s="31">
        <f t="shared" si="3"/>
        <v>0</v>
      </c>
    </row>
    <row r="35">
      <c r="A35" s="31" t="s">
        <v>191</v>
      </c>
      <c r="B35" s="9">
        <v>1.0</v>
      </c>
      <c r="C35" s="31" t="str">
        <f>VLOOKUP(A35, 'College List'!A:B, 2, FALSE)</f>
        <v>Silverquill</v>
      </c>
      <c r="D35" s="355">
        <f>VLOOKUP(B35,Quotas!$A$8:$C$14,2,FALSE)</f>
        <v>46136.70833</v>
      </c>
      <c r="E35" s="356">
        <f>VLOOKUP(B35,Quotas!$A$8:$C$14,3,FALSE)</f>
        <v>46143.70833</v>
      </c>
      <c r="F35" s="79">
        <f>COUNTIFS(Matches!$B:$B,A35,Matches!$A:$A,CONCAT("&gt;",$D35),Matches!$A:$A,CONCAT("&lt;",$E35))</f>
        <v>1</v>
      </c>
      <c r="G35" s="79">
        <f>COUNTIFS(Matches!$C:$C,$A35,Matches!$A:$A,CONCAT("&gt;",$D35),Matches!$A:$A,CONCAT("&lt;",$E35))</f>
        <v>4</v>
      </c>
      <c r="H35" s="79">
        <f t="shared" si="1"/>
        <v>5</v>
      </c>
      <c r="I35" s="79">
        <f>COUNTIFS(Matches!$B:$B,$A35,Matches!$A:$A,CONCAT("&lt;",$E35))</f>
        <v>1</v>
      </c>
      <c r="J35" s="79">
        <f>COUNTIFS(Matches!$C:$C,$A35,Matches!$A:$A,CONCAT("&lt;",$E35))</f>
        <v>4</v>
      </c>
      <c r="K35" s="79">
        <f>COUNTIFS(Entropy!D:D,A35,Entropy!I:I,CONCAT("&lt;",E35-1))</f>
        <v>0</v>
      </c>
      <c r="L35" s="79">
        <f t="shared" si="2"/>
        <v>5</v>
      </c>
      <c r="M35" s="79">
        <f t="array" ref="M35">max(min(IF(J35+K35=11,0,XLOOKUP(B35,Quotas!$A$8:$A$14,Quotas!$E$8:$E$14)-$L35),2),0)</f>
        <v>0</v>
      </c>
      <c r="N35" s="31">
        <f t="shared" si="3"/>
        <v>0</v>
      </c>
    </row>
    <row r="36">
      <c r="A36" s="31" t="s">
        <v>396</v>
      </c>
      <c r="B36" s="9">
        <v>1.0</v>
      </c>
      <c r="C36" s="31" t="str">
        <f>VLOOKUP(A36, 'College List'!A:B, 2, FALSE)</f>
        <v>Prismari</v>
      </c>
      <c r="D36" s="355">
        <f>VLOOKUP(B36,Quotas!$A$8:$C$14,2,FALSE)</f>
        <v>46136.70833</v>
      </c>
      <c r="E36" s="356">
        <f>VLOOKUP(B36,Quotas!$A$8:$C$14,3,FALSE)</f>
        <v>46143.70833</v>
      </c>
      <c r="F36" s="79">
        <f>COUNTIFS(Matches!$B:$B,A36,Matches!$A:$A,CONCAT("&gt;",$D36),Matches!$A:$A,CONCAT("&lt;",$E36))</f>
        <v>2</v>
      </c>
      <c r="G36" s="79">
        <f>COUNTIFS(Matches!$C:$C,$A36,Matches!$A:$A,CONCAT("&gt;",$D36),Matches!$A:$A,CONCAT("&lt;",$E36))</f>
        <v>2</v>
      </c>
      <c r="H36" s="79">
        <f t="shared" si="1"/>
        <v>4</v>
      </c>
      <c r="I36" s="79">
        <f>COUNTIFS(Matches!$B:$B,$A36,Matches!$A:$A,CONCAT("&lt;",$E36))</f>
        <v>2</v>
      </c>
      <c r="J36" s="79">
        <f>COUNTIFS(Matches!$C:$C,$A36,Matches!$A:$A,CONCAT("&lt;",$E36))</f>
        <v>2</v>
      </c>
      <c r="K36" s="79">
        <f>COUNTIFS(Entropy!D:D,A36,Entropy!I:I,CONCAT("&lt;",E36-1))</f>
        <v>0</v>
      </c>
      <c r="L36" s="79">
        <f t="shared" si="2"/>
        <v>4</v>
      </c>
      <c r="M36" s="79">
        <f t="array" ref="M36">max(min(IF(J36+K36=11,0,XLOOKUP(B36,Quotas!$A$8:$A$14,Quotas!$E$8:$E$14)-$L36),2),0)</f>
        <v>1</v>
      </c>
      <c r="N36" s="31">
        <f t="shared" si="3"/>
        <v>0.5</v>
      </c>
    </row>
    <row r="37">
      <c r="A37" s="31" t="s">
        <v>72</v>
      </c>
      <c r="B37" s="9">
        <v>1.0</v>
      </c>
      <c r="C37" s="31" t="str">
        <f>VLOOKUP(A37, 'College List'!A:B, 2, FALSE)</f>
        <v>Prismari</v>
      </c>
      <c r="D37" s="355">
        <f>VLOOKUP(B37,Quotas!$A$8:$C$14,2,FALSE)</f>
        <v>46136.70833</v>
      </c>
      <c r="E37" s="356">
        <f>VLOOKUP(B37,Quotas!$A$8:$C$14,3,FALSE)</f>
        <v>46143.70833</v>
      </c>
      <c r="F37" s="79">
        <f>COUNTIFS(Matches!$B:$B,A37,Matches!$A:$A,CONCAT("&gt;",$D37),Matches!$A:$A,CONCAT("&lt;",$E37))</f>
        <v>1</v>
      </c>
      <c r="G37" s="79">
        <f>COUNTIFS(Matches!$C:$C,$A37,Matches!$A:$A,CONCAT("&gt;",$D37),Matches!$A:$A,CONCAT("&lt;",$E37))</f>
        <v>4</v>
      </c>
      <c r="H37" s="79">
        <f t="shared" si="1"/>
        <v>5</v>
      </c>
      <c r="I37" s="79">
        <f>COUNTIFS(Matches!$B:$B,$A37,Matches!$A:$A,CONCAT("&lt;",$E37))</f>
        <v>1</v>
      </c>
      <c r="J37" s="79">
        <f>COUNTIFS(Matches!$C:$C,$A37,Matches!$A:$A,CONCAT("&lt;",$E37))</f>
        <v>4</v>
      </c>
      <c r="K37" s="79">
        <f>COUNTIFS(Entropy!D:D,A37,Entropy!I:I,CONCAT("&lt;",E37-1))</f>
        <v>0</v>
      </c>
      <c r="L37" s="79">
        <f t="shared" si="2"/>
        <v>5</v>
      </c>
      <c r="M37" s="79">
        <f t="array" ref="M37">max(min(IF(J37+K37=11,0,XLOOKUP(B37,Quotas!$A$8:$A$14,Quotas!$E$8:$E$14)-$L37),2),0)</f>
        <v>0</v>
      </c>
      <c r="N37" s="31">
        <f t="shared" si="3"/>
        <v>0</v>
      </c>
    </row>
    <row r="38">
      <c r="A38" s="31" t="s">
        <v>202</v>
      </c>
      <c r="B38" s="9">
        <v>1.0</v>
      </c>
      <c r="C38" s="31" t="str">
        <f>VLOOKUP(A38, 'College List'!A:B, 2, FALSE)</f>
        <v>Prismari</v>
      </c>
      <c r="D38" s="355">
        <f>VLOOKUP(B38,Quotas!$A$8:$C$14,2,FALSE)</f>
        <v>46136.70833</v>
      </c>
      <c r="E38" s="356">
        <f>VLOOKUP(B38,Quotas!$A$8:$C$14,3,FALSE)</f>
        <v>46143.70833</v>
      </c>
      <c r="F38" s="79">
        <f>COUNTIFS(Matches!$B:$B,A38,Matches!$A:$A,CONCAT("&gt;",$D38),Matches!$A:$A,CONCAT("&lt;",$E38))</f>
        <v>3</v>
      </c>
      <c r="G38" s="79">
        <f>COUNTIFS(Matches!$C:$C,$A38,Matches!$A:$A,CONCAT("&gt;",$D38),Matches!$A:$A,CONCAT("&lt;",$E38))</f>
        <v>2</v>
      </c>
      <c r="H38" s="79">
        <f t="shared" si="1"/>
        <v>5</v>
      </c>
      <c r="I38" s="79">
        <f>COUNTIFS(Matches!$B:$B,$A38,Matches!$A:$A,CONCAT("&lt;",$E38))</f>
        <v>3</v>
      </c>
      <c r="J38" s="79">
        <f>COUNTIFS(Matches!$C:$C,$A38,Matches!$A:$A,CONCAT("&lt;",$E38))</f>
        <v>2</v>
      </c>
      <c r="K38" s="79">
        <f>COUNTIFS(Entropy!D:D,A38,Entropy!I:I,CONCAT("&lt;",E38-1))</f>
        <v>0</v>
      </c>
      <c r="L38" s="79">
        <f t="shared" si="2"/>
        <v>5</v>
      </c>
      <c r="M38" s="79">
        <f t="array" ref="M38">max(min(IF(J38+K38=11,0,XLOOKUP(B38,Quotas!$A$8:$A$14,Quotas!$E$8:$E$14)-$L38),2),0)</f>
        <v>0</v>
      </c>
      <c r="N38" s="31">
        <f t="shared" si="3"/>
        <v>0</v>
      </c>
    </row>
    <row r="39">
      <c r="A39" s="31" t="s">
        <v>379</v>
      </c>
      <c r="B39" s="9">
        <v>1.0</v>
      </c>
      <c r="C39" s="31" t="str">
        <f>VLOOKUP(A39, 'College List'!A:B, 2, FALSE)</f>
        <v>Quandrix</v>
      </c>
      <c r="D39" s="355">
        <f>VLOOKUP(B39,Quotas!$A$8:$C$14,2,FALSE)</f>
        <v>46136.70833</v>
      </c>
      <c r="E39" s="356">
        <f>VLOOKUP(B39,Quotas!$A$8:$C$14,3,FALSE)</f>
        <v>46143.70833</v>
      </c>
      <c r="F39" s="79">
        <f>COUNTIFS(Matches!$B:$B,A39,Matches!$A:$A,CONCAT("&gt;",$D39),Matches!$A:$A,CONCAT("&lt;",$E39))</f>
        <v>1</v>
      </c>
      <c r="G39" s="79">
        <f>COUNTIFS(Matches!$C:$C,$A39,Matches!$A:$A,CONCAT("&gt;",$D39),Matches!$A:$A,CONCAT("&lt;",$E39))</f>
        <v>4</v>
      </c>
      <c r="H39" s="79">
        <f t="shared" si="1"/>
        <v>5</v>
      </c>
      <c r="I39" s="79">
        <f>COUNTIFS(Matches!$B:$B,$A39,Matches!$A:$A,CONCAT("&lt;",$E39))</f>
        <v>1</v>
      </c>
      <c r="J39" s="79">
        <f>COUNTIFS(Matches!$C:$C,$A39,Matches!$A:$A,CONCAT("&lt;",$E39))</f>
        <v>4</v>
      </c>
      <c r="K39" s="79">
        <f>COUNTIFS(Entropy!D:D,A39,Entropy!I:I,CONCAT("&lt;",E39-1))</f>
        <v>0</v>
      </c>
      <c r="L39" s="79">
        <f t="shared" si="2"/>
        <v>5</v>
      </c>
      <c r="M39" s="79">
        <f t="array" ref="M39">max(min(IF(J39+K39=11,0,XLOOKUP(B39,Quotas!$A$8:$A$14,Quotas!$E$8:$E$14)-$L39),2),0)</f>
        <v>0</v>
      </c>
      <c r="N39" s="31">
        <f t="shared" si="3"/>
        <v>0</v>
      </c>
    </row>
    <row r="40">
      <c r="A40" s="31" t="s">
        <v>204</v>
      </c>
      <c r="B40" s="9">
        <v>1.0</v>
      </c>
      <c r="C40" s="31" t="str">
        <f>VLOOKUP(A40, 'College List'!A:B, 2, FALSE)</f>
        <v>Quandrix</v>
      </c>
      <c r="D40" s="355">
        <f>VLOOKUP(B40,Quotas!$A$8:$C$14,2,FALSE)</f>
        <v>46136.70833</v>
      </c>
      <c r="E40" s="356">
        <f>VLOOKUP(B40,Quotas!$A$8:$C$14,3,FALSE)</f>
        <v>46143.70833</v>
      </c>
      <c r="F40" s="79">
        <f>COUNTIFS(Matches!$B:$B,A40,Matches!$A:$A,CONCAT("&gt;",$D40),Matches!$A:$A,CONCAT("&lt;",$E40))</f>
        <v>3</v>
      </c>
      <c r="G40" s="79">
        <f>COUNTIFS(Matches!$C:$C,$A40,Matches!$A:$A,CONCAT("&gt;",$D40),Matches!$A:$A,CONCAT("&lt;",$E40))</f>
        <v>2</v>
      </c>
      <c r="H40" s="79">
        <f t="shared" si="1"/>
        <v>5</v>
      </c>
      <c r="I40" s="79">
        <f>COUNTIFS(Matches!$B:$B,$A40,Matches!$A:$A,CONCAT("&lt;",$E40))</f>
        <v>3</v>
      </c>
      <c r="J40" s="79">
        <f>COUNTIFS(Matches!$C:$C,$A40,Matches!$A:$A,CONCAT("&lt;",$E40))</f>
        <v>2</v>
      </c>
      <c r="K40" s="79">
        <f>COUNTIFS(Entropy!D:D,A40,Entropy!I:I,CONCAT("&lt;",E40-1))</f>
        <v>0</v>
      </c>
      <c r="L40" s="79">
        <f t="shared" si="2"/>
        <v>5</v>
      </c>
      <c r="M40" s="79">
        <f t="array" ref="M40">max(min(IF(J40+K40=11,0,XLOOKUP(B40,Quotas!$A$8:$A$14,Quotas!$E$8:$E$14)-$L40),2),0)</f>
        <v>0</v>
      </c>
      <c r="N40" s="31">
        <f t="shared" si="3"/>
        <v>0</v>
      </c>
    </row>
    <row r="41">
      <c r="A41" s="31" t="s">
        <v>253</v>
      </c>
      <c r="B41" s="9">
        <v>1.0</v>
      </c>
      <c r="C41" s="31" t="str">
        <f>VLOOKUP(A41, 'College List'!A:B, 2, FALSE)</f>
        <v>Quandrix</v>
      </c>
      <c r="D41" s="355">
        <f>VLOOKUP(B41,Quotas!$A$8:$C$14,2,FALSE)</f>
        <v>46136.70833</v>
      </c>
      <c r="E41" s="356">
        <f>VLOOKUP(B41,Quotas!$A$8:$C$14,3,FALSE)</f>
        <v>46143.70833</v>
      </c>
      <c r="F41" s="79">
        <f>COUNTIFS(Matches!$B:$B,A41,Matches!$A:$A,CONCAT("&gt;",$D41),Matches!$A:$A,CONCAT("&lt;",$E41))</f>
        <v>3</v>
      </c>
      <c r="G41" s="79">
        <f>COUNTIFS(Matches!$C:$C,$A41,Matches!$A:$A,CONCAT("&gt;",$D41),Matches!$A:$A,CONCAT("&lt;",$E41))</f>
        <v>2</v>
      </c>
      <c r="H41" s="79">
        <f t="shared" si="1"/>
        <v>5</v>
      </c>
      <c r="I41" s="79">
        <f>COUNTIFS(Matches!$B:$B,$A41,Matches!$A:$A,CONCAT("&lt;",$E41))</f>
        <v>3</v>
      </c>
      <c r="J41" s="79">
        <f>COUNTIFS(Matches!$C:$C,$A41,Matches!$A:$A,CONCAT("&lt;",$E41))</f>
        <v>2</v>
      </c>
      <c r="K41" s="79">
        <f>COUNTIFS(Entropy!D:D,A41,Entropy!I:I,CONCAT("&lt;",E41-1))</f>
        <v>0</v>
      </c>
      <c r="L41" s="79">
        <f t="shared" si="2"/>
        <v>5</v>
      </c>
      <c r="M41" s="79">
        <f t="array" ref="M41">max(min(IF(J41+K41=11,0,XLOOKUP(B41,Quotas!$A$8:$A$14,Quotas!$E$8:$E$14)-$L41),2),0)</f>
        <v>0</v>
      </c>
      <c r="N41" s="31">
        <f t="shared" si="3"/>
        <v>0</v>
      </c>
    </row>
    <row r="42">
      <c r="A42" s="31" t="s">
        <v>306</v>
      </c>
      <c r="B42" s="9">
        <v>1.0</v>
      </c>
      <c r="C42" s="31" t="str">
        <f>VLOOKUP(A42, 'College List'!A:B, 2, FALSE)</f>
        <v>Silverquill</v>
      </c>
      <c r="D42" s="355">
        <f>VLOOKUP(B42,Quotas!$A$8:$C$14,2,FALSE)</f>
        <v>46136.70833</v>
      </c>
      <c r="E42" s="356">
        <f>VLOOKUP(B42,Quotas!$A$8:$C$14,3,FALSE)</f>
        <v>46143.70833</v>
      </c>
      <c r="F42" s="79">
        <f>COUNTIFS(Matches!$B:$B,A42,Matches!$A:$A,CONCAT("&gt;",$D42),Matches!$A:$A,CONCAT("&lt;",$E42))</f>
        <v>2</v>
      </c>
      <c r="G42" s="79">
        <f>COUNTIFS(Matches!$C:$C,$A42,Matches!$A:$A,CONCAT("&gt;",$D42),Matches!$A:$A,CONCAT("&lt;",$E42))</f>
        <v>3</v>
      </c>
      <c r="H42" s="79">
        <f t="shared" si="1"/>
        <v>5</v>
      </c>
      <c r="I42" s="79">
        <f>COUNTIFS(Matches!$B:$B,$A42,Matches!$A:$A,CONCAT("&lt;",$E42))</f>
        <v>2</v>
      </c>
      <c r="J42" s="79">
        <f>COUNTIFS(Matches!$C:$C,$A42,Matches!$A:$A,CONCAT("&lt;",$E42))</f>
        <v>3</v>
      </c>
      <c r="K42" s="79">
        <f>COUNTIFS(Entropy!D:D,A42,Entropy!I:I,CONCAT("&lt;",E42-1))</f>
        <v>0</v>
      </c>
      <c r="L42" s="79">
        <f t="shared" si="2"/>
        <v>5</v>
      </c>
      <c r="M42" s="79">
        <f t="array" ref="M42">max(min(IF(J42+K42=11,0,XLOOKUP(B42,Quotas!$A$8:$A$14,Quotas!$E$8:$E$14)-$L42),2),0)</f>
        <v>0</v>
      </c>
      <c r="N42" s="31">
        <f t="shared" si="3"/>
        <v>0</v>
      </c>
    </row>
    <row r="43">
      <c r="A43" s="9" t="s">
        <v>229</v>
      </c>
      <c r="B43" s="9">
        <v>1.0</v>
      </c>
      <c r="C43" s="31" t="str">
        <f>VLOOKUP(A43, 'College List'!A:B, 2, FALSE)</f>
        <v>Witherbloom</v>
      </c>
      <c r="D43" s="355">
        <f>VLOOKUP(B43,Quotas!$A$8:$C$14,2,FALSE)</f>
        <v>46136.70833</v>
      </c>
      <c r="E43" s="356">
        <f>VLOOKUP(B43,Quotas!$A$8:$C$14,3,FALSE)</f>
        <v>46143.70833</v>
      </c>
      <c r="F43" s="79">
        <f>COUNTIFS(Matches!$B:$B,A43,Matches!$A:$A,CONCAT("&gt;",$D43),Matches!$A:$A,CONCAT("&lt;",$E43))</f>
        <v>1</v>
      </c>
      <c r="G43" s="79">
        <f>COUNTIFS(Matches!$C:$C,$A43,Matches!$A:$A,CONCAT("&gt;",$D43),Matches!$A:$A,CONCAT("&lt;",$E43))</f>
        <v>4</v>
      </c>
      <c r="H43" s="79">
        <f t="shared" si="1"/>
        <v>5</v>
      </c>
      <c r="I43" s="79">
        <f>COUNTIFS(Matches!$B:$B,$A43,Matches!$A:$A,CONCAT("&lt;",$E43))</f>
        <v>1</v>
      </c>
      <c r="J43" s="79">
        <f>COUNTIFS(Matches!$C:$C,$A43,Matches!$A:$A,CONCAT("&lt;",$E43))</f>
        <v>4</v>
      </c>
      <c r="K43" s="79">
        <f>COUNTIFS(Entropy!D:D,A43,Entropy!I:I,CONCAT("&lt;",E43-1))</f>
        <v>0</v>
      </c>
      <c r="L43" s="79">
        <f t="shared" si="2"/>
        <v>5</v>
      </c>
      <c r="M43" s="79">
        <f t="array" ref="M43">max(min(IF(J43+K43=11,0,XLOOKUP(B43,Quotas!$A$8:$A$14,Quotas!$E$8:$E$14)-$L43),2),0)</f>
        <v>0</v>
      </c>
      <c r="N43" s="31">
        <f t="shared" si="3"/>
        <v>0</v>
      </c>
    </row>
    <row r="44">
      <c r="A44" s="31" t="s">
        <v>94</v>
      </c>
      <c r="B44" s="9">
        <v>1.0</v>
      </c>
      <c r="C44" s="31" t="str">
        <f>VLOOKUP(A44, 'College List'!A:B, 2, FALSE)</f>
        <v>Silverquill</v>
      </c>
      <c r="D44" s="355">
        <f>VLOOKUP(B44,Quotas!$A$8:$C$14,2,FALSE)</f>
        <v>46136.70833</v>
      </c>
      <c r="E44" s="356">
        <f>VLOOKUP(B44,Quotas!$A$8:$C$14,3,FALSE)</f>
        <v>46143.70833</v>
      </c>
      <c r="F44" s="79">
        <f>COUNTIFS(Matches!$B:$B,A44,Matches!$A:$A,CONCAT("&gt;",$D44),Matches!$A:$A,CONCAT("&lt;",$E44))</f>
        <v>0</v>
      </c>
      <c r="G44" s="79">
        <f>COUNTIFS(Matches!$C:$C,$A44,Matches!$A:$A,CONCAT("&gt;",$D44),Matches!$A:$A,CONCAT("&lt;",$E44))</f>
        <v>5</v>
      </c>
      <c r="H44" s="79">
        <f t="shared" si="1"/>
        <v>5</v>
      </c>
      <c r="I44" s="79">
        <f>COUNTIFS(Matches!$B:$B,$A44,Matches!$A:$A,CONCAT("&lt;",$E44))</f>
        <v>0</v>
      </c>
      <c r="J44" s="79">
        <f>COUNTIFS(Matches!$C:$C,$A44,Matches!$A:$A,CONCAT("&lt;",$E44))</f>
        <v>5</v>
      </c>
      <c r="K44" s="79">
        <f>COUNTIFS(Entropy!D:D,A44,Entropy!I:I,CONCAT("&lt;",E44-1))</f>
        <v>0</v>
      </c>
      <c r="L44" s="79">
        <f t="shared" si="2"/>
        <v>5</v>
      </c>
      <c r="M44" s="79">
        <f t="array" ref="M44">max(min(IF(J44+K44=11,0,XLOOKUP(B44,Quotas!$A$8:$A$14,Quotas!$E$8:$E$14)-$L44),2),0)</f>
        <v>0</v>
      </c>
      <c r="N44" s="31">
        <f t="shared" si="3"/>
        <v>0</v>
      </c>
    </row>
    <row r="45">
      <c r="A45" s="31" t="s">
        <v>356</v>
      </c>
      <c r="B45" s="9">
        <v>1.0</v>
      </c>
      <c r="C45" s="31" t="str">
        <f>VLOOKUP(A45, 'College List'!A:B, 2, FALSE)</f>
        <v>Prismari</v>
      </c>
      <c r="D45" s="355">
        <f>VLOOKUP(B45,Quotas!$A$8:$C$14,2,FALSE)</f>
        <v>46136.70833</v>
      </c>
      <c r="E45" s="356">
        <f>VLOOKUP(B45,Quotas!$A$8:$C$14,3,FALSE)</f>
        <v>46143.70833</v>
      </c>
      <c r="F45" s="79">
        <f>COUNTIFS(Matches!$B:$B,A45,Matches!$A:$A,CONCAT("&gt;",$D45),Matches!$A:$A,CONCAT("&lt;",$E45))</f>
        <v>4</v>
      </c>
      <c r="G45" s="79">
        <f>COUNTIFS(Matches!$C:$C,$A45,Matches!$A:$A,CONCAT("&gt;",$D45),Matches!$A:$A,CONCAT("&lt;",$E45))</f>
        <v>1</v>
      </c>
      <c r="H45" s="79">
        <f t="shared" si="1"/>
        <v>5</v>
      </c>
      <c r="I45" s="79">
        <f>COUNTIFS(Matches!$B:$B,$A45,Matches!$A:$A,CONCAT("&lt;",$E45))</f>
        <v>4</v>
      </c>
      <c r="J45" s="79">
        <f>COUNTIFS(Matches!$C:$C,$A45,Matches!$A:$A,CONCAT("&lt;",$E45))</f>
        <v>1</v>
      </c>
      <c r="K45" s="79">
        <f>COUNTIFS(Entropy!D:D,A45,Entropy!I:I,CONCAT("&lt;",E45-1))</f>
        <v>0</v>
      </c>
      <c r="L45" s="79">
        <f t="shared" si="2"/>
        <v>5</v>
      </c>
      <c r="M45" s="79">
        <f t="array" ref="M45">max(min(IF(J45+K45=11,0,XLOOKUP(B45,Quotas!$A$8:$A$14,Quotas!$E$8:$E$14)-$L45),2),0)</f>
        <v>0</v>
      </c>
      <c r="N45" s="31">
        <f t="shared" si="3"/>
        <v>0</v>
      </c>
    </row>
    <row r="46">
      <c r="A46" s="31" t="s">
        <v>160</v>
      </c>
      <c r="B46" s="9">
        <v>1.0</v>
      </c>
      <c r="C46" s="31" t="str">
        <f>VLOOKUP(A46, 'College List'!A:B, 2, FALSE)</f>
        <v>Quandrix</v>
      </c>
      <c r="D46" s="355">
        <f>VLOOKUP(B46,Quotas!$A$8:$C$14,2,FALSE)</f>
        <v>46136.70833</v>
      </c>
      <c r="E46" s="356">
        <f>VLOOKUP(B46,Quotas!$A$8:$C$14,3,FALSE)</f>
        <v>46143.70833</v>
      </c>
      <c r="F46" s="79">
        <f>COUNTIFS(Matches!$B:$B,A46,Matches!$A:$A,CONCAT("&gt;",$D46),Matches!$A:$A,CONCAT("&lt;",$E46))</f>
        <v>2</v>
      </c>
      <c r="G46" s="79">
        <f>COUNTIFS(Matches!$C:$C,$A46,Matches!$A:$A,CONCAT("&gt;",$D46),Matches!$A:$A,CONCAT("&lt;",$E46))</f>
        <v>3</v>
      </c>
      <c r="H46" s="79">
        <f t="shared" si="1"/>
        <v>5</v>
      </c>
      <c r="I46" s="79">
        <f>COUNTIFS(Matches!$B:$B,$A46,Matches!$A:$A,CONCAT("&lt;",$E46))</f>
        <v>2</v>
      </c>
      <c r="J46" s="79">
        <f>COUNTIFS(Matches!$C:$C,$A46,Matches!$A:$A,CONCAT("&lt;",$E46))</f>
        <v>3</v>
      </c>
      <c r="K46" s="79">
        <f>COUNTIFS(Entropy!D:D,A46,Entropy!I:I,CONCAT("&lt;",E46-1))</f>
        <v>0</v>
      </c>
      <c r="L46" s="79">
        <f t="shared" si="2"/>
        <v>5</v>
      </c>
      <c r="M46" s="79">
        <f t="array" ref="M46">max(min(IF(J46+K46=11,0,XLOOKUP(B46,Quotas!$A$8:$A$14,Quotas!$E$8:$E$14)-$L46),2),0)</f>
        <v>0</v>
      </c>
      <c r="N46" s="31">
        <f t="shared" si="3"/>
        <v>0</v>
      </c>
    </row>
    <row r="47">
      <c r="A47" s="31" t="s">
        <v>180</v>
      </c>
      <c r="B47" s="9">
        <v>1.0</v>
      </c>
      <c r="C47" s="31" t="str">
        <f>VLOOKUP(A47, 'College List'!A:B, 2, FALSE)</f>
        <v>Silverquill</v>
      </c>
      <c r="D47" s="355">
        <f>VLOOKUP(B47,Quotas!$A$8:$C$14,2,FALSE)</f>
        <v>46136.70833</v>
      </c>
      <c r="E47" s="356">
        <f>VLOOKUP(B47,Quotas!$A$8:$C$14,3,FALSE)</f>
        <v>46143.70833</v>
      </c>
      <c r="F47" s="79">
        <f>COUNTIFS(Matches!$B:$B,A47,Matches!$A:$A,CONCAT("&gt;",$D47),Matches!$A:$A,CONCAT("&lt;",$E47))</f>
        <v>3</v>
      </c>
      <c r="G47" s="79">
        <f>COUNTIFS(Matches!$C:$C,$A47,Matches!$A:$A,CONCAT("&gt;",$D47),Matches!$A:$A,CONCAT("&lt;",$E47))</f>
        <v>2</v>
      </c>
      <c r="H47" s="79">
        <f t="shared" si="1"/>
        <v>5</v>
      </c>
      <c r="I47" s="79">
        <f>COUNTIFS(Matches!$B:$B,$A47,Matches!$A:$A,CONCAT("&lt;",$E47))</f>
        <v>3</v>
      </c>
      <c r="J47" s="79">
        <f>COUNTIFS(Matches!$C:$C,$A47,Matches!$A:$A,CONCAT("&lt;",$E47))</f>
        <v>2</v>
      </c>
      <c r="K47" s="79">
        <f>COUNTIFS(Entropy!D:D,A47,Entropy!I:I,CONCAT("&lt;",E47-1))</f>
        <v>0</v>
      </c>
      <c r="L47" s="79">
        <f t="shared" si="2"/>
        <v>5</v>
      </c>
      <c r="M47" s="79">
        <f t="array" ref="M47">max(min(IF(J47+K47=11,0,XLOOKUP(B47,Quotas!$A$8:$A$14,Quotas!$E$8:$E$14)-$L47),2),0)</f>
        <v>0</v>
      </c>
      <c r="N47" s="31">
        <f t="shared" si="3"/>
        <v>0</v>
      </c>
    </row>
    <row r="48">
      <c r="A48" s="31" t="s">
        <v>89</v>
      </c>
      <c r="B48" s="9">
        <v>1.0</v>
      </c>
      <c r="C48" s="31" t="str">
        <f>VLOOKUP(A48, 'College List'!A:B, 2, FALSE)</f>
        <v>Quandrix</v>
      </c>
      <c r="D48" s="355">
        <f>VLOOKUP(B48,Quotas!$A$8:$C$14,2,FALSE)</f>
        <v>46136.70833</v>
      </c>
      <c r="E48" s="356">
        <f>VLOOKUP(B48,Quotas!$A$8:$C$14,3,FALSE)</f>
        <v>46143.70833</v>
      </c>
      <c r="F48" s="79">
        <f>COUNTIFS(Matches!$B:$B,A48,Matches!$A:$A,CONCAT("&gt;",$D48),Matches!$A:$A,CONCAT("&lt;",$E48))</f>
        <v>4</v>
      </c>
      <c r="G48" s="79">
        <f>COUNTIFS(Matches!$C:$C,$A48,Matches!$A:$A,CONCAT("&gt;",$D48),Matches!$A:$A,CONCAT("&lt;",$E48))</f>
        <v>1</v>
      </c>
      <c r="H48" s="79">
        <f t="shared" si="1"/>
        <v>5</v>
      </c>
      <c r="I48" s="79">
        <f>COUNTIFS(Matches!$B:$B,$A48,Matches!$A:$A,CONCAT("&lt;",$E48))</f>
        <v>4</v>
      </c>
      <c r="J48" s="79">
        <f>COUNTIFS(Matches!$C:$C,$A48,Matches!$A:$A,CONCAT("&lt;",$E48))</f>
        <v>1</v>
      </c>
      <c r="K48" s="79">
        <f>COUNTIFS(Entropy!D:D,A48,Entropy!I:I,CONCAT("&lt;",E48-1))</f>
        <v>0</v>
      </c>
      <c r="L48" s="79">
        <f t="shared" si="2"/>
        <v>5</v>
      </c>
      <c r="M48" s="79">
        <f t="array" ref="M48">max(min(IF(J48+K48=11,0,XLOOKUP(B48,Quotas!$A$8:$A$14,Quotas!$E$8:$E$14)-$L48),2),0)</f>
        <v>0</v>
      </c>
      <c r="N48" s="31">
        <f t="shared" si="3"/>
        <v>0</v>
      </c>
    </row>
    <row r="49">
      <c r="A49" s="31" t="s">
        <v>231</v>
      </c>
      <c r="B49" s="9">
        <v>1.0</v>
      </c>
      <c r="C49" s="31" t="str">
        <f>VLOOKUP(A49, 'College List'!A:B, 2, FALSE)</f>
        <v>Quandrix</v>
      </c>
      <c r="D49" s="355">
        <f>VLOOKUP(B49,Quotas!$A$8:$C$14,2,FALSE)</f>
        <v>46136.70833</v>
      </c>
      <c r="E49" s="356">
        <f>VLOOKUP(B49,Quotas!$A$8:$C$14,3,FALSE)</f>
        <v>46143.70833</v>
      </c>
      <c r="F49" s="79">
        <f>COUNTIFS(Matches!$B:$B,A49,Matches!$A:$A,CONCAT("&gt;",$D49),Matches!$A:$A,CONCAT("&lt;",$E49))</f>
        <v>3</v>
      </c>
      <c r="G49" s="79">
        <f>COUNTIFS(Matches!$C:$C,$A49,Matches!$A:$A,CONCAT("&gt;",$D49),Matches!$A:$A,CONCAT("&lt;",$E49))</f>
        <v>2</v>
      </c>
      <c r="H49" s="79">
        <f t="shared" si="1"/>
        <v>5</v>
      </c>
      <c r="I49" s="79">
        <f>COUNTIFS(Matches!$B:$B,$A49,Matches!$A:$A,CONCAT("&lt;",$E49))</f>
        <v>3</v>
      </c>
      <c r="J49" s="79">
        <f>COUNTIFS(Matches!$C:$C,$A49,Matches!$A:$A,CONCAT("&lt;",$E49))</f>
        <v>2</v>
      </c>
      <c r="K49" s="79">
        <f>COUNTIFS(Entropy!D:D,A49,Entropy!I:I,CONCAT("&lt;",E49-1))</f>
        <v>0</v>
      </c>
      <c r="L49" s="79">
        <f t="shared" si="2"/>
        <v>5</v>
      </c>
      <c r="M49" s="79">
        <f t="array" ref="M49">max(min(IF(J49+K49=11,0,XLOOKUP(B49,Quotas!$A$8:$A$14,Quotas!$E$8:$E$14)-$L49),2),0)</f>
        <v>0</v>
      </c>
      <c r="N49" s="31">
        <f t="shared" si="3"/>
        <v>0</v>
      </c>
    </row>
    <row r="50">
      <c r="A50" s="31" t="s">
        <v>314</v>
      </c>
      <c r="B50" s="9">
        <v>1.0</v>
      </c>
      <c r="C50" s="31" t="str">
        <f>VLOOKUP(A50, 'College List'!A:B, 2, FALSE)</f>
        <v>Lorehold</v>
      </c>
      <c r="D50" s="355">
        <f>VLOOKUP(B50,Quotas!$A$8:$C$14,2,FALSE)</f>
        <v>46136.70833</v>
      </c>
      <c r="E50" s="356">
        <f>VLOOKUP(B50,Quotas!$A$8:$C$14,3,FALSE)</f>
        <v>46143.70833</v>
      </c>
      <c r="F50" s="79">
        <f>COUNTIFS(Matches!$B:$B,A50,Matches!$A:$A,CONCAT("&gt;",$D50),Matches!$A:$A,CONCAT("&lt;",$E50))</f>
        <v>2</v>
      </c>
      <c r="G50" s="79">
        <f>COUNTIFS(Matches!$C:$C,$A50,Matches!$A:$A,CONCAT("&gt;",$D50),Matches!$A:$A,CONCAT("&lt;",$E50))</f>
        <v>3</v>
      </c>
      <c r="H50" s="79">
        <f t="shared" si="1"/>
        <v>5</v>
      </c>
      <c r="I50" s="79">
        <f>COUNTIFS(Matches!$B:$B,$A50,Matches!$A:$A,CONCAT("&lt;",$E50))</f>
        <v>2</v>
      </c>
      <c r="J50" s="79">
        <f>COUNTIFS(Matches!$C:$C,$A50,Matches!$A:$A,CONCAT("&lt;",$E50))</f>
        <v>3</v>
      </c>
      <c r="K50" s="79">
        <f>COUNTIFS(Entropy!D:D,A50,Entropy!I:I,CONCAT("&lt;",E50-1))</f>
        <v>0</v>
      </c>
      <c r="L50" s="79">
        <f t="shared" si="2"/>
        <v>5</v>
      </c>
      <c r="M50" s="79">
        <f t="array" ref="M50">max(min(IF(J50+K50=11,0,XLOOKUP(B50,Quotas!$A$8:$A$14,Quotas!$E$8:$E$14)-$L50),2),0)</f>
        <v>0</v>
      </c>
      <c r="N50" s="31">
        <f t="shared" si="3"/>
        <v>0</v>
      </c>
    </row>
    <row r="51">
      <c r="A51" s="31" t="s">
        <v>190</v>
      </c>
      <c r="B51" s="9">
        <v>1.0</v>
      </c>
      <c r="C51" s="31" t="str">
        <f>VLOOKUP(A51, 'College List'!A:B, 2, FALSE)</f>
        <v>Silverquill</v>
      </c>
      <c r="D51" s="355">
        <f>VLOOKUP(B51,Quotas!$A$8:$C$14,2,FALSE)</f>
        <v>46136.70833</v>
      </c>
      <c r="E51" s="356">
        <f>VLOOKUP(B51,Quotas!$A$8:$C$14,3,FALSE)</f>
        <v>46143.70833</v>
      </c>
      <c r="F51" s="79">
        <f>COUNTIFS(Matches!$B:$B,A51,Matches!$A:$A,CONCAT("&gt;",$D51),Matches!$A:$A,CONCAT("&lt;",$E51))</f>
        <v>2</v>
      </c>
      <c r="G51" s="79">
        <f>COUNTIFS(Matches!$C:$C,$A51,Matches!$A:$A,CONCAT("&gt;",$D51),Matches!$A:$A,CONCAT("&lt;",$E51))</f>
        <v>3</v>
      </c>
      <c r="H51" s="79">
        <f t="shared" si="1"/>
        <v>5</v>
      </c>
      <c r="I51" s="79">
        <f>COUNTIFS(Matches!$B:$B,$A51,Matches!$A:$A,CONCAT("&lt;",$E51))</f>
        <v>2</v>
      </c>
      <c r="J51" s="79">
        <f>COUNTIFS(Matches!$C:$C,$A51,Matches!$A:$A,CONCAT("&lt;",$E51))</f>
        <v>3</v>
      </c>
      <c r="K51" s="79">
        <f>COUNTIFS(Entropy!D:D,A51,Entropy!I:I,CONCAT("&lt;",E51-1))</f>
        <v>0</v>
      </c>
      <c r="L51" s="79">
        <f t="shared" si="2"/>
        <v>5</v>
      </c>
      <c r="M51" s="79">
        <f t="array" ref="M51">max(min(IF(J51+K51=11,0,XLOOKUP(B51,Quotas!$A$8:$A$14,Quotas!$E$8:$E$14)-$L51),2),0)</f>
        <v>0</v>
      </c>
      <c r="N51" s="31">
        <f t="shared" si="3"/>
        <v>0</v>
      </c>
    </row>
    <row r="52">
      <c r="A52" s="31" t="s">
        <v>84</v>
      </c>
      <c r="B52" s="9">
        <v>1.0</v>
      </c>
      <c r="C52" s="31" t="str">
        <f>VLOOKUP(A52, 'College List'!A:B, 2, FALSE)</f>
        <v>Witherbloom</v>
      </c>
      <c r="D52" s="355">
        <f>VLOOKUP(B52,Quotas!$A$8:$C$14,2,FALSE)</f>
        <v>46136.70833</v>
      </c>
      <c r="E52" s="356">
        <f>VLOOKUP(B52,Quotas!$A$8:$C$14,3,FALSE)</f>
        <v>46143.70833</v>
      </c>
      <c r="F52" s="79">
        <f>COUNTIFS(Matches!$B:$B,A52,Matches!$A:$A,CONCAT("&gt;",$D52),Matches!$A:$A,CONCAT("&lt;",$E52))</f>
        <v>4</v>
      </c>
      <c r="G52" s="79">
        <f>COUNTIFS(Matches!$C:$C,$A52,Matches!$A:$A,CONCAT("&gt;",$D52),Matches!$A:$A,CONCAT("&lt;",$E52))</f>
        <v>1</v>
      </c>
      <c r="H52" s="79">
        <f t="shared" si="1"/>
        <v>5</v>
      </c>
      <c r="I52" s="79">
        <f>COUNTIFS(Matches!$B:$B,$A52,Matches!$A:$A,CONCAT("&lt;",$E52))</f>
        <v>4</v>
      </c>
      <c r="J52" s="79">
        <f>COUNTIFS(Matches!$C:$C,$A52,Matches!$A:$A,CONCAT("&lt;",$E52))</f>
        <v>1</v>
      </c>
      <c r="K52" s="79">
        <f>COUNTIFS(Entropy!D:D,A52,Entropy!I:I,CONCAT("&lt;",E52-1))</f>
        <v>0</v>
      </c>
      <c r="L52" s="79">
        <f t="shared" si="2"/>
        <v>5</v>
      </c>
      <c r="M52" s="79">
        <f t="array" ref="M52">max(min(IF(J52+K52=11,0,XLOOKUP(B52,Quotas!$A$8:$A$14,Quotas!$E$8:$E$14)-$L52),2),0)</f>
        <v>0</v>
      </c>
      <c r="N52" s="31">
        <f t="shared" si="3"/>
        <v>0</v>
      </c>
    </row>
    <row r="53">
      <c r="A53" s="31" t="s">
        <v>298</v>
      </c>
      <c r="B53" s="9">
        <v>1.0</v>
      </c>
      <c r="C53" s="31" t="str">
        <f>VLOOKUP(A53, 'College List'!A:B, 2, FALSE)</f>
        <v>Quandrix</v>
      </c>
      <c r="D53" s="355">
        <f>VLOOKUP(B53,Quotas!$A$8:$C$14,2,FALSE)</f>
        <v>46136.70833</v>
      </c>
      <c r="E53" s="356">
        <f>VLOOKUP(B53,Quotas!$A$8:$C$14,3,FALSE)</f>
        <v>46143.70833</v>
      </c>
      <c r="F53" s="79">
        <f>COUNTIFS(Matches!$B:$B,A53,Matches!$A:$A,CONCAT("&gt;",$D53),Matches!$A:$A,CONCAT("&lt;",$E53))</f>
        <v>1</v>
      </c>
      <c r="G53" s="79">
        <f>COUNTIFS(Matches!$C:$C,$A53,Matches!$A:$A,CONCAT("&gt;",$D53),Matches!$A:$A,CONCAT("&lt;",$E53))</f>
        <v>4</v>
      </c>
      <c r="H53" s="79">
        <f t="shared" si="1"/>
        <v>5</v>
      </c>
      <c r="I53" s="79">
        <f>COUNTIFS(Matches!$B:$B,$A53,Matches!$A:$A,CONCAT("&lt;",$E53))</f>
        <v>1</v>
      </c>
      <c r="J53" s="79">
        <f>COUNTIFS(Matches!$C:$C,$A53,Matches!$A:$A,CONCAT("&lt;",$E53))</f>
        <v>4</v>
      </c>
      <c r="K53" s="79">
        <f>COUNTIFS(Entropy!D:D,A53,Entropy!I:I,CONCAT("&lt;",E53-1))</f>
        <v>0</v>
      </c>
      <c r="L53" s="79">
        <f t="shared" si="2"/>
        <v>5</v>
      </c>
      <c r="M53" s="79">
        <f t="array" ref="M53">max(min(IF(J53+K53=11,0,XLOOKUP(B53,Quotas!$A$8:$A$14,Quotas!$E$8:$E$14)-$L53),2),0)</f>
        <v>0</v>
      </c>
      <c r="N53" s="31">
        <f t="shared" si="3"/>
        <v>0</v>
      </c>
    </row>
    <row r="54">
      <c r="A54" s="31" t="s">
        <v>424</v>
      </c>
      <c r="B54" s="9">
        <v>1.0</v>
      </c>
      <c r="C54" s="31" t="str">
        <f>VLOOKUP(A54, 'College List'!A:B, 2, FALSE)</f>
        <v>Lorehold</v>
      </c>
      <c r="D54" s="355">
        <f>VLOOKUP(B54,Quotas!$A$8:$C$14,2,FALSE)</f>
        <v>46136.70833</v>
      </c>
      <c r="E54" s="356">
        <f>VLOOKUP(B54,Quotas!$A$8:$C$14,3,FALSE)</f>
        <v>46143.70833</v>
      </c>
      <c r="F54" s="79">
        <f>COUNTIFS(Matches!$B:$B,A54,Matches!$A:$A,CONCAT("&gt;",$D54),Matches!$A:$A,CONCAT("&lt;",$E54))</f>
        <v>2</v>
      </c>
      <c r="G54" s="79">
        <f>COUNTIFS(Matches!$C:$C,$A54,Matches!$A:$A,CONCAT("&gt;",$D54),Matches!$A:$A,CONCAT("&lt;",$E54))</f>
        <v>3</v>
      </c>
      <c r="H54" s="79">
        <f t="shared" si="1"/>
        <v>5</v>
      </c>
      <c r="I54" s="79">
        <f>COUNTIFS(Matches!$B:$B,$A54,Matches!$A:$A,CONCAT("&lt;",$E54))</f>
        <v>2</v>
      </c>
      <c r="J54" s="79">
        <f>COUNTIFS(Matches!$C:$C,$A54,Matches!$A:$A,CONCAT("&lt;",$E54))</f>
        <v>3</v>
      </c>
      <c r="K54" s="79">
        <f>COUNTIFS(Entropy!D:D,A54,Entropy!I:I,CONCAT("&lt;",E54-1))</f>
        <v>0</v>
      </c>
      <c r="L54" s="79">
        <f t="shared" si="2"/>
        <v>5</v>
      </c>
      <c r="M54" s="79">
        <f t="array" ref="M54">max(min(IF(J54+K54=11,0,XLOOKUP(B54,Quotas!$A$8:$A$14,Quotas!$E$8:$E$14)-$L54),2),0)</f>
        <v>0</v>
      </c>
      <c r="N54" s="31">
        <f t="shared" si="3"/>
        <v>0</v>
      </c>
    </row>
    <row r="55">
      <c r="A55" s="31" t="s">
        <v>100</v>
      </c>
      <c r="B55" s="9">
        <v>1.0</v>
      </c>
      <c r="C55" s="31" t="str">
        <f>VLOOKUP(A55, 'College List'!A:B, 2, FALSE)</f>
        <v>Witherbloom</v>
      </c>
      <c r="D55" s="355">
        <f>VLOOKUP(B55,Quotas!$A$8:$C$14,2,FALSE)</f>
        <v>46136.70833</v>
      </c>
      <c r="E55" s="356">
        <f>VLOOKUP(B55,Quotas!$A$8:$C$14,3,FALSE)</f>
        <v>46143.70833</v>
      </c>
      <c r="F55" s="79">
        <f>COUNTIFS(Matches!$B:$B,A55,Matches!$A:$A,CONCAT("&gt;",$D55),Matches!$A:$A,CONCAT("&lt;",$E55))</f>
        <v>1</v>
      </c>
      <c r="G55" s="79">
        <f>COUNTIFS(Matches!$C:$C,$A55,Matches!$A:$A,CONCAT("&gt;",$D55),Matches!$A:$A,CONCAT("&lt;",$E55))</f>
        <v>4</v>
      </c>
      <c r="H55" s="79">
        <f t="shared" si="1"/>
        <v>5</v>
      </c>
      <c r="I55" s="79">
        <f>COUNTIFS(Matches!$B:$B,$A55,Matches!$A:$A,CONCAT("&lt;",$E55))</f>
        <v>1</v>
      </c>
      <c r="J55" s="79">
        <f>COUNTIFS(Matches!$C:$C,$A55,Matches!$A:$A,CONCAT("&lt;",$E55))</f>
        <v>4</v>
      </c>
      <c r="K55" s="79">
        <f>COUNTIFS(Entropy!D:D,A55,Entropy!I:I,CONCAT("&lt;",E55-1))</f>
        <v>0</v>
      </c>
      <c r="L55" s="79">
        <f t="shared" si="2"/>
        <v>5</v>
      </c>
      <c r="M55" s="79">
        <f t="array" ref="M55">max(min(IF(J55+K55=11,0,XLOOKUP(B55,Quotas!$A$8:$A$14,Quotas!$E$8:$E$14)-$L55),2),0)</f>
        <v>0</v>
      </c>
      <c r="N55" s="31">
        <f t="shared" si="3"/>
        <v>0</v>
      </c>
    </row>
    <row r="56">
      <c r="A56" s="31" t="s">
        <v>64</v>
      </c>
      <c r="B56" s="9">
        <v>1.0</v>
      </c>
      <c r="C56" s="31" t="str">
        <f>VLOOKUP(A56, 'College List'!A:B, 2, FALSE)</f>
        <v>Prismari</v>
      </c>
      <c r="D56" s="355">
        <f>VLOOKUP(B56,Quotas!$A$8:$C$14,2,FALSE)</f>
        <v>46136.70833</v>
      </c>
      <c r="E56" s="356">
        <f>VLOOKUP(B56,Quotas!$A$8:$C$14,3,FALSE)</f>
        <v>46143.70833</v>
      </c>
      <c r="F56" s="79">
        <f>COUNTIFS(Matches!$B:$B,A56,Matches!$A:$A,CONCAT("&gt;",$D56),Matches!$A:$A,CONCAT("&lt;",$E56))</f>
        <v>3</v>
      </c>
      <c r="G56" s="79">
        <f>COUNTIFS(Matches!$C:$C,$A56,Matches!$A:$A,CONCAT("&gt;",$D56),Matches!$A:$A,CONCAT("&lt;",$E56))</f>
        <v>2</v>
      </c>
      <c r="H56" s="79">
        <f t="shared" si="1"/>
        <v>5</v>
      </c>
      <c r="I56" s="79">
        <f>COUNTIFS(Matches!$B:$B,$A56,Matches!$A:$A,CONCAT("&lt;",$E56))</f>
        <v>3</v>
      </c>
      <c r="J56" s="79">
        <f>COUNTIFS(Matches!$C:$C,$A56,Matches!$A:$A,CONCAT("&lt;",$E56))</f>
        <v>2</v>
      </c>
      <c r="K56" s="79">
        <f>COUNTIFS(Entropy!D:D,A56,Entropy!I:I,CONCAT("&lt;",E56-1))</f>
        <v>0</v>
      </c>
      <c r="L56" s="79">
        <f t="shared" si="2"/>
        <v>5</v>
      </c>
      <c r="M56" s="79">
        <f t="array" ref="M56">max(min(IF(J56+K56=11,0,XLOOKUP(B56,Quotas!$A$8:$A$14,Quotas!$E$8:$E$14)-$L56),2),0)</f>
        <v>0</v>
      </c>
      <c r="N56" s="31">
        <f t="shared" si="3"/>
        <v>0</v>
      </c>
    </row>
    <row r="57">
      <c r="A57" s="31" t="s">
        <v>186</v>
      </c>
      <c r="B57" s="9">
        <v>1.0</v>
      </c>
      <c r="C57" s="31" t="str">
        <f>VLOOKUP(A57, 'College List'!A:B, 2, FALSE)</f>
        <v>Witherbloom</v>
      </c>
      <c r="D57" s="355">
        <f>VLOOKUP(B57,Quotas!$A$8:$C$14,2,FALSE)</f>
        <v>46136.70833</v>
      </c>
      <c r="E57" s="356">
        <f>VLOOKUP(B57,Quotas!$A$8:$C$14,3,FALSE)</f>
        <v>46143.70833</v>
      </c>
      <c r="F57" s="79">
        <f>COUNTIFS(Matches!$B:$B,A57,Matches!$A:$A,CONCAT("&gt;",$D57),Matches!$A:$A,CONCAT("&lt;",$E57))</f>
        <v>1</v>
      </c>
      <c r="G57" s="79">
        <f>COUNTIFS(Matches!$C:$C,$A57,Matches!$A:$A,CONCAT("&gt;",$D57),Matches!$A:$A,CONCAT("&lt;",$E57))</f>
        <v>4</v>
      </c>
      <c r="H57" s="79">
        <f t="shared" si="1"/>
        <v>5</v>
      </c>
      <c r="I57" s="79">
        <f>COUNTIFS(Matches!$B:$B,$A57,Matches!$A:$A,CONCAT("&lt;",$E57))</f>
        <v>1</v>
      </c>
      <c r="J57" s="79">
        <f>COUNTIFS(Matches!$C:$C,$A57,Matches!$A:$A,CONCAT("&lt;",$E57))</f>
        <v>4</v>
      </c>
      <c r="K57" s="79">
        <f>COUNTIFS(Entropy!D:D,A57,Entropy!I:I,CONCAT("&lt;",E57-1))</f>
        <v>0</v>
      </c>
      <c r="L57" s="79">
        <f t="shared" si="2"/>
        <v>5</v>
      </c>
      <c r="M57" s="79">
        <f t="array" ref="M57">max(min(IF(J57+K57=11,0,XLOOKUP(B57,Quotas!$A$8:$A$14,Quotas!$E$8:$E$14)-$L57),2),0)</f>
        <v>0</v>
      </c>
      <c r="N57" s="31">
        <f t="shared" si="3"/>
        <v>0</v>
      </c>
    </row>
    <row r="58">
      <c r="A58" s="31" t="s">
        <v>75</v>
      </c>
      <c r="B58" s="9">
        <v>1.0</v>
      </c>
      <c r="C58" s="31" t="str">
        <f>VLOOKUP(A58, 'College List'!A:B, 2, FALSE)</f>
        <v>Silverquill</v>
      </c>
      <c r="D58" s="355">
        <f>VLOOKUP(B58,Quotas!$A$8:$C$14,2,FALSE)</f>
        <v>46136.70833</v>
      </c>
      <c r="E58" s="356">
        <f>VLOOKUP(B58,Quotas!$A$8:$C$14,3,FALSE)</f>
        <v>46143.70833</v>
      </c>
      <c r="F58" s="79">
        <f>COUNTIFS(Matches!$B:$B,A58,Matches!$A:$A,CONCAT("&gt;",$D58),Matches!$A:$A,CONCAT("&lt;",$E58))</f>
        <v>1</v>
      </c>
      <c r="G58" s="79">
        <f>COUNTIFS(Matches!$C:$C,$A58,Matches!$A:$A,CONCAT("&gt;",$D58),Matches!$A:$A,CONCAT("&lt;",$E58))</f>
        <v>4</v>
      </c>
      <c r="H58" s="79">
        <f t="shared" si="1"/>
        <v>5</v>
      </c>
      <c r="I58" s="79">
        <f>COUNTIFS(Matches!$B:$B,$A58,Matches!$A:$A,CONCAT("&lt;",$E58))</f>
        <v>1</v>
      </c>
      <c r="J58" s="79">
        <f>COUNTIFS(Matches!$C:$C,$A58,Matches!$A:$A,CONCAT("&lt;",$E58))</f>
        <v>4</v>
      </c>
      <c r="K58" s="79">
        <f>COUNTIFS(Entropy!D:D,A58,Entropy!I:I,CONCAT("&lt;",E58-1))</f>
        <v>0</v>
      </c>
      <c r="L58" s="79">
        <f t="shared" si="2"/>
        <v>5</v>
      </c>
      <c r="M58" s="79">
        <f t="array" ref="M58">max(min(IF(J58+K58=11,0,XLOOKUP(B58,Quotas!$A$8:$A$14,Quotas!$E$8:$E$14)-$L58),2),0)</f>
        <v>0</v>
      </c>
      <c r="N58" s="31">
        <f t="shared" si="3"/>
        <v>0</v>
      </c>
    </row>
    <row r="59">
      <c r="A59" s="31" t="s">
        <v>187</v>
      </c>
      <c r="B59" s="9">
        <v>1.0</v>
      </c>
      <c r="C59" s="31" t="str">
        <f>VLOOKUP(A59, 'College List'!A:B, 2, FALSE)</f>
        <v>Quandrix</v>
      </c>
      <c r="D59" s="355">
        <f>VLOOKUP(B59,Quotas!$A$8:$C$14,2,FALSE)</f>
        <v>46136.70833</v>
      </c>
      <c r="E59" s="356">
        <f>VLOOKUP(B59,Quotas!$A$8:$C$14,3,FALSE)</f>
        <v>46143.70833</v>
      </c>
      <c r="F59" s="79">
        <f>COUNTIFS(Matches!$B:$B,A59,Matches!$A:$A,CONCAT("&gt;",$D59),Matches!$A:$A,CONCAT("&lt;",$E59))</f>
        <v>3</v>
      </c>
      <c r="G59" s="79">
        <f>COUNTIFS(Matches!$C:$C,$A59,Matches!$A:$A,CONCAT("&gt;",$D59),Matches!$A:$A,CONCAT("&lt;",$E59))</f>
        <v>2</v>
      </c>
      <c r="H59" s="79">
        <f t="shared" si="1"/>
        <v>5</v>
      </c>
      <c r="I59" s="79">
        <f>COUNTIFS(Matches!$B:$B,$A59,Matches!$A:$A,CONCAT("&lt;",$E59))</f>
        <v>3</v>
      </c>
      <c r="J59" s="79">
        <f>COUNTIFS(Matches!$C:$C,$A59,Matches!$A:$A,CONCAT("&lt;",$E59))</f>
        <v>2</v>
      </c>
      <c r="K59" s="79">
        <f>COUNTIFS(Entropy!D:D,A59,Entropy!I:I,CONCAT("&lt;",E59-1))</f>
        <v>0</v>
      </c>
      <c r="L59" s="79">
        <f t="shared" si="2"/>
        <v>5</v>
      </c>
      <c r="M59" s="79">
        <f t="array" ref="M59">max(min(IF(J59+K59=11,0,XLOOKUP(B59,Quotas!$A$8:$A$14,Quotas!$E$8:$E$14)-$L59),2),0)</f>
        <v>0</v>
      </c>
      <c r="N59" s="31">
        <f t="shared" si="3"/>
        <v>0</v>
      </c>
    </row>
    <row r="60">
      <c r="A60" s="31" t="s">
        <v>83</v>
      </c>
      <c r="B60" s="9">
        <v>1.0</v>
      </c>
      <c r="C60" s="31" t="str">
        <f>VLOOKUP(A60, 'College List'!A:B, 2, FALSE)</f>
        <v>Prismari</v>
      </c>
      <c r="D60" s="355">
        <f>VLOOKUP(B60,Quotas!$A$8:$C$14,2,FALSE)</f>
        <v>46136.70833</v>
      </c>
      <c r="E60" s="356">
        <f>VLOOKUP(B60,Quotas!$A$8:$C$14,3,FALSE)</f>
        <v>46143.70833</v>
      </c>
      <c r="F60" s="79">
        <f>COUNTIFS(Matches!$B:$B,A60,Matches!$A:$A,CONCAT("&gt;",$D60),Matches!$A:$A,CONCAT("&lt;",$E60))</f>
        <v>1</v>
      </c>
      <c r="G60" s="79">
        <f>COUNTIFS(Matches!$C:$C,$A60,Matches!$A:$A,CONCAT("&gt;",$D60),Matches!$A:$A,CONCAT("&lt;",$E60))</f>
        <v>4</v>
      </c>
      <c r="H60" s="79">
        <f t="shared" si="1"/>
        <v>5</v>
      </c>
      <c r="I60" s="79">
        <f>COUNTIFS(Matches!$B:$B,$A60,Matches!$A:$A,CONCAT("&lt;",$E60))</f>
        <v>1</v>
      </c>
      <c r="J60" s="79">
        <f>COUNTIFS(Matches!$C:$C,$A60,Matches!$A:$A,CONCAT("&lt;",$E60))</f>
        <v>4</v>
      </c>
      <c r="K60" s="79">
        <f>COUNTIFS(Entropy!D:D,A60,Entropy!I:I,CONCAT("&lt;",E60-1))</f>
        <v>0</v>
      </c>
      <c r="L60" s="79">
        <f t="shared" si="2"/>
        <v>5</v>
      </c>
      <c r="M60" s="79">
        <f t="array" ref="M60">max(min(IF(J60+K60=11,0,XLOOKUP(B60,Quotas!$A$8:$A$14,Quotas!$E$8:$E$14)-$L60),2),0)</f>
        <v>0</v>
      </c>
      <c r="N60" s="31">
        <f t="shared" si="3"/>
        <v>0</v>
      </c>
    </row>
    <row r="61">
      <c r="A61" s="31" t="s">
        <v>322</v>
      </c>
      <c r="B61" s="9">
        <v>1.0</v>
      </c>
      <c r="C61" s="31" t="str">
        <f>VLOOKUP(A61, 'College List'!A:B, 2, FALSE)</f>
        <v>Prismari</v>
      </c>
      <c r="D61" s="355">
        <f>VLOOKUP(B61,Quotas!$A$8:$C$14,2,FALSE)</f>
        <v>46136.70833</v>
      </c>
      <c r="E61" s="356">
        <f>VLOOKUP(B61,Quotas!$A$8:$C$14,3,FALSE)</f>
        <v>46143.70833</v>
      </c>
      <c r="F61" s="79">
        <f>COUNTIFS(Matches!$B:$B,A61,Matches!$A:$A,CONCAT("&gt;",$D61),Matches!$A:$A,CONCAT("&lt;",$E61))</f>
        <v>2</v>
      </c>
      <c r="G61" s="79">
        <f>COUNTIFS(Matches!$C:$C,$A61,Matches!$A:$A,CONCAT("&gt;",$D61),Matches!$A:$A,CONCAT("&lt;",$E61))</f>
        <v>3</v>
      </c>
      <c r="H61" s="79">
        <f t="shared" si="1"/>
        <v>5</v>
      </c>
      <c r="I61" s="79">
        <f>COUNTIFS(Matches!$B:$B,$A61,Matches!$A:$A,CONCAT("&lt;",$E61))</f>
        <v>2</v>
      </c>
      <c r="J61" s="79">
        <f>COUNTIFS(Matches!$C:$C,$A61,Matches!$A:$A,CONCAT("&lt;",$E61))</f>
        <v>3</v>
      </c>
      <c r="K61" s="79">
        <f>COUNTIFS(Entropy!D:D,A61,Entropy!I:I,CONCAT("&lt;",E61-1))</f>
        <v>0</v>
      </c>
      <c r="L61" s="79">
        <f t="shared" si="2"/>
        <v>5</v>
      </c>
      <c r="M61" s="79">
        <f t="array" ref="M61">max(min(IF(J61+K61=11,0,XLOOKUP(B61,Quotas!$A$8:$A$14,Quotas!$E$8:$E$14)-$L61),2),0)</f>
        <v>0</v>
      </c>
      <c r="N61" s="31">
        <f t="shared" si="3"/>
        <v>0</v>
      </c>
    </row>
    <row r="62">
      <c r="A62" s="31" t="s">
        <v>393</v>
      </c>
      <c r="B62" s="9">
        <v>1.0</v>
      </c>
      <c r="C62" s="31" t="str">
        <f>VLOOKUP(A62, 'College List'!A:B, 2, FALSE)</f>
        <v>Witherbloom</v>
      </c>
      <c r="D62" s="355">
        <f>VLOOKUP(B62,Quotas!$A$8:$C$14,2,FALSE)</f>
        <v>46136.70833</v>
      </c>
      <c r="E62" s="356">
        <f>VLOOKUP(B62,Quotas!$A$8:$C$14,3,FALSE)</f>
        <v>46143.70833</v>
      </c>
      <c r="F62" s="79">
        <f>COUNTIFS(Matches!$B:$B,A62,Matches!$A:$A,CONCAT("&gt;",$D62),Matches!$A:$A,CONCAT("&lt;",$E62))</f>
        <v>1</v>
      </c>
      <c r="G62" s="79">
        <f>COUNTIFS(Matches!$C:$C,$A62,Matches!$A:$A,CONCAT("&gt;",$D62),Matches!$A:$A,CONCAT("&lt;",$E62))</f>
        <v>2</v>
      </c>
      <c r="H62" s="79">
        <f t="shared" si="1"/>
        <v>3</v>
      </c>
      <c r="I62" s="79">
        <f>COUNTIFS(Matches!$B:$B,$A62,Matches!$A:$A,CONCAT("&lt;",$E62))</f>
        <v>1</v>
      </c>
      <c r="J62" s="79">
        <f>COUNTIFS(Matches!$C:$C,$A62,Matches!$A:$A,CONCAT("&lt;",$E62))</f>
        <v>2</v>
      </c>
      <c r="K62" s="79">
        <f>COUNTIFS(Entropy!D:D,A62,Entropy!I:I,CONCAT("&lt;",E62-1))</f>
        <v>0</v>
      </c>
      <c r="L62" s="79">
        <f t="shared" si="2"/>
        <v>3</v>
      </c>
      <c r="M62" s="79">
        <f t="array" ref="M62">max(min(IF(J62+K62=11,0,XLOOKUP(B62,Quotas!$A$8:$A$14,Quotas!$E$8:$E$14)-$L62),2),0)</f>
        <v>2</v>
      </c>
      <c r="N62" s="31">
        <f t="shared" si="3"/>
        <v>1</v>
      </c>
    </row>
    <row r="63">
      <c r="A63" s="31" t="s">
        <v>208</v>
      </c>
      <c r="B63" s="9">
        <v>1.0</v>
      </c>
      <c r="C63" s="31" t="str">
        <f>VLOOKUP(A63, 'College List'!A:B, 2, FALSE)</f>
        <v>Witherbloom</v>
      </c>
      <c r="D63" s="355">
        <f>VLOOKUP(B63,Quotas!$A$8:$C$14,2,FALSE)</f>
        <v>46136.70833</v>
      </c>
      <c r="E63" s="356">
        <f>VLOOKUP(B63,Quotas!$A$8:$C$14,3,FALSE)</f>
        <v>46143.70833</v>
      </c>
      <c r="F63" s="79">
        <f>COUNTIFS(Matches!$B:$B,A63,Matches!$A:$A,CONCAT("&gt;",$D63),Matches!$A:$A,CONCAT("&lt;",$E63))</f>
        <v>3</v>
      </c>
      <c r="G63" s="79">
        <f>COUNTIFS(Matches!$C:$C,$A63,Matches!$A:$A,CONCAT("&gt;",$D63),Matches!$A:$A,CONCAT("&lt;",$E63))</f>
        <v>2</v>
      </c>
      <c r="H63" s="79">
        <f t="shared" si="1"/>
        <v>5</v>
      </c>
      <c r="I63" s="79">
        <f>COUNTIFS(Matches!$B:$B,$A63,Matches!$A:$A,CONCAT("&lt;",$E63))</f>
        <v>3</v>
      </c>
      <c r="J63" s="79">
        <f>COUNTIFS(Matches!$C:$C,$A63,Matches!$A:$A,CONCAT("&lt;",$E63))</f>
        <v>2</v>
      </c>
      <c r="K63" s="79">
        <f>COUNTIFS(Entropy!D:D,A63,Entropy!I:I,CONCAT("&lt;",E63-1))</f>
        <v>0</v>
      </c>
      <c r="L63" s="79">
        <f t="shared" si="2"/>
        <v>5</v>
      </c>
      <c r="M63" s="79">
        <f t="array" ref="M63">max(min(IF(J63+K63=11,0,XLOOKUP(B63,Quotas!$A$8:$A$14,Quotas!$E$8:$E$14)-$L63),2),0)</f>
        <v>0</v>
      </c>
      <c r="N63" s="31">
        <f t="shared" si="3"/>
        <v>0</v>
      </c>
    </row>
    <row r="64">
      <c r="A64" s="31" t="s">
        <v>161</v>
      </c>
      <c r="B64" s="9">
        <v>1.0</v>
      </c>
      <c r="C64" s="31" t="str">
        <f>VLOOKUP(A64, 'College List'!A:B, 2, FALSE)</f>
        <v>Witherbloom</v>
      </c>
      <c r="D64" s="355">
        <f>VLOOKUP(B64,Quotas!$A$8:$C$14,2,FALSE)</f>
        <v>46136.70833</v>
      </c>
      <c r="E64" s="356">
        <f>VLOOKUP(B64,Quotas!$A$8:$C$14,3,FALSE)</f>
        <v>46143.70833</v>
      </c>
      <c r="F64" s="79">
        <f>COUNTIFS(Matches!$B:$B,A64,Matches!$A:$A,CONCAT("&gt;",$D64),Matches!$A:$A,CONCAT("&lt;",$E64))</f>
        <v>2</v>
      </c>
      <c r="G64" s="79">
        <f>COUNTIFS(Matches!$C:$C,$A64,Matches!$A:$A,CONCAT("&gt;",$D64),Matches!$A:$A,CONCAT("&lt;",$E64))</f>
        <v>3</v>
      </c>
      <c r="H64" s="79">
        <f t="shared" si="1"/>
        <v>5</v>
      </c>
      <c r="I64" s="79">
        <f>COUNTIFS(Matches!$B:$B,$A64,Matches!$A:$A,CONCAT("&lt;",$E64))</f>
        <v>2</v>
      </c>
      <c r="J64" s="79">
        <f>COUNTIFS(Matches!$C:$C,$A64,Matches!$A:$A,CONCAT("&lt;",$E64))</f>
        <v>3</v>
      </c>
      <c r="K64" s="79">
        <f>COUNTIFS(Entropy!D:D,A64,Entropy!I:I,CONCAT("&lt;",E64-1))</f>
        <v>0</v>
      </c>
      <c r="L64" s="79">
        <f t="shared" si="2"/>
        <v>5</v>
      </c>
      <c r="M64" s="79">
        <f t="array" ref="M64">max(min(IF(J64+K64=11,0,XLOOKUP(B64,Quotas!$A$8:$A$14,Quotas!$E$8:$E$14)-$L64),2),0)</f>
        <v>0</v>
      </c>
      <c r="N64" s="31">
        <f t="shared" si="3"/>
        <v>0</v>
      </c>
    </row>
    <row r="65">
      <c r="A65" s="31" t="s">
        <v>389</v>
      </c>
      <c r="B65" s="9">
        <v>1.0</v>
      </c>
      <c r="C65" s="31" t="str">
        <f>VLOOKUP(A65, 'College List'!A:B, 2, FALSE)</f>
        <v>Prismari</v>
      </c>
      <c r="D65" s="355">
        <f>VLOOKUP(B65,Quotas!$A$8:$C$14,2,FALSE)</f>
        <v>46136.70833</v>
      </c>
      <c r="E65" s="356">
        <f>VLOOKUP(B65,Quotas!$A$8:$C$14,3,FALSE)</f>
        <v>46143.70833</v>
      </c>
      <c r="F65" s="79">
        <f>COUNTIFS(Matches!$B:$B,A65,Matches!$A:$A,CONCAT("&gt;",$D65),Matches!$A:$A,CONCAT("&lt;",$E65))</f>
        <v>4</v>
      </c>
      <c r="G65" s="79">
        <f>COUNTIFS(Matches!$C:$C,$A65,Matches!$A:$A,CONCAT("&gt;",$D65),Matches!$A:$A,CONCAT("&lt;",$E65))</f>
        <v>0</v>
      </c>
      <c r="H65" s="79">
        <f t="shared" si="1"/>
        <v>4</v>
      </c>
      <c r="I65" s="79">
        <f>COUNTIFS(Matches!$B:$B,$A65,Matches!$A:$A,CONCAT("&lt;",$E65))</f>
        <v>4</v>
      </c>
      <c r="J65" s="79">
        <f>COUNTIFS(Matches!$C:$C,$A65,Matches!$A:$A,CONCAT("&lt;",$E65))</f>
        <v>0</v>
      </c>
      <c r="K65" s="79">
        <f>COUNTIFS(Entropy!D:D,A65,Entropy!I:I,CONCAT("&lt;",E65-1))</f>
        <v>0</v>
      </c>
      <c r="L65" s="79">
        <f t="shared" si="2"/>
        <v>4</v>
      </c>
      <c r="M65" s="79">
        <f t="array" ref="M65">max(min(IF(J65+K65=11,0,XLOOKUP(B65,Quotas!$A$8:$A$14,Quotas!$E$8:$E$14)-$L65),2),0)</f>
        <v>1</v>
      </c>
      <c r="N65" s="31">
        <f t="shared" si="3"/>
        <v>0.5</v>
      </c>
    </row>
    <row r="66">
      <c r="A66" s="31" t="s">
        <v>323</v>
      </c>
      <c r="B66" s="9">
        <v>1.0</v>
      </c>
      <c r="C66" s="31" t="str">
        <f>VLOOKUP(A66, 'College List'!A:B, 2, FALSE)</f>
        <v>Silverquill</v>
      </c>
      <c r="D66" s="355">
        <f>VLOOKUP(B66,Quotas!$A$8:$C$14,2,FALSE)</f>
        <v>46136.70833</v>
      </c>
      <c r="E66" s="356">
        <f>VLOOKUP(B66,Quotas!$A$8:$C$14,3,FALSE)</f>
        <v>46143.70833</v>
      </c>
      <c r="F66" s="79">
        <f>COUNTIFS(Matches!$B:$B,A66,Matches!$A:$A,CONCAT("&gt;",$D66),Matches!$A:$A,CONCAT("&lt;",$E66))</f>
        <v>1</v>
      </c>
      <c r="G66" s="79">
        <f>COUNTIFS(Matches!$C:$C,$A66,Matches!$A:$A,CONCAT("&gt;",$D66),Matches!$A:$A,CONCAT("&lt;",$E66))</f>
        <v>3</v>
      </c>
      <c r="H66" s="79">
        <f t="shared" si="1"/>
        <v>4</v>
      </c>
      <c r="I66" s="79">
        <f>COUNTIFS(Matches!$B:$B,$A66,Matches!$A:$A,CONCAT("&lt;",$E66))</f>
        <v>1</v>
      </c>
      <c r="J66" s="79">
        <f>COUNTIFS(Matches!$C:$C,$A66,Matches!$A:$A,CONCAT("&lt;",$E66))</f>
        <v>3</v>
      </c>
      <c r="K66" s="79">
        <f>COUNTIFS(Entropy!D:D,A66,Entropy!I:I,CONCAT("&lt;",E66-1))</f>
        <v>0</v>
      </c>
      <c r="L66" s="79">
        <f t="shared" si="2"/>
        <v>4</v>
      </c>
      <c r="M66" s="79">
        <f t="array" ref="M66">max(min(IF(J66+K66=11,0,XLOOKUP(B66,Quotas!$A$8:$A$14,Quotas!$E$8:$E$14)-$L66),2),0)</f>
        <v>1</v>
      </c>
      <c r="N66" s="31">
        <f t="shared" si="3"/>
        <v>0.5</v>
      </c>
    </row>
    <row r="67">
      <c r="A67" s="31" t="s">
        <v>250</v>
      </c>
      <c r="B67" s="9">
        <v>1.0</v>
      </c>
      <c r="C67" s="31" t="str">
        <f>VLOOKUP(A67, 'College List'!A:B, 2, FALSE)</f>
        <v>Witherbloom</v>
      </c>
      <c r="D67" s="355">
        <f>VLOOKUP(B67,Quotas!$A$8:$C$14,2,FALSE)</f>
        <v>46136.70833</v>
      </c>
      <c r="E67" s="356">
        <f>VLOOKUP(B67,Quotas!$A$8:$C$14,3,FALSE)</f>
        <v>46143.70833</v>
      </c>
      <c r="F67" s="79">
        <f>COUNTIFS(Matches!$B:$B,A67,Matches!$A:$A,CONCAT("&gt;",$D67),Matches!$A:$A,CONCAT("&lt;",$E67))</f>
        <v>3</v>
      </c>
      <c r="G67" s="79">
        <f>COUNTIFS(Matches!$C:$C,$A67,Matches!$A:$A,CONCAT("&gt;",$D67),Matches!$A:$A,CONCAT("&lt;",$E67))</f>
        <v>2</v>
      </c>
      <c r="H67" s="79">
        <f t="shared" si="1"/>
        <v>5</v>
      </c>
      <c r="I67" s="79">
        <f>COUNTIFS(Matches!$B:$B,$A67,Matches!$A:$A,CONCAT("&lt;",$E67))</f>
        <v>3</v>
      </c>
      <c r="J67" s="79">
        <f>COUNTIFS(Matches!$C:$C,$A67,Matches!$A:$A,CONCAT("&lt;",$E67))</f>
        <v>2</v>
      </c>
      <c r="K67" s="79">
        <f>COUNTIFS(Entropy!D:D,A67,Entropy!I:I,CONCAT("&lt;",E67-1))</f>
        <v>0</v>
      </c>
      <c r="L67" s="79">
        <f t="shared" si="2"/>
        <v>5</v>
      </c>
      <c r="M67" s="79">
        <f t="array" ref="M67">max(min(IF(J67+K67=11,0,XLOOKUP(B67,Quotas!$A$8:$A$14,Quotas!$E$8:$E$14)-$L67),2),0)</f>
        <v>0</v>
      </c>
      <c r="N67" s="31">
        <f t="shared" si="3"/>
        <v>0</v>
      </c>
    </row>
    <row r="68">
      <c r="A68" s="31" t="s">
        <v>55</v>
      </c>
      <c r="B68" s="9">
        <v>1.0</v>
      </c>
      <c r="C68" s="31" t="str">
        <f>VLOOKUP(A68, 'College List'!A:B, 2, FALSE)</f>
        <v>Silverquill</v>
      </c>
      <c r="D68" s="355">
        <f>VLOOKUP(B68,Quotas!$A$8:$C$14,2,FALSE)</f>
        <v>46136.70833</v>
      </c>
      <c r="E68" s="356">
        <f>VLOOKUP(B68,Quotas!$A$8:$C$14,3,FALSE)</f>
        <v>46143.70833</v>
      </c>
      <c r="F68" s="79">
        <f>COUNTIFS(Matches!$B:$B,A68,Matches!$A:$A,CONCAT("&gt;",$D68),Matches!$A:$A,CONCAT("&lt;",$E68))</f>
        <v>1</v>
      </c>
      <c r="G68" s="79">
        <f>COUNTIFS(Matches!$C:$C,$A68,Matches!$A:$A,CONCAT("&gt;",$D68),Matches!$A:$A,CONCAT("&lt;",$E68))</f>
        <v>4</v>
      </c>
      <c r="H68" s="79">
        <f t="shared" si="1"/>
        <v>5</v>
      </c>
      <c r="I68" s="79">
        <f>COUNTIFS(Matches!$B:$B,$A68,Matches!$A:$A,CONCAT("&lt;",$E68))</f>
        <v>1</v>
      </c>
      <c r="J68" s="79">
        <f>COUNTIFS(Matches!$C:$C,$A68,Matches!$A:$A,CONCAT("&lt;",$E68))</f>
        <v>4</v>
      </c>
      <c r="K68" s="79">
        <f>COUNTIFS(Entropy!D:D,A68,Entropy!I:I,CONCAT("&lt;",E68-1))</f>
        <v>0</v>
      </c>
      <c r="L68" s="79">
        <f t="shared" si="2"/>
        <v>5</v>
      </c>
      <c r="M68" s="79">
        <f t="array" ref="M68">max(min(IF(J68+K68=11,0,XLOOKUP(B68,Quotas!$A$8:$A$14,Quotas!$E$8:$E$14)-$L68),2),0)</f>
        <v>0</v>
      </c>
      <c r="N68" s="31">
        <f t="shared" si="3"/>
        <v>0</v>
      </c>
    </row>
    <row r="69">
      <c r="A69" s="31" t="s">
        <v>154</v>
      </c>
      <c r="B69" s="9">
        <v>1.0</v>
      </c>
      <c r="C69" s="31" t="str">
        <f>VLOOKUP(A69, 'College List'!A:B, 2, FALSE)</f>
        <v>Lorehold</v>
      </c>
      <c r="D69" s="355">
        <f>VLOOKUP(B69,Quotas!$A$8:$C$14,2,FALSE)</f>
        <v>46136.70833</v>
      </c>
      <c r="E69" s="356">
        <f>VLOOKUP(B69,Quotas!$A$8:$C$14,3,FALSE)</f>
        <v>46143.70833</v>
      </c>
      <c r="F69" s="79">
        <f>COUNTIFS(Matches!$B:$B,A69,Matches!$A:$A,CONCAT("&gt;",$D69),Matches!$A:$A,CONCAT("&lt;",$E69))</f>
        <v>2</v>
      </c>
      <c r="G69" s="79">
        <f>COUNTIFS(Matches!$C:$C,$A69,Matches!$A:$A,CONCAT("&gt;",$D69),Matches!$A:$A,CONCAT("&lt;",$E69))</f>
        <v>3</v>
      </c>
      <c r="H69" s="79">
        <f t="shared" si="1"/>
        <v>5</v>
      </c>
      <c r="I69" s="79">
        <f>COUNTIFS(Matches!$B:$B,$A69,Matches!$A:$A,CONCAT("&lt;",$E69))</f>
        <v>2</v>
      </c>
      <c r="J69" s="79">
        <f>COUNTIFS(Matches!$C:$C,$A69,Matches!$A:$A,CONCAT("&lt;",$E69))</f>
        <v>3</v>
      </c>
      <c r="K69" s="79">
        <f>COUNTIFS(Entropy!D:D,A69,Entropy!I:I,CONCAT("&lt;",E69-1))</f>
        <v>0</v>
      </c>
      <c r="L69" s="79">
        <f t="shared" si="2"/>
        <v>5</v>
      </c>
      <c r="M69" s="79">
        <f t="array" ref="M69">max(min(IF(J69+K69=11,0,XLOOKUP(B69,Quotas!$A$8:$A$14,Quotas!$E$8:$E$14)-$L69),2),0)</f>
        <v>0</v>
      </c>
      <c r="N69" s="31">
        <f t="shared" si="3"/>
        <v>0</v>
      </c>
    </row>
    <row r="70">
      <c r="A70" s="31" t="s">
        <v>123</v>
      </c>
      <c r="B70" s="9">
        <v>1.0</v>
      </c>
      <c r="C70" s="31" t="str">
        <f>VLOOKUP(A70, 'College List'!A:B, 2, FALSE)</f>
        <v>Silverquill</v>
      </c>
      <c r="D70" s="355">
        <f>VLOOKUP(B70,Quotas!$A$8:$C$14,2,FALSE)</f>
        <v>46136.70833</v>
      </c>
      <c r="E70" s="356">
        <f>VLOOKUP(B70,Quotas!$A$8:$C$14,3,FALSE)</f>
        <v>46143.70833</v>
      </c>
      <c r="F70" s="79">
        <f>COUNTIFS(Matches!$B:$B,A70,Matches!$A:$A,CONCAT("&gt;",$D70),Matches!$A:$A,CONCAT("&lt;",$E70))</f>
        <v>3</v>
      </c>
      <c r="G70" s="79">
        <f>COUNTIFS(Matches!$C:$C,$A70,Matches!$A:$A,CONCAT("&gt;",$D70),Matches!$A:$A,CONCAT("&lt;",$E70))</f>
        <v>2</v>
      </c>
      <c r="H70" s="79">
        <f t="shared" si="1"/>
        <v>5</v>
      </c>
      <c r="I70" s="79">
        <f>COUNTIFS(Matches!$B:$B,$A70,Matches!$A:$A,CONCAT("&lt;",$E70))</f>
        <v>3</v>
      </c>
      <c r="J70" s="79">
        <f>COUNTIFS(Matches!$C:$C,$A70,Matches!$A:$A,CONCAT("&lt;",$E70))</f>
        <v>2</v>
      </c>
      <c r="K70" s="79">
        <f>COUNTIFS(Entropy!D:D,A70,Entropy!I:I,CONCAT("&lt;",E70-1))</f>
        <v>0</v>
      </c>
      <c r="L70" s="79">
        <f t="shared" si="2"/>
        <v>5</v>
      </c>
      <c r="M70" s="79">
        <f t="array" ref="M70">max(min(IF(J70+K70=11,0,XLOOKUP(B70,Quotas!$A$8:$A$14,Quotas!$E$8:$E$14)-$L70),2),0)</f>
        <v>0</v>
      </c>
      <c r="N70" s="31">
        <f t="shared" si="3"/>
        <v>0</v>
      </c>
    </row>
    <row r="71">
      <c r="A71" s="31" t="s">
        <v>237</v>
      </c>
      <c r="B71" s="9">
        <v>1.0</v>
      </c>
      <c r="C71" s="31" t="str">
        <f>VLOOKUP(A71, 'College List'!A:B, 2, FALSE)</f>
        <v>Quandrix</v>
      </c>
      <c r="D71" s="355">
        <f>VLOOKUP(B71,Quotas!$A$8:$C$14,2,FALSE)</f>
        <v>46136.70833</v>
      </c>
      <c r="E71" s="356">
        <f>VLOOKUP(B71,Quotas!$A$8:$C$14,3,FALSE)</f>
        <v>46143.70833</v>
      </c>
      <c r="F71" s="79">
        <f>COUNTIFS(Matches!$B:$B,A71,Matches!$A:$A,CONCAT("&gt;",$D71),Matches!$A:$A,CONCAT("&lt;",$E71))</f>
        <v>4</v>
      </c>
      <c r="G71" s="79">
        <f>COUNTIFS(Matches!$C:$C,$A71,Matches!$A:$A,CONCAT("&gt;",$D71),Matches!$A:$A,CONCAT("&lt;",$E71))</f>
        <v>1</v>
      </c>
      <c r="H71" s="79">
        <f t="shared" si="1"/>
        <v>5</v>
      </c>
      <c r="I71" s="79">
        <f>COUNTIFS(Matches!$B:$B,$A71,Matches!$A:$A,CONCAT("&lt;",$E71))</f>
        <v>4</v>
      </c>
      <c r="J71" s="79">
        <f>COUNTIFS(Matches!$C:$C,$A71,Matches!$A:$A,CONCAT("&lt;",$E71))</f>
        <v>1</v>
      </c>
      <c r="K71" s="79">
        <f>COUNTIFS(Entropy!D:D,A71,Entropy!I:I,CONCAT("&lt;",E71-1))</f>
        <v>0</v>
      </c>
      <c r="L71" s="79">
        <f t="shared" si="2"/>
        <v>5</v>
      </c>
      <c r="M71" s="79">
        <f t="array" ref="M71">max(min(IF(J71+K71=11,0,XLOOKUP(B71,Quotas!$A$8:$A$14,Quotas!$E$8:$E$14)-$L71),2),0)</f>
        <v>0</v>
      </c>
      <c r="N71" s="31">
        <f t="shared" si="3"/>
        <v>0</v>
      </c>
    </row>
    <row r="72">
      <c r="A72" s="31" t="s">
        <v>95</v>
      </c>
      <c r="B72" s="9">
        <v>1.0</v>
      </c>
      <c r="C72" s="31" t="str">
        <f>VLOOKUP(A72, 'College List'!A:B, 2, FALSE)</f>
        <v>Witherbloom</v>
      </c>
      <c r="D72" s="355">
        <f>VLOOKUP(B72,Quotas!$A$8:$C$14,2,FALSE)</f>
        <v>46136.70833</v>
      </c>
      <c r="E72" s="356">
        <f>VLOOKUP(B72,Quotas!$A$8:$C$14,3,FALSE)</f>
        <v>46143.70833</v>
      </c>
      <c r="F72" s="79">
        <f>COUNTIFS(Matches!$B:$B,A72,Matches!$A:$A,CONCAT("&gt;",$D72),Matches!$A:$A,CONCAT("&lt;",$E72))</f>
        <v>2</v>
      </c>
      <c r="G72" s="79">
        <f>COUNTIFS(Matches!$C:$C,$A72,Matches!$A:$A,CONCAT("&gt;",$D72),Matches!$A:$A,CONCAT("&lt;",$E72))</f>
        <v>3</v>
      </c>
      <c r="H72" s="79">
        <f t="shared" si="1"/>
        <v>5</v>
      </c>
      <c r="I72" s="79">
        <f>COUNTIFS(Matches!$B:$B,$A72,Matches!$A:$A,CONCAT("&lt;",$E72))</f>
        <v>2</v>
      </c>
      <c r="J72" s="79">
        <f>COUNTIFS(Matches!$C:$C,$A72,Matches!$A:$A,CONCAT("&lt;",$E72))</f>
        <v>3</v>
      </c>
      <c r="K72" s="79">
        <f>COUNTIFS(Entropy!D:D,A72,Entropy!I:I,CONCAT("&lt;",E72-1))</f>
        <v>0</v>
      </c>
      <c r="L72" s="79">
        <f t="shared" si="2"/>
        <v>5</v>
      </c>
      <c r="M72" s="79">
        <f t="array" ref="M72">max(min(IF(J72+K72=11,0,XLOOKUP(B72,Quotas!$A$8:$A$14,Quotas!$E$8:$E$14)-$L72),2),0)</f>
        <v>0</v>
      </c>
      <c r="N72" s="31">
        <f t="shared" si="3"/>
        <v>0</v>
      </c>
    </row>
    <row r="73">
      <c r="A73" s="31" t="s">
        <v>150</v>
      </c>
      <c r="B73" s="9">
        <v>1.0</v>
      </c>
      <c r="C73" s="31" t="str">
        <f>VLOOKUP(A73, 'College List'!A:B, 2, FALSE)</f>
        <v>Witherbloom</v>
      </c>
      <c r="D73" s="355">
        <f>VLOOKUP(B73,Quotas!$A$8:$C$14,2,FALSE)</f>
        <v>46136.70833</v>
      </c>
      <c r="E73" s="356">
        <f>VLOOKUP(B73,Quotas!$A$8:$C$14,3,FALSE)</f>
        <v>46143.70833</v>
      </c>
      <c r="F73" s="79">
        <f>COUNTIFS(Matches!$B:$B,A73,Matches!$A:$A,CONCAT("&gt;",$D73),Matches!$A:$A,CONCAT("&lt;",$E73))</f>
        <v>1</v>
      </c>
      <c r="G73" s="79">
        <f>COUNTIFS(Matches!$C:$C,$A73,Matches!$A:$A,CONCAT("&gt;",$D73),Matches!$A:$A,CONCAT("&lt;",$E73))</f>
        <v>3</v>
      </c>
      <c r="H73" s="79">
        <f t="shared" si="1"/>
        <v>4</v>
      </c>
      <c r="I73" s="79">
        <f>COUNTIFS(Matches!$B:$B,$A73,Matches!$A:$A,CONCAT("&lt;",$E73))</f>
        <v>1</v>
      </c>
      <c r="J73" s="79">
        <f>COUNTIFS(Matches!$C:$C,$A73,Matches!$A:$A,CONCAT("&lt;",$E73))</f>
        <v>3</v>
      </c>
      <c r="K73" s="79">
        <f>COUNTIFS(Entropy!D:D,A73,Entropy!I:I,CONCAT("&lt;",E73-1))</f>
        <v>0</v>
      </c>
      <c r="L73" s="79">
        <f t="shared" si="2"/>
        <v>4</v>
      </c>
      <c r="M73" s="79">
        <f t="array" ref="M73">max(min(IF(J73+K73=11,0,XLOOKUP(B73,Quotas!$A$8:$A$14,Quotas!$E$8:$E$14)-$L73),2),0)</f>
        <v>1</v>
      </c>
      <c r="N73" s="31">
        <f t="shared" si="3"/>
        <v>0.5</v>
      </c>
    </row>
    <row r="74">
      <c r="A74" s="31" t="s">
        <v>85</v>
      </c>
      <c r="B74" s="9">
        <v>1.0</v>
      </c>
      <c r="C74" s="31" t="str">
        <f>VLOOKUP(A74, 'College List'!A:B, 2, FALSE)</f>
        <v>Lorehold</v>
      </c>
      <c r="D74" s="355">
        <f>VLOOKUP(B74,Quotas!$A$8:$C$14,2,FALSE)</f>
        <v>46136.70833</v>
      </c>
      <c r="E74" s="356">
        <f>VLOOKUP(B74,Quotas!$A$8:$C$14,3,FALSE)</f>
        <v>46143.70833</v>
      </c>
      <c r="F74" s="79">
        <f>COUNTIFS(Matches!$B:$B,A74,Matches!$A:$A,CONCAT("&gt;",$D74),Matches!$A:$A,CONCAT("&lt;",$E74))</f>
        <v>3</v>
      </c>
      <c r="G74" s="79">
        <f>COUNTIFS(Matches!$C:$C,$A74,Matches!$A:$A,CONCAT("&gt;",$D74),Matches!$A:$A,CONCAT("&lt;",$E74))</f>
        <v>2</v>
      </c>
      <c r="H74" s="79">
        <f t="shared" si="1"/>
        <v>5</v>
      </c>
      <c r="I74" s="79">
        <f>COUNTIFS(Matches!$B:$B,$A74,Matches!$A:$A,CONCAT("&lt;",$E74))</f>
        <v>3</v>
      </c>
      <c r="J74" s="79">
        <f>COUNTIFS(Matches!$C:$C,$A74,Matches!$A:$A,CONCAT("&lt;",$E74))</f>
        <v>2</v>
      </c>
      <c r="K74" s="79">
        <f>COUNTIFS(Entropy!D:D,A74,Entropy!I:I,CONCAT("&lt;",E74-1))</f>
        <v>0</v>
      </c>
      <c r="L74" s="79">
        <f t="shared" si="2"/>
        <v>5</v>
      </c>
      <c r="M74" s="79">
        <f t="array" ref="M74">max(min(IF(J74+K74=11,0,XLOOKUP(B74,Quotas!$A$8:$A$14,Quotas!$E$8:$E$14)-$L74),2),0)</f>
        <v>0</v>
      </c>
      <c r="N74" s="31">
        <f t="shared" si="3"/>
        <v>0</v>
      </c>
    </row>
    <row r="75">
      <c r="A75" s="31" t="s">
        <v>290</v>
      </c>
      <c r="B75" s="9">
        <v>1.0</v>
      </c>
      <c r="C75" s="31" t="str">
        <f>VLOOKUP(A75, 'College List'!A:B, 2, FALSE)</f>
        <v>Lorehold</v>
      </c>
      <c r="D75" s="355">
        <f>VLOOKUP(B75,Quotas!$A$8:$C$14,2,FALSE)</f>
        <v>46136.70833</v>
      </c>
      <c r="E75" s="356">
        <f>VLOOKUP(B75,Quotas!$A$8:$C$14,3,FALSE)</f>
        <v>46143.70833</v>
      </c>
      <c r="F75" s="79">
        <f>COUNTIFS(Matches!$B:$B,A75,Matches!$A:$A,CONCAT("&gt;",$D75),Matches!$A:$A,CONCAT("&lt;",$E75))</f>
        <v>5</v>
      </c>
      <c r="G75" s="79">
        <f>COUNTIFS(Matches!$C:$C,$A75,Matches!$A:$A,CONCAT("&gt;",$D75),Matches!$A:$A,CONCAT("&lt;",$E75))</f>
        <v>0</v>
      </c>
      <c r="H75" s="79">
        <f t="shared" si="1"/>
        <v>5</v>
      </c>
      <c r="I75" s="79">
        <f>COUNTIFS(Matches!$B:$B,$A75,Matches!$A:$A,CONCAT("&lt;",$E75))</f>
        <v>5</v>
      </c>
      <c r="J75" s="79">
        <f>COUNTIFS(Matches!$C:$C,$A75,Matches!$A:$A,CONCAT("&lt;",$E75))</f>
        <v>0</v>
      </c>
      <c r="K75" s="79">
        <f>COUNTIFS(Entropy!D:D,A75,Entropy!I:I,CONCAT("&lt;",E75-1))</f>
        <v>0</v>
      </c>
      <c r="L75" s="79">
        <f t="shared" si="2"/>
        <v>5</v>
      </c>
      <c r="M75" s="79">
        <f t="array" ref="M75">max(min(IF(J75+K75=11,0,XLOOKUP(B75,Quotas!$A$8:$A$14,Quotas!$E$8:$E$14)-$L75),2),0)</f>
        <v>0</v>
      </c>
      <c r="N75" s="31">
        <f t="shared" si="3"/>
        <v>0</v>
      </c>
    </row>
    <row r="76">
      <c r="A76" s="31" t="s">
        <v>404</v>
      </c>
      <c r="B76" s="9">
        <v>1.0</v>
      </c>
      <c r="C76" s="31" t="str">
        <f>VLOOKUP(A76, 'College List'!A:B, 2, FALSE)</f>
        <v>Witherbloom</v>
      </c>
      <c r="D76" s="355">
        <f>VLOOKUP(B76,Quotas!$A$8:$C$14,2,FALSE)</f>
        <v>46136.70833</v>
      </c>
      <c r="E76" s="356">
        <f>VLOOKUP(B76,Quotas!$A$8:$C$14,3,FALSE)</f>
        <v>46143.70833</v>
      </c>
      <c r="F76" s="79">
        <f>COUNTIFS(Matches!$B:$B,A76,Matches!$A:$A,CONCAT("&gt;",$D76),Matches!$A:$A,CONCAT("&lt;",$E76))</f>
        <v>1</v>
      </c>
      <c r="G76" s="79">
        <f>COUNTIFS(Matches!$C:$C,$A76,Matches!$A:$A,CONCAT("&gt;",$D76),Matches!$A:$A,CONCAT("&lt;",$E76))</f>
        <v>3</v>
      </c>
      <c r="H76" s="79">
        <f t="shared" si="1"/>
        <v>4</v>
      </c>
      <c r="I76" s="79">
        <f>COUNTIFS(Matches!$B:$B,$A76,Matches!$A:$A,CONCAT("&lt;",$E76))</f>
        <v>1</v>
      </c>
      <c r="J76" s="79">
        <f>COUNTIFS(Matches!$C:$C,$A76,Matches!$A:$A,CONCAT("&lt;",$E76))</f>
        <v>3</v>
      </c>
      <c r="K76" s="79">
        <f>COUNTIFS(Entropy!D:D,A76,Entropy!I:I,CONCAT("&lt;",E76-1))</f>
        <v>0</v>
      </c>
      <c r="L76" s="79">
        <f t="shared" si="2"/>
        <v>4</v>
      </c>
      <c r="M76" s="79">
        <f t="array" ref="M76">max(min(IF(J76+K76=11,0,XLOOKUP(B76,Quotas!$A$8:$A$14,Quotas!$E$8:$E$14)-$L76),2),0)</f>
        <v>1</v>
      </c>
      <c r="N76" s="31">
        <f t="shared" si="3"/>
        <v>0.5</v>
      </c>
    </row>
    <row r="77">
      <c r="A77" s="31" t="s">
        <v>103</v>
      </c>
      <c r="B77" s="9">
        <v>1.0</v>
      </c>
      <c r="C77" s="31" t="str">
        <f>VLOOKUP(A77, 'College List'!A:B, 2, FALSE)</f>
        <v>Quandrix</v>
      </c>
      <c r="D77" s="355">
        <f>VLOOKUP(B77,Quotas!$A$8:$C$14,2,FALSE)</f>
        <v>46136.70833</v>
      </c>
      <c r="E77" s="356">
        <f>VLOOKUP(B77,Quotas!$A$8:$C$14,3,FALSE)</f>
        <v>46143.70833</v>
      </c>
      <c r="F77" s="79">
        <f>COUNTIFS(Matches!$B:$B,A77,Matches!$A:$A,CONCAT("&gt;",$D77),Matches!$A:$A,CONCAT("&lt;",$E77))</f>
        <v>5</v>
      </c>
      <c r="G77" s="79">
        <f>COUNTIFS(Matches!$C:$C,$A77,Matches!$A:$A,CONCAT("&gt;",$D77),Matches!$A:$A,CONCAT("&lt;",$E77))</f>
        <v>0</v>
      </c>
      <c r="H77" s="79">
        <f t="shared" si="1"/>
        <v>5</v>
      </c>
      <c r="I77" s="79">
        <f>COUNTIFS(Matches!$B:$B,$A77,Matches!$A:$A,CONCAT("&lt;",$E77))</f>
        <v>5</v>
      </c>
      <c r="J77" s="79">
        <f>COUNTIFS(Matches!$C:$C,$A77,Matches!$A:$A,CONCAT("&lt;",$E77))</f>
        <v>0</v>
      </c>
      <c r="K77" s="79">
        <f>COUNTIFS(Entropy!D:D,A77,Entropy!I:I,CONCAT("&lt;",E77-1))</f>
        <v>0</v>
      </c>
      <c r="L77" s="79">
        <f t="shared" si="2"/>
        <v>5</v>
      </c>
      <c r="M77" s="79">
        <f t="array" ref="M77">max(min(IF(J77+K77=11,0,XLOOKUP(B77,Quotas!$A$8:$A$14,Quotas!$E$8:$E$14)-$L77),2),0)</f>
        <v>0</v>
      </c>
      <c r="N77" s="31">
        <f t="shared" si="3"/>
        <v>0</v>
      </c>
    </row>
    <row r="78">
      <c r="A78" s="31" t="s">
        <v>141</v>
      </c>
      <c r="B78" s="9">
        <v>1.0</v>
      </c>
      <c r="C78" s="31" t="str">
        <f>VLOOKUP(A78, 'College List'!A:B, 2, FALSE)</f>
        <v>Silverquill</v>
      </c>
      <c r="D78" s="355">
        <f>VLOOKUP(B78,Quotas!$A$8:$C$14,2,FALSE)</f>
        <v>46136.70833</v>
      </c>
      <c r="E78" s="356">
        <f>VLOOKUP(B78,Quotas!$A$8:$C$14,3,FALSE)</f>
        <v>46143.70833</v>
      </c>
      <c r="F78" s="79">
        <f>COUNTIFS(Matches!$B:$B,A78,Matches!$A:$A,CONCAT("&gt;",$D78),Matches!$A:$A,CONCAT("&lt;",$E78))</f>
        <v>2</v>
      </c>
      <c r="G78" s="79">
        <f>COUNTIFS(Matches!$C:$C,$A78,Matches!$A:$A,CONCAT("&gt;",$D78),Matches!$A:$A,CONCAT("&lt;",$E78))</f>
        <v>3</v>
      </c>
      <c r="H78" s="79">
        <f t="shared" si="1"/>
        <v>5</v>
      </c>
      <c r="I78" s="79">
        <f>COUNTIFS(Matches!$B:$B,$A78,Matches!$A:$A,CONCAT("&lt;",$E78))</f>
        <v>2</v>
      </c>
      <c r="J78" s="79">
        <f>COUNTIFS(Matches!$C:$C,$A78,Matches!$A:$A,CONCAT("&lt;",$E78))</f>
        <v>3</v>
      </c>
      <c r="K78" s="79">
        <f>COUNTIFS(Entropy!D:D,A78,Entropy!I:I,CONCAT("&lt;",E78-1))</f>
        <v>0</v>
      </c>
      <c r="L78" s="79">
        <f t="shared" si="2"/>
        <v>5</v>
      </c>
      <c r="M78" s="79">
        <f t="array" ref="M78">max(min(IF(J78+K78=11,0,XLOOKUP(B78,Quotas!$A$8:$A$14,Quotas!$E$8:$E$14)-$L78),2),0)</f>
        <v>0</v>
      </c>
      <c r="N78" s="31">
        <f t="shared" si="3"/>
        <v>0</v>
      </c>
    </row>
    <row r="79">
      <c r="A79" s="31" t="s">
        <v>74</v>
      </c>
      <c r="B79" s="9">
        <v>1.0</v>
      </c>
      <c r="C79" s="31" t="str">
        <f>VLOOKUP(A79, 'College List'!A:B, 2, FALSE)</f>
        <v>Lorehold</v>
      </c>
      <c r="D79" s="355">
        <f>VLOOKUP(B79,Quotas!$A$8:$C$14,2,FALSE)</f>
        <v>46136.70833</v>
      </c>
      <c r="E79" s="356">
        <f>VLOOKUP(B79,Quotas!$A$8:$C$14,3,FALSE)</f>
        <v>46143.70833</v>
      </c>
      <c r="F79" s="79">
        <f>COUNTIFS(Matches!$B:$B,A79,Matches!$A:$A,CONCAT("&gt;",$D79),Matches!$A:$A,CONCAT("&lt;",$E79))</f>
        <v>3</v>
      </c>
      <c r="G79" s="79">
        <f>COUNTIFS(Matches!$C:$C,$A79,Matches!$A:$A,CONCAT("&gt;",$D79),Matches!$A:$A,CONCAT("&lt;",$E79))</f>
        <v>2</v>
      </c>
      <c r="H79" s="79">
        <f t="shared" si="1"/>
        <v>5</v>
      </c>
      <c r="I79" s="79">
        <f>COUNTIFS(Matches!$B:$B,$A79,Matches!$A:$A,CONCAT("&lt;",$E79))</f>
        <v>3</v>
      </c>
      <c r="J79" s="79">
        <f>COUNTIFS(Matches!$C:$C,$A79,Matches!$A:$A,CONCAT("&lt;",$E79))</f>
        <v>2</v>
      </c>
      <c r="K79" s="79">
        <f>COUNTIFS(Entropy!D:D,A79,Entropy!I:I,CONCAT("&lt;",E79-1))</f>
        <v>0</v>
      </c>
      <c r="L79" s="79">
        <f t="shared" si="2"/>
        <v>5</v>
      </c>
      <c r="M79" s="79">
        <f t="array" ref="M79">max(min(IF(J79+K79=11,0,XLOOKUP(B79,Quotas!$A$8:$A$14,Quotas!$E$8:$E$14)-$L79),2),0)</f>
        <v>0</v>
      </c>
      <c r="N79" s="31">
        <f t="shared" si="3"/>
        <v>0</v>
      </c>
    </row>
    <row r="80">
      <c r="A80" s="31" t="s">
        <v>59</v>
      </c>
      <c r="B80" s="9">
        <v>1.0</v>
      </c>
      <c r="C80" s="31" t="str">
        <f>VLOOKUP(A80, 'College List'!A:B, 2, FALSE)</f>
        <v>Quandrix</v>
      </c>
      <c r="D80" s="355">
        <f>VLOOKUP(B80,Quotas!$A$8:$C$14,2,FALSE)</f>
        <v>46136.70833</v>
      </c>
      <c r="E80" s="356">
        <f>VLOOKUP(B80,Quotas!$A$8:$C$14,3,FALSE)</f>
        <v>46143.70833</v>
      </c>
      <c r="F80" s="79">
        <f>COUNTIFS(Matches!$B:$B,A80,Matches!$A:$A,CONCAT("&gt;",$D80),Matches!$A:$A,CONCAT("&lt;",$E80))</f>
        <v>4</v>
      </c>
      <c r="G80" s="79">
        <f>COUNTIFS(Matches!$C:$C,$A80,Matches!$A:$A,CONCAT("&gt;",$D80),Matches!$A:$A,CONCAT("&lt;",$E80))</f>
        <v>1</v>
      </c>
      <c r="H80" s="79">
        <f t="shared" si="1"/>
        <v>5</v>
      </c>
      <c r="I80" s="79">
        <f>COUNTIFS(Matches!$B:$B,$A80,Matches!$A:$A,CONCAT("&lt;",$E80))</f>
        <v>4</v>
      </c>
      <c r="J80" s="79">
        <f>COUNTIFS(Matches!$C:$C,$A80,Matches!$A:$A,CONCAT("&lt;",$E80))</f>
        <v>1</v>
      </c>
      <c r="K80" s="79">
        <f>COUNTIFS(Entropy!D:D,A80,Entropy!I:I,CONCAT("&lt;",E80-1))</f>
        <v>0</v>
      </c>
      <c r="L80" s="79">
        <f t="shared" si="2"/>
        <v>5</v>
      </c>
      <c r="M80" s="79">
        <f t="array" ref="M80">max(min(IF(J80+K80=11,0,XLOOKUP(B80,Quotas!$A$8:$A$14,Quotas!$E$8:$E$14)-$L80),2),0)</f>
        <v>0</v>
      </c>
      <c r="N80" s="31">
        <f t="shared" si="3"/>
        <v>0</v>
      </c>
    </row>
    <row r="81">
      <c r="A81" s="31" t="s">
        <v>200</v>
      </c>
      <c r="B81" s="9">
        <v>1.0</v>
      </c>
      <c r="C81" s="31" t="str">
        <f>VLOOKUP(A81, 'College List'!A:B, 2, FALSE)</f>
        <v>Lorehold</v>
      </c>
      <c r="D81" s="355">
        <f>VLOOKUP(B81,Quotas!$A$8:$C$14,2,FALSE)</f>
        <v>46136.70833</v>
      </c>
      <c r="E81" s="356">
        <f>VLOOKUP(B81,Quotas!$A$8:$C$14,3,FALSE)</f>
        <v>46143.70833</v>
      </c>
      <c r="F81" s="79">
        <f>COUNTIFS(Matches!$B:$B,A81,Matches!$A:$A,CONCAT("&gt;",$D81),Matches!$A:$A,CONCAT("&lt;",$E81))</f>
        <v>3</v>
      </c>
      <c r="G81" s="79">
        <f>COUNTIFS(Matches!$C:$C,$A81,Matches!$A:$A,CONCAT("&gt;",$D81),Matches!$A:$A,CONCAT("&lt;",$E81))</f>
        <v>1</v>
      </c>
      <c r="H81" s="79">
        <f t="shared" si="1"/>
        <v>4</v>
      </c>
      <c r="I81" s="79">
        <f>COUNTIFS(Matches!$B:$B,$A81,Matches!$A:$A,CONCAT("&lt;",$E81))</f>
        <v>3</v>
      </c>
      <c r="J81" s="79">
        <f>COUNTIFS(Matches!$C:$C,$A81,Matches!$A:$A,CONCAT("&lt;",$E81))</f>
        <v>1</v>
      </c>
      <c r="K81" s="79">
        <f>COUNTIFS(Entropy!D:D,A81,Entropy!I:I,CONCAT("&lt;",E81-1))</f>
        <v>0</v>
      </c>
      <c r="L81" s="79">
        <f t="shared" si="2"/>
        <v>4</v>
      </c>
      <c r="M81" s="79">
        <f t="array" ref="M81">max(min(IF(J81+K81=11,0,XLOOKUP(B81,Quotas!$A$8:$A$14,Quotas!$E$8:$E$14)-$L81),2),0)</f>
        <v>1</v>
      </c>
      <c r="N81" s="31">
        <f t="shared" si="3"/>
        <v>0.5</v>
      </c>
    </row>
    <row r="82">
      <c r="A82" s="31" t="s">
        <v>182</v>
      </c>
      <c r="B82" s="9">
        <v>1.0</v>
      </c>
      <c r="C82" s="31" t="str">
        <f>VLOOKUP(A82, 'College List'!A:B, 2, FALSE)</f>
        <v>Prismari</v>
      </c>
      <c r="D82" s="355">
        <f>VLOOKUP(B82,Quotas!$A$8:$C$14,2,FALSE)</f>
        <v>46136.70833</v>
      </c>
      <c r="E82" s="356">
        <f>VLOOKUP(B82,Quotas!$A$8:$C$14,3,FALSE)</f>
        <v>46143.70833</v>
      </c>
      <c r="F82" s="79">
        <f>COUNTIFS(Matches!$B:$B,A82,Matches!$A:$A,CONCAT("&gt;",$D82),Matches!$A:$A,CONCAT("&lt;",$E82))</f>
        <v>2</v>
      </c>
      <c r="G82" s="79">
        <f>COUNTIFS(Matches!$C:$C,$A82,Matches!$A:$A,CONCAT("&gt;",$D82),Matches!$A:$A,CONCAT("&lt;",$E82))</f>
        <v>3</v>
      </c>
      <c r="H82" s="79">
        <f t="shared" si="1"/>
        <v>5</v>
      </c>
      <c r="I82" s="79">
        <f>COUNTIFS(Matches!$B:$B,$A82,Matches!$A:$A,CONCAT("&lt;",$E82))</f>
        <v>2</v>
      </c>
      <c r="J82" s="79">
        <f>COUNTIFS(Matches!$C:$C,$A82,Matches!$A:$A,CONCAT("&lt;",$E82))</f>
        <v>3</v>
      </c>
      <c r="K82" s="79">
        <f>COUNTIFS(Entropy!D:D,A82,Entropy!I:I,CONCAT("&lt;",E82-1))</f>
        <v>0</v>
      </c>
      <c r="L82" s="79">
        <f t="shared" si="2"/>
        <v>5</v>
      </c>
      <c r="M82" s="79">
        <f t="array" ref="M82">max(min(IF(J82+K82=11,0,XLOOKUP(B82,Quotas!$A$8:$A$14,Quotas!$E$8:$E$14)-$L82),2),0)</f>
        <v>0</v>
      </c>
      <c r="N82" s="31">
        <f t="shared" si="3"/>
        <v>0</v>
      </c>
    </row>
    <row r="83">
      <c r="A83" s="31" t="s">
        <v>333</v>
      </c>
      <c r="B83" s="9">
        <v>1.0</v>
      </c>
      <c r="C83" s="31" t="str">
        <f>VLOOKUP(A83, 'College List'!A:B, 2, FALSE)</f>
        <v>Witherbloom</v>
      </c>
      <c r="D83" s="355">
        <f>VLOOKUP(B83,Quotas!$A$8:$C$14,2,FALSE)</f>
        <v>46136.70833</v>
      </c>
      <c r="E83" s="356">
        <f>VLOOKUP(B83,Quotas!$A$8:$C$14,3,FALSE)</f>
        <v>46143.70833</v>
      </c>
      <c r="F83" s="79">
        <f>COUNTIFS(Matches!$B:$B,A83,Matches!$A:$A,CONCAT("&gt;",$D83),Matches!$A:$A,CONCAT("&lt;",$E83))</f>
        <v>5</v>
      </c>
      <c r="G83" s="79">
        <f>COUNTIFS(Matches!$C:$C,$A83,Matches!$A:$A,CONCAT("&gt;",$D83),Matches!$A:$A,CONCAT("&lt;",$E83))</f>
        <v>0</v>
      </c>
      <c r="H83" s="79">
        <f t="shared" si="1"/>
        <v>5</v>
      </c>
      <c r="I83" s="79">
        <f>COUNTIFS(Matches!$B:$B,$A83,Matches!$A:$A,CONCAT("&lt;",$E83))</f>
        <v>5</v>
      </c>
      <c r="J83" s="79">
        <f>COUNTIFS(Matches!$C:$C,$A83,Matches!$A:$A,CONCAT("&lt;",$E83))</f>
        <v>0</v>
      </c>
      <c r="K83" s="79">
        <f>COUNTIFS(Entropy!D:D,A83,Entropy!I:I,CONCAT("&lt;",E83-1))</f>
        <v>0</v>
      </c>
      <c r="L83" s="79">
        <f t="shared" si="2"/>
        <v>5</v>
      </c>
      <c r="M83" s="79">
        <f t="array" ref="M83">max(min(IF(J83+K83=11,0,XLOOKUP(B83,Quotas!$A$8:$A$14,Quotas!$E$8:$E$14)-$L83),2),0)</f>
        <v>0</v>
      </c>
      <c r="N83" s="31">
        <f t="shared" si="3"/>
        <v>0</v>
      </c>
    </row>
    <row r="84">
      <c r="A84" s="31" t="s">
        <v>114</v>
      </c>
      <c r="B84" s="9">
        <v>1.0</v>
      </c>
      <c r="C84" s="31" t="str">
        <f>VLOOKUP(A84, 'College List'!A:B, 2, FALSE)</f>
        <v>Lorehold</v>
      </c>
      <c r="D84" s="355">
        <f>VLOOKUP(B84,Quotas!$A$8:$C$14,2,FALSE)</f>
        <v>46136.70833</v>
      </c>
      <c r="E84" s="356">
        <f>VLOOKUP(B84,Quotas!$A$8:$C$14,3,FALSE)</f>
        <v>46143.70833</v>
      </c>
      <c r="F84" s="79">
        <f>COUNTIFS(Matches!$B:$B,A84,Matches!$A:$A,CONCAT("&gt;",$D84),Matches!$A:$A,CONCAT("&lt;",$E84))</f>
        <v>2</v>
      </c>
      <c r="G84" s="79">
        <f>COUNTIFS(Matches!$C:$C,$A84,Matches!$A:$A,CONCAT("&gt;",$D84),Matches!$A:$A,CONCAT("&lt;",$E84))</f>
        <v>3</v>
      </c>
      <c r="H84" s="79">
        <f t="shared" si="1"/>
        <v>5</v>
      </c>
      <c r="I84" s="79">
        <f>COUNTIFS(Matches!$B:$B,$A84,Matches!$A:$A,CONCAT("&lt;",$E84))</f>
        <v>2</v>
      </c>
      <c r="J84" s="79">
        <f>COUNTIFS(Matches!$C:$C,$A84,Matches!$A:$A,CONCAT("&lt;",$E84))</f>
        <v>3</v>
      </c>
      <c r="K84" s="79">
        <f>COUNTIFS(Entropy!D:D,A84,Entropy!I:I,CONCAT("&lt;",E84-1))</f>
        <v>0</v>
      </c>
      <c r="L84" s="79">
        <f t="shared" si="2"/>
        <v>5</v>
      </c>
      <c r="M84" s="79">
        <f t="array" ref="M84">max(min(IF(J84+K84=11,0,XLOOKUP(B84,Quotas!$A$8:$A$14,Quotas!$E$8:$E$14)-$L84),2),0)</f>
        <v>0</v>
      </c>
      <c r="N84" s="31">
        <f t="shared" si="3"/>
        <v>0</v>
      </c>
    </row>
    <row r="85">
      <c r="A85" s="31" t="s">
        <v>120</v>
      </c>
      <c r="B85" s="9">
        <v>1.0</v>
      </c>
      <c r="C85" s="31" t="str">
        <f>VLOOKUP(A85, 'College List'!A:B, 2, FALSE)</f>
        <v>Prismari</v>
      </c>
      <c r="D85" s="355">
        <f>VLOOKUP(B85,Quotas!$A$8:$C$14,2,FALSE)</f>
        <v>46136.70833</v>
      </c>
      <c r="E85" s="356">
        <f>VLOOKUP(B85,Quotas!$A$8:$C$14,3,FALSE)</f>
        <v>46143.70833</v>
      </c>
      <c r="F85" s="79">
        <f>COUNTIFS(Matches!$B:$B,A85,Matches!$A:$A,CONCAT("&gt;",$D85),Matches!$A:$A,CONCAT("&lt;",$E85))</f>
        <v>4</v>
      </c>
      <c r="G85" s="79">
        <f>COUNTIFS(Matches!$C:$C,$A85,Matches!$A:$A,CONCAT("&gt;",$D85),Matches!$A:$A,CONCAT("&lt;",$E85))</f>
        <v>1</v>
      </c>
      <c r="H85" s="79">
        <f t="shared" si="1"/>
        <v>5</v>
      </c>
      <c r="I85" s="79">
        <f>COUNTIFS(Matches!$B:$B,$A85,Matches!$A:$A,CONCAT("&lt;",$E85))</f>
        <v>4</v>
      </c>
      <c r="J85" s="79">
        <f>COUNTIFS(Matches!$C:$C,$A85,Matches!$A:$A,CONCAT("&lt;",$E85))</f>
        <v>1</v>
      </c>
      <c r="K85" s="79">
        <f>COUNTIFS(Entropy!D:D,A85,Entropy!I:I,CONCAT("&lt;",E85-1))</f>
        <v>0</v>
      </c>
      <c r="L85" s="79">
        <f t="shared" si="2"/>
        <v>5</v>
      </c>
      <c r="M85" s="79">
        <f t="array" ref="M85">max(min(IF(J85+K85=11,0,XLOOKUP(B85,Quotas!$A$8:$A$14,Quotas!$E$8:$E$14)-$L85),2),0)</f>
        <v>0</v>
      </c>
      <c r="N85" s="31">
        <f t="shared" si="3"/>
        <v>0</v>
      </c>
    </row>
    <row r="86">
      <c r="A86" s="31" t="s">
        <v>133</v>
      </c>
      <c r="B86" s="9">
        <v>1.0</v>
      </c>
      <c r="C86" s="31" t="str">
        <f>VLOOKUP(A86, 'College List'!A:B, 2, FALSE)</f>
        <v>Prismari</v>
      </c>
      <c r="D86" s="355">
        <f>VLOOKUP(B86,Quotas!$A$8:$C$14,2,FALSE)</f>
        <v>46136.70833</v>
      </c>
      <c r="E86" s="356">
        <f>VLOOKUP(B86,Quotas!$A$8:$C$14,3,FALSE)</f>
        <v>46143.70833</v>
      </c>
      <c r="F86" s="79">
        <f>COUNTIFS(Matches!$B:$B,A86,Matches!$A:$A,CONCAT("&gt;",$D86),Matches!$A:$A,CONCAT("&lt;",$E86))</f>
        <v>2</v>
      </c>
      <c r="G86" s="79">
        <f>COUNTIFS(Matches!$C:$C,$A86,Matches!$A:$A,CONCAT("&gt;",$D86),Matches!$A:$A,CONCAT("&lt;",$E86))</f>
        <v>3</v>
      </c>
      <c r="H86" s="79">
        <f t="shared" si="1"/>
        <v>5</v>
      </c>
      <c r="I86" s="79">
        <f>COUNTIFS(Matches!$B:$B,$A86,Matches!$A:$A,CONCAT("&lt;",$E86))</f>
        <v>2</v>
      </c>
      <c r="J86" s="79">
        <f>COUNTIFS(Matches!$C:$C,$A86,Matches!$A:$A,CONCAT("&lt;",$E86))</f>
        <v>3</v>
      </c>
      <c r="K86" s="79">
        <f>COUNTIFS(Entropy!D:D,A86,Entropy!I:I,CONCAT("&lt;",E86-1))</f>
        <v>0</v>
      </c>
      <c r="L86" s="79">
        <f t="shared" si="2"/>
        <v>5</v>
      </c>
      <c r="M86" s="79">
        <f t="array" ref="M86">max(min(IF(J86+K86=11,0,XLOOKUP(B86,Quotas!$A$8:$A$14,Quotas!$E$8:$E$14)-$L86),2),0)</f>
        <v>0</v>
      </c>
      <c r="N86" s="31">
        <f t="shared" si="3"/>
        <v>0</v>
      </c>
    </row>
    <row r="87">
      <c r="A87" s="31" t="s">
        <v>414</v>
      </c>
      <c r="B87" s="9">
        <v>1.0</v>
      </c>
      <c r="C87" s="31" t="str">
        <f>VLOOKUP(A87, 'College List'!A:B, 2, FALSE)</f>
        <v>Prismari</v>
      </c>
      <c r="D87" s="355">
        <f>VLOOKUP(B87,Quotas!$A$8:$C$14,2,FALSE)</f>
        <v>46136.70833</v>
      </c>
      <c r="E87" s="356">
        <f>VLOOKUP(B87,Quotas!$A$8:$C$14,3,FALSE)</f>
        <v>46143.70833</v>
      </c>
      <c r="F87" s="79">
        <f>COUNTIFS(Matches!$B:$B,A87,Matches!$A:$A,CONCAT("&gt;",$D87),Matches!$A:$A,CONCAT("&lt;",$E87))</f>
        <v>4</v>
      </c>
      <c r="G87" s="79">
        <f>COUNTIFS(Matches!$C:$C,$A87,Matches!$A:$A,CONCAT("&gt;",$D87),Matches!$A:$A,CONCAT("&lt;",$E87))</f>
        <v>0</v>
      </c>
      <c r="H87" s="79">
        <f t="shared" si="1"/>
        <v>4</v>
      </c>
      <c r="I87" s="79">
        <f>COUNTIFS(Matches!$B:$B,$A87,Matches!$A:$A,CONCAT("&lt;",$E87))</f>
        <v>4</v>
      </c>
      <c r="J87" s="79">
        <f>COUNTIFS(Matches!$C:$C,$A87,Matches!$A:$A,CONCAT("&lt;",$E87))</f>
        <v>0</v>
      </c>
      <c r="K87" s="79">
        <f>COUNTIFS(Entropy!D:D,A87,Entropy!I:I,CONCAT("&lt;",E87-1))</f>
        <v>0</v>
      </c>
      <c r="L87" s="79">
        <f t="shared" si="2"/>
        <v>4</v>
      </c>
      <c r="M87" s="79">
        <f t="array" ref="M87">max(min(IF(J87+K87=11,0,XLOOKUP(B87,Quotas!$A$8:$A$14,Quotas!$E$8:$E$14)-$L87),2),0)</f>
        <v>1</v>
      </c>
      <c r="N87" s="31">
        <f t="shared" si="3"/>
        <v>0.5</v>
      </c>
    </row>
    <row r="88">
      <c r="A88" s="31" t="s">
        <v>107</v>
      </c>
      <c r="B88" s="9">
        <v>1.0</v>
      </c>
      <c r="C88" s="31" t="str">
        <f>VLOOKUP(A88, 'College List'!A:B, 2, FALSE)</f>
        <v>Quandrix</v>
      </c>
      <c r="D88" s="355">
        <f>VLOOKUP(B88,Quotas!$A$8:$C$14,2,FALSE)</f>
        <v>46136.70833</v>
      </c>
      <c r="E88" s="356">
        <f>VLOOKUP(B88,Quotas!$A$8:$C$14,3,FALSE)</f>
        <v>46143.70833</v>
      </c>
      <c r="F88" s="79">
        <f>COUNTIFS(Matches!$B:$B,A88,Matches!$A:$A,CONCAT("&gt;",$D88),Matches!$A:$A,CONCAT("&lt;",$E88))</f>
        <v>3</v>
      </c>
      <c r="G88" s="79">
        <f>COUNTIFS(Matches!$C:$C,$A88,Matches!$A:$A,CONCAT("&gt;",$D88),Matches!$A:$A,CONCAT("&lt;",$E88))</f>
        <v>2</v>
      </c>
      <c r="H88" s="79">
        <f t="shared" si="1"/>
        <v>5</v>
      </c>
      <c r="I88" s="79">
        <f>COUNTIFS(Matches!$B:$B,$A88,Matches!$A:$A,CONCAT("&lt;",$E88))</f>
        <v>3</v>
      </c>
      <c r="J88" s="79">
        <f>COUNTIFS(Matches!$C:$C,$A88,Matches!$A:$A,CONCAT("&lt;",$E88))</f>
        <v>2</v>
      </c>
      <c r="K88" s="79">
        <f>COUNTIFS(Entropy!D:D,A88,Entropy!I:I,CONCAT("&lt;",E88-1))</f>
        <v>0</v>
      </c>
      <c r="L88" s="79">
        <f t="shared" si="2"/>
        <v>5</v>
      </c>
      <c r="M88" s="79">
        <f t="array" ref="M88">max(min(IF(J88+K88=11,0,XLOOKUP(B88,Quotas!$A$8:$A$14,Quotas!$E$8:$E$14)-$L88),2),0)</f>
        <v>0</v>
      </c>
      <c r="N88" s="31">
        <f t="shared" si="3"/>
        <v>0</v>
      </c>
    </row>
    <row r="89">
      <c r="A89" s="31" t="s">
        <v>235</v>
      </c>
      <c r="B89" s="9">
        <v>1.0</v>
      </c>
      <c r="C89" s="31" t="str">
        <f>VLOOKUP(A89, 'College List'!A:B, 2, FALSE)</f>
        <v>Quandrix</v>
      </c>
      <c r="D89" s="355">
        <f>VLOOKUP(B89,Quotas!$A$8:$C$14,2,FALSE)</f>
        <v>46136.70833</v>
      </c>
      <c r="E89" s="356">
        <f>VLOOKUP(B89,Quotas!$A$8:$C$14,3,FALSE)</f>
        <v>46143.70833</v>
      </c>
      <c r="F89" s="79">
        <f>COUNTIFS(Matches!$B:$B,A89,Matches!$A:$A,CONCAT("&gt;",$D89),Matches!$A:$A,CONCAT("&lt;",$E89))</f>
        <v>1</v>
      </c>
      <c r="G89" s="79">
        <f>COUNTIFS(Matches!$C:$C,$A89,Matches!$A:$A,CONCAT("&gt;",$D89),Matches!$A:$A,CONCAT("&lt;",$E89))</f>
        <v>4</v>
      </c>
      <c r="H89" s="79">
        <f t="shared" si="1"/>
        <v>5</v>
      </c>
      <c r="I89" s="79">
        <f>COUNTIFS(Matches!$B:$B,$A89,Matches!$A:$A,CONCAT("&lt;",$E89))</f>
        <v>1</v>
      </c>
      <c r="J89" s="79">
        <f>COUNTIFS(Matches!$C:$C,$A89,Matches!$A:$A,CONCAT("&lt;",$E89))</f>
        <v>4</v>
      </c>
      <c r="K89" s="79">
        <f>COUNTIFS(Entropy!D:D,A89,Entropy!I:I,CONCAT("&lt;",E89-1))</f>
        <v>0</v>
      </c>
      <c r="L89" s="79">
        <f t="shared" si="2"/>
        <v>5</v>
      </c>
      <c r="M89" s="79">
        <f t="array" ref="M89">max(min(IF(J89+K89=11,0,XLOOKUP(B89,Quotas!$A$8:$A$14,Quotas!$E$8:$E$14)-$L89),2),0)</f>
        <v>0</v>
      </c>
      <c r="N89" s="31">
        <f t="shared" si="3"/>
        <v>0</v>
      </c>
    </row>
    <row r="90">
      <c r="A90" s="31" t="s">
        <v>243</v>
      </c>
      <c r="B90" s="9">
        <v>1.0</v>
      </c>
      <c r="C90" s="31" t="str">
        <f>VLOOKUP(A90, 'College List'!A:B, 2, FALSE)</f>
        <v>Witherbloom</v>
      </c>
      <c r="D90" s="355">
        <f>VLOOKUP(B90,Quotas!$A$8:$C$14,2,FALSE)</f>
        <v>46136.70833</v>
      </c>
      <c r="E90" s="356">
        <f>VLOOKUP(B90,Quotas!$A$8:$C$14,3,FALSE)</f>
        <v>46143.70833</v>
      </c>
      <c r="F90" s="79">
        <f>COUNTIFS(Matches!$B:$B,A90,Matches!$A:$A,CONCAT("&gt;",$D90),Matches!$A:$A,CONCAT("&lt;",$E90))</f>
        <v>1</v>
      </c>
      <c r="G90" s="79">
        <f>COUNTIFS(Matches!$C:$C,$A90,Matches!$A:$A,CONCAT("&gt;",$D90),Matches!$A:$A,CONCAT("&lt;",$E90))</f>
        <v>4</v>
      </c>
      <c r="H90" s="79">
        <f t="shared" si="1"/>
        <v>5</v>
      </c>
      <c r="I90" s="79">
        <f>COUNTIFS(Matches!$B:$B,$A90,Matches!$A:$A,CONCAT("&lt;",$E90))</f>
        <v>1</v>
      </c>
      <c r="J90" s="79">
        <f>COUNTIFS(Matches!$C:$C,$A90,Matches!$A:$A,CONCAT("&lt;",$E90))</f>
        <v>4</v>
      </c>
      <c r="K90" s="79">
        <f>COUNTIFS(Entropy!D:D,A90,Entropy!I:I,CONCAT("&lt;",E90-1))</f>
        <v>0</v>
      </c>
      <c r="L90" s="79">
        <f t="shared" si="2"/>
        <v>5</v>
      </c>
      <c r="M90" s="79">
        <f t="array" ref="M90">max(min(IF(J90+K90=11,0,XLOOKUP(B90,Quotas!$A$8:$A$14,Quotas!$E$8:$E$14)-$L90),2),0)</f>
        <v>0</v>
      </c>
      <c r="N90" s="31">
        <f t="shared" si="3"/>
        <v>0</v>
      </c>
    </row>
    <row r="91">
      <c r="A91" s="31" t="s">
        <v>60</v>
      </c>
      <c r="B91" s="9">
        <v>1.0</v>
      </c>
      <c r="C91" s="31" t="str">
        <f>VLOOKUP(A91, 'College List'!A:B, 2, FALSE)</f>
        <v>Silverquill</v>
      </c>
      <c r="D91" s="355">
        <f>VLOOKUP(B91,Quotas!$A$8:$C$14,2,FALSE)</f>
        <v>46136.70833</v>
      </c>
      <c r="E91" s="356">
        <f>VLOOKUP(B91,Quotas!$A$8:$C$14,3,FALSE)</f>
        <v>46143.70833</v>
      </c>
      <c r="F91" s="79">
        <f>COUNTIFS(Matches!$B:$B,A91,Matches!$A:$A,CONCAT("&gt;",$D91),Matches!$A:$A,CONCAT("&lt;",$E91))</f>
        <v>1</v>
      </c>
      <c r="G91" s="79">
        <f>COUNTIFS(Matches!$C:$C,$A91,Matches!$A:$A,CONCAT("&gt;",$D91),Matches!$A:$A,CONCAT("&lt;",$E91))</f>
        <v>4</v>
      </c>
      <c r="H91" s="79">
        <f t="shared" si="1"/>
        <v>5</v>
      </c>
      <c r="I91" s="79">
        <f>COUNTIFS(Matches!$B:$B,$A91,Matches!$A:$A,CONCAT("&lt;",$E91))</f>
        <v>1</v>
      </c>
      <c r="J91" s="79">
        <f>COUNTIFS(Matches!$C:$C,$A91,Matches!$A:$A,CONCAT("&lt;",$E91))</f>
        <v>4</v>
      </c>
      <c r="K91" s="79">
        <f>COUNTIFS(Entropy!D:D,A91,Entropy!I:I,CONCAT("&lt;",E91-1))</f>
        <v>0</v>
      </c>
      <c r="L91" s="79">
        <f t="shared" si="2"/>
        <v>5</v>
      </c>
      <c r="M91" s="79">
        <f t="array" ref="M91">max(min(IF(J91+K91=11,0,XLOOKUP(B91,Quotas!$A$8:$A$14,Quotas!$E$8:$E$14)-$L91),2),0)</f>
        <v>0</v>
      </c>
      <c r="N91" s="31">
        <f t="shared" si="3"/>
        <v>0</v>
      </c>
    </row>
    <row r="92">
      <c r="A92" s="31" t="s">
        <v>402</v>
      </c>
      <c r="B92" s="9">
        <v>1.0</v>
      </c>
      <c r="C92" s="31" t="str">
        <f>VLOOKUP(A92, 'College List'!A:B, 2, FALSE)</f>
        <v>Witherbloom</v>
      </c>
      <c r="D92" s="355">
        <f>VLOOKUP(B92,Quotas!$A$8:$C$14,2,FALSE)</f>
        <v>46136.70833</v>
      </c>
      <c r="E92" s="356">
        <f>VLOOKUP(B92,Quotas!$A$8:$C$14,3,FALSE)</f>
        <v>46143.70833</v>
      </c>
      <c r="F92" s="79">
        <f>COUNTIFS(Matches!$B:$B,A92,Matches!$A:$A,CONCAT("&gt;",$D92),Matches!$A:$A,CONCAT("&lt;",$E92))</f>
        <v>1</v>
      </c>
      <c r="G92" s="79">
        <f>COUNTIFS(Matches!$C:$C,$A92,Matches!$A:$A,CONCAT("&gt;",$D92),Matches!$A:$A,CONCAT("&lt;",$E92))</f>
        <v>2</v>
      </c>
      <c r="H92" s="79">
        <f t="shared" si="1"/>
        <v>3</v>
      </c>
      <c r="I92" s="79">
        <f>COUNTIFS(Matches!$B:$B,$A92,Matches!$A:$A,CONCAT("&lt;",$E92))</f>
        <v>1</v>
      </c>
      <c r="J92" s="79">
        <f>COUNTIFS(Matches!$C:$C,$A92,Matches!$A:$A,CONCAT("&lt;",$E92))</f>
        <v>2</v>
      </c>
      <c r="K92" s="79">
        <f>COUNTIFS(Entropy!D:D,A92,Entropy!I:I,CONCAT("&lt;",E92-1))</f>
        <v>0</v>
      </c>
      <c r="L92" s="79">
        <f t="shared" si="2"/>
        <v>3</v>
      </c>
      <c r="M92" s="79">
        <f t="array" ref="M92">max(min(IF(J92+K92=11,0,XLOOKUP(B92,Quotas!$A$8:$A$14,Quotas!$E$8:$E$14)-$L92),2),0)</f>
        <v>2</v>
      </c>
      <c r="N92" s="31">
        <f t="shared" si="3"/>
        <v>1</v>
      </c>
    </row>
    <row r="93">
      <c r="A93" s="31" t="s">
        <v>267</v>
      </c>
      <c r="B93" s="9">
        <v>1.0</v>
      </c>
      <c r="C93" s="31" t="str">
        <f>VLOOKUP(A93, 'College List'!A:B, 2, FALSE)</f>
        <v>Witherbloom</v>
      </c>
      <c r="D93" s="355">
        <f>VLOOKUP(B93,Quotas!$A$8:$C$14,2,FALSE)</f>
        <v>46136.70833</v>
      </c>
      <c r="E93" s="356">
        <f>VLOOKUP(B93,Quotas!$A$8:$C$14,3,FALSE)</f>
        <v>46143.70833</v>
      </c>
      <c r="F93" s="79">
        <f>COUNTIFS(Matches!$B:$B,A93,Matches!$A:$A,CONCAT("&gt;",$D93),Matches!$A:$A,CONCAT("&lt;",$E93))</f>
        <v>1</v>
      </c>
      <c r="G93" s="79">
        <f>COUNTIFS(Matches!$C:$C,$A93,Matches!$A:$A,CONCAT("&gt;",$D93),Matches!$A:$A,CONCAT("&lt;",$E93))</f>
        <v>2</v>
      </c>
      <c r="H93" s="79">
        <f t="shared" si="1"/>
        <v>3</v>
      </c>
      <c r="I93" s="79">
        <f>COUNTIFS(Matches!$B:$B,$A93,Matches!$A:$A,CONCAT("&lt;",$E93))</f>
        <v>1</v>
      </c>
      <c r="J93" s="79">
        <f>COUNTIFS(Matches!$C:$C,$A93,Matches!$A:$A,CONCAT("&lt;",$E93))</f>
        <v>2</v>
      </c>
      <c r="K93" s="79">
        <f>COUNTIFS(Entropy!D:D,A93,Entropy!I:I,CONCAT("&lt;",E93-1))</f>
        <v>0</v>
      </c>
      <c r="L93" s="79">
        <f t="shared" si="2"/>
        <v>3</v>
      </c>
      <c r="M93" s="79">
        <f t="array" ref="M93">max(min(IF(J93+K93=11,0,XLOOKUP(B93,Quotas!$A$8:$A$14,Quotas!$E$8:$E$14)-$L93),2),0)</f>
        <v>2</v>
      </c>
      <c r="N93" s="31">
        <f t="shared" si="3"/>
        <v>1</v>
      </c>
    </row>
    <row r="94">
      <c r="A94" s="31" t="s">
        <v>335</v>
      </c>
      <c r="B94" s="9">
        <v>1.0</v>
      </c>
      <c r="C94" s="31" t="str">
        <f>VLOOKUP(A94, 'College List'!A:B, 2, FALSE)</f>
        <v>Silverquill</v>
      </c>
      <c r="D94" s="355">
        <f>VLOOKUP(B94,Quotas!$A$8:$C$14,2,FALSE)</f>
        <v>46136.70833</v>
      </c>
      <c r="E94" s="356">
        <f>VLOOKUP(B94,Quotas!$A$8:$C$14,3,FALSE)</f>
        <v>46143.70833</v>
      </c>
      <c r="F94" s="79">
        <f>COUNTIFS(Matches!$B:$B,A94,Matches!$A:$A,CONCAT("&gt;",$D94),Matches!$A:$A,CONCAT("&lt;",$E94))</f>
        <v>2</v>
      </c>
      <c r="G94" s="79">
        <f>COUNTIFS(Matches!$C:$C,$A94,Matches!$A:$A,CONCAT("&gt;",$D94),Matches!$A:$A,CONCAT("&lt;",$E94))</f>
        <v>3</v>
      </c>
      <c r="H94" s="79">
        <f t="shared" si="1"/>
        <v>5</v>
      </c>
      <c r="I94" s="79">
        <f>COUNTIFS(Matches!$B:$B,$A94,Matches!$A:$A,CONCAT("&lt;",$E94))</f>
        <v>2</v>
      </c>
      <c r="J94" s="79">
        <f>COUNTIFS(Matches!$C:$C,$A94,Matches!$A:$A,CONCAT("&lt;",$E94))</f>
        <v>3</v>
      </c>
      <c r="K94" s="79">
        <f>COUNTIFS(Entropy!D:D,A94,Entropy!I:I,CONCAT("&lt;",E94-1))</f>
        <v>0</v>
      </c>
      <c r="L94" s="79">
        <f t="shared" si="2"/>
        <v>5</v>
      </c>
      <c r="M94" s="79">
        <f t="array" ref="M94">max(min(IF(J94+K94=11,0,XLOOKUP(B94,Quotas!$A$8:$A$14,Quotas!$E$8:$E$14)-$L94),2),0)</f>
        <v>0</v>
      </c>
      <c r="N94" s="31">
        <f t="shared" si="3"/>
        <v>0</v>
      </c>
    </row>
    <row r="95">
      <c r="A95" s="31" t="s">
        <v>181</v>
      </c>
      <c r="B95" s="9">
        <v>1.0</v>
      </c>
      <c r="C95" s="31" t="str">
        <f>VLOOKUP(A95, 'College List'!A:B, 2, FALSE)</f>
        <v>Quandrix</v>
      </c>
      <c r="D95" s="355">
        <f>VLOOKUP(B95,Quotas!$A$8:$C$14,2,FALSE)</f>
        <v>46136.70833</v>
      </c>
      <c r="E95" s="356">
        <f>VLOOKUP(B95,Quotas!$A$8:$C$14,3,FALSE)</f>
        <v>46143.70833</v>
      </c>
      <c r="F95" s="79">
        <f>COUNTIFS(Matches!$B:$B,A95,Matches!$A:$A,CONCAT("&gt;",$D95),Matches!$A:$A,CONCAT("&lt;",$E95))</f>
        <v>1</v>
      </c>
      <c r="G95" s="79">
        <f>COUNTIFS(Matches!$C:$C,$A95,Matches!$A:$A,CONCAT("&gt;",$D95),Matches!$A:$A,CONCAT("&lt;",$E95))</f>
        <v>4</v>
      </c>
      <c r="H95" s="79">
        <f t="shared" si="1"/>
        <v>5</v>
      </c>
      <c r="I95" s="79">
        <f>COUNTIFS(Matches!$B:$B,$A95,Matches!$A:$A,CONCAT("&lt;",$E95))</f>
        <v>1</v>
      </c>
      <c r="J95" s="79">
        <f>COUNTIFS(Matches!$C:$C,$A95,Matches!$A:$A,CONCAT("&lt;",$E95))</f>
        <v>4</v>
      </c>
      <c r="K95" s="79">
        <f>COUNTIFS(Entropy!D:D,A95,Entropy!I:I,CONCAT("&lt;",E95-1))</f>
        <v>0</v>
      </c>
      <c r="L95" s="79">
        <f t="shared" si="2"/>
        <v>5</v>
      </c>
      <c r="M95" s="79">
        <f t="array" ref="M95">max(min(IF(J95+K95=11,0,XLOOKUP(B95,Quotas!$A$8:$A$14,Quotas!$E$8:$E$14)-$L95),2),0)</f>
        <v>0</v>
      </c>
      <c r="N95" s="31">
        <f t="shared" si="3"/>
        <v>0</v>
      </c>
    </row>
    <row r="96">
      <c r="A96" s="31" t="s">
        <v>385</v>
      </c>
      <c r="B96" s="9">
        <v>1.0</v>
      </c>
      <c r="C96" s="31" t="str">
        <f>VLOOKUP(A96, 'College List'!A:B, 2, FALSE)</f>
        <v>Witherbloom</v>
      </c>
      <c r="D96" s="355">
        <f>VLOOKUP(B96,Quotas!$A$8:$C$14,2,FALSE)</f>
        <v>46136.70833</v>
      </c>
      <c r="E96" s="356">
        <f>VLOOKUP(B96,Quotas!$A$8:$C$14,3,FALSE)</f>
        <v>46143.70833</v>
      </c>
      <c r="F96" s="79">
        <f>COUNTIFS(Matches!$B:$B,A96,Matches!$A:$A,CONCAT("&gt;",$D96),Matches!$A:$A,CONCAT("&lt;",$E96))</f>
        <v>1</v>
      </c>
      <c r="G96" s="79">
        <f>COUNTIFS(Matches!$C:$C,$A96,Matches!$A:$A,CONCAT("&gt;",$D96),Matches!$A:$A,CONCAT("&lt;",$E96))</f>
        <v>3</v>
      </c>
      <c r="H96" s="79">
        <f t="shared" si="1"/>
        <v>4</v>
      </c>
      <c r="I96" s="79">
        <f>COUNTIFS(Matches!$B:$B,$A96,Matches!$A:$A,CONCAT("&lt;",$E96))</f>
        <v>1</v>
      </c>
      <c r="J96" s="79">
        <f>COUNTIFS(Matches!$C:$C,$A96,Matches!$A:$A,CONCAT("&lt;",$E96))</f>
        <v>3</v>
      </c>
      <c r="K96" s="79">
        <f>COUNTIFS(Entropy!D:D,A96,Entropy!I:I,CONCAT("&lt;",E96-1))</f>
        <v>0</v>
      </c>
      <c r="L96" s="79">
        <f t="shared" si="2"/>
        <v>4</v>
      </c>
      <c r="M96" s="79">
        <f t="array" ref="M96">max(min(IF(J96+K96=11,0,XLOOKUP(B96,Quotas!$A$8:$A$14,Quotas!$E$8:$E$14)-$L96),2),0)</f>
        <v>1</v>
      </c>
      <c r="N96" s="31">
        <f t="shared" si="3"/>
        <v>0.5</v>
      </c>
    </row>
    <row r="97">
      <c r="A97" s="31" t="s">
        <v>192</v>
      </c>
      <c r="B97" s="9">
        <v>1.0</v>
      </c>
      <c r="C97" s="31" t="str">
        <f>VLOOKUP(A97, 'College List'!A:B, 2, FALSE)</f>
        <v>Witherbloom</v>
      </c>
      <c r="D97" s="355">
        <f>VLOOKUP(B97,Quotas!$A$8:$C$14,2,FALSE)</f>
        <v>46136.70833</v>
      </c>
      <c r="E97" s="356">
        <f>VLOOKUP(B97,Quotas!$A$8:$C$14,3,FALSE)</f>
        <v>46143.70833</v>
      </c>
      <c r="F97" s="79">
        <f>COUNTIFS(Matches!$B:$B,A97,Matches!$A:$A,CONCAT("&gt;",$D97),Matches!$A:$A,CONCAT("&lt;",$E97))</f>
        <v>4</v>
      </c>
      <c r="G97" s="79">
        <f>COUNTIFS(Matches!$C:$C,$A97,Matches!$A:$A,CONCAT("&gt;",$D97),Matches!$A:$A,CONCAT("&lt;",$E97))</f>
        <v>1</v>
      </c>
      <c r="H97" s="79">
        <f t="shared" si="1"/>
        <v>5</v>
      </c>
      <c r="I97" s="79">
        <f>COUNTIFS(Matches!$B:$B,$A97,Matches!$A:$A,CONCAT("&lt;",$E97))</f>
        <v>4</v>
      </c>
      <c r="J97" s="79">
        <f>COUNTIFS(Matches!$C:$C,$A97,Matches!$A:$A,CONCAT("&lt;",$E97))</f>
        <v>1</v>
      </c>
      <c r="K97" s="79">
        <f>COUNTIFS(Entropy!D:D,A97,Entropy!I:I,CONCAT("&lt;",E97-1))</f>
        <v>0</v>
      </c>
      <c r="L97" s="79">
        <f t="shared" si="2"/>
        <v>5</v>
      </c>
      <c r="M97" s="79">
        <f t="array" ref="M97">max(min(IF(J97+K97=11,0,XLOOKUP(B97,Quotas!$A$8:$A$14,Quotas!$E$8:$E$14)-$L97),2),0)</f>
        <v>0</v>
      </c>
      <c r="N97" s="31">
        <f t="shared" si="3"/>
        <v>0</v>
      </c>
    </row>
    <row r="98">
      <c r="A98" s="31" t="s">
        <v>142</v>
      </c>
      <c r="B98" s="9">
        <v>1.0</v>
      </c>
      <c r="C98" s="31" t="str">
        <f>VLOOKUP(A98, 'College List'!A:B, 2, FALSE)</f>
        <v>Lorehold</v>
      </c>
      <c r="D98" s="355">
        <f>VLOOKUP(B98,Quotas!$A$8:$C$14,2,FALSE)</f>
        <v>46136.70833</v>
      </c>
      <c r="E98" s="356">
        <f>VLOOKUP(B98,Quotas!$A$8:$C$14,3,FALSE)</f>
        <v>46143.70833</v>
      </c>
      <c r="F98" s="79">
        <f>COUNTIFS(Matches!$B:$B,A98,Matches!$A:$A,CONCAT("&gt;",$D98),Matches!$A:$A,CONCAT("&lt;",$E98))</f>
        <v>0</v>
      </c>
      <c r="G98" s="79">
        <f>COUNTIFS(Matches!$C:$C,$A98,Matches!$A:$A,CONCAT("&gt;",$D98),Matches!$A:$A,CONCAT("&lt;",$E98))</f>
        <v>5</v>
      </c>
      <c r="H98" s="79">
        <f t="shared" si="1"/>
        <v>5</v>
      </c>
      <c r="I98" s="79">
        <f>COUNTIFS(Matches!$B:$B,$A98,Matches!$A:$A,CONCAT("&lt;",$E98))</f>
        <v>0</v>
      </c>
      <c r="J98" s="79">
        <f>COUNTIFS(Matches!$C:$C,$A98,Matches!$A:$A,CONCAT("&lt;",$E98))</f>
        <v>5</v>
      </c>
      <c r="K98" s="79">
        <f>COUNTIFS(Entropy!D:D,A98,Entropy!I:I,CONCAT("&lt;",E98-1))</f>
        <v>0</v>
      </c>
      <c r="L98" s="79">
        <f t="shared" si="2"/>
        <v>5</v>
      </c>
      <c r="M98" s="79">
        <f t="array" ref="M98">max(min(IF(J98+K98=11,0,XLOOKUP(B98,Quotas!$A$8:$A$14,Quotas!$E$8:$E$14)-$L98),2),0)</f>
        <v>0</v>
      </c>
      <c r="N98" s="31">
        <f t="shared" si="3"/>
        <v>0</v>
      </c>
    </row>
    <row r="99">
      <c r="A99" s="31" t="s">
        <v>101</v>
      </c>
      <c r="B99" s="9">
        <v>1.0</v>
      </c>
      <c r="C99" s="31" t="str">
        <f>VLOOKUP(A99, 'College List'!A:B, 2, FALSE)</f>
        <v>Lorehold</v>
      </c>
      <c r="D99" s="355">
        <f>VLOOKUP(B99,Quotas!$A$8:$C$14,2,FALSE)</f>
        <v>46136.70833</v>
      </c>
      <c r="E99" s="356">
        <f>VLOOKUP(B99,Quotas!$A$8:$C$14,3,FALSE)</f>
        <v>46143.70833</v>
      </c>
      <c r="F99" s="79">
        <f>COUNTIFS(Matches!$B:$B,A99,Matches!$A:$A,CONCAT("&gt;",$D99),Matches!$A:$A,CONCAT("&lt;",$E99))</f>
        <v>3</v>
      </c>
      <c r="G99" s="79">
        <f>COUNTIFS(Matches!$C:$C,$A99,Matches!$A:$A,CONCAT("&gt;",$D99),Matches!$A:$A,CONCAT("&lt;",$E99))</f>
        <v>2</v>
      </c>
      <c r="H99" s="79">
        <f t="shared" si="1"/>
        <v>5</v>
      </c>
      <c r="I99" s="79">
        <f>COUNTIFS(Matches!$B:$B,$A99,Matches!$A:$A,CONCAT("&lt;",$E99))</f>
        <v>3</v>
      </c>
      <c r="J99" s="79">
        <f>COUNTIFS(Matches!$C:$C,$A99,Matches!$A:$A,CONCAT("&lt;",$E99))</f>
        <v>2</v>
      </c>
      <c r="K99" s="79">
        <f>COUNTIFS(Entropy!D:D,A99,Entropy!I:I,CONCAT("&lt;",E99-1))</f>
        <v>0</v>
      </c>
      <c r="L99" s="79">
        <f t="shared" si="2"/>
        <v>5</v>
      </c>
      <c r="M99" s="79">
        <f t="array" ref="M99">max(min(IF(J99+K99=11,0,XLOOKUP(B99,Quotas!$A$8:$A$14,Quotas!$E$8:$E$14)-$L99),2),0)</f>
        <v>0</v>
      </c>
      <c r="N99" s="31">
        <f t="shared" si="3"/>
        <v>0</v>
      </c>
    </row>
    <row r="100">
      <c r="A100" s="31" t="s">
        <v>115</v>
      </c>
      <c r="B100" s="9">
        <v>1.0</v>
      </c>
      <c r="C100" s="31" t="str">
        <f>VLOOKUP(A100, 'College List'!A:B, 2, FALSE)</f>
        <v>Silverquill</v>
      </c>
      <c r="D100" s="355">
        <f>VLOOKUP(B100,Quotas!$A$8:$C$14,2,FALSE)</f>
        <v>46136.70833</v>
      </c>
      <c r="E100" s="356">
        <f>VLOOKUP(B100,Quotas!$A$8:$C$14,3,FALSE)</f>
        <v>46143.70833</v>
      </c>
      <c r="F100" s="79">
        <f>COUNTIFS(Matches!$B:$B,A100,Matches!$A:$A,CONCAT("&gt;",$D100),Matches!$A:$A,CONCAT("&lt;",$E100))</f>
        <v>3</v>
      </c>
      <c r="G100" s="79">
        <f>COUNTIFS(Matches!$C:$C,$A100,Matches!$A:$A,CONCAT("&gt;",$D100),Matches!$A:$A,CONCAT("&lt;",$E100))</f>
        <v>2</v>
      </c>
      <c r="H100" s="79">
        <f t="shared" si="1"/>
        <v>5</v>
      </c>
      <c r="I100" s="79">
        <f>COUNTIFS(Matches!$B:$B,$A100,Matches!$A:$A,CONCAT("&lt;",$E100))</f>
        <v>3</v>
      </c>
      <c r="J100" s="79">
        <f>COUNTIFS(Matches!$C:$C,$A100,Matches!$A:$A,CONCAT("&lt;",$E100))</f>
        <v>2</v>
      </c>
      <c r="K100" s="79">
        <f>COUNTIFS(Entropy!D:D,A100,Entropy!I:I,CONCAT("&lt;",E100-1))</f>
        <v>0</v>
      </c>
      <c r="L100" s="79">
        <f t="shared" si="2"/>
        <v>5</v>
      </c>
      <c r="M100" s="79">
        <f t="array" ref="M100">max(min(IF(J100+K100=11,0,XLOOKUP(B100,Quotas!$A$8:$A$14,Quotas!$E$8:$E$14)-$L100),2),0)</f>
        <v>0</v>
      </c>
      <c r="N100" s="31">
        <f t="shared" si="3"/>
        <v>0</v>
      </c>
    </row>
    <row r="101">
      <c r="A101" s="31" t="s">
        <v>158</v>
      </c>
      <c r="B101" s="9">
        <v>1.0</v>
      </c>
      <c r="C101" s="31" t="str">
        <f>VLOOKUP(A101, 'College List'!A:B, 2, FALSE)</f>
        <v>Lorehold</v>
      </c>
      <c r="D101" s="355">
        <f>VLOOKUP(B101,Quotas!$A$8:$C$14,2,FALSE)</f>
        <v>46136.70833</v>
      </c>
      <c r="E101" s="356">
        <f>VLOOKUP(B101,Quotas!$A$8:$C$14,3,FALSE)</f>
        <v>46143.70833</v>
      </c>
      <c r="F101" s="79">
        <f>COUNTIFS(Matches!$B:$B,A101,Matches!$A:$A,CONCAT("&gt;",$D101),Matches!$A:$A,CONCAT("&lt;",$E101))</f>
        <v>2</v>
      </c>
      <c r="G101" s="79">
        <f>COUNTIFS(Matches!$C:$C,$A101,Matches!$A:$A,CONCAT("&gt;",$D101),Matches!$A:$A,CONCAT("&lt;",$E101))</f>
        <v>3</v>
      </c>
      <c r="H101" s="79">
        <f t="shared" si="1"/>
        <v>5</v>
      </c>
      <c r="I101" s="79">
        <f>COUNTIFS(Matches!$B:$B,$A101,Matches!$A:$A,CONCAT("&lt;",$E101))</f>
        <v>2</v>
      </c>
      <c r="J101" s="79">
        <f>COUNTIFS(Matches!$C:$C,$A101,Matches!$A:$A,CONCAT("&lt;",$E101))</f>
        <v>3</v>
      </c>
      <c r="K101" s="79">
        <f>COUNTIFS(Entropy!D:D,A101,Entropy!I:I,CONCAT("&lt;",E101-1))</f>
        <v>0</v>
      </c>
      <c r="L101" s="79">
        <f t="shared" si="2"/>
        <v>5</v>
      </c>
      <c r="M101" s="79">
        <f t="array" ref="M101">max(min(IF(J101+K101=11,0,XLOOKUP(B101,Quotas!$A$8:$A$14,Quotas!$E$8:$E$14)-$L101),2),0)</f>
        <v>0</v>
      </c>
      <c r="N101" s="31">
        <f t="shared" si="3"/>
        <v>0</v>
      </c>
    </row>
    <row r="102">
      <c r="A102" s="31" t="s">
        <v>388</v>
      </c>
      <c r="B102" s="9">
        <v>1.0</v>
      </c>
      <c r="C102" s="31" t="str">
        <f>VLOOKUP(A102, 'College List'!A:B, 2, FALSE)</f>
        <v>Lorehold</v>
      </c>
      <c r="D102" s="355">
        <f>VLOOKUP(B102,Quotas!$A$8:$C$14,2,FALSE)</f>
        <v>46136.70833</v>
      </c>
      <c r="E102" s="356">
        <f>VLOOKUP(B102,Quotas!$A$8:$C$14,3,FALSE)</f>
        <v>46143.70833</v>
      </c>
      <c r="F102" s="79">
        <f>COUNTIFS(Matches!$B:$B,A102,Matches!$A:$A,CONCAT("&gt;",$D102),Matches!$A:$A,CONCAT("&lt;",$E102))</f>
        <v>4</v>
      </c>
      <c r="G102" s="79">
        <f>COUNTIFS(Matches!$C:$C,$A102,Matches!$A:$A,CONCAT("&gt;",$D102),Matches!$A:$A,CONCAT("&lt;",$E102))</f>
        <v>1</v>
      </c>
      <c r="H102" s="79">
        <f t="shared" si="1"/>
        <v>5</v>
      </c>
      <c r="I102" s="79">
        <f>COUNTIFS(Matches!$B:$B,$A102,Matches!$A:$A,CONCAT("&lt;",$E102))</f>
        <v>4</v>
      </c>
      <c r="J102" s="79">
        <f>COUNTIFS(Matches!$C:$C,$A102,Matches!$A:$A,CONCAT("&lt;",$E102))</f>
        <v>1</v>
      </c>
      <c r="K102" s="79">
        <f>COUNTIFS(Entropy!D:D,A102,Entropy!I:I,CONCAT("&lt;",E102-1))</f>
        <v>0</v>
      </c>
      <c r="L102" s="79">
        <f t="shared" si="2"/>
        <v>5</v>
      </c>
      <c r="M102" s="79">
        <f t="array" ref="M102">max(min(IF(J102+K102=11,0,XLOOKUP(B102,Quotas!$A$8:$A$14,Quotas!$E$8:$E$14)-$L102),2),0)</f>
        <v>0</v>
      </c>
      <c r="N102" s="31">
        <f t="shared" si="3"/>
        <v>0</v>
      </c>
    </row>
    <row r="103">
      <c r="A103" s="31" t="s">
        <v>121</v>
      </c>
      <c r="B103" s="9">
        <v>1.0</v>
      </c>
      <c r="C103" s="31" t="str">
        <f>VLOOKUP(A103, 'College List'!A:B, 2, FALSE)</f>
        <v>Quandrix</v>
      </c>
      <c r="D103" s="355">
        <f>VLOOKUP(B103,Quotas!$A$8:$C$14,2,FALSE)</f>
        <v>46136.70833</v>
      </c>
      <c r="E103" s="356">
        <f>VLOOKUP(B103,Quotas!$A$8:$C$14,3,FALSE)</f>
        <v>46143.70833</v>
      </c>
      <c r="F103" s="79">
        <f>COUNTIFS(Matches!$B:$B,A103,Matches!$A:$A,CONCAT("&gt;",$D103),Matches!$A:$A,CONCAT("&lt;",$E103))</f>
        <v>4</v>
      </c>
      <c r="G103" s="79">
        <f>COUNTIFS(Matches!$C:$C,$A103,Matches!$A:$A,CONCAT("&gt;",$D103),Matches!$A:$A,CONCAT("&lt;",$E103))</f>
        <v>1</v>
      </c>
      <c r="H103" s="79">
        <f t="shared" si="1"/>
        <v>5</v>
      </c>
      <c r="I103" s="79">
        <f>COUNTIFS(Matches!$B:$B,$A103,Matches!$A:$A,CONCAT("&lt;",$E103))</f>
        <v>4</v>
      </c>
      <c r="J103" s="79">
        <f>COUNTIFS(Matches!$C:$C,$A103,Matches!$A:$A,CONCAT("&lt;",$E103))</f>
        <v>1</v>
      </c>
      <c r="K103" s="79">
        <f>COUNTIFS(Entropy!D:D,A103,Entropy!I:I,CONCAT("&lt;",E103-1))</f>
        <v>0</v>
      </c>
      <c r="L103" s="79">
        <f t="shared" si="2"/>
        <v>5</v>
      </c>
      <c r="M103" s="79">
        <f t="array" ref="M103">max(min(IF(J103+K103=11,0,XLOOKUP(B103,Quotas!$A$8:$A$14,Quotas!$E$8:$E$14)-$L103),2),0)</f>
        <v>0</v>
      </c>
      <c r="N103" s="31">
        <f t="shared" si="3"/>
        <v>0</v>
      </c>
    </row>
    <row r="104">
      <c r="A104" s="31" t="s">
        <v>312</v>
      </c>
      <c r="B104" s="9">
        <v>1.0</v>
      </c>
      <c r="C104" s="31" t="str">
        <f>VLOOKUP(A104, 'College List'!A:B, 2, FALSE)</f>
        <v>Prismari</v>
      </c>
      <c r="D104" s="355">
        <f>VLOOKUP(B104,Quotas!$A$8:$C$14,2,FALSE)</f>
        <v>46136.70833</v>
      </c>
      <c r="E104" s="356">
        <f>VLOOKUP(B104,Quotas!$A$8:$C$14,3,FALSE)</f>
        <v>46143.70833</v>
      </c>
      <c r="F104" s="79">
        <f>COUNTIFS(Matches!$B:$B,A104,Matches!$A:$A,CONCAT("&gt;",$D104),Matches!$A:$A,CONCAT("&lt;",$E104))</f>
        <v>3</v>
      </c>
      <c r="G104" s="79">
        <f>COUNTIFS(Matches!$C:$C,$A104,Matches!$A:$A,CONCAT("&gt;",$D104),Matches!$A:$A,CONCAT("&lt;",$E104))</f>
        <v>2</v>
      </c>
      <c r="H104" s="79">
        <f t="shared" si="1"/>
        <v>5</v>
      </c>
      <c r="I104" s="79">
        <f>COUNTIFS(Matches!$B:$B,$A104,Matches!$A:$A,CONCAT("&lt;",$E104))</f>
        <v>3</v>
      </c>
      <c r="J104" s="79">
        <f>COUNTIFS(Matches!$C:$C,$A104,Matches!$A:$A,CONCAT("&lt;",$E104))</f>
        <v>2</v>
      </c>
      <c r="K104" s="79">
        <f>COUNTIFS(Entropy!D:D,A104,Entropy!I:I,CONCAT("&lt;",E104-1))</f>
        <v>0</v>
      </c>
      <c r="L104" s="79">
        <f t="shared" si="2"/>
        <v>5</v>
      </c>
      <c r="M104" s="79">
        <f t="array" ref="M104">max(min(IF(J104+K104=11,0,XLOOKUP(B104,Quotas!$A$8:$A$14,Quotas!$E$8:$E$14)-$L104),2),0)</f>
        <v>0</v>
      </c>
      <c r="N104" s="31">
        <f t="shared" si="3"/>
        <v>0</v>
      </c>
    </row>
    <row r="105">
      <c r="A105" s="31" t="s">
        <v>367</v>
      </c>
      <c r="B105" s="9">
        <v>1.0</v>
      </c>
      <c r="C105" s="31" t="str">
        <f>VLOOKUP(A105, 'College List'!A:B, 2, FALSE)</f>
        <v>Prismari</v>
      </c>
      <c r="D105" s="355">
        <f>VLOOKUP(B105,Quotas!$A$8:$C$14,2,FALSE)</f>
        <v>46136.70833</v>
      </c>
      <c r="E105" s="356">
        <f>VLOOKUP(B105,Quotas!$A$8:$C$14,3,FALSE)</f>
        <v>46143.70833</v>
      </c>
      <c r="F105" s="79">
        <f>COUNTIFS(Matches!$B:$B,A105,Matches!$A:$A,CONCAT("&gt;",$D105),Matches!$A:$A,CONCAT("&lt;",$E105))</f>
        <v>2</v>
      </c>
      <c r="G105" s="79">
        <f>COUNTIFS(Matches!$C:$C,$A105,Matches!$A:$A,CONCAT("&gt;",$D105),Matches!$A:$A,CONCAT("&lt;",$E105))</f>
        <v>2</v>
      </c>
      <c r="H105" s="79">
        <f t="shared" si="1"/>
        <v>4</v>
      </c>
      <c r="I105" s="79">
        <f>COUNTIFS(Matches!$B:$B,$A105,Matches!$A:$A,CONCAT("&lt;",$E105))</f>
        <v>2</v>
      </c>
      <c r="J105" s="79">
        <f>COUNTIFS(Matches!$C:$C,$A105,Matches!$A:$A,CONCAT("&lt;",$E105))</f>
        <v>2</v>
      </c>
      <c r="K105" s="79">
        <f>COUNTIFS(Entropy!D:D,A105,Entropy!I:I,CONCAT("&lt;",E105-1))</f>
        <v>0</v>
      </c>
      <c r="L105" s="79">
        <f t="shared" si="2"/>
        <v>4</v>
      </c>
      <c r="M105" s="79">
        <f t="array" ref="M105">max(min(IF(J105+K105=11,0,XLOOKUP(B105,Quotas!$A$8:$A$14,Quotas!$E$8:$E$14)-$L105),2),0)</f>
        <v>1</v>
      </c>
      <c r="N105" s="31">
        <f t="shared" si="3"/>
        <v>0.5</v>
      </c>
    </row>
    <row r="106">
      <c r="A106" s="31" t="s">
        <v>299</v>
      </c>
      <c r="B106" s="9">
        <v>1.0</v>
      </c>
      <c r="C106" s="31" t="str">
        <f>VLOOKUP(A106, 'College List'!A:B, 2, FALSE)</f>
        <v>Witherbloom</v>
      </c>
      <c r="D106" s="355">
        <f>VLOOKUP(B106,Quotas!$A$8:$C$14,2,FALSE)</f>
        <v>46136.70833</v>
      </c>
      <c r="E106" s="356">
        <f>VLOOKUP(B106,Quotas!$A$8:$C$14,3,FALSE)</f>
        <v>46143.70833</v>
      </c>
      <c r="F106" s="79">
        <f>COUNTIFS(Matches!$B:$B,A106,Matches!$A:$A,CONCAT("&gt;",$D106),Matches!$A:$A,CONCAT("&lt;",$E106))</f>
        <v>5</v>
      </c>
      <c r="G106" s="79">
        <f>COUNTIFS(Matches!$C:$C,$A106,Matches!$A:$A,CONCAT("&gt;",$D106),Matches!$A:$A,CONCAT("&lt;",$E106))</f>
        <v>0</v>
      </c>
      <c r="H106" s="79">
        <f t="shared" si="1"/>
        <v>5</v>
      </c>
      <c r="I106" s="79">
        <f>COUNTIFS(Matches!$B:$B,$A106,Matches!$A:$A,CONCAT("&lt;",$E106))</f>
        <v>5</v>
      </c>
      <c r="J106" s="79">
        <f>COUNTIFS(Matches!$C:$C,$A106,Matches!$A:$A,CONCAT("&lt;",$E106))</f>
        <v>0</v>
      </c>
      <c r="K106" s="79">
        <f>COUNTIFS(Entropy!D:D,A106,Entropy!I:I,CONCAT("&lt;",E106-1))</f>
        <v>0</v>
      </c>
      <c r="L106" s="79">
        <f t="shared" si="2"/>
        <v>5</v>
      </c>
      <c r="M106" s="79">
        <f t="array" ref="M106">max(min(IF(J106+K106=11,0,XLOOKUP(B106,Quotas!$A$8:$A$14,Quotas!$E$8:$E$14)-$L106),2),0)</f>
        <v>0</v>
      </c>
      <c r="N106" s="31">
        <f t="shared" si="3"/>
        <v>0</v>
      </c>
    </row>
    <row r="107">
      <c r="A107" s="31" t="s">
        <v>151</v>
      </c>
      <c r="B107" s="9">
        <v>1.0</v>
      </c>
      <c r="C107" s="31" t="str">
        <f>VLOOKUP(A107, 'College List'!A:B, 2, FALSE)</f>
        <v>Quandrix</v>
      </c>
      <c r="D107" s="355">
        <f>VLOOKUP(B107,Quotas!$A$8:$C$14,2,FALSE)</f>
        <v>46136.70833</v>
      </c>
      <c r="E107" s="356">
        <f>VLOOKUP(B107,Quotas!$A$8:$C$14,3,FALSE)</f>
        <v>46143.70833</v>
      </c>
      <c r="F107" s="79">
        <f>COUNTIFS(Matches!$B:$B,A107,Matches!$A:$A,CONCAT("&gt;",$D107),Matches!$A:$A,CONCAT("&lt;",$E107))</f>
        <v>4</v>
      </c>
      <c r="G107" s="79">
        <f>COUNTIFS(Matches!$C:$C,$A107,Matches!$A:$A,CONCAT("&gt;",$D107),Matches!$A:$A,CONCAT("&lt;",$E107))</f>
        <v>1</v>
      </c>
      <c r="H107" s="79">
        <f t="shared" si="1"/>
        <v>5</v>
      </c>
      <c r="I107" s="79">
        <f>COUNTIFS(Matches!$B:$B,$A107,Matches!$A:$A,CONCAT("&lt;",$E107))</f>
        <v>4</v>
      </c>
      <c r="J107" s="79">
        <f>COUNTIFS(Matches!$C:$C,$A107,Matches!$A:$A,CONCAT("&lt;",$E107))</f>
        <v>1</v>
      </c>
      <c r="K107" s="79">
        <f>COUNTIFS(Entropy!D:D,A107,Entropy!I:I,CONCAT("&lt;",E107-1))</f>
        <v>0</v>
      </c>
      <c r="L107" s="79">
        <f t="shared" si="2"/>
        <v>5</v>
      </c>
      <c r="M107" s="79">
        <f t="array" ref="M107">max(min(IF(J107+K107=11,0,XLOOKUP(B107,Quotas!$A$8:$A$14,Quotas!$E$8:$E$14)-$L107),2),0)</f>
        <v>0</v>
      </c>
      <c r="N107" s="31">
        <f t="shared" si="3"/>
        <v>0</v>
      </c>
    </row>
    <row r="108">
      <c r="A108" s="31" t="s">
        <v>332</v>
      </c>
      <c r="B108" s="9">
        <v>1.0</v>
      </c>
      <c r="C108" s="31" t="str">
        <f>VLOOKUP(A108, 'College List'!A:B, 2, FALSE)</f>
        <v>Quandrix</v>
      </c>
      <c r="D108" s="355">
        <f>VLOOKUP(B108,Quotas!$A$8:$C$14,2,FALSE)</f>
        <v>46136.70833</v>
      </c>
      <c r="E108" s="356">
        <f>VLOOKUP(B108,Quotas!$A$8:$C$14,3,FALSE)</f>
        <v>46143.70833</v>
      </c>
      <c r="F108" s="79">
        <f>COUNTIFS(Matches!$B:$B,A108,Matches!$A:$A,CONCAT("&gt;",$D108),Matches!$A:$A,CONCAT("&lt;",$E108))</f>
        <v>3</v>
      </c>
      <c r="G108" s="79">
        <f>COUNTIFS(Matches!$C:$C,$A108,Matches!$A:$A,CONCAT("&gt;",$D108),Matches!$A:$A,CONCAT("&lt;",$E108))</f>
        <v>1</v>
      </c>
      <c r="H108" s="79">
        <f t="shared" si="1"/>
        <v>4</v>
      </c>
      <c r="I108" s="79">
        <f>COUNTIFS(Matches!$B:$B,$A108,Matches!$A:$A,CONCAT("&lt;",$E108))</f>
        <v>3</v>
      </c>
      <c r="J108" s="79">
        <f>COUNTIFS(Matches!$C:$C,$A108,Matches!$A:$A,CONCAT("&lt;",$E108))</f>
        <v>1</v>
      </c>
      <c r="K108" s="79">
        <f>COUNTIFS(Entropy!D:D,A108,Entropy!I:I,CONCAT("&lt;",E108-1))</f>
        <v>0</v>
      </c>
      <c r="L108" s="79">
        <f t="shared" si="2"/>
        <v>4</v>
      </c>
      <c r="M108" s="79">
        <f t="array" ref="M108">max(min(IF(J108+K108=11,0,XLOOKUP(B108,Quotas!$A$8:$A$14,Quotas!$E$8:$E$14)-$L108),2),0)</f>
        <v>1</v>
      </c>
      <c r="N108" s="31">
        <f t="shared" si="3"/>
        <v>0.5</v>
      </c>
    </row>
    <row r="109">
      <c r="A109" s="31" t="s">
        <v>421</v>
      </c>
      <c r="B109" s="9">
        <v>1.0</v>
      </c>
      <c r="C109" s="31" t="str">
        <f>VLOOKUP(A109, 'College List'!A:B, 2, FALSE)</f>
        <v>Lorehold</v>
      </c>
      <c r="D109" s="355">
        <f>VLOOKUP(B109,Quotas!$A$8:$C$14,2,FALSE)</f>
        <v>46136.70833</v>
      </c>
      <c r="E109" s="356">
        <f>VLOOKUP(B109,Quotas!$A$8:$C$14,3,FALSE)</f>
        <v>46143.70833</v>
      </c>
      <c r="F109" s="79">
        <f>COUNTIFS(Matches!$B:$B,A109,Matches!$A:$A,CONCAT("&gt;",$D109),Matches!$A:$A,CONCAT("&lt;",$E109))</f>
        <v>3</v>
      </c>
      <c r="G109" s="79">
        <f>COUNTIFS(Matches!$C:$C,$A109,Matches!$A:$A,CONCAT("&gt;",$D109),Matches!$A:$A,CONCAT("&lt;",$E109))</f>
        <v>0</v>
      </c>
      <c r="H109" s="79">
        <f t="shared" si="1"/>
        <v>3</v>
      </c>
      <c r="I109" s="79">
        <f>COUNTIFS(Matches!$B:$B,$A109,Matches!$A:$A,CONCAT("&lt;",$E109))</f>
        <v>3</v>
      </c>
      <c r="J109" s="79">
        <f>COUNTIFS(Matches!$C:$C,$A109,Matches!$A:$A,CONCAT("&lt;",$E109))</f>
        <v>0</v>
      </c>
      <c r="K109" s="79">
        <f>COUNTIFS(Entropy!D:D,A109,Entropy!I:I,CONCAT("&lt;",E109-1))</f>
        <v>0</v>
      </c>
      <c r="L109" s="79">
        <f t="shared" si="2"/>
        <v>3</v>
      </c>
      <c r="M109" s="79">
        <f t="array" ref="M109">max(min(IF(J109+K109=11,0,XLOOKUP(B109,Quotas!$A$8:$A$14,Quotas!$E$8:$E$14)-$L109),2),0)</f>
        <v>2</v>
      </c>
      <c r="N109" s="31">
        <f t="shared" si="3"/>
        <v>1</v>
      </c>
    </row>
    <row r="110">
      <c r="A110" s="31" t="s">
        <v>351</v>
      </c>
      <c r="B110" s="9">
        <v>1.0</v>
      </c>
      <c r="C110" s="31" t="str">
        <f>VLOOKUP(A110, 'College List'!A:B, 2, FALSE)</f>
        <v>Silverquill</v>
      </c>
      <c r="D110" s="355">
        <f>VLOOKUP(B110,Quotas!$A$8:$C$14,2,FALSE)</f>
        <v>46136.70833</v>
      </c>
      <c r="E110" s="356">
        <f>VLOOKUP(B110,Quotas!$A$8:$C$14,3,FALSE)</f>
        <v>46143.70833</v>
      </c>
      <c r="F110" s="79">
        <f>COUNTIFS(Matches!$B:$B,A110,Matches!$A:$A,CONCAT("&gt;",$D110),Matches!$A:$A,CONCAT("&lt;",$E110))</f>
        <v>1</v>
      </c>
      <c r="G110" s="79">
        <f>COUNTIFS(Matches!$C:$C,$A110,Matches!$A:$A,CONCAT("&gt;",$D110),Matches!$A:$A,CONCAT("&lt;",$E110))</f>
        <v>2</v>
      </c>
      <c r="H110" s="79">
        <f t="shared" si="1"/>
        <v>3</v>
      </c>
      <c r="I110" s="79">
        <f>COUNTIFS(Matches!$B:$B,$A110,Matches!$A:$A,CONCAT("&lt;",$E110))</f>
        <v>1</v>
      </c>
      <c r="J110" s="79">
        <f>COUNTIFS(Matches!$C:$C,$A110,Matches!$A:$A,CONCAT("&lt;",$E110))</f>
        <v>2</v>
      </c>
      <c r="K110" s="79">
        <f>COUNTIFS(Entropy!D:D,A110,Entropy!I:I,CONCAT("&lt;",E110-1))</f>
        <v>0</v>
      </c>
      <c r="L110" s="79">
        <f t="shared" si="2"/>
        <v>3</v>
      </c>
      <c r="M110" s="79">
        <f t="array" ref="M110">max(min(IF(J110+K110=11,0,XLOOKUP(B110,Quotas!$A$8:$A$14,Quotas!$E$8:$E$14)-$L110),2),0)</f>
        <v>2</v>
      </c>
      <c r="N110" s="31">
        <f t="shared" si="3"/>
        <v>1</v>
      </c>
    </row>
    <row r="111">
      <c r="A111" s="31" t="s">
        <v>274</v>
      </c>
      <c r="B111" s="9">
        <v>1.0</v>
      </c>
      <c r="C111" s="31" t="str">
        <f>VLOOKUP(A111, 'College List'!A:B, 2, FALSE)</f>
        <v>Quandrix</v>
      </c>
      <c r="D111" s="355">
        <f>VLOOKUP(B111,Quotas!$A$8:$C$14,2,FALSE)</f>
        <v>46136.70833</v>
      </c>
      <c r="E111" s="356">
        <f>VLOOKUP(B111,Quotas!$A$8:$C$14,3,FALSE)</f>
        <v>46143.70833</v>
      </c>
      <c r="F111" s="79">
        <f>COUNTIFS(Matches!$B:$B,A111,Matches!$A:$A,CONCAT("&gt;",$D111),Matches!$A:$A,CONCAT("&lt;",$E111))</f>
        <v>1</v>
      </c>
      <c r="G111" s="79">
        <f>COUNTIFS(Matches!$C:$C,$A111,Matches!$A:$A,CONCAT("&gt;",$D111),Matches!$A:$A,CONCAT("&lt;",$E111))</f>
        <v>4</v>
      </c>
      <c r="H111" s="79">
        <f t="shared" si="1"/>
        <v>5</v>
      </c>
      <c r="I111" s="79">
        <f>COUNTIFS(Matches!$B:$B,$A111,Matches!$A:$A,CONCAT("&lt;",$E111))</f>
        <v>1</v>
      </c>
      <c r="J111" s="79">
        <f>COUNTIFS(Matches!$C:$C,$A111,Matches!$A:$A,CONCAT("&lt;",$E111))</f>
        <v>4</v>
      </c>
      <c r="K111" s="79">
        <f>COUNTIFS(Entropy!D:D,A111,Entropy!I:I,CONCAT("&lt;",E111-1))</f>
        <v>0</v>
      </c>
      <c r="L111" s="79">
        <f t="shared" si="2"/>
        <v>5</v>
      </c>
      <c r="M111" s="79">
        <f t="array" ref="M111">max(min(IF(J111+K111=11,0,XLOOKUP(B111,Quotas!$A$8:$A$14,Quotas!$E$8:$E$14)-$L111),2),0)</f>
        <v>0</v>
      </c>
      <c r="N111" s="31">
        <f t="shared" si="3"/>
        <v>0</v>
      </c>
    </row>
    <row r="112">
      <c r="A112" s="31" t="s">
        <v>345</v>
      </c>
      <c r="B112" s="9">
        <v>1.0</v>
      </c>
      <c r="C112" s="31" t="str">
        <f>VLOOKUP(A112, 'College List'!A:B, 2, FALSE)</f>
        <v>Silverquill</v>
      </c>
      <c r="D112" s="355">
        <f>VLOOKUP(B112,Quotas!$A$8:$C$14,2,FALSE)</f>
        <v>46136.70833</v>
      </c>
      <c r="E112" s="356">
        <f>VLOOKUP(B112,Quotas!$A$8:$C$14,3,FALSE)</f>
        <v>46143.70833</v>
      </c>
      <c r="F112" s="79">
        <f>COUNTIFS(Matches!$B:$B,A112,Matches!$A:$A,CONCAT("&gt;",$D112),Matches!$A:$A,CONCAT("&lt;",$E112))</f>
        <v>3</v>
      </c>
      <c r="G112" s="79">
        <f>COUNTIFS(Matches!$C:$C,$A112,Matches!$A:$A,CONCAT("&gt;",$D112),Matches!$A:$A,CONCAT("&lt;",$E112))</f>
        <v>1</v>
      </c>
      <c r="H112" s="79">
        <f t="shared" si="1"/>
        <v>4</v>
      </c>
      <c r="I112" s="79">
        <f>COUNTIFS(Matches!$B:$B,$A112,Matches!$A:$A,CONCAT("&lt;",$E112))</f>
        <v>3</v>
      </c>
      <c r="J112" s="79">
        <f>COUNTIFS(Matches!$C:$C,$A112,Matches!$A:$A,CONCAT("&lt;",$E112))</f>
        <v>1</v>
      </c>
      <c r="K112" s="79">
        <f>COUNTIFS(Entropy!D:D,A112,Entropy!I:I,CONCAT("&lt;",E112-1))</f>
        <v>0</v>
      </c>
      <c r="L112" s="79">
        <f t="shared" si="2"/>
        <v>4</v>
      </c>
      <c r="M112" s="79">
        <f t="array" ref="M112">max(min(IF(J112+K112=11,0,XLOOKUP(B112,Quotas!$A$8:$A$14,Quotas!$E$8:$E$14)-$L112),2),0)</f>
        <v>1</v>
      </c>
      <c r="N112" s="31">
        <f t="shared" si="3"/>
        <v>0.5</v>
      </c>
    </row>
    <row r="113">
      <c r="A113" s="31" t="s">
        <v>185</v>
      </c>
      <c r="B113" s="9">
        <v>1.0</v>
      </c>
      <c r="C113" s="31" t="str">
        <f>VLOOKUP(A113, 'College List'!A:B, 2, FALSE)</f>
        <v>Silverquill</v>
      </c>
      <c r="D113" s="355">
        <f>VLOOKUP(B113,Quotas!$A$8:$C$14,2,FALSE)</f>
        <v>46136.70833</v>
      </c>
      <c r="E113" s="356">
        <f>VLOOKUP(B113,Quotas!$A$8:$C$14,3,FALSE)</f>
        <v>46143.70833</v>
      </c>
      <c r="F113" s="79">
        <f>COUNTIFS(Matches!$B:$B,A113,Matches!$A:$A,CONCAT("&gt;",$D113),Matches!$A:$A,CONCAT("&lt;",$E113))</f>
        <v>3</v>
      </c>
      <c r="G113" s="79">
        <f>COUNTIFS(Matches!$C:$C,$A113,Matches!$A:$A,CONCAT("&gt;",$D113),Matches!$A:$A,CONCAT("&lt;",$E113))</f>
        <v>2</v>
      </c>
      <c r="H113" s="79">
        <f t="shared" si="1"/>
        <v>5</v>
      </c>
      <c r="I113" s="79">
        <f>COUNTIFS(Matches!$B:$B,$A113,Matches!$A:$A,CONCAT("&lt;",$E113))</f>
        <v>3</v>
      </c>
      <c r="J113" s="79">
        <f>COUNTIFS(Matches!$C:$C,$A113,Matches!$A:$A,CONCAT("&lt;",$E113))</f>
        <v>2</v>
      </c>
      <c r="K113" s="79">
        <f>COUNTIFS(Entropy!D:D,A113,Entropy!I:I,CONCAT("&lt;",E113-1))</f>
        <v>0</v>
      </c>
      <c r="L113" s="79">
        <f t="shared" si="2"/>
        <v>5</v>
      </c>
      <c r="M113" s="79">
        <f t="array" ref="M113">max(min(IF(J113+K113=11,0,XLOOKUP(B113,Quotas!$A$8:$A$14,Quotas!$E$8:$E$14)-$L113),2),0)</f>
        <v>0</v>
      </c>
      <c r="N113" s="31">
        <f t="shared" si="3"/>
        <v>0</v>
      </c>
    </row>
    <row r="114">
      <c r="A114" s="31" t="s">
        <v>630</v>
      </c>
      <c r="B114" s="9">
        <v>1.0</v>
      </c>
      <c r="C114" s="31" t="str">
        <f>VLOOKUP(A114, 'College List'!A:B, 2, FALSE)</f>
        <v>Prismari</v>
      </c>
      <c r="D114" s="355">
        <f>VLOOKUP(B114,Quotas!$A$8:$C$14,2,FALSE)</f>
        <v>46136.70833</v>
      </c>
      <c r="E114" s="356">
        <f>VLOOKUP(B114,Quotas!$A$8:$C$14,3,FALSE)</f>
        <v>46143.70833</v>
      </c>
      <c r="F114" s="79">
        <f>COUNTIFS(Matches!$B:$B,A114,Matches!$A:$A,CONCAT("&gt;",$D114),Matches!$A:$A,CONCAT("&lt;",$E114))</f>
        <v>0</v>
      </c>
      <c r="G114" s="79">
        <f>COUNTIFS(Matches!$C:$C,$A114,Matches!$A:$A,CONCAT("&gt;",$D114),Matches!$A:$A,CONCAT("&lt;",$E114))</f>
        <v>0</v>
      </c>
      <c r="H114" s="79">
        <f t="shared" si="1"/>
        <v>0</v>
      </c>
      <c r="I114" s="79">
        <f>COUNTIFS(Matches!$B:$B,$A114,Matches!$A:$A,CONCAT("&lt;",$E114))</f>
        <v>0</v>
      </c>
      <c r="J114" s="79">
        <f>COUNTIFS(Matches!$C:$C,$A114,Matches!$A:$A,CONCAT("&lt;",$E114))</f>
        <v>0</v>
      </c>
      <c r="K114" s="79">
        <f>COUNTIFS(Entropy!D:D,A114,Entropy!I:I,CONCAT("&lt;",E114-1))</f>
        <v>0</v>
      </c>
      <c r="L114" s="79">
        <f t="shared" si="2"/>
        <v>0</v>
      </c>
      <c r="M114" s="79">
        <f t="array" ref="M114">max(min(IF(J114+K114=11,0,XLOOKUP(B114,Quotas!$A$8:$A$14,Quotas!$E$8:$E$14)-$L114),2),0)</f>
        <v>2</v>
      </c>
      <c r="N114" s="31">
        <f t="shared" si="3"/>
        <v>0</v>
      </c>
    </row>
    <row r="115">
      <c r="A115" s="31" t="s">
        <v>179</v>
      </c>
      <c r="B115" s="9">
        <v>1.0</v>
      </c>
      <c r="C115" s="31" t="str">
        <f>VLOOKUP(A115, 'College List'!A:B, 2, FALSE)</f>
        <v>Witherbloom</v>
      </c>
      <c r="D115" s="355">
        <f>VLOOKUP(B115,Quotas!$A$8:$C$14,2,FALSE)</f>
        <v>46136.70833</v>
      </c>
      <c r="E115" s="356">
        <f>VLOOKUP(B115,Quotas!$A$8:$C$14,3,FALSE)</f>
        <v>46143.70833</v>
      </c>
      <c r="F115" s="79">
        <f>COUNTIFS(Matches!$B:$B,A115,Matches!$A:$A,CONCAT("&gt;",$D115),Matches!$A:$A,CONCAT("&lt;",$E115))</f>
        <v>1</v>
      </c>
      <c r="G115" s="79">
        <f>COUNTIFS(Matches!$C:$C,$A115,Matches!$A:$A,CONCAT("&gt;",$D115),Matches!$A:$A,CONCAT("&lt;",$E115))</f>
        <v>4</v>
      </c>
      <c r="H115" s="79">
        <f t="shared" si="1"/>
        <v>5</v>
      </c>
      <c r="I115" s="79">
        <f>COUNTIFS(Matches!$B:$B,$A115,Matches!$A:$A,CONCAT("&lt;",$E115))</f>
        <v>1</v>
      </c>
      <c r="J115" s="79">
        <f>COUNTIFS(Matches!$C:$C,$A115,Matches!$A:$A,CONCAT("&lt;",$E115))</f>
        <v>4</v>
      </c>
      <c r="K115" s="79">
        <f>COUNTIFS(Entropy!D:D,A115,Entropy!I:I,CONCAT("&lt;",E115-1))</f>
        <v>0</v>
      </c>
      <c r="L115" s="79">
        <f t="shared" si="2"/>
        <v>5</v>
      </c>
      <c r="M115" s="79">
        <f t="array" ref="M115">max(min(IF(J115+K115=11,0,XLOOKUP(B115,Quotas!$A$8:$A$14,Quotas!$E$8:$E$14)-$L115),2),0)</f>
        <v>0</v>
      </c>
      <c r="N115" s="31">
        <f t="shared" si="3"/>
        <v>0</v>
      </c>
    </row>
    <row r="116">
      <c r="A116" s="31" t="s">
        <v>320</v>
      </c>
      <c r="B116" s="9">
        <v>1.0</v>
      </c>
      <c r="C116" s="31" t="str">
        <f>VLOOKUP(A116, 'College List'!A:B, 2, FALSE)</f>
        <v>Witherbloom</v>
      </c>
      <c r="D116" s="355">
        <f>VLOOKUP(B116,Quotas!$A$8:$C$14,2,FALSE)</f>
        <v>46136.70833</v>
      </c>
      <c r="E116" s="356">
        <f>VLOOKUP(B116,Quotas!$A$8:$C$14,3,FALSE)</f>
        <v>46143.70833</v>
      </c>
      <c r="F116" s="79">
        <f>COUNTIFS(Matches!$B:$B,A116,Matches!$A:$A,CONCAT("&gt;",$D116),Matches!$A:$A,CONCAT("&lt;",$E116))</f>
        <v>3</v>
      </c>
      <c r="G116" s="79">
        <f>COUNTIFS(Matches!$C:$C,$A116,Matches!$A:$A,CONCAT("&gt;",$D116),Matches!$A:$A,CONCAT("&lt;",$E116))</f>
        <v>2</v>
      </c>
      <c r="H116" s="79">
        <f t="shared" si="1"/>
        <v>5</v>
      </c>
      <c r="I116" s="79">
        <f>COUNTIFS(Matches!$B:$B,$A116,Matches!$A:$A,CONCAT("&lt;",$E116))</f>
        <v>3</v>
      </c>
      <c r="J116" s="79">
        <f>COUNTIFS(Matches!$C:$C,$A116,Matches!$A:$A,CONCAT("&lt;",$E116))</f>
        <v>2</v>
      </c>
      <c r="K116" s="79">
        <f>COUNTIFS(Entropy!D:D,A116,Entropy!I:I,CONCAT("&lt;",E116-1))</f>
        <v>0</v>
      </c>
      <c r="L116" s="79">
        <f t="shared" si="2"/>
        <v>5</v>
      </c>
      <c r="M116" s="79">
        <f t="array" ref="M116">max(min(IF(J116+K116=11,0,XLOOKUP(B116,Quotas!$A$8:$A$14,Quotas!$E$8:$E$14)-$L116),2),0)</f>
        <v>0</v>
      </c>
      <c r="N116" s="31">
        <f t="shared" si="3"/>
        <v>0</v>
      </c>
    </row>
    <row r="117">
      <c r="A117" s="31" t="s">
        <v>205</v>
      </c>
      <c r="B117" s="9">
        <v>1.0</v>
      </c>
      <c r="C117" s="31" t="str">
        <f>VLOOKUP(A117, 'College List'!A:B, 2, FALSE)</f>
        <v>Silverquill</v>
      </c>
      <c r="D117" s="355">
        <f>VLOOKUP(B117,Quotas!$A$8:$C$14,2,FALSE)</f>
        <v>46136.70833</v>
      </c>
      <c r="E117" s="356">
        <f>VLOOKUP(B117,Quotas!$A$8:$C$14,3,FALSE)</f>
        <v>46143.70833</v>
      </c>
      <c r="F117" s="79">
        <f>COUNTIFS(Matches!$B:$B,A117,Matches!$A:$A,CONCAT("&gt;",$D117),Matches!$A:$A,CONCAT("&lt;",$E117))</f>
        <v>2</v>
      </c>
      <c r="G117" s="79">
        <f>COUNTIFS(Matches!$C:$C,$A117,Matches!$A:$A,CONCAT("&gt;",$D117),Matches!$A:$A,CONCAT("&lt;",$E117))</f>
        <v>3</v>
      </c>
      <c r="H117" s="79">
        <f t="shared" si="1"/>
        <v>5</v>
      </c>
      <c r="I117" s="79">
        <f>COUNTIFS(Matches!$B:$B,$A117,Matches!$A:$A,CONCAT("&lt;",$E117))</f>
        <v>2</v>
      </c>
      <c r="J117" s="79">
        <f>COUNTIFS(Matches!$C:$C,$A117,Matches!$A:$A,CONCAT("&lt;",$E117))</f>
        <v>3</v>
      </c>
      <c r="K117" s="79">
        <f>COUNTIFS(Entropy!D:D,A117,Entropy!I:I,CONCAT("&lt;",E117-1))</f>
        <v>0</v>
      </c>
      <c r="L117" s="79">
        <f t="shared" si="2"/>
        <v>5</v>
      </c>
      <c r="M117" s="79">
        <f t="array" ref="M117">max(min(IF(J117+K117=11,0,XLOOKUP(B117,Quotas!$A$8:$A$14,Quotas!$E$8:$E$14)-$L117),2),0)</f>
        <v>0</v>
      </c>
      <c r="N117" s="31">
        <f t="shared" si="3"/>
        <v>0</v>
      </c>
    </row>
    <row r="118">
      <c r="A118" s="31" t="s">
        <v>347</v>
      </c>
      <c r="B118" s="9">
        <v>1.0</v>
      </c>
      <c r="C118" s="31" t="str">
        <f>VLOOKUP(A118, 'College List'!A:B, 2, FALSE)</f>
        <v>Lorehold</v>
      </c>
      <c r="D118" s="355">
        <f>VLOOKUP(B118,Quotas!$A$8:$C$14,2,FALSE)</f>
        <v>46136.70833</v>
      </c>
      <c r="E118" s="356">
        <f>VLOOKUP(B118,Quotas!$A$8:$C$14,3,FALSE)</f>
        <v>46143.70833</v>
      </c>
      <c r="F118" s="79">
        <f>COUNTIFS(Matches!$B:$B,A118,Matches!$A:$A,CONCAT("&gt;",$D118),Matches!$A:$A,CONCAT("&lt;",$E118))</f>
        <v>4</v>
      </c>
      <c r="G118" s="79">
        <f>COUNTIFS(Matches!$C:$C,$A118,Matches!$A:$A,CONCAT("&gt;",$D118),Matches!$A:$A,CONCAT("&lt;",$E118))</f>
        <v>1</v>
      </c>
      <c r="H118" s="79">
        <f t="shared" si="1"/>
        <v>5</v>
      </c>
      <c r="I118" s="79">
        <f>COUNTIFS(Matches!$B:$B,$A118,Matches!$A:$A,CONCAT("&lt;",$E118))</f>
        <v>4</v>
      </c>
      <c r="J118" s="79">
        <f>COUNTIFS(Matches!$C:$C,$A118,Matches!$A:$A,CONCAT("&lt;",$E118))</f>
        <v>1</v>
      </c>
      <c r="K118" s="79">
        <f>COUNTIFS(Entropy!D:D,A118,Entropy!I:I,CONCAT("&lt;",E118-1))</f>
        <v>0</v>
      </c>
      <c r="L118" s="79">
        <f t="shared" si="2"/>
        <v>5</v>
      </c>
      <c r="M118" s="79">
        <f t="array" ref="M118">max(min(IF(J118+K118=11,0,XLOOKUP(B118,Quotas!$A$8:$A$14,Quotas!$E$8:$E$14)-$L118),2),0)</f>
        <v>0</v>
      </c>
      <c r="N118" s="31">
        <f t="shared" si="3"/>
        <v>0</v>
      </c>
    </row>
    <row r="119">
      <c r="A119" s="31" t="s">
        <v>109</v>
      </c>
      <c r="B119" s="9">
        <v>1.0</v>
      </c>
      <c r="C119" s="31" t="str">
        <f>VLOOKUP(A119, 'College List'!A:B, 2, FALSE)</f>
        <v>Silverquill</v>
      </c>
      <c r="D119" s="355">
        <f>VLOOKUP(B119,Quotas!$A$8:$C$14,2,FALSE)</f>
        <v>46136.70833</v>
      </c>
      <c r="E119" s="356">
        <f>VLOOKUP(B119,Quotas!$A$8:$C$14,3,FALSE)</f>
        <v>46143.70833</v>
      </c>
      <c r="F119" s="79">
        <f>COUNTIFS(Matches!$B:$B,A119,Matches!$A:$A,CONCAT("&gt;",$D119),Matches!$A:$A,CONCAT("&lt;",$E119))</f>
        <v>2</v>
      </c>
      <c r="G119" s="79">
        <f>COUNTIFS(Matches!$C:$C,$A119,Matches!$A:$A,CONCAT("&gt;",$D119),Matches!$A:$A,CONCAT("&lt;",$E119))</f>
        <v>3</v>
      </c>
      <c r="H119" s="79">
        <f t="shared" si="1"/>
        <v>5</v>
      </c>
      <c r="I119" s="79">
        <f>COUNTIFS(Matches!$B:$B,$A119,Matches!$A:$A,CONCAT("&lt;",$E119))</f>
        <v>2</v>
      </c>
      <c r="J119" s="79">
        <f>COUNTIFS(Matches!$C:$C,$A119,Matches!$A:$A,CONCAT("&lt;",$E119))</f>
        <v>3</v>
      </c>
      <c r="K119" s="79">
        <f>COUNTIFS(Entropy!D:D,A119,Entropy!I:I,CONCAT("&lt;",E119-1))</f>
        <v>0</v>
      </c>
      <c r="L119" s="79">
        <f t="shared" si="2"/>
        <v>5</v>
      </c>
      <c r="M119" s="79">
        <f t="array" ref="M119">max(min(IF(J119+K119=11,0,XLOOKUP(B119,Quotas!$A$8:$A$14,Quotas!$E$8:$E$14)-$L119),2),0)</f>
        <v>0</v>
      </c>
      <c r="N119" s="31">
        <f t="shared" si="3"/>
        <v>0</v>
      </c>
    </row>
    <row r="120">
      <c r="A120" s="31" t="s">
        <v>288</v>
      </c>
      <c r="B120" s="9">
        <v>1.0</v>
      </c>
      <c r="C120" s="31" t="str">
        <f>VLOOKUP(A120, 'College List'!A:B, 2, FALSE)</f>
        <v>Lorehold</v>
      </c>
      <c r="D120" s="355">
        <f>VLOOKUP(B120,Quotas!$A$8:$C$14,2,FALSE)</f>
        <v>46136.70833</v>
      </c>
      <c r="E120" s="356">
        <f>VLOOKUP(B120,Quotas!$A$8:$C$14,3,FALSE)</f>
        <v>46143.70833</v>
      </c>
      <c r="F120" s="79">
        <f>COUNTIFS(Matches!$B:$B,A120,Matches!$A:$A,CONCAT("&gt;",$D120),Matches!$A:$A,CONCAT("&lt;",$E120))</f>
        <v>2</v>
      </c>
      <c r="G120" s="79">
        <f>COUNTIFS(Matches!$C:$C,$A120,Matches!$A:$A,CONCAT("&gt;",$D120),Matches!$A:$A,CONCAT("&lt;",$E120))</f>
        <v>3</v>
      </c>
      <c r="H120" s="79">
        <f t="shared" si="1"/>
        <v>5</v>
      </c>
      <c r="I120" s="79">
        <f>COUNTIFS(Matches!$B:$B,$A120,Matches!$A:$A,CONCAT("&lt;",$E120))</f>
        <v>2</v>
      </c>
      <c r="J120" s="79">
        <f>COUNTIFS(Matches!$C:$C,$A120,Matches!$A:$A,CONCAT("&lt;",$E120))</f>
        <v>3</v>
      </c>
      <c r="K120" s="79">
        <f>COUNTIFS(Entropy!D:D,A120,Entropy!I:I,CONCAT("&lt;",E120-1))</f>
        <v>0</v>
      </c>
      <c r="L120" s="79">
        <f t="shared" si="2"/>
        <v>5</v>
      </c>
      <c r="M120" s="79">
        <f t="array" ref="M120">max(min(IF(J120+K120=11,0,XLOOKUP(B120,Quotas!$A$8:$A$14,Quotas!$E$8:$E$14)-$L120),2),0)</f>
        <v>0</v>
      </c>
      <c r="N120" s="31">
        <f t="shared" si="3"/>
        <v>0</v>
      </c>
    </row>
    <row r="121">
      <c r="A121" s="31" t="s">
        <v>184</v>
      </c>
      <c r="B121" s="9">
        <v>1.0</v>
      </c>
      <c r="C121" s="31" t="str">
        <f>VLOOKUP(A121, 'College List'!A:B, 2, FALSE)</f>
        <v>Quandrix</v>
      </c>
      <c r="D121" s="355">
        <f>VLOOKUP(B121,Quotas!$A$8:$C$14,2,FALSE)</f>
        <v>46136.70833</v>
      </c>
      <c r="E121" s="356">
        <f>VLOOKUP(B121,Quotas!$A$8:$C$14,3,FALSE)</f>
        <v>46143.70833</v>
      </c>
      <c r="F121" s="79">
        <f>COUNTIFS(Matches!$B:$B,A121,Matches!$A:$A,CONCAT("&gt;",$D121),Matches!$A:$A,CONCAT("&lt;",$E121))</f>
        <v>3</v>
      </c>
      <c r="G121" s="79">
        <f>COUNTIFS(Matches!$C:$C,$A121,Matches!$A:$A,CONCAT("&gt;",$D121),Matches!$A:$A,CONCAT("&lt;",$E121))</f>
        <v>2</v>
      </c>
      <c r="H121" s="79">
        <f t="shared" si="1"/>
        <v>5</v>
      </c>
      <c r="I121" s="79">
        <f>COUNTIFS(Matches!$B:$B,$A121,Matches!$A:$A,CONCAT("&lt;",$E121))</f>
        <v>3</v>
      </c>
      <c r="J121" s="79">
        <f>COUNTIFS(Matches!$C:$C,$A121,Matches!$A:$A,CONCAT("&lt;",$E121))</f>
        <v>2</v>
      </c>
      <c r="K121" s="79">
        <f>COUNTIFS(Entropy!D:D,A121,Entropy!I:I,CONCAT("&lt;",E121-1))</f>
        <v>0</v>
      </c>
      <c r="L121" s="79">
        <f t="shared" si="2"/>
        <v>5</v>
      </c>
      <c r="M121" s="79">
        <f t="array" ref="M121">max(min(IF(J121+K121=11,0,XLOOKUP(B121,Quotas!$A$8:$A$14,Quotas!$E$8:$E$14)-$L121),2),0)</f>
        <v>0</v>
      </c>
      <c r="N121" s="31">
        <f t="shared" si="3"/>
        <v>0</v>
      </c>
    </row>
    <row r="122">
      <c r="A122" s="31" t="s">
        <v>67</v>
      </c>
      <c r="B122" s="9">
        <v>1.0</v>
      </c>
      <c r="C122" s="31" t="str">
        <f>VLOOKUP(A122, 'College List'!A:B, 2, FALSE)</f>
        <v>Silverquill</v>
      </c>
      <c r="D122" s="355">
        <f>VLOOKUP(B122,Quotas!$A$8:$C$14,2,FALSE)</f>
        <v>46136.70833</v>
      </c>
      <c r="E122" s="356">
        <f>VLOOKUP(B122,Quotas!$A$8:$C$14,3,FALSE)</f>
        <v>46143.70833</v>
      </c>
      <c r="F122" s="79">
        <f>COUNTIFS(Matches!$B:$B,A122,Matches!$A:$A,CONCAT("&gt;",$D122),Matches!$A:$A,CONCAT("&lt;",$E122))</f>
        <v>0</v>
      </c>
      <c r="G122" s="79">
        <f>COUNTIFS(Matches!$C:$C,$A122,Matches!$A:$A,CONCAT("&gt;",$D122),Matches!$A:$A,CONCAT("&lt;",$E122))</f>
        <v>5</v>
      </c>
      <c r="H122" s="79">
        <f t="shared" si="1"/>
        <v>5</v>
      </c>
      <c r="I122" s="79">
        <f>COUNTIFS(Matches!$B:$B,$A122,Matches!$A:$A,CONCAT("&lt;",$E122))</f>
        <v>0</v>
      </c>
      <c r="J122" s="79">
        <f>COUNTIFS(Matches!$C:$C,$A122,Matches!$A:$A,CONCAT("&lt;",$E122))</f>
        <v>5</v>
      </c>
      <c r="K122" s="79">
        <f>COUNTIFS(Entropy!D:D,A122,Entropy!I:I,CONCAT("&lt;",E122-1))</f>
        <v>0</v>
      </c>
      <c r="L122" s="79">
        <f t="shared" si="2"/>
        <v>5</v>
      </c>
      <c r="M122" s="79">
        <f t="array" ref="M122">max(min(IF(J122+K122=11,0,XLOOKUP(B122,Quotas!$A$8:$A$14,Quotas!$E$8:$E$14)-$L122),2),0)</f>
        <v>0</v>
      </c>
      <c r="N122" s="31">
        <f t="shared" si="3"/>
        <v>0</v>
      </c>
    </row>
    <row r="123">
      <c r="A123" s="31" t="s">
        <v>172</v>
      </c>
      <c r="B123" s="9">
        <v>1.0</v>
      </c>
      <c r="C123" s="31" t="str">
        <f>VLOOKUP(A123, 'College List'!A:B, 2, FALSE)</f>
        <v>Lorehold</v>
      </c>
      <c r="D123" s="355">
        <f>VLOOKUP(B123,Quotas!$A$8:$C$14,2,FALSE)</f>
        <v>46136.70833</v>
      </c>
      <c r="E123" s="356">
        <f>VLOOKUP(B123,Quotas!$A$8:$C$14,3,FALSE)</f>
        <v>46143.70833</v>
      </c>
      <c r="F123" s="79">
        <f>COUNTIFS(Matches!$B:$B,A123,Matches!$A:$A,CONCAT("&gt;",$D123),Matches!$A:$A,CONCAT("&lt;",$E123))</f>
        <v>1</v>
      </c>
      <c r="G123" s="79">
        <f>COUNTIFS(Matches!$C:$C,$A123,Matches!$A:$A,CONCAT("&gt;",$D123),Matches!$A:$A,CONCAT("&lt;",$E123))</f>
        <v>4</v>
      </c>
      <c r="H123" s="79">
        <f t="shared" si="1"/>
        <v>5</v>
      </c>
      <c r="I123" s="79">
        <f>COUNTIFS(Matches!$B:$B,$A123,Matches!$A:$A,CONCAT("&lt;",$E123))</f>
        <v>1</v>
      </c>
      <c r="J123" s="79">
        <f>COUNTIFS(Matches!$C:$C,$A123,Matches!$A:$A,CONCAT("&lt;",$E123))</f>
        <v>4</v>
      </c>
      <c r="K123" s="79">
        <f>COUNTIFS(Entropy!D:D,A123,Entropy!I:I,CONCAT("&lt;",E123-1))</f>
        <v>0</v>
      </c>
      <c r="L123" s="79">
        <f t="shared" si="2"/>
        <v>5</v>
      </c>
      <c r="M123" s="79">
        <f t="array" ref="M123">max(min(IF(J123+K123=11,0,XLOOKUP(B123,Quotas!$A$8:$A$14,Quotas!$E$8:$E$14)-$L123),2),0)</f>
        <v>0</v>
      </c>
      <c r="N123" s="31">
        <f t="shared" si="3"/>
        <v>0</v>
      </c>
    </row>
    <row r="124">
      <c r="A124" s="31" t="s">
        <v>399</v>
      </c>
      <c r="B124" s="9">
        <v>1.0</v>
      </c>
      <c r="C124" s="31" t="str">
        <f>VLOOKUP(A124, 'College List'!A:B, 2, FALSE)</f>
        <v>Quandrix</v>
      </c>
      <c r="D124" s="355">
        <f>VLOOKUP(B124,Quotas!$A$8:$C$14,2,FALSE)</f>
        <v>46136.70833</v>
      </c>
      <c r="E124" s="356">
        <f>VLOOKUP(B124,Quotas!$A$8:$C$14,3,FALSE)</f>
        <v>46143.70833</v>
      </c>
      <c r="F124" s="79">
        <f>COUNTIFS(Matches!$B:$B,A124,Matches!$A:$A,CONCAT("&gt;",$D124),Matches!$A:$A,CONCAT("&lt;",$E124))</f>
        <v>2</v>
      </c>
      <c r="G124" s="79">
        <f>COUNTIFS(Matches!$C:$C,$A124,Matches!$A:$A,CONCAT("&gt;",$D124),Matches!$A:$A,CONCAT("&lt;",$E124))</f>
        <v>3</v>
      </c>
      <c r="H124" s="79">
        <f t="shared" si="1"/>
        <v>5</v>
      </c>
      <c r="I124" s="79">
        <f>COUNTIFS(Matches!$B:$B,$A124,Matches!$A:$A,CONCAT("&lt;",$E124))</f>
        <v>2</v>
      </c>
      <c r="J124" s="79">
        <f>COUNTIFS(Matches!$C:$C,$A124,Matches!$A:$A,CONCAT("&lt;",$E124))</f>
        <v>3</v>
      </c>
      <c r="K124" s="79">
        <f>COUNTIFS(Entropy!D:D,A124,Entropy!I:I,CONCAT("&lt;",E124-1))</f>
        <v>0</v>
      </c>
      <c r="L124" s="79">
        <f t="shared" si="2"/>
        <v>5</v>
      </c>
      <c r="M124" s="79">
        <f t="array" ref="M124">max(min(IF(J124+K124=11,0,XLOOKUP(B124,Quotas!$A$8:$A$14,Quotas!$E$8:$E$14)-$L124),2),0)</f>
        <v>0</v>
      </c>
      <c r="N124" s="31">
        <f t="shared" si="3"/>
        <v>0</v>
      </c>
    </row>
    <row r="125">
      <c r="A125" s="31" t="s">
        <v>373</v>
      </c>
      <c r="B125" s="9">
        <v>1.0</v>
      </c>
      <c r="C125" s="31" t="str">
        <f>VLOOKUP(A125, 'College List'!A:B, 2, FALSE)</f>
        <v>Quandrix</v>
      </c>
      <c r="D125" s="355">
        <f>VLOOKUP(B125,Quotas!$A$8:$C$14,2,FALSE)</f>
        <v>46136.70833</v>
      </c>
      <c r="E125" s="356">
        <f>VLOOKUP(B125,Quotas!$A$8:$C$14,3,FALSE)</f>
        <v>46143.70833</v>
      </c>
      <c r="F125" s="79">
        <f>COUNTIFS(Matches!$B:$B,A125,Matches!$A:$A,CONCAT("&gt;",$D125),Matches!$A:$A,CONCAT("&lt;",$E125))</f>
        <v>3</v>
      </c>
      <c r="G125" s="79">
        <f>COUNTIFS(Matches!$C:$C,$A125,Matches!$A:$A,CONCAT("&gt;",$D125),Matches!$A:$A,CONCAT("&lt;",$E125))</f>
        <v>2</v>
      </c>
      <c r="H125" s="79">
        <f t="shared" si="1"/>
        <v>5</v>
      </c>
      <c r="I125" s="79">
        <f>COUNTIFS(Matches!$B:$B,$A125,Matches!$A:$A,CONCAT("&lt;",$E125))</f>
        <v>3</v>
      </c>
      <c r="J125" s="79">
        <f>COUNTIFS(Matches!$C:$C,$A125,Matches!$A:$A,CONCAT("&lt;",$E125))</f>
        <v>2</v>
      </c>
      <c r="K125" s="79">
        <f>COUNTIFS(Entropy!D:D,A125,Entropy!I:I,CONCAT("&lt;",E125-1))</f>
        <v>0</v>
      </c>
      <c r="L125" s="79">
        <f t="shared" si="2"/>
        <v>5</v>
      </c>
      <c r="M125" s="79">
        <f t="array" ref="M125">max(min(IF(J125+K125=11,0,XLOOKUP(B125,Quotas!$A$8:$A$14,Quotas!$E$8:$E$14)-$L125),2),0)</f>
        <v>0</v>
      </c>
      <c r="N125" s="31">
        <f t="shared" si="3"/>
        <v>0</v>
      </c>
    </row>
    <row r="126">
      <c r="A126" s="31" t="s">
        <v>217</v>
      </c>
      <c r="B126" s="9">
        <v>1.0</v>
      </c>
      <c r="C126" s="31" t="str">
        <f>VLOOKUP(A126, 'College List'!A:B, 2, FALSE)</f>
        <v>Lorehold</v>
      </c>
      <c r="D126" s="355">
        <f>VLOOKUP(B126,Quotas!$A$8:$C$14,2,FALSE)</f>
        <v>46136.70833</v>
      </c>
      <c r="E126" s="356">
        <f>VLOOKUP(B126,Quotas!$A$8:$C$14,3,FALSE)</f>
        <v>46143.70833</v>
      </c>
      <c r="F126" s="79">
        <f>COUNTIFS(Matches!$B:$B,A126,Matches!$A:$A,CONCAT("&gt;",$D126),Matches!$A:$A,CONCAT("&lt;",$E126))</f>
        <v>4</v>
      </c>
      <c r="G126" s="79">
        <f>COUNTIFS(Matches!$C:$C,$A126,Matches!$A:$A,CONCAT("&gt;",$D126),Matches!$A:$A,CONCAT("&lt;",$E126))</f>
        <v>1</v>
      </c>
      <c r="H126" s="79">
        <f t="shared" si="1"/>
        <v>5</v>
      </c>
      <c r="I126" s="79">
        <f>COUNTIFS(Matches!$B:$B,$A126,Matches!$A:$A,CONCAT("&lt;",$E126))</f>
        <v>4</v>
      </c>
      <c r="J126" s="79">
        <f>COUNTIFS(Matches!$C:$C,$A126,Matches!$A:$A,CONCAT("&lt;",$E126))</f>
        <v>1</v>
      </c>
      <c r="K126" s="79">
        <f>COUNTIFS(Entropy!D:D,A126,Entropy!I:I,CONCAT("&lt;",E126-1))</f>
        <v>0</v>
      </c>
      <c r="L126" s="79">
        <f t="shared" si="2"/>
        <v>5</v>
      </c>
      <c r="M126" s="79">
        <f t="array" ref="M126">max(min(IF(J126+K126=11,0,XLOOKUP(B126,Quotas!$A$8:$A$14,Quotas!$E$8:$E$14)-$L126),2),0)</f>
        <v>0</v>
      </c>
      <c r="N126" s="31">
        <f t="shared" si="3"/>
        <v>0</v>
      </c>
    </row>
    <row r="127">
      <c r="A127" s="31" t="s">
        <v>286</v>
      </c>
      <c r="B127" s="9">
        <v>1.0</v>
      </c>
      <c r="C127" s="31" t="str">
        <f>VLOOKUP(A127, 'College List'!A:B, 2, FALSE)</f>
        <v>Silverquill</v>
      </c>
      <c r="D127" s="355">
        <f>VLOOKUP(B127,Quotas!$A$8:$C$14,2,FALSE)</f>
        <v>46136.70833</v>
      </c>
      <c r="E127" s="356">
        <f>VLOOKUP(B127,Quotas!$A$8:$C$14,3,FALSE)</f>
        <v>46143.70833</v>
      </c>
      <c r="F127" s="79">
        <f>COUNTIFS(Matches!$B:$B,A127,Matches!$A:$A,CONCAT("&gt;",$D127),Matches!$A:$A,CONCAT("&lt;",$E127))</f>
        <v>0</v>
      </c>
      <c r="G127" s="79">
        <f>COUNTIFS(Matches!$C:$C,$A127,Matches!$A:$A,CONCAT("&gt;",$D127),Matches!$A:$A,CONCAT("&lt;",$E127))</f>
        <v>4</v>
      </c>
      <c r="H127" s="79">
        <f t="shared" si="1"/>
        <v>4</v>
      </c>
      <c r="I127" s="79">
        <f>COUNTIFS(Matches!$B:$B,$A127,Matches!$A:$A,CONCAT("&lt;",$E127))</f>
        <v>0</v>
      </c>
      <c r="J127" s="79">
        <f>COUNTIFS(Matches!$C:$C,$A127,Matches!$A:$A,CONCAT("&lt;",$E127))</f>
        <v>4</v>
      </c>
      <c r="K127" s="79">
        <f>COUNTIFS(Entropy!D:D,A127,Entropy!I:I,CONCAT("&lt;",E127-1))</f>
        <v>0</v>
      </c>
      <c r="L127" s="79">
        <f t="shared" si="2"/>
        <v>4</v>
      </c>
      <c r="M127" s="79">
        <f t="array" ref="M127">max(min(IF(J127+K127=11,0,XLOOKUP(B127,Quotas!$A$8:$A$14,Quotas!$E$8:$E$14)-$L127),2),0)</f>
        <v>1</v>
      </c>
      <c r="N127" s="31">
        <f t="shared" si="3"/>
        <v>0.5</v>
      </c>
    </row>
    <row r="128">
      <c r="A128" s="31" t="s">
        <v>336</v>
      </c>
      <c r="B128" s="9">
        <v>1.0</v>
      </c>
      <c r="C128" s="31" t="str">
        <f>VLOOKUP(A128, 'College List'!A:B, 2, FALSE)</f>
        <v>Prismari</v>
      </c>
      <c r="D128" s="355">
        <f>VLOOKUP(B128,Quotas!$A$8:$C$14,2,FALSE)</f>
        <v>46136.70833</v>
      </c>
      <c r="E128" s="356">
        <f>VLOOKUP(B128,Quotas!$A$8:$C$14,3,FALSE)</f>
        <v>46143.70833</v>
      </c>
      <c r="F128" s="79">
        <f>COUNTIFS(Matches!$B:$B,A128,Matches!$A:$A,CONCAT("&gt;",$D128),Matches!$A:$A,CONCAT("&lt;",$E128))</f>
        <v>3</v>
      </c>
      <c r="G128" s="79">
        <f>COUNTIFS(Matches!$C:$C,$A128,Matches!$A:$A,CONCAT("&gt;",$D128),Matches!$A:$A,CONCAT("&lt;",$E128))</f>
        <v>2</v>
      </c>
      <c r="H128" s="79">
        <f t="shared" si="1"/>
        <v>5</v>
      </c>
      <c r="I128" s="79">
        <f>COUNTIFS(Matches!$B:$B,$A128,Matches!$A:$A,CONCAT("&lt;",$E128))</f>
        <v>3</v>
      </c>
      <c r="J128" s="79">
        <f>COUNTIFS(Matches!$C:$C,$A128,Matches!$A:$A,CONCAT("&lt;",$E128))</f>
        <v>2</v>
      </c>
      <c r="K128" s="79">
        <f>COUNTIFS(Entropy!D:D,A128,Entropy!I:I,CONCAT("&lt;",E128-1))</f>
        <v>0</v>
      </c>
      <c r="L128" s="79">
        <f t="shared" si="2"/>
        <v>5</v>
      </c>
      <c r="M128" s="79">
        <f t="array" ref="M128">max(min(IF(J128+K128=11,0,XLOOKUP(B128,Quotas!$A$8:$A$14,Quotas!$E$8:$E$14)-$L128),2),0)</f>
        <v>0</v>
      </c>
      <c r="N128" s="31">
        <f t="shared" si="3"/>
        <v>0</v>
      </c>
    </row>
    <row r="129">
      <c r="A129" s="31" t="s">
        <v>281</v>
      </c>
      <c r="B129" s="9">
        <v>1.0</v>
      </c>
      <c r="C129" s="31" t="str">
        <f>VLOOKUP(A129, 'College List'!A:B, 2, FALSE)</f>
        <v>Witherbloom</v>
      </c>
      <c r="D129" s="355">
        <f>VLOOKUP(B129,Quotas!$A$8:$C$14,2,FALSE)</f>
        <v>46136.70833</v>
      </c>
      <c r="E129" s="356">
        <f>VLOOKUP(B129,Quotas!$A$8:$C$14,3,FALSE)</f>
        <v>46143.70833</v>
      </c>
      <c r="F129" s="79">
        <f>COUNTIFS(Matches!$B:$B,A129,Matches!$A:$A,CONCAT("&gt;",$D129),Matches!$A:$A,CONCAT("&lt;",$E129))</f>
        <v>3</v>
      </c>
      <c r="G129" s="79">
        <f>COUNTIFS(Matches!$C:$C,$A129,Matches!$A:$A,CONCAT("&gt;",$D129),Matches!$A:$A,CONCAT("&lt;",$E129))</f>
        <v>2</v>
      </c>
      <c r="H129" s="79">
        <f t="shared" si="1"/>
        <v>5</v>
      </c>
      <c r="I129" s="79">
        <f>COUNTIFS(Matches!$B:$B,$A129,Matches!$A:$A,CONCAT("&lt;",$E129))</f>
        <v>3</v>
      </c>
      <c r="J129" s="79">
        <f>COUNTIFS(Matches!$C:$C,$A129,Matches!$A:$A,CONCAT("&lt;",$E129))</f>
        <v>2</v>
      </c>
      <c r="K129" s="79">
        <f>COUNTIFS(Entropy!D:D,A129,Entropy!I:I,CONCAT("&lt;",E129-1))</f>
        <v>0</v>
      </c>
      <c r="L129" s="79">
        <f t="shared" si="2"/>
        <v>5</v>
      </c>
      <c r="M129" s="79">
        <f t="array" ref="M129">max(min(IF(J129+K129=11,0,XLOOKUP(B129,Quotas!$A$8:$A$14,Quotas!$E$8:$E$14)-$L129),2),0)</f>
        <v>0</v>
      </c>
      <c r="N129" s="31">
        <f t="shared" si="3"/>
        <v>0</v>
      </c>
    </row>
    <row r="130">
      <c r="A130" s="31" t="s">
        <v>406</v>
      </c>
      <c r="B130" s="9">
        <v>1.0</v>
      </c>
      <c r="C130" s="31" t="str">
        <f>VLOOKUP(A130, 'College List'!A:B, 2, FALSE)</f>
        <v>Lorehold</v>
      </c>
      <c r="D130" s="355">
        <f>VLOOKUP(B130,Quotas!$A$8:$C$14,2,FALSE)</f>
        <v>46136.70833</v>
      </c>
      <c r="E130" s="356">
        <f>VLOOKUP(B130,Quotas!$A$8:$C$14,3,FALSE)</f>
        <v>46143.70833</v>
      </c>
      <c r="F130" s="79">
        <f>COUNTIFS(Matches!$B:$B,A130,Matches!$A:$A,CONCAT("&gt;",$D130),Matches!$A:$A,CONCAT("&lt;",$E130))</f>
        <v>0</v>
      </c>
      <c r="G130" s="79">
        <f>COUNTIFS(Matches!$C:$C,$A130,Matches!$A:$A,CONCAT("&gt;",$D130),Matches!$A:$A,CONCAT("&lt;",$E130))</f>
        <v>5</v>
      </c>
      <c r="H130" s="79">
        <f t="shared" si="1"/>
        <v>5</v>
      </c>
      <c r="I130" s="79">
        <f>COUNTIFS(Matches!$B:$B,$A130,Matches!$A:$A,CONCAT("&lt;",$E130))</f>
        <v>0</v>
      </c>
      <c r="J130" s="79">
        <f>COUNTIFS(Matches!$C:$C,$A130,Matches!$A:$A,CONCAT("&lt;",$E130))</f>
        <v>5</v>
      </c>
      <c r="K130" s="79">
        <f>COUNTIFS(Entropy!D:D,A130,Entropy!I:I,CONCAT("&lt;",E130-1))</f>
        <v>0</v>
      </c>
      <c r="L130" s="79">
        <f t="shared" si="2"/>
        <v>5</v>
      </c>
      <c r="M130" s="79">
        <f t="array" ref="M130">max(min(IF(J130+K130=11,0,XLOOKUP(B130,Quotas!$A$8:$A$14,Quotas!$E$8:$E$14)-$L130),2),0)</f>
        <v>0</v>
      </c>
      <c r="N130" s="31">
        <f t="shared" si="3"/>
        <v>0</v>
      </c>
    </row>
    <row r="131">
      <c r="A131" s="31" t="s">
        <v>18</v>
      </c>
      <c r="B131" s="9">
        <v>1.0</v>
      </c>
      <c r="C131" s="31" t="str">
        <f>VLOOKUP(A131, 'College List'!A:B, 2, FALSE)</f>
        <v>Lorehold</v>
      </c>
      <c r="D131" s="355">
        <f>VLOOKUP(B131,Quotas!$A$8:$C$14,2,FALSE)</f>
        <v>46136.70833</v>
      </c>
      <c r="E131" s="356">
        <f>VLOOKUP(B131,Quotas!$A$8:$C$14,3,FALSE)</f>
        <v>46143.70833</v>
      </c>
      <c r="F131" s="79">
        <f>COUNTIFS(Matches!$B:$B,A131,Matches!$A:$A,CONCAT("&gt;",$D131),Matches!$A:$A,CONCAT("&lt;",$E131))</f>
        <v>3</v>
      </c>
      <c r="G131" s="79">
        <f>COUNTIFS(Matches!$C:$C,$A131,Matches!$A:$A,CONCAT("&gt;",$D131),Matches!$A:$A,CONCAT("&lt;",$E131))</f>
        <v>2</v>
      </c>
      <c r="H131" s="79">
        <f t="shared" si="1"/>
        <v>5</v>
      </c>
      <c r="I131" s="79">
        <f>COUNTIFS(Matches!$B:$B,$A131,Matches!$A:$A,CONCAT("&lt;",$E131))</f>
        <v>3</v>
      </c>
      <c r="J131" s="79">
        <f>COUNTIFS(Matches!$C:$C,$A131,Matches!$A:$A,CONCAT("&lt;",$E131))</f>
        <v>2</v>
      </c>
      <c r="K131" s="79">
        <f>COUNTIFS(Entropy!D:D,A131,Entropy!I:I,CONCAT("&lt;",E131-1))</f>
        <v>0</v>
      </c>
      <c r="L131" s="79">
        <f t="shared" si="2"/>
        <v>5</v>
      </c>
      <c r="M131" s="79">
        <f t="array" ref="M131">max(min(IF(J131+K131=11,0,XLOOKUP(B131,Quotas!$A$8:$A$14,Quotas!$E$8:$E$14)-$L131),2),0)</f>
        <v>0</v>
      </c>
      <c r="N131" s="31">
        <f t="shared" si="3"/>
        <v>0</v>
      </c>
    </row>
    <row r="132">
      <c r="A132" s="31" t="s">
        <v>278</v>
      </c>
      <c r="B132" s="9">
        <v>1.0</v>
      </c>
      <c r="C132" s="31" t="str">
        <f>VLOOKUP(A132, 'College List'!A:B, 2, FALSE)</f>
        <v>Lorehold</v>
      </c>
      <c r="D132" s="355">
        <f>VLOOKUP(B132,Quotas!$A$8:$C$14,2,FALSE)</f>
        <v>46136.70833</v>
      </c>
      <c r="E132" s="356">
        <f>VLOOKUP(B132,Quotas!$A$8:$C$14,3,FALSE)</f>
        <v>46143.70833</v>
      </c>
      <c r="F132" s="79">
        <f>COUNTIFS(Matches!$B:$B,A132,Matches!$A:$A,CONCAT("&gt;",$D132),Matches!$A:$A,CONCAT("&lt;",$E132))</f>
        <v>0</v>
      </c>
      <c r="G132" s="79">
        <f>COUNTIFS(Matches!$C:$C,$A132,Matches!$A:$A,CONCAT("&gt;",$D132),Matches!$A:$A,CONCAT("&lt;",$E132))</f>
        <v>5</v>
      </c>
      <c r="H132" s="79">
        <f t="shared" si="1"/>
        <v>5</v>
      </c>
      <c r="I132" s="79">
        <f>COUNTIFS(Matches!$B:$B,$A132,Matches!$A:$A,CONCAT("&lt;",$E132))</f>
        <v>0</v>
      </c>
      <c r="J132" s="79">
        <f>COUNTIFS(Matches!$C:$C,$A132,Matches!$A:$A,CONCAT("&lt;",$E132))</f>
        <v>5</v>
      </c>
      <c r="K132" s="79">
        <f>COUNTIFS(Entropy!D:D,A132,Entropy!I:I,CONCAT("&lt;",E132-1))</f>
        <v>0</v>
      </c>
      <c r="L132" s="79">
        <f t="shared" si="2"/>
        <v>5</v>
      </c>
      <c r="M132" s="79">
        <f t="array" ref="M132">max(min(IF(J132+K132=11,0,XLOOKUP(B132,Quotas!$A$8:$A$14,Quotas!$E$8:$E$14)-$L132),2),0)</f>
        <v>0</v>
      </c>
      <c r="N132" s="31">
        <f t="shared" si="3"/>
        <v>0</v>
      </c>
    </row>
    <row r="133">
      <c r="A133" s="31" t="s">
        <v>293</v>
      </c>
      <c r="B133" s="9">
        <v>1.0</v>
      </c>
      <c r="C133" s="31" t="str">
        <f>VLOOKUP(A133, 'College List'!A:B, 2, FALSE)</f>
        <v>Prismari</v>
      </c>
      <c r="D133" s="355">
        <f>VLOOKUP(B133,Quotas!$A$8:$C$14,2,FALSE)</f>
        <v>46136.70833</v>
      </c>
      <c r="E133" s="356">
        <f>VLOOKUP(B133,Quotas!$A$8:$C$14,3,FALSE)</f>
        <v>46143.70833</v>
      </c>
      <c r="F133" s="79">
        <f>COUNTIFS(Matches!$B:$B,A133,Matches!$A:$A,CONCAT("&gt;",$D133),Matches!$A:$A,CONCAT("&lt;",$E133))</f>
        <v>2</v>
      </c>
      <c r="G133" s="79">
        <f>COUNTIFS(Matches!$C:$C,$A133,Matches!$A:$A,CONCAT("&gt;",$D133),Matches!$A:$A,CONCAT("&lt;",$E133))</f>
        <v>3</v>
      </c>
      <c r="H133" s="79">
        <f t="shared" si="1"/>
        <v>5</v>
      </c>
      <c r="I133" s="79">
        <f>COUNTIFS(Matches!$B:$B,$A133,Matches!$A:$A,CONCAT("&lt;",$E133))</f>
        <v>2</v>
      </c>
      <c r="J133" s="79">
        <f>COUNTIFS(Matches!$C:$C,$A133,Matches!$A:$A,CONCAT("&lt;",$E133))</f>
        <v>3</v>
      </c>
      <c r="K133" s="79">
        <f>COUNTIFS(Entropy!D:D,A133,Entropy!I:I,CONCAT("&lt;",E133-1))</f>
        <v>0</v>
      </c>
      <c r="L133" s="79">
        <f t="shared" si="2"/>
        <v>5</v>
      </c>
      <c r="M133" s="79">
        <f t="array" ref="M133">max(min(IF(J133+K133=11,0,XLOOKUP(B133,Quotas!$A$8:$A$14,Quotas!$E$8:$E$14)-$L133),2),0)</f>
        <v>0</v>
      </c>
      <c r="N133" s="31">
        <f t="shared" si="3"/>
        <v>0</v>
      </c>
    </row>
    <row r="134">
      <c r="A134" s="31" t="s">
        <v>93</v>
      </c>
      <c r="B134" s="9">
        <v>1.0</v>
      </c>
      <c r="C134" s="31" t="str">
        <f>VLOOKUP(A134, 'College List'!A:B, 2, FALSE)</f>
        <v>Silverquill</v>
      </c>
      <c r="D134" s="355">
        <f>VLOOKUP(B134,Quotas!$A$8:$C$14,2,FALSE)</f>
        <v>46136.70833</v>
      </c>
      <c r="E134" s="356">
        <f>VLOOKUP(B134,Quotas!$A$8:$C$14,3,FALSE)</f>
        <v>46143.70833</v>
      </c>
      <c r="F134" s="79">
        <f>COUNTIFS(Matches!$B:$B,A134,Matches!$A:$A,CONCAT("&gt;",$D134),Matches!$A:$A,CONCAT("&lt;",$E134))</f>
        <v>2</v>
      </c>
      <c r="G134" s="79">
        <f>COUNTIFS(Matches!$C:$C,$A134,Matches!$A:$A,CONCAT("&gt;",$D134),Matches!$A:$A,CONCAT("&lt;",$E134))</f>
        <v>3</v>
      </c>
      <c r="H134" s="79">
        <f t="shared" si="1"/>
        <v>5</v>
      </c>
      <c r="I134" s="79">
        <f>COUNTIFS(Matches!$B:$B,$A134,Matches!$A:$A,CONCAT("&lt;",$E134))</f>
        <v>2</v>
      </c>
      <c r="J134" s="79">
        <f>COUNTIFS(Matches!$C:$C,$A134,Matches!$A:$A,CONCAT("&lt;",$E134))</f>
        <v>3</v>
      </c>
      <c r="K134" s="79">
        <f>COUNTIFS(Entropy!D:D,A134,Entropy!I:I,CONCAT("&lt;",E134-1))</f>
        <v>0</v>
      </c>
      <c r="L134" s="79">
        <f t="shared" si="2"/>
        <v>5</v>
      </c>
      <c r="M134" s="79">
        <f t="array" ref="M134">max(min(IF(J134+K134=11,0,XLOOKUP(B134,Quotas!$A$8:$A$14,Quotas!$E$8:$E$14)-$L134),2),0)</f>
        <v>0</v>
      </c>
      <c r="N134" s="31">
        <f t="shared" si="3"/>
        <v>0</v>
      </c>
    </row>
    <row r="135">
      <c r="A135" s="31" t="s">
        <v>263</v>
      </c>
      <c r="B135" s="9">
        <v>1.0</v>
      </c>
      <c r="C135" s="31" t="str">
        <f>VLOOKUP(A135, 'College List'!A:B, 2, FALSE)</f>
        <v>Prismari</v>
      </c>
      <c r="D135" s="355">
        <f>VLOOKUP(B135,Quotas!$A$8:$C$14,2,FALSE)</f>
        <v>46136.70833</v>
      </c>
      <c r="E135" s="356">
        <f>VLOOKUP(B135,Quotas!$A$8:$C$14,3,FALSE)</f>
        <v>46143.70833</v>
      </c>
      <c r="F135" s="79">
        <f>COUNTIFS(Matches!$B:$B,A135,Matches!$A:$A,CONCAT("&gt;",$D135),Matches!$A:$A,CONCAT("&lt;",$E135))</f>
        <v>5</v>
      </c>
      <c r="G135" s="79">
        <f>COUNTIFS(Matches!$C:$C,$A135,Matches!$A:$A,CONCAT("&gt;",$D135),Matches!$A:$A,CONCAT("&lt;",$E135))</f>
        <v>0</v>
      </c>
      <c r="H135" s="79">
        <f t="shared" si="1"/>
        <v>5</v>
      </c>
      <c r="I135" s="79">
        <f>COUNTIFS(Matches!$B:$B,$A135,Matches!$A:$A,CONCAT("&lt;",$E135))</f>
        <v>5</v>
      </c>
      <c r="J135" s="79">
        <f>COUNTIFS(Matches!$C:$C,$A135,Matches!$A:$A,CONCAT("&lt;",$E135))</f>
        <v>0</v>
      </c>
      <c r="K135" s="79">
        <f>COUNTIFS(Entropy!D:D,A135,Entropy!I:I,CONCAT("&lt;",E135-1))</f>
        <v>0</v>
      </c>
      <c r="L135" s="79">
        <f t="shared" si="2"/>
        <v>5</v>
      </c>
      <c r="M135" s="79">
        <f t="array" ref="M135">max(min(IF(J135+K135=11,0,XLOOKUP(B135,Quotas!$A$8:$A$14,Quotas!$E$8:$E$14)-$L135),2),0)</f>
        <v>0</v>
      </c>
      <c r="N135" s="31">
        <f t="shared" si="3"/>
        <v>0</v>
      </c>
    </row>
    <row r="136">
      <c r="A136" s="31" t="s">
        <v>359</v>
      </c>
      <c r="B136" s="9">
        <v>1.0</v>
      </c>
      <c r="C136" s="31" t="str">
        <f>VLOOKUP(A136, 'College List'!A:B, 2, FALSE)</f>
        <v>Quandrix</v>
      </c>
      <c r="D136" s="355">
        <f>VLOOKUP(B136,Quotas!$A$8:$C$14,2,FALSE)</f>
        <v>46136.70833</v>
      </c>
      <c r="E136" s="356">
        <f>VLOOKUP(B136,Quotas!$A$8:$C$14,3,FALSE)</f>
        <v>46143.70833</v>
      </c>
      <c r="F136" s="79">
        <f>COUNTIFS(Matches!$B:$B,A136,Matches!$A:$A,CONCAT("&gt;",$D136),Matches!$A:$A,CONCAT("&lt;",$E136))</f>
        <v>2</v>
      </c>
      <c r="G136" s="79">
        <f>COUNTIFS(Matches!$C:$C,$A136,Matches!$A:$A,CONCAT("&gt;",$D136),Matches!$A:$A,CONCAT("&lt;",$E136))</f>
        <v>3</v>
      </c>
      <c r="H136" s="79">
        <f t="shared" si="1"/>
        <v>5</v>
      </c>
      <c r="I136" s="79">
        <f>COUNTIFS(Matches!$B:$B,$A136,Matches!$A:$A,CONCAT("&lt;",$E136))</f>
        <v>2</v>
      </c>
      <c r="J136" s="79">
        <f>COUNTIFS(Matches!$C:$C,$A136,Matches!$A:$A,CONCAT("&lt;",$E136))</f>
        <v>3</v>
      </c>
      <c r="K136" s="79">
        <f>COUNTIFS(Entropy!D:D,A136,Entropy!I:I,CONCAT("&lt;",E136-1))</f>
        <v>0</v>
      </c>
      <c r="L136" s="79">
        <f t="shared" si="2"/>
        <v>5</v>
      </c>
      <c r="M136" s="79">
        <f t="array" ref="M136">max(min(IF(J136+K136=11,0,XLOOKUP(B136,Quotas!$A$8:$A$14,Quotas!$E$8:$E$14)-$L136),2),0)</f>
        <v>0</v>
      </c>
      <c r="N136" s="31">
        <f t="shared" si="3"/>
        <v>0</v>
      </c>
    </row>
    <row r="137">
      <c r="A137" s="31" t="s">
        <v>134</v>
      </c>
      <c r="B137" s="9">
        <v>1.0</v>
      </c>
      <c r="C137" s="31" t="str">
        <f>VLOOKUP(A137, 'College List'!A:B, 2, FALSE)</f>
        <v>Witherbloom</v>
      </c>
      <c r="D137" s="355">
        <f>VLOOKUP(B137,Quotas!$A$8:$C$14,2,FALSE)</f>
        <v>46136.70833</v>
      </c>
      <c r="E137" s="356">
        <f>VLOOKUP(B137,Quotas!$A$8:$C$14,3,FALSE)</f>
        <v>46143.70833</v>
      </c>
      <c r="F137" s="79">
        <f>COUNTIFS(Matches!$B:$B,A137,Matches!$A:$A,CONCAT("&gt;",$D137),Matches!$A:$A,CONCAT("&lt;",$E137))</f>
        <v>3</v>
      </c>
      <c r="G137" s="79">
        <f>COUNTIFS(Matches!$C:$C,$A137,Matches!$A:$A,CONCAT("&gt;",$D137),Matches!$A:$A,CONCAT("&lt;",$E137))</f>
        <v>2</v>
      </c>
      <c r="H137" s="79">
        <f t="shared" si="1"/>
        <v>5</v>
      </c>
      <c r="I137" s="79">
        <f>COUNTIFS(Matches!$B:$B,$A137,Matches!$A:$A,CONCAT("&lt;",$E137))</f>
        <v>3</v>
      </c>
      <c r="J137" s="79">
        <f>COUNTIFS(Matches!$C:$C,$A137,Matches!$A:$A,CONCAT("&lt;",$E137))</f>
        <v>2</v>
      </c>
      <c r="K137" s="79">
        <f>COUNTIFS(Entropy!D:D,A137,Entropy!I:I,CONCAT("&lt;",E137-1))</f>
        <v>0</v>
      </c>
      <c r="L137" s="79">
        <f t="shared" si="2"/>
        <v>5</v>
      </c>
      <c r="M137" s="79">
        <f t="array" ref="M137">max(min(IF(J137+K137=11,0,XLOOKUP(B137,Quotas!$A$8:$A$14,Quotas!$E$8:$E$14)-$L137),2),0)</f>
        <v>0</v>
      </c>
      <c r="N137" s="31">
        <f t="shared" si="3"/>
        <v>0</v>
      </c>
    </row>
    <row r="138">
      <c r="A138" s="31" t="s">
        <v>301</v>
      </c>
      <c r="B138" s="9">
        <v>1.0</v>
      </c>
      <c r="C138" s="31" t="str">
        <f>VLOOKUP(A138, 'College List'!A:B, 2, FALSE)</f>
        <v>Lorehold</v>
      </c>
      <c r="D138" s="355">
        <f>VLOOKUP(B138,Quotas!$A$8:$C$14,2,FALSE)</f>
        <v>46136.70833</v>
      </c>
      <c r="E138" s="356">
        <f>VLOOKUP(B138,Quotas!$A$8:$C$14,3,FALSE)</f>
        <v>46143.70833</v>
      </c>
      <c r="F138" s="79">
        <f>COUNTIFS(Matches!$B:$B,A138,Matches!$A:$A,CONCAT("&gt;",$D138),Matches!$A:$A,CONCAT("&lt;",$E138))</f>
        <v>0</v>
      </c>
      <c r="G138" s="79">
        <f>COUNTIFS(Matches!$C:$C,$A138,Matches!$A:$A,CONCAT("&gt;",$D138),Matches!$A:$A,CONCAT("&lt;",$E138))</f>
        <v>4</v>
      </c>
      <c r="H138" s="79">
        <f t="shared" si="1"/>
        <v>4</v>
      </c>
      <c r="I138" s="79">
        <f>COUNTIFS(Matches!$B:$B,$A138,Matches!$A:$A,CONCAT("&lt;",$E138))</f>
        <v>0</v>
      </c>
      <c r="J138" s="79">
        <f>COUNTIFS(Matches!$C:$C,$A138,Matches!$A:$A,CONCAT("&lt;",$E138))</f>
        <v>4</v>
      </c>
      <c r="K138" s="79">
        <f>COUNTIFS(Entropy!D:D,A138,Entropy!I:I,CONCAT("&lt;",E138-1))</f>
        <v>0</v>
      </c>
      <c r="L138" s="79">
        <f t="shared" si="2"/>
        <v>4</v>
      </c>
      <c r="M138" s="79">
        <f t="array" ref="M138">max(min(IF(J138+K138=11,0,XLOOKUP(B138,Quotas!$A$8:$A$14,Quotas!$E$8:$E$14)-$L138),2),0)</f>
        <v>1</v>
      </c>
      <c r="N138" s="31">
        <f t="shared" si="3"/>
        <v>0.5</v>
      </c>
    </row>
    <row r="139">
      <c r="A139" s="31" t="s">
        <v>355</v>
      </c>
      <c r="B139" s="9">
        <v>1.0</v>
      </c>
      <c r="C139" s="31" t="str">
        <f>VLOOKUP(A139, 'College List'!A:B, 2, FALSE)</f>
        <v>Prismari</v>
      </c>
      <c r="D139" s="355">
        <f>VLOOKUP(B139,Quotas!$A$8:$C$14,2,FALSE)</f>
        <v>46136.70833</v>
      </c>
      <c r="E139" s="356">
        <f>VLOOKUP(B139,Quotas!$A$8:$C$14,3,FALSE)</f>
        <v>46143.70833</v>
      </c>
      <c r="F139" s="79">
        <f>COUNTIFS(Matches!$B:$B,A139,Matches!$A:$A,CONCAT("&gt;",$D139),Matches!$A:$A,CONCAT("&lt;",$E139))</f>
        <v>1</v>
      </c>
      <c r="G139" s="79">
        <f>COUNTIFS(Matches!$C:$C,$A139,Matches!$A:$A,CONCAT("&gt;",$D139),Matches!$A:$A,CONCAT("&lt;",$E139))</f>
        <v>4</v>
      </c>
      <c r="H139" s="79">
        <f t="shared" si="1"/>
        <v>5</v>
      </c>
      <c r="I139" s="79">
        <f>COUNTIFS(Matches!$B:$B,$A139,Matches!$A:$A,CONCAT("&lt;",$E139))</f>
        <v>1</v>
      </c>
      <c r="J139" s="79">
        <f>COUNTIFS(Matches!$C:$C,$A139,Matches!$A:$A,CONCAT("&lt;",$E139))</f>
        <v>4</v>
      </c>
      <c r="K139" s="79">
        <f>COUNTIFS(Entropy!D:D,A139,Entropy!I:I,CONCAT("&lt;",E139-1))</f>
        <v>0</v>
      </c>
      <c r="L139" s="79">
        <f t="shared" si="2"/>
        <v>5</v>
      </c>
      <c r="M139" s="79">
        <f t="array" ref="M139">max(min(IF(J139+K139=11,0,XLOOKUP(B139,Quotas!$A$8:$A$14,Quotas!$E$8:$E$14)-$L139),2),0)</f>
        <v>0</v>
      </c>
      <c r="N139" s="31">
        <f t="shared" si="3"/>
        <v>0</v>
      </c>
    </row>
    <row r="140">
      <c r="A140" s="31" t="s">
        <v>277</v>
      </c>
      <c r="B140" s="9">
        <v>1.0</v>
      </c>
      <c r="C140" s="31" t="str">
        <f>VLOOKUP(A140, 'College List'!A:B, 2, FALSE)</f>
        <v>Witherbloom</v>
      </c>
      <c r="D140" s="355">
        <f>VLOOKUP(B140,Quotas!$A$8:$C$14,2,FALSE)</f>
        <v>46136.70833</v>
      </c>
      <c r="E140" s="356">
        <f>VLOOKUP(B140,Quotas!$A$8:$C$14,3,FALSE)</f>
        <v>46143.70833</v>
      </c>
      <c r="F140" s="79">
        <f>COUNTIFS(Matches!$B:$B,A140,Matches!$A:$A,CONCAT("&gt;",$D140),Matches!$A:$A,CONCAT("&lt;",$E140))</f>
        <v>0</v>
      </c>
      <c r="G140" s="79">
        <f>COUNTIFS(Matches!$C:$C,$A140,Matches!$A:$A,CONCAT("&gt;",$D140),Matches!$A:$A,CONCAT("&lt;",$E140))</f>
        <v>4</v>
      </c>
      <c r="H140" s="79">
        <f t="shared" si="1"/>
        <v>4</v>
      </c>
      <c r="I140" s="79">
        <f>COUNTIFS(Matches!$B:$B,$A140,Matches!$A:$A,CONCAT("&lt;",$E140))</f>
        <v>0</v>
      </c>
      <c r="J140" s="79">
        <f>COUNTIFS(Matches!$C:$C,$A140,Matches!$A:$A,CONCAT("&lt;",$E140))</f>
        <v>4</v>
      </c>
      <c r="K140" s="79">
        <f>COUNTIFS(Entropy!D:D,A140,Entropy!I:I,CONCAT("&lt;",E140-1))</f>
        <v>0</v>
      </c>
      <c r="L140" s="79">
        <f t="shared" si="2"/>
        <v>4</v>
      </c>
      <c r="M140" s="79">
        <f t="array" ref="M140">max(min(IF(J140+K140=11,0,XLOOKUP(B140,Quotas!$A$8:$A$14,Quotas!$E$8:$E$14)-$L140),2),0)</f>
        <v>1</v>
      </c>
      <c r="N140" s="31">
        <f t="shared" si="3"/>
        <v>0.5</v>
      </c>
    </row>
    <row r="141">
      <c r="A141" s="31" t="s">
        <v>248</v>
      </c>
      <c r="B141" s="9">
        <v>1.0</v>
      </c>
      <c r="C141" s="31" t="str">
        <f>VLOOKUP(A141, 'College List'!A:B, 2, FALSE)</f>
        <v>Prismari</v>
      </c>
      <c r="D141" s="355">
        <f>VLOOKUP(B141,Quotas!$A$8:$C$14,2,FALSE)</f>
        <v>46136.70833</v>
      </c>
      <c r="E141" s="356">
        <f>VLOOKUP(B141,Quotas!$A$8:$C$14,3,FALSE)</f>
        <v>46143.70833</v>
      </c>
      <c r="F141" s="79">
        <f>COUNTIFS(Matches!$B:$B,A141,Matches!$A:$A,CONCAT("&gt;",$D141),Matches!$A:$A,CONCAT("&lt;",$E141))</f>
        <v>1</v>
      </c>
      <c r="G141" s="79">
        <f>COUNTIFS(Matches!$C:$C,$A141,Matches!$A:$A,CONCAT("&gt;",$D141),Matches!$A:$A,CONCAT("&lt;",$E141))</f>
        <v>4</v>
      </c>
      <c r="H141" s="79">
        <f t="shared" si="1"/>
        <v>5</v>
      </c>
      <c r="I141" s="79">
        <f>COUNTIFS(Matches!$B:$B,$A141,Matches!$A:$A,CONCAT("&lt;",$E141))</f>
        <v>1</v>
      </c>
      <c r="J141" s="79">
        <f>COUNTIFS(Matches!$C:$C,$A141,Matches!$A:$A,CONCAT("&lt;",$E141))</f>
        <v>4</v>
      </c>
      <c r="K141" s="79">
        <f>COUNTIFS(Entropy!D:D,A141,Entropy!I:I,CONCAT("&lt;",E141-1))</f>
        <v>0</v>
      </c>
      <c r="L141" s="79">
        <f t="shared" si="2"/>
        <v>5</v>
      </c>
      <c r="M141" s="79">
        <f t="array" ref="M141">max(min(IF(J141+K141=11,0,XLOOKUP(B141,Quotas!$A$8:$A$14,Quotas!$E$8:$E$14)-$L141),2),0)</f>
        <v>0</v>
      </c>
      <c r="N141" s="31">
        <f t="shared" si="3"/>
        <v>0</v>
      </c>
    </row>
    <row r="142">
      <c r="A142" s="31" t="s">
        <v>79</v>
      </c>
      <c r="B142" s="9">
        <v>1.0</v>
      </c>
      <c r="C142" s="31" t="str">
        <f>VLOOKUP(A142, 'College List'!A:B, 2, FALSE)</f>
        <v>Prismari</v>
      </c>
      <c r="D142" s="355">
        <f>VLOOKUP(B142,Quotas!$A$8:$C$14,2,FALSE)</f>
        <v>46136.70833</v>
      </c>
      <c r="E142" s="356">
        <f>VLOOKUP(B142,Quotas!$A$8:$C$14,3,FALSE)</f>
        <v>46143.70833</v>
      </c>
      <c r="F142" s="79">
        <f>COUNTIFS(Matches!$B:$B,A142,Matches!$A:$A,CONCAT("&gt;",$D142),Matches!$A:$A,CONCAT("&lt;",$E142))</f>
        <v>4</v>
      </c>
      <c r="G142" s="79">
        <f>COUNTIFS(Matches!$C:$C,$A142,Matches!$A:$A,CONCAT("&gt;",$D142),Matches!$A:$A,CONCAT("&lt;",$E142))</f>
        <v>1</v>
      </c>
      <c r="H142" s="79">
        <f t="shared" si="1"/>
        <v>5</v>
      </c>
      <c r="I142" s="79">
        <f>COUNTIFS(Matches!$B:$B,$A142,Matches!$A:$A,CONCAT("&lt;",$E142))</f>
        <v>4</v>
      </c>
      <c r="J142" s="79">
        <f>COUNTIFS(Matches!$C:$C,$A142,Matches!$A:$A,CONCAT("&lt;",$E142))</f>
        <v>1</v>
      </c>
      <c r="K142" s="79">
        <f>COUNTIFS(Entropy!D:D,A142,Entropy!I:I,CONCAT("&lt;",E142-1))</f>
        <v>0</v>
      </c>
      <c r="L142" s="79">
        <f t="shared" si="2"/>
        <v>5</v>
      </c>
      <c r="M142" s="79">
        <f t="array" ref="M142">max(min(IF(J142+K142=11,0,XLOOKUP(B142,Quotas!$A$8:$A$14,Quotas!$E$8:$E$14)-$L142),2),0)</f>
        <v>0</v>
      </c>
      <c r="N142" s="31">
        <f t="shared" si="3"/>
        <v>0</v>
      </c>
    </row>
    <row r="143">
      <c r="A143" s="31" t="s">
        <v>342</v>
      </c>
      <c r="B143" s="9">
        <v>1.0</v>
      </c>
      <c r="C143" s="31" t="str">
        <f>VLOOKUP(A143, 'College List'!A:B, 2, FALSE)</f>
        <v>Witherbloom</v>
      </c>
      <c r="D143" s="355">
        <f>VLOOKUP(B143,Quotas!$A$8:$C$14,2,FALSE)</f>
        <v>46136.70833</v>
      </c>
      <c r="E143" s="356">
        <f>VLOOKUP(B143,Quotas!$A$8:$C$14,3,FALSE)</f>
        <v>46143.70833</v>
      </c>
      <c r="F143" s="79">
        <f>COUNTIFS(Matches!$B:$B,A143,Matches!$A:$A,CONCAT("&gt;",$D143),Matches!$A:$A,CONCAT("&lt;",$E143))</f>
        <v>3</v>
      </c>
      <c r="G143" s="79">
        <f>COUNTIFS(Matches!$C:$C,$A143,Matches!$A:$A,CONCAT("&gt;",$D143),Matches!$A:$A,CONCAT("&lt;",$E143))</f>
        <v>2</v>
      </c>
      <c r="H143" s="79">
        <f t="shared" si="1"/>
        <v>5</v>
      </c>
      <c r="I143" s="79">
        <f>COUNTIFS(Matches!$B:$B,$A143,Matches!$A:$A,CONCAT("&lt;",$E143))</f>
        <v>3</v>
      </c>
      <c r="J143" s="79">
        <f>COUNTIFS(Matches!$C:$C,$A143,Matches!$A:$A,CONCAT("&lt;",$E143))</f>
        <v>2</v>
      </c>
      <c r="K143" s="79">
        <f>COUNTIFS(Entropy!D:D,A143,Entropy!I:I,CONCAT("&lt;",E143-1))</f>
        <v>0</v>
      </c>
      <c r="L143" s="79">
        <f t="shared" si="2"/>
        <v>5</v>
      </c>
      <c r="M143" s="79">
        <f t="array" ref="M143">max(min(IF(J143+K143=11,0,XLOOKUP(B143,Quotas!$A$8:$A$14,Quotas!$E$8:$E$14)-$L143),2),0)</f>
        <v>0</v>
      </c>
      <c r="N143" s="31">
        <f t="shared" si="3"/>
        <v>0</v>
      </c>
    </row>
    <row r="144">
      <c r="A144" s="31" t="s">
        <v>162</v>
      </c>
      <c r="B144" s="9">
        <v>1.0</v>
      </c>
      <c r="C144" s="31" t="str">
        <f>VLOOKUP(A144, 'College List'!A:B, 2, FALSE)</f>
        <v>Lorehold</v>
      </c>
      <c r="D144" s="355">
        <f>VLOOKUP(B144,Quotas!$A$8:$C$14,2,FALSE)</f>
        <v>46136.70833</v>
      </c>
      <c r="E144" s="356">
        <f>VLOOKUP(B144,Quotas!$A$8:$C$14,3,FALSE)</f>
        <v>46143.70833</v>
      </c>
      <c r="F144" s="79">
        <f>COUNTIFS(Matches!$B:$B,A144,Matches!$A:$A,CONCAT("&gt;",$D144),Matches!$A:$A,CONCAT("&lt;",$E144))</f>
        <v>5</v>
      </c>
      <c r="G144" s="79">
        <f>COUNTIFS(Matches!$C:$C,$A144,Matches!$A:$A,CONCAT("&gt;",$D144),Matches!$A:$A,CONCAT("&lt;",$E144))</f>
        <v>0</v>
      </c>
      <c r="H144" s="79">
        <f t="shared" si="1"/>
        <v>5</v>
      </c>
      <c r="I144" s="79">
        <f>COUNTIFS(Matches!$B:$B,$A144,Matches!$A:$A,CONCAT("&lt;",$E144))</f>
        <v>5</v>
      </c>
      <c r="J144" s="79">
        <f>COUNTIFS(Matches!$C:$C,$A144,Matches!$A:$A,CONCAT("&lt;",$E144))</f>
        <v>0</v>
      </c>
      <c r="K144" s="79">
        <f>COUNTIFS(Entropy!D:D,A144,Entropy!I:I,CONCAT("&lt;",E144-1))</f>
        <v>0</v>
      </c>
      <c r="L144" s="79">
        <f t="shared" si="2"/>
        <v>5</v>
      </c>
      <c r="M144" s="79">
        <f t="array" ref="M144">max(min(IF(J144+K144=11,0,XLOOKUP(B144,Quotas!$A$8:$A$14,Quotas!$E$8:$E$14)-$L144),2),0)</f>
        <v>0</v>
      </c>
      <c r="N144" s="31">
        <f t="shared" si="3"/>
        <v>0</v>
      </c>
    </row>
    <row r="145">
      <c r="A145" s="9" t="s">
        <v>242</v>
      </c>
      <c r="B145" s="9">
        <v>1.0</v>
      </c>
      <c r="C145" s="31" t="str">
        <f>VLOOKUP(A145, 'College List'!A:B, 2, FALSE)</f>
        <v>Witherbloom</v>
      </c>
      <c r="D145" s="355">
        <f>VLOOKUP(B145,Quotas!$A$8:$C$14,2,FALSE)</f>
        <v>46136.70833</v>
      </c>
      <c r="E145" s="356">
        <f>VLOOKUP(B145,Quotas!$A$8:$C$14,3,FALSE)</f>
        <v>46143.70833</v>
      </c>
      <c r="F145" s="79">
        <f>COUNTIFS(Matches!$B:$B,A145,Matches!$A:$A,CONCAT("&gt;",$D145),Matches!$A:$A,CONCAT("&lt;",$E145))</f>
        <v>1</v>
      </c>
      <c r="G145" s="79">
        <f>COUNTIFS(Matches!$C:$C,$A145,Matches!$A:$A,CONCAT("&gt;",$D145),Matches!$A:$A,CONCAT("&lt;",$E145))</f>
        <v>2</v>
      </c>
      <c r="H145" s="79">
        <f t="shared" si="1"/>
        <v>3</v>
      </c>
      <c r="I145" s="79">
        <f>COUNTIFS(Matches!$B:$B,$A145,Matches!$A:$A,CONCAT("&lt;",$E145))</f>
        <v>1</v>
      </c>
      <c r="J145" s="79">
        <f>COUNTIFS(Matches!$C:$C,$A145,Matches!$A:$A,CONCAT("&lt;",$E145))</f>
        <v>2</v>
      </c>
      <c r="K145" s="79">
        <f>COUNTIFS(Entropy!D:D,A145,Entropy!I:I,CONCAT("&lt;",E145-1))</f>
        <v>0</v>
      </c>
      <c r="L145" s="79">
        <f t="shared" si="2"/>
        <v>3</v>
      </c>
      <c r="M145" s="79">
        <f t="array" ref="M145">max(min(IF(J145+K145=11,0,XLOOKUP(B145,Quotas!$A$8:$A$14,Quotas!$E$8:$E$14)-$L145),2),0)</f>
        <v>2</v>
      </c>
      <c r="N145" s="31">
        <f t="shared" si="3"/>
        <v>1</v>
      </c>
    </row>
    <row r="146">
      <c r="A146" s="31" t="s">
        <v>303</v>
      </c>
      <c r="B146" s="9">
        <v>1.0</v>
      </c>
      <c r="C146" s="31" t="str">
        <f>VLOOKUP(A146, 'College List'!A:B, 2, FALSE)</f>
        <v>Quandrix</v>
      </c>
      <c r="D146" s="355">
        <f>VLOOKUP(B146,Quotas!$A$8:$C$14,2,FALSE)</f>
        <v>46136.70833</v>
      </c>
      <c r="E146" s="356">
        <f>VLOOKUP(B146,Quotas!$A$8:$C$14,3,FALSE)</f>
        <v>46143.70833</v>
      </c>
      <c r="F146" s="79">
        <f>COUNTIFS(Matches!$B:$B,A146,Matches!$A:$A,CONCAT("&gt;",$D146),Matches!$A:$A,CONCAT("&lt;",$E146))</f>
        <v>2</v>
      </c>
      <c r="G146" s="79">
        <f>COUNTIFS(Matches!$C:$C,$A146,Matches!$A:$A,CONCAT("&gt;",$D146),Matches!$A:$A,CONCAT("&lt;",$E146))</f>
        <v>3</v>
      </c>
      <c r="H146" s="79">
        <f t="shared" si="1"/>
        <v>5</v>
      </c>
      <c r="I146" s="79">
        <f>COUNTIFS(Matches!$B:$B,$A146,Matches!$A:$A,CONCAT("&lt;",$E146))</f>
        <v>2</v>
      </c>
      <c r="J146" s="79">
        <f>COUNTIFS(Matches!$C:$C,$A146,Matches!$A:$A,CONCAT("&lt;",$E146))</f>
        <v>3</v>
      </c>
      <c r="K146" s="79">
        <f>COUNTIFS(Entropy!D:D,A146,Entropy!I:I,CONCAT("&lt;",E146-1))</f>
        <v>0</v>
      </c>
      <c r="L146" s="79">
        <f t="shared" si="2"/>
        <v>5</v>
      </c>
      <c r="M146" s="79">
        <f t="array" ref="M146">max(min(IF(J146+K146=11,0,XLOOKUP(B146,Quotas!$A$8:$A$14,Quotas!$E$8:$E$14)-$L146),2),0)</f>
        <v>0</v>
      </c>
      <c r="N146" s="31">
        <f t="shared" si="3"/>
        <v>0</v>
      </c>
    </row>
    <row r="147">
      <c r="A147" s="31" t="s">
        <v>387</v>
      </c>
      <c r="B147" s="9">
        <v>1.0</v>
      </c>
      <c r="C147" s="31" t="str">
        <f>VLOOKUP(A147, 'College List'!A:B, 2, FALSE)</f>
        <v>Prismari</v>
      </c>
      <c r="D147" s="355">
        <f>VLOOKUP(B147,Quotas!$A$8:$C$14,2,FALSE)</f>
        <v>46136.70833</v>
      </c>
      <c r="E147" s="356">
        <f>VLOOKUP(B147,Quotas!$A$8:$C$14,3,FALSE)</f>
        <v>46143.70833</v>
      </c>
      <c r="F147" s="79">
        <f>COUNTIFS(Matches!$B:$B,A147,Matches!$A:$A,CONCAT("&gt;",$D147),Matches!$A:$A,CONCAT("&lt;",$E147))</f>
        <v>3</v>
      </c>
      <c r="G147" s="79">
        <f>COUNTIFS(Matches!$C:$C,$A147,Matches!$A:$A,CONCAT("&gt;",$D147),Matches!$A:$A,CONCAT("&lt;",$E147))</f>
        <v>2</v>
      </c>
      <c r="H147" s="79">
        <f t="shared" si="1"/>
        <v>5</v>
      </c>
      <c r="I147" s="79">
        <f>COUNTIFS(Matches!$B:$B,$A147,Matches!$A:$A,CONCAT("&lt;",$E147))</f>
        <v>3</v>
      </c>
      <c r="J147" s="79">
        <f>COUNTIFS(Matches!$C:$C,$A147,Matches!$A:$A,CONCAT("&lt;",$E147))</f>
        <v>2</v>
      </c>
      <c r="K147" s="79">
        <f>COUNTIFS(Entropy!D:D,A147,Entropy!I:I,CONCAT("&lt;",E147-1))</f>
        <v>0</v>
      </c>
      <c r="L147" s="79">
        <f t="shared" si="2"/>
        <v>5</v>
      </c>
      <c r="M147" s="79">
        <f t="array" ref="M147">max(min(IF(J147+K147=11,0,XLOOKUP(B147,Quotas!$A$8:$A$14,Quotas!$E$8:$E$14)-$L147),2),0)</f>
        <v>0</v>
      </c>
      <c r="N147" s="31">
        <f t="shared" si="3"/>
        <v>0</v>
      </c>
    </row>
    <row r="148">
      <c r="A148" s="31" t="s">
        <v>143</v>
      </c>
      <c r="B148" s="9">
        <v>1.0</v>
      </c>
      <c r="C148" s="31" t="str">
        <f>VLOOKUP(A148, 'College List'!A:B, 2, FALSE)</f>
        <v>Quandrix</v>
      </c>
      <c r="D148" s="355">
        <f>VLOOKUP(B148,Quotas!$A$8:$C$14,2,FALSE)</f>
        <v>46136.70833</v>
      </c>
      <c r="E148" s="356">
        <f>VLOOKUP(B148,Quotas!$A$8:$C$14,3,FALSE)</f>
        <v>46143.70833</v>
      </c>
      <c r="F148" s="79">
        <f>COUNTIFS(Matches!$B:$B,A148,Matches!$A:$A,CONCAT("&gt;",$D148),Matches!$A:$A,CONCAT("&lt;",$E148))</f>
        <v>4</v>
      </c>
      <c r="G148" s="79">
        <f>COUNTIFS(Matches!$C:$C,$A148,Matches!$A:$A,CONCAT("&gt;",$D148),Matches!$A:$A,CONCAT("&lt;",$E148))</f>
        <v>1</v>
      </c>
      <c r="H148" s="79">
        <f t="shared" si="1"/>
        <v>5</v>
      </c>
      <c r="I148" s="79">
        <f>COUNTIFS(Matches!$B:$B,$A148,Matches!$A:$A,CONCAT("&lt;",$E148))</f>
        <v>4</v>
      </c>
      <c r="J148" s="79">
        <f>COUNTIFS(Matches!$C:$C,$A148,Matches!$A:$A,CONCAT("&lt;",$E148))</f>
        <v>1</v>
      </c>
      <c r="K148" s="79">
        <f>COUNTIFS(Entropy!D:D,A148,Entropy!I:I,CONCAT("&lt;",E148-1))</f>
        <v>0</v>
      </c>
      <c r="L148" s="79">
        <f t="shared" si="2"/>
        <v>5</v>
      </c>
      <c r="M148" s="79">
        <f t="array" ref="M148">max(min(IF(J148+K148=11,0,XLOOKUP(B148,Quotas!$A$8:$A$14,Quotas!$E$8:$E$14)-$L148),2),0)</f>
        <v>0</v>
      </c>
      <c r="N148" s="31">
        <f t="shared" si="3"/>
        <v>0</v>
      </c>
    </row>
    <row r="149">
      <c r="A149" s="31" t="s">
        <v>269</v>
      </c>
      <c r="B149" s="9">
        <v>1.0</v>
      </c>
      <c r="C149" s="31" t="str">
        <f>VLOOKUP(A149, 'College List'!A:B, 2, FALSE)</f>
        <v>Silverquill</v>
      </c>
      <c r="D149" s="355">
        <f>VLOOKUP(B149,Quotas!$A$8:$C$14,2,FALSE)</f>
        <v>46136.70833</v>
      </c>
      <c r="E149" s="356">
        <f>VLOOKUP(B149,Quotas!$A$8:$C$14,3,FALSE)</f>
        <v>46143.70833</v>
      </c>
      <c r="F149" s="79">
        <f>COUNTIFS(Matches!$B:$B,A149,Matches!$A:$A,CONCAT("&gt;",$D149),Matches!$A:$A,CONCAT("&lt;",$E149))</f>
        <v>4</v>
      </c>
      <c r="G149" s="79">
        <f>COUNTIFS(Matches!$C:$C,$A149,Matches!$A:$A,CONCAT("&gt;",$D149),Matches!$A:$A,CONCAT("&lt;",$E149))</f>
        <v>1</v>
      </c>
      <c r="H149" s="79">
        <f t="shared" si="1"/>
        <v>5</v>
      </c>
      <c r="I149" s="79">
        <f>COUNTIFS(Matches!$B:$B,$A149,Matches!$A:$A,CONCAT("&lt;",$E149))</f>
        <v>4</v>
      </c>
      <c r="J149" s="79">
        <f>COUNTIFS(Matches!$C:$C,$A149,Matches!$A:$A,CONCAT("&lt;",$E149))</f>
        <v>1</v>
      </c>
      <c r="K149" s="79">
        <f>COUNTIFS(Entropy!D:D,A149,Entropy!I:I,CONCAT("&lt;",E149-1))</f>
        <v>0</v>
      </c>
      <c r="L149" s="79">
        <f t="shared" si="2"/>
        <v>5</v>
      </c>
      <c r="M149" s="79">
        <f t="array" ref="M149">max(min(IF(J149+K149=11,0,XLOOKUP(B149,Quotas!$A$8:$A$14,Quotas!$E$8:$E$14)-$L149),2),0)</f>
        <v>0</v>
      </c>
      <c r="N149" s="31">
        <f t="shared" si="3"/>
        <v>0</v>
      </c>
    </row>
    <row r="150">
      <c r="A150" s="31" t="s">
        <v>163</v>
      </c>
      <c r="B150" s="9">
        <v>1.0</v>
      </c>
      <c r="C150" s="31" t="str">
        <f>VLOOKUP(A150, 'College List'!A:B, 2, FALSE)</f>
        <v>Quandrix</v>
      </c>
      <c r="D150" s="355">
        <f>VLOOKUP(B150,Quotas!$A$8:$C$14,2,FALSE)</f>
        <v>46136.70833</v>
      </c>
      <c r="E150" s="356">
        <f>VLOOKUP(B150,Quotas!$A$8:$C$14,3,FALSE)</f>
        <v>46143.70833</v>
      </c>
      <c r="F150" s="79">
        <f>COUNTIFS(Matches!$B:$B,A150,Matches!$A:$A,CONCAT("&gt;",$D150),Matches!$A:$A,CONCAT("&lt;",$E150))</f>
        <v>3</v>
      </c>
      <c r="G150" s="79">
        <f>COUNTIFS(Matches!$C:$C,$A150,Matches!$A:$A,CONCAT("&gt;",$D150),Matches!$A:$A,CONCAT("&lt;",$E150))</f>
        <v>2</v>
      </c>
      <c r="H150" s="79">
        <f t="shared" si="1"/>
        <v>5</v>
      </c>
      <c r="I150" s="79">
        <f>COUNTIFS(Matches!$B:$B,$A150,Matches!$A:$A,CONCAT("&lt;",$E150))</f>
        <v>3</v>
      </c>
      <c r="J150" s="79">
        <f>COUNTIFS(Matches!$C:$C,$A150,Matches!$A:$A,CONCAT("&lt;",$E150))</f>
        <v>2</v>
      </c>
      <c r="K150" s="79">
        <f>COUNTIFS(Entropy!D:D,A150,Entropy!I:I,CONCAT("&lt;",E150-1))</f>
        <v>0</v>
      </c>
      <c r="L150" s="79">
        <f t="shared" si="2"/>
        <v>5</v>
      </c>
      <c r="M150" s="79">
        <f t="array" ref="M150">max(min(IF(J150+K150=11,0,XLOOKUP(B150,Quotas!$A$8:$A$14,Quotas!$E$8:$E$14)-$L150),2),0)</f>
        <v>0</v>
      </c>
      <c r="N150" s="31">
        <f t="shared" si="3"/>
        <v>0</v>
      </c>
    </row>
    <row r="151">
      <c r="A151" s="31" t="s">
        <v>328</v>
      </c>
      <c r="B151" s="9">
        <v>1.0</v>
      </c>
      <c r="C151" s="31" t="str">
        <f>VLOOKUP(A151, 'College List'!A:B, 2, FALSE)</f>
        <v>Prismari</v>
      </c>
      <c r="D151" s="355">
        <f>VLOOKUP(B151,Quotas!$A$8:$C$14,2,FALSE)</f>
        <v>46136.70833</v>
      </c>
      <c r="E151" s="356">
        <f>VLOOKUP(B151,Quotas!$A$8:$C$14,3,FALSE)</f>
        <v>46143.70833</v>
      </c>
      <c r="F151" s="79">
        <f>COUNTIFS(Matches!$B:$B,A151,Matches!$A:$A,CONCAT("&gt;",$D151),Matches!$A:$A,CONCAT("&lt;",$E151))</f>
        <v>3</v>
      </c>
      <c r="G151" s="79">
        <f>COUNTIFS(Matches!$C:$C,$A151,Matches!$A:$A,CONCAT("&gt;",$D151),Matches!$A:$A,CONCAT("&lt;",$E151))</f>
        <v>2</v>
      </c>
      <c r="H151" s="79">
        <f t="shared" si="1"/>
        <v>5</v>
      </c>
      <c r="I151" s="79">
        <f>COUNTIFS(Matches!$B:$B,$A151,Matches!$A:$A,CONCAT("&lt;",$E151))</f>
        <v>3</v>
      </c>
      <c r="J151" s="79">
        <f>COUNTIFS(Matches!$C:$C,$A151,Matches!$A:$A,CONCAT("&lt;",$E151))</f>
        <v>2</v>
      </c>
      <c r="K151" s="79">
        <f>COUNTIFS(Entropy!D:D,A151,Entropy!I:I,CONCAT("&lt;",E151-1))</f>
        <v>0</v>
      </c>
      <c r="L151" s="79">
        <f t="shared" si="2"/>
        <v>5</v>
      </c>
      <c r="M151" s="79">
        <f t="array" ref="M151">max(min(IF(J151+K151=11,0,XLOOKUP(B151,Quotas!$A$8:$A$14,Quotas!$E$8:$E$14)-$L151),2),0)</f>
        <v>0</v>
      </c>
      <c r="N151" s="31">
        <f t="shared" si="3"/>
        <v>0</v>
      </c>
    </row>
    <row r="152">
      <c r="A152" s="31" t="s">
        <v>329</v>
      </c>
      <c r="B152" s="9">
        <v>1.0</v>
      </c>
      <c r="C152" s="31" t="str">
        <f>VLOOKUP(A152, 'College List'!A:B, 2, FALSE)</f>
        <v>Lorehold</v>
      </c>
      <c r="D152" s="355">
        <f>VLOOKUP(B152,Quotas!$A$8:$C$14,2,FALSE)</f>
        <v>46136.70833</v>
      </c>
      <c r="E152" s="356">
        <f>VLOOKUP(B152,Quotas!$A$8:$C$14,3,FALSE)</f>
        <v>46143.70833</v>
      </c>
      <c r="F152" s="79">
        <f>COUNTIFS(Matches!$B:$B,A152,Matches!$A:$A,CONCAT("&gt;",$D152),Matches!$A:$A,CONCAT("&lt;",$E152))</f>
        <v>2</v>
      </c>
      <c r="G152" s="79">
        <f>COUNTIFS(Matches!$C:$C,$A152,Matches!$A:$A,CONCAT("&gt;",$D152),Matches!$A:$A,CONCAT("&lt;",$E152))</f>
        <v>3</v>
      </c>
      <c r="H152" s="79">
        <f t="shared" si="1"/>
        <v>5</v>
      </c>
      <c r="I152" s="79">
        <f>COUNTIFS(Matches!$B:$B,$A152,Matches!$A:$A,CONCAT("&lt;",$E152))</f>
        <v>2</v>
      </c>
      <c r="J152" s="79">
        <f>COUNTIFS(Matches!$C:$C,$A152,Matches!$A:$A,CONCAT("&lt;",$E152))</f>
        <v>3</v>
      </c>
      <c r="K152" s="79">
        <f>COUNTIFS(Entropy!D:D,A152,Entropy!I:I,CONCAT("&lt;",E152-1))</f>
        <v>0</v>
      </c>
      <c r="L152" s="79">
        <f t="shared" si="2"/>
        <v>5</v>
      </c>
      <c r="M152" s="79">
        <f t="array" ref="M152">max(min(IF(J152+K152=11,0,XLOOKUP(B152,Quotas!$A$8:$A$14,Quotas!$E$8:$E$14)-$L152),2),0)</f>
        <v>0</v>
      </c>
      <c r="N152" s="31">
        <f t="shared" si="3"/>
        <v>0</v>
      </c>
    </row>
    <row r="153">
      <c r="A153" s="31" t="s">
        <v>258</v>
      </c>
      <c r="B153" s="9">
        <v>1.0</v>
      </c>
      <c r="C153" s="31" t="str">
        <f>VLOOKUP(A153, 'College List'!A:B, 2, FALSE)</f>
        <v>Witherbloom</v>
      </c>
      <c r="D153" s="355">
        <f>VLOOKUP(B153,Quotas!$A$8:$C$14,2,FALSE)</f>
        <v>46136.70833</v>
      </c>
      <c r="E153" s="356">
        <f>VLOOKUP(B153,Quotas!$A$8:$C$14,3,FALSE)</f>
        <v>46143.70833</v>
      </c>
      <c r="F153" s="79">
        <f>COUNTIFS(Matches!$B:$B,A153,Matches!$A:$A,CONCAT("&gt;",$D153),Matches!$A:$A,CONCAT("&lt;",$E153))</f>
        <v>4</v>
      </c>
      <c r="G153" s="79">
        <f>COUNTIFS(Matches!$C:$C,$A153,Matches!$A:$A,CONCAT("&gt;",$D153),Matches!$A:$A,CONCAT("&lt;",$E153))</f>
        <v>1</v>
      </c>
      <c r="H153" s="79">
        <f t="shared" si="1"/>
        <v>5</v>
      </c>
      <c r="I153" s="79">
        <f>COUNTIFS(Matches!$B:$B,$A153,Matches!$A:$A,CONCAT("&lt;",$E153))</f>
        <v>4</v>
      </c>
      <c r="J153" s="79">
        <f>COUNTIFS(Matches!$C:$C,$A153,Matches!$A:$A,CONCAT("&lt;",$E153))</f>
        <v>1</v>
      </c>
      <c r="K153" s="79">
        <f>COUNTIFS(Entropy!D:D,A153,Entropy!I:I,CONCAT("&lt;",E153-1))</f>
        <v>0</v>
      </c>
      <c r="L153" s="79">
        <f t="shared" si="2"/>
        <v>5</v>
      </c>
      <c r="M153" s="79">
        <f t="array" ref="M153">max(min(IF(J153+K153=11,0,XLOOKUP(B153,Quotas!$A$8:$A$14,Quotas!$E$8:$E$14)-$L153),2),0)</f>
        <v>0</v>
      </c>
      <c r="N153" s="31">
        <f t="shared" si="3"/>
        <v>0</v>
      </c>
    </row>
    <row r="154">
      <c r="A154" s="31" t="s">
        <v>156</v>
      </c>
      <c r="B154" s="9">
        <v>1.0</v>
      </c>
      <c r="C154" s="31" t="str">
        <f>VLOOKUP(A154, 'College List'!A:B, 2, FALSE)</f>
        <v>Silverquill</v>
      </c>
      <c r="D154" s="355">
        <f>VLOOKUP(B154,Quotas!$A$8:$C$14,2,FALSE)</f>
        <v>46136.70833</v>
      </c>
      <c r="E154" s="356">
        <f>VLOOKUP(B154,Quotas!$A$8:$C$14,3,FALSE)</f>
        <v>46143.70833</v>
      </c>
      <c r="F154" s="79">
        <f>COUNTIFS(Matches!$B:$B,A154,Matches!$A:$A,CONCAT("&gt;",$D154),Matches!$A:$A,CONCAT("&lt;",$E154))</f>
        <v>0</v>
      </c>
      <c r="G154" s="79">
        <f>COUNTIFS(Matches!$C:$C,$A154,Matches!$A:$A,CONCAT("&gt;",$D154),Matches!$A:$A,CONCAT("&lt;",$E154))</f>
        <v>5</v>
      </c>
      <c r="H154" s="79">
        <f t="shared" si="1"/>
        <v>5</v>
      </c>
      <c r="I154" s="79">
        <f>COUNTIFS(Matches!$B:$B,$A154,Matches!$A:$A,CONCAT("&lt;",$E154))</f>
        <v>0</v>
      </c>
      <c r="J154" s="79">
        <f>COUNTIFS(Matches!$C:$C,$A154,Matches!$A:$A,CONCAT("&lt;",$E154))</f>
        <v>5</v>
      </c>
      <c r="K154" s="79">
        <f>COUNTIFS(Entropy!D:D,A154,Entropy!I:I,CONCAT("&lt;",E154-1))</f>
        <v>0</v>
      </c>
      <c r="L154" s="79">
        <f t="shared" si="2"/>
        <v>5</v>
      </c>
      <c r="M154" s="79">
        <f t="array" ref="M154">max(min(IF(J154+K154=11,0,XLOOKUP(B154,Quotas!$A$8:$A$14,Quotas!$E$8:$E$14)-$L154),2),0)</f>
        <v>0</v>
      </c>
      <c r="N154" s="31">
        <f t="shared" si="3"/>
        <v>0</v>
      </c>
    </row>
    <row r="155">
      <c r="A155" s="31" t="s">
        <v>394</v>
      </c>
      <c r="B155" s="9">
        <v>1.0</v>
      </c>
      <c r="C155" s="31" t="str">
        <f>VLOOKUP(A155, 'College List'!A:B, 2, FALSE)</f>
        <v>Quandrix</v>
      </c>
      <c r="D155" s="355">
        <f>VLOOKUP(B155,Quotas!$A$8:$C$14,2,FALSE)</f>
        <v>46136.70833</v>
      </c>
      <c r="E155" s="356">
        <f>VLOOKUP(B155,Quotas!$A$8:$C$14,3,FALSE)</f>
        <v>46143.70833</v>
      </c>
      <c r="F155" s="79">
        <f>COUNTIFS(Matches!$B:$B,A155,Matches!$A:$A,CONCAT("&gt;",$D155),Matches!$A:$A,CONCAT("&lt;",$E155))</f>
        <v>3</v>
      </c>
      <c r="G155" s="79">
        <f>COUNTIFS(Matches!$C:$C,$A155,Matches!$A:$A,CONCAT("&gt;",$D155),Matches!$A:$A,CONCAT("&lt;",$E155))</f>
        <v>2</v>
      </c>
      <c r="H155" s="79">
        <f t="shared" si="1"/>
        <v>5</v>
      </c>
      <c r="I155" s="79">
        <f>COUNTIFS(Matches!$B:$B,$A155,Matches!$A:$A,CONCAT("&lt;",$E155))</f>
        <v>3</v>
      </c>
      <c r="J155" s="79">
        <f>COUNTIFS(Matches!$C:$C,$A155,Matches!$A:$A,CONCAT("&lt;",$E155))</f>
        <v>2</v>
      </c>
      <c r="K155" s="79">
        <f>COUNTIFS(Entropy!D:D,A155,Entropy!I:I,CONCAT("&lt;",E155-1))</f>
        <v>0</v>
      </c>
      <c r="L155" s="79">
        <f t="shared" si="2"/>
        <v>5</v>
      </c>
      <c r="M155" s="79">
        <f t="array" ref="M155">max(min(IF(J155+K155=11,0,XLOOKUP(B155,Quotas!$A$8:$A$14,Quotas!$E$8:$E$14)-$L155),2),0)</f>
        <v>0</v>
      </c>
      <c r="N155" s="31">
        <f t="shared" si="3"/>
        <v>0</v>
      </c>
    </row>
    <row r="156">
      <c r="A156" s="31" t="s">
        <v>110</v>
      </c>
      <c r="B156" s="9">
        <v>1.0</v>
      </c>
      <c r="C156" s="31" t="str">
        <f>VLOOKUP(A156, 'College List'!A:B, 2, FALSE)</f>
        <v>Lorehold</v>
      </c>
      <c r="D156" s="355">
        <f>VLOOKUP(B156,Quotas!$A$8:$C$14,2,FALSE)</f>
        <v>46136.70833</v>
      </c>
      <c r="E156" s="356">
        <f>VLOOKUP(B156,Quotas!$A$8:$C$14,3,FALSE)</f>
        <v>46143.70833</v>
      </c>
      <c r="F156" s="79">
        <f>COUNTIFS(Matches!$B:$B,A156,Matches!$A:$A,CONCAT("&gt;",$D156),Matches!$A:$A,CONCAT("&lt;",$E156))</f>
        <v>4</v>
      </c>
      <c r="G156" s="79">
        <f>COUNTIFS(Matches!$C:$C,$A156,Matches!$A:$A,CONCAT("&gt;",$D156),Matches!$A:$A,CONCAT("&lt;",$E156))</f>
        <v>1</v>
      </c>
      <c r="H156" s="79">
        <f t="shared" si="1"/>
        <v>5</v>
      </c>
      <c r="I156" s="79">
        <f>COUNTIFS(Matches!$B:$B,$A156,Matches!$A:$A,CONCAT("&lt;",$E156))</f>
        <v>4</v>
      </c>
      <c r="J156" s="79">
        <f>COUNTIFS(Matches!$C:$C,$A156,Matches!$A:$A,CONCAT("&lt;",$E156))</f>
        <v>1</v>
      </c>
      <c r="K156" s="79">
        <f>COUNTIFS(Entropy!D:D,A156,Entropy!I:I,CONCAT("&lt;",E156-1))</f>
        <v>0</v>
      </c>
      <c r="L156" s="79">
        <f t="shared" si="2"/>
        <v>5</v>
      </c>
      <c r="M156" s="79">
        <f t="array" ref="M156">max(min(IF(J156+K156=11,0,XLOOKUP(B156,Quotas!$A$8:$A$14,Quotas!$E$8:$E$14)-$L156),2),0)</f>
        <v>0</v>
      </c>
      <c r="N156" s="31">
        <f t="shared" si="3"/>
        <v>0</v>
      </c>
    </row>
    <row r="157">
      <c r="A157" s="31" t="s">
        <v>198</v>
      </c>
      <c r="B157" s="9">
        <v>1.0</v>
      </c>
      <c r="C157" s="31" t="str">
        <f>VLOOKUP(A157, 'College List'!A:B, 2, FALSE)</f>
        <v>Quandrix</v>
      </c>
      <c r="D157" s="355">
        <f>VLOOKUP(B157,Quotas!$A$8:$C$14,2,FALSE)</f>
        <v>46136.70833</v>
      </c>
      <c r="E157" s="356">
        <f>VLOOKUP(B157,Quotas!$A$8:$C$14,3,FALSE)</f>
        <v>46143.70833</v>
      </c>
      <c r="F157" s="79">
        <f>COUNTIFS(Matches!$B:$B,A157,Matches!$A:$A,CONCAT("&gt;",$D157),Matches!$A:$A,CONCAT("&lt;",$E157))</f>
        <v>4</v>
      </c>
      <c r="G157" s="79">
        <f>COUNTIFS(Matches!$C:$C,$A157,Matches!$A:$A,CONCAT("&gt;",$D157),Matches!$A:$A,CONCAT("&lt;",$E157))</f>
        <v>1</v>
      </c>
      <c r="H157" s="79">
        <f t="shared" si="1"/>
        <v>5</v>
      </c>
      <c r="I157" s="79">
        <f>COUNTIFS(Matches!$B:$B,$A157,Matches!$A:$A,CONCAT("&lt;",$E157))</f>
        <v>4</v>
      </c>
      <c r="J157" s="79">
        <f>COUNTIFS(Matches!$C:$C,$A157,Matches!$A:$A,CONCAT("&lt;",$E157))</f>
        <v>1</v>
      </c>
      <c r="K157" s="79">
        <f>COUNTIFS(Entropy!D:D,A157,Entropy!I:I,CONCAT("&lt;",E157-1))</f>
        <v>0</v>
      </c>
      <c r="L157" s="79">
        <f t="shared" si="2"/>
        <v>5</v>
      </c>
      <c r="M157" s="79">
        <f t="array" ref="M157">max(min(IF(J157+K157=11,0,XLOOKUP(B157,Quotas!$A$8:$A$14,Quotas!$E$8:$E$14)-$L157),2),0)</f>
        <v>0</v>
      </c>
      <c r="N157" s="31">
        <f t="shared" si="3"/>
        <v>0</v>
      </c>
    </row>
    <row r="158">
      <c r="A158" s="31" t="s">
        <v>128</v>
      </c>
      <c r="B158" s="9">
        <v>1.0</v>
      </c>
      <c r="C158" s="31" t="str">
        <f>VLOOKUP(A158, 'College List'!A:B, 2, FALSE)</f>
        <v>Quandrix</v>
      </c>
      <c r="D158" s="355">
        <f>VLOOKUP(B158,Quotas!$A$8:$C$14,2,FALSE)</f>
        <v>46136.70833</v>
      </c>
      <c r="E158" s="356">
        <f>VLOOKUP(B158,Quotas!$A$8:$C$14,3,FALSE)</f>
        <v>46143.70833</v>
      </c>
      <c r="F158" s="79">
        <f>COUNTIFS(Matches!$B:$B,A158,Matches!$A:$A,CONCAT("&gt;",$D158),Matches!$A:$A,CONCAT("&lt;",$E158))</f>
        <v>2</v>
      </c>
      <c r="G158" s="79">
        <f>COUNTIFS(Matches!$C:$C,$A158,Matches!$A:$A,CONCAT("&gt;",$D158),Matches!$A:$A,CONCAT("&lt;",$E158))</f>
        <v>3</v>
      </c>
      <c r="H158" s="79">
        <f t="shared" si="1"/>
        <v>5</v>
      </c>
      <c r="I158" s="79">
        <f>COUNTIFS(Matches!$B:$B,$A158,Matches!$A:$A,CONCAT("&lt;",$E158))</f>
        <v>2</v>
      </c>
      <c r="J158" s="79">
        <f>COUNTIFS(Matches!$C:$C,$A158,Matches!$A:$A,CONCAT("&lt;",$E158))</f>
        <v>3</v>
      </c>
      <c r="K158" s="79">
        <f>COUNTIFS(Entropy!D:D,A158,Entropy!I:I,CONCAT("&lt;",E158-1))</f>
        <v>0</v>
      </c>
      <c r="L158" s="79">
        <f t="shared" si="2"/>
        <v>5</v>
      </c>
      <c r="M158" s="79">
        <f t="array" ref="M158">max(min(IF(J158+K158=11,0,XLOOKUP(B158,Quotas!$A$8:$A$14,Quotas!$E$8:$E$14)-$L158),2),0)</f>
        <v>0</v>
      </c>
      <c r="N158" s="31">
        <f t="shared" si="3"/>
        <v>0</v>
      </c>
    </row>
    <row r="159">
      <c r="A159" s="31" t="s">
        <v>167</v>
      </c>
      <c r="B159" s="9">
        <v>1.0</v>
      </c>
      <c r="C159" s="31" t="str">
        <f>VLOOKUP(A159, 'College List'!A:B, 2, FALSE)</f>
        <v>Lorehold</v>
      </c>
      <c r="D159" s="355">
        <f>VLOOKUP(B159,Quotas!$A$8:$C$14,2,FALSE)</f>
        <v>46136.70833</v>
      </c>
      <c r="E159" s="356">
        <f>VLOOKUP(B159,Quotas!$A$8:$C$14,3,FALSE)</f>
        <v>46143.70833</v>
      </c>
      <c r="F159" s="79">
        <f>COUNTIFS(Matches!$B:$B,A159,Matches!$A:$A,CONCAT("&gt;",$D159),Matches!$A:$A,CONCAT("&lt;",$E159))</f>
        <v>3</v>
      </c>
      <c r="G159" s="79">
        <f>COUNTIFS(Matches!$C:$C,$A159,Matches!$A:$A,CONCAT("&gt;",$D159),Matches!$A:$A,CONCAT("&lt;",$E159))</f>
        <v>2</v>
      </c>
      <c r="H159" s="79">
        <f t="shared" si="1"/>
        <v>5</v>
      </c>
      <c r="I159" s="79">
        <f>COUNTIFS(Matches!$B:$B,$A159,Matches!$A:$A,CONCAT("&lt;",$E159))</f>
        <v>3</v>
      </c>
      <c r="J159" s="79">
        <f>COUNTIFS(Matches!$C:$C,$A159,Matches!$A:$A,CONCAT("&lt;",$E159))</f>
        <v>2</v>
      </c>
      <c r="K159" s="79">
        <f>COUNTIFS(Entropy!D:D,A159,Entropy!I:I,CONCAT("&lt;",E159-1))</f>
        <v>0</v>
      </c>
      <c r="L159" s="79">
        <f t="shared" si="2"/>
        <v>5</v>
      </c>
      <c r="M159" s="79">
        <f t="array" ref="M159">max(min(IF(J159+K159=11,0,XLOOKUP(B159,Quotas!$A$8:$A$14,Quotas!$E$8:$E$14)-$L159),2),0)</f>
        <v>0</v>
      </c>
      <c r="N159" s="31">
        <f t="shared" si="3"/>
        <v>0</v>
      </c>
    </row>
    <row r="160">
      <c r="A160" s="31" t="s">
        <v>226</v>
      </c>
      <c r="B160" s="9">
        <v>1.0</v>
      </c>
      <c r="C160" s="31" t="str">
        <f>VLOOKUP(A160, 'College List'!A:B, 2, FALSE)</f>
        <v>Lorehold</v>
      </c>
      <c r="D160" s="355">
        <f>VLOOKUP(B160,Quotas!$A$8:$C$14,2,FALSE)</f>
        <v>46136.70833</v>
      </c>
      <c r="E160" s="356">
        <f>VLOOKUP(B160,Quotas!$A$8:$C$14,3,FALSE)</f>
        <v>46143.70833</v>
      </c>
      <c r="F160" s="79">
        <f>COUNTIFS(Matches!$B:$B,A160,Matches!$A:$A,CONCAT("&gt;",$D160),Matches!$A:$A,CONCAT("&lt;",$E160))</f>
        <v>4</v>
      </c>
      <c r="G160" s="79">
        <f>COUNTIFS(Matches!$C:$C,$A160,Matches!$A:$A,CONCAT("&gt;",$D160),Matches!$A:$A,CONCAT("&lt;",$E160))</f>
        <v>1</v>
      </c>
      <c r="H160" s="79">
        <f t="shared" si="1"/>
        <v>5</v>
      </c>
      <c r="I160" s="79">
        <f>COUNTIFS(Matches!$B:$B,$A160,Matches!$A:$A,CONCAT("&lt;",$E160))</f>
        <v>4</v>
      </c>
      <c r="J160" s="79">
        <f>COUNTIFS(Matches!$C:$C,$A160,Matches!$A:$A,CONCAT("&lt;",$E160))</f>
        <v>1</v>
      </c>
      <c r="K160" s="79">
        <f>COUNTIFS(Entropy!D:D,A160,Entropy!I:I,CONCAT("&lt;",E160-1))</f>
        <v>0</v>
      </c>
      <c r="L160" s="79">
        <f t="shared" si="2"/>
        <v>5</v>
      </c>
      <c r="M160" s="79">
        <f t="array" ref="M160">max(min(IF(J160+K160=11,0,XLOOKUP(B160,Quotas!$A$8:$A$14,Quotas!$E$8:$E$14)-$L160),2),0)</f>
        <v>0</v>
      </c>
      <c r="N160" s="31">
        <f t="shared" si="3"/>
        <v>0</v>
      </c>
    </row>
    <row r="161">
      <c r="A161" s="31" t="s">
        <v>376</v>
      </c>
      <c r="B161" s="9">
        <v>1.0</v>
      </c>
      <c r="C161" s="31" t="str">
        <f>VLOOKUP(A161, 'College List'!A:B, 2, FALSE)</f>
        <v>Prismari</v>
      </c>
      <c r="D161" s="355">
        <f>VLOOKUP(B161,Quotas!$A$8:$C$14,2,FALSE)</f>
        <v>46136.70833</v>
      </c>
      <c r="E161" s="356">
        <f>VLOOKUP(B161,Quotas!$A$8:$C$14,3,FALSE)</f>
        <v>46143.70833</v>
      </c>
      <c r="F161" s="79">
        <f>COUNTIFS(Matches!$B:$B,A161,Matches!$A:$A,CONCAT("&gt;",$D161),Matches!$A:$A,CONCAT("&lt;",$E161))</f>
        <v>3</v>
      </c>
      <c r="G161" s="79">
        <f>COUNTIFS(Matches!$C:$C,$A161,Matches!$A:$A,CONCAT("&gt;",$D161),Matches!$A:$A,CONCAT("&lt;",$E161))</f>
        <v>2</v>
      </c>
      <c r="H161" s="79">
        <f t="shared" si="1"/>
        <v>5</v>
      </c>
      <c r="I161" s="79">
        <f>COUNTIFS(Matches!$B:$B,$A161,Matches!$A:$A,CONCAT("&lt;",$E161))</f>
        <v>3</v>
      </c>
      <c r="J161" s="79">
        <f>COUNTIFS(Matches!$C:$C,$A161,Matches!$A:$A,CONCAT("&lt;",$E161))</f>
        <v>2</v>
      </c>
      <c r="K161" s="79">
        <f>COUNTIFS(Entropy!D:D,A161,Entropy!I:I,CONCAT("&lt;",E161-1))</f>
        <v>0</v>
      </c>
      <c r="L161" s="79">
        <f t="shared" si="2"/>
        <v>5</v>
      </c>
      <c r="M161" s="79">
        <f t="array" ref="M161">max(min(IF(J161+K161=11,0,XLOOKUP(B161,Quotas!$A$8:$A$14,Quotas!$E$8:$E$14)-$L161),2),0)</f>
        <v>0</v>
      </c>
      <c r="N161" s="31">
        <f t="shared" si="3"/>
        <v>0</v>
      </c>
    </row>
    <row r="162">
      <c r="A162" s="31" t="s">
        <v>304</v>
      </c>
      <c r="B162" s="9">
        <v>1.0</v>
      </c>
      <c r="C162" s="31" t="str">
        <f>VLOOKUP(A162, 'College List'!A:B, 2, FALSE)</f>
        <v>Prismari</v>
      </c>
      <c r="D162" s="355">
        <f>VLOOKUP(B162,Quotas!$A$8:$C$14,2,FALSE)</f>
        <v>46136.70833</v>
      </c>
      <c r="E162" s="356">
        <f>VLOOKUP(B162,Quotas!$A$8:$C$14,3,FALSE)</f>
        <v>46143.70833</v>
      </c>
      <c r="F162" s="79">
        <f>COUNTIFS(Matches!$B:$B,A162,Matches!$A:$A,CONCAT("&gt;",$D162),Matches!$A:$A,CONCAT("&lt;",$E162))</f>
        <v>2</v>
      </c>
      <c r="G162" s="79">
        <f>COUNTIFS(Matches!$C:$C,$A162,Matches!$A:$A,CONCAT("&gt;",$D162),Matches!$A:$A,CONCAT("&lt;",$E162))</f>
        <v>2</v>
      </c>
      <c r="H162" s="79">
        <f t="shared" si="1"/>
        <v>4</v>
      </c>
      <c r="I162" s="79">
        <f>COUNTIFS(Matches!$B:$B,$A162,Matches!$A:$A,CONCAT("&lt;",$E162))</f>
        <v>2</v>
      </c>
      <c r="J162" s="79">
        <f>COUNTIFS(Matches!$C:$C,$A162,Matches!$A:$A,CONCAT("&lt;",$E162))</f>
        <v>2</v>
      </c>
      <c r="K162" s="79">
        <f>COUNTIFS(Entropy!D:D,A162,Entropy!I:I,CONCAT("&lt;",E162-1))</f>
        <v>0</v>
      </c>
      <c r="L162" s="79">
        <f t="shared" si="2"/>
        <v>4</v>
      </c>
      <c r="M162" s="79">
        <f t="array" ref="M162">max(min(IF(J162+K162=11,0,XLOOKUP(B162,Quotas!$A$8:$A$14,Quotas!$E$8:$E$14)-$L162),2),0)</f>
        <v>1</v>
      </c>
      <c r="N162" s="31">
        <f t="shared" si="3"/>
        <v>0.5</v>
      </c>
    </row>
    <row r="163">
      <c r="A163" s="31" t="s">
        <v>92</v>
      </c>
      <c r="B163" s="9">
        <v>1.0</v>
      </c>
      <c r="C163" s="31" t="str">
        <f>VLOOKUP(A163, 'College List'!A:B, 2, FALSE)</f>
        <v>Witherbloom</v>
      </c>
      <c r="D163" s="355">
        <f>VLOOKUP(B163,Quotas!$A$8:$C$14,2,FALSE)</f>
        <v>46136.70833</v>
      </c>
      <c r="E163" s="356">
        <f>VLOOKUP(B163,Quotas!$A$8:$C$14,3,FALSE)</f>
        <v>46143.70833</v>
      </c>
      <c r="F163" s="79">
        <f>COUNTIFS(Matches!$B:$B,A163,Matches!$A:$A,CONCAT("&gt;",$D163),Matches!$A:$A,CONCAT("&lt;",$E163))</f>
        <v>4</v>
      </c>
      <c r="G163" s="79">
        <f>COUNTIFS(Matches!$C:$C,$A163,Matches!$A:$A,CONCAT("&gt;",$D163),Matches!$A:$A,CONCAT("&lt;",$E163))</f>
        <v>1</v>
      </c>
      <c r="H163" s="79">
        <f t="shared" si="1"/>
        <v>5</v>
      </c>
      <c r="I163" s="79">
        <f>COUNTIFS(Matches!$B:$B,$A163,Matches!$A:$A,CONCAT("&lt;",$E163))</f>
        <v>4</v>
      </c>
      <c r="J163" s="79">
        <f>COUNTIFS(Matches!$C:$C,$A163,Matches!$A:$A,CONCAT("&lt;",$E163))</f>
        <v>1</v>
      </c>
      <c r="K163" s="79">
        <f>COUNTIFS(Entropy!D:D,A163,Entropy!I:I,CONCAT("&lt;",E163-1))</f>
        <v>0</v>
      </c>
      <c r="L163" s="79">
        <f t="shared" si="2"/>
        <v>5</v>
      </c>
      <c r="M163" s="79">
        <f t="array" ref="M163">max(min(IF(J163+K163=11,0,XLOOKUP(B163,Quotas!$A$8:$A$14,Quotas!$E$8:$E$14)-$L163),2),0)</f>
        <v>0</v>
      </c>
      <c r="N163" s="31">
        <f t="shared" si="3"/>
        <v>0</v>
      </c>
    </row>
    <row r="164">
      <c r="A164" s="31" t="s">
        <v>17</v>
      </c>
      <c r="B164" s="9">
        <v>1.0</v>
      </c>
      <c r="C164" s="31" t="str">
        <f>VLOOKUP(A164, 'College List'!A:B, 2, FALSE)</f>
        <v>Silverquill</v>
      </c>
      <c r="D164" s="355">
        <f>VLOOKUP(B164,Quotas!$A$8:$C$14,2,FALSE)</f>
        <v>46136.70833</v>
      </c>
      <c r="E164" s="356">
        <f>VLOOKUP(B164,Quotas!$A$8:$C$14,3,FALSE)</f>
        <v>46143.70833</v>
      </c>
      <c r="F164" s="79">
        <f>COUNTIFS(Matches!$B:$B,A164,Matches!$A:$A,CONCAT("&gt;",$D164),Matches!$A:$A,CONCAT("&lt;",$E164))</f>
        <v>4</v>
      </c>
      <c r="G164" s="79">
        <f>COUNTIFS(Matches!$C:$C,$A164,Matches!$A:$A,CONCAT("&gt;",$D164),Matches!$A:$A,CONCAT("&lt;",$E164))</f>
        <v>1</v>
      </c>
      <c r="H164" s="79">
        <f t="shared" si="1"/>
        <v>5</v>
      </c>
      <c r="I164" s="79">
        <f>COUNTIFS(Matches!$B:$B,$A164,Matches!$A:$A,CONCAT("&lt;",$E164))</f>
        <v>4</v>
      </c>
      <c r="J164" s="79">
        <f>COUNTIFS(Matches!$C:$C,$A164,Matches!$A:$A,CONCAT("&lt;",$E164))</f>
        <v>1</v>
      </c>
      <c r="K164" s="79">
        <f>COUNTIFS(Entropy!D:D,A164,Entropy!I:I,CONCAT("&lt;",E164-1))</f>
        <v>0</v>
      </c>
      <c r="L164" s="79">
        <f t="shared" si="2"/>
        <v>5</v>
      </c>
      <c r="M164" s="79">
        <f t="array" ref="M164">max(min(IF(J164+K164=11,0,XLOOKUP(B164,Quotas!$A$8:$A$14,Quotas!$E$8:$E$14)-$L164),2),0)</f>
        <v>0</v>
      </c>
      <c r="N164" s="31">
        <f t="shared" si="3"/>
        <v>0</v>
      </c>
    </row>
    <row r="165">
      <c r="A165" s="31" t="s">
        <v>279</v>
      </c>
      <c r="B165" s="9">
        <v>1.0</v>
      </c>
      <c r="C165" s="31" t="str">
        <f>VLOOKUP(A165, 'College List'!A:B, 2, FALSE)</f>
        <v>Prismari</v>
      </c>
      <c r="D165" s="355">
        <f>VLOOKUP(B165,Quotas!$A$8:$C$14,2,FALSE)</f>
        <v>46136.70833</v>
      </c>
      <c r="E165" s="356">
        <f>VLOOKUP(B165,Quotas!$A$8:$C$14,3,FALSE)</f>
        <v>46143.70833</v>
      </c>
      <c r="F165" s="79">
        <f>COUNTIFS(Matches!$B:$B,A165,Matches!$A:$A,CONCAT("&gt;",$D165),Matches!$A:$A,CONCAT("&lt;",$E165))</f>
        <v>3</v>
      </c>
      <c r="G165" s="79">
        <f>COUNTIFS(Matches!$C:$C,$A165,Matches!$A:$A,CONCAT("&gt;",$D165),Matches!$A:$A,CONCAT("&lt;",$E165))</f>
        <v>2</v>
      </c>
      <c r="H165" s="79">
        <f t="shared" si="1"/>
        <v>5</v>
      </c>
      <c r="I165" s="79">
        <f>COUNTIFS(Matches!$B:$B,$A165,Matches!$A:$A,CONCAT("&lt;",$E165))</f>
        <v>3</v>
      </c>
      <c r="J165" s="79">
        <f>COUNTIFS(Matches!$C:$C,$A165,Matches!$A:$A,CONCAT("&lt;",$E165))</f>
        <v>2</v>
      </c>
      <c r="K165" s="79">
        <f>COUNTIFS(Entropy!D:D,A165,Entropy!I:I,CONCAT("&lt;",E165-1))</f>
        <v>0</v>
      </c>
      <c r="L165" s="79">
        <f t="shared" si="2"/>
        <v>5</v>
      </c>
      <c r="M165" s="79">
        <f t="array" ref="M165">max(min(IF(J165+K165=11,0,XLOOKUP(B165,Quotas!$A$8:$A$14,Quotas!$E$8:$E$14)-$L165),2),0)</f>
        <v>0</v>
      </c>
      <c r="N165" s="31">
        <f t="shared" si="3"/>
        <v>0</v>
      </c>
    </row>
    <row r="166">
      <c r="A166" s="31" t="s">
        <v>88</v>
      </c>
      <c r="B166" s="9">
        <v>1.0</v>
      </c>
      <c r="C166" s="31" t="str">
        <f>VLOOKUP(A166, 'College List'!A:B, 2, FALSE)</f>
        <v>Quandrix</v>
      </c>
      <c r="D166" s="355">
        <f>VLOOKUP(B166,Quotas!$A$8:$C$14,2,FALSE)</f>
        <v>46136.70833</v>
      </c>
      <c r="E166" s="356">
        <f>VLOOKUP(B166,Quotas!$A$8:$C$14,3,FALSE)</f>
        <v>46143.70833</v>
      </c>
      <c r="F166" s="79">
        <f>COUNTIFS(Matches!$B:$B,A166,Matches!$A:$A,CONCAT("&gt;",$D166),Matches!$A:$A,CONCAT("&lt;",$E166))</f>
        <v>2</v>
      </c>
      <c r="G166" s="79">
        <f>COUNTIFS(Matches!$C:$C,$A166,Matches!$A:$A,CONCAT("&gt;",$D166),Matches!$A:$A,CONCAT("&lt;",$E166))</f>
        <v>3</v>
      </c>
      <c r="H166" s="79">
        <f t="shared" si="1"/>
        <v>5</v>
      </c>
      <c r="I166" s="79">
        <f>COUNTIFS(Matches!$B:$B,$A166,Matches!$A:$A,CONCAT("&lt;",$E166))</f>
        <v>2</v>
      </c>
      <c r="J166" s="79">
        <f>COUNTIFS(Matches!$C:$C,$A166,Matches!$A:$A,CONCAT("&lt;",$E166))</f>
        <v>3</v>
      </c>
      <c r="K166" s="79">
        <f>COUNTIFS(Entropy!D:D,A166,Entropy!I:I,CONCAT("&lt;",E166-1))</f>
        <v>0</v>
      </c>
      <c r="L166" s="79">
        <f t="shared" si="2"/>
        <v>5</v>
      </c>
      <c r="M166" s="79">
        <f t="array" ref="M166">max(min(IF(J166+K166=11,0,XLOOKUP(B166,Quotas!$A$8:$A$14,Quotas!$E$8:$E$14)-$L166),2),0)</f>
        <v>0</v>
      </c>
      <c r="N166" s="31">
        <f t="shared" si="3"/>
        <v>0</v>
      </c>
    </row>
    <row r="167">
      <c r="A167" s="31" t="s">
        <v>631</v>
      </c>
      <c r="B167" s="9">
        <v>1.0</v>
      </c>
      <c r="C167" s="31" t="str">
        <f>VLOOKUP(A167, 'College List'!A:B, 2, FALSE)</f>
        <v>Witherbloom</v>
      </c>
      <c r="D167" s="355">
        <f>VLOOKUP(B167,Quotas!$A$8:$C$14,2,FALSE)</f>
        <v>46136.70833</v>
      </c>
      <c r="E167" s="356">
        <f>VLOOKUP(B167,Quotas!$A$8:$C$14,3,FALSE)</f>
        <v>46143.70833</v>
      </c>
      <c r="F167" s="79">
        <f>COUNTIFS(Matches!$B:$B,A167,Matches!$A:$A,CONCAT("&gt;",$D167),Matches!$A:$A,CONCAT("&lt;",$E167))</f>
        <v>0</v>
      </c>
      <c r="G167" s="79">
        <f>COUNTIFS(Matches!$C:$C,$A167,Matches!$A:$A,CONCAT("&gt;",$D167),Matches!$A:$A,CONCAT("&lt;",$E167))</f>
        <v>0</v>
      </c>
      <c r="H167" s="79">
        <f t="shared" si="1"/>
        <v>0</v>
      </c>
      <c r="I167" s="79">
        <f>COUNTIFS(Matches!$B:$B,$A167,Matches!$A:$A,CONCAT("&lt;",$E167))</f>
        <v>0</v>
      </c>
      <c r="J167" s="79">
        <f>COUNTIFS(Matches!$C:$C,$A167,Matches!$A:$A,CONCAT("&lt;",$E167))</f>
        <v>0</v>
      </c>
      <c r="K167" s="79">
        <f>COUNTIFS(Entropy!D:D,A167,Entropy!I:I,CONCAT("&lt;",E167-1))</f>
        <v>0</v>
      </c>
      <c r="L167" s="79">
        <f t="shared" si="2"/>
        <v>0</v>
      </c>
      <c r="M167" s="79">
        <f t="array" ref="M167">max(min(IF(J167+K167=11,0,XLOOKUP(B167,Quotas!$A$8:$A$14,Quotas!$E$8:$E$14)-$L167),2),0)</f>
        <v>2</v>
      </c>
      <c r="N167" s="31">
        <f t="shared" si="3"/>
        <v>0</v>
      </c>
    </row>
    <row r="168">
      <c r="A168" s="31" t="s">
        <v>289</v>
      </c>
      <c r="B168" s="9">
        <v>1.0</v>
      </c>
      <c r="C168" s="31" t="str">
        <f>VLOOKUP(A168, 'College List'!A:B, 2, FALSE)</f>
        <v>Lorehold</v>
      </c>
      <c r="D168" s="355">
        <f>VLOOKUP(B168,Quotas!$A$8:$C$14,2,FALSE)</f>
        <v>46136.70833</v>
      </c>
      <c r="E168" s="356">
        <f>VLOOKUP(B168,Quotas!$A$8:$C$14,3,FALSE)</f>
        <v>46143.70833</v>
      </c>
      <c r="F168" s="79">
        <f>COUNTIFS(Matches!$B:$B,A168,Matches!$A:$A,CONCAT("&gt;",$D168),Matches!$A:$A,CONCAT("&lt;",$E168))</f>
        <v>1</v>
      </c>
      <c r="G168" s="79">
        <f>COUNTIFS(Matches!$C:$C,$A168,Matches!$A:$A,CONCAT("&gt;",$D168),Matches!$A:$A,CONCAT("&lt;",$E168))</f>
        <v>3</v>
      </c>
      <c r="H168" s="79">
        <f t="shared" si="1"/>
        <v>4</v>
      </c>
      <c r="I168" s="79">
        <f>COUNTIFS(Matches!$B:$B,$A168,Matches!$A:$A,CONCAT("&lt;",$E168))</f>
        <v>1</v>
      </c>
      <c r="J168" s="79">
        <f>COUNTIFS(Matches!$C:$C,$A168,Matches!$A:$A,CONCAT("&lt;",$E168))</f>
        <v>3</v>
      </c>
      <c r="K168" s="79">
        <f>COUNTIFS(Entropy!D:D,A168,Entropy!I:I,CONCAT("&lt;",E168-1))</f>
        <v>0</v>
      </c>
      <c r="L168" s="79">
        <f t="shared" si="2"/>
        <v>4</v>
      </c>
      <c r="M168" s="79">
        <f t="array" ref="M168">max(min(IF(J168+K168=11,0,XLOOKUP(B168,Quotas!$A$8:$A$14,Quotas!$E$8:$E$14)-$L168),2),0)</f>
        <v>1</v>
      </c>
      <c r="N168" s="31">
        <f t="shared" si="3"/>
        <v>0.5</v>
      </c>
    </row>
    <row r="169">
      <c r="A169" s="31" t="s">
        <v>71</v>
      </c>
      <c r="B169" s="9">
        <v>1.0</v>
      </c>
      <c r="C169" s="31" t="str">
        <f>VLOOKUP(A169, 'College List'!A:B, 2, FALSE)</f>
        <v>Lorehold</v>
      </c>
      <c r="D169" s="355">
        <f>VLOOKUP(B169,Quotas!$A$8:$C$14,2,FALSE)</f>
        <v>46136.70833</v>
      </c>
      <c r="E169" s="356">
        <f>VLOOKUP(B169,Quotas!$A$8:$C$14,3,FALSE)</f>
        <v>46143.70833</v>
      </c>
      <c r="F169" s="79">
        <f>COUNTIFS(Matches!$B:$B,A169,Matches!$A:$A,CONCAT("&gt;",$D169),Matches!$A:$A,CONCAT("&lt;",$E169))</f>
        <v>4</v>
      </c>
      <c r="G169" s="79">
        <f>COUNTIFS(Matches!$C:$C,$A169,Matches!$A:$A,CONCAT("&gt;",$D169),Matches!$A:$A,CONCAT("&lt;",$E169))</f>
        <v>1</v>
      </c>
      <c r="H169" s="79">
        <f t="shared" si="1"/>
        <v>5</v>
      </c>
      <c r="I169" s="79">
        <f>COUNTIFS(Matches!$B:$B,$A169,Matches!$A:$A,CONCAT("&lt;",$E169))</f>
        <v>4</v>
      </c>
      <c r="J169" s="79">
        <f>COUNTIFS(Matches!$C:$C,$A169,Matches!$A:$A,CONCAT("&lt;",$E169))</f>
        <v>1</v>
      </c>
      <c r="K169" s="79">
        <f>COUNTIFS(Entropy!D:D,A169,Entropy!I:I,CONCAT("&lt;",E169-1))</f>
        <v>0</v>
      </c>
      <c r="L169" s="79">
        <f t="shared" si="2"/>
        <v>5</v>
      </c>
      <c r="M169" s="79">
        <f t="array" ref="M169">max(min(IF(J169+K169=11,0,XLOOKUP(B169,Quotas!$A$8:$A$14,Quotas!$E$8:$E$14)-$L169),2),0)</f>
        <v>0</v>
      </c>
      <c r="N169" s="31">
        <f t="shared" si="3"/>
        <v>0</v>
      </c>
    </row>
    <row r="170">
      <c r="A170" s="31" t="s">
        <v>348</v>
      </c>
      <c r="B170" s="9">
        <v>1.0</v>
      </c>
      <c r="C170" s="31" t="str">
        <f>VLOOKUP(A170, 'College List'!A:B, 2, FALSE)</f>
        <v>Quandrix</v>
      </c>
      <c r="D170" s="355">
        <f>VLOOKUP(B170,Quotas!$A$8:$C$14,2,FALSE)</f>
        <v>46136.70833</v>
      </c>
      <c r="E170" s="356">
        <f>VLOOKUP(B170,Quotas!$A$8:$C$14,3,FALSE)</f>
        <v>46143.70833</v>
      </c>
      <c r="F170" s="79">
        <f>COUNTIFS(Matches!$B:$B,A170,Matches!$A:$A,CONCAT("&gt;",$D170),Matches!$A:$A,CONCAT("&lt;",$E170))</f>
        <v>1</v>
      </c>
      <c r="G170" s="79">
        <f>COUNTIFS(Matches!$C:$C,$A170,Matches!$A:$A,CONCAT("&gt;",$D170),Matches!$A:$A,CONCAT("&lt;",$E170))</f>
        <v>4</v>
      </c>
      <c r="H170" s="79">
        <f t="shared" si="1"/>
        <v>5</v>
      </c>
      <c r="I170" s="79">
        <f>COUNTIFS(Matches!$B:$B,$A170,Matches!$A:$A,CONCAT("&lt;",$E170))</f>
        <v>1</v>
      </c>
      <c r="J170" s="79">
        <f>COUNTIFS(Matches!$C:$C,$A170,Matches!$A:$A,CONCAT("&lt;",$E170))</f>
        <v>4</v>
      </c>
      <c r="K170" s="79">
        <f>COUNTIFS(Entropy!D:D,A170,Entropy!I:I,CONCAT("&lt;",E170-1))</f>
        <v>0</v>
      </c>
      <c r="L170" s="79">
        <f t="shared" si="2"/>
        <v>5</v>
      </c>
      <c r="M170" s="79">
        <f t="array" ref="M170">max(min(IF(J170+K170=11,0,XLOOKUP(B170,Quotas!$A$8:$A$14,Quotas!$E$8:$E$14)-$L170),2),0)</f>
        <v>0</v>
      </c>
      <c r="N170" s="31">
        <f t="shared" si="3"/>
        <v>0</v>
      </c>
    </row>
    <row r="171">
      <c r="A171" s="31" t="s">
        <v>164</v>
      </c>
      <c r="B171" s="9">
        <v>1.0</v>
      </c>
      <c r="C171" s="31" t="str">
        <f>VLOOKUP(A171, 'College List'!A:B, 2, FALSE)</f>
        <v>Silverquill</v>
      </c>
      <c r="D171" s="355">
        <f>VLOOKUP(B171,Quotas!$A$8:$C$14,2,FALSE)</f>
        <v>46136.70833</v>
      </c>
      <c r="E171" s="356">
        <f>VLOOKUP(B171,Quotas!$A$8:$C$14,3,FALSE)</f>
        <v>46143.70833</v>
      </c>
      <c r="F171" s="79">
        <f>COUNTIFS(Matches!$B:$B,A171,Matches!$A:$A,CONCAT("&gt;",$D171),Matches!$A:$A,CONCAT("&lt;",$E171))</f>
        <v>3</v>
      </c>
      <c r="G171" s="79">
        <f>COUNTIFS(Matches!$C:$C,$A171,Matches!$A:$A,CONCAT("&gt;",$D171),Matches!$A:$A,CONCAT("&lt;",$E171))</f>
        <v>2</v>
      </c>
      <c r="H171" s="79">
        <f t="shared" si="1"/>
        <v>5</v>
      </c>
      <c r="I171" s="79">
        <f>COUNTIFS(Matches!$B:$B,$A171,Matches!$A:$A,CONCAT("&lt;",$E171))</f>
        <v>3</v>
      </c>
      <c r="J171" s="79">
        <f>COUNTIFS(Matches!$C:$C,$A171,Matches!$A:$A,CONCAT("&lt;",$E171))</f>
        <v>2</v>
      </c>
      <c r="K171" s="79">
        <f>COUNTIFS(Entropy!D:D,A171,Entropy!I:I,CONCAT("&lt;",E171-1))</f>
        <v>0</v>
      </c>
      <c r="L171" s="79">
        <f t="shared" si="2"/>
        <v>5</v>
      </c>
      <c r="M171" s="79">
        <f t="array" ref="M171">max(min(IF(J171+K171=11,0,XLOOKUP(B171,Quotas!$A$8:$A$14,Quotas!$E$8:$E$14)-$L171),2),0)</f>
        <v>0</v>
      </c>
      <c r="N171" s="31">
        <f t="shared" si="3"/>
        <v>0</v>
      </c>
    </row>
    <row r="172">
      <c r="A172" s="31" t="s">
        <v>54</v>
      </c>
      <c r="B172" s="9">
        <v>1.0</v>
      </c>
      <c r="C172" s="31" t="str">
        <f>VLOOKUP(A172, 'College List'!A:B, 2, FALSE)</f>
        <v>Prismari</v>
      </c>
      <c r="D172" s="355">
        <f>VLOOKUP(B172,Quotas!$A$8:$C$14,2,FALSE)</f>
        <v>46136.70833</v>
      </c>
      <c r="E172" s="356">
        <f>VLOOKUP(B172,Quotas!$A$8:$C$14,3,FALSE)</f>
        <v>46143.70833</v>
      </c>
      <c r="F172" s="79">
        <f>COUNTIFS(Matches!$B:$B,A172,Matches!$A:$A,CONCAT("&gt;",$D172),Matches!$A:$A,CONCAT("&lt;",$E172))</f>
        <v>5</v>
      </c>
      <c r="G172" s="79">
        <f>COUNTIFS(Matches!$C:$C,$A172,Matches!$A:$A,CONCAT("&gt;",$D172),Matches!$A:$A,CONCAT("&lt;",$E172))</f>
        <v>0</v>
      </c>
      <c r="H172" s="79">
        <f t="shared" si="1"/>
        <v>5</v>
      </c>
      <c r="I172" s="79">
        <f>COUNTIFS(Matches!$B:$B,$A172,Matches!$A:$A,CONCAT("&lt;",$E172))</f>
        <v>5</v>
      </c>
      <c r="J172" s="79">
        <f>COUNTIFS(Matches!$C:$C,$A172,Matches!$A:$A,CONCAT("&lt;",$E172))</f>
        <v>0</v>
      </c>
      <c r="K172" s="79">
        <f>COUNTIFS(Entropy!D:D,A172,Entropy!I:I,CONCAT("&lt;",E172-1))</f>
        <v>0</v>
      </c>
      <c r="L172" s="79">
        <f t="shared" si="2"/>
        <v>5</v>
      </c>
      <c r="M172" s="79">
        <f t="array" ref="M172">max(min(IF(J172+K172=11,0,XLOOKUP(B172,Quotas!$A$8:$A$14,Quotas!$E$8:$E$14)-$L172),2),0)</f>
        <v>0</v>
      </c>
      <c r="N172" s="31">
        <f t="shared" si="3"/>
        <v>0</v>
      </c>
    </row>
    <row r="173">
      <c r="A173" s="31" t="s">
        <v>256</v>
      </c>
      <c r="B173" s="9">
        <v>1.0</v>
      </c>
      <c r="C173" s="31" t="str">
        <f>VLOOKUP(A173, 'College List'!A:B, 2, FALSE)</f>
        <v>Quandrix</v>
      </c>
      <c r="D173" s="355">
        <f>VLOOKUP(B173,Quotas!$A$8:$C$14,2,FALSE)</f>
        <v>46136.70833</v>
      </c>
      <c r="E173" s="356">
        <f>VLOOKUP(B173,Quotas!$A$8:$C$14,3,FALSE)</f>
        <v>46143.70833</v>
      </c>
      <c r="F173" s="79">
        <f>COUNTIFS(Matches!$B:$B,A173,Matches!$A:$A,CONCAT("&gt;",$D173),Matches!$A:$A,CONCAT("&lt;",$E173))</f>
        <v>3</v>
      </c>
      <c r="G173" s="79">
        <f>COUNTIFS(Matches!$C:$C,$A173,Matches!$A:$A,CONCAT("&gt;",$D173),Matches!$A:$A,CONCAT("&lt;",$E173))</f>
        <v>2</v>
      </c>
      <c r="H173" s="79">
        <f t="shared" si="1"/>
        <v>5</v>
      </c>
      <c r="I173" s="79">
        <f>COUNTIFS(Matches!$B:$B,$A173,Matches!$A:$A,CONCAT("&lt;",$E173))</f>
        <v>3</v>
      </c>
      <c r="J173" s="79">
        <f>COUNTIFS(Matches!$C:$C,$A173,Matches!$A:$A,CONCAT("&lt;",$E173))</f>
        <v>2</v>
      </c>
      <c r="K173" s="79">
        <f>COUNTIFS(Entropy!D:D,A173,Entropy!I:I,CONCAT("&lt;",E173-1))</f>
        <v>0</v>
      </c>
      <c r="L173" s="79">
        <f t="shared" si="2"/>
        <v>5</v>
      </c>
      <c r="M173" s="79">
        <f t="array" ref="M173">max(min(IF(J173+K173=11,0,XLOOKUP(B173,Quotas!$A$8:$A$14,Quotas!$E$8:$E$14)-$L173),2),0)</f>
        <v>0</v>
      </c>
      <c r="N173" s="31">
        <f t="shared" si="3"/>
        <v>0</v>
      </c>
    </row>
    <row r="174">
      <c r="A174" s="31" t="s">
        <v>137</v>
      </c>
      <c r="B174" s="9">
        <v>1.0</v>
      </c>
      <c r="C174" s="31" t="str">
        <f>VLOOKUP(A174, 'College List'!A:B, 2, FALSE)</f>
        <v>Lorehold</v>
      </c>
      <c r="D174" s="355">
        <f>VLOOKUP(B174,Quotas!$A$8:$C$14,2,FALSE)</f>
        <v>46136.70833</v>
      </c>
      <c r="E174" s="356">
        <f>VLOOKUP(B174,Quotas!$A$8:$C$14,3,FALSE)</f>
        <v>46143.70833</v>
      </c>
      <c r="F174" s="79">
        <f>COUNTIFS(Matches!$B:$B,A174,Matches!$A:$A,CONCAT("&gt;",$D174),Matches!$A:$A,CONCAT("&lt;",$E174))</f>
        <v>3</v>
      </c>
      <c r="G174" s="79">
        <f>COUNTIFS(Matches!$C:$C,$A174,Matches!$A:$A,CONCAT("&gt;",$D174),Matches!$A:$A,CONCAT("&lt;",$E174))</f>
        <v>2</v>
      </c>
      <c r="H174" s="79">
        <f t="shared" si="1"/>
        <v>5</v>
      </c>
      <c r="I174" s="79">
        <f>COUNTIFS(Matches!$B:$B,$A174,Matches!$A:$A,CONCAT("&lt;",$E174))</f>
        <v>3</v>
      </c>
      <c r="J174" s="79">
        <f>COUNTIFS(Matches!$C:$C,$A174,Matches!$A:$A,CONCAT("&lt;",$E174))</f>
        <v>2</v>
      </c>
      <c r="K174" s="79">
        <f>COUNTIFS(Entropy!D:D,A174,Entropy!I:I,CONCAT("&lt;",E174-1))</f>
        <v>0</v>
      </c>
      <c r="L174" s="79">
        <f t="shared" si="2"/>
        <v>5</v>
      </c>
      <c r="M174" s="79">
        <f t="array" ref="M174">max(min(IF(J174+K174=11,0,XLOOKUP(B174,Quotas!$A$8:$A$14,Quotas!$E$8:$E$14)-$L174),2),0)</f>
        <v>0</v>
      </c>
      <c r="N174" s="31">
        <f t="shared" si="3"/>
        <v>0</v>
      </c>
    </row>
    <row r="175">
      <c r="A175" s="31" t="s">
        <v>213</v>
      </c>
      <c r="B175" s="9">
        <v>1.0</v>
      </c>
      <c r="C175" s="31" t="str">
        <f>VLOOKUP(A175, 'College List'!A:B, 2, FALSE)</f>
        <v>Prismari</v>
      </c>
      <c r="D175" s="355">
        <f>VLOOKUP(B175,Quotas!$A$8:$C$14,2,FALSE)</f>
        <v>46136.70833</v>
      </c>
      <c r="E175" s="356">
        <f>VLOOKUP(B175,Quotas!$A$8:$C$14,3,FALSE)</f>
        <v>46143.70833</v>
      </c>
      <c r="F175" s="79">
        <f>COUNTIFS(Matches!$B:$B,A175,Matches!$A:$A,CONCAT("&gt;",$D175),Matches!$A:$A,CONCAT("&lt;",$E175))</f>
        <v>3</v>
      </c>
      <c r="G175" s="79">
        <f>COUNTIFS(Matches!$C:$C,$A175,Matches!$A:$A,CONCAT("&gt;",$D175),Matches!$A:$A,CONCAT("&lt;",$E175))</f>
        <v>2</v>
      </c>
      <c r="H175" s="79">
        <f t="shared" si="1"/>
        <v>5</v>
      </c>
      <c r="I175" s="79">
        <f>COUNTIFS(Matches!$B:$B,$A175,Matches!$A:$A,CONCAT("&lt;",$E175))</f>
        <v>3</v>
      </c>
      <c r="J175" s="79">
        <f>COUNTIFS(Matches!$C:$C,$A175,Matches!$A:$A,CONCAT("&lt;",$E175))</f>
        <v>2</v>
      </c>
      <c r="K175" s="79">
        <f>COUNTIFS(Entropy!D:D,A175,Entropy!I:I,CONCAT("&lt;",E175-1))</f>
        <v>0</v>
      </c>
      <c r="L175" s="79">
        <f t="shared" si="2"/>
        <v>5</v>
      </c>
      <c r="M175" s="79">
        <f t="array" ref="M175">max(min(IF(J175+K175=11,0,XLOOKUP(B175,Quotas!$A$8:$A$14,Quotas!$E$8:$E$14)-$L175),2),0)</f>
        <v>0</v>
      </c>
      <c r="N175" s="31">
        <f t="shared" si="3"/>
        <v>0</v>
      </c>
    </row>
    <row r="176">
      <c r="A176" s="31" t="s">
        <v>343</v>
      </c>
      <c r="B176" s="9">
        <v>1.0</v>
      </c>
      <c r="C176" s="31" t="str">
        <f>VLOOKUP(A176, 'College List'!A:B, 2, FALSE)</f>
        <v>Silverquill</v>
      </c>
      <c r="D176" s="355">
        <f>VLOOKUP(B176,Quotas!$A$8:$C$14,2,FALSE)</f>
        <v>46136.70833</v>
      </c>
      <c r="E176" s="356">
        <f>VLOOKUP(B176,Quotas!$A$8:$C$14,3,FALSE)</f>
        <v>46143.70833</v>
      </c>
      <c r="F176" s="79">
        <f>COUNTIFS(Matches!$B:$B,A176,Matches!$A:$A,CONCAT("&gt;",$D176),Matches!$A:$A,CONCAT("&lt;",$E176))</f>
        <v>3</v>
      </c>
      <c r="G176" s="79">
        <f>COUNTIFS(Matches!$C:$C,$A176,Matches!$A:$A,CONCAT("&gt;",$D176),Matches!$A:$A,CONCAT("&lt;",$E176))</f>
        <v>1</v>
      </c>
      <c r="H176" s="79">
        <f t="shared" si="1"/>
        <v>4</v>
      </c>
      <c r="I176" s="79">
        <f>COUNTIFS(Matches!$B:$B,$A176,Matches!$A:$A,CONCAT("&lt;",$E176))</f>
        <v>3</v>
      </c>
      <c r="J176" s="79">
        <f>COUNTIFS(Matches!$C:$C,$A176,Matches!$A:$A,CONCAT("&lt;",$E176))</f>
        <v>1</v>
      </c>
      <c r="K176" s="79">
        <f>COUNTIFS(Entropy!D:D,A176,Entropy!I:I,CONCAT("&lt;",E176-1))</f>
        <v>0</v>
      </c>
      <c r="L176" s="79">
        <f t="shared" si="2"/>
        <v>4</v>
      </c>
      <c r="M176" s="79">
        <f t="array" ref="M176">max(min(IF(J176+K176=11,0,XLOOKUP(B176,Quotas!$A$8:$A$14,Quotas!$E$8:$E$14)-$L176),2),0)</f>
        <v>1</v>
      </c>
      <c r="N176" s="31">
        <f t="shared" si="3"/>
        <v>0.5</v>
      </c>
    </row>
    <row r="177">
      <c r="A177" s="31" t="s">
        <v>326</v>
      </c>
      <c r="B177" s="9">
        <v>1.0</v>
      </c>
      <c r="C177" s="31" t="str">
        <f>VLOOKUP(A177, 'College List'!A:B, 2, FALSE)</f>
        <v>Prismari</v>
      </c>
      <c r="D177" s="355">
        <f>VLOOKUP(B177,Quotas!$A$8:$C$14,2,FALSE)</f>
        <v>46136.70833</v>
      </c>
      <c r="E177" s="356">
        <f>VLOOKUP(B177,Quotas!$A$8:$C$14,3,FALSE)</f>
        <v>46143.70833</v>
      </c>
      <c r="F177" s="79">
        <f>COUNTIFS(Matches!$B:$B,A177,Matches!$A:$A,CONCAT("&gt;",$D177),Matches!$A:$A,CONCAT("&lt;",$E177))</f>
        <v>0</v>
      </c>
      <c r="G177" s="79">
        <f>COUNTIFS(Matches!$C:$C,$A177,Matches!$A:$A,CONCAT("&gt;",$D177),Matches!$A:$A,CONCAT("&lt;",$E177))</f>
        <v>4</v>
      </c>
      <c r="H177" s="79">
        <f t="shared" si="1"/>
        <v>4</v>
      </c>
      <c r="I177" s="79">
        <f>COUNTIFS(Matches!$B:$B,$A177,Matches!$A:$A,CONCAT("&lt;",$E177))</f>
        <v>0</v>
      </c>
      <c r="J177" s="79">
        <f>COUNTIFS(Matches!$C:$C,$A177,Matches!$A:$A,CONCAT("&lt;",$E177))</f>
        <v>4</v>
      </c>
      <c r="K177" s="79">
        <f>COUNTIFS(Entropy!D:D,A177,Entropy!I:I,CONCAT("&lt;",E177-1))</f>
        <v>0</v>
      </c>
      <c r="L177" s="79">
        <f t="shared" si="2"/>
        <v>4</v>
      </c>
      <c r="M177" s="79">
        <f t="array" ref="M177">max(min(IF(J177+K177=11,0,XLOOKUP(B177,Quotas!$A$8:$A$14,Quotas!$E$8:$E$14)-$L177),2),0)</f>
        <v>1</v>
      </c>
      <c r="N177" s="31">
        <f t="shared" si="3"/>
        <v>0.5</v>
      </c>
    </row>
    <row r="178">
      <c r="A178" s="31" t="s">
        <v>354</v>
      </c>
      <c r="B178" s="9">
        <v>1.0</v>
      </c>
      <c r="C178" s="31" t="str">
        <f>VLOOKUP(A178, 'College List'!A:B, 2, FALSE)</f>
        <v>Silverquill</v>
      </c>
      <c r="D178" s="355">
        <f>VLOOKUP(B178,Quotas!$A$8:$C$14,2,FALSE)</f>
        <v>46136.70833</v>
      </c>
      <c r="E178" s="356">
        <f>VLOOKUP(B178,Quotas!$A$8:$C$14,3,FALSE)</f>
        <v>46143.70833</v>
      </c>
      <c r="F178" s="79">
        <f>COUNTIFS(Matches!$B:$B,A178,Matches!$A:$A,CONCAT("&gt;",$D178),Matches!$A:$A,CONCAT("&lt;",$E178))</f>
        <v>0</v>
      </c>
      <c r="G178" s="79">
        <f>COUNTIFS(Matches!$C:$C,$A178,Matches!$A:$A,CONCAT("&gt;",$D178),Matches!$A:$A,CONCAT("&lt;",$E178))</f>
        <v>2</v>
      </c>
      <c r="H178" s="79">
        <f t="shared" si="1"/>
        <v>2</v>
      </c>
      <c r="I178" s="79">
        <f>COUNTIFS(Matches!$B:$B,$A178,Matches!$A:$A,CONCAT("&lt;",$E178))</f>
        <v>0</v>
      </c>
      <c r="J178" s="79">
        <f>COUNTIFS(Matches!$C:$C,$A178,Matches!$A:$A,CONCAT("&lt;",$E178))</f>
        <v>2</v>
      </c>
      <c r="K178" s="79">
        <f>COUNTIFS(Entropy!D:D,A178,Entropy!I:I,CONCAT("&lt;",E178-1))</f>
        <v>0</v>
      </c>
      <c r="L178" s="79">
        <f t="shared" si="2"/>
        <v>2</v>
      </c>
      <c r="M178" s="79">
        <f t="array" ref="M178">max(min(IF(J178+K178=11,0,XLOOKUP(B178,Quotas!$A$8:$A$14,Quotas!$E$8:$E$14)-$L178),2),0)</f>
        <v>2</v>
      </c>
      <c r="N178" s="31">
        <f t="shared" si="3"/>
        <v>1</v>
      </c>
    </row>
    <row r="179">
      <c r="A179" s="31" t="s">
        <v>157</v>
      </c>
      <c r="B179" s="9">
        <v>1.0</v>
      </c>
      <c r="C179" s="31" t="str">
        <f>VLOOKUP(A179, 'College List'!A:B, 2, FALSE)</f>
        <v>Silverquill</v>
      </c>
      <c r="D179" s="355">
        <f>VLOOKUP(B179,Quotas!$A$8:$C$14,2,FALSE)</f>
        <v>46136.70833</v>
      </c>
      <c r="E179" s="356">
        <f>VLOOKUP(B179,Quotas!$A$8:$C$14,3,FALSE)</f>
        <v>46143.70833</v>
      </c>
      <c r="F179" s="79">
        <f>COUNTIFS(Matches!$B:$B,A179,Matches!$A:$A,CONCAT("&gt;",$D179),Matches!$A:$A,CONCAT("&lt;",$E179))</f>
        <v>2</v>
      </c>
      <c r="G179" s="79">
        <f>COUNTIFS(Matches!$C:$C,$A179,Matches!$A:$A,CONCAT("&gt;",$D179),Matches!$A:$A,CONCAT("&lt;",$E179))</f>
        <v>3</v>
      </c>
      <c r="H179" s="79">
        <f t="shared" si="1"/>
        <v>5</v>
      </c>
      <c r="I179" s="79">
        <f>COUNTIFS(Matches!$B:$B,$A179,Matches!$A:$A,CONCAT("&lt;",$E179))</f>
        <v>2</v>
      </c>
      <c r="J179" s="79">
        <f>COUNTIFS(Matches!$C:$C,$A179,Matches!$A:$A,CONCAT("&lt;",$E179))</f>
        <v>3</v>
      </c>
      <c r="K179" s="79">
        <f>COUNTIFS(Entropy!D:D,A179,Entropy!I:I,CONCAT("&lt;",E179-1))</f>
        <v>0</v>
      </c>
      <c r="L179" s="79">
        <f t="shared" si="2"/>
        <v>5</v>
      </c>
      <c r="M179" s="79">
        <f t="array" ref="M179">max(min(IF(J179+K179=11,0,XLOOKUP(B179,Quotas!$A$8:$A$14,Quotas!$E$8:$E$14)-$L179),2),0)</f>
        <v>0</v>
      </c>
      <c r="N179" s="31">
        <f t="shared" si="3"/>
        <v>0</v>
      </c>
    </row>
    <row r="180">
      <c r="A180" s="31" t="s">
        <v>352</v>
      </c>
      <c r="B180" s="9">
        <v>1.0</v>
      </c>
      <c r="C180" s="31" t="str">
        <f>VLOOKUP(A180, 'College List'!A:B, 2, FALSE)</f>
        <v>Prismari</v>
      </c>
      <c r="D180" s="355">
        <f>VLOOKUP(B180,Quotas!$A$8:$C$14,2,FALSE)</f>
        <v>46136.70833</v>
      </c>
      <c r="E180" s="356">
        <f>VLOOKUP(B180,Quotas!$A$8:$C$14,3,FALSE)</f>
        <v>46143.70833</v>
      </c>
      <c r="F180" s="79">
        <f>COUNTIFS(Matches!$B:$B,A180,Matches!$A:$A,CONCAT("&gt;",$D180),Matches!$A:$A,CONCAT("&lt;",$E180))</f>
        <v>1</v>
      </c>
      <c r="G180" s="79">
        <f>COUNTIFS(Matches!$C:$C,$A180,Matches!$A:$A,CONCAT("&gt;",$D180),Matches!$A:$A,CONCAT("&lt;",$E180))</f>
        <v>2</v>
      </c>
      <c r="H180" s="79">
        <f t="shared" si="1"/>
        <v>3</v>
      </c>
      <c r="I180" s="79">
        <f>COUNTIFS(Matches!$B:$B,$A180,Matches!$A:$A,CONCAT("&lt;",$E180))</f>
        <v>1</v>
      </c>
      <c r="J180" s="79">
        <f>COUNTIFS(Matches!$C:$C,$A180,Matches!$A:$A,CONCAT("&lt;",$E180))</f>
        <v>2</v>
      </c>
      <c r="K180" s="79">
        <f>COUNTIFS(Entropy!D:D,A180,Entropy!I:I,CONCAT("&lt;",E180-1))</f>
        <v>0</v>
      </c>
      <c r="L180" s="79">
        <f t="shared" si="2"/>
        <v>3</v>
      </c>
      <c r="M180" s="79">
        <f t="array" ref="M180">max(min(IF(J180+K180=11,0,XLOOKUP(B180,Quotas!$A$8:$A$14,Quotas!$E$8:$E$14)-$L180),2),0)</f>
        <v>2</v>
      </c>
      <c r="N180" s="31">
        <f t="shared" si="3"/>
        <v>1</v>
      </c>
    </row>
    <row r="181">
      <c r="A181" s="31" t="s">
        <v>245</v>
      </c>
      <c r="B181" s="9">
        <v>1.0</v>
      </c>
      <c r="C181" s="31" t="str">
        <f>VLOOKUP(A181, 'College List'!A:B, 2, FALSE)</f>
        <v>Witherbloom</v>
      </c>
      <c r="D181" s="355">
        <f>VLOOKUP(B181,Quotas!$A$8:$C$14,2,FALSE)</f>
        <v>46136.70833</v>
      </c>
      <c r="E181" s="356">
        <f>VLOOKUP(B181,Quotas!$A$8:$C$14,3,FALSE)</f>
        <v>46143.70833</v>
      </c>
      <c r="F181" s="79">
        <f>COUNTIFS(Matches!$B:$B,A181,Matches!$A:$A,CONCAT("&gt;",$D181),Matches!$A:$A,CONCAT("&lt;",$E181))</f>
        <v>3</v>
      </c>
      <c r="G181" s="79">
        <f>COUNTIFS(Matches!$C:$C,$A181,Matches!$A:$A,CONCAT("&gt;",$D181),Matches!$A:$A,CONCAT("&lt;",$E181))</f>
        <v>2</v>
      </c>
      <c r="H181" s="79">
        <f t="shared" si="1"/>
        <v>5</v>
      </c>
      <c r="I181" s="79">
        <f>COUNTIFS(Matches!$B:$B,$A181,Matches!$A:$A,CONCAT("&lt;",$E181))</f>
        <v>3</v>
      </c>
      <c r="J181" s="79">
        <f>COUNTIFS(Matches!$C:$C,$A181,Matches!$A:$A,CONCAT("&lt;",$E181))</f>
        <v>2</v>
      </c>
      <c r="K181" s="79">
        <f>COUNTIFS(Entropy!D:D,A181,Entropy!I:I,CONCAT("&lt;",E181-1))</f>
        <v>0</v>
      </c>
      <c r="L181" s="79">
        <f t="shared" si="2"/>
        <v>5</v>
      </c>
      <c r="M181" s="79">
        <f t="array" ref="M181">max(min(IF(J181+K181=11,0,XLOOKUP(B181,Quotas!$A$8:$A$14,Quotas!$E$8:$E$14)-$L181),2),0)</f>
        <v>0</v>
      </c>
      <c r="N181" s="31">
        <f t="shared" si="3"/>
        <v>0</v>
      </c>
    </row>
    <row r="182">
      <c r="A182" s="31" t="s">
        <v>132</v>
      </c>
      <c r="B182" s="9">
        <v>1.0</v>
      </c>
      <c r="C182" s="31" t="str">
        <f>VLOOKUP(A182, 'College List'!A:B, 2, FALSE)</f>
        <v>Quandrix</v>
      </c>
      <c r="D182" s="355">
        <f>VLOOKUP(B182,Quotas!$A$8:$C$14,2,FALSE)</f>
        <v>46136.70833</v>
      </c>
      <c r="E182" s="356">
        <f>VLOOKUP(B182,Quotas!$A$8:$C$14,3,FALSE)</f>
        <v>46143.70833</v>
      </c>
      <c r="F182" s="79">
        <f>COUNTIFS(Matches!$B:$B,A182,Matches!$A:$A,CONCAT("&gt;",$D182),Matches!$A:$A,CONCAT("&lt;",$E182))</f>
        <v>4</v>
      </c>
      <c r="G182" s="79">
        <f>COUNTIFS(Matches!$C:$C,$A182,Matches!$A:$A,CONCAT("&gt;",$D182),Matches!$A:$A,CONCAT("&lt;",$E182))</f>
        <v>1</v>
      </c>
      <c r="H182" s="79">
        <f t="shared" si="1"/>
        <v>5</v>
      </c>
      <c r="I182" s="79">
        <f>COUNTIFS(Matches!$B:$B,$A182,Matches!$A:$A,CONCAT("&lt;",$E182))</f>
        <v>4</v>
      </c>
      <c r="J182" s="79">
        <f>COUNTIFS(Matches!$C:$C,$A182,Matches!$A:$A,CONCAT("&lt;",$E182))</f>
        <v>1</v>
      </c>
      <c r="K182" s="79">
        <f>COUNTIFS(Entropy!D:D,A182,Entropy!I:I,CONCAT("&lt;",E182-1))</f>
        <v>0</v>
      </c>
      <c r="L182" s="79">
        <f t="shared" si="2"/>
        <v>5</v>
      </c>
      <c r="M182" s="79">
        <f t="array" ref="M182">max(min(IF(J182+K182=11,0,XLOOKUP(B182,Quotas!$A$8:$A$14,Quotas!$E$8:$E$14)-$L182),2),0)</f>
        <v>0</v>
      </c>
      <c r="N182" s="31">
        <f t="shared" si="3"/>
        <v>0</v>
      </c>
    </row>
    <row r="183">
      <c r="A183" s="31" t="s">
        <v>331</v>
      </c>
      <c r="B183" s="9">
        <v>1.0</v>
      </c>
      <c r="C183" s="31" t="str">
        <f>VLOOKUP(A183, 'College List'!A:B, 2, FALSE)</f>
        <v>Silverquill</v>
      </c>
      <c r="D183" s="355">
        <f>VLOOKUP(B183,Quotas!$A$8:$C$14,2,FALSE)</f>
        <v>46136.70833</v>
      </c>
      <c r="E183" s="356">
        <f>VLOOKUP(B183,Quotas!$A$8:$C$14,3,FALSE)</f>
        <v>46143.70833</v>
      </c>
      <c r="F183" s="79">
        <f>COUNTIFS(Matches!$B:$B,A183,Matches!$A:$A,CONCAT("&gt;",$D183),Matches!$A:$A,CONCAT("&lt;",$E183))</f>
        <v>3</v>
      </c>
      <c r="G183" s="79">
        <f>COUNTIFS(Matches!$C:$C,$A183,Matches!$A:$A,CONCAT("&gt;",$D183),Matches!$A:$A,CONCAT("&lt;",$E183))</f>
        <v>1</v>
      </c>
      <c r="H183" s="79">
        <f t="shared" si="1"/>
        <v>4</v>
      </c>
      <c r="I183" s="79">
        <f>COUNTIFS(Matches!$B:$B,$A183,Matches!$A:$A,CONCAT("&lt;",$E183))</f>
        <v>3</v>
      </c>
      <c r="J183" s="79">
        <f>COUNTIFS(Matches!$C:$C,$A183,Matches!$A:$A,CONCAT("&lt;",$E183))</f>
        <v>1</v>
      </c>
      <c r="K183" s="79">
        <f>COUNTIFS(Entropy!D:D,A183,Entropy!I:I,CONCAT("&lt;",E183-1))</f>
        <v>0</v>
      </c>
      <c r="L183" s="79">
        <f t="shared" si="2"/>
        <v>4</v>
      </c>
      <c r="M183" s="79">
        <f t="array" ref="M183">max(min(IF(J183+K183=11,0,XLOOKUP(B183,Quotas!$A$8:$A$14,Quotas!$E$8:$E$14)-$L183),2),0)</f>
        <v>1</v>
      </c>
      <c r="N183" s="31">
        <f t="shared" si="3"/>
        <v>0.5</v>
      </c>
    </row>
    <row r="184">
      <c r="A184" s="31" t="s">
        <v>635</v>
      </c>
      <c r="B184" s="9">
        <v>1.0</v>
      </c>
      <c r="C184" s="31" t="str">
        <f>VLOOKUP(A184, 'College List'!A:B, 2, FALSE)</f>
        <v>Lorehold</v>
      </c>
      <c r="D184" s="355">
        <f>VLOOKUP(B184,Quotas!$A$8:$C$14,2,FALSE)</f>
        <v>46136.70833</v>
      </c>
      <c r="E184" s="356">
        <f>VLOOKUP(B184,Quotas!$A$8:$C$14,3,FALSE)</f>
        <v>46143.70833</v>
      </c>
      <c r="F184" s="79">
        <f>COUNTIFS(Matches!$B:$B,A184,Matches!$A:$A,CONCAT("&gt;",$D184),Matches!$A:$A,CONCAT("&lt;",$E184))</f>
        <v>0</v>
      </c>
      <c r="G184" s="79">
        <f>COUNTIFS(Matches!$C:$C,$A184,Matches!$A:$A,CONCAT("&gt;",$D184),Matches!$A:$A,CONCAT("&lt;",$E184))</f>
        <v>0</v>
      </c>
      <c r="H184" s="79">
        <f t="shared" si="1"/>
        <v>0</v>
      </c>
      <c r="I184" s="79">
        <f>COUNTIFS(Matches!$B:$B,$A184,Matches!$A:$A,CONCAT("&lt;",$E184))</f>
        <v>0</v>
      </c>
      <c r="J184" s="79">
        <f>COUNTIFS(Matches!$C:$C,$A184,Matches!$A:$A,CONCAT("&lt;",$E184))</f>
        <v>0</v>
      </c>
      <c r="K184" s="79">
        <f>COUNTIFS(Entropy!D:D,A184,Entropy!I:I,CONCAT("&lt;",E184-1))</f>
        <v>0</v>
      </c>
      <c r="L184" s="79">
        <f t="shared" si="2"/>
        <v>0</v>
      </c>
      <c r="M184" s="79">
        <f t="array" ref="M184">max(min(IF(J184+K184=11,0,XLOOKUP(B184,Quotas!$A$8:$A$14,Quotas!$E$8:$E$14)-$L184),2),0)</f>
        <v>2</v>
      </c>
      <c r="N184" s="31">
        <f t="shared" si="3"/>
        <v>0</v>
      </c>
    </row>
    <row r="185">
      <c r="A185" s="31" t="s">
        <v>324</v>
      </c>
      <c r="B185" s="9">
        <v>1.0</v>
      </c>
      <c r="C185" s="31" t="str">
        <f>VLOOKUP(A185, 'College List'!A:B, 2, FALSE)</f>
        <v>Lorehold</v>
      </c>
      <c r="D185" s="355">
        <f>VLOOKUP(B185,Quotas!$A$8:$C$14,2,FALSE)</f>
        <v>46136.70833</v>
      </c>
      <c r="E185" s="356">
        <f>VLOOKUP(B185,Quotas!$A$8:$C$14,3,FALSE)</f>
        <v>46143.70833</v>
      </c>
      <c r="F185" s="79">
        <f>COUNTIFS(Matches!$B:$B,A185,Matches!$A:$A,CONCAT("&gt;",$D185),Matches!$A:$A,CONCAT("&lt;",$E185))</f>
        <v>4</v>
      </c>
      <c r="G185" s="79">
        <f>COUNTIFS(Matches!$C:$C,$A185,Matches!$A:$A,CONCAT("&gt;",$D185),Matches!$A:$A,CONCAT("&lt;",$E185))</f>
        <v>1</v>
      </c>
      <c r="H185" s="79">
        <f t="shared" si="1"/>
        <v>5</v>
      </c>
      <c r="I185" s="79">
        <f>COUNTIFS(Matches!$B:$B,$A185,Matches!$A:$A,CONCAT("&lt;",$E185))</f>
        <v>4</v>
      </c>
      <c r="J185" s="79">
        <f>COUNTIFS(Matches!$C:$C,$A185,Matches!$A:$A,CONCAT("&lt;",$E185))</f>
        <v>1</v>
      </c>
      <c r="K185" s="79">
        <f>COUNTIFS(Entropy!D:D,A185,Entropy!I:I,CONCAT("&lt;",E185-1))</f>
        <v>0</v>
      </c>
      <c r="L185" s="79">
        <f t="shared" si="2"/>
        <v>5</v>
      </c>
      <c r="M185" s="79">
        <f t="array" ref="M185">max(min(IF(J185+K185=11,0,XLOOKUP(B185,Quotas!$A$8:$A$14,Quotas!$E$8:$E$14)-$L185),2),0)</f>
        <v>0</v>
      </c>
      <c r="N185" s="31">
        <f t="shared" si="3"/>
        <v>0</v>
      </c>
    </row>
    <row r="186">
      <c r="A186" s="31" t="s">
        <v>346</v>
      </c>
      <c r="B186" s="9">
        <v>1.0</v>
      </c>
      <c r="C186" s="31" t="str">
        <f>VLOOKUP(A186, 'College List'!A:B, 2, FALSE)</f>
        <v>Silverquill</v>
      </c>
      <c r="D186" s="355">
        <f>VLOOKUP(B186,Quotas!$A$8:$C$14,2,FALSE)</f>
        <v>46136.70833</v>
      </c>
      <c r="E186" s="356">
        <f>VLOOKUP(B186,Quotas!$A$8:$C$14,3,FALSE)</f>
        <v>46143.70833</v>
      </c>
      <c r="F186" s="79">
        <f>COUNTIFS(Matches!$B:$B,A186,Matches!$A:$A,CONCAT("&gt;",$D186),Matches!$A:$A,CONCAT("&lt;",$E186))</f>
        <v>2</v>
      </c>
      <c r="G186" s="79">
        <f>COUNTIFS(Matches!$C:$C,$A186,Matches!$A:$A,CONCAT("&gt;",$D186),Matches!$A:$A,CONCAT("&lt;",$E186))</f>
        <v>2</v>
      </c>
      <c r="H186" s="79">
        <f t="shared" si="1"/>
        <v>4</v>
      </c>
      <c r="I186" s="79">
        <f>COUNTIFS(Matches!$B:$B,$A186,Matches!$A:$A,CONCAT("&lt;",$E186))</f>
        <v>2</v>
      </c>
      <c r="J186" s="79">
        <f>COUNTIFS(Matches!$C:$C,$A186,Matches!$A:$A,CONCAT("&lt;",$E186))</f>
        <v>2</v>
      </c>
      <c r="K186" s="79">
        <f>COUNTIFS(Entropy!D:D,A186,Entropy!I:I,CONCAT("&lt;",E186-1))</f>
        <v>0</v>
      </c>
      <c r="L186" s="79">
        <f t="shared" si="2"/>
        <v>4</v>
      </c>
      <c r="M186" s="79">
        <f t="array" ref="M186">max(min(IF(J186+K186=11,0,XLOOKUP(B186,Quotas!$A$8:$A$14,Quotas!$E$8:$E$14)-$L186),2),0)</f>
        <v>1</v>
      </c>
      <c r="N186" s="31">
        <f t="shared" si="3"/>
        <v>0.5</v>
      </c>
    </row>
    <row r="187">
      <c r="A187" s="31" t="s">
        <v>125</v>
      </c>
      <c r="B187" s="9">
        <v>1.0</v>
      </c>
      <c r="C187" s="31" t="str">
        <f>VLOOKUP(A187, 'College List'!A:B, 2, FALSE)</f>
        <v>Prismari</v>
      </c>
      <c r="D187" s="355">
        <f>VLOOKUP(B187,Quotas!$A$8:$C$14,2,FALSE)</f>
        <v>46136.70833</v>
      </c>
      <c r="E187" s="356">
        <f>VLOOKUP(B187,Quotas!$A$8:$C$14,3,FALSE)</f>
        <v>46143.70833</v>
      </c>
      <c r="F187" s="79">
        <f>COUNTIFS(Matches!$B:$B,A187,Matches!$A:$A,CONCAT("&gt;",$D187),Matches!$A:$A,CONCAT("&lt;",$E187))</f>
        <v>1</v>
      </c>
      <c r="G187" s="79">
        <f>COUNTIFS(Matches!$C:$C,$A187,Matches!$A:$A,CONCAT("&gt;",$D187),Matches!$A:$A,CONCAT("&lt;",$E187))</f>
        <v>3</v>
      </c>
      <c r="H187" s="79">
        <f t="shared" si="1"/>
        <v>4</v>
      </c>
      <c r="I187" s="79">
        <f>COUNTIFS(Matches!$B:$B,$A187,Matches!$A:$A,CONCAT("&lt;",$E187))</f>
        <v>1</v>
      </c>
      <c r="J187" s="79">
        <f>COUNTIFS(Matches!$C:$C,$A187,Matches!$A:$A,CONCAT("&lt;",$E187))</f>
        <v>3</v>
      </c>
      <c r="K187" s="79">
        <f>COUNTIFS(Entropy!D:D,A187,Entropy!I:I,CONCAT("&lt;",E187-1))</f>
        <v>0</v>
      </c>
      <c r="L187" s="79">
        <f t="shared" si="2"/>
        <v>4</v>
      </c>
      <c r="M187" s="79">
        <f t="array" ref="M187">max(min(IF(J187+K187=11,0,XLOOKUP(B187,Quotas!$A$8:$A$14,Quotas!$E$8:$E$14)-$L187),2),0)</f>
        <v>1</v>
      </c>
      <c r="N187" s="31">
        <f t="shared" si="3"/>
        <v>0.5</v>
      </c>
    </row>
    <row r="188">
      <c r="A188" s="9" t="s">
        <v>292</v>
      </c>
      <c r="B188" s="9">
        <v>1.0</v>
      </c>
      <c r="C188" s="31" t="str">
        <f>VLOOKUP(A188, 'College List'!A:B, 2, FALSE)</f>
        <v>Prismari</v>
      </c>
      <c r="D188" s="355">
        <f>VLOOKUP(B188,Quotas!$A$8:$C$14,2,FALSE)</f>
        <v>46136.70833</v>
      </c>
      <c r="E188" s="356">
        <f>VLOOKUP(B188,Quotas!$A$8:$C$14,3,FALSE)</f>
        <v>46143.70833</v>
      </c>
      <c r="F188" s="79">
        <f>COUNTIFS(Matches!$B:$B,A188,Matches!$A:$A,CONCAT("&gt;",$D188),Matches!$A:$A,CONCAT("&lt;",$E188))</f>
        <v>2</v>
      </c>
      <c r="G188" s="79">
        <f>COUNTIFS(Matches!$C:$C,$A188,Matches!$A:$A,CONCAT("&gt;",$D188),Matches!$A:$A,CONCAT("&lt;",$E188))</f>
        <v>3</v>
      </c>
      <c r="H188" s="79">
        <f t="shared" si="1"/>
        <v>5</v>
      </c>
      <c r="I188" s="79">
        <f>COUNTIFS(Matches!$B:$B,$A188,Matches!$A:$A,CONCAT("&lt;",$E188))</f>
        <v>2</v>
      </c>
      <c r="J188" s="79">
        <f>COUNTIFS(Matches!$C:$C,$A188,Matches!$A:$A,CONCAT("&lt;",$E188))</f>
        <v>3</v>
      </c>
      <c r="K188" s="79">
        <f>COUNTIFS(Entropy!D:D,A188,Entropy!I:I,CONCAT("&lt;",E188-1))</f>
        <v>0</v>
      </c>
      <c r="L188" s="79">
        <f t="shared" si="2"/>
        <v>5</v>
      </c>
      <c r="M188" s="79">
        <f t="array" ref="M188">max(min(IF(J188+K188=11,0,XLOOKUP(B188,Quotas!$A$8:$A$14,Quotas!$E$8:$E$14)-$L188),2),0)</f>
        <v>0</v>
      </c>
      <c r="N188" s="31">
        <f t="shared" si="3"/>
        <v>0</v>
      </c>
    </row>
    <row r="189">
      <c r="A189" s="31" t="s">
        <v>215</v>
      </c>
      <c r="B189" s="9">
        <v>1.0</v>
      </c>
      <c r="C189" s="31" t="str">
        <f>VLOOKUP(A189, 'College List'!A:B, 2, FALSE)</f>
        <v>Silverquill</v>
      </c>
      <c r="D189" s="355">
        <f>VLOOKUP(B189,Quotas!$A$8:$C$14,2,FALSE)</f>
        <v>46136.70833</v>
      </c>
      <c r="E189" s="356">
        <f>VLOOKUP(B189,Quotas!$A$8:$C$14,3,FALSE)</f>
        <v>46143.70833</v>
      </c>
      <c r="F189" s="79">
        <f>COUNTIFS(Matches!$B:$B,A189,Matches!$A:$A,CONCAT("&gt;",$D189),Matches!$A:$A,CONCAT("&lt;",$E189))</f>
        <v>2</v>
      </c>
      <c r="G189" s="79">
        <f>COUNTIFS(Matches!$C:$C,$A189,Matches!$A:$A,CONCAT("&gt;",$D189),Matches!$A:$A,CONCAT("&lt;",$E189))</f>
        <v>1</v>
      </c>
      <c r="H189" s="79">
        <f t="shared" si="1"/>
        <v>3</v>
      </c>
      <c r="I189" s="79">
        <f>COUNTIFS(Matches!$B:$B,$A189,Matches!$A:$A,CONCAT("&lt;",$E189))</f>
        <v>2</v>
      </c>
      <c r="J189" s="79">
        <f>COUNTIFS(Matches!$C:$C,$A189,Matches!$A:$A,CONCAT("&lt;",$E189))</f>
        <v>1</v>
      </c>
      <c r="K189" s="79">
        <f>COUNTIFS(Entropy!D:D,A189,Entropy!I:I,CONCAT("&lt;",E189-1))</f>
        <v>0</v>
      </c>
      <c r="L189" s="79">
        <f t="shared" si="2"/>
        <v>3</v>
      </c>
      <c r="M189" s="79">
        <f t="array" ref="M189">max(min(IF(J189+K189=11,0,XLOOKUP(B189,Quotas!$A$8:$A$14,Quotas!$E$8:$E$14)-$L189),2),0)</f>
        <v>2</v>
      </c>
      <c r="N189" s="31">
        <f t="shared" si="3"/>
        <v>1</v>
      </c>
    </row>
    <row r="190">
      <c r="A190" s="31" t="s">
        <v>366</v>
      </c>
      <c r="B190" s="9">
        <v>1.0</v>
      </c>
      <c r="C190" s="31" t="str">
        <f>VLOOKUP(A190, 'College List'!A:B, 2, FALSE)</f>
        <v>Quandrix</v>
      </c>
      <c r="D190" s="355">
        <f>VLOOKUP(B190,Quotas!$A$8:$C$14,2,FALSE)</f>
        <v>46136.70833</v>
      </c>
      <c r="E190" s="356">
        <f>VLOOKUP(B190,Quotas!$A$8:$C$14,3,FALSE)</f>
        <v>46143.70833</v>
      </c>
      <c r="F190" s="79">
        <f>COUNTIFS(Matches!$B:$B,A190,Matches!$A:$A,CONCAT("&gt;",$D190),Matches!$A:$A,CONCAT("&lt;",$E190))</f>
        <v>2</v>
      </c>
      <c r="G190" s="79">
        <f>COUNTIFS(Matches!$C:$C,$A190,Matches!$A:$A,CONCAT("&gt;",$D190),Matches!$A:$A,CONCAT("&lt;",$E190))</f>
        <v>3</v>
      </c>
      <c r="H190" s="79">
        <f t="shared" si="1"/>
        <v>5</v>
      </c>
      <c r="I190" s="79">
        <f>COUNTIFS(Matches!$B:$B,$A190,Matches!$A:$A,CONCAT("&lt;",$E190))</f>
        <v>2</v>
      </c>
      <c r="J190" s="79">
        <f>COUNTIFS(Matches!$C:$C,$A190,Matches!$A:$A,CONCAT("&lt;",$E190))</f>
        <v>3</v>
      </c>
      <c r="K190" s="79">
        <f>COUNTIFS(Entropy!D:D,A190,Entropy!I:I,CONCAT("&lt;",E190-1))</f>
        <v>0</v>
      </c>
      <c r="L190" s="79">
        <f t="shared" si="2"/>
        <v>5</v>
      </c>
      <c r="M190" s="79">
        <f t="array" ref="M190">max(min(IF(J190+K190=11,0,XLOOKUP(B190,Quotas!$A$8:$A$14,Quotas!$E$8:$E$14)-$L190),2),0)</f>
        <v>0</v>
      </c>
      <c r="N190" s="31">
        <f t="shared" si="3"/>
        <v>0</v>
      </c>
    </row>
    <row r="191">
      <c r="A191" s="31" t="s">
        <v>349</v>
      </c>
      <c r="B191" s="9">
        <v>1.0</v>
      </c>
      <c r="C191" s="31" t="str">
        <f>VLOOKUP(A191, 'College List'!A:B, 2, FALSE)</f>
        <v>Prismari</v>
      </c>
      <c r="D191" s="355">
        <f>VLOOKUP(B191,Quotas!$A$8:$C$14,2,FALSE)</f>
        <v>46136.70833</v>
      </c>
      <c r="E191" s="356">
        <f>VLOOKUP(B191,Quotas!$A$8:$C$14,3,FALSE)</f>
        <v>46143.70833</v>
      </c>
      <c r="F191" s="79">
        <f>COUNTIFS(Matches!$B:$B,A191,Matches!$A:$A,CONCAT("&gt;",$D191),Matches!$A:$A,CONCAT("&lt;",$E191))</f>
        <v>4</v>
      </c>
      <c r="G191" s="79">
        <f>COUNTIFS(Matches!$C:$C,$A191,Matches!$A:$A,CONCAT("&gt;",$D191),Matches!$A:$A,CONCAT("&lt;",$E191))</f>
        <v>1</v>
      </c>
      <c r="H191" s="79">
        <f t="shared" si="1"/>
        <v>5</v>
      </c>
      <c r="I191" s="79">
        <f>COUNTIFS(Matches!$B:$B,$A191,Matches!$A:$A,CONCAT("&lt;",$E191))</f>
        <v>4</v>
      </c>
      <c r="J191" s="79">
        <f>COUNTIFS(Matches!$C:$C,$A191,Matches!$A:$A,CONCAT("&lt;",$E191))</f>
        <v>1</v>
      </c>
      <c r="K191" s="79">
        <f>COUNTIFS(Entropy!D:D,A191,Entropy!I:I,CONCAT("&lt;",E191-1))</f>
        <v>0</v>
      </c>
      <c r="L191" s="79">
        <f t="shared" si="2"/>
        <v>5</v>
      </c>
      <c r="M191" s="79">
        <f t="array" ref="M191">max(min(IF(J191+K191=11,0,XLOOKUP(B191,Quotas!$A$8:$A$14,Quotas!$E$8:$E$14)-$L191),2),0)</f>
        <v>0</v>
      </c>
      <c r="N191" s="31">
        <f t="shared" si="3"/>
        <v>0</v>
      </c>
    </row>
    <row r="192">
      <c r="A192" s="31" t="s">
        <v>315</v>
      </c>
      <c r="B192" s="9">
        <v>1.0</v>
      </c>
      <c r="C192" s="31" t="str">
        <f>VLOOKUP(A192, 'College List'!A:B, 2, FALSE)</f>
        <v>Prismari</v>
      </c>
      <c r="D192" s="355">
        <f>VLOOKUP(B192,Quotas!$A$8:$C$14,2,FALSE)</f>
        <v>46136.70833</v>
      </c>
      <c r="E192" s="356">
        <f>VLOOKUP(B192,Quotas!$A$8:$C$14,3,FALSE)</f>
        <v>46143.70833</v>
      </c>
      <c r="F192" s="79">
        <f>COUNTIFS(Matches!$B:$B,A192,Matches!$A:$A,CONCAT("&gt;",$D192),Matches!$A:$A,CONCAT("&lt;",$E192))</f>
        <v>2</v>
      </c>
      <c r="G192" s="79">
        <f>COUNTIFS(Matches!$C:$C,$A192,Matches!$A:$A,CONCAT("&gt;",$D192),Matches!$A:$A,CONCAT("&lt;",$E192))</f>
        <v>3</v>
      </c>
      <c r="H192" s="79">
        <f t="shared" si="1"/>
        <v>5</v>
      </c>
      <c r="I192" s="79">
        <f>COUNTIFS(Matches!$B:$B,$A192,Matches!$A:$A,CONCAT("&lt;",$E192))</f>
        <v>2</v>
      </c>
      <c r="J192" s="79">
        <f>COUNTIFS(Matches!$C:$C,$A192,Matches!$A:$A,CONCAT("&lt;",$E192))</f>
        <v>3</v>
      </c>
      <c r="K192" s="79">
        <f>COUNTIFS(Entropy!D:D,A192,Entropy!I:I,CONCAT("&lt;",E192-1))</f>
        <v>0</v>
      </c>
      <c r="L192" s="79">
        <f t="shared" si="2"/>
        <v>5</v>
      </c>
      <c r="M192" s="79">
        <f t="array" ref="M192">max(min(IF(J192+K192=11,0,XLOOKUP(B192,Quotas!$A$8:$A$14,Quotas!$E$8:$E$14)-$L192),2),0)</f>
        <v>0</v>
      </c>
      <c r="N192" s="31">
        <f t="shared" si="3"/>
        <v>0</v>
      </c>
    </row>
    <row r="193">
      <c r="A193" s="31" t="s">
        <v>636</v>
      </c>
      <c r="B193" s="9">
        <v>1.0</v>
      </c>
      <c r="C193" s="31" t="str">
        <f>VLOOKUP(A193, 'College List'!A:B, 2, FALSE)</f>
        <v>Silverquill</v>
      </c>
      <c r="D193" s="355">
        <f>VLOOKUP(B193,Quotas!$A$8:$C$14,2,FALSE)</f>
        <v>46136.70833</v>
      </c>
      <c r="E193" s="356">
        <f>VLOOKUP(B193,Quotas!$A$8:$C$14,3,FALSE)</f>
        <v>46143.70833</v>
      </c>
      <c r="F193" s="79">
        <f>COUNTIFS(Matches!$B:$B,A193,Matches!$A:$A,CONCAT("&gt;",$D193),Matches!$A:$A,CONCAT("&lt;",$E193))</f>
        <v>0</v>
      </c>
      <c r="G193" s="79">
        <f>COUNTIFS(Matches!$C:$C,$A193,Matches!$A:$A,CONCAT("&gt;",$D193),Matches!$A:$A,CONCAT("&lt;",$E193))</f>
        <v>0</v>
      </c>
      <c r="H193" s="79">
        <f t="shared" si="1"/>
        <v>0</v>
      </c>
      <c r="I193" s="79">
        <f>COUNTIFS(Matches!$B:$B,$A193,Matches!$A:$A,CONCAT("&lt;",$E193))</f>
        <v>0</v>
      </c>
      <c r="J193" s="79">
        <f>COUNTIFS(Matches!$C:$C,$A193,Matches!$A:$A,CONCAT("&lt;",$E193))</f>
        <v>0</v>
      </c>
      <c r="K193" s="79">
        <f>COUNTIFS(Entropy!D:D,A193,Entropy!I:I,CONCAT("&lt;",E193-1))</f>
        <v>0</v>
      </c>
      <c r="L193" s="79">
        <f t="shared" si="2"/>
        <v>0</v>
      </c>
      <c r="M193" s="79">
        <f t="array" ref="M193">max(min(IF(J193+K193=11,0,XLOOKUP(B193,Quotas!$A$8:$A$14,Quotas!$E$8:$E$14)-$L193),2),0)</f>
        <v>2</v>
      </c>
      <c r="N193" s="31">
        <f t="shared" si="3"/>
        <v>0</v>
      </c>
    </row>
    <row r="194">
      <c r="A194" s="31" t="s">
        <v>214</v>
      </c>
      <c r="B194" s="9">
        <v>1.0</v>
      </c>
      <c r="C194" s="31" t="str">
        <f>VLOOKUP(A194, 'College List'!A:B, 2, FALSE)</f>
        <v>Prismari</v>
      </c>
      <c r="D194" s="355">
        <f>VLOOKUP(B194,Quotas!$A$8:$C$14,2,FALSE)</f>
        <v>46136.70833</v>
      </c>
      <c r="E194" s="356">
        <f>VLOOKUP(B194,Quotas!$A$8:$C$14,3,FALSE)</f>
        <v>46143.70833</v>
      </c>
      <c r="F194" s="79">
        <f>COUNTIFS(Matches!$B:$B,A194,Matches!$A:$A,CONCAT("&gt;",$D194),Matches!$A:$A,CONCAT("&lt;",$E194))</f>
        <v>2</v>
      </c>
      <c r="G194" s="79">
        <f>COUNTIFS(Matches!$C:$C,$A194,Matches!$A:$A,CONCAT("&gt;",$D194),Matches!$A:$A,CONCAT("&lt;",$E194))</f>
        <v>3</v>
      </c>
      <c r="H194" s="79">
        <f t="shared" si="1"/>
        <v>5</v>
      </c>
      <c r="I194" s="79">
        <f>COUNTIFS(Matches!$B:$B,$A194,Matches!$A:$A,CONCAT("&lt;",$E194))</f>
        <v>2</v>
      </c>
      <c r="J194" s="79">
        <f>COUNTIFS(Matches!$C:$C,$A194,Matches!$A:$A,CONCAT("&lt;",$E194))</f>
        <v>3</v>
      </c>
      <c r="K194" s="79">
        <f>COUNTIFS(Entropy!D:D,A194,Entropy!I:I,CONCAT("&lt;",E194-1))</f>
        <v>0</v>
      </c>
      <c r="L194" s="79">
        <f t="shared" si="2"/>
        <v>5</v>
      </c>
      <c r="M194" s="79">
        <f t="array" ref="M194">max(min(IF(J194+K194=11,0,XLOOKUP(B194,Quotas!$A$8:$A$14,Quotas!$E$8:$E$14)-$L194),2),0)</f>
        <v>0</v>
      </c>
      <c r="N194" s="31">
        <f t="shared" si="3"/>
        <v>0</v>
      </c>
    </row>
    <row r="195">
      <c r="A195" s="31" t="s">
        <v>228</v>
      </c>
      <c r="B195" s="9">
        <v>1.0</v>
      </c>
      <c r="C195" s="31" t="str">
        <f>VLOOKUP(A195, 'College List'!A:B, 2, FALSE)</f>
        <v>Witherbloom</v>
      </c>
      <c r="D195" s="355">
        <f>VLOOKUP(B195,Quotas!$A$8:$C$14,2,FALSE)</f>
        <v>46136.70833</v>
      </c>
      <c r="E195" s="356">
        <f>VLOOKUP(B195,Quotas!$A$8:$C$14,3,FALSE)</f>
        <v>46143.70833</v>
      </c>
      <c r="F195" s="79">
        <f>COUNTIFS(Matches!$B:$B,A195,Matches!$A:$A,CONCAT("&gt;",$D195),Matches!$A:$A,CONCAT("&lt;",$E195))</f>
        <v>4</v>
      </c>
      <c r="G195" s="79">
        <f>COUNTIFS(Matches!$C:$C,$A195,Matches!$A:$A,CONCAT("&gt;",$D195),Matches!$A:$A,CONCAT("&lt;",$E195))</f>
        <v>1</v>
      </c>
      <c r="H195" s="79">
        <f t="shared" si="1"/>
        <v>5</v>
      </c>
      <c r="I195" s="79">
        <f>COUNTIFS(Matches!$B:$B,$A195,Matches!$A:$A,CONCAT("&lt;",$E195))</f>
        <v>4</v>
      </c>
      <c r="J195" s="79">
        <f>COUNTIFS(Matches!$C:$C,$A195,Matches!$A:$A,CONCAT("&lt;",$E195))</f>
        <v>1</v>
      </c>
      <c r="K195" s="79">
        <f>COUNTIFS(Entropy!D:D,A195,Entropy!I:I,CONCAT("&lt;",E195-1))</f>
        <v>0</v>
      </c>
      <c r="L195" s="79">
        <f t="shared" si="2"/>
        <v>5</v>
      </c>
      <c r="M195" s="79">
        <f t="array" ref="M195">max(min(IF(J195+K195=11,0,XLOOKUP(B195,Quotas!$A$8:$A$14,Quotas!$E$8:$E$14)-$L195),2),0)</f>
        <v>0</v>
      </c>
      <c r="N195" s="31">
        <f t="shared" si="3"/>
        <v>0</v>
      </c>
    </row>
    <row r="196">
      <c r="A196" s="31" t="s">
        <v>390</v>
      </c>
      <c r="B196" s="9">
        <v>1.0</v>
      </c>
      <c r="C196" s="31" t="str">
        <f>VLOOKUP(A196, 'College List'!A:B, 2, FALSE)</f>
        <v>Witherbloom</v>
      </c>
      <c r="D196" s="355">
        <f>VLOOKUP(B196,Quotas!$A$8:$C$14,2,FALSE)</f>
        <v>46136.70833</v>
      </c>
      <c r="E196" s="356">
        <f>VLOOKUP(B196,Quotas!$A$8:$C$14,3,FALSE)</f>
        <v>46143.70833</v>
      </c>
      <c r="F196" s="79">
        <f>COUNTIFS(Matches!$B:$B,A196,Matches!$A:$A,CONCAT("&gt;",$D196),Matches!$A:$A,CONCAT("&lt;",$E196))</f>
        <v>2</v>
      </c>
      <c r="G196" s="79">
        <f>COUNTIFS(Matches!$C:$C,$A196,Matches!$A:$A,CONCAT("&gt;",$D196),Matches!$A:$A,CONCAT("&lt;",$E196))</f>
        <v>1</v>
      </c>
      <c r="H196" s="79">
        <f t="shared" si="1"/>
        <v>3</v>
      </c>
      <c r="I196" s="79">
        <f>COUNTIFS(Matches!$B:$B,$A196,Matches!$A:$A,CONCAT("&lt;",$E196))</f>
        <v>2</v>
      </c>
      <c r="J196" s="79">
        <f>COUNTIFS(Matches!$C:$C,$A196,Matches!$A:$A,CONCAT("&lt;",$E196))</f>
        <v>1</v>
      </c>
      <c r="K196" s="79">
        <f>COUNTIFS(Entropy!D:D,A196,Entropy!I:I,CONCAT("&lt;",E196-1))</f>
        <v>0</v>
      </c>
      <c r="L196" s="79">
        <f t="shared" si="2"/>
        <v>3</v>
      </c>
      <c r="M196" s="79">
        <f t="array" ref="M196">max(min(IF(J196+K196=11,0,XLOOKUP(B196,Quotas!$A$8:$A$14,Quotas!$E$8:$E$14)-$L196),2),0)</f>
        <v>2</v>
      </c>
      <c r="N196" s="31">
        <f t="shared" si="3"/>
        <v>1</v>
      </c>
    </row>
    <row r="197">
      <c r="A197" s="31" t="s">
        <v>168</v>
      </c>
      <c r="B197" s="9">
        <v>1.0</v>
      </c>
      <c r="C197" s="31" t="str">
        <f>VLOOKUP(A197, 'College List'!A:B, 2, FALSE)</f>
        <v>Silverquill</v>
      </c>
      <c r="D197" s="355">
        <f>VLOOKUP(B197,Quotas!$A$8:$C$14,2,FALSE)</f>
        <v>46136.70833</v>
      </c>
      <c r="E197" s="356">
        <f>VLOOKUP(B197,Quotas!$A$8:$C$14,3,FALSE)</f>
        <v>46143.70833</v>
      </c>
      <c r="F197" s="79">
        <f>COUNTIFS(Matches!$B:$B,A197,Matches!$A:$A,CONCAT("&gt;",$D197),Matches!$A:$A,CONCAT("&lt;",$E197))</f>
        <v>3</v>
      </c>
      <c r="G197" s="79">
        <f>COUNTIFS(Matches!$C:$C,$A197,Matches!$A:$A,CONCAT("&gt;",$D197),Matches!$A:$A,CONCAT("&lt;",$E197))</f>
        <v>2</v>
      </c>
      <c r="H197" s="79">
        <f t="shared" si="1"/>
        <v>5</v>
      </c>
      <c r="I197" s="79">
        <f>COUNTIFS(Matches!$B:$B,$A197,Matches!$A:$A,CONCAT("&lt;",$E197))</f>
        <v>3</v>
      </c>
      <c r="J197" s="79">
        <f>COUNTIFS(Matches!$C:$C,$A197,Matches!$A:$A,CONCAT("&lt;",$E197))</f>
        <v>2</v>
      </c>
      <c r="K197" s="79">
        <f>COUNTIFS(Entropy!D:D,A197,Entropy!I:I,CONCAT("&lt;",E197-1))</f>
        <v>0</v>
      </c>
      <c r="L197" s="79">
        <f t="shared" si="2"/>
        <v>5</v>
      </c>
      <c r="M197" s="79">
        <f t="array" ref="M197">max(min(IF(J197+K197=11,0,XLOOKUP(B197,Quotas!$A$8:$A$14,Quotas!$E$8:$E$14)-$L197),2),0)</f>
        <v>0</v>
      </c>
      <c r="N197" s="31">
        <f t="shared" si="3"/>
        <v>0</v>
      </c>
    </row>
    <row r="198">
      <c r="A198" s="31" t="s">
        <v>227</v>
      </c>
      <c r="B198" s="9">
        <v>1.0</v>
      </c>
      <c r="C198" s="31" t="str">
        <f>VLOOKUP(A198, 'College List'!A:B, 2, FALSE)</f>
        <v>Witherbloom</v>
      </c>
      <c r="D198" s="355">
        <f>VLOOKUP(B198,Quotas!$A$8:$C$14,2,FALSE)</f>
        <v>46136.70833</v>
      </c>
      <c r="E198" s="356">
        <f>VLOOKUP(B198,Quotas!$A$8:$C$14,3,FALSE)</f>
        <v>46143.70833</v>
      </c>
      <c r="F198" s="79">
        <f>COUNTIFS(Matches!$B:$B,A198,Matches!$A:$A,CONCAT("&gt;",$D198),Matches!$A:$A,CONCAT("&lt;",$E198))</f>
        <v>2</v>
      </c>
      <c r="G198" s="79">
        <f>COUNTIFS(Matches!$C:$C,$A198,Matches!$A:$A,CONCAT("&gt;",$D198),Matches!$A:$A,CONCAT("&lt;",$E198))</f>
        <v>3</v>
      </c>
      <c r="H198" s="79">
        <f t="shared" si="1"/>
        <v>5</v>
      </c>
      <c r="I198" s="79">
        <f>COUNTIFS(Matches!$B:$B,$A198,Matches!$A:$A,CONCAT("&lt;",$E198))</f>
        <v>2</v>
      </c>
      <c r="J198" s="79">
        <f>COUNTIFS(Matches!$C:$C,$A198,Matches!$A:$A,CONCAT("&lt;",$E198))</f>
        <v>3</v>
      </c>
      <c r="K198" s="79">
        <f>COUNTIFS(Entropy!D:D,A198,Entropy!I:I,CONCAT("&lt;",E198-1))</f>
        <v>0</v>
      </c>
      <c r="L198" s="79">
        <f t="shared" si="2"/>
        <v>5</v>
      </c>
      <c r="M198" s="79">
        <f t="array" ref="M198">max(min(IF(J198+K198=11,0,XLOOKUP(B198,Quotas!$A$8:$A$14,Quotas!$E$8:$E$14)-$L198),2),0)</f>
        <v>0</v>
      </c>
      <c r="N198" s="31">
        <f t="shared" si="3"/>
        <v>0</v>
      </c>
    </row>
    <row r="199">
      <c r="A199" s="31" t="s">
        <v>246</v>
      </c>
      <c r="B199" s="9">
        <v>1.0</v>
      </c>
      <c r="C199" s="31" t="str">
        <f>VLOOKUP(A199, 'College List'!A:B, 2, FALSE)</f>
        <v>Witherbloom</v>
      </c>
      <c r="D199" s="355">
        <f>VLOOKUP(B199,Quotas!$A$8:$C$14,2,FALSE)</f>
        <v>46136.70833</v>
      </c>
      <c r="E199" s="356">
        <f>VLOOKUP(B199,Quotas!$A$8:$C$14,3,FALSE)</f>
        <v>46143.70833</v>
      </c>
      <c r="F199" s="79">
        <f>COUNTIFS(Matches!$B:$B,A199,Matches!$A:$A,CONCAT("&gt;",$D199),Matches!$A:$A,CONCAT("&lt;",$E199))</f>
        <v>1</v>
      </c>
      <c r="G199" s="79">
        <f>COUNTIFS(Matches!$C:$C,$A199,Matches!$A:$A,CONCAT("&gt;",$D199),Matches!$A:$A,CONCAT("&lt;",$E199))</f>
        <v>4</v>
      </c>
      <c r="H199" s="79">
        <f t="shared" si="1"/>
        <v>5</v>
      </c>
      <c r="I199" s="79">
        <f>COUNTIFS(Matches!$B:$B,$A199,Matches!$A:$A,CONCAT("&lt;",$E199))</f>
        <v>1</v>
      </c>
      <c r="J199" s="79">
        <f>COUNTIFS(Matches!$C:$C,$A199,Matches!$A:$A,CONCAT("&lt;",$E199))</f>
        <v>4</v>
      </c>
      <c r="K199" s="79">
        <f>COUNTIFS(Entropy!D:D,A199,Entropy!I:I,CONCAT("&lt;",E199-1))</f>
        <v>0</v>
      </c>
      <c r="L199" s="79">
        <f t="shared" si="2"/>
        <v>5</v>
      </c>
      <c r="M199" s="79">
        <f t="array" ref="M199">max(min(IF(J199+K199=11,0,XLOOKUP(B199,Quotas!$A$8:$A$14,Quotas!$E$8:$E$14)-$L199),2),0)</f>
        <v>0</v>
      </c>
      <c r="N199" s="31">
        <f t="shared" si="3"/>
        <v>0</v>
      </c>
    </row>
    <row r="200">
      <c r="A200" s="31" t="s">
        <v>362</v>
      </c>
      <c r="B200" s="9">
        <v>1.0</v>
      </c>
      <c r="C200" s="31" t="str">
        <f>VLOOKUP(A200, 'College List'!A:B, 2, FALSE)</f>
        <v>Witherbloom</v>
      </c>
      <c r="D200" s="355">
        <f>VLOOKUP(B200,Quotas!$A$8:$C$14,2,FALSE)</f>
        <v>46136.70833</v>
      </c>
      <c r="E200" s="356">
        <f>VLOOKUP(B200,Quotas!$A$8:$C$14,3,FALSE)</f>
        <v>46143.70833</v>
      </c>
      <c r="F200" s="79">
        <f>COUNTIFS(Matches!$B:$B,A200,Matches!$A:$A,CONCAT("&gt;",$D200),Matches!$A:$A,CONCAT("&lt;",$E200))</f>
        <v>1</v>
      </c>
      <c r="G200" s="79">
        <f>COUNTIFS(Matches!$C:$C,$A200,Matches!$A:$A,CONCAT("&gt;",$D200),Matches!$A:$A,CONCAT("&lt;",$E200))</f>
        <v>2</v>
      </c>
      <c r="H200" s="79">
        <f t="shared" si="1"/>
        <v>3</v>
      </c>
      <c r="I200" s="79">
        <f>COUNTIFS(Matches!$B:$B,$A200,Matches!$A:$A,CONCAT("&lt;",$E200))</f>
        <v>1</v>
      </c>
      <c r="J200" s="79">
        <f>COUNTIFS(Matches!$C:$C,$A200,Matches!$A:$A,CONCAT("&lt;",$E200))</f>
        <v>2</v>
      </c>
      <c r="K200" s="79">
        <f>COUNTIFS(Entropy!D:D,A200,Entropy!I:I,CONCAT("&lt;",E200-1))</f>
        <v>0</v>
      </c>
      <c r="L200" s="79">
        <f t="shared" si="2"/>
        <v>3</v>
      </c>
      <c r="M200" s="79">
        <f t="array" ref="M200">max(min(IF(J200+K200=11,0,XLOOKUP(B200,Quotas!$A$8:$A$14,Quotas!$E$8:$E$14)-$L200),2),0)</f>
        <v>2</v>
      </c>
      <c r="N200" s="31">
        <f t="shared" si="3"/>
        <v>1</v>
      </c>
    </row>
    <row r="201">
      <c r="A201" s="31" t="s">
        <v>266</v>
      </c>
      <c r="B201" s="9">
        <v>1.0</v>
      </c>
      <c r="C201" s="31" t="str">
        <f>VLOOKUP(A201, 'College List'!A:B, 2, FALSE)</f>
        <v>Prismari</v>
      </c>
      <c r="D201" s="355">
        <f>VLOOKUP(B201,Quotas!$A$8:$C$14,2,FALSE)</f>
        <v>46136.70833</v>
      </c>
      <c r="E201" s="356">
        <f>VLOOKUP(B201,Quotas!$A$8:$C$14,3,FALSE)</f>
        <v>46143.70833</v>
      </c>
      <c r="F201" s="79">
        <f>COUNTIFS(Matches!$B:$B,A201,Matches!$A:$A,CONCAT("&gt;",$D201),Matches!$A:$A,CONCAT("&lt;",$E201))</f>
        <v>3</v>
      </c>
      <c r="G201" s="79">
        <f>COUNTIFS(Matches!$C:$C,$A201,Matches!$A:$A,CONCAT("&gt;",$D201),Matches!$A:$A,CONCAT("&lt;",$E201))</f>
        <v>2</v>
      </c>
      <c r="H201" s="79">
        <f t="shared" si="1"/>
        <v>5</v>
      </c>
      <c r="I201" s="79">
        <f>COUNTIFS(Matches!$B:$B,$A201,Matches!$A:$A,CONCAT("&lt;",$E201))</f>
        <v>3</v>
      </c>
      <c r="J201" s="79">
        <f>COUNTIFS(Matches!$C:$C,$A201,Matches!$A:$A,CONCAT("&lt;",$E201))</f>
        <v>2</v>
      </c>
      <c r="K201" s="79">
        <f>COUNTIFS(Entropy!D:D,A201,Entropy!I:I,CONCAT("&lt;",E201-1))</f>
        <v>0</v>
      </c>
      <c r="L201" s="79">
        <f t="shared" si="2"/>
        <v>5</v>
      </c>
      <c r="M201" s="79">
        <f t="array" ref="M201">max(min(IF(J201+K201=11,0,XLOOKUP(B201,Quotas!$A$8:$A$14,Quotas!$E$8:$E$14)-$L201),2),0)</f>
        <v>0</v>
      </c>
      <c r="N201" s="31">
        <f t="shared" si="3"/>
        <v>0</v>
      </c>
    </row>
    <row r="202">
      <c r="A202" s="31" t="s">
        <v>166</v>
      </c>
      <c r="B202" s="9">
        <v>1.0</v>
      </c>
      <c r="C202" s="31" t="str">
        <f>VLOOKUP(A202, 'College List'!A:B, 2, FALSE)</f>
        <v>Lorehold</v>
      </c>
      <c r="D202" s="355">
        <f>VLOOKUP(B202,Quotas!$A$8:$C$14,2,FALSE)</f>
        <v>46136.70833</v>
      </c>
      <c r="E202" s="356">
        <f>VLOOKUP(B202,Quotas!$A$8:$C$14,3,FALSE)</f>
        <v>46143.70833</v>
      </c>
      <c r="F202" s="79">
        <f>COUNTIFS(Matches!$B:$B,A202,Matches!$A:$A,CONCAT("&gt;",$D202),Matches!$A:$A,CONCAT("&lt;",$E202))</f>
        <v>3</v>
      </c>
      <c r="G202" s="79">
        <f>COUNTIFS(Matches!$C:$C,$A202,Matches!$A:$A,CONCAT("&gt;",$D202),Matches!$A:$A,CONCAT("&lt;",$E202))</f>
        <v>2</v>
      </c>
      <c r="H202" s="79">
        <f t="shared" si="1"/>
        <v>5</v>
      </c>
      <c r="I202" s="79">
        <f>COUNTIFS(Matches!$B:$B,$A202,Matches!$A:$A,CONCAT("&lt;",$E202))</f>
        <v>3</v>
      </c>
      <c r="J202" s="79">
        <f>COUNTIFS(Matches!$C:$C,$A202,Matches!$A:$A,CONCAT("&lt;",$E202))</f>
        <v>2</v>
      </c>
      <c r="K202" s="79">
        <f>COUNTIFS(Entropy!D:D,A202,Entropy!I:I,CONCAT("&lt;",E202-1))</f>
        <v>0</v>
      </c>
      <c r="L202" s="79">
        <f t="shared" si="2"/>
        <v>5</v>
      </c>
      <c r="M202" s="79">
        <f t="array" ref="M202">max(min(IF(J202+K202=11,0,XLOOKUP(B202,Quotas!$A$8:$A$14,Quotas!$E$8:$E$14)-$L202),2),0)</f>
        <v>0</v>
      </c>
      <c r="N202" s="31">
        <f t="shared" si="3"/>
        <v>0</v>
      </c>
    </row>
    <row r="203">
      <c r="A203" s="31" t="s">
        <v>131</v>
      </c>
      <c r="B203" s="9">
        <v>1.0</v>
      </c>
      <c r="C203" s="31" t="str">
        <f>VLOOKUP(A203, 'College List'!A:B, 2, FALSE)</f>
        <v>Lorehold</v>
      </c>
      <c r="D203" s="355">
        <f>VLOOKUP(B203,Quotas!$A$8:$C$14,2,FALSE)</f>
        <v>46136.70833</v>
      </c>
      <c r="E203" s="356">
        <f>VLOOKUP(B203,Quotas!$A$8:$C$14,3,FALSE)</f>
        <v>46143.70833</v>
      </c>
      <c r="F203" s="79">
        <f>COUNTIFS(Matches!$B:$B,A203,Matches!$A:$A,CONCAT("&gt;",$D203),Matches!$A:$A,CONCAT("&lt;",$E203))</f>
        <v>2</v>
      </c>
      <c r="G203" s="79">
        <f>COUNTIFS(Matches!$C:$C,$A203,Matches!$A:$A,CONCAT("&gt;",$D203),Matches!$A:$A,CONCAT("&lt;",$E203))</f>
        <v>3</v>
      </c>
      <c r="H203" s="79">
        <f t="shared" si="1"/>
        <v>5</v>
      </c>
      <c r="I203" s="79">
        <f>COUNTIFS(Matches!$B:$B,$A203,Matches!$A:$A,CONCAT("&lt;",$E203))</f>
        <v>2</v>
      </c>
      <c r="J203" s="79">
        <f>COUNTIFS(Matches!$C:$C,$A203,Matches!$A:$A,CONCAT("&lt;",$E203))</f>
        <v>3</v>
      </c>
      <c r="K203" s="79">
        <f>COUNTIFS(Entropy!D:D,A203,Entropy!I:I,CONCAT("&lt;",E203-1))</f>
        <v>0</v>
      </c>
      <c r="L203" s="79">
        <f t="shared" si="2"/>
        <v>5</v>
      </c>
      <c r="M203" s="79">
        <f t="array" ref="M203">max(min(IF(J203+K203=11,0,XLOOKUP(B203,Quotas!$A$8:$A$14,Quotas!$E$8:$E$14)-$L203),2),0)</f>
        <v>0</v>
      </c>
      <c r="N203" s="31">
        <f t="shared" si="3"/>
        <v>0</v>
      </c>
    </row>
    <row r="204">
      <c r="A204" s="31" t="s">
        <v>275</v>
      </c>
      <c r="B204" s="9">
        <v>1.0</v>
      </c>
      <c r="C204" s="31" t="str">
        <f>VLOOKUP(A204, 'College List'!A:B, 2, FALSE)</f>
        <v>Lorehold</v>
      </c>
      <c r="D204" s="355">
        <f>VLOOKUP(B204,Quotas!$A$8:$C$14,2,FALSE)</f>
        <v>46136.70833</v>
      </c>
      <c r="E204" s="356">
        <f>VLOOKUP(B204,Quotas!$A$8:$C$14,3,FALSE)</f>
        <v>46143.70833</v>
      </c>
      <c r="F204" s="79">
        <f>COUNTIFS(Matches!$B:$B,A204,Matches!$A:$A,CONCAT("&gt;",$D204),Matches!$A:$A,CONCAT("&lt;",$E204))</f>
        <v>1</v>
      </c>
      <c r="G204" s="79">
        <f>COUNTIFS(Matches!$C:$C,$A204,Matches!$A:$A,CONCAT("&gt;",$D204),Matches!$A:$A,CONCAT("&lt;",$E204))</f>
        <v>2</v>
      </c>
      <c r="H204" s="79">
        <f t="shared" si="1"/>
        <v>3</v>
      </c>
      <c r="I204" s="79">
        <f>COUNTIFS(Matches!$B:$B,$A204,Matches!$A:$A,CONCAT("&lt;",$E204))</f>
        <v>1</v>
      </c>
      <c r="J204" s="79">
        <f>COUNTIFS(Matches!$C:$C,$A204,Matches!$A:$A,CONCAT("&lt;",$E204))</f>
        <v>2</v>
      </c>
      <c r="K204" s="79">
        <f>COUNTIFS(Entropy!D:D,A204,Entropy!I:I,CONCAT("&lt;",E204-1))</f>
        <v>0</v>
      </c>
      <c r="L204" s="79">
        <f t="shared" si="2"/>
        <v>3</v>
      </c>
      <c r="M204" s="79">
        <f t="array" ref="M204">max(min(IF(J204+K204=11,0,XLOOKUP(B204,Quotas!$A$8:$A$14,Quotas!$E$8:$E$14)-$L204),2),0)</f>
        <v>2</v>
      </c>
      <c r="N204" s="31">
        <f t="shared" si="3"/>
        <v>1</v>
      </c>
    </row>
    <row r="205">
      <c r="A205" s="31" t="s">
        <v>300</v>
      </c>
      <c r="B205" s="9">
        <v>1.0</v>
      </c>
      <c r="C205" s="31" t="str">
        <f>VLOOKUP(A205, 'College List'!A:B, 2, FALSE)</f>
        <v>Prismari</v>
      </c>
      <c r="D205" s="355">
        <f>VLOOKUP(B205,Quotas!$A$8:$C$14,2,FALSE)</f>
        <v>46136.70833</v>
      </c>
      <c r="E205" s="356">
        <f>VLOOKUP(B205,Quotas!$A$8:$C$14,3,FALSE)</f>
        <v>46143.70833</v>
      </c>
      <c r="F205" s="79">
        <f>COUNTIFS(Matches!$B:$B,A205,Matches!$A:$A,CONCAT("&gt;",$D205),Matches!$A:$A,CONCAT("&lt;",$E205))</f>
        <v>1</v>
      </c>
      <c r="G205" s="79">
        <f>COUNTIFS(Matches!$C:$C,$A205,Matches!$A:$A,CONCAT("&gt;",$D205),Matches!$A:$A,CONCAT("&lt;",$E205))</f>
        <v>3</v>
      </c>
      <c r="H205" s="79">
        <f t="shared" si="1"/>
        <v>4</v>
      </c>
      <c r="I205" s="79">
        <f>COUNTIFS(Matches!$B:$B,$A205,Matches!$A:$A,CONCAT("&lt;",$E205))</f>
        <v>1</v>
      </c>
      <c r="J205" s="79">
        <f>COUNTIFS(Matches!$C:$C,$A205,Matches!$A:$A,CONCAT("&lt;",$E205))</f>
        <v>3</v>
      </c>
      <c r="K205" s="79">
        <f>COUNTIFS(Entropy!D:D,A205,Entropy!I:I,CONCAT("&lt;",E205-1))</f>
        <v>0</v>
      </c>
      <c r="L205" s="79">
        <f t="shared" si="2"/>
        <v>4</v>
      </c>
      <c r="M205" s="79">
        <f t="array" ref="M205">max(min(IF(J205+K205=11,0,XLOOKUP(B205,Quotas!$A$8:$A$14,Quotas!$E$8:$E$14)-$L205),2),0)</f>
        <v>1</v>
      </c>
      <c r="N205" s="31">
        <f t="shared" si="3"/>
        <v>0.5</v>
      </c>
    </row>
    <row r="206">
      <c r="A206" s="31" t="s">
        <v>287</v>
      </c>
      <c r="B206" s="9">
        <v>1.0</v>
      </c>
      <c r="C206" s="31" t="str">
        <f>VLOOKUP(A206, 'College List'!A:B, 2, FALSE)</f>
        <v>Silverquill</v>
      </c>
      <c r="D206" s="355">
        <f>VLOOKUP(B206,Quotas!$A$8:$C$14,2,FALSE)</f>
        <v>46136.70833</v>
      </c>
      <c r="E206" s="356">
        <f>VLOOKUP(B206,Quotas!$A$8:$C$14,3,FALSE)</f>
        <v>46143.70833</v>
      </c>
      <c r="F206" s="79">
        <f>COUNTIFS(Matches!$B:$B,A206,Matches!$A:$A,CONCAT("&gt;",$D206),Matches!$A:$A,CONCAT("&lt;",$E206))</f>
        <v>4</v>
      </c>
      <c r="G206" s="79">
        <f>COUNTIFS(Matches!$C:$C,$A206,Matches!$A:$A,CONCAT("&gt;",$D206),Matches!$A:$A,CONCAT("&lt;",$E206))</f>
        <v>1</v>
      </c>
      <c r="H206" s="79">
        <f t="shared" si="1"/>
        <v>5</v>
      </c>
      <c r="I206" s="79">
        <f>COUNTIFS(Matches!$B:$B,$A206,Matches!$A:$A,CONCAT("&lt;",$E206))</f>
        <v>4</v>
      </c>
      <c r="J206" s="79">
        <f>COUNTIFS(Matches!$C:$C,$A206,Matches!$A:$A,CONCAT("&lt;",$E206))</f>
        <v>1</v>
      </c>
      <c r="K206" s="79">
        <f>COUNTIFS(Entropy!D:D,A206,Entropy!I:I,CONCAT("&lt;",E206-1))</f>
        <v>0</v>
      </c>
      <c r="L206" s="79">
        <f t="shared" si="2"/>
        <v>5</v>
      </c>
      <c r="M206" s="79">
        <f t="array" ref="M206">max(min(IF(J206+K206=11,0,XLOOKUP(B206,Quotas!$A$8:$A$14,Quotas!$E$8:$E$14)-$L206),2),0)</f>
        <v>0</v>
      </c>
      <c r="N206" s="31">
        <f t="shared" si="3"/>
        <v>0</v>
      </c>
    </row>
    <row r="207">
      <c r="A207" s="31" t="s">
        <v>254</v>
      </c>
      <c r="B207" s="9">
        <v>1.0</v>
      </c>
      <c r="C207" s="31" t="str">
        <f>VLOOKUP(A207, 'College List'!A:B, 2, FALSE)</f>
        <v>Prismari</v>
      </c>
      <c r="D207" s="355">
        <f>VLOOKUP(B207,Quotas!$A$8:$C$14,2,FALSE)</f>
        <v>46136.70833</v>
      </c>
      <c r="E207" s="356">
        <f>VLOOKUP(B207,Quotas!$A$8:$C$14,3,FALSE)</f>
        <v>46143.70833</v>
      </c>
      <c r="F207" s="79">
        <f>COUNTIFS(Matches!$B:$B,A207,Matches!$A:$A,CONCAT("&gt;",$D207),Matches!$A:$A,CONCAT("&lt;",$E207))</f>
        <v>5</v>
      </c>
      <c r="G207" s="79">
        <f>COUNTIFS(Matches!$C:$C,$A207,Matches!$A:$A,CONCAT("&gt;",$D207),Matches!$A:$A,CONCAT("&lt;",$E207))</f>
        <v>0</v>
      </c>
      <c r="H207" s="79">
        <f t="shared" si="1"/>
        <v>5</v>
      </c>
      <c r="I207" s="79">
        <f>COUNTIFS(Matches!$B:$B,$A207,Matches!$A:$A,CONCAT("&lt;",$E207))</f>
        <v>5</v>
      </c>
      <c r="J207" s="79">
        <f>COUNTIFS(Matches!$C:$C,$A207,Matches!$A:$A,CONCAT("&lt;",$E207))</f>
        <v>0</v>
      </c>
      <c r="K207" s="79">
        <f>COUNTIFS(Entropy!D:D,A207,Entropy!I:I,CONCAT("&lt;",E207-1))</f>
        <v>0</v>
      </c>
      <c r="L207" s="79">
        <f t="shared" si="2"/>
        <v>5</v>
      </c>
      <c r="M207" s="79">
        <f t="array" ref="M207">max(min(IF(J207+K207=11,0,XLOOKUP(B207,Quotas!$A$8:$A$14,Quotas!$E$8:$E$14)-$L207),2),0)</f>
        <v>0</v>
      </c>
      <c r="N207" s="31">
        <f t="shared" si="3"/>
        <v>0</v>
      </c>
    </row>
    <row r="208">
      <c r="A208" s="31" t="s">
        <v>337</v>
      </c>
      <c r="B208" s="9">
        <v>1.0</v>
      </c>
      <c r="C208" s="31" t="str">
        <f>VLOOKUP(A208, 'College List'!A:B, 2, FALSE)</f>
        <v>Lorehold</v>
      </c>
      <c r="D208" s="355">
        <f>VLOOKUP(B208,Quotas!$A$8:$C$14,2,FALSE)</f>
        <v>46136.70833</v>
      </c>
      <c r="E208" s="356">
        <f>VLOOKUP(B208,Quotas!$A$8:$C$14,3,FALSE)</f>
        <v>46143.70833</v>
      </c>
      <c r="F208" s="79">
        <f>COUNTIFS(Matches!$B:$B,A208,Matches!$A:$A,CONCAT("&gt;",$D208),Matches!$A:$A,CONCAT("&lt;",$E208))</f>
        <v>1</v>
      </c>
      <c r="G208" s="79">
        <f>COUNTIFS(Matches!$C:$C,$A208,Matches!$A:$A,CONCAT("&gt;",$D208),Matches!$A:$A,CONCAT("&lt;",$E208))</f>
        <v>4</v>
      </c>
      <c r="H208" s="79">
        <f t="shared" si="1"/>
        <v>5</v>
      </c>
      <c r="I208" s="79">
        <f>COUNTIFS(Matches!$B:$B,$A208,Matches!$A:$A,CONCAT("&lt;",$E208))</f>
        <v>1</v>
      </c>
      <c r="J208" s="79">
        <f>COUNTIFS(Matches!$C:$C,$A208,Matches!$A:$A,CONCAT("&lt;",$E208))</f>
        <v>4</v>
      </c>
      <c r="K208" s="79">
        <f>COUNTIFS(Entropy!D:D,A208,Entropy!I:I,CONCAT("&lt;",E208-1))</f>
        <v>0</v>
      </c>
      <c r="L208" s="79">
        <f t="shared" si="2"/>
        <v>5</v>
      </c>
      <c r="M208" s="79">
        <f t="array" ref="M208">max(min(IF(J208+K208=11,0,XLOOKUP(B208,Quotas!$A$8:$A$14,Quotas!$E$8:$E$14)-$L208),2),0)</f>
        <v>0</v>
      </c>
      <c r="N208" s="31">
        <f t="shared" si="3"/>
        <v>0</v>
      </c>
    </row>
    <row r="209">
      <c r="A209" s="31" t="s">
        <v>374</v>
      </c>
      <c r="B209" s="9">
        <v>1.0</v>
      </c>
      <c r="C209" s="31" t="str">
        <f>VLOOKUP(A209, 'College List'!A:B, 2, FALSE)</f>
        <v>Prismari</v>
      </c>
      <c r="D209" s="355">
        <f>VLOOKUP(B209,Quotas!$A$8:$C$14,2,FALSE)</f>
        <v>46136.70833</v>
      </c>
      <c r="E209" s="356">
        <f>VLOOKUP(B209,Quotas!$A$8:$C$14,3,FALSE)</f>
        <v>46143.70833</v>
      </c>
      <c r="F209" s="79">
        <f>COUNTIFS(Matches!$B:$B,A209,Matches!$A:$A,CONCAT("&gt;",$D209),Matches!$A:$A,CONCAT("&lt;",$E209))</f>
        <v>0</v>
      </c>
      <c r="G209" s="79">
        <f>COUNTIFS(Matches!$C:$C,$A209,Matches!$A:$A,CONCAT("&gt;",$D209),Matches!$A:$A,CONCAT("&lt;",$E209))</f>
        <v>3</v>
      </c>
      <c r="H209" s="79">
        <f t="shared" si="1"/>
        <v>3</v>
      </c>
      <c r="I209" s="79">
        <f>COUNTIFS(Matches!$B:$B,$A209,Matches!$A:$A,CONCAT("&lt;",$E209))</f>
        <v>0</v>
      </c>
      <c r="J209" s="79">
        <f>COUNTIFS(Matches!$C:$C,$A209,Matches!$A:$A,CONCAT("&lt;",$E209))</f>
        <v>3</v>
      </c>
      <c r="K209" s="79">
        <f>COUNTIFS(Entropy!D:D,A209,Entropy!I:I,CONCAT("&lt;",E209-1))</f>
        <v>0</v>
      </c>
      <c r="L209" s="79">
        <f t="shared" si="2"/>
        <v>3</v>
      </c>
      <c r="M209" s="79">
        <f t="array" ref="M209">max(min(IF(J209+K209=11,0,XLOOKUP(B209,Quotas!$A$8:$A$14,Quotas!$E$8:$E$14)-$L209),2),0)</f>
        <v>2</v>
      </c>
      <c r="N209" s="31">
        <f t="shared" si="3"/>
        <v>1</v>
      </c>
    </row>
    <row r="210">
      <c r="A210" s="31" t="s">
        <v>318</v>
      </c>
      <c r="B210" s="9">
        <v>1.0</v>
      </c>
      <c r="C210" s="31" t="str">
        <f>VLOOKUP(A210, 'College List'!A:B, 2, FALSE)</f>
        <v>Quandrix</v>
      </c>
      <c r="D210" s="355">
        <f>VLOOKUP(B210,Quotas!$A$8:$C$14,2,FALSE)</f>
        <v>46136.70833</v>
      </c>
      <c r="E210" s="356">
        <f>VLOOKUP(B210,Quotas!$A$8:$C$14,3,FALSE)</f>
        <v>46143.70833</v>
      </c>
      <c r="F210" s="79">
        <f>COUNTIFS(Matches!$B:$B,A210,Matches!$A:$A,CONCAT("&gt;",$D210),Matches!$A:$A,CONCAT("&lt;",$E210))</f>
        <v>2</v>
      </c>
      <c r="G210" s="79">
        <f>COUNTIFS(Matches!$C:$C,$A210,Matches!$A:$A,CONCAT("&gt;",$D210),Matches!$A:$A,CONCAT("&lt;",$E210))</f>
        <v>3</v>
      </c>
      <c r="H210" s="79">
        <f t="shared" si="1"/>
        <v>5</v>
      </c>
      <c r="I210" s="79">
        <f>COUNTIFS(Matches!$B:$B,$A210,Matches!$A:$A,CONCAT("&lt;",$E210))</f>
        <v>2</v>
      </c>
      <c r="J210" s="79">
        <f>COUNTIFS(Matches!$C:$C,$A210,Matches!$A:$A,CONCAT("&lt;",$E210))</f>
        <v>3</v>
      </c>
      <c r="K210" s="79">
        <f>COUNTIFS(Entropy!D:D,A210,Entropy!I:I,CONCAT("&lt;",E210-1))</f>
        <v>0</v>
      </c>
      <c r="L210" s="79">
        <f t="shared" si="2"/>
        <v>5</v>
      </c>
      <c r="M210" s="79">
        <f t="array" ref="M210">max(min(IF(J210+K210=11,0,XLOOKUP(B210,Quotas!$A$8:$A$14,Quotas!$E$8:$E$14)-$L210),2),0)</f>
        <v>0</v>
      </c>
      <c r="N210" s="31">
        <f t="shared" si="3"/>
        <v>0</v>
      </c>
    </row>
    <row r="211">
      <c r="A211" s="31" t="s">
        <v>259</v>
      </c>
      <c r="B211" s="9">
        <v>1.0</v>
      </c>
      <c r="C211" s="31" t="str">
        <f>VLOOKUP(A211, 'College List'!A:B, 2, FALSE)</f>
        <v>Lorehold</v>
      </c>
      <c r="D211" s="355">
        <f>VLOOKUP(B211,Quotas!$A$8:$C$14,2,FALSE)</f>
        <v>46136.70833</v>
      </c>
      <c r="E211" s="356">
        <f>VLOOKUP(B211,Quotas!$A$8:$C$14,3,FALSE)</f>
        <v>46143.70833</v>
      </c>
      <c r="F211" s="79">
        <f>COUNTIFS(Matches!$B:$B,A211,Matches!$A:$A,CONCAT("&gt;",$D211),Matches!$A:$A,CONCAT("&lt;",$E211))</f>
        <v>3</v>
      </c>
      <c r="G211" s="79">
        <f>COUNTIFS(Matches!$C:$C,$A211,Matches!$A:$A,CONCAT("&gt;",$D211),Matches!$A:$A,CONCAT("&lt;",$E211))</f>
        <v>2</v>
      </c>
      <c r="H211" s="79">
        <f t="shared" si="1"/>
        <v>5</v>
      </c>
      <c r="I211" s="79">
        <f>COUNTIFS(Matches!$B:$B,$A211,Matches!$A:$A,CONCAT("&lt;",$E211))</f>
        <v>3</v>
      </c>
      <c r="J211" s="79">
        <f>COUNTIFS(Matches!$C:$C,$A211,Matches!$A:$A,CONCAT("&lt;",$E211))</f>
        <v>2</v>
      </c>
      <c r="K211" s="79">
        <f>COUNTIFS(Entropy!D:D,A211,Entropy!I:I,CONCAT("&lt;",E211-1))</f>
        <v>0</v>
      </c>
      <c r="L211" s="79">
        <f t="shared" si="2"/>
        <v>5</v>
      </c>
      <c r="M211" s="79">
        <f t="array" ref="M211">max(min(IF(J211+K211=11,0,XLOOKUP(B211,Quotas!$A$8:$A$14,Quotas!$E$8:$E$14)-$L211),2),0)</f>
        <v>0</v>
      </c>
      <c r="N211" s="31">
        <f t="shared" si="3"/>
        <v>0</v>
      </c>
    </row>
    <row r="212">
      <c r="A212" s="31" t="s">
        <v>280</v>
      </c>
      <c r="B212" s="9">
        <v>1.0</v>
      </c>
      <c r="C212" s="31" t="str">
        <f>VLOOKUP(A212, 'College List'!A:B, 2, FALSE)</f>
        <v>Lorehold</v>
      </c>
      <c r="D212" s="355">
        <f>VLOOKUP(B212,Quotas!$A$8:$C$14,2,FALSE)</f>
        <v>46136.70833</v>
      </c>
      <c r="E212" s="356">
        <f>VLOOKUP(B212,Quotas!$A$8:$C$14,3,FALSE)</f>
        <v>46143.70833</v>
      </c>
      <c r="F212" s="79">
        <f>COUNTIFS(Matches!$B:$B,A212,Matches!$A:$A,CONCAT("&gt;",$D212),Matches!$A:$A,CONCAT("&lt;",$E212))</f>
        <v>3</v>
      </c>
      <c r="G212" s="79">
        <f>COUNTIFS(Matches!$C:$C,$A212,Matches!$A:$A,CONCAT("&gt;",$D212),Matches!$A:$A,CONCAT("&lt;",$E212))</f>
        <v>2</v>
      </c>
      <c r="H212" s="79">
        <f t="shared" si="1"/>
        <v>5</v>
      </c>
      <c r="I212" s="79">
        <f>COUNTIFS(Matches!$B:$B,$A212,Matches!$A:$A,CONCAT("&lt;",$E212))</f>
        <v>3</v>
      </c>
      <c r="J212" s="79">
        <f>COUNTIFS(Matches!$C:$C,$A212,Matches!$A:$A,CONCAT("&lt;",$E212))</f>
        <v>2</v>
      </c>
      <c r="K212" s="79">
        <f>COUNTIFS(Entropy!D:D,A212,Entropy!I:I,CONCAT("&lt;",E212-1))</f>
        <v>0</v>
      </c>
      <c r="L212" s="79">
        <f t="shared" si="2"/>
        <v>5</v>
      </c>
      <c r="M212" s="79">
        <f t="array" ref="M212">max(min(IF(J212+K212=11,0,XLOOKUP(B212,Quotas!$A$8:$A$14,Quotas!$E$8:$E$14)-$L212),2),0)</f>
        <v>0</v>
      </c>
      <c r="N212" s="31">
        <f t="shared" si="3"/>
        <v>0</v>
      </c>
    </row>
    <row r="213">
      <c r="A213" s="31" t="s">
        <v>183</v>
      </c>
      <c r="B213" s="9">
        <v>1.0</v>
      </c>
      <c r="C213" s="31" t="str">
        <f>VLOOKUP(A213, 'College List'!A:B, 2, FALSE)</f>
        <v>Prismari</v>
      </c>
      <c r="D213" s="355">
        <f>VLOOKUP(B213,Quotas!$A$8:$C$14,2,FALSE)</f>
        <v>46136.70833</v>
      </c>
      <c r="E213" s="356">
        <f>VLOOKUP(B213,Quotas!$A$8:$C$14,3,FALSE)</f>
        <v>46143.70833</v>
      </c>
      <c r="F213" s="79">
        <f>COUNTIFS(Matches!$B:$B,A213,Matches!$A:$A,CONCAT("&gt;",$D213),Matches!$A:$A,CONCAT("&lt;",$E213))</f>
        <v>3</v>
      </c>
      <c r="G213" s="79">
        <f>COUNTIFS(Matches!$C:$C,$A213,Matches!$A:$A,CONCAT("&gt;",$D213),Matches!$A:$A,CONCAT("&lt;",$E213))</f>
        <v>2</v>
      </c>
      <c r="H213" s="79">
        <f t="shared" si="1"/>
        <v>5</v>
      </c>
      <c r="I213" s="79">
        <f>COUNTIFS(Matches!$B:$B,$A213,Matches!$A:$A,CONCAT("&lt;",$E213))</f>
        <v>3</v>
      </c>
      <c r="J213" s="79">
        <f>COUNTIFS(Matches!$C:$C,$A213,Matches!$A:$A,CONCAT("&lt;",$E213))</f>
        <v>2</v>
      </c>
      <c r="K213" s="79">
        <f>COUNTIFS(Entropy!D:D,A213,Entropy!I:I,CONCAT("&lt;",E213-1))</f>
        <v>0</v>
      </c>
      <c r="L213" s="79">
        <f t="shared" si="2"/>
        <v>5</v>
      </c>
      <c r="M213" s="79">
        <f t="array" ref="M213">max(min(IF(J213+K213=11,0,XLOOKUP(B213,Quotas!$A$8:$A$14,Quotas!$E$8:$E$14)-$L213),2),0)</f>
        <v>0</v>
      </c>
      <c r="N213" s="31">
        <f t="shared" si="3"/>
        <v>0</v>
      </c>
    </row>
    <row r="214">
      <c r="A214" s="31" t="s">
        <v>639</v>
      </c>
      <c r="B214" s="9">
        <v>1.0</v>
      </c>
      <c r="C214" s="31" t="str">
        <f>VLOOKUP(A214, 'College List'!A:B, 2, FALSE)</f>
        <v>Silverquill</v>
      </c>
      <c r="D214" s="355">
        <f>VLOOKUP(B214,Quotas!$A$8:$C$14,2,FALSE)</f>
        <v>46136.70833</v>
      </c>
      <c r="E214" s="356">
        <f>VLOOKUP(B214,Quotas!$A$8:$C$14,3,FALSE)</f>
        <v>46143.70833</v>
      </c>
      <c r="F214" s="79">
        <f>COUNTIFS(Matches!$B:$B,A214,Matches!$A:$A,CONCAT("&gt;",$D214),Matches!$A:$A,CONCAT("&lt;",$E214))</f>
        <v>0</v>
      </c>
      <c r="G214" s="79">
        <f>COUNTIFS(Matches!$C:$C,$A214,Matches!$A:$A,CONCAT("&gt;",$D214),Matches!$A:$A,CONCAT("&lt;",$E214))</f>
        <v>0</v>
      </c>
      <c r="H214" s="79">
        <f t="shared" si="1"/>
        <v>0</v>
      </c>
      <c r="I214" s="79">
        <f>COUNTIFS(Matches!$B:$B,$A214,Matches!$A:$A,CONCAT("&lt;",$E214))</f>
        <v>0</v>
      </c>
      <c r="J214" s="79">
        <f>COUNTIFS(Matches!$C:$C,$A214,Matches!$A:$A,CONCAT("&lt;",$E214))</f>
        <v>0</v>
      </c>
      <c r="K214" s="79">
        <f>COUNTIFS(Entropy!D:D,A214,Entropy!I:I,CONCAT("&lt;",E214-1))</f>
        <v>0</v>
      </c>
      <c r="L214" s="79">
        <f t="shared" si="2"/>
        <v>0</v>
      </c>
      <c r="M214" s="79">
        <f t="array" ref="M214">max(min(IF(J214+K214=11,0,XLOOKUP(B214,Quotas!$A$8:$A$14,Quotas!$E$8:$E$14)-$L214),2),0)</f>
        <v>2</v>
      </c>
      <c r="N214" s="31">
        <f t="shared" si="3"/>
        <v>0</v>
      </c>
    </row>
    <row r="215">
      <c r="A215" s="31" t="s">
        <v>152</v>
      </c>
      <c r="B215" s="9">
        <v>1.0</v>
      </c>
      <c r="C215" s="31" t="str">
        <f>VLOOKUP(A215, 'College List'!A:B, 2, FALSE)</f>
        <v>Quandrix</v>
      </c>
      <c r="D215" s="355">
        <f>VLOOKUP(B215,Quotas!$A$8:$C$14,2,FALSE)</f>
        <v>46136.70833</v>
      </c>
      <c r="E215" s="356">
        <f>VLOOKUP(B215,Quotas!$A$8:$C$14,3,FALSE)</f>
        <v>46143.70833</v>
      </c>
      <c r="F215" s="79">
        <f>COUNTIFS(Matches!$B:$B,A215,Matches!$A:$A,CONCAT("&gt;",$D215),Matches!$A:$A,CONCAT("&lt;",$E215))</f>
        <v>1</v>
      </c>
      <c r="G215" s="79">
        <f>COUNTIFS(Matches!$C:$C,$A215,Matches!$A:$A,CONCAT("&gt;",$D215),Matches!$A:$A,CONCAT("&lt;",$E215))</f>
        <v>4</v>
      </c>
      <c r="H215" s="79">
        <f t="shared" si="1"/>
        <v>5</v>
      </c>
      <c r="I215" s="79">
        <f>COUNTIFS(Matches!$B:$B,$A215,Matches!$A:$A,CONCAT("&lt;",$E215))</f>
        <v>1</v>
      </c>
      <c r="J215" s="79">
        <f>COUNTIFS(Matches!$C:$C,$A215,Matches!$A:$A,CONCAT("&lt;",$E215))</f>
        <v>4</v>
      </c>
      <c r="K215" s="79">
        <f>COUNTIFS(Entropy!D:D,A215,Entropy!I:I,CONCAT("&lt;",E215-1))</f>
        <v>0</v>
      </c>
      <c r="L215" s="79">
        <f t="shared" si="2"/>
        <v>5</v>
      </c>
      <c r="M215" s="79">
        <f t="array" ref="M215">max(min(IF(J215+K215=11,0,XLOOKUP(B215,Quotas!$A$8:$A$14,Quotas!$E$8:$E$14)-$L215),2),0)</f>
        <v>0</v>
      </c>
      <c r="N215" s="31">
        <f t="shared" si="3"/>
        <v>0</v>
      </c>
    </row>
    <row r="216">
      <c r="A216" s="31" t="s">
        <v>218</v>
      </c>
      <c r="B216" s="9">
        <v>1.0</v>
      </c>
      <c r="C216" s="31" t="str">
        <f>VLOOKUP(A216, 'College List'!A:B, 2, FALSE)</f>
        <v>Silverquill</v>
      </c>
      <c r="D216" s="355">
        <f>VLOOKUP(B216,Quotas!$A$8:$C$14,2,FALSE)</f>
        <v>46136.70833</v>
      </c>
      <c r="E216" s="356">
        <f>VLOOKUP(B216,Quotas!$A$8:$C$14,3,FALSE)</f>
        <v>46143.70833</v>
      </c>
      <c r="F216" s="79">
        <f>COUNTIFS(Matches!$B:$B,A216,Matches!$A:$A,CONCAT("&gt;",$D216),Matches!$A:$A,CONCAT("&lt;",$E216))</f>
        <v>5</v>
      </c>
      <c r="G216" s="79">
        <f>COUNTIFS(Matches!$C:$C,$A216,Matches!$A:$A,CONCAT("&gt;",$D216),Matches!$A:$A,CONCAT("&lt;",$E216))</f>
        <v>0</v>
      </c>
      <c r="H216" s="79">
        <f t="shared" si="1"/>
        <v>5</v>
      </c>
      <c r="I216" s="79">
        <f>COUNTIFS(Matches!$B:$B,$A216,Matches!$A:$A,CONCAT("&lt;",$E216))</f>
        <v>5</v>
      </c>
      <c r="J216" s="79">
        <f>COUNTIFS(Matches!$C:$C,$A216,Matches!$A:$A,CONCAT("&lt;",$E216))</f>
        <v>0</v>
      </c>
      <c r="K216" s="79">
        <f>COUNTIFS(Entropy!D:D,A216,Entropy!I:I,CONCAT("&lt;",E216-1))</f>
        <v>0</v>
      </c>
      <c r="L216" s="79">
        <f t="shared" si="2"/>
        <v>5</v>
      </c>
      <c r="M216" s="79">
        <f t="array" ref="M216">max(min(IF(J216+K216=11,0,XLOOKUP(B216,Quotas!$A$8:$A$14,Quotas!$E$8:$E$14)-$L216),2),0)</f>
        <v>0</v>
      </c>
      <c r="N216" s="31">
        <f t="shared" si="3"/>
        <v>0</v>
      </c>
    </row>
    <row r="217">
      <c r="A217" s="31" t="s">
        <v>76</v>
      </c>
      <c r="B217" s="9">
        <v>1.0</v>
      </c>
      <c r="C217" s="31" t="str">
        <f>VLOOKUP(A217, 'College List'!A:B, 2, FALSE)</f>
        <v>Prismari</v>
      </c>
      <c r="D217" s="355">
        <f>VLOOKUP(B217,Quotas!$A$8:$C$14,2,FALSE)</f>
        <v>46136.70833</v>
      </c>
      <c r="E217" s="356">
        <f>VLOOKUP(B217,Quotas!$A$8:$C$14,3,FALSE)</f>
        <v>46143.70833</v>
      </c>
      <c r="F217" s="79">
        <f>COUNTIFS(Matches!$B:$B,A217,Matches!$A:$A,CONCAT("&gt;",$D217),Matches!$A:$A,CONCAT("&lt;",$E217))</f>
        <v>3</v>
      </c>
      <c r="G217" s="79">
        <f>COUNTIFS(Matches!$C:$C,$A217,Matches!$A:$A,CONCAT("&gt;",$D217),Matches!$A:$A,CONCAT("&lt;",$E217))</f>
        <v>2</v>
      </c>
      <c r="H217" s="79">
        <f t="shared" si="1"/>
        <v>5</v>
      </c>
      <c r="I217" s="79">
        <f>COUNTIFS(Matches!$B:$B,$A217,Matches!$A:$A,CONCAT("&lt;",$E217))</f>
        <v>3</v>
      </c>
      <c r="J217" s="79">
        <f>COUNTIFS(Matches!$C:$C,$A217,Matches!$A:$A,CONCAT("&lt;",$E217))</f>
        <v>2</v>
      </c>
      <c r="K217" s="79">
        <f>COUNTIFS(Entropy!D:D,A217,Entropy!I:I,CONCAT("&lt;",E217-1))</f>
        <v>0</v>
      </c>
      <c r="L217" s="79">
        <f t="shared" si="2"/>
        <v>5</v>
      </c>
      <c r="M217" s="79">
        <f t="array" ref="M217">max(min(IF(J217+K217=11,0,XLOOKUP(B217,Quotas!$A$8:$A$14,Quotas!$E$8:$E$14)-$L217),2),0)</f>
        <v>0</v>
      </c>
      <c r="N217" s="31">
        <f t="shared" si="3"/>
        <v>0</v>
      </c>
    </row>
    <row r="218">
      <c r="A218" s="31" t="s">
        <v>173</v>
      </c>
      <c r="B218" s="9">
        <v>1.0</v>
      </c>
      <c r="C218" s="31" t="str">
        <f>VLOOKUP(A218, 'College List'!A:B, 2, FALSE)</f>
        <v>Witherbloom</v>
      </c>
      <c r="D218" s="355">
        <f>VLOOKUP(B218,Quotas!$A$8:$C$14,2,FALSE)</f>
        <v>46136.70833</v>
      </c>
      <c r="E218" s="356">
        <f>VLOOKUP(B218,Quotas!$A$8:$C$14,3,FALSE)</f>
        <v>46143.70833</v>
      </c>
      <c r="F218" s="79">
        <f>COUNTIFS(Matches!$B:$B,A218,Matches!$A:$A,CONCAT("&gt;",$D218),Matches!$A:$A,CONCAT("&lt;",$E218))</f>
        <v>1</v>
      </c>
      <c r="G218" s="79">
        <f>COUNTIFS(Matches!$C:$C,$A218,Matches!$A:$A,CONCAT("&gt;",$D218),Matches!$A:$A,CONCAT("&lt;",$E218))</f>
        <v>4</v>
      </c>
      <c r="H218" s="79">
        <f t="shared" si="1"/>
        <v>5</v>
      </c>
      <c r="I218" s="79">
        <f>COUNTIFS(Matches!$B:$B,$A218,Matches!$A:$A,CONCAT("&lt;",$E218))</f>
        <v>1</v>
      </c>
      <c r="J218" s="79">
        <f>COUNTIFS(Matches!$C:$C,$A218,Matches!$A:$A,CONCAT("&lt;",$E218))</f>
        <v>4</v>
      </c>
      <c r="K218" s="79">
        <f>COUNTIFS(Entropy!D:D,A218,Entropy!I:I,CONCAT("&lt;",E218-1))</f>
        <v>0</v>
      </c>
      <c r="L218" s="79">
        <f t="shared" si="2"/>
        <v>5</v>
      </c>
      <c r="M218" s="79">
        <f t="array" ref="M218">max(min(IF(J218+K218=11,0,XLOOKUP(B218,Quotas!$A$8:$A$14,Quotas!$E$8:$E$14)-$L218),2),0)</f>
        <v>0</v>
      </c>
      <c r="N218" s="31">
        <f t="shared" si="3"/>
        <v>0</v>
      </c>
    </row>
    <row r="219">
      <c r="A219" s="31" t="s">
        <v>224</v>
      </c>
      <c r="B219" s="9">
        <v>1.0</v>
      </c>
      <c r="C219" s="31" t="str">
        <f>VLOOKUP(A219, 'College List'!A:B, 2, FALSE)</f>
        <v>Lorehold</v>
      </c>
      <c r="D219" s="355">
        <f>VLOOKUP(B219,Quotas!$A$8:$C$14,2,FALSE)</f>
        <v>46136.70833</v>
      </c>
      <c r="E219" s="356">
        <f>VLOOKUP(B219,Quotas!$A$8:$C$14,3,FALSE)</f>
        <v>46143.70833</v>
      </c>
      <c r="F219" s="79">
        <f>COUNTIFS(Matches!$B:$B,A219,Matches!$A:$A,CONCAT("&gt;",$D219),Matches!$A:$A,CONCAT("&lt;",$E219))</f>
        <v>1</v>
      </c>
      <c r="G219" s="79">
        <f>COUNTIFS(Matches!$C:$C,$A219,Matches!$A:$A,CONCAT("&gt;",$D219),Matches!$A:$A,CONCAT("&lt;",$E219))</f>
        <v>4</v>
      </c>
      <c r="H219" s="79">
        <f t="shared" si="1"/>
        <v>5</v>
      </c>
      <c r="I219" s="79">
        <f>COUNTIFS(Matches!$B:$B,$A219,Matches!$A:$A,CONCAT("&lt;",$E219))</f>
        <v>1</v>
      </c>
      <c r="J219" s="79">
        <f>COUNTIFS(Matches!$C:$C,$A219,Matches!$A:$A,CONCAT("&lt;",$E219))</f>
        <v>4</v>
      </c>
      <c r="K219" s="79">
        <f>COUNTIFS(Entropy!D:D,A219,Entropy!I:I,CONCAT("&lt;",E219-1))</f>
        <v>0</v>
      </c>
      <c r="L219" s="79">
        <f t="shared" si="2"/>
        <v>5</v>
      </c>
      <c r="M219" s="79">
        <f t="array" ref="M219">max(min(IF(J219+K219=11,0,XLOOKUP(B219,Quotas!$A$8:$A$14,Quotas!$E$8:$E$14)-$L219),2),0)</f>
        <v>0</v>
      </c>
      <c r="N219" s="31">
        <f t="shared" si="3"/>
        <v>0</v>
      </c>
    </row>
    <row r="220">
      <c r="A220" s="31" t="s">
        <v>340</v>
      </c>
      <c r="B220" s="9">
        <v>1.0</v>
      </c>
      <c r="C220" s="31" t="str">
        <f>VLOOKUP(A220, 'College List'!A:B, 2, FALSE)</f>
        <v>Witherbloom</v>
      </c>
      <c r="D220" s="355">
        <f>VLOOKUP(B220,Quotas!$A$8:$C$14,2,FALSE)</f>
        <v>46136.70833</v>
      </c>
      <c r="E220" s="356">
        <f>VLOOKUP(B220,Quotas!$A$8:$C$14,3,FALSE)</f>
        <v>46143.70833</v>
      </c>
      <c r="F220" s="79">
        <f>COUNTIFS(Matches!$B:$B,A220,Matches!$A:$A,CONCAT("&gt;",$D220),Matches!$A:$A,CONCAT("&lt;",$E220))</f>
        <v>2</v>
      </c>
      <c r="G220" s="79">
        <f>COUNTIFS(Matches!$C:$C,$A220,Matches!$A:$A,CONCAT("&gt;",$D220),Matches!$A:$A,CONCAT("&lt;",$E220))</f>
        <v>3</v>
      </c>
      <c r="H220" s="79">
        <f t="shared" si="1"/>
        <v>5</v>
      </c>
      <c r="I220" s="79">
        <f>COUNTIFS(Matches!$B:$B,$A220,Matches!$A:$A,CONCAT("&lt;",$E220))</f>
        <v>2</v>
      </c>
      <c r="J220" s="79">
        <f>COUNTIFS(Matches!$C:$C,$A220,Matches!$A:$A,CONCAT("&lt;",$E220))</f>
        <v>3</v>
      </c>
      <c r="K220" s="79">
        <f>COUNTIFS(Entropy!D:D,A220,Entropy!I:I,CONCAT("&lt;",E220-1))</f>
        <v>0</v>
      </c>
      <c r="L220" s="79">
        <f t="shared" si="2"/>
        <v>5</v>
      </c>
      <c r="M220" s="79">
        <f t="array" ref="M220">max(min(IF(J220+K220=11,0,XLOOKUP(B220,Quotas!$A$8:$A$14,Quotas!$E$8:$E$14)-$L220),2),0)</f>
        <v>0</v>
      </c>
      <c r="N220" s="31">
        <f t="shared" si="3"/>
        <v>0</v>
      </c>
    </row>
    <row r="221">
      <c r="A221" s="31" t="s">
        <v>472</v>
      </c>
      <c r="B221" s="9">
        <v>1.0</v>
      </c>
      <c r="C221" s="31" t="str">
        <f>VLOOKUP(A221, 'College List'!A:B, 2, FALSE)</f>
        <v>Prismari</v>
      </c>
      <c r="D221" s="355">
        <f>VLOOKUP(B221,Quotas!$A$8:$C$14,2,FALSE)</f>
        <v>46136.70833</v>
      </c>
      <c r="E221" s="356">
        <f>VLOOKUP(B221,Quotas!$A$8:$C$14,3,FALSE)</f>
        <v>46143.70833</v>
      </c>
      <c r="F221" s="79">
        <f>COUNTIFS(Matches!$B:$B,A221,Matches!$A:$A,CONCAT("&gt;",$D221),Matches!$A:$A,CONCAT("&lt;",$E221))</f>
        <v>0</v>
      </c>
      <c r="G221" s="79">
        <f>COUNTIFS(Matches!$C:$C,$A221,Matches!$A:$A,CONCAT("&gt;",$D221),Matches!$A:$A,CONCAT("&lt;",$E221))</f>
        <v>0</v>
      </c>
      <c r="H221" s="79">
        <f t="shared" si="1"/>
        <v>0</v>
      </c>
      <c r="I221" s="79">
        <f>COUNTIFS(Matches!$B:$B,$A221,Matches!$A:$A,CONCAT("&lt;",$E221))</f>
        <v>0</v>
      </c>
      <c r="J221" s="79">
        <f>COUNTIFS(Matches!$C:$C,$A221,Matches!$A:$A,CONCAT("&lt;",$E221))</f>
        <v>0</v>
      </c>
      <c r="K221" s="79">
        <f>COUNTIFS(Entropy!D:D,A221,Entropy!I:I,CONCAT("&lt;",E221-1))</f>
        <v>0</v>
      </c>
      <c r="L221" s="79">
        <f t="shared" si="2"/>
        <v>0</v>
      </c>
      <c r="M221" s="79">
        <f t="array" ref="M221">max(min(IF(J221+K221=11,0,XLOOKUP(B221,Quotas!$A$8:$A$14,Quotas!$E$8:$E$14)-$L221),2),0)</f>
        <v>2</v>
      </c>
      <c r="N221" s="31">
        <f t="shared" si="3"/>
        <v>0</v>
      </c>
    </row>
    <row r="222">
      <c r="A222" s="31" t="s">
        <v>169</v>
      </c>
      <c r="B222" s="9">
        <v>1.0</v>
      </c>
      <c r="C222" s="31" t="str">
        <f>VLOOKUP(A222, 'College List'!A:B, 2, FALSE)</f>
        <v>Silverquill</v>
      </c>
      <c r="D222" s="355">
        <f>VLOOKUP(B222,Quotas!$A$8:$C$14,2,FALSE)</f>
        <v>46136.70833</v>
      </c>
      <c r="E222" s="356">
        <f>VLOOKUP(B222,Quotas!$A$8:$C$14,3,FALSE)</f>
        <v>46143.70833</v>
      </c>
      <c r="F222" s="79">
        <f>COUNTIFS(Matches!$B:$B,A222,Matches!$A:$A,CONCAT("&gt;",$D222),Matches!$A:$A,CONCAT("&lt;",$E222))</f>
        <v>1</v>
      </c>
      <c r="G222" s="79">
        <f>COUNTIFS(Matches!$C:$C,$A222,Matches!$A:$A,CONCAT("&gt;",$D222),Matches!$A:$A,CONCAT("&lt;",$E222))</f>
        <v>4</v>
      </c>
      <c r="H222" s="79">
        <f t="shared" si="1"/>
        <v>5</v>
      </c>
      <c r="I222" s="79">
        <f>COUNTIFS(Matches!$B:$B,$A222,Matches!$A:$A,CONCAT("&lt;",$E222))</f>
        <v>1</v>
      </c>
      <c r="J222" s="79">
        <f>COUNTIFS(Matches!$C:$C,$A222,Matches!$A:$A,CONCAT("&lt;",$E222))</f>
        <v>4</v>
      </c>
      <c r="K222" s="79">
        <f>COUNTIFS(Entropy!D:D,A222,Entropy!I:I,CONCAT("&lt;",E222-1))</f>
        <v>0</v>
      </c>
      <c r="L222" s="79">
        <f t="shared" si="2"/>
        <v>5</v>
      </c>
      <c r="M222" s="79">
        <f t="array" ref="M222">max(min(IF(J222+K222=11,0,XLOOKUP(B222,Quotas!$A$8:$A$14,Quotas!$E$8:$E$14)-$L222),2),0)</f>
        <v>0</v>
      </c>
      <c r="N222" s="31">
        <f t="shared" si="3"/>
        <v>0</v>
      </c>
    </row>
    <row r="223">
      <c r="A223" s="31" t="s">
        <v>313</v>
      </c>
      <c r="B223" s="9">
        <v>1.0</v>
      </c>
      <c r="C223" s="31" t="str">
        <f>VLOOKUP(A223, 'College List'!A:B, 2, FALSE)</f>
        <v>Lorehold</v>
      </c>
      <c r="D223" s="355">
        <f>VLOOKUP(B223,Quotas!$A$8:$C$14,2,FALSE)</f>
        <v>46136.70833</v>
      </c>
      <c r="E223" s="356">
        <f>VLOOKUP(B223,Quotas!$A$8:$C$14,3,FALSE)</f>
        <v>46143.70833</v>
      </c>
      <c r="F223" s="79">
        <f>COUNTIFS(Matches!$B:$B,A223,Matches!$A:$A,CONCAT("&gt;",$D223),Matches!$A:$A,CONCAT("&lt;",$E223))</f>
        <v>0</v>
      </c>
      <c r="G223" s="79">
        <f>COUNTIFS(Matches!$C:$C,$A223,Matches!$A:$A,CONCAT("&gt;",$D223),Matches!$A:$A,CONCAT("&lt;",$E223))</f>
        <v>4</v>
      </c>
      <c r="H223" s="79">
        <f t="shared" si="1"/>
        <v>4</v>
      </c>
      <c r="I223" s="79">
        <f>COUNTIFS(Matches!$B:$B,$A223,Matches!$A:$A,CONCAT("&lt;",$E223))</f>
        <v>0</v>
      </c>
      <c r="J223" s="79">
        <f>COUNTIFS(Matches!$C:$C,$A223,Matches!$A:$A,CONCAT("&lt;",$E223))</f>
        <v>4</v>
      </c>
      <c r="K223" s="79">
        <f>COUNTIFS(Entropy!D:D,A223,Entropy!I:I,CONCAT("&lt;",E223-1))</f>
        <v>0</v>
      </c>
      <c r="L223" s="79">
        <f t="shared" si="2"/>
        <v>4</v>
      </c>
      <c r="M223" s="79">
        <f t="array" ref="M223">max(min(IF(J223+K223=11,0,XLOOKUP(B223,Quotas!$A$8:$A$14,Quotas!$E$8:$E$14)-$L223),2),0)</f>
        <v>1</v>
      </c>
      <c r="N223" s="31">
        <f t="shared" si="3"/>
        <v>0.5</v>
      </c>
    </row>
    <row r="224">
      <c r="A224" s="31" t="s">
        <v>247</v>
      </c>
      <c r="B224" s="9">
        <v>1.0</v>
      </c>
      <c r="C224" s="31" t="str">
        <f>VLOOKUP(A224, 'College List'!A:B, 2, FALSE)</f>
        <v>Quandrix</v>
      </c>
      <c r="D224" s="355">
        <f>VLOOKUP(B224,Quotas!$A$8:$C$14,2,FALSE)</f>
        <v>46136.70833</v>
      </c>
      <c r="E224" s="356">
        <f>VLOOKUP(B224,Quotas!$A$8:$C$14,3,FALSE)</f>
        <v>46143.70833</v>
      </c>
      <c r="F224" s="79">
        <f>COUNTIFS(Matches!$B:$B,A224,Matches!$A:$A,CONCAT("&gt;",$D224),Matches!$A:$A,CONCAT("&lt;",$E224))</f>
        <v>2</v>
      </c>
      <c r="G224" s="79">
        <f>COUNTIFS(Matches!$C:$C,$A224,Matches!$A:$A,CONCAT("&gt;",$D224),Matches!$A:$A,CONCAT("&lt;",$E224))</f>
        <v>3</v>
      </c>
      <c r="H224" s="79">
        <f t="shared" si="1"/>
        <v>5</v>
      </c>
      <c r="I224" s="79">
        <f>COUNTIFS(Matches!$B:$B,$A224,Matches!$A:$A,CONCAT("&lt;",$E224))</f>
        <v>2</v>
      </c>
      <c r="J224" s="79">
        <f>COUNTIFS(Matches!$C:$C,$A224,Matches!$A:$A,CONCAT("&lt;",$E224))</f>
        <v>3</v>
      </c>
      <c r="K224" s="79">
        <f>COUNTIFS(Entropy!D:D,A224,Entropy!I:I,CONCAT("&lt;",E224-1))</f>
        <v>0</v>
      </c>
      <c r="L224" s="79">
        <f t="shared" si="2"/>
        <v>5</v>
      </c>
      <c r="M224" s="79">
        <f t="array" ref="M224">max(min(IF(J224+K224=11,0,XLOOKUP(B224,Quotas!$A$8:$A$14,Quotas!$E$8:$E$14)-$L224),2),0)</f>
        <v>0</v>
      </c>
      <c r="N224" s="31">
        <f t="shared" si="3"/>
        <v>0</v>
      </c>
    </row>
    <row r="225">
      <c r="A225" s="31" t="s">
        <v>104</v>
      </c>
      <c r="B225" s="9">
        <v>1.0</v>
      </c>
      <c r="C225" s="31" t="str">
        <f>VLOOKUP(A225, 'College List'!A:B, 2, FALSE)</f>
        <v>Lorehold</v>
      </c>
      <c r="D225" s="355">
        <f>VLOOKUP(B225,Quotas!$A$8:$C$14,2,FALSE)</f>
        <v>46136.70833</v>
      </c>
      <c r="E225" s="356">
        <f>VLOOKUP(B225,Quotas!$A$8:$C$14,3,FALSE)</f>
        <v>46143.70833</v>
      </c>
      <c r="F225" s="79">
        <f>COUNTIFS(Matches!$B:$B,A225,Matches!$A:$A,CONCAT("&gt;",$D225),Matches!$A:$A,CONCAT("&lt;",$E225))</f>
        <v>3</v>
      </c>
      <c r="G225" s="79">
        <f>COUNTIFS(Matches!$C:$C,$A225,Matches!$A:$A,CONCAT("&gt;",$D225),Matches!$A:$A,CONCAT("&lt;",$E225))</f>
        <v>2</v>
      </c>
      <c r="H225" s="79">
        <f t="shared" si="1"/>
        <v>5</v>
      </c>
      <c r="I225" s="79">
        <f>COUNTIFS(Matches!$B:$B,$A225,Matches!$A:$A,CONCAT("&lt;",$E225))</f>
        <v>3</v>
      </c>
      <c r="J225" s="79">
        <f>COUNTIFS(Matches!$C:$C,$A225,Matches!$A:$A,CONCAT("&lt;",$E225))</f>
        <v>2</v>
      </c>
      <c r="K225" s="79">
        <f>COUNTIFS(Entropy!D:D,A225,Entropy!I:I,CONCAT("&lt;",E225-1))</f>
        <v>0</v>
      </c>
      <c r="L225" s="79">
        <f t="shared" si="2"/>
        <v>5</v>
      </c>
      <c r="M225" s="79">
        <f t="array" ref="M225">max(min(IF(J225+K225=11,0,XLOOKUP(B225,Quotas!$A$8:$A$14,Quotas!$E$8:$E$14)-$L225),2),0)</f>
        <v>0</v>
      </c>
      <c r="N225" s="31">
        <f t="shared" si="3"/>
        <v>0</v>
      </c>
    </row>
    <row r="226">
      <c r="A226" s="31" t="s">
        <v>249</v>
      </c>
      <c r="B226" s="9">
        <v>1.0</v>
      </c>
      <c r="C226" s="31" t="str">
        <f>VLOOKUP(A226, 'College List'!A:B, 2, FALSE)</f>
        <v>Quandrix</v>
      </c>
      <c r="D226" s="355">
        <f>VLOOKUP(B226,Quotas!$A$8:$C$14,2,FALSE)</f>
        <v>46136.70833</v>
      </c>
      <c r="E226" s="356">
        <f>VLOOKUP(B226,Quotas!$A$8:$C$14,3,FALSE)</f>
        <v>46143.70833</v>
      </c>
      <c r="F226" s="79">
        <f>COUNTIFS(Matches!$B:$B,A226,Matches!$A:$A,CONCAT("&gt;",$D226),Matches!$A:$A,CONCAT("&lt;",$E226))</f>
        <v>2</v>
      </c>
      <c r="G226" s="79">
        <f>COUNTIFS(Matches!$C:$C,$A226,Matches!$A:$A,CONCAT("&gt;",$D226),Matches!$A:$A,CONCAT("&lt;",$E226))</f>
        <v>3</v>
      </c>
      <c r="H226" s="79">
        <f t="shared" si="1"/>
        <v>5</v>
      </c>
      <c r="I226" s="79">
        <f>COUNTIFS(Matches!$B:$B,$A226,Matches!$A:$A,CONCAT("&lt;",$E226))</f>
        <v>2</v>
      </c>
      <c r="J226" s="79">
        <f>COUNTIFS(Matches!$C:$C,$A226,Matches!$A:$A,CONCAT("&lt;",$E226))</f>
        <v>3</v>
      </c>
      <c r="K226" s="79">
        <f>COUNTIFS(Entropy!D:D,A226,Entropy!I:I,CONCAT("&lt;",E226-1))</f>
        <v>0</v>
      </c>
      <c r="L226" s="79">
        <f t="shared" si="2"/>
        <v>5</v>
      </c>
      <c r="M226" s="79">
        <f t="array" ref="M226">max(min(IF(J226+K226=11,0,XLOOKUP(B226,Quotas!$A$8:$A$14,Quotas!$E$8:$E$14)-$L226),2),0)</f>
        <v>0</v>
      </c>
      <c r="N226" s="31">
        <f t="shared" si="3"/>
        <v>0</v>
      </c>
    </row>
    <row r="227">
      <c r="A227" s="31" t="s">
        <v>294</v>
      </c>
      <c r="B227" s="9">
        <v>1.0</v>
      </c>
      <c r="C227" s="31" t="str">
        <f>VLOOKUP(A227, 'College List'!A:B, 2, FALSE)</f>
        <v>Prismari</v>
      </c>
      <c r="D227" s="355">
        <f>VLOOKUP(B227,Quotas!$A$8:$C$14,2,FALSE)</f>
        <v>46136.70833</v>
      </c>
      <c r="E227" s="356">
        <f>VLOOKUP(B227,Quotas!$A$8:$C$14,3,FALSE)</f>
        <v>46143.70833</v>
      </c>
      <c r="F227" s="79">
        <f>COUNTIFS(Matches!$B:$B,A227,Matches!$A:$A,CONCAT("&gt;",$D227),Matches!$A:$A,CONCAT("&lt;",$E227))</f>
        <v>2</v>
      </c>
      <c r="G227" s="79">
        <f>COUNTIFS(Matches!$C:$C,$A227,Matches!$A:$A,CONCAT("&gt;",$D227),Matches!$A:$A,CONCAT("&lt;",$E227))</f>
        <v>3</v>
      </c>
      <c r="H227" s="79">
        <f t="shared" si="1"/>
        <v>5</v>
      </c>
      <c r="I227" s="79">
        <f>COUNTIFS(Matches!$B:$B,$A227,Matches!$A:$A,CONCAT("&lt;",$E227))</f>
        <v>2</v>
      </c>
      <c r="J227" s="79">
        <f>COUNTIFS(Matches!$C:$C,$A227,Matches!$A:$A,CONCAT("&lt;",$E227))</f>
        <v>3</v>
      </c>
      <c r="K227" s="79">
        <f>COUNTIFS(Entropy!D:D,A227,Entropy!I:I,CONCAT("&lt;",E227-1))</f>
        <v>0</v>
      </c>
      <c r="L227" s="79">
        <f t="shared" si="2"/>
        <v>5</v>
      </c>
      <c r="M227" s="79">
        <f t="array" ref="M227">max(min(IF(J227+K227=11,0,XLOOKUP(B227,Quotas!$A$8:$A$14,Quotas!$E$8:$E$14)-$L227),2),0)</f>
        <v>0</v>
      </c>
      <c r="N227" s="31">
        <f t="shared" si="3"/>
        <v>0</v>
      </c>
    </row>
    <row r="228">
      <c r="A228" s="31" t="s">
        <v>276</v>
      </c>
      <c r="B228" s="9">
        <v>1.0</v>
      </c>
      <c r="C228" s="31" t="str">
        <f>VLOOKUP(A228, 'College List'!A:B, 2, FALSE)</f>
        <v>Quandrix</v>
      </c>
      <c r="D228" s="355">
        <f>VLOOKUP(B228,Quotas!$A$8:$C$14,2,FALSE)</f>
        <v>46136.70833</v>
      </c>
      <c r="E228" s="356">
        <f>VLOOKUP(B228,Quotas!$A$8:$C$14,3,FALSE)</f>
        <v>46143.70833</v>
      </c>
      <c r="F228" s="79">
        <f>COUNTIFS(Matches!$B:$B,A228,Matches!$A:$A,CONCAT("&gt;",$D228),Matches!$A:$A,CONCAT("&lt;",$E228))</f>
        <v>4</v>
      </c>
      <c r="G228" s="79">
        <f>COUNTIFS(Matches!$C:$C,$A228,Matches!$A:$A,CONCAT("&gt;",$D228),Matches!$A:$A,CONCAT("&lt;",$E228))</f>
        <v>1</v>
      </c>
      <c r="H228" s="79">
        <f t="shared" si="1"/>
        <v>5</v>
      </c>
      <c r="I228" s="79">
        <f>COUNTIFS(Matches!$B:$B,$A228,Matches!$A:$A,CONCAT("&lt;",$E228))</f>
        <v>4</v>
      </c>
      <c r="J228" s="79">
        <f>COUNTIFS(Matches!$C:$C,$A228,Matches!$A:$A,CONCAT("&lt;",$E228))</f>
        <v>1</v>
      </c>
      <c r="K228" s="79">
        <f>COUNTIFS(Entropy!D:D,A228,Entropy!I:I,CONCAT("&lt;",E228-1))</f>
        <v>0</v>
      </c>
      <c r="L228" s="79">
        <f t="shared" si="2"/>
        <v>5</v>
      </c>
      <c r="M228" s="79">
        <f t="array" ref="M228">max(min(IF(J228+K228=11,0,XLOOKUP(B228,Quotas!$A$8:$A$14,Quotas!$E$8:$E$14)-$L228),2),0)</f>
        <v>0</v>
      </c>
      <c r="N228" s="31">
        <f t="shared" si="3"/>
        <v>0</v>
      </c>
    </row>
    <row r="229">
      <c r="A229" s="31" t="s">
        <v>257</v>
      </c>
      <c r="B229" s="9">
        <v>1.0</v>
      </c>
      <c r="C229" s="31" t="str">
        <f>VLOOKUP(A229, 'College List'!A:B, 2, FALSE)</f>
        <v>Witherbloom</v>
      </c>
      <c r="D229" s="355">
        <f>VLOOKUP(B229,Quotas!$A$8:$C$14,2,FALSE)</f>
        <v>46136.70833</v>
      </c>
      <c r="E229" s="356">
        <f>VLOOKUP(B229,Quotas!$A$8:$C$14,3,FALSE)</f>
        <v>46143.70833</v>
      </c>
      <c r="F229" s="79">
        <f>COUNTIFS(Matches!$B:$B,A229,Matches!$A:$A,CONCAT("&gt;",$D229),Matches!$A:$A,CONCAT("&lt;",$E229))</f>
        <v>1</v>
      </c>
      <c r="G229" s="79">
        <f>COUNTIFS(Matches!$C:$C,$A229,Matches!$A:$A,CONCAT("&gt;",$D229),Matches!$A:$A,CONCAT("&lt;",$E229))</f>
        <v>4</v>
      </c>
      <c r="H229" s="79">
        <f t="shared" si="1"/>
        <v>5</v>
      </c>
      <c r="I229" s="79">
        <f>COUNTIFS(Matches!$B:$B,$A229,Matches!$A:$A,CONCAT("&lt;",$E229))</f>
        <v>1</v>
      </c>
      <c r="J229" s="79">
        <f>COUNTIFS(Matches!$C:$C,$A229,Matches!$A:$A,CONCAT("&lt;",$E229))</f>
        <v>4</v>
      </c>
      <c r="K229" s="79">
        <f>COUNTIFS(Entropy!D:D,A229,Entropy!I:I,CONCAT("&lt;",E229-1))</f>
        <v>0</v>
      </c>
      <c r="L229" s="79">
        <f t="shared" si="2"/>
        <v>5</v>
      </c>
      <c r="M229" s="79">
        <f t="array" ref="M229">max(min(IF(J229+K229=11,0,XLOOKUP(B229,Quotas!$A$8:$A$14,Quotas!$E$8:$E$14)-$L229),2),0)</f>
        <v>0</v>
      </c>
      <c r="N229" s="31">
        <f t="shared" si="3"/>
        <v>0</v>
      </c>
    </row>
    <row r="230">
      <c r="A230" s="31" t="s">
        <v>195</v>
      </c>
      <c r="B230" s="9">
        <v>1.0</v>
      </c>
      <c r="C230" s="31" t="str">
        <f>VLOOKUP(A230, 'College List'!A:B, 2, FALSE)</f>
        <v>Lorehold</v>
      </c>
      <c r="D230" s="355">
        <f>VLOOKUP(B230,Quotas!$A$8:$C$14,2,FALSE)</f>
        <v>46136.70833</v>
      </c>
      <c r="E230" s="356">
        <f>VLOOKUP(B230,Quotas!$A$8:$C$14,3,FALSE)</f>
        <v>46143.70833</v>
      </c>
      <c r="F230" s="79">
        <f>COUNTIFS(Matches!$B:$B,A230,Matches!$A:$A,CONCAT("&gt;",$D230),Matches!$A:$A,CONCAT("&lt;",$E230))</f>
        <v>3</v>
      </c>
      <c r="G230" s="79">
        <f>COUNTIFS(Matches!$C:$C,$A230,Matches!$A:$A,CONCAT("&gt;",$D230),Matches!$A:$A,CONCAT("&lt;",$E230))</f>
        <v>2</v>
      </c>
      <c r="H230" s="79">
        <f t="shared" si="1"/>
        <v>5</v>
      </c>
      <c r="I230" s="79">
        <f>COUNTIFS(Matches!$B:$B,$A230,Matches!$A:$A,CONCAT("&lt;",$E230))</f>
        <v>3</v>
      </c>
      <c r="J230" s="79">
        <f>COUNTIFS(Matches!$C:$C,$A230,Matches!$A:$A,CONCAT("&lt;",$E230))</f>
        <v>2</v>
      </c>
      <c r="K230" s="79">
        <f>COUNTIFS(Entropy!D:D,A230,Entropy!I:I,CONCAT("&lt;",E230-1))</f>
        <v>0</v>
      </c>
      <c r="L230" s="79">
        <f t="shared" si="2"/>
        <v>5</v>
      </c>
      <c r="M230" s="79">
        <f t="array" ref="M230">max(min(IF(J230+K230=11,0,XLOOKUP(B230,Quotas!$A$8:$A$14,Quotas!$E$8:$E$14)-$L230),2),0)</f>
        <v>0</v>
      </c>
      <c r="N230" s="31">
        <f t="shared" si="3"/>
        <v>0</v>
      </c>
    </row>
    <row r="231">
      <c r="A231" s="31" t="s">
        <v>282</v>
      </c>
      <c r="B231" s="9">
        <v>1.0</v>
      </c>
      <c r="C231" s="31" t="str">
        <f>VLOOKUP(A231, 'College List'!A:B, 2, FALSE)</f>
        <v>Silverquill</v>
      </c>
      <c r="D231" s="355">
        <f>VLOOKUP(B231,Quotas!$A$8:$C$14,2,FALSE)</f>
        <v>46136.70833</v>
      </c>
      <c r="E231" s="356">
        <f>VLOOKUP(B231,Quotas!$A$8:$C$14,3,FALSE)</f>
        <v>46143.70833</v>
      </c>
      <c r="F231" s="79">
        <f>COUNTIFS(Matches!$B:$B,A231,Matches!$A:$A,CONCAT("&gt;",$D231),Matches!$A:$A,CONCAT("&lt;",$E231))</f>
        <v>3</v>
      </c>
      <c r="G231" s="79">
        <f>COUNTIFS(Matches!$C:$C,$A231,Matches!$A:$A,CONCAT("&gt;",$D231),Matches!$A:$A,CONCAT("&lt;",$E231))</f>
        <v>2</v>
      </c>
      <c r="H231" s="79">
        <f t="shared" si="1"/>
        <v>5</v>
      </c>
      <c r="I231" s="79">
        <f>COUNTIFS(Matches!$B:$B,$A231,Matches!$A:$A,CONCAT("&lt;",$E231))</f>
        <v>3</v>
      </c>
      <c r="J231" s="79">
        <f>COUNTIFS(Matches!$C:$C,$A231,Matches!$A:$A,CONCAT("&lt;",$E231))</f>
        <v>2</v>
      </c>
      <c r="K231" s="79">
        <f>COUNTIFS(Entropy!D:D,A231,Entropy!I:I,CONCAT("&lt;",E231-1))</f>
        <v>0</v>
      </c>
      <c r="L231" s="79">
        <f t="shared" si="2"/>
        <v>5</v>
      </c>
      <c r="M231" s="79">
        <f t="array" ref="M231">max(min(IF(J231+K231=11,0,XLOOKUP(B231,Quotas!$A$8:$A$14,Quotas!$E$8:$E$14)-$L231),2),0)</f>
        <v>0</v>
      </c>
      <c r="N231" s="31">
        <f t="shared" si="3"/>
        <v>0</v>
      </c>
    </row>
    <row r="232">
      <c r="A232" s="31" t="s">
        <v>302</v>
      </c>
      <c r="B232" s="9">
        <v>1.0</v>
      </c>
      <c r="C232" s="31" t="str">
        <f>VLOOKUP(A232, 'College List'!A:B, 2, FALSE)</f>
        <v>Silverquill</v>
      </c>
      <c r="D232" s="355">
        <f>VLOOKUP(B232,Quotas!$A$8:$C$14,2,FALSE)</f>
        <v>46136.70833</v>
      </c>
      <c r="E232" s="356">
        <f>VLOOKUP(B232,Quotas!$A$8:$C$14,3,FALSE)</f>
        <v>46143.70833</v>
      </c>
      <c r="F232" s="79">
        <f>COUNTIFS(Matches!$B:$B,A232,Matches!$A:$A,CONCAT("&gt;",$D232),Matches!$A:$A,CONCAT("&lt;",$E232))</f>
        <v>3</v>
      </c>
      <c r="G232" s="79">
        <f>COUNTIFS(Matches!$C:$C,$A232,Matches!$A:$A,CONCAT("&gt;",$D232),Matches!$A:$A,CONCAT("&lt;",$E232))</f>
        <v>2</v>
      </c>
      <c r="H232" s="79">
        <f t="shared" si="1"/>
        <v>5</v>
      </c>
      <c r="I232" s="79">
        <f>COUNTIFS(Matches!$B:$B,$A232,Matches!$A:$A,CONCAT("&lt;",$E232))</f>
        <v>3</v>
      </c>
      <c r="J232" s="79">
        <f>COUNTIFS(Matches!$C:$C,$A232,Matches!$A:$A,CONCAT("&lt;",$E232))</f>
        <v>2</v>
      </c>
      <c r="K232" s="79">
        <f>COUNTIFS(Entropy!D:D,A232,Entropy!I:I,CONCAT("&lt;",E232-1))</f>
        <v>0</v>
      </c>
      <c r="L232" s="79">
        <f t="shared" si="2"/>
        <v>5</v>
      </c>
      <c r="M232" s="79">
        <f t="array" ref="M232">max(min(IF(J232+K232=11,0,XLOOKUP(B232,Quotas!$A$8:$A$14,Quotas!$E$8:$E$14)-$L232),2),0)</f>
        <v>0</v>
      </c>
      <c r="N232" s="31">
        <f t="shared" si="3"/>
        <v>0</v>
      </c>
    </row>
    <row r="233">
      <c r="A233" s="31" t="s">
        <v>174</v>
      </c>
      <c r="B233" s="9">
        <v>1.0</v>
      </c>
      <c r="C233" s="31" t="str">
        <f>VLOOKUP(A233, 'College List'!A:B, 2, FALSE)</f>
        <v>Witherbloom</v>
      </c>
      <c r="D233" s="355">
        <f>VLOOKUP(B233,Quotas!$A$8:$C$14,2,FALSE)</f>
        <v>46136.70833</v>
      </c>
      <c r="E233" s="356">
        <f>VLOOKUP(B233,Quotas!$A$8:$C$14,3,FALSE)</f>
        <v>46143.70833</v>
      </c>
      <c r="F233" s="79">
        <f>COUNTIFS(Matches!$B:$B,A233,Matches!$A:$A,CONCAT("&gt;",$D233),Matches!$A:$A,CONCAT("&lt;",$E233))</f>
        <v>3</v>
      </c>
      <c r="G233" s="79">
        <f>COUNTIFS(Matches!$C:$C,$A233,Matches!$A:$A,CONCAT("&gt;",$D233),Matches!$A:$A,CONCAT("&lt;",$E233))</f>
        <v>2</v>
      </c>
      <c r="H233" s="79">
        <f t="shared" si="1"/>
        <v>5</v>
      </c>
      <c r="I233" s="79">
        <f>COUNTIFS(Matches!$B:$B,$A233,Matches!$A:$A,CONCAT("&lt;",$E233))</f>
        <v>3</v>
      </c>
      <c r="J233" s="79">
        <f>COUNTIFS(Matches!$C:$C,$A233,Matches!$A:$A,CONCAT("&lt;",$E233))</f>
        <v>2</v>
      </c>
      <c r="K233" s="79">
        <f>COUNTIFS(Entropy!D:D,A233,Entropy!I:I,CONCAT("&lt;",E233-1))</f>
        <v>0</v>
      </c>
      <c r="L233" s="79">
        <f t="shared" si="2"/>
        <v>5</v>
      </c>
      <c r="M233" s="79">
        <f t="array" ref="M233">max(min(IF(J233+K233=11,0,XLOOKUP(B233,Quotas!$A$8:$A$14,Quotas!$E$8:$E$14)-$L233),2),0)</f>
        <v>0</v>
      </c>
      <c r="N233" s="31">
        <f t="shared" si="3"/>
        <v>0</v>
      </c>
    </row>
    <row r="234">
      <c r="A234" s="31" t="s">
        <v>260</v>
      </c>
      <c r="B234" s="9">
        <v>1.0</v>
      </c>
      <c r="C234" s="31" t="str">
        <f>VLOOKUP(A234, 'College List'!A:B, 2, FALSE)</f>
        <v>Witherbloom</v>
      </c>
      <c r="D234" s="355">
        <f>VLOOKUP(B234,Quotas!$A$8:$C$14,2,FALSE)</f>
        <v>46136.70833</v>
      </c>
      <c r="E234" s="356">
        <f>VLOOKUP(B234,Quotas!$A$8:$C$14,3,FALSE)</f>
        <v>46143.70833</v>
      </c>
      <c r="F234" s="79">
        <f>COUNTIFS(Matches!$B:$B,A234,Matches!$A:$A,CONCAT("&gt;",$D234),Matches!$A:$A,CONCAT("&lt;",$E234))</f>
        <v>2</v>
      </c>
      <c r="G234" s="79">
        <f>COUNTIFS(Matches!$C:$C,$A234,Matches!$A:$A,CONCAT("&gt;",$D234),Matches!$A:$A,CONCAT("&lt;",$E234))</f>
        <v>3</v>
      </c>
      <c r="H234" s="79">
        <f t="shared" si="1"/>
        <v>5</v>
      </c>
      <c r="I234" s="79">
        <f>COUNTIFS(Matches!$B:$B,$A234,Matches!$A:$A,CONCAT("&lt;",$E234))</f>
        <v>2</v>
      </c>
      <c r="J234" s="79">
        <f>COUNTIFS(Matches!$C:$C,$A234,Matches!$A:$A,CONCAT("&lt;",$E234))</f>
        <v>3</v>
      </c>
      <c r="K234" s="79">
        <f>COUNTIFS(Entropy!D:D,A234,Entropy!I:I,CONCAT("&lt;",E234-1))</f>
        <v>0</v>
      </c>
      <c r="L234" s="79">
        <f t="shared" si="2"/>
        <v>5</v>
      </c>
      <c r="M234" s="79">
        <f t="array" ref="M234">max(min(IF(J234+K234=11,0,XLOOKUP(B234,Quotas!$A$8:$A$14,Quotas!$E$8:$E$14)-$L234),2),0)</f>
        <v>0</v>
      </c>
      <c r="N234" s="31">
        <f t="shared" si="3"/>
        <v>0</v>
      </c>
    </row>
    <row r="235">
      <c r="A235" s="31" t="s">
        <v>62</v>
      </c>
      <c r="B235" s="9">
        <v>1.0</v>
      </c>
      <c r="C235" s="31" t="str">
        <f>VLOOKUP(A235, 'College List'!A:B, 2, FALSE)</f>
        <v>Prismari</v>
      </c>
      <c r="D235" s="355">
        <f>VLOOKUP(B235,Quotas!$A$8:$C$14,2,FALSE)</f>
        <v>46136.70833</v>
      </c>
      <c r="E235" s="356">
        <f>VLOOKUP(B235,Quotas!$A$8:$C$14,3,FALSE)</f>
        <v>46143.70833</v>
      </c>
      <c r="F235" s="79">
        <f>COUNTIFS(Matches!$B:$B,A235,Matches!$A:$A,CONCAT("&gt;",$D235),Matches!$A:$A,CONCAT("&lt;",$E235))</f>
        <v>1</v>
      </c>
      <c r="G235" s="79">
        <f>COUNTIFS(Matches!$C:$C,$A235,Matches!$A:$A,CONCAT("&gt;",$D235),Matches!$A:$A,CONCAT("&lt;",$E235))</f>
        <v>4</v>
      </c>
      <c r="H235" s="79">
        <f t="shared" si="1"/>
        <v>5</v>
      </c>
      <c r="I235" s="79">
        <f>COUNTIFS(Matches!$B:$B,$A235,Matches!$A:$A,CONCAT("&lt;",$E235))</f>
        <v>1</v>
      </c>
      <c r="J235" s="79">
        <f>COUNTIFS(Matches!$C:$C,$A235,Matches!$A:$A,CONCAT("&lt;",$E235))</f>
        <v>4</v>
      </c>
      <c r="K235" s="79">
        <f>COUNTIFS(Entropy!D:D,A235,Entropy!I:I,CONCAT("&lt;",E235-1))</f>
        <v>0</v>
      </c>
      <c r="L235" s="79">
        <f t="shared" si="2"/>
        <v>5</v>
      </c>
      <c r="M235" s="79">
        <f t="array" ref="M235">max(min(IF(J235+K235=11,0,XLOOKUP(B235,Quotas!$A$8:$A$14,Quotas!$E$8:$E$14)-$L235),2),0)</f>
        <v>0</v>
      </c>
      <c r="N235" s="31">
        <f t="shared" si="3"/>
        <v>0</v>
      </c>
    </row>
    <row r="236">
      <c r="A236" s="31" t="s">
        <v>233</v>
      </c>
      <c r="B236" s="9">
        <v>1.0</v>
      </c>
      <c r="C236" s="31" t="str">
        <f>VLOOKUP(A236, 'College List'!A:B, 2, FALSE)</f>
        <v>Lorehold</v>
      </c>
      <c r="D236" s="355">
        <f>VLOOKUP(B236,Quotas!$A$8:$C$14,2,FALSE)</f>
        <v>46136.70833</v>
      </c>
      <c r="E236" s="356">
        <f>VLOOKUP(B236,Quotas!$A$8:$C$14,3,FALSE)</f>
        <v>46143.70833</v>
      </c>
      <c r="F236" s="79">
        <f>COUNTIFS(Matches!$B:$B,A236,Matches!$A:$A,CONCAT("&gt;",$D236),Matches!$A:$A,CONCAT("&lt;",$E236))</f>
        <v>2</v>
      </c>
      <c r="G236" s="79">
        <f>COUNTIFS(Matches!$C:$C,$A236,Matches!$A:$A,CONCAT("&gt;",$D236),Matches!$A:$A,CONCAT("&lt;",$E236))</f>
        <v>2</v>
      </c>
      <c r="H236" s="79">
        <f t="shared" si="1"/>
        <v>4</v>
      </c>
      <c r="I236" s="79">
        <f>COUNTIFS(Matches!$B:$B,$A236,Matches!$A:$A,CONCAT("&lt;",$E236))</f>
        <v>2</v>
      </c>
      <c r="J236" s="79">
        <f>COUNTIFS(Matches!$C:$C,$A236,Matches!$A:$A,CONCAT("&lt;",$E236))</f>
        <v>2</v>
      </c>
      <c r="K236" s="79">
        <f>COUNTIFS(Entropy!D:D,A236,Entropy!I:I,CONCAT("&lt;",E236-1))</f>
        <v>0</v>
      </c>
      <c r="L236" s="79">
        <f t="shared" si="2"/>
        <v>4</v>
      </c>
      <c r="M236" s="79">
        <f t="array" ref="M236">max(min(IF(J236+K236=11,0,XLOOKUP(B236,Quotas!$A$8:$A$14,Quotas!$E$8:$E$14)-$L236),2),0)</f>
        <v>1</v>
      </c>
      <c r="N236" s="31">
        <f t="shared" si="3"/>
        <v>0.5</v>
      </c>
    </row>
    <row r="237">
      <c r="A237" s="31" t="s">
        <v>413</v>
      </c>
      <c r="B237" s="9">
        <v>1.0</v>
      </c>
      <c r="C237" s="31" t="str">
        <f>VLOOKUP(A237, 'College List'!A:B, 2, FALSE)</f>
        <v>Lorehold</v>
      </c>
      <c r="D237" s="355">
        <f>VLOOKUP(B237,Quotas!$A$8:$C$14,2,FALSE)</f>
        <v>46136.70833</v>
      </c>
      <c r="E237" s="356">
        <f>VLOOKUP(B237,Quotas!$A$8:$C$14,3,FALSE)</f>
        <v>46143.70833</v>
      </c>
      <c r="F237" s="79">
        <f>COUNTIFS(Matches!$B:$B,A237,Matches!$A:$A,CONCAT("&gt;",$D237),Matches!$A:$A,CONCAT("&lt;",$E237))</f>
        <v>1</v>
      </c>
      <c r="G237" s="79">
        <f>COUNTIFS(Matches!$C:$C,$A237,Matches!$A:$A,CONCAT("&gt;",$D237),Matches!$A:$A,CONCAT("&lt;",$E237))</f>
        <v>3</v>
      </c>
      <c r="H237" s="79">
        <f t="shared" si="1"/>
        <v>4</v>
      </c>
      <c r="I237" s="79">
        <f>COUNTIFS(Matches!$B:$B,$A237,Matches!$A:$A,CONCAT("&lt;",$E237))</f>
        <v>1</v>
      </c>
      <c r="J237" s="79">
        <f>COUNTIFS(Matches!$C:$C,$A237,Matches!$A:$A,CONCAT("&lt;",$E237))</f>
        <v>3</v>
      </c>
      <c r="K237" s="79">
        <f>COUNTIFS(Entropy!D:D,A237,Entropy!I:I,CONCAT("&lt;",E237-1))</f>
        <v>0</v>
      </c>
      <c r="L237" s="79">
        <f t="shared" si="2"/>
        <v>4</v>
      </c>
      <c r="M237" s="79">
        <f t="array" ref="M237">max(min(IF(J237+K237=11,0,XLOOKUP(B237,Quotas!$A$8:$A$14,Quotas!$E$8:$E$14)-$L237),2),0)</f>
        <v>1</v>
      </c>
      <c r="N237" s="31">
        <f t="shared" si="3"/>
        <v>0.5</v>
      </c>
    </row>
    <row r="238">
      <c r="A238" s="31" t="s">
        <v>368</v>
      </c>
      <c r="B238" s="9">
        <v>1.0</v>
      </c>
      <c r="C238" s="31" t="str">
        <f>VLOOKUP(A238, 'College List'!A:B, 2, FALSE)</f>
        <v>Silverquill</v>
      </c>
      <c r="D238" s="355">
        <f>VLOOKUP(B238,Quotas!$A$8:$C$14,2,FALSE)</f>
        <v>46136.70833</v>
      </c>
      <c r="E238" s="356">
        <f>VLOOKUP(B238,Quotas!$A$8:$C$14,3,FALSE)</f>
        <v>46143.70833</v>
      </c>
      <c r="F238" s="79">
        <f>COUNTIFS(Matches!$B:$B,A238,Matches!$A:$A,CONCAT("&gt;",$D238),Matches!$A:$A,CONCAT("&lt;",$E238))</f>
        <v>3</v>
      </c>
      <c r="G238" s="79">
        <f>COUNTIFS(Matches!$C:$C,$A238,Matches!$A:$A,CONCAT("&gt;",$D238),Matches!$A:$A,CONCAT("&lt;",$E238))</f>
        <v>1</v>
      </c>
      <c r="H238" s="79">
        <f t="shared" si="1"/>
        <v>4</v>
      </c>
      <c r="I238" s="79">
        <f>COUNTIFS(Matches!$B:$B,$A238,Matches!$A:$A,CONCAT("&lt;",$E238))</f>
        <v>3</v>
      </c>
      <c r="J238" s="79">
        <f>COUNTIFS(Matches!$C:$C,$A238,Matches!$A:$A,CONCAT("&lt;",$E238))</f>
        <v>1</v>
      </c>
      <c r="K238" s="79">
        <f>COUNTIFS(Entropy!D:D,A238,Entropy!I:I,CONCAT("&lt;",E238-1))</f>
        <v>0</v>
      </c>
      <c r="L238" s="79">
        <f t="shared" si="2"/>
        <v>4</v>
      </c>
      <c r="M238" s="79">
        <f t="array" ref="M238">max(min(IF(J238+K238=11,0,XLOOKUP(B238,Quotas!$A$8:$A$14,Quotas!$E$8:$E$14)-$L238),2),0)</f>
        <v>1</v>
      </c>
      <c r="N238" s="31">
        <f t="shared" si="3"/>
        <v>0.5</v>
      </c>
    </row>
    <row r="239">
      <c r="A239" s="31" t="s">
        <v>139</v>
      </c>
      <c r="B239" s="9">
        <v>1.0</v>
      </c>
      <c r="C239" s="31" t="str">
        <f>VLOOKUP(A239, 'College List'!A:B, 2, FALSE)</f>
        <v>Silverquill</v>
      </c>
      <c r="D239" s="355">
        <f>VLOOKUP(B239,Quotas!$A$8:$C$14,2,FALSE)</f>
        <v>46136.70833</v>
      </c>
      <c r="E239" s="356">
        <f>VLOOKUP(B239,Quotas!$A$8:$C$14,3,FALSE)</f>
        <v>46143.70833</v>
      </c>
      <c r="F239" s="79">
        <f>COUNTIFS(Matches!$B:$B,A239,Matches!$A:$A,CONCAT("&gt;",$D239),Matches!$A:$A,CONCAT("&lt;",$E239))</f>
        <v>3</v>
      </c>
      <c r="G239" s="79">
        <f>COUNTIFS(Matches!$C:$C,$A239,Matches!$A:$A,CONCAT("&gt;",$D239),Matches!$A:$A,CONCAT("&lt;",$E239))</f>
        <v>2</v>
      </c>
      <c r="H239" s="79">
        <f t="shared" si="1"/>
        <v>5</v>
      </c>
      <c r="I239" s="79">
        <f>COUNTIFS(Matches!$B:$B,$A239,Matches!$A:$A,CONCAT("&lt;",$E239))</f>
        <v>3</v>
      </c>
      <c r="J239" s="79">
        <f>COUNTIFS(Matches!$C:$C,$A239,Matches!$A:$A,CONCAT("&lt;",$E239))</f>
        <v>2</v>
      </c>
      <c r="K239" s="79">
        <f>COUNTIFS(Entropy!D:D,A239,Entropy!I:I,CONCAT("&lt;",E239-1))</f>
        <v>0</v>
      </c>
      <c r="L239" s="79">
        <f t="shared" si="2"/>
        <v>5</v>
      </c>
      <c r="M239" s="79">
        <f t="array" ref="M239">max(min(IF(J239+K239=11,0,XLOOKUP(B239,Quotas!$A$8:$A$14,Quotas!$E$8:$E$14)-$L239),2),0)</f>
        <v>0</v>
      </c>
      <c r="N239" s="31">
        <f t="shared" si="3"/>
        <v>0</v>
      </c>
    </row>
    <row r="240">
      <c r="A240" s="9" t="s">
        <v>334</v>
      </c>
      <c r="B240" s="9">
        <v>2.0</v>
      </c>
      <c r="C240" s="31" t="str">
        <f>VLOOKUP(A240, 'College List'!A:B, 2, FALSE)</f>
        <v>Prismari</v>
      </c>
      <c r="D240" s="355">
        <f>VLOOKUP(B240,Quotas!$A$8:$C$14,2,FALSE)</f>
        <v>46143.70833</v>
      </c>
      <c r="E240" s="356">
        <f>VLOOKUP(B240,Quotas!$A$8:$C$14,3,FALSE)</f>
        <v>46150.70833</v>
      </c>
      <c r="F240" s="79">
        <f>COUNTIFS(Matches!$B:$B,A240,Matches!$A:$A,CONCAT("&gt;",$D240),Matches!$A:$A,CONCAT("&lt;",$E240))</f>
        <v>0</v>
      </c>
      <c r="G240" s="79">
        <f>COUNTIFS(Matches!$C:$C,$A240,Matches!$A:$A,CONCAT("&gt;",$D240),Matches!$A:$A,CONCAT("&lt;",$E240))</f>
        <v>2</v>
      </c>
      <c r="H240" s="79">
        <f t="shared" si="1"/>
        <v>2</v>
      </c>
      <c r="I240" s="79">
        <f>COUNTIFS(Matches!$B:$B,$A240,Matches!$A:$A,CONCAT("&lt;",$E240))</f>
        <v>0</v>
      </c>
      <c r="J240" s="79">
        <f>COUNTIFS(Matches!$C:$C,$A240,Matches!$A:$A,CONCAT("&lt;",$E240))</f>
        <v>5</v>
      </c>
      <c r="K240" s="79">
        <f>COUNTIFS(Entropy!D:D,A240,Entropy!I:I,CONCAT("&lt;",E240-1))</f>
        <v>0</v>
      </c>
      <c r="L240" s="79">
        <f t="shared" si="2"/>
        <v>5</v>
      </c>
      <c r="M240" s="79">
        <f t="array" ref="M240">max(min(IF(J240+K240=11,0,XLOOKUP(B240,Quotas!$A$8:$A$14,Quotas!$E$8:$E$14)-$L240),2),0)</f>
        <v>2</v>
      </c>
      <c r="N240" s="31">
        <f t="shared" si="3"/>
        <v>1</v>
      </c>
    </row>
    <row r="241">
      <c r="A241" s="31" t="s">
        <v>96</v>
      </c>
      <c r="B241" s="9">
        <v>2.0</v>
      </c>
      <c r="C241" s="31" t="str">
        <f>VLOOKUP(A241, 'College List'!A:B, 2, FALSE)</f>
        <v>Silverquill</v>
      </c>
      <c r="D241" s="355">
        <f>VLOOKUP(B241,Quotas!$A$8:$C$14,2,FALSE)</f>
        <v>46143.70833</v>
      </c>
      <c r="E241" s="356">
        <f>VLOOKUP(B241,Quotas!$A$8:$C$14,3,FALSE)</f>
        <v>46150.70833</v>
      </c>
      <c r="F241" s="79">
        <f>COUNTIFS(Matches!$B:$B,A241,Matches!$A:$A,CONCAT("&gt;",$D241),Matches!$A:$A,CONCAT("&lt;",$E241))</f>
        <v>2</v>
      </c>
      <c r="G241" s="79">
        <f>COUNTIFS(Matches!$C:$C,$A241,Matches!$A:$A,CONCAT("&gt;",$D241),Matches!$A:$A,CONCAT("&lt;",$E241))</f>
        <v>3</v>
      </c>
      <c r="H241" s="79">
        <f t="shared" si="1"/>
        <v>5</v>
      </c>
      <c r="I241" s="79">
        <f>COUNTIFS(Matches!$B:$B,$A241,Matches!$A:$A,CONCAT("&lt;",$E241))</f>
        <v>5</v>
      </c>
      <c r="J241" s="79">
        <f>COUNTIFS(Matches!$C:$C,$A241,Matches!$A:$A,CONCAT("&lt;",$E241))</f>
        <v>5</v>
      </c>
      <c r="K241" s="79">
        <f>COUNTIFS(Entropy!D:D,A241,Entropy!I:I,CONCAT("&lt;",E241-1))</f>
        <v>0</v>
      </c>
      <c r="L241" s="79">
        <f t="shared" si="2"/>
        <v>10</v>
      </c>
      <c r="M241" s="79">
        <f t="array" ref="M241">max(min(IF(J241+K241=11,0,XLOOKUP(B241,Quotas!$A$8:$A$14,Quotas!$E$8:$E$14)-$L241),2),0)</f>
        <v>0</v>
      </c>
      <c r="N241" s="31">
        <f t="shared" si="3"/>
        <v>0</v>
      </c>
    </row>
    <row r="242">
      <c r="A242" s="31" t="s">
        <v>409</v>
      </c>
      <c r="B242" s="9">
        <v>2.0</v>
      </c>
      <c r="C242" s="31" t="str">
        <f>VLOOKUP(A242, 'College List'!A:B, 2, FALSE)</f>
        <v>Witherbloom</v>
      </c>
      <c r="D242" s="355">
        <f>VLOOKUP(B242,Quotas!$A$8:$C$14,2,FALSE)</f>
        <v>46143.70833</v>
      </c>
      <c r="E242" s="356">
        <f>VLOOKUP(B242,Quotas!$A$8:$C$14,3,FALSE)</f>
        <v>46150.70833</v>
      </c>
      <c r="F242" s="79">
        <f>COUNTIFS(Matches!$B:$B,A242,Matches!$A:$A,CONCAT("&gt;",$D242),Matches!$A:$A,CONCAT("&lt;",$E242))</f>
        <v>3</v>
      </c>
      <c r="G242" s="79">
        <f>COUNTIFS(Matches!$C:$C,$A242,Matches!$A:$A,CONCAT("&gt;",$D242),Matches!$A:$A,CONCAT("&lt;",$E242))</f>
        <v>3</v>
      </c>
      <c r="H242" s="79">
        <f t="shared" si="1"/>
        <v>6</v>
      </c>
      <c r="I242" s="79">
        <f>COUNTIFS(Matches!$B:$B,$A242,Matches!$A:$A,CONCAT("&lt;",$E242))</f>
        <v>5</v>
      </c>
      <c r="J242" s="79">
        <f>COUNTIFS(Matches!$C:$C,$A242,Matches!$A:$A,CONCAT("&lt;",$E242))</f>
        <v>5</v>
      </c>
      <c r="K242" s="79">
        <f>COUNTIFS(Entropy!D:D,A242,Entropy!I:I,CONCAT("&lt;",E242-1))</f>
        <v>0</v>
      </c>
      <c r="L242" s="79">
        <f t="shared" si="2"/>
        <v>10</v>
      </c>
      <c r="M242" s="79">
        <f t="array" ref="M242">max(min(IF(J242+K242=11,0,XLOOKUP(B242,Quotas!$A$8:$A$14,Quotas!$E$8:$E$14)-$L242),2),0)</f>
        <v>0</v>
      </c>
      <c r="N242" s="31">
        <f t="shared" si="3"/>
        <v>0</v>
      </c>
    </row>
    <row r="243">
      <c r="A243" s="31" t="s">
        <v>77</v>
      </c>
      <c r="B243" s="9">
        <v>2.0</v>
      </c>
      <c r="C243" s="31" t="str">
        <f>VLOOKUP(A243, 'College List'!A:B, 2, FALSE)</f>
        <v>Quandrix</v>
      </c>
      <c r="D243" s="355">
        <f>VLOOKUP(B243,Quotas!$A$8:$C$14,2,FALSE)</f>
        <v>46143.70833</v>
      </c>
      <c r="E243" s="356">
        <f>VLOOKUP(B243,Quotas!$A$8:$C$14,3,FALSE)</f>
        <v>46150.70833</v>
      </c>
      <c r="F243" s="79">
        <f>COUNTIFS(Matches!$B:$B,A243,Matches!$A:$A,CONCAT("&gt;",$D243),Matches!$A:$A,CONCAT("&lt;",$E243))</f>
        <v>1</v>
      </c>
      <c r="G243" s="79">
        <f>COUNTIFS(Matches!$C:$C,$A243,Matches!$A:$A,CONCAT("&gt;",$D243),Matches!$A:$A,CONCAT("&lt;",$E243))</f>
        <v>4</v>
      </c>
      <c r="H243" s="79">
        <f t="shared" si="1"/>
        <v>5</v>
      </c>
      <c r="I243" s="79">
        <f>COUNTIFS(Matches!$B:$B,$A243,Matches!$A:$A,CONCAT("&lt;",$E243))</f>
        <v>4</v>
      </c>
      <c r="J243" s="79">
        <f>COUNTIFS(Matches!$C:$C,$A243,Matches!$A:$A,CONCAT("&lt;",$E243))</f>
        <v>6</v>
      </c>
      <c r="K243" s="79">
        <f>COUNTIFS(Entropy!D:D,A243,Entropy!I:I,CONCAT("&lt;",E243-1))</f>
        <v>0</v>
      </c>
      <c r="L243" s="79">
        <f t="shared" si="2"/>
        <v>10</v>
      </c>
      <c r="M243" s="79">
        <f t="array" ref="M243">max(min(IF(J243+K243=11,0,XLOOKUP(B243,Quotas!$A$8:$A$14,Quotas!$E$8:$E$14)-$L243),2),0)</f>
        <v>0</v>
      </c>
      <c r="N243" s="31">
        <f t="shared" si="3"/>
        <v>0</v>
      </c>
    </row>
    <row r="244">
      <c r="A244" s="31" t="s">
        <v>238</v>
      </c>
      <c r="B244" s="9">
        <v>2.0</v>
      </c>
      <c r="C244" s="31" t="str">
        <f>VLOOKUP(A244, 'College List'!A:B, 2, FALSE)</f>
        <v>Silverquill</v>
      </c>
      <c r="D244" s="355">
        <f>VLOOKUP(B244,Quotas!$A$8:$C$14,2,FALSE)</f>
        <v>46143.70833</v>
      </c>
      <c r="E244" s="356">
        <f>VLOOKUP(B244,Quotas!$A$8:$C$14,3,FALSE)</f>
        <v>46150.70833</v>
      </c>
      <c r="F244" s="79">
        <f>COUNTIFS(Matches!$B:$B,A244,Matches!$A:$A,CONCAT("&gt;",$D244),Matches!$A:$A,CONCAT("&lt;",$E244))</f>
        <v>3</v>
      </c>
      <c r="G244" s="79">
        <f>COUNTIFS(Matches!$C:$C,$A244,Matches!$A:$A,CONCAT("&gt;",$D244),Matches!$A:$A,CONCAT("&lt;",$E244))</f>
        <v>2</v>
      </c>
      <c r="H244" s="79">
        <f t="shared" si="1"/>
        <v>5</v>
      </c>
      <c r="I244" s="79">
        <f>COUNTIFS(Matches!$B:$B,$A244,Matches!$A:$A,CONCAT("&lt;",$E244))</f>
        <v>7</v>
      </c>
      <c r="J244" s="79">
        <f>COUNTIFS(Matches!$C:$C,$A244,Matches!$A:$A,CONCAT("&lt;",$E244))</f>
        <v>3</v>
      </c>
      <c r="K244" s="79">
        <f>COUNTIFS(Entropy!D:D,A244,Entropy!I:I,CONCAT("&lt;",E244-1))</f>
        <v>0</v>
      </c>
      <c r="L244" s="79">
        <f t="shared" si="2"/>
        <v>10</v>
      </c>
      <c r="M244" s="79">
        <f t="array" ref="M244">max(min(IF(J244+K244=11,0,XLOOKUP(B244,Quotas!$A$8:$A$14,Quotas!$E$8:$E$14)-$L244),2),0)</f>
        <v>0</v>
      </c>
      <c r="N244" s="31">
        <f t="shared" si="3"/>
        <v>0</v>
      </c>
    </row>
    <row r="245">
      <c r="A245" s="31" t="s">
        <v>252</v>
      </c>
      <c r="B245" s="9">
        <v>2.0</v>
      </c>
      <c r="C245" s="31" t="str">
        <f>VLOOKUP(A245, 'College List'!A:B, 2, FALSE)</f>
        <v>Quandrix</v>
      </c>
      <c r="D245" s="355">
        <f>VLOOKUP(B245,Quotas!$A$8:$C$14,2,FALSE)</f>
        <v>46143.70833</v>
      </c>
      <c r="E245" s="356">
        <f>VLOOKUP(B245,Quotas!$A$8:$C$14,3,FALSE)</f>
        <v>46150.70833</v>
      </c>
      <c r="F245" s="79">
        <f>COUNTIFS(Matches!$B:$B,A245,Matches!$A:$A,CONCAT("&gt;",$D245),Matches!$A:$A,CONCAT("&lt;",$E245))</f>
        <v>1</v>
      </c>
      <c r="G245" s="79">
        <f>COUNTIFS(Matches!$C:$C,$A245,Matches!$A:$A,CONCAT("&gt;",$D245),Matches!$A:$A,CONCAT("&lt;",$E245))</f>
        <v>1</v>
      </c>
      <c r="H245" s="79">
        <f t="shared" si="1"/>
        <v>2</v>
      </c>
      <c r="I245" s="79">
        <f>COUNTIFS(Matches!$B:$B,$A245,Matches!$A:$A,CONCAT("&lt;",$E245))</f>
        <v>3</v>
      </c>
      <c r="J245" s="79">
        <f>COUNTIFS(Matches!$C:$C,$A245,Matches!$A:$A,CONCAT("&lt;",$E245))</f>
        <v>4</v>
      </c>
      <c r="K245" s="79">
        <f>COUNTIFS(Entropy!D:D,A245,Entropy!I:I,CONCAT("&lt;",E245-1))</f>
        <v>0</v>
      </c>
      <c r="L245" s="79">
        <f t="shared" si="2"/>
        <v>7</v>
      </c>
      <c r="M245" s="79">
        <f t="array" ref="M245">max(min(IF(J245+K245=11,0,XLOOKUP(B245,Quotas!$A$8:$A$14,Quotas!$E$8:$E$14)-$L245),2),0)</f>
        <v>2</v>
      </c>
      <c r="N245" s="31">
        <f t="shared" si="3"/>
        <v>1</v>
      </c>
    </row>
    <row r="246">
      <c r="A246" s="31" t="s">
        <v>284</v>
      </c>
      <c r="B246" s="9">
        <v>2.0</v>
      </c>
      <c r="C246" s="31" t="str">
        <f>VLOOKUP(A246, 'College List'!A:B, 2, FALSE)</f>
        <v>Lorehold</v>
      </c>
      <c r="D246" s="355">
        <f>VLOOKUP(B246,Quotas!$A$8:$C$14,2,FALSE)</f>
        <v>46143.70833</v>
      </c>
      <c r="E246" s="356">
        <f>VLOOKUP(B246,Quotas!$A$8:$C$14,3,FALSE)</f>
        <v>46150.70833</v>
      </c>
      <c r="F246" s="79">
        <f>COUNTIFS(Matches!$B:$B,A246,Matches!$A:$A,CONCAT("&gt;",$D246),Matches!$A:$A,CONCAT("&lt;",$E246))</f>
        <v>4</v>
      </c>
      <c r="G246" s="79">
        <f>COUNTIFS(Matches!$C:$C,$A246,Matches!$A:$A,CONCAT("&gt;",$D246),Matches!$A:$A,CONCAT("&lt;",$E246))</f>
        <v>1</v>
      </c>
      <c r="H246" s="79">
        <f t="shared" si="1"/>
        <v>5</v>
      </c>
      <c r="I246" s="79">
        <f>COUNTIFS(Matches!$B:$B,$A246,Matches!$A:$A,CONCAT("&lt;",$E246))</f>
        <v>8</v>
      </c>
      <c r="J246" s="79">
        <f>COUNTIFS(Matches!$C:$C,$A246,Matches!$A:$A,CONCAT("&lt;",$E246))</f>
        <v>2</v>
      </c>
      <c r="K246" s="79">
        <f>COUNTIFS(Entropy!D:D,A246,Entropy!I:I,CONCAT("&lt;",E246-1))</f>
        <v>0</v>
      </c>
      <c r="L246" s="79">
        <f t="shared" si="2"/>
        <v>10</v>
      </c>
      <c r="M246" s="79">
        <f t="array" ref="M246">max(min(IF(J246+K246=11,0,XLOOKUP(B246,Quotas!$A$8:$A$14,Quotas!$E$8:$E$14)-$L246),2),0)</f>
        <v>0</v>
      </c>
      <c r="N246" s="31">
        <f t="shared" si="3"/>
        <v>0</v>
      </c>
    </row>
    <row r="247">
      <c r="A247" s="31" t="s">
        <v>189</v>
      </c>
      <c r="B247" s="9">
        <v>2.0</v>
      </c>
      <c r="C247" s="31" t="str">
        <f>VLOOKUP(A247, 'College List'!A:B, 2, FALSE)</f>
        <v>Witherbloom</v>
      </c>
      <c r="D247" s="355">
        <f>VLOOKUP(B247,Quotas!$A$8:$C$14,2,FALSE)</f>
        <v>46143.70833</v>
      </c>
      <c r="E247" s="356">
        <f>VLOOKUP(B247,Quotas!$A$8:$C$14,3,FALSE)</f>
        <v>46150.70833</v>
      </c>
      <c r="F247" s="79">
        <f>COUNTIFS(Matches!$B:$B,A247,Matches!$A:$A,CONCAT("&gt;",$D247),Matches!$A:$A,CONCAT("&lt;",$E247))</f>
        <v>2</v>
      </c>
      <c r="G247" s="79">
        <f>COUNTIFS(Matches!$C:$C,$A247,Matches!$A:$A,CONCAT("&gt;",$D247),Matches!$A:$A,CONCAT("&lt;",$E247))</f>
        <v>3</v>
      </c>
      <c r="H247" s="79">
        <f t="shared" si="1"/>
        <v>5</v>
      </c>
      <c r="I247" s="79">
        <f>COUNTIFS(Matches!$B:$B,$A247,Matches!$A:$A,CONCAT("&lt;",$E247))</f>
        <v>7</v>
      </c>
      <c r="J247" s="79">
        <f>COUNTIFS(Matches!$C:$C,$A247,Matches!$A:$A,CONCAT("&lt;",$E247))</f>
        <v>3</v>
      </c>
      <c r="K247" s="79">
        <f>COUNTIFS(Entropy!D:D,A247,Entropy!I:I,CONCAT("&lt;",E247-1))</f>
        <v>0</v>
      </c>
      <c r="L247" s="79">
        <f t="shared" si="2"/>
        <v>10</v>
      </c>
      <c r="M247" s="79">
        <f t="array" ref="M247">max(min(IF(J247+K247=11,0,XLOOKUP(B247,Quotas!$A$8:$A$14,Quotas!$E$8:$E$14)-$L247),2),0)</f>
        <v>0</v>
      </c>
      <c r="N247" s="31">
        <f t="shared" si="3"/>
        <v>0</v>
      </c>
    </row>
    <row r="248">
      <c r="A248" s="31" t="s">
        <v>66</v>
      </c>
      <c r="B248" s="9">
        <v>2.0</v>
      </c>
      <c r="C248" s="31" t="str">
        <f>VLOOKUP(A248, 'College List'!A:B, 2, FALSE)</f>
        <v>Prismari</v>
      </c>
      <c r="D248" s="355">
        <f>VLOOKUP(B248,Quotas!$A$8:$C$14,2,FALSE)</f>
        <v>46143.70833</v>
      </c>
      <c r="E248" s="356">
        <f>VLOOKUP(B248,Quotas!$A$8:$C$14,3,FALSE)</f>
        <v>46150.70833</v>
      </c>
      <c r="F248" s="79">
        <f>COUNTIFS(Matches!$B:$B,A248,Matches!$A:$A,CONCAT("&gt;",$D248),Matches!$A:$A,CONCAT("&lt;",$E248))</f>
        <v>4</v>
      </c>
      <c r="G248" s="79">
        <f>COUNTIFS(Matches!$C:$C,$A248,Matches!$A:$A,CONCAT("&gt;",$D248),Matches!$A:$A,CONCAT("&lt;",$E248))</f>
        <v>1</v>
      </c>
      <c r="H248" s="79">
        <f t="shared" si="1"/>
        <v>5</v>
      </c>
      <c r="I248" s="79">
        <f>COUNTIFS(Matches!$B:$B,$A248,Matches!$A:$A,CONCAT("&lt;",$E248))</f>
        <v>5</v>
      </c>
      <c r="J248" s="79">
        <f>COUNTIFS(Matches!$C:$C,$A248,Matches!$A:$A,CONCAT("&lt;",$E248))</f>
        <v>5</v>
      </c>
      <c r="K248" s="79">
        <f>COUNTIFS(Entropy!D:D,A248,Entropy!I:I,CONCAT("&lt;",E248-1))</f>
        <v>0</v>
      </c>
      <c r="L248" s="79">
        <f t="shared" si="2"/>
        <v>10</v>
      </c>
      <c r="M248" s="79">
        <f t="array" ref="M248">max(min(IF(J248+K248=11,0,XLOOKUP(B248,Quotas!$A$8:$A$14,Quotas!$E$8:$E$14)-$L248),2),0)</f>
        <v>0</v>
      </c>
      <c r="N248" s="31">
        <f t="shared" si="3"/>
        <v>0</v>
      </c>
    </row>
    <row r="249">
      <c r="A249" s="31" t="s">
        <v>350</v>
      </c>
      <c r="B249" s="9">
        <v>2.0</v>
      </c>
      <c r="C249" s="31" t="str">
        <f>VLOOKUP(A249, 'College List'!A:B, 2, FALSE)</f>
        <v>Witherbloom</v>
      </c>
      <c r="D249" s="355">
        <f>VLOOKUP(B249,Quotas!$A$8:$C$14,2,FALSE)</f>
        <v>46143.70833</v>
      </c>
      <c r="E249" s="356">
        <f>VLOOKUP(B249,Quotas!$A$8:$C$14,3,FALSE)</f>
        <v>46150.70833</v>
      </c>
      <c r="F249" s="79">
        <f>COUNTIFS(Matches!$B:$B,A249,Matches!$A:$A,CONCAT("&gt;",$D249),Matches!$A:$A,CONCAT("&lt;",$E249))</f>
        <v>3</v>
      </c>
      <c r="G249" s="79">
        <f>COUNTIFS(Matches!$C:$C,$A249,Matches!$A:$A,CONCAT("&gt;",$D249),Matches!$A:$A,CONCAT("&lt;",$E249))</f>
        <v>2</v>
      </c>
      <c r="H249" s="79">
        <f t="shared" si="1"/>
        <v>5</v>
      </c>
      <c r="I249" s="79">
        <f>COUNTIFS(Matches!$B:$B,$A249,Matches!$A:$A,CONCAT("&lt;",$E249))</f>
        <v>7</v>
      </c>
      <c r="J249" s="79">
        <f>COUNTIFS(Matches!$C:$C,$A249,Matches!$A:$A,CONCAT("&lt;",$E249))</f>
        <v>3</v>
      </c>
      <c r="K249" s="79">
        <f>COUNTIFS(Entropy!D:D,A249,Entropy!I:I,CONCAT("&lt;",E249-1))</f>
        <v>0</v>
      </c>
      <c r="L249" s="79">
        <f t="shared" si="2"/>
        <v>10</v>
      </c>
      <c r="M249" s="79">
        <f t="array" ref="M249">max(min(IF(J249+K249=11,0,XLOOKUP(B249,Quotas!$A$8:$A$14,Quotas!$E$8:$E$14)-$L249),2),0)</f>
        <v>0</v>
      </c>
      <c r="N249" s="31">
        <f t="shared" si="3"/>
        <v>0</v>
      </c>
    </row>
    <row r="250">
      <c r="A250" s="31" t="s">
        <v>308</v>
      </c>
      <c r="B250" s="9">
        <v>2.0</v>
      </c>
      <c r="C250" s="31" t="str">
        <f>VLOOKUP(A250, 'College List'!A:B, 2, FALSE)</f>
        <v>Witherbloom</v>
      </c>
      <c r="D250" s="355">
        <f>VLOOKUP(B250,Quotas!$A$8:$C$14,2,FALSE)</f>
        <v>46143.70833</v>
      </c>
      <c r="E250" s="356">
        <f>VLOOKUP(B250,Quotas!$A$8:$C$14,3,FALSE)</f>
        <v>46150.70833</v>
      </c>
      <c r="F250" s="79">
        <f>COUNTIFS(Matches!$B:$B,A250,Matches!$A:$A,CONCAT("&gt;",$D250),Matches!$A:$A,CONCAT("&lt;",$E250))</f>
        <v>2</v>
      </c>
      <c r="G250" s="79">
        <f>COUNTIFS(Matches!$C:$C,$A250,Matches!$A:$A,CONCAT("&gt;",$D250),Matches!$A:$A,CONCAT("&lt;",$E250))</f>
        <v>3</v>
      </c>
      <c r="H250" s="79">
        <f t="shared" si="1"/>
        <v>5</v>
      </c>
      <c r="I250" s="79">
        <f>COUNTIFS(Matches!$B:$B,$A250,Matches!$A:$A,CONCAT("&lt;",$E250))</f>
        <v>4</v>
      </c>
      <c r="J250" s="79">
        <f>COUNTIFS(Matches!$C:$C,$A250,Matches!$A:$A,CONCAT("&lt;",$E250))</f>
        <v>5</v>
      </c>
      <c r="K250" s="79">
        <f>COUNTIFS(Entropy!D:D,A250,Entropy!I:I,CONCAT("&lt;",E250-1))</f>
        <v>0</v>
      </c>
      <c r="L250" s="79">
        <f t="shared" si="2"/>
        <v>9</v>
      </c>
      <c r="M250" s="79">
        <f t="array" ref="M250">max(min(IF(J250+K250=11,0,XLOOKUP(B250,Quotas!$A$8:$A$14,Quotas!$E$8:$E$14)-$L250),2),0)</f>
        <v>1</v>
      </c>
      <c r="N250" s="31">
        <f t="shared" si="3"/>
        <v>0.5</v>
      </c>
    </row>
    <row r="251">
      <c r="A251" s="31" t="s">
        <v>344</v>
      </c>
      <c r="B251" s="9">
        <v>2.0</v>
      </c>
      <c r="C251" s="31" t="str">
        <f>VLOOKUP(A251, 'College List'!A:B, 2, FALSE)</f>
        <v>Prismari</v>
      </c>
      <c r="D251" s="355">
        <f>VLOOKUP(B251,Quotas!$A$8:$C$14,2,FALSE)</f>
        <v>46143.70833</v>
      </c>
      <c r="E251" s="356">
        <f>VLOOKUP(B251,Quotas!$A$8:$C$14,3,FALSE)</f>
        <v>46150.70833</v>
      </c>
      <c r="F251" s="79">
        <f>COUNTIFS(Matches!$B:$B,A251,Matches!$A:$A,CONCAT("&gt;",$D251),Matches!$A:$A,CONCAT("&lt;",$E251))</f>
        <v>3</v>
      </c>
      <c r="G251" s="79">
        <f>COUNTIFS(Matches!$C:$C,$A251,Matches!$A:$A,CONCAT("&gt;",$D251),Matches!$A:$A,CONCAT("&lt;",$E251))</f>
        <v>2</v>
      </c>
      <c r="H251" s="79">
        <f t="shared" si="1"/>
        <v>5</v>
      </c>
      <c r="I251" s="79">
        <f>COUNTIFS(Matches!$B:$B,$A251,Matches!$A:$A,CONCAT("&lt;",$E251))</f>
        <v>5</v>
      </c>
      <c r="J251" s="79">
        <f>COUNTIFS(Matches!$C:$C,$A251,Matches!$A:$A,CONCAT("&lt;",$E251))</f>
        <v>5</v>
      </c>
      <c r="K251" s="79">
        <f>COUNTIFS(Entropy!D:D,A251,Entropy!I:I,CONCAT("&lt;",E251-1))</f>
        <v>0</v>
      </c>
      <c r="L251" s="79">
        <f t="shared" si="2"/>
        <v>10</v>
      </c>
      <c r="M251" s="79">
        <f t="array" ref="M251">max(min(IF(J251+K251=11,0,XLOOKUP(B251,Quotas!$A$8:$A$14,Quotas!$E$8:$E$14)-$L251),2),0)</f>
        <v>0</v>
      </c>
      <c r="N251" s="31">
        <f t="shared" si="3"/>
        <v>0</v>
      </c>
    </row>
    <row r="252">
      <c r="A252" s="31" t="s">
        <v>371</v>
      </c>
      <c r="B252" s="9">
        <v>2.0</v>
      </c>
      <c r="C252" s="31" t="str">
        <f>VLOOKUP(A252, 'College List'!A:B, 2, FALSE)</f>
        <v>Quandrix</v>
      </c>
      <c r="D252" s="355">
        <f>VLOOKUP(B252,Quotas!$A$8:$C$14,2,FALSE)</f>
        <v>46143.70833</v>
      </c>
      <c r="E252" s="356">
        <f>VLOOKUP(B252,Quotas!$A$8:$C$14,3,FALSE)</f>
        <v>46150.70833</v>
      </c>
      <c r="F252" s="79">
        <f>COUNTIFS(Matches!$B:$B,A252,Matches!$A:$A,CONCAT("&gt;",$D252),Matches!$A:$A,CONCAT("&lt;",$E252))</f>
        <v>2</v>
      </c>
      <c r="G252" s="79">
        <f>COUNTIFS(Matches!$C:$C,$A252,Matches!$A:$A,CONCAT("&gt;",$D252),Matches!$A:$A,CONCAT("&lt;",$E252))</f>
        <v>3</v>
      </c>
      <c r="H252" s="79">
        <f t="shared" si="1"/>
        <v>5</v>
      </c>
      <c r="I252" s="79">
        <f>COUNTIFS(Matches!$B:$B,$A252,Matches!$A:$A,CONCAT("&lt;",$E252))</f>
        <v>5</v>
      </c>
      <c r="J252" s="79">
        <f>COUNTIFS(Matches!$C:$C,$A252,Matches!$A:$A,CONCAT("&lt;",$E252))</f>
        <v>5</v>
      </c>
      <c r="K252" s="79">
        <f>COUNTIFS(Entropy!D:D,A252,Entropy!I:I,CONCAT("&lt;",E252-1))</f>
        <v>0</v>
      </c>
      <c r="L252" s="79">
        <f t="shared" si="2"/>
        <v>10</v>
      </c>
      <c r="M252" s="79">
        <f t="array" ref="M252">max(min(IF(J252+K252=11,0,XLOOKUP(B252,Quotas!$A$8:$A$14,Quotas!$E$8:$E$14)-$L252),2),0)</f>
        <v>0</v>
      </c>
      <c r="N252" s="31">
        <f t="shared" si="3"/>
        <v>0</v>
      </c>
    </row>
    <row r="253">
      <c r="A253" s="31" t="s">
        <v>296</v>
      </c>
      <c r="B253" s="9">
        <v>2.0</v>
      </c>
      <c r="C253" s="31" t="str">
        <f>VLOOKUP(A253, 'College List'!A:B, 2, FALSE)</f>
        <v>Witherbloom</v>
      </c>
      <c r="D253" s="355">
        <f>VLOOKUP(B253,Quotas!$A$8:$C$14,2,FALSE)</f>
        <v>46143.70833</v>
      </c>
      <c r="E253" s="356">
        <f>VLOOKUP(B253,Quotas!$A$8:$C$14,3,FALSE)</f>
        <v>46150.70833</v>
      </c>
      <c r="F253" s="79">
        <f>COUNTIFS(Matches!$B:$B,A253,Matches!$A:$A,CONCAT("&gt;",$D253),Matches!$A:$A,CONCAT("&lt;",$E253))</f>
        <v>5</v>
      </c>
      <c r="G253" s="79">
        <f>COUNTIFS(Matches!$C:$C,$A253,Matches!$A:$A,CONCAT("&gt;",$D253),Matches!$A:$A,CONCAT("&lt;",$E253))</f>
        <v>0</v>
      </c>
      <c r="H253" s="79">
        <f t="shared" si="1"/>
        <v>5</v>
      </c>
      <c r="I253" s="79">
        <f>COUNTIFS(Matches!$B:$B,$A253,Matches!$A:$A,CONCAT("&lt;",$E253))</f>
        <v>9</v>
      </c>
      <c r="J253" s="79">
        <f>COUNTIFS(Matches!$C:$C,$A253,Matches!$A:$A,CONCAT("&lt;",$E253))</f>
        <v>1</v>
      </c>
      <c r="K253" s="79">
        <f>COUNTIFS(Entropy!D:D,A253,Entropy!I:I,CONCAT("&lt;",E253-1))</f>
        <v>0</v>
      </c>
      <c r="L253" s="79">
        <f t="shared" si="2"/>
        <v>10</v>
      </c>
      <c r="M253" s="79">
        <f t="array" ref="M253">max(min(IF(J253+K253=11,0,XLOOKUP(B253,Quotas!$A$8:$A$14,Quotas!$E$8:$E$14)-$L253),2),0)</f>
        <v>0</v>
      </c>
      <c r="N253" s="31">
        <f t="shared" si="3"/>
        <v>0</v>
      </c>
    </row>
    <row r="254">
      <c r="A254" s="31" t="s">
        <v>61</v>
      </c>
      <c r="B254" s="9">
        <v>2.0</v>
      </c>
      <c r="C254" s="31" t="str">
        <f>VLOOKUP(A254, 'College List'!A:B, 2, FALSE)</f>
        <v>Lorehold</v>
      </c>
      <c r="D254" s="355">
        <f>VLOOKUP(B254,Quotas!$A$8:$C$14,2,FALSE)</f>
        <v>46143.70833</v>
      </c>
      <c r="E254" s="356">
        <f>VLOOKUP(B254,Quotas!$A$8:$C$14,3,FALSE)</f>
        <v>46150.70833</v>
      </c>
      <c r="F254" s="79">
        <f>COUNTIFS(Matches!$B:$B,A254,Matches!$A:$A,CONCAT("&gt;",$D254),Matches!$A:$A,CONCAT("&lt;",$E254))</f>
        <v>3</v>
      </c>
      <c r="G254" s="79">
        <f>COUNTIFS(Matches!$C:$C,$A254,Matches!$A:$A,CONCAT("&gt;",$D254),Matches!$A:$A,CONCAT("&lt;",$E254))</f>
        <v>2</v>
      </c>
      <c r="H254" s="79">
        <f t="shared" si="1"/>
        <v>5</v>
      </c>
      <c r="I254" s="79">
        <f>COUNTIFS(Matches!$B:$B,$A254,Matches!$A:$A,CONCAT("&lt;",$E254))</f>
        <v>4</v>
      </c>
      <c r="J254" s="79">
        <f>COUNTIFS(Matches!$C:$C,$A254,Matches!$A:$A,CONCAT("&lt;",$E254))</f>
        <v>6</v>
      </c>
      <c r="K254" s="79">
        <f>COUNTIFS(Entropy!D:D,A254,Entropy!I:I,CONCAT("&lt;",E254-1))</f>
        <v>0</v>
      </c>
      <c r="L254" s="79">
        <f t="shared" si="2"/>
        <v>10</v>
      </c>
      <c r="M254" s="79">
        <f t="array" ref="M254">max(min(IF(J254+K254=11,0,XLOOKUP(B254,Quotas!$A$8:$A$14,Quotas!$E$8:$E$14)-$L254),2),0)</f>
        <v>0</v>
      </c>
      <c r="N254" s="31">
        <f t="shared" si="3"/>
        <v>0</v>
      </c>
    </row>
    <row r="255">
      <c r="A255" s="31" t="s">
        <v>63</v>
      </c>
      <c r="B255" s="9">
        <v>2.0</v>
      </c>
      <c r="C255" s="31" t="str">
        <f>VLOOKUP(A255, 'College List'!A:B, 2, FALSE)</f>
        <v>Quandrix</v>
      </c>
      <c r="D255" s="355">
        <f>VLOOKUP(B255,Quotas!$A$8:$C$14,2,FALSE)</f>
        <v>46143.70833</v>
      </c>
      <c r="E255" s="356">
        <f>VLOOKUP(B255,Quotas!$A$8:$C$14,3,FALSE)</f>
        <v>46150.70833</v>
      </c>
      <c r="F255" s="79">
        <f>COUNTIFS(Matches!$B:$B,A255,Matches!$A:$A,CONCAT("&gt;",$D255),Matches!$A:$A,CONCAT("&lt;",$E255))</f>
        <v>2</v>
      </c>
      <c r="G255" s="79">
        <f>COUNTIFS(Matches!$C:$C,$A255,Matches!$A:$A,CONCAT("&gt;",$D255),Matches!$A:$A,CONCAT("&lt;",$E255))</f>
        <v>3</v>
      </c>
      <c r="H255" s="79">
        <f t="shared" si="1"/>
        <v>5</v>
      </c>
      <c r="I255" s="79">
        <f>COUNTIFS(Matches!$B:$B,$A255,Matches!$A:$A,CONCAT("&lt;",$E255))</f>
        <v>5</v>
      </c>
      <c r="J255" s="79">
        <f>COUNTIFS(Matches!$C:$C,$A255,Matches!$A:$A,CONCAT("&lt;",$E255))</f>
        <v>5</v>
      </c>
      <c r="K255" s="79">
        <f>COUNTIFS(Entropy!D:D,A255,Entropy!I:I,CONCAT("&lt;",E255-1))</f>
        <v>0</v>
      </c>
      <c r="L255" s="79">
        <f t="shared" si="2"/>
        <v>10</v>
      </c>
      <c r="M255" s="79">
        <f t="array" ref="M255">max(min(IF(J255+K255=11,0,XLOOKUP(B255,Quotas!$A$8:$A$14,Quotas!$E$8:$E$14)-$L255),2),0)</f>
        <v>0</v>
      </c>
      <c r="N255" s="31">
        <f t="shared" si="3"/>
        <v>0</v>
      </c>
    </row>
    <row r="256">
      <c r="A256" s="31" t="s">
        <v>271</v>
      </c>
      <c r="B256" s="9">
        <v>2.0</v>
      </c>
      <c r="C256" s="31" t="str">
        <f>VLOOKUP(A256, 'College List'!A:B, 2, FALSE)</f>
        <v>Lorehold</v>
      </c>
      <c r="D256" s="355">
        <f>VLOOKUP(B256,Quotas!$A$8:$C$14,2,FALSE)</f>
        <v>46143.70833</v>
      </c>
      <c r="E256" s="356">
        <f>VLOOKUP(B256,Quotas!$A$8:$C$14,3,FALSE)</f>
        <v>46150.70833</v>
      </c>
      <c r="F256" s="79">
        <f>COUNTIFS(Matches!$B:$B,A256,Matches!$A:$A,CONCAT("&gt;",$D256),Matches!$A:$A,CONCAT("&lt;",$E256))</f>
        <v>3</v>
      </c>
      <c r="G256" s="79">
        <f>COUNTIFS(Matches!$C:$C,$A256,Matches!$A:$A,CONCAT("&gt;",$D256),Matches!$A:$A,CONCAT("&lt;",$E256))</f>
        <v>2</v>
      </c>
      <c r="H256" s="79">
        <f t="shared" si="1"/>
        <v>5</v>
      </c>
      <c r="I256" s="79">
        <f>COUNTIFS(Matches!$B:$B,$A256,Matches!$A:$A,CONCAT("&lt;",$E256))</f>
        <v>7</v>
      </c>
      <c r="J256" s="79">
        <f>COUNTIFS(Matches!$C:$C,$A256,Matches!$A:$A,CONCAT("&lt;",$E256))</f>
        <v>3</v>
      </c>
      <c r="K256" s="79">
        <f>COUNTIFS(Entropy!D:D,A256,Entropy!I:I,CONCAT("&lt;",E256-1))</f>
        <v>0</v>
      </c>
      <c r="L256" s="79">
        <f t="shared" si="2"/>
        <v>10</v>
      </c>
      <c r="M256" s="79">
        <f t="array" ref="M256">max(min(IF(J256+K256=11,0,XLOOKUP(B256,Quotas!$A$8:$A$14,Quotas!$E$8:$E$14)-$L256),2),0)</f>
        <v>0</v>
      </c>
      <c r="N256" s="31">
        <f t="shared" si="3"/>
        <v>0</v>
      </c>
    </row>
    <row r="257">
      <c r="A257" s="31" t="s">
        <v>369</v>
      </c>
      <c r="B257" s="9">
        <v>2.0</v>
      </c>
      <c r="C257" s="31" t="str">
        <f>VLOOKUP(A257, 'College List'!A:B, 2, FALSE)</f>
        <v>Silverquill</v>
      </c>
      <c r="D257" s="355">
        <f>VLOOKUP(B257,Quotas!$A$8:$C$14,2,FALSE)</f>
        <v>46143.70833</v>
      </c>
      <c r="E257" s="356">
        <f>VLOOKUP(B257,Quotas!$A$8:$C$14,3,FALSE)</f>
        <v>46150.70833</v>
      </c>
      <c r="F257" s="79">
        <f>COUNTIFS(Matches!$B:$B,A257,Matches!$A:$A,CONCAT("&gt;",$D257),Matches!$A:$A,CONCAT("&lt;",$E257))</f>
        <v>3</v>
      </c>
      <c r="G257" s="79">
        <f>COUNTIFS(Matches!$C:$C,$A257,Matches!$A:$A,CONCAT("&gt;",$D257),Matches!$A:$A,CONCAT("&lt;",$E257))</f>
        <v>4</v>
      </c>
      <c r="H257" s="79">
        <f t="shared" si="1"/>
        <v>7</v>
      </c>
      <c r="I257" s="79">
        <f>COUNTIFS(Matches!$B:$B,$A257,Matches!$A:$A,CONCAT("&lt;",$E257))</f>
        <v>4</v>
      </c>
      <c r="J257" s="79">
        <f>COUNTIFS(Matches!$C:$C,$A257,Matches!$A:$A,CONCAT("&lt;",$E257))</f>
        <v>6</v>
      </c>
      <c r="K257" s="79">
        <f>COUNTIFS(Entropy!D:D,A257,Entropy!I:I,CONCAT("&lt;",E257-1))</f>
        <v>0</v>
      </c>
      <c r="L257" s="79">
        <f t="shared" si="2"/>
        <v>10</v>
      </c>
      <c r="M257" s="79">
        <f t="array" ref="M257">max(min(IF(J257+K257=11,0,XLOOKUP(B257,Quotas!$A$8:$A$14,Quotas!$E$8:$E$14)-$L257),2),0)</f>
        <v>0</v>
      </c>
      <c r="N257" s="31">
        <f t="shared" si="3"/>
        <v>0</v>
      </c>
    </row>
    <row r="258">
      <c r="A258" s="31" t="s">
        <v>401</v>
      </c>
      <c r="B258" s="9">
        <v>2.0</v>
      </c>
      <c r="C258" s="31" t="str">
        <f>VLOOKUP(A258, 'College List'!A:B, 2, FALSE)</f>
        <v>Quandrix</v>
      </c>
      <c r="D258" s="355">
        <f>VLOOKUP(B258,Quotas!$A$8:$C$14,2,FALSE)</f>
        <v>46143.70833</v>
      </c>
      <c r="E258" s="356">
        <f>VLOOKUP(B258,Quotas!$A$8:$C$14,3,FALSE)</f>
        <v>46150.70833</v>
      </c>
      <c r="F258" s="79">
        <f>COUNTIFS(Matches!$B:$B,A258,Matches!$A:$A,CONCAT("&gt;",$D258),Matches!$A:$A,CONCAT("&lt;",$E258))</f>
        <v>3</v>
      </c>
      <c r="G258" s="79">
        <f>COUNTIFS(Matches!$C:$C,$A258,Matches!$A:$A,CONCAT("&gt;",$D258),Matches!$A:$A,CONCAT("&lt;",$E258))</f>
        <v>3</v>
      </c>
      <c r="H258" s="79">
        <f t="shared" si="1"/>
        <v>6</v>
      </c>
      <c r="I258" s="79">
        <f>COUNTIFS(Matches!$B:$B,$A258,Matches!$A:$A,CONCAT("&lt;",$E258))</f>
        <v>4</v>
      </c>
      <c r="J258" s="79">
        <f>COUNTIFS(Matches!$C:$C,$A258,Matches!$A:$A,CONCAT("&lt;",$E258))</f>
        <v>6</v>
      </c>
      <c r="K258" s="79">
        <f>COUNTIFS(Entropy!D:D,A258,Entropy!I:I,CONCAT("&lt;",E258-1))</f>
        <v>0</v>
      </c>
      <c r="L258" s="79">
        <f t="shared" si="2"/>
        <v>10</v>
      </c>
      <c r="M258" s="79">
        <f t="array" ref="M258">max(min(IF(J258+K258=11,0,XLOOKUP(B258,Quotas!$A$8:$A$14,Quotas!$E$8:$E$14)-$L258),2),0)</f>
        <v>0</v>
      </c>
      <c r="N258" s="31">
        <f t="shared" si="3"/>
        <v>0</v>
      </c>
    </row>
    <row r="259">
      <c r="A259" s="31" t="s">
        <v>378</v>
      </c>
      <c r="B259" s="9">
        <v>2.0</v>
      </c>
      <c r="C259" s="31" t="str">
        <f>VLOOKUP(A259, 'College List'!A:B, 2, FALSE)</f>
        <v>Lorehold</v>
      </c>
      <c r="D259" s="355">
        <f>VLOOKUP(B259,Quotas!$A$8:$C$14,2,FALSE)</f>
        <v>46143.70833</v>
      </c>
      <c r="E259" s="356">
        <f>VLOOKUP(B259,Quotas!$A$8:$C$14,3,FALSE)</f>
        <v>46150.70833</v>
      </c>
      <c r="F259" s="79">
        <f>COUNTIFS(Matches!$B:$B,A259,Matches!$A:$A,CONCAT("&gt;",$D259),Matches!$A:$A,CONCAT("&lt;",$E259))</f>
        <v>2</v>
      </c>
      <c r="G259" s="79">
        <f>COUNTIFS(Matches!$C:$C,$A259,Matches!$A:$A,CONCAT("&gt;",$D259),Matches!$A:$A,CONCAT("&lt;",$E259))</f>
        <v>2</v>
      </c>
      <c r="H259" s="79">
        <f t="shared" si="1"/>
        <v>4</v>
      </c>
      <c r="I259" s="79">
        <f>COUNTIFS(Matches!$B:$B,$A259,Matches!$A:$A,CONCAT("&lt;",$E259))</f>
        <v>4</v>
      </c>
      <c r="J259" s="79">
        <f>COUNTIFS(Matches!$C:$C,$A259,Matches!$A:$A,CONCAT("&lt;",$E259))</f>
        <v>5</v>
      </c>
      <c r="K259" s="79">
        <f>COUNTIFS(Entropy!D:D,A259,Entropy!I:I,CONCAT("&lt;",E259-1))</f>
        <v>0</v>
      </c>
      <c r="L259" s="79">
        <f t="shared" si="2"/>
        <v>9</v>
      </c>
      <c r="M259" s="79">
        <f t="array" ref="M259">max(min(IF(J259+K259=11,0,XLOOKUP(B259,Quotas!$A$8:$A$14,Quotas!$E$8:$E$14)-$L259),2),0)</f>
        <v>1</v>
      </c>
      <c r="N259" s="31">
        <f t="shared" si="3"/>
        <v>0.5</v>
      </c>
    </row>
    <row r="260">
      <c r="A260" s="31" t="s">
        <v>372</v>
      </c>
      <c r="B260" s="9">
        <v>2.0</v>
      </c>
      <c r="C260" s="31" t="str">
        <f>VLOOKUP(A260, 'College List'!A:B, 2, FALSE)</f>
        <v>Silverquill</v>
      </c>
      <c r="D260" s="355">
        <f>VLOOKUP(B260,Quotas!$A$8:$C$14,2,FALSE)</f>
        <v>46143.70833</v>
      </c>
      <c r="E260" s="356">
        <f>VLOOKUP(B260,Quotas!$A$8:$C$14,3,FALSE)</f>
        <v>46150.70833</v>
      </c>
      <c r="F260" s="79">
        <f>COUNTIFS(Matches!$B:$B,A260,Matches!$A:$A,CONCAT("&gt;",$D260),Matches!$A:$A,CONCAT("&lt;",$E260))</f>
        <v>0</v>
      </c>
      <c r="G260" s="79">
        <f>COUNTIFS(Matches!$C:$C,$A260,Matches!$A:$A,CONCAT("&gt;",$D260),Matches!$A:$A,CONCAT("&lt;",$E260))</f>
        <v>2</v>
      </c>
      <c r="H260" s="79">
        <f t="shared" si="1"/>
        <v>2</v>
      </c>
      <c r="I260" s="79">
        <f>COUNTIFS(Matches!$B:$B,$A260,Matches!$A:$A,CONCAT("&lt;",$E260))</f>
        <v>0</v>
      </c>
      <c r="J260" s="79">
        <f>COUNTIFS(Matches!$C:$C,$A260,Matches!$A:$A,CONCAT("&lt;",$E260))</f>
        <v>6</v>
      </c>
      <c r="K260" s="79">
        <f>COUNTIFS(Entropy!D:D,A260,Entropy!I:I,CONCAT("&lt;",E260-1))</f>
        <v>0</v>
      </c>
      <c r="L260" s="79">
        <f t="shared" si="2"/>
        <v>6</v>
      </c>
      <c r="M260" s="79">
        <f t="array" ref="M260">max(min(IF(J260+K260=11,0,XLOOKUP(B260,Quotas!$A$8:$A$14,Quotas!$E$8:$E$14)-$L260),2),0)</f>
        <v>2</v>
      </c>
      <c r="N260" s="31">
        <f t="shared" si="3"/>
        <v>1</v>
      </c>
    </row>
    <row r="261">
      <c r="A261" s="31" t="s">
        <v>273</v>
      </c>
      <c r="B261" s="9">
        <v>2.0</v>
      </c>
      <c r="C261" s="31" t="str">
        <f>VLOOKUP(A261, 'College List'!A:B, 2, FALSE)</f>
        <v>Witherbloom</v>
      </c>
      <c r="D261" s="355">
        <f>VLOOKUP(B261,Quotas!$A$8:$C$14,2,FALSE)</f>
        <v>46143.70833</v>
      </c>
      <c r="E261" s="356">
        <f>VLOOKUP(B261,Quotas!$A$8:$C$14,3,FALSE)</f>
        <v>46150.70833</v>
      </c>
      <c r="F261" s="79">
        <f>COUNTIFS(Matches!$B:$B,A261,Matches!$A:$A,CONCAT("&gt;",$D261),Matches!$A:$A,CONCAT("&lt;",$E261))</f>
        <v>4</v>
      </c>
      <c r="G261" s="79">
        <f>COUNTIFS(Matches!$C:$C,$A261,Matches!$A:$A,CONCAT("&gt;",$D261),Matches!$A:$A,CONCAT("&lt;",$E261))</f>
        <v>1</v>
      </c>
      <c r="H261" s="79">
        <f t="shared" si="1"/>
        <v>5</v>
      </c>
      <c r="I261" s="79">
        <f>COUNTIFS(Matches!$B:$B,$A261,Matches!$A:$A,CONCAT("&lt;",$E261))</f>
        <v>7</v>
      </c>
      <c r="J261" s="79">
        <f>COUNTIFS(Matches!$C:$C,$A261,Matches!$A:$A,CONCAT("&lt;",$E261))</f>
        <v>3</v>
      </c>
      <c r="K261" s="79">
        <f>COUNTIFS(Entropy!D:D,A261,Entropy!I:I,CONCAT("&lt;",E261-1))</f>
        <v>0</v>
      </c>
      <c r="L261" s="79">
        <f t="shared" si="2"/>
        <v>10</v>
      </c>
      <c r="M261" s="79">
        <f t="array" ref="M261">max(min(IF(J261+K261=11,0,XLOOKUP(B261,Quotas!$A$8:$A$14,Quotas!$E$8:$E$14)-$L261),2),0)</f>
        <v>0</v>
      </c>
      <c r="N261" s="31">
        <f t="shared" si="3"/>
        <v>0</v>
      </c>
    </row>
    <row r="262">
      <c r="A262" s="31" t="s">
        <v>264</v>
      </c>
      <c r="B262" s="9">
        <v>2.0</v>
      </c>
      <c r="C262" s="31" t="str">
        <f>VLOOKUP(A262, 'College List'!A:B, 2, FALSE)</f>
        <v>Witherbloom</v>
      </c>
      <c r="D262" s="355">
        <f>VLOOKUP(B262,Quotas!$A$8:$C$14,2,FALSE)</f>
        <v>46143.70833</v>
      </c>
      <c r="E262" s="356">
        <f>VLOOKUP(B262,Quotas!$A$8:$C$14,3,FALSE)</f>
        <v>46150.70833</v>
      </c>
      <c r="F262" s="79">
        <f>COUNTIFS(Matches!$B:$B,A262,Matches!$A:$A,CONCAT("&gt;",$D262),Matches!$A:$A,CONCAT("&lt;",$E262))</f>
        <v>4</v>
      </c>
      <c r="G262" s="79">
        <f>COUNTIFS(Matches!$C:$C,$A262,Matches!$A:$A,CONCAT("&gt;",$D262),Matches!$A:$A,CONCAT("&lt;",$E262))</f>
        <v>1</v>
      </c>
      <c r="H262" s="79">
        <f t="shared" si="1"/>
        <v>5</v>
      </c>
      <c r="I262" s="79">
        <f>COUNTIFS(Matches!$B:$B,$A262,Matches!$A:$A,CONCAT("&lt;",$E262))</f>
        <v>7</v>
      </c>
      <c r="J262" s="79">
        <f>COUNTIFS(Matches!$C:$C,$A262,Matches!$A:$A,CONCAT("&lt;",$E262))</f>
        <v>3</v>
      </c>
      <c r="K262" s="79">
        <f>COUNTIFS(Entropy!D:D,A262,Entropy!I:I,CONCAT("&lt;",E262-1))</f>
        <v>0</v>
      </c>
      <c r="L262" s="79">
        <f t="shared" si="2"/>
        <v>10</v>
      </c>
      <c r="M262" s="79">
        <f t="array" ref="M262">max(min(IF(J262+K262=11,0,XLOOKUP(B262,Quotas!$A$8:$A$14,Quotas!$E$8:$E$14)-$L262),2),0)</f>
        <v>0</v>
      </c>
      <c r="N262" s="31">
        <f t="shared" si="3"/>
        <v>0</v>
      </c>
    </row>
    <row r="263">
      <c r="A263" s="31" t="s">
        <v>297</v>
      </c>
      <c r="B263" s="9">
        <v>2.0</v>
      </c>
      <c r="C263" s="31" t="str">
        <f>VLOOKUP(A263, 'College List'!A:B, 2, FALSE)</f>
        <v>Quandrix</v>
      </c>
      <c r="D263" s="355">
        <f>VLOOKUP(B263,Quotas!$A$8:$C$14,2,FALSE)</f>
        <v>46143.70833</v>
      </c>
      <c r="E263" s="356">
        <f>VLOOKUP(B263,Quotas!$A$8:$C$14,3,FALSE)</f>
        <v>46150.70833</v>
      </c>
      <c r="F263" s="79">
        <f>COUNTIFS(Matches!$B:$B,A263,Matches!$A:$A,CONCAT("&gt;",$D263),Matches!$A:$A,CONCAT("&lt;",$E263))</f>
        <v>2</v>
      </c>
      <c r="G263" s="79">
        <f>COUNTIFS(Matches!$C:$C,$A263,Matches!$A:$A,CONCAT("&gt;",$D263),Matches!$A:$A,CONCAT("&lt;",$E263))</f>
        <v>3</v>
      </c>
      <c r="H263" s="79">
        <f t="shared" si="1"/>
        <v>5</v>
      </c>
      <c r="I263" s="79">
        <f>COUNTIFS(Matches!$B:$B,$A263,Matches!$A:$A,CONCAT("&lt;",$E263))</f>
        <v>5</v>
      </c>
      <c r="J263" s="79">
        <f>COUNTIFS(Matches!$C:$C,$A263,Matches!$A:$A,CONCAT("&lt;",$E263))</f>
        <v>5</v>
      </c>
      <c r="K263" s="79">
        <f>COUNTIFS(Entropy!D:D,A263,Entropy!I:I,CONCAT("&lt;",E263-1))</f>
        <v>0</v>
      </c>
      <c r="L263" s="79">
        <f t="shared" si="2"/>
        <v>10</v>
      </c>
      <c r="M263" s="79">
        <f t="array" ref="M263">max(min(IF(J263+K263=11,0,XLOOKUP(B263,Quotas!$A$8:$A$14,Quotas!$E$8:$E$14)-$L263),2),0)</f>
        <v>0</v>
      </c>
      <c r="N263" s="31">
        <f t="shared" si="3"/>
        <v>0</v>
      </c>
    </row>
    <row r="264">
      <c r="A264" s="31" t="s">
        <v>410</v>
      </c>
      <c r="B264" s="9">
        <v>2.0</v>
      </c>
      <c r="C264" s="31" t="str">
        <f>VLOOKUP(A264, 'College List'!A:B, 2, FALSE)</f>
        <v>Quandrix</v>
      </c>
      <c r="D264" s="355">
        <f>VLOOKUP(B264,Quotas!$A$8:$C$14,2,FALSE)</f>
        <v>46143.70833</v>
      </c>
      <c r="E264" s="356">
        <f>VLOOKUP(B264,Quotas!$A$8:$C$14,3,FALSE)</f>
        <v>46150.70833</v>
      </c>
      <c r="F264" s="79">
        <f>COUNTIFS(Matches!$B:$B,A264,Matches!$A:$A,CONCAT("&gt;",$D264),Matches!$A:$A,CONCAT("&lt;",$E264))</f>
        <v>0</v>
      </c>
      <c r="G264" s="79">
        <f>COUNTIFS(Matches!$C:$C,$A264,Matches!$A:$A,CONCAT("&gt;",$D264),Matches!$A:$A,CONCAT("&lt;",$E264))</f>
        <v>0</v>
      </c>
      <c r="H264" s="79">
        <f t="shared" si="1"/>
        <v>0</v>
      </c>
      <c r="I264" s="79">
        <f>COUNTIFS(Matches!$B:$B,$A264,Matches!$A:$A,CONCAT("&lt;",$E264))</f>
        <v>1</v>
      </c>
      <c r="J264" s="79">
        <f>COUNTIFS(Matches!$C:$C,$A264,Matches!$A:$A,CONCAT("&lt;",$E264))</f>
        <v>4</v>
      </c>
      <c r="K264" s="79">
        <f>COUNTIFS(Entropy!D:D,A264,Entropy!I:I,CONCAT("&lt;",E264-1))</f>
        <v>0</v>
      </c>
      <c r="L264" s="79">
        <f t="shared" si="2"/>
        <v>5</v>
      </c>
      <c r="M264" s="79">
        <f t="array" ref="M264">max(min(IF(J264+K264=11,0,XLOOKUP(B264,Quotas!$A$8:$A$14,Quotas!$E$8:$E$14)-$L264),2),0)</f>
        <v>2</v>
      </c>
      <c r="N264" s="31">
        <f t="shared" si="3"/>
        <v>0</v>
      </c>
    </row>
    <row r="265">
      <c r="A265" s="31" t="s">
        <v>261</v>
      </c>
      <c r="B265" s="9">
        <v>2.0</v>
      </c>
      <c r="C265" s="31" t="str">
        <f>VLOOKUP(A265, 'College List'!A:B, 2, FALSE)</f>
        <v>Witherbloom</v>
      </c>
      <c r="D265" s="355">
        <f>VLOOKUP(B265,Quotas!$A$8:$C$14,2,FALSE)</f>
        <v>46143.70833</v>
      </c>
      <c r="E265" s="356">
        <f>VLOOKUP(B265,Quotas!$A$8:$C$14,3,FALSE)</f>
        <v>46150.70833</v>
      </c>
      <c r="F265" s="79">
        <f>COUNTIFS(Matches!$B:$B,A265,Matches!$A:$A,CONCAT("&gt;",$D265),Matches!$A:$A,CONCAT("&lt;",$E265))</f>
        <v>5</v>
      </c>
      <c r="G265" s="79">
        <f>COUNTIFS(Matches!$C:$C,$A265,Matches!$A:$A,CONCAT("&gt;",$D265),Matches!$A:$A,CONCAT("&lt;",$E265))</f>
        <v>0</v>
      </c>
      <c r="H265" s="79">
        <f t="shared" si="1"/>
        <v>5</v>
      </c>
      <c r="I265" s="79">
        <f>COUNTIFS(Matches!$B:$B,$A265,Matches!$A:$A,CONCAT("&lt;",$E265))</f>
        <v>6</v>
      </c>
      <c r="J265" s="79">
        <f>COUNTIFS(Matches!$C:$C,$A265,Matches!$A:$A,CONCAT("&lt;",$E265))</f>
        <v>4</v>
      </c>
      <c r="K265" s="79">
        <f>COUNTIFS(Entropy!D:D,A265,Entropy!I:I,CONCAT("&lt;",E265-1))</f>
        <v>0</v>
      </c>
      <c r="L265" s="79">
        <f t="shared" si="2"/>
        <v>10</v>
      </c>
      <c r="M265" s="79">
        <f t="array" ref="M265">max(min(IF(J265+K265=11,0,XLOOKUP(B265,Quotas!$A$8:$A$14,Quotas!$E$8:$E$14)-$L265),2),0)</f>
        <v>0</v>
      </c>
      <c r="N265" s="31">
        <f t="shared" si="3"/>
        <v>0</v>
      </c>
    </row>
    <row r="266">
      <c r="A266" s="31" t="s">
        <v>291</v>
      </c>
      <c r="B266" s="9">
        <v>2.0</v>
      </c>
      <c r="C266" s="31" t="str">
        <f>VLOOKUP(A266, 'College List'!A:B, 2, FALSE)</f>
        <v>Silverquill</v>
      </c>
      <c r="D266" s="355">
        <f>VLOOKUP(B266,Quotas!$A$8:$C$14,2,FALSE)</f>
        <v>46143.70833</v>
      </c>
      <c r="E266" s="356">
        <f>VLOOKUP(B266,Quotas!$A$8:$C$14,3,FALSE)</f>
        <v>46150.70833</v>
      </c>
      <c r="F266" s="79">
        <f>COUNTIFS(Matches!$B:$B,A266,Matches!$A:$A,CONCAT("&gt;",$D266),Matches!$A:$A,CONCAT("&lt;",$E266))</f>
        <v>1</v>
      </c>
      <c r="G266" s="79">
        <f>COUNTIFS(Matches!$C:$C,$A266,Matches!$A:$A,CONCAT("&gt;",$D266),Matches!$A:$A,CONCAT("&lt;",$E266))</f>
        <v>4</v>
      </c>
      <c r="H266" s="79">
        <f t="shared" si="1"/>
        <v>5</v>
      </c>
      <c r="I266" s="79">
        <f>COUNTIFS(Matches!$B:$B,$A266,Matches!$A:$A,CONCAT("&lt;",$E266))</f>
        <v>1</v>
      </c>
      <c r="J266" s="79">
        <f>COUNTIFS(Matches!$C:$C,$A266,Matches!$A:$A,CONCAT("&lt;",$E266))</f>
        <v>9</v>
      </c>
      <c r="K266" s="79">
        <f>COUNTIFS(Entropy!D:D,A266,Entropy!I:I,CONCAT("&lt;",E266-1))</f>
        <v>0</v>
      </c>
      <c r="L266" s="79">
        <f t="shared" si="2"/>
        <v>10</v>
      </c>
      <c r="M266" s="79">
        <f t="array" ref="M266">max(min(IF(J266+K266=11,0,XLOOKUP(B266,Quotas!$A$8:$A$14,Quotas!$E$8:$E$14)-$L266),2),0)</f>
        <v>0</v>
      </c>
      <c r="N266" s="31">
        <f t="shared" si="3"/>
        <v>0</v>
      </c>
    </row>
    <row r="267">
      <c r="A267" s="31" t="s">
        <v>397</v>
      </c>
      <c r="B267" s="9">
        <v>2.0</v>
      </c>
      <c r="C267" s="31" t="str">
        <f>VLOOKUP(A267, 'College List'!A:B, 2, FALSE)</f>
        <v>Quandrix</v>
      </c>
      <c r="D267" s="355">
        <f>VLOOKUP(B267,Quotas!$A$8:$C$14,2,FALSE)</f>
        <v>46143.70833</v>
      </c>
      <c r="E267" s="356">
        <f>VLOOKUP(B267,Quotas!$A$8:$C$14,3,FALSE)</f>
        <v>46150.70833</v>
      </c>
      <c r="F267" s="79">
        <f>COUNTIFS(Matches!$B:$B,A267,Matches!$A:$A,CONCAT("&gt;",$D267),Matches!$A:$A,CONCAT("&lt;",$E267))</f>
        <v>4</v>
      </c>
      <c r="G267" s="79">
        <f>COUNTIFS(Matches!$C:$C,$A267,Matches!$A:$A,CONCAT("&gt;",$D267),Matches!$A:$A,CONCAT("&lt;",$E267))</f>
        <v>1</v>
      </c>
      <c r="H267" s="79">
        <f t="shared" si="1"/>
        <v>5</v>
      </c>
      <c r="I267" s="79">
        <f>COUNTIFS(Matches!$B:$B,$A267,Matches!$A:$A,CONCAT("&lt;",$E267))</f>
        <v>7</v>
      </c>
      <c r="J267" s="79">
        <f>COUNTIFS(Matches!$C:$C,$A267,Matches!$A:$A,CONCAT("&lt;",$E267))</f>
        <v>3</v>
      </c>
      <c r="K267" s="79">
        <f>COUNTIFS(Entropy!D:D,A267,Entropy!I:I,CONCAT("&lt;",E267-1))</f>
        <v>0</v>
      </c>
      <c r="L267" s="79">
        <f t="shared" si="2"/>
        <v>10</v>
      </c>
      <c r="M267" s="79">
        <f t="array" ref="M267">max(min(IF(J267+K267=11,0,XLOOKUP(B267,Quotas!$A$8:$A$14,Quotas!$E$8:$E$14)-$L267),2),0)</f>
        <v>0</v>
      </c>
      <c r="N267" s="31">
        <f t="shared" si="3"/>
        <v>0</v>
      </c>
    </row>
    <row r="268">
      <c r="A268" s="31" t="s">
        <v>239</v>
      </c>
      <c r="B268" s="9">
        <v>2.0</v>
      </c>
      <c r="C268" s="31" t="str">
        <f>VLOOKUP(A268, 'College List'!A:B, 2, FALSE)</f>
        <v>Quandrix</v>
      </c>
      <c r="D268" s="355">
        <f>VLOOKUP(B268,Quotas!$A$8:$C$14,2,FALSE)</f>
        <v>46143.70833</v>
      </c>
      <c r="E268" s="356">
        <f>VLOOKUP(B268,Quotas!$A$8:$C$14,3,FALSE)</f>
        <v>46150.70833</v>
      </c>
      <c r="F268" s="79">
        <f>COUNTIFS(Matches!$B:$B,A268,Matches!$A:$A,CONCAT("&gt;",$D268),Matches!$A:$A,CONCAT("&lt;",$E268))</f>
        <v>1</v>
      </c>
      <c r="G268" s="79">
        <f>COUNTIFS(Matches!$C:$C,$A268,Matches!$A:$A,CONCAT("&gt;",$D268),Matches!$A:$A,CONCAT("&lt;",$E268))</f>
        <v>4</v>
      </c>
      <c r="H268" s="79">
        <f t="shared" si="1"/>
        <v>5</v>
      </c>
      <c r="I268" s="79">
        <f>COUNTIFS(Matches!$B:$B,$A268,Matches!$A:$A,CONCAT("&lt;",$E268))</f>
        <v>4</v>
      </c>
      <c r="J268" s="79">
        <f>COUNTIFS(Matches!$C:$C,$A268,Matches!$A:$A,CONCAT("&lt;",$E268))</f>
        <v>6</v>
      </c>
      <c r="K268" s="79">
        <f>COUNTIFS(Entropy!D:D,A268,Entropy!I:I,CONCAT("&lt;",E268-1))</f>
        <v>0</v>
      </c>
      <c r="L268" s="79">
        <f t="shared" si="2"/>
        <v>10</v>
      </c>
      <c r="M268" s="79">
        <f t="array" ref="M268">max(min(IF(J268+K268=11,0,XLOOKUP(B268,Quotas!$A$8:$A$14,Quotas!$E$8:$E$14)-$L268),2),0)</f>
        <v>0</v>
      </c>
      <c r="N268" s="31">
        <f t="shared" si="3"/>
        <v>0</v>
      </c>
    </row>
    <row r="269">
      <c r="A269" s="31" t="s">
        <v>417</v>
      </c>
      <c r="B269" s="9">
        <v>2.0</v>
      </c>
      <c r="C269" s="31" t="str">
        <f>VLOOKUP(A269, 'College List'!A:B, 2, FALSE)</f>
        <v>Silverquill</v>
      </c>
      <c r="D269" s="355">
        <f>VLOOKUP(B269,Quotas!$A$8:$C$14,2,FALSE)</f>
        <v>46143.70833</v>
      </c>
      <c r="E269" s="356">
        <f>VLOOKUP(B269,Quotas!$A$8:$C$14,3,FALSE)</f>
        <v>46150.70833</v>
      </c>
      <c r="F269" s="79">
        <f>COUNTIFS(Matches!$B:$B,A269,Matches!$A:$A,CONCAT("&gt;",$D269),Matches!$A:$A,CONCAT("&lt;",$E269))</f>
        <v>0</v>
      </c>
      <c r="G269" s="79">
        <f>COUNTIFS(Matches!$C:$C,$A269,Matches!$A:$A,CONCAT("&gt;",$D269),Matches!$A:$A,CONCAT("&lt;",$E269))</f>
        <v>0</v>
      </c>
      <c r="H269" s="79">
        <f t="shared" si="1"/>
        <v>0</v>
      </c>
      <c r="I269" s="79">
        <f>COUNTIFS(Matches!$B:$B,$A269,Matches!$A:$A,CONCAT("&lt;",$E269))</f>
        <v>3</v>
      </c>
      <c r="J269" s="79">
        <f>COUNTIFS(Matches!$C:$C,$A269,Matches!$A:$A,CONCAT("&lt;",$E269))</f>
        <v>2</v>
      </c>
      <c r="K269" s="79">
        <f>COUNTIFS(Entropy!D:D,A269,Entropy!I:I,CONCAT("&lt;",E269-1))</f>
        <v>0</v>
      </c>
      <c r="L269" s="79">
        <f t="shared" si="2"/>
        <v>5</v>
      </c>
      <c r="M269" s="79">
        <f t="array" ref="M269">max(min(IF(J269+K269=11,0,XLOOKUP(B269,Quotas!$A$8:$A$14,Quotas!$E$8:$E$14)-$L269),2),0)</f>
        <v>2</v>
      </c>
      <c r="N269" s="31">
        <f t="shared" si="3"/>
        <v>0</v>
      </c>
    </row>
    <row r="270">
      <c r="A270" s="31" t="s">
        <v>165</v>
      </c>
      <c r="B270" s="9">
        <v>2.0</v>
      </c>
      <c r="C270" s="31" t="str">
        <f>VLOOKUP(A270, 'College List'!A:B, 2, FALSE)</f>
        <v>Lorehold</v>
      </c>
      <c r="D270" s="355">
        <f>VLOOKUP(B270,Quotas!$A$8:$C$14,2,FALSE)</f>
        <v>46143.70833</v>
      </c>
      <c r="E270" s="356">
        <f>VLOOKUP(B270,Quotas!$A$8:$C$14,3,FALSE)</f>
        <v>46150.70833</v>
      </c>
      <c r="F270" s="79">
        <f>COUNTIFS(Matches!$B:$B,A270,Matches!$A:$A,CONCAT("&gt;",$D270),Matches!$A:$A,CONCAT("&lt;",$E270))</f>
        <v>4</v>
      </c>
      <c r="G270" s="79">
        <f>COUNTIFS(Matches!$C:$C,$A270,Matches!$A:$A,CONCAT("&gt;",$D270),Matches!$A:$A,CONCAT("&lt;",$E270))</f>
        <v>1</v>
      </c>
      <c r="H270" s="79">
        <f t="shared" si="1"/>
        <v>5</v>
      </c>
      <c r="I270" s="79">
        <f>COUNTIFS(Matches!$B:$B,$A270,Matches!$A:$A,CONCAT("&lt;",$E270))</f>
        <v>7</v>
      </c>
      <c r="J270" s="79">
        <f>COUNTIFS(Matches!$C:$C,$A270,Matches!$A:$A,CONCAT("&lt;",$E270))</f>
        <v>3</v>
      </c>
      <c r="K270" s="79">
        <f>COUNTIFS(Entropy!D:D,A270,Entropy!I:I,CONCAT("&lt;",E270-1))</f>
        <v>0</v>
      </c>
      <c r="L270" s="79">
        <f t="shared" si="2"/>
        <v>10</v>
      </c>
      <c r="M270" s="79">
        <f t="array" ref="M270">max(min(IF(J270+K270=11,0,XLOOKUP(B270,Quotas!$A$8:$A$14,Quotas!$E$8:$E$14)-$L270),2),0)</f>
        <v>0</v>
      </c>
      <c r="N270" s="31">
        <f t="shared" si="3"/>
        <v>0</v>
      </c>
    </row>
    <row r="271">
      <c r="A271" s="31" t="s">
        <v>316</v>
      </c>
      <c r="B271" s="9">
        <v>2.0</v>
      </c>
      <c r="C271" s="31" t="str">
        <f>VLOOKUP(A271, 'College List'!A:B, 2, FALSE)</f>
        <v>Quandrix</v>
      </c>
      <c r="D271" s="355">
        <f>VLOOKUP(B271,Quotas!$A$8:$C$14,2,FALSE)</f>
        <v>46143.70833</v>
      </c>
      <c r="E271" s="356">
        <f>VLOOKUP(B271,Quotas!$A$8:$C$14,3,FALSE)</f>
        <v>46150.70833</v>
      </c>
      <c r="F271" s="79">
        <f>COUNTIFS(Matches!$B:$B,A271,Matches!$A:$A,CONCAT("&gt;",$D271),Matches!$A:$A,CONCAT("&lt;",$E271))</f>
        <v>2</v>
      </c>
      <c r="G271" s="79">
        <f>COUNTIFS(Matches!$C:$C,$A271,Matches!$A:$A,CONCAT("&gt;",$D271),Matches!$A:$A,CONCAT("&lt;",$E271))</f>
        <v>3</v>
      </c>
      <c r="H271" s="79">
        <f t="shared" si="1"/>
        <v>5</v>
      </c>
      <c r="I271" s="79">
        <f>COUNTIFS(Matches!$B:$B,$A271,Matches!$A:$A,CONCAT("&lt;",$E271))</f>
        <v>4</v>
      </c>
      <c r="J271" s="79">
        <f>COUNTIFS(Matches!$C:$C,$A271,Matches!$A:$A,CONCAT("&lt;",$E271))</f>
        <v>6</v>
      </c>
      <c r="K271" s="79">
        <f>COUNTIFS(Entropy!D:D,A271,Entropy!I:I,CONCAT("&lt;",E271-1))</f>
        <v>0</v>
      </c>
      <c r="L271" s="79">
        <f t="shared" si="2"/>
        <v>10</v>
      </c>
      <c r="M271" s="79">
        <f t="array" ref="M271">max(min(IF(J271+K271=11,0,XLOOKUP(B271,Quotas!$A$8:$A$14,Quotas!$E$8:$E$14)-$L271),2),0)</f>
        <v>0</v>
      </c>
      <c r="N271" s="31">
        <f t="shared" si="3"/>
        <v>0</v>
      </c>
    </row>
    <row r="272">
      <c r="A272" s="31" t="s">
        <v>219</v>
      </c>
      <c r="B272" s="9">
        <v>2.0</v>
      </c>
      <c r="C272" s="31" t="str">
        <f>VLOOKUP(A272, 'College List'!A:B, 2, FALSE)</f>
        <v>Prismari</v>
      </c>
      <c r="D272" s="355">
        <f>VLOOKUP(B272,Quotas!$A$8:$C$14,2,FALSE)</f>
        <v>46143.70833</v>
      </c>
      <c r="E272" s="356">
        <f>VLOOKUP(B272,Quotas!$A$8:$C$14,3,FALSE)</f>
        <v>46150.70833</v>
      </c>
      <c r="F272" s="79">
        <f>COUNTIFS(Matches!$B:$B,A272,Matches!$A:$A,CONCAT("&gt;",$D272),Matches!$A:$A,CONCAT("&lt;",$E272))</f>
        <v>2</v>
      </c>
      <c r="G272" s="79">
        <f>COUNTIFS(Matches!$C:$C,$A272,Matches!$A:$A,CONCAT("&gt;",$D272),Matches!$A:$A,CONCAT("&lt;",$E272))</f>
        <v>3</v>
      </c>
      <c r="H272" s="79">
        <f t="shared" si="1"/>
        <v>5</v>
      </c>
      <c r="I272" s="79">
        <f>COUNTIFS(Matches!$B:$B,$A272,Matches!$A:$A,CONCAT("&lt;",$E272))</f>
        <v>6</v>
      </c>
      <c r="J272" s="79">
        <f>COUNTIFS(Matches!$C:$C,$A272,Matches!$A:$A,CONCAT("&lt;",$E272))</f>
        <v>4</v>
      </c>
      <c r="K272" s="79">
        <f>COUNTIFS(Entropy!D:D,A272,Entropy!I:I,CONCAT("&lt;",E272-1))</f>
        <v>0</v>
      </c>
      <c r="L272" s="79">
        <f t="shared" si="2"/>
        <v>10</v>
      </c>
      <c r="M272" s="79">
        <f t="array" ref="M272">max(min(IF(J272+K272=11,0,XLOOKUP(B272,Quotas!$A$8:$A$14,Quotas!$E$8:$E$14)-$L272),2),0)</f>
        <v>0</v>
      </c>
      <c r="N272" s="31">
        <f t="shared" si="3"/>
        <v>0</v>
      </c>
    </row>
    <row r="273">
      <c r="A273" s="31" t="s">
        <v>191</v>
      </c>
      <c r="B273" s="9">
        <v>2.0</v>
      </c>
      <c r="C273" s="31" t="str">
        <f>VLOOKUP(A273, 'College List'!A:B, 2, FALSE)</f>
        <v>Silverquill</v>
      </c>
      <c r="D273" s="355">
        <f>VLOOKUP(B273,Quotas!$A$8:$C$14,2,FALSE)</f>
        <v>46143.70833</v>
      </c>
      <c r="E273" s="356">
        <f>VLOOKUP(B273,Quotas!$A$8:$C$14,3,FALSE)</f>
        <v>46150.70833</v>
      </c>
      <c r="F273" s="79">
        <f>COUNTIFS(Matches!$B:$B,A273,Matches!$A:$A,CONCAT("&gt;",$D273),Matches!$A:$A,CONCAT("&lt;",$E273))</f>
        <v>2</v>
      </c>
      <c r="G273" s="79">
        <f>COUNTIFS(Matches!$C:$C,$A273,Matches!$A:$A,CONCAT("&gt;",$D273),Matches!$A:$A,CONCAT("&lt;",$E273))</f>
        <v>3</v>
      </c>
      <c r="H273" s="79">
        <f t="shared" si="1"/>
        <v>5</v>
      </c>
      <c r="I273" s="79">
        <f>COUNTIFS(Matches!$B:$B,$A273,Matches!$A:$A,CONCAT("&lt;",$E273))</f>
        <v>3</v>
      </c>
      <c r="J273" s="79">
        <f>COUNTIFS(Matches!$C:$C,$A273,Matches!$A:$A,CONCAT("&lt;",$E273))</f>
        <v>7</v>
      </c>
      <c r="K273" s="79">
        <f>COUNTIFS(Entropy!D:D,A273,Entropy!I:I,CONCAT("&lt;",E273-1))</f>
        <v>0</v>
      </c>
      <c r="L273" s="79">
        <f t="shared" si="2"/>
        <v>10</v>
      </c>
      <c r="M273" s="79">
        <f t="array" ref="M273">max(min(IF(J273+K273=11,0,XLOOKUP(B273,Quotas!$A$8:$A$14,Quotas!$E$8:$E$14)-$L273),2),0)</f>
        <v>0</v>
      </c>
      <c r="N273" s="31">
        <f t="shared" si="3"/>
        <v>0</v>
      </c>
    </row>
    <row r="274">
      <c r="A274" s="31" t="s">
        <v>396</v>
      </c>
      <c r="B274" s="9">
        <v>2.0</v>
      </c>
      <c r="C274" s="31" t="str">
        <f>VLOOKUP(A274, 'College List'!A:B, 2, FALSE)</f>
        <v>Prismari</v>
      </c>
      <c r="D274" s="355">
        <f>VLOOKUP(B274,Quotas!$A$8:$C$14,2,FALSE)</f>
        <v>46143.70833</v>
      </c>
      <c r="E274" s="356">
        <f>VLOOKUP(B274,Quotas!$A$8:$C$14,3,FALSE)</f>
        <v>46150.70833</v>
      </c>
      <c r="F274" s="79">
        <f>COUNTIFS(Matches!$B:$B,A274,Matches!$A:$A,CONCAT("&gt;",$D274),Matches!$A:$A,CONCAT("&lt;",$E274))</f>
        <v>2</v>
      </c>
      <c r="G274" s="79">
        <f>COUNTIFS(Matches!$C:$C,$A274,Matches!$A:$A,CONCAT("&gt;",$D274),Matches!$A:$A,CONCAT("&lt;",$E274))</f>
        <v>1</v>
      </c>
      <c r="H274" s="79">
        <f t="shared" si="1"/>
        <v>3</v>
      </c>
      <c r="I274" s="79">
        <f>COUNTIFS(Matches!$B:$B,$A274,Matches!$A:$A,CONCAT("&lt;",$E274))</f>
        <v>4</v>
      </c>
      <c r="J274" s="79">
        <f>COUNTIFS(Matches!$C:$C,$A274,Matches!$A:$A,CONCAT("&lt;",$E274))</f>
        <v>3</v>
      </c>
      <c r="K274" s="79">
        <f>COUNTIFS(Entropy!D:D,A274,Entropy!I:I,CONCAT("&lt;",E274-1))</f>
        <v>0</v>
      </c>
      <c r="L274" s="79">
        <f t="shared" si="2"/>
        <v>7</v>
      </c>
      <c r="M274" s="79">
        <f t="array" ref="M274">max(min(IF(J274+K274=11,0,XLOOKUP(B274,Quotas!$A$8:$A$14,Quotas!$E$8:$E$14)-$L274),2),0)</f>
        <v>2</v>
      </c>
      <c r="N274" s="31">
        <f t="shared" si="3"/>
        <v>1</v>
      </c>
    </row>
    <row r="275">
      <c r="A275" s="31" t="s">
        <v>72</v>
      </c>
      <c r="B275" s="9">
        <v>2.0</v>
      </c>
      <c r="C275" s="31" t="str">
        <f>VLOOKUP(A275, 'College List'!A:B, 2, FALSE)</f>
        <v>Prismari</v>
      </c>
      <c r="D275" s="355">
        <f>VLOOKUP(B275,Quotas!$A$8:$C$14,2,FALSE)</f>
        <v>46143.70833</v>
      </c>
      <c r="E275" s="356">
        <f>VLOOKUP(B275,Quotas!$A$8:$C$14,3,FALSE)</f>
        <v>46150.70833</v>
      </c>
      <c r="F275" s="79">
        <f>COUNTIFS(Matches!$B:$B,A275,Matches!$A:$A,CONCAT("&gt;",$D275),Matches!$A:$A,CONCAT("&lt;",$E275))</f>
        <v>1</v>
      </c>
      <c r="G275" s="79">
        <f>COUNTIFS(Matches!$C:$C,$A275,Matches!$A:$A,CONCAT("&gt;",$D275),Matches!$A:$A,CONCAT("&lt;",$E275))</f>
        <v>3</v>
      </c>
      <c r="H275" s="79">
        <f t="shared" si="1"/>
        <v>4</v>
      </c>
      <c r="I275" s="79">
        <f>COUNTIFS(Matches!$B:$B,$A275,Matches!$A:$A,CONCAT("&lt;",$E275))</f>
        <v>2</v>
      </c>
      <c r="J275" s="79">
        <f>COUNTIFS(Matches!$C:$C,$A275,Matches!$A:$A,CONCAT("&lt;",$E275))</f>
        <v>7</v>
      </c>
      <c r="K275" s="79">
        <f>COUNTIFS(Entropy!D:D,A275,Entropy!I:I,CONCAT("&lt;",E275-1))</f>
        <v>0</v>
      </c>
      <c r="L275" s="79">
        <f t="shared" si="2"/>
        <v>9</v>
      </c>
      <c r="M275" s="79">
        <f t="array" ref="M275">max(min(IF(J275+K275=11,0,XLOOKUP(B275,Quotas!$A$8:$A$14,Quotas!$E$8:$E$14)-$L275),2),0)</f>
        <v>1</v>
      </c>
      <c r="N275" s="31">
        <f t="shared" si="3"/>
        <v>0.5</v>
      </c>
    </row>
    <row r="276">
      <c r="A276" s="31" t="s">
        <v>202</v>
      </c>
      <c r="B276" s="9">
        <v>2.0</v>
      </c>
      <c r="C276" s="31" t="str">
        <f>VLOOKUP(A276, 'College List'!A:B, 2, FALSE)</f>
        <v>Prismari</v>
      </c>
      <c r="D276" s="355">
        <f>VLOOKUP(B276,Quotas!$A$8:$C$14,2,FALSE)</f>
        <v>46143.70833</v>
      </c>
      <c r="E276" s="356">
        <f>VLOOKUP(B276,Quotas!$A$8:$C$14,3,FALSE)</f>
        <v>46150.70833</v>
      </c>
      <c r="F276" s="79">
        <f>COUNTIFS(Matches!$B:$B,A276,Matches!$A:$A,CONCAT("&gt;",$D276),Matches!$A:$A,CONCAT("&lt;",$E276))</f>
        <v>3</v>
      </c>
      <c r="G276" s="79">
        <f>COUNTIFS(Matches!$C:$C,$A276,Matches!$A:$A,CONCAT("&gt;",$D276),Matches!$A:$A,CONCAT("&lt;",$E276))</f>
        <v>2</v>
      </c>
      <c r="H276" s="79">
        <f t="shared" si="1"/>
        <v>5</v>
      </c>
      <c r="I276" s="79">
        <f>COUNTIFS(Matches!$B:$B,$A276,Matches!$A:$A,CONCAT("&lt;",$E276))</f>
        <v>6</v>
      </c>
      <c r="J276" s="79">
        <f>COUNTIFS(Matches!$C:$C,$A276,Matches!$A:$A,CONCAT("&lt;",$E276))</f>
        <v>4</v>
      </c>
      <c r="K276" s="79">
        <f>COUNTIFS(Entropy!D:D,A276,Entropy!I:I,CONCAT("&lt;",E276-1))</f>
        <v>0</v>
      </c>
      <c r="L276" s="79">
        <f t="shared" si="2"/>
        <v>10</v>
      </c>
      <c r="M276" s="79">
        <f t="array" ref="M276">max(min(IF(J276+K276=11,0,XLOOKUP(B276,Quotas!$A$8:$A$14,Quotas!$E$8:$E$14)-$L276),2),0)</f>
        <v>0</v>
      </c>
      <c r="N276" s="31">
        <f t="shared" si="3"/>
        <v>0</v>
      </c>
    </row>
    <row r="277">
      <c r="A277" s="31" t="s">
        <v>379</v>
      </c>
      <c r="B277" s="9">
        <v>2.0</v>
      </c>
      <c r="C277" s="31" t="str">
        <f>VLOOKUP(A277, 'College List'!A:B, 2, FALSE)</f>
        <v>Quandrix</v>
      </c>
      <c r="D277" s="355">
        <f>VLOOKUP(B277,Quotas!$A$8:$C$14,2,FALSE)</f>
        <v>46143.70833</v>
      </c>
      <c r="E277" s="356">
        <f>VLOOKUP(B277,Quotas!$A$8:$C$14,3,FALSE)</f>
        <v>46150.70833</v>
      </c>
      <c r="F277" s="79">
        <f>COUNTIFS(Matches!$B:$B,A277,Matches!$A:$A,CONCAT("&gt;",$D277),Matches!$A:$A,CONCAT("&lt;",$E277))</f>
        <v>2</v>
      </c>
      <c r="G277" s="79">
        <f>COUNTIFS(Matches!$C:$C,$A277,Matches!$A:$A,CONCAT("&gt;",$D277),Matches!$A:$A,CONCAT("&lt;",$E277))</f>
        <v>3</v>
      </c>
      <c r="H277" s="79">
        <f t="shared" si="1"/>
        <v>5</v>
      </c>
      <c r="I277" s="79">
        <f>COUNTIFS(Matches!$B:$B,$A277,Matches!$A:$A,CONCAT("&lt;",$E277))</f>
        <v>3</v>
      </c>
      <c r="J277" s="79">
        <f>COUNTIFS(Matches!$C:$C,$A277,Matches!$A:$A,CONCAT("&lt;",$E277))</f>
        <v>7</v>
      </c>
      <c r="K277" s="79">
        <f>COUNTIFS(Entropy!D:D,A277,Entropy!I:I,CONCAT("&lt;",E277-1))</f>
        <v>0</v>
      </c>
      <c r="L277" s="79">
        <f t="shared" si="2"/>
        <v>10</v>
      </c>
      <c r="M277" s="79">
        <f t="array" ref="M277">max(min(IF(J277+K277=11,0,XLOOKUP(B277,Quotas!$A$8:$A$14,Quotas!$E$8:$E$14)-$L277),2),0)</f>
        <v>0</v>
      </c>
      <c r="N277" s="31">
        <f t="shared" si="3"/>
        <v>0</v>
      </c>
    </row>
    <row r="278">
      <c r="A278" s="31" t="s">
        <v>204</v>
      </c>
      <c r="B278" s="9">
        <v>2.0</v>
      </c>
      <c r="C278" s="31" t="str">
        <f>VLOOKUP(A278, 'College List'!A:B, 2, FALSE)</f>
        <v>Quandrix</v>
      </c>
      <c r="D278" s="355">
        <f>VLOOKUP(B278,Quotas!$A$8:$C$14,2,FALSE)</f>
        <v>46143.70833</v>
      </c>
      <c r="E278" s="356">
        <f>VLOOKUP(B278,Quotas!$A$8:$C$14,3,FALSE)</f>
        <v>46150.70833</v>
      </c>
      <c r="F278" s="79">
        <f>COUNTIFS(Matches!$B:$B,A278,Matches!$A:$A,CONCAT("&gt;",$D278),Matches!$A:$A,CONCAT("&lt;",$E278))</f>
        <v>5</v>
      </c>
      <c r="G278" s="79">
        <f>COUNTIFS(Matches!$C:$C,$A278,Matches!$A:$A,CONCAT("&gt;",$D278),Matches!$A:$A,CONCAT("&lt;",$E278))</f>
        <v>0</v>
      </c>
      <c r="H278" s="79">
        <f t="shared" si="1"/>
        <v>5</v>
      </c>
      <c r="I278" s="79">
        <f>COUNTIFS(Matches!$B:$B,$A278,Matches!$A:$A,CONCAT("&lt;",$E278))</f>
        <v>8</v>
      </c>
      <c r="J278" s="79">
        <f>COUNTIFS(Matches!$C:$C,$A278,Matches!$A:$A,CONCAT("&lt;",$E278))</f>
        <v>2</v>
      </c>
      <c r="K278" s="79">
        <f>COUNTIFS(Entropy!D:D,A278,Entropy!I:I,CONCAT("&lt;",E278-1))</f>
        <v>0</v>
      </c>
      <c r="L278" s="79">
        <f t="shared" si="2"/>
        <v>10</v>
      </c>
      <c r="M278" s="79">
        <f t="array" ref="M278">max(min(IF(J278+K278=11,0,XLOOKUP(B278,Quotas!$A$8:$A$14,Quotas!$E$8:$E$14)-$L278),2),0)</f>
        <v>0</v>
      </c>
      <c r="N278" s="31">
        <f t="shared" si="3"/>
        <v>0</v>
      </c>
    </row>
    <row r="279">
      <c r="A279" s="31" t="s">
        <v>253</v>
      </c>
      <c r="B279" s="9">
        <v>2.0</v>
      </c>
      <c r="C279" s="31" t="str">
        <f>VLOOKUP(A279, 'College List'!A:B, 2, FALSE)</f>
        <v>Quandrix</v>
      </c>
      <c r="D279" s="355">
        <f>VLOOKUP(B279,Quotas!$A$8:$C$14,2,FALSE)</f>
        <v>46143.70833</v>
      </c>
      <c r="E279" s="356">
        <f>VLOOKUP(B279,Quotas!$A$8:$C$14,3,FALSE)</f>
        <v>46150.70833</v>
      </c>
      <c r="F279" s="79">
        <f>COUNTIFS(Matches!$B:$B,A279,Matches!$A:$A,CONCAT("&gt;",$D279),Matches!$A:$A,CONCAT("&lt;",$E279))</f>
        <v>4</v>
      </c>
      <c r="G279" s="79">
        <f>COUNTIFS(Matches!$C:$C,$A279,Matches!$A:$A,CONCAT("&gt;",$D279),Matches!$A:$A,CONCAT("&lt;",$E279))</f>
        <v>1</v>
      </c>
      <c r="H279" s="79">
        <f t="shared" si="1"/>
        <v>5</v>
      </c>
      <c r="I279" s="79">
        <f>COUNTIFS(Matches!$B:$B,$A279,Matches!$A:$A,CONCAT("&lt;",$E279))</f>
        <v>7</v>
      </c>
      <c r="J279" s="79">
        <f>COUNTIFS(Matches!$C:$C,$A279,Matches!$A:$A,CONCAT("&lt;",$E279))</f>
        <v>3</v>
      </c>
      <c r="K279" s="79">
        <f>COUNTIFS(Entropy!D:D,A279,Entropy!I:I,CONCAT("&lt;",E279-1))</f>
        <v>0</v>
      </c>
      <c r="L279" s="79">
        <f t="shared" si="2"/>
        <v>10</v>
      </c>
      <c r="M279" s="79">
        <f t="array" ref="M279">max(min(IF(J279+K279=11,0,XLOOKUP(B279,Quotas!$A$8:$A$14,Quotas!$E$8:$E$14)-$L279),2),0)</f>
        <v>0</v>
      </c>
      <c r="N279" s="31">
        <f t="shared" si="3"/>
        <v>0</v>
      </c>
    </row>
    <row r="280">
      <c r="A280" s="31" t="s">
        <v>306</v>
      </c>
      <c r="B280" s="9">
        <v>2.0</v>
      </c>
      <c r="C280" s="31" t="str">
        <f>VLOOKUP(A280, 'College List'!A:B, 2, FALSE)</f>
        <v>Silverquill</v>
      </c>
      <c r="D280" s="355">
        <f>VLOOKUP(B280,Quotas!$A$8:$C$14,2,FALSE)</f>
        <v>46143.70833</v>
      </c>
      <c r="E280" s="356">
        <f>VLOOKUP(B280,Quotas!$A$8:$C$14,3,FALSE)</f>
        <v>46150.70833</v>
      </c>
      <c r="F280" s="79">
        <f>COUNTIFS(Matches!$B:$B,A280,Matches!$A:$A,CONCAT("&gt;",$D280),Matches!$A:$A,CONCAT("&lt;",$E280))</f>
        <v>3</v>
      </c>
      <c r="G280" s="79">
        <f>COUNTIFS(Matches!$C:$C,$A280,Matches!$A:$A,CONCAT("&gt;",$D280),Matches!$A:$A,CONCAT("&lt;",$E280))</f>
        <v>1</v>
      </c>
      <c r="H280" s="79">
        <f t="shared" si="1"/>
        <v>4</v>
      </c>
      <c r="I280" s="79">
        <f>COUNTIFS(Matches!$B:$B,$A280,Matches!$A:$A,CONCAT("&lt;",$E280))</f>
        <v>5</v>
      </c>
      <c r="J280" s="79">
        <f>COUNTIFS(Matches!$C:$C,$A280,Matches!$A:$A,CONCAT("&lt;",$E280))</f>
        <v>4</v>
      </c>
      <c r="K280" s="79">
        <f>COUNTIFS(Entropy!D:D,A280,Entropy!I:I,CONCAT("&lt;",E280-1))</f>
        <v>0</v>
      </c>
      <c r="L280" s="79">
        <f t="shared" si="2"/>
        <v>9</v>
      </c>
      <c r="M280" s="79">
        <f t="array" ref="M280">max(min(IF(J280+K280=11,0,XLOOKUP(B280,Quotas!$A$8:$A$14,Quotas!$E$8:$E$14)-$L280),2),0)</f>
        <v>1</v>
      </c>
      <c r="N280" s="31">
        <f t="shared" si="3"/>
        <v>0.5</v>
      </c>
    </row>
    <row r="281">
      <c r="A281" s="9" t="s">
        <v>229</v>
      </c>
      <c r="B281" s="9">
        <v>2.0</v>
      </c>
      <c r="C281" s="31" t="str">
        <f>VLOOKUP(A281, 'College List'!A:B, 2, FALSE)</f>
        <v>Witherbloom</v>
      </c>
      <c r="D281" s="355">
        <f>VLOOKUP(B281,Quotas!$A$8:$C$14,2,FALSE)</f>
        <v>46143.70833</v>
      </c>
      <c r="E281" s="356">
        <f>VLOOKUP(B281,Quotas!$A$8:$C$14,3,FALSE)</f>
        <v>46150.70833</v>
      </c>
      <c r="F281" s="79">
        <f>COUNTIFS(Matches!$B:$B,A281,Matches!$A:$A,CONCAT("&gt;",$D281),Matches!$A:$A,CONCAT("&lt;",$E281))</f>
        <v>4</v>
      </c>
      <c r="G281" s="79">
        <f>COUNTIFS(Matches!$C:$C,$A281,Matches!$A:$A,CONCAT("&gt;",$D281),Matches!$A:$A,CONCAT("&lt;",$E281))</f>
        <v>1</v>
      </c>
      <c r="H281" s="79">
        <f t="shared" si="1"/>
        <v>5</v>
      </c>
      <c r="I281" s="79">
        <f>COUNTIFS(Matches!$B:$B,$A281,Matches!$A:$A,CONCAT("&lt;",$E281))</f>
        <v>5</v>
      </c>
      <c r="J281" s="79">
        <f>COUNTIFS(Matches!$C:$C,$A281,Matches!$A:$A,CONCAT("&lt;",$E281))</f>
        <v>5</v>
      </c>
      <c r="K281" s="79">
        <f>COUNTIFS(Entropy!D:D,A281,Entropy!I:I,CONCAT("&lt;",E281-1))</f>
        <v>0</v>
      </c>
      <c r="L281" s="79">
        <f t="shared" si="2"/>
        <v>10</v>
      </c>
      <c r="M281" s="79">
        <f t="array" ref="M281">max(min(IF(J281+K281=11,0,XLOOKUP(B281,Quotas!$A$8:$A$14,Quotas!$E$8:$E$14)-$L281),2),0)</f>
        <v>0</v>
      </c>
      <c r="N281" s="31">
        <f t="shared" si="3"/>
        <v>0</v>
      </c>
    </row>
    <row r="282">
      <c r="A282" s="31" t="s">
        <v>94</v>
      </c>
      <c r="B282" s="9">
        <v>2.0</v>
      </c>
      <c r="C282" s="31" t="str">
        <f>VLOOKUP(A282, 'College List'!A:B, 2, FALSE)</f>
        <v>Silverquill</v>
      </c>
      <c r="D282" s="355">
        <f>VLOOKUP(B282,Quotas!$A$8:$C$14,2,FALSE)</f>
        <v>46143.70833</v>
      </c>
      <c r="E282" s="356">
        <f>VLOOKUP(B282,Quotas!$A$8:$C$14,3,FALSE)</f>
        <v>46150.70833</v>
      </c>
      <c r="F282" s="79">
        <f>COUNTIFS(Matches!$B:$B,A282,Matches!$A:$A,CONCAT("&gt;",$D282),Matches!$A:$A,CONCAT("&lt;",$E282))</f>
        <v>3</v>
      </c>
      <c r="G282" s="79">
        <f>COUNTIFS(Matches!$C:$C,$A282,Matches!$A:$A,CONCAT("&gt;",$D282),Matches!$A:$A,CONCAT("&lt;",$E282))</f>
        <v>2</v>
      </c>
      <c r="H282" s="79">
        <f t="shared" si="1"/>
        <v>5</v>
      </c>
      <c r="I282" s="79">
        <f>COUNTIFS(Matches!$B:$B,$A282,Matches!$A:$A,CONCAT("&lt;",$E282))</f>
        <v>3</v>
      </c>
      <c r="J282" s="79">
        <f>COUNTIFS(Matches!$C:$C,$A282,Matches!$A:$A,CONCAT("&lt;",$E282))</f>
        <v>7</v>
      </c>
      <c r="K282" s="79">
        <f>COUNTIFS(Entropy!D:D,A282,Entropy!I:I,CONCAT("&lt;",E282-1))</f>
        <v>0</v>
      </c>
      <c r="L282" s="79">
        <f t="shared" si="2"/>
        <v>10</v>
      </c>
      <c r="M282" s="79">
        <f t="array" ref="M282">max(min(IF(J282+K282=11,0,XLOOKUP(B282,Quotas!$A$8:$A$14,Quotas!$E$8:$E$14)-$L282),2),0)</f>
        <v>0</v>
      </c>
      <c r="N282" s="31">
        <f t="shared" si="3"/>
        <v>0</v>
      </c>
    </row>
    <row r="283">
      <c r="A283" s="31" t="s">
        <v>356</v>
      </c>
      <c r="B283" s="9">
        <v>2.0</v>
      </c>
      <c r="C283" s="31" t="str">
        <f>VLOOKUP(A283, 'College List'!A:B, 2, FALSE)</f>
        <v>Prismari</v>
      </c>
      <c r="D283" s="355">
        <f>VLOOKUP(B283,Quotas!$A$8:$C$14,2,FALSE)</f>
        <v>46143.70833</v>
      </c>
      <c r="E283" s="356">
        <f>VLOOKUP(B283,Quotas!$A$8:$C$14,3,FALSE)</f>
        <v>46150.70833</v>
      </c>
      <c r="F283" s="79">
        <f>COUNTIFS(Matches!$B:$B,A283,Matches!$A:$A,CONCAT("&gt;",$D283),Matches!$A:$A,CONCAT("&lt;",$E283))</f>
        <v>4</v>
      </c>
      <c r="G283" s="79">
        <f>COUNTIFS(Matches!$C:$C,$A283,Matches!$A:$A,CONCAT("&gt;",$D283),Matches!$A:$A,CONCAT("&lt;",$E283))</f>
        <v>1</v>
      </c>
      <c r="H283" s="79">
        <f t="shared" si="1"/>
        <v>5</v>
      </c>
      <c r="I283" s="79">
        <f>COUNTIFS(Matches!$B:$B,$A283,Matches!$A:$A,CONCAT("&lt;",$E283))</f>
        <v>8</v>
      </c>
      <c r="J283" s="79">
        <f>COUNTIFS(Matches!$C:$C,$A283,Matches!$A:$A,CONCAT("&lt;",$E283))</f>
        <v>2</v>
      </c>
      <c r="K283" s="79">
        <f>COUNTIFS(Entropy!D:D,A283,Entropy!I:I,CONCAT("&lt;",E283-1))</f>
        <v>0</v>
      </c>
      <c r="L283" s="79">
        <f t="shared" si="2"/>
        <v>10</v>
      </c>
      <c r="M283" s="79">
        <f t="array" ref="M283">max(min(IF(J283+K283=11,0,XLOOKUP(B283,Quotas!$A$8:$A$14,Quotas!$E$8:$E$14)-$L283),2),0)</f>
        <v>0</v>
      </c>
      <c r="N283" s="31">
        <f t="shared" si="3"/>
        <v>0</v>
      </c>
    </row>
    <row r="284">
      <c r="A284" s="31" t="s">
        <v>160</v>
      </c>
      <c r="B284" s="9">
        <v>2.0</v>
      </c>
      <c r="C284" s="31" t="str">
        <f>VLOOKUP(A284, 'College List'!A:B, 2, FALSE)</f>
        <v>Quandrix</v>
      </c>
      <c r="D284" s="355">
        <f>VLOOKUP(B284,Quotas!$A$8:$C$14,2,FALSE)</f>
        <v>46143.70833</v>
      </c>
      <c r="E284" s="356">
        <f>VLOOKUP(B284,Quotas!$A$8:$C$14,3,FALSE)</f>
        <v>46150.70833</v>
      </c>
      <c r="F284" s="79">
        <f>COUNTIFS(Matches!$B:$B,A284,Matches!$A:$A,CONCAT("&gt;",$D284),Matches!$A:$A,CONCAT("&lt;",$E284))</f>
        <v>1</v>
      </c>
      <c r="G284" s="79">
        <f>COUNTIFS(Matches!$C:$C,$A284,Matches!$A:$A,CONCAT("&gt;",$D284),Matches!$A:$A,CONCAT("&lt;",$E284))</f>
        <v>4</v>
      </c>
      <c r="H284" s="79">
        <f t="shared" si="1"/>
        <v>5</v>
      </c>
      <c r="I284" s="79">
        <f>COUNTIFS(Matches!$B:$B,$A284,Matches!$A:$A,CONCAT("&lt;",$E284))</f>
        <v>3</v>
      </c>
      <c r="J284" s="79">
        <f>COUNTIFS(Matches!$C:$C,$A284,Matches!$A:$A,CONCAT("&lt;",$E284))</f>
        <v>7</v>
      </c>
      <c r="K284" s="79">
        <f>COUNTIFS(Entropy!D:D,A284,Entropy!I:I,CONCAT("&lt;",E284-1))</f>
        <v>0</v>
      </c>
      <c r="L284" s="79">
        <f t="shared" si="2"/>
        <v>10</v>
      </c>
      <c r="M284" s="79">
        <f t="array" ref="M284">max(min(IF(J284+K284=11,0,XLOOKUP(B284,Quotas!$A$8:$A$14,Quotas!$E$8:$E$14)-$L284),2),0)</f>
        <v>0</v>
      </c>
      <c r="N284" s="31">
        <f t="shared" si="3"/>
        <v>0</v>
      </c>
    </row>
    <row r="285">
      <c r="A285" s="31" t="s">
        <v>180</v>
      </c>
      <c r="B285" s="9">
        <v>2.0</v>
      </c>
      <c r="C285" s="31" t="str">
        <f>VLOOKUP(A285, 'College List'!A:B, 2, FALSE)</f>
        <v>Silverquill</v>
      </c>
      <c r="D285" s="355">
        <f>VLOOKUP(B285,Quotas!$A$8:$C$14,2,FALSE)</f>
        <v>46143.70833</v>
      </c>
      <c r="E285" s="356">
        <f>VLOOKUP(B285,Quotas!$A$8:$C$14,3,FALSE)</f>
        <v>46150.70833</v>
      </c>
      <c r="F285" s="79">
        <f>COUNTIFS(Matches!$B:$B,A285,Matches!$A:$A,CONCAT("&gt;",$D285),Matches!$A:$A,CONCAT("&lt;",$E285))</f>
        <v>2</v>
      </c>
      <c r="G285" s="79">
        <f>COUNTIFS(Matches!$C:$C,$A285,Matches!$A:$A,CONCAT("&gt;",$D285),Matches!$A:$A,CONCAT("&lt;",$E285))</f>
        <v>1</v>
      </c>
      <c r="H285" s="79">
        <f t="shared" si="1"/>
        <v>3</v>
      </c>
      <c r="I285" s="79">
        <f>COUNTIFS(Matches!$B:$B,$A285,Matches!$A:$A,CONCAT("&lt;",$E285))</f>
        <v>5</v>
      </c>
      <c r="J285" s="79">
        <f>COUNTIFS(Matches!$C:$C,$A285,Matches!$A:$A,CONCAT("&lt;",$E285))</f>
        <v>3</v>
      </c>
      <c r="K285" s="79">
        <f>COUNTIFS(Entropy!D:D,A285,Entropy!I:I,CONCAT("&lt;",E285-1))</f>
        <v>0</v>
      </c>
      <c r="L285" s="79">
        <f t="shared" si="2"/>
        <v>8</v>
      </c>
      <c r="M285" s="79">
        <f t="array" ref="M285">max(min(IF(J285+K285=11,0,XLOOKUP(B285,Quotas!$A$8:$A$14,Quotas!$E$8:$E$14)-$L285),2),0)</f>
        <v>2</v>
      </c>
      <c r="N285" s="31">
        <f t="shared" si="3"/>
        <v>1</v>
      </c>
    </row>
    <row r="286">
      <c r="A286" s="31" t="s">
        <v>89</v>
      </c>
      <c r="B286" s="9">
        <v>2.0</v>
      </c>
      <c r="C286" s="31" t="str">
        <f>VLOOKUP(A286, 'College List'!A:B, 2, FALSE)</f>
        <v>Quandrix</v>
      </c>
      <c r="D286" s="355">
        <f>VLOOKUP(B286,Quotas!$A$8:$C$14,2,FALSE)</f>
        <v>46143.70833</v>
      </c>
      <c r="E286" s="356">
        <f>VLOOKUP(B286,Quotas!$A$8:$C$14,3,FALSE)</f>
        <v>46150.70833</v>
      </c>
      <c r="F286" s="79">
        <f>COUNTIFS(Matches!$B:$B,A286,Matches!$A:$A,CONCAT("&gt;",$D286),Matches!$A:$A,CONCAT("&lt;",$E286))</f>
        <v>2</v>
      </c>
      <c r="G286" s="79">
        <f>COUNTIFS(Matches!$C:$C,$A286,Matches!$A:$A,CONCAT("&gt;",$D286),Matches!$A:$A,CONCAT("&lt;",$E286))</f>
        <v>3</v>
      </c>
      <c r="H286" s="79">
        <f t="shared" si="1"/>
        <v>5</v>
      </c>
      <c r="I286" s="79">
        <f>COUNTIFS(Matches!$B:$B,$A286,Matches!$A:$A,CONCAT("&lt;",$E286))</f>
        <v>6</v>
      </c>
      <c r="J286" s="79">
        <f>COUNTIFS(Matches!$C:$C,$A286,Matches!$A:$A,CONCAT("&lt;",$E286))</f>
        <v>4</v>
      </c>
      <c r="K286" s="79">
        <f>COUNTIFS(Entropy!D:D,A286,Entropy!I:I,CONCAT("&lt;",E286-1))</f>
        <v>0</v>
      </c>
      <c r="L286" s="79">
        <f t="shared" si="2"/>
        <v>10</v>
      </c>
      <c r="M286" s="79">
        <f t="array" ref="M286">max(min(IF(J286+K286=11,0,XLOOKUP(B286,Quotas!$A$8:$A$14,Quotas!$E$8:$E$14)-$L286),2),0)</f>
        <v>0</v>
      </c>
      <c r="N286" s="31">
        <f t="shared" si="3"/>
        <v>0</v>
      </c>
    </row>
    <row r="287">
      <c r="A287" s="31" t="s">
        <v>231</v>
      </c>
      <c r="B287" s="9">
        <v>2.0</v>
      </c>
      <c r="C287" s="31" t="str">
        <f>VLOOKUP(A287, 'College List'!A:B, 2, FALSE)</f>
        <v>Quandrix</v>
      </c>
      <c r="D287" s="355">
        <f>VLOOKUP(B287,Quotas!$A$8:$C$14,2,FALSE)</f>
        <v>46143.70833</v>
      </c>
      <c r="E287" s="356">
        <f>VLOOKUP(B287,Quotas!$A$8:$C$14,3,FALSE)</f>
        <v>46150.70833</v>
      </c>
      <c r="F287" s="79">
        <f>COUNTIFS(Matches!$B:$B,A287,Matches!$A:$A,CONCAT("&gt;",$D287),Matches!$A:$A,CONCAT("&lt;",$E287))</f>
        <v>1</v>
      </c>
      <c r="G287" s="79">
        <f>COUNTIFS(Matches!$C:$C,$A287,Matches!$A:$A,CONCAT("&gt;",$D287),Matches!$A:$A,CONCAT("&lt;",$E287))</f>
        <v>4</v>
      </c>
      <c r="H287" s="79">
        <f t="shared" si="1"/>
        <v>5</v>
      </c>
      <c r="I287" s="79">
        <f>COUNTIFS(Matches!$B:$B,$A287,Matches!$A:$A,CONCAT("&lt;",$E287))</f>
        <v>4</v>
      </c>
      <c r="J287" s="79">
        <f>COUNTIFS(Matches!$C:$C,$A287,Matches!$A:$A,CONCAT("&lt;",$E287))</f>
        <v>6</v>
      </c>
      <c r="K287" s="79">
        <f>COUNTIFS(Entropy!D:D,A287,Entropy!I:I,CONCAT("&lt;",E287-1))</f>
        <v>0</v>
      </c>
      <c r="L287" s="79">
        <f t="shared" si="2"/>
        <v>10</v>
      </c>
      <c r="M287" s="79">
        <f t="array" ref="M287">max(min(IF(J287+K287=11,0,XLOOKUP(B287,Quotas!$A$8:$A$14,Quotas!$E$8:$E$14)-$L287),2),0)</f>
        <v>0</v>
      </c>
      <c r="N287" s="31">
        <f t="shared" si="3"/>
        <v>0</v>
      </c>
    </row>
    <row r="288">
      <c r="A288" s="31" t="s">
        <v>314</v>
      </c>
      <c r="B288" s="9">
        <v>2.0</v>
      </c>
      <c r="C288" s="31" t="str">
        <f>VLOOKUP(A288, 'College List'!A:B, 2, FALSE)</f>
        <v>Lorehold</v>
      </c>
      <c r="D288" s="355">
        <f>VLOOKUP(B288,Quotas!$A$8:$C$14,2,FALSE)</f>
        <v>46143.70833</v>
      </c>
      <c r="E288" s="356">
        <f>VLOOKUP(B288,Quotas!$A$8:$C$14,3,FALSE)</f>
        <v>46150.70833</v>
      </c>
      <c r="F288" s="79">
        <f>COUNTIFS(Matches!$B:$B,A288,Matches!$A:$A,CONCAT("&gt;",$D288),Matches!$A:$A,CONCAT("&lt;",$E288))</f>
        <v>2</v>
      </c>
      <c r="G288" s="79">
        <f>COUNTIFS(Matches!$C:$C,$A288,Matches!$A:$A,CONCAT("&gt;",$D288),Matches!$A:$A,CONCAT("&lt;",$E288))</f>
        <v>3</v>
      </c>
      <c r="H288" s="79">
        <f t="shared" si="1"/>
        <v>5</v>
      </c>
      <c r="I288" s="79">
        <f>COUNTIFS(Matches!$B:$B,$A288,Matches!$A:$A,CONCAT("&lt;",$E288))</f>
        <v>4</v>
      </c>
      <c r="J288" s="79">
        <f>COUNTIFS(Matches!$C:$C,$A288,Matches!$A:$A,CONCAT("&lt;",$E288))</f>
        <v>6</v>
      </c>
      <c r="K288" s="79">
        <f>COUNTIFS(Entropy!D:D,A288,Entropy!I:I,CONCAT("&lt;",E288-1))</f>
        <v>0</v>
      </c>
      <c r="L288" s="79">
        <f t="shared" si="2"/>
        <v>10</v>
      </c>
      <c r="M288" s="79">
        <f t="array" ref="M288">max(min(IF(J288+K288=11,0,XLOOKUP(B288,Quotas!$A$8:$A$14,Quotas!$E$8:$E$14)-$L288),2),0)</f>
        <v>0</v>
      </c>
      <c r="N288" s="31">
        <f t="shared" si="3"/>
        <v>0</v>
      </c>
    </row>
    <row r="289">
      <c r="A289" s="31" t="s">
        <v>190</v>
      </c>
      <c r="B289" s="9">
        <v>2.0</v>
      </c>
      <c r="C289" s="31" t="str">
        <f>VLOOKUP(A289, 'College List'!A:B, 2, FALSE)</f>
        <v>Silverquill</v>
      </c>
      <c r="D289" s="355">
        <f>VLOOKUP(B289,Quotas!$A$8:$C$14,2,FALSE)</f>
        <v>46143.70833</v>
      </c>
      <c r="E289" s="356">
        <f>VLOOKUP(B289,Quotas!$A$8:$C$14,3,FALSE)</f>
        <v>46150.70833</v>
      </c>
      <c r="F289" s="79">
        <f>COUNTIFS(Matches!$B:$B,A289,Matches!$A:$A,CONCAT("&gt;",$D289),Matches!$A:$A,CONCAT("&lt;",$E289))</f>
        <v>3</v>
      </c>
      <c r="G289" s="79">
        <f>COUNTIFS(Matches!$C:$C,$A289,Matches!$A:$A,CONCAT("&gt;",$D289),Matches!$A:$A,CONCAT("&lt;",$E289))</f>
        <v>2</v>
      </c>
      <c r="H289" s="79">
        <f t="shared" si="1"/>
        <v>5</v>
      </c>
      <c r="I289" s="79">
        <f>COUNTIFS(Matches!$B:$B,$A289,Matches!$A:$A,CONCAT("&lt;",$E289))</f>
        <v>5</v>
      </c>
      <c r="J289" s="79">
        <f>COUNTIFS(Matches!$C:$C,$A289,Matches!$A:$A,CONCAT("&lt;",$E289))</f>
        <v>5</v>
      </c>
      <c r="K289" s="79">
        <f>COUNTIFS(Entropy!D:D,A289,Entropy!I:I,CONCAT("&lt;",E289-1))</f>
        <v>0</v>
      </c>
      <c r="L289" s="79">
        <f t="shared" si="2"/>
        <v>10</v>
      </c>
      <c r="M289" s="79">
        <f t="array" ref="M289">max(min(IF(J289+K289=11,0,XLOOKUP(B289,Quotas!$A$8:$A$14,Quotas!$E$8:$E$14)-$L289),2),0)</f>
        <v>0</v>
      </c>
      <c r="N289" s="31">
        <f t="shared" si="3"/>
        <v>0</v>
      </c>
    </row>
    <row r="290">
      <c r="A290" s="31" t="s">
        <v>84</v>
      </c>
      <c r="B290" s="9">
        <v>2.0</v>
      </c>
      <c r="C290" s="31" t="str">
        <f>VLOOKUP(A290, 'College List'!A:B, 2, FALSE)</f>
        <v>Witherbloom</v>
      </c>
      <c r="D290" s="355">
        <f>VLOOKUP(B290,Quotas!$A$8:$C$14,2,FALSE)</f>
        <v>46143.70833</v>
      </c>
      <c r="E290" s="356">
        <f>VLOOKUP(B290,Quotas!$A$8:$C$14,3,FALSE)</f>
        <v>46150.70833</v>
      </c>
      <c r="F290" s="79">
        <f>COUNTIFS(Matches!$B:$B,A290,Matches!$A:$A,CONCAT("&gt;",$D290),Matches!$A:$A,CONCAT("&lt;",$E290))</f>
        <v>2</v>
      </c>
      <c r="G290" s="79">
        <f>COUNTIFS(Matches!$C:$C,$A290,Matches!$A:$A,CONCAT("&gt;",$D290),Matches!$A:$A,CONCAT("&lt;",$E290))</f>
        <v>3</v>
      </c>
      <c r="H290" s="79">
        <f t="shared" si="1"/>
        <v>5</v>
      </c>
      <c r="I290" s="79">
        <f>COUNTIFS(Matches!$B:$B,$A290,Matches!$A:$A,CONCAT("&lt;",$E290))</f>
        <v>6</v>
      </c>
      <c r="J290" s="79">
        <f>COUNTIFS(Matches!$C:$C,$A290,Matches!$A:$A,CONCAT("&lt;",$E290))</f>
        <v>4</v>
      </c>
      <c r="K290" s="79">
        <f>COUNTIFS(Entropy!D:D,A290,Entropy!I:I,CONCAT("&lt;",E290-1))</f>
        <v>0</v>
      </c>
      <c r="L290" s="79">
        <f t="shared" si="2"/>
        <v>10</v>
      </c>
      <c r="M290" s="79">
        <f t="array" ref="M290">max(min(IF(J290+K290=11,0,XLOOKUP(B290,Quotas!$A$8:$A$14,Quotas!$E$8:$E$14)-$L290),2),0)</f>
        <v>0</v>
      </c>
      <c r="N290" s="31">
        <f t="shared" si="3"/>
        <v>0</v>
      </c>
    </row>
    <row r="291">
      <c r="A291" s="31" t="s">
        <v>298</v>
      </c>
      <c r="B291" s="9">
        <v>2.0</v>
      </c>
      <c r="C291" s="31" t="str">
        <f>VLOOKUP(A291, 'College List'!A:B, 2, FALSE)</f>
        <v>Quandrix</v>
      </c>
      <c r="D291" s="355">
        <f>VLOOKUP(B291,Quotas!$A$8:$C$14,2,FALSE)</f>
        <v>46143.70833</v>
      </c>
      <c r="E291" s="356">
        <f>VLOOKUP(B291,Quotas!$A$8:$C$14,3,FALSE)</f>
        <v>46150.70833</v>
      </c>
      <c r="F291" s="79">
        <f>COUNTIFS(Matches!$B:$B,A291,Matches!$A:$A,CONCAT("&gt;",$D291),Matches!$A:$A,CONCAT("&lt;",$E291))</f>
        <v>4</v>
      </c>
      <c r="G291" s="79">
        <f>COUNTIFS(Matches!$C:$C,$A291,Matches!$A:$A,CONCAT("&gt;",$D291),Matches!$A:$A,CONCAT("&lt;",$E291))</f>
        <v>1</v>
      </c>
      <c r="H291" s="79">
        <f t="shared" si="1"/>
        <v>5</v>
      </c>
      <c r="I291" s="79">
        <f>COUNTIFS(Matches!$B:$B,$A291,Matches!$A:$A,CONCAT("&lt;",$E291))</f>
        <v>5</v>
      </c>
      <c r="J291" s="79">
        <f>COUNTIFS(Matches!$C:$C,$A291,Matches!$A:$A,CONCAT("&lt;",$E291))</f>
        <v>5</v>
      </c>
      <c r="K291" s="79">
        <f>COUNTIFS(Entropy!D:D,A291,Entropy!I:I,CONCAT("&lt;",E291-1))</f>
        <v>0</v>
      </c>
      <c r="L291" s="79">
        <f t="shared" si="2"/>
        <v>10</v>
      </c>
      <c r="M291" s="79">
        <f t="array" ref="M291">max(min(IF(J291+K291=11,0,XLOOKUP(B291,Quotas!$A$8:$A$14,Quotas!$E$8:$E$14)-$L291),2),0)</f>
        <v>0</v>
      </c>
      <c r="N291" s="31">
        <f t="shared" si="3"/>
        <v>0</v>
      </c>
    </row>
    <row r="292">
      <c r="A292" s="31" t="s">
        <v>424</v>
      </c>
      <c r="B292" s="9">
        <v>2.0</v>
      </c>
      <c r="C292" s="31" t="str">
        <f>VLOOKUP(A292, 'College List'!A:B, 2, FALSE)</f>
        <v>Lorehold</v>
      </c>
      <c r="D292" s="355">
        <f>VLOOKUP(B292,Quotas!$A$8:$C$14,2,FALSE)</f>
        <v>46143.70833</v>
      </c>
      <c r="E292" s="356">
        <f>VLOOKUP(B292,Quotas!$A$8:$C$14,3,FALSE)</f>
        <v>46150.70833</v>
      </c>
      <c r="F292" s="79">
        <f>COUNTIFS(Matches!$B:$B,A292,Matches!$A:$A,CONCAT("&gt;",$D292),Matches!$A:$A,CONCAT("&lt;",$E292))</f>
        <v>0</v>
      </c>
      <c r="G292" s="79">
        <f>COUNTIFS(Matches!$C:$C,$A292,Matches!$A:$A,CONCAT("&gt;",$D292),Matches!$A:$A,CONCAT("&lt;",$E292))</f>
        <v>1</v>
      </c>
      <c r="H292" s="79">
        <f t="shared" si="1"/>
        <v>1</v>
      </c>
      <c r="I292" s="79">
        <f>COUNTIFS(Matches!$B:$B,$A292,Matches!$A:$A,CONCAT("&lt;",$E292))</f>
        <v>2</v>
      </c>
      <c r="J292" s="79">
        <f>COUNTIFS(Matches!$C:$C,$A292,Matches!$A:$A,CONCAT("&lt;",$E292))</f>
        <v>4</v>
      </c>
      <c r="K292" s="79">
        <f>COUNTIFS(Entropy!D:D,A292,Entropy!I:I,CONCAT("&lt;",E292-1))</f>
        <v>0</v>
      </c>
      <c r="L292" s="79">
        <f t="shared" si="2"/>
        <v>6</v>
      </c>
      <c r="M292" s="79">
        <f t="array" ref="M292">max(min(IF(J292+K292=11,0,XLOOKUP(B292,Quotas!$A$8:$A$14,Quotas!$E$8:$E$14)-$L292),2),0)</f>
        <v>2</v>
      </c>
      <c r="N292" s="31">
        <f t="shared" si="3"/>
        <v>1</v>
      </c>
    </row>
    <row r="293">
      <c r="A293" s="31" t="s">
        <v>100</v>
      </c>
      <c r="B293" s="9">
        <v>2.0</v>
      </c>
      <c r="C293" s="31" t="str">
        <f>VLOOKUP(A293, 'College List'!A:B, 2, FALSE)</f>
        <v>Witherbloom</v>
      </c>
      <c r="D293" s="355">
        <f>VLOOKUP(B293,Quotas!$A$8:$C$14,2,FALSE)</f>
        <v>46143.70833</v>
      </c>
      <c r="E293" s="356">
        <f>VLOOKUP(B293,Quotas!$A$8:$C$14,3,FALSE)</f>
        <v>46150.70833</v>
      </c>
      <c r="F293" s="79">
        <f>COUNTIFS(Matches!$B:$B,A293,Matches!$A:$A,CONCAT("&gt;",$D293),Matches!$A:$A,CONCAT("&lt;",$E293))</f>
        <v>1</v>
      </c>
      <c r="G293" s="79">
        <f>COUNTIFS(Matches!$C:$C,$A293,Matches!$A:$A,CONCAT("&gt;",$D293),Matches!$A:$A,CONCAT("&lt;",$E293))</f>
        <v>4</v>
      </c>
      <c r="H293" s="79">
        <f t="shared" si="1"/>
        <v>5</v>
      </c>
      <c r="I293" s="79">
        <f>COUNTIFS(Matches!$B:$B,$A293,Matches!$A:$A,CONCAT("&lt;",$E293))</f>
        <v>2</v>
      </c>
      <c r="J293" s="79">
        <f>COUNTIFS(Matches!$C:$C,$A293,Matches!$A:$A,CONCAT("&lt;",$E293))</f>
        <v>8</v>
      </c>
      <c r="K293" s="79">
        <f>COUNTIFS(Entropy!D:D,A293,Entropy!I:I,CONCAT("&lt;",E293-1))</f>
        <v>0</v>
      </c>
      <c r="L293" s="79">
        <f t="shared" si="2"/>
        <v>10</v>
      </c>
      <c r="M293" s="79">
        <f t="array" ref="M293">max(min(IF(J293+K293=11,0,XLOOKUP(B293,Quotas!$A$8:$A$14,Quotas!$E$8:$E$14)-$L293),2),0)</f>
        <v>0</v>
      </c>
      <c r="N293" s="31">
        <f t="shared" si="3"/>
        <v>0</v>
      </c>
    </row>
    <row r="294">
      <c r="A294" s="31" t="s">
        <v>64</v>
      </c>
      <c r="B294" s="9">
        <v>2.0</v>
      </c>
      <c r="C294" s="31" t="str">
        <f>VLOOKUP(A294, 'College List'!A:B, 2, FALSE)</f>
        <v>Prismari</v>
      </c>
      <c r="D294" s="355">
        <f>VLOOKUP(B294,Quotas!$A$8:$C$14,2,FALSE)</f>
        <v>46143.70833</v>
      </c>
      <c r="E294" s="356">
        <f>VLOOKUP(B294,Quotas!$A$8:$C$14,3,FALSE)</f>
        <v>46150.70833</v>
      </c>
      <c r="F294" s="79">
        <f>COUNTIFS(Matches!$B:$B,A294,Matches!$A:$A,CONCAT("&gt;",$D294),Matches!$A:$A,CONCAT("&lt;",$E294))</f>
        <v>3</v>
      </c>
      <c r="G294" s="79">
        <f>COUNTIFS(Matches!$C:$C,$A294,Matches!$A:$A,CONCAT("&gt;",$D294),Matches!$A:$A,CONCAT("&lt;",$E294))</f>
        <v>2</v>
      </c>
      <c r="H294" s="79">
        <f t="shared" si="1"/>
        <v>5</v>
      </c>
      <c r="I294" s="79">
        <f>COUNTIFS(Matches!$B:$B,$A294,Matches!$A:$A,CONCAT("&lt;",$E294))</f>
        <v>6</v>
      </c>
      <c r="J294" s="79">
        <f>COUNTIFS(Matches!$C:$C,$A294,Matches!$A:$A,CONCAT("&lt;",$E294))</f>
        <v>4</v>
      </c>
      <c r="K294" s="79">
        <f>COUNTIFS(Entropy!D:D,A294,Entropy!I:I,CONCAT("&lt;",E294-1))</f>
        <v>0</v>
      </c>
      <c r="L294" s="79">
        <f t="shared" si="2"/>
        <v>10</v>
      </c>
      <c r="M294" s="79">
        <f t="array" ref="M294">max(min(IF(J294+K294=11,0,XLOOKUP(B294,Quotas!$A$8:$A$14,Quotas!$E$8:$E$14)-$L294),2),0)</f>
        <v>0</v>
      </c>
      <c r="N294" s="31">
        <f t="shared" si="3"/>
        <v>0</v>
      </c>
    </row>
    <row r="295">
      <c r="A295" s="31" t="s">
        <v>186</v>
      </c>
      <c r="B295" s="9">
        <v>2.0</v>
      </c>
      <c r="C295" s="31" t="str">
        <f>VLOOKUP(A295, 'College List'!A:B, 2, FALSE)</f>
        <v>Witherbloom</v>
      </c>
      <c r="D295" s="355">
        <f>VLOOKUP(B295,Quotas!$A$8:$C$14,2,FALSE)</f>
        <v>46143.70833</v>
      </c>
      <c r="E295" s="356">
        <f>VLOOKUP(B295,Quotas!$A$8:$C$14,3,FALSE)</f>
        <v>46150.70833</v>
      </c>
      <c r="F295" s="79">
        <f>COUNTIFS(Matches!$B:$B,A295,Matches!$A:$A,CONCAT("&gt;",$D295),Matches!$A:$A,CONCAT("&lt;",$E295))</f>
        <v>3</v>
      </c>
      <c r="G295" s="79">
        <f>COUNTIFS(Matches!$C:$C,$A295,Matches!$A:$A,CONCAT("&gt;",$D295),Matches!$A:$A,CONCAT("&lt;",$E295))</f>
        <v>2</v>
      </c>
      <c r="H295" s="79">
        <f t="shared" si="1"/>
        <v>5</v>
      </c>
      <c r="I295" s="79">
        <f>COUNTIFS(Matches!$B:$B,$A295,Matches!$A:$A,CONCAT("&lt;",$E295))</f>
        <v>4</v>
      </c>
      <c r="J295" s="79">
        <f>COUNTIFS(Matches!$C:$C,$A295,Matches!$A:$A,CONCAT("&lt;",$E295))</f>
        <v>6</v>
      </c>
      <c r="K295" s="79">
        <f>COUNTIFS(Entropy!D:D,A295,Entropy!I:I,CONCAT("&lt;",E295-1))</f>
        <v>0</v>
      </c>
      <c r="L295" s="79">
        <f t="shared" si="2"/>
        <v>10</v>
      </c>
      <c r="M295" s="79">
        <f t="array" ref="M295">max(min(IF(J295+K295=11,0,XLOOKUP(B295,Quotas!$A$8:$A$14,Quotas!$E$8:$E$14)-$L295),2),0)</f>
        <v>0</v>
      </c>
      <c r="N295" s="31">
        <f t="shared" si="3"/>
        <v>0</v>
      </c>
    </row>
    <row r="296">
      <c r="A296" s="31" t="s">
        <v>75</v>
      </c>
      <c r="B296" s="9">
        <v>2.0</v>
      </c>
      <c r="C296" s="31" t="str">
        <f>VLOOKUP(A296, 'College List'!A:B, 2, FALSE)</f>
        <v>Silverquill</v>
      </c>
      <c r="D296" s="355">
        <f>VLOOKUP(B296,Quotas!$A$8:$C$14,2,FALSE)</f>
        <v>46143.70833</v>
      </c>
      <c r="E296" s="356">
        <f>VLOOKUP(B296,Quotas!$A$8:$C$14,3,FALSE)</f>
        <v>46150.70833</v>
      </c>
      <c r="F296" s="79">
        <f>COUNTIFS(Matches!$B:$B,A296,Matches!$A:$A,CONCAT("&gt;",$D296),Matches!$A:$A,CONCAT("&lt;",$E296))</f>
        <v>0</v>
      </c>
      <c r="G296" s="79">
        <f>COUNTIFS(Matches!$C:$C,$A296,Matches!$A:$A,CONCAT("&gt;",$D296),Matches!$A:$A,CONCAT("&lt;",$E296))</f>
        <v>5</v>
      </c>
      <c r="H296" s="79">
        <f t="shared" si="1"/>
        <v>5</v>
      </c>
      <c r="I296" s="79">
        <f>COUNTIFS(Matches!$B:$B,$A296,Matches!$A:$A,CONCAT("&lt;",$E296))</f>
        <v>1</v>
      </c>
      <c r="J296" s="79">
        <f>COUNTIFS(Matches!$C:$C,$A296,Matches!$A:$A,CONCAT("&lt;",$E296))</f>
        <v>9</v>
      </c>
      <c r="K296" s="79">
        <f>COUNTIFS(Entropy!D:D,A296,Entropy!I:I,CONCAT("&lt;",E296-1))</f>
        <v>0</v>
      </c>
      <c r="L296" s="79">
        <f t="shared" si="2"/>
        <v>10</v>
      </c>
      <c r="M296" s="79">
        <f t="array" ref="M296">max(min(IF(J296+K296=11,0,XLOOKUP(B296,Quotas!$A$8:$A$14,Quotas!$E$8:$E$14)-$L296),2),0)</f>
        <v>0</v>
      </c>
      <c r="N296" s="31">
        <f t="shared" si="3"/>
        <v>0</v>
      </c>
    </row>
    <row r="297">
      <c r="A297" s="31" t="s">
        <v>187</v>
      </c>
      <c r="B297" s="9">
        <v>2.0</v>
      </c>
      <c r="C297" s="31" t="str">
        <f>VLOOKUP(A297, 'College List'!A:B, 2, FALSE)</f>
        <v>Quandrix</v>
      </c>
      <c r="D297" s="355">
        <f>VLOOKUP(B297,Quotas!$A$8:$C$14,2,FALSE)</f>
        <v>46143.70833</v>
      </c>
      <c r="E297" s="356">
        <f>VLOOKUP(B297,Quotas!$A$8:$C$14,3,FALSE)</f>
        <v>46150.70833</v>
      </c>
      <c r="F297" s="79">
        <f>COUNTIFS(Matches!$B:$B,A297,Matches!$A:$A,CONCAT("&gt;",$D297),Matches!$A:$A,CONCAT("&lt;",$E297))</f>
        <v>5</v>
      </c>
      <c r="G297" s="79">
        <f>COUNTIFS(Matches!$C:$C,$A297,Matches!$A:$A,CONCAT("&gt;",$D297),Matches!$A:$A,CONCAT("&lt;",$E297))</f>
        <v>0</v>
      </c>
      <c r="H297" s="79">
        <f t="shared" si="1"/>
        <v>5</v>
      </c>
      <c r="I297" s="79">
        <f>COUNTIFS(Matches!$B:$B,$A297,Matches!$A:$A,CONCAT("&lt;",$E297))</f>
        <v>8</v>
      </c>
      <c r="J297" s="79">
        <f>COUNTIFS(Matches!$C:$C,$A297,Matches!$A:$A,CONCAT("&lt;",$E297))</f>
        <v>2</v>
      </c>
      <c r="K297" s="79">
        <f>COUNTIFS(Entropy!D:D,A297,Entropy!I:I,CONCAT("&lt;",E297-1))</f>
        <v>0</v>
      </c>
      <c r="L297" s="79">
        <f t="shared" si="2"/>
        <v>10</v>
      </c>
      <c r="M297" s="79">
        <f t="array" ref="M297">max(min(IF(J297+K297=11,0,XLOOKUP(B297,Quotas!$A$8:$A$14,Quotas!$E$8:$E$14)-$L297),2),0)</f>
        <v>0</v>
      </c>
      <c r="N297" s="31">
        <f t="shared" si="3"/>
        <v>0</v>
      </c>
    </row>
    <row r="298">
      <c r="A298" s="31" t="s">
        <v>83</v>
      </c>
      <c r="B298" s="9">
        <v>2.0</v>
      </c>
      <c r="C298" s="31" t="str">
        <f>VLOOKUP(A298, 'College List'!A:B, 2, FALSE)</f>
        <v>Prismari</v>
      </c>
      <c r="D298" s="355">
        <f>VLOOKUP(B298,Quotas!$A$8:$C$14,2,FALSE)</f>
        <v>46143.70833</v>
      </c>
      <c r="E298" s="356">
        <f>VLOOKUP(B298,Quotas!$A$8:$C$14,3,FALSE)</f>
        <v>46150.70833</v>
      </c>
      <c r="F298" s="79">
        <f>COUNTIFS(Matches!$B:$B,A298,Matches!$A:$A,CONCAT("&gt;",$D298),Matches!$A:$A,CONCAT("&lt;",$E298))</f>
        <v>2</v>
      </c>
      <c r="G298" s="79">
        <f>COUNTIFS(Matches!$C:$C,$A298,Matches!$A:$A,CONCAT("&gt;",$D298),Matches!$A:$A,CONCAT("&lt;",$E298))</f>
        <v>3</v>
      </c>
      <c r="H298" s="79">
        <f t="shared" si="1"/>
        <v>5</v>
      </c>
      <c r="I298" s="79">
        <f>COUNTIFS(Matches!$B:$B,$A298,Matches!$A:$A,CONCAT("&lt;",$E298))</f>
        <v>3</v>
      </c>
      <c r="J298" s="79">
        <f>COUNTIFS(Matches!$C:$C,$A298,Matches!$A:$A,CONCAT("&lt;",$E298))</f>
        <v>7</v>
      </c>
      <c r="K298" s="79">
        <f>COUNTIFS(Entropy!D:D,A298,Entropy!I:I,CONCAT("&lt;",E298-1))</f>
        <v>0</v>
      </c>
      <c r="L298" s="79">
        <f t="shared" si="2"/>
        <v>10</v>
      </c>
      <c r="M298" s="79">
        <f t="array" ref="M298">max(min(IF(J298+K298=11,0,XLOOKUP(B298,Quotas!$A$8:$A$14,Quotas!$E$8:$E$14)-$L298),2),0)</f>
        <v>0</v>
      </c>
      <c r="N298" s="31">
        <f t="shared" si="3"/>
        <v>0</v>
      </c>
    </row>
    <row r="299">
      <c r="A299" s="31" t="s">
        <v>322</v>
      </c>
      <c r="B299" s="9">
        <v>2.0</v>
      </c>
      <c r="C299" s="31" t="str">
        <f>VLOOKUP(A299, 'College List'!A:B, 2, FALSE)</f>
        <v>Prismari</v>
      </c>
      <c r="D299" s="355">
        <f>VLOOKUP(B299,Quotas!$A$8:$C$14,2,FALSE)</f>
        <v>46143.70833</v>
      </c>
      <c r="E299" s="356">
        <f>VLOOKUP(B299,Quotas!$A$8:$C$14,3,FALSE)</f>
        <v>46150.70833</v>
      </c>
      <c r="F299" s="79">
        <f>COUNTIFS(Matches!$B:$B,A299,Matches!$A:$A,CONCAT("&gt;",$D299),Matches!$A:$A,CONCAT("&lt;",$E299))</f>
        <v>3</v>
      </c>
      <c r="G299" s="79">
        <f>COUNTIFS(Matches!$C:$C,$A299,Matches!$A:$A,CONCAT("&gt;",$D299),Matches!$A:$A,CONCAT("&lt;",$E299))</f>
        <v>1</v>
      </c>
      <c r="H299" s="79">
        <f t="shared" si="1"/>
        <v>4</v>
      </c>
      <c r="I299" s="79">
        <f>COUNTIFS(Matches!$B:$B,$A299,Matches!$A:$A,CONCAT("&lt;",$E299))</f>
        <v>5</v>
      </c>
      <c r="J299" s="79">
        <f>COUNTIFS(Matches!$C:$C,$A299,Matches!$A:$A,CONCAT("&lt;",$E299))</f>
        <v>4</v>
      </c>
      <c r="K299" s="79">
        <f>COUNTIFS(Entropy!D:D,A299,Entropy!I:I,CONCAT("&lt;",E299-1))</f>
        <v>0</v>
      </c>
      <c r="L299" s="79">
        <f t="shared" si="2"/>
        <v>9</v>
      </c>
      <c r="M299" s="79">
        <f t="array" ref="M299">max(min(IF(J299+K299=11,0,XLOOKUP(B299,Quotas!$A$8:$A$14,Quotas!$E$8:$E$14)-$L299),2),0)</f>
        <v>1</v>
      </c>
      <c r="N299" s="31">
        <f t="shared" si="3"/>
        <v>0.5</v>
      </c>
    </row>
    <row r="300">
      <c r="A300" s="31" t="s">
        <v>393</v>
      </c>
      <c r="B300" s="9">
        <v>2.0</v>
      </c>
      <c r="C300" s="31" t="str">
        <f>VLOOKUP(A300, 'College List'!A:B, 2, FALSE)</f>
        <v>Witherbloom</v>
      </c>
      <c r="D300" s="355">
        <f>VLOOKUP(B300,Quotas!$A$8:$C$14,2,FALSE)</f>
        <v>46143.70833</v>
      </c>
      <c r="E300" s="356">
        <f>VLOOKUP(B300,Quotas!$A$8:$C$14,3,FALSE)</f>
        <v>46150.70833</v>
      </c>
      <c r="F300" s="79">
        <f>COUNTIFS(Matches!$B:$B,A300,Matches!$A:$A,CONCAT("&gt;",$D300),Matches!$A:$A,CONCAT("&lt;",$E300))</f>
        <v>1</v>
      </c>
      <c r="G300" s="79">
        <f>COUNTIFS(Matches!$C:$C,$A300,Matches!$A:$A,CONCAT("&gt;",$D300),Matches!$A:$A,CONCAT("&lt;",$E300))</f>
        <v>3</v>
      </c>
      <c r="H300" s="79">
        <f t="shared" si="1"/>
        <v>4</v>
      </c>
      <c r="I300" s="79">
        <f>COUNTIFS(Matches!$B:$B,$A300,Matches!$A:$A,CONCAT("&lt;",$E300))</f>
        <v>2</v>
      </c>
      <c r="J300" s="79">
        <f>COUNTIFS(Matches!$C:$C,$A300,Matches!$A:$A,CONCAT("&lt;",$E300))</f>
        <v>5</v>
      </c>
      <c r="K300" s="79">
        <f>COUNTIFS(Entropy!D:D,A300,Entropy!I:I,CONCAT("&lt;",E300-1))</f>
        <v>0</v>
      </c>
      <c r="L300" s="79">
        <f t="shared" si="2"/>
        <v>7</v>
      </c>
      <c r="M300" s="79">
        <f t="array" ref="M300">max(min(IF(J300+K300=11,0,XLOOKUP(B300,Quotas!$A$8:$A$14,Quotas!$E$8:$E$14)-$L300),2),0)</f>
        <v>2</v>
      </c>
      <c r="N300" s="31">
        <f t="shared" si="3"/>
        <v>1</v>
      </c>
    </row>
    <row r="301">
      <c r="A301" s="31" t="s">
        <v>208</v>
      </c>
      <c r="B301" s="9">
        <v>2.0</v>
      </c>
      <c r="C301" s="31" t="str">
        <f>VLOOKUP(A301, 'College List'!A:B, 2, FALSE)</f>
        <v>Witherbloom</v>
      </c>
      <c r="D301" s="355">
        <f>VLOOKUP(B301,Quotas!$A$8:$C$14,2,FALSE)</f>
        <v>46143.70833</v>
      </c>
      <c r="E301" s="356">
        <f>VLOOKUP(B301,Quotas!$A$8:$C$14,3,FALSE)</f>
        <v>46150.70833</v>
      </c>
      <c r="F301" s="79">
        <f>COUNTIFS(Matches!$B:$B,A301,Matches!$A:$A,CONCAT("&gt;",$D301),Matches!$A:$A,CONCAT("&lt;",$E301))</f>
        <v>2</v>
      </c>
      <c r="G301" s="79">
        <f>COUNTIFS(Matches!$C:$C,$A301,Matches!$A:$A,CONCAT("&gt;",$D301),Matches!$A:$A,CONCAT("&lt;",$E301))</f>
        <v>3</v>
      </c>
      <c r="H301" s="79">
        <f t="shared" si="1"/>
        <v>5</v>
      </c>
      <c r="I301" s="79">
        <f>COUNTIFS(Matches!$B:$B,$A301,Matches!$A:$A,CONCAT("&lt;",$E301))</f>
        <v>5</v>
      </c>
      <c r="J301" s="79">
        <f>COUNTIFS(Matches!$C:$C,$A301,Matches!$A:$A,CONCAT("&lt;",$E301))</f>
        <v>5</v>
      </c>
      <c r="K301" s="79">
        <f>COUNTIFS(Entropy!D:D,A301,Entropy!I:I,CONCAT("&lt;",E301-1))</f>
        <v>0</v>
      </c>
      <c r="L301" s="79">
        <f t="shared" si="2"/>
        <v>10</v>
      </c>
      <c r="M301" s="79">
        <f t="array" ref="M301">max(min(IF(J301+K301=11,0,XLOOKUP(B301,Quotas!$A$8:$A$14,Quotas!$E$8:$E$14)-$L301),2),0)</f>
        <v>0</v>
      </c>
      <c r="N301" s="31">
        <f t="shared" si="3"/>
        <v>0</v>
      </c>
    </row>
    <row r="302">
      <c r="A302" s="31" t="s">
        <v>161</v>
      </c>
      <c r="B302" s="9">
        <v>2.0</v>
      </c>
      <c r="C302" s="31" t="str">
        <f>VLOOKUP(A302, 'College List'!A:B, 2, FALSE)</f>
        <v>Witherbloom</v>
      </c>
      <c r="D302" s="355">
        <f>VLOOKUP(B302,Quotas!$A$8:$C$14,2,FALSE)</f>
        <v>46143.70833</v>
      </c>
      <c r="E302" s="356">
        <f>VLOOKUP(B302,Quotas!$A$8:$C$14,3,FALSE)</f>
        <v>46150.70833</v>
      </c>
      <c r="F302" s="79">
        <f>COUNTIFS(Matches!$B:$B,A302,Matches!$A:$A,CONCAT("&gt;",$D302),Matches!$A:$A,CONCAT("&lt;",$E302))</f>
        <v>2</v>
      </c>
      <c r="G302" s="79">
        <f>COUNTIFS(Matches!$C:$C,$A302,Matches!$A:$A,CONCAT("&gt;",$D302),Matches!$A:$A,CONCAT("&lt;",$E302))</f>
        <v>3</v>
      </c>
      <c r="H302" s="79">
        <f t="shared" si="1"/>
        <v>5</v>
      </c>
      <c r="I302" s="79">
        <f>COUNTIFS(Matches!$B:$B,$A302,Matches!$A:$A,CONCAT("&lt;",$E302))</f>
        <v>4</v>
      </c>
      <c r="J302" s="79">
        <f>COUNTIFS(Matches!$C:$C,$A302,Matches!$A:$A,CONCAT("&lt;",$E302))</f>
        <v>6</v>
      </c>
      <c r="K302" s="79">
        <f>COUNTIFS(Entropy!D:D,A302,Entropy!I:I,CONCAT("&lt;",E302-1))</f>
        <v>0</v>
      </c>
      <c r="L302" s="79">
        <f t="shared" si="2"/>
        <v>10</v>
      </c>
      <c r="M302" s="79">
        <f t="array" ref="M302">max(min(IF(J302+K302=11,0,XLOOKUP(B302,Quotas!$A$8:$A$14,Quotas!$E$8:$E$14)-$L302),2),0)</f>
        <v>0</v>
      </c>
      <c r="N302" s="31">
        <f t="shared" si="3"/>
        <v>0</v>
      </c>
    </row>
    <row r="303">
      <c r="A303" s="31" t="s">
        <v>389</v>
      </c>
      <c r="B303" s="9">
        <v>2.0</v>
      </c>
      <c r="C303" s="31" t="str">
        <f>VLOOKUP(A303, 'College List'!A:B, 2, FALSE)</f>
        <v>Prismari</v>
      </c>
      <c r="D303" s="355">
        <f>VLOOKUP(B303,Quotas!$A$8:$C$14,2,FALSE)</f>
        <v>46143.70833</v>
      </c>
      <c r="E303" s="356">
        <f>VLOOKUP(B303,Quotas!$A$8:$C$14,3,FALSE)</f>
        <v>46150.70833</v>
      </c>
      <c r="F303" s="79">
        <f>COUNTIFS(Matches!$B:$B,A303,Matches!$A:$A,CONCAT("&gt;",$D303),Matches!$A:$A,CONCAT("&lt;",$E303))</f>
        <v>3</v>
      </c>
      <c r="G303" s="79">
        <f>COUNTIFS(Matches!$C:$C,$A303,Matches!$A:$A,CONCAT("&gt;",$D303),Matches!$A:$A,CONCAT("&lt;",$E303))</f>
        <v>2</v>
      </c>
      <c r="H303" s="79">
        <f t="shared" si="1"/>
        <v>5</v>
      </c>
      <c r="I303" s="79">
        <f>COUNTIFS(Matches!$B:$B,$A303,Matches!$A:$A,CONCAT("&lt;",$E303))</f>
        <v>7</v>
      </c>
      <c r="J303" s="79">
        <f>COUNTIFS(Matches!$C:$C,$A303,Matches!$A:$A,CONCAT("&lt;",$E303))</f>
        <v>2</v>
      </c>
      <c r="K303" s="79">
        <f>COUNTIFS(Entropy!D:D,A303,Entropy!I:I,CONCAT("&lt;",E303-1))</f>
        <v>0</v>
      </c>
      <c r="L303" s="79">
        <f t="shared" si="2"/>
        <v>9</v>
      </c>
      <c r="M303" s="79">
        <f t="array" ref="M303">max(min(IF(J303+K303=11,0,XLOOKUP(B303,Quotas!$A$8:$A$14,Quotas!$E$8:$E$14)-$L303),2),0)</f>
        <v>1</v>
      </c>
      <c r="N303" s="31">
        <f t="shared" si="3"/>
        <v>0.5</v>
      </c>
    </row>
    <row r="304">
      <c r="A304" s="31" t="s">
        <v>323</v>
      </c>
      <c r="B304" s="9">
        <v>2.0</v>
      </c>
      <c r="C304" s="31" t="str">
        <f>VLOOKUP(A304, 'College List'!A:B, 2, FALSE)</f>
        <v>Silverquill</v>
      </c>
      <c r="D304" s="355">
        <f>VLOOKUP(B304,Quotas!$A$8:$C$14,2,FALSE)</f>
        <v>46143.70833</v>
      </c>
      <c r="E304" s="356">
        <f>VLOOKUP(B304,Quotas!$A$8:$C$14,3,FALSE)</f>
        <v>46150.70833</v>
      </c>
      <c r="F304" s="79">
        <f>COUNTIFS(Matches!$B:$B,A304,Matches!$A:$A,CONCAT("&gt;",$D304),Matches!$A:$A,CONCAT("&lt;",$E304))</f>
        <v>2</v>
      </c>
      <c r="G304" s="79">
        <f>COUNTIFS(Matches!$C:$C,$A304,Matches!$A:$A,CONCAT("&gt;",$D304),Matches!$A:$A,CONCAT("&lt;",$E304))</f>
        <v>4</v>
      </c>
      <c r="H304" s="79">
        <f t="shared" si="1"/>
        <v>6</v>
      </c>
      <c r="I304" s="79">
        <f>COUNTIFS(Matches!$B:$B,$A304,Matches!$A:$A,CONCAT("&lt;",$E304))</f>
        <v>3</v>
      </c>
      <c r="J304" s="79">
        <f>COUNTIFS(Matches!$C:$C,$A304,Matches!$A:$A,CONCAT("&lt;",$E304))</f>
        <v>7</v>
      </c>
      <c r="K304" s="79">
        <f>COUNTIFS(Entropy!D:D,A304,Entropy!I:I,CONCAT("&lt;",E304-1))</f>
        <v>0</v>
      </c>
      <c r="L304" s="79">
        <f t="shared" si="2"/>
        <v>10</v>
      </c>
      <c r="M304" s="79">
        <f t="array" ref="M304">max(min(IF(J304+K304=11,0,XLOOKUP(B304,Quotas!$A$8:$A$14,Quotas!$E$8:$E$14)-$L304),2),0)</f>
        <v>0</v>
      </c>
      <c r="N304" s="31">
        <f t="shared" si="3"/>
        <v>0</v>
      </c>
    </row>
    <row r="305">
      <c r="A305" s="31" t="s">
        <v>250</v>
      </c>
      <c r="B305" s="9">
        <v>2.0</v>
      </c>
      <c r="C305" s="31" t="str">
        <f>VLOOKUP(A305, 'College List'!A:B, 2, FALSE)</f>
        <v>Witherbloom</v>
      </c>
      <c r="D305" s="355">
        <f>VLOOKUP(B305,Quotas!$A$8:$C$14,2,FALSE)</f>
        <v>46143.70833</v>
      </c>
      <c r="E305" s="356">
        <f>VLOOKUP(B305,Quotas!$A$8:$C$14,3,FALSE)</f>
        <v>46150.70833</v>
      </c>
      <c r="F305" s="79">
        <f>COUNTIFS(Matches!$B:$B,A305,Matches!$A:$A,CONCAT("&gt;",$D305),Matches!$A:$A,CONCAT("&lt;",$E305))</f>
        <v>1</v>
      </c>
      <c r="G305" s="79">
        <f>COUNTIFS(Matches!$C:$C,$A305,Matches!$A:$A,CONCAT("&gt;",$D305),Matches!$A:$A,CONCAT("&lt;",$E305))</f>
        <v>3</v>
      </c>
      <c r="H305" s="79">
        <f t="shared" si="1"/>
        <v>4</v>
      </c>
      <c r="I305" s="79">
        <f>COUNTIFS(Matches!$B:$B,$A305,Matches!$A:$A,CONCAT("&lt;",$E305))</f>
        <v>4</v>
      </c>
      <c r="J305" s="79">
        <f>COUNTIFS(Matches!$C:$C,$A305,Matches!$A:$A,CONCAT("&lt;",$E305))</f>
        <v>5</v>
      </c>
      <c r="K305" s="79">
        <f>COUNTIFS(Entropy!D:D,A305,Entropy!I:I,CONCAT("&lt;",E305-1))</f>
        <v>0</v>
      </c>
      <c r="L305" s="79">
        <f t="shared" si="2"/>
        <v>9</v>
      </c>
      <c r="M305" s="79">
        <f t="array" ref="M305">max(min(IF(J305+K305=11,0,XLOOKUP(B305,Quotas!$A$8:$A$14,Quotas!$E$8:$E$14)-$L305),2),0)</f>
        <v>1</v>
      </c>
      <c r="N305" s="31">
        <f t="shared" si="3"/>
        <v>0.5</v>
      </c>
    </row>
    <row r="306">
      <c r="A306" s="31" t="s">
        <v>55</v>
      </c>
      <c r="B306" s="9">
        <v>2.0</v>
      </c>
      <c r="C306" s="31" t="str">
        <f>VLOOKUP(A306, 'College List'!A:B, 2, FALSE)</f>
        <v>Silverquill</v>
      </c>
      <c r="D306" s="355">
        <f>VLOOKUP(B306,Quotas!$A$8:$C$14,2,FALSE)</f>
        <v>46143.70833</v>
      </c>
      <c r="E306" s="356">
        <f>VLOOKUP(B306,Quotas!$A$8:$C$14,3,FALSE)</f>
        <v>46150.70833</v>
      </c>
      <c r="F306" s="79">
        <f>COUNTIFS(Matches!$B:$B,A306,Matches!$A:$A,CONCAT("&gt;",$D306),Matches!$A:$A,CONCAT("&lt;",$E306))</f>
        <v>2</v>
      </c>
      <c r="G306" s="79">
        <f>COUNTIFS(Matches!$C:$C,$A306,Matches!$A:$A,CONCAT("&gt;",$D306),Matches!$A:$A,CONCAT("&lt;",$E306))</f>
        <v>3</v>
      </c>
      <c r="H306" s="79">
        <f t="shared" si="1"/>
        <v>5</v>
      </c>
      <c r="I306" s="79">
        <f>COUNTIFS(Matches!$B:$B,$A306,Matches!$A:$A,CONCAT("&lt;",$E306))</f>
        <v>3</v>
      </c>
      <c r="J306" s="79">
        <f>COUNTIFS(Matches!$C:$C,$A306,Matches!$A:$A,CONCAT("&lt;",$E306))</f>
        <v>7</v>
      </c>
      <c r="K306" s="79">
        <f>COUNTIFS(Entropy!D:D,A306,Entropy!I:I,CONCAT("&lt;",E306-1))</f>
        <v>0</v>
      </c>
      <c r="L306" s="79">
        <f t="shared" si="2"/>
        <v>10</v>
      </c>
      <c r="M306" s="79">
        <f t="array" ref="M306">max(min(IF(J306+K306=11,0,XLOOKUP(B306,Quotas!$A$8:$A$14,Quotas!$E$8:$E$14)-$L306),2),0)</f>
        <v>0</v>
      </c>
      <c r="N306" s="31">
        <f t="shared" si="3"/>
        <v>0</v>
      </c>
    </row>
    <row r="307">
      <c r="A307" s="31" t="s">
        <v>154</v>
      </c>
      <c r="B307" s="9">
        <v>2.0</v>
      </c>
      <c r="C307" s="31" t="str">
        <f>VLOOKUP(A307, 'College List'!A:B, 2, FALSE)</f>
        <v>Lorehold</v>
      </c>
      <c r="D307" s="355">
        <f>VLOOKUP(B307,Quotas!$A$8:$C$14,2,FALSE)</f>
        <v>46143.70833</v>
      </c>
      <c r="E307" s="356">
        <f>VLOOKUP(B307,Quotas!$A$8:$C$14,3,FALSE)</f>
        <v>46150.70833</v>
      </c>
      <c r="F307" s="79">
        <f>COUNTIFS(Matches!$B:$B,A307,Matches!$A:$A,CONCAT("&gt;",$D307),Matches!$A:$A,CONCAT("&lt;",$E307))</f>
        <v>2</v>
      </c>
      <c r="G307" s="79">
        <f>COUNTIFS(Matches!$C:$C,$A307,Matches!$A:$A,CONCAT("&gt;",$D307),Matches!$A:$A,CONCAT("&lt;",$E307))</f>
        <v>3</v>
      </c>
      <c r="H307" s="79">
        <f t="shared" si="1"/>
        <v>5</v>
      </c>
      <c r="I307" s="79">
        <f>COUNTIFS(Matches!$B:$B,$A307,Matches!$A:$A,CONCAT("&lt;",$E307))</f>
        <v>4</v>
      </c>
      <c r="J307" s="79">
        <f>COUNTIFS(Matches!$C:$C,$A307,Matches!$A:$A,CONCAT("&lt;",$E307))</f>
        <v>6</v>
      </c>
      <c r="K307" s="79">
        <f>COUNTIFS(Entropy!D:D,A307,Entropy!I:I,CONCAT("&lt;",E307-1))</f>
        <v>0</v>
      </c>
      <c r="L307" s="79">
        <f t="shared" si="2"/>
        <v>10</v>
      </c>
      <c r="M307" s="79">
        <f t="array" ref="M307">max(min(IF(J307+K307=11,0,XLOOKUP(B307,Quotas!$A$8:$A$14,Quotas!$E$8:$E$14)-$L307),2),0)</f>
        <v>0</v>
      </c>
      <c r="N307" s="31">
        <f t="shared" si="3"/>
        <v>0</v>
      </c>
    </row>
    <row r="308">
      <c r="A308" s="31" t="s">
        <v>123</v>
      </c>
      <c r="B308" s="9">
        <v>2.0</v>
      </c>
      <c r="C308" s="31" t="str">
        <f>VLOOKUP(A308, 'College List'!A:B, 2, FALSE)</f>
        <v>Silverquill</v>
      </c>
      <c r="D308" s="355">
        <f>VLOOKUP(B308,Quotas!$A$8:$C$14,2,FALSE)</f>
        <v>46143.70833</v>
      </c>
      <c r="E308" s="356">
        <f>VLOOKUP(B308,Quotas!$A$8:$C$14,3,FALSE)</f>
        <v>46150.70833</v>
      </c>
      <c r="F308" s="79">
        <f>COUNTIFS(Matches!$B:$B,A308,Matches!$A:$A,CONCAT("&gt;",$D308),Matches!$A:$A,CONCAT("&lt;",$E308))</f>
        <v>0</v>
      </c>
      <c r="G308" s="79">
        <f>COUNTIFS(Matches!$C:$C,$A308,Matches!$A:$A,CONCAT("&gt;",$D308),Matches!$A:$A,CONCAT("&lt;",$E308))</f>
        <v>5</v>
      </c>
      <c r="H308" s="79">
        <f t="shared" si="1"/>
        <v>5</v>
      </c>
      <c r="I308" s="79">
        <f>COUNTIFS(Matches!$B:$B,$A308,Matches!$A:$A,CONCAT("&lt;",$E308))</f>
        <v>3</v>
      </c>
      <c r="J308" s="79">
        <f>COUNTIFS(Matches!$C:$C,$A308,Matches!$A:$A,CONCAT("&lt;",$E308))</f>
        <v>7</v>
      </c>
      <c r="K308" s="79">
        <f>COUNTIFS(Entropy!D:D,A308,Entropy!I:I,CONCAT("&lt;",E308-1))</f>
        <v>0</v>
      </c>
      <c r="L308" s="79">
        <f t="shared" si="2"/>
        <v>10</v>
      </c>
      <c r="M308" s="79">
        <f t="array" ref="M308">max(min(IF(J308+K308=11,0,XLOOKUP(B308,Quotas!$A$8:$A$14,Quotas!$E$8:$E$14)-$L308),2),0)</f>
        <v>0</v>
      </c>
      <c r="N308" s="31">
        <f t="shared" si="3"/>
        <v>0</v>
      </c>
    </row>
    <row r="309">
      <c r="A309" s="31" t="s">
        <v>237</v>
      </c>
      <c r="B309" s="9">
        <v>2.0</v>
      </c>
      <c r="C309" s="31" t="str">
        <f>VLOOKUP(A309, 'College List'!A:B, 2, FALSE)</f>
        <v>Quandrix</v>
      </c>
      <c r="D309" s="355">
        <f>VLOOKUP(B309,Quotas!$A$8:$C$14,2,FALSE)</f>
        <v>46143.70833</v>
      </c>
      <c r="E309" s="356">
        <f>VLOOKUP(B309,Quotas!$A$8:$C$14,3,FALSE)</f>
        <v>46150.70833</v>
      </c>
      <c r="F309" s="79">
        <f>COUNTIFS(Matches!$B:$B,A309,Matches!$A:$A,CONCAT("&gt;",$D309),Matches!$A:$A,CONCAT("&lt;",$E309))</f>
        <v>2</v>
      </c>
      <c r="G309" s="79">
        <f>COUNTIFS(Matches!$C:$C,$A309,Matches!$A:$A,CONCAT("&gt;",$D309),Matches!$A:$A,CONCAT("&lt;",$E309))</f>
        <v>3</v>
      </c>
      <c r="H309" s="79">
        <f t="shared" si="1"/>
        <v>5</v>
      </c>
      <c r="I309" s="79">
        <f>COUNTIFS(Matches!$B:$B,$A309,Matches!$A:$A,CONCAT("&lt;",$E309))</f>
        <v>6</v>
      </c>
      <c r="J309" s="79">
        <f>COUNTIFS(Matches!$C:$C,$A309,Matches!$A:$A,CONCAT("&lt;",$E309))</f>
        <v>4</v>
      </c>
      <c r="K309" s="79">
        <f>COUNTIFS(Entropy!D:D,A309,Entropy!I:I,CONCAT("&lt;",E309-1))</f>
        <v>0</v>
      </c>
      <c r="L309" s="79">
        <f t="shared" si="2"/>
        <v>10</v>
      </c>
      <c r="M309" s="79">
        <f t="array" ref="M309">max(min(IF(J309+K309=11,0,XLOOKUP(B309,Quotas!$A$8:$A$14,Quotas!$E$8:$E$14)-$L309),2),0)</f>
        <v>0</v>
      </c>
      <c r="N309" s="31">
        <f t="shared" si="3"/>
        <v>0</v>
      </c>
    </row>
    <row r="310">
      <c r="A310" s="31" t="s">
        <v>95</v>
      </c>
      <c r="B310" s="9">
        <v>2.0</v>
      </c>
      <c r="C310" s="31" t="str">
        <f>VLOOKUP(A310, 'College List'!A:B, 2, FALSE)</f>
        <v>Witherbloom</v>
      </c>
      <c r="D310" s="355">
        <f>VLOOKUP(B310,Quotas!$A$8:$C$14,2,FALSE)</f>
        <v>46143.70833</v>
      </c>
      <c r="E310" s="356">
        <f>VLOOKUP(B310,Quotas!$A$8:$C$14,3,FALSE)</f>
        <v>46150.70833</v>
      </c>
      <c r="F310" s="79">
        <f>COUNTIFS(Matches!$B:$B,A310,Matches!$A:$A,CONCAT("&gt;",$D310),Matches!$A:$A,CONCAT("&lt;",$E310))</f>
        <v>4</v>
      </c>
      <c r="G310" s="79">
        <f>COUNTIFS(Matches!$C:$C,$A310,Matches!$A:$A,CONCAT("&gt;",$D310),Matches!$A:$A,CONCAT("&lt;",$E310))</f>
        <v>1</v>
      </c>
      <c r="H310" s="79">
        <f t="shared" si="1"/>
        <v>5</v>
      </c>
      <c r="I310" s="79">
        <f>COUNTIFS(Matches!$B:$B,$A310,Matches!$A:$A,CONCAT("&lt;",$E310))</f>
        <v>6</v>
      </c>
      <c r="J310" s="79">
        <f>COUNTIFS(Matches!$C:$C,$A310,Matches!$A:$A,CONCAT("&lt;",$E310))</f>
        <v>4</v>
      </c>
      <c r="K310" s="79">
        <f>COUNTIFS(Entropy!D:D,A310,Entropy!I:I,CONCAT("&lt;",E310-1))</f>
        <v>0</v>
      </c>
      <c r="L310" s="79">
        <f t="shared" si="2"/>
        <v>10</v>
      </c>
      <c r="M310" s="79">
        <f t="array" ref="M310">max(min(IF(J310+K310=11,0,XLOOKUP(B310,Quotas!$A$8:$A$14,Quotas!$E$8:$E$14)-$L310),2),0)</f>
        <v>0</v>
      </c>
      <c r="N310" s="31">
        <f t="shared" si="3"/>
        <v>0</v>
      </c>
    </row>
    <row r="311">
      <c r="A311" s="31" t="s">
        <v>150</v>
      </c>
      <c r="B311" s="9">
        <v>2.0</v>
      </c>
      <c r="C311" s="31" t="str">
        <f>VLOOKUP(A311, 'College List'!A:B, 2, FALSE)</f>
        <v>Witherbloom</v>
      </c>
      <c r="D311" s="355">
        <f>VLOOKUP(B311,Quotas!$A$8:$C$14,2,FALSE)</f>
        <v>46143.70833</v>
      </c>
      <c r="E311" s="356">
        <f>VLOOKUP(B311,Quotas!$A$8:$C$14,3,FALSE)</f>
        <v>46150.70833</v>
      </c>
      <c r="F311" s="79">
        <f>COUNTIFS(Matches!$B:$B,A311,Matches!$A:$A,CONCAT("&gt;",$D311),Matches!$A:$A,CONCAT("&lt;",$E311))</f>
        <v>3</v>
      </c>
      <c r="G311" s="79">
        <f>COUNTIFS(Matches!$C:$C,$A311,Matches!$A:$A,CONCAT("&gt;",$D311),Matches!$A:$A,CONCAT("&lt;",$E311))</f>
        <v>2</v>
      </c>
      <c r="H311" s="79">
        <f t="shared" si="1"/>
        <v>5</v>
      </c>
      <c r="I311" s="79">
        <f>COUNTIFS(Matches!$B:$B,$A311,Matches!$A:$A,CONCAT("&lt;",$E311))</f>
        <v>4</v>
      </c>
      <c r="J311" s="79">
        <f>COUNTIFS(Matches!$C:$C,$A311,Matches!$A:$A,CONCAT("&lt;",$E311))</f>
        <v>5</v>
      </c>
      <c r="K311" s="79">
        <f>COUNTIFS(Entropy!D:D,A311,Entropy!I:I,CONCAT("&lt;",E311-1))</f>
        <v>0</v>
      </c>
      <c r="L311" s="79">
        <f t="shared" si="2"/>
        <v>9</v>
      </c>
      <c r="M311" s="79">
        <f t="array" ref="M311">max(min(IF(J311+K311=11,0,XLOOKUP(B311,Quotas!$A$8:$A$14,Quotas!$E$8:$E$14)-$L311),2),0)</f>
        <v>1</v>
      </c>
      <c r="N311" s="31">
        <f t="shared" si="3"/>
        <v>0.5</v>
      </c>
    </row>
    <row r="312">
      <c r="A312" s="31" t="s">
        <v>85</v>
      </c>
      <c r="B312" s="9">
        <v>2.0</v>
      </c>
      <c r="C312" s="31" t="str">
        <f>VLOOKUP(A312, 'College List'!A:B, 2, FALSE)</f>
        <v>Lorehold</v>
      </c>
      <c r="D312" s="355">
        <f>VLOOKUP(B312,Quotas!$A$8:$C$14,2,FALSE)</f>
        <v>46143.70833</v>
      </c>
      <c r="E312" s="356">
        <f>VLOOKUP(B312,Quotas!$A$8:$C$14,3,FALSE)</f>
        <v>46150.70833</v>
      </c>
      <c r="F312" s="79">
        <f>COUNTIFS(Matches!$B:$B,A312,Matches!$A:$A,CONCAT("&gt;",$D312),Matches!$A:$A,CONCAT("&lt;",$E312))</f>
        <v>1</v>
      </c>
      <c r="G312" s="79">
        <f>COUNTIFS(Matches!$C:$C,$A312,Matches!$A:$A,CONCAT("&gt;",$D312),Matches!$A:$A,CONCAT("&lt;",$E312))</f>
        <v>3</v>
      </c>
      <c r="H312" s="79">
        <f t="shared" si="1"/>
        <v>4</v>
      </c>
      <c r="I312" s="79">
        <f>COUNTIFS(Matches!$B:$B,$A312,Matches!$A:$A,CONCAT("&lt;",$E312))</f>
        <v>4</v>
      </c>
      <c r="J312" s="79">
        <f>COUNTIFS(Matches!$C:$C,$A312,Matches!$A:$A,CONCAT("&lt;",$E312))</f>
        <v>5</v>
      </c>
      <c r="K312" s="79">
        <f>COUNTIFS(Entropy!D:D,A312,Entropy!I:I,CONCAT("&lt;",E312-1))</f>
        <v>0</v>
      </c>
      <c r="L312" s="79">
        <f t="shared" si="2"/>
        <v>9</v>
      </c>
      <c r="M312" s="79">
        <f t="array" ref="M312">max(min(IF(J312+K312=11,0,XLOOKUP(B312,Quotas!$A$8:$A$14,Quotas!$E$8:$E$14)-$L312),2),0)</f>
        <v>1</v>
      </c>
      <c r="N312" s="31">
        <f t="shared" si="3"/>
        <v>0.5</v>
      </c>
    </row>
    <row r="313">
      <c r="A313" s="31" t="s">
        <v>290</v>
      </c>
      <c r="B313" s="9">
        <v>2.0</v>
      </c>
      <c r="C313" s="31" t="str">
        <f>VLOOKUP(A313, 'College List'!A:B, 2, FALSE)</f>
        <v>Lorehold</v>
      </c>
      <c r="D313" s="355">
        <f>VLOOKUP(B313,Quotas!$A$8:$C$14,2,FALSE)</f>
        <v>46143.70833</v>
      </c>
      <c r="E313" s="356">
        <f>VLOOKUP(B313,Quotas!$A$8:$C$14,3,FALSE)</f>
        <v>46150.70833</v>
      </c>
      <c r="F313" s="79">
        <f>COUNTIFS(Matches!$B:$B,A313,Matches!$A:$A,CONCAT("&gt;",$D313),Matches!$A:$A,CONCAT("&lt;",$E313))</f>
        <v>2</v>
      </c>
      <c r="G313" s="79">
        <f>COUNTIFS(Matches!$C:$C,$A313,Matches!$A:$A,CONCAT("&gt;",$D313),Matches!$A:$A,CONCAT("&lt;",$E313))</f>
        <v>3</v>
      </c>
      <c r="H313" s="79">
        <f t="shared" si="1"/>
        <v>5</v>
      </c>
      <c r="I313" s="79">
        <f>COUNTIFS(Matches!$B:$B,$A313,Matches!$A:$A,CONCAT("&lt;",$E313))</f>
        <v>7</v>
      </c>
      <c r="J313" s="79">
        <f>COUNTIFS(Matches!$C:$C,$A313,Matches!$A:$A,CONCAT("&lt;",$E313))</f>
        <v>3</v>
      </c>
      <c r="K313" s="79">
        <f>COUNTIFS(Entropy!D:D,A313,Entropy!I:I,CONCAT("&lt;",E313-1))</f>
        <v>0</v>
      </c>
      <c r="L313" s="79">
        <f t="shared" si="2"/>
        <v>10</v>
      </c>
      <c r="M313" s="79">
        <f t="array" ref="M313">max(min(IF(J313+K313=11,0,XLOOKUP(B313,Quotas!$A$8:$A$14,Quotas!$E$8:$E$14)-$L313),2),0)</f>
        <v>0</v>
      </c>
      <c r="N313" s="31">
        <f t="shared" si="3"/>
        <v>0</v>
      </c>
    </row>
    <row r="314">
      <c r="A314" s="31" t="s">
        <v>404</v>
      </c>
      <c r="B314" s="9">
        <v>2.0</v>
      </c>
      <c r="C314" s="31" t="str">
        <f>VLOOKUP(A314, 'College List'!A:B, 2, FALSE)</f>
        <v>Witherbloom</v>
      </c>
      <c r="D314" s="355">
        <f>VLOOKUP(B314,Quotas!$A$8:$C$14,2,FALSE)</f>
        <v>46143.70833</v>
      </c>
      <c r="E314" s="356">
        <f>VLOOKUP(B314,Quotas!$A$8:$C$14,3,FALSE)</f>
        <v>46150.70833</v>
      </c>
      <c r="F314" s="79">
        <f>COUNTIFS(Matches!$B:$B,A314,Matches!$A:$A,CONCAT("&gt;",$D314),Matches!$A:$A,CONCAT("&lt;",$E314))</f>
        <v>0</v>
      </c>
      <c r="G314" s="79">
        <f>COUNTIFS(Matches!$C:$C,$A314,Matches!$A:$A,CONCAT("&gt;",$D314),Matches!$A:$A,CONCAT("&lt;",$E314))</f>
        <v>4</v>
      </c>
      <c r="H314" s="79">
        <f t="shared" si="1"/>
        <v>4</v>
      </c>
      <c r="I314" s="79">
        <f>COUNTIFS(Matches!$B:$B,$A314,Matches!$A:$A,CONCAT("&lt;",$E314))</f>
        <v>1</v>
      </c>
      <c r="J314" s="79">
        <f>COUNTIFS(Matches!$C:$C,$A314,Matches!$A:$A,CONCAT("&lt;",$E314))</f>
        <v>7</v>
      </c>
      <c r="K314" s="79">
        <f>COUNTIFS(Entropy!D:D,A314,Entropy!I:I,CONCAT("&lt;",E314-1))</f>
        <v>0</v>
      </c>
      <c r="L314" s="79">
        <f t="shared" si="2"/>
        <v>8</v>
      </c>
      <c r="M314" s="79">
        <f t="array" ref="M314">max(min(IF(J314+K314=11,0,XLOOKUP(B314,Quotas!$A$8:$A$14,Quotas!$E$8:$E$14)-$L314),2),0)</f>
        <v>2</v>
      </c>
      <c r="N314" s="31">
        <f t="shared" si="3"/>
        <v>1</v>
      </c>
    </row>
    <row r="315">
      <c r="A315" s="31" t="s">
        <v>103</v>
      </c>
      <c r="B315" s="9">
        <v>2.0</v>
      </c>
      <c r="C315" s="31" t="str">
        <f>VLOOKUP(A315, 'College List'!A:B, 2, FALSE)</f>
        <v>Quandrix</v>
      </c>
      <c r="D315" s="355">
        <f>VLOOKUP(B315,Quotas!$A$8:$C$14,2,FALSE)</f>
        <v>46143.70833</v>
      </c>
      <c r="E315" s="356">
        <f>VLOOKUP(B315,Quotas!$A$8:$C$14,3,FALSE)</f>
        <v>46150.70833</v>
      </c>
      <c r="F315" s="79">
        <f>COUNTIFS(Matches!$B:$B,A315,Matches!$A:$A,CONCAT("&gt;",$D315),Matches!$A:$A,CONCAT("&lt;",$E315))</f>
        <v>2</v>
      </c>
      <c r="G315" s="79">
        <f>COUNTIFS(Matches!$C:$C,$A315,Matches!$A:$A,CONCAT("&gt;",$D315),Matches!$A:$A,CONCAT("&lt;",$E315))</f>
        <v>3</v>
      </c>
      <c r="H315" s="79">
        <f t="shared" si="1"/>
        <v>5</v>
      </c>
      <c r="I315" s="79">
        <f>COUNTIFS(Matches!$B:$B,$A315,Matches!$A:$A,CONCAT("&lt;",$E315))</f>
        <v>7</v>
      </c>
      <c r="J315" s="79">
        <f>COUNTIFS(Matches!$C:$C,$A315,Matches!$A:$A,CONCAT("&lt;",$E315))</f>
        <v>3</v>
      </c>
      <c r="K315" s="79">
        <f>COUNTIFS(Entropy!D:D,A315,Entropy!I:I,CONCAT("&lt;",E315-1))</f>
        <v>0</v>
      </c>
      <c r="L315" s="79">
        <f t="shared" si="2"/>
        <v>10</v>
      </c>
      <c r="M315" s="79">
        <f t="array" ref="M315">max(min(IF(J315+K315=11,0,XLOOKUP(B315,Quotas!$A$8:$A$14,Quotas!$E$8:$E$14)-$L315),2),0)</f>
        <v>0</v>
      </c>
      <c r="N315" s="31">
        <f t="shared" si="3"/>
        <v>0</v>
      </c>
    </row>
    <row r="316">
      <c r="A316" s="31" t="s">
        <v>141</v>
      </c>
      <c r="B316" s="9">
        <v>2.0</v>
      </c>
      <c r="C316" s="31" t="str">
        <f>VLOOKUP(A316, 'College List'!A:B, 2, FALSE)</f>
        <v>Silverquill</v>
      </c>
      <c r="D316" s="355">
        <f>VLOOKUP(B316,Quotas!$A$8:$C$14,2,FALSE)</f>
        <v>46143.70833</v>
      </c>
      <c r="E316" s="356">
        <f>VLOOKUP(B316,Quotas!$A$8:$C$14,3,FALSE)</f>
        <v>46150.70833</v>
      </c>
      <c r="F316" s="79">
        <f>COUNTIFS(Matches!$B:$B,A316,Matches!$A:$A,CONCAT("&gt;",$D316),Matches!$A:$A,CONCAT("&lt;",$E316))</f>
        <v>2</v>
      </c>
      <c r="G316" s="79">
        <f>COUNTIFS(Matches!$C:$C,$A316,Matches!$A:$A,CONCAT("&gt;",$D316),Matches!$A:$A,CONCAT("&lt;",$E316))</f>
        <v>2</v>
      </c>
      <c r="H316" s="79">
        <f t="shared" si="1"/>
        <v>4</v>
      </c>
      <c r="I316" s="79">
        <f>COUNTIFS(Matches!$B:$B,$A316,Matches!$A:$A,CONCAT("&lt;",$E316))</f>
        <v>4</v>
      </c>
      <c r="J316" s="79">
        <f>COUNTIFS(Matches!$C:$C,$A316,Matches!$A:$A,CONCAT("&lt;",$E316))</f>
        <v>5</v>
      </c>
      <c r="K316" s="79">
        <f>COUNTIFS(Entropy!D:D,A316,Entropy!I:I,CONCAT("&lt;",E316-1))</f>
        <v>0</v>
      </c>
      <c r="L316" s="79">
        <f t="shared" si="2"/>
        <v>9</v>
      </c>
      <c r="M316" s="79">
        <f t="array" ref="M316">max(min(IF(J316+K316=11,0,XLOOKUP(B316,Quotas!$A$8:$A$14,Quotas!$E$8:$E$14)-$L316),2),0)</f>
        <v>1</v>
      </c>
      <c r="N316" s="31">
        <f t="shared" si="3"/>
        <v>0.5</v>
      </c>
    </row>
    <row r="317">
      <c r="A317" s="31" t="s">
        <v>74</v>
      </c>
      <c r="B317" s="9">
        <v>2.0</v>
      </c>
      <c r="C317" s="31" t="str">
        <f>VLOOKUP(A317, 'College List'!A:B, 2, FALSE)</f>
        <v>Lorehold</v>
      </c>
      <c r="D317" s="355">
        <f>VLOOKUP(B317,Quotas!$A$8:$C$14,2,FALSE)</f>
        <v>46143.70833</v>
      </c>
      <c r="E317" s="356">
        <f>VLOOKUP(B317,Quotas!$A$8:$C$14,3,FALSE)</f>
        <v>46150.70833</v>
      </c>
      <c r="F317" s="79">
        <f>COUNTIFS(Matches!$B:$B,A317,Matches!$A:$A,CONCAT("&gt;",$D317),Matches!$A:$A,CONCAT("&lt;",$E317))</f>
        <v>1</v>
      </c>
      <c r="G317" s="79">
        <f>COUNTIFS(Matches!$C:$C,$A317,Matches!$A:$A,CONCAT("&gt;",$D317),Matches!$A:$A,CONCAT("&lt;",$E317))</f>
        <v>4</v>
      </c>
      <c r="H317" s="79">
        <f t="shared" si="1"/>
        <v>5</v>
      </c>
      <c r="I317" s="79">
        <f>COUNTIFS(Matches!$B:$B,$A317,Matches!$A:$A,CONCAT("&lt;",$E317))</f>
        <v>4</v>
      </c>
      <c r="J317" s="79">
        <f>COUNTIFS(Matches!$C:$C,$A317,Matches!$A:$A,CONCAT("&lt;",$E317))</f>
        <v>6</v>
      </c>
      <c r="K317" s="79">
        <f>COUNTIFS(Entropy!D:D,A317,Entropy!I:I,CONCAT("&lt;",E317-1))</f>
        <v>0</v>
      </c>
      <c r="L317" s="79">
        <f t="shared" si="2"/>
        <v>10</v>
      </c>
      <c r="M317" s="79">
        <f t="array" ref="M317">max(min(IF(J317+K317=11,0,XLOOKUP(B317,Quotas!$A$8:$A$14,Quotas!$E$8:$E$14)-$L317),2),0)</f>
        <v>0</v>
      </c>
      <c r="N317" s="31">
        <f t="shared" si="3"/>
        <v>0</v>
      </c>
    </row>
    <row r="318">
      <c r="A318" s="31" t="s">
        <v>59</v>
      </c>
      <c r="B318" s="9">
        <v>2.0</v>
      </c>
      <c r="C318" s="31" t="str">
        <f>VLOOKUP(A318, 'College List'!A:B, 2, FALSE)</f>
        <v>Quandrix</v>
      </c>
      <c r="D318" s="355">
        <f>VLOOKUP(B318,Quotas!$A$8:$C$14,2,FALSE)</f>
        <v>46143.70833</v>
      </c>
      <c r="E318" s="356">
        <f>VLOOKUP(B318,Quotas!$A$8:$C$14,3,FALSE)</f>
        <v>46150.70833</v>
      </c>
      <c r="F318" s="79">
        <f>COUNTIFS(Matches!$B:$B,A318,Matches!$A:$A,CONCAT("&gt;",$D318),Matches!$A:$A,CONCAT("&lt;",$E318))</f>
        <v>4</v>
      </c>
      <c r="G318" s="79">
        <f>COUNTIFS(Matches!$C:$C,$A318,Matches!$A:$A,CONCAT("&gt;",$D318),Matches!$A:$A,CONCAT("&lt;",$E318))</f>
        <v>1</v>
      </c>
      <c r="H318" s="79">
        <f t="shared" si="1"/>
        <v>5</v>
      </c>
      <c r="I318" s="79">
        <f>COUNTIFS(Matches!$B:$B,$A318,Matches!$A:$A,CONCAT("&lt;",$E318))</f>
        <v>8</v>
      </c>
      <c r="J318" s="79">
        <f>COUNTIFS(Matches!$C:$C,$A318,Matches!$A:$A,CONCAT("&lt;",$E318))</f>
        <v>2</v>
      </c>
      <c r="K318" s="79">
        <f>COUNTIFS(Entropy!D:D,A318,Entropy!I:I,CONCAT("&lt;",E318-1))</f>
        <v>0</v>
      </c>
      <c r="L318" s="79">
        <f t="shared" si="2"/>
        <v>10</v>
      </c>
      <c r="M318" s="79">
        <f t="array" ref="M318">max(min(IF(J318+K318=11,0,XLOOKUP(B318,Quotas!$A$8:$A$14,Quotas!$E$8:$E$14)-$L318),2),0)</f>
        <v>0</v>
      </c>
      <c r="N318" s="31">
        <f t="shared" si="3"/>
        <v>0</v>
      </c>
    </row>
    <row r="319">
      <c r="A319" s="31" t="s">
        <v>200</v>
      </c>
      <c r="B319" s="9">
        <v>2.0</v>
      </c>
      <c r="C319" s="31" t="str">
        <f>VLOOKUP(A319, 'College List'!A:B, 2, FALSE)</f>
        <v>Lorehold</v>
      </c>
      <c r="D319" s="355">
        <f>VLOOKUP(B319,Quotas!$A$8:$C$14,2,FALSE)</f>
        <v>46143.70833</v>
      </c>
      <c r="E319" s="356">
        <f>VLOOKUP(B319,Quotas!$A$8:$C$14,3,FALSE)</f>
        <v>46150.70833</v>
      </c>
      <c r="F319" s="79">
        <f>COUNTIFS(Matches!$B:$B,A319,Matches!$A:$A,CONCAT("&gt;",$D319),Matches!$A:$A,CONCAT("&lt;",$E319))</f>
        <v>3</v>
      </c>
      <c r="G319" s="79">
        <f>COUNTIFS(Matches!$C:$C,$A319,Matches!$A:$A,CONCAT("&gt;",$D319),Matches!$A:$A,CONCAT("&lt;",$E319))</f>
        <v>1</v>
      </c>
      <c r="H319" s="79">
        <f t="shared" si="1"/>
        <v>4</v>
      </c>
      <c r="I319" s="79">
        <f>COUNTIFS(Matches!$B:$B,$A319,Matches!$A:$A,CONCAT("&lt;",$E319))</f>
        <v>6</v>
      </c>
      <c r="J319" s="79">
        <f>COUNTIFS(Matches!$C:$C,$A319,Matches!$A:$A,CONCAT("&lt;",$E319))</f>
        <v>2</v>
      </c>
      <c r="K319" s="79">
        <f>COUNTIFS(Entropy!D:D,A319,Entropy!I:I,CONCAT("&lt;",E319-1))</f>
        <v>0</v>
      </c>
      <c r="L319" s="79">
        <f t="shared" si="2"/>
        <v>8</v>
      </c>
      <c r="M319" s="79">
        <f t="array" ref="M319">max(min(IF(J319+K319=11,0,XLOOKUP(B319,Quotas!$A$8:$A$14,Quotas!$E$8:$E$14)-$L319),2),0)</f>
        <v>2</v>
      </c>
      <c r="N319" s="31">
        <f t="shared" si="3"/>
        <v>1</v>
      </c>
    </row>
    <row r="320">
      <c r="A320" s="31" t="s">
        <v>182</v>
      </c>
      <c r="B320" s="9">
        <v>2.0</v>
      </c>
      <c r="C320" s="31" t="str">
        <f>VLOOKUP(A320, 'College List'!A:B, 2, FALSE)</f>
        <v>Prismari</v>
      </c>
      <c r="D320" s="355">
        <f>VLOOKUP(B320,Quotas!$A$8:$C$14,2,FALSE)</f>
        <v>46143.70833</v>
      </c>
      <c r="E320" s="356">
        <f>VLOOKUP(B320,Quotas!$A$8:$C$14,3,FALSE)</f>
        <v>46150.70833</v>
      </c>
      <c r="F320" s="79">
        <f>COUNTIFS(Matches!$B:$B,A320,Matches!$A:$A,CONCAT("&gt;",$D320),Matches!$A:$A,CONCAT("&lt;",$E320))</f>
        <v>4</v>
      </c>
      <c r="G320" s="79">
        <f>COUNTIFS(Matches!$C:$C,$A320,Matches!$A:$A,CONCAT("&gt;",$D320),Matches!$A:$A,CONCAT("&lt;",$E320))</f>
        <v>1</v>
      </c>
      <c r="H320" s="79">
        <f t="shared" si="1"/>
        <v>5</v>
      </c>
      <c r="I320" s="79">
        <f>COUNTIFS(Matches!$B:$B,$A320,Matches!$A:$A,CONCAT("&lt;",$E320))</f>
        <v>6</v>
      </c>
      <c r="J320" s="79">
        <f>COUNTIFS(Matches!$C:$C,$A320,Matches!$A:$A,CONCAT("&lt;",$E320))</f>
        <v>4</v>
      </c>
      <c r="K320" s="79">
        <f>COUNTIFS(Entropy!D:D,A320,Entropy!I:I,CONCAT("&lt;",E320-1))</f>
        <v>0</v>
      </c>
      <c r="L320" s="79">
        <f t="shared" si="2"/>
        <v>10</v>
      </c>
      <c r="M320" s="79">
        <f t="array" ref="M320">max(min(IF(J320+K320=11,0,XLOOKUP(B320,Quotas!$A$8:$A$14,Quotas!$E$8:$E$14)-$L320),2),0)</f>
        <v>0</v>
      </c>
      <c r="N320" s="31">
        <f t="shared" si="3"/>
        <v>0</v>
      </c>
    </row>
    <row r="321">
      <c r="A321" s="31" t="s">
        <v>333</v>
      </c>
      <c r="B321" s="9">
        <v>2.0</v>
      </c>
      <c r="C321" s="31" t="str">
        <f>VLOOKUP(A321, 'College List'!A:B, 2, FALSE)</f>
        <v>Witherbloom</v>
      </c>
      <c r="D321" s="355">
        <f>VLOOKUP(B321,Quotas!$A$8:$C$14,2,FALSE)</f>
        <v>46143.70833</v>
      </c>
      <c r="E321" s="356">
        <f>VLOOKUP(B321,Quotas!$A$8:$C$14,3,FALSE)</f>
        <v>46150.70833</v>
      </c>
      <c r="F321" s="79">
        <f>COUNTIFS(Matches!$B:$B,A321,Matches!$A:$A,CONCAT("&gt;",$D321),Matches!$A:$A,CONCAT("&lt;",$E321))</f>
        <v>1</v>
      </c>
      <c r="G321" s="79">
        <f>COUNTIFS(Matches!$C:$C,$A321,Matches!$A:$A,CONCAT("&gt;",$D321),Matches!$A:$A,CONCAT("&lt;",$E321))</f>
        <v>4</v>
      </c>
      <c r="H321" s="79">
        <f t="shared" si="1"/>
        <v>5</v>
      </c>
      <c r="I321" s="79">
        <f>COUNTIFS(Matches!$B:$B,$A321,Matches!$A:$A,CONCAT("&lt;",$E321))</f>
        <v>6</v>
      </c>
      <c r="J321" s="79">
        <f>COUNTIFS(Matches!$C:$C,$A321,Matches!$A:$A,CONCAT("&lt;",$E321))</f>
        <v>4</v>
      </c>
      <c r="K321" s="79">
        <f>COUNTIFS(Entropy!D:D,A321,Entropy!I:I,CONCAT("&lt;",E321-1))</f>
        <v>0</v>
      </c>
      <c r="L321" s="79">
        <f t="shared" si="2"/>
        <v>10</v>
      </c>
      <c r="M321" s="79">
        <f t="array" ref="M321">max(min(IF(J321+K321=11,0,XLOOKUP(B321,Quotas!$A$8:$A$14,Quotas!$E$8:$E$14)-$L321),2),0)</f>
        <v>0</v>
      </c>
      <c r="N321" s="31">
        <f t="shared" si="3"/>
        <v>0</v>
      </c>
    </row>
    <row r="322">
      <c r="A322" s="31" t="s">
        <v>114</v>
      </c>
      <c r="B322" s="9">
        <v>2.0</v>
      </c>
      <c r="C322" s="31" t="str">
        <f>VLOOKUP(A322, 'College List'!A:B, 2, FALSE)</f>
        <v>Lorehold</v>
      </c>
      <c r="D322" s="355">
        <f>VLOOKUP(B322,Quotas!$A$8:$C$14,2,FALSE)</f>
        <v>46143.70833</v>
      </c>
      <c r="E322" s="356">
        <f>VLOOKUP(B322,Quotas!$A$8:$C$14,3,FALSE)</f>
        <v>46150.70833</v>
      </c>
      <c r="F322" s="79">
        <f>COUNTIFS(Matches!$B:$B,A322,Matches!$A:$A,CONCAT("&gt;",$D322),Matches!$A:$A,CONCAT("&lt;",$E322))</f>
        <v>2</v>
      </c>
      <c r="G322" s="79">
        <f>COUNTIFS(Matches!$C:$C,$A322,Matches!$A:$A,CONCAT("&gt;",$D322),Matches!$A:$A,CONCAT("&lt;",$E322))</f>
        <v>2</v>
      </c>
      <c r="H322" s="79">
        <f t="shared" si="1"/>
        <v>4</v>
      </c>
      <c r="I322" s="79">
        <f>COUNTIFS(Matches!$B:$B,$A322,Matches!$A:$A,CONCAT("&lt;",$E322))</f>
        <v>4</v>
      </c>
      <c r="J322" s="79">
        <f>COUNTIFS(Matches!$C:$C,$A322,Matches!$A:$A,CONCAT("&lt;",$E322))</f>
        <v>5</v>
      </c>
      <c r="K322" s="79">
        <f>COUNTIFS(Entropy!D:D,A322,Entropy!I:I,CONCAT("&lt;",E322-1))</f>
        <v>0</v>
      </c>
      <c r="L322" s="79">
        <f t="shared" si="2"/>
        <v>9</v>
      </c>
      <c r="M322" s="79">
        <f t="array" ref="M322">max(min(IF(J322+K322=11,0,XLOOKUP(B322,Quotas!$A$8:$A$14,Quotas!$E$8:$E$14)-$L322),2),0)</f>
        <v>1</v>
      </c>
      <c r="N322" s="31">
        <f t="shared" si="3"/>
        <v>0.5</v>
      </c>
    </row>
    <row r="323">
      <c r="A323" s="31" t="s">
        <v>120</v>
      </c>
      <c r="B323" s="9">
        <v>2.0</v>
      </c>
      <c r="C323" s="31" t="str">
        <f>VLOOKUP(A323, 'College List'!A:B, 2, FALSE)</f>
        <v>Prismari</v>
      </c>
      <c r="D323" s="355">
        <f>VLOOKUP(B323,Quotas!$A$8:$C$14,2,FALSE)</f>
        <v>46143.70833</v>
      </c>
      <c r="E323" s="356">
        <f>VLOOKUP(B323,Quotas!$A$8:$C$14,3,FALSE)</f>
        <v>46150.70833</v>
      </c>
      <c r="F323" s="79">
        <f>COUNTIFS(Matches!$B:$B,A323,Matches!$A:$A,CONCAT("&gt;",$D323),Matches!$A:$A,CONCAT("&lt;",$E323))</f>
        <v>3</v>
      </c>
      <c r="G323" s="79">
        <f>COUNTIFS(Matches!$C:$C,$A323,Matches!$A:$A,CONCAT("&gt;",$D323),Matches!$A:$A,CONCAT("&lt;",$E323))</f>
        <v>2</v>
      </c>
      <c r="H323" s="79">
        <f t="shared" si="1"/>
        <v>5</v>
      </c>
      <c r="I323" s="79">
        <f>COUNTIFS(Matches!$B:$B,$A323,Matches!$A:$A,CONCAT("&lt;",$E323))</f>
        <v>7</v>
      </c>
      <c r="J323" s="79">
        <f>COUNTIFS(Matches!$C:$C,$A323,Matches!$A:$A,CONCAT("&lt;",$E323))</f>
        <v>3</v>
      </c>
      <c r="K323" s="79">
        <f>COUNTIFS(Entropy!D:D,A323,Entropy!I:I,CONCAT("&lt;",E323-1))</f>
        <v>0</v>
      </c>
      <c r="L323" s="79">
        <f t="shared" si="2"/>
        <v>10</v>
      </c>
      <c r="M323" s="79">
        <f t="array" ref="M323">max(min(IF(J323+K323=11,0,XLOOKUP(B323,Quotas!$A$8:$A$14,Quotas!$E$8:$E$14)-$L323),2),0)</f>
        <v>0</v>
      </c>
      <c r="N323" s="31">
        <f t="shared" si="3"/>
        <v>0</v>
      </c>
    </row>
    <row r="324">
      <c r="A324" s="31" t="s">
        <v>133</v>
      </c>
      <c r="B324" s="9">
        <v>2.0</v>
      </c>
      <c r="C324" s="31" t="str">
        <f>VLOOKUP(A324, 'College List'!A:B, 2, FALSE)</f>
        <v>Prismari</v>
      </c>
      <c r="D324" s="355">
        <f>VLOOKUP(B324,Quotas!$A$8:$C$14,2,FALSE)</f>
        <v>46143.70833</v>
      </c>
      <c r="E324" s="356">
        <f>VLOOKUP(B324,Quotas!$A$8:$C$14,3,FALSE)</f>
        <v>46150.70833</v>
      </c>
      <c r="F324" s="79">
        <f>COUNTIFS(Matches!$B:$B,A324,Matches!$A:$A,CONCAT("&gt;",$D324),Matches!$A:$A,CONCAT("&lt;",$E324))</f>
        <v>1</v>
      </c>
      <c r="G324" s="79">
        <f>COUNTIFS(Matches!$C:$C,$A324,Matches!$A:$A,CONCAT("&gt;",$D324),Matches!$A:$A,CONCAT("&lt;",$E324))</f>
        <v>4</v>
      </c>
      <c r="H324" s="79">
        <f t="shared" si="1"/>
        <v>5</v>
      </c>
      <c r="I324" s="79">
        <f>COUNTIFS(Matches!$B:$B,$A324,Matches!$A:$A,CONCAT("&lt;",$E324))</f>
        <v>3</v>
      </c>
      <c r="J324" s="79">
        <f>COUNTIFS(Matches!$C:$C,$A324,Matches!$A:$A,CONCAT("&lt;",$E324))</f>
        <v>7</v>
      </c>
      <c r="K324" s="79">
        <f>COUNTIFS(Entropy!D:D,A324,Entropy!I:I,CONCAT("&lt;",E324-1))</f>
        <v>0</v>
      </c>
      <c r="L324" s="79">
        <f t="shared" si="2"/>
        <v>10</v>
      </c>
      <c r="M324" s="79">
        <f t="array" ref="M324">max(min(IF(J324+K324=11,0,XLOOKUP(B324,Quotas!$A$8:$A$14,Quotas!$E$8:$E$14)-$L324),2),0)</f>
        <v>0</v>
      </c>
      <c r="N324" s="31">
        <f t="shared" si="3"/>
        <v>0</v>
      </c>
    </row>
    <row r="325">
      <c r="A325" s="31" t="s">
        <v>414</v>
      </c>
      <c r="B325" s="9">
        <v>2.0</v>
      </c>
      <c r="C325" s="31" t="str">
        <f>VLOOKUP(A325, 'College List'!A:B, 2, FALSE)</f>
        <v>Prismari</v>
      </c>
      <c r="D325" s="355">
        <f>VLOOKUP(B325,Quotas!$A$8:$C$14,2,FALSE)</f>
        <v>46143.70833</v>
      </c>
      <c r="E325" s="356">
        <f>VLOOKUP(B325,Quotas!$A$8:$C$14,3,FALSE)</f>
        <v>46150.70833</v>
      </c>
      <c r="F325" s="79">
        <f>COUNTIFS(Matches!$B:$B,A325,Matches!$A:$A,CONCAT("&gt;",$D325),Matches!$A:$A,CONCAT("&lt;",$E325))</f>
        <v>1</v>
      </c>
      <c r="G325" s="79">
        <f>COUNTIFS(Matches!$C:$C,$A325,Matches!$A:$A,CONCAT("&gt;",$D325),Matches!$A:$A,CONCAT("&lt;",$E325))</f>
        <v>3</v>
      </c>
      <c r="H325" s="79">
        <f t="shared" si="1"/>
        <v>4</v>
      </c>
      <c r="I325" s="79">
        <f>COUNTIFS(Matches!$B:$B,$A325,Matches!$A:$A,CONCAT("&lt;",$E325))</f>
        <v>5</v>
      </c>
      <c r="J325" s="79">
        <f>COUNTIFS(Matches!$C:$C,$A325,Matches!$A:$A,CONCAT("&lt;",$E325))</f>
        <v>3</v>
      </c>
      <c r="K325" s="79">
        <f>COUNTIFS(Entropy!D:D,A325,Entropy!I:I,CONCAT("&lt;",E325-1))</f>
        <v>0</v>
      </c>
      <c r="L325" s="79">
        <f t="shared" si="2"/>
        <v>8</v>
      </c>
      <c r="M325" s="79">
        <f t="array" ref="M325">max(min(IF(J325+K325=11,0,XLOOKUP(B325,Quotas!$A$8:$A$14,Quotas!$E$8:$E$14)-$L325),2),0)</f>
        <v>2</v>
      </c>
      <c r="N325" s="31">
        <f t="shared" si="3"/>
        <v>1</v>
      </c>
    </row>
    <row r="326">
      <c r="A326" s="31" t="s">
        <v>107</v>
      </c>
      <c r="B326" s="9">
        <v>2.0</v>
      </c>
      <c r="C326" s="31" t="str">
        <f>VLOOKUP(A326, 'College List'!A:B, 2, FALSE)</f>
        <v>Quandrix</v>
      </c>
      <c r="D326" s="355">
        <f>VLOOKUP(B326,Quotas!$A$8:$C$14,2,FALSE)</f>
        <v>46143.70833</v>
      </c>
      <c r="E326" s="356">
        <f>VLOOKUP(B326,Quotas!$A$8:$C$14,3,FALSE)</f>
        <v>46150.70833</v>
      </c>
      <c r="F326" s="79">
        <f>COUNTIFS(Matches!$B:$B,A326,Matches!$A:$A,CONCAT("&gt;",$D326),Matches!$A:$A,CONCAT("&lt;",$E326))</f>
        <v>3</v>
      </c>
      <c r="G326" s="79">
        <f>COUNTIFS(Matches!$C:$C,$A326,Matches!$A:$A,CONCAT("&gt;",$D326),Matches!$A:$A,CONCAT("&lt;",$E326))</f>
        <v>2</v>
      </c>
      <c r="H326" s="79">
        <f t="shared" si="1"/>
        <v>5</v>
      </c>
      <c r="I326" s="79">
        <f>COUNTIFS(Matches!$B:$B,$A326,Matches!$A:$A,CONCAT("&lt;",$E326))</f>
        <v>6</v>
      </c>
      <c r="J326" s="79">
        <f>COUNTIFS(Matches!$C:$C,$A326,Matches!$A:$A,CONCAT("&lt;",$E326))</f>
        <v>4</v>
      </c>
      <c r="K326" s="79">
        <f>COUNTIFS(Entropy!D:D,A326,Entropy!I:I,CONCAT("&lt;",E326-1))</f>
        <v>0</v>
      </c>
      <c r="L326" s="79">
        <f t="shared" si="2"/>
        <v>10</v>
      </c>
      <c r="M326" s="79">
        <f t="array" ref="M326">max(min(IF(J326+K326=11,0,XLOOKUP(B326,Quotas!$A$8:$A$14,Quotas!$E$8:$E$14)-$L326),2),0)</f>
        <v>0</v>
      </c>
      <c r="N326" s="31">
        <f t="shared" si="3"/>
        <v>0</v>
      </c>
    </row>
    <row r="327">
      <c r="A327" s="31" t="s">
        <v>235</v>
      </c>
      <c r="B327" s="9">
        <v>2.0</v>
      </c>
      <c r="C327" s="31" t="str">
        <f>VLOOKUP(A327, 'College List'!A:B, 2, FALSE)</f>
        <v>Quandrix</v>
      </c>
      <c r="D327" s="355">
        <f>VLOOKUP(B327,Quotas!$A$8:$C$14,2,FALSE)</f>
        <v>46143.70833</v>
      </c>
      <c r="E327" s="356">
        <f>VLOOKUP(B327,Quotas!$A$8:$C$14,3,FALSE)</f>
        <v>46150.70833</v>
      </c>
      <c r="F327" s="79">
        <f>COUNTIFS(Matches!$B:$B,A327,Matches!$A:$A,CONCAT("&gt;",$D327),Matches!$A:$A,CONCAT("&lt;",$E327))</f>
        <v>1</v>
      </c>
      <c r="G327" s="79">
        <f>COUNTIFS(Matches!$C:$C,$A327,Matches!$A:$A,CONCAT("&gt;",$D327),Matches!$A:$A,CONCAT("&lt;",$E327))</f>
        <v>4</v>
      </c>
      <c r="H327" s="79">
        <f t="shared" si="1"/>
        <v>5</v>
      </c>
      <c r="I327" s="79">
        <f>COUNTIFS(Matches!$B:$B,$A327,Matches!$A:$A,CONCAT("&lt;",$E327))</f>
        <v>2</v>
      </c>
      <c r="J327" s="79">
        <f>COUNTIFS(Matches!$C:$C,$A327,Matches!$A:$A,CONCAT("&lt;",$E327))</f>
        <v>8</v>
      </c>
      <c r="K327" s="79">
        <f>COUNTIFS(Entropy!D:D,A327,Entropy!I:I,CONCAT("&lt;",E327-1))</f>
        <v>0</v>
      </c>
      <c r="L327" s="79">
        <f t="shared" si="2"/>
        <v>10</v>
      </c>
      <c r="M327" s="79">
        <f t="array" ref="M327">max(min(IF(J327+K327=11,0,XLOOKUP(B327,Quotas!$A$8:$A$14,Quotas!$E$8:$E$14)-$L327),2),0)</f>
        <v>0</v>
      </c>
      <c r="N327" s="31">
        <f t="shared" si="3"/>
        <v>0</v>
      </c>
    </row>
    <row r="328">
      <c r="A328" s="31" t="s">
        <v>243</v>
      </c>
      <c r="B328" s="9">
        <v>2.0</v>
      </c>
      <c r="C328" s="31" t="str">
        <f>VLOOKUP(A328, 'College List'!A:B, 2, FALSE)</f>
        <v>Witherbloom</v>
      </c>
      <c r="D328" s="355">
        <f>VLOOKUP(B328,Quotas!$A$8:$C$14,2,FALSE)</f>
        <v>46143.70833</v>
      </c>
      <c r="E328" s="356">
        <f>VLOOKUP(B328,Quotas!$A$8:$C$14,3,FALSE)</f>
        <v>46150.70833</v>
      </c>
      <c r="F328" s="79">
        <f>COUNTIFS(Matches!$B:$B,A328,Matches!$A:$A,CONCAT("&gt;",$D328),Matches!$A:$A,CONCAT("&lt;",$E328))</f>
        <v>1</v>
      </c>
      <c r="G328" s="79">
        <f>COUNTIFS(Matches!$C:$C,$A328,Matches!$A:$A,CONCAT("&gt;",$D328),Matches!$A:$A,CONCAT("&lt;",$E328))</f>
        <v>4</v>
      </c>
      <c r="H328" s="79">
        <f t="shared" si="1"/>
        <v>5</v>
      </c>
      <c r="I328" s="79">
        <f>COUNTIFS(Matches!$B:$B,$A328,Matches!$A:$A,CONCAT("&lt;",$E328))</f>
        <v>2</v>
      </c>
      <c r="J328" s="79">
        <f>COUNTIFS(Matches!$C:$C,$A328,Matches!$A:$A,CONCAT("&lt;",$E328))</f>
        <v>8</v>
      </c>
      <c r="K328" s="79">
        <f>COUNTIFS(Entropy!D:D,A328,Entropy!I:I,CONCAT("&lt;",E328-1))</f>
        <v>0</v>
      </c>
      <c r="L328" s="79">
        <f t="shared" si="2"/>
        <v>10</v>
      </c>
      <c r="M328" s="79">
        <f t="array" ref="M328">max(min(IF(J328+K328=11,0,XLOOKUP(B328,Quotas!$A$8:$A$14,Quotas!$E$8:$E$14)-$L328),2),0)</f>
        <v>0</v>
      </c>
      <c r="N328" s="31">
        <f t="shared" si="3"/>
        <v>0</v>
      </c>
    </row>
    <row r="329">
      <c r="A329" s="31" t="s">
        <v>60</v>
      </c>
      <c r="B329" s="9">
        <v>2.0</v>
      </c>
      <c r="C329" s="31" t="str">
        <f>VLOOKUP(A329, 'College List'!A:B, 2, FALSE)</f>
        <v>Silverquill</v>
      </c>
      <c r="D329" s="355">
        <f>VLOOKUP(B329,Quotas!$A$8:$C$14,2,FALSE)</f>
        <v>46143.70833</v>
      </c>
      <c r="E329" s="356">
        <f>VLOOKUP(B329,Quotas!$A$8:$C$14,3,FALSE)</f>
        <v>46150.70833</v>
      </c>
      <c r="F329" s="79">
        <f>COUNTIFS(Matches!$B:$B,A329,Matches!$A:$A,CONCAT("&gt;",$D329),Matches!$A:$A,CONCAT("&lt;",$E329))</f>
        <v>2</v>
      </c>
      <c r="G329" s="79">
        <f>COUNTIFS(Matches!$C:$C,$A329,Matches!$A:$A,CONCAT("&gt;",$D329),Matches!$A:$A,CONCAT("&lt;",$E329))</f>
        <v>3</v>
      </c>
      <c r="H329" s="79">
        <f t="shared" si="1"/>
        <v>5</v>
      </c>
      <c r="I329" s="79">
        <f>COUNTIFS(Matches!$B:$B,$A329,Matches!$A:$A,CONCAT("&lt;",$E329))</f>
        <v>3</v>
      </c>
      <c r="J329" s="79">
        <f>COUNTIFS(Matches!$C:$C,$A329,Matches!$A:$A,CONCAT("&lt;",$E329))</f>
        <v>7</v>
      </c>
      <c r="K329" s="79">
        <f>COUNTIFS(Entropy!D:D,A329,Entropy!I:I,CONCAT("&lt;",E329-1))</f>
        <v>0</v>
      </c>
      <c r="L329" s="79">
        <f t="shared" si="2"/>
        <v>10</v>
      </c>
      <c r="M329" s="79">
        <f t="array" ref="M329">max(min(IF(J329+K329=11,0,XLOOKUP(B329,Quotas!$A$8:$A$14,Quotas!$E$8:$E$14)-$L329),2),0)</f>
        <v>0</v>
      </c>
      <c r="N329" s="31">
        <f t="shared" si="3"/>
        <v>0</v>
      </c>
    </row>
    <row r="330">
      <c r="A330" s="31" t="s">
        <v>402</v>
      </c>
      <c r="B330" s="9">
        <v>2.0</v>
      </c>
      <c r="C330" s="31" t="str">
        <f>VLOOKUP(A330, 'College List'!A:B, 2, FALSE)</f>
        <v>Witherbloom</v>
      </c>
      <c r="D330" s="355">
        <f>VLOOKUP(B330,Quotas!$A$8:$C$14,2,FALSE)</f>
        <v>46143.70833</v>
      </c>
      <c r="E330" s="356">
        <f>VLOOKUP(B330,Quotas!$A$8:$C$14,3,FALSE)</f>
        <v>46150.70833</v>
      </c>
      <c r="F330" s="79">
        <f>COUNTIFS(Matches!$B:$B,A330,Matches!$A:$A,CONCAT("&gt;",$D330),Matches!$A:$A,CONCAT("&lt;",$E330))</f>
        <v>2</v>
      </c>
      <c r="G330" s="79">
        <f>COUNTIFS(Matches!$C:$C,$A330,Matches!$A:$A,CONCAT("&gt;",$D330),Matches!$A:$A,CONCAT("&lt;",$E330))</f>
        <v>3</v>
      </c>
      <c r="H330" s="79">
        <f t="shared" si="1"/>
        <v>5</v>
      </c>
      <c r="I330" s="79">
        <f>COUNTIFS(Matches!$B:$B,$A330,Matches!$A:$A,CONCAT("&lt;",$E330))</f>
        <v>3</v>
      </c>
      <c r="J330" s="79">
        <f>COUNTIFS(Matches!$C:$C,$A330,Matches!$A:$A,CONCAT("&lt;",$E330))</f>
        <v>5</v>
      </c>
      <c r="K330" s="79">
        <f>COUNTIFS(Entropy!D:D,A330,Entropy!I:I,CONCAT("&lt;",E330-1))</f>
        <v>0</v>
      </c>
      <c r="L330" s="79">
        <f t="shared" si="2"/>
        <v>8</v>
      </c>
      <c r="M330" s="79">
        <f t="array" ref="M330">max(min(IF(J330+K330=11,0,XLOOKUP(B330,Quotas!$A$8:$A$14,Quotas!$E$8:$E$14)-$L330),2),0)</f>
        <v>2</v>
      </c>
      <c r="N330" s="31">
        <f t="shared" si="3"/>
        <v>1</v>
      </c>
    </row>
    <row r="331">
      <c r="A331" s="31" t="s">
        <v>267</v>
      </c>
      <c r="B331" s="9">
        <v>2.0</v>
      </c>
      <c r="C331" s="31" t="str">
        <f>VLOOKUP(A331, 'College List'!A:B, 2, FALSE)</f>
        <v>Witherbloom</v>
      </c>
      <c r="D331" s="355">
        <f>VLOOKUP(B331,Quotas!$A$8:$C$14,2,FALSE)</f>
        <v>46143.70833</v>
      </c>
      <c r="E331" s="356">
        <f>VLOOKUP(B331,Quotas!$A$8:$C$14,3,FALSE)</f>
        <v>46150.70833</v>
      </c>
      <c r="F331" s="79">
        <f>COUNTIFS(Matches!$B:$B,A331,Matches!$A:$A,CONCAT("&gt;",$D331),Matches!$A:$A,CONCAT("&lt;",$E331))</f>
        <v>4</v>
      </c>
      <c r="G331" s="79">
        <f>COUNTIFS(Matches!$C:$C,$A331,Matches!$A:$A,CONCAT("&gt;",$D331),Matches!$A:$A,CONCAT("&lt;",$E331))</f>
        <v>1</v>
      </c>
      <c r="H331" s="79">
        <f t="shared" si="1"/>
        <v>5</v>
      </c>
      <c r="I331" s="79">
        <f>COUNTIFS(Matches!$B:$B,$A331,Matches!$A:$A,CONCAT("&lt;",$E331))</f>
        <v>5</v>
      </c>
      <c r="J331" s="79">
        <f>COUNTIFS(Matches!$C:$C,$A331,Matches!$A:$A,CONCAT("&lt;",$E331))</f>
        <v>3</v>
      </c>
      <c r="K331" s="79">
        <f>COUNTIFS(Entropy!D:D,A331,Entropy!I:I,CONCAT("&lt;",E331-1))</f>
        <v>0</v>
      </c>
      <c r="L331" s="79">
        <f t="shared" si="2"/>
        <v>8</v>
      </c>
      <c r="M331" s="79">
        <f t="array" ref="M331">max(min(IF(J331+K331=11,0,XLOOKUP(B331,Quotas!$A$8:$A$14,Quotas!$E$8:$E$14)-$L331),2),0)</f>
        <v>2</v>
      </c>
      <c r="N331" s="31">
        <f t="shared" si="3"/>
        <v>1</v>
      </c>
    </row>
    <row r="332">
      <c r="A332" s="31" t="s">
        <v>335</v>
      </c>
      <c r="B332" s="9">
        <v>2.0</v>
      </c>
      <c r="C332" s="31" t="str">
        <f>VLOOKUP(A332, 'College List'!A:B, 2, FALSE)</f>
        <v>Silverquill</v>
      </c>
      <c r="D332" s="355">
        <f>VLOOKUP(B332,Quotas!$A$8:$C$14,2,FALSE)</f>
        <v>46143.70833</v>
      </c>
      <c r="E332" s="356">
        <f>VLOOKUP(B332,Quotas!$A$8:$C$14,3,FALSE)</f>
        <v>46150.70833</v>
      </c>
      <c r="F332" s="79">
        <f>COUNTIFS(Matches!$B:$B,A332,Matches!$A:$A,CONCAT("&gt;",$D332),Matches!$A:$A,CONCAT("&lt;",$E332))</f>
        <v>1</v>
      </c>
      <c r="G332" s="79">
        <f>COUNTIFS(Matches!$C:$C,$A332,Matches!$A:$A,CONCAT("&gt;",$D332),Matches!$A:$A,CONCAT("&lt;",$E332))</f>
        <v>4</v>
      </c>
      <c r="H332" s="79">
        <f t="shared" si="1"/>
        <v>5</v>
      </c>
      <c r="I332" s="79">
        <f>COUNTIFS(Matches!$B:$B,$A332,Matches!$A:$A,CONCAT("&lt;",$E332))</f>
        <v>3</v>
      </c>
      <c r="J332" s="79">
        <f>COUNTIFS(Matches!$C:$C,$A332,Matches!$A:$A,CONCAT("&lt;",$E332))</f>
        <v>7</v>
      </c>
      <c r="K332" s="79">
        <f>COUNTIFS(Entropy!D:D,A332,Entropy!I:I,CONCAT("&lt;",E332-1))</f>
        <v>0</v>
      </c>
      <c r="L332" s="79">
        <f t="shared" si="2"/>
        <v>10</v>
      </c>
      <c r="M332" s="79">
        <f t="array" ref="M332">max(min(IF(J332+K332=11,0,XLOOKUP(B332,Quotas!$A$8:$A$14,Quotas!$E$8:$E$14)-$L332),2),0)</f>
        <v>0</v>
      </c>
      <c r="N332" s="31">
        <f t="shared" si="3"/>
        <v>0</v>
      </c>
    </row>
    <row r="333">
      <c r="A333" s="31" t="s">
        <v>181</v>
      </c>
      <c r="B333" s="9">
        <v>2.0</v>
      </c>
      <c r="C333" s="31" t="str">
        <f>VLOOKUP(A333, 'College List'!A:B, 2, FALSE)</f>
        <v>Quandrix</v>
      </c>
      <c r="D333" s="355">
        <f>VLOOKUP(B333,Quotas!$A$8:$C$14,2,FALSE)</f>
        <v>46143.70833</v>
      </c>
      <c r="E333" s="356">
        <f>VLOOKUP(B333,Quotas!$A$8:$C$14,3,FALSE)</f>
        <v>46150.70833</v>
      </c>
      <c r="F333" s="79">
        <f>COUNTIFS(Matches!$B:$B,A333,Matches!$A:$A,CONCAT("&gt;",$D333),Matches!$A:$A,CONCAT("&lt;",$E333))</f>
        <v>0</v>
      </c>
      <c r="G333" s="79">
        <f>COUNTIFS(Matches!$C:$C,$A333,Matches!$A:$A,CONCAT("&gt;",$D333),Matches!$A:$A,CONCAT("&lt;",$E333))</f>
        <v>3</v>
      </c>
      <c r="H333" s="79">
        <f t="shared" si="1"/>
        <v>3</v>
      </c>
      <c r="I333" s="79">
        <f>COUNTIFS(Matches!$B:$B,$A333,Matches!$A:$A,CONCAT("&lt;",$E333))</f>
        <v>1</v>
      </c>
      <c r="J333" s="79">
        <f>COUNTIFS(Matches!$C:$C,$A333,Matches!$A:$A,CONCAT("&lt;",$E333))</f>
        <v>7</v>
      </c>
      <c r="K333" s="79">
        <f>COUNTIFS(Entropy!D:D,A333,Entropy!I:I,CONCAT("&lt;",E333-1))</f>
        <v>0</v>
      </c>
      <c r="L333" s="79">
        <f t="shared" si="2"/>
        <v>8</v>
      </c>
      <c r="M333" s="79">
        <f t="array" ref="M333">max(min(IF(J333+K333=11,0,XLOOKUP(B333,Quotas!$A$8:$A$14,Quotas!$E$8:$E$14)-$L333),2),0)</f>
        <v>2</v>
      </c>
      <c r="N333" s="31">
        <f t="shared" si="3"/>
        <v>1</v>
      </c>
    </row>
    <row r="334">
      <c r="A334" s="31" t="s">
        <v>385</v>
      </c>
      <c r="B334" s="9">
        <v>2.0</v>
      </c>
      <c r="C334" s="31" t="str">
        <f>VLOOKUP(A334, 'College List'!A:B, 2, FALSE)</f>
        <v>Witherbloom</v>
      </c>
      <c r="D334" s="355">
        <f>VLOOKUP(B334,Quotas!$A$8:$C$14,2,FALSE)</f>
        <v>46143.70833</v>
      </c>
      <c r="E334" s="356">
        <f>VLOOKUP(B334,Quotas!$A$8:$C$14,3,FALSE)</f>
        <v>46150.70833</v>
      </c>
      <c r="F334" s="79">
        <f>COUNTIFS(Matches!$B:$B,A334,Matches!$A:$A,CONCAT("&gt;",$D334),Matches!$A:$A,CONCAT("&lt;",$E334))</f>
        <v>4</v>
      </c>
      <c r="G334" s="79">
        <f>COUNTIFS(Matches!$C:$C,$A334,Matches!$A:$A,CONCAT("&gt;",$D334),Matches!$A:$A,CONCAT("&lt;",$E334))</f>
        <v>2</v>
      </c>
      <c r="H334" s="79">
        <f t="shared" si="1"/>
        <v>6</v>
      </c>
      <c r="I334" s="79">
        <f>COUNTIFS(Matches!$B:$B,$A334,Matches!$A:$A,CONCAT("&lt;",$E334))</f>
        <v>5</v>
      </c>
      <c r="J334" s="79">
        <f>COUNTIFS(Matches!$C:$C,$A334,Matches!$A:$A,CONCAT("&lt;",$E334))</f>
        <v>5</v>
      </c>
      <c r="K334" s="79">
        <f>COUNTIFS(Entropy!D:D,A334,Entropy!I:I,CONCAT("&lt;",E334-1))</f>
        <v>0</v>
      </c>
      <c r="L334" s="79">
        <f t="shared" si="2"/>
        <v>10</v>
      </c>
      <c r="M334" s="79">
        <f t="array" ref="M334">max(min(IF(J334+K334=11,0,XLOOKUP(B334,Quotas!$A$8:$A$14,Quotas!$E$8:$E$14)-$L334),2),0)</f>
        <v>0</v>
      </c>
      <c r="N334" s="31">
        <f t="shared" si="3"/>
        <v>0</v>
      </c>
    </row>
    <row r="335">
      <c r="A335" s="31" t="s">
        <v>192</v>
      </c>
      <c r="B335" s="9">
        <v>2.0</v>
      </c>
      <c r="C335" s="31" t="str">
        <f>VLOOKUP(A335, 'College List'!A:B, 2, FALSE)</f>
        <v>Witherbloom</v>
      </c>
      <c r="D335" s="355">
        <f>VLOOKUP(B335,Quotas!$A$8:$C$14,2,FALSE)</f>
        <v>46143.70833</v>
      </c>
      <c r="E335" s="356">
        <f>VLOOKUP(B335,Quotas!$A$8:$C$14,3,FALSE)</f>
        <v>46150.70833</v>
      </c>
      <c r="F335" s="79">
        <f>COUNTIFS(Matches!$B:$B,A335,Matches!$A:$A,CONCAT("&gt;",$D335),Matches!$A:$A,CONCAT("&lt;",$E335))</f>
        <v>4</v>
      </c>
      <c r="G335" s="79">
        <f>COUNTIFS(Matches!$C:$C,$A335,Matches!$A:$A,CONCAT("&gt;",$D335),Matches!$A:$A,CONCAT("&lt;",$E335))</f>
        <v>1</v>
      </c>
      <c r="H335" s="79">
        <f t="shared" si="1"/>
        <v>5</v>
      </c>
      <c r="I335" s="79">
        <f>COUNTIFS(Matches!$B:$B,$A335,Matches!$A:$A,CONCAT("&lt;",$E335))</f>
        <v>8</v>
      </c>
      <c r="J335" s="79">
        <f>COUNTIFS(Matches!$C:$C,$A335,Matches!$A:$A,CONCAT("&lt;",$E335))</f>
        <v>2</v>
      </c>
      <c r="K335" s="79">
        <f>COUNTIFS(Entropy!D:D,A335,Entropy!I:I,CONCAT("&lt;",E335-1))</f>
        <v>0</v>
      </c>
      <c r="L335" s="79">
        <f t="shared" si="2"/>
        <v>10</v>
      </c>
      <c r="M335" s="79">
        <f t="array" ref="M335">max(min(IF(J335+K335=11,0,XLOOKUP(B335,Quotas!$A$8:$A$14,Quotas!$E$8:$E$14)-$L335),2),0)</f>
        <v>0</v>
      </c>
      <c r="N335" s="31">
        <f t="shared" si="3"/>
        <v>0</v>
      </c>
    </row>
    <row r="336">
      <c r="A336" s="31" t="s">
        <v>142</v>
      </c>
      <c r="B336" s="9">
        <v>2.0</v>
      </c>
      <c r="C336" s="31" t="str">
        <f>VLOOKUP(A336, 'College List'!A:B, 2, FALSE)</f>
        <v>Lorehold</v>
      </c>
      <c r="D336" s="355">
        <f>VLOOKUP(B336,Quotas!$A$8:$C$14,2,FALSE)</f>
        <v>46143.70833</v>
      </c>
      <c r="E336" s="356">
        <f>VLOOKUP(B336,Quotas!$A$8:$C$14,3,FALSE)</f>
        <v>46150.70833</v>
      </c>
      <c r="F336" s="79">
        <f>COUNTIFS(Matches!$B:$B,A336,Matches!$A:$A,CONCAT("&gt;",$D336),Matches!$A:$A,CONCAT("&lt;",$E336))</f>
        <v>2</v>
      </c>
      <c r="G336" s="79">
        <f>COUNTIFS(Matches!$C:$C,$A336,Matches!$A:$A,CONCAT("&gt;",$D336),Matches!$A:$A,CONCAT("&lt;",$E336))</f>
        <v>3</v>
      </c>
      <c r="H336" s="79">
        <f t="shared" si="1"/>
        <v>5</v>
      </c>
      <c r="I336" s="79">
        <f>COUNTIFS(Matches!$B:$B,$A336,Matches!$A:$A,CONCAT("&lt;",$E336))</f>
        <v>2</v>
      </c>
      <c r="J336" s="79">
        <f>COUNTIFS(Matches!$C:$C,$A336,Matches!$A:$A,CONCAT("&lt;",$E336))</f>
        <v>8</v>
      </c>
      <c r="K336" s="79">
        <f>COUNTIFS(Entropy!D:D,A336,Entropy!I:I,CONCAT("&lt;",E336-1))</f>
        <v>0</v>
      </c>
      <c r="L336" s="79">
        <f t="shared" si="2"/>
        <v>10</v>
      </c>
      <c r="M336" s="79">
        <f t="array" ref="M336">max(min(IF(J336+K336=11,0,XLOOKUP(B336,Quotas!$A$8:$A$14,Quotas!$E$8:$E$14)-$L336),2),0)</f>
        <v>0</v>
      </c>
      <c r="N336" s="31">
        <f t="shared" si="3"/>
        <v>0</v>
      </c>
    </row>
    <row r="337">
      <c r="A337" s="31" t="s">
        <v>101</v>
      </c>
      <c r="B337" s="9">
        <v>2.0</v>
      </c>
      <c r="C337" s="31" t="str">
        <f>VLOOKUP(A337, 'College List'!A:B, 2, FALSE)</f>
        <v>Lorehold</v>
      </c>
      <c r="D337" s="355">
        <f>VLOOKUP(B337,Quotas!$A$8:$C$14,2,FALSE)</f>
        <v>46143.70833</v>
      </c>
      <c r="E337" s="356">
        <f>VLOOKUP(B337,Quotas!$A$8:$C$14,3,FALSE)</f>
        <v>46150.70833</v>
      </c>
      <c r="F337" s="79">
        <f>COUNTIFS(Matches!$B:$B,A337,Matches!$A:$A,CONCAT("&gt;",$D337),Matches!$A:$A,CONCAT("&lt;",$E337))</f>
        <v>2</v>
      </c>
      <c r="G337" s="79">
        <f>COUNTIFS(Matches!$C:$C,$A337,Matches!$A:$A,CONCAT("&gt;",$D337),Matches!$A:$A,CONCAT("&lt;",$E337))</f>
        <v>3</v>
      </c>
      <c r="H337" s="79">
        <f t="shared" si="1"/>
        <v>5</v>
      </c>
      <c r="I337" s="79">
        <f>COUNTIFS(Matches!$B:$B,$A337,Matches!$A:$A,CONCAT("&lt;",$E337))</f>
        <v>5</v>
      </c>
      <c r="J337" s="79">
        <f>COUNTIFS(Matches!$C:$C,$A337,Matches!$A:$A,CONCAT("&lt;",$E337))</f>
        <v>5</v>
      </c>
      <c r="K337" s="79">
        <f>COUNTIFS(Entropy!D:D,A337,Entropy!I:I,CONCAT("&lt;",E337-1))</f>
        <v>0</v>
      </c>
      <c r="L337" s="79">
        <f t="shared" si="2"/>
        <v>10</v>
      </c>
      <c r="M337" s="79">
        <f t="array" ref="M337">max(min(IF(J337+K337=11,0,XLOOKUP(B337,Quotas!$A$8:$A$14,Quotas!$E$8:$E$14)-$L337),2),0)</f>
        <v>0</v>
      </c>
      <c r="N337" s="31">
        <f t="shared" si="3"/>
        <v>0</v>
      </c>
    </row>
    <row r="338">
      <c r="A338" s="31" t="s">
        <v>115</v>
      </c>
      <c r="B338" s="9">
        <v>2.0</v>
      </c>
      <c r="C338" s="31" t="str">
        <f>VLOOKUP(A338, 'College List'!A:B, 2, FALSE)</f>
        <v>Silverquill</v>
      </c>
      <c r="D338" s="355">
        <f>VLOOKUP(B338,Quotas!$A$8:$C$14,2,FALSE)</f>
        <v>46143.70833</v>
      </c>
      <c r="E338" s="356">
        <f>VLOOKUP(B338,Quotas!$A$8:$C$14,3,FALSE)</f>
        <v>46150.70833</v>
      </c>
      <c r="F338" s="79">
        <f>COUNTIFS(Matches!$B:$B,A338,Matches!$A:$A,CONCAT("&gt;",$D338),Matches!$A:$A,CONCAT("&lt;",$E338))</f>
        <v>4</v>
      </c>
      <c r="G338" s="79">
        <f>COUNTIFS(Matches!$C:$C,$A338,Matches!$A:$A,CONCAT("&gt;",$D338),Matches!$A:$A,CONCAT("&lt;",$E338))</f>
        <v>1</v>
      </c>
      <c r="H338" s="79">
        <f t="shared" si="1"/>
        <v>5</v>
      </c>
      <c r="I338" s="79">
        <f>COUNTIFS(Matches!$B:$B,$A338,Matches!$A:$A,CONCAT("&lt;",$E338))</f>
        <v>7</v>
      </c>
      <c r="J338" s="79">
        <f>COUNTIFS(Matches!$C:$C,$A338,Matches!$A:$A,CONCAT("&lt;",$E338))</f>
        <v>3</v>
      </c>
      <c r="K338" s="79">
        <f>COUNTIFS(Entropy!D:D,A338,Entropy!I:I,CONCAT("&lt;",E338-1))</f>
        <v>0</v>
      </c>
      <c r="L338" s="79">
        <f t="shared" si="2"/>
        <v>10</v>
      </c>
      <c r="M338" s="79">
        <f t="array" ref="M338">max(min(IF(J338+K338=11,0,XLOOKUP(B338,Quotas!$A$8:$A$14,Quotas!$E$8:$E$14)-$L338),2),0)</f>
        <v>0</v>
      </c>
      <c r="N338" s="31">
        <f t="shared" si="3"/>
        <v>0</v>
      </c>
    </row>
    <row r="339">
      <c r="A339" s="31" t="s">
        <v>158</v>
      </c>
      <c r="B339" s="9">
        <v>2.0</v>
      </c>
      <c r="C339" s="31" t="str">
        <f>VLOOKUP(A339, 'College List'!A:B, 2, FALSE)</f>
        <v>Lorehold</v>
      </c>
      <c r="D339" s="355">
        <f>VLOOKUP(B339,Quotas!$A$8:$C$14,2,FALSE)</f>
        <v>46143.70833</v>
      </c>
      <c r="E339" s="356">
        <f>VLOOKUP(B339,Quotas!$A$8:$C$14,3,FALSE)</f>
        <v>46150.70833</v>
      </c>
      <c r="F339" s="79">
        <f>COUNTIFS(Matches!$B:$B,A339,Matches!$A:$A,CONCAT("&gt;",$D339),Matches!$A:$A,CONCAT("&lt;",$E339))</f>
        <v>3</v>
      </c>
      <c r="G339" s="79">
        <f>COUNTIFS(Matches!$C:$C,$A339,Matches!$A:$A,CONCAT("&gt;",$D339),Matches!$A:$A,CONCAT("&lt;",$E339))</f>
        <v>2</v>
      </c>
      <c r="H339" s="79">
        <f t="shared" si="1"/>
        <v>5</v>
      </c>
      <c r="I339" s="79">
        <f>COUNTIFS(Matches!$B:$B,$A339,Matches!$A:$A,CONCAT("&lt;",$E339))</f>
        <v>5</v>
      </c>
      <c r="J339" s="79">
        <f>COUNTIFS(Matches!$C:$C,$A339,Matches!$A:$A,CONCAT("&lt;",$E339))</f>
        <v>5</v>
      </c>
      <c r="K339" s="79">
        <f>COUNTIFS(Entropy!D:D,A339,Entropy!I:I,CONCAT("&lt;",E339-1))</f>
        <v>0</v>
      </c>
      <c r="L339" s="79">
        <f t="shared" si="2"/>
        <v>10</v>
      </c>
      <c r="M339" s="79">
        <f t="array" ref="M339">max(min(IF(J339+K339=11,0,XLOOKUP(B339,Quotas!$A$8:$A$14,Quotas!$E$8:$E$14)-$L339),2),0)</f>
        <v>0</v>
      </c>
      <c r="N339" s="31">
        <f t="shared" si="3"/>
        <v>0</v>
      </c>
    </row>
    <row r="340">
      <c r="A340" s="31" t="s">
        <v>388</v>
      </c>
      <c r="B340" s="9">
        <v>2.0</v>
      </c>
      <c r="C340" s="31" t="str">
        <f>VLOOKUP(A340, 'College List'!A:B, 2, FALSE)</f>
        <v>Lorehold</v>
      </c>
      <c r="D340" s="355">
        <f>VLOOKUP(B340,Quotas!$A$8:$C$14,2,FALSE)</f>
        <v>46143.70833</v>
      </c>
      <c r="E340" s="356">
        <f>VLOOKUP(B340,Quotas!$A$8:$C$14,3,FALSE)</f>
        <v>46150.70833</v>
      </c>
      <c r="F340" s="79">
        <f>COUNTIFS(Matches!$B:$B,A340,Matches!$A:$A,CONCAT("&gt;",$D340),Matches!$A:$A,CONCAT("&lt;",$E340))</f>
        <v>2</v>
      </c>
      <c r="G340" s="79">
        <f>COUNTIFS(Matches!$C:$C,$A340,Matches!$A:$A,CONCAT("&gt;",$D340),Matches!$A:$A,CONCAT("&lt;",$E340))</f>
        <v>3</v>
      </c>
      <c r="H340" s="79">
        <f t="shared" si="1"/>
        <v>5</v>
      </c>
      <c r="I340" s="79">
        <f>COUNTIFS(Matches!$B:$B,$A340,Matches!$A:$A,CONCAT("&lt;",$E340))</f>
        <v>6</v>
      </c>
      <c r="J340" s="79">
        <f>COUNTIFS(Matches!$C:$C,$A340,Matches!$A:$A,CONCAT("&lt;",$E340))</f>
        <v>4</v>
      </c>
      <c r="K340" s="79">
        <f>COUNTIFS(Entropy!D:D,A340,Entropy!I:I,CONCAT("&lt;",E340-1))</f>
        <v>0</v>
      </c>
      <c r="L340" s="79">
        <f t="shared" si="2"/>
        <v>10</v>
      </c>
      <c r="M340" s="79">
        <f t="array" ref="M340">max(min(IF(J340+K340=11,0,XLOOKUP(B340,Quotas!$A$8:$A$14,Quotas!$E$8:$E$14)-$L340),2),0)</f>
        <v>0</v>
      </c>
      <c r="N340" s="31">
        <f t="shared" si="3"/>
        <v>0</v>
      </c>
    </row>
    <row r="341">
      <c r="A341" s="31" t="s">
        <v>121</v>
      </c>
      <c r="B341" s="9">
        <v>2.0</v>
      </c>
      <c r="C341" s="31" t="str">
        <f>VLOOKUP(A341, 'College List'!A:B, 2, FALSE)</f>
        <v>Quandrix</v>
      </c>
      <c r="D341" s="355">
        <f>VLOOKUP(B341,Quotas!$A$8:$C$14,2,FALSE)</f>
        <v>46143.70833</v>
      </c>
      <c r="E341" s="356">
        <f>VLOOKUP(B341,Quotas!$A$8:$C$14,3,FALSE)</f>
        <v>46150.70833</v>
      </c>
      <c r="F341" s="79">
        <f>COUNTIFS(Matches!$B:$B,A341,Matches!$A:$A,CONCAT("&gt;",$D341),Matches!$A:$A,CONCAT("&lt;",$E341))</f>
        <v>3</v>
      </c>
      <c r="G341" s="79">
        <f>COUNTIFS(Matches!$C:$C,$A341,Matches!$A:$A,CONCAT("&gt;",$D341),Matches!$A:$A,CONCAT("&lt;",$E341))</f>
        <v>2</v>
      </c>
      <c r="H341" s="79">
        <f t="shared" si="1"/>
        <v>5</v>
      </c>
      <c r="I341" s="79">
        <f>COUNTIFS(Matches!$B:$B,$A341,Matches!$A:$A,CONCAT("&lt;",$E341))</f>
        <v>7</v>
      </c>
      <c r="J341" s="79">
        <f>COUNTIFS(Matches!$C:$C,$A341,Matches!$A:$A,CONCAT("&lt;",$E341))</f>
        <v>3</v>
      </c>
      <c r="K341" s="79">
        <f>COUNTIFS(Entropy!D:D,A341,Entropy!I:I,CONCAT("&lt;",E341-1))</f>
        <v>0</v>
      </c>
      <c r="L341" s="79">
        <f t="shared" si="2"/>
        <v>10</v>
      </c>
      <c r="M341" s="79">
        <f t="array" ref="M341">max(min(IF(J341+K341=11,0,XLOOKUP(B341,Quotas!$A$8:$A$14,Quotas!$E$8:$E$14)-$L341),2),0)</f>
        <v>0</v>
      </c>
      <c r="N341" s="31">
        <f t="shared" si="3"/>
        <v>0</v>
      </c>
    </row>
    <row r="342">
      <c r="A342" s="31" t="s">
        <v>312</v>
      </c>
      <c r="B342" s="9">
        <v>2.0</v>
      </c>
      <c r="C342" s="31" t="str">
        <f>VLOOKUP(A342, 'College List'!A:B, 2, FALSE)</f>
        <v>Prismari</v>
      </c>
      <c r="D342" s="355">
        <f>VLOOKUP(B342,Quotas!$A$8:$C$14,2,FALSE)</f>
        <v>46143.70833</v>
      </c>
      <c r="E342" s="356">
        <f>VLOOKUP(B342,Quotas!$A$8:$C$14,3,FALSE)</f>
        <v>46150.70833</v>
      </c>
      <c r="F342" s="79">
        <f>COUNTIFS(Matches!$B:$B,A342,Matches!$A:$A,CONCAT("&gt;",$D342),Matches!$A:$A,CONCAT("&lt;",$E342))</f>
        <v>5</v>
      </c>
      <c r="G342" s="79">
        <f>COUNTIFS(Matches!$C:$C,$A342,Matches!$A:$A,CONCAT("&gt;",$D342),Matches!$A:$A,CONCAT("&lt;",$E342))</f>
        <v>0</v>
      </c>
      <c r="H342" s="79">
        <f t="shared" si="1"/>
        <v>5</v>
      </c>
      <c r="I342" s="79">
        <f>COUNTIFS(Matches!$B:$B,$A342,Matches!$A:$A,CONCAT("&lt;",$E342))</f>
        <v>8</v>
      </c>
      <c r="J342" s="79">
        <f>COUNTIFS(Matches!$C:$C,$A342,Matches!$A:$A,CONCAT("&lt;",$E342))</f>
        <v>2</v>
      </c>
      <c r="K342" s="79">
        <f>COUNTIFS(Entropy!D:D,A342,Entropy!I:I,CONCAT("&lt;",E342-1))</f>
        <v>0</v>
      </c>
      <c r="L342" s="79">
        <f t="shared" si="2"/>
        <v>10</v>
      </c>
      <c r="M342" s="79">
        <f t="array" ref="M342">max(min(IF(J342+K342=11,0,XLOOKUP(B342,Quotas!$A$8:$A$14,Quotas!$E$8:$E$14)-$L342),2),0)</f>
        <v>0</v>
      </c>
      <c r="N342" s="31">
        <f t="shared" si="3"/>
        <v>0</v>
      </c>
    </row>
    <row r="343">
      <c r="A343" s="31" t="s">
        <v>367</v>
      </c>
      <c r="B343" s="9">
        <v>2.0</v>
      </c>
      <c r="C343" s="31" t="str">
        <f>VLOOKUP(A343, 'College List'!A:B, 2, FALSE)</f>
        <v>Prismari</v>
      </c>
      <c r="D343" s="355">
        <f>VLOOKUP(B343,Quotas!$A$8:$C$14,2,FALSE)</f>
        <v>46143.70833</v>
      </c>
      <c r="E343" s="356">
        <f>VLOOKUP(B343,Quotas!$A$8:$C$14,3,FALSE)</f>
        <v>46150.70833</v>
      </c>
      <c r="F343" s="79">
        <f>COUNTIFS(Matches!$B:$B,A343,Matches!$A:$A,CONCAT("&gt;",$D343),Matches!$A:$A,CONCAT("&lt;",$E343))</f>
        <v>1</v>
      </c>
      <c r="G343" s="79">
        <f>COUNTIFS(Matches!$C:$C,$A343,Matches!$A:$A,CONCAT("&gt;",$D343),Matches!$A:$A,CONCAT("&lt;",$E343))</f>
        <v>2</v>
      </c>
      <c r="H343" s="79">
        <f t="shared" si="1"/>
        <v>3</v>
      </c>
      <c r="I343" s="79">
        <f>COUNTIFS(Matches!$B:$B,$A343,Matches!$A:$A,CONCAT("&lt;",$E343))</f>
        <v>3</v>
      </c>
      <c r="J343" s="79">
        <f>COUNTIFS(Matches!$C:$C,$A343,Matches!$A:$A,CONCAT("&lt;",$E343))</f>
        <v>4</v>
      </c>
      <c r="K343" s="79">
        <f>COUNTIFS(Entropy!D:D,A343,Entropy!I:I,CONCAT("&lt;",E343-1))</f>
        <v>0</v>
      </c>
      <c r="L343" s="79">
        <f t="shared" si="2"/>
        <v>7</v>
      </c>
      <c r="M343" s="79">
        <f t="array" ref="M343">max(min(IF(J343+K343=11,0,XLOOKUP(B343,Quotas!$A$8:$A$14,Quotas!$E$8:$E$14)-$L343),2),0)</f>
        <v>2</v>
      </c>
      <c r="N343" s="31">
        <f t="shared" si="3"/>
        <v>1</v>
      </c>
    </row>
    <row r="344">
      <c r="A344" s="31" t="s">
        <v>299</v>
      </c>
      <c r="B344" s="9">
        <v>2.0</v>
      </c>
      <c r="C344" s="31" t="str">
        <f>VLOOKUP(A344, 'College List'!A:B, 2, FALSE)</f>
        <v>Witherbloom</v>
      </c>
      <c r="D344" s="355">
        <f>VLOOKUP(B344,Quotas!$A$8:$C$14,2,FALSE)</f>
        <v>46143.70833</v>
      </c>
      <c r="E344" s="356">
        <f>VLOOKUP(B344,Quotas!$A$8:$C$14,3,FALSE)</f>
        <v>46150.70833</v>
      </c>
      <c r="F344" s="79">
        <f>COUNTIFS(Matches!$B:$B,A344,Matches!$A:$A,CONCAT("&gt;",$D344),Matches!$A:$A,CONCAT("&lt;",$E344))</f>
        <v>0</v>
      </c>
      <c r="G344" s="79">
        <f>COUNTIFS(Matches!$C:$C,$A344,Matches!$A:$A,CONCAT("&gt;",$D344),Matches!$A:$A,CONCAT("&lt;",$E344))</f>
        <v>3</v>
      </c>
      <c r="H344" s="79">
        <f t="shared" si="1"/>
        <v>3</v>
      </c>
      <c r="I344" s="79">
        <f>COUNTIFS(Matches!$B:$B,$A344,Matches!$A:$A,CONCAT("&lt;",$E344))</f>
        <v>5</v>
      </c>
      <c r="J344" s="79">
        <f>COUNTIFS(Matches!$C:$C,$A344,Matches!$A:$A,CONCAT("&lt;",$E344))</f>
        <v>3</v>
      </c>
      <c r="K344" s="79">
        <f>COUNTIFS(Entropy!D:D,A344,Entropy!I:I,CONCAT("&lt;",E344-1))</f>
        <v>0</v>
      </c>
      <c r="L344" s="79">
        <f t="shared" si="2"/>
        <v>8</v>
      </c>
      <c r="M344" s="79">
        <f t="array" ref="M344">max(min(IF(J344+K344=11,0,XLOOKUP(B344,Quotas!$A$8:$A$14,Quotas!$E$8:$E$14)-$L344),2),0)</f>
        <v>2</v>
      </c>
      <c r="N344" s="31">
        <f t="shared" si="3"/>
        <v>1</v>
      </c>
    </row>
    <row r="345">
      <c r="A345" s="31" t="s">
        <v>151</v>
      </c>
      <c r="B345" s="9">
        <v>2.0</v>
      </c>
      <c r="C345" s="31" t="str">
        <f>VLOOKUP(A345, 'College List'!A:B, 2, FALSE)</f>
        <v>Quandrix</v>
      </c>
      <c r="D345" s="355">
        <f>VLOOKUP(B345,Quotas!$A$8:$C$14,2,FALSE)</f>
        <v>46143.70833</v>
      </c>
      <c r="E345" s="356">
        <f>VLOOKUP(B345,Quotas!$A$8:$C$14,3,FALSE)</f>
        <v>46150.70833</v>
      </c>
      <c r="F345" s="79">
        <f>COUNTIFS(Matches!$B:$B,A345,Matches!$A:$A,CONCAT("&gt;",$D345),Matches!$A:$A,CONCAT("&lt;",$E345))</f>
        <v>4</v>
      </c>
      <c r="G345" s="79">
        <f>COUNTIFS(Matches!$C:$C,$A345,Matches!$A:$A,CONCAT("&gt;",$D345),Matches!$A:$A,CONCAT("&lt;",$E345))</f>
        <v>1</v>
      </c>
      <c r="H345" s="79">
        <f t="shared" si="1"/>
        <v>5</v>
      </c>
      <c r="I345" s="79">
        <f>COUNTIFS(Matches!$B:$B,$A345,Matches!$A:$A,CONCAT("&lt;",$E345))</f>
        <v>8</v>
      </c>
      <c r="J345" s="79">
        <f>COUNTIFS(Matches!$C:$C,$A345,Matches!$A:$A,CONCAT("&lt;",$E345))</f>
        <v>2</v>
      </c>
      <c r="K345" s="79">
        <f>COUNTIFS(Entropy!D:D,A345,Entropy!I:I,CONCAT("&lt;",E345-1))</f>
        <v>0</v>
      </c>
      <c r="L345" s="79">
        <f t="shared" si="2"/>
        <v>10</v>
      </c>
      <c r="M345" s="79">
        <f t="array" ref="M345">max(min(IF(J345+K345=11,0,XLOOKUP(B345,Quotas!$A$8:$A$14,Quotas!$E$8:$E$14)-$L345),2),0)</f>
        <v>0</v>
      </c>
      <c r="N345" s="31">
        <f t="shared" si="3"/>
        <v>0</v>
      </c>
    </row>
    <row r="346">
      <c r="A346" s="31" t="s">
        <v>332</v>
      </c>
      <c r="B346" s="9">
        <v>2.0</v>
      </c>
      <c r="C346" s="31" t="str">
        <f>VLOOKUP(A346, 'College List'!A:B, 2, FALSE)</f>
        <v>Quandrix</v>
      </c>
      <c r="D346" s="355">
        <f>VLOOKUP(B346,Quotas!$A$8:$C$14,2,FALSE)</f>
        <v>46143.70833</v>
      </c>
      <c r="E346" s="356">
        <f>VLOOKUP(B346,Quotas!$A$8:$C$14,3,FALSE)</f>
        <v>46150.70833</v>
      </c>
      <c r="F346" s="79">
        <f>COUNTIFS(Matches!$B:$B,A346,Matches!$A:$A,CONCAT("&gt;",$D346),Matches!$A:$A,CONCAT("&lt;",$E346))</f>
        <v>4</v>
      </c>
      <c r="G346" s="79">
        <f>COUNTIFS(Matches!$C:$C,$A346,Matches!$A:$A,CONCAT("&gt;",$D346),Matches!$A:$A,CONCAT("&lt;",$E346))</f>
        <v>2</v>
      </c>
      <c r="H346" s="79">
        <f t="shared" si="1"/>
        <v>6</v>
      </c>
      <c r="I346" s="79">
        <f>COUNTIFS(Matches!$B:$B,$A346,Matches!$A:$A,CONCAT("&lt;",$E346))</f>
        <v>7</v>
      </c>
      <c r="J346" s="79">
        <f>COUNTIFS(Matches!$C:$C,$A346,Matches!$A:$A,CONCAT("&lt;",$E346))</f>
        <v>3</v>
      </c>
      <c r="K346" s="79">
        <f>COUNTIFS(Entropy!D:D,A346,Entropy!I:I,CONCAT("&lt;",E346-1))</f>
        <v>0</v>
      </c>
      <c r="L346" s="79">
        <f t="shared" si="2"/>
        <v>10</v>
      </c>
      <c r="M346" s="79">
        <f t="array" ref="M346">max(min(IF(J346+K346=11,0,XLOOKUP(B346,Quotas!$A$8:$A$14,Quotas!$E$8:$E$14)-$L346),2),0)</f>
        <v>0</v>
      </c>
      <c r="N346" s="31">
        <f t="shared" si="3"/>
        <v>0</v>
      </c>
    </row>
    <row r="347">
      <c r="A347" s="31" t="s">
        <v>421</v>
      </c>
      <c r="B347" s="9">
        <v>2.0</v>
      </c>
      <c r="C347" s="31" t="str">
        <f>VLOOKUP(A347, 'College List'!A:B, 2, FALSE)</f>
        <v>Lorehold</v>
      </c>
      <c r="D347" s="355">
        <f>VLOOKUP(B347,Quotas!$A$8:$C$14,2,FALSE)</f>
        <v>46143.70833</v>
      </c>
      <c r="E347" s="356">
        <f>VLOOKUP(B347,Quotas!$A$8:$C$14,3,FALSE)</f>
        <v>46150.70833</v>
      </c>
      <c r="F347" s="79">
        <f>COUNTIFS(Matches!$B:$B,A347,Matches!$A:$A,CONCAT("&gt;",$D347),Matches!$A:$A,CONCAT("&lt;",$E347))</f>
        <v>1</v>
      </c>
      <c r="G347" s="79">
        <f>COUNTIFS(Matches!$C:$C,$A347,Matches!$A:$A,CONCAT("&gt;",$D347),Matches!$A:$A,CONCAT("&lt;",$E347))</f>
        <v>4</v>
      </c>
      <c r="H347" s="79">
        <f t="shared" si="1"/>
        <v>5</v>
      </c>
      <c r="I347" s="79">
        <f>COUNTIFS(Matches!$B:$B,$A347,Matches!$A:$A,CONCAT("&lt;",$E347))</f>
        <v>4</v>
      </c>
      <c r="J347" s="79">
        <f>COUNTIFS(Matches!$C:$C,$A347,Matches!$A:$A,CONCAT("&lt;",$E347))</f>
        <v>4</v>
      </c>
      <c r="K347" s="79">
        <f>COUNTIFS(Entropy!D:D,A347,Entropy!I:I,CONCAT("&lt;",E347-1))</f>
        <v>0</v>
      </c>
      <c r="L347" s="79">
        <f t="shared" si="2"/>
        <v>8</v>
      </c>
      <c r="M347" s="79">
        <f t="array" ref="M347">max(min(IF(J347+K347=11,0,XLOOKUP(B347,Quotas!$A$8:$A$14,Quotas!$E$8:$E$14)-$L347),2),0)</f>
        <v>2</v>
      </c>
      <c r="N347" s="31">
        <f t="shared" si="3"/>
        <v>1</v>
      </c>
    </row>
    <row r="348">
      <c r="A348" s="31" t="s">
        <v>351</v>
      </c>
      <c r="B348" s="9">
        <v>2.0</v>
      </c>
      <c r="C348" s="31" t="str">
        <f>VLOOKUP(A348, 'College List'!A:B, 2, FALSE)</f>
        <v>Silverquill</v>
      </c>
      <c r="D348" s="355">
        <f>VLOOKUP(B348,Quotas!$A$8:$C$14,2,FALSE)</f>
        <v>46143.70833</v>
      </c>
      <c r="E348" s="356">
        <f>VLOOKUP(B348,Quotas!$A$8:$C$14,3,FALSE)</f>
        <v>46150.70833</v>
      </c>
      <c r="F348" s="79">
        <f>COUNTIFS(Matches!$B:$B,A348,Matches!$A:$A,CONCAT("&gt;",$D348),Matches!$A:$A,CONCAT("&lt;",$E348))</f>
        <v>2</v>
      </c>
      <c r="G348" s="79">
        <f>COUNTIFS(Matches!$C:$C,$A348,Matches!$A:$A,CONCAT("&gt;",$D348),Matches!$A:$A,CONCAT("&lt;",$E348))</f>
        <v>3</v>
      </c>
      <c r="H348" s="79">
        <f t="shared" si="1"/>
        <v>5</v>
      </c>
      <c r="I348" s="79">
        <f>COUNTIFS(Matches!$B:$B,$A348,Matches!$A:$A,CONCAT("&lt;",$E348))</f>
        <v>3</v>
      </c>
      <c r="J348" s="79">
        <f>COUNTIFS(Matches!$C:$C,$A348,Matches!$A:$A,CONCAT("&lt;",$E348))</f>
        <v>5</v>
      </c>
      <c r="K348" s="79">
        <f>COUNTIFS(Entropy!D:D,A348,Entropy!I:I,CONCAT("&lt;",E348-1))</f>
        <v>0</v>
      </c>
      <c r="L348" s="79">
        <f t="shared" si="2"/>
        <v>8</v>
      </c>
      <c r="M348" s="79">
        <f t="array" ref="M348">max(min(IF(J348+K348=11,0,XLOOKUP(B348,Quotas!$A$8:$A$14,Quotas!$E$8:$E$14)-$L348),2),0)</f>
        <v>2</v>
      </c>
      <c r="N348" s="31">
        <f t="shared" si="3"/>
        <v>1</v>
      </c>
    </row>
    <row r="349">
      <c r="A349" s="31" t="s">
        <v>274</v>
      </c>
      <c r="B349" s="9">
        <v>2.0</v>
      </c>
      <c r="C349" s="31" t="str">
        <f>VLOOKUP(A349, 'College List'!A:B, 2, FALSE)</f>
        <v>Quandrix</v>
      </c>
      <c r="D349" s="355">
        <f>VLOOKUP(B349,Quotas!$A$8:$C$14,2,FALSE)</f>
        <v>46143.70833</v>
      </c>
      <c r="E349" s="356">
        <f>VLOOKUP(B349,Quotas!$A$8:$C$14,3,FALSE)</f>
        <v>46150.70833</v>
      </c>
      <c r="F349" s="79">
        <f>COUNTIFS(Matches!$B:$B,A349,Matches!$A:$A,CONCAT("&gt;",$D349),Matches!$A:$A,CONCAT("&lt;",$E349))</f>
        <v>3</v>
      </c>
      <c r="G349" s="79">
        <f>COUNTIFS(Matches!$C:$C,$A349,Matches!$A:$A,CONCAT("&gt;",$D349),Matches!$A:$A,CONCAT("&lt;",$E349))</f>
        <v>2</v>
      </c>
      <c r="H349" s="79">
        <f t="shared" si="1"/>
        <v>5</v>
      </c>
      <c r="I349" s="79">
        <f>COUNTIFS(Matches!$B:$B,$A349,Matches!$A:$A,CONCAT("&lt;",$E349))</f>
        <v>4</v>
      </c>
      <c r="J349" s="79">
        <f>COUNTIFS(Matches!$C:$C,$A349,Matches!$A:$A,CONCAT("&lt;",$E349))</f>
        <v>6</v>
      </c>
      <c r="K349" s="79">
        <f>COUNTIFS(Entropy!D:D,A349,Entropy!I:I,CONCAT("&lt;",E349-1))</f>
        <v>0</v>
      </c>
      <c r="L349" s="79">
        <f t="shared" si="2"/>
        <v>10</v>
      </c>
      <c r="M349" s="79">
        <f t="array" ref="M349">max(min(IF(J349+K349=11,0,XLOOKUP(B349,Quotas!$A$8:$A$14,Quotas!$E$8:$E$14)-$L349),2),0)</f>
        <v>0</v>
      </c>
      <c r="N349" s="31">
        <f t="shared" si="3"/>
        <v>0</v>
      </c>
    </row>
    <row r="350">
      <c r="A350" s="31" t="s">
        <v>345</v>
      </c>
      <c r="B350" s="9">
        <v>2.0</v>
      </c>
      <c r="C350" s="31" t="str">
        <f>VLOOKUP(A350, 'College List'!A:B, 2, FALSE)</f>
        <v>Silverquill</v>
      </c>
      <c r="D350" s="355">
        <f>VLOOKUP(B350,Quotas!$A$8:$C$14,2,FALSE)</f>
        <v>46143.70833</v>
      </c>
      <c r="E350" s="356">
        <f>VLOOKUP(B350,Quotas!$A$8:$C$14,3,FALSE)</f>
        <v>46150.70833</v>
      </c>
      <c r="F350" s="79">
        <f>COUNTIFS(Matches!$B:$B,A350,Matches!$A:$A,CONCAT("&gt;",$D350),Matches!$A:$A,CONCAT("&lt;",$E350))</f>
        <v>4</v>
      </c>
      <c r="G350" s="79">
        <f>COUNTIFS(Matches!$C:$C,$A350,Matches!$A:$A,CONCAT("&gt;",$D350),Matches!$A:$A,CONCAT("&lt;",$E350))</f>
        <v>2</v>
      </c>
      <c r="H350" s="79">
        <f t="shared" si="1"/>
        <v>6</v>
      </c>
      <c r="I350" s="79">
        <f>COUNTIFS(Matches!$B:$B,$A350,Matches!$A:$A,CONCAT("&lt;",$E350))</f>
        <v>7</v>
      </c>
      <c r="J350" s="79">
        <f>COUNTIFS(Matches!$C:$C,$A350,Matches!$A:$A,CONCAT("&lt;",$E350))</f>
        <v>3</v>
      </c>
      <c r="K350" s="79">
        <f>COUNTIFS(Entropy!D:D,A350,Entropy!I:I,CONCAT("&lt;",E350-1))</f>
        <v>0</v>
      </c>
      <c r="L350" s="79">
        <f t="shared" si="2"/>
        <v>10</v>
      </c>
      <c r="M350" s="79">
        <f t="array" ref="M350">max(min(IF(J350+K350=11,0,XLOOKUP(B350,Quotas!$A$8:$A$14,Quotas!$E$8:$E$14)-$L350),2),0)</f>
        <v>0</v>
      </c>
      <c r="N350" s="31">
        <f t="shared" si="3"/>
        <v>0</v>
      </c>
    </row>
    <row r="351">
      <c r="A351" s="31" t="s">
        <v>185</v>
      </c>
      <c r="B351" s="9">
        <v>2.0</v>
      </c>
      <c r="C351" s="31" t="str">
        <f>VLOOKUP(A351, 'College List'!A:B, 2, FALSE)</f>
        <v>Silverquill</v>
      </c>
      <c r="D351" s="355">
        <f>VLOOKUP(B351,Quotas!$A$8:$C$14,2,FALSE)</f>
        <v>46143.70833</v>
      </c>
      <c r="E351" s="356">
        <f>VLOOKUP(B351,Quotas!$A$8:$C$14,3,FALSE)</f>
        <v>46150.70833</v>
      </c>
      <c r="F351" s="79">
        <f>COUNTIFS(Matches!$B:$B,A351,Matches!$A:$A,CONCAT("&gt;",$D351),Matches!$A:$A,CONCAT("&lt;",$E351))</f>
        <v>5</v>
      </c>
      <c r="G351" s="79">
        <f>COUNTIFS(Matches!$C:$C,$A351,Matches!$A:$A,CONCAT("&gt;",$D351),Matches!$A:$A,CONCAT("&lt;",$E351))</f>
        <v>0</v>
      </c>
      <c r="H351" s="79">
        <f t="shared" si="1"/>
        <v>5</v>
      </c>
      <c r="I351" s="79">
        <f>COUNTIFS(Matches!$B:$B,$A351,Matches!$A:$A,CONCAT("&lt;",$E351))</f>
        <v>8</v>
      </c>
      <c r="J351" s="79">
        <f>COUNTIFS(Matches!$C:$C,$A351,Matches!$A:$A,CONCAT("&lt;",$E351))</f>
        <v>2</v>
      </c>
      <c r="K351" s="79">
        <f>COUNTIFS(Entropy!D:D,A351,Entropy!I:I,CONCAT("&lt;",E351-1))</f>
        <v>0</v>
      </c>
      <c r="L351" s="79">
        <f t="shared" si="2"/>
        <v>10</v>
      </c>
      <c r="M351" s="79">
        <f t="array" ref="M351">max(min(IF(J351+K351=11,0,XLOOKUP(B351,Quotas!$A$8:$A$14,Quotas!$E$8:$E$14)-$L351),2),0)</f>
        <v>0</v>
      </c>
      <c r="N351" s="31">
        <f t="shared" si="3"/>
        <v>0</v>
      </c>
    </row>
    <row r="352">
      <c r="A352" s="31" t="s">
        <v>630</v>
      </c>
      <c r="B352" s="9">
        <v>2.0</v>
      </c>
      <c r="C352" s="31" t="str">
        <f>VLOOKUP(A352, 'College List'!A:B, 2, FALSE)</f>
        <v>Prismari</v>
      </c>
      <c r="D352" s="355">
        <f>VLOOKUP(B352,Quotas!$A$8:$C$14,2,FALSE)</f>
        <v>46143.70833</v>
      </c>
      <c r="E352" s="356">
        <f>VLOOKUP(B352,Quotas!$A$8:$C$14,3,FALSE)</f>
        <v>46150.70833</v>
      </c>
      <c r="F352" s="79">
        <f>COUNTIFS(Matches!$B:$B,A352,Matches!$A:$A,CONCAT("&gt;",$D352),Matches!$A:$A,CONCAT("&lt;",$E352))</f>
        <v>0</v>
      </c>
      <c r="G352" s="79">
        <f>COUNTIFS(Matches!$C:$C,$A352,Matches!$A:$A,CONCAT("&gt;",$D352),Matches!$A:$A,CONCAT("&lt;",$E352))</f>
        <v>0</v>
      </c>
      <c r="H352" s="79">
        <f t="shared" si="1"/>
        <v>0</v>
      </c>
      <c r="I352" s="79">
        <f>COUNTIFS(Matches!$B:$B,$A352,Matches!$A:$A,CONCAT("&lt;",$E352))</f>
        <v>0</v>
      </c>
      <c r="J352" s="79">
        <f>COUNTIFS(Matches!$C:$C,$A352,Matches!$A:$A,CONCAT("&lt;",$E352))</f>
        <v>0</v>
      </c>
      <c r="K352" s="79">
        <f>COUNTIFS(Entropy!D:D,A352,Entropy!I:I,CONCAT("&lt;",E352-1))</f>
        <v>3</v>
      </c>
      <c r="L352" s="79">
        <f t="shared" si="2"/>
        <v>3</v>
      </c>
      <c r="M352" s="79">
        <f t="array" ref="M352">max(min(IF(J352+K352=11,0,XLOOKUP(B352,Quotas!$A$8:$A$14,Quotas!$E$8:$E$14)-$L352),2),0)</f>
        <v>2</v>
      </c>
      <c r="N352" s="31">
        <f t="shared" si="3"/>
        <v>0</v>
      </c>
    </row>
    <row r="353">
      <c r="A353" s="31" t="s">
        <v>179</v>
      </c>
      <c r="B353" s="9">
        <v>2.0</v>
      </c>
      <c r="C353" s="31" t="str">
        <f>VLOOKUP(A353, 'College List'!A:B, 2, FALSE)</f>
        <v>Witherbloom</v>
      </c>
      <c r="D353" s="355">
        <f>VLOOKUP(B353,Quotas!$A$8:$C$14,2,FALSE)</f>
        <v>46143.70833</v>
      </c>
      <c r="E353" s="356">
        <f>VLOOKUP(B353,Quotas!$A$8:$C$14,3,FALSE)</f>
        <v>46150.70833</v>
      </c>
      <c r="F353" s="79">
        <f>COUNTIFS(Matches!$B:$B,A353,Matches!$A:$A,CONCAT("&gt;",$D353),Matches!$A:$A,CONCAT("&lt;",$E353))</f>
        <v>0</v>
      </c>
      <c r="G353" s="79">
        <f>COUNTIFS(Matches!$C:$C,$A353,Matches!$A:$A,CONCAT("&gt;",$D353),Matches!$A:$A,CONCAT("&lt;",$E353))</f>
        <v>3</v>
      </c>
      <c r="H353" s="79">
        <f t="shared" si="1"/>
        <v>3</v>
      </c>
      <c r="I353" s="79">
        <f>COUNTIFS(Matches!$B:$B,$A353,Matches!$A:$A,CONCAT("&lt;",$E353))</f>
        <v>1</v>
      </c>
      <c r="J353" s="79">
        <f>COUNTIFS(Matches!$C:$C,$A353,Matches!$A:$A,CONCAT("&lt;",$E353))</f>
        <v>7</v>
      </c>
      <c r="K353" s="79">
        <f>COUNTIFS(Entropy!D:D,A353,Entropy!I:I,CONCAT("&lt;",E353-1))</f>
        <v>0</v>
      </c>
      <c r="L353" s="79">
        <f t="shared" si="2"/>
        <v>8</v>
      </c>
      <c r="M353" s="79">
        <f t="array" ref="M353">max(min(IF(J353+K353=11,0,XLOOKUP(B353,Quotas!$A$8:$A$14,Quotas!$E$8:$E$14)-$L353),2),0)</f>
        <v>2</v>
      </c>
      <c r="N353" s="31">
        <f t="shared" si="3"/>
        <v>1</v>
      </c>
    </row>
    <row r="354">
      <c r="A354" s="31" t="s">
        <v>320</v>
      </c>
      <c r="B354" s="9">
        <v>2.0</v>
      </c>
      <c r="C354" s="31" t="str">
        <f>VLOOKUP(A354, 'College List'!A:B, 2, FALSE)</f>
        <v>Witherbloom</v>
      </c>
      <c r="D354" s="355">
        <f>VLOOKUP(B354,Quotas!$A$8:$C$14,2,FALSE)</f>
        <v>46143.70833</v>
      </c>
      <c r="E354" s="356">
        <f>VLOOKUP(B354,Quotas!$A$8:$C$14,3,FALSE)</f>
        <v>46150.70833</v>
      </c>
      <c r="F354" s="79">
        <f>COUNTIFS(Matches!$B:$B,A354,Matches!$A:$A,CONCAT("&gt;",$D354),Matches!$A:$A,CONCAT("&lt;",$E354))</f>
        <v>2</v>
      </c>
      <c r="G354" s="79">
        <f>COUNTIFS(Matches!$C:$C,$A354,Matches!$A:$A,CONCAT("&gt;",$D354),Matches!$A:$A,CONCAT("&lt;",$E354))</f>
        <v>3</v>
      </c>
      <c r="H354" s="79">
        <f t="shared" si="1"/>
        <v>5</v>
      </c>
      <c r="I354" s="79">
        <f>COUNTIFS(Matches!$B:$B,$A354,Matches!$A:$A,CONCAT("&lt;",$E354))</f>
        <v>5</v>
      </c>
      <c r="J354" s="79">
        <f>COUNTIFS(Matches!$C:$C,$A354,Matches!$A:$A,CONCAT("&lt;",$E354))</f>
        <v>5</v>
      </c>
      <c r="K354" s="79">
        <f>COUNTIFS(Entropy!D:D,A354,Entropy!I:I,CONCAT("&lt;",E354-1))</f>
        <v>0</v>
      </c>
      <c r="L354" s="79">
        <f t="shared" si="2"/>
        <v>10</v>
      </c>
      <c r="M354" s="79">
        <f t="array" ref="M354">max(min(IF(J354+K354=11,0,XLOOKUP(B354,Quotas!$A$8:$A$14,Quotas!$E$8:$E$14)-$L354),2),0)</f>
        <v>0</v>
      </c>
      <c r="N354" s="31">
        <f t="shared" si="3"/>
        <v>0</v>
      </c>
    </row>
    <row r="355">
      <c r="A355" s="31" t="s">
        <v>205</v>
      </c>
      <c r="B355" s="9">
        <v>2.0</v>
      </c>
      <c r="C355" s="31" t="str">
        <f>VLOOKUP(A355, 'College List'!A:B, 2, FALSE)</f>
        <v>Silverquill</v>
      </c>
      <c r="D355" s="355">
        <f>VLOOKUP(B355,Quotas!$A$8:$C$14,2,FALSE)</f>
        <v>46143.70833</v>
      </c>
      <c r="E355" s="356">
        <f>VLOOKUP(B355,Quotas!$A$8:$C$14,3,FALSE)</f>
        <v>46150.70833</v>
      </c>
      <c r="F355" s="79">
        <f>COUNTIFS(Matches!$B:$B,A355,Matches!$A:$A,CONCAT("&gt;",$D355),Matches!$A:$A,CONCAT("&lt;",$E355))</f>
        <v>3</v>
      </c>
      <c r="G355" s="79">
        <f>COUNTIFS(Matches!$C:$C,$A355,Matches!$A:$A,CONCAT("&gt;",$D355),Matches!$A:$A,CONCAT("&lt;",$E355))</f>
        <v>2</v>
      </c>
      <c r="H355" s="79">
        <f t="shared" si="1"/>
        <v>5</v>
      </c>
      <c r="I355" s="79">
        <f>COUNTIFS(Matches!$B:$B,$A355,Matches!$A:$A,CONCAT("&lt;",$E355))</f>
        <v>5</v>
      </c>
      <c r="J355" s="79">
        <f>COUNTIFS(Matches!$C:$C,$A355,Matches!$A:$A,CONCAT("&lt;",$E355))</f>
        <v>5</v>
      </c>
      <c r="K355" s="79">
        <f>COUNTIFS(Entropy!D:D,A355,Entropy!I:I,CONCAT("&lt;",E355-1))</f>
        <v>0</v>
      </c>
      <c r="L355" s="79">
        <f t="shared" si="2"/>
        <v>10</v>
      </c>
      <c r="M355" s="79">
        <f t="array" ref="M355">max(min(IF(J355+K355=11,0,XLOOKUP(B355,Quotas!$A$8:$A$14,Quotas!$E$8:$E$14)-$L355),2),0)</f>
        <v>0</v>
      </c>
      <c r="N355" s="31">
        <f t="shared" si="3"/>
        <v>0</v>
      </c>
    </row>
    <row r="356">
      <c r="A356" s="31" t="s">
        <v>347</v>
      </c>
      <c r="B356" s="9">
        <v>2.0</v>
      </c>
      <c r="C356" s="31" t="str">
        <f>VLOOKUP(A356, 'College List'!A:B, 2, FALSE)</f>
        <v>Lorehold</v>
      </c>
      <c r="D356" s="355">
        <f>VLOOKUP(B356,Quotas!$A$8:$C$14,2,FALSE)</f>
        <v>46143.70833</v>
      </c>
      <c r="E356" s="356">
        <f>VLOOKUP(B356,Quotas!$A$8:$C$14,3,FALSE)</f>
        <v>46150.70833</v>
      </c>
      <c r="F356" s="79">
        <f>COUNTIFS(Matches!$B:$B,A356,Matches!$A:$A,CONCAT("&gt;",$D356),Matches!$A:$A,CONCAT("&lt;",$E356))</f>
        <v>2</v>
      </c>
      <c r="G356" s="79">
        <f>COUNTIFS(Matches!$C:$C,$A356,Matches!$A:$A,CONCAT("&gt;",$D356),Matches!$A:$A,CONCAT("&lt;",$E356))</f>
        <v>3</v>
      </c>
      <c r="H356" s="79">
        <f t="shared" si="1"/>
        <v>5</v>
      </c>
      <c r="I356" s="79">
        <f>COUNTIFS(Matches!$B:$B,$A356,Matches!$A:$A,CONCAT("&lt;",$E356))</f>
        <v>6</v>
      </c>
      <c r="J356" s="79">
        <f>COUNTIFS(Matches!$C:$C,$A356,Matches!$A:$A,CONCAT("&lt;",$E356))</f>
        <v>4</v>
      </c>
      <c r="K356" s="79">
        <f>COUNTIFS(Entropy!D:D,A356,Entropy!I:I,CONCAT("&lt;",E356-1))</f>
        <v>0</v>
      </c>
      <c r="L356" s="79">
        <f t="shared" si="2"/>
        <v>10</v>
      </c>
      <c r="M356" s="79">
        <f t="array" ref="M356">max(min(IF(J356+K356=11,0,XLOOKUP(B356,Quotas!$A$8:$A$14,Quotas!$E$8:$E$14)-$L356),2),0)</f>
        <v>0</v>
      </c>
      <c r="N356" s="31">
        <f t="shared" si="3"/>
        <v>0</v>
      </c>
    </row>
    <row r="357">
      <c r="A357" s="31" t="s">
        <v>109</v>
      </c>
      <c r="B357" s="9">
        <v>2.0</v>
      </c>
      <c r="C357" s="31" t="str">
        <f>VLOOKUP(A357, 'College List'!A:B, 2, FALSE)</f>
        <v>Silverquill</v>
      </c>
      <c r="D357" s="355">
        <f>VLOOKUP(B357,Quotas!$A$8:$C$14,2,FALSE)</f>
        <v>46143.70833</v>
      </c>
      <c r="E357" s="356">
        <f>VLOOKUP(B357,Quotas!$A$8:$C$14,3,FALSE)</f>
        <v>46150.70833</v>
      </c>
      <c r="F357" s="79">
        <f>COUNTIFS(Matches!$B:$B,A357,Matches!$A:$A,CONCAT("&gt;",$D357),Matches!$A:$A,CONCAT("&lt;",$E357))</f>
        <v>2</v>
      </c>
      <c r="G357" s="79">
        <f>COUNTIFS(Matches!$C:$C,$A357,Matches!$A:$A,CONCAT("&gt;",$D357),Matches!$A:$A,CONCAT("&lt;",$E357))</f>
        <v>3</v>
      </c>
      <c r="H357" s="79">
        <f t="shared" si="1"/>
        <v>5</v>
      </c>
      <c r="I357" s="79">
        <f>COUNTIFS(Matches!$B:$B,$A357,Matches!$A:$A,CONCAT("&lt;",$E357))</f>
        <v>4</v>
      </c>
      <c r="J357" s="79">
        <f>COUNTIFS(Matches!$C:$C,$A357,Matches!$A:$A,CONCAT("&lt;",$E357))</f>
        <v>6</v>
      </c>
      <c r="K357" s="79">
        <f>COUNTIFS(Entropy!D:D,A357,Entropy!I:I,CONCAT("&lt;",E357-1))</f>
        <v>0</v>
      </c>
      <c r="L357" s="79">
        <f t="shared" si="2"/>
        <v>10</v>
      </c>
      <c r="M357" s="79">
        <f t="array" ref="M357">max(min(IF(J357+K357=11,0,XLOOKUP(B357,Quotas!$A$8:$A$14,Quotas!$E$8:$E$14)-$L357),2),0)</f>
        <v>0</v>
      </c>
      <c r="N357" s="31">
        <f t="shared" si="3"/>
        <v>0</v>
      </c>
    </row>
    <row r="358">
      <c r="A358" s="31" t="s">
        <v>288</v>
      </c>
      <c r="B358" s="9">
        <v>2.0</v>
      </c>
      <c r="C358" s="31" t="str">
        <f>VLOOKUP(A358, 'College List'!A:B, 2, FALSE)</f>
        <v>Lorehold</v>
      </c>
      <c r="D358" s="355">
        <f>VLOOKUP(B358,Quotas!$A$8:$C$14,2,FALSE)</f>
        <v>46143.70833</v>
      </c>
      <c r="E358" s="356">
        <f>VLOOKUP(B358,Quotas!$A$8:$C$14,3,FALSE)</f>
        <v>46150.70833</v>
      </c>
      <c r="F358" s="79">
        <f>COUNTIFS(Matches!$B:$B,A358,Matches!$A:$A,CONCAT("&gt;",$D358),Matches!$A:$A,CONCAT("&lt;",$E358))</f>
        <v>4</v>
      </c>
      <c r="G358" s="79">
        <f>COUNTIFS(Matches!$C:$C,$A358,Matches!$A:$A,CONCAT("&gt;",$D358),Matches!$A:$A,CONCAT("&lt;",$E358))</f>
        <v>1</v>
      </c>
      <c r="H358" s="79">
        <f t="shared" si="1"/>
        <v>5</v>
      </c>
      <c r="I358" s="79">
        <f>COUNTIFS(Matches!$B:$B,$A358,Matches!$A:$A,CONCAT("&lt;",$E358))</f>
        <v>6</v>
      </c>
      <c r="J358" s="79">
        <f>COUNTIFS(Matches!$C:$C,$A358,Matches!$A:$A,CONCAT("&lt;",$E358))</f>
        <v>4</v>
      </c>
      <c r="K358" s="79">
        <f>COUNTIFS(Entropy!D:D,A358,Entropy!I:I,CONCAT("&lt;",E358-1))</f>
        <v>0</v>
      </c>
      <c r="L358" s="79">
        <f t="shared" si="2"/>
        <v>10</v>
      </c>
      <c r="M358" s="79">
        <f t="array" ref="M358">max(min(IF(J358+K358=11,0,XLOOKUP(B358,Quotas!$A$8:$A$14,Quotas!$E$8:$E$14)-$L358),2),0)</f>
        <v>0</v>
      </c>
      <c r="N358" s="31">
        <f t="shared" si="3"/>
        <v>0</v>
      </c>
    </row>
    <row r="359">
      <c r="A359" s="31" t="s">
        <v>184</v>
      </c>
      <c r="B359" s="9">
        <v>2.0</v>
      </c>
      <c r="C359" s="31" t="str">
        <f>VLOOKUP(A359, 'College List'!A:B, 2, FALSE)</f>
        <v>Quandrix</v>
      </c>
      <c r="D359" s="355">
        <f>VLOOKUP(B359,Quotas!$A$8:$C$14,2,FALSE)</f>
        <v>46143.70833</v>
      </c>
      <c r="E359" s="356">
        <f>VLOOKUP(B359,Quotas!$A$8:$C$14,3,FALSE)</f>
        <v>46150.70833</v>
      </c>
      <c r="F359" s="79">
        <f>COUNTIFS(Matches!$B:$B,A359,Matches!$A:$A,CONCAT("&gt;",$D359),Matches!$A:$A,CONCAT("&lt;",$E359))</f>
        <v>2</v>
      </c>
      <c r="G359" s="79">
        <f>COUNTIFS(Matches!$C:$C,$A359,Matches!$A:$A,CONCAT("&gt;",$D359),Matches!$A:$A,CONCAT("&lt;",$E359))</f>
        <v>3</v>
      </c>
      <c r="H359" s="79">
        <f t="shared" si="1"/>
        <v>5</v>
      </c>
      <c r="I359" s="79">
        <f>COUNTIFS(Matches!$B:$B,$A359,Matches!$A:$A,CONCAT("&lt;",$E359))</f>
        <v>5</v>
      </c>
      <c r="J359" s="79">
        <f>COUNTIFS(Matches!$C:$C,$A359,Matches!$A:$A,CONCAT("&lt;",$E359))</f>
        <v>5</v>
      </c>
      <c r="K359" s="79">
        <f>COUNTIFS(Entropy!D:D,A359,Entropy!I:I,CONCAT("&lt;",E359-1))</f>
        <v>0</v>
      </c>
      <c r="L359" s="79">
        <f t="shared" si="2"/>
        <v>10</v>
      </c>
      <c r="M359" s="79">
        <f t="array" ref="M359">max(min(IF(J359+K359=11,0,XLOOKUP(B359,Quotas!$A$8:$A$14,Quotas!$E$8:$E$14)-$L359),2),0)</f>
        <v>0</v>
      </c>
      <c r="N359" s="31">
        <f t="shared" si="3"/>
        <v>0</v>
      </c>
    </row>
    <row r="360">
      <c r="A360" s="31" t="s">
        <v>67</v>
      </c>
      <c r="B360" s="9">
        <v>2.0</v>
      </c>
      <c r="C360" s="31" t="str">
        <f>VLOOKUP(A360, 'College List'!A:B, 2, FALSE)</f>
        <v>Silverquill</v>
      </c>
      <c r="D360" s="355">
        <f>VLOOKUP(B360,Quotas!$A$8:$C$14,2,FALSE)</f>
        <v>46143.70833</v>
      </c>
      <c r="E360" s="356">
        <f>VLOOKUP(B360,Quotas!$A$8:$C$14,3,FALSE)</f>
        <v>46150.70833</v>
      </c>
      <c r="F360" s="79">
        <f>COUNTIFS(Matches!$B:$B,A360,Matches!$A:$A,CONCAT("&gt;",$D360),Matches!$A:$A,CONCAT("&lt;",$E360))</f>
        <v>1</v>
      </c>
      <c r="G360" s="79">
        <f>COUNTIFS(Matches!$C:$C,$A360,Matches!$A:$A,CONCAT("&gt;",$D360),Matches!$A:$A,CONCAT("&lt;",$E360))</f>
        <v>3</v>
      </c>
      <c r="H360" s="79">
        <f t="shared" si="1"/>
        <v>4</v>
      </c>
      <c r="I360" s="79">
        <f>COUNTIFS(Matches!$B:$B,$A360,Matches!$A:$A,CONCAT("&lt;",$E360))</f>
        <v>1</v>
      </c>
      <c r="J360" s="79">
        <f>COUNTIFS(Matches!$C:$C,$A360,Matches!$A:$A,CONCAT("&lt;",$E360))</f>
        <v>8</v>
      </c>
      <c r="K360" s="79">
        <f>COUNTIFS(Entropy!D:D,A360,Entropy!I:I,CONCAT("&lt;",E360-1))</f>
        <v>0</v>
      </c>
      <c r="L360" s="79">
        <f t="shared" si="2"/>
        <v>9</v>
      </c>
      <c r="M360" s="79">
        <f t="array" ref="M360">max(min(IF(J360+K360=11,0,XLOOKUP(B360,Quotas!$A$8:$A$14,Quotas!$E$8:$E$14)-$L360),2),0)</f>
        <v>1</v>
      </c>
      <c r="N360" s="31">
        <f t="shared" si="3"/>
        <v>0.5</v>
      </c>
    </row>
    <row r="361">
      <c r="A361" s="31" t="s">
        <v>172</v>
      </c>
      <c r="B361" s="9">
        <v>2.0</v>
      </c>
      <c r="C361" s="31" t="str">
        <f>VLOOKUP(A361, 'College List'!A:B, 2, FALSE)</f>
        <v>Lorehold</v>
      </c>
      <c r="D361" s="355">
        <f>VLOOKUP(B361,Quotas!$A$8:$C$14,2,FALSE)</f>
        <v>46143.70833</v>
      </c>
      <c r="E361" s="356">
        <f>VLOOKUP(B361,Quotas!$A$8:$C$14,3,FALSE)</f>
        <v>46150.70833</v>
      </c>
      <c r="F361" s="79">
        <f>COUNTIFS(Matches!$B:$B,A361,Matches!$A:$A,CONCAT("&gt;",$D361),Matches!$A:$A,CONCAT("&lt;",$E361))</f>
        <v>0</v>
      </c>
      <c r="G361" s="79">
        <f>COUNTIFS(Matches!$C:$C,$A361,Matches!$A:$A,CONCAT("&gt;",$D361),Matches!$A:$A,CONCAT("&lt;",$E361))</f>
        <v>5</v>
      </c>
      <c r="H361" s="79">
        <f t="shared" si="1"/>
        <v>5</v>
      </c>
      <c r="I361" s="79">
        <f>COUNTIFS(Matches!$B:$B,$A361,Matches!$A:$A,CONCAT("&lt;",$E361))</f>
        <v>1</v>
      </c>
      <c r="J361" s="79">
        <f>COUNTIFS(Matches!$C:$C,$A361,Matches!$A:$A,CONCAT("&lt;",$E361))</f>
        <v>9</v>
      </c>
      <c r="K361" s="79">
        <f>COUNTIFS(Entropy!D:D,A361,Entropy!I:I,CONCAT("&lt;",E361-1))</f>
        <v>0</v>
      </c>
      <c r="L361" s="79">
        <f t="shared" si="2"/>
        <v>10</v>
      </c>
      <c r="M361" s="79">
        <f t="array" ref="M361">max(min(IF(J361+K361=11,0,XLOOKUP(B361,Quotas!$A$8:$A$14,Quotas!$E$8:$E$14)-$L361),2),0)</f>
        <v>0</v>
      </c>
      <c r="N361" s="31">
        <f t="shared" si="3"/>
        <v>0</v>
      </c>
    </row>
    <row r="362">
      <c r="A362" s="31" t="s">
        <v>399</v>
      </c>
      <c r="B362" s="9">
        <v>2.0</v>
      </c>
      <c r="C362" s="31" t="str">
        <f>VLOOKUP(A362, 'College List'!A:B, 2, FALSE)</f>
        <v>Quandrix</v>
      </c>
      <c r="D362" s="355">
        <f>VLOOKUP(B362,Quotas!$A$8:$C$14,2,FALSE)</f>
        <v>46143.70833</v>
      </c>
      <c r="E362" s="356">
        <f>VLOOKUP(B362,Quotas!$A$8:$C$14,3,FALSE)</f>
        <v>46150.70833</v>
      </c>
      <c r="F362" s="79">
        <f>COUNTIFS(Matches!$B:$B,A362,Matches!$A:$A,CONCAT("&gt;",$D362),Matches!$A:$A,CONCAT("&lt;",$E362))</f>
        <v>4</v>
      </c>
      <c r="G362" s="79">
        <f>COUNTIFS(Matches!$C:$C,$A362,Matches!$A:$A,CONCAT("&gt;",$D362),Matches!$A:$A,CONCAT("&lt;",$E362))</f>
        <v>0</v>
      </c>
      <c r="H362" s="79">
        <f t="shared" si="1"/>
        <v>4</v>
      </c>
      <c r="I362" s="79">
        <f>COUNTIFS(Matches!$B:$B,$A362,Matches!$A:$A,CONCAT("&lt;",$E362))</f>
        <v>6</v>
      </c>
      <c r="J362" s="79">
        <f>COUNTIFS(Matches!$C:$C,$A362,Matches!$A:$A,CONCAT("&lt;",$E362))</f>
        <v>3</v>
      </c>
      <c r="K362" s="79">
        <f>COUNTIFS(Entropy!D:D,A362,Entropy!I:I,CONCAT("&lt;",E362-1))</f>
        <v>0</v>
      </c>
      <c r="L362" s="79">
        <f t="shared" si="2"/>
        <v>9</v>
      </c>
      <c r="M362" s="79">
        <f t="array" ref="M362">max(min(IF(J362+K362=11,0,XLOOKUP(B362,Quotas!$A$8:$A$14,Quotas!$E$8:$E$14)-$L362),2),0)</f>
        <v>1</v>
      </c>
      <c r="N362" s="31">
        <f t="shared" si="3"/>
        <v>0.5</v>
      </c>
    </row>
    <row r="363">
      <c r="A363" s="31" t="s">
        <v>373</v>
      </c>
      <c r="B363" s="9">
        <v>2.0</v>
      </c>
      <c r="C363" s="31" t="str">
        <f>VLOOKUP(A363, 'College List'!A:B, 2, FALSE)</f>
        <v>Quandrix</v>
      </c>
      <c r="D363" s="355">
        <f>VLOOKUP(B363,Quotas!$A$8:$C$14,2,FALSE)</f>
        <v>46143.70833</v>
      </c>
      <c r="E363" s="356">
        <f>VLOOKUP(B363,Quotas!$A$8:$C$14,3,FALSE)</f>
        <v>46150.70833</v>
      </c>
      <c r="F363" s="79">
        <f>COUNTIFS(Matches!$B:$B,A363,Matches!$A:$A,CONCAT("&gt;",$D363),Matches!$A:$A,CONCAT("&lt;",$E363))</f>
        <v>5</v>
      </c>
      <c r="G363" s="79">
        <f>COUNTIFS(Matches!$C:$C,$A363,Matches!$A:$A,CONCAT("&gt;",$D363),Matches!$A:$A,CONCAT("&lt;",$E363))</f>
        <v>0</v>
      </c>
      <c r="H363" s="79">
        <f t="shared" si="1"/>
        <v>5</v>
      </c>
      <c r="I363" s="79">
        <f>COUNTIFS(Matches!$B:$B,$A363,Matches!$A:$A,CONCAT("&lt;",$E363))</f>
        <v>8</v>
      </c>
      <c r="J363" s="79">
        <f>COUNTIFS(Matches!$C:$C,$A363,Matches!$A:$A,CONCAT("&lt;",$E363))</f>
        <v>2</v>
      </c>
      <c r="K363" s="79">
        <f>COUNTIFS(Entropy!D:D,A363,Entropy!I:I,CONCAT("&lt;",E363-1))</f>
        <v>0</v>
      </c>
      <c r="L363" s="79">
        <f t="shared" si="2"/>
        <v>10</v>
      </c>
      <c r="M363" s="79">
        <f t="array" ref="M363">max(min(IF(J363+K363=11,0,XLOOKUP(B363,Quotas!$A$8:$A$14,Quotas!$E$8:$E$14)-$L363),2),0)</f>
        <v>0</v>
      </c>
      <c r="N363" s="31">
        <f t="shared" si="3"/>
        <v>0</v>
      </c>
    </row>
    <row r="364">
      <c r="A364" s="31" t="s">
        <v>217</v>
      </c>
      <c r="B364" s="9">
        <v>2.0</v>
      </c>
      <c r="C364" s="31" t="str">
        <f>VLOOKUP(A364, 'College List'!A:B, 2, FALSE)</f>
        <v>Lorehold</v>
      </c>
      <c r="D364" s="355">
        <f>VLOOKUP(B364,Quotas!$A$8:$C$14,2,FALSE)</f>
        <v>46143.70833</v>
      </c>
      <c r="E364" s="356">
        <f>VLOOKUP(B364,Quotas!$A$8:$C$14,3,FALSE)</f>
        <v>46150.70833</v>
      </c>
      <c r="F364" s="79">
        <f>COUNTIFS(Matches!$B:$B,A364,Matches!$A:$A,CONCAT("&gt;",$D364),Matches!$A:$A,CONCAT("&lt;",$E364))</f>
        <v>4</v>
      </c>
      <c r="G364" s="79">
        <f>COUNTIFS(Matches!$C:$C,$A364,Matches!$A:$A,CONCAT("&gt;",$D364),Matches!$A:$A,CONCAT("&lt;",$E364))</f>
        <v>1</v>
      </c>
      <c r="H364" s="79">
        <f t="shared" si="1"/>
        <v>5</v>
      </c>
      <c r="I364" s="79">
        <f>COUNTIFS(Matches!$B:$B,$A364,Matches!$A:$A,CONCAT("&lt;",$E364))</f>
        <v>8</v>
      </c>
      <c r="J364" s="79">
        <f>COUNTIFS(Matches!$C:$C,$A364,Matches!$A:$A,CONCAT("&lt;",$E364))</f>
        <v>2</v>
      </c>
      <c r="K364" s="79">
        <f>COUNTIFS(Entropy!D:D,A364,Entropy!I:I,CONCAT("&lt;",E364-1))</f>
        <v>0</v>
      </c>
      <c r="L364" s="79">
        <f t="shared" si="2"/>
        <v>10</v>
      </c>
      <c r="M364" s="79">
        <f t="array" ref="M364">max(min(IF(J364+K364=11,0,XLOOKUP(B364,Quotas!$A$8:$A$14,Quotas!$E$8:$E$14)-$L364),2),0)</f>
        <v>0</v>
      </c>
      <c r="N364" s="31">
        <f t="shared" si="3"/>
        <v>0</v>
      </c>
    </row>
    <row r="365">
      <c r="A365" s="31" t="s">
        <v>286</v>
      </c>
      <c r="B365" s="9">
        <v>2.0</v>
      </c>
      <c r="C365" s="31" t="str">
        <f>VLOOKUP(A365, 'College List'!A:B, 2, FALSE)</f>
        <v>Silverquill</v>
      </c>
      <c r="D365" s="355">
        <f>VLOOKUP(B365,Quotas!$A$8:$C$14,2,FALSE)</f>
        <v>46143.70833</v>
      </c>
      <c r="E365" s="356">
        <f>VLOOKUP(B365,Quotas!$A$8:$C$14,3,FALSE)</f>
        <v>46150.70833</v>
      </c>
      <c r="F365" s="79">
        <f>COUNTIFS(Matches!$B:$B,A365,Matches!$A:$A,CONCAT("&gt;",$D365),Matches!$A:$A,CONCAT("&lt;",$E365))</f>
        <v>2</v>
      </c>
      <c r="G365" s="79">
        <f>COUNTIFS(Matches!$C:$C,$A365,Matches!$A:$A,CONCAT("&gt;",$D365),Matches!$A:$A,CONCAT("&lt;",$E365))</f>
        <v>2</v>
      </c>
      <c r="H365" s="79">
        <f t="shared" si="1"/>
        <v>4</v>
      </c>
      <c r="I365" s="79">
        <f>COUNTIFS(Matches!$B:$B,$A365,Matches!$A:$A,CONCAT("&lt;",$E365))</f>
        <v>2</v>
      </c>
      <c r="J365" s="79">
        <f>COUNTIFS(Matches!$C:$C,$A365,Matches!$A:$A,CONCAT("&lt;",$E365))</f>
        <v>6</v>
      </c>
      <c r="K365" s="79">
        <f>COUNTIFS(Entropy!D:D,A365,Entropy!I:I,CONCAT("&lt;",E365-1))</f>
        <v>0</v>
      </c>
      <c r="L365" s="79">
        <f t="shared" si="2"/>
        <v>8</v>
      </c>
      <c r="M365" s="79">
        <f t="array" ref="M365">max(min(IF(J365+K365=11,0,XLOOKUP(B365,Quotas!$A$8:$A$14,Quotas!$E$8:$E$14)-$L365),2),0)</f>
        <v>2</v>
      </c>
      <c r="N365" s="31">
        <f t="shared" si="3"/>
        <v>1</v>
      </c>
    </row>
    <row r="366">
      <c r="A366" s="31" t="s">
        <v>336</v>
      </c>
      <c r="B366" s="9">
        <v>2.0</v>
      </c>
      <c r="C366" s="31" t="str">
        <f>VLOOKUP(A366, 'College List'!A:B, 2, FALSE)</f>
        <v>Prismari</v>
      </c>
      <c r="D366" s="355">
        <f>VLOOKUP(B366,Quotas!$A$8:$C$14,2,FALSE)</f>
        <v>46143.70833</v>
      </c>
      <c r="E366" s="356">
        <f>VLOOKUP(B366,Quotas!$A$8:$C$14,3,FALSE)</f>
        <v>46150.70833</v>
      </c>
      <c r="F366" s="79">
        <f>COUNTIFS(Matches!$B:$B,A366,Matches!$A:$A,CONCAT("&gt;",$D366),Matches!$A:$A,CONCAT("&lt;",$E366))</f>
        <v>2</v>
      </c>
      <c r="G366" s="79">
        <f>COUNTIFS(Matches!$C:$C,$A366,Matches!$A:$A,CONCAT("&gt;",$D366),Matches!$A:$A,CONCAT("&lt;",$E366))</f>
        <v>3</v>
      </c>
      <c r="H366" s="79">
        <f t="shared" si="1"/>
        <v>5</v>
      </c>
      <c r="I366" s="79">
        <f>COUNTIFS(Matches!$B:$B,$A366,Matches!$A:$A,CONCAT("&lt;",$E366))</f>
        <v>5</v>
      </c>
      <c r="J366" s="79">
        <f>COUNTIFS(Matches!$C:$C,$A366,Matches!$A:$A,CONCAT("&lt;",$E366))</f>
        <v>5</v>
      </c>
      <c r="K366" s="79">
        <f>COUNTIFS(Entropy!D:D,A366,Entropy!I:I,CONCAT("&lt;",E366-1))</f>
        <v>0</v>
      </c>
      <c r="L366" s="79">
        <f t="shared" si="2"/>
        <v>10</v>
      </c>
      <c r="M366" s="79">
        <f t="array" ref="M366">max(min(IF(J366+K366=11,0,XLOOKUP(B366,Quotas!$A$8:$A$14,Quotas!$E$8:$E$14)-$L366),2),0)</f>
        <v>0</v>
      </c>
      <c r="N366" s="31">
        <f t="shared" si="3"/>
        <v>0</v>
      </c>
    </row>
    <row r="367">
      <c r="A367" s="31" t="s">
        <v>281</v>
      </c>
      <c r="B367" s="9">
        <v>2.0</v>
      </c>
      <c r="C367" s="31" t="str">
        <f>VLOOKUP(A367, 'College List'!A:B, 2, FALSE)</f>
        <v>Witherbloom</v>
      </c>
      <c r="D367" s="355">
        <f>VLOOKUP(B367,Quotas!$A$8:$C$14,2,FALSE)</f>
        <v>46143.70833</v>
      </c>
      <c r="E367" s="356">
        <f>VLOOKUP(B367,Quotas!$A$8:$C$14,3,FALSE)</f>
        <v>46150.70833</v>
      </c>
      <c r="F367" s="79">
        <f>COUNTIFS(Matches!$B:$B,A367,Matches!$A:$A,CONCAT("&gt;",$D367),Matches!$A:$A,CONCAT("&lt;",$E367))</f>
        <v>3</v>
      </c>
      <c r="G367" s="79">
        <f>COUNTIFS(Matches!$C:$C,$A367,Matches!$A:$A,CONCAT("&gt;",$D367),Matches!$A:$A,CONCAT("&lt;",$E367))</f>
        <v>2</v>
      </c>
      <c r="H367" s="79">
        <f t="shared" si="1"/>
        <v>5</v>
      </c>
      <c r="I367" s="79">
        <f>COUNTIFS(Matches!$B:$B,$A367,Matches!$A:$A,CONCAT("&lt;",$E367))</f>
        <v>6</v>
      </c>
      <c r="J367" s="79">
        <f>COUNTIFS(Matches!$C:$C,$A367,Matches!$A:$A,CONCAT("&lt;",$E367))</f>
        <v>4</v>
      </c>
      <c r="K367" s="79">
        <f>COUNTIFS(Entropy!D:D,A367,Entropy!I:I,CONCAT("&lt;",E367-1))</f>
        <v>0</v>
      </c>
      <c r="L367" s="79">
        <f t="shared" si="2"/>
        <v>10</v>
      </c>
      <c r="M367" s="79">
        <f t="array" ref="M367">max(min(IF(J367+K367=11,0,XLOOKUP(B367,Quotas!$A$8:$A$14,Quotas!$E$8:$E$14)-$L367),2),0)</f>
        <v>0</v>
      </c>
      <c r="N367" s="31">
        <f t="shared" si="3"/>
        <v>0</v>
      </c>
    </row>
    <row r="368">
      <c r="A368" s="31" t="s">
        <v>406</v>
      </c>
      <c r="B368" s="9">
        <v>2.0</v>
      </c>
      <c r="C368" s="31" t="str">
        <f>VLOOKUP(A368, 'College List'!A:B, 2, FALSE)</f>
        <v>Lorehold</v>
      </c>
      <c r="D368" s="355">
        <f>VLOOKUP(B368,Quotas!$A$8:$C$14,2,FALSE)</f>
        <v>46143.70833</v>
      </c>
      <c r="E368" s="356">
        <f>VLOOKUP(B368,Quotas!$A$8:$C$14,3,FALSE)</f>
        <v>46150.70833</v>
      </c>
      <c r="F368" s="79">
        <f>COUNTIFS(Matches!$B:$B,A368,Matches!$A:$A,CONCAT("&gt;",$D368),Matches!$A:$A,CONCAT("&lt;",$E368))</f>
        <v>1</v>
      </c>
      <c r="G368" s="79">
        <f>COUNTIFS(Matches!$C:$C,$A368,Matches!$A:$A,CONCAT("&gt;",$D368),Matches!$A:$A,CONCAT("&lt;",$E368))</f>
        <v>2</v>
      </c>
      <c r="H368" s="79">
        <f t="shared" si="1"/>
        <v>3</v>
      </c>
      <c r="I368" s="79">
        <f>COUNTIFS(Matches!$B:$B,$A368,Matches!$A:$A,CONCAT("&lt;",$E368))</f>
        <v>1</v>
      </c>
      <c r="J368" s="79">
        <f>COUNTIFS(Matches!$C:$C,$A368,Matches!$A:$A,CONCAT("&lt;",$E368))</f>
        <v>7</v>
      </c>
      <c r="K368" s="79">
        <f>COUNTIFS(Entropy!D:D,A368,Entropy!I:I,CONCAT("&lt;",E368-1))</f>
        <v>0</v>
      </c>
      <c r="L368" s="79">
        <f t="shared" si="2"/>
        <v>8</v>
      </c>
      <c r="M368" s="79">
        <f t="array" ref="M368">max(min(IF(J368+K368=11,0,XLOOKUP(B368,Quotas!$A$8:$A$14,Quotas!$E$8:$E$14)-$L368),2),0)</f>
        <v>2</v>
      </c>
      <c r="N368" s="31">
        <f t="shared" si="3"/>
        <v>1</v>
      </c>
    </row>
    <row r="369">
      <c r="A369" s="31" t="s">
        <v>18</v>
      </c>
      <c r="B369" s="9">
        <v>2.0</v>
      </c>
      <c r="C369" s="31" t="str">
        <f>VLOOKUP(A369, 'College List'!A:B, 2, FALSE)</f>
        <v>Lorehold</v>
      </c>
      <c r="D369" s="355">
        <f>VLOOKUP(B369,Quotas!$A$8:$C$14,2,FALSE)</f>
        <v>46143.70833</v>
      </c>
      <c r="E369" s="356">
        <f>VLOOKUP(B369,Quotas!$A$8:$C$14,3,FALSE)</f>
        <v>46150.70833</v>
      </c>
      <c r="F369" s="79">
        <f>COUNTIFS(Matches!$B:$B,A369,Matches!$A:$A,CONCAT("&gt;",$D369),Matches!$A:$A,CONCAT("&lt;",$E369))</f>
        <v>3</v>
      </c>
      <c r="G369" s="79">
        <f>COUNTIFS(Matches!$C:$C,$A369,Matches!$A:$A,CONCAT("&gt;",$D369),Matches!$A:$A,CONCAT("&lt;",$E369))</f>
        <v>2</v>
      </c>
      <c r="H369" s="79">
        <f t="shared" si="1"/>
        <v>5</v>
      </c>
      <c r="I369" s="79">
        <f>COUNTIFS(Matches!$B:$B,$A369,Matches!$A:$A,CONCAT("&lt;",$E369))</f>
        <v>6</v>
      </c>
      <c r="J369" s="79">
        <f>COUNTIFS(Matches!$C:$C,$A369,Matches!$A:$A,CONCAT("&lt;",$E369))</f>
        <v>4</v>
      </c>
      <c r="K369" s="79">
        <f>COUNTIFS(Entropy!D:D,A369,Entropy!I:I,CONCAT("&lt;",E369-1))</f>
        <v>0</v>
      </c>
      <c r="L369" s="79">
        <f t="shared" si="2"/>
        <v>10</v>
      </c>
      <c r="M369" s="79">
        <f t="array" ref="M369">max(min(IF(J369+K369=11,0,XLOOKUP(B369,Quotas!$A$8:$A$14,Quotas!$E$8:$E$14)-$L369),2),0)</f>
        <v>0</v>
      </c>
      <c r="N369" s="31">
        <f t="shared" si="3"/>
        <v>0</v>
      </c>
    </row>
    <row r="370">
      <c r="A370" s="31" t="s">
        <v>278</v>
      </c>
      <c r="B370" s="9">
        <v>2.0</v>
      </c>
      <c r="C370" s="31" t="str">
        <f>VLOOKUP(A370, 'College List'!A:B, 2, FALSE)</f>
        <v>Lorehold</v>
      </c>
      <c r="D370" s="355">
        <f>VLOOKUP(B370,Quotas!$A$8:$C$14,2,FALSE)</f>
        <v>46143.70833</v>
      </c>
      <c r="E370" s="356">
        <f>VLOOKUP(B370,Quotas!$A$8:$C$14,3,FALSE)</f>
        <v>46150.70833</v>
      </c>
      <c r="F370" s="79">
        <f>COUNTIFS(Matches!$B:$B,A370,Matches!$A:$A,CONCAT("&gt;",$D370),Matches!$A:$A,CONCAT("&lt;",$E370))</f>
        <v>2</v>
      </c>
      <c r="G370" s="79">
        <f>COUNTIFS(Matches!$C:$C,$A370,Matches!$A:$A,CONCAT("&gt;",$D370),Matches!$A:$A,CONCAT("&lt;",$E370))</f>
        <v>3</v>
      </c>
      <c r="H370" s="79">
        <f t="shared" si="1"/>
        <v>5</v>
      </c>
      <c r="I370" s="79">
        <f>COUNTIFS(Matches!$B:$B,$A370,Matches!$A:$A,CONCAT("&lt;",$E370))</f>
        <v>2</v>
      </c>
      <c r="J370" s="79">
        <f>COUNTIFS(Matches!$C:$C,$A370,Matches!$A:$A,CONCAT("&lt;",$E370))</f>
        <v>8</v>
      </c>
      <c r="K370" s="79">
        <f>COUNTIFS(Entropy!D:D,A370,Entropy!I:I,CONCAT("&lt;",E370-1))</f>
        <v>0</v>
      </c>
      <c r="L370" s="79">
        <f t="shared" si="2"/>
        <v>10</v>
      </c>
      <c r="M370" s="79">
        <f t="array" ref="M370">max(min(IF(J370+K370=11,0,XLOOKUP(B370,Quotas!$A$8:$A$14,Quotas!$E$8:$E$14)-$L370),2),0)</f>
        <v>0</v>
      </c>
      <c r="N370" s="31">
        <f t="shared" si="3"/>
        <v>0</v>
      </c>
    </row>
    <row r="371">
      <c r="A371" s="31" t="s">
        <v>293</v>
      </c>
      <c r="B371" s="9">
        <v>2.0</v>
      </c>
      <c r="C371" s="31" t="str">
        <f>VLOOKUP(A371, 'College List'!A:B, 2, FALSE)</f>
        <v>Prismari</v>
      </c>
      <c r="D371" s="355">
        <f>VLOOKUP(B371,Quotas!$A$8:$C$14,2,FALSE)</f>
        <v>46143.70833</v>
      </c>
      <c r="E371" s="356">
        <f>VLOOKUP(B371,Quotas!$A$8:$C$14,3,FALSE)</f>
        <v>46150.70833</v>
      </c>
      <c r="F371" s="79">
        <f>COUNTIFS(Matches!$B:$B,A371,Matches!$A:$A,CONCAT("&gt;",$D371),Matches!$A:$A,CONCAT("&lt;",$E371))</f>
        <v>0</v>
      </c>
      <c r="G371" s="79">
        <f>COUNTIFS(Matches!$C:$C,$A371,Matches!$A:$A,CONCAT("&gt;",$D371),Matches!$A:$A,CONCAT("&lt;",$E371))</f>
        <v>1</v>
      </c>
      <c r="H371" s="79">
        <f t="shared" si="1"/>
        <v>1</v>
      </c>
      <c r="I371" s="79">
        <f>COUNTIFS(Matches!$B:$B,$A371,Matches!$A:$A,CONCAT("&lt;",$E371))</f>
        <v>2</v>
      </c>
      <c r="J371" s="79">
        <f>COUNTIFS(Matches!$C:$C,$A371,Matches!$A:$A,CONCAT("&lt;",$E371))</f>
        <v>4</v>
      </c>
      <c r="K371" s="79">
        <f>COUNTIFS(Entropy!D:D,A371,Entropy!I:I,CONCAT("&lt;",E371-1))</f>
        <v>0</v>
      </c>
      <c r="L371" s="79">
        <f t="shared" si="2"/>
        <v>6</v>
      </c>
      <c r="M371" s="79">
        <f t="array" ref="M371">max(min(IF(J371+K371=11,0,XLOOKUP(B371,Quotas!$A$8:$A$14,Quotas!$E$8:$E$14)-$L371),2),0)</f>
        <v>2</v>
      </c>
      <c r="N371" s="31">
        <f t="shared" si="3"/>
        <v>1</v>
      </c>
    </row>
    <row r="372">
      <c r="A372" s="31" t="s">
        <v>93</v>
      </c>
      <c r="B372" s="9">
        <v>2.0</v>
      </c>
      <c r="C372" s="31" t="str">
        <f>VLOOKUP(A372, 'College List'!A:B, 2, FALSE)</f>
        <v>Silverquill</v>
      </c>
      <c r="D372" s="355">
        <f>VLOOKUP(B372,Quotas!$A$8:$C$14,2,FALSE)</f>
        <v>46143.70833</v>
      </c>
      <c r="E372" s="356">
        <f>VLOOKUP(B372,Quotas!$A$8:$C$14,3,FALSE)</f>
        <v>46150.70833</v>
      </c>
      <c r="F372" s="79">
        <f>COUNTIFS(Matches!$B:$B,A372,Matches!$A:$A,CONCAT("&gt;",$D372),Matches!$A:$A,CONCAT("&lt;",$E372))</f>
        <v>1</v>
      </c>
      <c r="G372" s="79">
        <f>COUNTIFS(Matches!$C:$C,$A372,Matches!$A:$A,CONCAT("&gt;",$D372),Matches!$A:$A,CONCAT("&lt;",$E372))</f>
        <v>2</v>
      </c>
      <c r="H372" s="79">
        <f t="shared" si="1"/>
        <v>3</v>
      </c>
      <c r="I372" s="79">
        <f>COUNTIFS(Matches!$B:$B,$A372,Matches!$A:$A,CONCAT("&lt;",$E372))</f>
        <v>3</v>
      </c>
      <c r="J372" s="79">
        <f>COUNTIFS(Matches!$C:$C,$A372,Matches!$A:$A,CONCAT("&lt;",$E372))</f>
        <v>5</v>
      </c>
      <c r="K372" s="79">
        <f>COUNTIFS(Entropy!D:D,A372,Entropy!I:I,CONCAT("&lt;",E372-1))</f>
        <v>0</v>
      </c>
      <c r="L372" s="79">
        <f t="shared" si="2"/>
        <v>8</v>
      </c>
      <c r="M372" s="79">
        <f t="array" ref="M372">max(min(IF(J372+K372=11,0,XLOOKUP(B372,Quotas!$A$8:$A$14,Quotas!$E$8:$E$14)-$L372),2),0)</f>
        <v>2</v>
      </c>
      <c r="N372" s="31">
        <f t="shared" si="3"/>
        <v>1</v>
      </c>
    </row>
    <row r="373">
      <c r="A373" s="31" t="s">
        <v>263</v>
      </c>
      <c r="B373" s="9">
        <v>2.0</v>
      </c>
      <c r="C373" s="31" t="str">
        <f>VLOOKUP(A373, 'College List'!A:B, 2, FALSE)</f>
        <v>Prismari</v>
      </c>
      <c r="D373" s="355">
        <f>VLOOKUP(B373,Quotas!$A$8:$C$14,2,FALSE)</f>
        <v>46143.70833</v>
      </c>
      <c r="E373" s="356">
        <f>VLOOKUP(B373,Quotas!$A$8:$C$14,3,FALSE)</f>
        <v>46150.70833</v>
      </c>
      <c r="F373" s="79">
        <f>COUNTIFS(Matches!$B:$B,A373,Matches!$A:$A,CONCAT("&gt;",$D373),Matches!$A:$A,CONCAT("&lt;",$E373))</f>
        <v>4</v>
      </c>
      <c r="G373" s="79">
        <f>COUNTIFS(Matches!$C:$C,$A373,Matches!$A:$A,CONCAT("&gt;",$D373),Matches!$A:$A,CONCAT("&lt;",$E373))</f>
        <v>1</v>
      </c>
      <c r="H373" s="79">
        <f t="shared" si="1"/>
        <v>5</v>
      </c>
      <c r="I373" s="79">
        <f>COUNTIFS(Matches!$B:$B,$A373,Matches!$A:$A,CONCAT("&lt;",$E373))</f>
        <v>9</v>
      </c>
      <c r="J373" s="79">
        <f>COUNTIFS(Matches!$C:$C,$A373,Matches!$A:$A,CONCAT("&lt;",$E373))</f>
        <v>1</v>
      </c>
      <c r="K373" s="79">
        <f>COUNTIFS(Entropy!D:D,A373,Entropy!I:I,CONCAT("&lt;",E373-1))</f>
        <v>0</v>
      </c>
      <c r="L373" s="79">
        <f t="shared" si="2"/>
        <v>10</v>
      </c>
      <c r="M373" s="79">
        <f t="array" ref="M373">max(min(IF(J373+K373=11,0,XLOOKUP(B373,Quotas!$A$8:$A$14,Quotas!$E$8:$E$14)-$L373),2),0)</f>
        <v>0</v>
      </c>
      <c r="N373" s="31">
        <f t="shared" si="3"/>
        <v>0</v>
      </c>
    </row>
    <row r="374">
      <c r="A374" s="31" t="s">
        <v>359</v>
      </c>
      <c r="B374" s="9">
        <v>2.0</v>
      </c>
      <c r="C374" s="31" t="str">
        <f>VLOOKUP(A374, 'College List'!A:B, 2, FALSE)</f>
        <v>Quandrix</v>
      </c>
      <c r="D374" s="355">
        <f>VLOOKUP(B374,Quotas!$A$8:$C$14,2,FALSE)</f>
        <v>46143.70833</v>
      </c>
      <c r="E374" s="356">
        <f>VLOOKUP(B374,Quotas!$A$8:$C$14,3,FALSE)</f>
        <v>46150.70833</v>
      </c>
      <c r="F374" s="79">
        <f>COUNTIFS(Matches!$B:$B,A374,Matches!$A:$A,CONCAT("&gt;",$D374),Matches!$A:$A,CONCAT("&lt;",$E374))</f>
        <v>1</v>
      </c>
      <c r="G374" s="79">
        <f>COUNTIFS(Matches!$C:$C,$A374,Matches!$A:$A,CONCAT("&gt;",$D374),Matches!$A:$A,CONCAT("&lt;",$E374))</f>
        <v>4</v>
      </c>
      <c r="H374" s="79">
        <f t="shared" si="1"/>
        <v>5</v>
      </c>
      <c r="I374" s="79">
        <f>COUNTIFS(Matches!$B:$B,$A374,Matches!$A:$A,CONCAT("&lt;",$E374))</f>
        <v>3</v>
      </c>
      <c r="J374" s="79">
        <f>COUNTIFS(Matches!$C:$C,$A374,Matches!$A:$A,CONCAT("&lt;",$E374))</f>
        <v>7</v>
      </c>
      <c r="K374" s="79">
        <f>COUNTIFS(Entropy!D:D,A374,Entropy!I:I,CONCAT("&lt;",E374-1))</f>
        <v>0</v>
      </c>
      <c r="L374" s="79">
        <f t="shared" si="2"/>
        <v>10</v>
      </c>
      <c r="M374" s="79">
        <f t="array" ref="M374">max(min(IF(J374+K374=11,0,XLOOKUP(B374,Quotas!$A$8:$A$14,Quotas!$E$8:$E$14)-$L374),2),0)</f>
        <v>0</v>
      </c>
      <c r="N374" s="31">
        <f t="shared" si="3"/>
        <v>0</v>
      </c>
    </row>
    <row r="375">
      <c r="A375" s="31" t="s">
        <v>134</v>
      </c>
      <c r="B375" s="9">
        <v>2.0</v>
      </c>
      <c r="C375" s="31" t="str">
        <f>VLOOKUP(A375, 'College List'!A:B, 2, FALSE)</f>
        <v>Witherbloom</v>
      </c>
      <c r="D375" s="355">
        <f>VLOOKUP(B375,Quotas!$A$8:$C$14,2,FALSE)</f>
        <v>46143.70833</v>
      </c>
      <c r="E375" s="356">
        <f>VLOOKUP(B375,Quotas!$A$8:$C$14,3,FALSE)</f>
        <v>46150.70833</v>
      </c>
      <c r="F375" s="79">
        <f>COUNTIFS(Matches!$B:$B,A375,Matches!$A:$A,CONCAT("&gt;",$D375),Matches!$A:$A,CONCAT("&lt;",$E375))</f>
        <v>0</v>
      </c>
      <c r="G375" s="79">
        <f>COUNTIFS(Matches!$C:$C,$A375,Matches!$A:$A,CONCAT("&gt;",$D375),Matches!$A:$A,CONCAT("&lt;",$E375))</f>
        <v>5</v>
      </c>
      <c r="H375" s="79">
        <f t="shared" si="1"/>
        <v>5</v>
      </c>
      <c r="I375" s="79">
        <f>COUNTIFS(Matches!$B:$B,$A375,Matches!$A:$A,CONCAT("&lt;",$E375))</f>
        <v>3</v>
      </c>
      <c r="J375" s="79">
        <f>COUNTIFS(Matches!$C:$C,$A375,Matches!$A:$A,CONCAT("&lt;",$E375))</f>
        <v>7</v>
      </c>
      <c r="K375" s="79">
        <f>COUNTIFS(Entropy!D:D,A375,Entropy!I:I,CONCAT("&lt;",E375-1))</f>
        <v>0</v>
      </c>
      <c r="L375" s="79">
        <f t="shared" si="2"/>
        <v>10</v>
      </c>
      <c r="M375" s="79">
        <f t="array" ref="M375">max(min(IF(J375+K375=11,0,XLOOKUP(B375,Quotas!$A$8:$A$14,Quotas!$E$8:$E$14)-$L375),2),0)</f>
        <v>0</v>
      </c>
      <c r="N375" s="31">
        <f t="shared" si="3"/>
        <v>0</v>
      </c>
    </row>
    <row r="376">
      <c r="A376" s="31" t="s">
        <v>301</v>
      </c>
      <c r="B376" s="9">
        <v>2.0</v>
      </c>
      <c r="C376" s="31" t="str">
        <f>VLOOKUP(A376, 'College List'!A:B, 2, FALSE)</f>
        <v>Lorehold</v>
      </c>
      <c r="D376" s="355">
        <f>VLOOKUP(B376,Quotas!$A$8:$C$14,2,FALSE)</f>
        <v>46143.70833</v>
      </c>
      <c r="E376" s="356">
        <f>VLOOKUP(B376,Quotas!$A$8:$C$14,3,FALSE)</f>
        <v>46150.70833</v>
      </c>
      <c r="F376" s="79">
        <f>COUNTIFS(Matches!$B:$B,A376,Matches!$A:$A,CONCAT("&gt;",$D376),Matches!$A:$A,CONCAT("&lt;",$E376))</f>
        <v>3</v>
      </c>
      <c r="G376" s="79">
        <f>COUNTIFS(Matches!$C:$C,$A376,Matches!$A:$A,CONCAT("&gt;",$D376),Matches!$A:$A,CONCAT("&lt;",$E376))</f>
        <v>3</v>
      </c>
      <c r="H376" s="79">
        <f t="shared" si="1"/>
        <v>6</v>
      </c>
      <c r="I376" s="79">
        <f>COUNTIFS(Matches!$B:$B,$A376,Matches!$A:$A,CONCAT("&lt;",$E376))</f>
        <v>3</v>
      </c>
      <c r="J376" s="79">
        <f>COUNTIFS(Matches!$C:$C,$A376,Matches!$A:$A,CONCAT("&lt;",$E376))</f>
        <v>7</v>
      </c>
      <c r="K376" s="79">
        <f>COUNTIFS(Entropy!D:D,A376,Entropy!I:I,CONCAT("&lt;",E376-1))</f>
        <v>0</v>
      </c>
      <c r="L376" s="79">
        <f t="shared" si="2"/>
        <v>10</v>
      </c>
      <c r="M376" s="79">
        <f t="array" ref="M376">max(min(IF(J376+K376=11,0,XLOOKUP(B376,Quotas!$A$8:$A$14,Quotas!$E$8:$E$14)-$L376),2),0)</f>
        <v>0</v>
      </c>
      <c r="N376" s="31">
        <f t="shared" si="3"/>
        <v>0</v>
      </c>
    </row>
    <row r="377">
      <c r="A377" s="31" t="s">
        <v>355</v>
      </c>
      <c r="B377" s="9">
        <v>2.0</v>
      </c>
      <c r="C377" s="31" t="str">
        <f>VLOOKUP(A377, 'College List'!A:B, 2, FALSE)</f>
        <v>Prismari</v>
      </c>
      <c r="D377" s="355">
        <f>VLOOKUP(B377,Quotas!$A$8:$C$14,2,FALSE)</f>
        <v>46143.70833</v>
      </c>
      <c r="E377" s="356">
        <f>VLOOKUP(B377,Quotas!$A$8:$C$14,3,FALSE)</f>
        <v>46150.70833</v>
      </c>
      <c r="F377" s="79">
        <f>COUNTIFS(Matches!$B:$B,A377,Matches!$A:$A,CONCAT("&gt;",$D377),Matches!$A:$A,CONCAT("&lt;",$E377))</f>
        <v>2</v>
      </c>
      <c r="G377" s="79">
        <f>COUNTIFS(Matches!$C:$C,$A377,Matches!$A:$A,CONCAT("&gt;",$D377),Matches!$A:$A,CONCAT("&lt;",$E377))</f>
        <v>2</v>
      </c>
      <c r="H377" s="79">
        <f t="shared" si="1"/>
        <v>4</v>
      </c>
      <c r="I377" s="79">
        <f>COUNTIFS(Matches!$B:$B,$A377,Matches!$A:$A,CONCAT("&lt;",$E377))</f>
        <v>3</v>
      </c>
      <c r="J377" s="79">
        <f>COUNTIFS(Matches!$C:$C,$A377,Matches!$A:$A,CONCAT("&lt;",$E377))</f>
        <v>6</v>
      </c>
      <c r="K377" s="79">
        <f>COUNTIFS(Entropy!D:D,A377,Entropy!I:I,CONCAT("&lt;",E377-1))</f>
        <v>0</v>
      </c>
      <c r="L377" s="79">
        <f t="shared" si="2"/>
        <v>9</v>
      </c>
      <c r="M377" s="79">
        <f t="array" ref="M377">max(min(IF(J377+K377=11,0,XLOOKUP(B377,Quotas!$A$8:$A$14,Quotas!$E$8:$E$14)-$L377),2),0)</f>
        <v>1</v>
      </c>
      <c r="N377" s="31">
        <f t="shared" si="3"/>
        <v>0.5</v>
      </c>
    </row>
    <row r="378">
      <c r="A378" s="31" t="s">
        <v>277</v>
      </c>
      <c r="B378" s="9">
        <v>2.0</v>
      </c>
      <c r="C378" s="31" t="str">
        <f>VLOOKUP(A378, 'College List'!A:B, 2, FALSE)</f>
        <v>Witherbloom</v>
      </c>
      <c r="D378" s="355">
        <f>VLOOKUP(B378,Quotas!$A$8:$C$14,2,FALSE)</f>
        <v>46143.70833</v>
      </c>
      <c r="E378" s="356">
        <f>VLOOKUP(B378,Quotas!$A$8:$C$14,3,FALSE)</f>
        <v>46150.70833</v>
      </c>
      <c r="F378" s="79">
        <f>COUNTIFS(Matches!$B:$B,A378,Matches!$A:$A,CONCAT("&gt;",$D378),Matches!$A:$A,CONCAT("&lt;",$E378))</f>
        <v>4</v>
      </c>
      <c r="G378" s="79">
        <f>COUNTIFS(Matches!$C:$C,$A378,Matches!$A:$A,CONCAT("&gt;",$D378),Matches!$A:$A,CONCAT("&lt;",$E378))</f>
        <v>2</v>
      </c>
      <c r="H378" s="79">
        <f t="shared" si="1"/>
        <v>6</v>
      </c>
      <c r="I378" s="79">
        <f>COUNTIFS(Matches!$B:$B,$A378,Matches!$A:$A,CONCAT("&lt;",$E378))</f>
        <v>4</v>
      </c>
      <c r="J378" s="79">
        <f>COUNTIFS(Matches!$C:$C,$A378,Matches!$A:$A,CONCAT("&lt;",$E378))</f>
        <v>6</v>
      </c>
      <c r="K378" s="79">
        <f>COUNTIFS(Entropy!D:D,A378,Entropy!I:I,CONCAT("&lt;",E378-1))</f>
        <v>0</v>
      </c>
      <c r="L378" s="79">
        <f t="shared" si="2"/>
        <v>10</v>
      </c>
      <c r="M378" s="79">
        <f t="array" ref="M378">max(min(IF(J378+K378=11,0,XLOOKUP(B378,Quotas!$A$8:$A$14,Quotas!$E$8:$E$14)-$L378),2),0)</f>
        <v>0</v>
      </c>
      <c r="N378" s="31">
        <f t="shared" si="3"/>
        <v>0</v>
      </c>
    </row>
    <row r="379">
      <c r="A379" s="31" t="s">
        <v>248</v>
      </c>
      <c r="B379" s="9">
        <v>2.0</v>
      </c>
      <c r="C379" s="31" t="str">
        <f>VLOOKUP(A379, 'College List'!A:B, 2, FALSE)</f>
        <v>Prismari</v>
      </c>
      <c r="D379" s="355">
        <f>VLOOKUP(B379,Quotas!$A$8:$C$14,2,FALSE)</f>
        <v>46143.70833</v>
      </c>
      <c r="E379" s="356">
        <f>VLOOKUP(B379,Quotas!$A$8:$C$14,3,FALSE)</f>
        <v>46150.70833</v>
      </c>
      <c r="F379" s="79">
        <f>COUNTIFS(Matches!$B:$B,A379,Matches!$A:$A,CONCAT("&gt;",$D379),Matches!$A:$A,CONCAT("&lt;",$E379))</f>
        <v>0</v>
      </c>
      <c r="G379" s="79">
        <f>COUNTIFS(Matches!$C:$C,$A379,Matches!$A:$A,CONCAT("&gt;",$D379),Matches!$A:$A,CONCAT("&lt;",$E379))</f>
        <v>2</v>
      </c>
      <c r="H379" s="79">
        <f t="shared" si="1"/>
        <v>2</v>
      </c>
      <c r="I379" s="79">
        <f>COUNTIFS(Matches!$B:$B,$A379,Matches!$A:$A,CONCAT("&lt;",$E379))</f>
        <v>1</v>
      </c>
      <c r="J379" s="79">
        <f>COUNTIFS(Matches!$C:$C,$A379,Matches!$A:$A,CONCAT("&lt;",$E379))</f>
        <v>6</v>
      </c>
      <c r="K379" s="79">
        <f>COUNTIFS(Entropy!D:D,A379,Entropy!I:I,CONCAT("&lt;",E379-1))</f>
        <v>0</v>
      </c>
      <c r="L379" s="79">
        <f t="shared" si="2"/>
        <v>7</v>
      </c>
      <c r="M379" s="79">
        <f t="array" ref="M379">max(min(IF(J379+K379=11,0,XLOOKUP(B379,Quotas!$A$8:$A$14,Quotas!$E$8:$E$14)-$L379),2),0)</f>
        <v>2</v>
      </c>
      <c r="N379" s="31">
        <f t="shared" si="3"/>
        <v>1</v>
      </c>
    </row>
    <row r="380">
      <c r="A380" s="31" t="s">
        <v>79</v>
      </c>
      <c r="B380" s="9">
        <v>2.0</v>
      </c>
      <c r="C380" s="31" t="str">
        <f>VLOOKUP(A380, 'College List'!A:B, 2, FALSE)</f>
        <v>Prismari</v>
      </c>
      <c r="D380" s="355">
        <f>VLOOKUP(B380,Quotas!$A$8:$C$14,2,FALSE)</f>
        <v>46143.70833</v>
      </c>
      <c r="E380" s="356">
        <f>VLOOKUP(B380,Quotas!$A$8:$C$14,3,FALSE)</f>
        <v>46150.70833</v>
      </c>
      <c r="F380" s="79">
        <f>COUNTIFS(Matches!$B:$B,A380,Matches!$A:$A,CONCAT("&gt;",$D380),Matches!$A:$A,CONCAT("&lt;",$E380))</f>
        <v>4</v>
      </c>
      <c r="G380" s="79">
        <f>COUNTIFS(Matches!$C:$C,$A380,Matches!$A:$A,CONCAT("&gt;",$D380),Matches!$A:$A,CONCAT("&lt;",$E380))</f>
        <v>1</v>
      </c>
      <c r="H380" s="79">
        <f t="shared" si="1"/>
        <v>5</v>
      </c>
      <c r="I380" s="79">
        <f>COUNTIFS(Matches!$B:$B,$A380,Matches!$A:$A,CONCAT("&lt;",$E380))</f>
        <v>8</v>
      </c>
      <c r="J380" s="79">
        <f>COUNTIFS(Matches!$C:$C,$A380,Matches!$A:$A,CONCAT("&lt;",$E380))</f>
        <v>2</v>
      </c>
      <c r="K380" s="79">
        <f>COUNTIFS(Entropy!D:D,A380,Entropy!I:I,CONCAT("&lt;",E380-1))</f>
        <v>0</v>
      </c>
      <c r="L380" s="79">
        <f t="shared" si="2"/>
        <v>10</v>
      </c>
      <c r="M380" s="79">
        <f t="array" ref="M380">max(min(IF(J380+K380=11,0,XLOOKUP(B380,Quotas!$A$8:$A$14,Quotas!$E$8:$E$14)-$L380),2),0)</f>
        <v>0</v>
      </c>
      <c r="N380" s="31">
        <f t="shared" si="3"/>
        <v>0</v>
      </c>
    </row>
    <row r="381">
      <c r="A381" s="31" t="s">
        <v>342</v>
      </c>
      <c r="B381" s="9">
        <v>2.0</v>
      </c>
      <c r="C381" s="31" t="str">
        <f>VLOOKUP(A381, 'College List'!A:B, 2, FALSE)</f>
        <v>Witherbloom</v>
      </c>
      <c r="D381" s="355">
        <f>VLOOKUP(B381,Quotas!$A$8:$C$14,2,FALSE)</f>
        <v>46143.70833</v>
      </c>
      <c r="E381" s="356">
        <f>VLOOKUP(B381,Quotas!$A$8:$C$14,3,FALSE)</f>
        <v>46150.70833</v>
      </c>
      <c r="F381" s="79">
        <f>COUNTIFS(Matches!$B:$B,A381,Matches!$A:$A,CONCAT("&gt;",$D381),Matches!$A:$A,CONCAT("&lt;",$E381))</f>
        <v>5</v>
      </c>
      <c r="G381" s="79">
        <f>COUNTIFS(Matches!$C:$C,$A381,Matches!$A:$A,CONCAT("&gt;",$D381),Matches!$A:$A,CONCAT("&lt;",$E381))</f>
        <v>0</v>
      </c>
      <c r="H381" s="79">
        <f t="shared" si="1"/>
        <v>5</v>
      </c>
      <c r="I381" s="79">
        <f>COUNTIFS(Matches!$B:$B,$A381,Matches!$A:$A,CONCAT("&lt;",$E381))</f>
        <v>8</v>
      </c>
      <c r="J381" s="79">
        <f>COUNTIFS(Matches!$C:$C,$A381,Matches!$A:$A,CONCAT("&lt;",$E381))</f>
        <v>2</v>
      </c>
      <c r="K381" s="79">
        <f>COUNTIFS(Entropy!D:D,A381,Entropy!I:I,CONCAT("&lt;",E381-1))</f>
        <v>0</v>
      </c>
      <c r="L381" s="79">
        <f t="shared" si="2"/>
        <v>10</v>
      </c>
      <c r="M381" s="79">
        <f t="array" ref="M381">max(min(IF(J381+K381=11,0,XLOOKUP(B381,Quotas!$A$8:$A$14,Quotas!$E$8:$E$14)-$L381),2),0)</f>
        <v>0</v>
      </c>
      <c r="N381" s="31">
        <f t="shared" si="3"/>
        <v>0</v>
      </c>
    </row>
    <row r="382">
      <c r="A382" s="31" t="s">
        <v>162</v>
      </c>
      <c r="B382" s="9">
        <v>2.0</v>
      </c>
      <c r="C382" s="31" t="str">
        <f>VLOOKUP(A382, 'College List'!A:B, 2, FALSE)</f>
        <v>Lorehold</v>
      </c>
      <c r="D382" s="355">
        <f>VLOOKUP(B382,Quotas!$A$8:$C$14,2,FALSE)</f>
        <v>46143.70833</v>
      </c>
      <c r="E382" s="356">
        <f>VLOOKUP(B382,Quotas!$A$8:$C$14,3,FALSE)</f>
        <v>46150.70833</v>
      </c>
      <c r="F382" s="79">
        <f>COUNTIFS(Matches!$B:$B,A382,Matches!$A:$A,CONCAT("&gt;",$D382),Matches!$A:$A,CONCAT("&lt;",$E382))</f>
        <v>3</v>
      </c>
      <c r="G382" s="79">
        <f>COUNTIFS(Matches!$C:$C,$A382,Matches!$A:$A,CONCAT("&gt;",$D382),Matches!$A:$A,CONCAT("&lt;",$E382))</f>
        <v>2</v>
      </c>
      <c r="H382" s="79">
        <f t="shared" si="1"/>
        <v>5</v>
      </c>
      <c r="I382" s="79">
        <f>COUNTIFS(Matches!$B:$B,$A382,Matches!$A:$A,CONCAT("&lt;",$E382))</f>
        <v>8</v>
      </c>
      <c r="J382" s="79">
        <f>COUNTIFS(Matches!$C:$C,$A382,Matches!$A:$A,CONCAT("&lt;",$E382))</f>
        <v>2</v>
      </c>
      <c r="K382" s="79">
        <f>COUNTIFS(Entropy!D:D,A382,Entropy!I:I,CONCAT("&lt;",E382-1))</f>
        <v>0</v>
      </c>
      <c r="L382" s="79">
        <f t="shared" si="2"/>
        <v>10</v>
      </c>
      <c r="M382" s="79">
        <f t="array" ref="M382">max(min(IF(J382+K382=11,0,XLOOKUP(B382,Quotas!$A$8:$A$14,Quotas!$E$8:$E$14)-$L382),2),0)</f>
        <v>0</v>
      </c>
      <c r="N382" s="31">
        <f t="shared" si="3"/>
        <v>0</v>
      </c>
    </row>
    <row r="383">
      <c r="A383" s="9" t="s">
        <v>242</v>
      </c>
      <c r="B383" s="9">
        <v>2.0</v>
      </c>
      <c r="C383" s="31" t="str">
        <f>VLOOKUP(A383, 'College List'!A:B, 2, FALSE)</f>
        <v>Witherbloom</v>
      </c>
      <c r="D383" s="355">
        <f>VLOOKUP(B383,Quotas!$A$8:$C$14,2,FALSE)</f>
        <v>46143.70833</v>
      </c>
      <c r="E383" s="356">
        <f>VLOOKUP(B383,Quotas!$A$8:$C$14,3,FALSE)</f>
        <v>46150.70833</v>
      </c>
      <c r="F383" s="79">
        <f>COUNTIFS(Matches!$B:$B,A383,Matches!$A:$A,CONCAT("&gt;",$D383),Matches!$A:$A,CONCAT("&lt;",$E383))</f>
        <v>0</v>
      </c>
      <c r="G383" s="79">
        <f>COUNTIFS(Matches!$C:$C,$A383,Matches!$A:$A,CONCAT("&gt;",$D383),Matches!$A:$A,CONCAT("&lt;",$E383))</f>
        <v>2</v>
      </c>
      <c r="H383" s="79">
        <f t="shared" si="1"/>
        <v>2</v>
      </c>
      <c r="I383" s="79">
        <f>COUNTIFS(Matches!$B:$B,$A383,Matches!$A:$A,CONCAT("&lt;",$E383))</f>
        <v>1</v>
      </c>
      <c r="J383" s="79">
        <f>COUNTIFS(Matches!$C:$C,$A383,Matches!$A:$A,CONCAT("&lt;",$E383))</f>
        <v>4</v>
      </c>
      <c r="K383" s="79">
        <f>COUNTIFS(Entropy!D:D,A383,Entropy!I:I,CONCAT("&lt;",E383-1))</f>
        <v>0</v>
      </c>
      <c r="L383" s="79">
        <f t="shared" si="2"/>
        <v>5</v>
      </c>
      <c r="M383" s="79">
        <f t="array" ref="M383">max(min(IF(J383+K383=11,0,XLOOKUP(B383,Quotas!$A$8:$A$14,Quotas!$E$8:$E$14)-$L383),2),0)</f>
        <v>2</v>
      </c>
      <c r="N383" s="31">
        <f t="shared" si="3"/>
        <v>1</v>
      </c>
    </row>
    <row r="384">
      <c r="A384" s="31" t="s">
        <v>303</v>
      </c>
      <c r="B384" s="9">
        <v>2.0</v>
      </c>
      <c r="C384" s="31" t="str">
        <f>VLOOKUP(A384, 'College List'!A:B, 2, FALSE)</f>
        <v>Quandrix</v>
      </c>
      <c r="D384" s="355">
        <f>VLOOKUP(B384,Quotas!$A$8:$C$14,2,FALSE)</f>
        <v>46143.70833</v>
      </c>
      <c r="E384" s="356">
        <f>VLOOKUP(B384,Quotas!$A$8:$C$14,3,FALSE)</f>
        <v>46150.70833</v>
      </c>
      <c r="F384" s="79">
        <f>COUNTIFS(Matches!$B:$B,A384,Matches!$A:$A,CONCAT("&gt;",$D384),Matches!$A:$A,CONCAT("&lt;",$E384))</f>
        <v>1</v>
      </c>
      <c r="G384" s="79">
        <f>COUNTIFS(Matches!$C:$C,$A384,Matches!$A:$A,CONCAT("&gt;",$D384),Matches!$A:$A,CONCAT("&lt;",$E384))</f>
        <v>4</v>
      </c>
      <c r="H384" s="79">
        <f t="shared" si="1"/>
        <v>5</v>
      </c>
      <c r="I384" s="79">
        <f>COUNTIFS(Matches!$B:$B,$A384,Matches!$A:$A,CONCAT("&lt;",$E384))</f>
        <v>3</v>
      </c>
      <c r="J384" s="79">
        <f>COUNTIFS(Matches!$C:$C,$A384,Matches!$A:$A,CONCAT("&lt;",$E384))</f>
        <v>7</v>
      </c>
      <c r="K384" s="79">
        <f>COUNTIFS(Entropy!D:D,A384,Entropy!I:I,CONCAT("&lt;",E384-1))</f>
        <v>0</v>
      </c>
      <c r="L384" s="79">
        <f t="shared" si="2"/>
        <v>10</v>
      </c>
      <c r="M384" s="79">
        <f t="array" ref="M384">max(min(IF(J384+K384=11,0,XLOOKUP(B384,Quotas!$A$8:$A$14,Quotas!$E$8:$E$14)-$L384),2),0)</f>
        <v>0</v>
      </c>
      <c r="N384" s="31">
        <f t="shared" si="3"/>
        <v>0</v>
      </c>
    </row>
    <row r="385">
      <c r="A385" s="31" t="s">
        <v>387</v>
      </c>
      <c r="B385" s="9">
        <v>2.0</v>
      </c>
      <c r="C385" s="31" t="str">
        <f>VLOOKUP(A385, 'College List'!A:B, 2, FALSE)</f>
        <v>Prismari</v>
      </c>
      <c r="D385" s="355">
        <f>VLOOKUP(B385,Quotas!$A$8:$C$14,2,FALSE)</f>
        <v>46143.70833</v>
      </c>
      <c r="E385" s="356">
        <f>VLOOKUP(B385,Quotas!$A$8:$C$14,3,FALSE)</f>
        <v>46150.70833</v>
      </c>
      <c r="F385" s="79">
        <f>COUNTIFS(Matches!$B:$B,A385,Matches!$A:$A,CONCAT("&gt;",$D385),Matches!$A:$A,CONCAT("&lt;",$E385))</f>
        <v>2</v>
      </c>
      <c r="G385" s="79">
        <f>COUNTIFS(Matches!$C:$C,$A385,Matches!$A:$A,CONCAT("&gt;",$D385),Matches!$A:$A,CONCAT("&lt;",$E385))</f>
        <v>3</v>
      </c>
      <c r="H385" s="79">
        <f t="shared" si="1"/>
        <v>5</v>
      </c>
      <c r="I385" s="79">
        <f>COUNTIFS(Matches!$B:$B,$A385,Matches!$A:$A,CONCAT("&lt;",$E385))</f>
        <v>5</v>
      </c>
      <c r="J385" s="79">
        <f>COUNTIFS(Matches!$C:$C,$A385,Matches!$A:$A,CONCAT("&lt;",$E385))</f>
        <v>5</v>
      </c>
      <c r="K385" s="79">
        <f>COUNTIFS(Entropy!D:D,A385,Entropy!I:I,CONCAT("&lt;",E385-1))</f>
        <v>0</v>
      </c>
      <c r="L385" s="79">
        <f t="shared" si="2"/>
        <v>10</v>
      </c>
      <c r="M385" s="79">
        <f t="array" ref="M385">max(min(IF(J385+K385=11,0,XLOOKUP(B385,Quotas!$A$8:$A$14,Quotas!$E$8:$E$14)-$L385),2),0)</f>
        <v>0</v>
      </c>
      <c r="N385" s="31">
        <f t="shared" si="3"/>
        <v>0</v>
      </c>
    </row>
    <row r="386">
      <c r="A386" s="31" t="s">
        <v>143</v>
      </c>
      <c r="B386" s="9">
        <v>2.0</v>
      </c>
      <c r="C386" s="31" t="str">
        <f>VLOOKUP(A386, 'College List'!A:B, 2, FALSE)</f>
        <v>Quandrix</v>
      </c>
      <c r="D386" s="355">
        <f>VLOOKUP(B386,Quotas!$A$8:$C$14,2,FALSE)</f>
        <v>46143.70833</v>
      </c>
      <c r="E386" s="356">
        <f>VLOOKUP(B386,Quotas!$A$8:$C$14,3,FALSE)</f>
        <v>46150.70833</v>
      </c>
      <c r="F386" s="79">
        <f>COUNTIFS(Matches!$B:$B,A386,Matches!$A:$A,CONCAT("&gt;",$D386),Matches!$A:$A,CONCAT("&lt;",$E386))</f>
        <v>3</v>
      </c>
      <c r="G386" s="79">
        <f>COUNTIFS(Matches!$C:$C,$A386,Matches!$A:$A,CONCAT("&gt;",$D386),Matches!$A:$A,CONCAT("&lt;",$E386))</f>
        <v>2</v>
      </c>
      <c r="H386" s="79">
        <f t="shared" si="1"/>
        <v>5</v>
      </c>
      <c r="I386" s="79">
        <f>COUNTIFS(Matches!$B:$B,$A386,Matches!$A:$A,CONCAT("&lt;",$E386))</f>
        <v>7</v>
      </c>
      <c r="J386" s="79">
        <f>COUNTIFS(Matches!$C:$C,$A386,Matches!$A:$A,CONCAT("&lt;",$E386))</f>
        <v>3</v>
      </c>
      <c r="K386" s="79">
        <f>COUNTIFS(Entropy!D:D,A386,Entropy!I:I,CONCAT("&lt;",E386-1))</f>
        <v>0</v>
      </c>
      <c r="L386" s="79">
        <f t="shared" si="2"/>
        <v>10</v>
      </c>
      <c r="M386" s="79">
        <f t="array" ref="M386">max(min(IF(J386+K386=11,0,XLOOKUP(B386,Quotas!$A$8:$A$14,Quotas!$E$8:$E$14)-$L386),2),0)</f>
        <v>0</v>
      </c>
      <c r="N386" s="31">
        <f t="shared" si="3"/>
        <v>0</v>
      </c>
    </row>
    <row r="387">
      <c r="A387" s="31" t="s">
        <v>269</v>
      </c>
      <c r="B387" s="9">
        <v>2.0</v>
      </c>
      <c r="C387" s="31" t="str">
        <f>VLOOKUP(A387, 'College List'!A:B, 2, FALSE)</f>
        <v>Silverquill</v>
      </c>
      <c r="D387" s="355">
        <f>VLOOKUP(B387,Quotas!$A$8:$C$14,2,FALSE)</f>
        <v>46143.70833</v>
      </c>
      <c r="E387" s="356">
        <f>VLOOKUP(B387,Quotas!$A$8:$C$14,3,FALSE)</f>
        <v>46150.70833</v>
      </c>
      <c r="F387" s="79">
        <f>COUNTIFS(Matches!$B:$B,A387,Matches!$A:$A,CONCAT("&gt;",$D387),Matches!$A:$A,CONCAT("&lt;",$E387))</f>
        <v>2</v>
      </c>
      <c r="G387" s="79">
        <f>COUNTIFS(Matches!$C:$C,$A387,Matches!$A:$A,CONCAT("&gt;",$D387),Matches!$A:$A,CONCAT("&lt;",$E387))</f>
        <v>3</v>
      </c>
      <c r="H387" s="79">
        <f t="shared" si="1"/>
        <v>5</v>
      </c>
      <c r="I387" s="79">
        <f>COUNTIFS(Matches!$B:$B,$A387,Matches!$A:$A,CONCAT("&lt;",$E387))</f>
        <v>6</v>
      </c>
      <c r="J387" s="79">
        <f>COUNTIFS(Matches!$C:$C,$A387,Matches!$A:$A,CONCAT("&lt;",$E387))</f>
        <v>4</v>
      </c>
      <c r="K387" s="79">
        <f>COUNTIFS(Entropy!D:D,A387,Entropy!I:I,CONCAT("&lt;",E387-1))</f>
        <v>0</v>
      </c>
      <c r="L387" s="79">
        <f t="shared" si="2"/>
        <v>10</v>
      </c>
      <c r="M387" s="79">
        <f t="array" ref="M387">max(min(IF(J387+K387=11,0,XLOOKUP(B387,Quotas!$A$8:$A$14,Quotas!$E$8:$E$14)-$L387),2),0)</f>
        <v>0</v>
      </c>
      <c r="N387" s="31">
        <f t="shared" si="3"/>
        <v>0</v>
      </c>
    </row>
    <row r="388">
      <c r="A388" s="31" t="s">
        <v>163</v>
      </c>
      <c r="B388" s="9">
        <v>2.0</v>
      </c>
      <c r="C388" s="31" t="str">
        <f>VLOOKUP(A388, 'College List'!A:B, 2, FALSE)</f>
        <v>Quandrix</v>
      </c>
      <c r="D388" s="355">
        <f>VLOOKUP(B388,Quotas!$A$8:$C$14,2,FALSE)</f>
        <v>46143.70833</v>
      </c>
      <c r="E388" s="356">
        <f>VLOOKUP(B388,Quotas!$A$8:$C$14,3,FALSE)</f>
        <v>46150.70833</v>
      </c>
      <c r="F388" s="79">
        <f>COUNTIFS(Matches!$B:$B,A388,Matches!$A:$A,CONCAT("&gt;",$D388),Matches!$A:$A,CONCAT("&lt;",$E388))</f>
        <v>3</v>
      </c>
      <c r="G388" s="79">
        <f>COUNTIFS(Matches!$C:$C,$A388,Matches!$A:$A,CONCAT("&gt;",$D388),Matches!$A:$A,CONCAT("&lt;",$E388))</f>
        <v>2</v>
      </c>
      <c r="H388" s="79">
        <f t="shared" si="1"/>
        <v>5</v>
      </c>
      <c r="I388" s="79">
        <f>COUNTIFS(Matches!$B:$B,$A388,Matches!$A:$A,CONCAT("&lt;",$E388))</f>
        <v>6</v>
      </c>
      <c r="J388" s="79">
        <f>COUNTIFS(Matches!$C:$C,$A388,Matches!$A:$A,CONCAT("&lt;",$E388))</f>
        <v>4</v>
      </c>
      <c r="K388" s="79">
        <f>COUNTIFS(Entropy!D:D,A388,Entropy!I:I,CONCAT("&lt;",E388-1))</f>
        <v>0</v>
      </c>
      <c r="L388" s="79">
        <f t="shared" si="2"/>
        <v>10</v>
      </c>
      <c r="M388" s="79">
        <f t="array" ref="M388">max(min(IF(J388+K388=11,0,XLOOKUP(B388,Quotas!$A$8:$A$14,Quotas!$E$8:$E$14)-$L388),2),0)</f>
        <v>0</v>
      </c>
      <c r="N388" s="31">
        <f t="shared" si="3"/>
        <v>0</v>
      </c>
    </row>
    <row r="389">
      <c r="A389" s="31" t="s">
        <v>328</v>
      </c>
      <c r="B389" s="9">
        <v>2.0</v>
      </c>
      <c r="C389" s="31" t="str">
        <f>VLOOKUP(A389, 'College List'!A:B, 2, FALSE)</f>
        <v>Prismari</v>
      </c>
      <c r="D389" s="355">
        <f>VLOOKUP(B389,Quotas!$A$8:$C$14,2,FALSE)</f>
        <v>46143.70833</v>
      </c>
      <c r="E389" s="356">
        <f>VLOOKUP(B389,Quotas!$A$8:$C$14,3,FALSE)</f>
        <v>46150.70833</v>
      </c>
      <c r="F389" s="79">
        <f>COUNTIFS(Matches!$B:$B,A389,Matches!$A:$A,CONCAT("&gt;",$D389),Matches!$A:$A,CONCAT("&lt;",$E389))</f>
        <v>3</v>
      </c>
      <c r="G389" s="79">
        <f>COUNTIFS(Matches!$C:$C,$A389,Matches!$A:$A,CONCAT("&gt;",$D389),Matches!$A:$A,CONCAT("&lt;",$E389))</f>
        <v>2</v>
      </c>
      <c r="H389" s="79">
        <f t="shared" si="1"/>
        <v>5</v>
      </c>
      <c r="I389" s="79">
        <f>COUNTIFS(Matches!$B:$B,$A389,Matches!$A:$A,CONCAT("&lt;",$E389))</f>
        <v>6</v>
      </c>
      <c r="J389" s="79">
        <f>COUNTIFS(Matches!$C:$C,$A389,Matches!$A:$A,CONCAT("&lt;",$E389))</f>
        <v>4</v>
      </c>
      <c r="K389" s="79">
        <f>COUNTIFS(Entropy!D:D,A389,Entropy!I:I,CONCAT("&lt;",E389-1))</f>
        <v>0</v>
      </c>
      <c r="L389" s="79">
        <f t="shared" si="2"/>
        <v>10</v>
      </c>
      <c r="M389" s="79">
        <f t="array" ref="M389">max(min(IF(J389+K389=11,0,XLOOKUP(B389,Quotas!$A$8:$A$14,Quotas!$E$8:$E$14)-$L389),2),0)</f>
        <v>0</v>
      </c>
      <c r="N389" s="31">
        <f t="shared" si="3"/>
        <v>0</v>
      </c>
    </row>
    <row r="390">
      <c r="A390" s="31" t="s">
        <v>329</v>
      </c>
      <c r="B390" s="9">
        <v>2.0</v>
      </c>
      <c r="C390" s="31" t="str">
        <f>VLOOKUP(A390, 'College List'!A:B, 2, FALSE)</f>
        <v>Lorehold</v>
      </c>
      <c r="D390" s="355">
        <f>VLOOKUP(B390,Quotas!$A$8:$C$14,2,FALSE)</f>
        <v>46143.70833</v>
      </c>
      <c r="E390" s="356">
        <f>VLOOKUP(B390,Quotas!$A$8:$C$14,3,FALSE)</f>
        <v>46150.70833</v>
      </c>
      <c r="F390" s="79">
        <f>COUNTIFS(Matches!$B:$B,A390,Matches!$A:$A,CONCAT("&gt;",$D390),Matches!$A:$A,CONCAT("&lt;",$E390))</f>
        <v>2</v>
      </c>
      <c r="G390" s="79">
        <f>COUNTIFS(Matches!$C:$C,$A390,Matches!$A:$A,CONCAT("&gt;",$D390),Matches!$A:$A,CONCAT("&lt;",$E390))</f>
        <v>3</v>
      </c>
      <c r="H390" s="79">
        <f t="shared" si="1"/>
        <v>5</v>
      </c>
      <c r="I390" s="79">
        <f>COUNTIFS(Matches!$B:$B,$A390,Matches!$A:$A,CONCAT("&lt;",$E390))</f>
        <v>4</v>
      </c>
      <c r="J390" s="79">
        <f>COUNTIFS(Matches!$C:$C,$A390,Matches!$A:$A,CONCAT("&lt;",$E390))</f>
        <v>6</v>
      </c>
      <c r="K390" s="79">
        <f>COUNTIFS(Entropy!D:D,A390,Entropy!I:I,CONCAT("&lt;",E390-1))</f>
        <v>0</v>
      </c>
      <c r="L390" s="79">
        <f t="shared" si="2"/>
        <v>10</v>
      </c>
      <c r="M390" s="79">
        <f t="array" ref="M390">max(min(IF(J390+K390=11,0,XLOOKUP(B390,Quotas!$A$8:$A$14,Quotas!$E$8:$E$14)-$L390),2),0)</f>
        <v>0</v>
      </c>
      <c r="N390" s="31">
        <f t="shared" si="3"/>
        <v>0</v>
      </c>
    </row>
    <row r="391">
      <c r="A391" s="31" t="s">
        <v>258</v>
      </c>
      <c r="B391" s="9">
        <v>2.0</v>
      </c>
      <c r="C391" s="31" t="str">
        <f>VLOOKUP(A391, 'College List'!A:B, 2, FALSE)</f>
        <v>Witherbloom</v>
      </c>
      <c r="D391" s="355">
        <f>VLOOKUP(B391,Quotas!$A$8:$C$14,2,FALSE)</f>
        <v>46143.70833</v>
      </c>
      <c r="E391" s="356">
        <f>VLOOKUP(B391,Quotas!$A$8:$C$14,3,FALSE)</f>
        <v>46150.70833</v>
      </c>
      <c r="F391" s="79">
        <f>COUNTIFS(Matches!$B:$B,A391,Matches!$A:$A,CONCAT("&gt;",$D391),Matches!$A:$A,CONCAT("&lt;",$E391))</f>
        <v>1</v>
      </c>
      <c r="G391" s="79">
        <f>COUNTIFS(Matches!$C:$C,$A391,Matches!$A:$A,CONCAT("&gt;",$D391),Matches!$A:$A,CONCAT("&lt;",$E391))</f>
        <v>4</v>
      </c>
      <c r="H391" s="79">
        <f t="shared" si="1"/>
        <v>5</v>
      </c>
      <c r="I391" s="79">
        <f>COUNTIFS(Matches!$B:$B,$A391,Matches!$A:$A,CONCAT("&lt;",$E391))</f>
        <v>5</v>
      </c>
      <c r="J391" s="79">
        <f>COUNTIFS(Matches!$C:$C,$A391,Matches!$A:$A,CONCAT("&lt;",$E391))</f>
        <v>5</v>
      </c>
      <c r="K391" s="79">
        <f>COUNTIFS(Entropy!D:D,A391,Entropy!I:I,CONCAT("&lt;",E391-1))</f>
        <v>0</v>
      </c>
      <c r="L391" s="79">
        <f t="shared" si="2"/>
        <v>10</v>
      </c>
      <c r="M391" s="79">
        <f t="array" ref="M391">max(min(IF(J391+K391=11,0,XLOOKUP(B391,Quotas!$A$8:$A$14,Quotas!$E$8:$E$14)-$L391),2),0)</f>
        <v>0</v>
      </c>
      <c r="N391" s="31">
        <f t="shared" si="3"/>
        <v>0</v>
      </c>
    </row>
    <row r="392">
      <c r="A392" s="31" t="s">
        <v>156</v>
      </c>
      <c r="B392" s="9">
        <v>2.0</v>
      </c>
      <c r="C392" s="31" t="str">
        <f>VLOOKUP(A392, 'College List'!A:B, 2, FALSE)</f>
        <v>Silverquill</v>
      </c>
      <c r="D392" s="355">
        <f>VLOOKUP(B392,Quotas!$A$8:$C$14,2,FALSE)</f>
        <v>46143.70833</v>
      </c>
      <c r="E392" s="356">
        <f>VLOOKUP(B392,Quotas!$A$8:$C$14,3,FALSE)</f>
        <v>46150.70833</v>
      </c>
      <c r="F392" s="79">
        <f>COUNTIFS(Matches!$B:$B,A392,Matches!$A:$A,CONCAT("&gt;",$D392),Matches!$A:$A,CONCAT("&lt;",$E392))</f>
        <v>0</v>
      </c>
      <c r="G392" s="79">
        <f>COUNTIFS(Matches!$C:$C,$A392,Matches!$A:$A,CONCAT("&gt;",$D392),Matches!$A:$A,CONCAT("&lt;",$E392))</f>
        <v>0</v>
      </c>
      <c r="H392" s="79">
        <f t="shared" si="1"/>
        <v>0</v>
      </c>
      <c r="I392" s="79">
        <f>COUNTIFS(Matches!$B:$B,$A392,Matches!$A:$A,CONCAT("&lt;",$E392))</f>
        <v>0</v>
      </c>
      <c r="J392" s="79">
        <f>COUNTIFS(Matches!$C:$C,$A392,Matches!$A:$A,CONCAT("&lt;",$E392))</f>
        <v>5</v>
      </c>
      <c r="K392" s="79">
        <f>COUNTIFS(Entropy!D:D,A392,Entropy!I:I,CONCAT("&lt;",E392-1))</f>
        <v>0</v>
      </c>
      <c r="L392" s="79">
        <f t="shared" si="2"/>
        <v>5</v>
      </c>
      <c r="M392" s="79">
        <f t="array" ref="M392">max(min(IF(J392+K392=11,0,XLOOKUP(B392,Quotas!$A$8:$A$14,Quotas!$E$8:$E$14)-$L392),2),0)</f>
        <v>2</v>
      </c>
      <c r="N392" s="31">
        <f t="shared" si="3"/>
        <v>0</v>
      </c>
    </row>
    <row r="393">
      <c r="A393" s="31" t="s">
        <v>394</v>
      </c>
      <c r="B393" s="9">
        <v>2.0</v>
      </c>
      <c r="C393" s="31" t="str">
        <f>VLOOKUP(A393, 'College List'!A:B, 2, FALSE)</f>
        <v>Quandrix</v>
      </c>
      <c r="D393" s="355">
        <f>VLOOKUP(B393,Quotas!$A$8:$C$14,2,FALSE)</f>
        <v>46143.70833</v>
      </c>
      <c r="E393" s="356">
        <f>VLOOKUP(B393,Quotas!$A$8:$C$14,3,FALSE)</f>
        <v>46150.70833</v>
      </c>
      <c r="F393" s="79">
        <f>COUNTIFS(Matches!$B:$B,A393,Matches!$A:$A,CONCAT("&gt;",$D393),Matches!$A:$A,CONCAT("&lt;",$E393))</f>
        <v>2</v>
      </c>
      <c r="G393" s="79">
        <f>COUNTIFS(Matches!$C:$C,$A393,Matches!$A:$A,CONCAT("&gt;",$D393),Matches!$A:$A,CONCAT("&lt;",$E393))</f>
        <v>3</v>
      </c>
      <c r="H393" s="79">
        <f t="shared" si="1"/>
        <v>5</v>
      </c>
      <c r="I393" s="79">
        <f>COUNTIFS(Matches!$B:$B,$A393,Matches!$A:$A,CONCAT("&lt;",$E393))</f>
        <v>5</v>
      </c>
      <c r="J393" s="79">
        <f>COUNTIFS(Matches!$C:$C,$A393,Matches!$A:$A,CONCAT("&lt;",$E393))</f>
        <v>5</v>
      </c>
      <c r="K393" s="79">
        <f>COUNTIFS(Entropy!D:D,A393,Entropy!I:I,CONCAT("&lt;",E393-1))</f>
        <v>0</v>
      </c>
      <c r="L393" s="79">
        <f t="shared" si="2"/>
        <v>10</v>
      </c>
      <c r="M393" s="79">
        <f t="array" ref="M393">max(min(IF(J393+K393=11,0,XLOOKUP(B393,Quotas!$A$8:$A$14,Quotas!$E$8:$E$14)-$L393),2),0)</f>
        <v>0</v>
      </c>
      <c r="N393" s="31">
        <f t="shared" si="3"/>
        <v>0</v>
      </c>
    </row>
    <row r="394">
      <c r="A394" s="31" t="s">
        <v>110</v>
      </c>
      <c r="B394" s="9">
        <v>2.0</v>
      </c>
      <c r="C394" s="31" t="str">
        <f>VLOOKUP(A394, 'College List'!A:B, 2, FALSE)</f>
        <v>Lorehold</v>
      </c>
      <c r="D394" s="355">
        <f>VLOOKUP(B394,Quotas!$A$8:$C$14,2,FALSE)</f>
        <v>46143.70833</v>
      </c>
      <c r="E394" s="356">
        <f>VLOOKUP(B394,Quotas!$A$8:$C$14,3,FALSE)</f>
        <v>46150.70833</v>
      </c>
      <c r="F394" s="79">
        <f>COUNTIFS(Matches!$B:$B,A394,Matches!$A:$A,CONCAT("&gt;",$D394),Matches!$A:$A,CONCAT("&lt;",$E394))</f>
        <v>4</v>
      </c>
      <c r="G394" s="79">
        <f>COUNTIFS(Matches!$C:$C,$A394,Matches!$A:$A,CONCAT("&gt;",$D394),Matches!$A:$A,CONCAT("&lt;",$E394))</f>
        <v>1</v>
      </c>
      <c r="H394" s="79">
        <f t="shared" si="1"/>
        <v>5</v>
      </c>
      <c r="I394" s="79">
        <f>COUNTIFS(Matches!$B:$B,$A394,Matches!$A:$A,CONCAT("&lt;",$E394))</f>
        <v>8</v>
      </c>
      <c r="J394" s="79">
        <f>COUNTIFS(Matches!$C:$C,$A394,Matches!$A:$A,CONCAT("&lt;",$E394))</f>
        <v>2</v>
      </c>
      <c r="K394" s="79">
        <f>COUNTIFS(Entropy!D:D,A394,Entropy!I:I,CONCAT("&lt;",E394-1))</f>
        <v>0</v>
      </c>
      <c r="L394" s="79">
        <f t="shared" si="2"/>
        <v>10</v>
      </c>
      <c r="M394" s="79">
        <f t="array" ref="M394">max(min(IF(J394+K394=11,0,XLOOKUP(B394,Quotas!$A$8:$A$14,Quotas!$E$8:$E$14)-$L394),2),0)</f>
        <v>0</v>
      </c>
      <c r="N394" s="31">
        <f t="shared" si="3"/>
        <v>0</v>
      </c>
    </row>
    <row r="395">
      <c r="A395" s="31" t="s">
        <v>198</v>
      </c>
      <c r="B395" s="9">
        <v>2.0</v>
      </c>
      <c r="C395" s="31" t="str">
        <f>VLOOKUP(A395, 'College List'!A:B, 2, FALSE)</f>
        <v>Quandrix</v>
      </c>
      <c r="D395" s="355">
        <f>VLOOKUP(B395,Quotas!$A$8:$C$14,2,FALSE)</f>
        <v>46143.70833</v>
      </c>
      <c r="E395" s="356">
        <f>VLOOKUP(B395,Quotas!$A$8:$C$14,3,FALSE)</f>
        <v>46150.70833</v>
      </c>
      <c r="F395" s="79">
        <f>COUNTIFS(Matches!$B:$B,A395,Matches!$A:$A,CONCAT("&gt;",$D395),Matches!$A:$A,CONCAT("&lt;",$E395))</f>
        <v>3</v>
      </c>
      <c r="G395" s="79">
        <f>COUNTIFS(Matches!$C:$C,$A395,Matches!$A:$A,CONCAT("&gt;",$D395),Matches!$A:$A,CONCAT("&lt;",$E395))</f>
        <v>2</v>
      </c>
      <c r="H395" s="79">
        <f t="shared" si="1"/>
        <v>5</v>
      </c>
      <c r="I395" s="79">
        <f>COUNTIFS(Matches!$B:$B,$A395,Matches!$A:$A,CONCAT("&lt;",$E395))</f>
        <v>7</v>
      </c>
      <c r="J395" s="79">
        <f>COUNTIFS(Matches!$C:$C,$A395,Matches!$A:$A,CONCAT("&lt;",$E395))</f>
        <v>3</v>
      </c>
      <c r="K395" s="79">
        <f>COUNTIFS(Entropy!D:D,A395,Entropy!I:I,CONCAT("&lt;",E395-1))</f>
        <v>0</v>
      </c>
      <c r="L395" s="79">
        <f t="shared" si="2"/>
        <v>10</v>
      </c>
      <c r="M395" s="79">
        <f t="array" ref="M395">max(min(IF(J395+K395=11,0,XLOOKUP(B395,Quotas!$A$8:$A$14,Quotas!$E$8:$E$14)-$L395),2),0)</f>
        <v>0</v>
      </c>
      <c r="N395" s="31">
        <f t="shared" si="3"/>
        <v>0</v>
      </c>
    </row>
    <row r="396">
      <c r="A396" s="31" t="s">
        <v>128</v>
      </c>
      <c r="B396" s="9">
        <v>2.0</v>
      </c>
      <c r="C396" s="31" t="str">
        <f>VLOOKUP(A396, 'College List'!A:B, 2, FALSE)</f>
        <v>Quandrix</v>
      </c>
      <c r="D396" s="355">
        <f>VLOOKUP(B396,Quotas!$A$8:$C$14,2,FALSE)</f>
        <v>46143.70833</v>
      </c>
      <c r="E396" s="356">
        <f>VLOOKUP(B396,Quotas!$A$8:$C$14,3,FALSE)</f>
        <v>46150.70833</v>
      </c>
      <c r="F396" s="79">
        <f>COUNTIFS(Matches!$B:$B,A396,Matches!$A:$A,CONCAT("&gt;",$D396),Matches!$A:$A,CONCAT("&lt;",$E396))</f>
        <v>2</v>
      </c>
      <c r="G396" s="79">
        <f>COUNTIFS(Matches!$C:$C,$A396,Matches!$A:$A,CONCAT("&gt;",$D396),Matches!$A:$A,CONCAT("&lt;",$E396))</f>
        <v>3</v>
      </c>
      <c r="H396" s="79">
        <f t="shared" si="1"/>
        <v>5</v>
      </c>
      <c r="I396" s="79">
        <f>COUNTIFS(Matches!$B:$B,$A396,Matches!$A:$A,CONCAT("&lt;",$E396))</f>
        <v>4</v>
      </c>
      <c r="J396" s="79">
        <f>COUNTIFS(Matches!$C:$C,$A396,Matches!$A:$A,CONCAT("&lt;",$E396))</f>
        <v>6</v>
      </c>
      <c r="K396" s="79">
        <f>COUNTIFS(Entropy!D:D,A396,Entropy!I:I,CONCAT("&lt;",E396-1))</f>
        <v>0</v>
      </c>
      <c r="L396" s="79">
        <f t="shared" si="2"/>
        <v>10</v>
      </c>
      <c r="M396" s="79">
        <f t="array" ref="M396">max(min(IF(J396+K396=11,0,XLOOKUP(B396,Quotas!$A$8:$A$14,Quotas!$E$8:$E$14)-$L396),2),0)</f>
        <v>0</v>
      </c>
      <c r="N396" s="31">
        <f t="shared" si="3"/>
        <v>0</v>
      </c>
    </row>
    <row r="397">
      <c r="A397" s="31" t="s">
        <v>167</v>
      </c>
      <c r="B397" s="9">
        <v>2.0</v>
      </c>
      <c r="C397" s="31" t="str">
        <f>VLOOKUP(A397, 'College List'!A:B, 2, FALSE)</f>
        <v>Lorehold</v>
      </c>
      <c r="D397" s="355">
        <f>VLOOKUP(B397,Quotas!$A$8:$C$14,2,FALSE)</f>
        <v>46143.70833</v>
      </c>
      <c r="E397" s="356">
        <f>VLOOKUP(B397,Quotas!$A$8:$C$14,3,FALSE)</f>
        <v>46150.70833</v>
      </c>
      <c r="F397" s="79">
        <f>COUNTIFS(Matches!$B:$B,A397,Matches!$A:$A,CONCAT("&gt;",$D397),Matches!$A:$A,CONCAT("&lt;",$E397))</f>
        <v>0</v>
      </c>
      <c r="G397" s="79">
        <f>COUNTIFS(Matches!$C:$C,$A397,Matches!$A:$A,CONCAT("&gt;",$D397),Matches!$A:$A,CONCAT("&lt;",$E397))</f>
        <v>5</v>
      </c>
      <c r="H397" s="79">
        <f t="shared" si="1"/>
        <v>5</v>
      </c>
      <c r="I397" s="79">
        <f>COUNTIFS(Matches!$B:$B,$A397,Matches!$A:$A,CONCAT("&lt;",$E397))</f>
        <v>3</v>
      </c>
      <c r="J397" s="79">
        <f>COUNTIFS(Matches!$C:$C,$A397,Matches!$A:$A,CONCAT("&lt;",$E397))</f>
        <v>7</v>
      </c>
      <c r="K397" s="79">
        <f>COUNTIFS(Entropy!D:D,A397,Entropy!I:I,CONCAT("&lt;",E397-1))</f>
        <v>0</v>
      </c>
      <c r="L397" s="79">
        <f t="shared" si="2"/>
        <v>10</v>
      </c>
      <c r="M397" s="79">
        <f t="array" ref="M397">max(min(IF(J397+K397=11,0,XLOOKUP(B397,Quotas!$A$8:$A$14,Quotas!$E$8:$E$14)-$L397),2),0)</f>
        <v>0</v>
      </c>
      <c r="N397" s="31">
        <f t="shared" si="3"/>
        <v>0</v>
      </c>
    </row>
    <row r="398">
      <c r="A398" s="31" t="s">
        <v>226</v>
      </c>
      <c r="B398" s="9">
        <v>2.0</v>
      </c>
      <c r="C398" s="31" t="str">
        <f>VLOOKUP(A398, 'College List'!A:B, 2, FALSE)</f>
        <v>Lorehold</v>
      </c>
      <c r="D398" s="355">
        <f>VLOOKUP(B398,Quotas!$A$8:$C$14,2,FALSE)</f>
        <v>46143.70833</v>
      </c>
      <c r="E398" s="356">
        <f>VLOOKUP(B398,Quotas!$A$8:$C$14,3,FALSE)</f>
        <v>46150.70833</v>
      </c>
      <c r="F398" s="79">
        <f>COUNTIFS(Matches!$B:$B,A398,Matches!$A:$A,CONCAT("&gt;",$D398),Matches!$A:$A,CONCAT("&lt;",$E398))</f>
        <v>3</v>
      </c>
      <c r="G398" s="79">
        <f>COUNTIFS(Matches!$C:$C,$A398,Matches!$A:$A,CONCAT("&gt;",$D398),Matches!$A:$A,CONCAT("&lt;",$E398))</f>
        <v>2</v>
      </c>
      <c r="H398" s="79">
        <f t="shared" si="1"/>
        <v>5</v>
      </c>
      <c r="I398" s="79">
        <f>COUNTIFS(Matches!$B:$B,$A398,Matches!$A:$A,CONCAT("&lt;",$E398))</f>
        <v>7</v>
      </c>
      <c r="J398" s="79">
        <f>COUNTIFS(Matches!$C:$C,$A398,Matches!$A:$A,CONCAT("&lt;",$E398))</f>
        <v>3</v>
      </c>
      <c r="K398" s="79">
        <f>COUNTIFS(Entropy!D:D,A398,Entropy!I:I,CONCAT("&lt;",E398-1))</f>
        <v>0</v>
      </c>
      <c r="L398" s="79">
        <f t="shared" si="2"/>
        <v>10</v>
      </c>
      <c r="M398" s="79">
        <f t="array" ref="M398">max(min(IF(J398+K398=11,0,XLOOKUP(B398,Quotas!$A$8:$A$14,Quotas!$E$8:$E$14)-$L398),2),0)</f>
        <v>0</v>
      </c>
      <c r="N398" s="31">
        <f t="shared" si="3"/>
        <v>0</v>
      </c>
    </row>
    <row r="399">
      <c r="A399" s="31" t="s">
        <v>376</v>
      </c>
      <c r="B399" s="9">
        <v>2.0</v>
      </c>
      <c r="C399" s="31" t="str">
        <f>VLOOKUP(A399, 'College List'!A:B, 2, FALSE)</f>
        <v>Prismari</v>
      </c>
      <c r="D399" s="355">
        <f>VLOOKUP(B399,Quotas!$A$8:$C$14,2,FALSE)</f>
        <v>46143.70833</v>
      </c>
      <c r="E399" s="356">
        <f>VLOOKUP(B399,Quotas!$A$8:$C$14,3,FALSE)</f>
        <v>46150.70833</v>
      </c>
      <c r="F399" s="79">
        <f>COUNTIFS(Matches!$B:$B,A399,Matches!$A:$A,CONCAT("&gt;",$D399),Matches!$A:$A,CONCAT("&lt;",$E399))</f>
        <v>2</v>
      </c>
      <c r="G399" s="79">
        <f>COUNTIFS(Matches!$C:$C,$A399,Matches!$A:$A,CONCAT("&gt;",$D399),Matches!$A:$A,CONCAT("&lt;",$E399))</f>
        <v>3</v>
      </c>
      <c r="H399" s="79">
        <f t="shared" si="1"/>
        <v>5</v>
      </c>
      <c r="I399" s="79">
        <f>COUNTIFS(Matches!$B:$B,$A399,Matches!$A:$A,CONCAT("&lt;",$E399))</f>
        <v>5</v>
      </c>
      <c r="J399" s="79">
        <f>COUNTIFS(Matches!$C:$C,$A399,Matches!$A:$A,CONCAT("&lt;",$E399))</f>
        <v>5</v>
      </c>
      <c r="K399" s="79">
        <f>COUNTIFS(Entropy!D:D,A399,Entropy!I:I,CONCAT("&lt;",E399-1))</f>
        <v>0</v>
      </c>
      <c r="L399" s="79">
        <f t="shared" si="2"/>
        <v>10</v>
      </c>
      <c r="M399" s="79">
        <f t="array" ref="M399">max(min(IF(J399+K399=11,0,XLOOKUP(B399,Quotas!$A$8:$A$14,Quotas!$E$8:$E$14)-$L399),2),0)</f>
        <v>0</v>
      </c>
      <c r="N399" s="31">
        <f t="shared" si="3"/>
        <v>0</v>
      </c>
    </row>
    <row r="400">
      <c r="A400" s="31" t="s">
        <v>304</v>
      </c>
      <c r="B400" s="9">
        <v>2.0</v>
      </c>
      <c r="C400" s="31" t="str">
        <f>VLOOKUP(A400, 'College List'!A:B, 2, FALSE)</f>
        <v>Prismari</v>
      </c>
      <c r="D400" s="355">
        <f>VLOOKUP(B400,Quotas!$A$8:$C$14,2,FALSE)</f>
        <v>46143.70833</v>
      </c>
      <c r="E400" s="356">
        <f>VLOOKUP(B400,Quotas!$A$8:$C$14,3,FALSE)</f>
        <v>46150.70833</v>
      </c>
      <c r="F400" s="79">
        <f>COUNTIFS(Matches!$B:$B,A400,Matches!$A:$A,CONCAT("&gt;",$D400),Matches!$A:$A,CONCAT("&lt;",$E400))</f>
        <v>2</v>
      </c>
      <c r="G400" s="79">
        <f>COUNTIFS(Matches!$C:$C,$A400,Matches!$A:$A,CONCAT("&gt;",$D400),Matches!$A:$A,CONCAT("&lt;",$E400))</f>
        <v>3</v>
      </c>
      <c r="H400" s="79">
        <f t="shared" si="1"/>
        <v>5</v>
      </c>
      <c r="I400" s="79">
        <f>COUNTIFS(Matches!$B:$B,$A400,Matches!$A:$A,CONCAT("&lt;",$E400))</f>
        <v>4</v>
      </c>
      <c r="J400" s="79">
        <f>COUNTIFS(Matches!$C:$C,$A400,Matches!$A:$A,CONCAT("&lt;",$E400))</f>
        <v>5</v>
      </c>
      <c r="K400" s="79">
        <f>COUNTIFS(Entropy!D:D,A400,Entropy!I:I,CONCAT("&lt;",E400-1))</f>
        <v>0</v>
      </c>
      <c r="L400" s="79">
        <f t="shared" si="2"/>
        <v>9</v>
      </c>
      <c r="M400" s="79">
        <f t="array" ref="M400">max(min(IF(J400+K400=11,0,XLOOKUP(B400,Quotas!$A$8:$A$14,Quotas!$E$8:$E$14)-$L400),2),0)</f>
        <v>1</v>
      </c>
      <c r="N400" s="31">
        <f t="shared" si="3"/>
        <v>0.5</v>
      </c>
    </row>
    <row r="401">
      <c r="A401" s="31" t="s">
        <v>92</v>
      </c>
      <c r="B401" s="9">
        <v>2.0</v>
      </c>
      <c r="C401" s="31" t="str">
        <f>VLOOKUP(A401, 'College List'!A:B, 2, FALSE)</f>
        <v>Witherbloom</v>
      </c>
      <c r="D401" s="355">
        <f>VLOOKUP(B401,Quotas!$A$8:$C$14,2,FALSE)</f>
        <v>46143.70833</v>
      </c>
      <c r="E401" s="356">
        <f>VLOOKUP(B401,Quotas!$A$8:$C$14,3,FALSE)</f>
        <v>46150.70833</v>
      </c>
      <c r="F401" s="79">
        <f>COUNTIFS(Matches!$B:$B,A401,Matches!$A:$A,CONCAT("&gt;",$D401),Matches!$A:$A,CONCAT("&lt;",$E401))</f>
        <v>1</v>
      </c>
      <c r="G401" s="79">
        <f>COUNTIFS(Matches!$C:$C,$A401,Matches!$A:$A,CONCAT("&gt;",$D401),Matches!$A:$A,CONCAT("&lt;",$E401))</f>
        <v>4</v>
      </c>
      <c r="H401" s="79">
        <f t="shared" si="1"/>
        <v>5</v>
      </c>
      <c r="I401" s="79">
        <f>COUNTIFS(Matches!$B:$B,$A401,Matches!$A:$A,CONCAT("&lt;",$E401))</f>
        <v>5</v>
      </c>
      <c r="J401" s="79">
        <f>COUNTIFS(Matches!$C:$C,$A401,Matches!$A:$A,CONCAT("&lt;",$E401))</f>
        <v>5</v>
      </c>
      <c r="K401" s="79">
        <f>COUNTIFS(Entropy!D:D,A401,Entropy!I:I,CONCAT("&lt;",E401-1))</f>
        <v>0</v>
      </c>
      <c r="L401" s="79">
        <f t="shared" si="2"/>
        <v>10</v>
      </c>
      <c r="M401" s="79">
        <f t="array" ref="M401">max(min(IF(J401+K401=11,0,XLOOKUP(B401,Quotas!$A$8:$A$14,Quotas!$E$8:$E$14)-$L401),2),0)</f>
        <v>0</v>
      </c>
      <c r="N401" s="31">
        <f t="shared" si="3"/>
        <v>0</v>
      </c>
    </row>
    <row r="402">
      <c r="A402" s="31" t="s">
        <v>17</v>
      </c>
      <c r="B402" s="9">
        <v>2.0</v>
      </c>
      <c r="C402" s="31" t="str">
        <f>VLOOKUP(A402, 'College List'!A:B, 2, FALSE)</f>
        <v>Silverquill</v>
      </c>
      <c r="D402" s="355">
        <f>VLOOKUP(B402,Quotas!$A$8:$C$14,2,FALSE)</f>
        <v>46143.70833</v>
      </c>
      <c r="E402" s="356">
        <f>VLOOKUP(B402,Quotas!$A$8:$C$14,3,FALSE)</f>
        <v>46150.70833</v>
      </c>
      <c r="F402" s="79">
        <f>COUNTIFS(Matches!$B:$B,A402,Matches!$A:$A,CONCAT("&gt;",$D402),Matches!$A:$A,CONCAT("&lt;",$E402))</f>
        <v>4</v>
      </c>
      <c r="G402" s="79">
        <f>COUNTIFS(Matches!$C:$C,$A402,Matches!$A:$A,CONCAT("&gt;",$D402),Matches!$A:$A,CONCAT("&lt;",$E402))</f>
        <v>1</v>
      </c>
      <c r="H402" s="79">
        <f t="shared" si="1"/>
        <v>5</v>
      </c>
      <c r="I402" s="79">
        <f>COUNTIFS(Matches!$B:$B,$A402,Matches!$A:$A,CONCAT("&lt;",$E402))</f>
        <v>8</v>
      </c>
      <c r="J402" s="79">
        <f>COUNTIFS(Matches!$C:$C,$A402,Matches!$A:$A,CONCAT("&lt;",$E402))</f>
        <v>2</v>
      </c>
      <c r="K402" s="79">
        <f>COUNTIFS(Entropy!D:D,A402,Entropy!I:I,CONCAT("&lt;",E402-1))</f>
        <v>0</v>
      </c>
      <c r="L402" s="79">
        <f t="shared" si="2"/>
        <v>10</v>
      </c>
      <c r="M402" s="79">
        <f t="array" ref="M402">max(min(IF(J402+K402=11,0,XLOOKUP(B402,Quotas!$A$8:$A$14,Quotas!$E$8:$E$14)-$L402),2),0)</f>
        <v>0</v>
      </c>
      <c r="N402" s="31">
        <f t="shared" si="3"/>
        <v>0</v>
      </c>
    </row>
    <row r="403">
      <c r="A403" s="31" t="s">
        <v>279</v>
      </c>
      <c r="B403" s="9">
        <v>2.0</v>
      </c>
      <c r="C403" s="31" t="str">
        <f>VLOOKUP(A403, 'College List'!A:B, 2, FALSE)</f>
        <v>Prismari</v>
      </c>
      <c r="D403" s="355">
        <f>VLOOKUP(B403,Quotas!$A$8:$C$14,2,FALSE)</f>
        <v>46143.70833</v>
      </c>
      <c r="E403" s="356">
        <f>VLOOKUP(B403,Quotas!$A$8:$C$14,3,FALSE)</f>
        <v>46150.70833</v>
      </c>
      <c r="F403" s="79">
        <f>COUNTIFS(Matches!$B:$B,A403,Matches!$A:$A,CONCAT("&gt;",$D403),Matches!$A:$A,CONCAT("&lt;",$E403))</f>
        <v>1</v>
      </c>
      <c r="G403" s="79">
        <f>COUNTIFS(Matches!$C:$C,$A403,Matches!$A:$A,CONCAT("&gt;",$D403),Matches!$A:$A,CONCAT("&lt;",$E403))</f>
        <v>4</v>
      </c>
      <c r="H403" s="79">
        <f t="shared" si="1"/>
        <v>5</v>
      </c>
      <c r="I403" s="79">
        <f>COUNTIFS(Matches!$B:$B,$A403,Matches!$A:$A,CONCAT("&lt;",$E403))</f>
        <v>4</v>
      </c>
      <c r="J403" s="79">
        <f>COUNTIFS(Matches!$C:$C,$A403,Matches!$A:$A,CONCAT("&lt;",$E403))</f>
        <v>6</v>
      </c>
      <c r="K403" s="79">
        <f>COUNTIFS(Entropy!D:D,A403,Entropy!I:I,CONCAT("&lt;",E403-1))</f>
        <v>0</v>
      </c>
      <c r="L403" s="79">
        <f t="shared" si="2"/>
        <v>10</v>
      </c>
      <c r="M403" s="79">
        <f t="array" ref="M403">max(min(IF(J403+K403=11,0,XLOOKUP(B403,Quotas!$A$8:$A$14,Quotas!$E$8:$E$14)-$L403),2),0)</f>
        <v>0</v>
      </c>
      <c r="N403" s="31">
        <f t="shared" si="3"/>
        <v>0</v>
      </c>
    </row>
    <row r="404">
      <c r="A404" s="31" t="s">
        <v>88</v>
      </c>
      <c r="B404" s="9">
        <v>2.0</v>
      </c>
      <c r="C404" s="31" t="str">
        <f>VLOOKUP(A404, 'College List'!A:B, 2, FALSE)</f>
        <v>Quandrix</v>
      </c>
      <c r="D404" s="355">
        <f>VLOOKUP(B404,Quotas!$A$8:$C$14,2,FALSE)</f>
        <v>46143.70833</v>
      </c>
      <c r="E404" s="356">
        <f>VLOOKUP(B404,Quotas!$A$8:$C$14,3,FALSE)</f>
        <v>46150.70833</v>
      </c>
      <c r="F404" s="79">
        <f>COUNTIFS(Matches!$B:$B,A404,Matches!$A:$A,CONCAT("&gt;",$D404),Matches!$A:$A,CONCAT("&lt;",$E404))</f>
        <v>4</v>
      </c>
      <c r="G404" s="79">
        <f>COUNTIFS(Matches!$C:$C,$A404,Matches!$A:$A,CONCAT("&gt;",$D404),Matches!$A:$A,CONCAT("&lt;",$E404))</f>
        <v>1</v>
      </c>
      <c r="H404" s="79">
        <f t="shared" si="1"/>
        <v>5</v>
      </c>
      <c r="I404" s="79">
        <f>COUNTIFS(Matches!$B:$B,$A404,Matches!$A:$A,CONCAT("&lt;",$E404))</f>
        <v>6</v>
      </c>
      <c r="J404" s="79">
        <f>COUNTIFS(Matches!$C:$C,$A404,Matches!$A:$A,CONCAT("&lt;",$E404))</f>
        <v>4</v>
      </c>
      <c r="K404" s="79">
        <f>COUNTIFS(Entropy!D:D,A404,Entropy!I:I,CONCAT("&lt;",E404-1))</f>
        <v>0</v>
      </c>
      <c r="L404" s="79">
        <f t="shared" si="2"/>
        <v>10</v>
      </c>
      <c r="M404" s="79">
        <f t="array" ref="M404">max(min(IF(J404+K404=11,0,XLOOKUP(B404,Quotas!$A$8:$A$14,Quotas!$E$8:$E$14)-$L404),2),0)</f>
        <v>0</v>
      </c>
      <c r="N404" s="31">
        <f t="shared" si="3"/>
        <v>0</v>
      </c>
    </row>
    <row r="405">
      <c r="A405" s="31" t="s">
        <v>631</v>
      </c>
      <c r="B405" s="9">
        <v>2.0</v>
      </c>
      <c r="C405" s="31" t="str">
        <f>VLOOKUP(A405, 'College List'!A:B, 2, FALSE)</f>
        <v>Witherbloom</v>
      </c>
      <c r="D405" s="355">
        <f>VLOOKUP(B405,Quotas!$A$8:$C$14,2,FALSE)</f>
        <v>46143.70833</v>
      </c>
      <c r="E405" s="356">
        <f>VLOOKUP(B405,Quotas!$A$8:$C$14,3,FALSE)</f>
        <v>46150.70833</v>
      </c>
      <c r="F405" s="79">
        <f>COUNTIFS(Matches!$B:$B,A405,Matches!$A:$A,CONCAT("&gt;",$D405),Matches!$A:$A,CONCAT("&lt;",$E405))</f>
        <v>0</v>
      </c>
      <c r="G405" s="79">
        <f>COUNTIFS(Matches!$C:$C,$A405,Matches!$A:$A,CONCAT("&gt;",$D405),Matches!$A:$A,CONCAT("&lt;",$E405))</f>
        <v>0</v>
      </c>
      <c r="H405" s="79">
        <f t="shared" si="1"/>
        <v>0</v>
      </c>
      <c r="I405" s="79">
        <f>COUNTIFS(Matches!$B:$B,$A405,Matches!$A:$A,CONCAT("&lt;",$E405))</f>
        <v>0</v>
      </c>
      <c r="J405" s="79">
        <f>COUNTIFS(Matches!$C:$C,$A405,Matches!$A:$A,CONCAT("&lt;",$E405))</f>
        <v>0</v>
      </c>
      <c r="K405" s="79">
        <f>COUNTIFS(Entropy!D:D,A405,Entropy!I:I,CONCAT("&lt;",E405-1))</f>
        <v>3</v>
      </c>
      <c r="L405" s="79">
        <f t="shared" si="2"/>
        <v>3</v>
      </c>
      <c r="M405" s="79">
        <f t="array" ref="M405">max(min(IF(J405+K405=11,0,XLOOKUP(B405,Quotas!$A$8:$A$14,Quotas!$E$8:$E$14)-$L405),2),0)</f>
        <v>2</v>
      </c>
      <c r="N405" s="31">
        <f t="shared" si="3"/>
        <v>0</v>
      </c>
    </row>
    <row r="406">
      <c r="A406" s="31" t="s">
        <v>289</v>
      </c>
      <c r="B406" s="9">
        <v>2.0</v>
      </c>
      <c r="C406" s="31" t="str">
        <f>VLOOKUP(A406, 'College List'!A:B, 2, FALSE)</f>
        <v>Lorehold</v>
      </c>
      <c r="D406" s="355">
        <f>VLOOKUP(B406,Quotas!$A$8:$C$14,2,FALSE)</f>
        <v>46143.70833</v>
      </c>
      <c r="E406" s="356">
        <f>VLOOKUP(B406,Quotas!$A$8:$C$14,3,FALSE)</f>
        <v>46150.70833</v>
      </c>
      <c r="F406" s="79">
        <f>COUNTIFS(Matches!$B:$B,A406,Matches!$A:$A,CONCAT("&gt;",$D406),Matches!$A:$A,CONCAT("&lt;",$E406))</f>
        <v>0</v>
      </c>
      <c r="G406" s="79">
        <f>COUNTIFS(Matches!$C:$C,$A406,Matches!$A:$A,CONCAT("&gt;",$D406),Matches!$A:$A,CONCAT("&lt;",$E406))</f>
        <v>0</v>
      </c>
      <c r="H406" s="79">
        <f t="shared" si="1"/>
        <v>0</v>
      </c>
      <c r="I406" s="79">
        <f>COUNTIFS(Matches!$B:$B,$A406,Matches!$A:$A,CONCAT("&lt;",$E406))</f>
        <v>1</v>
      </c>
      <c r="J406" s="79">
        <f>COUNTIFS(Matches!$C:$C,$A406,Matches!$A:$A,CONCAT("&lt;",$E406))</f>
        <v>3</v>
      </c>
      <c r="K406" s="79">
        <f>COUNTIFS(Entropy!D:D,A406,Entropy!I:I,CONCAT("&lt;",E406-1))</f>
        <v>0</v>
      </c>
      <c r="L406" s="79">
        <f t="shared" si="2"/>
        <v>4</v>
      </c>
      <c r="M406" s="79">
        <f t="array" ref="M406">max(min(IF(J406+K406=11,0,XLOOKUP(B406,Quotas!$A$8:$A$14,Quotas!$E$8:$E$14)-$L406),2),0)</f>
        <v>2</v>
      </c>
      <c r="N406" s="31">
        <f t="shared" si="3"/>
        <v>0</v>
      </c>
    </row>
    <row r="407">
      <c r="A407" s="31" t="s">
        <v>71</v>
      </c>
      <c r="B407" s="9">
        <v>2.0</v>
      </c>
      <c r="C407" s="31" t="str">
        <f>VLOOKUP(A407, 'College List'!A:B, 2, FALSE)</f>
        <v>Lorehold</v>
      </c>
      <c r="D407" s="355">
        <f>VLOOKUP(B407,Quotas!$A$8:$C$14,2,FALSE)</f>
        <v>46143.70833</v>
      </c>
      <c r="E407" s="356">
        <f>VLOOKUP(B407,Quotas!$A$8:$C$14,3,FALSE)</f>
        <v>46150.70833</v>
      </c>
      <c r="F407" s="79">
        <f>COUNTIFS(Matches!$B:$B,A407,Matches!$A:$A,CONCAT("&gt;",$D407),Matches!$A:$A,CONCAT("&lt;",$E407))</f>
        <v>2</v>
      </c>
      <c r="G407" s="79">
        <f>COUNTIFS(Matches!$C:$C,$A407,Matches!$A:$A,CONCAT("&gt;",$D407),Matches!$A:$A,CONCAT("&lt;",$E407))</f>
        <v>3</v>
      </c>
      <c r="H407" s="79">
        <f t="shared" si="1"/>
        <v>5</v>
      </c>
      <c r="I407" s="79">
        <f>COUNTIFS(Matches!$B:$B,$A407,Matches!$A:$A,CONCAT("&lt;",$E407))</f>
        <v>6</v>
      </c>
      <c r="J407" s="79">
        <f>COUNTIFS(Matches!$C:$C,$A407,Matches!$A:$A,CONCAT("&lt;",$E407))</f>
        <v>4</v>
      </c>
      <c r="K407" s="79">
        <f>COUNTIFS(Entropy!D:D,A407,Entropy!I:I,CONCAT("&lt;",E407-1))</f>
        <v>0</v>
      </c>
      <c r="L407" s="79">
        <f t="shared" si="2"/>
        <v>10</v>
      </c>
      <c r="M407" s="79">
        <f t="array" ref="M407">max(min(IF(J407+K407=11,0,XLOOKUP(B407,Quotas!$A$8:$A$14,Quotas!$E$8:$E$14)-$L407),2),0)</f>
        <v>0</v>
      </c>
      <c r="N407" s="31">
        <f t="shared" si="3"/>
        <v>0</v>
      </c>
    </row>
    <row r="408">
      <c r="A408" s="31" t="s">
        <v>348</v>
      </c>
      <c r="B408" s="9">
        <v>2.0</v>
      </c>
      <c r="C408" s="31" t="str">
        <f>VLOOKUP(A408, 'College List'!A:B, 2, FALSE)</f>
        <v>Quandrix</v>
      </c>
      <c r="D408" s="355">
        <f>VLOOKUP(B408,Quotas!$A$8:$C$14,2,FALSE)</f>
        <v>46143.70833</v>
      </c>
      <c r="E408" s="356">
        <f>VLOOKUP(B408,Quotas!$A$8:$C$14,3,FALSE)</f>
        <v>46150.70833</v>
      </c>
      <c r="F408" s="79">
        <f>COUNTIFS(Matches!$B:$B,A408,Matches!$A:$A,CONCAT("&gt;",$D408),Matches!$A:$A,CONCAT("&lt;",$E408))</f>
        <v>2</v>
      </c>
      <c r="G408" s="79">
        <f>COUNTIFS(Matches!$C:$C,$A408,Matches!$A:$A,CONCAT("&gt;",$D408),Matches!$A:$A,CONCAT("&lt;",$E408))</f>
        <v>2</v>
      </c>
      <c r="H408" s="79">
        <f t="shared" si="1"/>
        <v>4</v>
      </c>
      <c r="I408" s="79">
        <f>COUNTIFS(Matches!$B:$B,$A408,Matches!$A:$A,CONCAT("&lt;",$E408))</f>
        <v>3</v>
      </c>
      <c r="J408" s="79">
        <f>COUNTIFS(Matches!$C:$C,$A408,Matches!$A:$A,CONCAT("&lt;",$E408))</f>
        <v>6</v>
      </c>
      <c r="K408" s="79">
        <f>COUNTIFS(Entropy!D:D,A408,Entropy!I:I,CONCAT("&lt;",E408-1))</f>
        <v>0</v>
      </c>
      <c r="L408" s="79">
        <f t="shared" si="2"/>
        <v>9</v>
      </c>
      <c r="M408" s="79">
        <f t="array" ref="M408">max(min(IF(J408+K408=11,0,XLOOKUP(B408,Quotas!$A$8:$A$14,Quotas!$E$8:$E$14)-$L408),2),0)</f>
        <v>1</v>
      </c>
      <c r="N408" s="31">
        <f t="shared" si="3"/>
        <v>0.5</v>
      </c>
    </row>
    <row r="409">
      <c r="A409" s="31" t="s">
        <v>164</v>
      </c>
      <c r="B409" s="9">
        <v>2.0</v>
      </c>
      <c r="C409" s="31" t="str">
        <f>VLOOKUP(A409, 'College List'!A:B, 2, FALSE)</f>
        <v>Silverquill</v>
      </c>
      <c r="D409" s="355">
        <f>VLOOKUP(B409,Quotas!$A$8:$C$14,2,FALSE)</f>
        <v>46143.70833</v>
      </c>
      <c r="E409" s="356">
        <f>VLOOKUP(B409,Quotas!$A$8:$C$14,3,FALSE)</f>
        <v>46150.70833</v>
      </c>
      <c r="F409" s="79">
        <f>COUNTIFS(Matches!$B:$B,A409,Matches!$A:$A,CONCAT("&gt;",$D409),Matches!$A:$A,CONCAT("&lt;",$E409))</f>
        <v>2</v>
      </c>
      <c r="G409" s="79">
        <f>COUNTIFS(Matches!$C:$C,$A409,Matches!$A:$A,CONCAT("&gt;",$D409),Matches!$A:$A,CONCAT("&lt;",$E409))</f>
        <v>3</v>
      </c>
      <c r="H409" s="79">
        <f t="shared" si="1"/>
        <v>5</v>
      </c>
      <c r="I409" s="79">
        <f>COUNTIFS(Matches!$B:$B,$A409,Matches!$A:$A,CONCAT("&lt;",$E409))</f>
        <v>5</v>
      </c>
      <c r="J409" s="79">
        <f>COUNTIFS(Matches!$C:$C,$A409,Matches!$A:$A,CONCAT("&lt;",$E409))</f>
        <v>5</v>
      </c>
      <c r="K409" s="79">
        <f>COUNTIFS(Entropy!D:D,A409,Entropy!I:I,CONCAT("&lt;",E409-1))</f>
        <v>0</v>
      </c>
      <c r="L409" s="79">
        <f t="shared" si="2"/>
        <v>10</v>
      </c>
      <c r="M409" s="79">
        <f t="array" ref="M409">max(min(IF(J409+K409=11,0,XLOOKUP(B409,Quotas!$A$8:$A$14,Quotas!$E$8:$E$14)-$L409),2),0)</f>
        <v>0</v>
      </c>
      <c r="N409" s="31">
        <f t="shared" si="3"/>
        <v>0</v>
      </c>
    </row>
    <row r="410">
      <c r="A410" s="31" t="s">
        <v>54</v>
      </c>
      <c r="B410" s="9">
        <v>2.0</v>
      </c>
      <c r="C410" s="31" t="str">
        <f>VLOOKUP(A410, 'College List'!A:B, 2, FALSE)</f>
        <v>Prismari</v>
      </c>
      <c r="D410" s="355">
        <f>VLOOKUP(B410,Quotas!$A$8:$C$14,2,FALSE)</f>
        <v>46143.70833</v>
      </c>
      <c r="E410" s="356">
        <f>VLOOKUP(B410,Quotas!$A$8:$C$14,3,FALSE)</f>
        <v>46150.70833</v>
      </c>
      <c r="F410" s="79">
        <f>COUNTIFS(Matches!$B:$B,A410,Matches!$A:$A,CONCAT("&gt;",$D410),Matches!$A:$A,CONCAT("&lt;",$E410))</f>
        <v>2</v>
      </c>
      <c r="G410" s="79">
        <f>COUNTIFS(Matches!$C:$C,$A410,Matches!$A:$A,CONCAT("&gt;",$D410),Matches!$A:$A,CONCAT("&lt;",$E410))</f>
        <v>3</v>
      </c>
      <c r="H410" s="79">
        <f t="shared" si="1"/>
        <v>5</v>
      </c>
      <c r="I410" s="79">
        <f>COUNTIFS(Matches!$B:$B,$A410,Matches!$A:$A,CONCAT("&lt;",$E410))</f>
        <v>7</v>
      </c>
      <c r="J410" s="79">
        <f>COUNTIFS(Matches!$C:$C,$A410,Matches!$A:$A,CONCAT("&lt;",$E410))</f>
        <v>3</v>
      </c>
      <c r="K410" s="79">
        <f>COUNTIFS(Entropy!D:D,A410,Entropy!I:I,CONCAT("&lt;",E410-1))</f>
        <v>0</v>
      </c>
      <c r="L410" s="79">
        <f t="shared" si="2"/>
        <v>10</v>
      </c>
      <c r="M410" s="79">
        <f t="array" ref="M410">max(min(IF(J410+K410=11,0,XLOOKUP(B410,Quotas!$A$8:$A$14,Quotas!$E$8:$E$14)-$L410),2),0)</f>
        <v>0</v>
      </c>
      <c r="N410" s="31">
        <f t="shared" si="3"/>
        <v>0</v>
      </c>
    </row>
    <row r="411">
      <c r="A411" s="31" t="s">
        <v>256</v>
      </c>
      <c r="B411" s="9">
        <v>2.0</v>
      </c>
      <c r="C411" s="31" t="str">
        <f>VLOOKUP(A411, 'College List'!A:B, 2, FALSE)</f>
        <v>Quandrix</v>
      </c>
      <c r="D411" s="355">
        <f>VLOOKUP(B411,Quotas!$A$8:$C$14,2,FALSE)</f>
        <v>46143.70833</v>
      </c>
      <c r="E411" s="356">
        <f>VLOOKUP(B411,Quotas!$A$8:$C$14,3,FALSE)</f>
        <v>46150.70833</v>
      </c>
      <c r="F411" s="79">
        <f>COUNTIFS(Matches!$B:$B,A411,Matches!$A:$A,CONCAT("&gt;",$D411),Matches!$A:$A,CONCAT("&lt;",$E411))</f>
        <v>3</v>
      </c>
      <c r="G411" s="79">
        <f>COUNTIFS(Matches!$C:$C,$A411,Matches!$A:$A,CONCAT("&gt;",$D411),Matches!$A:$A,CONCAT("&lt;",$E411))</f>
        <v>2</v>
      </c>
      <c r="H411" s="79">
        <f t="shared" si="1"/>
        <v>5</v>
      </c>
      <c r="I411" s="79">
        <f>COUNTIFS(Matches!$B:$B,$A411,Matches!$A:$A,CONCAT("&lt;",$E411))</f>
        <v>6</v>
      </c>
      <c r="J411" s="79">
        <f>COUNTIFS(Matches!$C:$C,$A411,Matches!$A:$A,CONCAT("&lt;",$E411))</f>
        <v>4</v>
      </c>
      <c r="K411" s="79">
        <f>COUNTIFS(Entropy!D:D,A411,Entropy!I:I,CONCAT("&lt;",E411-1))</f>
        <v>0</v>
      </c>
      <c r="L411" s="79">
        <f t="shared" si="2"/>
        <v>10</v>
      </c>
      <c r="M411" s="79">
        <f t="array" ref="M411">max(min(IF(J411+K411=11,0,XLOOKUP(B411,Quotas!$A$8:$A$14,Quotas!$E$8:$E$14)-$L411),2),0)</f>
        <v>0</v>
      </c>
      <c r="N411" s="31">
        <f t="shared" si="3"/>
        <v>0</v>
      </c>
    </row>
    <row r="412">
      <c r="A412" s="31" t="s">
        <v>137</v>
      </c>
      <c r="B412" s="9">
        <v>2.0</v>
      </c>
      <c r="C412" s="31" t="str">
        <f>VLOOKUP(A412, 'College List'!A:B, 2, FALSE)</f>
        <v>Lorehold</v>
      </c>
      <c r="D412" s="355">
        <f>VLOOKUP(B412,Quotas!$A$8:$C$14,2,FALSE)</f>
        <v>46143.70833</v>
      </c>
      <c r="E412" s="356">
        <f>VLOOKUP(B412,Quotas!$A$8:$C$14,3,FALSE)</f>
        <v>46150.70833</v>
      </c>
      <c r="F412" s="79">
        <f>COUNTIFS(Matches!$B:$B,A412,Matches!$A:$A,CONCAT("&gt;",$D412),Matches!$A:$A,CONCAT("&lt;",$E412))</f>
        <v>2</v>
      </c>
      <c r="G412" s="79">
        <f>COUNTIFS(Matches!$C:$C,$A412,Matches!$A:$A,CONCAT("&gt;",$D412),Matches!$A:$A,CONCAT("&lt;",$E412))</f>
        <v>2</v>
      </c>
      <c r="H412" s="79">
        <f t="shared" si="1"/>
        <v>4</v>
      </c>
      <c r="I412" s="79">
        <f>COUNTIFS(Matches!$B:$B,$A412,Matches!$A:$A,CONCAT("&lt;",$E412))</f>
        <v>5</v>
      </c>
      <c r="J412" s="79">
        <f>COUNTIFS(Matches!$C:$C,$A412,Matches!$A:$A,CONCAT("&lt;",$E412))</f>
        <v>4</v>
      </c>
      <c r="K412" s="79">
        <f>COUNTIFS(Entropy!D:D,A412,Entropy!I:I,CONCAT("&lt;",E412-1))</f>
        <v>0</v>
      </c>
      <c r="L412" s="79">
        <f t="shared" si="2"/>
        <v>9</v>
      </c>
      <c r="M412" s="79">
        <f t="array" ref="M412">max(min(IF(J412+K412=11,0,XLOOKUP(B412,Quotas!$A$8:$A$14,Quotas!$E$8:$E$14)-$L412),2),0)</f>
        <v>1</v>
      </c>
      <c r="N412" s="31">
        <f t="shared" si="3"/>
        <v>0.5</v>
      </c>
    </row>
    <row r="413">
      <c r="A413" s="31" t="s">
        <v>213</v>
      </c>
      <c r="B413" s="9">
        <v>2.0</v>
      </c>
      <c r="C413" s="31" t="str">
        <f>VLOOKUP(A413, 'College List'!A:B, 2, FALSE)</f>
        <v>Prismari</v>
      </c>
      <c r="D413" s="355">
        <f>VLOOKUP(B413,Quotas!$A$8:$C$14,2,FALSE)</f>
        <v>46143.70833</v>
      </c>
      <c r="E413" s="356">
        <f>VLOOKUP(B413,Quotas!$A$8:$C$14,3,FALSE)</f>
        <v>46150.70833</v>
      </c>
      <c r="F413" s="79">
        <f>COUNTIFS(Matches!$B:$B,A413,Matches!$A:$A,CONCAT("&gt;",$D413),Matches!$A:$A,CONCAT("&lt;",$E413))</f>
        <v>5</v>
      </c>
      <c r="G413" s="79">
        <f>COUNTIFS(Matches!$C:$C,$A413,Matches!$A:$A,CONCAT("&gt;",$D413),Matches!$A:$A,CONCAT("&lt;",$E413))</f>
        <v>0</v>
      </c>
      <c r="H413" s="79">
        <f t="shared" si="1"/>
        <v>5</v>
      </c>
      <c r="I413" s="79">
        <f>COUNTIFS(Matches!$B:$B,$A413,Matches!$A:$A,CONCAT("&lt;",$E413))</f>
        <v>8</v>
      </c>
      <c r="J413" s="79">
        <f>COUNTIFS(Matches!$C:$C,$A413,Matches!$A:$A,CONCAT("&lt;",$E413))</f>
        <v>2</v>
      </c>
      <c r="K413" s="79">
        <f>COUNTIFS(Entropy!D:D,A413,Entropy!I:I,CONCAT("&lt;",E413-1))</f>
        <v>0</v>
      </c>
      <c r="L413" s="79">
        <f t="shared" si="2"/>
        <v>10</v>
      </c>
      <c r="M413" s="79">
        <f t="array" ref="M413">max(min(IF(J413+K413=11,0,XLOOKUP(B413,Quotas!$A$8:$A$14,Quotas!$E$8:$E$14)-$L413),2),0)</f>
        <v>0</v>
      </c>
      <c r="N413" s="31">
        <f t="shared" si="3"/>
        <v>0</v>
      </c>
    </row>
    <row r="414">
      <c r="A414" s="31" t="s">
        <v>343</v>
      </c>
      <c r="B414" s="9">
        <v>2.0</v>
      </c>
      <c r="C414" s="31" t="str">
        <f>VLOOKUP(A414, 'College List'!A:B, 2, FALSE)</f>
        <v>Silverquill</v>
      </c>
      <c r="D414" s="355">
        <f>VLOOKUP(B414,Quotas!$A$8:$C$14,2,FALSE)</f>
        <v>46143.70833</v>
      </c>
      <c r="E414" s="356">
        <f>VLOOKUP(B414,Quotas!$A$8:$C$14,3,FALSE)</f>
        <v>46150.70833</v>
      </c>
      <c r="F414" s="79">
        <f>COUNTIFS(Matches!$B:$B,A414,Matches!$A:$A,CONCAT("&gt;",$D414),Matches!$A:$A,CONCAT("&lt;",$E414))</f>
        <v>2</v>
      </c>
      <c r="G414" s="79">
        <f>COUNTIFS(Matches!$C:$C,$A414,Matches!$A:$A,CONCAT("&gt;",$D414),Matches!$A:$A,CONCAT("&lt;",$E414))</f>
        <v>3</v>
      </c>
      <c r="H414" s="79">
        <f t="shared" si="1"/>
        <v>5</v>
      </c>
      <c r="I414" s="79">
        <f>COUNTIFS(Matches!$B:$B,$A414,Matches!$A:$A,CONCAT("&lt;",$E414))</f>
        <v>5</v>
      </c>
      <c r="J414" s="79">
        <f>COUNTIFS(Matches!$C:$C,$A414,Matches!$A:$A,CONCAT("&lt;",$E414))</f>
        <v>4</v>
      </c>
      <c r="K414" s="79">
        <f>COUNTIFS(Entropy!D:D,A414,Entropy!I:I,CONCAT("&lt;",E414-1))</f>
        <v>0</v>
      </c>
      <c r="L414" s="79">
        <f t="shared" si="2"/>
        <v>9</v>
      </c>
      <c r="M414" s="79">
        <f t="array" ref="M414">max(min(IF(J414+K414=11,0,XLOOKUP(B414,Quotas!$A$8:$A$14,Quotas!$E$8:$E$14)-$L414),2),0)</f>
        <v>1</v>
      </c>
      <c r="N414" s="31">
        <f t="shared" si="3"/>
        <v>0.5</v>
      </c>
    </row>
    <row r="415">
      <c r="A415" s="31" t="s">
        <v>326</v>
      </c>
      <c r="B415" s="9">
        <v>2.0</v>
      </c>
      <c r="C415" s="31" t="str">
        <f>VLOOKUP(A415, 'College List'!A:B, 2, FALSE)</f>
        <v>Prismari</v>
      </c>
      <c r="D415" s="355">
        <f>VLOOKUP(B415,Quotas!$A$8:$C$14,2,FALSE)</f>
        <v>46143.70833</v>
      </c>
      <c r="E415" s="356">
        <f>VLOOKUP(B415,Quotas!$A$8:$C$14,3,FALSE)</f>
        <v>46150.70833</v>
      </c>
      <c r="F415" s="79">
        <f>COUNTIFS(Matches!$B:$B,A415,Matches!$A:$A,CONCAT("&gt;",$D415),Matches!$A:$A,CONCAT("&lt;",$E415))</f>
        <v>3</v>
      </c>
      <c r="G415" s="79">
        <f>COUNTIFS(Matches!$C:$C,$A415,Matches!$A:$A,CONCAT("&gt;",$D415),Matches!$A:$A,CONCAT("&lt;",$E415))</f>
        <v>3</v>
      </c>
      <c r="H415" s="79">
        <f t="shared" si="1"/>
        <v>6</v>
      </c>
      <c r="I415" s="79">
        <f>COUNTIFS(Matches!$B:$B,$A415,Matches!$A:$A,CONCAT("&lt;",$E415))</f>
        <v>3</v>
      </c>
      <c r="J415" s="79">
        <f>COUNTIFS(Matches!$C:$C,$A415,Matches!$A:$A,CONCAT("&lt;",$E415))</f>
        <v>7</v>
      </c>
      <c r="K415" s="79">
        <f>COUNTIFS(Entropy!D:D,A415,Entropy!I:I,CONCAT("&lt;",E415-1))</f>
        <v>0</v>
      </c>
      <c r="L415" s="79">
        <f t="shared" si="2"/>
        <v>10</v>
      </c>
      <c r="M415" s="79">
        <f t="array" ref="M415">max(min(IF(J415+K415=11,0,XLOOKUP(B415,Quotas!$A$8:$A$14,Quotas!$E$8:$E$14)-$L415),2),0)</f>
        <v>0</v>
      </c>
      <c r="N415" s="31">
        <f t="shared" si="3"/>
        <v>0</v>
      </c>
    </row>
    <row r="416">
      <c r="A416" s="31" t="s">
        <v>354</v>
      </c>
      <c r="B416" s="9">
        <v>2.0</v>
      </c>
      <c r="C416" s="31" t="str">
        <f>VLOOKUP(A416, 'College List'!A:B, 2, FALSE)</f>
        <v>Silverquill</v>
      </c>
      <c r="D416" s="355">
        <f>VLOOKUP(B416,Quotas!$A$8:$C$14,2,FALSE)</f>
        <v>46143.70833</v>
      </c>
      <c r="E416" s="356">
        <f>VLOOKUP(B416,Quotas!$A$8:$C$14,3,FALSE)</f>
        <v>46150.70833</v>
      </c>
      <c r="F416" s="79">
        <f>COUNTIFS(Matches!$B:$B,A416,Matches!$A:$A,CONCAT("&gt;",$D416),Matches!$A:$A,CONCAT("&lt;",$E416))</f>
        <v>4</v>
      </c>
      <c r="G416" s="79">
        <f>COUNTIFS(Matches!$C:$C,$A416,Matches!$A:$A,CONCAT("&gt;",$D416),Matches!$A:$A,CONCAT("&lt;",$E416))</f>
        <v>3</v>
      </c>
      <c r="H416" s="79">
        <f t="shared" si="1"/>
        <v>7</v>
      </c>
      <c r="I416" s="79">
        <f>COUNTIFS(Matches!$B:$B,$A416,Matches!$A:$A,CONCAT("&lt;",$E416))</f>
        <v>4</v>
      </c>
      <c r="J416" s="79">
        <f>COUNTIFS(Matches!$C:$C,$A416,Matches!$A:$A,CONCAT("&lt;",$E416))</f>
        <v>5</v>
      </c>
      <c r="K416" s="79">
        <f>COUNTIFS(Entropy!D:D,A416,Entropy!I:I,CONCAT("&lt;",E416-1))</f>
        <v>1</v>
      </c>
      <c r="L416" s="79">
        <f t="shared" si="2"/>
        <v>10</v>
      </c>
      <c r="M416" s="79">
        <f t="array" ref="M416">max(min(IF(J416+K416=11,0,XLOOKUP(B416,Quotas!$A$8:$A$14,Quotas!$E$8:$E$14)-$L416),2),0)</f>
        <v>0</v>
      </c>
      <c r="N416" s="31">
        <f t="shared" si="3"/>
        <v>0</v>
      </c>
    </row>
    <row r="417">
      <c r="A417" s="31" t="s">
        <v>157</v>
      </c>
      <c r="B417" s="9">
        <v>2.0</v>
      </c>
      <c r="C417" s="31" t="str">
        <f>VLOOKUP(A417, 'College List'!A:B, 2, FALSE)</f>
        <v>Silverquill</v>
      </c>
      <c r="D417" s="355">
        <f>VLOOKUP(B417,Quotas!$A$8:$C$14,2,FALSE)</f>
        <v>46143.70833</v>
      </c>
      <c r="E417" s="356">
        <f>VLOOKUP(B417,Quotas!$A$8:$C$14,3,FALSE)</f>
        <v>46150.70833</v>
      </c>
      <c r="F417" s="79">
        <f>COUNTIFS(Matches!$B:$B,A417,Matches!$A:$A,CONCAT("&gt;",$D417),Matches!$A:$A,CONCAT("&lt;",$E417))</f>
        <v>2</v>
      </c>
      <c r="G417" s="79">
        <f>COUNTIFS(Matches!$C:$C,$A417,Matches!$A:$A,CONCAT("&gt;",$D417),Matches!$A:$A,CONCAT("&lt;",$E417))</f>
        <v>2</v>
      </c>
      <c r="H417" s="79">
        <f t="shared" si="1"/>
        <v>4</v>
      </c>
      <c r="I417" s="79">
        <f>COUNTIFS(Matches!$B:$B,$A417,Matches!$A:$A,CONCAT("&lt;",$E417))</f>
        <v>4</v>
      </c>
      <c r="J417" s="79">
        <f>COUNTIFS(Matches!$C:$C,$A417,Matches!$A:$A,CONCAT("&lt;",$E417))</f>
        <v>5</v>
      </c>
      <c r="K417" s="79">
        <f>COUNTIFS(Entropy!D:D,A417,Entropy!I:I,CONCAT("&lt;",E417-1))</f>
        <v>0</v>
      </c>
      <c r="L417" s="79">
        <f t="shared" si="2"/>
        <v>9</v>
      </c>
      <c r="M417" s="79">
        <f t="array" ref="M417">max(min(IF(J417+K417=11,0,XLOOKUP(B417,Quotas!$A$8:$A$14,Quotas!$E$8:$E$14)-$L417),2),0)</f>
        <v>1</v>
      </c>
      <c r="N417" s="31">
        <f t="shared" si="3"/>
        <v>0.5</v>
      </c>
    </row>
    <row r="418">
      <c r="A418" s="31" t="s">
        <v>352</v>
      </c>
      <c r="B418" s="9">
        <v>2.0</v>
      </c>
      <c r="C418" s="31" t="str">
        <f>VLOOKUP(A418, 'College List'!A:B, 2, FALSE)</f>
        <v>Prismari</v>
      </c>
      <c r="D418" s="355">
        <f>VLOOKUP(B418,Quotas!$A$8:$C$14,2,FALSE)</f>
        <v>46143.70833</v>
      </c>
      <c r="E418" s="356">
        <f>VLOOKUP(B418,Quotas!$A$8:$C$14,3,FALSE)</f>
        <v>46150.70833</v>
      </c>
      <c r="F418" s="79">
        <f>COUNTIFS(Matches!$B:$B,A418,Matches!$A:$A,CONCAT("&gt;",$D418),Matches!$A:$A,CONCAT("&lt;",$E418))</f>
        <v>4</v>
      </c>
      <c r="G418" s="79">
        <f>COUNTIFS(Matches!$C:$C,$A418,Matches!$A:$A,CONCAT("&gt;",$D418),Matches!$A:$A,CONCAT("&lt;",$E418))</f>
        <v>3</v>
      </c>
      <c r="H418" s="79">
        <f t="shared" si="1"/>
        <v>7</v>
      </c>
      <c r="I418" s="79">
        <f>COUNTIFS(Matches!$B:$B,$A418,Matches!$A:$A,CONCAT("&lt;",$E418))</f>
        <v>5</v>
      </c>
      <c r="J418" s="79">
        <f>COUNTIFS(Matches!$C:$C,$A418,Matches!$A:$A,CONCAT("&lt;",$E418))</f>
        <v>5</v>
      </c>
      <c r="K418" s="79">
        <f>COUNTIFS(Entropy!D:D,A418,Entropy!I:I,CONCAT("&lt;",E418-1))</f>
        <v>0</v>
      </c>
      <c r="L418" s="79">
        <f t="shared" si="2"/>
        <v>10</v>
      </c>
      <c r="M418" s="79">
        <f t="array" ref="M418">max(min(IF(J418+K418=11,0,XLOOKUP(B418,Quotas!$A$8:$A$14,Quotas!$E$8:$E$14)-$L418),2),0)</f>
        <v>0</v>
      </c>
      <c r="N418" s="31">
        <f t="shared" si="3"/>
        <v>0</v>
      </c>
    </row>
    <row r="419">
      <c r="A419" s="31" t="s">
        <v>245</v>
      </c>
      <c r="B419" s="9">
        <v>2.0</v>
      </c>
      <c r="C419" s="31" t="str">
        <f>VLOOKUP(A419, 'College List'!A:B, 2, FALSE)</f>
        <v>Witherbloom</v>
      </c>
      <c r="D419" s="355">
        <f>VLOOKUP(B419,Quotas!$A$8:$C$14,2,FALSE)</f>
        <v>46143.70833</v>
      </c>
      <c r="E419" s="356">
        <f>VLOOKUP(B419,Quotas!$A$8:$C$14,3,FALSE)</f>
        <v>46150.70833</v>
      </c>
      <c r="F419" s="79">
        <f>COUNTIFS(Matches!$B:$B,A419,Matches!$A:$A,CONCAT("&gt;",$D419),Matches!$A:$A,CONCAT("&lt;",$E419))</f>
        <v>1</v>
      </c>
      <c r="G419" s="79">
        <f>COUNTIFS(Matches!$C:$C,$A419,Matches!$A:$A,CONCAT("&gt;",$D419),Matches!$A:$A,CONCAT("&lt;",$E419))</f>
        <v>4</v>
      </c>
      <c r="H419" s="79">
        <f t="shared" si="1"/>
        <v>5</v>
      </c>
      <c r="I419" s="79">
        <f>COUNTIFS(Matches!$B:$B,$A419,Matches!$A:$A,CONCAT("&lt;",$E419))</f>
        <v>4</v>
      </c>
      <c r="J419" s="79">
        <f>COUNTIFS(Matches!$C:$C,$A419,Matches!$A:$A,CONCAT("&lt;",$E419))</f>
        <v>6</v>
      </c>
      <c r="K419" s="79">
        <f>COUNTIFS(Entropy!D:D,A419,Entropy!I:I,CONCAT("&lt;",E419-1))</f>
        <v>0</v>
      </c>
      <c r="L419" s="79">
        <f t="shared" si="2"/>
        <v>10</v>
      </c>
      <c r="M419" s="79">
        <f t="array" ref="M419">max(min(IF(J419+K419=11,0,XLOOKUP(B419,Quotas!$A$8:$A$14,Quotas!$E$8:$E$14)-$L419),2),0)</f>
        <v>0</v>
      </c>
      <c r="N419" s="31">
        <f t="shared" si="3"/>
        <v>0</v>
      </c>
    </row>
    <row r="420">
      <c r="A420" s="31" t="s">
        <v>132</v>
      </c>
      <c r="B420" s="9">
        <v>2.0</v>
      </c>
      <c r="C420" s="31" t="str">
        <f>VLOOKUP(A420, 'College List'!A:B, 2, FALSE)</f>
        <v>Quandrix</v>
      </c>
      <c r="D420" s="355">
        <f>VLOOKUP(B420,Quotas!$A$8:$C$14,2,FALSE)</f>
        <v>46143.70833</v>
      </c>
      <c r="E420" s="356">
        <f>VLOOKUP(B420,Quotas!$A$8:$C$14,3,FALSE)</f>
        <v>46150.70833</v>
      </c>
      <c r="F420" s="79">
        <f>COUNTIFS(Matches!$B:$B,A420,Matches!$A:$A,CONCAT("&gt;",$D420),Matches!$A:$A,CONCAT("&lt;",$E420))</f>
        <v>3</v>
      </c>
      <c r="G420" s="79">
        <f>COUNTIFS(Matches!$C:$C,$A420,Matches!$A:$A,CONCAT("&gt;",$D420),Matches!$A:$A,CONCAT("&lt;",$E420))</f>
        <v>2</v>
      </c>
      <c r="H420" s="79">
        <f t="shared" si="1"/>
        <v>5</v>
      </c>
      <c r="I420" s="79">
        <f>COUNTIFS(Matches!$B:$B,$A420,Matches!$A:$A,CONCAT("&lt;",$E420))</f>
        <v>7</v>
      </c>
      <c r="J420" s="79">
        <f>COUNTIFS(Matches!$C:$C,$A420,Matches!$A:$A,CONCAT("&lt;",$E420))</f>
        <v>3</v>
      </c>
      <c r="K420" s="79">
        <f>COUNTIFS(Entropy!D:D,A420,Entropy!I:I,CONCAT("&lt;",E420-1))</f>
        <v>0</v>
      </c>
      <c r="L420" s="79">
        <f t="shared" si="2"/>
        <v>10</v>
      </c>
      <c r="M420" s="79">
        <f t="array" ref="M420">max(min(IF(J420+K420=11,0,XLOOKUP(B420,Quotas!$A$8:$A$14,Quotas!$E$8:$E$14)-$L420),2),0)</f>
        <v>0</v>
      </c>
      <c r="N420" s="31">
        <f t="shared" si="3"/>
        <v>0</v>
      </c>
    </row>
    <row r="421">
      <c r="A421" s="31" t="s">
        <v>331</v>
      </c>
      <c r="B421" s="9">
        <v>2.0</v>
      </c>
      <c r="C421" s="31" t="str">
        <f>VLOOKUP(A421, 'College List'!A:B, 2, FALSE)</f>
        <v>Silverquill</v>
      </c>
      <c r="D421" s="355">
        <f>VLOOKUP(B421,Quotas!$A$8:$C$14,2,FALSE)</f>
        <v>46143.70833</v>
      </c>
      <c r="E421" s="356">
        <f>VLOOKUP(B421,Quotas!$A$8:$C$14,3,FALSE)</f>
        <v>46150.70833</v>
      </c>
      <c r="F421" s="79">
        <f>COUNTIFS(Matches!$B:$B,A421,Matches!$A:$A,CONCAT("&gt;",$D421),Matches!$A:$A,CONCAT("&lt;",$E421))</f>
        <v>4</v>
      </c>
      <c r="G421" s="79">
        <f>COUNTIFS(Matches!$C:$C,$A421,Matches!$A:$A,CONCAT("&gt;",$D421),Matches!$A:$A,CONCAT("&lt;",$E421))</f>
        <v>2</v>
      </c>
      <c r="H421" s="79">
        <f t="shared" si="1"/>
        <v>6</v>
      </c>
      <c r="I421" s="79">
        <f>COUNTIFS(Matches!$B:$B,$A421,Matches!$A:$A,CONCAT("&lt;",$E421))</f>
        <v>7</v>
      </c>
      <c r="J421" s="79">
        <f>COUNTIFS(Matches!$C:$C,$A421,Matches!$A:$A,CONCAT("&lt;",$E421))</f>
        <v>3</v>
      </c>
      <c r="K421" s="79">
        <f>COUNTIFS(Entropy!D:D,A421,Entropy!I:I,CONCAT("&lt;",E421-1))</f>
        <v>0</v>
      </c>
      <c r="L421" s="79">
        <f t="shared" si="2"/>
        <v>10</v>
      </c>
      <c r="M421" s="79">
        <f t="array" ref="M421">max(min(IF(J421+K421=11,0,XLOOKUP(B421,Quotas!$A$8:$A$14,Quotas!$E$8:$E$14)-$L421),2),0)</f>
        <v>0</v>
      </c>
      <c r="N421" s="31">
        <f t="shared" si="3"/>
        <v>0</v>
      </c>
    </row>
    <row r="422">
      <c r="A422" s="31" t="s">
        <v>635</v>
      </c>
      <c r="B422" s="9">
        <v>2.0</v>
      </c>
      <c r="C422" s="31" t="str">
        <f>VLOOKUP(A422, 'College List'!A:B, 2, FALSE)</f>
        <v>Lorehold</v>
      </c>
      <c r="D422" s="355">
        <f>VLOOKUP(B422,Quotas!$A$8:$C$14,2,FALSE)</f>
        <v>46143.70833</v>
      </c>
      <c r="E422" s="356">
        <f>VLOOKUP(B422,Quotas!$A$8:$C$14,3,FALSE)</f>
        <v>46150.70833</v>
      </c>
      <c r="F422" s="79">
        <f>COUNTIFS(Matches!$B:$B,A422,Matches!$A:$A,CONCAT("&gt;",$D422),Matches!$A:$A,CONCAT("&lt;",$E422))</f>
        <v>0</v>
      </c>
      <c r="G422" s="79">
        <f>COUNTIFS(Matches!$C:$C,$A422,Matches!$A:$A,CONCAT("&gt;",$D422),Matches!$A:$A,CONCAT("&lt;",$E422))</f>
        <v>0</v>
      </c>
      <c r="H422" s="79">
        <f t="shared" si="1"/>
        <v>0</v>
      </c>
      <c r="I422" s="79">
        <f>COUNTIFS(Matches!$B:$B,$A422,Matches!$A:$A,CONCAT("&lt;",$E422))</f>
        <v>0</v>
      </c>
      <c r="J422" s="79">
        <f>COUNTIFS(Matches!$C:$C,$A422,Matches!$A:$A,CONCAT("&lt;",$E422))</f>
        <v>0</v>
      </c>
      <c r="K422" s="79">
        <f>COUNTIFS(Entropy!D:D,A422,Entropy!I:I,CONCAT("&lt;",E422-1))</f>
        <v>3</v>
      </c>
      <c r="L422" s="79">
        <f t="shared" si="2"/>
        <v>3</v>
      </c>
      <c r="M422" s="79">
        <f t="array" ref="M422">max(min(IF(J422+K422=11,0,XLOOKUP(B422,Quotas!$A$8:$A$14,Quotas!$E$8:$E$14)-$L422),2),0)</f>
        <v>2</v>
      </c>
      <c r="N422" s="31">
        <f t="shared" si="3"/>
        <v>0</v>
      </c>
    </row>
    <row r="423">
      <c r="A423" s="31" t="s">
        <v>324</v>
      </c>
      <c r="B423" s="9">
        <v>2.0</v>
      </c>
      <c r="C423" s="31" t="str">
        <f>VLOOKUP(A423, 'College List'!A:B, 2, FALSE)</f>
        <v>Lorehold</v>
      </c>
      <c r="D423" s="355">
        <f>VLOOKUP(B423,Quotas!$A$8:$C$14,2,FALSE)</f>
        <v>46143.70833</v>
      </c>
      <c r="E423" s="356">
        <f>VLOOKUP(B423,Quotas!$A$8:$C$14,3,FALSE)</f>
        <v>46150.70833</v>
      </c>
      <c r="F423" s="79">
        <f>COUNTIFS(Matches!$B:$B,A423,Matches!$A:$A,CONCAT("&gt;",$D423),Matches!$A:$A,CONCAT("&lt;",$E423))</f>
        <v>2</v>
      </c>
      <c r="G423" s="79">
        <f>COUNTIFS(Matches!$C:$C,$A423,Matches!$A:$A,CONCAT("&gt;",$D423),Matches!$A:$A,CONCAT("&lt;",$E423))</f>
        <v>3</v>
      </c>
      <c r="H423" s="79">
        <f t="shared" si="1"/>
        <v>5</v>
      </c>
      <c r="I423" s="79">
        <f>COUNTIFS(Matches!$B:$B,$A423,Matches!$A:$A,CONCAT("&lt;",$E423))</f>
        <v>6</v>
      </c>
      <c r="J423" s="79">
        <f>COUNTIFS(Matches!$C:$C,$A423,Matches!$A:$A,CONCAT("&lt;",$E423))</f>
        <v>4</v>
      </c>
      <c r="K423" s="79">
        <f>COUNTIFS(Entropy!D:D,A423,Entropy!I:I,CONCAT("&lt;",E423-1))</f>
        <v>0</v>
      </c>
      <c r="L423" s="79">
        <f t="shared" si="2"/>
        <v>10</v>
      </c>
      <c r="M423" s="79">
        <f t="array" ref="M423">max(min(IF(J423+K423=11,0,XLOOKUP(B423,Quotas!$A$8:$A$14,Quotas!$E$8:$E$14)-$L423),2),0)</f>
        <v>0</v>
      </c>
      <c r="N423" s="31">
        <f t="shared" si="3"/>
        <v>0</v>
      </c>
    </row>
    <row r="424">
      <c r="A424" s="31" t="s">
        <v>346</v>
      </c>
      <c r="B424" s="9">
        <v>2.0</v>
      </c>
      <c r="C424" s="31" t="str">
        <f>VLOOKUP(A424, 'College List'!A:B, 2, FALSE)</f>
        <v>Silverquill</v>
      </c>
      <c r="D424" s="355">
        <f>VLOOKUP(B424,Quotas!$A$8:$C$14,2,FALSE)</f>
        <v>46143.70833</v>
      </c>
      <c r="E424" s="356">
        <f>VLOOKUP(B424,Quotas!$A$8:$C$14,3,FALSE)</f>
        <v>46150.70833</v>
      </c>
      <c r="F424" s="79">
        <f>COUNTIFS(Matches!$B:$B,A424,Matches!$A:$A,CONCAT("&gt;",$D424),Matches!$A:$A,CONCAT("&lt;",$E424))</f>
        <v>3</v>
      </c>
      <c r="G424" s="79">
        <f>COUNTIFS(Matches!$C:$C,$A424,Matches!$A:$A,CONCAT("&gt;",$D424),Matches!$A:$A,CONCAT("&lt;",$E424))</f>
        <v>2</v>
      </c>
      <c r="H424" s="79">
        <f t="shared" si="1"/>
        <v>5</v>
      </c>
      <c r="I424" s="79">
        <f>COUNTIFS(Matches!$B:$B,$A424,Matches!$A:$A,CONCAT("&lt;",$E424))</f>
        <v>5</v>
      </c>
      <c r="J424" s="79">
        <f>COUNTIFS(Matches!$C:$C,$A424,Matches!$A:$A,CONCAT("&lt;",$E424))</f>
        <v>4</v>
      </c>
      <c r="K424" s="79">
        <f>COUNTIFS(Entropy!D:D,A424,Entropy!I:I,CONCAT("&lt;",E424-1))</f>
        <v>0</v>
      </c>
      <c r="L424" s="79">
        <f t="shared" si="2"/>
        <v>9</v>
      </c>
      <c r="M424" s="79">
        <f t="array" ref="M424">max(min(IF(J424+K424=11,0,XLOOKUP(B424,Quotas!$A$8:$A$14,Quotas!$E$8:$E$14)-$L424),2),0)</f>
        <v>1</v>
      </c>
      <c r="N424" s="31">
        <f t="shared" si="3"/>
        <v>0.5</v>
      </c>
    </row>
    <row r="425">
      <c r="A425" s="31" t="s">
        <v>125</v>
      </c>
      <c r="B425" s="9">
        <v>2.0</v>
      </c>
      <c r="C425" s="31" t="str">
        <f>VLOOKUP(A425, 'College List'!A:B, 2, FALSE)</f>
        <v>Prismari</v>
      </c>
      <c r="D425" s="355">
        <f>VLOOKUP(B425,Quotas!$A$8:$C$14,2,FALSE)</f>
        <v>46143.70833</v>
      </c>
      <c r="E425" s="356">
        <f>VLOOKUP(B425,Quotas!$A$8:$C$14,3,FALSE)</f>
        <v>46150.70833</v>
      </c>
      <c r="F425" s="79">
        <f>COUNTIFS(Matches!$B:$B,A425,Matches!$A:$A,CONCAT("&gt;",$D425),Matches!$A:$A,CONCAT("&lt;",$E425))</f>
        <v>1</v>
      </c>
      <c r="G425" s="79">
        <f>COUNTIFS(Matches!$C:$C,$A425,Matches!$A:$A,CONCAT("&gt;",$D425),Matches!$A:$A,CONCAT("&lt;",$E425))</f>
        <v>2</v>
      </c>
      <c r="H425" s="79">
        <f t="shared" si="1"/>
        <v>3</v>
      </c>
      <c r="I425" s="79">
        <f>COUNTIFS(Matches!$B:$B,$A425,Matches!$A:$A,CONCAT("&lt;",$E425))</f>
        <v>2</v>
      </c>
      <c r="J425" s="79">
        <f>COUNTIFS(Matches!$C:$C,$A425,Matches!$A:$A,CONCAT("&lt;",$E425))</f>
        <v>5</v>
      </c>
      <c r="K425" s="79">
        <f>COUNTIFS(Entropy!D:D,A425,Entropy!I:I,CONCAT("&lt;",E425-1))</f>
        <v>0</v>
      </c>
      <c r="L425" s="79">
        <f t="shared" si="2"/>
        <v>7</v>
      </c>
      <c r="M425" s="79">
        <f t="array" ref="M425">max(min(IF(J425+K425=11,0,XLOOKUP(B425,Quotas!$A$8:$A$14,Quotas!$E$8:$E$14)-$L425),2),0)</f>
        <v>2</v>
      </c>
      <c r="N425" s="31">
        <f t="shared" si="3"/>
        <v>1</v>
      </c>
    </row>
    <row r="426">
      <c r="A426" s="9" t="s">
        <v>292</v>
      </c>
      <c r="B426" s="9">
        <v>2.0</v>
      </c>
      <c r="C426" s="31" t="str">
        <f>VLOOKUP(A426, 'College List'!A:B, 2, FALSE)</f>
        <v>Prismari</v>
      </c>
      <c r="D426" s="355">
        <f>VLOOKUP(B426,Quotas!$A$8:$C$14,2,FALSE)</f>
        <v>46143.70833</v>
      </c>
      <c r="E426" s="356">
        <f>VLOOKUP(B426,Quotas!$A$8:$C$14,3,FALSE)</f>
        <v>46150.70833</v>
      </c>
      <c r="F426" s="79">
        <f>COUNTIFS(Matches!$B:$B,A426,Matches!$A:$A,CONCAT("&gt;",$D426),Matches!$A:$A,CONCAT("&lt;",$E426))</f>
        <v>0</v>
      </c>
      <c r="G426" s="79">
        <f>COUNTIFS(Matches!$C:$C,$A426,Matches!$A:$A,CONCAT("&gt;",$D426),Matches!$A:$A,CONCAT("&lt;",$E426))</f>
        <v>1</v>
      </c>
      <c r="H426" s="79">
        <f t="shared" si="1"/>
        <v>1</v>
      </c>
      <c r="I426" s="79">
        <f>COUNTIFS(Matches!$B:$B,$A426,Matches!$A:$A,CONCAT("&lt;",$E426))</f>
        <v>2</v>
      </c>
      <c r="J426" s="79">
        <f>COUNTIFS(Matches!$C:$C,$A426,Matches!$A:$A,CONCAT("&lt;",$E426))</f>
        <v>4</v>
      </c>
      <c r="K426" s="79">
        <f>COUNTIFS(Entropy!D:D,A426,Entropy!I:I,CONCAT("&lt;",E426-1))</f>
        <v>0</v>
      </c>
      <c r="L426" s="79">
        <f t="shared" si="2"/>
        <v>6</v>
      </c>
      <c r="M426" s="79">
        <f t="array" ref="M426">max(min(IF(J426+K426=11,0,XLOOKUP(B426,Quotas!$A$8:$A$14,Quotas!$E$8:$E$14)-$L426),2),0)</f>
        <v>2</v>
      </c>
      <c r="N426" s="31">
        <f t="shared" si="3"/>
        <v>1</v>
      </c>
    </row>
    <row r="427">
      <c r="A427" s="31" t="s">
        <v>215</v>
      </c>
      <c r="B427" s="9">
        <v>2.0</v>
      </c>
      <c r="C427" s="31" t="str">
        <f>VLOOKUP(A427, 'College List'!A:B, 2, FALSE)</f>
        <v>Silverquill</v>
      </c>
      <c r="D427" s="355">
        <f>VLOOKUP(B427,Quotas!$A$8:$C$14,2,FALSE)</f>
        <v>46143.70833</v>
      </c>
      <c r="E427" s="356">
        <f>VLOOKUP(B427,Quotas!$A$8:$C$14,3,FALSE)</f>
        <v>46150.70833</v>
      </c>
      <c r="F427" s="79">
        <f>COUNTIFS(Matches!$B:$B,A427,Matches!$A:$A,CONCAT("&gt;",$D427),Matches!$A:$A,CONCAT("&lt;",$E427))</f>
        <v>0</v>
      </c>
      <c r="G427" s="79">
        <f>COUNTIFS(Matches!$C:$C,$A427,Matches!$A:$A,CONCAT("&gt;",$D427),Matches!$A:$A,CONCAT("&lt;",$E427))</f>
        <v>4</v>
      </c>
      <c r="H427" s="79">
        <f t="shared" si="1"/>
        <v>4</v>
      </c>
      <c r="I427" s="79">
        <f>COUNTIFS(Matches!$B:$B,$A427,Matches!$A:$A,CONCAT("&lt;",$E427))</f>
        <v>2</v>
      </c>
      <c r="J427" s="79">
        <f>COUNTIFS(Matches!$C:$C,$A427,Matches!$A:$A,CONCAT("&lt;",$E427))</f>
        <v>5</v>
      </c>
      <c r="K427" s="79">
        <f>COUNTIFS(Entropy!D:D,A427,Entropy!I:I,CONCAT("&lt;",E427-1))</f>
        <v>0</v>
      </c>
      <c r="L427" s="79">
        <f t="shared" si="2"/>
        <v>7</v>
      </c>
      <c r="M427" s="79">
        <f t="array" ref="M427">max(min(IF(J427+K427=11,0,XLOOKUP(B427,Quotas!$A$8:$A$14,Quotas!$E$8:$E$14)-$L427),2),0)</f>
        <v>2</v>
      </c>
      <c r="N427" s="31">
        <f t="shared" si="3"/>
        <v>1</v>
      </c>
    </row>
    <row r="428">
      <c r="A428" s="31" t="s">
        <v>366</v>
      </c>
      <c r="B428" s="9">
        <v>2.0</v>
      </c>
      <c r="C428" s="31" t="str">
        <f>VLOOKUP(A428, 'College List'!A:B, 2, FALSE)</f>
        <v>Quandrix</v>
      </c>
      <c r="D428" s="355">
        <f>VLOOKUP(B428,Quotas!$A$8:$C$14,2,FALSE)</f>
        <v>46143.70833</v>
      </c>
      <c r="E428" s="356">
        <f>VLOOKUP(B428,Quotas!$A$8:$C$14,3,FALSE)</f>
        <v>46150.70833</v>
      </c>
      <c r="F428" s="79">
        <f>COUNTIFS(Matches!$B:$B,A428,Matches!$A:$A,CONCAT("&gt;",$D428),Matches!$A:$A,CONCAT("&lt;",$E428))</f>
        <v>3</v>
      </c>
      <c r="G428" s="79">
        <f>COUNTIFS(Matches!$C:$C,$A428,Matches!$A:$A,CONCAT("&gt;",$D428),Matches!$A:$A,CONCAT("&lt;",$E428))</f>
        <v>2</v>
      </c>
      <c r="H428" s="79">
        <f t="shared" si="1"/>
        <v>5</v>
      </c>
      <c r="I428" s="79">
        <f>COUNTIFS(Matches!$B:$B,$A428,Matches!$A:$A,CONCAT("&lt;",$E428))</f>
        <v>5</v>
      </c>
      <c r="J428" s="79">
        <f>COUNTIFS(Matches!$C:$C,$A428,Matches!$A:$A,CONCAT("&lt;",$E428))</f>
        <v>5</v>
      </c>
      <c r="K428" s="79">
        <f>COUNTIFS(Entropy!D:D,A428,Entropy!I:I,CONCAT("&lt;",E428-1))</f>
        <v>0</v>
      </c>
      <c r="L428" s="79">
        <f t="shared" si="2"/>
        <v>10</v>
      </c>
      <c r="M428" s="79">
        <f t="array" ref="M428">max(min(IF(J428+K428=11,0,XLOOKUP(B428,Quotas!$A$8:$A$14,Quotas!$E$8:$E$14)-$L428),2),0)</f>
        <v>0</v>
      </c>
      <c r="N428" s="31">
        <f t="shared" si="3"/>
        <v>0</v>
      </c>
    </row>
    <row r="429">
      <c r="A429" s="31" t="s">
        <v>349</v>
      </c>
      <c r="B429" s="9">
        <v>2.0</v>
      </c>
      <c r="C429" s="31" t="str">
        <f>VLOOKUP(A429, 'College List'!A:B, 2, FALSE)</f>
        <v>Prismari</v>
      </c>
      <c r="D429" s="355">
        <f>VLOOKUP(B429,Quotas!$A$8:$C$14,2,FALSE)</f>
        <v>46143.70833</v>
      </c>
      <c r="E429" s="356">
        <f>VLOOKUP(B429,Quotas!$A$8:$C$14,3,FALSE)</f>
        <v>46150.70833</v>
      </c>
      <c r="F429" s="79">
        <f>COUNTIFS(Matches!$B:$B,A429,Matches!$A:$A,CONCAT("&gt;",$D429),Matches!$A:$A,CONCAT("&lt;",$E429))</f>
        <v>4</v>
      </c>
      <c r="G429" s="79">
        <f>COUNTIFS(Matches!$C:$C,$A429,Matches!$A:$A,CONCAT("&gt;",$D429),Matches!$A:$A,CONCAT("&lt;",$E429))</f>
        <v>1</v>
      </c>
      <c r="H429" s="79">
        <f t="shared" si="1"/>
        <v>5</v>
      </c>
      <c r="I429" s="79">
        <f>COUNTIFS(Matches!$B:$B,$A429,Matches!$A:$A,CONCAT("&lt;",$E429))</f>
        <v>8</v>
      </c>
      <c r="J429" s="79">
        <f>COUNTIFS(Matches!$C:$C,$A429,Matches!$A:$A,CONCAT("&lt;",$E429))</f>
        <v>2</v>
      </c>
      <c r="K429" s="79">
        <f>COUNTIFS(Entropy!D:D,A429,Entropy!I:I,CONCAT("&lt;",E429-1))</f>
        <v>0</v>
      </c>
      <c r="L429" s="79">
        <f t="shared" si="2"/>
        <v>10</v>
      </c>
      <c r="M429" s="79">
        <f t="array" ref="M429">max(min(IF(J429+K429=11,0,XLOOKUP(B429,Quotas!$A$8:$A$14,Quotas!$E$8:$E$14)-$L429),2),0)</f>
        <v>0</v>
      </c>
      <c r="N429" s="31">
        <f t="shared" si="3"/>
        <v>0</v>
      </c>
    </row>
    <row r="430">
      <c r="A430" s="31" t="s">
        <v>315</v>
      </c>
      <c r="B430" s="9">
        <v>2.0</v>
      </c>
      <c r="C430" s="31" t="str">
        <f>VLOOKUP(A430, 'College List'!A:B, 2, FALSE)</f>
        <v>Prismari</v>
      </c>
      <c r="D430" s="355">
        <f>VLOOKUP(B430,Quotas!$A$8:$C$14,2,FALSE)</f>
        <v>46143.70833</v>
      </c>
      <c r="E430" s="356">
        <f>VLOOKUP(B430,Quotas!$A$8:$C$14,3,FALSE)</f>
        <v>46150.70833</v>
      </c>
      <c r="F430" s="79">
        <f>COUNTIFS(Matches!$B:$B,A430,Matches!$A:$A,CONCAT("&gt;",$D430),Matches!$A:$A,CONCAT("&lt;",$E430))</f>
        <v>4</v>
      </c>
      <c r="G430" s="79">
        <f>COUNTIFS(Matches!$C:$C,$A430,Matches!$A:$A,CONCAT("&gt;",$D430),Matches!$A:$A,CONCAT("&lt;",$E430))</f>
        <v>1</v>
      </c>
      <c r="H430" s="79">
        <f t="shared" si="1"/>
        <v>5</v>
      </c>
      <c r="I430" s="79">
        <f>COUNTIFS(Matches!$B:$B,$A430,Matches!$A:$A,CONCAT("&lt;",$E430))</f>
        <v>6</v>
      </c>
      <c r="J430" s="79">
        <f>COUNTIFS(Matches!$C:$C,$A430,Matches!$A:$A,CONCAT("&lt;",$E430))</f>
        <v>4</v>
      </c>
      <c r="K430" s="79">
        <f>COUNTIFS(Entropy!D:D,A430,Entropy!I:I,CONCAT("&lt;",E430-1))</f>
        <v>0</v>
      </c>
      <c r="L430" s="79">
        <f t="shared" si="2"/>
        <v>10</v>
      </c>
      <c r="M430" s="79">
        <f t="array" ref="M430">max(min(IF(J430+K430=11,0,XLOOKUP(B430,Quotas!$A$8:$A$14,Quotas!$E$8:$E$14)-$L430),2),0)</f>
        <v>0</v>
      </c>
      <c r="N430" s="31">
        <f t="shared" si="3"/>
        <v>0</v>
      </c>
    </row>
    <row r="431">
      <c r="A431" s="31" t="s">
        <v>636</v>
      </c>
      <c r="B431" s="9">
        <v>2.0</v>
      </c>
      <c r="C431" s="31" t="str">
        <f>VLOOKUP(A431, 'College List'!A:B, 2, FALSE)</f>
        <v>Silverquill</v>
      </c>
      <c r="D431" s="355">
        <f>VLOOKUP(B431,Quotas!$A$8:$C$14,2,FALSE)</f>
        <v>46143.70833</v>
      </c>
      <c r="E431" s="356">
        <f>VLOOKUP(B431,Quotas!$A$8:$C$14,3,FALSE)</f>
        <v>46150.70833</v>
      </c>
      <c r="F431" s="79">
        <f>COUNTIFS(Matches!$B:$B,A431,Matches!$A:$A,CONCAT("&gt;",$D431),Matches!$A:$A,CONCAT("&lt;",$E431))</f>
        <v>0</v>
      </c>
      <c r="G431" s="79">
        <f>COUNTIFS(Matches!$C:$C,$A431,Matches!$A:$A,CONCAT("&gt;",$D431),Matches!$A:$A,CONCAT("&lt;",$E431))</f>
        <v>0</v>
      </c>
      <c r="H431" s="79">
        <f t="shared" si="1"/>
        <v>0</v>
      </c>
      <c r="I431" s="79">
        <f>COUNTIFS(Matches!$B:$B,$A431,Matches!$A:$A,CONCAT("&lt;",$E431))</f>
        <v>0</v>
      </c>
      <c r="J431" s="79">
        <f>COUNTIFS(Matches!$C:$C,$A431,Matches!$A:$A,CONCAT("&lt;",$E431))</f>
        <v>0</v>
      </c>
      <c r="K431" s="79">
        <f>COUNTIFS(Entropy!D:D,A431,Entropy!I:I,CONCAT("&lt;",E431-1))</f>
        <v>3</v>
      </c>
      <c r="L431" s="79">
        <f t="shared" si="2"/>
        <v>3</v>
      </c>
      <c r="M431" s="79">
        <f t="array" ref="M431">max(min(IF(J431+K431=11,0,XLOOKUP(B431,Quotas!$A$8:$A$14,Quotas!$E$8:$E$14)-$L431),2),0)</f>
        <v>2</v>
      </c>
      <c r="N431" s="31">
        <f t="shared" si="3"/>
        <v>0</v>
      </c>
    </row>
    <row r="432">
      <c r="A432" s="31" t="s">
        <v>214</v>
      </c>
      <c r="B432" s="9">
        <v>2.0</v>
      </c>
      <c r="C432" s="31" t="str">
        <f>VLOOKUP(A432, 'College List'!A:B, 2, FALSE)</f>
        <v>Prismari</v>
      </c>
      <c r="D432" s="355">
        <f>VLOOKUP(B432,Quotas!$A$8:$C$14,2,FALSE)</f>
        <v>46143.70833</v>
      </c>
      <c r="E432" s="356">
        <f>VLOOKUP(B432,Quotas!$A$8:$C$14,3,FALSE)</f>
        <v>46150.70833</v>
      </c>
      <c r="F432" s="79">
        <f>COUNTIFS(Matches!$B:$B,A432,Matches!$A:$A,CONCAT("&gt;",$D432),Matches!$A:$A,CONCAT("&lt;",$E432))</f>
        <v>2</v>
      </c>
      <c r="G432" s="79">
        <f>COUNTIFS(Matches!$C:$C,$A432,Matches!$A:$A,CONCAT("&gt;",$D432),Matches!$A:$A,CONCAT("&lt;",$E432))</f>
        <v>3</v>
      </c>
      <c r="H432" s="79">
        <f t="shared" si="1"/>
        <v>5</v>
      </c>
      <c r="I432" s="79">
        <f>COUNTIFS(Matches!$B:$B,$A432,Matches!$A:$A,CONCAT("&lt;",$E432))</f>
        <v>4</v>
      </c>
      <c r="J432" s="79">
        <f>COUNTIFS(Matches!$C:$C,$A432,Matches!$A:$A,CONCAT("&lt;",$E432))</f>
        <v>6</v>
      </c>
      <c r="K432" s="79">
        <f>COUNTIFS(Entropy!D:D,A432,Entropy!I:I,CONCAT("&lt;",E432-1))</f>
        <v>0</v>
      </c>
      <c r="L432" s="79">
        <f t="shared" si="2"/>
        <v>10</v>
      </c>
      <c r="M432" s="79">
        <f t="array" ref="M432">max(min(IF(J432+K432=11,0,XLOOKUP(B432,Quotas!$A$8:$A$14,Quotas!$E$8:$E$14)-$L432),2),0)</f>
        <v>0</v>
      </c>
      <c r="N432" s="31">
        <f t="shared" si="3"/>
        <v>0</v>
      </c>
    </row>
    <row r="433">
      <c r="A433" s="31" t="s">
        <v>228</v>
      </c>
      <c r="B433" s="9">
        <v>2.0</v>
      </c>
      <c r="C433" s="31" t="str">
        <f>VLOOKUP(A433, 'College List'!A:B, 2, FALSE)</f>
        <v>Witherbloom</v>
      </c>
      <c r="D433" s="355">
        <f>VLOOKUP(B433,Quotas!$A$8:$C$14,2,FALSE)</f>
        <v>46143.70833</v>
      </c>
      <c r="E433" s="356">
        <f>VLOOKUP(B433,Quotas!$A$8:$C$14,3,FALSE)</f>
        <v>46150.70833</v>
      </c>
      <c r="F433" s="79">
        <f>COUNTIFS(Matches!$B:$B,A433,Matches!$A:$A,CONCAT("&gt;",$D433),Matches!$A:$A,CONCAT("&lt;",$E433))</f>
        <v>5</v>
      </c>
      <c r="G433" s="79">
        <f>COUNTIFS(Matches!$C:$C,$A433,Matches!$A:$A,CONCAT("&gt;",$D433),Matches!$A:$A,CONCAT("&lt;",$E433))</f>
        <v>0</v>
      </c>
      <c r="H433" s="79">
        <f t="shared" si="1"/>
        <v>5</v>
      </c>
      <c r="I433" s="79">
        <f>COUNTIFS(Matches!$B:$B,$A433,Matches!$A:$A,CONCAT("&lt;",$E433))</f>
        <v>9</v>
      </c>
      <c r="J433" s="79">
        <f>COUNTIFS(Matches!$C:$C,$A433,Matches!$A:$A,CONCAT("&lt;",$E433))</f>
        <v>1</v>
      </c>
      <c r="K433" s="79">
        <f>COUNTIFS(Entropy!D:D,A433,Entropy!I:I,CONCAT("&lt;",E433-1))</f>
        <v>0</v>
      </c>
      <c r="L433" s="79">
        <f t="shared" si="2"/>
        <v>10</v>
      </c>
      <c r="M433" s="79">
        <f t="array" ref="M433">max(min(IF(J433+K433=11,0,XLOOKUP(B433,Quotas!$A$8:$A$14,Quotas!$E$8:$E$14)-$L433),2),0)</f>
        <v>0</v>
      </c>
      <c r="N433" s="31">
        <f t="shared" si="3"/>
        <v>0</v>
      </c>
    </row>
    <row r="434">
      <c r="A434" s="31" t="s">
        <v>390</v>
      </c>
      <c r="B434" s="9">
        <v>2.0</v>
      </c>
      <c r="C434" s="31" t="str">
        <f>VLOOKUP(A434, 'College List'!A:B, 2, FALSE)</f>
        <v>Witherbloom</v>
      </c>
      <c r="D434" s="355">
        <f>VLOOKUP(B434,Quotas!$A$8:$C$14,2,FALSE)</f>
        <v>46143.70833</v>
      </c>
      <c r="E434" s="356">
        <f>VLOOKUP(B434,Quotas!$A$8:$C$14,3,FALSE)</f>
        <v>46150.70833</v>
      </c>
      <c r="F434" s="79">
        <f>COUNTIFS(Matches!$B:$B,A434,Matches!$A:$A,CONCAT("&gt;",$D434),Matches!$A:$A,CONCAT("&lt;",$E434))</f>
        <v>0</v>
      </c>
      <c r="G434" s="79">
        <f>COUNTIFS(Matches!$C:$C,$A434,Matches!$A:$A,CONCAT("&gt;",$D434),Matches!$A:$A,CONCAT("&lt;",$E434))</f>
        <v>2</v>
      </c>
      <c r="H434" s="79">
        <f t="shared" si="1"/>
        <v>2</v>
      </c>
      <c r="I434" s="79">
        <f>COUNTIFS(Matches!$B:$B,$A434,Matches!$A:$A,CONCAT("&lt;",$E434))</f>
        <v>2</v>
      </c>
      <c r="J434" s="79">
        <f>COUNTIFS(Matches!$C:$C,$A434,Matches!$A:$A,CONCAT("&lt;",$E434))</f>
        <v>3</v>
      </c>
      <c r="K434" s="79">
        <f>COUNTIFS(Entropy!D:D,A434,Entropy!I:I,CONCAT("&lt;",E434-1))</f>
        <v>0</v>
      </c>
      <c r="L434" s="79">
        <f t="shared" si="2"/>
        <v>5</v>
      </c>
      <c r="M434" s="79">
        <f t="array" ref="M434">max(min(IF(J434+K434=11,0,XLOOKUP(B434,Quotas!$A$8:$A$14,Quotas!$E$8:$E$14)-$L434),2),0)</f>
        <v>2</v>
      </c>
      <c r="N434" s="31">
        <f t="shared" si="3"/>
        <v>1</v>
      </c>
    </row>
    <row r="435">
      <c r="A435" s="31" t="s">
        <v>168</v>
      </c>
      <c r="B435" s="9">
        <v>2.0</v>
      </c>
      <c r="C435" s="31" t="str">
        <f>VLOOKUP(A435, 'College List'!A:B, 2, FALSE)</f>
        <v>Silverquill</v>
      </c>
      <c r="D435" s="355">
        <f>VLOOKUP(B435,Quotas!$A$8:$C$14,2,FALSE)</f>
        <v>46143.70833</v>
      </c>
      <c r="E435" s="356">
        <f>VLOOKUP(B435,Quotas!$A$8:$C$14,3,FALSE)</f>
        <v>46150.70833</v>
      </c>
      <c r="F435" s="79">
        <f>COUNTIFS(Matches!$B:$B,A435,Matches!$A:$A,CONCAT("&gt;",$D435),Matches!$A:$A,CONCAT("&lt;",$E435))</f>
        <v>1</v>
      </c>
      <c r="G435" s="79">
        <f>COUNTIFS(Matches!$C:$C,$A435,Matches!$A:$A,CONCAT("&gt;",$D435),Matches!$A:$A,CONCAT("&lt;",$E435))</f>
        <v>4</v>
      </c>
      <c r="H435" s="79">
        <f t="shared" si="1"/>
        <v>5</v>
      </c>
      <c r="I435" s="79">
        <f>COUNTIFS(Matches!$B:$B,$A435,Matches!$A:$A,CONCAT("&lt;",$E435))</f>
        <v>4</v>
      </c>
      <c r="J435" s="79">
        <f>COUNTIFS(Matches!$C:$C,$A435,Matches!$A:$A,CONCAT("&lt;",$E435))</f>
        <v>6</v>
      </c>
      <c r="K435" s="79">
        <f>COUNTIFS(Entropy!D:D,A435,Entropy!I:I,CONCAT("&lt;",E435-1))</f>
        <v>0</v>
      </c>
      <c r="L435" s="79">
        <f t="shared" si="2"/>
        <v>10</v>
      </c>
      <c r="M435" s="79">
        <f t="array" ref="M435">max(min(IF(J435+K435=11,0,XLOOKUP(B435,Quotas!$A$8:$A$14,Quotas!$E$8:$E$14)-$L435),2),0)</f>
        <v>0</v>
      </c>
      <c r="N435" s="31">
        <f t="shared" si="3"/>
        <v>0</v>
      </c>
    </row>
    <row r="436">
      <c r="A436" s="31" t="s">
        <v>227</v>
      </c>
      <c r="B436" s="9">
        <v>2.0</v>
      </c>
      <c r="C436" s="31" t="str">
        <f>VLOOKUP(A436, 'College List'!A:B, 2, FALSE)</f>
        <v>Witherbloom</v>
      </c>
      <c r="D436" s="355">
        <f>VLOOKUP(B436,Quotas!$A$8:$C$14,2,FALSE)</f>
        <v>46143.70833</v>
      </c>
      <c r="E436" s="356">
        <f>VLOOKUP(B436,Quotas!$A$8:$C$14,3,FALSE)</f>
        <v>46150.70833</v>
      </c>
      <c r="F436" s="79">
        <f>COUNTIFS(Matches!$B:$B,A436,Matches!$A:$A,CONCAT("&gt;",$D436),Matches!$A:$A,CONCAT("&lt;",$E436))</f>
        <v>3</v>
      </c>
      <c r="G436" s="79">
        <f>COUNTIFS(Matches!$C:$C,$A436,Matches!$A:$A,CONCAT("&gt;",$D436),Matches!$A:$A,CONCAT("&lt;",$E436))</f>
        <v>2</v>
      </c>
      <c r="H436" s="79">
        <f t="shared" si="1"/>
        <v>5</v>
      </c>
      <c r="I436" s="79">
        <f>COUNTIFS(Matches!$B:$B,$A436,Matches!$A:$A,CONCAT("&lt;",$E436))</f>
        <v>5</v>
      </c>
      <c r="J436" s="79">
        <f>COUNTIFS(Matches!$C:$C,$A436,Matches!$A:$A,CONCAT("&lt;",$E436))</f>
        <v>5</v>
      </c>
      <c r="K436" s="79">
        <f>COUNTIFS(Entropy!D:D,A436,Entropy!I:I,CONCAT("&lt;",E436-1))</f>
        <v>0</v>
      </c>
      <c r="L436" s="79">
        <f t="shared" si="2"/>
        <v>10</v>
      </c>
      <c r="M436" s="79">
        <f t="array" ref="M436">max(min(IF(J436+K436=11,0,XLOOKUP(B436,Quotas!$A$8:$A$14,Quotas!$E$8:$E$14)-$L436),2),0)</f>
        <v>0</v>
      </c>
      <c r="N436" s="31">
        <f t="shared" si="3"/>
        <v>0</v>
      </c>
    </row>
    <row r="437">
      <c r="A437" s="31" t="s">
        <v>246</v>
      </c>
      <c r="B437" s="9">
        <v>2.0</v>
      </c>
      <c r="C437" s="31" t="str">
        <f>VLOOKUP(A437, 'College List'!A:B, 2, FALSE)</f>
        <v>Witherbloom</v>
      </c>
      <c r="D437" s="355">
        <f>VLOOKUP(B437,Quotas!$A$8:$C$14,2,FALSE)</f>
        <v>46143.70833</v>
      </c>
      <c r="E437" s="356">
        <f>VLOOKUP(B437,Quotas!$A$8:$C$14,3,FALSE)</f>
        <v>46150.70833</v>
      </c>
      <c r="F437" s="79">
        <f>COUNTIFS(Matches!$B:$B,A437,Matches!$A:$A,CONCAT("&gt;",$D437),Matches!$A:$A,CONCAT("&lt;",$E437))</f>
        <v>1</v>
      </c>
      <c r="G437" s="79">
        <f>COUNTIFS(Matches!$C:$C,$A437,Matches!$A:$A,CONCAT("&gt;",$D437),Matches!$A:$A,CONCAT("&lt;",$E437))</f>
        <v>2</v>
      </c>
      <c r="H437" s="79">
        <f t="shared" si="1"/>
        <v>3</v>
      </c>
      <c r="I437" s="79">
        <f>COUNTIFS(Matches!$B:$B,$A437,Matches!$A:$A,CONCAT("&lt;",$E437))</f>
        <v>2</v>
      </c>
      <c r="J437" s="79">
        <f>COUNTIFS(Matches!$C:$C,$A437,Matches!$A:$A,CONCAT("&lt;",$E437))</f>
        <v>6</v>
      </c>
      <c r="K437" s="79">
        <f>COUNTIFS(Entropy!D:D,A437,Entropy!I:I,CONCAT("&lt;",E437-1))</f>
        <v>0</v>
      </c>
      <c r="L437" s="79">
        <f t="shared" si="2"/>
        <v>8</v>
      </c>
      <c r="M437" s="79">
        <f t="array" ref="M437">max(min(IF(J437+K437=11,0,XLOOKUP(B437,Quotas!$A$8:$A$14,Quotas!$E$8:$E$14)-$L437),2),0)</f>
        <v>2</v>
      </c>
      <c r="N437" s="31">
        <f t="shared" si="3"/>
        <v>1</v>
      </c>
    </row>
    <row r="438">
      <c r="A438" s="31" t="s">
        <v>362</v>
      </c>
      <c r="B438" s="9">
        <v>2.0</v>
      </c>
      <c r="C438" s="31" t="str">
        <f>VLOOKUP(A438, 'College List'!A:B, 2, FALSE)</f>
        <v>Witherbloom</v>
      </c>
      <c r="D438" s="355">
        <f>VLOOKUP(B438,Quotas!$A$8:$C$14,2,FALSE)</f>
        <v>46143.70833</v>
      </c>
      <c r="E438" s="356">
        <f>VLOOKUP(B438,Quotas!$A$8:$C$14,3,FALSE)</f>
        <v>46150.70833</v>
      </c>
      <c r="F438" s="79">
        <f>COUNTIFS(Matches!$B:$B,A438,Matches!$A:$A,CONCAT("&gt;",$D438),Matches!$A:$A,CONCAT("&lt;",$E438))</f>
        <v>3</v>
      </c>
      <c r="G438" s="79">
        <f>COUNTIFS(Matches!$C:$C,$A438,Matches!$A:$A,CONCAT("&gt;",$D438),Matches!$A:$A,CONCAT("&lt;",$E438))</f>
        <v>2</v>
      </c>
      <c r="H438" s="79">
        <f t="shared" si="1"/>
        <v>5</v>
      </c>
      <c r="I438" s="79">
        <f>COUNTIFS(Matches!$B:$B,$A438,Matches!$A:$A,CONCAT("&lt;",$E438))</f>
        <v>4</v>
      </c>
      <c r="J438" s="79">
        <f>COUNTIFS(Matches!$C:$C,$A438,Matches!$A:$A,CONCAT("&lt;",$E438))</f>
        <v>4</v>
      </c>
      <c r="K438" s="79">
        <f>COUNTIFS(Entropy!D:D,A438,Entropy!I:I,CONCAT("&lt;",E438-1))</f>
        <v>0</v>
      </c>
      <c r="L438" s="79">
        <f t="shared" si="2"/>
        <v>8</v>
      </c>
      <c r="M438" s="79">
        <f t="array" ref="M438">max(min(IF(J438+K438=11,0,XLOOKUP(B438,Quotas!$A$8:$A$14,Quotas!$E$8:$E$14)-$L438),2),0)</f>
        <v>2</v>
      </c>
      <c r="N438" s="31">
        <f t="shared" si="3"/>
        <v>1</v>
      </c>
    </row>
    <row r="439">
      <c r="A439" s="31" t="s">
        <v>266</v>
      </c>
      <c r="B439" s="9">
        <v>2.0</v>
      </c>
      <c r="C439" s="31" t="str">
        <f>VLOOKUP(A439, 'College List'!A:B, 2, FALSE)</f>
        <v>Prismari</v>
      </c>
      <c r="D439" s="355">
        <f>VLOOKUP(B439,Quotas!$A$8:$C$14,2,FALSE)</f>
        <v>46143.70833</v>
      </c>
      <c r="E439" s="356">
        <f>VLOOKUP(B439,Quotas!$A$8:$C$14,3,FALSE)</f>
        <v>46150.70833</v>
      </c>
      <c r="F439" s="79">
        <f>COUNTIFS(Matches!$B:$B,A439,Matches!$A:$A,CONCAT("&gt;",$D439),Matches!$A:$A,CONCAT("&lt;",$E439))</f>
        <v>3</v>
      </c>
      <c r="G439" s="79">
        <f>COUNTIFS(Matches!$C:$C,$A439,Matches!$A:$A,CONCAT("&gt;",$D439),Matches!$A:$A,CONCAT("&lt;",$E439))</f>
        <v>2</v>
      </c>
      <c r="H439" s="79">
        <f t="shared" si="1"/>
        <v>5</v>
      </c>
      <c r="I439" s="79">
        <f>COUNTIFS(Matches!$B:$B,$A439,Matches!$A:$A,CONCAT("&lt;",$E439))</f>
        <v>6</v>
      </c>
      <c r="J439" s="79">
        <f>COUNTIFS(Matches!$C:$C,$A439,Matches!$A:$A,CONCAT("&lt;",$E439))</f>
        <v>4</v>
      </c>
      <c r="K439" s="79">
        <f>COUNTIFS(Entropy!D:D,A439,Entropy!I:I,CONCAT("&lt;",E439-1))</f>
        <v>0</v>
      </c>
      <c r="L439" s="79">
        <f t="shared" si="2"/>
        <v>10</v>
      </c>
      <c r="M439" s="79">
        <f t="array" ref="M439">max(min(IF(J439+K439=11,0,XLOOKUP(B439,Quotas!$A$8:$A$14,Quotas!$E$8:$E$14)-$L439),2),0)</f>
        <v>0</v>
      </c>
      <c r="N439" s="31">
        <f t="shared" si="3"/>
        <v>0</v>
      </c>
    </row>
    <row r="440">
      <c r="A440" s="31" t="s">
        <v>166</v>
      </c>
      <c r="B440" s="9">
        <v>2.0</v>
      </c>
      <c r="C440" s="31" t="str">
        <f>VLOOKUP(A440, 'College List'!A:B, 2, FALSE)</f>
        <v>Lorehold</v>
      </c>
      <c r="D440" s="355">
        <f>VLOOKUP(B440,Quotas!$A$8:$C$14,2,FALSE)</f>
        <v>46143.70833</v>
      </c>
      <c r="E440" s="356">
        <f>VLOOKUP(B440,Quotas!$A$8:$C$14,3,FALSE)</f>
        <v>46150.70833</v>
      </c>
      <c r="F440" s="79">
        <f>COUNTIFS(Matches!$B:$B,A440,Matches!$A:$A,CONCAT("&gt;",$D440),Matches!$A:$A,CONCAT("&lt;",$E440))</f>
        <v>3</v>
      </c>
      <c r="G440" s="79">
        <f>COUNTIFS(Matches!$C:$C,$A440,Matches!$A:$A,CONCAT("&gt;",$D440),Matches!$A:$A,CONCAT("&lt;",$E440))</f>
        <v>2</v>
      </c>
      <c r="H440" s="79">
        <f t="shared" si="1"/>
        <v>5</v>
      </c>
      <c r="I440" s="79">
        <f>COUNTIFS(Matches!$B:$B,$A440,Matches!$A:$A,CONCAT("&lt;",$E440))</f>
        <v>6</v>
      </c>
      <c r="J440" s="79">
        <f>COUNTIFS(Matches!$C:$C,$A440,Matches!$A:$A,CONCAT("&lt;",$E440))</f>
        <v>4</v>
      </c>
      <c r="K440" s="79">
        <f>COUNTIFS(Entropy!D:D,A440,Entropy!I:I,CONCAT("&lt;",E440-1))</f>
        <v>0</v>
      </c>
      <c r="L440" s="79">
        <f t="shared" si="2"/>
        <v>10</v>
      </c>
      <c r="M440" s="79">
        <f t="array" ref="M440">max(min(IF(J440+K440=11,0,XLOOKUP(B440,Quotas!$A$8:$A$14,Quotas!$E$8:$E$14)-$L440),2),0)</f>
        <v>0</v>
      </c>
      <c r="N440" s="31">
        <f t="shared" si="3"/>
        <v>0</v>
      </c>
    </row>
    <row r="441">
      <c r="A441" s="31" t="s">
        <v>131</v>
      </c>
      <c r="B441" s="9">
        <v>2.0</v>
      </c>
      <c r="C441" s="31" t="str">
        <f>VLOOKUP(A441, 'College List'!A:B, 2, FALSE)</f>
        <v>Lorehold</v>
      </c>
      <c r="D441" s="355">
        <f>VLOOKUP(B441,Quotas!$A$8:$C$14,2,FALSE)</f>
        <v>46143.70833</v>
      </c>
      <c r="E441" s="356">
        <f>VLOOKUP(B441,Quotas!$A$8:$C$14,3,FALSE)</f>
        <v>46150.70833</v>
      </c>
      <c r="F441" s="79">
        <f>COUNTIFS(Matches!$B:$B,A441,Matches!$A:$A,CONCAT("&gt;",$D441),Matches!$A:$A,CONCAT("&lt;",$E441))</f>
        <v>3</v>
      </c>
      <c r="G441" s="79">
        <f>COUNTIFS(Matches!$C:$C,$A441,Matches!$A:$A,CONCAT("&gt;",$D441),Matches!$A:$A,CONCAT("&lt;",$E441))</f>
        <v>2</v>
      </c>
      <c r="H441" s="79">
        <f t="shared" si="1"/>
        <v>5</v>
      </c>
      <c r="I441" s="79">
        <f>COUNTIFS(Matches!$B:$B,$A441,Matches!$A:$A,CONCAT("&lt;",$E441))</f>
        <v>5</v>
      </c>
      <c r="J441" s="79">
        <f>COUNTIFS(Matches!$C:$C,$A441,Matches!$A:$A,CONCAT("&lt;",$E441))</f>
        <v>5</v>
      </c>
      <c r="K441" s="79">
        <f>COUNTIFS(Entropy!D:D,A441,Entropy!I:I,CONCAT("&lt;",E441-1))</f>
        <v>0</v>
      </c>
      <c r="L441" s="79">
        <f t="shared" si="2"/>
        <v>10</v>
      </c>
      <c r="M441" s="79">
        <f t="array" ref="M441">max(min(IF(J441+K441=11,0,XLOOKUP(B441,Quotas!$A$8:$A$14,Quotas!$E$8:$E$14)-$L441),2),0)</f>
        <v>0</v>
      </c>
      <c r="N441" s="31">
        <f t="shared" si="3"/>
        <v>0</v>
      </c>
    </row>
    <row r="442">
      <c r="A442" s="31" t="s">
        <v>275</v>
      </c>
      <c r="B442" s="9">
        <v>2.0</v>
      </c>
      <c r="C442" s="31" t="str">
        <f>VLOOKUP(A442, 'College List'!A:B, 2, FALSE)</f>
        <v>Lorehold</v>
      </c>
      <c r="D442" s="355">
        <f>VLOOKUP(B442,Quotas!$A$8:$C$14,2,FALSE)</f>
        <v>46143.70833</v>
      </c>
      <c r="E442" s="356">
        <f>VLOOKUP(B442,Quotas!$A$8:$C$14,3,FALSE)</f>
        <v>46150.70833</v>
      </c>
      <c r="F442" s="79">
        <f>COUNTIFS(Matches!$B:$B,A442,Matches!$A:$A,CONCAT("&gt;",$D442),Matches!$A:$A,CONCAT("&lt;",$E442))</f>
        <v>2</v>
      </c>
      <c r="G442" s="79">
        <f>COUNTIFS(Matches!$C:$C,$A442,Matches!$A:$A,CONCAT("&gt;",$D442),Matches!$A:$A,CONCAT("&lt;",$E442))</f>
        <v>3</v>
      </c>
      <c r="H442" s="79">
        <f t="shared" si="1"/>
        <v>5</v>
      </c>
      <c r="I442" s="79">
        <f>COUNTIFS(Matches!$B:$B,$A442,Matches!$A:$A,CONCAT("&lt;",$E442))</f>
        <v>3</v>
      </c>
      <c r="J442" s="79">
        <f>COUNTIFS(Matches!$C:$C,$A442,Matches!$A:$A,CONCAT("&lt;",$E442))</f>
        <v>5</v>
      </c>
      <c r="K442" s="79">
        <f>COUNTIFS(Entropy!D:D,A442,Entropy!I:I,CONCAT("&lt;",E442-1))</f>
        <v>0</v>
      </c>
      <c r="L442" s="79">
        <f t="shared" si="2"/>
        <v>8</v>
      </c>
      <c r="M442" s="79">
        <f t="array" ref="M442">max(min(IF(J442+K442=11,0,XLOOKUP(B442,Quotas!$A$8:$A$14,Quotas!$E$8:$E$14)-$L442),2),0)</f>
        <v>2</v>
      </c>
      <c r="N442" s="31">
        <f t="shared" si="3"/>
        <v>1</v>
      </c>
    </row>
    <row r="443">
      <c r="A443" s="31" t="s">
        <v>300</v>
      </c>
      <c r="B443" s="9">
        <v>2.0</v>
      </c>
      <c r="C443" s="31" t="str">
        <f>VLOOKUP(A443, 'College List'!A:B, 2, FALSE)</f>
        <v>Prismari</v>
      </c>
      <c r="D443" s="355">
        <f>VLOOKUP(B443,Quotas!$A$8:$C$14,2,FALSE)</f>
        <v>46143.70833</v>
      </c>
      <c r="E443" s="356">
        <f>VLOOKUP(B443,Quotas!$A$8:$C$14,3,FALSE)</f>
        <v>46150.70833</v>
      </c>
      <c r="F443" s="79">
        <f>COUNTIFS(Matches!$B:$B,A443,Matches!$A:$A,CONCAT("&gt;",$D443),Matches!$A:$A,CONCAT("&lt;",$E443))</f>
        <v>2</v>
      </c>
      <c r="G443" s="79">
        <f>COUNTIFS(Matches!$C:$C,$A443,Matches!$A:$A,CONCAT("&gt;",$D443),Matches!$A:$A,CONCAT("&lt;",$E443))</f>
        <v>4</v>
      </c>
      <c r="H443" s="79">
        <f t="shared" si="1"/>
        <v>6</v>
      </c>
      <c r="I443" s="79">
        <f>COUNTIFS(Matches!$B:$B,$A443,Matches!$A:$A,CONCAT("&lt;",$E443))</f>
        <v>3</v>
      </c>
      <c r="J443" s="79">
        <f>COUNTIFS(Matches!$C:$C,$A443,Matches!$A:$A,CONCAT("&lt;",$E443))</f>
        <v>7</v>
      </c>
      <c r="K443" s="79">
        <f>COUNTIFS(Entropy!D:D,A443,Entropy!I:I,CONCAT("&lt;",E443-1))</f>
        <v>0</v>
      </c>
      <c r="L443" s="79">
        <f t="shared" si="2"/>
        <v>10</v>
      </c>
      <c r="M443" s="79">
        <f t="array" ref="M443">max(min(IF(J443+K443=11,0,XLOOKUP(B443,Quotas!$A$8:$A$14,Quotas!$E$8:$E$14)-$L443),2),0)</f>
        <v>0</v>
      </c>
      <c r="N443" s="31">
        <f t="shared" si="3"/>
        <v>0</v>
      </c>
    </row>
    <row r="444">
      <c r="A444" s="31" t="s">
        <v>287</v>
      </c>
      <c r="B444" s="9">
        <v>2.0</v>
      </c>
      <c r="C444" s="31" t="str">
        <f>VLOOKUP(A444, 'College List'!A:B, 2, FALSE)</f>
        <v>Silverquill</v>
      </c>
      <c r="D444" s="355">
        <f>VLOOKUP(B444,Quotas!$A$8:$C$14,2,FALSE)</f>
        <v>46143.70833</v>
      </c>
      <c r="E444" s="356">
        <f>VLOOKUP(B444,Quotas!$A$8:$C$14,3,FALSE)</f>
        <v>46150.70833</v>
      </c>
      <c r="F444" s="79">
        <f>COUNTIFS(Matches!$B:$B,A444,Matches!$A:$A,CONCAT("&gt;",$D444),Matches!$A:$A,CONCAT("&lt;",$E444))</f>
        <v>2</v>
      </c>
      <c r="G444" s="79">
        <f>COUNTIFS(Matches!$C:$C,$A444,Matches!$A:$A,CONCAT("&gt;",$D444),Matches!$A:$A,CONCAT("&lt;",$E444))</f>
        <v>3</v>
      </c>
      <c r="H444" s="79">
        <f t="shared" si="1"/>
        <v>5</v>
      </c>
      <c r="I444" s="79">
        <f>COUNTIFS(Matches!$B:$B,$A444,Matches!$A:$A,CONCAT("&lt;",$E444))</f>
        <v>6</v>
      </c>
      <c r="J444" s="79">
        <f>COUNTIFS(Matches!$C:$C,$A444,Matches!$A:$A,CONCAT("&lt;",$E444))</f>
        <v>4</v>
      </c>
      <c r="K444" s="79">
        <f>COUNTIFS(Entropy!D:D,A444,Entropy!I:I,CONCAT("&lt;",E444-1))</f>
        <v>0</v>
      </c>
      <c r="L444" s="79">
        <f t="shared" si="2"/>
        <v>10</v>
      </c>
      <c r="M444" s="79">
        <f t="array" ref="M444">max(min(IF(J444+K444=11,0,XLOOKUP(B444,Quotas!$A$8:$A$14,Quotas!$E$8:$E$14)-$L444),2),0)</f>
        <v>0</v>
      </c>
      <c r="N444" s="31">
        <f t="shared" si="3"/>
        <v>0</v>
      </c>
    </row>
    <row r="445">
      <c r="A445" s="31" t="s">
        <v>254</v>
      </c>
      <c r="B445" s="9">
        <v>2.0</v>
      </c>
      <c r="C445" s="31" t="str">
        <f>VLOOKUP(A445, 'College List'!A:B, 2, FALSE)</f>
        <v>Prismari</v>
      </c>
      <c r="D445" s="355">
        <f>VLOOKUP(B445,Quotas!$A$8:$C$14,2,FALSE)</f>
        <v>46143.70833</v>
      </c>
      <c r="E445" s="356">
        <f>VLOOKUP(B445,Quotas!$A$8:$C$14,3,FALSE)</f>
        <v>46150.70833</v>
      </c>
      <c r="F445" s="79">
        <f>COUNTIFS(Matches!$B:$B,A445,Matches!$A:$A,CONCAT("&gt;",$D445),Matches!$A:$A,CONCAT("&lt;",$E445))</f>
        <v>3</v>
      </c>
      <c r="G445" s="79">
        <f>COUNTIFS(Matches!$C:$C,$A445,Matches!$A:$A,CONCAT("&gt;",$D445),Matches!$A:$A,CONCAT("&lt;",$E445))</f>
        <v>2</v>
      </c>
      <c r="H445" s="79">
        <f t="shared" si="1"/>
        <v>5</v>
      </c>
      <c r="I445" s="79">
        <f>COUNTIFS(Matches!$B:$B,$A445,Matches!$A:$A,CONCAT("&lt;",$E445))</f>
        <v>8</v>
      </c>
      <c r="J445" s="79">
        <f>COUNTIFS(Matches!$C:$C,$A445,Matches!$A:$A,CONCAT("&lt;",$E445))</f>
        <v>2</v>
      </c>
      <c r="K445" s="79">
        <f>COUNTIFS(Entropy!D:D,A445,Entropy!I:I,CONCAT("&lt;",E445-1))</f>
        <v>0</v>
      </c>
      <c r="L445" s="79">
        <f t="shared" si="2"/>
        <v>10</v>
      </c>
      <c r="M445" s="79">
        <f t="array" ref="M445">max(min(IF(J445+K445=11,0,XLOOKUP(B445,Quotas!$A$8:$A$14,Quotas!$E$8:$E$14)-$L445),2),0)</f>
        <v>0</v>
      </c>
      <c r="N445" s="31">
        <f t="shared" si="3"/>
        <v>0</v>
      </c>
    </row>
    <row r="446">
      <c r="A446" s="31" t="s">
        <v>337</v>
      </c>
      <c r="B446" s="9">
        <v>2.0</v>
      </c>
      <c r="C446" s="31" t="str">
        <f>VLOOKUP(A446, 'College List'!A:B, 2, FALSE)</f>
        <v>Lorehold</v>
      </c>
      <c r="D446" s="355">
        <f>VLOOKUP(B446,Quotas!$A$8:$C$14,2,FALSE)</f>
        <v>46143.70833</v>
      </c>
      <c r="E446" s="356">
        <f>VLOOKUP(B446,Quotas!$A$8:$C$14,3,FALSE)</f>
        <v>46150.70833</v>
      </c>
      <c r="F446" s="79">
        <f>COUNTIFS(Matches!$B:$B,A446,Matches!$A:$A,CONCAT("&gt;",$D446),Matches!$A:$A,CONCAT("&lt;",$E446))</f>
        <v>3</v>
      </c>
      <c r="G446" s="79">
        <f>COUNTIFS(Matches!$C:$C,$A446,Matches!$A:$A,CONCAT("&gt;",$D446),Matches!$A:$A,CONCAT("&lt;",$E446))</f>
        <v>2</v>
      </c>
      <c r="H446" s="79">
        <f t="shared" si="1"/>
        <v>5</v>
      </c>
      <c r="I446" s="79">
        <f>COUNTIFS(Matches!$B:$B,$A446,Matches!$A:$A,CONCAT("&lt;",$E446))</f>
        <v>4</v>
      </c>
      <c r="J446" s="79">
        <f>COUNTIFS(Matches!$C:$C,$A446,Matches!$A:$A,CONCAT("&lt;",$E446))</f>
        <v>6</v>
      </c>
      <c r="K446" s="79">
        <f>COUNTIFS(Entropy!D:D,A446,Entropy!I:I,CONCAT("&lt;",E446-1))</f>
        <v>0</v>
      </c>
      <c r="L446" s="79">
        <f t="shared" si="2"/>
        <v>10</v>
      </c>
      <c r="M446" s="79">
        <f t="array" ref="M446">max(min(IF(J446+K446=11,0,XLOOKUP(B446,Quotas!$A$8:$A$14,Quotas!$E$8:$E$14)-$L446),2),0)</f>
        <v>0</v>
      </c>
      <c r="N446" s="31">
        <f t="shared" si="3"/>
        <v>0</v>
      </c>
    </row>
    <row r="447">
      <c r="A447" s="31" t="s">
        <v>374</v>
      </c>
      <c r="B447" s="9">
        <v>2.0</v>
      </c>
      <c r="C447" s="31" t="str">
        <f>VLOOKUP(A447, 'College List'!A:B, 2, FALSE)</f>
        <v>Prismari</v>
      </c>
      <c r="D447" s="355">
        <f>VLOOKUP(B447,Quotas!$A$8:$C$14,2,FALSE)</f>
        <v>46143.70833</v>
      </c>
      <c r="E447" s="356">
        <f>VLOOKUP(B447,Quotas!$A$8:$C$14,3,FALSE)</f>
        <v>46150.70833</v>
      </c>
      <c r="F447" s="79">
        <f>COUNTIFS(Matches!$B:$B,A447,Matches!$A:$A,CONCAT("&gt;",$D447),Matches!$A:$A,CONCAT("&lt;",$E447))</f>
        <v>3</v>
      </c>
      <c r="G447" s="79">
        <f>COUNTIFS(Matches!$C:$C,$A447,Matches!$A:$A,CONCAT("&gt;",$D447),Matches!$A:$A,CONCAT("&lt;",$E447))</f>
        <v>2</v>
      </c>
      <c r="H447" s="79">
        <f t="shared" si="1"/>
        <v>5</v>
      </c>
      <c r="I447" s="79">
        <f>COUNTIFS(Matches!$B:$B,$A447,Matches!$A:$A,CONCAT("&lt;",$E447))</f>
        <v>3</v>
      </c>
      <c r="J447" s="79">
        <f>COUNTIFS(Matches!$C:$C,$A447,Matches!$A:$A,CONCAT("&lt;",$E447))</f>
        <v>5</v>
      </c>
      <c r="K447" s="79">
        <f>COUNTIFS(Entropy!D:D,A447,Entropy!I:I,CONCAT("&lt;",E447-1))</f>
        <v>0</v>
      </c>
      <c r="L447" s="79">
        <f t="shared" si="2"/>
        <v>8</v>
      </c>
      <c r="M447" s="79">
        <f t="array" ref="M447">max(min(IF(J447+K447=11,0,XLOOKUP(B447,Quotas!$A$8:$A$14,Quotas!$E$8:$E$14)-$L447),2),0)</f>
        <v>2</v>
      </c>
      <c r="N447" s="31">
        <f t="shared" si="3"/>
        <v>1</v>
      </c>
    </row>
    <row r="448">
      <c r="A448" s="31" t="s">
        <v>318</v>
      </c>
      <c r="B448" s="9">
        <v>2.0</v>
      </c>
      <c r="C448" s="31" t="str">
        <f>VLOOKUP(A448, 'College List'!A:B, 2, FALSE)</f>
        <v>Quandrix</v>
      </c>
      <c r="D448" s="355">
        <f>VLOOKUP(B448,Quotas!$A$8:$C$14,2,FALSE)</f>
        <v>46143.70833</v>
      </c>
      <c r="E448" s="356">
        <f>VLOOKUP(B448,Quotas!$A$8:$C$14,3,FALSE)</f>
        <v>46150.70833</v>
      </c>
      <c r="F448" s="79">
        <f>COUNTIFS(Matches!$B:$B,A448,Matches!$A:$A,CONCAT("&gt;",$D448),Matches!$A:$A,CONCAT("&lt;",$E448))</f>
        <v>1</v>
      </c>
      <c r="G448" s="79">
        <f>COUNTIFS(Matches!$C:$C,$A448,Matches!$A:$A,CONCAT("&gt;",$D448),Matches!$A:$A,CONCAT("&lt;",$E448))</f>
        <v>4</v>
      </c>
      <c r="H448" s="79">
        <f t="shared" si="1"/>
        <v>5</v>
      </c>
      <c r="I448" s="79">
        <f>COUNTIFS(Matches!$B:$B,$A448,Matches!$A:$A,CONCAT("&lt;",$E448))</f>
        <v>3</v>
      </c>
      <c r="J448" s="79">
        <f>COUNTIFS(Matches!$C:$C,$A448,Matches!$A:$A,CONCAT("&lt;",$E448))</f>
        <v>7</v>
      </c>
      <c r="K448" s="79">
        <f>COUNTIFS(Entropy!D:D,A448,Entropy!I:I,CONCAT("&lt;",E448-1))</f>
        <v>0</v>
      </c>
      <c r="L448" s="79">
        <f t="shared" si="2"/>
        <v>10</v>
      </c>
      <c r="M448" s="79">
        <f t="array" ref="M448">max(min(IF(J448+K448=11,0,XLOOKUP(B448,Quotas!$A$8:$A$14,Quotas!$E$8:$E$14)-$L448),2),0)</f>
        <v>0</v>
      </c>
      <c r="N448" s="31">
        <f t="shared" si="3"/>
        <v>0</v>
      </c>
    </row>
    <row r="449">
      <c r="A449" s="31" t="s">
        <v>259</v>
      </c>
      <c r="B449" s="9">
        <v>2.0</v>
      </c>
      <c r="C449" s="31" t="str">
        <f>VLOOKUP(A449, 'College List'!A:B, 2, FALSE)</f>
        <v>Lorehold</v>
      </c>
      <c r="D449" s="355">
        <f>VLOOKUP(B449,Quotas!$A$8:$C$14,2,FALSE)</f>
        <v>46143.70833</v>
      </c>
      <c r="E449" s="356">
        <f>VLOOKUP(B449,Quotas!$A$8:$C$14,3,FALSE)</f>
        <v>46150.70833</v>
      </c>
      <c r="F449" s="79">
        <f>COUNTIFS(Matches!$B:$B,A449,Matches!$A:$A,CONCAT("&gt;",$D449),Matches!$A:$A,CONCAT("&lt;",$E449))</f>
        <v>3</v>
      </c>
      <c r="G449" s="79">
        <f>COUNTIFS(Matches!$C:$C,$A449,Matches!$A:$A,CONCAT("&gt;",$D449),Matches!$A:$A,CONCAT("&lt;",$E449))</f>
        <v>2</v>
      </c>
      <c r="H449" s="79">
        <f t="shared" si="1"/>
        <v>5</v>
      </c>
      <c r="I449" s="79">
        <f>COUNTIFS(Matches!$B:$B,$A449,Matches!$A:$A,CONCAT("&lt;",$E449))</f>
        <v>6</v>
      </c>
      <c r="J449" s="79">
        <f>COUNTIFS(Matches!$C:$C,$A449,Matches!$A:$A,CONCAT("&lt;",$E449))</f>
        <v>4</v>
      </c>
      <c r="K449" s="79">
        <f>COUNTIFS(Entropy!D:D,A449,Entropy!I:I,CONCAT("&lt;",E449-1))</f>
        <v>0</v>
      </c>
      <c r="L449" s="79">
        <f t="shared" si="2"/>
        <v>10</v>
      </c>
      <c r="M449" s="79">
        <f t="array" ref="M449">max(min(IF(J449+K449=11,0,XLOOKUP(B449,Quotas!$A$8:$A$14,Quotas!$E$8:$E$14)-$L449),2),0)</f>
        <v>0</v>
      </c>
      <c r="N449" s="31">
        <f t="shared" si="3"/>
        <v>0</v>
      </c>
    </row>
    <row r="450">
      <c r="A450" s="31" t="s">
        <v>280</v>
      </c>
      <c r="B450" s="9">
        <v>2.0</v>
      </c>
      <c r="C450" s="31" t="str">
        <f>VLOOKUP(A450, 'College List'!A:B, 2, FALSE)</f>
        <v>Lorehold</v>
      </c>
      <c r="D450" s="355">
        <f>VLOOKUP(B450,Quotas!$A$8:$C$14,2,FALSE)</f>
        <v>46143.70833</v>
      </c>
      <c r="E450" s="356">
        <f>VLOOKUP(B450,Quotas!$A$8:$C$14,3,FALSE)</f>
        <v>46150.70833</v>
      </c>
      <c r="F450" s="79">
        <f>COUNTIFS(Matches!$B:$B,A450,Matches!$A:$A,CONCAT("&gt;",$D450),Matches!$A:$A,CONCAT("&lt;",$E450))</f>
        <v>1</v>
      </c>
      <c r="G450" s="79">
        <f>COUNTIFS(Matches!$C:$C,$A450,Matches!$A:$A,CONCAT("&gt;",$D450),Matches!$A:$A,CONCAT("&lt;",$E450))</f>
        <v>4</v>
      </c>
      <c r="H450" s="79">
        <f t="shared" si="1"/>
        <v>5</v>
      </c>
      <c r="I450" s="79">
        <f>COUNTIFS(Matches!$B:$B,$A450,Matches!$A:$A,CONCAT("&lt;",$E450))</f>
        <v>4</v>
      </c>
      <c r="J450" s="79">
        <f>COUNTIFS(Matches!$C:$C,$A450,Matches!$A:$A,CONCAT("&lt;",$E450))</f>
        <v>6</v>
      </c>
      <c r="K450" s="79">
        <f>COUNTIFS(Entropy!D:D,A450,Entropy!I:I,CONCAT("&lt;",E450-1))</f>
        <v>0</v>
      </c>
      <c r="L450" s="79">
        <f t="shared" si="2"/>
        <v>10</v>
      </c>
      <c r="M450" s="79">
        <f t="array" ref="M450">max(min(IF(J450+K450=11,0,XLOOKUP(B450,Quotas!$A$8:$A$14,Quotas!$E$8:$E$14)-$L450),2),0)</f>
        <v>0</v>
      </c>
      <c r="N450" s="31">
        <f t="shared" si="3"/>
        <v>0</v>
      </c>
    </row>
    <row r="451">
      <c r="A451" s="31" t="s">
        <v>183</v>
      </c>
      <c r="B451" s="9">
        <v>2.0</v>
      </c>
      <c r="C451" s="31" t="str">
        <f>VLOOKUP(A451, 'College List'!A:B, 2, FALSE)</f>
        <v>Prismari</v>
      </c>
      <c r="D451" s="355">
        <f>VLOOKUP(B451,Quotas!$A$8:$C$14,2,FALSE)</f>
        <v>46143.70833</v>
      </c>
      <c r="E451" s="356">
        <f>VLOOKUP(B451,Quotas!$A$8:$C$14,3,FALSE)</f>
        <v>46150.70833</v>
      </c>
      <c r="F451" s="79">
        <f>COUNTIFS(Matches!$B:$B,A451,Matches!$A:$A,CONCAT("&gt;",$D451),Matches!$A:$A,CONCAT("&lt;",$E451))</f>
        <v>4</v>
      </c>
      <c r="G451" s="79">
        <f>COUNTIFS(Matches!$C:$C,$A451,Matches!$A:$A,CONCAT("&gt;",$D451),Matches!$A:$A,CONCAT("&lt;",$E451))</f>
        <v>1</v>
      </c>
      <c r="H451" s="79">
        <f t="shared" si="1"/>
        <v>5</v>
      </c>
      <c r="I451" s="79">
        <f>COUNTIFS(Matches!$B:$B,$A451,Matches!$A:$A,CONCAT("&lt;",$E451))</f>
        <v>7</v>
      </c>
      <c r="J451" s="79">
        <f>COUNTIFS(Matches!$C:$C,$A451,Matches!$A:$A,CONCAT("&lt;",$E451))</f>
        <v>3</v>
      </c>
      <c r="K451" s="79">
        <f>COUNTIFS(Entropy!D:D,A451,Entropy!I:I,CONCAT("&lt;",E451-1))</f>
        <v>0</v>
      </c>
      <c r="L451" s="79">
        <f t="shared" si="2"/>
        <v>10</v>
      </c>
      <c r="M451" s="79">
        <f t="array" ref="M451">max(min(IF(J451+K451=11,0,XLOOKUP(B451,Quotas!$A$8:$A$14,Quotas!$E$8:$E$14)-$L451),2),0)</f>
        <v>0</v>
      </c>
      <c r="N451" s="31">
        <f t="shared" si="3"/>
        <v>0</v>
      </c>
    </row>
    <row r="452">
      <c r="A452" s="31" t="s">
        <v>639</v>
      </c>
      <c r="B452" s="9">
        <v>2.0</v>
      </c>
      <c r="C452" s="31" t="str">
        <f>VLOOKUP(A452, 'College List'!A:B, 2, FALSE)</f>
        <v>Silverquill</v>
      </c>
      <c r="D452" s="355">
        <f>VLOOKUP(B452,Quotas!$A$8:$C$14,2,FALSE)</f>
        <v>46143.70833</v>
      </c>
      <c r="E452" s="356">
        <f>VLOOKUP(B452,Quotas!$A$8:$C$14,3,FALSE)</f>
        <v>46150.70833</v>
      </c>
      <c r="F452" s="79">
        <f>COUNTIFS(Matches!$B:$B,A452,Matches!$A:$A,CONCAT("&gt;",$D452),Matches!$A:$A,CONCAT("&lt;",$E452))</f>
        <v>0</v>
      </c>
      <c r="G452" s="79">
        <f>COUNTIFS(Matches!$C:$C,$A452,Matches!$A:$A,CONCAT("&gt;",$D452),Matches!$A:$A,CONCAT("&lt;",$E452))</f>
        <v>0</v>
      </c>
      <c r="H452" s="79">
        <f t="shared" si="1"/>
        <v>0</v>
      </c>
      <c r="I452" s="79">
        <f>COUNTIFS(Matches!$B:$B,$A452,Matches!$A:$A,CONCAT("&lt;",$E452))</f>
        <v>0</v>
      </c>
      <c r="J452" s="79">
        <f>COUNTIFS(Matches!$C:$C,$A452,Matches!$A:$A,CONCAT("&lt;",$E452))</f>
        <v>0</v>
      </c>
      <c r="K452" s="79">
        <f>COUNTIFS(Entropy!D:D,A452,Entropy!I:I,CONCAT("&lt;",E452-1))</f>
        <v>3</v>
      </c>
      <c r="L452" s="79">
        <f t="shared" si="2"/>
        <v>3</v>
      </c>
      <c r="M452" s="79">
        <f t="array" ref="M452">max(min(IF(J452+K452=11,0,XLOOKUP(B452,Quotas!$A$8:$A$14,Quotas!$E$8:$E$14)-$L452),2),0)</f>
        <v>2</v>
      </c>
      <c r="N452" s="31">
        <f t="shared" si="3"/>
        <v>0</v>
      </c>
    </row>
    <row r="453">
      <c r="A453" s="31" t="s">
        <v>152</v>
      </c>
      <c r="B453" s="9">
        <v>2.0</v>
      </c>
      <c r="C453" s="31" t="str">
        <f>VLOOKUP(A453, 'College List'!A:B, 2, FALSE)</f>
        <v>Quandrix</v>
      </c>
      <c r="D453" s="355">
        <f>VLOOKUP(B453,Quotas!$A$8:$C$14,2,FALSE)</f>
        <v>46143.70833</v>
      </c>
      <c r="E453" s="356">
        <f>VLOOKUP(B453,Quotas!$A$8:$C$14,3,FALSE)</f>
        <v>46150.70833</v>
      </c>
      <c r="F453" s="79">
        <f>COUNTIFS(Matches!$B:$B,A453,Matches!$A:$A,CONCAT("&gt;",$D453),Matches!$A:$A,CONCAT("&lt;",$E453))</f>
        <v>2</v>
      </c>
      <c r="G453" s="79">
        <f>COUNTIFS(Matches!$C:$C,$A453,Matches!$A:$A,CONCAT("&gt;",$D453),Matches!$A:$A,CONCAT("&lt;",$E453))</f>
        <v>3</v>
      </c>
      <c r="H453" s="79">
        <f t="shared" si="1"/>
        <v>5</v>
      </c>
      <c r="I453" s="79">
        <f>COUNTIFS(Matches!$B:$B,$A453,Matches!$A:$A,CONCAT("&lt;",$E453))</f>
        <v>3</v>
      </c>
      <c r="J453" s="79">
        <f>COUNTIFS(Matches!$C:$C,$A453,Matches!$A:$A,CONCAT("&lt;",$E453))</f>
        <v>7</v>
      </c>
      <c r="K453" s="79">
        <f>COUNTIFS(Entropy!D:D,A453,Entropy!I:I,CONCAT("&lt;",E453-1))</f>
        <v>0</v>
      </c>
      <c r="L453" s="79">
        <f t="shared" si="2"/>
        <v>10</v>
      </c>
      <c r="M453" s="79">
        <f t="array" ref="M453">max(min(IF(J453+K453=11,0,XLOOKUP(B453,Quotas!$A$8:$A$14,Quotas!$E$8:$E$14)-$L453),2),0)</f>
        <v>0</v>
      </c>
      <c r="N453" s="31">
        <f t="shared" si="3"/>
        <v>0</v>
      </c>
    </row>
    <row r="454">
      <c r="A454" s="31" t="s">
        <v>218</v>
      </c>
      <c r="B454" s="9">
        <v>2.0</v>
      </c>
      <c r="C454" s="31" t="str">
        <f>VLOOKUP(A454, 'College List'!A:B, 2, FALSE)</f>
        <v>Silverquill</v>
      </c>
      <c r="D454" s="355">
        <f>VLOOKUP(B454,Quotas!$A$8:$C$14,2,FALSE)</f>
        <v>46143.70833</v>
      </c>
      <c r="E454" s="356">
        <f>VLOOKUP(B454,Quotas!$A$8:$C$14,3,FALSE)</f>
        <v>46150.70833</v>
      </c>
      <c r="F454" s="79">
        <f>COUNTIFS(Matches!$B:$B,A454,Matches!$A:$A,CONCAT("&gt;",$D454),Matches!$A:$A,CONCAT("&lt;",$E454))</f>
        <v>2</v>
      </c>
      <c r="G454" s="79">
        <f>COUNTIFS(Matches!$C:$C,$A454,Matches!$A:$A,CONCAT("&gt;",$D454),Matches!$A:$A,CONCAT("&lt;",$E454))</f>
        <v>3</v>
      </c>
      <c r="H454" s="79">
        <f t="shared" si="1"/>
        <v>5</v>
      </c>
      <c r="I454" s="79">
        <f>COUNTIFS(Matches!$B:$B,$A454,Matches!$A:$A,CONCAT("&lt;",$E454))</f>
        <v>7</v>
      </c>
      <c r="J454" s="79">
        <f>COUNTIFS(Matches!$C:$C,$A454,Matches!$A:$A,CONCAT("&lt;",$E454))</f>
        <v>3</v>
      </c>
      <c r="K454" s="79">
        <f>COUNTIFS(Entropy!D:D,A454,Entropy!I:I,CONCAT("&lt;",E454-1))</f>
        <v>0</v>
      </c>
      <c r="L454" s="79">
        <f t="shared" si="2"/>
        <v>10</v>
      </c>
      <c r="M454" s="79">
        <f t="array" ref="M454">max(min(IF(J454+K454=11,0,XLOOKUP(B454,Quotas!$A$8:$A$14,Quotas!$E$8:$E$14)-$L454),2),0)</f>
        <v>0</v>
      </c>
      <c r="N454" s="31">
        <f t="shared" si="3"/>
        <v>0</v>
      </c>
    </row>
    <row r="455">
      <c r="A455" s="31" t="s">
        <v>76</v>
      </c>
      <c r="B455" s="9">
        <v>2.0</v>
      </c>
      <c r="C455" s="31" t="str">
        <f>VLOOKUP(A455, 'College List'!A:B, 2, FALSE)</f>
        <v>Prismari</v>
      </c>
      <c r="D455" s="355">
        <f>VLOOKUP(B455,Quotas!$A$8:$C$14,2,FALSE)</f>
        <v>46143.70833</v>
      </c>
      <c r="E455" s="356">
        <f>VLOOKUP(B455,Quotas!$A$8:$C$14,3,FALSE)</f>
        <v>46150.70833</v>
      </c>
      <c r="F455" s="79">
        <f>COUNTIFS(Matches!$B:$B,A455,Matches!$A:$A,CONCAT("&gt;",$D455),Matches!$A:$A,CONCAT("&lt;",$E455))</f>
        <v>4</v>
      </c>
      <c r="G455" s="79">
        <f>COUNTIFS(Matches!$C:$C,$A455,Matches!$A:$A,CONCAT("&gt;",$D455),Matches!$A:$A,CONCAT("&lt;",$E455))</f>
        <v>1</v>
      </c>
      <c r="H455" s="79">
        <f t="shared" si="1"/>
        <v>5</v>
      </c>
      <c r="I455" s="79">
        <f>COUNTIFS(Matches!$B:$B,$A455,Matches!$A:$A,CONCAT("&lt;",$E455))</f>
        <v>7</v>
      </c>
      <c r="J455" s="79">
        <f>COUNTIFS(Matches!$C:$C,$A455,Matches!$A:$A,CONCAT("&lt;",$E455))</f>
        <v>3</v>
      </c>
      <c r="K455" s="79">
        <f>COUNTIFS(Entropy!D:D,A455,Entropy!I:I,CONCAT("&lt;",E455-1))</f>
        <v>0</v>
      </c>
      <c r="L455" s="79">
        <f t="shared" si="2"/>
        <v>10</v>
      </c>
      <c r="M455" s="79">
        <f t="array" ref="M455">max(min(IF(J455+K455=11,0,XLOOKUP(B455,Quotas!$A$8:$A$14,Quotas!$E$8:$E$14)-$L455),2),0)</f>
        <v>0</v>
      </c>
      <c r="N455" s="31">
        <f t="shared" si="3"/>
        <v>0</v>
      </c>
    </row>
    <row r="456">
      <c r="A456" s="31" t="s">
        <v>173</v>
      </c>
      <c r="B456" s="9">
        <v>2.0</v>
      </c>
      <c r="C456" s="31" t="str">
        <f>VLOOKUP(A456, 'College List'!A:B, 2, FALSE)</f>
        <v>Witherbloom</v>
      </c>
      <c r="D456" s="355">
        <f>VLOOKUP(B456,Quotas!$A$8:$C$14,2,FALSE)</f>
        <v>46143.70833</v>
      </c>
      <c r="E456" s="356">
        <f>VLOOKUP(B456,Quotas!$A$8:$C$14,3,FALSE)</f>
        <v>46150.70833</v>
      </c>
      <c r="F456" s="79">
        <f>COUNTIFS(Matches!$B:$B,A456,Matches!$A:$A,CONCAT("&gt;",$D456),Matches!$A:$A,CONCAT("&lt;",$E456))</f>
        <v>4</v>
      </c>
      <c r="G456" s="79">
        <f>COUNTIFS(Matches!$C:$C,$A456,Matches!$A:$A,CONCAT("&gt;",$D456),Matches!$A:$A,CONCAT("&lt;",$E456))</f>
        <v>1</v>
      </c>
      <c r="H456" s="79">
        <f t="shared" si="1"/>
        <v>5</v>
      </c>
      <c r="I456" s="79">
        <f>COUNTIFS(Matches!$B:$B,$A456,Matches!$A:$A,CONCAT("&lt;",$E456))</f>
        <v>5</v>
      </c>
      <c r="J456" s="79">
        <f>COUNTIFS(Matches!$C:$C,$A456,Matches!$A:$A,CONCAT("&lt;",$E456))</f>
        <v>5</v>
      </c>
      <c r="K456" s="79">
        <f>COUNTIFS(Entropy!D:D,A456,Entropy!I:I,CONCAT("&lt;",E456-1))</f>
        <v>0</v>
      </c>
      <c r="L456" s="79">
        <f t="shared" si="2"/>
        <v>10</v>
      </c>
      <c r="M456" s="79">
        <f t="array" ref="M456">max(min(IF(J456+K456=11,0,XLOOKUP(B456,Quotas!$A$8:$A$14,Quotas!$E$8:$E$14)-$L456),2),0)</f>
        <v>0</v>
      </c>
      <c r="N456" s="31">
        <f t="shared" si="3"/>
        <v>0</v>
      </c>
    </row>
    <row r="457">
      <c r="A457" s="31" t="s">
        <v>224</v>
      </c>
      <c r="B457" s="9">
        <v>2.0</v>
      </c>
      <c r="C457" s="31" t="str">
        <f>VLOOKUP(A457, 'College List'!A:B, 2, FALSE)</f>
        <v>Lorehold</v>
      </c>
      <c r="D457" s="355">
        <f>VLOOKUP(B457,Quotas!$A$8:$C$14,2,FALSE)</f>
        <v>46143.70833</v>
      </c>
      <c r="E457" s="356">
        <f>VLOOKUP(B457,Quotas!$A$8:$C$14,3,FALSE)</f>
        <v>46150.70833</v>
      </c>
      <c r="F457" s="79">
        <f>COUNTIFS(Matches!$B:$B,A457,Matches!$A:$A,CONCAT("&gt;",$D457),Matches!$A:$A,CONCAT("&lt;",$E457))</f>
        <v>1</v>
      </c>
      <c r="G457" s="79">
        <f>COUNTIFS(Matches!$C:$C,$A457,Matches!$A:$A,CONCAT("&gt;",$D457),Matches!$A:$A,CONCAT("&lt;",$E457))</f>
        <v>3</v>
      </c>
      <c r="H457" s="79">
        <f t="shared" si="1"/>
        <v>4</v>
      </c>
      <c r="I457" s="79">
        <f>COUNTIFS(Matches!$B:$B,$A457,Matches!$A:$A,CONCAT("&lt;",$E457))</f>
        <v>2</v>
      </c>
      <c r="J457" s="79">
        <f>COUNTIFS(Matches!$C:$C,$A457,Matches!$A:$A,CONCAT("&lt;",$E457))</f>
        <v>7</v>
      </c>
      <c r="K457" s="79">
        <f>COUNTIFS(Entropy!D:D,A457,Entropy!I:I,CONCAT("&lt;",E457-1))</f>
        <v>0</v>
      </c>
      <c r="L457" s="79">
        <f t="shared" si="2"/>
        <v>9</v>
      </c>
      <c r="M457" s="79">
        <f t="array" ref="M457">max(min(IF(J457+K457=11,0,XLOOKUP(B457,Quotas!$A$8:$A$14,Quotas!$E$8:$E$14)-$L457),2),0)</f>
        <v>1</v>
      </c>
      <c r="N457" s="31">
        <f t="shared" si="3"/>
        <v>0.5</v>
      </c>
    </row>
    <row r="458">
      <c r="A458" s="31" t="s">
        <v>340</v>
      </c>
      <c r="B458" s="9">
        <v>2.0</v>
      </c>
      <c r="C458" s="31" t="str">
        <f>VLOOKUP(A458, 'College List'!A:B, 2, FALSE)</f>
        <v>Witherbloom</v>
      </c>
      <c r="D458" s="355">
        <f>VLOOKUP(B458,Quotas!$A$8:$C$14,2,FALSE)</f>
        <v>46143.70833</v>
      </c>
      <c r="E458" s="356">
        <f>VLOOKUP(B458,Quotas!$A$8:$C$14,3,FALSE)</f>
        <v>46150.70833</v>
      </c>
      <c r="F458" s="79">
        <f>COUNTIFS(Matches!$B:$B,A458,Matches!$A:$A,CONCAT("&gt;",$D458),Matches!$A:$A,CONCAT("&lt;",$E458))</f>
        <v>0</v>
      </c>
      <c r="G458" s="79">
        <f>COUNTIFS(Matches!$C:$C,$A458,Matches!$A:$A,CONCAT("&gt;",$D458),Matches!$A:$A,CONCAT("&lt;",$E458))</f>
        <v>0</v>
      </c>
      <c r="H458" s="79">
        <f t="shared" si="1"/>
        <v>0</v>
      </c>
      <c r="I458" s="79">
        <f>COUNTIFS(Matches!$B:$B,$A458,Matches!$A:$A,CONCAT("&lt;",$E458))</f>
        <v>2</v>
      </c>
      <c r="J458" s="79">
        <f>COUNTIFS(Matches!$C:$C,$A458,Matches!$A:$A,CONCAT("&lt;",$E458))</f>
        <v>3</v>
      </c>
      <c r="K458" s="79">
        <f>COUNTIFS(Entropy!D:D,A458,Entropy!I:I,CONCAT("&lt;",E458-1))</f>
        <v>0</v>
      </c>
      <c r="L458" s="79">
        <f t="shared" si="2"/>
        <v>5</v>
      </c>
      <c r="M458" s="79">
        <f t="array" ref="M458">max(min(IF(J458+K458=11,0,XLOOKUP(B458,Quotas!$A$8:$A$14,Quotas!$E$8:$E$14)-$L458),2),0)</f>
        <v>2</v>
      </c>
      <c r="N458" s="31">
        <f t="shared" si="3"/>
        <v>0</v>
      </c>
    </row>
    <row r="459">
      <c r="A459" s="31" t="s">
        <v>472</v>
      </c>
      <c r="B459" s="9">
        <v>2.0</v>
      </c>
      <c r="C459" s="31" t="str">
        <f>VLOOKUP(A459, 'College List'!A:B, 2, FALSE)</f>
        <v>Prismari</v>
      </c>
      <c r="D459" s="355">
        <f>VLOOKUP(B459,Quotas!$A$8:$C$14,2,FALSE)</f>
        <v>46143.70833</v>
      </c>
      <c r="E459" s="356">
        <f>VLOOKUP(B459,Quotas!$A$8:$C$14,3,FALSE)</f>
        <v>46150.70833</v>
      </c>
      <c r="F459" s="79">
        <f>COUNTIFS(Matches!$B:$B,A459,Matches!$A:$A,CONCAT("&gt;",$D459),Matches!$A:$A,CONCAT("&lt;",$E459))</f>
        <v>1</v>
      </c>
      <c r="G459" s="79">
        <f>COUNTIFS(Matches!$C:$C,$A459,Matches!$A:$A,CONCAT("&gt;",$D459),Matches!$A:$A,CONCAT("&lt;",$E459))</f>
        <v>2</v>
      </c>
      <c r="H459" s="79">
        <f t="shared" si="1"/>
        <v>3</v>
      </c>
      <c r="I459" s="79">
        <f>COUNTIFS(Matches!$B:$B,$A459,Matches!$A:$A,CONCAT("&lt;",$E459))</f>
        <v>1</v>
      </c>
      <c r="J459" s="79">
        <f>COUNTIFS(Matches!$C:$C,$A459,Matches!$A:$A,CONCAT("&lt;",$E459))</f>
        <v>2</v>
      </c>
      <c r="K459" s="79">
        <f>COUNTIFS(Entropy!D:D,A459,Entropy!I:I,CONCAT("&lt;",E459-1))</f>
        <v>3</v>
      </c>
      <c r="L459" s="79">
        <f t="shared" si="2"/>
        <v>6</v>
      </c>
      <c r="M459" s="79">
        <f t="array" ref="M459">max(min(IF(J459+K459=11,0,XLOOKUP(B459,Quotas!$A$8:$A$14,Quotas!$E$8:$E$14)-$L459),2),0)</f>
        <v>2</v>
      </c>
      <c r="N459" s="31">
        <f t="shared" si="3"/>
        <v>1</v>
      </c>
    </row>
    <row r="460">
      <c r="A460" s="31" t="s">
        <v>169</v>
      </c>
      <c r="B460" s="9">
        <v>2.0</v>
      </c>
      <c r="C460" s="31" t="str">
        <f>VLOOKUP(A460, 'College List'!A:B, 2, FALSE)</f>
        <v>Silverquill</v>
      </c>
      <c r="D460" s="355">
        <f>VLOOKUP(B460,Quotas!$A$8:$C$14,2,FALSE)</f>
        <v>46143.70833</v>
      </c>
      <c r="E460" s="356">
        <f>VLOOKUP(B460,Quotas!$A$8:$C$14,3,FALSE)</f>
        <v>46150.70833</v>
      </c>
      <c r="F460" s="79">
        <f>COUNTIFS(Matches!$B:$B,A460,Matches!$A:$A,CONCAT("&gt;",$D460),Matches!$A:$A,CONCAT("&lt;",$E460))</f>
        <v>3</v>
      </c>
      <c r="G460" s="79">
        <f>COUNTIFS(Matches!$C:$C,$A460,Matches!$A:$A,CONCAT("&gt;",$D460),Matches!$A:$A,CONCAT("&lt;",$E460))</f>
        <v>2</v>
      </c>
      <c r="H460" s="79">
        <f t="shared" si="1"/>
        <v>5</v>
      </c>
      <c r="I460" s="79">
        <f>COUNTIFS(Matches!$B:$B,$A460,Matches!$A:$A,CONCAT("&lt;",$E460))</f>
        <v>4</v>
      </c>
      <c r="J460" s="79">
        <f>COUNTIFS(Matches!$C:$C,$A460,Matches!$A:$A,CONCAT("&lt;",$E460))</f>
        <v>6</v>
      </c>
      <c r="K460" s="79">
        <f>COUNTIFS(Entropy!D:D,A460,Entropy!I:I,CONCAT("&lt;",E460-1))</f>
        <v>0</v>
      </c>
      <c r="L460" s="79">
        <f t="shared" si="2"/>
        <v>10</v>
      </c>
      <c r="M460" s="79">
        <f t="array" ref="M460">max(min(IF(J460+K460=11,0,XLOOKUP(B460,Quotas!$A$8:$A$14,Quotas!$E$8:$E$14)-$L460),2),0)</f>
        <v>0</v>
      </c>
      <c r="N460" s="31">
        <f t="shared" si="3"/>
        <v>0</v>
      </c>
    </row>
    <row r="461">
      <c r="A461" s="31" t="s">
        <v>313</v>
      </c>
      <c r="B461" s="9">
        <v>2.0</v>
      </c>
      <c r="C461" s="31" t="str">
        <f>VLOOKUP(A461, 'College List'!A:B, 2, FALSE)</f>
        <v>Lorehold</v>
      </c>
      <c r="D461" s="355">
        <f>VLOOKUP(B461,Quotas!$A$8:$C$14,2,FALSE)</f>
        <v>46143.70833</v>
      </c>
      <c r="E461" s="356">
        <f>VLOOKUP(B461,Quotas!$A$8:$C$14,3,FALSE)</f>
        <v>46150.70833</v>
      </c>
      <c r="F461" s="79">
        <f>COUNTIFS(Matches!$B:$B,A461,Matches!$A:$A,CONCAT("&gt;",$D461),Matches!$A:$A,CONCAT("&lt;",$E461))</f>
        <v>1</v>
      </c>
      <c r="G461" s="79">
        <f>COUNTIFS(Matches!$C:$C,$A461,Matches!$A:$A,CONCAT("&gt;",$D461),Matches!$A:$A,CONCAT("&lt;",$E461))</f>
        <v>4</v>
      </c>
      <c r="H461" s="79">
        <f t="shared" si="1"/>
        <v>5</v>
      </c>
      <c r="I461" s="79">
        <f>COUNTIFS(Matches!$B:$B,$A461,Matches!$A:$A,CONCAT("&lt;",$E461))</f>
        <v>1</v>
      </c>
      <c r="J461" s="79">
        <f>COUNTIFS(Matches!$C:$C,$A461,Matches!$A:$A,CONCAT("&lt;",$E461))</f>
        <v>8</v>
      </c>
      <c r="K461" s="79">
        <f>COUNTIFS(Entropy!D:D,A461,Entropy!I:I,CONCAT("&lt;",E461-1))</f>
        <v>0</v>
      </c>
      <c r="L461" s="79">
        <f t="shared" si="2"/>
        <v>9</v>
      </c>
      <c r="M461" s="79">
        <f t="array" ref="M461">max(min(IF(J461+K461=11,0,XLOOKUP(B461,Quotas!$A$8:$A$14,Quotas!$E$8:$E$14)-$L461),2),0)</f>
        <v>1</v>
      </c>
      <c r="N461" s="31">
        <f t="shared" si="3"/>
        <v>0.5</v>
      </c>
    </row>
    <row r="462">
      <c r="A462" s="31" t="s">
        <v>247</v>
      </c>
      <c r="B462" s="9">
        <v>2.0</v>
      </c>
      <c r="C462" s="31" t="str">
        <f>VLOOKUP(A462, 'College List'!A:B, 2, FALSE)</f>
        <v>Quandrix</v>
      </c>
      <c r="D462" s="355">
        <f>VLOOKUP(B462,Quotas!$A$8:$C$14,2,FALSE)</f>
        <v>46143.70833</v>
      </c>
      <c r="E462" s="356">
        <f>VLOOKUP(B462,Quotas!$A$8:$C$14,3,FALSE)</f>
        <v>46150.70833</v>
      </c>
      <c r="F462" s="79">
        <f>COUNTIFS(Matches!$B:$B,A462,Matches!$A:$A,CONCAT("&gt;",$D462),Matches!$A:$A,CONCAT("&lt;",$E462))</f>
        <v>3</v>
      </c>
      <c r="G462" s="79">
        <f>COUNTIFS(Matches!$C:$C,$A462,Matches!$A:$A,CONCAT("&gt;",$D462),Matches!$A:$A,CONCAT("&lt;",$E462))</f>
        <v>1</v>
      </c>
      <c r="H462" s="79">
        <f t="shared" si="1"/>
        <v>4</v>
      </c>
      <c r="I462" s="79">
        <f>COUNTIFS(Matches!$B:$B,$A462,Matches!$A:$A,CONCAT("&lt;",$E462))</f>
        <v>5</v>
      </c>
      <c r="J462" s="79">
        <f>COUNTIFS(Matches!$C:$C,$A462,Matches!$A:$A,CONCAT("&lt;",$E462))</f>
        <v>4</v>
      </c>
      <c r="K462" s="79">
        <f>COUNTIFS(Entropy!D:D,A462,Entropy!I:I,CONCAT("&lt;",E462-1))</f>
        <v>0</v>
      </c>
      <c r="L462" s="79">
        <f t="shared" si="2"/>
        <v>9</v>
      </c>
      <c r="M462" s="79">
        <f t="array" ref="M462">max(min(IF(J462+K462=11,0,XLOOKUP(B462,Quotas!$A$8:$A$14,Quotas!$E$8:$E$14)-$L462),2),0)</f>
        <v>1</v>
      </c>
      <c r="N462" s="31">
        <f t="shared" si="3"/>
        <v>0.5</v>
      </c>
    </row>
    <row r="463">
      <c r="A463" s="31" t="s">
        <v>104</v>
      </c>
      <c r="B463" s="9">
        <v>2.0</v>
      </c>
      <c r="C463" s="31" t="str">
        <f>VLOOKUP(A463, 'College List'!A:B, 2, FALSE)</f>
        <v>Lorehold</v>
      </c>
      <c r="D463" s="355">
        <f>VLOOKUP(B463,Quotas!$A$8:$C$14,2,FALSE)</f>
        <v>46143.70833</v>
      </c>
      <c r="E463" s="356">
        <f>VLOOKUP(B463,Quotas!$A$8:$C$14,3,FALSE)</f>
        <v>46150.70833</v>
      </c>
      <c r="F463" s="79">
        <f>COUNTIFS(Matches!$B:$B,A463,Matches!$A:$A,CONCAT("&gt;",$D463),Matches!$A:$A,CONCAT("&lt;",$E463))</f>
        <v>2</v>
      </c>
      <c r="G463" s="79">
        <f>COUNTIFS(Matches!$C:$C,$A463,Matches!$A:$A,CONCAT("&gt;",$D463),Matches!$A:$A,CONCAT("&lt;",$E463))</f>
        <v>2</v>
      </c>
      <c r="H463" s="79">
        <f t="shared" si="1"/>
        <v>4</v>
      </c>
      <c r="I463" s="79">
        <f>COUNTIFS(Matches!$B:$B,$A463,Matches!$A:$A,CONCAT("&lt;",$E463))</f>
        <v>5</v>
      </c>
      <c r="J463" s="79">
        <f>COUNTIFS(Matches!$C:$C,$A463,Matches!$A:$A,CONCAT("&lt;",$E463))</f>
        <v>4</v>
      </c>
      <c r="K463" s="79">
        <f>COUNTIFS(Entropy!D:D,A463,Entropy!I:I,CONCAT("&lt;",E463-1))</f>
        <v>0</v>
      </c>
      <c r="L463" s="79">
        <f t="shared" si="2"/>
        <v>9</v>
      </c>
      <c r="M463" s="79">
        <f t="array" ref="M463">max(min(IF(J463+K463=11,0,XLOOKUP(B463,Quotas!$A$8:$A$14,Quotas!$E$8:$E$14)-$L463),2),0)</f>
        <v>1</v>
      </c>
      <c r="N463" s="31">
        <f t="shared" si="3"/>
        <v>0.5</v>
      </c>
    </row>
    <row r="464">
      <c r="A464" s="31" t="s">
        <v>249</v>
      </c>
      <c r="B464" s="9">
        <v>2.0</v>
      </c>
      <c r="C464" s="31" t="str">
        <f>VLOOKUP(A464, 'College List'!A:B, 2, FALSE)</f>
        <v>Quandrix</v>
      </c>
      <c r="D464" s="355">
        <f>VLOOKUP(B464,Quotas!$A$8:$C$14,2,FALSE)</f>
        <v>46143.70833</v>
      </c>
      <c r="E464" s="356">
        <f>VLOOKUP(B464,Quotas!$A$8:$C$14,3,FALSE)</f>
        <v>46150.70833</v>
      </c>
      <c r="F464" s="79">
        <f>COUNTIFS(Matches!$B:$B,A464,Matches!$A:$A,CONCAT("&gt;",$D464),Matches!$A:$A,CONCAT("&lt;",$E464))</f>
        <v>4</v>
      </c>
      <c r="G464" s="79">
        <f>COUNTIFS(Matches!$C:$C,$A464,Matches!$A:$A,CONCAT("&gt;",$D464),Matches!$A:$A,CONCAT("&lt;",$E464))</f>
        <v>1</v>
      </c>
      <c r="H464" s="79">
        <f t="shared" si="1"/>
        <v>5</v>
      </c>
      <c r="I464" s="79">
        <f>COUNTIFS(Matches!$B:$B,$A464,Matches!$A:$A,CONCAT("&lt;",$E464))</f>
        <v>6</v>
      </c>
      <c r="J464" s="79">
        <f>COUNTIFS(Matches!$C:$C,$A464,Matches!$A:$A,CONCAT("&lt;",$E464))</f>
        <v>4</v>
      </c>
      <c r="K464" s="79">
        <f>COUNTIFS(Entropy!D:D,A464,Entropy!I:I,CONCAT("&lt;",E464-1))</f>
        <v>0</v>
      </c>
      <c r="L464" s="79">
        <f t="shared" si="2"/>
        <v>10</v>
      </c>
      <c r="M464" s="79">
        <f t="array" ref="M464">max(min(IF(J464+K464=11,0,XLOOKUP(B464,Quotas!$A$8:$A$14,Quotas!$E$8:$E$14)-$L464),2),0)</f>
        <v>0</v>
      </c>
      <c r="N464" s="31">
        <f t="shared" si="3"/>
        <v>0</v>
      </c>
    </row>
    <row r="465">
      <c r="A465" s="31" t="s">
        <v>294</v>
      </c>
      <c r="B465" s="9">
        <v>2.0</v>
      </c>
      <c r="C465" s="31" t="str">
        <f>VLOOKUP(A465, 'College List'!A:B, 2, FALSE)</f>
        <v>Prismari</v>
      </c>
      <c r="D465" s="355">
        <f>VLOOKUP(B465,Quotas!$A$8:$C$14,2,FALSE)</f>
        <v>46143.70833</v>
      </c>
      <c r="E465" s="356">
        <f>VLOOKUP(B465,Quotas!$A$8:$C$14,3,FALSE)</f>
        <v>46150.70833</v>
      </c>
      <c r="F465" s="79">
        <f>COUNTIFS(Matches!$B:$B,A465,Matches!$A:$A,CONCAT("&gt;",$D465),Matches!$A:$A,CONCAT("&lt;",$E465))</f>
        <v>1</v>
      </c>
      <c r="G465" s="79">
        <f>COUNTIFS(Matches!$C:$C,$A465,Matches!$A:$A,CONCAT("&gt;",$D465),Matches!$A:$A,CONCAT("&lt;",$E465))</f>
        <v>3</v>
      </c>
      <c r="H465" s="79">
        <f t="shared" si="1"/>
        <v>4</v>
      </c>
      <c r="I465" s="79">
        <f>COUNTIFS(Matches!$B:$B,$A465,Matches!$A:$A,CONCAT("&lt;",$E465))</f>
        <v>3</v>
      </c>
      <c r="J465" s="79">
        <f>COUNTIFS(Matches!$C:$C,$A465,Matches!$A:$A,CONCAT("&lt;",$E465))</f>
        <v>6</v>
      </c>
      <c r="K465" s="79">
        <f>COUNTIFS(Entropy!D:D,A465,Entropy!I:I,CONCAT("&lt;",E465-1))</f>
        <v>0</v>
      </c>
      <c r="L465" s="79">
        <f t="shared" si="2"/>
        <v>9</v>
      </c>
      <c r="M465" s="79">
        <f t="array" ref="M465">max(min(IF(J465+K465=11,0,XLOOKUP(B465,Quotas!$A$8:$A$14,Quotas!$E$8:$E$14)-$L465),2),0)</f>
        <v>1</v>
      </c>
      <c r="N465" s="31">
        <f t="shared" si="3"/>
        <v>0.5</v>
      </c>
    </row>
    <row r="466">
      <c r="A466" s="31" t="s">
        <v>276</v>
      </c>
      <c r="B466" s="9">
        <v>2.0</v>
      </c>
      <c r="C466" s="31" t="str">
        <f>VLOOKUP(A466, 'College List'!A:B, 2, FALSE)</f>
        <v>Quandrix</v>
      </c>
      <c r="D466" s="355">
        <f>VLOOKUP(B466,Quotas!$A$8:$C$14,2,FALSE)</f>
        <v>46143.70833</v>
      </c>
      <c r="E466" s="356">
        <f>VLOOKUP(B466,Quotas!$A$8:$C$14,3,FALSE)</f>
        <v>46150.70833</v>
      </c>
      <c r="F466" s="79">
        <f>COUNTIFS(Matches!$B:$B,A466,Matches!$A:$A,CONCAT("&gt;",$D466),Matches!$A:$A,CONCAT("&lt;",$E466))</f>
        <v>3</v>
      </c>
      <c r="G466" s="79">
        <f>COUNTIFS(Matches!$C:$C,$A466,Matches!$A:$A,CONCAT("&gt;",$D466),Matches!$A:$A,CONCAT("&lt;",$E466))</f>
        <v>2</v>
      </c>
      <c r="H466" s="79">
        <f t="shared" si="1"/>
        <v>5</v>
      </c>
      <c r="I466" s="79">
        <f>COUNTIFS(Matches!$B:$B,$A466,Matches!$A:$A,CONCAT("&lt;",$E466))</f>
        <v>7</v>
      </c>
      <c r="J466" s="79">
        <f>COUNTIFS(Matches!$C:$C,$A466,Matches!$A:$A,CONCAT("&lt;",$E466))</f>
        <v>3</v>
      </c>
      <c r="K466" s="79">
        <f>COUNTIFS(Entropy!D:D,A466,Entropy!I:I,CONCAT("&lt;",E466-1))</f>
        <v>0</v>
      </c>
      <c r="L466" s="79">
        <f t="shared" si="2"/>
        <v>10</v>
      </c>
      <c r="M466" s="79">
        <f t="array" ref="M466">max(min(IF(J466+K466=11,0,XLOOKUP(B466,Quotas!$A$8:$A$14,Quotas!$E$8:$E$14)-$L466),2),0)</f>
        <v>0</v>
      </c>
      <c r="N466" s="31">
        <f t="shared" si="3"/>
        <v>0</v>
      </c>
    </row>
    <row r="467">
      <c r="A467" s="31" t="s">
        <v>257</v>
      </c>
      <c r="B467" s="9">
        <v>2.0</v>
      </c>
      <c r="C467" s="31" t="str">
        <f>VLOOKUP(A467, 'College List'!A:B, 2, FALSE)</f>
        <v>Witherbloom</v>
      </c>
      <c r="D467" s="355">
        <f>VLOOKUP(B467,Quotas!$A$8:$C$14,2,FALSE)</f>
        <v>46143.70833</v>
      </c>
      <c r="E467" s="356">
        <f>VLOOKUP(B467,Quotas!$A$8:$C$14,3,FALSE)</f>
        <v>46150.70833</v>
      </c>
      <c r="F467" s="79">
        <f>COUNTIFS(Matches!$B:$B,A467,Matches!$A:$A,CONCAT("&gt;",$D467),Matches!$A:$A,CONCAT("&lt;",$E467))</f>
        <v>1</v>
      </c>
      <c r="G467" s="79">
        <f>COUNTIFS(Matches!$C:$C,$A467,Matches!$A:$A,CONCAT("&gt;",$D467),Matches!$A:$A,CONCAT("&lt;",$E467))</f>
        <v>4</v>
      </c>
      <c r="H467" s="79">
        <f t="shared" si="1"/>
        <v>5</v>
      </c>
      <c r="I467" s="79">
        <f>COUNTIFS(Matches!$B:$B,$A467,Matches!$A:$A,CONCAT("&lt;",$E467))</f>
        <v>2</v>
      </c>
      <c r="J467" s="79">
        <f>COUNTIFS(Matches!$C:$C,$A467,Matches!$A:$A,CONCAT("&lt;",$E467))</f>
        <v>8</v>
      </c>
      <c r="K467" s="79">
        <f>COUNTIFS(Entropy!D:D,A467,Entropy!I:I,CONCAT("&lt;",E467-1))</f>
        <v>0</v>
      </c>
      <c r="L467" s="79">
        <f t="shared" si="2"/>
        <v>10</v>
      </c>
      <c r="M467" s="79">
        <f t="array" ref="M467">max(min(IF(J467+K467=11,0,XLOOKUP(B467,Quotas!$A$8:$A$14,Quotas!$E$8:$E$14)-$L467),2),0)</f>
        <v>0</v>
      </c>
      <c r="N467" s="31">
        <f t="shared" si="3"/>
        <v>0</v>
      </c>
    </row>
    <row r="468">
      <c r="A468" s="31" t="s">
        <v>195</v>
      </c>
      <c r="B468" s="9">
        <v>2.0</v>
      </c>
      <c r="C468" s="31" t="str">
        <f>VLOOKUP(A468, 'College List'!A:B, 2, FALSE)</f>
        <v>Lorehold</v>
      </c>
      <c r="D468" s="355">
        <f>VLOOKUP(B468,Quotas!$A$8:$C$14,2,FALSE)</f>
        <v>46143.70833</v>
      </c>
      <c r="E468" s="356">
        <f>VLOOKUP(B468,Quotas!$A$8:$C$14,3,FALSE)</f>
        <v>46150.70833</v>
      </c>
      <c r="F468" s="79">
        <f>COUNTIFS(Matches!$B:$B,A468,Matches!$A:$A,CONCAT("&gt;",$D468),Matches!$A:$A,CONCAT("&lt;",$E468))</f>
        <v>2</v>
      </c>
      <c r="G468" s="79">
        <f>COUNTIFS(Matches!$C:$C,$A468,Matches!$A:$A,CONCAT("&gt;",$D468),Matches!$A:$A,CONCAT("&lt;",$E468))</f>
        <v>2</v>
      </c>
      <c r="H468" s="79">
        <f t="shared" si="1"/>
        <v>4</v>
      </c>
      <c r="I468" s="79">
        <f>COUNTIFS(Matches!$B:$B,$A468,Matches!$A:$A,CONCAT("&lt;",$E468))</f>
        <v>5</v>
      </c>
      <c r="J468" s="79">
        <f>COUNTIFS(Matches!$C:$C,$A468,Matches!$A:$A,CONCAT("&lt;",$E468))</f>
        <v>4</v>
      </c>
      <c r="K468" s="79">
        <f>COUNTIFS(Entropy!D:D,A468,Entropy!I:I,CONCAT("&lt;",E468-1))</f>
        <v>0</v>
      </c>
      <c r="L468" s="79">
        <f t="shared" si="2"/>
        <v>9</v>
      </c>
      <c r="M468" s="79">
        <f t="array" ref="M468">max(min(IF(J468+K468=11,0,XLOOKUP(B468,Quotas!$A$8:$A$14,Quotas!$E$8:$E$14)-$L468),2),0)</f>
        <v>1</v>
      </c>
      <c r="N468" s="31">
        <f t="shared" si="3"/>
        <v>0.5</v>
      </c>
    </row>
    <row r="469">
      <c r="A469" s="31" t="s">
        <v>282</v>
      </c>
      <c r="B469" s="9">
        <v>2.0</v>
      </c>
      <c r="C469" s="31" t="str">
        <f>VLOOKUP(A469, 'College List'!A:B, 2, FALSE)</f>
        <v>Silverquill</v>
      </c>
      <c r="D469" s="355">
        <f>VLOOKUP(B469,Quotas!$A$8:$C$14,2,FALSE)</f>
        <v>46143.70833</v>
      </c>
      <c r="E469" s="356">
        <f>VLOOKUP(B469,Quotas!$A$8:$C$14,3,FALSE)</f>
        <v>46150.70833</v>
      </c>
      <c r="F469" s="79">
        <f>COUNTIFS(Matches!$B:$B,A469,Matches!$A:$A,CONCAT("&gt;",$D469),Matches!$A:$A,CONCAT("&lt;",$E469))</f>
        <v>4</v>
      </c>
      <c r="G469" s="79">
        <f>COUNTIFS(Matches!$C:$C,$A469,Matches!$A:$A,CONCAT("&gt;",$D469),Matches!$A:$A,CONCAT("&lt;",$E469))</f>
        <v>1</v>
      </c>
      <c r="H469" s="79">
        <f t="shared" si="1"/>
        <v>5</v>
      </c>
      <c r="I469" s="79">
        <f>COUNTIFS(Matches!$B:$B,$A469,Matches!$A:$A,CONCAT("&lt;",$E469))</f>
        <v>7</v>
      </c>
      <c r="J469" s="79">
        <f>COUNTIFS(Matches!$C:$C,$A469,Matches!$A:$A,CONCAT("&lt;",$E469))</f>
        <v>3</v>
      </c>
      <c r="K469" s="79">
        <f>COUNTIFS(Entropy!D:D,A469,Entropy!I:I,CONCAT("&lt;",E469-1))</f>
        <v>0</v>
      </c>
      <c r="L469" s="79">
        <f t="shared" si="2"/>
        <v>10</v>
      </c>
      <c r="M469" s="79">
        <f t="array" ref="M469">max(min(IF(J469+K469=11,0,XLOOKUP(B469,Quotas!$A$8:$A$14,Quotas!$E$8:$E$14)-$L469),2),0)</f>
        <v>0</v>
      </c>
      <c r="N469" s="31">
        <f t="shared" si="3"/>
        <v>0</v>
      </c>
    </row>
    <row r="470">
      <c r="A470" s="31" t="s">
        <v>302</v>
      </c>
      <c r="B470" s="9">
        <v>2.0</v>
      </c>
      <c r="C470" s="31" t="str">
        <f>VLOOKUP(A470, 'College List'!A:B, 2, FALSE)</f>
        <v>Silverquill</v>
      </c>
      <c r="D470" s="355">
        <f>VLOOKUP(B470,Quotas!$A$8:$C$14,2,FALSE)</f>
        <v>46143.70833</v>
      </c>
      <c r="E470" s="356">
        <f>VLOOKUP(B470,Quotas!$A$8:$C$14,3,FALSE)</f>
        <v>46150.70833</v>
      </c>
      <c r="F470" s="79">
        <f>COUNTIFS(Matches!$B:$B,A470,Matches!$A:$A,CONCAT("&gt;",$D470),Matches!$A:$A,CONCAT("&lt;",$E470))</f>
        <v>1</v>
      </c>
      <c r="G470" s="79">
        <f>COUNTIFS(Matches!$C:$C,$A470,Matches!$A:$A,CONCAT("&gt;",$D470),Matches!$A:$A,CONCAT("&lt;",$E470))</f>
        <v>3</v>
      </c>
      <c r="H470" s="79">
        <f t="shared" si="1"/>
        <v>4</v>
      </c>
      <c r="I470" s="79">
        <f>COUNTIFS(Matches!$B:$B,$A470,Matches!$A:$A,CONCAT("&lt;",$E470))</f>
        <v>4</v>
      </c>
      <c r="J470" s="79">
        <f>COUNTIFS(Matches!$C:$C,$A470,Matches!$A:$A,CONCAT("&lt;",$E470))</f>
        <v>5</v>
      </c>
      <c r="K470" s="79">
        <f>COUNTIFS(Entropy!D:D,A470,Entropy!I:I,CONCAT("&lt;",E470-1))</f>
        <v>0</v>
      </c>
      <c r="L470" s="79">
        <f t="shared" si="2"/>
        <v>9</v>
      </c>
      <c r="M470" s="79">
        <f t="array" ref="M470">max(min(IF(J470+K470=11,0,XLOOKUP(B470,Quotas!$A$8:$A$14,Quotas!$E$8:$E$14)-$L470),2),0)</f>
        <v>1</v>
      </c>
      <c r="N470" s="31">
        <f t="shared" si="3"/>
        <v>0.5</v>
      </c>
    </row>
    <row r="471">
      <c r="A471" s="31" t="s">
        <v>174</v>
      </c>
      <c r="B471" s="9">
        <v>2.0</v>
      </c>
      <c r="C471" s="31" t="str">
        <f>VLOOKUP(A471, 'College List'!A:B, 2, FALSE)</f>
        <v>Witherbloom</v>
      </c>
      <c r="D471" s="355">
        <f>VLOOKUP(B471,Quotas!$A$8:$C$14,2,FALSE)</f>
        <v>46143.70833</v>
      </c>
      <c r="E471" s="356">
        <f>VLOOKUP(B471,Quotas!$A$8:$C$14,3,FALSE)</f>
        <v>46150.70833</v>
      </c>
      <c r="F471" s="79">
        <f>COUNTIFS(Matches!$B:$B,A471,Matches!$A:$A,CONCAT("&gt;",$D471),Matches!$A:$A,CONCAT("&lt;",$E471))</f>
        <v>1</v>
      </c>
      <c r="G471" s="79">
        <f>COUNTIFS(Matches!$C:$C,$A471,Matches!$A:$A,CONCAT("&gt;",$D471),Matches!$A:$A,CONCAT("&lt;",$E471))</f>
        <v>4</v>
      </c>
      <c r="H471" s="79">
        <f t="shared" si="1"/>
        <v>5</v>
      </c>
      <c r="I471" s="79">
        <f>COUNTIFS(Matches!$B:$B,$A471,Matches!$A:$A,CONCAT("&lt;",$E471))</f>
        <v>4</v>
      </c>
      <c r="J471" s="79">
        <f>COUNTIFS(Matches!$C:$C,$A471,Matches!$A:$A,CONCAT("&lt;",$E471))</f>
        <v>6</v>
      </c>
      <c r="K471" s="79">
        <f>COUNTIFS(Entropy!D:D,A471,Entropy!I:I,CONCAT("&lt;",E471-1))</f>
        <v>0</v>
      </c>
      <c r="L471" s="79">
        <f t="shared" si="2"/>
        <v>10</v>
      </c>
      <c r="M471" s="79">
        <f t="array" ref="M471">max(min(IF(J471+K471=11,0,XLOOKUP(B471,Quotas!$A$8:$A$14,Quotas!$E$8:$E$14)-$L471),2),0)</f>
        <v>0</v>
      </c>
      <c r="N471" s="31">
        <f t="shared" si="3"/>
        <v>0</v>
      </c>
    </row>
    <row r="472">
      <c r="A472" s="31" t="s">
        <v>260</v>
      </c>
      <c r="B472" s="9">
        <v>2.0</v>
      </c>
      <c r="C472" s="31" t="str">
        <f>VLOOKUP(A472, 'College List'!A:B, 2, FALSE)</f>
        <v>Witherbloom</v>
      </c>
      <c r="D472" s="355">
        <f>VLOOKUP(B472,Quotas!$A$8:$C$14,2,FALSE)</f>
        <v>46143.70833</v>
      </c>
      <c r="E472" s="356">
        <f>VLOOKUP(B472,Quotas!$A$8:$C$14,3,FALSE)</f>
        <v>46150.70833</v>
      </c>
      <c r="F472" s="79">
        <f>COUNTIFS(Matches!$B:$B,A472,Matches!$A:$A,CONCAT("&gt;",$D472),Matches!$A:$A,CONCAT("&lt;",$E472))</f>
        <v>1</v>
      </c>
      <c r="G472" s="79">
        <f>COUNTIFS(Matches!$C:$C,$A472,Matches!$A:$A,CONCAT("&gt;",$D472),Matches!$A:$A,CONCAT("&lt;",$E472))</f>
        <v>4</v>
      </c>
      <c r="H472" s="79">
        <f t="shared" si="1"/>
        <v>5</v>
      </c>
      <c r="I472" s="79">
        <f>COUNTIFS(Matches!$B:$B,$A472,Matches!$A:$A,CONCAT("&lt;",$E472))</f>
        <v>3</v>
      </c>
      <c r="J472" s="79">
        <f>COUNTIFS(Matches!$C:$C,$A472,Matches!$A:$A,CONCAT("&lt;",$E472))</f>
        <v>7</v>
      </c>
      <c r="K472" s="79">
        <f>COUNTIFS(Entropy!D:D,A472,Entropy!I:I,CONCAT("&lt;",E472-1))</f>
        <v>0</v>
      </c>
      <c r="L472" s="79">
        <f t="shared" si="2"/>
        <v>10</v>
      </c>
      <c r="M472" s="79">
        <f t="array" ref="M472">max(min(IF(J472+K472=11,0,XLOOKUP(B472,Quotas!$A$8:$A$14,Quotas!$E$8:$E$14)-$L472),2),0)</f>
        <v>0</v>
      </c>
      <c r="N472" s="31">
        <f t="shared" si="3"/>
        <v>0</v>
      </c>
    </row>
    <row r="473">
      <c r="A473" s="31" t="s">
        <v>62</v>
      </c>
      <c r="B473" s="9">
        <v>2.0</v>
      </c>
      <c r="C473" s="31" t="str">
        <f>VLOOKUP(A473, 'College List'!A:B, 2, FALSE)</f>
        <v>Prismari</v>
      </c>
      <c r="D473" s="355">
        <f>VLOOKUP(B473,Quotas!$A$8:$C$14,2,FALSE)</f>
        <v>46143.70833</v>
      </c>
      <c r="E473" s="356">
        <f>VLOOKUP(B473,Quotas!$A$8:$C$14,3,FALSE)</f>
        <v>46150.70833</v>
      </c>
      <c r="F473" s="79">
        <f>COUNTIFS(Matches!$B:$B,A473,Matches!$A:$A,CONCAT("&gt;",$D473),Matches!$A:$A,CONCAT("&lt;",$E473))</f>
        <v>5</v>
      </c>
      <c r="G473" s="79">
        <f>COUNTIFS(Matches!$C:$C,$A473,Matches!$A:$A,CONCAT("&gt;",$D473),Matches!$A:$A,CONCAT("&lt;",$E473))</f>
        <v>0</v>
      </c>
      <c r="H473" s="79">
        <f t="shared" si="1"/>
        <v>5</v>
      </c>
      <c r="I473" s="79">
        <f>COUNTIFS(Matches!$B:$B,$A473,Matches!$A:$A,CONCAT("&lt;",$E473))</f>
        <v>6</v>
      </c>
      <c r="J473" s="79">
        <f>COUNTIFS(Matches!$C:$C,$A473,Matches!$A:$A,CONCAT("&lt;",$E473))</f>
        <v>4</v>
      </c>
      <c r="K473" s="79">
        <f>COUNTIFS(Entropy!D:D,A473,Entropy!I:I,CONCAT("&lt;",E473-1))</f>
        <v>0</v>
      </c>
      <c r="L473" s="79">
        <f t="shared" si="2"/>
        <v>10</v>
      </c>
      <c r="M473" s="79">
        <f t="array" ref="M473">max(min(IF(J473+K473=11,0,XLOOKUP(B473,Quotas!$A$8:$A$14,Quotas!$E$8:$E$14)-$L473),2),0)</f>
        <v>0</v>
      </c>
      <c r="N473" s="31">
        <f t="shared" si="3"/>
        <v>0</v>
      </c>
    </row>
    <row r="474">
      <c r="A474" s="31" t="s">
        <v>233</v>
      </c>
      <c r="B474" s="9">
        <v>2.0</v>
      </c>
      <c r="C474" s="31" t="str">
        <f>VLOOKUP(A474, 'College List'!A:B, 2, FALSE)</f>
        <v>Lorehold</v>
      </c>
      <c r="D474" s="355">
        <f>VLOOKUP(B474,Quotas!$A$8:$C$14,2,FALSE)</f>
        <v>46143.70833</v>
      </c>
      <c r="E474" s="356">
        <f>VLOOKUP(B474,Quotas!$A$8:$C$14,3,FALSE)</f>
        <v>46150.70833</v>
      </c>
      <c r="F474" s="79">
        <f>COUNTIFS(Matches!$B:$B,A474,Matches!$A:$A,CONCAT("&gt;",$D474),Matches!$A:$A,CONCAT("&lt;",$E474))</f>
        <v>2</v>
      </c>
      <c r="G474" s="79">
        <f>COUNTIFS(Matches!$C:$C,$A474,Matches!$A:$A,CONCAT("&gt;",$D474),Matches!$A:$A,CONCAT("&lt;",$E474))</f>
        <v>2</v>
      </c>
      <c r="H474" s="79">
        <f t="shared" si="1"/>
        <v>4</v>
      </c>
      <c r="I474" s="79">
        <f>COUNTIFS(Matches!$B:$B,$A474,Matches!$A:$A,CONCAT("&lt;",$E474))</f>
        <v>4</v>
      </c>
      <c r="J474" s="79">
        <f>COUNTIFS(Matches!$C:$C,$A474,Matches!$A:$A,CONCAT("&lt;",$E474))</f>
        <v>4</v>
      </c>
      <c r="K474" s="79">
        <f>COUNTIFS(Entropy!D:D,A474,Entropy!I:I,CONCAT("&lt;",E474-1))</f>
        <v>0</v>
      </c>
      <c r="L474" s="79">
        <f t="shared" si="2"/>
        <v>8</v>
      </c>
      <c r="M474" s="79">
        <f t="array" ref="M474">max(min(IF(J474+K474=11,0,XLOOKUP(B474,Quotas!$A$8:$A$14,Quotas!$E$8:$E$14)-$L474),2),0)</f>
        <v>2</v>
      </c>
      <c r="N474" s="31">
        <f t="shared" si="3"/>
        <v>1</v>
      </c>
    </row>
    <row r="475">
      <c r="A475" s="31" t="s">
        <v>413</v>
      </c>
      <c r="B475" s="9">
        <v>2.0</v>
      </c>
      <c r="C475" s="31" t="str">
        <f>VLOOKUP(A475, 'College List'!A:B, 2, FALSE)</f>
        <v>Lorehold</v>
      </c>
      <c r="D475" s="355">
        <f>VLOOKUP(B475,Quotas!$A$8:$C$14,2,FALSE)</f>
        <v>46143.70833</v>
      </c>
      <c r="E475" s="356">
        <f>VLOOKUP(B475,Quotas!$A$8:$C$14,3,FALSE)</f>
        <v>46150.70833</v>
      </c>
      <c r="F475" s="79">
        <f>COUNTIFS(Matches!$B:$B,A475,Matches!$A:$A,CONCAT("&gt;",$D475),Matches!$A:$A,CONCAT("&lt;",$E475))</f>
        <v>0</v>
      </c>
      <c r="G475" s="79">
        <f>COUNTIFS(Matches!$C:$C,$A475,Matches!$A:$A,CONCAT("&gt;",$D475),Matches!$A:$A,CONCAT("&lt;",$E475))</f>
        <v>4</v>
      </c>
      <c r="H475" s="79">
        <f t="shared" si="1"/>
        <v>4</v>
      </c>
      <c r="I475" s="79">
        <f>COUNTIFS(Matches!$B:$B,$A475,Matches!$A:$A,CONCAT("&lt;",$E475))</f>
        <v>1</v>
      </c>
      <c r="J475" s="79">
        <f>COUNTIFS(Matches!$C:$C,$A475,Matches!$A:$A,CONCAT("&lt;",$E475))</f>
        <v>7</v>
      </c>
      <c r="K475" s="79">
        <f>COUNTIFS(Entropy!D:D,A475,Entropy!I:I,CONCAT("&lt;",E475-1))</f>
        <v>0</v>
      </c>
      <c r="L475" s="79">
        <f t="shared" si="2"/>
        <v>8</v>
      </c>
      <c r="M475" s="79">
        <f t="array" ref="M475">max(min(IF(J475+K475=11,0,XLOOKUP(B475,Quotas!$A$8:$A$14,Quotas!$E$8:$E$14)-$L475),2),0)</f>
        <v>2</v>
      </c>
      <c r="N475" s="31">
        <f t="shared" si="3"/>
        <v>1</v>
      </c>
    </row>
    <row r="476">
      <c r="A476" s="31" t="s">
        <v>368</v>
      </c>
      <c r="B476" s="9">
        <v>2.0</v>
      </c>
      <c r="C476" s="31" t="str">
        <f>VLOOKUP(A476, 'College List'!A:B, 2, FALSE)</f>
        <v>Silverquill</v>
      </c>
      <c r="D476" s="355">
        <f>VLOOKUP(B476,Quotas!$A$8:$C$14,2,FALSE)</f>
        <v>46143.70833</v>
      </c>
      <c r="E476" s="356">
        <f>VLOOKUP(B476,Quotas!$A$8:$C$14,3,FALSE)</f>
        <v>46150.70833</v>
      </c>
      <c r="F476" s="79">
        <f>COUNTIFS(Matches!$B:$B,A476,Matches!$A:$A,CONCAT("&gt;",$D476),Matches!$A:$A,CONCAT("&lt;",$E476))</f>
        <v>3</v>
      </c>
      <c r="G476" s="79">
        <f>COUNTIFS(Matches!$C:$C,$A476,Matches!$A:$A,CONCAT("&gt;",$D476),Matches!$A:$A,CONCAT("&lt;",$E476))</f>
        <v>3</v>
      </c>
      <c r="H476" s="79">
        <f t="shared" si="1"/>
        <v>6</v>
      </c>
      <c r="I476" s="79">
        <f>COUNTIFS(Matches!$B:$B,$A476,Matches!$A:$A,CONCAT("&lt;",$E476))</f>
        <v>6</v>
      </c>
      <c r="J476" s="79">
        <f>COUNTIFS(Matches!$C:$C,$A476,Matches!$A:$A,CONCAT("&lt;",$E476))</f>
        <v>4</v>
      </c>
      <c r="K476" s="79">
        <f>COUNTIFS(Entropy!D:D,A476,Entropy!I:I,CONCAT("&lt;",E476-1))</f>
        <v>0</v>
      </c>
      <c r="L476" s="79">
        <f t="shared" si="2"/>
        <v>10</v>
      </c>
      <c r="M476" s="79">
        <f t="array" ref="M476">max(min(IF(J476+K476=11,0,XLOOKUP(B476,Quotas!$A$8:$A$14,Quotas!$E$8:$E$14)-$L476),2),0)</f>
        <v>0</v>
      </c>
      <c r="N476" s="31">
        <f t="shared" si="3"/>
        <v>0</v>
      </c>
    </row>
    <row r="477">
      <c r="A477" s="31" t="s">
        <v>139</v>
      </c>
      <c r="B477" s="9">
        <v>2.0</v>
      </c>
      <c r="C477" s="31" t="str">
        <f>VLOOKUP(A477, 'College List'!A:B, 2, FALSE)</f>
        <v>Silverquill</v>
      </c>
      <c r="D477" s="355">
        <f>VLOOKUP(B477,Quotas!$A$8:$C$14,2,FALSE)</f>
        <v>46143.70833</v>
      </c>
      <c r="E477" s="356">
        <f>VLOOKUP(B477,Quotas!$A$8:$C$14,3,FALSE)</f>
        <v>46150.70833</v>
      </c>
      <c r="F477" s="79">
        <f>COUNTIFS(Matches!$B:$B,A477,Matches!$A:$A,CONCAT("&gt;",$D477),Matches!$A:$A,CONCAT("&lt;",$E477))</f>
        <v>2</v>
      </c>
      <c r="G477" s="79">
        <f>COUNTIFS(Matches!$C:$C,$A477,Matches!$A:$A,CONCAT("&gt;",$D477),Matches!$A:$A,CONCAT("&lt;",$E477))</f>
        <v>2</v>
      </c>
      <c r="H477" s="79">
        <f t="shared" si="1"/>
        <v>4</v>
      </c>
      <c r="I477" s="79">
        <f>COUNTIFS(Matches!$B:$B,$A477,Matches!$A:$A,CONCAT("&lt;",$E477))</f>
        <v>5</v>
      </c>
      <c r="J477" s="79">
        <f>COUNTIFS(Matches!$C:$C,$A477,Matches!$A:$A,CONCAT("&lt;",$E477))</f>
        <v>4</v>
      </c>
      <c r="K477" s="79">
        <f>COUNTIFS(Entropy!D:D,A477,Entropy!I:I,CONCAT("&lt;",E477-1))</f>
        <v>0</v>
      </c>
      <c r="L477" s="79">
        <f t="shared" si="2"/>
        <v>9</v>
      </c>
      <c r="M477" s="79">
        <f t="array" ref="M477">max(min(IF(J477+K477=11,0,XLOOKUP(B477,Quotas!$A$8:$A$14,Quotas!$E$8:$E$14)-$L477),2),0)</f>
        <v>1</v>
      </c>
      <c r="N477" s="31">
        <f t="shared" si="3"/>
        <v>0.5</v>
      </c>
    </row>
    <row r="478">
      <c r="A478" s="9" t="s">
        <v>334</v>
      </c>
      <c r="B478" s="9">
        <v>3.0</v>
      </c>
      <c r="C478" s="31" t="str">
        <f>VLOOKUP(A478, 'College List'!A:B, 2, FALSE)</f>
        <v>Prismari</v>
      </c>
      <c r="D478" s="355">
        <f>VLOOKUP(B478,Quotas!$A$8:$C$14,2,FALSE)</f>
        <v>46150.70833</v>
      </c>
      <c r="E478" s="356">
        <f>VLOOKUP(B478,Quotas!$A$8:$C$14,3,FALSE)</f>
        <v>46157.70833</v>
      </c>
      <c r="F478" s="79">
        <f>COUNTIFS(Matches!$B:$B,A478,Matches!$A:$A,CONCAT("&gt;",$D478),Matches!$A:$A,CONCAT("&lt;",$E478))</f>
        <v>0</v>
      </c>
      <c r="G478" s="79">
        <f>COUNTIFS(Matches!$C:$C,$A478,Matches!$A:$A,CONCAT("&gt;",$D478),Matches!$A:$A,CONCAT("&lt;",$E478))</f>
        <v>0</v>
      </c>
      <c r="H478" s="79">
        <f t="shared" si="1"/>
        <v>0</v>
      </c>
      <c r="I478" s="79">
        <f>COUNTIFS(Matches!$B:$B,$A478,Matches!$A:$A,CONCAT("&lt;",$E478))</f>
        <v>0</v>
      </c>
      <c r="J478" s="79">
        <f>COUNTIFS(Matches!$C:$C,$A478,Matches!$A:$A,CONCAT("&lt;",$E478))</f>
        <v>5</v>
      </c>
      <c r="K478" s="79">
        <f>COUNTIFS(Entropy!D:D,A478,Entropy!I:I,CONCAT("&lt;",E478-1))</f>
        <v>3</v>
      </c>
      <c r="L478" s="79">
        <f t="shared" si="2"/>
        <v>8</v>
      </c>
      <c r="M478" s="79">
        <f t="array" ref="M478">max(min(IF(J478+K478=11,0,XLOOKUP(B478,Quotas!$A$8:$A$14,Quotas!$E$8:$E$14)-$L478),2),0)</f>
        <v>2</v>
      </c>
      <c r="N478" s="31">
        <f t="shared" si="3"/>
        <v>0</v>
      </c>
    </row>
    <row r="479">
      <c r="A479" s="31" t="s">
        <v>96</v>
      </c>
      <c r="B479" s="9">
        <v>3.0</v>
      </c>
      <c r="C479" s="31" t="str">
        <f>VLOOKUP(A479, 'College List'!A:B, 2, FALSE)</f>
        <v>Silverquill</v>
      </c>
      <c r="D479" s="355">
        <f>VLOOKUP(B479,Quotas!$A$8:$C$14,2,FALSE)</f>
        <v>46150.70833</v>
      </c>
      <c r="E479" s="356">
        <f>VLOOKUP(B479,Quotas!$A$8:$C$14,3,FALSE)</f>
        <v>46157.70833</v>
      </c>
      <c r="F479" s="79">
        <f>COUNTIFS(Matches!$B:$B,A479,Matches!$A:$A,CONCAT("&gt;",$D479),Matches!$A:$A,CONCAT("&lt;",$E479))</f>
        <v>4</v>
      </c>
      <c r="G479" s="79">
        <f>COUNTIFS(Matches!$C:$C,$A479,Matches!$A:$A,CONCAT("&gt;",$D479),Matches!$A:$A,CONCAT("&lt;",$E479))</f>
        <v>1</v>
      </c>
      <c r="H479" s="79">
        <f t="shared" si="1"/>
        <v>5</v>
      </c>
      <c r="I479" s="79">
        <f>COUNTIFS(Matches!$B:$B,$A479,Matches!$A:$A,CONCAT("&lt;",$E479))</f>
        <v>9</v>
      </c>
      <c r="J479" s="79">
        <f>COUNTIFS(Matches!$C:$C,$A479,Matches!$A:$A,CONCAT("&lt;",$E479))</f>
        <v>6</v>
      </c>
      <c r="K479" s="79">
        <f>COUNTIFS(Entropy!D:D,A479,Entropy!I:I,CONCAT("&lt;",E479-1))</f>
        <v>0</v>
      </c>
      <c r="L479" s="79">
        <f t="shared" si="2"/>
        <v>15</v>
      </c>
      <c r="M479" s="79">
        <f t="array" ref="M479">max(min(IF(J479+K479=11,0,XLOOKUP(B479,Quotas!$A$8:$A$14,Quotas!$E$8:$E$14)-$L479),2),0)</f>
        <v>0</v>
      </c>
      <c r="N479" s="31">
        <f t="shared" si="3"/>
        <v>0</v>
      </c>
    </row>
    <row r="480">
      <c r="A480" s="31" t="s">
        <v>409</v>
      </c>
      <c r="B480" s="9">
        <v>3.0</v>
      </c>
      <c r="C480" s="31" t="str">
        <f>VLOOKUP(A480, 'College List'!A:B, 2, FALSE)</f>
        <v>Witherbloom</v>
      </c>
      <c r="D480" s="355">
        <f>VLOOKUP(B480,Quotas!$A$8:$C$14,2,FALSE)</f>
        <v>46150.70833</v>
      </c>
      <c r="E480" s="356">
        <f>VLOOKUP(B480,Quotas!$A$8:$C$14,3,FALSE)</f>
        <v>46157.70833</v>
      </c>
      <c r="F480" s="79">
        <f>COUNTIFS(Matches!$B:$B,A480,Matches!$A:$A,CONCAT("&gt;",$D480),Matches!$A:$A,CONCAT("&lt;",$E480))</f>
        <v>1</v>
      </c>
      <c r="G480" s="79">
        <f>COUNTIFS(Matches!$C:$C,$A480,Matches!$A:$A,CONCAT("&gt;",$D480),Matches!$A:$A,CONCAT("&lt;",$E480))</f>
        <v>4</v>
      </c>
      <c r="H480" s="79">
        <f t="shared" si="1"/>
        <v>5</v>
      </c>
      <c r="I480" s="79">
        <f>COUNTIFS(Matches!$B:$B,$A480,Matches!$A:$A,CONCAT("&lt;",$E480))</f>
        <v>6</v>
      </c>
      <c r="J480" s="79">
        <f>COUNTIFS(Matches!$C:$C,$A480,Matches!$A:$A,CONCAT("&lt;",$E480))</f>
        <v>9</v>
      </c>
      <c r="K480" s="79">
        <f>COUNTIFS(Entropy!D:D,A480,Entropy!I:I,CONCAT("&lt;",E480-1))</f>
        <v>0</v>
      </c>
      <c r="L480" s="79">
        <f t="shared" si="2"/>
        <v>15</v>
      </c>
      <c r="M480" s="79">
        <f t="array" ref="M480">max(min(IF(J480+K480=11,0,XLOOKUP(B480,Quotas!$A$8:$A$14,Quotas!$E$8:$E$14)-$L480),2),0)</f>
        <v>0</v>
      </c>
      <c r="N480" s="31">
        <f t="shared" si="3"/>
        <v>0</v>
      </c>
    </row>
    <row r="481">
      <c r="A481" s="31" t="s">
        <v>77</v>
      </c>
      <c r="B481" s="9">
        <v>3.0</v>
      </c>
      <c r="C481" s="31" t="str">
        <f>VLOOKUP(A481, 'College List'!A:B, 2, FALSE)</f>
        <v>Quandrix</v>
      </c>
      <c r="D481" s="355">
        <f>VLOOKUP(B481,Quotas!$A$8:$C$14,2,FALSE)</f>
        <v>46150.70833</v>
      </c>
      <c r="E481" s="356">
        <f>VLOOKUP(B481,Quotas!$A$8:$C$14,3,FALSE)</f>
        <v>46157.70833</v>
      </c>
      <c r="F481" s="79">
        <f>COUNTIFS(Matches!$B:$B,A481,Matches!$A:$A,CONCAT("&gt;",$D481),Matches!$A:$A,CONCAT("&lt;",$E481))</f>
        <v>0</v>
      </c>
      <c r="G481" s="79">
        <f>COUNTIFS(Matches!$C:$C,$A481,Matches!$A:$A,CONCAT("&gt;",$D481),Matches!$A:$A,CONCAT("&lt;",$E481))</f>
        <v>1</v>
      </c>
      <c r="H481" s="79">
        <f t="shared" si="1"/>
        <v>1</v>
      </c>
      <c r="I481" s="79">
        <f>COUNTIFS(Matches!$B:$B,$A481,Matches!$A:$A,CONCAT("&lt;",$E481))</f>
        <v>4</v>
      </c>
      <c r="J481" s="79">
        <f>COUNTIFS(Matches!$C:$C,$A481,Matches!$A:$A,CONCAT("&lt;",$E481))</f>
        <v>7</v>
      </c>
      <c r="K481" s="79">
        <f>COUNTIFS(Entropy!D:D,A481,Entropy!I:I,CONCAT("&lt;",E481-1))</f>
        <v>0</v>
      </c>
      <c r="L481" s="79">
        <f t="shared" si="2"/>
        <v>11</v>
      </c>
      <c r="M481" s="79">
        <f t="array" ref="M481">max(min(IF(J481+K481=11,0,XLOOKUP(B481,Quotas!$A$8:$A$14,Quotas!$E$8:$E$14)-$L481),2),0)</f>
        <v>2</v>
      </c>
      <c r="N481" s="31">
        <f t="shared" si="3"/>
        <v>1</v>
      </c>
    </row>
    <row r="482">
      <c r="A482" s="31" t="s">
        <v>238</v>
      </c>
      <c r="B482" s="9">
        <v>3.0</v>
      </c>
      <c r="C482" s="31" t="str">
        <f>VLOOKUP(A482, 'College List'!A:B, 2, FALSE)</f>
        <v>Silverquill</v>
      </c>
      <c r="D482" s="355">
        <f>VLOOKUP(B482,Quotas!$A$8:$C$14,2,FALSE)</f>
        <v>46150.70833</v>
      </c>
      <c r="E482" s="356">
        <f>VLOOKUP(B482,Quotas!$A$8:$C$14,3,FALSE)</f>
        <v>46157.70833</v>
      </c>
      <c r="F482" s="79">
        <f>COUNTIFS(Matches!$B:$B,A482,Matches!$A:$A,CONCAT("&gt;",$D482),Matches!$A:$A,CONCAT("&lt;",$E482))</f>
        <v>2</v>
      </c>
      <c r="G482" s="79">
        <f>COUNTIFS(Matches!$C:$C,$A482,Matches!$A:$A,CONCAT("&gt;",$D482),Matches!$A:$A,CONCAT("&lt;",$E482))</f>
        <v>2</v>
      </c>
      <c r="H482" s="79">
        <f t="shared" si="1"/>
        <v>4</v>
      </c>
      <c r="I482" s="79">
        <f>COUNTIFS(Matches!$B:$B,$A482,Matches!$A:$A,CONCAT("&lt;",$E482))</f>
        <v>9</v>
      </c>
      <c r="J482" s="79">
        <f>COUNTIFS(Matches!$C:$C,$A482,Matches!$A:$A,CONCAT("&lt;",$E482))</f>
        <v>5</v>
      </c>
      <c r="K482" s="79">
        <f>COUNTIFS(Entropy!D:D,A482,Entropy!I:I,CONCAT("&lt;",E482-1))</f>
        <v>0</v>
      </c>
      <c r="L482" s="79">
        <f t="shared" si="2"/>
        <v>14</v>
      </c>
      <c r="M482" s="79">
        <f t="array" ref="M482">max(min(IF(J482+K482=11,0,XLOOKUP(B482,Quotas!$A$8:$A$14,Quotas!$E$8:$E$14)-$L482),2),0)</f>
        <v>1</v>
      </c>
      <c r="N482" s="31">
        <f t="shared" si="3"/>
        <v>0.5</v>
      </c>
    </row>
    <row r="483">
      <c r="A483" s="31" t="s">
        <v>252</v>
      </c>
      <c r="B483" s="9">
        <v>3.0</v>
      </c>
      <c r="C483" s="31" t="str">
        <f>VLOOKUP(A483, 'College List'!A:B, 2, FALSE)</f>
        <v>Quandrix</v>
      </c>
      <c r="D483" s="355">
        <f>VLOOKUP(B483,Quotas!$A$8:$C$14,2,FALSE)</f>
        <v>46150.70833</v>
      </c>
      <c r="E483" s="356">
        <f>VLOOKUP(B483,Quotas!$A$8:$C$14,3,FALSE)</f>
        <v>46157.70833</v>
      </c>
      <c r="F483" s="79">
        <f>COUNTIFS(Matches!$B:$B,A483,Matches!$A:$A,CONCAT("&gt;",$D483),Matches!$A:$A,CONCAT("&lt;",$E483))</f>
        <v>4</v>
      </c>
      <c r="G483" s="79">
        <f>COUNTIFS(Matches!$C:$C,$A483,Matches!$A:$A,CONCAT("&gt;",$D483),Matches!$A:$A,CONCAT("&lt;",$E483))</f>
        <v>1</v>
      </c>
      <c r="H483" s="79">
        <f t="shared" si="1"/>
        <v>5</v>
      </c>
      <c r="I483" s="79">
        <f>COUNTIFS(Matches!$B:$B,$A483,Matches!$A:$A,CONCAT("&lt;",$E483))</f>
        <v>7</v>
      </c>
      <c r="J483" s="79">
        <f>COUNTIFS(Matches!$C:$C,$A483,Matches!$A:$A,CONCAT("&lt;",$E483))</f>
        <v>5</v>
      </c>
      <c r="K483" s="79">
        <f>COUNTIFS(Entropy!D:D,A483,Entropy!I:I,CONCAT("&lt;",E483-1))</f>
        <v>0</v>
      </c>
      <c r="L483" s="79">
        <f t="shared" si="2"/>
        <v>12</v>
      </c>
      <c r="M483" s="79">
        <f t="array" ref="M483">max(min(IF(J483+K483=11,0,XLOOKUP(B483,Quotas!$A$8:$A$14,Quotas!$E$8:$E$14)-$L483),2),0)</f>
        <v>2</v>
      </c>
      <c r="N483" s="31">
        <f t="shared" si="3"/>
        <v>1</v>
      </c>
    </row>
    <row r="484">
      <c r="A484" s="31" t="s">
        <v>284</v>
      </c>
      <c r="B484" s="9">
        <v>3.0</v>
      </c>
      <c r="C484" s="31" t="str">
        <f>VLOOKUP(A484, 'College List'!A:B, 2, FALSE)</f>
        <v>Lorehold</v>
      </c>
      <c r="D484" s="355">
        <f>VLOOKUP(B484,Quotas!$A$8:$C$14,2,FALSE)</f>
        <v>46150.70833</v>
      </c>
      <c r="E484" s="356">
        <f>VLOOKUP(B484,Quotas!$A$8:$C$14,3,FALSE)</f>
        <v>46157.70833</v>
      </c>
      <c r="F484" s="79">
        <f>COUNTIFS(Matches!$B:$B,A484,Matches!$A:$A,CONCAT("&gt;",$D484),Matches!$A:$A,CONCAT("&lt;",$E484))</f>
        <v>2</v>
      </c>
      <c r="G484" s="79">
        <f>COUNTIFS(Matches!$C:$C,$A484,Matches!$A:$A,CONCAT("&gt;",$D484),Matches!$A:$A,CONCAT("&lt;",$E484))</f>
        <v>3</v>
      </c>
      <c r="H484" s="79">
        <f t="shared" si="1"/>
        <v>5</v>
      </c>
      <c r="I484" s="79">
        <f>COUNTIFS(Matches!$B:$B,$A484,Matches!$A:$A,CONCAT("&lt;",$E484))</f>
        <v>10</v>
      </c>
      <c r="J484" s="79">
        <f>COUNTIFS(Matches!$C:$C,$A484,Matches!$A:$A,CONCAT("&lt;",$E484))</f>
        <v>5</v>
      </c>
      <c r="K484" s="79">
        <f>COUNTIFS(Entropy!D:D,A484,Entropy!I:I,CONCAT("&lt;",E484-1))</f>
        <v>0</v>
      </c>
      <c r="L484" s="79">
        <f t="shared" si="2"/>
        <v>15</v>
      </c>
      <c r="M484" s="79">
        <f t="array" ref="M484">max(min(IF(J484+K484=11,0,XLOOKUP(B484,Quotas!$A$8:$A$14,Quotas!$E$8:$E$14)-$L484),2),0)</f>
        <v>0</v>
      </c>
      <c r="N484" s="31">
        <f t="shared" si="3"/>
        <v>0</v>
      </c>
    </row>
    <row r="485">
      <c r="A485" s="31" t="s">
        <v>189</v>
      </c>
      <c r="B485" s="9">
        <v>3.0</v>
      </c>
      <c r="C485" s="31" t="str">
        <f>VLOOKUP(A485, 'College List'!A:B, 2, FALSE)</f>
        <v>Witherbloom</v>
      </c>
      <c r="D485" s="355">
        <f>VLOOKUP(B485,Quotas!$A$8:$C$14,2,FALSE)</f>
        <v>46150.70833</v>
      </c>
      <c r="E485" s="356">
        <f>VLOOKUP(B485,Quotas!$A$8:$C$14,3,FALSE)</f>
        <v>46157.70833</v>
      </c>
      <c r="F485" s="79">
        <f>COUNTIFS(Matches!$B:$B,A485,Matches!$A:$A,CONCAT("&gt;",$D485),Matches!$A:$A,CONCAT("&lt;",$E485))</f>
        <v>2</v>
      </c>
      <c r="G485" s="79">
        <f>COUNTIFS(Matches!$C:$C,$A485,Matches!$A:$A,CONCAT("&gt;",$D485),Matches!$A:$A,CONCAT("&lt;",$E485))</f>
        <v>3</v>
      </c>
      <c r="H485" s="79">
        <f t="shared" si="1"/>
        <v>5</v>
      </c>
      <c r="I485" s="79">
        <f>COUNTIFS(Matches!$B:$B,$A485,Matches!$A:$A,CONCAT("&lt;",$E485))</f>
        <v>9</v>
      </c>
      <c r="J485" s="79">
        <f>COUNTIFS(Matches!$C:$C,$A485,Matches!$A:$A,CONCAT("&lt;",$E485))</f>
        <v>6</v>
      </c>
      <c r="K485" s="79">
        <f>COUNTIFS(Entropy!D:D,A485,Entropy!I:I,CONCAT("&lt;",E485-1))</f>
        <v>0</v>
      </c>
      <c r="L485" s="79">
        <f t="shared" si="2"/>
        <v>15</v>
      </c>
      <c r="M485" s="79">
        <f t="array" ref="M485">max(min(IF(J485+K485=11,0,XLOOKUP(B485,Quotas!$A$8:$A$14,Quotas!$E$8:$E$14)-$L485),2),0)</f>
        <v>0</v>
      </c>
      <c r="N485" s="31">
        <f t="shared" si="3"/>
        <v>0</v>
      </c>
    </row>
    <row r="486">
      <c r="A486" s="31" t="s">
        <v>66</v>
      </c>
      <c r="B486" s="9">
        <v>3.0</v>
      </c>
      <c r="C486" s="31" t="str">
        <f>VLOOKUP(A486, 'College List'!A:B, 2, FALSE)</f>
        <v>Prismari</v>
      </c>
      <c r="D486" s="355">
        <f>VLOOKUP(B486,Quotas!$A$8:$C$14,2,FALSE)</f>
        <v>46150.70833</v>
      </c>
      <c r="E486" s="356">
        <f>VLOOKUP(B486,Quotas!$A$8:$C$14,3,FALSE)</f>
        <v>46157.70833</v>
      </c>
      <c r="F486" s="79">
        <f>COUNTIFS(Matches!$B:$B,A486,Matches!$A:$A,CONCAT("&gt;",$D486),Matches!$A:$A,CONCAT("&lt;",$E486))</f>
        <v>1</v>
      </c>
      <c r="G486" s="79">
        <f>COUNTIFS(Matches!$C:$C,$A486,Matches!$A:$A,CONCAT("&gt;",$D486),Matches!$A:$A,CONCAT("&lt;",$E486))</f>
        <v>4</v>
      </c>
      <c r="H486" s="79">
        <f t="shared" si="1"/>
        <v>5</v>
      </c>
      <c r="I486" s="79">
        <f>COUNTIFS(Matches!$B:$B,$A486,Matches!$A:$A,CONCAT("&lt;",$E486))</f>
        <v>6</v>
      </c>
      <c r="J486" s="79">
        <f>COUNTIFS(Matches!$C:$C,$A486,Matches!$A:$A,CONCAT("&lt;",$E486))</f>
        <v>9</v>
      </c>
      <c r="K486" s="79">
        <f>COUNTIFS(Entropy!D:D,A486,Entropy!I:I,CONCAT("&lt;",E486-1))</f>
        <v>0</v>
      </c>
      <c r="L486" s="79">
        <f t="shared" si="2"/>
        <v>15</v>
      </c>
      <c r="M486" s="79">
        <f t="array" ref="M486">max(min(IF(J486+K486=11,0,XLOOKUP(B486,Quotas!$A$8:$A$14,Quotas!$E$8:$E$14)-$L486),2),0)</f>
        <v>0</v>
      </c>
      <c r="N486" s="31">
        <f t="shared" si="3"/>
        <v>0</v>
      </c>
    </row>
    <row r="487">
      <c r="A487" s="31" t="s">
        <v>350</v>
      </c>
      <c r="B487" s="9">
        <v>3.0</v>
      </c>
      <c r="C487" s="31" t="str">
        <f>VLOOKUP(A487, 'College List'!A:B, 2, FALSE)</f>
        <v>Witherbloom</v>
      </c>
      <c r="D487" s="355">
        <f>VLOOKUP(B487,Quotas!$A$8:$C$14,2,FALSE)</f>
        <v>46150.70833</v>
      </c>
      <c r="E487" s="356">
        <f>VLOOKUP(B487,Quotas!$A$8:$C$14,3,FALSE)</f>
        <v>46157.70833</v>
      </c>
      <c r="F487" s="79">
        <f>COUNTIFS(Matches!$B:$B,A487,Matches!$A:$A,CONCAT("&gt;",$D487),Matches!$A:$A,CONCAT("&lt;",$E487))</f>
        <v>5</v>
      </c>
      <c r="G487" s="79">
        <f>COUNTIFS(Matches!$C:$C,$A487,Matches!$A:$A,CONCAT("&gt;",$D487),Matches!$A:$A,CONCAT("&lt;",$E487))</f>
        <v>0</v>
      </c>
      <c r="H487" s="79">
        <f t="shared" si="1"/>
        <v>5</v>
      </c>
      <c r="I487" s="79">
        <f>COUNTIFS(Matches!$B:$B,$A487,Matches!$A:$A,CONCAT("&lt;",$E487))</f>
        <v>12</v>
      </c>
      <c r="J487" s="79">
        <f>COUNTIFS(Matches!$C:$C,$A487,Matches!$A:$A,CONCAT("&lt;",$E487))</f>
        <v>3</v>
      </c>
      <c r="K487" s="79">
        <f>COUNTIFS(Entropy!D:D,A487,Entropy!I:I,CONCAT("&lt;",E487-1))</f>
        <v>0</v>
      </c>
      <c r="L487" s="79">
        <f t="shared" si="2"/>
        <v>15</v>
      </c>
      <c r="M487" s="79">
        <f t="array" ref="M487">max(min(IF(J487+K487=11,0,XLOOKUP(B487,Quotas!$A$8:$A$14,Quotas!$E$8:$E$14)-$L487),2),0)</f>
        <v>0</v>
      </c>
      <c r="N487" s="31">
        <f t="shared" si="3"/>
        <v>0</v>
      </c>
    </row>
    <row r="488">
      <c r="A488" s="31" t="s">
        <v>308</v>
      </c>
      <c r="B488" s="9">
        <v>3.0</v>
      </c>
      <c r="C488" s="31" t="str">
        <f>VLOOKUP(A488, 'College List'!A:B, 2, FALSE)</f>
        <v>Witherbloom</v>
      </c>
      <c r="D488" s="355">
        <f>VLOOKUP(B488,Quotas!$A$8:$C$14,2,FALSE)</f>
        <v>46150.70833</v>
      </c>
      <c r="E488" s="356">
        <f>VLOOKUP(B488,Quotas!$A$8:$C$14,3,FALSE)</f>
        <v>46157.70833</v>
      </c>
      <c r="F488" s="79">
        <f>COUNTIFS(Matches!$B:$B,A488,Matches!$A:$A,CONCAT("&gt;",$D488),Matches!$A:$A,CONCAT("&lt;",$E488))</f>
        <v>1</v>
      </c>
      <c r="G488" s="79">
        <f>COUNTIFS(Matches!$C:$C,$A488,Matches!$A:$A,CONCAT("&gt;",$D488),Matches!$A:$A,CONCAT("&lt;",$E488))</f>
        <v>3</v>
      </c>
      <c r="H488" s="79">
        <f t="shared" si="1"/>
        <v>4</v>
      </c>
      <c r="I488" s="79">
        <f>COUNTIFS(Matches!$B:$B,$A488,Matches!$A:$A,CONCAT("&lt;",$E488))</f>
        <v>5</v>
      </c>
      <c r="J488" s="79">
        <f>COUNTIFS(Matches!$C:$C,$A488,Matches!$A:$A,CONCAT("&lt;",$E488))</f>
        <v>8</v>
      </c>
      <c r="K488" s="79">
        <f>COUNTIFS(Entropy!D:D,A488,Entropy!I:I,CONCAT("&lt;",E488-1))</f>
        <v>0</v>
      </c>
      <c r="L488" s="79">
        <f t="shared" si="2"/>
        <v>13</v>
      </c>
      <c r="M488" s="79">
        <f t="array" ref="M488">max(min(IF(J488+K488=11,0,XLOOKUP(B488,Quotas!$A$8:$A$14,Quotas!$E$8:$E$14)-$L488),2),0)</f>
        <v>2</v>
      </c>
      <c r="N488" s="31">
        <f t="shared" si="3"/>
        <v>1</v>
      </c>
    </row>
    <row r="489">
      <c r="A489" s="31" t="s">
        <v>344</v>
      </c>
      <c r="B489" s="9">
        <v>3.0</v>
      </c>
      <c r="C489" s="31" t="str">
        <f>VLOOKUP(A489, 'College List'!A:B, 2, FALSE)</f>
        <v>Prismari</v>
      </c>
      <c r="D489" s="355">
        <f>VLOOKUP(B489,Quotas!$A$8:$C$14,2,FALSE)</f>
        <v>46150.70833</v>
      </c>
      <c r="E489" s="356">
        <f>VLOOKUP(B489,Quotas!$A$8:$C$14,3,FALSE)</f>
        <v>46157.70833</v>
      </c>
      <c r="F489" s="79">
        <f>COUNTIFS(Matches!$B:$B,A489,Matches!$A:$A,CONCAT("&gt;",$D489),Matches!$A:$A,CONCAT("&lt;",$E489))</f>
        <v>3</v>
      </c>
      <c r="G489" s="79">
        <f>COUNTIFS(Matches!$C:$C,$A489,Matches!$A:$A,CONCAT("&gt;",$D489),Matches!$A:$A,CONCAT("&lt;",$E489))</f>
        <v>2</v>
      </c>
      <c r="H489" s="79">
        <f t="shared" si="1"/>
        <v>5</v>
      </c>
      <c r="I489" s="79">
        <f>COUNTIFS(Matches!$B:$B,$A489,Matches!$A:$A,CONCAT("&lt;",$E489))</f>
        <v>8</v>
      </c>
      <c r="J489" s="79">
        <f>COUNTIFS(Matches!$C:$C,$A489,Matches!$A:$A,CONCAT("&lt;",$E489))</f>
        <v>7</v>
      </c>
      <c r="K489" s="79">
        <f>COUNTIFS(Entropy!D:D,A489,Entropy!I:I,CONCAT("&lt;",E489-1))</f>
        <v>0</v>
      </c>
      <c r="L489" s="79">
        <f t="shared" si="2"/>
        <v>15</v>
      </c>
      <c r="M489" s="79">
        <f t="array" ref="M489">max(min(IF(J489+K489=11,0,XLOOKUP(B489,Quotas!$A$8:$A$14,Quotas!$E$8:$E$14)-$L489),2),0)</f>
        <v>0</v>
      </c>
      <c r="N489" s="31">
        <f t="shared" si="3"/>
        <v>0</v>
      </c>
    </row>
    <row r="490">
      <c r="A490" s="31" t="s">
        <v>371</v>
      </c>
      <c r="B490" s="9">
        <v>3.0</v>
      </c>
      <c r="C490" s="31" t="str">
        <f>VLOOKUP(A490, 'College List'!A:B, 2, FALSE)</f>
        <v>Quandrix</v>
      </c>
      <c r="D490" s="355">
        <f>VLOOKUP(B490,Quotas!$A$8:$C$14,2,FALSE)</f>
        <v>46150.70833</v>
      </c>
      <c r="E490" s="356">
        <f>VLOOKUP(B490,Quotas!$A$8:$C$14,3,FALSE)</f>
        <v>46157.70833</v>
      </c>
      <c r="F490" s="79">
        <f>COUNTIFS(Matches!$B:$B,A490,Matches!$A:$A,CONCAT("&gt;",$D490),Matches!$A:$A,CONCAT("&lt;",$E490))</f>
        <v>1</v>
      </c>
      <c r="G490" s="79">
        <f>COUNTIFS(Matches!$C:$C,$A490,Matches!$A:$A,CONCAT("&gt;",$D490),Matches!$A:$A,CONCAT("&lt;",$E490))</f>
        <v>2</v>
      </c>
      <c r="H490" s="79">
        <f t="shared" si="1"/>
        <v>3</v>
      </c>
      <c r="I490" s="79">
        <f>COUNTIFS(Matches!$B:$B,$A490,Matches!$A:$A,CONCAT("&lt;",$E490))</f>
        <v>6</v>
      </c>
      <c r="J490" s="79">
        <f>COUNTIFS(Matches!$C:$C,$A490,Matches!$A:$A,CONCAT("&lt;",$E490))</f>
        <v>7</v>
      </c>
      <c r="K490" s="79">
        <f>COUNTIFS(Entropy!D:D,A490,Entropy!I:I,CONCAT("&lt;",E490-1))</f>
        <v>0</v>
      </c>
      <c r="L490" s="79">
        <f t="shared" si="2"/>
        <v>13</v>
      </c>
      <c r="M490" s="79">
        <f t="array" ref="M490">max(min(IF(J490+K490=11,0,XLOOKUP(B490,Quotas!$A$8:$A$14,Quotas!$E$8:$E$14)-$L490),2),0)</f>
        <v>2</v>
      </c>
      <c r="N490" s="31">
        <f t="shared" si="3"/>
        <v>1</v>
      </c>
    </row>
    <row r="491">
      <c r="A491" s="31" t="s">
        <v>296</v>
      </c>
      <c r="B491" s="9">
        <v>3.0</v>
      </c>
      <c r="C491" s="31" t="str">
        <f>VLOOKUP(A491, 'College List'!A:B, 2, FALSE)</f>
        <v>Witherbloom</v>
      </c>
      <c r="D491" s="355">
        <f>VLOOKUP(B491,Quotas!$A$8:$C$14,2,FALSE)</f>
        <v>46150.70833</v>
      </c>
      <c r="E491" s="356">
        <f>VLOOKUP(B491,Quotas!$A$8:$C$14,3,FALSE)</f>
        <v>46157.70833</v>
      </c>
      <c r="F491" s="79">
        <f>COUNTIFS(Matches!$B:$B,A491,Matches!$A:$A,CONCAT("&gt;",$D491),Matches!$A:$A,CONCAT("&lt;",$E491))</f>
        <v>3</v>
      </c>
      <c r="G491" s="79">
        <f>COUNTIFS(Matches!$C:$C,$A491,Matches!$A:$A,CONCAT("&gt;",$D491),Matches!$A:$A,CONCAT("&lt;",$E491))</f>
        <v>2</v>
      </c>
      <c r="H491" s="79">
        <f t="shared" si="1"/>
        <v>5</v>
      </c>
      <c r="I491" s="79">
        <f>COUNTIFS(Matches!$B:$B,$A491,Matches!$A:$A,CONCAT("&lt;",$E491))</f>
        <v>12</v>
      </c>
      <c r="J491" s="79">
        <f>COUNTIFS(Matches!$C:$C,$A491,Matches!$A:$A,CONCAT("&lt;",$E491))</f>
        <v>3</v>
      </c>
      <c r="K491" s="79">
        <f>COUNTIFS(Entropy!D:D,A491,Entropy!I:I,CONCAT("&lt;",E491-1))</f>
        <v>0</v>
      </c>
      <c r="L491" s="79">
        <f t="shared" si="2"/>
        <v>15</v>
      </c>
      <c r="M491" s="79">
        <f t="array" ref="M491">max(min(IF(J491+K491=11,0,XLOOKUP(B491,Quotas!$A$8:$A$14,Quotas!$E$8:$E$14)-$L491),2),0)</f>
        <v>0</v>
      </c>
      <c r="N491" s="31">
        <f t="shared" si="3"/>
        <v>0</v>
      </c>
    </row>
    <row r="492">
      <c r="A492" s="31" t="s">
        <v>61</v>
      </c>
      <c r="B492" s="9">
        <v>3.0</v>
      </c>
      <c r="C492" s="31" t="str">
        <f>VLOOKUP(A492, 'College List'!A:B, 2, FALSE)</f>
        <v>Lorehold</v>
      </c>
      <c r="D492" s="355">
        <f>VLOOKUP(B492,Quotas!$A$8:$C$14,2,FALSE)</f>
        <v>46150.70833</v>
      </c>
      <c r="E492" s="356">
        <f>VLOOKUP(B492,Quotas!$A$8:$C$14,3,FALSE)</f>
        <v>46157.70833</v>
      </c>
      <c r="F492" s="79">
        <f>COUNTIFS(Matches!$B:$B,A492,Matches!$A:$A,CONCAT("&gt;",$D492),Matches!$A:$A,CONCAT("&lt;",$E492))</f>
        <v>5</v>
      </c>
      <c r="G492" s="79">
        <f>COUNTIFS(Matches!$C:$C,$A492,Matches!$A:$A,CONCAT("&gt;",$D492),Matches!$A:$A,CONCAT("&lt;",$E492))</f>
        <v>0</v>
      </c>
      <c r="H492" s="79">
        <f t="shared" si="1"/>
        <v>5</v>
      </c>
      <c r="I492" s="79">
        <f>COUNTIFS(Matches!$B:$B,$A492,Matches!$A:$A,CONCAT("&lt;",$E492))</f>
        <v>9</v>
      </c>
      <c r="J492" s="79">
        <f>COUNTIFS(Matches!$C:$C,$A492,Matches!$A:$A,CONCAT("&lt;",$E492))</f>
        <v>6</v>
      </c>
      <c r="K492" s="79">
        <f>COUNTIFS(Entropy!D:D,A492,Entropy!I:I,CONCAT("&lt;",E492-1))</f>
        <v>0</v>
      </c>
      <c r="L492" s="79">
        <f t="shared" si="2"/>
        <v>15</v>
      </c>
      <c r="M492" s="79">
        <f t="array" ref="M492">max(min(IF(J492+K492=11,0,XLOOKUP(B492,Quotas!$A$8:$A$14,Quotas!$E$8:$E$14)-$L492),2),0)</f>
        <v>0</v>
      </c>
      <c r="N492" s="31">
        <f t="shared" si="3"/>
        <v>0</v>
      </c>
    </row>
    <row r="493">
      <c r="A493" s="31" t="s">
        <v>63</v>
      </c>
      <c r="B493" s="9">
        <v>3.0</v>
      </c>
      <c r="C493" s="31" t="str">
        <f>VLOOKUP(A493, 'College List'!A:B, 2, FALSE)</f>
        <v>Quandrix</v>
      </c>
      <c r="D493" s="355">
        <f>VLOOKUP(B493,Quotas!$A$8:$C$14,2,FALSE)</f>
        <v>46150.70833</v>
      </c>
      <c r="E493" s="356">
        <f>VLOOKUP(B493,Quotas!$A$8:$C$14,3,FALSE)</f>
        <v>46157.70833</v>
      </c>
      <c r="F493" s="79">
        <f>COUNTIFS(Matches!$B:$B,A493,Matches!$A:$A,CONCAT("&gt;",$D493),Matches!$A:$A,CONCAT("&lt;",$E493))</f>
        <v>2</v>
      </c>
      <c r="G493" s="79">
        <f>COUNTIFS(Matches!$C:$C,$A493,Matches!$A:$A,CONCAT("&gt;",$D493),Matches!$A:$A,CONCAT("&lt;",$E493))</f>
        <v>3</v>
      </c>
      <c r="H493" s="79">
        <f t="shared" si="1"/>
        <v>5</v>
      </c>
      <c r="I493" s="79">
        <f>COUNTIFS(Matches!$B:$B,$A493,Matches!$A:$A,CONCAT("&lt;",$E493))</f>
        <v>7</v>
      </c>
      <c r="J493" s="79">
        <f>COUNTIFS(Matches!$C:$C,$A493,Matches!$A:$A,CONCAT("&lt;",$E493))</f>
        <v>8</v>
      </c>
      <c r="K493" s="79">
        <f>COUNTIFS(Entropy!D:D,A493,Entropy!I:I,CONCAT("&lt;",E493-1))</f>
        <v>0</v>
      </c>
      <c r="L493" s="79">
        <f t="shared" si="2"/>
        <v>15</v>
      </c>
      <c r="M493" s="79">
        <f t="array" ref="M493">max(min(IF(J493+K493=11,0,XLOOKUP(B493,Quotas!$A$8:$A$14,Quotas!$E$8:$E$14)-$L493),2),0)</f>
        <v>0</v>
      </c>
      <c r="N493" s="31">
        <f t="shared" si="3"/>
        <v>0</v>
      </c>
    </row>
    <row r="494">
      <c r="A494" s="31" t="s">
        <v>271</v>
      </c>
      <c r="B494" s="9">
        <v>3.0</v>
      </c>
      <c r="C494" s="31" t="str">
        <f>VLOOKUP(A494, 'College List'!A:B, 2, FALSE)</f>
        <v>Lorehold</v>
      </c>
      <c r="D494" s="355">
        <f>VLOOKUP(B494,Quotas!$A$8:$C$14,2,FALSE)</f>
        <v>46150.70833</v>
      </c>
      <c r="E494" s="356">
        <f>VLOOKUP(B494,Quotas!$A$8:$C$14,3,FALSE)</f>
        <v>46157.70833</v>
      </c>
      <c r="F494" s="79">
        <f>COUNTIFS(Matches!$B:$B,A494,Matches!$A:$A,CONCAT("&gt;",$D494),Matches!$A:$A,CONCAT("&lt;",$E494))</f>
        <v>4</v>
      </c>
      <c r="G494" s="79">
        <f>COUNTIFS(Matches!$C:$C,$A494,Matches!$A:$A,CONCAT("&gt;",$D494),Matches!$A:$A,CONCAT("&lt;",$E494))</f>
        <v>1</v>
      </c>
      <c r="H494" s="79">
        <f t="shared" si="1"/>
        <v>5</v>
      </c>
      <c r="I494" s="79">
        <f>COUNTIFS(Matches!$B:$B,$A494,Matches!$A:$A,CONCAT("&lt;",$E494))</f>
        <v>11</v>
      </c>
      <c r="J494" s="79">
        <f>COUNTIFS(Matches!$C:$C,$A494,Matches!$A:$A,CONCAT("&lt;",$E494))</f>
        <v>4</v>
      </c>
      <c r="K494" s="79">
        <f>COUNTIFS(Entropy!D:D,A494,Entropy!I:I,CONCAT("&lt;",E494-1))</f>
        <v>0</v>
      </c>
      <c r="L494" s="79">
        <f t="shared" si="2"/>
        <v>15</v>
      </c>
      <c r="M494" s="79">
        <f t="array" ref="M494">max(min(IF(J494+K494=11,0,XLOOKUP(B494,Quotas!$A$8:$A$14,Quotas!$E$8:$E$14)-$L494),2),0)</f>
        <v>0</v>
      </c>
      <c r="N494" s="31">
        <f t="shared" si="3"/>
        <v>0</v>
      </c>
    </row>
    <row r="495">
      <c r="A495" s="31" t="s">
        <v>369</v>
      </c>
      <c r="B495" s="9">
        <v>3.0</v>
      </c>
      <c r="C495" s="31" t="str">
        <f>VLOOKUP(A495, 'College List'!A:B, 2, FALSE)</f>
        <v>Silverquill</v>
      </c>
      <c r="D495" s="355">
        <f>VLOOKUP(B495,Quotas!$A$8:$C$14,2,FALSE)</f>
        <v>46150.70833</v>
      </c>
      <c r="E495" s="356">
        <f>VLOOKUP(B495,Quotas!$A$8:$C$14,3,FALSE)</f>
        <v>46157.70833</v>
      </c>
      <c r="F495" s="79">
        <f>COUNTIFS(Matches!$B:$B,A495,Matches!$A:$A,CONCAT("&gt;",$D495),Matches!$A:$A,CONCAT("&lt;",$E495))</f>
        <v>3</v>
      </c>
      <c r="G495" s="79">
        <f>COUNTIFS(Matches!$C:$C,$A495,Matches!$A:$A,CONCAT("&gt;",$D495),Matches!$A:$A,CONCAT("&lt;",$E495))</f>
        <v>2</v>
      </c>
      <c r="H495" s="79">
        <f t="shared" si="1"/>
        <v>5</v>
      </c>
      <c r="I495" s="79">
        <f>COUNTIFS(Matches!$B:$B,$A495,Matches!$A:$A,CONCAT("&lt;",$E495))</f>
        <v>7</v>
      </c>
      <c r="J495" s="79">
        <f>COUNTIFS(Matches!$C:$C,$A495,Matches!$A:$A,CONCAT("&lt;",$E495))</f>
        <v>8</v>
      </c>
      <c r="K495" s="79">
        <f>COUNTIFS(Entropy!D:D,A495,Entropy!I:I,CONCAT("&lt;",E495-1))</f>
        <v>0</v>
      </c>
      <c r="L495" s="79">
        <f t="shared" si="2"/>
        <v>15</v>
      </c>
      <c r="M495" s="79">
        <f t="array" ref="M495">max(min(IF(J495+K495=11,0,XLOOKUP(B495,Quotas!$A$8:$A$14,Quotas!$E$8:$E$14)-$L495),2),0)</f>
        <v>0</v>
      </c>
      <c r="N495" s="31">
        <f t="shared" si="3"/>
        <v>0</v>
      </c>
    </row>
    <row r="496">
      <c r="A496" s="31" t="s">
        <v>401</v>
      </c>
      <c r="B496" s="9">
        <v>3.0</v>
      </c>
      <c r="C496" s="31" t="str">
        <f>VLOOKUP(A496, 'College List'!A:B, 2, FALSE)</f>
        <v>Quandrix</v>
      </c>
      <c r="D496" s="355">
        <f>VLOOKUP(B496,Quotas!$A$8:$C$14,2,FALSE)</f>
        <v>46150.70833</v>
      </c>
      <c r="E496" s="356">
        <f>VLOOKUP(B496,Quotas!$A$8:$C$14,3,FALSE)</f>
        <v>46157.70833</v>
      </c>
      <c r="F496" s="79">
        <f>COUNTIFS(Matches!$B:$B,A496,Matches!$A:$A,CONCAT("&gt;",$D496),Matches!$A:$A,CONCAT("&lt;",$E496))</f>
        <v>0</v>
      </c>
      <c r="G496" s="79">
        <f>COUNTIFS(Matches!$C:$C,$A496,Matches!$A:$A,CONCAT("&gt;",$D496),Matches!$A:$A,CONCAT("&lt;",$E496))</f>
        <v>3</v>
      </c>
      <c r="H496" s="79">
        <f t="shared" si="1"/>
        <v>3</v>
      </c>
      <c r="I496" s="79">
        <f>COUNTIFS(Matches!$B:$B,$A496,Matches!$A:$A,CONCAT("&lt;",$E496))</f>
        <v>4</v>
      </c>
      <c r="J496" s="79">
        <f>COUNTIFS(Matches!$C:$C,$A496,Matches!$A:$A,CONCAT("&lt;",$E496))</f>
        <v>9</v>
      </c>
      <c r="K496" s="79">
        <f>COUNTIFS(Entropy!D:D,A496,Entropy!I:I,CONCAT("&lt;",E496-1))</f>
        <v>0</v>
      </c>
      <c r="L496" s="79">
        <f t="shared" si="2"/>
        <v>13</v>
      </c>
      <c r="M496" s="79">
        <f t="array" ref="M496">max(min(IF(J496+K496=11,0,XLOOKUP(B496,Quotas!$A$8:$A$14,Quotas!$E$8:$E$14)-$L496),2),0)</f>
        <v>2</v>
      </c>
      <c r="N496" s="31">
        <f t="shared" si="3"/>
        <v>1</v>
      </c>
    </row>
    <row r="497">
      <c r="A497" s="31" t="s">
        <v>378</v>
      </c>
      <c r="B497" s="9">
        <v>3.0</v>
      </c>
      <c r="C497" s="31" t="str">
        <f>VLOOKUP(A497, 'College List'!A:B, 2, FALSE)</f>
        <v>Lorehold</v>
      </c>
      <c r="D497" s="355">
        <f>VLOOKUP(B497,Quotas!$A$8:$C$14,2,FALSE)</f>
        <v>46150.70833</v>
      </c>
      <c r="E497" s="356">
        <f>VLOOKUP(B497,Quotas!$A$8:$C$14,3,FALSE)</f>
        <v>46157.70833</v>
      </c>
      <c r="F497" s="79">
        <f>COUNTIFS(Matches!$B:$B,A497,Matches!$A:$A,CONCAT("&gt;",$D497),Matches!$A:$A,CONCAT("&lt;",$E497))</f>
        <v>0</v>
      </c>
      <c r="G497" s="79">
        <f>COUNTIFS(Matches!$C:$C,$A497,Matches!$A:$A,CONCAT("&gt;",$D497),Matches!$A:$A,CONCAT("&lt;",$E497))</f>
        <v>0</v>
      </c>
      <c r="H497" s="79">
        <f t="shared" si="1"/>
        <v>0</v>
      </c>
      <c r="I497" s="79">
        <f>COUNTIFS(Matches!$B:$B,$A497,Matches!$A:$A,CONCAT("&lt;",$E497))</f>
        <v>4</v>
      </c>
      <c r="J497" s="79">
        <f>COUNTIFS(Matches!$C:$C,$A497,Matches!$A:$A,CONCAT("&lt;",$E497))</f>
        <v>5</v>
      </c>
      <c r="K497" s="79">
        <f>COUNTIFS(Entropy!D:D,A497,Entropy!I:I,CONCAT("&lt;",E497-1))</f>
        <v>0</v>
      </c>
      <c r="L497" s="79">
        <f t="shared" si="2"/>
        <v>9</v>
      </c>
      <c r="M497" s="79">
        <f t="array" ref="M497">max(min(IF(J497+K497=11,0,XLOOKUP(B497,Quotas!$A$8:$A$14,Quotas!$E$8:$E$14)-$L497),2),0)</f>
        <v>2</v>
      </c>
      <c r="N497" s="31">
        <f t="shared" si="3"/>
        <v>0</v>
      </c>
    </row>
    <row r="498">
      <c r="A498" s="31" t="s">
        <v>372</v>
      </c>
      <c r="B498" s="9">
        <v>3.0</v>
      </c>
      <c r="C498" s="31" t="str">
        <f>VLOOKUP(A498, 'College List'!A:B, 2, FALSE)</f>
        <v>Silverquill</v>
      </c>
      <c r="D498" s="355">
        <f>VLOOKUP(B498,Quotas!$A$8:$C$14,2,FALSE)</f>
        <v>46150.70833</v>
      </c>
      <c r="E498" s="356">
        <f>VLOOKUP(B498,Quotas!$A$8:$C$14,3,FALSE)</f>
        <v>46157.70833</v>
      </c>
      <c r="F498" s="79">
        <f>COUNTIFS(Matches!$B:$B,A498,Matches!$A:$A,CONCAT("&gt;",$D498),Matches!$A:$A,CONCAT("&lt;",$E498))</f>
        <v>1</v>
      </c>
      <c r="G498" s="79">
        <f>COUNTIFS(Matches!$C:$C,$A498,Matches!$A:$A,CONCAT("&gt;",$D498),Matches!$A:$A,CONCAT("&lt;",$E498))</f>
        <v>2</v>
      </c>
      <c r="H498" s="79">
        <f t="shared" si="1"/>
        <v>3</v>
      </c>
      <c r="I498" s="79">
        <f>COUNTIFS(Matches!$B:$B,$A498,Matches!$A:$A,CONCAT("&lt;",$E498))</f>
        <v>1</v>
      </c>
      <c r="J498" s="79">
        <f>COUNTIFS(Matches!$C:$C,$A498,Matches!$A:$A,CONCAT("&lt;",$E498))</f>
        <v>8</v>
      </c>
      <c r="K498" s="79">
        <f>COUNTIFS(Entropy!D:D,A498,Entropy!I:I,CONCAT("&lt;",E498-1))</f>
        <v>2</v>
      </c>
      <c r="L498" s="79">
        <f t="shared" si="2"/>
        <v>11</v>
      </c>
      <c r="M498" s="79">
        <f t="array" ref="M498">max(min(IF(J498+K498=11,0,XLOOKUP(B498,Quotas!$A$8:$A$14,Quotas!$E$8:$E$14)-$L498),2),0)</f>
        <v>2</v>
      </c>
      <c r="N498" s="31">
        <f t="shared" si="3"/>
        <v>1</v>
      </c>
    </row>
    <row r="499">
      <c r="A499" s="31" t="s">
        <v>273</v>
      </c>
      <c r="B499" s="9">
        <v>3.0</v>
      </c>
      <c r="C499" s="31" t="str">
        <f>VLOOKUP(A499, 'College List'!A:B, 2, FALSE)</f>
        <v>Witherbloom</v>
      </c>
      <c r="D499" s="355">
        <f>VLOOKUP(B499,Quotas!$A$8:$C$14,2,FALSE)</f>
        <v>46150.70833</v>
      </c>
      <c r="E499" s="356">
        <f>VLOOKUP(B499,Quotas!$A$8:$C$14,3,FALSE)</f>
        <v>46157.70833</v>
      </c>
      <c r="F499" s="79">
        <f>COUNTIFS(Matches!$B:$B,A499,Matches!$A:$A,CONCAT("&gt;",$D499),Matches!$A:$A,CONCAT("&lt;",$E499))</f>
        <v>3</v>
      </c>
      <c r="G499" s="79">
        <f>COUNTIFS(Matches!$C:$C,$A499,Matches!$A:$A,CONCAT("&gt;",$D499),Matches!$A:$A,CONCAT("&lt;",$E499))</f>
        <v>2</v>
      </c>
      <c r="H499" s="79">
        <f t="shared" si="1"/>
        <v>5</v>
      </c>
      <c r="I499" s="79">
        <f>COUNTIFS(Matches!$B:$B,$A499,Matches!$A:$A,CONCAT("&lt;",$E499))</f>
        <v>10</v>
      </c>
      <c r="J499" s="79">
        <f>COUNTIFS(Matches!$C:$C,$A499,Matches!$A:$A,CONCAT("&lt;",$E499))</f>
        <v>5</v>
      </c>
      <c r="K499" s="79">
        <f>COUNTIFS(Entropy!D:D,A499,Entropy!I:I,CONCAT("&lt;",E499-1))</f>
        <v>0</v>
      </c>
      <c r="L499" s="79">
        <f t="shared" si="2"/>
        <v>15</v>
      </c>
      <c r="M499" s="79">
        <f t="array" ref="M499">max(min(IF(J499+K499=11,0,XLOOKUP(B499,Quotas!$A$8:$A$14,Quotas!$E$8:$E$14)-$L499),2),0)</f>
        <v>0</v>
      </c>
      <c r="N499" s="31">
        <f t="shared" si="3"/>
        <v>0</v>
      </c>
    </row>
    <row r="500">
      <c r="A500" s="31" t="s">
        <v>264</v>
      </c>
      <c r="B500" s="9">
        <v>3.0</v>
      </c>
      <c r="C500" s="31" t="str">
        <f>VLOOKUP(A500, 'College List'!A:B, 2, FALSE)</f>
        <v>Witherbloom</v>
      </c>
      <c r="D500" s="355">
        <f>VLOOKUP(B500,Quotas!$A$8:$C$14,2,FALSE)</f>
        <v>46150.70833</v>
      </c>
      <c r="E500" s="356">
        <f>VLOOKUP(B500,Quotas!$A$8:$C$14,3,FALSE)</f>
        <v>46157.70833</v>
      </c>
      <c r="F500" s="79">
        <f>COUNTIFS(Matches!$B:$B,A500,Matches!$A:$A,CONCAT("&gt;",$D500),Matches!$A:$A,CONCAT("&lt;",$E500))</f>
        <v>4</v>
      </c>
      <c r="G500" s="79">
        <f>COUNTIFS(Matches!$C:$C,$A500,Matches!$A:$A,CONCAT("&gt;",$D500),Matches!$A:$A,CONCAT("&lt;",$E500))</f>
        <v>1</v>
      </c>
      <c r="H500" s="79">
        <f t="shared" si="1"/>
        <v>5</v>
      </c>
      <c r="I500" s="79">
        <f>COUNTIFS(Matches!$B:$B,$A500,Matches!$A:$A,CONCAT("&lt;",$E500))</f>
        <v>11</v>
      </c>
      <c r="J500" s="79">
        <f>COUNTIFS(Matches!$C:$C,$A500,Matches!$A:$A,CONCAT("&lt;",$E500))</f>
        <v>4</v>
      </c>
      <c r="K500" s="79">
        <f>COUNTIFS(Entropy!D:D,A500,Entropy!I:I,CONCAT("&lt;",E500-1))</f>
        <v>0</v>
      </c>
      <c r="L500" s="79">
        <f t="shared" si="2"/>
        <v>15</v>
      </c>
      <c r="M500" s="79">
        <f t="array" ref="M500">max(min(IF(J500+K500=11,0,XLOOKUP(B500,Quotas!$A$8:$A$14,Quotas!$E$8:$E$14)-$L500),2),0)</f>
        <v>0</v>
      </c>
      <c r="N500" s="31">
        <f t="shared" si="3"/>
        <v>0</v>
      </c>
    </row>
    <row r="501">
      <c r="A501" s="31" t="s">
        <v>297</v>
      </c>
      <c r="B501" s="9">
        <v>3.0</v>
      </c>
      <c r="C501" s="31" t="str">
        <f>VLOOKUP(A501, 'College List'!A:B, 2, FALSE)</f>
        <v>Quandrix</v>
      </c>
      <c r="D501" s="355">
        <f>VLOOKUP(B501,Quotas!$A$8:$C$14,2,FALSE)</f>
        <v>46150.70833</v>
      </c>
      <c r="E501" s="356">
        <f>VLOOKUP(B501,Quotas!$A$8:$C$14,3,FALSE)</f>
        <v>46157.70833</v>
      </c>
      <c r="F501" s="79">
        <f>COUNTIFS(Matches!$B:$B,A501,Matches!$A:$A,CONCAT("&gt;",$D501),Matches!$A:$A,CONCAT("&lt;",$E501))</f>
        <v>2</v>
      </c>
      <c r="G501" s="79">
        <f>COUNTIFS(Matches!$C:$C,$A501,Matches!$A:$A,CONCAT("&gt;",$D501),Matches!$A:$A,CONCAT("&lt;",$E501))</f>
        <v>2</v>
      </c>
      <c r="H501" s="79">
        <f t="shared" si="1"/>
        <v>4</v>
      </c>
      <c r="I501" s="79">
        <f>COUNTIFS(Matches!$B:$B,$A501,Matches!$A:$A,CONCAT("&lt;",$E501))</f>
        <v>7</v>
      </c>
      <c r="J501" s="79">
        <f>COUNTIFS(Matches!$C:$C,$A501,Matches!$A:$A,CONCAT("&lt;",$E501))</f>
        <v>7</v>
      </c>
      <c r="K501" s="79">
        <f>COUNTIFS(Entropy!D:D,A501,Entropy!I:I,CONCAT("&lt;",E501-1))</f>
        <v>0</v>
      </c>
      <c r="L501" s="79">
        <f t="shared" si="2"/>
        <v>14</v>
      </c>
      <c r="M501" s="79">
        <f t="array" ref="M501">max(min(IF(J501+K501=11,0,XLOOKUP(B501,Quotas!$A$8:$A$14,Quotas!$E$8:$E$14)-$L501),2),0)</f>
        <v>1</v>
      </c>
      <c r="N501" s="31">
        <f t="shared" si="3"/>
        <v>0.5</v>
      </c>
    </row>
    <row r="502">
      <c r="A502" s="31" t="s">
        <v>410</v>
      </c>
      <c r="B502" s="9">
        <v>3.0</v>
      </c>
      <c r="C502" s="31" t="str">
        <f>VLOOKUP(A502, 'College List'!A:B, 2, FALSE)</f>
        <v>Quandrix</v>
      </c>
      <c r="D502" s="355">
        <f>VLOOKUP(B502,Quotas!$A$8:$C$14,2,FALSE)</f>
        <v>46150.70833</v>
      </c>
      <c r="E502" s="356">
        <f>VLOOKUP(B502,Quotas!$A$8:$C$14,3,FALSE)</f>
        <v>46157.70833</v>
      </c>
      <c r="F502" s="79">
        <f>COUNTIFS(Matches!$B:$B,A502,Matches!$A:$A,CONCAT("&gt;",$D502),Matches!$A:$A,CONCAT("&lt;",$E502))</f>
        <v>1</v>
      </c>
      <c r="G502" s="79">
        <f>COUNTIFS(Matches!$C:$C,$A502,Matches!$A:$A,CONCAT("&gt;",$D502),Matches!$A:$A,CONCAT("&lt;",$E502))</f>
        <v>4</v>
      </c>
      <c r="H502" s="79">
        <f t="shared" si="1"/>
        <v>5</v>
      </c>
      <c r="I502" s="79">
        <f>COUNTIFS(Matches!$B:$B,$A502,Matches!$A:$A,CONCAT("&lt;",$E502))</f>
        <v>2</v>
      </c>
      <c r="J502" s="79">
        <f>COUNTIFS(Matches!$C:$C,$A502,Matches!$A:$A,CONCAT("&lt;",$E502))</f>
        <v>8</v>
      </c>
      <c r="K502" s="79">
        <f>COUNTIFS(Entropy!D:D,A502,Entropy!I:I,CONCAT("&lt;",E502-1))</f>
        <v>3</v>
      </c>
      <c r="L502" s="79">
        <f t="shared" si="2"/>
        <v>13</v>
      </c>
      <c r="M502" s="79">
        <f t="array" ref="M502">max(min(IF(J502+K502=11,0,XLOOKUP(B502,Quotas!$A$8:$A$14,Quotas!$E$8:$E$14)-$L502),2),0)</f>
        <v>0</v>
      </c>
      <c r="N502" s="31">
        <f t="shared" si="3"/>
        <v>0</v>
      </c>
    </row>
    <row r="503">
      <c r="A503" s="31" t="s">
        <v>261</v>
      </c>
      <c r="B503" s="9">
        <v>3.0</v>
      </c>
      <c r="C503" s="31" t="str">
        <f>VLOOKUP(A503, 'College List'!A:B, 2, FALSE)</f>
        <v>Witherbloom</v>
      </c>
      <c r="D503" s="355">
        <f>VLOOKUP(B503,Quotas!$A$8:$C$14,2,FALSE)</f>
        <v>46150.70833</v>
      </c>
      <c r="E503" s="356">
        <f>VLOOKUP(B503,Quotas!$A$8:$C$14,3,FALSE)</f>
        <v>46157.70833</v>
      </c>
      <c r="F503" s="79">
        <f>COUNTIFS(Matches!$B:$B,A503,Matches!$A:$A,CONCAT("&gt;",$D503),Matches!$A:$A,CONCAT("&lt;",$E503))</f>
        <v>1</v>
      </c>
      <c r="G503" s="79">
        <f>COUNTIFS(Matches!$C:$C,$A503,Matches!$A:$A,CONCAT("&gt;",$D503),Matches!$A:$A,CONCAT("&lt;",$E503))</f>
        <v>4</v>
      </c>
      <c r="H503" s="79">
        <f t="shared" si="1"/>
        <v>5</v>
      </c>
      <c r="I503" s="79">
        <f>COUNTIFS(Matches!$B:$B,$A503,Matches!$A:$A,CONCAT("&lt;",$E503))</f>
        <v>7</v>
      </c>
      <c r="J503" s="79">
        <f>COUNTIFS(Matches!$C:$C,$A503,Matches!$A:$A,CONCAT("&lt;",$E503))</f>
        <v>8</v>
      </c>
      <c r="K503" s="79">
        <f>COUNTIFS(Entropy!D:D,A503,Entropy!I:I,CONCAT("&lt;",E503-1))</f>
        <v>0</v>
      </c>
      <c r="L503" s="79">
        <f t="shared" si="2"/>
        <v>15</v>
      </c>
      <c r="M503" s="79">
        <f t="array" ref="M503">max(min(IF(J503+K503=11,0,XLOOKUP(B503,Quotas!$A$8:$A$14,Quotas!$E$8:$E$14)-$L503),2),0)</f>
        <v>0</v>
      </c>
      <c r="N503" s="31">
        <f t="shared" si="3"/>
        <v>0</v>
      </c>
    </row>
    <row r="504">
      <c r="A504" s="31" t="s">
        <v>291</v>
      </c>
      <c r="B504" s="9">
        <v>3.0</v>
      </c>
      <c r="C504" s="31" t="str">
        <f>VLOOKUP(A504, 'College List'!A:B, 2, FALSE)</f>
        <v>Silverquill</v>
      </c>
      <c r="D504" s="355">
        <f>VLOOKUP(B504,Quotas!$A$8:$C$14,2,FALSE)</f>
        <v>46150.70833</v>
      </c>
      <c r="E504" s="356">
        <f>VLOOKUP(B504,Quotas!$A$8:$C$14,3,FALSE)</f>
        <v>46157.70833</v>
      </c>
      <c r="F504" s="79">
        <f>COUNTIFS(Matches!$B:$B,A504,Matches!$A:$A,CONCAT("&gt;",$D504),Matches!$A:$A,CONCAT("&lt;",$E504))</f>
        <v>0</v>
      </c>
      <c r="G504" s="79">
        <f>COUNTIFS(Matches!$C:$C,$A504,Matches!$A:$A,CONCAT("&gt;",$D504),Matches!$A:$A,CONCAT("&lt;",$E504))</f>
        <v>2</v>
      </c>
      <c r="H504" s="79">
        <f t="shared" si="1"/>
        <v>2</v>
      </c>
      <c r="I504" s="79">
        <f>COUNTIFS(Matches!$B:$B,$A504,Matches!$A:$A,CONCAT("&lt;",$E504))</f>
        <v>1</v>
      </c>
      <c r="J504" s="79">
        <f>COUNTIFS(Matches!$C:$C,$A504,Matches!$A:$A,CONCAT("&lt;",$E504))</f>
        <v>11</v>
      </c>
      <c r="K504" s="79">
        <f>COUNTIFS(Entropy!D:D,A504,Entropy!I:I,CONCAT("&lt;",E504-1))</f>
        <v>0</v>
      </c>
      <c r="L504" s="79">
        <f t="shared" si="2"/>
        <v>12</v>
      </c>
      <c r="M504" s="79">
        <f t="array" ref="M504">max(min(IF(J504+K504=11,0,XLOOKUP(B504,Quotas!$A$8:$A$14,Quotas!$E$8:$E$14)-$L504),2),0)</f>
        <v>0</v>
      </c>
      <c r="N504" s="31">
        <f t="shared" si="3"/>
        <v>0</v>
      </c>
    </row>
    <row r="505">
      <c r="A505" s="31" t="s">
        <v>397</v>
      </c>
      <c r="B505" s="9">
        <v>3.0</v>
      </c>
      <c r="C505" s="31" t="str">
        <f>VLOOKUP(A505, 'College List'!A:B, 2, FALSE)</f>
        <v>Quandrix</v>
      </c>
      <c r="D505" s="355">
        <f>VLOOKUP(B505,Quotas!$A$8:$C$14,2,FALSE)</f>
        <v>46150.70833</v>
      </c>
      <c r="E505" s="356">
        <f>VLOOKUP(B505,Quotas!$A$8:$C$14,3,FALSE)</f>
        <v>46157.70833</v>
      </c>
      <c r="F505" s="79">
        <f>COUNTIFS(Matches!$B:$B,A505,Matches!$A:$A,CONCAT("&gt;",$D505),Matches!$A:$A,CONCAT("&lt;",$E505))</f>
        <v>3</v>
      </c>
      <c r="G505" s="79">
        <f>COUNTIFS(Matches!$C:$C,$A505,Matches!$A:$A,CONCAT("&gt;",$D505),Matches!$A:$A,CONCAT("&lt;",$E505))</f>
        <v>2</v>
      </c>
      <c r="H505" s="79">
        <f t="shared" si="1"/>
        <v>5</v>
      </c>
      <c r="I505" s="79">
        <f>COUNTIFS(Matches!$B:$B,$A505,Matches!$A:$A,CONCAT("&lt;",$E505))</f>
        <v>10</v>
      </c>
      <c r="J505" s="79">
        <f>COUNTIFS(Matches!$C:$C,$A505,Matches!$A:$A,CONCAT("&lt;",$E505))</f>
        <v>5</v>
      </c>
      <c r="K505" s="79">
        <f>COUNTIFS(Entropy!D:D,A505,Entropy!I:I,CONCAT("&lt;",E505-1))</f>
        <v>0</v>
      </c>
      <c r="L505" s="79">
        <f t="shared" si="2"/>
        <v>15</v>
      </c>
      <c r="M505" s="79">
        <f t="array" ref="M505">max(min(IF(J505+K505=11,0,XLOOKUP(B505,Quotas!$A$8:$A$14,Quotas!$E$8:$E$14)-$L505),2),0)</f>
        <v>0</v>
      </c>
      <c r="N505" s="31">
        <f t="shared" si="3"/>
        <v>0</v>
      </c>
    </row>
    <row r="506">
      <c r="A506" s="31" t="s">
        <v>239</v>
      </c>
      <c r="B506" s="9">
        <v>3.0</v>
      </c>
      <c r="C506" s="31" t="str">
        <f>VLOOKUP(A506, 'College List'!A:B, 2, FALSE)</f>
        <v>Quandrix</v>
      </c>
      <c r="D506" s="355">
        <f>VLOOKUP(B506,Quotas!$A$8:$C$14,2,FALSE)</f>
        <v>46150.70833</v>
      </c>
      <c r="E506" s="356">
        <f>VLOOKUP(B506,Quotas!$A$8:$C$14,3,FALSE)</f>
        <v>46157.70833</v>
      </c>
      <c r="F506" s="79">
        <f>COUNTIFS(Matches!$B:$B,A506,Matches!$A:$A,CONCAT("&gt;",$D506),Matches!$A:$A,CONCAT("&lt;",$E506))</f>
        <v>2</v>
      </c>
      <c r="G506" s="79">
        <f>COUNTIFS(Matches!$C:$C,$A506,Matches!$A:$A,CONCAT("&gt;",$D506),Matches!$A:$A,CONCAT("&lt;",$E506))</f>
        <v>3</v>
      </c>
      <c r="H506" s="79">
        <f t="shared" si="1"/>
        <v>5</v>
      </c>
      <c r="I506" s="79">
        <f>COUNTIFS(Matches!$B:$B,$A506,Matches!$A:$A,CONCAT("&lt;",$E506))</f>
        <v>6</v>
      </c>
      <c r="J506" s="79">
        <f>COUNTIFS(Matches!$C:$C,$A506,Matches!$A:$A,CONCAT("&lt;",$E506))</f>
        <v>9</v>
      </c>
      <c r="K506" s="79">
        <f>COUNTIFS(Entropy!D:D,A506,Entropy!I:I,CONCAT("&lt;",E506-1))</f>
        <v>0</v>
      </c>
      <c r="L506" s="79">
        <f t="shared" si="2"/>
        <v>15</v>
      </c>
      <c r="M506" s="79">
        <f t="array" ref="M506">max(min(IF(J506+K506=11,0,XLOOKUP(B506,Quotas!$A$8:$A$14,Quotas!$E$8:$E$14)-$L506),2),0)</f>
        <v>0</v>
      </c>
      <c r="N506" s="31">
        <f t="shared" si="3"/>
        <v>0</v>
      </c>
    </row>
    <row r="507">
      <c r="A507" s="31" t="s">
        <v>417</v>
      </c>
      <c r="B507" s="9">
        <v>3.0</v>
      </c>
      <c r="C507" s="31" t="str">
        <f>VLOOKUP(A507, 'College List'!A:B, 2, FALSE)</f>
        <v>Silverquill</v>
      </c>
      <c r="D507" s="355">
        <f>VLOOKUP(B507,Quotas!$A$8:$C$14,2,FALSE)</f>
        <v>46150.70833</v>
      </c>
      <c r="E507" s="356">
        <f>VLOOKUP(B507,Quotas!$A$8:$C$14,3,FALSE)</f>
        <v>46157.70833</v>
      </c>
      <c r="F507" s="79">
        <f>COUNTIFS(Matches!$B:$B,A507,Matches!$A:$A,CONCAT("&gt;",$D507),Matches!$A:$A,CONCAT("&lt;",$E507))</f>
        <v>2</v>
      </c>
      <c r="G507" s="79">
        <f>COUNTIFS(Matches!$C:$C,$A507,Matches!$A:$A,CONCAT("&gt;",$D507),Matches!$A:$A,CONCAT("&lt;",$E507))</f>
        <v>3</v>
      </c>
      <c r="H507" s="79">
        <f t="shared" si="1"/>
        <v>5</v>
      </c>
      <c r="I507" s="79">
        <f>COUNTIFS(Matches!$B:$B,$A507,Matches!$A:$A,CONCAT("&lt;",$E507))</f>
        <v>5</v>
      </c>
      <c r="J507" s="79">
        <f>COUNTIFS(Matches!$C:$C,$A507,Matches!$A:$A,CONCAT("&lt;",$E507))</f>
        <v>5</v>
      </c>
      <c r="K507" s="79">
        <f>COUNTIFS(Entropy!D:D,A507,Entropy!I:I,CONCAT("&lt;",E507-1))</f>
        <v>3</v>
      </c>
      <c r="L507" s="79">
        <f t="shared" si="2"/>
        <v>13</v>
      </c>
      <c r="M507" s="79">
        <f t="array" ref="M507">max(min(IF(J507+K507=11,0,XLOOKUP(B507,Quotas!$A$8:$A$14,Quotas!$E$8:$E$14)-$L507),2),0)</f>
        <v>2</v>
      </c>
      <c r="N507" s="31">
        <f t="shared" si="3"/>
        <v>1</v>
      </c>
    </row>
    <row r="508">
      <c r="A508" s="31" t="s">
        <v>165</v>
      </c>
      <c r="B508" s="9">
        <v>3.0</v>
      </c>
      <c r="C508" s="31" t="str">
        <f>VLOOKUP(A508, 'College List'!A:B, 2, FALSE)</f>
        <v>Lorehold</v>
      </c>
      <c r="D508" s="355">
        <f>VLOOKUP(B508,Quotas!$A$8:$C$14,2,FALSE)</f>
        <v>46150.70833</v>
      </c>
      <c r="E508" s="356">
        <f>VLOOKUP(B508,Quotas!$A$8:$C$14,3,FALSE)</f>
        <v>46157.70833</v>
      </c>
      <c r="F508" s="79">
        <f>COUNTIFS(Matches!$B:$B,A508,Matches!$A:$A,CONCAT("&gt;",$D508),Matches!$A:$A,CONCAT("&lt;",$E508))</f>
        <v>2</v>
      </c>
      <c r="G508" s="79">
        <f>COUNTIFS(Matches!$C:$C,$A508,Matches!$A:$A,CONCAT("&gt;",$D508),Matches!$A:$A,CONCAT("&lt;",$E508))</f>
        <v>3</v>
      </c>
      <c r="H508" s="79">
        <f t="shared" si="1"/>
        <v>5</v>
      </c>
      <c r="I508" s="79">
        <f>COUNTIFS(Matches!$B:$B,$A508,Matches!$A:$A,CONCAT("&lt;",$E508))</f>
        <v>9</v>
      </c>
      <c r="J508" s="79">
        <f>COUNTIFS(Matches!$C:$C,$A508,Matches!$A:$A,CONCAT("&lt;",$E508))</f>
        <v>6</v>
      </c>
      <c r="K508" s="79">
        <f>COUNTIFS(Entropy!D:D,A508,Entropy!I:I,CONCAT("&lt;",E508-1))</f>
        <v>0</v>
      </c>
      <c r="L508" s="79">
        <f t="shared" si="2"/>
        <v>15</v>
      </c>
      <c r="M508" s="79">
        <f t="array" ref="M508">max(min(IF(J508+K508=11,0,XLOOKUP(B508,Quotas!$A$8:$A$14,Quotas!$E$8:$E$14)-$L508),2),0)</f>
        <v>0</v>
      </c>
      <c r="N508" s="31">
        <f t="shared" si="3"/>
        <v>0</v>
      </c>
    </row>
    <row r="509">
      <c r="A509" s="31" t="s">
        <v>316</v>
      </c>
      <c r="B509" s="9">
        <v>3.0</v>
      </c>
      <c r="C509" s="31" t="str">
        <f>VLOOKUP(A509, 'College List'!A:B, 2, FALSE)</f>
        <v>Quandrix</v>
      </c>
      <c r="D509" s="355">
        <f>VLOOKUP(B509,Quotas!$A$8:$C$14,2,FALSE)</f>
        <v>46150.70833</v>
      </c>
      <c r="E509" s="356">
        <f>VLOOKUP(B509,Quotas!$A$8:$C$14,3,FALSE)</f>
        <v>46157.70833</v>
      </c>
      <c r="F509" s="79">
        <f>COUNTIFS(Matches!$B:$B,A509,Matches!$A:$A,CONCAT("&gt;",$D509),Matches!$A:$A,CONCAT("&lt;",$E509))</f>
        <v>2</v>
      </c>
      <c r="G509" s="79">
        <f>COUNTIFS(Matches!$C:$C,$A509,Matches!$A:$A,CONCAT("&gt;",$D509),Matches!$A:$A,CONCAT("&lt;",$E509))</f>
        <v>3</v>
      </c>
      <c r="H509" s="79">
        <f t="shared" si="1"/>
        <v>5</v>
      </c>
      <c r="I509" s="79">
        <f>COUNTIFS(Matches!$B:$B,$A509,Matches!$A:$A,CONCAT("&lt;",$E509))</f>
        <v>6</v>
      </c>
      <c r="J509" s="79">
        <f>COUNTIFS(Matches!$C:$C,$A509,Matches!$A:$A,CONCAT("&lt;",$E509))</f>
        <v>9</v>
      </c>
      <c r="K509" s="79">
        <f>COUNTIFS(Entropy!D:D,A509,Entropy!I:I,CONCAT("&lt;",E509-1))</f>
        <v>0</v>
      </c>
      <c r="L509" s="79">
        <f t="shared" si="2"/>
        <v>15</v>
      </c>
      <c r="M509" s="79">
        <f t="array" ref="M509">max(min(IF(J509+K509=11,0,XLOOKUP(B509,Quotas!$A$8:$A$14,Quotas!$E$8:$E$14)-$L509),2),0)</f>
        <v>0</v>
      </c>
      <c r="N509" s="31">
        <f t="shared" si="3"/>
        <v>0</v>
      </c>
    </row>
    <row r="510">
      <c r="A510" s="31" t="s">
        <v>219</v>
      </c>
      <c r="B510" s="9">
        <v>3.0</v>
      </c>
      <c r="C510" s="31" t="str">
        <f>VLOOKUP(A510, 'College List'!A:B, 2, FALSE)</f>
        <v>Prismari</v>
      </c>
      <c r="D510" s="355">
        <f>VLOOKUP(B510,Quotas!$A$8:$C$14,2,FALSE)</f>
        <v>46150.70833</v>
      </c>
      <c r="E510" s="356">
        <f>VLOOKUP(B510,Quotas!$A$8:$C$14,3,FALSE)</f>
        <v>46157.70833</v>
      </c>
      <c r="F510" s="79">
        <f>COUNTIFS(Matches!$B:$B,A510,Matches!$A:$A,CONCAT("&gt;",$D510),Matches!$A:$A,CONCAT("&lt;",$E510))</f>
        <v>2</v>
      </c>
      <c r="G510" s="79">
        <f>COUNTIFS(Matches!$C:$C,$A510,Matches!$A:$A,CONCAT("&gt;",$D510),Matches!$A:$A,CONCAT("&lt;",$E510))</f>
        <v>3</v>
      </c>
      <c r="H510" s="79">
        <f t="shared" si="1"/>
        <v>5</v>
      </c>
      <c r="I510" s="79">
        <f>COUNTIFS(Matches!$B:$B,$A510,Matches!$A:$A,CONCAT("&lt;",$E510))</f>
        <v>8</v>
      </c>
      <c r="J510" s="79">
        <f>COUNTIFS(Matches!$C:$C,$A510,Matches!$A:$A,CONCAT("&lt;",$E510))</f>
        <v>7</v>
      </c>
      <c r="K510" s="79">
        <f>COUNTIFS(Entropy!D:D,A510,Entropy!I:I,CONCAT("&lt;",E510-1))</f>
        <v>0</v>
      </c>
      <c r="L510" s="79">
        <f t="shared" si="2"/>
        <v>15</v>
      </c>
      <c r="M510" s="79">
        <f t="array" ref="M510">max(min(IF(J510+K510=11,0,XLOOKUP(B510,Quotas!$A$8:$A$14,Quotas!$E$8:$E$14)-$L510),2),0)</f>
        <v>0</v>
      </c>
      <c r="N510" s="31">
        <f t="shared" si="3"/>
        <v>0</v>
      </c>
    </row>
    <row r="511">
      <c r="A511" s="31" t="s">
        <v>191</v>
      </c>
      <c r="B511" s="9">
        <v>3.0</v>
      </c>
      <c r="C511" s="31" t="str">
        <f>VLOOKUP(A511, 'College List'!A:B, 2, FALSE)</f>
        <v>Silverquill</v>
      </c>
      <c r="D511" s="355">
        <f>VLOOKUP(B511,Quotas!$A$8:$C$14,2,FALSE)</f>
        <v>46150.70833</v>
      </c>
      <c r="E511" s="356">
        <f>VLOOKUP(B511,Quotas!$A$8:$C$14,3,FALSE)</f>
        <v>46157.70833</v>
      </c>
      <c r="F511" s="79">
        <f>COUNTIFS(Matches!$B:$B,A511,Matches!$A:$A,CONCAT("&gt;",$D511),Matches!$A:$A,CONCAT("&lt;",$E511))</f>
        <v>1</v>
      </c>
      <c r="G511" s="79">
        <f>COUNTIFS(Matches!$C:$C,$A511,Matches!$A:$A,CONCAT("&gt;",$D511),Matches!$A:$A,CONCAT("&lt;",$E511))</f>
        <v>2</v>
      </c>
      <c r="H511" s="79">
        <f t="shared" si="1"/>
        <v>3</v>
      </c>
      <c r="I511" s="79">
        <f>COUNTIFS(Matches!$B:$B,$A511,Matches!$A:$A,CONCAT("&lt;",$E511))</f>
        <v>4</v>
      </c>
      <c r="J511" s="79">
        <f>COUNTIFS(Matches!$C:$C,$A511,Matches!$A:$A,CONCAT("&lt;",$E511))</f>
        <v>9</v>
      </c>
      <c r="K511" s="79">
        <f>COUNTIFS(Entropy!D:D,A511,Entropy!I:I,CONCAT("&lt;",E511-1))</f>
        <v>0</v>
      </c>
      <c r="L511" s="79">
        <f t="shared" si="2"/>
        <v>13</v>
      </c>
      <c r="M511" s="79">
        <f t="array" ref="M511">max(min(IF(J511+K511=11,0,XLOOKUP(B511,Quotas!$A$8:$A$14,Quotas!$E$8:$E$14)-$L511),2),0)</f>
        <v>2</v>
      </c>
      <c r="N511" s="31">
        <f t="shared" si="3"/>
        <v>1</v>
      </c>
    </row>
    <row r="512">
      <c r="A512" s="31" t="s">
        <v>396</v>
      </c>
      <c r="B512" s="9">
        <v>3.0</v>
      </c>
      <c r="C512" s="31" t="str">
        <f>VLOOKUP(A512, 'College List'!A:B, 2, FALSE)</f>
        <v>Prismari</v>
      </c>
      <c r="D512" s="355">
        <f>VLOOKUP(B512,Quotas!$A$8:$C$14,2,FALSE)</f>
        <v>46150.70833</v>
      </c>
      <c r="E512" s="356">
        <f>VLOOKUP(B512,Quotas!$A$8:$C$14,3,FALSE)</f>
        <v>46157.70833</v>
      </c>
      <c r="F512" s="79">
        <f>COUNTIFS(Matches!$B:$B,A512,Matches!$A:$A,CONCAT("&gt;",$D512),Matches!$A:$A,CONCAT("&lt;",$E512))</f>
        <v>0</v>
      </c>
      <c r="G512" s="79">
        <f>COUNTIFS(Matches!$C:$C,$A512,Matches!$A:$A,CONCAT("&gt;",$D512),Matches!$A:$A,CONCAT("&lt;",$E512))</f>
        <v>6</v>
      </c>
      <c r="H512" s="79">
        <f t="shared" si="1"/>
        <v>6</v>
      </c>
      <c r="I512" s="79">
        <f>COUNTIFS(Matches!$B:$B,$A512,Matches!$A:$A,CONCAT("&lt;",$E512))</f>
        <v>4</v>
      </c>
      <c r="J512" s="79">
        <f>COUNTIFS(Matches!$C:$C,$A512,Matches!$A:$A,CONCAT("&lt;",$E512))</f>
        <v>9</v>
      </c>
      <c r="K512" s="79">
        <f>COUNTIFS(Entropy!D:D,A512,Entropy!I:I,CONCAT("&lt;",E512-1))</f>
        <v>0</v>
      </c>
      <c r="L512" s="79">
        <f t="shared" si="2"/>
        <v>13</v>
      </c>
      <c r="M512" s="79">
        <f t="array" ref="M512">max(min(IF(J512+K512=11,0,XLOOKUP(B512,Quotas!$A$8:$A$14,Quotas!$E$8:$E$14)-$L512),2),0)</f>
        <v>2</v>
      </c>
      <c r="N512" s="31">
        <f t="shared" si="3"/>
        <v>1</v>
      </c>
    </row>
    <row r="513">
      <c r="A513" s="31" t="s">
        <v>72</v>
      </c>
      <c r="B513" s="9">
        <v>3.0</v>
      </c>
      <c r="C513" s="31" t="str">
        <f>VLOOKUP(A513, 'College List'!A:B, 2, FALSE)</f>
        <v>Prismari</v>
      </c>
      <c r="D513" s="355">
        <f>VLOOKUP(B513,Quotas!$A$8:$C$14,2,FALSE)</f>
        <v>46150.70833</v>
      </c>
      <c r="E513" s="356">
        <f>VLOOKUP(B513,Quotas!$A$8:$C$14,3,FALSE)</f>
        <v>46157.70833</v>
      </c>
      <c r="F513" s="79">
        <f>COUNTIFS(Matches!$B:$B,A513,Matches!$A:$A,CONCAT("&gt;",$D513),Matches!$A:$A,CONCAT("&lt;",$E513))</f>
        <v>0</v>
      </c>
      <c r="G513" s="79">
        <f>COUNTIFS(Matches!$C:$C,$A513,Matches!$A:$A,CONCAT("&gt;",$D513),Matches!$A:$A,CONCAT("&lt;",$E513))</f>
        <v>0</v>
      </c>
      <c r="H513" s="79">
        <f t="shared" si="1"/>
        <v>0</v>
      </c>
      <c r="I513" s="79">
        <f>COUNTIFS(Matches!$B:$B,$A513,Matches!$A:$A,CONCAT("&lt;",$E513))</f>
        <v>2</v>
      </c>
      <c r="J513" s="79">
        <f>COUNTIFS(Matches!$C:$C,$A513,Matches!$A:$A,CONCAT("&lt;",$E513))</f>
        <v>7</v>
      </c>
      <c r="K513" s="79">
        <f>COUNTIFS(Entropy!D:D,A513,Entropy!I:I,CONCAT("&lt;",E513-1))</f>
        <v>0</v>
      </c>
      <c r="L513" s="79">
        <f t="shared" si="2"/>
        <v>9</v>
      </c>
      <c r="M513" s="79">
        <f t="array" ref="M513">max(min(IF(J513+K513=11,0,XLOOKUP(B513,Quotas!$A$8:$A$14,Quotas!$E$8:$E$14)-$L513),2),0)</f>
        <v>2</v>
      </c>
      <c r="N513" s="31">
        <f t="shared" si="3"/>
        <v>0</v>
      </c>
    </row>
    <row r="514">
      <c r="A514" s="31" t="s">
        <v>202</v>
      </c>
      <c r="B514" s="9">
        <v>3.0</v>
      </c>
      <c r="C514" s="31" t="str">
        <f>VLOOKUP(A514, 'College List'!A:B, 2, FALSE)</f>
        <v>Prismari</v>
      </c>
      <c r="D514" s="355">
        <f>VLOOKUP(B514,Quotas!$A$8:$C$14,2,FALSE)</f>
        <v>46150.70833</v>
      </c>
      <c r="E514" s="356">
        <f>VLOOKUP(B514,Quotas!$A$8:$C$14,3,FALSE)</f>
        <v>46157.70833</v>
      </c>
      <c r="F514" s="79">
        <f>COUNTIFS(Matches!$B:$B,A514,Matches!$A:$A,CONCAT("&gt;",$D514),Matches!$A:$A,CONCAT("&lt;",$E514))</f>
        <v>3</v>
      </c>
      <c r="G514" s="79">
        <f>COUNTIFS(Matches!$C:$C,$A514,Matches!$A:$A,CONCAT("&gt;",$D514),Matches!$A:$A,CONCAT("&lt;",$E514))</f>
        <v>2</v>
      </c>
      <c r="H514" s="79">
        <f t="shared" si="1"/>
        <v>5</v>
      </c>
      <c r="I514" s="79">
        <f>COUNTIFS(Matches!$B:$B,$A514,Matches!$A:$A,CONCAT("&lt;",$E514))</f>
        <v>9</v>
      </c>
      <c r="J514" s="79">
        <f>COUNTIFS(Matches!$C:$C,$A514,Matches!$A:$A,CONCAT("&lt;",$E514))</f>
        <v>6</v>
      </c>
      <c r="K514" s="79">
        <f>COUNTIFS(Entropy!D:D,A514,Entropy!I:I,CONCAT("&lt;",E514-1))</f>
        <v>0</v>
      </c>
      <c r="L514" s="79">
        <f t="shared" si="2"/>
        <v>15</v>
      </c>
      <c r="M514" s="79">
        <f t="array" ref="M514">max(min(IF(J514+K514=11,0,XLOOKUP(B514,Quotas!$A$8:$A$14,Quotas!$E$8:$E$14)-$L514),2),0)</f>
        <v>0</v>
      </c>
      <c r="N514" s="31">
        <f t="shared" si="3"/>
        <v>0</v>
      </c>
    </row>
    <row r="515">
      <c r="A515" s="31" t="s">
        <v>379</v>
      </c>
      <c r="B515" s="9">
        <v>3.0</v>
      </c>
      <c r="C515" s="31" t="str">
        <f>VLOOKUP(A515, 'College List'!A:B, 2, FALSE)</f>
        <v>Quandrix</v>
      </c>
      <c r="D515" s="355">
        <f>VLOOKUP(B515,Quotas!$A$8:$C$14,2,FALSE)</f>
        <v>46150.70833</v>
      </c>
      <c r="E515" s="356">
        <f>VLOOKUP(B515,Quotas!$A$8:$C$14,3,FALSE)</f>
        <v>46157.70833</v>
      </c>
      <c r="F515" s="79">
        <f>COUNTIFS(Matches!$B:$B,A515,Matches!$A:$A,CONCAT("&gt;",$D515),Matches!$A:$A,CONCAT("&lt;",$E515))</f>
        <v>3</v>
      </c>
      <c r="G515" s="79">
        <f>COUNTIFS(Matches!$C:$C,$A515,Matches!$A:$A,CONCAT("&gt;",$D515),Matches!$A:$A,CONCAT("&lt;",$E515))</f>
        <v>2</v>
      </c>
      <c r="H515" s="79">
        <f t="shared" si="1"/>
        <v>5</v>
      </c>
      <c r="I515" s="79">
        <f>COUNTIFS(Matches!$B:$B,$A515,Matches!$A:$A,CONCAT("&lt;",$E515))</f>
        <v>6</v>
      </c>
      <c r="J515" s="79">
        <f>COUNTIFS(Matches!$C:$C,$A515,Matches!$A:$A,CONCAT("&lt;",$E515))</f>
        <v>9</v>
      </c>
      <c r="K515" s="79">
        <f>COUNTIFS(Entropy!D:D,A515,Entropy!I:I,CONCAT("&lt;",E515-1))</f>
        <v>0</v>
      </c>
      <c r="L515" s="79">
        <f t="shared" si="2"/>
        <v>15</v>
      </c>
      <c r="M515" s="79">
        <f t="array" ref="M515">max(min(IF(J515+K515=11,0,XLOOKUP(B515,Quotas!$A$8:$A$14,Quotas!$E$8:$E$14)-$L515),2),0)</f>
        <v>0</v>
      </c>
      <c r="N515" s="31">
        <f t="shared" si="3"/>
        <v>0</v>
      </c>
    </row>
    <row r="516">
      <c r="A516" s="31" t="s">
        <v>204</v>
      </c>
      <c r="B516" s="9">
        <v>3.0</v>
      </c>
      <c r="C516" s="31" t="str">
        <f>VLOOKUP(A516, 'College List'!A:B, 2, FALSE)</f>
        <v>Quandrix</v>
      </c>
      <c r="D516" s="355">
        <f>VLOOKUP(B516,Quotas!$A$8:$C$14,2,FALSE)</f>
        <v>46150.70833</v>
      </c>
      <c r="E516" s="356">
        <f>VLOOKUP(B516,Quotas!$A$8:$C$14,3,FALSE)</f>
        <v>46157.70833</v>
      </c>
      <c r="F516" s="79">
        <f>COUNTIFS(Matches!$B:$B,A516,Matches!$A:$A,CONCAT("&gt;",$D516),Matches!$A:$A,CONCAT("&lt;",$E516))</f>
        <v>4</v>
      </c>
      <c r="G516" s="79">
        <f>COUNTIFS(Matches!$C:$C,$A516,Matches!$A:$A,CONCAT("&gt;",$D516),Matches!$A:$A,CONCAT("&lt;",$E516))</f>
        <v>1</v>
      </c>
      <c r="H516" s="79">
        <f t="shared" si="1"/>
        <v>5</v>
      </c>
      <c r="I516" s="79">
        <f>COUNTIFS(Matches!$B:$B,$A516,Matches!$A:$A,CONCAT("&lt;",$E516))</f>
        <v>12</v>
      </c>
      <c r="J516" s="79">
        <f>COUNTIFS(Matches!$C:$C,$A516,Matches!$A:$A,CONCAT("&lt;",$E516))</f>
        <v>3</v>
      </c>
      <c r="K516" s="79">
        <f>COUNTIFS(Entropy!D:D,A516,Entropy!I:I,CONCAT("&lt;",E516-1))</f>
        <v>0</v>
      </c>
      <c r="L516" s="79">
        <f t="shared" si="2"/>
        <v>15</v>
      </c>
      <c r="M516" s="79">
        <f t="array" ref="M516">max(min(IF(J516+K516=11,0,XLOOKUP(B516,Quotas!$A$8:$A$14,Quotas!$E$8:$E$14)-$L516),2),0)</f>
        <v>0</v>
      </c>
      <c r="N516" s="31">
        <f t="shared" si="3"/>
        <v>0</v>
      </c>
    </row>
    <row r="517">
      <c r="A517" s="31" t="s">
        <v>253</v>
      </c>
      <c r="B517" s="9">
        <v>3.0</v>
      </c>
      <c r="C517" s="31" t="str">
        <f>VLOOKUP(A517, 'College List'!A:B, 2, FALSE)</f>
        <v>Quandrix</v>
      </c>
      <c r="D517" s="355">
        <f>VLOOKUP(B517,Quotas!$A$8:$C$14,2,FALSE)</f>
        <v>46150.70833</v>
      </c>
      <c r="E517" s="356">
        <f>VLOOKUP(B517,Quotas!$A$8:$C$14,3,FALSE)</f>
        <v>46157.70833</v>
      </c>
      <c r="F517" s="79">
        <f>COUNTIFS(Matches!$B:$B,A517,Matches!$A:$A,CONCAT("&gt;",$D517),Matches!$A:$A,CONCAT("&lt;",$E517))</f>
        <v>2</v>
      </c>
      <c r="G517" s="79">
        <f>COUNTIFS(Matches!$C:$C,$A517,Matches!$A:$A,CONCAT("&gt;",$D517),Matches!$A:$A,CONCAT("&lt;",$E517))</f>
        <v>3</v>
      </c>
      <c r="H517" s="79">
        <f t="shared" si="1"/>
        <v>5</v>
      </c>
      <c r="I517" s="79">
        <f>COUNTIFS(Matches!$B:$B,$A517,Matches!$A:$A,CONCAT("&lt;",$E517))</f>
        <v>9</v>
      </c>
      <c r="J517" s="79">
        <f>COUNTIFS(Matches!$C:$C,$A517,Matches!$A:$A,CONCAT("&lt;",$E517))</f>
        <v>6</v>
      </c>
      <c r="K517" s="79">
        <f>COUNTIFS(Entropy!D:D,A517,Entropy!I:I,CONCAT("&lt;",E517-1))</f>
        <v>0</v>
      </c>
      <c r="L517" s="79">
        <f t="shared" si="2"/>
        <v>15</v>
      </c>
      <c r="M517" s="79">
        <f t="array" ref="M517">max(min(IF(J517+K517=11,0,XLOOKUP(B517,Quotas!$A$8:$A$14,Quotas!$E$8:$E$14)-$L517),2),0)</f>
        <v>0</v>
      </c>
      <c r="N517" s="31">
        <f t="shared" si="3"/>
        <v>0</v>
      </c>
    </row>
    <row r="518">
      <c r="A518" s="31" t="s">
        <v>306</v>
      </c>
      <c r="B518" s="9">
        <v>3.0</v>
      </c>
      <c r="C518" s="31" t="str">
        <f>VLOOKUP(A518, 'College List'!A:B, 2, FALSE)</f>
        <v>Silverquill</v>
      </c>
      <c r="D518" s="355">
        <f>VLOOKUP(B518,Quotas!$A$8:$C$14,2,FALSE)</f>
        <v>46150.70833</v>
      </c>
      <c r="E518" s="356">
        <f>VLOOKUP(B518,Quotas!$A$8:$C$14,3,FALSE)</f>
        <v>46157.70833</v>
      </c>
      <c r="F518" s="79">
        <f>COUNTIFS(Matches!$B:$B,A518,Matches!$A:$A,CONCAT("&gt;",$D518),Matches!$A:$A,CONCAT("&lt;",$E518))</f>
        <v>4</v>
      </c>
      <c r="G518" s="79">
        <f>COUNTIFS(Matches!$C:$C,$A518,Matches!$A:$A,CONCAT("&gt;",$D518),Matches!$A:$A,CONCAT("&lt;",$E518))</f>
        <v>2</v>
      </c>
      <c r="H518" s="79">
        <f t="shared" si="1"/>
        <v>6</v>
      </c>
      <c r="I518" s="79">
        <f>COUNTIFS(Matches!$B:$B,$A518,Matches!$A:$A,CONCAT("&lt;",$E518))</f>
        <v>9</v>
      </c>
      <c r="J518" s="79">
        <f>COUNTIFS(Matches!$C:$C,$A518,Matches!$A:$A,CONCAT("&lt;",$E518))</f>
        <v>6</v>
      </c>
      <c r="K518" s="79">
        <f>COUNTIFS(Entropy!D:D,A518,Entropy!I:I,CONCAT("&lt;",E518-1))</f>
        <v>0</v>
      </c>
      <c r="L518" s="79">
        <f t="shared" si="2"/>
        <v>15</v>
      </c>
      <c r="M518" s="79">
        <f t="array" ref="M518">max(min(IF(J518+K518=11,0,XLOOKUP(B518,Quotas!$A$8:$A$14,Quotas!$E$8:$E$14)-$L518),2),0)</f>
        <v>0</v>
      </c>
      <c r="N518" s="31">
        <f t="shared" si="3"/>
        <v>0</v>
      </c>
    </row>
    <row r="519">
      <c r="A519" s="9" t="s">
        <v>229</v>
      </c>
      <c r="B519" s="9">
        <v>3.0</v>
      </c>
      <c r="C519" s="31" t="str">
        <f>VLOOKUP(A519, 'College List'!A:B, 2, FALSE)</f>
        <v>Witherbloom</v>
      </c>
      <c r="D519" s="355">
        <f>VLOOKUP(B519,Quotas!$A$8:$C$14,2,FALSE)</f>
        <v>46150.70833</v>
      </c>
      <c r="E519" s="356">
        <f>VLOOKUP(B519,Quotas!$A$8:$C$14,3,FALSE)</f>
        <v>46157.70833</v>
      </c>
      <c r="F519" s="79">
        <f>COUNTIFS(Matches!$B:$B,A519,Matches!$A:$A,CONCAT("&gt;",$D519),Matches!$A:$A,CONCAT("&lt;",$E519))</f>
        <v>5</v>
      </c>
      <c r="G519" s="79">
        <f>COUNTIFS(Matches!$C:$C,$A519,Matches!$A:$A,CONCAT("&gt;",$D519),Matches!$A:$A,CONCAT("&lt;",$E519))</f>
        <v>0</v>
      </c>
      <c r="H519" s="79">
        <f t="shared" si="1"/>
        <v>5</v>
      </c>
      <c r="I519" s="79">
        <f>COUNTIFS(Matches!$B:$B,$A519,Matches!$A:$A,CONCAT("&lt;",$E519))</f>
        <v>10</v>
      </c>
      <c r="J519" s="79">
        <f>COUNTIFS(Matches!$C:$C,$A519,Matches!$A:$A,CONCAT("&lt;",$E519))</f>
        <v>5</v>
      </c>
      <c r="K519" s="79">
        <f>COUNTIFS(Entropy!D:D,A519,Entropy!I:I,CONCAT("&lt;",E519-1))</f>
        <v>0</v>
      </c>
      <c r="L519" s="79">
        <f t="shared" si="2"/>
        <v>15</v>
      </c>
      <c r="M519" s="79">
        <f t="array" ref="M519">max(min(IF(J519+K519=11,0,XLOOKUP(B519,Quotas!$A$8:$A$14,Quotas!$E$8:$E$14)-$L519),2),0)</f>
        <v>0</v>
      </c>
      <c r="N519" s="31">
        <f t="shared" si="3"/>
        <v>0</v>
      </c>
    </row>
    <row r="520">
      <c r="A520" s="31" t="s">
        <v>94</v>
      </c>
      <c r="B520" s="9">
        <v>3.0</v>
      </c>
      <c r="C520" s="31" t="str">
        <f>VLOOKUP(A520, 'College List'!A:B, 2, FALSE)</f>
        <v>Silverquill</v>
      </c>
      <c r="D520" s="355">
        <f>VLOOKUP(B520,Quotas!$A$8:$C$14,2,FALSE)</f>
        <v>46150.70833</v>
      </c>
      <c r="E520" s="356">
        <f>VLOOKUP(B520,Quotas!$A$8:$C$14,3,FALSE)</f>
        <v>46157.70833</v>
      </c>
      <c r="F520" s="79">
        <f>COUNTIFS(Matches!$B:$B,A520,Matches!$A:$A,CONCAT("&gt;",$D520),Matches!$A:$A,CONCAT("&lt;",$E520))</f>
        <v>3</v>
      </c>
      <c r="G520" s="79">
        <f>COUNTIFS(Matches!$C:$C,$A520,Matches!$A:$A,CONCAT("&gt;",$D520),Matches!$A:$A,CONCAT("&lt;",$E520))</f>
        <v>2</v>
      </c>
      <c r="H520" s="79">
        <f t="shared" si="1"/>
        <v>5</v>
      </c>
      <c r="I520" s="79">
        <f>COUNTIFS(Matches!$B:$B,$A520,Matches!$A:$A,CONCAT("&lt;",$E520))</f>
        <v>6</v>
      </c>
      <c r="J520" s="79">
        <f>COUNTIFS(Matches!$C:$C,$A520,Matches!$A:$A,CONCAT("&lt;",$E520))</f>
        <v>9</v>
      </c>
      <c r="K520" s="79">
        <f>COUNTIFS(Entropy!D:D,A520,Entropy!I:I,CONCAT("&lt;",E520-1))</f>
        <v>0</v>
      </c>
      <c r="L520" s="79">
        <f t="shared" si="2"/>
        <v>15</v>
      </c>
      <c r="M520" s="79">
        <f t="array" ref="M520">max(min(IF(J520+K520=11,0,XLOOKUP(B520,Quotas!$A$8:$A$14,Quotas!$E$8:$E$14)-$L520),2),0)</f>
        <v>0</v>
      </c>
      <c r="N520" s="31">
        <f t="shared" si="3"/>
        <v>0</v>
      </c>
    </row>
    <row r="521">
      <c r="A521" s="31" t="s">
        <v>356</v>
      </c>
      <c r="B521" s="9">
        <v>3.0</v>
      </c>
      <c r="C521" s="31" t="str">
        <f>VLOOKUP(A521, 'College List'!A:B, 2, FALSE)</f>
        <v>Prismari</v>
      </c>
      <c r="D521" s="355">
        <f>VLOOKUP(B521,Quotas!$A$8:$C$14,2,FALSE)</f>
        <v>46150.70833</v>
      </c>
      <c r="E521" s="356">
        <f>VLOOKUP(B521,Quotas!$A$8:$C$14,3,FALSE)</f>
        <v>46157.70833</v>
      </c>
      <c r="F521" s="79">
        <f>COUNTIFS(Matches!$B:$B,A521,Matches!$A:$A,CONCAT("&gt;",$D521),Matches!$A:$A,CONCAT("&lt;",$E521))</f>
        <v>1</v>
      </c>
      <c r="G521" s="79">
        <f>COUNTIFS(Matches!$C:$C,$A521,Matches!$A:$A,CONCAT("&gt;",$D521),Matches!$A:$A,CONCAT("&lt;",$E521))</f>
        <v>4</v>
      </c>
      <c r="H521" s="79">
        <f t="shared" si="1"/>
        <v>5</v>
      </c>
      <c r="I521" s="79">
        <f>COUNTIFS(Matches!$B:$B,$A521,Matches!$A:$A,CONCAT("&lt;",$E521))</f>
        <v>9</v>
      </c>
      <c r="J521" s="79">
        <f>COUNTIFS(Matches!$C:$C,$A521,Matches!$A:$A,CONCAT("&lt;",$E521))</f>
        <v>6</v>
      </c>
      <c r="K521" s="79">
        <f>COUNTIFS(Entropy!D:D,A521,Entropy!I:I,CONCAT("&lt;",E521-1))</f>
        <v>0</v>
      </c>
      <c r="L521" s="79">
        <f t="shared" si="2"/>
        <v>15</v>
      </c>
      <c r="M521" s="79">
        <f t="array" ref="M521">max(min(IF(J521+K521=11,0,XLOOKUP(B521,Quotas!$A$8:$A$14,Quotas!$E$8:$E$14)-$L521),2),0)</f>
        <v>0</v>
      </c>
      <c r="N521" s="31">
        <f t="shared" si="3"/>
        <v>0</v>
      </c>
    </row>
    <row r="522">
      <c r="A522" s="31" t="s">
        <v>160</v>
      </c>
      <c r="B522" s="9">
        <v>3.0</v>
      </c>
      <c r="C522" s="31" t="str">
        <f>VLOOKUP(A522, 'College List'!A:B, 2, FALSE)</f>
        <v>Quandrix</v>
      </c>
      <c r="D522" s="355">
        <f>VLOOKUP(B522,Quotas!$A$8:$C$14,2,FALSE)</f>
        <v>46150.70833</v>
      </c>
      <c r="E522" s="356">
        <f>VLOOKUP(B522,Quotas!$A$8:$C$14,3,FALSE)</f>
        <v>46157.70833</v>
      </c>
      <c r="F522" s="79">
        <f>COUNTIFS(Matches!$B:$B,A522,Matches!$A:$A,CONCAT("&gt;",$D522),Matches!$A:$A,CONCAT("&lt;",$E522))</f>
        <v>3</v>
      </c>
      <c r="G522" s="79">
        <f>COUNTIFS(Matches!$C:$C,$A522,Matches!$A:$A,CONCAT("&gt;",$D522),Matches!$A:$A,CONCAT("&lt;",$E522))</f>
        <v>2</v>
      </c>
      <c r="H522" s="79">
        <f t="shared" si="1"/>
        <v>5</v>
      </c>
      <c r="I522" s="79">
        <f>COUNTIFS(Matches!$B:$B,$A522,Matches!$A:$A,CONCAT("&lt;",$E522))</f>
        <v>6</v>
      </c>
      <c r="J522" s="79">
        <f>COUNTIFS(Matches!$C:$C,$A522,Matches!$A:$A,CONCAT("&lt;",$E522))</f>
        <v>9</v>
      </c>
      <c r="K522" s="79">
        <f>COUNTIFS(Entropy!D:D,A522,Entropy!I:I,CONCAT("&lt;",E522-1))</f>
        <v>0</v>
      </c>
      <c r="L522" s="79">
        <f t="shared" si="2"/>
        <v>15</v>
      </c>
      <c r="M522" s="79">
        <f t="array" ref="M522">max(min(IF(J522+K522=11,0,XLOOKUP(B522,Quotas!$A$8:$A$14,Quotas!$E$8:$E$14)-$L522),2),0)</f>
        <v>0</v>
      </c>
      <c r="N522" s="31">
        <f t="shared" si="3"/>
        <v>0</v>
      </c>
    </row>
    <row r="523">
      <c r="A523" s="31" t="s">
        <v>180</v>
      </c>
      <c r="B523" s="9">
        <v>3.0</v>
      </c>
      <c r="C523" s="31" t="str">
        <f>VLOOKUP(A523, 'College List'!A:B, 2, FALSE)</f>
        <v>Silverquill</v>
      </c>
      <c r="D523" s="355">
        <f>VLOOKUP(B523,Quotas!$A$8:$C$14,2,FALSE)</f>
        <v>46150.70833</v>
      </c>
      <c r="E523" s="356">
        <f>VLOOKUP(B523,Quotas!$A$8:$C$14,3,FALSE)</f>
        <v>46157.70833</v>
      </c>
      <c r="F523" s="79">
        <f>COUNTIFS(Matches!$B:$B,A523,Matches!$A:$A,CONCAT("&gt;",$D523),Matches!$A:$A,CONCAT("&lt;",$E523))</f>
        <v>1</v>
      </c>
      <c r="G523" s="79">
        <f>COUNTIFS(Matches!$C:$C,$A523,Matches!$A:$A,CONCAT("&gt;",$D523),Matches!$A:$A,CONCAT("&lt;",$E523))</f>
        <v>2</v>
      </c>
      <c r="H523" s="79">
        <f t="shared" si="1"/>
        <v>3</v>
      </c>
      <c r="I523" s="79">
        <f>COUNTIFS(Matches!$B:$B,$A523,Matches!$A:$A,CONCAT("&lt;",$E523))</f>
        <v>6</v>
      </c>
      <c r="J523" s="79">
        <f>COUNTIFS(Matches!$C:$C,$A523,Matches!$A:$A,CONCAT("&lt;",$E523))</f>
        <v>5</v>
      </c>
      <c r="K523" s="79">
        <f>COUNTIFS(Entropy!D:D,A523,Entropy!I:I,CONCAT("&lt;",E523-1))</f>
        <v>0</v>
      </c>
      <c r="L523" s="79">
        <f t="shared" si="2"/>
        <v>11</v>
      </c>
      <c r="M523" s="79">
        <f t="array" ref="M523">max(min(IF(J523+K523=11,0,XLOOKUP(B523,Quotas!$A$8:$A$14,Quotas!$E$8:$E$14)-$L523),2),0)</f>
        <v>2</v>
      </c>
      <c r="N523" s="31">
        <f t="shared" si="3"/>
        <v>1</v>
      </c>
    </row>
    <row r="524">
      <c r="A524" s="31" t="s">
        <v>89</v>
      </c>
      <c r="B524" s="9">
        <v>3.0</v>
      </c>
      <c r="C524" s="31" t="str">
        <f>VLOOKUP(A524, 'College List'!A:B, 2, FALSE)</f>
        <v>Quandrix</v>
      </c>
      <c r="D524" s="355">
        <f>VLOOKUP(B524,Quotas!$A$8:$C$14,2,FALSE)</f>
        <v>46150.70833</v>
      </c>
      <c r="E524" s="356">
        <f>VLOOKUP(B524,Quotas!$A$8:$C$14,3,FALSE)</f>
        <v>46157.70833</v>
      </c>
      <c r="F524" s="79">
        <f>COUNTIFS(Matches!$B:$B,A524,Matches!$A:$A,CONCAT("&gt;",$D524),Matches!$A:$A,CONCAT("&lt;",$E524))</f>
        <v>3</v>
      </c>
      <c r="G524" s="79">
        <f>COUNTIFS(Matches!$C:$C,$A524,Matches!$A:$A,CONCAT("&gt;",$D524),Matches!$A:$A,CONCAT("&lt;",$E524))</f>
        <v>2</v>
      </c>
      <c r="H524" s="79">
        <f t="shared" si="1"/>
        <v>5</v>
      </c>
      <c r="I524" s="79">
        <f>COUNTIFS(Matches!$B:$B,$A524,Matches!$A:$A,CONCAT("&lt;",$E524))</f>
        <v>9</v>
      </c>
      <c r="J524" s="79">
        <f>COUNTIFS(Matches!$C:$C,$A524,Matches!$A:$A,CONCAT("&lt;",$E524))</f>
        <v>6</v>
      </c>
      <c r="K524" s="79">
        <f>COUNTIFS(Entropy!D:D,A524,Entropy!I:I,CONCAT("&lt;",E524-1))</f>
        <v>0</v>
      </c>
      <c r="L524" s="79">
        <f t="shared" si="2"/>
        <v>15</v>
      </c>
      <c r="M524" s="79">
        <f t="array" ref="M524">max(min(IF(J524+K524=11,0,XLOOKUP(B524,Quotas!$A$8:$A$14,Quotas!$E$8:$E$14)-$L524),2),0)</f>
        <v>0</v>
      </c>
      <c r="N524" s="31">
        <f t="shared" si="3"/>
        <v>0</v>
      </c>
    </row>
    <row r="525">
      <c r="A525" s="31" t="s">
        <v>231</v>
      </c>
      <c r="B525" s="9">
        <v>3.0</v>
      </c>
      <c r="C525" s="31" t="str">
        <f>VLOOKUP(A525, 'College List'!A:B, 2, FALSE)</f>
        <v>Quandrix</v>
      </c>
      <c r="D525" s="355">
        <f>VLOOKUP(B525,Quotas!$A$8:$C$14,2,FALSE)</f>
        <v>46150.70833</v>
      </c>
      <c r="E525" s="356">
        <f>VLOOKUP(B525,Quotas!$A$8:$C$14,3,FALSE)</f>
        <v>46157.70833</v>
      </c>
      <c r="F525" s="79">
        <f>COUNTIFS(Matches!$B:$B,A525,Matches!$A:$A,CONCAT("&gt;",$D525),Matches!$A:$A,CONCAT("&lt;",$E525))</f>
        <v>4</v>
      </c>
      <c r="G525" s="79">
        <f>COUNTIFS(Matches!$C:$C,$A525,Matches!$A:$A,CONCAT("&gt;",$D525),Matches!$A:$A,CONCAT("&lt;",$E525))</f>
        <v>1</v>
      </c>
      <c r="H525" s="79">
        <f t="shared" si="1"/>
        <v>5</v>
      </c>
      <c r="I525" s="79">
        <f>COUNTIFS(Matches!$B:$B,$A525,Matches!$A:$A,CONCAT("&lt;",$E525))</f>
        <v>8</v>
      </c>
      <c r="J525" s="79">
        <f>COUNTIFS(Matches!$C:$C,$A525,Matches!$A:$A,CONCAT("&lt;",$E525))</f>
        <v>7</v>
      </c>
      <c r="K525" s="79">
        <f>COUNTIFS(Entropy!D:D,A525,Entropy!I:I,CONCAT("&lt;",E525-1))</f>
        <v>0</v>
      </c>
      <c r="L525" s="79">
        <f t="shared" si="2"/>
        <v>15</v>
      </c>
      <c r="M525" s="79">
        <f t="array" ref="M525">max(min(IF(J525+K525=11,0,XLOOKUP(B525,Quotas!$A$8:$A$14,Quotas!$E$8:$E$14)-$L525),2),0)</f>
        <v>0</v>
      </c>
      <c r="N525" s="31">
        <f t="shared" si="3"/>
        <v>0</v>
      </c>
    </row>
    <row r="526">
      <c r="A526" s="31" t="s">
        <v>314</v>
      </c>
      <c r="B526" s="9">
        <v>3.0</v>
      </c>
      <c r="C526" s="31" t="str">
        <f>VLOOKUP(A526, 'College List'!A:B, 2, FALSE)</f>
        <v>Lorehold</v>
      </c>
      <c r="D526" s="355">
        <f>VLOOKUP(B526,Quotas!$A$8:$C$14,2,FALSE)</f>
        <v>46150.70833</v>
      </c>
      <c r="E526" s="356">
        <f>VLOOKUP(B526,Quotas!$A$8:$C$14,3,FALSE)</f>
        <v>46157.70833</v>
      </c>
      <c r="F526" s="79">
        <f>COUNTIFS(Matches!$B:$B,A526,Matches!$A:$A,CONCAT("&gt;",$D526),Matches!$A:$A,CONCAT("&lt;",$E526))</f>
        <v>0</v>
      </c>
      <c r="G526" s="79">
        <f>COUNTIFS(Matches!$C:$C,$A526,Matches!$A:$A,CONCAT("&gt;",$D526),Matches!$A:$A,CONCAT("&lt;",$E526))</f>
        <v>3</v>
      </c>
      <c r="H526" s="79">
        <f t="shared" si="1"/>
        <v>3</v>
      </c>
      <c r="I526" s="79">
        <f>COUNTIFS(Matches!$B:$B,$A526,Matches!$A:$A,CONCAT("&lt;",$E526))</f>
        <v>4</v>
      </c>
      <c r="J526" s="79">
        <f>COUNTIFS(Matches!$C:$C,$A526,Matches!$A:$A,CONCAT("&lt;",$E526))</f>
        <v>9</v>
      </c>
      <c r="K526" s="79">
        <f>COUNTIFS(Entropy!D:D,A526,Entropy!I:I,CONCAT("&lt;",E526-1))</f>
        <v>0</v>
      </c>
      <c r="L526" s="79">
        <f t="shared" si="2"/>
        <v>13</v>
      </c>
      <c r="M526" s="79">
        <f t="array" ref="M526">max(min(IF(J526+K526=11,0,XLOOKUP(B526,Quotas!$A$8:$A$14,Quotas!$E$8:$E$14)-$L526),2),0)</f>
        <v>2</v>
      </c>
      <c r="N526" s="31">
        <f t="shared" si="3"/>
        <v>1</v>
      </c>
    </row>
    <row r="527">
      <c r="A527" s="31" t="s">
        <v>190</v>
      </c>
      <c r="B527" s="9">
        <v>3.0</v>
      </c>
      <c r="C527" s="31" t="str">
        <f>VLOOKUP(A527, 'College List'!A:B, 2, FALSE)</f>
        <v>Silverquill</v>
      </c>
      <c r="D527" s="355">
        <f>VLOOKUP(B527,Quotas!$A$8:$C$14,2,FALSE)</f>
        <v>46150.70833</v>
      </c>
      <c r="E527" s="356">
        <f>VLOOKUP(B527,Quotas!$A$8:$C$14,3,FALSE)</f>
        <v>46157.70833</v>
      </c>
      <c r="F527" s="79">
        <f>COUNTIFS(Matches!$B:$B,A527,Matches!$A:$A,CONCAT("&gt;",$D527),Matches!$A:$A,CONCAT("&lt;",$E527))</f>
        <v>1</v>
      </c>
      <c r="G527" s="79">
        <f>COUNTIFS(Matches!$C:$C,$A527,Matches!$A:$A,CONCAT("&gt;",$D527),Matches!$A:$A,CONCAT("&lt;",$E527))</f>
        <v>3</v>
      </c>
      <c r="H527" s="79">
        <f t="shared" si="1"/>
        <v>4</v>
      </c>
      <c r="I527" s="79">
        <f>COUNTIFS(Matches!$B:$B,$A527,Matches!$A:$A,CONCAT("&lt;",$E527))</f>
        <v>6</v>
      </c>
      <c r="J527" s="79">
        <f>COUNTIFS(Matches!$C:$C,$A527,Matches!$A:$A,CONCAT("&lt;",$E527))</f>
        <v>8</v>
      </c>
      <c r="K527" s="79">
        <f>COUNTIFS(Entropy!D:D,A527,Entropy!I:I,CONCAT("&lt;",E527-1))</f>
        <v>0</v>
      </c>
      <c r="L527" s="79">
        <f t="shared" si="2"/>
        <v>14</v>
      </c>
      <c r="M527" s="79">
        <f t="array" ref="M527">max(min(IF(J527+K527=11,0,XLOOKUP(B527,Quotas!$A$8:$A$14,Quotas!$E$8:$E$14)-$L527),2),0)</f>
        <v>1</v>
      </c>
      <c r="N527" s="31">
        <f t="shared" si="3"/>
        <v>0.5</v>
      </c>
    </row>
    <row r="528">
      <c r="A528" s="31" t="s">
        <v>84</v>
      </c>
      <c r="B528" s="9">
        <v>3.0</v>
      </c>
      <c r="C528" s="31" t="str">
        <f>VLOOKUP(A528, 'College List'!A:B, 2, FALSE)</f>
        <v>Witherbloom</v>
      </c>
      <c r="D528" s="355">
        <f>VLOOKUP(B528,Quotas!$A$8:$C$14,2,FALSE)</f>
        <v>46150.70833</v>
      </c>
      <c r="E528" s="356">
        <f>VLOOKUP(B528,Quotas!$A$8:$C$14,3,FALSE)</f>
        <v>46157.70833</v>
      </c>
      <c r="F528" s="79">
        <f>COUNTIFS(Matches!$B:$B,A528,Matches!$A:$A,CONCAT("&gt;",$D528),Matches!$A:$A,CONCAT("&lt;",$E528))</f>
        <v>4</v>
      </c>
      <c r="G528" s="79">
        <f>COUNTIFS(Matches!$C:$C,$A528,Matches!$A:$A,CONCAT("&gt;",$D528),Matches!$A:$A,CONCAT("&lt;",$E528))</f>
        <v>1</v>
      </c>
      <c r="H528" s="79">
        <f t="shared" si="1"/>
        <v>5</v>
      </c>
      <c r="I528" s="79">
        <f>COUNTIFS(Matches!$B:$B,$A528,Matches!$A:$A,CONCAT("&lt;",$E528))</f>
        <v>10</v>
      </c>
      <c r="J528" s="79">
        <f>COUNTIFS(Matches!$C:$C,$A528,Matches!$A:$A,CONCAT("&lt;",$E528))</f>
        <v>5</v>
      </c>
      <c r="K528" s="79">
        <f>COUNTIFS(Entropy!D:D,A528,Entropy!I:I,CONCAT("&lt;",E528-1))</f>
        <v>0</v>
      </c>
      <c r="L528" s="79">
        <f t="shared" si="2"/>
        <v>15</v>
      </c>
      <c r="M528" s="79">
        <f t="array" ref="M528">max(min(IF(J528+K528=11,0,XLOOKUP(B528,Quotas!$A$8:$A$14,Quotas!$E$8:$E$14)-$L528),2),0)</f>
        <v>0</v>
      </c>
      <c r="N528" s="31">
        <f t="shared" si="3"/>
        <v>0</v>
      </c>
    </row>
    <row r="529">
      <c r="A529" s="31" t="s">
        <v>298</v>
      </c>
      <c r="B529" s="9">
        <v>3.0</v>
      </c>
      <c r="C529" s="31" t="str">
        <f>VLOOKUP(A529, 'College List'!A:B, 2, FALSE)</f>
        <v>Quandrix</v>
      </c>
      <c r="D529" s="355">
        <f>VLOOKUP(B529,Quotas!$A$8:$C$14,2,FALSE)</f>
        <v>46150.70833</v>
      </c>
      <c r="E529" s="356">
        <f>VLOOKUP(B529,Quotas!$A$8:$C$14,3,FALSE)</f>
        <v>46157.70833</v>
      </c>
      <c r="F529" s="79">
        <f>COUNTIFS(Matches!$B:$B,A529,Matches!$A:$A,CONCAT("&gt;",$D529),Matches!$A:$A,CONCAT("&lt;",$E529))</f>
        <v>3</v>
      </c>
      <c r="G529" s="79">
        <f>COUNTIFS(Matches!$C:$C,$A529,Matches!$A:$A,CONCAT("&gt;",$D529),Matches!$A:$A,CONCAT("&lt;",$E529))</f>
        <v>2</v>
      </c>
      <c r="H529" s="79">
        <f t="shared" si="1"/>
        <v>5</v>
      </c>
      <c r="I529" s="79">
        <f>COUNTIFS(Matches!$B:$B,$A529,Matches!$A:$A,CONCAT("&lt;",$E529))</f>
        <v>8</v>
      </c>
      <c r="J529" s="79">
        <f>COUNTIFS(Matches!$C:$C,$A529,Matches!$A:$A,CONCAT("&lt;",$E529))</f>
        <v>7</v>
      </c>
      <c r="K529" s="79">
        <f>COUNTIFS(Entropy!D:D,A529,Entropy!I:I,CONCAT("&lt;",E529-1))</f>
        <v>0</v>
      </c>
      <c r="L529" s="79">
        <f t="shared" si="2"/>
        <v>15</v>
      </c>
      <c r="M529" s="79">
        <f t="array" ref="M529">max(min(IF(J529+K529=11,0,XLOOKUP(B529,Quotas!$A$8:$A$14,Quotas!$E$8:$E$14)-$L529),2),0)</f>
        <v>0</v>
      </c>
      <c r="N529" s="31">
        <f t="shared" si="3"/>
        <v>0</v>
      </c>
    </row>
    <row r="530">
      <c r="A530" s="31" t="s">
        <v>424</v>
      </c>
      <c r="B530" s="9">
        <v>3.0</v>
      </c>
      <c r="C530" s="31" t="str">
        <f>VLOOKUP(A530, 'College List'!A:B, 2, FALSE)</f>
        <v>Lorehold</v>
      </c>
      <c r="D530" s="355">
        <f>VLOOKUP(B530,Quotas!$A$8:$C$14,2,FALSE)</f>
        <v>46150.70833</v>
      </c>
      <c r="E530" s="356">
        <f>VLOOKUP(B530,Quotas!$A$8:$C$14,3,FALSE)</f>
        <v>46157.70833</v>
      </c>
      <c r="F530" s="79">
        <f>COUNTIFS(Matches!$B:$B,A530,Matches!$A:$A,CONCAT("&gt;",$D530),Matches!$A:$A,CONCAT("&lt;",$E530))</f>
        <v>4</v>
      </c>
      <c r="G530" s="79">
        <f>COUNTIFS(Matches!$C:$C,$A530,Matches!$A:$A,CONCAT("&gt;",$D530),Matches!$A:$A,CONCAT("&lt;",$E530))</f>
        <v>5</v>
      </c>
      <c r="H530" s="79">
        <f t="shared" si="1"/>
        <v>9</v>
      </c>
      <c r="I530" s="79">
        <f>COUNTIFS(Matches!$B:$B,$A530,Matches!$A:$A,CONCAT("&lt;",$E530))</f>
        <v>6</v>
      </c>
      <c r="J530" s="79">
        <f>COUNTIFS(Matches!$C:$C,$A530,Matches!$A:$A,CONCAT("&lt;",$E530))</f>
        <v>9</v>
      </c>
      <c r="K530" s="79">
        <f>COUNTIFS(Entropy!D:D,A530,Entropy!I:I,CONCAT("&lt;",E530-1))</f>
        <v>0</v>
      </c>
      <c r="L530" s="79">
        <f t="shared" si="2"/>
        <v>15</v>
      </c>
      <c r="M530" s="79">
        <f t="array" ref="M530">max(min(IF(J530+K530=11,0,XLOOKUP(B530,Quotas!$A$8:$A$14,Quotas!$E$8:$E$14)-$L530),2),0)</f>
        <v>0</v>
      </c>
      <c r="N530" s="31">
        <f t="shared" si="3"/>
        <v>0</v>
      </c>
    </row>
    <row r="531">
      <c r="A531" s="31" t="s">
        <v>100</v>
      </c>
      <c r="B531" s="9">
        <v>3.0</v>
      </c>
      <c r="C531" s="31" t="str">
        <f>VLOOKUP(A531, 'College List'!A:B, 2, FALSE)</f>
        <v>Witherbloom</v>
      </c>
      <c r="D531" s="355">
        <f>VLOOKUP(B531,Quotas!$A$8:$C$14,2,FALSE)</f>
        <v>46150.70833</v>
      </c>
      <c r="E531" s="356">
        <f>VLOOKUP(B531,Quotas!$A$8:$C$14,3,FALSE)</f>
        <v>46157.70833</v>
      </c>
      <c r="F531" s="79">
        <f>COUNTIFS(Matches!$B:$B,A531,Matches!$A:$A,CONCAT("&gt;",$D531),Matches!$A:$A,CONCAT("&lt;",$E531))</f>
        <v>3</v>
      </c>
      <c r="G531" s="79">
        <f>COUNTIFS(Matches!$C:$C,$A531,Matches!$A:$A,CONCAT("&gt;",$D531),Matches!$A:$A,CONCAT("&lt;",$E531))</f>
        <v>2</v>
      </c>
      <c r="H531" s="79">
        <f t="shared" si="1"/>
        <v>5</v>
      </c>
      <c r="I531" s="79">
        <f>COUNTIFS(Matches!$B:$B,$A531,Matches!$A:$A,CONCAT("&lt;",$E531))</f>
        <v>5</v>
      </c>
      <c r="J531" s="79">
        <f>COUNTIFS(Matches!$C:$C,$A531,Matches!$A:$A,CONCAT("&lt;",$E531))</f>
        <v>10</v>
      </c>
      <c r="K531" s="79">
        <f>COUNTIFS(Entropy!D:D,A531,Entropy!I:I,CONCAT("&lt;",E531-1))</f>
        <v>0</v>
      </c>
      <c r="L531" s="79">
        <f t="shared" si="2"/>
        <v>15</v>
      </c>
      <c r="M531" s="79">
        <f t="array" ref="M531">max(min(IF(J531+K531=11,0,XLOOKUP(B531,Quotas!$A$8:$A$14,Quotas!$E$8:$E$14)-$L531),2),0)</f>
        <v>0</v>
      </c>
      <c r="N531" s="31">
        <f t="shared" si="3"/>
        <v>0</v>
      </c>
    </row>
    <row r="532">
      <c r="A532" s="31" t="s">
        <v>64</v>
      </c>
      <c r="B532" s="9">
        <v>3.0</v>
      </c>
      <c r="C532" s="31" t="str">
        <f>VLOOKUP(A532, 'College List'!A:B, 2, FALSE)</f>
        <v>Prismari</v>
      </c>
      <c r="D532" s="355">
        <f>VLOOKUP(B532,Quotas!$A$8:$C$14,2,FALSE)</f>
        <v>46150.70833</v>
      </c>
      <c r="E532" s="356">
        <f>VLOOKUP(B532,Quotas!$A$8:$C$14,3,FALSE)</f>
        <v>46157.70833</v>
      </c>
      <c r="F532" s="79">
        <f>COUNTIFS(Matches!$B:$B,A532,Matches!$A:$A,CONCAT("&gt;",$D532),Matches!$A:$A,CONCAT("&lt;",$E532))</f>
        <v>2</v>
      </c>
      <c r="G532" s="79">
        <f>COUNTIFS(Matches!$C:$C,$A532,Matches!$A:$A,CONCAT("&gt;",$D532),Matches!$A:$A,CONCAT("&lt;",$E532))</f>
        <v>1</v>
      </c>
      <c r="H532" s="79">
        <f t="shared" si="1"/>
        <v>3</v>
      </c>
      <c r="I532" s="79">
        <f>COUNTIFS(Matches!$B:$B,$A532,Matches!$A:$A,CONCAT("&lt;",$E532))</f>
        <v>8</v>
      </c>
      <c r="J532" s="79">
        <f>COUNTIFS(Matches!$C:$C,$A532,Matches!$A:$A,CONCAT("&lt;",$E532))</f>
        <v>5</v>
      </c>
      <c r="K532" s="79">
        <f>COUNTIFS(Entropy!D:D,A532,Entropy!I:I,CONCAT("&lt;",E532-1))</f>
        <v>0</v>
      </c>
      <c r="L532" s="79">
        <f t="shared" si="2"/>
        <v>13</v>
      </c>
      <c r="M532" s="79">
        <f t="array" ref="M532">max(min(IF(J532+K532=11,0,XLOOKUP(B532,Quotas!$A$8:$A$14,Quotas!$E$8:$E$14)-$L532),2),0)</f>
        <v>2</v>
      </c>
      <c r="N532" s="31">
        <f t="shared" si="3"/>
        <v>1</v>
      </c>
    </row>
    <row r="533">
      <c r="A533" s="31" t="s">
        <v>186</v>
      </c>
      <c r="B533" s="9">
        <v>3.0</v>
      </c>
      <c r="C533" s="31" t="str">
        <f>VLOOKUP(A533, 'College List'!A:B, 2, FALSE)</f>
        <v>Witherbloom</v>
      </c>
      <c r="D533" s="355">
        <f>VLOOKUP(B533,Quotas!$A$8:$C$14,2,FALSE)</f>
        <v>46150.70833</v>
      </c>
      <c r="E533" s="356">
        <f>VLOOKUP(B533,Quotas!$A$8:$C$14,3,FALSE)</f>
        <v>46157.70833</v>
      </c>
      <c r="F533" s="79">
        <f>COUNTIFS(Matches!$B:$B,A533,Matches!$A:$A,CONCAT("&gt;",$D533),Matches!$A:$A,CONCAT("&lt;",$E533))</f>
        <v>2</v>
      </c>
      <c r="G533" s="79">
        <f>COUNTIFS(Matches!$C:$C,$A533,Matches!$A:$A,CONCAT("&gt;",$D533),Matches!$A:$A,CONCAT("&lt;",$E533))</f>
        <v>3</v>
      </c>
      <c r="H533" s="79">
        <f t="shared" si="1"/>
        <v>5</v>
      </c>
      <c r="I533" s="79">
        <f>COUNTIFS(Matches!$B:$B,$A533,Matches!$A:$A,CONCAT("&lt;",$E533))</f>
        <v>6</v>
      </c>
      <c r="J533" s="79">
        <f>COUNTIFS(Matches!$C:$C,$A533,Matches!$A:$A,CONCAT("&lt;",$E533))</f>
        <v>9</v>
      </c>
      <c r="K533" s="79">
        <f>COUNTIFS(Entropy!D:D,A533,Entropy!I:I,CONCAT("&lt;",E533-1))</f>
        <v>0</v>
      </c>
      <c r="L533" s="79">
        <f t="shared" si="2"/>
        <v>15</v>
      </c>
      <c r="M533" s="79">
        <f t="array" ref="M533">max(min(IF(J533+K533=11,0,XLOOKUP(B533,Quotas!$A$8:$A$14,Quotas!$E$8:$E$14)-$L533),2),0)</f>
        <v>0</v>
      </c>
      <c r="N533" s="31">
        <f t="shared" si="3"/>
        <v>0</v>
      </c>
    </row>
    <row r="534">
      <c r="A534" s="31" t="s">
        <v>75</v>
      </c>
      <c r="B534" s="9">
        <v>3.0</v>
      </c>
      <c r="C534" s="31" t="str">
        <f>VLOOKUP(A534, 'College List'!A:B, 2, FALSE)</f>
        <v>Silverquill</v>
      </c>
      <c r="D534" s="355">
        <f>VLOOKUP(B534,Quotas!$A$8:$C$14,2,FALSE)</f>
        <v>46150.70833</v>
      </c>
      <c r="E534" s="356">
        <f>VLOOKUP(B534,Quotas!$A$8:$C$14,3,FALSE)</f>
        <v>46157.70833</v>
      </c>
      <c r="F534" s="79">
        <f>COUNTIFS(Matches!$B:$B,A534,Matches!$A:$A,CONCAT("&gt;",$D534),Matches!$A:$A,CONCAT("&lt;",$E534))</f>
        <v>0</v>
      </c>
      <c r="G534" s="79">
        <f>COUNTIFS(Matches!$C:$C,$A534,Matches!$A:$A,CONCAT("&gt;",$D534),Matches!$A:$A,CONCAT("&lt;",$E534))</f>
        <v>2</v>
      </c>
      <c r="H534" s="79">
        <f t="shared" si="1"/>
        <v>2</v>
      </c>
      <c r="I534" s="79">
        <f>COUNTIFS(Matches!$B:$B,$A534,Matches!$A:$A,CONCAT("&lt;",$E534))</f>
        <v>1</v>
      </c>
      <c r="J534" s="79">
        <f>COUNTIFS(Matches!$C:$C,$A534,Matches!$A:$A,CONCAT("&lt;",$E534))</f>
        <v>11</v>
      </c>
      <c r="K534" s="79">
        <f>COUNTIFS(Entropy!D:D,A534,Entropy!I:I,CONCAT("&lt;",E534-1))</f>
        <v>0</v>
      </c>
      <c r="L534" s="79">
        <f t="shared" si="2"/>
        <v>12</v>
      </c>
      <c r="M534" s="79">
        <f t="array" ref="M534">max(min(IF(J534+K534=11,0,XLOOKUP(B534,Quotas!$A$8:$A$14,Quotas!$E$8:$E$14)-$L534),2),0)</f>
        <v>0</v>
      </c>
      <c r="N534" s="31">
        <f t="shared" si="3"/>
        <v>0</v>
      </c>
    </row>
    <row r="535">
      <c r="A535" s="31" t="s">
        <v>187</v>
      </c>
      <c r="B535" s="9">
        <v>3.0</v>
      </c>
      <c r="C535" s="31" t="str">
        <f>VLOOKUP(A535, 'College List'!A:B, 2, FALSE)</f>
        <v>Quandrix</v>
      </c>
      <c r="D535" s="355">
        <f>VLOOKUP(B535,Quotas!$A$8:$C$14,2,FALSE)</f>
        <v>46150.70833</v>
      </c>
      <c r="E535" s="356">
        <f>VLOOKUP(B535,Quotas!$A$8:$C$14,3,FALSE)</f>
        <v>46157.70833</v>
      </c>
      <c r="F535" s="79">
        <f>COUNTIFS(Matches!$B:$B,A535,Matches!$A:$A,CONCAT("&gt;",$D535),Matches!$A:$A,CONCAT("&lt;",$E535))</f>
        <v>2</v>
      </c>
      <c r="G535" s="79">
        <f>COUNTIFS(Matches!$C:$C,$A535,Matches!$A:$A,CONCAT("&gt;",$D535),Matches!$A:$A,CONCAT("&lt;",$E535))</f>
        <v>3</v>
      </c>
      <c r="H535" s="79">
        <f t="shared" si="1"/>
        <v>5</v>
      </c>
      <c r="I535" s="79">
        <f>COUNTIFS(Matches!$B:$B,$A535,Matches!$A:$A,CONCAT("&lt;",$E535))</f>
        <v>10</v>
      </c>
      <c r="J535" s="79">
        <f>COUNTIFS(Matches!$C:$C,$A535,Matches!$A:$A,CONCAT("&lt;",$E535))</f>
        <v>5</v>
      </c>
      <c r="K535" s="79">
        <f>COUNTIFS(Entropy!D:D,A535,Entropy!I:I,CONCAT("&lt;",E535-1))</f>
        <v>0</v>
      </c>
      <c r="L535" s="79">
        <f t="shared" si="2"/>
        <v>15</v>
      </c>
      <c r="M535" s="79">
        <f t="array" ref="M535">max(min(IF(J535+K535=11,0,XLOOKUP(B535,Quotas!$A$8:$A$14,Quotas!$E$8:$E$14)-$L535),2),0)</f>
        <v>0</v>
      </c>
      <c r="N535" s="31">
        <f t="shared" si="3"/>
        <v>0</v>
      </c>
    </row>
    <row r="536">
      <c r="A536" s="31" t="s">
        <v>83</v>
      </c>
      <c r="B536" s="9">
        <v>3.0</v>
      </c>
      <c r="C536" s="31" t="str">
        <f>VLOOKUP(A536, 'College List'!A:B, 2, FALSE)</f>
        <v>Prismari</v>
      </c>
      <c r="D536" s="355">
        <f>VLOOKUP(B536,Quotas!$A$8:$C$14,2,FALSE)</f>
        <v>46150.70833</v>
      </c>
      <c r="E536" s="356">
        <f>VLOOKUP(B536,Quotas!$A$8:$C$14,3,FALSE)</f>
        <v>46157.70833</v>
      </c>
      <c r="F536" s="79">
        <f>COUNTIFS(Matches!$B:$B,A536,Matches!$A:$A,CONCAT("&gt;",$D536),Matches!$A:$A,CONCAT("&lt;",$E536))</f>
        <v>3</v>
      </c>
      <c r="G536" s="79">
        <f>COUNTIFS(Matches!$C:$C,$A536,Matches!$A:$A,CONCAT("&gt;",$D536),Matches!$A:$A,CONCAT("&lt;",$E536))</f>
        <v>2</v>
      </c>
      <c r="H536" s="79">
        <f t="shared" si="1"/>
        <v>5</v>
      </c>
      <c r="I536" s="79">
        <f>COUNTIFS(Matches!$B:$B,$A536,Matches!$A:$A,CONCAT("&lt;",$E536))</f>
        <v>6</v>
      </c>
      <c r="J536" s="79">
        <f>COUNTIFS(Matches!$C:$C,$A536,Matches!$A:$A,CONCAT("&lt;",$E536))</f>
        <v>9</v>
      </c>
      <c r="K536" s="79">
        <f>COUNTIFS(Entropy!D:D,A536,Entropy!I:I,CONCAT("&lt;",E536-1))</f>
        <v>0</v>
      </c>
      <c r="L536" s="79">
        <f t="shared" si="2"/>
        <v>15</v>
      </c>
      <c r="M536" s="79">
        <f t="array" ref="M536">max(min(IF(J536+K536=11,0,XLOOKUP(B536,Quotas!$A$8:$A$14,Quotas!$E$8:$E$14)-$L536),2),0)</f>
        <v>0</v>
      </c>
      <c r="N536" s="31">
        <f t="shared" si="3"/>
        <v>0</v>
      </c>
    </row>
    <row r="537">
      <c r="A537" s="31" t="s">
        <v>322</v>
      </c>
      <c r="B537" s="9">
        <v>3.0</v>
      </c>
      <c r="C537" s="31" t="str">
        <f>VLOOKUP(A537, 'College List'!A:B, 2, FALSE)</f>
        <v>Prismari</v>
      </c>
      <c r="D537" s="355">
        <f>VLOOKUP(B537,Quotas!$A$8:$C$14,2,FALSE)</f>
        <v>46150.70833</v>
      </c>
      <c r="E537" s="356">
        <f>VLOOKUP(B537,Quotas!$A$8:$C$14,3,FALSE)</f>
        <v>46157.70833</v>
      </c>
      <c r="F537" s="79">
        <f>COUNTIFS(Matches!$B:$B,A537,Matches!$A:$A,CONCAT("&gt;",$D537),Matches!$A:$A,CONCAT("&lt;",$E537))</f>
        <v>5</v>
      </c>
      <c r="G537" s="79">
        <f>COUNTIFS(Matches!$C:$C,$A537,Matches!$A:$A,CONCAT("&gt;",$D537),Matches!$A:$A,CONCAT("&lt;",$E537))</f>
        <v>1</v>
      </c>
      <c r="H537" s="79">
        <f t="shared" si="1"/>
        <v>6</v>
      </c>
      <c r="I537" s="79">
        <f>COUNTIFS(Matches!$B:$B,$A537,Matches!$A:$A,CONCAT("&lt;",$E537))</f>
        <v>10</v>
      </c>
      <c r="J537" s="79">
        <f>COUNTIFS(Matches!$C:$C,$A537,Matches!$A:$A,CONCAT("&lt;",$E537))</f>
        <v>5</v>
      </c>
      <c r="K537" s="79">
        <f>COUNTIFS(Entropy!D:D,A537,Entropy!I:I,CONCAT("&lt;",E537-1))</f>
        <v>0</v>
      </c>
      <c r="L537" s="79">
        <f t="shared" si="2"/>
        <v>15</v>
      </c>
      <c r="M537" s="79">
        <f t="array" ref="M537">max(min(IF(J537+K537=11,0,XLOOKUP(B537,Quotas!$A$8:$A$14,Quotas!$E$8:$E$14)-$L537),2),0)</f>
        <v>0</v>
      </c>
      <c r="N537" s="31">
        <f t="shared" si="3"/>
        <v>0</v>
      </c>
    </row>
    <row r="538">
      <c r="A538" s="31" t="s">
        <v>393</v>
      </c>
      <c r="B538" s="9">
        <v>3.0</v>
      </c>
      <c r="C538" s="31" t="str">
        <f>VLOOKUP(A538, 'College List'!A:B, 2, FALSE)</f>
        <v>Witherbloom</v>
      </c>
      <c r="D538" s="355">
        <f>VLOOKUP(B538,Quotas!$A$8:$C$14,2,FALSE)</f>
        <v>46150.70833</v>
      </c>
      <c r="E538" s="356">
        <f>VLOOKUP(B538,Quotas!$A$8:$C$14,3,FALSE)</f>
        <v>46157.70833</v>
      </c>
      <c r="F538" s="79">
        <f>COUNTIFS(Matches!$B:$B,A538,Matches!$A:$A,CONCAT("&gt;",$D538),Matches!$A:$A,CONCAT("&lt;",$E538))</f>
        <v>5</v>
      </c>
      <c r="G538" s="79">
        <f>COUNTIFS(Matches!$C:$C,$A538,Matches!$A:$A,CONCAT("&gt;",$D538),Matches!$A:$A,CONCAT("&lt;",$E538))</f>
        <v>1</v>
      </c>
      <c r="H538" s="79">
        <f t="shared" si="1"/>
        <v>6</v>
      </c>
      <c r="I538" s="79">
        <f>COUNTIFS(Matches!$B:$B,$A538,Matches!$A:$A,CONCAT("&lt;",$E538))</f>
        <v>7</v>
      </c>
      <c r="J538" s="79">
        <f>COUNTIFS(Matches!$C:$C,$A538,Matches!$A:$A,CONCAT("&lt;",$E538))</f>
        <v>6</v>
      </c>
      <c r="K538" s="79">
        <f>COUNTIFS(Entropy!D:D,A538,Entropy!I:I,CONCAT("&lt;",E538-1))</f>
        <v>0</v>
      </c>
      <c r="L538" s="79">
        <f t="shared" si="2"/>
        <v>13</v>
      </c>
      <c r="M538" s="79">
        <f t="array" ref="M538">max(min(IF(J538+K538=11,0,XLOOKUP(B538,Quotas!$A$8:$A$14,Quotas!$E$8:$E$14)-$L538),2),0)</f>
        <v>2</v>
      </c>
      <c r="N538" s="31">
        <f t="shared" si="3"/>
        <v>1</v>
      </c>
    </row>
    <row r="539">
      <c r="A539" s="31" t="s">
        <v>208</v>
      </c>
      <c r="B539" s="9">
        <v>3.0</v>
      </c>
      <c r="C539" s="31" t="str">
        <f>VLOOKUP(A539, 'College List'!A:B, 2, FALSE)</f>
        <v>Witherbloom</v>
      </c>
      <c r="D539" s="355">
        <f>VLOOKUP(B539,Quotas!$A$8:$C$14,2,FALSE)</f>
        <v>46150.70833</v>
      </c>
      <c r="E539" s="356">
        <f>VLOOKUP(B539,Quotas!$A$8:$C$14,3,FALSE)</f>
        <v>46157.70833</v>
      </c>
      <c r="F539" s="79">
        <f>COUNTIFS(Matches!$B:$B,A539,Matches!$A:$A,CONCAT("&gt;",$D539),Matches!$A:$A,CONCAT("&lt;",$E539))</f>
        <v>1</v>
      </c>
      <c r="G539" s="79">
        <f>COUNTIFS(Matches!$C:$C,$A539,Matches!$A:$A,CONCAT("&gt;",$D539),Matches!$A:$A,CONCAT("&lt;",$E539))</f>
        <v>4</v>
      </c>
      <c r="H539" s="79">
        <f t="shared" si="1"/>
        <v>5</v>
      </c>
      <c r="I539" s="79">
        <f>COUNTIFS(Matches!$B:$B,$A539,Matches!$A:$A,CONCAT("&lt;",$E539))</f>
        <v>6</v>
      </c>
      <c r="J539" s="79">
        <f>COUNTIFS(Matches!$C:$C,$A539,Matches!$A:$A,CONCAT("&lt;",$E539))</f>
        <v>9</v>
      </c>
      <c r="K539" s="79">
        <f>COUNTIFS(Entropy!D:D,A539,Entropy!I:I,CONCAT("&lt;",E539-1))</f>
        <v>0</v>
      </c>
      <c r="L539" s="79">
        <f t="shared" si="2"/>
        <v>15</v>
      </c>
      <c r="M539" s="79">
        <f t="array" ref="M539">max(min(IF(J539+K539=11,0,XLOOKUP(B539,Quotas!$A$8:$A$14,Quotas!$E$8:$E$14)-$L539),2),0)</f>
        <v>0</v>
      </c>
      <c r="N539" s="31">
        <f t="shared" si="3"/>
        <v>0</v>
      </c>
    </row>
    <row r="540">
      <c r="A540" s="31" t="s">
        <v>161</v>
      </c>
      <c r="B540" s="9">
        <v>3.0</v>
      </c>
      <c r="C540" s="31" t="str">
        <f>VLOOKUP(A540, 'College List'!A:B, 2, FALSE)</f>
        <v>Witherbloom</v>
      </c>
      <c r="D540" s="355">
        <f>VLOOKUP(B540,Quotas!$A$8:$C$14,2,FALSE)</f>
        <v>46150.70833</v>
      </c>
      <c r="E540" s="356">
        <f>VLOOKUP(B540,Quotas!$A$8:$C$14,3,FALSE)</f>
        <v>46157.70833</v>
      </c>
      <c r="F540" s="79">
        <f>COUNTIFS(Matches!$B:$B,A540,Matches!$A:$A,CONCAT("&gt;",$D540),Matches!$A:$A,CONCAT("&lt;",$E540))</f>
        <v>2</v>
      </c>
      <c r="G540" s="79">
        <f>COUNTIFS(Matches!$C:$C,$A540,Matches!$A:$A,CONCAT("&gt;",$D540),Matches!$A:$A,CONCAT("&lt;",$E540))</f>
        <v>3</v>
      </c>
      <c r="H540" s="79">
        <f t="shared" si="1"/>
        <v>5</v>
      </c>
      <c r="I540" s="79">
        <f>COUNTIFS(Matches!$B:$B,$A540,Matches!$A:$A,CONCAT("&lt;",$E540))</f>
        <v>6</v>
      </c>
      <c r="J540" s="79">
        <f>COUNTIFS(Matches!$C:$C,$A540,Matches!$A:$A,CONCAT("&lt;",$E540))</f>
        <v>9</v>
      </c>
      <c r="K540" s="79">
        <f>COUNTIFS(Entropy!D:D,A540,Entropy!I:I,CONCAT("&lt;",E540-1))</f>
        <v>0</v>
      </c>
      <c r="L540" s="79">
        <f t="shared" si="2"/>
        <v>15</v>
      </c>
      <c r="M540" s="79">
        <f t="array" ref="M540">max(min(IF(J540+K540=11,0,XLOOKUP(B540,Quotas!$A$8:$A$14,Quotas!$E$8:$E$14)-$L540),2),0)</f>
        <v>0</v>
      </c>
      <c r="N540" s="31">
        <f t="shared" si="3"/>
        <v>0</v>
      </c>
    </row>
    <row r="541">
      <c r="A541" s="31" t="s">
        <v>389</v>
      </c>
      <c r="B541" s="9">
        <v>3.0</v>
      </c>
      <c r="C541" s="31" t="str">
        <f>VLOOKUP(A541, 'College List'!A:B, 2, FALSE)</f>
        <v>Prismari</v>
      </c>
      <c r="D541" s="355">
        <f>VLOOKUP(B541,Quotas!$A$8:$C$14,2,FALSE)</f>
        <v>46150.70833</v>
      </c>
      <c r="E541" s="356">
        <f>VLOOKUP(B541,Quotas!$A$8:$C$14,3,FALSE)</f>
        <v>46157.70833</v>
      </c>
      <c r="F541" s="79">
        <f>COUNTIFS(Matches!$B:$B,A541,Matches!$A:$A,CONCAT("&gt;",$D541),Matches!$A:$A,CONCAT("&lt;",$E541))</f>
        <v>2</v>
      </c>
      <c r="G541" s="79">
        <f>COUNTIFS(Matches!$C:$C,$A541,Matches!$A:$A,CONCAT("&gt;",$D541),Matches!$A:$A,CONCAT("&lt;",$E541))</f>
        <v>2</v>
      </c>
      <c r="H541" s="79">
        <f t="shared" si="1"/>
        <v>4</v>
      </c>
      <c r="I541" s="79">
        <f>COUNTIFS(Matches!$B:$B,$A541,Matches!$A:$A,CONCAT("&lt;",$E541))</f>
        <v>9</v>
      </c>
      <c r="J541" s="79">
        <f>COUNTIFS(Matches!$C:$C,$A541,Matches!$A:$A,CONCAT("&lt;",$E541))</f>
        <v>4</v>
      </c>
      <c r="K541" s="79">
        <f>COUNTIFS(Entropy!D:D,A541,Entropy!I:I,CONCAT("&lt;",E541-1))</f>
        <v>0</v>
      </c>
      <c r="L541" s="79">
        <f t="shared" si="2"/>
        <v>13</v>
      </c>
      <c r="M541" s="79">
        <f t="array" ref="M541">max(min(IF(J541+K541=11,0,XLOOKUP(B541,Quotas!$A$8:$A$14,Quotas!$E$8:$E$14)-$L541),2),0)</f>
        <v>2</v>
      </c>
      <c r="N541" s="31">
        <f t="shared" si="3"/>
        <v>1</v>
      </c>
    </row>
    <row r="542">
      <c r="A542" s="31" t="s">
        <v>323</v>
      </c>
      <c r="B542" s="9">
        <v>3.0</v>
      </c>
      <c r="C542" s="31" t="str">
        <f>VLOOKUP(A542, 'College List'!A:B, 2, FALSE)</f>
        <v>Silverquill</v>
      </c>
      <c r="D542" s="355">
        <f>VLOOKUP(B542,Quotas!$A$8:$C$14,2,FALSE)</f>
        <v>46150.70833</v>
      </c>
      <c r="E542" s="356">
        <f>VLOOKUP(B542,Quotas!$A$8:$C$14,3,FALSE)</f>
        <v>46157.70833</v>
      </c>
      <c r="F542" s="79">
        <f>COUNTIFS(Matches!$B:$B,A542,Matches!$A:$A,CONCAT("&gt;",$D542),Matches!$A:$A,CONCAT("&lt;",$E542))</f>
        <v>3</v>
      </c>
      <c r="G542" s="79">
        <f>COUNTIFS(Matches!$C:$C,$A542,Matches!$A:$A,CONCAT("&gt;",$D542),Matches!$A:$A,CONCAT("&lt;",$E542))</f>
        <v>2</v>
      </c>
      <c r="H542" s="79">
        <f t="shared" si="1"/>
        <v>5</v>
      </c>
      <c r="I542" s="79">
        <f>COUNTIFS(Matches!$B:$B,$A542,Matches!$A:$A,CONCAT("&lt;",$E542))</f>
        <v>6</v>
      </c>
      <c r="J542" s="79">
        <f>COUNTIFS(Matches!$C:$C,$A542,Matches!$A:$A,CONCAT("&lt;",$E542))</f>
        <v>9</v>
      </c>
      <c r="K542" s="79">
        <f>COUNTIFS(Entropy!D:D,A542,Entropy!I:I,CONCAT("&lt;",E542-1))</f>
        <v>0</v>
      </c>
      <c r="L542" s="79">
        <f t="shared" si="2"/>
        <v>15</v>
      </c>
      <c r="M542" s="79">
        <f t="array" ref="M542">max(min(IF(J542+K542=11,0,XLOOKUP(B542,Quotas!$A$8:$A$14,Quotas!$E$8:$E$14)-$L542),2),0)</f>
        <v>0</v>
      </c>
      <c r="N542" s="31">
        <f t="shared" si="3"/>
        <v>0</v>
      </c>
    </row>
    <row r="543">
      <c r="A543" s="31" t="s">
        <v>250</v>
      </c>
      <c r="B543" s="9">
        <v>3.0</v>
      </c>
      <c r="C543" s="31" t="str">
        <f>VLOOKUP(A543, 'College List'!A:B, 2, FALSE)</f>
        <v>Witherbloom</v>
      </c>
      <c r="D543" s="355">
        <f>VLOOKUP(B543,Quotas!$A$8:$C$14,2,FALSE)</f>
        <v>46150.70833</v>
      </c>
      <c r="E543" s="356">
        <f>VLOOKUP(B543,Quotas!$A$8:$C$14,3,FALSE)</f>
        <v>46157.70833</v>
      </c>
      <c r="F543" s="79">
        <f>COUNTIFS(Matches!$B:$B,A543,Matches!$A:$A,CONCAT("&gt;",$D543),Matches!$A:$A,CONCAT("&lt;",$E543))</f>
        <v>1</v>
      </c>
      <c r="G543" s="79">
        <f>COUNTIFS(Matches!$C:$C,$A543,Matches!$A:$A,CONCAT("&gt;",$D543),Matches!$A:$A,CONCAT("&lt;",$E543))</f>
        <v>2</v>
      </c>
      <c r="H543" s="79">
        <f t="shared" si="1"/>
        <v>3</v>
      </c>
      <c r="I543" s="79">
        <f>COUNTIFS(Matches!$B:$B,$A543,Matches!$A:$A,CONCAT("&lt;",$E543))</f>
        <v>5</v>
      </c>
      <c r="J543" s="79">
        <f>COUNTIFS(Matches!$C:$C,$A543,Matches!$A:$A,CONCAT("&lt;",$E543))</f>
        <v>7</v>
      </c>
      <c r="K543" s="79">
        <f>COUNTIFS(Entropy!D:D,A543,Entropy!I:I,CONCAT("&lt;",E543-1))</f>
        <v>0</v>
      </c>
      <c r="L543" s="79">
        <f t="shared" si="2"/>
        <v>12</v>
      </c>
      <c r="M543" s="79">
        <f t="array" ref="M543">max(min(IF(J543+K543=11,0,XLOOKUP(B543,Quotas!$A$8:$A$14,Quotas!$E$8:$E$14)-$L543),2),0)</f>
        <v>2</v>
      </c>
      <c r="N543" s="31">
        <f t="shared" si="3"/>
        <v>1</v>
      </c>
    </row>
    <row r="544">
      <c r="A544" s="31" t="s">
        <v>55</v>
      </c>
      <c r="B544" s="9">
        <v>3.0</v>
      </c>
      <c r="C544" s="31" t="str">
        <f>VLOOKUP(A544, 'College List'!A:B, 2, FALSE)</f>
        <v>Silverquill</v>
      </c>
      <c r="D544" s="355">
        <f>VLOOKUP(B544,Quotas!$A$8:$C$14,2,FALSE)</f>
        <v>46150.70833</v>
      </c>
      <c r="E544" s="356">
        <f>VLOOKUP(B544,Quotas!$A$8:$C$14,3,FALSE)</f>
        <v>46157.70833</v>
      </c>
      <c r="F544" s="79">
        <f>COUNTIFS(Matches!$B:$B,A544,Matches!$A:$A,CONCAT("&gt;",$D544),Matches!$A:$A,CONCAT("&lt;",$E544))</f>
        <v>3</v>
      </c>
      <c r="G544" s="79">
        <f>COUNTIFS(Matches!$C:$C,$A544,Matches!$A:$A,CONCAT("&gt;",$D544),Matches!$A:$A,CONCAT("&lt;",$E544))</f>
        <v>2</v>
      </c>
      <c r="H544" s="79">
        <f t="shared" si="1"/>
        <v>5</v>
      </c>
      <c r="I544" s="79">
        <f>COUNTIFS(Matches!$B:$B,$A544,Matches!$A:$A,CONCAT("&lt;",$E544))</f>
        <v>6</v>
      </c>
      <c r="J544" s="79">
        <f>COUNTIFS(Matches!$C:$C,$A544,Matches!$A:$A,CONCAT("&lt;",$E544))</f>
        <v>9</v>
      </c>
      <c r="K544" s="79">
        <f>COUNTIFS(Entropy!D:D,A544,Entropy!I:I,CONCAT("&lt;",E544-1))</f>
        <v>0</v>
      </c>
      <c r="L544" s="79">
        <f t="shared" si="2"/>
        <v>15</v>
      </c>
      <c r="M544" s="79">
        <f t="array" ref="M544">max(min(IF(J544+K544=11,0,XLOOKUP(B544,Quotas!$A$8:$A$14,Quotas!$E$8:$E$14)-$L544),2),0)</f>
        <v>0</v>
      </c>
      <c r="N544" s="31">
        <f t="shared" si="3"/>
        <v>0</v>
      </c>
    </row>
    <row r="545">
      <c r="A545" s="31" t="s">
        <v>154</v>
      </c>
      <c r="B545" s="9">
        <v>3.0</v>
      </c>
      <c r="C545" s="31" t="str">
        <f>VLOOKUP(A545, 'College List'!A:B, 2, FALSE)</f>
        <v>Lorehold</v>
      </c>
      <c r="D545" s="355">
        <f>VLOOKUP(B545,Quotas!$A$8:$C$14,2,FALSE)</f>
        <v>46150.70833</v>
      </c>
      <c r="E545" s="356">
        <f>VLOOKUP(B545,Quotas!$A$8:$C$14,3,FALSE)</f>
        <v>46157.70833</v>
      </c>
      <c r="F545" s="79">
        <f>COUNTIFS(Matches!$B:$B,A545,Matches!$A:$A,CONCAT("&gt;",$D545),Matches!$A:$A,CONCAT("&lt;",$E545))</f>
        <v>3</v>
      </c>
      <c r="G545" s="79">
        <f>COUNTIFS(Matches!$C:$C,$A545,Matches!$A:$A,CONCAT("&gt;",$D545),Matches!$A:$A,CONCAT("&lt;",$E545))</f>
        <v>2</v>
      </c>
      <c r="H545" s="79">
        <f t="shared" si="1"/>
        <v>5</v>
      </c>
      <c r="I545" s="79">
        <f>COUNTIFS(Matches!$B:$B,$A545,Matches!$A:$A,CONCAT("&lt;",$E545))</f>
        <v>7</v>
      </c>
      <c r="J545" s="79">
        <f>COUNTIFS(Matches!$C:$C,$A545,Matches!$A:$A,CONCAT("&lt;",$E545))</f>
        <v>8</v>
      </c>
      <c r="K545" s="79">
        <f>COUNTIFS(Entropy!D:D,A545,Entropy!I:I,CONCAT("&lt;",E545-1))</f>
        <v>0</v>
      </c>
      <c r="L545" s="79">
        <f t="shared" si="2"/>
        <v>15</v>
      </c>
      <c r="M545" s="79">
        <f t="array" ref="M545">max(min(IF(J545+K545=11,0,XLOOKUP(B545,Quotas!$A$8:$A$14,Quotas!$E$8:$E$14)-$L545),2),0)</f>
        <v>0</v>
      </c>
      <c r="N545" s="31">
        <f t="shared" si="3"/>
        <v>0</v>
      </c>
    </row>
    <row r="546">
      <c r="A546" s="31" t="s">
        <v>123</v>
      </c>
      <c r="B546" s="9">
        <v>3.0</v>
      </c>
      <c r="C546" s="31" t="str">
        <f>VLOOKUP(A546, 'College List'!A:B, 2, FALSE)</f>
        <v>Silverquill</v>
      </c>
      <c r="D546" s="355">
        <f>VLOOKUP(B546,Quotas!$A$8:$C$14,2,FALSE)</f>
        <v>46150.70833</v>
      </c>
      <c r="E546" s="356">
        <f>VLOOKUP(B546,Quotas!$A$8:$C$14,3,FALSE)</f>
        <v>46157.70833</v>
      </c>
      <c r="F546" s="79">
        <f>COUNTIFS(Matches!$B:$B,A546,Matches!$A:$A,CONCAT("&gt;",$D546),Matches!$A:$A,CONCAT("&lt;",$E546))</f>
        <v>2</v>
      </c>
      <c r="G546" s="79">
        <f>COUNTIFS(Matches!$C:$C,$A546,Matches!$A:$A,CONCAT("&gt;",$D546),Matches!$A:$A,CONCAT("&lt;",$E546))</f>
        <v>1</v>
      </c>
      <c r="H546" s="79">
        <f t="shared" si="1"/>
        <v>3</v>
      </c>
      <c r="I546" s="79">
        <f>COUNTIFS(Matches!$B:$B,$A546,Matches!$A:$A,CONCAT("&lt;",$E546))</f>
        <v>5</v>
      </c>
      <c r="J546" s="79">
        <f>COUNTIFS(Matches!$C:$C,$A546,Matches!$A:$A,CONCAT("&lt;",$E546))</f>
        <v>8</v>
      </c>
      <c r="K546" s="79">
        <f>COUNTIFS(Entropy!D:D,A546,Entropy!I:I,CONCAT("&lt;",E546-1))</f>
        <v>0</v>
      </c>
      <c r="L546" s="79">
        <f t="shared" si="2"/>
        <v>13</v>
      </c>
      <c r="M546" s="79">
        <f t="array" ref="M546">max(min(IF(J546+K546=11,0,XLOOKUP(B546,Quotas!$A$8:$A$14,Quotas!$E$8:$E$14)-$L546),2),0)</f>
        <v>2</v>
      </c>
      <c r="N546" s="31">
        <f t="shared" si="3"/>
        <v>1</v>
      </c>
    </row>
    <row r="547">
      <c r="A547" s="31" t="s">
        <v>237</v>
      </c>
      <c r="B547" s="9">
        <v>3.0</v>
      </c>
      <c r="C547" s="31" t="str">
        <f>VLOOKUP(A547, 'College List'!A:B, 2, FALSE)</f>
        <v>Quandrix</v>
      </c>
      <c r="D547" s="355">
        <f>VLOOKUP(B547,Quotas!$A$8:$C$14,2,FALSE)</f>
        <v>46150.70833</v>
      </c>
      <c r="E547" s="356">
        <f>VLOOKUP(B547,Quotas!$A$8:$C$14,3,FALSE)</f>
        <v>46157.70833</v>
      </c>
      <c r="F547" s="79">
        <f>COUNTIFS(Matches!$B:$B,A547,Matches!$A:$A,CONCAT("&gt;",$D547),Matches!$A:$A,CONCAT("&lt;",$E547))</f>
        <v>2</v>
      </c>
      <c r="G547" s="79">
        <f>COUNTIFS(Matches!$C:$C,$A547,Matches!$A:$A,CONCAT("&gt;",$D547),Matches!$A:$A,CONCAT("&lt;",$E547))</f>
        <v>2</v>
      </c>
      <c r="H547" s="79">
        <f t="shared" si="1"/>
        <v>4</v>
      </c>
      <c r="I547" s="79">
        <f>COUNTIFS(Matches!$B:$B,$A547,Matches!$A:$A,CONCAT("&lt;",$E547))</f>
        <v>8</v>
      </c>
      <c r="J547" s="79">
        <f>COUNTIFS(Matches!$C:$C,$A547,Matches!$A:$A,CONCAT("&lt;",$E547))</f>
        <v>6</v>
      </c>
      <c r="K547" s="79">
        <f>COUNTIFS(Entropy!D:D,A547,Entropy!I:I,CONCAT("&lt;",E547-1))</f>
        <v>0</v>
      </c>
      <c r="L547" s="79">
        <f t="shared" si="2"/>
        <v>14</v>
      </c>
      <c r="M547" s="79">
        <f t="array" ref="M547">max(min(IF(J547+K547=11,0,XLOOKUP(B547,Quotas!$A$8:$A$14,Quotas!$E$8:$E$14)-$L547),2),0)</f>
        <v>1</v>
      </c>
      <c r="N547" s="31">
        <f t="shared" si="3"/>
        <v>0.5</v>
      </c>
    </row>
    <row r="548">
      <c r="A548" s="31" t="s">
        <v>95</v>
      </c>
      <c r="B548" s="9">
        <v>3.0</v>
      </c>
      <c r="C548" s="31" t="str">
        <f>VLOOKUP(A548, 'College List'!A:B, 2, FALSE)</f>
        <v>Witherbloom</v>
      </c>
      <c r="D548" s="355">
        <f>VLOOKUP(B548,Quotas!$A$8:$C$14,2,FALSE)</f>
        <v>46150.70833</v>
      </c>
      <c r="E548" s="356">
        <f>VLOOKUP(B548,Quotas!$A$8:$C$14,3,FALSE)</f>
        <v>46157.70833</v>
      </c>
      <c r="F548" s="79">
        <f>COUNTIFS(Matches!$B:$B,A548,Matches!$A:$A,CONCAT("&gt;",$D548),Matches!$A:$A,CONCAT("&lt;",$E548))</f>
        <v>3</v>
      </c>
      <c r="G548" s="79">
        <f>COUNTIFS(Matches!$C:$C,$A548,Matches!$A:$A,CONCAT("&gt;",$D548),Matches!$A:$A,CONCAT("&lt;",$E548))</f>
        <v>2</v>
      </c>
      <c r="H548" s="79">
        <f t="shared" si="1"/>
        <v>5</v>
      </c>
      <c r="I548" s="79">
        <f>COUNTIFS(Matches!$B:$B,$A548,Matches!$A:$A,CONCAT("&lt;",$E548))</f>
        <v>9</v>
      </c>
      <c r="J548" s="79">
        <f>COUNTIFS(Matches!$C:$C,$A548,Matches!$A:$A,CONCAT("&lt;",$E548))</f>
        <v>6</v>
      </c>
      <c r="K548" s="79">
        <f>COUNTIFS(Entropy!D:D,A548,Entropy!I:I,CONCAT("&lt;",E548-1))</f>
        <v>0</v>
      </c>
      <c r="L548" s="79">
        <f t="shared" si="2"/>
        <v>15</v>
      </c>
      <c r="M548" s="79">
        <f t="array" ref="M548">max(min(IF(J548+K548=11,0,XLOOKUP(B548,Quotas!$A$8:$A$14,Quotas!$E$8:$E$14)-$L548),2),0)</f>
        <v>0</v>
      </c>
      <c r="N548" s="31">
        <f t="shared" si="3"/>
        <v>0</v>
      </c>
    </row>
    <row r="549">
      <c r="A549" s="31" t="s">
        <v>150</v>
      </c>
      <c r="B549" s="9">
        <v>3.0</v>
      </c>
      <c r="C549" s="31" t="str">
        <f>VLOOKUP(A549, 'College List'!A:B, 2, FALSE)</f>
        <v>Witherbloom</v>
      </c>
      <c r="D549" s="355">
        <f>VLOOKUP(B549,Quotas!$A$8:$C$14,2,FALSE)</f>
        <v>46150.70833</v>
      </c>
      <c r="E549" s="356">
        <f>VLOOKUP(B549,Quotas!$A$8:$C$14,3,FALSE)</f>
        <v>46157.70833</v>
      </c>
      <c r="F549" s="79">
        <f>COUNTIFS(Matches!$B:$B,A549,Matches!$A:$A,CONCAT("&gt;",$D549),Matches!$A:$A,CONCAT("&lt;",$E549))</f>
        <v>2</v>
      </c>
      <c r="G549" s="79">
        <f>COUNTIFS(Matches!$C:$C,$A549,Matches!$A:$A,CONCAT("&gt;",$D549),Matches!$A:$A,CONCAT("&lt;",$E549))</f>
        <v>3</v>
      </c>
      <c r="H549" s="79">
        <f t="shared" si="1"/>
        <v>5</v>
      </c>
      <c r="I549" s="79">
        <f>COUNTIFS(Matches!$B:$B,$A549,Matches!$A:$A,CONCAT("&lt;",$E549))</f>
        <v>6</v>
      </c>
      <c r="J549" s="79">
        <f>COUNTIFS(Matches!$C:$C,$A549,Matches!$A:$A,CONCAT("&lt;",$E549))</f>
        <v>8</v>
      </c>
      <c r="K549" s="79">
        <f>COUNTIFS(Entropy!D:D,A549,Entropy!I:I,CONCAT("&lt;",E549-1))</f>
        <v>0</v>
      </c>
      <c r="L549" s="79">
        <f t="shared" si="2"/>
        <v>14</v>
      </c>
      <c r="M549" s="79">
        <f t="array" ref="M549">max(min(IF(J549+K549=11,0,XLOOKUP(B549,Quotas!$A$8:$A$14,Quotas!$E$8:$E$14)-$L549),2),0)</f>
        <v>1</v>
      </c>
      <c r="N549" s="31">
        <f t="shared" si="3"/>
        <v>0.5</v>
      </c>
    </row>
    <row r="550">
      <c r="A550" s="31" t="s">
        <v>85</v>
      </c>
      <c r="B550" s="9">
        <v>3.0</v>
      </c>
      <c r="C550" s="31" t="str">
        <f>VLOOKUP(A550, 'College List'!A:B, 2, FALSE)</f>
        <v>Lorehold</v>
      </c>
      <c r="D550" s="355">
        <f>VLOOKUP(B550,Quotas!$A$8:$C$14,2,FALSE)</f>
        <v>46150.70833</v>
      </c>
      <c r="E550" s="356">
        <f>VLOOKUP(B550,Quotas!$A$8:$C$14,3,FALSE)</f>
        <v>46157.70833</v>
      </c>
      <c r="F550" s="79">
        <f>COUNTIFS(Matches!$B:$B,A550,Matches!$A:$A,CONCAT("&gt;",$D550),Matches!$A:$A,CONCAT("&lt;",$E550))</f>
        <v>4</v>
      </c>
      <c r="G550" s="79">
        <f>COUNTIFS(Matches!$C:$C,$A550,Matches!$A:$A,CONCAT("&gt;",$D550),Matches!$A:$A,CONCAT("&lt;",$E550))</f>
        <v>2</v>
      </c>
      <c r="H550" s="79">
        <f t="shared" si="1"/>
        <v>6</v>
      </c>
      <c r="I550" s="79">
        <f>COUNTIFS(Matches!$B:$B,$A550,Matches!$A:$A,CONCAT("&lt;",$E550))</f>
        <v>8</v>
      </c>
      <c r="J550" s="79">
        <f>COUNTIFS(Matches!$C:$C,$A550,Matches!$A:$A,CONCAT("&lt;",$E550))</f>
        <v>7</v>
      </c>
      <c r="K550" s="79">
        <f>COUNTIFS(Entropy!D:D,A550,Entropy!I:I,CONCAT("&lt;",E550-1))</f>
        <v>0</v>
      </c>
      <c r="L550" s="79">
        <f t="shared" si="2"/>
        <v>15</v>
      </c>
      <c r="M550" s="79">
        <f t="array" ref="M550">max(min(IF(J550+K550=11,0,XLOOKUP(B550,Quotas!$A$8:$A$14,Quotas!$E$8:$E$14)-$L550),2),0)</f>
        <v>0</v>
      </c>
      <c r="N550" s="31">
        <f t="shared" si="3"/>
        <v>0</v>
      </c>
    </row>
    <row r="551">
      <c r="A551" s="31" t="s">
        <v>290</v>
      </c>
      <c r="B551" s="9">
        <v>3.0</v>
      </c>
      <c r="C551" s="31" t="str">
        <f>VLOOKUP(A551, 'College List'!A:B, 2, FALSE)</f>
        <v>Lorehold</v>
      </c>
      <c r="D551" s="355">
        <f>VLOOKUP(B551,Quotas!$A$8:$C$14,2,FALSE)</f>
        <v>46150.70833</v>
      </c>
      <c r="E551" s="356">
        <f>VLOOKUP(B551,Quotas!$A$8:$C$14,3,FALSE)</f>
        <v>46157.70833</v>
      </c>
      <c r="F551" s="79">
        <f>COUNTIFS(Matches!$B:$B,A551,Matches!$A:$A,CONCAT("&gt;",$D551),Matches!$A:$A,CONCAT("&lt;",$E551))</f>
        <v>4</v>
      </c>
      <c r="G551" s="79">
        <f>COUNTIFS(Matches!$C:$C,$A551,Matches!$A:$A,CONCAT("&gt;",$D551),Matches!$A:$A,CONCAT("&lt;",$E551))</f>
        <v>1</v>
      </c>
      <c r="H551" s="79">
        <f t="shared" si="1"/>
        <v>5</v>
      </c>
      <c r="I551" s="79">
        <f>COUNTIFS(Matches!$B:$B,$A551,Matches!$A:$A,CONCAT("&lt;",$E551))</f>
        <v>11</v>
      </c>
      <c r="J551" s="79">
        <f>COUNTIFS(Matches!$C:$C,$A551,Matches!$A:$A,CONCAT("&lt;",$E551))</f>
        <v>4</v>
      </c>
      <c r="K551" s="79">
        <f>COUNTIFS(Entropy!D:D,A551,Entropy!I:I,CONCAT("&lt;",E551-1))</f>
        <v>0</v>
      </c>
      <c r="L551" s="79">
        <f t="shared" si="2"/>
        <v>15</v>
      </c>
      <c r="M551" s="79">
        <f t="array" ref="M551">max(min(IF(J551+K551=11,0,XLOOKUP(B551,Quotas!$A$8:$A$14,Quotas!$E$8:$E$14)-$L551),2),0)</f>
        <v>0</v>
      </c>
      <c r="N551" s="31">
        <f t="shared" si="3"/>
        <v>0</v>
      </c>
    </row>
    <row r="552">
      <c r="A552" s="31" t="s">
        <v>404</v>
      </c>
      <c r="B552" s="9">
        <v>3.0</v>
      </c>
      <c r="C552" s="31" t="str">
        <f>VLOOKUP(A552, 'College List'!A:B, 2, FALSE)</f>
        <v>Witherbloom</v>
      </c>
      <c r="D552" s="355">
        <f>VLOOKUP(B552,Quotas!$A$8:$C$14,2,FALSE)</f>
        <v>46150.70833</v>
      </c>
      <c r="E552" s="356">
        <f>VLOOKUP(B552,Quotas!$A$8:$C$14,3,FALSE)</f>
        <v>46157.70833</v>
      </c>
      <c r="F552" s="79">
        <f>COUNTIFS(Matches!$B:$B,A552,Matches!$A:$A,CONCAT("&gt;",$D552),Matches!$A:$A,CONCAT("&lt;",$E552))</f>
        <v>0</v>
      </c>
      <c r="G552" s="79">
        <f>COUNTIFS(Matches!$C:$C,$A552,Matches!$A:$A,CONCAT("&gt;",$D552),Matches!$A:$A,CONCAT("&lt;",$E552))</f>
        <v>4</v>
      </c>
      <c r="H552" s="79">
        <f t="shared" si="1"/>
        <v>4</v>
      </c>
      <c r="I552" s="79">
        <f>COUNTIFS(Matches!$B:$B,$A552,Matches!$A:$A,CONCAT("&lt;",$E552))</f>
        <v>1</v>
      </c>
      <c r="J552" s="79">
        <f>COUNTIFS(Matches!$C:$C,$A552,Matches!$A:$A,CONCAT("&lt;",$E552))</f>
        <v>11</v>
      </c>
      <c r="K552" s="79">
        <f>COUNTIFS(Entropy!D:D,A552,Entropy!I:I,CONCAT("&lt;",E552-1))</f>
        <v>0</v>
      </c>
      <c r="L552" s="79">
        <f t="shared" si="2"/>
        <v>12</v>
      </c>
      <c r="M552" s="79">
        <f t="array" ref="M552">max(min(IF(J552+K552=11,0,XLOOKUP(B552,Quotas!$A$8:$A$14,Quotas!$E$8:$E$14)-$L552),2),0)</f>
        <v>0</v>
      </c>
      <c r="N552" s="31">
        <f t="shared" si="3"/>
        <v>0</v>
      </c>
    </row>
    <row r="553">
      <c r="A553" s="31" t="s">
        <v>103</v>
      </c>
      <c r="B553" s="9">
        <v>3.0</v>
      </c>
      <c r="C553" s="31" t="str">
        <f>VLOOKUP(A553, 'College List'!A:B, 2, FALSE)</f>
        <v>Quandrix</v>
      </c>
      <c r="D553" s="355">
        <f>VLOOKUP(B553,Quotas!$A$8:$C$14,2,FALSE)</f>
        <v>46150.70833</v>
      </c>
      <c r="E553" s="356">
        <f>VLOOKUP(B553,Quotas!$A$8:$C$14,3,FALSE)</f>
        <v>46157.70833</v>
      </c>
      <c r="F553" s="79">
        <f>COUNTIFS(Matches!$B:$B,A553,Matches!$A:$A,CONCAT("&gt;",$D553),Matches!$A:$A,CONCAT("&lt;",$E553))</f>
        <v>1</v>
      </c>
      <c r="G553" s="79">
        <f>COUNTIFS(Matches!$C:$C,$A553,Matches!$A:$A,CONCAT("&gt;",$D553),Matches!$A:$A,CONCAT("&lt;",$E553))</f>
        <v>3</v>
      </c>
      <c r="H553" s="79">
        <f t="shared" si="1"/>
        <v>4</v>
      </c>
      <c r="I553" s="79">
        <f>COUNTIFS(Matches!$B:$B,$A553,Matches!$A:$A,CONCAT("&lt;",$E553))</f>
        <v>8</v>
      </c>
      <c r="J553" s="79">
        <f>COUNTIFS(Matches!$C:$C,$A553,Matches!$A:$A,CONCAT("&lt;",$E553))</f>
        <v>6</v>
      </c>
      <c r="K553" s="79">
        <f>COUNTIFS(Entropy!D:D,A553,Entropy!I:I,CONCAT("&lt;",E553-1))</f>
        <v>0</v>
      </c>
      <c r="L553" s="79">
        <f t="shared" si="2"/>
        <v>14</v>
      </c>
      <c r="M553" s="79">
        <f t="array" ref="M553">max(min(IF(J553+K553=11,0,XLOOKUP(B553,Quotas!$A$8:$A$14,Quotas!$E$8:$E$14)-$L553),2),0)</f>
        <v>1</v>
      </c>
      <c r="N553" s="31">
        <f t="shared" si="3"/>
        <v>0.5</v>
      </c>
    </row>
    <row r="554">
      <c r="A554" s="31" t="s">
        <v>141</v>
      </c>
      <c r="B554" s="9">
        <v>3.0</v>
      </c>
      <c r="C554" s="31" t="str">
        <f>VLOOKUP(A554, 'College List'!A:B, 2, FALSE)</f>
        <v>Silverquill</v>
      </c>
      <c r="D554" s="355">
        <f>VLOOKUP(B554,Quotas!$A$8:$C$14,2,FALSE)</f>
        <v>46150.70833</v>
      </c>
      <c r="E554" s="356">
        <f>VLOOKUP(B554,Quotas!$A$8:$C$14,3,FALSE)</f>
        <v>46157.70833</v>
      </c>
      <c r="F554" s="79">
        <f>COUNTIFS(Matches!$B:$B,A554,Matches!$A:$A,CONCAT("&gt;",$D554),Matches!$A:$A,CONCAT("&lt;",$E554))</f>
        <v>1</v>
      </c>
      <c r="G554" s="79">
        <f>COUNTIFS(Matches!$C:$C,$A554,Matches!$A:$A,CONCAT("&gt;",$D554),Matches!$A:$A,CONCAT("&lt;",$E554))</f>
        <v>1</v>
      </c>
      <c r="H554" s="79">
        <f t="shared" si="1"/>
        <v>2</v>
      </c>
      <c r="I554" s="79">
        <f>COUNTIFS(Matches!$B:$B,$A554,Matches!$A:$A,CONCAT("&lt;",$E554))</f>
        <v>5</v>
      </c>
      <c r="J554" s="79">
        <f>COUNTIFS(Matches!$C:$C,$A554,Matches!$A:$A,CONCAT("&lt;",$E554))</f>
        <v>6</v>
      </c>
      <c r="K554" s="79">
        <f>COUNTIFS(Entropy!D:D,A554,Entropy!I:I,CONCAT("&lt;",E554-1))</f>
        <v>0</v>
      </c>
      <c r="L554" s="79">
        <f t="shared" si="2"/>
        <v>11</v>
      </c>
      <c r="M554" s="79">
        <f t="array" ref="M554">max(min(IF(J554+K554=11,0,XLOOKUP(B554,Quotas!$A$8:$A$14,Quotas!$E$8:$E$14)-$L554),2),0)</f>
        <v>2</v>
      </c>
      <c r="N554" s="31">
        <f t="shared" si="3"/>
        <v>1</v>
      </c>
    </row>
    <row r="555">
      <c r="A555" s="31" t="s">
        <v>74</v>
      </c>
      <c r="B555" s="9">
        <v>3.0</v>
      </c>
      <c r="C555" s="31" t="str">
        <f>VLOOKUP(A555, 'College List'!A:B, 2, FALSE)</f>
        <v>Lorehold</v>
      </c>
      <c r="D555" s="355">
        <f>VLOOKUP(B555,Quotas!$A$8:$C$14,2,FALSE)</f>
        <v>46150.70833</v>
      </c>
      <c r="E555" s="356">
        <f>VLOOKUP(B555,Quotas!$A$8:$C$14,3,FALSE)</f>
        <v>46157.70833</v>
      </c>
      <c r="F555" s="79">
        <f>COUNTIFS(Matches!$B:$B,A555,Matches!$A:$A,CONCAT("&gt;",$D555),Matches!$A:$A,CONCAT("&lt;",$E555))</f>
        <v>3</v>
      </c>
      <c r="G555" s="79">
        <f>COUNTIFS(Matches!$C:$C,$A555,Matches!$A:$A,CONCAT("&gt;",$D555),Matches!$A:$A,CONCAT("&lt;",$E555))</f>
        <v>2</v>
      </c>
      <c r="H555" s="79">
        <f t="shared" si="1"/>
        <v>5</v>
      </c>
      <c r="I555" s="79">
        <f>COUNTIFS(Matches!$B:$B,$A555,Matches!$A:$A,CONCAT("&lt;",$E555))</f>
        <v>7</v>
      </c>
      <c r="J555" s="79">
        <f>COUNTIFS(Matches!$C:$C,$A555,Matches!$A:$A,CONCAT("&lt;",$E555))</f>
        <v>8</v>
      </c>
      <c r="K555" s="79">
        <f>COUNTIFS(Entropy!D:D,A555,Entropy!I:I,CONCAT("&lt;",E555-1))</f>
        <v>0</v>
      </c>
      <c r="L555" s="79">
        <f t="shared" si="2"/>
        <v>15</v>
      </c>
      <c r="M555" s="79">
        <f t="array" ref="M555">max(min(IF(J555+K555=11,0,XLOOKUP(B555,Quotas!$A$8:$A$14,Quotas!$E$8:$E$14)-$L555),2),0)</f>
        <v>0</v>
      </c>
      <c r="N555" s="31">
        <f t="shared" si="3"/>
        <v>0</v>
      </c>
    </row>
    <row r="556">
      <c r="A556" s="31" t="s">
        <v>59</v>
      </c>
      <c r="B556" s="9">
        <v>3.0</v>
      </c>
      <c r="C556" s="31" t="str">
        <f>VLOOKUP(A556, 'College List'!A:B, 2, FALSE)</f>
        <v>Quandrix</v>
      </c>
      <c r="D556" s="355">
        <f>VLOOKUP(B556,Quotas!$A$8:$C$14,2,FALSE)</f>
        <v>46150.70833</v>
      </c>
      <c r="E556" s="356">
        <f>VLOOKUP(B556,Quotas!$A$8:$C$14,3,FALSE)</f>
        <v>46157.70833</v>
      </c>
      <c r="F556" s="79">
        <f>COUNTIFS(Matches!$B:$B,A556,Matches!$A:$A,CONCAT("&gt;",$D556),Matches!$A:$A,CONCAT("&lt;",$E556))</f>
        <v>4</v>
      </c>
      <c r="G556" s="79">
        <f>COUNTIFS(Matches!$C:$C,$A556,Matches!$A:$A,CONCAT("&gt;",$D556),Matches!$A:$A,CONCAT("&lt;",$E556))</f>
        <v>1</v>
      </c>
      <c r="H556" s="79">
        <f t="shared" si="1"/>
        <v>5</v>
      </c>
      <c r="I556" s="79">
        <f>COUNTIFS(Matches!$B:$B,$A556,Matches!$A:$A,CONCAT("&lt;",$E556))</f>
        <v>12</v>
      </c>
      <c r="J556" s="79">
        <f>COUNTIFS(Matches!$C:$C,$A556,Matches!$A:$A,CONCAT("&lt;",$E556))</f>
        <v>3</v>
      </c>
      <c r="K556" s="79">
        <f>COUNTIFS(Entropy!D:D,A556,Entropy!I:I,CONCAT("&lt;",E556-1))</f>
        <v>0</v>
      </c>
      <c r="L556" s="79">
        <f t="shared" si="2"/>
        <v>15</v>
      </c>
      <c r="M556" s="79">
        <f t="array" ref="M556">max(min(IF(J556+K556=11,0,XLOOKUP(B556,Quotas!$A$8:$A$14,Quotas!$E$8:$E$14)-$L556),2),0)</f>
        <v>0</v>
      </c>
      <c r="N556" s="31">
        <f t="shared" si="3"/>
        <v>0</v>
      </c>
    </row>
    <row r="557">
      <c r="A557" s="31" t="s">
        <v>200</v>
      </c>
      <c r="B557" s="9">
        <v>3.0</v>
      </c>
      <c r="C557" s="31" t="str">
        <f>VLOOKUP(A557, 'College List'!A:B, 2, FALSE)</f>
        <v>Lorehold</v>
      </c>
      <c r="D557" s="355">
        <f>VLOOKUP(B557,Quotas!$A$8:$C$14,2,FALSE)</f>
        <v>46150.70833</v>
      </c>
      <c r="E557" s="356">
        <f>VLOOKUP(B557,Quotas!$A$8:$C$14,3,FALSE)</f>
        <v>46157.70833</v>
      </c>
      <c r="F557" s="79">
        <f>COUNTIFS(Matches!$B:$B,A557,Matches!$A:$A,CONCAT("&gt;",$D557),Matches!$A:$A,CONCAT("&lt;",$E557))</f>
        <v>4</v>
      </c>
      <c r="G557" s="79">
        <f>COUNTIFS(Matches!$C:$C,$A557,Matches!$A:$A,CONCAT("&gt;",$D557),Matches!$A:$A,CONCAT("&lt;",$E557))</f>
        <v>2</v>
      </c>
      <c r="H557" s="79">
        <f t="shared" si="1"/>
        <v>6</v>
      </c>
      <c r="I557" s="79">
        <f>COUNTIFS(Matches!$B:$B,$A557,Matches!$A:$A,CONCAT("&lt;",$E557))</f>
        <v>10</v>
      </c>
      <c r="J557" s="79">
        <f>COUNTIFS(Matches!$C:$C,$A557,Matches!$A:$A,CONCAT("&lt;",$E557))</f>
        <v>4</v>
      </c>
      <c r="K557" s="79">
        <f>COUNTIFS(Entropy!D:D,A557,Entropy!I:I,CONCAT("&lt;",E557-1))</f>
        <v>0</v>
      </c>
      <c r="L557" s="79">
        <f t="shared" si="2"/>
        <v>14</v>
      </c>
      <c r="M557" s="79">
        <f t="array" ref="M557">max(min(IF(J557+K557=11,0,XLOOKUP(B557,Quotas!$A$8:$A$14,Quotas!$E$8:$E$14)-$L557),2),0)</f>
        <v>1</v>
      </c>
      <c r="N557" s="31">
        <f t="shared" si="3"/>
        <v>0.5</v>
      </c>
    </row>
    <row r="558">
      <c r="A558" s="31" t="s">
        <v>182</v>
      </c>
      <c r="B558" s="9">
        <v>3.0</v>
      </c>
      <c r="C558" s="31" t="str">
        <f>VLOOKUP(A558, 'College List'!A:B, 2, FALSE)</f>
        <v>Prismari</v>
      </c>
      <c r="D558" s="355">
        <f>VLOOKUP(B558,Quotas!$A$8:$C$14,2,FALSE)</f>
        <v>46150.70833</v>
      </c>
      <c r="E558" s="356">
        <f>VLOOKUP(B558,Quotas!$A$8:$C$14,3,FALSE)</f>
        <v>46157.70833</v>
      </c>
      <c r="F558" s="79">
        <f>COUNTIFS(Matches!$B:$B,A558,Matches!$A:$A,CONCAT("&gt;",$D558),Matches!$A:$A,CONCAT("&lt;",$E558))</f>
        <v>0</v>
      </c>
      <c r="G558" s="79">
        <f>COUNTIFS(Matches!$C:$C,$A558,Matches!$A:$A,CONCAT("&gt;",$D558),Matches!$A:$A,CONCAT("&lt;",$E558))</f>
        <v>3</v>
      </c>
      <c r="H558" s="79">
        <f t="shared" si="1"/>
        <v>3</v>
      </c>
      <c r="I558" s="79">
        <f>COUNTIFS(Matches!$B:$B,$A558,Matches!$A:$A,CONCAT("&lt;",$E558))</f>
        <v>6</v>
      </c>
      <c r="J558" s="79">
        <f>COUNTIFS(Matches!$C:$C,$A558,Matches!$A:$A,CONCAT("&lt;",$E558))</f>
        <v>7</v>
      </c>
      <c r="K558" s="79">
        <f>COUNTIFS(Entropy!D:D,A558,Entropy!I:I,CONCAT("&lt;",E558-1))</f>
        <v>0</v>
      </c>
      <c r="L558" s="79">
        <f t="shared" si="2"/>
        <v>13</v>
      </c>
      <c r="M558" s="79">
        <f t="array" ref="M558">max(min(IF(J558+K558=11,0,XLOOKUP(B558,Quotas!$A$8:$A$14,Quotas!$E$8:$E$14)-$L558),2),0)</f>
        <v>2</v>
      </c>
      <c r="N558" s="31">
        <f t="shared" si="3"/>
        <v>1</v>
      </c>
    </row>
    <row r="559">
      <c r="A559" s="31" t="s">
        <v>333</v>
      </c>
      <c r="B559" s="9">
        <v>3.0</v>
      </c>
      <c r="C559" s="31" t="str">
        <f>VLOOKUP(A559, 'College List'!A:B, 2, FALSE)</f>
        <v>Witherbloom</v>
      </c>
      <c r="D559" s="355">
        <f>VLOOKUP(B559,Quotas!$A$8:$C$14,2,FALSE)</f>
        <v>46150.70833</v>
      </c>
      <c r="E559" s="356">
        <f>VLOOKUP(B559,Quotas!$A$8:$C$14,3,FALSE)</f>
        <v>46157.70833</v>
      </c>
      <c r="F559" s="79">
        <f>COUNTIFS(Matches!$B:$B,A559,Matches!$A:$A,CONCAT("&gt;",$D559),Matches!$A:$A,CONCAT("&lt;",$E559))</f>
        <v>3</v>
      </c>
      <c r="G559" s="79">
        <f>COUNTIFS(Matches!$C:$C,$A559,Matches!$A:$A,CONCAT("&gt;",$D559),Matches!$A:$A,CONCAT("&lt;",$E559))</f>
        <v>2</v>
      </c>
      <c r="H559" s="79">
        <f t="shared" si="1"/>
        <v>5</v>
      </c>
      <c r="I559" s="79">
        <f>COUNTIFS(Matches!$B:$B,$A559,Matches!$A:$A,CONCAT("&lt;",$E559))</f>
        <v>9</v>
      </c>
      <c r="J559" s="79">
        <f>COUNTIFS(Matches!$C:$C,$A559,Matches!$A:$A,CONCAT("&lt;",$E559))</f>
        <v>6</v>
      </c>
      <c r="K559" s="79">
        <f>COUNTIFS(Entropy!D:D,A559,Entropy!I:I,CONCAT("&lt;",E559-1))</f>
        <v>0</v>
      </c>
      <c r="L559" s="79">
        <f t="shared" si="2"/>
        <v>15</v>
      </c>
      <c r="M559" s="79">
        <f t="array" ref="M559">max(min(IF(J559+K559=11,0,XLOOKUP(B559,Quotas!$A$8:$A$14,Quotas!$E$8:$E$14)-$L559),2),0)</f>
        <v>0</v>
      </c>
      <c r="N559" s="31">
        <f t="shared" si="3"/>
        <v>0</v>
      </c>
    </row>
    <row r="560">
      <c r="A560" s="31" t="s">
        <v>114</v>
      </c>
      <c r="B560" s="9">
        <v>3.0</v>
      </c>
      <c r="C560" s="31" t="str">
        <f>VLOOKUP(A560, 'College List'!A:B, 2, FALSE)</f>
        <v>Lorehold</v>
      </c>
      <c r="D560" s="355">
        <f>VLOOKUP(B560,Quotas!$A$8:$C$14,2,FALSE)</f>
        <v>46150.70833</v>
      </c>
      <c r="E560" s="356">
        <f>VLOOKUP(B560,Quotas!$A$8:$C$14,3,FALSE)</f>
        <v>46157.70833</v>
      </c>
      <c r="F560" s="79">
        <f>COUNTIFS(Matches!$B:$B,A560,Matches!$A:$A,CONCAT("&gt;",$D560),Matches!$A:$A,CONCAT("&lt;",$E560))</f>
        <v>4</v>
      </c>
      <c r="G560" s="79">
        <f>COUNTIFS(Matches!$C:$C,$A560,Matches!$A:$A,CONCAT("&gt;",$D560),Matches!$A:$A,CONCAT("&lt;",$E560))</f>
        <v>2</v>
      </c>
      <c r="H560" s="79">
        <f t="shared" si="1"/>
        <v>6</v>
      </c>
      <c r="I560" s="79">
        <f>COUNTIFS(Matches!$B:$B,$A560,Matches!$A:$A,CONCAT("&lt;",$E560))</f>
        <v>8</v>
      </c>
      <c r="J560" s="79">
        <f>COUNTIFS(Matches!$C:$C,$A560,Matches!$A:$A,CONCAT("&lt;",$E560))</f>
        <v>7</v>
      </c>
      <c r="K560" s="79">
        <f>COUNTIFS(Entropy!D:D,A560,Entropy!I:I,CONCAT("&lt;",E560-1))</f>
        <v>0</v>
      </c>
      <c r="L560" s="79">
        <f t="shared" si="2"/>
        <v>15</v>
      </c>
      <c r="M560" s="79">
        <f t="array" ref="M560">max(min(IF(J560+K560=11,0,XLOOKUP(B560,Quotas!$A$8:$A$14,Quotas!$E$8:$E$14)-$L560),2),0)</f>
        <v>0</v>
      </c>
      <c r="N560" s="31">
        <f t="shared" si="3"/>
        <v>0</v>
      </c>
    </row>
    <row r="561">
      <c r="A561" s="31" t="s">
        <v>120</v>
      </c>
      <c r="B561" s="9">
        <v>3.0</v>
      </c>
      <c r="C561" s="31" t="str">
        <f>VLOOKUP(A561, 'College List'!A:B, 2, FALSE)</f>
        <v>Prismari</v>
      </c>
      <c r="D561" s="355">
        <f>VLOOKUP(B561,Quotas!$A$8:$C$14,2,FALSE)</f>
        <v>46150.70833</v>
      </c>
      <c r="E561" s="356">
        <f>VLOOKUP(B561,Quotas!$A$8:$C$14,3,FALSE)</f>
        <v>46157.70833</v>
      </c>
      <c r="F561" s="79">
        <f>COUNTIFS(Matches!$B:$B,A561,Matches!$A:$A,CONCAT("&gt;",$D561),Matches!$A:$A,CONCAT("&lt;",$E561))</f>
        <v>2</v>
      </c>
      <c r="G561" s="79">
        <f>COUNTIFS(Matches!$C:$C,$A561,Matches!$A:$A,CONCAT("&gt;",$D561),Matches!$A:$A,CONCAT("&lt;",$E561))</f>
        <v>3</v>
      </c>
      <c r="H561" s="79">
        <f t="shared" si="1"/>
        <v>5</v>
      </c>
      <c r="I561" s="79">
        <f>COUNTIFS(Matches!$B:$B,$A561,Matches!$A:$A,CONCAT("&lt;",$E561))</f>
        <v>9</v>
      </c>
      <c r="J561" s="79">
        <f>COUNTIFS(Matches!$C:$C,$A561,Matches!$A:$A,CONCAT("&lt;",$E561))</f>
        <v>6</v>
      </c>
      <c r="K561" s="79">
        <f>COUNTIFS(Entropy!D:D,A561,Entropy!I:I,CONCAT("&lt;",E561-1))</f>
        <v>0</v>
      </c>
      <c r="L561" s="79">
        <f t="shared" si="2"/>
        <v>15</v>
      </c>
      <c r="M561" s="79">
        <f t="array" ref="M561">max(min(IF(J561+K561=11,0,XLOOKUP(B561,Quotas!$A$8:$A$14,Quotas!$E$8:$E$14)-$L561),2),0)</f>
        <v>0</v>
      </c>
      <c r="N561" s="31">
        <f t="shared" si="3"/>
        <v>0</v>
      </c>
    </row>
    <row r="562">
      <c r="A562" s="31" t="s">
        <v>133</v>
      </c>
      <c r="B562" s="9">
        <v>3.0</v>
      </c>
      <c r="C562" s="31" t="str">
        <f>VLOOKUP(A562, 'College List'!A:B, 2, FALSE)</f>
        <v>Prismari</v>
      </c>
      <c r="D562" s="355">
        <f>VLOOKUP(B562,Quotas!$A$8:$C$14,2,FALSE)</f>
        <v>46150.70833</v>
      </c>
      <c r="E562" s="356">
        <f>VLOOKUP(B562,Quotas!$A$8:$C$14,3,FALSE)</f>
        <v>46157.70833</v>
      </c>
      <c r="F562" s="79">
        <f>COUNTIFS(Matches!$B:$B,A562,Matches!$A:$A,CONCAT("&gt;",$D562),Matches!$A:$A,CONCAT("&lt;",$E562))</f>
        <v>1</v>
      </c>
      <c r="G562" s="79">
        <f>COUNTIFS(Matches!$C:$C,$A562,Matches!$A:$A,CONCAT("&gt;",$D562),Matches!$A:$A,CONCAT("&lt;",$E562))</f>
        <v>4</v>
      </c>
      <c r="H562" s="79">
        <f t="shared" si="1"/>
        <v>5</v>
      </c>
      <c r="I562" s="79">
        <f>COUNTIFS(Matches!$B:$B,$A562,Matches!$A:$A,CONCAT("&lt;",$E562))</f>
        <v>4</v>
      </c>
      <c r="J562" s="79">
        <f>COUNTIFS(Matches!$C:$C,$A562,Matches!$A:$A,CONCAT("&lt;",$E562))</f>
        <v>11</v>
      </c>
      <c r="K562" s="79">
        <f>COUNTIFS(Entropy!D:D,A562,Entropy!I:I,CONCAT("&lt;",E562-1))</f>
        <v>0</v>
      </c>
      <c r="L562" s="79">
        <f t="shared" si="2"/>
        <v>15</v>
      </c>
      <c r="M562" s="79">
        <f t="array" ref="M562">max(min(IF(J562+K562=11,0,XLOOKUP(B562,Quotas!$A$8:$A$14,Quotas!$E$8:$E$14)-$L562),2),0)</f>
        <v>0</v>
      </c>
      <c r="N562" s="31">
        <f t="shared" si="3"/>
        <v>0</v>
      </c>
    </row>
    <row r="563">
      <c r="A563" s="31" t="s">
        <v>414</v>
      </c>
      <c r="B563" s="9">
        <v>3.0</v>
      </c>
      <c r="C563" s="31" t="str">
        <f>VLOOKUP(A563, 'College List'!A:B, 2, FALSE)</f>
        <v>Prismari</v>
      </c>
      <c r="D563" s="355">
        <f>VLOOKUP(B563,Quotas!$A$8:$C$14,2,FALSE)</f>
        <v>46150.70833</v>
      </c>
      <c r="E563" s="356">
        <f>VLOOKUP(B563,Quotas!$A$8:$C$14,3,FALSE)</f>
        <v>46157.70833</v>
      </c>
      <c r="F563" s="79">
        <f>COUNTIFS(Matches!$B:$B,A563,Matches!$A:$A,CONCAT("&gt;",$D563),Matches!$A:$A,CONCAT("&lt;",$E563))</f>
        <v>1</v>
      </c>
      <c r="G563" s="79">
        <f>COUNTIFS(Matches!$C:$C,$A563,Matches!$A:$A,CONCAT("&gt;",$D563),Matches!$A:$A,CONCAT("&lt;",$E563))</f>
        <v>4</v>
      </c>
      <c r="H563" s="79">
        <f t="shared" si="1"/>
        <v>5</v>
      </c>
      <c r="I563" s="79">
        <f>COUNTIFS(Matches!$B:$B,$A563,Matches!$A:$A,CONCAT("&lt;",$E563))</f>
        <v>6</v>
      </c>
      <c r="J563" s="79">
        <f>COUNTIFS(Matches!$C:$C,$A563,Matches!$A:$A,CONCAT("&lt;",$E563))</f>
        <v>7</v>
      </c>
      <c r="K563" s="79">
        <f>COUNTIFS(Entropy!D:D,A563,Entropy!I:I,CONCAT("&lt;",E563-1))</f>
        <v>0</v>
      </c>
      <c r="L563" s="79">
        <f t="shared" si="2"/>
        <v>13</v>
      </c>
      <c r="M563" s="79">
        <f t="array" ref="M563">max(min(IF(J563+K563=11,0,XLOOKUP(B563,Quotas!$A$8:$A$14,Quotas!$E$8:$E$14)-$L563),2),0)</f>
        <v>2</v>
      </c>
      <c r="N563" s="31">
        <f t="shared" si="3"/>
        <v>1</v>
      </c>
    </row>
    <row r="564">
      <c r="A564" s="31" t="s">
        <v>107</v>
      </c>
      <c r="B564" s="9">
        <v>3.0</v>
      </c>
      <c r="C564" s="31" t="str">
        <f>VLOOKUP(A564, 'College List'!A:B, 2, FALSE)</f>
        <v>Quandrix</v>
      </c>
      <c r="D564" s="355">
        <f>VLOOKUP(B564,Quotas!$A$8:$C$14,2,FALSE)</f>
        <v>46150.70833</v>
      </c>
      <c r="E564" s="356">
        <f>VLOOKUP(B564,Quotas!$A$8:$C$14,3,FALSE)</f>
        <v>46157.70833</v>
      </c>
      <c r="F564" s="79">
        <f>COUNTIFS(Matches!$B:$B,A564,Matches!$A:$A,CONCAT("&gt;",$D564),Matches!$A:$A,CONCAT("&lt;",$E564))</f>
        <v>2</v>
      </c>
      <c r="G564" s="79">
        <f>COUNTIFS(Matches!$C:$C,$A564,Matches!$A:$A,CONCAT("&gt;",$D564),Matches!$A:$A,CONCAT("&lt;",$E564))</f>
        <v>3</v>
      </c>
      <c r="H564" s="79">
        <f t="shared" si="1"/>
        <v>5</v>
      </c>
      <c r="I564" s="79">
        <f>COUNTIFS(Matches!$B:$B,$A564,Matches!$A:$A,CONCAT("&lt;",$E564))</f>
        <v>8</v>
      </c>
      <c r="J564" s="79">
        <f>COUNTIFS(Matches!$C:$C,$A564,Matches!$A:$A,CONCAT("&lt;",$E564))</f>
        <v>7</v>
      </c>
      <c r="K564" s="79">
        <f>COUNTIFS(Entropy!D:D,A564,Entropy!I:I,CONCAT("&lt;",E564-1))</f>
        <v>0</v>
      </c>
      <c r="L564" s="79">
        <f t="shared" si="2"/>
        <v>15</v>
      </c>
      <c r="M564" s="79">
        <f t="array" ref="M564">max(min(IF(J564+K564=11,0,XLOOKUP(B564,Quotas!$A$8:$A$14,Quotas!$E$8:$E$14)-$L564),2),0)</f>
        <v>0</v>
      </c>
      <c r="N564" s="31">
        <f t="shared" si="3"/>
        <v>0</v>
      </c>
    </row>
    <row r="565">
      <c r="A565" s="31" t="s">
        <v>235</v>
      </c>
      <c r="B565" s="9">
        <v>3.0</v>
      </c>
      <c r="C565" s="31" t="str">
        <f>VLOOKUP(A565, 'College List'!A:B, 2, FALSE)</f>
        <v>Quandrix</v>
      </c>
      <c r="D565" s="355">
        <f>VLOOKUP(B565,Quotas!$A$8:$C$14,2,FALSE)</f>
        <v>46150.70833</v>
      </c>
      <c r="E565" s="356">
        <f>VLOOKUP(B565,Quotas!$A$8:$C$14,3,FALSE)</f>
        <v>46157.70833</v>
      </c>
      <c r="F565" s="79">
        <f>COUNTIFS(Matches!$B:$B,A565,Matches!$A:$A,CONCAT("&gt;",$D565),Matches!$A:$A,CONCAT("&lt;",$E565))</f>
        <v>1</v>
      </c>
      <c r="G565" s="79">
        <f>COUNTIFS(Matches!$C:$C,$A565,Matches!$A:$A,CONCAT("&gt;",$D565),Matches!$A:$A,CONCAT("&lt;",$E565))</f>
        <v>3</v>
      </c>
      <c r="H565" s="79">
        <f t="shared" si="1"/>
        <v>4</v>
      </c>
      <c r="I565" s="79">
        <f>COUNTIFS(Matches!$B:$B,$A565,Matches!$A:$A,CONCAT("&lt;",$E565))</f>
        <v>3</v>
      </c>
      <c r="J565" s="79">
        <f>COUNTIFS(Matches!$C:$C,$A565,Matches!$A:$A,CONCAT("&lt;",$E565))</f>
        <v>11</v>
      </c>
      <c r="K565" s="79">
        <f>COUNTIFS(Entropy!D:D,A565,Entropy!I:I,CONCAT("&lt;",E565-1))</f>
        <v>0</v>
      </c>
      <c r="L565" s="79">
        <f t="shared" si="2"/>
        <v>14</v>
      </c>
      <c r="M565" s="79">
        <f t="array" ref="M565">max(min(IF(J565+K565=11,0,XLOOKUP(B565,Quotas!$A$8:$A$14,Quotas!$E$8:$E$14)-$L565),2),0)</f>
        <v>0</v>
      </c>
      <c r="N565" s="31">
        <f t="shared" si="3"/>
        <v>0</v>
      </c>
    </row>
    <row r="566">
      <c r="A566" s="31" t="s">
        <v>243</v>
      </c>
      <c r="B566" s="9">
        <v>3.0</v>
      </c>
      <c r="C566" s="31" t="str">
        <f>VLOOKUP(A566, 'College List'!A:B, 2, FALSE)</f>
        <v>Witherbloom</v>
      </c>
      <c r="D566" s="355">
        <f>VLOOKUP(B566,Quotas!$A$8:$C$14,2,FALSE)</f>
        <v>46150.70833</v>
      </c>
      <c r="E566" s="356">
        <f>VLOOKUP(B566,Quotas!$A$8:$C$14,3,FALSE)</f>
        <v>46157.70833</v>
      </c>
      <c r="F566" s="79">
        <f>COUNTIFS(Matches!$B:$B,A566,Matches!$A:$A,CONCAT("&gt;",$D566),Matches!$A:$A,CONCAT("&lt;",$E566))</f>
        <v>2</v>
      </c>
      <c r="G566" s="79">
        <f>COUNTIFS(Matches!$C:$C,$A566,Matches!$A:$A,CONCAT("&gt;",$D566),Matches!$A:$A,CONCAT("&lt;",$E566))</f>
        <v>3</v>
      </c>
      <c r="H566" s="79">
        <f t="shared" si="1"/>
        <v>5</v>
      </c>
      <c r="I566" s="79">
        <f>COUNTIFS(Matches!$B:$B,$A566,Matches!$A:$A,CONCAT("&lt;",$E566))</f>
        <v>4</v>
      </c>
      <c r="J566" s="79">
        <f>COUNTIFS(Matches!$C:$C,$A566,Matches!$A:$A,CONCAT("&lt;",$E566))</f>
        <v>11</v>
      </c>
      <c r="K566" s="79">
        <f>COUNTIFS(Entropy!D:D,A566,Entropy!I:I,CONCAT("&lt;",E566-1))</f>
        <v>0</v>
      </c>
      <c r="L566" s="79">
        <f t="shared" si="2"/>
        <v>15</v>
      </c>
      <c r="M566" s="79">
        <f t="array" ref="M566">max(min(IF(J566+K566=11,0,XLOOKUP(B566,Quotas!$A$8:$A$14,Quotas!$E$8:$E$14)-$L566),2),0)</f>
        <v>0</v>
      </c>
      <c r="N566" s="31">
        <f t="shared" si="3"/>
        <v>0</v>
      </c>
    </row>
    <row r="567">
      <c r="A567" s="31" t="s">
        <v>60</v>
      </c>
      <c r="B567" s="9">
        <v>3.0</v>
      </c>
      <c r="C567" s="31" t="str">
        <f>VLOOKUP(A567, 'College List'!A:B, 2, FALSE)</f>
        <v>Silverquill</v>
      </c>
      <c r="D567" s="355">
        <f>VLOOKUP(B567,Quotas!$A$8:$C$14,2,FALSE)</f>
        <v>46150.70833</v>
      </c>
      <c r="E567" s="356">
        <f>VLOOKUP(B567,Quotas!$A$8:$C$14,3,FALSE)</f>
        <v>46157.70833</v>
      </c>
      <c r="F567" s="79">
        <f>COUNTIFS(Matches!$B:$B,A567,Matches!$A:$A,CONCAT("&gt;",$D567),Matches!$A:$A,CONCAT("&lt;",$E567))</f>
        <v>4</v>
      </c>
      <c r="G567" s="79">
        <f>COUNTIFS(Matches!$C:$C,$A567,Matches!$A:$A,CONCAT("&gt;",$D567),Matches!$A:$A,CONCAT("&lt;",$E567))</f>
        <v>1</v>
      </c>
      <c r="H567" s="79">
        <f t="shared" si="1"/>
        <v>5</v>
      </c>
      <c r="I567" s="79">
        <f>COUNTIFS(Matches!$B:$B,$A567,Matches!$A:$A,CONCAT("&lt;",$E567))</f>
        <v>7</v>
      </c>
      <c r="J567" s="79">
        <f>COUNTIFS(Matches!$C:$C,$A567,Matches!$A:$A,CONCAT("&lt;",$E567))</f>
        <v>8</v>
      </c>
      <c r="K567" s="79">
        <f>COUNTIFS(Entropy!D:D,A567,Entropy!I:I,CONCAT("&lt;",E567-1))</f>
        <v>0</v>
      </c>
      <c r="L567" s="79">
        <f t="shared" si="2"/>
        <v>15</v>
      </c>
      <c r="M567" s="79">
        <f t="array" ref="M567">max(min(IF(J567+K567=11,0,XLOOKUP(B567,Quotas!$A$8:$A$14,Quotas!$E$8:$E$14)-$L567),2),0)</f>
        <v>0</v>
      </c>
      <c r="N567" s="31">
        <f t="shared" si="3"/>
        <v>0</v>
      </c>
    </row>
    <row r="568">
      <c r="A568" s="31" t="s">
        <v>402</v>
      </c>
      <c r="B568" s="9">
        <v>3.0</v>
      </c>
      <c r="C568" s="31" t="str">
        <f>VLOOKUP(A568, 'College List'!A:B, 2, FALSE)</f>
        <v>Witherbloom</v>
      </c>
      <c r="D568" s="355">
        <f>VLOOKUP(B568,Quotas!$A$8:$C$14,2,FALSE)</f>
        <v>46150.70833</v>
      </c>
      <c r="E568" s="356">
        <f>VLOOKUP(B568,Quotas!$A$8:$C$14,3,FALSE)</f>
        <v>46157.70833</v>
      </c>
      <c r="F568" s="79">
        <f>COUNTIFS(Matches!$B:$B,A568,Matches!$A:$A,CONCAT("&gt;",$D568),Matches!$A:$A,CONCAT("&lt;",$E568))</f>
        <v>0</v>
      </c>
      <c r="G568" s="79">
        <f>COUNTIFS(Matches!$C:$C,$A568,Matches!$A:$A,CONCAT("&gt;",$D568),Matches!$A:$A,CONCAT("&lt;",$E568))</f>
        <v>3</v>
      </c>
      <c r="H568" s="79">
        <f t="shared" si="1"/>
        <v>3</v>
      </c>
      <c r="I568" s="79">
        <f>COUNTIFS(Matches!$B:$B,$A568,Matches!$A:$A,CONCAT("&lt;",$E568))</f>
        <v>3</v>
      </c>
      <c r="J568" s="79">
        <f>COUNTIFS(Matches!$C:$C,$A568,Matches!$A:$A,CONCAT("&lt;",$E568))</f>
        <v>8</v>
      </c>
      <c r="K568" s="79">
        <f>COUNTIFS(Entropy!D:D,A568,Entropy!I:I,CONCAT("&lt;",E568-1))</f>
        <v>0</v>
      </c>
      <c r="L568" s="79">
        <f t="shared" si="2"/>
        <v>11</v>
      </c>
      <c r="M568" s="79">
        <f t="array" ref="M568">max(min(IF(J568+K568=11,0,XLOOKUP(B568,Quotas!$A$8:$A$14,Quotas!$E$8:$E$14)-$L568),2),0)</f>
        <v>2</v>
      </c>
      <c r="N568" s="31">
        <f t="shared" si="3"/>
        <v>1</v>
      </c>
    </row>
    <row r="569">
      <c r="A569" s="31" t="s">
        <v>267</v>
      </c>
      <c r="B569" s="9">
        <v>3.0</v>
      </c>
      <c r="C569" s="31" t="str">
        <f>VLOOKUP(A569, 'College List'!A:B, 2, FALSE)</f>
        <v>Witherbloom</v>
      </c>
      <c r="D569" s="355">
        <f>VLOOKUP(B569,Quotas!$A$8:$C$14,2,FALSE)</f>
        <v>46150.70833</v>
      </c>
      <c r="E569" s="356">
        <f>VLOOKUP(B569,Quotas!$A$8:$C$14,3,FALSE)</f>
        <v>46157.70833</v>
      </c>
      <c r="F569" s="79">
        <f>COUNTIFS(Matches!$B:$B,A569,Matches!$A:$A,CONCAT("&gt;",$D569),Matches!$A:$A,CONCAT("&lt;",$E569))</f>
        <v>3</v>
      </c>
      <c r="G569" s="79">
        <f>COUNTIFS(Matches!$C:$C,$A569,Matches!$A:$A,CONCAT("&gt;",$D569),Matches!$A:$A,CONCAT("&lt;",$E569))</f>
        <v>2</v>
      </c>
      <c r="H569" s="79">
        <f t="shared" si="1"/>
        <v>5</v>
      </c>
      <c r="I569" s="79">
        <f>COUNTIFS(Matches!$B:$B,$A569,Matches!$A:$A,CONCAT("&lt;",$E569))</f>
        <v>8</v>
      </c>
      <c r="J569" s="79">
        <f>COUNTIFS(Matches!$C:$C,$A569,Matches!$A:$A,CONCAT("&lt;",$E569))</f>
        <v>5</v>
      </c>
      <c r="K569" s="79">
        <f>COUNTIFS(Entropy!D:D,A569,Entropy!I:I,CONCAT("&lt;",E569-1))</f>
        <v>0</v>
      </c>
      <c r="L569" s="79">
        <f t="shared" si="2"/>
        <v>13</v>
      </c>
      <c r="M569" s="79">
        <f t="array" ref="M569">max(min(IF(J569+K569=11,0,XLOOKUP(B569,Quotas!$A$8:$A$14,Quotas!$E$8:$E$14)-$L569),2),0)</f>
        <v>2</v>
      </c>
      <c r="N569" s="31">
        <f t="shared" si="3"/>
        <v>1</v>
      </c>
    </row>
    <row r="570">
      <c r="A570" s="31" t="s">
        <v>335</v>
      </c>
      <c r="B570" s="9">
        <v>3.0</v>
      </c>
      <c r="C570" s="31" t="str">
        <f>VLOOKUP(A570, 'College List'!A:B, 2, FALSE)</f>
        <v>Silverquill</v>
      </c>
      <c r="D570" s="355">
        <f>VLOOKUP(B570,Quotas!$A$8:$C$14,2,FALSE)</f>
        <v>46150.70833</v>
      </c>
      <c r="E570" s="356">
        <f>VLOOKUP(B570,Quotas!$A$8:$C$14,3,FALSE)</f>
        <v>46157.70833</v>
      </c>
      <c r="F570" s="79">
        <f>COUNTIFS(Matches!$B:$B,A570,Matches!$A:$A,CONCAT("&gt;",$D570),Matches!$A:$A,CONCAT("&lt;",$E570))</f>
        <v>2</v>
      </c>
      <c r="G570" s="79">
        <f>COUNTIFS(Matches!$C:$C,$A570,Matches!$A:$A,CONCAT("&gt;",$D570),Matches!$A:$A,CONCAT("&lt;",$E570))</f>
        <v>3</v>
      </c>
      <c r="H570" s="79">
        <f t="shared" si="1"/>
        <v>5</v>
      </c>
      <c r="I570" s="79">
        <f>COUNTIFS(Matches!$B:$B,$A570,Matches!$A:$A,CONCAT("&lt;",$E570))</f>
        <v>5</v>
      </c>
      <c r="J570" s="79">
        <f>COUNTIFS(Matches!$C:$C,$A570,Matches!$A:$A,CONCAT("&lt;",$E570))</f>
        <v>10</v>
      </c>
      <c r="K570" s="79">
        <f>COUNTIFS(Entropy!D:D,A570,Entropy!I:I,CONCAT("&lt;",E570-1))</f>
        <v>0</v>
      </c>
      <c r="L570" s="79">
        <f t="shared" si="2"/>
        <v>15</v>
      </c>
      <c r="M570" s="79">
        <f t="array" ref="M570">max(min(IF(J570+K570=11,0,XLOOKUP(B570,Quotas!$A$8:$A$14,Quotas!$E$8:$E$14)-$L570),2),0)</f>
        <v>0</v>
      </c>
      <c r="N570" s="31">
        <f t="shared" si="3"/>
        <v>0</v>
      </c>
    </row>
    <row r="571">
      <c r="A571" s="31" t="s">
        <v>181</v>
      </c>
      <c r="B571" s="9">
        <v>3.0</v>
      </c>
      <c r="C571" s="31" t="str">
        <f>VLOOKUP(A571, 'College List'!A:B, 2, FALSE)</f>
        <v>Quandrix</v>
      </c>
      <c r="D571" s="355">
        <f>VLOOKUP(B571,Quotas!$A$8:$C$14,2,FALSE)</f>
        <v>46150.70833</v>
      </c>
      <c r="E571" s="356">
        <f>VLOOKUP(B571,Quotas!$A$8:$C$14,3,FALSE)</f>
        <v>46157.70833</v>
      </c>
      <c r="F571" s="79">
        <f>COUNTIFS(Matches!$B:$B,A571,Matches!$A:$A,CONCAT("&gt;",$D571),Matches!$A:$A,CONCAT("&lt;",$E571))</f>
        <v>1</v>
      </c>
      <c r="G571" s="79">
        <f>COUNTIFS(Matches!$C:$C,$A571,Matches!$A:$A,CONCAT("&gt;",$D571),Matches!$A:$A,CONCAT("&lt;",$E571))</f>
        <v>4</v>
      </c>
      <c r="H571" s="79">
        <f t="shared" si="1"/>
        <v>5</v>
      </c>
      <c r="I571" s="79">
        <f>COUNTIFS(Matches!$B:$B,$A571,Matches!$A:$A,CONCAT("&lt;",$E571))</f>
        <v>2</v>
      </c>
      <c r="J571" s="79">
        <f>COUNTIFS(Matches!$C:$C,$A571,Matches!$A:$A,CONCAT("&lt;",$E571))</f>
        <v>11</v>
      </c>
      <c r="K571" s="79">
        <f>COUNTIFS(Entropy!D:D,A571,Entropy!I:I,CONCAT("&lt;",E571-1))</f>
        <v>0</v>
      </c>
      <c r="L571" s="79">
        <f t="shared" si="2"/>
        <v>13</v>
      </c>
      <c r="M571" s="79">
        <f t="array" ref="M571">max(min(IF(J571+K571=11,0,XLOOKUP(B571,Quotas!$A$8:$A$14,Quotas!$E$8:$E$14)-$L571),2),0)</f>
        <v>0</v>
      </c>
      <c r="N571" s="31">
        <f t="shared" si="3"/>
        <v>0</v>
      </c>
    </row>
    <row r="572">
      <c r="A572" s="31" t="s">
        <v>385</v>
      </c>
      <c r="B572" s="9">
        <v>3.0</v>
      </c>
      <c r="C572" s="31" t="str">
        <f>VLOOKUP(A572, 'College List'!A:B, 2, FALSE)</f>
        <v>Witherbloom</v>
      </c>
      <c r="D572" s="355">
        <f>VLOOKUP(B572,Quotas!$A$8:$C$14,2,FALSE)</f>
        <v>46150.70833</v>
      </c>
      <c r="E572" s="356">
        <f>VLOOKUP(B572,Quotas!$A$8:$C$14,3,FALSE)</f>
        <v>46157.70833</v>
      </c>
      <c r="F572" s="79">
        <f>COUNTIFS(Matches!$B:$B,A572,Matches!$A:$A,CONCAT("&gt;",$D572),Matches!$A:$A,CONCAT("&lt;",$E572))</f>
        <v>4</v>
      </c>
      <c r="G572" s="79">
        <f>COUNTIFS(Matches!$C:$C,$A572,Matches!$A:$A,CONCAT("&gt;",$D572),Matches!$A:$A,CONCAT("&lt;",$E572))</f>
        <v>1</v>
      </c>
      <c r="H572" s="79">
        <f t="shared" si="1"/>
        <v>5</v>
      </c>
      <c r="I572" s="79">
        <f>COUNTIFS(Matches!$B:$B,$A572,Matches!$A:$A,CONCAT("&lt;",$E572))</f>
        <v>9</v>
      </c>
      <c r="J572" s="79">
        <f>COUNTIFS(Matches!$C:$C,$A572,Matches!$A:$A,CONCAT("&lt;",$E572))</f>
        <v>6</v>
      </c>
      <c r="K572" s="79">
        <f>COUNTIFS(Entropy!D:D,A572,Entropy!I:I,CONCAT("&lt;",E572-1))</f>
        <v>0</v>
      </c>
      <c r="L572" s="79">
        <f t="shared" si="2"/>
        <v>15</v>
      </c>
      <c r="M572" s="79">
        <f t="array" ref="M572">max(min(IF(J572+K572=11,0,XLOOKUP(B572,Quotas!$A$8:$A$14,Quotas!$E$8:$E$14)-$L572),2),0)</f>
        <v>0</v>
      </c>
      <c r="N572" s="31">
        <f t="shared" si="3"/>
        <v>0</v>
      </c>
    </row>
    <row r="573">
      <c r="A573" s="31" t="s">
        <v>192</v>
      </c>
      <c r="B573" s="9">
        <v>3.0</v>
      </c>
      <c r="C573" s="31" t="str">
        <f>VLOOKUP(A573, 'College List'!A:B, 2, FALSE)</f>
        <v>Witherbloom</v>
      </c>
      <c r="D573" s="355">
        <f>VLOOKUP(B573,Quotas!$A$8:$C$14,2,FALSE)</f>
        <v>46150.70833</v>
      </c>
      <c r="E573" s="356">
        <f>VLOOKUP(B573,Quotas!$A$8:$C$14,3,FALSE)</f>
        <v>46157.70833</v>
      </c>
      <c r="F573" s="79">
        <f>COUNTIFS(Matches!$B:$B,A573,Matches!$A:$A,CONCAT("&gt;",$D573),Matches!$A:$A,CONCAT("&lt;",$E573))</f>
        <v>2</v>
      </c>
      <c r="G573" s="79">
        <f>COUNTIFS(Matches!$C:$C,$A573,Matches!$A:$A,CONCAT("&gt;",$D573),Matches!$A:$A,CONCAT("&lt;",$E573))</f>
        <v>3</v>
      </c>
      <c r="H573" s="79">
        <f t="shared" si="1"/>
        <v>5</v>
      </c>
      <c r="I573" s="79">
        <f>COUNTIFS(Matches!$B:$B,$A573,Matches!$A:$A,CONCAT("&lt;",$E573))</f>
        <v>10</v>
      </c>
      <c r="J573" s="79">
        <f>COUNTIFS(Matches!$C:$C,$A573,Matches!$A:$A,CONCAT("&lt;",$E573))</f>
        <v>5</v>
      </c>
      <c r="K573" s="79">
        <f>COUNTIFS(Entropy!D:D,A573,Entropy!I:I,CONCAT("&lt;",E573-1))</f>
        <v>0</v>
      </c>
      <c r="L573" s="79">
        <f t="shared" si="2"/>
        <v>15</v>
      </c>
      <c r="M573" s="79">
        <f t="array" ref="M573">max(min(IF(J573+K573=11,0,XLOOKUP(B573,Quotas!$A$8:$A$14,Quotas!$E$8:$E$14)-$L573),2),0)</f>
        <v>0</v>
      </c>
      <c r="N573" s="31">
        <f t="shared" si="3"/>
        <v>0</v>
      </c>
    </row>
    <row r="574">
      <c r="A574" s="31" t="s">
        <v>142</v>
      </c>
      <c r="B574" s="9">
        <v>3.0</v>
      </c>
      <c r="C574" s="31" t="str">
        <f>VLOOKUP(A574, 'College List'!A:B, 2, FALSE)</f>
        <v>Lorehold</v>
      </c>
      <c r="D574" s="355">
        <f>VLOOKUP(B574,Quotas!$A$8:$C$14,2,FALSE)</f>
        <v>46150.70833</v>
      </c>
      <c r="E574" s="356">
        <f>VLOOKUP(B574,Quotas!$A$8:$C$14,3,FALSE)</f>
        <v>46157.70833</v>
      </c>
      <c r="F574" s="79">
        <f>COUNTIFS(Matches!$B:$B,A574,Matches!$A:$A,CONCAT("&gt;",$D574),Matches!$A:$A,CONCAT("&lt;",$E574))</f>
        <v>4</v>
      </c>
      <c r="G574" s="79">
        <f>COUNTIFS(Matches!$C:$C,$A574,Matches!$A:$A,CONCAT("&gt;",$D574),Matches!$A:$A,CONCAT("&lt;",$E574))</f>
        <v>1</v>
      </c>
      <c r="H574" s="79">
        <f t="shared" si="1"/>
        <v>5</v>
      </c>
      <c r="I574" s="79">
        <f>COUNTIFS(Matches!$B:$B,$A574,Matches!$A:$A,CONCAT("&lt;",$E574))</f>
        <v>6</v>
      </c>
      <c r="J574" s="79">
        <f>COUNTIFS(Matches!$C:$C,$A574,Matches!$A:$A,CONCAT("&lt;",$E574))</f>
        <v>9</v>
      </c>
      <c r="K574" s="79">
        <f>COUNTIFS(Entropy!D:D,A574,Entropy!I:I,CONCAT("&lt;",E574-1))</f>
        <v>0</v>
      </c>
      <c r="L574" s="79">
        <f t="shared" si="2"/>
        <v>15</v>
      </c>
      <c r="M574" s="79">
        <f t="array" ref="M574">max(min(IF(J574+K574=11,0,XLOOKUP(B574,Quotas!$A$8:$A$14,Quotas!$E$8:$E$14)-$L574),2),0)</f>
        <v>0</v>
      </c>
      <c r="N574" s="31">
        <f t="shared" si="3"/>
        <v>0</v>
      </c>
    </row>
    <row r="575">
      <c r="A575" s="31" t="s">
        <v>101</v>
      </c>
      <c r="B575" s="9">
        <v>3.0</v>
      </c>
      <c r="C575" s="31" t="str">
        <f>VLOOKUP(A575, 'College List'!A:B, 2, FALSE)</f>
        <v>Lorehold</v>
      </c>
      <c r="D575" s="355">
        <f>VLOOKUP(B575,Quotas!$A$8:$C$14,2,FALSE)</f>
        <v>46150.70833</v>
      </c>
      <c r="E575" s="356">
        <f>VLOOKUP(B575,Quotas!$A$8:$C$14,3,FALSE)</f>
        <v>46157.70833</v>
      </c>
      <c r="F575" s="79">
        <f>COUNTIFS(Matches!$B:$B,A575,Matches!$A:$A,CONCAT("&gt;",$D575),Matches!$A:$A,CONCAT("&lt;",$E575))</f>
        <v>3</v>
      </c>
      <c r="G575" s="79">
        <f>COUNTIFS(Matches!$C:$C,$A575,Matches!$A:$A,CONCAT("&gt;",$D575),Matches!$A:$A,CONCAT("&lt;",$E575))</f>
        <v>2</v>
      </c>
      <c r="H575" s="79">
        <f t="shared" si="1"/>
        <v>5</v>
      </c>
      <c r="I575" s="79">
        <f>COUNTIFS(Matches!$B:$B,$A575,Matches!$A:$A,CONCAT("&lt;",$E575))</f>
        <v>8</v>
      </c>
      <c r="J575" s="79">
        <f>COUNTIFS(Matches!$C:$C,$A575,Matches!$A:$A,CONCAT("&lt;",$E575))</f>
        <v>7</v>
      </c>
      <c r="K575" s="79">
        <f>COUNTIFS(Entropy!D:D,A575,Entropy!I:I,CONCAT("&lt;",E575-1))</f>
        <v>0</v>
      </c>
      <c r="L575" s="79">
        <f t="shared" si="2"/>
        <v>15</v>
      </c>
      <c r="M575" s="79">
        <f t="array" ref="M575">max(min(IF(J575+K575=11,0,XLOOKUP(B575,Quotas!$A$8:$A$14,Quotas!$E$8:$E$14)-$L575),2),0)</f>
        <v>0</v>
      </c>
      <c r="N575" s="31">
        <f t="shared" si="3"/>
        <v>0</v>
      </c>
    </row>
    <row r="576">
      <c r="A576" s="31" t="s">
        <v>115</v>
      </c>
      <c r="B576" s="9">
        <v>3.0</v>
      </c>
      <c r="C576" s="31" t="str">
        <f>VLOOKUP(A576, 'College List'!A:B, 2, FALSE)</f>
        <v>Silverquill</v>
      </c>
      <c r="D576" s="355">
        <f>VLOOKUP(B576,Quotas!$A$8:$C$14,2,FALSE)</f>
        <v>46150.70833</v>
      </c>
      <c r="E576" s="356">
        <f>VLOOKUP(B576,Quotas!$A$8:$C$14,3,FALSE)</f>
        <v>46157.70833</v>
      </c>
      <c r="F576" s="79">
        <f>COUNTIFS(Matches!$B:$B,A576,Matches!$A:$A,CONCAT("&gt;",$D576),Matches!$A:$A,CONCAT("&lt;",$E576))</f>
        <v>2</v>
      </c>
      <c r="G576" s="79">
        <f>COUNTIFS(Matches!$C:$C,$A576,Matches!$A:$A,CONCAT("&gt;",$D576),Matches!$A:$A,CONCAT("&lt;",$E576))</f>
        <v>3</v>
      </c>
      <c r="H576" s="79">
        <f t="shared" si="1"/>
        <v>5</v>
      </c>
      <c r="I576" s="79">
        <f>COUNTIFS(Matches!$B:$B,$A576,Matches!$A:$A,CONCAT("&lt;",$E576))</f>
        <v>9</v>
      </c>
      <c r="J576" s="79">
        <f>COUNTIFS(Matches!$C:$C,$A576,Matches!$A:$A,CONCAT("&lt;",$E576))</f>
        <v>6</v>
      </c>
      <c r="K576" s="79">
        <f>COUNTIFS(Entropy!D:D,A576,Entropy!I:I,CONCAT("&lt;",E576-1))</f>
        <v>0</v>
      </c>
      <c r="L576" s="79">
        <f t="shared" si="2"/>
        <v>15</v>
      </c>
      <c r="M576" s="79">
        <f t="array" ref="M576">max(min(IF(J576+K576=11,0,XLOOKUP(B576,Quotas!$A$8:$A$14,Quotas!$E$8:$E$14)-$L576),2),0)</f>
        <v>0</v>
      </c>
      <c r="N576" s="31">
        <f t="shared" si="3"/>
        <v>0</v>
      </c>
    </row>
    <row r="577">
      <c r="A577" s="31" t="s">
        <v>158</v>
      </c>
      <c r="B577" s="9">
        <v>3.0</v>
      </c>
      <c r="C577" s="31" t="str">
        <f>VLOOKUP(A577, 'College List'!A:B, 2, FALSE)</f>
        <v>Lorehold</v>
      </c>
      <c r="D577" s="355">
        <f>VLOOKUP(B577,Quotas!$A$8:$C$14,2,FALSE)</f>
        <v>46150.70833</v>
      </c>
      <c r="E577" s="356">
        <f>VLOOKUP(B577,Quotas!$A$8:$C$14,3,FALSE)</f>
        <v>46157.70833</v>
      </c>
      <c r="F577" s="79">
        <f>COUNTIFS(Matches!$B:$B,A577,Matches!$A:$A,CONCAT("&gt;",$D577),Matches!$A:$A,CONCAT("&lt;",$E577))</f>
        <v>1</v>
      </c>
      <c r="G577" s="79">
        <f>COUNTIFS(Matches!$C:$C,$A577,Matches!$A:$A,CONCAT("&gt;",$D577),Matches!$A:$A,CONCAT("&lt;",$E577))</f>
        <v>4</v>
      </c>
      <c r="H577" s="79">
        <f t="shared" si="1"/>
        <v>5</v>
      </c>
      <c r="I577" s="79">
        <f>COUNTIFS(Matches!$B:$B,$A577,Matches!$A:$A,CONCAT("&lt;",$E577))</f>
        <v>6</v>
      </c>
      <c r="J577" s="79">
        <f>COUNTIFS(Matches!$C:$C,$A577,Matches!$A:$A,CONCAT("&lt;",$E577))</f>
        <v>9</v>
      </c>
      <c r="K577" s="79">
        <f>COUNTIFS(Entropy!D:D,A577,Entropy!I:I,CONCAT("&lt;",E577-1))</f>
        <v>0</v>
      </c>
      <c r="L577" s="79">
        <f t="shared" si="2"/>
        <v>15</v>
      </c>
      <c r="M577" s="79">
        <f t="array" ref="M577">max(min(IF(J577+K577=11,0,XLOOKUP(B577,Quotas!$A$8:$A$14,Quotas!$E$8:$E$14)-$L577),2),0)</f>
        <v>0</v>
      </c>
      <c r="N577" s="31">
        <f t="shared" si="3"/>
        <v>0</v>
      </c>
    </row>
    <row r="578">
      <c r="A578" s="31" t="s">
        <v>388</v>
      </c>
      <c r="B578" s="9">
        <v>3.0</v>
      </c>
      <c r="C578" s="31" t="str">
        <f>VLOOKUP(A578, 'College List'!A:B, 2, FALSE)</f>
        <v>Lorehold</v>
      </c>
      <c r="D578" s="355">
        <f>VLOOKUP(B578,Quotas!$A$8:$C$14,2,FALSE)</f>
        <v>46150.70833</v>
      </c>
      <c r="E578" s="356">
        <f>VLOOKUP(B578,Quotas!$A$8:$C$14,3,FALSE)</f>
        <v>46157.70833</v>
      </c>
      <c r="F578" s="79">
        <f>COUNTIFS(Matches!$B:$B,A578,Matches!$A:$A,CONCAT("&gt;",$D578),Matches!$A:$A,CONCAT("&lt;",$E578))</f>
        <v>6</v>
      </c>
      <c r="G578" s="79">
        <f>COUNTIFS(Matches!$C:$C,$A578,Matches!$A:$A,CONCAT("&gt;",$D578),Matches!$A:$A,CONCAT("&lt;",$E578))</f>
        <v>0</v>
      </c>
      <c r="H578" s="79">
        <f t="shared" si="1"/>
        <v>6</v>
      </c>
      <c r="I578" s="79">
        <f>COUNTIFS(Matches!$B:$B,$A578,Matches!$A:$A,CONCAT("&lt;",$E578))</f>
        <v>12</v>
      </c>
      <c r="J578" s="79">
        <f>COUNTIFS(Matches!$C:$C,$A578,Matches!$A:$A,CONCAT("&lt;",$E578))</f>
        <v>4</v>
      </c>
      <c r="K578" s="79">
        <f>COUNTIFS(Entropy!D:D,A578,Entropy!I:I,CONCAT("&lt;",E578-1))</f>
        <v>1</v>
      </c>
      <c r="L578" s="79">
        <f t="shared" si="2"/>
        <v>17</v>
      </c>
      <c r="M578" s="79">
        <f t="array" ref="M578">max(min(IF(J578+K578=11,0,XLOOKUP(B578,Quotas!$A$8:$A$14,Quotas!$E$8:$E$14)-$L578),2),0)</f>
        <v>0</v>
      </c>
      <c r="N578" s="31">
        <f t="shared" si="3"/>
        <v>0</v>
      </c>
    </row>
    <row r="579">
      <c r="A579" s="31" t="s">
        <v>121</v>
      </c>
      <c r="B579" s="9">
        <v>3.0</v>
      </c>
      <c r="C579" s="31" t="str">
        <f>VLOOKUP(A579, 'College List'!A:B, 2, FALSE)</f>
        <v>Quandrix</v>
      </c>
      <c r="D579" s="355">
        <f>VLOOKUP(B579,Quotas!$A$8:$C$14,2,FALSE)</f>
        <v>46150.70833</v>
      </c>
      <c r="E579" s="356">
        <f>VLOOKUP(B579,Quotas!$A$8:$C$14,3,FALSE)</f>
        <v>46157.70833</v>
      </c>
      <c r="F579" s="79">
        <f>COUNTIFS(Matches!$B:$B,A579,Matches!$A:$A,CONCAT("&gt;",$D579),Matches!$A:$A,CONCAT("&lt;",$E579))</f>
        <v>2</v>
      </c>
      <c r="G579" s="79">
        <f>COUNTIFS(Matches!$C:$C,$A579,Matches!$A:$A,CONCAT("&gt;",$D579),Matches!$A:$A,CONCAT("&lt;",$E579))</f>
        <v>3</v>
      </c>
      <c r="H579" s="79">
        <f t="shared" si="1"/>
        <v>5</v>
      </c>
      <c r="I579" s="79">
        <f>COUNTIFS(Matches!$B:$B,$A579,Matches!$A:$A,CONCAT("&lt;",$E579))</f>
        <v>9</v>
      </c>
      <c r="J579" s="79">
        <f>COUNTIFS(Matches!$C:$C,$A579,Matches!$A:$A,CONCAT("&lt;",$E579))</f>
        <v>6</v>
      </c>
      <c r="K579" s="79">
        <f>COUNTIFS(Entropy!D:D,A579,Entropy!I:I,CONCAT("&lt;",E579-1))</f>
        <v>0</v>
      </c>
      <c r="L579" s="79">
        <f t="shared" si="2"/>
        <v>15</v>
      </c>
      <c r="M579" s="79">
        <f t="array" ref="M579">max(min(IF(J579+K579=11,0,XLOOKUP(B579,Quotas!$A$8:$A$14,Quotas!$E$8:$E$14)-$L579),2),0)</f>
        <v>0</v>
      </c>
      <c r="N579" s="31">
        <f t="shared" si="3"/>
        <v>0</v>
      </c>
    </row>
    <row r="580">
      <c r="A580" s="31" t="s">
        <v>312</v>
      </c>
      <c r="B580" s="9">
        <v>3.0</v>
      </c>
      <c r="C580" s="31" t="str">
        <f>VLOOKUP(A580, 'College List'!A:B, 2, FALSE)</f>
        <v>Prismari</v>
      </c>
      <c r="D580" s="355">
        <f>VLOOKUP(B580,Quotas!$A$8:$C$14,2,FALSE)</f>
        <v>46150.70833</v>
      </c>
      <c r="E580" s="356">
        <f>VLOOKUP(B580,Quotas!$A$8:$C$14,3,FALSE)</f>
        <v>46157.70833</v>
      </c>
      <c r="F580" s="79">
        <f>COUNTIFS(Matches!$B:$B,A580,Matches!$A:$A,CONCAT("&gt;",$D580),Matches!$A:$A,CONCAT("&lt;",$E580))</f>
        <v>3</v>
      </c>
      <c r="G580" s="79">
        <f>COUNTIFS(Matches!$C:$C,$A580,Matches!$A:$A,CONCAT("&gt;",$D580),Matches!$A:$A,CONCAT("&lt;",$E580))</f>
        <v>2</v>
      </c>
      <c r="H580" s="79">
        <f t="shared" si="1"/>
        <v>5</v>
      </c>
      <c r="I580" s="79">
        <f>COUNTIFS(Matches!$B:$B,$A580,Matches!$A:$A,CONCAT("&lt;",$E580))</f>
        <v>11</v>
      </c>
      <c r="J580" s="79">
        <f>COUNTIFS(Matches!$C:$C,$A580,Matches!$A:$A,CONCAT("&lt;",$E580))</f>
        <v>4</v>
      </c>
      <c r="K580" s="79">
        <f>COUNTIFS(Entropy!D:D,A580,Entropy!I:I,CONCAT("&lt;",E580-1))</f>
        <v>0</v>
      </c>
      <c r="L580" s="79">
        <f t="shared" si="2"/>
        <v>15</v>
      </c>
      <c r="M580" s="79">
        <f t="array" ref="M580">max(min(IF(J580+K580=11,0,XLOOKUP(B580,Quotas!$A$8:$A$14,Quotas!$E$8:$E$14)-$L580),2),0)</f>
        <v>0</v>
      </c>
      <c r="N580" s="31">
        <f t="shared" si="3"/>
        <v>0</v>
      </c>
    </row>
    <row r="581">
      <c r="A581" s="31" t="s">
        <v>367</v>
      </c>
      <c r="B581" s="9">
        <v>3.0</v>
      </c>
      <c r="C581" s="31" t="str">
        <f>VLOOKUP(A581, 'College List'!A:B, 2, FALSE)</f>
        <v>Prismari</v>
      </c>
      <c r="D581" s="355">
        <f>VLOOKUP(B581,Quotas!$A$8:$C$14,2,FALSE)</f>
        <v>46150.70833</v>
      </c>
      <c r="E581" s="356">
        <f>VLOOKUP(B581,Quotas!$A$8:$C$14,3,FALSE)</f>
        <v>46157.70833</v>
      </c>
      <c r="F581" s="79">
        <f>COUNTIFS(Matches!$B:$B,A581,Matches!$A:$A,CONCAT("&gt;",$D581),Matches!$A:$A,CONCAT("&lt;",$E581))</f>
        <v>4</v>
      </c>
      <c r="G581" s="79">
        <f>COUNTIFS(Matches!$C:$C,$A581,Matches!$A:$A,CONCAT("&gt;",$D581),Matches!$A:$A,CONCAT("&lt;",$E581))</f>
        <v>2</v>
      </c>
      <c r="H581" s="79">
        <f t="shared" si="1"/>
        <v>6</v>
      </c>
      <c r="I581" s="79">
        <f>COUNTIFS(Matches!$B:$B,$A581,Matches!$A:$A,CONCAT("&lt;",$E581))</f>
        <v>7</v>
      </c>
      <c r="J581" s="79">
        <f>COUNTIFS(Matches!$C:$C,$A581,Matches!$A:$A,CONCAT("&lt;",$E581))</f>
        <v>6</v>
      </c>
      <c r="K581" s="79">
        <f>COUNTIFS(Entropy!D:D,A581,Entropy!I:I,CONCAT("&lt;",E581-1))</f>
        <v>0</v>
      </c>
      <c r="L581" s="79">
        <f t="shared" si="2"/>
        <v>13</v>
      </c>
      <c r="M581" s="79">
        <f t="array" ref="M581">max(min(IF(J581+K581=11,0,XLOOKUP(B581,Quotas!$A$8:$A$14,Quotas!$E$8:$E$14)-$L581),2),0)</f>
        <v>2</v>
      </c>
      <c r="N581" s="31">
        <f t="shared" si="3"/>
        <v>1</v>
      </c>
    </row>
    <row r="582">
      <c r="A582" s="31" t="s">
        <v>299</v>
      </c>
      <c r="B582" s="9">
        <v>3.0</v>
      </c>
      <c r="C582" s="31" t="str">
        <f>VLOOKUP(A582, 'College List'!A:B, 2, FALSE)</f>
        <v>Witherbloom</v>
      </c>
      <c r="D582" s="355">
        <f>VLOOKUP(B582,Quotas!$A$8:$C$14,2,FALSE)</f>
        <v>46150.70833</v>
      </c>
      <c r="E582" s="356">
        <f>VLOOKUP(B582,Quotas!$A$8:$C$14,3,FALSE)</f>
        <v>46157.70833</v>
      </c>
      <c r="F582" s="79">
        <f>COUNTIFS(Matches!$B:$B,A582,Matches!$A:$A,CONCAT("&gt;",$D582),Matches!$A:$A,CONCAT("&lt;",$E582))</f>
        <v>4</v>
      </c>
      <c r="G582" s="79">
        <f>COUNTIFS(Matches!$C:$C,$A582,Matches!$A:$A,CONCAT("&gt;",$D582),Matches!$A:$A,CONCAT("&lt;",$E582))</f>
        <v>3</v>
      </c>
      <c r="H582" s="79">
        <f t="shared" si="1"/>
        <v>7</v>
      </c>
      <c r="I582" s="79">
        <f>COUNTIFS(Matches!$B:$B,$A582,Matches!$A:$A,CONCAT("&lt;",$E582))</f>
        <v>9</v>
      </c>
      <c r="J582" s="79">
        <f>COUNTIFS(Matches!$C:$C,$A582,Matches!$A:$A,CONCAT("&lt;",$E582))</f>
        <v>6</v>
      </c>
      <c r="K582" s="79">
        <f>COUNTIFS(Entropy!D:D,A582,Entropy!I:I,CONCAT("&lt;",E582-1))</f>
        <v>0</v>
      </c>
      <c r="L582" s="79">
        <f t="shared" si="2"/>
        <v>15</v>
      </c>
      <c r="M582" s="79">
        <f t="array" ref="M582">max(min(IF(J582+K582=11,0,XLOOKUP(B582,Quotas!$A$8:$A$14,Quotas!$E$8:$E$14)-$L582),2),0)</f>
        <v>0</v>
      </c>
      <c r="N582" s="31">
        <f t="shared" si="3"/>
        <v>0</v>
      </c>
    </row>
    <row r="583">
      <c r="A583" s="31" t="s">
        <v>151</v>
      </c>
      <c r="B583" s="9">
        <v>3.0</v>
      </c>
      <c r="C583" s="31" t="str">
        <f>VLOOKUP(A583, 'College List'!A:B, 2, FALSE)</f>
        <v>Quandrix</v>
      </c>
      <c r="D583" s="355">
        <f>VLOOKUP(B583,Quotas!$A$8:$C$14,2,FALSE)</f>
        <v>46150.70833</v>
      </c>
      <c r="E583" s="356">
        <f>VLOOKUP(B583,Quotas!$A$8:$C$14,3,FALSE)</f>
        <v>46157.70833</v>
      </c>
      <c r="F583" s="79">
        <f>COUNTIFS(Matches!$B:$B,A583,Matches!$A:$A,CONCAT("&gt;",$D583),Matches!$A:$A,CONCAT("&lt;",$E583))</f>
        <v>1</v>
      </c>
      <c r="G583" s="79">
        <f>COUNTIFS(Matches!$C:$C,$A583,Matches!$A:$A,CONCAT("&gt;",$D583),Matches!$A:$A,CONCAT("&lt;",$E583))</f>
        <v>4</v>
      </c>
      <c r="H583" s="79">
        <f t="shared" si="1"/>
        <v>5</v>
      </c>
      <c r="I583" s="79">
        <f>COUNTIFS(Matches!$B:$B,$A583,Matches!$A:$A,CONCAT("&lt;",$E583))</f>
        <v>9</v>
      </c>
      <c r="J583" s="79">
        <f>COUNTIFS(Matches!$C:$C,$A583,Matches!$A:$A,CONCAT("&lt;",$E583))</f>
        <v>6</v>
      </c>
      <c r="K583" s="79">
        <f>COUNTIFS(Entropy!D:D,A583,Entropy!I:I,CONCAT("&lt;",E583-1))</f>
        <v>0</v>
      </c>
      <c r="L583" s="79">
        <f t="shared" si="2"/>
        <v>15</v>
      </c>
      <c r="M583" s="79">
        <f t="array" ref="M583">max(min(IF(J583+K583=11,0,XLOOKUP(B583,Quotas!$A$8:$A$14,Quotas!$E$8:$E$14)-$L583),2),0)</f>
        <v>0</v>
      </c>
      <c r="N583" s="31">
        <f t="shared" si="3"/>
        <v>0</v>
      </c>
    </row>
    <row r="584">
      <c r="A584" s="31" t="s">
        <v>332</v>
      </c>
      <c r="B584" s="9">
        <v>3.0</v>
      </c>
      <c r="C584" s="31" t="str">
        <f>VLOOKUP(A584, 'College List'!A:B, 2, FALSE)</f>
        <v>Quandrix</v>
      </c>
      <c r="D584" s="355">
        <f>VLOOKUP(B584,Quotas!$A$8:$C$14,2,FALSE)</f>
        <v>46150.70833</v>
      </c>
      <c r="E584" s="356">
        <f>VLOOKUP(B584,Quotas!$A$8:$C$14,3,FALSE)</f>
        <v>46157.70833</v>
      </c>
      <c r="F584" s="79">
        <f>COUNTIFS(Matches!$B:$B,A584,Matches!$A:$A,CONCAT("&gt;",$D584),Matches!$A:$A,CONCAT("&lt;",$E584))</f>
        <v>2</v>
      </c>
      <c r="G584" s="79">
        <f>COUNTIFS(Matches!$C:$C,$A584,Matches!$A:$A,CONCAT("&gt;",$D584),Matches!$A:$A,CONCAT("&lt;",$E584))</f>
        <v>3</v>
      </c>
      <c r="H584" s="79">
        <f t="shared" si="1"/>
        <v>5</v>
      </c>
      <c r="I584" s="79">
        <f>COUNTIFS(Matches!$B:$B,$A584,Matches!$A:$A,CONCAT("&lt;",$E584))</f>
        <v>9</v>
      </c>
      <c r="J584" s="79">
        <f>COUNTIFS(Matches!$C:$C,$A584,Matches!$A:$A,CONCAT("&lt;",$E584))</f>
        <v>6</v>
      </c>
      <c r="K584" s="79">
        <f>COUNTIFS(Entropy!D:D,A584,Entropy!I:I,CONCAT("&lt;",E584-1))</f>
        <v>0</v>
      </c>
      <c r="L584" s="79">
        <f t="shared" si="2"/>
        <v>15</v>
      </c>
      <c r="M584" s="79">
        <f t="array" ref="M584">max(min(IF(J584+K584=11,0,XLOOKUP(B584,Quotas!$A$8:$A$14,Quotas!$E$8:$E$14)-$L584),2),0)</f>
        <v>0</v>
      </c>
      <c r="N584" s="31">
        <f t="shared" si="3"/>
        <v>0</v>
      </c>
    </row>
    <row r="585">
      <c r="A585" s="31" t="s">
        <v>421</v>
      </c>
      <c r="B585" s="9">
        <v>3.0</v>
      </c>
      <c r="C585" s="31" t="str">
        <f>VLOOKUP(A585, 'College List'!A:B, 2, FALSE)</f>
        <v>Lorehold</v>
      </c>
      <c r="D585" s="355">
        <f>VLOOKUP(B585,Quotas!$A$8:$C$14,2,FALSE)</f>
        <v>46150.70833</v>
      </c>
      <c r="E585" s="356">
        <f>VLOOKUP(B585,Quotas!$A$8:$C$14,3,FALSE)</f>
        <v>46157.70833</v>
      </c>
      <c r="F585" s="79">
        <f>COUNTIFS(Matches!$B:$B,A585,Matches!$A:$A,CONCAT("&gt;",$D585),Matches!$A:$A,CONCAT("&lt;",$E585))</f>
        <v>2</v>
      </c>
      <c r="G585" s="79">
        <f>COUNTIFS(Matches!$C:$C,$A585,Matches!$A:$A,CONCAT("&gt;",$D585),Matches!$A:$A,CONCAT("&lt;",$E585))</f>
        <v>2</v>
      </c>
      <c r="H585" s="79">
        <f t="shared" si="1"/>
        <v>4</v>
      </c>
      <c r="I585" s="79">
        <f>COUNTIFS(Matches!$B:$B,$A585,Matches!$A:$A,CONCAT("&lt;",$E585))</f>
        <v>6</v>
      </c>
      <c r="J585" s="79">
        <f>COUNTIFS(Matches!$C:$C,$A585,Matches!$A:$A,CONCAT("&lt;",$E585))</f>
        <v>6</v>
      </c>
      <c r="K585" s="79">
        <f>COUNTIFS(Entropy!D:D,A585,Entropy!I:I,CONCAT("&lt;",E585-1))</f>
        <v>0</v>
      </c>
      <c r="L585" s="79">
        <f t="shared" si="2"/>
        <v>12</v>
      </c>
      <c r="M585" s="79">
        <f t="array" ref="M585">max(min(IF(J585+K585=11,0,XLOOKUP(B585,Quotas!$A$8:$A$14,Quotas!$E$8:$E$14)-$L585),2),0)</f>
        <v>2</v>
      </c>
      <c r="N585" s="31">
        <f t="shared" si="3"/>
        <v>1</v>
      </c>
    </row>
    <row r="586">
      <c r="A586" s="31" t="s">
        <v>351</v>
      </c>
      <c r="B586" s="9">
        <v>3.0</v>
      </c>
      <c r="C586" s="31" t="str">
        <f>VLOOKUP(A586, 'College List'!A:B, 2, FALSE)</f>
        <v>Silverquill</v>
      </c>
      <c r="D586" s="355">
        <f>VLOOKUP(B586,Quotas!$A$8:$C$14,2,FALSE)</f>
        <v>46150.70833</v>
      </c>
      <c r="E586" s="356">
        <f>VLOOKUP(B586,Quotas!$A$8:$C$14,3,FALSE)</f>
        <v>46157.70833</v>
      </c>
      <c r="F586" s="79">
        <f>COUNTIFS(Matches!$B:$B,A586,Matches!$A:$A,CONCAT("&gt;",$D586),Matches!$A:$A,CONCAT("&lt;",$E586))</f>
        <v>0</v>
      </c>
      <c r="G586" s="79">
        <f>COUNTIFS(Matches!$C:$C,$A586,Matches!$A:$A,CONCAT("&gt;",$D586),Matches!$A:$A,CONCAT("&lt;",$E586))</f>
        <v>4</v>
      </c>
      <c r="H586" s="79">
        <f t="shared" si="1"/>
        <v>4</v>
      </c>
      <c r="I586" s="79">
        <f>COUNTIFS(Matches!$B:$B,$A586,Matches!$A:$A,CONCAT("&lt;",$E586))</f>
        <v>3</v>
      </c>
      <c r="J586" s="79">
        <f>COUNTIFS(Matches!$C:$C,$A586,Matches!$A:$A,CONCAT("&lt;",$E586))</f>
        <v>9</v>
      </c>
      <c r="K586" s="79">
        <f>COUNTIFS(Entropy!D:D,A586,Entropy!I:I,CONCAT("&lt;",E586-1))</f>
        <v>0</v>
      </c>
      <c r="L586" s="79">
        <f t="shared" si="2"/>
        <v>12</v>
      </c>
      <c r="M586" s="79">
        <f t="array" ref="M586">max(min(IF(J586+K586=11,0,XLOOKUP(B586,Quotas!$A$8:$A$14,Quotas!$E$8:$E$14)-$L586),2),0)</f>
        <v>2</v>
      </c>
      <c r="N586" s="31">
        <f t="shared" si="3"/>
        <v>1</v>
      </c>
    </row>
    <row r="587">
      <c r="A587" s="31" t="s">
        <v>274</v>
      </c>
      <c r="B587" s="9">
        <v>3.0</v>
      </c>
      <c r="C587" s="31" t="str">
        <f>VLOOKUP(A587, 'College List'!A:B, 2, FALSE)</f>
        <v>Quandrix</v>
      </c>
      <c r="D587" s="355">
        <f>VLOOKUP(B587,Quotas!$A$8:$C$14,2,FALSE)</f>
        <v>46150.70833</v>
      </c>
      <c r="E587" s="356">
        <f>VLOOKUP(B587,Quotas!$A$8:$C$14,3,FALSE)</f>
        <v>46157.70833</v>
      </c>
      <c r="F587" s="79">
        <f>COUNTIFS(Matches!$B:$B,A587,Matches!$A:$A,CONCAT("&gt;",$D587),Matches!$A:$A,CONCAT("&lt;",$E587))</f>
        <v>3</v>
      </c>
      <c r="G587" s="79">
        <f>COUNTIFS(Matches!$C:$C,$A587,Matches!$A:$A,CONCAT("&gt;",$D587),Matches!$A:$A,CONCAT("&lt;",$E587))</f>
        <v>2</v>
      </c>
      <c r="H587" s="79">
        <f t="shared" si="1"/>
        <v>5</v>
      </c>
      <c r="I587" s="79">
        <f>COUNTIFS(Matches!$B:$B,$A587,Matches!$A:$A,CONCAT("&lt;",$E587))</f>
        <v>7</v>
      </c>
      <c r="J587" s="79">
        <f>COUNTIFS(Matches!$C:$C,$A587,Matches!$A:$A,CONCAT("&lt;",$E587))</f>
        <v>8</v>
      </c>
      <c r="K587" s="79">
        <f>COUNTIFS(Entropy!D:D,A587,Entropy!I:I,CONCAT("&lt;",E587-1))</f>
        <v>0</v>
      </c>
      <c r="L587" s="79">
        <f t="shared" si="2"/>
        <v>15</v>
      </c>
      <c r="M587" s="79">
        <f t="array" ref="M587">max(min(IF(J587+K587=11,0,XLOOKUP(B587,Quotas!$A$8:$A$14,Quotas!$E$8:$E$14)-$L587),2),0)</f>
        <v>0</v>
      </c>
      <c r="N587" s="31">
        <f t="shared" si="3"/>
        <v>0</v>
      </c>
    </row>
    <row r="588">
      <c r="A588" s="31" t="s">
        <v>345</v>
      </c>
      <c r="B588" s="9">
        <v>3.0</v>
      </c>
      <c r="C588" s="31" t="str">
        <f>VLOOKUP(A588, 'College List'!A:B, 2, FALSE)</f>
        <v>Silverquill</v>
      </c>
      <c r="D588" s="355">
        <f>VLOOKUP(B588,Quotas!$A$8:$C$14,2,FALSE)</f>
        <v>46150.70833</v>
      </c>
      <c r="E588" s="356">
        <f>VLOOKUP(B588,Quotas!$A$8:$C$14,3,FALSE)</f>
        <v>46157.70833</v>
      </c>
      <c r="F588" s="79">
        <f>COUNTIFS(Matches!$B:$B,A588,Matches!$A:$A,CONCAT("&gt;",$D588),Matches!$A:$A,CONCAT("&lt;",$E588))</f>
        <v>0</v>
      </c>
      <c r="G588" s="79">
        <f>COUNTIFS(Matches!$C:$C,$A588,Matches!$A:$A,CONCAT("&gt;",$D588),Matches!$A:$A,CONCAT("&lt;",$E588))</f>
        <v>3</v>
      </c>
      <c r="H588" s="79">
        <f t="shared" si="1"/>
        <v>3</v>
      </c>
      <c r="I588" s="79">
        <f>COUNTIFS(Matches!$B:$B,$A588,Matches!$A:$A,CONCAT("&lt;",$E588))</f>
        <v>7</v>
      </c>
      <c r="J588" s="79">
        <f>COUNTIFS(Matches!$C:$C,$A588,Matches!$A:$A,CONCAT("&lt;",$E588))</f>
        <v>6</v>
      </c>
      <c r="K588" s="79">
        <f>COUNTIFS(Entropy!D:D,A588,Entropy!I:I,CONCAT("&lt;",E588-1))</f>
        <v>0</v>
      </c>
      <c r="L588" s="79">
        <f t="shared" si="2"/>
        <v>13</v>
      </c>
      <c r="M588" s="79">
        <f t="array" ref="M588">max(min(IF(J588+K588=11,0,XLOOKUP(B588,Quotas!$A$8:$A$14,Quotas!$E$8:$E$14)-$L588),2),0)</f>
        <v>2</v>
      </c>
      <c r="N588" s="31">
        <f t="shared" si="3"/>
        <v>1</v>
      </c>
    </row>
    <row r="589">
      <c r="A589" s="31" t="s">
        <v>185</v>
      </c>
      <c r="B589" s="9">
        <v>3.0</v>
      </c>
      <c r="C589" s="31" t="str">
        <f>VLOOKUP(A589, 'College List'!A:B, 2, FALSE)</f>
        <v>Silverquill</v>
      </c>
      <c r="D589" s="355">
        <f>VLOOKUP(B589,Quotas!$A$8:$C$14,2,FALSE)</f>
        <v>46150.70833</v>
      </c>
      <c r="E589" s="356">
        <f>VLOOKUP(B589,Quotas!$A$8:$C$14,3,FALSE)</f>
        <v>46157.70833</v>
      </c>
      <c r="F589" s="79">
        <f>COUNTIFS(Matches!$B:$B,A589,Matches!$A:$A,CONCAT("&gt;",$D589),Matches!$A:$A,CONCAT("&lt;",$E589))</f>
        <v>3</v>
      </c>
      <c r="G589" s="79">
        <f>COUNTIFS(Matches!$C:$C,$A589,Matches!$A:$A,CONCAT("&gt;",$D589),Matches!$A:$A,CONCAT("&lt;",$E589))</f>
        <v>2</v>
      </c>
      <c r="H589" s="79">
        <f t="shared" si="1"/>
        <v>5</v>
      </c>
      <c r="I589" s="79">
        <f>COUNTIFS(Matches!$B:$B,$A589,Matches!$A:$A,CONCAT("&lt;",$E589))</f>
        <v>11</v>
      </c>
      <c r="J589" s="79">
        <f>COUNTIFS(Matches!$C:$C,$A589,Matches!$A:$A,CONCAT("&lt;",$E589))</f>
        <v>4</v>
      </c>
      <c r="K589" s="79">
        <f>COUNTIFS(Entropy!D:D,A589,Entropy!I:I,CONCAT("&lt;",E589-1))</f>
        <v>0</v>
      </c>
      <c r="L589" s="79">
        <f t="shared" si="2"/>
        <v>15</v>
      </c>
      <c r="M589" s="79">
        <f t="array" ref="M589">max(min(IF(J589+K589=11,0,XLOOKUP(B589,Quotas!$A$8:$A$14,Quotas!$E$8:$E$14)-$L589),2),0)</f>
        <v>0</v>
      </c>
      <c r="N589" s="31">
        <f t="shared" si="3"/>
        <v>0</v>
      </c>
    </row>
    <row r="590">
      <c r="A590" s="31" t="s">
        <v>630</v>
      </c>
      <c r="B590" s="9">
        <v>3.0</v>
      </c>
      <c r="C590" s="31" t="str">
        <f>VLOOKUP(A590, 'College List'!A:B, 2, FALSE)</f>
        <v>Prismari</v>
      </c>
      <c r="D590" s="355">
        <f>VLOOKUP(B590,Quotas!$A$8:$C$14,2,FALSE)</f>
        <v>46150.70833</v>
      </c>
      <c r="E590" s="356">
        <f>VLOOKUP(B590,Quotas!$A$8:$C$14,3,FALSE)</f>
        <v>46157.70833</v>
      </c>
      <c r="F590" s="79">
        <f>COUNTIFS(Matches!$B:$B,A590,Matches!$A:$A,CONCAT("&gt;",$D590),Matches!$A:$A,CONCAT("&lt;",$E590))</f>
        <v>0</v>
      </c>
      <c r="G590" s="79">
        <f>COUNTIFS(Matches!$C:$C,$A590,Matches!$A:$A,CONCAT("&gt;",$D590),Matches!$A:$A,CONCAT("&lt;",$E590))</f>
        <v>0</v>
      </c>
      <c r="H590" s="79">
        <f t="shared" si="1"/>
        <v>0</v>
      </c>
      <c r="I590" s="79">
        <f>COUNTIFS(Matches!$B:$B,$A590,Matches!$A:$A,CONCAT("&lt;",$E590))</f>
        <v>0</v>
      </c>
      <c r="J590" s="79">
        <f>COUNTIFS(Matches!$C:$C,$A590,Matches!$A:$A,CONCAT("&lt;",$E590))</f>
        <v>0</v>
      </c>
      <c r="K590" s="79">
        <f>COUNTIFS(Entropy!D:D,A590,Entropy!I:I,CONCAT("&lt;",E590-1))</f>
        <v>8</v>
      </c>
      <c r="L590" s="79">
        <f t="shared" si="2"/>
        <v>8</v>
      </c>
      <c r="M590" s="79">
        <f t="array" ref="M590">max(min(IF(J590+K590=11,0,XLOOKUP(B590,Quotas!$A$8:$A$14,Quotas!$E$8:$E$14)-$L590),2),0)</f>
        <v>2</v>
      </c>
      <c r="N590" s="31">
        <f t="shared" si="3"/>
        <v>0</v>
      </c>
    </row>
    <row r="591">
      <c r="A591" s="31" t="s">
        <v>179</v>
      </c>
      <c r="B591" s="9">
        <v>3.0</v>
      </c>
      <c r="C591" s="31" t="str">
        <f>VLOOKUP(A591, 'College List'!A:B, 2, FALSE)</f>
        <v>Witherbloom</v>
      </c>
      <c r="D591" s="355">
        <f>VLOOKUP(B591,Quotas!$A$8:$C$14,2,FALSE)</f>
        <v>46150.70833</v>
      </c>
      <c r="E591" s="356">
        <f>VLOOKUP(B591,Quotas!$A$8:$C$14,3,FALSE)</f>
        <v>46157.70833</v>
      </c>
      <c r="F591" s="79">
        <f>COUNTIFS(Matches!$B:$B,A591,Matches!$A:$A,CONCAT("&gt;",$D591),Matches!$A:$A,CONCAT("&lt;",$E591))</f>
        <v>0</v>
      </c>
      <c r="G591" s="79">
        <f>COUNTIFS(Matches!$C:$C,$A591,Matches!$A:$A,CONCAT("&gt;",$D591),Matches!$A:$A,CONCAT("&lt;",$E591))</f>
        <v>0</v>
      </c>
      <c r="H591" s="79">
        <f t="shared" si="1"/>
        <v>0</v>
      </c>
      <c r="I591" s="79">
        <f>COUNTIFS(Matches!$B:$B,$A591,Matches!$A:$A,CONCAT("&lt;",$E591))</f>
        <v>1</v>
      </c>
      <c r="J591" s="79">
        <f>COUNTIFS(Matches!$C:$C,$A591,Matches!$A:$A,CONCAT("&lt;",$E591))</f>
        <v>7</v>
      </c>
      <c r="K591" s="79">
        <f>COUNTIFS(Entropy!D:D,A591,Entropy!I:I,CONCAT("&lt;",E591-1))</f>
        <v>0</v>
      </c>
      <c r="L591" s="79">
        <f t="shared" si="2"/>
        <v>8</v>
      </c>
      <c r="M591" s="79">
        <f t="array" ref="M591">max(min(IF(J591+K591=11,0,XLOOKUP(B591,Quotas!$A$8:$A$14,Quotas!$E$8:$E$14)-$L591),2),0)</f>
        <v>2</v>
      </c>
      <c r="N591" s="31">
        <f t="shared" si="3"/>
        <v>0</v>
      </c>
    </row>
    <row r="592">
      <c r="A592" s="31" t="s">
        <v>320</v>
      </c>
      <c r="B592" s="9">
        <v>3.0</v>
      </c>
      <c r="C592" s="31" t="str">
        <f>VLOOKUP(A592, 'College List'!A:B, 2, FALSE)</f>
        <v>Witherbloom</v>
      </c>
      <c r="D592" s="355">
        <f>VLOOKUP(B592,Quotas!$A$8:$C$14,2,FALSE)</f>
        <v>46150.70833</v>
      </c>
      <c r="E592" s="356">
        <f>VLOOKUP(B592,Quotas!$A$8:$C$14,3,FALSE)</f>
        <v>46157.70833</v>
      </c>
      <c r="F592" s="79">
        <f>COUNTIFS(Matches!$B:$B,A592,Matches!$A:$A,CONCAT("&gt;",$D592),Matches!$A:$A,CONCAT("&lt;",$E592))</f>
        <v>4</v>
      </c>
      <c r="G592" s="79">
        <f>COUNTIFS(Matches!$C:$C,$A592,Matches!$A:$A,CONCAT("&gt;",$D592),Matches!$A:$A,CONCAT("&lt;",$E592))</f>
        <v>1</v>
      </c>
      <c r="H592" s="79">
        <f t="shared" si="1"/>
        <v>5</v>
      </c>
      <c r="I592" s="79">
        <f>COUNTIFS(Matches!$B:$B,$A592,Matches!$A:$A,CONCAT("&lt;",$E592))</f>
        <v>9</v>
      </c>
      <c r="J592" s="79">
        <f>COUNTIFS(Matches!$C:$C,$A592,Matches!$A:$A,CONCAT("&lt;",$E592))</f>
        <v>6</v>
      </c>
      <c r="K592" s="79">
        <f>COUNTIFS(Entropy!D:D,A592,Entropy!I:I,CONCAT("&lt;",E592-1))</f>
        <v>0</v>
      </c>
      <c r="L592" s="79">
        <f t="shared" si="2"/>
        <v>15</v>
      </c>
      <c r="M592" s="79">
        <f t="array" ref="M592">max(min(IF(J592+K592=11,0,XLOOKUP(B592,Quotas!$A$8:$A$14,Quotas!$E$8:$E$14)-$L592),2),0)</f>
        <v>0</v>
      </c>
      <c r="N592" s="31">
        <f t="shared" si="3"/>
        <v>0</v>
      </c>
    </row>
    <row r="593">
      <c r="A593" s="31" t="s">
        <v>205</v>
      </c>
      <c r="B593" s="9">
        <v>3.0</v>
      </c>
      <c r="C593" s="31" t="str">
        <f>VLOOKUP(A593, 'College List'!A:B, 2, FALSE)</f>
        <v>Silverquill</v>
      </c>
      <c r="D593" s="355">
        <f>VLOOKUP(B593,Quotas!$A$8:$C$14,2,FALSE)</f>
        <v>46150.70833</v>
      </c>
      <c r="E593" s="356">
        <f>VLOOKUP(B593,Quotas!$A$8:$C$14,3,FALSE)</f>
        <v>46157.70833</v>
      </c>
      <c r="F593" s="79">
        <f>COUNTIFS(Matches!$B:$B,A593,Matches!$A:$A,CONCAT("&gt;",$D593),Matches!$A:$A,CONCAT("&lt;",$E593))</f>
        <v>2</v>
      </c>
      <c r="G593" s="79">
        <f>COUNTIFS(Matches!$C:$C,$A593,Matches!$A:$A,CONCAT("&gt;",$D593),Matches!$A:$A,CONCAT("&lt;",$E593))</f>
        <v>3</v>
      </c>
      <c r="H593" s="79">
        <f t="shared" si="1"/>
        <v>5</v>
      </c>
      <c r="I593" s="79">
        <f>COUNTIFS(Matches!$B:$B,$A593,Matches!$A:$A,CONCAT("&lt;",$E593))</f>
        <v>7</v>
      </c>
      <c r="J593" s="79">
        <f>COUNTIFS(Matches!$C:$C,$A593,Matches!$A:$A,CONCAT("&lt;",$E593))</f>
        <v>8</v>
      </c>
      <c r="K593" s="79">
        <f>COUNTIFS(Entropy!D:D,A593,Entropy!I:I,CONCAT("&lt;",E593-1))</f>
        <v>0</v>
      </c>
      <c r="L593" s="79">
        <f t="shared" si="2"/>
        <v>15</v>
      </c>
      <c r="M593" s="79">
        <f t="array" ref="M593">max(min(IF(J593+K593=11,0,XLOOKUP(B593,Quotas!$A$8:$A$14,Quotas!$E$8:$E$14)-$L593),2),0)</f>
        <v>0</v>
      </c>
      <c r="N593" s="31">
        <f t="shared" si="3"/>
        <v>0</v>
      </c>
    </row>
    <row r="594">
      <c r="A594" s="31" t="s">
        <v>347</v>
      </c>
      <c r="B594" s="9">
        <v>3.0</v>
      </c>
      <c r="C594" s="31" t="str">
        <f>VLOOKUP(A594, 'College List'!A:B, 2, FALSE)</f>
        <v>Lorehold</v>
      </c>
      <c r="D594" s="355">
        <f>VLOOKUP(B594,Quotas!$A$8:$C$14,2,FALSE)</f>
        <v>46150.70833</v>
      </c>
      <c r="E594" s="356">
        <f>VLOOKUP(B594,Quotas!$A$8:$C$14,3,FALSE)</f>
        <v>46157.70833</v>
      </c>
      <c r="F594" s="79">
        <f>COUNTIFS(Matches!$B:$B,A594,Matches!$A:$A,CONCAT("&gt;",$D594),Matches!$A:$A,CONCAT("&lt;",$E594))</f>
        <v>3</v>
      </c>
      <c r="G594" s="79">
        <f>COUNTIFS(Matches!$C:$C,$A594,Matches!$A:$A,CONCAT("&gt;",$D594),Matches!$A:$A,CONCAT("&lt;",$E594))</f>
        <v>2</v>
      </c>
      <c r="H594" s="79">
        <f t="shared" si="1"/>
        <v>5</v>
      </c>
      <c r="I594" s="79">
        <f>COUNTIFS(Matches!$B:$B,$A594,Matches!$A:$A,CONCAT("&lt;",$E594))</f>
        <v>9</v>
      </c>
      <c r="J594" s="79">
        <f>COUNTIFS(Matches!$C:$C,$A594,Matches!$A:$A,CONCAT("&lt;",$E594))</f>
        <v>6</v>
      </c>
      <c r="K594" s="79">
        <f>COUNTIFS(Entropy!D:D,A594,Entropy!I:I,CONCAT("&lt;",E594-1))</f>
        <v>0</v>
      </c>
      <c r="L594" s="79">
        <f t="shared" si="2"/>
        <v>15</v>
      </c>
      <c r="M594" s="79">
        <f t="array" ref="M594">max(min(IF(J594+K594=11,0,XLOOKUP(B594,Quotas!$A$8:$A$14,Quotas!$E$8:$E$14)-$L594),2),0)</f>
        <v>0</v>
      </c>
      <c r="N594" s="31">
        <f t="shared" si="3"/>
        <v>0</v>
      </c>
    </row>
    <row r="595">
      <c r="A595" s="31" t="s">
        <v>109</v>
      </c>
      <c r="B595" s="9">
        <v>3.0</v>
      </c>
      <c r="C595" s="31" t="str">
        <f>VLOOKUP(A595, 'College List'!A:B, 2, FALSE)</f>
        <v>Silverquill</v>
      </c>
      <c r="D595" s="355">
        <f>VLOOKUP(B595,Quotas!$A$8:$C$14,2,FALSE)</f>
        <v>46150.70833</v>
      </c>
      <c r="E595" s="356">
        <f>VLOOKUP(B595,Quotas!$A$8:$C$14,3,FALSE)</f>
        <v>46157.70833</v>
      </c>
      <c r="F595" s="79">
        <f>COUNTIFS(Matches!$B:$B,A595,Matches!$A:$A,CONCAT("&gt;",$D595),Matches!$A:$A,CONCAT("&lt;",$E595))</f>
        <v>2</v>
      </c>
      <c r="G595" s="79">
        <f>COUNTIFS(Matches!$C:$C,$A595,Matches!$A:$A,CONCAT("&gt;",$D595),Matches!$A:$A,CONCAT("&lt;",$E595))</f>
        <v>3</v>
      </c>
      <c r="H595" s="79">
        <f t="shared" si="1"/>
        <v>5</v>
      </c>
      <c r="I595" s="79">
        <f>COUNTIFS(Matches!$B:$B,$A595,Matches!$A:$A,CONCAT("&lt;",$E595))</f>
        <v>6</v>
      </c>
      <c r="J595" s="79">
        <f>COUNTIFS(Matches!$C:$C,$A595,Matches!$A:$A,CONCAT("&lt;",$E595))</f>
        <v>9</v>
      </c>
      <c r="K595" s="79">
        <f>COUNTIFS(Entropy!D:D,A595,Entropy!I:I,CONCAT("&lt;",E595-1))</f>
        <v>0</v>
      </c>
      <c r="L595" s="79">
        <f t="shared" si="2"/>
        <v>15</v>
      </c>
      <c r="M595" s="79">
        <f t="array" ref="M595">max(min(IF(J595+K595=11,0,XLOOKUP(B595,Quotas!$A$8:$A$14,Quotas!$E$8:$E$14)-$L595),2),0)</f>
        <v>0</v>
      </c>
      <c r="N595" s="31">
        <f t="shared" si="3"/>
        <v>0</v>
      </c>
    </row>
    <row r="596">
      <c r="A596" s="31" t="s">
        <v>288</v>
      </c>
      <c r="B596" s="9">
        <v>3.0</v>
      </c>
      <c r="C596" s="31" t="str">
        <f>VLOOKUP(A596, 'College List'!A:B, 2, FALSE)</f>
        <v>Lorehold</v>
      </c>
      <c r="D596" s="355">
        <f>VLOOKUP(B596,Quotas!$A$8:$C$14,2,FALSE)</f>
        <v>46150.70833</v>
      </c>
      <c r="E596" s="356">
        <f>VLOOKUP(B596,Quotas!$A$8:$C$14,3,FALSE)</f>
        <v>46157.70833</v>
      </c>
      <c r="F596" s="79">
        <f>COUNTIFS(Matches!$B:$B,A596,Matches!$A:$A,CONCAT("&gt;",$D596),Matches!$A:$A,CONCAT("&lt;",$E596))</f>
        <v>4</v>
      </c>
      <c r="G596" s="79">
        <f>COUNTIFS(Matches!$C:$C,$A596,Matches!$A:$A,CONCAT("&gt;",$D596),Matches!$A:$A,CONCAT("&lt;",$E596))</f>
        <v>1</v>
      </c>
      <c r="H596" s="79">
        <f t="shared" si="1"/>
        <v>5</v>
      </c>
      <c r="I596" s="79">
        <f>COUNTIFS(Matches!$B:$B,$A596,Matches!$A:$A,CONCAT("&lt;",$E596))</f>
        <v>10</v>
      </c>
      <c r="J596" s="79">
        <f>COUNTIFS(Matches!$C:$C,$A596,Matches!$A:$A,CONCAT("&lt;",$E596))</f>
        <v>5</v>
      </c>
      <c r="K596" s="79">
        <f>COUNTIFS(Entropy!D:D,A596,Entropy!I:I,CONCAT("&lt;",E596-1))</f>
        <v>0</v>
      </c>
      <c r="L596" s="79">
        <f t="shared" si="2"/>
        <v>15</v>
      </c>
      <c r="M596" s="79">
        <f t="array" ref="M596">max(min(IF(J596+K596=11,0,XLOOKUP(B596,Quotas!$A$8:$A$14,Quotas!$E$8:$E$14)-$L596),2),0)</f>
        <v>0</v>
      </c>
      <c r="N596" s="31">
        <f t="shared" si="3"/>
        <v>0</v>
      </c>
    </row>
    <row r="597">
      <c r="A597" s="31" t="s">
        <v>184</v>
      </c>
      <c r="B597" s="9">
        <v>3.0</v>
      </c>
      <c r="C597" s="31" t="str">
        <f>VLOOKUP(A597, 'College List'!A:B, 2, FALSE)</f>
        <v>Quandrix</v>
      </c>
      <c r="D597" s="355">
        <f>VLOOKUP(B597,Quotas!$A$8:$C$14,2,FALSE)</f>
        <v>46150.70833</v>
      </c>
      <c r="E597" s="356">
        <f>VLOOKUP(B597,Quotas!$A$8:$C$14,3,FALSE)</f>
        <v>46157.70833</v>
      </c>
      <c r="F597" s="79">
        <f>COUNTIFS(Matches!$B:$B,A597,Matches!$A:$A,CONCAT("&gt;",$D597),Matches!$A:$A,CONCAT("&lt;",$E597))</f>
        <v>4</v>
      </c>
      <c r="G597" s="79">
        <f>COUNTIFS(Matches!$C:$C,$A597,Matches!$A:$A,CONCAT("&gt;",$D597),Matches!$A:$A,CONCAT("&lt;",$E597))</f>
        <v>1</v>
      </c>
      <c r="H597" s="79">
        <f t="shared" si="1"/>
        <v>5</v>
      </c>
      <c r="I597" s="79">
        <f>COUNTIFS(Matches!$B:$B,$A597,Matches!$A:$A,CONCAT("&lt;",$E597))</f>
        <v>9</v>
      </c>
      <c r="J597" s="79">
        <f>COUNTIFS(Matches!$C:$C,$A597,Matches!$A:$A,CONCAT("&lt;",$E597))</f>
        <v>6</v>
      </c>
      <c r="K597" s="79">
        <f>COUNTIFS(Entropy!D:D,A597,Entropy!I:I,CONCAT("&lt;",E597-1))</f>
        <v>0</v>
      </c>
      <c r="L597" s="79">
        <f t="shared" si="2"/>
        <v>15</v>
      </c>
      <c r="M597" s="79">
        <f t="array" ref="M597">max(min(IF(J597+K597=11,0,XLOOKUP(B597,Quotas!$A$8:$A$14,Quotas!$E$8:$E$14)-$L597),2),0)</f>
        <v>0</v>
      </c>
      <c r="N597" s="31">
        <f t="shared" si="3"/>
        <v>0</v>
      </c>
    </row>
    <row r="598">
      <c r="A598" s="31" t="s">
        <v>67</v>
      </c>
      <c r="B598" s="9">
        <v>3.0</v>
      </c>
      <c r="C598" s="31" t="str">
        <f>VLOOKUP(A598, 'College List'!A:B, 2, FALSE)</f>
        <v>Silverquill</v>
      </c>
      <c r="D598" s="355">
        <f>VLOOKUP(B598,Quotas!$A$8:$C$14,2,FALSE)</f>
        <v>46150.70833</v>
      </c>
      <c r="E598" s="356">
        <f>VLOOKUP(B598,Quotas!$A$8:$C$14,3,FALSE)</f>
        <v>46157.70833</v>
      </c>
      <c r="F598" s="79">
        <f>COUNTIFS(Matches!$B:$B,A598,Matches!$A:$A,CONCAT("&gt;",$D598),Matches!$A:$A,CONCAT("&lt;",$E598))</f>
        <v>4</v>
      </c>
      <c r="G598" s="79">
        <f>COUNTIFS(Matches!$C:$C,$A598,Matches!$A:$A,CONCAT("&gt;",$D598),Matches!$A:$A,CONCAT("&lt;",$E598))</f>
        <v>2</v>
      </c>
      <c r="H598" s="79">
        <f t="shared" si="1"/>
        <v>6</v>
      </c>
      <c r="I598" s="79">
        <f>COUNTIFS(Matches!$B:$B,$A598,Matches!$A:$A,CONCAT("&lt;",$E598))</f>
        <v>5</v>
      </c>
      <c r="J598" s="79">
        <f>COUNTIFS(Matches!$C:$C,$A598,Matches!$A:$A,CONCAT("&lt;",$E598))</f>
        <v>10</v>
      </c>
      <c r="K598" s="79">
        <f>COUNTIFS(Entropy!D:D,A598,Entropy!I:I,CONCAT("&lt;",E598-1))</f>
        <v>0</v>
      </c>
      <c r="L598" s="79">
        <f t="shared" si="2"/>
        <v>15</v>
      </c>
      <c r="M598" s="79">
        <f t="array" ref="M598">max(min(IF(J598+K598=11,0,XLOOKUP(B598,Quotas!$A$8:$A$14,Quotas!$E$8:$E$14)-$L598),2),0)</f>
        <v>0</v>
      </c>
      <c r="N598" s="31">
        <f t="shared" si="3"/>
        <v>0</v>
      </c>
    </row>
    <row r="599">
      <c r="A599" s="31" t="s">
        <v>172</v>
      </c>
      <c r="B599" s="9">
        <v>3.0</v>
      </c>
      <c r="C599" s="31" t="str">
        <f>VLOOKUP(A599, 'College List'!A:B, 2, FALSE)</f>
        <v>Lorehold</v>
      </c>
      <c r="D599" s="355">
        <f>VLOOKUP(B599,Quotas!$A$8:$C$14,2,FALSE)</f>
        <v>46150.70833</v>
      </c>
      <c r="E599" s="356">
        <f>VLOOKUP(B599,Quotas!$A$8:$C$14,3,FALSE)</f>
        <v>46157.70833</v>
      </c>
      <c r="F599" s="79">
        <f>COUNTIFS(Matches!$B:$B,A599,Matches!$A:$A,CONCAT("&gt;",$D599),Matches!$A:$A,CONCAT("&lt;",$E599))</f>
        <v>0</v>
      </c>
      <c r="G599" s="79">
        <f>COUNTIFS(Matches!$C:$C,$A599,Matches!$A:$A,CONCAT("&gt;",$D599),Matches!$A:$A,CONCAT("&lt;",$E599))</f>
        <v>2</v>
      </c>
      <c r="H599" s="79">
        <f t="shared" si="1"/>
        <v>2</v>
      </c>
      <c r="I599" s="79">
        <f>COUNTIFS(Matches!$B:$B,$A599,Matches!$A:$A,CONCAT("&lt;",$E599))</f>
        <v>1</v>
      </c>
      <c r="J599" s="79">
        <f>COUNTIFS(Matches!$C:$C,$A599,Matches!$A:$A,CONCAT("&lt;",$E599))</f>
        <v>11</v>
      </c>
      <c r="K599" s="79">
        <f>COUNTIFS(Entropy!D:D,A599,Entropy!I:I,CONCAT("&lt;",E599-1))</f>
        <v>0</v>
      </c>
      <c r="L599" s="79">
        <f t="shared" si="2"/>
        <v>12</v>
      </c>
      <c r="M599" s="79">
        <f t="array" ref="M599">max(min(IF(J599+K599=11,0,XLOOKUP(B599,Quotas!$A$8:$A$14,Quotas!$E$8:$E$14)-$L599),2),0)</f>
        <v>0</v>
      </c>
      <c r="N599" s="31">
        <f t="shared" si="3"/>
        <v>0</v>
      </c>
    </row>
    <row r="600">
      <c r="A600" s="31" t="s">
        <v>399</v>
      </c>
      <c r="B600" s="9">
        <v>3.0</v>
      </c>
      <c r="C600" s="31" t="str">
        <f>VLOOKUP(A600, 'College List'!A:B, 2, FALSE)</f>
        <v>Quandrix</v>
      </c>
      <c r="D600" s="355">
        <f>VLOOKUP(B600,Quotas!$A$8:$C$14,2,FALSE)</f>
        <v>46150.70833</v>
      </c>
      <c r="E600" s="356">
        <f>VLOOKUP(B600,Quotas!$A$8:$C$14,3,FALSE)</f>
        <v>46157.70833</v>
      </c>
      <c r="F600" s="79">
        <f>COUNTIFS(Matches!$B:$B,A600,Matches!$A:$A,CONCAT("&gt;",$D600),Matches!$A:$A,CONCAT("&lt;",$E600))</f>
        <v>0</v>
      </c>
      <c r="G600" s="79">
        <f>COUNTIFS(Matches!$C:$C,$A600,Matches!$A:$A,CONCAT("&gt;",$D600),Matches!$A:$A,CONCAT("&lt;",$E600))</f>
        <v>0</v>
      </c>
      <c r="H600" s="79">
        <f t="shared" si="1"/>
        <v>0</v>
      </c>
      <c r="I600" s="79">
        <f>COUNTIFS(Matches!$B:$B,$A600,Matches!$A:$A,CONCAT("&lt;",$E600))</f>
        <v>6</v>
      </c>
      <c r="J600" s="79">
        <f>COUNTIFS(Matches!$C:$C,$A600,Matches!$A:$A,CONCAT("&lt;",$E600))</f>
        <v>3</v>
      </c>
      <c r="K600" s="79">
        <f>COUNTIFS(Entropy!D:D,A600,Entropy!I:I,CONCAT("&lt;",E600-1))</f>
        <v>8</v>
      </c>
      <c r="L600" s="79">
        <f t="shared" si="2"/>
        <v>17</v>
      </c>
      <c r="M600" s="79">
        <f t="array" ref="M600">max(min(IF(J600+K600=11,0,XLOOKUP(B600,Quotas!$A$8:$A$14,Quotas!$E$8:$E$14)-$L600),2),0)</f>
        <v>0</v>
      </c>
      <c r="N600" s="31">
        <f t="shared" si="3"/>
        <v>0</v>
      </c>
    </row>
    <row r="601">
      <c r="A601" s="31" t="s">
        <v>373</v>
      </c>
      <c r="B601" s="9">
        <v>3.0</v>
      </c>
      <c r="C601" s="31" t="str">
        <f>VLOOKUP(A601, 'College List'!A:B, 2, FALSE)</f>
        <v>Quandrix</v>
      </c>
      <c r="D601" s="355">
        <f>VLOOKUP(B601,Quotas!$A$8:$C$14,2,FALSE)</f>
        <v>46150.70833</v>
      </c>
      <c r="E601" s="356">
        <f>VLOOKUP(B601,Quotas!$A$8:$C$14,3,FALSE)</f>
        <v>46157.70833</v>
      </c>
      <c r="F601" s="79">
        <f>COUNTIFS(Matches!$B:$B,A601,Matches!$A:$A,CONCAT("&gt;",$D601),Matches!$A:$A,CONCAT("&lt;",$E601))</f>
        <v>2</v>
      </c>
      <c r="G601" s="79">
        <f>COUNTIFS(Matches!$C:$C,$A601,Matches!$A:$A,CONCAT("&gt;",$D601),Matches!$A:$A,CONCAT("&lt;",$E601))</f>
        <v>3</v>
      </c>
      <c r="H601" s="79">
        <f t="shared" si="1"/>
        <v>5</v>
      </c>
      <c r="I601" s="79">
        <f>COUNTIFS(Matches!$B:$B,$A601,Matches!$A:$A,CONCAT("&lt;",$E601))</f>
        <v>10</v>
      </c>
      <c r="J601" s="79">
        <f>COUNTIFS(Matches!$C:$C,$A601,Matches!$A:$A,CONCAT("&lt;",$E601))</f>
        <v>5</v>
      </c>
      <c r="K601" s="79">
        <f>COUNTIFS(Entropy!D:D,A601,Entropy!I:I,CONCAT("&lt;",E601-1))</f>
        <v>0</v>
      </c>
      <c r="L601" s="79">
        <f t="shared" si="2"/>
        <v>15</v>
      </c>
      <c r="M601" s="79">
        <f t="array" ref="M601">max(min(IF(J601+K601=11,0,XLOOKUP(B601,Quotas!$A$8:$A$14,Quotas!$E$8:$E$14)-$L601),2),0)</f>
        <v>0</v>
      </c>
      <c r="N601" s="31">
        <f t="shared" si="3"/>
        <v>0</v>
      </c>
    </row>
    <row r="602">
      <c r="A602" s="31" t="s">
        <v>217</v>
      </c>
      <c r="B602" s="9">
        <v>3.0</v>
      </c>
      <c r="C602" s="31" t="str">
        <f>VLOOKUP(A602, 'College List'!A:B, 2, FALSE)</f>
        <v>Lorehold</v>
      </c>
      <c r="D602" s="355">
        <f>VLOOKUP(B602,Quotas!$A$8:$C$14,2,FALSE)</f>
        <v>46150.70833</v>
      </c>
      <c r="E602" s="356">
        <f>VLOOKUP(B602,Quotas!$A$8:$C$14,3,FALSE)</f>
        <v>46157.70833</v>
      </c>
      <c r="F602" s="79">
        <f>COUNTIFS(Matches!$B:$B,A602,Matches!$A:$A,CONCAT("&gt;",$D602),Matches!$A:$A,CONCAT("&lt;",$E602))</f>
        <v>3</v>
      </c>
      <c r="G602" s="79">
        <f>COUNTIFS(Matches!$C:$C,$A602,Matches!$A:$A,CONCAT("&gt;",$D602),Matches!$A:$A,CONCAT("&lt;",$E602))</f>
        <v>2</v>
      </c>
      <c r="H602" s="79">
        <f t="shared" si="1"/>
        <v>5</v>
      </c>
      <c r="I602" s="79">
        <f>COUNTIFS(Matches!$B:$B,$A602,Matches!$A:$A,CONCAT("&lt;",$E602))</f>
        <v>11</v>
      </c>
      <c r="J602" s="79">
        <f>COUNTIFS(Matches!$C:$C,$A602,Matches!$A:$A,CONCAT("&lt;",$E602))</f>
        <v>4</v>
      </c>
      <c r="K602" s="79">
        <f>COUNTIFS(Entropy!D:D,A602,Entropy!I:I,CONCAT("&lt;",E602-1))</f>
        <v>0</v>
      </c>
      <c r="L602" s="79">
        <f t="shared" si="2"/>
        <v>15</v>
      </c>
      <c r="M602" s="79">
        <f t="array" ref="M602">max(min(IF(J602+K602=11,0,XLOOKUP(B602,Quotas!$A$8:$A$14,Quotas!$E$8:$E$14)-$L602),2),0)</f>
        <v>0</v>
      </c>
      <c r="N602" s="31">
        <f t="shared" si="3"/>
        <v>0</v>
      </c>
    </row>
    <row r="603">
      <c r="A603" s="31" t="s">
        <v>286</v>
      </c>
      <c r="B603" s="9">
        <v>3.0</v>
      </c>
      <c r="C603" s="31" t="str">
        <f>VLOOKUP(A603, 'College List'!A:B, 2, FALSE)</f>
        <v>Silverquill</v>
      </c>
      <c r="D603" s="355">
        <f>VLOOKUP(B603,Quotas!$A$8:$C$14,2,FALSE)</f>
        <v>46150.70833</v>
      </c>
      <c r="E603" s="356">
        <f>VLOOKUP(B603,Quotas!$A$8:$C$14,3,FALSE)</f>
        <v>46157.70833</v>
      </c>
      <c r="F603" s="79">
        <f>COUNTIFS(Matches!$B:$B,A603,Matches!$A:$A,CONCAT("&gt;",$D603),Matches!$A:$A,CONCAT("&lt;",$E603))</f>
        <v>6</v>
      </c>
      <c r="G603" s="79">
        <f>COUNTIFS(Matches!$C:$C,$A603,Matches!$A:$A,CONCAT("&gt;",$D603),Matches!$A:$A,CONCAT("&lt;",$E603))</f>
        <v>1</v>
      </c>
      <c r="H603" s="79">
        <f t="shared" si="1"/>
        <v>7</v>
      </c>
      <c r="I603" s="79">
        <f>COUNTIFS(Matches!$B:$B,$A603,Matches!$A:$A,CONCAT("&lt;",$E603))</f>
        <v>8</v>
      </c>
      <c r="J603" s="79">
        <f>COUNTIFS(Matches!$C:$C,$A603,Matches!$A:$A,CONCAT("&lt;",$E603))</f>
        <v>7</v>
      </c>
      <c r="K603" s="79">
        <f>COUNTIFS(Entropy!D:D,A603,Entropy!I:I,CONCAT("&lt;",E603-1))</f>
        <v>0</v>
      </c>
      <c r="L603" s="79">
        <f t="shared" si="2"/>
        <v>15</v>
      </c>
      <c r="M603" s="79">
        <f t="array" ref="M603">max(min(IF(J603+K603=11,0,XLOOKUP(B603,Quotas!$A$8:$A$14,Quotas!$E$8:$E$14)-$L603),2),0)</f>
        <v>0</v>
      </c>
      <c r="N603" s="31">
        <f t="shared" si="3"/>
        <v>0</v>
      </c>
    </row>
    <row r="604">
      <c r="A604" s="31" t="s">
        <v>336</v>
      </c>
      <c r="B604" s="9">
        <v>3.0</v>
      </c>
      <c r="C604" s="31" t="str">
        <f>VLOOKUP(A604, 'College List'!A:B, 2, FALSE)</f>
        <v>Prismari</v>
      </c>
      <c r="D604" s="355">
        <f>VLOOKUP(B604,Quotas!$A$8:$C$14,2,FALSE)</f>
        <v>46150.70833</v>
      </c>
      <c r="E604" s="356">
        <f>VLOOKUP(B604,Quotas!$A$8:$C$14,3,FALSE)</f>
        <v>46157.70833</v>
      </c>
      <c r="F604" s="79">
        <f>COUNTIFS(Matches!$B:$B,A604,Matches!$A:$A,CONCAT("&gt;",$D604),Matches!$A:$A,CONCAT("&lt;",$E604))</f>
        <v>2</v>
      </c>
      <c r="G604" s="79">
        <f>COUNTIFS(Matches!$C:$C,$A604,Matches!$A:$A,CONCAT("&gt;",$D604),Matches!$A:$A,CONCAT("&lt;",$E604))</f>
        <v>2</v>
      </c>
      <c r="H604" s="79">
        <f t="shared" si="1"/>
        <v>4</v>
      </c>
      <c r="I604" s="79">
        <f>COUNTIFS(Matches!$B:$B,$A604,Matches!$A:$A,CONCAT("&lt;",$E604))</f>
        <v>7</v>
      </c>
      <c r="J604" s="79">
        <f>COUNTIFS(Matches!$C:$C,$A604,Matches!$A:$A,CONCAT("&lt;",$E604))</f>
        <v>7</v>
      </c>
      <c r="K604" s="79">
        <f>COUNTIFS(Entropy!D:D,A604,Entropy!I:I,CONCAT("&lt;",E604-1))</f>
        <v>0</v>
      </c>
      <c r="L604" s="79">
        <f t="shared" si="2"/>
        <v>14</v>
      </c>
      <c r="M604" s="79">
        <f t="array" ref="M604">max(min(IF(J604+K604=11,0,XLOOKUP(B604,Quotas!$A$8:$A$14,Quotas!$E$8:$E$14)-$L604),2),0)</f>
        <v>1</v>
      </c>
      <c r="N604" s="31">
        <f t="shared" si="3"/>
        <v>0.5</v>
      </c>
    </row>
    <row r="605">
      <c r="A605" s="31" t="s">
        <v>281</v>
      </c>
      <c r="B605" s="9">
        <v>3.0</v>
      </c>
      <c r="C605" s="31" t="str">
        <f>VLOOKUP(A605, 'College List'!A:B, 2, FALSE)</f>
        <v>Witherbloom</v>
      </c>
      <c r="D605" s="355">
        <f>VLOOKUP(B605,Quotas!$A$8:$C$14,2,FALSE)</f>
        <v>46150.70833</v>
      </c>
      <c r="E605" s="356">
        <f>VLOOKUP(B605,Quotas!$A$8:$C$14,3,FALSE)</f>
        <v>46157.70833</v>
      </c>
      <c r="F605" s="79">
        <f>COUNTIFS(Matches!$B:$B,A605,Matches!$A:$A,CONCAT("&gt;",$D605),Matches!$A:$A,CONCAT("&lt;",$E605))</f>
        <v>4</v>
      </c>
      <c r="G605" s="79">
        <f>COUNTIFS(Matches!$C:$C,$A605,Matches!$A:$A,CONCAT("&gt;",$D605),Matches!$A:$A,CONCAT("&lt;",$E605))</f>
        <v>1</v>
      </c>
      <c r="H605" s="79">
        <f t="shared" si="1"/>
        <v>5</v>
      </c>
      <c r="I605" s="79">
        <f>COUNTIFS(Matches!$B:$B,$A605,Matches!$A:$A,CONCAT("&lt;",$E605))</f>
        <v>10</v>
      </c>
      <c r="J605" s="79">
        <f>COUNTIFS(Matches!$C:$C,$A605,Matches!$A:$A,CONCAT("&lt;",$E605))</f>
        <v>5</v>
      </c>
      <c r="K605" s="79">
        <f>COUNTIFS(Entropy!D:D,A605,Entropy!I:I,CONCAT("&lt;",E605-1))</f>
        <v>0</v>
      </c>
      <c r="L605" s="79">
        <f t="shared" si="2"/>
        <v>15</v>
      </c>
      <c r="M605" s="79">
        <f t="array" ref="M605">max(min(IF(J605+K605=11,0,XLOOKUP(B605,Quotas!$A$8:$A$14,Quotas!$E$8:$E$14)-$L605),2),0)</f>
        <v>0</v>
      </c>
      <c r="N605" s="31">
        <f t="shared" si="3"/>
        <v>0</v>
      </c>
    </row>
    <row r="606">
      <c r="A606" s="31" t="s">
        <v>406</v>
      </c>
      <c r="B606" s="9">
        <v>3.0</v>
      </c>
      <c r="C606" s="31" t="str">
        <f>VLOOKUP(A606, 'College List'!A:B, 2, FALSE)</f>
        <v>Lorehold</v>
      </c>
      <c r="D606" s="355">
        <f>VLOOKUP(B606,Quotas!$A$8:$C$14,2,FALSE)</f>
        <v>46150.70833</v>
      </c>
      <c r="E606" s="356">
        <f>VLOOKUP(B606,Quotas!$A$8:$C$14,3,FALSE)</f>
        <v>46157.70833</v>
      </c>
      <c r="F606" s="79">
        <f>COUNTIFS(Matches!$B:$B,A606,Matches!$A:$A,CONCAT("&gt;",$D606),Matches!$A:$A,CONCAT("&lt;",$E606))</f>
        <v>0</v>
      </c>
      <c r="G606" s="79">
        <f>COUNTIFS(Matches!$C:$C,$A606,Matches!$A:$A,CONCAT("&gt;",$D606),Matches!$A:$A,CONCAT("&lt;",$E606))</f>
        <v>1</v>
      </c>
      <c r="H606" s="79">
        <f t="shared" si="1"/>
        <v>1</v>
      </c>
      <c r="I606" s="79">
        <f>COUNTIFS(Matches!$B:$B,$A606,Matches!$A:$A,CONCAT("&lt;",$E606))</f>
        <v>1</v>
      </c>
      <c r="J606" s="79">
        <f>COUNTIFS(Matches!$C:$C,$A606,Matches!$A:$A,CONCAT("&lt;",$E606))</f>
        <v>8</v>
      </c>
      <c r="K606" s="79">
        <f>COUNTIFS(Entropy!D:D,A606,Entropy!I:I,CONCAT("&lt;",E606-1))</f>
        <v>0</v>
      </c>
      <c r="L606" s="79">
        <f t="shared" si="2"/>
        <v>9</v>
      </c>
      <c r="M606" s="79">
        <f t="array" ref="M606">max(min(IF(J606+K606=11,0,XLOOKUP(B606,Quotas!$A$8:$A$14,Quotas!$E$8:$E$14)-$L606),2),0)</f>
        <v>2</v>
      </c>
      <c r="N606" s="31">
        <f t="shared" si="3"/>
        <v>1</v>
      </c>
    </row>
    <row r="607">
      <c r="A607" s="31" t="s">
        <v>18</v>
      </c>
      <c r="B607" s="9">
        <v>3.0</v>
      </c>
      <c r="C607" s="31" t="str">
        <f>VLOOKUP(A607, 'College List'!A:B, 2, FALSE)</f>
        <v>Lorehold</v>
      </c>
      <c r="D607" s="355">
        <f>VLOOKUP(B607,Quotas!$A$8:$C$14,2,FALSE)</f>
        <v>46150.70833</v>
      </c>
      <c r="E607" s="356">
        <f>VLOOKUP(B607,Quotas!$A$8:$C$14,3,FALSE)</f>
        <v>46157.70833</v>
      </c>
      <c r="F607" s="79">
        <f>COUNTIFS(Matches!$B:$B,A607,Matches!$A:$A,CONCAT("&gt;",$D607),Matches!$A:$A,CONCAT("&lt;",$E607))</f>
        <v>3</v>
      </c>
      <c r="G607" s="79">
        <f>COUNTIFS(Matches!$C:$C,$A607,Matches!$A:$A,CONCAT("&gt;",$D607),Matches!$A:$A,CONCAT("&lt;",$E607))</f>
        <v>2</v>
      </c>
      <c r="H607" s="79">
        <f t="shared" si="1"/>
        <v>5</v>
      </c>
      <c r="I607" s="79">
        <f>COUNTIFS(Matches!$B:$B,$A607,Matches!$A:$A,CONCAT("&lt;",$E607))</f>
        <v>9</v>
      </c>
      <c r="J607" s="79">
        <f>COUNTIFS(Matches!$C:$C,$A607,Matches!$A:$A,CONCAT("&lt;",$E607))</f>
        <v>6</v>
      </c>
      <c r="K607" s="79">
        <f>COUNTIFS(Entropy!D:D,A607,Entropy!I:I,CONCAT("&lt;",E607-1))</f>
        <v>0</v>
      </c>
      <c r="L607" s="79">
        <f t="shared" si="2"/>
        <v>15</v>
      </c>
      <c r="M607" s="79">
        <f t="array" ref="M607">max(min(IF(J607+K607=11,0,XLOOKUP(B607,Quotas!$A$8:$A$14,Quotas!$E$8:$E$14)-$L607),2),0)</f>
        <v>0</v>
      </c>
      <c r="N607" s="31">
        <f t="shared" si="3"/>
        <v>0</v>
      </c>
    </row>
    <row r="608">
      <c r="A608" s="31" t="s">
        <v>278</v>
      </c>
      <c r="B608" s="9">
        <v>3.0</v>
      </c>
      <c r="C608" s="31" t="str">
        <f>VLOOKUP(A608, 'College List'!A:B, 2, FALSE)</f>
        <v>Lorehold</v>
      </c>
      <c r="D608" s="355">
        <f>VLOOKUP(B608,Quotas!$A$8:$C$14,2,FALSE)</f>
        <v>46150.70833</v>
      </c>
      <c r="E608" s="356">
        <f>VLOOKUP(B608,Quotas!$A$8:$C$14,3,FALSE)</f>
        <v>46157.70833</v>
      </c>
      <c r="F608" s="79">
        <f>COUNTIFS(Matches!$B:$B,A608,Matches!$A:$A,CONCAT("&gt;",$D608),Matches!$A:$A,CONCAT("&lt;",$E608))</f>
        <v>2</v>
      </c>
      <c r="G608" s="79">
        <f>COUNTIFS(Matches!$C:$C,$A608,Matches!$A:$A,CONCAT("&gt;",$D608),Matches!$A:$A,CONCAT("&lt;",$E608))</f>
        <v>1</v>
      </c>
      <c r="H608" s="79">
        <f t="shared" si="1"/>
        <v>3</v>
      </c>
      <c r="I608" s="79">
        <f>COUNTIFS(Matches!$B:$B,$A608,Matches!$A:$A,CONCAT("&lt;",$E608))</f>
        <v>4</v>
      </c>
      <c r="J608" s="79">
        <f>COUNTIFS(Matches!$C:$C,$A608,Matches!$A:$A,CONCAT("&lt;",$E608))</f>
        <v>9</v>
      </c>
      <c r="K608" s="79">
        <f>COUNTIFS(Entropy!D:D,A608,Entropy!I:I,CONCAT("&lt;",E608-1))</f>
        <v>0</v>
      </c>
      <c r="L608" s="79">
        <f t="shared" si="2"/>
        <v>13</v>
      </c>
      <c r="M608" s="79">
        <f t="array" ref="M608">max(min(IF(J608+K608=11,0,XLOOKUP(B608,Quotas!$A$8:$A$14,Quotas!$E$8:$E$14)-$L608),2),0)</f>
        <v>2</v>
      </c>
      <c r="N608" s="31">
        <f t="shared" si="3"/>
        <v>1</v>
      </c>
    </row>
    <row r="609">
      <c r="A609" s="31" t="s">
        <v>293</v>
      </c>
      <c r="B609" s="9">
        <v>3.0</v>
      </c>
      <c r="C609" s="31" t="str">
        <f>VLOOKUP(A609, 'College List'!A:B, 2, FALSE)</f>
        <v>Prismari</v>
      </c>
      <c r="D609" s="355">
        <f>VLOOKUP(B609,Quotas!$A$8:$C$14,2,FALSE)</f>
        <v>46150.70833</v>
      </c>
      <c r="E609" s="356">
        <f>VLOOKUP(B609,Quotas!$A$8:$C$14,3,FALSE)</f>
        <v>46157.70833</v>
      </c>
      <c r="F609" s="79">
        <f>COUNTIFS(Matches!$B:$B,A609,Matches!$A:$A,CONCAT("&gt;",$D609),Matches!$A:$A,CONCAT("&lt;",$E609))</f>
        <v>0</v>
      </c>
      <c r="G609" s="79">
        <f>COUNTIFS(Matches!$C:$C,$A609,Matches!$A:$A,CONCAT("&gt;",$D609),Matches!$A:$A,CONCAT("&lt;",$E609))</f>
        <v>0</v>
      </c>
      <c r="H609" s="79">
        <f t="shared" si="1"/>
        <v>0</v>
      </c>
      <c r="I609" s="79">
        <f>COUNTIFS(Matches!$B:$B,$A609,Matches!$A:$A,CONCAT("&lt;",$E609))</f>
        <v>2</v>
      </c>
      <c r="J609" s="79">
        <f>COUNTIFS(Matches!$C:$C,$A609,Matches!$A:$A,CONCAT("&lt;",$E609))</f>
        <v>4</v>
      </c>
      <c r="K609" s="79">
        <f>COUNTIFS(Entropy!D:D,A609,Entropy!I:I,CONCAT("&lt;",E609-1))</f>
        <v>2</v>
      </c>
      <c r="L609" s="79">
        <f t="shared" si="2"/>
        <v>8</v>
      </c>
      <c r="M609" s="79">
        <f t="array" ref="M609">max(min(IF(J609+K609=11,0,XLOOKUP(B609,Quotas!$A$8:$A$14,Quotas!$E$8:$E$14)-$L609),2),0)</f>
        <v>2</v>
      </c>
      <c r="N609" s="31">
        <f t="shared" si="3"/>
        <v>0</v>
      </c>
    </row>
    <row r="610">
      <c r="A610" s="31" t="s">
        <v>93</v>
      </c>
      <c r="B610" s="9">
        <v>3.0</v>
      </c>
      <c r="C610" s="31" t="str">
        <f>VLOOKUP(A610, 'College List'!A:B, 2, FALSE)</f>
        <v>Silverquill</v>
      </c>
      <c r="D610" s="355">
        <f>VLOOKUP(B610,Quotas!$A$8:$C$14,2,FALSE)</f>
        <v>46150.70833</v>
      </c>
      <c r="E610" s="356">
        <f>VLOOKUP(B610,Quotas!$A$8:$C$14,3,FALSE)</f>
        <v>46157.70833</v>
      </c>
      <c r="F610" s="79">
        <f>COUNTIFS(Matches!$B:$B,A610,Matches!$A:$A,CONCAT("&gt;",$D610),Matches!$A:$A,CONCAT("&lt;",$E610))</f>
        <v>0</v>
      </c>
      <c r="G610" s="79">
        <f>COUNTIFS(Matches!$C:$C,$A610,Matches!$A:$A,CONCAT("&gt;",$D610),Matches!$A:$A,CONCAT("&lt;",$E610))</f>
        <v>3</v>
      </c>
      <c r="H610" s="79">
        <f t="shared" si="1"/>
        <v>3</v>
      </c>
      <c r="I610" s="79">
        <f>COUNTIFS(Matches!$B:$B,$A610,Matches!$A:$A,CONCAT("&lt;",$E610))</f>
        <v>3</v>
      </c>
      <c r="J610" s="79">
        <f>COUNTIFS(Matches!$C:$C,$A610,Matches!$A:$A,CONCAT("&lt;",$E610))</f>
        <v>8</v>
      </c>
      <c r="K610" s="79">
        <f>COUNTIFS(Entropy!D:D,A610,Entropy!I:I,CONCAT("&lt;",E610-1))</f>
        <v>0</v>
      </c>
      <c r="L610" s="79">
        <f t="shared" si="2"/>
        <v>11</v>
      </c>
      <c r="M610" s="79">
        <f t="array" ref="M610">max(min(IF(J610+K610=11,0,XLOOKUP(B610,Quotas!$A$8:$A$14,Quotas!$E$8:$E$14)-$L610),2),0)</f>
        <v>2</v>
      </c>
      <c r="N610" s="31">
        <f t="shared" si="3"/>
        <v>1</v>
      </c>
    </row>
    <row r="611">
      <c r="A611" s="31" t="s">
        <v>263</v>
      </c>
      <c r="B611" s="9">
        <v>3.0</v>
      </c>
      <c r="C611" s="31" t="str">
        <f>VLOOKUP(A611, 'College List'!A:B, 2, FALSE)</f>
        <v>Prismari</v>
      </c>
      <c r="D611" s="355">
        <f>VLOOKUP(B611,Quotas!$A$8:$C$14,2,FALSE)</f>
        <v>46150.70833</v>
      </c>
      <c r="E611" s="356">
        <f>VLOOKUP(B611,Quotas!$A$8:$C$14,3,FALSE)</f>
        <v>46157.70833</v>
      </c>
      <c r="F611" s="79">
        <f>COUNTIFS(Matches!$B:$B,A611,Matches!$A:$A,CONCAT("&gt;",$D611),Matches!$A:$A,CONCAT("&lt;",$E611))</f>
        <v>3</v>
      </c>
      <c r="G611" s="79">
        <f>COUNTIFS(Matches!$C:$C,$A611,Matches!$A:$A,CONCAT("&gt;",$D611),Matches!$A:$A,CONCAT("&lt;",$E611))</f>
        <v>2</v>
      </c>
      <c r="H611" s="79">
        <f t="shared" si="1"/>
        <v>5</v>
      </c>
      <c r="I611" s="79">
        <f>COUNTIFS(Matches!$B:$B,$A611,Matches!$A:$A,CONCAT("&lt;",$E611))</f>
        <v>12</v>
      </c>
      <c r="J611" s="79">
        <f>COUNTIFS(Matches!$C:$C,$A611,Matches!$A:$A,CONCAT("&lt;",$E611))</f>
        <v>3</v>
      </c>
      <c r="K611" s="79">
        <f>COUNTIFS(Entropy!D:D,A611,Entropy!I:I,CONCAT("&lt;",E611-1))</f>
        <v>0</v>
      </c>
      <c r="L611" s="79">
        <f t="shared" si="2"/>
        <v>15</v>
      </c>
      <c r="M611" s="79">
        <f t="array" ref="M611">max(min(IF(J611+K611=11,0,XLOOKUP(B611,Quotas!$A$8:$A$14,Quotas!$E$8:$E$14)-$L611),2),0)</f>
        <v>0</v>
      </c>
      <c r="N611" s="31">
        <f t="shared" si="3"/>
        <v>0</v>
      </c>
    </row>
    <row r="612">
      <c r="A612" s="31" t="s">
        <v>359</v>
      </c>
      <c r="B612" s="9">
        <v>3.0</v>
      </c>
      <c r="C612" s="31" t="str">
        <f>VLOOKUP(A612, 'College List'!A:B, 2, FALSE)</f>
        <v>Quandrix</v>
      </c>
      <c r="D612" s="355">
        <f>VLOOKUP(B612,Quotas!$A$8:$C$14,2,FALSE)</f>
        <v>46150.70833</v>
      </c>
      <c r="E612" s="356">
        <f>VLOOKUP(B612,Quotas!$A$8:$C$14,3,FALSE)</f>
        <v>46157.70833</v>
      </c>
      <c r="F612" s="79">
        <f>COUNTIFS(Matches!$B:$B,A612,Matches!$A:$A,CONCAT("&gt;",$D612),Matches!$A:$A,CONCAT("&lt;",$E612))</f>
        <v>1</v>
      </c>
      <c r="G612" s="79">
        <f>COUNTIFS(Matches!$C:$C,$A612,Matches!$A:$A,CONCAT("&gt;",$D612),Matches!$A:$A,CONCAT("&lt;",$E612))</f>
        <v>3</v>
      </c>
      <c r="H612" s="79">
        <f t="shared" si="1"/>
        <v>4</v>
      </c>
      <c r="I612" s="79">
        <f>COUNTIFS(Matches!$B:$B,$A612,Matches!$A:$A,CONCAT("&lt;",$E612))</f>
        <v>4</v>
      </c>
      <c r="J612" s="79">
        <f>COUNTIFS(Matches!$C:$C,$A612,Matches!$A:$A,CONCAT("&lt;",$E612))</f>
        <v>10</v>
      </c>
      <c r="K612" s="79">
        <f>COUNTIFS(Entropy!D:D,A612,Entropy!I:I,CONCAT("&lt;",E612-1))</f>
        <v>0</v>
      </c>
      <c r="L612" s="79">
        <f t="shared" si="2"/>
        <v>14</v>
      </c>
      <c r="M612" s="79">
        <f t="array" ref="M612">max(min(IF(J612+K612=11,0,XLOOKUP(B612,Quotas!$A$8:$A$14,Quotas!$E$8:$E$14)-$L612),2),0)</f>
        <v>1</v>
      </c>
      <c r="N612" s="31">
        <f t="shared" si="3"/>
        <v>0.5</v>
      </c>
    </row>
    <row r="613">
      <c r="A613" s="31" t="s">
        <v>134</v>
      </c>
      <c r="B613" s="9">
        <v>3.0</v>
      </c>
      <c r="C613" s="31" t="str">
        <f>VLOOKUP(A613, 'College List'!A:B, 2, FALSE)</f>
        <v>Witherbloom</v>
      </c>
      <c r="D613" s="355">
        <f>VLOOKUP(B613,Quotas!$A$8:$C$14,2,FALSE)</f>
        <v>46150.70833</v>
      </c>
      <c r="E613" s="356">
        <f>VLOOKUP(B613,Quotas!$A$8:$C$14,3,FALSE)</f>
        <v>46157.70833</v>
      </c>
      <c r="F613" s="79">
        <f>COUNTIFS(Matches!$B:$B,A613,Matches!$A:$A,CONCAT("&gt;",$D613),Matches!$A:$A,CONCAT("&lt;",$E613))</f>
        <v>2</v>
      </c>
      <c r="G613" s="79">
        <f>COUNTIFS(Matches!$C:$C,$A613,Matches!$A:$A,CONCAT("&gt;",$D613),Matches!$A:$A,CONCAT("&lt;",$E613))</f>
        <v>3</v>
      </c>
      <c r="H613" s="79">
        <f t="shared" si="1"/>
        <v>5</v>
      </c>
      <c r="I613" s="79">
        <f>COUNTIFS(Matches!$B:$B,$A613,Matches!$A:$A,CONCAT("&lt;",$E613))</f>
        <v>5</v>
      </c>
      <c r="J613" s="79">
        <f>COUNTIFS(Matches!$C:$C,$A613,Matches!$A:$A,CONCAT("&lt;",$E613))</f>
        <v>10</v>
      </c>
      <c r="K613" s="79">
        <f>COUNTIFS(Entropy!D:D,A613,Entropy!I:I,CONCAT("&lt;",E613-1))</f>
        <v>0</v>
      </c>
      <c r="L613" s="79">
        <f t="shared" si="2"/>
        <v>15</v>
      </c>
      <c r="M613" s="79">
        <f t="array" ref="M613">max(min(IF(J613+K613=11,0,XLOOKUP(B613,Quotas!$A$8:$A$14,Quotas!$E$8:$E$14)-$L613),2),0)</f>
        <v>0</v>
      </c>
      <c r="N613" s="31">
        <f t="shared" si="3"/>
        <v>0</v>
      </c>
    </row>
    <row r="614">
      <c r="A614" s="31" t="s">
        <v>301</v>
      </c>
      <c r="B614" s="9">
        <v>3.0</v>
      </c>
      <c r="C614" s="31" t="str">
        <f>VLOOKUP(A614, 'College List'!A:B, 2, FALSE)</f>
        <v>Lorehold</v>
      </c>
      <c r="D614" s="355">
        <f>VLOOKUP(B614,Quotas!$A$8:$C$14,2,FALSE)</f>
        <v>46150.70833</v>
      </c>
      <c r="E614" s="356">
        <f>VLOOKUP(B614,Quotas!$A$8:$C$14,3,FALSE)</f>
        <v>46157.70833</v>
      </c>
      <c r="F614" s="79">
        <f>COUNTIFS(Matches!$B:$B,A614,Matches!$A:$A,CONCAT("&gt;",$D614),Matches!$A:$A,CONCAT("&lt;",$E614))</f>
        <v>1</v>
      </c>
      <c r="G614" s="79">
        <f>COUNTIFS(Matches!$C:$C,$A614,Matches!$A:$A,CONCAT("&gt;",$D614),Matches!$A:$A,CONCAT("&lt;",$E614))</f>
        <v>2</v>
      </c>
      <c r="H614" s="79">
        <f t="shared" si="1"/>
        <v>3</v>
      </c>
      <c r="I614" s="79">
        <f>COUNTIFS(Matches!$B:$B,$A614,Matches!$A:$A,CONCAT("&lt;",$E614))</f>
        <v>4</v>
      </c>
      <c r="J614" s="79">
        <f>COUNTIFS(Matches!$C:$C,$A614,Matches!$A:$A,CONCAT("&lt;",$E614))</f>
        <v>9</v>
      </c>
      <c r="K614" s="79">
        <f>COUNTIFS(Entropy!D:D,A614,Entropy!I:I,CONCAT("&lt;",E614-1))</f>
        <v>0</v>
      </c>
      <c r="L614" s="79">
        <f t="shared" si="2"/>
        <v>13</v>
      </c>
      <c r="M614" s="79">
        <f t="array" ref="M614">max(min(IF(J614+K614=11,0,XLOOKUP(B614,Quotas!$A$8:$A$14,Quotas!$E$8:$E$14)-$L614),2),0)</f>
        <v>2</v>
      </c>
      <c r="N614" s="31">
        <f t="shared" si="3"/>
        <v>1</v>
      </c>
    </row>
    <row r="615">
      <c r="A615" s="31" t="s">
        <v>355</v>
      </c>
      <c r="B615" s="9">
        <v>3.0</v>
      </c>
      <c r="C615" s="31" t="str">
        <f>VLOOKUP(A615, 'College List'!A:B, 2, FALSE)</f>
        <v>Prismari</v>
      </c>
      <c r="D615" s="355">
        <f>VLOOKUP(B615,Quotas!$A$8:$C$14,2,FALSE)</f>
        <v>46150.70833</v>
      </c>
      <c r="E615" s="356">
        <f>VLOOKUP(B615,Quotas!$A$8:$C$14,3,FALSE)</f>
        <v>46157.70833</v>
      </c>
      <c r="F615" s="79">
        <f>COUNTIFS(Matches!$B:$B,A615,Matches!$A:$A,CONCAT("&gt;",$D615),Matches!$A:$A,CONCAT("&lt;",$E615))</f>
        <v>1</v>
      </c>
      <c r="G615" s="79">
        <f>COUNTIFS(Matches!$C:$C,$A615,Matches!$A:$A,CONCAT("&gt;",$D615),Matches!$A:$A,CONCAT("&lt;",$E615))</f>
        <v>3</v>
      </c>
      <c r="H615" s="79">
        <f t="shared" si="1"/>
        <v>4</v>
      </c>
      <c r="I615" s="79">
        <f>COUNTIFS(Matches!$B:$B,$A615,Matches!$A:$A,CONCAT("&lt;",$E615))</f>
        <v>4</v>
      </c>
      <c r="J615" s="79">
        <f>COUNTIFS(Matches!$C:$C,$A615,Matches!$A:$A,CONCAT("&lt;",$E615))</f>
        <v>9</v>
      </c>
      <c r="K615" s="79">
        <f>COUNTIFS(Entropy!D:D,A615,Entropy!I:I,CONCAT("&lt;",E615-1))</f>
        <v>0</v>
      </c>
      <c r="L615" s="79">
        <f t="shared" si="2"/>
        <v>13</v>
      </c>
      <c r="M615" s="79">
        <f t="array" ref="M615">max(min(IF(J615+K615=11,0,XLOOKUP(B615,Quotas!$A$8:$A$14,Quotas!$E$8:$E$14)-$L615),2),0)</f>
        <v>2</v>
      </c>
      <c r="N615" s="31">
        <f t="shared" si="3"/>
        <v>1</v>
      </c>
    </row>
    <row r="616">
      <c r="A616" s="31" t="s">
        <v>277</v>
      </c>
      <c r="B616" s="9">
        <v>3.0</v>
      </c>
      <c r="C616" s="31" t="str">
        <f>VLOOKUP(A616, 'College List'!A:B, 2, FALSE)</f>
        <v>Witherbloom</v>
      </c>
      <c r="D616" s="355">
        <f>VLOOKUP(B616,Quotas!$A$8:$C$14,2,FALSE)</f>
        <v>46150.70833</v>
      </c>
      <c r="E616" s="356">
        <f>VLOOKUP(B616,Quotas!$A$8:$C$14,3,FALSE)</f>
        <v>46157.70833</v>
      </c>
      <c r="F616" s="79">
        <f>COUNTIFS(Matches!$B:$B,A616,Matches!$A:$A,CONCAT("&gt;",$D616),Matches!$A:$A,CONCAT("&lt;",$E616))</f>
        <v>4</v>
      </c>
      <c r="G616" s="79">
        <f>COUNTIFS(Matches!$C:$C,$A616,Matches!$A:$A,CONCAT("&gt;",$D616),Matches!$A:$A,CONCAT("&lt;",$E616))</f>
        <v>1</v>
      </c>
      <c r="H616" s="79">
        <f t="shared" si="1"/>
        <v>5</v>
      </c>
      <c r="I616" s="79">
        <f>COUNTIFS(Matches!$B:$B,$A616,Matches!$A:$A,CONCAT("&lt;",$E616))</f>
        <v>8</v>
      </c>
      <c r="J616" s="79">
        <f>COUNTIFS(Matches!$C:$C,$A616,Matches!$A:$A,CONCAT("&lt;",$E616))</f>
        <v>7</v>
      </c>
      <c r="K616" s="79">
        <f>COUNTIFS(Entropy!D:D,A616,Entropy!I:I,CONCAT("&lt;",E616-1))</f>
        <v>0</v>
      </c>
      <c r="L616" s="79">
        <f t="shared" si="2"/>
        <v>15</v>
      </c>
      <c r="M616" s="79">
        <f t="array" ref="M616">max(min(IF(J616+K616=11,0,XLOOKUP(B616,Quotas!$A$8:$A$14,Quotas!$E$8:$E$14)-$L616),2),0)</f>
        <v>0</v>
      </c>
      <c r="N616" s="31">
        <f t="shared" si="3"/>
        <v>0</v>
      </c>
    </row>
    <row r="617">
      <c r="A617" s="31" t="s">
        <v>248</v>
      </c>
      <c r="B617" s="9">
        <v>3.0</v>
      </c>
      <c r="C617" s="31" t="str">
        <f>VLOOKUP(A617, 'College List'!A:B, 2, FALSE)</f>
        <v>Prismari</v>
      </c>
      <c r="D617" s="355">
        <f>VLOOKUP(B617,Quotas!$A$8:$C$14,2,FALSE)</f>
        <v>46150.70833</v>
      </c>
      <c r="E617" s="356">
        <f>VLOOKUP(B617,Quotas!$A$8:$C$14,3,FALSE)</f>
        <v>46157.70833</v>
      </c>
      <c r="F617" s="79">
        <f>COUNTIFS(Matches!$B:$B,A617,Matches!$A:$A,CONCAT("&gt;",$D617),Matches!$A:$A,CONCAT("&lt;",$E617))</f>
        <v>0</v>
      </c>
      <c r="G617" s="79">
        <f>COUNTIFS(Matches!$C:$C,$A617,Matches!$A:$A,CONCAT("&gt;",$D617),Matches!$A:$A,CONCAT("&lt;",$E617))</f>
        <v>5</v>
      </c>
      <c r="H617" s="79">
        <f t="shared" si="1"/>
        <v>5</v>
      </c>
      <c r="I617" s="79">
        <f>COUNTIFS(Matches!$B:$B,$A617,Matches!$A:$A,CONCAT("&lt;",$E617))</f>
        <v>1</v>
      </c>
      <c r="J617" s="79">
        <f>COUNTIFS(Matches!$C:$C,$A617,Matches!$A:$A,CONCAT("&lt;",$E617))</f>
        <v>11</v>
      </c>
      <c r="K617" s="79">
        <f>COUNTIFS(Entropy!D:D,A617,Entropy!I:I,CONCAT("&lt;",E617-1))</f>
        <v>0</v>
      </c>
      <c r="L617" s="79">
        <f t="shared" si="2"/>
        <v>12</v>
      </c>
      <c r="M617" s="79">
        <f t="array" ref="M617">max(min(IF(J617+K617=11,0,XLOOKUP(B617,Quotas!$A$8:$A$14,Quotas!$E$8:$E$14)-$L617),2),0)</f>
        <v>0</v>
      </c>
      <c r="N617" s="31">
        <f t="shared" si="3"/>
        <v>0</v>
      </c>
    </row>
    <row r="618">
      <c r="A618" s="31" t="s">
        <v>79</v>
      </c>
      <c r="B618" s="9">
        <v>3.0</v>
      </c>
      <c r="C618" s="31" t="str">
        <f>VLOOKUP(A618, 'College List'!A:B, 2, FALSE)</f>
        <v>Prismari</v>
      </c>
      <c r="D618" s="355">
        <f>VLOOKUP(B618,Quotas!$A$8:$C$14,2,FALSE)</f>
        <v>46150.70833</v>
      </c>
      <c r="E618" s="356">
        <f>VLOOKUP(B618,Quotas!$A$8:$C$14,3,FALSE)</f>
        <v>46157.70833</v>
      </c>
      <c r="F618" s="79">
        <f>COUNTIFS(Matches!$B:$B,A618,Matches!$A:$A,CONCAT("&gt;",$D618),Matches!$A:$A,CONCAT("&lt;",$E618))</f>
        <v>3</v>
      </c>
      <c r="G618" s="79">
        <f>COUNTIFS(Matches!$C:$C,$A618,Matches!$A:$A,CONCAT("&gt;",$D618),Matches!$A:$A,CONCAT("&lt;",$E618))</f>
        <v>2</v>
      </c>
      <c r="H618" s="79">
        <f t="shared" si="1"/>
        <v>5</v>
      </c>
      <c r="I618" s="79">
        <f>COUNTIFS(Matches!$B:$B,$A618,Matches!$A:$A,CONCAT("&lt;",$E618))</f>
        <v>11</v>
      </c>
      <c r="J618" s="79">
        <f>COUNTIFS(Matches!$C:$C,$A618,Matches!$A:$A,CONCAT("&lt;",$E618))</f>
        <v>4</v>
      </c>
      <c r="K618" s="79">
        <f>COUNTIFS(Entropy!D:D,A618,Entropy!I:I,CONCAT("&lt;",E618-1))</f>
        <v>0</v>
      </c>
      <c r="L618" s="79">
        <f t="shared" si="2"/>
        <v>15</v>
      </c>
      <c r="M618" s="79">
        <f t="array" ref="M618">max(min(IF(J618+K618=11,0,XLOOKUP(B618,Quotas!$A$8:$A$14,Quotas!$E$8:$E$14)-$L618),2),0)</f>
        <v>0</v>
      </c>
      <c r="N618" s="31">
        <f t="shared" si="3"/>
        <v>0</v>
      </c>
    </row>
    <row r="619">
      <c r="A619" s="31" t="s">
        <v>342</v>
      </c>
      <c r="B619" s="9">
        <v>3.0</v>
      </c>
      <c r="C619" s="31" t="str">
        <f>VLOOKUP(A619, 'College List'!A:B, 2, FALSE)</f>
        <v>Witherbloom</v>
      </c>
      <c r="D619" s="355">
        <f>VLOOKUP(B619,Quotas!$A$8:$C$14,2,FALSE)</f>
        <v>46150.70833</v>
      </c>
      <c r="E619" s="356">
        <f>VLOOKUP(B619,Quotas!$A$8:$C$14,3,FALSE)</f>
        <v>46157.70833</v>
      </c>
      <c r="F619" s="79">
        <f>COUNTIFS(Matches!$B:$B,A619,Matches!$A:$A,CONCAT("&gt;",$D619),Matches!$A:$A,CONCAT("&lt;",$E619))</f>
        <v>3</v>
      </c>
      <c r="G619" s="79">
        <f>COUNTIFS(Matches!$C:$C,$A619,Matches!$A:$A,CONCAT("&gt;",$D619),Matches!$A:$A,CONCAT("&lt;",$E619))</f>
        <v>2</v>
      </c>
      <c r="H619" s="79">
        <f t="shared" si="1"/>
        <v>5</v>
      </c>
      <c r="I619" s="79">
        <f>COUNTIFS(Matches!$B:$B,$A619,Matches!$A:$A,CONCAT("&lt;",$E619))</f>
        <v>11</v>
      </c>
      <c r="J619" s="79">
        <f>COUNTIFS(Matches!$C:$C,$A619,Matches!$A:$A,CONCAT("&lt;",$E619))</f>
        <v>4</v>
      </c>
      <c r="K619" s="79">
        <f>COUNTIFS(Entropy!D:D,A619,Entropy!I:I,CONCAT("&lt;",E619-1))</f>
        <v>0</v>
      </c>
      <c r="L619" s="79">
        <f t="shared" si="2"/>
        <v>15</v>
      </c>
      <c r="M619" s="79">
        <f t="array" ref="M619">max(min(IF(J619+K619=11,0,XLOOKUP(B619,Quotas!$A$8:$A$14,Quotas!$E$8:$E$14)-$L619),2),0)</f>
        <v>0</v>
      </c>
      <c r="N619" s="31">
        <f t="shared" si="3"/>
        <v>0</v>
      </c>
    </row>
    <row r="620">
      <c r="A620" s="31" t="s">
        <v>162</v>
      </c>
      <c r="B620" s="9">
        <v>3.0</v>
      </c>
      <c r="C620" s="31" t="str">
        <f>VLOOKUP(A620, 'College List'!A:B, 2, FALSE)</f>
        <v>Lorehold</v>
      </c>
      <c r="D620" s="355">
        <f>VLOOKUP(B620,Quotas!$A$8:$C$14,2,FALSE)</f>
        <v>46150.70833</v>
      </c>
      <c r="E620" s="356">
        <f>VLOOKUP(B620,Quotas!$A$8:$C$14,3,FALSE)</f>
        <v>46157.70833</v>
      </c>
      <c r="F620" s="79">
        <f>COUNTIFS(Matches!$B:$B,A620,Matches!$A:$A,CONCAT("&gt;",$D620),Matches!$A:$A,CONCAT("&lt;",$E620))</f>
        <v>3</v>
      </c>
      <c r="G620" s="79">
        <f>COUNTIFS(Matches!$C:$C,$A620,Matches!$A:$A,CONCAT("&gt;",$D620),Matches!$A:$A,CONCAT("&lt;",$E620))</f>
        <v>2</v>
      </c>
      <c r="H620" s="79">
        <f t="shared" si="1"/>
        <v>5</v>
      </c>
      <c r="I620" s="79">
        <f>COUNTIFS(Matches!$B:$B,$A620,Matches!$A:$A,CONCAT("&lt;",$E620))</f>
        <v>11</v>
      </c>
      <c r="J620" s="79">
        <f>COUNTIFS(Matches!$C:$C,$A620,Matches!$A:$A,CONCAT("&lt;",$E620))</f>
        <v>4</v>
      </c>
      <c r="K620" s="79">
        <f>COUNTIFS(Entropy!D:D,A620,Entropy!I:I,CONCAT("&lt;",E620-1))</f>
        <v>0</v>
      </c>
      <c r="L620" s="79">
        <f t="shared" si="2"/>
        <v>15</v>
      </c>
      <c r="M620" s="79">
        <f t="array" ref="M620">max(min(IF(J620+K620=11,0,XLOOKUP(B620,Quotas!$A$8:$A$14,Quotas!$E$8:$E$14)-$L620),2),0)</f>
        <v>0</v>
      </c>
      <c r="N620" s="31">
        <f t="shared" si="3"/>
        <v>0</v>
      </c>
    </row>
    <row r="621">
      <c r="A621" s="9" t="s">
        <v>242</v>
      </c>
      <c r="B621" s="9">
        <v>3.0</v>
      </c>
      <c r="C621" s="31" t="str">
        <f>VLOOKUP(A621, 'College List'!A:B, 2, FALSE)</f>
        <v>Witherbloom</v>
      </c>
      <c r="D621" s="355">
        <f>VLOOKUP(B621,Quotas!$A$8:$C$14,2,FALSE)</f>
        <v>46150.70833</v>
      </c>
      <c r="E621" s="356">
        <f>VLOOKUP(B621,Quotas!$A$8:$C$14,3,FALSE)</f>
        <v>46157.70833</v>
      </c>
      <c r="F621" s="79">
        <f>COUNTIFS(Matches!$B:$B,A621,Matches!$A:$A,CONCAT("&gt;",$D621),Matches!$A:$A,CONCAT("&lt;",$E621))</f>
        <v>0</v>
      </c>
      <c r="G621" s="79">
        <f>COUNTIFS(Matches!$C:$C,$A621,Matches!$A:$A,CONCAT("&gt;",$D621),Matches!$A:$A,CONCAT("&lt;",$E621))</f>
        <v>0</v>
      </c>
      <c r="H621" s="79">
        <f t="shared" si="1"/>
        <v>0</v>
      </c>
      <c r="I621" s="79">
        <f>COUNTIFS(Matches!$B:$B,$A621,Matches!$A:$A,CONCAT("&lt;",$E621))</f>
        <v>1</v>
      </c>
      <c r="J621" s="79">
        <f>COUNTIFS(Matches!$C:$C,$A621,Matches!$A:$A,CONCAT("&lt;",$E621))</f>
        <v>4</v>
      </c>
      <c r="K621" s="79">
        <f>COUNTIFS(Entropy!D:D,A621,Entropy!I:I,CONCAT("&lt;",E621-1))</f>
        <v>3</v>
      </c>
      <c r="L621" s="79">
        <f t="shared" si="2"/>
        <v>8</v>
      </c>
      <c r="M621" s="79">
        <f t="array" ref="M621">max(min(IF(J621+K621=11,0,XLOOKUP(B621,Quotas!$A$8:$A$14,Quotas!$E$8:$E$14)-$L621),2),0)</f>
        <v>2</v>
      </c>
      <c r="N621" s="31">
        <f t="shared" si="3"/>
        <v>0</v>
      </c>
    </row>
    <row r="622">
      <c r="A622" s="31" t="s">
        <v>303</v>
      </c>
      <c r="B622" s="9">
        <v>3.0</v>
      </c>
      <c r="C622" s="31" t="str">
        <f>VLOOKUP(A622, 'College List'!A:B, 2, FALSE)</f>
        <v>Quandrix</v>
      </c>
      <c r="D622" s="355">
        <f>VLOOKUP(B622,Quotas!$A$8:$C$14,2,FALSE)</f>
        <v>46150.70833</v>
      </c>
      <c r="E622" s="356">
        <f>VLOOKUP(B622,Quotas!$A$8:$C$14,3,FALSE)</f>
        <v>46157.70833</v>
      </c>
      <c r="F622" s="79">
        <f>COUNTIFS(Matches!$B:$B,A622,Matches!$A:$A,CONCAT("&gt;",$D622),Matches!$A:$A,CONCAT("&lt;",$E622))</f>
        <v>3</v>
      </c>
      <c r="G622" s="79">
        <f>COUNTIFS(Matches!$C:$C,$A622,Matches!$A:$A,CONCAT("&gt;",$D622),Matches!$A:$A,CONCAT("&lt;",$E622))</f>
        <v>2</v>
      </c>
      <c r="H622" s="79">
        <f t="shared" si="1"/>
        <v>5</v>
      </c>
      <c r="I622" s="79">
        <f>COUNTIFS(Matches!$B:$B,$A622,Matches!$A:$A,CONCAT("&lt;",$E622))</f>
        <v>6</v>
      </c>
      <c r="J622" s="79">
        <f>COUNTIFS(Matches!$C:$C,$A622,Matches!$A:$A,CONCAT("&lt;",$E622))</f>
        <v>9</v>
      </c>
      <c r="K622" s="79">
        <f>COUNTIFS(Entropy!D:D,A622,Entropy!I:I,CONCAT("&lt;",E622-1))</f>
        <v>0</v>
      </c>
      <c r="L622" s="79">
        <f t="shared" si="2"/>
        <v>15</v>
      </c>
      <c r="M622" s="79">
        <f t="array" ref="M622">max(min(IF(J622+K622=11,0,XLOOKUP(B622,Quotas!$A$8:$A$14,Quotas!$E$8:$E$14)-$L622),2),0)</f>
        <v>0</v>
      </c>
      <c r="N622" s="31">
        <f t="shared" si="3"/>
        <v>0</v>
      </c>
    </row>
    <row r="623">
      <c r="A623" s="31" t="s">
        <v>387</v>
      </c>
      <c r="B623" s="9">
        <v>3.0</v>
      </c>
      <c r="C623" s="31" t="str">
        <f>VLOOKUP(A623, 'College List'!A:B, 2, FALSE)</f>
        <v>Prismari</v>
      </c>
      <c r="D623" s="355">
        <f>VLOOKUP(B623,Quotas!$A$8:$C$14,2,FALSE)</f>
        <v>46150.70833</v>
      </c>
      <c r="E623" s="356">
        <f>VLOOKUP(B623,Quotas!$A$8:$C$14,3,FALSE)</f>
        <v>46157.70833</v>
      </c>
      <c r="F623" s="79">
        <f>COUNTIFS(Matches!$B:$B,A623,Matches!$A:$A,CONCAT("&gt;",$D623),Matches!$A:$A,CONCAT("&lt;",$E623))</f>
        <v>4</v>
      </c>
      <c r="G623" s="79">
        <f>COUNTIFS(Matches!$C:$C,$A623,Matches!$A:$A,CONCAT("&gt;",$D623),Matches!$A:$A,CONCAT("&lt;",$E623))</f>
        <v>1</v>
      </c>
      <c r="H623" s="79">
        <f t="shared" si="1"/>
        <v>5</v>
      </c>
      <c r="I623" s="79">
        <f>COUNTIFS(Matches!$B:$B,$A623,Matches!$A:$A,CONCAT("&lt;",$E623))</f>
        <v>9</v>
      </c>
      <c r="J623" s="79">
        <f>COUNTIFS(Matches!$C:$C,$A623,Matches!$A:$A,CONCAT("&lt;",$E623))</f>
        <v>6</v>
      </c>
      <c r="K623" s="79">
        <f>COUNTIFS(Entropy!D:D,A623,Entropy!I:I,CONCAT("&lt;",E623-1))</f>
        <v>0</v>
      </c>
      <c r="L623" s="79">
        <f t="shared" si="2"/>
        <v>15</v>
      </c>
      <c r="M623" s="79">
        <f t="array" ref="M623">max(min(IF(J623+K623=11,0,XLOOKUP(B623,Quotas!$A$8:$A$14,Quotas!$E$8:$E$14)-$L623),2),0)</f>
        <v>0</v>
      </c>
      <c r="N623" s="31">
        <f t="shared" si="3"/>
        <v>0</v>
      </c>
    </row>
    <row r="624">
      <c r="A624" s="31" t="s">
        <v>143</v>
      </c>
      <c r="B624" s="9">
        <v>3.0</v>
      </c>
      <c r="C624" s="31" t="str">
        <f>VLOOKUP(A624, 'College List'!A:B, 2, FALSE)</f>
        <v>Quandrix</v>
      </c>
      <c r="D624" s="355">
        <f>VLOOKUP(B624,Quotas!$A$8:$C$14,2,FALSE)</f>
        <v>46150.70833</v>
      </c>
      <c r="E624" s="356">
        <f>VLOOKUP(B624,Quotas!$A$8:$C$14,3,FALSE)</f>
        <v>46157.70833</v>
      </c>
      <c r="F624" s="79">
        <f>COUNTIFS(Matches!$B:$B,A624,Matches!$A:$A,CONCAT("&gt;",$D624),Matches!$A:$A,CONCAT("&lt;",$E624))</f>
        <v>3</v>
      </c>
      <c r="G624" s="79">
        <f>COUNTIFS(Matches!$C:$C,$A624,Matches!$A:$A,CONCAT("&gt;",$D624),Matches!$A:$A,CONCAT("&lt;",$E624))</f>
        <v>2</v>
      </c>
      <c r="H624" s="79">
        <f t="shared" si="1"/>
        <v>5</v>
      </c>
      <c r="I624" s="79">
        <f>COUNTIFS(Matches!$B:$B,$A624,Matches!$A:$A,CONCAT("&lt;",$E624))</f>
        <v>10</v>
      </c>
      <c r="J624" s="79">
        <f>COUNTIFS(Matches!$C:$C,$A624,Matches!$A:$A,CONCAT("&lt;",$E624))</f>
        <v>5</v>
      </c>
      <c r="K624" s="79">
        <f>COUNTIFS(Entropy!D:D,A624,Entropy!I:I,CONCAT("&lt;",E624-1))</f>
        <v>0</v>
      </c>
      <c r="L624" s="79">
        <f t="shared" si="2"/>
        <v>15</v>
      </c>
      <c r="M624" s="79">
        <f t="array" ref="M624">max(min(IF(J624+K624=11,0,XLOOKUP(B624,Quotas!$A$8:$A$14,Quotas!$E$8:$E$14)-$L624),2),0)</f>
        <v>0</v>
      </c>
      <c r="N624" s="31">
        <f t="shared" si="3"/>
        <v>0</v>
      </c>
    </row>
    <row r="625">
      <c r="A625" s="31" t="s">
        <v>269</v>
      </c>
      <c r="B625" s="9">
        <v>3.0</v>
      </c>
      <c r="C625" s="31" t="str">
        <f>VLOOKUP(A625, 'College List'!A:B, 2, FALSE)</f>
        <v>Silverquill</v>
      </c>
      <c r="D625" s="355">
        <f>VLOOKUP(B625,Quotas!$A$8:$C$14,2,FALSE)</f>
        <v>46150.70833</v>
      </c>
      <c r="E625" s="356">
        <f>VLOOKUP(B625,Quotas!$A$8:$C$14,3,FALSE)</f>
        <v>46157.70833</v>
      </c>
      <c r="F625" s="79">
        <f>COUNTIFS(Matches!$B:$B,A625,Matches!$A:$A,CONCAT("&gt;",$D625),Matches!$A:$A,CONCAT("&lt;",$E625))</f>
        <v>1</v>
      </c>
      <c r="G625" s="79">
        <f>COUNTIFS(Matches!$C:$C,$A625,Matches!$A:$A,CONCAT("&gt;",$D625),Matches!$A:$A,CONCAT("&lt;",$E625))</f>
        <v>4</v>
      </c>
      <c r="H625" s="79">
        <f t="shared" si="1"/>
        <v>5</v>
      </c>
      <c r="I625" s="79">
        <f>COUNTIFS(Matches!$B:$B,$A625,Matches!$A:$A,CONCAT("&lt;",$E625))</f>
        <v>7</v>
      </c>
      <c r="J625" s="79">
        <f>COUNTIFS(Matches!$C:$C,$A625,Matches!$A:$A,CONCAT("&lt;",$E625))</f>
        <v>8</v>
      </c>
      <c r="K625" s="79">
        <f>COUNTIFS(Entropy!D:D,A625,Entropy!I:I,CONCAT("&lt;",E625-1))</f>
        <v>0</v>
      </c>
      <c r="L625" s="79">
        <f t="shared" si="2"/>
        <v>15</v>
      </c>
      <c r="M625" s="79">
        <f t="array" ref="M625">max(min(IF(J625+K625=11,0,XLOOKUP(B625,Quotas!$A$8:$A$14,Quotas!$E$8:$E$14)-$L625),2),0)</f>
        <v>0</v>
      </c>
      <c r="N625" s="31">
        <f t="shared" si="3"/>
        <v>0</v>
      </c>
    </row>
    <row r="626">
      <c r="A626" s="31" t="s">
        <v>163</v>
      </c>
      <c r="B626" s="9">
        <v>3.0</v>
      </c>
      <c r="C626" s="31" t="str">
        <f>VLOOKUP(A626, 'College List'!A:B, 2, FALSE)</f>
        <v>Quandrix</v>
      </c>
      <c r="D626" s="355">
        <f>VLOOKUP(B626,Quotas!$A$8:$C$14,2,FALSE)</f>
        <v>46150.70833</v>
      </c>
      <c r="E626" s="356">
        <f>VLOOKUP(B626,Quotas!$A$8:$C$14,3,FALSE)</f>
        <v>46157.70833</v>
      </c>
      <c r="F626" s="79">
        <f>COUNTIFS(Matches!$B:$B,A626,Matches!$A:$A,CONCAT("&gt;",$D626),Matches!$A:$A,CONCAT("&lt;",$E626))</f>
        <v>1</v>
      </c>
      <c r="G626" s="79">
        <f>COUNTIFS(Matches!$C:$C,$A626,Matches!$A:$A,CONCAT("&gt;",$D626),Matches!$A:$A,CONCAT("&lt;",$E626))</f>
        <v>4</v>
      </c>
      <c r="H626" s="79">
        <f t="shared" si="1"/>
        <v>5</v>
      </c>
      <c r="I626" s="79">
        <f>COUNTIFS(Matches!$B:$B,$A626,Matches!$A:$A,CONCAT("&lt;",$E626))</f>
        <v>7</v>
      </c>
      <c r="J626" s="79">
        <f>COUNTIFS(Matches!$C:$C,$A626,Matches!$A:$A,CONCAT("&lt;",$E626))</f>
        <v>8</v>
      </c>
      <c r="K626" s="79">
        <f>COUNTIFS(Entropy!D:D,A626,Entropy!I:I,CONCAT("&lt;",E626-1))</f>
        <v>0</v>
      </c>
      <c r="L626" s="79">
        <f t="shared" si="2"/>
        <v>15</v>
      </c>
      <c r="M626" s="79">
        <f t="array" ref="M626">max(min(IF(J626+K626=11,0,XLOOKUP(B626,Quotas!$A$8:$A$14,Quotas!$E$8:$E$14)-$L626),2),0)</f>
        <v>0</v>
      </c>
      <c r="N626" s="31">
        <f t="shared" si="3"/>
        <v>0</v>
      </c>
    </row>
    <row r="627">
      <c r="A627" s="31" t="s">
        <v>328</v>
      </c>
      <c r="B627" s="9">
        <v>3.0</v>
      </c>
      <c r="C627" s="31" t="str">
        <f>VLOOKUP(A627, 'College List'!A:B, 2, FALSE)</f>
        <v>Prismari</v>
      </c>
      <c r="D627" s="355">
        <f>VLOOKUP(B627,Quotas!$A$8:$C$14,2,FALSE)</f>
        <v>46150.70833</v>
      </c>
      <c r="E627" s="356">
        <f>VLOOKUP(B627,Quotas!$A$8:$C$14,3,FALSE)</f>
        <v>46157.70833</v>
      </c>
      <c r="F627" s="79">
        <f>COUNTIFS(Matches!$B:$B,A627,Matches!$A:$A,CONCAT("&gt;",$D627),Matches!$A:$A,CONCAT("&lt;",$E627))</f>
        <v>0</v>
      </c>
      <c r="G627" s="79">
        <f>COUNTIFS(Matches!$C:$C,$A627,Matches!$A:$A,CONCAT("&gt;",$D627),Matches!$A:$A,CONCAT("&lt;",$E627))</f>
        <v>5</v>
      </c>
      <c r="H627" s="79">
        <f t="shared" si="1"/>
        <v>5</v>
      </c>
      <c r="I627" s="79">
        <f>COUNTIFS(Matches!$B:$B,$A627,Matches!$A:$A,CONCAT("&lt;",$E627))</f>
        <v>6</v>
      </c>
      <c r="J627" s="79">
        <f>COUNTIFS(Matches!$C:$C,$A627,Matches!$A:$A,CONCAT("&lt;",$E627))</f>
        <v>9</v>
      </c>
      <c r="K627" s="79">
        <f>COUNTIFS(Entropy!D:D,A627,Entropy!I:I,CONCAT("&lt;",E627-1))</f>
        <v>0</v>
      </c>
      <c r="L627" s="79">
        <f t="shared" si="2"/>
        <v>15</v>
      </c>
      <c r="M627" s="79">
        <f t="array" ref="M627">max(min(IF(J627+K627=11,0,XLOOKUP(B627,Quotas!$A$8:$A$14,Quotas!$E$8:$E$14)-$L627),2),0)</f>
        <v>0</v>
      </c>
      <c r="N627" s="31">
        <f t="shared" si="3"/>
        <v>0</v>
      </c>
    </row>
    <row r="628">
      <c r="A628" s="31" t="s">
        <v>329</v>
      </c>
      <c r="B628" s="9">
        <v>3.0</v>
      </c>
      <c r="C628" s="31" t="str">
        <f>VLOOKUP(A628, 'College List'!A:B, 2, FALSE)</f>
        <v>Lorehold</v>
      </c>
      <c r="D628" s="355">
        <f>VLOOKUP(B628,Quotas!$A$8:$C$14,2,FALSE)</f>
        <v>46150.70833</v>
      </c>
      <c r="E628" s="356">
        <f>VLOOKUP(B628,Quotas!$A$8:$C$14,3,FALSE)</f>
        <v>46157.70833</v>
      </c>
      <c r="F628" s="79">
        <f>COUNTIFS(Matches!$B:$B,A628,Matches!$A:$A,CONCAT("&gt;",$D628),Matches!$A:$A,CONCAT("&lt;",$E628))</f>
        <v>2</v>
      </c>
      <c r="G628" s="79">
        <f>COUNTIFS(Matches!$C:$C,$A628,Matches!$A:$A,CONCAT("&gt;",$D628),Matches!$A:$A,CONCAT("&lt;",$E628))</f>
        <v>3</v>
      </c>
      <c r="H628" s="79">
        <f t="shared" si="1"/>
        <v>5</v>
      </c>
      <c r="I628" s="79">
        <f>COUNTIFS(Matches!$B:$B,$A628,Matches!$A:$A,CONCAT("&lt;",$E628))</f>
        <v>6</v>
      </c>
      <c r="J628" s="79">
        <f>COUNTIFS(Matches!$C:$C,$A628,Matches!$A:$A,CONCAT("&lt;",$E628))</f>
        <v>9</v>
      </c>
      <c r="K628" s="79">
        <f>COUNTIFS(Entropy!D:D,A628,Entropy!I:I,CONCAT("&lt;",E628-1))</f>
        <v>0</v>
      </c>
      <c r="L628" s="79">
        <f t="shared" si="2"/>
        <v>15</v>
      </c>
      <c r="M628" s="79">
        <f t="array" ref="M628">max(min(IF(J628+K628=11,0,XLOOKUP(B628,Quotas!$A$8:$A$14,Quotas!$E$8:$E$14)-$L628),2),0)</f>
        <v>0</v>
      </c>
      <c r="N628" s="31">
        <f t="shared" si="3"/>
        <v>0</v>
      </c>
    </row>
    <row r="629">
      <c r="A629" s="31" t="s">
        <v>258</v>
      </c>
      <c r="B629" s="9">
        <v>3.0</v>
      </c>
      <c r="C629" s="31" t="str">
        <f>VLOOKUP(A629, 'College List'!A:B, 2, FALSE)</f>
        <v>Witherbloom</v>
      </c>
      <c r="D629" s="355">
        <f>VLOOKUP(B629,Quotas!$A$8:$C$14,2,FALSE)</f>
        <v>46150.70833</v>
      </c>
      <c r="E629" s="356">
        <f>VLOOKUP(B629,Quotas!$A$8:$C$14,3,FALSE)</f>
        <v>46157.70833</v>
      </c>
      <c r="F629" s="79">
        <f>COUNTIFS(Matches!$B:$B,A629,Matches!$A:$A,CONCAT("&gt;",$D629),Matches!$A:$A,CONCAT("&lt;",$E629))</f>
        <v>4</v>
      </c>
      <c r="G629" s="79">
        <f>COUNTIFS(Matches!$C:$C,$A629,Matches!$A:$A,CONCAT("&gt;",$D629),Matches!$A:$A,CONCAT("&lt;",$E629))</f>
        <v>1</v>
      </c>
      <c r="H629" s="79">
        <f t="shared" si="1"/>
        <v>5</v>
      </c>
      <c r="I629" s="79">
        <f>COUNTIFS(Matches!$B:$B,$A629,Matches!$A:$A,CONCAT("&lt;",$E629))</f>
        <v>9</v>
      </c>
      <c r="J629" s="79">
        <f>COUNTIFS(Matches!$C:$C,$A629,Matches!$A:$A,CONCAT("&lt;",$E629))</f>
        <v>6</v>
      </c>
      <c r="K629" s="79">
        <f>COUNTIFS(Entropy!D:D,A629,Entropy!I:I,CONCAT("&lt;",E629-1))</f>
        <v>0</v>
      </c>
      <c r="L629" s="79">
        <f t="shared" si="2"/>
        <v>15</v>
      </c>
      <c r="M629" s="79">
        <f t="array" ref="M629">max(min(IF(J629+K629=11,0,XLOOKUP(B629,Quotas!$A$8:$A$14,Quotas!$E$8:$E$14)-$L629),2),0)</f>
        <v>0</v>
      </c>
      <c r="N629" s="31">
        <f t="shared" si="3"/>
        <v>0</v>
      </c>
    </row>
    <row r="630">
      <c r="A630" s="31" t="s">
        <v>156</v>
      </c>
      <c r="B630" s="9">
        <v>3.0</v>
      </c>
      <c r="C630" s="31" t="str">
        <f>VLOOKUP(A630, 'College List'!A:B, 2, FALSE)</f>
        <v>Silverquill</v>
      </c>
      <c r="D630" s="355">
        <f>VLOOKUP(B630,Quotas!$A$8:$C$14,2,FALSE)</f>
        <v>46150.70833</v>
      </c>
      <c r="E630" s="356">
        <f>VLOOKUP(B630,Quotas!$A$8:$C$14,3,FALSE)</f>
        <v>46157.70833</v>
      </c>
      <c r="F630" s="79">
        <f>COUNTIFS(Matches!$B:$B,A630,Matches!$A:$A,CONCAT("&gt;",$D630),Matches!$A:$A,CONCAT("&lt;",$E630))</f>
        <v>0</v>
      </c>
      <c r="G630" s="79">
        <f>COUNTIFS(Matches!$C:$C,$A630,Matches!$A:$A,CONCAT("&gt;",$D630),Matches!$A:$A,CONCAT("&lt;",$E630))</f>
        <v>0</v>
      </c>
      <c r="H630" s="79">
        <f t="shared" si="1"/>
        <v>0</v>
      </c>
      <c r="I630" s="79">
        <f>COUNTIFS(Matches!$B:$B,$A630,Matches!$A:$A,CONCAT("&lt;",$E630))</f>
        <v>0</v>
      </c>
      <c r="J630" s="79">
        <f>COUNTIFS(Matches!$C:$C,$A630,Matches!$A:$A,CONCAT("&lt;",$E630))</f>
        <v>5</v>
      </c>
      <c r="K630" s="79">
        <f>COUNTIFS(Entropy!D:D,A630,Entropy!I:I,CONCAT("&lt;",E630-1))</f>
        <v>3</v>
      </c>
      <c r="L630" s="79">
        <f t="shared" si="2"/>
        <v>8</v>
      </c>
      <c r="M630" s="79">
        <f t="array" ref="M630">max(min(IF(J630+K630=11,0,XLOOKUP(B630,Quotas!$A$8:$A$14,Quotas!$E$8:$E$14)-$L630),2),0)</f>
        <v>2</v>
      </c>
      <c r="N630" s="31">
        <f t="shared" si="3"/>
        <v>0</v>
      </c>
    </row>
    <row r="631">
      <c r="A631" s="31" t="s">
        <v>394</v>
      </c>
      <c r="B631" s="9">
        <v>3.0</v>
      </c>
      <c r="C631" s="31" t="str">
        <f>VLOOKUP(A631, 'College List'!A:B, 2, FALSE)</f>
        <v>Quandrix</v>
      </c>
      <c r="D631" s="355">
        <f>VLOOKUP(B631,Quotas!$A$8:$C$14,2,FALSE)</f>
        <v>46150.70833</v>
      </c>
      <c r="E631" s="356">
        <f>VLOOKUP(B631,Quotas!$A$8:$C$14,3,FALSE)</f>
        <v>46157.70833</v>
      </c>
      <c r="F631" s="79">
        <f>COUNTIFS(Matches!$B:$B,A631,Matches!$A:$A,CONCAT("&gt;",$D631),Matches!$A:$A,CONCAT("&lt;",$E631))</f>
        <v>0</v>
      </c>
      <c r="G631" s="79">
        <f>COUNTIFS(Matches!$C:$C,$A631,Matches!$A:$A,CONCAT("&gt;",$D631),Matches!$A:$A,CONCAT("&lt;",$E631))</f>
        <v>3</v>
      </c>
      <c r="H631" s="79">
        <f t="shared" si="1"/>
        <v>3</v>
      </c>
      <c r="I631" s="79">
        <f>COUNTIFS(Matches!$B:$B,$A631,Matches!$A:$A,CONCAT("&lt;",$E631))</f>
        <v>5</v>
      </c>
      <c r="J631" s="79">
        <f>COUNTIFS(Matches!$C:$C,$A631,Matches!$A:$A,CONCAT("&lt;",$E631))</f>
        <v>8</v>
      </c>
      <c r="K631" s="79">
        <f>COUNTIFS(Entropy!D:D,A631,Entropy!I:I,CONCAT("&lt;",E631-1))</f>
        <v>0</v>
      </c>
      <c r="L631" s="79">
        <f t="shared" si="2"/>
        <v>13</v>
      </c>
      <c r="M631" s="79">
        <f t="array" ref="M631">max(min(IF(J631+K631=11,0,XLOOKUP(B631,Quotas!$A$8:$A$14,Quotas!$E$8:$E$14)-$L631),2),0)</f>
        <v>2</v>
      </c>
      <c r="N631" s="31">
        <f t="shared" si="3"/>
        <v>1</v>
      </c>
    </row>
    <row r="632">
      <c r="A632" s="31" t="s">
        <v>110</v>
      </c>
      <c r="B632" s="9">
        <v>3.0</v>
      </c>
      <c r="C632" s="31" t="str">
        <f>VLOOKUP(A632, 'College List'!A:B, 2, FALSE)</f>
        <v>Lorehold</v>
      </c>
      <c r="D632" s="355">
        <f>VLOOKUP(B632,Quotas!$A$8:$C$14,2,FALSE)</f>
        <v>46150.70833</v>
      </c>
      <c r="E632" s="356">
        <f>VLOOKUP(B632,Quotas!$A$8:$C$14,3,FALSE)</f>
        <v>46157.70833</v>
      </c>
      <c r="F632" s="79">
        <f>COUNTIFS(Matches!$B:$B,A632,Matches!$A:$A,CONCAT("&gt;",$D632),Matches!$A:$A,CONCAT("&lt;",$E632))</f>
        <v>4</v>
      </c>
      <c r="G632" s="79">
        <f>COUNTIFS(Matches!$C:$C,$A632,Matches!$A:$A,CONCAT("&gt;",$D632),Matches!$A:$A,CONCAT("&lt;",$E632))</f>
        <v>1</v>
      </c>
      <c r="H632" s="79">
        <f t="shared" si="1"/>
        <v>5</v>
      </c>
      <c r="I632" s="79">
        <f>COUNTIFS(Matches!$B:$B,$A632,Matches!$A:$A,CONCAT("&lt;",$E632))</f>
        <v>12</v>
      </c>
      <c r="J632" s="79">
        <f>COUNTIFS(Matches!$C:$C,$A632,Matches!$A:$A,CONCAT("&lt;",$E632))</f>
        <v>3</v>
      </c>
      <c r="K632" s="79">
        <f>COUNTIFS(Entropy!D:D,A632,Entropy!I:I,CONCAT("&lt;",E632-1))</f>
        <v>0</v>
      </c>
      <c r="L632" s="79">
        <f t="shared" si="2"/>
        <v>15</v>
      </c>
      <c r="M632" s="79">
        <f t="array" ref="M632">max(min(IF(J632+K632=11,0,XLOOKUP(B632,Quotas!$A$8:$A$14,Quotas!$E$8:$E$14)-$L632),2),0)</f>
        <v>0</v>
      </c>
      <c r="N632" s="31">
        <f t="shared" si="3"/>
        <v>0</v>
      </c>
    </row>
    <row r="633">
      <c r="A633" s="31" t="s">
        <v>198</v>
      </c>
      <c r="B633" s="9">
        <v>3.0</v>
      </c>
      <c r="C633" s="31" t="str">
        <f>VLOOKUP(A633, 'College List'!A:B, 2, FALSE)</f>
        <v>Quandrix</v>
      </c>
      <c r="D633" s="355">
        <f>VLOOKUP(B633,Quotas!$A$8:$C$14,2,FALSE)</f>
        <v>46150.70833</v>
      </c>
      <c r="E633" s="356">
        <f>VLOOKUP(B633,Quotas!$A$8:$C$14,3,FALSE)</f>
        <v>46157.70833</v>
      </c>
      <c r="F633" s="79">
        <f>COUNTIFS(Matches!$B:$B,A633,Matches!$A:$A,CONCAT("&gt;",$D633),Matches!$A:$A,CONCAT("&lt;",$E633))</f>
        <v>1</v>
      </c>
      <c r="G633" s="79">
        <f>COUNTIFS(Matches!$C:$C,$A633,Matches!$A:$A,CONCAT("&gt;",$D633),Matches!$A:$A,CONCAT("&lt;",$E633))</f>
        <v>4</v>
      </c>
      <c r="H633" s="79">
        <f t="shared" si="1"/>
        <v>5</v>
      </c>
      <c r="I633" s="79">
        <f>COUNTIFS(Matches!$B:$B,$A633,Matches!$A:$A,CONCAT("&lt;",$E633))</f>
        <v>8</v>
      </c>
      <c r="J633" s="79">
        <f>COUNTIFS(Matches!$C:$C,$A633,Matches!$A:$A,CONCAT("&lt;",$E633))</f>
        <v>7</v>
      </c>
      <c r="K633" s="79">
        <f>COUNTIFS(Entropy!D:D,A633,Entropy!I:I,CONCAT("&lt;",E633-1))</f>
        <v>0</v>
      </c>
      <c r="L633" s="79">
        <f t="shared" si="2"/>
        <v>15</v>
      </c>
      <c r="M633" s="79">
        <f t="array" ref="M633">max(min(IF(J633+K633=11,0,XLOOKUP(B633,Quotas!$A$8:$A$14,Quotas!$E$8:$E$14)-$L633),2),0)</f>
        <v>0</v>
      </c>
      <c r="N633" s="31">
        <f t="shared" si="3"/>
        <v>0</v>
      </c>
    </row>
    <row r="634">
      <c r="A634" s="31" t="s">
        <v>128</v>
      </c>
      <c r="B634" s="9">
        <v>3.0</v>
      </c>
      <c r="C634" s="31" t="str">
        <f>VLOOKUP(A634, 'College List'!A:B, 2, FALSE)</f>
        <v>Quandrix</v>
      </c>
      <c r="D634" s="355">
        <f>VLOOKUP(B634,Quotas!$A$8:$C$14,2,FALSE)</f>
        <v>46150.70833</v>
      </c>
      <c r="E634" s="356">
        <f>VLOOKUP(B634,Quotas!$A$8:$C$14,3,FALSE)</f>
        <v>46157.70833</v>
      </c>
      <c r="F634" s="79">
        <f>COUNTIFS(Matches!$B:$B,A634,Matches!$A:$A,CONCAT("&gt;",$D634),Matches!$A:$A,CONCAT("&lt;",$E634))</f>
        <v>3</v>
      </c>
      <c r="G634" s="79">
        <f>COUNTIFS(Matches!$C:$C,$A634,Matches!$A:$A,CONCAT("&gt;",$D634),Matches!$A:$A,CONCAT("&lt;",$E634))</f>
        <v>1</v>
      </c>
      <c r="H634" s="79">
        <f t="shared" si="1"/>
        <v>4</v>
      </c>
      <c r="I634" s="79">
        <f>COUNTIFS(Matches!$B:$B,$A634,Matches!$A:$A,CONCAT("&lt;",$E634))</f>
        <v>7</v>
      </c>
      <c r="J634" s="79">
        <f>COUNTIFS(Matches!$C:$C,$A634,Matches!$A:$A,CONCAT("&lt;",$E634))</f>
        <v>7</v>
      </c>
      <c r="K634" s="79">
        <f>COUNTIFS(Entropy!D:D,A634,Entropy!I:I,CONCAT("&lt;",E634-1))</f>
        <v>0</v>
      </c>
      <c r="L634" s="79">
        <f t="shared" si="2"/>
        <v>14</v>
      </c>
      <c r="M634" s="79">
        <f t="array" ref="M634">max(min(IF(J634+K634=11,0,XLOOKUP(B634,Quotas!$A$8:$A$14,Quotas!$E$8:$E$14)-$L634),2),0)</f>
        <v>1</v>
      </c>
      <c r="N634" s="31">
        <f t="shared" si="3"/>
        <v>0.5</v>
      </c>
    </row>
    <row r="635">
      <c r="A635" s="31" t="s">
        <v>167</v>
      </c>
      <c r="B635" s="9">
        <v>3.0</v>
      </c>
      <c r="C635" s="31" t="str">
        <f>VLOOKUP(A635, 'College List'!A:B, 2, FALSE)</f>
        <v>Lorehold</v>
      </c>
      <c r="D635" s="355">
        <f>VLOOKUP(B635,Quotas!$A$8:$C$14,2,FALSE)</f>
        <v>46150.70833</v>
      </c>
      <c r="E635" s="356">
        <f>VLOOKUP(B635,Quotas!$A$8:$C$14,3,FALSE)</f>
        <v>46157.70833</v>
      </c>
      <c r="F635" s="79">
        <f>COUNTIFS(Matches!$B:$B,A635,Matches!$A:$A,CONCAT("&gt;",$D635),Matches!$A:$A,CONCAT("&lt;",$E635))</f>
        <v>1</v>
      </c>
      <c r="G635" s="79">
        <f>COUNTIFS(Matches!$C:$C,$A635,Matches!$A:$A,CONCAT("&gt;",$D635),Matches!$A:$A,CONCAT("&lt;",$E635))</f>
        <v>2</v>
      </c>
      <c r="H635" s="79">
        <f t="shared" si="1"/>
        <v>3</v>
      </c>
      <c r="I635" s="79">
        <f>COUNTIFS(Matches!$B:$B,$A635,Matches!$A:$A,CONCAT("&lt;",$E635))</f>
        <v>4</v>
      </c>
      <c r="J635" s="79">
        <f>COUNTIFS(Matches!$C:$C,$A635,Matches!$A:$A,CONCAT("&lt;",$E635))</f>
        <v>9</v>
      </c>
      <c r="K635" s="79">
        <f>COUNTIFS(Entropy!D:D,A635,Entropy!I:I,CONCAT("&lt;",E635-1))</f>
        <v>0</v>
      </c>
      <c r="L635" s="79">
        <f t="shared" si="2"/>
        <v>13</v>
      </c>
      <c r="M635" s="79">
        <f t="array" ref="M635">max(min(IF(J635+K635=11,0,XLOOKUP(B635,Quotas!$A$8:$A$14,Quotas!$E$8:$E$14)-$L635),2),0)</f>
        <v>2</v>
      </c>
      <c r="N635" s="31">
        <f t="shared" si="3"/>
        <v>1</v>
      </c>
    </row>
    <row r="636">
      <c r="A636" s="31" t="s">
        <v>226</v>
      </c>
      <c r="B636" s="9">
        <v>3.0</v>
      </c>
      <c r="C636" s="31" t="str">
        <f>VLOOKUP(A636, 'College List'!A:B, 2, FALSE)</f>
        <v>Lorehold</v>
      </c>
      <c r="D636" s="355">
        <f>VLOOKUP(B636,Quotas!$A$8:$C$14,2,FALSE)</f>
        <v>46150.70833</v>
      </c>
      <c r="E636" s="356">
        <f>VLOOKUP(B636,Quotas!$A$8:$C$14,3,FALSE)</f>
        <v>46157.70833</v>
      </c>
      <c r="F636" s="79">
        <f>COUNTIFS(Matches!$B:$B,A636,Matches!$A:$A,CONCAT("&gt;",$D636),Matches!$A:$A,CONCAT("&lt;",$E636))</f>
        <v>4</v>
      </c>
      <c r="G636" s="79">
        <f>COUNTIFS(Matches!$C:$C,$A636,Matches!$A:$A,CONCAT("&gt;",$D636),Matches!$A:$A,CONCAT("&lt;",$E636))</f>
        <v>0</v>
      </c>
      <c r="H636" s="79">
        <f t="shared" si="1"/>
        <v>4</v>
      </c>
      <c r="I636" s="79">
        <f>COUNTIFS(Matches!$B:$B,$A636,Matches!$A:$A,CONCAT("&lt;",$E636))</f>
        <v>11</v>
      </c>
      <c r="J636" s="79">
        <f>COUNTIFS(Matches!$C:$C,$A636,Matches!$A:$A,CONCAT("&lt;",$E636))</f>
        <v>3</v>
      </c>
      <c r="K636" s="79">
        <f>COUNTIFS(Entropy!D:D,A636,Entropy!I:I,CONCAT("&lt;",E636-1))</f>
        <v>0</v>
      </c>
      <c r="L636" s="79">
        <f t="shared" si="2"/>
        <v>14</v>
      </c>
      <c r="M636" s="79">
        <f t="array" ref="M636">max(min(IF(J636+K636=11,0,XLOOKUP(B636,Quotas!$A$8:$A$14,Quotas!$E$8:$E$14)-$L636),2),0)</f>
        <v>1</v>
      </c>
      <c r="N636" s="31">
        <f t="shared" si="3"/>
        <v>0.5</v>
      </c>
    </row>
    <row r="637">
      <c r="A637" s="31" t="s">
        <v>376</v>
      </c>
      <c r="B637" s="9">
        <v>3.0</v>
      </c>
      <c r="C637" s="31" t="str">
        <f>VLOOKUP(A637, 'College List'!A:B, 2, FALSE)</f>
        <v>Prismari</v>
      </c>
      <c r="D637" s="355">
        <f>VLOOKUP(B637,Quotas!$A$8:$C$14,2,FALSE)</f>
        <v>46150.70833</v>
      </c>
      <c r="E637" s="356">
        <f>VLOOKUP(B637,Quotas!$A$8:$C$14,3,FALSE)</f>
        <v>46157.70833</v>
      </c>
      <c r="F637" s="79">
        <f>COUNTIFS(Matches!$B:$B,A637,Matches!$A:$A,CONCAT("&gt;",$D637),Matches!$A:$A,CONCAT("&lt;",$E637))</f>
        <v>3</v>
      </c>
      <c r="G637" s="79">
        <f>COUNTIFS(Matches!$C:$C,$A637,Matches!$A:$A,CONCAT("&gt;",$D637),Matches!$A:$A,CONCAT("&lt;",$E637))</f>
        <v>2</v>
      </c>
      <c r="H637" s="79">
        <f t="shared" si="1"/>
        <v>5</v>
      </c>
      <c r="I637" s="79">
        <f>COUNTIFS(Matches!$B:$B,$A637,Matches!$A:$A,CONCAT("&lt;",$E637))</f>
        <v>8</v>
      </c>
      <c r="J637" s="79">
        <f>COUNTIFS(Matches!$C:$C,$A637,Matches!$A:$A,CONCAT("&lt;",$E637))</f>
        <v>7</v>
      </c>
      <c r="K637" s="79">
        <f>COUNTIFS(Entropy!D:D,A637,Entropy!I:I,CONCAT("&lt;",E637-1))</f>
        <v>0</v>
      </c>
      <c r="L637" s="79">
        <f t="shared" si="2"/>
        <v>15</v>
      </c>
      <c r="M637" s="79">
        <f t="array" ref="M637">max(min(IF(J637+K637=11,0,XLOOKUP(B637,Quotas!$A$8:$A$14,Quotas!$E$8:$E$14)-$L637),2),0)</f>
        <v>0</v>
      </c>
      <c r="N637" s="31">
        <f t="shared" si="3"/>
        <v>0</v>
      </c>
    </row>
    <row r="638">
      <c r="A638" s="31" t="s">
        <v>304</v>
      </c>
      <c r="B638" s="9">
        <v>3.0</v>
      </c>
      <c r="C638" s="31" t="str">
        <f>VLOOKUP(A638, 'College List'!A:B, 2, FALSE)</f>
        <v>Prismari</v>
      </c>
      <c r="D638" s="355">
        <f>VLOOKUP(B638,Quotas!$A$8:$C$14,2,FALSE)</f>
        <v>46150.70833</v>
      </c>
      <c r="E638" s="356">
        <f>VLOOKUP(B638,Quotas!$A$8:$C$14,3,FALSE)</f>
        <v>46157.70833</v>
      </c>
      <c r="F638" s="79">
        <f>COUNTIFS(Matches!$B:$B,A638,Matches!$A:$A,CONCAT("&gt;",$D638),Matches!$A:$A,CONCAT("&lt;",$E638))</f>
        <v>4</v>
      </c>
      <c r="G638" s="79">
        <f>COUNTIFS(Matches!$C:$C,$A638,Matches!$A:$A,CONCAT("&gt;",$D638),Matches!$A:$A,CONCAT("&lt;",$E638))</f>
        <v>0</v>
      </c>
      <c r="H638" s="79">
        <f t="shared" si="1"/>
        <v>4</v>
      </c>
      <c r="I638" s="79">
        <f>COUNTIFS(Matches!$B:$B,$A638,Matches!$A:$A,CONCAT("&lt;",$E638))</f>
        <v>8</v>
      </c>
      <c r="J638" s="79">
        <f>COUNTIFS(Matches!$C:$C,$A638,Matches!$A:$A,CONCAT("&lt;",$E638))</f>
        <v>5</v>
      </c>
      <c r="K638" s="79">
        <f>COUNTIFS(Entropy!D:D,A638,Entropy!I:I,CONCAT("&lt;",E638-1))</f>
        <v>0</v>
      </c>
      <c r="L638" s="79">
        <f t="shared" si="2"/>
        <v>13</v>
      </c>
      <c r="M638" s="79">
        <f t="array" ref="M638">max(min(IF(J638+K638=11,0,XLOOKUP(B638,Quotas!$A$8:$A$14,Quotas!$E$8:$E$14)-$L638),2),0)</f>
        <v>2</v>
      </c>
      <c r="N638" s="31">
        <f t="shared" si="3"/>
        <v>1</v>
      </c>
    </row>
    <row r="639">
      <c r="A639" s="31" t="s">
        <v>92</v>
      </c>
      <c r="B639" s="9">
        <v>3.0</v>
      </c>
      <c r="C639" s="31" t="str">
        <f>VLOOKUP(A639, 'College List'!A:B, 2, FALSE)</f>
        <v>Witherbloom</v>
      </c>
      <c r="D639" s="355">
        <f>VLOOKUP(B639,Quotas!$A$8:$C$14,2,FALSE)</f>
        <v>46150.70833</v>
      </c>
      <c r="E639" s="356">
        <f>VLOOKUP(B639,Quotas!$A$8:$C$14,3,FALSE)</f>
        <v>46157.70833</v>
      </c>
      <c r="F639" s="79">
        <f>COUNTIFS(Matches!$B:$B,A639,Matches!$A:$A,CONCAT("&gt;",$D639),Matches!$A:$A,CONCAT("&lt;",$E639))</f>
        <v>4</v>
      </c>
      <c r="G639" s="79">
        <f>COUNTIFS(Matches!$C:$C,$A639,Matches!$A:$A,CONCAT("&gt;",$D639),Matches!$A:$A,CONCAT("&lt;",$E639))</f>
        <v>1</v>
      </c>
      <c r="H639" s="79">
        <f t="shared" si="1"/>
        <v>5</v>
      </c>
      <c r="I639" s="79">
        <f>COUNTIFS(Matches!$B:$B,$A639,Matches!$A:$A,CONCAT("&lt;",$E639))</f>
        <v>9</v>
      </c>
      <c r="J639" s="79">
        <f>COUNTIFS(Matches!$C:$C,$A639,Matches!$A:$A,CONCAT("&lt;",$E639))</f>
        <v>6</v>
      </c>
      <c r="K639" s="79">
        <f>COUNTIFS(Entropy!D:D,A639,Entropy!I:I,CONCAT("&lt;",E639-1))</f>
        <v>0</v>
      </c>
      <c r="L639" s="79">
        <f t="shared" si="2"/>
        <v>15</v>
      </c>
      <c r="M639" s="79">
        <f t="array" ref="M639">max(min(IF(J639+K639=11,0,XLOOKUP(B639,Quotas!$A$8:$A$14,Quotas!$E$8:$E$14)-$L639),2),0)</f>
        <v>0</v>
      </c>
      <c r="N639" s="31">
        <f t="shared" si="3"/>
        <v>0</v>
      </c>
    </row>
    <row r="640">
      <c r="A640" s="31" t="s">
        <v>17</v>
      </c>
      <c r="B640" s="9">
        <v>3.0</v>
      </c>
      <c r="C640" s="31" t="str">
        <f>VLOOKUP(A640, 'College List'!A:B, 2, FALSE)</f>
        <v>Silverquill</v>
      </c>
      <c r="D640" s="355">
        <f>VLOOKUP(B640,Quotas!$A$8:$C$14,2,FALSE)</f>
        <v>46150.70833</v>
      </c>
      <c r="E640" s="356">
        <f>VLOOKUP(B640,Quotas!$A$8:$C$14,3,FALSE)</f>
        <v>46157.70833</v>
      </c>
      <c r="F640" s="79">
        <f>COUNTIFS(Matches!$B:$B,A640,Matches!$A:$A,CONCAT("&gt;",$D640),Matches!$A:$A,CONCAT("&lt;",$E640))</f>
        <v>4</v>
      </c>
      <c r="G640" s="79">
        <f>COUNTIFS(Matches!$C:$C,$A640,Matches!$A:$A,CONCAT("&gt;",$D640),Matches!$A:$A,CONCAT("&lt;",$E640))</f>
        <v>1</v>
      </c>
      <c r="H640" s="79">
        <f t="shared" si="1"/>
        <v>5</v>
      </c>
      <c r="I640" s="79">
        <f>COUNTIFS(Matches!$B:$B,$A640,Matches!$A:$A,CONCAT("&lt;",$E640))</f>
        <v>12</v>
      </c>
      <c r="J640" s="79">
        <f>COUNTIFS(Matches!$C:$C,$A640,Matches!$A:$A,CONCAT("&lt;",$E640))</f>
        <v>3</v>
      </c>
      <c r="K640" s="79">
        <f>COUNTIFS(Entropy!D:D,A640,Entropy!I:I,CONCAT("&lt;",E640-1))</f>
        <v>0</v>
      </c>
      <c r="L640" s="79">
        <f t="shared" si="2"/>
        <v>15</v>
      </c>
      <c r="M640" s="79">
        <f t="array" ref="M640">max(min(IF(J640+K640=11,0,XLOOKUP(B640,Quotas!$A$8:$A$14,Quotas!$E$8:$E$14)-$L640),2),0)</f>
        <v>0</v>
      </c>
      <c r="N640" s="31">
        <f t="shared" si="3"/>
        <v>0</v>
      </c>
    </row>
    <row r="641">
      <c r="A641" s="31" t="s">
        <v>279</v>
      </c>
      <c r="B641" s="9">
        <v>3.0</v>
      </c>
      <c r="C641" s="31" t="str">
        <f>VLOOKUP(A641, 'College List'!A:B, 2, FALSE)</f>
        <v>Prismari</v>
      </c>
      <c r="D641" s="355">
        <f>VLOOKUP(B641,Quotas!$A$8:$C$14,2,FALSE)</f>
        <v>46150.70833</v>
      </c>
      <c r="E641" s="356">
        <f>VLOOKUP(B641,Quotas!$A$8:$C$14,3,FALSE)</f>
        <v>46157.70833</v>
      </c>
      <c r="F641" s="79">
        <f>COUNTIFS(Matches!$B:$B,A641,Matches!$A:$A,CONCAT("&gt;",$D641),Matches!$A:$A,CONCAT("&lt;",$E641))</f>
        <v>3</v>
      </c>
      <c r="G641" s="79">
        <f>COUNTIFS(Matches!$C:$C,$A641,Matches!$A:$A,CONCAT("&gt;",$D641),Matches!$A:$A,CONCAT("&lt;",$E641))</f>
        <v>2</v>
      </c>
      <c r="H641" s="79">
        <f t="shared" si="1"/>
        <v>5</v>
      </c>
      <c r="I641" s="79">
        <f>COUNTIFS(Matches!$B:$B,$A641,Matches!$A:$A,CONCAT("&lt;",$E641))</f>
        <v>7</v>
      </c>
      <c r="J641" s="79">
        <f>COUNTIFS(Matches!$C:$C,$A641,Matches!$A:$A,CONCAT("&lt;",$E641))</f>
        <v>8</v>
      </c>
      <c r="K641" s="79">
        <f>COUNTIFS(Entropy!D:D,A641,Entropy!I:I,CONCAT("&lt;",E641-1))</f>
        <v>0</v>
      </c>
      <c r="L641" s="79">
        <f t="shared" si="2"/>
        <v>15</v>
      </c>
      <c r="M641" s="79">
        <f t="array" ref="M641">max(min(IF(J641+K641=11,0,XLOOKUP(B641,Quotas!$A$8:$A$14,Quotas!$E$8:$E$14)-$L641),2),0)</f>
        <v>0</v>
      </c>
      <c r="N641" s="31">
        <f t="shared" si="3"/>
        <v>0</v>
      </c>
    </row>
    <row r="642">
      <c r="A642" s="31" t="s">
        <v>88</v>
      </c>
      <c r="B642" s="9">
        <v>3.0</v>
      </c>
      <c r="C642" s="31" t="str">
        <f>VLOOKUP(A642, 'College List'!A:B, 2, FALSE)</f>
        <v>Quandrix</v>
      </c>
      <c r="D642" s="355">
        <f>VLOOKUP(B642,Quotas!$A$8:$C$14,2,FALSE)</f>
        <v>46150.70833</v>
      </c>
      <c r="E642" s="356">
        <f>VLOOKUP(B642,Quotas!$A$8:$C$14,3,FALSE)</f>
        <v>46157.70833</v>
      </c>
      <c r="F642" s="79">
        <f>COUNTIFS(Matches!$B:$B,A642,Matches!$A:$A,CONCAT("&gt;",$D642),Matches!$A:$A,CONCAT("&lt;",$E642))</f>
        <v>2</v>
      </c>
      <c r="G642" s="79">
        <f>COUNTIFS(Matches!$C:$C,$A642,Matches!$A:$A,CONCAT("&gt;",$D642),Matches!$A:$A,CONCAT("&lt;",$E642))</f>
        <v>3</v>
      </c>
      <c r="H642" s="79">
        <f t="shared" si="1"/>
        <v>5</v>
      </c>
      <c r="I642" s="79">
        <f>COUNTIFS(Matches!$B:$B,$A642,Matches!$A:$A,CONCAT("&lt;",$E642))</f>
        <v>8</v>
      </c>
      <c r="J642" s="79">
        <f>COUNTIFS(Matches!$C:$C,$A642,Matches!$A:$A,CONCAT("&lt;",$E642))</f>
        <v>7</v>
      </c>
      <c r="K642" s="79">
        <f>COUNTIFS(Entropy!D:D,A642,Entropy!I:I,CONCAT("&lt;",E642-1))</f>
        <v>0</v>
      </c>
      <c r="L642" s="79">
        <f t="shared" si="2"/>
        <v>15</v>
      </c>
      <c r="M642" s="79">
        <f t="array" ref="M642">max(min(IF(J642+K642=11,0,XLOOKUP(B642,Quotas!$A$8:$A$14,Quotas!$E$8:$E$14)-$L642),2),0)</f>
        <v>0</v>
      </c>
      <c r="N642" s="31">
        <f t="shared" si="3"/>
        <v>0</v>
      </c>
    </row>
    <row r="643">
      <c r="A643" s="31" t="s">
        <v>631</v>
      </c>
      <c r="B643" s="9">
        <v>3.0</v>
      </c>
      <c r="C643" s="31" t="str">
        <f>VLOOKUP(A643, 'College List'!A:B, 2, FALSE)</f>
        <v>Witherbloom</v>
      </c>
      <c r="D643" s="355">
        <f>VLOOKUP(B643,Quotas!$A$8:$C$14,2,FALSE)</f>
        <v>46150.70833</v>
      </c>
      <c r="E643" s="356">
        <f>VLOOKUP(B643,Quotas!$A$8:$C$14,3,FALSE)</f>
        <v>46157.70833</v>
      </c>
      <c r="F643" s="79">
        <f>COUNTIFS(Matches!$B:$B,A643,Matches!$A:$A,CONCAT("&gt;",$D643),Matches!$A:$A,CONCAT("&lt;",$E643))</f>
        <v>0</v>
      </c>
      <c r="G643" s="79">
        <f>COUNTIFS(Matches!$C:$C,$A643,Matches!$A:$A,CONCAT("&gt;",$D643),Matches!$A:$A,CONCAT("&lt;",$E643))</f>
        <v>0</v>
      </c>
      <c r="H643" s="79">
        <f t="shared" si="1"/>
        <v>0</v>
      </c>
      <c r="I643" s="79">
        <f>COUNTIFS(Matches!$B:$B,$A643,Matches!$A:$A,CONCAT("&lt;",$E643))</f>
        <v>0</v>
      </c>
      <c r="J643" s="79">
        <f>COUNTIFS(Matches!$C:$C,$A643,Matches!$A:$A,CONCAT("&lt;",$E643))</f>
        <v>0</v>
      </c>
      <c r="K643" s="79">
        <f>COUNTIFS(Entropy!D:D,A643,Entropy!I:I,CONCAT("&lt;",E643-1))</f>
        <v>8</v>
      </c>
      <c r="L643" s="79">
        <f t="shared" si="2"/>
        <v>8</v>
      </c>
      <c r="M643" s="79">
        <f t="array" ref="M643">max(min(IF(J643+K643=11,0,XLOOKUP(B643,Quotas!$A$8:$A$14,Quotas!$E$8:$E$14)-$L643),2),0)</f>
        <v>2</v>
      </c>
      <c r="N643" s="31">
        <f t="shared" si="3"/>
        <v>0</v>
      </c>
    </row>
    <row r="644">
      <c r="A644" s="31" t="s">
        <v>289</v>
      </c>
      <c r="B644" s="9">
        <v>3.0</v>
      </c>
      <c r="C644" s="31" t="str">
        <f>VLOOKUP(A644, 'College List'!A:B, 2, FALSE)</f>
        <v>Lorehold</v>
      </c>
      <c r="D644" s="355">
        <f>VLOOKUP(B644,Quotas!$A$8:$C$14,2,FALSE)</f>
        <v>46150.70833</v>
      </c>
      <c r="E644" s="356">
        <f>VLOOKUP(B644,Quotas!$A$8:$C$14,3,FALSE)</f>
        <v>46157.70833</v>
      </c>
      <c r="F644" s="79">
        <f>COUNTIFS(Matches!$B:$B,A644,Matches!$A:$A,CONCAT("&gt;",$D644),Matches!$A:$A,CONCAT("&lt;",$E644))</f>
        <v>0</v>
      </c>
      <c r="G644" s="79">
        <f>COUNTIFS(Matches!$C:$C,$A644,Matches!$A:$A,CONCAT("&gt;",$D644),Matches!$A:$A,CONCAT("&lt;",$E644))</f>
        <v>0</v>
      </c>
      <c r="H644" s="79">
        <f t="shared" si="1"/>
        <v>0</v>
      </c>
      <c r="I644" s="79">
        <f>COUNTIFS(Matches!$B:$B,$A644,Matches!$A:$A,CONCAT("&lt;",$E644))</f>
        <v>1</v>
      </c>
      <c r="J644" s="79">
        <f>COUNTIFS(Matches!$C:$C,$A644,Matches!$A:$A,CONCAT("&lt;",$E644))</f>
        <v>3</v>
      </c>
      <c r="K644" s="79">
        <f>COUNTIFS(Entropy!D:D,A644,Entropy!I:I,CONCAT("&lt;",E644-1))</f>
        <v>4</v>
      </c>
      <c r="L644" s="79">
        <f t="shared" si="2"/>
        <v>8</v>
      </c>
      <c r="M644" s="79">
        <f t="array" ref="M644">max(min(IF(J644+K644=11,0,XLOOKUP(B644,Quotas!$A$8:$A$14,Quotas!$E$8:$E$14)-$L644),2),0)</f>
        <v>2</v>
      </c>
      <c r="N644" s="31">
        <f t="shared" si="3"/>
        <v>0</v>
      </c>
    </row>
    <row r="645">
      <c r="A645" s="31" t="s">
        <v>71</v>
      </c>
      <c r="B645" s="9">
        <v>3.0</v>
      </c>
      <c r="C645" s="31" t="str">
        <f>VLOOKUP(A645, 'College List'!A:B, 2, FALSE)</f>
        <v>Lorehold</v>
      </c>
      <c r="D645" s="355">
        <f>VLOOKUP(B645,Quotas!$A$8:$C$14,2,FALSE)</f>
        <v>46150.70833</v>
      </c>
      <c r="E645" s="356">
        <f>VLOOKUP(B645,Quotas!$A$8:$C$14,3,FALSE)</f>
        <v>46157.70833</v>
      </c>
      <c r="F645" s="79">
        <f>COUNTIFS(Matches!$B:$B,A645,Matches!$A:$A,CONCAT("&gt;",$D645),Matches!$A:$A,CONCAT("&lt;",$E645))</f>
        <v>3</v>
      </c>
      <c r="G645" s="79">
        <f>COUNTIFS(Matches!$C:$C,$A645,Matches!$A:$A,CONCAT("&gt;",$D645),Matches!$A:$A,CONCAT("&lt;",$E645))</f>
        <v>2</v>
      </c>
      <c r="H645" s="79">
        <f t="shared" si="1"/>
        <v>5</v>
      </c>
      <c r="I645" s="79">
        <f>COUNTIFS(Matches!$B:$B,$A645,Matches!$A:$A,CONCAT("&lt;",$E645))</f>
        <v>9</v>
      </c>
      <c r="J645" s="79">
        <f>COUNTIFS(Matches!$C:$C,$A645,Matches!$A:$A,CONCAT("&lt;",$E645))</f>
        <v>6</v>
      </c>
      <c r="K645" s="79">
        <f>COUNTIFS(Entropy!D:D,A645,Entropy!I:I,CONCAT("&lt;",E645-1))</f>
        <v>0</v>
      </c>
      <c r="L645" s="79">
        <f t="shared" si="2"/>
        <v>15</v>
      </c>
      <c r="M645" s="79">
        <f t="array" ref="M645">max(min(IF(J645+K645=11,0,XLOOKUP(B645,Quotas!$A$8:$A$14,Quotas!$E$8:$E$14)-$L645),2),0)</f>
        <v>0</v>
      </c>
      <c r="N645" s="31">
        <f t="shared" si="3"/>
        <v>0</v>
      </c>
    </row>
    <row r="646">
      <c r="A646" s="31" t="s">
        <v>348</v>
      </c>
      <c r="B646" s="9">
        <v>3.0</v>
      </c>
      <c r="C646" s="31" t="str">
        <f>VLOOKUP(A646, 'College List'!A:B, 2, FALSE)</f>
        <v>Quandrix</v>
      </c>
      <c r="D646" s="355">
        <f>VLOOKUP(B646,Quotas!$A$8:$C$14,2,FALSE)</f>
        <v>46150.70833</v>
      </c>
      <c r="E646" s="356">
        <f>VLOOKUP(B646,Quotas!$A$8:$C$14,3,FALSE)</f>
        <v>46157.70833</v>
      </c>
      <c r="F646" s="79">
        <f>COUNTIFS(Matches!$B:$B,A646,Matches!$A:$A,CONCAT("&gt;",$D646),Matches!$A:$A,CONCAT("&lt;",$E646))</f>
        <v>2</v>
      </c>
      <c r="G646" s="79">
        <f>COUNTIFS(Matches!$C:$C,$A646,Matches!$A:$A,CONCAT("&gt;",$D646),Matches!$A:$A,CONCAT("&lt;",$E646))</f>
        <v>4</v>
      </c>
      <c r="H646" s="79">
        <f t="shared" si="1"/>
        <v>6</v>
      </c>
      <c r="I646" s="79">
        <f>COUNTIFS(Matches!$B:$B,$A646,Matches!$A:$A,CONCAT("&lt;",$E646))</f>
        <v>5</v>
      </c>
      <c r="J646" s="79">
        <f>COUNTIFS(Matches!$C:$C,$A646,Matches!$A:$A,CONCAT("&lt;",$E646))</f>
        <v>10</v>
      </c>
      <c r="K646" s="79">
        <f>COUNTIFS(Entropy!D:D,A646,Entropy!I:I,CONCAT("&lt;",E646-1))</f>
        <v>0</v>
      </c>
      <c r="L646" s="79">
        <f t="shared" si="2"/>
        <v>15</v>
      </c>
      <c r="M646" s="79">
        <f t="array" ref="M646">max(min(IF(J646+K646=11,0,XLOOKUP(B646,Quotas!$A$8:$A$14,Quotas!$E$8:$E$14)-$L646),2),0)</f>
        <v>0</v>
      </c>
      <c r="N646" s="31">
        <f t="shared" si="3"/>
        <v>0</v>
      </c>
    </row>
    <row r="647">
      <c r="A647" s="31" t="s">
        <v>164</v>
      </c>
      <c r="B647" s="9">
        <v>3.0</v>
      </c>
      <c r="C647" s="31" t="str">
        <f>VLOOKUP(A647, 'College List'!A:B, 2, FALSE)</f>
        <v>Silverquill</v>
      </c>
      <c r="D647" s="355">
        <f>VLOOKUP(B647,Quotas!$A$8:$C$14,2,FALSE)</f>
        <v>46150.70833</v>
      </c>
      <c r="E647" s="356">
        <f>VLOOKUP(B647,Quotas!$A$8:$C$14,3,FALSE)</f>
        <v>46157.70833</v>
      </c>
      <c r="F647" s="79">
        <f>COUNTIFS(Matches!$B:$B,A647,Matches!$A:$A,CONCAT("&gt;",$D647),Matches!$A:$A,CONCAT("&lt;",$E647))</f>
        <v>2</v>
      </c>
      <c r="G647" s="79">
        <f>COUNTIFS(Matches!$C:$C,$A647,Matches!$A:$A,CONCAT("&gt;",$D647),Matches!$A:$A,CONCAT("&lt;",$E647))</f>
        <v>3</v>
      </c>
      <c r="H647" s="79">
        <f t="shared" si="1"/>
        <v>5</v>
      </c>
      <c r="I647" s="79">
        <f>COUNTIFS(Matches!$B:$B,$A647,Matches!$A:$A,CONCAT("&lt;",$E647))</f>
        <v>7</v>
      </c>
      <c r="J647" s="79">
        <f>COUNTIFS(Matches!$C:$C,$A647,Matches!$A:$A,CONCAT("&lt;",$E647))</f>
        <v>8</v>
      </c>
      <c r="K647" s="79">
        <f>COUNTIFS(Entropy!D:D,A647,Entropy!I:I,CONCAT("&lt;",E647-1))</f>
        <v>0</v>
      </c>
      <c r="L647" s="79">
        <f t="shared" si="2"/>
        <v>15</v>
      </c>
      <c r="M647" s="79">
        <f t="array" ref="M647">max(min(IF(J647+K647=11,0,XLOOKUP(B647,Quotas!$A$8:$A$14,Quotas!$E$8:$E$14)-$L647),2),0)</f>
        <v>0</v>
      </c>
      <c r="N647" s="31">
        <f t="shared" si="3"/>
        <v>0</v>
      </c>
    </row>
    <row r="648">
      <c r="A648" s="31" t="s">
        <v>54</v>
      </c>
      <c r="B648" s="9">
        <v>3.0</v>
      </c>
      <c r="C648" s="31" t="str">
        <f>VLOOKUP(A648, 'College List'!A:B, 2, FALSE)</f>
        <v>Prismari</v>
      </c>
      <c r="D648" s="355">
        <f>VLOOKUP(B648,Quotas!$A$8:$C$14,2,FALSE)</f>
        <v>46150.70833</v>
      </c>
      <c r="E648" s="356">
        <f>VLOOKUP(B648,Quotas!$A$8:$C$14,3,FALSE)</f>
        <v>46157.70833</v>
      </c>
      <c r="F648" s="79">
        <f>COUNTIFS(Matches!$B:$B,A648,Matches!$A:$A,CONCAT("&gt;",$D648),Matches!$A:$A,CONCAT("&lt;",$E648))</f>
        <v>3</v>
      </c>
      <c r="G648" s="79">
        <f>COUNTIFS(Matches!$C:$C,$A648,Matches!$A:$A,CONCAT("&gt;",$D648),Matches!$A:$A,CONCAT("&lt;",$E648))</f>
        <v>2</v>
      </c>
      <c r="H648" s="79">
        <f t="shared" si="1"/>
        <v>5</v>
      </c>
      <c r="I648" s="79">
        <f>COUNTIFS(Matches!$B:$B,$A648,Matches!$A:$A,CONCAT("&lt;",$E648))</f>
        <v>10</v>
      </c>
      <c r="J648" s="79">
        <f>COUNTIFS(Matches!$C:$C,$A648,Matches!$A:$A,CONCAT("&lt;",$E648))</f>
        <v>5</v>
      </c>
      <c r="K648" s="79">
        <f>COUNTIFS(Entropy!D:D,A648,Entropy!I:I,CONCAT("&lt;",E648-1))</f>
        <v>0</v>
      </c>
      <c r="L648" s="79">
        <f t="shared" si="2"/>
        <v>15</v>
      </c>
      <c r="M648" s="79">
        <f t="array" ref="M648">max(min(IF(J648+K648=11,0,XLOOKUP(B648,Quotas!$A$8:$A$14,Quotas!$E$8:$E$14)-$L648),2),0)</f>
        <v>0</v>
      </c>
      <c r="N648" s="31">
        <f t="shared" si="3"/>
        <v>0</v>
      </c>
    </row>
    <row r="649">
      <c r="A649" s="31" t="s">
        <v>256</v>
      </c>
      <c r="B649" s="9">
        <v>3.0</v>
      </c>
      <c r="C649" s="31" t="str">
        <f>VLOOKUP(A649, 'College List'!A:B, 2, FALSE)</f>
        <v>Quandrix</v>
      </c>
      <c r="D649" s="355">
        <f>VLOOKUP(B649,Quotas!$A$8:$C$14,2,FALSE)</f>
        <v>46150.70833</v>
      </c>
      <c r="E649" s="356">
        <f>VLOOKUP(B649,Quotas!$A$8:$C$14,3,FALSE)</f>
        <v>46157.70833</v>
      </c>
      <c r="F649" s="79">
        <f>COUNTIFS(Matches!$B:$B,A649,Matches!$A:$A,CONCAT("&gt;",$D649),Matches!$A:$A,CONCAT("&lt;",$E649))</f>
        <v>0</v>
      </c>
      <c r="G649" s="79">
        <f>COUNTIFS(Matches!$C:$C,$A649,Matches!$A:$A,CONCAT("&gt;",$D649),Matches!$A:$A,CONCAT("&lt;",$E649))</f>
        <v>5</v>
      </c>
      <c r="H649" s="79">
        <f t="shared" si="1"/>
        <v>5</v>
      </c>
      <c r="I649" s="79">
        <f>COUNTIFS(Matches!$B:$B,$A649,Matches!$A:$A,CONCAT("&lt;",$E649))</f>
        <v>6</v>
      </c>
      <c r="J649" s="79">
        <f>COUNTIFS(Matches!$C:$C,$A649,Matches!$A:$A,CONCAT("&lt;",$E649))</f>
        <v>9</v>
      </c>
      <c r="K649" s="79">
        <f>COUNTIFS(Entropy!D:D,A649,Entropy!I:I,CONCAT("&lt;",E649-1))</f>
        <v>0</v>
      </c>
      <c r="L649" s="79">
        <f t="shared" si="2"/>
        <v>15</v>
      </c>
      <c r="M649" s="79">
        <f t="array" ref="M649">max(min(IF(J649+K649=11,0,XLOOKUP(B649,Quotas!$A$8:$A$14,Quotas!$E$8:$E$14)-$L649),2),0)</f>
        <v>0</v>
      </c>
      <c r="N649" s="31">
        <f t="shared" si="3"/>
        <v>0</v>
      </c>
    </row>
    <row r="650">
      <c r="A650" s="31" t="s">
        <v>137</v>
      </c>
      <c r="B650" s="9">
        <v>3.0</v>
      </c>
      <c r="C650" s="31" t="str">
        <f>VLOOKUP(A650, 'College List'!A:B, 2, FALSE)</f>
        <v>Lorehold</v>
      </c>
      <c r="D650" s="355">
        <f>VLOOKUP(B650,Quotas!$A$8:$C$14,2,FALSE)</f>
        <v>46150.70833</v>
      </c>
      <c r="E650" s="356">
        <f>VLOOKUP(B650,Quotas!$A$8:$C$14,3,FALSE)</f>
        <v>46157.70833</v>
      </c>
      <c r="F650" s="79">
        <f>COUNTIFS(Matches!$B:$B,A650,Matches!$A:$A,CONCAT("&gt;",$D650),Matches!$A:$A,CONCAT("&lt;",$E650))</f>
        <v>3</v>
      </c>
      <c r="G650" s="79">
        <f>COUNTIFS(Matches!$C:$C,$A650,Matches!$A:$A,CONCAT("&gt;",$D650),Matches!$A:$A,CONCAT("&lt;",$E650))</f>
        <v>2</v>
      </c>
      <c r="H650" s="79">
        <f t="shared" si="1"/>
        <v>5</v>
      </c>
      <c r="I650" s="79">
        <f>COUNTIFS(Matches!$B:$B,$A650,Matches!$A:$A,CONCAT("&lt;",$E650))</f>
        <v>8</v>
      </c>
      <c r="J650" s="79">
        <f>COUNTIFS(Matches!$C:$C,$A650,Matches!$A:$A,CONCAT("&lt;",$E650))</f>
        <v>6</v>
      </c>
      <c r="K650" s="79">
        <f>COUNTIFS(Entropy!D:D,A650,Entropy!I:I,CONCAT("&lt;",E650-1))</f>
        <v>0</v>
      </c>
      <c r="L650" s="79">
        <f t="shared" si="2"/>
        <v>14</v>
      </c>
      <c r="M650" s="79">
        <f t="array" ref="M650">max(min(IF(J650+K650=11,0,XLOOKUP(B650,Quotas!$A$8:$A$14,Quotas!$E$8:$E$14)-$L650),2),0)</f>
        <v>1</v>
      </c>
      <c r="N650" s="31">
        <f t="shared" si="3"/>
        <v>0.5</v>
      </c>
    </row>
    <row r="651">
      <c r="A651" s="31" t="s">
        <v>213</v>
      </c>
      <c r="B651" s="9">
        <v>3.0</v>
      </c>
      <c r="C651" s="31" t="str">
        <f>VLOOKUP(A651, 'College List'!A:B, 2, FALSE)</f>
        <v>Prismari</v>
      </c>
      <c r="D651" s="355">
        <f>VLOOKUP(B651,Quotas!$A$8:$C$14,2,FALSE)</f>
        <v>46150.70833</v>
      </c>
      <c r="E651" s="356">
        <f>VLOOKUP(B651,Quotas!$A$8:$C$14,3,FALSE)</f>
        <v>46157.70833</v>
      </c>
      <c r="F651" s="79">
        <f>COUNTIFS(Matches!$B:$B,A651,Matches!$A:$A,CONCAT("&gt;",$D651),Matches!$A:$A,CONCAT("&lt;",$E651))</f>
        <v>2</v>
      </c>
      <c r="G651" s="79">
        <f>COUNTIFS(Matches!$C:$C,$A651,Matches!$A:$A,CONCAT("&gt;",$D651),Matches!$A:$A,CONCAT("&lt;",$E651))</f>
        <v>3</v>
      </c>
      <c r="H651" s="79">
        <f t="shared" si="1"/>
        <v>5</v>
      </c>
      <c r="I651" s="79">
        <f>COUNTIFS(Matches!$B:$B,$A651,Matches!$A:$A,CONCAT("&lt;",$E651))</f>
        <v>10</v>
      </c>
      <c r="J651" s="79">
        <f>COUNTIFS(Matches!$C:$C,$A651,Matches!$A:$A,CONCAT("&lt;",$E651))</f>
        <v>5</v>
      </c>
      <c r="K651" s="79">
        <f>COUNTIFS(Entropy!D:D,A651,Entropy!I:I,CONCAT("&lt;",E651-1))</f>
        <v>0</v>
      </c>
      <c r="L651" s="79">
        <f t="shared" si="2"/>
        <v>15</v>
      </c>
      <c r="M651" s="79">
        <f t="array" ref="M651">max(min(IF(J651+K651=11,0,XLOOKUP(B651,Quotas!$A$8:$A$14,Quotas!$E$8:$E$14)-$L651),2),0)</f>
        <v>0</v>
      </c>
      <c r="N651" s="31">
        <f t="shared" si="3"/>
        <v>0</v>
      </c>
    </row>
    <row r="652">
      <c r="A652" s="31" t="s">
        <v>343</v>
      </c>
      <c r="B652" s="9">
        <v>3.0</v>
      </c>
      <c r="C652" s="31" t="str">
        <f>VLOOKUP(A652, 'College List'!A:B, 2, FALSE)</f>
        <v>Silverquill</v>
      </c>
      <c r="D652" s="355">
        <f>VLOOKUP(B652,Quotas!$A$8:$C$14,2,FALSE)</f>
        <v>46150.70833</v>
      </c>
      <c r="E652" s="356">
        <f>VLOOKUP(B652,Quotas!$A$8:$C$14,3,FALSE)</f>
        <v>46157.70833</v>
      </c>
      <c r="F652" s="79">
        <f>COUNTIFS(Matches!$B:$B,A652,Matches!$A:$A,CONCAT("&gt;",$D652),Matches!$A:$A,CONCAT("&lt;",$E652))</f>
        <v>4</v>
      </c>
      <c r="G652" s="79">
        <f>COUNTIFS(Matches!$C:$C,$A652,Matches!$A:$A,CONCAT("&gt;",$D652),Matches!$A:$A,CONCAT("&lt;",$E652))</f>
        <v>2</v>
      </c>
      <c r="H652" s="79">
        <f t="shared" si="1"/>
        <v>6</v>
      </c>
      <c r="I652" s="79">
        <f>COUNTIFS(Matches!$B:$B,$A652,Matches!$A:$A,CONCAT("&lt;",$E652))</f>
        <v>9</v>
      </c>
      <c r="J652" s="79">
        <f>COUNTIFS(Matches!$C:$C,$A652,Matches!$A:$A,CONCAT("&lt;",$E652))</f>
        <v>6</v>
      </c>
      <c r="K652" s="79">
        <f>COUNTIFS(Entropy!D:D,A652,Entropy!I:I,CONCAT("&lt;",E652-1))</f>
        <v>0</v>
      </c>
      <c r="L652" s="79">
        <f t="shared" si="2"/>
        <v>15</v>
      </c>
      <c r="M652" s="79">
        <f t="array" ref="M652">max(min(IF(J652+K652=11,0,XLOOKUP(B652,Quotas!$A$8:$A$14,Quotas!$E$8:$E$14)-$L652),2),0)</f>
        <v>0</v>
      </c>
      <c r="N652" s="31">
        <f t="shared" si="3"/>
        <v>0</v>
      </c>
    </row>
    <row r="653">
      <c r="A653" s="31" t="s">
        <v>326</v>
      </c>
      <c r="B653" s="9">
        <v>3.0</v>
      </c>
      <c r="C653" s="31" t="str">
        <f>VLOOKUP(A653, 'College List'!A:B, 2, FALSE)</f>
        <v>Prismari</v>
      </c>
      <c r="D653" s="355">
        <f>VLOOKUP(B653,Quotas!$A$8:$C$14,2,FALSE)</f>
        <v>46150.70833</v>
      </c>
      <c r="E653" s="356">
        <f>VLOOKUP(B653,Quotas!$A$8:$C$14,3,FALSE)</f>
        <v>46157.70833</v>
      </c>
      <c r="F653" s="79">
        <f>COUNTIFS(Matches!$B:$B,A653,Matches!$A:$A,CONCAT("&gt;",$D653),Matches!$A:$A,CONCAT("&lt;",$E653))</f>
        <v>0</v>
      </c>
      <c r="G653" s="79">
        <f>COUNTIFS(Matches!$C:$C,$A653,Matches!$A:$A,CONCAT("&gt;",$D653),Matches!$A:$A,CONCAT("&lt;",$E653))</f>
        <v>3</v>
      </c>
      <c r="H653" s="79">
        <f t="shared" si="1"/>
        <v>3</v>
      </c>
      <c r="I653" s="79">
        <f>COUNTIFS(Matches!$B:$B,$A653,Matches!$A:$A,CONCAT("&lt;",$E653))</f>
        <v>3</v>
      </c>
      <c r="J653" s="79">
        <f>COUNTIFS(Matches!$C:$C,$A653,Matches!$A:$A,CONCAT("&lt;",$E653))</f>
        <v>10</v>
      </c>
      <c r="K653" s="79">
        <f>COUNTIFS(Entropy!D:D,A653,Entropy!I:I,CONCAT("&lt;",E653-1))</f>
        <v>0</v>
      </c>
      <c r="L653" s="79">
        <f t="shared" si="2"/>
        <v>13</v>
      </c>
      <c r="M653" s="79">
        <f t="array" ref="M653">max(min(IF(J653+K653=11,0,XLOOKUP(B653,Quotas!$A$8:$A$14,Quotas!$E$8:$E$14)-$L653),2),0)</f>
        <v>2</v>
      </c>
      <c r="N653" s="31">
        <f t="shared" si="3"/>
        <v>1</v>
      </c>
    </row>
    <row r="654">
      <c r="A654" s="31" t="s">
        <v>354</v>
      </c>
      <c r="B654" s="9">
        <v>3.0</v>
      </c>
      <c r="C654" s="31" t="str">
        <f>VLOOKUP(A654, 'College List'!A:B, 2, FALSE)</f>
        <v>Silverquill</v>
      </c>
      <c r="D654" s="355">
        <f>VLOOKUP(B654,Quotas!$A$8:$C$14,2,FALSE)</f>
        <v>46150.70833</v>
      </c>
      <c r="E654" s="356">
        <f>VLOOKUP(B654,Quotas!$A$8:$C$14,3,FALSE)</f>
        <v>46157.70833</v>
      </c>
      <c r="F654" s="79">
        <f>COUNTIFS(Matches!$B:$B,A654,Matches!$A:$A,CONCAT("&gt;",$D654),Matches!$A:$A,CONCAT("&lt;",$E654))</f>
        <v>0</v>
      </c>
      <c r="G654" s="79">
        <f>COUNTIFS(Matches!$C:$C,$A654,Matches!$A:$A,CONCAT("&gt;",$D654),Matches!$A:$A,CONCAT("&lt;",$E654))</f>
        <v>3</v>
      </c>
      <c r="H654" s="79">
        <f t="shared" si="1"/>
        <v>3</v>
      </c>
      <c r="I654" s="79">
        <f>COUNTIFS(Matches!$B:$B,$A654,Matches!$A:$A,CONCAT("&lt;",$E654))</f>
        <v>4</v>
      </c>
      <c r="J654" s="79">
        <f>COUNTIFS(Matches!$C:$C,$A654,Matches!$A:$A,CONCAT("&lt;",$E654))</f>
        <v>8</v>
      </c>
      <c r="K654" s="79">
        <f>COUNTIFS(Entropy!D:D,A654,Entropy!I:I,CONCAT("&lt;",E654-1))</f>
        <v>1</v>
      </c>
      <c r="L654" s="79">
        <f t="shared" si="2"/>
        <v>13</v>
      </c>
      <c r="M654" s="79">
        <f t="array" ref="M654">max(min(IF(J654+K654=11,0,XLOOKUP(B654,Quotas!$A$8:$A$14,Quotas!$E$8:$E$14)-$L654),2),0)</f>
        <v>2</v>
      </c>
      <c r="N654" s="31">
        <f t="shared" si="3"/>
        <v>1</v>
      </c>
    </row>
    <row r="655">
      <c r="A655" s="31" t="s">
        <v>157</v>
      </c>
      <c r="B655" s="9">
        <v>3.0</v>
      </c>
      <c r="C655" s="31" t="str">
        <f>VLOOKUP(A655, 'College List'!A:B, 2, FALSE)</f>
        <v>Silverquill</v>
      </c>
      <c r="D655" s="355">
        <f>VLOOKUP(B655,Quotas!$A$8:$C$14,2,FALSE)</f>
        <v>46150.70833</v>
      </c>
      <c r="E655" s="356">
        <f>VLOOKUP(B655,Quotas!$A$8:$C$14,3,FALSE)</f>
        <v>46157.70833</v>
      </c>
      <c r="F655" s="79">
        <f>COUNTIFS(Matches!$B:$B,A655,Matches!$A:$A,CONCAT("&gt;",$D655),Matches!$A:$A,CONCAT("&lt;",$E655))</f>
        <v>1</v>
      </c>
      <c r="G655" s="79">
        <f>COUNTIFS(Matches!$C:$C,$A655,Matches!$A:$A,CONCAT("&gt;",$D655),Matches!$A:$A,CONCAT("&lt;",$E655))</f>
        <v>4</v>
      </c>
      <c r="H655" s="79">
        <f t="shared" si="1"/>
        <v>5</v>
      </c>
      <c r="I655" s="79">
        <f>COUNTIFS(Matches!$B:$B,$A655,Matches!$A:$A,CONCAT("&lt;",$E655))</f>
        <v>5</v>
      </c>
      <c r="J655" s="79">
        <f>COUNTIFS(Matches!$C:$C,$A655,Matches!$A:$A,CONCAT("&lt;",$E655))</f>
        <v>9</v>
      </c>
      <c r="K655" s="79">
        <f>COUNTIFS(Entropy!D:D,A655,Entropy!I:I,CONCAT("&lt;",E655-1))</f>
        <v>0</v>
      </c>
      <c r="L655" s="79">
        <f t="shared" si="2"/>
        <v>14</v>
      </c>
      <c r="M655" s="79">
        <f t="array" ref="M655">max(min(IF(J655+K655=11,0,XLOOKUP(B655,Quotas!$A$8:$A$14,Quotas!$E$8:$E$14)-$L655),2),0)</f>
        <v>1</v>
      </c>
      <c r="N655" s="31">
        <f t="shared" si="3"/>
        <v>0.5</v>
      </c>
    </row>
    <row r="656">
      <c r="A656" s="31" t="s">
        <v>352</v>
      </c>
      <c r="B656" s="9">
        <v>3.0</v>
      </c>
      <c r="C656" s="31" t="str">
        <f>VLOOKUP(A656, 'College List'!A:B, 2, FALSE)</f>
        <v>Prismari</v>
      </c>
      <c r="D656" s="355">
        <f>VLOOKUP(B656,Quotas!$A$8:$C$14,2,FALSE)</f>
        <v>46150.70833</v>
      </c>
      <c r="E656" s="356">
        <f>VLOOKUP(B656,Quotas!$A$8:$C$14,3,FALSE)</f>
        <v>46157.70833</v>
      </c>
      <c r="F656" s="79">
        <f>COUNTIFS(Matches!$B:$B,A656,Matches!$A:$A,CONCAT("&gt;",$D656),Matches!$A:$A,CONCAT("&lt;",$E656))</f>
        <v>0</v>
      </c>
      <c r="G656" s="79">
        <f>COUNTIFS(Matches!$C:$C,$A656,Matches!$A:$A,CONCAT("&gt;",$D656),Matches!$A:$A,CONCAT("&lt;",$E656))</f>
        <v>5</v>
      </c>
      <c r="H656" s="79">
        <f t="shared" si="1"/>
        <v>5</v>
      </c>
      <c r="I656" s="79">
        <f>COUNTIFS(Matches!$B:$B,$A656,Matches!$A:$A,CONCAT("&lt;",$E656))</f>
        <v>5</v>
      </c>
      <c r="J656" s="79">
        <f>COUNTIFS(Matches!$C:$C,$A656,Matches!$A:$A,CONCAT("&lt;",$E656))</f>
        <v>10</v>
      </c>
      <c r="K656" s="79">
        <f>COUNTIFS(Entropy!D:D,A656,Entropy!I:I,CONCAT("&lt;",E656-1))</f>
        <v>0</v>
      </c>
      <c r="L656" s="79">
        <f t="shared" si="2"/>
        <v>15</v>
      </c>
      <c r="M656" s="79">
        <f t="array" ref="M656">max(min(IF(J656+K656=11,0,XLOOKUP(B656,Quotas!$A$8:$A$14,Quotas!$E$8:$E$14)-$L656),2),0)</f>
        <v>0</v>
      </c>
      <c r="N656" s="31">
        <f t="shared" si="3"/>
        <v>0</v>
      </c>
    </row>
    <row r="657">
      <c r="A657" s="31" t="s">
        <v>245</v>
      </c>
      <c r="B657" s="9">
        <v>3.0</v>
      </c>
      <c r="C657" s="31" t="str">
        <f>VLOOKUP(A657, 'College List'!A:B, 2, FALSE)</f>
        <v>Witherbloom</v>
      </c>
      <c r="D657" s="355">
        <f>VLOOKUP(B657,Quotas!$A$8:$C$14,2,FALSE)</f>
        <v>46150.70833</v>
      </c>
      <c r="E657" s="356">
        <f>VLOOKUP(B657,Quotas!$A$8:$C$14,3,FALSE)</f>
        <v>46157.70833</v>
      </c>
      <c r="F657" s="79">
        <f>COUNTIFS(Matches!$B:$B,A657,Matches!$A:$A,CONCAT("&gt;",$D657),Matches!$A:$A,CONCAT("&lt;",$E657))</f>
        <v>5</v>
      </c>
      <c r="G657" s="79">
        <f>COUNTIFS(Matches!$C:$C,$A657,Matches!$A:$A,CONCAT("&gt;",$D657),Matches!$A:$A,CONCAT("&lt;",$E657))</f>
        <v>0</v>
      </c>
      <c r="H657" s="79">
        <f t="shared" si="1"/>
        <v>5</v>
      </c>
      <c r="I657" s="79">
        <f>COUNTIFS(Matches!$B:$B,$A657,Matches!$A:$A,CONCAT("&lt;",$E657))</f>
        <v>9</v>
      </c>
      <c r="J657" s="79">
        <f>COUNTIFS(Matches!$C:$C,$A657,Matches!$A:$A,CONCAT("&lt;",$E657))</f>
        <v>6</v>
      </c>
      <c r="K657" s="79">
        <f>COUNTIFS(Entropy!D:D,A657,Entropy!I:I,CONCAT("&lt;",E657-1))</f>
        <v>0</v>
      </c>
      <c r="L657" s="79">
        <f t="shared" si="2"/>
        <v>15</v>
      </c>
      <c r="M657" s="79">
        <f t="array" ref="M657">max(min(IF(J657+K657=11,0,XLOOKUP(B657,Quotas!$A$8:$A$14,Quotas!$E$8:$E$14)-$L657),2),0)</f>
        <v>0</v>
      </c>
      <c r="N657" s="31">
        <f t="shared" si="3"/>
        <v>0</v>
      </c>
    </row>
    <row r="658">
      <c r="A658" s="31" t="s">
        <v>132</v>
      </c>
      <c r="B658" s="9">
        <v>3.0</v>
      </c>
      <c r="C658" s="31" t="str">
        <f>VLOOKUP(A658, 'College List'!A:B, 2, FALSE)</f>
        <v>Quandrix</v>
      </c>
      <c r="D658" s="355">
        <f>VLOOKUP(B658,Quotas!$A$8:$C$14,2,FALSE)</f>
        <v>46150.70833</v>
      </c>
      <c r="E658" s="356">
        <f>VLOOKUP(B658,Quotas!$A$8:$C$14,3,FALSE)</f>
        <v>46157.70833</v>
      </c>
      <c r="F658" s="79">
        <f>COUNTIFS(Matches!$B:$B,A658,Matches!$A:$A,CONCAT("&gt;",$D658),Matches!$A:$A,CONCAT("&lt;",$E658))</f>
        <v>0</v>
      </c>
      <c r="G658" s="79">
        <f>COUNTIFS(Matches!$C:$C,$A658,Matches!$A:$A,CONCAT("&gt;",$D658),Matches!$A:$A,CONCAT("&lt;",$E658))</f>
        <v>3</v>
      </c>
      <c r="H658" s="79">
        <f t="shared" si="1"/>
        <v>3</v>
      </c>
      <c r="I658" s="79">
        <f>COUNTIFS(Matches!$B:$B,$A658,Matches!$A:$A,CONCAT("&lt;",$E658))</f>
        <v>7</v>
      </c>
      <c r="J658" s="79">
        <f>COUNTIFS(Matches!$C:$C,$A658,Matches!$A:$A,CONCAT("&lt;",$E658))</f>
        <v>6</v>
      </c>
      <c r="K658" s="79">
        <f>COUNTIFS(Entropy!D:D,A658,Entropy!I:I,CONCAT("&lt;",E658-1))</f>
        <v>0</v>
      </c>
      <c r="L658" s="79">
        <f t="shared" si="2"/>
        <v>13</v>
      </c>
      <c r="M658" s="79">
        <f t="array" ref="M658">max(min(IF(J658+K658=11,0,XLOOKUP(B658,Quotas!$A$8:$A$14,Quotas!$E$8:$E$14)-$L658),2),0)</f>
        <v>2</v>
      </c>
      <c r="N658" s="31">
        <f t="shared" si="3"/>
        <v>1</v>
      </c>
    </row>
    <row r="659">
      <c r="A659" s="31" t="s">
        <v>331</v>
      </c>
      <c r="B659" s="9">
        <v>3.0</v>
      </c>
      <c r="C659" s="31" t="str">
        <f>VLOOKUP(A659, 'College List'!A:B, 2, FALSE)</f>
        <v>Silverquill</v>
      </c>
      <c r="D659" s="355">
        <f>VLOOKUP(B659,Quotas!$A$8:$C$14,2,FALSE)</f>
        <v>46150.70833</v>
      </c>
      <c r="E659" s="356">
        <f>VLOOKUP(B659,Quotas!$A$8:$C$14,3,FALSE)</f>
        <v>46157.70833</v>
      </c>
      <c r="F659" s="79">
        <f>COUNTIFS(Matches!$B:$B,A659,Matches!$A:$A,CONCAT("&gt;",$D659),Matches!$A:$A,CONCAT("&lt;",$E659))</f>
        <v>2</v>
      </c>
      <c r="G659" s="79">
        <f>COUNTIFS(Matches!$C:$C,$A659,Matches!$A:$A,CONCAT("&gt;",$D659),Matches!$A:$A,CONCAT("&lt;",$E659))</f>
        <v>2</v>
      </c>
      <c r="H659" s="79">
        <f t="shared" si="1"/>
        <v>4</v>
      </c>
      <c r="I659" s="79">
        <f>COUNTIFS(Matches!$B:$B,$A659,Matches!$A:$A,CONCAT("&lt;",$E659))</f>
        <v>9</v>
      </c>
      <c r="J659" s="79">
        <f>COUNTIFS(Matches!$C:$C,$A659,Matches!$A:$A,CONCAT("&lt;",$E659))</f>
        <v>5</v>
      </c>
      <c r="K659" s="79">
        <f>COUNTIFS(Entropy!D:D,A659,Entropy!I:I,CONCAT("&lt;",E659-1))</f>
        <v>0</v>
      </c>
      <c r="L659" s="79">
        <f t="shared" si="2"/>
        <v>14</v>
      </c>
      <c r="M659" s="79">
        <f t="array" ref="M659">max(min(IF(J659+K659=11,0,XLOOKUP(B659,Quotas!$A$8:$A$14,Quotas!$E$8:$E$14)-$L659),2),0)</f>
        <v>1</v>
      </c>
      <c r="N659" s="31">
        <f t="shared" si="3"/>
        <v>0.5</v>
      </c>
    </row>
    <row r="660">
      <c r="A660" s="31" t="s">
        <v>635</v>
      </c>
      <c r="B660" s="9">
        <v>3.0</v>
      </c>
      <c r="C660" s="31" t="str">
        <f>VLOOKUP(A660, 'College List'!A:B, 2, FALSE)</f>
        <v>Lorehold</v>
      </c>
      <c r="D660" s="355">
        <f>VLOOKUP(B660,Quotas!$A$8:$C$14,2,FALSE)</f>
        <v>46150.70833</v>
      </c>
      <c r="E660" s="356">
        <f>VLOOKUP(B660,Quotas!$A$8:$C$14,3,FALSE)</f>
        <v>46157.70833</v>
      </c>
      <c r="F660" s="79">
        <f>COUNTIFS(Matches!$B:$B,A660,Matches!$A:$A,CONCAT("&gt;",$D660),Matches!$A:$A,CONCAT("&lt;",$E660))</f>
        <v>0</v>
      </c>
      <c r="G660" s="79">
        <f>COUNTIFS(Matches!$C:$C,$A660,Matches!$A:$A,CONCAT("&gt;",$D660),Matches!$A:$A,CONCAT("&lt;",$E660))</f>
        <v>0</v>
      </c>
      <c r="H660" s="79">
        <f t="shared" si="1"/>
        <v>0</v>
      </c>
      <c r="I660" s="79">
        <f>COUNTIFS(Matches!$B:$B,$A660,Matches!$A:$A,CONCAT("&lt;",$E660))</f>
        <v>0</v>
      </c>
      <c r="J660" s="79">
        <f>COUNTIFS(Matches!$C:$C,$A660,Matches!$A:$A,CONCAT("&lt;",$E660))</f>
        <v>0</v>
      </c>
      <c r="K660" s="79">
        <f>COUNTIFS(Entropy!D:D,A660,Entropy!I:I,CONCAT("&lt;",E660-1))</f>
        <v>8</v>
      </c>
      <c r="L660" s="79">
        <f t="shared" si="2"/>
        <v>8</v>
      </c>
      <c r="M660" s="79">
        <f t="array" ref="M660">max(min(IF(J660+K660=11,0,XLOOKUP(B660,Quotas!$A$8:$A$14,Quotas!$E$8:$E$14)-$L660),2),0)</f>
        <v>2</v>
      </c>
      <c r="N660" s="31">
        <f t="shared" si="3"/>
        <v>0</v>
      </c>
    </row>
    <row r="661">
      <c r="A661" s="31" t="s">
        <v>324</v>
      </c>
      <c r="B661" s="9">
        <v>3.0</v>
      </c>
      <c r="C661" s="31" t="str">
        <f>VLOOKUP(A661, 'College List'!A:B, 2, FALSE)</f>
        <v>Lorehold</v>
      </c>
      <c r="D661" s="355">
        <f>VLOOKUP(B661,Quotas!$A$8:$C$14,2,FALSE)</f>
        <v>46150.70833</v>
      </c>
      <c r="E661" s="356">
        <f>VLOOKUP(B661,Quotas!$A$8:$C$14,3,FALSE)</f>
        <v>46157.70833</v>
      </c>
      <c r="F661" s="79">
        <f>COUNTIFS(Matches!$B:$B,A661,Matches!$A:$A,CONCAT("&gt;",$D661),Matches!$A:$A,CONCAT("&lt;",$E661))</f>
        <v>3</v>
      </c>
      <c r="G661" s="79">
        <f>COUNTIFS(Matches!$C:$C,$A661,Matches!$A:$A,CONCAT("&gt;",$D661),Matches!$A:$A,CONCAT("&lt;",$E661))</f>
        <v>2</v>
      </c>
      <c r="H661" s="79">
        <f t="shared" si="1"/>
        <v>5</v>
      </c>
      <c r="I661" s="79">
        <f>COUNTIFS(Matches!$B:$B,$A661,Matches!$A:$A,CONCAT("&lt;",$E661))</f>
        <v>9</v>
      </c>
      <c r="J661" s="79">
        <f>COUNTIFS(Matches!$C:$C,$A661,Matches!$A:$A,CONCAT("&lt;",$E661))</f>
        <v>6</v>
      </c>
      <c r="K661" s="79">
        <f>COUNTIFS(Entropy!D:D,A661,Entropy!I:I,CONCAT("&lt;",E661-1))</f>
        <v>0</v>
      </c>
      <c r="L661" s="79">
        <f t="shared" si="2"/>
        <v>15</v>
      </c>
      <c r="M661" s="79">
        <f t="array" ref="M661">max(min(IF(J661+K661=11,0,XLOOKUP(B661,Quotas!$A$8:$A$14,Quotas!$E$8:$E$14)-$L661),2),0)</f>
        <v>0</v>
      </c>
      <c r="N661" s="31">
        <f t="shared" si="3"/>
        <v>0</v>
      </c>
    </row>
    <row r="662">
      <c r="A662" s="31" t="s">
        <v>346</v>
      </c>
      <c r="B662" s="9">
        <v>3.0</v>
      </c>
      <c r="C662" s="31" t="str">
        <f>VLOOKUP(A662, 'College List'!A:B, 2, FALSE)</f>
        <v>Silverquill</v>
      </c>
      <c r="D662" s="355">
        <f>VLOOKUP(B662,Quotas!$A$8:$C$14,2,FALSE)</f>
        <v>46150.70833</v>
      </c>
      <c r="E662" s="356">
        <f>VLOOKUP(B662,Quotas!$A$8:$C$14,3,FALSE)</f>
        <v>46157.70833</v>
      </c>
      <c r="F662" s="79">
        <f>COUNTIFS(Matches!$B:$B,A662,Matches!$A:$A,CONCAT("&gt;",$D662),Matches!$A:$A,CONCAT("&lt;",$E662))</f>
        <v>2</v>
      </c>
      <c r="G662" s="79">
        <f>COUNTIFS(Matches!$C:$C,$A662,Matches!$A:$A,CONCAT("&gt;",$D662),Matches!$A:$A,CONCAT("&lt;",$E662))</f>
        <v>2</v>
      </c>
      <c r="H662" s="79">
        <f t="shared" si="1"/>
        <v>4</v>
      </c>
      <c r="I662" s="79">
        <f>COUNTIFS(Matches!$B:$B,$A662,Matches!$A:$A,CONCAT("&lt;",$E662))</f>
        <v>7</v>
      </c>
      <c r="J662" s="79">
        <f>COUNTIFS(Matches!$C:$C,$A662,Matches!$A:$A,CONCAT("&lt;",$E662))</f>
        <v>6</v>
      </c>
      <c r="K662" s="79">
        <f>COUNTIFS(Entropy!D:D,A662,Entropy!I:I,CONCAT("&lt;",E662-1))</f>
        <v>0</v>
      </c>
      <c r="L662" s="79">
        <f t="shared" si="2"/>
        <v>13</v>
      </c>
      <c r="M662" s="79">
        <f t="array" ref="M662">max(min(IF(J662+K662=11,0,XLOOKUP(B662,Quotas!$A$8:$A$14,Quotas!$E$8:$E$14)-$L662),2),0)</f>
        <v>2</v>
      </c>
      <c r="N662" s="31">
        <f t="shared" si="3"/>
        <v>1</v>
      </c>
    </row>
    <row r="663">
      <c r="A663" s="31" t="s">
        <v>125</v>
      </c>
      <c r="B663" s="9">
        <v>3.0</v>
      </c>
      <c r="C663" s="31" t="str">
        <f>VLOOKUP(A663, 'College List'!A:B, 2, FALSE)</f>
        <v>Prismari</v>
      </c>
      <c r="D663" s="355">
        <f>VLOOKUP(B663,Quotas!$A$8:$C$14,2,FALSE)</f>
        <v>46150.70833</v>
      </c>
      <c r="E663" s="356">
        <f>VLOOKUP(B663,Quotas!$A$8:$C$14,3,FALSE)</f>
        <v>46157.70833</v>
      </c>
      <c r="F663" s="79">
        <f>COUNTIFS(Matches!$B:$B,A663,Matches!$A:$A,CONCAT("&gt;",$D663),Matches!$A:$A,CONCAT("&lt;",$E663))</f>
        <v>3</v>
      </c>
      <c r="G663" s="79">
        <f>COUNTIFS(Matches!$C:$C,$A663,Matches!$A:$A,CONCAT("&gt;",$D663),Matches!$A:$A,CONCAT("&lt;",$E663))</f>
        <v>3</v>
      </c>
      <c r="H663" s="79">
        <f t="shared" si="1"/>
        <v>6</v>
      </c>
      <c r="I663" s="79">
        <f>COUNTIFS(Matches!$B:$B,$A663,Matches!$A:$A,CONCAT("&lt;",$E663))</f>
        <v>5</v>
      </c>
      <c r="J663" s="79">
        <f>COUNTIFS(Matches!$C:$C,$A663,Matches!$A:$A,CONCAT("&lt;",$E663))</f>
        <v>8</v>
      </c>
      <c r="K663" s="79">
        <f>COUNTIFS(Entropy!D:D,A663,Entropy!I:I,CONCAT("&lt;",E663-1))</f>
        <v>0</v>
      </c>
      <c r="L663" s="79">
        <f t="shared" si="2"/>
        <v>13</v>
      </c>
      <c r="M663" s="79">
        <f t="array" ref="M663">max(min(IF(J663+K663=11,0,XLOOKUP(B663,Quotas!$A$8:$A$14,Quotas!$E$8:$E$14)-$L663),2),0)</f>
        <v>2</v>
      </c>
      <c r="N663" s="31">
        <f t="shared" si="3"/>
        <v>1</v>
      </c>
    </row>
    <row r="664">
      <c r="A664" s="9" t="s">
        <v>292</v>
      </c>
      <c r="B664" s="9">
        <v>3.0</v>
      </c>
      <c r="C664" s="31" t="str">
        <f>VLOOKUP(A664, 'College List'!A:B, 2, FALSE)</f>
        <v>Prismari</v>
      </c>
      <c r="D664" s="355">
        <f>VLOOKUP(B664,Quotas!$A$8:$C$14,2,FALSE)</f>
        <v>46150.70833</v>
      </c>
      <c r="E664" s="356">
        <f>VLOOKUP(B664,Quotas!$A$8:$C$14,3,FALSE)</f>
        <v>46157.70833</v>
      </c>
      <c r="F664" s="79">
        <f>COUNTIFS(Matches!$B:$B,A664,Matches!$A:$A,CONCAT("&gt;",$D664),Matches!$A:$A,CONCAT("&lt;",$E664))</f>
        <v>0</v>
      </c>
      <c r="G664" s="79">
        <f>COUNTIFS(Matches!$C:$C,$A664,Matches!$A:$A,CONCAT("&gt;",$D664),Matches!$A:$A,CONCAT("&lt;",$E664))</f>
        <v>0</v>
      </c>
      <c r="H664" s="79">
        <f t="shared" si="1"/>
        <v>0</v>
      </c>
      <c r="I664" s="79">
        <f>COUNTIFS(Matches!$B:$B,$A664,Matches!$A:$A,CONCAT("&lt;",$E664))</f>
        <v>2</v>
      </c>
      <c r="J664" s="79">
        <f>COUNTIFS(Matches!$C:$C,$A664,Matches!$A:$A,CONCAT("&lt;",$E664))</f>
        <v>4</v>
      </c>
      <c r="K664" s="79">
        <f>COUNTIFS(Entropy!D:D,A664,Entropy!I:I,CONCAT("&lt;",E664-1))</f>
        <v>2</v>
      </c>
      <c r="L664" s="79">
        <f t="shared" si="2"/>
        <v>8</v>
      </c>
      <c r="M664" s="79">
        <f t="array" ref="M664">max(min(IF(J664+K664=11,0,XLOOKUP(B664,Quotas!$A$8:$A$14,Quotas!$E$8:$E$14)-$L664),2),0)</f>
        <v>2</v>
      </c>
      <c r="N664" s="31">
        <f t="shared" si="3"/>
        <v>0</v>
      </c>
    </row>
    <row r="665">
      <c r="A665" s="31" t="s">
        <v>215</v>
      </c>
      <c r="B665" s="9">
        <v>3.0</v>
      </c>
      <c r="C665" s="31" t="str">
        <f>VLOOKUP(A665, 'College List'!A:B, 2, FALSE)</f>
        <v>Silverquill</v>
      </c>
      <c r="D665" s="355">
        <f>VLOOKUP(B665,Quotas!$A$8:$C$14,2,FALSE)</f>
        <v>46150.70833</v>
      </c>
      <c r="E665" s="356">
        <f>VLOOKUP(B665,Quotas!$A$8:$C$14,3,FALSE)</f>
        <v>46157.70833</v>
      </c>
      <c r="F665" s="79">
        <f>COUNTIFS(Matches!$B:$B,A665,Matches!$A:$A,CONCAT("&gt;",$D665),Matches!$A:$A,CONCAT("&lt;",$E665))</f>
        <v>1</v>
      </c>
      <c r="G665" s="79">
        <f>COUNTIFS(Matches!$C:$C,$A665,Matches!$A:$A,CONCAT("&gt;",$D665),Matches!$A:$A,CONCAT("&lt;",$E665))</f>
        <v>2</v>
      </c>
      <c r="H665" s="79">
        <f t="shared" si="1"/>
        <v>3</v>
      </c>
      <c r="I665" s="79">
        <f>COUNTIFS(Matches!$B:$B,$A665,Matches!$A:$A,CONCAT("&lt;",$E665))</f>
        <v>3</v>
      </c>
      <c r="J665" s="79">
        <f>COUNTIFS(Matches!$C:$C,$A665,Matches!$A:$A,CONCAT("&lt;",$E665))</f>
        <v>7</v>
      </c>
      <c r="K665" s="79">
        <f>COUNTIFS(Entropy!D:D,A665,Entropy!I:I,CONCAT("&lt;",E665-1))</f>
        <v>1</v>
      </c>
      <c r="L665" s="79">
        <f t="shared" si="2"/>
        <v>11</v>
      </c>
      <c r="M665" s="79">
        <f t="array" ref="M665">max(min(IF(J665+K665=11,0,XLOOKUP(B665,Quotas!$A$8:$A$14,Quotas!$E$8:$E$14)-$L665),2),0)</f>
        <v>2</v>
      </c>
      <c r="N665" s="31">
        <f t="shared" si="3"/>
        <v>1</v>
      </c>
    </row>
    <row r="666">
      <c r="A666" s="31" t="s">
        <v>366</v>
      </c>
      <c r="B666" s="9">
        <v>3.0</v>
      </c>
      <c r="C666" s="31" t="str">
        <f>VLOOKUP(A666, 'College List'!A:B, 2, FALSE)</f>
        <v>Quandrix</v>
      </c>
      <c r="D666" s="355">
        <f>VLOOKUP(B666,Quotas!$A$8:$C$14,2,FALSE)</f>
        <v>46150.70833</v>
      </c>
      <c r="E666" s="356">
        <f>VLOOKUP(B666,Quotas!$A$8:$C$14,3,FALSE)</f>
        <v>46157.70833</v>
      </c>
      <c r="F666" s="79">
        <f>COUNTIFS(Matches!$B:$B,A666,Matches!$A:$A,CONCAT("&gt;",$D666),Matches!$A:$A,CONCAT("&lt;",$E666))</f>
        <v>2</v>
      </c>
      <c r="G666" s="79">
        <f>COUNTIFS(Matches!$C:$C,$A666,Matches!$A:$A,CONCAT("&gt;",$D666),Matches!$A:$A,CONCAT("&lt;",$E666))</f>
        <v>3</v>
      </c>
      <c r="H666" s="79">
        <f t="shared" si="1"/>
        <v>5</v>
      </c>
      <c r="I666" s="79">
        <f>COUNTIFS(Matches!$B:$B,$A666,Matches!$A:$A,CONCAT("&lt;",$E666))</f>
        <v>7</v>
      </c>
      <c r="J666" s="79">
        <f>COUNTIFS(Matches!$C:$C,$A666,Matches!$A:$A,CONCAT("&lt;",$E666))</f>
        <v>8</v>
      </c>
      <c r="K666" s="79">
        <f>COUNTIFS(Entropy!D:D,A666,Entropy!I:I,CONCAT("&lt;",E666-1))</f>
        <v>0</v>
      </c>
      <c r="L666" s="79">
        <f t="shared" si="2"/>
        <v>15</v>
      </c>
      <c r="M666" s="79">
        <f t="array" ref="M666">max(min(IF(J666+K666=11,0,XLOOKUP(B666,Quotas!$A$8:$A$14,Quotas!$E$8:$E$14)-$L666),2),0)</f>
        <v>0</v>
      </c>
      <c r="N666" s="31">
        <f t="shared" si="3"/>
        <v>0</v>
      </c>
    </row>
    <row r="667">
      <c r="A667" s="31" t="s">
        <v>349</v>
      </c>
      <c r="B667" s="9">
        <v>3.0</v>
      </c>
      <c r="C667" s="31" t="str">
        <f>VLOOKUP(A667, 'College List'!A:B, 2, FALSE)</f>
        <v>Prismari</v>
      </c>
      <c r="D667" s="355">
        <f>VLOOKUP(B667,Quotas!$A$8:$C$14,2,FALSE)</f>
        <v>46150.70833</v>
      </c>
      <c r="E667" s="356">
        <f>VLOOKUP(B667,Quotas!$A$8:$C$14,3,FALSE)</f>
        <v>46157.70833</v>
      </c>
      <c r="F667" s="79">
        <f>COUNTIFS(Matches!$B:$B,A667,Matches!$A:$A,CONCAT("&gt;",$D667),Matches!$A:$A,CONCAT("&lt;",$E667))</f>
        <v>3</v>
      </c>
      <c r="G667" s="79">
        <f>COUNTIFS(Matches!$C:$C,$A667,Matches!$A:$A,CONCAT("&gt;",$D667),Matches!$A:$A,CONCAT("&lt;",$E667))</f>
        <v>2</v>
      </c>
      <c r="H667" s="79">
        <f t="shared" si="1"/>
        <v>5</v>
      </c>
      <c r="I667" s="79">
        <f>COUNTIFS(Matches!$B:$B,$A667,Matches!$A:$A,CONCAT("&lt;",$E667))</f>
        <v>11</v>
      </c>
      <c r="J667" s="79">
        <f>COUNTIFS(Matches!$C:$C,$A667,Matches!$A:$A,CONCAT("&lt;",$E667))</f>
        <v>4</v>
      </c>
      <c r="K667" s="79">
        <f>COUNTIFS(Entropy!D:D,A667,Entropy!I:I,CONCAT("&lt;",E667-1))</f>
        <v>0</v>
      </c>
      <c r="L667" s="79">
        <f t="shared" si="2"/>
        <v>15</v>
      </c>
      <c r="M667" s="79">
        <f t="array" ref="M667">max(min(IF(J667+K667=11,0,XLOOKUP(B667,Quotas!$A$8:$A$14,Quotas!$E$8:$E$14)-$L667),2),0)</f>
        <v>0</v>
      </c>
      <c r="N667" s="31">
        <f t="shared" si="3"/>
        <v>0</v>
      </c>
    </row>
    <row r="668">
      <c r="A668" s="31" t="s">
        <v>315</v>
      </c>
      <c r="B668" s="9">
        <v>3.0</v>
      </c>
      <c r="C668" s="31" t="str">
        <f>VLOOKUP(A668, 'College List'!A:B, 2, FALSE)</f>
        <v>Prismari</v>
      </c>
      <c r="D668" s="355">
        <f>VLOOKUP(B668,Quotas!$A$8:$C$14,2,FALSE)</f>
        <v>46150.70833</v>
      </c>
      <c r="E668" s="356">
        <f>VLOOKUP(B668,Quotas!$A$8:$C$14,3,FALSE)</f>
        <v>46157.70833</v>
      </c>
      <c r="F668" s="79">
        <f>COUNTIFS(Matches!$B:$B,A668,Matches!$A:$A,CONCAT("&gt;",$D668),Matches!$A:$A,CONCAT("&lt;",$E668))</f>
        <v>0</v>
      </c>
      <c r="G668" s="79">
        <f>COUNTIFS(Matches!$C:$C,$A668,Matches!$A:$A,CONCAT("&gt;",$D668),Matches!$A:$A,CONCAT("&lt;",$E668))</f>
        <v>2</v>
      </c>
      <c r="H668" s="79">
        <f t="shared" si="1"/>
        <v>2</v>
      </c>
      <c r="I668" s="79">
        <f>COUNTIFS(Matches!$B:$B,$A668,Matches!$A:$A,CONCAT("&lt;",$E668))</f>
        <v>6</v>
      </c>
      <c r="J668" s="79">
        <f>COUNTIFS(Matches!$C:$C,$A668,Matches!$A:$A,CONCAT("&lt;",$E668))</f>
        <v>6</v>
      </c>
      <c r="K668" s="79">
        <f>COUNTIFS(Entropy!D:D,A668,Entropy!I:I,CONCAT("&lt;",E668-1))</f>
        <v>0</v>
      </c>
      <c r="L668" s="79">
        <f t="shared" si="2"/>
        <v>12</v>
      </c>
      <c r="M668" s="79">
        <f t="array" ref="M668">max(min(IF(J668+K668=11,0,XLOOKUP(B668,Quotas!$A$8:$A$14,Quotas!$E$8:$E$14)-$L668),2),0)</f>
        <v>2</v>
      </c>
      <c r="N668" s="31">
        <f t="shared" si="3"/>
        <v>1</v>
      </c>
    </row>
    <row r="669">
      <c r="A669" s="31" t="s">
        <v>636</v>
      </c>
      <c r="B669" s="9">
        <v>3.0</v>
      </c>
      <c r="C669" s="31" t="str">
        <f>VLOOKUP(A669, 'College List'!A:B, 2, FALSE)</f>
        <v>Silverquill</v>
      </c>
      <c r="D669" s="355">
        <f>VLOOKUP(B669,Quotas!$A$8:$C$14,2,FALSE)</f>
        <v>46150.70833</v>
      </c>
      <c r="E669" s="356">
        <f>VLOOKUP(B669,Quotas!$A$8:$C$14,3,FALSE)</f>
        <v>46157.70833</v>
      </c>
      <c r="F669" s="79">
        <f>COUNTIFS(Matches!$B:$B,A669,Matches!$A:$A,CONCAT("&gt;",$D669),Matches!$A:$A,CONCAT("&lt;",$E669))</f>
        <v>0</v>
      </c>
      <c r="G669" s="79">
        <f>COUNTIFS(Matches!$C:$C,$A669,Matches!$A:$A,CONCAT("&gt;",$D669),Matches!$A:$A,CONCAT("&lt;",$E669))</f>
        <v>0</v>
      </c>
      <c r="H669" s="79">
        <f t="shared" si="1"/>
        <v>0</v>
      </c>
      <c r="I669" s="79">
        <f>COUNTIFS(Matches!$B:$B,$A669,Matches!$A:$A,CONCAT("&lt;",$E669))</f>
        <v>0</v>
      </c>
      <c r="J669" s="79">
        <f>COUNTIFS(Matches!$C:$C,$A669,Matches!$A:$A,CONCAT("&lt;",$E669))</f>
        <v>0</v>
      </c>
      <c r="K669" s="79">
        <f>COUNTIFS(Entropy!D:D,A669,Entropy!I:I,CONCAT("&lt;",E669-1))</f>
        <v>8</v>
      </c>
      <c r="L669" s="79">
        <f t="shared" si="2"/>
        <v>8</v>
      </c>
      <c r="M669" s="79">
        <f t="array" ref="M669">max(min(IF(J669+K669=11,0,XLOOKUP(B669,Quotas!$A$8:$A$14,Quotas!$E$8:$E$14)-$L669),2),0)</f>
        <v>2</v>
      </c>
      <c r="N669" s="31">
        <f t="shared" si="3"/>
        <v>0</v>
      </c>
    </row>
    <row r="670">
      <c r="A670" s="31" t="s">
        <v>214</v>
      </c>
      <c r="B670" s="9">
        <v>3.0</v>
      </c>
      <c r="C670" s="31" t="str">
        <f>VLOOKUP(A670, 'College List'!A:B, 2, FALSE)</f>
        <v>Prismari</v>
      </c>
      <c r="D670" s="355">
        <f>VLOOKUP(B670,Quotas!$A$8:$C$14,2,FALSE)</f>
        <v>46150.70833</v>
      </c>
      <c r="E670" s="356">
        <f>VLOOKUP(B670,Quotas!$A$8:$C$14,3,FALSE)</f>
        <v>46157.70833</v>
      </c>
      <c r="F670" s="79">
        <f>COUNTIFS(Matches!$B:$B,A670,Matches!$A:$A,CONCAT("&gt;",$D670),Matches!$A:$A,CONCAT("&lt;",$E670))</f>
        <v>3</v>
      </c>
      <c r="G670" s="79">
        <f>COUNTIFS(Matches!$C:$C,$A670,Matches!$A:$A,CONCAT("&gt;",$D670),Matches!$A:$A,CONCAT("&lt;",$E670))</f>
        <v>2</v>
      </c>
      <c r="H670" s="79">
        <f t="shared" si="1"/>
        <v>5</v>
      </c>
      <c r="I670" s="79">
        <f>COUNTIFS(Matches!$B:$B,$A670,Matches!$A:$A,CONCAT("&lt;",$E670))</f>
        <v>7</v>
      </c>
      <c r="J670" s="79">
        <f>COUNTIFS(Matches!$C:$C,$A670,Matches!$A:$A,CONCAT("&lt;",$E670))</f>
        <v>8</v>
      </c>
      <c r="K670" s="79">
        <f>COUNTIFS(Entropy!D:D,A670,Entropy!I:I,CONCAT("&lt;",E670-1))</f>
        <v>0</v>
      </c>
      <c r="L670" s="79">
        <f t="shared" si="2"/>
        <v>15</v>
      </c>
      <c r="M670" s="79">
        <f t="array" ref="M670">max(min(IF(J670+K670=11,0,XLOOKUP(B670,Quotas!$A$8:$A$14,Quotas!$E$8:$E$14)-$L670),2),0)</f>
        <v>0</v>
      </c>
      <c r="N670" s="31">
        <f t="shared" si="3"/>
        <v>0</v>
      </c>
    </row>
    <row r="671">
      <c r="A671" s="31" t="s">
        <v>228</v>
      </c>
      <c r="B671" s="9">
        <v>3.0</v>
      </c>
      <c r="C671" s="31" t="str">
        <f>VLOOKUP(A671, 'College List'!A:B, 2, FALSE)</f>
        <v>Witherbloom</v>
      </c>
      <c r="D671" s="355">
        <f>VLOOKUP(B671,Quotas!$A$8:$C$14,2,FALSE)</f>
        <v>46150.70833</v>
      </c>
      <c r="E671" s="356">
        <f>VLOOKUP(B671,Quotas!$A$8:$C$14,3,FALSE)</f>
        <v>46157.70833</v>
      </c>
      <c r="F671" s="79">
        <f>COUNTIFS(Matches!$B:$B,A671,Matches!$A:$A,CONCAT("&gt;",$D671),Matches!$A:$A,CONCAT("&lt;",$E671))</f>
        <v>2</v>
      </c>
      <c r="G671" s="79">
        <f>COUNTIFS(Matches!$C:$C,$A671,Matches!$A:$A,CONCAT("&gt;",$D671),Matches!$A:$A,CONCAT("&lt;",$E671))</f>
        <v>3</v>
      </c>
      <c r="H671" s="79">
        <f t="shared" si="1"/>
        <v>5</v>
      </c>
      <c r="I671" s="79">
        <f>COUNTIFS(Matches!$B:$B,$A671,Matches!$A:$A,CONCAT("&lt;",$E671))</f>
        <v>11</v>
      </c>
      <c r="J671" s="79">
        <f>COUNTIFS(Matches!$C:$C,$A671,Matches!$A:$A,CONCAT("&lt;",$E671))</f>
        <v>4</v>
      </c>
      <c r="K671" s="79">
        <f>COUNTIFS(Entropy!D:D,A671,Entropy!I:I,CONCAT("&lt;",E671-1))</f>
        <v>0</v>
      </c>
      <c r="L671" s="79">
        <f t="shared" si="2"/>
        <v>15</v>
      </c>
      <c r="M671" s="79">
        <f t="array" ref="M671">max(min(IF(J671+K671=11,0,XLOOKUP(B671,Quotas!$A$8:$A$14,Quotas!$E$8:$E$14)-$L671),2),0)</f>
        <v>0</v>
      </c>
      <c r="N671" s="31">
        <f t="shared" si="3"/>
        <v>0</v>
      </c>
    </row>
    <row r="672">
      <c r="A672" s="31" t="s">
        <v>390</v>
      </c>
      <c r="B672" s="9">
        <v>3.0</v>
      </c>
      <c r="C672" s="31" t="str">
        <f>VLOOKUP(A672, 'College List'!A:B, 2, FALSE)</f>
        <v>Witherbloom</v>
      </c>
      <c r="D672" s="355">
        <f>VLOOKUP(B672,Quotas!$A$8:$C$14,2,FALSE)</f>
        <v>46150.70833</v>
      </c>
      <c r="E672" s="356">
        <f>VLOOKUP(B672,Quotas!$A$8:$C$14,3,FALSE)</f>
        <v>46157.70833</v>
      </c>
      <c r="F672" s="79">
        <f>COUNTIFS(Matches!$B:$B,A672,Matches!$A:$A,CONCAT("&gt;",$D672),Matches!$A:$A,CONCAT("&lt;",$E672))</f>
        <v>0</v>
      </c>
      <c r="G672" s="79">
        <f>COUNTIFS(Matches!$C:$C,$A672,Matches!$A:$A,CONCAT("&gt;",$D672),Matches!$A:$A,CONCAT("&lt;",$E672))</f>
        <v>0</v>
      </c>
      <c r="H672" s="79">
        <f t="shared" si="1"/>
        <v>0</v>
      </c>
      <c r="I672" s="79">
        <f>COUNTIFS(Matches!$B:$B,$A672,Matches!$A:$A,CONCAT("&lt;",$E672))</f>
        <v>2</v>
      </c>
      <c r="J672" s="79">
        <f>COUNTIFS(Matches!$C:$C,$A672,Matches!$A:$A,CONCAT("&lt;",$E672))</f>
        <v>3</v>
      </c>
      <c r="K672" s="79">
        <f>COUNTIFS(Entropy!D:D,A672,Entropy!I:I,CONCAT("&lt;",E672-1))</f>
        <v>3</v>
      </c>
      <c r="L672" s="79">
        <f t="shared" si="2"/>
        <v>8</v>
      </c>
      <c r="M672" s="79">
        <f t="array" ref="M672">max(min(IF(J672+K672=11,0,XLOOKUP(B672,Quotas!$A$8:$A$14,Quotas!$E$8:$E$14)-$L672),2),0)</f>
        <v>2</v>
      </c>
      <c r="N672" s="31">
        <f t="shared" si="3"/>
        <v>0</v>
      </c>
    </row>
    <row r="673">
      <c r="A673" s="31" t="s">
        <v>168</v>
      </c>
      <c r="B673" s="9">
        <v>3.0</v>
      </c>
      <c r="C673" s="31" t="str">
        <f>VLOOKUP(A673, 'College List'!A:B, 2, FALSE)</f>
        <v>Silverquill</v>
      </c>
      <c r="D673" s="355">
        <f>VLOOKUP(B673,Quotas!$A$8:$C$14,2,FALSE)</f>
        <v>46150.70833</v>
      </c>
      <c r="E673" s="356">
        <f>VLOOKUP(B673,Quotas!$A$8:$C$14,3,FALSE)</f>
        <v>46157.70833</v>
      </c>
      <c r="F673" s="79">
        <f>COUNTIFS(Matches!$B:$B,A673,Matches!$A:$A,CONCAT("&gt;",$D673),Matches!$A:$A,CONCAT("&lt;",$E673))</f>
        <v>1</v>
      </c>
      <c r="G673" s="79">
        <f>COUNTIFS(Matches!$C:$C,$A673,Matches!$A:$A,CONCAT("&gt;",$D673),Matches!$A:$A,CONCAT("&lt;",$E673))</f>
        <v>4</v>
      </c>
      <c r="H673" s="79">
        <f t="shared" si="1"/>
        <v>5</v>
      </c>
      <c r="I673" s="79">
        <f>COUNTIFS(Matches!$B:$B,$A673,Matches!$A:$A,CONCAT("&lt;",$E673))</f>
        <v>5</v>
      </c>
      <c r="J673" s="79">
        <f>COUNTIFS(Matches!$C:$C,$A673,Matches!$A:$A,CONCAT("&lt;",$E673))</f>
        <v>10</v>
      </c>
      <c r="K673" s="79">
        <f>COUNTIFS(Entropy!D:D,A673,Entropy!I:I,CONCAT("&lt;",E673-1))</f>
        <v>0</v>
      </c>
      <c r="L673" s="79">
        <f t="shared" si="2"/>
        <v>15</v>
      </c>
      <c r="M673" s="79">
        <f t="array" ref="M673">max(min(IF(J673+K673=11,0,XLOOKUP(B673,Quotas!$A$8:$A$14,Quotas!$E$8:$E$14)-$L673),2),0)</f>
        <v>0</v>
      </c>
      <c r="N673" s="31">
        <f t="shared" si="3"/>
        <v>0</v>
      </c>
    </row>
    <row r="674">
      <c r="A674" s="31" t="s">
        <v>227</v>
      </c>
      <c r="B674" s="9">
        <v>3.0</v>
      </c>
      <c r="C674" s="31" t="str">
        <f>VLOOKUP(A674, 'College List'!A:B, 2, FALSE)</f>
        <v>Witherbloom</v>
      </c>
      <c r="D674" s="355">
        <f>VLOOKUP(B674,Quotas!$A$8:$C$14,2,FALSE)</f>
        <v>46150.70833</v>
      </c>
      <c r="E674" s="356">
        <f>VLOOKUP(B674,Quotas!$A$8:$C$14,3,FALSE)</f>
        <v>46157.70833</v>
      </c>
      <c r="F674" s="79">
        <f>COUNTIFS(Matches!$B:$B,A674,Matches!$A:$A,CONCAT("&gt;",$D674),Matches!$A:$A,CONCAT("&lt;",$E674))</f>
        <v>2</v>
      </c>
      <c r="G674" s="79">
        <f>COUNTIFS(Matches!$C:$C,$A674,Matches!$A:$A,CONCAT("&gt;",$D674),Matches!$A:$A,CONCAT("&lt;",$E674))</f>
        <v>3</v>
      </c>
      <c r="H674" s="79">
        <f t="shared" si="1"/>
        <v>5</v>
      </c>
      <c r="I674" s="79">
        <f>COUNTIFS(Matches!$B:$B,$A674,Matches!$A:$A,CONCAT("&lt;",$E674))</f>
        <v>7</v>
      </c>
      <c r="J674" s="79">
        <f>COUNTIFS(Matches!$C:$C,$A674,Matches!$A:$A,CONCAT("&lt;",$E674))</f>
        <v>8</v>
      </c>
      <c r="K674" s="79">
        <f>COUNTIFS(Entropy!D:D,A674,Entropy!I:I,CONCAT("&lt;",E674-1))</f>
        <v>0</v>
      </c>
      <c r="L674" s="79">
        <f t="shared" si="2"/>
        <v>15</v>
      </c>
      <c r="M674" s="79">
        <f t="array" ref="M674">max(min(IF(J674+K674=11,0,XLOOKUP(B674,Quotas!$A$8:$A$14,Quotas!$E$8:$E$14)-$L674),2),0)</f>
        <v>0</v>
      </c>
      <c r="N674" s="31">
        <f t="shared" si="3"/>
        <v>0</v>
      </c>
    </row>
    <row r="675">
      <c r="A675" s="31" t="s">
        <v>246</v>
      </c>
      <c r="B675" s="9">
        <v>3.0</v>
      </c>
      <c r="C675" s="31" t="str">
        <f>VLOOKUP(A675, 'College List'!A:B, 2, FALSE)</f>
        <v>Witherbloom</v>
      </c>
      <c r="D675" s="355">
        <f>VLOOKUP(B675,Quotas!$A$8:$C$14,2,FALSE)</f>
        <v>46150.70833</v>
      </c>
      <c r="E675" s="356">
        <f>VLOOKUP(B675,Quotas!$A$8:$C$14,3,FALSE)</f>
        <v>46157.70833</v>
      </c>
      <c r="F675" s="79">
        <f>COUNTIFS(Matches!$B:$B,A675,Matches!$A:$A,CONCAT("&gt;",$D675),Matches!$A:$A,CONCAT("&lt;",$E675))</f>
        <v>1</v>
      </c>
      <c r="G675" s="79">
        <f>COUNTIFS(Matches!$C:$C,$A675,Matches!$A:$A,CONCAT("&gt;",$D675),Matches!$A:$A,CONCAT("&lt;",$E675))</f>
        <v>3</v>
      </c>
      <c r="H675" s="79">
        <f t="shared" si="1"/>
        <v>4</v>
      </c>
      <c r="I675" s="79">
        <f>COUNTIFS(Matches!$B:$B,$A675,Matches!$A:$A,CONCAT("&lt;",$E675))</f>
        <v>3</v>
      </c>
      <c r="J675" s="79">
        <f>COUNTIFS(Matches!$C:$C,$A675,Matches!$A:$A,CONCAT("&lt;",$E675))</f>
        <v>9</v>
      </c>
      <c r="K675" s="79">
        <f>COUNTIFS(Entropy!D:D,A675,Entropy!I:I,CONCAT("&lt;",E675-1))</f>
        <v>0</v>
      </c>
      <c r="L675" s="79">
        <f t="shared" si="2"/>
        <v>12</v>
      </c>
      <c r="M675" s="79">
        <f t="array" ref="M675">max(min(IF(J675+K675=11,0,XLOOKUP(B675,Quotas!$A$8:$A$14,Quotas!$E$8:$E$14)-$L675),2),0)</f>
        <v>2</v>
      </c>
      <c r="N675" s="31">
        <f t="shared" si="3"/>
        <v>1</v>
      </c>
    </row>
    <row r="676">
      <c r="A676" s="31" t="s">
        <v>362</v>
      </c>
      <c r="B676" s="9">
        <v>3.0</v>
      </c>
      <c r="C676" s="31" t="str">
        <f>VLOOKUP(A676, 'College List'!A:B, 2, FALSE)</f>
        <v>Witherbloom</v>
      </c>
      <c r="D676" s="355">
        <f>VLOOKUP(B676,Quotas!$A$8:$C$14,2,FALSE)</f>
        <v>46150.70833</v>
      </c>
      <c r="E676" s="356">
        <f>VLOOKUP(B676,Quotas!$A$8:$C$14,3,FALSE)</f>
        <v>46157.70833</v>
      </c>
      <c r="F676" s="79">
        <f>COUNTIFS(Matches!$B:$B,A676,Matches!$A:$A,CONCAT("&gt;",$D676),Matches!$A:$A,CONCAT("&lt;",$E676))</f>
        <v>0</v>
      </c>
      <c r="G676" s="79">
        <f>COUNTIFS(Matches!$C:$C,$A676,Matches!$A:$A,CONCAT("&gt;",$D676),Matches!$A:$A,CONCAT("&lt;",$E676))</f>
        <v>0</v>
      </c>
      <c r="H676" s="79">
        <f t="shared" si="1"/>
        <v>0</v>
      </c>
      <c r="I676" s="79">
        <f>COUNTIFS(Matches!$B:$B,$A676,Matches!$A:$A,CONCAT("&lt;",$E676))</f>
        <v>4</v>
      </c>
      <c r="J676" s="79">
        <f>COUNTIFS(Matches!$C:$C,$A676,Matches!$A:$A,CONCAT("&lt;",$E676))</f>
        <v>4</v>
      </c>
      <c r="K676" s="79">
        <f>COUNTIFS(Entropy!D:D,A676,Entropy!I:I,CONCAT("&lt;",E676-1))</f>
        <v>0</v>
      </c>
      <c r="L676" s="79">
        <f t="shared" si="2"/>
        <v>8</v>
      </c>
      <c r="M676" s="79">
        <f t="array" ref="M676">max(min(IF(J676+K676=11,0,XLOOKUP(B676,Quotas!$A$8:$A$14,Quotas!$E$8:$E$14)-$L676),2),0)</f>
        <v>2</v>
      </c>
      <c r="N676" s="31">
        <f t="shared" si="3"/>
        <v>0</v>
      </c>
    </row>
    <row r="677">
      <c r="A677" s="31" t="s">
        <v>266</v>
      </c>
      <c r="B677" s="9">
        <v>3.0</v>
      </c>
      <c r="C677" s="31" t="str">
        <f>VLOOKUP(A677, 'College List'!A:B, 2, FALSE)</f>
        <v>Prismari</v>
      </c>
      <c r="D677" s="355">
        <f>VLOOKUP(B677,Quotas!$A$8:$C$14,2,FALSE)</f>
        <v>46150.70833</v>
      </c>
      <c r="E677" s="356">
        <f>VLOOKUP(B677,Quotas!$A$8:$C$14,3,FALSE)</f>
        <v>46157.70833</v>
      </c>
      <c r="F677" s="79">
        <f>COUNTIFS(Matches!$B:$B,A677,Matches!$A:$A,CONCAT("&gt;",$D677),Matches!$A:$A,CONCAT("&lt;",$E677))</f>
        <v>1</v>
      </c>
      <c r="G677" s="79">
        <f>COUNTIFS(Matches!$C:$C,$A677,Matches!$A:$A,CONCAT("&gt;",$D677),Matches!$A:$A,CONCAT("&lt;",$E677))</f>
        <v>3</v>
      </c>
      <c r="H677" s="79">
        <f t="shared" si="1"/>
        <v>4</v>
      </c>
      <c r="I677" s="79">
        <f>COUNTIFS(Matches!$B:$B,$A677,Matches!$A:$A,CONCAT("&lt;",$E677))</f>
        <v>7</v>
      </c>
      <c r="J677" s="79">
        <f>COUNTIFS(Matches!$C:$C,$A677,Matches!$A:$A,CONCAT("&lt;",$E677))</f>
        <v>7</v>
      </c>
      <c r="K677" s="79">
        <f>COUNTIFS(Entropy!D:D,A677,Entropy!I:I,CONCAT("&lt;",E677-1))</f>
        <v>0</v>
      </c>
      <c r="L677" s="79">
        <f t="shared" si="2"/>
        <v>14</v>
      </c>
      <c r="M677" s="79">
        <f t="array" ref="M677">max(min(IF(J677+K677=11,0,XLOOKUP(B677,Quotas!$A$8:$A$14,Quotas!$E$8:$E$14)-$L677),2),0)</f>
        <v>1</v>
      </c>
      <c r="N677" s="31">
        <f t="shared" si="3"/>
        <v>0.5</v>
      </c>
    </row>
    <row r="678">
      <c r="A678" s="31" t="s">
        <v>166</v>
      </c>
      <c r="B678" s="9">
        <v>3.0</v>
      </c>
      <c r="C678" s="31" t="str">
        <f>VLOOKUP(A678, 'College List'!A:B, 2, FALSE)</f>
        <v>Lorehold</v>
      </c>
      <c r="D678" s="355">
        <f>VLOOKUP(B678,Quotas!$A$8:$C$14,2,FALSE)</f>
        <v>46150.70833</v>
      </c>
      <c r="E678" s="356">
        <f>VLOOKUP(B678,Quotas!$A$8:$C$14,3,FALSE)</f>
        <v>46157.70833</v>
      </c>
      <c r="F678" s="79">
        <f>COUNTIFS(Matches!$B:$B,A678,Matches!$A:$A,CONCAT("&gt;",$D678),Matches!$A:$A,CONCAT("&lt;",$E678))</f>
        <v>3</v>
      </c>
      <c r="G678" s="79">
        <f>COUNTIFS(Matches!$C:$C,$A678,Matches!$A:$A,CONCAT("&gt;",$D678),Matches!$A:$A,CONCAT("&lt;",$E678))</f>
        <v>2</v>
      </c>
      <c r="H678" s="79">
        <f t="shared" si="1"/>
        <v>5</v>
      </c>
      <c r="I678" s="79">
        <f>COUNTIFS(Matches!$B:$B,$A678,Matches!$A:$A,CONCAT("&lt;",$E678))</f>
        <v>9</v>
      </c>
      <c r="J678" s="79">
        <f>COUNTIFS(Matches!$C:$C,$A678,Matches!$A:$A,CONCAT("&lt;",$E678))</f>
        <v>6</v>
      </c>
      <c r="K678" s="79">
        <f>COUNTIFS(Entropy!D:D,A678,Entropy!I:I,CONCAT("&lt;",E678-1))</f>
        <v>0</v>
      </c>
      <c r="L678" s="79">
        <f t="shared" si="2"/>
        <v>15</v>
      </c>
      <c r="M678" s="79">
        <f t="array" ref="M678">max(min(IF(J678+K678=11,0,XLOOKUP(B678,Quotas!$A$8:$A$14,Quotas!$E$8:$E$14)-$L678),2),0)</f>
        <v>0</v>
      </c>
      <c r="N678" s="31">
        <f t="shared" si="3"/>
        <v>0</v>
      </c>
    </row>
    <row r="679">
      <c r="A679" s="31" t="s">
        <v>131</v>
      </c>
      <c r="B679" s="9">
        <v>3.0</v>
      </c>
      <c r="C679" s="31" t="str">
        <f>VLOOKUP(A679, 'College List'!A:B, 2, FALSE)</f>
        <v>Lorehold</v>
      </c>
      <c r="D679" s="355">
        <f>VLOOKUP(B679,Quotas!$A$8:$C$14,2,FALSE)</f>
        <v>46150.70833</v>
      </c>
      <c r="E679" s="356">
        <f>VLOOKUP(B679,Quotas!$A$8:$C$14,3,FALSE)</f>
        <v>46157.70833</v>
      </c>
      <c r="F679" s="79">
        <f>COUNTIFS(Matches!$B:$B,A679,Matches!$A:$A,CONCAT("&gt;",$D679),Matches!$A:$A,CONCAT("&lt;",$E679))</f>
        <v>0</v>
      </c>
      <c r="G679" s="79">
        <f>COUNTIFS(Matches!$C:$C,$A679,Matches!$A:$A,CONCAT("&gt;",$D679),Matches!$A:$A,CONCAT("&lt;",$E679))</f>
        <v>0</v>
      </c>
      <c r="H679" s="79">
        <f t="shared" si="1"/>
        <v>0</v>
      </c>
      <c r="I679" s="79">
        <f>COUNTIFS(Matches!$B:$B,$A679,Matches!$A:$A,CONCAT("&lt;",$E679))</f>
        <v>5</v>
      </c>
      <c r="J679" s="79">
        <f>COUNTIFS(Matches!$C:$C,$A679,Matches!$A:$A,CONCAT("&lt;",$E679))</f>
        <v>5</v>
      </c>
      <c r="K679" s="79">
        <f>COUNTIFS(Entropy!D:D,A679,Entropy!I:I,CONCAT("&lt;",E679-1))</f>
        <v>0</v>
      </c>
      <c r="L679" s="79">
        <f t="shared" si="2"/>
        <v>10</v>
      </c>
      <c r="M679" s="79">
        <f t="array" ref="M679">max(min(IF(J679+K679=11,0,XLOOKUP(B679,Quotas!$A$8:$A$14,Quotas!$E$8:$E$14)-$L679),2),0)</f>
        <v>2</v>
      </c>
      <c r="N679" s="31">
        <f t="shared" si="3"/>
        <v>0</v>
      </c>
    </row>
    <row r="680">
      <c r="A680" s="31" t="s">
        <v>275</v>
      </c>
      <c r="B680" s="9">
        <v>3.0</v>
      </c>
      <c r="C680" s="31" t="str">
        <f>VLOOKUP(A680, 'College List'!A:B, 2, FALSE)</f>
        <v>Lorehold</v>
      </c>
      <c r="D680" s="355">
        <f>VLOOKUP(B680,Quotas!$A$8:$C$14,2,FALSE)</f>
        <v>46150.70833</v>
      </c>
      <c r="E680" s="356">
        <f>VLOOKUP(B680,Quotas!$A$8:$C$14,3,FALSE)</f>
        <v>46157.70833</v>
      </c>
      <c r="F680" s="79">
        <f>COUNTIFS(Matches!$B:$B,A680,Matches!$A:$A,CONCAT("&gt;",$D680),Matches!$A:$A,CONCAT("&lt;",$E680))</f>
        <v>0</v>
      </c>
      <c r="G680" s="79">
        <f>COUNTIFS(Matches!$C:$C,$A680,Matches!$A:$A,CONCAT("&gt;",$D680),Matches!$A:$A,CONCAT("&lt;",$E680))</f>
        <v>0</v>
      </c>
      <c r="H680" s="79">
        <f t="shared" si="1"/>
        <v>0</v>
      </c>
      <c r="I680" s="79">
        <f>COUNTIFS(Matches!$B:$B,$A680,Matches!$A:$A,CONCAT("&lt;",$E680))</f>
        <v>3</v>
      </c>
      <c r="J680" s="79">
        <f>COUNTIFS(Matches!$C:$C,$A680,Matches!$A:$A,CONCAT("&lt;",$E680))</f>
        <v>5</v>
      </c>
      <c r="K680" s="79">
        <f>COUNTIFS(Entropy!D:D,A680,Entropy!I:I,CONCAT("&lt;",E680-1))</f>
        <v>0</v>
      </c>
      <c r="L680" s="79">
        <f t="shared" si="2"/>
        <v>8</v>
      </c>
      <c r="M680" s="79">
        <f t="array" ref="M680">max(min(IF(J680+K680=11,0,XLOOKUP(B680,Quotas!$A$8:$A$14,Quotas!$E$8:$E$14)-$L680),2),0)</f>
        <v>2</v>
      </c>
      <c r="N680" s="31">
        <f t="shared" si="3"/>
        <v>0</v>
      </c>
    </row>
    <row r="681">
      <c r="A681" s="31" t="s">
        <v>300</v>
      </c>
      <c r="B681" s="9">
        <v>3.0</v>
      </c>
      <c r="C681" s="31" t="str">
        <f>VLOOKUP(A681, 'College List'!A:B, 2, FALSE)</f>
        <v>Prismari</v>
      </c>
      <c r="D681" s="355">
        <f>VLOOKUP(B681,Quotas!$A$8:$C$14,2,FALSE)</f>
        <v>46150.70833</v>
      </c>
      <c r="E681" s="356">
        <f>VLOOKUP(B681,Quotas!$A$8:$C$14,3,FALSE)</f>
        <v>46157.70833</v>
      </c>
      <c r="F681" s="79">
        <f>COUNTIFS(Matches!$B:$B,A681,Matches!$A:$A,CONCAT("&gt;",$D681),Matches!$A:$A,CONCAT("&lt;",$E681))</f>
        <v>3</v>
      </c>
      <c r="G681" s="79">
        <f>COUNTIFS(Matches!$C:$C,$A681,Matches!$A:$A,CONCAT("&gt;",$D681),Matches!$A:$A,CONCAT("&lt;",$E681))</f>
        <v>2</v>
      </c>
      <c r="H681" s="79">
        <f t="shared" si="1"/>
        <v>5</v>
      </c>
      <c r="I681" s="79">
        <f>COUNTIFS(Matches!$B:$B,$A681,Matches!$A:$A,CONCAT("&lt;",$E681))</f>
        <v>6</v>
      </c>
      <c r="J681" s="79">
        <f>COUNTIFS(Matches!$C:$C,$A681,Matches!$A:$A,CONCAT("&lt;",$E681))</f>
        <v>9</v>
      </c>
      <c r="K681" s="79">
        <f>COUNTIFS(Entropy!D:D,A681,Entropy!I:I,CONCAT("&lt;",E681-1))</f>
        <v>0</v>
      </c>
      <c r="L681" s="79">
        <f t="shared" si="2"/>
        <v>15</v>
      </c>
      <c r="M681" s="79">
        <f t="array" ref="M681">max(min(IF(J681+K681=11,0,XLOOKUP(B681,Quotas!$A$8:$A$14,Quotas!$E$8:$E$14)-$L681),2),0)</f>
        <v>0</v>
      </c>
      <c r="N681" s="31">
        <f t="shared" si="3"/>
        <v>0</v>
      </c>
    </row>
    <row r="682">
      <c r="A682" s="31" t="s">
        <v>287</v>
      </c>
      <c r="B682" s="9">
        <v>3.0</v>
      </c>
      <c r="C682" s="31" t="str">
        <f>VLOOKUP(A682, 'College List'!A:B, 2, FALSE)</f>
        <v>Silverquill</v>
      </c>
      <c r="D682" s="355">
        <f>VLOOKUP(B682,Quotas!$A$8:$C$14,2,FALSE)</f>
        <v>46150.70833</v>
      </c>
      <c r="E682" s="356">
        <f>VLOOKUP(B682,Quotas!$A$8:$C$14,3,FALSE)</f>
        <v>46157.70833</v>
      </c>
      <c r="F682" s="79">
        <f>COUNTIFS(Matches!$B:$B,A682,Matches!$A:$A,CONCAT("&gt;",$D682),Matches!$A:$A,CONCAT("&lt;",$E682))</f>
        <v>3</v>
      </c>
      <c r="G682" s="79">
        <f>COUNTIFS(Matches!$C:$C,$A682,Matches!$A:$A,CONCAT("&gt;",$D682),Matches!$A:$A,CONCAT("&lt;",$E682))</f>
        <v>2</v>
      </c>
      <c r="H682" s="79">
        <f t="shared" si="1"/>
        <v>5</v>
      </c>
      <c r="I682" s="79">
        <f>COUNTIFS(Matches!$B:$B,$A682,Matches!$A:$A,CONCAT("&lt;",$E682))</f>
        <v>9</v>
      </c>
      <c r="J682" s="79">
        <f>COUNTIFS(Matches!$C:$C,$A682,Matches!$A:$A,CONCAT("&lt;",$E682))</f>
        <v>6</v>
      </c>
      <c r="K682" s="79">
        <f>COUNTIFS(Entropy!D:D,A682,Entropy!I:I,CONCAT("&lt;",E682-1))</f>
        <v>0</v>
      </c>
      <c r="L682" s="79">
        <f t="shared" si="2"/>
        <v>15</v>
      </c>
      <c r="M682" s="79">
        <f t="array" ref="M682">max(min(IF(J682+K682=11,0,XLOOKUP(B682,Quotas!$A$8:$A$14,Quotas!$E$8:$E$14)-$L682),2),0)</f>
        <v>0</v>
      </c>
      <c r="N682" s="31">
        <f t="shared" si="3"/>
        <v>0</v>
      </c>
    </row>
    <row r="683">
      <c r="A683" s="31" t="s">
        <v>254</v>
      </c>
      <c r="B683" s="9">
        <v>3.0</v>
      </c>
      <c r="C683" s="31" t="str">
        <f>VLOOKUP(A683, 'College List'!A:B, 2, FALSE)</f>
        <v>Prismari</v>
      </c>
      <c r="D683" s="355">
        <f>VLOOKUP(B683,Quotas!$A$8:$C$14,2,FALSE)</f>
        <v>46150.70833</v>
      </c>
      <c r="E683" s="356">
        <f>VLOOKUP(B683,Quotas!$A$8:$C$14,3,FALSE)</f>
        <v>46157.70833</v>
      </c>
      <c r="F683" s="79">
        <f>COUNTIFS(Matches!$B:$B,A683,Matches!$A:$A,CONCAT("&gt;",$D683),Matches!$A:$A,CONCAT("&lt;",$E683))</f>
        <v>2</v>
      </c>
      <c r="G683" s="79">
        <f>COUNTIFS(Matches!$C:$C,$A683,Matches!$A:$A,CONCAT("&gt;",$D683),Matches!$A:$A,CONCAT("&lt;",$E683))</f>
        <v>3</v>
      </c>
      <c r="H683" s="79">
        <f t="shared" si="1"/>
        <v>5</v>
      </c>
      <c r="I683" s="79">
        <f>COUNTIFS(Matches!$B:$B,$A683,Matches!$A:$A,CONCAT("&lt;",$E683))</f>
        <v>10</v>
      </c>
      <c r="J683" s="79">
        <f>COUNTIFS(Matches!$C:$C,$A683,Matches!$A:$A,CONCAT("&lt;",$E683))</f>
        <v>5</v>
      </c>
      <c r="K683" s="79">
        <f>COUNTIFS(Entropy!D:D,A683,Entropy!I:I,CONCAT("&lt;",E683-1))</f>
        <v>0</v>
      </c>
      <c r="L683" s="79">
        <f t="shared" si="2"/>
        <v>15</v>
      </c>
      <c r="M683" s="79">
        <f t="array" ref="M683">max(min(IF(J683+K683=11,0,XLOOKUP(B683,Quotas!$A$8:$A$14,Quotas!$E$8:$E$14)-$L683),2),0)</f>
        <v>0</v>
      </c>
      <c r="N683" s="31">
        <f t="shared" si="3"/>
        <v>0</v>
      </c>
    </row>
    <row r="684">
      <c r="A684" s="31" t="s">
        <v>337</v>
      </c>
      <c r="B684" s="9">
        <v>3.0</v>
      </c>
      <c r="C684" s="31" t="str">
        <f>VLOOKUP(A684, 'College List'!A:B, 2, FALSE)</f>
        <v>Lorehold</v>
      </c>
      <c r="D684" s="355">
        <f>VLOOKUP(B684,Quotas!$A$8:$C$14,2,FALSE)</f>
        <v>46150.70833</v>
      </c>
      <c r="E684" s="356">
        <f>VLOOKUP(B684,Quotas!$A$8:$C$14,3,FALSE)</f>
        <v>46157.70833</v>
      </c>
      <c r="F684" s="79">
        <f>COUNTIFS(Matches!$B:$B,A684,Matches!$A:$A,CONCAT("&gt;",$D684),Matches!$A:$A,CONCAT("&lt;",$E684))</f>
        <v>2</v>
      </c>
      <c r="G684" s="79">
        <f>COUNTIFS(Matches!$C:$C,$A684,Matches!$A:$A,CONCAT("&gt;",$D684),Matches!$A:$A,CONCAT("&lt;",$E684))</f>
        <v>3</v>
      </c>
      <c r="H684" s="79">
        <f t="shared" si="1"/>
        <v>5</v>
      </c>
      <c r="I684" s="79">
        <f>COUNTIFS(Matches!$B:$B,$A684,Matches!$A:$A,CONCAT("&lt;",$E684))</f>
        <v>6</v>
      </c>
      <c r="J684" s="79">
        <f>COUNTIFS(Matches!$C:$C,$A684,Matches!$A:$A,CONCAT("&lt;",$E684))</f>
        <v>9</v>
      </c>
      <c r="K684" s="79">
        <f>COUNTIFS(Entropy!D:D,A684,Entropy!I:I,CONCAT("&lt;",E684-1))</f>
        <v>0</v>
      </c>
      <c r="L684" s="79">
        <f t="shared" si="2"/>
        <v>15</v>
      </c>
      <c r="M684" s="79">
        <f t="array" ref="M684">max(min(IF(J684+K684=11,0,XLOOKUP(B684,Quotas!$A$8:$A$14,Quotas!$E$8:$E$14)-$L684),2),0)</f>
        <v>0</v>
      </c>
      <c r="N684" s="31">
        <f t="shared" si="3"/>
        <v>0</v>
      </c>
    </row>
    <row r="685">
      <c r="A685" s="31" t="s">
        <v>374</v>
      </c>
      <c r="B685" s="9">
        <v>3.0</v>
      </c>
      <c r="C685" s="31" t="str">
        <f>VLOOKUP(A685, 'College List'!A:B, 2, FALSE)</f>
        <v>Prismari</v>
      </c>
      <c r="D685" s="355">
        <f>VLOOKUP(B685,Quotas!$A$8:$C$14,2,FALSE)</f>
        <v>46150.70833</v>
      </c>
      <c r="E685" s="356">
        <f>VLOOKUP(B685,Quotas!$A$8:$C$14,3,FALSE)</f>
        <v>46157.70833</v>
      </c>
      <c r="F685" s="79">
        <f>COUNTIFS(Matches!$B:$B,A685,Matches!$A:$A,CONCAT("&gt;",$D685),Matches!$A:$A,CONCAT("&lt;",$E685))</f>
        <v>3</v>
      </c>
      <c r="G685" s="79">
        <f>COUNTIFS(Matches!$C:$C,$A685,Matches!$A:$A,CONCAT("&gt;",$D685),Matches!$A:$A,CONCAT("&lt;",$E685))</f>
        <v>2</v>
      </c>
      <c r="H685" s="79">
        <f t="shared" si="1"/>
        <v>5</v>
      </c>
      <c r="I685" s="79">
        <f>COUNTIFS(Matches!$B:$B,$A685,Matches!$A:$A,CONCAT("&lt;",$E685))</f>
        <v>6</v>
      </c>
      <c r="J685" s="79">
        <f>COUNTIFS(Matches!$C:$C,$A685,Matches!$A:$A,CONCAT("&lt;",$E685))</f>
        <v>7</v>
      </c>
      <c r="K685" s="79">
        <f>COUNTIFS(Entropy!D:D,A685,Entropy!I:I,CONCAT("&lt;",E685-1))</f>
        <v>0</v>
      </c>
      <c r="L685" s="79">
        <f t="shared" si="2"/>
        <v>13</v>
      </c>
      <c r="M685" s="79">
        <f t="array" ref="M685">max(min(IF(J685+K685=11,0,XLOOKUP(B685,Quotas!$A$8:$A$14,Quotas!$E$8:$E$14)-$L685),2),0)</f>
        <v>2</v>
      </c>
      <c r="N685" s="31">
        <f t="shared" si="3"/>
        <v>1</v>
      </c>
    </row>
    <row r="686">
      <c r="A686" s="31" t="s">
        <v>318</v>
      </c>
      <c r="B686" s="9">
        <v>3.0</v>
      </c>
      <c r="C686" s="31" t="str">
        <f>VLOOKUP(A686, 'College List'!A:B, 2, FALSE)</f>
        <v>Quandrix</v>
      </c>
      <c r="D686" s="355">
        <f>VLOOKUP(B686,Quotas!$A$8:$C$14,2,FALSE)</f>
        <v>46150.70833</v>
      </c>
      <c r="E686" s="356">
        <f>VLOOKUP(B686,Quotas!$A$8:$C$14,3,FALSE)</f>
        <v>46157.70833</v>
      </c>
      <c r="F686" s="79">
        <f>COUNTIFS(Matches!$B:$B,A686,Matches!$A:$A,CONCAT("&gt;",$D686),Matches!$A:$A,CONCAT("&lt;",$E686))</f>
        <v>3</v>
      </c>
      <c r="G686" s="79">
        <f>COUNTIFS(Matches!$C:$C,$A686,Matches!$A:$A,CONCAT("&gt;",$D686),Matches!$A:$A,CONCAT("&lt;",$E686))</f>
        <v>2</v>
      </c>
      <c r="H686" s="79">
        <f t="shared" si="1"/>
        <v>5</v>
      </c>
      <c r="I686" s="79">
        <f>COUNTIFS(Matches!$B:$B,$A686,Matches!$A:$A,CONCAT("&lt;",$E686))</f>
        <v>6</v>
      </c>
      <c r="J686" s="79">
        <f>COUNTIFS(Matches!$C:$C,$A686,Matches!$A:$A,CONCAT("&lt;",$E686))</f>
        <v>9</v>
      </c>
      <c r="K686" s="79">
        <f>COUNTIFS(Entropy!D:D,A686,Entropy!I:I,CONCAT("&lt;",E686-1))</f>
        <v>0</v>
      </c>
      <c r="L686" s="79">
        <f t="shared" si="2"/>
        <v>15</v>
      </c>
      <c r="M686" s="79">
        <f t="array" ref="M686">max(min(IF(J686+K686=11,0,XLOOKUP(B686,Quotas!$A$8:$A$14,Quotas!$E$8:$E$14)-$L686),2),0)</f>
        <v>0</v>
      </c>
      <c r="N686" s="31">
        <f t="shared" si="3"/>
        <v>0</v>
      </c>
    </row>
    <row r="687">
      <c r="A687" s="31" t="s">
        <v>259</v>
      </c>
      <c r="B687" s="9">
        <v>3.0</v>
      </c>
      <c r="C687" s="31" t="str">
        <f>VLOOKUP(A687, 'College List'!A:B, 2, FALSE)</f>
        <v>Lorehold</v>
      </c>
      <c r="D687" s="355">
        <f>VLOOKUP(B687,Quotas!$A$8:$C$14,2,FALSE)</f>
        <v>46150.70833</v>
      </c>
      <c r="E687" s="356">
        <f>VLOOKUP(B687,Quotas!$A$8:$C$14,3,FALSE)</f>
        <v>46157.70833</v>
      </c>
      <c r="F687" s="79">
        <f>COUNTIFS(Matches!$B:$B,A687,Matches!$A:$A,CONCAT("&gt;",$D687),Matches!$A:$A,CONCAT("&lt;",$E687))</f>
        <v>2</v>
      </c>
      <c r="G687" s="79">
        <f>COUNTIFS(Matches!$C:$C,$A687,Matches!$A:$A,CONCAT("&gt;",$D687),Matches!$A:$A,CONCAT("&lt;",$E687))</f>
        <v>3</v>
      </c>
      <c r="H687" s="79">
        <f t="shared" si="1"/>
        <v>5</v>
      </c>
      <c r="I687" s="79">
        <f>COUNTIFS(Matches!$B:$B,$A687,Matches!$A:$A,CONCAT("&lt;",$E687))</f>
        <v>8</v>
      </c>
      <c r="J687" s="79">
        <f>COUNTIFS(Matches!$C:$C,$A687,Matches!$A:$A,CONCAT("&lt;",$E687))</f>
        <v>7</v>
      </c>
      <c r="K687" s="79">
        <f>COUNTIFS(Entropy!D:D,A687,Entropy!I:I,CONCAT("&lt;",E687-1))</f>
        <v>0</v>
      </c>
      <c r="L687" s="79">
        <f t="shared" si="2"/>
        <v>15</v>
      </c>
      <c r="M687" s="79">
        <f t="array" ref="M687">max(min(IF(J687+K687=11,0,XLOOKUP(B687,Quotas!$A$8:$A$14,Quotas!$E$8:$E$14)-$L687),2),0)</f>
        <v>0</v>
      </c>
      <c r="N687" s="31">
        <f t="shared" si="3"/>
        <v>0</v>
      </c>
    </row>
    <row r="688">
      <c r="A688" s="31" t="s">
        <v>280</v>
      </c>
      <c r="B688" s="9">
        <v>3.0</v>
      </c>
      <c r="C688" s="31" t="str">
        <f>VLOOKUP(A688, 'College List'!A:B, 2, FALSE)</f>
        <v>Lorehold</v>
      </c>
      <c r="D688" s="355">
        <f>VLOOKUP(B688,Quotas!$A$8:$C$14,2,FALSE)</f>
        <v>46150.70833</v>
      </c>
      <c r="E688" s="356">
        <f>VLOOKUP(B688,Quotas!$A$8:$C$14,3,FALSE)</f>
        <v>46157.70833</v>
      </c>
      <c r="F688" s="79">
        <f>COUNTIFS(Matches!$B:$B,A688,Matches!$A:$A,CONCAT("&gt;",$D688),Matches!$A:$A,CONCAT("&lt;",$E688))</f>
        <v>2</v>
      </c>
      <c r="G688" s="79">
        <f>COUNTIFS(Matches!$C:$C,$A688,Matches!$A:$A,CONCAT("&gt;",$D688),Matches!$A:$A,CONCAT("&lt;",$E688))</f>
        <v>3</v>
      </c>
      <c r="H688" s="79">
        <f t="shared" si="1"/>
        <v>5</v>
      </c>
      <c r="I688" s="79">
        <f>COUNTIFS(Matches!$B:$B,$A688,Matches!$A:$A,CONCAT("&lt;",$E688))</f>
        <v>6</v>
      </c>
      <c r="J688" s="79">
        <f>COUNTIFS(Matches!$C:$C,$A688,Matches!$A:$A,CONCAT("&lt;",$E688))</f>
        <v>9</v>
      </c>
      <c r="K688" s="79">
        <f>COUNTIFS(Entropy!D:D,A688,Entropy!I:I,CONCAT("&lt;",E688-1))</f>
        <v>0</v>
      </c>
      <c r="L688" s="79">
        <f t="shared" si="2"/>
        <v>15</v>
      </c>
      <c r="M688" s="79">
        <f t="array" ref="M688">max(min(IF(J688+K688=11,0,XLOOKUP(B688,Quotas!$A$8:$A$14,Quotas!$E$8:$E$14)-$L688),2),0)</f>
        <v>0</v>
      </c>
      <c r="N688" s="31">
        <f t="shared" si="3"/>
        <v>0</v>
      </c>
    </row>
    <row r="689">
      <c r="A689" s="31" t="s">
        <v>183</v>
      </c>
      <c r="B689" s="9">
        <v>3.0</v>
      </c>
      <c r="C689" s="31" t="str">
        <f>VLOOKUP(A689, 'College List'!A:B, 2, FALSE)</f>
        <v>Prismari</v>
      </c>
      <c r="D689" s="355">
        <f>VLOOKUP(B689,Quotas!$A$8:$C$14,2,FALSE)</f>
        <v>46150.70833</v>
      </c>
      <c r="E689" s="356">
        <f>VLOOKUP(B689,Quotas!$A$8:$C$14,3,FALSE)</f>
        <v>46157.70833</v>
      </c>
      <c r="F689" s="79">
        <f>COUNTIFS(Matches!$B:$B,A689,Matches!$A:$A,CONCAT("&gt;",$D689),Matches!$A:$A,CONCAT("&lt;",$E689))</f>
        <v>2</v>
      </c>
      <c r="G689" s="79">
        <f>COUNTIFS(Matches!$C:$C,$A689,Matches!$A:$A,CONCAT("&gt;",$D689),Matches!$A:$A,CONCAT("&lt;",$E689))</f>
        <v>3</v>
      </c>
      <c r="H689" s="79">
        <f t="shared" si="1"/>
        <v>5</v>
      </c>
      <c r="I689" s="79">
        <f>COUNTIFS(Matches!$B:$B,$A689,Matches!$A:$A,CONCAT("&lt;",$E689))</f>
        <v>9</v>
      </c>
      <c r="J689" s="79">
        <f>COUNTIFS(Matches!$C:$C,$A689,Matches!$A:$A,CONCAT("&lt;",$E689))</f>
        <v>6</v>
      </c>
      <c r="K689" s="79">
        <f>COUNTIFS(Entropy!D:D,A689,Entropy!I:I,CONCAT("&lt;",E689-1))</f>
        <v>0</v>
      </c>
      <c r="L689" s="79">
        <f t="shared" si="2"/>
        <v>15</v>
      </c>
      <c r="M689" s="79">
        <f t="array" ref="M689">max(min(IF(J689+K689=11,0,XLOOKUP(B689,Quotas!$A$8:$A$14,Quotas!$E$8:$E$14)-$L689),2),0)</f>
        <v>0</v>
      </c>
      <c r="N689" s="31">
        <f t="shared" si="3"/>
        <v>0</v>
      </c>
    </row>
    <row r="690">
      <c r="A690" s="31" t="s">
        <v>639</v>
      </c>
      <c r="B690" s="9">
        <v>3.0</v>
      </c>
      <c r="C690" s="31" t="str">
        <f>VLOOKUP(A690, 'College List'!A:B, 2, FALSE)</f>
        <v>Silverquill</v>
      </c>
      <c r="D690" s="355">
        <f>VLOOKUP(B690,Quotas!$A$8:$C$14,2,FALSE)</f>
        <v>46150.70833</v>
      </c>
      <c r="E690" s="356">
        <f>VLOOKUP(B690,Quotas!$A$8:$C$14,3,FALSE)</f>
        <v>46157.70833</v>
      </c>
      <c r="F690" s="79">
        <f>COUNTIFS(Matches!$B:$B,A690,Matches!$A:$A,CONCAT("&gt;",$D690),Matches!$A:$A,CONCAT("&lt;",$E690))</f>
        <v>0</v>
      </c>
      <c r="G690" s="79">
        <f>COUNTIFS(Matches!$C:$C,$A690,Matches!$A:$A,CONCAT("&gt;",$D690),Matches!$A:$A,CONCAT("&lt;",$E690))</f>
        <v>0</v>
      </c>
      <c r="H690" s="79">
        <f t="shared" si="1"/>
        <v>0</v>
      </c>
      <c r="I690" s="79">
        <f>COUNTIFS(Matches!$B:$B,$A690,Matches!$A:$A,CONCAT("&lt;",$E690))</f>
        <v>0</v>
      </c>
      <c r="J690" s="79">
        <f>COUNTIFS(Matches!$C:$C,$A690,Matches!$A:$A,CONCAT("&lt;",$E690))</f>
        <v>0</v>
      </c>
      <c r="K690" s="79">
        <f>COUNTIFS(Entropy!D:D,A690,Entropy!I:I,CONCAT("&lt;",E690-1))</f>
        <v>8</v>
      </c>
      <c r="L690" s="79">
        <f t="shared" si="2"/>
        <v>8</v>
      </c>
      <c r="M690" s="79">
        <f t="array" ref="M690">max(min(IF(J690+K690=11,0,XLOOKUP(B690,Quotas!$A$8:$A$14,Quotas!$E$8:$E$14)-$L690),2),0)</f>
        <v>2</v>
      </c>
      <c r="N690" s="31">
        <f t="shared" si="3"/>
        <v>0</v>
      </c>
    </row>
    <row r="691">
      <c r="A691" s="31" t="s">
        <v>152</v>
      </c>
      <c r="B691" s="9">
        <v>3.0</v>
      </c>
      <c r="C691" s="31" t="str">
        <f>VLOOKUP(A691, 'College List'!A:B, 2, FALSE)</f>
        <v>Quandrix</v>
      </c>
      <c r="D691" s="355">
        <f>VLOOKUP(B691,Quotas!$A$8:$C$14,2,FALSE)</f>
        <v>46150.70833</v>
      </c>
      <c r="E691" s="356">
        <f>VLOOKUP(B691,Quotas!$A$8:$C$14,3,FALSE)</f>
        <v>46157.70833</v>
      </c>
      <c r="F691" s="79">
        <f>COUNTIFS(Matches!$B:$B,A691,Matches!$A:$A,CONCAT("&gt;",$D691),Matches!$A:$A,CONCAT("&lt;",$E691))</f>
        <v>3</v>
      </c>
      <c r="G691" s="79">
        <f>COUNTIFS(Matches!$C:$C,$A691,Matches!$A:$A,CONCAT("&gt;",$D691),Matches!$A:$A,CONCAT("&lt;",$E691))</f>
        <v>2</v>
      </c>
      <c r="H691" s="79">
        <f t="shared" si="1"/>
        <v>5</v>
      </c>
      <c r="I691" s="79">
        <f>COUNTIFS(Matches!$B:$B,$A691,Matches!$A:$A,CONCAT("&lt;",$E691))</f>
        <v>6</v>
      </c>
      <c r="J691" s="79">
        <f>COUNTIFS(Matches!$C:$C,$A691,Matches!$A:$A,CONCAT("&lt;",$E691))</f>
        <v>9</v>
      </c>
      <c r="K691" s="79">
        <f>COUNTIFS(Entropy!D:D,A691,Entropy!I:I,CONCAT("&lt;",E691-1))</f>
        <v>0</v>
      </c>
      <c r="L691" s="79">
        <f t="shared" si="2"/>
        <v>15</v>
      </c>
      <c r="M691" s="79">
        <f t="array" ref="M691">max(min(IF(J691+K691=11,0,XLOOKUP(B691,Quotas!$A$8:$A$14,Quotas!$E$8:$E$14)-$L691),2),0)</f>
        <v>0</v>
      </c>
      <c r="N691" s="31">
        <f t="shared" si="3"/>
        <v>0</v>
      </c>
    </row>
    <row r="692">
      <c r="A692" s="31" t="s">
        <v>218</v>
      </c>
      <c r="B692" s="9">
        <v>3.0</v>
      </c>
      <c r="C692" s="31" t="str">
        <f>VLOOKUP(A692, 'College List'!A:B, 2, FALSE)</f>
        <v>Silverquill</v>
      </c>
      <c r="D692" s="355">
        <f>VLOOKUP(B692,Quotas!$A$8:$C$14,2,FALSE)</f>
        <v>46150.70833</v>
      </c>
      <c r="E692" s="356">
        <f>VLOOKUP(B692,Quotas!$A$8:$C$14,3,FALSE)</f>
        <v>46157.70833</v>
      </c>
      <c r="F692" s="79">
        <f>COUNTIFS(Matches!$B:$B,A692,Matches!$A:$A,CONCAT("&gt;",$D692),Matches!$A:$A,CONCAT("&lt;",$E692))</f>
        <v>4</v>
      </c>
      <c r="G692" s="79">
        <f>COUNTIFS(Matches!$C:$C,$A692,Matches!$A:$A,CONCAT("&gt;",$D692),Matches!$A:$A,CONCAT("&lt;",$E692))</f>
        <v>1</v>
      </c>
      <c r="H692" s="79">
        <f t="shared" si="1"/>
        <v>5</v>
      </c>
      <c r="I692" s="79">
        <f>COUNTIFS(Matches!$B:$B,$A692,Matches!$A:$A,CONCAT("&lt;",$E692))</f>
        <v>11</v>
      </c>
      <c r="J692" s="79">
        <f>COUNTIFS(Matches!$C:$C,$A692,Matches!$A:$A,CONCAT("&lt;",$E692))</f>
        <v>4</v>
      </c>
      <c r="K692" s="79">
        <f>COUNTIFS(Entropy!D:D,A692,Entropy!I:I,CONCAT("&lt;",E692-1))</f>
        <v>0</v>
      </c>
      <c r="L692" s="79">
        <f t="shared" si="2"/>
        <v>15</v>
      </c>
      <c r="M692" s="79">
        <f t="array" ref="M692">max(min(IF(J692+K692=11,0,XLOOKUP(B692,Quotas!$A$8:$A$14,Quotas!$E$8:$E$14)-$L692),2),0)</f>
        <v>0</v>
      </c>
      <c r="N692" s="31">
        <f t="shared" si="3"/>
        <v>0</v>
      </c>
    </row>
    <row r="693">
      <c r="A693" s="31" t="s">
        <v>76</v>
      </c>
      <c r="B693" s="9">
        <v>3.0</v>
      </c>
      <c r="C693" s="31" t="str">
        <f>VLOOKUP(A693, 'College List'!A:B, 2, FALSE)</f>
        <v>Prismari</v>
      </c>
      <c r="D693" s="355">
        <f>VLOOKUP(B693,Quotas!$A$8:$C$14,2,FALSE)</f>
        <v>46150.70833</v>
      </c>
      <c r="E693" s="356">
        <f>VLOOKUP(B693,Quotas!$A$8:$C$14,3,FALSE)</f>
        <v>46157.70833</v>
      </c>
      <c r="F693" s="79">
        <f>COUNTIFS(Matches!$B:$B,A693,Matches!$A:$A,CONCAT("&gt;",$D693),Matches!$A:$A,CONCAT("&lt;",$E693))</f>
        <v>5</v>
      </c>
      <c r="G693" s="79">
        <f>COUNTIFS(Matches!$C:$C,$A693,Matches!$A:$A,CONCAT("&gt;",$D693),Matches!$A:$A,CONCAT("&lt;",$E693))</f>
        <v>0</v>
      </c>
      <c r="H693" s="79">
        <f t="shared" si="1"/>
        <v>5</v>
      </c>
      <c r="I693" s="79">
        <f>COUNTIFS(Matches!$B:$B,$A693,Matches!$A:$A,CONCAT("&lt;",$E693))</f>
        <v>12</v>
      </c>
      <c r="J693" s="79">
        <f>COUNTIFS(Matches!$C:$C,$A693,Matches!$A:$A,CONCAT("&lt;",$E693))</f>
        <v>3</v>
      </c>
      <c r="K693" s="79">
        <f>COUNTIFS(Entropy!D:D,A693,Entropy!I:I,CONCAT("&lt;",E693-1))</f>
        <v>0</v>
      </c>
      <c r="L693" s="79">
        <f t="shared" si="2"/>
        <v>15</v>
      </c>
      <c r="M693" s="79">
        <f t="array" ref="M693">max(min(IF(J693+K693=11,0,XLOOKUP(B693,Quotas!$A$8:$A$14,Quotas!$E$8:$E$14)-$L693),2),0)</f>
        <v>0</v>
      </c>
      <c r="N693" s="31">
        <f t="shared" si="3"/>
        <v>0</v>
      </c>
    </row>
    <row r="694">
      <c r="A694" s="31" t="s">
        <v>173</v>
      </c>
      <c r="B694" s="9">
        <v>3.0</v>
      </c>
      <c r="C694" s="31" t="str">
        <f>VLOOKUP(A694, 'College List'!A:B, 2, FALSE)</f>
        <v>Witherbloom</v>
      </c>
      <c r="D694" s="355">
        <f>VLOOKUP(B694,Quotas!$A$8:$C$14,2,FALSE)</f>
        <v>46150.70833</v>
      </c>
      <c r="E694" s="356">
        <f>VLOOKUP(B694,Quotas!$A$8:$C$14,3,FALSE)</f>
        <v>46157.70833</v>
      </c>
      <c r="F694" s="79">
        <f>COUNTIFS(Matches!$B:$B,A694,Matches!$A:$A,CONCAT("&gt;",$D694),Matches!$A:$A,CONCAT("&lt;",$E694))</f>
        <v>3</v>
      </c>
      <c r="G694" s="79">
        <f>COUNTIFS(Matches!$C:$C,$A694,Matches!$A:$A,CONCAT("&gt;",$D694),Matches!$A:$A,CONCAT("&lt;",$E694))</f>
        <v>3</v>
      </c>
      <c r="H694" s="79">
        <f t="shared" si="1"/>
        <v>6</v>
      </c>
      <c r="I694" s="79">
        <f>COUNTIFS(Matches!$B:$B,$A694,Matches!$A:$A,CONCAT("&lt;",$E694))</f>
        <v>8</v>
      </c>
      <c r="J694" s="79">
        <f>COUNTIFS(Matches!$C:$C,$A694,Matches!$A:$A,CONCAT("&lt;",$E694))</f>
        <v>8</v>
      </c>
      <c r="K694" s="79">
        <f>COUNTIFS(Entropy!D:D,A694,Entropy!I:I,CONCAT("&lt;",E694-1))</f>
        <v>0</v>
      </c>
      <c r="L694" s="79">
        <f t="shared" si="2"/>
        <v>16</v>
      </c>
      <c r="M694" s="79">
        <f t="array" ref="M694">max(min(IF(J694+K694=11,0,XLOOKUP(B694,Quotas!$A$8:$A$14,Quotas!$E$8:$E$14)-$L694),2),0)</f>
        <v>0</v>
      </c>
      <c r="N694" s="31">
        <f t="shared" si="3"/>
        <v>0</v>
      </c>
    </row>
    <row r="695">
      <c r="A695" s="31" t="s">
        <v>224</v>
      </c>
      <c r="B695" s="9">
        <v>3.0</v>
      </c>
      <c r="C695" s="31" t="str">
        <f>VLOOKUP(A695, 'College List'!A:B, 2, FALSE)</f>
        <v>Lorehold</v>
      </c>
      <c r="D695" s="355">
        <f>VLOOKUP(B695,Quotas!$A$8:$C$14,2,FALSE)</f>
        <v>46150.70833</v>
      </c>
      <c r="E695" s="356">
        <f>VLOOKUP(B695,Quotas!$A$8:$C$14,3,FALSE)</f>
        <v>46157.70833</v>
      </c>
      <c r="F695" s="79">
        <f>COUNTIFS(Matches!$B:$B,A695,Matches!$A:$A,CONCAT("&gt;",$D695),Matches!$A:$A,CONCAT("&lt;",$E695))</f>
        <v>3</v>
      </c>
      <c r="G695" s="79">
        <f>COUNTIFS(Matches!$C:$C,$A695,Matches!$A:$A,CONCAT("&gt;",$D695),Matches!$A:$A,CONCAT("&lt;",$E695))</f>
        <v>3</v>
      </c>
      <c r="H695" s="79">
        <f t="shared" si="1"/>
        <v>6</v>
      </c>
      <c r="I695" s="79">
        <f>COUNTIFS(Matches!$B:$B,$A695,Matches!$A:$A,CONCAT("&lt;",$E695))</f>
        <v>5</v>
      </c>
      <c r="J695" s="79">
        <f>COUNTIFS(Matches!$C:$C,$A695,Matches!$A:$A,CONCAT("&lt;",$E695))</f>
        <v>10</v>
      </c>
      <c r="K695" s="79">
        <f>COUNTIFS(Entropy!D:D,A695,Entropy!I:I,CONCAT("&lt;",E695-1))</f>
        <v>0</v>
      </c>
      <c r="L695" s="79">
        <f t="shared" si="2"/>
        <v>15</v>
      </c>
      <c r="M695" s="79">
        <f t="array" ref="M695">max(min(IF(J695+K695=11,0,XLOOKUP(B695,Quotas!$A$8:$A$14,Quotas!$E$8:$E$14)-$L695),2),0)</f>
        <v>0</v>
      </c>
      <c r="N695" s="31">
        <f t="shared" si="3"/>
        <v>0</v>
      </c>
    </row>
    <row r="696">
      <c r="A696" s="31" t="s">
        <v>340</v>
      </c>
      <c r="B696" s="9">
        <v>3.0</v>
      </c>
      <c r="C696" s="31" t="str">
        <f>VLOOKUP(A696, 'College List'!A:B, 2, FALSE)</f>
        <v>Witherbloom</v>
      </c>
      <c r="D696" s="355">
        <f>VLOOKUP(B696,Quotas!$A$8:$C$14,2,FALSE)</f>
        <v>46150.70833</v>
      </c>
      <c r="E696" s="356">
        <f>VLOOKUP(B696,Quotas!$A$8:$C$14,3,FALSE)</f>
        <v>46157.70833</v>
      </c>
      <c r="F696" s="79">
        <f>COUNTIFS(Matches!$B:$B,A696,Matches!$A:$A,CONCAT("&gt;",$D696),Matches!$A:$A,CONCAT("&lt;",$E696))</f>
        <v>3</v>
      </c>
      <c r="G696" s="79">
        <f>COUNTIFS(Matches!$C:$C,$A696,Matches!$A:$A,CONCAT("&gt;",$D696),Matches!$A:$A,CONCAT("&lt;",$E696))</f>
        <v>4</v>
      </c>
      <c r="H696" s="79">
        <f t="shared" si="1"/>
        <v>7</v>
      </c>
      <c r="I696" s="79">
        <f>COUNTIFS(Matches!$B:$B,$A696,Matches!$A:$A,CONCAT("&lt;",$E696))</f>
        <v>5</v>
      </c>
      <c r="J696" s="79">
        <f>COUNTIFS(Matches!$C:$C,$A696,Matches!$A:$A,CONCAT("&lt;",$E696))</f>
        <v>7</v>
      </c>
      <c r="K696" s="79">
        <f>COUNTIFS(Entropy!D:D,A696,Entropy!I:I,CONCAT("&lt;",E696-1))</f>
        <v>0</v>
      </c>
      <c r="L696" s="79">
        <f t="shared" si="2"/>
        <v>12</v>
      </c>
      <c r="M696" s="79">
        <f t="array" ref="M696">max(min(IF(J696+K696=11,0,XLOOKUP(B696,Quotas!$A$8:$A$14,Quotas!$E$8:$E$14)-$L696),2),0)</f>
        <v>2</v>
      </c>
      <c r="N696" s="31">
        <f t="shared" si="3"/>
        <v>1</v>
      </c>
    </row>
    <row r="697">
      <c r="A697" s="31" t="s">
        <v>472</v>
      </c>
      <c r="B697" s="9">
        <v>3.0</v>
      </c>
      <c r="C697" s="31" t="str">
        <f>VLOOKUP(A697, 'College List'!A:B, 2, FALSE)</f>
        <v>Prismari</v>
      </c>
      <c r="D697" s="355">
        <f>VLOOKUP(B697,Quotas!$A$8:$C$14,2,FALSE)</f>
        <v>46150.70833</v>
      </c>
      <c r="E697" s="356">
        <f>VLOOKUP(B697,Quotas!$A$8:$C$14,3,FALSE)</f>
        <v>46157.70833</v>
      </c>
      <c r="F697" s="79">
        <f>COUNTIFS(Matches!$B:$B,A697,Matches!$A:$A,CONCAT("&gt;",$D697),Matches!$A:$A,CONCAT("&lt;",$E697))</f>
        <v>2</v>
      </c>
      <c r="G697" s="79">
        <f>COUNTIFS(Matches!$C:$C,$A697,Matches!$A:$A,CONCAT("&gt;",$D697),Matches!$A:$A,CONCAT("&lt;",$E697))</f>
        <v>2</v>
      </c>
      <c r="H697" s="79">
        <f t="shared" si="1"/>
        <v>4</v>
      </c>
      <c r="I697" s="79">
        <f>COUNTIFS(Matches!$B:$B,$A697,Matches!$A:$A,CONCAT("&lt;",$E697))</f>
        <v>3</v>
      </c>
      <c r="J697" s="79">
        <f>COUNTIFS(Matches!$C:$C,$A697,Matches!$A:$A,CONCAT("&lt;",$E697))</f>
        <v>4</v>
      </c>
      <c r="K697" s="79">
        <f>COUNTIFS(Entropy!D:D,A697,Entropy!I:I,CONCAT("&lt;",E697-1))</f>
        <v>3</v>
      </c>
      <c r="L697" s="79">
        <f t="shared" si="2"/>
        <v>10</v>
      </c>
      <c r="M697" s="79">
        <f t="array" ref="M697">max(min(IF(J697+K697=11,0,XLOOKUP(B697,Quotas!$A$8:$A$14,Quotas!$E$8:$E$14)-$L697),2),0)</f>
        <v>2</v>
      </c>
      <c r="N697" s="31">
        <f t="shared" si="3"/>
        <v>1</v>
      </c>
    </row>
    <row r="698">
      <c r="A698" s="31" t="s">
        <v>169</v>
      </c>
      <c r="B698" s="9">
        <v>3.0</v>
      </c>
      <c r="C698" s="31" t="str">
        <f>VLOOKUP(A698, 'College List'!A:B, 2, FALSE)</f>
        <v>Silverquill</v>
      </c>
      <c r="D698" s="355">
        <f>VLOOKUP(B698,Quotas!$A$8:$C$14,2,FALSE)</f>
        <v>46150.70833</v>
      </c>
      <c r="E698" s="356">
        <f>VLOOKUP(B698,Quotas!$A$8:$C$14,3,FALSE)</f>
        <v>46157.70833</v>
      </c>
      <c r="F698" s="79">
        <f>COUNTIFS(Matches!$B:$B,A698,Matches!$A:$A,CONCAT("&gt;",$D698),Matches!$A:$A,CONCAT("&lt;",$E698))</f>
        <v>2</v>
      </c>
      <c r="G698" s="79">
        <f>COUNTIFS(Matches!$C:$C,$A698,Matches!$A:$A,CONCAT("&gt;",$D698),Matches!$A:$A,CONCAT("&lt;",$E698))</f>
        <v>2</v>
      </c>
      <c r="H698" s="79">
        <f t="shared" si="1"/>
        <v>4</v>
      </c>
      <c r="I698" s="79">
        <f>COUNTIFS(Matches!$B:$B,$A698,Matches!$A:$A,CONCAT("&lt;",$E698))</f>
        <v>6</v>
      </c>
      <c r="J698" s="79">
        <f>COUNTIFS(Matches!$C:$C,$A698,Matches!$A:$A,CONCAT("&lt;",$E698))</f>
        <v>8</v>
      </c>
      <c r="K698" s="79">
        <f>COUNTIFS(Entropy!D:D,A698,Entropy!I:I,CONCAT("&lt;",E698-1))</f>
        <v>0</v>
      </c>
      <c r="L698" s="79">
        <f t="shared" si="2"/>
        <v>14</v>
      </c>
      <c r="M698" s="79">
        <f t="array" ref="M698">max(min(IF(J698+K698=11,0,XLOOKUP(B698,Quotas!$A$8:$A$14,Quotas!$E$8:$E$14)-$L698),2),0)</f>
        <v>1</v>
      </c>
      <c r="N698" s="31">
        <f t="shared" si="3"/>
        <v>0.5</v>
      </c>
    </row>
    <row r="699">
      <c r="A699" s="31" t="s">
        <v>313</v>
      </c>
      <c r="B699" s="9">
        <v>3.0</v>
      </c>
      <c r="C699" s="31" t="str">
        <f>VLOOKUP(A699, 'College List'!A:B, 2, FALSE)</f>
        <v>Lorehold</v>
      </c>
      <c r="D699" s="355">
        <f>VLOOKUP(B699,Quotas!$A$8:$C$14,2,FALSE)</f>
        <v>46150.70833</v>
      </c>
      <c r="E699" s="356">
        <f>VLOOKUP(B699,Quotas!$A$8:$C$14,3,FALSE)</f>
        <v>46157.70833</v>
      </c>
      <c r="F699" s="79">
        <f>COUNTIFS(Matches!$B:$B,A699,Matches!$A:$A,CONCAT("&gt;",$D699),Matches!$A:$A,CONCAT("&lt;",$E699))</f>
        <v>4</v>
      </c>
      <c r="G699" s="79">
        <f>COUNTIFS(Matches!$C:$C,$A699,Matches!$A:$A,CONCAT("&gt;",$D699),Matches!$A:$A,CONCAT("&lt;",$E699))</f>
        <v>2</v>
      </c>
      <c r="H699" s="79">
        <f t="shared" si="1"/>
        <v>6</v>
      </c>
      <c r="I699" s="79">
        <f>COUNTIFS(Matches!$B:$B,$A699,Matches!$A:$A,CONCAT("&lt;",$E699))</f>
        <v>5</v>
      </c>
      <c r="J699" s="79">
        <f>COUNTIFS(Matches!$C:$C,$A699,Matches!$A:$A,CONCAT("&lt;",$E699))</f>
        <v>10</v>
      </c>
      <c r="K699" s="79">
        <f>COUNTIFS(Entropy!D:D,A699,Entropy!I:I,CONCAT("&lt;",E699-1))</f>
        <v>0</v>
      </c>
      <c r="L699" s="79">
        <f t="shared" si="2"/>
        <v>15</v>
      </c>
      <c r="M699" s="79">
        <f t="array" ref="M699">max(min(IF(J699+K699=11,0,XLOOKUP(B699,Quotas!$A$8:$A$14,Quotas!$E$8:$E$14)-$L699),2),0)</f>
        <v>0</v>
      </c>
      <c r="N699" s="31">
        <f t="shared" si="3"/>
        <v>0</v>
      </c>
    </row>
    <row r="700">
      <c r="A700" s="31" t="s">
        <v>247</v>
      </c>
      <c r="B700" s="9">
        <v>3.0</v>
      </c>
      <c r="C700" s="31" t="str">
        <f>VLOOKUP(A700, 'College List'!A:B, 2, FALSE)</f>
        <v>Quandrix</v>
      </c>
      <c r="D700" s="355">
        <f>VLOOKUP(B700,Quotas!$A$8:$C$14,2,FALSE)</f>
        <v>46150.70833</v>
      </c>
      <c r="E700" s="356">
        <f>VLOOKUP(B700,Quotas!$A$8:$C$14,3,FALSE)</f>
        <v>46157.70833</v>
      </c>
      <c r="F700" s="79">
        <f>COUNTIFS(Matches!$B:$B,A700,Matches!$A:$A,CONCAT("&gt;",$D700),Matches!$A:$A,CONCAT("&lt;",$E700))</f>
        <v>3</v>
      </c>
      <c r="G700" s="79">
        <f>COUNTIFS(Matches!$C:$C,$A700,Matches!$A:$A,CONCAT("&gt;",$D700),Matches!$A:$A,CONCAT("&lt;",$E700))</f>
        <v>1</v>
      </c>
      <c r="H700" s="79">
        <f t="shared" si="1"/>
        <v>4</v>
      </c>
      <c r="I700" s="79">
        <f>COUNTIFS(Matches!$B:$B,$A700,Matches!$A:$A,CONCAT("&lt;",$E700))</f>
        <v>8</v>
      </c>
      <c r="J700" s="79">
        <f>COUNTIFS(Matches!$C:$C,$A700,Matches!$A:$A,CONCAT("&lt;",$E700))</f>
        <v>5</v>
      </c>
      <c r="K700" s="79">
        <f>COUNTIFS(Entropy!D:D,A700,Entropy!I:I,CONCAT("&lt;",E700-1))</f>
        <v>0</v>
      </c>
      <c r="L700" s="79">
        <f t="shared" si="2"/>
        <v>13</v>
      </c>
      <c r="M700" s="79">
        <f t="array" ref="M700">max(min(IF(J700+K700=11,0,XLOOKUP(B700,Quotas!$A$8:$A$14,Quotas!$E$8:$E$14)-$L700),2),0)</f>
        <v>2</v>
      </c>
      <c r="N700" s="31">
        <f t="shared" si="3"/>
        <v>1</v>
      </c>
    </row>
    <row r="701">
      <c r="A701" s="31" t="s">
        <v>104</v>
      </c>
      <c r="B701" s="9">
        <v>3.0</v>
      </c>
      <c r="C701" s="31" t="str">
        <f>VLOOKUP(A701, 'College List'!A:B, 2, FALSE)</f>
        <v>Lorehold</v>
      </c>
      <c r="D701" s="355">
        <f>VLOOKUP(B701,Quotas!$A$8:$C$14,2,FALSE)</f>
        <v>46150.70833</v>
      </c>
      <c r="E701" s="356">
        <f>VLOOKUP(B701,Quotas!$A$8:$C$14,3,FALSE)</f>
        <v>46157.70833</v>
      </c>
      <c r="F701" s="79">
        <f>COUNTIFS(Matches!$B:$B,A701,Matches!$A:$A,CONCAT("&gt;",$D701),Matches!$A:$A,CONCAT("&lt;",$E701))</f>
        <v>4</v>
      </c>
      <c r="G701" s="79">
        <f>COUNTIFS(Matches!$C:$C,$A701,Matches!$A:$A,CONCAT("&gt;",$D701),Matches!$A:$A,CONCAT("&lt;",$E701))</f>
        <v>2</v>
      </c>
      <c r="H701" s="79">
        <f t="shared" si="1"/>
        <v>6</v>
      </c>
      <c r="I701" s="79">
        <f>COUNTIFS(Matches!$B:$B,$A701,Matches!$A:$A,CONCAT("&lt;",$E701))</f>
        <v>9</v>
      </c>
      <c r="J701" s="79">
        <f>COUNTIFS(Matches!$C:$C,$A701,Matches!$A:$A,CONCAT("&lt;",$E701))</f>
        <v>6</v>
      </c>
      <c r="K701" s="79">
        <f>COUNTIFS(Entropy!D:D,A701,Entropy!I:I,CONCAT("&lt;",E701-1))</f>
        <v>0</v>
      </c>
      <c r="L701" s="79">
        <f t="shared" si="2"/>
        <v>15</v>
      </c>
      <c r="M701" s="79">
        <f t="array" ref="M701">max(min(IF(J701+K701=11,0,XLOOKUP(B701,Quotas!$A$8:$A$14,Quotas!$E$8:$E$14)-$L701),2),0)</f>
        <v>0</v>
      </c>
      <c r="N701" s="31">
        <f t="shared" si="3"/>
        <v>0</v>
      </c>
    </row>
    <row r="702">
      <c r="A702" s="31" t="s">
        <v>249</v>
      </c>
      <c r="B702" s="9">
        <v>3.0</v>
      </c>
      <c r="C702" s="31" t="str">
        <f>VLOOKUP(A702, 'College List'!A:B, 2, FALSE)</f>
        <v>Quandrix</v>
      </c>
      <c r="D702" s="355">
        <f>VLOOKUP(B702,Quotas!$A$8:$C$14,2,FALSE)</f>
        <v>46150.70833</v>
      </c>
      <c r="E702" s="356">
        <f>VLOOKUP(B702,Quotas!$A$8:$C$14,3,FALSE)</f>
        <v>46157.70833</v>
      </c>
      <c r="F702" s="79">
        <f>COUNTIFS(Matches!$B:$B,A702,Matches!$A:$A,CONCAT("&gt;",$D702),Matches!$A:$A,CONCAT("&lt;",$E702))</f>
        <v>1</v>
      </c>
      <c r="G702" s="79">
        <f>COUNTIFS(Matches!$C:$C,$A702,Matches!$A:$A,CONCAT("&gt;",$D702),Matches!$A:$A,CONCAT("&lt;",$E702))</f>
        <v>4</v>
      </c>
      <c r="H702" s="79">
        <f t="shared" si="1"/>
        <v>5</v>
      </c>
      <c r="I702" s="79">
        <f>COUNTIFS(Matches!$B:$B,$A702,Matches!$A:$A,CONCAT("&lt;",$E702))</f>
        <v>7</v>
      </c>
      <c r="J702" s="79">
        <f>COUNTIFS(Matches!$C:$C,$A702,Matches!$A:$A,CONCAT("&lt;",$E702))</f>
        <v>8</v>
      </c>
      <c r="K702" s="79">
        <f>COUNTIFS(Entropy!D:D,A702,Entropy!I:I,CONCAT("&lt;",E702-1))</f>
        <v>0</v>
      </c>
      <c r="L702" s="79">
        <f t="shared" si="2"/>
        <v>15</v>
      </c>
      <c r="M702" s="79">
        <f t="array" ref="M702">max(min(IF(J702+K702=11,0,XLOOKUP(B702,Quotas!$A$8:$A$14,Quotas!$E$8:$E$14)-$L702),2),0)</f>
        <v>0</v>
      </c>
      <c r="N702" s="31">
        <f t="shared" si="3"/>
        <v>0</v>
      </c>
    </row>
    <row r="703">
      <c r="A703" s="31" t="s">
        <v>294</v>
      </c>
      <c r="B703" s="9">
        <v>3.0</v>
      </c>
      <c r="C703" s="31" t="str">
        <f>VLOOKUP(A703, 'College List'!A:B, 2, FALSE)</f>
        <v>Prismari</v>
      </c>
      <c r="D703" s="355">
        <f>VLOOKUP(B703,Quotas!$A$8:$C$14,2,FALSE)</f>
        <v>46150.70833</v>
      </c>
      <c r="E703" s="356">
        <f>VLOOKUP(B703,Quotas!$A$8:$C$14,3,FALSE)</f>
        <v>46157.70833</v>
      </c>
      <c r="F703" s="79">
        <f>COUNTIFS(Matches!$B:$B,A703,Matches!$A:$A,CONCAT("&gt;",$D703),Matches!$A:$A,CONCAT("&lt;",$E703))</f>
        <v>1</v>
      </c>
      <c r="G703" s="79">
        <f>COUNTIFS(Matches!$C:$C,$A703,Matches!$A:$A,CONCAT("&gt;",$D703),Matches!$A:$A,CONCAT("&lt;",$E703))</f>
        <v>4</v>
      </c>
      <c r="H703" s="79">
        <f t="shared" si="1"/>
        <v>5</v>
      </c>
      <c r="I703" s="79">
        <f>COUNTIFS(Matches!$B:$B,$A703,Matches!$A:$A,CONCAT("&lt;",$E703))</f>
        <v>4</v>
      </c>
      <c r="J703" s="79">
        <f>COUNTIFS(Matches!$C:$C,$A703,Matches!$A:$A,CONCAT("&lt;",$E703))</f>
        <v>10</v>
      </c>
      <c r="K703" s="79">
        <f>COUNTIFS(Entropy!D:D,A703,Entropy!I:I,CONCAT("&lt;",E703-1))</f>
        <v>0</v>
      </c>
      <c r="L703" s="79">
        <f t="shared" si="2"/>
        <v>14</v>
      </c>
      <c r="M703" s="79">
        <f t="array" ref="M703">max(min(IF(J703+K703=11,0,XLOOKUP(B703,Quotas!$A$8:$A$14,Quotas!$E$8:$E$14)-$L703),2),0)</f>
        <v>1</v>
      </c>
      <c r="N703" s="31">
        <f t="shared" si="3"/>
        <v>0.5</v>
      </c>
    </row>
    <row r="704">
      <c r="A704" s="31" t="s">
        <v>276</v>
      </c>
      <c r="B704" s="9">
        <v>3.0</v>
      </c>
      <c r="C704" s="31" t="str">
        <f>VLOOKUP(A704, 'College List'!A:B, 2, FALSE)</f>
        <v>Quandrix</v>
      </c>
      <c r="D704" s="355">
        <f>VLOOKUP(B704,Quotas!$A$8:$C$14,2,FALSE)</f>
        <v>46150.70833</v>
      </c>
      <c r="E704" s="356">
        <f>VLOOKUP(B704,Quotas!$A$8:$C$14,3,FALSE)</f>
        <v>46157.70833</v>
      </c>
      <c r="F704" s="79">
        <f>COUNTIFS(Matches!$B:$B,A704,Matches!$A:$A,CONCAT("&gt;",$D704),Matches!$A:$A,CONCAT("&lt;",$E704))</f>
        <v>2</v>
      </c>
      <c r="G704" s="79">
        <f>COUNTIFS(Matches!$C:$C,$A704,Matches!$A:$A,CONCAT("&gt;",$D704),Matches!$A:$A,CONCAT("&lt;",$E704))</f>
        <v>3</v>
      </c>
      <c r="H704" s="79">
        <f t="shared" si="1"/>
        <v>5</v>
      </c>
      <c r="I704" s="79">
        <f>COUNTIFS(Matches!$B:$B,$A704,Matches!$A:$A,CONCAT("&lt;",$E704))</f>
        <v>9</v>
      </c>
      <c r="J704" s="79">
        <f>COUNTIFS(Matches!$C:$C,$A704,Matches!$A:$A,CONCAT("&lt;",$E704))</f>
        <v>6</v>
      </c>
      <c r="K704" s="79">
        <f>COUNTIFS(Entropy!D:D,A704,Entropy!I:I,CONCAT("&lt;",E704-1))</f>
        <v>0</v>
      </c>
      <c r="L704" s="79">
        <f t="shared" si="2"/>
        <v>15</v>
      </c>
      <c r="M704" s="79">
        <f t="array" ref="M704">max(min(IF(J704+K704=11,0,XLOOKUP(B704,Quotas!$A$8:$A$14,Quotas!$E$8:$E$14)-$L704),2),0)</f>
        <v>0</v>
      </c>
      <c r="N704" s="31">
        <f t="shared" si="3"/>
        <v>0</v>
      </c>
    </row>
    <row r="705">
      <c r="A705" s="31" t="s">
        <v>257</v>
      </c>
      <c r="B705" s="9">
        <v>3.0</v>
      </c>
      <c r="C705" s="31" t="str">
        <f>VLOOKUP(A705, 'College List'!A:B, 2, FALSE)</f>
        <v>Witherbloom</v>
      </c>
      <c r="D705" s="355">
        <f>VLOOKUP(B705,Quotas!$A$8:$C$14,2,FALSE)</f>
        <v>46150.70833</v>
      </c>
      <c r="E705" s="356">
        <f>VLOOKUP(B705,Quotas!$A$8:$C$14,3,FALSE)</f>
        <v>46157.70833</v>
      </c>
      <c r="F705" s="79">
        <f>COUNTIFS(Matches!$B:$B,A705,Matches!$A:$A,CONCAT("&gt;",$D705),Matches!$A:$A,CONCAT("&lt;",$E705))</f>
        <v>2</v>
      </c>
      <c r="G705" s="79">
        <f>COUNTIFS(Matches!$C:$C,$A705,Matches!$A:$A,CONCAT("&gt;",$D705),Matches!$A:$A,CONCAT("&lt;",$E705))</f>
        <v>1</v>
      </c>
      <c r="H705" s="79">
        <f t="shared" si="1"/>
        <v>3</v>
      </c>
      <c r="I705" s="79">
        <f>COUNTIFS(Matches!$B:$B,$A705,Matches!$A:$A,CONCAT("&lt;",$E705))</f>
        <v>4</v>
      </c>
      <c r="J705" s="79">
        <f>COUNTIFS(Matches!$C:$C,$A705,Matches!$A:$A,CONCAT("&lt;",$E705))</f>
        <v>9</v>
      </c>
      <c r="K705" s="79">
        <f>COUNTIFS(Entropy!D:D,A705,Entropy!I:I,CONCAT("&lt;",E705-1))</f>
        <v>0</v>
      </c>
      <c r="L705" s="79">
        <f t="shared" si="2"/>
        <v>13</v>
      </c>
      <c r="M705" s="79">
        <f t="array" ref="M705">max(min(IF(J705+K705=11,0,XLOOKUP(B705,Quotas!$A$8:$A$14,Quotas!$E$8:$E$14)-$L705),2),0)</f>
        <v>2</v>
      </c>
      <c r="N705" s="31">
        <f t="shared" si="3"/>
        <v>1</v>
      </c>
    </row>
    <row r="706">
      <c r="A706" s="31" t="s">
        <v>195</v>
      </c>
      <c r="B706" s="9">
        <v>3.0</v>
      </c>
      <c r="C706" s="31" t="str">
        <f>VLOOKUP(A706, 'College List'!A:B, 2, FALSE)</f>
        <v>Lorehold</v>
      </c>
      <c r="D706" s="355">
        <f>VLOOKUP(B706,Quotas!$A$8:$C$14,2,FALSE)</f>
        <v>46150.70833</v>
      </c>
      <c r="E706" s="356">
        <f>VLOOKUP(B706,Quotas!$A$8:$C$14,3,FALSE)</f>
        <v>46157.70833</v>
      </c>
      <c r="F706" s="79">
        <f>COUNTIFS(Matches!$B:$B,A706,Matches!$A:$A,CONCAT("&gt;",$D706),Matches!$A:$A,CONCAT("&lt;",$E706))</f>
        <v>3</v>
      </c>
      <c r="G706" s="79">
        <f>COUNTIFS(Matches!$C:$C,$A706,Matches!$A:$A,CONCAT("&gt;",$D706),Matches!$A:$A,CONCAT("&lt;",$E706))</f>
        <v>3</v>
      </c>
      <c r="H706" s="79">
        <f t="shared" si="1"/>
        <v>6</v>
      </c>
      <c r="I706" s="79">
        <f>COUNTIFS(Matches!$B:$B,$A706,Matches!$A:$A,CONCAT("&lt;",$E706))</f>
        <v>8</v>
      </c>
      <c r="J706" s="79">
        <f>COUNTIFS(Matches!$C:$C,$A706,Matches!$A:$A,CONCAT("&lt;",$E706))</f>
        <v>7</v>
      </c>
      <c r="K706" s="79">
        <f>COUNTIFS(Entropy!D:D,A706,Entropy!I:I,CONCAT("&lt;",E706-1))</f>
        <v>0</v>
      </c>
      <c r="L706" s="79">
        <f t="shared" si="2"/>
        <v>15</v>
      </c>
      <c r="M706" s="79">
        <f t="array" ref="M706">max(min(IF(J706+K706=11,0,XLOOKUP(B706,Quotas!$A$8:$A$14,Quotas!$E$8:$E$14)-$L706),2),0)</f>
        <v>0</v>
      </c>
      <c r="N706" s="31">
        <f t="shared" si="3"/>
        <v>0</v>
      </c>
    </row>
    <row r="707">
      <c r="A707" s="31" t="s">
        <v>282</v>
      </c>
      <c r="B707" s="9">
        <v>3.0</v>
      </c>
      <c r="C707" s="31" t="str">
        <f>VLOOKUP(A707, 'College List'!A:B, 2, FALSE)</f>
        <v>Silverquill</v>
      </c>
      <c r="D707" s="355">
        <f>VLOOKUP(B707,Quotas!$A$8:$C$14,2,FALSE)</f>
        <v>46150.70833</v>
      </c>
      <c r="E707" s="356">
        <f>VLOOKUP(B707,Quotas!$A$8:$C$14,3,FALSE)</f>
        <v>46157.70833</v>
      </c>
      <c r="F707" s="79">
        <f>COUNTIFS(Matches!$B:$B,A707,Matches!$A:$A,CONCAT("&gt;",$D707),Matches!$A:$A,CONCAT("&lt;",$E707))</f>
        <v>4</v>
      </c>
      <c r="G707" s="79">
        <f>COUNTIFS(Matches!$C:$C,$A707,Matches!$A:$A,CONCAT("&gt;",$D707),Matches!$A:$A,CONCAT("&lt;",$E707))</f>
        <v>1</v>
      </c>
      <c r="H707" s="79">
        <f t="shared" si="1"/>
        <v>5</v>
      </c>
      <c r="I707" s="79">
        <f>COUNTIFS(Matches!$B:$B,$A707,Matches!$A:$A,CONCAT("&lt;",$E707))</f>
        <v>11</v>
      </c>
      <c r="J707" s="79">
        <f>COUNTIFS(Matches!$C:$C,$A707,Matches!$A:$A,CONCAT("&lt;",$E707))</f>
        <v>4</v>
      </c>
      <c r="K707" s="79">
        <f>COUNTIFS(Entropy!D:D,A707,Entropy!I:I,CONCAT("&lt;",E707-1))</f>
        <v>0</v>
      </c>
      <c r="L707" s="79">
        <f t="shared" si="2"/>
        <v>15</v>
      </c>
      <c r="M707" s="79">
        <f t="array" ref="M707">max(min(IF(J707+K707=11,0,XLOOKUP(B707,Quotas!$A$8:$A$14,Quotas!$E$8:$E$14)-$L707),2),0)</f>
        <v>0</v>
      </c>
      <c r="N707" s="31">
        <f t="shared" si="3"/>
        <v>0</v>
      </c>
    </row>
    <row r="708">
      <c r="A708" s="31" t="s">
        <v>302</v>
      </c>
      <c r="B708" s="9">
        <v>3.0</v>
      </c>
      <c r="C708" s="31" t="str">
        <f>VLOOKUP(A708, 'College List'!A:B, 2, FALSE)</f>
        <v>Silverquill</v>
      </c>
      <c r="D708" s="355">
        <f>VLOOKUP(B708,Quotas!$A$8:$C$14,2,FALSE)</f>
        <v>46150.70833</v>
      </c>
      <c r="E708" s="356">
        <f>VLOOKUP(B708,Quotas!$A$8:$C$14,3,FALSE)</f>
        <v>46157.70833</v>
      </c>
      <c r="F708" s="79">
        <f>COUNTIFS(Matches!$B:$B,A708,Matches!$A:$A,CONCAT("&gt;",$D708),Matches!$A:$A,CONCAT("&lt;",$E708))</f>
        <v>3</v>
      </c>
      <c r="G708" s="79">
        <f>COUNTIFS(Matches!$C:$C,$A708,Matches!$A:$A,CONCAT("&gt;",$D708),Matches!$A:$A,CONCAT("&lt;",$E708))</f>
        <v>3</v>
      </c>
      <c r="H708" s="79">
        <f t="shared" si="1"/>
        <v>6</v>
      </c>
      <c r="I708" s="79">
        <f>COUNTIFS(Matches!$B:$B,$A708,Matches!$A:$A,CONCAT("&lt;",$E708))</f>
        <v>7</v>
      </c>
      <c r="J708" s="79">
        <f>COUNTIFS(Matches!$C:$C,$A708,Matches!$A:$A,CONCAT("&lt;",$E708))</f>
        <v>8</v>
      </c>
      <c r="K708" s="79">
        <f>COUNTIFS(Entropy!D:D,A708,Entropy!I:I,CONCAT("&lt;",E708-1))</f>
        <v>0</v>
      </c>
      <c r="L708" s="79">
        <f t="shared" si="2"/>
        <v>15</v>
      </c>
      <c r="M708" s="79">
        <f t="array" ref="M708">max(min(IF(J708+K708=11,0,XLOOKUP(B708,Quotas!$A$8:$A$14,Quotas!$E$8:$E$14)-$L708),2),0)</f>
        <v>0</v>
      </c>
      <c r="N708" s="31">
        <f t="shared" si="3"/>
        <v>0</v>
      </c>
    </row>
    <row r="709">
      <c r="A709" s="31" t="s">
        <v>174</v>
      </c>
      <c r="B709" s="9">
        <v>3.0</v>
      </c>
      <c r="C709" s="31" t="str">
        <f>VLOOKUP(A709, 'College List'!A:B, 2, FALSE)</f>
        <v>Witherbloom</v>
      </c>
      <c r="D709" s="355">
        <f>VLOOKUP(B709,Quotas!$A$8:$C$14,2,FALSE)</f>
        <v>46150.70833</v>
      </c>
      <c r="E709" s="356">
        <f>VLOOKUP(B709,Quotas!$A$8:$C$14,3,FALSE)</f>
        <v>46157.70833</v>
      </c>
      <c r="F709" s="79">
        <f>COUNTIFS(Matches!$B:$B,A709,Matches!$A:$A,CONCAT("&gt;",$D709),Matches!$A:$A,CONCAT("&lt;",$E709))</f>
        <v>3</v>
      </c>
      <c r="G709" s="79">
        <f>COUNTIFS(Matches!$C:$C,$A709,Matches!$A:$A,CONCAT("&gt;",$D709),Matches!$A:$A,CONCAT("&lt;",$E709))</f>
        <v>2</v>
      </c>
      <c r="H709" s="79">
        <f t="shared" si="1"/>
        <v>5</v>
      </c>
      <c r="I709" s="79">
        <f>COUNTIFS(Matches!$B:$B,$A709,Matches!$A:$A,CONCAT("&lt;",$E709))</f>
        <v>7</v>
      </c>
      <c r="J709" s="79">
        <f>COUNTIFS(Matches!$C:$C,$A709,Matches!$A:$A,CONCAT("&lt;",$E709))</f>
        <v>8</v>
      </c>
      <c r="K709" s="79">
        <f>COUNTIFS(Entropy!D:D,A709,Entropy!I:I,CONCAT("&lt;",E709-1))</f>
        <v>0</v>
      </c>
      <c r="L709" s="79">
        <f t="shared" si="2"/>
        <v>15</v>
      </c>
      <c r="M709" s="79">
        <f t="array" ref="M709">max(min(IF(J709+K709=11,0,XLOOKUP(B709,Quotas!$A$8:$A$14,Quotas!$E$8:$E$14)-$L709),2),0)</f>
        <v>0</v>
      </c>
      <c r="N709" s="31">
        <f t="shared" si="3"/>
        <v>0</v>
      </c>
    </row>
    <row r="710">
      <c r="A710" s="31" t="s">
        <v>260</v>
      </c>
      <c r="B710" s="9">
        <v>3.0</v>
      </c>
      <c r="C710" s="31" t="str">
        <f>VLOOKUP(A710, 'College List'!A:B, 2, FALSE)</f>
        <v>Witherbloom</v>
      </c>
      <c r="D710" s="355">
        <f>VLOOKUP(B710,Quotas!$A$8:$C$14,2,FALSE)</f>
        <v>46150.70833</v>
      </c>
      <c r="E710" s="356">
        <f>VLOOKUP(B710,Quotas!$A$8:$C$14,3,FALSE)</f>
        <v>46157.70833</v>
      </c>
      <c r="F710" s="79">
        <f>COUNTIFS(Matches!$B:$B,A710,Matches!$A:$A,CONCAT("&gt;",$D710),Matches!$A:$A,CONCAT("&lt;",$E710))</f>
        <v>4</v>
      </c>
      <c r="G710" s="79">
        <f>COUNTIFS(Matches!$C:$C,$A710,Matches!$A:$A,CONCAT("&gt;",$D710),Matches!$A:$A,CONCAT("&lt;",$E710))</f>
        <v>3</v>
      </c>
      <c r="H710" s="79">
        <f t="shared" si="1"/>
        <v>7</v>
      </c>
      <c r="I710" s="79">
        <f>COUNTIFS(Matches!$B:$B,$A710,Matches!$A:$A,CONCAT("&lt;",$E710))</f>
        <v>7</v>
      </c>
      <c r="J710" s="79">
        <f>COUNTIFS(Matches!$C:$C,$A710,Matches!$A:$A,CONCAT("&lt;",$E710))</f>
        <v>10</v>
      </c>
      <c r="K710" s="79">
        <f>COUNTIFS(Entropy!D:D,A710,Entropy!I:I,CONCAT("&lt;",E710-1))</f>
        <v>2</v>
      </c>
      <c r="L710" s="79">
        <f t="shared" si="2"/>
        <v>19</v>
      </c>
      <c r="M710" s="79">
        <f t="array" ref="M710">max(min(IF(J710+K710=11,0,XLOOKUP(B710,Quotas!$A$8:$A$14,Quotas!$E$8:$E$14)-$L710),2),0)</f>
        <v>0</v>
      </c>
      <c r="N710" s="31">
        <f t="shared" si="3"/>
        <v>0</v>
      </c>
    </row>
    <row r="711">
      <c r="A711" s="31" t="s">
        <v>62</v>
      </c>
      <c r="B711" s="9">
        <v>3.0</v>
      </c>
      <c r="C711" s="31" t="str">
        <f>VLOOKUP(A711, 'College List'!A:B, 2, FALSE)</f>
        <v>Prismari</v>
      </c>
      <c r="D711" s="355">
        <f>VLOOKUP(B711,Quotas!$A$8:$C$14,2,FALSE)</f>
        <v>46150.70833</v>
      </c>
      <c r="E711" s="356">
        <f>VLOOKUP(B711,Quotas!$A$8:$C$14,3,FALSE)</f>
        <v>46157.70833</v>
      </c>
      <c r="F711" s="79">
        <f>COUNTIFS(Matches!$B:$B,A711,Matches!$A:$A,CONCAT("&gt;",$D711),Matches!$A:$A,CONCAT("&lt;",$E711))</f>
        <v>2</v>
      </c>
      <c r="G711" s="79">
        <f>COUNTIFS(Matches!$C:$C,$A711,Matches!$A:$A,CONCAT("&gt;",$D711),Matches!$A:$A,CONCAT("&lt;",$E711))</f>
        <v>3</v>
      </c>
      <c r="H711" s="79">
        <f t="shared" si="1"/>
        <v>5</v>
      </c>
      <c r="I711" s="79">
        <f>COUNTIFS(Matches!$B:$B,$A711,Matches!$A:$A,CONCAT("&lt;",$E711))</f>
        <v>8</v>
      </c>
      <c r="J711" s="79">
        <f>COUNTIFS(Matches!$C:$C,$A711,Matches!$A:$A,CONCAT("&lt;",$E711))</f>
        <v>7</v>
      </c>
      <c r="K711" s="79">
        <f>COUNTIFS(Entropy!D:D,A711,Entropy!I:I,CONCAT("&lt;",E711-1))</f>
        <v>0</v>
      </c>
      <c r="L711" s="79">
        <f t="shared" si="2"/>
        <v>15</v>
      </c>
      <c r="M711" s="79">
        <f t="array" ref="M711">max(min(IF(J711+K711=11,0,XLOOKUP(B711,Quotas!$A$8:$A$14,Quotas!$E$8:$E$14)-$L711),2),0)</f>
        <v>0</v>
      </c>
      <c r="N711" s="31">
        <f t="shared" si="3"/>
        <v>0</v>
      </c>
    </row>
    <row r="712">
      <c r="A712" s="31" t="s">
        <v>233</v>
      </c>
      <c r="B712" s="9">
        <v>3.0</v>
      </c>
      <c r="C712" s="31" t="str">
        <f>VLOOKUP(A712, 'College List'!A:B, 2, FALSE)</f>
        <v>Lorehold</v>
      </c>
      <c r="D712" s="355">
        <f>VLOOKUP(B712,Quotas!$A$8:$C$14,2,FALSE)</f>
        <v>46150.70833</v>
      </c>
      <c r="E712" s="356">
        <f>VLOOKUP(B712,Quotas!$A$8:$C$14,3,FALSE)</f>
        <v>46157.70833</v>
      </c>
      <c r="F712" s="79">
        <f>COUNTIFS(Matches!$B:$B,A712,Matches!$A:$A,CONCAT("&gt;",$D712),Matches!$A:$A,CONCAT("&lt;",$E712))</f>
        <v>2</v>
      </c>
      <c r="G712" s="79">
        <f>COUNTIFS(Matches!$C:$C,$A712,Matches!$A:$A,CONCAT("&gt;",$D712),Matches!$A:$A,CONCAT("&lt;",$E712))</f>
        <v>4</v>
      </c>
      <c r="H712" s="79">
        <f t="shared" si="1"/>
        <v>6</v>
      </c>
      <c r="I712" s="79">
        <f>COUNTIFS(Matches!$B:$B,$A712,Matches!$A:$A,CONCAT("&lt;",$E712))</f>
        <v>6</v>
      </c>
      <c r="J712" s="79">
        <f>COUNTIFS(Matches!$C:$C,$A712,Matches!$A:$A,CONCAT("&lt;",$E712))</f>
        <v>8</v>
      </c>
      <c r="K712" s="79">
        <f>COUNTIFS(Entropy!D:D,A712,Entropy!I:I,CONCAT("&lt;",E712-1))</f>
        <v>0</v>
      </c>
      <c r="L712" s="79">
        <f t="shared" si="2"/>
        <v>14</v>
      </c>
      <c r="M712" s="79">
        <f t="array" ref="M712">max(min(IF(J712+K712=11,0,XLOOKUP(B712,Quotas!$A$8:$A$14,Quotas!$E$8:$E$14)-$L712),2),0)</f>
        <v>1</v>
      </c>
      <c r="N712" s="31">
        <f t="shared" si="3"/>
        <v>0.5</v>
      </c>
    </row>
    <row r="713">
      <c r="A713" s="31" t="s">
        <v>413</v>
      </c>
      <c r="B713" s="9">
        <v>3.0</v>
      </c>
      <c r="C713" s="31" t="str">
        <f>VLOOKUP(A713, 'College List'!A:B, 2, FALSE)</f>
        <v>Lorehold</v>
      </c>
      <c r="D713" s="355">
        <f>VLOOKUP(B713,Quotas!$A$8:$C$14,2,FALSE)</f>
        <v>46150.70833</v>
      </c>
      <c r="E713" s="356">
        <f>VLOOKUP(B713,Quotas!$A$8:$C$14,3,FALSE)</f>
        <v>46157.70833</v>
      </c>
      <c r="F713" s="79">
        <f>COUNTIFS(Matches!$B:$B,A713,Matches!$A:$A,CONCAT("&gt;",$D713),Matches!$A:$A,CONCAT("&lt;",$E713))</f>
        <v>1</v>
      </c>
      <c r="G713" s="79">
        <f>COUNTIFS(Matches!$C:$C,$A713,Matches!$A:$A,CONCAT("&gt;",$D713),Matches!$A:$A,CONCAT("&lt;",$E713))</f>
        <v>4</v>
      </c>
      <c r="H713" s="79">
        <f t="shared" si="1"/>
        <v>5</v>
      </c>
      <c r="I713" s="79">
        <f>COUNTIFS(Matches!$B:$B,$A713,Matches!$A:$A,CONCAT("&lt;",$E713))</f>
        <v>2</v>
      </c>
      <c r="J713" s="79">
        <f>COUNTIFS(Matches!$C:$C,$A713,Matches!$A:$A,CONCAT("&lt;",$E713))</f>
        <v>11</v>
      </c>
      <c r="K713" s="79">
        <f>COUNTIFS(Entropy!D:D,A713,Entropy!I:I,CONCAT("&lt;",E713-1))</f>
        <v>0</v>
      </c>
      <c r="L713" s="79">
        <f t="shared" si="2"/>
        <v>13</v>
      </c>
      <c r="M713" s="79">
        <f t="array" ref="M713">max(min(IF(J713+K713=11,0,XLOOKUP(B713,Quotas!$A$8:$A$14,Quotas!$E$8:$E$14)-$L713),2),0)</f>
        <v>0</v>
      </c>
      <c r="N713" s="31">
        <f t="shared" si="3"/>
        <v>0</v>
      </c>
    </row>
    <row r="714">
      <c r="A714" s="31" t="s">
        <v>368</v>
      </c>
      <c r="B714" s="9">
        <v>3.0</v>
      </c>
      <c r="C714" s="31" t="str">
        <f>VLOOKUP(A714, 'College List'!A:B, 2, FALSE)</f>
        <v>Silverquill</v>
      </c>
      <c r="D714" s="355">
        <f>VLOOKUP(B714,Quotas!$A$8:$C$14,2,FALSE)</f>
        <v>46150.70833</v>
      </c>
      <c r="E714" s="356">
        <f>VLOOKUP(B714,Quotas!$A$8:$C$14,3,FALSE)</f>
        <v>46157.70833</v>
      </c>
      <c r="F714" s="79">
        <f>COUNTIFS(Matches!$B:$B,A714,Matches!$A:$A,CONCAT("&gt;",$D714),Matches!$A:$A,CONCAT("&lt;",$E714))</f>
        <v>3</v>
      </c>
      <c r="G714" s="79">
        <f>COUNTIFS(Matches!$C:$C,$A714,Matches!$A:$A,CONCAT("&gt;",$D714),Matches!$A:$A,CONCAT("&lt;",$E714))</f>
        <v>2</v>
      </c>
      <c r="H714" s="79">
        <f t="shared" si="1"/>
        <v>5</v>
      </c>
      <c r="I714" s="79">
        <f>COUNTIFS(Matches!$B:$B,$A714,Matches!$A:$A,CONCAT("&lt;",$E714))</f>
        <v>9</v>
      </c>
      <c r="J714" s="79">
        <f>COUNTIFS(Matches!$C:$C,$A714,Matches!$A:$A,CONCAT("&lt;",$E714))</f>
        <v>6</v>
      </c>
      <c r="K714" s="79">
        <f>COUNTIFS(Entropy!D:D,A714,Entropy!I:I,CONCAT("&lt;",E714-1))</f>
        <v>0</v>
      </c>
      <c r="L714" s="79">
        <f t="shared" si="2"/>
        <v>15</v>
      </c>
      <c r="M714" s="79">
        <f t="array" ref="M714">max(min(IF(J714+K714=11,0,XLOOKUP(B714,Quotas!$A$8:$A$14,Quotas!$E$8:$E$14)-$L714),2),0)</f>
        <v>0</v>
      </c>
      <c r="N714" s="31">
        <f t="shared" si="3"/>
        <v>0</v>
      </c>
    </row>
    <row r="715">
      <c r="A715" s="31" t="s">
        <v>139</v>
      </c>
      <c r="B715" s="9">
        <v>3.0</v>
      </c>
      <c r="C715" s="31" t="str">
        <f>VLOOKUP(A715, 'College List'!A:B, 2, FALSE)</f>
        <v>Silverquill</v>
      </c>
      <c r="D715" s="355">
        <f>VLOOKUP(B715,Quotas!$A$8:$C$14,2,FALSE)</f>
        <v>46150.70833</v>
      </c>
      <c r="E715" s="356">
        <f>VLOOKUP(B715,Quotas!$A$8:$C$14,3,FALSE)</f>
        <v>46157.70833</v>
      </c>
      <c r="F715" s="79">
        <f>COUNTIFS(Matches!$B:$B,A715,Matches!$A:$A,CONCAT("&gt;",$D715),Matches!$A:$A,CONCAT("&lt;",$E715))</f>
        <v>3</v>
      </c>
      <c r="G715" s="79">
        <f>COUNTIFS(Matches!$C:$C,$A715,Matches!$A:$A,CONCAT("&gt;",$D715),Matches!$A:$A,CONCAT("&lt;",$E715))</f>
        <v>3</v>
      </c>
      <c r="H715" s="79">
        <f t="shared" si="1"/>
        <v>6</v>
      </c>
      <c r="I715" s="79">
        <f>COUNTIFS(Matches!$B:$B,$A715,Matches!$A:$A,CONCAT("&lt;",$E715))</f>
        <v>8</v>
      </c>
      <c r="J715" s="79">
        <f>COUNTIFS(Matches!$C:$C,$A715,Matches!$A:$A,CONCAT("&lt;",$E715))</f>
        <v>7</v>
      </c>
      <c r="K715" s="79">
        <f>COUNTIFS(Entropy!D:D,A715,Entropy!I:I,CONCAT("&lt;",E715-1))</f>
        <v>0</v>
      </c>
      <c r="L715" s="79">
        <f t="shared" si="2"/>
        <v>15</v>
      </c>
      <c r="M715" s="79">
        <f t="array" ref="M715">max(min(IF(J715+K715=11,0,XLOOKUP(B715,Quotas!$A$8:$A$14,Quotas!$E$8:$E$14)-$L715),2),0)</f>
        <v>0</v>
      </c>
      <c r="N715" s="31">
        <f t="shared" si="3"/>
        <v>0</v>
      </c>
    </row>
    <row r="716">
      <c r="A716" s="9" t="s">
        <v>334</v>
      </c>
      <c r="B716" s="9">
        <v>4.0</v>
      </c>
      <c r="C716" s="31" t="str">
        <f>VLOOKUP(A716, 'College List'!A:B, 2, FALSE)</f>
        <v>Prismari</v>
      </c>
      <c r="D716" s="355">
        <f>VLOOKUP(B716,Quotas!$A$8:$C$14,2,FALSE)</f>
        <v>46157.70833</v>
      </c>
      <c r="E716" s="356">
        <f>VLOOKUP(B716,Quotas!$A$8:$C$14,3,FALSE)</f>
        <v>46164.70833</v>
      </c>
      <c r="F716" s="79">
        <f>COUNTIFS(Matches!$B:$B,A716,Matches!$A:$A,CONCAT("&gt;",$D716),Matches!$A:$A,CONCAT("&lt;",$E716))</f>
        <v>0</v>
      </c>
      <c r="G716" s="79">
        <f>COUNTIFS(Matches!$C:$C,$A716,Matches!$A:$A,CONCAT("&gt;",$D716),Matches!$A:$A,CONCAT("&lt;",$E716))</f>
        <v>0</v>
      </c>
      <c r="H716" s="79">
        <f t="shared" si="1"/>
        <v>0</v>
      </c>
      <c r="I716" s="79">
        <f>COUNTIFS(Matches!$B:$B,$A716,Matches!$A:$A,CONCAT("&lt;",$E716))</f>
        <v>0</v>
      </c>
      <c r="J716" s="79">
        <f>COUNTIFS(Matches!$C:$C,$A716,Matches!$A:$A,CONCAT("&lt;",$E716))</f>
        <v>5</v>
      </c>
      <c r="K716" s="79">
        <f>COUNTIFS(Entropy!D:D,A716,Entropy!I:I,CONCAT("&lt;",E716-1))</f>
        <v>6</v>
      </c>
      <c r="L716" s="79">
        <f t="shared" si="2"/>
        <v>11</v>
      </c>
      <c r="M716" s="79">
        <f t="array" ref="M716">max(min(IF(J716+K716=11,0,XLOOKUP(B716,Quotas!$A$8:$A$14,Quotas!$E$8:$E$14)-$L716),2),0)</f>
        <v>0</v>
      </c>
      <c r="N716" s="31">
        <f t="shared" si="3"/>
        <v>0</v>
      </c>
    </row>
    <row r="717">
      <c r="A717" s="31" t="s">
        <v>96</v>
      </c>
      <c r="B717" s="9">
        <v>4.0</v>
      </c>
      <c r="C717" s="31" t="str">
        <f>VLOOKUP(A717, 'College List'!A:B, 2, FALSE)</f>
        <v>Silverquill</v>
      </c>
      <c r="D717" s="355">
        <f>VLOOKUP(B717,Quotas!$A$8:$C$14,2,FALSE)</f>
        <v>46157.70833</v>
      </c>
      <c r="E717" s="356">
        <f>VLOOKUP(B717,Quotas!$A$8:$C$14,3,FALSE)</f>
        <v>46164.70833</v>
      </c>
      <c r="F717" s="79">
        <f>COUNTIFS(Matches!$B:$B,A717,Matches!$A:$A,CONCAT("&gt;",$D717),Matches!$A:$A,CONCAT("&lt;",$E717))</f>
        <v>3</v>
      </c>
      <c r="G717" s="79">
        <f>COUNTIFS(Matches!$C:$C,$A717,Matches!$A:$A,CONCAT("&gt;",$D717),Matches!$A:$A,CONCAT("&lt;",$E717))</f>
        <v>2</v>
      </c>
      <c r="H717" s="79">
        <f t="shared" si="1"/>
        <v>5</v>
      </c>
      <c r="I717" s="79">
        <f>COUNTIFS(Matches!$B:$B,$A717,Matches!$A:$A,CONCAT("&lt;",$E717))</f>
        <v>12</v>
      </c>
      <c r="J717" s="79">
        <f>COUNTIFS(Matches!$C:$C,$A717,Matches!$A:$A,CONCAT("&lt;",$E717))</f>
        <v>8</v>
      </c>
      <c r="K717" s="79">
        <f>COUNTIFS(Entropy!D:D,A717,Entropy!I:I,CONCAT("&lt;",E717-1))</f>
        <v>0</v>
      </c>
      <c r="L717" s="79">
        <f t="shared" si="2"/>
        <v>20</v>
      </c>
      <c r="M717" s="79">
        <f t="array" ref="M717">max(min(IF(J717+K717=11,0,XLOOKUP(B717,Quotas!$A$8:$A$14,Quotas!$E$8:$E$14)-$L717),2),0)</f>
        <v>0</v>
      </c>
      <c r="N717" s="31">
        <f t="shared" si="3"/>
        <v>0</v>
      </c>
    </row>
    <row r="718">
      <c r="A718" s="31" t="s">
        <v>409</v>
      </c>
      <c r="B718" s="9">
        <v>4.0</v>
      </c>
      <c r="C718" s="31" t="str">
        <f>VLOOKUP(A718, 'College List'!A:B, 2, FALSE)</f>
        <v>Witherbloom</v>
      </c>
      <c r="D718" s="355">
        <f>VLOOKUP(B718,Quotas!$A$8:$C$14,2,FALSE)</f>
        <v>46157.70833</v>
      </c>
      <c r="E718" s="356">
        <f>VLOOKUP(B718,Quotas!$A$8:$C$14,3,FALSE)</f>
        <v>46164.70833</v>
      </c>
      <c r="F718" s="79">
        <f>COUNTIFS(Matches!$B:$B,A718,Matches!$A:$A,CONCAT("&gt;",$D718),Matches!$A:$A,CONCAT("&lt;",$E718))</f>
        <v>3</v>
      </c>
      <c r="G718" s="79">
        <f>COUNTIFS(Matches!$C:$C,$A718,Matches!$A:$A,CONCAT("&gt;",$D718),Matches!$A:$A,CONCAT("&lt;",$E718))</f>
        <v>2</v>
      </c>
      <c r="H718" s="79">
        <f t="shared" si="1"/>
        <v>5</v>
      </c>
      <c r="I718" s="79">
        <f>COUNTIFS(Matches!$B:$B,$A718,Matches!$A:$A,CONCAT("&lt;",$E718))</f>
        <v>9</v>
      </c>
      <c r="J718" s="79">
        <f>COUNTIFS(Matches!$C:$C,$A718,Matches!$A:$A,CONCAT("&lt;",$E718))</f>
        <v>11</v>
      </c>
      <c r="K718" s="79">
        <f>COUNTIFS(Entropy!D:D,A718,Entropy!I:I,CONCAT("&lt;",E718-1))</f>
        <v>0</v>
      </c>
      <c r="L718" s="79">
        <f t="shared" si="2"/>
        <v>20</v>
      </c>
      <c r="M718" s="79">
        <f t="array" ref="M718">max(min(IF(J718+K718=11,0,XLOOKUP(B718,Quotas!$A$8:$A$14,Quotas!$E$8:$E$14)-$L718),2),0)</f>
        <v>0</v>
      </c>
      <c r="N718" s="31">
        <f t="shared" si="3"/>
        <v>0</v>
      </c>
    </row>
    <row r="719">
      <c r="A719" s="31" t="s">
        <v>77</v>
      </c>
      <c r="B719" s="9">
        <v>4.0</v>
      </c>
      <c r="C719" s="31" t="str">
        <f>VLOOKUP(A719, 'College List'!A:B, 2, FALSE)</f>
        <v>Quandrix</v>
      </c>
      <c r="D719" s="355">
        <f>VLOOKUP(B719,Quotas!$A$8:$C$14,2,FALSE)</f>
        <v>46157.70833</v>
      </c>
      <c r="E719" s="356">
        <f>VLOOKUP(B719,Quotas!$A$8:$C$14,3,FALSE)</f>
        <v>46164.70833</v>
      </c>
      <c r="F719" s="79">
        <f>COUNTIFS(Matches!$B:$B,A719,Matches!$A:$A,CONCAT("&gt;",$D719),Matches!$A:$A,CONCAT("&lt;",$E719))</f>
        <v>0</v>
      </c>
      <c r="G719" s="79">
        <f>COUNTIFS(Matches!$C:$C,$A719,Matches!$A:$A,CONCAT("&gt;",$D719),Matches!$A:$A,CONCAT("&lt;",$E719))</f>
        <v>0</v>
      </c>
      <c r="H719" s="79">
        <f t="shared" si="1"/>
        <v>0</v>
      </c>
      <c r="I719" s="79">
        <f>COUNTIFS(Matches!$B:$B,$A719,Matches!$A:$A,CONCAT("&lt;",$E719))</f>
        <v>4</v>
      </c>
      <c r="J719" s="79">
        <f>COUNTIFS(Matches!$C:$C,$A719,Matches!$A:$A,CONCAT("&lt;",$E719))</f>
        <v>7</v>
      </c>
      <c r="K719" s="79">
        <f>COUNTIFS(Entropy!D:D,A719,Entropy!I:I,CONCAT("&lt;",E719-1))</f>
        <v>2</v>
      </c>
      <c r="L719" s="79">
        <f t="shared" si="2"/>
        <v>13</v>
      </c>
      <c r="M719" s="79">
        <f t="array" ref="M719">max(min(IF(J719+K719=11,0,XLOOKUP(B719,Quotas!$A$8:$A$14,Quotas!$E$8:$E$14)-$L719),2),0)</f>
        <v>2</v>
      </c>
      <c r="N719" s="31">
        <f t="shared" si="3"/>
        <v>0</v>
      </c>
    </row>
    <row r="720">
      <c r="A720" s="31" t="s">
        <v>238</v>
      </c>
      <c r="B720" s="9">
        <v>4.0</v>
      </c>
      <c r="C720" s="31" t="str">
        <f>VLOOKUP(A720, 'College List'!A:B, 2, FALSE)</f>
        <v>Silverquill</v>
      </c>
      <c r="D720" s="355">
        <f>VLOOKUP(B720,Quotas!$A$8:$C$14,2,FALSE)</f>
        <v>46157.70833</v>
      </c>
      <c r="E720" s="356">
        <f>VLOOKUP(B720,Quotas!$A$8:$C$14,3,FALSE)</f>
        <v>46164.70833</v>
      </c>
      <c r="F720" s="79">
        <f>COUNTIFS(Matches!$B:$B,A720,Matches!$A:$A,CONCAT("&gt;",$D720),Matches!$A:$A,CONCAT("&lt;",$E720))</f>
        <v>5</v>
      </c>
      <c r="G720" s="79">
        <f>COUNTIFS(Matches!$C:$C,$A720,Matches!$A:$A,CONCAT("&gt;",$D720),Matches!$A:$A,CONCAT("&lt;",$E720))</f>
        <v>1</v>
      </c>
      <c r="H720" s="79">
        <f t="shared" si="1"/>
        <v>6</v>
      </c>
      <c r="I720" s="79">
        <f>COUNTIFS(Matches!$B:$B,$A720,Matches!$A:$A,CONCAT("&lt;",$E720))</f>
        <v>14</v>
      </c>
      <c r="J720" s="79">
        <f>COUNTIFS(Matches!$C:$C,$A720,Matches!$A:$A,CONCAT("&lt;",$E720))</f>
        <v>6</v>
      </c>
      <c r="K720" s="79">
        <f>COUNTIFS(Entropy!D:D,A720,Entropy!I:I,CONCAT("&lt;",E720-1))</f>
        <v>0</v>
      </c>
      <c r="L720" s="79">
        <f t="shared" si="2"/>
        <v>20</v>
      </c>
      <c r="M720" s="79">
        <f t="array" ref="M720">max(min(IF(J720+K720=11,0,XLOOKUP(B720,Quotas!$A$8:$A$14,Quotas!$E$8:$E$14)-$L720),2),0)</f>
        <v>0</v>
      </c>
      <c r="N720" s="31">
        <f t="shared" si="3"/>
        <v>0</v>
      </c>
    </row>
    <row r="721">
      <c r="A721" s="31" t="s">
        <v>252</v>
      </c>
      <c r="B721" s="9">
        <v>4.0</v>
      </c>
      <c r="C721" s="31" t="str">
        <f>VLOOKUP(A721, 'College List'!A:B, 2, FALSE)</f>
        <v>Quandrix</v>
      </c>
      <c r="D721" s="355">
        <f>VLOOKUP(B721,Quotas!$A$8:$C$14,2,FALSE)</f>
        <v>46157.70833</v>
      </c>
      <c r="E721" s="356">
        <f>VLOOKUP(B721,Quotas!$A$8:$C$14,3,FALSE)</f>
        <v>46164.70833</v>
      </c>
      <c r="F721" s="79">
        <f>COUNTIFS(Matches!$B:$B,A721,Matches!$A:$A,CONCAT("&gt;",$D721),Matches!$A:$A,CONCAT("&lt;",$E721))</f>
        <v>3</v>
      </c>
      <c r="G721" s="79">
        <f>COUNTIFS(Matches!$C:$C,$A721,Matches!$A:$A,CONCAT("&gt;",$D721),Matches!$A:$A,CONCAT("&lt;",$E721))</f>
        <v>1</v>
      </c>
      <c r="H721" s="79">
        <f t="shared" si="1"/>
        <v>4</v>
      </c>
      <c r="I721" s="79">
        <f>COUNTIFS(Matches!$B:$B,$A721,Matches!$A:$A,CONCAT("&lt;",$E721))</f>
        <v>10</v>
      </c>
      <c r="J721" s="79">
        <f>COUNTIFS(Matches!$C:$C,$A721,Matches!$A:$A,CONCAT("&lt;",$E721))</f>
        <v>6</v>
      </c>
      <c r="K721" s="79">
        <f>COUNTIFS(Entropy!D:D,A721,Entropy!I:I,CONCAT("&lt;",E721-1))</f>
        <v>1</v>
      </c>
      <c r="L721" s="79">
        <f t="shared" si="2"/>
        <v>17</v>
      </c>
      <c r="M721" s="79">
        <f t="array" ref="M721">max(min(IF(J721+K721=11,0,XLOOKUP(B721,Quotas!$A$8:$A$14,Quotas!$E$8:$E$14)-$L721),2),0)</f>
        <v>2</v>
      </c>
      <c r="N721" s="31">
        <f t="shared" si="3"/>
        <v>1</v>
      </c>
    </row>
    <row r="722">
      <c r="A722" s="31" t="s">
        <v>284</v>
      </c>
      <c r="B722" s="9">
        <v>4.0</v>
      </c>
      <c r="C722" s="31" t="str">
        <f>VLOOKUP(A722, 'College List'!A:B, 2, FALSE)</f>
        <v>Lorehold</v>
      </c>
      <c r="D722" s="355">
        <f>VLOOKUP(B722,Quotas!$A$8:$C$14,2,FALSE)</f>
        <v>46157.70833</v>
      </c>
      <c r="E722" s="356">
        <f>VLOOKUP(B722,Quotas!$A$8:$C$14,3,FALSE)</f>
        <v>46164.70833</v>
      </c>
      <c r="F722" s="79">
        <f>COUNTIFS(Matches!$B:$B,A722,Matches!$A:$A,CONCAT("&gt;",$D722),Matches!$A:$A,CONCAT("&lt;",$E722))</f>
        <v>3</v>
      </c>
      <c r="G722" s="79">
        <f>COUNTIFS(Matches!$C:$C,$A722,Matches!$A:$A,CONCAT("&gt;",$D722),Matches!$A:$A,CONCAT("&lt;",$E722))</f>
        <v>2</v>
      </c>
      <c r="H722" s="79">
        <f t="shared" si="1"/>
        <v>5</v>
      </c>
      <c r="I722" s="79">
        <f>COUNTIFS(Matches!$B:$B,$A722,Matches!$A:$A,CONCAT("&lt;",$E722))</f>
        <v>13</v>
      </c>
      <c r="J722" s="79">
        <f>COUNTIFS(Matches!$C:$C,$A722,Matches!$A:$A,CONCAT("&lt;",$E722))</f>
        <v>7</v>
      </c>
      <c r="K722" s="79">
        <f>COUNTIFS(Entropy!D:D,A722,Entropy!I:I,CONCAT("&lt;",E722-1))</f>
        <v>0</v>
      </c>
      <c r="L722" s="79">
        <f t="shared" si="2"/>
        <v>20</v>
      </c>
      <c r="M722" s="79">
        <f t="array" ref="M722">max(min(IF(J722+K722=11,0,XLOOKUP(B722,Quotas!$A$8:$A$14,Quotas!$E$8:$E$14)-$L722),2),0)</f>
        <v>0</v>
      </c>
      <c r="N722" s="31">
        <f t="shared" si="3"/>
        <v>0</v>
      </c>
    </row>
    <row r="723">
      <c r="A723" s="31" t="s">
        <v>189</v>
      </c>
      <c r="B723" s="9">
        <v>4.0</v>
      </c>
      <c r="C723" s="31" t="str">
        <f>VLOOKUP(A723, 'College List'!A:B, 2, FALSE)</f>
        <v>Witherbloom</v>
      </c>
      <c r="D723" s="355">
        <f>VLOOKUP(B723,Quotas!$A$8:$C$14,2,FALSE)</f>
        <v>46157.70833</v>
      </c>
      <c r="E723" s="356">
        <f>VLOOKUP(B723,Quotas!$A$8:$C$14,3,FALSE)</f>
        <v>46164.70833</v>
      </c>
      <c r="F723" s="79">
        <f>COUNTIFS(Matches!$B:$B,A723,Matches!$A:$A,CONCAT("&gt;",$D723),Matches!$A:$A,CONCAT("&lt;",$E723))</f>
        <v>1</v>
      </c>
      <c r="G723" s="79">
        <f>COUNTIFS(Matches!$C:$C,$A723,Matches!$A:$A,CONCAT("&gt;",$D723),Matches!$A:$A,CONCAT("&lt;",$E723))</f>
        <v>4</v>
      </c>
      <c r="H723" s="79">
        <f t="shared" si="1"/>
        <v>5</v>
      </c>
      <c r="I723" s="79">
        <f>COUNTIFS(Matches!$B:$B,$A723,Matches!$A:$A,CONCAT("&lt;",$E723))</f>
        <v>10</v>
      </c>
      <c r="J723" s="79">
        <f>COUNTIFS(Matches!$C:$C,$A723,Matches!$A:$A,CONCAT("&lt;",$E723))</f>
        <v>10</v>
      </c>
      <c r="K723" s="79">
        <f>COUNTIFS(Entropy!D:D,A723,Entropy!I:I,CONCAT("&lt;",E723-1))</f>
        <v>0</v>
      </c>
      <c r="L723" s="79">
        <f t="shared" si="2"/>
        <v>20</v>
      </c>
      <c r="M723" s="79">
        <f t="array" ref="M723">max(min(IF(J723+K723=11,0,XLOOKUP(B723,Quotas!$A$8:$A$14,Quotas!$E$8:$E$14)-$L723),2),0)</f>
        <v>0</v>
      </c>
      <c r="N723" s="31">
        <f t="shared" si="3"/>
        <v>0</v>
      </c>
    </row>
    <row r="724">
      <c r="A724" s="31" t="s">
        <v>66</v>
      </c>
      <c r="B724" s="9">
        <v>4.0</v>
      </c>
      <c r="C724" s="31" t="str">
        <f>VLOOKUP(A724, 'College List'!A:B, 2, FALSE)</f>
        <v>Prismari</v>
      </c>
      <c r="D724" s="355">
        <f>VLOOKUP(B724,Quotas!$A$8:$C$14,2,FALSE)</f>
        <v>46157.70833</v>
      </c>
      <c r="E724" s="356">
        <f>VLOOKUP(B724,Quotas!$A$8:$C$14,3,FALSE)</f>
        <v>46164.70833</v>
      </c>
      <c r="F724" s="79">
        <f>COUNTIFS(Matches!$B:$B,A724,Matches!$A:$A,CONCAT("&gt;",$D724),Matches!$A:$A,CONCAT("&lt;",$E724))</f>
        <v>0</v>
      </c>
      <c r="G724" s="79">
        <f>COUNTIFS(Matches!$C:$C,$A724,Matches!$A:$A,CONCAT("&gt;",$D724),Matches!$A:$A,CONCAT("&lt;",$E724))</f>
        <v>2</v>
      </c>
      <c r="H724" s="79">
        <f t="shared" si="1"/>
        <v>2</v>
      </c>
      <c r="I724" s="79">
        <f>COUNTIFS(Matches!$B:$B,$A724,Matches!$A:$A,CONCAT("&lt;",$E724))</f>
        <v>6</v>
      </c>
      <c r="J724" s="79">
        <f>COUNTIFS(Matches!$C:$C,$A724,Matches!$A:$A,CONCAT("&lt;",$E724))</f>
        <v>11</v>
      </c>
      <c r="K724" s="79">
        <f>COUNTIFS(Entropy!D:D,A724,Entropy!I:I,CONCAT("&lt;",E724-1))</f>
        <v>0</v>
      </c>
      <c r="L724" s="79">
        <f t="shared" si="2"/>
        <v>17</v>
      </c>
      <c r="M724" s="79">
        <f t="array" ref="M724">max(min(IF(J724+K724=11,0,XLOOKUP(B724,Quotas!$A$8:$A$14,Quotas!$E$8:$E$14)-$L724),2),0)</f>
        <v>0</v>
      </c>
      <c r="N724" s="31">
        <f t="shared" si="3"/>
        <v>0</v>
      </c>
    </row>
    <row r="725">
      <c r="A725" s="31" t="s">
        <v>350</v>
      </c>
      <c r="B725" s="9">
        <v>4.0</v>
      </c>
      <c r="C725" s="31" t="str">
        <f>VLOOKUP(A725, 'College List'!A:B, 2, FALSE)</f>
        <v>Witherbloom</v>
      </c>
      <c r="D725" s="355">
        <f>VLOOKUP(B725,Quotas!$A$8:$C$14,2,FALSE)</f>
        <v>46157.70833</v>
      </c>
      <c r="E725" s="356">
        <f>VLOOKUP(B725,Quotas!$A$8:$C$14,3,FALSE)</f>
        <v>46164.70833</v>
      </c>
      <c r="F725" s="79">
        <f>COUNTIFS(Matches!$B:$B,A725,Matches!$A:$A,CONCAT("&gt;",$D725),Matches!$A:$A,CONCAT("&lt;",$E725))</f>
        <v>3</v>
      </c>
      <c r="G725" s="79">
        <f>COUNTIFS(Matches!$C:$C,$A725,Matches!$A:$A,CONCAT("&gt;",$D725),Matches!$A:$A,CONCAT("&lt;",$E725))</f>
        <v>2</v>
      </c>
      <c r="H725" s="79">
        <f t="shared" si="1"/>
        <v>5</v>
      </c>
      <c r="I725" s="79">
        <f>COUNTIFS(Matches!$B:$B,$A725,Matches!$A:$A,CONCAT("&lt;",$E725))</f>
        <v>15</v>
      </c>
      <c r="J725" s="79">
        <f>COUNTIFS(Matches!$C:$C,$A725,Matches!$A:$A,CONCAT("&lt;",$E725))</f>
        <v>5</v>
      </c>
      <c r="K725" s="79">
        <f>COUNTIFS(Entropy!D:D,A725,Entropy!I:I,CONCAT("&lt;",E725-1))</f>
        <v>0</v>
      </c>
      <c r="L725" s="79">
        <f t="shared" si="2"/>
        <v>20</v>
      </c>
      <c r="M725" s="79">
        <f t="array" ref="M725">max(min(IF(J725+K725=11,0,XLOOKUP(B725,Quotas!$A$8:$A$14,Quotas!$E$8:$E$14)-$L725),2),0)</f>
        <v>0</v>
      </c>
      <c r="N725" s="31">
        <f t="shared" si="3"/>
        <v>0</v>
      </c>
    </row>
    <row r="726">
      <c r="A726" s="31" t="s">
        <v>308</v>
      </c>
      <c r="B726" s="9">
        <v>4.0</v>
      </c>
      <c r="C726" s="31" t="str">
        <f>VLOOKUP(A726, 'College List'!A:B, 2, FALSE)</f>
        <v>Witherbloom</v>
      </c>
      <c r="D726" s="355">
        <f>VLOOKUP(B726,Quotas!$A$8:$C$14,2,FALSE)</f>
        <v>46157.70833</v>
      </c>
      <c r="E726" s="356">
        <f>VLOOKUP(B726,Quotas!$A$8:$C$14,3,FALSE)</f>
        <v>46164.70833</v>
      </c>
      <c r="F726" s="79">
        <f>COUNTIFS(Matches!$B:$B,A726,Matches!$A:$A,CONCAT("&gt;",$D726),Matches!$A:$A,CONCAT("&lt;",$E726))</f>
        <v>0</v>
      </c>
      <c r="G726" s="79">
        <f>COUNTIFS(Matches!$C:$C,$A726,Matches!$A:$A,CONCAT("&gt;",$D726),Matches!$A:$A,CONCAT("&lt;",$E726))</f>
        <v>3</v>
      </c>
      <c r="H726" s="79">
        <f t="shared" si="1"/>
        <v>3</v>
      </c>
      <c r="I726" s="79">
        <f>COUNTIFS(Matches!$B:$B,$A726,Matches!$A:$A,CONCAT("&lt;",$E726))</f>
        <v>5</v>
      </c>
      <c r="J726" s="79">
        <f>COUNTIFS(Matches!$C:$C,$A726,Matches!$A:$A,CONCAT("&lt;",$E726))</f>
        <v>11</v>
      </c>
      <c r="K726" s="79">
        <f>COUNTIFS(Entropy!D:D,A726,Entropy!I:I,CONCAT("&lt;",E726-1))</f>
        <v>0</v>
      </c>
      <c r="L726" s="79">
        <f t="shared" si="2"/>
        <v>16</v>
      </c>
      <c r="M726" s="79">
        <f t="array" ref="M726">max(min(IF(J726+K726=11,0,XLOOKUP(B726,Quotas!$A$8:$A$14,Quotas!$E$8:$E$14)-$L726),2),0)</f>
        <v>0</v>
      </c>
      <c r="N726" s="31">
        <f t="shared" si="3"/>
        <v>0</v>
      </c>
    </row>
    <row r="727">
      <c r="A727" s="31" t="s">
        <v>344</v>
      </c>
      <c r="B727" s="9">
        <v>4.0</v>
      </c>
      <c r="C727" s="31" t="str">
        <f>VLOOKUP(A727, 'College List'!A:B, 2, FALSE)</f>
        <v>Prismari</v>
      </c>
      <c r="D727" s="355">
        <f>VLOOKUP(B727,Quotas!$A$8:$C$14,2,FALSE)</f>
        <v>46157.70833</v>
      </c>
      <c r="E727" s="356">
        <f>VLOOKUP(B727,Quotas!$A$8:$C$14,3,FALSE)</f>
        <v>46164.70833</v>
      </c>
      <c r="F727" s="79">
        <f>COUNTIFS(Matches!$B:$B,A727,Matches!$A:$A,CONCAT("&gt;",$D727),Matches!$A:$A,CONCAT("&lt;",$E727))</f>
        <v>4</v>
      </c>
      <c r="G727" s="79">
        <f>COUNTIFS(Matches!$C:$C,$A727,Matches!$A:$A,CONCAT("&gt;",$D727),Matches!$A:$A,CONCAT("&lt;",$E727))</f>
        <v>1</v>
      </c>
      <c r="H727" s="79">
        <f t="shared" si="1"/>
        <v>5</v>
      </c>
      <c r="I727" s="79">
        <f>COUNTIFS(Matches!$B:$B,$A727,Matches!$A:$A,CONCAT("&lt;",$E727))</f>
        <v>12</v>
      </c>
      <c r="J727" s="79">
        <f>COUNTIFS(Matches!$C:$C,$A727,Matches!$A:$A,CONCAT("&lt;",$E727))</f>
        <v>8</v>
      </c>
      <c r="K727" s="79">
        <f>COUNTIFS(Entropy!D:D,A727,Entropy!I:I,CONCAT("&lt;",E727-1))</f>
        <v>0</v>
      </c>
      <c r="L727" s="79">
        <f t="shared" si="2"/>
        <v>20</v>
      </c>
      <c r="M727" s="79">
        <f t="array" ref="M727">max(min(IF(J727+K727=11,0,XLOOKUP(B727,Quotas!$A$8:$A$14,Quotas!$E$8:$E$14)-$L727),2),0)</f>
        <v>0</v>
      </c>
      <c r="N727" s="31">
        <f t="shared" si="3"/>
        <v>0</v>
      </c>
    </row>
    <row r="728">
      <c r="A728" s="31" t="s">
        <v>371</v>
      </c>
      <c r="B728" s="9">
        <v>4.0</v>
      </c>
      <c r="C728" s="31" t="str">
        <f>VLOOKUP(A728, 'College List'!A:B, 2, FALSE)</f>
        <v>Quandrix</v>
      </c>
      <c r="D728" s="355">
        <f>VLOOKUP(B728,Quotas!$A$8:$C$14,2,FALSE)</f>
        <v>46157.70833</v>
      </c>
      <c r="E728" s="356">
        <f>VLOOKUP(B728,Quotas!$A$8:$C$14,3,FALSE)</f>
        <v>46164.70833</v>
      </c>
      <c r="F728" s="79">
        <f>COUNTIFS(Matches!$B:$B,A728,Matches!$A:$A,CONCAT("&gt;",$D728),Matches!$A:$A,CONCAT("&lt;",$E728))</f>
        <v>1</v>
      </c>
      <c r="G728" s="79">
        <f>COUNTIFS(Matches!$C:$C,$A728,Matches!$A:$A,CONCAT("&gt;",$D728),Matches!$A:$A,CONCAT("&lt;",$E728))</f>
        <v>4</v>
      </c>
      <c r="H728" s="79">
        <f t="shared" si="1"/>
        <v>5</v>
      </c>
      <c r="I728" s="79">
        <f>COUNTIFS(Matches!$B:$B,$A728,Matches!$A:$A,CONCAT("&lt;",$E728))</f>
        <v>7</v>
      </c>
      <c r="J728" s="79">
        <f>COUNTIFS(Matches!$C:$C,$A728,Matches!$A:$A,CONCAT("&lt;",$E728))</f>
        <v>11</v>
      </c>
      <c r="K728" s="79">
        <f>COUNTIFS(Entropy!D:D,A728,Entropy!I:I,CONCAT("&lt;",E728-1))</f>
        <v>0</v>
      </c>
      <c r="L728" s="79">
        <f t="shared" si="2"/>
        <v>18</v>
      </c>
      <c r="M728" s="79">
        <f t="array" ref="M728">max(min(IF(J728+K728=11,0,XLOOKUP(B728,Quotas!$A$8:$A$14,Quotas!$E$8:$E$14)-$L728),2),0)</f>
        <v>0</v>
      </c>
      <c r="N728" s="31">
        <f t="shared" si="3"/>
        <v>0</v>
      </c>
    </row>
    <row r="729">
      <c r="A729" s="31" t="s">
        <v>296</v>
      </c>
      <c r="B729" s="9">
        <v>4.0</v>
      </c>
      <c r="C729" s="31" t="str">
        <f>VLOOKUP(A729, 'College List'!A:B, 2, FALSE)</f>
        <v>Witherbloom</v>
      </c>
      <c r="D729" s="355">
        <f>VLOOKUP(B729,Quotas!$A$8:$C$14,2,FALSE)</f>
        <v>46157.70833</v>
      </c>
      <c r="E729" s="356">
        <f>VLOOKUP(B729,Quotas!$A$8:$C$14,3,FALSE)</f>
        <v>46164.70833</v>
      </c>
      <c r="F729" s="79">
        <f>COUNTIFS(Matches!$B:$B,A729,Matches!$A:$A,CONCAT("&gt;",$D729),Matches!$A:$A,CONCAT("&lt;",$E729))</f>
        <v>4</v>
      </c>
      <c r="G729" s="79">
        <f>COUNTIFS(Matches!$C:$C,$A729,Matches!$A:$A,CONCAT("&gt;",$D729),Matches!$A:$A,CONCAT("&lt;",$E729))</f>
        <v>1</v>
      </c>
      <c r="H729" s="79">
        <f t="shared" si="1"/>
        <v>5</v>
      </c>
      <c r="I729" s="79">
        <f>COUNTIFS(Matches!$B:$B,$A729,Matches!$A:$A,CONCAT("&lt;",$E729))</f>
        <v>16</v>
      </c>
      <c r="J729" s="79">
        <f>COUNTIFS(Matches!$C:$C,$A729,Matches!$A:$A,CONCAT("&lt;",$E729))</f>
        <v>4</v>
      </c>
      <c r="K729" s="79">
        <f>COUNTIFS(Entropy!D:D,A729,Entropy!I:I,CONCAT("&lt;",E729-1))</f>
        <v>0</v>
      </c>
      <c r="L729" s="79">
        <f t="shared" si="2"/>
        <v>20</v>
      </c>
      <c r="M729" s="79">
        <f t="array" ref="M729">max(min(IF(J729+K729=11,0,XLOOKUP(B729,Quotas!$A$8:$A$14,Quotas!$E$8:$E$14)-$L729),2),0)</f>
        <v>0</v>
      </c>
      <c r="N729" s="31">
        <f t="shared" si="3"/>
        <v>0</v>
      </c>
    </row>
    <row r="730">
      <c r="A730" s="31" t="s">
        <v>61</v>
      </c>
      <c r="B730" s="9">
        <v>4.0</v>
      </c>
      <c r="C730" s="31" t="str">
        <f>VLOOKUP(A730, 'College List'!A:B, 2, FALSE)</f>
        <v>Lorehold</v>
      </c>
      <c r="D730" s="355">
        <f>VLOOKUP(B730,Quotas!$A$8:$C$14,2,FALSE)</f>
        <v>46157.70833</v>
      </c>
      <c r="E730" s="356">
        <f>VLOOKUP(B730,Quotas!$A$8:$C$14,3,FALSE)</f>
        <v>46164.70833</v>
      </c>
      <c r="F730" s="79">
        <f>COUNTIFS(Matches!$B:$B,A730,Matches!$A:$A,CONCAT("&gt;",$D730),Matches!$A:$A,CONCAT("&lt;",$E730))</f>
        <v>2</v>
      </c>
      <c r="G730" s="79">
        <f>COUNTIFS(Matches!$C:$C,$A730,Matches!$A:$A,CONCAT("&gt;",$D730),Matches!$A:$A,CONCAT("&lt;",$E730))</f>
        <v>3</v>
      </c>
      <c r="H730" s="79">
        <f t="shared" si="1"/>
        <v>5</v>
      </c>
      <c r="I730" s="79">
        <f>COUNTIFS(Matches!$B:$B,$A730,Matches!$A:$A,CONCAT("&lt;",$E730))</f>
        <v>11</v>
      </c>
      <c r="J730" s="79">
        <f>COUNTIFS(Matches!$C:$C,$A730,Matches!$A:$A,CONCAT("&lt;",$E730))</f>
        <v>9</v>
      </c>
      <c r="K730" s="79">
        <f>COUNTIFS(Entropy!D:D,A730,Entropy!I:I,CONCAT("&lt;",E730-1))</f>
        <v>0</v>
      </c>
      <c r="L730" s="79">
        <f t="shared" si="2"/>
        <v>20</v>
      </c>
      <c r="M730" s="79">
        <f t="array" ref="M730">max(min(IF(J730+K730=11,0,XLOOKUP(B730,Quotas!$A$8:$A$14,Quotas!$E$8:$E$14)-$L730),2),0)</f>
        <v>0</v>
      </c>
      <c r="N730" s="31">
        <f t="shared" si="3"/>
        <v>0</v>
      </c>
    </row>
    <row r="731">
      <c r="A731" s="31" t="s">
        <v>63</v>
      </c>
      <c r="B731" s="9">
        <v>4.0</v>
      </c>
      <c r="C731" s="31" t="str">
        <f>VLOOKUP(A731, 'College List'!A:B, 2, FALSE)</f>
        <v>Quandrix</v>
      </c>
      <c r="D731" s="355">
        <f>VLOOKUP(B731,Quotas!$A$8:$C$14,2,FALSE)</f>
        <v>46157.70833</v>
      </c>
      <c r="E731" s="356">
        <f>VLOOKUP(B731,Quotas!$A$8:$C$14,3,FALSE)</f>
        <v>46164.70833</v>
      </c>
      <c r="F731" s="79">
        <f>COUNTIFS(Matches!$B:$B,A731,Matches!$A:$A,CONCAT("&gt;",$D731),Matches!$A:$A,CONCAT("&lt;",$E731))</f>
        <v>3</v>
      </c>
      <c r="G731" s="79">
        <f>COUNTIFS(Matches!$C:$C,$A731,Matches!$A:$A,CONCAT("&gt;",$D731),Matches!$A:$A,CONCAT("&lt;",$E731))</f>
        <v>2</v>
      </c>
      <c r="H731" s="79">
        <f t="shared" si="1"/>
        <v>5</v>
      </c>
      <c r="I731" s="79">
        <f>COUNTIFS(Matches!$B:$B,$A731,Matches!$A:$A,CONCAT("&lt;",$E731))</f>
        <v>10</v>
      </c>
      <c r="J731" s="79">
        <f>COUNTIFS(Matches!$C:$C,$A731,Matches!$A:$A,CONCAT("&lt;",$E731))</f>
        <v>10</v>
      </c>
      <c r="K731" s="79">
        <f>COUNTIFS(Entropy!D:D,A731,Entropy!I:I,CONCAT("&lt;",E731-1))</f>
        <v>0</v>
      </c>
      <c r="L731" s="79">
        <f t="shared" si="2"/>
        <v>20</v>
      </c>
      <c r="M731" s="79">
        <f t="array" ref="M731">max(min(IF(J731+K731=11,0,XLOOKUP(B731,Quotas!$A$8:$A$14,Quotas!$E$8:$E$14)-$L731),2),0)</f>
        <v>0</v>
      </c>
      <c r="N731" s="31">
        <f t="shared" si="3"/>
        <v>0</v>
      </c>
    </row>
    <row r="732">
      <c r="A732" s="31" t="s">
        <v>271</v>
      </c>
      <c r="B732" s="9">
        <v>4.0</v>
      </c>
      <c r="C732" s="31" t="str">
        <f>VLOOKUP(A732, 'College List'!A:B, 2, FALSE)</f>
        <v>Lorehold</v>
      </c>
      <c r="D732" s="355">
        <f>VLOOKUP(B732,Quotas!$A$8:$C$14,2,FALSE)</f>
        <v>46157.70833</v>
      </c>
      <c r="E732" s="356">
        <f>VLOOKUP(B732,Quotas!$A$8:$C$14,3,FALSE)</f>
        <v>46164.70833</v>
      </c>
      <c r="F732" s="79">
        <f>COUNTIFS(Matches!$B:$B,A732,Matches!$A:$A,CONCAT("&gt;",$D732),Matches!$A:$A,CONCAT("&lt;",$E732))</f>
        <v>1</v>
      </c>
      <c r="G732" s="79">
        <f>COUNTIFS(Matches!$C:$C,$A732,Matches!$A:$A,CONCAT("&gt;",$D732),Matches!$A:$A,CONCAT("&lt;",$E732))</f>
        <v>2</v>
      </c>
      <c r="H732" s="79">
        <f t="shared" si="1"/>
        <v>3</v>
      </c>
      <c r="I732" s="79">
        <f>COUNTIFS(Matches!$B:$B,$A732,Matches!$A:$A,CONCAT("&lt;",$E732))</f>
        <v>12</v>
      </c>
      <c r="J732" s="79">
        <f>COUNTIFS(Matches!$C:$C,$A732,Matches!$A:$A,CONCAT("&lt;",$E732))</f>
        <v>6</v>
      </c>
      <c r="K732" s="79">
        <f>COUNTIFS(Entropy!D:D,A732,Entropy!I:I,CONCAT("&lt;",E732-1))</f>
        <v>0</v>
      </c>
      <c r="L732" s="79">
        <f t="shared" si="2"/>
        <v>18</v>
      </c>
      <c r="M732" s="79">
        <f t="array" ref="M732">max(min(IF(J732+K732=11,0,XLOOKUP(B732,Quotas!$A$8:$A$14,Quotas!$E$8:$E$14)-$L732),2),0)</f>
        <v>2</v>
      </c>
      <c r="N732" s="31">
        <f t="shared" si="3"/>
        <v>1</v>
      </c>
    </row>
    <row r="733">
      <c r="A733" s="31" t="s">
        <v>369</v>
      </c>
      <c r="B733" s="9">
        <v>4.0</v>
      </c>
      <c r="C733" s="31" t="str">
        <f>VLOOKUP(A733, 'College List'!A:B, 2, FALSE)</f>
        <v>Silverquill</v>
      </c>
      <c r="D733" s="355">
        <f>VLOOKUP(B733,Quotas!$A$8:$C$14,2,FALSE)</f>
        <v>46157.70833</v>
      </c>
      <c r="E733" s="356">
        <f>VLOOKUP(B733,Quotas!$A$8:$C$14,3,FALSE)</f>
        <v>46164.70833</v>
      </c>
      <c r="F733" s="79">
        <f>COUNTIFS(Matches!$B:$B,A733,Matches!$A:$A,CONCAT("&gt;",$D733),Matches!$A:$A,CONCAT("&lt;",$E733))</f>
        <v>1</v>
      </c>
      <c r="G733" s="79">
        <f>COUNTIFS(Matches!$C:$C,$A733,Matches!$A:$A,CONCAT("&gt;",$D733),Matches!$A:$A,CONCAT("&lt;",$E733))</f>
        <v>3</v>
      </c>
      <c r="H733" s="79">
        <f t="shared" si="1"/>
        <v>4</v>
      </c>
      <c r="I733" s="79">
        <f>COUNTIFS(Matches!$B:$B,$A733,Matches!$A:$A,CONCAT("&lt;",$E733))</f>
        <v>8</v>
      </c>
      <c r="J733" s="79">
        <f>COUNTIFS(Matches!$C:$C,$A733,Matches!$A:$A,CONCAT("&lt;",$E733))</f>
        <v>11</v>
      </c>
      <c r="K733" s="79">
        <f>COUNTIFS(Entropy!D:D,A733,Entropy!I:I,CONCAT("&lt;",E733-1))</f>
        <v>0</v>
      </c>
      <c r="L733" s="79">
        <f t="shared" si="2"/>
        <v>19</v>
      </c>
      <c r="M733" s="79">
        <f t="array" ref="M733">max(min(IF(J733+K733=11,0,XLOOKUP(B733,Quotas!$A$8:$A$14,Quotas!$E$8:$E$14)-$L733),2),0)</f>
        <v>0</v>
      </c>
      <c r="N733" s="31">
        <f t="shared" si="3"/>
        <v>0</v>
      </c>
    </row>
    <row r="734">
      <c r="A734" s="31" t="s">
        <v>401</v>
      </c>
      <c r="B734" s="9">
        <v>4.0</v>
      </c>
      <c r="C734" s="31" t="str">
        <f>VLOOKUP(A734, 'College List'!A:B, 2, FALSE)</f>
        <v>Quandrix</v>
      </c>
      <c r="D734" s="355">
        <f>VLOOKUP(B734,Quotas!$A$8:$C$14,2,FALSE)</f>
        <v>46157.70833</v>
      </c>
      <c r="E734" s="356">
        <f>VLOOKUP(B734,Quotas!$A$8:$C$14,3,FALSE)</f>
        <v>46164.70833</v>
      </c>
      <c r="F734" s="79">
        <f>COUNTIFS(Matches!$B:$B,A734,Matches!$A:$A,CONCAT("&gt;",$D734),Matches!$A:$A,CONCAT("&lt;",$E734))</f>
        <v>0</v>
      </c>
      <c r="G734" s="79">
        <f>COUNTIFS(Matches!$C:$C,$A734,Matches!$A:$A,CONCAT("&gt;",$D734),Matches!$A:$A,CONCAT("&lt;",$E734))</f>
        <v>2</v>
      </c>
      <c r="H734" s="79">
        <f t="shared" si="1"/>
        <v>2</v>
      </c>
      <c r="I734" s="79">
        <f>COUNTIFS(Matches!$B:$B,$A734,Matches!$A:$A,CONCAT("&lt;",$E734))</f>
        <v>4</v>
      </c>
      <c r="J734" s="79">
        <f>COUNTIFS(Matches!$C:$C,$A734,Matches!$A:$A,CONCAT("&lt;",$E734))</f>
        <v>11</v>
      </c>
      <c r="K734" s="79">
        <f>COUNTIFS(Entropy!D:D,A734,Entropy!I:I,CONCAT("&lt;",E734-1))</f>
        <v>0</v>
      </c>
      <c r="L734" s="79">
        <f t="shared" si="2"/>
        <v>15</v>
      </c>
      <c r="M734" s="79">
        <f t="array" ref="M734">max(min(IF(J734+K734=11,0,XLOOKUP(B734,Quotas!$A$8:$A$14,Quotas!$E$8:$E$14)-$L734),2),0)</f>
        <v>0</v>
      </c>
      <c r="N734" s="31">
        <f t="shared" si="3"/>
        <v>0</v>
      </c>
    </row>
    <row r="735">
      <c r="A735" s="31" t="s">
        <v>378</v>
      </c>
      <c r="B735" s="9">
        <v>4.0</v>
      </c>
      <c r="C735" s="31" t="str">
        <f>VLOOKUP(A735, 'College List'!A:B, 2, FALSE)</f>
        <v>Lorehold</v>
      </c>
      <c r="D735" s="355">
        <f>VLOOKUP(B735,Quotas!$A$8:$C$14,2,FALSE)</f>
        <v>46157.70833</v>
      </c>
      <c r="E735" s="356">
        <f>VLOOKUP(B735,Quotas!$A$8:$C$14,3,FALSE)</f>
        <v>46164.70833</v>
      </c>
      <c r="F735" s="79">
        <f>COUNTIFS(Matches!$B:$B,A735,Matches!$A:$A,CONCAT("&gt;",$D735),Matches!$A:$A,CONCAT("&lt;",$E735))</f>
        <v>0</v>
      </c>
      <c r="G735" s="79">
        <f>COUNTIFS(Matches!$C:$C,$A735,Matches!$A:$A,CONCAT("&gt;",$D735),Matches!$A:$A,CONCAT("&lt;",$E735))</f>
        <v>0</v>
      </c>
      <c r="H735" s="79">
        <f t="shared" si="1"/>
        <v>0</v>
      </c>
      <c r="I735" s="79">
        <f>COUNTIFS(Matches!$B:$B,$A735,Matches!$A:$A,CONCAT("&lt;",$E735))</f>
        <v>4</v>
      </c>
      <c r="J735" s="79">
        <f>COUNTIFS(Matches!$C:$C,$A735,Matches!$A:$A,CONCAT("&lt;",$E735))</f>
        <v>5</v>
      </c>
      <c r="K735" s="79">
        <f>COUNTIFS(Entropy!D:D,A735,Entropy!I:I,CONCAT("&lt;",E735-1))</f>
        <v>4</v>
      </c>
      <c r="L735" s="79">
        <f t="shared" si="2"/>
        <v>13</v>
      </c>
      <c r="M735" s="79">
        <f t="array" ref="M735">max(min(IF(J735+K735=11,0,XLOOKUP(B735,Quotas!$A$8:$A$14,Quotas!$E$8:$E$14)-$L735),2),0)</f>
        <v>2</v>
      </c>
      <c r="N735" s="31">
        <f t="shared" si="3"/>
        <v>0</v>
      </c>
    </row>
    <row r="736">
      <c r="A736" s="31" t="s">
        <v>372</v>
      </c>
      <c r="B736" s="9">
        <v>4.0</v>
      </c>
      <c r="C736" s="31" t="str">
        <f>VLOOKUP(A736, 'College List'!A:B, 2, FALSE)</f>
        <v>Silverquill</v>
      </c>
      <c r="D736" s="355">
        <f>VLOOKUP(B736,Quotas!$A$8:$C$14,2,FALSE)</f>
        <v>46157.70833</v>
      </c>
      <c r="E736" s="356">
        <f>VLOOKUP(B736,Quotas!$A$8:$C$14,3,FALSE)</f>
        <v>46164.70833</v>
      </c>
      <c r="F736" s="79">
        <f>COUNTIFS(Matches!$B:$B,A736,Matches!$A:$A,CONCAT("&gt;",$D736),Matches!$A:$A,CONCAT("&lt;",$E736))</f>
        <v>0</v>
      </c>
      <c r="G736" s="79">
        <f>COUNTIFS(Matches!$C:$C,$A736,Matches!$A:$A,CONCAT("&gt;",$D736),Matches!$A:$A,CONCAT("&lt;",$E736))</f>
        <v>0</v>
      </c>
      <c r="H736" s="79">
        <f t="shared" si="1"/>
        <v>0</v>
      </c>
      <c r="I736" s="79">
        <f>COUNTIFS(Matches!$B:$B,$A736,Matches!$A:$A,CONCAT("&lt;",$E736))</f>
        <v>1</v>
      </c>
      <c r="J736" s="79">
        <f>COUNTIFS(Matches!$C:$C,$A736,Matches!$A:$A,CONCAT("&lt;",$E736))</f>
        <v>8</v>
      </c>
      <c r="K736" s="79">
        <f>COUNTIFS(Entropy!D:D,A736,Entropy!I:I,CONCAT("&lt;",E736-1))</f>
        <v>3</v>
      </c>
      <c r="L736" s="79">
        <f t="shared" si="2"/>
        <v>12</v>
      </c>
      <c r="M736" s="79">
        <f t="array" ref="M736">max(min(IF(J736+K736=11,0,XLOOKUP(B736,Quotas!$A$8:$A$14,Quotas!$E$8:$E$14)-$L736),2),0)</f>
        <v>0</v>
      </c>
      <c r="N736" s="31">
        <f t="shared" si="3"/>
        <v>0</v>
      </c>
    </row>
    <row r="737">
      <c r="A737" s="31" t="s">
        <v>273</v>
      </c>
      <c r="B737" s="9">
        <v>4.0</v>
      </c>
      <c r="C737" s="31" t="str">
        <f>VLOOKUP(A737, 'College List'!A:B, 2, FALSE)</f>
        <v>Witherbloom</v>
      </c>
      <c r="D737" s="355">
        <f>VLOOKUP(B737,Quotas!$A$8:$C$14,2,FALSE)</f>
        <v>46157.70833</v>
      </c>
      <c r="E737" s="356">
        <f>VLOOKUP(B737,Quotas!$A$8:$C$14,3,FALSE)</f>
        <v>46164.70833</v>
      </c>
      <c r="F737" s="79">
        <f>COUNTIFS(Matches!$B:$B,A737,Matches!$A:$A,CONCAT("&gt;",$D737),Matches!$A:$A,CONCAT("&lt;",$E737))</f>
        <v>3</v>
      </c>
      <c r="G737" s="79">
        <f>COUNTIFS(Matches!$C:$C,$A737,Matches!$A:$A,CONCAT("&gt;",$D737),Matches!$A:$A,CONCAT("&lt;",$E737))</f>
        <v>2</v>
      </c>
      <c r="H737" s="79">
        <f t="shared" si="1"/>
        <v>5</v>
      </c>
      <c r="I737" s="79">
        <f>COUNTIFS(Matches!$B:$B,$A737,Matches!$A:$A,CONCAT("&lt;",$E737))</f>
        <v>13</v>
      </c>
      <c r="J737" s="79">
        <f>COUNTIFS(Matches!$C:$C,$A737,Matches!$A:$A,CONCAT("&lt;",$E737))</f>
        <v>7</v>
      </c>
      <c r="K737" s="79">
        <f>COUNTIFS(Entropy!D:D,A737,Entropy!I:I,CONCAT("&lt;",E737-1))</f>
        <v>0</v>
      </c>
      <c r="L737" s="79">
        <f t="shared" si="2"/>
        <v>20</v>
      </c>
      <c r="M737" s="79">
        <f t="array" ref="M737">max(min(IF(J737+K737=11,0,XLOOKUP(B737,Quotas!$A$8:$A$14,Quotas!$E$8:$E$14)-$L737),2),0)</f>
        <v>0</v>
      </c>
      <c r="N737" s="31">
        <f t="shared" si="3"/>
        <v>0</v>
      </c>
    </row>
    <row r="738">
      <c r="A738" s="31" t="s">
        <v>264</v>
      </c>
      <c r="B738" s="9">
        <v>4.0</v>
      </c>
      <c r="C738" s="31" t="str">
        <f>VLOOKUP(A738, 'College List'!A:B, 2, FALSE)</f>
        <v>Witherbloom</v>
      </c>
      <c r="D738" s="355">
        <f>VLOOKUP(B738,Quotas!$A$8:$C$14,2,FALSE)</f>
        <v>46157.70833</v>
      </c>
      <c r="E738" s="356">
        <f>VLOOKUP(B738,Quotas!$A$8:$C$14,3,FALSE)</f>
        <v>46164.70833</v>
      </c>
      <c r="F738" s="79">
        <f>COUNTIFS(Matches!$B:$B,A738,Matches!$A:$A,CONCAT("&gt;",$D738),Matches!$A:$A,CONCAT("&lt;",$E738))</f>
        <v>2</v>
      </c>
      <c r="G738" s="79">
        <f>COUNTIFS(Matches!$C:$C,$A738,Matches!$A:$A,CONCAT("&gt;",$D738),Matches!$A:$A,CONCAT("&lt;",$E738))</f>
        <v>3</v>
      </c>
      <c r="H738" s="79">
        <f t="shared" si="1"/>
        <v>5</v>
      </c>
      <c r="I738" s="79">
        <f>COUNTIFS(Matches!$B:$B,$A738,Matches!$A:$A,CONCAT("&lt;",$E738))</f>
        <v>13</v>
      </c>
      <c r="J738" s="79">
        <f>COUNTIFS(Matches!$C:$C,$A738,Matches!$A:$A,CONCAT("&lt;",$E738))</f>
        <v>7</v>
      </c>
      <c r="K738" s="79">
        <f>COUNTIFS(Entropy!D:D,A738,Entropy!I:I,CONCAT("&lt;",E738-1))</f>
        <v>0</v>
      </c>
      <c r="L738" s="79">
        <f t="shared" si="2"/>
        <v>20</v>
      </c>
      <c r="M738" s="79">
        <f t="array" ref="M738">max(min(IF(J738+K738=11,0,XLOOKUP(B738,Quotas!$A$8:$A$14,Quotas!$E$8:$E$14)-$L738),2),0)</f>
        <v>0</v>
      </c>
      <c r="N738" s="31">
        <f t="shared" si="3"/>
        <v>0</v>
      </c>
    </row>
    <row r="739">
      <c r="A739" s="31" t="s">
        <v>297</v>
      </c>
      <c r="B739" s="9">
        <v>4.0</v>
      </c>
      <c r="C739" s="31" t="str">
        <f>VLOOKUP(A739, 'College List'!A:B, 2, FALSE)</f>
        <v>Quandrix</v>
      </c>
      <c r="D739" s="355">
        <f>VLOOKUP(B739,Quotas!$A$8:$C$14,2,FALSE)</f>
        <v>46157.70833</v>
      </c>
      <c r="E739" s="356">
        <f>VLOOKUP(B739,Quotas!$A$8:$C$14,3,FALSE)</f>
        <v>46164.70833</v>
      </c>
      <c r="F739" s="79">
        <f>COUNTIFS(Matches!$B:$B,A739,Matches!$A:$A,CONCAT("&gt;",$D739),Matches!$A:$A,CONCAT("&lt;",$E739))</f>
        <v>3</v>
      </c>
      <c r="G739" s="79">
        <f>COUNTIFS(Matches!$C:$C,$A739,Matches!$A:$A,CONCAT("&gt;",$D739),Matches!$A:$A,CONCAT("&lt;",$E739))</f>
        <v>3</v>
      </c>
      <c r="H739" s="79">
        <f t="shared" si="1"/>
        <v>6</v>
      </c>
      <c r="I739" s="79">
        <f>COUNTIFS(Matches!$B:$B,$A739,Matches!$A:$A,CONCAT("&lt;",$E739))</f>
        <v>10</v>
      </c>
      <c r="J739" s="79">
        <f>COUNTIFS(Matches!$C:$C,$A739,Matches!$A:$A,CONCAT("&lt;",$E739))</f>
        <v>10</v>
      </c>
      <c r="K739" s="79">
        <f>COUNTIFS(Entropy!D:D,A739,Entropy!I:I,CONCAT("&lt;",E739-1))</f>
        <v>0</v>
      </c>
      <c r="L739" s="79">
        <f t="shared" si="2"/>
        <v>20</v>
      </c>
      <c r="M739" s="79">
        <f t="array" ref="M739">max(min(IF(J739+K739=11,0,XLOOKUP(B739,Quotas!$A$8:$A$14,Quotas!$E$8:$E$14)-$L739),2),0)</f>
        <v>0</v>
      </c>
      <c r="N739" s="31">
        <f t="shared" si="3"/>
        <v>0</v>
      </c>
    </row>
    <row r="740">
      <c r="A740" s="31" t="s">
        <v>410</v>
      </c>
      <c r="B740" s="9">
        <v>4.0</v>
      </c>
      <c r="C740" s="31" t="str">
        <f>VLOOKUP(A740, 'College List'!A:B, 2, FALSE)</f>
        <v>Quandrix</v>
      </c>
      <c r="D740" s="355">
        <f>VLOOKUP(B740,Quotas!$A$8:$C$14,2,FALSE)</f>
        <v>46157.70833</v>
      </c>
      <c r="E740" s="356">
        <f>VLOOKUP(B740,Quotas!$A$8:$C$14,3,FALSE)</f>
        <v>46164.70833</v>
      </c>
      <c r="F740" s="79">
        <f>COUNTIFS(Matches!$B:$B,A740,Matches!$A:$A,CONCAT("&gt;",$D740),Matches!$A:$A,CONCAT("&lt;",$E740))</f>
        <v>0</v>
      </c>
      <c r="G740" s="79">
        <f>COUNTIFS(Matches!$C:$C,$A740,Matches!$A:$A,CONCAT("&gt;",$D740),Matches!$A:$A,CONCAT("&lt;",$E740))</f>
        <v>0</v>
      </c>
      <c r="H740" s="79">
        <f t="shared" si="1"/>
        <v>0</v>
      </c>
      <c r="I740" s="79">
        <f>COUNTIFS(Matches!$B:$B,$A740,Matches!$A:$A,CONCAT("&lt;",$E740))</f>
        <v>2</v>
      </c>
      <c r="J740" s="79">
        <f>COUNTIFS(Matches!$C:$C,$A740,Matches!$A:$A,CONCAT("&lt;",$E740))</f>
        <v>8</v>
      </c>
      <c r="K740" s="79">
        <f>COUNTIFS(Entropy!D:D,A740,Entropy!I:I,CONCAT("&lt;",E740-1))</f>
        <v>3</v>
      </c>
      <c r="L740" s="79">
        <f t="shared" si="2"/>
        <v>13</v>
      </c>
      <c r="M740" s="79">
        <f t="array" ref="M740">max(min(IF(J740+K740=11,0,XLOOKUP(B740,Quotas!$A$8:$A$14,Quotas!$E$8:$E$14)-$L740),2),0)</f>
        <v>0</v>
      </c>
      <c r="N740" s="31">
        <f t="shared" si="3"/>
        <v>0</v>
      </c>
    </row>
    <row r="741">
      <c r="A741" s="31" t="s">
        <v>261</v>
      </c>
      <c r="B741" s="9">
        <v>4.0</v>
      </c>
      <c r="C741" s="31" t="str">
        <f>VLOOKUP(A741, 'College List'!A:B, 2, FALSE)</f>
        <v>Witherbloom</v>
      </c>
      <c r="D741" s="355">
        <f>VLOOKUP(B741,Quotas!$A$8:$C$14,2,FALSE)</f>
        <v>46157.70833</v>
      </c>
      <c r="E741" s="356">
        <f>VLOOKUP(B741,Quotas!$A$8:$C$14,3,FALSE)</f>
        <v>46164.70833</v>
      </c>
      <c r="F741" s="79">
        <f>COUNTIFS(Matches!$B:$B,A741,Matches!$A:$A,CONCAT("&gt;",$D741),Matches!$A:$A,CONCAT("&lt;",$E741))</f>
        <v>3</v>
      </c>
      <c r="G741" s="79">
        <f>COUNTIFS(Matches!$C:$C,$A741,Matches!$A:$A,CONCAT("&gt;",$D741),Matches!$A:$A,CONCAT("&lt;",$E741))</f>
        <v>2</v>
      </c>
      <c r="H741" s="79">
        <f t="shared" si="1"/>
        <v>5</v>
      </c>
      <c r="I741" s="79">
        <f>COUNTIFS(Matches!$B:$B,$A741,Matches!$A:$A,CONCAT("&lt;",$E741))</f>
        <v>10</v>
      </c>
      <c r="J741" s="79">
        <f>COUNTIFS(Matches!$C:$C,$A741,Matches!$A:$A,CONCAT("&lt;",$E741))</f>
        <v>10</v>
      </c>
      <c r="K741" s="79">
        <f>COUNTIFS(Entropy!D:D,A741,Entropy!I:I,CONCAT("&lt;",E741-1))</f>
        <v>0</v>
      </c>
      <c r="L741" s="79">
        <f t="shared" si="2"/>
        <v>20</v>
      </c>
      <c r="M741" s="79">
        <f t="array" ref="M741">max(min(IF(J741+K741=11,0,XLOOKUP(B741,Quotas!$A$8:$A$14,Quotas!$E$8:$E$14)-$L741),2),0)</f>
        <v>0</v>
      </c>
      <c r="N741" s="31">
        <f t="shared" si="3"/>
        <v>0</v>
      </c>
    </row>
    <row r="742">
      <c r="A742" s="31" t="s">
        <v>291</v>
      </c>
      <c r="B742" s="9">
        <v>4.0</v>
      </c>
      <c r="C742" s="31" t="str">
        <f>VLOOKUP(A742, 'College List'!A:B, 2, FALSE)</f>
        <v>Silverquill</v>
      </c>
      <c r="D742" s="355">
        <f>VLOOKUP(B742,Quotas!$A$8:$C$14,2,FALSE)</f>
        <v>46157.70833</v>
      </c>
      <c r="E742" s="356">
        <f>VLOOKUP(B742,Quotas!$A$8:$C$14,3,FALSE)</f>
        <v>46164.70833</v>
      </c>
      <c r="F742" s="79">
        <f>COUNTIFS(Matches!$B:$B,A742,Matches!$A:$A,CONCAT("&gt;",$D742),Matches!$A:$A,CONCAT("&lt;",$E742))</f>
        <v>0</v>
      </c>
      <c r="G742" s="79">
        <f>COUNTIFS(Matches!$C:$C,$A742,Matches!$A:$A,CONCAT("&gt;",$D742),Matches!$A:$A,CONCAT("&lt;",$E742))</f>
        <v>0</v>
      </c>
      <c r="H742" s="79">
        <f t="shared" si="1"/>
        <v>0</v>
      </c>
      <c r="I742" s="79">
        <f>COUNTIFS(Matches!$B:$B,$A742,Matches!$A:$A,CONCAT("&lt;",$E742))</f>
        <v>1</v>
      </c>
      <c r="J742" s="79">
        <f>COUNTIFS(Matches!$C:$C,$A742,Matches!$A:$A,CONCAT("&lt;",$E742))</f>
        <v>11</v>
      </c>
      <c r="K742" s="79">
        <f>COUNTIFS(Entropy!D:D,A742,Entropy!I:I,CONCAT("&lt;",E742-1))</f>
        <v>0</v>
      </c>
      <c r="L742" s="79">
        <f t="shared" si="2"/>
        <v>12</v>
      </c>
      <c r="M742" s="79">
        <f t="array" ref="M742">max(min(IF(J742+K742=11,0,XLOOKUP(B742,Quotas!$A$8:$A$14,Quotas!$E$8:$E$14)-$L742),2),0)</f>
        <v>0</v>
      </c>
      <c r="N742" s="31">
        <f t="shared" si="3"/>
        <v>0</v>
      </c>
    </row>
    <row r="743">
      <c r="A743" s="31" t="s">
        <v>397</v>
      </c>
      <c r="B743" s="9">
        <v>4.0</v>
      </c>
      <c r="C743" s="31" t="str">
        <f>VLOOKUP(A743, 'College List'!A:B, 2, FALSE)</f>
        <v>Quandrix</v>
      </c>
      <c r="D743" s="355">
        <f>VLOOKUP(B743,Quotas!$A$8:$C$14,2,FALSE)</f>
        <v>46157.70833</v>
      </c>
      <c r="E743" s="356">
        <f>VLOOKUP(B743,Quotas!$A$8:$C$14,3,FALSE)</f>
        <v>46164.70833</v>
      </c>
      <c r="F743" s="79">
        <f>COUNTIFS(Matches!$B:$B,A743,Matches!$A:$A,CONCAT("&gt;",$D743),Matches!$A:$A,CONCAT("&lt;",$E743))</f>
        <v>3</v>
      </c>
      <c r="G743" s="79">
        <f>COUNTIFS(Matches!$C:$C,$A743,Matches!$A:$A,CONCAT("&gt;",$D743),Matches!$A:$A,CONCAT("&lt;",$E743))</f>
        <v>2</v>
      </c>
      <c r="H743" s="79">
        <f t="shared" si="1"/>
        <v>5</v>
      </c>
      <c r="I743" s="79">
        <f>COUNTIFS(Matches!$B:$B,$A743,Matches!$A:$A,CONCAT("&lt;",$E743))</f>
        <v>13</v>
      </c>
      <c r="J743" s="79">
        <f>COUNTIFS(Matches!$C:$C,$A743,Matches!$A:$A,CONCAT("&lt;",$E743))</f>
        <v>7</v>
      </c>
      <c r="K743" s="79">
        <f>COUNTIFS(Entropy!D:D,A743,Entropy!I:I,CONCAT("&lt;",E743-1))</f>
        <v>0</v>
      </c>
      <c r="L743" s="79">
        <f t="shared" si="2"/>
        <v>20</v>
      </c>
      <c r="M743" s="79">
        <f t="array" ref="M743">max(min(IF(J743+K743=11,0,XLOOKUP(B743,Quotas!$A$8:$A$14,Quotas!$E$8:$E$14)-$L743),2),0)</f>
        <v>0</v>
      </c>
      <c r="N743" s="31">
        <f t="shared" si="3"/>
        <v>0</v>
      </c>
    </row>
    <row r="744">
      <c r="A744" s="31" t="s">
        <v>239</v>
      </c>
      <c r="B744" s="9">
        <v>4.0</v>
      </c>
      <c r="C744" s="31" t="str">
        <f>VLOOKUP(A744, 'College List'!A:B, 2, FALSE)</f>
        <v>Quandrix</v>
      </c>
      <c r="D744" s="355">
        <f>VLOOKUP(B744,Quotas!$A$8:$C$14,2,FALSE)</f>
        <v>46157.70833</v>
      </c>
      <c r="E744" s="356">
        <f>VLOOKUP(B744,Quotas!$A$8:$C$14,3,FALSE)</f>
        <v>46164.70833</v>
      </c>
      <c r="F744" s="79">
        <f>COUNTIFS(Matches!$B:$B,A744,Matches!$A:$A,CONCAT("&gt;",$D744),Matches!$A:$A,CONCAT("&lt;",$E744))</f>
        <v>0</v>
      </c>
      <c r="G744" s="79">
        <f>COUNTIFS(Matches!$C:$C,$A744,Matches!$A:$A,CONCAT("&gt;",$D744),Matches!$A:$A,CONCAT("&lt;",$E744))</f>
        <v>0</v>
      </c>
      <c r="H744" s="79">
        <f t="shared" si="1"/>
        <v>0</v>
      </c>
      <c r="I744" s="79">
        <f>COUNTIFS(Matches!$B:$B,$A744,Matches!$A:$A,CONCAT("&lt;",$E744))</f>
        <v>6</v>
      </c>
      <c r="J744" s="79">
        <f>COUNTIFS(Matches!$C:$C,$A744,Matches!$A:$A,CONCAT("&lt;",$E744))</f>
        <v>9</v>
      </c>
      <c r="K744" s="79">
        <f>COUNTIFS(Entropy!D:D,A744,Entropy!I:I,CONCAT("&lt;",E744-1))</f>
        <v>0</v>
      </c>
      <c r="L744" s="79">
        <f t="shared" si="2"/>
        <v>15</v>
      </c>
      <c r="M744" s="79">
        <f t="array" ref="M744">max(min(IF(J744+K744=11,0,XLOOKUP(B744,Quotas!$A$8:$A$14,Quotas!$E$8:$E$14)-$L744),2),0)</f>
        <v>2</v>
      </c>
      <c r="N744" s="31">
        <f t="shared" si="3"/>
        <v>0</v>
      </c>
    </row>
    <row r="745">
      <c r="A745" s="31" t="s">
        <v>417</v>
      </c>
      <c r="B745" s="9">
        <v>4.0</v>
      </c>
      <c r="C745" s="31" t="str">
        <f>VLOOKUP(A745, 'College List'!A:B, 2, FALSE)</f>
        <v>Silverquill</v>
      </c>
      <c r="D745" s="355">
        <f>VLOOKUP(B745,Quotas!$A$8:$C$14,2,FALSE)</f>
        <v>46157.70833</v>
      </c>
      <c r="E745" s="356">
        <f>VLOOKUP(B745,Quotas!$A$8:$C$14,3,FALSE)</f>
        <v>46164.70833</v>
      </c>
      <c r="F745" s="79">
        <f>COUNTIFS(Matches!$B:$B,A745,Matches!$A:$A,CONCAT("&gt;",$D745),Matches!$A:$A,CONCAT("&lt;",$E745))</f>
        <v>3</v>
      </c>
      <c r="G745" s="79">
        <f>COUNTIFS(Matches!$C:$C,$A745,Matches!$A:$A,CONCAT("&gt;",$D745),Matches!$A:$A,CONCAT("&lt;",$E745))</f>
        <v>3</v>
      </c>
      <c r="H745" s="79">
        <f t="shared" si="1"/>
        <v>6</v>
      </c>
      <c r="I745" s="79">
        <f>COUNTIFS(Matches!$B:$B,$A745,Matches!$A:$A,CONCAT("&lt;",$E745))</f>
        <v>8</v>
      </c>
      <c r="J745" s="79">
        <f>COUNTIFS(Matches!$C:$C,$A745,Matches!$A:$A,CONCAT("&lt;",$E745))</f>
        <v>8</v>
      </c>
      <c r="K745" s="79">
        <f>COUNTIFS(Entropy!D:D,A745,Entropy!I:I,CONCAT("&lt;",E745-1))</f>
        <v>3</v>
      </c>
      <c r="L745" s="79">
        <f t="shared" si="2"/>
        <v>19</v>
      </c>
      <c r="M745" s="79">
        <f t="array" ref="M745">max(min(IF(J745+K745=11,0,XLOOKUP(B745,Quotas!$A$8:$A$14,Quotas!$E$8:$E$14)-$L745),2),0)</f>
        <v>0</v>
      </c>
      <c r="N745" s="31">
        <f t="shared" si="3"/>
        <v>0</v>
      </c>
    </row>
    <row r="746">
      <c r="A746" s="31" t="s">
        <v>165</v>
      </c>
      <c r="B746" s="9">
        <v>4.0</v>
      </c>
      <c r="C746" s="31" t="str">
        <f>VLOOKUP(A746, 'College List'!A:B, 2, FALSE)</f>
        <v>Lorehold</v>
      </c>
      <c r="D746" s="355">
        <f>VLOOKUP(B746,Quotas!$A$8:$C$14,2,FALSE)</f>
        <v>46157.70833</v>
      </c>
      <c r="E746" s="356">
        <f>VLOOKUP(B746,Quotas!$A$8:$C$14,3,FALSE)</f>
        <v>46164.70833</v>
      </c>
      <c r="F746" s="79">
        <f>COUNTIFS(Matches!$B:$B,A746,Matches!$A:$A,CONCAT("&gt;",$D746),Matches!$A:$A,CONCAT("&lt;",$E746))</f>
        <v>4</v>
      </c>
      <c r="G746" s="79">
        <f>COUNTIFS(Matches!$C:$C,$A746,Matches!$A:$A,CONCAT("&gt;",$D746),Matches!$A:$A,CONCAT("&lt;",$E746))</f>
        <v>1</v>
      </c>
      <c r="H746" s="79">
        <f t="shared" si="1"/>
        <v>5</v>
      </c>
      <c r="I746" s="79">
        <f>COUNTIFS(Matches!$B:$B,$A746,Matches!$A:$A,CONCAT("&lt;",$E746))</f>
        <v>13</v>
      </c>
      <c r="J746" s="79">
        <f>COUNTIFS(Matches!$C:$C,$A746,Matches!$A:$A,CONCAT("&lt;",$E746))</f>
        <v>7</v>
      </c>
      <c r="K746" s="79">
        <f>COUNTIFS(Entropy!D:D,A746,Entropy!I:I,CONCAT("&lt;",E746-1))</f>
        <v>0</v>
      </c>
      <c r="L746" s="79">
        <f t="shared" si="2"/>
        <v>20</v>
      </c>
      <c r="M746" s="79">
        <f t="array" ref="M746">max(min(IF(J746+K746=11,0,XLOOKUP(B746,Quotas!$A$8:$A$14,Quotas!$E$8:$E$14)-$L746),2),0)</f>
        <v>0</v>
      </c>
      <c r="N746" s="31">
        <f t="shared" si="3"/>
        <v>0</v>
      </c>
    </row>
    <row r="747">
      <c r="A747" s="31" t="s">
        <v>316</v>
      </c>
      <c r="B747" s="9">
        <v>4.0</v>
      </c>
      <c r="C747" s="31" t="str">
        <f>VLOOKUP(A747, 'College List'!A:B, 2, FALSE)</f>
        <v>Quandrix</v>
      </c>
      <c r="D747" s="355">
        <f>VLOOKUP(B747,Quotas!$A$8:$C$14,2,FALSE)</f>
        <v>46157.70833</v>
      </c>
      <c r="E747" s="356">
        <f>VLOOKUP(B747,Quotas!$A$8:$C$14,3,FALSE)</f>
        <v>46164.70833</v>
      </c>
      <c r="F747" s="79">
        <f>COUNTIFS(Matches!$B:$B,A747,Matches!$A:$A,CONCAT("&gt;",$D747),Matches!$A:$A,CONCAT("&lt;",$E747))</f>
        <v>2</v>
      </c>
      <c r="G747" s="79">
        <f>COUNTIFS(Matches!$C:$C,$A747,Matches!$A:$A,CONCAT("&gt;",$D747),Matches!$A:$A,CONCAT("&lt;",$E747))</f>
        <v>2</v>
      </c>
      <c r="H747" s="79">
        <f t="shared" si="1"/>
        <v>4</v>
      </c>
      <c r="I747" s="79">
        <f>COUNTIFS(Matches!$B:$B,$A747,Matches!$A:$A,CONCAT("&lt;",$E747))</f>
        <v>8</v>
      </c>
      <c r="J747" s="79">
        <f>COUNTIFS(Matches!$C:$C,$A747,Matches!$A:$A,CONCAT("&lt;",$E747))</f>
        <v>11</v>
      </c>
      <c r="K747" s="79">
        <f>COUNTIFS(Entropy!D:D,A747,Entropy!I:I,CONCAT("&lt;",E747-1))</f>
        <v>0</v>
      </c>
      <c r="L747" s="79">
        <f t="shared" si="2"/>
        <v>19</v>
      </c>
      <c r="M747" s="79">
        <f t="array" ref="M747">max(min(IF(J747+K747=11,0,XLOOKUP(B747,Quotas!$A$8:$A$14,Quotas!$E$8:$E$14)-$L747),2),0)</f>
        <v>0</v>
      </c>
      <c r="N747" s="31">
        <f t="shared" si="3"/>
        <v>0</v>
      </c>
    </row>
    <row r="748">
      <c r="A748" s="31" t="s">
        <v>219</v>
      </c>
      <c r="B748" s="9">
        <v>4.0</v>
      </c>
      <c r="C748" s="31" t="str">
        <f>VLOOKUP(A748, 'College List'!A:B, 2, FALSE)</f>
        <v>Prismari</v>
      </c>
      <c r="D748" s="355">
        <f>VLOOKUP(B748,Quotas!$A$8:$C$14,2,FALSE)</f>
        <v>46157.70833</v>
      </c>
      <c r="E748" s="356">
        <f>VLOOKUP(B748,Quotas!$A$8:$C$14,3,FALSE)</f>
        <v>46164.70833</v>
      </c>
      <c r="F748" s="79">
        <f>COUNTIFS(Matches!$B:$B,A748,Matches!$A:$A,CONCAT("&gt;",$D748),Matches!$A:$A,CONCAT("&lt;",$E748))</f>
        <v>2</v>
      </c>
      <c r="G748" s="79">
        <f>COUNTIFS(Matches!$C:$C,$A748,Matches!$A:$A,CONCAT("&gt;",$D748),Matches!$A:$A,CONCAT("&lt;",$E748))</f>
        <v>3</v>
      </c>
      <c r="H748" s="79">
        <f t="shared" si="1"/>
        <v>5</v>
      </c>
      <c r="I748" s="79">
        <f>COUNTIFS(Matches!$B:$B,$A748,Matches!$A:$A,CONCAT("&lt;",$E748))</f>
        <v>10</v>
      </c>
      <c r="J748" s="79">
        <f>COUNTIFS(Matches!$C:$C,$A748,Matches!$A:$A,CONCAT("&lt;",$E748))</f>
        <v>10</v>
      </c>
      <c r="K748" s="79">
        <f>COUNTIFS(Entropy!D:D,A748,Entropy!I:I,CONCAT("&lt;",E748-1))</f>
        <v>0</v>
      </c>
      <c r="L748" s="79">
        <f t="shared" si="2"/>
        <v>20</v>
      </c>
      <c r="M748" s="79">
        <f t="array" ref="M748">max(min(IF(J748+K748=11,0,XLOOKUP(B748,Quotas!$A$8:$A$14,Quotas!$E$8:$E$14)-$L748),2),0)</f>
        <v>0</v>
      </c>
      <c r="N748" s="31">
        <f t="shared" si="3"/>
        <v>0</v>
      </c>
    </row>
    <row r="749">
      <c r="A749" s="31" t="s">
        <v>191</v>
      </c>
      <c r="B749" s="9">
        <v>4.0</v>
      </c>
      <c r="C749" s="31" t="str">
        <f>VLOOKUP(A749, 'College List'!A:B, 2, FALSE)</f>
        <v>Silverquill</v>
      </c>
      <c r="D749" s="355">
        <f>VLOOKUP(B749,Quotas!$A$8:$C$14,2,FALSE)</f>
        <v>46157.70833</v>
      </c>
      <c r="E749" s="356">
        <f>VLOOKUP(B749,Quotas!$A$8:$C$14,3,FALSE)</f>
        <v>46164.70833</v>
      </c>
      <c r="F749" s="79">
        <f>COUNTIFS(Matches!$B:$B,A749,Matches!$A:$A,CONCAT("&gt;",$D749),Matches!$A:$A,CONCAT("&lt;",$E749))</f>
        <v>1</v>
      </c>
      <c r="G749" s="79">
        <f>COUNTIFS(Matches!$C:$C,$A749,Matches!$A:$A,CONCAT("&gt;",$D749),Matches!$A:$A,CONCAT("&lt;",$E749))</f>
        <v>2</v>
      </c>
      <c r="H749" s="79">
        <f t="shared" si="1"/>
        <v>3</v>
      </c>
      <c r="I749" s="79">
        <f>COUNTIFS(Matches!$B:$B,$A749,Matches!$A:$A,CONCAT("&lt;",$E749))</f>
        <v>5</v>
      </c>
      <c r="J749" s="79">
        <f>COUNTIFS(Matches!$C:$C,$A749,Matches!$A:$A,CONCAT("&lt;",$E749))</f>
        <v>11</v>
      </c>
      <c r="K749" s="79">
        <f>COUNTIFS(Entropy!D:D,A749,Entropy!I:I,CONCAT("&lt;",E749-1))</f>
        <v>0</v>
      </c>
      <c r="L749" s="79">
        <f t="shared" si="2"/>
        <v>16</v>
      </c>
      <c r="M749" s="79">
        <f t="array" ref="M749">max(min(IF(J749+K749=11,0,XLOOKUP(B749,Quotas!$A$8:$A$14,Quotas!$E$8:$E$14)-$L749),2),0)</f>
        <v>0</v>
      </c>
      <c r="N749" s="31">
        <f t="shared" si="3"/>
        <v>0</v>
      </c>
    </row>
    <row r="750">
      <c r="A750" s="31" t="s">
        <v>396</v>
      </c>
      <c r="B750" s="9">
        <v>4.0</v>
      </c>
      <c r="C750" s="31" t="str">
        <f>VLOOKUP(A750, 'College List'!A:B, 2, FALSE)</f>
        <v>Prismari</v>
      </c>
      <c r="D750" s="355">
        <f>VLOOKUP(B750,Quotas!$A$8:$C$14,2,FALSE)</f>
        <v>46157.70833</v>
      </c>
      <c r="E750" s="356">
        <f>VLOOKUP(B750,Quotas!$A$8:$C$14,3,FALSE)</f>
        <v>46164.70833</v>
      </c>
      <c r="F750" s="79">
        <f>COUNTIFS(Matches!$B:$B,A750,Matches!$A:$A,CONCAT("&gt;",$D750),Matches!$A:$A,CONCAT("&lt;",$E750))</f>
        <v>1</v>
      </c>
      <c r="G750" s="79">
        <f>COUNTIFS(Matches!$C:$C,$A750,Matches!$A:$A,CONCAT("&gt;",$D750),Matches!$A:$A,CONCAT("&lt;",$E750))</f>
        <v>2</v>
      </c>
      <c r="H750" s="79">
        <f t="shared" si="1"/>
        <v>3</v>
      </c>
      <c r="I750" s="79">
        <f>COUNTIFS(Matches!$B:$B,$A750,Matches!$A:$A,CONCAT("&lt;",$E750))</f>
        <v>5</v>
      </c>
      <c r="J750" s="79">
        <f>COUNTIFS(Matches!$C:$C,$A750,Matches!$A:$A,CONCAT("&lt;",$E750))</f>
        <v>11</v>
      </c>
      <c r="K750" s="79">
        <f>COUNTIFS(Entropy!D:D,A750,Entropy!I:I,CONCAT("&lt;",E750-1))</f>
        <v>0</v>
      </c>
      <c r="L750" s="79">
        <f t="shared" si="2"/>
        <v>16</v>
      </c>
      <c r="M750" s="79">
        <f t="array" ref="M750">max(min(IF(J750+K750=11,0,XLOOKUP(B750,Quotas!$A$8:$A$14,Quotas!$E$8:$E$14)-$L750),2),0)</f>
        <v>0</v>
      </c>
      <c r="N750" s="31">
        <f t="shared" si="3"/>
        <v>0</v>
      </c>
    </row>
    <row r="751">
      <c r="A751" s="31" t="s">
        <v>72</v>
      </c>
      <c r="B751" s="9">
        <v>4.0</v>
      </c>
      <c r="C751" s="31" t="str">
        <f>VLOOKUP(A751, 'College List'!A:B, 2, FALSE)</f>
        <v>Prismari</v>
      </c>
      <c r="D751" s="355">
        <f>VLOOKUP(B751,Quotas!$A$8:$C$14,2,FALSE)</f>
        <v>46157.70833</v>
      </c>
      <c r="E751" s="356">
        <f>VLOOKUP(B751,Quotas!$A$8:$C$14,3,FALSE)</f>
        <v>46164.70833</v>
      </c>
      <c r="F751" s="79">
        <f>COUNTIFS(Matches!$B:$B,A751,Matches!$A:$A,CONCAT("&gt;",$D751),Matches!$A:$A,CONCAT("&lt;",$E751))</f>
        <v>0</v>
      </c>
      <c r="G751" s="79">
        <f>COUNTIFS(Matches!$C:$C,$A751,Matches!$A:$A,CONCAT("&gt;",$D751),Matches!$A:$A,CONCAT("&lt;",$E751))</f>
        <v>0</v>
      </c>
      <c r="H751" s="79">
        <f t="shared" si="1"/>
        <v>0</v>
      </c>
      <c r="I751" s="79">
        <f>COUNTIFS(Matches!$B:$B,$A751,Matches!$A:$A,CONCAT("&lt;",$E751))</f>
        <v>2</v>
      </c>
      <c r="J751" s="79">
        <f>COUNTIFS(Matches!$C:$C,$A751,Matches!$A:$A,CONCAT("&lt;",$E751))</f>
        <v>7</v>
      </c>
      <c r="K751" s="79">
        <f>COUNTIFS(Entropy!D:D,A751,Entropy!I:I,CONCAT("&lt;",E751-1))</f>
        <v>4</v>
      </c>
      <c r="L751" s="79">
        <f t="shared" si="2"/>
        <v>13</v>
      </c>
      <c r="M751" s="79">
        <f t="array" ref="M751">max(min(IF(J751+K751=11,0,XLOOKUP(B751,Quotas!$A$8:$A$14,Quotas!$E$8:$E$14)-$L751),2),0)</f>
        <v>0</v>
      </c>
      <c r="N751" s="31">
        <f t="shared" si="3"/>
        <v>0</v>
      </c>
    </row>
    <row r="752">
      <c r="A752" s="31" t="s">
        <v>202</v>
      </c>
      <c r="B752" s="9">
        <v>4.0</v>
      </c>
      <c r="C752" s="31" t="str">
        <f>VLOOKUP(A752, 'College List'!A:B, 2, FALSE)</f>
        <v>Prismari</v>
      </c>
      <c r="D752" s="355">
        <f>VLOOKUP(B752,Quotas!$A$8:$C$14,2,FALSE)</f>
        <v>46157.70833</v>
      </c>
      <c r="E752" s="356">
        <f>VLOOKUP(B752,Quotas!$A$8:$C$14,3,FALSE)</f>
        <v>46164.70833</v>
      </c>
      <c r="F752" s="79">
        <f>COUNTIFS(Matches!$B:$B,A752,Matches!$A:$A,CONCAT("&gt;",$D752),Matches!$A:$A,CONCAT("&lt;",$E752))</f>
        <v>0</v>
      </c>
      <c r="G752" s="79">
        <f>COUNTIFS(Matches!$C:$C,$A752,Matches!$A:$A,CONCAT("&gt;",$D752),Matches!$A:$A,CONCAT("&lt;",$E752))</f>
        <v>3</v>
      </c>
      <c r="H752" s="79">
        <f t="shared" si="1"/>
        <v>3</v>
      </c>
      <c r="I752" s="79">
        <f>COUNTIFS(Matches!$B:$B,$A752,Matches!$A:$A,CONCAT("&lt;",$E752))</f>
        <v>9</v>
      </c>
      <c r="J752" s="79">
        <f>COUNTIFS(Matches!$C:$C,$A752,Matches!$A:$A,CONCAT("&lt;",$E752))</f>
        <v>9</v>
      </c>
      <c r="K752" s="79">
        <f>COUNTIFS(Entropy!D:D,A752,Entropy!I:I,CONCAT("&lt;",E752-1))</f>
        <v>0</v>
      </c>
      <c r="L752" s="79">
        <f t="shared" si="2"/>
        <v>18</v>
      </c>
      <c r="M752" s="79">
        <f t="array" ref="M752">max(min(IF(J752+K752=11,0,XLOOKUP(B752,Quotas!$A$8:$A$14,Quotas!$E$8:$E$14)-$L752),2),0)</f>
        <v>2</v>
      </c>
      <c r="N752" s="31">
        <f t="shared" si="3"/>
        <v>1</v>
      </c>
    </row>
    <row r="753">
      <c r="A753" s="31" t="s">
        <v>379</v>
      </c>
      <c r="B753" s="9">
        <v>4.0</v>
      </c>
      <c r="C753" s="31" t="str">
        <f>VLOOKUP(A753, 'College List'!A:B, 2, FALSE)</f>
        <v>Quandrix</v>
      </c>
      <c r="D753" s="355">
        <f>VLOOKUP(B753,Quotas!$A$8:$C$14,2,FALSE)</f>
        <v>46157.70833</v>
      </c>
      <c r="E753" s="356">
        <f>VLOOKUP(B753,Quotas!$A$8:$C$14,3,FALSE)</f>
        <v>46164.70833</v>
      </c>
      <c r="F753" s="79">
        <f>COUNTIFS(Matches!$B:$B,A753,Matches!$A:$A,CONCAT("&gt;",$D753),Matches!$A:$A,CONCAT("&lt;",$E753))</f>
        <v>0</v>
      </c>
      <c r="G753" s="79">
        <f>COUNTIFS(Matches!$C:$C,$A753,Matches!$A:$A,CONCAT("&gt;",$D753),Matches!$A:$A,CONCAT("&lt;",$E753))</f>
        <v>2</v>
      </c>
      <c r="H753" s="79">
        <f t="shared" si="1"/>
        <v>2</v>
      </c>
      <c r="I753" s="79">
        <f>COUNTIFS(Matches!$B:$B,$A753,Matches!$A:$A,CONCAT("&lt;",$E753))</f>
        <v>6</v>
      </c>
      <c r="J753" s="79">
        <f>COUNTIFS(Matches!$C:$C,$A753,Matches!$A:$A,CONCAT("&lt;",$E753))</f>
        <v>11</v>
      </c>
      <c r="K753" s="79">
        <f>COUNTIFS(Entropy!D:D,A753,Entropy!I:I,CONCAT("&lt;",E753-1))</f>
        <v>0</v>
      </c>
      <c r="L753" s="79">
        <f t="shared" si="2"/>
        <v>17</v>
      </c>
      <c r="M753" s="79">
        <f t="array" ref="M753">max(min(IF(J753+K753=11,0,XLOOKUP(B753,Quotas!$A$8:$A$14,Quotas!$E$8:$E$14)-$L753),2),0)</f>
        <v>0</v>
      </c>
      <c r="N753" s="31">
        <f t="shared" si="3"/>
        <v>0</v>
      </c>
    </row>
    <row r="754">
      <c r="A754" s="31" t="s">
        <v>204</v>
      </c>
      <c r="B754" s="9">
        <v>4.0</v>
      </c>
      <c r="C754" s="31" t="str">
        <f>VLOOKUP(A754, 'College List'!A:B, 2, FALSE)</f>
        <v>Quandrix</v>
      </c>
      <c r="D754" s="355">
        <f>VLOOKUP(B754,Quotas!$A$8:$C$14,2,FALSE)</f>
        <v>46157.70833</v>
      </c>
      <c r="E754" s="356">
        <f>VLOOKUP(B754,Quotas!$A$8:$C$14,3,FALSE)</f>
        <v>46164.70833</v>
      </c>
      <c r="F754" s="79">
        <f>COUNTIFS(Matches!$B:$B,A754,Matches!$A:$A,CONCAT("&gt;",$D754),Matches!$A:$A,CONCAT("&lt;",$E754))</f>
        <v>2</v>
      </c>
      <c r="G754" s="79">
        <f>COUNTIFS(Matches!$C:$C,$A754,Matches!$A:$A,CONCAT("&gt;",$D754),Matches!$A:$A,CONCAT("&lt;",$E754))</f>
        <v>3</v>
      </c>
      <c r="H754" s="79">
        <f t="shared" si="1"/>
        <v>5</v>
      </c>
      <c r="I754" s="79">
        <f>COUNTIFS(Matches!$B:$B,$A754,Matches!$A:$A,CONCAT("&lt;",$E754))</f>
        <v>14</v>
      </c>
      <c r="J754" s="79">
        <f>COUNTIFS(Matches!$C:$C,$A754,Matches!$A:$A,CONCAT("&lt;",$E754))</f>
        <v>6</v>
      </c>
      <c r="K754" s="79">
        <f>COUNTIFS(Entropy!D:D,A754,Entropy!I:I,CONCAT("&lt;",E754-1))</f>
        <v>0</v>
      </c>
      <c r="L754" s="79">
        <f t="shared" si="2"/>
        <v>20</v>
      </c>
      <c r="M754" s="79">
        <f t="array" ref="M754">max(min(IF(J754+K754=11,0,XLOOKUP(B754,Quotas!$A$8:$A$14,Quotas!$E$8:$E$14)-$L754),2),0)</f>
        <v>0</v>
      </c>
      <c r="N754" s="31">
        <f t="shared" si="3"/>
        <v>0</v>
      </c>
    </row>
    <row r="755">
      <c r="A755" s="31" t="s">
        <v>253</v>
      </c>
      <c r="B755" s="9">
        <v>4.0</v>
      </c>
      <c r="C755" s="31" t="str">
        <f>VLOOKUP(A755, 'College List'!A:B, 2, FALSE)</f>
        <v>Quandrix</v>
      </c>
      <c r="D755" s="355">
        <f>VLOOKUP(B755,Quotas!$A$8:$C$14,2,FALSE)</f>
        <v>46157.70833</v>
      </c>
      <c r="E755" s="356">
        <f>VLOOKUP(B755,Quotas!$A$8:$C$14,3,FALSE)</f>
        <v>46164.70833</v>
      </c>
      <c r="F755" s="79">
        <f>COUNTIFS(Matches!$B:$B,A755,Matches!$A:$A,CONCAT("&gt;",$D755),Matches!$A:$A,CONCAT("&lt;",$E755))</f>
        <v>3</v>
      </c>
      <c r="G755" s="79">
        <f>COUNTIFS(Matches!$C:$C,$A755,Matches!$A:$A,CONCAT("&gt;",$D755),Matches!$A:$A,CONCAT("&lt;",$E755))</f>
        <v>2</v>
      </c>
      <c r="H755" s="79">
        <f t="shared" si="1"/>
        <v>5</v>
      </c>
      <c r="I755" s="79">
        <f>COUNTIFS(Matches!$B:$B,$A755,Matches!$A:$A,CONCAT("&lt;",$E755))</f>
        <v>12</v>
      </c>
      <c r="J755" s="79">
        <f>COUNTIFS(Matches!$C:$C,$A755,Matches!$A:$A,CONCAT("&lt;",$E755))</f>
        <v>8</v>
      </c>
      <c r="K755" s="79">
        <f>COUNTIFS(Entropy!D:D,A755,Entropy!I:I,CONCAT("&lt;",E755-1))</f>
        <v>0</v>
      </c>
      <c r="L755" s="79">
        <f t="shared" si="2"/>
        <v>20</v>
      </c>
      <c r="M755" s="79">
        <f t="array" ref="M755">max(min(IF(J755+K755=11,0,XLOOKUP(B755,Quotas!$A$8:$A$14,Quotas!$E$8:$E$14)-$L755),2),0)</f>
        <v>0</v>
      </c>
      <c r="N755" s="31">
        <f t="shared" si="3"/>
        <v>0</v>
      </c>
    </row>
    <row r="756">
      <c r="A756" s="31" t="s">
        <v>306</v>
      </c>
      <c r="B756" s="9">
        <v>4.0</v>
      </c>
      <c r="C756" s="31" t="str">
        <f>VLOOKUP(A756, 'College List'!A:B, 2, FALSE)</f>
        <v>Silverquill</v>
      </c>
      <c r="D756" s="355">
        <f>VLOOKUP(B756,Quotas!$A$8:$C$14,2,FALSE)</f>
        <v>46157.70833</v>
      </c>
      <c r="E756" s="356">
        <f>VLOOKUP(B756,Quotas!$A$8:$C$14,3,FALSE)</f>
        <v>46164.70833</v>
      </c>
      <c r="F756" s="79">
        <f>COUNTIFS(Matches!$B:$B,A756,Matches!$A:$A,CONCAT("&gt;",$D756),Matches!$A:$A,CONCAT("&lt;",$E756))</f>
        <v>3</v>
      </c>
      <c r="G756" s="79">
        <f>COUNTIFS(Matches!$C:$C,$A756,Matches!$A:$A,CONCAT("&gt;",$D756),Matches!$A:$A,CONCAT("&lt;",$E756))</f>
        <v>2</v>
      </c>
      <c r="H756" s="79">
        <f t="shared" si="1"/>
        <v>5</v>
      </c>
      <c r="I756" s="79">
        <f>COUNTIFS(Matches!$B:$B,$A756,Matches!$A:$A,CONCAT("&lt;",$E756))</f>
        <v>12</v>
      </c>
      <c r="J756" s="79">
        <f>COUNTIFS(Matches!$C:$C,$A756,Matches!$A:$A,CONCAT("&lt;",$E756))</f>
        <v>8</v>
      </c>
      <c r="K756" s="79">
        <f>COUNTIFS(Entropy!D:D,A756,Entropy!I:I,CONCAT("&lt;",E756-1))</f>
        <v>0</v>
      </c>
      <c r="L756" s="79">
        <f t="shared" si="2"/>
        <v>20</v>
      </c>
      <c r="M756" s="79">
        <f t="array" ref="M756">max(min(IF(J756+K756=11,0,XLOOKUP(B756,Quotas!$A$8:$A$14,Quotas!$E$8:$E$14)-$L756),2),0)</f>
        <v>0</v>
      </c>
      <c r="N756" s="31">
        <f t="shared" si="3"/>
        <v>0</v>
      </c>
    </row>
    <row r="757">
      <c r="A757" s="9" t="s">
        <v>229</v>
      </c>
      <c r="B757" s="9">
        <v>4.0</v>
      </c>
      <c r="C757" s="31" t="str">
        <f>VLOOKUP(A757, 'College List'!A:B, 2, FALSE)</f>
        <v>Witherbloom</v>
      </c>
      <c r="D757" s="355">
        <f>VLOOKUP(B757,Quotas!$A$8:$C$14,2,FALSE)</f>
        <v>46157.70833</v>
      </c>
      <c r="E757" s="356">
        <f>VLOOKUP(B757,Quotas!$A$8:$C$14,3,FALSE)</f>
        <v>46164.70833</v>
      </c>
      <c r="F757" s="79">
        <f>COUNTIFS(Matches!$B:$B,A757,Matches!$A:$A,CONCAT("&gt;",$D757),Matches!$A:$A,CONCAT("&lt;",$E757))</f>
        <v>4</v>
      </c>
      <c r="G757" s="79">
        <f>COUNTIFS(Matches!$C:$C,$A757,Matches!$A:$A,CONCAT("&gt;",$D757),Matches!$A:$A,CONCAT("&lt;",$E757))</f>
        <v>1</v>
      </c>
      <c r="H757" s="79">
        <f t="shared" si="1"/>
        <v>5</v>
      </c>
      <c r="I757" s="79">
        <f>COUNTIFS(Matches!$B:$B,$A757,Matches!$A:$A,CONCAT("&lt;",$E757))</f>
        <v>14</v>
      </c>
      <c r="J757" s="79">
        <f>COUNTIFS(Matches!$C:$C,$A757,Matches!$A:$A,CONCAT("&lt;",$E757))</f>
        <v>6</v>
      </c>
      <c r="K757" s="79">
        <f>COUNTIFS(Entropy!D:D,A757,Entropy!I:I,CONCAT("&lt;",E757-1))</f>
        <v>0</v>
      </c>
      <c r="L757" s="79">
        <f t="shared" si="2"/>
        <v>20</v>
      </c>
      <c r="M757" s="79">
        <f t="array" ref="M757">max(min(IF(J757+K757=11,0,XLOOKUP(B757,Quotas!$A$8:$A$14,Quotas!$E$8:$E$14)-$L757),2),0)</f>
        <v>0</v>
      </c>
      <c r="N757" s="31">
        <f t="shared" si="3"/>
        <v>0</v>
      </c>
    </row>
    <row r="758">
      <c r="A758" s="31" t="s">
        <v>94</v>
      </c>
      <c r="B758" s="9">
        <v>4.0</v>
      </c>
      <c r="C758" s="31" t="str">
        <f>VLOOKUP(A758, 'College List'!A:B, 2, FALSE)</f>
        <v>Silverquill</v>
      </c>
      <c r="D758" s="355">
        <f>VLOOKUP(B758,Quotas!$A$8:$C$14,2,FALSE)</f>
        <v>46157.70833</v>
      </c>
      <c r="E758" s="356">
        <f>VLOOKUP(B758,Quotas!$A$8:$C$14,3,FALSE)</f>
        <v>46164.70833</v>
      </c>
      <c r="F758" s="79">
        <f>COUNTIFS(Matches!$B:$B,A758,Matches!$A:$A,CONCAT("&gt;",$D758),Matches!$A:$A,CONCAT("&lt;",$E758))</f>
        <v>3</v>
      </c>
      <c r="G758" s="79">
        <f>COUNTIFS(Matches!$C:$C,$A758,Matches!$A:$A,CONCAT("&gt;",$D758),Matches!$A:$A,CONCAT("&lt;",$E758))</f>
        <v>2</v>
      </c>
      <c r="H758" s="79">
        <f t="shared" si="1"/>
        <v>5</v>
      </c>
      <c r="I758" s="79">
        <f>COUNTIFS(Matches!$B:$B,$A758,Matches!$A:$A,CONCAT("&lt;",$E758))</f>
        <v>9</v>
      </c>
      <c r="J758" s="79">
        <f>COUNTIFS(Matches!$C:$C,$A758,Matches!$A:$A,CONCAT("&lt;",$E758))</f>
        <v>11</v>
      </c>
      <c r="K758" s="79">
        <f>COUNTIFS(Entropy!D:D,A758,Entropy!I:I,CONCAT("&lt;",E758-1))</f>
        <v>0</v>
      </c>
      <c r="L758" s="79">
        <f t="shared" si="2"/>
        <v>20</v>
      </c>
      <c r="M758" s="79">
        <f t="array" ref="M758">max(min(IF(J758+K758=11,0,XLOOKUP(B758,Quotas!$A$8:$A$14,Quotas!$E$8:$E$14)-$L758),2),0)</f>
        <v>0</v>
      </c>
      <c r="N758" s="31">
        <f t="shared" si="3"/>
        <v>0</v>
      </c>
    </row>
    <row r="759">
      <c r="A759" s="31" t="s">
        <v>356</v>
      </c>
      <c r="B759" s="9">
        <v>4.0</v>
      </c>
      <c r="C759" s="31" t="str">
        <f>VLOOKUP(A759, 'College List'!A:B, 2, FALSE)</f>
        <v>Prismari</v>
      </c>
      <c r="D759" s="355">
        <f>VLOOKUP(B759,Quotas!$A$8:$C$14,2,FALSE)</f>
        <v>46157.70833</v>
      </c>
      <c r="E759" s="356">
        <f>VLOOKUP(B759,Quotas!$A$8:$C$14,3,FALSE)</f>
        <v>46164.70833</v>
      </c>
      <c r="F759" s="79">
        <f>COUNTIFS(Matches!$B:$B,A759,Matches!$A:$A,CONCAT("&gt;",$D759),Matches!$A:$A,CONCAT("&lt;",$E759))</f>
        <v>1</v>
      </c>
      <c r="G759" s="79">
        <f>COUNTIFS(Matches!$C:$C,$A759,Matches!$A:$A,CONCAT("&gt;",$D759),Matches!$A:$A,CONCAT("&lt;",$E759))</f>
        <v>3</v>
      </c>
      <c r="H759" s="79">
        <f t="shared" si="1"/>
        <v>4</v>
      </c>
      <c r="I759" s="79">
        <f>COUNTIFS(Matches!$B:$B,$A759,Matches!$A:$A,CONCAT("&lt;",$E759))</f>
        <v>10</v>
      </c>
      <c r="J759" s="79">
        <f>COUNTIFS(Matches!$C:$C,$A759,Matches!$A:$A,CONCAT("&lt;",$E759))</f>
        <v>9</v>
      </c>
      <c r="K759" s="79">
        <f>COUNTIFS(Entropy!D:D,A759,Entropy!I:I,CONCAT("&lt;",E759-1))</f>
        <v>0</v>
      </c>
      <c r="L759" s="79">
        <f t="shared" si="2"/>
        <v>19</v>
      </c>
      <c r="M759" s="79">
        <f t="array" ref="M759">max(min(IF(J759+K759=11,0,XLOOKUP(B759,Quotas!$A$8:$A$14,Quotas!$E$8:$E$14)-$L759),2),0)</f>
        <v>1</v>
      </c>
      <c r="N759" s="31">
        <f t="shared" si="3"/>
        <v>0.5</v>
      </c>
    </row>
    <row r="760">
      <c r="A760" s="31" t="s">
        <v>160</v>
      </c>
      <c r="B760" s="9">
        <v>4.0</v>
      </c>
      <c r="C760" s="31" t="str">
        <f>VLOOKUP(A760, 'College List'!A:B, 2, FALSE)</f>
        <v>Quandrix</v>
      </c>
      <c r="D760" s="355">
        <f>VLOOKUP(B760,Quotas!$A$8:$C$14,2,FALSE)</f>
        <v>46157.70833</v>
      </c>
      <c r="E760" s="356">
        <f>VLOOKUP(B760,Quotas!$A$8:$C$14,3,FALSE)</f>
        <v>46164.70833</v>
      </c>
      <c r="F760" s="79">
        <f>COUNTIFS(Matches!$B:$B,A760,Matches!$A:$A,CONCAT("&gt;",$D760),Matches!$A:$A,CONCAT("&lt;",$E760))</f>
        <v>0</v>
      </c>
      <c r="G760" s="79">
        <f>COUNTIFS(Matches!$C:$C,$A760,Matches!$A:$A,CONCAT("&gt;",$D760),Matches!$A:$A,CONCAT("&lt;",$E760))</f>
        <v>2</v>
      </c>
      <c r="H760" s="79">
        <f t="shared" si="1"/>
        <v>2</v>
      </c>
      <c r="I760" s="79">
        <f>COUNTIFS(Matches!$B:$B,$A760,Matches!$A:$A,CONCAT("&lt;",$E760))</f>
        <v>6</v>
      </c>
      <c r="J760" s="79">
        <f>COUNTIFS(Matches!$C:$C,$A760,Matches!$A:$A,CONCAT("&lt;",$E760))</f>
        <v>11</v>
      </c>
      <c r="K760" s="79">
        <f>COUNTIFS(Entropy!D:D,A760,Entropy!I:I,CONCAT("&lt;",E760-1))</f>
        <v>0</v>
      </c>
      <c r="L760" s="79">
        <f t="shared" si="2"/>
        <v>17</v>
      </c>
      <c r="M760" s="79">
        <f t="array" ref="M760">max(min(IF(J760+K760=11,0,XLOOKUP(B760,Quotas!$A$8:$A$14,Quotas!$E$8:$E$14)-$L760),2),0)</f>
        <v>0</v>
      </c>
      <c r="N760" s="31">
        <f t="shared" si="3"/>
        <v>0</v>
      </c>
    </row>
    <row r="761">
      <c r="A761" s="31" t="s">
        <v>180</v>
      </c>
      <c r="B761" s="9">
        <v>4.0</v>
      </c>
      <c r="C761" s="31" t="str">
        <f>VLOOKUP(A761, 'College List'!A:B, 2, FALSE)</f>
        <v>Silverquill</v>
      </c>
      <c r="D761" s="355">
        <f>VLOOKUP(B761,Quotas!$A$8:$C$14,2,FALSE)</f>
        <v>46157.70833</v>
      </c>
      <c r="E761" s="356">
        <f>VLOOKUP(B761,Quotas!$A$8:$C$14,3,FALSE)</f>
        <v>46164.70833</v>
      </c>
      <c r="F761" s="79">
        <f>COUNTIFS(Matches!$B:$B,A761,Matches!$A:$A,CONCAT("&gt;",$D761),Matches!$A:$A,CONCAT("&lt;",$E761))</f>
        <v>0</v>
      </c>
      <c r="G761" s="79">
        <f>COUNTIFS(Matches!$C:$C,$A761,Matches!$A:$A,CONCAT("&gt;",$D761),Matches!$A:$A,CONCAT("&lt;",$E761))</f>
        <v>0</v>
      </c>
      <c r="H761" s="79">
        <f t="shared" si="1"/>
        <v>0</v>
      </c>
      <c r="I761" s="79">
        <f>COUNTIFS(Matches!$B:$B,$A761,Matches!$A:$A,CONCAT("&lt;",$E761))</f>
        <v>6</v>
      </c>
      <c r="J761" s="79">
        <f>COUNTIFS(Matches!$C:$C,$A761,Matches!$A:$A,CONCAT("&lt;",$E761))</f>
        <v>5</v>
      </c>
      <c r="K761" s="79">
        <f>COUNTIFS(Entropy!D:D,A761,Entropy!I:I,CONCAT("&lt;",E761-1))</f>
        <v>2</v>
      </c>
      <c r="L761" s="79">
        <f t="shared" si="2"/>
        <v>13</v>
      </c>
      <c r="M761" s="79">
        <f t="array" ref="M761">max(min(IF(J761+K761=11,0,XLOOKUP(B761,Quotas!$A$8:$A$14,Quotas!$E$8:$E$14)-$L761),2),0)</f>
        <v>2</v>
      </c>
      <c r="N761" s="31">
        <f t="shared" si="3"/>
        <v>0</v>
      </c>
    </row>
    <row r="762">
      <c r="A762" s="31" t="s">
        <v>89</v>
      </c>
      <c r="B762" s="9">
        <v>4.0</v>
      </c>
      <c r="C762" s="31" t="str">
        <f>VLOOKUP(A762, 'College List'!A:B, 2, FALSE)</f>
        <v>Quandrix</v>
      </c>
      <c r="D762" s="355">
        <f>VLOOKUP(B762,Quotas!$A$8:$C$14,2,FALSE)</f>
        <v>46157.70833</v>
      </c>
      <c r="E762" s="356">
        <f>VLOOKUP(B762,Quotas!$A$8:$C$14,3,FALSE)</f>
        <v>46164.70833</v>
      </c>
      <c r="F762" s="79">
        <f>COUNTIFS(Matches!$B:$B,A762,Matches!$A:$A,CONCAT("&gt;",$D762),Matches!$A:$A,CONCAT("&lt;",$E762))</f>
        <v>2</v>
      </c>
      <c r="G762" s="79">
        <f>COUNTIFS(Matches!$C:$C,$A762,Matches!$A:$A,CONCAT("&gt;",$D762),Matches!$A:$A,CONCAT("&lt;",$E762))</f>
        <v>3</v>
      </c>
      <c r="H762" s="79">
        <f t="shared" si="1"/>
        <v>5</v>
      </c>
      <c r="I762" s="79">
        <f>COUNTIFS(Matches!$B:$B,$A762,Matches!$A:$A,CONCAT("&lt;",$E762))</f>
        <v>11</v>
      </c>
      <c r="J762" s="79">
        <f>COUNTIFS(Matches!$C:$C,$A762,Matches!$A:$A,CONCAT("&lt;",$E762))</f>
        <v>9</v>
      </c>
      <c r="K762" s="79">
        <f>COUNTIFS(Entropy!D:D,A762,Entropy!I:I,CONCAT("&lt;",E762-1))</f>
        <v>0</v>
      </c>
      <c r="L762" s="79">
        <f t="shared" si="2"/>
        <v>20</v>
      </c>
      <c r="M762" s="79">
        <f t="array" ref="M762">max(min(IF(J762+K762=11,0,XLOOKUP(B762,Quotas!$A$8:$A$14,Quotas!$E$8:$E$14)-$L762),2),0)</f>
        <v>0</v>
      </c>
      <c r="N762" s="31">
        <f t="shared" si="3"/>
        <v>0</v>
      </c>
    </row>
    <row r="763">
      <c r="A763" s="31" t="s">
        <v>231</v>
      </c>
      <c r="B763" s="9">
        <v>4.0</v>
      </c>
      <c r="C763" s="31" t="str">
        <f>VLOOKUP(A763, 'College List'!A:B, 2, FALSE)</f>
        <v>Quandrix</v>
      </c>
      <c r="D763" s="355">
        <f>VLOOKUP(B763,Quotas!$A$8:$C$14,2,FALSE)</f>
        <v>46157.70833</v>
      </c>
      <c r="E763" s="356">
        <f>VLOOKUP(B763,Quotas!$A$8:$C$14,3,FALSE)</f>
        <v>46164.70833</v>
      </c>
      <c r="F763" s="79">
        <f>COUNTIFS(Matches!$B:$B,A763,Matches!$A:$A,CONCAT("&gt;",$D763),Matches!$A:$A,CONCAT("&lt;",$E763))</f>
        <v>3</v>
      </c>
      <c r="G763" s="79">
        <f>COUNTIFS(Matches!$C:$C,$A763,Matches!$A:$A,CONCAT("&gt;",$D763),Matches!$A:$A,CONCAT("&lt;",$E763))</f>
        <v>2</v>
      </c>
      <c r="H763" s="79">
        <f t="shared" si="1"/>
        <v>5</v>
      </c>
      <c r="I763" s="79">
        <f>COUNTIFS(Matches!$B:$B,$A763,Matches!$A:$A,CONCAT("&lt;",$E763))</f>
        <v>11</v>
      </c>
      <c r="J763" s="79">
        <f>COUNTIFS(Matches!$C:$C,$A763,Matches!$A:$A,CONCAT("&lt;",$E763))</f>
        <v>9</v>
      </c>
      <c r="K763" s="79">
        <f>COUNTIFS(Entropy!D:D,A763,Entropy!I:I,CONCAT("&lt;",E763-1))</f>
        <v>0</v>
      </c>
      <c r="L763" s="79">
        <f t="shared" si="2"/>
        <v>20</v>
      </c>
      <c r="M763" s="79">
        <f t="array" ref="M763">max(min(IF(J763+K763=11,0,XLOOKUP(B763,Quotas!$A$8:$A$14,Quotas!$E$8:$E$14)-$L763),2),0)</f>
        <v>0</v>
      </c>
      <c r="N763" s="31">
        <f t="shared" si="3"/>
        <v>0</v>
      </c>
    </row>
    <row r="764">
      <c r="A764" s="31" t="s">
        <v>314</v>
      </c>
      <c r="B764" s="9">
        <v>4.0</v>
      </c>
      <c r="C764" s="31" t="str">
        <f>VLOOKUP(A764, 'College List'!A:B, 2, FALSE)</f>
        <v>Lorehold</v>
      </c>
      <c r="D764" s="355">
        <f>VLOOKUP(B764,Quotas!$A$8:$C$14,2,FALSE)</f>
        <v>46157.70833</v>
      </c>
      <c r="E764" s="356">
        <f>VLOOKUP(B764,Quotas!$A$8:$C$14,3,FALSE)</f>
        <v>46164.70833</v>
      </c>
      <c r="F764" s="79">
        <f>COUNTIFS(Matches!$B:$B,A764,Matches!$A:$A,CONCAT("&gt;",$D764),Matches!$A:$A,CONCAT("&lt;",$E764))</f>
        <v>0</v>
      </c>
      <c r="G764" s="79">
        <f>COUNTIFS(Matches!$C:$C,$A764,Matches!$A:$A,CONCAT("&gt;",$D764),Matches!$A:$A,CONCAT("&lt;",$E764))</f>
        <v>2</v>
      </c>
      <c r="H764" s="79">
        <f t="shared" si="1"/>
        <v>2</v>
      </c>
      <c r="I764" s="79">
        <f>COUNTIFS(Matches!$B:$B,$A764,Matches!$A:$A,CONCAT("&lt;",$E764))</f>
        <v>4</v>
      </c>
      <c r="J764" s="79">
        <f>COUNTIFS(Matches!$C:$C,$A764,Matches!$A:$A,CONCAT("&lt;",$E764))</f>
        <v>11</v>
      </c>
      <c r="K764" s="79">
        <f>COUNTIFS(Entropy!D:D,A764,Entropy!I:I,CONCAT("&lt;",E764-1))</f>
        <v>0</v>
      </c>
      <c r="L764" s="79">
        <f t="shared" si="2"/>
        <v>15</v>
      </c>
      <c r="M764" s="79">
        <f t="array" ref="M764">max(min(IF(J764+K764=11,0,XLOOKUP(B764,Quotas!$A$8:$A$14,Quotas!$E$8:$E$14)-$L764),2),0)</f>
        <v>0</v>
      </c>
      <c r="N764" s="31">
        <f t="shared" si="3"/>
        <v>0</v>
      </c>
    </row>
    <row r="765">
      <c r="A765" s="31" t="s">
        <v>190</v>
      </c>
      <c r="B765" s="9">
        <v>4.0</v>
      </c>
      <c r="C765" s="31" t="str">
        <f>VLOOKUP(A765, 'College List'!A:B, 2, FALSE)</f>
        <v>Silverquill</v>
      </c>
      <c r="D765" s="355">
        <f>VLOOKUP(B765,Quotas!$A$8:$C$14,2,FALSE)</f>
        <v>46157.70833</v>
      </c>
      <c r="E765" s="356">
        <f>VLOOKUP(B765,Quotas!$A$8:$C$14,3,FALSE)</f>
        <v>46164.70833</v>
      </c>
      <c r="F765" s="79">
        <f>COUNTIFS(Matches!$B:$B,A765,Matches!$A:$A,CONCAT("&gt;",$D765),Matches!$A:$A,CONCAT("&lt;",$E765))</f>
        <v>5</v>
      </c>
      <c r="G765" s="79">
        <f>COUNTIFS(Matches!$C:$C,$A765,Matches!$A:$A,CONCAT("&gt;",$D765),Matches!$A:$A,CONCAT("&lt;",$E765))</f>
        <v>1</v>
      </c>
      <c r="H765" s="79">
        <f t="shared" si="1"/>
        <v>6</v>
      </c>
      <c r="I765" s="79">
        <f>COUNTIFS(Matches!$B:$B,$A765,Matches!$A:$A,CONCAT("&lt;",$E765))</f>
        <v>11</v>
      </c>
      <c r="J765" s="79">
        <f>COUNTIFS(Matches!$C:$C,$A765,Matches!$A:$A,CONCAT("&lt;",$E765))</f>
        <v>9</v>
      </c>
      <c r="K765" s="79">
        <f>COUNTIFS(Entropy!D:D,A765,Entropy!I:I,CONCAT("&lt;",E765-1))</f>
        <v>0</v>
      </c>
      <c r="L765" s="79">
        <f t="shared" si="2"/>
        <v>20</v>
      </c>
      <c r="M765" s="79">
        <f t="array" ref="M765">max(min(IF(J765+K765=11,0,XLOOKUP(B765,Quotas!$A$8:$A$14,Quotas!$E$8:$E$14)-$L765),2),0)</f>
        <v>0</v>
      </c>
      <c r="N765" s="31">
        <f t="shared" si="3"/>
        <v>0</v>
      </c>
    </row>
    <row r="766">
      <c r="A766" s="31" t="s">
        <v>84</v>
      </c>
      <c r="B766" s="9">
        <v>4.0</v>
      </c>
      <c r="C766" s="31" t="str">
        <f>VLOOKUP(A766, 'College List'!A:B, 2, FALSE)</f>
        <v>Witherbloom</v>
      </c>
      <c r="D766" s="355">
        <f>VLOOKUP(B766,Quotas!$A$8:$C$14,2,FALSE)</f>
        <v>46157.70833</v>
      </c>
      <c r="E766" s="356">
        <f>VLOOKUP(B766,Quotas!$A$8:$C$14,3,FALSE)</f>
        <v>46164.70833</v>
      </c>
      <c r="F766" s="79">
        <f>COUNTIFS(Matches!$B:$B,A766,Matches!$A:$A,CONCAT("&gt;",$D766),Matches!$A:$A,CONCAT("&lt;",$E766))</f>
        <v>5</v>
      </c>
      <c r="G766" s="79">
        <f>COUNTIFS(Matches!$C:$C,$A766,Matches!$A:$A,CONCAT("&gt;",$D766),Matches!$A:$A,CONCAT("&lt;",$E766))</f>
        <v>0</v>
      </c>
      <c r="H766" s="79">
        <f t="shared" si="1"/>
        <v>5</v>
      </c>
      <c r="I766" s="79">
        <f>COUNTIFS(Matches!$B:$B,$A766,Matches!$A:$A,CONCAT("&lt;",$E766))</f>
        <v>15</v>
      </c>
      <c r="J766" s="79">
        <f>COUNTIFS(Matches!$C:$C,$A766,Matches!$A:$A,CONCAT("&lt;",$E766))</f>
        <v>5</v>
      </c>
      <c r="K766" s="79">
        <f>COUNTIFS(Entropy!D:D,A766,Entropy!I:I,CONCAT("&lt;",E766-1))</f>
        <v>0</v>
      </c>
      <c r="L766" s="79">
        <f t="shared" si="2"/>
        <v>20</v>
      </c>
      <c r="M766" s="79">
        <f t="array" ref="M766">max(min(IF(J766+K766=11,0,XLOOKUP(B766,Quotas!$A$8:$A$14,Quotas!$E$8:$E$14)-$L766),2),0)</f>
        <v>0</v>
      </c>
      <c r="N766" s="31">
        <f t="shared" si="3"/>
        <v>0</v>
      </c>
    </row>
    <row r="767">
      <c r="A767" s="31" t="s">
        <v>298</v>
      </c>
      <c r="B767" s="9">
        <v>4.0</v>
      </c>
      <c r="C767" s="31" t="str">
        <f>VLOOKUP(A767, 'College List'!A:B, 2, FALSE)</f>
        <v>Quandrix</v>
      </c>
      <c r="D767" s="355">
        <f>VLOOKUP(B767,Quotas!$A$8:$C$14,2,FALSE)</f>
        <v>46157.70833</v>
      </c>
      <c r="E767" s="356">
        <f>VLOOKUP(B767,Quotas!$A$8:$C$14,3,FALSE)</f>
        <v>46164.70833</v>
      </c>
      <c r="F767" s="79">
        <f>COUNTIFS(Matches!$B:$B,A767,Matches!$A:$A,CONCAT("&gt;",$D767),Matches!$A:$A,CONCAT("&lt;",$E767))</f>
        <v>3</v>
      </c>
      <c r="G767" s="79">
        <f>COUNTIFS(Matches!$C:$C,$A767,Matches!$A:$A,CONCAT("&gt;",$D767),Matches!$A:$A,CONCAT("&lt;",$E767))</f>
        <v>2</v>
      </c>
      <c r="H767" s="79">
        <f t="shared" si="1"/>
        <v>5</v>
      </c>
      <c r="I767" s="79">
        <f>COUNTIFS(Matches!$B:$B,$A767,Matches!$A:$A,CONCAT("&lt;",$E767))</f>
        <v>11</v>
      </c>
      <c r="J767" s="79">
        <f>COUNTIFS(Matches!$C:$C,$A767,Matches!$A:$A,CONCAT("&lt;",$E767))</f>
        <v>9</v>
      </c>
      <c r="K767" s="79">
        <f>COUNTIFS(Entropy!D:D,A767,Entropy!I:I,CONCAT("&lt;",E767-1))</f>
        <v>0</v>
      </c>
      <c r="L767" s="79">
        <f t="shared" si="2"/>
        <v>20</v>
      </c>
      <c r="M767" s="79">
        <f t="array" ref="M767">max(min(IF(J767+K767=11,0,XLOOKUP(B767,Quotas!$A$8:$A$14,Quotas!$E$8:$E$14)-$L767),2),0)</f>
        <v>0</v>
      </c>
      <c r="N767" s="31">
        <f t="shared" si="3"/>
        <v>0</v>
      </c>
    </row>
    <row r="768">
      <c r="A768" s="31" t="s">
        <v>424</v>
      </c>
      <c r="B768" s="9">
        <v>4.0</v>
      </c>
      <c r="C768" s="31" t="str">
        <f>VLOOKUP(A768, 'College List'!A:B, 2, FALSE)</f>
        <v>Lorehold</v>
      </c>
      <c r="D768" s="355">
        <f>VLOOKUP(B768,Quotas!$A$8:$C$14,2,FALSE)</f>
        <v>46157.70833</v>
      </c>
      <c r="E768" s="356">
        <f>VLOOKUP(B768,Quotas!$A$8:$C$14,3,FALSE)</f>
        <v>46164.70833</v>
      </c>
      <c r="F768" s="79">
        <f>COUNTIFS(Matches!$B:$B,A768,Matches!$A:$A,CONCAT("&gt;",$D768),Matches!$A:$A,CONCAT("&lt;",$E768))</f>
        <v>0</v>
      </c>
      <c r="G768" s="79">
        <f>COUNTIFS(Matches!$C:$C,$A768,Matches!$A:$A,CONCAT("&gt;",$D768),Matches!$A:$A,CONCAT("&lt;",$E768))</f>
        <v>2</v>
      </c>
      <c r="H768" s="79">
        <f t="shared" si="1"/>
        <v>2</v>
      </c>
      <c r="I768" s="79">
        <f>COUNTIFS(Matches!$B:$B,$A768,Matches!$A:$A,CONCAT("&lt;",$E768))</f>
        <v>6</v>
      </c>
      <c r="J768" s="79">
        <f>COUNTIFS(Matches!$C:$C,$A768,Matches!$A:$A,CONCAT("&lt;",$E768))</f>
        <v>11</v>
      </c>
      <c r="K768" s="79">
        <f>COUNTIFS(Entropy!D:D,A768,Entropy!I:I,CONCAT("&lt;",E768-1))</f>
        <v>0</v>
      </c>
      <c r="L768" s="79">
        <f t="shared" si="2"/>
        <v>17</v>
      </c>
      <c r="M768" s="79">
        <f t="array" ref="M768">max(min(IF(J768+K768=11,0,XLOOKUP(B768,Quotas!$A$8:$A$14,Quotas!$E$8:$E$14)-$L768),2),0)</f>
        <v>0</v>
      </c>
      <c r="N768" s="31">
        <f t="shared" si="3"/>
        <v>0</v>
      </c>
    </row>
    <row r="769">
      <c r="A769" s="31" t="s">
        <v>100</v>
      </c>
      <c r="B769" s="9">
        <v>4.0</v>
      </c>
      <c r="C769" s="31" t="str">
        <f>VLOOKUP(A769, 'College List'!A:B, 2, FALSE)</f>
        <v>Witherbloom</v>
      </c>
      <c r="D769" s="355">
        <f>VLOOKUP(B769,Quotas!$A$8:$C$14,2,FALSE)</f>
        <v>46157.70833</v>
      </c>
      <c r="E769" s="356">
        <f>VLOOKUP(B769,Quotas!$A$8:$C$14,3,FALSE)</f>
        <v>46164.70833</v>
      </c>
      <c r="F769" s="79">
        <f>COUNTIFS(Matches!$B:$B,A769,Matches!$A:$A,CONCAT("&gt;",$D769),Matches!$A:$A,CONCAT("&lt;",$E769))</f>
        <v>1</v>
      </c>
      <c r="G769" s="79">
        <f>COUNTIFS(Matches!$C:$C,$A769,Matches!$A:$A,CONCAT("&gt;",$D769),Matches!$A:$A,CONCAT("&lt;",$E769))</f>
        <v>1</v>
      </c>
      <c r="H769" s="79">
        <f t="shared" si="1"/>
        <v>2</v>
      </c>
      <c r="I769" s="79">
        <f>COUNTIFS(Matches!$B:$B,$A769,Matches!$A:$A,CONCAT("&lt;",$E769))</f>
        <v>6</v>
      </c>
      <c r="J769" s="79">
        <f>COUNTIFS(Matches!$C:$C,$A769,Matches!$A:$A,CONCAT("&lt;",$E769))</f>
        <v>11</v>
      </c>
      <c r="K769" s="79">
        <f>COUNTIFS(Entropy!D:D,A769,Entropy!I:I,CONCAT("&lt;",E769-1))</f>
        <v>0</v>
      </c>
      <c r="L769" s="79">
        <f t="shared" si="2"/>
        <v>17</v>
      </c>
      <c r="M769" s="79">
        <f t="array" ref="M769">max(min(IF(J769+K769=11,0,XLOOKUP(B769,Quotas!$A$8:$A$14,Quotas!$E$8:$E$14)-$L769),2),0)</f>
        <v>0</v>
      </c>
      <c r="N769" s="31">
        <f t="shared" si="3"/>
        <v>0</v>
      </c>
    </row>
    <row r="770">
      <c r="A770" s="31" t="s">
        <v>64</v>
      </c>
      <c r="B770" s="9">
        <v>4.0</v>
      </c>
      <c r="C770" s="31" t="str">
        <f>VLOOKUP(A770, 'College List'!A:B, 2, FALSE)</f>
        <v>Prismari</v>
      </c>
      <c r="D770" s="355">
        <f>VLOOKUP(B770,Quotas!$A$8:$C$14,2,FALSE)</f>
        <v>46157.70833</v>
      </c>
      <c r="E770" s="356">
        <f>VLOOKUP(B770,Quotas!$A$8:$C$14,3,FALSE)</f>
        <v>46164.70833</v>
      </c>
      <c r="F770" s="79">
        <f>COUNTIFS(Matches!$B:$B,A770,Matches!$A:$A,CONCAT("&gt;",$D770),Matches!$A:$A,CONCAT("&lt;",$E770))</f>
        <v>2</v>
      </c>
      <c r="G770" s="79">
        <f>COUNTIFS(Matches!$C:$C,$A770,Matches!$A:$A,CONCAT("&gt;",$D770),Matches!$A:$A,CONCAT("&lt;",$E770))</f>
        <v>3</v>
      </c>
      <c r="H770" s="79">
        <f t="shared" si="1"/>
        <v>5</v>
      </c>
      <c r="I770" s="79">
        <f>COUNTIFS(Matches!$B:$B,$A770,Matches!$A:$A,CONCAT("&lt;",$E770))</f>
        <v>10</v>
      </c>
      <c r="J770" s="79">
        <f>COUNTIFS(Matches!$C:$C,$A770,Matches!$A:$A,CONCAT("&lt;",$E770))</f>
        <v>8</v>
      </c>
      <c r="K770" s="79">
        <f>COUNTIFS(Entropy!D:D,A770,Entropy!I:I,CONCAT("&lt;",E770-1))</f>
        <v>0</v>
      </c>
      <c r="L770" s="79">
        <f t="shared" si="2"/>
        <v>18</v>
      </c>
      <c r="M770" s="79">
        <f t="array" ref="M770">max(min(IF(J770+K770=11,0,XLOOKUP(B770,Quotas!$A$8:$A$14,Quotas!$E$8:$E$14)-$L770),2),0)</f>
        <v>2</v>
      </c>
      <c r="N770" s="31">
        <f t="shared" si="3"/>
        <v>1</v>
      </c>
    </row>
    <row r="771">
      <c r="A771" s="31" t="s">
        <v>186</v>
      </c>
      <c r="B771" s="9">
        <v>4.0</v>
      </c>
      <c r="C771" s="31" t="str">
        <f>VLOOKUP(A771, 'College List'!A:B, 2, FALSE)</f>
        <v>Witherbloom</v>
      </c>
      <c r="D771" s="355">
        <f>VLOOKUP(B771,Quotas!$A$8:$C$14,2,FALSE)</f>
        <v>46157.70833</v>
      </c>
      <c r="E771" s="356">
        <f>VLOOKUP(B771,Quotas!$A$8:$C$14,3,FALSE)</f>
        <v>46164.70833</v>
      </c>
      <c r="F771" s="79">
        <f>COUNTIFS(Matches!$B:$B,A771,Matches!$A:$A,CONCAT("&gt;",$D771),Matches!$A:$A,CONCAT("&lt;",$E771))</f>
        <v>0</v>
      </c>
      <c r="G771" s="79">
        <f>COUNTIFS(Matches!$C:$C,$A771,Matches!$A:$A,CONCAT("&gt;",$D771),Matches!$A:$A,CONCAT("&lt;",$E771))</f>
        <v>2</v>
      </c>
      <c r="H771" s="79">
        <f t="shared" si="1"/>
        <v>2</v>
      </c>
      <c r="I771" s="79">
        <f>COUNTIFS(Matches!$B:$B,$A771,Matches!$A:$A,CONCAT("&lt;",$E771))</f>
        <v>6</v>
      </c>
      <c r="J771" s="79">
        <f>COUNTIFS(Matches!$C:$C,$A771,Matches!$A:$A,CONCAT("&lt;",$E771))</f>
        <v>11</v>
      </c>
      <c r="K771" s="79">
        <f>COUNTIFS(Entropy!D:D,A771,Entropy!I:I,CONCAT("&lt;",E771-1))</f>
        <v>0</v>
      </c>
      <c r="L771" s="79">
        <f t="shared" si="2"/>
        <v>17</v>
      </c>
      <c r="M771" s="79">
        <f t="array" ref="M771">max(min(IF(J771+K771=11,0,XLOOKUP(B771,Quotas!$A$8:$A$14,Quotas!$E$8:$E$14)-$L771),2),0)</f>
        <v>0</v>
      </c>
      <c r="N771" s="31">
        <f t="shared" si="3"/>
        <v>0</v>
      </c>
    </row>
    <row r="772">
      <c r="A772" s="31" t="s">
        <v>75</v>
      </c>
      <c r="B772" s="9">
        <v>4.0</v>
      </c>
      <c r="C772" s="31" t="str">
        <f>VLOOKUP(A772, 'College List'!A:B, 2, FALSE)</f>
        <v>Silverquill</v>
      </c>
      <c r="D772" s="355">
        <f>VLOOKUP(B772,Quotas!$A$8:$C$14,2,FALSE)</f>
        <v>46157.70833</v>
      </c>
      <c r="E772" s="356">
        <f>VLOOKUP(B772,Quotas!$A$8:$C$14,3,FALSE)</f>
        <v>46164.70833</v>
      </c>
      <c r="F772" s="79">
        <f>COUNTIFS(Matches!$B:$B,A772,Matches!$A:$A,CONCAT("&gt;",$D772),Matches!$A:$A,CONCAT("&lt;",$E772))</f>
        <v>0</v>
      </c>
      <c r="G772" s="79">
        <f>COUNTIFS(Matches!$C:$C,$A772,Matches!$A:$A,CONCAT("&gt;",$D772),Matches!$A:$A,CONCAT("&lt;",$E772))</f>
        <v>0</v>
      </c>
      <c r="H772" s="79">
        <f t="shared" si="1"/>
        <v>0</v>
      </c>
      <c r="I772" s="79">
        <f>COUNTIFS(Matches!$B:$B,$A772,Matches!$A:$A,CONCAT("&lt;",$E772))</f>
        <v>1</v>
      </c>
      <c r="J772" s="79">
        <f>COUNTIFS(Matches!$C:$C,$A772,Matches!$A:$A,CONCAT("&lt;",$E772))</f>
        <v>11</v>
      </c>
      <c r="K772" s="79">
        <f>COUNTIFS(Entropy!D:D,A772,Entropy!I:I,CONCAT("&lt;",E772-1))</f>
        <v>0</v>
      </c>
      <c r="L772" s="79">
        <f t="shared" si="2"/>
        <v>12</v>
      </c>
      <c r="M772" s="79">
        <f t="array" ref="M772">max(min(IF(J772+K772=11,0,XLOOKUP(B772,Quotas!$A$8:$A$14,Quotas!$E$8:$E$14)-$L772),2),0)</f>
        <v>0</v>
      </c>
      <c r="N772" s="31">
        <f t="shared" si="3"/>
        <v>0</v>
      </c>
    </row>
    <row r="773">
      <c r="A773" s="31" t="s">
        <v>187</v>
      </c>
      <c r="B773" s="9">
        <v>4.0</v>
      </c>
      <c r="C773" s="31" t="str">
        <f>VLOOKUP(A773, 'College List'!A:B, 2, FALSE)</f>
        <v>Quandrix</v>
      </c>
      <c r="D773" s="355">
        <f>VLOOKUP(B773,Quotas!$A$8:$C$14,2,FALSE)</f>
        <v>46157.70833</v>
      </c>
      <c r="E773" s="356">
        <f>VLOOKUP(B773,Quotas!$A$8:$C$14,3,FALSE)</f>
        <v>46164.70833</v>
      </c>
      <c r="F773" s="79">
        <f>COUNTIFS(Matches!$B:$B,A773,Matches!$A:$A,CONCAT("&gt;",$D773),Matches!$A:$A,CONCAT("&lt;",$E773))</f>
        <v>1</v>
      </c>
      <c r="G773" s="79">
        <f>COUNTIFS(Matches!$C:$C,$A773,Matches!$A:$A,CONCAT("&gt;",$D773),Matches!$A:$A,CONCAT("&lt;",$E773))</f>
        <v>4</v>
      </c>
      <c r="H773" s="79">
        <f t="shared" si="1"/>
        <v>5</v>
      </c>
      <c r="I773" s="79">
        <f>COUNTIFS(Matches!$B:$B,$A773,Matches!$A:$A,CONCAT("&lt;",$E773))</f>
        <v>11</v>
      </c>
      <c r="J773" s="79">
        <f>COUNTIFS(Matches!$C:$C,$A773,Matches!$A:$A,CONCAT("&lt;",$E773))</f>
        <v>9</v>
      </c>
      <c r="K773" s="79">
        <f>COUNTIFS(Entropy!D:D,A773,Entropy!I:I,CONCAT("&lt;",E773-1))</f>
        <v>0</v>
      </c>
      <c r="L773" s="79">
        <f t="shared" si="2"/>
        <v>20</v>
      </c>
      <c r="M773" s="79">
        <f t="array" ref="M773">max(min(IF(J773+K773=11,0,XLOOKUP(B773,Quotas!$A$8:$A$14,Quotas!$E$8:$E$14)-$L773),2),0)</f>
        <v>0</v>
      </c>
      <c r="N773" s="31">
        <f t="shared" si="3"/>
        <v>0</v>
      </c>
    </row>
    <row r="774">
      <c r="A774" s="31" t="s">
        <v>83</v>
      </c>
      <c r="B774" s="9">
        <v>4.0</v>
      </c>
      <c r="C774" s="31" t="str">
        <f>VLOOKUP(A774, 'College List'!A:B, 2, FALSE)</f>
        <v>Prismari</v>
      </c>
      <c r="D774" s="355">
        <f>VLOOKUP(B774,Quotas!$A$8:$C$14,2,FALSE)</f>
        <v>46157.70833</v>
      </c>
      <c r="E774" s="356">
        <f>VLOOKUP(B774,Quotas!$A$8:$C$14,3,FALSE)</f>
        <v>46164.70833</v>
      </c>
      <c r="F774" s="79">
        <f>COUNTIFS(Matches!$B:$B,A774,Matches!$A:$A,CONCAT("&gt;",$D774),Matches!$A:$A,CONCAT("&lt;",$E774))</f>
        <v>2</v>
      </c>
      <c r="G774" s="79">
        <f>COUNTIFS(Matches!$C:$C,$A774,Matches!$A:$A,CONCAT("&gt;",$D774),Matches!$A:$A,CONCAT("&lt;",$E774))</f>
        <v>1</v>
      </c>
      <c r="H774" s="79">
        <f t="shared" si="1"/>
        <v>3</v>
      </c>
      <c r="I774" s="79">
        <f>COUNTIFS(Matches!$B:$B,$A774,Matches!$A:$A,CONCAT("&lt;",$E774))</f>
        <v>8</v>
      </c>
      <c r="J774" s="79">
        <f>COUNTIFS(Matches!$C:$C,$A774,Matches!$A:$A,CONCAT("&lt;",$E774))</f>
        <v>10</v>
      </c>
      <c r="K774" s="79">
        <f>COUNTIFS(Entropy!D:D,A774,Entropy!I:I,CONCAT("&lt;",E774-1))</f>
        <v>0</v>
      </c>
      <c r="L774" s="79">
        <f t="shared" si="2"/>
        <v>18</v>
      </c>
      <c r="M774" s="79">
        <f t="array" ref="M774">max(min(IF(J774+K774=11,0,XLOOKUP(B774,Quotas!$A$8:$A$14,Quotas!$E$8:$E$14)-$L774),2),0)</f>
        <v>2</v>
      </c>
      <c r="N774" s="31">
        <f t="shared" si="3"/>
        <v>1</v>
      </c>
    </row>
    <row r="775">
      <c r="A775" s="31" t="s">
        <v>322</v>
      </c>
      <c r="B775" s="9">
        <v>4.0</v>
      </c>
      <c r="C775" s="31" t="str">
        <f>VLOOKUP(A775, 'College List'!A:B, 2, FALSE)</f>
        <v>Prismari</v>
      </c>
      <c r="D775" s="355">
        <f>VLOOKUP(B775,Quotas!$A$8:$C$14,2,FALSE)</f>
        <v>46157.70833</v>
      </c>
      <c r="E775" s="356">
        <f>VLOOKUP(B775,Quotas!$A$8:$C$14,3,FALSE)</f>
        <v>46164.70833</v>
      </c>
      <c r="F775" s="79">
        <f>COUNTIFS(Matches!$B:$B,A775,Matches!$A:$A,CONCAT("&gt;",$D775),Matches!$A:$A,CONCAT("&lt;",$E775))</f>
        <v>1</v>
      </c>
      <c r="G775" s="79">
        <f>COUNTIFS(Matches!$C:$C,$A775,Matches!$A:$A,CONCAT("&gt;",$D775),Matches!$A:$A,CONCAT("&lt;",$E775))</f>
        <v>4</v>
      </c>
      <c r="H775" s="79">
        <f t="shared" si="1"/>
        <v>5</v>
      </c>
      <c r="I775" s="79">
        <f>COUNTIFS(Matches!$B:$B,$A775,Matches!$A:$A,CONCAT("&lt;",$E775))</f>
        <v>11</v>
      </c>
      <c r="J775" s="79">
        <f>COUNTIFS(Matches!$C:$C,$A775,Matches!$A:$A,CONCAT("&lt;",$E775))</f>
        <v>9</v>
      </c>
      <c r="K775" s="79">
        <f>COUNTIFS(Entropy!D:D,A775,Entropy!I:I,CONCAT("&lt;",E775-1))</f>
        <v>0</v>
      </c>
      <c r="L775" s="79">
        <f t="shared" si="2"/>
        <v>20</v>
      </c>
      <c r="M775" s="79">
        <f t="array" ref="M775">max(min(IF(J775+K775=11,0,XLOOKUP(B775,Quotas!$A$8:$A$14,Quotas!$E$8:$E$14)-$L775),2),0)</f>
        <v>0</v>
      </c>
      <c r="N775" s="31">
        <f t="shared" si="3"/>
        <v>0</v>
      </c>
    </row>
    <row r="776">
      <c r="A776" s="31" t="s">
        <v>393</v>
      </c>
      <c r="B776" s="9">
        <v>4.0</v>
      </c>
      <c r="C776" s="31" t="str">
        <f>VLOOKUP(A776, 'College List'!A:B, 2, FALSE)</f>
        <v>Witherbloom</v>
      </c>
      <c r="D776" s="355">
        <f>VLOOKUP(B776,Quotas!$A$8:$C$14,2,FALSE)</f>
        <v>46157.70833</v>
      </c>
      <c r="E776" s="356">
        <f>VLOOKUP(B776,Quotas!$A$8:$C$14,3,FALSE)</f>
        <v>46164.70833</v>
      </c>
      <c r="F776" s="79">
        <f>COUNTIFS(Matches!$B:$B,A776,Matches!$A:$A,CONCAT("&gt;",$D776),Matches!$A:$A,CONCAT("&lt;",$E776))</f>
        <v>3</v>
      </c>
      <c r="G776" s="79">
        <f>COUNTIFS(Matches!$C:$C,$A776,Matches!$A:$A,CONCAT("&gt;",$D776),Matches!$A:$A,CONCAT("&lt;",$E776))</f>
        <v>4</v>
      </c>
      <c r="H776" s="79">
        <f t="shared" si="1"/>
        <v>7</v>
      </c>
      <c r="I776" s="79">
        <f>COUNTIFS(Matches!$B:$B,$A776,Matches!$A:$A,CONCAT("&lt;",$E776))</f>
        <v>10</v>
      </c>
      <c r="J776" s="79">
        <f>COUNTIFS(Matches!$C:$C,$A776,Matches!$A:$A,CONCAT("&lt;",$E776))</f>
        <v>10</v>
      </c>
      <c r="K776" s="79">
        <f>COUNTIFS(Entropy!D:D,A776,Entropy!I:I,CONCAT("&lt;",E776-1))</f>
        <v>0</v>
      </c>
      <c r="L776" s="79">
        <f t="shared" si="2"/>
        <v>20</v>
      </c>
      <c r="M776" s="79">
        <f t="array" ref="M776">max(min(IF(J776+K776=11,0,XLOOKUP(B776,Quotas!$A$8:$A$14,Quotas!$E$8:$E$14)-$L776),2),0)</f>
        <v>0</v>
      </c>
      <c r="N776" s="31">
        <f t="shared" si="3"/>
        <v>0</v>
      </c>
    </row>
    <row r="777">
      <c r="A777" s="31" t="s">
        <v>208</v>
      </c>
      <c r="B777" s="9">
        <v>4.0</v>
      </c>
      <c r="C777" s="31" t="str">
        <f>VLOOKUP(A777, 'College List'!A:B, 2, FALSE)</f>
        <v>Witherbloom</v>
      </c>
      <c r="D777" s="355">
        <f>VLOOKUP(B777,Quotas!$A$8:$C$14,2,FALSE)</f>
        <v>46157.70833</v>
      </c>
      <c r="E777" s="356">
        <f>VLOOKUP(B777,Quotas!$A$8:$C$14,3,FALSE)</f>
        <v>46164.70833</v>
      </c>
      <c r="F777" s="79">
        <f>COUNTIFS(Matches!$B:$B,A777,Matches!$A:$A,CONCAT("&gt;",$D777),Matches!$A:$A,CONCAT("&lt;",$E777))</f>
        <v>4</v>
      </c>
      <c r="G777" s="79">
        <f>COUNTIFS(Matches!$C:$C,$A777,Matches!$A:$A,CONCAT("&gt;",$D777),Matches!$A:$A,CONCAT("&lt;",$E777))</f>
        <v>1</v>
      </c>
      <c r="H777" s="79">
        <f t="shared" si="1"/>
        <v>5</v>
      </c>
      <c r="I777" s="79">
        <f>COUNTIFS(Matches!$B:$B,$A777,Matches!$A:$A,CONCAT("&lt;",$E777))</f>
        <v>10</v>
      </c>
      <c r="J777" s="79">
        <f>COUNTIFS(Matches!$C:$C,$A777,Matches!$A:$A,CONCAT("&lt;",$E777))</f>
        <v>10</v>
      </c>
      <c r="K777" s="79">
        <f>COUNTIFS(Entropy!D:D,A777,Entropy!I:I,CONCAT("&lt;",E777-1))</f>
        <v>0</v>
      </c>
      <c r="L777" s="79">
        <f t="shared" si="2"/>
        <v>20</v>
      </c>
      <c r="M777" s="79">
        <f t="array" ref="M777">max(min(IF(J777+K777=11,0,XLOOKUP(B777,Quotas!$A$8:$A$14,Quotas!$E$8:$E$14)-$L777),2),0)</f>
        <v>0</v>
      </c>
      <c r="N777" s="31">
        <f t="shared" si="3"/>
        <v>0</v>
      </c>
    </row>
    <row r="778">
      <c r="A778" s="31" t="s">
        <v>161</v>
      </c>
      <c r="B778" s="9">
        <v>4.0</v>
      </c>
      <c r="C778" s="31" t="str">
        <f>VLOOKUP(A778, 'College List'!A:B, 2, FALSE)</f>
        <v>Witherbloom</v>
      </c>
      <c r="D778" s="355">
        <f>VLOOKUP(B778,Quotas!$A$8:$C$14,2,FALSE)</f>
        <v>46157.70833</v>
      </c>
      <c r="E778" s="356">
        <f>VLOOKUP(B778,Quotas!$A$8:$C$14,3,FALSE)</f>
        <v>46164.70833</v>
      </c>
      <c r="F778" s="79">
        <f>COUNTIFS(Matches!$B:$B,A778,Matches!$A:$A,CONCAT("&gt;",$D778),Matches!$A:$A,CONCAT("&lt;",$E778))</f>
        <v>0</v>
      </c>
      <c r="G778" s="79">
        <f>COUNTIFS(Matches!$C:$C,$A778,Matches!$A:$A,CONCAT("&gt;",$D778),Matches!$A:$A,CONCAT("&lt;",$E778))</f>
        <v>2</v>
      </c>
      <c r="H778" s="79">
        <f t="shared" si="1"/>
        <v>2</v>
      </c>
      <c r="I778" s="79">
        <f>COUNTIFS(Matches!$B:$B,$A778,Matches!$A:$A,CONCAT("&lt;",$E778))</f>
        <v>6</v>
      </c>
      <c r="J778" s="79">
        <f>COUNTIFS(Matches!$C:$C,$A778,Matches!$A:$A,CONCAT("&lt;",$E778))</f>
        <v>11</v>
      </c>
      <c r="K778" s="79">
        <f>COUNTIFS(Entropy!D:D,A778,Entropy!I:I,CONCAT("&lt;",E778-1))</f>
        <v>0</v>
      </c>
      <c r="L778" s="79">
        <f t="shared" si="2"/>
        <v>17</v>
      </c>
      <c r="M778" s="79">
        <f t="array" ref="M778">max(min(IF(J778+K778=11,0,XLOOKUP(B778,Quotas!$A$8:$A$14,Quotas!$E$8:$E$14)-$L778),2),0)</f>
        <v>0</v>
      </c>
      <c r="N778" s="31">
        <f t="shared" si="3"/>
        <v>0</v>
      </c>
    </row>
    <row r="779">
      <c r="A779" s="31" t="s">
        <v>389</v>
      </c>
      <c r="B779" s="9">
        <v>4.0</v>
      </c>
      <c r="C779" s="31" t="str">
        <f>VLOOKUP(A779, 'College List'!A:B, 2, FALSE)</f>
        <v>Prismari</v>
      </c>
      <c r="D779" s="355">
        <f>VLOOKUP(B779,Quotas!$A$8:$C$14,2,FALSE)</f>
        <v>46157.70833</v>
      </c>
      <c r="E779" s="356">
        <f>VLOOKUP(B779,Quotas!$A$8:$C$14,3,FALSE)</f>
        <v>46164.70833</v>
      </c>
      <c r="F779" s="79">
        <f>COUNTIFS(Matches!$B:$B,A779,Matches!$A:$A,CONCAT("&gt;",$D779),Matches!$A:$A,CONCAT("&lt;",$E779))</f>
        <v>3</v>
      </c>
      <c r="G779" s="79">
        <f>COUNTIFS(Matches!$C:$C,$A779,Matches!$A:$A,CONCAT("&gt;",$D779),Matches!$A:$A,CONCAT("&lt;",$E779))</f>
        <v>2</v>
      </c>
      <c r="H779" s="79">
        <f t="shared" si="1"/>
        <v>5</v>
      </c>
      <c r="I779" s="79">
        <f>COUNTIFS(Matches!$B:$B,$A779,Matches!$A:$A,CONCAT("&lt;",$E779))</f>
        <v>12</v>
      </c>
      <c r="J779" s="79">
        <f>COUNTIFS(Matches!$C:$C,$A779,Matches!$A:$A,CONCAT("&lt;",$E779))</f>
        <v>6</v>
      </c>
      <c r="K779" s="79">
        <f>COUNTIFS(Entropy!D:D,A779,Entropy!I:I,CONCAT("&lt;",E779-1))</f>
        <v>0</v>
      </c>
      <c r="L779" s="79">
        <f t="shared" si="2"/>
        <v>18</v>
      </c>
      <c r="M779" s="79">
        <f t="array" ref="M779">max(min(IF(J779+K779=11,0,XLOOKUP(B779,Quotas!$A$8:$A$14,Quotas!$E$8:$E$14)-$L779),2),0)</f>
        <v>2</v>
      </c>
      <c r="N779" s="31">
        <f t="shared" si="3"/>
        <v>1</v>
      </c>
    </row>
    <row r="780">
      <c r="A780" s="31" t="s">
        <v>323</v>
      </c>
      <c r="B780" s="9">
        <v>4.0</v>
      </c>
      <c r="C780" s="31" t="str">
        <f>VLOOKUP(A780, 'College List'!A:B, 2, FALSE)</f>
        <v>Silverquill</v>
      </c>
      <c r="D780" s="355">
        <f>VLOOKUP(B780,Quotas!$A$8:$C$14,2,FALSE)</f>
        <v>46157.70833</v>
      </c>
      <c r="E780" s="356">
        <f>VLOOKUP(B780,Quotas!$A$8:$C$14,3,FALSE)</f>
        <v>46164.70833</v>
      </c>
      <c r="F780" s="79">
        <f>COUNTIFS(Matches!$B:$B,A780,Matches!$A:$A,CONCAT("&gt;",$D780),Matches!$A:$A,CONCAT("&lt;",$E780))</f>
        <v>1</v>
      </c>
      <c r="G780" s="79">
        <f>COUNTIFS(Matches!$C:$C,$A780,Matches!$A:$A,CONCAT("&gt;",$D780),Matches!$A:$A,CONCAT("&lt;",$E780))</f>
        <v>2</v>
      </c>
      <c r="H780" s="79">
        <f t="shared" si="1"/>
        <v>3</v>
      </c>
      <c r="I780" s="79">
        <f>COUNTIFS(Matches!$B:$B,$A780,Matches!$A:$A,CONCAT("&lt;",$E780))</f>
        <v>7</v>
      </c>
      <c r="J780" s="79">
        <f>COUNTIFS(Matches!$C:$C,$A780,Matches!$A:$A,CONCAT("&lt;",$E780))</f>
        <v>11</v>
      </c>
      <c r="K780" s="79">
        <f>COUNTIFS(Entropy!D:D,A780,Entropy!I:I,CONCAT("&lt;",E780-1))</f>
        <v>0</v>
      </c>
      <c r="L780" s="79">
        <f t="shared" si="2"/>
        <v>18</v>
      </c>
      <c r="M780" s="79">
        <f t="array" ref="M780">max(min(IF(J780+K780=11,0,XLOOKUP(B780,Quotas!$A$8:$A$14,Quotas!$E$8:$E$14)-$L780),2),0)</f>
        <v>0</v>
      </c>
      <c r="N780" s="31">
        <f t="shared" si="3"/>
        <v>0</v>
      </c>
    </row>
    <row r="781">
      <c r="A781" s="31" t="s">
        <v>250</v>
      </c>
      <c r="B781" s="9">
        <v>4.0</v>
      </c>
      <c r="C781" s="31" t="str">
        <f>VLOOKUP(A781, 'College List'!A:B, 2, FALSE)</f>
        <v>Witherbloom</v>
      </c>
      <c r="D781" s="355">
        <f>VLOOKUP(B781,Quotas!$A$8:$C$14,2,FALSE)</f>
        <v>46157.70833</v>
      </c>
      <c r="E781" s="356">
        <f>VLOOKUP(B781,Quotas!$A$8:$C$14,3,FALSE)</f>
        <v>46164.70833</v>
      </c>
      <c r="F781" s="79">
        <f>COUNTIFS(Matches!$B:$B,A781,Matches!$A:$A,CONCAT("&gt;",$D781),Matches!$A:$A,CONCAT("&lt;",$E781))</f>
        <v>0</v>
      </c>
      <c r="G781" s="79">
        <f>COUNTIFS(Matches!$C:$C,$A781,Matches!$A:$A,CONCAT("&gt;",$D781),Matches!$A:$A,CONCAT("&lt;",$E781))</f>
        <v>3</v>
      </c>
      <c r="H781" s="79">
        <f t="shared" si="1"/>
        <v>3</v>
      </c>
      <c r="I781" s="79">
        <f>COUNTIFS(Matches!$B:$B,$A781,Matches!$A:$A,CONCAT("&lt;",$E781))</f>
        <v>5</v>
      </c>
      <c r="J781" s="79">
        <f>COUNTIFS(Matches!$C:$C,$A781,Matches!$A:$A,CONCAT("&lt;",$E781))</f>
        <v>10</v>
      </c>
      <c r="K781" s="79">
        <f>COUNTIFS(Entropy!D:D,A781,Entropy!I:I,CONCAT("&lt;",E781-1))</f>
        <v>1</v>
      </c>
      <c r="L781" s="79">
        <f t="shared" si="2"/>
        <v>16</v>
      </c>
      <c r="M781" s="79">
        <f t="array" ref="M781">max(min(IF(J781+K781=11,0,XLOOKUP(B781,Quotas!$A$8:$A$14,Quotas!$E$8:$E$14)-$L781),2),0)</f>
        <v>0</v>
      </c>
      <c r="N781" s="31">
        <f t="shared" si="3"/>
        <v>0</v>
      </c>
    </row>
    <row r="782">
      <c r="A782" s="31" t="s">
        <v>55</v>
      </c>
      <c r="B782" s="9">
        <v>4.0</v>
      </c>
      <c r="C782" s="31" t="str">
        <f>VLOOKUP(A782, 'College List'!A:B, 2, FALSE)</f>
        <v>Silverquill</v>
      </c>
      <c r="D782" s="355">
        <f>VLOOKUP(B782,Quotas!$A$8:$C$14,2,FALSE)</f>
        <v>46157.70833</v>
      </c>
      <c r="E782" s="356">
        <f>VLOOKUP(B782,Quotas!$A$8:$C$14,3,FALSE)</f>
        <v>46164.70833</v>
      </c>
      <c r="F782" s="79">
        <f>COUNTIFS(Matches!$B:$B,A782,Matches!$A:$A,CONCAT("&gt;",$D782),Matches!$A:$A,CONCAT("&lt;",$E782))</f>
        <v>0</v>
      </c>
      <c r="G782" s="79">
        <f>COUNTIFS(Matches!$C:$C,$A782,Matches!$A:$A,CONCAT("&gt;",$D782),Matches!$A:$A,CONCAT("&lt;",$E782))</f>
        <v>2</v>
      </c>
      <c r="H782" s="79">
        <f t="shared" si="1"/>
        <v>2</v>
      </c>
      <c r="I782" s="79">
        <f>COUNTIFS(Matches!$B:$B,$A782,Matches!$A:$A,CONCAT("&lt;",$E782))</f>
        <v>6</v>
      </c>
      <c r="J782" s="79">
        <f>COUNTIFS(Matches!$C:$C,$A782,Matches!$A:$A,CONCAT("&lt;",$E782))</f>
        <v>11</v>
      </c>
      <c r="K782" s="79">
        <f>COUNTIFS(Entropy!D:D,A782,Entropy!I:I,CONCAT("&lt;",E782-1))</f>
        <v>0</v>
      </c>
      <c r="L782" s="79">
        <f t="shared" si="2"/>
        <v>17</v>
      </c>
      <c r="M782" s="79">
        <f t="array" ref="M782">max(min(IF(J782+K782=11,0,XLOOKUP(B782,Quotas!$A$8:$A$14,Quotas!$E$8:$E$14)-$L782),2),0)</f>
        <v>0</v>
      </c>
      <c r="N782" s="31">
        <f t="shared" si="3"/>
        <v>0</v>
      </c>
    </row>
    <row r="783">
      <c r="A783" s="31" t="s">
        <v>154</v>
      </c>
      <c r="B783" s="9">
        <v>4.0</v>
      </c>
      <c r="C783" s="31" t="str">
        <f>VLOOKUP(A783, 'College List'!A:B, 2, FALSE)</f>
        <v>Lorehold</v>
      </c>
      <c r="D783" s="355">
        <f>VLOOKUP(B783,Quotas!$A$8:$C$14,2,FALSE)</f>
        <v>46157.70833</v>
      </c>
      <c r="E783" s="356">
        <f>VLOOKUP(B783,Quotas!$A$8:$C$14,3,FALSE)</f>
        <v>46164.70833</v>
      </c>
      <c r="F783" s="79">
        <f>COUNTIFS(Matches!$B:$B,A783,Matches!$A:$A,CONCAT("&gt;",$D783),Matches!$A:$A,CONCAT("&lt;",$E783))</f>
        <v>1</v>
      </c>
      <c r="G783" s="79">
        <f>COUNTIFS(Matches!$C:$C,$A783,Matches!$A:$A,CONCAT("&gt;",$D783),Matches!$A:$A,CONCAT("&lt;",$E783))</f>
        <v>2</v>
      </c>
      <c r="H783" s="79">
        <f t="shared" si="1"/>
        <v>3</v>
      </c>
      <c r="I783" s="79">
        <f>COUNTIFS(Matches!$B:$B,$A783,Matches!$A:$A,CONCAT("&lt;",$E783))</f>
        <v>8</v>
      </c>
      <c r="J783" s="79">
        <f>COUNTIFS(Matches!$C:$C,$A783,Matches!$A:$A,CONCAT("&lt;",$E783))</f>
        <v>10</v>
      </c>
      <c r="K783" s="79">
        <f>COUNTIFS(Entropy!D:D,A783,Entropy!I:I,CONCAT("&lt;",E783-1))</f>
        <v>0</v>
      </c>
      <c r="L783" s="79">
        <f t="shared" si="2"/>
        <v>18</v>
      </c>
      <c r="M783" s="79">
        <f t="array" ref="M783">max(min(IF(J783+K783=11,0,XLOOKUP(B783,Quotas!$A$8:$A$14,Quotas!$E$8:$E$14)-$L783),2),0)</f>
        <v>2</v>
      </c>
      <c r="N783" s="31">
        <f t="shared" si="3"/>
        <v>1</v>
      </c>
    </row>
    <row r="784">
      <c r="A784" s="31" t="s">
        <v>123</v>
      </c>
      <c r="B784" s="9">
        <v>4.0</v>
      </c>
      <c r="C784" s="31" t="str">
        <f>VLOOKUP(A784, 'College List'!A:B, 2, FALSE)</f>
        <v>Silverquill</v>
      </c>
      <c r="D784" s="355">
        <f>VLOOKUP(B784,Quotas!$A$8:$C$14,2,FALSE)</f>
        <v>46157.70833</v>
      </c>
      <c r="E784" s="356">
        <f>VLOOKUP(B784,Quotas!$A$8:$C$14,3,FALSE)</f>
        <v>46164.70833</v>
      </c>
      <c r="F784" s="79">
        <f>COUNTIFS(Matches!$B:$B,A784,Matches!$A:$A,CONCAT("&gt;",$D784),Matches!$A:$A,CONCAT("&lt;",$E784))</f>
        <v>0</v>
      </c>
      <c r="G784" s="79">
        <f>COUNTIFS(Matches!$C:$C,$A784,Matches!$A:$A,CONCAT("&gt;",$D784),Matches!$A:$A,CONCAT("&lt;",$E784))</f>
        <v>2</v>
      </c>
      <c r="H784" s="79">
        <f t="shared" si="1"/>
        <v>2</v>
      </c>
      <c r="I784" s="79">
        <f>COUNTIFS(Matches!$B:$B,$A784,Matches!$A:$A,CONCAT("&lt;",$E784))</f>
        <v>5</v>
      </c>
      <c r="J784" s="79">
        <f>COUNTIFS(Matches!$C:$C,$A784,Matches!$A:$A,CONCAT("&lt;",$E784))</f>
        <v>10</v>
      </c>
      <c r="K784" s="79">
        <f>COUNTIFS(Entropy!D:D,A784,Entropy!I:I,CONCAT("&lt;",E784-1))</f>
        <v>0</v>
      </c>
      <c r="L784" s="79">
        <f t="shared" si="2"/>
        <v>15</v>
      </c>
      <c r="M784" s="79">
        <f t="array" ref="M784">max(min(IF(J784+K784=11,0,XLOOKUP(B784,Quotas!$A$8:$A$14,Quotas!$E$8:$E$14)-$L784),2),0)</f>
        <v>2</v>
      </c>
      <c r="N784" s="31">
        <f t="shared" si="3"/>
        <v>1</v>
      </c>
    </row>
    <row r="785">
      <c r="A785" s="31" t="s">
        <v>237</v>
      </c>
      <c r="B785" s="9">
        <v>4.0</v>
      </c>
      <c r="C785" s="31" t="str">
        <f>VLOOKUP(A785, 'College List'!A:B, 2, FALSE)</f>
        <v>Quandrix</v>
      </c>
      <c r="D785" s="355">
        <f>VLOOKUP(B785,Quotas!$A$8:$C$14,2,FALSE)</f>
        <v>46157.70833</v>
      </c>
      <c r="E785" s="356">
        <f>VLOOKUP(B785,Quotas!$A$8:$C$14,3,FALSE)</f>
        <v>46164.70833</v>
      </c>
      <c r="F785" s="79">
        <f>COUNTIFS(Matches!$B:$B,A785,Matches!$A:$A,CONCAT("&gt;",$D785),Matches!$A:$A,CONCAT("&lt;",$E785))</f>
        <v>2</v>
      </c>
      <c r="G785" s="79">
        <f>COUNTIFS(Matches!$C:$C,$A785,Matches!$A:$A,CONCAT("&gt;",$D785),Matches!$A:$A,CONCAT("&lt;",$E785))</f>
        <v>4</v>
      </c>
      <c r="H785" s="79">
        <f t="shared" si="1"/>
        <v>6</v>
      </c>
      <c r="I785" s="79">
        <f>COUNTIFS(Matches!$B:$B,$A785,Matches!$A:$A,CONCAT("&lt;",$E785))</f>
        <v>10</v>
      </c>
      <c r="J785" s="79">
        <f>COUNTIFS(Matches!$C:$C,$A785,Matches!$A:$A,CONCAT("&lt;",$E785))</f>
        <v>10</v>
      </c>
      <c r="K785" s="79">
        <f>COUNTIFS(Entropy!D:D,A785,Entropy!I:I,CONCAT("&lt;",E785-1))</f>
        <v>0</v>
      </c>
      <c r="L785" s="79">
        <f t="shared" si="2"/>
        <v>20</v>
      </c>
      <c r="M785" s="79">
        <f t="array" ref="M785">max(min(IF(J785+K785=11,0,XLOOKUP(B785,Quotas!$A$8:$A$14,Quotas!$E$8:$E$14)-$L785),2),0)</f>
        <v>0</v>
      </c>
      <c r="N785" s="31">
        <f t="shared" si="3"/>
        <v>0</v>
      </c>
    </row>
    <row r="786">
      <c r="A786" s="31" t="s">
        <v>95</v>
      </c>
      <c r="B786" s="9">
        <v>4.0</v>
      </c>
      <c r="C786" s="31" t="str">
        <f>VLOOKUP(A786, 'College List'!A:B, 2, FALSE)</f>
        <v>Witherbloom</v>
      </c>
      <c r="D786" s="355">
        <f>VLOOKUP(B786,Quotas!$A$8:$C$14,2,FALSE)</f>
        <v>46157.70833</v>
      </c>
      <c r="E786" s="356">
        <f>VLOOKUP(B786,Quotas!$A$8:$C$14,3,FALSE)</f>
        <v>46164.70833</v>
      </c>
      <c r="F786" s="79">
        <f>COUNTIFS(Matches!$B:$B,A786,Matches!$A:$A,CONCAT("&gt;",$D786),Matches!$A:$A,CONCAT("&lt;",$E786))</f>
        <v>3</v>
      </c>
      <c r="G786" s="79">
        <f>COUNTIFS(Matches!$C:$C,$A786,Matches!$A:$A,CONCAT("&gt;",$D786),Matches!$A:$A,CONCAT("&lt;",$E786))</f>
        <v>2</v>
      </c>
      <c r="H786" s="79">
        <f t="shared" si="1"/>
        <v>5</v>
      </c>
      <c r="I786" s="79">
        <f>COUNTIFS(Matches!$B:$B,$A786,Matches!$A:$A,CONCAT("&lt;",$E786))</f>
        <v>12</v>
      </c>
      <c r="J786" s="79">
        <f>COUNTIFS(Matches!$C:$C,$A786,Matches!$A:$A,CONCAT("&lt;",$E786))</f>
        <v>8</v>
      </c>
      <c r="K786" s="79">
        <f>COUNTIFS(Entropy!D:D,A786,Entropy!I:I,CONCAT("&lt;",E786-1))</f>
        <v>0</v>
      </c>
      <c r="L786" s="79">
        <f t="shared" si="2"/>
        <v>20</v>
      </c>
      <c r="M786" s="79">
        <f t="array" ref="M786">max(min(IF(J786+K786=11,0,XLOOKUP(B786,Quotas!$A$8:$A$14,Quotas!$E$8:$E$14)-$L786),2),0)</f>
        <v>0</v>
      </c>
      <c r="N786" s="31">
        <f t="shared" si="3"/>
        <v>0</v>
      </c>
    </row>
    <row r="787">
      <c r="A787" s="31" t="s">
        <v>150</v>
      </c>
      <c r="B787" s="9">
        <v>4.0</v>
      </c>
      <c r="C787" s="31" t="str">
        <f>VLOOKUP(A787, 'College List'!A:B, 2, FALSE)</f>
        <v>Witherbloom</v>
      </c>
      <c r="D787" s="355">
        <f>VLOOKUP(B787,Quotas!$A$8:$C$14,2,FALSE)</f>
        <v>46157.70833</v>
      </c>
      <c r="E787" s="356">
        <f>VLOOKUP(B787,Quotas!$A$8:$C$14,3,FALSE)</f>
        <v>46164.70833</v>
      </c>
      <c r="F787" s="79">
        <f>COUNTIFS(Matches!$B:$B,A787,Matches!$A:$A,CONCAT("&gt;",$D787),Matches!$A:$A,CONCAT("&lt;",$E787))</f>
        <v>3</v>
      </c>
      <c r="G787" s="79">
        <f>COUNTIFS(Matches!$C:$C,$A787,Matches!$A:$A,CONCAT("&gt;",$D787),Matches!$A:$A,CONCAT("&lt;",$E787))</f>
        <v>2</v>
      </c>
      <c r="H787" s="79">
        <f t="shared" si="1"/>
        <v>5</v>
      </c>
      <c r="I787" s="79">
        <f>COUNTIFS(Matches!$B:$B,$A787,Matches!$A:$A,CONCAT("&lt;",$E787))</f>
        <v>9</v>
      </c>
      <c r="J787" s="79">
        <f>COUNTIFS(Matches!$C:$C,$A787,Matches!$A:$A,CONCAT("&lt;",$E787))</f>
        <v>10</v>
      </c>
      <c r="K787" s="79">
        <f>COUNTIFS(Entropy!D:D,A787,Entropy!I:I,CONCAT("&lt;",E787-1))</f>
        <v>0</v>
      </c>
      <c r="L787" s="79">
        <f t="shared" si="2"/>
        <v>19</v>
      </c>
      <c r="M787" s="79">
        <f t="array" ref="M787">max(min(IF(J787+K787=11,0,XLOOKUP(B787,Quotas!$A$8:$A$14,Quotas!$E$8:$E$14)-$L787),2),0)</f>
        <v>1</v>
      </c>
      <c r="N787" s="31">
        <f t="shared" si="3"/>
        <v>0.5</v>
      </c>
    </row>
    <row r="788">
      <c r="A788" s="31" t="s">
        <v>85</v>
      </c>
      <c r="B788" s="9">
        <v>4.0</v>
      </c>
      <c r="C788" s="31" t="str">
        <f>VLOOKUP(A788, 'College List'!A:B, 2, FALSE)</f>
        <v>Lorehold</v>
      </c>
      <c r="D788" s="355">
        <f>VLOOKUP(B788,Quotas!$A$8:$C$14,2,FALSE)</f>
        <v>46157.70833</v>
      </c>
      <c r="E788" s="356">
        <f>VLOOKUP(B788,Quotas!$A$8:$C$14,3,FALSE)</f>
        <v>46164.70833</v>
      </c>
      <c r="F788" s="79">
        <f>COUNTIFS(Matches!$B:$B,A788,Matches!$A:$A,CONCAT("&gt;",$D788),Matches!$A:$A,CONCAT("&lt;",$E788))</f>
        <v>0</v>
      </c>
      <c r="G788" s="79">
        <f>COUNTIFS(Matches!$C:$C,$A788,Matches!$A:$A,CONCAT("&gt;",$D788),Matches!$A:$A,CONCAT("&lt;",$E788))</f>
        <v>2</v>
      </c>
      <c r="H788" s="79">
        <f t="shared" si="1"/>
        <v>2</v>
      </c>
      <c r="I788" s="79">
        <f>COUNTIFS(Matches!$B:$B,$A788,Matches!$A:$A,CONCAT("&lt;",$E788))</f>
        <v>8</v>
      </c>
      <c r="J788" s="79">
        <f>COUNTIFS(Matches!$C:$C,$A788,Matches!$A:$A,CONCAT("&lt;",$E788))</f>
        <v>9</v>
      </c>
      <c r="K788" s="79">
        <f>COUNTIFS(Entropy!D:D,A788,Entropy!I:I,CONCAT("&lt;",E788-1))</f>
        <v>0</v>
      </c>
      <c r="L788" s="79">
        <f t="shared" si="2"/>
        <v>17</v>
      </c>
      <c r="M788" s="79">
        <f t="array" ref="M788">max(min(IF(J788+K788=11,0,XLOOKUP(B788,Quotas!$A$8:$A$14,Quotas!$E$8:$E$14)-$L788),2),0)</f>
        <v>2</v>
      </c>
      <c r="N788" s="31">
        <f t="shared" si="3"/>
        <v>1</v>
      </c>
    </row>
    <row r="789">
      <c r="A789" s="31" t="s">
        <v>290</v>
      </c>
      <c r="B789" s="9">
        <v>4.0</v>
      </c>
      <c r="C789" s="31" t="str">
        <f>VLOOKUP(A789, 'College List'!A:B, 2, FALSE)</f>
        <v>Lorehold</v>
      </c>
      <c r="D789" s="355">
        <f>VLOOKUP(B789,Quotas!$A$8:$C$14,2,FALSE)</f>
        <v>46157.70833</v>
      </c>
      <c r="E789" s="356">
        <f>VLOOKUP(B789,Quotas!$A$8:$C$14,3,FALSE)</f>
        <v>46164.70833</v>
      </c>
      <c r="F789" s="79">
        <f>COUNTIFS(Matches!$B:$B,A789,Matches!$A:$A,CONCAT("&gt;",$D789),Matches!$A:$A,CONCAT("&lt;",$E789))</f>
        <v>4</v>
      </c>
      <c r="G789" s="79">
        <f>COUNTIFS(Matches!$C:$C,$A789,Matches!$A:$A,CONCAT("&gt;",$D789),Matches!$A:$A,CONCAT("&lt;",$E789))</f>
        <v>1</v>
      </c>
      <c r="H789" s="79">
        <f t="shared" si="1"/>
        <v>5</v>
      </c>
      <c r="I789" s="79">
        <f>COUNTIFS(Matches!$B:$B,$A789,Matches!$A:$A,CONCAT("&lt;",$E789))</f>
        <v>15</v>
      </c>
      <c r="J789" s="79">
        <f>COUNTIFS(Matches!$C:$C,$A789,Matches!$A:$A,CONCAT("&lt;",$E789))</f>
        <v>5</v>
      </c>
      <c r="K789" s="79">
        <f>COUNTIFS(Entropy!D:D,A789,Entropy!I:I,CONCAT("&lt;",E789-1))</f>
        <v>0</v>
      </c>
      <c r="L789" s="79">
        <f t="shared" si="2"/>
        <v>20</v>
      </c>
      <c r="M789" s="79">
        <f t="array" ref="M789">max(min(IF(J789+K789=11,0,XLOOKUP(B789,Quotas!$A$8:$A$14,Quotas!$E$8:$E$14)-$L789),2),0)</f>
        <v>0</v>
      </c>
      <c r="N789" s="31">
        <f t="shared" si="3"/>
        <v>0</v>
      </c>
    </row>
    <row r="790">
      <c r="A790" s="31" t="s">
        <v>404</v>
      </c>
      <c r="B790" s="9">
        <v>4.0</v>
      </c>
      <c r="C790" s="31" t="str">
        <f>VLOOKUP(A790, 'College List'!A:B, 2, FALSE)</f>
        <v>Witherbloom</v>
      </c>
      <c r="D790" s="355">
        <f>VLOOKUP(B790,Quotas!$A$8:$C$14,2,FALSE)</f>
        <v>46157.70833</v>
      </c>
      <c r="E790" s="356">
        <f>VLOOKUP(B790,Quotas!$A$8:$C$14,3,FALSE)</f>
        <v>46164.70833</v>
      </c>
      <c r="F790" s="79">
        <f>COUNTIFS(Matches!$B:$B,A790,Matches!$A:$A,CONCAT("&gt;",$D790),Matches!$A:$A,CONCAT("&lt;",$E790))</f>
        <v>0</v>
      </c>
      <c r="G790" s="79">
        <f>COUNTIFS(Matches!$C:$C,$A790,Matches!$A:$A,CONCAT("&gt;",$D790),Matches!$A:$A,CONCAT("&lt;",$E790))</f>
        <v>0</v>
      </c>
      <c r="H790" s="79">
        <f t="shared" si="1"/>
        <v>0</v>
      </c>
      <c r="I790" s="79">
        <f>COUNTIFS(Matches!$B:$B,$A790,Matches!$A:$A,CONCAT("&lt;",$E790))</f>
        <v>1</v>
      </c>
      <c r="J790" s="79">
        <f>COUNTIFS(Matches!$C:$C,$A790,Matches!$A:$A,CONCAT("&lt;",$E790))</f>
        <v>11</v>
      </c>
      <c r="K790" s="79">
        <f>COUNTIFS(Entropy!D:D,A790,Entropy!I:I,CONCAT("&lt;",E790-1))</f>
        <v>0</v>
      </c>
      <c r="L790" s="79">
        <f t="shared" si="2"/>
        <v>12</v>
      </c>
      <c r="M790" s="79">
        <f t="array" ref="M790">max(min(IF(J790+K790=11,0,XLOOKUP(B790,Quotas!$A$8:$A$14,Quotas!$E$8:$E$14)-$L790),2),0)</f>
        <v>0</v>
      </c>
      <c r="N790" s="31">
        <f t="shared" si="3"/>
        <v>0</v>
      </c>
    </row>
    <row r="791">
      <c r="A791" s="31" t="s">
        <v>103</v>
      </c>
      <c r="B791" s="9">
        <v>4.0</v>
      </c>
      <c r="C791" s="31" t="str">
        <f>VLOOKUP(A791, 'College List'!A:B, 2, FALSE)</f>
        <v>Quandrix</v>
      </c>
      <c r="D791" s="355">
        <f>VLOOKUP(B791,Quotas!$A$8:$C$14,2,FALSE)</f>
        <v>46157.70833</v>
      </c>
      <c r="E791" s="356">
        <f>VLOOKUP(B791,Quotas!$A$8:$C$14,3,FALSE)</f>
        <v>46164.70833</v>
      </c>
      <c r="F791" s="79">
        <f>COUNTIFS(Matches!$B:$B,A791,Matches!$A:$A,CONCAT("&gt;",$D791),Matches!$A:$A,CONCAT("&lt;",$E791))</f>
        <v>0</v>
      </c>
      <c r="G791" s="79">
        <f>COUNTIFS(Matches!$C:$C,$A791,Matches!$A:$A,CONCAT("&gt;",$D791),Matches!$A:$A,CONCAT("&lt;",$E791))</f>
        <v>4</v>
      </c>
      <c r="H791" s="79">
        <f t="shared" si="1"/>
        <v>4</v>
      </c>
      <c r="I791" s="79">
        <f>COUNTIFS(Matches!$B:$B,$A791,Matches!$A:$A,CONCAT("&lt;",$E791))</f>
        <v>8</v>
      </c>
      <c r="J791" s="79">
        <f>COUNTIFS(Matches!$C:$C,$A791,Matches!$A:$A,CONCAT("&lt;",$E791))</f>
        <v>10</v>
      </c>
      <c r="K791" s="79">
        <f>COUNTIFS(Entropy!D:D,A791,Entropy!I:I,CONCAT("&lt;",E791-1))</f>
        <v>0</v>
      </c>
      <c r="L791" s="79">
        <f t="shared" si="2"/>
        <v>18</v>
      </c>
      <c r="M791" s="79">
        <f t="array" ref="M791">max(min(IF(J791+K791=11,0,XLOOKUP(B791,Quotas!$A$8:$A$14,Quotas!$E$8:$E$14)-$L791),2),0)</f>
        <v>2</v>
      </c>
      <c r="N791" s="31">
        <f t="shared" si="3"/>
        <v>1</v>
      </c>
    </row>
    <row r="792">
      <c r="A792" s="31" t="s">
        <v>141</v>
      </c>
      <c r="B792" s="9">
        <v>4.0</v>
      </c>
      <c r="C792" s="31" t="str">
        <f>VLOOKUP(A792, 'College List'!A:B, 2, FALSE)</f>
        <v>Silverquill</v>
      </c>
      <c r="D792" s="355">
        <f>VLOOKUP(B792,Quotas!$A$8:$C$14,2,FALSE)</f>
        <v>46157.70833</v>
      </c>
      <c r="E792" s="356">
        <f>VLOOKUP(B792,Quotas!$A$8:$C$14,3,FALSE)</f>
        <v>46164.70833</v>
      </c>
      <c r="F792" s="79">
        <f>COUNTIFS(Matches!$B:$B,A792,Matches!$A:$A,CONCAT("&gt;",$D792),Matches!$A:$A,CONCAT("&lt;",$E792))</f>
        <v>2</v>
      </c>
      <c r="G792" s="79">
        <f>COUNTIFS(Matches!$C:$C,$A792,Matches!$A:$A,CONCAT("&gt;",$D792),Matches!$A:$A,CONCAT("&lt;",$E792))</f>
        <v>1</v>
      </c>
      <c r="H792" s="79">
        <f t="shared" si="1"/>
        <v>3</v>
      </c>
      <c r="I792" s="79">
        <f>COUNTIFS(Matches!$B:$B,$A792,Matches!$A:$A,CONCAT("&lt;",$E792))</f>
        <v>7</v>
      </c>
      <c r="J792" s="79">
        <f>COUNTIFS(Matches!$C:$C,$A792,Matches!$A:$A,CONCAT("&lt;",$E792))</f>
        <v>7</v>
      </c>
      <c r="K792" s="79">
        <f>COUNTIFS(Entropy!D:D,A792,Entropy!I:I,CONCAT("&lt;",E792-1))</f>
        <v>2</v>
      </c>
      <c r="L792" s="79">
        <f t="shared" si="2"/>
        <v>16</v>
      </c>
      <c r="M792" s="79">
        <f t="array" ref="M792">max(min(IF(J792+K792=11,0,XLOOKUP(B792,Quotas!$A$8:$A$14,Quotas!$E$8:$E$14)-$L792),2),0)</f>
        <v>2</v>
      </c>
      <c r="N792" s="31">
        <f t="shared" si="3"/>
        <v>1</v>
      </c>
    </row>
    <row r="793">
      <c r="A793" s="31" t="s">
        <v>74</v>
      </c>
      <c r="B793" s="9">
        <v>4.0</v>
      </c>
      <c r="C793" s="31" t="str">
        <f>VLOOKUP(A793, 'College List'!A:B, 2, FALSE)</f>
        <v>Lorehold</v>
      </c>
      <c r="D793" s="355">
        <f>VLOOKUP(B793,Quotas!$A$8:$C$14,2,FALSE)</f>
        <v>46157.70833</v>
      </c>
      <c r="E793" s="356">
        <f>VLOOKUP(B793,Quotas!$A$8:$C$14,3,FALSE)</f>
        <v>46164.70833</v>
      </c>
      <c r="F793" s="79">
        <f>COUNTIFS(Matches!$B:$B,A793,Matches!$A:$A,CONCAT("&gt;",$D793),Matches!$A:$A,CONCAT("&lt;",$E793))</f>
        <v>0</v>
      </c>
      <c r="G793" s="79">
        <f>COUNTIFS(Matches!$C:$C,$A793,Matches!$A:$A,CONCAT("&gt;",$D793),Matches!$A:$A,CONCAT("&lt;",$E793))</f>
        <v>3</v>
      </c>
      <c r="H793" s="79">
        <f t="shared" si="1"/>
        <v>3</v>
      </c>
      <c r="I793" s="79">
        <f>COUNTIFS(Matches!$B:$B,$A793,Matches!$A:$A,CONCAT("&lt;",$E793))</f>
        <v>7</v>
      </c>
      <c r="J793" s="79">
        <f>COUNTIFS(Matches!$C:$C,$A793,Matches!$A:$A,CONCAT("&lt;",$E793))</f>
        <v>11</v>
      </c>
      <c r="K793" s="79">
        <f>COUNTIFS(Entropy!D:D,A793,Entropy!I:I,CONCAT("&lt;",E793-1))</f>
        <v>0</v>
      </c>
      <c r="L793" s="79">
        <f t="shared" si="2"/>
        <v>18</v>
      </c>
      <c r="M793" s="79">
        <f t="array" ref="M793">max(min(IF(J793+K793=11,0,XLOOKUP(B793,Quotas!$A$8:$A$14,Quotas!$E$8:$E$14)-$L793),2),0)</f>
        <v>0</v>
      </c>
      <c r="N793" s="31">
        <f t="shared" si="3"/>
        <v>0</v>
      </c>
    </row>
    <row r="794">
      <c r="A794" s="31" t="s">
        <v>59</v>
      </c>
      <c r="B794" s="9">
        <v>4.0</v>
      </c>
      <c r="C794" s="31" t="str">
        <f>VLOOKUP(A794, 'College List'!A:B, 2, FALSE)</f>
        <v>Quandrix</v>
      </c>
      <c r="D794" s="355">
        <f>VLOOKUP(B794,Quotas!$A$8:$C$14,2,FALSE)</f>
        <v>46157.70833</v>
      </c>
      <c r="E794" s="356">
        <f>VLOOKUP(B794,Quotas!$A$8:$C$14,3,FALSE)</f>
        <v>46164.70833</v>
      </c>
      <c r="F794" s="79">
        <f>COUNTIFS(Matches!$B:$B,A794,Matches!$A:$A,CONCAT("&gt;",$D794),Matches!$A:$A,CONCAT("&lt;",$E794))</f>
        <v>3</v>
      </c>
      <c r="G794" s="79">
        <f>COUNTIFS(Matches!$C:$C,$A794,Matches!$A:$A,CONCAT("&gt;",$D794),Matches!$A:$A,CONCAT("&lt;",$E794))</f>
        <v>2</v>
      </c>
      <c r="H794" s="79">
        <f t="shared" si="1"/>
        <v>5</v>
      </c>
      <c r="I794" s="79">
        <f>COUNTIFS(Matches!$B:$B,$A794,Matches!$A:$A,CONCAT("&lt;",$E794))</f>
        <v>15</v>
      </c>
      <c r="J794" s="79">
        <f>COUNTIFS(Matches!$C:$C,$A794,Matches!$A:$A,CONCAT("&lt;",$E794))</f>
        <v>5</v>
      </c>
      <c r="K794" s="79">
        <f>COUNTIFS(Entropy!D:D,A794,Entropy!I:I,CONCAT("&lt;",E794-1))</f>
        <v>0</v>
      </c>
      <c r="L794" s="79">
        <f t="shared" si="2"/>
        <v>20</v>
      </c>
      <c r="M794" s="79">
        <f t="array" ref="M794">max(min(IF(J794+K794=11,0,XLOOKUP(B794,Quotas!$A$8:$A$14,Quotas!$E$8:$E$14)-$L794),2),0)</f>
        <v>0</v>
      </c>
      <c r="N794" s="31">
        <f t="shared" si="3"/>
        <v>0</v>
      </c>
    </row>
    <row r="795">
      <c r="A795" s="31" t="s">
        <v>200</v>
      </c>
      <c r="B795" s="9">
        <v>4.0</v>
      </c>
      <c r="C795" s="31" t="str">
        <f>VLOOKUP(A795, 'College List'!A:B, 2, FALSE)</f>
        <v>Lorehold</v>
      </c>
      <c r="D795" s="355">
        <f>VLOOKUP(B795,Quotas!$A$8:$C$14,2,FALSE)</f>
        <v>46157.70833</v>
      </c>
      <c r="E795" s="356">
        <f>VLOOKUP(B795,Quotas!$A$8:$C$14,3,FALSE)</f>
        <v>46164.70833</v>
      </c>
      <c r="F795" s="79">
        <f>COUNTIFS(Matches!$B:$B,A795,Matches!$A:$A,CONCAT("&gt;",$D795),Matches!$A:$A,CONCAT("&lt;",$E795))</f>
        <v>2</v>
      </c>
      <c r="G795" s="79">
        <f>COUNTIFS(Matches!$C:$C,$A795,Matches!$A:$A,CONCAT("&gt;",$D795),Matches!$A:$A,CONCAT("&lt;",$E795))</f>
        <v>2</v>
      </c>
      <c r="H795" s="79">
        <f t="shared" si="1"/>
        <v>4</v>
      </c>
      <c r="I795" s="79">
        <f>COUNTIFS(Matches!$B:$B,$A795,Matches!$A:$A,CONCAT("&lt;",$E795))</f>
        <v>12</v>
      </c>
      <c r="J795" s="79">
        <f>COUNTIFS(Matches!$C:$C,$A795,Matches!$A:$A,CONCAT("&lt;",$E795))</f>
        <v>6</v>
      </c>
      <c r="K795" s="79">
        <f>COUNTIFS(Entropy!D:D,A795,Entropy!I:I,CONCAT("&lt;",E795-1))</f>
        <v>0</v>
      </c>
      <c r="L795" s="79">
        <f t="shared" si="2"/>
        <v>18</v>
      </c>
      <c r="M795" s="79">
        <f t="array" ref="M795">max(min(IF(J795+K795=11,0,XLOOKUP(B795,Quotas!$A$8:$A$14,Quotas!$E$8:$E$14)-$L795),2),0)</f>
        <v>2</v>
      </c>
      <c r="N795" s="31">
        <f t="shared" si="3"/>
        <v>1</v>
      </c>
    </row>
    <row r="796">
      <c r="A796" s="31" t="s">
        <v>182</v>
      </c>
      <c r="B796" s="9">
        <v>4.0</v>
      </c>
      <c r="C796" s="31" t="str">
        <f>VLOOKUP(A796, 'College List'!A:B, 2, FALSE)</f>
        <v>Prismari</v>
      </c>
      <c r="D796" s="355">
        <f>VLOOKUP(B796,Quotas!$A$8:$C$14,2,FALSE)</f>
        <v>46157.70833</v>
      </c>
      <c r="E796" s="356">
        <f>VLOOKUP(B796,Quotas!$A$8:$C$14,3,FALSE)</f>
        <v>46164.70833</v>
      </c>
      <c r="F796" s="79">
        <f>COUNTIFS(Matches!$B:$B,A796,Matches!$A:$A,CONCAT("&gt;",$D796),Matches!$A:$A,CONCAT("&lt;",$E796))</f>
        <v>0</v>
      </c>
      <c r="G796" s="79">
        <f>COUNTIFS(Matches!$C:$C,$A796,Matches!$A:$A,CONCAT("&gt;",$D796),Matches!$A:$A,CONCAT("&lt;",$E796))</f>
        <v>0</v>
      </c>
      <c r="H796" s="79">
        <f t="shared" si="1"/>
        <v>0</v>
      </c>
      <c r="I796" s="79">
        <f>COUNTIFS(Matches!$B:$B,$A796,Matches!$A:$A,CONCAT("&lt;",$E796))</f>
        <v>6</v>
      </c>
      <c r="J796" s="79">
        <f>COUNTIFS(Matches!$C:$C,$A796,Matches!$A:$A,CONCAT("&lt;",$E796))</f>
        <v>7</v>
      </c>
      <c r="K796" s="79">
        <f>COUNTIFS(Entropy!D:D,A796,Entropy!I:I,CONCAT("&lt;",E796-1))</f>
        <v>0</v>
      </c>
      <c r="L796" s="79">
        <f t="shared" si="2"/>
        <v>13</v>
      </c>
      <c r="M796" s="79">
        <f t="array" ref="M796">max(min(IF(J796+K796=11,0,XLOOKUP(B796,Quotas!$A$8:$A$14,Quotas!$E$8:$E$14)-$L796),2),0)</f>
        <v>2</v>
      </c>
      <c r="N796" s="31">
        <f t="shared" si="3"/>
        <v>0</v>
      </c>
    </row>
    <row r="797">
      <c r="A797" s="31" t="s">
        <v>333</v>
      </c>
      <c r="B797" s="9">
        <v>4.0</v>
      </c>
      <c r="C797" s="31" t="str">
        <f>VLOOKUP(A797, 'College List'!A:B, 2, FALSE)</f>
        <v>Witherbloom</v>
      </c>
      <c r="D797" s="355">
        <f>VLOOKUP(B797,Quotas!$A$8:$C$14,2,FALSE)</f>
        <v>46157.70833</v>
      </c>
      <c r="E797" s="356">
        <f>VLOOKUP(B797,Quotas!$A$8:$C$14,3,FALSE)</f>
        <v>46164.70833</v>
      </c>
      <c r="F797" s="79">
        <f>COUNTIFS(Matches!$B:$B,A797,Matches!$A:$A,CONCAT("&gt;",$D797),Matches!$A:$A,CONCAT("&lt;",$E797))</f>
        <v>5</v>
      </c>
      <c r="G797" s="79">
        <f>COUNTIFS(Matches!$C:$C,$A797,Matches!$A:$A,CONCAT("&gt;",$D797),Matches!$A:$A,CONCAT("&lt;",$E797))</f>
        <v>0</v>
      </c>
      <c r="H797" s="79">
        <f t="shared" si="1"/>
        <v>5</v>
      </c>
      <c r="I797" s="79">
        <f>COUNTIFS(Matches!$B:$B,$A797,Matches!$A:$A,CONCAT("&lt;",$E797))</f>
        <v>14</v>
      </c>
      <c r="J797" s="79">
        <f>COUNTIFS(Matches!$C:$C,$A797,Matches!$A:$A,CONCAT("&lt;",$E797))</f>
        <v>6</v>
      </c>
      <c r="K797" s="79">
        <f>COUNTIFS(Entropy!D:D,A797,Entropy!I:I,CONCAT("&lt;",E797-1))</f>
        <v>0</v>
      </c>
      <c r="L797" s="79">
        <f t="shared" si="2"/>
        <v>20</v>
      </c>
      <c r="M797" s="79">
        <f t="array" ref="M797">max(min(IF(J797+K797=11,0,XLOOKUP(B797,Quotas!$A$8:$A$14,Quotas!$E$8:$E$14)-$L797),2),0)</f>
        <v>0</v>
      </c>
      <c r="N797" s="31">
        <f t="shared" si="3"/>
        <v>0</v>
      </c>
    </row>
    <row r="798">
      <c r="A798" s="31" t="s">
        <v>114</v>
      </c>
      <c r="B798" s="9">
        <v>4.0</v>
      </c>
      <c r="C798" s="31" t="str">
        <f>VLOOKUP(A798, 'College List'!A:B, 2, FALSE)</f>
        <v>Lorehold</v>
      </c>
      <c r="D798" s="355">
        <f>VLOOKUP(B798,Quotas!$A$8:$C$14,2,FALSE)</f>
        <v>46157.70833</v>
      </c>
      <c r="E798" s="356">
        <f>VLOOKUP(B798,Quotas!$A$8:$C$14,3,FALSE)</f>
        <v>46164.70833</v>
      </c>
      <c r="F798" s="79">
        <f>COUNTIFS(Matches!$B:$B,A798,Matches!$A:$A,CONCAT("&gt;",$D798),Matches!$A:$A,CONCAT("&lt;",$E798))</f>
        <v>2</v>
      </c>
      <c r="G798" s="79">
        <f>COUNTIFS(Matches!$C:$C,$A798,Matches!$A:$A,CONCAT("&gt;",$D798),Matches!$A:$A,CONCAT("&lt;",$E798))</f>
        <v>3</v>
      </c>
      <c r="H798" s="79">
        <f t="shared" si="1"/>
        <v>5</v>
      </c>
      <c r="I798" s="79">
        <f>COUNTIFS(Matches!$B:$B,$A798,Matches!$A:$A,CONCAT("&lt;",$E798))</f>
        <v>10</v>
      </c>
      <c r="J798" s="79">
        <f>COUNTIFS(Matches!$C:$C,$A798,Matches!$A:$A,CONCAT("&lt;",$E798))</f>
        <v>10</v>
      </c>
      <c r="K798" s="79">
        <f>COUNTIFS(Entropy!D:D,A798,Entropy!I:I,CONCAT("&lt;",E798-1))</f>
        <v>0</v>
      </c>
      <c r="L798" s="79">
        <f t="shared" si="2"/>
        <v>20</v>
      </c>
      <c r="M798" s="79">
        <f t="array" ref="M798">max(min(IF(J798+K798=11,0,XLOOKUP(B798,Quotas!$A$8:$A$14,Quotas!$E$8:$E$14)-$L798),2),0)</f>
        <v>0</v>
      </c>
      <c r="N798" s="31">
        <f t="shared" si="3"/>
        <v>0</v>
      </c>
    </row>
    <row r="799">
      <c r="A799" s="31" t="s">
        <v>120</v>
      </c>
      <c r="B799" s="9">
        <v>4.0</v>
      </c>
      <c r="C799" s="31" t="str">
        <f>VLOOKUP(A799, 'College List'!A:B, 2, FALSE)</f>
        <v>Prismari</v>
      </c>
      <c r="D799" s="355">
        <f>VLOOKUP(B799,Quotas!$A$8:$C$14,2,FALSE)</f>
        <v>46157.70833</v>
      </c>
      <c r="E799" s="356">
        <f>VLOOKUP(B799,Quotas!$A$8:$C$14,3,FALSE)</f>
        <v>46164.70833</v>
      </c>
      <c r="F799" s="79">
        <f>COUNTIFS(Matches!$B:$B,A799,Matches!$A:$A,CONCAT("&gt;",$D799),Matches!$A:$A,CONCAT("&lt;",$E799))</f>
        <v>1</v>
      </c>
      <c r="G799" s="79">
        <f>COUNTIFS(Matches!$C:$C,$A799,Matches!$A:$A,CONCAT("&gt;",$D799),Matches!$A:$A,CONCAT("&lt;",$E799))</f>
        <v>4</v>
      </c>
      <c r="H799" s="79">
        <f t="shared" si="1"/>
        <v>5</v>
      </c>
      <c r="I799" s="79">
        <f>COUNTIFS(Matches!$B:$B,$A799,Matches!$A:$A,CONCAT("&lt;",$E799))</f>
        <v>10</v>
      </c>
      <c r="J799" s="79">
        <f>COUNTIFS(Matches!$C:$C,$A799,Matches!$A:$A,CONCAT("&lt;",$E799))</f>
        <v>10</v>
      </c>
      <c r="K799" s="79">
        <f>COUNTIFS(Entropy!D:D,A799,Entropy!I:I,CONCAT("&lt;",E799-1))</f>
        <v>0</v>
      </c>
      <c r="L799" s="79">
        <f t="shared" si="2"/>
        <v>20</v>
      </c>
      <c r="M799" s="79">
        <f t="array" ref="M799">max(min(IF(J799+K799=11,0,XLOOKUP(B799,Quotas!$A$8:$A$14,Quotas!$E$8:$E$14)-$L799),2),0)</f>
        <v>0</v>
      </c>
      <c r="N799" s="31">
        <f t="shared" si="3"/>
        <v>0</v>
      </c>
    </row>
    <row r="800">
      <c r="A800" s="31" t="s">
        <v>133</v>
      </c>
      <c r="B800" s="9">
        <v>4.0</v>
      </c>
      <c r="C800" s="31" t="str">
        <f>VLOOKUP(A800, 'College List'!A:B, 2, FALSE)</f>
        <v>Prismari</v>
      </c>
      <c r="D800" s="355">
        <f>VLOOKUP(B800,Quotas!$A$8:$C$14,2,FALSE)</f>
        <v>46157.70833</v>
      </c>
      <c r="E800" s="356">
        <f>VLOOKUP(B800,Quotas!$A$8:$C$14,3,FALSE)</f>
        <v>46164.70833</v>
      </c>
      <c r="F800" s="79">
        <f>COUNTIFS(Matches!$B:$B,A800,Matches!$A:$A,CONCAT("&gt;",$D800),Matches!$A:$A,CONCAT("&lt;",$E800))</f>
        <v>0</v>
      </c>
      <c r="G800" s="79">
        <f>COUNTIFS(Matches!$C:$C,$A800,Matches!$A:$A,CONCAT("&gt;",$D800),Matches!$A:$A,CONCAT("&lt;",$E800))</f>
        <v>0</v>
      </c>
      <c r="H800" s="79">
        <f t="shared" si="1"/>
        <v>0</v>
      </c>
      <c r="I800" s="79">
        <f>COUNTIFS(Matches!$B:$B,$A800,Matches!$A:$A,CONCAT("&lt;",$E800))</f>
        <v>4</v>
      </c>
      <c r="J800" s="79">
        <f>COUNTIFS(Matches!$C:$C,$A800,Matches!$A:$A,CONCAT("&lt;",$E800))</f>
        <v>11</v>
      </c>
      <c r="K800" s="79">
        <f>COUNTIFS(Entropy!D:D,A800,Entropy!I:I,CONCAT("&lt;",E800-1))</f>
        <v>0</v>
      </c>
      <c r="L800" s="79">
        <f t="shared" si="2"/>
        <v>15</v>
      </c>
      <c r="M800" s="79">
        <f t="array" ref="M800">max(min(IF(J800+K800=11,0,XLOOKUP(B800,Quotas!$A$8:$A$14,Quotas!$E$8:$E$14)-$L800),2),0)</f>
        <v>0</v>
      </c>
      <c r="N800" s="31">
        <f t="shared" si="3"/>
        <v>0</v>
      </c>
    </row>
    <row r="801">
      <c r="A801" s="31" t="s">
        <v>414</v>
      </c>
      <c r="B801" s="9">
        <v>4.0</v>
      </c>
      <c r="C801" s="31" t="str">
        <f>VLOOKUP(A801, 'College List'!A:B, 2, FALSE)</f>
        <v>Prismari</v>
      </c>
      <c r="D801" s="355">
        <f>VLOOKUP(B801,Quotas!$A$8:$C$14,2,FALSE)</f>
        <v>46157.70833</v>
      </c>
      <c r="E801" s="356">
        <f>VLOOKUP(B801,Quotas!$A$8:$C$14,3,FALSE)</f>
        <v>46164.70833</v>
      </c>
      <c r="F801" s="79">
        <f>COUNTIFS(Matches!$B:$B,A801,Matches!$A:$A,CONCAT("&gt;",$D801),Matches!$A:$A,CONCAT("&lt;",$E801))</f>
        <v>4</v>
      </c>
      <c r="G801" s="79">
        <f>COUNTIFS(Matches!$C:$C,$A801,Matches!$A:$A,CONCAT("&gt;",$D801),Matches!$A:$A,CONCAT("&lt;",$E801))</f>
        <v>1</v>
      </c>
      <c r="H801" s="79">
        <f t="shared" si="1"/>
        <v>5</v>
      </c>
      <c r="I801" s="79">
        <f>COUNTIFS(Matches!$B:$B,$A801,Matches!$A:$A,CONCAT("&lt;",$E801))</f>
        <v>10</v>
      </c>
      <c r="J801" s="79">
        <f>COUNTIFS(Matches!$C:$C,$A801,Matches!$A:$A,CONCAT("&lt;",$E801))</f>
        <v>8</v>
      </c>
      <c r="K801" s="79">
        <f>COUNTIFS(Entropy!D:D,A801,Entropy!I:I,CONCAT("&lt;",E801-1))</f>
        <v>0</v>
      </c>
      <c r="L801" s="79">
        <f t="shared" si="2"/>
        <v>18</v>
      </c>
      <c r="M801" s="79">
        <f t="array" ref="M801">max(min(IF(J801+K801=11,0,XLOOKUP(B801,Quotas!$A$8:$A$14,Quotas!$E$8:$E$14)-$L801),2),0)</f>
        <v>2</v>
      </c>
      <c r="N801" s="31">
        <f t="shared" si="3"/>
        <v>1</v>
      </c>
    </row>
    <row r="802">
      <c r="A802" s="31" t="s">
        <v>107</v>
      </c>
      <c r="B802" s="9">
        <v>4.0</v>
      </c>
      <c r="C802" s="31" t="str">
        <f>VLOOKUP(A802, 'College List'!A:B, 2, FALSE)</f>
        <v>Quandrix</v>
      </c>
      <c r="D802" s="355">
        <f>VLOOKUP(B802,Quotas!$A$8:$C$14,2,FALSE)</f>
        <v>46157.70833</v>
      </c>
      <c r="E802" s="356">
        <f>VLOOKUP(B802,Quotas!$A$8:$C$14,3,FALSE)</f>
        <v>46164.70833</v>
      </c>
      <c r="F802" s="79">
        <f>COUNTIFS(Matches!$B:$B,A802,Matches!$A:$A,CONCAT("&gt;",$D802),Matches!$A:$A,CONCAT("&lt;",$E802))</f>
        <v>2</v>
      </c>
      <c r="G802" s="79">
        <f>COUNTIFS(Matches!$C:$C,$A802,Matches!$A:$A,CONCAT("&gt;",$D802),Matches!$A:$A,CONCAT("&lt;",$E802))</f>
        <v>3</v>
      </c>
      <c r="H802" s="79">
        <f t="shared" si="1"/>
        <v>5</v>
      </c>
      <c r="I802" s="79">
        <f>COUNTIFS(Matches!$B:$B,$A802,Matches!$A:$A,CONCAT("&lt;",$E802))</f>
        <v>10</v>
      </c>
      <c r="J802" s="79">
        <f>COUNTIFS(Matches!$C:$C,$A802,Matches!$A:$A,CONCAT("&lt;",$E802))</f>
        <v>10</v>
      </c>
      <c r="K802" s="79">
        <f>COUNTIFS(Entropy!D:D,A802,Entropy!I:I,CONCAT("&lt;",E802-1))</f>
        <v>0</v>
      </c>
      <c r="L802" s="79">
        <f t="shared" si="2"/>
        <v>20</v>
      </c>
      <c r="M802" s="79">
        <f t="array" ref="M802">max(min(IF(J802+K802=11,0,XLOOKUP(B802,Quotas!$A$8:$A$14,Quotas!$E$8:$E$14)-$L802),2),0)</f>
        <v>0</v>
      </c>
      <c r="N802" s="31">
        <f t="shared" si="3"/>
        <v>0</v>
      </c>
    </row>
    <row r="803">
      <c r="A803" s="31" t="s">
        <v>235</v>
      </c>
      <c r="B803" s="9">
        <v>4.0</v>
      </c>
      <c r="C803" s="31" t="str">
        <f>VLOOKUP(A803, 'College List'!A:B, 2, FALSE)</f>
        <v>Quandrix</v>
      </c>
      <c r="D803" s="355">
        <f>VLOOKUP(B803,Quotas!$A$8:$C$14,2,FALSE)</f>
        <v>46157.70833</v>
      </c>
      <c r="E803" s="356">
        <f>VLOOKUP(B803,Quotas!$A$8:$C$14,3,FALSE)</f>
        <v>46164.70833</v>
      </c>
      <c r="F803" s="79">
        <f>COUNTIFS(Matches!$B:$B,A803,Matches!$A:$A,CONCAT("&gt;",$D803),Matches!$A:$A,CONCAT("&lt;",$E803))</f>
        <v>0</v>
      </c>
      <c r="G803" s="79">
        <f>COUNTIFS(Matches!$C:$C,$A803,Matches!$A:$A,CONCAT("&gt;",$D803),Matches!$A:$A,CONCAT("&lt;",$E803))</f>
        <v>0</v>
      </c>
      <c r="H803" s="79">
        <f t="shared" si="1"/>
        <v>0</v>
      </c>
      <c r="I803" s="79">
        <f>COUNTIFS(Matches!$B:$B,$A803,Matches!$A:$A,CONCAT("&lt;",$E803))</f>
        <v>3</v>
      </c>
      <c r="J803" s="79">
        <f>COUNTIFS(Matches!$C:$C,$A803,Matches!$A:$A,CONCAT("&lt;",$E803))</f>
        <v>11</v>
      </c>
      <c r="K803" s="79">
        <f>COUNTIFS(Entropy!D:D,A803,Entropy!I:I,CONCAT("&lt;",E803-1))</f>
        <v>0</v>
      </c>
      <c r="L803" s="79">
        <f t="shared" si="2"/>
        <v>14</v>
      </c>
      <c r="M803" s="79">
        <f t="array" ref="M803">max(min(IF(J803+K803=11,0,XLOOKUP(B803,Quotas!$A$8:$A$14,Quotas!$E$8:$E$14)-$L803),2),0)</f>
        <v>0</v>
      </c>
      <c r="N803" s="31">
        <f t="shared" si="3"/>
        <v>0</v>
      </c>
    </row>
    <row r="804">
      <c r="A804" s="31" t="s">
        <v>243</v>
      </c>
      <c r="B804" s="9">
        <v>4.0</v>
      </c>
      <c r="C804" s="31" t="str">
        <f>VLOOKUP(A804, 'College List'!A:B, 2, FALSE)</f>
        <v>Witherbloom</v>
      </c>
      <c r="D804" s="355">
        <f>VLOOKUP(B804,Quotas!$A$8:$C$14,2,FALSE)</f>
        <v>46157.70833</v>
      </c>
      <c r="E804" s="356">
        <f>VLOOKUP(B804,Quotas!$A$8:$C$14,3,FALSE)</f>
        <v>46164.70833</v>
      </c>
      <c r="F804" s="79">
        <f>COUNTIFS(Matches!$B:$B,A804,Matches!$A:$A,CONCAT("&gt;",$D804),Matches!$A:$A,CONCAT("&lt;",$E804))</f>
        <v>0</v>
      </c>
      <c r="G804" s="79">
        <f>COUNTIFS(Matches!$C:$C,$A804,Matches!$A:$A,CONCAT("&gt;",$D804),Matches!$A:$A,CONCAT("&lt;",$E804))</f>
        <v>0</v>
      </c>
      <c r="H804" s="79">
        <f t="shared" si="1"/>
        <v>0</v>
      </c>
      <c r="I804" s="79">
        <f>COUNTIFS(Matches!$B:$B,$A804,Matches!$A:$A,CONCAT("&lt;",$E804))</f>
        <v>4</v>
      </c>
      <c r="J804" s="79">
        <f>COUNTIFS(Matches!$C:$C,$A804,Matches!$A:$A,CONCAT("&lt;",$E804))</f>
        <v>11</v>
      </c>
      <c r="K804" s="79">
        <f>COUNTIFS(Entropy!D:D,A804,Entropy!I:I,CONCAT("&lt;",E804-1))</f>
        <v>0</v>
      </c>
      <c r="L804" s="79">
        <f t="shared" si="2"/>
        <v>15</v>
      </c>
      <c r="M804" s="79">
        <f t="array" ref="M804">max(min(IF(J804+K804=11,0,XLOOKUP(B804,Quotas!$A$8:$A$14,Quotas!$E$8:$E$14)-$L804),2),0)</f>
        <v>0</v>
      </c>
      <c r="N804" s="31">
        <f t="shared" si="3"/>
        <v>0</v>
      </c>
    </row>
    <row r="805">
      <c r="A805" s="31" t="s">
        <v>60</v>
      </c>
      <c r="B805" s="9">
        <v>4.0</v>
      </c>
      <c r="C805" s="31" t="str">
        <f>VLOOKUP(A805, 'College List'!A:B, 2, FALSE)</f>
        <v>Silverquill</v>
      </c>
      <c r="D805" s="355">
        <f>VLOOKUP(B805,Quotas!$A$8:$C$14,2,FALSE)</f>
        <v>46157.70833</v>
      </c>
      <c r="E805" s="356">
        <f>VLOOKUP(B805,Quotas!$A$8:$C$14,3,FALSE)</f>
        <v>46164.70833</v>
      </c>
      <c r="F805" s="79">
        <f>COUNTIFS(Matches!$B:$B,A805,Matches!$A:$A,CONCAT("&gt;",$D805),Matches!$A:$A,CONCAT("&lt;",$E805))</f>
        <v>2</v>
      </c>
      <c r="G805" s="79">
        <f>COUNTIFS(Matches!$C:$C,$A805,Matches!$A:$A,CONCAT("&gt;",$D805),Matches!$A:$A,CONCAT("&lt;",$E805))</f>
        <v>3</v>
      </c>
      <c r="H805" s="79">
        <f t="shared" si="1"/>
        <v>5</v>
      </c>
      <c r="I805" s="79">
        <f>COUNTIFS(Matches!$B:$B,$A805,Matches!$A:$A,CONCAT("&lt;",$E805))</f>
        <v>9</v>
      </c>
      <c r="J805" s="79">
        <f>COUNTIFS(Matches!$C:$C,$A805,Matches!$A:$A,CONCAT("&lt;",$E805))</f>
        <v>11</v>
      </c>
      <c r="K805" s="79">
        <f>COUNTIFS(Entropy!D:D,A805,Entropy!I:I,CONCAT("&lt;",E805-1))</f>
        <v>0</v>
      </c>
      <c r="L805" s="79">
        <f t="shared" si="2"/>
        <v>20</v>
      </c>
      <c r="M805" s="79">
        <f t="array" ref="M805">max(min(IF(J805+K805=11,0,XLOOKUP(B805,Quotas!$A$8:$A$14,Quotas!$E$8:$E$14)-$L805),2),0)</f>
        <v>0</v>
      </c>
      <c r="N805" s="31">
        <f t="shared" si="3"/>
        <v>0</v>
      </c>
    </row>
    <row r="806">
      <c r="A806" s="31" t="s">
        <v>402</v>
      </c>
      <c r="B806" s="9">
        <v>4.0</v>
      </c>
      <c r="C806" s="31" t="str">
        <f>VLOOKUP(A806, 'College List'!A:B, 2, FALSE)</f>
        <v>Witherbloom</v>
      </c>
      <c r="D806" s="355">
        <f>VLOOKUP(B806,Quotas!$A$8:$C$14,2,FALSE)</f>
        <v>46157.70833</v>
      </c>
      <c r="E806" s="356">
        <f>VLOOKUP(B806,Quotas!$A$8:$C$14,3,FALSE)</f>
        <v>46164.70833</v>
      </c>
      <c r="F806" s="79">
        <f>COUNTIFS(Matches!$B:$B,A806,Matches!$A:$A,CONCAT("&gt;",$D806),Matches!$A:$A,CONCAT("&lt;",$E806))</f>
        <v>1</v>
      </c>
      <c r="G806" s="79">
        <f>COUNTIFS(Matches!$C:$C,$A806,Matches!$A:$A,CONCAT("&gt;",$D806),Matches!$A:$A,CONCAT("&lt;",$E806))</f>
        <v>1</v>
      </c>
      <c r="H806" s="79">
        <f t="shared" si="1"/>
        <v>2</v>
      </c>
      <c r="I806" s="79">
        <f>COUNTIFS(Matches!$B:$B,$A806,Matches!$A:$A,CONCAT("&lt;",$E806))</f>
        <v>4</v>
      </c>
      <c r="J806" s="79">
        <f>COUNTIFS(Matches!$C:$C,$A806,Matches!$A:$A,CONCAT("&lt;",$E806))</f>
        <v>9</v>
      </c>
      <c r="K806" s="79">
        <f>COUNTIFS(Entropy!D:D,A806,Entropy!I:I,CONCAT("&lt;",E806-1))</f>
        <v>2</v>
      </c>
      <c r="L806" s="79">
        <f t="shared" si="2"/>
        <v>15</v>
      </c>
      <c r="M806" s="79">
        <f t="array" ref="M806">max(min(IF(J806+K806=11,0,XLOOKUP(B806,Quotas!$A$8:$A$14,Quotas!$E$8:$E$14)-$L806),2),0)</f>
        <v>0</v>
      </c>
      <c r="N806" s="31">
        <f t="shared" si="3"/>
        <v>0</v>
      </c>
    </row>
    <row r="807">
      <c r="A807" s="31" t="s">
        <v>267</v>
      </c>
      <c r="B807" s="9">
        <v>4.0</v>
      </c>
      <c r="C807" s="31" t="str">
        <f>VLOOKUP(A807, 'College List'!A:B, 2, FALSE)</f>
        <v>Witherbloom</v>
      </c>
      <c r="D807" s="355">
        <f>VLOOKUP(B807,Quotas!$A$8:$C$14,2,FALSE)</f>
        <v>46157.70833</v>
      </c>
      <c r="E807" s="356">
        <f>VLOOKUP(B807,Quotas!$A$8:$C$14,3,FALSE)</f>
        <v>46164.70833</v>
      </c>
      <c r="F807" s="79">
        <f>COUNTIFS(Matches!$B:$B,A807,Matches!$A:$A,CONCAT("&gt;",$D807),Matches!$A:$A,CONCAT("&lt;",$E807))</f>
        <v>2</v>
      </c>
      <c r="G807" s="79">
        <f>COUNTIFS(Matches!$C:$C,$A807,Matches!$A:$A,CONCAT("&gt;",$D807),Matches!$A:$A,CONCAT("&lt;",$E807))</f>
        <v>5</v>
      </c>
      <c r="H807" s="79">
        <f t="shared" si="1"/>
        <v>7</v>
      </c>
      <c r="I807" s="79">
        <f>COUNTIFS(Matches!$B:$B,$A807,Matches!$A:$A,CONCAT("&lt;",$E807))</f>
        <v>10</v>
      </c>
      <c r="J807" s="79">
        <f>COUNTIFS(Matches!$C:$C,$A807,Matches!$A:$A,CONCAT("&lt;",$E807))</f>
        <v>10</v>
      </c>
      <c r="K807" s="79">
        <f>COUNTIFS(Entropy!D:D,A807,Entropy!I:I,CONCAT("&lt;",E807-1))</f>
        <v>0</v>
      </c>
      <c r="L807" s="79">
        <f t="shared" si="2"/>
        <v>20</v>
      </c>
      <c r="M807" s="79">
        <f t="array" ref="M807">max(min(IF(J807+K807=11,0,XLOOKUP(B807,Quotas!$A$8:$A$14,Quotas!$E$8:$E$14)-$L807),2),0)</f>
        <v>0</v>
      </c>
      <c r="N807" s="31">
        <f t="shared" si="3"/>
        <v>0</v>
      </c>
    </row>
    <row r="808">
      <c r="A808" s="31" t="s">
        <v>335</v>
      </c>
      <c r="B808" s="9">
        <v>4.0</v>
      </c>
      <c r="C808" s="31" t="str">
        <f>VLOOKUP(A808, 'College List'!A:B, 2, FALSE)</f>
        <v>Silverquill</v>
      </c>
      <c r="D808" s="355">
        <f>VLOOKUP(B808,Quotas!$A$8:$C$14,2,FALSE)</f>
        <v>46157.70833</v>
      </c>
      <c r="E808" s="356">
        <f>VLOOKUP(B808,Quotas!$A$8:$C$14,3,FALSE)</f>
        <v>46164.70833</v>
      </c>
      <c r="F808" s="79">
        <f>COUNTIFS(Matches!$B:$B,A808,Matches!$A:$A,CONCAT("&gt;",$D808),Matches!$A:$A,CONCAT("&lt;",$E808))</f>
        <v>0</v>
      </c>
      <c r="G808" s="79">
        <f>COUNTIFS(Matches!$C:$C,$A808,Matches!$A:$A,CONCAT("&gt;",$D808),Matches!$A:$A,CONCAT("&lt;",$E808))</f>
        <v>1</v>
      </c>
      <c r="H808" s="79">
        <f t="shared" si="1"/>
        <v>1</v>
      </c>
      <c r="I808" s="79">
        <f>COUNTIFS(Matches!$B:$B,$A808,Matches!$A:$A,CONCAT("&lt;",$E808))</f>
        <v>5</v>
      </c>
      <c r="J808" s="79">
        <f>COUNTIFS(Matches!$C:$C,$A808,Matches!$A:$A,CONCAT("&lt;",$E808))</f>
        <v>11</v>
      </c>
      <c r="K808" s="79">
        <f>COUNTIFS(Entropy!D:D,A808,Entropy!I:I,CONCAT("&lt;",E808-1))</f>
        <v>0</v>
      </c>
      <c r="L808" s="79">
        <f t="shared" si="2"/>
        <v>16</v>
      </c>
      <c r="M808" s="79">
        <f t="array" ref="M808">max(min(IF(J808+K808=11,0,XLOOKUP(B808,Quotas!$A$8:$A$14,Quotas!$E$8:$E$14)-$L808),2),0)</f>
        <v>0</v>
      </c>
      <c r="N808" s="31">
        <f t="shared" si="3"/>
        <v>0</v>
      </c>
    </row>
    <row r="809">
      <c r="A809" s="31" t="s">
        <v>181</v>
      </c>
      <c r="B809" s="9">
        <v>4.0</v>
      </c>
      <c r="C809" s="31" t="str">
        <f>VLOOKUP(A809, 'College List'!A:B, 2, FALSE)</f>
        <v>Quandrix</v>
      </c>
      <c r="D809" s="355">
        <f>VLOOKUP(B809,Quotas!$A$8:$C$14,2,FALSE)</f>
        <v>46157.70833</v>
      </c>
      <c r="E809" s="356">
        <f>VLOOKUP(B809,Quotas!$A$8:$C$14,3,FALSE)</f>
        <v>46164.70833</v>
      </c>
      <c r="F809" s="79">
        <f>COUNTIFS(Matches!$B:$B,A809,Matches!$A:$A,CONCAT("&gt;",$D809),Matches!$A:$A,CONCAT("&lt;",$E809))</f>
        <v>0</v>
      </c>
      <c r="G809" s="79">
        <f>COUNTIFS(Matches!$C:$C,$A809,Matches!$A:$A,CONCAT("&gt;",$D809),Matches!$A:$A,CONCAT("&lt;",$E809))</f>
        <v>0</v>
      </c>
      <c r="H809" s="79">
        <f t="shared" si="1"/>
        <v>0</v>
      </c>
      <c r="I809" s="79">
        <f>COUNTIFS(Matches!$B:$B,$A809,Matches!$A:$A,CONCAT("&lt;",$E809))</f>
        <v>2</v>
      </c>
      <c r="J809" s="79">
        <f>COUNTIFS(Matches!$C:$C,$A809,Matches!$A:$A,CONCAT("&lt;",$E809))</f>
        <v>11</v>
      </c>
      <c r="K809" s="79">
        <f>COUNTIFS(Entropy!D:D,A809,Entropy!I:I,CONCAT("&lt;",E809-1))</f>
        <v>0</v>
      </c>
      <c r="L809" s="79">
        <f t="shared" si="2"/>
        <v>13</v>
      </c>
      <c r="M809" s="79">
        <f t="array" ref="M809">max(min(IF(J809+K809=11,0,XLOOKUP(B809,Quotas!$A$8:$A$14,Quotas!$E$8:$E$14)-$L809),2),0)</f>
        <v>0</v>
      </c>
      <c r="N809" s="31">
        <f t="shared" si="3"/>
        <v>0</v>
      </c>
    </row>
    <row r="810">
      <c r="A810" s="31" t="s">
        <v>385</v>
      </c>
      <c r="B810" s="9">
        <v>4.0</v>
      </c>
      <c r="C810" s="31" t="str">
        <f>VLOOKUP(A810, 'College List'!A:B, 2, FALSE)</f>
        <v>Witherbloom</v>
      </c>
      <c r="D810" s="355">
        <f>VLOOKUP(B810,Quotas!$A$8:$C$14,2,FALSE)</f>
        <v>46157.70833</v>
      </c>
      <c r="E810" s="356">
        <f>VLOOKUP(B810,Quotas!$A$8:$C$14,3,FALSE)</f>
        <v>46164.70833</v>
      </c>
      <c r="F810" s="79">
        <f>COUNTIFS(Matches!$B:$B,A810,Matches!$A:$A,CONCAT("&gt;",$D810),Matches!$A:$A,CONCAT("&lt;",$E810))</f>
        <v>1</v>
      </c>
      <c r="G810" s="79">
        <f>COUNTIFS(Matches!$C:$C,$A810,Matches!$A:$A,CONCAT("&gt;",$D810),Matches!$A:$A,CONCAT("&lt;",$E810))</f>
        <v>3</v>
      </c>
      <c r="H810" s="79">
        <f t="shared" si="1"/>
        <v>4</v>
      </c>
      <c r="I810" s="79">
        <f>COUNTIFS(Matches!$B:$B,$A810,Matches!$A:$A,CONCAT("&lt;",$E810))</f>
        <v>10</v>
      </c>
      <c r="J810" s="79">
        <f>COUNTIFS(Matches!$C:$C,$A810,Matches!$A:$A,CONCAT("&lt;",$E810))</f>
        <v>9</v>
      </c>
      <c r="K810" s="79">
        <f>COUNTIFS(Entropy!D:D,A810,Entropy!I:I,CONCAT("&lt;",E810-1))</f>
        <v>0</v>
      </c>
      <c r="L810" s="79">
        <f t="shared" si="2"/>
        <v>19</v>
      </c>
      <c r="M810" s="79">
        <f t="array" ref="M810">max(min(IF(J810+K810=11,0,XLOOKUP(B810,Quotas!$A$8:$A$14,Quotas!$E$8:$E$14)-$L810),2),0)</f>
        <v>1</v>
      </c>
      <c r="N810" s="31">
        <f t="shared" si="3"/>
        <v>0.5</v>
      </c>
    </row>
    <row r="811">
      <c r="A811" s="31" t="s">
        <v>192</v>
      </c>
      <c r="B811" s="9">
        <v>4.0</v>
      </c>
      <c r="C811" s="31" t="str">
        <f>VLOOKUP(A811, 'College List'!A:B, 2, FALSE)</f>
        <v>Witherbloom</v>
      </c>
      <c r="D811" s="355">
        <f>VLOOKUP(B811,Quotas!$A$8:$C$14,2,FALSE)</f>
        <v>46157.70833</v>
      </c>
      <c r="E811" s="356">
        <f>VLOOKUP(B811,Quotas!$A$8:$C$14,3,FALSE)</f>
        <v>46164.70833</v>
      </c>
      <c r="F811" s="79">
        <f>COUNTIFS(Matches!$B:$B,A811,Matches!$A:$A,CONCAT("&gt;",$D811),Matches!$A:$A,CONCAT("&lt;",$E811))</f>
        <v>4</v>
      </c>
      <c r="G811" s="79">
        <f>COUNTIFS(Matches!$C:$C,$A811,Matches!$A:$A,CONCAT("&gt;",$D811),Matches!$A:$A,CONCAT("&lt;",$E811))</f>
        <v>1</v>
      </c>
      <c r="H811" s="79">
        <f t="shared" si="1"/>
        <v>5</v>
      </c>
      <c r="I811" s="79">
        <f>COUNTIFS(Matches!$B:$B,$A811,Matches!$A:$A,CONCAT("&lt;",$E811))</f>
        <v>14</v>
      </c>
      <c r="J811" s="79">
        <f>COUNTIFS(Matches!$C:$C,$A811,Matches!$A:$A,CONCAT("&lt;",$E811))</f>
        <v>6</v>
      </c>
      <c r="K811" s="79">
        <f>COUNTIFS(Entropy!D:D,A811,Entropy!I:I,CONCAT("&lt;",E811-1))</f>
        <v>0</v>
      </c>
      <c r="L811" s="79">
        <f t="shared" si="2"/>
        <v>20</v>
      </c>
      <c r="M811" s="79">
        <f t="array" ref="M811">max(min(IF(J811+K811=11,0,XLOOKUP(B811,Quotas!$A$8:$A$14,Quotas!$E$8:$E$14)-$L811),2),0)</f>
        <v>0</v>
      </c>
      <c r="N811" s="31">
        <f t="shared" si="3"/>
        <v>0</v>
      </c>
    </row>
    <row r="812">
      <c r="A812" s="31" t="s">
        <v>142</v>
      </c>
      <c r="B812" s="9">
        <v>4.0</v>
      </c>
      <c r="C812" s="31" t="str">
        <f>VLOOKUP(A812, 'College List'!A:B, 2, FALSE)</f>
        <v>Lorehold</v>
      </c>
      <c r="D812" s="355">
        <f>VLOOKUP(B812,Quotas!$A$8:$C$14,2,FALSE)</f>
        <v>46157.70833</v>
      </c>
      <c r="E812" s="356">
        <f>VLOOKUP(B812,Quotas!$A$8:$C$14,3,FALSE)</f>
        <v>46164.70833</v>
      </c>
      <c r="F812" s="79">
        <f>COUNTIFS(Matches!$B:$B,A812,Matches!$A:$A,CONCAT("&gt;",$D812),Matches!$A:$A,CONCAT("&lt;",$E812))</f>
        <v>4</v>
      </c>
      <c r="G812" s="79">
        <f>COUNTIFS(Matches!$C:$C,$A812,Matches!$A:$A,CONCAT("&gt;",$D812),Matches!$A:$A,CONCAT("&lt;",$E812))</f>
        <v>1</v>
      </c>
      <c r="H812" s="79">
        <f t="shared" si="1"/>
        <v>5</v>
      </c>
      <c r="I812" s="79">
        <f>COUNTIFS(Matches!$B:$B,$A812,Matches!$A:$A,CONCAT("&lt;",$E812))</f>
        <v>10</v>
      </c>
      <c r="J812" s="79">
        <f>COUNTIFS(Matches!$C:$C,$A812,Matches!$A:$A,CONCAT("&lt;",$E812))</f>
        <v>10</v>
      </c>
      <c r="K812" s="79">
        <f>COUNTIFS(Entropy!D:D,A812,Entropy!I:I,CONCAT("&lt;",E812-1))</f>
        <v>0</v>
      </c>
      <c r="L812" s="79">
        <f t="shared" si="2"/>
        <v>20</v>
      </c>
      <c r="M812" s="79">
        <f t="array" ref="M812">max(min(IF(J812+K812=11,0,XLOOKUP(B812,Quotas!$A$8:$A$14,Quotas!$E$8:$E$14)-$L812),2),0)</f>
        <v>0</v>
      </c>
      <c r="N812" s="31">
        <f t="shared" si="3"/>
        <v>0</v>
      </c>
    </row>
    <row r="813">
      <c r="A813" s="31" t="s">
        <v>101</v>
      </c>
      <c r="B813" s="9">
        <v>4.0</v>
      </c>
      <c r="C813" s="31" t="str">
        <f>VLOOKUP(A813, 'College List'!A:B, 2, FALSE)</f>
        <v>Lorehold</v>
      </c>
      <c r="D813" s="355">
        <f>VLOOKUP(B813,Quotas!$A$8:$C$14,2,FALSE)</f>
        <v>46157.70833</v>
      </c>
      <c r="E813" s="356">
        <f>VLOOKUP(B813,Quotas!$A$8:$C$14,3,FALSE)</f>
        <v>46164.70833</v>
      </c>
      <c r="F813" s="79">
        <f>COUNTIFS(Matches!$B:$B,A813,Matches!$A:$A,CONCAT("&gt;",$D813),Matches!$A:$A,CONCAT("&lt;",$E813))</f>
        <v>3</v>
      </c>
      <c r="G813" s="79">
        <f>COUNTIFS(Matches!$C:$C,$A813,Matches!$A:$A,CONCAT("&gt;",$D813),Matches!$A:$A,CONCAT("&lt;",$E813))</f>
        <v>2</v>
      </c>
      <c r="H813" s="79">
        <f t="shared" si="1"/>
        <v>5</v>
      </c>
      <c r="I813" s="79">
        <f>COUNTIFS(Matches!$B:$B,$A813,Matches!$A:$A,CONCAT("&lt;",$E813))</f>
        <v>11</v>
      </c>
      <c r="J813" s="79">
        <f>COUNTIFS(Matches!$C:$C,$A813,Matches!$A:$A,CONCAT("&lt;",$E813))</f>
        <v>9</v>
      </c>
      <c r="K813" s="79">
        <f>COUNTIFS(Entropy!D:D,A813,Entropy!I:I,CONCAT("&lt;",E813-1))</f>
        <v>0</v>
      </c>
      <c r="L813" s="79">
        <f t="shared" si="2"/>
        <v>20</v>
      </c>
      <c r="M813" s="79">
        <f t="array" ref="M813">max(min(IF(J813+K813=11,0,XLOOKUP(B813,Quotas!$A$8:$A$14,Quotas!$E$8:$E$14)-$L813),2),0)</f>
        <v>0</v>
      </c>
      <c r="N813" s="31">
        <f t="shared" si="3"/>
        <v>0</v>
      </c>
    </row>
    <row r="814">
      <c r="A814" s="31" t="s">
        <v>115</v>
      </c>
      <c r="B814" s="9">
        <v>4.0</v>
      </c>
      <c r="C814" s="31" t="str">
        <f>VLOOKUP(A814, 'College List'!A:B, 2, FALSE)</f>
        <v>Silverquill</v>
      </c>
      <c r="D814" s="355">
        <f>VLOOKUP(B814,Quotas!$A$8:$C$14,2,FALSE)</f>
        <v>46157.70833</v>
      </c>
      <c r="E814" s="356">
        <f>VLOOKUP(B814,Quotas!$A$8:$C$14,3,FALSE)</f>
        <v>46164.70833</v>
      </c>
      <c r="F814" s="79">
        <f>COUNTIFS(Matches!$B:$B,A814,Matches!$A:$A,CONCAT("&gt;",$D814),Matches!$A:$A,CONCAT("&lt;",$E814))</f>
        <v>2</v>
      </c>
      <c r="G814" s="79">
        <f>COUNTIFS(Matches!$C:$C,$A814,Matches!$A:$A,CONCAT("&gt;",$D814),Matches!$A:$A,CONCAT("&lt;",$E814))</f>
        <v>3</v>
      </c>
      <c r="H814" s="79">
        <f t="shared" si="1"/>
        <v>5</v>
      </c>
      <c r="I814" s="79">
        <f>COUNTIFS(Matches!$B:$B,$A814,Matches!$A:$A,CONCAT("&lt;",$E814))</f>
        <v>11</v>
      </c>
      <c r="J814" s="79">
        <f>COUNTIFS(Matches!$C:$C,$A814,Matches!$A:$A,CONCAT("&lt;",$E814))</f>
        <v>9</v>
      </c>
      <c r="K814" s="79">
        <f>COUNTIFS(Entropy!D:D,A814,Entropy!I:I,CONCAT("&lt;",E814-1))</f>
        <v>0</v>
      </c>
      <c r="L814" s="79">
        <f t="shared" si="2"/>
        <v>20</v>
      </c>
      <c r="M814" s="79">
        <f t="array" ref="M814">max(min(IF(J814+K814=11,0,XLOOKUP(B814,Quotas!$A$8:$A$14,Quotas!$E$8:$E$14)-$L814),2),0)</f>
        <v>0</v>
      </c>
      <c r="N814" s="31">
        <f t="shared" si="3"/>
        <v>0</v>
      </c>
    </row>
    <row r="815">
      <c r="A815" s="31" t="s">
        <v>158</v>
      </c>
      <c r="B815" s="9">
        <v>4.0</v>
      </c>
      <c r="C815" s="31" t="str">
        <f>VLOOKUP(A815, 'College List'!A:B, 2, FALSE)</f>
        <v>Lorehold</v>
      </c>
      <c r="D815" s="355">
        <f>VLOOKUP(B815,Quotas!$A$8:$C$14,2,FALSE)</f>
        <v>46157.70833</v>
      </c>
      <c r="E815" s="356">
        <f>VLOOKUP(B815,Quotas!$A$8:$C$14,3,FALSE)</f>
        <v>46164.70833</v>
      </c>
      <c r="F815" s="79">
        <f>COUNTIFS(Matches!$B:$B,A815,Matches!$A:$A,CONCAT("&gt;",$D815),Matches!$A:$A,CONCAT("&lt;",$E815))</f>
        <v>2</v>
      </c>
      <c r="G815" s="79">
        <f>COUNTIFS(Matches!$C:$C,$A815,Matches!$A:$A,CONCAT("&gt;",$D815),Matches!$A:$A,CONCAT("&lt;",$E815))</f>
        <v>2</v>
      </c>
      <c r="H815" s="79">
        <f t="shared" si="1"/>
        <v>4</v>
      </c>
      <c r="I815" s="79">
        <f>COUNTIFS(Matches!$B:$B,$A815,Matches!$A:$A,CONCAT("&lt;",$E815))</f>
        <v>8</v>
      </c>
      <c r="J815" s="79">
        <f>COUNTIFS(Matches!$C:$C,$A815,Matches!$A:$A,CONCAT("&lt;",$E815))</f>
        <v>11</v>
      </c>
      <c r="K815" s="79">
        <f>COUNTIFS(Entropy!D:D,A815,Entropy!I:I,CONCAT("&lt;",E815-1))</f>
        <v>0</v>
      </c>
      <c r="L815" s="79">
        <f t="shared" si="2"/>
        <v>19</v>
      </c>
      <c r="M815" s="79">
        <f t="array" ref="M815">max(min(IF(J815+K815=11,0,XLOOKUP(B815,Quotas!$A$8:$A$14,Quotas!$E$8:$E$14)-$L815),2),0)</f>
        <v>0</v>
      </c>
      <c r="N815" s="31">
        <f t="shared" si="3"/>
        <v>0</v>
      </c>
    </row>
    <row r="816">
      <c r="A816" s="31" t="s">
        <v>388</v>
      </c>
      <c r="B816" s="9">
        <v>4.0</v>
      </c>
      <c r="C816" s="31" t="str">
        <f>VLOOKUP(A816, 'College List'!A:B, 2, FALSE)</f>
        <v>Lorehold</v>
      </c>
      <c r="D816" s="355">
        <f>VLOOKUP(B816,Quotas!$A$8:$C$14,2,FALSE)</f>
        <v>46157.70833</v>
      </c>
      <c r="E816" s="356">
        <f>VLOOKUP(B816,Quotas!$A$8:$C$14,3,FALSE)</f>
        <v>46164.70833</v>
      </c>
      <c r="F816" s="79">
        <f>COUNTIFS(Matches!$B:$B,A816,Matches!$A:$A,CONCAT("&gt;",$D816),Matches!$A:$A,CONCAT("&lt;",$E816))</f>
        <v>1</v>
      </c>
      <c r="G816" s="79">
        <f>COUNTIFS(Matches!$C:$C,$A816,Matches!$A:$A,CONCAT("&gt;",$D816),Matches!$A:$A,CONCAT("&lt;",$E816))</f>
        <v>2</v>
      </c>
      <c r="H816" s="79">
        <f t="shared" si="1"/>
        <v>3</v>
      </c>
      <c r="I816" s="79">
        <f>COUNTIFS(Matches!$B:$B,$A816,Matches!$A:$A,CONCAT("&lt;",$E816))</f>
        <v>13</v>
      </c>
      <c r="J816" s="79">
        <f>COUNTIFS(Matches!$C:$C,$A816,Matches!$A:$A,CONCAT("&lt;",$E816))</f>
        <v>6</v>
      </c>
      <c r="K816" s="79">
        <f>COUNTIFS(Entropy!D:D,A816,Entropy!I:I,CONCAT("&lt;",E816-1))</f>
        <v>1</v>
      </c>
      <c r="L816" s="79">
        <f t="shared" si="2"/>
        <v>20</v>
      </c>
      <c r="M816" s="79">
        <f t="array" ref="M816">max(min(IF(J816+K816=11,0,XLOOKUP(B816,Quotas!$A$8:$A$14,Quotas!$E$8:$E$14)-$L816),2),0)</f>
        <v>0</v>
      </c>
      <c r="N816" s="31">
        <f t="shared" si="3"/>
        <v>0</v>
      </c>
    </row>
    <row r="817">
      <c r="A817" s="31" t="s">
        <v>121</v>
      </c>
      <c r="B817" s="9">
        <v>4.0</v>
      </c>
      <c r="C817" s="31" t="str">
        <f>VLOOKUP(A817, 'College List'!A:B, 2, FALSE)</f>
        <v>Quandrix</v>
      </c>
      <c r="D817" s="355">
        <f>VLOOKUP(B817,Quotas!$A$8:$C$14,2,FALSE)</f>
        <v>46157.70833</v>
      </c>
      <c r="E817" s="356">
        <f>VLOOKUP(B817,Quotas!$A$8:$C$14,3,FALSE)</f>
        <v>46164.70833</v>
      </c>
      <c r="F817" s="79">
        <f>COUNTIFS(Matches!$B:$B,A817,Matches!$A:$A,CONCAT("&gt;",$D817),Matches!$A:$A,CONCAT("&lt;",$E817))</f>
        <v>3</v>
      </c>
      <c r="G817" s="79">
        <f>COUNTIFS(Matches!$C:$C,$A817,Matches!$A:$A,CONCAT("&gt;",$D817),Matches!$A:$A,CONCAT("&lt;",$E817))</f>
        <v>2</v>
      </c>
      <c r="H817" s="79">
        <f t="shared" si="1"/>
        <v>5</v>
      </c>
      <c r="I817" s="79">
        <f>COUNTIFS(Matches!$B:$B,$A817,Matches!$A:$A,CONCAT("&lt;",$E817))</f>
        <v>12</v>
      </c>
      <c r="J817" s="79">
        <f>COUNTIFS(Matches!$C:$C,$A817,Matches!$A:$A,CONCAT("&lt;",$E817))</f>
        <v>8</v>
      </c>
      <c r="K817" s="79">
        <f>COUNTIFS(Entropy!D:D,A817,Entropy!I:I,CONCAT("&lt;",E817-1))</f>
        <v>0</v>
      </c>
      <c r="L817" s="79">
        <f t="shared" si="2"/>
        <v>20</v>
      </c>
      <c r="M817" s="79">
        <f t="array" ref="M817">max(min(IF(J817+K817=11,0,XLOOKUP(B817,Quotas!$A$8:$A$14,Quotas!$E$8:$E$14)-$L817),2),0)</f>
        <v>0</v>
      </c>
      <c r="N817" s="31">
        <f t="shared" si="3"/>
        <v>0</v>
      </c>
    </row>
    <row r="818">
      <c r="A818" s="31" t="s">
        <v>312</v>
      </c>
      <c r="B818" s="9">
        <v>4.0</v>
      </c>
      <c r="C818" s="31" t="str">
        <f>VLOOKUP(A818, 'College List'!A:B, 2, FALSE)</f>
        <v>Prismari</v>
      </c>
      <c r="D818" s="355">
        <f>VLOOKUP(B818,Quotas!$A$8:$C$14,2,FALSE)</f>
        <v>46157.70833</v>
      </c>
      <c r="E818" s="356">
        <f>VLOOKUP(B818,Quotas!$A$8:$C$14,3,FALSE)</f>
        <v>46164.70833</v>
      </c>
      <c r="F818" s="79">
        <f>COUNTIFS(Matches!$B:$B,A818,Matches!$A:$A,CONCAT("&gt;",$D818),Matches!$A:$A,CONCAT("&lt;",$E818))</f>
        <v>2</v>
      </c>
      <c r="G818" s="79">
        <f>COUNTIFS(Matches!$C:$C,$A818,Matches!$A:$A,CONCAT("&gt;",$D818),Matches!$A:$A,CONCAT("&lt;",$E818))</f>
        <v>1</v>
      </c>
      <c r="H818" s="79">
        <f t="shared" si="1"/>
        <v>3</v>
      </c>
      <c r="I818" s="79">
        <f>COUNTIFS(Matches!$B:$B,$A818,Matches!$A:$A,CONCAT("&lt;",$E818))</f>
        <v>13</v>
      </c>
      <c r="J818" s="79">
        <f>COUNTIFS(Matches!$C:$C,$A818,Matches!$A:$A,CONCAT("&lt;",$E818))</f>
        <v>5</v>
      </c>
      <c r="K818" s="79">
        <f>COUNTIFS(Entropy!D:D,A818,Entropy!I:I,CONCAT("&lt;",E818-1))</f>
        <v>0</v>
      </c>
      <c r="L818" s="79">
        <f t="shared" si="2"/>
        <v>18</v>
      </c>
      <c r="M818" s="79">
        <f t="array" ref="M818">max(min(IF(J818+K818=11,0,XLOOKUP(B818,Quotas!$A$8:$A$14,Quotas!$E$8:$E$14)-$L818),2),0)</f>
        <v>2</v>
      </c>
      <c r="N818" s="31">
        <f t="shared" si="3"/>
        <v>1</v>
      </c>
    </row>
    <row r="819">
      <c r="A819" s="31" t="s">
        <v>367</v>
      </c>
      <c r="B819" s="9">
        <v>4.0</v>
      </c>
      <c r="C819" s="31" t="str">
        <f>VLOOKUP(A819, 'College List'!A:B, 2, FALSE)</f>
        <v>Prismari</v>
      </c>
      <c r="D819" s="355">
        <f>VLOOKUP(B819,Quotas!$A$8:$C$14,2,FALSE)</f>
        <v>46157.70833</v>
      </c>
      <c r="E819" s="356">
        <f>VLOOKUP(B819,Quotas!$A$8:$C$14,3,FALSE)</f>
        <v>46164.70833</v>
      </c>
      <c r="F819" s="79">
        <f>COUNTIFS(Matches!$B:$B,A819,Matches!$A:$A,CONCAT("&gt;",$D819),Matches!$A:$A,CONCAT("&lt;",$E819))</f>
        <v>0</v>
      </c>
      <c r="G819" s="79">
        <f>COUNTIFS(Matches!$C:$C,$A819,Matches!$A:$A,CONCAT("&gt;",$D819),Matches!$A:$A,CONCAT("&lt;",$E819))</f>
        <v>1</v>
      </c>
      <c r="H819" s="79">
        <f t="shared" si="1"/>
        <v>1</v>
      </c>
      <c r="I819" s="79">
        <f>COUNTIFS(Matches!$B:$B,$A819,Matches!$A:$A,CONCAT("&lt;",$E819))</f>
        <v>7</v>
      </c>
      <c r="J819" s="79">
        <f>COUNTIFS(Matches!$C:$C,$A819,Matches!$A:$A,CONCAT("&lt;",$E819))</f>
        <v>7</v>
      </c>
      <c r="K819" s="79">
        <f>COUNTIFS(Entropy!D:D,A819,Entropy!I:I,CONCAT("&lt;",E819-1))</f>
        <v>0</v>
      </c>
      <c r="L819" s="79">
        <f t="shared" si="2"/>
        <v>14</v>
      </c>
      <c r="M819" s="79">
        <f t="array" ref="M819">max(min(IF(J819+K819=11,0,XLOOKUP(B819,Quotas!$A$8:$A$14,Quotas!$E$8:$E$14)-$L819),2),0)</f>
        <v>2</v>
      </c>
      <c r="N819" s="31">
        <f t="shared" si="3"/>
        <v>1</v>
      </c>
    </row>
    <row r="820">
      <c r="A820" s="31" t="s">
        <v>299</v>
      </c>
      <c r="B820" s="9">
        <v>4.0</v>
      </c>
      <c r="C820" s="31" t="str">
        <f>VLOOKUP(A820, 'College List'!A:B, 2, FALSE)</f>
        <v>Witherbloom</v>
      </c>
      <c r="D820" s="355">
        <f>VLOOKUP(B820,Quotas!$A$8:$C$14,2,FALSE)</f>
        <v>46157.70833</v>
      </c>
      <c r="E820" s="356">
        <f>VLOOKUP(B820,Quotas!$A$8:$C$14,3,FALSE)</f>
        <v>46164.70833</v>
      </c>
      <c r="F820" s="79">
        <f>COUNTIFS(Matches!$B:$B,A820,Matches!$A:$A,CONCAT("&gt;",$D820),Matches!$A:$A,CONCAT("&lt;",$E820))</f>
        <v>3</v>
      </c>
      <c r="G820" s="79">
        <f>COUNTIFS(Matches!$C:$C,$A820,Matches!$A:$A,CONCAT("&gt;",$D820),Matches!$A:$A,CONCAT("&lt;",$E820))</f>
        <v>1</v>
      </c>
      <c r="H820" s="79">
        <f t="shared" si="1"/>
        <v>4</v>
      </c>
      <c r="I820" s="79">
        <f>COUNTIFS(Matches!$B:$B,$A820,Matches!$A:$A,CONCAT("&lt;",$E820))</f>
        <v>12</v>
      </c>
      <c r="J820" s="79">
        <f>COUNTIFS(Matches!$C:$C,$A820,Matches!$A:$A,CONCAT("&lt;",$E820))</f>
        <v>7</v>
      </c>
      <c r="K820" s="79">
        <f>COUNTIFS(Entropy!D:D,A820,Entropy!I:I,CONCAT("&lt;",E820-1))</f>
        <v>0</v>
      </c>
      <c r="L820" s="79">
        <f t="shared" si="2"/>
        <v>19</v>
      </c>
      <c r="M820" s="79">
        <f t="array" ref="M820">max(min(IF(J820+K820=11,0,XLOOKUP(B820,Quotas!$A$8:$A$14,Quotas!$E$8:$E$14)-$L820),2),0)</f>
        <v>1</v>
      </c>
      <c r="N820" s="31">
        <f t="shared" si="3"/>
        <v>0.5</v>
      </c>
    </row>
    <row r="821">
      <c r="A821" s="31" t="s">
        <v>151</v>
      </c>
      <c r="B821" s="9">
        <v>4.0</v>
      </c>
      <c r="C821" s="31" t="str">
        <f>VLOOKUP(A821, 'College List'!A:B, 2, FALSE)</f>
        <v>Quandrix</v>
      </c>
      <c r="D821" s="355">
        <f>VLOOKUP(B821,Quotas!$A$8:$C$14,2,FALSE)</f>
        <v>46157.70833</v>
      </c>
      <c r="E821" s="356">
        <f>VLOOKUP(B821,Quotas!$A$8:$C$14,3,FALSE)</f>
        <v>46164.70833</v>
      </c>
      <c r="F821" s="79">
        <f>COUNTIFS(Matches!$B:$B,A821,Matches!$A:$A,CONCAT("&gt;",$D821),Matches!$A:$A,CONCAT("&lt;",$E821))</f>
        <v>1</v>
      </c>
      <c r="G821" s="79">
        <f>COUNTIFS(Matches!$C:$C,$A821,Matches!$A:$A,CONCAT("&gt;",$D821),Matches!$A:$A,CONCAT("&lt;",$E821))</f>
        <v>4</v>
      </c>
      <c r="H821" s="79">
        <f t="shared" si="1"/>
        <v>5</v>
      </c>
      <c r="I821" s="79">
        <f>COUNTIFS(Matches!$B:$B,$A821,Matches!$A:$A,CONCAT("&lt;",$E821))</f>
        <v>10</v>
      </c>
      <c r="J821" s="79">
        <f>COUNTIFS(Matches!$C:$C,$A821,Matches!$A:$A,CONCAT("&lt;",$E821))</f>
        <v>10</v>
      </c>
      <c r="K821" s="79">
        <f>COUNTIFS(Entropy!D:D,A821,Entropy!I:I,CONCAT("&lt;",E821-1))</f>
        <v>0</v>
      </c>
      <c r="L821" s="79">
        <f t="shared" si="2"/>
        <v>20</v>
      </c>
      <c r="M821" s="79">
        <f t="array" ref="M821">max(min(IF(J821+K821=11,0,XLOOKUP(B821,Quotas!$A$8:$A$14,Quotas!$E$8:$E$14)-$L821),2),0)</f>
        <v>0</v>
      </c>
      <c r="N821" s="31">
        <f t="shared" si="3"/>
        <v>0</v>
      </c>
    </row>
    <row r="822">
      <c r="A822" s="31" t="s">
        <v>332</v>
      </c>
      <c r="B822" s="9">
        <v>4.0</v>
      </c>
      <c r="C822" s="31" t="str">
        <f>VLOOKUP(A822, 'College List'!A:B, 2, FALSE)</f>
        <v>Quandrix</v>
      </c>
      <c r="D822" s="355">
        <f>VLOOKUP(B822,Quotas!$A$8:$C$14,2,FALSE)</f>
        <v>46157.70833</v>
      </c>
      <c r="E822" s="356">
        <f>VLOOKUP(B822,Quotas!$A$8:$C$14,3,FALSE)</f>
        <v>46164.70833</v>
      </c>
      <c r="F822" s="79">
        <f>COUNTIFS(Matches!$B:$B,A822,Matches!$A:$A,CONCAT("&gt;",$D822),Matches!$A:$A,CONCAT("&lt;",$E822))</f>
        <v>3</v>
      </c>
      <c r="G822" s="79">
        <f>COUNTIFS(Matches!$C:$C,$A822,Matches!$A:$A,CONCAT("&gt;",$D822),Matches!$A:$A,CONCAT("&lt;",$E822))</f>
        <v>2</v>
      </c>
      <c r="H822" s="79">
        <f t="shared" si="1"/>
        <v>5</v>
      </c>
      <c r="I822" s="79">
        <f>COUNTIFS(Matches!$B:$B,$A822,Matches!$A:$A,CONCAT("&lt;",$E822))</f>
        <v>12</v>
      </c>
      <c r="J822" s="79">
        <f>COUNTIFS(Matches!$C:$C,$A822,Matches!$A:$A,CONCAT("&lt;",$E822))</f>
        <v>8</v>
      </c>
      <c r="K822" s="79">
        <f>COUNTIFS(Entropy!D:D,A822,Entropy!I:I,CONCAT("&lt;",E822-1))</f>
        <v>0</v>
      </c>
      <c r="L822" s="79">
        <f t="shared" si="2"/>
        <v>20</v>
      </c>
      <c r="M822" s="79">
        <f t="array" ref="M822">max(min(IF(J822+K822=11,0,XLOOKUP(B822,Quotas!$A$8:$A$14,Quotas!$E$8:$E$14)-$L822),2),0)</f>
        <v>0</v>
      </c>
      <c r="N822" s="31">
        <f t="shared" si="3"/>
        <v>0</v>
      </c>
    </row>
    <row r="823">
      <c r="A823" s="31" t="s">
        <v>421</v>
      </c>
      <c r="B823" s="9">
        <v>4.0</v>
      </c>
      <c r="C823" s="31" t="str">
        <f>VLOOKUP(A823, 'College List'!A:B, 2, FALSE)</f>
        <v>Lorehold</v>
      </c>
      <c r="D823" s="355">
        <f>VLOOKUP(B823,Quotas!$A$8:$C$14,2,FALSE)</f>
        <v>46157.70833</v>
      </c>
      <c r="E823" s="356">
        <f>VLOOKUP(B823,Quotas!$A$8:$C$14,3,FALSE)</f>
        <v>46164.70833</v>
      </c>
      <c r="F823" s="79">
        <f>COUNTIFS(Matches!$B:$B,A823,Matches!$A:$A,CONCAT("&gt;",$D823),Matches!$A:$A,CONCAT("&lt;",$E823))</f>
        <v>2</v>
      </c>
      <c r="G823" s="79">
        <f>COUNTIFS(Matches!$C:$C,$A823,Matches!$A:$A,CONCAT("&gt;",$D823),Matches!$A:$A,CONCAT("&lt;",$E823))</f>
        <v>3</v>
      </c>
      <c r="H823" s="79">
        <f t="shared" si="1"/>
        <v>5</v>
      </c>
      <c r="I823" s="79">
        <f>COUNTIFS(Matches!$B:$B,$A823,Matches!$A:$A,CONCAT("&lt;",$E823))</f>
        <v>8</v>
      </c>
      <c r="J823" s="79">
        <f>COUNTIFS(Matches!$C:$C,$A823,Matches!$A:$A,CONCAT("&lt;",$E823))</f>
        <v>9</v>
      </c>
      <c r="K823" s="79">
        <f>COUNTIFS(Entropy!D:D,A823,Entropy!I:I,CONCAT("&lt;",E823-1))</f>
        <v>1</v>
      </c>
      <c r="L823" s="79">
        <f t="shared" si="2"/>
        <v>18</v>
      </c>
      <c r="M823" s="79">
        <f t="array" ref="M823">max(min(IF(J823+K823=11,0,XLOOKUP(B823,Quotas!$A$8:$A$14,Quotas!$E$8:$E$14)-$L823),2),0)</f>
        <v>2</v>
      </c>
      <c r="N823" s="31">
        <f t="shared" si="3"/>
        <v>1</v>
      </c>
    </row>
    <row r="824">
      <c r="A824" s="31" t="s">
        <v>351</v>
      </c>
      <c r="B824" s="9">
        <v>4.0</v>
      </c>
      <c r="C824" s="31" t="str">
        <f>VLOOKUP(A824, 'College List'!A:B, 2, FALSE)</f>
        <v>Silverquill</v>
      </c>
      <c r="D824" s="355">
        <f>VLOOKUP(B824,Quotas!$A$8:$C$14,2,FALSE)</f>
        <v>46157.70833</v>
      </c>
      <c r="E824" s="356">
        <f>VLOOKUP(B824,Quotas!$A$8:$C$14,3,FALSE)</f>
        <v>46164.70833</v>
      </c>
      <c r="F824" s="79">
        <f>COUNTIFS(Matches!$B:$B,A824,Matches!$A:$A,CONCAT("&gt;",$D824),Matches!$A:$A,CONCAT("&lt;",$E824))</f>
        <v>0</v>
      </c>
      <c r="G824" s="79">
        <f>COUNTIFS(Matches!$C:$C,$A824,Matches!$A:$A,CONCAT("&gt;",$D824),Matches!$A:$A,CONCAT("&lt;",$E824))</f>
        <v>0</v>
      </c>
      <c r="H824" s="79">
        <f t="shared" si="1"/>
        <v>0</v>
      </c>
      <c r="I824" s="79">
        <f>COUNTIFS(Matches!$B:$B,$A824,Matches!$A:$A,CONCAT("&lt;",$E824))</f>
        <v>3</v>
      </c>
      <c r="J824" s="79">
        <f>COUNTIFS(Matches!$C:$C,$A824,Matches!$A:$A,CONCAT("&lt;",$E824))</f>
        <v>9</v>
      </c>
      <c r="K824" s="79">
        <f>COUNTIFS(Entropy!D:D,A824,Entropy!I:I,CONCAT("&lt;",E824-1))</f>
        <v>1</v>
      </c>
      <c r="L824" s="79">
        <f t="shared" si="2"/>
        <v>13</v>
      </c>
      <c r="M824" s="79">
        <f t="array" ref="M824">max(min(IF(J824+K824=11,0,XLOOKUP(B824,Quotas!$A$8:$A$14,Quotas!$E$8:$E$14)-$L824),2),0)</f>
        <v>2</v>
      </c>
      <c r="N824" s="31">
        <f t="shared" si="3"/>
        <v>0</v>
      </c>
    </row>
    <row r="825">
      <c r="A825" s="31" t="s">
        <v>274</v>
      </c>
      <c r="B825" s="9">
        <v>4.0</v>
      </c>
      <c r="C825" s="31" t="str">
        <f>VLOOKUP(A825, 'College List'!A:B, 2, FALSE)</f>
        <v>Quandrix</v>
      </c>
      <c r="D825" s="355">
        <f>VLOOKUP(B825,Quotas!$A$8:$C$14,2,FALSE)</f>
        <v>46157.70833</v>
      </c>
      <c r="E825" s="356">
        <f>VLOOKUP(B825,Quotas!$A$8:$C$14,3,FALSE)</f>
        <v>46164.70833</v>
      </c>
      <c r="F825" s="79">
        <f>COUNTIFS(Matches!$B:$B,A825,Matches!$A:$A,CONCAT("&gt;",$D825),Matches!$A:$A,CONCAT("&lt;",$E825))</f>
        <v>0</v>
      </c>
      <c r="G825" s="79">
        <f>COUNTIFS(Matches!$C:$C,$A825,Matches!$A:$A,CONCAT("&gt;",$D825),Matches!$A:$A,CONCAT("&lt;",$E825))</f>
        <v>3</v>
      </c>
      <c r="H825" s="79">
        <f t="shared" si="1"/>
        <v>3</v>
      </c>
      <c r="I825" s="79">
        <f>COUNTIFS(Matches!$B:$B,$A825,Matches!$A:$A,CONCAT("&lt;",$E825))</f>
        <v>7</v>
      </c>
      <c r="J825" s="79">
        <f>COUNTIFS(Matches!$C:$C,$A825,Matches!$A:$A,CONCAT("&lt;",$E825))</f>
        <v>11</v>
      </c>
      <c r="K825" s="79">
        <f>COUNTIFS(Entropy!D:D,A825,Entropy!I:I,CONCAT("&lt;",E825-1))</f>
        <v>0</v>
      </c>
      <c r="L825" s="79">
        <f t="shared" si="2"/>
        <v>18</v>
      </c>
      <c r="M825" s="79">
        <f t="array" ref="M825">max(min(IF(J825+K825=11,0,XLOOKUP(B825,Quotas!$A$8:$A$14,Quotas!$E$8:$E$14)-$L825),2),0)</f>
        <v>0</v>
      </c>
      <c r="N825" s="31">
        <f t="shared" si="3"/>
        <v>0</v>
      </c>
    </row>
    <row r="826">
      <c r="A826" s="31" t="s">
        <v>345</v>
      </c>
      <c r="B826" s="9">
        <v>4.0</v>
      </c>
      <c r="C826" s="31" t="str">
        <f>VLOOKUP(A826, 'College List'!A:B, 2, FALSE)</f>
        <v>Silverquill</v>
      </c>
      <c r="D826" s="355">
        <f>VLOOKUP(B826,Quotas!$A$8:$C$14,2,FALSE)</f>
        <v>46157.70833</v>
      </c>
      <c r="E826" s="356">
        <f>VLOOKUP(B826,Quotas!$A$8:$C$14,3,FALSE)</f>
        <v>46164.70833</v>
      </c>
      <c r="F826" s="79">
        <f>COUNTIFS(Matches!$B:$B,A826,Matches!$A:$A,CONCAT("&gt;",$D826),Matches!$A:$A,CONCAT("&lt;",$E826))</f>
        <v>5</v>
      </c>
      <c r="G826" s="79">
        <f>COUNTIFS(Matches!$C:$C,$A826,Matches!$A:$A,CONCAT("&gt;",$D826),Matches!$A:$A,CONCAT("&lt;",$E826))</f>
        <v>2</v>
      </c>
      <c r="H826" s="79">
        <f t="shared" si="1"/>
        <v>7</v>
      </c>
      <c r="I826" s="79">
        <f>COUNTIFS(Matches!$B:$B,$A826,Matches!$A:$A,CONCAT("&lt;",$E826))</f>
        <v>12</v>
      </c>
      <c r="J826" s="79">
        <f>COUNTIFS(Matches!$C:$C,$A826,Matches!$A:$A,CONCAT("&lt;",$E826))</f>
        <v>8</v>
      </c>
      <c r="K826" s="79">
        <f>COUNTIFS(Entropy!D:D,A826,Entropy!I:I,CONCAT("&lt;",E826-1))</f>
        <v>0</v>
      </c>
      <c r="L826" s="79">
        <f t="shared" si="2"/>
        <v>20</v>
      </c>
      <c r="M826" s="79">
        <f t="array" ref="M826">max(min(IF(J826+K826=11,0,XLOOKUP(B826,Quotas!$A$8:$A$14,Quotas!$E$8:$E$14)-$L826),2),0)</f>
        <v>0</v>
      </c>
      <c r="N826" s="31">
        <f t="shared" si="3"/>
        <v>0</v>
      </c>
    </row>
    <row r="827">
      <c r="A827" s="31" t="s">
        <v>185</v>
      </c>
      <c r="B827" s="9">
        <v>4.0</v>
      </c>
      <c r="C827" s="31" t="str">
        <f>VLOOKUP(A827, 'College List'!A:B, 2, FALSE)</f>
        <v>Silverquill</v>
      </c>
      <c r="D827" s="355">
        <f>VLOOKUP(B827,Quotas!$A$8:$C$14,2,FALSE)</f>
        <v>46157.70833</v>
      </c>
      <c r="E827" s="356">
        <f>VLOOKUP(B827,Quotas!$A$8:$C$14,3,FALSE)</f>
        <v>46164.70833</v>
      </c>
      <c r="F827" s="79">
        <f>COUNTIFS(Matches!$B:$B,A827,Matches!$A:$A,CONCAT("&gt;",$D827),Matches!$A:$A,CONCAT("&lt;",$E827))</f>
        <v>2</v>
      </c>
      <c r="G827" s="79">
        <f>COUNTIFS(Matches!$C:$C,$A827,Matches!$A:$A,CONCAT("&gt;",$D827),Matches!$A:$A,CONCAT("&lt;",$E827))</f>
        <v>3</v>
      </c>
      <c r="H827" s="79">
        <f t="shared" si="1"/>
        <v>5</v>
      </c>
      <c r="I827" s="79">
        <f>COUNTIFS(Matches!$B:$B,$A827,Matches!$A:$A,CONCAT("&lt;",$E827))</f>
        <v>13</v>
      </c>
      <c r="J827" s="79">
        <f>COUNTIFS(Matches!$C:$C,$A827,Matches!$A:$A,CONCAT("&lt;",$E827))</f>
        <v>7</v>
      </c>
      <c r="K827" s="79">
        <f>COUNTIFS(Entropy!D:D,A827,Entropy!I:I,CONCAT("&lt;",E827-1))</f>
        <v>0</v>
      </c>
      <c r="L827" s="79">
        <f t="shared" si="2"/>
        <v>20</v>
      </c>
      <c r="M827" s="79">
        <f t="array" ref="M827">max(min(IF(J827+K827=11,0,XLOOKUP(B827,Quotas!$A$8:$A$14,Quotas!$E$8:$E$14)-$L827),2),0)</f>
        <v>0</v>
      </c>
      <c r="N827" s="31">
        <f t="shared" si="3"/>
        <v>0</v>
      </c>
    </row>
    <row r="828">
      <c r="A828" s="31" t="s">
        <v>630</v>
      </c>
      <c r="B828" s="9">
        <v>4.0</v>
      </c>
      <c r="C828" s="31" t="str">
        <f>VLOOKUP(A828, 'College List'!A:B, 2, FALSE)</f>
        <v>Prismari</v>
      </c>
      <c r="D828" s="355">
        <f>VLOOKUP(B828,Quotas!$A$8:$C$14,2,FALSE)</f>
        <v>46157.70833</v>
      </c>
      <c r="E828" s="356">
        <f>VLOOKUP(B828,Quotas!$A$8:$C$14,3,FALSE)</f>
        <v>46164.70833</v>
      </c>
      <c r="F828" s="79">
        <f>COUNTIFS(Matches!$B:$B,A828,Matches!$A:$A,CONCAT("&gt;",$D828),Matches!$A:$A,CONCAT("&lt;",$E828))</f>
        <v>0</v>
      </c>
      <c r="G828" s="79">
        <f>COUNTIFS(Matches!$C:$C,$A828,Matches!$A:$A,CONCAT("&gt;",$D828),Matches!$A:$A,CONCAT("&lt;",$E828))</f>
        <v>0</v>
      </c>
      <c r="H828" s="79">
        <f t="shared" si="1"/>
        <v>0</v>
      </c>
      <c r="I828" s="79">
        <f>COUNTIFS(Matches!$B:$B,$A828,Matches!$A:$A,CONCAT("&lt;",$E828))</f>
        <v>0</v>
      </c>
      <c r="J828" s="79">
        <f>COUNTIFS(Matches!$C:$C,$A828,Matches!$A:$A,CONCAT("&lt;",$E828))</f>
        <v>0</v>
      </c>
      <c r="K828" s="79">
        <f>COUNTIFS(Entropy!D:D,A828,Entropy!I:I,CONCAT("&lt;",E828-1))</f>
        <v>11</v>
      </c>
      <c r="L828" s="79">
        <f t="shared" si="2"/>
        <v>11</v>
      </c>
      <c r="M828" s="79">
        <f t="array" ref="M828">max(min(IF(J828+K828=11,0,XLOOKUP(B828,Quotas!$A$8:$A$14,Quotas!$E$8:$E$14)-$L828),2),0)</f>
        <v>0</v>
      </c>
      <c r="N828" s="31">
        <f t="shared" si="3"/>
        <v>0</v>
      </c>
    </row>
    <row r="829">
      <c r="A829" s="31" t="s">
        <v>179</v>
      </c>
      <c r="B829" s="9">
        <v>4.0</v>
      </c>
      <c r="C829" s="31" t="str">
        <f>VLOOKUP(A829, 'College List'!A:B, 2, FALSE)</f>
        <v>Witherbloom</v>
      </c>
      <c r="D829" s="355">
        <f>VLOOKUP(B829,Quotas!$A$8:$C$14,2,FALSE)</f>
        <v>46157.70833</v>
      </c>
      <c r="E829" s="356">
        <f>VLOOKUP(B829,Quotas!$A$8:$C$14,3,FALSE)</f>
        <v>46164.70833</v>
      </c>
      <c r="F829" s="79">
        <f>COUNTIFS(Matches!$B:$B,A829,Matches!$A:$A,CONCAT("&gt;",$D829),Matches!$A:$A,CONCAT("&lt;",$E829))</f>
        <v>0</v>
      </c>
      <c r="G829" s="79">
        <f>COUNTIFS(Matches!$C:$C,$A829,Matches!$A:$A,CONCAT("&gt;",$D829),Matches!$A:$A,CONCAT("&lt;",$E829))</f>
        <v>0</v>
      </c>
      <c r="H829" s="79">
        <f t="shared" si="1"/>
        <v>0</v>
      </c>
      <c r="I829" s="79">
        <f>COUNTIFS(Matches!$B:$B,$A829,Matches!$A:$A,CONCAT("&lt;",$E829))</f>
        <v>1</v>
      </c>
      <c r="J829" s="79">
        <f>COUNTIFS(Matches!$C:$C,$A829,Matches!$A:$A,CONCAT("&lt;",$E829))</f>
        <v>7</v>
      </c>
      <c r="K829" s="79">
        <f>COUNTIFS(Entropy!D:D,A829,Entropy!I:I,CONCAT("&lt;",E829-1))</f>
        <v>4</v>
      </c>
      <c r="L829" s="79">
        <f t="shared" si="2"/>
        <v>12</v>
      </c>
      <c r="M829" s="79">
        <f t="array" ref="M829">max(min(IF(J829+K829=11,0,XLOOKUP(B829,Quotas!$A$8:$A$14,Quotas!$E$8:$E$14)-$L829),2),0)</f>
        <v>0</v>
      </c>
      <c r="N829" s="31">
        <f t="shared" si="3"/>
        <v>0</v>
      </c>
    </row>
    <row r="830">
      <c r="A830" s="31" t="s">
        <v>320</v>
      </c>
      <c r="B830" s="9">
        <v>4.0</v>
      </c>
      <c r="C830" s="31" t="str">
        <f>VLOOKUP(A830, 'College List'!A:B, 2, FALSE)</f>
        <v>Witherbloom</v>
      </c>
      <c r="D830" s="355">
        <f>VLOOKUP(B830,Quotas!$A$8:$C$14,2,FALSE)</f>
        <v>46157.70833</v>
      </c>
      <c r="E830" s="356">
        <f>VLOOKUP(B830,Quotas!$A$8:$C$14,3,FALSE)</f>
        <v>46164.70833</v>
      </c>
      <c r="F830" s="79">
        <f>COUNTIFS(Matches!$B:$B,A830,Matches!$A:$A,CONCAT("&gt;",$D830),Matches!$A:$A,CONCAT("&lt;",$E830))</f>
        <v>2</v>
      </c>
      <c r="G830" s="79">
        <f>COUNTIFS(Matches!$C:$C,$A830,Matches!$A:$A,CONCAT("&gt;",$D830),Matches!$A:$A,CONCAT("&lt;",$E830))</f>
        <v>3</v>
      </c>
      <c r="H830" s="79">
        <f t="shared" si="1"/>
        <v>5</v>
      </c>
      <c r="I830" s="79">
        <f>COUNTIFS(Matches!$B:$B,$A830,Matches!$A:$A,CONCAT("&lt;",$E830))</f>
        <v>11</v>
      </c>
      <c r="J830" s="79">
        <f>COUNTIFS(Matches!$C:$C,$A830,Matches!$A:$A,CONCAT("&lt;",$E830))</f>
        <v>9</v>
      </c>
      <c r="K830" s="79">
        <f>COUNTIFS(Entropy!D:D,A830,Entropy!I:I,CONCAT("&lt;",E830-1))</f>
        <v>0</v>
      </c>
      <c r="L830" s="79">
        <f t="shared" si="2"/>
        <v>20</v>
      </c>
      <c r="M830" s="79">
        <f t="array" ref="M830">max(min(IF(J830+K830=11,0,XLOOKUP(B830,Quotas!$A$8:$A$14,Quotas!$E$8:$E$14)-$L830),2),0)</f>
        <v>0</v>
      </c>
      <c r="N830" s="31">
        <f t="shared" si="3"/>
        <v>0</v>
      </c>
    </row>
    <row r="831">
      <c r="A831" s="31" t="s">
        <v>205</v>
      </c>
      <c r="B831" s="9">
        <v>4.0</v>
      </c>
      <c r="C831" s="31" t="str">
        <f>VLOOKUP(A831, 'College List'!A:B, 2, FALSE)</f>
        <v>Silverquill</v>
      </c>
      <c r="D831" s="355">
        <f>VLOOKUP(B831,Quotas!$A$8:$C$14,2,FALSE)</f>
        <v>46157.70833</v>
      </c>
      <c r="E831" s="356">
        <f>VLOOKUP(B831,Quotas!$A$8:$C$14,3,FALSE)</f>
        <v>46164.70833</v>
      </c>
      <c r="F831" s="79">
        <f>COUNTIFS(Matches!$B:$B,A831,Matches!$A:$A,CONCAT("&gt;",$D831),Matches!$A:$A,CONCAT("&lt;",$E831))</f>
        <v>0</v>
      </c>
      <c r="G831" s="79">
        <f>COUNTIFS(Matches!$C:$C,$A831,Matches!$A:$A,CONCAT("&gt;",$D831),Matches!$A:$A,CONCAT("&lt;",$E831))</f>
        <v>3</v>
      </c>
      <c r="H831" s="79">
        <f t="shared" si="1"/>
        <v>3</v>
      </c>
      <c r="I831" s="79">
        <f>COUNTIFS(Matches!$B:$B,$A831,Matches!$A:$A,CONCAT("&lt;",$E831))</f>
        <v>7</v>
      </c>
      <c r="J831" s="79">
        <f>COUNTIFS(Matches!$C:$C,$A831,Matches!$A:$A,CONCAT("&lt;",$E831))</f>
        <v>11</v>
      </c>
      <c r="K831" s="79">
        <f>COUNTIFS(Entropy!D:D,A831,Entropy!I:I,CONCAT("&lt;",E831-1))</f>
        <v>0</v>
      </c>
      <c r="L831" s="79">
        <f t="shared" si="2"/>
        <v>18</v>
      </c>
      <c r="M831" s="79">
        <f t="array" ref="M831">max(min(IF(J831+K831=11,0,XLOOKUP(B831,Quotas!$A$8:$A$14,Quotas!$E$8:$E$14)-$L831),2),0)</f>
        <v>0</v>
      </c>
      <c r="N831" s="31">
        <f t="shared" si="3"/>
        <v>0</v>
      </c>
    </row>
    <row r="832">
      <c r="A832" s="31" t="s">
        <v>347</v>
      </c>
      <c r="B832" s="9">
        <v>4.0</v>
      </c>
      <c r="C832" s="31" t="str">
        <f>VLOOKUP(A832, 'College List'!A:B, 2, FALSE)</f>
        <v>Lorehold</v>
      </c>
      <c r="D832" s="355">
        <f>VLOOKUP(B832,Quotas!$A$8:$C$14,2,FALSE)</f>
        <v>46157.70833</v>
      </c>
      <c r="E832" s="356">
        <f>VLOOKUP(B832,Quotas!$A$8:$C$14,3,FALSE)</f>
        <v>46164.70833</v>
      </c>
      <c r="F832" s="79">
        <f>COUNTIFS(Matches!$B:$B,A832,Matches!$A:$A,CONCAT("&gt;",$D832),Matches!$A:$A,CONCAT("&lt;",$E832))</f>
        <v>1</v>
      </c>
      <c r="G832" s="79">
        <f>COUNTIFS(Matches!$C:$C,$A832,Matches!$A:$A,CONCAT("&gt;",$D832),Matches!$A:$A,CONCAT("&lt;",$E832))</f>
        <v>3</v>
      </c>
      <c r="H832" s="79">
        <f t="shared" si="1"/>
        <v>4</v>
      </c>
      <c r="I832" s="79">
        <f>COUNTIFS(Matches!$B:$B,$A832,Matches!$A:$A,CONCAT("&lt;",$E832))</f>
        <v>10</v>
      </c>
      <c r="J832" s="79">
        <f>COUNTIFS(Matches!$C:$C,$A832,Matches!$A:$A,CONCAT("&lt;",$E832))</f>
        <v>9</v>
      </c>
      <c r="K832" s="79">
        <f>COUNTIFS(Entropy!D:D,A832,Entropy!I:I,CONCAT("&lt;",E832-1))</f>
        <v>0</v>
      </c>
      <c r="L832" s="79">
        <f t="shared" si="2"/>
        <v>19</v>
      </c>
      <c r="M832" s="79">
        <f t="array" ref="M832">max(min(IF(J832+K832=11,0,XLOOKUP(B832,Quotas!$A$8:$A$14,Quotas!$E$8:$E$14)-$L832),2),0)</f>
        <v>1</v>
      </c>
      <c r="N832" s="31">
        <f t="shared" si="3"/>
        <v>0.5</v>
      </c>
    </row>
    <row r="833">
      <c r="A833" s="31" t="s">
        <v>109</v>
      </c>
      <c r="B833" s="9">
        <v>4.0</v>
      </c>
      <c r="C833" s="31" t="str">
        <f>VLOOKUP(A833, 'College List'!A:B, 2, FALSE)</f>
        <v>Silverquill</v>
      </c>
      <c r="D833" s="355">
        <f>VLOOKUP(B833,Quotas!$A$8:$C$14,2,FALSE)</f>
        <v>46157.70833</v>
      </c>
      <c r="E833" s="356">
        <f>VLOOKUP(B833,Quotas!$A$8:$C$14,3,FALSE)</f>
        <v>46164.70833</v>
      </c>
      <c r="F833" s="79">
        <f>COUNTIFS(Matches!$B:$B,A833,Matches!$A:$A,CONCAT("&gt;",$D833),Matches!$A:$A,CONCAT("&lt;",$E833))</f>
        <v>3</v>
      </c>
      <c r="G833" s="79">
        <f>COUNTIFS(Matches!$C:$C,$A833,Matches!$A:$A,CONCAT("&gt;",$D833),Matches!$A:$A,CONCAT("&lt;",$E833))</f>
        <v>1</v>
      </c>
      <c r="H833" s="79">
        <f t="shared" si="1"/>
        <v>4</v>
      </c>
      <c r="I833" s="79">
        <f>COUNTIFS(Matches!$B:$B,$A833,Matches!$A:$A,CONCAT("&lt;",$E833))</f>
        <v>9</v>
      </c>
      <c r="J833" s="79">
        <f>COUNTIFS(Matches!$C:$C,$A833,Matches!$A:$A,CONCAT("&lt;",$E833))</f>
        <v>10</v>
      </c>
      <c r="K833" s="79">
        <f>COUNTIFS(Entropy!D:D,A833,Entropy!I:I,CONCAT("&lt;",E833-1))</f>
        <v>0</v>
      </c>
      <c r="L833" s="79">
        <f t="shared" si="2"/>
        <v>19</v>
      </c>
      <c r="M833" s="79">
        <f t="array" ref="M833">max(min(IF(J833+K833=11,0,XLOOKUP(B833,Quotas!$A$8:$A$14,Quotas!$E$8:$E$14)-$L833),2),0)</f>
        <v>1</v>
      </c>
      <c r="N833" s="31">
        <f t="shared" si="3"/>
        <v>0.5</v>
      </c>
    </row>
    <row r="834">
      <c r="A834" s="31" t="s">
        <v>288</v>
      </c>
      <c r="B834" s="9">
        <v>4.0</v>
      </c>
      <c r="C834" s="31" t="str">
        <f>VLOOKUP(A834, 'College List'!A:B, 2, FALSE)</f>
        <v>Lorehold</v>
      </c>
      <c r="D834" s="355">
        <f>VLOOKUP(B834,Quotas!$A$8:$C$14,2,FALSE)</f>
        <v>46157.70833</v>
      </c>
      <c r="E834" s="356">
        <f>VLOOKUP(B834,Quotas!$A$8:$C$14,3,FALSE)</f>
        <v>46164.70833</v>
      </c>
      <c r="F834" s="79">
        <f>COUNTIFS(Matches!$B:$B,A834,Matches!$A:$A,CONCAT("&gt;",$D834),Matches!$A:$A,CONCAT("&lt;",$E834))</f>
        <v>3</v>
      </c>
      <c r="G834" s="79">
        <f>COUNTIFS(Matches!$C:$C,$A834,Matches!$A:$A,CONCAT("&gt;",$D834),Matches!$A:$A,CONCAT("&lt;",$E834))</f>
        <v>2</v>
      </c>
      <c r="H834" s="79">
        <f t="shared" si="1"/>
        <v>5</v>
      </c>
      <c r="I834" s="79">
        <f>COUNTIFS(Matches!$B:$B,$A834,Matches!$A:$A,CONCAT("&lt;",$E834))</f>
        <v>13</v>
      </c>
      <c r="J834" s="79">
        <f>COUNTIFS(Matches!$C:$C,$A834,Matches!$A:$A,CONCAT("&lt;",$E834))</f>
        <v>7</v>
      </c>
      <c r="K834" s="79">
        <f>COUNTIFS(Entropy!D:D,A834,Entropy!I:I,CONCAT("&lt;",E834-1))</f>
        <v>0</v>
      </c>
      <c r="L834" s="79">
        <f t="shared" si="2"/>
        <v>20</v>
      </c>
      <c r="M834" s="79">
        <f t="array" ref="M834">max(min(IF(J834+K834=11,0,XLOOKUP(B834,Quotas!$A$8:$A$14,Quotas!$E$8:$E$14)-$L834),2),0)</f>
        <v>0</v>
      </c>
      <c r="N834" s="31">
        <f t="shared" si="3"/>
        <v>0</v>
      </c>
    </row>
    <row r="835">
      <c r="A835" s="31" t="s">
        <v>184</v>
      </c>
      <c r="B835" s="9">
        <v>4.0</v>
      </c>
      <c r="C835" s="31" t="str">
        <f>VLOOKUP(A835, 'College List'!A:B, 2, FALSE)</f>
        <v>Quandrix</v>
      </c>
      <c r="D835" s="355">
        <f>VLOOKUP(B835,Quotas!$A$8:$C$14,2,FALSE)</f>
        <v>46157.70833</v>
      </c>
      <c r="E835" s="356">
        <f>VLOOKUP(B835,Quotas!$A$8:$C$14,3,FALSE)</f>
        <v>46164.70833</v>
      </c>
      <c r="F835" s="79">
        <f>COUNTIFS(Matches!$B:$B,A835,Matches!$A:$A,CONCAT("&gt;",$D835),Matches!$A:$A,CONCAT("&lt;",$E835))</f>
        <v>1</v>
      </c>
      <c r="G835" s="79">
        <f>COUNTIFS(Matches!$C:$C,$A835,Matches!$A:$A,CONCAT("&gt;",$D835),Matches!$A:$A,CONCAT("&lt;",$E835))</f>
        <v>2</v>
      </c>
      <c r="H835" s="79">
        <f t="shared" si="1"/>
        <v>3</v>
      </c>
      <c r="I835" s="79">
        <f>COUNTIFS(Matches!$B:$B,$A835,Matches!$A:$A,CONCAT("&lt;",$E835))</f>
        <v>10</v>
      </c>
      <c r="J835" s="79">
        <f>COUNTIFS(Matches!$C:$C,$A835,Matches!$A:$A,CONCAT("&lt;",$E835))</f>
        <v>8</v>
      </c>
      <c r="K835" s="79">
        <f>COUNTIFS(Entropy!D:D,A835,Entropy!I:I,CONCAT("&lt;",E835-1))</f>
        <v>0</v>
      </c>
      <c r="L835" s="79">
        <f t="shared" si="2"/>
        <v>18</v>
      </c>
      <c r="M835" s="79">
        <f t="array" ref="M835">max(min(IF(J835+K835=11,0,XLOOKUP(B835,Quotas!$A$8:$A$14,Quotas!$E$8:$E$14)-$L835),2),0)</f>
        <v>2</v>
      </c>
      <c r="N835" s="31">
        <f t="shared" si="3"/>
        <v>1</v>
      </c>
    </row>
    <row r="836">
      <c r="A836" s="31" t="s">
        <v>67</v>
      </c>
      <c r="B836" s="9">
        <v>4.0</v>
      </c>
      <c r="C836" s="31" t="str">
        <f>VLOOKUP(A836, 'College List'!A:B, 2, FALSE)</f>
        <v>Silverquill</v>
      </c>
      <c r="D836" s="355">
        <f>VLOOKUP(B836,Quotas!$A$8:$C$14,2,FALSE)</f>
        <v>46157.70833</v>
      </c>
      <c r="E836" s="356">
        <f>VLOOKUP(B836,Quotas!$A$8:$C$14,3,FALSE)</f>
        <v>46164.70833</v>
      </c>
      <c r="F836" s="79">
        <f>COUNTIFS(Matches!$B:$B,A836,Matches!$A:$A,CONCAT("&gt;",$D836),Matches!$A:$A,CONCAT("&lt;",$E836))</f>
        <v>0</v>
      </c>
      <c r="G836" s="79">
        <f>COUNTIFS(Matches!$C:$C,$A836,Matches!$A:$A,CONCAT("&gt;",$D836),Matches!$A:$A,CONCAT("&lt;",$E836))</f>
        <v>1</v>
      </c>
      <c r="H836" s="79">
        <f t="shared" si="1"/>
        <v>1</v>
      </c>
      <c r="I836" s="79">
        <f>COUNTIFS(Matches!$B:$B,$A836,Matches!$A:$A,CONCAT("&lt;",$E836))</f>
        <v>5</v>
      </c>
      <c r="J836" s="79">
        <f>COUNTIFS(Matches!$C:$C,$A836,Matches!$A:$A,CONCAT("&lt;",$E836))</f>
        <v>11</v>
      </c>
      <c r="K836" s="79">
        <f>COUNTIFS(Entropy!D:D,A836,Entropy!I:I,CONCAT("&lt;",E836-1))</f>
        <v>0</v>
      </c>
      <c r="L836" s="79">
        <f t="shared" si="2"/>
        <v>16</v>
      </c>
      <c r="M836" s="79">
        <f t="array" ref="M836">max(min(IF(J836+K836=11,0,XLOOKUP(B836,Quotas!$A$8:$A$14,Quotas!$E$8:$E$14)-$L836),2),0)</f>
        <v>0</v>
      </c>
      <c r="N836" s="31">
        <f t="shared" si="3"/>
        <v>0</v>
      </c>
    </row>
    <row r="837">
      <c r="A837" s="31" t="s">
        <v>172</v>
      </c>
      <c r="B837" s="9">
        <v>4.0</v>
      </c>
      <c r="C837" s="31" t="str">
        <f>VLOOKUP(A837, 'College List'!A:B, 2, FALSE)</f>
        <v>Lorehold</v>
      </c>
      <c r="D837" s="355">
        <f>VLOOKUP(B837,Quotas!$A$8:$C$14,2,FALSE)</f>
        <v>46157.70833</v>
      </c>
      <c r="E837" s="356">
        <f>VLOOKUP(B837,Quotas!$A$8:$C$14,3,FALSE)</f>
        <v>46164.70833</v>
      </c>
      <c r="F837" s="79">
        <f>COUNTIFS(Matches!$B:$B,A837,Matches!$A:$A,CONCAT("&gt;",$D837),Matches!$A:$A,CONCAT("&lt;",$E837))</f>
        <v>0</v>
      </c>
      <c r="G837" s="79">
        <f>COUNTIFS(Matches!$C:$C,$A837,Matches!$A:$A,CONCAT("&gt;",$D837),Matches!$A:$A,CONCAT("&lt;",$E837))</f>
        <v>0</v>
      </c>
      <c r="H837" s="79">
        <f t="shared" si="1"/>
        <v>0</v>
      </c>
      <c r="I837" s="79">
        <f>COUNTIFS(Matches!$B:$B,$A837,Matches!$A:$A,CONCAT("&lt;",$E837))</f>
        <v>1</v>
      </c>
      <c r="J837" s="79">
        <f>COUNTIFS(Matches!$C:$C,$A837,Matches!$A:$A,CONCAT("&lt;",$E837))</f>
        <v>11</v>
      </c>
      <c r="K837" s="79">
        <f>COUNTIFS(Entropy!D:D,A837,Entropy!I:I,CONCAT("&lt;",E837-1))</f>
        <v>0</v>
      </c>
      <c r="L837" s="79">
        <f t="shared" si="2"/>
        <v>12</v>
      </c>
      <c r="M837" s="79">
        <f t="array" ref="M837">max(min(IF(J837+K837=11,0,XLOOKUP(B837,Quotas!$A$8:$A$14,Quotas!$E$8:$E$14)-$L837),2),0)</f>
        <v>0</v>
      </c>
      <c r="N837" s="31">
        <f t="shared" si="3"/>
        <v>0</v>
      </c>
    </row>
    <row r="838">
      <c r="A838" s="31" t="s">
        <v>399</v>
      </c>
      <c r="B838" s="9">
        <v>4.0</v>
      </c>
      <c r="C838" s="31" t="str">
        <f>VLOOKUP(A838, 'College List'!A:B, 2, FALSE)</f>
        <v>Quandrix</v>
      </c>
      <c r="D838" s="355">
        <f>VLOOKUP(B838,Quotas!$A$8:$C$14,2,FALSE)</f>
        <v>46157.70833</v>
      </c>
      <c r="E838" s="356">
        <f>VLOOKUP(B838,Quotas!$A$8:$C$14,3,FALSE)</f>
        <v>46164.70833</v>
      </c>
      <c r="F838" s="79">
        <f>COUNTIFS(Matches!$B:$B,A838,Matches!$A:$A,CONCAT("&gt;",$D838),Matches!$A:$A,CONCAT("&lt;",$E838))</f>
        <v>0</v>
      </c>
      <c r="G838" s="79">
        <f>COUNTIFS(Matches!$C:$C,$A838,Matches!$A:$A,CONCAT("&gt;",$D838),Matches!$A:$A,CONCAT("&lt;",$E838))</f>
        <v>0</v>
      </c>
      <c r="H838" s="79">
        <f t="shared" si="1"/>
        <v>0</v>
      </c>
      <c r="I838" s="79">
        <f>COUNTIFS(Matches!$B:$B,$A838,Matches!$A:$A,CONCAT("&lt;",$E838))</f>
        <v>6</v>
      </c>
      <c r="J838" s="79">
        <f>COUNTIFS(Matches!$C:$C,$A838,Matches!$A:$A,CONCAT("&lt;",$E838))</f>
        <v>3</v>
      </c>
      <c r="K838" s="79">
        <f>COUNTIFS(Entropy!D:D,A838,Entropy!I:I,CONCAT("&lt;",E838-1))</f>
        <v>8</v>
      </c>
      <c r="L838" s="79">
        <f t="shared" si="2"/>
        <v>17</v>
      </c>
      <c r="M838" s="79">
        <f t="array" ref="M838">max(min(IF(J838+K838=11,0,XLOOKUP(B838,Quotas!$A$8:$A$14,Quotas!$E$8:$E$14)-$L838),2),0)</f>
        <v>0</v>
      </c>
      <c r="N838" s="31">
        <f t="shared" si="3"/>
        <v>0</v>
      </c>
    </row>
    <row r="839">
      <c r="A839" s="31" t="s">
        <v>373</v>
      </c>
      <c r="B839" s="9">
        <v>4.0</v>
      </c>
      <c r="C839" s="31" t="str">
        <f>VLOOKUP(A839, 'College List'!A:B, 2, FALSE)</f>
        <v>Quandrix</v>
      </c>
      <c r="D839" s="355">
        <f>VLOOKUP(B839,Quotas!$A$8:$C$14,2,FALSE)</f>
        <v>46157.70833</v>
      </c>
      <c r="E839" s="356">
        <f>VLOOKUP(B839,Quotas!$A$8:$C$14,3,FALSE)</f>
        <v>46164.70833</v>
      </c>
      <c r="F839" s="79">
        <f>COUNTIFS(Matches!$B:$B,A839,Matches!$A:$A,CONCAT("&gt;",$D839),Matches!$A:$A,CONCAT("&lt;",$E839))</f>
        <v>1</v>
      </c>
      <c r="G839" s="79">
        <f>COUNTIFS(Matches!$C:$C,$A839,Matches!$A:$A,CONCAT("&gt;",$D839),Matches!$A:$A,CONCAT("&lt;",$E839))</f>
        <v>4</v>
      </c>
      <c r="H839" s="79">
        <f t="shared" si="1"/>
        <v>5</v>
      </c>
      <c r="I839" s="79">
        <f>COUNTIFS(Matches!$B:$B,$A839,Matches!$A:$A,CONCAT("&lt;",$E839))</f>
        <v>11</v>
      </c>
      <c r="J839" s="79">
        <f>COUNTIFS(Matches!$C:$C,$A839,Matches!$A:$A,CONCAT("&lt;",$E839))</f>
        <v>9</v>
      </c>
      <c r="K839" s="79">
        <f>COUNTIFS(Entropy!D:D,A839,Entropy!I:I,CONCAT("&lt;",E839-1))</f>
        <v>0</v>
      </c>
      <c r="L839" s="79">
        <f t="shared" si="2"/>
        <v>20</v>
      </c>
      <c r="M839" s="79">
        <f t="array" ref="M839">max(min(IF(J839+K839=11,0,XLOOKUP(B839,Quotas!$A$8:$A$14,Quotas!$E$8:$E$14)-$L839),2),0)</f>
        <v>0</v>
      </c>
      <c r="N839" s="31">
        <f t="shared" si="3"/>
        <v>0</v>
      </c>
    </row>
    <row r="840">
      <c r="A840" s="31" t="s">
        <v>217</v>
      </c>
      <c r="B840" s="9">
        <v>4.0</v>
      </c>
      <c r="C840" s="31" t="str">
        <f>VLOOKUP(A840, 'College List'!A:B, 2, FALSE)</f>
        <v>Lorehold</v>
      </c>
      <c r="D840" s="355">
        <f>VLOOKUP(B840,Quotas!$A$8:$C$14,2,FALSE)</f>
        <v>46157.70833</v>
      </c>
      <c r="E840" s="356">
        <f>VLOOKUP(B840,Quotas!$A$8:$C$14,3,FALSE)</f>
        <v>46164.70833</v>
      </c>
      <c r="F840" s="79">
        <f>COUNTIFS(Matches!$B:$B,A840,Matches!$A:$A,CONCAT("&gt;",$D840),Matches!$A:$A,CONCAT("&lt;",$E840))</f>
        <v>2</v>
      </c>
      <c r="G840" s="79">
        <f>COUNTIFS(Matches!$C:$C,$A840,Matches!$A:$A,CONCAT("&gt;",$D840),Matches!$A:$A,CONCAT("&lt;",$E840))</f>
        <v>3</v>
      </c>
      <c r="H840" s="79">
        <f t="shared" si="1"/>
        <v>5</v>
      </c>
      <c r="I840" s="79">
        <f>COUNTIFS(Matches!$B:$B,$A840,Matches!$A:$A,CONCAT("&lt;",$E840))</f>
        <v>13</v>
      </c>
      <c r="J840" s="79">
        <f>COUNTIFS(Matches!$C:$C,$A840,Matches!$A:$A,CONCAT("&lt;",$E840))</f>
        <v>7</v>
      </c>
      <c r="K840" s="79">
        <f>COUNTIFS(Entropy!D:D,A840,Entropy!I:I,CONCAT("&lt;",E840-1))</f>
        <v>0</v>
      </c>
      <c r="L840" s="79">
        <f t="shared" si="2"/>
        <v>20</v>
      </c>
      <c r="M840" s="79">
        <f t="array" ref="M840">max(min(IF(J840+K840=11,0,XLOOKUP(B840,Quotas!$A$8:$A$14,Quotas!$E$8:$E$14)-$L840),2),0)</f>
        <v>0</v>
      </c>
      <c r="N840" s="31">
        <f t="shared" si="3"/>
        <v>0</v>
      </c>
    </row>
    <row r="841">
      <c r="A841" s="31" t="s">
        <v>286</v>
      </c>
      <c r="B841" s="9">
        <v>4.0</v>
      </c>
      <c r="C841" s="31" t="str">
        <f>VLOOKUP(A841, 'College List'!A:B, 2, FALSE)</f>
        <v>Silverquill</v>
      </c>
      <c r="D841" s="355">
        <f>VLOOKUP(B841,Quotas!$A$8:$C$14,2,FALSE)</f>
        <v>46157.70833</v>
      </c>
      <c r="E841" s="356">
        <f>VLOOKUP(B841,Quotas!$A$8:$C$14,3,FALSE)</f>
        <v>46164.70833</v>
      </c>
      <c r="F841" s="79">
        <f>COUNTIFS(Matches!$B:$B,A841,Matches!$A:$A,CONCAT("&gt;",$D841),Matches!$A:$A,CONCAT("&lt;",$E841))</f>
        <v>3</v>
      </c>
      <c r="G841" s="79">
        <f>COUNTIFS(Matches!$C:$C,$A841,Matches!$A:$A,CONCAT("&gt;",$D841),Matches!$A:$A,CONCAT("&lt;",$E841))</f>
        <v>2</v>
      </c>
      <c r="H841" s="79">
        <f t="shared" si="1"/>
        <v>5</v>
      </c>
      <c r="I841" s="79">
        <f>COUNTIFS(Matches!$B:$B,$A841,Matches!$A:$A,CONCAT("&lt;",$E841))</f>
        <v>11</v>
      </c>
      <c r="J841" s="79">
        <f>COUNTIFS(Matches!$C:$C,$A841,Matches!$A:$A,CONCAT("&lt;",$E841))</f>
        <v>9</v>
      </c>
      <c r="K841" s="79">
        <f>COUNTIFS(Entropy!D:D,A841,Entropy!I:I,CONCAT("&lt;",E841-1))</f>
        <v>0</v>
      </c>
      <c r="L841" s="79">
        <f t="shared" si="2"/>
        <v>20</v>
      </c>
      <c r="M841" s="79">
        <f t="array" ref="M841">max(min(IF(J841+K841=11,0,XLOOKUP(B841,Quotas!$A$8:$A$14,Quotas!$E$8:$E$14)-$L841),2),0)</f>
        <v>0</v>
      </c>
      <c r="N841" s="31">
        <f t="shared" si="3"/>
        <v>0</v>
      </c>
    </row>
    <row r="842">
      <c r="A842" s="31" t="s">
        <v>336</v>
      </c>
      <c r="B842" s="9">
        <v>4.0</v>
      </c>
      <c r="C842" s="31" t="str">
        <f>VLOOKUP(A842, 'College List'!A:B, 2, FALSE)</f>
        <v>Prismari</v>
      </c>
      <c r="D842" s="355">
        <f>VLOOKUP(B842,Quotas!$A$8:$C$14,2,FALSE)</f>
        <v>46157.70833</v>
      </c>
      <c r="E842" s="356">
        <f>VLOOKUP(B842,Quotas!$A$8:$C$14,3,FALSE)</f>
        <v>46164.70833</v>
      </c>
      <c r="F842" s="79">
        <f>COUNTIFS(Matches!$B:$B,A842,Matches!$A:$A,CONCAT("&gt;",$D842),Matches!$A:$A,CONCAT("&lt;",$E842))</f>
        <v>3</v>
      </c>
      <c r="G842" s="79">
        <f>COUNTIFS(Matches!$C:$C,$A842,Matches!$A:$A,CONCAT("&gt;",$D842),Matches!$A:$A,CONCAT("&lt;",$E842))</f>
        <v>3</v>
      </c>
      <c r="H842" s="79">
        <f t="shared" si="1"/>
        <v>6</v>
      </c>
      <c r="I842" s="79">
        <f>COUNTIFS(Matches!$B:$B,$A842,Matches!$A:$A,CONCAT("&lt;",$E842))</f>
        <v>10</v>
      </c>
      <c r="J842" s="79">
        <f>COUNTIFS(Matches!$C:$C,$A842,Matches!$A:$A,CONCAT("&lt;",$E842))</f>
        <v>10</v>
      </c>
      <c r="K842" s="79">
        <f>COUNTIFS(Entropy!D:D,A842,Entropy!I:I,CONCAT("&lt;",E842-1))</f>
        <v>0</v>
      </c>
      <c r="L842" s="79">
        <f t="shared" si="2"/>
        <v>20</v>
      </c>
      <c r="M842" s="79">
        <f t="array" ref="M842">max(min(IF(J842+K842=11,0,XLOOKUP(B842,Quotas!$A$8:$A$14,Quotas!$E$8:$E$14)-$L842),2),0)</f>
        <v>0</v>
      </c>
      <c r="N842" s="31">
        <f t="shared" si="3"/>
        <v>0</v>
      </c>
    </row>
    <row r="843">
      <c r="A843" s="31" t="s">
        <v>281</v>
      </c>
      <c r="B843" s="9">
        <v>4.0</v>
      </c>
      <c r="C843" s="31" t="str">
        <f>VLOOKUP(A843, 'College List'!A:B, 2, FALSE)</f>
        <v>Witherbloom</v>
      </c>
      <c r="D843" s="355">
        <f>VLOOKUP(B843,Quotas!$A$8:$C$14,2,FALSE)</f>
        <v>46157.70833</v>
      </c>
      <c r="E843" s="356">
        <f>VLOOKUP(B843,Quotas!$A$8:$C$14,3,FALSE)</f>
        <v>46164.70833</v>
      </c>
      <c r="F843" s="79">
        <f>COUNTIFS(Matches!$B:$B,A843,Matches!$A:$A,CONCAT("&gt;",$D843),Matches!$A:$A,CONCAT("&lt;",$E843))</f>
        <v>2</v>
      </c>
      <c r="G843" s="79">
        <f>COUNTIFS(Matches!$C:$C,$A843,Matches!$A:$A,CONCAT("&gt;",$D843),Matches!$A:$A,CONCAT("&lt;",$E843))</f>
        <v>3</v>
      </c>
      <c r="H843" s="79">
        <f t="shared" si="1"/>
        <v>5</v>
      </c>
      <c r="I843" s="79">
        <f>COUNTIFS(Matches!$B:$B,$A843,Matches!$A:$A,CONCAT("&lt;",$E843))</f>
        <v>12</v>
      </c>
      <c r="J843" s="79">
        <f>COUNTIFS(Matches!$C:$C,$A843,Matches!$A:$A,CONCAT("&lt;",$E843))</f>
        <v>8</v>
      </c>
      <c r="K843" s="79">
        <f>COUNTIFS(Entropy!D:D,A843,Entropy!I:I,CONCAT("&lt;",E843-1))</f>
        <v>0</v>
      </c>
      <c r="L843" s="79">
        <f t="shared" si="2"/>
        <v>20</v>
      </c>
      <c r="M843" s="79">
        <f t="array" ref="M843">max(min(IF(J843+K843=11,0,XLOOKUP(B843,Quotas!$A$8:$A$14,Quotas!$E$8:$E$14)-$L843),2),0)</f>
        <v>0</v>
      </c>
      <c r="N843" s="31">
        <f t="shared" si="3"/>
        <v>0</v>
      </c>
    </row>
    <row r="844">
      <c r="A844" s="31" t="s">
        <v>406</v>
      </c>
      <c r="B844" s="9">
        <v>4.0</v>
      </c>
      <c r="C844" s="31" t="str">
        <f>VLOOKUP(A844, 'College List'!A:B, 2, FALSE)</f>
        <v>Lorehold</v>
      </c>
      <c r="D844" s="355">
        <f>VLOOKUP(B844,Quotas!$A$8:$C$14,2,FALSE)</f>
        <v>46157.70833</v>
      </c>
      <c r="E844" s="356">
        <f>VLOOKUP(B844,Quotas!$A$8:$C$14,3,FALSE)</f>
        <v>46164.70833</v>
      </c>
      <c r="F844" s="79">
        <f>COUNTIFS(Matches!$B:$B,A844,Matches!$A:$A,CONCAT("&gt;",$D844),Matches!$A:$A,CONCAT("&lt;",$E844))</f>
        <v>0</v>
      </c>
      <c r="G844" s="79">
        <f>COUNTIFS(Matches!$C:$C,$A844,Matches!$A:$A,CONCAT("&gt;",$D844),Matches!$A:$A,CONCAT("&lt;",$E844))</f>
        <v>0</v>
      </c>
      <c r="H844" s="79">
        <f t="shared" si="1"/>
        <v>0</v>
      </c>
      <c r="I844" s="79">
        <f>COUNTIFS(Matches!$B:$B,$A844,Matches!$A:$A,CONCAT("&lt;",$E844))</f>
        <v>1</v>
      </c>
      <c r="J844" s="79">
        <f>COUNTIFS(Matches!$C:$C,$A844,Matches!$A:$A,CONCAT("&lt;",$E844))</f>
        <v>8</v>
      </c>
      <c r="K844" s="79">
        <f>COUNTIFS(Entropy!D:D,A844,Entropy!I:I,CONCAT("&lt;",E844-1))</f>
        <v>3</v>
      </c>
      <c r="L844" s="79">
        <f t="shared" si="2"/>
        <v>12</v>
      </c>
      <c r="M844" s="79">
        <f t="array" ref="M844">max(min(IF(J844+K844=11,0,XLOOKUP(B844,Quotas!$A$8:$A$14,Quotas!$E$8:$E$14)-$L844),2),0)</f>
        <v>0</v>
      </c>
      <c r="N844" s="31">
        <f t="shared" si="3"/>
        <v>0</v>
      </c>
    </row>
    <row r="845">
      <c r="A845" s="31" t="s">
        <v>18</v>
      </c>
      <c r="B845" s="9">
        <v>4.0</v>
      </c>
      <c r="C845" s="31" t="str">
        <f>VLOOKUP(A845, 'College List'!A:B, 2, FALSE)</f>
        <v>Lorehold</v>
      </c>
      <c r="D845" s="355">
        <f>VLOOKUP(B845,Quotas!$A$8:$C$14,2,FALSE)</f>
        <v>46157.70833</v>
      </c>
      <c r="E845" s="356">
        <f>VLOOKUP(B845,Quotas!$A$8:$C$14,3,FALSE)</f>
        <v>46164.70833</v>
      </c>
      <c r="F845" s="79">
        <f>COUNTIFS(Matches!$B:$B,A845,Matches!$A:$A,CONCAT("&gt;",$D845),Matches!$A:$A,CONCAT("&lt;",$E845))</f>
        <v>4</v>
      </c>
      <c r="G845" s="79">
        <f>COUNTIFS(Matches!$C:$C,$A845,Matches!$A:$A,CONCAT("&gt;",$D845),Matches!$A:$A,CONCAT("&lt;",$E845))</f>
        <v>1</v>
      </c>
      <c r="H845" s="79">
        <f t="shared" si="1"/>
        <v>5</v>
      </c>
      <c r="I845" s="79">
        <f>COUNTIFS(Matches!$B:$B,$A845,Matches!$A:$A,CONCAT("&lt;",$E845))</f>
        <v>13</v>
      </c>
      <c r="J845" s="79">
        <f>COUNTIFS(Matches!$C:$C,$A845,Matches!$A:$A,CONCAT("&lt;",$E845))</f>
        <v>7</v>
      </c>
      <c r="K845" s="79">
        <f>COUNTIFS(Entropy!D:D,A845,Entropy!I:I,CONCAT("&lt;",E845-1))</f>
        <v>0</v>
      </c>
      <c r="L845" s="79">
        <f t="shared" si="2"/>
        <v>20</v>
      </c>
      <c r="M845" s="79">
        <f t="array" ref="M845">max(min(IF(J845+K845=11,0,XLOOKUP(B845,Quotas!$A$8:$A$14,Quotas!$E$8:$E$14)-$L845),2),0)</f>
        <v>0</v>
      </c>
      <c r="N845" s="31">
        <f t="shared" si="3"/>
        <v>0</v>
      </c>
    </row>
    <row r="846">
      <c r="A846" s="31" t="s">
        <v>278</v>
      </c>
      <c r="B846" s="9">
        <v>4.0</v>
      </c>
      <c r="C846" s="31" t="str">
        <f>VLOOKUP(A846, 'College List'!A:B, 2, FALSE)</f>
        <v>Lorehold</v>
      </c>
      <c r="D846" s="355">
        <f>VLOOKUP(B846,Quotas!$A$8:$C$14,2,FALSE)</f>
        <v>46157.70833</v>
      </c>
      <c r="E846" s="356">
        <f>VLOOKUP(B846,Quotas!$A$8:$C$14,3,FALSE)</f>
        <v>46164.70833</v>
      </c>
      <c r="F846" s="79">
        <f>COUNTIFS(Matches!$B:$B,A846,Matches!$A:$A,CONCAT("&gt;",$D846),Matches!$A:$A,CONCAT("&lt;",$E846))</f>
        <v>0</v>
      </c>
      <c r="G846" s="79">
        <f>COUNTIFS(Matches!$C:$C,$A846,Matches!$A:$A,CONCAT("&gt;",$D846),Matches!$A:$A,CONCAT("&lt;",$E846))</f>
        <v>2</v>
      </c>
      <c r="H846" s="79">
        <f t="shared" si="1"/>
        <v>2</v>
      </c>
      <c r="I846" s="79">
        <f>COUNTIFS(Matches!$B:$B,$A846,Matches!$A:$A,CONCAT("&lt;",$E846))</f>
        <v>4</v>
      </c>
      <c r="J846" s="79">
        <f>COUNTIFS(Matches!$C:$C,$A846,Matches!$A:$A,CONCAT("&lt;",$E846))</f>
        <v>11</v>
      </c>
      <c r="K846" s="79">
        <f>COUNTIFS(Entropy!D:D,A846,Entropy!I:I,CONCAT("&lt;",E846-1))</f>
        <v>0</v>
      </c>
      <c r="L846" s="79">
        <f t="shared" si="2"/>
        <v>15</v>
      </c>
      <c r="M846" s="79">
        <f t="array" ref="M846">max(min(IF(J846+K846=11,0,XLOOKUP(B846,Quotas!$A$8:$A$14,Quotas!$E$8:$E$14)-$L846),2),0)</f>
        <v>0</v>
      </c>
      <c r="N846" s="31">
        <f t="shared" si="3"/>
        <v>0</v>
      </c>
    </row>
    <row r="847">
      <c r="A847" s="31" t="s">
        <v>293</v>
      </c>
      <c r="B847" s="9">
        <v>4.0</v>
      </c>
      <c r="C847" s="31" t="str">
        <f>VLOOKUP(A847, 'College List'!A:B, 2, FALSE)</f>
        <v>Prismari</v>
      </c>
      <c r="D847" s="355">
        <f>VLOOKUP(B847,Quotas!$A$8:$C$14,2,FALSE)</f>
        <v>46157.70833</v>
      </c>
      <c r="E847" s="356">
        <f>VLOOKUP(B847,Quotas!$A$8:$C$14,3,FALSE)</f>
        <v>46164.70833</v>
      </c>
      <c r="F847" s="79">
        <f>COUNTIFS(Matches!$B:$B,A847,Matches!$A:$A,CONCAT("&gt;",$D847),Matches!$A:$A,CONCAT("&lt;",$E847))</f>
        <v>0</v>
      </c>
      <c r="G847" s="79">
        <f>COUNTIFS(Matches!$C:$C,$A847,Matches!$A:$A,CONCAT("&gt;",$D847),Matches!$A:$A,CONCAT("&lt;",$E847))</f>
        <v>0</v>
      </c>
      <c r="H847" s="79">
        <f t="shared" si="1"/>
        <v>0</v>
      </c>
      <c r="I847" s="79">
        <f>COUNTIFS(Matches!$B:$B,$A847,Matches!$A:$A,CONCAT("&lt;",$E847))</f>
        <v>2</v>
      </c>
      <c r="J847" s="79">
        <f>COUNTIFS(Matches!$C:$C,$A847,Matches!$A:$A,CONCAT("&lt;",$E847))</f>
        <v>4</v>
      </c>
      <c r="K847" s="79">
        <f>COUNTIFS(Entropy!D:D,A847,Entropy!I:I,CONCAT("&lt;",E847-1))</f>
        <v>7</v>
      </c>
      <c r="L847" s="79">
        <f t="shared" si="2"/>
        <v>13</v>
      </c>
      <c r="M847" s="79">
        <f t="array" ref="M847">max(min(IF(J847+K847=11,0,XLOOKUP(B847,Quotas!$A$8:$A$14,Quotas!$E$8:$E$14)-$L847),2),0)</f>
        <v>0</v>
      </c>
      <c r="N847" s="31">
        <f t="shared" si="3"/>
        <v>0</v>
      </c>
    </row>
    <row r="848">
      <c r="A848" s="31" t="s">
        <v>93</v>
      </c>
      <c r="B848" s="9">
        <v>4.0</v>
      </c>
      <c r="C848" s="31" t="str">
        <f>VLOOKUP(A848, 'College List'!A:B, 2, FALSE)</f>
        <v>Silverquill</v>
      </c>
      <c r="D848" s="355">
        <f>VLOOKUP(B848,Quotas!$A$8:$C$14,2,FALSE)</f>
        <v>46157.70833</v>
      </c>
      <c r="E848" s="356">
        <f>VLOOKUP(B848,Quotas!$A$8:$C$14,3,FALSE)</f>
        <v>46164.70833</v>
      </c>
      <c r="F848" s="79">
        <f>COUNTIFS(Matches!$B:$B,A848,Matches!$A:$A,CONCAT("&gt;",$D848),Matches!$A:$A,CONCAT("&lt;",$E848))</f>
        <v>0</v>
      </c>
      <c r="G848" s="79">
        <f>COUNTIFS(Matches!$C:$C,$A848,Matches!$A:$A,CONCAT("&gt;",$D848),Matches!$A:$A,CONCAT("&lt;",$E848))</f>
        <v>0</v>
      </c>
      <c r="H848" s="79">
        <f t="shared" si="1"/>
        <v>0</v>
      </c>
      <c r="I848" s="79">
        <f>COUNTIFS(Matches!$B:$B,$A848,Matches!$A:$A,CONCAT("&lt;",$E848))</f>
        <v>3</v>
      </c>
      <c r="J848" s="79">
        <f>COUNTIFS(Matches!$C:$C,$A848,Matches!$A:$A,CONCAT("&lt;",$E848))</f>
        <v>8</v>
      </c>
      <c r="K848" s="79">
        <f>COUNTIFS(Entropy!D:D,A848,Entropy!I:I,CONCAT("&lt;",E848-1))</f>
        <v>2</v>
      </c>
      <c r="L848" s="79">
        <f t="shared" si="2"/>
        <v>13</v>
      </c>
      <c r="M848" s="79">
        <f t="array" ref="M848">max(min(IF(J848+K848=11,0,XLOOKUP(B848,Quotas!$A$8:$A$14,Quotas!$E$8:$E$14)-$L848),2),0)</f>
        <v>2</v>
      </c>
      <c r="N848" s="31">
        <f t="shared" si="3"/>
        <v>0</v>
      </c>
    </row>
    <row r="849">
      <c r="A849" s="31" t="s">
        <v>263</v>
      </c>
      <c r="B849" s="9">
        <v>4.0</v>
      </c>
      <c r="C849" s="31" t="str">
        <f>VLOOKUP(A849, 'College List'!A:B, 2, FALSE)</f>
        <v>Prismari</v>
      </c>
      <c r="D849" s="355">
        <f>VLOOKUP(B849,Quotas!$A$8:$C$14,2,FALSE)</f>
        <v>46157.70833</v>
      </c>
      <c r="E849" s="356">
        <f>VLOOKUP(B849,Quotas!$A$8:$C$14,3,FALSE)</f>
        <v>46164.70833</v>
      </c>
      <c r="F849" s="79">
        <f>COUNTIFS(Matches!$B:$B,A849,Matches!$A:$A,CONCAT("&gt;",$D849),Matches!$A:$A,CONCAT("&lt;",$E849))</f>
        <v>3</v>
      </c>
      <c r="G849" s="79">
        <f>COUNTIFS(Matches!$C:$C,$A849,Matches!$A:$A,CONCAT("&gt;",$D849),Matches!$A:$A,CONCAT("&lt;",$E849))</f>
        <v>2</v>
      </c>
      <c r="H849" s="79">
        <f t="shared" si="1"/>
        <v>5</v>
      </c>
      <c r="I849" s="79">
        <f>COUNTIFS(Matches!$B:$B,$A849,Matches!$A:$A,CONCAT("&lt;",$E849))</f>
        <v>15</v>
      </c>
      <c r="J849" s="79">
        <f>COUNTIFS(Matches!$C:$C,$A849,Matches!$A:$A,CONCAT("&lt;",$E849))</f>
        <v>5</v>
      </c>
      <c r="K849" s="79">
        <f>COUNTIFS(Entropy!D:D,A849,Entropy!I:I,CONCAT("&lt;",E849-1))</f>
        <v>0</v>
      </c>
      <c r="L849" s="79">
        <f t="shared" si="2"/>
        <v>20</v>
      </c>
      <c r="M849" s="79">
        <f t="array" ref="M849">max(min(IF(J849+K849=11,0,XLOOKUP(B849,Quotas!$A$8:$A$14,Quotas!$E$8:$E$14)-$L849),2),0)</f>
        <v>0</v>
      </c>
      <c r="N849" s="31">
        <f t="shared" si="3"/>
        <v>0</v>
      </c>
    </row>
    <row r="850">
      <c r="A850" s="31" t="s">
        <v>359</v>
      </c>
      <c r="B850" s="9">
        <v>4.0</v>
      </c>
      <c r="C850" s="31" t="str">
        <f>VLOOKUP(A850, 'College List'!A:B, 2, FALSE)</f>
        <v>Quandrix</v>
      </c>
      <c r="D850" s="355">
        <f>VLOOKUP(B850,Quotas!$A$8:$C$14,2,FALSE)</f>
        <v>46157.70833</v>
      </c>
      <c r="E850" s="356">
        <f>VLOOKUP(B850,Quotas!$A$8:$C$14,3,FALSE)</f>
        <v>46164.70833</v>
      </c>
      <c r="F850" s="79">
        <f>COUNTIFS(Matches!$B:$B,A850,Matches!$A:$A,CONCAT("&gt;",$D850),Matches!$A:$A,CONCAT("&lt;",$E850))</f>
        <v>0</v>
      </c>
      <c r="G850" s="79">
        <f>COUNTIFS(Matches!$C:$C,$A850,Matches!$A:$A,CONCAT("&gt;",$D850),Matches!$A:$A,CONCAT("&lt;",$E850))</f>
        <v>1</v>
      </c>
      <c r="H850" s="79">
        <f t="shared" si="1"/>
        <v>1</v>
      </c>
      <c r="I850" s="79">
        <f>COUNTIFS(Matches!$B:$B,$A850,Matches!$A:$A,CONCAT("&lt;",$E850))</f>
        <v>4</v>
      </c>
      <c r="J850" s="79">
        <f>COUNTIFS(Matches!$C:$C,$A850,Matches!$A:$A,CONCAT("&lt;",$E850))</f>
        <v>11</v>
      </c>
      <c r="K850" s="79">
        <f>COUNTIFS(Entropy!D:D,A850,Entropy!I:I,CONCAT("&lt;",E850-1))</f>
        <v>0</v>
      </c>
      <c r="L850" s="79">
        <f t="shared" si="2"/>
        <v>15</v>
      </c>
      <c r="M850" s="79">
        <f t="array" ref="M850">max(min(IF(J850+K850=11,0,XLOOKUP(B850,Quotas!$A$8:$A$14,Quotas!$E$8:$E$14)-$L850),2),0)</f>
        <v>0</v>
      </c>
      <c r="N850" s="31">
        <f t="shared" si="3"/>
        <v>0</v>
      </c>
    </row>
    <row r="851">
      <c r="A851" s="31" t="s">
        <v>134</v>
      </c>
      <c r="B851" s="9">
        <v>4.0</v>
      </c>
      <c r="C851" s="31" t="str">
        <f>VLOOKUP(A851, 'College List'!A:B, 2, FALSE)</f>
        <v>Witherbloom</v>
      </c>
      <c r="D851" s="355">
        <f>VLOOKUP(B851,Quotas!$A$8:$C$14,2,FALSE)</f>
        <v>46157.70833</v>
      </c>
      <c r="E851" s="356">
        <f>VLOOKUP(B851,Quotas!$A$8:$C$14,3,FALSE)</f>
        <v>46164.70833</v>
      </c>
      <c r="F851" s="79">
        <f>COUNTIFS(Matches!$B:$B,A851,Matches!$A:$A,CONCAT("&gt;",$D851),Matches!$A:$A,CONCAT("&lt;",$E851))</f>
        <v>0</v>
      </c>
      <c r="G851" s="79">
        <f>COUNTIFS(Matches!$C:$C,$A851,Matches!$A:$A,CONCAT("&gt;",$D851),Matches!$A:$A,CONCAT("&lt;",$E851))</f>
        <v>1</v>
      </c>
      <c r="H851" s="79">
        <f t="shared" si="1"/>
        <v>1</v>
      </c>
      <c r="I851" s="79">
        <f>COUNTIFS(Matches!$B:$B,$A851,Matches!$A:$A,CONCAT("&lt;",$E851))</f>
        <v>5</v>
      </c>
      <c r="J851" s="79">
        <f>COUNTIFS(Matches!$C:$C,$A851,Matches!$A:$A,CONCAT("&lt;",$E851))</f>
        <v>11</v>
      </c>
      <c r="K851" s="79">
        <f>COUNTIFS(Entropy!D:D,A851,Entropy!I:I,CONCAT("&lt;",E851-1))</f>
        <v>0</v>
      </c>
      <c r="L851" s="79">
        <f t="shared" si="2"/>
        <v>16</v>
      </c>
      <c r="M851" s="79">
        <f t="array" ref="M851">max(min(IF(J851+K851=11,0,XLOOKUP(B851,Quotas!$A$8:$A$14,Quotas!$E$8:$E$14)-$L851),2),0)</f>
        <v>0</v>
      </c>
      <c r="N851" s="31">
        <f t="shared" si="3"/>
        <v>0</v>
      </c>
    </row>
    <row r="852">
      <c r="A852" s="31" t="s">
        <v>301</v>
      </c>
      <c r="B852" s="9">
        <v>4.0</v>
      </c>
      <c r="C852" s="31" t="str">
        <f>VLOOKUP(A852, 'College List'!A:B, 2, FALSE)</f>
        <v>Lorehold</v>
      </c>
      <c r="D852" s="355">
        <f>VLOOKUP(B852,Quotas!$A$8:$C$14,2,FALSE)</f>
        <v>46157.70833</v>
      </c>
      <c r="E852" s="356">
        <f>VLOOKUP(B852,Quotas!$A$8:$C$14,3,FALSE)</f>
        <v>46164.70833</v>
      </c>
      <c r="F852" s="79">
        <f>COUNTIFS(Matches!$B:$B,A852,Matches!$A:$A,CONCAT("&gt;",$D852),Matches!$A:$A,CONCAT("&lt;",$E852))</f>
        <v>3</v>
      </c>
      <c r="G852" s="79">
        <f>COUNTIFS(Matches!$C:$C,$A852,Matches!$A:$A,CONCAT("&gt;",$D852),Matches!$A:$A,CONCAT("&lt;",$E852))</f>
        <v>2</v>
      </c>
      <c r="H852" s="79">
        <f t="shared" si="1"/>
        <v>5</v>
      </c>
      <c r="I852" s="79">
        <f>COUNTIFS(Matches!$B:$B,$A852,Matches!$A:$A,CONCAT("&lt;",$E852))</f>
        <v>7</v>
      </c>
      <c r="J852" s="79">
        <f>COUNTIFS(Matches!$C:$C,$A852,Matches!$A:$A,CONCAT("&lt;",$E852))</f>
        <v>11</v>
      </c>
      <c r="K852" s="79">
        <f>COUNTIFS(Entropy!D:D,A852,Entropy!I:I,CONCAT("&lt;",E852-1))</f>
        <v>0</v>
      </c>
      <c r="L852" s="79">
        <f t="shared" si="2"/>
        <v>18</v>
      </c>
      <c r="M852" s="79">
        <f t="array" ref="M852">max(min(IF(J852+K852=11,0,XLOOKUP(B852,Quotas!$A$8:$A$14,Quotas!$E$8:$E$14)-$L852),2),0)</f>
        <v>0</v>
      </c>
      <c r="N852" s="31">
        <f t="shared" si="3"/>
        <v>0</v>
      </c>
    </row>
    <row r="853">
      <c r="A853" s="31" t="s">
        <v>355</v>
      </c>
      <c r="B853" s="9">
        <v>4.0</v>
      </c>
      <c r="C853" s="31" t="str">
        <f>VLOOKUP(A853, 'College List'!A:B, 2, FALSE)</f>
        <v>Prismari</v>
      </c>
      <c r="D853" s="355">
        <f>VLOOKUP(B853,Quotas!$A$8:$C$14,2,FALSE)</f>
        <v>46157.70833</v>
      </c>
      <c r="E853" s="356">
        <f>VLOOKUP(B853,Quotas!$A$8:$C$14,3,FALSE)</f>
        <v>46164.70833</v>
      </c>
      <c r="F853" s="79">
        <f>COUNTIFS(Matches!$B:$B,A853,Matches!$A:$A,CONCAT("&gt;",$D853),Matches!$A:$A,CONCAT("&lt;",$E853))</f>
        <v>1</v>
      </c>
      <c r="G853" s="79">
        <f>COUNTIFS(Matches!$C:$C,$A853,Matches!$A:$A,CONCAT("&gt;",$D853),Matches!$A:$A,CONCAT("&lt;",$E853))</f>
        <v>2</v>
      </c>
      <c r="H853" s="79">
        <f t="shared" si="1"/>
        <v>3</v>
      </c>
      <c r="I853" s="79">
        <f>COUNTIFS(Matches!$B:$B,$A853,Matches!$A:$A,CONCAT("&lt;",$E853))</f>
        <v>5</v>
      </c>
      <c r="J853" s="79">
        <f>COUNTIFS(Matches!$C:$C,$A853,Matches!$A:$A,CONCAT("&lt;",$E853))</f>
        <v>11</v>
      </c>
      <c r="K853" s="79">
        <f>COUNTIFS(Entropy!D:D,A853,Entropy!I:I,CONCAT("&lt;",E853-1))</f>
        <v>0</v>
      </c>
      <c r="L853" s="79">
        <f t="shared" si="2"/>
        <v>16</v>
      </c>
      <c r="M853" s="79">
        <f t="array" ref="M853">max(min(IF(J853+K853=11,0,XLOOKUP(B853,Quotas!$A$8:$A$14,Quotas!$E$8:$E$14)-$L853),2),0)</f>
        <v>0</v>
      </c>
      <c r="N853" s="31">
        <f t="shared" si="3"/>
        <v>0</v>
      </c>
    </row>
    <row r="854">
      <c r="A854" s="31" t="s">
        <v>277</v>
      </c>
      <c r="B854" s="9">
        <v>4.0</v>
      </c>
      <c r="C854" s="31" t="str">
        <f>VLOOKUP(A854, 'College List'!A:B, 2, FALSE)</f>
        <v>Witherbloom</v>
      </c>
      <c r="D854" s="355">
        <f>VLOOKUP(B854,Quotas!$A$8:$C$14,2,FALSE)</f>
        <v>46157.70833</v>
      </c>
      <c r="E854" s="356">
        <f>VLOOKUP(B854,Quotas!$A$8:$C$14,3,FALSE)</f>
        <v>46164.70833</v>
      </c>
      <c r="F854" s="79">
        <f>COUNTIFS(Matches!$B:$B,A854,Matches!$A:$A,CONCAT("&gt;",$D854),Matches!$A:$A,CONCAT("&lt;",$E854))</f>
        <v>4</v>
      </c>
      <c r="G854" s="79">
        <f>COUNTIFS(Matches!$C:$C,$A854,Matches!$A:$A,CONCAT("&gt;",$D854),Matches!$A:$A,CONCAT("&lt;",$E854))</f>
        <v>1</v>
      </c>
      <c r="H854" s="79">
        <f t="shared" si="1"/>
        <v>5</v>
      </c>
      <c r="I854" s="79">
        <f>COUNTIFS(Matches!$B:$B,$A854,Matches!$A:$A,CONCAT("&lt;",$E854))</f>
        <v>12</v>
      </c>
      <c r="J854" s="79">
        <f>COUNTIFS(Matches!$C:$C,$A854,Matches!$A:$A,CONCAT("&lt;",$E854))</f>
        <v>8</v>
      </c>
      <c r="K854" s="79">
        <f>COUNTIFS(Entropy!D:D,A854,Entropy!I:I,CONCAT("&lt;",E854-1))</f>
        <v>0</v>
      </c>
      <c r="L854" s="79">
        <f t="shared" si="2"/>
        <v>20</v>
      </c>
      <c r="M854" s="79">
        <f t="array" ref="M854">max(min(IF(J854+K854=11,0,XLOOKUP(B854,Quotas!$A$8:$A$14,Quotas!$E$8:$E$14)-$L854),2),0)</f>
        <v>0</v>
      </c>
      <c r="N854" s="31">
        <f t="shared" si="3"/>
        <v>0</v>
      </c>
    </row>
    <row r="855">
      <c r="A855" s="31" t="s">
        <v>248</v>
      </c>
      <c r="B855" s="9">
        <v>4.0</v>
      </c>
      <c r="C855" s="31" t="str">
        <f>VLOOKUP(A855, 'College List'!A:B, 2, FALSE)</f>
        <v>Prismari</v>
      </c>
      <c r="D855" s="355">
        <f>VLOOKUP(B855,Quotas!$A$8:$C$14,2,FALSE)</f>
        <v>46157.70833</v>
      </c>
      <c r="E855" s="356">
        <f>VLOOKUP(B855,Quotas!$A$8:$C$14,3,FALSE)</f>
        <v>46164.70833</v>
      </c>
      <c r="F855" s="79">
        <f>COUNTIFS(Matches!$B:$B,A855,Matches!$A:$A,CONCAT("&gt;",$D855),Matches!$A:$A,CONCAT("&lt;",$E855))</f>
        <v>0</v>
      </c>
      <c r="G855" s="79">
        <f>COUNTIFS(Matches!$C:$C,$A855,Matches!$A:$A,CONCAT("&gt;",$D855),Matches!$A:$A,CONCAT("&lt;",$E855))</f>
        <v>0</v>
      </c>
      <c r="H855" s="79">
        <f t="shared" si="1"/>
        <v>0</v>
      </c>
      <c r="I855" s="79">
        <f>COUNTIFS(Matches!$B:$B,$A855,Matches!$A:$A,CONCAT("&lt;",$E855))</f>
        <v>1</v>
      </c>
      <c r="J855" s="79">
        <f>COUNTIFS(Matches!$C:$C,$A855,Matches!$A:$A,CONCAT("&lt;",$E855))</f>
        <v>11</v>
      </c>
      <c r="K855" s="79">
        <f>COUNTIFS(Entropy!D:D,A855,Entropy!I:I,CONCAT("&lt;",E855-1))</f>
        <v>0</v>
      </c>
      <c r="L855" s="79">
        <f t="shared" si="2"/>
        <v>12</v>
      </c>
      <c r="M855" s="79">
        <f t="array" ref="M855">max(min(IF(J855+K855=11,0,XLOOKUP(B855,Quotas!$A$8:$A$14,Quotas!$E$8:$E$14)-$L855),2),0)</f>
        <v>0</v>
      </c>
      <c r="N855" s="31">
        <f t="shared" si="3"/>
        <v>0</v>
      </c>
    </row>
    <row r="856">
      <c r="A856" s="31" t="s">
        <v>79</v>
      </c>
      <c r="B856" s="9">
        <v>4.0</v>
      </c>
      <c r="C856" s="31" t="str">
        <f>VLOOKUP(A856, 'College List'!A:B, 2, FALSE)</f>
        <v>Prismari</v>
      </c>
      <c r="D856" s="355">
        <f>VLOOKUP(B856,Quotas!$A$8:$C$14,2,FALSE)</f>
        <v>46157.70833</v>
      </c>
      <c r="E856" s="356">
        <f>VLOOKUP(B856,Quotas!$A$8:$C$14,3,FALSE)</f>
        <v>46164.70833</v>
      </c>
      <c r="F856" s="79">
        <f>COUNTIFS(Matches!$B:$B,A856,Matches!$A:$A,CONCAT("&gt;",$D856),Matches!$A:$A,CONCAT("&lt;",$E856))</f>
        <v>4</v>
      </c>
      <c r="G856" s="79">
        <f>COUNTIFS(Matches!$C:$C,$A856,Matches!$A:$A,CONCAT("&gt;",$D856),Matches!$A:$A,CONCAT("&lt;",$E856))</f>
        <v>1</v>
      </c>
      <c r="H856" s="79">
        <f t="shared" si="1"/>
        <v>5</v>
      </c>
      <c r="I856" s="79">
        <f>COUNTIFS(Matches!$B:$B,$A856,Matches!$A:$A,CONCAT("&lt;",$E856))</f>
        <v>15</v>
      </c>
      <c r="J856" s="79">
        <f>COUNTIFS(Matches!$C:$C,$A856,Matches!$A:$A,CONCAT("&lt;",$E856))</f>
        <v>5</v>
      </c>
      <c r="K856" s="79">
        <f>COUNTIFS(Entropy!D:D,A856,Entropy!I:I,CONCAT("&lt;",E856-1))</f>
        <v>0</v>
      </c>
      <c r="L856" s="79">
        <f t="shared" si="2"/>
        <v>20</v>
      </c>
      <c r="M856" s="79">
        <f t="array" ref="M856">max(min(IF(J856+K856=11,0,XLOOKUP(B856,Quotas!$A$8:$A$14,Quotas!$E$8:$E$14)-$L856),2),0)</f>
        <v>0</v>
      </c>
      <c r="N856" s="31">
        <f t="shared" si="3"/>
        <v>0</v>
      </c>
    </row>
    <row r="857">
      <c r="A857" s="31" t="s">
        <v>342</v>
      </c>
      <c r="B857" s="9">
        <v>4.0</v>
      </c>
      <c r="C857" s="31" t="str">
        <f>VLOOKUP(A857, 'College List'!A:B, 2, FALSE)</f>
        <v>Witherbloom</v>
      </c>
      <c r="D857" s="355">
        <f>VLOOKUP(B857,Quotas!$A$8:$C$14,2,FALSE)</f>
        <v>46157.70833</v>
      </c>
      <c r="E857" s="356">
        <f>VLOOKUP(B857,Quotas!$A$8:$C$14,3,FALSE)</f>
        <v>46164.70833</v>
      </c>
      <c r="F857" s="79">
        <f>COUNTIFS(Matches!$B:$B,A857,Matches!$A:$A,CONCAT("&gt;",$D857),Matches!$A:$A,CONCAT("&lt;",$E857))</f>
        <v>3</v>
      </c>
      <c r="G857" s="79">
        <f>COUNTIFS(Matches!$C:$C,$A857,Matches!$A:$A,CONCAT("&gt;",$D857),Matches!$A:$A,CONCAT("&lt;",$E857))</f>
        <v>2</v>
      </c>
      <c r="H857" s="79">
        <f t="shared" si="1"/>
        <v>5</v>
      </c>
      <c r="I857" s="79">
        <f>COUNTIFS(Matches!$B:$B,$A857,Matches!$A:$A,CONCAT("&lt;",$E857))</f>
        <v>14</v>
      </c>
      <c r="J857" s="79">
        <f>COUNTIFS(Matches!$C:$C,$A857,Matches!$A:$A,CONCAT("&lt;",$E857))</f>
        <v>6</v>
      </c>
      <c r="K857" s="79">
        <f>COUNTIFS(Entropy!D:D,A857,Entropy!I:I,CONCAT("&lt;",E857-1))</f>
        <v>0</v>
      </c>
      <c r="L857" s="79">
        <f t="shared" si="2"/>
        <v>20</v>
      </c>
      <c r="M857" s="79">
        <f t="array" ref="M857">max(min(IF(J857+K857=11,0,XLOOKUP(B857,Quotas!$A$8:$A$14,Quotas!$E$8:$E$14)-$L857),2),0)</f>
        <v>0</v>
      </c>
      <c r="N857" s="31">
        <f t="shared" si="3"/>
        <v>0</v>
      </c>
    </row>
    <row r="858">
      <c r="A858" s="31" t="s">
        <v>162</v>
      </c>
      <c r="B858" s="9">
        <v>4.0</v>
      </c>
      <c r="C858" s="31" t="str">
        <f>VLOOKUP(A858, 'College List'!A:B, 2, FALSE)</f>
        <v>Lorehold</v>
      </c>
      <c r="D858" s="355">
        <f>VLOOKUP(B858,Quotas!$A$8:$C$14,2,FALSE)</f>
        <v>46157.70833</v>
      </c>
      <c r="E858" s="356">
        <f>VLOOKUP(B858,Quotas!$A$8:$C$14,3,FALSE)</f>
        <v>46164.70833</v>
      </c>
      <c r="F858" s="79">
        <f>COUNTIFS(Matches!$B:$B,A858,Matches!$A:$A,CONCAT("&gt;",$D858),Matches!$A:$A,CONCAT("&lt;",$E858))</f>
        <v>4</v>
      </c>
      <c r="G858" s="79">
        <f>COUNTIFS(Matches!$C:$C,$A858,Matches!$A:$A,CONCAT("&gt;",$D858),Matches!$A:$A,CONCAT("&lt;",$E858))</f>
        <v>1</v>
      </c>
      <c r="H858" s="79">
        <f t="shared" si="1"/>
        <v>5</v>
      </c>
      <c r="I858" s="79">
        <f>COUNTIFS(Matches!$B:$B,$A858,Matches!$A:$A,CONCAT("&lt;",$E858))</f>
        <v>15</v>
      </c>
      <c r="J858" s="79">
        <f>COUNTIFS(Matches!$C:$C,$A858,Matches!$A:$A,CONCAT("&lt;",$E858))</f>
        <v>5</v>
      </c>
      <c r="K858" s="79">
        <f>COUNTIFS(Entropy!D:D,A858,Entropy!I:I,CONCAT("&lt;",E858-1))</f>
        <v>0</v>
      </c>
      <c r="L858" s="79">
        <f t="shared" si="2"/>
        <v>20</v>
      </c>
      <c r="M858" s="79">
        <f t="array" ref="M858">max(min(IF(J858+K858=11,0,XLOOKUP(B858,Quotas!$A$8:$A$14,Quotas!$E$8:$E$14)-$L858),2),0)</f>
        <v>0</v>
      </c>
      <c r="N858" s="31">
        <f t="shared" si="3"/>
        <v>0</v>
      </c>
    </row>
    <row r="859">
      <c r="A859" s="9" t="s">
        <v>242</v>
      </c>
      <c r="B859" s="9">
        <v>4.0</v>
      </c>
      <c r="C859" s="31" t="str">
        <f>VLOOKUP(A859, 'College List'!A:B, 2, FALSE)</f>
        <v>Witherbloom</v>
      </c>
      <c r="D859" s="355">
        <f>VLOOKUP(B859,Quotas!$A$8:$C$14,2,FALSE)</f>
        <v>46157.70833</v>
      </c>
      <c r="E859" s="356">
        <f>VLOOKUP(B859,Quotas!$A$8:$C$14,3,FALSE)</f>
        <v>46164.70833</v>
      </c>
      <c r="F859" s="79">
        <f>COUNTIFS(Matches!$B:$B,A859,Matches!$A:$A,CONCAT("&gt;",$D859),Matches!$A:$A,CONCAT("&lt;",$E859))</f>
        <v>0</v>
      </c>
      <c r="G859" s="79">
        <f>COUNTIFS(Matches!$C:$C,$A859,Matches!$A:$A,CONCAT("&gt;",$D859),Matches!$A:$A,CONCAT("&lt;",$E859))</f>
        <v>0</v>
      </c>
      <c r="H859" s="79">
        <f t="shared" si="1"/>
        <v>0</v>
      </c>
      <c r="I859" s="79">
        <f>COUNTIFS(Matches!$B:$B,$A859,Matches!$A:$A,CONCAT("&lt;",$E859))</f>
        <v>1</v>
      </c>
      <c r="J859" s="79">
        <f>COUNTIFS(Matches!$C:$C,$A859,Matches!$A:$A,CONCAT("&lt;",$E859))</f>
        <v>4</v>
      </c>
      <c r="K859" s="79">
        <f>COUNTIFS(Entropy!D:D,A859,Entropy!I:I,CONCAT("&lt;",E859-1))</f>
        <v>7</v>
      </c>
      <c r="L859" s="79">
        <f t="shared" si="2"/>
        <v>12</v>
      </c>
      <c r="M859" s="79">
        <f t="array" ref="M859">max(min(IF(J859+K859=11,0,XLOOKUP(B859,Quotas!$A$8:$A$14,Quotas!$E$8:$E$14)-$L859),2),0)</f>
        <v>0</v>
      </c>
      <c r="N859" s="31">
        <f t="shared" si="3"/>
        <v>0</v>
      </c>
    </row>
    <row r="860">
      <c r="A860" s="31" t="s">
        <v>303</v>
      </c>
      <c r="B860" s="9">
        <v>4.0</v>
      </c>
      <c r="C860" s="31" t="str">
        <f>VLOOKUP(A860, 'College List'!A:B, 2, FALSE)</f>
        <v>Quandrix</v>
      </c>
      <c r="D860" s="355">
        <f>VLOOKUP(B860,Quotas!$A$8:$C$14,2,FALSE)</f>
        <v>46157.70833</v>
      </c>
      <c r="E860" s="356">
        <f>VLOOKUP(B860,Quotas!$A$8:$C$14,3,FALSE)</f>
        <v>46164.70833</v>
      </c>
      <c r="F860" s="79">
        <f>COUNTIFS(Matches!$B:$B,A860,Matches!$A:$A,CONCAT("&gt;",$D860),Matches!$A:$A,CONCAT("&lt;",$E860))</f>
        <v>0</v>
      </c>
      <c r="G860" s="79">
        <f>COUNTIFS(Matches!$C:$C,$A860,Matches!$A:$A,CONCAT("&gt;",$D860),Matches!$A:$A,CONCAT("&lt;",$E860))</f>
        <v>2</v>
      </c>
      <c r="H860" s="79">
        <f t="shared" si="1"/>
        <v>2</v>
      </c>
      <c r="I860" s="79">
        <f>COUNTIFS(Matches!$B:$B,$A860,Matches!$A:$A,CONCAT("&lt;",$E860))</f>
        <v>6</v>
      </c>
      <c r="J860" s="79">
        <f>COUNTIFS(Matches!$C:$C,$A860,Matches!$A:$A,CONCAT("&lt;",$E860))</f>
        <v>11</v>
      </c>
      <c r="K860" s="79">
        <f>COUNTIFS(Entropy!D:D,A860,Entropy!I:I,CONCAT("&lt;",E860-1))</f>
        <v>0</v>
      </c>
      <c r="L860" s="79">
        <f t="shared" si="2"/>
        <v>17</v>
      </c>
      <c r="M860" s="79">
        <f t="array" ref="M860">max(min(IF(J860+K860=11,0,XLOOKUP(B860,Quotas!$A$8:$A$14,Quotas!$E$8:$E$14)-$L860),2),0)</f>
        <v>0</v>
      </c>
      <c r="N860" s="31">
        <f t="shared" si="3"/>
        <v>0</v>
      </c>
    </row>
    <row r="861">
      <c r="A861" s="31" t="s">
        <v>387</v>
      </c>
      <c r="B861" s="9">
        <v>4.0</v>
      </c>
      <c r="C861" s="31" t="str">
        <f>VLOOKUP(A861, 'College List'!A:B, 2, FALSE)</f>
        <v>Prismari</v>
      </c>
      <c r="D861" s="355">
        <f>VLOOKUP(B861,Quotas!$A$8:$C$14,2,FALSE)</f>
        <v>46157.70833</v>
      </c>
      <c r="E861" s="356">
        <f>VLOOKUP(B861,Quotas!$A$8:$C$14,3,FALSE)</f>
        <v>46164.70833</v>
      </c>
      <c r="F861" s="79">
        <f>COUNTIFS(Matches!$B:$B,A861,Matches!$A:$A,CONCAT("&gt;",$D861),Matches!$A:$A,CONCAT("&lt;",$E861))</f>
        <v>2</v>
      </c>
      <c r="G861" s="79">
        <f>COUNTIFS(Matches!$C:$C,$A861,Matches!$A:$A,CONCAT("&gt;",$D861),Matches!$A:$A,CONCAT("&lt;",$E861))</f>
        <v>3</v>
      </c>
      <c r="H861" s="79">
        <f t="shared" si="1"/>
        <v>5</v>
      </c>
      <c r="I861" s="79">
        <f>COUNTIFS(Matches!$B:$B,$A861,Matches!$A:$A,CONCAT("&lt;",$E861))</f>
        <v>11</v>
      </c>
      <c r="J861" s="79">
        <f>COUNTIFS(Matches!$C:$C,$A861,Matches!$A:$A,CONCAT("&lt;",$E861))</f>
        <v>9</v>
      </c>
      <c r="K861" s="79">
        <f>COUNTIFS(Entropy!D:D,A861,Entropy!I:I,CONCAT("&lt;",E861-1))</f>
        <v>0</v>
      </c>
      <c r="L861" s="79">
        <f t="shared" si="2"/>
        <v>20</v>
      </c>
      <c r="M861" s="79">
        <f t="array" ref="M861">max(min(IF(J861+K861=11,0,XLOOKUP(B861,Quotas!$A$8:$A$14,Quotas!$E$8:$E$14)-$L861),2),0)</f>
        <v>0</v>
      </c>
      <c r="N861" s="31">
        <f t="shared" si="3"/>
        <v>0</v>
      </c>
    </row>
    <row r="862">
      <c r="A862" s="31" t="s">
        <v>143</v>
      </c>
      <c r="B862" s="9">
        <v>4.0</v>
      </c>
      <c r="C862" s="31" t="str">
        <f>VLOOKUP(A862, 'College List'!A:B, 2, FALSE)</f>
        <v>Quandrix</v>
      </c>
      <c r="D862" s="355">
        <f>VLOOKUP(B862,Quotas!$A$8:$C$14,2,FALSE)</f>
        <v>46157.70833</v>
      </c>
      <c r="E862" s="356">
        <f>VLOOKUP(B862,Quotas!$A$8:$C$14,3,FALSE)</f>
        <v>46164.70833</v>
      </c>
      <c r="F862" s="79">
        <f>COUNTIFS(Matches!$B:$B,A862,Matches!$A:$A,CONCAT("&gt;",$D862),Matches!$A:$A,CONCAT("&lt;",$E862))</f>
        <v>3</v>
      </c>
      <c r="G862" s="79">
        <f>COUNTIFS(Matches!$C:$C,$A862,Matches!$A:$A,CONCAT("&gt;",$D862),Matches!$A:$A,CONCAT("&lt;",$E862))</f>
        <v>2</v>
      </c>
      <c r="H862" s="79">
        <f t="shared" si="1"/>
        <v>5</v>
      </c>
      <c r="I862" s="79">
        <f>COUNTIFS(Matches!$B:$B,$A862,Matches!$A:$A,CONCAT("&lt;",$E862))</f>
        <v>13</v>
      </c>
      <c r="J862" s="79">
        <f>COUNTIFS(Matches!$C:$C,$A862,Matches!$A:$A,CONCAT("&lt;",$E862))</f>
        <v>7</v>
      </c>
      <c r="K862" s="79">
        <f>COUNTIFS(Entropy!D:D,A862,Entropy!I:I,CONCAT("&lt;",E862-1))</f>
        <v>0</v>
      </c>
      <c r="L862" s="79">
        <f t="shared" si="2"/>
        <v>20</v>
      </c>
      <c r="M862" s="79">
        <f t="array" ref="M862">max(min(IF(J862+K862=11,0,XLOOKUP(B862,Quotas!$A$8:$A$14,Quotas!$E$8:$E$14)-$L862),2),0)</f>
        <v>0</v>
      </c>
      <c r="N862" s="31">
        <f t="shared" si="3"/>
        <v>0</v>
      </c>
    </row>
    <row r="863">
      <c r="A863" s="31" t="s">
        <v>269</v>
      </c>
      <c r="B863" s="9">
        <v>4.0</v>
      </c>
      <c r="C863" s="31" t="str">
        <f>VLOOKUP(A863, 'College List'!A:B, 2, FALSE)</f>
        <v>Silverquill</v>
      </c>
      <c r="D863" s="355">
        <f>VLOOKUP(B863,Quotas!$A$8:$C$14,2,FALSE)</f>
        <v>46157.70833</v>
      </c>
      <c r="E863" s="356">
        <f>VLOOKUP(B863,Quotas!$A$8:$C$14,3,FALSE)</f>
        <v>46164.70833</v>
      </c>
      <c r="F863" s="79">
        <f>COUNTIFS(Matches!$B:$B,A863,Matches!$A:$A,CONCAT("&gt;",$D863),Matches!$A:$A,CONCAT("&lt;",$E863))</f>
        <v>3</v>
      </c>
      <c r="G863" s="79">
        <f>COUNTIFS(Matches!$C:$C,$A863,Matches!$A:$A,CONCAT("&gt;",$D863),Matches!$A:$A,CONCAT("&lt;",$E863))</f>
        <v>2</v>
      </c>
      <c r="H863" s="79">
        <f t="shared" si="1"/>
        <v>5</v>
      </c>
      <c r="I863" s="79">
        <f>COUNTIFS(Matches!$B:$B,$A863,Matches!$A:$A,CONCAT("&lt;",$E863))</f>
        <v>10</v>
      </c>
      <c r="J863" s="79">
        <f>COUNTIFS(Matches!$C:$C,$A863,Matches!$A:$A,CONCAT("&lt;",$E863))</f>
        <v>10</v>
      </c>
      <c r="K863" s="79">
        <f>COUNTIFS(Entropy!D:D,A863,Entropy!I:I,CONCAT("&lt;",E863-1))</f>
        <v>0</v>
      </c>
      <c r="L863" s="79">
        <f t="shared" si="2"/>
        <v>20</v>
      </c>
      <c r="M863" s="79">
        <f t="array" ref="M863">max(min(IF(J863+K863=11,0,XLOOKUP(B863,Quotas!$A$8:$A$14,Quotas!$E$8:$E$14)-$L863),2),0)</f>
        <v>0</v>
      </c>
      <c r="N863" s="31">
        <f t="shared" si="3"/>
        <v>0</v>
      </c>
    </row>
    <row r="864">
      <c r="A864" s="31" t="s">
        <v>163</v>
      </c>
      <c r="B864" s="9">
        <v>4.0</v>
      </c>
      <c r="C864" s="31" t="str">
        <f>VLOOKUP(A864, 'College List'!A:B, 2, FALSE)</f>
        <v>Quandrix</v>
      </c>
      <c r="D864" s="355">
        <f>VLOOKUP(B864,Quotas!$A$8:$C$14,2,FALSE)</f>
        <v>46157.70833</v>
      </c>
      <c r="E864" s="356">
        <f>VLOOKUP(B864,Quotas!$A$8:$C$14,3,FALSE)</f>
        <v>46164.70833</v>
      </c>
      <c r="F864" s="79">
        <f>COUNTIFS(Matches!$B:$B,A864,Matches!$A:$A,CONCAT("&gt;",$D864),Matches!$A:$A,CONCAT("&lt;",$E864))</f>
        <v>3</v>
      </c>
      <c r="G864" s="79">
        <f>COUNTIFS(Matches!$C:$C,$A864,Matches!$A:$A,CONCAT("&gt;",$D864),Matches!$A:$A,CONCAT("&lt;",$E864))</f>
        <v>2</v>
      </c>
      <c r="H864" s="79">
        <f t="shared" si="1"/>
        <v>5</v>
      </c>
      <c r="I864" s="79">
        <f>COUNTIFS(Matches!$B:$B,$A864,Matches!$A:$A,CONCAT("&lt;",$E864))</f>
        <v>10</v>
      </c>
      <c r="J864" s="79">
        <f>COUNTIFS(Matches!$C:$C,$A864,Matches!$A:$A,CONCAT("&lt;",$E864))</f>
        <v>10</v>
      </c>
      <c r="K864" s="79">
        <f>COUNTIFS(Entropy!D:D,A864,Entropy!I:I,CONCAT("&lt;",E864-1))</f>
        <v>0</v>
      </c>
      <c r="L864" s="79">
        <f t="shared" si="2"/>
        <v>20</v>
      </c>
      <c r="M864" s="79">
        <f t="array" ref="M864">max(min(IF(J864+K864=11,0,XLOOKUP(B864,Quotas!$A$8:$A$14,Quotas!$E$8:$E$14)-$L864),2),0)</f>
        <v>0</v>
      </c>
      <c r="N864" s="31">
        <f t="shared" si="3"/>
        <v>0</v>
      </c>
    </row>
    <row r="865">
      <c r="A865" s="31" t="s">
        <v>328</v>
      </c>
      <c r="B865" s="9">
        <v>4.0</v>
      </c>
      <c r="C865" s="31" t="str">
        <f>VLOOKUP(A865, 'College List'!A:B, 2, FALSE)</f>
        <v>Prismari</v>
      </c>
      <c r="D865" s="355">
        <f>VLOOKUP(B865,Quotas!$A$8:$C$14,2,FALSE)</f>
        <v>46157.70833</v>
      </c>
      <c r="E865" s="356">
        <f>VLOOKUP(B865,Quotas!$A$8:$C$14,3,FALSE)</f>
        <v>46164.70833</v>
      </c>
      <c r="F865" s="79">
        <f>COUNTIFS(Matches!$B:$B,A865,Matches!$A:$A,CONCAT("&gt;",$D865),Matches!$A:$A,CONCAT("&lt;",$E865))</f>
        <v>2</v>
      </c>
      <c r="G865" s="79">
        <f>COUNTIFS(Matches!$C:$C,$A865,Matches!$A:$A,CONCAT("&gt;",$D865),Matches!$A:$A,CONCAT("&lt;",$E865))</f>
        <v>2</v>
      </c>
      <c r="H865" s="79">
        <f t="shared" si="1"/>
        <v>4</v>
      </c>
      <c r="I865" s="79">
        <f>COUNTIFS(Matches!$B:$B,$A865,Matches!$A:$A,CONCAT("&lt;",$E865))</f>
        <v>8</v>
      </c>
      <c r="J865" s="79">
        <f>COUNTIFS(Matches!$C:$C,$A865,Matches!$A:$A,CONCAT("&lt;",$E865))</f>
        <v>11</v>
      </c>
      <c r="K865" s="79">
        <f>COUNTIFS(Entropy!D:D,A865,Entropy!I:I,CONCAT("&lt;",E865-1))</f>
        <v>0</v>
      </c>
      <c r="L865" s="79">
        <f t="shared" si="2"/>
        <v>19</v>
      </c>
      <c r="M865" s="79">
        <f t="array" ref="M865">max(min(IF(J865+K865=11,0,XLOOKUP(B865,Quotas!$A$8:$A$14,Quotas!$E$8:$E$14)-$L865),2),0)</f>
        <v>0</v>
      </c>
      <c r="N865" s="31">
        <f t="shared" si="3"/>
        <v>0</v>
      </c>
    </row>
    <row r="866">
      <c r="A866" s="31" t="s">
        <v>329</v>
      </c>
      <c r="B866" s="9">
        <v>4.0</v>
      </c>
      <c r="C866" s="31" t="str">
        <f>VLOOKUP(A866, 'College List'!A:B, 2, FALSE)</f>
        <v>Lorehold</v>
      </c>
      <c r="D866" s="355">
        <f>VLOOKUP(B866,Quotas!$A$8:$C$14,2,FALSE)</f>
        <v>46157.70833</v>
      </c>
      <c r="E866" s="356">
        <f>VLOOKUP(B866,Quotas!$A$8:$C$14,3,FALSE)</f>
        <v>46164.70833</v>
      </c>
      <c r="F866" s="79">
        <f>COUNTIFS(Matches!$B:$B,A866,Matches!$A:$A,CONCAT("&gt;",$D866),Matches!$A:$A,CONCAT("&lt;",$E866))</f>
        <v>0</v>
      </c>
      <c r="G866" s="79">
        <f>COUNTIFS(Matches!$C:$C,$A866,Matches!$A:$A,CONCAT("&gt;",$D866),Matches!$A:$A,CONCAT("&lt;",$E866))</f>
        <v>2</v>
      </c>
      <c r="H866" s="79">
        <f t="shared" si="1"/>
        <v>2</v>
      </c>
      <c r="I866" s="79">
        <f>COUNTIFS(Matches!$B:$B,$A866,Matches!$A:$A,CONCAT("&lt;",$E866))</f>
        <v>6</v>
      </c>
      <c r="J866" s="79">
        <f>COUNTIFS(Matches!$C:$C,$A866,Matches!$A:$A,CONCAT("&lt;",$E866))</f>
        <v>11</v>
      </c>
      <c r="K866" s="79">
        <f>COUNTIFS(Entropy!D:D,A866,Entropy!I:I,CONCAT("&lt;",E866-1))</f>
        <v>0</v>
      </c>
      <c r="L866" s="79">
        <f t="shared" si="2"/>
        <v>17</v>
      </c>
      <c r="M866" s="79">
        <f t="array" ref="M866">max(min(IF(J866+K866=11,0,XLOOKUP(B866,Quotas!$A$8:$A$14,Quotas!$E$8:$E$14)-$L866),2),0)</f>
        <v>0</v>
      </c>
      <c r="N866" s="31">
        <f t="shared" si="3"/>
        <v>0</v>
      </c>
    </row>
    <row r="867">
      <c r="A867" s="31" t="s">
        <v>258</v>
      </c>
      <c r="B867" s="9">
        <v>4.0</v>
      </c>
      <c r="C867" s="31" t="str">
        <f>VLOOKUP(A867, 'College List'!A:B, 2, FALSE)</f>
        <v>Witherbloom</v>
      </c>
      <c r="D867" s="355">
        <f>VLOOKUP(B867,Quotas!$A$8:$C$14,2,FALSE)</f>
        <v>46157.70833</v>
      </c>
      <c r="E867" s="356">
        <f>VLOOKUP(B867,Quotas!$A$8:$C$14,3,FALSE)</f>
        <v>46164.70833</v>
      </c>
      <c r="F867" s="79">
        <f>COUNTIFS(Matches!$B:$B,A867,Matches!$A:$A,CONCAT("&gt;",$D867),Matches!$A:$A,CONCAT("&lt;",$E867))</f>
        <v>2</v>
      </c>
      <c r="G867" s="79">
        <f>COUNTIFS(Matches!$C:$C,$A867,Matches!$A:$A,CONCAT("&gt;",$D867),Matches!$A:$A,CONCAT("&lt;",$E867))</f>
        <v>3</v>
      </c>
      <c r="H867" s="79">
        <f t="shared" si="1"/>
        <v>5</v>
      </c>
      <c r="I867" s="79">
        <f>COUNTIFS(Matches!$B:$B,$A867,Matches!$A:$A,CONCAT("&lt;",$E867))</f>
        <v>11</v>
      </c>
      <c r="J867" s="79">
        <f>COUNTIFS(Matches!$C:$C,$A867,Matches!$A:$A,CONCAT("&lt;",$E867))</f>
        <v>9</v>
      </c>
      <c r="K867" s="79">
        <f>COUNTIFS(Entropy!D:D,A867,Entropy!I:I,CONCAT("&lt;",E867-1))</f>
        <v>0</v>
      </c>
      <c r="L867" s="79">
        <f t="shared" si="2"/>
        <v>20</v>
      </c>
      <c r="M867" s="79">
        <f t="array" ref="M867">max(min(IF(J867+K867=11,0,XLOOKUP(B867,Quotas!$A$8:$A$14,Quotas!$E$8:$E$14)-$L867),2),0)</f>
        <v>0</v>
      </c>
      <c r="N867" s="31">
        <f t="shared" si="3"/>
        <v>0</v>
      </c>
    </row>
    <row r="868">
      <c r="A868" s="31" t="s">
        <v>156</v>
      </c>
      <c r="B868" s="9">
        <v>4.0</v>
      </c>
      <c r="C868" s="31" t="str">
        <f>VLOOKUP(A868, 'College List'!A:B, 2, FALSE)</f>
        <v>Silverquill</v>
      </c>
      <c r="D868" s="355">
        <f>VLOOKUP(B868,Quotas!$A$8:$C$14,2,FALSE)</f>
        <v>46157.70833</v>
      </c>
      <c r="E868" s="356">
        <f>VLOOKUP(B868,Quotas!$A$8:$C$14,3,FALSE)</f>
        <v>46164.70833</v>
      </c>
      <c r="F868" s="79">
        <f>COUNTIFS(Matches!$B:$B,A868,Matches!$A:$A,CONCAT("&gt;",$D868),Matches!$A:$A,CONCAT("&lt;",$E868))</f>
        <v>0</v>
      </c>
      <c r="G868" s="79">
        <f>COUNTIFS(Matches!$C:$C,$A868,Matches!$A:$A,CONCAT("&gt;",$D868),Matches!$A:$A,CONCAT("&lt;",$E868))</f>
        <v>0</v>
      </c>
      <c r="H868" s="79">
        <f t="shared" si="1"/>
        <v>0</v>
      </c>
      <c r="I868" s="79">
        <f>COUNTIFS(Matches!$B:$B,$A868,Matches!$A:$A,CONCAT("&lt;",$E868))</f>
        <v>0</v>
      </c>
      <c r="J868" s="79">
        <f>COUNTIFS(Matches!$C:$C,$A868,Matches!$A:$A,CONCAT("&lt;",$E868))</f>
        <v>5</v>
      </c>
      <c r="K868" s="79">
        <f>COUNTIFS(Entropy!D:D,A868,Entropy!I:I,CONCAT("&lt;",E868-1))</f>
        <v>6</v>
      </c>
      <c r="L868" s="79">
        <f t="shared" si="2"/>
        <v>11</v>
      </c>
      <c r="M868" s="79">
        <f t="array" ref="M868">max(min(IF(J868+K868=11,0,XLOOKUP(B868,Quotas!$A$8:$A$14,Quotas!$E$8:$E$14)-$L868),2),0)</f>
        <v>0</v>
      </c>
      <c r="N868" s="31">
        <f t="shared" si="3"/>
        <v>0</v>
      </c>
    </row>
    <row r="869">
      <c r="A869" s="31" t="s">
        <v>394</v>
      </c>
      <c r="B869" s="9">
        <v>4.0</v>
      </c>
      <c r="C869" s="31" t="str">
        <f>VLOOKUP(A869, 'College List'!A:B, 2, FALSE)</f>
        <v>Quandrix</v>
      </c>
      <c r="D869" s="355">
        <f>VLOOKUP(B869,Quotas!$A$8:$C$14,2,FALSE)</f>
        <v>46157.70833</v>
      </c>
      <c r="E869" s="356">
        <f>VLOOKUP(B869,Quotas!$A$8:$C$14,3,FALSE)</f>
        <v>46164.70833</v>
      </c>
      <c r="F869" s="79">
        <f>COUNTIFS(Matches!$B:$B,A869,Matches!$A:$A,CONCAT("&gt;",$D869),Matches!$A:$A,CONCAT("&lt;",$E869))</f>
        <v>0</v>
      </c>
      <c r="G869" s="79">
        <f>COUNTIFS(Matches!$C:$C,$A869,Matches!$A:$A,CONCAT("&gt;",$D869),Matches!$A:$A,CONCAT("&lt;",$E869))</f>
        <v>0</v>
      </c>
      <c r="H869" s="79">
        <f t="shared" si="1"/>
        <v>0</v>
      </c>
      <c r="I869" s="79">
        <f>COUNTIFS(Matches!$B:$B,$A869,Matches!$A:$A,CONCAT("&lt;",$E869))</f>
        <v>5</v>
      </c>
      <c r="J869" s="79">
        <f>COUNTIFS(Matches!$C:$C,$A869,Matches!$A:$A,CONCAT("&lt;",$E869))</f>
        <v>8</v>
      </c>
      <c r="K869" s="79">
        <f>COUNTIFS(Entropy!D:D,A869,Entropy!I:I,CONCAT("&lt;",E869-1))</f>
        <v>0</v>
      </c>
      <c r="L869" s="79">
        <f t="shared" si="2"/>
        <v>13</v>
      </c>
      <c r="M869" s="79">
        <f t="array" ref="M869">max(min(IF(J869+K869=11,0,XLOOKUP(B869,Quotas!$A$8:$A$14,Quotas!$E$8:$E$14)-$L869),2),0)</f>
        <v>2</v>
      </c>
      <c r="N869" s="31">
        <f t="shared" si="3"/>
        <v>0</v>
      </c>
    </row>
    <row r="870">
      <c r="A870" s="31" t="s">
        <v>110</v>
      </c>
      <c r="B870" s="9">
        <v>4.0</v>
      </c>
      <c r="C870" s="31" t="str">
        <f>VLOOKUP(A870, 'College List'!A:B, 2, FALSE)</f>
        <v>Lorehold</v>
      </c>
      <c r="D870" s="355">
        <f>VLOOKUP(B870,Quotas!$A$8:$C$14,2,FALSE)</f>
        <v>46157.70833</v>
      </c>
      <c r="E870" s="356">
        <f>VLOOKUP(B870,Quotas!$A$8:$C$14,3,FALSE)</f>
        <v>46164.70833</v>
      </c>
      <c r="F870" s="79">
        <f>COUNTIFS(Matches!$B:$B,A870,Matches!$A:$A,CONCAT("&gt;",$D870),Matches!$A:$A,CONCAT("&lt;",$E870))</f>
        <v>4</v>
      </c>
      <c r="G870" s="79">
        <f>COUNTIFS(Matches!$C:$C,$A870,Matches!$A:$A,CONCAT("&gt;",$D870),Matches!$A:$A,CONCAT("&lt;",$E870))</f>
        <v>1</v>
      </c>
      <c r="H870" s="79">
        <f t="shared" si="1"/>
        <v>5</v>
      </c>
      <c r="I870" s="79">
        <f>COUNTIFS(Matches!$B:$B,$A870,Matches!$A:$A,CONCAT("&lt;",$E870))</f>
        <v>16</v>
      </c>
      <c r="J870" s="79">
        <f>COUNTIFS(Matches!$C:$C,$A870,Matches!$A:$A,CONCAT("&lt;",$E870))</f>
        <v>4</v>
      </c>
      <c r="K870" s="79">
        <f>COUNTIFS(Entropy!D:D,A870,Entropy!I:I,CONCAT("&lt;",E870-1))</f>
        <v>0</v>
      </c>
      <c r="L870" s="79">
        <f t="shared" si="2"/>
        <v>20</v>
      </c>
      <c r="M870" s="79">
        <f t="array" ref="M870">max(min(IF(J870+K870=11,0,XLOOKUP(B870,Quotas!$A$8:$A$14,Quotas!$E$8:$E$14)-$L870),2),0)</f>
        <v>0</v>
      </c>
      <c r="N870" s="31">
        <f t="shared" si="3"/>
        <v>0</v>
      </c>
    </row>
    <row r="871">
      <c r="A871" s="31" t="s">
        <v>198</v>
      </c>
      <c r="B871" s="9">
        <v>4.0</v>
      </c>
      <c r="C871" s="31" t="str">
        <f>VLOOKUP(A871, 'College List'!A:B, 2, FALSE)</f>
        <v>Quandrix</v>
      </c>
      <c r="D871" s="355">
        <f>VLOOKUP(B871,Quotas!$A$8:$C$14,2,FALSE)</f>
        <v>46157.70833</v>
      </c>
      <c r="E871" s="356">
        <f>VLOOKUP(B871,Quotas!$A$8:$C$14,3,FALSE)</f>
        <v>46164.70833</v>
      </c>
      <c r="F871" s="79">
        <f>COUNTIFS(Matches!$B:$B,A871,Matches!$A:$A,CONCAT("&gt;",$D871),Matches!$A:$A,CONCAT("&lt;",$E871))</f>
        <v>3</v>
      </c>
      <c r="G871" s="79">
        <f>COUNTIFS(Matches!$C:$C,$A871,Matches!$A:$A,CONCAT("&gt;",$D871),Matches!$A:$A,CONCAT("&lt;",$E871))</f>
        <v>2</v>
      </c>
      <c r="H871" s="79">
        <f t="shared" si="1"/>
        <v>5</v>
      </c>
      <c r="I871" s="79">
        <f>COUNTIFS(Matches!$B:$B,$A871,Matches!$A:$A,CONCAT("&lt;",$E871))</f>
        <v>11</v>
      </c>
      <c r="J871" s="79">
        <f>COUNTIFS(Matches!$C:$C,$A871,Matches!$A:$A,CONCAT("&lt;",$E871))</f>
        <v>9</v>
      </c>
      <c r="K871" s="79">
        <f>COUNTIFS(Entropy!D:D,A871,Entropy!I:I,CONCAT("&lt;",E871-1))</f>
        <v>0</v>
      </c>
      <c r="L871" s="79">
        <f t="shared" si="2"/>
        <v>20</v>
      </c>
      <c r="M871" s="79">
        <f t="array" ref="M871">max(min(IF(J871+K871=11,0,XLOOKUP(B871,Quotas!$A$8:$A$14,Quotas!$E$8:$E$14)-$L871),2),0)</f>
        <v>0</v>
      </c>
      <c r="N871" s="31">
        <f t="shared" si="3"/>
        <v>0</v>
      </c>
    </row>
    <row r="872">
      <c r="A872" s="31" t="s">
        <v>128</v>
      </c>
      <c r="B872" s="9">
        <v>4.0</v>
      </c>
      <c r="C872" s="31" t="str">
        <f>VLOOKUP(A872, 'College List'!A:B, 2, FALSE)</f>
        <v>Quandrix</v>
      </c>
      <c r="D872" s="355">
        <f>VLOOKUP(B872,Quotas!$A$8:$C$14,2,FALSE)</f>
        <v>46157.70833</v>
      </c>
      <c r="E872" s="356">
        <f>VLOOKUP(B872,Quotas!$A$8:$C$14,3,FALSE)</f>
        <v>46164.70833</v>
      </c>
      <c r="F872" s="79">
        <f>COUNTIFS(Matches!$B:$B,A872,Matches!$A:$A,CONCAT("&gt;",$D872),Matches!$A:$A,CONCAT("&lt;",$E872))</f>
        <v>2</v>
      </c>
      <c r="G872" s="79">
        <f>COUNTIFS(Matches!$C:$C,$A872,Matches!$A:$A,CONCAT("&gt;",$D872),Matches!$A:$A,CONCAT("&lt;",$E872))</f>
        <v>2</v>
      </c>
      <c r="H872" s="79">
        <f t="shared" si="1"/>
        <v>4</v>
      </c>
      <c r="I872" s="79">
        <f>COUNTIFS(Matches!$B:$B,$A872,Matches!$A:$A,CONCAT("&lt;",$E872))</f>
        <v>9</v>
      </c>
      <c r="J872" s="79">
        <f>COUNTIFS(Matches!$C:$C,$A872,Matches!$A:$A,CONCAT("&lt;",$E872))</f>
        <v>9</v>
      </c>
      <c r="K872" s="79">
        <f>COUNTIFS(Entropy!D:D,A872,Entropy!I:I,CONCAT("&lt;",E872-1))</f>
        <v>0</v>
      </c>
      <c r="L872" s="79">
        <f t="shared" si="2"/>
        <v>18</v>
      </c>
      <c r="M872" s="79">
        <f t="array" ref="M872">max(min(IF(J872+K872=11,0,XLOOKUP(B872,Quotas!$A$8:$A$14,Quotas!$E$8:$E$14)-$L872),2),0)</f>
        <v>2</v>
      </c>
      <c r="N872" s="31">
        <f t="shared" si="3"/>
        <v>1</v>
      </c>
    </row>
    <row r="873">
      <c r="A873" s="31" t="s">
        <v>167</v>
      </c>
      <c r="B873" s="9">
        <v>4.0</v>
      </c>
      <c r="C873" s="31" t="str">
        <f>VLOOKUP(A873, 'College List'!A:B, 2, FALSE)</f>
        <v>Lorehold</v>
      </c>
      <c r="D873" s="355">
        <f>VLOOKUP(B873,Quotas!$A$8:$C$14,2,FALSE)</f>
        <v>46157.70833</v>
      </c>
      <c r="E873" s="356">
        <f>VLOOKUP(B873,Quotas!$A$8:$C$14,3,FALSE)</f>
        <v>46164.70833</v>
      </c>
      <c r="F873" s="79">
        <f>COUNTIFS(Matches!$B:$B,A873,Matches!$A:$A,CONCAT("&gt;",$D873),Matches!$A:$A,CONCAT("&lt;",$E873))</f>
        <v>4</v>
      </c>
      <c r="G873" s="79">
        <f>COUNTIFS(Matches!$C:$C,$A873,Matches!$A:$A,CONCAT("&gt;",$D873),Matches!$A:$A,CONCAT("&lt;",$E873))</f>
        <v>1</v>
      </c>
      <c r="H873" s="79">
        <f t="shared" si="1"/>
        <v>5</v>
      </c>
      <c r="I873" s="79">
        <f>COUNTIFS(Matches!$B:$B,$A873,Matches!$A:$A,CONCAT("&lt;",$E873))</f>
        <v>8</v>
      </c>
      <c r="J873" s="79">
        <f>COUNTIFS(Matches!$C:$C,$A873,Matches!$A:$A,CONCAT("&lt;",$E873))</f>
        <v>10</v>
      </c>
      <c r="K873" s="79">
        <f>COUNTIFS(Entropy!D:D,A873,Entropy!I:I,CONCAT("&lt;",E873-1))</f>
        <v>0</v>
      </c>
      <c r="L873" s="79">
        <f t="shared" si="2"/>
        <v>18</v>
      </c>
      <c r="M873" s="79">
        <f t="array" ref="M873">max(min(IF(J873+K873=11,0,XLOOKUP(B873,Quotas!$A$8:$A$14,Quotas!$E$8:$E$14)-$L873),2),0)</f>
        <v>2</v>
      </c>
      <c r="N873" s="31">
        <f t="shared" si="3"/>
        <v>1</v>
      </c>
    </row>
    <row r="874">
      <c r="A874" s="31" t="s">
        <v>226</v>
      </c>
      <c r="B874" s="9">
        <v>4.0</v>
      </c>
      <c r="C874" s="31" t="str">
        <f>VLOOKUP(A874, 'College List'!A:B, 2, FALSE)</f>
        <v>Lorehold</v>
      </c>
      <c r="D874" s="355">
        <f>VLOOKUP(B874,Quotas!$A$8:$C$14,2,FALSE)</f>
        <v>46157.70833</v>
      </c>
      <c r="E874" s="356">
        <f>VLOOKUP(B874,Quotas!$A$8:$C$14,3,FALSE)</f>
        <v>46164.70833</v>
      </c>
      <c r="F874" s="79">
        <f>COUNTIFS(Matches!$B:$B,A874,Matches!$A:$A,CONCAT("&gt;",$D874),Matches!$A:$A,CONCAT("&lt;",$E874))</f>
        <v>2</v>
      </c>
      <c r="G874" s="79">
        <f>COUNTIFS(Matches!$C:$C,$A874,Matches!$A:$A,CONCAT("&gt;",$D874),Matches!$A:$A,CONCAT("&lt;",$E874))</f>
        <v>2</v>
      </c>
      <c r="H874" s="79">
        <f t="shared" si="1"/>
        <v>4</v>
      </c>
      <c r="I874" s="79">
        <f>COUNTIFS(Matches!$B:$B,$A874,Matches!$A:$A,CONCAT("&lt;",$E874))</f>
        <v>13</v>
      </c>
      <c r="J874" s="79">
        <f>COUNTIFS(Matches!$C:$C,$A874,Matches!$A:$A,CONCAT("&lt;",$E874))</f>
        <v>5</v>
      </c>
      <c r="K874" s="79">
        <f>COUNTIFS(Entropy!D:D,A874,Entropy!I:I,CONCAT("&lt;",E874-1))</f>
        <v>0</v>
      </c>
      <c r="L874" s="79">
        <f t="shared" si="2"/>
        <v>18</v>
      </c>
      <c r="M874" s="79">
        <f t="array" ref="M874">max(min(IF(J874+K874=11,0,XLOOKUP(B874,Quotas!$A$8:$A$14,Quotas!$E$8:$E$14)-$L874),2),0)</f>
        <v>2</v>
      </c>
      <c r="N874" s="31">
        <f t="shared" si="3"/>
        <v>1</v>
      </c>
    </row>
    <row r="875">
      <c r="A875" s="31" t="s">
        <v>376</v>
      </c>
      <c r="B875" s="9">
        <v>4.0</v>
      </c>
      <c r="C875" s="31" t="str">
        <f>VLOOKUP(A875, 'College List'!A:B, 2, FALSE)</f>
        <v>Prismari</v>
      </c>
      <c r="D875" s="355">
        <f>VLOOKUP(B875,Quotas!$A$8:$C$14,2,FALSE)</f>
        <v>46157.70833</v>
      </c>
      <c r="E875" s="356">
        <f>VLOOKUP(B875,Quotas!$A$8:$C$14,3,FALSE)</f>
        <v>46164.70833</v>
      </c>
      <c r="F875" s="79">
        <f>COUNTIFS(Matches!$B:$B,A875,Matches!$A:$A,CONCAT("&gt;",$D875),Matches!$A:$A,CONCAT("&lt;",$E875))</f>
        <v>4</v>
      </c>
      <c r="G875" s="79">
        <f>COUNTIFS(Matches!$C:$C,$A875,Matches!$A:$A,CONCAT("&gt;",$D875),Matches!$A:$A,CONCAT("&lt;",$E875))</f>
        <v>2</v>
      </c>
      <c r="H875" s="79">
        <f t="shared" si="1"/>
        <v>6</v>
      </c>
      <c r="I875" s="79">
        <f>COUNTIFS(Matches!$B:$B,$A875,Matches!$A:$A,CONCAT("&lt;",$E875))</f>
        <v>12</v>
      </c>
      <c r="J875" s="79">
        <f>COUNTIFS(Matches!$C:$C,$A875,Matches!$A:$A,CONCAT("&lt;",$E875))</f>
        <v>9</v>
      </c>
      <c r="K875" s="79">
        <f>COUNTIFS(Entropy!D:D,A875,Entropy!I:I,CONCAT("&lt;",E875-1))</f>
        <v>1</v>
      </c>
      <c r="L875" s="79">
        <f t="shared" si="2"/>
        <v>22</v>
      </c>
      <c r="M875" s="79">
        <f t="array" ref="M875">max(min(IF(J875+K875=11,0,XLOOKUP(B875,Quotas!$A$8:$A$14,Quotas!$E$8:$E$14)-$L875),2),0)</f>
        <v>0</v>
      </c>
      <c r="N875" s="31">
        <f t="shared" si="3"/>
        <v>0</v>
      </c>
    </row>
    <row r="876">
      <c r="A876" s="31" t="s">
        <v>304</v>
      </c>
      <c r="B876" s="9">
        <v>4.0</v>
      </c>
      <c r="C876" s="31" t="str">
        <f>VLOOKUP(A876, 'College List'!A:B, 2, FALSE)</f>
        <v>Prismari</v>
      </c>
      <c r="D876" s="355">
        <f>VLOOKUP(B876,Quotas!$A$8:$C$14,2,FALSE)</f>
        <v>46157.70833</v>
      </c>
      <c r="E876" s="356">
        <f>VLOOKUP(B876,Quotas!$A$8:$C$14,3,FALSE)</f>
        <v>46164.70833</v>
      </c>
      <c r="F876" s="79">
        <f>COUNTIFS(Matches!$B:$B,A876,Matches!$A:$A,CONCAT("&gt;",$D876),Matches!$A:$A,CONCAT("&lt;",$E876))</f>
        <v>0</v>
      </c>
      <c r="G876" s="79">
        <f>COUNTIFS(Matches!$C:$C,$A876,Matches!$A:$A,CONCAT("&gt;",$D876),Matches!$A:$A,CONCAT("&lt;",$E876))</f>
        <v>2</v>
      </c>
      <c r="H876" s="79">
        <f t="shared" si="1"/>
        <v>2</v>
      </c>
      <c r="I876" s="79">
        <f>COUNTIFS(Matches!$B:$B,$A876,Matches!$A:$A,CONCAT("&lt;",$E876))</f>
        <v>8</v>
      </c>
      <c r="J876" s="79">
        <f>COUNTIFS(Matches!$C:$C,$A876,Matches!$A:$A,CONCAT("&lt;",$E876))</f>
        <v>7</v>
      </c>
      <c r="K876" s="79">
        <f>COUNTIFS(Entropy!D:D,A876,Entropy!I:I,CONCAT("&lt;",E876-1))</f>
        <v>0</v>
      </c>
      <c r="L876" s="79">
        <f t="shared" si="2"/>
        <v>15</v>
      </c>
      <c r="M876" s="79">
        <f t="array" ref="M876">max(min(IF(J876+K876=11,0,XLOOKUP(B876,Quotas!$A$8:$A$14,Quotas!$E$8:$E$14)-$L876),2),0)</f>
        <v>2</v>
      </c>
      <c r="N876" s="31">
        <f t="shared" si="3"/>
        <v>1</v>
      </c>
    </row>
    <row r="877">
      <c r="A877" s="31" t="s">
        <v>92</v>
      </c>
      <c r="B877" s="9">
        <v>4.0</v>
      </c>
      <c r="C877" s="31" t="str">
        <f>VLOOKUP(A877, 'College List'!A:B, 2, FALSE)</f>
        <v>Witherbloom</v>
      </c>
      <c r="D877" s="355">
        <f>VLOOKUP(B877,Quotas!$A$8:$C$14,2,FALSE)</f>
        <v>46157.70833</v>
      </c>
      <c r="E877" s="356">
        <f>VLOOKUP(B877,Quotas!$A$8:$C$14,3,FALSE)</f>
        <v>46164.70833</v>
      </c>
      <c r="F877" s="79">
        <f>COUNTIFS(Matches!$B:$B,A877,Matches!$A:$A,CONCAT("&gt;",$D877),Matches!$A:$A,CONCAT("&lt;",$E877))</f>
        <v>2</v>
      </c>
      <c r="G877" s="79">
        <f>COUNTIFS(Matches!$C:$C,$A877,Matches!$A:$A,CONCAT("&gt;",$D877),Matches!$A:$A,CONCAT("&lt;",$E877))</f>
        <v>3</v>
      </c>
      <c r="H877" s="79">
        <f t="shared" si="1"/>
        <v>5</v>
      </c>
      <c r="I877" s="79">
        <f>COUNTIFS(Matches!$B:$B,$A877,Matches!$A:$A,CONCAT("&lt;",$E877))</f>
        <v>11</v>
      </c>
      <c r="J877" s="79">
        <f>COUNTIFS(Matches!$C:$C,$A877,Matches!$A:$A,CONCAT("&lt;",$E877))</f>
        <v>9</v>
      </c>
      <c r="K877" s="79">
        <f>COUNTIFS(Entropy!D:D,A877,Entropy!I:I,CONCAT("&lt;",E877-1))</f>
        <v>0</v>
      </c>
      <c r="L877" s="79">
        <f t="shared" si="2"/>
        <v>20</v>
      </c>
      <c r="M877" s="79">
        <f t="array" ref="M877">max(min(IF(J877+K877=11,0,XLOOKUP(B877,Quotas!$A$8:$A$14,Quotas!$E$8:$E$14)-$L877),2),0)</f>
        <v>0</v>
      </c>
      <c r="N877" s="31">
        <f t="shared" si="3"/>
        <v>0</v>
      </c>
    </row>
    <row r="878">
      <c r="A878" s="31" t="s">
        <v>17</v>
      </c>
      <c r="B878" s="9">
        <v>4.0</v>
      </c>
      <c r="C878" s="31" t="str">
        <f>VLOOKUP(A878, 'College List'!A:B, 2, FALSE)</f>
        <v>Silverquill</v>
      </c>
      <c r="D878" s="355">
        <f>VLOOKUP(B878,Quotas!$A$8:$C$14,2,FALSE)</f>
        <v>46157.70833</v>
      </c>
      <c r="E878" s="356">
        <f>VLOOKUP(B878,Quotas!$A$8:$C$14,3,FALSE)</f>
        <v>46164.70833</v>
      </c>
      <c r="F878" s="79">
        <f>COUNTIFS(Matches!$B:$B,A878,Matches!$A:$A,CONCAT("&gt;",$D878),Matches!$A:$A,CONCAT("&lt;",$E878))</f>
        <v>4</v>
      </c>
      <c r="G878" s="79">
        <f>COUNTIFS(Matches!$C:$C,$A878,Matches!$A:$A,CONCAT("&gt;",$D878),Matches!$A:$A,CONCAT("&lt;",$E878))</f>
        <v>1</v>
      </c>
      <c r="H878" s="79">
        <f t="shared" si="1"/>
        <v>5</v>
      </c>
      <c r="I878" s="79">
        <f>COUNTIFS(Matches!$B:$B,$A878,Matches!$A:$A,CONCAT("&lt;",$E878))</f>
        <v>16</v>
      </c>
      <c r="J878" s="79">
        <f>COUNTIFS(Matches!$C:$C,$A878,Matches!$A:$A,CONCAT("&lt;",$E878))</f>
        <v>4</v>
      </c>
      <c r="K878" s="79">
        <f>COUNTIFS(Entropy!D:D,A878,Entropy!I:I,CONCAT("&lt;",E878-1))</f>
        <v>0</v>
      </c>
      <c r="L878" s="79">
        <f t="shared" si="2"/>
        <v>20</v>
      </c>
      <c r="M878" s="79">
        <f t="array" ref="M878">max(min(IF(J878+K878=11,0,XLOOKUP(B878,Quotas!$A$8:$A$14,Quotas!$E$8:$E$14)-$L878),2),0)</f>
        <v>0</v>
      </c>
      <c r="N878" s="31">
        <f t="shared" si="3"/>
        <v>0</v>
      </c>
    </row>
    <row r="879">
      <c r="A879" s="31" t="s">
        <v>279</v>
      </c>
      <c r="B879" s="9">
        <v>4.0</v>
      </c>
      <c r="C879" s="31" t="str">
        <f>VLOOKUP(A879, 'College List'!A:B, 2, FALSE)</f>
        <v>Prismari</v>
      </c>
      <c r="D879" s="355">
        <f>VLOOKUP(B879,Quotas!$A$8:$C$14,2,FALSE)</f>
        <v>46157.70833</v>
      </c>
      <c r="E879" s="356">
        <f>VLOOKUP(B879,Quotas!$A$8:$C$14,3,FALSE)</f>
        <v>46164.70833</v>
      </c>
      <c r="F879" s="79">
        <f>COUNTIFS(Matches!$B:$B,A879,Matches!$A:$A,CONCAT("&gt;",$D879),Matches!$A:$A,CONCAT("&lt;",$E879))</f>
        <v>1</v>
      </c>
      <c r="G879" s="79">
        <f>COUNTIFS(Matches!$C:$C,$A879,Matches!$A:$A,CONCAT("&gt;",$D879),Matches!$A:$A,CONCAT("&lt;",$E879))</f>
        <v>3</v>
      </c>
      <c r="H879" s="79">
        <f t="shared" si="1"/>
        <v>4</v>
      </c>
      <c r="I879" s="79">
        <f>COUNTIFS(Matches!$B:$B,$A879,Matches!$A:$A,CONCAT("&lt;",$E879))</f>
        <v>8</v>
      </c>
      <c r="J879" s="79">
        <f>COUNTIFS(Matches!$C:$C,$A879,Matches!$A:$A,CONCAT("&lt;",$E879))</f>
        <v>11</v>
      </c>
      <c r="K879" s="79">
        <f>COUNTIFS(Entropy!D:D,A879,Entropy!I:I,CONCAT("&lt;",E879-1))</f>
        <v>0</v>
      </c>
      <c r="L879" s="79">
        <f t="shared" si="2"/>
        <v>19</v>
      </c>
      <c r="M879" s="79">
        <f t="array" ref="M879">max(min(IF(J879+K879=11,0,XLOOKUP(B879,Quotas!$A$8:$A$14,Quotas!$E$8:$E$14)-$L879),2),0)</f>
        <v>0</v>
      </c>
      <c r="N879" s="31">
        <f t="shared" si="3"/>
        <v>0</v>
      </c>
    </row>
    <row r="880">
      <c r="A880" s="31" t="s">
        <v>88</v>
      </c>
      <c r="B880" s="9">
        <v>4.0</v>
      </c>
      <c r="C880" s="31" t="str">
        <f>VLOOKUP(A880, 'College List'!A:B, 2, FALSE)</f>
        <v>Quandrix</v>
      </c>
      <c r="D880" s="355">
        <f>VLOOKUP(B880,Quotas!$A$8:$C$14,2,FALSE)</f>
        <v>46157.70833</v>
      </c>
      <c r="E880" s="356">
        <f>VLOOKUP(B880,Quotas!$A$8:$C$14,3,FALSE)</f>
        <v>46164.70833</v>
      </c>
      <c r="F880" s="79">
        <f>COUNTIFS(Matches!$B:$B,A880,Matches!$A:$A,CONCAT("&gt;",$D880),Matches!$A:$A,CONCAT("&lt;",$E880))</f>
        <v>4</v>
      </c>
      <c r="G880" s="79">
        <f>COUNTIFS(Matches!$C:$C,$A880,Matches!$A:$A,CONCAT("&gt;",$D880),Matches!$A:$A,CONCAT("&lt;",$E880))</f>
        <v>1</v>
      </c>
      <c r="H880" s="79">
        <f t="shared" si="1"/>
        <v>5</v>
      </c>
      <c r="I880" s="79">
        <f>COUNTIFS(Matches!$B:$B,$A880,Matches!$A:$A,CONCAT("&lt;",$E880))</f>
        <v>12</v>
      </c>
      <c r="J880" s="79">
        <f>COUNTIFS(Matches!$C:$C,$A880,Matches!$A:$A,CONCAT("&lt;",$E880))</f>
        <v>8</v>
      </c>
      <c r="K880" s="79">
        <f>COUNTIFS(Entropy!D:D,A880,Entropy!I:I,CONCAT("&lt;",E880-1))</f>
        <v>0</v>
      </c>
      <c r="L880" s="79">
        <f t="shared" si="2"/>
        <v>20</v>
      </c>
      <c r="M880" s="79">
        <f t="array" ref="M880">max(min(IF(J880+K880=11,0,XLOOKUP(B880,Quotas!$A$8:$A$14,Quotas!$E$8:$E$14)-$L880),2),0)</f>
        <v>0</v>
      </c>
      <c r="N880" s="31">
        <f t="shared" si="3"/>
        <v>0</v>
      </c>
    </row>
    <row r="881">
      <c r="A881" s="31" t="s">
        <v>631</v>
      </c>
      <c r="B881" s="9">
        <v>4.0</v>
      </c>
      <c r="C881" s="31" t="str">
        <f>VLOOKUP(A881, 'College List'!A:B, 2, FALSE)</f>
        <v>Witherbloom</v>
      </c>
      <c r="D881" s="355">
        <f>VLOOKUP(B881,Quotas!$A$8:$C$14,2,FALSE)</f>
        <v>46157.70833</v>
      </c>
      <c r="E881" s="356">
        <f>VLOOKUP(B881,Quotas!$A$8:$C$14,3,FALSE)</f>
        <v>46164.70833</v>
      </c>
      <c r="F881" s="79">
        <f>COUNTIFS(Matches!$B:$B,A881,Matches!$A:$A,CONCAT("&gt;",$D881),Matches!$A:$A,CONCAT("&lt;",$E881))</f>
        <v>0</v>
      </c>
      <c r="G881" s="79">
        <f>COUNTIFS(Matches!$C:$C,$A881,Matches!$A:$A,CONCAT("&gt;",$D881),Matches!$A:$A,CONCAT("&lt;",$E881))</f>
        <v>0</v>
      </c>
      <c r="H881" s="79">
        <f t="shared" si="1"/>
        <v>0</v>
      </c>
      <c r="I881" s="79">
        <f>COUNTIFS(Matches!$B:$B,$A881,Matches!$A:$A,CONCAT("&lt;",$E881))</f>
        <v>0</v>
      </c>
      <c r="J881" s="79">
        <f>COUNTIFS(Matches!$C:$C,$A881,Matches!$A:$A,CONCAT("&lt;",$E881))</f>
        <v>0</v>
      </c>
      <c r="K881" s="79">
        <f>COUNTIFS(Entropy!D:D,A881,Entropy!I:I,CONCAT("&lt;",E881-1))</f>
        <v>11</v>
      </c>
      <c r="L881" s="79">
        <f t="shared" si="2"/>
        <v>11</v>
      </c>
      <c r="M881" s="79">
        <f t="array" ref="M881">max(min(IF(J881+K881=11,0,XLOOKUP(B881,Quotas!$A$8:$A$14,Quotas!$E$8:$E$14)-$L881),2),0)</f>
        <v>0</v>
      </c>
      <c r="N881" s="31">
        <f t="shared" si="3"/>
        <v>0</v>
      </c>
    </row>
    <row r="882">
      <c r="A882" s="31" t="s">
        <v>289</v>
      </c>
      <c r="B882" s="9">
        <v>4.0</v>
      </c>
      <c r="C882" s="31" t="str">
        <f>VLOOKUP(A882, 'College List'!A:B, 2, FALSE)</f>
        <v>Lorehold</v>
      </c>
      <c r="D882" s="355">
        <f>VLOOKUP(B882,Quotas!$A$8:$C$14,2,FALSE)</f>
        <v>46157.70833</v>
      </c>
      <c r="E882" s="356">
        <f>VLOOKUP(B882,Quotas!$A$8:$C$14,3,FALSE)</f>
        <v>46164.70833</v>
      </c>
      <c r="F882" s="79">
        <f>COUNTIFS(Matches!$B:$B,A882,Matches!$A:$A,CONCAT("&gt;",$D882),Matches!$A:$A,CONCAT("&lt;",$E882))</f>
        <v>0</v>
      </c>
      <c r="G882" s="79">
        <f>COUNTIFS(Matches!$C:$C,$A882,Matches!$A:$A,CONCAT("&gt;",$D882),Matches!$A:$A,CONCAT("&lt;",$E882))</f>
        <v>0</v>
      </c>
      <c r="H882" s="79">
        <f t="shared" si="1"/>
        <v>0</v>
      </c>
      <c r="I882" s="79">
        <f>COUNTIFS(Matches!$B:$B,$A882,Matches!$A:$A,CONCAT("&lt;",$E882))</f>
        <v>1</v>
      </c>
      <c r="J882" s="79">
        <f>COUNTIFS(Matches!$C:$C,$A882,Matches!$A:$A,CONCAT("&lt;",$E882))</f>
        <v>3</v>
      </c>
      <c r="K882" s="79">
        <f>COUNTIFS(Entropy!D:D,A882,Entropy!I:I,CONCAT("&lt;",E882-1))</f>
        <v>8</v>
      </c>
      <c r="L882" s="79">
        <f t="shared" si="2"/>
        <v>12</v>
      </c>
      <c r="M882" s="79">
        <f t="array" ref="M882">max(min(IF(J882+K882=11,0,XLOOKUP(B882,Quotas!$A$8:$A$14,Quotas!$E$8:$E$14)-$L882),2),0)</f>
        <v>0</v>
      </c>
      <c r="N882" s="31">
        <f t="shared" si="3"/>
        <v>0</v>
      </c>
    </row>
    <row r="883">
      <c r="A883" s="31" t="s">
        <v>71</v>
      </c>
      <c r="B883" s="9">
        <v>4.0</v>
      </c>
      <c r="C883" s="31" t="str">
        <f>VLOOKUP(A883, 'College List'!A:B, 2, FALSE)</f>
        <v>Lorehold</v>
      </c>
      <c r="D883" s="355">
        <f>VLOOKUP(B883,Quotas!$A$8:$C$14,2,FALSE)</f>
        <v>46157.70833</v>
      </c>
      <c r="E883" s="356">
        <f>VLOOKUP(B883,Quotas!$A$8:$C$14,3,FALSE)</f>
        <v>46164.70833</v>
      </c>
      <c r="F883" s="79">
        <f>COUNTIFS(Matches!$B:$B,A883,Matches!$A:$A,CONCAT("&gt;",$D883),Matches!$A:$A,CONCAT("&lt;",$E883))</f>
        <v>3</v>
      </c>
      <c r="G883" s="79">
        <f>COUNTIFS(Matches!$C:$C,$A883,Matches!$A:$A,CONCAT("&gt;",$D883),Matches!$A:$A,CONCAT("&lt;",$E883))</f>
        <v>2</v>
      </c>
      <c r="H883" s="79">
        <f t="shared" si="1"/>
        <v>5</v>
      </c>
      <c r="I883" s="79">
        <f>COUNTIFS(Matches!$B:$B,$A883,Matches!$A:$A,CONCAT("&lt;",$E883))</f>
        <v>12</v>
      </c>
      <c r="J883" s="79">
        <f>COUNTIFS(Matches!$C:$C,$A883,Matches!$A:$A,CONCAT("&lt;",$E883))</f>
        <v>8</v>
      </c>
      <c r="K883" s="79">
        <f>COUNTIFS(Entropy!D:D,A883,Entropy!I:I,CONCAT("&lt;",E883-1))</f>
        <v>0</v>
      </c>
      <c r="L883" s="79">
        <f t="shared" si="2"/>
        <v>20</v>
      </c>
      <c r="M883" s="79">
        <f t="array" ref="M883">max(min(IF(J883+K883=11,0,XLOOKUP(B883,Quotas!$A$8:$A$14,Quotas!$E$8:$E$14)-$L883),2),0)</f>
        <v>0</v>
      </c>
      <c r="N883" s="31">
        <f t="shared" si="3"/>
        <v>0</v>
      </c>
    </row>
    <row r="884">
      <c r="A884" s="31" t="s">
        <v>348</v>
      </c>
      <c r="B884" s="9">
        <v>4.0</v>
      </c>
      <c r="C884" s="31" t="str">
        <f>VLOOKUP(A884, 'College List'!A:B, 2, FALSE)</f>
        <v>Quandrix</v>
      </c>
      <c r="D884" s="355">
        <f>VLOOKUP(B884,Quotas!$A$8:$C$14,2,FALSE)</f>
        <v>46157.70833</v>
      </c>
      <c r="E884" s="356">
        <f>VLOOKUP(B884,Quotas!$A$8:$C$14,3,FALSE)</f>
        <v>46164.70833</v>
      </c>
      <c r="F884" s="79">
        <f>COUNTIFS(Matches!$B:$B,A884,Matches!$A:$A,CONCAT("&gt;",$D884),Matches!$A:$A,CONCAT("&lt;",$E884))</f>
        <v>0</v>
      </c>
      <c r="G884" s="79">
        <f>COUNTIFS(Matches!$C:$C,$A884,Matches!$A:$A,CONCAT("&gt;",$D884),Matches!$A:$A,CONCAT("&lt;",$E884))</f>
        <v>0</v>
      </c>
      <c r="H884" s="79">
        <f t="shared" si="1"/>
        <v>0</v>
      </c>
      <c r="I884" s="79">
        <f>COUNTIFS(Matches!$B:$B,$A884,Matches!$A:$A,CONCAT("&lt;",$E884))</f>
        <v>5</v>
      </c>
      <c r="J884" s="79">
        <f>COUNTIFS(Matches!$C:$C,$A884,Matches!$A:$A,CONCAT("&lt;",$E884))</f>
        <v>10</v>
      </c>
      <c r="K884" s="79">
        <f>COUNTIFS(Entropy!D:D,A884,Entropy!I:I,CONCAT("&lt;",E884-1))</f>
        <v>0</v>
      </c>
      <c r="L884" s="79">
        <f t="shared" si="2"/>
        <v>15</v>
      </c>
      <c r="M884" s="79">
        <f t="array" ref="M884">max(min(IF(J884+K884=11,0,XLOOKUP(B884,Quotas!$A$8:$A$14,Quotas!$E$8:$E$14)-$L884),2),0)</f>
        <v>2</v>
      </c>
      <c r="N884" s="31">
        <f t="shared" si="3"/>
        <v>0</v>
      </c>
    </row>
    <row r="885">
      <c r="A885" s="31" t="s">
        <v>164</v>
      </c>
      <c r="B885" s="9">
        <v>4.0</v>
      </c>
      <c r="C885" s="31" t="str">
        <f>VLOOKUP(A885, 'College List'!A:B, 2, FALSE)</f>
        <v>Silverquill</v>
      </c>
      <c r="D885" s="355">
        <f>VLOOKUP(B885,Quotas!$A$8:$C$14,2,FALSE)</f>
        <v>46157.70833</v>
      </c>
      <c r="E885" s="356">
        <f>VLOOKUP(B885,Quotas!$A$8:$C$14,3,FALSE)</f>
        <v>46164.70833</v>
      </c>
      <c r="F885" s="79">
        <f>COUNTIFS(Matches!$B:$B,A885,Matches!$A:$A,CONCAT("&gt;",$D885),Matches!$A:$A,CONCAT("&lt;",$E885))</f>
        <v>3</v>
      </c>
      <c r="G885" s="79">
        <f>COUNTIFS(Matches!$C:$C,$A885,Matches!$A:$A,CONCAT("&gt;",$D885),Matches!$A:$A,CONCAT("&lt;",$E885))</f>
        <v>2</v>
      </c>
      <c r="H885" s="79">
        <f t="shared" si="1"/>
        <v>5</v>
      </c>
      <c r="I885" s="79">
        <f>COUNTIFS(Matches!$B:$B,$A885,Matches!$A:$A,CONCAT("&lt;",$E885))</f>
        <v>10</v>
      </c>
      <c r="J885" s="79">
        <f>COUNTIFS(Matches!$C:$C,$A885,Matches!$A:$A,CONCAT("&lt;",$E885))</f>
        <v>10</v>
      </c>
      <c r="K885" s="79">
        <f>COUNTIFS(Entropy!D:D,A885,Entropy!I:I,CONCAT("&lt;",E885-1))</f>
        <v>0</v>
      </c>
      <c r="L885" s="79">
        <f t="shared" si="2"/>
        <v>20</v>
      </c>
      <c r="M885" s="79">
        <f t="array" ref="M885">max(min(IF(J885+K885=11,0,XLOOKUP(B885,Quotas!$A$8:$A$14,Quotas!$E$8:$E$14)-$L885),2),0)</f>
        <v>0</v>
      </c>
      <c r="N885" s="31">
        <f t="shared" si="3"/>
        <v>0</v>
      </c>
    </row>
    <row r="886">
      <c r="A886" s="31" t="s">
        <v>54</v>
      </c>
      <c r="B886" s="9">
        <v>4.0</v>
      </c>
      <c r="C886" s="31" t="str">
        <f>VLOOKUP(A886, 'College List'!A:B, 2, FALSE)</f>
        <v>Prismari</v>
      </c>
      <c r="D886" s="355">
        <f>VLOOKUP(B886,Quotas!$A$8:$C$14,2,FALSE)</f>
        <v>46157.70833</v>
      </c>
      <c r="E886" s="356">
        <f>VLOOKUP(B886,Quotas!$A$8:$C$14,3,FALSE)</f>
        <v>46164.70833</v>
      </c>
      <c r="F886" s="79">
        <f>COUNTIFS(Matches!$B:$B,A886,Matches!$A:$A,CONCAT("&gt;",$D886),Matches!$A:$A,CONCAT("&lt;",$E886))</f>
        <v>2</v>
      </c>
      <c r="G886" s="79">
        <f>COUNTIFS(Matches!$C:$C,$A886,Matches!$A:$A,CONCAT("&gt;",$D886),Matches!$A:$A,CONCAT("&lt;",$E886))</f>
        <v>3</v>
      </c>
      <c r="H886" s="79">
        <f t="shared" si="1"/>
        <v>5</v>
      </c>
      <c r="I886" s="79">
        <f>COUNTIFS(Matches!$B:$B,$A886,Matches!$A:$A,CONCAT("&lt;",$E886))</f>
        <v>12</v>
      </c>
      <c r="J886" s="79">
        <f>COUNTIFS(Matches!$C:$C,$A886,Matches!$A:$A,CONCAT("&lt;",$E886))</f>
        <v>8</v>
      </c>
      <c r="K886" s="79">
        <f>COUNTIFS(Entropy!D:D,A886,Entropy!I:I,CONCAT("&lt;",E886-1))</f>
        <v>0</v>
      </c>
      <c r="L886" s="79">
        <f t="shared" si="2"/>
        <v>20</v>
      </c>
      <c r="M886" s="79">
        <f t="array" ref="M886">max(min(IF(J886+K886=11,0,XLOOKUP(B886,Quotas!$A$8:$A$14,Quotas!$E$8:$E$14)-$L886),2),0)</f>
        <v>0</v>
      </c>
      <c r="N886" s="31">
        <f t="shared" si="3"/>
        <v>0</v>
      </c>
    </row>
    <row r="887">
      <c r="A887" s="31" t="s">
        <v>256</v>
      </c>
      <c r="B887" s="9">
        <v>4.0</v>
      </c>
      <c r="C887" s="31" t="str">
        <f>VLOOKUP(A887, 'College List'!A:B, 2, FALSE)</f>
        <v>Quandrix</v>
      </c>
      <c r="D887" s="355">
        <f>VLOOKUP(B887,Quotas!$A$8:$C$14,2,FALSE)</f>
        <v>46157.70833</v>
      </c>
      <c r="E887" s="356">
        <f>VLOOKUP(B887,Quotas!$A$8:$C$14,3,FALSE)</f>
        <v>46164.70833</v>
      </c>
      <c r="F887" s="79">
        <f>COUNTIFS(Matches!$B:$B,A887,Matches!$A:$A,CONCAT("&gt;",$D887),Matches!$A:$A,CONCAT("&lt;",$E887))</f>
        <v>5</v>
      </c>
      <c r="G887" s="79">
        <f>COUNTIFS(Matches!$C:$C,$A887,Matches!$A:$A,CONCAT("&gt;",$D887),Matches!$A:$A,CONCAT("&lt;",$E887))</f>
        <v>0</v>
      </c>
      <c r="H887" s="79">
        <f t="shared" si="1"/>
        <v>5</v>
      </c>
      <c r="I887" s="79">
        <f>COUNTIFS(Matches!$B:$B,$A887,Matches!$A:$A,CONCAT("&lt;",$E887))</f>
        <v>11</v>
      </c>
      <c r="J887" s="79">
        <f>COUNTIFS(Matches!$C:$C,$A887,Matches!$A:$A,CONCAT("&lt;",$E887))</f>
        <v>9</v>
      </c>
      <c r="K887" s="79">
        <f>COUNTIFS(Entropy!D:D,A887,Entropy!I:I,CONCAT("&lt;",E887-1))</f>
        <v>0</v>
      </c>
      <c r="L887" s="79">
        <f t="shared" si="2"/>
        <v>20</v>
      </c>
      <c r="M887" s="79">
        <f t="array" ref="M887">max(min(IF(J887+K887=11,0,XLOOKUP(B887,Quotas!$A$8:$A$14,Quotas!$E$8:$E$14)-$L887),2),0)</f>
        <v>0</v>
      </c>
      <c r="N887" s="31">
        <f t="shared" si="3"/>
        <v>0</v>
      </c>
    </row>
    <row r="888">
      <c r="A888" s="31" t="s">
        <v>137</v>
      </c>
      <c r="B888" s="9">
        <v>4.0</v>
      </c>
      <c r="C888" s="31" t="str">
        <f>VLOOKUP(A888, 'College List'!A:B, 2, FALSE)</f>
        <v>Lorehold</v>
      </c>
      <c r="D888" s="355">
        <f>VLOOKUP(B888,Quotas!$A$8:$C$14,2,FALSE)</f>
        <v>46157.70833</v>
      </c>
      <c r="E888" s="356">
        <f>VLOOKUP(B888,Quotas!$A$8:$C$14,3,FALSE)</f>
        <v>46164.70833</v>
      </c>
      <c r="F888" s="79">
        <f>COUNTIFS(Matches!$B:$B,A888,Matches!$A:$A,CONCAT("&gt;",$D888),Matches!$A:$A,CONCAT("&lt;",$E888))</f>
        <v>0</v>
      </c>
      <c r="G888" s="79">
        <f>COUNTIFS(Matches!$C:$C,$A888,Matches!$A:$A,CONCAT("&gt;",$D888),Matches!$A:$A,CONCAT("&lt;",$E888))</f>
        <v>5</v>
      </c>
      <c r="H888" s="79">
        <f t="shared" si="1"/>
        <v>5</v>
      </c>
      <c r="I888" s="79">
        <f>COUNTIFS(Matches!$B:$B,$A888,Matches!$A:$A,CONCAT("&lt;",$E888))</f>
        <v>8</v>
      </c>
      <c r="J888" s="79">
        <f>COUNTIFS(Matches!$C:$C,$A888,Matches!$A:$A,CONCAT("&lt;",$E888))</f>
        <v>11</v>
      </c>
      <c r="K888" s="79">
        <f>COUNTIFS(Entropy!D:D,A888,Entropy!I:I,CONCAT("&lt;",E888-1))</f>
        <v>0</v>
      </c>
      <c r="L888" s="79">
        <f t="shared" si="2"/>
        <v>19</v>
      </c>
      <c r="M888" s="79">
        <f t="array" ref="M888">max(min(IF(J888+K888=11,0,XLOOKUP(B888,Quotas!$A$8:$A$14,Quotas!$E$8:$E$14)-$L888),2),0)</f>
        <v>0</v>
      </c>
      <c r="N888" s="31">
        <f t="shared" si="3"/>
        <v>0</v>
      </c>
    </row>
    <row r="889">
      <c r="A889" s="31" t="s">
        <v>213</v>
      </c>
      <c r="B889" s="9">
        <v>4.0</v>
      </c>
      <c r="C889" s="31" t="str">
        <f>VLOOKUP(A889, 'College List'!A:B, 2, FALSE)</f>
        <v>Prismari</v>
      </c>
      <c r="D889" s="355">
        <f>VLOOKUP(B889,Quotas!$A$8:$C$14,2,FALSE)</f>
        <v>46157.70833</v>
      </c>
      <c r="E889" s="356">
        <f>VLOOKUP(B889,Quotas!$A$8:$C$14,3,FALSE)</f>
        <v>46164.70833</v>
      </c>
      <c r="F889" s="79">
        <f>COUNTIFS(Matches!$B:$B,A889,Matches!$A:$A,CONCAT("&gt;",$D889),Matches!$A:$A,CONCAT("&lt;",$E889))</f>
        <v>4</v>
      </c>
      <c r="G889" s="79">
        <f>COUNTIFS(Matches!$C:$C,$A889,Matches!$A:$A,CONCAT("&gt;",$D889),Matches!$A:$A,CONCAT("&lt;",$E889))</f>
        <v>1</v>
      </c>
      <c r="H889" s="79">
        <f t="shared" si="1"/>
        <v>5</v>
      </c>
      <c r="I889" s="79">
        <f>COUNTIFS(Matches!$B:$B,$A889,Matches!$A:$A,CONCAT("&lt;",$E889))</f>
        <v>14</v>
      </c>
      <c r="J889" s="79">
        <f>COUNTIFS(Matches!$C:$C,$A889,Matches!$A:$A,CONCAT("&lt;",$E889))</f>
        <v>6</v>
      </c>
      <c r="K889" s="79">
        <f>COUNTIFS(Entropy!D:D,A889,Entropy!I:I,CONCAT("&lt;",E889-1))</f>
        <v>0</v>
      </c>
      <c r="L889" s="79">
        <f t="shared" si="2"/>
        <v>20</v>
      </c>
      <c r="M889" s="79">
        <f t="array" ref="M889">max(min(IF(J889+K889=11,0,XLOOKUP(B889,Quotas!$A$8:$A$14,Quotas!$E$8:$E$14)-$L889),2),0)</f>
        <v>0</v>
      </c>
      <c r="N889" s="31">
        <f t="shared" si="3"/>
        <v>0</v>
      </c>
    </row>
    <row r="890">
      <c r="A890" s="31" t="s">
        <v>343</v>
      </c>
      <c r="B890" s="9">
        <v>4.0</v>
      </c>
      <c r="C890" s="31" t="str">
        <f>VLOOKUP(A890, 'College List'!A:B, 2, FALSE)</f>
        <v>Silverquill</v>
      </c>
      <c r="D890" s="355">
        <f>VLOOKUP(B890,Quotas!$A$8:$C$14,2,FALSE)</f>
        <v>46157.70833</v>
      </c>
      <c r="E890" s="356">
        <f>VLOOKUP(B890,Quotas!$A$8:$C$14,3,FALSE)</f>
        <v>46164.70833</v>
      </c>
      <c r="F890" s="79">
        <f>COUNTIFS(Matches!$B:$B,A890,Matches!$A:$A,CONCAT("&gt;",$D890),Matches!$A:$A,CONCAT("&lt;",$E890))</f>
        <v>2</v>
      </c>
      <c r="G890" s="79">
        <f>COUNTIFS(Matches!$C:$C,$A890,Matches!$A:$A,CONCAT("&gt;",$D890),Matches!$A:$A,CONCAT("&lt;",$E890))</f>
        <v>3</v>
      </c>
      <c r="H890" s="79">
        <f t="shared" si="1"/>
        <v>5</v>
      </c>
      <c r="I890" s="79">
        <f>COUNTIFS(Matches!$B:$B,$A890,Matches!$A:$A,CONCAT("&lt;",$E890))</f>
        <v>11</v>
      </c>
      <c r="J890" s="79">
        <f>COUNTIFS(Matches!$C:$C,$A890,Matches!$A:$A,CONCAT("&lt;",$E890))</f>
        <v>9</v>
      </c>
      <c r="K890" s="79">
        <f>COUNTIFS(Entropy!D:D,A890,Entropy!I:I,CONCAT("&lt;",E890-1))</f>
        <v>0</v>
      </c>
      <c r="L890" s="79">
        <f t="shared" si="2"/>
        <v>20</v>
      </c>
      <c r="M890" s="79">
        <f t="array" ref="M890">max(min(IF(J890+K890=11,0,XLOOKUP(B890,Quotas!$A$8:$A$14,Quotas!$E$8:$E$14)-$L890),2),0)</f>
        <v>0</v>
      </c>
      <c r="N890" s="31">
        <f t="shared" si="3"/>
        <v>0</v>
      </c>
    </row>
    <row r="891">
      <c r="A891" s="31" t="s">
        <v>326</v>
      </c>
      <c r="B891" s="9">
        <v>4.0</v>
      </c>
      <c r="C891" s="31" t="str">
        <f>VLOOKUP(A891, 'College List'!A:B, 2, FALSE)</f>
        <v>Prismari</v>
      </c>
      <c r="D891" s="355">
        <f>VLOOKUP(B891,Quotas!$A$8:$C$14,2,FALSE)</f>
        <v>46157.70833</v>
      </c>
      <c r="E891" s="356">
        <f>VLOOKUP(B891,Quotas!$A$8:$C$14,3,FALSE)</f>
        <v>46164.70833</v>
      </c>
      <c r="F891" s="79">
        <f>COUNTIFS(Matches!$B:$B,A891,Matches!$A:$A,CONCAT("&gt;",$D891),Matches!$A:$A,CONCAT("&lt;",$E891))</f>
        <v>0</v>
      </c>
      <c r="G891" s="79">
        <f>COUNTIFS(Matches!$C:$C,$A891,Matches!$A:$A,CONCAT("&gt;",$D891),Matches!$A:$A,CONCAT("&lt;",$E891))</f>
        <v>0</v>
      </c>
      <c r="H891" s="79">
        <f t="shared" si="1"/>
        <v>0</v>
      </c>
      <c r="I891" s="79">
        <f>COUNTIFS(Matches!$B:$B,$A891,Matches!$A:$A,CONCAT("&lt;",$E891))</f>
        <v>3</v>
      </c>
      <c r="J891" s="79">
        <f>COUNTIFS(Matches!$C:$C,$A891,Matches!$A:$A,CONCAT("&lt;",$E891))</f>
        <v>10</v>
      </c>
      <c r="K891" s="79">
        <f>COUNTIFS(Entropy!D:D,A891,Entropy!I:I,CONCAT("&lt;",E891-1))</f>
        <v>0</v>
      </c>
      <c r="L891" s="79">
        <f t="shared" si="2"/>
        <v>13</v>
      </c>
      <c r="M891" s="79">
        <f t="array" ref="M891">max(min(IF(J891+K891=11,0,XLOOKUP(B891,Quotas!$A$8:$A$14,Quotas!$E$8:$E$14)-$L891),2),0)</f>
        <v>2</v>
      </c>
      <c r="N891" s="31">
        <f t="shared" si="3"/>
        <v>0</v>
      </c>
    </row>
    <row r="892">
      <c r="A892" s="31" t="s">
        <v>354</v>
      </c>
      <c r="B892" s="9">
        <v>4.0</v>
      </c>
      <c r="C892" s="31" t="str">
        <f>VLOOKUP(A892, 'College List'!A:B, 2, FALSE)</f>
        <v>Silverquill</v>
      </c>
      <c r="D892" s="355">
        <f>VLOOKUP(B892,Quotas!$A$8:$C$14,2,FALSE)</f>
        <v>46157.70833</v>
      </c>
      <c r="E892" s="356">
        <f>VLOOKUP(B892,Quotas!$A$8:$C$14,3,FALSE)</f>
        <v>46164.70833</v>
      </c>
      <c r="F892" s="79">
        <f>COUNTIFS(Matches!$B:$B,A892,Matches!$A:$A,CONCAT("&gt;",$D892),Matches!$A:$A,CONCAT("&lt;",$E892))</f>
        <v>4</v>
      </c>
      <c r="G892" s="79">
        <f>COUNTIFS(Matches!$C:$C,$A892,Matches!$A:$A,CONCAT("&gt;",$D892),Matches!$A:$A,CONCAT("&lt;",$E892))</f>
        <v>1</v>
      </c>
      <c r="H892" s="79">
        <f t="shared" si="1"/>
        <v>5</v>
      </c>
      <c r="I892" s="79">
        <f>COUNTIFS(Matches!$B:$B,$A892,Matches!$A:$A,CONCAT("&lt;",$E892))</f>
        <v>8</v>
      </c>
      <c r="J892" s="79">
        <f>COUNTIFS(Matches!$C:$C,$A892,Matches!$A:$A,CONCAT("&lt;",$E892))</f>
        <v>9</v>
      </c>
      <c r="K892" s="79">
        <f>COUNTIFS(Entropy!D:D,A892,Entropy!I:I,CONCAT("&lt;",E892-1))</f>
        <v>1</v>
      </c>
      <c r="L892" s="79">
        <f t="shared" si="2"/>
        <v>18</v>
      </c>
      <c r="M892" s="79">
        <f t="array" ref="M892">max(min(IF(J892+K892=11,0,XLOOKUP(B892,Quotas!$A$8:$A$14,Quotas!$E$8:$E$14)-$L892),2),0)</f>
        <v>2</v>
      </c>
      <c r="N892" s="31">
        <f t="shared" si="3"/>
        <v>1</v>
      </c>
    </row>
    <row r="893">
      <c r="A893" s="31" t="s">
        <v>157</v>
      </c>
      <c r="B893" s="9">
        <v>4.0</v>
      </c>
      <c r="C893" s="31" t="str">
        <f>VLOOKUP(A893, 'College List'!A:B, 2, FALSE)</f>
        <v>Silverquill</v>
      </c>
      <c r="D893" s="355">
        <f>VLOOKUP(B893,Quotas!$A$8:$C$14,2,FALSE)</f>
        <v>46157.70833</v>
      </c>
      <c r="E893" s="356">
        <f>VLOOKUP(B893,Quotas!$A$8:$C$14,3,FALSE)</f>
        <v>46164.70833</v>
      </c>
      <c r="F893" s="79">
        <f>COUNTIFS(Matches!$B:$B,A893,Matches!$A:$A,CONCAT("&gt;",$D893),Matches!$A:$A,CONCAT("&lt;",$E893))</f>
        <v>0</v>
      </c>
      <c r="G893" s="79">
        <f>COUNTIFS(Matches!$C:$C,$A893,Matches!$A:$A,CONCAT("&gt;",$D893),Matches!$A:$A,CONCAT("&lt;",$E893))</f>
        <v>0</v>
      </c>
      <c r="H893" s="79">
        <f t="shared" si="1"/>
        <v>0</v>
      </c>
      <c r="I893" s="79">
        <f>COUNTIFS(Matches!$B:$B,$A893,Matches!$A:$A,CONCAT("&lt;",$E893))</f>
        <v>5</v>
      </c>
      <c r="J893" s="79">
        <f>COUNTIFS(Matches!$C:$C,$A893,Matches!$A:$A,CONCAT("&lt;",$E893))</f>
        <v>9</v>
      </c>
      <c r="K893" s="79">
        <f>COUNTIFS(Entropy!D:D,A893,Entropy!I:I,CONCAT("&lt;",E893-1))</f>
        <v>0</v>
      </c>
      <c r="L893" s="79">
        <f t="shared" si="2"/>
        <v>14</v>
      </c>
      <c r="M893" s="79">
        <f t="array" ref="M893">max(min(IF(J893+K893=11,0,XLOOKUP(B893,Quotas!$A$8:$A$14,Quotas!$E$8:$E$14)-$L893),2),0)</f>
        <v>2</v>
      </c>
      <c r="N893" s="31">
        <f t="shared" si="3"/>
        <v>0</v>
      </c>
    </row>
    <row r="894">
      <c r="A894" s="31" t="s">
        <v>352</v>
      </c>
      <c r="B894" s="9">
        <v>4.0</v>
      </c>
      <c r="C894" s="31" t="str">
        <f>VLOOKUP(A894, 'College List'!A:B, 2, FALSE)</f>
        <v>Prismari</v>
      </c>
      <c r="D894" s="355">
        <f>VLOOKUP(B894,Quotas!$A$8:$C$14,2,FALSE)</f>
        <v>46157.70833</v>
      </c>
      <c r="E894" s="356">
        <f>VLOOKUP(B894,Quotas!$A$8:$C$14,3,FALSE)</f>
        <v>46164.70833</v>
      </c>
      <c r="F894" s="79">
        <f>COUNTIFS(Matches!$B:$B,A894,Matches!$A:$A,CONCAT("&gt;",$D894),Matches!$A:$A,CONCAT("&lt;",$E894))</f>
        <v>2</v>
      </c>
      <c r="G894" s="79">
        <f>COUNTIFS(Matches!$C:$C,$A894,Matches!$A:$A,CONCAT("&gt;",$D894),Matches!$A:$A,CONCAT("&lt;",$E894))</f>
        <v>1</v>
      </c>
      <c r="H894" s="79">
        <f t="shared" si="1"/>
        <v>3</v>
      </c>
      <c r="I894" s="79">
        <f>COUNTIFS(Matches!$B:$B,$A894,Matches!$A:$A,CONCAT("&lt;",$E894))</f>
        <v>7</v>
      </c>
      <c r="J894" s="79">
        <f>COUNTIFS(Matches!$C:$C,$A894,Matches!$A:$A,CONCAT("&lt;",$E894))</f>
        <v>11</v>
      </c>
      <c r="K894" s="79">
        <f>COUNTIFS(Entropy!D:D,A894,Entropy!I:I,CONCAT("&lt;",E894-1))</f>
        <v>0</v>
      </c>
      <c r="L894" s="79">
        <f t="shared" si="2"/>
        <v>18</v>
      </c>
      <c r="M894" s="79">
        <f t="array" ref="M894">max(min(IF(J894+K894=11,0,XLOOKUP(B894,Quotas!$A$8:$A$14,Quotas!$E$8:$E$14)-$L894),2),0)</f>
        <v>0</v>
      </c>
      <c r="N894" s="31">
        <f t="shared" si="3"/>
        <v>0</v>
      </c>
    </row>
    <row r="895">
      <c r="A895" s="31" t="s">
        <v>245</v>
      </c>
      <c r="B895" s="9">
        <v>4.0</v>
      </c>
      <c r="C895" s="31" t="str">
        <f>VLOOKUP(A895, 'College List'!A:B, 2, FALSE)</f>
        <v>Witherbloom</v>
      </c>
      <c r="D895" s="355">
        <f>VLOOKUP(B895,Quotas!$A$8:$C$14,2,FALSE)</f>
        <v>46157.70833</v>
      </c>
      <c r="E895" s="356">
        <f>VLOOKUP(B895,Quotas!$A$8:$C$14,3,FALSE)</f>
        <v>46164.70833</v>
      </c>
      <c r="F895" s="79">
        <f>COUNTIFS(Matches!$B:$B,A895,Matches!$A:$A,CONCAT("&gt;",$D895),Matches!$A:$A,CONCAT("&lt;",$E895))</f>
        <v>3</v>
      </c>
      <c r="G895" s="79">
        <f>COUNTIFS(Matches!$C:$C,$A895,Matches!$A:$A,CONCAT("&gt;",$D895),Matches!$A:$A,CONCAT("&lt;",$E895))</f>
        <v>2</v>
      </c>
      <c r="H895" s="79">
        <f t="shared" si="1"/>
        <v>5</v>
      </c>
      <c r="I895" s="79">
        <f>COUNTIFS(Matches!$B:$B,$A895,Matches!$A:$A,CONCAT("&lt;",$E895))</f>
        <v>12</v>
      </c>
      <c r="J895" s="79">
        <f>COUNTIFS(Matches!$C:$C,$A895,Matches!$A:$A,CONCAT("&lt;",$E895))</f>
        <v>8</v>
      </c>
      <c r="K895" s="79">
        <f>COUNTIFS(Entropy!D:D,A895,Entropy!I:I,CONCAT("&lt;",E895-1))</f>
        <v>0</v>
      </c>
      <c r="L895" s="79">
        <f t="shared" si="2"/>
        <v>20</v>
      </c>
      <c r="M895" s="79">
        <f t="array" ref="M895">max(min(IF(J895+K895=11,0,XLOOKUP(B895,Quotas!$A$8:$A$14,Quotas!$E$8:$E$14)-$L895),2),0)</f>
        <v>0</v>
      </c>
      <c r="N895" s="31">
        <f t="shared" si="3"/>
        <v>0</v>
      </c>
    </row>
    <row r="896">
      <c r="A896" s="31" t="s">
        <v>132</v>
      </c>
      <c r="B896" s="9">
        <v>4.0</v>
      </c>
      <c r="C896" s="31" t="str">
        <f>VLOOKUP(A896, 'College List'!A:B, 2, FALSE)</f>
        <v>Quandrix</v>
      </c>
      <c r="D896" s="355">
        <f>VLOOKUP(B896,Quotas!$A$8:$C$14,2,FALSE)</f>
        <v>46157.70833</v>
      </c>
      <c r="E896" s="356">
        <f>VLOOKUP(B896,Quotas!$A$8:$C$14,3,FALSE)</f>
        <v>46164.70833</v>
      </c>
      <c r="F896" s="79">
        <f>COUNTIFS(Matches!$B:$B,A896,Matches!$A:$A,CONCAT("&gt;",$D896),Matches!$A:$A,CONCAT("&lt;",$E896))</f>
        <v>1</v>
      </c>
      <c r="G896" s="79">
        <f>COUNTIFS(Matches!$C:$C,$A896,Matches!$A:$A,CONCAT("&gt;",$D896),Matches!$A:$A,CONCAT("&lt;",$E896))</f>
        <v>3</v>
      </c>
      <c r="H896" s="79">
        <f t="shared" si="1"/>
        <v>4</v>
      </c>
      <c r="I896" s="79">
        <f>COUNTIFS(Matches!$B:$B,$A896,Matches!$A:$A,CONCAT("&lt;",$E896))</f>
        <v>8</v>
      </c>
      <c r="J896" s="79">
        <f>COUNTIFS(Matches!$C:$C,$A896,Matches!$A:$A,CONCAT("&lt;",$E896))</f>
        <v>9</v>
      </c>
      <c r="K896" s="79">
        <f>COUNTIFS(Entropy!D:D,A896,Entropy!I:I,CONCAT("&lt;",E896-1))</f>
        <v>0</v>
      </c>
      <c r="L896" s="79">
        <f t="shared" si="2"/>
        <v>17</v>
      </c>
      <c r="M896" s="79">
        <f t="array" ref="M896">max(min(IF(J896+K896=11,0,XLOOKUP(B896,Quotas!$A$8:$A$14,Quotas!$E$8:$E$14)-$L896),2),0)</f>
        <v>2</v>
      </c>
      <c r="N896" s="31">
        <f t="shared" si="3"/>
        <v>1</v>
      </c>
    </row>
    <row r="897">
      <c r="A897" s="31" t="s">
        <v>331</v>
      </c>
      <c r="B897" s="9">
        <v>4.0</v>
      </c>
      <c r="C897" s="31" t="str">
        <f>VLOOKUP(A897, 'College List'!A:B, 2, FALSE)</f>
        <v>Silverquill</v>
      </c>
      <c r="D897" s="355">
        <f>VLOOKUP(B897,Quotas!$A$8:$C$14,2,FALSE)</f>
        <v>46157.70833</v>
      </c>
      <c r="E897" s="356">
        <f>VLOOKUP(B897,Quotas!$A$8:$C$14,3,FALSE)</f>
        <v>46164.70833</v>
      </c>
      <c r="F897" s="79">
        <f>COUNTIFS(Matches!$B:$B,A897,Matches!$A:$A,CONCAT("&gt;",$D897),Matches!$A:$A,CONCAT("&lt;",$E897))</f>
        <v>1</v>
      </c>
      <c r="G897" s="79">
        <f>COUNTIFS(Matches!$C:$C,$A897,Matches!$A:$A,CONCAT("&gt;",$D897),Matches!$A:$A,CONCAT("&lt;",$E897))</f>
        <v>5</v>
      </c>
      <c r="H897" s="79">
        <f t="shared" si="1"/>
        <v>6</v>
      </c>
      <c r="I897" s="79">
        <f>COUNTIFS(Matches!$B:$B,$A897,Matches!$A:$A,CONCAT("&lt;",$E897))</f>
        <v>10</v>
      </c>
      <c r="J897" s="79">
        <f>COUNTIFS(Matches!$C:$C,$A897,Matches!$A:$A,CONCAT("&lt;",$E897))</f>
        <v>10</v>
      </c>
      <c r="K897" s="79">
        <f>COUNTIFS(Entropy!D:D,A897,Entropy!I:I,CONCAT("&lt;",E897-1))</f>
        <v>0</v>
      </c>
      <c r="L897" s="79">
        <f t="shared" si="2"/>
        <v>20</v>
      </c>
      <c r="M897" s="79">
        <f t="array" ref="M897">max(min(IF(J897+K897=11,0,XLOOKUP(B897,Quotas!$A$8:$A$14,Quotas!$E$8:$E$14)-$L897),2),0)</f>
        <v>0</v>
      </c>
      <c r="N897" s="31">
        <f t="shared" si="3"/>
        <v>0</v>
      </c>
    </row>
    <row r="898">
      <c r="A898" s="31" t="s">
        <v>635</v>
      </c>
      <c r="B898" s="9">
        <v>4.0</v>
      </c>
      <c r="C898" s="31" t="str">
        <f>VLOOKUP(A898, 'College List'!A:B, 2, FALSE)</f>
        <v>Lorehold</v>
      </c>
      <c r="D898" s="355">
        <f>VLOOKUP(B898,Quotas!$A$8:$C$14,2,FALSE)</f>
        <v>46157.70833</v>
      </c>
      <c r="E898" s="356">
        <f>VLOOKUP(B898,Quotas!$A$8:$C$14,3,FALSE)</f>
        <v>46164.70833</v>
      </c>
      <c r="F898" s="79">
        <f>COUNTIFS(Matches!$B:$B,A898,Matches!$A:$A,CONCAT("&gt;",$D898),Matches!$A:$A,CONCAT("&lt;",$E898))</f>
        <v>0</v>
      </c>
      <c r="G898" s="79">
        <f>COUNTIFS(Matches!$C:$C,$A898,Matches!$A:$A,CONCAT("&gt;",$D898),Matches!$A:$A,CONCAT("&lt;",$E898))</f>
        <v>0</v>
      </c>
      <c r="H898" s="79">
        <f t="shared" si="1"/>
        <v>0</v>
      </c>
      <c r="I898" s="79">
        <f>COUNTIFS(Matches!$B:$B,$A898,Matches!$A:$A,CONCAT("&lt;",$E898))</f>
        <v>0</v>
      </c>
      <c r="J898" s="79">
        <f>COUNTIFS(Matches!$C:$C,$A898,Matches!$A:$A,CONCAT("&lt;",$E898))</f>
        <v>0</v>
      </c>
      <c r="K898" s="79">
        <f>COUNTIFS(Entropy!D:D,A898,Entropy!I:I,CONCAT("&lt;",E898-1))</f>
        <v>11</v>
      </c>
      <c r="L898" s="79">
        <f t="shared" si="2"/>
        <v>11</v>
      </c>
      <c r="M898" s="79">
        <f t="array" ref="M898">max(min(IF(J898+K898=11,0,XLOOKUP(B898,Quotas!$A$8:$A$14,Quotas!$E$8:$E$14)-$L898),2),0)</f>
        <v>0</v>
      </c>
      <c r="N898" s="31">
        <f t="shared" si="3"/>
        <v>0</v>
      </c>
    </row>
    <row r="899">
      <c r="A899" s="31" t="s">
        <v>324</v>
      </c>
      <c r="B899" s="9">
        <v>4.0</v>
      </c>
      <c r="C899" s="31" t="str">
        <f>VLOOKUP(A899, 'College List'!A:B, 2, FALSE)</f>
        <v>Lorehold</v>
      </c>
      <c r="D899" s="355">
        <f>VLOOKUP(B899,Quotas!$A$8:$C$14,2,FALSE)</f>
        <v>46157.70833</v>
      </c>
      <c r="E899" s="356">
        <f>VLOOKUP(B899,Quotas!$A$8:$C$14,3,FALSE)</f>
        <v>46164.70833</v>
      </c>
      <c r="F899" s="79">
        <f>COUNTIFS(Matches!$B:$B,A899,Matches!$A:$A,CONCAT("&gt;",$D899),Matches!$A:$A,CONCAT("&lt;",$E899))</f>
        <v>0</v>
      </c>
      <c r="G899" s="79">
        <f>COUNTIFS(Matches!$C:$C,$A899,Matches!$A:$A,CONCAT("&gt;",$D899),Matches!$A:$A,CONCAT("&lt;",$E899))</f>
        <v>2</v>
      </c>
      <c r="H899" s="79">
        <f t="shared" si="1"/>
        <v>2</v>
      </c>
      <c r="I899" s="79">
        <f>COUNTIFS(Matches!$B:$B,$A899,Matches!$A:$A,CONCAT("&lt;",$E899))</f>
        <v>9</v>
      </c>
      <c r="J899" s="79">
        <f>COUNTIFS(Matches!$C:$C,$A899,Matches!$A:$A,CONCAT("&lt;",$E899))</f>
        <v>8</v>
      </c>
      <c r="K899" s="79">
        <f>COUNTIFS(Entropy!D:D,A899,Entropy!I:I,CONCAT("&lt;",E899-1))</f>
        <v>0</v>
      </c>
      <c r="L899" s="79">
        <f t="shared" si="2"/>
        <v>17</v>
      </c>
      <c r="M899" s="79">
        <f t="array" ref="M899">max(min(IF(J899+K899=11,0,XLOOKUP(B899,Quotas!$A$8:$A$14,Quotas!$E$8:$E$14)-$L899),2),0)</f>
        <v>2</v>
      </c>
      <c r="N899" s="31">
        <f t="shared" si="3"/>
        <v>1</v>
      </c>
    </row>
    <row r="900">
      <c r="A900" s="31" t="s">
        <v>346</v>
      </c>
      <c r="B900" s="9">
        <v>4.0</v>
      </c>
      <c r="C900" s="31" t="str">
        <f>VLOOKUP(A900, 'College List'!A:B, 2, FALSE)</f>
        <v>Silverquill</v>
      </c>
      <c r="D900" s="355">
        <f>VLOOKUP(B900,Quotas!$A$8:$C$14,2,FALSE)</f>
        <v>46157.70833</v>
      </c>
      <c r="E900" s="356">
        <f>VLOOKUP(B900,Quotas!$A$8:$C$14,3,FALSE)</f>
        <v>46164.70833</v>
      </c>
      <c r="F900" s="79">
        <f>COUNTIFS(Matches!$B:$B,A900,Matches!$A:$A,CONCAT("&gt;",$D900),Matches!$A:$A,CONCAT("&lt;",$E900))</f>
        <v>4</v>
      </c>
      <c r="G900" s="79">
        <f>COUNTIFS(Matches!$C:$C,$A900,Matches!$A:$A,CONCAT("&gt;",$D900),Matches!$A:$A,CONCAT("&lt;",$E900))</f>
        <v>2</v>
      </c>
      <c r="H900" s="79">
        <f t="shared" si="1"/>
        <v>6</v>
      </c>
      <c r="I900" s="79">
        <f>COUNTIFS(Matches!$B:$B,$A900,Matches!$A:$A,CONCAT("&lt;",$E900))</f>
        <v>11</v>
      </c>
      <c r="J900" s="79">
        <f>COUNTIFS(Matches!$C:$C,$A900,Matches!$A:$A,CONCAT("&lt;",$E900))</f>
        <v>8</v>
      </c>
      <c r="K900" s="79">
        <f>COUNTIFS(Entropy!D:D,A900,Entropy!I:I,CONCAT("&lt;",E900-1))</f>
        <v>0</v>
      </c>
      <c r="L900" s="79">
        <f t="shared" si="2"/>
        <v>19</v>
      </c>
      <c r="M900" s="79">
        <f t="array" ref="M900">max(min(IF(J900+K900=11,0,XLOOKUP(B900,Quotas!$A$8:$A$14,Quotas!$E$8:$E$14)-$L900),2),0)</f>
        <v>1</v>
      </c>
      <c r="N900" s="31">
        <f t="shared" si="3"/>
        <v>0.5</v>
      </c>
    </row>
    <row r="901">
      <c r="A901" s="31" t="s">
        <v>125</v>
      </c>
      <c r="B901" s="9">
        <v>4.0</v>
      </c>
      <c r="C901" s="31" t="str">
        <f>VLOOKUP(A901, 'College List'!A:B, 2, FALSE)</f>
        <v>Prismari</v>
      </c>
      <c r="D901" s="355">
        <f>VLOOKUP(B901,Quotas!$A$8:$C$14,2,FALSE)</f>
        <v>46157.70833</v>
      </c>
      <c r="E901" s="356">
        <f>VLOOKUP(B901,Quotas!$A$8:$C$14,3,FALSE)</f>
        <v>46164.70833</v>
      </c>
      <c r="F901" s="79">
        <f>COUNTIFS(Matches!$B:$B,A901,Matches!$A:$A,CONCAT("&gt;",$D901),Matches!$A:$A,CONCAT("&lt;",$E901))</f>
        <v>1</v>
      </c>
      <c r="G901" s="79">
        <f>COUNTIFS(Matches!$C:$C,$A901,Matches!$A:$A,CONCAT("&gt;",$D901),Matches!$A:$A,CONCAT("&lt;",$E901))</f>
        <v>3</v>
      </c>
      <c r="H901" s="79">
        <f t="shared" si="1"/>
        <v>4</v>
      </c>
      <c r="I901" s="79">
        <f>COUNTIFS(Matches!$B:$B,$A901,Matches!$A:$A,CONCAT("&lt;",$E901))</f>
        <v>6</v>
      </c>
      <c r="J901" s="79">
        <f>COUNTIFS(Matches!$C:$C,$A901,Matches!$A:$A,CONCAT("&lt;",$E901))</f>
        <v>11</v>
      </c>
      <c r="K901" s="79">
        <f>COUNTIFS(Entropy!D:D,A901,Entropy!I:I,CONCAT("&lt;",E901-1))</f>
        <v>0</v>
      </c>
      <c r="L901" s="79">
        <f t="shared" si="2"/>
        <v>17</v>
      </c>
      <c r="M901" s="79">
        <f t="array" ref="M901">max(min(IF(J901+K901=11,0,XLOOKUP(B901,Quotas!$A$8:$A$14,Quotas!$E$8:$E$14)-$L901),2),0)</f>
        <v>0</v>
      </c>
      <c r="N901" s="31">
        <f t="shared" si="3"/>
        <v>0</v>
      </c>
    </row>
    <row r="902">
      <c r="A902" s="9" t="s">
        <v>292</v>
      </c>
      <c r="B902" s="9">
        <v>4.0</v>
      </c>
      <c r="C902" s="31" t="str">
        <f>VLOOKUP(A902, 'College List'!A:B, 2, FALSE)</f>
        <v>Prismari</v>
      </c>
      <c r="D902" s="355">
        <f>VLOOKUP(B902,Quotas!$A$8:$C$14,2,FALSE)</f>
        <v>46157.70833</v>
      </c>
      <c r="E902" s="356">
        <f>VLOOKUP(B902,Quotas!$A$8:$C$14,3,FALSE)</f>
        <v>46164.70833</v>
      </c>
      <c r="F902" s="79">
        <f>COUNTIFS(Matches!$B:$B,A902,Matches!$A:$A,CONCAT("&gt;",$D902),Matches!$A:$A,CONCAT("&lt;",$E902))</f>
        <v>0</v>
      </c>
      <c r="G902" s="79">
        <f>COUNTIFS(Matches!$C:$C,$A902,Matches!$A:$A,CONCAT("&gt;",$D902),Matches!$A:$A,CONCAT("&lt;",$E902))</f>
        <v>0</v>
      </c>
      <c r="H902" s="79">
        <f t="shared" si="1"/>
        <v>0</v>
      </c>
      <c r="I902" s="79">
        <f>COUNTIFS(Matches!$B:$B,$A902,Matches!$A:$A,CONCAT("&lt;",$E902))</f>
        <v>2</v>
      </c>
      <c r="J902" s="79">
        <f>COUNTIFS(Matches!$C:$C,$A902,Matches!$A:$A,CONCAT("&lt;",$E902))</f>
        <v>4</v>
      </c>
      <c r="K902" s="79">
        <f>COUNTIFS(Entropy!D:D,A902,Entropy!I:I,CONCAT("&lt;",E902-1))</f>
        <v>7</v>
      </c>
      <c r="L902" s="79">
        <f t="shared" si="2"/>
        <v>13</v>
      </c>
      <c r="M902" s="79">
        <f t="array" ref="M902">max(min(IF(J902+K902=11,0,XLOOKUP(B902,Quotas!$A$8:$A$14,Quotas!$E$8:$E$14)-$L902),2),0)</f>
        <v>0</v>
      </c>
      <c r="N902" s="31">
        <f t="shared" si="3"/>
        <v>0</v>
      </c>
    </row>
    <row r="903">
      <c r="A903" s="31" t="s">
        <v>215</v>
      </c>
      <c r="B903" s="9">
        <v>4.0</v>
      </c>
      <c r="C903" s="31" t="str">
        <f>VLOOKUP(A903, 'College List'!A:B, 2, FALSE)</f>
        <v>Silverquill</v>
      </c>
      <c r="D903" s="355">
        <f>VLOOKUP(B903,Quotas!$A$8:$C$14,2,FALSE)</f>
        <v>46157.70833</v>
      </c>
      <c r="E903" s="356">
        <f>VLOOKUP(B903,Quotas!$A$8:$C$14,3,FALSE)</f>
        <v>46164.70833</v>
      </c>
      <c r="F903" s="79">
        <f>COUNTIFS(Matches!$B:$B,A903,Matches!$A:$A,CONCAT("&gt;",$D903),Matches!$A:$A,CONCAT("&lt;",$E903))</f>
        <v>0</v>
      </c>
      <c r="G903" s="79">
        <f>COUNTIFS(Matches!$C:$C,$A903,Matches!$A:$A,CONCAT("&gt;",$D903),Matches!$A:$A,CONCAT("&lt;",$E903))</f>
        <v>0</v>
      </c>
      <c r="H903" s="79">
        <f t="shared" si="1"/>
        <v>0</v>
      </c>
      <c r="I903" s="79">
        <f>COUNTIFS(Matches!$B:$B,$A903,Matches!$A:$A,CONCAT("&lt;",$E903))</f>
        <v>3</v>
      </c>
      <c r="J903" s="79">
        <f>COUNTIFS(Matches!$C:$C,$A903,Matches!$A:$A,CONCAT("&lt;",$E903))</f>
        <v>7</v>
      </c>
      <c r="K903" s="79">
        <f>COUNTIFS(Entropy!D:D,A903,Entropy!I:I,CONCAT("&lt;",E903-1))</f>
        <v>3</v>
      </c>
      <c r="L903" s="79">
        <f t="shared" si="2"/>
        <v>13</v>
      </c>
      <c r="M903" s="79">
        <f t="array" ref="M903">max(min(IF(J903+K903=11,0,XLOOKUP(B903,Quotas!$A$8:$A$14,Quotas!$E$8:$E$14)-$L903),2),0)</f>
        <v>2</v>
      </c>
      <c r="N903" s="31">
        <f t="shared" si="3"/>
        <v>0</v>
      </c>
    </row>
    <row r="904">
      <c r="A904" s="31" t="s">
        <v>366</v>
      </c>
      <c r="B904" s="9">
        <v>4.0</v>
      </c>
      <c r="C904" s="31" t="str">
        <f>VLOOKUP(A904, 'College List'!A:B, 2, FALSE)</f>
        <v>Quandrix</v>
      </c>
      <c r="D904" s="355">
        <f>VLOOKUP(B904,Quotas!$A$8:$C$14,2,FALSE)</f>
        <v>46157.70833</v>
      </c>
      <c r="E904" s="356">
        <f>VLOOKUP(B904,Quotas!$A$8:$C$14,3,FALSE)</f>
        <v>46164.70833</v>
      </c>
      <c r="F904" s="79">
        <f>COUNTIFS(Matches!$B:$B,A904,Matches!$A:$A,CONCAT("&gt;",$D904),Matches!$A:$A,CONCAT("&lt;",$E904))</f>
        <v>3</v>
      </c>
      <c r="G904" s="79">
        <f>COUNTIFS(Matches!$C:$C,$A904,Matches!$A:$A,CONCAT("&gt;",$D904),Matches!$A:$A,CONCAT("&lt;",$E904))</f>
        <v>2</v>
      </c>
      <c r="H904" s="79">
        <f t="shared" si="1"/>
        <v>5</v>
      </c>
      <c r="I904" s="79">
        <f>COUNTIFS(Matches!$B:$B,$A904,Matches!$A:$A,CONCAT("&lt;",$E904))</f>
        <v>10</v>
      </c>
      <c r="J904" s="79">
        <f>COUNTIFS(Matches!$C:$C,$A904,Matches!$A:$A,CONCAT("&lt;",$E904))</f>
        <v>10</v>
      </c>
      <c r="K904" s="79">
        <f>COUNTIFS(Entropy!D:D,A904,Entropy!I:I,CONCAT("&lt;",E904-1))</f>
        <v>0</v>
      </c>
      <c r="L904" s="79">
        <f t="shared" si="2"/>
        <v>20</v>
      </c>
      <c r="M904" s="79">
        <f t="array" ref="M904">max(min(IF(J904+K904=11,0,XLOOKUP(B904,Quotas!$A$8:$A$14,Quotas!$E$8:$E$14)-$L904),2),0)</f>
        <v>0</v>
      </c>
      <c r="N904" s="31">
        <f t="shared" si="3"/>
        <v>0</v>
      </c>
    </row>
    <row r="905">
      <c r="A905" s="31" t="s">
        <v>349</v>
      </c>
      <c r="B905" s="9">
        <v>4.0</v>
      </c>
      <c r="C905" s="31" t="str">
        <f>VLOOKUP(A905, 'College List'!A:B, 2, FALSE)</f>
        <v>Prismari</v>
      </c>
      <c r="D905" s="355">
        <f>VLOOKUP(B905,Quotas!$A$8:$C$14,2,FALSE)</f>
        <v>46157.70833</v>
      </c>
      <c r="E905" s="356">
        <f>VLOOKUP(B905,Quotas!$A$8:$C$14,3,FALSE)</f>
        <v>46164.70833</v>
      </c>
      <c r="F905" s="79">
        <f>COUNTIFS(Matches!$B:$B,A905,Matches!$A:$A,CONCAT("&gt;",$D905),Matches!$A:$A,CONCAT("&lt;",$E905))</f>
        <v>4</v>
      </c>
      <c r="G905" s="79">
        <f>COUNTIFS(Matches!$C:$C,$A905,Matches!$A:$A,CONCAT("&gt;",$D905),Matches!$A:$A,CONCAT("&lt;",$E905))</f>
        <v>1</v>
      </c>
      <c r="H905" s="79">
        <f t="shared" si="1"/>
        <v>5</v>
      </c>
      <c r="I905" s="79">
        <f>COUNTIFS(Matches!$B:$B,$A905,Matches!$A:$A,CONCAT("&lt;",$E905))</f>
        <v>15</v>
      </c>
      <c r="J905" s="79">
        <f>COUNTIFS(Matches!$C:$C,$A905,Matches!$A:$A,CONCAT("&lt;",$E905))</f>
        <v>5</v>
      </c>
      <c r="K905" s="79">
        <f>COUNTIFS(Entropy!D:D,A905,Entropy!I:I,CONCAT("&lt;",E905-1))</f>
        <v>0</v>
      </c>
      <c r="L905" s="79">
        <f t="shared" si="2"/>
        <v>20</v>
      </c>
      <c r="M905" s="79">
        <f t="array" ref="M905">max(min(IF(J905+K905=11,0,XLOOKUP(B905,Quotas!$A$8:$A$14,Quotas!$E$8:$E$14)-$L905),2),0)</f>
        <v>0</v>
      </c>
      <c r="N905" s="31">
        <f t="shared" si="3"/>
        <v>0</v>
      </c>
    </row>
    <row r="906">
      <c r="A906" s="31" t="s">
        <v>315</v>
      </c>
      <c r="B906" s="9">
        <v>4.0</v>
      </c>
      <c r="C906" s="31" t="str">
        <f>VLOOKUP(A906, 'College List'!A:B, 2, FALSE)</f>
        <v>Prismari</v>
      </c>
      <c r="D906" s="355">
        <f>VLOOKUP(B906,Quotas!$A$8:$C$14,2,FALSE)</f>
        <v>46157.70833</v>
      </c>
      <c r="E906" s="356">
        <f>VLOOKUP(B906,Quotas!$A$8:$C$14,3,FALSE)</f>
        <v>46164.70833</v>
      </c>
      <c r="F906" s="79">
        <f>COUNTIFS(Matches!$B:$B,A906,Matches!$A:$A,CONCAT("&gt;",$D906),Matches!$A:$A,CONCAT("&lt;",$E906))</f>
        <v>0</v>
      </c>
      <c r="G906" s="79">
        <f>COUNTIFS(Matches!$C:$C,$A906,Matches!$A:$A,CONCAT("&gt;",$D906),Matches!$A:$A,CONCAT("&lt;",$E906))</f>
        <v>3</v>
      </c>
      <c r="H906" s="79">
        <f t="shared" si="1"/>
        <v>3</v>
      </c>
      <c r="I906" s="79">
        <f>COUNTIFS(Matches!$B:$B,$A906,Matches!$A:$A,CONCAT("&lt;",$E906))</f>
        <v>6</v>
      </c>
      <c r="J906" s="79">
        <f>COUNTIFS(Matches!$C:$C,$A906,Matches!$A:$A,CONCAT("&lt;",$E906))</f>
        <v>9</v>
      </c>
      <c r="K906" s="79">
        <f>COUNTIFS(Entropy!D:D,A906,Entropy!I:I,CONCAT("&lt;",E906-1))</f>
        <v>1</v>
      </c>
      <c r="L906" s="79">
        <f t="shared" si="2"/>
        <v>16</v>
      </c>
      <c r="M906" s="79">
        <f t="array" ref="M906">max(min(IF(J906+K906=11,0,XLOOKUP(B906,Quotas!$A$8:$A$14,Quotas!$E$8:$E$14)-$L906),2),0)</f>
        <v>2</v>
      </c>
      <c r="N906" s="31">
        <f t="shared" si="3"/>
        <v>1</v>
      </c>
    </row>
    <row r="907">
      <c r="A907" s="31" t="s">
        <v>636</v>
      </c>
      <c r="B907" s="9">
        <v>4.0</v>
      </c>
      <c r="C907" s="31" t="str">
        <f>VLOOKUP(A907, 'College List'!A:B, 2, FALSE)</f>
        <v>Silverquill</v>
      </c>
      <c r="D907" s="355">
        <f>VLOOKUP(B907,Quotas!$A$8:$C$14,2,FALSE)</f>
        <v>46157.70833</v>
      </c>
      <c r="E907" s="356">
        <f>VLOOKUP(B907,Quotas!$A$8:$C$14,3,FALSE)</f>
        <v>46164.70833</v>
      </c>
      <c r="F907" s="79">
        <f>COUNTIFS(Matches!$B:$B,A907,Matches!$A:$A,CONCAT("&gt;",$D907),Matches!$A:$A,CONCAT("&lt;",$E907))</f>
        <v>0</v>
      </c>
      <c r="G907" s="79">
        <f>COUNTIFS(Matches!$C:$C,$A907,Matches!$A:$A,CONCAT("&gt;",$D907),Matches!$A:$A,CONCAT("&lt;",$E907))</f>
        <v>0</v>
      </c>
      <c r="H907" s="79">
        <f t="shared" si="1"/>
        <v>0</v>
      </c>
      <c r="I907" s="79">
        <f>COUNTIFS(Matches!$B:$B,$A907,Matches!$A:$A,CONCAT("&lt;",$E907))</f>
        <v>0</v>
      </c>
      <c r="J907" s="79">
        <f>COUNTIFS(Matches!$C:$C,$A907,Matches!$A:$A,CONCAT("&lt;",$E907))</f>
        <v>0</v>
      </c>
      <c r="K907" s="79">
        <f>COUNTIFS(Entropy!D:D,A907,Entropy!I:I,CONCAT("&lt;",E907-1))</f>
        <v>11</v>
      </c>
      <c r="L907" s="79">
        <f t="shared" si="2"/>
        <v>11</v>
      </c>
      <c r="M907" s="79">
        <f t="array" ref="M907">max(min(IF(J907+K907=11,0,XLOOKUP(B907,Quotas!$A$8:$A$14,Quotas!$E$8:$E$14)-$L907),2),0)</f>
        <v>0</v>
      </c>
      <c r="N907" s="31">
        <f t="shared" si="3"/>
        <v>0</v>
      </c>
    </row>
    <row r="908">
      <c r="A908" s="31" t="s">
        <v>214</v>
      </c>
      <c r="B908" s="9">
        <v>4.0</v>
      </c>
      <c r="C908" s="31" t="str">
        <f>VLOOKUP(A908, 'College List'!A:B, 2, FALSE)</f>
        <v>Prismari</v>
      </c>
      <c r="D908" s="355">
        <f>VLOOKUP(B908,Quotas!$A$8:$C$14,2,FALSE)</f>
        <v>46157.70833</v>
      </c>
      <c r="E908" s="356">
        <f>VLOOKUP(B908,Quotas!$A$8:$C$14,3,FALSE)</f>
        <v>46164.70833</v>
      </c>
      <c r="F908" s="79">
        <f>COUNTIFS(Matches!$B:$B,A908,Matches!$A:$A,CONCAT("&gt;",$D908),Matches!$A:$A,CONCAT("&lt;",$E908))</f>
        <v>3</v>
      </c>
      <c r="G908" s="79">
        <f>COUNTIFS(Matches!$C:$C,$A908,Matches!$A:$A,CONCAT("&gt;",$D908),Matches!$A:$A,CONCAT("&lt;",$E908))</f>
        <v>2</v>
      </c>
      <c r="H908" s="79">
        <f t="shared" si="1"/>
        <v>5</v>
      </c>
      <c r="I908" s="79">
        <f>COUNTIFS(Matches!$B:$B,$A908,Matches!$A:$A,CONCAT("&lt;",$E908))</f>
        <v>10</v>
      </c>
      <c r="J908" s="79">
        <f>COUNTIFS(Matches!$C:$C,$A908,Matches!$A:$A,CONCAT("&lt;",$E908))</f>
        <v>10</v>
      </c>
      <c r="K908" s="79">
        <f>COUNTIFS(Entropy!D:D,A908,Entropy!I:I,CONCAT("&lt;",E908-1))</f>
        <v>0</v>
      </c>
      <c r="L908" s="79">
        <f t="shared" si="2"/>
        <v>20</v>
      </c>
      <c r="M908" s="79">
        <f t="array" ref="M908">max(min(IF(J908+K908=11,0,XLOOKUP(B908,Quotas!$A$8:$A$14,Quotas!$E$8:$E$14)-$L908),2),0)</f>
        <v>0</v>
      </c>
      <c r="N908" s="31">
        <f t="shared" si="3"/>
        <v>0</v>
      </c>
    </row>
    <row r="909">
      <c r="A909" s="31" t="s">
        <v>228</v>
      </c>
      <c r="B909" s="9">
        <v>4.0</v>
      </c>
      <c r="C909" s="31" t="str">
        <f>VLOOKUP(A909, 'College List'!A:B, 2, FALSE)</f>
        <v>Witherbloom</v>
      </c>
      <c r="D909" s="355">
        <f>VLOOKUP(B909,Quotas!$A$8:$C$14,2,FALSE)</f>
        <v>46157.70833</v>
      </c>
      <c r="E909" s="356">
        <f>VLOOKUP(B909,Quotas!$A$8:$C$14,3,FALSE)</f>
        <v>46164.70833</v>
      </c>
      <c r="F909" s="79">
        <f>COUNTIFS(Matches!$B:$B,A909,Matches!$A:$A,CONCAT("&gt;",$D909),Matches!$A:$A,CONCAT("&lt;",$E909))</f>
        <v>2</v>
      </c>
      <c r="G909" s="79">
        <f>COUNTIFS(Matches!$C:$C,$A909,Matches!$A:$A,CONCAT("&gt;",$D909),Matches!$A:$A,CONCAT("&lt;",$E909))</f>
        <v>3</v>
      </c>
      <c r="H909" s="79">
        <f t="shared" si="1"/>
        <v>5</v>
      </c>
      <c r="I909" s="79">
        <f>COUNTIFS(Matches!$B:$B,$A909,Matches!$A:$A,CONCAT("&lt;",$E909))</f>
        <v>13</v>
      </c>
      <c r="J909" s="79">
        <f>COUNTIFS(Matches!$C:$C,$A909,Matches!$A:$A,CONCAT("&lt;",$E909))</f>
        <v>7</v>
      </c>
      <c r="K909" s="79">
        <f>COUNTIFS(Entropy!D:D,A909,Entropy!I:I,CONCAT("&lt;",E909-1))</f>
        <v>0</v>
      </c>
      <c r="L909" s="79">
        <f t="shared" si="2"/>
        <v>20</v>
      </c>
      <c r="M909" s="79">
        <f t="array" ref="M909">max(min(IF(J909+K909=11,0,XLOOKUP(B909,Quotas!$A$8:$A$14,Quotas!$E$8:$E$14)-$L909),2),0)</f>
        <v>0</v>
      </c>
      <c r="N909" s="31">
        <f t="shared" si="3"/>
        <v>0</v>
      </c>
    </row>
    <row r="910">
      <c r="A910" s="31" t="s">
        <v>390</v>
      </c>
      <c r="B910" s="9">
        <v>4.0</v>
      </c>
      <c r="C910" s="31" t="str">
        <f>VLOOKUP(A910, 'College List'!A:B, 2, FALSE)</f>
        <v>Witherbloom</v>
      </c>
      <c r="D910" s="355">
        <f>VLOOKUP(B910,Quotas!$A$8:$C$14,2,FALSE)</f>
        <v>46157.70833</v>
      </c>
      <c r="E910" s="356">
        <f>VLOOKUP(B910,Quotas!$A$8:$C$14,3,FALSE)</f>
        <v>46164.70833</v>
      </c>
      <c r="F910" s="79">
        <f>COUNTIFS(Matches!$B:$B,A910,Matches!$A:$A,CONCAT("&gt;",$D910),Matches!$A:$A,CONCAT("&lt;",$E910))</f>
        <v>0</v>
      </c>
      <c r="G910" s="79">
        <f>COUNTIFS(Matches!$C:$C,$A910,Matches!$A:$A,CONCAT("&gt;",$D910),Matches!$A:$A,CONCAT("&lt;",$E910))</f>
        <v>0</v>
      </c>
      <c r="H910" s="79">
        <f t="shared" si="1"/>
        <v>0</v>
      </c>
      <c r="I910" s="79">
        <f>COUNTIFS(Matches!$B:$B,$A910,Matches!$A:$A,CONCAT("&lt;",$E910))</f>
        <v>2</v>
      </c>
      <c r="J910" s="79">
        <f>COUNTIFS(Matches!$C:$C,$A910,Matches!$A:$A,CONCAT("&lt;",$E910))</f>
        <v>3</v>
      </c>
      <c r="K910" s="79">
        <f>COUNTIFS(Entropy!D:D,A910,Entropy!I:I,CONCAT("&lt;",E910-1))</f>
        <v>8</v>
      </c>
      <c r="L910" s="79">
        <f t="shared" si="2"/>
        <v>13</v>
      </c>
      <c r="M910" s="79">
        <f t="array" ref="M910">max(min(IF(J910+K910=11,0,XLOOKUP(B910,Quotas!$A$8:$A$14,Quotas!$E$8:$E$14)-$L910),2),0)</f>
        <v>0</v>
      </c>
      <c r="N910" s="31">
        <f t="shared" si="3"/>
        <v>0</v>
      </c>
    </row>
    <row r="911">
      <c r="A911" s="31" t="s">
        <v>168</v>
      </c>
      <c r="B911" s="9">
        <v>4.0</v>
      </c>
      <c r="C911" s="31" t="str">
        <f>VLOOKUP(A911, 'College List'!A:B, 2, FALSE)</f>
        <v>Silverquill</v>
      </c>
      <c r="D911" s="355">
        <f>VLOOKUP(B911,Quotas!$A$8:$C$14,2,FALSE)</f>
        <v>46157.70833</v>
      </c>
      <c r="E911" s="356">
        <f>VLOOKUP(B911,Quotas!$A$8:$C$14,3,FALSE)</f>
        <v>46164.70833</v>
      </c>
      <c r="F911" s="79">
        <f>COUNTIFS(Matches!$B:$B,A911,Matches!$A:$A,CONCAT("&gt;",$D911),Matches!$A:$A,CONCAT("&lt;",$E911))</f>
        <v>0</v>
      </c>
      <c r="G911" s="79">
        <f>COUNTIFS(Matches!$C:$C,$A911,Matches!$A:$A,CONCAT("&gt;",$D911),Matches!$A:$A,CONCAT("&lt;",$E911))</f>
        <v>0</v>
      </c>
      <c r="H911" s="79">
        <f t="shared" si="1"/>
        <v>0</v>
      </c>
      <c r="I911" s="79">
        <f>COUNTIFS(Matches!$B:$B,$A911,Matches!$A:$A,CONCAT("&lt;",$E911))</f>
        <v>5</v>
      </c>
      <c r="J911" s="79">
        <f>COUNTIFS(Matches!$C:$C,$A911,Matches!$A:$A,CONCAT("&lt;",$E911))</f>
        <v>10</v>
      </c>
      <c r="K911" s="79">
        <f>COUNTIFS(Entropy!D:D,A911,Entropy!I:I,CONCAT("&lt;",E911-1))</f>
        <v>0</v>
      </c>
      <c r="L911" s="79">
        <f t="shared" si="2"/>
        <v>15</v>
      </c>
      <c r="M911" s="79">
        <f t="array" ref="M911">max(min(IF(J911+K911=11,0,XLOOKUP(B911,Quotas!$A$8:$A$14,Quotas!$E$8:$E$14)-$L911),2),0)</f>
        <v>2</v>
      </c>
      <c r="N911" s="31">
        <f t="shared" si="3"/>
        <v>0</v>
      </c>
    </row>
    <row r="912">
      <c r="A912" s="31" t="s">
        <v>227</v>
      </c>
      <c r="B912" s="9">
        <v>4.0</v>
      </c>
      <c r="C912" s="31" t="str">
        <f>VLOOKUP(A912, 'College List'!A:B, 2, FALSE)</f>
        <v>Witherbloom</v>
      </c>
      <c r="D912" s="355">
        <f>VLOOKUP(B912,Quotas!$A$8:$C$14,2,FALSE)</f>
        <v>46157.70833</v>
      </c>
      <c r="E912" s="356">
        <f>VLOOKUP(B912,Quotas!$A$8:$C$14,3,FALSE)</f>
        <v>46164.70833</v>
      </c>
      <c r="F912" s="79">
        <f>COUNTIFS(Matches!$B:$B,A912,Matches!$A:$A,CONCAT("&gt;",$D912),Matches!$A:$A,CONCAT("&lt;",$E912))</f>
        <v>4</v>
      </c>
      <c r="G912" s="79">
        <f>COUNTIFS(Matches!$C:$C,$A912,Matches!$A:$A,CONCAT("&gt;",$D912),Matches!$A:$A,CONCAT("&lt;",$E912))</f>
        <v>1</v>
      </c>
      <c r="H912" s="79">
        <f t="shared" si="1"/>
        <v>5</v>
      </c>
      <c r="I912" s="79">
        <f>COUNTIFS(Matches!$B:$B,$A912,Matches!$A:$A,CONCAT("&lt;",$E912))</f>
        <v>11</v>
      </c>
      <c r="J912" s="79">
        <f>COUNTIFS(Matches!$C:$C,$A912,Matches!$A:$A,CONCAT("&lt;",$E912))</f>
        <v>9</v>
      </c>
      <c r="K912" s="79">
        <f>COUNTIFS(Entropy!D:D,A912,Entropy!I:I,CONCAT("&lt;",E912-1))</f>
        <v>0</v>
      </c>
      <c r="L912" s="79">
        <f t="shared" si="2"/>
        <v>20</v>
      </c>
      <c r="M912" s="79">
        <f t="array" ref="M912">max(min(IF(J912+K912=11,0,XLOOKUP(B912,Quotas!$A$8:$A$14,Quotas!$E$8:$E$14)-$L912),2),0)</f>
        <v>0</v>
      </c>
      <c r="N912" s="31">
        <f t="shared" si="3"/>
        <v>0</v>
      </c>
    </row>
    <row r="913">
      <c r="A913" s="31" t="s">
        <v>246</v>
      </c>
      <c r="B913" s="9">
        <v>4.0</v>
      </c>
      <c r="C913" s="31" t="str">
        <f>VLOOKUP(A913, 'College List'!A:B, 2, FALSE)</f>
        <v>Witherbloom</v>
      </c>
      <c r="D913" s="355">
        <f>VLOOKUP(B913,Quotas!$A$8:$C$14,2,FALSE)</f>
        <v>46157.70833</v>
      </c>
      <c r="E913" s="356">
        <f>VLOOKUP(B913,Quotas!$A$8:$C$14,3,FALSE)</f>
        <v>46164.70833</v>
      </c>
      <c r="F913" s="79">
        <f>COUNTIFS(Matches!$B:$B,A913,Matches!$A:$A,CONCAT("&gt;",$D913),Matches!$A:$A,CONCAT("&lt;",$E913))</f>
        <v>0</v>
      </c>
      <c r="G913" s="79">
        <f>COUNTIFS(Matches!$C:$C,$A913,Matches!$A:$A,CONCAT("&gt;",$D913),Matches!$A:$A,CONCAT("&lt;",$E913))</f>
        <v>1</v>
      </c>
      <c r="H913" s="79">
        <f t="shared" si="1"/>
        <v>1</v>
      </c>
      <c r="I913" s="79">
        <f>COUNTIFS(Matches!$B:$B,$A913,Matches!$A:$A,CONCAT("&lt;",$E913))</f>
        <v>3</v>
      </c>
      <c r="J913" s="79">
        <f>COUNTIFS(Matches!$C:$C,$A913,Matches!$A:$A,CONCAT("&lt;",$E913))</f>
        <v>10</v>
      </c>
      <c r="K913" s="79">
        <f>COUNTIFS(Entropy!D:D,A913,Entropy!I:I,CONCAT("&lt;",E913-1))</f>
        <v>1</v>
      </c>
      <c r="L913" s="79">
        <f t="shared" si="2"/>
        <v>14</v>
      </c>
      <c r="M913" s="79">
        <f t="array" ref="M913">max(min(IF(J913+K913=11,0,XLOOKUP(B913,Quotas!$A$8:$A$14,Quotas!$E$8:$E$14)-$L913),2),0)</f>
        <v>0</v>
      </c>
      <c r="N913" s="31">
        <f t="shared" si="3"/>
        <v>0</v>
      </c>
    </row>
    <row r="914">
      <c r="A914" s="31" t="s">
        <v>362</v>
      </c>
      <c r="B914" s="9">
        <v>4.0</v>
      </c>
      <c r="C914" s="31" t="str">
        <f>VLOOKUP(A914, 'College List'!A:B, 2, FALSE)</f>
        <v>Witherbloom</v>
      </c>
      <c r="D914" s="355">
        <f>VLOOKUP(B914,Quotas!$A$8:$C$14,2,FALSE)</f>
        <v>46157.70833</v>
      </c>
      <c r="E914" s="356">
        <f>VLOOKUP(B914,Quotas!$A$8:$C$14,3,FALSE)</f>
        <v>46164.70833</v>
      </c>
      <c r="F914" s="79">
        <f>COUNTIFS(Matches!$B:$B,A914,Matches!$A:$A,CONCAT("&gt;",$D914),Matches!$A:$A,CONCAT("&lt;",$E914))</f>
        <v>0</v>
      </c>
      <c r="G914" s="79">
        <f>COUNTIFS(Matches!$C:$C,$A914,Matches!$A:$A,CONCAT("&gt;",$D914),Matches!$A:$A,CONCAT("&lt;",$E914))</f>
        <v>0</v>
      </c>
      <c r="H914" s="79">
        <f t="shared" si="1"/>
        <v>0</v>
      </c>
      <c r="I914" s="79">
        <f>COUNTIFS(Matches!$B:$B,$A914,Matches!$A:$A,CONCAT("&lt;",$E914))</f>
        <v>4</v>
      </c>
      <c r="J914" s="79">
        <f>COUNTIFS(Matches!$C:$C,$A914,Matches!$A:$A,CONCAT("&lt;",$E914))</f>
        <v>4</v>
      </c>
      <c r="K914" s="79">
        <f>COUNTIFS(Entropy!D:D,A914,Entropy!I:I,CONCAT("&lt;",E914-1))</f>
        <v>5</v>
      </c>
      <c r="L914" s="79">
        <f t="shared" si="2"/>
        <v>13</v>
      </c>
      <c r="M914" s="79">
        <f t="array" ref="M914">max(min(IF(J914+K914=11,0,XLOOKUP(B914,Quotas!$A$8:$A$14,Quotas!$E$8:$E$14)-$L914),2),0)</f>
        <v>2</v>
      </c>
      <c r="N914" s="31">
        <f t="shared" si="3"/>
        <v>0</v>
      </c>
    </row>
    <row r="915">
      <c r="A915" s="31" t="s">
        <v>266</v>
      </c>
      <c r="B915" s="9">
        <v>4.0</v>
      </c>
      <c r="C915" s="31" t="str">
        <f>VLOOKUP(A915, 'College List'!A:B, 2, FALSE)</f>
        <v>Prismari</v>
      </c>
      <c r="D915" s="355">
        <f>VLOOKUP(B915,Quotas!$A$8:$C$14,2,FALSE)</f>
        <v>46157.70833</v>
      </c>
      <c r="E915" s="356">
        <f>VLOOKUP(B915,Quotas!$A$8:$C$14,3,FALSE)</f>
        <v>46164.70833</v>
      </c>
      <c r="F915" s="79">
        <f>COUNTIFS(Matches!$B:$B,A915,Matches!$A:$A,CONCAT("&gt;",$D915),Matches!$A:$A,CONCAT("&lt;",$E915))</f>
        <v>2</v>
      </c>
      <c r="G915" s="79">
        <f>COUNTIFS(Matches!$C:$C,$A915,Matches!$A:$A,CONCAT("&gt;",$D915),Matches!$A:$A,CONCAT("&lt;",$E915))</f>
        <v>4</v>
      </c>
      <c r="H915" s="79">
        <f t="shared" si="1"/>
        <v>6</v>
      </c>
      <c r="I915" s="79">
        <f>COUNTIFS(Matches!$B:$B,$A915,Matches!$A:$A,CONCAT("&lt;",$E915))</f>
        <v>9</v>
      </c>
      <c r="J915" s="79">
        <f>COUNTIFS(Matches!$C:$C,$A915,Matches!$A:$A,CONCAT("&lt;",$E915))</f>
        <v>11</v>
      </c>
      <c r="K915" s="79">
        <f>COUNTIFS(Entropy!D:D,A915,Entropy!I:I,CONCAT("&lt;",E915-1))</f>
        <v>0</v>
      </c>
      <c r="L915" s="79">
        <f t="shared" si="2"/>
        <v>20</v>
      </c>
      <c r="M915" s="79">
        <f t="array" ref="M915">max(min(IF(J915+K915=11,0,XLOOKUP(B915,Quotas!$A$8:$A$14,Quotas!$E$8:$E$14)-$L915),2),0)</f>
        <v>0</v>
      </c>
      <c r="N915" s="31">
        <f t="shared" si="3"/>
        <v>0</v>
      </c>
    </row>
    <row r="916">
      <c r="A916" s="31" t="s">
        <v>166</v>
      </c>
      <c r="B916" s="9">
        <v>4.0</v>
      </c>
      <c r="C916" s="31" t="str">
        <f>VLOOKUP(A916, 'College List'!A:B, 2, FALSE)</f>
        <v>Lorehold</v>
      </c>
      <c r="D916" s="355">
        <f>VLOOKUP(B916,Quotas!$A$8:$C$14,2,FALSE)</f>
        <v>46157.70833</v>
      </c>
      <c r="E916" s="356">
        <f>VLOOKUP(B916,Quotas!$A$8:$C$14,3,FALSE)</f>
        <v>46164.70833</v>
      </c>
      <c r="F916" s="79">
        <f>COUNTIFS(Matches!$B:$B,A916,Matches!$A:$A,CONCAT("&gt;",$D916),Matches!$A:$A,CONCAT("&lt;",$E916))</f>
        <v>2</v>
      </c>
      <c r="G916" s="79">
        <f>COUNTIFS(Matches!$C:$C,$A916,Matches!$A:$A,CONCAT("&gt;",$D916),Matches!$A:$A,CONCAT("&lt;",$E916))</f>
        <v>3</v>
      </c>
      <c r="H916" s="79">
        <f t="shared" si="1"/>
        <v>5</v>
      </c>
      <c r="I916" s="79">
        <f>COUNTIFS(Matches!$B:$B,$A916,Matches!$A:$A,CONCAT("&lt;",$E916))</f>
        <v>11</v>
      </c>
      <c r="J916" s="79">
        <f>COUNTIFS(Matches!$C:$C,$A916,Matches!$A:$A,CONCAT("&lt;",$E916))</f>
        <v>9</v>
      </c>
      <c r="K916" s="79">
        <f>COUNTIFS(Entropy!D:D,A916,Entropy!I:I,CONCAT("&lt;",E916-1))</f>
        <v>0</v>
      </c>
      <c r="L916" s="79">
        <f t="shared" si="2"/>
        <v>20</v>
      </c>
      <c r="M916" s="79">
        <f t="array" ref="M916">max(min(IF(J916+K916=11,0,XLOOKUP(B916,Quotas!$A$8:$A$14,Quotas!$E$8:$E$14)-$L916),2),0)</f>
        <v>0</v>
      </c>
      <c r="N916" s="31">
        <f t="shared" si="3"/>
        <v>0</v>
      </c>
    </row>
    <row r="917">
      <c r="A917" s="31" t="s">
        <v>131</v>
      </c>
      <c r="B917" s="9">
        <v>4.0</v>
      </c>
      <c r="C917" s="31" t="str">
        <f>VLOOKUP(A917, 'College List'!A:B, 2, FALSE)</f>
        <v>Lorehold</v>
      </c>
      <c r="D917" s="355">
        <f>VLOOKUP(B917,Quotas!$A$8:$C$14,2,FALSE)</f>
        <v>46157.70833</v>
      </c>
      <c r="E917" s="356">
        <f>VLOOKUP(B917,Quotas!$A$8:$C$14,3,FALSE)</f>
        <v>46164.70833</v>
      </c>
      <c r="F917" s="79">
        <f>COUNTIFS(Matches!$B:$B,A917,Matches!$A:$A,CONCAT("&gt;",$D917),Matches!$A:$A,CONCAT("&lt;",$E917))</f>
        <v>2</v>
      </c>
      <c r="G917" s="79">
        <f>COUNTIFS(Matches!$C:$C,$A917,Matches!$A:$A,CONCAT("&gt;",$D917),Matches!$A:$A,CONCAT("&lt;",$E917))</f>
        <v>3</v>
      </c>
      <c r="H917" s="79">
        <f t="shared" si="1"/>
        <v>5</v>
      </c>
      <c r="I917" s="79">
        <f>COUNTIFS(Matches!$B:$B,$A917,Matches!$A:$A,CONCAT("&lt;",$E917))</f>
        <v>7</v>
      </c>
      <c r="J917" s="79">
        <f>COUNTIFS(Matches!$C:$C,$A917,Matches!$A:$A,CONCAT("&lt;",$E917))</f>
        <v>8</v>
      </c>
      <c r="K917" s="79">
        <f>COUNTIFS(Entropy!D:D,A917,Entropy!I:I,CONCAT("&lt;",E917-1))</f>
        <v>3</v>
      </c>
      <c r="L917" s="79">
        <f t="shared" si="2"/>
        <v>18</v>
      </c>
      <c r="M917" s="79">
        <f t="array" ref="M917">max(min(IF(J917+K917=11,0,XLOOKUP(B917,Quotas!$A$8:$A$14,Quotas!$E$8:$E$14)-$L917),2),0)</f>
        <v>0</v>
      </c>
      <c r="N917" s="31">
        <f t="shared" si="3"/>
        <v>0</v>
      </c>
    </row>
    <row r="918">
      <c r="A918" s="31" t="s">
        <v>275</v>
      </c>
      <c r="B918" s="9">
        <v>4.0</v>
      </c>
      <c r="C918" s="31" t="str">
        <f>VLOOKUP(A918, 'College List'!A:B, 2, FALSE)</f>
        <v>Lorehold</v>
      </c>
      <c r="D918" s="355">
        <f>VLOOKUP(B918,Quotas!$A$8:$C$14,2,FALSE)</f>
        <v>46157.70833</v>
      </c>
      <c r="E918" s="356">
        <f>VLOOKUP(B918,Quotas!$A$8:$C$14,3,FALSE)</f>
        <v>46164.70833</v>
      </c>
      <c r="F918" s="79">
        <f>COUNTIFS(Matches!$B:$B,A918,Matches!$A:$A,CONCAT("&gt;",$D918),Matches!$A:$A,CONCAT("&lt;",$E918))</f>
        <v>0</v>
      </c>
      <c r="G918" s="79">
        <f>COUNTIFS(Matches!$C:$C,$A918,Matches!$A:$A,CONCAT("&gt;",$D918),Matches!$A:$A,CONCAT("&lt;",$E918))</f>
        <v>0</v>
      </c>
      <c r="H918" s="79">
        <f t="shared" si="1"/>
        <v>0</v>
      </c>
      <c r="I918" s="79">
        <f>COUNTIFS(Matches!$B:$B,$A918,Matches!$A:$A,CONCAT("&lt;",$E918))</f>
        <v>3</v>
      </c>
      <c r="J918" s="79">
        <f>COUNTIFS(Matches!$C:$C,$A918,Matches!$A:$A,CONCAT("&lt;",$E918))</f>
        <v>5</v>
      </c>
      <c r="K918" s="79">
        <f>COUNTIFS(Entropy!D:D,A918,Entropy!I:I,CONCAT("&lt;",E918-1))</f>
        <v>5</v>
      </c>
      <c r="L918" s="79">
        <f t="shared" si="2"/>
        <v>13</v>
      </c>
      <c r="M918" s="79">
        <f t="array" ref="M918">max(min(IF(J918+K918=11,0,XLOOKUP(B918,Quotas!$A$8:$A$14,Quotas!$E$8:$E$14)-$L918),2),0)</f>
        <v>2</v>
      </c>
      <c r="N918" s="31">
        <f t="shared" si="3"/>
        <v>0</v>
      </c>
    </row>
    <row r="919">
      <c r="A919" s="31" t="s">
        <v>300</v>
      </c>
      <c r="B919" s="9">
        <v>4.0</v>
      </c>
      <c r="C919" s="31" t="str">
        <f>VLOOKUP(A919, 'College List'!A:B, 2, FALSE)</f>
        <v>Prismari</v>
      </c>
      <c r="D919" s="355">
        <f>VLOOKUP(B919,Quotas!$A$8:$C$14,2,FALSE)</f>
        <v>46157.70833</v>
      </c>
      <c r="E919" s="356">
        <f>VLOOKUP(B919,Quotas!$A$8:$C$14,3,FALSE)</f>
        <v>46164.70833</v>
      </c>
      <c r="F919" s="79">
        <f>COUNTIFS(Matches!$B:$B,A919,Matches!$A:$A,CONCAT("&gt;",$D919),Matches!$A:$A,CONCAT("&lt;",$E919))</f>
        <v>1</v>
      </c>
      <c r="G919" s="79">
        <f>COUNTIFS(Matches!$C:$C,$A919,Matches!$A:$A,CONCAT("&gt;",$D919),Matches!$A:$A,CONCAT("&lt;",$E919))</f>
        <v>2</v>
      </c>
      <c r="H919" s="79">
        <f t="shared" si="1"/>
        <v>3</v>
      </c>
      <c r="I919" s="79">
        <f>COUNTIFS(Matches!$B:$B,$A919,Matches!$A:$A,CONCAT("&lt;",$E919))</f>
        <v>7</v>
      </c>
      <c r="J919" s="79">
        <f>COUNTIFS(Matches!$C:$C,$A919,Matches!$A:$A,CONCAT("&lt;",$E919))</f>
        <v>11</v>
      </c>
      <c r="K919" s="79">
        <f>COUNTIFS(Entropy!D:D,A919,Entropy!I:I,CONCAT("&lt;",E919-1))</f>
        <v>0</v>
      </c>
      <c r="L919" s="79">
        <f t="shared" si="2"/>
        <v>18</v>
      </c>
      <c r="M919" s="79">
        <f t="array" ref="M919">max(min(IF(J919+K919=11,0,XLOOKUP(B919,Quotas!$A$8:$A$14,Quotas!$E$8:$E$14)-$L919),2),0)</f>
        <v>0</v>
      </c>
      <c r="N919" s="31">
        <f t="shared" si="3"/>
        <v>0</v>
      </c>
    </row>
    <row r="920">
      <c r="A920" s="31" t="s">
        <v>287</v>
      </c>
      <c r="B920" s="9">
        <v>4.0</v>
      </c>
      <c r="C920" s="31" t="str">
        <f>VLOOKUP(A920, 'College List'!A:B, 2, FALSE)</f>
        <v>Silverquill</v>
      </c>
      <c r="D920" s="355">
        <f>VLOOKUP(B920,Quotas!$A$8:$C$14,2,FALSE)</f>
        <v>46157.70833</v>
      </c>
      <c r="E920" s="356">
        <f>VLOOKUP(B920,Quotas!$A$8:$C$14,3,FALSE)</f>
        <v>46164.70833</v>
      </c>
      <c r="F920" s="79">
        <f>COUNTIFS(Matches!$B:$B,A920,Matches!$A:$A,CONCAT("&gt;",$D920),Matches!$A:$A,CONCAT("&lt;",$E920))</f>
        <v>2</v>
      </c>
      <c r="G920" s="79">
        <f>COUNTIFS(Matches!$C:$C,$A920,Matches!$A:$A,CONCAT("&gt;",$D920),Matches!$A:$A,CONCAT("&lt;",$E920))</f>
        <v>3</v>
      </c>
      <c r="H920" s="79">
        <f t="shared" si="1"/>
        <v>5</v>
      </c>
      <c r="I920" s="79">
        <f>COUNTIFS(Matches!$B:$B,$A920,Matches!$A:$A,CONCAT("&lt;",$E920))</f>
        <v>11</v>
      </c>
      <c r="J920" s="79">
        <f>COUNTIFS(Matches!$C:$C,$A920,Matches!$A:$A,CONCAT("&lt;",$E920))</f>
        <v>9</v>
      </c>
      <c r="K920" s="79">
        <f>COUNTIFS(Entropy!D:D,A920,Entropy!I:I,CONCAT("&lt;",E920-1))</f>
        <v>0</v>
      </c>
      <c r="L920" s="79">
        <f t="shared" si="2"/>
        <v>20</v>
      </c>
      <c r="M920" s="79">
        <f t="array" ref="M920">max(min(IF(J920+K920=11,0,XLOOKUP(B920,Quotas!$A$8:$A$14,Quotas!$E$8:$E$14)-$L920),2),0)</f>
        <v>0</v>
      </c>
      <c r="N920" s="31">
        <f t="shared" si="3"/>
        <v>0</v>
      </c>
    </row>
    <row r="921">
      <c r="A921" s="31" t="s">
        <v>254</v>
      </c>
      <c r="B921" s="9">
        <v>4.0</v>
      </c>
      <c r="C921" s="31" t="str">
        <f>VLOOKUP(A921, 'College List'!A:B, 2, FALSE)</f>
        <v>Prismari</v>
      </c>
      <c r="D921" s="355">
        <f>VLOOKUP(B921,Quotas!$A$8:$C$14,2,FALSE)</f>
        <v>46157.70833</v>
      </c>
      <c r="E921" s="356">
        <f>VLOOKUP(B921,Quotas!$A$8:$C$14,3,FALSE)</f>
        <v>46164.70833</v>
      </c>
      <c r="F921" s="79">
        <f>COUNTIFS(Matches!$B:$B,A921,Matches!$A:$A,CONCAT("&gt;",$D921),Matches!$A:$A,CONCAT("&lt;",$E921))</f>
        <v>0</v>
      </c>
      <c r="G921" s="79">
        <f>COUNTIFS(Matches!$C:$C,$A921,Matches!$A:$A,CONCAT("&gt;",$D921),Matches!$A:$A,CONCAT("&lt;",$E921))</f>
        <v>4</v>
      </c>
      <c r="H921" s="79">
        <f t="shared" si="1"/>
        <v>4</v>
      </c>
      <c r="I921" s="79">
        <f>COUNTIFS(Matches!$B:$B,$A921,Matches!$A:$A,CONCAT("&lt;",$E921))</f>
        <v>10</v>
      </c>
      <c r="J921" s="79">
        <f>COUNTIFS(Matches!$C:$C,$A921,Matches!$A:$A,CONCAT("&lt;",$E921))</f>
        <v>9</v>
      </c>
      <c r="K921" s="79">
        <f>COUNTIFS(Entropy!D:D,A921,Entropy!I:I,CONCAT("&lt;",E921-1))</f>
        <v>0</v>
      </c>
      <c r="L921" s="79">
        <f t="shared" si="2"/>
        <v>19</v>
      </c>
      <c r="M921" s="79">
        <f t="array" ref="M921">max(min(IF(J921+K921=11,0,XLOOKUP(B921,Quotas!$A$8:$A$14,Quotas!$E$8:$E$14)-$L921),2),0)</f>
        <v>1</v>
      </c>
      <c r="N921" s="31">
        <f t="shared" si="3"/>
        <v>0.5</v>
      </c>
    </row>
    <row r="922">
      <c r="A922" s="31" t="s">
        <v>337</v>
      </c>
      <c r="B922" s="9">
        <v>4.0</v>
      </c>
      <c r="C922" s="31" t="str">
        <f>VLOOKUP(A922, 'College List'!A:B, 2, FALSE)</f>
        <v>Lorehold</v>
      </c>
      <c r="D922" s="355">
        <f>VLOOKUP(B922,Quotas!$A$8:$C$14,2,FALSE)</f>
        <v>46157.70833</v>
      </c>
      <c r="E922" s="356">
        <f>VLOOKUP(B922,Quotas!$A$8:$C$14,3,FALSE)</f>
        <v>46164.70833</v>
      </c>
      <c r="F922" s="79">
        <f>COUNTIFS(Matches!$B:$B,A922,Matches!$A:$A,CONCAT("&gt;",$D922),Matches!$A:$A,CONCAT("&lt;",$E922))</f>
        <v>3</v>
      </c>
      <c r="G922" s="79">
        <f>COUNTIFS(Matches!$C:$C,$A922,Matches!$A:$A,CONCAT("&gt;",$D922),Matches!$A:$A,CONCAT("&lt;",$E922))</f>
        <v>1</v>
      </c>
      <c r="H922" s="79">
        <f t="shared" si="1"/>
        <v>4</v>
      </c>
      <c r="I922" s="79">
        <f>COUNTIFS(Matches!$B:$B,$A922,Matches!$A:$A,CONCAT("&lt;",$E922))</f>
        <v>9</v>
      </c>
      <c r="J922" s="79">
        <f>COUNTIFS(Matches!$C:$C,$A922,Matches!$A:$A,CONCAT("&lt;",$E922))</f>
        <v>10</v>
      </c>
      <c r="K922" s="79">
        <f>COUNTIFS(Entropy!D:D,A922,Entropy!I:I,CONCAT("&lt;",E922-1))</f>
        <v>0</v>
      </c>
      <c r="L922" s="79">
        <f t="shared" si="2"/>
        <v>19</v>
      </c>
      <c r="M922" s="79">
        <f t="array" ref="M922">max(min(IF(J922+K922=11,0,XLOOKUP(B922,Quotas!$A$8:$A$14,Quotas!$E$8:$E$14)-$L922),2),0)</f>
        <v>1</v>
      </c>
      <c r="N922" s="31">
        <f t="shared" si="3"/>
        <v>0.5</v>
      </c>
    </row>
    <row r="923">
      <c r="A923" s="31" t="s">
        <v>374</v>
      </c>
      <c r="B923" s="9">
        <v>4.0</v>
      </c>
      <c r="C923" s="31" t="str">
        <f>VLOOKUP(A923, 'College List'!A:B, 2, FALSE)</f>
        <v>Prismari</v>
      </c>
      <c r="D923" s="355">
        <f>VLOOKUP(B923,Quotas!$A$8:$C$14,2,FALSE)</f>
        <v>46157.70833</v>
      </c>
      <c r="E923" s="356">
        <f>VLOOKUP(B923,Quotas!$A$8:$C$14,3,FALSE)</f>
        <v>46164.70833</v>
      </c>
      <c r="F923" s="79">
        <f>COUNTIFS(Matches!$B:$B,A923,Matches!$A:$A,CONCAT("&gt;",$D923),Matches!$A:$A,CONCAT("&lt;",$E923))</f>
        <v>2</v>
      </c>
      <c r="G923" s="79">
        <f>COUNTIFS(Matches!$C:$C,$A923,Matches!$A:$A,CONCAT("&gt;",$D923),Matches!$A:$A,CONCAT("&lt;",$E923))</f>
        <v>3</v>
      </c>
      <c r="H923" s="79">
        <f t="shared" si="1"/>
        <v>5</v>
      </c>
      <c r="I923" s="79">
        <f>COUNTIFS(Matches!$B:$B,$A923,Matches!$A:$A,CONCAT("&lt;",$E923))</f>
        <v>8</v>
      </c>
      <c r="J923" s="79">
        <f>COUNTIFS(Matches!$C:$C,$A923,Matches!$A:$A,CONCAT("&lt;",$E923))</f>
        <v>10</v>
      </c>
      <c r="K923" s="79">
        <f>COUNTIFS(Entropy!D:D,A923,Entropy!I:I,CONCAT("&lt;",E923-1))</f>
        <v>0</v>
      </c>
      <c r="L923" s="79">
        <f t="shared" si="2"/>
        <v>18</v>
      </c>
      <c r="M923" s="79">
        <f t="array" ref="M923">max(min(IF(J923+K923=11,0,XLOOKUP(B923,Quotas!$A$8:$A$14,Quotas!$E$8:$E$14)-$L923),2),0)</f>
        <v>2</v>
      </c>
      <c r="N923" s="31">
        <f t="shared" si="3"/>
        <v>1</v>
      </c>
    </row>
    <row r="924">
      <c r="A924" s="31" t="s">
        <v>318</v>
      </c>
      <c r="B924" s="9">
        <v>4.0</v>
      </c>
      <c r="C924" s="31" t="str">
        <f>VLOOKUP(A924, 'College List'!A:B, 2, FALSE)</f>
        <v>Quandrix</v>
      </c>
      <c r="D924" s="355">
        <f>VLOOKUP(B924,Quotas!$A$8:$C$14,2,FALSE)</f>
        <v>46157.70833</v>
      </c>
      <c r="E924" s="356">
        <f>VLOOKUP(B924,Quotas!$A$8:$C$14,3,FALSE)</f>
        <v>46164.70833</v>
      </c>
      <c r="F924" s="79">
        <f>COUNTIFS(Matches!$B:$B,A924,Matches!$A:$A,CONCAT("&gt;",$D924),Matches!$A:$A,CONCAT("&lt;",$E924))</f>
        <v>1</v>
      </c>
      <c r="G924" s="79">
        <f>COUNTIFS(Matches!$C:$C,$A924,Matches!$A:$A,CONCAT("&gt;",$D924),Matches!$A:$A,CONCAT("&lt;",$E924))</f>
        <v>2</v>
      </c>
      <c r="H924" s="79">
        <f t="shared" si="1"/>
        <v>3</v>
      </c>
      <c r="I924" s="79">
        <f>COUNTIFS(Matches!$B:$B,$A924,Matches!$A:$A,CONCAT("&lt;",$E924))</f>
        <v>7</v>
      </c>
      <c r="J924" s="79">
        <f>COUNTIFS(Matches!$C:$C,$A924,Matches!$A:$A,CONCAT("&lt;",$E924))</f>
        <v>11</v>
      </c>
      <c r="K924" s="79">
        <f>COUNTIFS(Entropy!D:D,A924,Entropy!I:I,CONCAT("&lt;",E924-1))</f>
        <v>0</v>
      </c>
      <c r="L924" s="79">
        <f t="shared" si="2"/>
        <v>18</v>
      </c>
      <c r="M924" s="79">
        <f t="array" ref="M924">max(min(IF(J924+K924=11,0,XLOOKUP(B924,Quotas!$A$8:$A$14,Quotas!$E$8:$E$14)-$L924),2),0)</f>
        <v>0</v>
      </c>
      <c r="N924" s="31">
        <f t="shared" si="3"/>
        <v>0</v>
      </c>
    </row>
    <row r="925">
      <c r="A925" s="31" t="s">
        <v>259</v>
      </c>
      <c r="B925" s="9">
        <v>4.0</v>
      </c>
      <c r="C925" s="31" t="str">
        <f>VLOOKUP(A925, 'College List'!A:B, 2, FALSE)</f>
        <v>Lorehold</v>
      </c>
      <c r="D925" s="355">
        <f>VLOOKUP(B925,Quotas!$A$8:$C$14,2,FALSE)</f>
        <v>46157.70833</v>
      </c>
      <c r="E925" s="356">
        <f>VLOOKUP(B925,Quotas!$A$8:$C$14,3,FALSE)</f>
        <v>46164.70833</v>
      </c>
      <c r="F925" s="79">
        <f>COUNTIFS(Matches!$B:$B,A925,Matches!$A:$A,CONCAT("&gt;",$D925),Matches!$A:$A,CONCAT("&lt;",$E925))</f>
        <v>3</v>
      </c>
      <c r="G925" s="79">
        <f>COUNTIFS(Matches!$C:$C,$A925,Matches!$A:$A,CONCAT("&gt;",$D925),Matches!$A:$A,CONCAT("&lt;",$E925))</f>
        <v>2</v>
      </c>
      <c r="H925" s="79">
        <f t="shared" si="1"/>
        <v>5</v>
      </c>
      <c r="I925" s="79">
        <f>COUNTIFS(Matches!$B:$B,$A925,Matches!$A:$A,CONCAT("&lt;",$E925))</f>
        <v>11</v>
      </c>
      <c r="J925" s="79">
        <f>COUNTIFS(Matches!$C:$C,$A925,Matches!$A:$A,CONCAT("&lt;",$E925))</f>
        <v>9</v>
      </c>
      <c r="K925" s="79">
        <f>COUNTIFS(Entropy!D:D,A925,Entropy!I:I,CONCAT("&lt;",E925-1))</f>
        <v>0</v>
      </c>
      <c r="L925" s="79">
        <f t="shared" si="2"/>
        <v>20</v>
      </c>
      <c r="M925" s="79">
        <f t="array" ref="M925">max(min(IF(J925+K925=11,0,XLOOKUP(B925,Quotas!$A$8:$A$14,Quotas!$E$8:$E$14)-$L925),2),0)</f>
        <v>0</v>
      </c>
      <c r="N925" s="31">
        <f t="shared" si="3"/>
        <v>0</v>
      </c>
    </row>
    <row r="926">
      <c r="A926" s="31" t="s">
        <v>280</v>
      </c>
      <c r="B926" s="9">
        <v>4.0</v>
      </c>
      <c r="C926" s="31" t="str">
        <f>VLOOKUP(A926, 'College List'!A:B, 2, FALSE)</f>
        <v>Lorehold</v>
      </c>
      <c r="D926" s="355">
        <f>VLOOKUP(B926,Quotas!$A$8:$C$14,2,FALSE)</f>
        <v>46157.70833</v>
      </c>
      <c r="E926" s="356">
        <f>VLOOKUP(B926,Quotas!$A$8:$C$14,3,FALSE)</f>
        <v>46164.70833</v>
      </c>
      <c r="F926" s="79">
        <f>COUNTIFS(Matches!$B:$B,A926,Matches!$A:$A,CONCAT("&gt;",$D926),Matches!$A:$A,CONCAT("&lt;",$E926))</f>
        <v>1</v>
      </c>
      <c r="G926" s="79">
        <f>COUNTIFS(Matches!$C:$C,$A926,Matches!$A:$A,CONCAT("&gt;",$D926),Matches!$A:$A,CONCAT("&lt;",$E926))</f>
        <v>2</v>
      </c>
      <c r="H926" s="79">
        <f t="shared" si="1"/>
        <v>3</v>
      </c>
      <c r="I926" s="79">
        <f>COUNTIFS(Matches!$B:$B,$A926,Matches!$A:$A,CONCAT("&lt;",$E926))</f>
        <v>7</v>
      </c>
      <c r="J926" s="79">
        <f>COUNTIFS(Matches!$C:$C,$A926,Matches!$A:$A,CONCAT("&lt;",$E926))</f>
        <v>11</v>
      </c>
      <c r="K926" s="79">
        <f>COUNTIFS(Entropy!D:D,A926,Entropy!I:I,CONCAT("&lt;",E926-1))</f>
        <v>0</v>
      </c>
      <c r="L926" s="79">
        <f t="shared" si="2"/>
        <v>18</v>
      </c>
      <c r="M926" s="79">
        <f t="array" ref="M926">max(min(IF(J926+K926=11,0,XLOOKUP(B926,Quotas!$A$8:$A$14,Quotas!$E$8:$E$14)-$L926),2),0)</f>
        <v>0</v>
      </c>
      <c r="N926" s="31">
        <f t="shared" si="3"/>
        <v>0</v>
      </c>
    </row>
    <row r="927">
      <c r="A927" s="31" t="s">
        <v>183</v>
      </c>
      <c r="B927" s="9">
        <v>4.0</v>
      </c>
      <c r="C927" s="31" t="str">
        <f>VLOOKUP(A927, 'College List'!A:B, 2, FALSE)</f>
        <v>Prismari</v>
      </c>
      <c r="D927" s="355">
        <f>VLOOKUP(B927,Quotas!$A$8:$C$14,2,FALSE)</f>
        <v>46157.70833</v>
      </c>
      <c r="E927" s="356">
        <f>VLOOKUP(B927,Quotas!$A$8:$C$14,3,FALSE)</f>
        <v>46164.70833</v>
      </c>
      <c r="F927" s="79">
        <f>COUNTIFS(Matches!$B:$B,A927,Matches!$A:$A,CONCAT("&gt;",$D927),Matches!$A:$A,CONCAT("&lt;",$E927))</f>
        <v>4</v>
      </c>
      <c r="G927" s="79">
        <f>COUNTIFS(Matches!$C:$C,$A927,Matches!$A:$A,CONCAT("&gt;",$D927),Matches!$A:$A,CONCAT("&lt;",$E927))</f>
        <v>1</v>
      </c>
      <c r="H927" s="79">
        <f t="shared" si="1"/>
        <v>5</v>
      </c>
      <c r="I927" s="79">
        <f>COUNTIFS(Matches!$B:$B,$A927,Matches!$A:$A,CONCAT("&lt;",$E927))</f>
        <v>13</v>
      </c>
      <c r="J927" s="79">
        <f>COUNTIFS(Matches!$C:$C,$A927,Matches!$A:$A,CONCAT("&lt;",$E927))</f>
        <v>7</v>
      </c>
      <c r="K927" s="79">
        <f>COUNTIFS(Entropy!D:D,A927,Entropy!I:I,CONCAT("&lt;",E927-1))</f>
        <v>0</v>
      </c>
      <c r="L927" s="79">
        <f t="shared" si="2"/>
        <v>20</v>
      </c>
      <c r="M927" s="79">
        <f t="array" ref="M927">max(min(IF(J927+K927=11,0,XLOOKUP(B927,Quotas!$A$8:$A$14,Quotas!$E$8:$E$14)-$L927),2),0)</f>
        <v>0</v>
      </c>
      <c r="N927" s="31">
        <f t="shared" si="3"/>
        <v>0</v>
      </c>
    </row>
    <row r="928">
      <c r="A928" s="31" t="s">
        <v>639</v>
      </c>
      <c r="B928" s="9">
        <v>4.0</v>
      </c>
      <c r="C928" s="31" t="str">
        <f>VLOOKUP(A928, 'College List'!A:B, 2, FALSE)</f>
        <v>Silverquill</v>
      </c>
      <c r="D928" s="355">
        <f>VLOOKUP(B928,Quotas!$A$8:$C$14,2,FALSE)</f>
        <v>46157.70833</v>
      </c>
      <c r="E928" s="356">
        <f>VLOOKUP(B928,Quotas!$A$8:$C$14,3,FALSE)</f>
        <v>46164.70833</v>
      </c>
      <c r="F928" s="79">
        <f>COUNTIFS(Matches!$B:$B,A928,Matches!$A:$A,CONCAT("&gt;",$D928),Matches!$A:$A,CONCAT("&lt;",$E928))</f>
        <v>0</v>
      </c>
      <c r="G928" s="79">
        <f>COUNTIFS(Matches!$C:$C,$A928,Matches!$A:$A,CONCAT("&gt;",$D928),Matches!$A:$A,CONCAT("&lt;",$E928))</f>
        <v>0</v>
      </c>
      <c r="H928" s="79">
        <f t="shared" si="1"/>
        <v>0</v>
      </c>
      <c r="I928" s="79">
        <f>COUNTIFS(Matches!$B:$B,$A928,Matches!$A:$A,CONCAT("&lt;",$E928))</f>
        <v>0</v>
      </c>
      <c r="J928" s="79">
        <f>COUNTIFS(Matches!$C:$C,$A928,Matches!$A:$A,CONCAT("&lt;",$E928))</f>
        <v>0</v>
      </c>
      <c r="K928" s="79">
        <f>COUNTIFS(Entropy!D:D,A928,Entropy!I:I,CONCAT("&lt;",E928-1))</f>
        <v>11</v>
      </c>
      <c r="L928" s="79">
        <f t="shared" si="2"/>
        <v>11</v>
      </c>
      <c r="M928" s="79">
        <f t="array" ref="M928">max(min(IF(J928+K928=11,0,XLOOKUP(B928,Quotas!$A$8:$A$14,Quotas!$E$8:$E$14)-$L928),2),0)</f>
        <v>0</v>
      </c>
      <c r="N928" s="31">
        <f t="shared" si="3"/>
        <v>0</v>
      </c>
    </row>
    <row r="929">
      <c r="A929" s="31" t="s">
        <v>152</v>
      </c>
      <c r="B929" s="9">
        <v>4.0</v>
      </c>
      <c r="C929" s="31" t="str">
        <f>VLOOKUP(A929, 'College List'!A:B, 2, FALSE)</f>
        <v>Quandrix</v>
      </c>
      <c r="D929" s="355">
        <f>VLOOKUP(B929,Quotas!$A$8:$C$14,2,FALSE)</f>
        <v>46157.70833</v>
      </c>
      <c r="E929" s="356">
        <f>VLOOKUP(B929,Quotas!$A$8:$C$14,3,FALSE)</f>
        <v>46164.70833</v>
      </c>
      <c r="F929" s="79">
        <f>COUNTIFS(Matches!$B:$B,A929,Matches!$A:$A,CONCAT("&gt;",$D929),Matches!$A:$A,CONCAT("&lt;",$E929))</f>
        <v>3</v>
      </c>
      <c r="G929" s="79">
        <f>COUNTIFS(Matches!$C:$C,$A929,Matches!$A:$A,CONCAT("&gt;",$D929),Matches!$A:$A,CONCAT("&lt;",$E929))</f>
        <v>2</v>
      </c>
      <c r="H929" s="79">
        <f t="shared" si="1"/>
        <v>5</v>
      </c>
      <c r="I929" s="79">
        <f>COUNTIFS(Matches!$B:$B,$A929,Matches!$A:$A,CONCAT("&lt;",$E929))</f>
        <v>9</v>
      </c>
      <c r="J929" s="79">
        <f>COUNTIFS(Matches!$C:$C,$A929,Matches!$A:$A,CONCAT("&lt;",$E929))</f>
        <v>11</v>
      </c>
      <c r="K929" s="79">
        <f>COUNTIFS(Entropy!D:D,A929,Entropy!I:I,CONCAT("&lt;",E929-1))</f>
        <v>0</v>
      </c>
      <c r="L929" s="79">
        <f t="shared" si="2"/>
        <v>20</v>
      </c>
      <c r="M929" s="79">
        <f t="array" ref="M929">max(min(IF(J929+K929=11,0,XLOOKUP(B929,Quotas!$A$8:$A$14,Quotas!$E$8:$E$14)-$L929),2),0)</f>
        <v>0</v>
      </c>
      <c r="N929" s="31">
        <f t="shared" si="3"/>
        <v>0</v>
      </c>
    </row>
    <row r="930">
      <c r="A930" s="31" t="s">
        <v>218</v>
      </c>
      <c r="B930" s="9">
        <v>4.0</v>
      </c>
      <c r="C930" s="31" t="str">
        <f>VLOOKUP(A930, 'College List'!A:B, 2, FALSE)</f>
        <v>Silverquill</v>
      </c>
      <c r="D930" s="355">
        <f>VLOOKUP(B930,Quotas!$A$8:$C$14,2,FALSE)</f>
        <v>46157.70833</v>
      </c>
      <c r="E930" s="356">
        <f>VLOOKUP(B930,Quotas!$A$8:$C$14,3,FALSE)</f>
        <v>46164.70833</v>
      </c>
      <c r="F930" s="79">
        <f>COUNTIFS(Matches!$B:$B,A930,Matches!$A:$A,CONCAT("&gt;",$D930),Matches!$A:$A,CONCAT("&lt;",$E930))</f>
        <v>5</v>
      </c>
      <c r="G930" s="79">
        <f>COUNTIFS(Matches!$C:$C,$A930,Matches!$A:$A,CONCAT("&gt;",$D930),Matches!$A:$A,CONCAT("&lt;",$E930))</f>
        <v>0</v>
      </c>
      <c r="H930" s="79">
        <f t="shared" si="1"/>
        <v>5</v>
      </c>
      <c r="I930" s="79">
        <f>COUNTIFS(Matches!$B:$B,$A930,Matches!$A:$A,CONCAT("&lt;",$E930))</f>
        <v>16</v>
      </c>
      <c r="J930" s="79">
        <f>COUNTIFS(Matches!$C:$C,$A930,Matches!$A:$A,CONCAT("&lt;",$E930))</f>
        <v>4</v>
      </c>
      <c r="K930" s="79">
        <f>COUNTIFS(Entropy!D:D,A930,Entropy!I:I,CONCAT("&lt;",E930-1))</f>
        <v>0</v>
      </c>
      <c r="L930" s="79">
        <f t="shared" si="2"/>
        <v>20</v>
      </c>
      <c r="M930" s="79">
        <f t="array" ref="M930">max(min(IF(J930+K930=11,0,XLOOKUP(B930,Quotas!$A$8:$A$14,Quotas!$E$8:$E$14)-$L930),2),0)</f>
        <v>0</v>
      </c>
      <c r="N930" s="31">
        <f t="shared" si="3"/>
        <v>0</v>
      </c>
    </row>
    <row r="931">
      <c r="A931" s="31" t="s">
        <v>76</v>
      </c>
      <c r="B931" s="9">
        <v>4.0</v>
      </c>
      <c r="C931" s="31" t="str">
        <f>VLOOKUP(A931, 'College List'!A:B, 2, FALSE)</f>
        <v>Prismari</v>
      </c>
      <c r="D931" s="355">
        <f>VLOOKUP(B931,Quotas!$A$8:$C$14,2,FALSE)</f>
        <v>46157.70833</v>
      </c>
      <c r="E931" s="356">
        <f>VLOOKUP(B931,Quotas!$A$8:$C$14,3,FALSE)</f>
        <v>46164.70833</v>
      </c>
      <c r="F931" s="79">
        <f>COUNTIFS(Matches!$B:$B,A931,Matches!$A:$A,CONCAT("&gt;",$D931),Matches!$A:$A,CONCAT("&lt;",$E931))</f>
        <v>3</v>
      </c>
      <c r="G931" s="79">
        <f>COUNTIFS(Matches!$C:$C,$A931,Matches!$A:$A,CONCAT("&gt;",$D931),Matches!$A:$A,CONCAT("&lt;",$E931))</f>
        <v>2</v>
      </c>
      <c r="H931" s="79">
        <f t="shared" si="1"/>
        <v>5</v>
      </c>
      <c r="I931" s="79">
        <f>COUNTIFS(Matches!$B:$B,$A931,Matches!$A:$A,CONCAT("&lt;",$E931))</f>
        <v>15</v>
      </c>
      <c r="J931" s="79">
        <f>COUNTIFS(Matches!$C:$C,$A931,Matches!$A:$A,CONCAT("&lt;",$E931))</f>
        <v>5</v>
      </c>
      <c r="K931" s="79">
        <f>COUNTIFS(Entropy!D:D,A931,Entropy!I:I,CONCAT("&lt;",E931-1))</f>
        <v>0</v>
      </c>
      <c r="L931" s="79">
        <f t="shared" si="2"/>
        <v>20</v>
      </c>
      <c r="M931" s="79">
        <f t="array" ref="M931">max(min(IF(J931+K931=11,0,XLOOKUP(B931,Quotas!$A$8:$A$14,Quotas!$E$8:$E$14)-$L931),2),0)</f>
        <v>0</v>
      </c>
      <c r="N931" s="31">
        <f t="shared" si="3"/>
        <v>0</v>
      </c>
    </row>
    <row r="932">
      <c r="A932" s="31" t="s">
        <v>173</v>
      </c>
      <c r="B932" s="9">
        <v>4.0</v>
      </c>
      <c r="C932" s="31" t="str">
        <f>VLOOKUP(A932, 'College List'!A:B, 2, FALSE)</f>
        <v>Witherbloom</v>
      </c>
      <c r="D932" s="355">
        <f>VLOOKUP(B932,Quotas!$A$8:$C$14,2,FALSE)</f>
        <v>46157.70833</v>
      </c>
      <c r="E932" s="356">
        <f>VLOOKUP(B932,Quotas!$A$8:$C$14,3,FALSE)</f>
        <v>46164.70833</v>
      </c>
      <c r="F932" s="79">
        <f>COUNTIFS(Matches!$B:$B,A932,Matches!$A:$A,CONCAT("&gt;",$D932),Matches!$A:$A,CONCAT("&lt;",$E932))</f>
        <v>1</v>
      </c>
      <c r="G932" s="79">
        <f>COUNTIFS(Matches!$C:$C,$A932,Matches!$A:$A,CONCAT("&gt;",$D932),Matches!$A:$A,CONCAT("&lt;",$E932))</f>
        <v>2</v>
      </c>
      <c r="H932" s="79">
        <f t="shared" si="1"/>
        <v>3</v>
      </c>
      <c r="I932" s="79">
        <f>COUNTIFS(Matches!$B:$B,$A932,Matches!$A:$A,CONCAT("&lt;",$E932))</f>
        <v>9</v>
      </c>
      <c r="J932" s="79">
        <f>COUNTIFS(Matches!$C:$C,$A932,Matches!$A:$A,CONCAT("&lt;",$E932))</f>
        <v>10</v>
      </c>
      <c r="K932" s="79">
        <f>COUNTIFS(Entropy!D:D,A932,Entropy!I:I,CONCAT("&lt;",E932-1))</f>
        <v>1</v>
      </c>
      <c r="L932" s="79">
        <f t="shared" si="2"/>
        <v>20</v>
      </c>
      <c r="M932" s="79">
        <f t="array" ref="M932">max(min(IF(J932+K932=11,0,XLOOKUP(B932,Quotas!$A$8:$A$14,Quotas!$E$8:$E$14)-$L932),2),0)</f>
        <v>0</v>
      </c>
      <c r="N932" s="31">
        <f t="shared" si="3"/>
        <v>0</v>
      </c>
    </row>
    <row r="933">
      <c r="A933" s="31" t="s">
        <v>224</v>
      </c>
      <c r="B933" s="9">
        <v>4.0</v>
      </c>
      <c r="C933" s="31" t="str">
        <f>VLOOKUP(A933, 'College List'!A:B, 2, FALSE)</f>
        <v>Lorehold</v>
      </c>
      <c r="D933" s="355">
        <f>VLOOKUP(B933,Quotas!$A$8:$C$14,2,FALSE)</f>
        <v>46157.70833</v>
      </c>
      <c r="E933" s="356">
        <f>VLOOKUP(B933,Quotas!$A$8:$C$14,3,FALSE)</f>
        <v>46164.70833</v>
      </c>
      <c r="F933" s="79">
        <f>COUNTIFS(Matches!$B:$B,A933,Matches!$A:$A,CONCAT("&gt;",$D933),Matches!$A:$A,CONCAT("&lt;",$E933))</f>
        <v>2</v>
      </c>
      <c r="G933" s="79">
        <f>COUNTIFS(Matches!$C:$C,$A933,Matches!$A:$A,CONCAT("&gt;",$D933),Matches!$A:$A,CONCAT("&lt;",$E933))</f>
        <v>1</v>
      </c>
      <c r="H933" s="79">
        <f t="shared" si="1"/>
        <v>3</v>
      </c>
      <c r="I933" s="79">
        <f>COUNTIFS(Matches!$B:$B,$A933,Matches!$A:$A,CONCAT("&lt;",$E933))</f>
        <v>7</v>
      </c>
      <c r="J933" s="79">
        <f>COUNTIFS(Matches!$C:$C,$A933,Matches!$A:$A,CONCAT("&lt;",$E933))</f>
        <v>11</v>
      </c>
      <c r="K933" s="79">
        <f>COUNTIFS(Entropy!D:D,A933,Entropy!I:I,CONCAT("&lt;",E933-1))</f>
        <v>0</v>
      </c>
      <c r="L933" s="79">
        <f t="shared" si="2"/>
        <v>18</v>
      </c>
      <c r="M933" s="79">
        <f t="array" ref="M933">max(min(IF(J933+K933=11,0,XLOOKUP(B933,Quotas!$A$8:$A$14,Quotas!$E$8:$E$14)-$L933),2),0)</f>
        <v>0</v>
      </c>
      <c r="N933" s="31">
        <f t="shared" si="3"/>
        <v>0</v>
      </c>
    </row>
    <row r="934">
      <c r="A934" s="31" t="s">
        <v>340</v>
      </c>
      <c r="B934" s="9">
        <v>4.0</v>
      </c>
      <c r="C934" s="31" t="str">
        <f>VLOOKUP(A934, 'College List'!A:B, 2, FALSE)</f>
        <v>Witherbloom</v>
      </c>
      <c r="D934" s="355">
        <f>VLOOKUP(B934,Quotas!$A$8:$C$14,2,FALSE)</f>
        <v>46157.70833</v>
      </c>
      <c r="E934" s="356">
        <f>VLOOKUP(B934,Quotas!$A$8:$C$14,3,FALSE)</f>
        <v>46164.70833</v>
      </c>
      <c r="F934" s="79">
        <f>COUNTIFS(Matches!$B:$B,A934,Matches!$A:$A,CONCAT("&gt;",$D934),Matches!$A:$A,CONCAT("&lt;",$E934))</f>
        <v>0</v>
      </c>
      <c r="G934" s="79">
        <f>COUNTIFS(Matches!$C:$C,$A934,Matches!$A:$A,CONCAT("&gt;",$D934),Matches!$A:$A,CONCAT("&lt;",$E934))</f>
        <v>0</v>
      </c>
      <c r="H934" s="79">
        <f t="shared" si="1"/>
        <v>0</v>
      </c>
      <c r="I934" s="79">
        <f>COUNTIFS(Matches!$B:$B,$A934,Matches!$A:$A,CONCAT("&lt;",$E934))</f>
        <v>5</v>
      </c>
      <c r="J934" s="79">
        <f>COUNTIFS(Matches!$C:$C,$A934,Matches!$A:$A,CONCAT("&lt;",$E934))</f>
        <v>7</v>
      </c>
      <c r="K934" s="79">
        <f>COUNTIFS(Entropy!D:D,A934,Entropy!I:I,CONCAT("&lt;",E934-1))</f>
        <v>1</v>
      </c>
      <c r="L934" s="79">
        <f t="shared" si="2"/>
        <v>13</v>
      </c>
      <c r="M934" s="79">
        <f t="array" ref="M934">max(min(IF(J934+K934=11,0,XLOOKUP(B934,Quotas!$A$8:$A$14,Quotas!$E$8:$E$14)-$L934),2),0)</f>
        <v>2</v>
      </c>
      <c r="N934" s="31">
        <f t="shared" si="3"/>
        <v>0</v>
      </c>
    </row>
    <row r="935">
      <c r="A935" s="31" t="s">
        <v>472</v>
      </c>
      <c r="B935" s="9">
        <v>4.0</v>
      </c>
      <c r="C935" s="31" t="str">
        <f>VLOOKUP(A935, 'College List'!A:B, 2, FALSE)</f>
        <v>Prismari</v>
      </c>
      <c r="D935" s="355">
        <f>VLOOKUP(B935,Quotas!$A$8:$C$14,2,FALSE)</f>
        <v>46157.70833</v>
      </c>
      <c r="E935" s="356">
        <f>VLOOKUP(B935,Quotas!$A$8:$C$14,3,FALSE)</f>
        <v>46164.70833</v>
      </c>
      <c r="F935" s="79">
        <f>COUNTIFS(Matches!$B:$B,A935,Matches!$A:$A,CONCAT("&gt;",$D935),Matches!$A:$A,CONCAT("&lt;",$E935))</f>
        <v>0</v>
      </c>
      <c r="G935" s="79">
        <f>COUNTIFS(Matches!$C:$C,$A935,Matches!$A:$A,CONCAT("&gt;",$D935),Matches!$A:$A,CONCAT("&lt;",$E935))</f>
        <v>0</v>
      </c>
      <c r="H935" s="79">
        <f t="shared" si="1"/>
        <v>0</v>
      </c>
      <c r="I935" s="79">
        <f>COUNTIFS(Matches!$B:$B,$A935,Matches!$A:$A,CONCAT("&lt;",$E935))</f>
        <v>3</v>
      </c>
      <c r="J935" s="79">
        <f>COUNTIFS(Matches!$C:$C,$A935,Matches!$A:$A,CONCAT("&lt;",$E935))</f>
        <v>4</v>
      </c>
      <c r="K935" s="79">
        <f>COUNTIFS(Entropy!D:D,A935,Entropy!I:I,CONCAT("&lt;",E935-1))</f>
        <v>6</v>
      </c>
      <c r="L935" s="79">
        <f t="shared" si="2"/>
        <v>13</v>
      </c>
      <c r="M935" s="79">
        <f t="array" ref="M935">max(min(IF(J935+K935=11,0,XLOOKUP(B935,Quotas!$A$8:$A$14,Quotas!$E$8:$E$14)-$L935),2),0)</f>
        <v>2</v>
      </c>
      <c r="N935" s="31">
        <f t="shared" si="3"/>
        <v>0</v>
      </c>
    </row>
    <row r="936">
      <c r="A936" s="31" t="s">
        <v>169</v>
      </c>
      <c r="B936" s="9">
        <v>4.0</v>
      </c>
      <c r="C936" s="31" t="str">
        <f>VLOOKUP(A936, 'College List'!A:B, 2, FALSE)</f>
        <v>Silverquill</v>
      </c>
      <c r="D936" s="355">
        <f>VLOOKUP(B936,Quotas!$A$8:$C$14,2,FALSE)</f>
        <v>46157.70833</v>
      </c>
      <c r="E936" s="356">
        <f>VLOOKUP(B936,Quotas!$A$8:$C$14,3,FALSE)</f>
        <v>46164.70833</v>
      </c>
      <c r="F936" s="79">
        <f>COUNTIFS(Matches!$B:$B,A936,Matches!$A:$A,CONCAT("&gt;",$D936),Matches!$A:$A,CONCAT("&lt;",$E936))</f>
        <v>0</v>
      </c>
      <c r="G936" s="79">
        <f>COUNTIFS(Matches!$C:$C,$A936,Matches!$A:$A,CONCAT("&gt;",$D936),Matches!$A:$A,CONCAT("&lt;",$E936))</f>
        <v>3</v>
      </c>
      <c r="H936" s="79">
        <f t="shared" si="1"/>
        <v>3</v>
      </c>
      <c r="I936" s="79">
        <f>COUNTIFS(Matches!$B:$B,$A936,Matches!$A:$A,CONCAT("&lt;",$E936))</f>
        <v>6</v>
      </c>
      <c r="J936" s="79">
        <f>COUNTIFS(Matches!$C:$C,$A936,Matches!$A:$A,CONCAT("&lt;",$E936))</f>
        <v>11</v>
      </c>
      <c r="K936" s="79">
        <f>COUNTIFS(Entropy!D:D,A936,Entropy!I:I,CONCAT("&lt;",E936-1))</f>
        <v>0</v>
      </c>
      <c r="L936" s="79">
        <f t="shared" si="2"/>
        <v>17</v>
      </c>
      <c r="M936" s="79">
        <f t="array" ref="M936">max(min(IF(J936+K936=11,0,XLOOKUP(B936,Quotas!$A$8:$A$14,Quotas!$E$8:$E$14)-$L936),2),0)</f>
        <v>0</v>
      </c>
      <c r="N936" s="31">
        <f t="shared" si="3"/>
        <v>0</v>
      </c>
    </row>
    <row r="937">
      <c r="A937" s="31" t="s">
        <v>313</v>
      </c>
      <c r="B937" s="9">
        <v>4.0</v>
      </c>
      <c r="C937" s="31" t="str">
        <f>VLOOKUP(A937, 'College List'!A:B, 2, FALSE)</f>
        <v>Lorehold</v>
      </c>
      <c r="D937" s="355">
        <f>VLOOKUP(B937,Quotas!$A$8:$C$14,2,FALSE)</f>
        <v>46157.70833</v>
      </c>
      <c r="E937" s="356">
        <f>VLOOKUP(B937,Quotas!$A$8:$C$14,3,FALSE)</f>
        <v>46164.70833</v>
      </c>
      <c r="F937" s="79">
        <f>COUNTIFS(Matches!$B:$B,A937,Matches!$A:$A,CONCAT("&gt;",$D937),Matches!$A:$A,CONCAT("&lt;",$E937))</f>
        <v>1</v>
      </c>
      <c r="G937" s="79">
        <f>COUNTIFS(Matches!$C:$C,$A937,Matches!$A:$A,CONCAT("&gt;",$D937),Matches!$A:$A,CONCAT("&lt;",$E937))</f>
        <v>1</v>
      </c>
      <c r="H937" s="79">
        <f t="shared" si="1"/>
        <v>2</v>
      </c>
      <c r="I937" s="79">
        <f>COUNTIFS(Matches!$B:$B,$A937,Matches!$A:$A,CONCAT("&lt;",$E937))</f>
        <v>6</v>
      </c>
      <c r="J937" s="79">
        <f>COUNTIFS(Matches!$C:$C,$A937,Matches!$A:$A,CONCAT("&lt;",$E937))</f>
        <v>11</v>
      </c>
      <c r="K937" s="79">
        <f>COUNTIFS(Entropy!D:D,A937,Entropy!I:I,CONCAT("&lt;",E937-1))</f>
        <v>0</v>
      </c>
      <c r="L937" s="79">
        <f t="shared" si="2"/>
        <v>17</v>
      </c>
      <c r="M937" s="79">
        <f t="array" ref="M937">max(min(IF(J937+K937=11,0,XLOOKUP(B937,Quotas!$A$8:$A$14,Quotas!$E$8:$E$14)-$L937),2),0)</f>
        <v>0</v>
      </c>
      <c r="N937" s="31">
        <f t="shared" si="3"/>
        <v>0</v>
      </c>
    </row>
    <row r="938">
      <c r="A938" s="31" t="s">
        <v>247</v>
      </c>
      <c r="B938" s="9">
        <v>4.0</v>
      </c>
      <c r="C938" s="31" t="str">
        <f>VLOOKUP(A938, 'College List'!A:B, 2, FALSE)</f>
        <v>Quandrix</v>
      </c>
      <c r="D938" s="355">
        <f>VLOOKUP(B938,Quotas!$A$8:$C$14,2,FALSE)</f>
        <v>46157.70833</v>
      </c>
      <c r="E938" s="356">
        <f>VLOOKUP(B938,Quotas!$A$8:$C$14,3,FALSE)</f>
        <v>46164.70833</v>
      </c>
      <c r="F938" s="79">
        <f>COUNTIFS(Matches!$B:$B,A938,Matches!$A:$A,CONCAT("&gt;",$D938),Matches!$A:$A,CONCAT("&lt;",$E938))</f>
        <v>0</v>
      </c>
      <c r="G938" s="79">
        <f>COUNTIFS(Matches!$C:$C,$A938,Matches!$A:$A,CONCAT("&gt;",$D938),Matches!$A:$A,CONCAT("&lt;",$E938))</f>
        <v>2</v>
      </c>
      <c r="H938" s="79">
        <f t="shared" si="1"/>
        <v>2</v>
      </c>
      <c r="I938" s="79">
        <f>COUNTIFS(Matches!$B:$B,$A938,Matches!$A:$A,CONCAT("&lt;",$E938))</f>
        <v>8</v>
      </c>
      <c r="J938" s="79">
        <f>COUNTIFS(Matches!$C:$C,$A938,Matches!$A:$A,CONCAT("&lt;",$E938))</f>
        <v>7</v>
      </c>
      <c r="K938" s="79">
        <f>COUNTIFS(Entropy!D:D,A938,Entropy!I:I,CONCAT("&lt;",E938-1))</f>
        <v>0</v>
      </c>
      <c r="L938" s="79">
        <f t="shared" si="2"/>
        <v>15</v>
      </c>
      <c r="M938" s="79">
        <f t="array" ref="M938">max(min(IF(J938+K938=11,0,XLOOKUP(B938,Quotas!$A$8:$A$14,Quotas!$E$8:$E$14)-$L938),2),0)</f>
        <v>2</v>
      </c>
      <c r="N938" s="31">
        <f t="shared" si="3"/>
        <v>1</v>
      </c>
    </row>
    <row r="939">
      <c r="A939" s="31" t="s">
        <v>104</v>
      </c>
      <c r="B939" s="9">
        <v>4.0</v>
      </c>
      <c r="C939" s="31" t="str">
        <f>VLOOKUP(A939, 'College List'!A:B, 2, FALSE)</f>
        <v>Lorehold</v>
      </c>
      <c r="D939" s="355">
        <f>VLOOKUP(B939,Quotas!$A$8:$C$14,2,FALSE)</f>
        <v>46157.70833</v>
      </c>
      <c r="E939" s="356">
        <f>VLOOKUP(B939,Quotas!$A$8:$C$14,3,FALSE)</f>
        <v>46164.70833</v>
      </c>
      <c r="F939" s="79">
        <f>COUNTIFS(Matches!$B:$B,A939,Matches!$A:$A,CONCAT("&gt;",$D939),Matches!$A:$A,CONCAT("&lt;",$E939))</f>
        <v>1</v>
      </c>
      <c r="G939" s="79">
        <f>COUNTIFS(Matches!$C:$C,$A939,Matches!$A:$A,CONCAT("&gt;",$D939),Matches!$A:$A,CONCAT("&lt;",$E939))</f>
        <v>4</v>
      </c>
      <c r="H939" s="79">
        <f t="shared" si="1"/>
        <v>5</v>
      </c>
      <c r="I939" s="79">
        <f>COUNTIFS(Matches!$B:$B,$A939,Matches!$A:$A,CONCAT("&lt;",$E939))</f>
        <v>10</v>
      </c>
      <c r="J939" s="79">
        <f>COUNTIFS(Matches!$C:$C,$A939,Matches!$A:$A,CONCAT("&lt;",$E939))</f>
        <v>10</v>
      </c>
      <c r="K939" s="79">
        <f>COUNTIFS(Entropy!D:D,A939,Entropy!I:I,CONCAT("&lt;",E939-1))</f>
        <v>0</v>
      </c>
      <c r="L939" s="79">
        <f t="shared" si="2"/>
        <v>20</v>
      </c>
      <c r="M939" s="79">
        <f t="array" ref="M939">max(min(IF(J939+K939=11,0,XLOOKUP(B939,Quotas!$A$8:$A$14,Quotas!$E$8:$E$14)-$L939),2),0)</f>
        <v>0</v>
      </c>
      <c r="N939" s="31">
        <f t="shared" si="3"/>
        <v>0</v>
      </c>
    </row>
    <row r="940">
      <c r="A940" s="31" t="s">
        <v>249</v>
      </c>
      <c r="B940" s="9">
        <v>4.0</v>
      </c>
      <c r="C940" s="31" t="str">
        <f>VLOOKUP(A940, 'College List'!A:B, 2, FALSE)</f>
        <v>Quandrix</v>
      </c>
      <c r="D940" s="355">
        <f>VLOOKUP(B940,Quotas!$A$8:$C$14,2,FALSE)</f>
        <v>46157.70833</v>
      </c>
      <c r="E940" s="356">
        <f>VLOOKUP(B940,Quotas!$A$8:$C$14,3,FALSE)</f>
        <v>46164.70833</v>
      </c>
      <c r="F940" s="79">
        <f>COUNTIFS(Matches!$B:$B,A940,Matches!$A:$A,CONCAT("&gt;",$D940),Matches!$A:$A,CONCAT("&lt;",$E940))</f>
        <v>1</v>
      </c>
      <c r="G940" s="79">
        <f>COUNTIFS(Matches!$C:$C,$A940,Matches!$A:$A,CONCAT("&gt;",$D940),Matches!$A:$A,CONCAT("&lt;",$E940))</f>
        <v>3</v>
      </c>
      <c r="H940" s="79">
        <f t="shared" si="1"/>
        <v>4</v>
      </c>
      <c r="I940" s="79">
        <f>COUNTIFS(Matches!$B:$B,$A940,Matches!$A:$A,CONCAT("&lt;",$E940))</f>
        <v>8</v>
      </c>
      <c r="J940" s="79">
        <f>COUNTIFS(Matches!$C:$C,$A940,Matches!$A:$A,CONCAT("&lt;",$E940))</f>
        <v>11</v>
      </c>
      <c r="K940" s="79">
        <f>COUNTIFS(Entropy!D:D,A940,Entropy!I:I,CONCAT("&lt;",E940-1))</f>
        <v>0</v>
      </c>
      <c r="L940" s="79">
        <f t="shared" si="2"/>
        <v>19</v>
      </c>
      <c r="M940" s="79">
        <f t="array" ref="M940">max(min(IF(J940+K940=11,0,XLOOKUP(B940,Quotas!$A$8:$A$14,Quotas!$E$8:$E$14)-$L940),2),0)</f>
        <v>0</v>
      </c>
      <c r="N940" s="31">
        <f t="shared" si="3"/>
        <v>0</v>
      </c>
    </row>
    <row r="941">
      <c r="A941" s="31" t="s">
        <v>294</v>
      </c>
      <c r="B941" s="9">
        <v>4.0</v>
      </c>
      <c r="C941" s="31" t="str">
        <f>VLOOKUP(A941, 'College List'!A:B, 2, FALSE)</f>
        <v>Prismari</v>
      </c>
      <c r="D941" s="355">
        <f>VLOOKUP(B941,Quotas!$A$8:$C$14,2,FALSE)</f>
        <v>46157.70833</v>
      </c>
      <c r="E941" s="356">
        <f>VLOOKUP(B941,Quotas!$A$8:$C$14,3,FALSE)</f>
        <v>46164.70833</v>
      </c>
      <c r="F941" s="79">
        <f>COUNTIFS(Matches!$B:$B,A941,Matches!$A:$A,CONCAT("&gt;",$D941),Matches!$A:$A,CONCAT("&lt;",$E941))</f>
        <v>0</v>
      </c>
      <c r="G941" s="79">
        <f>COUNTIFS(Matches!$C:$C,$A941,Matches!$A:$A,CONCAT("&gt;",$D941),Matches!$A:$A,CONCAT("&lt;",$E941))</f>
        <v>0</v>
      </c>
      <c r="H941" s="79">
        <f t="shared" si="1"/>
        <v>0</v>
      </c>
      <c r="I941" s="79">
        <f>COUNTIFS(Matches!$B:$B,$A941,Matches!$A:$A,CONCAT("&lt;",$E941))</f>
        <v>4</v>
      </c>
      <c r="J941" s="79">
        <f>COUNTIFS(Matches!$C:$C,$A941,Matches!$A:$A,CONCAT("&lt;",$E941))</f>
        <v>10</v>
      </c>
      <c r="K941" s="79">
        <f>COUNTIFS(Entropy!D:D,A941,Entropy!I:I,CONCAT("&lt;",E941-1))</f>
        <v>0</v>
      </c>
      <c r="L941" s="79">
        <f t="shared" si="2"/>
        <v>14</v>
      </c>
      <c r="M941" s="79">
        <f t="array" ref="M941">max(min(IF(J941+K941=11,0,XLOOKUP(B941,Quotas!$A$8:$A$14,Quotas!$E$8:$E$14)-$L941),2),0)</f>
        <v>2</v>
      </c>
      <c r="N941" s="31">
        <f t="shared" si="3"/>
        <v>0</v>
      </c>
    </row>
    <row r="942">
      <c r="A942" s="31" t="s">
        <v>276</v>
      </c>
      <c r="B942" s="9">
        <v>4.0</v>
      </c>
      <c r="C942" s="31" t="str">
        <f>VLOOKUP(A942, 'College List'!A:B, 2, FALSE)</f>
        <v>Quandrix</v>
      </c>
      <c r="D942" s="355">
        <f>VLOOKUP(B942,Quotas!$A$8:$C$14,2,FALSE)</f>
        <v>46157.70833</v>
      </c>
      <c r="E942" s="356">
        <f>VLOOKUP(B942,Quotas!$A$8:$C$14,3,FALSE)</f>
        <v>46164.70833</v>
      </c>
      <c r="F942" s="79">
        <f>COUNTIFS(Matches!$B:$B,A942,Matches!$A:$A,CONCAT("&gt;",$D942),Matches!$A:$A,CONCAT("&lt;",$E942))</f>
        <v>3</v>
      </c>
      <c r="G942" s="79">
        <f>COUNTIFS(Matches!$C:$C,$A942,Matches!$A:$A,CONCAT("&gt;",$D942),Matches!$A:$A,CONCAT("&lt;",$E942))</f>
        <v>2</v>
      </c>
      <c r="H942" s="79">
        <f t="shared" si="1"/>
        <v>5</v>
      </c>
      <c r="I942" s="79">
        <f>COUNTIFS(Matches!$B:$B,$A942,Matches!$A:$A,CONCAT("&lt;",$E942))</f>
        <v>12</v>
      </c>
      <c r="J942" s="79">
        <f>COUNTIFS(Matches!$C:$C,$A942,Matches!$A:$A,CONCAT("&lt;",$E942))</f>
        <v>8</v>
      </c>
      <c r="K942" s="79">
        <f>COUNTIFS(Entropy!D:D,A942,Entropy!I:I,CONCAT("&lt;",E942-1))</f>
        <v>0</v>
      </c>
      <c r="L942" s="79">
        <f t="shared" si="2"/>
        <v>20</v>
      </c>
      <c r="M942" s="79">
        <f t="array" ref="M942">max(min(IF(J942+K942=11,0,XLOOKUP(B942,Quotas!$A$8:$A$14,Quotas!$E$8:$E$14)-$L942),2),0)</f>
        <v>0</v>
      </c>
      <c r="N942" s="31">
        <f t="shared" si="3"/>
        <v>0</v>
      </c>
    </row>
    <row r="943">
      <c r="A943" s="31" t="s">
        <v>257</v>
      </c>
      <c r="B943" s="9">
        <v>4.0</v>
      </c>
      <c r="C943" s="31" t="str">
        <f>VLOOKUP(A943, 'College List'!A:B, 2, FALSE)</f>
        <v>Witherbloom</v>
      </c>
      <c r="D943" s="355">
        <f>VLOOKUP(B943,Quotas!$A$8:$C$14,2,FALSE)</f>
        <v>46157.70833</v>
      </c>
      <c r="E943" s="356">
        <f>VLOOKUP(B943,Quotas!$A$8:$C$14,3,FALSE)</f>
        <v>46164.70833</v>
      </c>
      <c r="F943" s="79">
        <f>COUNTIFS(Matches!$B:$B,A943,Matches!$A:$A,CONCAT("&gt;",$D943),Matches!$A:$A,CONCAT("&lt;",$E943))</f>
        <v>2</v>
      </c>
      <c r="G943" s="79">
        <f>COUNTIFS(Matches!$C:$C,$A943,Matches!$A:$A,CONCAT("&gt;",$D943),Matches!$A:$A,CONCAT("&lt;",$E943))</f>
        <v>2</v>
      </c>
      <c r="H943" s="79">
        <f t="shared" si="1"/>
        <v>4</v>
      </c>
      <c r="I943" s="79">
        <f>COUNTIFS(Matches!$B:$B,$A943,Matches!$A:$A,CONCAT("&lt;",$E943))</f>
        <v>6</v>
      </c>
      <c r="J943" s="79">
        <f>COUNTIFS(Matches!$C:$C,$A943,Matches!$A:$A,CONCAT("&lt;",$E943))</f>
        <v>11</v>
      </c>
      <c r="K943" s="79">
        <f>COUNTIFS(Entropy!D:D,A943,Entropy!I:I,CONCAT("&lt;",E943-1))</f>
        <v>0</v>
      </c>
      <c r="L943" s="79">
        <f t="shared" si="2"/>
        <v>17</v>
      </c>
      <c r="M943" s="79">
        <f t="array" ref="M943">max(min(IF(J943+K943=11,0,XLOOKUP(B943,Quotas!$A$8:$A$14,Quotas!$E$8:$E$14)-$L943),2),0)</f>
        <v>0</v>
      </c>
      <c r="N943" s="31">
        <f t="shared" si="3"/>
        <v>0</v>
      </c>
    </row>
    <row r="944">
      <c r="A944" s="31" t="s">
        <v>195</v>
      </c>
      <c r="B944" s="9">
        <v>4.0</v>
      </c>
      <c r="C944" s="31" t="str">
        <f>VLOOKUP(A944, 'College List'!A:B, 2, FALSE)</f>
        <v>Lorehold</v>
      </c>
      <c r="D944" s="355">
        <f>VLOOKUP(B944,Quotas!$A$8:$C$14,2,FALSE)</f>
        <v>46157.70833</v>
      </c>
      <c r="E944" s="356">
        <f>VLOOKUP(B944,Quotas!$A$8:$C$14,3,FALSE)</f>
        <v>46164.70833</v>
      </c>
      <c r="F944" s="79">
        <f>COUNTIFS(Matches!$B:$B,A944,Matches!$A:$A,CONCAT("&gt;",$D944),Matches!$A:$A,CONCAT("&lt;",$E944))</f>
        <v>3</v>
      </c>
      <c r="G944" s="79">
        <f>COUNTIFS(Matches!$C:$C,$A944,Matches!$A:$A,CONCAT("&gt;",$D944),Matches!$A:$A,CONCAT("&lt;",$E944))</f>
        <v>2</v>
      </c>
      <c r="H944" s="79">
        <f t="shared" si="1"/>
        <v>5</v>
      </c>
      <c r="I944" s="79">
        <f>COUNTIFS(Matches!$B:$B,$A944,Matches!$A:$A,CONCAT("&lt;",$E944))</f>
        <v>11</v>
      </c>
      <c r="J944" s="79">
        <f>COUNTIFS(Matches!$C:$C,$A944,Matches!$A:$A,CONCAT("&lt;",$E944))</f>
        <v>9</v>
      </c>
      <c r="K944" s="79">
        <f>COUNTIFS(Entropy!D:D,A944,Entropy!I:I,CONCAT("&lt;",E944-1))</f>
        <v>0</v>
      </c>
      <c r="L944" s="79">
        <f t="shared" si="2"/>
        <v>20</v>
      </c>
      <c r="M944" s="79">
        <f t="array" ref="M944">max(min(IF(J944+K944=11,0,XLOOKUP(B944,Quotas!$A$8:$A$14,Quotas!$E$8:$E$14)-$L944),2),0)</f>
        <v>0</v>
      </c>
      <c r="N944" s="31">
        <f t="shared" si="3"/>
        <v>0</v>
      </c>
    </row>
    <row r="945">
      <c r="A945" s="31" t="s">
        <v>282</v>
      </c>
      <c r="B945" s="9">
        <v>4.0</v>
      </c>
      <c r="C945" s="31" t="str">
        <f>VLOOKUP(A945, 'College List'!A:B, 2, FALSE)</f>
        <v>Silverquill</v>
      </c>
      <c r="D945" s="355">
        <f>VLOOKUP(B945,Quotas!$A$8:$C$14,2,FALSE)</f>
        <v>46157.70833</v>
      </c>
      <c r="E945" s="356">
        <f>VLOOKUP(B945,Quotas!$A$8:$C$14,3,FALSE)</f>
        <v>46164.70833</v>
      </c>
      <c r="F945" s="79">
        <f>COUNTIFS(Matches!$B:$B,A945,Matches!$A:$A,CONCAT("&gt;",$D945),Matches!$A:$A,CONCAT("&lt;",$E945))</f>
        <v>5</v>
      </c>
      <c r="G945" s="79">
        <f>COUNTIFS(Matches!$C:$C,$A945,Matches!$A:$A,CONCAT("&gt;",$D945),Matches!$A:$A,CONCAT("&lt;",$E945))</f>
        <v>0</v>
      </c>
      <c r="H945" s="79">
        <f t="shared" si="1"/>
        <v>5</v>
      </c>
      <c r="I945" s="79">
        <f>COUNTIFS(Matches!$B:$B,$A945,Matches!$A:$A,CONCAT("&lt;",$E945))</f>
        <v>16</v>
      </c>
      <c r="J945" s="79">
        <f>COUNTIFS(Matches!$C:$C,$A945,Matches!$A:$A,CONCAT("&lt;",$E945))</f>
        <v>4</v>
      </c>
      <c r="K945" s="79">
        <f>COUNTIFS(Entropy!D:D,A945,Entropy!I:I,CONCAT("&lt;",E945-1))</f>
        <v>0</v>
      </c>
      <c r="L945" s="79">
        <f t="shared" si="2"/>
        <v>20</v>
      </c>
      <c r="M945" s="79">
        <f t="array" ref="M945">max(min(IF(J945+K945=11,0,XLOOKUP(B945,Quotas!$A$8:$A$14,Quotas!$E$8:$E$14)-$L945),2),0)</f>
        <v>0</v>
      </c>
      <c r="N945" s="31">
        <f t="shared" si="3"/>
        <v>0</v>
      </c>
    </row>
    <row r="946">
      <c r="A946" s="31" t="s">
        <v>302</v>
      </c>
      <c r="B946" s="9">
        <v>4.0</v>
      </c>
      <c r="C946" s="31" t="str">
        <f>VLOOKUP(A946, 'College List'!A:B, 2, FALSE)</f>
        <v>Silverquill</v>
      </c>
      <c r="D946" s="355">
        <f>VLOOKUP(B946,Quotas!$A$8:$C$14,2,FALSE)</f>
        <v>46157.70833</v>
      </c>
      <c r="E946" s="356">
        <f>VLOOKUP(B946,Quotas!$A$8:$C$14,3,FALSE)</f>
        <v>46164.70833</v>
      </c>
      <c r="F946" s="79">
        <f>COUNTIFS(Matches!$B:$B,A946,Matches!$A:$A,CONCAT("&gt;",$D946),Matches!$A:$A,CONCAT("&lt;",$E946))</f>
        <v>3</v>
      </c>
      <c r="G946" s="79">
        <f>COUNTIFS(Matches!$C:$C,$A946,Matches!$A:$A,CONCAT("&gt;",$D946),Matches!$A:$A,CONCAT("&lt;",$E946))</f>
        <v>2</v>
      </c>
      <c r="H946" s="79">
        <f t="shared" si="1"/>
        <v>5</v>
      </c>
      <c r="I946" s="79">
        <f>COUNTIFS(Matches!$B:$B,$A946,Matches!$A:$A,CONCAT("&lt;",$E946))</f>
        <v>10</v>
      </c>
      <c r="J946" s="79">
        <f>COUNTIFS(Matches!$C:$C,$A946,Matches!$A:$A,CONCAT("&lt;",$E946))</f>
        <v>10</v>
      </c>
      <c r="K946" s="79">
        <f>COUNTIFS(Entropy!D:D,A946,Entropy!I:I,CONCAT("&lt;",E946-1))</f>
        <v>0</v>
      </c>
      <c r="L946" s="79">
        <f t="shared" si="2"/>
        <v>20</v>
      </c>
      <c r="M946" s="79">
        <f t="array" ref="M946">max(min(IF(J946+K946=11,0,XLOOKUP(B946,Quotas!$A$8:$A$14,Quotas!$E$8:$E$14)-$L946),2),0)</f>
        <v>0</v>
      </c>
      <c r="N946" s="31">
        <f t="shared" si="3"/>
        <v>0</v>
      </c>
    </row>
    <row r="947">
      <c r="A947" s="31" t="s">
        <v>174</v>
      </c>
      <c r="B947" s="9">
        <v>4.0</v>
      </c>
      <c r="C947" s="31" t="str">
        <f>VLOOKUP(A947, 'College List'!A:B, 2, FALSE)</f>
        <v>Witherbloom</v>
      </c>
      <c r="D947" s="355">
        <f>VLOOKUP(B947,Quotas!$A$8:$C$14,2,FALSE)</f>
        <v>46157.70833</v>
      </c>
      <c r="E947" s="356">
        <f>VLOOKUP(B947,Quotas!$A$8:$C$14,3,FALSE)</f>
        <v>46164.70833</v>
      </c>
      <c r="F947" s="79">
        <f>COUNTIFS(Matches!$B:$B,A947,Matches!$A:$A,CONCAT("&gt;",$D947),Matches!$A:$A,CONCAT("&lt;",$E947))</f>
        <v>4</v>
      </c>
      <c r="G947" s="79">
        <f>COUNTIFS(Matches!$C:$C,$A947,Matches!$A:$A,CONCAT("&gt;",$D947),Matches!$A:$A,CONCAT("&lt;",$E947))</f>
        <v>1</v>
      </c>
      <c r="H947" s="79">
        <f t="shared" si="1"/>
        <v>5</v>
      </c>
      <c r="I947" s="79">
        <f>COUNTIFS(Matches!$B:$B,$A947,Matches!$A:$A,CONCAT("&lt;",$E947))</f>
        <v>11</v>
      </c>
      <c r="J947" s="79">
        <f>COUNTIFS(Matches!$C:$C,$A947,Matches!$A:$A,CONCAT("&lt;",$E947))</f>
        <v>9</v>
      </c>
      <c r="K947" s="79">
        <f>COUNTIFS(Entropy!D:D,A947,Entropy!I:I,CONCAT("&lt;",E947-1))</f>
        <v>0</v>
      </c>
      <c r="L947" s="79">
        <f t="shared" si="2"/>
        <v>20</v>
      </c>
      <c r="M947" s="79">
        <f t="array" ref="M947">max(min(IF(J947+K947=11,0,XLOOKUP(B947,Quotas!$A$8:$A$14,Quotas!$E$8:$E$14)-$L947),2),0)</f>
        <v>0</v>
      </c>
      <c r="N947" s="31">
        <f t="shared" si="3"/>
        <v>0</v>
      </c>
    </row>
    <row r="948">
      <c r="A948" s="31" t="s">
        <v>260</v>
      </c>
      <c r="B948" s="9">
        <v>4.0</v>
      </c>
      <c r="C948" s="31" t="str">
        <f>VLOOKUP(A948, 'College List'!A:B, 2, FALSE)</f>
        <v>Witherbloom</v>
      </c>
      <c r="D948" s="355">
        <f>VLOOKUP(B948,Quotas!$A$8:$C$14,2,FALSE)</f>
        <v>46157.70833</v>
      </c>
      <c r="E948" s="356">
        <f>VLOOKUP(B948,Quotas!$A$8:$C$14,3,FALSE)</f>
        <v>46164.70833</v>
      </c>
      <c r="F948" s="79">
        <f>COUNTIFS(Matches!$B:$B,A948,Matches!$A:$A,CONCAT("&gt;",$D948),Matches!$A:$A,CONCAT("&lt;",$E948))</f>
        <v>0</v>
      </c>
      <c r="G948" s="79">
        <f>COUNTIFS(Matches!$C:$C,$A948,Matches!$A:$A,CONCAT("&gt;",$D948),Matches!$A:$A,CONCAT("&lt;",$E948))</f>
        <v>0</v>
      </c>
      <c r="H948" s="79">
        <f t="shared" si="1"/>
        <v>0</v>
      </c>
      <c r="I948" s="79">
        <f>COUNTIFS(Matches!$B:$B,$A948,Matches!$A:$A,CONCAT("&lt;",$E948))</f>
        <v>7</v>
      </c>
      <c r="J948" s="79">
        <f>COUNTIFS(Matches!$C:$C,$A948,Matches!$A:$A,CONCAT("&lt;",$E948))</f>
        <v>10</v>
      </c>
      <c r="K948" s="79">
        <f>COUNTIFS(Entropy!D:D,A948,Entropy!I:I,CONCAT("&lt;",E948-1))</f>
        <v>2</v>
      </c>
      <c r="L948" s="79">
        <f t="shared" si="2"/>
        <v>19</v>
      </c>
      <c r="M948" s="79">
        <f t="array" ref="M948">max(min(IF(J948+K948=11,0,XLOOKUP(B948,Quotas!$A$8:$A$14,Quotas!$E$8:$E$14)-$L948),2),0)</f>
        <v>1</v>
      </c>
      <c r="N948" s="31">
        <f t="shared" si="3"/>
        <v>0</v>
      </c>
    </row>
    <row r="949">
      <c r="A949" s="31" t="s">
        <v>62</v>
      </c>
      <c r="B949" s="9">
        <v>4.0</v>
      </c>
      <c r="C949" s="31" t="str">
        <f>VLOOKUP(A949, 'College List'!A:B, 2, FALSE)</f>
        <v>Prismari</v>
      </c>
      <c r="D949" s="355">
        <f>VLOOKUP(B949,Quotas!$A$8:$C$14,2,FALSE)</f>
        <v>46157.70833</v>
      </c>
      <c r="E949" s="356">
        <f>VLOOKUP(B949,Quotas!$A$8:$C$14,3,FALSE)</f>
        <v>46164.70833</v>
      </c>
      <c r="F949" s="79">
        <f>COUNTIFS(Matches!$B:$B,A949,Matches!$A:$A,CONCAT("&gt;",$D949),Matches!$A:$A,CONCAT("&lt;",$E949))</f>
        <v>4</v>
      </c>
      <c r="G949" s="79">
        <f>COUNTIFS(Matches!$C:$C,$A949,Matches!$A:$A,CONCAT("&gt;",$D949),Matches!$A:$A,CONCAT("&lt;",$E949))</f>
        <v>0</v>
      </c>
      <c r="H949" s="79">
        <f t="shared" si="1"/>
        <v>4</v>
      </c>
      <c r="I949" s="79">
        <f>COUNTIFS(Matches!$B:$B,$A949,Matches!$A:$A,CONCAT("&lt;",$E949))</f>
        <v>12</v>
      </c>
      <c r="J949" s="79">
        <f>COUNTIFS(Matches!$C:$C,$A949,Matches!$A:$A,CONCAT("&lt;",$E949))</f>
        <v>7</v>
      </c>
      <c r="K949" s="79">
        <f>COUNTIFS(Entropy!D:D,A949,Entropy!I:I,CONCAT("&lt;",E949-1))</f>
        <v>0</v>
      </c>
      <c r="L949" s="79">
        <f t="shared" si="2"/>
        <v>19</v>
      </c>
      <c r="M949" s="79">
        <f t="array" ref="M949">max(min(IF(J949+K949=11,0,XLOOKUP(B949,Quotas!$A$8:$A$14,Quotas!$E$8:$E$14)-$L949),2),0)</f>
        <v>1</v>
      </c>
      <c r="N949" s="31">
        <f t="shared" si="3"/>
        <v>0.5</v>
      </c>
    </row>
    <row r="950">
      <c r="A950" s="31" t="s">
        <v>233</v>
      </c>
      <c r="B950" s="9">
        <v>4.0</v>
      </c>
      <c r="C950" s="31" t="str">
        <f>VLOOKUP(A950, 'College List'!A:B, 2, FALSE)</f>
        <v>Lorehold</v>
      </c>
      <c r="D950" s="355">
        <f>VLOOKUP(B950,Quotas!$A$8:$C$14,2,FALSE)</f>
        <v>46157.70833</v>
      </c>
      <c r="E950" s="356">
        <f>VLOOKUP(B950,Quotas!$A$8:$C$14,3,FALSE)</f>
        <v>46164.70833</v>
      </c>
      <c r="F950" s="79">
        <f>COUNTIFS(Matches!$B:$B,A950,Matches!$A:$A,CONCAT("&gt;",$D950),Matches!$A:$A,CONCAT("&lt;",$E950))</f>
        <v>4</v>
      </c>
      <c r="G950" s="79">
        <f>COUNTIFS(Matches!$C:$C,$A950,Matches!$A:$A,CONCAT("&gt;",$D950),Matches!$A:$A,CONCAT("&lt;",$E950))</f>
        <v>2</v>
      </c>
      <c r="H950" s="79">
        <f t="shared" si="1"/>
        <v>6</v>
      </c>
      <c r="I950" s="79">
        <f>COUNTIFS(Matches!$B:$B,$A950,Matches!$A:$A,CONCAT("&lt;",$E950))</f>
        <v>10</v>
      </c>
      <c r="J950" s="79">
        <f>COUNTIFS(Matches!$C:$C,$A950,Matches!$A:$A,CONCAT("&lt;",$E950))</f>
        <v>10</v>
      </c>
      <c r="K950" s="79">
        <f>COUNTIFS(Entropy!D:D,A950,Entropy!I:I,CONCAT("&lt;",E950-1))</f>
        <v>0</v>
      </c>
      <c r="L950" s="79">
        <f t="shared" si="2"/>
        <v>20</v>
      </c>
      <c r="M950" s="79">
        <f t="array" ref="M950">max(min(IF(J950+K950=11,0,XLOOKUP(B950,Quotas!$A$8:$A$14,Quotas!$E$8:$E$14)-$L950),2),0)</f>
        <v>0</v>
      </c>
      <c r="N950" s="31">
        <f t="shared" si="3"/>
        <v>0</v>
      </c>
    </row>
    <row r="951">
      <c r="A951" s="31" t="s">
        <v>413</v>
      </c>
      <c r="B951" s="9">
        <v>4.0</v>
      </c>
      <c r="C951" s="31" t="str">
        <f>VLOOKUP(A951, 'College List'!A:B, 2, FALSE)</f>
        <v>Lorehold</v>
      </c>
      <c r="D951" s="355">
        <f>VLOOKUP(B951,Quotas!$A$8:$C$14,2,FALSE)</f>
        <v>46157.70833</v>
      </c>
      <c r="E951" s="356">
        <f>VLOOKUP(B951,Quotas!$A$8:$C$14,3,FALSE)</f>
        <v>46164.70833</v>
      </c>
      <c r="F951" s="79">
        <f>COUNTIFS(Matches!$B:$B,A951,Matches!$A:$A,CONCAT("&gt;",$D951),Matches!$A:$A,CONCAT("&lt;",$E951))</f>
        <v>0</v>
      </c>
      <c r="G951" s="79">
        <f>COUNTIFS(Matches!$C:$C,$A951,Matches!$A:$A,CONCAT("&gt;",$D951),Matches!$A:$A,CONCAT("&lt;",$E951))</f>
        <v>0</v>
      </c>
      <c r="H951" s="79">
        <f t="shared" si="1"/>
        <v>0</v>
      </c>
      <c r="I951" s="79">
        <f>COUNTIFS(Matches!$B:$B,$A951,Matches!$A:$A,CONCAT("&lt;",$E951))</f>
        <v>2</v>
      </c>
      <c r="J951" s="79">
        <f>COUNTIFS(Matches!$C:$C,$A951,Matches!$A:$A,CONCAT("&lt;",$E951))</f>
        <v>11</v>
      </c>
      <c r="K951" s="79">
        <f>COUNTIFS(Entropy!D:D,A951,Entropy!I:I,CONCAT("&lt;",E951-1))</f>
        <v>0</v>
      </c>
      <c r="L951" s="79">
        <f t="shared" si="2"/>
        <v>13</v>
      </c>
      <c r="M951" s="79">
        <f t="array" ref="M951">max(min(IF(J951+K951=11,0,XLOOKUP(B951,Quotas!$A$8:$A$14,Quotas!$E$8:$E$14)-$L951),2),0)</f>
        <v>0</v>
      </c>
      <c r="N951" s="31">
        <f t="shared" si="3"/>
        <v>0</v>
      </c>
    </row>
    <row r="952">
      <c r="A952" s="31" t="s">
        <v>368</v>
      </c>
      <c r="B952" s="9">
        <v>4.0</v>
      </c>
      <c r="C952" s="31" t="str">
        <f>VLOOKUP(A952, 'College List'!A:B, 2, FALSE)</f>
        <v>Silverquill</v>
      </c>
      <c r="D952" s="355">
        <f>VLOOKUP(B952,Quotas!$A$8:$C$14,2,FALSE)</f>
        <v>46157.70833</v>
      </c>
      <c r="E952" s="356">
        <f>VLOOKUP(B952,Quotas!$A$8:$C$14,3,FALSE)</f>
        <v>46164.70833</v>
      </c>
      <c r="F952" s="79">
        <f>COUNTIFS(Matches!$B:$B,A952,Matches!$A:$A,CONCAT("&gt;",$D952),Matches!$A:$A,CONCAT("&lt;",$E952))</f>
        <v>2</v>
      </c>
      <c r="G952" s="79">
        <f>COUNTIFS(Matches!$C:$C,$A952,Matches!$A:$A,CONCAT("&gt;",$D952),Matches!$A:$A,CONCAT("&lt;",$E952))</f>
        <v>3</v>
      </c>
      <c r="H952" s="79">
        <f t="shared" si="1"/>
        <v>5</v>
      </c>
      <c r="I952" s="79">
        <f>COUNTIFS(Matches!$B:$B,$A952,Matches!$A:$A,CONCAT("&lt;",$E952))</f>
        <v>11</v>
      </c>
      <c r="J952" s="79">
        <f>COUNTIFS(Matches!$C:$C,$A952,Matches!$A:$A,CONCAT("&lt;",$E952))</f>
        <v>9</v>
      </c>
      <c r="K952" s="79">
        <f>COUNTIFS(Entropy!D:D,A952,Entropy!I:I,CONCAT("&lt;",E952-1))</f>
        <v>0</v>
      </c>
      <c r="L952" s="79">
        <f t="shared" si="2"/>
        <v>20</v>
      </c>
      <c r="M952" s="79">
        <f t="array" ref="M952">max(min(IF(J952+K952=11,0,XLOOKUP(B952,Quotas!$A$8:$A$14,Quotas!$E$8:$E$14)-$L952),2),0)</f>
        <v>0</v>
      </c>
      <c r="N952" s="31">
        <f t="shared" si="3"/>
        <v>0</v>
      </c>
    </row>
    <row r="953">
      <c r="A953" s="31" t="s">
        <v>139</v>
      </c>
      <c r="B953" s="9">
        <v>4.0</v>
      </c>
      <c r="C953" s="31" t="str">
        <f>VLOOKUP(A953, 'College List'!A:B, 2, FALSE)</f>
        <v>Silverquill</v>
      </c>
      <c r="D953" s="355">
        <f>VLOOKUP(B953,Quotas!$A$8:$C$14,2,FALSE)</f>
        <v>46157.70833</v>
      </c>
      <c r="E953" s="356">
        <f>VLOOKUP(B953,Quotas!$A$8:$C$14,3,FALSE)</f>
        <v>46164.70833</v>
      </c>
      <c r="F953" s="79">
        <f>COUNTIFS(Matches!$B:$B,A953,Matches!$A:$A,CONCAT("&gt;",$D953),Matches!$A:$A,CONCAT("&lt;",$E953))</f>
        <v>2</v>
      </c>
      <c r="G953" s="79">
        <f>COUNTIFS(Matches!$C:$C,$A953,Matches!$A:$A,CONCAT("&gt;",$D953),Matches!$A:$A,CONCAT("&lt;",$E953))</f>
        <v>3</v>
      </c>
      <c r="H953" s="79">
        <f t="shared" si="1"/>
        <v>5</v>
      </c>
      <c r="I953" s="79">
        <f>COUNTIFS(Matches!$B:$B,$A953,Matches!$A:$A,CONCAT("&lt;",$E953))</f>
        <v>10</v>
      </c>
      <c r="J953" s="79">
        <f>COUNTIFS(Matches!$C:$C,$A953,Matches!$A:$A,CONCAT("&lt;",$E953))</f>
        <v>10</v>
      </c>
      <c r="K953" s="79">
        <f>COUNTIFS(Entropy!D:D,A953,Entropy!I:I,CONCAT("&lt;",E953-1))</f>
        <v>0</v>
      </c>
      <c r="L953" s="79">
        <f t="shared" si="2"/>
        <v>20</v>
      </c>
      <c r="M953" s="79">
        <f t="array" ref="M953">max(min(IF(J953+K953=11,0,XLOOKUP(B953,Quotas!$A$8:$A$14,Quotas!$E$8:$E$14)-$L953),2),0)</f>
        <v>0</v>
      </c>
      <c r="N953" s="31">
        <f t="shared" si="3"/>
        <v>0</v>
      </c>
    </row>
    <row r="954">
      <c r="A954" s="124" t="s">
        <v>334</v>
      </c>
      <c r="B954" s="9">
        <v>5.0</v>
      </c>
      <c r="C954" s="31" t="str">
        <f>VLOOKUP(A954, 'College List'!A:B, 2, FALSE)</f>
        <v>Prismari</v>
      </c>
      <c r="D954" s="355">
        <f>VLOOKUP(B954,Quotas!$A$8:$C$14,2,FALSE)</f>
        <v>46164.70833</v>
      </c>
      <c r="E954" s="356">
        <f>VLOOKUP(B954,Quotas!$A$8:$C$14,3,FALSE)</f>
        <v>46171.70833</v>
      </c>
      <c r="F954" s="79">
        <f>COUNTIFS(Matches!$B:$B,A954,Matches!$A:$A,CONCAT("&gt;",$D954),Matches!$A:$A,CONCAT("&lt;",$E954))</f>
        <v>0</v>
      </c>
      <c r="G954" s="79">
        <f>COUNTIFS(Matches!$C:$C,$A954,Matches!$A:$A,CONCAT("&gt;",$D954),Matches!$A:$A,CONCAT("&lt;",$E954))</f>
        <v>0</v>
      </c>
      <c r="H954" s="79">
        <f t="shared" si="1"/>
        <v>0</v>
      </c>
      <c r="I954" s="79">
        <f>COUNTIFS(Matches!$B:$B,$A954,Matches!$A:$A,CONCAT("&lt;",$E954))</f>
        <v>0</v>
      </c>
      <c r="J954" s="79">
        <f>COUNTIFS(Matches!$C:$C,$A954,Matches!$A:$A,CONCAT("&lt;",$E954))</f>
        <v>5</v>
      </c>
      <c r="K954" s="79">
        <f>COUNTIFS(Entropy!D:D,A954,Entropy!I:I,CONCAT("&lt;",E954-1))</f>
        <v>6</v>
      </c>
      <c r="L954" s="79">
        <f t="shared" si="2"/>
        <v>11</v>
      </c>
      <c r="M954" s="79">
        <f t="array" ref="M954">max(min(IF(J954+K954=11,0,XLOOKUP(B954,Quotas!$A$8:$A$14,Quotas!$E$8:$E$14)-$L954),2),0)</f>
        <v>0</v>
      </c>
      <c r="N954" s="31">
        <f t="shared" si="3"/>
        <v>0</v>
      </c>
    </row>
    <row r="955">
      <c r="A955" s="31" t="s">
        <v>96</v>
      </c>
      <c r="B955" s="9">
        <v>5.0</v>
      </c>
      <c r="C955" s="31" t="str">
        <f>VLOOKUP(A955, 'College List'!A:B, 2, FALSE)</f>
        <v>Silverquill</v>
      </c>
      <c r="D955" s="355">
        <f>VLOOKUP(B955,Quotas!$A$8:$C$14,2,FALSE)</f>
        <v>46164.70833</v>
      </c>
      <c r="E955" s="356">
        <f>VLOOKUP(B955,Quotas!$A$8:$C$14,3,FALSE)</f>
        <v>46171.70833</v>
      </c>
      <c r="F955" s="79">
        <f>COUNTIFS(Matches!$B:$B,A955,Matches!$A:$A,CONCAT("&gt;",$D955),Matches!$A:$A,CONCAT("&lt;",$E955))</f>
        <v>2</v>
      </c>
      <c r="G955" s="79">
        <f>COUNTIFS(Matches!$C:$C,$A955,Matches!$A:$A,CONCAT("&gt;",$D955),Matches!$A:$A,CONCAT("&lt;",$E955))</f>
        <v>3</v>
      </c>
      <c r="H955" s="79">
        <f t="shared" si="1"/>
        <v>5</v>
      </c>
      <c r="I955" s="79">
        <f>COUNTIFS(Matches!$B:$B,$A955,Matches!$A:$A,CONCAT("&lt;",$E955))</f>
        <v>14</v>
      </c>
      <c r="J955" s="79">
        <f>COUNTIFS(Matches!$C:$C,$A955,Matches!$A:$A,CONCAT("&lt;",$E955))</f>
        <v>11</v>
      </c>
      <c r="K955" s="79">
        <f>COUNTIFS(Entropy!D:D,A955,Entropy!I:I,CONCAT("&lt;",E955-1))</f>
        <v>0</v>
      </c>
      <c r="L955" s="79">
        <f t="shared" si="2"/>
        <v>25</v>
      </c>
      <c r="M955" s="79">
        <f t="array" ref="M955">max(min(IF(J955+K955=11,0,XLOOKUP(B955,Quotas!$A$8:$A$14,Quotas!$E$8:$E$14)-$L955),2),0)</f>
        <v>0</v>
      </c>
      <c r="N955" s="31">
        <f t="shared" si="3"/>
        <v>0</v>
      </c>
    </row>
    <row r="956">
      <c r="A956" s="31" t="s">
        <v>409</v>
      </c>
      <c r="B956" s="9">
        <v>5.0</v>
      </c>
      <c r="C956" s="31" t="str">
        <f>VLOOKUP(A956, 'College List'!A:B, 2, FALSE)</f>
        <v>Witherbloom</v>
      </c>
      <c r="D956" s="355">
        <f>VLOOKUP(B956,Quotas!$A$8:$C$14,2,FALSE)</f>
        <v>46164.70833</v>
      </c>
      <c r="E956" s="356">
        <f>VLOOKUP(B956,Quotas!$A$8:$C$14,3,FALSE)</f>
        <v>46171.70833</v>
      </c>
      <c r="F956" s="79">
        <f>COUNTIFS(Matches!$B:$B,A956,Matches!$A:$A,CONCAT("&gt;",$D956),Matches!$A:$A,CONCAT("&lt;",$E956))</f>
        <v>0</v>
      </c>
      <c r="G956" s="79">
        <f>COUNTIFS(Matches!$C:$C,$A956,Matches!$A:$A,CONCAT("&gt;",$D956),Matches!$A:$A,CONCAT("&lt;",$E956))</f>
        <v>0</v>
      </c>
      <c r="H956" s="79">
        <f t="shared" si="1"/>
        <v>0</v>
      </c>
      <c r="I956" s="79">
        <f>COUNTIFS(Matches!$B:$B,$A956,Matches!$A:$A,CONCAT("&lt;",$E956))</f>
        <v>9</v>
      </c>
      <c r="J956" s="79">
        <f>COUNTIFS(Matches!$C:$C,$A956,Matches!$A:$A,CONCAT("&lt;",$E956))</f>
        <v>11</v>
      </c>
      <c r="K956" s="79">
        <f>COUNTIFS(Entropy!D:D,A956,Entropy!I:I,CONCAT("&lt;",E956-1))</f>
        <v>0</v>
      </c>
      <c r="L956" s="79">
        <f t="shared" si="2"/>
        <v>20</v>
      </c>
      <c r="M956" s="79">
        <f t="array" ref="M956">max(min(IF(J956+K956=11,0,XLOOKUP(B956,Quotas!$A$8:$A$14,Quotas!$E$8:$E$14)-$L956),2),0)</f>
        <v>0</v>
      </c>
      <c r="N956" s="31">
        <f t="shared" si="3"/>
        <v>0</v>
      </c>
    </row>
    <row r="957">
      <c r="A957" s="31" t="s">
        <v>77</v>
      </c>
      <c r="B957" s="9">
        <v>5.0</v>
      </c>
      <c r="C957" s="31" t="str">
        <f>VLOOKUP(A957, 'College List'!A:B, 2, FALSE)</f>
        <v>Quandrix</v>
      </c>
      <c r="D957" s="355">
        <f>VLOOKUP(B957,Quotas!$A$8:$C$14,2,FALSE)</f>
        <v>46164.70833</v>
      </c>
      <c r="E957" s="356">
        <f>VLOOKUP(B957,Quotas!$A$8:$C$14,3,FALSE)</f>
        <v>46171.70833</v>
      </c>
      <c r="F957" s="79">
        <f>COUNTIFS(Matches!$B:$B,A957,Matches!$A:$A,CONCAT("&gt;",$D957),Matches!$A:$A,CONCAT("&lt;",$E957))</f>
        <v>0</v>
      </c>
      <c r="G957" s="79">
        <f>COUNTIFS(Matches!$C:$C,$A957,Matches!$A:$A,CONCAT("&gt;",$D957),Matches!$A:$A,CONCAT("&lt;",$E957))</f>
        <v>0</v>
      </c>
      <c r="H957" s="79">
        <f t="shared" si="1"/>
        <v>0</v>
      </c>
      <c r="I957" s="79">
        <f>COUNTIFS(Matches!$B:$B,$A957,Matches!$A:$A,CONCAT("&lt;",$E957))</f>
        <v>4</v>
      </c>
      <c r="J957" s="79">
        <f>COUNTIFS(Matches!$C:$C,$A957,Matches!$A:$A,CONCAT("&lt;",$E957))</f>
        <v>7</v>
      </c>
      <c r="K957" s="79">
        <f>COUNTIFS(Entropy!D:D,A957,Entropy!I:I,CONCAT("&lt;",E957-1))</f>
        <v>4</v>
      </c>
      <c r="L957" s="79">
        <f t="shared" si="2"/>
        <v>15</v>
      </c>
      <c r="M957" s="79">
        <f t="array" ref="M957">max(min(IF(J957+K957=11,0,XLOOKUP(B957,Quotas!$A$8:$A$14,Quotas!$E$8:$E$14)-$L957),2),0)</f>
        <v>0</v>
      </c>
      <c r="N957" s="31">
        <f t="shared" si="3"/>
        <v>0</v>
      </c>
    </row>
    <row r="958">
      <c r="A958" s="31" t="s">
        <v>238</v>
      </c>
      <c r="B958" s="9">
        <v>5.0</v>
      </c>
      <c r="C958" s="31" t="str">
        <f>VLOOKUP(A958, 'College List'!A:B, 2, FALSE)</f>
        <v>Silverquill</v>
      </c>
      <c r="D958" s="355">
        <f>VLOOKUP(B958,Quotas!$A$8:$C$14,2,FALSE)</f>
        <v>46164.70833</v>
      </c>
      <c r="E958" s="356">
        <f>VLOOKUP(B958,Quotas!$A$8:$C$14,3,FALSE)</f>
        <v>46171.70833</v>
      </c>
      <c r="F958" s="79">
        <f>COUNTIFS(Matches!$B:$B,A958,Matches!$A:$A,CONCAT("&gt;",$D958),Matches!$A:$A,CONCAT("&lt;",$E958))</f>
        <v>3</v>
      </c>
      <c r="G958" s="79">
        <f>COUNTIFS(Matches!$C:$C,$A958,Matches!$A:$A,CONCAT("&gt;",$D958),Matches!$A:$A,CONCAT("&lt;",$E958))</f>
        <v>1</v>
      </c>
      <c r="H958" s="79">
        <f t="shared" si="1"/>
        <v>4</v>
      </c>
      <c r="I958" s="79">
        <f>COUNTIFS(Matches!$B:$B,$A958,Matches!$A:$A,CONCAT("&lt;",$E958))</f>
        <v>17</v>
      </c>
      <c r="J958" s="79">
        <f>COUNTIFS(Matches!$C:$C,$A958,Matches!$A:$A,CONCAT("&lt;",$E958))</f>
        <v>7</v>
      </c>
      <c r="K958" s="79">
        <f>COUNTIFS(Entropy!D:D,A958,Entropy!I:I,CONCAT("&lt;",E958-1))</f>
        <v>0</v>
      </c>
      <c r="L958" s="79">
        <f t="shared" si="2"/>
        <v>24</v>
      </c>
      <c r="M958" s="79">
        <f t="array" ref="M958">max(min(IF(J958+K958=11,0,XLOOKUP(B958,Quotas!$A$8:$A$14,Quotas!$E$8:$E$14)-$L958),2),0)</f>
        <v>1</v>
      </c>
      <c r="N958" s="31">
        <f t="shared" si="3"/>
        <v>0.5</v>
      </c>
    </row>
    <row r="959">
      <c r="A959" s="31" t="s">
        <v>252</v>
      </c>
      <c r="B959" s="9">
        <v>5.0</v>
      </c>
      <c r="C959" s="31" t="str">
        <f>VLOOKUP(A959, 'College List'!A:B, 2, FALSE)</f>
        <v>Quandrix</v>
      </c>
      <c r="D959" s="355">
        <f>VLOOKUP(B959,Quotas!$A$8:$C$14,2,FALSE)</f>
        <v>46164.70833</v>
      </c>
      <c r="E959" s="356">
        <f>VLOOKUP(B959,Quotas!$A$8:$C$14,3,FALSE)</f>
        <v>46171.70833</v>
      </c>
      <c r="F959" s="79">
        <f>COUNTIFS(Matches!$B:$B,A959,Matches!$A:$A,CONCAT("&gt;",$D959),Matches!$A:$A,CONCAT("&lt;",$E959))</f>
        <v>3</v>
      </c>
      <c r="G959" s="79">
        <f>COUNTIFS(Matches!$C:$C,$A959,Matches!$A:$A,CONCAT("&gt;",$D959),Matches!$A:$A,CONCAT("&lt;",$E959))</f>
        <v>2</v>
      </c>
      <c r="H959" s="79">
        <f t="shared" si="1"/>
        <v>5</v>
      </c>
      <c r="I959" s="79">
        <f>COUNTIFS(Matches!$B:$B,$A959,Matches!$A:$A,CONCAT("&lt;",$E959))</f>
        <v>13</v>
      </c>
      <c r="J959" s="79">
        <f>COUNTIFS(Matches!$C:$C,$A959,Matches!$A:$A,CONCAT("&lt;",$E959))</f>
        <v>8</v>
      </c>
      <c r="K959" s="79">
        <f>COUNTIFS(Entropy!D:D,A959,Entropy!I:I,CONCAT("&lt;",E959-1))</f>
        <v>2</v>
      </c>
      <c r="L959" s="79">
        <f t="shared" si="2"/>
        <v>23</v>
      </c>
      <c r="M959" s="79">
        <f t="array" ref="M959">max(min(IF(J959+K959=11,0,XLOOKUP(B959,Quotas!$A$8:$A$14,Quotas!$E$8:$E$14)-$L959),2),0)</f>
        <v>2</v>
      </c>
      <c r="N959" s="31">
        <f t="shared" si="3"/>
        <v>1</v>
      </c>
    </row>
    <row r="960">
      <c r="A960" s="31" t="s">
        <v>284</v>
      </c>
      <c r="B960" s="9">
        <v>5.0</v>
      </c>
      <c r="C960" s="31" t="str">
        <f>VLOOKUP(A960, 'College List'!A:B, 2, FALSE)</f>
        <v>Lorehold</v>
      </c>
      <c r="D960" s="355">
        <f>VLOOKUP(B960,Quotas!$A$8:$C$14,2,FALSE)</f>
        <v>46164.70833</v>
      </c>
      <c r="E960" s="356">
        <f>VLOOKUP(B960,Quotas!$A$8:$C$14,3,FALSE)</f>
        <v>46171.70833</v>
      </c>
      <c r="F960" s="79">
        <f>COUNTIFS(Matches!$B:$B,A960,Matches!$A:$A,CONCAT("&gt;",$D960),Matches!$A:$A,CONCAT("&lt;",$E960))</f>
        <v>3</v>
      </c>
      <c r="G960" s="79">
        <f>COUNTIFS(Matches!$C:$C,$A960,Matches!$A:$A,CONCAT("&gt;",$D960),Matches!$A:$A,CONCAT("&lt;",$E960))</f>
        <v>2</v>
      </c>
      <c r="H960" s="79">
        <f t="shared" si="1"/>
        <v>5</v>
      </c>
      <c r="I960" s="79">
        <f>COUNTIFS(Matches!$B:$B,$A960,Matches!$A:$A,CONCAT("&lt;",$E960))</f>
        <v>16</v>
      </c>
      <c r="J960" s="79">
        <f>COUNTIFS(Matches!$C:$C,$A960,Matches!$A:$A,CONCAT("&lt;",$E960))</f>
        <v>9</v>
      </c>
      <c r="K960" s="79">
        <f>COUNTIFS(Entropy!D:D,A960,Entropy!I:I,CONCAT("&lt;",E960-1))</f>
        <v>0</v>
      </c>
      <c r="L960" s="79">
        <f t="shared" si="2"/>
        <v>25</v>
      </c>
      <c r="M960" s="79">
        <f t="array" ref="M960">max(min(IF(J960+K960=11,0,XLOOKUP(B960,Quotas!$A$8:$A$14,Quotas!$E$8:$E$14)-$L960),2),0)</f>
        <v>0</v>
      </c>
      <c r="N960" s="31">
        <f t="shared" si="3"/>
        <v>0</v>
      </c>
    </row>
    <row r="961">
      <c r="A961" s="31" t="s">
        <v>189</v>
      </c>
      <c r="B961" s="9">
        <v>5.0</v>
      </c>
      <c r="C961" s="31" t="str">
        <f>VLOOKUP(A961, 'College List'!A:B, 2, FALSE)</f>
        <v>Witherbloom</v>
      </c>
      <c r="D961" s="355">
        <f>VLOOKUP(B961,Quotas!$A$8:$C$14,2,FALSE)</f>
        <v>46164.70833</v>
      </c>
      <c r="E961" s="356">
        <f>VLOOKUP(B961,Quotas!$A$8:$C$14,3,FALSE)</f>
        <v>46171.70833</v>
      </c>
      <c r="F961" s="79">
        <f>COUNTIFS(Matches!$B:$B,A961,Matches!$A:$A,CONCAT("&gt;",$D961),Matches!$A:$A,CONCAT("&lt;",$E961))</f>
        <v>2</v>
      </c>
      <c r="G961" s="79">
        <f>COUNTIFS(Matches!$C:$C,$A961,Matches!$A:$A,CONCAT("&gt;",$D961),Matches!$A:$A,CONCAT("&lt;",$E961))</f>
        <v>1</v>
      </c>
      <c r="H961" s="79">
        <f t="shared" si="1"/>
        <v>3</v>
      </c>
      <c r="I961" s="79">
        <f>COUNTIFS(Matches!$B:$B,$A961,Matches!$A:$A,CONCAT("&lt;",$E961))</f>
        <v>12</v>
      </c>
      <c r="J961" s="79">
        <f>COUNTIFS(Matches!$C:$C,$A961,Matches!$A:$A,CONCAT("&lt;",$E961))</f>
        <v>11</v>
      </c>
      <c r="K961" s="79">
        <f>COUNTIFS(Entropy!D:D,A961,Entropy!I:I,CONCAT("&lt;",E961-1))</f>
        <v>0</v>
      </c>
      <c r="L961" s="79">
        <f t="shared" si="2"/>
        <v>23</v>
      </c>
      <c r="M961" s="79">
        <f t="array" ref="M961">max(min(IF(J961+K961=11,0,XLOOKUP(B961,Quotas!$A$8:$A$14,Quotas!$E$8:$E$14)-$L961),2),0)</f>
        <v>0</v>
      </c>
      <c r="N961" s="31">
        <f t="shared" si="3"/>
        <v>0</v>
      </c>
    </row>
    <row r="962">
      <c r="A962" s="31" t="s">
        <v>66</v>
      </c>
      <c r="B962" s="9">
        <v>5.0</v>
      </c>
      <c r="C962" s="31" t="str">
        <f>VLOOKUP(A962, 'College List'!A:B, 2, FALSE)</f>
        <v>Prismari</v>
      </c>
      <c r="D962" s="355">
        <f>VLOOKUP(B962,Quotas!$A$8:$C$14,2,FALSE)</f>
        <v>46164.70833</v>
      </c>
      <c r="E962" s="356">
        <f>VLOOKUP(B962,Quotas!$A$8:$C$14,3,FALSE)</f>
        <v>46171.70833</v>
      </c>
      <c r="F962" s="79">
        <f>COUNTIFS(Matches!$B:$B,A962,Matches!$A:$A,CONCAT("&gt;",$D962),Matches!$A:$A,CONCAT("&lt;",$E962))</f>
        <v>0</v>
      </c>
      <c r="G962" s="79">
        <f>COUNTIFS(Matches!$C:$C,$A962,Matches!$A:$A,CONCAT("&gt;",$D962),Matches!$A:$A,CONCAT("&lt;",$E962))</f>
        <v>0</v>
      </c>
      <c r="H962" s="79">
        <f t="shared" si="1"/>
        <v>0</v>
      </c>
      <c r="I962" s="79">
        <f>COUNTIFS(Matches!$B:$B,$A962,Matches!$A:$A,CONCAT("&lt;",$E962))</f>
        <v>6</v>
      </c>
      <c r="J962" s="79">
        <f>COUNTIFS(Matches!$C:$C,$A962,Matches!$A:$A,CONCAT("&lt;",$E962))</f>
        <v>11</v>
      </c>
      <c r="K962" s="79">
        <f>COUNTIFS(Entropy!D:D,A962,Entropy!I:I,CONCAT("&lt;",E962-1))</f>
        <v>0</v>
      </c>
      <c r="L962" s="79">
        <f t="shared" si="2"/>
        <v>17</v>
      </c>
      <c r="M962" s="79">
        <f t="array" ref="M962">max(min(IF(J962+K962=11,0,XLOOKUP(B962,Quotas!$A$8:$A$14,Quotas!$E$8:$E$14)-$L962),2),0)</f>
        <v>0</v>
      </c>
      <c r="N962" s="31">
        <f t="shared" si="3"/>
        <v>0</v>
      </c>
    </row>
    <row r="963">
      <c r="A963" s="31" t="s">
        <v>350</v>
      </c>
      <c r="B963" s="9">
        <v>5.0</v>
      </c>
      <c r="C963" s="31" t="str">
        <f>VLOOKUP(A963, 'College List'!A:B, 2, FALSE)</f>
        <v>Witherbloom</v>
      </c>
      <c r="D963" s="355">
        <f>VLOOKUP(B963,Quotas!$A$8:$C$14,2,FALSE)</f>
        <v>46164.70833</v>
      </c>
      <c r="E963" s="356">
        <f>VLOOKUP(B963,Quotas!$A$8:$C$14,3,FALSE)</f>
        <v>46171.70833</v>
      </c>
      <c r="F963" s="79">
        <f>COUNTIFS(Matches!$B:$B,A963,Matches!$A:$A,CONCAT("&gt;",$D963),Matches!$A:$A,CONCAT("&lt;",$E963))</f>
        <v>3</v>
      </c>
      <c r="G963" s="79">
        <f>COUNTIFS(Matches!$C:$C,$A963,Matches!$A:$A,CONCAT("&gt;",$D963),Matches!$A:$A,CONCAT("&lt;",$E963))</f>
        <v>2</v>
      </c>
      <c r="H963" s="79">
        <f t="shared" si="1"/>
        <v>5</v>
      </c>
      <c r="I963" s="79">
        <f>COUNTIFS(Matches!$B:$B,$A963,Matches!$A:$A,CONCAT("&lt;",$E963))</f>
        <v>18</v>
      </c>
      <c r="J963" s="79">
        <f>COUNTIFS(Matches!$C:$C,$A963,Matches!$A:$A,CONCAT("&lt;",$E963))</f>
        <v>7</v>
      </c>
      <c r="K963" s="79">
        <f>COUNTIFS(Entropy!D:D,A963,Entropy!I:I,CONCAT("&lt;",E963-1))</f>
        <v>0</v>
      </c>
      <c r="L963" s="79">
        <f t="shared" si="2"/>
        <v>25</v>
      </c>
      <c r="M963" s="79">
        <f t="array" ref="M963">max(min(IF(J963+K963=11,0,XLOOKUP(B963,Quotas!$A$8:$A$14,Quotas!$E$8:$E$14)-$L963),2),0)</f>
        <v>0</v>
      </c>
      <c r="N963" s="31">
        <f t="shared" si="3"/>
        <v>0</v>
      </c>
    </row>
    <row r="964">
      <c r="A964" s="31" t="s">
        <v>308</v>
      </c>
      <c r="B964" s="9">
        <v>5.0</v>
      </c>
      <c r="C964" s="31" t="str">
        <f>VLOOKUP(A964, 'College List'!A:B, 2, FALSE)</f>
        <v>Witherbloom</v>
      </c>
      <c r="D964" s="355">
        <f>VLOOKUP(B964,Quotas!$A$8:$C$14,2,FALSE)</f>
        <v>46164.70833</v>
      </c>
      <c r="E964" s="356">
        <f>VLOOKUP(B964,Quotas!$A$8:$C$14,3,FALSE)</f>
        <v>46171.70833</v>
      </c>
      <c r="F964" s="79">
        <f>COUNTIFS(Matches!$B:$B,A964,Matches!$A:$A,CONCAT("&gt;",$D964),Matches!$A:$A,CONCAT("&lt;",$E964))</f>
        <v>0</v>
      </c>
      <c r="G964" s="79">
        <f>COUNTIFS(Matches!$C:$C,$A964,Matches!$A:$A,CONCAT("&gt;",$D964),Matches!$A:$A,CONCAT("&lt;",$E964))</f>
        <v>0</v>
      </c>
      <c r="H964" s="79">
        <f t="shared" si="1"/>
        <v>0</v>
      </c>
      <c r="I964" s="79">
        <f>COUNTIFS(Matches!$B:$B,$A964,Matches!$A:$A,CONCAT("&lt;",$E964))</f>
        <v>5</v>
      </c>
      <c r="J964" s="79">
        <f>COUNTIFS(Matches!$C:$C,$A964,Matches!$A:$A,CONCAT("&lt;",$E964))</f>
        <v>11</v>
      </c>
      <c r="K964" s="79">
        <f>COUNTIFS(Entropy!D:D,A964,Entropy!I:I,CONCAT("&lt;",E964-1))</f>
        <v>0</v>
      </c>
      <c r="L964" s="79">
        <f t="shared" si="2"/>
        <v>16</v>
      </c>
      <c r="M964" s="79">
        <f t="array" ref="M964">max(min(IF(J964+K964=11,0,XLOOKUP(B964,Quotas!$A$8:$A$14,Quotas!$E$8:$E$14)-$L964),2),0)</f>
        <v>0</v>
      </c>
      <c r="N964" s="31">
        <f t="shared" si="3"/>
        <v>0</v>
      </c>
    </row>
    <row r="965">
      <c r="A965" s="31" t="s">
        <v>344</v>
      </c>
      <c r="B965" s="9">
        <v>5.0</v>
      </c>
      <c r="C965" s="31" t="str">
        <f>VLOOKUP(A965, 'College List'!A:B, 2, FALSE)</f>
        <v>Prismari</v>
      </c>
      <c r="D965" s="355">
        <f>VLOOKUP(B965,Quotas!$A$8:$C$14,2,FALSE)</f>
        <v>46164.70833</v>
      </c>
      <c r="E965" s="356">
        <f>VLOOKUP(B965,Quotas!$A$8:$C$14,3,FALSE)</f>
        <v>46171.70833</v>
      </c>
      <c r="F965" s="79">
        <f>COUNTIFS(Matches!$B:$B,A965,Matches!$A:$A,CONCAT("&gt;",$D965),Matches!$A:$A,CONCAT("&lt;",$E965))</f>
        <v>4</v>
      </c>
      <c r="G965" s="79">
        <f>COUNTIFS(Matches!$C:$C,$A965,Matches!$A:$A,CONCAT("&gt;",$D965),Matches!$A:$A,CONCAT("&lt;",$E965))</f>
        <v>0</v>
      </c>
      <c r="H965" s="79">
        <f t="shared" si="1"/>
        <v>4</v>
      </c>
      <c r="I965" s="79">
        <f>COUNTIFS(Matches!$B:$B,$A965,Matches!$A:$A,CONCAT("&lt;",$E965))</f>
        <v>16</v>
      </c>
      <c r="J965" s="79">
        <f>COUNTIFS(Matches!$C:$C,$A965,Matches!$A:$A,CONCAT("&lt;",$E965))</f>
        <v>8</v>
      </c>
      <c r="K965" s="79">
        <f>COUNTIFS(Entropy!D:D,A965,Entropy!I:I,CONCAT("&lt;",E965-1))</f>
        <v>0</v>
      </c>
      <c r="L965" s="79">
        <f t="shared" si="2"/>
        <v>24</v>
      </c>
      <c r="M965" s="79">
        <f t="array" ref="M965">max(min(IF(J965+K965=11,0,XLOOKUP(B965,Quotas!$A$8:$A$14,Quotas!$E$8:$E$14)-$L965),2),0)</f>
        <v>1</v>
      </c>
      <c r="N965" s="31">
        <f t="shared" si="3"/>
        <v>0.5</v>
      </c>
    </row>
    <row r="966">
      <c r="A966" s="31" t="s">
        <v>371</v>
      </c>
      <c r="B966" s="9">
        <v>5.0</v>
      </c>
      <c r="C966" s="31" t="str">
        <f>VLOOKUP(A966, 'College List'!A:B, 2, FALSE)</f>
        <v>Quandrix</v>
      </c>
      <c r="D966" s="355">
        <f>VLOOKUP(B966,Quotas!$A$8:$C$14,2,FALSE)</f>
        <v>46164.70833</v>
      </c>
      <c r="E966" s="356">
        <f>VLOOKUP(B966,Quotas!$A$8:$C$14,3,FALSE)</f>
        <v>46171.70833</v>
      </c>
      <c r="F966" s="79">
        <f>COUNTIFS(Matches!$B:$B,A966,Matches!$A:$A,CONCAT("&gt;",$D966),Matches!$A:$A,CONCAT("&lt;",$E966))</f>
        <v>0</v>
      </c>
      <c r="G966" s="79">
        <f>COUNTIFS(Matches!$C:$C,$A966,Matches!$A:$A,CONCAT("&gt;",$D966),Matches!$A:$A,CONCAT("&lt;",$E966))</f>
        <v>0</v>
      </c>
      <c r="H966" s="79">
        <f t="shared" si="1"/>
        <v>0</v>
      </c>
      <c r="I966" s="79">
        <f>COUNTIFS(Matches!$B:$B,$A966,Matches!$A:$A,CONCAT("&lt;",$E966))</f>
        <v>7</v>
      </c>
      <c r="J966" s="79">
        <f>COUNTIFS(Matches!$C:$C,$A966,Matches!$A:$A,CONCAT("&lt;",$E966))</f>
        <v>11</v>
      </c>
      <c r="K966" s="79">
        <f>COUNTIFS(Entropy!D:D,A966,Entropy!I:I,CONCAT("&lt;",E966-1))</f>
        <v>0</v>
      </c>
      <c r="L966" s="79">
        <f t="shared" si="2"/>
        <v>18</v>
      </c>
      <c r="M966" s="79">
        <f t="array" ref="M966">max(min(IF(J966+K966=11,0,XLOOKUP(B966,Quotas!$A$8:$A$14,Quotas!$E$8:$E$14)-$L966),2),0)</f>
        <v>0</v>
      </c>
      <c r="N966" s="31">
        <f t="shared" si="3"/>
        <v>0</v>
      </c>
    </row>
    <row r="967">
      <c r="A967" s="31" t="s">
        <v>296</v>
      </c>
      <c r="B967" s="9">
        <v>5.0</v>
      </c>
      <c r="C967" s="31" t="str">
        <f>VLOOKUP(A967, 'College List'!A:B, 2, FALSE)</f>
        <v>Witherbloom</v>
      </c>
      <c r="D967" s="355">
        <f>VLOOKUP(B967,Quotas!$A$8:$C$14,2,FALSE)</f>
        <v>46164.70833</v>
      </c>
      <c r="E967" s="356">
        <f>VLOOKUP(B967,Quotas!$A$8:$C$14,3,FALSE)</f>
        <v>46171.70833</v>
      </c>
      <c r="F967" s="79">
        <f>COUNTIFS(Matches!$B:$B,A967,Matches!$A:$A,CONCAT("&gt;",$D967),Matches!$A:$A,CONCAT("&lt;",$E967))</f>
        <v>0</v>
      </c>
      <c r="G967" s="79">
        <f>COUNTIFS(Matches!$C:$C,$A967,Matches!$A:$A,CONCAT("&gt;",$D967),Matches!$A:$A,CONCAT("&lt;",$E967))</f>
        <v>5</v>
      </c>
      <c r="H967" s="79">
        <f t="shared" si="1"/>
        <v>5</v>
      </c>
      <c r="I967" s="79">
        <f>COUNTIFS(Matches!$B:$B,$A967,Matches!$A:$A,CONCAT("&lt;",$E967))</f>
        <v>16</v>
      </c>
      <c r="J967" s="79">
        <f>COUNTIFS(Matches!$C:$C,$A967,Matches!$A:$A,CONCAT("&lt;",$E967))</f>
        <v>9</v>
      </c>
      <c r="K967" s="79">
        <f>COUNTIFS(Entropy!D:D,A967,Entropy!I:I,CONCAT("&lt;",E967-1))</f>
        <v>0</v>
      </c>
      <c r="L967" s="79">
        <f t="shared" si="2"/>
        <v>25</v>
      </c>
      <c r="M967" s="79">
        <f t="array" ref="M967">max(min(IF(J967+K967=11,0,XLOOKUP(B967,Quotas!$A$8:$A$14,Quotas!$E$8:$E$14)-$L967),2),0)</f>
        <v>0</v>
      </c>
      <c r="N967" s="31">
        <f t="shared" si="3"/>
        <v>0</v>
      </c>
    </row>
    <row r="968">
      <c r="A968" s="31" t="s">
        <v>61</v>
      </c>
      <c r="B968" s="9">
        <v>5.0</v>
      </c>
      <c r="C968" s="31" t="str">
        <f>VLOOKUP(A968, 'College List'!A:B, 2, FALSE)</f>
        <v>Lorehold</v>
      </c>
      <c r="D968" s="355">
        <f>VLOOKUP(B968,Quotas!$A$8:$C$14,2,FALSE)</f>
        <v>46164.70833</v>
      </c>
      <c r="E968" s="356">
        <f>VLOOKUP(B968,Quotas!$A$8:$C$14,3,FALSE)</f>
        <v>46171.70833</v>
      </c>
      <c r="F968" s="79">
        <f>COUNTIFS(Matches!$B:$B,A968,Matches!$A:$A,CONCAT("&gt;",$D968),Matches!$A:$A,CONCAT("&lt;",$E968))</f>
        <v>1</v>
      </c>
      <c r="G968" s="79">
        <f>COUNTIFS(Matches!$C:$C,$A968,Matches!$A:$A,CONCAT("&gt;",$D968),Matches!$A:$A,CONCAT("&lt;",$E968))</f>
        <v>2</v>
      </c>
      <c r="H968" s="79">
        <f t="shared" si="1"/>
        <v>3</v>
      </c>
      <c r="I968" s="79">
        <f>COUNTIFS(Matches!$B:$B,$A968,Matches!$A:$A,CONCAT("&lt;",$E968))</f>
        <v>12</v>
      </c>
      <c r="J968" s="79">
        <f>COUNTIFS(Matches!$C:$C,$A968,Matches!$A:$A,CONCAT("&lt;",$E968))</f>
        <v>11</v>
      </c>
      <c r="K968" s="79">
        <f>COUNTIFS(Entropy!D:D,A968,Entropy!I:I,CONCAT("&lt;",E968-1))</f>
        <v>0</v>
      </c>
      <c r="L968" s="79">
        <f t="shared" si="2"/>
        <v>23</v>
      </c>
      <c r="M968" s="79">
        <f t="array" ref="M968">max(min(IF(J968+K968=11,0,XLOOKUP(B968,Quotas!$A$8:$A$14,Quotas!$E$8:$E$14)-$L968),2),0)</f>
        <v>0</v>
      </c>
      <c r="N968" s="31">
        <f t="shared" si="3"/>
        <v>0</v>
      </c>
    </row>
    <row r="969">
      <c r="A969" s="31" t="s">
        <v>63</v>
      </c>
      <c r="B969" s="9">
        <v>5.0</v>
      </c>
      <c r="C969" s="31" t="str">
        <f>VLOOKUP(A969, 'College List'!A:B, 2, FALSE)</f>
        <v>Quandrix</v>
      </c>
      <c r="D969" s="355">
        <f>VLOOKUP(B969,Quotas!$A$8:$C$14,2,FALSE)</f>
        <v>46164.70833</v>
      </c>
      <c r="E969" s="356">
        <f>VLOOKUP(B969,Quotas!$A$8:$C$14,3,FALSE)</f>
        <v>46171.70833</v>
      </c>
      <c r="F969" s="79">
        <f>COUNTIFS(Matches!$B:$B,A969,Matches!$A:$A,CONCAT("&gt;",$D969),Matches!$A:$A,CONCAT("&lt;",$E969))</f>
        <v>2</v>
      </c>
      <c r="G969" s="79">
        <f>COUNTIFS(Matches!$C:$C,$A969,Matches!$A:$A,CONCAT("&gt;",$D969),Matches!$A:$A,CONCAT("&lt;",$E969))</f>
        <v>1</v>
      </c>
      <c r="H969" s="79">
        <f t="shared" si="1"/>
        <v>3</v>
      </c>
      <c r="I969" s="79">
        <f>COUNTIFS(Matches!$B:$B,$A969,Matches!$A:$A,CONCAT("&lt;",$E969))</f>
        <v>12</v>
      </c>
      <c r="J969" s="79">
        <f>COUNTIFS(Matches!$C:$C,$A969,Matches!$A:$A,CONCAT("&lt;",$E969))</f>
        <v>11</v>
      </c>
      <c r="K969" s="79">
        <f>COUNTIFS(Entropy!D:D,A969,Entropy!I:I,CONCAT("&lt;",E969-1))</f>
        <v>0</v>
      </c>
      <c r="L969" s="79">
        <f t="shared" si="2"/>
        <v>23</v>
      </c>
      <c r="M969" s="79">
        <f t="array" ref="M969">max(min(IF(J969+K969=11,0,XLOOKUP(B969,Quotas!$A$8:$A$14,Quotas!$E$8:$E$14)-$L969),2),0)</f>
        <v>0</v>
      </c>
      <c r="N969" s="31">
        <f t="shared" si="3"/>
        <v>0</v>
      </c>
    </row>
    <row r="970">
      <c r="A970" s="31" t="s">
        <v>271</v>
      </c>
      <c r="B970" s="9">
        <v>5.0</v>
      </c>
      <c r="C970" s="31" t="str">
        <f>VLOOKUP(A970, 'College List'!A:B, 2, FALSE)</f>
        <v>Lorehold</v>
      </c>
      <c r="D970" s="355">
        <f>VLOOKUP(B970,Quotas!$A$8:$C$14,2,FALSE)</f>
        <v>46164.70833</v>
      </c>
      <c r="E970" s="356">
        <f>VLOOKUP(B970,Quotas!$A$8:$C$14,3,FALSE)</f>
        <v>46171.70833</v>
      </c>
      <c r="F970" s="79">
        <f>COUNTIFS(Matches!$B:$B,A970,Matches!$A:$A,CONCAT("&gt;",$D970),Matches!$A:$A,CONCAT("&lt;",$E970))</f>
        <v>5</v>
      </c>
      <c r="G970" s="79">
        <f>COUNTIFS(Matches!$C:$C,$A970,Matches!$A:$A,CONCAT("&gt;",$D970),Matches!$A:$A,CONCAT("&lt;",$E970))</f>
        <v>2</v>
      </c>
      <c r="H970" s="79">
        <f t="shared" si="1"/>
        <v>7</v>
      </c>
      <c r="I970" s="79">
        <f>COUNTIFS(Matches!$B:$B,$A970,Matches!$A:$A,CONCAT("&lt;",$E970))</f>
        <v>17</v>
      </c>
      <c r="J970" s="79">
        <f>COUNTIFS(Matches!$C:$C,$A970,Matches!$A:$A,CONCAT("&lt;",$E970))</f>
        <v>8</v>
      </c>
      <c r="K970" s="79">
        <f>COUNTIFS(Entropy!D:D,A970,Entropy!I:I,CONCAT("&lt;",E970-1))</f>
        <v>0</v>
      </c>
      <c r="L970" s="79">
        <f t="shared" si="2"/>
        <v>25</v>
      </c>
      <c r="M970" s="79">
        <f t="array" ref="M970">max(min(IF(J970+K970=11,0,XLOOKUP(B970,Quotas!$A$8:$A$14,Quotas!$E$8:$E$14)-$L970),2),0)</f>
        <v>0</v>
      </c>
      <c r="N970" s="31">
        <f t="shared" si="3"/>
        <v>0</v>
      </c>
    </row>
    <row r="971">
      <c r="A971" s="31" t="s">
        <v>369</v>
      </c>
      <c r="B971" s="9">
        <v>5.0</v>
      </c>
      <c r="C971" s="31" t="str">
        <f>VLOOKUP(A971, 'College List'!A:B, 2, FALSE)</f>
        <v>Silverquill</v>
      </c>
      <c r="D971" s="355">
        <f>VLOOKUP(B971,Quotas!$A$8:$C$14,2,FALSE)</f>
        <v>46164.70833</v>
      </c>
      <c r="E971" s="356">
        <f>VLOOKUP(B971,Quotas!$A$8:$C$14,3,FALSE)</f>
        <v>46171.70833</v>
      </c>
      <c r="F971" s="79">
        <f>COUNTIFS(Matches!$B:$B,A971,Matches!$A:$A,CONCAT("&gt;",$D971),Matches!$A:$A,CONCAT("&lt;",$E971))</f>
        <v>0</v>
      </c>
      <c r="G971" s="79">
        <f>COUNTIFS(Matches!$C:$C,$A971,Matches!$A:$A,CONCAT("&gt;",$D971),Matches!$A:$A,CONCAT("&lt;",$E971))</f>
        <v>0</v>
      </c>
      <c r="H971" s="79">
        <f t="shared" si="1"/>
        <v>0</v>
      </c>
      <c r="I971" s="79">
        <f>COUNTIFS(Matches!$B:$B,$A971,Matches!$A:$A,CONCAT("&lt;",$E971))</f>
        <v>8</v>
      </c>
      <c r="J971" s="79">
        <f>COUNTIFS(Matches!$C:$C,$A971,Matches!$A:$A,CONCAT("&lt;",$E971))</f>
        <v>11</v>
      </c>
      <c r="K971" s="79">
        <f>COUNTIFS(Entropy!D:D,A971,Entropy!I:I,CONCAT("&lt;",E971-1))</f>
        <v>0</v>
      </c>
      <c r="L971" s="79">
        <f t="shared" si="2"/>
        <v>19</v>
      </c>
      <c r="M971" s="79">
        <f t="array" ref="M971">max(min(IF(J971+K971=11,0,XLOOKUP(B971,Quotas!$A$8:$A$14,Quotas!$E$8:$E$14)-$L971),2),0)</f>
        <v>0</v>
      </c>
      <c r="N971" s="31">
        <f t="shared" si="3"/>
        <v>0</v>
      </c>
    </row>
    <row r="972">
      <c r="A972" s="31" t="s">
        <v>401</v>
      </c>
      <c r="B972" s="9">
        <v>5.0</v>
      </c>
      <c r="C972" s="31" t="str">
        <f>VLOOKUP(A972, 'College List'!A:B, 2, FALSE)</f>
        <v>Quandrix</v>
      </c>
      <c r="D972" s="355">
        <f>VLOOKUP(B972,Quotas!$A$8:$C$14,2,FALSE)</f>
        <v>46164.70833</v>
      </c>
      <c r="E972" s="356">
        <f>VLOOKUP(B972,Quotas!$A$8:$C$14,3,FALSE)</f>
        <v>46171.70833</v>
      </c>
      <c r="F972" s="79">
        <f>COUNTIFS(Matches!$B:$B,A972,Matches!$A:$A,CONCAT("&gt;",$D972),Matches!$A:$A,CONCAT("&lt;",$E972))</f>
        <v>0</v>
      </c>
      <c r="G972" s="79">
        <f>COUNTIFS(Matches!$C:$C,$A972,Matches!$A:$A,CONCAT("&gt;",$D972),Matches!$A:$A,CONCAT("&lt;",$E972))</f>
        <v>0</v>
      </c>
      <c r="H972" s="79">
        <f t="shared" si="1"/>
        <v>0</v>
      </c>
      <c r="I972" s="79">
        <f>COUNTIFS(Matches!$B:$B,$A972,Matches!$A:$A,CONCAT("&lt;",$E972))</f>
        <v>4</v>
      </c>
      <c r="J972" s="79">
        <f>COUNTIFS(Matches!$C:$C,$A972,Matches!$A:$A,CONCAT("&lt;",$E972))</f>
        <v>11</v>
      </c>
      <c r="K972" s="79">
        <f>COUNTIFS(Entropy!D:D,A972,Entropy!I:I,CONCAT("&lt;",E972-1))</f>
        <v>0</v>
      </c>
      <c r="L972" s="79">
        <f t="shared" si="2"/>
        <v>15</v>
      </c>
      <c r="M972" s="79">
        <f t="array" ref="M972">max(min(IF(J972+K972=11,0,XLOOKUP(B972,Quotas!$A$8:$A$14,Quotas!$E$8:$E$14)-$L972),2),0)</f>
        <v>0</v>
      </c>
      <c r="N972" s="31">
        <f t="shared" si="3"/>
        <v>0</v>
      </c>
    </row>
    <row r="973">
      <c r="A973" s="31" t="s">
        <v>378</v>
      </c>
      <c r="B973" s="9">
        <v>5.0</v>
      </c>
      <c r="C973" s="31" t="str">
        <f>VLOOKUP(A973, 'College List'!A:B, 2, FALSE)</f>
        <v>Lorehold</v>
      </c>
      <c r="D973" s="355">
        <f>VLOOKUP(B973,Quotas!$A$8:$C$14,2,FALSE)</f>
        <v>46164.70833</v>
      </c>
      <c r="E973" s="356">
        <f>VLOOKUP(B973,Quotas!$A$8:$C$14,3,FALSE)</f>
        <v>46171.70833</v>
      </c>
      <c r="F973" s="79">
        <f>COUNTIFS(Matches!$B:$B,A973,Matches!$A:$A,CONCAT("&gt;",$D973),Matches!$A:$A,CONCAT("&lt;",$E973))</f>
        <v>0</v>
      </c>
      <c r="G973" s="79">
        <f>COUNTIFS(Matches!$C:$C,$A973,Matches!$A:$A,CONCAT("&gt;",$D973),Matches!$A:$A,CONCAT("&lt;",$E973))</f>
        <v>0</v>
      </c>
      <c r="H973" s="79">
        <f t="shared" si="1"/>
        <v>0</v>
      </c>
      <c r="I973" s="79">
        <f>COUNTIFS(Matches!$B:$B,$A973,Matches!$A:$A,CONCAT("&lt;",$E973))</f>
        <v>4</v>
      </c>
      <c r="J973" s="79">
        <f>COUNTIFS(Matches!$C:$C,$A973,Matches!$A:$A,CONCAT("&lt;",$E973))</f>
        <v>5</v>
      </c>
      <c r="K973" s="79">
        <f>COUNTIFS(Entropy!D:D,A973,Entropy!I:I,CONCAT("&lt;",E973-1))</f>
        <v>6</v>
      </c>
      <c r="L973" s="79">
        <f t="shared" si="2"/>
        <v>15</v>
      </c>
      <c r="M973" s="79">
        <f t="array" ref="M973">max(min(IF(J973+K973=11,0,XLOOKUP(B973,Quotas!$A$8:$A$14,Quotas!$E$8:$E$14)-$L973),2),0)</f>
        <v>0</v>
      </c>
      <c r="N973" s="31">
        <f t="shared" si="3"/>
        <v>0</v>
      </c>
    </row>
    <row r="974">
      <c r="A974" s="31" t="s">
        <v>372</v>
      </c>
      <c r="B974" s="9">
        <v>5.0</v>
      </c>
      <c r="C974" s="31" t="str">
        <f>VLOOKUP(A974, 'College List'!A:B, 2, FALSE)</f>
        <v>Silverquill</v>
      </c>
      <c r="D974" s="355">
        <f>VLOOKUP(B974,Quotas!$A$8:$C$14,2,FALSE)</f>
        <v>46164.70833</v>
      </c>
      <c r="E974" s="356">
        <f>VLOOKUP(B974,Quotas!$A$8:$C$14,3,FALSE)</f>
        <v>46171.70833</v>
      </c>
      <c r="F974" s="79">
        <f>COUNTIFS(Matches!$B:$B,A974,Matches!$A:$A,CONCAT("&gt;",$D974),Matches!$A:$A,CONCAT("&lt;",$E974))</f>
        <v>0</v>
      </c>
      <c r="G974" s="79">
        <f>COUNTIFS(Matches!$C:$C,$A974,Matches!$A:$A,CONCAT("&gt;",$D974),Matches!$A:$A,CONCAT("&lt;",$E974))</f>
        <v>0</v>
      </c>
      <c r="H974" s="79">
        <f t="shared" si="1"/>
        <v>0</v>
      </c>
      <c r="I974" s="79">
        <f>COUNTIFS(Matches!$B:$B,$A974,Matches!$A:$A,CONCAT("&lt;",$E974))</f>
        <v>1</v>
      </c>
      <c r="J974" s="79">
        <f>COUNTIFS(Matches!$C:$C,$A974,Matches!$A:$A,CONCAT("&lt;",$E974))</f>
        <v>8</v>
      </c>
      <c r="K974" s="79">
        <f>COUNTIFS(Entropy!D:D,A974,Entropy!I:I,CONCAT("&lt;",E974-1))</f>
        <v>3</v>
      </c>
      <c r="L974" s="79">
        <f t="shared" si="2"/>
        <v>12</v>
      </c>
      <c r="M974" s="79">
        <f t="array" ref="M974">max(min(IF(J974+K974=11,0,XLOOKUP(B974,Quotas!$A$8:$A$14,Quotas!$E$8:$E$14)-$L974),2),0)</f>
        <v>0</v>
      </c>
      <c r="N974" s="31">
        <f t="shared" si="3"/>
        <v>0</v>
      </c>
    </row>
    <row r="975">
      <c r="A975" s="31" t="s">
        <v>273</v>
      </c>
      <c r="B975" s="9">
        <v>5.0</v>
      </c>
      <c r="C975" s="31" t="str">
        <f>VLOOKUP(A975, 'College List'!A:B, 2, FALSE)</f>
        <v>Witherbloom</v>
      </c>
      <c r="D975" s="355">
        <f>VLOOKUP(B975,Quotas!$A$8:$C$14,2,FALSE)</f>
        <v>46164.70833</v>
      </c>
      <c r="E975" s="356">
        <f>VLOOKUP(B975,Quotas!$A$8:$C$14,3,FALSE)</f>
        <v>46171.70833</v>
      </c>
      <c r="F975" s="79">
        <f>COUNTIFS(Matches!$B:$B,A975,Matches!$A:$A,CONCAT("&gt;",$D975),Matches!$A:$A,CONCAT("&lt;",$E975))</f>
        <v>2</v>
      </c>
      <c r="G975" s="79">
        <f>COUNTIFS(Matches!$C:$C,$A975,Matches!$A:$A,CONCAT("&gt;",$D975),Matches!$A:$A,CONCAT("&lt;",$E975))</f>
        <v>3</v>
      </c>
      <c r="H975" s="79">
        <f t="shared" si="1"/>
        <v>5</v>
      </c>
      <c r="I975" s="79">
        <f>COUNTIFS(Matches!$B:$B,$A975,Matches!$A:$A,CONCAT("&lt;",$E975))</f>
        <v>15</v>
      </c>
      <c r="J975" s="79">
        <f>COUNTIFS(Matches!$C:$C,$A975,Matches!$A:$A,CONCAT("&lt;",$E975))</f>
        <v>10</v>
      </c>
      <c r="K975" s="79">
        <f>COUNTIFS(Entropy!D:D,A975,Entropy!I:I,CONCAT("&lt;",E975-1))</f>
        <v>0</v>
      </c>
      <c r="L975" s="79">
        <f t="shared" si="2"/>
        <v>25</v>
      </c>
      <c r="M975" s="79">
        <f t="array" ref="M975">max(min(IF(J975+K975=11,0,XLOOKUP(B975,Quotas!$A$8:$A$14,Quotas!$E$8:$E$14)-$L975),2),0)</f>
        <v>0</v>
      </c>
      <c r="N975" s="31">
        <f t="shared" si="3"/>
        <v>0</v>
      </c>
    </row>
    <row r="976">
      <c r="A976" s="31" t="s">
        <v>264</v>
      </c>
      <c r="B976" s="9">
        <v>5.0</v>
      </c>
      <c r="C976" s="31" t="str">
        <f>VLOOKUP(A976, 'College List'!A:B, 2, FALSE)</f>
        <v>Witherbloom</v>
      </c>
      <c r="D976" s="355">
        <f>VLOOKUP(B976,Quotas!$A$8:$C$14,2,FALSE)</f>
        <v>46164.70833</v>
      </c>
      <c r="E976" s="356">
        <f>VLOOKUP(B976,Quotas!$A$8:$C$14,3,FALSE)</f>
        <v>46171.70833</v>
      </c>
      <c r="F976" s="79">
        <f>COUNTIFS(Matches!$B:$B,A976,Matches!$A:$A,CONCAT("&gt;",$D976),Matches!$A:$A,CONCAT("&lt;",$E976))</f>
        <v>2</v>
      </c>
      <c r="G976" s="79">
        <f>COUNTIFS(Matches!$C:$C,$A976,Matches!$A:$A,CONCAT("&gt;",$D976),Matches!$A:$A,CONCAT("&lt;",$E976))</f>
        <v>3</v>
      </c>
      <c r="H976" s="79">
        <f t="shared" si="1"/>
        <v>5</v>
      </c>
      <c r="I976" s="79">
        <f>COUNTIFS(Matches!$B:$B,$A976,Matches!$A:$A,CONCAT("&lt;",$E976))</f>
        <v>15</v>
      </c>
      <c r="J976" s="79">
        <f>COUNTIFS(Matches!$C:$C,$A976,Matches!$A:$A,CONCAT("&lt;",$E976))</f>
        <v>10</v>
      </c>
      <c r="K976" s="79">
        <f>COUNTIFS(Entropy!D:D,A976,Entropy!I:I,CONCAT("&lt;",E976-1))</f>
        <v>0</v>
      </c>
      <c r="L976" s="79">
        <f t="shared" si="2"/>
        <v>25</v>
      </c>
      <c r="M976" s="79">
        <f t="array" ref="M976">max(min(IF(J976+K976=11,0,XLOOKUP(B976,Quotas!$A$8:$A$14,Quotas!$E$8:$E$14)-$L976),2),0)</f>
        <v>0</v>
      </c>
      <c r="N976" s="31">
        <f t="shared" si="3"/>
        <v>0</v>
      </c>
    </row>
    <row r="977">
      <c r="A977" s="31" t="s">
        <v>297</v>
      </c>
      <c r="B977" s="9">
        <v>5.0</v>
      </c>
      <c r="C977" s="31" t="str">
        <f>VLOOKUP(A977, 'College List'!A:B, 2, FALSE)</f>
        <v>Quandrix</v>
      </c>
      <c r="D977" s="355">
        <f>VLOOKUP(B977,Quotas!$A$8:$C$14,2,FALSE)</f>
        <v>46164.70833</v>
      </c>
      <c r="E977" s="356">
        <f>VLOOKUP(B977,Quotas!$A$8:$C$14,3,FALSE)</f>
        <v>46171.70833</v>
      </c>
      <c r="F977" s="79">
        <f>COUNTIFS(Matches!$B:$B,A977,Matches!$A:$A,CONCAT("&gt;",$D977),Matches!$A:$A,CONCAT("&lt;",$E977))</f>
        <v>1</v>
      </c>
      <c r="G977" s="79">
        <f>COUNTIFS(Matches!$C:$C,$A977,Matches!$A:$A,CONCAT("&gt;",$D977),Matches!$A:$A,CONCAT("&lt;",$E977))</f>
        <v>1</v>
      </c>
      <c r="H977" s="79">
        <f t="shared" si="1"/>
        <v>2</v>
      </c>
      <c r="I977" s="79">
        <f>COUNTIFS(Matches!$B:$B,$A977,Matches!$A:$A,CONCAT("&lt;",$E977))</f>
        <v>11</v>
      </c>
      <c r="J977" s="79">
        <f>COUNTIFS(Matches!$C:$C,$A977,Matches!$A:$A,CONCAT("&lt;",$E977))</f>
        <v>11</v>
      </c>
      <c r="K977" s="79">
        <f>COUNTIFS(Entropy!D:D,A977,Entropy!I:I,CONCAT("&lt;",E977-1))</f>
        <v>0</v>
      </c>
      <c r="L977" s="79">
        <f t="shared" si="2"/>
        <v>22</v>
      </c>
      <c r="M977" s="79">
        <f t="array" ref="M977">max(min(IF(J977+K977=11,0,XLOOKUP(B977,Quotas!$A$8:$A$14,Quotas!$E$8:$E$14)-$L977),2),0)</f>
        <v>0</v>
      </c>
      <c r="N977" s="31">
        <f t="shared" si="3"/>
        <v>0</v>
      </c>
    </row>
    <row r="978">
      <c r="A978" s="31" t="s">
        <v>410</v>
      </c>
      <c r="B978" s="9">
        <v>5.0</v>
      </c>
      <c r="C978" s="31" t="str">
        <f>VLOOKUP(A978, 'College List'!A:B, 2, FALSE)</f>
        <v>Quandrix</v>
      </c>
      <c r="D978" s="355">
        <f>VLOOKUP(B978,Quotas!$A$8:$C$14,2,FALSE)</f>
        <v>46164.70833</v>
      </c>
      <c r="E978" s="356">
        <f>VLOOKUP(B978,Quotas!$A$8:$C$14,3,FALSE)</f>
        <v>46171.70833</v>
      </c>
      <c r="F978" s="79">
        <f>COUNTIFS(Matches!$B:$B,A978,Matches!$A:$A,CONCAT("&gt;",$D978),Matches!$A:$A,CONCAT("&lt;",$E978))</f>
        <v>0</v>
      </c>
      <c r="G978" s="79">
        <f>COUNTIFS(Matches!$C:$C,$A978,Matches!$A:$A,CONCAT("&gt;",$D978),Matches!$A:$A,CONCAT("&lt;",$E978))</f>
        <v>0</v>
      </c>
      <c r="H978" s="79">
        <f t="shared" si="1"/>
        <v>0</v>
      </c>
      <c r="I978" s="79">
        <f>COUNTIFS(Matches!$B:$B,$A978,Matches!$A:$A,CONCAT("&lt;",$E978))</f>
        <v>2</v>
      </c>
      <c r="J978" s="79">
        <f>COUNTIFS(Matches!$C:$C,$A978,Matches!$A:$A,CONCAT("&lt;",$E978))</f>
        <v>8</v>
      </c>
      <c r="K978" s="79">
        <f>COUNTIFS(Entropy!D:D,A978,Entropy!I:I,CONCAT("&lt;",E978-1))</f>
        <v>3</v>
      </c>
      <c r="L978" s="79">
        <f t="shared" si="2"/>
        <v>13</v>
      </c>
      <c r="M978" s="79">
        <f t="array" ref="M978">max(min(IF(J978+K978=11,0,XLOOKUP(B978,Quotas!$A$8:$A$14,Quotas!$E$8:$E$14)-$L978),2),0)</f>
        <v>0</v>
      </c>
      <c r="N978" s="31">
        <f t="shared" si="3"/>
        <v>0</v>
      </c>
    </row>
    <row r="979">
      <c r="A979" s="31" t="s">
        <v>261</v>
      </c>
      <c r="B979" s="9">
        <v>5.0</v>
      </c>
      <c r="C979" s="31" t="str">
        <f>VLOOKUP(A979, 'College List'!A:B, 2, FALSE)</f>
        <v>Witherbloom</v>
      </c>
      <c r="D979" s="355">
        <f>VLOOKUP(B979,Quotas!$A$8:$C$14,2,FALSE)</f>
        <v>46164.70833</v>
      </c>
      <c r="E979" s="356">
        <f>VLOOKUP(B979,Quotas!$A$8:$C$14,3,FALSE)</f>
        <v>46171.70833</v>
      </c>
      <c r="F979" s="79">
        <f>COUNTIFS(Matches!$B:$B,A979,Matches!$A:$A,CONCAT("&gt;",$D979),Matches!$A:$A,CONCAT("&lt;",$E979))</f>
        <v>0</v>
      </c>
      <c r="G979" s="79">
        <f>COUNTIFS(Matches!$C:$C,$A979,Matches!$A:$A,CONCAT("&gt;",$D979),Matches!$A:$A,CONCAT("&lt;",$E979))</f>
        <v>1</v>
      </c>
      <c r="H979" s="79">
        <f t="shared" si="1"/>
        <v>1</v>
      </c>
      <c r="I979" s="79">
        <f>COUNTIFS(Matches!$B:$B,$A979,Matches!$A:$A,CONCAT("&lt;",$E979))</f>
        <v>10</v>
      </c>
      <c r="J979" s="79">
        <f>COUNTIFS(Matches!$C:$C,$A979,Matches!$A:$A,CONCAT("&lt;",$E979))</f>
        <v>11</v>
      </c>
      <c r="K979" s="79">
        <f>COUNTIFS(Entropy!D:D,A979,Entropy!I:I,CONCAT("&lt;",E979-1))</f>
        <v>0</v>
      </c>
      <c r="L979" s="79">
        <f t="shared" si="2"/>
        <v>21</v>
      </c>
      <c r="M979" s="79">
        <f t="array" ref="M979">max(min(IF(J979+K979=11,0,XLOOKUP(B979,Quotas!$A$8:$A$14,Quotas!$E$8:$E$14)-$L979),2),0)</f>
        <v>0</v>
      </c>
      <c r="N979" s="31">
        <f t="shared" si="3"/>
        <v>0</v>
      </c>
    </row>
    <row r="980">
      <c r="A980" s="31" t="s">
        <v>291</v>
      </c>
      <c r="B980" s="9">
        <v>5.0</v>
      </c>
      <c r="C980" s="31" t="str">
        <f>VLOOKUP(A980, 'College List'!A:B, 2, FALSE)</f>
        <v>Silverquill</v>
      </c>
      <c r="D980" s="355">
        <f>VLOOKUP(B980,Quotas!$A$8:$C$14,2,FALSE)</f>
        <v>46164.70833</v>
      </c>
      <c r="E980" s="356">
        <f>VLOOKUP(B980,Quotas!$A$8:$C$14,3,FALSE)</f>
        <v>46171.70833</v>
      </c>
      <c r="F980" s="79">
        <f>COUNTIFS(Matches!$B:$B,A980,Matches!$A:$A,CONCAT("&gt;",$D980),Matches!$A:$A,CONCAT("&lt;",$E980))</f>
        <v>0</v>
      </c>
      <c r="G980" s="79">
        <f>COUNTIFS(Matches!$C:$C,$A980,Matches!$A:$A,CONCAT("&gt;",$D980),Matches!$A:$A,CONCAT("&lt;",$E980))</f>
        <v>0</v>
      </c>
      <c r="H980" s="79">
        <f t="shared" si="1"/>
        <v>0</v>
      </c>
      <c r="I980" s="79">
        <f>COUNTIFS(Matches!$B:$B,$A980,Matches!$A:$A,CONCAT("&lt;",$E980))</f>
        <v>1</v>
      </c>
      <c r="J980" s="79">
        <f>COUNTIFS(Matches!$C:$C,$A980,Matches!$A:$A,CONCAT("&lt;",$E980))</f>
        <v>11</v>
      </c>
      <c r="K980" s="79">
        <f>COUNTIFS(Entropy!D:D,A980,Entropy!I:I,CONCAT("&lt;",E980-1))</f>
        <v>0</v>
      </c>
      <c r="L980" s="79">
        <f t="shared" si="2"/>
        <v>12</v>
      </c>
      <c r="M980" s="79">
        <f t="array" ref="M980">max(min(IF(J980+K980=11,0,XLOOKUP(B980,Quotas!$A$8:$A$14,Quotas!$E$8:$E$14)-$L980),2),0)</f>
        <v>0</v>
      </c>
      <c r="N980" s="31">
        <f t="shared" si="3"/>
        <v>0</v>
      </c>
    </row>
    <row r="981">
      <c r="A981" s="31" t="s">
        <v>397</v>
      </c>
      <c r="B981" s="9">
        <v>5.0</v>
      </c>
      <c r="C981" s="31" t="str">
        <f>VLOOKUP(A981, 'College List'!A:B, 2, FALSE)</f>
        <v>Quandrix</v>
      </c>
      <c r="D981" s="355">
        <f>VLOOKUP(B981,Quotas!$A$8:$C$14,2,FALSE)</f>
        <v>46164.70833</v>
      </c>
      <c r="E981" s="356">
        <f>VLOOKUP(B981,Quotas!$A$8:$C$14,3,FALSE)</f>
        <v>46171.70833</v>
      </c>
      <c r="F981" s="79">
        <f>COUNTIFS(Matches!$B:$B,A981,Matches!$A:$A,CONCAT("&gt;",$D981),Matches!$A:$A,CONCAT("&lt;",$E981))</f>
        <v>0</v>
      </c>
      <c r="G981" s="79">
        <f>COUNTIFS(Matches!$C:$C,$A981,Matches!$A:$A,CONCAT("&gt;",$D981),Matches!$A:$A,CONCAT("&lt;",$E981))</f>
        <v>3</v>
      </c>
      <c r="H981" s="79">
        <f t="shared" si="1"/>
        <v>3</v>
      </c>
      <c r="I981" s="79">
        <f>COUNTIFS(Matches!$B:$B,$A981,Matches!$A:$A,CONCAT("&lt;",$E981))</f>
        <v>13</v>
      </c>
      <c r="J981" s="79">
        <f>COUNTIFS(Matches!$C:$C,$A981,Matches!$A:$A,CONCAT("&lt;",$E981))</f>
        <v>10</v>
      </c>
      <c r="K981" s="79">
        <f>COUNTIFS(Entropy!D:D,A981,Entropy!I:I,CONCAT("&lt;",E981-1))</f>
        <v>0</v>
      </c>
      <c r="L981" s="79">
        <f t="shared" si="2"/>
        <v>23</v>
      </c>
      <c r="M981" s="79">
        <f t="array" ref="M981">max(min(IF(J981+K981=11,0,XLOOKUP(B981,Quotas!$A$8:$A$14,Quotas!$E$8:$E$14)-$L981),2),0)</f>
        <v>2</v>
      </c>
      <c r="N981" s="31">
        <f t="shared" si="3"/>
        <v>1</v>
      </c>
    </row>
    <row r="982">
      <c r="A982" s="31" t="s">
        <v>239</v>
      </c>
      <c r="B982" s="9">
        <v>5.0</v>
      </c>
      <c r="C982" s="31" t="str">
        <f>VLOOKUP(A982, 'College List'!A:B, 2, FALSE)</f>
        <v>Quandrix</v>
      </c>
      <c r="D982" s="355">
        <f>VLOOKUP(B982,Quotas!$A$8:$C$14,2,FALSE)</f>
        <v>46164.70833</v>
      </c>
      <c r="E982" s="356">
        <f>VLOOKUP(B982,Quotas!$A$8:$C$14,3,FALSE)</f>
        <v>46171.70833</v>
      </c>
      <c r="F982" s="79">
        <f>COUNTIFS(Matches!$B:$B,A982,Matches!$A:$A,CONCAT("&gt;",$D982),Matches!$A:$A,CONCAT("&lt;",$E982))</f>
        <v>0</v>
      </c>
      <c r="G982" s="79">
        <f>COUNTIFS(Matches!$C:$C,$A982,Matches!$A:$A,CONCAT("&gt;",$D982),Matches!$A:$A,CONCAT("&lt;",$E982))</f>
        <v>0</v>
      </c>
      <c r="H982" s="79">
        <f t="shared" si="1"/>
        <v>0</v>
      </c>
      <c r="I982" s="79">
        <f>COUNTIFS(Matches!$B:$B,$A982,Matches!$A:$A,CONCAT("&lt;",$E982))</f>
        <v>6</v>
      </c>
      <c r="J982" s="79">
        <f>COUNTIFS(Matches!$C:$C,$A982,Matches!$A:$A,CONCAT("&lt;",$E982))</f>
        <v>9</v>
      </c>
      <c r="K982" s="79">
        <f>COUNTIFS(Entropy!D:D,A982,Entropy!I:I,CONCAT("&lt;",E982-1))</f>
        <v>2</v>
      </c>
      <c r="L982" s="79">
        <f t="shared" si="2"/>
        <v>17</v>
      </c>
      <c r="M982" s="79">
        <f t="array" ref="M982">max(min(IF(J982+K982=11,0,XLOOKUP(B982,Quotas!$A$8:$A$14,Quotas!$E$8:$E$14)-$L982),2),0)</f>
        <v>0</v>
      </c>
      <c r="N982" s="31">
        <f t="shared" si="3"/>
        <v>0</v>
      </c>
    </row>
    <row r="983">
      <c r="A983" s="31" t="s">
        <v>417</v>
      </c>
      <c r="B983" s="9">
        <v>5.0</v>
      </c>
      <c r="C983" s="31" t="str">
        <f>VLOOKUP(A983, 'College List'!A:B, 2, FALSE)</f>
        <v>Silverquill</v>
      </c>
      <c r="D983" s="355">
        <f>VLOOKUP(B983,Quotas!$A$8:$C$14,2,FALSE)</f>
        <v>46164.70833</v>
      </c>
      <c r="E983" s="356">
        <f>VLOOKUP(B983,Quotas!$A$8:$C$14,3,FALSE)</f>
        <v>46171.70833</v>
      </c>
      <c r="F983" s="79">
        <f>COUNTIFS(Matches!$B:$B,A983,Matches!$A:$A,CONCAT("&gt;",$D983),Matches!$A:$A,CONCAT("&lt;",$E983))</f>
        <v>0</v>
      </c>
      <c r="G983" s="79">
        <f>COUNTIFS(Matches!$C:$C,$A983,Matches!$A:$A,CONCAT("&gt;",$D983),Matches!$A:$A,CONCAT("&lt;",$E983))</f>
        <v>0</v>
      </c>
      <c r="H983" s="79">
        <f t="shared" si="1"/>
        <v>0</v>
      </c>
      <c r="I983" s="79">
        <f>COUNTIFS(Matches!$B:$B,$A983,Matches!$A:$A,CONCAT("&lt;",$E983))</f>
        <v>8</v>
      </c>
      <c r="J983" s="79">
        <f>COUNTIFS(Matches!$C:$C,$A983,Matches!$A:$A,CONCAT("&lt;",$E983))</f>
        <v>8</v>
      </c>
      <c r="K983" s="79">
        <f>COUNTIFS(Entropy!D:D,A983,Entropy!I:I,CONCAT("&lt;",E983-1))</f>
        <v>3</v>
      </c>
      <c r="L983" s="79">
        <f t="shared" si="2"/>
        <v>19</v>
      </c>
      <c r="M983" s="79">
        <f t="array" ref="M983">max(min(IF(J983+K983=11,0,XLOOKUP(B983,Quotas!$A$8:$A$14,Quotas!$E$8:$E$14)-$L983),2),0)</f>
        <v>0</v>
      </c>
      <c r="N983" s="31">
        <f t="shared" si="3"/>
        <v>0</v>
      </c>
    </row>
    <row r="984">
      <c r="A984" s="31" t="s">
        <v>165</v>
      </c>
      <c r="B984" s="9">
        <v>5.0</v>
      </c>
      <c r="C984" s="31" t="str">
        <f>VLOOKUP(A984, 'College List'!A:B, 2, FALSE)</f>
        <v>Lorehold</v>
      </c>
      <c r="D984" s="355">
        <f>VLOOKUP(B984,Quotas!$A$8:$C$14,2,FALSE)</f>
        <v>46164.70833</v>
      </c>
      <c r="E984" s="356">
        <f>VLOOKUP(B984,Quotas!$A$8:$C$14,3,FALSE)</f>
        <v>46171.70833</v>
      </c>
      <c r="F984" s="79">
        <f>COUNTIFS(Matches!$B:$B,A984,Matches!$A:$A,CONCAT("&gt;",$D984),Matches!$A:$A,CONCAT("&lt;",$E984))</f>
        <v>0</v>
      </c>
      <c r="G984" s="79">
        <f>COUNTIFS(Matches!$C:$C,$A984,Matches!$A:$A,CONCAT("&gt;",$D984),Matches!$A:$A,CONCAT("&lt;",$E984))</f>
        <v>4</v>
      </c>
      <c r="H984" s="79">
        <f t="shared" si="1"/>
        <v>4</v>
      </c>
      <c r="I984" s="79">
        <f>COUNTIFS(Matches!$B:$B,$A984,Matches!$A:$A,CONCAT("&lt;",$E984))</f>
        <v>13</v>
      </c>
      <c r="J984" s="79">
        <f>COUNTIFS(Matches!$C:$C,$A984,Matches!$A:$A,CONCAT("&lt;",$E984))</f>
        <v>11</v>
      </c>
      <c r="K984" s="79">
        <f>COUNTIFS(Entropy!D:D,A984,Entropy!I:I,CONCAT("&lt;",E984-1))</f>
        <v>0</v>
      </c>
      <c r="L984" s="79">
        <f t="shared" si="2"/>
        <v>24</v>
      </c>
      <c r="M984" s="79">
        <f t="array" ref="M984">max(min(IF(J984+K984=11,0,XLOOKUP(B984,Quotas!$A$8:$A$14,Quotas!$E$8:$E$14)-$L984),2),0)</f>
        <v>0</v>
      </c>
      <c r="N984" s="31">
        <f t="shared" si="3"/>
        <v>0</v>
      </c>
    </row>
    <row r="985">
      <c r="A985" s="31" t="s">
        <v>316</v>
      </c>
      <c r="B985" s="9">
        <v>5.0</v>
      </c>
      <c r="C985" s="31" t="str">
        <f>VLOOKUP(A985, 'College List'!A:B, 2, FALSE)</f>
        <v>Quandrix</v>
      </c>
      <c r="D985" s="355">
        <f>VLOOKUP(B985,Quotas!$A$8:$C$14,2,FALSE)</f>
        <v>46164.70833</v>
      </c>
      <c r="E985" s="356">
        <f>VLOOKUP(B985,Quotas!$A$8:$C$14,3,FALSE)</f>
        <v>46171.70833</v>
      </c>
      <c r="F985" s="79">
        <f>COUNTIFS(Matches!$B:$B,A985,Matches!$A:$A,CONCAT("&gt;",$D985),Matches!$A:$A,CONCAT("&lt;",$E985))</f>
        <v>0</v>
      </c>
      <c r="G985" s="79">
        <f>COUNTIFS(Matches!$C:$C,$A985,Matches!$A:$A,CONCAT("&gt;",$D985),Matches!$A:$A,CONCAT("&lt;",$E985))</f>
        <v>0</v>
      </c>
      <c r="H985" s="79">
        <f t="shared" si="1"/>
        <v>0</v>
      </c>
      <c r="I985" s="79">
        <f>COUNTIFS(Matches!$B:$B,$A985,Matches!$A:$A,CONCAT("&lt;",$E985))</f>
        <v>8</v>
      </c>
      <c r="J985" s="79">
        <f>COUNTIFS(Matches!$C:$C,$A985,Matches!$A:$A,CONCAT("&lt;",$E985))</f>
        <v>11</v>
      </c>
      <c r="K985" s="79">
        <f>COUNTIFS(Entropy!D:D,A985,Entropy!I:I,CONCAT("&lt;",E985-1))</f>
        <v>0</v>
      </c>
      <c r="L985" s="79">
        <f t="shared" si="2"/>
        <v>19</v>
      </c>
      <c r="M985" s="79">
        <f t="array" ref="M985">max(min(IF(J985+K985=11,0,XLOOKUP(B985,Quotas!$A$8:$A$14,Quotas!$E$8:$E$14)-$L985),2),0)</f>
        <v>0</v>
      </c>
      <c r="N985" s="31">
        <f t="shared" si="3"/>
        <v>0</v>
      </c>
    </row>
    <row r="986">
      <c r="A986" s="31" t="s">
        <v>219</v>
      </c>
      <c r="B986" s="9">
        <v>5.0</v>
      </c>
      <c r="C986" s="31" t="str">
        <f>VLOOKUP(A986, 'College List'!A:B, 2, FALSE)</f>
        <v>Prismari</v>
      </c>
      <c r="D986" s="355">
        <f>VLOOKUP(B986,Quotas!$A$8:$C$14,2,FALSE)</f>
        <v>46164.70833</v>
      </c>
      <c r="E986" s="356">
        <f>VLOOKUP(B986,Quotas!$A$8:$C$14,3,FALSE)</f>
        <v>46171.70833</v>
      </c>
      <c r="F986" s="79">
        <f>COUNTIFS(Matches!$B:$B,A986,Matches!$A:$A,CONCAT("&gt;",$D986),Matches!$A:$A,CONCAT("&lt;",$E986))</f>
        <v>1</v>
      </c>
      <c r="G986" s="79">
        <f>COUNTIFS(Matches!$C:$C,$A986,Matches!$A:$A,CONCAT("&gt;",$D986),Matches!$A:$A,CONCAT("&lt;",$E986))</f>
        <v>1</v>
      </c>
      <c r="H986" s="79">
        <f t="shared" si="1"/>
        <v>2</v>
      </c>
      <c r="I986" s="79">
        <f>COUNTIFS(Matches!$B:$B,$A986,Matches!$A:$A,CONCAT("&lt;",$E986))</f>
        <v>11</v>
      </c>
      <c r="J986" s="79">
        <f>COUNTIFS(Matches!$C:$C,$A986,Matches!$A:$A,CONCAT("&lt;",$E986))</f>
        <v>11</v>
      </c>
      <c r="K986" s="79">
        <f>COUNTIFS(Entropy!D:D,A986,Entropy!I:I,CONCAT("&lt;",E986-1))</f>
        <v>0</v>
      </c>
      <c r="L986" s="79">
        <f t="shared" si="2"/>
        <v>22</v>
      </c>
      <c r="M986" s="79">
        <f t="array" ref="M986">max(min(IF(J986+K986=11,0,XLOOKUP(B986,Quotas!$A$8:$A$14,Quotas!$E$8:$E$14)-$L986),2),0)</f>
        <v>0</v>
      </c>
      <c r="N986" s="31">
        <f t="shared" si="3"/>
        <v>0</v>
      </c>
    </row>
    <row r="987">
      <c r="A987" s="31" t="s">
        <v>191</v>
      </c>
      <c r="B987" s="9">
        <v>5.0</v>
      </c>
      <c r="C987" s="31" t="str">
        <f>VLOOKUP(A987, 'College List'!A:B, 2, FALSE)</f>
        <v>Silverquill</v>
      </c>
      <c r="D987" s="355">
        <f>VLOOKUP(B987,Quotas!$A$8:$C$14,2,FALSE)</f>
        <v>46164.70833</v>
      </c>
      <c r="E987" s="356">
        <f>VLOOKUP(B987,Quotas!$A$8:$C$14,3,FALSE)</f>
        <v>46171.70833</v>
      </c>
      <c r="F987" s="79">
        <f>COUNTIFS(Matches!$B:$B,A987,Matches!$A:$A,CONCAT("&gt;",$D987),Matches!$A:$A,CONCAT("&lt;",$E987))</f>
        <v>0</v>
      </c>
      <c r="G987" s="79">
        <f>COUNTIFS(Matches!$C:$C,$A987,Matches!$A:$A,CONCAT("&gt;",$D987),Matches!$A:$A,CONCAT("&lt;",$E987))</f>
        <v>0</v>
      </c>
      <c r="H987" s="79">
        <f t="shared" si="1"/>
        <v>0</v>
      </c>
      <c r="I987" s="79">
        <f>COUNTIFS(Matches!$B:$B,$A987,Matches!$A:$A,CONCAT("&lt;",$E987))</f>
        <v>5</v>
      </c>
      <c r="J987" s="79">
        <f>COUNTIFS(Matches!$C:$C,$A987,Matches!$A:$A,CONCAT("&lt;",$E987))</f>
        <v>11</v>
      </c>
      <c r="K987" s="79">
        <f>COUNTIFS(Entropy!D:D,A987,Entropy!I:I,CONCAT("&lt;",E987-1))</f>
        <v>0</v>
      </c>
      <c r="L987" s="79">
        <f t="shared" si="2"/>
        <v>16</v>
      </c>
      <c r="M987" s="79">
        <f t="array" ref="M987">max(min(IF(J987+K987=11,0,XLOOKUP(B987,Quotas!$A$8:$A$14,Quotas!$E$8:$E$14)-$L987),2),0)</f>
        <v>0</v>
      </c>
      <c r="N987" s="31">
        <f t="shared" si="3"/>
        <v>0</v>
      </c>
    </row>
    <row r="988">
      <c r="A988" s="31" t="s">
        <v>396</v>
      </c>
      <c r="B988" s="9">
        <v>5.0</v>
      </c>
      <c r="C988" s="31" t="str">
        <f>VLOOKUP(A988, 'College List'!A:B, 2, FALSE)</f>
        <v>Prismari</v>
      </c>
      <c r="D988" s="355">
        <f>VLOOKUP(B988,Quotas!$A$8:$C$14,2,FALSE)</f>
        <v>46164.70833</v>
      </c>
      <c r="E988" s="356">
        <f>VLOOKUP(B988,Quotas!$A$8:$C$14,3,FALSE)</f>
        <v>46171.70833</v>
      </c>
      <c r="F988" s="79">
        <f>COUNTIFS(Matches!$B:$B,A988,Matches!$A:$A,CONCAT("&gt;",$D988),Matches!$A:$A,CONCAT("&lt;",$E988))</f>
        <v>0</v>
      </c>
      <c r="G988" s="79">
        <f>COUNTIFS(Matches!$C:$C,$A988,Matches!$A:$A,CONCAT("&gt;",$D988),Matches!$A:$A,CONCAT("&lt;",$E988))</f>
        <v>0</v>
      </c>
      <c r="H988" s="79">
        <f t="shared" si="1"/>
        <v>0</v>
      </c>
      <c r="I988" s="79">
        <f>COUNTIFS(Matches!$B:$B,$A988,Matches!$A:$A,CONCAT("&lt;",$E988))</f>
        <v>5</v>
      </c>
      <c r="J988" s="79">
        <f>COUNTIFS(Matches!$C:$C,$A988,Matches!$A:$A,CONCAT("&lt;",$E988))</f>
        <v>11</v>
      </c>
      <c r="K988" s="79">
        <f>COUNTIFS(Entropy!D:D,A988,Entropy!I:I,CONCAT("&lt;",E988-1))</f>
        <v>0</v>
      </c>
      <c r="L988" s="79">
        <f t="shared" si="2"/>
        <v>16</v>
      </c>
      <c r="M988" s="79">
        <f t="array" ref="M988">max(min(IF(J988+K988=11,0,XLOOKUP(B988,Quotas!$A$8:$A$14,Quotas!$E$8:$E$14)-$L988),2),0)</f>
        <v>0</v>
      </c>
      <c r="N988" s="31">
        <f t="shared" si="3"/>
        <v>0</v>
      </c>
    </row>
    <row r="989">
      <c r="A989" s="31" t="s">
        <v>72</v>
      </c>
      <c r="B989" s="9">
        <v>5.0</v>
      </c>
      <c r="C989" s="31" t="str">
        <f>VLOOKUP(A989, 'College List'!A:B, 2, FALSE)</f>
        <v>Prismari</v>
      </c>
      <c r="D989" s="355">
        <f>VLOOKUP(B989,Quotas!$A$8:$C$14,2,FALSE)</f>
        <v>46164.70833</v>
      </c>
      <c r="E989" s="356">
        <f>VLOOKUP(B989,Quotas!$A$8:$C$14,3,FALSE)</f>
        <v>46171.70833</v>
      </c>
      <c r="F989" s="79">
        <f>COUNTIFS(Matches!$B:$B,A989,Matches!$A:$A,CONCAT("&gt;",$D989),Matches!$A:$A,CONCAT("&lt;",$E989))</f>
        <v>0</v>
      </c>
      <c r="G989" s="79">
        <f>COUNTIFS(Matches!$C:$C,$A989,Matches!$A:$A,CONCAT("&gt;",$D989),Matches!$A:$A,CONCAT("&lt;",$E989))</f>
        <v>0</v>
      </c>
      <c r="H989" s="79">
        <f t="shared" si="1"/>
        <v>0</v>
      </c>
      <c r="I989" s="79">
        <f>COUNTIFS(Matches!$B:$B,$A989,Matches!$A:$A,CONCAT("&lt;",$E989))</f>
        <v>2</v>
      </c>
      <c r="J989" s="79">
        <f>COUNTIFS(Matches!$C:$C,$A989,Matches!$A:$A,CONCAT("&lt;",$E989))</f>
        <v>7</v>
      </c>
      <c r="K989" s="79">
        <f>COUNTIFS(Entropy!D:D,A989,Entropy!I:I,CONCAT("&lt;",E989-1))</f>
        <v>4</v>
      </c>
      <c r="L989" s="79">
        <f t="shared" si="2"/>
        <v>13</v>
      </c>
      <c r="M989" s="79">
        <f t="array" ref="M989">max(min(IF(J989+K989=11,0,XLOOKUP(B989,Quotas!$A$8:$A$14,Quotas!$E$8:$E$14)-$L989),2),0)</f>
        <v>0</v>
      </c>
      <c r="N989" s="31">
        <f t="shared" si="3"/>
        <v>0</v>
      </c>
    </row>
    <row r="990">
      <c r="A990" s="31" t="s">
        <v>202</v>
      </c>
      <c r="B990" s="9">
        <v>5.0</v>
      </c>
      <c r="C990" s="31" t="str">
        <f>VLOOKUP(A990, 'College List'!A:B, 2, FALSE)</f>
        <v>Prismari</v>
      </c>
      <c r="D990" s="355">
        <f>VLOOKUP(B990,Quotas!$A$8:$C$14,2,FALSE)</f>
        <v>46164.70833</v>
      </c>
      <c r="E990" s="356">
        <f>VLOOKUP(B990,Quotas!$A$8:$C$14,3,FALSE)</f>
        <v>46171.70833</v>
      </c>
      <c r="F990" s="79">
        <f>COUNTIFS(Matches!$B:$B,A990,Matches!$A:$A,CONCAT("&gt;",$D990),Matches!$A:$A,CONCAT("&lt;",$E990))</f>
        <v>0</v>
      </c>
      <c r="G990" s="79">
        <f>COUNTIFS(Matches!$C:$C,$A990,Matches!$A:$A,CONCAT("&gt;",$D990),Matches!$A:$A,CONCAT("&lt;",$E990))</f>
        <v>0</v>
      </c>
      <c r="H990" s="79">
        <f t="shared" si="1"/>
        <v>0</v>
      </c>
      <c r="I990" s="79">
        <f>COUNTIFS(Matches!$B:$B,$A990,Matches!$A:$A,CONCAT("&lt;",$E990))</f>
        <v>9</v>
      </c>
      <c r="J990" s="79">
        <f>COUNTIFS(Matches!$C:$C,$A990,Matches!$A:$A,CONCAT("&lt;",$E990))</f>
        <v>9</v>
      </c>
      <c r="K990" s="79">
        <f>COUNTIFS(Entropy!D:D,A990,Entropy!I:I,CONCAT("&lt;",E990-1))</f>
        <v>0</v>
      </c>
      <c r="L990" s="79">
        <f t="shared" si="2"/>
        <v>18</v>
      </c>
      <c r="M990" s="79">
        <f t="array" ref="M990">max(min(IF(J990+K990=11,0,XLOOKUP(B990,Quotas!$A$8:$A$14,Quotas!$E$8:$E$14)-$L990),2),0)</f>
        <v>2</v>
      </c>
      <c r="N990" s="31">
        <f t="shared" si="3"/>
        <v>0</v>
      </c>
    </row>
    <row r="991">
      <c r="A991" s="31" t="s">
        <v>379</v>
      </c>
      <c r="B991" s="9">
        <v>5.0</v>
      </c>
      <c r="C991" s="31" t="str">
        <f>VLOOKUP(A991, 'College List'!A:B, 2, FALSE)</f>
        <v>Quandrix</v>
      </c>
      <c r="D991" s="355">
        <f>VLOOKUP(B991,Quotas!$A$8:$C$14,2,FALSE)</f>
        <v>46164.70833</v>
      </c>
      <c r="E991" s="356">
        <f>VLOOKUP(B991,Quotas!$A$8:$C$14,3,FALSE)</f>
        <v>46171.70833</v>
      </c>
      <c r="F991" s="79">
        <f>COUNTIFS(Matches!$B:$B,A991,Matches!$A:$A,CONCAT("&gt;",$D991),Matches!$A:$A,CONCAT("&lt;",$E991))</f>
        <v>0</v>
      </c>
      <c r="G991" s="79">
        <f>COUNTIFS(Matches!$C:$C,$A991,Matches!$A:$A,CONCAT("&gt;",$D991),Matches!$A:$A,CONCAT("&lt;",$E991))</f>
        <v>0</v>
      </c>
      <c r="H991" s="79">
        <f t="shared" si="1"/>
        <v>0</v>
      </c>
      <c r="I991" s="79">
        <f>COUNTIFS(Matches!$B:$B,$A991,Matches!$A:$A,CONCAT("&lt;",$E991))</f>
        <v>6</v>
      </c>
      <c r="J991" s="79">
        <f>COUNTIFS(Matches!$C:$C,$A991,Matches!$A:$A,CONCAT("&lt;",$E991))</f>
        <v>11</v>
      </c>
      <c r="K991" s="79">
        <f>COUNTIFS(Entropy!D:D,A991,Entropy!I:I,CONCAT("&lt;",E991-1))</f>
        <v>0</v>
      </c>
      <c r="L991" s="79">
        <f t="shared" si="2"/>
        <v>17</v>
      </c>
      <c r="M991" s="79">
        <f t="array" ref="M991">max(min(IF(J991+K991=11,0,XLOOKUP(B991,Quotas!$A$8:$A$14,Quotas!$E$8:$E$14)-$L991),2),0)</f>
        <v>0</v>
      </c>
      <c r="N991" s="31">
        <f t="shared" si="3"/>
        <v>0</v>
      </c>
    </row>
    <row r="992">
      <c r="A992" s="31" t="s">
        <v>204</v>
      </c>
      <c r="B992" s="9">
        <v>5.0</v>
      </c>
      <c r="C992" s="31" t="str">
        <f>VLOOKUP(A992, 'College List'!A:B, 2, FALSE)</f>
        <v>Quandrix</v>
      </c>
      <c r="D992" s="355">
        <f>VLOOKUP(B992,Quotas!$A$8:$C$14,2,FALSE)</f>
        <v>46164.70833</v>
      </c>
      <c r="E992" s="356">
        <f>VLOOKUP(B992,Quotas!$A$8:$C$14,3,FALSE)</f>
        <v>46171.70833</v>
      </c>
      <c r="F992" s="79">
        <f>COUNTIFS(Matches!$B:$B,A992,Matches!$A:$A,CONCAT("&gt;",$D992),Matches!$A:$A,CONCAT("&lt;",$E992))</f>
        <v>1</v>
      </c>
      <c r="G992" s="79">
        <f>COUNTIFS(Matches!$C:$C,$A992,Matches!$A:$A,CONCAT("&gt;",$D992),Matches!$A:$A,CONCAT("&lt;",$E992))</f>
        <v>4</v>
      </c>
      <c r="H992" s="79">
        <f t="shared" si="1"/>
        <v>5</v>
      </c>
      <c r="I992" s="79">
        <f>COUNTIFS(Matches!$B:$B,$A992,Matches!$A:$A,CONCAT("&lt;",$E992))</f>
        <v>15</v>
      </c>
      <c r="J992" s="79">
        <f>COUNTIFS(Matches!$C:$C,$A992,Matches!$A:$A,CONCAT("&lt;",$E992))</f>
        <v>10</v>
      </c>
      <c r="K992" s="79">
        <f>COUNTIFS(Entropy!D:D,A992,Entropy!I:I,CONCAT("&lt;",E992-1))</f>
        <v>0</v>
      </c>
      <c r="L992" s="79">
        <f t="shared" si="2"/>
        <v>25</v>
      </c>
      <c r="M992" s="79">
        <f t="array" ref="M992">max(min(IF(J992+K992=11,0,XLOOKUP(B992,Quotas!$A$8:$A$14,Quotas!$E$8:$E$14)-$L992),2),0)</f>
        <v>0</v>
      </c>
      <c r="N992" s="31">
        <f t="shared" si="3"/>
        <v>0</v>
      </c>
    </row>
    <row r="993">
      <c r="A993" s="31" t="s">
        <v>253</v>
      </c>
      <c r="B993" s="9">
        <v>5.0</v>
      </c>
      <c r="C993" s="31" t="str">
        <f>VLOOKUP(A993, 'College List'!A:B, 2, FALSE)</f>
        <v>Quandrix</v>
      </c>
      <c r="D993" s="355">
        <f>VLOOKUP(B993,Quotas!$A$8:$C$14,2,FALSE)</f>
        <v>46164.70833</v>
      </c>
      <c r="E993" s="356">
        <f>VLOOKUP(B993,Quotas!$A$8:$C$14,3,FALSE)</f>
        <v>46171.70833</v>
      </c>
      <c r="F993" s="79">
        <f>COUNTIFS(Matches!$B:$B,A993,Matches!$A:$A,CONCAT("&gt;",$D993),Matches!$A:$A,CONCAT("&lt;",$E993))</f>
        <v>0</v>
      </c>
      <c r="G993" s="79">
        <f>COUNTIFS(Matches!$C:$C,$A993,Matches!$A:$A,CONCAT("&gt;",$D993),Matches!$A:$A,CONCAT("&lt;",$E993))</f>
        <v>3</v>
      </c>
      <c r="H993" s="79">
        <f t="shared" si="1"/>
        <v>3</v>
      </c>
      <c r="I993" s="79">
        <f>COUNTIFS(Matches!$B:$B,$A993,Matches!$A:$A,CONCAT("&lt;",$E993))</f>
        <v>12</v>
      </c>
      <c r="J993" s="79">
        <f>COUNTIFS(Matches!$C:$C,$A993,Matches!$A:$A,CONCAT("&lt;",$E993))</f>
        <v>11</v>
      </c>
      <c r="K993" s="79">
        <f>COUNTIFS(Entropy!D:D,A993,Entropy!I:I,CONCAT("&lt;",E993-1))</f>
        <v>0</v>
      </c>
      <c r="L993" s="79">
        <f t="shared" si="2"/>
        <v>23</v>
      </c>
      <c r="M993" s="79">
        <f t="array" ref="M993">max(min(IF(J993+K993=11,0,XLOOKUP(B993,Quotas!$A$8:$A$14,Quotas!$E$8:$E$14)-$L993),2),0)</f>
        <v>0</v>
      </c>
      <c r="N993" s="31">
        <f t="shared" si="3"/>
        <v>0</v>
      </c>
    </row>
    <row r="994">
      <c r="A994" s="31" t="s">
        <v>306</v>
      </c>
      <c r="B994" s="9">
        <v>5.0</v>
      </c>
      <c r="C994" s="31" t="str">
        <f>VLOOKUP(A994, 'College List'!A:B, 2, FALSE)</f>
        <v>Silverquill</v>
      </c>
      <c r="D994" s="355">
        <f>VLOOKUP(B994,Quotas!$A$8:$C$14,2,FALSE)</f>
        <v>46164.70833</v>
      </c>
      <c r="E994" s="356">
        <f>VLOOKUP(B994,Quotas!$A$8:$C$14,3,FALSE)</f>
        <v>46171.70833</v>
      </c>
      <c r="F994" s="79">
        <f>COUNTIFS(Matches!$B:$B,A994,Matches!$A:$A,CONCAT("&gt;",$D994),Matches!$A:$A,CONCAT("&lt;",$E994))</f>
        <v>0</v>
      </c>
      <c r="G994" s="79">
        <f>COUNTIFS(Matches!$C:$C,$A994,Matches!$A:$A,CONCAT("&gt;",$D994),Matches!$A:$A,CONCAT("&lt;",$E994))</f>
        <v>3</v>
      </c>
      <c r="H994" s="79">
        <f t="shared" si="1"/>
        <v>3</v>
      </c>
      <c r="I994" s="79">
        <f>COUNTIFS(Matches!$B:$B,$A994,Matches!$A:$A,CONCAT("&lt;",$E994))</f>
        <v>12</v>
      </c>
      <c r="J994" s="79">
        <f>COUNTIFS(Matches!$C:$C,$A994,Matches!$A:$A,CONCAT("&lt;",$E994))</f>
        <v>11</v>
      </c>
      <c r="K994" s="79">
        <f>COUNTIFS(Entropy!D:D,A994,Entropy!I:I,CONCAT("&lt;",E994-1))</f>
        <v>0</v>
      </c>
      <c r="L994" s="79">
        <f t="shared" si="2"/>
        <v>23</v>
      </c>
      <c r="M994" s="79">
        <f t="array" ref="M994">max(min(IF(J994+K994=11,0,XLOOKUP(B994,Quotas!$A$8:$A$14,Quotas!$E$8:$E$14)-$L994),2),0)</f>
        <v>0</v>
      </c>
      <c r="N994" s="31">
        <f t="shared" si="3"/>
        <v>0</v>
      </c>
    </row>
    <row r="995">
      <c r="A995" s="9" t="s">
        <v>229</v>
      </c>
      <c r="B995" s="9">
        <v>5.0</v>
      </c>
      <c r="C995" s="31" t="str">
        <f>VLOOKUP(A995, 'College List'!A:B, 2, FALSE)</f>
        <v>Witherbloom</v>
      </c>
      <c r="D995" s="355">
        <f>VLOOKUP(B995,Quotas!$A$8:$C$14,2,FALSE)</f>
        <v>46164.70833</v>
      </c>
      <c r="E995" s="356">
        <f>VLOOKUP(B995,Quotas!$A$8:$C$14,3,FALSE)</f>
        <v>46171.70833</v>
      </c>
      <c r="F995" s="79">
        <f>COUNTIFS(Matches!$B:$B,A995,Matches!$A:$A,CONCAT("&gt;",$D995),Matches!$A:$A,CONCAT("&lt;",$E995))</f>
        <v>5</v>
      </c>
      <c r="G995" s="79">
        <f>COUNTIFS(Matches!$C:$C,$A995,Matches!$A:$A,CONCAT("&gt;",$D995),Matches!$A:$A,CONCAT("&lt;",$E995))</f>
        <v>0</v>
      </c>
      <c r="H995" s="79">
        <f t="shared" si="1"/>
        <v>5</v>
      </c>
      <c r="I995" s="79">
        <f>COUNTIFS(Matches!$B:$B,$A995,Matches!$A:$A,CONCAT("&lt;",$E995))</f>
        <v>19</v>
      </c>
      <c r="J995" s="79">
        <f>COUNTIFS(Matches!$C:$C,$A995,Matches!$A:$A,CONCAT("&lt;",$E995))</f>
        <v>6</v>
      </c>
      <c r="K995" s="79">
        <f>COUNTIFS(Entropy!D:D,A995,Entropy!I:I,CONCAT("&lt;",E995-1))</f>
        <v>0</v>
      </c>
      <c r="L995" s="79">
        <f t="shared" si="2"/>
        <v>25</v>
      </c>
      <c r="M995" s="79">
        <f t="array" ref="M995">max(min(IF(J995+K995=11,0,XLOOKUP(B995,Quotas!$A$8:$A$14,Quotas!$E$8:$E$14)-$L995),2),0)</f>
        <v>0</v>
      </c>
      <c r="N995" s="31">
        <f t="shared" si="3"/>
        <v>0</v>
      </c>
    </row>
    <row r="996">
      <c r="A996" s="31" t="s">
        <v>94</v>
      </c>
      <c r="B996" s="9">
        <v>5.0</v>
      </c>
      <c r="C996" s="31" t="str">
        <f>VLOOKUP(A996, 'College List'!A:B, 2, FALSE)</f>
        <v>Silverquill</v>
      </c>
      <c r="D996" s="355">
        <f>VLOOKUP(B996,Quotas!$A$8:$C$14,2,FALSE)</f>
        <v>46164.70833</v>
      </c>
      <c r="E996" s="356">
        <f>VLOOKUP(B996,Quotas!$A$8:$C$14,3,FALSE)</f>
        <v>46171.70833</v>
      </c>
      <c r="F996" s="79">
        <f>COUNTIFS(Matches!$B:$B,A996,Matches!$A:$A,CONCAT("&gt;",$D996),Matches!$A:$A,CONCAT("&lt;",$E996))</f>
        <v>0</v>
      </c>
      <c r="G996" s="79">
        <f>COUNTIFS(Matches!$C:$C,$A996,Matches!$A:$A,CONCAT("&gt;",$D996),Matches!$A:$A,CONCAT("&lt;",$E996))</f>
        <v>0</v>
      </c>
      <c r="H996" s="79">
        <f t="shared" si="1"/>
        <v>0</v>
      </c>
      <c r="I996" s="79">
        <f>COUNTIFS(Matches!$B:$B,$A996,Matches!$A:$A,CONCAT("&lt;",$E996))</f>
        <v>9</v>
      </c>
      <c r="J996" s="79">
        <f>COUNTIFS(Matches!$C:$C,$A996,Matches!$A:$A,CONCAT("&lt;",$E996))</f>
        <v>11</v>
      </c>
      <c r="K996" s="79">
        <f>COUNTIFS(Entropy!D:D,A996,Entropy!I:I,CONCAT("&lt;",E996-1))</f>
        <v>0</v>
      </c>
      <c r="L996" s="79">
        <f t="shared" si="2"/>
        <v>20</v>
      </c>
      <c r="M996" s="79">
        <f t="array" ref="M996">max(min(IF(J996+K996=11,0,XLOOKUP(B996,Quotas!$A$8:$A$14,Quotas!$E$8:$E$14)-$L996),2),0)</f>
        <v>0</v>
      </c>
      <c r="N996" s="31">
        <f t="shared" si="3"/>
        <v>0</v>
      </c>
    </row>
    <row r="997">
      <c r="A997" s="31" t="s">
        <v>356</v>
      </c>
      <c r="B997" s="9">
        <v>5.0</v>
      </c>
      <c r="C997" s="31" t="str">
        <f>VLOOKUP(A997, 'College List'!A:B, 2, FALSE)</f>
        <v>Prismari</v>
      </c>
      <c r="D997" s="355">
        <f>VLOOKUP(B997,Quotas!$A$8:$C$14,2,FALSE)</f>
        <v>46164.70833</v>
      </c>
      <c r="E997" s="356">
        <f>VLOOKUP(B997,Quotas!$A$8:$C$14,3,FALSE)</f>
        <v>46171.70833</v>
      </c>
      <c r="F997" s="79">
        <f>COUNTIFS(Matches!$B:$B,A997,Matches!$A:$A,CONCAT("&gt;",$D997),Matches!$A:$A,CONCAT("&lt;",$E997))</f>
        <v>0</v>
      </c>
      <c r="G997" s="79">
        <f>COUNTIFS(Matches!$C:$C,$A997,Matches!$A:$A,CONCAT("&gt;",$D997),Matches!$A:$A,CONCAT("&lt;",$E997))</f>
        <v>2</v>
      </c>
      <c r="H997" s="79">
        <f t="shared" si="1"/>
        <v>2</v>
      </c>
      <c r="I997" s="79">
        <f>COUNTIFS(Matches!$B:$B,$A997,Matches!$A:$A,CONCAT("&lt;",$E997))</f>
        <v>10</v>
      </c>
      <c r="J997" s="79">
        <f>COUNTIFS(Matches!$C:$C,$A997,Matches!$A:$A,CONCAT("&lt;",$E997))</f>
        <v>11</v>
      </c>
      <c r="K997" s="79">
        <f>COUNTIFS(Entropy!D:D,A997,Entropy!I:I,CONCAT("&lt;",E997-1))</f>
        <v>0</v>
      </c>
      <c r="L997" s="79">
        <f t="shared" si="2"/>
        <v>21</v>
      </c>
      <c r="M997" s="79">
        <f t="array" ref="M997">max(min(IF(J997+K997=11,0,XLOOKUP(B997,Quotas!$A$8:$A$14,Quotas!$E$8:$E$14)-$L997),2),0)</f>
        <v>0</v>
      </c>
      <c r="N997" s="31">
        <f t="shared" si="3"/>
        <v>0</v>
      </c>
    </row>
    <row r="998">
      <c r="A998" s="31" t="s">
        <v>160</v>
      </c>
      <c r="B998" s="9">
        <v>5.0</v>
      </c>
      <c r="C998" s="31" t="str">
        <f>VLOOKUP(A998, 'College List'!A:B, 2, FALSE)</f>
        <v>Quandrix</v>
      </c>
      <c r="D998" s="355">
        <f>VLOOKUP(B998,Quotas!$A$8:$C$14,2,FALSE)</f>
        <v>46164.70833</v>
      </c>
      <c r="E998" s="356">
        <f>VLOOKUP(B998,Quotas!$A$8:$C$14,3,FALSE)</f>
        <v>46171.70833</v>
      </c>
      <c r="F998" s="79">
        <f>COUNTIFS(Matches!$B:$B,A998,Matches!$A:$A,CONCAT("&gt;",$D998),Matches!$A:$A,CONCAT("&lt;",$E998))</f>
        <v>0</v>
      </c>
      <c r="G998" s="79">
        <f>COUNTIFS(Matches!$C:$C,$A998,Matches!$A:$A,CONCAT("&gt;",$D998),Matches!$A:$A,CONCAT("&lt;",$E998))</f>
        <v>0</v>
      </c>
      <c r="H998" s="79">
        <f t="shared" si="1"/>
        <v>0</v>
      </c>
      <c r="I998" s="79">
        <f>COUNTIFS(Matches!$B:$B,$A998,Matches!$A:$A,CONCAT("&lt;",$E998))</f>
        <v>6</v>
      </c>
      <c r="J998" s="79">
        <f>COUNTIFS(Matches!$C:$C,$A998,Matches!$A:$A,CONCAT("&lt;",$E998))</f>
        <v>11</v>
      </c>
      <c r="K998" s="79">
        <f>COUNTIFS(Entropy!D:D,A998,Entropy!I:I,CONCAT("&lt;",E998-1))</f>
        <v>0</v>
      </c>
      <c r="L998" s="79">
        <f t="shared" si="2"/>
        <v>17</v>
      </c>
      <c r="M998" s="79">
        <f t="array" ref="M998">max(min(IF(J998+K998=11,0,XLOOKUP(B998,Quotas!$A$8:$A$14,Quotas!$E$8:$E$14)-$L998),2),0)</f>
        <v>0</v>
      </c>
      <c r="N998" s="31">
        <f t="shared" si="3"/>
        <v>0</v>
      </c>
    </row>
    <row r="999">
      <c r="A999" s="31" t="s">
        <v>180</v>
      </c>
      <c r="B999" s="9">
        <v>5.0</v>
      </c>
      <c r="C999" s="31" t="str">
        <f>VLOOKUP(A999, 'College List'!A:B, 2, FALSE)</f>
        <v>Silverquill</v>
      </c>
      <c r="D999" s="355">
        <f>VLOOKUP(B999,Quotas!$A$8:$C$14,2,FALSE)</f>
        <v>46164.70833</v>
      </c>
      <c r="E999" s="356">
        <f>VLOOKUP(B999,Quotas!$A$8:$C$14,3,FALSE)</f>
        <v>46171.70833</v>
      </c>
      <c r="F999" s="79">
        <f>COUNTIFS(Matches!$B:$B,A999,Matches!$A:$A,CONCAT("&gt;",$D999),Matches!$A:$A,CONCAT("&lt;",$E999))</f>
        <v>0</v>
      </c>
      <c r="G999" s="79">
        <f>COUNTIFS(Matches!$C:$C,$A999,Matches!$A:$A,CONCAT("&gt;",$D999),Matches!$A:$A,CONCAT("&lt;",$E999))</f>
        <v>0</v>
      </c>
      <c r="H999" s="79">
        <f t="shared" si="1"/>
        <v>0</v>
      </c>
      <c r="I999" s="79">
        <f>COUNTIFS(Matches!$B:$B,$A999,Matches!$A:$A,CONCAT("&lt;",$E999))</f>
        <v>6</v>
      </c>
      <c r="J999" s="79">
        <f>COUNTIFS(Matches!$C:$C,$A999,Matches!$A:$A,CONCAT("&lt;",$E999))</f>
        <v>5</v>
      </c>
      <c r="K999" s="79">
        <f>COUNTIFS(Entropy!D:D,A999,Entropy!I:I,CONCAT("&lt;",E999-1))</f>
        <v>6</v>
      </c>
      <c r="L999" s="79">
        <f t="shared" si="2"/>
        <v>17</v>
      </c>
      <c r="M999" s="79">
        <f t="array" ref="M999">max(min(IF(J999+K999=11,0,XLOOKUP(B999,Quotas!$A$8:$A$14,Quotas!$E$8:$E$14)-$L999),2),0)</f>
        <v>0</v>
      </c>
      <c r="N999" s="31">
        <f t="shared" si="3"/>
        <v>0</v>
      </c>
    </row>
    <row r="1000">
      <c r="A1000" s="31" t="s">
        <v>89</v>
      </c>
      <c r="B1000" s="9">
        <v>5.0</v>
      </c>
      <c r="C1000" s="31" t="str">
        <f>VLOOKUP(A1000, 'College List'!A:B, 2, FALSE)</f>
        <v>Quandrix</v>
      </c>
      <c r="D1000" s="355">
        <f>VLOOKUP(B1000,Quotas!$A$8:$C$14,2,FALSE)</f>
        <v>46164.70833</v>
      </c>
      <c r="E1000" s="356">
        <f>VLOOKUP(B1000,Quotas!$A$8:$C$14,3,FALSE)</f>
        <v>46171.70833</v>
      </c>
      <c r="F1000" s="79">
        <f>COUNTIFS(Matches!$B:$B,A1000,Matches!$A:$A,CONCAT("&gt;",$D1000),Matches!$A:$A,CONCAT("&lt;",$E1000))</f>
        <v>3</v>
      </c>
      <c r="G1000" s="79">
        <f>COUNTIFS(Matches!$C:$C,$A1000,Matches!$A:$A,CONCAT("&gt;",$D1000),Matches!$A:$A,CONCAT("&lt;",$E1000))</f>
        <v>2</v>
      </c>
      <c r="H1000" s="79">
        <f t="shared" si="1"/>
        <v>5</v>
      </c>
      <c r="I1000" s="79">
        <f>COUNTIFS(Matches!$B:$B,$A1000,Matches!$A:$A,CONCAT("&lt;",$E1000))</f>
        <v>14</v>
      </c>
      <c r="J1000" s="79">
        <f>COUNTIFS(Matches!$C:$C,$A1000,Matches!$A:$A,CONCAT("&lt;",$E1000))</f>
        <v>11</v>
      </c>
      <c r="K1000" s="79">
        <f>COUNTIFS(Entropy!D:D,A1000,Entropy!I:I,CONCAT("&lt;",E1000-1))</f>
        <v>0</v>
      </c>
      <c r="L1000" s="79">
        <f t="shared" si="2"/>
        <v>25</v>
      </c>
      <c r="M1000" s="79">
        <f t="array" ref="M1000">max(min(IF(J1000+K1000=11,0,XLOOKUP(B1000,Quotas!$A$8:$A$14,Quotas!$E$8:$E$14)-$L1000),2),0)</f>
        <v>0</v>
      </c>
      <c r="N1000" s="31">
        <f t="shared" si="3"/>
        <v>0</v>
      </c>
    </row>
    <row r="1001">
      <c r="A1001" s="31" t="s">
        <v>231</v>
      </c>
      <c r="B1001" s="9">
        <v>5.0</v>
      </c>
      <c r="C1001" s="31" t="str">
        <f>VLOOKUP(A1001, 'College List'!A:B, 2, FALSE)</f>
        <v>Quandrix</v>
      </c>
      <c r="D1001" s="355">
        <f>VLOOKUP(B1001,Quotas!$A$8:$C$14,2,FALSE)</f>
        <v>46164.70833</v>
      </c>
      <c r="E1001" s="356">
        <f>VLOOKUP(B1001,Quotas!$A$8:$C$14,3,FALSE)</f>
        <v>46171.70833</v>
      </c>
      <c r="F1001" s="79">
        <f>COUNTIFS(Matches!$B:$B,A1001,Matches!$A:$A,CONCAT("&gt;",$D1001),Matches!$A:$A,CONCAT("&lt;",$E1001))</f>
        <v>5</v>
      </c>
      <c r="G1001" s="79">
        <f>COUNTIFS(Matches!$C:$C,$A1001,Matches!$A:$A,CONCAT("&gt;",$D1001),Matches!$A:$A,CONCAT("&lt;",$E1001))</f>
        <v>0</v>
      </c>
      <c r="H1001" s="79">
        <f t="shared" si="1"/>
        <v>5</v>
      </c>
      <c r="I1001" s="79">
        <f>COUNTIFS(Matches!$B:$B,$A1001,Matches!$A:$A,CONCAT("&lt;",$E1001))</f>
        <v>16</v>
      </c>
      <c r="J1001" s="79">
        <f>COUNTIFS(Matches!$C:$C,$A1001,Matches!$A:$A,CONCAT("&lt;",$E1001))</f>
        <v>9</v>
      </c>
      <c r="K1001" s="79">
        <f>COUNTIFS(Entropy!D:D,A1001,Entropy!I:I,CONCAT("&lt;",E1001-1))</f>
        <v>0</v>
      </c>
      <c r="L1001" s="79">
        <f t="shared" si="2"/>
        <v>25</v>
      </c>
      <c r="M1001" s="79">
        <f t="array" ref="M1001">max(min(IF(J1001+K1001=11,0,XLOOKUP(B1001,Quotas!$A$8:$A$14,Quotas!$E$8:$E$14)-$L1001),2),0)</f>
        <v>0</v>
      </c>
      <c r="N1001" s="31">
        <f t="shared" si="3"/>
        <v>0</v>
      </c>
    </row>
    <row r="1002">
      <c r="A1002" s="31" t="s">
        <v>314</v>
      </c>
      <c r="B1002" s="9">
        <v>5.0</v>
      </c>
      <c r="C1002" s="31" t="str">
        <f>VLOOKUP(A1002, 'College List'!A:B, 2, FALSE)</f>
        <v>Lorehold</v>
      </c>
      <c r="D1002" s="355">
        <f>VLOOKUP(B1002,Quotas!$A$8:$C$14,2,FALSE)</f>
        <v>46164.70833</v>
      </c>
      <c r="E1002" s="356">
        <f>VLOOKUP(B1002,Quotas!$A$8:$C$14,3,FALSE)</f>
        <v>46171.70833</v>
      </c>
      <c r="F1002" s="79">
        <f>COUNTIFS(Matches!$B:$B,A1002,Matches!$A:$A,CONCAT("&gt;",$D1002),Matches!$A:$A,CONCAT("&lt;",$E1002))</f>
        <v>0</v>
      </c>
      <c r="G1002" s="79">
        <f>COUNTIFS(Matches!$C:$C,$A1002,Matches!$A:$A,CONCAT("&gt;",$D1002),Matches!$A:$A,CONCAT("&lt;",$E1002))</f>
        <v>0</v>
      </c>
      <c r="H1002" s="79">
        <f t="shared" si="1"/>
        <v>0</v>
      </c>
      <c r="I1002" s="79">
        <f>COUNTIFS(Matches!$B:$B,$A1002,Matches!$A:$A,CONCAT("&lt;",$E1002))</f>
        <v>4</v>
      </c>
      <c r="J1002" s="79">
        <f>COUNTIFS(Matches!$C:$C,$A1002,Matches!$A:$A,CONCAT("&lt;",$E1002))</f>
        <v>11</v>
      </c>
      <c r="K1002" s="79">
        <f>COUNTIFS(Entropy!D:D,A1002,Entropy!I:I,CONCAT("&lt;",E1002-1))</f>
        <v>0</v>
      </c>
      <c r="L1002" s="79">
        <f t="shared" si="2"/>
        <v>15</v>
      </c>
      <c r="M1002" s="79">
        <f t="array" ref="M1002">max(min(IF(J1002+K1002=11,0,XLOOKUP(B1002,Quotas!$A$8:$A$14,Quotas!$E$8:$E$14)-$L1002),2),0)</f>
        <v>0</v>
      </c>
      <c r="N1002" s="31">
        <f t="shared" si="3"/>
        <v>0</v>
      </c>
    </row>
    <row r="1003">
      <c r="A1003" s="31" t="s">
        <v>190</v>
      </c>
      <c r="B1003" s="9">
        <v>5.0</v>
      </c>
      <c r="C1003" s="31" t="str">
        <f>VLOOKUP(A1003, 'College List'!A:B, 2, FALSE)</f>
        <v>Silverquill</v>
      </c>
      <c r="D1003" s="355">
        <f>VLOOKUP(B1003,Quotas!$A$8:$C$14,2,FALSE)</f>
        <v>46164.70833</v>
      </c>
      <c r="E1003" s="356">
        <f>VLOOKUP(B1003,Quotas!$A$8:$C$14,3,FALSE)</f>
        <v>46171.70833</v>
      </c>
      <c r="F1003" s="79">
        <f>COUNTIFS(Matches!$B:$B,A1003,Matches!$A:$A,CONCAT("&gt;",$D1003),Matches!$A:$A,CONCAT("&lt;",$E1003))</f>
        <v>2</v>
      </c>
      <c r="G1003" s="79">
        <f>COUNTIFS(Matches!$C:$C,$A1003,Matches!$A:$A,CONCAT("&gt;",$D1003),Matches!$A:$A,CONCAT("&lt;",$E1003))</f>
        <v>2</v>
      </c>
      <c r="H1003" s="79">
        <f t="shared" si="1"/>
        <v>4</v>
      </c>
      <c r="I1003" s="79">
        <f>COUNTIFS(Matches!$B:$B,$A1003,Matches!$A:$A,CONCAT("&lt;",$E1003))</f>
        <v>13</v>
      </c>
      <c r="J1003" s="79">
        <f>COUNTIFS(Matches!$C:$C,$A1003,Matches!$A:$A,CONCAT("&lt;",$E1003))</f>
        <v>11</v>
      </c>
      <c r="K1003" s="79">
        <f>COUNTIFS(Entropy!D:D,A1003,Entropy!I:I,CONCAT("&lt;",E1003-1))</f>
        <v>0</v>
      </c>
      <c r="L1003" s="79">
        <f t="shared" si="2"/>
        <v>24</v>
      </c>
      <c r="M1003" s="79">
        <f t="array" ref="M1003">max(min(IF(J1003+K1003=11,0,XLOOKUP(B1003,Quotas!$A$8:$A$14,Quotas!$E$8:$E$14)-$L1003),2),0)</f>
        <v>0</v>
      </c>
      <c r="N1003" s="31">
        <f t="shared" si="3"/>
        <v>0</v>
      </c>
    </row>
    <row r="1004">
      <c r="A1004" s="31" t="s">
        <v>84</v>
      </c>
      <c r="B1004" s="9">
        <v>5.0</v>
      </c>
      <c r="C1004" s="31" t="str">
        <f>VLOOKUP(A1004, 'College List'!A:B, 2, FALSE)</f>
        <v>Witherbloom</v>
      </c>
      <c r="D1004" s="355">
        <f>VLOOKUP(B1004,Quotas!$A$8:$C$14,2,FALSE)</f>
        <v>46164.70833</v>
      </c>
      <c r="E1004" s="356">
        <f>VLOOKUP(B1004,Quotas!$A$8:$C$14,3,FALSE)</f>
        <v>46171.70833</v>
      </c>
      <c r="F1004" s="79">
        <f>COUNTIFS(Matches!$B:$B,A1004,Matches!$A:$A,CONCAT("&gt;",$D1004),Matches!$A:$A,CONCAT("&lt;",$E1004))</f>
        <v>3</v>
      </c>
      <c r="G1004" s="79">
        <f>COUNTIFS(Matches!$C:$C,$A1004,Matches!$A:$A,CONCAT("&gt;",$D1004),Matches!$A:$A,CONCAT("&lt;",$E1004))</f>
        <v>2</v>
      </c>
      <c r="H1004" s="79">
        <f t="shared" si="1"/>
        <v>5</v>
      </c>
      <c r="I1004" s="79">
        <f>COUNTIFS(Matches!$B:$B,$A1004,Matches!$A:$A,CONCAT("&lt;",$E1004))</f>
        <v>18</v>
      </c>
      <c r="J1004" s="79">
        <f>COUNTIFS(Matches!$C:$C,$A1004,Matches!$A:$A,CONCAT("&lt;",$E1004))</f>
        <v>7</v>
      </c>
      <c r="K1004" s="79">
        <f>COUNTIFS(Entropy!D:D,A1004,Entropy!I:I,CONCAT("&lt;",E1004-1))</f>
        <v>0</v>
      </c>
      <c r="L1004" s="79">
        <f t="shared" si="2"/>
        <v>25</v>
      </c>
      <c r="M1004" s="79">
        <f t="array" ref="M1004">max(min(IF(J1004+K1004=11,0,XLOOKUP(B1004,Quotas!$A$8:$A$14,Quotas!$E$8:$E$14)-$L1004),2),0)</f>
        <v>0</v>
      </c>
      <c r="N1004" s="31">
        <f t="shared" si="3"/>
        <v>0</v>
      </c>
    </row>
    <row r="1005">
      <c r="A1005" s="31" t="s">
        <v>298</v>
      </c>
      <c r="B1005" s="9">
        <v>5.0</v>
      </c>
      <c r="C1005" s="31" t="str">
        <f>VLOOKUP(A1005, 'College List'!A:B, 2, FALSE)</f>
        <v>Quandrix</v>
      </c>
      <c r="D1005" s="355">
        <f>VLOOKUP(B1005,Quotas!$A$8:$C$14,2,FALSE)</f>
        <v>46164.70833</v>
      </c>
      <c r="E1005" s="356">
        <f>VLOOKUP(B1005,Quotas!$A$8:$C$14,3,FALSE)</f>
        <v>46171.70833</v>
      </c>
      <c r="F1005" s="79">
        <f>COUNTIFS(Matches!$B:$B,A1005,Matches!$A:$A,CONCAT("&gt;",$D1005),Matches!$A:$A,CONCAT("&lt;",$E1005))</f>
        <v>2</v>
      </c>
      <c r="G1005" s="79">
        <f>COUNTIFS(Matches!$C:$C,$A1005,Matches!$A:$A,CONCAT("&gt;",$D1005),Matches!$A:$A,CONCAT("&lt;",$E1005))</f>
        <v>2</v>
      </c>
      <c r="H1005" s="79">
        <f t="shared" si="1"/>
        <v>4</v>
      </c>
      <c r="I1005" s="79">
        <f>COUNTIFS(Matches!$B:$B,$A1005,Matches!$A:$A,CONCAT("&lt;",$E1005))</f>
        <v>13</v>
      </c>
      <c r="J1005" s="79">
        <f>COUNTIFS(Matches!$C:$C,$A1005,Matches!$A:$A,CONCAT("&lt;",$E1005))</f>
        <v>11</v>
      </c>
      <c r="K1005" s="79">
        <f>COUNTIFS(Entropy!D:D,A1005,Entropy!I:I,CONCAT("&lt;",E1005-1))</f>
        <v>0</v>
      </c>
      <c r="L1005" s="79">
        <f t="shared" si="2"/>
        <v>24</v>
      </c>
      <c r="M1005" s="79">
        <f t="array" ref="M1005">max(min(IF(J1005+K1005=11,0,XLOOKUP(B1005,Quotas!$A$8:$A$14,Quotas!$E$8:$E$14)-$L1005),2),0)</f>
        <v>0</v>
      </c>
      <c r="N1005" s="31">
        <f t="shared" si="3"/>
        <v>0</v>
      </c>
    </row>
    <row r="1006">
      <c r="A1006" s="31" t="s">
        <v>424</v>
      </c>
      <c r="B1006" s="9">
        <v>5.0</v>
      </c>
      <c r="C1006" s="31" t="str">
        <f>VLOOKUP(A1006, 'College List'!A:B, 2, FALSE)</f>
        <v>Lorehold</v>
      </c>
      <c r="D1006" s="355">
        <f>VLOOKUP(B1006,Quotas!$A$8:$C$14,2,FALSE)</f>
        <v>46164.70833</v>
      </c>
      <c r="E1006" s="356">
        <f>VLOOKUP(B1006,Quotas!$A$8:$C$14,3,FALSE)</f>
        <v>46171.70833</v>
      </c>
      <c r="F1006" s="79">
        <f>COUNTIFS(Matches!$B:$B,A1006,Matches!$A:$A,CONCAT("&gt;",$D1006),Matches!$A:$A,CONCAT("&lt;",$E1006))</f>
        <v>0</v>
      </c>
      <c r="G1006" s="79">
        <f>COUNTIFS(Matches!$C:$C,$A1006,Matches!$A:$A,CONCAT("&gt;",$D1006),Matches!$A:$A,CONCAT("&lt;",$E1006))</f>
        <v>0</v>
      </c>
      <c r="H1006" s="79">
        <f t="shared" si="1"/>
        <v>0</v>
      </c>
      <c r="I1006" s="79">
        <f>COUNTIFS(Matches!$B:$B,$A1006,Matches!$A:$A,CONCAT("&lt;",$E1006))</f>
        <v>6</v>
      </c>
      <c r="J1006" s="79">
        <f>COUNTIFS(Matches!$C:$C,$A1006,Matches!$A:$A,CONCAT("&lt;",$E1006))</f>
        <v>11</v>
      </c>
      <c r="K1006" s="79">
        <f>COUNTIFS(Entropy!D:D,A1006,Entropy!I:I,CONCAT("&lt;",E1006-1))</f>
        <v>0</v>
      </c>
      <c r="L1006" s="79">
        <f t="shared" si="2"/>
        <v>17</v>
      </c>
      <c r="M1006" s="79">
        <f t="array" ref="M1006">max(min(IF(J1006+K1006=11,0,XLOOKUP(B1006,Quotas!$A$8:$A$14,Quotas!$E$8:$E$14)-$L1006),2),0)</f>
        <v>0</v>
      </c>
      <c r="N1006" s="31">
        <f t="shared" si="3"/>
        <v>0</v>
      </c>
    </row>
    <row r="1007">
      <c r="A1007" s="31" t="s">
        <v>100</v>
      </c>
      <c r="B1007" s="9">
        <v>5.0</v>
      </c>
      <c r="C1007" s="31" t="str">
        <f>VLOOKUP(A1007, 'College List'!A:B, 2, FALSE)</f>
        <v>Witherbloom</v>
      </c>
      <c r="D1007" s="355">
        <f>VLOOKUP(B1007,Quotas!$A$8:$C$14,2,FALSE)</f>
        <v>46164.70833</v>
      </c>
      <c r="E1007" s="356">
        <f>VLOOKUP(B1007,Quotas!$A$8:$C$14,3,FALSE)</f>
        <v>46171.70833</v>
      </c>
      <c r="F1007" s="79">
        <f>COUNTIFS(Matches!$B:$B,A1007,Matches!$A:$A,CONCAT("&gt;",$D1007),Matches!$A:$A,CONCAT("&lt;",$E1007))</f>
        <v>0</v>
      </c>
      <c r="G1007" s="79">
        <f>COUNTIFS(Matches!$C:$C,$A1007,Matches!$A:$A,CONCAT("&gt;",$D1007),Matches!$A:$A,CONCAT("&lt;",$E1007))</f>
        <v>0</v>
      </c>
      <c r="H1007" s="79">
        <f t="shared" si="1"/>
        <v>0</v>
      </c>
      <c r="I1007" s="79">
        <f>COUNTIFS(Matches!$B:$B,$A1007,Matches!$A:$A,CONCAT("&lt;",$E1007))</f>
        <v>6</v>
      </c>
      <c r="J1007" s="79">
        <f>COUNTIFS(Matches!$C:$C,$A1007,Matches!$A:$A,CONCAT("&lt;",$E1007))</f>
        <v>11</v>
      </c>
      <c r="K1007" s="79">
        <f>COUNTIFS(Entropy!D:D,A1007,Entropy!I:I,CONCAT("&lt;",E1007-1))</f>
        <v>0</v>
      </c>
      <c r="L1007" s="79">
        <f t="shared" si="2"/>
        <v>17</v>
      </c>
      <c r="M1007" s="79">
        <f t="array" ref="M1007">max(min(IF(J1007+K1007=11,0,XLOOKUP(B1007,Quotas!$A$8:$A$14,Quotas!$E$8:$E$14)-$L1007),2),0)</f>
        <v>0</v>
      </c>
      <c r="N1007" s="31">
        <f t="shared" si="3"/>
        <v>0</v>
      </c>
    </row>
    <row r="1008">
      <c r="A1008" s="31" t="s">
        <v>64</v>
      </c>
      <c r="B1008" s="9">
        <v>5.0</v>
      </c>
      <c r="C1008" s="31" t="str">
        <f>VLOOKUP(A1008, 'College List'!A:B, 2, FALSE)</f>
        <v>Prismari</v>
      </c>
      <c r="D1008" s="355">
        <f>VLOOKUP(B1008,Quotas!$A$8:$C$14,2,FALSE)</f>
        <v>46164.70833</v>
      </c>
      <c r="E1008" s="356">
        <f>VLOOKUP(B1008,Quotas!$A$8:$C$14,3,FALSE)</f>
        <v>46171.70833</v>
      </c>
      <c r="F1008" s="79">
        <f>COUNTIFS(Matches!$B:$B,A1008,Matches!$A:$A,CONCAT("&gt;",$D1008),Matches!$A:$A,CONCAT("&lt;",$E1008))</f>
        <v>3</v>
      </c>
      <c r="G1008" s="79">
        <f>COUNTIFS(Matches!$C:$C,$A1008,Matches!$A:$A,CONCAT("&gt;",$D1008),Matches!$A:$A,CONCAT("&lt;",$E1008))</f>
        <v>2</v>
      </c>
      <c r="H1008" s="79">
        <f t="shared" si="1"/>
        <v>5</v>
      </c>
      <c r="I1008" s="79">
        <f>COUNTIFS(Matches!$B:$B,$A1008,Matches!$A:$A,CONCAT("&lt;",$E1008))</f>
        <v>13</v>
      </c>
      <c r="J1008" s="79">
        <f>COUNTIFS(Matches!$C:$C,$A1008,Matches!$A:$A,CONCAT("&lt;",$E1008))</f>
        <v>10</v>
      </c>
      <c r="K1008" s="79">
        <f>COUNTIFS(Entropy!D:D,A1008,Entropy!I:I,CONCAT("&lt;",E1008-1))</f>
        <v>0</v>
      </c>
      <c r="L1008" s="79">
        <f t="shared" si="2"/>
        <v>23</v>
      </c>
      <c r="M1008" s="79">
        <f t="array" ref="M1008">max(min(IF(J1008+K1008=11,0,XLOOKUP(B1008,Quotas!$A$8:$A$14,Quotas!$E$8:$E$14)-$L1008),2),0)</f>
        <v>2</v>
      </c>
      <c r="N1008" s="31">
        <f t="shared" si="3"/>
        <v>1</v>
      </c>
    </row>
    <row r="1009">
      <c r="A1009" s="31" t="s">
        <v>186</v>
      </c>
      <c r="B1009" s="9">
        <v>5.0</v>
      </c>
      <c r="C1009" s="31" t="str">
        <f>VLOOKUP(A1009, 'College List'!A:B, 2, FALSE)</f>
        <v>Witherbloom</v>
      </c>
      <c r="D1009" s="355">
        <f>VLOOKUP(B1009,Quotas!$A$8:$C$14,2,FALSE)</f>
        <v>46164.70833</v>
      </c>
      <c r="E1009" s="356">
        <f>VLOOKUP(B1009,Quotas!$A$8:$C$14,3,FALSE)</f>
        <v>46171.70833</v>
      </c>
      <c r="F1009" s="79">
        <f>COUNTIFS(Matches!$B:$B,A1009,Matches!$A:$A,CONCAT("&gt;",$D1009),Matches!$A:$A,CONCAT("&lt;",$E1009))</f>
        <v>0</v>
      </c>
      <c r="G1009" s="79">
        <f>COUNTIFS(Matches!$C:$C,$A1009,Matches!$A:$A,CONCAT("&gt;",$D1009),Matches!$A:$A,CONCAT("&lt;",$E1009))</f>
        <v>0</v>
      </c>
      <c r="H1009" s="79">
        <f t="shared" si="1"/>
        <v>0</v>
      </c>
      <c r="I1009" s="79">
        <f>COUNTIFS(Matches!$B:$B,$A1009,Matches!$A:$A,CONCAT("&lt;",$E1009))</f>
        <v>6</v>
      </c>
      <c r="J1009" s="79">
        <f>COUNTIFS(Matches!$C:$C,$A1009,Matches!$A:$A,CONCAT("&lt;",$E1009))</f>
        <v>11</v>
      </c>
      <c r="K1009" s="79">
        <f>COUNTIFS(Entropy!D:D,A1009,Entropy!I:I,CONCAT("&lt;",E1009-1))</f>
        <v>0</v>
      </c>
      <c r="L1009" s="79">
        <f t="shared" si="2"/>
        <v>17</v>
      </c>
      <c r="M1009" s="79">
        <f t="array" ref="M1009">max(min(IF(J1009+K1009=11,0,XLOOKUP(B1009,Quotas!$A$8:$A$14,Quotas!$E$8:$E$14)-$L1009),2),0)</f>
        <v>0</v>
      </c>
      <c r="N1009" s="31">
        <f t="shared" si="3"/>
        <v>0</v>
      </c>
    </row>
    <row r="1010">
      <c r="A1010" s="31" t="s">
        <v>75</v>
      </c>
      <c r="B1010" s="9">
        <v>5.0</v>
      </c>
      <c r="C1010" s="31" t="str">
        <f>VLOOKUP(A1010, 'College List'!A:B, 2, FALSE)</f>
        <v>Silverquill</v>
      </c>
      <c r="D1010" s="355">
        <f>VLOOKUP(B1010,Quotas!$A$8:$C$14,2,FALSE)</f>
        <v>46164.70833</v>
      </c>
      <c r="E1010" s="356">
        <f>VLOOKUP(B1010,Quotas!$A$8:$C$14,3,FALSE)</f>
        <v>46171.70833</v>
      </c>
      <c r="F1010" s="79">
        <f>COUNTIFS(Matches!$B:$B,A1010,Matches!$A:$A,CONCAT("&gt;",$D1010),Matches!$A:$A,CONCAT("&lt;",$E1010))</f>
        <v>0</v>
      </c>
      <c r="G1010" s="79">
        <f>COUNTIFS(Matches!$C:$C,$A1010,Matches!$A:$A,CONCAT("&gt;",$D1010),Matches!$A:$A,CONCAT("&lt;",$E1010))</f>
        <v>0</v>
      </c>
      <c r="H1010" s="79">
        <f t="shared" si="1"/>
        <v>0</v>
      </c>
      <c r="I1010" s="79">
        <f>COUNTIFS(Matches!$B:$B,$A1010,Matches!$A:$A,CONCAT("&lt;",$E1010))</f>
        <v>1</v>
      </c>
      <c r="J1010" s="79">
        <f>COUNTIFS(Matches!$C:$C,$A1010,Matches!$A:$A,CONCAT("&lt;",$E1010))</f>
        <v>11</v>
      </c>
      <c r="K1010" s="79">
        <f>COUNTIFS(Entropy!D:D,A1010,Entropy!I:I,CONCAT("&lt;",E1010-1))</f>
        <v>0</v>
      </c>
      <c r="L1010" s="79">
        <f t="shared" si="2"/>
        <v>12</v>
      </c>
      <c r="M1010" s="79">
        <f t="array" ref="M1010">max(min(IF(J1010+K1010=11,0,XLOOKUP(B1010,Quotas!$A$8:$A$14,Quotas!$E$8:$E$14)-$L1010),2),0)</f>
        <v>0</v>
      </c>
      <c r="N1010" s="31">
        <f t="shared" si="3"/>
        <v>0</v>
      </c>
    </row>
    <row r="1011">
      <c r="A1011" s="31" t="s">
        <v>187</v>
      </c>
      <c r="B1011" s="9">
        <v>5.0</v>
      </c>
      <c r="C1011" s="31" t="str">
        <f>VLOOKUP(A1011, 'College List'!A:B, 2, FALSE)</f>
        <v>Quandrix</v>
      </c>
      <c r="D1011" s="355">
        <f>VLOOKUP(B1011,Quotas!$A$8:$C$14,2,FALSE)</f>
        <v>46164.70833</v>
      </c>
      <c r="E1011" s="356">
        <f>VLOOKUP(B1011,Quotas!$A$8:$C$14,3,FALSE)</f>
        <v>46171.70833</v>
      </c>
      <c r="F1011" s="79">
        <f>COUNTIFS(Matches!$B:$B,A1011,Matches!$A:$A,CONCAT("&gt;",$D1011),Matches!$A:$A,CONCAT("&lt;",$E1011))</f>
        <v>0</v>
      </c>
      <c r="G1011" s="79">
        <f>COUNTIFS(Matches!$C:$C,$A1011,Matches!$A:$A,CONCAT("&gt;",$D1011),Matches!$A:$A,CONCAT("&lt;",$E1011))</f>
        <v>2</v>
      </c>
      <c r="H1011" s="79">
        <f t="shared" si="1"/>
        <v>2</v>
      </c>
      <c r="I1011" s="79">
        <f>COUNTIFS(Matches!$B:$B,$A1011,Matches!$A:$A,CONCAT("&lt;",$E1011))</f>
        <v>11</v>
      </c>
      <c r="J1011" s="79">
        <f>COUNTIFS(Matches!$C:$C,$A1011,Matches!$A:$A,CONCAT("&lt;",$E1011))</f>
        <v>11</v>
      </c>
      <c r="K1011" s="79">
        <f>COUNTIFS(Entropy!D:D,A1011,Entropy!I:I,CONCAT("&lt;",E1011-1))</f>
        <v>0</v>
      </c>
      <c r="L1011" s="79">
        <f t="shared" si="2"/>
        <v>22</v>
      </c>
      <c r="M1011" s="79">
        <f t="array" ref="M1011">max(min(IF(J1011+K1011=11,0,XLOOKUP(B1011,Quotas!$A$8:$A$14,Quotas!$E$8:$E$14)-$L1011),2),0)</f>
        <v>0</v>
      </c>
      <c r="N1011" s="31">
        <f t="shared" si="3"/>
        <v>0</v>
      </c>
    </row>
    <row r="1012">
      <c r="A1012" s="31" t="s">
        <v>83</v>
      </c>
      <c r="B1012" s="9">
        <v>5.0</v>
      </c>
      <c r="C1012" s="31" t="str">
        <f>VLOOKUP(A1012, 'College List'!A:B, 2, FALSE)</f>
        <v>Prismari</v>
      </c>
      <c r="D1012" s="355">
        <f>VLOOKUP(B1012,Quotas!$A$8:$C$14,2,FALSE)</f>
        <v>46164.70833</v>
      </c>
      <c r="E1012" s="356">
        <f>VLOOKUP(B1012,Quotas!$A$8:$C$14,3,FALSE)</f>
        <v>46171.70833</v>
      </c>
      <c r="F1012" s="79">
        <f>COUNTIFS(Matches!$B:$B,A1012,Matches!$A:$A,CONCAT("&gt;",$D1012),Matches!$A:$A,CONCAT("&lt;",$E1012))</f>
        <v>0</v>
      </c>
      <c r="G1012" s="79">
        <f>COUNTIFS(Matches!$C:$C,$A1012,Matches!$A:$A,CONCAT("&gt;",$D1012),Matches!$A:$A,CONCAT("&lt;",$E1012))</f>
        <v>1</v>
      </c>
      <c r="H1012" s="79">
        <f t="shared" si="1"/>
        <v>1</v>
      </c>
      <c r="I1012" s="79">
        <f>COUNTIFS(Matches!$B:$B,$A1012,Matches!$A:$A,CONCAT("&lt;",$E1012))</f>
        <v>8</v>
      </c>
      <c r="J1012" s="79">
        <f>COUNTIFS(Matches!$C:$C,$A1012,Matches!$A:$A,CONCAT("&lt;",$E1012))</f>
        <v>11</v>
      </c>
      <c r="K1012" s="79">
        <f>COUNTIFS(Entropy!D:D,A1012,Entropy!I:I,CONCAT("&lt;",E1012-1))</f>
        <v>0</v>
      </c>
      <c r="L1012" s="79">
        <f t="shared" si="2"/>
        <v>19</v>
      </c>
      <c r="M1012" s="79">
        <f t="array" ref="M1012">max(min(IF(J1012+K1012=11,0,XLOOKUP(B1012,Quotas!$A$8:$A$14,Quotas!$E$8:$E$14)-$L1012),2),0)</f>
        <v>0</v>
      </c>
      <c r="N1012" s="31">
        <f t="shared" si="3"/>
        <v>0</v>
      </c>
    </row>
    <row r="1013">
      <c r="A1013" s="31" t="s">
        <v>322</v>
      </c>
      <c r="B1013" s="9">
        <v>5.0</v>
      </c>
      <c r="C1013" s="31" t="str">
        <f>VLOOKUP(A1013, 'College List'!A:B, 2, FALSE)</f>
        <v>Prismari</v>
      </c>
      <c r="D1013" s="355">
        <f>VLOOKUP(B1013,Quotas!$A$8:$C$14,2,FALSE)</f>
        <v>46164.70833</v>
      </c>
      <c r="E1013" s="356">
        <f>VLOOKUP(B1013,Quotas!$A$8:$C$14,3,FALSE)</f>
        <v>46171.70833</v>
      </c>
      <c r="F1013" s="79">
        <f>COUNTIFS(Matches!$B:$B,A1013,Matches!$A:$A,CONCAT("&gt;",$D1013),Matches!$A:$A,CONCAT("&lt;",$E1013))</f>
        <v>2</v>
      </c>
      <c r="G1013" s="79">
        <f>COUNTIFS(Matches!$C:$C,$A1013,Matches!$A:$A,CONCAT("&gt;",$D1013),Matches!$A:$A,CONCAT("&lt;",$E1013))</f>
        <v>2</v>
      </c>
      <c r="H1013" s="79">
        <f t="shared" si="1"/>
        <v>4</v>
      </c>
      <c r="I1013" s="79">
        <f>COUNTIFS(Matches!$B:$B,$A1013,Matches!$A:$A,CONCAT("&lt;",$E1013))</f>
        <v>13</v>
      </c>
      <c r="J1013" s="79">
        <f>COUNTIFS(Matches!$C:$C,$A1013,Matches!$A:$A,CONCAT("&lt;",$E1013))</f>
        <v>11</v>
      </c>
      <c r="K1013" s="79">
        <f>COUNTIFS(Entropy!D:D,A1013,Entropy!I:I,CONCAT("&lt;",E1013-1))</f>
        <v>0</v>
      </c>
      <c r="L1013" s="79">
        <f t="shared" si="2"/>
        <v>24</v>
      </c>
      <c r="M1013" s="79">
        <f t="array" ref="M1013">max(min(IF(J1013+K1013=11,0,XLOOKUP(B1013,Quotas!$A$8:$A$14,Quotas!$E$8:$E$14)-$L1013),2),0)</f>
        <v>0</v>
      </c>
      <c r="N1013" s="31">
        <f t="shared" si="3"/>
        <v>0</v>
      </c>
    </row>
    <row r="1014">
      <c r="A1014" s="31" t="s">
        <v>393</v>
      </c>
      <c r="B1014" s="9">
        <v>5.0</v>
      </c>
      <c r="C1014" s="31" t="str">
        <f>VLOOKUP(A1014, 'College List'!A:B, 2, FALSE)</f>
        <v>Witherbloom</v>
      </c>
      <c r="D1014" s="355">
        <f>VLOOKUP(B1014,Quotas!$A$8:$C$14,2,FALSE)</f>
        <v>46164.70833</v>
      </c>
      <c r="E1014" s="356">
        <f>VLOOKUP(B1014,Quotas!$A$8:$C$14,3,FALSE)</f>
        <v>46171.70833</v>
      </c>
      <c r="F1014" s="79">
        <f>COUNTIFS(Matches!$B:$B,A1014,Matches!$A:$A,CONCAT("&gt;",$D1014),Matches!$A:$A,CONCAT("&lt;",$E1014))</f>
        <v>3</v>
      </c>
      <c r="G1014" s="79">
        <f>COUNTIFS(Matches!$C:$C,$A1014,Matches!$A:$A,CONCAT("&gt;",$D1014),Matches!$A:$A,CONCAT("&lt;",$E1014))</f>
        <v>1</v>
      </c>
      <c r="H1014" s="79">
        <f t="shared" si="1"/>
        <v>4</v>
      </c>
      <c r="I1014" s="79">
        <f>COUNTIFS(Matches!$B:$B,$A1014,Matches!$A:$A,CONCAT("&lt;",$E1014))</f>
        <v>13</v>
      </c>
      <c r="J1014" s="79">
        <f>COUNTIFS(Matches!$C:$C,$A1014,Matches!$A:$A,CONCAT("&lt;",$E1014))</f>
        <v>11</v>
      </c>
      <c r="K1014" s="79">
        <f>COUNTIFS(Entropy!D:D,A1014,Entropy!I:I,CONCAT("&lt;",E1014-1))</f>
        <v>0</v>
      </c>
      <c r="L1014" s="79">
        <f t="shared" si="2"/>
        <v>24</v>
      </c>
      <c r="M1014" s="79">
        <f t="array" ref="M1014">max(min(IF(J1014+K1014=11,0,XLOOKUP(B1014,Quotas!$A$8:$A$14,Quotas!$E$8:$E$14)-$L1014),2),0)</f>
        <v>0</v>
      </c>
      <c r="N1014" s="31">
        <f t="shared" si="3"/>
        <v>0</v>
      </c>
    </row>
    <row r="1015">
      <c r="A1015" s="31" t="s">
        <v>208</v>
      </c>
      <c r="B1015" s="9">
        <v>5.0</v>
      </c>
      <c r="C1015" s="31" t="str">
        <f>VLOOKUP(A1015, 'College List'!A:B, 2, FALSE)</f>
        <v>Witherbloom</v>
      </c>
      <c r="D1015" s="355">
        <f>VLOOKUP(B1015,Quotas!$A$8:$C$14,2,FALSE)</f>
        <v>46164.70833</v>
      </c>
      <c r="E1015" s="356">
        <f>VLOOKUP(B1015,Quotas!$A$8:$C$14,3,FALSE)</f>
        <v>46171.70833</v>
      </c>
      <c r="F1015" s="79">
        <f>COUNTIFS(Matches!$B:$B,A1015,Matches!$A:$A,CONCAT("&gt;",$D1015),Matches!$A:$A,CONCAT("&lt;",$E1015))</f>
        <v>1</v>
      </c>
      <c r="G1015" s="79">
        <f>COUNTIFS(Matches!$C:$C,$A1015,Matches!$A:$A,CONCAT("&gt;",$D1015),Matches!$A:$A,CONCAT("&lt;",$E1015))</f>
        <v>1</v>
      </c>
      <c r="H1015" s="79">
        <f t="shared" si="1"/>
        <v>2</v>
      </c>
      <c r="I1015" s="79">
        <f>COUNTIFS(Matches!$B:$B,$A1015,Matches!$A:$A,CONCAT("&lt;",$E1015))</f>
        <v>11</v>
      </c>
      <c r="J1015" s="79">
        <f>COUNTIFS(Matches!$C:$C,$A1015,Matches!$A:$A,CONCAT("&lt;",$E1015))</f>
        <v>11</v>
      </c>
      <c r="K1015" s="79">
        <f>COUNTIFS(Entropy!D:D,A1015,Entropy!I:I,CONCAT("&lt;",E1015-1))</f>
        <v>0</v>
      </c>
      <c r="L1015" s="79">
        <f t="shared" si="2"/>
        <v>22</v>
      </c>
      <c r="M1015" s="79">
        <f t="array" ref="M1015">max(min(IF(J1015+K1015=11,0,XLOOKUP(B1015,Quotas!$A$8:$A$14,Quotas!$E$8:$E$14)-$L1015),2),0)</f>
        <v>0</v>
      </c>
      <c r="N1015" s="31">
        <f t="shared" si="3"/>
        <v>0</v>
      </c>
    </row>
    <row r="1016">
      <c r="A1016" s="31" t="s">
        <v>161</v>
      </c>
      <c r="B1016" s="9">
        <v>5.0</v>
      </c>
      <c r="C1016" s="31" t="str">
        <f>VLOOKUP(A1016, 'College List'!A:B, 2, FALSE)</f>
        <v>Witherbloom</v>
      </c>
      <c r="D1016" s="355">
        <f>VLOOKUP(B1016,Quotas!$A$8:$C$14,2,FALSE)</f>
        <v>46164.70833</v>
      </c>
      <c r="E1016" s="356">
        <f>VLOOKUP(B1016,Quotas!$A$8:$C$14,3,FALSE)</f>
        <v>46171.70833</v>
      </c>
      <c r="F1016" s="79">
        <f>COUNTIFS(Matches!$B:$B,A1016,Matches!$A:$A,CONCAT("&gt;",$D1016),Matches!$A:$A,CONCAT("&lt;",$E1016))</f>
        <v>0</v>
      </c>
      <c r="G1016" s="79">
        <f>COUNTIFS(Matches!$C:$C,$A1016,Matches!$A:$A,CONCAT("&gt;",$D1016),Matches!$A:$A,CONCAT("&lt;",$E1016))</f>
        <v>0</v>
      </c>
      <c r="H1016" s="79">
        <f t="shared" si="1"/>
        <v>0</v>
      </c>
      <c r="I1016" s="79">
        <f>COUNTIFS(Matches!$B:$B,$A1016,Matches!$A:$A,CONCAT("&lt;",$E1016))</f>
        <v>6</v>
      </c>
      <c r="J1016" s="79">
        <f>COUNTIFS(Matches!$C:$C,$A1016,Matches!$A:$A,CONCAT("&lt;",$E1016))</f>
        <v>11</v>
      </c>
      <c r="K1016" s="79">
        <f>COUNTIFS(Entropy!D:D,A1016,Entropy!I:I,CONCAT("&lt;",E1016-1))</f>
        <v>0</v>
      </c>
      <c r="L1016" s="79">
        <f t="shared" si="2"/>
        <v>17</v>
      </c>
      <c r="M1016" s="79">
        <f t="array" ref="M1016">max(min(IF(J1016+K1016=11,0,XLOOKUP(B1016,Quotas!$A$8:$A$14,Quotas!$E$8:$E$14)-$L1016),2),0)</f>
        <v>0</v>
      </c>
      <c r="N1016" s="31">
        <f t="shared" si="3"/>
        <v>0</v>
      </c>
    </row>
    <row r="1017">
      <c r="A1017" s="31" t="s">
        <v>389</v>
      </c>
      <c r="B1017" s="9">
        <v>5.0</v>
      </c>
      <c r="C1017" s="31" t="str">
        <f>VLOOKUP(A1017, 'College List'!A:B, 2, FALSE)</f>
        <v>Prismari</v>
      </c>
      <c r="D1017" s="355">
        <f>VLOOKUP(B1017,Quotas!$A$8:$C$14,2,FALSE)</f>
        <v>46164.70833</v>
      </c>
      <c r="E1017" s="356">
        <f>VLOOKUP(B1017,Quotas!$A$8:$C$14,3,FALSE)</f>
        <v>46171.70833</v>
      </c>
      <c r="F1017" s="79">
        <f>COUNTIFS(Matches!$B:$B,A1017,Matches!$A:$A,CONCAT("&gt;",$D1017),Matches!$A:$A,CONCAT("&lt;",$E1017))</f>
        <v>3</v>
      </c>
      <c r="G1017" s="79">
        <f>COUNTIFS(Matches!$C:$C,$A1017,Matches!$A:$A,CONCAT("&gt;",$D1017),Matches!$A:$A,CONCAT("&lt;",$E1017))</f>
        <v>2</v>
      </c>
      <c r="H1017" s="79">
        <f t="shared" si="1"/>
        <v>5</v>
      </c>
      <c r="I1017" s="79">
        <f>COUNTIFS(Matches!$B:$B,$A1017,Matches!$A:$A,CONCAT("&lt;",$E1017))</f>
        <v>15</v>
      </c>
      <c r="J1017" s="79">
        <f>COUNTIFS(Matches!$C:$C,$A1017,Matches!$A:$A,CONCAT("&lt;",$E1017))</f>
        <v>8</v>
      </c>
      <c r="K1017" s="79">
        <f>COUNTIFS(Entropy!D:D,A1017,Entropy!I:I,CONCAT("&lt;",E1017-1))</f>
        <v>0</v>
      </c>
      <c r="L1017" s="79">
        <f t="shared" si="2"/>
        <v>23</v>
      </c>
      <c r="M1017" s="79">
        <f t="array" ref="M1017">max(min(IF(J1017+K1017=11,0,XLOOKUP(B1017,Quotas!$A$8:$A$14,Quotas!$E$8:$E$14)-$L1017),2),0)</f>
        <v>2</v>
      </c>
      <c r="N1017" s="31">
        <f t="shared" si="3"/>
        <v>1</v>
      </c>
    </row>
    <row r="1018">
      <c r="A1018" s="31" t="s">
        <v>323</v>
      </c>
      <c r="B1018" s="9">
        <v>5.0</v>
      </c>
      <c r="C1018" s="31" t="str">
        <f>VLOOKUP(A1018, 'College List'!A:B, 2, FALSE)</f>
        <v>Silverquill</v>
      </c>
      <c r="D1018" s="355">
        <f>VLOOKUP(B1018,Quotas!$A$8:$C$14,2,FALSE)</f>
        <v>46164.70833</v>
      </c>
      <c r="E1018" s="356">
        <f>VLOOKUP(B1018,Quotas!$A$8:$C$14,3,FALSE)</f>
        <v>46171.70833</v>
      </c>
      <c r="F1018" s="79">
        <f>COUNTIFS(Matches!$B:$B,A1018,Matches!$A:$A,CONCAT("&gt;",$D1018),Matches!$A:$A,CONCAT("&lt;",$E1018))</f>
        <v>0</v>
      </c>
      <c r="G1018" s="79">
        <f>COUNTIFS(Matches!$C:$C,$A1018,Matches!$A:$A,CONCAT("&gt;",$D1018),Matches!$A:$A,CONCAT("&lt;",$E1018))</f>
        <v>0</v>
      </c>
      <c r="H1018" s="79">
        <f t="shared" si="1"/>
        <v>0</v>
      </c>
      <c r="I1018" s="79">
        <f>COUNTIFS(Matches!$B:$B,$A1018,Matches!$A:$A,CONCAT("&lt;",$E1018))</f>
        <v>7</v>
      </c>
      <c r="J1018" s="79">
        <f>COUNTIFS(Matches!$C:$C,$A1018,Matches!$A:$A,CONCAT("&lt;",$E1018))</f>
        <v>11</v>
      </c>
      <c r="K1018" s="79">
        <f>COUNTIFS(Entropy!D:D,A1018,Entropy!I:I,CONCAT("&lt;",E1018-1))</f>
        <v>0</v>
      </c>
      <c r="L1018" s="79">
        <f t="shared" si="2"/>
        <v>18</v>
      </c>
      <c r="M1018" s="79">
        <f t="array" ref="M1018">max(min(IF(J1018+K1018=11,0,XLOOKUP(B1018,Quotas!$A$8:$A$14,Quotas!$E$8:$E$14)-$L1018),2),0)</f>
        <v>0</v>
      </c>
      <c r="N1018" s="31">
        <f t="shared" si="3"/>
        <v>0</v>
      </c>
    </row>
    <row r="1019">
      <c r="A1019" s="31" t="s">
        <v>250</v>
      </c>
      <c r="B1019" s="9">
        <v>5.0</v>
      </c>
      <c r="C1019" s="31" t="str">
        <f>VLOOKUP(A1019, 'College List'!A:B, 2, FALSE)</f>
        <v>Witherbloom</v>
      </c>
      <c r="D1019" s="355">
        <f>VLOOKUP(B1019,Quotas!$A$8:$C$14,2,FALSE)</f>
        <v>46164.70833</v>
      </c>
      <c r="E1019" s="356">
        <f>VLOOKUP(B1019,Quotas!$A$8:$C$14,3,FALSE)</f>
        <v>46171.70833</v>
      </c>
      <c r="F1019" s="79">
        <f>COUNTIFS(Matches!$B:$B,A1019,Matches!$A:$A,CONCAT("&gt;",$D1019),Matches!$A:$A,CONCAT("&lt;",$E1019))</f>
        <v>0</v>
      </c>
      <c r="G1019" s="79">
        <f>COUNTIFS(Matches!$C:$C,$A1019,Matches!$A:$A,CONCAT("&gt;",$D1019),Matches!$A:$A,CONCAT("&lt;",$E1019))</f>
        <v>0</v>
      </c>
      <c r="H1019" s="79">
        <f t="shared" si="1"/>
        <v>0</v>
      </c>
      <c r="I1019" s="79">
        <f>COUNTIFS(Matches!$B:$B,$A1019,Matches!$A:$A,CONCAT("&lt;",$E1019))</f>
        <v>5</v>
      </c>
      <c r="J1019" s="79">
        <f>COUNTIFS(Matches!$C:$C,$A1019,Matches!$A:$A,CONCAT("&lt;",$E1019))</f>
        <v>10</v>
      </c>
      <c r="K1019" s="79">
        <f>COUNTIFS(Entropy!D:D,A1019,Entropy!I:I,CONCAT("&lt;",E1019-1))</f>
        <v>1</v>
      </c>
      <c r="L1019" s="79">
        <f t="shared" si="2"/>
        <v>16</v>
      </c>
      <c r="M1019" s="79">
        <f t="array" ref="M1019">max(min(IF(J1019+K1019=11,0,XLOOKUP(B1019,Quotas!$A$8:$A$14,Quotas!$E$8:$E$14)-$L1019),2),0)</f>
        <v>0</v>
      </c>
      <c r="N1019" s="31">
        <f t="shared" si="3"/>
        <v>0</v>
      </c>
    </row>
    <row r="1020">
      <c r="A1020" s="31" t="s">
        <v>55</v>
      </c>
      <c r="B1020" s="9">
        <v>5.0</v>
      </c>
      <c r="C1020" s="31" t="str">
        <f>VLOOKUP(A1020, 'College List'!A:B, 2, FALSE)</f>
        <v>Silverquill</v>
      </c>
      <c r="D1020" s="355">
        <f>VLOOKUP(B1020,Quotas!$A$8:$C$14,2,FALSE)</f>
        <v>46164.70833</v>
      </c>
      <c r="E1020" s="356">
        <f>VLOOKUP(B1020,Quotas!$A$8:$C$14,3,FALSE)</f>
        <v>46171.70833</v>
      </c>
      <c r="F1020" s="79">
        <f>COUNTIFS(Matches!$B:$B,A1020,Matches!$A:$A,CONCAT("&gt;",$D1020),Matches!$A:$A,CONCAT("&lt;",$E1020))</f>
        <v>0</v>
      </c>
      <c r="G1020" s="79">
        <f>COUNTIFS(Matches!$C:$C,$A1020,Matches!$A:$A,CONCAT("&gt;",$D1020),Matches!$A:$A,CONCAT("&lt;",$E1020))</f>
        <v>0</v>
      </c>
      <c r="H1020" s="79">
        <f t="shared" si="1"/>
        <v>0</v>
      </c>
      <c r="I1020" s="79">
        <f>COUNTIFS(Matches!$B:$B,$A1020,Matches!$A:$A,CONCAT("&lt;",$E1020))</f>
        <v>6</v>
      </c>
      <c r="J1020" s="79">
        <f>COUNTIFS(Matches!$C:$C,$A1020,Matches!$A:$A,CONCAT("&lt;",$E1020))</f>
        <v>11</v>
      </c>
      <c r="K1020" s="79">
        <f>COUNTIFS(Entropy!D:D,A1020,Entropy!I:I,CONCAT("&lt;",E1020-1))</f>
        <v>0</v>
      </c>
      <c r="L1020" s="79">
        <f t="shared" si="2"/>
        <v>17</v>
      </c>
      <c r="M1020" s="79">
        <f t="array" ref="M1020">max(min(IF(J1020+K1020=11,0,XLOOKUP(B1020,Quotas!$A$8:$A$14,Quotas!$E$8:$E$14)-$L1020),2),0)</f>
        <v>0</v>
      </c>
      <c r="N1020" s="31">
        <f t="shared" si="3"/>
        <v>0</v>
      </c>
    </row>
    <row r="1021">
      <c r="A1021" s="31" t="s">
        <v>154</v>
      </c>
      <c r="B1021" s="9">
        <v>5.0</v>
      </c>
      <c r="C1021" s="31" t="str">
        <f>VLOOKUP(A1021, 'College List'!A:B, 2, FALSE)</f>
        <v>Lorehold</v>
      </c>
      <c r="D1021" s="355">
        <f>VLOOKUP(B1021,Quotas!$A$8:$C$14,2,FALSE)</f>
        <v>46164.70833</v>
      </c>
      <c r="E1021" s="356">
        <f>VLOOKUP(B1021,Quotas!$A$8:$C$14,3,FALSE)</f>
        <v>46171.70833</v>
      </c>
      <c r="F1021" s="79">
        <f>COUNTIFS(Matches!$B:$B,A1021,Matches!$A:$A,CONCAT("&gt;",$D1021),Matches!$A:$A,CONCAT("&lt;",$E1021))</f>
        <v>0</v>
      </c>
      <c r="G1021" s="79">
        <f>COUNTIFS(Matches!$C:$C,$A1021,Matches!$A:$A,CONCAT("&gt;",$D1021),Matches!$A:$A,CONCAT("&lt;",$E1021))</f>
        <v>0</v>
      </c>
      <c r="H1021" s="79">
        <f t="shared" si="1"/>
        <v>0</v>
      </c>
      <c r="I1021" s="79">
        <f>COUNTIFS(Matches!$B:$B,$A1021,Matches!$A:$A,CONCAT("&lt;",$E1021))</f>
        <v>8</v>
      </c>
      <c r="J1021" s="79">
        <f>COUNTIFS(Matches!$C:$C,$A1021,Matches!$A:$A,CONCAT("&lt;",$E1021))</f>
        <v>10</v>
      </c>
      <c r="K1021" s="79">
        <f>COUNTIFS(Entropy!D:D,A1021,Entropy!I:I,CONCAT("&lt;",E1021-1))</f>
        <v>0</v>
      </c>
      <c r="L1021" s="79">
        <f t="shared" si="2"/>
        <v>18</v>
      </c>
      <c r="M1021" s="79">
        <f t="array" ref="M1021">max(min(IF(J1021+K1021=11,0,XLOOKUP(B1021,Quotas!$A$8:$A$14,Quotas!$E$8:$E$14)-$L1021),2),0)</f>
        <v>2</v>
      </c>
      <c r="N1021" s="31">
        <f t="shared" si="3"/>
        <v>0</v>
      </c>
    </row>
    <row r="1022">
      <c r="A1022" s="31" t="s">
        <v>123</v>
      </c>
      <c r="B1022" s="9">
        <v>5.0</v>
      </c>
      <c r="C1022" s="31" t="str">
        <f>VLOOKUP(A1022, 'College List'!A:B, 2, FALSE)</f>
        <v>Silverquill</v>
      </c>
      <c r="D1022" s="355">
        <f>VLOOKUP(B1022,Quotas!$A$8:$C$14,2,FALSE)</f>
        <v>46164.70833</v>
      </c>
      <c r="E1022" s="356">
        <f>VLOOKUP(B1022,Quotas!$A$8:$C$14,3,FALSE)</f>
        <v>46171.70833</v>
      </c>
      <c r="F1022" s="79">
        <f>COUNTIFS(Matches!$B:$B,A1022,Matches!$A:$A,CONCAT("&gt;",$D1022),Matches!$A:$A,CONCAT("&lt;",$E1022))</f>
        <v>0</v>
      </c>
      <c r="G1022" s="79">
        <f>COUNTIFS(Matches!$C:$C,$A1022,Matches!$A:$A,CONCAT("&gt;",$D1022),Matches!$A:$A,CONCAT("&lt;",$E1022))</f>
        <v>0</v>
      </c>
      <c r="H1022" s="79">
        <f t="shared" si="1"/>
        <v>0</v>
      </c>
      <c r="I1022" s="79">
        <f>COUNTIFS(Matches!$B:$B,$A1022,Matches!$A:$A,CONCAT("&lt;",$E1022))</f>
        <v>5</v>
      </c>
      <c r="J1022" s="79">
        <f>COUNTIFS(Matches!$C:$C,$A1022,Matches!$A:$A,CONCAT("&lt;",$E1022))</f>
        <v>10</v>
      </c>
      <c r="K1022" s="79">
        <f>COUNTIFS(Entropy!D:D,A1022,Entropy!I:I,CONCAT("&lt;",E1022-1))</f>
        <v>1</v>
      </c>
      <c r="L1022" s="79">
        <f t="shared" si="2"/>
        <v>16</v>
      </c>
      <c r="M1022" s="79">
        <f t="array" ref="M1022">max(min(IF(J1022+K1022=11,0,XLOOKUP(B1022,Quotas!$A$8:$A$14,Quotas!$E$8:$E$14)-$L1022),2),0)</f>
        <v>0</v>
      </c>
      <c r="N1022" s="31">
        <f t="shared" si="3"/>
        <v>0</v>
      </c>
    </row>
    <row r="1023">
      <c r="A1023" s="31" t="s">
        <v>237</v>
      </c>
      <c r="B1023" s="9">
        <v>5.0</v>
      </c>
      <c r="C1023" s="31" t="str">
        <f>VLOOKUP(A1023, 'College List'!A:B, 2, FALSE)</f>
        <v>Quandrix</v>
      </c>
      <c r="D1023" s="355">
        <f>VLOOKUP(B1023,Quotas!$A$8:$C$14,2,FALSE)</f>
        <v>46164.70833</v>
      </c>
      <c r="E1023" s="356">
        <f>VLOOKUP(B1023,Quotas!$A$8:$C$14,3,FALSE)</f>
        <v>46171.70833</v>
      </c>
      <c r="F1023" s="79">
        <f>COUNTIFS(Matches!$B:$B,A1023,Matches!$A:$A,CONCAT("&gt;",$D1023),Matches!$A:$A,CONCAT("&lt;",$E1023))</f>
        <v>1</v>
      </c>
      <c r="G1023" s="79">
        <f>COUNTIFS(Matches!$C:$C,$A1023,Matches!$A:$A,CONCAT("&gt;",$D1023),Matches!$A:$A,CONCAT("&lt;",$E1023))</f>
        <v>1</v>
      </c>
      <c r="H1023" s="79">
        <f t="shared" si="1"/>
        <v>2</v>
      </c>
      <c r="I1023" s="79">
        <f>COUNTIFS(Matches!$B:$B,$A1023,Matches!$A:$A,CONCAT("&lt;",$E1023))</f>
        <v>11</v>
      </c>
      <c r="J1023" s="79">
        <f>COUNTIFS(Matches!$C:$C,$A1023,Matches!$A:$A,CONCAT("&lt;",$E1023))</f>
        <v>11</v>
      </c>
      <c r="K1023" s="79">
        <f>COUNTIFS(Entropy!D:D,A1023,Entropy!I:I,CONCAT("&lt;",E1023-1))</f>
        <v>0</v>
      </c>
      <c r="L1023" s="79">
        <f t="shared" si="2"/>
        <v>22</v>
      </c>
      <c r="M1023" s="79">
        <f t="array" ref="M1023">max(min(IF(J1023+K1023=11,0,XLOOKUP(B1023,Quotas!$A$8:$A$14,Quotas!$E$8:$E$14)-$L1023),2),0)</f>
        <v>0</v>
      </c>
      <c r="N1023" s="31">
        <f t="shared" si="3"/>
        <v>0</v>
      </c>
    </row>
    <row r="1024">
      <c r="A1024" s="31" t="s">
        <v>95</v>
      </c>
      <c r="B1024" s="9">
        <v>5.0</v>
      </c>
      <c r="C1024" s="31" t="str">
        <f>VLOOKUP(A1024, 'College List'!A:B, 2, FALSE)</f>
        <v>Witherbloom</v>
      </c>
      <c r="D1024" s="355">
        <f>VLOOKUP(B1024,Quotas!$A$8:$C$14,2,FALSE)</f>
        <v>46164.70833</v>
      </c>
      <c r="E1024" s="356">
        <f>VLOOKUP(B1024,Quotas!$A$8:$C$14,3,FALSE)</f>
        <v>46171.70833</v>
      </c>
      <c r="F1024" s="79">
        <f>COUNTIFS(Matches!$B:$B,A1024,Matches!$A:$A,CONCAT("&gt;",$D1024),Matches!$A:$A,CONCAT("&lt;",$E1024))</f>
        <v>2</v>
      </c>
      <c r="G1024" s="79">
        <f>COUNTIFS(Matches!$C:$C,$A1024,Matches!$A:$A,CONCAT("&gt;",$D1024),Matches!$A:$A,CONCAT("&lt;",$E1024))</f>
        <v>1</v>
      </c>
      <c r="H1024" s="79">
        <f t="shared" si="1"/>
        <v>3</v>
      </c>
      <c r="I1024" s="79">
        <f>COUNTIFS(Matches!$B:$B,$A1024,Matches!$A:$A,CONCAT("&lt;",$E1024))</f>
        <v>14</v>
      </c>
      <c r="J1024" s="79">
        <f>COUNTIFS(Matches!$C:$C,$A1024,Matches!$A:$A,CONCAT("&lt;",$E1024))</f>
        <v>9</v>
      </c>
      <c r="K1024" s="79">
        <f>COUNTIFS(Entropy!D:D,A1024,Entropy!I:I,CONCAT("&lt;",E1024-1))</f>
        <v>0</v>
      </c>
      <c r="L1024" s="79">
        <f t="shared" si="2"/>
        <v>23</v>
      </c>
      <c r="M1024" s="79">
        <f t="array" ref="M1024">max(min(IF(J1024+K1024=11,0,XLOOKUP(B1024,Quotas!$A$8:$A$14,Quotas!$E$8:$E$14)-$L1024),2),0)</f>
        <v>2</v>
      </c>
      <c r="N1024" s="31">
        <f t="shared" si="3"/>
        <v>1</v>
      </c>
    </row>
    <row r="1025">
      <c r="A1025" s="31" t="s">
        <v>150</v>
      </c>
      <c r="B1025" s="9">
        <v>5.0</v>
      </c>
      <c r="C1025" s="31" t="str">
        <f>VLOOKUP(A1025, 'College List'!A:B, 2, FALSE)</f>
        <v>Witherbloom</v>
      </c>
      <c r="D1025" s="355">
        <f>VLOOKUP(B1025,Quotas!$A$8:$C$14,2,FALSE)</f>
        <v>46164.70833</v>
      </c>
      <c r="E1025" s="356">
        <f>VLOOKUP(B1025,Quotas!$A$8:$C$14,3,FALSE)</f>
        <v>46171.70833</v>
      </c>
      <c r="F1025" s="79">
        <f>COUNTIFS(Matches!$B:$B,A1025,Matches!$A:$A,CONCAT("&gt;",$D1025),Matches!$A:$A,CONCAT("&lt;",$E1025))</f>
        <v>0</v>
      </c>
      <c r="G1025" s="79">
        <f>COUNTIFS(Matches!$C:$C,$A1025,Matches!$A:$A,CONCAT("&gt;",$D1025),Matches!$A:$A,CONCAT("&lt;",$E1025))</f>
        <v>1</v>
      </c>
      <c r="H1025" s="79">
        <f t="shared" si="1"/>
        <v>1</v>
      </c>
      <c r="I1025" s="79">
        <f>COUNTIFS(Matches!$B:$B,$A1025,Matches!$A:$A,CONCAT("&lt;",$E1025))</f>
        <v>9</v>
      </c>
      <c r="J1025" s="79">
        <f>COUNTIFS(Matches!$C:$C,$A1025,Matches!$A:$A,CONCAT("&lt;",$E1025))</f>
        <v>11</v>
      </c>
      <c r="K1025" s="79">
        <f>COUNTIFS(Entropy!D:D,A1025,Entropy!I:I,CONCAT("&lt;",E1025-1))</f>
        <v>0</v>
      </c>
      <c r="L1025" s="79">
        <f t="shared" si="2"/>
        <v>20</v>
      </c>
      <c r="M1025" s="79">
        <f t="array" ref="M1025">max(min(IF(J1025+K1025=11,0,XLOOKUP(B1025,Quotas!$A$8:$A$14,Quotas!$E$8:$E$14)-$L1025),2),0)</f>
        <v>0</v>
      </c>
      <c r="N1025" s="31">
        <f t="shared" si="3"/>
        <v>0</v>
      </c>
    </row>
    <row r="1026">
      <c r="A1026" s="31" t="s">
        <v>85</v>
      </c>
      <c r="B1026" s="9">
        <v>5.0</v>
      </c>
      <c r="C1026" s="31" t="str">
        <f>VLOOKUP(A1026, 'College List'!A:B, 2, FALSE)</f>
        <v>Lorehold</v>
      </c>
      <c r="D1026" s="355">
        <f>VLOOKUP(B1026,Quotas!$A$8:$C$14,2,FALSE)</f>
        <v>46164.70833</v>
      </c>
      <c r="E1026" s="356">
        <f>VLOOKUP(B1026,Quotas!$A$8:$C$14,3,FALSE)</f>
        <v>46171.70833</v>
      </c>
      <c r="F1026" s="79">
        <f>COUNTIFS(Matches!$B:$B,A1026,Matches!$A:$A,CONCAT("&gt;",$D1026),Matches!$A:$A,CONCAT("&lt;",$E1026))</f>
        <v>3</v>
      </c>
      <c r="G1026" s="79">
        <f>COUNTIFS(Matches!$C:$C,$A1026,Matches!$A:$A,CONCAT("&gt;",$D1026),Matches!$A:$A,CONCAT("&lt;",$E1026))</f>
        <v>1</v>
      </c>
      <c r="H1026" s="79">
        <f t="shared" si="1"/>
        <v>4</v>
      </c>
      <c r="I1026" s="79">
        <f>COUNTIFS(Matches!$B:$B,$A1026,Matches!$A:$A,CONCAT("&lt;",$E1026))</f>
        <v>11</v>
      </c>
      <c r="J1026" s="79">
        <f>COUNTIFS(Matches!$C:$C,$A1026,Matches!$A:$A,CONCAT("&lt;",$E1026))</f>
        <v>10</v>
      </c>
      <c r="K1026" s="79">
        <f>COUNTIFS(Entropy!D:D,A1026,Entropy!I:I,CONCAT("&lt;",E1026-1))</f>
        <v>1</v>
      </c>
      <c r="L1026" s="79">
        <f t="shared" si="2"/>
        <v>22</v>
      </c>
      <c r="M1026" s="79">
        <f t="array" ref="M1026">max(min(IF(J1026+K1026=11,0,XLOOKUP(B1026,Quotas!$A$8:$A$14,Quotas!$E$8:$E$14)-$L1026),2),0)</f>
        <v>0</v>
      </c>
      <c r="N1026" s="31">
        <f t="shared" si="3"/>
        <v>0</v>
      </c>
    </row>
    <row r="1027">
      <c r="A1027" s="31" t="s">
        <v>290</v>
      </c>
      <c r="B1027" s="9">
        <v>5.0</v>
      </c>
      <c r="C1027" s="31" t="str">
        <f>VLOOKUP(A1027, 'College List'!A:B, 2, FALSE)</f>
        <v>Lorehold</v>
      </c>
      <c r="D1027" s="355">
        <f>VLOOKUP(B1027,Quotas!$A$8:$C$14,2,FALSE)</f>
        <v>46164.70833</v>
      </c>
      <c r="E1027" s="356">
        <f>VLOOKUP(B1027,Quotas!$A$8:$C$14,3,FALSE)</f>
        <v>46171.70833</v>
      </c>
      <c r="F1027" s="79">
        <f>COUNTIFS(Matches!$B:$B,A1027,Matches!$A:$A,CONCAT("&gt;",$D1027),Matches!$A:$A,CONCAT("&lt;",$E1027))</f>
        <v>4</v>
      </c>
      <c r="G1027" s="79">
        <f>COUNTIFS(Matches!$C:$C,$A1027,Matches!$A:$A,CONCAT("&gt;",$D1027),Matches!$A:$A,CONCAT("&lt;",$E1027))</f>
        <v>1</v>
      </c>
      <c r="H1027" s="79">
        <f t="shared" si="1"/>
        <v>5</v>
      </c>
      <c r="I1027" s="79">
        <f>COUNTIFS(Matches!$B:$B,$A1027,Matches!$A:$A,CONCAT("&lt;",$E1027))</f>
        <v>19</v>
      </c>
      <c r="J1027" s="79">
        <f>COUNTIFS(Matches!$C:$C,$A1027,Matches!$A:$A,CONCAT("&lt;",$E1027))</f>
        <v>6</v>
      </c>
      <c r="K1027" s="79">
        <f>COUNTIFS(Entropy!D:D,A1027,Entropy!I:I,CONCAT("&lt;",E1027-1))</f>
        <v>0</v>
      </c>
      <c r="L1027" s="79">
        <f t="shared" si="2"/>
        <v>25</v>
      </c>
      <c r="M1027" s="79">
        <f t="array" ref="M1027">max(min(IF(J1027+K1027=11,0,XLOOKUP(B1027,Quotas!$A$8:$A$14,Quotas!$E$8:$E$14)-$L1027),2),0)</f>
        <v>0</v>
      </c>
      <c r="N1027" s="31">
        <f t="shared" si="3"/>
        <v>0</v>
      </c>
    </row>
    <row r="1028">
      <c r="A1028" s="31" t="s">
        <v>404</v>
      </c>
      <c r="B1028" s="9">
        <v>5.0</v>
      </c>
      <c r="C1028" s="31" t="str">
        <f>VLOOKUP(A1028, 'College List'!A:B, 2, FALSE)</f>
        <v>Witherbloom</v>
      </c>
      <c r="D1028" s="355">
        <f>VLOOKUP(B1028,Quotas!$A$8:$C$14,2,FALSE)</f>
        <v>46164.70833</v>
      </c>
      <c r="E1028" s="356">
        <f>VLOOKUP(B1028,Quotas!$A$8:$C$14,3,FALSE)</f>
        <v>46171.70833</v>
      </c>
      <c r="F1028" s="79">
        <f>COUNTIFS(Matches!$B:$B,A1028,Matches!$A:$A,CONCAT("&gt;",$D1028),Matches!$A:$A,CONCAT("&lt;",$E1028))</f>
        <v>0</v>
      </c>
      <c r="G1028" s="79">
        <f>COUNTIFS(Matches!$C:$C,$A1028,Matches!$A:$A,CONCAT("&gt;",$D1028),Matches!$A:$A,CONCAT("&lt;",$E1028))</f>
        <v>0</v>
      </c>
      <c r="H1028" s="79">
        <f t="shared" si="1"/>
        <v>0</v>
      </c>
      <c r="I1028" s="79">
        <f>COUNTIFS(Matches!$B:$B,$A1028,Matches!$A:$A,CONCAT("&lt;",$E1028))</f>
        <v>1</v>
      </c>
      <c r="J1028" s="79">
        <f>COUNTIFS(Matches!$C:$C,$A1028,Matches!$A:$A,CONCAT("&lt;",$E1028))</f>
        <v>11</v>
      </c>
      <c r="K1028" s="79">
        <f>COUNTIFS(Entropy!D:D,A1028,Entropy!I:I,CONCAT("&lt;",E1028-1))</f>
        <v>0</v>
      </c>
      <c r="L1028" s="79">
        <f t="shared" si="2"/>
        <v>12</v>
      </c>
      <c r="M1028" s="79">
        <f t="array" ref="M1028">max(min(IF(J1028+K1028=11,0,XLOOKUP(B1028,Quotas!$A$8:$A$14,Quotas!$E$8:$E$14)-$L1028),2),0)</f>
        <v>0</v>
      </c>
      <c r="N1028" s="31">
        <f t="shared" si="3"/>
        <v>0</v>
      </c>
    </row>
    <row r="1029">
      <c r="A1029" s="31" t="s">
        <v>103</v>
      </c>
      <c r="B1029" s="9">
        <v>5.0</v>
      </c>
      <c r="C1029" s="31" t="str">
        <f>VLOOKUP(A1029, 'College List'!A:B, 2, FALSE)</f>
        <v>Quandrix</v>
      </c>
      <c r="D1029" s="355">
        <f>VLOOKUP(B1029,Quotas!$A$8:$C$14,2,FALSE)</f>
        <v>46164.70833</v>
      </c>
      <c r="E1029" s="356">
        <f>VLOOKUP(B1029,Quotas!$A$8:$C$14,3,FALSE)</f>
        <v>46171.70833</v>
      </c>
      <c r="F1029" s="79">
        <f>COUNTIFS(Matches!$B:$B,A1029,Matches!$A:$A,CONCAT("&gt;",$D1029),Matches!$A:$A,CONCAT("&lt;",$E1029))</f>
        <v>0</v>
      </c>
      <c r="G1029" s="79">
        <f>COUNTIFS(Matches!$C:$C,$A1029,Matches!$A:$A,CONCAT("&gt;",$D1029),Matches!$A:$A,CONCAT("&lt;",$E1029))</f>
        <v>1</v>
      </c>
      <c r="H1029" s="79">
        <f t="shared" si="1"/>
        <v>1</v>
      </c>
      <c r="I1029" s="79">
        <f>COUNTIFS(Matches!$B:$B,$A1029,Matches!$A:$A,CONCAT("&lt;",$E1029))</f>
        <v>8</v>
      </c>
      <c r="J1029" s="79">
        <f>COUNTIFS(Matches!$C:$C,$A1029,Matches!$A:$A,CONCAT("&lt;",$E1029))</f>
        <v>11</v>
      </c>
      <c r="K1029" s="79">
        <f>COUNTIFS(Entropy!D:D,A1029,Entropy!I:I,CONCAT("&lt;",E1029-1))</f>
        <v>0</v>
      </c>
      <c r="L1029" s="79">
        <f t="shared" si="2"/>
        <v>19</v>
      </c>
      <c r="M1029" s="79">
        <f t="array" ref="M1029">max(min(IF(J1029+K1029=11,0,XLOOKUP(B1029,Quotas!$A$8:$A$14,Quotas!$E$8:$E$14)-$L1029),2),0)</f>
        <v>0</v>
      </c>
      <c r="N1029" s="31">
        <f t="shared" si="3"/>
        <v>0</v>
      </c>
    </row>
    <row r="1030">
      <c r="A1030" s="31" t="s">
        <v>141</v>
      </c>
      <c r="B1030" s="9">
        <v>5.0</v>
      </c>
      <c r="C1030" s="31" t="str">
        <f>VLOOKUP(A1030, 'College List'!A:B, 2, FALSE)</f>
        <v>Silverquill</v>
      </c>
      <c r="D1030" s="355">
        <f>VLOOKUP(B1030,Quotas!$A$8:$C$14,2,FALSE)</f>
        <v>46164.70833</v>
      </c>
      <c r="E1030" s="356">
        <f>VLOOKUP(B1030,Quotas!$A$8:$C$14,3,FALSE)</f>
        <v>46171.70833</v>
      </c>
      <c r="F1030" s="79">
        <f>COUNTIFS(Matches!$B:$B,A1030,Matches!$A:$A,CONCAT("&gt;",$D1030),Matches!$A:$A,CONCAT("&lt;",$E1030))</f>
        <v>0</v>
      </c>
      <c r="G1030" s="79">
        <f>COUNTIFS(Matches!$C:$C,$A1030,Matches!$A:$A,CONCAT("&gt;",$D1030),Matches!$A:$A,CONCAT("&lt;",$E1030))</f>
        <v>0</v>
      </c>
      <c r="H1030" s="79">
        <f t="shared" si="1"/>
        <v>0</v>
      </c>
      <c r="I1030" s="79">
        <f>COUNTIFS(Matches!$B:$B,$A1030,Matches!$A:$A,CONCAT("&lt;",$E1030))</f>
        <v>7</v>
      </c>
      <c r="J1030" s="79">
        <f>COUNTIFS(Matches!$C:$C,$A1030,Matches!$A:$A,CONCAT("&lt;",$E1030))</f>
        <v>7</v>
      </c>
      <c r="K1030" s="79">
        <f>COUNTIFS(Entropy!D:D,A1030,Entropy!I:I,CONCAT("&lt;",E1030-1))</f>
        <v>4</v>
      </c>
      <c r="L1030" s="79">
        <f t="shared" si="2"/>
        <v>18</v>
      </c>
      <c r="M1030" s="79">
        <f t="array" ref="M1030">max(min(IF(J1030+K1030=11,0,XLOOKUP(B1030,Quotas!$A$8:$A$14,Quotas!$E$8:$E$14)-$L1030),2),0)</f>
        <v>0</v>
      </c>
      <c r="N1030" s="31">
        <f t="shared" si="3"/>
        <v>0</v>
      </c>
    </row>
    <row r="1031">
      <c r="A1031" s="31" t="s">
        <v>74</v>
      </c>
      <c r="B1031" s="9">
        <v>5.0</v>
      </c>
      <c r="C1031" s="31" t="str">
        <f>VLOOKUP(A1031, 'College List'!A:B, 2, FALSE)</f>
        <v>Lorehold</v>
      </c>
      <c r="D1031" s="355">
        <f>VLOOKUP(B1031,Quotas!$A$8:$C$14,2,FALSE)</f>
        <v>46164.70833</v>
      </c>
      <c r="E1031" s="356">
        <f>VLOOKUP(B1031,Quotas!$A$8:$C$14,3,FALSE)</f>
        <v>46171.70833</v>
      </c>
      <c r="F1031" s="79">
        <f>COUNTIFS(Matches!$B:$B,A1031,Matches!$A:$A,CONCAT("&gt;",$D1031),Matches!$A:$A,CONCAT("&lt;",$E1031))</f>
        <v>0</v>
      </c>
      <c r="G1031" s="79">
        <f>COUNTIFS(Matches!$C:$C,$A1031,Matches!$A:$A,CONCAT("&gt;",$D1031),Matches!$A:$A,CONCAT("&lt;",$E1031))</f>
        <v>0</v>
      </c>
      <c r="H1031" s="79">
        <f t="shared" si="1"/>
        <v>0</v>
      </c>
      <c r="I1031" s="79">
        <f>COUNTIFS(Matches!$B:$B,$A1031,Matches!$A:$A,CONCAT("&lt;",$E1031))</f>
        <v>7</v>
      </c>
      <c r="J1031" s="79">
        <f>COUNTIFS(Matches!$C:$C,$A1031,Matches!$A:$A,CONCAT("&lt;",$E1031))</f>
        <v>11</v>
      </c>
      <c r="K1031" s="79">
        <f>COUNTIFS(Entropy!D:D,A1031,Entropy!I:I,CONCAT("&lt;",E1031-1))</f>
        <v>0</v>
      </c>
      <c r="L1031" s="79">
        <f t="shared" si="2"/>
        <v>18</v>
      </c>
      <c r="M1031" s="79">
        <f t="array" ref="M1031">max(min(IF(J1031+K1031=11,0,XLOOKUP(B1031,Quotas!$A$8:$A$14,Quotas!$E$8:$E$14)-$L1031),2),0)</f>
        <v>0</v>
      </c>
      <c r="N1031" s="31">
        <f t="shared" si="3"/>
        <v>0</v>
      </c>
    </row>
    <row r="1032">
      <c r="A1032" s="31" t="s">
        <v>59</v>
      </c>
      <c r="B1032" s="9">
        <v>5.0</v>
      </c>
      <c r="C1032" s="31" t="str">
        <f>VLOOKUP(A1032, 'College List'!A:B, 2, FALSE)</f>
        <v>Quandrix</v>
      </c>
      <c r="D1032" s="355">
        <f>VLOOKUP(B1032,Quotas!$A$8:$C$14,2,FALSE)</f>
        <v>46164.70833</v>
      </c>
      <c r="E1032" s="356">
        <f>VLOOKUP(B1032,Quotas!$A$8:$C$14,3,FALSE)</f>
        <v>46171.70833</v>
      </c>
      <c r="F1032" s="79">
        <f>COUNTIFS(Matches!$B:$B,A1032,Matches!$A:$A,CONCAT("&gt;",$D1032),Matches!$A:$A,CONCAT("&lt;",$E1032))</f>
        <v>1</v>
      </c>
      <c r="G1032" s="79">
        <f>COUNTIFS(Matches!$C:$C,$A1032,Matches!$A:$A,CONCAT("&gt;",$D1032),Matches!$A:$A,CONCAT("&lt;",$E1032))</f>
        <v>4</v>
      </c>
      <c r="H1032" s="79">
        <f t="shared" si="1"/>
        <v>5</v>
      </c>
      <c r="I1032" s="79">
        <f>COUNTIFS(Matches!$B:$B,$A1032,Matches!$A:$A,CONCAT("&lt;",$E1032))</f>
        <v>16</v>
      </c>
      <c r="J1032" s="79">
        <f>COUNTIFS(Matches!$C:$C,$A1032,Matches!$A:$A,CONCAT("&lt;",$E1032))</f>
        <v>9</v>
      </c>
      <c r="K1032" s="79">
        <f>COUNTIFS(Entropy!D:D,A1032,Entropy!I:I,CONCAT("&lt;",E1032-1))</f>
        <v>0</v>
      </c>
      <c r="L1032" s="79">
        <f t="shared" si="2"/>
        <v>25</v>
      </c>
      <c r="M1032" s="79">
        <f t="array" ref="M1032">max(min(IF(J1032+K1032=11,0,XLOOKUP(B1032,Quotas!$A$8:$A$14,Quotas!$E$8:$E$14)-$L1032),2),0)</f>
        <v>0</v>
      </c>
      <c r="N1032" s="31">
        <f t="shared" si="3"/>
        <v>0</v>
      </c>
    </row>
    <row r="1033">
      <c r="A1033" s="31" t="s">
        <v>200</v>
      </c>
      <c r="B1033" s="9">
        <v>5.0</v>
      </c>
      <c r="C1033" s="31" t="str">
        <f>VLOOKUP(A1033, 'College List'!A:B, 2, FALSE)</f>
        <v>Lorehold</v>
      </c>
      <c r="D1033" s="355">
        <f>VLOOKUP(B1033,Quotas!$A$8:$C$14,2,FALSE)</f>
        <v>46164.70833</v>
      </c>
      <c r="E1033" s="356">
        <f>VLOOKUP(B1033,Quotas!$A$8:$C$14,3,FALSE)</f>
        <v>46171.70833</v>
      </c>
      <c r="F1033" s="79">
        <f>COUNTIFS(Matches!$B:$B,A1033,Matches!$A:$A,CONCAT("&gt;",$D1033),Matches!$A:$A,CONCAT("&lt;",$E1033))</f>
        <v>4</v>
      </c>
      <c r="G1033" s="79">
        <f>COUNTIFS(Matches!$C:$C,$A1033,Matches!$A:$A,CONCAT("&gt;",$D1033),Matches!$A:$A,CONCAT("&lt;",$E1033))</f>
        <v>3</v>
      </c>
      <c r="H1033" s="79">
        <f t="shared" si="1"/>
        <v>7</v>
      </c>
      <c r="I1033" s="79">
        <f>COUNTIFS(Matches!$B:$B,$A1033,Matches!$A:$A,CONCAT("&lt;",$E1033))</f>
        <v>16</v>
      </c>
      <c r="J1033" s="79">
        <f>COUNTIFS(Matches!$C:$C,$A1033,Matches!$A:$A,CONCAT("&lt;",$E1033))</f>
        <v>9</v>
      </c>
      <c r="K1033" s="79">
        <f>COUNTIFS(Entropy!D:D,A1033,Entropy!I:I,CONCAT("&lt;",E1033-1))</f>
        <v>0</v>
      </c>
      <c r="L1033" s="79">
        <f t="shared" si="2"/>
        <v>25</v>
      </c>
      <c r="M1033" s="79">
        <f t="array" ref="M1033">max(min(IF(J1033+K1033=11,0,XLOOKUP(B1033,Quotas!$A$8:$A$14,Quotas!$E$8:$E$14)-$L1033),2),0)</f>
        <v>0</v>
      </c>
      <c r="N1033" s="31">
        <f t="shared" si="3"/>
        <v>0</v>
      </c>
    </row>
    <row r="1034">
      <c r="A1034" s="31" t="s">
        <v>182</v>
      </c>
      <c r="B1034" s="9">
        <v>5.0</v>
      </c>
      <c r="C1034" s="31" t="str">
        <f>VLOOKUP(A1034, 'College List'!A:B, 2, FALSE)</f>
        <v>Prismari</v>
      </c>
      <c r="D1034" s="355">
        <f>VLOOKUP(B1034,Quotas!$A$8:$C$14,2,FALSE)</f>
        <v>46164.70833</v>
      </c>
      <c r="E1034" s="356">
        <f>VLOOKUP(B1034,Quotas!$A$8:$C$14,3,FALSE)</f>
        <v>46171.70833</v>
      </c>
      <c r="F1034" s="79">
        <f>COUNTIFS(Matches!$B:$B,A1034,Matches!$A:$A,CONCAT("&gt;",$D1034),Matches!$A:$A,CONCAT("&lt;",$E1034))</f>
        <v>0</v>
      </c>
      <c r="G1034" s="79">
        <f>COUNTIFS(Matches!$C:$C,$A1034,Matches!$A:$A,CONCAT("&gt;",$D1034),Matches!$A:$A,CONCAT("&lt;",$E1034))</f>
        <v>0</v>
      </c>
      <c r="H1034" s="79">
        <f t="shared" si="1"/>
        <v>0</v>
      </c>
      <c r="I1034" s="79">
        <f>COUNTIFS(Matches!$B:$B,$A1034,Matches!$A:$A,CONCAT("&lt;",$E1034))</f>
        <v>6</v>
      </c>
      <c r="J1034" s="79">
        <f>COUNTIFS(Matches!$C:$C,$A1034,Matches!$A:$A,CONCAT("&lt;",$E1034))</f>
        <v>7</v>
      </c>
      <c r="K1034" s="79">
        <f>COUNTIFS(Entropy!D:D,A1034,Entropy!I:I,CONCAT("&lt;",E1034-1))</f>
        <v>4</v>
      </c>
      <c r="L1034" s="79">
        <f t="shared" si="2"/>
        <v>17</v>
      </c>
      <c r="M1034" s="79">
        <f t="array" ref="M1034">max(min(IF(J1034+K1034=11,0,XLOOKUP(B1034,Quotas!$A$8:$A$14,Quotas!$E$8:$E$14)-$L1034),2),0)</f>
        <v>0</v>
      </c>
      <c r="N1034" s="31">
        <f t="shared" si="3"/>
        <v>0</v>
      </c>
    </row>
    <row r="1035">
      <c r="A1035" s="31" t="s">
        <v>333</v>
      </c>
      <c r="B1035" s="9">
        <v>5.0</v>
      </c>
      <c r="C1035" s="31" t="str">
        <f>VLOOKUP(A1035, 'College List'!A:B, 2, FALSE)</f>
        <v>Witherbloom</v>
      </c>
      <c r="D1035" s="355">
        <f>VLOOKUP(B1035,Quotas!$A$8:$C$14,2,FALSE)</f>
        <v>46164.70833</v>
      </c>
      <c r="E1035" s="356">
        <f>VLOOKUP(B1035,Quotas!$A$8:$C$14,3,FALSE)</f>
        <v>46171.70833</v>
      </c>
      <c r="F1035" s="79">
        <f>COUNTIFS(Matches!$B:$B,A1035,Matches!$A:$A,CONCAT("&gt;",$D1035),Matches!$A:$A,CONCAT("&lt;",$E1035))</f>
        <v>4</v>
      </c>
      <c r="G1035" s="79">
        <f>COUNTIFS(Matches!$C:$C,$A1035,Matches!$A:$A,CONCAT("&gt;",$D1035),Matches!$A:$A,CONCAT("&lt;",$E1035))</f>
        <v>1</v>
      </c>
      <c r="H1035" s="79">
        <f t="shared" si="1"/>
        <v>5</v>
      </c>
      <c r="I1035" s="79">
        <f>COUNTIFS(Matches!$B:$B,$A1035,Matches!$A:$A,CONCAT("&lt;",$E1035))</f>
        <v>18</v>
      </c>
      <c r="J1035" s="79">
        <f>COUNTIFS(Matches!$C:$C,$A1035,Matches!$A:$A,CONCAT("&lt;",$E1035))</f>
        <v>7</v>
      </c>
      <c r="K1035" s="79">
        <f>COUNTIFS(Entropy!D:D,A1035,Entropy!I:I,CONCAT("&lt;",E1035-1))</f>
        <v>0</v>
      </c>
      <c r="L1035" s="79">
        <f t="shared" si="2"/>
        <v>25</v>
      </c>
      <c r="M1035" s="79">
        <f t="array" ref="M1035">max(min(IF(J1035+K1035=11,0,XLOOKUP(B1035,Quotas!$A$8:$A$14,Quotas!$E$8:$E$14)-$L1035),2),0)</f>
        <v>0</v>
      </c>
      <c r="N1035" s="31">
        <f t="shared" si="3"/>
        <v>0</v>
      </c>
    </row>
    <row r="1036">
      <c r="A1036" s="31" t="s">
        <v>114</v>
      </c>
      <c r="B1036" s="9">
        <v>5.0</v>
      </c>
      <c r="C1036" s="31" t="str">
        <f>VLOOKUP(A1036, 'College List'!A:B, 2, FALSE)</f>
        <v>Lorehold</v>
      </c>
      <c r="D1036" s="355">
        <f>VLOOKUP(B1036,Quotas!$A$8:$C$14,2,FALSE)</f>
        <v>46164.70833</v>
      </c>
      <c r="E1036" s="356">
        <f>VLOOKUP(B1036,Quotas!$A$8:$C$14,3,FALSE)</f>
        <v>46171.70833</v>
      </c>
      <c r="F1036" s="79">
        <f>COUNTIFS(Matches!$B:$B,A1036,Matches!$A:$A,CONCAT("&gt;",$D1036),Matches!$A:$A,CONCAT("&lt;",$E1036))</f>
        <v>0</v>
      </c>
      <c r="G1036" s="79">
        <f>COUNTIFS(Matches!$C:$C,$A1036,Matches!$A:$A,CONCAT("&gt;",$D1036),Matches!$A:$A,CONCAT("&lt;",$E1036))</f>
        <v>1</v>
      </c>
      <c r="H1036" s="79">
        <f t="shared" si="1"/>
        <v>1</v>
      </c>
      <c r="I1036" s="79">
        <f>COUNTIFS(Matches!$B:$B,$A1036,Matches!$A:$A,CONCAT("&lt;",$E1036))</f>
        <v>10</v>
      </c>
      <c r="J1036" s="79">
        <f>COUNTIFS(Matches!$C:$C,$A1036,Matches!$A:$A,CONCAT("&lt;",$E1036))</f>
        <v>11</v>
      </c>
      <c r="K1036" s="79">
        <f>COUNTIFS(Entropy!D:D,A1036,Entropy!I:I,CONCAT("&lt;",E1036-1))</f>
        <v>0</v>
      </c>
      <c r="L1036" s="79">
        <f t="shared" si="2"/>
        <v>21</v>
      </c>
      <c r="M1036" s="79">
        <f t="array" ref="M1036">max(min(IF(J1036+K1036=11,0,XLOOKUP(B1036,Quotas!$A$8:$A$14,Quotas!$E$8:$E$14)-$L1036),2),0)</f>
        <v>0</v>
      </c>
      <c r="N1036" s="31">
        <f t="shared" si="3"/>
        <v>0</v>
      </c>
    </row>
    <row r="1037">
      <c r="A1037" s="31" t="s">
        <v>120</v>
      </c>
      <c r="B1037" s="9">
        <v>5.0</v>
      </c>
      <c r="C1037" s="31" t="str">
        <f>VLOOKUP(A1037, 'College List'!A:B, 2, FALSE)</f>
        <v>Prismari</v>
      </c>
      <c r="D1037" s="355">
        <f>VLOOKUP(B1037,Quotas!$A$8:$C$14,2,FALSE)</f>
        <v>46164.70833</v>
      </c>
      <c r="E1037" s="356">
        <f>VLOOKUP(B1037,Quotas!$A$8:$C$14,3,FALSE)</f>
        <v>46171.70833</v>
      </c>
      <c r="F1037" s="79">
        <f>COUNTIFS(Matches!$B:$B,A1037,Matches!$A:$A,CONCAT("&gt;",$D1037),Matches!$A:$A,CONCAT("&lt;",$E1037))</f>
        <v>0</v>
      </c>
      <c r="G1037" s="79">
        <f>COUNTIFS(Matches!$C:$C,$A1037,Matches!$A:$A,CONCAT("&gt;",$D1037),Matches!$A:$A,CONCAT("&lt;",$E1037))</f>
        <v>1</v>
      </c>
      <c r="H1037" s="79">
        <f t="shared" si="1"/>
        <v>1</v>
      </c>
      <c r="I1037" s="79">
        <f>COUNTIFS(Matches!$B:$B,$A1037,Matches!$A:$A,CONCAT("&lt;",$E1037))</f>
        <v>10</v>
      </c>
      <c r="J1037" s="79">
        <f>COUNTIFS(Matches!$C:$C,$A1037,Matches!$A:$A,CONCAT("&lt;",$E1037))</f>
        <v>11</v>
      </c>
      <c r="K1037" s="79">
        <f>COUNTIFS(Entropy!D:D,A1037,Entropy!I:I,CONCAT("&lt;",E1037-1))</f>
        <v>0</v>
      </c>
      <c r="L1037" s="79">
        <f t="shared" si="2"/>
        <v>21</v>
      </c>
      <c r="M1037" s="79">
        <f t="array" ref="M1037">max(min(IF(J1037+K1037=11,0,XLOOKUP(B1037,Quotas!$A$8:$A$14,Quotas!$E$8:$E$14)-$L1037),2),0)</f>
        <v>0</v>
      </c>
      <c r="N1037" s="31">
        <f t="shared" si="3"/>
        <v>0</v>
      </c>
    </row>
    <row r="1038">
      <c r="A1038" s="31" t="s">
        <v>133</v>
      </c>
      <c r="B1038" s="9">
        <v>5.0</v>
      </c>
      <c r="C1038" s="31" t="str">
        <f>VLOOKUP(A1038, 'College List'!A:B, 2, FALSE)</f>
        <v>Prismari</v>
      </c>
      <c r="D1038" s="355">
        <f>VLOOKUP(B1038,Quotas!$A$8:$C$14,2,FALSE)</f>
        <v>46164.70833</v>
      </c>
      <c r="E1038" s="356">
        <f>VLOOKUP(B1038,Quotas!$A$8:$C$14,3,FALSE)</f>
        <v>46171.70833</v>
      </c>
      <c r="F1038" s="79">
        <f>COUNTIFS(Matches!$B:$B,A1038,Matches!$A:$A,CONCAT("&gt;",$D1038),Matches!$A:$A,CONCAT("&lt;",$E1038))</f>
        <v>0</v>
      </c>
      <c r="G1038" s="79">
        <f>COUNTIFS(Matches!$C:$C,$A1038,Matches!$A:$A,CONCAT("&gt;",$D1038),Matches!$A:$A,CONCAT("&lt;",$E1038))</f>
        <v>0</v>
      </c>
      <c r="H1038" s="79">
        <f t="shared" si="1"/>
        <v>0</v>
      </c>
      <c r="I1038" s="79">
        <f>COUNTIFS(Matches!$B:$B,$A1038,Matches!$A:$A,CONCAT("&lt;",$E1038))</f>
        <v>4</v>
      </c>
      <c r="J1038" s="79">
        <f>COUNTIFS(Matches!$C:$C,$A1038,Matches!$A:$A,CONCAT("&lt;",$E1038))</f>
        <v>11</v>
      </c>
      <c r="K1038" s="79">
        <f>COUNTIFS(Entropy!D:D,A1038,Entropy!I:I,CONCAT("&lt;",E1038-1))</f>
        <v>0</v>
      </c>
      <c r="L1038" s="79">
        <f t="shared" si="2"/>
        <v>15</v>
      </c>
      <c r="M1038" s="79">
        <f t="array" ref="M1038">max(min(IF(J1038+K1038=11,0,XLOOKUP(B1038,Quotas!$A$8:$A$14,Quotas!$E$8:$E$14)-$L1038),2),0)</f>
        <v>0</v>
      </c>
      <c r="N1038" s="31">
        <f t="shared" si="3"/>
        <v>0</v>
      </c>
    </row>
    <row r="1039">
      <c r="A1039" s="31" t="s">
        <v>414</v>
      </c>
      <c r="B1039" s="9">
        <v>5.0</v>
      </c>
      <c r="C1039" s="31" t="str">
        <f>VLOOKUP(A1039, 'College List'!A:B, 2, FALSE)</f>
        <v>Prismari</v>
      </c>
      <c r="D1039" s="355">
        <f>VLOOKUP(B1039,Quotas!$A$8:$C$14,2,FALSE)</f>
        <v>46164.70833</v>
      </c>
      <c r="E1039" s="356">
        <f>VLOOKUP(B1039,Quotas!$A$8:$C$14,3,FALSE)</f>
        <v>46171.70833</v>
      </c>
      <c r="F1039" s="79">
        <f>COUNTIFS(Matches!$B:$B,A1039,Matches!$A:$A,CONCAT("&gt;",$D1039),Matches!$A:$A,CONCAT("&lt;",$E1039))</f>
        <v>1</v>
      </c>
      <c r="G1039" s="79">
        <f>COUNTIFS(Matches!$C:$C,$A1039,Matches!$A:$A,CONCAT("&gt;",$D1039),Matches!$A:$A,CONCAT("&lt;",$E1039))</f>
        <v>2</v>
      </c>
      <c r="H1039" s="79">
        <f t="shared" si="1"/>
        <v>3</v>
      </c>
      <c r="I1039" s="79">
        <f>COUNTIFS(Matches!$B:$B,$A1039,Matches!$A:$A,CONCAT("&lt;",$E1039))</f>
        <v>11</v>
      </c>
      <c r="J1039" s="79">
        <f>COUNTIFS(Matches!$C:$C,$A1039,Matches!$A:$A,CONCAT("&lt;",$E1039))</f>
        <v>10</v>
      </c>
      <c r="K1039" s="79">
        <f>COUNTIFS(Entropy!D:D,A1039,Entropy!I:I,CONCAT("&lt;",E1039-1))</f>
        <v>0</v>
      </c>
      <c r="L1039" s="79">
        <f t="shared" si="2"/>
        <v>21</v>
      </c>
      <c r="M1039" s="79">
        <f t="array" ref="M1039">max(min(IF(J1039+K1039=11,0,XLOOKUP(B1039,Quotas!$A$8:$A$14,Quotas!$E$8:$E$14)-$L1039),2),0)</f>
        <v>2</v>
      </c>
      <c r="N1039" s="31">
        <f t="shared" si="3"/>
        <v>1</v>
      </c>
    </row>
    <row r="1040">
      <c r="A1040" s="31" t="s">
        <v>107</v>
      </c>
      <c r="B1040" s="9">
        <v>5.0</v>
      </c>
      <c r="C1040" s="31" t="str">
        <f>VLOOKUP(A1040, 'College List'!A:B, 2, FALSE)</f>
        <v>Quandrix</v>
      </c>
      <c r="D1040" s="355">
        <f>VLOOKUP(B1040,Quotas!$A$8:$C$14,2,FALSE)</f>
        <v>46164.70833</v>
      </c>
      <c r="E1040" s="356">
        <f>VLOOKUP(B1040,Quotas!$A$8:$C$14,3,FALSE)</f>
        <v>46171.70833</v>
      </c>
      <c r="F1040" s="79">
        <f>COUNTIFS(Matches!$B:$B,A1040,Matches!$A:$A,CONCAT("&gt;",$D1040),Matches!$A:$A,CONCAT("&lt;",$E1040))</f>
        <v>0</v>
      </c>
      <c r="G1040" s="79">
        <f>COUNTIFS(Matches!$C:$C,$A1040,Matches!$A:$A,CONCAT("&gt;",$D1040),Matches!$A:$A,CONCAT("&lt;",$E1040))</f>
        <v>1</v>
      </c>
      <c r="H1040" s="79">
        <f t="shared" si="1"/>
        <v>1</v>
      </c>
      <c r="I1040" s="79">
        <f>COUNTIFS(Matches!$B:$B,$A1040,Matches!$A:$A,CONCAT("&lt;",$E1040))</f>
        <v>10</v>
      </c>
      <c r="J1040" s="79">
        <f>COUNTIFS(Matches!$C:$C,$A1040,Matches!$A:$A,CONCAT("&lt;",$E1040))</f>
        <v>11</v>
      </c>
      <c r="K1040" s="79">
        <f>COUNTIFS(Entropy!D:D,A1040,Entropy!I:I,CONCAT("&lt;",E1040-1))</f>
        <v>0</v>
      </c>
      <c r="L1040" s="79">
        <f t="shared" si="2"/>
        <v>21</v>
      </c>
      <c r="M1040" s="79">
        <f t="array" ref="M1040">max(min(IF(J1040+K1040=11,0,XLOOKUP(B1040,Quotas!$A$8:$A$14,Quotas!$E$8:$E$14)-$L1040),2),0)</f>
        <v>0</v>
      </c>
      <c r="N1040" s="31">
        <f t="shared" si="3"/>
        <v>0</v>
      </c>
    </row>
    <row r="1041">
      <c r="A1041" s="31" t="s">
        <v>235</v>
      </c>
      <c r="B1041" s="9">
        <v>5.0</v>
      </c>
      <c r="C1041" s="31" t="str">
        <f>VLOOKUP(A1041, 'College List'!A:B, 2, FALSE)</f>
        <v>Quandrix</v>
      </c>
      <c r="D1041" s="355">
        <f>VLOOKUP(B1041,Quotas!$A$8:$C$14,2,FALSE)</f>
        <v>46164.70833</v>
      </c>
      <c r="E1041" s="356">
        <f>VLOOKUP(B1041,Quotas!$A$8:$C$14,3,FALSE)</f>
        <v>46171.70833</v>
      </c>
      <c r="F1041" s="79">
        <f>COUNTIFS(Matches!$B:$B,A1041,Matches!$A:$A,CONCAT("&gt;",$D1041),Matches!$A:$A,CONCAT("&lt;",$E1041))</f>
        <v>0</v>
      </c>
      <c r="G1041" s="79">
        <f>COUNTIFS(Matches!$C:$C,$A1041,Matches!$A:$A,CONCAT("&gt;",$D1041),Matches!$A:$A,CONCAT("&lt;",$E1041))</f>
        <v>0</v>
      </c>
      <c r="H1041" s="79">
        <f t="shared" si="1"/>
        <v>0</v>
      </c>
      <c r="I1041" s="79">
        <f>COUNTIFS(Matches!$B:$B,$A1041,Matches!$A:$A,CONCAT("&lt;",$E1041))</f>
        <v>3</v>
      </c>
      <c r="J1041" s="79">
        <f>COUNTIFS(Matches!$C:$C,$A1041,Matches!$A:$A,CONCAT("&lt;",$E1041))</f>
        <v>11</v>
      </c>
      <c r="K1041" s="79">
        <f>COUNTIFS(Entropy!D:D,A1041,Entropy!I:I,CONCAT("&lt;",E1041-1))</f>
        <v>0</v>
      </c>
      <c r="L1041" s="79">
        <f t="shared" si="2"/>
        <v>14</v>
      </c>
      <c r="M1041" s="79">
        <f t="array" ref="M1041">max(min(IF(J1041+K1041=11,0,XLOOKUP(B1041,Quotas!$A$8:$A$14,Quotas!$E$8:$E$14)-$L1041),2),0)</f>
        <v>0</v>
      </c>
      <c r="N1041" s="31">
        <f t="shared" si="3"/>
        <v>0</v>
      </c>
    </row>
    <row r="1042">
      <c r="A1042" s="31" t="s">
        <v>243</v>
      </c>
      <c r="B1042" s="9">
        <v>5.0</v>
      </c>
      <c r="C1042" s="31" t="str">
        <f>VLOOKUP(A1042, 'College List'!A:B, 2, FALSE)</f>
        <v>Witherbloom</v>
      </c>
      <c r="D1042" s="355">
        <f>VLOOKUP(B1042,Quotas!$A$8:$C$14,2,FALSE)</f>
        <v>46164.70833</v>
      </c>
      <c r="E1042" s="356">
        <f>VLOOKUP(B1042,Quotas!$A$8:$C$14,3,FALSE)</f>
        <v>46171.70833</v>
      </c>
      <c r="F1042" s="79">
        <f>COUNTIFS(Matches!$B:$B,A1042,Matches!$A:$A,CONCAT("&gt;",$D1042),Matches!$A:$A,CONCAT("&lt;",$E1042))</f>
        <v>0</v>
      </c>
      <c r="G1042" s="79">
        <f>COUNTIFS(Matches!$C:$C,$A1042,Matches!$A:$A,CONCAT("&gt;",$D1042),Matches!$A:$A,CONCAT("&lt;",$E1042))</f>
        <v>0</v>
      </c>
      <c r="H1042" s="79">
        <f t="shared" si="1"/>
        <v>0</v>
      </c>
      <c r="I1042" s="79">
        <f>COUNTIFS(Matches!$B:$B,$A1042,Matches!$A:$A,CONCAT("&lt;",$E1042))</f>
        <v>4</v>
      </c>
      <c r="J1042" s="79">
        <f>COUNTIFS(Matches!$C:$C,$A1042,Matches!$A:$A,CONCAT("&lt;",$E1042))</f>
        <v>11</v>
      </c>
      <c r="K1042" s="79">
        <f>COUNTIFS(Entropy!D:D,A1042,Entropy!I:I,CONCAT("&lt;",E1042-1))</f>
        <v>0</v>
      </c>
      <c r="L1042" s="79">
        <f t="shared" si="2"/>
        <v>15</v>
      </c>
      <c r="M1042" s="79">
        <f t="array" ref="M1042">max(min(IF(J1042+K1042=11,0,XLOOKUP(B1042,Quotas!$A$8:$A$14,Quotas!$E$8:$E$14)-$L1042),2),0)</f>
        <v>0</v>
      </c>
      <c r="N1042" s="31">
        <f t="shared" si="3"/>
        <v>0</v>
      </c>
    </row>
    <row r="1043">
      <c r="A1043" s="31" t="s">
        <v>60</v>
      </c>
      <c r="B1043" s="9">
        <v>5.0</v>
      </c>
      <c r="C1043" s="31" t="str">
        <f>VLOOKUP(A1043, 'College List'!A:B, 2, FALSE)</f>
        <v>Silverquill</v>
      </c>
      <c r="D1043" s="355">
        <f>VLOOKUP(B1043,Quotas!$A$8:$C$14,2,FALSE)</f>
        <v>46164.70833</v>
      </c>
      <c r="E1043" s="356">
        <f>VLOOKUP(B1043,Quotas!$A$8:$C$14,3,FALSE)</f>
        <v>46171.70833</v>
      </c>
      <c r="F1043" s="79">
        <f>COUNTIFS(Matches!$B:$B,A1043,Matches!$A:$A,CONCAT("&gt;",$D1043),Matches!$A:$A,CONCAT("&lt;",$E1043))</f>
        <v>0</v>
      </c>
      <c r="G1043" s="79">
        <f>COUNTIFS(Matches!$C:$C,$A1043,Matches!$A:$A,CONCAT("&gt;",$D1043),Matches!$A:$A,CONCAT("&lt;",$E1043))</f>
        <v>0</v>
      </c>
      <c r="H1043" s="79">
        <f t="shared" si="1"/>
        <v>0</v>
      </c>
      <c r="I1043" s="79">
        <f>COUNTIFS(Matches!$B:$B,$A1043,Matches!$A:$A,CONCAT("&lt;",$E1043))</f>
        <v>9</v>
      </c>
      <c r="J1043" s="79">
        <f>COUNTIFS(Matches!$C:$C,$A1043,Matches!$A:$A,CONCAT("&lt;",$E1043))</f>
        <v>11</v>
      </c>
      <c r="K1043" s="79">
        <f>COUNTIFS(Entropy!D:D,A1043,Entropy!I:I,CONCAT("&lt;",E1043-1))</f>
        <v>0</v>
      </c>
      <c r="L1043" s="79">
        <f t="shared" si="2"/>
        <v>20</v>
      </c>
      <c r="M1043" s="79">
        <f t="array" ref="M1043">max(min(IF(J1043+K1043=11,0,XLOOKUP(B1043,Quotas!$A$8:$A$14,Quotas!$E$8:$E$14)-$L1043),2),0)</f>
        <v>0</v>
      </c>
      <c r="N1043" s="31">
        <f t="shared" si="3"/>
        <v>0</v>
      </c>
    </row>
    <row r="1044">
      <c r="A1044" s="31" t="s">
        <v>402</v>
      </c>
      <c r="B1044" s="9">
        <v>5.0</v>
      </c>
      <c r="C1044" s="31" t="str">
        <f>VLOOKUP(A1044, 'College List'!A:B, 2, FALSE)</f>
        <v>Witherbloom</v>
      </c>
      <c r="D1044" s="355">
        <f>VLOOKUP(B1044,Quotas!$A$8:$C$14,2,FALSE)</f>
        <v>46164.70833</v>
      </c>
      <c r="E1044" s="356">
        <f>VLOOKUP(B1044,Quotas!$A$8:$C$14,3,FALSE)</f>
        <v>46171.70833</v>
      </c>
      <c r="F1044" s="79">
        <f>COUNTIFS(Matches!$B:$B,A1044,Matches!$A:$A,CONCAT("&gt;",$D1044),Matches!$A:$A,CONCAT("&lt;",$E1044))</f>
        <v>0</v>
      </c>
      <c r="G1044" s="79">
        <f>COUNTIFS(Matches!$C:$C,$A1044,Matches!$A:$A,CONCAT("&gt;",$D1044),Matches!$A:$A,CONCAT("&lt;",$E1044))</f>
        <v>0</v>
      </c>
      <c r="H1044" s="79">
        <f t="shared" si="1"/>
        <v>0</v>
      </c>
      <c r="I1044" s="79">
        <f>COUNTIFS(Matches!$B:$B,$A1044,Matches!$A:$A,CONCAT("&lt;",$E1044))</f>
        <v>4</v>
      </c>
      <c r="J1044" s="79">
        <f>COUNTIFS(Matches!$C:$C,$A1044,Matches!$A:$A,CONCAT("&lt;",$E1044))</f>
        <v>9</v>
      </c>
      <c r="K1044" s="79">
        <f>COUNTIFS(Entropy!D:D,A1044,Entropy!I:I,CONCAT("&lt;",E1044-1))</f>
        <v>2</v>
      </c>
      <c r="L1044" s="79">
        <f t="shared" si="2"/>
        <v>15</v>
      </c>
      <c r="M1044" s="79">
        <f t="array" ref="M1044">max(min(IF(J1044+K1044=11,0,XLOOKUP(B1044,Quotas!$A$8:$A$14,Quotas!$E$8:$E$14)-$L1044),2),0)</f>
        <v>0</v>
      </c>
      <c r="N1044" s="31">
        <f t="shared" si="3"/>
        <v>0</v>
      </c>
    </row>
    <row r="1045">
      <c r="A1045" s="31" t="s">
        <v>267</v>
      </c>
      <c r="B1045" s="9">
        <v>5.0</v>
      </c>
      <c r="C1045" s="31" t="str">
        <f>VLOOKUP(A1045, 'College List'!A:B, 2, FALSE)</f>
        <v>Witherbloom</v>
      </c>
      <c r="D1045" s="355">
        <f>VLOOKUP(B1045,Quotas!$A$8:$C$14,2,FALSE)</f>
        <v>46164.70833</v>
      </c>
      <c r="E1045" s="356">
        <f>VLOOKUP(B1045,Quotas!$A$8:$C$14,3,FALSE)</f>
        <v>46171.70833</v>
      </c>
      <c r="F1045" s="79">
        <f>COUNTIFS(Matches!$B:$B,A1045,Matches!$A:$A,CONCAT("&gt;",$D1045),Matches!$A:$A,CONCAT("&lt;",$E1045))</f>
        <v>0</v>
      </c>
      <c r="G1045" s="79">
        <f>COUNTIFS(Matches!$C:$C,$A1045,Matches!$A:$A,CONCAT("&gt;",$D1045),Matches!$A:$A,CONCAT("&lt;",$E1045))</f>
        <v>1</v>
      </c>
      <c r="H1045" s="79">
        <f t="shared" si="1"/>
        <v>1</v>
      </c>
      <c r="I1045" s="79">
        <f>COUNTIFS(Matches!$B:$B,$A1045,Matches!$A:$A,CONCAT("&lt;",$E1045))</f>
        <v>10</v>
      </c>
      <c r="J1045" s="79">
        <f>COUNTIFS(Matches!$C:$C,$A1045,Matches!$A:$A,CONCAT("&lt;",$E1045))</f>
        <v>11</v>
      </c>
      <c r="K1045" s="79">
        <f>COUNTIFS(Entropy!D:D,A1045,Entropy!I:I,CONCAT("&lt;",E1045-1))</f>
        <v>0</v>
      </c>
      <c r="L1045" s="79">
        <f t="shared" si="2"/>
        <v>21</v>
      </c>
      <c r="M1045" s="79">
        <f t="array" ref="M1045">max(min(IF(J1045+K1045=11,0,XLOOKUP(B1045,Quotas!$A$8:$A$14,Quotas!$E$8:$E$14)-$L1045),2),0)</f>
        <v>0</v>
      </c>
      <c r="N1045" s="31">
        <f t="shared" si="3"/>
        <v>0</v>
      </c>
    </row>
    <row r="1046">
      <c r="A1046" s="31" t="s">
        <v>335</v>
      </c>
      <c r="B1046" s="9">
        <v>5.0</v>
      </c>
      <c r="C1046" s="31" t="str">
        <f>VLOOKUP(A1046, 'College List'!A:B, 2, FALSE)</f>
        <v>Silverquill</v>
      </c>
      <c r="D1046" s="355">
        <f>VLOOKUP(B1046,Quotas!$A$8:$C$14,2,FALSE)</f>
        <v>46164.70833</v>
      </c>
      <c r="E1046" s="356">
        <f>VLOOKUP(B1046,Quotas!$A$8:$C$14,3,FALSE)</f>
        <v>46171.70833</v>
      </c>
      <c r="F1046" s="79">
        <f>COUNTIFS(Matches!$B:$B,A1046,Matches!$A:$A,CONCAT("&gt;",$D1046),Matches!$A:$A,CONCAT("&lt;",$E1046))</f>
        <v>0</v>
      </c>
      <c r="G1046" s="79">
        <f>COUNTIFS(Matches!$C:$C,$A1046,Matches!$A:$A,CONCAT("&gt;",$D1046),Matches!$A:$A,CONCAT("&lt;",$E1046))</f>
        <v>0</v>
      </c>
      <c r="H1046" s="79">
        <f t="shared" si="1"/>
        <v>0</v>
      </c>
      <c r="I1046" s="79">
        <f>COUNTIFS(Matches!$B:$B,$A1046,Matches!$A:$A,CONCAT("&lt;",$E1046))</f>
        <v>5</v>
      </c>
      <c r="J1046" s="79">
        <f>COUNTIFS(Matches!$C:$C,$A1046,Matches!$A:$A,CONCAT("&lt;",$E1046))</f>
        <v>11</v>
      </c>
      <c r="K1046" s="79">
        <f>COUNTIFS(Entropy!D:D,A1046,Entropy!I:I,CONCAT("&lt;",E1046-1))</f>
        <v>0</v>
      </c>
      <c r="L1046" s="79">
        <f t="shared" si="2"/>
        <v>16</v>
      </c>
      <c r="M1046" s="79">
        <f t="array" ref="M1046">max(min(IF(J1046+K1046=11,0,XLOOKUP(B1046,Quotas!$A$8:$A$14,Quotas!$E$8:$E$14)-$L1046),2),0)</f>
        <v>0</v>
      </c>
      <c r="N1046" s="31">
        <f t="shared" si="3"/>
        <v>0</v>
      </c>
    </row>
    <row r="1047">
      <c r="A1047" s="31" t="s">
        <v>181</v>
      </c>
      <c r="B1047" s="9">
        <v>5.0</v>
      </c>
      <c r="C1047" s="31" t="str">
        <f>VLOOKUP(A1047, 'College List'!A:B, 2, FALSE)</f>
        <v>Quandrix</v>
      </c>
      <c r="D1047" s="355">
        <f>VLOOKUP(B1047,Quotas!$A$8:$C$14,2,FALSE)</f>
        <v>46164.70833</v>
      </c>
      <c r="E1047" s="356">
        <f>VLOOKUP(B1047,Quotas!$A$8:$C$14,3,FALSE)</f>
        <v>46171.70833</v>
      </c>
      <c r="F1047" s="79">
        <f>COUNTIFS(Matches!$B:$B,A1047,Matches!$A:$A,CONCAT("&gt;",$D1047),Matches!$A:$A,CONCAT("&lt;",$E1047))</f>
        <v>0</v>
      </c>
      <c r="G1047" s="79">
        <f>COUNTIFS(Matches!$C:$C,$A1047,Matches!$A:$A,CONCAT("&gt;",$D1047),Matches!$A:$A,CONCAT("&lt;",$E1047))</f>
        <v>0</v>
      </c>
      <c r="H1047" s="79">
        <f t="shared" si="1"/>
        <v>0</v>
      </c>
      <c r="I1047" s="79">
        <f>COUNTIFS(Matches!$B:$B,$A1047,Matches!$A:$A,CONCAT("&lt;",$E1047))</f>
        <v>2</v>
      </c>
      <c r="J1047" s="79">
        <f>COUNTIFS(Matches!$C:$C,$A1047,Matches!$A:$A,CONCAT("&lt;",$E1047))</f>
        <v>11</v>
      </c>
      <c r="K1047" s="79">
        <f>COUNTIFS(Entropy!D:D,A1047,Entropy!I:I,CONCAT("&lt;",E1047-1))</f>
        <v>0</v>
      </c>
      <c r="L1047" s="79">
        <f t="shared" si="2"/>
        <v>13</v>
      </c>
      <c r="M1047" s="79">
        <f t="array" ref="M1047">max(min(IF(J1047+K1047=11,0,XLOOKUP(B1047,Quotas!$A$8:$A$14,Quotas!$E$8:$E$14)-$L1047),2),0)</f>
        <v>0</v>
      </c>
      <c r="N1047" s="31">
        <f t="shared" si="3"/>
        <v>0</v>
      </c>
    </row>
    <row r="1048">
      <c r="A1048" s="31" t="s">
        <v>385</v>
      </c>
      <c r="B1048" s="9">
        <v>5.0</v>
      </c>
      <c r="C1048" s="31" t="str">
        <f>VLOOKUP(A1048, 'College List'!A:B, 2, FALSE)</f>
        <v>Witherbloom</v>
      </c>
      <c r="D1048" s="355">
        <f>VLOOKUP(B1048,Quotas!$A$8:$C$14,2,FALSE)</f>
        <v>46164.70833</v>
      </c>
      <c r="E1048" s="356">
        <f>VLOOKUP(B1048,Quotas!$A$8:$C$14,3,FALSE)</f>
        <v>46171.70833</v>
      </c>
      <c r="F1048" s="79">
        <f>COUNTIFS(Matches!$B:$B,A1048,Matches!$A:$A,CONCAT("&gt;",$D1048),Matches!$A:$A,CONCAT("&lt;",$E1048))</f>
        <v>0</v>
      </c>
      <c r="G1048" s="79">
        <f>COUNTIFS(Matches!$C:$C,$A1048,Matches!$A:$A,CONCAT("&gt;",$D1048),Matches!$A:$A,CONCAT("&lt;",$E1048))</f>
        <v>2</v>
      </c>
      <c r="H1048" s="79">
        <f t="shared" si="1"/>
        <v>2</v>
      </c>
      <c r="I1048" s="79">
        <f>COUNTIFS(Matches!$B:$B,$A1048,Matches!$A:$A,CONCAT("&lt;",$E1048))</f>
        <v>10</v>
      </c>
      <c r="J1048" s="79">
        <f>COUNTIFS(Matches!$C:$C,$A1048,Matches!$A:$A,CONCAT("&lt;",$E1048))</f>
        <v>11</v>
      </c>
      <c r="K1048" s="79">
        <f>COUNTIFS(Entropy!D:D,A1048,Entropy!I:I,CONCAT("&lt;",E1048-1))</f>
        <v>0</v>
      </c>
      <c r="L1048" s="79">
        <f t="shared" si="2"/>
        <v>21</v>
      </c>
      <c r="M1048" s="79">
        <f t="array" ref="M1048">max(min(IF(J1048+K1048=11,0,XLOOKUP(B1048,Quotas!$A$8:$A$14,Quotas!$E$8:$E$14)-$L1048),2),0)</f>
        <v>0</v>
      </c>
      <c r="N1048" s="31">
        <f t="shared" si="3"/>
        <v>0</v>
      </c>
    </row>
    <row r="1049">
      <c r="A1049" s="31" t="s">
        <v>192</v>
      </c>
      <c r="B1049" s="9">
        <v>5.0</v>
      </c>
      <c r="C1049" s="31" t="str">
        <f>VLOOKUP(A1049, 'College List'!A:B, 2, FALSE)</f>
        <v>Witherbloom</v>
      </c>
      <c r="D1049" s="355">
        <f>VLOOKUP(B1049,Quotas!$A$8:$C$14,2,FALSE)</f>
        <v>46164.70833</v>
      </c>
      <c r="E1049" s="356">
        <f>VLOOKUP(B1049,Quotas!$A$8:$C$14,3,FALSE)</f>
        <v>46171.70833</v>
      </c>
      <c r="F1049" s="79">
        <f>COUNTIFS(Matches!$B:$B,A1049,Matches!$A:$A,CONCAT("&gt;",$D1049),Matches!$A:$A,CONCAT("&lt;",$E1049))</f>
        <v>2</v>
      </c>
      <c r="G1049" s="79">
        <f>COUNTIFS(Matches!$C:$C,$A1049,Matches!$A:$A,CONCAT("&gt;",$D1049),Matches!$A:$A,CONCAT("&lt;",$E1049))</f>
        <v>3</v>
      </c>
      <c r="H1049" s="79">
        <f t="shared" si="1"/>
        <v>5</v>
      </c>
      <c r="I1049" s="79">
        <f>COUNTIFS(Matches!$B:$B,$A1049,Matches!$A:$A,CONCAT("&lt;",$E1049))</f>
        <v>16</v>
      </c>
      <c r="J1049" s="79">
        <f>COUNTIFS(Matches!$C:$C,$A1049,Matches!$A:$A,CONCAT("&lt;",$E1049))</f>
        <v>9</v>
      </c>
      <c r="K1049" s="79">
        <f>COUNTIFS(Entropy!D:D,A1049,Entropy!I:I,CONCAT("&lt;",E1049-1))</f>
        <v>0</v>
      </c>
      <c r="L1049" s="79">
        <f t="shared" si="2"/>
        <v>25</v>
      </c>
      <c r="M1049" s="79">
        <f t="array" ref="M1049">max(min(IF(J1049+K1049=11,0,XLOOKUP(B1049,Quotas!$A$8:$A$14,Quotas!$E$8:$E$14)-$L1049),2),0)</f>
        <v>0</v>
      </c>
      <c r="N1049" s="31">
        <f t="shared" si="3"/>
        <v>0</v>
      </c>
    </row>
    <row r="1050">
      <c r="A1050" s="31" t="s">
        <v>142</v>
      </c>
      <c r="B1050" s="9">
        <v>5.0</v>
      </c>
      <c r="C1050" s="31" t="str">
        <f>VLOOKUP(A1050, 'College List'!A:B, 2, FALSE)</f>
        <v>Lorehold</v>
      </c>
      <c r="D1050" s="355">
        <f>VLOOKUP(B1050,Quotas!$A$8:$C$14,2,FALSE)</f>
        <v>46164.70833</v>
      </c>
      <c r="E1050" s="356">
        <f>VLOOKUP(B1050,Quotas!$A$8:$C$14,3,FALSE)</f>
        <v>46171.70833</v>
      </c>
      <c r="F1050" s="79">
        <f>COUNTIFS(Matches!$B:$B,A1050,Matches!$A:$A,CONCAT("&gt;",$D1050),Matches!$A:$A,CONCAT("&lt;",$E1050))</f>
        <v>2</v>
      </c>
      <c r="G1050" s="79">
        <f>COUNTIFS(Matches!$C:$C,$A1050,Matches!$A:$A,CONCAT("&gt;",$D1050),Matches!$A:$A,CONCAT("&lt;",$E1050))</f>
        <v>1</v>
      </c>
      <c r="H1050" s="79">
        <f t="shared" si="1"/>
        <v>3</v>
      </c>
      <c r="I1050" s="79">
        <f>COUNTIFS(Matches!$B:$B,$A1050,Matches!$A:$A,CONCAT("&lt;",$E1050))</f>
        <v>12</v>
      </c>
      <c r="J1050" s="79">
        <f>COUNTIFS(Matches!$C:$C,$A1050,Matches!$A:$A,CONCAT("&lt;",$E1050))</f>
        <v>11</v>
      </c>
      <c r="K1050" s="79">
        <f>COUNTIFS(Entropy!D:D,A1050,Entropy!I:I,CONCAT("&lt;",E1050-1))</f>
        <v>0</v>
      </c>
      <c r="L1050" s="79">
        <f t="shared" si="2"/>
        <v>23</v>
      </c>
      <c r="M1050" s="79">
        <f t="array" ref="M1050">max(min(IF(J1050+K1050=11,0,XLOOKUP(B1050,Quotas!$A$8:$A$14,Quotas!$E$8:$E$14)-$L1050),2),0)</f>
        <v>0</v>
      </c>
      <c r="N1050" s="31">
        <f t="shared" si="3"/>
        <v>0</v>
      </c>
    </row>
    <row r="1051">
      <c r="A1051" s="31" t="s">
        <v>101</v>
      </c>
      <c r="B1051" s="9">
        <v>5.0</v>
      </c>
      <c r="C1051" s="31" t="str">
        <f>VLOOKUP(A1051, 'College List'!A:B, 2, FALSE)</f>
        <v>Lorehold</v>
      </c>
      <c r="D1051" s="355">
        <f>VLOOKUP(B1051,Quotas!$A$8:$C$14,2,FALSE)</f>
        <v>46164.70833</v>
      </c>
      <c r="E1051" s="356">
        <f>VLOOKUP(B1051,Quotas!$A$8:$C$14,3,FALSE)</f>
        <v>46171.70833</v>
      </c>
      <c r="F1051" s="79">
        <f>COUNTIFS(Matches!$B:$B,A1051,Matches!$A:$A,CONCAT("&gt;",$D1051),Matches!$A:$A,CONCAT("&lt;",$E1051))</f>
        <v>1</v>
      </c>
      <c r="G1051" s="79">
        <f>COUNTIFS(Matches!$C:$C,$A1051,Matches!$A:$A,CONCAT("&gt;",$D1051),Matches!$A:$A,CONCAT("&lt;",$E1051))</f>
        <v>2</v>
      </c>
      <c r="H1051" s="79">
        <f t="shared" si="1"/>
        <v>3</v>
      </c>
      <c r="I1051" s="79">
        <f>COUNTIFS(Matches!$B:$B,$A1051,Matches!$A:$A,CONCAT("&lt;",$E1051))</f>
        <v>12</v>
      </c>
      <c r="J1051" s="79">
        <f>COUNTIFS(Matches!$C:$C,$A1051,Matches!$A:$A,CONCAT("&lt;",$E1051))</f>
        <v>11</v>
      </c>
      <c r="K1051" s="79">
        <f>COUNTIFS(Entropy!D:D,A1051,Entropy!I:I,CONCAT("&lt;",E1051-1))</f>
        <v>0</v>
      </c>
      <c r="L1051" s="79">
        <f t="shared" si="2"/>
        <v>23</v>
      </c>
      <c r="M1051" s="79">
        <f t="array" ref="M1051">max(min(IF(J1051+K1051=11,0,XLOOKUP(B1051,Quotas!$A$8:$A$14,Quotas!$E$8:$E$14)-$L1051),2),0)</f>
        <v>0</v>
      </c>
      <c r="N1051" s="31">
        <f t="shared" si="3"/>
        <v>0</v>
      </c>
    </row>
    <row r="1052">
      <c r="A1052" s="31" t="s">
        <v>115</v>
      </c>
      <c r="B1052" s="9">
        <v>5.0</v>
      </c>
      <c r="C1052" s="31" t="str">
        <f>VLOOKUP(A1052, 'College List'!A:B, 2, FALSE)</f>
        <v>Silverquill</v>
      </c>
      <c r="D1052" s="355">
        <f>VLOOKUP(B1052,Quotas!$A$8:$C$14,2,FALSE)</f>
        <v>46164.70833</v>
      </c>
      <c r="E1052" s="356">
        <f>VLOOKUP(B1052,Quotas!$A$8:$C$14,3,FALSE)</f>
        <v>46171.70833</v>
      </c>
      <c r="F1052" s="79">
        <f>COUNTIFS(Matches!$B:$B,A1052,Matches!$A:$A,CONCAT("&gt;",$D1052),Matches!$A:$A,CONCAT("&lt;",$E1052))</f>
        <v>1</v>
      </c>
      <c r="G1052" s="79">
        <f>COUNTIFS(Matches!$C:$C,$A1052,Matches!$A:$A,CONCAT("&gt;",$D1052),Matches!$A:$A,CONCAT("&lt;",$E1052))</f>
        <v>2</v>
      </c>
      <c r="H1052" s="79">
        <f t="shared" si="1"/>
        <v>3</v>
      </c>
      <c r="I1052" s="79">
        <f>COUNTIFS(Matches!$B:$B,$A1052,Matches!$A:$A,CONCAT("&lt;",$E1052))</f>
        <v>12</v>
      </c>
      <c r="J1052" s="79">
        <f>COUNTIFS(Matches!$C:$C,$A1052,Matches!$A:$A,CONCAT("&lt;",$E1052))</f>
        <v>11</v>
      </c>
      <c r="K1052" s="79">
        <f>COUNTIFS(Entropy!D:D,A1052,Entropy!I:I,CONCAT("&lt;",E1052-1))</f>
        <v>0</v>
      </c>
      <c r="L1052" s="79">
        <f t="shared" si="2"/>
        <v>23</v>
      </c>
      <c r="M1052" s="79">
        <f t="array" ref="M1052">max(min(IF(J1052+K1052=11,0,XLOOKUP(B1052,Quotas!$A$8:$A$14,Quotas!$E$8:$E$14)-$L1052),2),0)</f>
        <v>0</v>
      </c>
      <c r="N1052" s="31">
        <f t="shared" si="3"/>
        <v>0</v>
      </c>
    </row>
    <row r="1053">
      <c r="A1053" s="31" t="s">
        <v>158</v>
      </c>
      <c r="B1053" s="9">
        <v>5.0</v>
      </c>
      <c r="C1053" s="31" t="str">
        <f>VLOOKUP(A1053, 'College List'!A:B, 2, FALSE)</f>
        <v>Lorehold</v>
      </c>
      <c r="D1053" s="355">
        <f>VLOOKUP(B1053,Quotas!$A$8:$C$14,2,FALSE)</f>
        <v>46164.70833</v>
      </c>
      <c r="E1053" s="356">
        <f>VLOOKUP(B1053,Quotas!$A$8:$C$14,3,FALSE)</f>
        <v>46171.70833</v>
      </c>
      <c r="F1053" s="79">
        <f>COUNTIFS(Matches!$B:$B,A1053,Matches!$A:$A,CONCAT("&gt;",$D1053),Matches!$A:$A,CONCAT("&lt;",$E1053))</f>
        <v>0</v>
      </c>
      <c r="G1053" s="79">
        <f>COUNTIFS(Matches!$C:$C,$A1053,Matches!$A:$A,CONCAT("&gt;",$D1053),Matches!$A:$A,CONCAT("&lt;",$E1053))</f>
        <v>0</v>
      </c>
      <c r="H1053" s="79">
        <f t="shared" si="1"/>
        <v>0</v>
      </c>
      <c r="I1053" s="79">
        <f>COUNTIFS(Matches!$B:$B,$A1053,Matches!$A:$A,CONCAT("&lt;",$E1053))</f>
        <v>8</v>
      </c>
      <c r="J1053" s="79">
        <f>COUNTIFS(Matches!$C:$C,$A1053,Matches!$A:$A,CONCAT("&lt;",$E1053))</f>
        <v>11</v>
      </c>
      <c r="K1053" s="79">
        <f>COUNTIFS(Entropy!D:D,A1053,Entropy!I:I,CONCAT("&lt;",E1053-1))</f>
        <v>0</v>
      </c>
      <c r="L1053" s="79">
        <f t="shared" si="2"/>
        <v>19</v>
      </c>
      <c r="M1053" s="79">
        <f t="array" ref="M1053">max(min(IF(J1053+K1053=11,0,XLOOKUP(B1053,Quotas!$A$8:$A$14,Quotas!$E$8:$E$14)-$L1053),2),0)</f>
        <v>0</v>
      </c>
      <c r="N1053" s="31">
        <f t="shared" si="3"/>
        <v>0</v>
      </c>
    </row>
    <row r="1054">
      <c r="A1054" s="31" t="s">
        <v>388</v>
      </c>
      <c r="B1054" s="9">
        <v>5.0</v>
      </c>
      <c r="C1054" s="31" t="str">
        <f>VLOOKUP(A1054, 'College List'!A:B, 2, FALSE)</f>
        <v>Lorehold</v>
      </c>
      <c r="D1054" s="355">
        <f>VLOOKUP(B1054,Quotas!$A$8:$C$14,2,FALSE)</f>
        <v>46164.70833</v>
      </c>
      <c r="E1054" s="356">
        <f>VLOOKUP(B1054,Quotas!$A$8:$C$14,3,FALSE)</f>
        <v>46171.70833</v>
      </c>
      <c r="F1054" s="79">
        <f>COUNTIFS(Matches!$B:$B,A1054,Matches!$A:$A,CONCAT("&gt;",$D1054),Matches!$A:$A,CONCAT("&lt;",$E1054))</f>
        <v>2</v>
      </c>
      <c r="G1054" s="79">
        <f>COUNTIFS(Matches!$C:$C,$A1054,Matches!$A:$A,CONCAT("&gt;",$D1054),Matches!$A:$A,CONCAT("&lt;",$E1054))</f>
        <v>2</v>
      </c>
      <c r="H1054" s="79">
        <f t="shared" si="1"/>
        <v>4</v>
      </c>
      <c r="I1054" s="79">
        <f>COUNTIFS(Matches!$B:$B,$A1054,Matches!$A:$A,CONCAT("&lt;",$E1054))</f>
        <v>15</v>
      </c>
      <c r="J1054" s="79">
        <f>COUNTIFS(Matches!$C:$C,$A1054,Matches!$A:$A,CONCAT("&lt;",$E1054))</f>
        <v>8</v>
      </c>
      <c r="K1054" s="79">
        <f>COUNTIFS(Entropy!D:D,A1054,Entropy!I:I,CONCAT("&lt;",E1054-1))</f>
        <v>1</v>
      </c>
      <c r="L1054" s="79">
        <f t="shared" si="2"/>
        <v>24</v>
      </c>
      <c r="M1054" s="79">
        <f t="array" ref="M1054">max(min(IF(J1054+K1054=11,0,XLOOKUP(B1054,Quotas!$A$8:$A$14,Quotas!$E$8:$E$14)-$L1054),2),0)</f>
        <v>1</v>
      </c>
      <c r="N1054" s="31">
        <f t="shared" si="3"/>
        <v>0.5</v>
      </c>
    </row>
    <row r="1055">
      <c r="A1055" s="31" t="s">
        <v>121</v>
      </c>
      <c r="B1055" s="9">
        <v>5.0</v>
      </c>
      <c r="C1055" s="31" t="str">
        <f>VLOOKUP(A1055, 'College List'!A:B, 2, FALSE)</f>
        <v>Quandrix</v>
      </c>
      <c r="D1055" s="355">
        <f>VLOOKUP(B1055,Quotas!$A$8:$C$14,2,FALSE)</f>
        <v>46164.70833</v>
      </c>
      <c r="E1055" s="356">
        <f>VLOOKUP(B1055,Quotas!$A$8:$C$14,3,FALSE)</f>
        <v>46171.70833</v>
      </c>
      <c r="F1055" s="79">
        <f>COUNTIFS(Matches!$B:$B,A1055,Matches!$A:$A,CONCAT("&gt;",$D1055),Matches!$A:$A,CONCAT("&lt;",$E1055))</f>
        <v>3</v>
      </c>
      <c r="G1055" s="79">
        <f>COUNTIFS(Matches!$C:$C,$A1055,Matches!$A:$A,CONCAT("&gt;",$D1055),Matches!$A:$A,CONCAT("&lt;",$E1055))</f>
        <v>2</v>
      </c>
      <c r="H1055" s="79">
        <f t="shared" si="1"/>
        <v>5</v>
      </c>
      <c r="I1055" s="79">
        <f>COUNTIFS(Matches!$B:$B,$A1055,Matches!$A:$A,CONCAT("&lt;",$E1055))</f>
        <v>15</v>
      </c>
      <c r="J1055" s="79">
        <f>COUNTIFS(Matches!$C:$C,$A1055,Matches!$A:$A,CONCAT("&lt;",$E1055))</f>
        <v>10</v>
      </c>
      <c r="K1055" s="79">
        <f>COUNTIFS(Entropy!D:D,A1055,Entropy!I:I,CONCAT("&lt;",E1055-1))</f>
        <v>0</v>
      </c>
      <c r="L1055" s="79">
        <f t="shared" si="2"/>
        <v>25</v>
      </c>
      <c r="M1055" s="79">
        <f t="array" ref="M1055">max(min(IF(J1055+K1055=11,0,XLOOKUP(B1055,Quotas!$A$8:$A$14,Quotas!$E$8:$E$14)-$L1055),2),0)</f>
        <v>0</v>
      </c>
      <c r="N1055" s="31">
        <f t="shared" si="3"/>
        <v>0</v>
      </c>
    </row>
    <row r="1056">
      <c r="A1056" s="31" t="s">
        <v>312</v>
      </c>
      <c r="B1056" s="9">
        <v>5.0</v>
      </c>
      <c r="C1056" s="31" t="str">
        <f>VLOOKUP(A1056, 'College List'!A:B, 2, FALSE)</f>
        <v>Prismari</v>
      </c>
      <c r="D1056" s="355">
        <f>VLOOKUP(B1056,Quotas!$A$8:$C$14,2,FALSE)</f>
        <v>46164.70833</v>
      </c>
      <c r="E1056" s="356">
        <f>VLOOKUP(B1056,Quotas!$A$8:$C$14,3,FALSE)</f>
        <v>46171.70833</v>
      </c>
      <c r="F1056" s="79">
        <f>COUNTIFS(Matches!$B:$B,A1056,Matches!$A:$A,CONCAT("&gt;",$D1056),Matches!$A:$A,CONCAT("&lt;",$E1056))</f>
        <v>0</v>
      </c>
      <c r="G1056" s="79">
        <f>COUNTIFS(Matches!$C:$C,$A1056,Matches!$A:$A,CONCAT("&gt;",$D1056),Matches!$A:$A,CONCAT("&lt;",$E1056))</f>
        <v>0</v>
      </c>
      <c r="H1056" s="79">
        <f t="shared" si="1"/>
        <v>0</v>
      </c>
      <c r="I1056" s="79">
        <f>COUNTIFS(Matches!$B:$B,$A1056,Matches!$A:$A,CONCAT("&lt;",$E1056))</f>
        <v>13</v>
      </c>
      <c r="J1056" s="79">
        <f>COUNTIFS(Matches!$C:$C,$A1056,Matches!$A:$A,CONCAT("&lt;",$E1056))</f>
        <v>5</v>
      </c>
      <c r="K1056" s="79">
        <f>COUNTIFS(Entropy!D:D,A1056,Entropy!I:I,CONCAT("&lt;",E1056-1))</f>
        <v>0</v>
      </c>
      <c r="L1056" s="79">
        <f t="shared" si="2"/>
        <v>18</v>
      </c>
      <c r="M1056" s="79">
        <f t="array" ref="M1056">max(min(IF(J1056+K1056=11,0,XLOOKUP(B1056,Quotas!$A$8:$A$14,Quotas!$E$8:$E$14)-$L1056),2),0)</f>
        <v>2</v>
      </c>
      <c r="N1056" s="31">
        <f t="shared" si="3"/>
        <v>0</v>
      </c>
    </row>
    <row r="1057">
      <c r="A1057" s="31" t="s">
        <v>367</v>
      </c>
      <c r="B1057" s="9">
        <v>5.0</v>
      </c>
      <c r="C1057" s="31" t="str">
        <f>VLOOKUP(A1057, 'College List'!A:B, 2, FALSE)</f>
        <v>Prismari</v>
      </c>
      <c r="D1057" s="355">
        <f>VLOOKUP(B1057,Quotas!$A$8:$C$14,2,FALSE)</f>
        <v>46164.70833</v>
      </c>
      <c r="E1057" s="356">
        <f>VLOOKUP(B1057,Quotas!$A$8:$C$14,3,FALSE)</f>
        <v>46171.70833</v>
      </c>
      <c r="F1057" s="79">
        <f>COUNTIFS(Matches!$B:$B,A1057,Matches!$A:$A,CONCAT("&gt;",$D1057),Matches!$A:$A,CONCAT("&lt;",$E1057))</f>
        <v>0</v>
      </c>
      <c r="G1057" s="79">
        <f>COUNTIFS(Matches!$C:$C,$A1057,Matches!$A:$A,CONCAT("&gt;",$D1057),Matches!$A:$A,CONCAT("&lt;",$E1057))</f>
        <v>0</v>
      </c>
      <c r="H1057" s="79">
        <f t="shared" si="1"/>
        <v>0</v>
      </c>
      <c r="I1057" s="79">
        <f>COUNTIFS(Matches!$B:$B,$A1057,Matches!$A:$A,CONCAT("&lt;",$E1057))</f>
        <v>7</v>
      </c>
      <c r="J1057" s="79">
        <f>COUNTIFS(Matches!$C:$C,$A1057,Matches!$A:$A,CONCAT("&lt;",$E1057))</f>
        <v>7</v>
      </c>
      <c r="K1057" s="79">
        <f>COUNTIFS(Entropy!D:D,A1057,Entropy!I:I,CONCAT("&lt;",E1057-1))</f>
        <v>4</v>
      </c>
      <c r="L1057" s="79">
        <f t="shared" si="2"/>
        <v>18</v>
      </c>
      <c r="M1057" s="79">
        <f t="array" ref="M1057">max(min(IF(J1057+K1057=11,0,XLOOKUP(B1057,Quotas!$A$8:$A$14,Quotas!$E$8:$E$14)-$L1057),2),0)</f>
        <v>0</v>
      </c>
      <c r="N1057" s="31">
        <f t="shared" si="3"/>
        <v>0</v>
      </c>
    </row>
    <row r="1058">
      <c r="A1058" s="31" t="s">
        <v>299</v>
      </c>
      <c r="B1058" s="9">
        <v>5.0</v>
      </c>
      <c r="C1058" s="31" t="str">
        <f>VLOOKUP(A1058, 'College List'!A:B, 2, FALSE)</f>
        <v>Witherbloom</v>
      </c>
      <c r="D1058" s="355">
        <f>VLOOKUP(B1058,Quotas!$A$8:$C$14,2,FALSE)</f>
        <v>46164.70833</v>
      </c>
      <c r="E1058" s="356">
        <f>VLOOKUP(B1058,Quotas!$A$8:$C$14,3,FALSE)</f>
        <v>46171.70833</v>
      </c>
      <c r="F1058" s="79">
        <f>COUNTIFS(Matches!$B:$B,A1058,Matches!$A:$A,CONCAT("&gt;",$D1058),Matches!$A:$A,CONCAT("&lt;",$E1058))</f>
        <v>0</v>
      </c>
      <c r="G1058" s="79">
        <f>COUNTIFS(Matches!$C:$C,$A1058,Matches!$A:$A,CONCAT("&gt;",$D1058),Matches!$A:$A,CONCAT("&lt;",$E1058))</f>
        <v>4</v>
      </c>
      <c r="H1058" s="79">
        <f t="shared" si="1"/>
        <v>4</v>
      </c>
      <c r="I1058" s="79">
        <f>COUNTIFS(Matches!$B:$B,$A1058,Matches!$A:$A,CONCAT("&lt;",$E1058))</f>
        <v>12</v>
      </c>
      <c r="J1058" s="79">
        <f>COUNTIFS(Matches!$C:$C,$A1058,Matches!$A:$A,CONCAT("&lt;",$E1058))</f>
        <v>11</v>
      </c>
      <c r="K1058" s="79">
        <f>COUNTIFS(Entropy!D:D,A1058,Entropy!I:I,CONCAT("&lt;",E1058-1))</f>
        <v>0</v>
      </c>
      <c r="L1058" s="79">
        <f t="shared" si="2"/>
        <v>23</v>
      </c>
      <c r="M1058" s="79">
        <f t="array" ref="M1058">max(min(IF(J1058+K1058=11,0,XLOOKUP(B1058,Quotas!$A$8:$A$14,Quotas!$E$8:$E$14)-$L1058),2),0)</f>
        <v>0</v>
      </c>
      <c r="N1058" s="31">
        <f t="shared" si="3"/>
        <v>0</v>
      </c>
    </row>
    <row r="1059">
      <c r="A1059" s="31" t="s">
        <v>151</v>
      </c>
      <c r="B1059" s="9">
        <v>5.0</v>
      </c>
      <c r="C1059" s="31" t="str">
        <f>VLOOKUP(A1059, 'College List'!A:B, 2, FALSE)</f>
        <v>Quandrix</v>
      </c>
      <c r="D1059" s="355">
        <f>VLOOKUP(B1059,Quotas!$A$8:$C$14,2,FALSE)</f>
        <v>46164.70833</v>
      </c>
      <c r="E1059" s="356">
        <f>VLOOKUP(B1059,Quotas!$A$8:$C$14,3,FALSE)</f>
        <v>46171.70833</v>
      </c>
      <c r="F1059" s="79">
        <f>COUNTIFS(Matches!$B:$B,A1059,Matches!$A:$A,CONCAT("&gt;",$D1059),Matches!$A:$A,CONCAT("&lt;",$E1059))</f>
        <v>0</v>
      </c>
      <c r="G1059" s="79">
        <f>COUNTIFS(Matches!$C:$C,$A1059,Matches!$A:$A,CONCAT("&gt;",$D1059),Matches!$A:$A,CONCAT("&lt;",$E1059))</f>
        <v>0</v>
      </c>
      <c r="H1059" s="79">
        <f t="shared" si="1"/>
        <v>0</v>
      </c>
      <c r="I1059" s="79">
        <f>COUNTIFS(Matches!$B:$B,$A1059,Matches!$A:$A,CONCAT("&lt;",$E1059))</f>
        <v>10</v>
      </c>
      <c r="J1059" s="79">
        <f>COUNTIFS(Matches!$C:$C,$A1059,Matches!$A:$A,CONCAT("&lt;",$E1059))</f>
        <v>10</v>
      </c>
      <c r="K1059" s="79">
        <f>COUNTIFS(Entropy!D:D,A1059,Entropy!I:I,CONCAT("&lt;",E1059-1))</f>
        <v>0</v>
      </c>
      <c r="L1059" s="79">
        <f t="shared" si="2"/>
        <v>20</v>
      </c>
      <c r="M1059" s="79">
        <f t="array" ref="M1059">max(min(IF(J1059+K1059=11,0,XLOOKUP(B1059,Quotas!$A$8:$A$14,Quotas!$E$8:$E$14)-$L1059),2),0)</f>
        <v>2</v>
      </c>
      <c r="N1059" s="31">
        <f t="shared" si="3"/>
        <v>0</v>
      </c>
    </row>
    <row r="1060">
      <c r="A1060" s="31" t="s">
        <v>332</v>
      </c>
      <c r="B1060" s="9">
        <v>5.0</v>
      </c>
      <c r="C1060" s="31" t="str">
        <f>VLOOKUP(A1060, 'College List'!A:B, 2, FALSE)</f>
        <v>Quandrix</v>
      </c>
      <c r="D1060" s="355">
        <f>VLOOKUP(B1060,Quotas!$A$8:$C$14,2,FALSE)</f>
        <v>46164.70833</v>
      </c>
      <c r="E1060" s="356">
        <f>VLOOKUP(B1060,Quotas!$A$8:$C$14,3,FALSE)</f>
        <v>46171.70833</v>
      </c>
      <c r="F1060" s="79">
        <f>COUNTIFS(Matches!$B:$B,A1060,Matches!$A:$A,CONCAT("&gt;",$D1060),Matches!$A:$A,CONCAT("&lt;",$E1060))</f>
        <v>0</v>
      </c>
      <c r="G1060" s="79">
        <f>COUNTIFS(Matches!$C:$C,$A1060,Matches!$A:$A,CONCAT("&gt;",$D1060),Matches!$A:$A,CONCAT("&lt;",$E1060))</f>
        <v>3</v>
      </c>
      <c r="H1060" s="79">
        <f t="shared" si="1"/>
        <v>3</v>
      </c>
      <c r="I1060" s="79">
        <f>COUNTIFS(Matches!$B:$B,$A1060,Matches!$A:$A,CONCAT("&lt;",$E1060))</f>
        <v>12</v>
      </c>
      <c r="J1060" s="79">
        <f>COUNTIFS(Matches!$C:$C,$A1060,Matches!$A:$A,CONCAT("&lt;",$E1060))</f>
        <v>11</v>
      </c>
      <c r="K1060" s="79">
        <f>COUNTIFS(Entropy!D:D,A1060,Entropy!I:I,CONCAT("&lt;",E1060-1))</f>
        <v>0</v>
      </c>
      <c r="L1060" s="79">
        <f t="shared" si="2"/>
        <v>23</v>
      </c>
      <c r="M1060" s="79">
        <f t="array" ref="M1060">max(min(IF(J1060+K1060=11,0,XLOOKUP(B1060,Quotas!$A$8:$A$14,Quotas!$E$8:$E$14)-$L1060),2),0)</f>
        <v>0</v>
      </c>
      <c r="N1060" s="31">
        <f t="shared" si="3"/>
        <v>0</v>
      </c>
    </row>
    <row r="1061">
      <c r="A1061" s="31" t="s">
        <v>421</v>
      </c>
      <c r="B1061" s="9">
        <v>5.0</v>
      </c>
      <c r="C1061" s="31" t="str">
        <f>VLOOKUP(A1061, 'College List'!A:B, 2, FALSE)</f>
        <v>Lorehold</v>
      </c>
      <c r="D1061" s="355">
        <f>VLOOKUP(B1061,Quotas!$A$8:$C$14,2,FALSE)</f>
        <v>46164.70833</v>
      </c>
      <c r="E1061" s="356">
        <f>VLOOKUP(B1061,Quotas!$A$8:$C$14,3,FALSE)</f>
        <v>46171.70833</v>
      </c>
      <c r="F1061" s="79">
        <f>COUNTIFS(Matches!$B:$B,A1061,Matches!$A:$A,CONCAT("&gt;",$D1061),Matches!$A:$A,CONCAT("&lt;",$E1061))</f>
        <v>2</v>
      </c>
      <c r="G1061" s="79">
        <f>COUNTIFS(Matches!$C:$C,$A1061,Matches!$A:$A,CONCAT("&gt;",$D1061),Matches!$A:$A,CONCAT("&lt;",$E1061))</f>
        <v>1</v>
      </c>
      <c r="H1061" s="79">
        <f t="shared" si="1"/>
        <v>3</v>
      </c>
      <c r="I1061" s="79">
        <f>COUNTIFS(Matches!$B:$B,$A1061,Matches!$A:$A,CONCAT("&lt;",$E1061))</f>
        <v>10</v>
      </c>
      <c r="J1061" s="79">
        <f>COUNTIFS(Matches!$C:$C,$A1061,Matches!$A:$A,CONCAT("&lt;",$E1061))</f>
        <v>10</v>
      </c>
      <c r="K1061" s="79">
        <f>COUNTIFS(Entropy!D:D,A1061,Entropy!I:I,CONCAT("&lt;",E1061-1))</f>
        <v>1</v>
      </c>
      <c r="L1061" s="79">
        <f t="shared" si="2"/>
        <v>21</v>
      </c>
      <c r="M1061" s="79">
        <f t="array" ref="M1061">max(min(IF(J1061+K1061=11,0,XLOOKUP(B1061,Quotas!$A$8:$A$14,Quotas!$E$8:$E$14)-$L1061),2),0)</f>
        <v>0</v>
      </c>
      <c r="N1061" s="31">
        <f t="shared" si="3"/>
        <v>0</v>
      </c>
    </row>
    <row r="1062">
      <c r="A1062" s="31" t="s">
        <v>351</v>
      </c>
      <c r="B1062" s="9">
        <v>5.0</v>
      </c>
      <c r="C1062" s="31" t="str">
        <f>VLOOKUP(A1062, 'College List'!A:B, 2, FALSE)</f>
        <v>Silverquill</v>
      </c>
      <c r="D1062" s="355">
        <f>VLOOKUP(B1062,Quotas!$A$8:$C$14,2,FALSE)</f>
        <v>46164.70833</v>
      </c>
      <c r="E1062" s="356">
        <f>VLOOKUP(B1062,Quotas!$A$8:$C$14,3,FALSE)</f>
        <v>46171.70833</v>
      </c>
      <c r="F1062" s="79">
        <f>COUNTIFS(Matches!$B:$B,A1062,Matches!$A:$A,CONCAT("&gt;",$D1062),Matches!$A:$A,CONCAT("&lt;",$E1062))</f>
        <v>0</v>
      </c>
      <c r="G1062" s="79">
        <f>COUNTIFS(Matches!$C:$C,$A1062,Matches!$A:$A,CONCAT("&gt;",$D1062),Matches!$A:$A,CONCAT("&lt;",$E1062))</f>
        <v>0</v>
      </c>
      <c r="H1062" s="79">
        <f t="shared" si="1"/>
        <v>0</v>
      </c>
      <c r="I1062" s="79">
        <f>COUNTIFS(Matches!$B:$B,$A1062,Matches!$A:$A,CONCAT("&lt;",$E1062))</f>
        <v>3</v>
      </c>
      <c r="J1062" s="79">
        <f>COUNTIFS(Matches!$C:$C,$A1062,Matches!$A:$A,CONCAT("&lt;",$E1062))</f>
        <v>9</v>
      </c>
      <c r="K1062" s="79">
        <f>COUNTIFS(Entropy!D:D,A1062,Entropy!I:I,CONCAT("&lt;",E1062-1))</f>
        <v>2</v>
      </c>
      <c r="L1062" s="79">
        <f t="shared" si="2"/>
        <v>14</v>
      </c>
      <c r="M1062" s="79">
        <f t="array" ref="M1062">max(min(IF(J1062+K1062=11,0,XLOOKUP(B1062,Quotas!$A$8:$A$14,Quotas!$E$8:$E$14)-$L1062),2),0)</f>
        <v>0</v>
      </c>
      <c r="N1062" s="31">
        <f t="shared" si="3"/>
        <v>0</v>
      </c>
    </row>
    <row r="1063">
      <c r="A1063" s="31" t="s">
        <v>274</v>
      </c>
      <c r="B1063" s="9">
        <v>5.0</v>
      </c>
      <c r="C1063" s="31" t="str">
        <f>VLOOKUP(A1063, 'College List'!A:B, 2, FALSE)</f>
        <v>Quandrix</v>
      </c>
      <c r="D1063" s="355">
        <f>VLOOKUP(B1063,Quotas!$A$8:$C$14,2,FALSE)</f>
        <v>46164.70833</v>
      </c>
      <c r="E1063" s="356">
        <f>VLOOKUP(B1063,Quotas!$A$8:$C$14,3,FALSE)</f>
        <v>46171.70833</v>
      </c>
      <c r="F1063" s="79">
        <f>COUNTIFS(Matches!$B:$B,A1063,Matches!$A:$A,CONCAT("&gt;",$D1063),Matches!$A:$A,CONCAT("&lt;",$E1063))</f>
        <v>0</v>
      </c>
      <c r="G1063" s="79">
        <f>COUNTIFS(Matches!$C:$C,$A1063,Matches!$A:$A,CONCAT("&gt;",$D1063),Matches!$A:$A,CONCAT("&lt;",$E1063))</f>
        <v>0</v>
      </c>
      <c r="H1063" s="79">
        <f t="shared" si="1"/>
        <v>0</v>
      </c>
      <c r="I1063" s="79">
        <f>COUNTIFS(Matches!$B:$B,$A1063,Matches!$A:$A,CONCAT("&lt;",$E1063))</f>
        <v>7</v>
      </c>
      <c r="J1063" s="79">
        <f>COUNTIFS(Matches!$C:$C,$A1063,Matches!$A:$A,CONCAT("&lt;",$E1063))</f>
        <v>11</v>
      </c>
      <c r="K1063" s="79">
        <f>COUNTIFS(Entropy!D:D,A1063,Entropy!I:I,CONCAT("&lt;",E1063-1))</f>
        <v>0</v>
      </c>
      <c r="L1063" s="79">
        <f t="shared" si="2"/>
        <v>18</v>
      </c>
      <c r="M1063" s="79">
        <f t="array" ref="M1063">max(min(IF(J1063+K1063=11,0,XLOOKUP(B1063,Quotas!$A$8:$A$14,Quotas!$E$8:$E$14)-$L1063),2),0)</f>
        <v>0</v>
      </c>
      <c r="N1063" s="31">
        <f t="shared" si="3"/>
        <v>0</v>
      </c>
    </row>
    <row r="1064">
      <c r="A1064" s="31" t="s">
        <v>345</v>
      </c>
      <c r="B1064" s="9">
        <v>5.0</v>
      </c>
      <c r="C1064" s="31" t="str">
        <f>VLOOKUP(A1064, 'College List'!A:B, 2, FALSE)</f>
        <v>Silverquill</v>
      </c>
      <c r="D1064" s="355">
        <f>VLOOKUP(B1064,Quotas!$A$8:$C$14,2,FALSE)</f>
        <v>46164.70833</v>
      </c>
      <c r="E1064" s="356">
        <f>VLOOKUP(B1064,Quotas!$A$8:$C$14,3,FALSE)</f>
        <v>46171.70833</v>
      </c>
      <c r="F1064" s="79">
        <f>COUNTIFS(Matches!$B:$B,A1064,Matches!$A:$A,CONCAT("&gt;",$D1064),Matches!$A:$A,CONCAT("&lt;",$E1064))</f>
        <v>4</v>
      </c>
      <c r="G1064" s="79">
        <f>COUNTIFS(Matches!$C:$C,$A1064,Matches!$A:$A,CONCAT("&gt;",$D1064),Matches!$A:$A,CONCAT("&lt;",$E1064))</f>
        <v>1</v>
      </c>
      <c r="H1064" s="79">
        <f t="shared" si="1"/>
        <v>5</v>
      </c>
      <c r="I1064" s="79">
        <f>COUNTIFS(Matches!$B:$B,$A1064,Matches!$A:$A,CONCAT("&lt;",$E1064))</f>
        <v>16</v>
      </c>
      <c r="J1064" s="79">
        <f>COUNTIFS(Matches!$C:$C,$A1064,Matches!$A:$A,CONCAT("&lt;",$E1064))</f>
        <v>9</v>
      </c>
      <c r="K1064" s="79">
        <f>COUNTIFS(Entropy!D:D,A1064,Entropy!I:I,CONCAT("&lt;",E1064-1))</f>
        <v>0</v>
      </c>
      <c r="L1064" s="79">
        <f t="shared" si="2"/>
        <v>25</v>
      </c>
      <c r="M1064" s="79">
        <f t="array" ref="M1064">max(min(IF(J1064+K1064=11,0,XLOOKUP(B1064,Quotas!$A$8:$A$14,Quotas!$E$8:$E$14)-$L1064),2),0)</f>
        <v>0</v>
      </c>
      <c r="N1064" s="31">
        <f t="shared" si="3"/>
        <v>0</v>
      </c>
    </row>
    <row r="1065">
      <c r="A1065" s="31" t="s">
        <v>185</v>
      </c>
      <c r="B1065" s="9">
        <v>5.0</v>
      </c>
      <c r="C1065" s="31" t="str">
        <f>VLOOKUP(A1065, 'College List'!A:B, 2, FALSE)</f>
        <v>Silverquill</v>
      </c>
      <c r="D1065" s="355">
        <f>VLOOKUP(B1065,Quotas!$A$8:$C$14,2,FALSE)</f>
        <v>46164.70833</v>
      </c>
      <c r="E1065" s="356">
        <f>VLOOKUP(B1065,Quotas!$A$8:$C$14,3,FALSE)</f>
        <v>46171.70833</v>
      </c>
      <c r="F1065" s="79">
        <f>COUNTIFS(Matches!$B:$B,A1065,Matches!$A:$A,CONCAT("&gt;",$D1065),Matches!$A:$A,CONCAT("&lt;",$E1065))</f>
        <v>2</v>
      </c>
      <c r="G1065" s="79">
        <f>COUNTIFS(Matches!$C:$C,$A1065,Matches!$A:$A,CONCAT("&gt;",$D1065),Matches!$A:$A,CONCAT("&lt;",$E1065))</f>
        <v>3</v>
      </c>
      <c r="H1065" s="79">
        <f t="shared" si="1"/>
        <v>5</v>
      </c>
      <c r="I1065" s="79">
        <f>COUNTIFS(Matches!$B:$B,$A1065,Matches!$A:$A,CONCAT("&lt;",$E1065))</f>
        <v>15</v>
      </c>
      <c r="J1065" s="79">
        <f>COUNTIFS(Matches!$C:$C,$A1065,Matches!$A:$A,CONCAT("&lt;",$E1065))</f>
        <v>10</v>
      </c>
      <c r="K1065" s="79">
        <f>COUNTIFS(Entropy!D:D,A1065,Entropy!I:I,CONCAT("&lt;",E1065-1))</f>
        <v>0</v>
      </c>
      <c r="L1065" s="79">
        <f t="shared" si="2"/>
        <v>25</v>
      </c>
      <c r="M1065" s="79">
        <f t="array" ref="M1065">max(min(IF(J1065+K1065=11,0,XLOOKUP(B1065,Quotas!$A$8:$A$14,Quotas!$E$8:$E$14)-$L1065),2),0)</f>
        <v>0</v>
      </c>
      <c r="N1065" s="31">
        <f t="shared" si="3"/>
        <v>0</v>
      </c>
    </row>
    <row r="1066">
      <c r="A1066" s="31" t="s">
        <v>630</v>
      </c>
      <c r="B1066" s="9">
        <v>5.0</v>
      </c>
      <c r="C1066" s="31" t="str">
        <f>VLOOKUP(A1066, 'College List'!A:B, 2, FALSE)</f>
        <v>Prismari</v>
      </c>
      <c r="D1066" s="355">
        <f>VLOOKUP(B1066,Quotas!$A$8:$C$14,2,FALSE)</f>
        <v>46164.70833</v>
      </c>
      <c r="E1066" s="356">
        <f>VLOOKUP(B1066,Quotas!$A$8:$C$14,3,FALSE)</f>
        <v>46171.70833</v>
      </c>
      <c r="F1066" s="79">
        <f>COUNTIFS(Matches!$B:$B,A1066,Matches!$A:$A,CONCAT("&gt;",$D1066),Matches!$A:$A,CONCAT("&lt;",$E1066))</f>
        <v>0</v>
      </c>
      <c r="G1066" s="79">
        <f>COUNTIFS(Matches!$C:$C,$A1066,Matches!$A:$A,CONCAT("&gt;",$D1066),Matches!$A:$A,CONCAT("&lt;",$E1066))</f>
        <v>0</v>
      </c>
      <c r="H1066" s="79">
        <f t="shared" si="1"/>
        <v>0</v>
      </c>
      <c r="I1066" s="79">
        <f>COUNTIFS(Matches!$B:$B,$A1066,Matches!$A:$A,CONCAT("&lt;",$E1066))</f>
        <v>0</v>
      </c>
      <c r="J1066" s="79">
        <f>COUNTIFS(Matches!$C:$C,$A1066,Matches!$A:$A,CONCAT("&lt;",$E1066))</f>
        <v>0</v>
      </c>
      <c r="K1066" s="79">
        <f>COUNTIFS(Entropy!D:D,A1066,Entropy!I:I,CONCAT("&lt;",E1066-1))</f>
        <v>11</v>
      </c>
      <c r="L1066" s="79">
        <f t="shared" si="2"/>
        <v>11</v>
      </c>
      <c r="M1066" s="79">
        <f t="array" ref="M1066">max(min(IF(J1066+K1066=11,0,XLOOKUP(B1066,Quotas!$A$8:$A$14,Quotas!$E$8:$E$14)-$L1066),2),0)</f>
        <v>0</v>
      </c>
      <c r="N1066" s="31">
        <f t="shared" si="3"/>
        <v>0</v>
      </c>
    </row>
    <row r="1067">
      <c r="A1067" s="31" t="s">
        <v>179</v>
      </c>
      <c r="B1067" s="9">
        <v>5.0</v>
      </c>
      <c r="C1067" s="31" t="str">
        <f>VLOOKUP(A1067, 'College List'!A:B, 2, FALSE)</f>
        <v>Witherbloom</v>
      </c>
      <c r="D1067" s="355">
        <f>VLOOKUP(B1067,Quotas!$A$8:$C$14,2,FALSE)</f>
        <v>46164.70833</v>
      </c>
      <c r="E1067" s="356">
        <f>VLOOKUP(B1067,Quotas!$A$8:$C$14,3,FALSE)</f>
        <v>46171.70833</v>
      </c>
      <c r="F1067" s="79">
        <f>COUNTIFS(Matches!$B:$B,A1067,Matches!$A:$A,CONCAT("&gt;",$D1067),Matches!$A:$A,CONCAT("&lt;",$E1067))</f>
        <v>0</v>
      </c>
      <c r="G1067" s="79">
        <f>COUNTIFS(Matches!$C:$C,$A1067,Matches!$A:$A,CONCAT("&gt;",$D1067),Matches!$A:$A,CONCAT("&lt;",$E1067))</f>
        <v>0</v>
      </c>
      <c r="H1067" s="79">
        <f t="shared" si="1"/>
        <v>0</v>
      </c>
      <c r="I1067" s="79">
        <f>COUNTIFS(Matches!$B:$B,$A1067,Matches!$A:$A,CONCAT("&lt;",$E1067))</f>
        <v>1</v>
      </c>
      <c r="J1067" s="79">
        <f>COUNTIFS(Matches!$C:$C,$A1067,Matches!$A:$A,CONCAT("&lt;",$E1067))</f>
        <v>7</v>
      </c>
      <c r="K1067" s="79">
        <f>COUNTIFS(Entropy!D:D,A1067,Entropy!I:I,CONCAT("&lt;",E1067-1))</f>
        <v>4</v>
      </c>
      <c r="L1067" s="79">
        <f t="shared" si="2"/>
        <v>12</v>
      </c>
      <c r="M1067" s="79">
        <f t="array" ref="M1067">max(min(IF(J1067+K1067=11,0,XLOOKUP(B1067,Quotas!$A$8:$A$14,Quotas!$E$8:$E$14)-$L1067),2),0)</f>
        <v>0</v>
      </c>
      <c r="N1067" s="31">
        <f t="shared" si="3"/>
        <v>0</v>
      </c>
    </row>
    <row r="1068">
      <c r="A1068" s="31" t="s">
        <v>320</v>
      </c>
      <c r="B1068" s="9">
        <v>5.0</v>
      </c>
      <c r="C1068" s="31" t="str">
        <f>VLOOKUP(A1068, 'College List'!A:B, 2, FALSE)</f>
        <v>Witherbloom</v>
      </c>
      <c r="D1068" s="355">
        <f>VLOOKUP(B1068,Quotas!$A$8:$C$14,2,FALSE)</f>
        <v>46164.70833</v>
      </c>
      <c r="E1068" s="356">
        <f>VLOOKUP(B1068,Quotas!$A$8:$C$14,3,FALSE)</f>
        <v>46171.70833</v>
      </c>
      <c r="F1068" s="79">
        <f>COUNTIFS(Matches!$B:$B,A1068,Matches!$A:$A,CONCAT("&gt;",$D1068),Matches!$A:$A,CONCAT("&lt;",$E1068))</f>
        <v>1</v>
      </c>
      <c r="G1068" s="79">
        <f>COUNTIFS(Matches!$C:$C,$A1068,Matches!$A:$A,CONCAT("&gt;",$D1068),Matches!$A:$A,CONCAT("&lt;",$E1068))</f>
        <v>2</v>
      </c>
      <c r="H1068" s="79">
        <f t="shared" si="1"/>
        <v>3</v>
      </c>
      <c r="I1068" s="79">
        <f>COUNTIFS(Matches!$B:$B,$A1068,Matches!$A:$A,CONCAT("&lt;",$E1068))</f>
        <v>12</v>
      </c>
      <c r="J1068" s="79">
        <f>COUNTIFS(Matches!$C:$C,$A1068,Matches!$A:$A,CONCAT("&lt;",$E1068))</f>
        <v>11</v>
      </c>
      <c r="K1068" s="79">
        <f>COUNTIFS(Entropy!D:D,A1068,Entropy!I:I,CONCAT("&lt;",E1068-1))</f>
        <v>0</v>
      </c>
      <c r="L1068" s="79">
        <f t="shared" si="2"/>
        <v>23</v>
      </c>
      <c r="M1068" s="79">
        <f t="array" ref="M1068">max(min(IF(J1068+K1068=11,0,XLOOKUP(B1068,Quotas!$A$8:$A$14,Quotas!$E$8:$E$14)-$L1068),2),0)</f>
        <v>0</v>
      </c>
      <c r="N1068" s="31">
        <f t="shared" si="3"/>
        <v>0</v>
      </c>
    </row>
    <row r="1069">
      <c r="A1069" s="31" t="s">
        <v>205</v>
      </c>
      <c r="B1069" s="9">
        <v>5.0</v>
      </c>
      <c r="C1069" s="31" t="str">
        <f>VLOOKUP(A1069, 'College List'!A:B, 2, FALSE)</f>
        <v>Silverquill</v>
      </c>
      <c r="D1069" s="355">
        <f>VLOOKUP(B1069,Quotas!$A$8:$C$14,2,FALSE)</f>
        <v>46164.70833</v>
      </c>
      <c r="E1069" s="356">
        <f>VLOOKUP(B1069,Quotas!$A$8:$C$14,3,FALSE)</f>
        <v>46171.70833</v>
      </c>
      <c r="F1069" s="79">
        <f>COUNTIFS(Matches!$B:$B,A1069,Matches!$A:$A,CONCAT("&gt;",$D1069),Matches!$A:$A,CONCAT("&lt;",$E1069))</f>
        <v>0</v>
      </c>
      <c r="G1069" s="79">
        <f>COUNTIFS(Matches!$C:$C,$A1069,Matches!$A:$A,CONCAT("&gt;",$D1069),Matches!$A:$A,CONCAT("&lt;",$E1069))</f>
        <v>0</v>
      </c>
      <c r="H1069" s="79">
        <f t="shared" si="1"/>
        <v>0</v>
      </c>
      <c r="I1069" s="79">
        <f>COUNTIFS(Matches!$B:$B,$A1069,Matches!$A:$A,CONCAT("&lt;",$E1069))</f>
        <v>7</v>
      </c>
      <c r="J1069" s="79">
        <f>COUNTIFS(Matches!$C:$C,$A1069,Matches!$A:$A,CONCAT("&lt;",$E1069))</f>
        <v>11</v>
      </c>
      <c r="K1069" s="79">
        <f>COUNTIFS(Entropy!D:D,A1069,Entropy!I:I,CONCAT("&lt;",E1069-1))</f>
        <v>0</v>
      </c>
      <c r="L1069" s="79">
        <f t="shared" si="2"/>
        <v>18</v>
      </c>
      <c r="M1069" s="79">
        <f t="array" ref="M1069">max(min(IF(J1069+K1069=11,0,XLOOKUP(B1069,Quotas!$A$8:$A$14,Quotas!$E$8:$E$14)-$L1069),2),0)</f>
        <v>0</v>
      </c>
      <c r="N1069" s="31">
        <f t="shared" si="3"/>
        <v>0</v>
      </c>
    </row>
    <row r="1070">
      <c r="A1070" s="31" t="s">
        <v>347</v>
      </c>
      <c r="B1070" s="9">
        <v>5.0</v>
      </c>
      <c r="C1070" s="31" t="str">
        <f>VLOOKUP(A1070, 'College List'!A:B, 2, FALSE)</f>
        <v>Lorehold</v>
      </c>
      <c r="D1070" s="355">
        <f>VLOOKUP(B1070,Quotas!$A$8:$C$14,2,FALSE)</f>
        <v>46164.70833</v>
      </c>
      <c r="E1070" s="356">
        <f>VLOOKUP(B1070,Quotas!$A$8:$C$14,3,FALSE)</f>
        <v>46171.70833</v>
      </c>
      <c r="F1070" s="79">
        <f>COUNTIFS(Matches!$B:$B,A1070,Matches!$A:$A,CONCAT("&gt;",$D1070),Matches!$A:$A,CONCAT("&lt;",$E1070))</f>
        <v>0</v>
      </c>
      <c r="G1070" s="79">
        <f>COUNTIFS(Matches!$C:$C,$A1070,Matches!$A:$A,CONCAT("&gt;",$D1070),Matches!$A:$A,CONCAT("&lt;",$E1070))</f>
        <v>0</v>
      </c>
      <c r="H1070" s="79">
        <f t="shared" si="1"/>
        <v>0</v>
      </c>
      <c r="I1070" s="79">
        <f>COUNTIFS(Matches!$B:$B,$A1070,Matches!$A:$A,CONCAT("&lt;",$E1070))</f>
        <v>10</v>
      </c>
      <c r="J1070" s="79">
        <f>COUNTIFS(Matches!$C:$C,$A1070,Matches!$A:$A,CONCAT("&lt;",$E1070))</f>
        <v>9</v>
      </c>
      <c r="K1070" s="79">
        <f>COUNTIFS(Entropy!D:D,A1070,Entropy!I:I,CONCAT("&lt;",E1070-1))</f>
        <v>0</v>
      </c>
      <c r="L1070" s="79">
        <f t="shared" si="2"/>
        <v>19</v>
      </c>
      <c r="M1070" s="79">
        <f t="array" ref="M1070">max(min(IF(J1070+K1070=11,0,XLOOKUP(B1070,Quotas!$A$8:$A$14,Quotas!$E$8:$E$14)-$L1070),2),0)</f>
        <v>2</v>
      </c>
      <c r="N1070" s="31">
        <f t="shared" si="3"/>
        <v>0</v>
      </c>
    </row>
    <row r="1071">
      <c r="A1071" s="31" t="s">
        <v>109</v>
      </c>
      <c r="B1071" s="9">
        <v>5.0</v>
      </c>
      <c r="C1071" s="31" t="str">
        <f>VLOOKUP(A1071, 'College List'!A:B, 2, FALSE)</f>
        <v>Silverquill</v>
      </c>
      <c r="D1071" s="355">
        <f>VLOOKUP(B1071,Quotas!$A$8:$C$14,2,FALSE)</f>
        <v>46164.70833</v>
      </c>
      <c r="E1071" s="356">
        <f>VLOOKUP(B1071,Quotas!$A$8:$C$14,3,FALSE)</f>
        <v>46171.70833</v>
      </c>
      <c r="F1071" s="79">
        <f>COUNTIFS(Matches!$B:$B,A1071,Matches!$A:$A,CONCAT("&gt;",$D1071),Matches!$A:$A,CONCAT("&lt;",$E1071))</f>
        <v>0</v>
      </c>
      <c r="G1071" s="79">
        <f>COUNTIFS(Matches!$C:$C,$A1071,Matches!$A:$A,CONCAT("&gt;",$D1071),Matches!$A:$A,CONCAT("&lt;",$E1071))</f>
        <v>0</v>
      </c>
      <c r="H1071" s="79">
        <f t="shared" si="1"/>
        <v>0</v>
      </c>
      <c r="I1071" s="79">
        <f>COUNTIFS(Matches!$B:$B,$A1071,Matches!$A:$A,CONCAT("&lt;",$E1071))</f>
        <v>9</v>
      </c>
      <c r="J1071" s="79">
        <f>COUNTIFS(Matches!$C:$C,$A1071,Matches!$A:$A,CONCAT("&lt;",$E1071))</f>
        <v>10</v>
      </c>
      <c r="K1071" s="79">
        <f>COUNTIFS(Entropy!D:D,A1071,Entropy!I:I,CONCAT("&lt;",E1071-1))</f>
        <v>0</v>
      </c>
      <c r="L1071" s="79">
        <f t="shared" si="2"/>
        <v>19</v>
      </c>
      <c r="M1071" s="79">
        <f t="array" ref="M1071">max(min(IF(J1071+K1071=11,0,XLOOKUP(B1071,Quotas!$A$8:$A$14,Quotas!$E$8:$E$14)-$L1071),2),0)</f>
        <v>2</v>
      </c>
      <c r="N1071" s="31">
        <f t="shared" si="3"/>
        <v>0</v>
      </c>
    </row>
    <row r="1072">
      <c r="A1072" s="31" t="s">
        <v>288</v>
      </c>
      <c r="B1072" s="9">
        <v>5.0</v>
      </c>
      <c r="C1072" s="31" t="str">
        <f>VLOOKUP(A1072, 'College List'!A:B, 2, FALSE)</f>
        <v>Lorehold</v>
      </c>
      <c r="D1072" s="355">
        <f>VLOOKUP(B1072,Quotas!$A$8:$C$14,2,FALSE)</f>
        <v>46164.70833</v>
      </c>
      <c r="E1072" s="356">
        <f>VLOOKUP(B1072,Quotas!$A$8:$C$14,3,FALSE)</f>
        <v>46171.70833</v>
      </c>
      <c r="F1072" s="79">
        <f>COUNTIFS(Matches!$B:$B,A1072,Matches!$A:$A,CONCAT("&gt;",$D1072),Matches!$A:$A,CONCAT("&lt;",$E1072))</f>
        <v>3</v>
      </c>
      <c r="G1072" s="79">
        <f>COUNTIFS(Matches!$C:$C,$A1072,Matches!$A:$A,CONCAT("&gt;",$D1072),Matches!$A:$A,CONCAT("&lt;",$E1072))</f>
        <v>2</v>
      </c>
      <c r="H1072" s="79">
        <f t="shared" si="1"/>
        <v>5</v>
      </c>
      <c r="I1072" s="79">
        <f>COUNTIFS(Matches!$B:$B,$A1072,Matches!$A:$A,CONCAT("&lt;",$E1072))</f>
        <v>16</v>
      </c>
      <c r="J1072" s="79">
        <f>COUNTIFS(Matches!$C:$C,$A1072,Matches!$A:$A,CONCAT("&lt;",$E1072))</f>
        <v>9</v>
      </c>
      <c r="K1072" s="79">
        <f>COUNTIFS(Entropy!D:D,A1072,Entropy!I:I,CONCAT("&lt;",E1072-1))</f>
        <v>0</v>
      </c>
      <c r="L1072" s="79">
        <f t="shared" si="2"/>
        <v>25</v>
      </c>
      <c r="M1072" s="79">
        <f t="array" ref="M1072">max(min(IF(J1072+K1072=11,0,XLOOKUP(B1072,Quotas!$A$8:$A$14,Quotas!$E$8:$E$14)-$L1072),2),0)</f>
        <v>0</v>
      </c>
      <c r="N1072" s="31">
        <f t="shared" si="3"/>
        <v>0</v>
      </c>
    </row>
    <row r="1073">
      <c r="A1073" s="31" t="s">
        <v>184</v>
      </c>
      <c r="B1073" s="9">
        <v>5.0</v>
      </c>
      <c r="C1073" s="31" t="str">
        <f>VLOOKUP(A1073, 'College List'!A:B, 2, FALSE)</f>
        <v>Quandrix</v>
      </c>
      <c r="D1073" s="355">
        <f>VLOOKUP(B1073,Quotas!$A$8:$C$14,2,FALSE)</f>
        <v>46164.70833</v>
      </c>
      <c r="E1073" s="356">
        <f>VLOOKUP(B1073,Quotas!$A$8:$C$14,3,FALSE)</f>
        <v>46171.70833</v>
      </c>
      <c r="F1073" s="79">
        <f>COUNTIFS(Matches!$B:$B,A1073,Matches!$A:$A,CONCAT("&gt;",$D1073),Matches!$A:$A,CONCAT("&lt;",$E1073))</f>
        <v>3</v>
      </c>
      <c r="G1073" s="79">
        <f>COUNTIFS(Matches!$C:$C,$A1073,Matches!$A:$A,CONCAT("&gt;",$D1073),Matches!$A:$A,CONCAT("&lt;",$E1073))</f>
        <v>3</v>
      </c>
      <c r="H1073" s="79">
        <f t="shared" si="1"/>
        <v>6</v>
      </c>
      <c r="I1073" s="79">
        <f>COUNTIFS(Matches!$B:$B,$A1073,Matches!$A:$A,CONCAT("&lt;",$E1073))</f>
        <v>13</v>
      </c>
      <c r="J1073" s="79">
        <f>COUNTIFS(Matches!$C:$C,$A1073,Matches!$A:$A,CONCAT("&lt;",$E1073))</f>
        <v>11</v>
      </c>
      <c r="K1073" s="79">
        <f>COUNTIFS(Entropy!D:D,A1073,Entropy!I:I,CONCAT("&lt;",E1073-1))</f>
        <v>0</v>
      </c>
      <c r="L1073" s="79">
        <f t="shared" si="2"/>
        <v>24</v>
      </c>
      <c r="M1073" s="79">
        <f t="array" ref="M1073">max(min(IF(J1073+K1073=11,0,XLOOKUP(B1073,Quotas!$A$8:$A$14,Quotas!$E$8:$E$14)-$L1073),2),0)</f>
        <v>0</v>
      </c>
      <c r="N1073" s="31">
        <f t="shared" si="3"/>
        <v>0</v>
      </c>
    </row>
    <row r="1074">
      <c r="A1074" s="31" t="s">
        <v>67</v>
      </c>
      <c r="B1074" s="9">
        <v>5.0</v>
      </c>
      <c r="C1074" s="31" t="str">
        <f>VLOOKUP(A1074, 'College List'!A:B, 2, FALSE)</f>
        <v>Silverquill</v>
      </c>
      <c r="D1074" s="355">
        <f>VLOOKUP(B1074,Quotas!$A$8:$C$14,2,FALSE)</f>
        <v>46164.70833</v>
      </c>
      <c r="E1074" s="356">
        <f>VLOOKUP(B1074,Quotas!$A$8:$C$14,3,FALSE)</f>
        <v>46171.70833</v>
      </c>
      <c r="F1074" s="79">
        <f>COUNTIFS(Matches!$B:$B,A1074,Matches!$A:$A,CONCAT("&gt;",$D1074),Matches!$A:$A,CONCAT("&lt;",$E1074))</f>
        <v>0</v>
      </c>
      <c r="G1074" s="79">
        <f>COUNTIFS(Matches!$C:$C,$A1074,Matches!$A:$A,CONCAT("&gt;",$D1074),Matches!$A:$A,CONCAT("&lt;",$E1074))</f>
        <v>0</v>
      </c>
      <c r="H1074" s="79">
        <f t="shared" si="1"/>
        <v>0</v>
      </c>
      <c r="I1074" s="79">
        <f>COUNTIFS(Matches!$B:$B,$A1074,Matches!$A:$A,CONCAT("&lt;",$E1074))</f>
        <v>5</v>
      </c>
      <c r="J1074" s="79">
        <f>COUNTIFS(Matches!$C:$C,$A1074,Matches!$A:$A,CONCAT("&lt;",$E1074))</f>
        <v>11</v>
      </c>
      <c r="K1074" s="79">
        <f>COUNTIFS(Entropy!D:D,A1074,Entropy!I:I,CONCAT("&lt;",E1074-1))</f>
        <v>0</v>
      </c>
      <c r="L1074" s="79">
        <f t="shared" si="2"/>
        <v>16</v>
      </c>
      <c r="M1074" s="79">
        <f t="array" ref="M1074">max(min(IF(J1074+K1074=11,0,XLOOKUP(B1074,Quotas!$A$8:$A$14,Quotas!$E$8:$E$14)-$L1074),2),0)</f>
        <v>0</v>
      </c>
      <c r="N1074" s="31">
        <f t="shared" si="3"/>
        <v>0</v>
      </c>
    </row>
    <row r="1075">
      <c r="A1075" s="31" t="s">
        <v>172</v>
      </c>
      <c r="B1075" s="9">
        <v>5.0</v>
      </c>
      <c r="C1075" s="31" t="str">
        <f>VLOOKUP(A1075, 'College List'!A:B, 2, FALSE)</f>
        <v>Lorehold</v>
      </c>
      <c r="D1075" s="355">
        <f>VLOOKUP(B1075,Quotas!$A$8:$C$14,2,FALSE)</f>
        <v>46164.70833</v>
      </c>
      <c r="E1075" s="356">
        <f>VLOOKUP(B1075,Quotas!$A$8:$C$14,3,FALSE)</f>
        <v>46171.70833</v>
      </c>
      <c r="F1075" s="79">
        <f>COUNTIFS(Matches!$B:$B,A1075,Matches!$A:$A,CONCAT("&gt;",$D1075),Matches!$A:$A,CONCAT("&lt;",$E1075))</f>
        <v>0</v>
      </c>
      <c r="G1075" s="79">
        <f>COUNTIFS(Matches!$C:$C,$A1075,Matches!$A:$A,CONCAT("&gt;",$D1075),Matches!$A:$A,CONCAT("&lt;",$E1075))</f>
        <v>0</v>
      </c>
      <c r="H1075" s="79">
        <f t="shared" si="1"/>
        <v>0</v>
      </c>
      <c r="I1075" s="79">
        <f>COUNTIFS(Matches!$B:$B,$A1075,Matches!$A:$A,CONCAT("&lt;",$E1075))</f>
        <v>1</v>
      </c>
      <c r="J1075" s="79">
        <f>COUNTIFS(Matches!$C:$C,$A1075,Matches!$A:$A,CONCAT("&lt;",$E1075))</f>
        <v>11</v>
      </c>
      <c r="K1075" s="79">
        <f>COUNTIFS(Entropy!D:D,A1075,Entropy!I:I,CONCAT("&lt;",E1075-1))</f>
        <v>0</v>
      </c>
      <c r="L1075" s="79">
        <f t="shared" si="2"/>
        <v>12</v>
      </c>
      <c r="M1075" s="79">
        <f t="array" ref="M1075">max(min(IF(J1075+K1075=11,0,XLOOKUP(B1075,Quotas!$A$8:$A$14,Quotas!$E$8:$E$14)-$L1075),2),0)</f>
        <v>0</v>
      </c>
      <c r="N1075" s="31">
        <f t="shared" si="3"/>
        <v>0</v>
      </c>
    </row>
    <row r="1076">
      <c r="A1076" s="31" t="s">
        <v>399</v>
      </c>
      <c r="B1076" s="9">
        <v>5.0</v>
      </c>
      <c r="C1076" s="31" t="str">
        <f>VLOOKUP(A1076, 'College List'!A:B, 2, FALSE)</f>
        <v>Quandrix</v>
      </c>
      <c r="D1076" s="355">
        <f>VLOOKUP(B1076,Quotas!$A$8:$C$14,2,FALSE)</f>
        <v>46164.70833</v>
      </c>
      <c r="E1076" s="356">
        <f>VLOOKUP(B1076,Quotas!$A$8:$C$14,3,FALSE)</f>
        <v>46171.70833</v>
      </c>
      <c r="F1076" s="79">
        <f>COUNTIFS(Matches!$B:$B,A1076,Matches!$A:$A,CONCAT("&gt;",$D1076),Matches!$A:$A,CONCAT("&lt;",$E1076))</f>
        <v>0</v>
      </c>
      <c r="G1076" s="79">
        <f>COUNTIFS(Matches!$C:$C,$A1076,Matches!$A:$A,CONCAT("&gt;",$D1076),Matches!$A:$A,CONCAT("&lt;",$E1076))</f>
        <v>0</v>
      </c>
      <c r="H1076" s="79">
        <f t="shared" si="1"/>
        <v>0</v>
      </c>
      <c r="I1076" s="79">
        <f>COUNTIFS(Matches!$B:$B,$A1076,Matches!$A:$A,CONCAT("&lt;",$E1076))</f>
        <v>6</v>
      </c>
      <c r="J1076" s="79">
        <f>COUNTIFS(Matches!$C:$C,$A1076,Matches!$A:$A,CONCAT("&lt;",$E1076))</f>
        <v>3</v>
      </c>
      <c r="K1076" s="79">
        <f>COUNTIFS(Entropy!D:D,A1076,Entropy!I:I,CONCAT("&lt;",E1076-1))</f>
        <v>8</v>
      </c>
      <c r="L1076" s="79">
        <f t="shared" si="2"/>
        <v>17</v>
      </c>
      <c r="M1076" s="79">
        <f t="array" ref="M1076">max(min(IF(J1076+K1076=11,0,XLOOKUP(B1076,Quotas!$A$8:$A$14,Quotas!$E$8:$E$14)-$L1076),2),0)</f>
        <v>0</v>
      </c>
      <c r="N1076" s="31">
        <f t="shared" si="3"/>
        <v>0</v>
      </c>
    </row>
    <row r="1077">
      <c r="A1077" s="31" t="s">
        <v>373</v>
      </c>
      <c r="B1077" s="9">
        <v>5.0</v>
      </c>
      <c r="C1077" s="31" t="str">
        <f>VLOOKUP(A1077, 'College List'!A:B, 2, FALSE)</f>
        <v>Quandrix</v>
      </c>
      <c r="D1077" s="355">
        <f>VLOOKUP(B1077,Quotas!$A$8:$C$14,2,FALSE)</f>
        <v>46164.70833</v>
      </c>
      <c r="E1077" s="356">
        <f>VLOOKUP(B1077,Quotas!$A$8:$C$14,3,FALSE)</f>
        <v>46171.70833</v>
      </c>
      <c r="F1077" s="79">
        <f>COUNTIFS(Matches!$B:$B,A1077,Matches!$A:$A,CONCAT("&gt;",$D1077),Matches!$A:$A,CONCAT("&lt;",$E1077))</f>
        <v>4</v>
      </c>
      <c r="G1077" s="79">
        <f>COUNTIFS(Matches!$C:$C,$A1077,Matches!$A:$A,CONCAT("&gt;",$D1077),Matches!$A:$A,CONCAT("&lt;",$E1077))</f>
        <v>0</v>
      </c>
      <c r="H1077" s="79">
        <f t="shared" si="1"/>
        <v>4</v>
      </c>
      <c r="I1077" s="79">
        <f>COUNTIFS(Matches!$B:$B,$A1077,Matches!$A:$A,CONCAT("&lt;",$E1077))</f>
        <v>15</v>
      </c>
      <c r="J1077" s="79">
        <f>COUNTIFS(Matches!$C:$C,$A1077,Matches!$A:$A,CONCAT("&lt;",$E1077))</f>
        <v>9</v>
      </c>
      <c r="K1077" s="79">
        <f>COUNTIFS(Entropy!D:D,A1077,Entropy!I:I,CONCAT("&lt;",E1077-1))</f>
        <v>0</v>
      </c>
      <c r="L1077" s="79">
        <f t="shared" si="2"/>
        <v>24</v>
      </c>
      <c r="M1077" s="79">
        <f t="array" ref="M1077">max(min(IF(J1077+K1077=11,0,XLOOKUP(B1077,Quotas!$A$8:$A$14,Quotas!$E$8:$E$14)-$L1077),2),0)</f>
        <v>1</v>
      </c>
      <c r="N1077" s="31">
        <f t="shared" si="3"/>
        <v>0.5</v>
      </c>
    </row>
    <row r="1078">
      <c r="A1078" s="31" t="s">
        <v>217</v>
      </c>
      <c r="B1078" s="9">
        <v>5.0</v>
      </c>
      <c r="C1078" s="31" t="str">
        <f>VLOOKUP(A1078, 'College List'!A:B, 2, FALSE)</f>
        <v>Lorehold</v>
      </c>
      <c r="D1078" s="355">
        <f>VLOOKUP(B1078,Quotas!$A$8:$C$14,2,FALSE)</f>
        <v>46164.70833</v>
      </c>
      <c r="E1078" s="356">
        <f>VLOOKUP(B1078,Quotas!$A$8:$C$14,3,FALSE)</f>
        <v>46171.70833</v>
      </c>
      <c r="F1078" s="79">
        <f>COUNTIFS(Matches!$B:$B,A1078,Matches!$A:$A,CONCAT("&gt;",$D1078),Matches!$A:$A,CONCAT("&lt;",$E1078))</f>
        <v>2</v>
      </c>
      <c r="G1078" s="79">
        <f>COUNTIFS(Matches!$C:$C,$A1078,Matches!$A:$A,CONCAT("&gt;",$D1078),Matches!$A:$A,CONCAT("&lt;",$E1078))</f>
        <v>3</v>
      </c>
      <c r="H1078" s="79">
        <f t="shared" si="1"/>
        <v>5</v>
      </c>
      <c r="I1078" s="79">
        <f>COUNTIFS(Matches!$B:$B,$A1078,Matches!$A:$A,CONCAT("&lt;",$E1078))</f>
        <v>15</v>
      </c>
      <c r="J1078" s="79">
        <f>COUNTIFS(Matches!$C:$C,$A1078,Matches!$A:$A,CONCAT("&lt;",$E1078))</f>
        <v>10</v>
      </c>
      <c r="K1078" s="79">
        <f>COUNTIFS(Entropy!D:D,A1078,Entropy!I:I,CONCAT("&lt;",E1078-1))</f>
        <v>0</v>
      </c>
      <c r="L1078" s="79">
        <f t="shared" si="2"/>
        <v>25</v>
      </c>
      <c r="M1078" s="79">
        <f t="array" ref="M1078">max(min(IF(J1078+K1078=11,0,XLOOKUP(B1078,Quotas!$A$8:$A$14,Quotas!$E$8:$E$14)-$L1078),2),0)</f>
        <v>0</v>
      </c>
      <c r="N1078" s="31">
        <f t="shared" si="3"/>
        <v>0</v>
      </c>
    </row>
    <row r="1079">
      <c r="A1079" s="31" t="s">
        <v>286</v>
      </c>
      <c r="B1079" s="9">
        <v>5.0</v>
      </c>
      <c r="C1079" s="31" t="str">
        <f>VLOOKUP(A1079, 'College List'!A:B, 2, FALSE)</f>
        <v>Silverquill</v>
      </c>
      <c r="D1079" s="355">
        <f>VLOOKUP(B1079,Quotas!$A$8:$C$14,2,FALSE)</f>
        <v>46164.70833</v>
      </c>
      <c r="E1079" s="356">
        <f>VLOOKUP(B1079,Quotas!$A$8:$C$14,3,FALSE)</f>
        <v>46171.70833</v>
      </c>
      <c r="F1079" s="79">
        <f>COUNTIFS(Matches!$B:$B,A1079,Matches!$A:$A,CONCAT("&gt;",$D1079),Matches!$A:$A,CONCAT("&lt;",$E1079))</f>
        <v>0</v>
      </c>
      <c r="G1079" s="79">
        <f>COUNTIFS(Matches!$C:$C,$A1079,Matches!$A:$A,CONCAT("&gt;",$D1079),Matches!$A:$A,CONCAT("&lt;",$E1079))</f>
        <v>2</v>
      </c>
      <c r="H1079" s="79">
        <f t="shared" si="1"/>
        <v>2</v>
      </c>
      <c r="I1079" s="79">
        <f>COUNTIFS(Matches!$B:$B,$A1079,Matches!$A:$A,CONCAT("&lt;",$E1079))</f>
        <v>11</v>
      </c>
      <c r="J1079" s="79">
        <f>COUNTIFS(Matches!$C:$C,$A1079,Matches!$A:$A,CONCAT("&lt;",$E1079))</f>
        <v>11</v>
      </c>
      <c r="K1079" s="79">
        <f>COUNTIFS(Entropy!D:D,A1079,Entropy!I:I,CONCAT("&lt;",E1079-1))</f>
        <v>0</v>
      </c>
      <c r="L1079" s="79">
        <f t="shared" si="2"/>
        <v>22</v>
      </c>
      <c r="M1079" s="79">
        <f t="array" ref="M1079">max(min(IF(J1079+K1079=11,0,XLOOKUP(B1079,Quotas!$A$8:$A$14,Quotas!$E$8:$E$14)-$L1079),2),0)</f>
        <v>0</v>
      </c>
      <c r="N1079" s="31">
        <f t="shared" si="3"/>
        <v>0</v>
      </c>
    </row>
    <row r="1080">
      <c r="A1080" s="31" t="s">
        <v>336</v>
      </c>
      <c r="B1080" s="9">
        <v>5.0</v>
      </c>
      <c r="C1080" s="31" t="str">
        <f>VLOOKUP(A1080, 'College List'!A:B, 2, FALSE)</f>
        <v>Prismari</v>
      </c>
      <c r="D1080" s="355">
        <f>VLOOKUP(B1080,Quotas!$A$8:$C$14,2,FALSE)</f>
        <v>46164.70833</v>
      </c>
      <c r="E1080" s="356">
        <f>VLOOKUP(B1080,Quotas!$A$8:$C$14,3,FALSE)</f>
        <v>46171.70833</v>
      </c>
      <c r="F1080" s="79">
        <f>COUNTIFS(Matches!$B:$B,A1080,Matches!$A:$A,CONCAT("&gt;",$D1080),Matches!$A:$A,CONCAT("&lt;",$E1080))</f>
        <v>0</v>
      </c>
      <c r="G1080" s="79">
        <f>COUNTIFS(Matches!$C:$C,$A1080,Matches!$A:$A,CONCAT("&gt;",$D1080),Matches!$A:$A,CONCAT("&lt;",$E1080))</f>
        <v>1</v>
      </c>
      <c r="H1080" s="79">
        <f t="shared" si="1"/>
        <v>1</v>
      </c>
      <c r="I1080" s="79">
        <f>COUNTIFS(Matches!$B:$B,$A1080,Matches!$A:$A,CONCAT("&lt;",$E1080))</f>
        <v>10</v>
      </c>
      <c r="J1080" s="79">
        <f>COUNTIFS(Matches!$C:$C,$A1080,Matches!$A:$A,CONCAT("&lt;",$E1080))</f>
        <v>11</v>
      </c>
      <c r="K1080" s="79">
        <f>COUNTIFS(Entropy!D:D,A1080,Entropy!I:I,CONCAT("&lt;",E1080-1))</f>
        <v>0</v>
      </c>
      <c r="L1080" s="79">
        <f t="shared" si="2"/>
        <v>21</v>
      </c>
      <c r="M1080" s="79">
        <f t="array" ref="M1080">max(min(IF(J1080+K1080=11,0,XLOOKUP(B1080,Quotas!$A$8:$A$14,Quotas!$E$8:$E$14)-$L1080),2),0)</f>
        <v>0</v>
      </c>
      <c r="N1080" s="31">
        <f t="shared" si="3"/>
        <v>0</v>
      </c>
    </row>
    <row r="1081">
      <c r="A1081" s="31" t="s">
        <v>281</v>
      </c>
      <c r="B1081" s="9">
        <v>5.0</v>
      </c>
      <c r="C1081" s="31" t="str">
        <f>VLOOKUP(A1081, 'College List'!A:B, 2, FALSE)</f>
        <v>Witherbloom</v>
      </c>
      <c r="D1081" s="355">
        <f>VLOOKUP(B1081,Quotas!$A$8:$C$14,2,FALSE)</f>
        <v>46164.70833</v>
      </c>
      <c r="E1081" s="356">
        <f>VLOOKUP(B1081,Quotas!$A$8:$C$14,3,FALSE)</f>
        <v>46171.70833</v>
      </c>
      <c r="F1081" s="79">
        <f>COUNTIFS(Matches!$B:$B,A1081,Matches!$A:$A,CONCAT("&gt;",$D1081),Matches!$A:$A,CONCAT("&lt;",$E1081))</f>
        <v>4</v>
      </c>
      <c r="G1081" s="79">
        <f>COUNTIFS(Matches!$C:$C,$A1081,Matches!$A:$A,CONCAT("&gt;",$D1081),Matches!$A:$A,CONCAT("&lt;",$E1081))</f>
        <v>1</v>
      </c>
      <c r="H1081" s="79">
        <f t="shared" si="1"/>
        <v>5</v>
      </c>
      <c r="I1081" s="79">
        <f>COUNTIFS(Matches!$B:$B,$A1081,Matches!$A:$A,CONCAT("&lt;",$E1081))</f>
        <v>16</v>
      </c>
      <c r="J1081" s="79">
        <f>COUNTIFS(Matches!$C:$C,$A1081,Matches!$A:$A,CONCAT("&lt;",$E1081))</f>
        <v>9</v>
      </c>
      <c r="K1081" s="79">
        <f>COUNTIFS(Entropy!D:D,A1081,Entropy!I:I,CONCAT("&lt;",E1081-1))</f>
        <v>0</v>
      </c>
      <c r="L1081" s="79">
        <f t="shared" si="2"/>
        <v>25</v>
      </c>
      <c r="M1081" s="79">
        <f t="array" ref="M1081">max(min(IF(J1081+K1081=11,0,XLOOKUP(B1081,Quotas!$A$8:$A$14,Quotas!$E$8:$E$14)-$L1081),2),0)</f>
        <v>0</v>
      </c>
      <c r="N1081" s="31">
        <f t="shared" si="3"/>
        <v>0</v>
      </c>
    </row>
    <row r="1082">
      <c r="A1082" s="31" t="s">
        <v>406</v>
      </c>
      <c r="B1082" s="9">
        <v>5.0</v>
      </c>
      <c r="C1082" s="31" t="str">
        <f>VLOOKUP(A1082, 'College List'!A:B, 2, FALSE)</f>
        <v>Lorehold</v>
      </c>
      <c r="D1082" s="355">
        <f>VLOOKUP(B1082,Quotas!$A$8:$C$14,2,FALSE)</f>
        <v>46164.70833</v>
      </c>
      <c r="E1082" s="356">
        <f>VLOOKUP(B1082,Quotas!$A$8:$C$14,3,FALSE)</f>
        <v>46171.70833</v>
      </c>
      <c r="F1082" s="79">
        <f>COUNTIFS(Matches!$B:$B,A1082,Matches!$A:$A,CONCAT("&gt;",$D1082),Matches!$A:$A,CONCAT("&lt;",$E1082))</f>
        <v>0</v>
      </c>
      <c r="G1082" s="79">
        <f>COUNTIFS(Matches!$C:$C,$A1082,Matches!$A:$A,CONCAT("&gt;",$D1082),Matches!$A:$A,CONCAT("&lt;",$E1082))</f>
        <v>0</v>
      </c>
      <c r="H1082" s="79">
        <f t="shared" si="1"/>
        <v>0</v>
      </c>
      <c r="I1082" s="79">
        <f>COUNTIFS(Matches!$B:$B,$A1082,Matches!$A:$A,CONCAT("&lt;",$E1082))</f>
        <v>1</v>
      </c>
      <c r="J1082" s="79">
        <f>COUNTIFS(Matches!$C:$C,$A1082,Matches!$A:$A,CONCAT("&lt;",$E1082))</f>
        <v>8</v>
      </c>
      <c r="K1082" s="79">
        <f>COUNTIFS(Entropy!D:D,A1082,Entropy!I:I,CONCAT("&lt;",E1082-1))</f>
        <v>3</v>
      </c>
      <c r="L1082" s="79">
        <f t="shared" si="2"/>
        <v>12</v>
      </c>
      <c r="M1082" s="79">
        <f t="array" ref="M1082">max(min(IF(J1082+K1082=11,0,XLOOKUP(B1082,Quotas!$A$8:$A$14,Quotas!$E$8:$E$14)-$L1082),2),0)</f>
        <v>0</v>
      </c>
      <c r="N1082" s="31">
        <f t="shared" si="3"/>
        <v>0</v>
      </c>
    </row>
    <row r="1083">
      <c r="A1083" s="31" t="s">
        <v>18</v>
      </c>
      <c r="B1083" s="9">
        <v>5.0</v>
      </c>
      <c r="C1083" s="31" t="str">
        <f>VLOOKUP(A1083, 'College List'!A:B, 2, FALSE)</f>
        <v>Lorehold</v>
      </c>
      <c r="D1083" s="355">
        <f>VLOOKUP(B1083,Quotas!$A$8:$C$14,2,FALSE)</f>
        <v>46164.70833</v>
      </c>
      <c r="E1083" s="356">
        <f>VLOOKUP(B1083,Quotas!$A$8:$C$14,3,FALSE)</f>
        <v>46171.70833</v>
      </c>
      <c r="F1083" s="79">
        <f>COUNTIFS(Matches!$B:$B,A1083,Matches!$A:$A,CONCAT("&gt;",$D1083),Matches!$A:$A,CONCAT("&lt;",$E1083))</f>
        <v>4</v>
      </c>
      <c r="G1083" s="79">
        <f>COUNTIFS(Matches!$C:$C,$A1083,Matches!$A:$A,CONCAT("&gt;",$D1083),Matches!$A:$A,CONCAT("&lt;",$E1083))</f>
        <v>1</v>
      </c>
      <c r="H1083" s="79">
        <f t="shared" si="1"/>
        <v>5</v>
      </c>
      <c r="I1083" s="79">
        <f>COUNTIFS(Matches!$B:$B,$A1083,Matches!$A:$A,CONCAT("&lt;",$E1083))</f>
        <v>17</v>
      </c>
      <c r="J1083" s="79">
        <f>COUNTIFS(Matches!$C:$C,$A1083,Matches!$A:$A,CONCAT("&lt;",$E1083))</f>
        <v>8</v>
      </c>
      <c r="K1083" s="79">
        <f>COUNTIFS(Entropy!D:D,A1083,Entropy!I:I,CONCAT("&lt;",E1083-1))</f>
        <v>0</v>
      </c>
      <c r="L1083" s="79">
        <f t="shared" si="2"/>
        <v>25</v>
      </c>
      <c r="M1083" s="79">
        <f t="array" ref="M1083">max(min(IF(J1083+K1083=11,0,XLOOKUP(B1083,Quotas!$A$8:$A$14,Quotas!$E$8:$E$14)-$L1083),2),0)</f>
        <v>0</v>
      </c>
      <c r="N1083" s="31">
        <f t="shared" si="3"/>
        <v>0</v>
      </c>
    </row>
    <row r="1084">
      <c r="A1084" s="31" t="s">
        <v>278</v>
      </c>
      <c r="B1084" s="9">
        <v>5.0</v>
      </c>
      <c r="C1084" s="31" t="str">
        <f>VLOOKUP(A1084, 'College List'!A:B, 2, FALSE)</f>
        <v>Lorehold</v>
      </c>
      <c r="D1084" s="355">
        <f>VLOOKUP(B1084,Quotas!$A$8:$C$14,2,FALSE)</f>
        <v>46164.70833</v>
      </c>
      <c r="E1084" s="356">
        <f>VLOOKUP(B1084,Quotas!$A$8:$C$14,3,FALSE)</f>
        <v>46171.70833</v>
      </c>
      <c r="F1084" s="79">
        <f>COUNTIFS(Matches!$B:$B,A1084,Matches!$A:$A,CONCAT("&gt;",$D1084),Matches!$A:$A,CONCAT("&lt;",$E1084))</f>
        <v>0</v>
      </c>
      <c r="G1084" s="79">
        <f>COUNTIFS(Matches!$C:$C,$A1084,Matches!$A:$A,CONCAT("&gt;",$D1084),Matches!$A:$A,CONCAT("&lt;",$E1084))</f>
        <v>0</v>
      </c>
      <c r="H1084" s="79">
        <f t="shared" si="1"/>
        <v>0</v>
      </c>
      <c r="I1084" s="79">
        <f>COUNTIFS(Matches!$B:$B,$A1084,Matches!$A:$A,CONCAT("&lt;",$E1084))</f>
        <v>4</v>
      </c>
      <c r="J1084" s="79">
        <f>COUNTIFS(Matches!$C:$C,$A1084,Matches!$A:$A,CONCAT("&lt;",$E1084))</f>
        <v>11</v>
      </c>
      <c r="K1084" s="79">
        <f>COUNTIFS(Entropy!D:D,A1084,Entropy!I:I,CONCAT("&lt;",E1084-1))</f>
        <v>0</v>
      </c>
      <c r="L1084" s="79">
        <f t="shared" si="2"/>
        <v>15</v>
      </c>
      <c r="M1084" s="79">
        <f t="array" ref="M1084">max(min(IF(J1084+K1084=11,0,XLOOKUP(B1084,Quotas!$A$8:$A$14,Quotas!$E$8:$E$14)-$L1084),2),0)</f>
        <v>0</v>
      </c>
      <c r="N1084" s="31">
        <f t="shared" si="3"/>
        <v>0</v>
      </c>
    </row>
    <row r="1085">
      <c r="A1085" s="31" t="s">
        <v>293</v>
      </c>
      <c r="B1085" s="9">
        <v>5.0</v>
      </c>
      <c r="C1085" s="31" t="str">
        <f>VLOOKUP(A1085, 'College List'!A:B, 2, FALSE)</f>
        <v>Prismari</v>
      </c>
      <c r="D1085" s="355">
        <f>VLOOKUP(B1085,Quotas!$A$8:$C$14,2,FALSE)</f>
        <v>46164.70833</v>
      </c>
      <c r="E1085" s="356">
        <f>VLOOKUP(B1085,Quotas!$A$8:$C$14,3,FALSE)</f>
        <v>46171.70833</v>
      </c>
      <c r="F1085" s="79">
        <f>COUNTIFS(Matches!$B:$B,A1085,Matches!$A:$A,CONCAT("&gt;",$D1085),Matches!$A:$A,CONCAT("&lt;",$E1085))</f>
        <v>0</v>
      </c>
      <c r="G1085" s="79">
        <f>COUNTIFS(Matches!$C:$C,$A1085,Matches!$A:$A,CONCAT("&gt;",$D1085),Matches!$A:$A,CONCAT("&lt;",$E1085))</f>
        <v>0</v>
      </c>
      <c r="H1085" s="79">
        <f t="shared" si="1"/>
        <v>0</v>
      </c>
      <c r="I1085" s="79">
        <f>COUNTIFS(Matches!$B:$B,$A1085,Matches!$A:$A,CONCAT("&lt;",$E1085))</f>
        <v>2</v>
      </c>
      <c r="J1085" s="79">
        <f>COUNTIFS(Matches!$C:$C,$A1085,Matches!$A:$A,CONCAT("&lt;",$E1085))</f>
        <v>4</v>
      </c>
      <c r="K1085" s="79">
        <f>COUNTIFS(Entropy!D:D,A1085,Entropy!I:I,CONCAT("&lt;",E1085-1))</f>
        <v>7</v>
      </c>
      <c r="L1085" s="79">
        <f t="shared" si="2"/>
        <v>13</v>
      </c>
      <c r="M1085" s="79">
        <f t="array" ref="M1085">max(min(IF(J1085+K1085=11,0,XLOOKUP(B1085,Quotas!$A$8:$A$14,Quotas!$E$8:$E$14)-$L1085),2),0)</f>
        <v>0</v>
      </c>
      <c r="N1085" s="31">
        <f t="shared" si="3"/>
        <v>0</v>
      </c>
    </row>
    <row r="1086">
      <c r="A1086" s="31" t="s">
        <v>93</v>
      </c>
      <c r="B1086" s="9">
        <v>5.0</v>
      </c>
      <c r="C1086" s="31" t="str">
        <f>VLOOKUP(A1086, 'College List'!A:B, 2, FALSE)</f>
        <v>Silverquill</v>
      </c>
      <c r="D1086" s="355">
        <f>VLOOKUP(B1086,Quotas!$A$8:$C$14,2,FALSE)</f>
        <v>46164.70833</v>
      </c>
      <c r="E1086" s="356">
        <f>VLOOKUP(B1086,Quotas!$A$8:$C$14,3,FALSE)</f>
        <v>46171.70833</v>
      </c>
      <c r="F1086" s="79">
        <f>COUNTIFS(Matches!$B:$B,A1086,Matches!$A:$A,CONCAT("&gt;",$D1086),Matches!$A:$A,CONCAT("&lt;",$E1086))</f>
        <v>0</v>
      </c>
      <c r="G1086" s="79">
        <f>COUNTIFS(Matches!$C:$C,$A1086,Matches!$A:$A,CONCAT("&gt;",$D1086),Matches!$A:$A,CONCAT("&lt;",$E1086))</f>
        <v>0</v>
      </c>
      <c r="H1086" s="79">
        <f t="shared" si="1"/>
        <v>0</v>
      </c>
      <c r="I1086" s="79">
        <f>COUNTIFS(Matches!$B:$B,$A1086,Matches!$A:$A,CONCAT("&lt;",$E1086))</f>
        <v>3</v>
      </c>
      <c r="J1086" s="79">
        <f>COUNTIFS(Matches!$C:$C,$A1086,Matches!$A:$A,CONCAT("&lt;",$E1086))</f>
        <v>8</v>
      </c>
      <c r="K1086" s="79">
        <f>COUNTIFS(Entropy!D:D,A1086,Entropy!I:I,CONCAT("&lt;",E1086-1))</f>
        <v>3</v>
      </c>
      <c r="L1086" s="79">
        <f t="shared" si="2"/>
        <v>14</v>
      </c>
      <c r="M1086" s="79">
        <f t="array" ref="M1086">max(min(IF(J1086+K1086=11,0,XLOOKUP(B1086,Quotas!$A$8:$A$14,Quotas!$E$8:$E$14)-$L1086),2),0)</f>
        <v>0</v>
      </c>
      <c r="N1086" s="31">
        <f t="shared" si="3"/>
        <v>0</v>
      </c>
    </row>
    <row r="1087">
      <c r="A1087" s="31" t="s">
        <v>263</v>
      </c>
      <c r="B1087" s="9">
        <v>5.0</v>
      </c>
      <c r="C1087" s="31" t="str">
        <f>VLOOKUP(A1087, 'College List'!A:B, 2, FALSE)</f>
        <v>Prismari</v>
      </c>
      <c r="D1087" s="355">
        <f>VLOOKUP(B1087,Quotas!$A$8:$C$14,2,FALSE)</f>
        <v>46164.70833</v>
      </c>
      <c r="E1087" s="356">
        <f>VLOOKUP(B1087,Quotas!$A$8:$C$14,3,FALSE)</f>
        <v>46171.70833</v>
      </c>
      <c r="F1087" s="79">
        <f>COUNTIFS(Matches!$B:$B,A1087,Matches!$A:$A,CONCAT("&gt;",$D1087),Matches!$A:$A,CONCAT("&lt;",$E1087))</f>
        <v>2</v>
      </c>
      <c r="G1087" s="79">
        <f>COUNTIFS(Matches!$C:$C,$A1087,Matches!$A:$A,CONCAT("&gt;",$D1087),Matches!$A:$A,CONCAT("&lt;",$E1087))</f>
        <v>3</v>
      </c>
      <c r="H1087" s="79">
        <f t="shared" si="1"/>
        <v>5</v>
      </c>
      <c r="I1087" s="79">
        <f>COUNTIFS(Matches!$B:$B,$A1087,Matches!$A:$A,CONCAT("&lt;",$E1087))</f>
        <v>17</v>
      </c>
      <c r="J1087" s="79">
        <f>COUNTIFS(Matches!$C:$C,$A1087,Matches!$A:$A,CONCAT("&lt;",$E1087))</f>
        <v>8</v>
      </c>
      <c r="K1087" s="79">
        <f>COUNTIFS(Entropy!D:D,A1087,Entropy!I:I,CONCAT("&lt;",E1087-1))</f>
        <v>0</v>
      </c>
      <c r="L1087" s="79">
        <f t="shared" si="2"/>
        <v>25</v>
      </c>
      <c r="M1087" s="79">
        <f t="array" ref="M1087">max(min(IF(J1087+K1087=11,0,XLOOKUP(B1087,Quotas!$A$8:$A$14,Quotas!$E$8:$E$14)-$L1087),2),0)</f>
        <v>0</v>
      </c>
      <c r="N1087" s="31">
        <f t="shared" si="3"/>
        <v>0</v>
      </c>
    </row>
    <row r="1088">
      <c r="A1088" s="31" t="s">
        <v>359</v>
      </c>
      <c r="B1088" s="9">
        <v>5.0</v>
      </c>
      <c r="C1088" s="31" t="str">
        <f>VLOOKUP(A1088, 'College List'!A:B, 2, FALSE)</f>
        <v>Quandrix</v>
      </c>
      <c r="D1088" s="355">
        <f>VLOOKUP(B1088,Quotas!$A$8:$C$14,2,FALSE)</f>
        <v>46164.70833</v>
      </c>
      <c r="E1088" s="356">
        <f>VLOOKUP(B1088,Quotas!$A$8:$C$14,3,FALSE)</f>
        <v>46171.70833</v>
      </c>
      <c r="F1088" s="79">
        <f>COUNTIFS(Matches!$B:$B,A1088,Matches!$A:$A,CONCAT("&gt;",$D1088),Matches!$A:$A,CONCAT("&lt;",$E1088))</f>
        <v>0</v>
      </c>
      <c r="G1088" s="79">
        <f>COUNTIFS(Matches!$C:$C,$A1088,Matches!$A:$A,CONCAT("&gt;",$D1088),Matches!$A:$A,CONCAT("&lt;",$E1088))</f>
        <v>0</v>
      </c>
      <c r="H1088" s="79">
        <f t="shared" si="1"/>
        <v>0</v>
      </c>
      <c r="I1088" s="79">
        <f>COUNTIFS(Matches!$B:$B,$A1088,Matches!$A:$A,CONCAT("&lt;",$E1088))</f>
        <v>4</v>
      </c>
      <c r="J1088" s="79">
        <f>COUNTIFS(Matches!$C:$C,$A1088,Matches!$A:$A,CONCAT("&lt;",$E1088))</f>
        <v>11</v>
      </c>
      <c r="K1088" s="79">
        <f>COUNTIFS(Entropy!D:D,A1088,Entropy!I:I,CONCAT("&lt;",E1088-1))</f>
        <v>0</v>
      </c>
      <c r="L1088" s="79">
        <f t="shared" si="2"/>
        <v>15</v>
      </c>
      <c r="M1088" s="79">
        <f t="array" ref="M1088">max(min(IF(J1088+K1088=11,0,XLOOKUP(B1088,Quotas!$A$8:$A$14,Quotas!$E$8:$E$14)-$L1088),2),0)</f>
        <v>0</v>
      </c>
      <c r="N1088" s="31">
        <f t="shared" si="3"/>
        <v>0</v>
      </c>
    </row>
    <row r="1089">
      <c r="A1089" s="31" t="s">
        <v>134</v>
      </c>
      <c r="B1089" s="9">
        <v>5.0</v>
      </c>
      <c r="C1089" s="31" t="str">
        <f>VLOOKUP(A1089, 'College List'!A:B, 2, FALSE)</f>
        <v>Witherbloom</v>
      </c>
      <c r="D1089" s="355">
        <f>VLOOKUP(B1089,Quotas!$A$8:$C$14,2,FALSE)</f>
        <v>46164.70833</v>
      </c>
      <c r="E1089" s="356">
        <f>VLOOKUP(B1089,Quotas!$A$8:$C$14,3,FALSE)</f>
        <v>46171.70833</v>
      </c>
      <c r="F1089" s="79">
        <f>COUNTIFS(Matches!$B:$B,A1089,Matches!$A:$A,CONCAT("&gt;",$D1089),Matches!$A:$A,CONCAT("&lt;",$E1089))</f>
        <v>0</v>
      </c>
      <c r="G1089" s="79">
        <f>COUNTIFS(Matches!$C:$C,$A1089,Matches!$A:$A,CONCAT("&gt;",$D1089),Matches!$A:$A,CONCAT("&lt;",$E1089))</f>
        <v>0</v>
      </c>
      <c r="H1089" s="79">
        <f t="shared" si="1"/>
        <v>0</v>
      </c>
      <c r="I1089" s="79">
        <f>COUNTIFS(Matches!$B:$B,$A1089,Matches!$A:$A,CONCAT("&lt;",$E1089))</f>
        <v>5</v>
      </c>
      <c r="J1089" s="79">
        <f>COUNTIFS(Matches!$C:$C,$A1089,Matches!$A:$A,CONCAT("&lt;",$E1089))</f>
        <v>11</v>
      </c>
      <c r="K1089" s="79">
        <f>COUNTIFS(Entropy!D:D,A1089,Entropy!I:I,CONCAT("&lt;",E1089-1))</f>
        <v>0</v>
      </c>
      <c r="L1089" s="79">
        <f t="shared" si="2"/>
        <v>16</v>
      </c>
      <c r="M1089" s="79">
        <f t="array" ref="M1089">max(min(IF(J1089+K1089=11,0,XLOOKUP(B1089,Quotas!$A$8:$A$14,Quotas!$E$8:$E$14)-$L1089),2),0)</f>
        <v>0</v>
      </c>
      <c r="N1089" s="31">
        <f t="shared" si="3"/>
        <v>0</v>
      </c>
    </row>
    <row r="1090">
      <c r="A1090" s="31" t="s">
        <v>301</v>
      </c>
      <c r="B1090" s="9">
        <v>5.0</v>
      </c>
      <c r="C1090" s="31" t="str">
        <f>VLOOKUP(A1090, 'College List'!A:B, 2, FALSE)</f>
        <v>Lorehold</v>
      </c>
      <c r="D1090" s="355">
        <f>VLOOKUP(B1090,Quotas!$A$8:$C$14,2,FALSE)</f>
        <v>46164.70833</v>
      </c>
      <c r="E1090" s="356">
        <f>VLOOKUP(B1090,Quotas!$A$8:$C$14,3,FALSE)</f>
        <v>46171.70833</v>
      </c>
      <c r="F1090" s="79">
        <f>COUNTIFS(Matches!$B:$B,A1090,Matches!$A:$A,CONCAT("&gt;",$D1090),Matches!$A:$A,CONCAT("&lt;",$E1090))</f>
        <v>0</v>
      </c>
      <c r="G1090" s="79">
        <f>COUNTIFS(Matches!$C:$C,$A1090,Matches!$A:$A,CONCAT("&gt;",$D1090),Matches!$A:$A,CONCAT("&lt;",$E1090))</f>
        <v>0</v>
      </c>
      <c r="H1090" s="79">
        <f t="shared" si="1"/>
        <v>0</v>
      </c>
      <c r="I1090" s="79">
        <f>COUNTIFS(Matches!$B:$B,$A1090,Matches!$A:$A,CONCAT("&lt;",$E1090))</f>
        <v>7</v>
      </c>
      <c r="J1090" s="79">
        <f>COUNTIFS(Matches!$C:$C,$A1090,Matches!$A:$A,CONCAT("&lt;",$E1090))</f>
        <v>11</v>
      </c>
      <c r="K1090" s="79">
        <f>COUNTIFS(Entropy!D:D,A1090,Entropy!I:I,CONCAT("&lt;",E1090-1))</f>
        <v>0</v>
      </c>
      <c r="L1090" s="79">
        <f t="shared" si="2"/>
        <v>18</v>
      </c>
      <c r="M1090" s="79">
        <f t="array" ref="M1090">max(min(IF(J1090+K1090=11,0,XLOOKUP(B1090,Quotas!$A$8:$A$14,Quotas!$E$8:$E$14)-$L1090),2),0)</f>
        <v>0</v>
      </c>
      <c r="N1090" s="31">
        <f t="shared" si="3"/>
        <v>0</v>
      </c>
    </row>
    <row r="1091">
      <c r="A1091" s="31" t="s">
        <v>355</v>
      </c>
      <c r="B1091" s="9">
        <v>5.0</v>
      </c>
      <c r="C1091" s="31" t="str">
        <f>VLOOKUP(A1091, 'College List'!A:B, 2, FALSE)</f>
        <v>Prismari</v>
      </c>
      <c r="D1091" s="355">
        <f>VLOOKUP(B1091,Quotas!$A$8:$C$14,2,FALSE)</f>
        <v>46164.70833</v>
      </c>
      <c r="E1091" s="356">
        <f>VLOOKUP(B1091,Quotas!$A$8:$C$14,3,FALSE)</f>
        <v>46171.70833</v>
      </c>
      <c r="F1091" s="79">
        <f>COUNTIFS(Matches!$B:$B,A1091,Matches!$A:$A,CONCAT("&gt;",$D1091),Matches!$A:$A,CONCAT("&lt;",$E1091))</f>
        <v>0</v>
      </c>
      <c r="G1091" s="79">
        <f>COUNTIFS(Matches!$C:$C,$A1091,Matches!$A:$A,CONCAT("&gt;",$D1091),Matches!$A:$A,CONCAT("&lt;",$E1091))</f>
        <v>0</v>
      </c>
      <c r="H1091" s="79">
        <f t="shared" si="1"/>
        <v>0</v>
      </c>
      <c r="I1091" s="79">
        <f>COUNTIFS(Matches!$B:$B,$A1091,Matches!$A:$A,CONCAT("&lt;",$E1091))</f>
        <v>5</v>
      </c>
      <c r="J1091" s="79">
        <f>COUNTIFS(Matches!$C:$C,$A1091,Matches!$A:$A,CONCAT("&lt;",$E1091))</f>
        <v>11</v>
      </c>
      <c r="K1091" s="79">
        <f>COUNTIFS(Entropy!D:D,A1091,Entropy!I:I,CONCAT("&lt;",E1091-1))</f>
        <v>0</v>
      </c>
      <c r="L1091" s="79">
        <f t="shared" si="2"/>
        <v>16</v>
      </c>
      <c r="M1091" s="79">
        <f t="array" ref="M1091">max(min(IF(J1091+K1091=11,0,XLOOKUP(B1091,Quotas!$A$8:$A$14,Quotas!$E$8:$E$14)-$L1091),2),0)</f>
        <v>0</v>
      </c>
      <c r="N1091" s="31">
        <f t="shared" si="3"/>
        <v>0</v>
      </c>
    </row>
    <row r="1092">
      <c r="A1092" s="31" t="s">
        <v>277</v>
      </c>
      <c r="B1092" s="9">
        <v>5.0</v>
      </c>
      <c r="C1092" s="31" t="str">
        <f>VLOOKUP(A1092, 'College List'!A:B, 2, FALSE)</f>
        <v>Witherbloom</v>
      </c>
      <c r="D1092" s="355">
        <f>VLOOKUP(B1092,Quotas!$A$8:$C$14,2,FALSE)</f>
        <v>46164.70833</v>
      </c>
      <c r="E1092" s="356">
        <f>VLOOKUP(B1092,Quotas!$A$8:$C$14,3,FALSE)</f>
        <v>46171.70833</v>
      </c>
      <c r="F1092" s="79">
        <f>COUNTIFS(Matches!$B:$B,A1092,Matches!$A:$A,CONCAT("&gt;",$D1092),Matches!$A:$A,CONCAT("&lt;",$E1092))</f>
        <v>1</v>
      </c>
      <c r="G1092" s="79">
        <f>COUNTIFS(Matches!$C:$C,$A1092,Matches!$A:$A,CONCAT("&gt;",$D1092),Matches!$A:$A,CONCAT("&lt;",$E1092))</f>
        <v>3</v>
      </c>
      <c r="H1092" s="79">
        <f t="shared" si="1"/>
        <v>4</v>
      </c>
      <c r="I1092" s="79">
        <f>COUNTIFS(Matches!$B:$B,$A1092,Matches!$A:$A,CONCAT("&lt;",$E1092))</f>
        <v>13</v>
      </c>
      <c r="J1092" s="79">
        <f>COUNTIFS(Matches!$C:$C,$A1092,Matches!$A:$A,CONCAT("&lt;",$E1092))</f>
        <v>11</v>
      </c>
      <c r="K1092" s="79">
        <f>COUNTIFS(Entropy!D:D,A1092,Entropy!I:I,CONCAT("&lt;",E1092-1))</f>
        <v>0</v>
      </c>
      <c r="L1092" s="79">
        <f t="shared" si="2"/>
        <v>24</v>
      </c>
      <c r="M1092" s="79">
        <f t="array" ref="M1092">max(min(IF(J1092+K1092=11,0,XLOOKUP(B1092,Quotas!$A$8:$A$14,Quotas!$E$8:$E$14)-$L1092),2),0)</f>
        <v>0</v>
      </c>
      <c r="N1092" s="31">
        <f t="shared" si="3"/>
        <v>0</v>
      </c>
    </row>
    <row r="1093">
      <c r="A1093" s="31" t="s">
        <v>248</v>
      </c>
      <c r="B1093" s="9">
        <v>5.0</v>
      </c>
      <c r="C1093" s="31" t="str">
        <f>VLOOKUP(A1093, 'College List'!A:B, 2, FALSE)</f>
        <v>Prismari</v>
      </c>
      <c r="D1093" s="355">
        <f>VLOOKUP(B1093,Quotas!$A$8:$C$14,2,FALSE)</f>
        <v>46164.70833</v>
      </c>
      <c r="E1093" s="356">
        <f>VLOOKUP(B1093,Quotas!$A$8:$C$14,3,FALSE)</f>
        <v>46171.70833</v>
      </c>
      <c r="F1093" s="79">
        <f>COUNTIFS(Matches!$B:$B,A1093,Matches!$A:$A,CONCAT("&gt;",$D1093),Matches!$A:$A,CONCAT("&lt;",$E1093))</f>
        <v>0</v>
      </c>
      <c r="G1093" s="79">
        <f>COUNTIFS(Matches!$C:$C,$A1093,Matches!$A:$A,CONCAT("&gt;",$D1093),Matches!$A:$A,CONCAT("&lt;",$E1093))</f>
        <v>0</v>
      </c>
      <c r="H1093" s="79">
        <f t="shared" si="1"/>
        <v>0</v>
      </c>
      <c r="I1093" s="79">
        <f>COUNTIFS(Matches!$B:$B,$A1093,Matches!$A:$A,CONCAT("&lt;",$E1093))</f>
        <v>1</v>
      </c>
      <c r="J1093" s="79">
        <f>COUNTIFS(Matches!$C:$C,$A1093,Matches!$A:$A,CONCAT("&lt;",$E1093))</f>
        <v>11</v>
      </c>
      <c r="K1093" s="79">
        <f>COUNTIFS(Entropy!D:D,A1093,Entropy!I:I,CONCAT("&lt;",E1093-1))</f>
        <v>0</v>
      </c>
      <c r="L1093" s="79">
        <f t="shared" si="2"/>
        <v>12</v>
      </c>
      <c r="M1093" s="79">
        <f t="array" ref="M1093">max(min(IF(J1093+K1093=11,0,XLOOKUP(B1093,Quotas!$A$8:$A$14,Quotas!$E$8:$E$14)-$L1093),2),0)</f>
        <v>0</v>
      </c>
      <c r="N1093" s="31">
        <f t="shared" si="3"/>
        <v>0</v>
      </c>
    </row>
    <row r="1094">
      <c r="A1094" s="31" t="s">
        <v>79</v>
      </c>
      <c r="B1094" s="9">
        <v>5.0</v>
      </c>
      <c r="C1094" s="31" t="str">
        <f>VLOOKUP(A1094, 'College List'!A:B, 2, FALSE)</f>
        <v>Prismari</v>
      </c>
      <c r="D1094" s="355">
        <f>VLOOKUP(B1094,Quotas!$A$8:$C$14,2,FALSE)</f>
        <v>46164.70833</v>
      </c>
      <c r="E1094" s="356">
        <f>VLOOKUP(B1094,Quotas!$A$8:$C$14,3,FALSE)</f>
        <v>46171.70833</v>
      </c>
      <c r="F1094" s="79">
        <f>COUNTIFS(Matches!$B:$B,A1094,Matches!$A:$A,CONCAT("&gt;",$D1094),Matches!$A:$A,CONCAT("&lt;",$E1094))</f>
        <v>2</v>
      </c>
      <c r="G1094" s="79">
        <f>COUNTIFS(Matches!$C:$C,$A1094,Matches!$A:$A,CONCAT("&gt;",$D1094),Matches!$A:$A,CONCAT("&lt;",$E1094))</f>
        <v>3</v>
      </c>
      <c r="H1094" s="79">
        <f t="shared" si="1"/>
        <v>5</v>
      </c>
      <c r="I1094" s="79">
        <f>COUNTIFS(Matches!$B:$B,$A1094,Matches!$A:$A,CONCAT("&lt;",$E1094))</f>
        <v>17</v>
      </c>
      <c r="J1094" s="79">
        <f>COUNTIFS(Matches!$C:$C,$A1094,Matches!$A:$A,CONCAT("&lt;",$E1094))</f>
        <v>8</v>
      </c>
      <c r="K1094" s="79">
        <f>COUNTIFS(Entropy!D:D,A1094,Entropy!I:I,CONCAT("&lt;",E1094-1))</f>
        <v>0</v>
      </c>
      <c r="L1094" s="79">
        <f t="shared" si="2"/>
        <v>25</v>
      </c>
      <c r="M1094" s="79">
        <f t="array" ref="M1094">max(min(IF(J1094+K1094=11,0,XLOOKUP(B1094,Quotas!$A$8:$A$14,Quotas!$E$8:$E$14)-$L1094),2),0)</f>
        <v>0</v>
      </c>
      <c r="N1094" s="31">
        <f t="shared" si="3"/>
        <v>0</v>
      </c>
    </row>
    <row r="1095">
      <c r="A1095" s="31" t="s">
        <v>342</v>
      </c>
      <c r="B1095" s="9">
        <v>5.0</v>
      </c>
      <c r="C1095" s="31" t="str">
        <f>VLOOKUP(A1095, 'College List'!A:B, 2, FALSE)</f>
        <v>Witherbloom</v>
      </c>
      <c r="D1095" s="355">
        <f>VLOOKUP(B1095,Quotas!$A$8:$C$14,2,FALSE)</f>
        <v>46164.70833</v>
      </c>
      <c r="E1095" s="356">
        <f>VLOOKUP(B1095,Quotas!$A$8:$C$14,3,FALSE)</f>
        <v>46171.70833</v>
      </c>
      <c r="F1095" s="79">
        <f>COUNTIFS(Matches!$B:$B,A1095,Matches!$A:$A,CONCAT("&gt;",$D1095),Matches!$A:$A,CONCAT("&lt;",$E1095))</f>
        <v>4</v>
      </c>
      <c r="G1095" s="79">
        <f>COUNTIFS(Matches!$C:$C,$A1095,Matches!$A:$A,CONCAT("&gt;",$D1095),Matches!$A:$A,CONCAT("&lt;",$E1095))</f>
        <v>1</v>
      </c>
      <c r="H1095" s="79">
        <f t="shared" si="1"/>
        <v>5</v>
      </c>
      <c r="I1095" s="79">
        <f>COUNTIFS(Matches!$B:$B,$A1095,Matches!$A:$A,CONCAT("&lt;",$E1095))</f>
        <v>18</v>
      </c>
      <c r="J1095" s="79">
        <f>COUNTIFS(Matches!$C:$C,$A1095,Matches!$A:$A,CONCAT("&lt;",$E1095))</f>
        <v>7</v>
      </c>
      <c r="K1095" s="79">
        <f>COUNTIFS(Entropy!D:D,A1095,Entropy!I:I,CONCAT("&lt;",E1095-1))</f>
        <v>0</v>
      </c>
      <c r="L1095" s="79">
        <f t="shared" si="2"/>
        <v>25</v>
      </c>
      <c r="M1095" s="79">
        <f t="array" ref="M1095">max(min(IF(J1095+K1095=11,0,XLOOKUP(B1095,Quotas!$A$8:$A$14,Quotas!$E$8:$E$14)-$L1095),2),0)</f>
        <v>0</v>
      </c>
      <c r="N1095" s="31">
        <f t="shared" si="3"/>
        <v>0</v>
      </c>
    </row>
    <row r="1096">
      <c r="A1096" s="31" t="s">
        <v>162</v>
      </c>
      <c r="B1096" s="9">
        <v>5.0</v>
      </c>
      <c r="C1096" s="31" t="str">
        <f>VLOOKUP(A1096, 'College List'!A:B, 2, FALSE)</f>
        <v>Lorehold</v>
      </c>
      <c r="D1096" s="355">
        <f>VLOOKUP(B1096,Quotas!$A$8:$C$14,2,FALSE)</f>
        <v>46164.70833</v>
      </c>
      <c r="E1096" s="356">
        <f>VLOOKUP(B1096,Quotas!$A$8:$C$14,3,FALSE)</f>
        <v>46171.70833</v>
      </c>
      <c r="F1096" s="79">
        <f>COUNTIFS(Matches!$B:$B,A1096,Matches!$A:$A,CONCAT("&gt;",$D1096),Matches!$A:$A,CONCAT("&lt;",$E1096))</f>
        <v>2</v>
      </c>
      <c r="G1096" s="79">
        <f>COUNTIFS(Matches!$C:$C,$A1096,Matches!$A:$A,CONCAT("&gt;",$D1096),Matches!$A:$A,CONCAT("&lt;",$E1096))</f>
        <v>3</v>
      </c>
      <c r="H1096" s="79">
        <f t="shared" si="1"/>
        <v>5</v>
      </c>
      <c r="I1096" s="79">
        <f>COUNTIFS(Matches!$B:$B,$A1096,Matches!$A:$A,CONCAT("&lt;",$E1096))</f>
        <v>17</v>
      </c>
      <c r="J1096" s="79">
        <f>COUNTIFS(Matches!$C:$C,$A1096,Matches!$A:$A,CONCAT("&lt;",$E1096))</f>
        <v>8</v>
      </c>
      <c r="K1096" s="79">
        <f>COUNTIFS(Entropy!D:D,A1096,Entropy!I:I,CONCAT("&lt;",E1096-1))</f>
        <v>0</v>
      </c>
      <c r="L1096" s="79">
        <f t="shared" si="2"/>
        <v>25</v>
      </c>
      <c r="M1096" s="79">
        <f t="array" ref="M1096">max(min(IF(J1096+K1096=11,0,XLOOKUP(B1096,Quotas!$A$8:$A$14,Quotas!$E$8:$E$14)-$L1096),2),0)</f>
        <v>0</v>
      </c>
      <c r="N1096" s="31">
        <f t="shared" si="3"/>
        <v>0</v>
      </c>
    </row>
    <row r="1097">
      <c r="A1097" s="9" t="s">
        <v>242</v>
      </c>
      <c r="B1097" s="9">
        <v>5.0</v>
      </c>
      <c r="C1097" s="31" t="str">
        <f>VLOOKUP(A1097, 'College List'!A:B, 2, FALSE)</f>
        <v>Witherbloom</v>
      </c>
      <c r="D1097" s="355">
        <f>VLOOKUP(B1097,Quotas!$A$8:$C$14,2,FALSE)</f>
        <v>46164.70833</v>
      </c>
      <c r="E1097" s="356">
        <f>VLOOKUP(B1097,Quotas!$A$8:$C$14,3,FALSE)</f>
        <v>46171.70833</v>
      </c>
      <c r="F1097" s="79">
        <f>COUNTIFS(Matches!$B:$B,A1097,Matches!$A:$A,CONCAT("&gt;",$D1097),Matches!$A:$A,CONCAT("&lt;",$E1097))</f>
        <v>0</v>
      </c>
      <c r="G1097" s="79">
        <f>COUNTIFS(Matches!$C:$C,$A1097,Matches!$A:$A,CONCAT("&gt;",$D1097),Matches!$A:$A,CONCAT("&lt;",$E1097))</f>
        <v>0</v>
      </c>
      <c r="H1097" s="79">
        <f t="shared" si="1"/>
        <v>0</v>
      </c>
      <c r="I1097" s="79">
        <f>COUNTIFS(Matches!$B:$B,$A1097,Matches!$A:$A,CONCAT("&lt;",$E1097))</f>
        <v>1</v>
      </c>
      <c r="J1097" s="79">
        <f>COUNTIFS(Matches!$C:$C,$A1097,Matches!$A:$A,CONCAT("&lt;",$E1097))</f>
        <v>4</v>
      </c>
      <c r="K1097" s="79">
        <f>COUNTIFS(Entropy!D:D,A1097,Entropy!I:I,CONCAT("&lt;",E1097-1))</f>
        <v>7</v>
      </c>
      <c r="L1097" s="79">
        <f t="shared" si="2"/>
        <v>12</v>
      </c>
      <c r="M1097" s="79">
        <f t="array" ref="M1097">max(min(IF(J1097+K1097=11,0,XLOOKUP(B1097,Quotas!$A$8:$A$14,Quotas!$E$8:$E$14)-$L1097),2),0)</f>
        <v>0</v>
      </c>
      <c r="N1097" s="31">
        <f t="shared" si="3"/>
        <v>0</v>
      </c>
    </row>
    <row r="1098">
      <c r="A1098" s="31" t="s">
        <v>303</v>
      </c>
      <c r="B1098" s="9">
        <v>5.0</v>
      </c>
      <c r="C1098" s="31" t="str">
        <f>VLOOKUP(A1098, 'College List'!A:B, 2, FALSE)</f>
        <v>Quandrix</v>
      </c>
      <c r="D1098" s="355">
        <f>VLOOKUP(B1098,Quotas!$A$8:$C$14,2,FALSE)</f>
        <v>46164.70833</v>
      </c>
      <c r="E1098" s="356">
        <f>VLOOKUP(B1098,Quotas!$A$8:$C$14,3,FALSE)</f>
        <v>46171.70833</v>
      </c>
      <c r="F1098" s="79">
        <f>COUNTIFS(Matches!$B:$B,A1098,Matches!$A:$A,CONCAT("&gt;",$D1098),Matches!$A:$A,CONCAT("&lt;",$E1098))</f>
        <v>0</v>
      </c>
      <c r="G1098" s="79">
        <f>COUNTIFS(Matches!$C:$C,$A1098,Matches!$A:$A,CONCAT("&gt;",$D1098),Matches!$A:$A,CONCAT("&lt;",$E1098))</f>
        <v>0</v>
      </c>
      <c r="H1098" s="79">
        <f t="shared" si="1"/>
        <v>0</v>
      </c>
      <c r="I1098" s="79">
        <f>COUNTIFS(Matches!$B:$B,$A1098,Matches!$A:$A,CONCAT("&lt;",$E1098))</f>
        <v>6</v>
      </c>
      <c r="J1098" s="79">
        <f>COUNTIFS(Matches!$C:$C,$A1098,Matches!$A:$A,CONCAT("&lt;",$E1098))</f>
        <v>11</v>
      </c>
      <c r="K1098" s="79">
        <f>COUNTIFS(Entropy!D:D,A1098,Entropy!I:I,CONCAT("&lt;",E1098-1))</f>
        <v>0</v>
      </c>
      <c r="L1098" s="79">
        <f t="shared" si="2"/>
        <v>17</v>
      </c>
      <c r="M1098" s="79">
        <f t="array" ref="M1098">max(min(IF(J1098+K1098=11,0,XLOOKUP(B1098,Quotas!$A$8:$A$14,Quotas!$E$8:$E$14)-$L1098),2),0)</f>
        <v>0</v>
      </c>
      <c r="N1098" s="31">
        <f t="shared" si="3"/>
        <v>0</v>
      </c>
    </row>
    <row r="1099">
      <c r="A1099" s="31" t="s">
        <v>387</v>
      </c>
      <c r="B1099" s="9">
        <v>5.0</v>
      </c>
      <c r="C1099" s="31" t="str">
        <f>VLOOKUP(A1099, 'College List'!A:B, 2, FALSE)</f>
        <v>Prismari</v>
      </c>
      <c r="D1099" s="355">
        <f>VLOOKUP(B1099,Quotas!$A$8:$C$14,2,FALSE)</f>
        <v>46164.70833</v>
      </c>
      <c r="E1099" s="356">
        <f>VLOOKUP(B1099,Quotas!$A$8:$C$14,3,FALSE)</f>
        <v>46171.70833</v>
      </c>
      <c r="F1099" s="79">
        <f>COUNTIFS(Matches!$B:$B,A1099,Matches!$A:$A,CONCAT("&gt;",$D1099),Matches!$A:$A,CONCAT("&lt;",$E1099))</f>
        <v>0</v>
      </c>
      <c r="G1099" s="79">
        <f>COUNTIFS(Matches!$C:$C,$A1099,Matches!$A:$A,CONCAT("&gt;",$D1099),Matches!$A:$A,CONCAT("&lt;",$E1099))</f>
        <v>2</v>
      </c>
      <c r="H1099" s="79">
        <f t="shared" si="1"/>
        <v>2</v>
      </c>
      <c r="I1099" s="79">
        <f>COUNTIFS(Matches!$B:$B,$A1099,Matches!$A:$A,CONCAT("&lt;",$E1099))</f>
        <v>11</v>
      </c>
      <c r="J1099" s="79">
        <f>COUNTIFS(Matches!$C:$C,$A1099,Matches!$A:$A,CONCAT("&lt;",$E1099))</f>
        <v>11</v>
      </c>
      <c r="K1099" s="79">
        <f>COUNTIFS(Entropy!D:D,A1099,Entropy!I:I,CONCAT("&lt;",E1099-1))</f>
        <v>0</v>
      </c>
      <c r="L1099" s="79">
        <f t="shared" si="2"/>
        <v>22</v>
      </c>
      <c r="M1099" s="79">
        <f t="array" ref="M1099">max(min(IF(J1099+K1099=11,0,XLOOKUP(B1099,Quotas!$A$8:$A$14,Quotas!$E$8:$E$14)-$L1099),2),0)</f>
        <v>0</v>
      </c>
      <c r="N1099" s="31">
        <f t="shared" si="3"/>
        <v>0</v>
      </c>
    </row>
    <row r="1100">
      <c r="A1100" s="31" t="s">
        <v>143</v>
      </c>
      <c r="B1100" s="9">
        <v>5.0</v>
      </c>
      <c r="C1100" s="31" t="str">
        <f>VLOOKUP(A1100, 'College List'!A:B, 2, FALSE)</f>
        <v>Quandrix</v>
      </c>
      <c r="D1100" s="355">
        <f>VLOOKUP(B1100,Quotas!$A$8:$C$14,2,FALSE)</f>
        <v>46164.70833</v>
      </c>
      <c r="E1100" s="356">
        <f>VLOOKUP(B1100,Quotas!$A$8:$C$14,3,FALSE)</f>
        <v>46171.70833</v>
      </c>
      <c r="F1100" s="79">
        <f>COUNTIFS(Matches!$B:$B,A1100,Matches!$A:$A,CONCAT("&gt;",$D1100),Matches!$A:$A,CONCAT("&lt;",$E1100))</f>
        <v>4</v>
      </c>
      <c r="G1100" s="79">
        <f>COUNTIFS(Matches!$C:$C,$A1100,Matches!$A:$A,CONCAT("&gt;",$D1100),Matches!$A:$A,CONCAT("&lt;",$E1100))</f>
        <v>1</v>
      </c>
      <c r="H1100" s="79">
        <f t="shared" si="1"/>
        <v>5</v>
      </c>
      <c r="I1100" s="79">
        <f>COUNTIFS(Matches!$B:$B,$A1100,Matches!$A:$A,CONCAT("&lt;",$E1100))</f>
        <v>17</v>
      </c>
      <c r="J1100" s="79">
        <f>COUNTIFS(Matches!$C:$C,$A1100,Matches!$A:$A,CONCAT("&lt;",$E1100))</f>
        <v>8</v>
      </c>
      <c r="K1100" s="79">
        <f>COUNTIFS(Entropy!D:D,A1100,Entropy!I:I,CONCAT("&lt;",E1100-1))</f>
        <v>0</v>
      </c>
      <c r="L1100" s="79">
        <f t="shared" si="2"/>
        <v>25</v>
      </c>
      <c r="M1100" s="79">
        <f t="array" ref="M1100">max(min(IF(J1100+K1100=11,0,XLOOKUP(B1100,Quotas!$A$8:$A$14,Quotas!$E$8:$E$14)-$L1100),2),0)</f>
        <v>0</v>
      </c>
      <c r="N1100" s="31">
        <f t="shared" si="3"/>
        <v>0</v>
      </c>
    </row>
    <row r="1101">
      <c r="A1101" s="31" t="s">
        <v>269</v>
      </c>
      <c r="B1101" s="9">
        <v>5.0</v>
      </c>
      <c r="C1101" s="31" t="str">
        <f>VLOOKUP(A1101, 'College List'!A:B, 2, FALSE)</f>
        <v>Silverquill</v>
      </c>
      <c r="D1101" s="355">
        <f>VLOOKUP(B1101,Quotas!$A$8:$C$14,2,FALSE)</f>
        <v>46164.70833</v>
      </c>
      <c r="E1101" s="356">
        <f>VLOOKUP(B1101,Quotas!$A$8:$C$14,3,FALSE)</f>
        <v>46171.70833</v>
      </c>
      <c r="F1101" s="79">
        <f>COUNTIFS(Matches!$B:$B,A1101,Matches!$A:$A,CONCAT("&gt;",$D1101),Matches!$A:$A,CONCAT("&lt;",$E1101))</f>
        <v>0</v>
      </c>
      <c r="G1101" s="79">
        <f>COUNTIFS(Matches!$C:$C,$A1101,Matches!$A:$A,CONCAT("&gt;",$D1101),Matches!$A:$A,CONCAT("&lt;",$E1101))</f>
        <v>1</v>
      </c>
      <c r="H1101" s="79">
        <f t="shared" si="1"/>
        <v>1</v>
      </c>
      <c r="I1101" s="79">
        <f>COUNTIFS(Matches!$B:$B,$A1101,Matches!$A:$A,CONCAT("&lt;",$E1101))</f>
        <v>10</v>
      </c>
      <c r="J1101" s="79">
        <f>COUNTIFS(Matches!$C:$C,$A1101,Matches!$A:$A,CONCAT("&lt;",$E1101))</f>
        <v>11</v>
      </c>
      <c r="K1101" s="79">
        <f>COUNTIFS(Entropy!D:D,A1101,Entropy!I:I,CONCAT("&lt;",E1101-1))</f>
        <v>0</v>
      </c>
      <c r="L1101" s="79">
        <f t="shared" si="2"/>
        <v>21</v>
      </c>
      <c r="M1101" s="79">
        <f t="array" ref="M1101">max(min(IF(J1101+K1101=11,0,XLOOKUP(B1101,Quotas!$A$8:$A$14,Quotas!$E$8:$E$14)-$L1101),2),0)</f>
        <v>0</v>
      </c>
      <c r="N1101" s="31">
        <f t="shared" si="3"/>
        <v>0</v>
      </c>
    </row>
    <row r="1102">
      <c r="A1102" s="31" t="s">
        <v>163</v>
      </c>
      <c r="B1102" s="9">
        <v>5.0</v>
      </c>
      <c r="C1102" s="31" t="str">
        <f>VLOOKUP(A1102, 'College List'!A:B, 2, FALSE)</f>
        <v>Quandrix</v>
      </c>
      <c r="D1102" s="355">
        <f>VLOOKUP(B1102,Quotas!$A$8:$C$14,2,FALSE)</f>
        <v>46164.70833</v>
      </c>
      <c r="E1102" s="356">
        <f>VLOOKUP(B1102,Quotas!$A$8:$C$14,3,FALSE)</f>
        <v>46171.70833</v>
      </c>
      <c r="F1102" s="79">
        <f>COUNTIFS(Matches!$B:$B,A1102,Matches!$A:$A,CONCAT("&gt;",$D1102),Matches!$A:$A,CONCAT("&lt;",$E1102))</f>
        <v>2</v>
      </c>
      <c r="G1102" s="79">
        <f>COUNTIFS(Matches!$C:$C,$A1102,Matches!$A:$A,CONCAT("&gt;",$D1102),Matches!$A:$A,CONCAT("&lt;",$E1102))</f>
        <v>1</v>
      </c>
      <c r="H1102" s="79">
        <f t="shared" si="1"/>
        <v>3</v>
      </c>
      <c r="I1102" s="79">
        <f>COUNTIFS(Matches!$B:$B,$A1102,Matches!$A:$A,CONCAT("&lt;",$E1102))</f>
        <v>12</v>
      </c>
      <c r="J1102" s="79">
        <f>COUNTIFS(Matches!$C:$C,$A1102,Matches!$A:$A,CONCAT("&lt;",$E1102))</f>
        <v>11</v>
      </c>
      <c r="K1102" s="79">
        <f>COUNTIFS(Entropy!D:D,A1102,Entropy!I:I,CONCAT("&lt;",E1102-1))</f>
        <v>0</v>
      </c>
      <c r="L1102" s="79">
        <f t="shared" si="2"/>
        <v>23</v>
      </c>
      <c r="M1102" s="79">
        <f t="array" ref="M1102">max(min(IF(J1102+K1102=11,0,XLOOKUP(B1102,Quotas!$A$8:$A$14,Quotas!$E$8:$E$14)-$L1102),2),0)</f>
        <v>0</v>
      </c>
      <c r="N1102" s="31">
        <f t="shared" si="3"/>
        <v>0</v>
      </c>
    </row>
    <row r="1103">
      <c r="A1103" s="31" t="s">
        <v>328</v>
      </c>
      <c r="B1103" s="9">
        <v>5.0</v>
      </c>
      <c r="C1103" s="31" t="str">
        <f>VLOOKUP(A1103, 'College List'!A:B, 2, FALSE)</f>
        <v>Prismari</v>
      </c>
      <c r="D1103" s="355">
        <f>VLOOKUP(B1103,Quotas!$A$8:$C$14,2,FALSE)</f>
        <v>46164.70833</v>
      </c>
      <c r="E1103" s="356">
        <f>VLOOKUP(B1103,Quotas!$A$8:$C$14,3,FALSE)</f>
        <v>46171.70833</v>
      </c>
      <c r="F1103" s="79">
        <f>COUNTIFS(Matches!$B:$B,A1103,Matches!$A:$A,CONCAT("&gt;",$D1103),Matches!$A:$A,CONCAT("&lt;",$E1103))</f>
        <v>0</v>
      </c>
      <c r="G1103" s="79">
        <f>COUNTIFS(Matches!$C:$C,$A1103,Matches!$A:$A,CONCAT("&gt;",$D1103),Matches!$A:$A,CONCAT("&lt;",$E1103))</f>
        <v>0</v>
      </c>
      <c r="H1103" s="79">
        <f t="shared" si="1"/>
        <v>0</v>
      </c>
      <c r="I1103" s="79">
        <f>COUNTIFS(Matches!$B:$B,$A1103,Matches!$A:$A,CONCAT("&lt;",$E1103))</f>
        <v>8</v>
      </c>
      <c r="J1103" s="79">
        <f>COUNTIFS(Matches!$C:$C,$A1103,Matches!$A:$A,CONCAT("&lt;",$E1103))</f>
        <v>11</v>
      </c>
      <c r="K1103" s="79">
        <f>COUNTIFS(Entropy!D:D,A1103,Entropy!I:I,CONCAT("&lt;",E1103-1))</f>
        <v>0</v>
      </c>
      <c r="L1103" s="79">
        <f t="shared" si="2"/>
        <v>19</v>
      </c>
      <c r="M1103" s="79">
        <f t="array" ref="M1103">max(min(IF(J1103+K1103=11,0,XLOOKUP(B1103,Quotas!$A$8:$A$14,Quotas!$E$8:$E$14)-$L1103),2),0)</f>
        <v>0</v>
      </c>
      <c r="N1103" s="31">
        <f t="shared" si="3"/>
        <v>0</v>
      </c>
    </row>
    <row r="1104">
      <c r="A1104" s="31" t="s">
        <v>329</v>
      </c>
      <c r="B1104" s="9">
        <v>5.0</v>
      </c>
      <c r="C1104" s="31" t="str">
        <f>VLOOKUP(A1104, 'College List'!A:B, 2, FALSE)</f>
        <v>Lorehold</v>
      </c>
      <c r="D1104" s="355">
        <f>VLOOKUP(B1104,Quotas!$A$8:$C$14,2,FALSE)</f>
        <v>46164.70833</v>
      </c>
      <c r="E1104" s="356">
        <f>VLOOKUP(B1104,Quotas!$A$8:$C$14,3,FALSE)</f>
        <v>46171.70833</v>
      </c>
      <c r="F1104" s="79">
        <f>COUNTIFS(Matches!$B:$B,A1104,Matches!$A:$A,CONCAT("&gt;",$D1104),Matches!$A:$A,CONCAT("&lt;",$E1104))</f>
        <v>0</v>
      </c>
      <c r="G1104" s="79">
        <f>COUNTIFS(Matches!$C:$C,$A1104,Matches!$A:$A,CONCAT("&gt;",$D1104),Matches!$A:$A,CONCAT("&lt;",$E1104))</f>
        <v>0</v>
      </c>
      <c r="H1104" s="79">
        <f t="shared" si="1"/>
        <v>0</v>
      </c>
      <c r="I1104" s="79">
        <f>COUNTIFS(Matches!$B:$B,$A1104,Matches!$A:$A,CONCAT("&lt;",$E1104))</f>
        <v>6</v>
      </c>
      <c r="J1104" s="79">
        <f>COUNTIFS(Matches!$C:$C,$A1104,Matches!$A:$A,CONCAT("&lt;",$E1104))</f>
        <v>11</v>
      </c>
      <c r="K1104" s="79">
        <f>COUNTIFS(Entropy!D:D,A1104,Entropy!I:I,CONCAT("&lt;",E1104-1))</f>
        <v>0</v>
      </c>
      <c r="L1104" s="79">
        <f t="shared" si="2"/>
        <v>17</v>
      </c>
      <c r="M1104" s="79">
        <f t="array" ref="M1104">max(min(IF(J1104+K1104=11,0,XLOOKUP(B1104,Quotas!$A$8:$A$14,Quotas!$E$8:$E$14)-$L1104),2),0)</f>
        <v>0</v>
      </c>
      <c r="N1104" s="31">
        <f t="shared" si="3"/>
        <v>0</v>
      </c>
    </row>
    <row r="1105">
      <c r="A1105" s="31" t="s">
        <v>258</v>
      </c>
      <c r="B1105" s="9">
        <v>5.0</v>
      </c>
      <c r="C1105" s="31" t="str">
        <f>VLOOKUP(A1105, 'College List'!A:B, 2, FALSE)</f>
        <v>Witherbloom</v>
      </c>
      <c r="D1105" s="355">
        <f>VLOOKUP(B1105,Quotas!$A$8:$C$14,2,FALSE)</f>
        <v>46164.70833</v>
      </c>
      <c r="E1105" s="356">
        <f>VLOOKUP(B1105,Quotas!$A$8:$C$14,3,FALSE)</f>
        <v>46171.70833</v>
      </c>
      <c r="F1105" s="79">
        <f>COUNTIFS(Matches!$B:$B,A1105,Matches!$A:$A,CONCAT("&gt;",$D1105),Matches!$A:$A,CONCAT("&lt;",$E1105))</f>
        <v>1</v>
      </c>
      <c r="G1105" s="79">
        <f>COUNTIFS(Matches!$C:$C,$A1105,Matches!$A:$A,CONCAT("&gt;",$D1105),Matches!$A:$A,CONCAT("&lt;",$E1105))</f>
        <v>2</v>
      </c>
      <c r="H1105" s="79">
        <f t="shared" si="1"/>
        <v>3</v>
      </c>
      <c r="I1105" s="79">
        <f>COUNTIFS(Matches!$B:$B,$A1105,Matches!$A:$A,CONCAT("&lt;",$E1105))</f>
        <v>12</v>
      </c>
      <c r="J1105" s="79">
        <f>COUNTIFS(Matches!$C:$C,$A1105,Matches!$A:$A,CONCAT("&lt;",$E1105))</f>
        <v>11</v>
      </c>
      <c r="K1105" s="79">
        <f>COUNTIFS(Entropy!D:D,A1105,Entropy!I:I,CONCAT("&lt;",E1105-1))</f>
        <v>0</v>
      </c>
      <c r="L1105" s="79">
        <f t="shared" si="2"/>
        <v>23</v>
      </c>
      <c r="M1105" s="79">
        <f t="array" ref="M1105">max(min(IF(J1105+K1105=11,0,XLOOKUP(B1105,Quotas!$A$8:$A$14,Quotas!$E$8:$E$14)-$L1105),2),0)</f>
        <v>0</v>
      </c>
      <c r="N1105" s="31">
        <f t="shared" si="3"/>
        <v>0</v>
      </c>
    </row>
    <row r="1106">
      <c r="A1106" s="31" t="s">
        <v>156</v>
      </c>
      <c r="B1106" s="9">
        <v>5.0</v>
      </c>
      <c r="C1106" s="31" t="str">
        <f>VLOOKUP(A1106, 'College List'!A:B, 2, FALSE)</f>
        <v>Silverquill</v>
      </c>
      <c r="D1106" s="355">
        <f>VLOOKUP(B1106,Quotas!$A$8:$C$14,2,FALSE)</f>
        <v>46164.70833</v>
      </c>
      <c r="E1106" s="356">
        <f>VLOOKUP(B1106,Quotas!$A$8:$C$14,3,FALSE)</f>
        <v>46171.70833</v>
      </c>
      <c r="F1106" s="79">
        <f>COUNTIFS(Matches!$B:$B,A1106,Matches!$A:$A,CONCAT("&gt;",$D1106),Matches!$A:$A,CONCAT("&lt;",$E1106))</f>
        <v>0</v>
      </c>
      <c r="G1106" s="79">
        <f>COUNTIFS(Matches!$C:$C,$A1106,Matches!$A:$A,CONCAT("&gt;",$D1106),Matches!$A:$A,CONCAT("&lt;",$E1106))</f>
        <v>0</v>
      </c>
      <c r="H1106" s="79">
        <f t="shared" si="1"/>
        <v>0</v>
      </c>
      <c r="I1106" s="79">
        <f>COUNTIFS(Matches!$B:$B,$A1106,Matches!$A:$A,CONCAT("&lt;",$E1106))</f>
        <v>0</v>
      </c>
      <c r="J1106" s="79">
        <f>COUNTIFS(Matches!$C:$C,$A1106,Matches!$A:$A,CONCAT("&lt;",$E1106))</f>
        <v>5</v>
      </c>
      <c r="K1106" s="79">
        <f>COUNTIFS(Entropy!D:D,A1106,Entropy!I:I,CONCAT("&lt;",E1106-1))</f>
        <v>6</v>
      </c>
      <c r="L1106" s="79">
        <f t="shared" si="2"/>
        <v>11</v>
      </c>
      <c r="M1106" s="79">
        <f t="array" ref="M1106">max(min(IF(J1106+K1106=11,0,XLOOKUP(B1106,Quotas!$A$8:$A$14,Quotas!$E$8:$E$14)-$L1106),2),0)</f>
        <v>0</v>
      </c>
      <c r="N1106" s="31">
        <f t="shared" si="3"/>
        <v>0</v>
      </c>
    </row>
    <row r="1107">
      <c r="A1107" s="31" t="s">
        <v>394</v>
      </c>
      <c r="B1107" s="9">
        <v>5.0</v>
      </c>
      <c r="C1107" s="31" t="str">
        <f>VLOOKUP(A1107, 'College List'!A:B, 2, FALSE)</f>
        <v>Quandrix</v>
      </c>
      <c r="D1107" s="355">
        <f>VLOOKUP(B1107,Quotas!$A$8:$C$14,2,FALSE)</f>
        <v>46164.70833</v>
      </c>
      <c r="E1107" s="356">
        <f>VLOOKUP(B1107,Quotas!$A$8:$C$14,3,FALSE)</f>
        <v>46171.70833</v>
      </c>
      <c r="F1107" s="79">
        <f>COUNTIFS(Matches!$B:$B,A1107,Matches!$A:$A,CONCAT("&gt;",$D1107),Matches!$A:$A,CONCAT("&lt;",$E1107))</f>
        <v>0</v>
      </c>
      <c r="G1107" s="79">
        <f>COUNTIFS(Matches!$C:$C,$A1107,Matches!$A:$A,CONCAT("&gt;",$D1107),Matches!$A:$A,CONCAT("&lt;",$E1107))</f>
        <v>0</v>
      </c>
      <c r="H1107" s="79">
        <f t="shared" si="1"/>
        <v>0</v>
      </c>
      <c r="I1107" s="79">
        <f>COUNTIFS(Matches!$B:$B,$A1107,Matches!$A:$A,CONCAT("&lt;",$E1107))</f>
        <v>5</v>
      </c>
      <c r="J1107" s="79">
        <f>COUNTIFS(Matches!$C:$C,$A1107,Matches!$A:$A,CONCAT("&lt;",$E1107))</f>
        <v>8</v>
      </c>
      <c r="K1107" s="79">
        <f>COUNTIFS(Entropy!D:D,A1107,Entropy!I:I,CONCAT("&lt;",E1107-1))</f>
        <v>3</v>
      </c>
      <c r="L1107" s="79">
        <f t="shared" si="2"/>
        <v>16</v>
      </c>
      <c r="M1107" s="79">
        <f t="array" ref="M1107">max(min(IF(J1107+K1107=11,0,XLOOKUP(B1107,Quotas!$A$8:$A$14,Quotas!$E$8:$E$14)-$L1107),2),0)</f>
        <v>0</v>
      </c>
      <c r="N1107" s="31">
        <f t="shared" si="3"/>
        <v>0</v>
      </c>
    </row>
    <row r="1108">
      <c r="A1108" s="31" t="s">
        <v>110</v>
      </c>
      <c r="B1108" s="9">
        <v>5.0</v>
      </c>
      <c r="C1108" s="31" t="str">
        <f>VLOOKUP(A1108, 'College List'!A:B, 2, FALSE)</f>
        <v>Lorehold</v>
      </c>
      <c r="D1108" s="355">
        <f>VLOOKUP(B1108,Quotas!$A$8:$C$14,2,FALSE)</f>
        <v>46164.70833</v>
      </c>
      <c r="E1108" s="356">
        <f>VLOOKUP(B1108,Quotas!$A$8:$C$14,3,FALSE)</f>
        <v>46171.70833</v>
      </c>
      <c r="F1108" s="79">
        <f>COUNTIFS(Matches!$B:$B,A1108,Matches!$A:$A,CONCAT("&gt;",$D1108),Matches!$A:$A,CONCAT("&lt;",$E1108))</f>
        <v>2</v>
      </c>
      <c r="G1108" s="79">
        <f>COUNTIFS(Matches!$C:$C,$A1108,Matches!$A:$A,CONCAT("&gt;",$D1108),Matches!$A:$A,CONCAT("&lt;",$E1108))</f>
        <v>3</v>
      </c>
      <c r="H1108" s="79">
        <f t="shared" si="1"/>
        <v>5</v>
      </c>
      <c r="I1108" s="79">
        <f>COUNTIFS(Matches!$B:$B,$A1108,Matches!$A:$A,CONCAT("&lt;",$E1108))</f>
        <v>18</v>
      </c>
      <c r="J1108" s="79">
        <f>COUNTIFS(Matches!$C:$C,$A1108,Matches!$A:$A,CONCAT("&lt;",$E1108))</f>
        <v>7</v>
      </c>
      <c r="K1108" s="79">
        <f>COUNTIFS(Entropy!D:D,A1108,Entropy!I:I,CONCAT("&lt;",E1108-1))</f>
        <v>0</v>
      </c>
      <c r="L1108" s="79">
        <f t="shared" si="2"/>
        <v>25</v>
      </c>
      <c r="M1108" s="79">
        <f t="array" ref="M1108">max(min(IF(J1108+K1108=11,0,XLOOKUP(B1108,Quotas!$A$8:$A$14,Quotas!$E$8:$E$14)-$L1108),2),0)</f>
        <v>0</v>
      </c>
      <c r="N1108" s="31">
        <f t="shared" si="3"/>
        <v>0</v>
      </c>
    </row>
    <row r="1109">
      <c r="A1109" s="31" t="s">
        <v>198</v>
      </c>
      <c r="B1109" s="9">
        <v>5.0</v>
      </c>
      <c r="C1109" s="31" t="str">
        <f>VLOOKUP(A1109, 'College List'!A:B, 2, FALSE)</f>
        <v>Quandrix</v>
      </c>
      <c r="D1109" s="355">
        <f>VLOOKUP(B1109,Quotas!$A$8:$C$14,2,FALSE)</f>
        <v>46164.70833</v>
      </c>
      <c r="E1109" s="356">
        <f>VLOOKUP(B1109,Quotas!$A$8:$C$14,3,FALSE)</f>
        <v>46171.70833</v>
      </c>
      <c r="F1109" s="79">
        <f>COUNTIFS(Matches!$B:$B,A1109,Matches!$A:$A,CONCAT("&gt;",$D1109),Matches!$A:$A,CONCAT("&lt;",$E1109))</f>
        <v>1</v>
      </c>
      <c r="G1109" s="79">
        <f>COUNTIFS(Matches!$C:$C,$A1109,Matches!$A:$A,CONCAT("&gt;",$D1109),Matches!$A:$A,CONCAT("&lt;",$E1109))</f>
        <v>2</v>
      </c>
      <c r="H1109" s="79">
        <f t="shared" si="1"/>
        <v>3</v>
      </c>
      <c r="I1109" s="79">
        <f>COUNTIFS(Matches!$B:$B,$A1109,Matches!$A:$A,CONCAT("&lt;",$E1109))</f>
        <v>12</v>
      </c>
      <c r="J1109" s="79">
        <f>COUNTIFS(Matches!$C:$C,$A1109,Matches!$A:$A,CONCAT("&lt;",$E1109))</f>
        <v>11</v>
      </c>
      <c r="K1109" s="79">
        <f>COUNTIFS(Entropy!D:D,A1109,Entropy!I:I,CONCAT("&lt;",E1109-1))</f>
        <v>0</v>
      </c>
      <c r="L1109" s="79">
        <f t="shared" si="2"/>
        <v>23</v>
      </c>
      <c r="M1109" s="79">
        <f t="array" ref="M1109">max(min(IF(J1109+K1109=11,0,XLOOKUP(B1109,Quotas!$A$8:$A$14,Quotas!$E$8:$E$14)-$L1109),2),0)</f>
        <v>0</v>
      </c>
      <c r="N1109" s="31">
        <f t="shared" si="3"/>
        <v>0</v>
      </c>
    </row>
    <row r="1110">
      <c r="A1110" s="31" t="s">
        <v>128</v>
      </c>
      <c r="B1110" s="9">
        <v>5.0</v>
      </c>
      <c r="C1110" s="31" t="str">
        <f>VLOOKUP(A1110, 'College List'!A:B, 2, FALSE)</f>
        <v>Quandrix</v>
      </c>
      <c r="D1110" s="355">
        <f>VLOOKUP(B1110,Quotas!$A$8:$C$14,2,FALSE)</f>
        <v>46164.70833</v>
      </c>
      <c r="E1110" s="356">
        <f>VLOOKUP(B1110,Quotas!$A$8:$C$14,3,FALSE)</f>
        <v>46171.70833</v>
      </c>
      <c r="F1110" s="79">
        <f>COUNTIFS(Matches!$B:$B,A1110,Matches!$A:$A,CONCAT("&gt;",$D1110),Matches!$A:$A,CONCAT("&lt;",$E1110))</f>
        <v>1</v>
      </c>
      <c r="G1110" s="79">
        <f>COUNTIFS(Matches!$C:$C,$A1110,Matches!$A:$A,CONCAT("&gt;",$D1110),Matches!$A:$A,CONCAT("&lt;",$E1110))</f>
        <v>2</v>
      </c>
      <c r="H1110" s="79">
        <f t="shared" si="1"/>
        <v>3</v>
      </c>
      <c r="I1110" s="79">
        <f>COUNTIFS(Matches!$B:$B,$A1110,Matches!$A:$A,CONCAT("&lt;",$E1110))</f>
        <v>10</v>
      </c>
      <c r="J1110" s="79">
        <f>COUNTIFS(Matches!$C:$C,$A1110,Matches!$A:$A,CONCAT("&lt;",$E1110))</f>
        <v>11</v>
      </c>
      <c r="K1110" s="79">
        <f>COUNTIFS(Entropy!D:D,A1110,Entropy!I:I,CONCAT("&lt;",E1110-1))</f>
        <v>0</v>
      </c>
      <c r="L1110" s="79">
        <f t="shared" si="2"/>
        <v>21</v>
      </c>
      <c r="M1110" s="79">
        <f t="array" ref="M1110">max(min(IF(J1110+K1110=11,0,XLOOKUP(B1110,Quotas!$A$8:$A$14,Quotas!$E$8:$E$14)-$L1110),2),0)</f>
        <v>0</v>
      </c>
      <c r="N1110" s="31">
        <f t="shared" si="3"/>
        <v>0</v>
      </c>
    </row>
    <row r="1111">
      <c r="A1111" s="31" t="s">
        <v>167</v>
      </c>
      <c r="B1111" s="9">
        <v>5.0</v>
      </c>
      <c r="C1111" s="31" t="str">
        <f>VLOOKUP(A1111, 'College List'!A:B, 2, FALSE)</f>
        <v>Lorehold</v>
      </c>
      <c r="D1111" s="355">
        <f>VLOOKUP(B1111,Quotas!$A$8:$C$14,2,FALSE)</f>
        <v>46164.70833</v>
      </c>
      <c r="E1111" s="356">
        <f>VLOOKUP(B1111,Quotas!$A$8:$C$14,3,FALSE)</f>
        <v>46171.70833</v>
      </c>
      <c r="F1111" s="79">
        <f>COUNTIFS(Matches!$B:$B,A1111,Matches!$A:$A,CONCAT("&gt;",$D1111),Matches!$A:$A,CONCAT("&lt;",$E1111))</f>
        <v>1</v>
      </c>
      <c r="G1111" s="79">
        <f>COUNTIFS(Matches!$C:$C,$A1111,Matches!$A:$A,CONCAT("&gt;",$D1111),Matches!$A:$A,CONCAT("&lt;",$E1111))</f>
        <v>1</v>
      </c>
      <c r="H1111" s="79">
        <f t="shared" si="1"/>
        <v>2</v>
      </c>
      <c r="I1111" s="79">
        <f>COUNTIFS(Matches!$B:$B,$A1111,Matches!$A:$A,CONCAT("&lt;",$E1111))</f>
        <v>9</v>
      </c>
      <c r="J1111" s="79">
        <f>COUNTIFS(Matches!$C:$C,$A1111,Matches!$A:$A,CONCAT("&lt;",$E1111))</f>
        <v>11</v>
      </c>
      <c r="K1111" s="79">
        <f>COUNTIFS(Entropy!D:D,A1111,Entropy!I:I,CONCAT("&lt;",E1111-1))</f>
        <v>0</v>
      </c>
      <c r="L1111" s="79">
        <f t="shared" si="2"/>
        <v>20</v>
      </c>
      <c r="M1111" s="79">
        <f t="array" ref="M1111">max(min(IF(J1111+K1111=11,0,XLOOKUP(B1111,Quotas!$A$8:$A$14,Quotas!$E$8:$E$14)-$L1111),2),0)</f>
        <v>0</v>
      </c>
      <c r="N1111" s="31">
        <f t="shared" si="3"/>
        <v>0</v>
      </c>
    </row>
    <row r="1112">
      <c r="A1112" s="31" t="s">
        <v>226</v>
      </c>
      <c r="B1112" s="9">
        <v>5.0</v>
      </c>
      <c r="C1112" s="31" t="str">
        <f>VLOOKUP(A1112, 'College List'!A:B, 2, FALSE)</f>
        <v>Lorehold</v>
      </c>
      <c r="D1112" s="355">
        <f>VLOOKUP(B1112,Quotas!$A$8:$C$14,2,FALSE)</f>
        <v>46164.70833</v>
      </c>
      <c r="E1112" s="356">
        <f>VLOOKUP(B1112,Quotas!$A$8:$C$14,3,FALSE)</f>
        <v>46171.70833</v>
      </c>
      <c r="F1112" s="79">
        <f>COUNTIFS(Matches!$B:$B,A1112,Matches!$A:$A,CONCAT("&gt;",$D1112),Matches!$A:$A,CONCAT("&lt;",$E1112))</f>
        <v>5</v>
      </c>
      <c r="G1112" s="79">
        <f>COUNTIFS(Matches!$C:$C,$A1112,Matches!$A:$A,CONCAT("&gt;",$D1112),Matches!$A:$A,CONCAT("&lt;",$E1112))</f>
        <v>1</v>
      </c>
      <c r="H1112" s="79">
        <f t="shared" si="1"/>
        <v>6</v>
      </c>
      <c r="I1112" s="79">
        <f>COUNTIFS(Matches!$B:$B,$A1112,Matches!$A:$A,CONCAT("&lt;",$E1112))</f>
        <v>18</v>
      </c>
      <c r="J1112" s="79">
        <f>COUNTIFS(Matches!$C:$C,$A1112,Matches!$A:$A,CONCAT("&lt;",$E1112))</f>
        <v>6</v>
      </c>
      <c r="K1112" s="79">
        <f>COUNTIFS(Entropy!D:D,A1112,Entropy!I:I,CONCAT("&lt;",E1112-1))</f>
        <v>0</v>
      </c>
      <c r="L1112" s="79">
        <f t="shared" si="2"/>
        <v>24</v>
      </c>
      <c r="M1112" s="79">
        <f t="array" ref="M1112">max(min(IF(J1112+K1112=11,0,XLOOKUP(B1112,Quotas!$A$8:$A$14,Quotas!$E$8:$E$14)-$L1112),2),0)</f>
        <v>1</v>
      </c>
      <c r="N1112" s="31">
        <f t="shared" si="3"/>
        <v>0.5</v>
      </c>
    </row>
    <row r="1113">
      <c r="A1113" s="31" t="s">
        <v>376</v>
      </c>
      <c r="B1113" s="9">
        <v>5.0</v>
      </c>
      <c r="C1113" s="31" t="str">
        <f>VLOOKUP(A1113, 'College List'!A:B, 2, FALSE)</f>
        <v>Prismari</v>
      </c>
      <c r="D1113" s="355">
        <f>VLOOKUP(B1113,Quotas!$A$8:$C$14,2,FALSE)</f>
        <v>46164.70833</v>
      </c>
      <c r="E1113" s="356">
        <f>VLOOKUP(B1113,Quotas!$A$8:$C$14,3,FALSE)</f>
        <v>46171.70833</v>
      </c>
      <c r="F1113" s="79">
        <f>COUNTIFS(Matches!$B:$B,A1113,Matches!$A:$A,CONCAT("&gt;",$D1113),Matches!$A:$A,CONCAT("&lt;",$E1113))</f>
        <v>0</v>
      </c>
      <c r="G1113" s="79">
        <f>COUNTIFS(Matches!$C:$C,$A1113,Matches!$A:$A,CONCAT("&gt;",$D1113),Matches!$A:$A,CONCAT("&lt;",$E1113))</f>
        <v>1</v>
      </c>
      <c r="H1113" s="79">
        <f t="shared" si="1"/>
        <v>1</v>
      </c>
      <c r="I1113" s="79">
        <f>COUNTIFS(Matches!$B:$B,$A1113,Matches!$A:$A,CONCAT("&lt;",$E1113))</f>
        <v>12</v>
      </c>
      <c r="J1113" s="79">
        <f>COUNTIFS(Matches!$C:$C,$A1113,Matches!$A:$A,CONCAT("&lt;",$E1113))</f>
        <v>10</v>
      </c>
      <c r="K1113" s="79">
        <f>COUNTIFS(Entropy!D:D,A1113,Entropy!I:I,CONCAT("&lt;",E1113-1))</f>
        <v>1</v>
      </c>
      <c r="L1113" s="79">
        <f t="shared" si="2"/>
        <v>23</v>
      </c>
      <c r="M1113" s="79">
        <f t="array" ref="M1113">max(min(IF(J1113+K1113=11,0,XLOOKUP(B1113,Quotas!$A$8:$A$14,Quotas!$E$8:$E$14)-$L1113),2),0)</f>
        <v>0</v>
      </c>
      <c r="N1113" s="31">
        <f t="shared" si="3"/>
        <v>0</v>
      </c>
    </row>
    <row r="1114">
      <c r="A1114" s="31" t="s">
        <v>304</v>
      </c>
      <c r="B1114" s="9">
        <v>5.0</v>
      </c>
      <c r="C1114" s="31" t="str">
        <f>VLOOKUP(A1114, 'College List'!A:B, 2, FALSE)</f>
        <v>Prismari</v>
      </c>
      <c r="D1114" s="355">
        <f>VLOOKUP(B1114,Quotas!$A$8:$C$14,2,FALSE)</f>
        <v>46164.70833</v>
      </c>
      <c r="E1114" s="356">
        <f>VLOOKUP(B1114,Quotas!$A$8:$C$14,3,FALSE)</f>
        <v>46171.70833</v>
      </c>
      <c r="F1114" s="79">
        <f>COUNTIFS(Matches!$B:$B,A1114,Matches!$A:$A,CONCAT("&gt;",$D1114),Matches!$A:$A,CONCAT("&lt;",$E1114))</f>
        <v>0</v>
      </c>
      <c r="G1114" s="79">
        <f>COUNTIFS(Matches!$C:$C,$A1114,Matches!$A:$A,CONCAT("&gt;",$D1114),Matches!$A:$A,CONCAT("&lt;",$E1114))</f>
        <v>0</v>
      </c>
      <c r="H1114" s="79">
        <f t="shared" si="1"/>
        <v>0</v>
      </c>
      <c r="I1114" s="79">
        <f>COUNTIFS(Matches!$B:$B,$A1114,Matches!$A:$A,CONCAT("&lt;",$E1114))</f>
        <v>8</v>
      </c>
      <c r="J1114" s="79">
        <f>COUNTIFS(Matches!$C:$C,$A1114,Matches!$A:$A,CONCAT("&lt;",$E1114))</f>
        <v>7</v>
      </c>
      <c r="K1114" s="79">
        <f>COUNTIFS(Entropy!D:D,A1114,Entropy!I:I,CONCAT("&lt;",E1114-1))</f>
        <v>3</v>
      </c>
      <c r="L1114" s="79">
        <f t="shared" si="2"/>
        <v>18</v>
      </c>
      <c r="M1114" s="79">
        <f t="array" ref="M1114">max(min(IF(J1114+K1114=11,0,XLOOKUP(B1114,Quotas!$A$8:$A$14,Quotas!$E$8:$E$14)-$L1114),2),0)</f>
        <v>2</v>
      </c>
      <c r="N1114" s="31">
        <f t="shared" si="3"/>
        <v>0</v>
      </c>
    </row>
    <row r="1115">
      <c r="A1115" s="31" t="s">
        <v>92</v>
      </c>
      <c r="B1115" s="9">
        <v>5.0</v>
      </c>
      <c r="C1115" s="31" t="str">
        <f>VLOOKUP(A1115, 'College List'!A:B, 2, FALSE)</f>
        <v>Witherbloom</v>
      </c>
      <c r="D1115" s="355">
        <f>VLOOKUP(B1115,Quotas!$A$8:$C$14,2,FALSE)</f>
        <v>46164.70833</v>
      </c>
      <c r="E1115" s="356">
        <f>VLOOKUP(B1115,Quotas!$A$8:$C$14,3,FALSE)</f>
        <v>46171.70833</v>
      </c>
      <c r="F1115" s="79">
        <f>COUNTIFS(Matches!$B:$B,A1115,Matches!$A:$A,CONCAT("&gt;",$D1115),Matches!$A:$A,CONCAT("&lt;",$E1115))</f>
        <v>4</v>
      </c>
      <c r="G1115" s="79">
        <f>COUNTIFS(Matches!$C:$C,$A1115,Matches!$A:$A,CONCAT("&gt;",$D1115),Matches!$A:$A,CONCAT("&lt;",$E1115))</f>
        <v>1</v>
      </c>
      <c r="H1115" s="79">
        <f t="shared" si="1"/>
        <v>5</v>
      </c>
      <c r="I1115" s="79">
        <f>COUNTIFS(Matches!$B:$B,$A1115,Matches!$A:$A,CONCAT("&lt;",$E1115))</f>
        <v>15</v>
      </c>
      <c r="J1115" s="79">
        <f>COUNTIFS(Matches!$C:$C,$A1115,Matches!$A:$A,CONCAT("&lt;",$E1115))</f>
        <v>10</v>
      </c>
      <c r="K1115" s="79">
        <f>COUNTIFS(Entropy!D:D,A1115,Entropy!I:I,CONCAT("&lt;",E1115-1))</f>
        <v>0</v>
      </c>
      <c r="L1115" s="79">
        <f t="shared" si="2"/>
        <v>25</v>
      </c>
      <c r="M1115" s="79">
        <f t="array" ref="M1115">max(min(IF(J1115+K1115=11,0,XLOOKUP(B1115,Quotas!$A$8:$A$14,Quotas!$E$8:$E$14)-$L1115),2),0)</f>
        <v>0</v>
      </c>
      <c r="N1115" s="31">
        <f t="shared" si="3"/>
        <v>0</v>
      </c>
    </row>
    <row r="1116">
      <c r="A1116" s="31" t="s">
        <v>17</v>
      </c>
      <c r="B1116" s="9">
        <v>5.0</v>
      </c>
      <c r="C1116" s="31" t="str">
        <f>VLOOKUP(A1116, 'College List'!A:B, 2, FALSE)</f>
        <v>Silverquill</v>
      </c>
      <c r="D1116" s="355">
        <f>VLOOKUP(B1116,Quotas!$A$8:$C$14,2,FALSE)</f>
        <v>46164.70833</v>
      </c>
      <c r="E1116" s="356">
        <f>VLOOKUP(B1116,Quotas!$A$8:$C$14,3,FALSE)</f>
        <v>46171.70833</v>
      </c>
      <c r="F1116" s="79">
        <f>COUNTIFS(Matches!$B:$B,A1116,Matches!$A:$A,CONCAT("&gt;",$D1116),Matches!$A:$A,CONCAT("&lt;",$E1116))</f>
        <v>5</v>
      </c>
      <c r="G1116" s="79">
        <f>COUNTIFS(Matches!$C:$C,$A1116,Matches!$A:$A,CONCAT("&gt;",$D1116),Matches!$A:$A,CONCAT("&lt;",$E1116))</f>
        <v>0</v>
      </c>
      <c r="H1116" s="79">
        <f t="shared" si="1"/>
        <v>5</v>
      </c>
      <c r="I1116" s="79">
        <f>COUNTIFS(Matches!$B:$B,$A1116,Matches!$A:$A,CONCAT("&lt;",$E1116))</f>
        <v>21</v>
      </c>
      <c r="J1116" s="79">
        <f>COUNTIFS(Matches!$C:$C,$A1116,Matches!$A:$A,CONCAT("&lt;",$E1116))</f>
        <v>4</v>
      </c>
      <c r="K1116" s="79">
        <f>COUNTIFS(Entropy!D:D,A1116,Entropy!I:I,CONCAT("&lt;",E1116-1))</f>
        <v>0</v>
      </c>
      <c r="L1116" s="79">
        <f t="shared" si="2"/>
        <v>25</v>
      </c>
      <c r="M1116" s="79">
        <f t="array" ref="M1116">max(min(IF(J1116+K1116=11,0,XLOOKUP(B1116,Quotas!$A$8:$A$14,Quotas!$E$8:$E$14)-$L1116),2),0)</f>
        <v>0</v>
      </c>
      <c r="N1116" s="31">
        <f t="shared" si="3"/>
        <v>0</v>
      </c>
    </row>
    <row r="1117">
      <c r="A1117" s="31" t="s">
        <v>279</v>
      </c>
      <c r="B1117" s="9">
        <v>5.0</v>
      </c>
      <c r="C1117" s="31" t="str">
        <f>VLOOKUP(A1117, 'College List'!A:B, 2, FALSE)</f>
        <v>Prismari</v>
      </c>
      <c r="D1117" s="355">
        <f>VLOOKUP(B1117,Quotas!$A$8:$C$14,2,FALSE)</f>
        <v>46164.70833</v>
      </c>
      <c r="E1117" s="356">
        <f>VLOOKUP(B1117,Quotas!$A$8:$C$14,3,FALSE)</f>
        <v>46171.70833</v>
      </c>
      <c r="F1117" s="79">
        <f>COUNTIFS(Matches!$B:$B,A1117,Matches!$A:$A,CONCAT("&gt;",$D1117),Matches!$A:$A,CONCAT("&lt;",$E1117))</f>
        <v>0</v>
      </c>
      <c r="G1117" s="79">
        <f>COUNTIFS(Matches!$C:$C,$A1117,Matches!$A:$A,CONCAT("&gt;",$D1117),Matches!$A:$A,CONCAT("&lt;",$E1117))</f>
        <v>0</v>
      </c>
      <c r="H1117" s="79">
        <f t="shared" si="1"/>
        <v>0</v>
      </c>
      <c r="I1117" s="79">
        <f>COUNTIFS(Matches!$B:$B,$A1117,Matches!$A:$A,CONCAT("&lt;",$E1117))</f>
        <v>8</v>
      </c>
      <c r="J1117" s="79">
        <f>COUNTIFS(Matches!$C:$C,$A1117,Matches!$A:$A,CONCAT("&lt;",$E1117))</f>
        <v>11</v>
      </c>
      <c r="K1117" s="79">
        <f>COUNTIFS(Entropy!D:D,A1117,Entropy!I:I,CONCAT("&lt;",E1117-1))</f>
        <v>0</v>
      </c>
      <c r="L1117" s="79">
        <f t="shared" si="2"/>
        <v>19</v>
      </c>
      <c r="M1117" s="79">
        <f t="array" ref="M1117">max(min(IF(J1117+K1117=11,0,XLOOKUP(B1117,Quotas!$A$8:$A$14,Quotas!$E$8:$E$14)-$L1117),2),0)</f>
        <v>0</v>
      </c>
      <c r="N1117" s="31">
        <f t="shared" si="3"/>
        <v>0</v>
      </c>
    </row>
    <row r="1118">
      <c r="A1118" s="31" t="s">
        <v>88</v>
      </c>
      <c r="B1118" s="9">
        <v>5.0</v>
      </c>
      <c r="C1118" s="31" t="str">
        <f>VLOOKUP(A1118, 'College List'!A:B, 2, FALSE)</f>
        <v>Quandrix</v>
      </c>
      <c r="D1118" s="355">
        <f>VLOOKUP(B1118,Quotas!$A$8:$C$14,2,FALSE)</f>
        <v>46164.70833</v>
      </c>
      <c r="E1118" s="356">
        <f>VLOOKUP(B1118,Quotas!$A$8:$C$14,3,FALSE)</f>
        <v>46171.70833</v>
      </c>
      <c r="F1118" s="79">
        <f>COUNTIFS(Matches!$B:$B,A1118,Matches!$A:$A,CONCAT("&gt;",$D1118),Matches!$A:$A,CONCAT("&lt;",$E1118))</f>
        <v>4</v>
      </c>
      <c r="G1118" s="79">
        <f>COUNTIFS(Matches!$C:$C,$A1118,Matches!$A:$A,CONCAT("&gt;",$D1118),Matches!$A:$A,CONCAT("&lt;",$E1118))</f>
        <v>1</v>
      </c>
      <c r="H1118" s="79">
        <f t="shared" si="1"/>
        <v>5</v>
      </c>
      <c r="I1118" s="79">
        <f>COUNTIFS(Matches!$B:$B,$A1118,Matches!$A:$A,CONCAT("&lt;",$E1118))</f>
        <v>16</v>
      </c>
      <c r="J1118" s="79">
        <f>COUNTIFS(Matches!$C:$C,$A1118,Matches!$A:$A,CONCAT("&lt;",$E1118))</f>
        <v>9</v>
      </c>
      <c r="K1118" s="79">
        <f>COUNTIFS(Entropy!D:D,A1118,Entropy!I:I,CONCAT("&lt;",E1118-1))</f>
        <v>0</v>
      </c>
      <c r="L1118" s="79">
        <f t="shared" si="2"/>
        <v>25</v>
      </c>
      <c r="M1118" s="79">
        <f t="array" ref="M1118">max(min(IF(J1118+K1118=11,0,XLOOKUP(B1118,Quotas!$A$8:$A$14,Quotas!$E$8:$E$14)-$L1118),2),0)</f>
        <v>0</v>
      </c>
      <c r="N1118" s="31">
        <f t="shared" si="3"/>
        <v>0</v>
      </c>
    </row>
    <row r="1119">
      <c r="A1119" s="31" t="s">
        <v>631</v>
      </c>
      <c r="B1119" s="9">
        <v>5.0</v>
      </c>
      <c r="C1119" s="31" t="str">
        <f>VLOOKUP(A1119, 'College List'!A:B, 2, FALSE)</f>
        <v>Witherbloom</v>
      </c>
      <c r="D1119" s="355">
        <f>VLOOKUP(B1119,Quotas!$A$8:$C$14,2,FALSE)</f>
        <v>46164.70833</v>
      </c>
      <c r="E1119" s="356">
        <f>VLOOKUP(B1119,Quotas!$A$8:$C$14,3,FALSE)</f>
        <v>46171.70833</v>
      </c>
      <c r="F1119" s="79">
        <f>COUNTIFS(Matches!$B:$B,A1119,Matches!$A:$A,CONCAT("&gt;",$D1119),Matches!$A:$A,CONCAT("&lt;",$E1119))</f>
        <v>0</v>
      </c>
      <c r="G1119" s="79">
        <f>COUNTIFS(Matches!$C:$C,$A1119,Matches!$A:$A,CONCAT("&gt;",$D1119),Matches!$A:$A,CONCAT("&lt;",$E1119))</f>
        <v>0</v>
      </c>
      <c r="H1119" s="79">
        <f t="shared" si="1"/>
        <v>0</v>
      </c>
      <c r="I1119" s="79">
        <f>COUNTIFS(Matches!$B:$B,$A1119,Matches!$A:$A,CONCAT("&lt;",$E1119))</f>
        <v>0</v>
      </c>
      <c r="J1119" s="79">
        <f>COUNTIFS(Matches!$C:$C,$A1119,Matches!$A:$A,CONCAT("&lt;",$E1119))</f>
        <v>0</v>
      </c>
      <c r="K1119" s="79">
        <f>COUNTIFS(Entropy!D:D,A1119,Entropy!I:I,CONCAT("&lt;",E1119-1))</f>
        <v>11</v>
      </c>
      <c r="L1119" s="79">
        <f t="shared" si="2"/>
        <v>11</v>
      </c>
      <c r="M1119" s="79">
        <f t="array" ref="M1119">max(min(IF(J1119+K1119=11,0,XLOOKUP(B1119,Quotas!$A$8:$A$14,Quotas!$E$8:$E$14)-$L1119),2),0)</f>
        <v>0</v>
      </c>
      <c r="N1119" s="31">
        <f t="shared" si="3"/>
        <v>0</v>
      </c>
    </row>
    <row r="1120">
      <c r="A1120" s="31" t="s">
        <v>289</v>
      </c>
      <c r="B1120" s="9">
        <v>5.0</v>
      </c>
      <c r="C1120" s="31" t="str">
        <f>VLOOKUP(A1120, 'College List'!A:B, 2, FALSE)</f>
        <v>Lorehold</v>
      </c>
      <c r="D1120" s="355">
        <f>VLOOKUP(B1120,Quotas!$A$8:$C$14,2,FALSE)</f>
        <v>46164.70833</v>
      </c>
      <c r="E1120" s="356">
        <f>VLOOKUP(B1120,Quotas!$A$8:$C$14,3,FALSE)</f>
        <v>46171.70833</v>
      </c>
      <c r="F1120" s="79">
        <f>COUNTIFS(Matches!$B:$B,A1120,Matches!$A:$A,CONCAT("&gt;",$D1120),Matches!$A:$A,CONCAT("&lt;",$E1120))</f>
        <v>0</v>
      </c>
      <c r="G1120" s="79">
        <f>COUNTIFS(Matches!$C:$C,$A1120,Matches!$A:$A,CONCAT("&gt;",$D1120),Matches!$A:$A,CONCAT("&lt;",$E1120))</f>
        <v>0</v>
      </c>
      <c r="H1120" s="79">
        <f t="shared" si="1"/>
        <v>0</v>
      </c>
      <c r="I1120" s="79">
        <f>COUNTIFS(Matches!$B:$B,$A1120,Matches!$A:$A,CONCAT("&lt;",$E1120))</f>
        <v>1</v>
      </c>
      <c r="J1120" s="79">
        <f>COUNTIFS(Matches!$C:$C,$A1120,Matches!$A:$A,CONCAT("&lt;",$E1120))</f>
        <v>3</v>
      </c>
      <c r="K1120" s="79">
        <f>COUNTIFS(Entropy!D:D,A1120,Entropy!I:I,CONCAT("&lt;",E1120-1))</f>
        <v>8</v>
      </c>
      <c r="L1120" s="79">
        <f t="shared" si="2"/>
        <v>12</v>
      </c>
      <c r="M1120" s="79">
        <f t="array" ref="M1120">max(min(IF(J1120+K1120=11,0,XLOOKUP(B1120,Quotas!$A$8:$A$14,Quotas!$E$8:$E$14)-$L1120),2),0)</f>
        <v>0</v>
      </c>
      <c r="N1120" s="31">
        <f t="shared" si="3"/>
        <v>0</v>
      </c>
    </row>
    <row r="1121">
      <c r="A1121" s="31" t="s">
        <v>71</v>
      </c>
      <c r="B1121" s="9">
        <v>5.0</v>
      </c>
      <c r="C1121" s="31" t="str">
        <f>VLOOKUP(A1121, 'College List'!A:B, 2, FALSE)</f>
        <v>Lorehold</v>
      </c>
      <c r="D1121" s="355">
        <f>VLOOKUP(B1121,Quotas!$A$8:$C$14,2,FALSE)</f>
        <v>46164.70833</v>
      </c>
      <c r="E1121" s="356">
        <f>VLOOKUP(B1121,Quotas!$A$8:$C$14,3,FALSE)</f>
        <v>46171.70833</v>
      </c>
      <c r="F1121" s="79">
        <f>COUNTIFS(Matches!$B:$B,A1121,Matches!$A:$A,CONCAT("&gt;",$D1121),Matches!$A:$A,CONCAT("&lt;",$E1121))</f>
        <v>3</v>
      </c>
      <c r="G1121" s="79">
        <f>COUNTIFS(Matches!$C:$C,$A1121,Matches!$A:$A,CONCAT("&gt;",$D1121),Matches!$A:$A,CONCAT("&lt;",$E1121))</f>
        <v>2</v>
      </c>
      <c r="H1121" s="79">
        <f t="shared" si="1"/>
        <v>5</v>
      </c>
      <c r="I1121" s="79">
        <f>COUNTIFS(Matches!$B:$B,$A1121,Matches!$A:$A,CONCAT("&lt;",$E1121))</f>
        <v>15</v>
      </c>
      <c r="J1121" s="79">
        <f>COUNTIFS(Matches!$C:$C,$A1121,Matches!$A:$A,CONCAT("&lt;",$E1121))</f>
        <v>10</v>
      </c>
      <c r="K1121" s="79">
        <f>COUNTIFS(Entropy!D:D,A1121,Entropy!I:I,CONCAT("&lt;",E1121-1))</f>
        <v>0</v>
      </c>
      <c r="L1121" s="79">
        <f t="shared" si="2"/>
        <v>25</v>
      </c>
      <c r="M1121" s="79">
        <f t="array" ref="M1121">max(min(IF(J1121+K1121=11,0,XLOOKUP(B1121,Quotas!$A$8:$A$14,Quotas!$E$8:$E$14)-$L1121),2),0)</f>
        <v>0</v>
      </c>
      <c r="N1121" s="31">
        <f t="shared" si="3"/>
        <v>0</v>
      </c>
    </row>
    <row r="1122">
      <c r="A1122" s="31" t="s">
        <v>348</v>
      </c>
      <c r="B1122" s="9">
        <v>5.0</v>
      </c>
      <c r="C1122" s="31" t="str">
        <f>VLOOKUP(A1122, 'College List'!A:B, 2, FALSE)</f>
        <v>Quandrix</v>
      </c>
      <c r="D1122" s="355">
        <f>VLOOKUP(B1122,Quotas!$A$8:$C$14,2,FALSE)</f>
        <v>46164.70833</v>
      </c>
      <c r="E1122" s="356">
        <f>VLOOKUP(B1122,Quotas!$A$8:$C$14,3,FALSE)</f>
        <v>46171.70833</v>
      </c>
      <c r="F1122" s="79">
        <f>COUNTIFS(Matches!$B:$B,A1122,Matches!$A:$A,CONCAT("&gt;",$D1122),Matches!$A:$A,CONCAT("&lt;",$E1122))</f>
        <v>0</v>
      </c>
      <c r="G1122" s="79">
        <f>COUNTIFS(Matches!$C:$C,$A1122,Matches!$A:$A,CONCAT("&gt;",$D1122),Matches!$A:$A,CONCAT("&lt;",$E1122))</f>
        <v>0</v>
      </c>
      <c r="H1122" s="79">
        <f t="shared" si="1"/>
        <v>0</v>
      </c>
      <c r="I1122" s="79">
        <f>COUNTIFS(Matches!$B:$B,$A1122,Matches!$A:$A,CONCAT("&lt;",$E1122))</f>
        <v>5</v>
      </c>
      <c r="J1122" s="79">
        <f>COUNTIFS(Matches!$C:$C,$A1122,Matches!$A:$A,CONCAT("&lt;",$E1122))</f>
        <v>10</v>
      </c>
      <c r="K1122" s="79">
        <f>COUNTIFS(Entropy!D:D,A1122,Entropy!I:I,CONCAT("&lt;",E1122-1))</f>
        <v>1</v>
      </c>
      <c r="L1122" s="79">
        <f t="shared" si="2"/>
        <v>16</v>
      </c>
      <c r="M1122" s="79">
        <f t="array" ref="M1122">max(min(IF(J1122+K1122=11,0,XLOOKUP(B1122,Quotas!$A$8:$A$14,Quotas!$E$8:$E$14)-$L1122),2),0)</f>
        <v>0</v>
      </c>
      <c r="N1122" s="31">
        <f t="shared" si="3"/>
        <v>0</v>
      </c>
    </row>
    <row r="1123">
      <c r="A1123" s="31" t="s">
        <v>164</v>
      </c>
      <c r="B1123" s="9">
        <v>5.0</v>
      </c>
      <c r="C1123" s="31" t="str">
        <f>VLOOKUP(A1123, 'College List'!A:B, 2, FALSE)</f>
        <v>Silverquill</v>
      </c>
      <c r="D1123" s="355">
        <f>VLOOKUP(B1123,Quotas!$A$8:$C$14,2,FALSE)</f>
        <v>46164.70833</v>
      </c>
      <c r="E1123" s="356">
        <f>VLOOKUP(B1123,Quotas!$A$8:$C$14,3,FALSE)</f>
        <v>46171.70833</v>
      </c>
      <c r="F1123" s="79">
        <f>COUNTIFS(Matches!$B:$B,A1123,Matches!$A:$A,CONCAT("&gt;",$D1123),Matches!$A:$A,CONCAT("&lt;",$E1123))</f>
        <v>0</v>
      </c>
      <c r="G1123" s="79">
        <f>COUNTIFS(Matches!$C:$C,$A1123,Matches!$A:$A,CONCAT("&gt;",$D1123),Matches!$A:$A,CONCAT("&lt;",$E1123))</f>
        <v>1</v>
      </c>
      <c r="H1123" s="79">
        <f t="shared" si="1"/>
        <v>1</v>
      </c>
      <c r="I1123" s="79">
        <f>COUNTIFS(Matches!$B:$B,$A1123,Matches!$A:$A,CONCAT("&lt;",$E1123))</f>
        <v>10</v>
      </c>
      <c r="J1123" s="79">
        <f>COUNTIFS(Matches!$C:$C,$A1123,Matches!$A:$A,CONCAT("&lt;",$E1123))</f>
        <v>11</v>
      </c>
      <c r="K1123" s="79">
        <f>COUNTIFS(Entropy!D:D,A1123,Entropy!I:I,CONCAT("&lt;",E1123-1))</f>
        <v>0</v>
      </c>
      <c r="L1123" s="79">
        <f t="shared" si="2"/>
        <v>21</v>
      </c>
      <c r="M1123" s="79">
        <f t="array" ref="M1123">max(min(IF(J1123+K1123=11,0,XLOOKUP(B1123,Quotas!$A$8:$A$14,Quotas!$E$8:$E$14)-$L1123),2),0)</f>
        <v>0</v>
      </c>
      <c r="N1123" s="31">
        <f t="shared" si="3"/>
        <v>0</v>
      </c>
    </row>
    <row r="1124">
      <c r="A1124" s="31" t="s">
        <v>54</v>
      </c>
      <c r="B1124" s="9">
        <v>5.0</v>
      </c>
      <c r="C1124" s="31" t="str">
        <f>VLOOKUP(A1124, 'College List'!A:B, 2, FALSE)</f>
        <v>Prismari</v>
      </c>
      <c r="D1124" s="355">
        <f>VLOOKUP(B1124,Quotas!$A$8:$C$14,2,FALSE)</f>
        <v>46164.70833</v>
      </c>
      <c r="E1124" s="356">
        <f>VLOOKUP(B1124,Quotas!$A$8:$C$14,3,FALSE)</f>
        <v>46171.70833</v>
      </c>
      <c r="F1124" s="79">
        <f>COUNTIFS(Matches!$B:$B,A1124,Matches!$A:$A,CONCAT("&gt;",$D1124),Matches!$A:$A,CONCAT("&lt;",$E1124))</f>
        <v>3</v>
      </c>
      <c r="G1124" s="79">
        <f>COUNTIFS(Matches!$C:$C,$A1124,Matches!$A:$A,CONCAT("&gt;",$D1124),Matches!$A:$A,CONCAT("&lt;",$E1124))</f>
        <v>2</v>
      </c>
      <c r="H1124" s="79">
        <f t="shared" si="1"/>
        <v>5</v>
      </c>
      <c r="I1124" s="79">
        <f>COUNTIFS(Matches!$B:$B,$A1124,Matches!$A:$A,CONCAT("&lt;",$E1124))</f>
        <v>15</v>
      </c>
      <c r="J1124" s="79">
        <f>COUNTIFS(Matches!$C:$C,$A1124,Matches!$A:$A,CONCAT("&lt;",$E1124))</f>
        <v>10</v>
      </c>
      <c r="K1124" s="79">
        <f>COUNTIFS(Entropy!D:D,A1124,Entropy!I:I,CONCAT("&lt;",E1124-1))</f>
        <v>0</v>
      </c>
      <c r="L1124" s="79">
        <f t="shared" si="2"/>
        <v>25</v>
      </c>
      <c r="M1124" s="79">
        <f t="array" ref="M1124">max(min(IF(J1124+K1124=11,0,XLOOKUP(B1124,Quotas!$A$8:$A$14,Quotas!$E$8:$E$14)-$L1124),2),0)</f>
        <v>0</v>
      </c>
      <c r="N1124" s="31">
        <f t="shared" si="3"/>
        <v>0</v>
      </c>
    </row>
    <row r="1125">
      <c r="A1125" s="31" t="s">
        <v>256</v>
      </c>
      <c r="B1125" s="9">
        <v>5.0</v>
      </c>
      <c r="C1125" s="31" t="str">
        <f>VLOOKUP(A1125, 'College List'!A:B, 2, FALSE)</f>
        <v>Quandrix</v>
      </c>
      <c r="D1125" s="355">
        <f>VLOOKUP(B1125,Quotas!$A$8:$C$14,2,FALSE)</f>
        <v>46164.70833</v>
      </c>
      <c r="E1125" s="356">
        <f>VLOOKUP(B1125,Quotas!$A$8:$C$14,3,FALSE)</f>
        <v>46171.70833</v>
      </c>
      <c r="F1125" s="79">
        <f>COUNTIFS(Matches!$B:$B,A1125,Matches!$A:$A,CONCAT("&gt;",$D1125),Matches!$A:$A,CONCAT("&lt;",$E1125))</f>
        <v>1</v>
      </c>
      <c r="G1125" s="79">
        <f>COUNTIFS(Matches!$C:$C,$A1125,Matches!$A:$A,CONCAT("&gt;",$D1125),Matches!$A:$A,CONCAT("&lt;",$E1125))</f>
        <v>2</v>
      </c>
      <c r="H1125" s="79">
        <f t="shared" si="1"/>
        <v>3</v>
      </c>
      <c r="I1125" s="79">
        <f>COUNTIFS(Matches!$B:$B,$A1125,Matches!$A:$A,CONCAT("&lt;",$E1125))</f>
        <v>12</v>
      </c>
      <c r="J1125" s="79">
        <f>COUNTIFS(Matches!$C:$C,$A1125,Matches!$A:$A,CONCAT("&lt;",$E1125))</f>
        <v>11</v>
      </c>
      <c r="K1125" s="79">
        <f>COUNTIFS(Entropy!D:D,A1125,Entropy!I:I,CONCAT("&lt;",E1125-1))</f>
        <v>0</v>
      </c>
      <c r="L1125" s="79">
        <f t="shared" si="2"/>
        <v>23</v>
      </c>
      <c r="M1125" s="79">
        <f t="array" ref="M1125">max(min(IF(J1125+K1125=11,0,XLOOKUP(B1125,Quotas!$A$8:$A$14,Quotas!$E$8:$E$14)-$L1125),2),0)</f>
        <v>0</v>
      </c>
      <c r="N1125" s="31">
        <f t="shared" si="3"/>
        <v>0</v>
      </c>
    </row>
    <row r="1126">
      <c r="A1126" s="31" t="s">
        <v>137</v>
      </c>
      <c r="B1126" s="9">
        <v>5.0</v>
      </c>
      <c r="C1126" s="31" t="str">
        <f>VLOOKUP(A1126, 'College List'!A:B, 2, FALSE)</f>
        <v>Lorehold</v>
      </c>
      <c r="D1126" s="355">
        <f>VLOOKUP(B1126,Quotas!$A$8:$C$14,2,FALSE)</f>
        <v>46164.70833</v>
      </c>
      <c r="E1126" s="356">
        <f>VLOOKUP(B1126,Quotas!$A$8:$C$14,3,FALSE)</f>
        <v>46171.70833</v>
      </c>
      <c r="F1126" s="79">
        <f>COUNTIFS(Matches!$B:$B,A1126,Matches!$A:$A,CONCAT("&gt;",$D1126),Matches!$A:$A,CONCAT("&lt;",$E1126))</f>
        <v>0</v>
      </c>
      <c r="G1126" s="79">
        <f>COUNTIFS(Matches!$C:$C,$A1126,Matches!$A:$A,CONCAT("&gt;",$D1126),Matches!$A:$A,CONCAT("&lt;",$E1126))</f>
        <v>0</v>
      </c>
      <c r="H1126" s="79">
        <f t="shared" si="1"/>
        <v>0</v>
      </c>
      <c r="I1126" s="79">
        <f>COUNTIFS(Matches!$B:$B,$A1126,Matches!$A:$A,CONCAT("&lt;",$E1126))</f>
        <v>8</v>
      </c>
      <c r="J1126" s="79">
        <f>COUNTIFS(Matches!$C:$C,$A1126,Matches!$A:$A,CONCAT("&lt;",$E1126))</f>
        <v>11</v>
      </c>
      <c r="K1126" s="79">
        <f>COUNTIFS(Entropy!D:D,A1126,Entropy!I:I,CONCAT("&lt;",E1126-1))</f>
        <v>0</v>
      </c>
      <c r="L1126" s="79">
        <f t="shared" si="2"/>
        <v>19</v>
      </c>
      <c r="M1126" s="79">
        <f t="array" ref="M1126">max(min(IF(J1126+K1126=11,0,XLOOKUP(B1126,Quotas!$A$8:$A$14,Quotas!$E$8:$E$14)-$L1126),2),0)</f>
        <v>0</v>
      </c>
      <c r="N1126" s="31">
        <f t="shared" si="3"/>
        <v>0</v>
      </c>
    </row>
    <row r="1127">
      <c r="A1127" s="31" t="s">
        <v>213</v>
      </c>
      <c r="B1127" s="9">
        <v>5.0</v>
      </c>
      <c r="C1127" s="31" t="str">
        <f>VLOOKUP(A1127, 'College List'!A:B, 2, FALSE)</f>
        <v>Prismari</v>
      </c>
      <c r="D1127" s="355">
        <f>VLOOKUP(B1127,Quotas!$A$8:$C$14,2,FALSE)</f>
        <v>46164.70833</v>
      </c>
      <c r="E1127" s="356">
        <f>VLOOKUP(B1127,Quotas!$A$8:$C$14,3,FALSE)</f>
        <v>46171.70833</v>
      </c>
      <c r="F1127" s="79">
        <f>COUNTIFS(Matches!$B:$B,A1127,Matches!$A:$A,CONCAT("&gt;",$D1127),Matches!$A:$A,CONCAT("&lt;",$E1127))</f>
        <v>1</v>
      </c>
      <c r="G1127" s="79">
        <f>COUNTIFS(Matches!$C:$C,$A1127,Matches!$A:$A,CONCAT("&gt;",$D1127),Matches!$A:$A,CONCAT("&lt;",$E1127))</f>
        <v>4</v>
      </c>
      <c r="H1127" s="79">
        <f t="shared" si="1"/>
        <v>5</v>
      </c>
      <c r="I1127" s="79">
        <f>COUNTIFS(Matches!$B:$B,$A1127,Matches!$A:$A,CONCAT("&lt;",$E1127))</f>
        <v>15</v>
      </c>
      <c r="J1127" s="79">
        <f>COUNTIFS(Matches!$C:$C,$A1127,Matches!$A:$A,CONCAT("&lt;",$E1127))</f>
        <v>10</v>
      </c>
      <c r="K1127" s="79">
        <f>COUNTIFS(Entropy!D:D,A1127,Entropy!I:I,CONCAT("&lt;",E1127-1))</f>
        <v>0</v>
      </c>
      <c r="L1127" s="79">
        <f t="shared" si="2"/>
        <v>25</v>
      </c>
      <c r="M1127" s="79">
        <f t="array" ref="M1127">max(min(IF(J1127+K1127=11,0,XLOOKUP(B1127,Quotas!$A$8:$A$14,Quotas!$E$8:$E$14)-$L1127),2),0)</f>
        <v>0</v>
      </c>
      <c r="N1127" s="31">
        <f t="shared" si="3"/>
        <v>0</v>
      </c>
    </row>
    <row r="1128">
      <c r="A1128" s="31" t="s">
        <v>343</v>
      </c>
      <c r="B1128" s="9">
        <v>5.0</v>
      </c>
      <c r="C1128" s="31" t="str">
        <f>VLOOKUP(A1128, 'College List'!A:B, 2, FALSE)</f>
        <v>Silverquill</v>
      </c>
      <c r="D1128" s="355">
        <f>VLOOKUP(B1128,Quotas!$A$8:$C$14,2,FALSE)</f>
        <v>46164.70833</v>
      </c>
      <c r="E1128" s="356">
        <f>VLOOKUP(B1128,Quotas!$A$8:$C$14,3,FALSE)</f>
        <v>46171.70833</v>
      </c>
      <c r="F1128" s="79">
        <f>COUNTIFS(Matches!$B:$B,A1128,Matches!$A:$A,CONCAT("&gt;",$D1128),Matches!$A:$A,CONCAT("&lt;",$E1128))</f>
        <v>0</v>
      </c>
      <c r="G1128" s="79">
        <f>COUNTIFS(Matches!$C:$C,$A1128,Matches!$A:$A,CONCAT("&gt;",$D1128),Matches!$A:$A,CONCAT("&lt;",$E1128))</f>
        <v>2</v>
      </c>
      <c r="H1128" s="79">
        <f t="shared" si="1"/>
        <v>2</v>
      </c>
      <c r="I1128" s="79">
        <f>COUNTIFS(Matches!$B:$B,$A1128,Matches!$A:$A,CONCAT("&lt;",$E1128))</f>
        <v>11</v>
      </c>
      <c r="J1128" s="79">
        <f>COUNTIFS(Matches!$C:$C,$A1128,Matches!$A:$A,CONCAT("&lt;",$E1128))</f>
        <v>11</v>
      </c>
      <c r="K1128" s="79">
        <f>COUNTIFS(Entropy!D:D,A1128,Entropy!I:I,CONCAT("&lt;",E1128-1))</f>
        <v>0</v>
      </c>
      <c r="L1128" s="79">
        <f t="shared" si="2"/>
        <v>22</v>
      </c>
      <c r="M1128" s="79">
        <f t="array" ref="M1128">max(min(IF(J1128+K1128=11,0,XLOOKUP(B1128,Quotas!$A$8:$A$14,Quotas!$E$8:$E$14)-$L1128),2),0)</f>
        <v>0</v>
      </c>
      <c r="N1128" s="31">
        <f t="shared" si="3"/>
        <v>0</v>
      </c>
    </row>
    <row r="1129">
      <c r="A1129" s="31" t="s">
        <v>326</v>
      </c>
      <c r="B1129" s="9">
        <v>5.0</v>
      </c>
      <c r="C1129" s="31" t="str">
        <f>VLOOKUP(A1129, 'College List'!A:B, 2, FALSE)</f>
        <v>Prismari</v>
      </c>
      <c r="D1129" s="355">
        <f>VLOOKUP(B1129,Quotas!$A$8:$C$14,2,FALSE)</f>
        <v>46164.70833</v>
      </c>
      <c r="E1129" s="356">
        <f>VLOOKUP(B1129,Quotas!$A$8:$C$14,3,FALSE)</f>
        <v>46171.70833</v>
      </c>
      <c r="F1129" s="79">
        <f>COUNTIFS(Matches!$B:$B,A1129,Matches!$A:$A,CONCAT("&gt;",$D1129),Matches!$A:$A,CONCAT("&lt;",$E1129))</f>
        <v>0</v>
      </c>
      <c r="G1129" s="79">
        <f>COUNTIFS(Matches!$C:$C,$A1129,Matches!$A:$A,CONCAT("&gt;",$D1129),Matches!$A:$A,CONCAT("&lt;",$E1129))</f>
        <v>0</v>
      </c>
      <c r="H1129" s="79">
        <f t="shared" si="1"/>
        <v>0</v>
      </c>
      <c r="I1129" s="79">
        <f>COUNTIFS(Matches!$B:$B,$A1129,Matches!$A:$A,CONCAT("&lt;",$E1129))</f>
        <v>3</v>
      </c>
      <c r="J1129" s="79">
        <f>COUNTIFS(Matches!$C:$C,$A1129,Matches!$A:$A,CONCAT("&lt;",$E1129))</f>
        <v>10</v>
      </c>
      <c r="K1129" s="79">
        <f>COUNTIFS(Entropy!D:D,A1129,Entropy!I:I,CONCAT("&lt;",E1129-1))</f>
        <v>1</v>
      </c>
      <c r="L1129" s="79">
        <f t="shared" si="2"/>
        <v>14</v>
      </c>
      <c r="M1129" s="79">
        <f t="array" ref="M1129">max(min(IF(J1129+K1129=11,0,XLOOKUP(B1129,Quotas!$A$8:$A$14,Quotas!$E$8:$E$14)-$L1129),2),0)</f>
        <v>0</v>
      </c>
      <c r="N1129" s="31">
        <f t="shared" si="3"/>
        <v>0</v>
      </c>
    </row>
    <row r="1130">
      <c r="A1130" s="31" t="s">
        <v>354</v>
      </c>
      <c r="B1130" s="9">
        <v>5.0</v>
      </c>
      <c r="C1130" s="31" t="str">
        <f>VLOOKUP(A1130, 'College List'!A:B, 2, FALSE)</f>
        <v>Silverquill</v>
      </c>
      <c r="D1130" s="355">
        <f>VLOOKUP(B1130,Quotas!$A$8:$C$14,2,FALSE)</f>
        <v>46164.70833</v>
      </c>
      <c r="E1130" s="356">
        <f>VLOOKUP(B1130,Quotas!$A$8:$C$14,3,FALSE)</f>
        <v>46171.70833</v>
      </c>
      <c r="F1130" s="79">
        <f>COUNTIFS(Matches!$B:$B,A1130,Matches!$A:$A,CONCAT("&gt;",$D1130),Matches!$A:$A,CONCAT("&lt;",$E1130))</f>
        <v>0</v>
      </c>
      <c r="G1130" s="79">
        <f>COUNTIFS(Matches!$C:$C,$A1130,Matches!$A:$A,CONCAT("&gt;",$D1130),Matches!$A:$A,CONCAT("&lt;",$E1130))</f>
        <v>1</v>
      </c>
      <c r="H1130" s="79">
        <f t="shared" si="1"/>
        <v>1</v>
      </c>
      <c r="I1130" s="79">
        <f>COUNTIFS(Matches!$B:$B,$A1130,Matches!$A:$A,CONCAT("&lt;",$E1130))</f>
        <v>8</v>
      </c>
      <c r="J1130" s="79">
        <f>COUNTIFS(Matches!$C:$C,$A1130,Matches!$A:$A,CONCAT("&lt;",$E1130))</f>
        <v>10</v>
      </c>
      <c r="K1130" s="79">
        <f>COUNTIFS(Entropy!D:D,A1130,Entropy!I:I,CONCAT("&lt;",E1130-1))</f>
        <v>1</v>
      </c>
      <c r="L1130" s="79">
        <f t="shared" si="2"/>
        <v>19</v>
      </c>
      <c r="M1130" s="79">
        <f t="array" ref="M1130">max(min(IF(J1130+K1130=11,0,XLOOKUP(B1130,Quotas!$A$8:$A$14,Quotas!$E$8:$E$14)-$L1130),2),0)</f>
        <v>0</v>
      </c>
      <c r="N1130" s="31">
        <f t="shared" si="3"/>
        <v>0</v>
      </c>
    </row>
    <row r="1131">
      <c r="A1131" s="31" t="s">
        <v>157</v>
      </c>
      <c r="B1131" s="9">
        <v>5.0</v>
      </c>
      <c r="C1131" s="31" t="str">
        <f>VLOOKUP(A1131, 'College List'!A:B, 2, FALSE)</f>
        <v>Silverquill</v>
      </c>
      <c r="D1131" s="355">
        <f>VLOOKUP(B1131,Quotas!$A$8:$C$14,2,FALSE)</f>
        <v>46164.70833</v>
      </c>
      <c r="E1131" s="356">
        <f>VLOOKUP(B1131,Quotas!$A$8:$C$14,3,FALSE)</f>
        <v>46171.70833</v>
      </c>
      <c r="F1131" s="79">
        <f>COUNTIFS(Matches!$B:$B,A1131,Matches!$A:$A,CONCAT("&gt;",$D1131),Matches!$A:$A,CONCAT("&lt;",$E1131))</f>
        <v>0</v>
      </c>
      <c r="G1131" s="79">
        <f>COUNTIFS(Matches!$C:$C,$A1131,Matches!$A:$A,CONCAT("&gt;",$D1131),Matches!$A:$A,CONCAT("&lt;",$E1131))</f>
        <v>0</v>
      </c>
      <c r="H1131" s="79">
        <f t="shared" si="1"/>
        <v>0</v>
      </c>
      <c r="I1131" s="79">
        <f>COUNTIFS(Matches!$B:$B,$A1131,Matches!$A:$A,CONCAT("&lt;",$E1131))</f>
        <v>5</v>
      </c>
      <c r="J1131" s="79">
        <f>COUNTIFS(Matches!$C:$C,$A1131,Matches!$A:$A,CONCAT("&lt;",$E1131))</f>
        <v>9</v>
      </c>
      <c r="K1131" s="79">
        <f>COUNTIFS(Entropy!D:D,A1131,Entropy!I:I,CONCAT("&lt;",E1131-1))</f>
        <v>2</v>
      </c>
      <c r="L1131" s="79">
        <f t="shared" si="2"/>
        <v>16</v>
      </c>
      <c r="M1131" s="79">
        <f t="array" ref="M1131">max(min(IF(J1131+K1131=11,0,XLOOKUP(B1131,Quotas!$A$8:$A$14,Quotas!$E$8:$E$14)-$L1131),2),0)</f>
        <v>0</v>
      </c>
      <c r="N1131" s="31">
        <f t="shared" si="3"/>
        <v>0</v>
      </c>
    </row>
    <row r="1132">
      <c r="A1132" s="31" t="s">
        <v>352</v>
      </c>
      <c r="B1132" s="9">
        <v>5.0</v>
      </c>
      <c r="C1132" s="31" t="str">
        <f>VLOOKUP(A1132, 'College List'!A:B, 2, FALSE)</f>
        <v>Prismari</v>
      </c>
      <c r="D1132" s="355">
        <f>VLOOKUP(B1132,Quotas!$A$8:$C$14,2,FALSE)</f>
        <v>46164.70833</v>
      </c>
      <c r="E1132" s="356">
        <f>VLOOKUP(B1132,Quotas!$A$8:$C$14,3,FALSE)</f>
        <v>46171.70833</v>
      </c>
      <c r="F1132" s="79">
        <f>COUNTIFS(Matches!$B:$B,A1132,Matches!$A:$A,CONCAT("&gt;",$D1132),Matches!$A:$A,CONCAT("&lt;",$E1132))</f>
        <v>0</v>
      </c>
      <c r="G1132" s="79">
        <f>COUNTIFS(Matches!$C:$C,$A1132,Matches!$A:$A,CONCAT("&gt;",$D1132),Matches!$A:$A,CONCAT("&lt;",$E1132))</f>
        <v>0</v>
      </c>
      <c r="H1132" s="79">
        <f t="shared" si="1"/>
        <v>0</v>
      </c>
      <c r="I1132" s="79">
        <f>COUNTIFS(Matches!$B:$B,$A1132,Matches!$A:$A,CONCAT("&lt;",$E1132))</f>
        <v>7</v>
      </c>
      <c r="J1132" s="79">
        <f>COUNTIFS(Matches!$C:$C,$A1132,Matches!$A:$A,CONCAT("&lt;",$E1132))</f>
        <v>11</v>
      </c>
      <c r="K1132" s="79">
        <f>COUNTIFS(Entropy!D:D,A1132,Entropy!I:I,CONCAT("&lt;",E1132-1))</f>
        <v>0</v>
      </c>
      <c r="L1132" s="79">
        <f t="shared" si="2"/>
        <v>18</v>
      </c>
      <c r="M1132" s="79">
        <f t="array" ref="M1132">max(min(IF(J1132+K1132=11,0,XLOOKUP(B1132,Quotas!$A$8:$A$14,Quotas!$E$8:$E$14)-$L1132),2),0)</f>
        <v>0</v>
      </c>
      <c r="N1132" s="31">
        <f t="shared" si="3"/>
        <v>0</v>
      </c>
    </row>
    <row r="1133">
      <c r="A1133" s="31" t="s">
        <v>245</v>
      </c>
      <c r="B1133" s="9">
        <v>5.0</v>
      </c>
      <c r="C1133" s="31" t="str">
        <f>VLOOKUP(A1133, 'College List'!A:B, 2, FALSE)</f>
        <v>Witherbloom</v>
      </c>
      <c r="D1133" s="355">
        <f>VLOOKUP(B1133,Quotas!$A$8:$C$14,2,FALSE)</f>
        <v>46164.70833</v>
      </c>
      <c r="E1133" s="356">
        <f>VLOOKUP(B1133,Quotas!$A$8:$C$14,3,FALSE)</f>
        <v>46171.70833</v>
      </c>
      <c r="F1133" s="79">
        <f>COUNTIFS(Matches!$B:$B,A1133,Matches!$A:$A,CONCAT("&gt;",$D1133),Matches!$A:$A,CONCAT("&lt;",$E1133))</f>
        <v>3</v>
      </c>
      <c r="G1133" s="79">
        <f>COUNTIFS(Matches!$C:$C,$A1133,Matches!$A:$A,CONCAT("&gt;",$D1133),Matches!$A:$A,CONCAT("&lt;",$E1133))</f>
        <v>2</v>
      </c>
      <c r="H1133" s="79">
        <f t="shared" si="1"/>
        <v>5</v>
      </c>
      <c r="I1133" s="79">
        <f>COUNTIFS(Matches!$B:$B,$A1133,Matches!$A:$A,CONCAT("&lt;",$E1133))</f>
        <v>15</v>
      </c>
      <c r="J1133" s="79">
        <f>COUNTIFS(Matches!$C:$C,$A1133,Matches!$A:$A,CONCAT("&lt;",$E1133))</f>
        <v>10</v>
      </c>
      <c r="K1133" s="79">
        <f>COUNTIFS(Entropy!D:D,A1133,Entropy!I:I,CONCAT("&lt;",E1133-1))</f>
        <v>0</v>
      </c>
      <c r="L1133" s="79">
        <f t="shared" si="2"/>
        <v>25</v>
      </c>
      <c r="M1133" s="79">
        <f t="array" ref="M1133">max(min(IF(J1133+K1133=11,0,XLOOKUP(B1133,Quotas!$A$8:$A$14,Quotas!$E$8:$E$14)-$L1133),2),0)</f>
        <v>0</v>
      </c>
      <c r="N1133" s="31">
        <f t="shared" si="3"/>
        <v>0</v>
      </c>
    </row>
    <row r="1134">
      <c r="A1134" s="31" t="s">
        <v>132</v>
      </c>
      <c r="B1134" s="9">
        <v>5.0</v>
      </c>
      <c r="C1134" s="31" t="str">
        <f>VLOOKUP(A1134, 'College List'!A:B, 2, FALSE)</f>
        <v>Quandrix</v>
      </c>
      <c r="D1134" s="355">
        <f>VLOOKUP(B1134,Quotas!$A$8:$C$14,2,FALSE)</f>
        <v>46164.70833</v>
      </c>
      <c r="E1134" s="356">
        <f>VLOOKUP(B1134,Quotas!$A$8:$C$14,3,FALSE)</f>
        <v>46171.70833</v>
      </c>
      <c r="F1134" s="79">
        <f>COUNTIFS(Matches!$B:$B,A1134,Matches!$A:$A,CONCAT("&gt;",$D1134),Matches!$A:$A,CONCAT("&lt;",$E1134))</f>
        <v>0</v>
      </c>
      <c r="G1134" s="79">
        <f>COUNTIFS(Matches!$C:$C,$A1134,Matches!$A:$A,CONCAT("&gt;",$D1134),Matches!$A:$A,CONCAT("&lt;",$E1134))</f>
        <v>0</v>
      </c>
      <c r="H1134" s="79">
        <f t="shared" si="1"/>
        <v>0</v>
      </c>
      <c r="I1134" s="79">
        <f>COUNTIFS(Matches!$B:$B,$A1134,Matches!$A:$A,CONCAT("&lt;",$E1134))</f>
        <v>8</v>
      </c>
      <c r="J1134" s="79">
        <f>COUNTIFS(Matches!$C:$C,$A1134,Matches!$A:$A,CONCAT("&lt;",$E1134))</f>
        <v>9</v>
      </c>
      <c r="K1134" s="79">
        <f>COUNTIFS(Entropy!D:D,A1134,Entropy!I:I,CONCAT("&lt;",E1134-1))</f>
        <v>1</v>
      </c>
      <c r="L1134" s="79">
        <f t="shared" si="2"/>
        <v>18</v>
      </c>
      <c r="M1134" s="79">
        <f t="array" ref="M1134">max(min(IF(J1134+K1134=11,0,XLOOKUP(B1134,Quotas!$A$8:$A$14,Quotas!$E$8:$E$14)-$L1134),2),0)</f>
        <v>2</v>
      </c>
      <c r="N1134" s="31">
        <f t="shared" si="3"/>
        <v>0</v>
      </c>
    </row>
    <row r="1135">
      <c r="A1135" s="31" t="s">
        <v>331</v>
      </c>
      <c r="B1135" s="9">
        <v>5.0</v>
      </c>
      <c r="C1135" s="31" t="str">
        <f>VLOOKUP(A1135, 'College List'!A:B, 2, FALSE)</f>
        <v>Silverquill</v>
      </c>
      <c r="D1135" s="355">
        <f>VLOOKUP(B1135,Quotas!$A$8:$C$14,2,FALSE)</f>
        <v>46164.70833</v>
      </c>
      <c r="E1135" s="356">
        <f>VLOOKUP(B1135,Quotas!$A$8:$C$14,3,FALSE)</f>
        <v>46171.70833</v>
      </c>
      <c r="F1135" s="79">
        <f>COUNTIFS(Matches!$B:$B,A1135,Matches!$A:$A,CONCAT("&gt;",$D1135),Matches!$A:$A,CONCAT("&lt;",$E1135))</f>
        <v>2</v>
      </c>
      <c r="G1135" s="79">
        <f>COUNTIFS(Matches!$C:$C,$A1135,Matches!$A:$A,CONCAT("&gt;",$D1135),Matches!$A:$A,CONCAT("&lt;",$E1135))</f>
        <v>1</v>
      </c>
      <c r="H1135" s="79">
        <f t="shared" si="1"/>
        <v>3</v>
      </c>
      <c r="I1135" s="79">
        <f>COUNTIFS(Matches!$B:$B,$A1135,Matches!$A:$A,CONCAT("&lt;",$E1135))</f>
        <v>12</v>
      </c>
      <c r="J1135" s="79">
        <f>COUNTIFS(Matches!$C:$C,$A1135,Matches!$A:$A,CONCAT("&lt;",$E1135))</f>
        <v>11</v>
      </c>
      <c r="K1135" s="79">
        <f>COUNTIFS(Entropy!D:D,A1135,Entropy!I:I,CONCAT("&lt;",E1135-1))</f>
        <v>0</v>
      </c>
      <c r="L1135" s="79">
        <f t="shared" si="2"/>
        <v>23</v>
      </c>
      <c r="M1135" s="79">
        <f t="array" ref="M1135">max(min(IF(J1135+K1135=11,0,XLOOKUP(B1135,Quotas!$A$8:$A$14,Quotas!$E$8:$E$14)-$L1135),2),0)</f>
        <v>0</v>
      </c>
      <c r="N1135" s="31">
        <f t="shared" si="3"/>
        <v>0</v>
      </c>
    </row>
    <row r="1136">
      <c r="A1136" s="31" t="s">
        <v>635</v>
      </c>
      <c r="B1136" s="9">
        <v>5.0</v>
      </c>
      <c r="C1136" s="31" t="str">
        <f>VLOOKUP(A1136, 'College List'!A:B, 2, FALSE)</f>
        <v>Lorehold</v>
      </c>
      <c r="D1136" s="355">
        <f>VLOOKUP(B1136,Quotas!$A$8:$C$14,2,FALSE)</f>
        <v>46164.70833</v>
      </c>
      <c r="E1136" s="356">
        <f>VLOOKUP(B1136,Quotas!$A$8:$C$14,3,FALSE)</f>
        <v>46171.70833</v>
      </c>
      <c r="F1136" s="79">
        <f>COUNTIFS(Matches!$B:$B,A1136,Matches!$A:$A,CONCAT("&gt;",$D1136),Matches!$A:$A,CONCAT("&lt;",$E1136))</f>
        <v>0</v>
      </c>
      <c r="G1136" s="79">
        <f>COUNTIFS(Matches!$C:$C,$A1136,Matches!$A:$A,CONCAT("&gt;",$D1136),Matches!$A:$A,CONCAT("&lt;",$E1136))</f>
        <v>0</v>
      </c>
      <c r="H1136" s="79">
        <f t="shared" si="1"/>
        <v>0</v>
      </c>
      <c r="I1136" s="79">
        <f>COUNTIFS(Matches!$B:$B,$A1136,Matches!$A:$A,CONCAT("&lt;",$E1136))</f>
        <v>0</v>
      </c>
      <c r="J1136" s="79">
        <f>COUNTIFS(Matches!$C:$C,$A1136,Matches!$A:$A,CONCAT("&lt;",$E1136))</f>
        <v>0</v>
      </c>
      <c r="K1136" s="79">
        <f>COUNTIFS(Entropy!D:D,A1136,Entropy!I:I,CONCAT("&lt;",E1136-1))</f>
        <v>11</v>
      </c>
      <c r="L1136" s="79">
        <f t="shared" si="2"/>
        <v>11</v>
      </c>
      <c r="M1136" s="79">
        <f t="array" ref="M1136">max(min(IF(J1136+K1136=11,0,XLOOKUP(B1136,Quotas!$A$8:$A$14,Quotas!$E$8:$E$14)-$L1136),2),0)</f>
        <v>0</v>
      </c>
      <c r="N1136" s="31">
        <f t="shared" si="3"/>
        <v>0</v>
      </c>
    </row>
    <row r="1137">
      <c r="A1137" s="31" t="s">
        <v>324</v>
      </c>
      <c r="B1137" s="9">
        <v>5.0</v>
      </c>
      <c r="C1137" s="31" t="str">
        <f>VLOOKUP(A1137, 'College List'!A:B, 2, FALSE)</f>
        <v>Lorehold</v>
      </c>
      <c r="D1137" s="355">
        <f>VLOOKUP(B1137,Quotas!$A$8:$C$14,2,FALSE)</f>
        <v>46164.70833</v>
      </c>
      <c r="E1137" s="356">
        <f>VLOOKUP(B1137,Quotas!$A$8:$C$14,3,FALSE)</f>
        <v>46171.70833</v>
      </c>
      <c r="F1137" s="79">
        <f>COUNTIFS(Matches!$B:$B,A1137,Matches!$A:$A,CONCAT("&gt;",$D1137),Matches!$A:$A,CONCAT("&lt;",$E1137))</f>
        <v>0</v>
      </c>
      <c r="G1137" s="79">
        <f>COUNTIFS(Matches!$C:$C,$A1137,Matches!$A:$A,CONCAT("&gt;",$D1137),Matches!$A:$A,CONCAT("&lt;",$E1137))</f>
        <v>0</v>
      </c>
      <c r="H1137" s="79">
        <f t="shared" si="1"/>
        <v>0</v>
      </c>
      <c r="I1137" s="79">
        <f>COUNTIFS(Matches!$B:$B,$A1137,Matches!$A:$A,CONCAT("&lt;",$E1137))</f>
        <v>9</v>
      </c>
      <c r="J1137" s="79">
        <f>COUNTIFS(Matches!$C:$C,$A1137,Matches!$A:$A,CONCAT("&lt;",$E1137))</f>
        <v>8</v>
      </c>
      <c r="K1137" s="79">
        <f>COUNTIFS(Entropy!D:D,A1137,Entropy!I:I,CONCAT("&lt;",E1137-1))</f>
        <v>1</v>
      </c>
      <c r="L1137" s="79">
        <f t="shared" si="2"/>
        <v>18</v>
      </c>
      <c r="M1137" s="79">
        <f t="array" ref="M1137">max(min(IF(J1137+K1137=11,0,XLOOKUP(B1137,Quotas!$A$8:$A$14,Quotas!$E$8:$E$14)-$L1137),2),0)</f>
        <v>2</v>
      </c>
      <c r="N1137" s="31">
        <f t="shared" si="3"/>
        <v>0</v>
      </c>
    </row>
    <row r="1138">
      <c r="A1138" s="31" t="s">
        <v>346</v>
      </c>
      <c r="B1138" s="9">
        <v>5.0</v>
      </c>
      <c r="C1138" s="31" t="str">
        <f>VLOOKUP(A1138, 'College List'!A:B, 2, FALSE)</f>
        <v>Silverquill</v>
      </c>
      <c r="D1138" s="355">
        <f>VLOOKUP(B1138,Quotas!$A$8:$C$14,2,FALSE)</f>
        <v>46164.70833</v>
      </c>
      <c r="E1138" s="356">
        <f>VLOOKUP(B1138,Quotas!$A$8:$C$14,3,FALSE)</f>
        <v>46171.70833</v>
      </c>
      <c r="F1138" s="79">
        <f>COUNTIFS(Matches!$B:$B,A1138,Matches!$A:$A,CONCAT("&gt;",$D1138),Matches!$A:$A,CONCAT("&lt;",$E1138))</f>
        <v>3</v>
      </c>
      <c r="G1138" s="79">
        <f>COUNTIFS(Matches!$C:$C,$A1138,Matches!$A:$A,CONCAT("&gt;",$D1138),Matches!$A:$A,CONCAT("&lt;",$E1138))</f>
        <v>1</v>
      </c>
      <c r="H1138" s="79">
        <f t="shared" si="1"/>
        <v>4</v>
      </c>
      <c r="I1138" s="79">
        <f>COUNTIFS(Matches!$B:$B,$A1138,Matches!$A:$A,CONCAT("&lt;",$E1138))</f>
        <v>14</v>
      </c>
      <c r="J1138" s="79">
        <f>COUNTIFS(Matches!$C:$C,$A1138,Matches!$A:$A,CONCAT("&lt;",$E1138))</f>
        <v>9</v>
      </c>
      <c r="K1138" s="79">
        <f>COUNTIFS(Entropy!D:D,A1138,Entropy!I:I,CONCAT("&lt;",E1138-1))</f>
        <v>0</v>
      </c>
      <c r="L1138" s="79">
        <f t="shared" si="2"/>
        <v>23</v>
      </c>
      <c r="M1138" s="79">
        <f t="array" ref="M1138">max(min(IF(J1138+K1138=11,0,XLOOKUP(B1138,Quotas!$A$8:$A$14,Quotas!$E$8:$E$14)-$L1138),2),0)</f>
        <v>2</v>
      </c>
      <c r="N1138" s="31">
        <f t="shared" si="3"/>
        <v>1</v>
      </c>
    </row>
    <row r="1139">
      <c r="A1139" s="31" t="s">
        <v>125</v>
      </c>
      <c r="B1139" s="9">
        <v>5.0</v>
      </c>
      <c r="C1139" s="31" t="str">
        <f>VLOOKUP(A1139, 'College List'!A:B, 2, FALSE)</f>
        <v>Prismari</v>
      </c>
      <c r="D1139" s="355">
        <f>VLOOKUP(B1139,Quotas!$A$8:$C$14,2,FALSE)</f>
        <v>46164.70833</v>
      </c>
      <c r="E1139" s="356">
        <f>VLOOKUP(B1139,Quotas!$A$8:$C$14,3,FALSE)</f>
        <v>46171.70833</v>
      </c>
      <c r="F1139" s="79">
        <f>COUNTIFS(Matches!$B:$B,A1139,Matches!$A:$A,CONCAT("&gt;",$D1139),Matches!$A:$A,CONCAT("&lt;",$E1139))</f>
        <v>0</v>
      </c>
      <c r="G1139" s="79">
        <f>COUNTIFS(Matches!$C:$C,$A1139,Matches!$A:$A,CONCAT("&gt;",$D1139),Matches!$A:$A,CONCAT("&lt;",$E1139))</f>
        <v>0</v>
      </c>
      <c r="H1139" s="79">
        <f t="shared" si="1"/>
        <v>0</v>
      </c>
      <c r="I1139" s="79">
        <f>COUNTIFS(Matches!$B:$B,$A1139,Matches!$A:$A,CONCAT("&lt;",$E1139))</f>
        <v>6</v>
      </c>
      <c r="J1139" s="79">
        <f>COUNTIFS(Matches!$C:$C,$A1139,Matches!$A:$A,CONCAT("&lt;",$E1139))</f>
        <v>11</v>
      </c>
      <c r="K1139" s="79">
        <f>COUNTIFS(Entropy!D:D,A1139,Entropy!I:I,CONCAT("&lt;",E1139-1))</f>
        <v>0</v>
      </c>
      <c r="L1139" s="79">
        <f t="shared" si="2"/>
        <v>17</v>
      </c>
      <c r="M1139" s="79">
        <f t="array" ref="M1139">max(min(IF(J1139+K1139=11,0,XLOOKUP(B1139,Quotas!$A$8:$A$14,Quotas!$E$8:$E$14)-$L1139),2),0)</f>
        <v>0</v>
      </c>
      <c r="N1139" s="31">
        <f t="shared" si="3"/>
        <v>0</v>
      </c>
    </row>
    <row r="1140">
      <c r="A1140" s="9" t="s">
        <v>292</v>
      </c>
      <c r="B1140" s="9">
        <v>5.0</v>
      </c>
      <c r="C1140" s="31" t="str">
        <f>VLOOKUP(A1140, 'College List'!A:B, 2, FALSE)</f>
        <v>Prismari</v>
      </c>
      <c r="D1140" s="355">
        <f>VLOOKUP(B1140,Quotas!$A$8:$C$14,2,FALSE)</f>
        <v>46164.70833</v>
      </c>
      <c r="E1140" s="356">
        <f>VLOOKUP(B1140,Quotas!$A$8:$C$14,3,FALSE)</f>
        <v>46171.70833</v>
      </c>
      <c r="F1140" s="79">
        <f>COUNTIFS(Matches!$B:$B,A1140,Matches!$A:$A,CONCAT("&gt;",$D1140),Matches!$A:$A,CONCAT("&lt;",$E1140))</f>
        <v>0</v>
      </c>
      <c r="G1140" s="79">
        <f>COUNTIFS(Matches!$C:$C,$A1140,Matches!$A:$A,CONCAT("&gt;",$D1140),Matches!$A:$A,CONCAT("&lt;",$E1140))</f>
        <v>0</v>
      </c>
      <c r="H1140" s="79">
        <f t="shared" si="1"/>
        <v>0</v>
      </c>
      <c r="I1140" s="79">
        <f>COUNTIFS(Matches!$B:$B,$A1140,Matches!$A:$A,CONCAT("&lt;",$E1140))</f>
        <v>2</v>
      </c>
      <c r="J1140" s="79">
        <f>COUNTIFS(Matches!$C:$C,$A1140,Matches!$A:$A,CONCAT("&lt;",$E1140))</f>
        <v>4</v>
      </c>
      <c r="K1140" s="79">
        <f>COUNTIFS(Entropy!D:D,A1140,Entropy!I:I,CONCAT("&lt;",E1140-1))</f>
        <v>7</v>
      </c>
      <c r="L1140" s="79">
        <f t="shared" si="2"/>
        <v>13</v>
      </c>
      <c r="M1140" s="79">
        <f t="array" ref="M1140">max(min(IF(J1140+K1140=11,0,XLOOKUP(B1140,Quotas!$A$8:$A$14,Quotas!$E$8:$E$14)-$L1140),2),0)</f>
        <v>0</v>
      </c>
      <c r="N1140" s="31">
        <f t="shared" si="3"/>
        <v>0</v>
      </c>
    </row>
    <row r="1141">
      <c r="A1141" s="31" t="s">
        <v>215</v>
      </c>
      <c r="B1141" s="9">
        <v>5.0</v>
      </c>
      <c r="C1141" s="31" t="str">
        <f>VLOOKUP(A1141, 'College List'!A:B, 2, FALSE)</f>
        <v>Silverquill</v>
      </c>
      <c r="D1141" s="355">
        <f>VLOOKUP(B1141,Quotas!$A$8:$C$14,2,FALSE)</f>
        <v>46164.70833</v>
      </c>
      <c r="E1141" s="356">
        <f>VLOOKUP(B1141,Quotas!$A$8:$C$14,3,FALSE)</f>
        <v>46171.70833</v>
      </c>
      <c r="F1141" s="79">
        <f>COUNTIFS(Matches!$B:$B,A1141,Matches!$A:$A,CONCAT("&gt;",$D1141),Matches!$A:$A,CONCAT("&lt;",$E1141))</f>
        <v>0</v>
      </c>
      <c r="G1141" s="79">
        <f>COUNTIFS(Matches!$C:$C,$A1141,Matches!$A:$A,CONCAT("&gt;",$D1141),Matches!$A:$A,CONCAT("&lt;",$E1141))</f>
        <v>0</v>
      </c>
      <c r="H1141" s="79">
        <f t="shared" si="1"/>
        <v>0</v>
      </c>
      <c r="I1141" s="79">
        <f>COUNTIFS(Matches!$B:$B,$A1141,Matches!$A:$A,CONCAT("&lt;",$E1141))</f>
        <v>3</v>
      </c>
      <c r="J1141" s="79">
        <f>COUNTIFS(Matches!$C:$C,$A1141,Matches!$A:$A,CONCAT("&lt;",$E1141))</f>
        <v>7</v>
      </c>
      <c r="K1141" s="79">
        <f>COUNTIFS(Entropy!D:D,A1141,Entropy!I:I,CONCAT("&lt;",E1141-1))</f>
        <v>4</v>
      </c>
      <c r="L1141" s="79">
        <f t="shared" si="2"/>
        <v>14</v>
      </c>
      <c r="M1141" s="79">
        <f t="array" ref="M1141">max(min(IF(J1141+K1141=11,0,XLOOKUP(B1141,Quotas!$A$8:$A$14,Quotas!$E$8:$E$14)-$L1141),2),0)</f>
        <v>0</v>
      </c>
      <c r="N1141" s="31">
        <f t="shared" si="3"/>
        <v>0</v>
      </c>
    </row>
    <row r="1142">
      <c r="A1142" s="31" t="s">
        <v>366</v>
      </c>
      <c r="B1142" s="9">
        <v>5.0</v>
      </c>
      <c r="C1142" s="31" t="str">
        <f>VLOOKUP(A1142, 'College List'!A:B, 2, FALSE)</f>
        <v>Quandrix</v>
      </c>
      <c r="D1142" s="355">
        <f>VLOOKUP(B1142,Quotas!$A$8:$C$14,2,FALSE)</f>
        <v>46164.70833</v>
      </c>
      <c r="E1142" s="356">
        <f>VLOOKUP(B1142,Quotas!$A$8:$C$14,3,FALSE)</f>
        <v>46171.70833</v>
      </c>
      <c r="F1142" s="79">
        <f>COUNTIFS(Matches!$B:$B,A1142,Matches!$A:$A,CONCAT("&gt;",$D1142),Matches!$A:$A,CONCAT("&lt;",$E1142))</f>
        <v>0</v>
      </c>
      <c r="G1142" s="79">
        <f>COUNTIFS(Matches!$C:$C,$A1142,Matches!$A:$A,CONCAT("&gt;",$D1142),Matches!$A:$A,CONCAT("&lt;",$E1142))</f>
        <v>1</v>
      </c>
      <c r="H1142" s="79">
        <f t="shared" si="1"/>
        <v>1</v>
      </c>
      <c r="I1142" s="79">
        <f>COUNTIFS(Matches!$B:$B,$A1142,Matches!$A:$A,CONCAT("&lt;",$E1142))</f>
        <v>10</v>
      </c>
      <c r="J1142" s="79">
        <f>COUNTIFS(Matches!$C:$C,$A1142,Matches!$A:$A,CONCAT("&lt;",$E1142))</f>
        <v>11</v>
      </c>
      <c r="K1142" s="79">
        <f>COUNTIFS(Entropy!D:D,A1142,Entropy!I:I,CONCAT("&lt;",E1142-1))</f>
        <v>0</v>
      </c>
      <c r="L1142" s="79">
        <f t="shared" si="2"/>
        <v>21</v>
      </c>
      <c r="M1142" s="79">
        <f t="array" ref="M1142">max(min(IF(J1142+K1142=11,0,XLOOKUP(B1142,Quotas!$A$8:$A$14,Quotas!$E$8:$E$14)-$L1142),2),0)</f>
        <v>0</v>
      </c>
      <c r="N1142" s="31">
        <f t="shared" si="3"/>
        <v>0</v>
      </c>
    </row>
    <row r="1143">
      <c r="A1143" s="31" t="s">
        <v>349</v>
      </c>
      <c r="B1143" s="9">
        <v>5.0</v>
      </c>
      <c r="C1143" s="31" t="str">
        <f>VLOOKUP(A1143, 'College List'!A:B, 2, FALSE)</f>
        <v>Prismari</v>
      </c>
      <c r="D1143" s="355">
        <f>VLOOKUP(B1143,Quotas!$A$8:$C$14,2,FALSE)</f>
        <v>46164.70833</v>
      </c>
      <c r="E1143" s="356">
        <f>VLOOKUP(B1143,Quotas!$A$8:$C$14,3,FALSE)</f>
        <v>46171.70833</v>
      </c>
      <c r="F1143" s="79">
        <f>COUNTIFS(Matches!$B:$B,A1143,Matches!$A:$A,CONCAT("&gt;",$D1143),Matches!$A:$A,CONCAT("&lt;",$E1143))</f>
        <v>3</v>
      </c>
      <c r="G1143" s="79">
        <f>COUNTIFS(Matches!$C:$C,$A1143,Matches!$A:$A,CONCAT("&gt;",$D1143),Matches!$A:$A,CONCAT("&lt;",$E1143))</f>
        <v>2</v>
      </c>
      <c r="H1143" s="79">
        <f t="shared" si="1"/>
        <v>5</v>
      </c>
      <c r="I1143" s="79">
        <f>COUNTIFS(Matches!$B:$B,$A1143,Matches!$A:$A,CONCAT("&lt;",$E1143))</f>
        <v>18</v>
      </c>
      <c r="J1143" s="79">
        <f>COUNTIFS(Matches!$C:$C,$A1143,Matches!$A:$A,CONCAT("&lt;",$E1143))</f>
        <v>7</v>
      </c>
      <c r="K1143" s="79">
        <f>COUNTIFS(Entropy!D:D,A1143,Entropy!I:I,CONCAT("&lt;",E1143-1))</f>
        <v>0</v>
      </c>
      <c r="L1143" s="79">
        <f t="shared" si="2"/>
        <v>25</v>
      </c>
      <c r="M1143" s="79">
        <f t="array" ref="M1143">max(min(IF(J1143+K1143=11,0,XLOOKUP(B1143,Quotas!$A$8:$A$14,Quotas!$E$8:$E$14)-$L1143),2),0)</f>
        <v>0</v>
      </c>
      <c r="N1143" s="31">
        <f t="shared" si="3"/>
        <v>0</v>
      </c>
    </row>
    <row r="1144">
      <c r="A1144" s="31" t="s">
        <v>315</v>
      </c>
      <c r="B1144" s="9">
        <v>5.0</v>
      </c>
      <c r="C1144" s="31" t="str">
        <f>VLOOKUP(A1144, 'College List'!A:B, 2, FALSE)</f>
        <v>Prismari</v>
      </c>
      <c r="D1144" s="355">
        <f>VLOOKUP(B1144,Quotas!$A$8:$C$14,2,FALSE)</f>
        <v>46164.70833</v>
      </c>
      <c r="E1144" s="356">
        <f>VLOOKUP(B1144,Quotas!$A$8:$C$14,3,FALSE)</f>
        <v>46171.70833</v>
      </c>
      <c r="F1144" s="79">
        <f>COUNTIFS(Matches!$B:$B,A1144,Matches!$A:$A,CONCAT("&gt;",$D1144),Matches!$A:$A,CONCAT("&lt;",$E1144))</f>
        <v>0</v>
      </c>
      <c r="G1144" s="79">
        <f>COUNTIFS(Matches!$C:$C,$A1144,Matches!$A:$A,CONCAT("&gt;",$D1144),Matches!$A:$A,CONCAT("&lt;",$E1144))</f>
        <v>0</v>
      </c>
      <c r="H1144" s="79">
        <f t="shared" si="1"/>
        <v>0</v>
      </c>
      <c r="I1144" s="79">
        <f>COUNTIFS(Matches!$B:$B,$A1144,Matches!$A:$A,CONCAT("&lt;",$E1144))</f>
        <v>6</v>
      </c>
      <c r="J1144" s="79">
        <f>COUNTIFS(Matches!$C:$C,$A1144,Matches!$A:$A,CONCAT("&lt;",$E1144))</f>
        <v>9</v>
      </c>
      <c r="K1144" s="79">
        <f>COUNTIFS(Entropy!D:D,A1144,Entropy!I:I,CONCAT("&lt;",E1144-1))</f>
        <v>2</v>
      </c>
      <c r="L1144" s="79">
        <f t="shared" si="2"/>
        <v>17</v>
      </c>
      <c r="M1144" s="79">
        <f t="array" ref="M1144">max(min(IF(J1144+K1144=11,0,XLOOKUP(B1144,Quotas!$A$8:$A$14,Quotas!$E$8:$E$14)-$L1144),2),0)</f>
        <v>0</v>
      </c>
      <c r="N1144" s="31">
        <f t="shared" si="3"/>
        <v>0</v>
      </c>
    </row>
    <row r="1145">
      <c r="A1145" s="31" t="s">
        <v>636</v>
      </c>
      <c r="B1145" s="9">
        <v>5.0</v>
      </c>
      <c r="C1145" s="31" t="str">
        <f>VLOOKUP(A1145, 'College List'!A:B, 2, FALSE)</f>
        <v>Silverquill</v>
      </c>
      <c r="D1145" s="355">
        <f>VLOOKUP(B1145,Quotas!$A$8:$C$14,2,FALSE)</f>
        <v>46164.70833</v>
      </c>
      <c r="E1145" s="356">
        <f>VLOOKUP(B1145,Quotas!$A$8:$C$14,3,FALSE)</f>
        <v>46171.70833</v>
      </c>
      <c r="F1145" s="79">
        <f>COUNTIFS(Matches!$B:$B,A1145,Matches!$A:$A,CONCAT("&gt;",$D1145),Matches!$A:$A,CONCAT("&lt;",$E1145))</f>
        <v>0</v>
      </c>
      <c r="G1145" s="79">
        <f>COUNTIFS(Matches!$C:$C,$A1145,Matches!$A:$A,CONCAT("&gt;",$D1145),Matches!$A:$A,CONCAT("&lt;",$E1145))</f>
        <v>0</v>
      </c>
      <c r="H1145" s="79">
        <f t="shared" si="1"/>
        <v>0</v>
      </c>
      <c r="I1145" s="79">
        <f>COUNTIFS(Matches!$B:$B,$A1145,Matches!$A:$A,CONCAT("&lt;",$E1145))</f>
        <v>0</v>
      </c>
      <c r="J1145" s="79">
        <f>COUNTIFS(Matches!$C:$C,$A1145,Matches!$A:$A,CONCAT("&lt;",$E1145))</f>
        <v>0</v>
      </c>
      <c r="K1145" s="79">
        <f>COUNTIFS(Entropy!D:D,A1145,Entropy!I:I,CONCAT("&lt;",E1145-1))</f>
        <v>11</v>
      </c>
      <c r="L1145" s="79">
        <f t="shared" si="2"/>
        <v>11</v>
      </c>
      <c r="M1145" s="79">
        <f t="array" ref="M1145">max(min(IF(J1145+K1145=11,0,XLOOKUP(B1145,Quotas!$A$8:$A$14,Quotas!$E$8:$E$14)-$L1145),2),0)</f>
        <v>0</v>
      </c>
      <c r="N1145" s="31">
        <f t="shared" si="3"/>
        <v>0</v>
      </c>
    </row>
    <row r="1146">
      <c r="A1146" s="31" t="s">
        <v>214</v>
      </c>
      <c r="B1146" s="9">
        <v>5.0</v>
      </c>
      <c r="C1146" s="31" t="str">
        <f>VLOOKUP(A1146, 'College List'!A:B, 2, FALSE)</f>
        <v>Prismari</v>
      </c>
      <c r="D1146" s="355">
        <f>VLOOKUP(B1146,Quotas!$A$8:$C$14,2,FALSE)</f>
        <v>46164.70833</v>
      </c>
      <c r="E1146" s="356">
        <f>VLOOKUP(B1146,Quotas!$A$8:$C$14,3,FALSE)</f>
        <v>46171.70833</v>
      </c>
      <c r="F1146" s="79">
        <f>COUNTIFS(Matches!$B:$B,A1146,Matches!$A:$A,CONCAT("&gt;",$D1146),Matches!$A:$A,CONCAT("&lt;",$E1146))</f>
        <v>0</v>
      </c>
      <c r="G1146" s="79">
        <f>COUNTIFS(Matches!$C:$C,$A1146,Matches!$A:$A,CONCAT("&gt;",$D1146),Matches!$A:$A,CONCAT("&lt;",$E1146))</f>
        <v>1</v>
      </c>
      <c r="H1146" s="79">
        <f t="shared" si="1"/>
        <v>1</v>
      </c>
      <c r="I1146" s="79">
        <f>COUNTIFS(Matches!$B:$B,$A1146,Matches!$A:$A,CONCAT("&lt;",$E1146))</f>
        <v>10</v>
      </c>
      <c r="J1146" s="79">
        <f>COUNTIFS(Matches!$C:$C,$A1146,Matches!$A:$A,CONCAT("&lt;",$E1146))</f>
        <v>11</v>
      </c>
      <c r="K1146" s="79">
        <f>COUNTIFS(Entropy!D:D,A1146,Entropy!I:I,CONCAT("&lt;",E1146-1))</f>
        <v>0</v>
      </c>
      <c r="L1146" s="79">
        <f t="shared" si="2"/>
        <v>21</v>
      </c>
      <c r="M1146" s="79">
        <f t="array" ref="M1146">max(min(IF(J1146+K1146=11,0,XLOOKUP(B1146,Quotas!$A$8:$A$14,Quotas!$E$8:$E$14)-$L1146),2),0)</f>
        <v>0</v>
      </c>
      <c r="N1146" s="31">
        <f t="shared" si="3"/>
        <v>0</v>
      </c>
    </row>
    <row r="1147">
      <c r="A1147" s="31" t="s">
        <v>228</v>
      </c>
      <c r="B1147" s="9">
        <v>5.0</v>
      </c>
      <c r="C1147" s="31" t="str">
        <f>VLOOKUP(A1147, 'College List'!A:B, 2, FALSE)</f>
        <v>Witherbloom</v>
      </c>
      <c r="D1147" s="355">
        <f>VLOOKUP(B1147,Quotas!$A$8:$C$14,2,FALSE)</f>
        <v>46164.70833</v>
      </c>
      <c r="E1147" s="356">
        <f>VLOOKUP(B1147,Quotas!$A$8:$C$14,3,FALSE)</f>
        <v>46171.70833</v>
      </c>
      <c r="F1147" s="79">
        <f>COUNTIFS(Matches!$B:$B,A1147,Matches!$A:$A,CONCAT("&gt;",$D1147),Matches!$A:$A,CONCAT("&lt;",$E1147))</f>
        <v>1</v>
      </c>
      <c r="G1147" s="79">
        <f>COUNTIFS(Matches!$C:$C,$A1147,Matches!$A:$A,CONCAT("&gt;",$D1147),Matches!$A:$A,CONCAT("&lt;",$E1147))</f>
        <v>3</v>
      </c>
      <c r="H1147" s="79">
        <f t="shared" si="1"/>
        <v>4</v>
      </c>
      <c r="I1147" s="79">
        <f>COUNTIFS(Matches!$B:$B,$A1147,Matches!$A:$A,CONCAT("&lt;",$E1147))</f>
        <v>14</v>
      </c>
      <c r="J1147" s="79">
        <f>COUNTIFS(Matches!$C:$C,$A1147,Matches!$A:$A,CONCAT("&lt;",$E1147))</f>
        <v>10</v>
      </c>
      <c r="K1147" s="79">
        <f>COUNTIFS(Entropy!D:D,A1147,Entropy!I:I,CONCAT("&lt;",E1147-1))</f>
        <v>0</v>
      </c>
      <c r="L1147" s="79">
        <f t="shared" si="2"/>
        <v>24</v>
      </c>
      <c r="M1147" s="79">
        <f t="array" ref="M1147">max(min(IF(J1147+K1147=11,0,XLOOKUP(B1147,Quotas!$A$8:$A$14,Quotas!$E$8:$E$14)-$L1147),2),0)</f>
        <v>1</v>
      </c>
      <c r="N1147" s="31">
        <f t="shared" si="3"/>
        <v>0.5</v>
      </c>
    </row>
    <row r="1148">
      <c r="A1148" s="31" t="s">
        <v>390</v>
      </c>
      <c r="B1148" s="9">
        <v>5.0</v>
      </c>
      <c r="C1148" s="31" t="str">
        <f>VLOOKUP(A1148, 'College List'!A:B, 2, FALSE)</f>
        <v>Witherbloom</v>
      </c>
      <c r="D1148" s="355">
        <f>VLOOKUP(B1148,Quotas!$A$8:$C$14,2,FALSE)</f>
        <v>46164.70833</v>
      </c>
      <c r="E1148" s="356">
        <f>VLOOKUP(B1148,Quotas!$A$8:$C$14,3,FALSE)</f>
        <v>46171.70833</v>
      </c>
      <c r="F1148" s="79">
        <f>COUNTIFS(Matches!$B:$B,A1148,Matches!$A:$A,CONCAT("&gt;",$D1148),Matches!$A:$A,CONCAT("&lt;",$E1148))</f>
        <v>0</v>
      </c>
      <c r="G1148" s="79">
        <f>COUNTIFS(Matches!$C:$C,$A1148,Matches!$A:$A,CONCAT("&gt;",$D1148),Matches!$A:$A,CONCAT("&lt;",$E1148))</f>
        <v>0</v>
      </c>
      <c r="H1148" s="79">
        <f t="shared" si="1"/>
        <v>0</v>
      </c>
      <c r="I1148" s="79">
        <f>COUNTIFS(Matches!$B:$B,$A1148,Matches!$A:$A,CONCAT("&lt;",$E1148))</f>
        <v>2</v>
      </c>
      <c r="J1148" s="79">
        <f>COUNTIFS(Matches!$C:$C,$A1148,Matches!$A:$A,CONCAT("&lt;",$E1148))</f>
        <v>3</v>
      </c>
      <c r="K1148" s="79">
        <f>COUNTIFS(Entropy!D:D,A1148,Entropy!I:I,CONCAT("&lt;",E1148-1))</f>
        <v>8</v>
      </c>
      <c r="L1148" s="79">
        <f t="shared" si="2"/>
        <v>13</v>
      </c>
      <c r="M1148" s="79">
        <f t="array" ref="M1148">max(min(IF(J1148+K1148=11,0,XLOOKUP(B1148,Quotas!$A$8:$A$14,Quotas!$E$8:$E$14)-$L1148),2),0)</f>
        <v>0</v>
      </c>
      <c r="N1148" s="31">
        <f t="shared" si="3"/>
        <v>0</v>
      </c>
    </row>
    <row r="1149">
      <c r="A1149" s="31" t="s">
        <v>168</v>
      </c>
      <c r="B1149" s="9">
        <v>5.0</v>
      </c>
      <c r="C1149" s="31" t="str">
        <f>VLOOKUP(A1149, 'College List'!A:B, 2, FALSE)</f>
        <v>Silverquill</v>
      </c>
      <c r="D1149" s="355">
        <f>VLOOKUP(B1149,Quotas!$A$8:$C$14,2,FALSE)</f>
        <v>46164.70833</v>
      </c>
      <c r="E1149" s="356">
        <f>VLOOKUP(B1149,Quotas!$A$8:$C$14,3,FALSE)</f>
        <v>46171.70833</v>
      </c>
      <c r="F1149" s="79">
        <f>COUNTIFS(Matches!$B:$B,A1149,Matches!$A:$A,CONCAT("&gt;",$D1149),Matches!$A:$A,CONCAT("&lt;",$E1149))</f>
        <v>0</v>
      </c>
      <c r="G1149" s="79">
        <f>COUNTIFS(Matches!$C:$C,$A1149,Matches!$A:$A,CONCAT("&gt;",$D1149),Matches!$A:$A,CONCAT("&lt;",$E1149))</f>
        <v>0</v>
      </c>
      <c r="H1149" s="79">
        <f t="shared" si="1"/>
        <v>0</v>
      </c>
      <c r="I1149" s="79">
        <f>COUNTIFS(Matches!$B:$B,$A1149,Matches!$A:$A,CONCAT("&lt;",$E1149))</f>
        <v>5</v>
      </c>
      <c r="J1149" s="79">
        <f>COUNTIFS(Matches!$C:$C,$A1149,Matches!$A:$A,CONCAT("&lt;",$E1149))</f>
        <v>10</v>
      </c>
      <c r="K1149" s="79">
        <f>COUNTIFS(Entropy!D:D,A1149,Entropy!I:I,CONCAT("&lt;",E1149-1))</f>
        <v>1</v>
      </c>
      <c r="L1149" s="79">
        <f t="shared" si="2"/>
        <v>16</v>
      </c>
      <c r="M1149" s="79">
        <f t="array" ref="M1149">max(min(IF(J1149+K1149=11,0,XLOOKUP(B1149,Quotas!$A$8:$A$14,Quotas!$E$8:$E$14)-$L1149),2),0)</f>
        <v>0</v>
      </c>
      <c r="N1149" s="31">
        <f t="shared" si="3"/>
        <v>0</v>
      </c>
    </row>
    <row r="1150">
      <c r="A1150" s="31" t="s">
        <v>227</v>
      </c>
      <c r="B1150" s="9">
        <v>5.0</v>
      </c>
      <c r="C1150" s="31" t="str">
        <f>VLOOKUP(A1150, 'College List'!A:B, 2, FALSE)</f>
        <v>Witherbloom</v>
      </c>
      <c r="D1150" s="355">
        <f>VLOOKUP(B1150,Quotas!$A$8:$C$14,2,FALSE)</f>
        <v>46164.70833</v>
      </c>
      <c r="E1150" s="356">
        <f>VLOOKUP(B1150,Quotas!$A$8:$C$14,3,FALSE)</f>
        <v>46171.70833</v>
      </c>
      <c r="F1150" s="79">
        <f>COUNTIFS(Matches!$B:$B,A1150,Matches!$A:$A,CONCAT("&gt;",$D1150),Matches!$A:$A,CONCAT("&lt;",$E1150))</f>
        <v>4</v>
      </c>
      <c r="G1150" s="79">
        <f>COUNTIFS(Matches!$C:$C,$A1150,Matches!$A:$A,CONCAT("&gt;",$D1150),Matches!$A:$A,CONCAT("&lt;",$E1150))</f>
        <v>1</v>
      </c>
      <c r="H1150" s="79">
        <f t="shared" si="1"/>
        <v>5</v>
      </c>
      <c r="I1150" s="79">
        <f>COUNTIFS(Matches!$B:$B,$A1150,Matches!$A:$A,CONCAT("&lt;",$E1150))</f>
        <v>15</v>
      </c>
      <c r="J1150" s="79">
        <f>COUNTIFS(Matches!$C:$C,$A1150,Matches!$A:$A,CONCAT("&lt;",$E1150))</f>
        <v>10</v>
      </c>
      <c r="K1150" s="79">
        <f>COUNTIFS(Entropy!D:D,A1150,Entropy!I:I,CONCAT("&lt;",E1150-1))</f>
        <v>0</v>
      </c>
      <c r="L1150" s="79">
        <f t="shared" si="2"/>
        <v>25</v>
      </c>
      <c r="M1150" s="79">
        <f t="array" ref="M1150">max(min(IF(J1150+K1150=11,0,XLOOKUP(B1150,Quotas!$A$8:$A$14,Quotas!$E$8:$E$14)-$L1150),2),0)</f>
        <v>0</v>
      </c>
      <c r="N1150" s="31">
        <f t="shared" si="3"/>
        <v>0</v>
      </c>
    </row>
    <row r="1151">
      <c r="A1151" s="31" t="s">
        <v>246</v>
      </c>
      <c r="B1151" s="9">
        <v>5.0</v>
      </c>
      <c r="C1151" s="31" t="str">
        <f>VLOOKUP(A1151, 'College List'!A:B, 2, FALSE)</f>
        <v>Witherbloom</v>
      </c>
      <c r="D1151" s="355">
        <f>VLOOKUP(B1151,Quotas!$A$8:$C$14,2,FALSE)</f>
        <v>46164.70833</v>
      </c>
      <c r="E1151" s="356">
        <f>VLOOKUP(B1151,Quotas!$A$8:$C$14,3,FALSE)</f>
        <v>46171.70833</v>
      </c>
      <c r="F1151" s="79">
        <f>COUNTIFS(Matches!$B:$B,A1151,Matches!$A:$A,CONCAT("&gt;",$D1151),Matches!$A:$A,CONCAT("&lt;",$E1151))</f>
        <v>0</v>
      </c>
      <c r="G1151" s="79">
        <f>COUNTIFS(Matches!$C:$C,$A1151,Matches!$A:$A,CONCAT("&gt;",$D1151),Matches!$A:$A,CONCAT("&lt;",$E1151))</f>
        <v>0</v>
      </c>
      <c r="H1151" s="79">
        <f t="shared" si="1"/>
        <v>0</v>
      </c>
      <c r="I1151" s="79">
        <f>COUNTIFS(Matches!$B:$B,$A1151,Matches!$A:$A,CONCAT("&lt;",$E1151))</f>
        <v>3</v>
      </c>
      <c r="J1151" s="79">
        <f>COUNTIFS(Matches!$C:$C,$A1151,Matches!$A:$A,CONCAT("&lt;",$E1151))</f>
        <v>10</v>
      </c>
      <c r="K1151" s="79">
        <f>COUNTIFS(Entropy!D:D,A1151,Entropy!I:I,CONCAT("&lt;",E1151-1))</f>
        <v>1</v>
      </c>
      <c r="L1151" s="79">
        <f t="shared" si="2"/>
        <v>14</v>
      </c>
      <c r="M1151" s="79">
        <f t="array" ref="M1151">max(min(IF(J1151+K1151=11,0,XLOOKUP(B1151,Quotas!$A$8:$A$14,Quotas!$E$8:$E$14)-$L1151),2),0)</f>
        <v>0</v>
      </c>
      <c r="N1151" s="31">
        <f t="shared" si="3"/>
        <v>0</v>
      </c>
    </row>
    <row r="1152">
      <c r="A1152" s="31" t="s">
        <v>362</v>
      </c>
      <c r="B1152" s="9">
        <v>5.0</v>
      </c>
      <c r="C1152" s="31" t="str">
        <f>VLOOKUP(A1152, 'College List'!A:B, 2, FALSE)</f>
        <v>Witherbloom</v>
      </c>
      <c r="D1152" s="355">
        <f>VLOOKUP(B1152,Quotas!$A$8:$C$14,2,FALSE)</f>
        <v>46164.70833</v>
      </c>
      <c r="E1152" s="356">
        <f>VLOOKUP(B1152,Quotas!$A$8:$C$14,3,FALSE)</f>
        <v>46171.70833</v>
      </c>
      <c r="F1152" s="79">
        <f>COUNTIFS(Matches!$B:$B,A1152,Matches!$A:$A,CONCAT("&gt;",$D1152),Matches!$A:$A,CONCAT("&lt;",$E1152))</f>
        <v>0</v>
      </c>
      <c r="G1152" s="79">
        <f>COUNTIFS(Matches!$C:$C,$A1152,Matches!$A:$A,CONCAT("&gt;",$D1152),Matches!$A:$A,CONCAT("&lt;",$E1152))</f>
        <v>0</v>
      </c>
      <c r="H1152" s="79">
        <f t="shared" si="1"/>
        <v>0</v>
      </c>
      <c r="I1152" s="79">
        <f>COUNTIFS(Matches!$B:$B,$A1152,Matches!$A:$A,CONCAT("&lt;",$E1152))</f>
        <v>4</v>
      </c>
      <c r="J1152" s="79">
        <f>COUNTIFS(Matches!$C:$C,$A1152,Matches!$A:$A,CONCAT("&lt;",$E1152))</f>
        <v>4</v>
      </c>
      <c r="K1152" s="79">
        <f>COUNTIFS(Entropy!D:D,A1152,Entropy!I:I,CONCAT("&lt;",E1152-1))</f>
        <v>7</v>
      </c>
      <c r="L1152" s="79">
        <f t="shared" si="2"/>
        <v>15</v>
      </c>
      <c r="M1152" s="79">
        <f t="array" ref="M1152">max(min(IF(J1152+K1152=11,0,XLOOKUP(B1152,Quotas!$A$8:$A$14,Quotas!$E$8:$E$14)-$L1152),2),0)</f>
        <v>0</v>
      </c>
      <c r="N1152" s="31">
        <f t="shared" si="3"/>
        <v>0</v>
      </c>
    </row>
    <row r="1153">
      <c r="A1153" s="31" t="s">
        <v>266</v>
      </c>
      <c r="B1153" s="9">
        <v>5.0</v>
      </c>
      <c r="C1153" s="31" t="str">
        <f>VLOOKUP(A1153, 'College List'!A:B, 2, FALSE)</f>
        <v>Prismari</v>
      </c>
      <c r="D1153" s="355">
        <f>VLOOKUP(B1153,Quotas!$A$8:$C$14,2,FALSE)</f>
        <v>46164.70833</v>
      </c>
      <c r="E1153" s="356">
        <f>VLOOKUP(B1153,Quotas!$A$8:$C$14,3,FALSE)</f>
        <v>46171.70833</v>
      </c>
      <c r="F1153" s="79">
        <f>COUNTIFS(Matches!$B:$B,A1153,Matches!$A:$A,CONCAT("&gt;",$D1153),Matches!$A:$A,CONCAT("&lt;",$E1153))</f>
        <v>0</v>
      </c>
      <c r="G1153" s="79">
        <f>COUNTIFS(Matches!$C:$C,$A1153,Matches!$A:$A,CONCAT("&gt;",$D1153),Matches!$A:$A,CONCAT("&lt;",$E1153))</f>
        <v>0</v>
      </c>
      <c r="H1153" s="79">
        <f t="shared" si="1"/>
        <v>0</v>
      </c>
      <c r="I1153" s="79">
        <f>COUNTIFS(Matches!$B:$B,$A1153,Matches!$A:$A,CONCAT("&lt;",$E1153))</f>
        <v>9</v>
      </c>
      <c r="J1153" s="79">
        <f>COUNTIFS(Matches!$C:$C,$A1153,Matches!$A:$A,CONCAT("&lt;",$E1153))</f>
        <v>11</v>
      </c>
      <c r="K1153" s="79">
        <f>COUNTIFS(Entropy!D:D,A1153,Entropy!I:I,CONCAT("&lt;",E1153-1))</f>
        <v>0</v>
      </c>
      <c r="L1153" s="79">
        <f t="shared" si="2"/>
        <v>20</v>
      </c>
      <c r="M1153" s="79">
        <f t="array" ref="M1153">max(min(IF(J1153+K1153=11,0,XLOOKUP(B1153,Quotas!$A$8:$A$14,Quotas!$E$8:$E$14)-$L1153),2),0)</f>
        <v>0</v>
      </c>
      <c r="N1153" s="31">
        <f t="shared" si="3"/>
        <v>0</v>
      </c>
    </row>
    <row r="1154">
      <c r="A1154" s="31" t="s">
        <v>166</v>
      </c>
      <c r="B1154" s="9">
        <v>5.0</v>
      </c>
      <c r="C1154" s="31" t="str">
        <f>VLOOKUP(A1154, 'College List'!A:B, 2, FALSE)</f>
        <v>Lorehold</v>
      </c>
      <c r="D1154" s="355">
        <f>VLOOKUP(B1154,Quotas!$A$8:$C$14,2,FALSE)</f>
        <v>46164.70833</v>
      </c>
      <c r="E1154" s="356">
        <f>VLOOKUP(B1154,Quotas!$A$8:$C$14,3,FALSE)</f>
        <v>46171.70833</v>
      </c>
      <c r="F1154" s="79">
        <f>COUNTIFS(Matches!$B:$B,A1154,Matches!$A:$A,CONCAT("&gt;",$D1154),Matches!$A:$A,CONCAT("&lt;",$E1154))</f>
        <v>1</v>
      </c>
      <c r="G1154" s="79">
        <f>COUNTIFS(Matches!$C:$C,$A1154,Matches!$A:$A,CONCAT("&gt;",$D1154),Matches!$A:$A,CONCAT("&lt;",$E1154))</f>
        <v>2</v>
      </c>
      <c r="H1154" s="79">
        <f t="shared" si="1"/>
        <v>3</v>
      </c>
      <c r="I1154" s="79">
        <f>COUNTIFS(Matches!$B:$B,$A1154,Matches!$A:$A,CONCAT("&lt;",$E1154))</f>
        <v>12</v>
      </c>
      <c r="J1154" s="79">
        <f>COUNTIFS(Matches!$C:$C,$A1154,Matches!$A:$A,CONCAT("&lt;",$E1154))</f>
        <v>11</v>
      </c>
      <c r="K1154" s="79">
        <f>COUNTIFS(Entropy!D:D,A1154,Entropy!I:I,CONCAT("&lt;",E1154-1))</f>
        <v>0</v>
      </c>
      <c r="L1154" s="79">
        <f t="shared" si="2"/>
        <v>23</v>
      </c>
      <c r="M1154" s="79">
        <f t="array" ref="M1154">max(min(IF(J1154+K1154=11,0,XLOOKUP(B1154,Quotas!$A$8:$A$14,Quotas!$E$8:$E$14)-$L1154),2),0)</f>
        <v>0</v>
      </c>
      <c r="N1154" s="31">
        <f t="shared" si="3"/>
        <v>0</v>
      </c>
    </row>
    <row r="1155">
      <c r="A1155" s="31" t="s">
        <v>131</v>
      </c>
      <c r="B1155" s="9">
        <v>5.0</v>
      </c>
      <c r="C1155" s="31" t="str">
        <f>VLOOKUP(A1155, 'College List'!A:B, 2, FALSE)</f>
        <v>Lorehold</v>
      </c>
      <c r="D1155" s="355">
        <f>VLOOKUP(B1155,Quotas!$A$8:$C$14,2,FALSE)</f>
        <v>46164.70833</v>
      </c>
      <c r="E1155" s="356">
        <f>VLOOKUP(B1155,Quotas!$A$8:$C$14,3,FALSE)</f>
        <v>46171.70833</v>
      </c>
      <c r="F1155" s="79">
        <f>COUNTIFS(Matches!$B:$B,A1155,Matches!$A:$A,CONCAT("&gt;",$D1155),Matches!$A:$A,CONCAT("&lt;",$E1155))</f>
        <v>0</v>
      </c>
      <c r="G1155" s="79">
        <f>COUNTIFS(Matches!$C:$C,$A1155,Matches!$A:$A,CONCAT("&gt;",$D1155),Matches!$A:$A,CONCAT("&lt;",$E1155))</f>
        <v>0</v>
      </c>
      <c r="H1155" s="79">
        <f t="shared" si="1"/>
        <v>0</v>
      </c>
      <c r="I1155" s="79">
        <f>COUNTIFS(Matches!$B:$B,$A1155,Matches!$A:$A,CONCAT("&lt;",$E1155))</f>
        <v>7</v>
      </c>
      <c r="J1155" s="79">
        <f>COUNTIFS(Matches!$C:$C,$A1155,Matches!$A:$A,CONCAT("&lt;",$E1155))</f>
        <v>8</v>
      </c>
      <c r="K1155" s="79">
        <f>COUNTIFS(Entropy!D:D,A1155,Entropy!I:I,CONCAT("&lt;",E1155-1))</f>
        <v>3</v>
      </c>
      <c r="L1155" s="79">
        <f t="shared" si="2"/>
        <v>18</v>
      </c>
      <c r="M1155" s="79">
        <f t="array" ref="M1155">max(min(IF(J1155+K1155=11,0,XLOOKUP(B1155,Quotas!$A$8:$A$14,Quotas!$E$8:$E$14)-$L1155),2),0)</f>
        <v>0</v>
      </c>
      <c r="N1155" s="31">
        <f t="shared" si="3"/>
        <v>0</v>
      </c>
    </row>
    <row r="1156">
      <c r="A1156" s="31" t="s">
        <v>275</v>
      </c>
      <c r="B1156" s="9">
        <v>5.0</v>
      </c>
      <c r="C1156" s="31" t="str">
        <f>VLOOKUP(A1156, 'College List'!A:B, 2, FALSE)</f>
        <v>Lorehold</v>
      </c>
      <c r="D1156" s="355">
        <f>VLOOKUP(B1156,Quotas!$A$8:$C$14,2,FALSE)</f>
        <v>46164.70833</v>
      </c>
      <c r="E1156" s="356">
        <f>VLOOKUP(B1156,Quotas!$A$8:$C$14,3,FALSE)</f>
        <v>46171.70833</v>
      </c>
      <c r="F1156" s="79">
        <f>COUNTIFS(Matches!$B:$B,A1156,Matches!$A:$A,CONCAT("&gt;",$D1156),Matches!$A:$A,CONCAT("&lt;",$E1156))</f>
        <v>0</v>
      </c>
      <c r="G1156" s="79">
        <f>COUNTIFS(Matches!$C:$C,$A1156,Matches!$A:$A,CONCAT("&gt;",$D1156),Matches!$A:$A,CONCAT("&lt;",$E1156))</f>
        <v>0</v>
      </c>
      <c r="H1156" s="79">
        <f t="shared" si="1"/>
        <v>0</v>
      </c>
      <c r="I1156" s="79">
        <f>COUNTIFS(Matches!$B:$B,$A1156,Matches!$A:$A,CONCAT("&lt;",$E1156))</f>
        <v>3</v>
      </c>
      <c r="J1156" s="79">
        <f>COUNTIFS(Matches!$C:$C,$A1156,Matches!$A:$A,CONCAT("&lt;",$E1156))</f>
        <v>5</v>
      </c>
      <c r="K1156" s="79">
        <f>COUNTIFS(Entropy!D:D,A1156,Entropy!I:I,CONCAT("&lt;",E1156-1))</f>
        <v>6</v>
      </c>
      <c r="L1156" s="79">
        <f t="shared" si="2"/>
        <v>14</v>
      </c>
      <c r="M1156" s="79">
        <f t="array" ref="M1156">max(min(IF(J1156+K1156=11,0,XLOOKUP(B1156,Quotas!$A$8:$A$14,Quotas!$E$8:$E$14)-$L1156),2),0)</f>
        <v>0</v>
      </c>
      <c r="N1156" s="31">
        <f t="shared" si="3"/>
        <v>0</v>
      </c>
    </row>
    <row r="1157">
      <c r="A1157" s="31" t="s">
        <v>300</v>
      </c>
      <c r="B1157" s="9">
        <v>5.0</v>
      </c>
      <c r="C1157" s="31" t="str">
        <f>VLOOKUP(A1157, 'College List'!A:B, 2, FALSE)</f>
        <v>Prismari</v>
      </c>
      <c r="D1157" s="355">
        <f>VLOOKUP(B1157,Quotas!$A$8:$C$14,2,FALSE)</f>
        <v>46164.70833</v>
      </c>
      <c r="E1157" s="356">
        <f>VLOOKUP(B1157,Quotas!$A$8:$C$14,3,FALSE)</f>
        <v>46171.70833</v>
      </c>
      <c r="F1157" s="79">
        <f>COUNTIFS(Matches!$B:$B,A1157,Matches!$A:$A,CONCAT("&gt;",$D1157),Matches!$A:$A,CONCAT("&lt;",$E1157))</f>
        <v>0</v>
      </c>
      <c r="G1157" s="79">
        <f>COUNTIFS(Matches!$C:$C,$A1157,Matches!$A:$A,CONCAT("&gt;",$D1157),Matches!$A:$A,CONCAT("&lt;",$E1157))</f>
        <v>0</v>
      </c>
      <c r="H1157" s="79">
        <f t="shared" si="1"/>
        <v>0</v>
      </c>
      <c r="I1157" s="79">
        <f>COUNTIFS(Matches!$B:$B,$A1157,Matches!$A:$A,CONCAT("&lt;",$E1157))</f>
        <v>7</v>
      </c>
      <c r="J1157" s="79">
        <f>COUNTIFS(Matches!$C:$C,$A1157,Matches!$A:$A,CONCAT("&lt;",$E1157))</f>
        <v>11</v>
      </c>
      <c r="K1157" s="79">
        <f>COUNTIFS(Entropy!D:D,A1157,Entropy!I:I,CONCAT("&lt;",E1157-1))</f>
        <v>0</v>
      </c>
      <c r="L1157" s="79">
        <f t="shared" si="2"/>
        <v>18</v>
      </c>
      <c r="M1157" s="79">
        <f t="array" ref="M1157">max(min(IF(J1157+K1157=11,0,XLOOKUP(B1157,Quotas!$A$8:$A$14,Quotas!$E$8:$E$14)-$L1157),2),0)</f>
        <v>0</v>
      </c>
      <c r="N1157" s="31">
        <f t="shared" si="3"/>
        <v>0</v>
      </c>
    </row>
    <row r="1158">
      <c r="A1158" s="31" t="s">
        <v>287</v>
      </c>
      <c r="B1158" s="9">
        <v>5.0</v>
      </c>
      <c r="C1158" s="31" t="str">
        <f>VLOOKUP(A1158, 'College List'!A:B, 2, FALSE)</f>
        <v>Silverquill</v>
      </c>
      <c r="D1158" s="355">
        <f>VLOOKUP(B1158,Quotas!$A$8:$C$14,2,FALSE)</f>
        <v>46164.70833</v>
      </c>
      <c r="E1158" s="356">
        <f>VLOOKUP(B1158,Quotas!$A$8:$C$14,3,FALSE)</f>
        <v>46171.70833</v>
      </c>
      <c r="F1158" s="79">
        <f>COUNTIFS(Matches!$B:$B,A1158,Matches!$A:$A,CONCAT("&gt;",$D1158),Matches!$A:$A,CONCAT("&lt;",$E1158))</f>
        <v>1</v>
      </c>
      <c r="G1158" s="79">
        <f>COUNTIFS(Matches!$C:$C,$A1158,Matches!$A:$A,CONCAT("&gt;",$D1158),Matches!$A:$A,CONCAT("&lt;",$E1158))</f>
        <v>2</v>
      </c>
      <c r="H1158" s="79">
        <f t="shared" si="1"/>
        <v>3</v>
      </c>
      <c r="I1158" s="79">
        <f>COUNTIFS(Matches!$B:$B,$A1158,Matches!$A:$A,CONCAT("&lt;",$E1158))</f>
        <v>12</v>
      </c>
      <c r="J1158" s="79">
        <f>COUNTIFS(Matches!$C:$C,$A1158,Matches!$A:$A,CONCAT("&lt;",$E1158))</f>
        <v>11</v>
      </c>
      <c r="K1158" s="79">
        <f>COUNTIFS(Entropy!D:D,A1158,Entropy!I:I,CONCAT("&lt;",E1158-1))</f>
        <v>0</v>
      </c>
      <c r="L1158" s="79">
        <f t="shared" si="2"/>
        <v>23</v>
      </c>
      <c r="M1158" s="79">
        <f t="array" ref="M1158">max(min(IF(J1158+K1158=11,0,XLOOKUP(B1158,Quotas!$A$8:$A$14,Quotas!$E$8:$E$14)-$L1158),2),0)</f>
        <v>0</v>
      </c>
      <c r="N1158" s="31">
        <f t="shared" si="3"/>
        <v>0</v>
      </c>
    </row>
    <row r="1159">
      <c r="A1159" s="31" t="s">
        <v>254</v>
      </c>
      <c r="B1159" s="9">
        <v>5.0</v>
      </c>
      <c r="C1159" s="31" t="str">
        <f>VLOOKUP(A1159, 'College List'!A:B, 2, FALSE)</f>
        <v>Prismari</v>
      </c>
      <c r="D1159" s="355">
        <f>VLOOKUP(B1159,Quotas!$A$8:$C$14,2,FALSE)</f>
        <v>46164.70833</v>
      </c>
      <c r="E1159" s="356">
        <f>VLOOKUP(B1159,Quotas!$A$8:$C$14,3,FALSE)</f>
        <v>46171.70833</v>
      </c>
      <c r="F1159" s="79">
        <f>COUNTIFS(Matches!$B:$B,A1159,Matches!$A:$A,CONCAT("&gt;",$D1159),Matches!$A:$A,CONCAT("&lt;",$E1159))</f>
        <v>0</v>
      </c>
      <c r="G1159" s="79">
        <f>COUNTIFS(Matches!$C:$C,$A1159,Matches!$A:$A,CONCAT("&gt;",$D1159),Matches!$A:$A,CONCAT("&lt;",$E1159))</f>
        <v>2</v>
      </c>
      <c r="H1159" s="79">
        <f t="shared" si="1"/>
        <v>2</v>
      </c>
      <c r="I1159" s="79">
        <f>COUNTIFS(Matches!$B:$B,$A1159,Matches!$A:$A,CONCAT("&lt;",$E1159))</f>
        <v>10</v>
      </c>
      <c r="J1159" s="79">
        <f>COUNTIFS(Matches!$C:$C,$A1159,Matches!$A:$A,CONCAT("&lt;",$E1159))</f>
        <v>11</v>
      </c>
      <c r="K1159" s="79">
        <f>COUNTIFS(Entropy!D:D,A1159,Entropy!I:I,CONCAT("&lt;",E1159-1))</f>
        <v>0</v>
      </c>
      <c r="L1159" s="79">
        <f t="shared" si="2"/>
        <v>21</v>
      </c>
      <c r="M1159" s="79">
        <f t="array" ref="M1159">max(min(IF(J1159+K1159=11,0,XLOOKUP(B1159,Quotas!$A$8:$A$14,Quotas!$E$8:$E$14)-$L1159),2),0)</f>
        <v>0</v>
      </c>
      <c r="N1159" s="31">
        <f t="shared" si="3"/>
        <v>0</v>
      </c>
    </row>
    <row r="1160">
      <c r="A1160" s="31" t="s">
        <v>337</v>
      </c>
      <c r="B1160" s="9">
        <v>5.0</v>
      </c>
      <c r="C1160" s="31" t="str">
        <f>VLOOKUP(A1160, 'College List'!A:B, 2, FALSE)</f>
        <v>Lorehold</v>
      </c>
      <c r="D1160" s="355">
        <f>VLOOKUP(B1160,Quotas!$A$8:$C$14,2,FALSE)</f>
        <v>46164.70833</v>
      </c>
      <c r="E1160" s="356">
        <f>VLOOKUP(B1160,Quotas!$A$8:$C$14,3,FALSE)</f>
        <v>46171.70833</v>
      </c>
      <c r="F1160" s="79">
        <f>COUNTIFS(Matches!$B:$B,A1160,Matches!$A:$A,CONCAT("&gt;",$D1160),Matches!$A:$A,CONCAT("&lt;",$E1160))</f>
        <v>2</v>
      </c>
      <c r="G1160" s="79">
        <f>COUNTIFS(Matches!$C:$C,$A1160,Matches!$A:$A,CONCAT("&gt;",$D1160),Matches!$A:$A,CONCAT("&lt;",$E1160))</f>
        <v>1</v>
      </c>
      <c r="H1160" s="79">
        <f t="shared" si="1"/>
        <v>3</v>
      </c>
      <c r="I1160" s="79">
        <f>COUNTIFS(Matches!$B:$B,$A1160,Matches!$A:$A,CONCAT("&lt;",$E1160))</f>
        <v>11</v>
      </c>
      <c r="J1160" s="79">
        <f>COUNTIFS(Matches!$C:$C,$A1160,Matches!$A:$A,CONCAT("&lt;",$E1160))</f>
        <v>11</v>
      </c>
      <c r="K1160" s="79">
        <f>COUNTIFS(Entropy!D:D,A1160,Entropy!I:I,CONCAT("&lt;",E1160-1))</f>
        <v>0</v>
      </c>
      <c r="L1160" s="79">
        <f t="shared" si="2"/>
        <v>22</v>
      </c>
      <c r="M1160" s="79">
        <f t="array" ref="M1160">max(min(IF(J1160+K1160=11,0,XLOOKUP(B1160,Quotas!$A$8:$A$14,Quotas!$E$8:$E$14)-$L1160),2),0)</f>
        <v>0</v>
      </c>
      <c r="N1160" s="31">
        <f t="shared" si="3"/>
        <v>0</v>
      </c>
    </row>
    <row r="1161">
      <c r="A1161" s="31" t="s">
        <v>374</v>
      </c>
      <c r="B1161" s="9">
        <v>5.0</v>
      </c>
      <c r="C1161" s="31" t="str">
        <f>VLOOKUP(A1161, 'College List'!A:B, 2, FALSE)</f>
        <v>Prismari</v>
      </c>
      <c r="D1161" s="355">
        <f>VLOOKUP(B1161,Quotas!$A$8:$C$14,2,FALSE)</f>
        <v>46164.70833</v>
      </c>
      <c r="E1161" s="356">
        <f>VLOOKUP(B1161,Quotas!$A$8:$C$14,3,FALSE)</f>
        <v>46171.70833</v>
      </c>
      <c r="F1161" s="79">
        <f>COUNTIFS(Matches!$B:$B,A1161,Matches!$A:$A,CONCAT("&gt;",$D1161),Matches!$A:$A,CONCAT("&lt;",$E1161))</f>
        <v>0</v>
      </c>
      <c r="G1161" s="79">
        <f>COUNTIFS(Matches!$C:$C,$A1161,Matches!$A:$A,CONCAT("&gt;",$D1161),Matches!$A:$A,CONCAT("&lt;",$E1161))</f>
        <v>1</v>
      </c>
      <c r="H1161" s="79">
        <f t="shared" si="1"/>
        <v>1</v>
      </c>
      <c r="I1161" s="79">
        <f>COUNTIFS(Matches!$B:$B,$A1161,Matches!$A:$A,CONCAT("&lt;",$E1161))</f>
        <v>8</v>
      </c>
      <c r="J1161" s="79">
        <f>COUNTIFS(Matches!$C:$C,$A1161,Matches!$A:$A,CONCAT("&lt;",$E1161))</f>
        <v>11</v>
      </c>
      <c r="K1161" s="79">
        <f>COUNTIFS(Entropy!D:D,A1161,Entropy!I:I,CONCAT("&lt;",E1161-1))</f>
        <v>0</v>
      </c>
      <c r="L1161" s="79">
        <f t="shared" si="2"/>
        <v>19</v>
      </c>
      <c r="M1161" s="79">
        <f t="array" ref="M1161">max(min(IF(J1161+K1161=11,0,XLOOKUP(B1161,Quotas!$A$8:$A$14,Quotas!$E$8:$E$14)-$L1161),2),0)</f>
        <v>0</v>
      </c>
      <c r="N1161" s="31">
        <f t="shared" si="3"/>
        <v>0</v>
      </c>
    </row>
    <row r="1162">
      <c r="A1162" s="31" t="s">
        <v>318</v>
      </c>
      <c r="B1162" s="9">
        <v>5.0</v>
      </c>
      <c r="C1162" s="31" t="str">
        <f>VLOOKUP(A1162, 'College List'!A:B, 2, FALSE)</f>
        <v>Quandrix</v>
      </c>
      <c r="D1162" s="355">
        <f>VLOOKUP(B1162,Quotas!$A$8:$C$14,2,FALSE)</f>
        <v>46164.70833</v>
      </c>
      <c r="E1162" s="356">
        <f>VLOOKUP(B1162,Quotas!$A$8:$C$14,3,FALSE)</f>
        <v>46171.70833</v>
      </c>
      <c r="F1162" s="79">
        <f>COUNTIFS(Matches!$B:$B,A1162,Matches!$A:$A,CONCAT("&gt;",$D1162),Matches!$A:$A,CONCAT("&lt;",$E1162))</f>
        <v>0</v>
      </c>
      <c r="G1162" s="79">
        <f>COUNTIFS(Matches!$C:$C,$A1162,Matches!$A:$A,CONCAT("&gt;",$D1162),Matches!$A:$A,CONCAT("&lt;",$E1162))</f>
        <v>0</v>
      </c>
      <c r="H1162" s="79">
        <f t="shared" si="1"/>
        <v>0</v>
      </c>
      <c r="I1162" s="79">
        <f>COUNTIFS(Matches!$B:$B,$A1162,Matches!$A:$A,CONCAT("&lt;",$E1162))</f>
        <v>7</v>
      </c>
      <c r="J1162" s="79">
        <f>COUNTIFS(Matches!$C:$C,$A1162,Matches!$A:$A,CONCAT("&lt;",$E1162))</f>
        <v>11</v>
      </c>
      <c r="K1162" s="79">
        <f>COUNTIFS(Entropy!D:D,A1162,Entropy!I:I,CONCAT("&lt;",E1162-1))</f>
        <v>0</v>
      </c>
      <c r="L1162" s="79">
        <f t="shared" si="2"/>
        <v>18</v>
      </c>
      <c r="M1162" s="79">
        <f t="array" ref="M1162">max(min(IF(J1162+K1162=11,0,XLOOKUP(B1162,Quotas!$A$8:$A$14,Quotas!$E$8:$E$14)-$L1162),2),0)</f>
        <v>0</v>
      </c>
      <c r="N1162" s="31">
        <f t="shared" si="3"/>
        <v>0</v>
      </c>
    </row>
    <row r="1163">
      <c r="A1163" s="31" t="s">
        <v>259</v>
      </c>
      <c r="B1163" s="9">
        <v>5.0</v>
      </c>
      <c r="C1163" s="31" t="str">
        <f>VLOOKUP(A1163, 'College List'!A:B, 2, FALSE)</f>
        <v>Lorehold</v>
      </c>
      <c r="D1163" s="355">
        <f>VLOOKUP(B1163,Quotas!$A$8:$C$14,2,FALSE)</f>
        <v>46164.70833</v>
      </c>
      <c r="E1163" s="356">
        <f>VLOOKUP(B1163,Quotas!$A$8:$C$14,3,FALSE)</f>
        <v>46171.70833</v>
      </c>
      <c r="F1163" s="79">
        <f>COUNTIFS(Matches!$B:$B,A1163,Matches!$A:$A,CONCAT("&gt;",$D1163),Matches!$A:$A,CONCAT("&lt;",$E1163))</f>
        <v>4</v>
      </c>
      <c r="G1163" s="79">
        <f>COUNTIFS(Matches!$C:$C,$A1163,Matches!$A:$A,CONCAT("&gt;",$D1163),Matches!$A:$A,CONCAT("&lt;",$E1163))</f>
        <v>1</v>
      </c>
      <c r="H1163" s="79">
        <f t="shared" si="1"/>
        <v>5</v>
      </c>
      <c r="I1163" s="79">
        <f>COUNTIFS(Matches!$B:$B,$A1163,Matches!$A:$A,CONCAT("&lt;",$E1163))</f>
        <v>15</v>
      </c>
      <c r="J1163" s="79">
        <f>COUNTIFS(Matches!$C:$C,$A1163,Matches!$A:$A,CONCAT("&lt;",$E1163))</f>
        <v>10</v>
      </c>
      <c r="K1163" s="79">
        <f>COUNTIFS(Entropy!D:D,A1163,Entropy!I:I,CONCAT("&lt;",E1163-1))</f>
        <v>0</v>
      </c>
      <c r="L1163" s="79">
        <f t="shared" si="2"/>
        <v>25</v>
      </c>
      <c r="M1163" s="79">
        <f t="array" ref="M1163">max(min(IF(J1163+K1163=11,0,XLOOKUP(B1163,Quotas!$A$8:$A$14,Quotas!$E$8:$E$14)-$L1163),2),0)</f>
        <v>0</v>
      </c>
      <c r="N1163" s="31">
        <f t="shared" si="3"/>
        <v>0</v>
      </c>
    </row>
    <row r="1164">
      <c r="A1164" s="31" t="s">
        <v>280</v>
      </c>
      <c r="B1164" s="9">
        <v>5.0</v>
      </c>
      <c r="C1164" s="31" t="str">
        <f>VLOOKUP(A1164, 'College List'!A:B, 2, FALSE)</f>
        <v>Lorehold</v>
      </c>
      <c r="D1164" s="355">
        <f>VLOOKUP(B1164,Quotas!$A$8:$C$14,2,FALSE)</f>
        <v>46164.70833</v>
      </c>
      <c r="E1164" s="356">
        <f>VLOOKUP(B1164,Quotas!$A$8:$C$14,3,FALSE)</f>
        <v>46171.70833</v>
      </c>
      <c r="F1164" s="79">
        <f>COUNTIFS(Matches!$B:$B,A1164,Matches!$A:$A,CONCAT("&gt;",$D1164),Matches!$A:$A,CONCAT("&lt;",$E1164))</f>
        <v>0</v>
      </c>
      <c r="G1164" s="79">
        <f>COUNTIFS(Matches!$C:$C,$A1164,Matches!$A:$A,CONCAT("&gt;",$D1164),Matches!$A:$A,CONCAT("&lt;",$E1164))</f>
        <v>0</v>
      </c>
      <c r="H1164" s="79">
        <f t="shared" si="1"/>
        <v>0</v>
      </c>
      <c r="I1164" s="79">
        <f>COUNTIFS(Matches!$B:$B,$A1164,Matches!$A:$A,CONCAT("&lt;",$E1164))</f>
        <v>7</v>
      </c>
      <c r="J1164" s="79">
        <f>COUNTIFS(Matches!$C:$C,$A1164,Matches!$A:$A,CONCAT("&lt;",$E1164))</f>
        <v>11</v>
      </c>
      <c r="K1164" s="79">
        <f>COUNTIFS(Entropy!D:D,A1164,Entropy!I:I,CONCAT("&lt;",E1164-1))</f>
        <v>0</v>
      </c>
      <c r="L1164" s="79">
        <f t="shared" si="2"/>
        <v>18</v>
      </c>
      <c r="M1164" s="79">
        <f t="array" ref="M1164">max(min(IF(J1164+K1164=11,0,XLOOKUP(B1164,Quotas!$A$8:$A$14,Quotas!$E$8:$E$14)-$L1164),2),0)</f>
        <v>0</v>
      </c>
      <c r="N1164" s="31">
        <f t="shared" si="3"/>
        <v>0</v>
      </c>
    </row>
    <row r="1165">
      <c r="A1165" s="31" t="s">
        <v>183</v>
      </c>
      <c r="B1165" s="9">
        <v>5.0</v>
      </c>
      <c r="C1165" s="31" t="str">
        <f>VLOOKUP(A1165, 'College List'!A:B, 2, FALSE)</f>
        <v>Prismari</v>
      </c>
      <c r="D1165" s="355">
        <f>VLOOKUP(B1165,Quotas!$A$8:$C$14,2,FALSE)</f>
        <v>46164.70833</v>
      </c>
      <c r="E1165" s="356">
        <f>VLOOKUP(B1165,Quotas!$A$8:$C$14,3,FALSE)</f>
        <v>46171.70833</v>
      </c>
      <c r="F1165" s="79">
        <f>COUNTIFS(Matches!$B:$B,A1165,Matches!$A:$A,CONCAT("&gt;",$D1165),Matches!$A:$A,CONCAT("&lt;",$E1165))</f>
        <v>3</v>
      </c>
      <c r="G1165" s="79">
        <f>COUNTIFS(Matches!$C:$C,$A1165,Matches!$A:$A,CONCAT("&gt;",$D1165),Matches!$A:$A,CONCAT("&lt;",$E1165))</f>
        <v>1</v>
      </c>
      <c r="H1165" s="79">
        <f t="shared" si="1"/>
        <v>4</v>
      </c>
      <c r="I1165" s="79">
        <f>COUNTIFS(Matches!$B:$B,$A1165,Matches!$A:$A,CONCAT("&lt;",$E1165))</f>
        <v>16</v>
      </c>
      <c r="J1165" s="79">
        <f>COUNTIFS(Matches!$C:$C,$A1165,Matches!$A:$A,CONCAT("&lt;",$E1165))</f>
        <v>8</v>
      </c>
      <c r="K1165" s="79">
        <f>COUNTIFS(Entropy!D:D,A1165,Entropy!I:I,CONCAT("&lt;",E1165-1))</f>
        <v>0</v>
      </c>
      <c r="L1165" s="79">
        <f t="shared" si="2"/>
        <v>24</v>
      </c>
      <c r="M1165" s="79">
        <f t="array" ref="M1165">max(min(IF(J1165+K1165=11,0,XLOOKUP(B1165,Quotas!$A$8:$A$14,Quotas!$E$8:$E$14)-$L1165),2),0)</f>
        <v>1</v>
      </c>
      <c r="N1165" s="31">
        <f t="shared" si="3"/>
        <v>0.5</v>
      </c>
    </row>
    <row r="1166">
      <c r="A1166" s="31" t="s">
        <v>639</v>
      </c>
      <c r="B1166" s="9">
        <v>5.0</v>
      </c>
      <c r="C1166" s="31" t="str">
        <f>VLOOKUP(A1166, 'College List'!A:B, 2, FALSE)</f>
        <v>Silverquill</v>
      </c>
      <c r="D1166" s="355">
        <f>VLOOKUP(B1166,Quotas!$A$8:$C$14,2,FALSE)</f>
        <v>46164.70833</v>
      </c>
      <c r="E1166" s="356">
        <f>VLOOKUP(B1166,Quotas!$A$8:$C$14,3,FALSE)</f>
        <v>46171.70833</v>
      </c>
      <c r="F1166" s="79">
        <f>COUNTIFS(Matches!$B:$B,A1166,Matches!$A:$A,CONCAT("&gt;",$D1166),Matches!$A:$A,CONCAT("&lt;",$E1166))</f>
        <v>0</v>
      </c>
      <c r="G1166" s="79">
        <f>COUNTIFS(Matches!$C:$C,$A1166,Matches!$A:$A,CONCAT("&gt;",$D1166),Matches!$A:$A,CONCAT("&lt;",$E1166))</f>
        <v>0</v>
      </c>
      <c r="H1166" s="79">
        <f t="shared" si="1"/>
        <v>0</v>
      </c>
      <c r="I1166" s="79">
        <f>COUNTIFS(Matches!$B:$B,$A1166,Matches!$A:$A,CONCAT("&lt;",$E1166))</f>
        <v>0</v>
      </c>
      <c r="J1166" s="79">
        <f>COUNTIFS(Matches!$C:$C,$A1166,Matches!$A:$A,CONCAT("&lt;",$E1166))</f>
        <v>0</v>
      </c>
      <c r="K1166" s="79">
        <f>COUNTIFS(Entropy!D:D,A1166,Entropy!I:I,CONCAT("&lt;",E1166-1))</f>
        <v>11</v>
      </c>
      <c r="L1166" s="79">
        <f t="shared" si="2"/>
        <v>11</v>
      </c>
      <c r="M1166" s="79">
        <f t="array" ref="M1166">max(min(IF(J1166+K1166=11,0,XLOOKUP(B1166,Quotas!$A$8:$A$14,Quotas!$E$8:$E$14)-$L1166),2),0)</f>
        <v>0</v>
      </c>
      <c r="N1166" s="31">
        <f t="shared" si="3"/>
        <v>0</v>
      </c>
    </row>
    <row r="1167">
      <c r="A1167" s="31" t="s">
        <v>152</v>
      </c>
      <c r="B1167" s="9">
        <v>5.0</v>
      </c>
      <c r="C1167" s="31" t="str">
        <f>VLOOKUP(A1167, 'College List'!A:B, 2, FALSE)</f>
        <v>Quandrix</v>
      </c>
      <c r="D1167" s="355">
        <f>VLOOKUP(B1167,Quotas!$A$8:$C$14,2,FALSE)</f>
        <v>46164.70833</v>
      </c>
      <c r="E1167" s="356">
        <f>VLOOKUP(B1167,Quotas!$A$8:$C$14,3,FALSE)</f>
        <v>46171.70833</v>
      </c>
      <c r="F1167" s="79">
        <f>COUNTIFS(Matches!$B:$B,A1167,Matches!$A:$A,CONCAT("&gt;",$D1167),Matches!$A:$A,CONCAT("&lt;",$E1167))</f>
        <v>0</v>
      </c>
      <c r="G1167" s="79">
        <f>COUNTIFS(Matches!$C:$C,$A1167,Matches!$A:$A,CONCAT("&gt;",$D1167),Matches!$A:$A,CONCAT("&lt;",$E1167))</f>
        <v>0</v>
      </c>
      <c r="H1167" s="79">
        <f t="shared" si="1"/>
        <v>0</v>
      </c>
      <c r="I1167" s="79">
        <f>COUNTIFS(Matches!$B:$B,$A1167,Matches!$A:$A,CONCAT("&lt;",$E1167))</f>
        <v>9</v>
      </c>
      <c r="J1167" s="79">
        <f>COUNTIFS(Matches!$C:$C,$A1167,Matches!$A:$A,CONCAT("&lt;",$E1167))</f>
        <v>11</v>
      </c>
      <c r="K1167" s="79">
        <f>COUNTIFS(Entropy!D:D,A1167,Entropy!I:I,CONCAT("&lt;",E1167-1))</f>
        <v>0</v>
      </c>
      <c r="L1167" s="79">
        <f t="shared" si="2"/>
        <v>20</v>
      </c>
      <c r="M1167" s="79">
        <f t="array" ref="M1167">max(min(IF(J1167+K1167=11,0,XLOOKUP(B1167,Quotas!$A$8:$A$14,Quotas!$E$8:$E$14)-$L1167),2),0)</f>
        <v>0</v>
      </c>
      <c r="N1167" s="31">
        <f t="shared" si="3"/>
        <v>0</v>
      </c>
    </row>
    <row r="1168">
      <c r="A1168" s="31" t="s">
        <v>218</v>
      </c>
      <c r="B1168" s="9">
        <v>5.0</v>
      </c>
      <c r="C1168" s="31" t="str">
        <f>VLOOKUP(A1168, 'College List'!A:B, 2, FALSE)</f>
        <v>Silverquill</v>
      </c>
      <c r="D1168" s="355">
        <f>VLOOKUP(B1168,Quotas!$A$8:$C$14,2,FALSE)</f>
        <v>46164.70833</v>
      </c>
      <c r="E1168" s="356">
        <f>VLOOKUP(B1168,Quotas!$A$8:$C$14,3,FALSE)</f>
        <v>46171.70833</v>
      </c>
      <c r="F1168" s="79">
        <f>COUNTIFS(Matches!$B:$B,A1168,Matches!$A:$A,CONCAT("&gt;",$D1168),Matches!$A:$A,CONCAT("&lt;",$E1168))</f>
        <v>2</v>
      </c>
      <c r="G1168" s="79">
        <f>COUNTIFS(Matches!$C:$C,$A1168,Matches!$A:$A,CONCAT("&gt;",$D1168),Matches!$A:$A,CONCAT("&lt;",$E1168))</f>
        <v>3</v>
      </c>
      <c r="H1168" s="79">
        <f t="shared" si="1"/>
        <v>5</v>
      </c>
      <c r="I1168" s="79">
        <f>COUNTIFS(Matches!$B:$B,$A1168,Matches!$A:$A,CONCAT("&lt;",$E1168))</f>
        <v>18</v>
      </c>
      <c r="J1168" s="79">
        <f>COUNTIFS(Matches!$C:$C,$A1168,Matches!$A:$A,CONCAT("&lt;",$E1168))</f>
        <v>7</v>
      </c>
      <c r="K1168" s="79">
        <f>COUNTIFS(Entropy!D:D,A1168,Entropy!I:I,CONCAT("&lt;",E1168-1))</f>
        <v>0</v>
      </c>
      <c r="L1168" s="79">
        <f t="shared" si="2"/>
        <v>25</v>
      </c>
      <c r="M1168" s="79">
        <f t="array" ref="M1168">max(min(IF(J1168+K1168=11,0,XLOOKUP(B1168,Quotas!$A$8:$A$14,Quotas!$E$8:$E$14)-$L1168),2),0)</f>
        <v>0</v>
      </c>
      <c r="N1168" s="31">
        <f t="shared" si="3"/>
        <v>0</v>
      </c>
    </row>
    <row r="1169">
      <c r="A1169" s="31" t="s">
        <v>76</v>
      </c>
      <c r="B1169" s="9">
        <v>5.0</v>
      </c>
      <c r="C1169" s="31" t="str">
        <f>VLOOKUP(A1169, 'College List'!A:B, 2, FALSE)</f>
        <v>Prismari</v>
      </c>
      <c r="D1169" s="355">
        <f>VLOOKUP(B1169,Quotas!$A$8:$C$14,2,FALSE)</f>
        <v>46164.70833</v>
      </c>
      <c r="E1169" s="356">
        <f>VLOOKUP(B1169,Quotas!$A$8:$C$14,3,FALSE)</f>
        <v>46171.70833</v>
      </c>
      <c r="F1169" s="79">
        <f>COUNTIFS(Matches!$B:$B,A1169,Matches!$A:$A,CONCAT("&gt;",$D1169),Matches!$A:$A,CONCAT("&lt;",$E1169))</f>
        <v>3</v>
      </c>
      <c r="G1169" s="79">
        <f>COUNTIFS(Matches!$C:$C,$A1169,Matches!$A:$A,CONCAT("&gt;",$D1169),Matches!$A:$A,CONCAT("&lt;",$E1169))</f>
        <v>2</v>
      </c>
      <c r="H1169" s="79">
        <f t="shared" si="1"/>
        <v>5</v>
      </c>
      <c r="I1169" s="79">
        <f>COUNTIFS(Matches!$B:$B,$A1169,Matches!$A:$A,CONCAT("&lt;",$E1169))</f>
        <v>18</v>
      </c>
      <c r="J1169" s="79">
        <f>COUNTIFS(Matches!$C:$C,$A1169,Matches!$A:$A,CONCAT("&lt;",$E1169))</f>
        <v>7</v>
      </c>
      <c r="K1169" s="79">
        <f>COUNTIFS(Entropy!D:D,A1169,Entropy!I:I,CONCAT("&lt;",E1169-1))</f>
        <v>0</v>
      </c>
      <c r="L1169" s="79">
        <f t="shared" si="2"/>
        <v>25</v>
      </c>
      <c r="M1169" s="79">
        <f t="array" ref="M1169">max(min(IF(J1169+K1169=11,0,XLOOKUP(B1169,Quotas!$A$8:$A$14,Quotas!$E$8:$E$14)-$L1169),2),0)</f>
        <v>0</v>
      </c>
      <c r="N1169" s="31">
        <f t="shared" si="3"/>
        <v>0</v>
      </c>
    </row>
    <row r="1170">
      <c r="A1170" s="31" t="s">
        <v>173</v>
      </c>
      <c r="B1170" s="9">
        <v>5.0</v>
      </c>
      <c r="C1170" s="31" t="str">
        <f>VLOOKUP(A1170, 'College List'!A:B, 2, FALSE)</f>
        <v>Witherbloom</v>
      </c>
      <c r="D1170" s="355">
        <f>VLOOKUP(B1170,Quotas!$A$8:$C$14,2,FALSE)</f>
        <v>46164.70833</v>
      </c>
      <c r="E1170" s="356">
        <f>VLOOKUP(B1170,Quotas!$A$8:$C$14,3,FALSE)</f>
        <v>46171.70833</v>
      </c>
      <c r="F1170" s="79">
        <f>COUNTIFS(Matches!$B:$B,A1170,Matches!$A:$A,CONCAT("&gt;",$D1170),Matches!$A:$A,CONCAT("&lt;",$E1170))</f>
        <v>0</v>
      </c>
      <c r="G1170" s="79">
        <f>COUNTIFS(Matches!$C:$C,$A1170,Matches!$A:$A,CONCAT("&gt;",$D1170),Matches!$A:$A,CONCAT("&lt;",$E1170))</f>
        <v>0</v>
      </c>
      <c r="H1170" s="79">
        <f t="shared" si="1"/>
        <v>0</v>
      </c>
      <c r="I1170" s="79">
        <f>COUNTIFS(Matches!$B:$B,$A1170,Matches!$A:$A,CONCAT("&lt;",$E1170))</f>
        <v>9</v>
      </c>
      <c r="J1170" s="79">
        <f>COUNTIFS(Matches!$C:$C,$A1170,Matches!$A:$A,CONCAT("&lt;",$E1170))</f>
        <v>10</v>
      </c>
      <c r="K1170" s="79">
        <f>COUNTIFS(Entropy!D:D,A1170,Entropy!I:I,CONCAT("&lt;",E1170-1))</f>
        <v>1</v>
      </c>
      <c r="L1170" s="79">
        <f t="shared" si="2"/>
        <v>20</v>
      </c>
      <c r="M1170" s="79">
        <f t="array" ref="M1170">max(min(IF(J1170+K1170=11,0,XLOOKUP(B1170,Quotas!$A$8:$A$14,Quotas!$E$8:$E$14)-$L1170),2),0)</f>
        <v>0</v>
      </c>
      <c r="N1170" s="31">
        <f t="shared" si="3"/>
        <v>0</v>
      </c>
    </row>
    <row r="1171">
      <c r="A1171" s="31" t="s">
        <v>224</v>
      </c>
      <c r="B1171" s="9">
        <v>5.0</v>
      </c>
      <c r="C1171" s="31" t="str">
        <f>VLOOKUP(A1171, 'College List'!A:B, 2, FALSE)</f>
        <v>Lorehold</v>
      </c>
      <c r="D1171" s="355">
        <f>VLOOKUP(B1171,Quotas!$A$8:$C$14,2,FALSE)</f>
        <v>46164.70833</v>
      </c>
      <c r="E1171" s="356">
        <f>VLOOKUP(B1171,Quotas!$A$8:$C$14,3,FALSE)</f>
        <v>46171.70833</v>
      </c>
      <c r="F1171" s="79">
        <f>COUNTIFS(Matches!$B:$B,A1171,Matches!$A:$A,CONCAT("&gt;",$D1171),Matches!$A:$A,CONCAT("&lt;",$E1171))</f>
        <v>0</v>
      </c>
      <c r="G1171" s="79">
        <f>COUNTIFS(Matches!$C:$C,$A1171,Matches!$A:$A,CONCAT("&gt;",$D1171),Matches!$A:$A,CONCAT("&lt;",$E1171))</f>
        <v>0</v>
      </c>
      <c r="H1171" s="79">
        <f t="shared" si="1"/>
        <v>0</v>
      </c>
      <c r="I1171" s="79">
        <f>COUNTIFS(Matches!$B:$B,$A1171,Matches!$A:$A,CONCAT("&lt;",$E1171))</f>
        <v>7</v>
      </c>
      <c r="J1171" s="79">
        <f>COUNTIFS(Matches!$C:$C,$A1171,Matches!$A:$A,CONCAT("&lt;",$E1171))</f>
        <v>11</v>
      </c>
      <c r="K1171" s="79">
        <f>COUNTIFS(Entropy!D:D,A1171,Entropy!I:I,CONCAT("&lt;",E1171-1))</f>
        <v>0</v>
      </c>
      <c r="L1171" s="79">
        <f t="shared" si="2"/>
        <v>18</v>
      </c>
      <c r="M1171" s="79">
        <f t="array" ref="M1171">max(min(IF(J1171+K1171=11,0,XLOOKUP(B1171,Quotas!$A$8:$A$14,Quotas!$E$8:$E$14)-$L1171),2),0)</f>
        <v>0</v>
      </c>
      <c r="N1171" s="31">
        <f t="shared" si="3"/>
        <v>0</v>
      </c>
    </row>
    <row r="1172">
      <c r="A1172" s="31" t="s">
        <v>340</v>
      </c>
      <c r="B1172" s="9">
        <v>5.0</v>
      </c>
      <c r="C1172" s="31" t="str">
        <f>VLOOKUP(A1172, 'College List'!A:B, 2, FALSE)</f>
        <v>Witherbloom</v>
      </c>
      <c r="D1172" s="355">
        <f>VLOOKUP(B1172,Quotas!$A$8:$C$14,2,FALSE)</f>
        <v>46164.70833</v>
      </c>
      <c r="E1172" s="356">
        <f>VLOOKUP(B1172,Quotas!$A$8:$C$14,3,FALSE)</f>
        <v>46171.70833</v>
      </c>
      <c r="F1172" s="79">
        <f>COUNTIFS(Matches!$B:$B,A1172,Matches!$A:$A,CONCAT("&gt;",$D1172),Matches!$A:$A,CONCAT("&lt;",$E1172))</f>
        <v>0</v>
      </c>
      <c r="G1172" s="79">
        <f>COUNTIFS(Matches!$C:$C,$A1172,Matches!$A:$A,CONCAT("&gt;",$D1172),Matches!$A:$A,CONCAT("&lt;",$E1172))</f>
        <v>0</v>
      </c>
      <c r="H1172" s="79">
        <f t="shared" si="1"/>
        <v>0</v>
      </c>
      <c r="I1172" s="79">
        <f>COUNTIFS(Matches!$B:$B,$A1172,Matches!$A:$A,CONCAT("&lt;",$E1172))</f>
        <v>5</v>
      </c>
      <c r="J1172" s="79">
        <f>COUNTIFS(Matches!$C:$C,$A1172,Matches!$A:$A,CONCAT("&lt;",$E1172))</f>
        <v>7</v>
      </c>
      <c r="K1172" s="79">
        <f>COUNTIFS(Entropy!D:D,A1172,Entropy!I:I,CONCAT("&lt;",E1172-1))</f>
        <v>4</v>
      </c>
      <c r="L1172" s="79">
        <f t="shared" si="2"/>
        <v>16</v>
      </c>
      <c r="M1172" s="79">
        <f t="array" ref="M1172">max(min(IF(J1172+K1172=11,0,XLOOKUP(B1172,Quotas!$A$8:$A$14,Quotas!$E$8:$E$14)-$L1172),2),0)</f>
        <v>0</v>
      </c>
      <c r="N1172" s="31">
        <f t="shared" si="3"/>
        <v>0</v>
      </c>
    </row>
    <row r="1173">
      <c r="A1173" s="31" t="s">
        <v>472</v>
      </c>
      <c r="B1173" s="9">
        <v>5.0</v>
      </c>
      <c r="C1173" s="31" t="str">
        <f>VLOOKUP(A1173, 'College List'!A:B, 2, FALSE)</f>
        <v>Prismari</v>
      </c>
      <c r="D1173" s="355">
        <f>VLOOKUP(B1173,Quotas!$A$8:$C$14,2,FALSE)</f>
        <v>46164.70833</v>
      </c>
      <c r="E1173" s="356">
        <f>VLOOKUP(B1173,Quotas!$A$8:$C$14,3,FALSE)</f>
        <v>46171.70833</v>
      </c>
      <c r="F1173" s="79">
        <f>COUNTIFS(Matches!$B:$B,A1173,Matches!$A:$A,CONCAT("&gt;",$D1173),Matches!$A:$A,CONCAT("&lt;",$E1173))</f>
        <v>0</v>
      </c>
      <c r="G1173" s="79">
        <f>COUNTIFS(Matches!$C:$C,$A1173,Matches!$A:$A,CONCAT("&gt;",$D1173),Matches!$A:$A,CONCAT("&lt;",$E1173))</f>
        <v>0</v>
      </c>
      <c r="H1173" s="79">
        <f t="shared" si="1"/>
        <v>0</v>
      </c>
      <c r="I1173" s="79">
        <f>COUNTIFS(Matches!$B:$B,$A1173,Matches!$A:$A,CONCAT("&lt;",$E1173))</f>
        <v>3</v>
      </c>
      <c r="J1173" s="79">
        <f>COUNTIFS(Matches!$C:$C,$A1173,Matches!$A:$A,CONCAT("&lt;",$E1173))</f>
        <v>4</v>
      </c>
      <c r="K1173" s="79">
        <f>COUNTIFS(Entropy!D:D,A1173,Entropy!I:I,CONCAT("&lt;",E1173-1))</f>
        <v>7</v>
      </c>
      <c r="L1173" s="79">
        <f t="shared" si="2"/>
        <v>14</v>
      </c>
      <c r="M1173" s="79">
        <f t="array" ref="M1173">max(min(IF(J1173+K1173=11,0,XLOOKUP(B1173,Quotas!$A$8:$A$14,Quotas!$E$8:$E$14)-$L1173),2),0)</f>
        <v>0</v>
      </c>
      <c r="N1173" s="31">
        <f t="shared" si="3"/>
        <v>0</v>
      </c>
    </row>
    <row r="1174">
      <c r="A1174" s="31" t="s">
        <v>169</v>
      </c>
      <c r="B1174" s="9">
        <v>5.0</v>
      </c>
      <c r="C1174" s="31" t="str">
        <f>VLOOKUP(A1174, 'College List'!A:B, 2, FALSE)</f>
        <v>Silverquill</v>
      </c>
      <c r="D1174" s="355">
        <f>VLOOKUP(B1174,Quotas!$A$8:$C$14,2,FALSE)</f>
        <v>46164.70833</v>
      </c>
      <c r="E1174" s="356">
        <f>VLOOKUP(B1174,Quotas!$A$8:$C$14,3,FALSE)</f>
        <v>46171.70833</v>
      </c>
      <c r="F1174" s="79">
        <f>COUNTIFS(Matches!$B:$B,A1174,Matches!$A:$A,CONCAT("&gt;",$D1174),Matches!$A:$A,CONCAT("&lt;",$E1174))</f>
        <v>0</v>
      </c>
      <c r="G1174" s="79">
        <f>COUNTIFS(Matches!$C:$C,$A1174,Matches!$A:$A,CONCAT("&gt;",$D1174),Matches!$A:$A,CONCAT("&lt;",$E1174))</f>
        <v>0</v>
      </c>
      <c r="H1174" s="79">
        <f t="shared" si="1"/>
        <v>0</v>
      </c>
      <c r="I1174" s="79">
        <f>COUNTIFS(Matches!$B:$B,$A1174,Matches!$A:$A,CONCAT("&lt;",$E1174))</f>
        <v>6</v>
      </c>
      <c r="J1174" s="79">
        <f>COUNTIFS(Matches!$C:$C,$A1174,Matches!$A:$A,CONCAT("&lt;",$E1174))</f>
        <v>11</v>
      </c>
      <c r="K1174" s="79">
        <f>COUNTIFS(Entropy!D:D,A1174,Entropy!I:I,CONCAT("&lt;",E1174-1))</f>
        <v>0</v>
      </c>
      <c r="L1174" s="79">
        <f t="shared" si="2"/>
        <v>17</v>
      </c>
      <c r="M1174" s="79">
        <f t="array" ref="M1174">max(min(IF(J1174+K1174=11,0,XLOOKUP(B1174,Quotas!$A$8:$A$14,Quotas!$E$8:$E$14)-$L1174),2),0)</f>
        <v>0</v>
      </c>
      <c r="N1174" s="31">
        <f t="shared" si="3"/>
        <v>0</v>
      </c>
    </row>
    <row r="1175">
      <c r="A1175" s="31" t="s">
        <v>313</v>
      </c>
      <c r="B1175" s="9">
        <v>5.0</v>
      </c>
      <c r="C1175" s="31" t="str">
        <f>VLOOKUP(A1175, 'College List'!A:B, 2, FALSE)</f>
        <v>Lorehold</v>
      </c>
      <c r="D1175" s="355">
        <f>VLOOKUP(B1175,Quotas!$A$8:$C$14,2,FALSE)</f>
        <v>46164.70833</v>
      </c>
      <c r="E1175" s="356">
        <f>VLOOKUP(B1175,Quotas!$A$8:$C$14,3,FALSE)</f>
        <v>46171.70833</v>
      </c>
      <c r="F1175" s="79">
        <f>COUNTIFS(Matches!$B:$B,A1175,Matches!$A:$A,CONCAT("&gt;",$D1175),Matches!$A:$A,CONCAT("&lt;",$E1175))</f>
        <v>0</v>
      </c>
      <c r="G1175" s="79">
        <f>COUNTIFS(Matches!$C:$C,$A1175,Matches!$A:$A,CONCAT("&gt;",$D1175),Matches!$A:$A,CONCAT("&lt;",$E1175))</f>
        <v>0</v>
      </c>
      <c r="H1175" s="79">
        <f t="shared" si="1"/>
        <v>0</v>
      </c>
      <c r="I1175" s="79">
        <f>COUNTIFS(Matches!$B:$B,$A1175,Matches!$A:$A,CONCAT("&lt;",$E1175))</f>
        <v>6</v>
      </c>
      <c r="J1175" s="79">
        <f>COUNTIFS(Matches!$C:$C,$A1175,Matches!$A:$A,CONCAT("&lt;",$E1175))</f>
        <v>11</v>
      </c>
      <c r="K1175" s="79">
        <f>COUNTIFS(Entropy!D:D,A1175,Entropy!I:I,CONCAT("&lt;",E1175-1))</f>
        <v>0</v>
      </c>
      <c r="L1175" s="79">
        <f t="shared" si="2"/>
        <v>17</v>
      </c>
      <c r="M1175" s="79">
        <f t="array" ref="M1175">max(min(IF(J1175+K1175=11,0,XLOOKUP(B1175,Quotas!$A$8:$A$14,Quotas!$E$8:$E$14)-$L1175),2),0)</f>
        <v>0</v>
      </c>
      <c r="N1175" s="31">
        <f t="shared" si="3"/>
        <v>0</v>
      </c>
    </row>
    <row r="1176">
      <c r="A1176" s="31" t="s">
        <v>247</v>
      </c>
      <c r="B1176" s="9">
        <v>5.0</v>
      </c>
      <c r="C1176" s="31" t="str">
        <f>VLOOKUP(A1176, 'College List'!A:B, 2, FALSE)</f>
        <v>Quandrix</v>
      </c>
      <c r="D1176" s="355">
        <f>VLOOKUP(B1176,Quotas!$A$8:$C$14,2,FALSE)</f>
        <v>46164.70833</v>
      </c>
      <c r="E1176" s="356">
        <f>VLOOKUP(B1176,Quotas!$A$8:$C$14,3,FALSE)</f>
        <v>46171.70833</v>
      </c>
      <c r="F1176" s="79">
        <f>COUNTIFS(Matches!$B:$B,A1176,Matches!$A:$A,CONCAT("&gt;",$D1176),Matches!$A:$A,CONCAT("&lt;",$E1176))</f>
        <v>0</v>
      </c>
      <c r="G1176" s="79">
        <f>COUNTIFS(Matches!$C:$C,$A1176,Matches!$A:$A,CONCAT("&gt;",$D1176),Matches!$A:$A,CONCAT("&lt;",$E1176))</f>
        <v>0</v>
      </c>
      <c r="H1176" s="79">
        <f t="shared" si="1"/>
        <v>0</v>
      </c>
      <c r="I1176" s="79">
        <f>COUNTIFS(Matches!$B:$B,$A1176,Matches!$A:$A,CONCAT("&lt;",$E1176))</f>
        <v>8</v>
      </c>
      <c r="J1176" s="79">
        <f>COUNTIFS(Matches!$C:$C,$A1176,Matches!$A:$A,CONCAT("&lt;",$E1176))</f>
        <v>7</v>
      </c>
      <c r="K1176" s="79">
        <f>COUNTIFS(Entropy!D:D,A1176,Entropy!I:I,CONCAT("&lt;",E1176-1))</f>
        <v>3</v>
      </c>
      <c r="L1176" s="79">
        <f t="shared" si="2"/>
        <v>18</v>
      </c>
      <c r="M1176" s="79">
        <f t="array" ref="M1176">max(min(IF(J1176+K1176=11,0,XLOOKUP(B1176,Quotas!$A$8:$A$14,Quotas!$E$8:$E$14)-$L1176),2),0)</f>
        <v>2</v>
      </c>
      <c r="N1176" s="31">
        <f t="shared" si="3"/>
        <v>0</v>
      </c>
    </row>
    <row r="1177">
      <c r="A1177" s="31" t="s">
        <v>104</v>
      </c>
      <c r="B1177" s="9">
        <v>5.0</v>
      </c>
      <c r="C1177" s="31" t="str">
        <f>VLOOKUP(A1177, 'College List'!A:B, 2, FALSE)</f>
        <v>Lorehold</v>
      </c>
      <c r="D1177" s="355">
        <f>VLOOKUP(B1177,Quotas!$A$8:$C$14,2,FALSE)</f>
        <v>46164.70833</v>
      </c>
      <c r="E1177" s="356">
        <f>VLOOKUP(B1177,Quotas!$A$8:$C$14,3,FALSE)</f>
        <v>46171.70833</v>
      </c>
      <c r="F1177" s="79">
        <f>COUNTIFS(Matches!$B:$B,A1177,Matches!$A:$A,CONCAT("&gt;",$D1177),Matches!$A:$A,CONCAT("&lt;",$E1177))</f>
        <v>3</v>
      </c>
      <c r="G1177" s="79">
        <f>COUNTIFS(Matches!$C:$C,$A1177,Matches!$A:$A,CONCAT("&gt;",$D1177),Matches!$A:$A,CONCAT("&lt;",$E1177))</f>
        <v>0</v>
      </c>
      <c r="H1177" s="79">
        <f t="shared" si="1"/>
        <v>3</v>
      </c>
      <c r="I1177" s="79">
        <f>COUNTIFS(Matches!$B:$B,$A1177,Matches!$A:$A,CONCAT("&lt;",$E1177))</f>
        <v>13</v>
      </c>
      <c r="J1177" s="79">
        <f>COUNTIFS(Matches!$C:$C,$A1177,Matches!$A:$A,CONCAT("&lt;",$E1177))</f>
        <v>10</v>
      </c>
      <c r="K1177" s="79">
        <f>COUNTIFS(Entropy!D:D,A1177,Entropy!I:I,CONCAT("&lt;",E1177-1))</f>
        <v>0</v>
      </c>
      <c r="L1177" s="79">
        <f t="shared" si="2"/>
        <v>23</v>
      </c>
      <c r="M1177" s="79">
        <f t="array" ref="M1177">max(min(IF(J1177+K1177=11,0,XLOOKUP(B1177,Quotas!$A$8:$A$14,Quotas!$E$8:$E$14)-$L1177),2),0)</f>
        <v>2</v>
      </c>
      <c r="N1177" s="31">
        <f t="shared" si="3"/>
        <v>1</v>
      </c>
    </row>
    <row r="1178">
      <c r="A1178" s="31" t="s">
        <v>249</v>
      </c>
      <c r="B1178" s="9">
        <v>5.0</v>
      </c>
      <c r="C1178" s="31" t="str">
        <f>VLOOKUP(A1178, 'College List'!A:B, 2, FALSE)</f>
        <v>Quandrix</v>
      </c>
      <c r="D1178" s="355">
        <f>VLOOKUP(B1178,Quotas!$A$8:$C$14,2,FALSE)</f>
        <v>46164.70833</v>
      </c>
      <c r="E1178" s="356">
        <f>VLOOKUP(B1178,Quotas!$A$8:$C$14,3,FALSE)</f>
        <v>46171.70833</v>
      </c>
      <c r="F1178" s="79">
        <f>COUNTIFS(Matches!$B:$B,A1178,Matches!$A:$A,CONCAT("&gt;",$D1178),Matches!$A:$A,CONCAT("&lt;",$E1178))</f>
        <v>0</v>
      </c>
      <c r="G1178" s="79">
        <f>COUNTIFS(Matches!$C:$C,$A1178,Matches!$A:$A,CONCAT("&gt;",$D1178),Matches!$A:$A,CONCAT("&lt;",$E1178))</f>
        <v>0</v>
      </c>
      <c r="H1178" s="79">
        <f t="shared" si="1"/>
        <v>0</v>
      </c>
      <c r="I1178" s="79">
        <f>COUNTIFS(Matches!$B:$B,$A1178,Matches!$A:$A,CONCAT("&lt;",$E1178))</f>
        <v>8</v>
      </c>
      <c r="J1178" s="79">
        <f>COUNTIFS(Matches!$C:$C,$A1178,Matches!$A:$A,CONCAT("&lt;",$E1178))</f>
        <v>11</v>
      </c>
      <c r="K1178" s="79">
        <f>COUNTIFS(Entropy!D:D,A1178,Entropy!I:I,CONCAT("&lt;",E1178-1))</f>
        <v>0</v>
      </c>
      <c r="L1178" s="79">
        <f t="shared" si="2"/>
        <v>19</v>
      </c>
      <c r="M1178" s="79">
        <f t="array" ref="M1178">max(min(IF(J1178+K1178=11,0,XLOOKUP(B1178,Quotas!$A$8:$A$14,Quotas!$E$8:$E$14)-$L1178),2),0)</f>
        <v>0</v>
      </c>
      <c r="N1178" s="31">
        <f t="shared" si="3"/>
        <v>0</v>
      </c>
    </row>
    <row r="1179">
      <c r="A1179" s="31" t="s">
        <v>294</v>
      </c>
      <c r="B1179" s="9">
        <v>5.0</v>
      </c>
      <c r="C1179" s="31" t="str">
        <f>VLOOKUP(A1179, 'College List'!A:B, 2, FALSE)</f>
        <v>Prismari</v>
      </c>
      <c r="D1179" s="355">
        <f>VLOOKUP(B1179,Quotas!$A$8:$C$14,2,FALSE)</f>
        <v>46164.70833</v>
      </c>
      <c r="E1179" s="356">
        <f>VLOOKUP(B1179,Quotas!$A$8:$C$14,3,FALSE)</f>
        <v>46171.70833</v>
      </c>
      <c r="F1179" s="79">
        <f>COUNTIFS(Matches!$B:$B,A1179,Matches!$A:$A,CONCAT("&gt;",$D1179),Matches!$A:$A,CONCAT("&lt;",$E1179))</f>
        <v>0</v>
      </c>
      <c r="G1179" s="79">
        <f>COUNTIFS(Matches!$C:$C,$A1179,Matches!$A:$A,CONCAT("&gt;",$D1179),Matches!$A:$A,CONCAT("&lt;",$E1179))</f>
        <v>0</v>
      </c>
      <c r="H1179" s="79">
        <f t="shared" si="1"/>
        <v>0</v>
      </c>
      <c r="I1179" s="79">
        <f>COUNTIFS(Matches!$B:$B,$A1179,Matches!$A:$A,CONCAT("&lt;",$E1179))</f>
        <v>4</v>
      </c>
      <c r="J1179" s="79">
        <f>COUNTIFS(Matches!$C:$C,$A1179,Matches!$A:$A,CONCAT("&lt;",$E1179))</f>
        <v>10</v>
      </c>
      <c r="K1179" s="79">
        <f>COUNTIFS(Entropy!D:D,A1179,Entropy!I:I,CONCAT("&lt;",E1179-1))</f>
        <v>1</v>
      </c>
      <c r="L1179" s="79">
        <f t="shared" si="2"/>
        <v>15</v>
      </c>
      <c r="M1179" s="79">
        <f t="array" ref="M1179">max(min(IF(J1179+K1179=11,0,XLOOKUP(B1179,Quotas!$A$8:$A$14,Quotas!$E$8:$E$14)-$L1179),2),0)</f>
        <v>0</v>
      </c>
      <c r="N1179" s="31">
        <f t="shared" si="3"/>
        <v>0</v>
      </c>
    </row>
    <row r="1180">
      <c r="A1180" s="31" t="s">
        <v>276</v>
      </c>
      <c r="B1180" s="9">
        <v>5.0</v>
      </c>
      <c r="C1180" s="31" t="str">
        <f>VLOOKUP(A1180, 'College List'!A:B, 2, FALSE)</f>
        <v>Quandrix</v>
      </c>
      <c r="D1180" s="355">
        <f>VLOOKUP(B1180,Quotas!$A$8:$C$14,2,FALSE)</f>
        <v>46164.70833</v>
      </c>
      <c r="E1180" s="356">
        <f>VLOOKUP(B1180,Quotas!$A$8:$C$14,3,FALSE)</f>
        <v>46171.70833</v>
      </c>
      <c r="F1180" s="79">
        <f>COUNTIFS(Matches!$B:$B,A1180,Matches!$A:$A,CONCAT("&gt;",$D1180),Matches!$A:$A,CONCAT("&lt;",$E1180))</f>
        <v>0</v>
      </c>
      <c r="G1180" s="79">
        <f>COUNTIFS(Matches!$C:$C,$A1180,Matches!$A:$A,CONCAT("&gt;",$D1180),Matches!$A:$A,CONCAT("&lt;",$E1180))</f>
        <v>3</v>
      </c>
      <c r="H1180" s="79">
        <f t="shared" si="1"/>
        <v>3</v>
      </c>
      <c r="I1180" s="79">
        <f>COUNTIFS(Matches!$B:$B,$A1180,Matches!$A:$A,CONCAT("&lt;",$E1180))</f>
        <v>12</v>
      </c>
      <c r="J1180" s="79">
        <f>COUNTIFS(Matches!$C:$C,$A1180,Matches!$A:$A,CONCAT("&lt;",$E1180))</f>
        <v>11</v>
      </c>
      <c r="K1180" s="79">
        <f>COUNTIFS(Entropy!D:D,A1180,Entropy!I:I,CONCAT("&lt;",E1180-1))</f>
        <v>0</v>
      </c>
      <c r="L1180" s="79">
        <f t="shared" si="2"/>
        <v>23</v>
      </c>
      <c r="M1180" s="79">
        <f t="array" ref="M1180">max(min(IF(J1180+K1180=11,0,XLOOKUP(B1180,Quotas!$A$8:$A$14,Quotas!$E$8:$E$14)-$L1180),2),0)</f>
        <v>0</v>
      </c>
      <c r="N1180" s="31">
        <f t="shared" si="3"/>
        <v>0</v>
      </c>
    </row>
    <row r="1181">
      <c r="A1181" s="31" t="s">
        <v>257</v>
      </c>
      <c r="B1181" s="9">
        <v>5.0</v>
      </c>
      <c r="C1181" s="31" t="str">
        <f>VLOOKUP(A1181, 'College List'!A:B, 2, FALSE)</f>
        <v>Witherbloom</v>
      </c>
      <c r="D1181" s="355">
        <f>VLOOKUP(B1181,Quotas!$A$8:$C$14,2,FALSE)</f>
        <v>46164.70833</v>
      </c>
      <c r="E1181" s="356">
        <f>VLOOKUP(B1181,Quotas!$A$8:$C$14,3,FALSE)</f>
        <v>46171.70833</v>
      </c>
      <c r="F1181" s="79">
        <f>COUNTIFS(Matches!$B:$B,A1181,Matches!$A:$A,CONCAT("&gt;",$D1181),Matches!$A:$A,CONCAT("&lt;",$E1181))</f>
        <v>0</v>
      </c>
      <c r="G1181" s="79">
        <f>COUNTIFS(Matches!$C:$C,$A1181,Matches!$A:$A,CONCAT("&gt;",$D1181),Matches!$A:$A,CONCAT("&lt;",$E1181))</f>
        <v>0</v>
      </c>
      <c r="H1181" s="79">
        <f t="shared" si="1"/>
        <v>0</v>
      </c>
      <c r="I1181" s="79">
        <f>COUNTIFS(Matches!$B:$B,$A1181,Matches!$A:$A,CONCAT("&lt;",$E1181))</f>
        <v>6</v>
      </c>
      <c r="J1181" s="79">
        <f>COUNTIFS(Matches!$C:$C,$A1181,Matches!$A:$A,CONCAT("&lt;",$E1181))</f>
        <v>11</v>
      </c>
      <c r="K1181" s="79">
        <f>COUNTIFS(Entropy!D:D,A1181,Entropy!I:I,CONCAT("&lt;",E1181-1))</f>
        <v>0</v>
      </c>
      <c r="L1181" s="79">
        <f t="shared" si="2"/>
        <v>17</v>
      </c>
      <c r="M1181" s="79">
        <f t="array" ref="M1181">max(min(IF(J1181+K1181=11,0,XLOOKUP(B1181,Quotas!$A$8:$A$14,Quotas!$E$8:$E$14)-$L1181),2),0)</f>
        <v>0</v>
      </c>
      <c r="N1181" s="31">
        <f t="shared" si="3"/>
        <v>0</v>
      </c>
    </row>
    <row r="1182">
      <c r="A1182" s="31" t="s">
        <v>195</v>
      </c>
      <c r="B1182" s="9">
        <v>5.0</v>
      </c>
      <c r="C1182" s="31" t="str">
        <f>VLOOKUP(A1182, 'College List'!A:B, 2, FALSE)</f>
        <v>Lorehold</v>
      </c>
      <c r="D1182" s="355">
        <f>VLOOKUP(B1182,Quotas!$A$8:$C$14,2,FALSE)</f>
        <v>46164.70833</v>
      </c>
      <c r="E1182" s="356">
        <f>VLOOKUP(B1182,Quotas!$A$8:$C$14,3,FALSE)</f>
        <v>46171.70833</v>
      </c>
      <c r="F1182" s="79">
        <f>COUNTIFS(Matches!$B:$B,A1182,Matches!$A:$A,CONCAT("&gt;",$D1182),Matches!$A:$A,CONCAT("&lt;",$E1182))</f>
        <v>0</v>
      </c>
      <c r="G1182" s="79">
        <f>COUNTIFS(Matches!$C:$C,$A1182,Matches!$A:$A,CONCAT("&gt;",$D1182),Matches!$A:$A,CONCAT("&lt;",$E1182))</f>
        <v>2</v>
      </c>
      <c r="H1182" s="79">
        <f t="shared" si="1"/>
        <v>2</v>
      </c>
      <c r="I1182" s="79">
        <f>COUNTIFS(Matches!$B:$B,$A1182,Matches!$A:$A,CONCAT("&lt;",$E1182))</f>
        <v>11</v>
      </c>
      <c r="J1182" s="79">
        <f>COUNTIFS(Matches!$C:$C,$A1182,Matches!$A:$A,CONCAT("&lt;",$E1182))</f>
        <v>11</v>
      </c>
      <c r="K1182" s="79">
        <f>COUNTIFS(Entropy!D:D,A1182,Entropy!I:I,CONCAT("&lt;",E1182-1))</f>
        <v>0</v>
      </c>
      <c r="L1182" s="79">
        <f t="shared" si="2"/>
        <v>22</v>
      </c>
      <c r="M1182" s="79">
        <f t="array" ref="M1182">max(min(IF(J1182+K1182=11,0,XLOOKUP(B1182,Quotas!$A$8:$A$14,Quotas!$E$8:$E$14)-$L1182),2),0)</f>
        <v>0</v>
      </c>
      <c r="N1182" s="31">
        <f t="shared" si="3"/>
        <v>0</v>
      </c>
    </row>
    <row r="1183">
      <c r="A1183" s="31" t="s">
        <v>282</v>
      </c>
      <c r="B1183" s="9">
        <v>5.0</v>
      </c>
      <c r="C1183" s="31" t="str">
        <f>VLOOKUP(A1183, 'College List'!A:B, 2, FALSE)</f>
        <v>Silverquill</v>
      </c>
      <c r="D1183" s="355">
        <f>VLOOKUP(B1183,Quotas!$A$8:$C$14,2,FALSE)</f>
        <v>46164.70833</v>
      </c>
      <c r="E1183" s="356">
        <f>VLOOKUP(B1183,Quotas!$A$8:$C$14,3,FALSE)</f>
        <v>46171.70833</v>
      </c>
      <c r="F1183" s="79">
        <f>COUNTIFS(Matches!$B:$B,A1183,Matches!$A:$A,CONCAT("&gt;",$D1183),Matches!$A:$A,CONCAT("&lt;",$E1183))</f>
        <v>2</v>
      </c>
      <c r="G1183" s="79">
        <f>COUNTIFS(Matches!$C:$C,$A1183,Matches!$A:$A,CONCAT("&gt;",$D1183),Matches!$A:$A,CONCAT("&lt;",$E1183))</f>
        <v>3</v>
      </c>
      <c r="H1183" s="79">
        <f t="shared" si="1"/>
        <v>5</v>
      </c>
      <c r="I1183" s="79">
        <f>COUNTIFS(Matches!$B:$B,$A1183,Matches!$A:$A,CONCAT("&lt;",$E1183))</f>
        <v>18</v>
      </c>
      <c r="J1183" s="79">
        <f>COUNTIFS(Matches!$C:$C,$A1183,Matches!$A:$A,CONCAT("&lt;",$E1183))</f>
        <v>7</v>
      </c>
      <c r="K1183" s="79">
        <f>COUNTIFS(Entropy!D:D,A1183,Entropy!I:I,CONCAT("&lt;",E1183-1))</f>
        <v>0</v>
      </c>
      <c r="L1183" s="79">
        <f t="shared" si="2"/>
        <v>25</v>
      </c>
      <c r="M1183" s="79">
        <f t="array" ref="M1183">max(min(IF(J1183+K1183=11,0,XLOOKUP(B1183,Quotas!$A$8:$A$14,Quotas!$E$8:$E$14)-$L1183),2),0)</f>
        <v>0</v>
      </c>
      <c r="N1183" s="31">
        <f t="shared" si="3"/>
        <v>0</v>
      </c>
    </row>
    <row r="1184">
      <c r="A1184" s="31" t="s">
        <v>302</v>
      </c>
      <c r="B1184" s="9">
        <v>5.0</v>
      </c>
      <c r="C1184" s="31" t="str">
        <f>VLOOKUP(A1184, 'College List'!A:B, 2, FALSE)</f>
        <v>Silverquill</v>
      </c>
      <c r="D1184" s="355">
        <f>VLOOKUP(B1184,Quotas!$A$8:$C$14,2,FALSE)</f>
        <v>46164.70833</v>
      </c>
      <c r="E1184" s="356">
        <f>VLOOKUP(B1184,Quotas!$A$8:$C$14,3,FALSE)</f>
        <v>46171.70833</v>
      </c>
      <c r="F1184" s="79">
        <f>COUNTIFS(Matches!$B:$B,A1184,Matches!$A:$A,CONCAT("&gt;",$D1184),Matches!$A:$A,CONCAT("&lt;",$E1184))</f>
        <v>3</v>
      </c>
      <c r="G1184" s="79">
        <f>COUNTIFS(Matches!$C:$C,$A1184,Matches!$A:$A,CONCAT("&gt;",$D1184),Matches!$A:$A,CONCAT("&lt;",$E1184))</f>
        <v>1</v>
      </c>
      <c r="H1184" s="79">
        <f t="shared" si="1"/>
        <v>4</v>
      </c>
      <c r="I1184" s="79">
        <f>COUNTIFS(Matches!$B:$B,$A1184,Matches!$A:$A,CONCAT("&lt;",$E1184))</f>
        <v>13</v>
      </c>
      <c r="J1184" s="79">
        <f>COUNTIFS(Matches!$C:$C,$A1184,Matches!$A:$A,CONCAT("&lt;",$E1184))</f>
        <v>11</v>
      </c>
      <c r="K1184" s="79">
        <f>COUNTIFS(Entropy!D:D,A1184,Entropy!I:I,CONCAT("&lt;",E1184-1))</f>
        <v>0</v>
      </c>
      <c r="L1184" s="79">
        <f t="shared" si="2"/>
        <v>24</v>
      </c>
      <c r="M1184" s="79">
        <f t="array" ref="M1184">max(min(IF(J1184+K1184=11,0,XLOOKUP(B1184,Quotas!$A$8:$A$14,Quotas!$E$8:$E$14)-$L1184),2),0)</f>
        <v>0</v>
      </c>
      <c r="N1184" s="31">
        <f t="shared" si="3"/>
        <v>0</v>
      </c>
    </row>
    <row r="1185">
      <c r="A1185" s="31" t="s">
        <v>174</v>
      </c>
      <c r="B1185" s="9">
        <v>5.0</v>
      </c>
      <c r="C1185" s="31" t="str">
        <f>VLOOKUP(A1185, 'College List'!A:B, 2, FALSE)</f>
        <v>Witherbloom</v>
      </c>
      <c r="D1185" s="355">
        <f>VLOOKUP(B1185,Quotas!$A$8:$C$14,2,FALSE)</f>
        <v>46164.70833</v>
      </c>
      <c r="E1185" s="356">
        <f>VLOOKUP(B1185,Quotas!$A$8:$C$14,3,FALSE)</f>
        <v>46171.70833</v>
      </c>
      <c r="F1185" s="79">
        <f>COUNTIFS(Matches!$B:$B,A1185,Matches!$A:$A,CONCAT("&gt;",$D1185),Matches!$A:$A,CONCAT("&lt;",$E1185))</f>
        <v>1</v>
      </c>
      <c r="G1185" s="79">
        <f>COUNTIFS(Matches!$C:$C,$A1185,Matches!$A:$A,CONCAT("&gt;",$D1185),Matches!$A:$A,CONCAT("&lt;",$E1185))</f>
        <v>2</v>
      </c>
      <c r="H1185" s="79">
        <f t="shared" si="1"/>
        <v>3</v>
      </c>
      <c r="I1185" s="79">
        <f>COUNTIFS(Matches!$B:$B,$A1185,Matches!$A:$A,CONCAT("&lt;",$E1185))</f>
        <v>12</v>
      </c>
      <c r="J1185" s="79">
        <f>COUNTIFS(Matches!$C:$C,$A1185,Matches!$A:$A,CONCAT("&lt;",$E1185))</f>
        <v>11</v>
      </c>
      <c r="K1185" s="79">
        <f>COUNTIFS(Entropy!D:D,A1185,Entropy!I:I,CONCAT("&lt;",E1185-1))</f>
        <v>0</v>
      </c>
      <c r="L1185" s="79">
        <f t="shared" si="2"/>
        <v>23</v>
      </c>
      <c r="M1185" s="79">
        <f t="array" ref="M1185">max(min(IF(J1185+K1185=11,0,XLOOKUP(B1185,Quotas!$A$8:$A$14,Quotas!$E$8:$E$14)-$L1185),2),0)</f>
        <v>0</v>
      </c>
      <c r="N1185" s="31">
        <f t="shared" si="3"/>
        <v>0</v>
      </c>
    </row>
    <row r="1186">
      <c r="A1186" s="31" t="s">
        <v>260</v>
      </c>
      <c r="B1186" s="9">
        <v>5.0</v>
      </c>
      <c r="C1186" s="31" t="str">
        <f>VLOOKUP(A1186, 'College List'!A:B, 2, FALSE)</f>
        <v>Witherbloom</v>
      </c>
      <c r="D1186" s="355">
        <f>VLOOKUP(B1186,Quotas!$A$8:$C$14,2,FALSE)</f>
        <v>46164.70833</v>
      </c>
      <c r="E1186" s="356">
        <f>VLOOKUP(B1186,Quotas!$A$8:$C$14,3,FALSE)</f>
        <v>46171.70833</v>
      </c>
      <c r="F1186" s="79">
        <f>COUNTIFS(Matches!$B:$B,A1186,Matches!$A:$A,CONCAT("&gt;",$D1186),Matches!$A:$A,CONCAT("&lt;",$E1186))</f>
        <v>0</v>
      </c>
      <c r="G1186" s="79">
        <f>COUNTIFS(Matches!$C:$C,$A1186,Matches!$A:$A,CONCAT("&gt;",$D1186),Matches!$A:$A,CONCAT("&lt;",$E1186))</f>
        <v>0</v>
      </c>
      <c r="H1186" s="79">
        <f t="shared" si="1"/>
        <v>0</v>
      </c>
      <c r="I1186" s="79">
        <f>COUNTIFS(Matches!$B:$B,$A1186,Matches!$A:$A,CONCAT("&lt;",$E1186))</f>
        <v>7</v>
      </c>
      <c r="J1186" s="79">
        <f>COUNTIFS(Matches!$C:$C,$A1186,Matches!$A:$A,CONCAT("&lt;",$E1186))</f>
        <v>10</v>
      </c>
      <c r="K1186" s="79">
        <f>COUNTIFS(Entropy!D:D,A1186,Entropy!I:I,CONCAT("&lt;",E1186-1))</f>
        <v>2</v>
      </c>
      <c r="L1186" s="79">
        <f t="shared" si="2"/>
        <v>19</v>
      </c>
      <c r="M1186" s="79">
        <f t="array" ref="M1186">max(min(IF(J1186+K1186=11,0,XLOOKUP(B1186,Quotas!$A$8:$A$14,Quotas!$E$8:$E$14)-$L1186),2),0)</f>
        <v>2</v>
      </c>
      <c r="N1186" s="31">
        <f t="shared" si="3"/>
        <v>0</v>
      </c>
    </row>
    <row r="1187">
      <c r="A1187" s="31" t="s">
        <v>62</v>
      </c>
      <c r="B1187" s="9">
        <v>5.0</v>
      </c>
      <c r="C1187" s="31" t="str">
        <f>VLOOKUP(A1187, 'College List'!A:B, 2, FALSE)</f>
        <v>Prismari</v>
      </c>
      <c r="D1187" s="355">
        <f>VLOOKUP(B1187,Quotas!$A$8:$C$14,2,FALSE)</f>
        <v>46164.70833</v>
      </c>
      <c r="E1187" s="356">
        <f>VLOOKUP(B1187,Quotas!$A$8:$C$14,3,FALSE)</f>
        <v>46171.70833</v>
      </c>
      <c r="F1187" s="79">
        <f>COUNTIFS(Matches!$B:$B,A1187,Matches!$A:$A,CONCAT("&gt;",$D1187),Matches!$A:$A,CONCAT("&lt;",$E1187))</f>
        <v>0</v>
      </c>
      <c r="G1187" s="79">
        <f>COUNTIFS(Matches!$C:$C,$A1187,Matches!$A:$A,CONCAT("&gt;",$D1187),Matches!$A:$A,CONCAT("&lt;",$E1187))</f>
        <v>4</v>
      </c>
      <c r="H1187" s="79">
        <f t="shared" si="1"/>
        <v>4</v>
      </c>
      <c r="I1187" s="79">
        <f>COUNTIFS(Matches!$B:$B,$A1187,Matches!$A:$A,CONCAT("&lt;",$E1187))</f>
        <v>12</v>
      </c>
      <c r="J1187" s="79">
        <f>COUNTIFS(Matches!$C:$C,$A1187,Matches!$A:$A,CONCAT("&lt;",$E1187))</f>
        <v>11</v>
      </c>
      <c r="K1187" s="79">
        <f>COUNTIFS(Entropy!D:D,A1187,Entropy!I:I,CONCAT("&lt;",E1187-1))</f>
        <v>0</v>
      </c>
      <c r="L1187" s="79">
        <f t="shared" si="2"/>
        <v>23</v>
      </c>
      <c r="M1187" s="79">
        <f t="array" ref="M1187">max(min(IF(J1187+K1187=11,0,XLOOKUP(B1187,Quotas!$A$8:$A$14,Quotas!$E$8:$E$14)-$L1187),2),0)</f>
        <v>0</v>
      </c>
      <c r="N1187" s="31">
        <f t="shared" si="3"/>
        <v>0</v>
      </c>
    </row>
    <row r="1188">
      <c r="A1188" s="31" t="s">
        <v>233</v>
      </c>
      <c r="B1188" s="9">
        <v>5.0</v>
      </c>
      <c r="C1188" s="31" t="str">
        <f>VLOOKUP(A1188, 'College List'!A:B, 2, FALSE)</f>
        <v>Lorehold</v>
      </c>
      <c r="D1188" s="355">
        <f>VLOOKUP(B1188,Quotas!$A$8:$C$14,2,FALSE)</f>
        <v>46164.70833</v>
      </c>
      <c r="E1188" s="356">
        <f>VLOOKUP(B1188,Quotas!$A$8:$C$14,3,FALSE)</f>
        <v>46171.70833</v>
      </c>
      <c r="F1188" s="79">
        <f>COUNTIFS(Matches!$B:$B,A1188,Matches!$A:$A,CONCAT("&gt;",$D1188),Matches!$A:$A,CONCAT("&lt;",$E1188))</f>
        <v>1</v>
      </c>
      <c r="G1188" s="79">
        <f>COUNTIFS(Matches!$C:$C,$A1188,Matches!$A:$A,CONCAT("&gt;",$D1188),Matches!$A:$A,CONCAT("&lt;",$E1188))</f>
        <v>1</v>
      </c>
      <c r="H1188" s="79">
        <f t="shared" si="1"/>
        <v>2</v>
      </c>
      <c r="I1188" s="79">
        <f>COUNTIFS(Matches!$B:$B,$A1188,Matches!$A:$A,CONCAT("&lt;",$E1188))</f>
        <v>11</v>
      </c>
      <c r="J1188" s="79">
        <f>COUNTIFS(Matches!$C:$C,$A1188,Matches!$A:$A,CONCAT("&lt;",$E1188))</f>
        <v>11</v>
      </c>
      <c r="K1188" s="79">
        <f>COUNTIFS(Entropy!D:D,A1188,Entropy!I:I,CONCAT("&lt;",E1188-1))</f>
        <v>0</v>
      </c>
      <c r="L1188" s="79">
        <f t="shared" si="2"/>
        <v>22</v>
      </c>
      <c r="M1188" s="79">
        <f t="array" ref="M1188">max(min(IF(J1188+K1188=11,0,XLOOKUP(B1188,Quotas!$A$8:$A$14,Quotas!$E$8:$E$14)-$L1188),2),0)</f>
        <v>0</v>
      </c>
      <c r="N1188" s="31">
        <f t="shared" si="3"/>
        <v>0</v>
      </c>
    </row>
    <row r="1189">
      <c r="A1189" s="31" t="s">
        <v>413</v>
      </c>
      <c r="B1189" s="9">
        <v>5.0</v>
      </c>
      <c r="C1189" s="31" t="str">
        <f>VLOOKUP(A1189, 'College List'!A:B, 2, FALSE)</f>
        <v>Lorehold</v>
      </c>
      <c r="D1189" s="355">
        <f>VLOOKUP(B1189,Quotas!$A$8:$C$14,2,FALSE)</f>
        <v>46164.70833</v>
      </c>
      <c r="E1189" s="356">
        <f>VLOOKUP(B1189,Quotas!$A$8:$C$14,3,FALSE)</f>
        <v>46171.70833</v>
      </c>
      <c r="F1189" s="79">
        <f>COUNTIFS(Matches!$B:$B,A1189,Matches!$A:$A,CONCAT("&gt;",$D1189),Matches!$A:$A,CONCAT("&lt;",$E1189))</f>
        <v>0</v>
      </c>
      <c r="G1189" s="79">
        <f>COUNTIFS(Matches!$C:$C,$A1189,Matches!$A:$A,CONCAT("&gt;",$D1189),Matches!$A:$A,CONCAT("&lt;",$E1189))</f>
        <v>0</v>
      </c>
      <c r="H1189" s="79">
        <f t="shared" si="1"/>
        <v>0</v>
      </c>
      <c r="I1189" s="79">
        <f>COUNTIFS(Matches!$B:$B,$A1189,Matches!$A:$A,CONCAT("&lt;",$E1189))</f>
        <v>2</v>
      </c>
      <c r="J1189" s="79">
        <f>COUNTIFS(Matches!$C:$C,$A1189,Matches!$A:$A,CONCAT("&lt;",$E1189))</f>
        <v>11</v>
      </c>
      <c r="K1189" s="79">
        <f>COUNTIFS(Entropy!D:D,A1189,Entropy!I:I,CONCAT("&lt;",E1189-1))</f>
        <v>0</v>
      </c>
      <c r="L1189" s="79">
        <f t="shared" si="2"/>
        <v>13</v>
      </c>
      <c r="M1189" s="79">
        <f t="array" ref="M1189">max(min(IF(J1189+K1189=11,0,XLOOKUP(B1189,Quotas!$A$8:$A$14,Quotas!$E$8:$E$14)-$L1189),2),0)</f>
        <v>0</v>
      </c>
      <c r="N1189" s="31">
        <f t="shared" si="3"/>
        <v>0</v>
      </c>
    </row>
    <row r="1190">
      <c r="A1190" s="31" t="s">
        <v>368</v>
      </c>
      <c r="B1190" s="9">
        <v>5.0</v>
      </c>
      <c r="C1190" s="31" t="str">
        <f>VLOOKUP(A1190, 'College List'!A:B, 2, FALSE)</f>
        <v>Silverquill</v>
      </c>
      <c r="D1190" s="355">
        <f>VLOOKUP(B1190,Quotas!$A$8:$C$14,2,FALSE)</f>
        <v>46164.70833</v>
      </c>
      <c r="E1190" s="356">
        <f>VLOOKUP(B1190,Quotas!$A$8:$C$14,3,FALSE)</f>
        <v>46171.70833</v>
      </c>
      <c r="F1190" s="79">
        <f>COUNTIFS(Matches!$B:$B,A1190,Matches!$A:$A,CONCAT("&gt;",$D1190),Matches!$A:$A,CONCAT("&lt;",$E1190))</f>
        <v>2</v>
      </c>
      <c r="G1190" s="79">
        <f>COUNTIFS(Matches!$C:$C,$A1190,Matches!$A:$A,CONCAT("&gt;",$D1190),Matches!$A:$A,CONCAT("&lt;",$E1190))</f>
        <v>2</v>
      </c>
      <c r="H1190" s="79">
        <f t="shared" si="1"/>
        <v>4</v>
      </c>
      <c r="I1190" s="79">
        <f>COUNTIFS(Matches!$B:$B,$A1190,Matches!$A:$A,CONCAT("&lt;",$E1190))</f>
        <v>13</v>
      </c>
      <c r="J1190" s="79">
        <f>COUNTIFS(Matches!$C:$C,$A1190,Matches!$A:$A,CONCAT("&lt;",$E1190))</f>
        <v>11</v>
      </c>
      <c r="K1190" s="79">
        <f>COUNTIFS(Entropy!D:D,A1190,Entropy!I:I,CONCAT("&lt;",E1190-1))</f>
        <v>0</v>
      </c>
      <c r="L1190" s="79">
        <f t="shared" si="2"/>
        <v>24</v>
      </c>
      <c r="M1190" s="79">
        <f t="array" ref="M1190">max(min(IF(J1190+K1190=11,0,XLOOKUP(B1190,Quotas!$A$8:$A$14,Quotas!$E$8:$E$14)-$L1190),2),0)</f>
        <v>0</v>
      </c>
      <c r="N1190" s="31">
        <f t="shared" si="3"/>
        <v>0</v>
      </c>
    </row>
    <row r="1191">
      <c r="A1191" s="31" t="s">
        <v>139</v>
      </c>
      <c r="B1191" s="9">
        <v>5.0</v>
      </c>
      <c r="C1191" s="31" t="str">
        <f>VLOOKUP(A1191, 'College List'!A:B, 2, FALSE)</f>
        <v>Silverquill</v>
      </c>
      <c r="D1191" s="355">
        <f>VLOOKUP(B1191,Quotas!$A$8:$C$14,2,FALSE)</f>
        <v>46164.70833</v>
      </c>
      <c r="E1191" s="356">
        <f>VLOOKUP(B1191,Quotas!$A$8:$C$14,3,FALSE)</f>
        <v>46171.70833</v>
      </c>
      <c r="F1191" s="79">
        <f>COUNTIFS(Matches!$B:$B,A1191,Matches!$A:$A,CONCAT("&gt;",$D1191),Matches!$A:$A,CONCAT("&lt;",$E1191))</f>
        <v>1</v>
      </c>
      <c r="G1191" s="79">
        <f>COUNTIFS(Matches!$C:$C,$A1191,Matches!$A:$A,CONCAT("&gt;",$D1191),Matches!$A:$A,CONCAT("&lt;",$E1191))</f>
        <v>1</v>
      </c>
      <c r="H1191" s="79">
        <f t="shared" si="1"/>
        <v>2</v>
      </c>
      <c r="I1191" s="79">
        <f>COUNTIFS(Matches!$B:$B,$A1191,Matches!$A:$A,CONCAT("&lt;",$E1191))</f>
        <v>11</v>
      </c>
      <c r="J1191" s="79">
        <f>COUNTIFS(Matches!$C:$C,$A1191,Matches!$A:$A,CONCAT("&lt;",$E1191))</f>
        <v>11</v>
      </c>
      <c r="K1191" s="79">
        <f>COUNTIFS(Entropy!D:D,A1191,Entropy!I:I,CONCAT("&lt;",E1191-1))</f>
        <v>0</v>
      </c>
      <c r="L1191" s="79">
        <f t="shared" si="2"/>
        <v>22</v>
      </c>
      <c r="M1191" s="79">
        <f t="array" ref="M1191">max(min(IF(J1191+K1191=11,0,XLOOKUP(B1191,Quotas!$A$8:$A$14,Quotas!$E$8:$E$14)-$L1191),2),0)</f>
        <v>0</v>
      </c>
      <c r="N1191" s="31">
        <f t="shared" si="3"/>
        <v>0</v>
      </c>
    </row>
  </sheetData>
  <drawing r:id="rId1"/>
</worksheet>
</file>